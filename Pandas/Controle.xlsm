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microsoft.com/office/2011/relationships/webextensiontaskpanes" Target="xl/webextensions/taskpanes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8" codeName="{00000000-0000-0000-0000-000000000000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01d82ed7b585f743/FINANCEIRO/CONTAS A PAGAR/"/>
    </mc:Choice>
  </mc:AlternateContent>
  <xr:revisionPtr revIDLastSave="0" documentId="8_{D82D3320-4BB0-4CFC-AA28-71E648B50EB1}" xr6:coauthVersionLast="47" xr6:coauthVersionMax="47" xr10:uidLastSave="{00000000-0000-0000-0000-000000000000}"/>
  <bookViews>
    <workbookView xWindow="-108" yWindow="-108" windowWidth="23256" windowHeight="12456" tabRatio="630" xr2:uid="{ECD608C5-2532-4299-B698-46EDD58B36FD}"/>
  </bookViews>
  <sheets>
    <sheet name="Principal" sheetId="1" r:id="rId1"/>
    <sheet name="Notas Faltantes" sheetId="10" r:id="rId2"/>
    <sheet name="Notas no movimento" sheetId="5" r:id="rId3"/>
    <sheet name="BD Clientes" sheetId="4" r:id="rId4"/>
    <sheet name="Calculo Diesel" sheetId="3" r:id="rId5"/>
    <sheet name="Planilha1" sheetId="9" state="hidden" r:id="rId6"/>
    <sheet name="Aluguel Guiche" sheetId="7" r:id="rId7"/>
  </sheets>
  <definedNames>
    <definedName name="_xlnm._FilterDatabase" localSheetId="2" hidden="1">'Notas no movimento'!$G$1:$G$1</definedName>
    <definedName name="_xlnm.Print_Area" localSheetId="6">'Aluguel Guiche'!$A$1:$E$60</definedName>
    <definedName name="BDcb">#REF!</definedName>
    <definedName name="BDCLIENTES">'BD Clientes'!$A:$I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7933" i="5" l="1"/>
  <c r="F7933" i="5"/>
  <c r="E7842" i="5"/>
  <c r="F7842" i="5"/>
  <c r="E7740" i="5"/>
  <c r="F7740" i="5"/>
  <c r="E7589" i="5"/>
  <c r="F7589" i="5"/>
  <c r="E7179" i="5"/>
  <c r="F7179" i="5"/>
  <c r="F6500" i="5"/>
  <c r="E6500" i="5" s="1"/>
  <c r="E7828" i="5"/>
  <c r="F7828" i="5"/>
  <c r="E7719" i="5"/>
  <c r="F7719" i="5"/>
  <c r="E7508" i="5"/>
  <c r="F7508" i="5"/>
  <c r="E7090" i="5"/>
  <c r="F7090" i="5"/>
  <c r="F6344" i="5"/>
  <c r="E6344" i="5" s="1"/>
  <c r="E7726" i="5"/>
  <c r="F7726" i="5"/>
  <c r="E7521" i="5"/>
  <c r="F7521" i="5"/>
  <c r="E7062" i="5"/>
  <c r="F7062" i="5"/>
  <c r="F6199" i="5"/>
  <c r="E6199" i="5" s="1"/>
  <c r="E7635" i="5"/>
  <c r="F7635" i="5"/>
  <c r="E7545" i="5"/>
  <c r="F7545" i="5"/>
  <c r="E7150" i="5"/>
  <c r="F7150" i="5"/>
  <c r="F6499" i="5"/>
  <c r="E6499" i="5" s="1"/>
  <c r="E7743" i="5"/>
  <c r="F7743" i="5"/>
  <c r="E7598" i="5"/>
  <c r="F7598" i="5"/>
  <c r="E7203" i="5"/>
  <c r="F7203" i="5"/>
  <c r="F6562" i="5"/>
  <c r="E6562" i="5" s="1"/>
  <c r="E7736" i="5"/>
  <c r="F7736" i="5"/>
  <c r="E7572" i="5"/>
  <c r="F7572" i="5"/>
  <c r="E7202" i="5"/>
  <c r="F7202" i="5"/>
  <c r="F6442" i="5"/>
  <c r="E6442" i="5" s="1"/>
  <c r="E7597" i="5"/>
  <c r="F7597" i="5"/>
  <c r="E7201" i="5"/>
  <c r="F7201" i="5"/>
  <c r="F6514" i="5"/>
  <c r="E6514" i="5" s="1"/>
  <c r="E7200" i="5"/>
  <c r="F7200" i="5"/>
  <c r="E6899" i="5"/>
  <c r="F6899" i="5"/>
  <c r="F6513" i="5"/>
  <c r="E6513" i="5" s="1"/>
  <c r="E7571" i="5"/>
  <c r="F7571" i="5"/>
  <c r="E7163" i="5"/>
  <c r="F7163" i="5"/>
  <c r="F6441" i="5"/>
  <c r="E6441" i="5" s="1"/>
  <c r="E7570" i="5"/>
  <c r="F7570" i="5"/>
  <c r="E7149" i="5"/>
  <c r="F7149" i="5"/>
  <c r="F6395" i="5"/>
  <c r="E6395" i="5" s="1"/>
  <c r="E6751" i="5"/>
  <c r="F6751" i="5"/>
  <c r="E6561" i="5"/>
  <c r="F6561" i="5"/>
  <c r="F6311" i="5"/>
  <c r="E6311" i="5" s="1"/>
  <c r="E7544" i="5"/>
  <c r="F7544" i="5"/>
  <c r="E7148" i="5"/>
  <c r="F7148" i="5"/>
  <c r="F6498" i="5"/>
  <c r="E6498" i="5" s="1"/>
  <c r="E7588" i="5"/>
  <c r="F7588" i="5"/>
  <c r="E7178" i="5"/>
  <c r="F7178" i="5"/>
  <c r="F6497" i="5"/>
  <c r="E6497" i="5" s="1"/>
  <c r="E7569" i="5"/>
  <c r="F7569" i="5"/>
  <c r="E7147" i="5"/>
  <c r="F7147" i="5"/>
  <c r="F6496" i="5"/>
  <c r="E6496" i="5" s="1"/>
  <c r="E7603" i="5"/>
  <c r="F7603" i="5"/>
  <c r="E7214" i="5"/>
  <c r="F7214" i="5"/>
  <c r="F6529" i="5"/>
  <c r="E6529" i="5" s="1"/>
  <c r="E7568" i="5"/>
  <c r="F7568" i="5"/>
  <c r="E7162" i="5"/>
  <c r="F7162" i="5"/>
  <c r="F6440" i="5"/>
  <c r="E6440" i="5" s="1"/>
  <c r="E7611" i="5"/>
  <c r="F7611" i="5"/>
  <c r="E7247" i="5"/>
  <c r="F7247" i="5"/>
  <c r="F6625" i="5"/>
  <c r="E6625" i="5" s="1"/>
  <c r="E7497" i="5"/>
  <c r="F7497" i="5"/>
  <c r="E7061" i="5"/>
  <c r="F7061" i="5"/>
  <c r="F6310" i="5"/>
  <c r="E6310" i="5" s="1"/>
  <c r="E7610" i="5"/>
  <c r="F7610" i="5"/>
  <c r="E7238" i="5"/>
  <c r="F7238" i="5"/>
  <c r="F6560" i="5"/>
  <c r="E6560" i="5" s="1"/>
  <c r="E7607" i="5"/>
  <c r="F7607" i="5"/>
  <c r="E7213" i="5"/>
  <c r="F7213" i="5"/>
  <c r="F6624" i="5"/>
  <c r="E6624" i="5" s="1"/>
  <c r="E7520" i="5"/>
  <c r="F7520" i="5"/>
  <c r="E7060" i="5"/>
  <c r="F7060" i="5"/>
  <c r="F6309" i="5"/>
  <c r="E6309" i="5" s="1"/>
  <c r="E7596" i="5"/>
  <c r="F7596" i="5"/>
  <c r="E7199" i="5"/>
  <c r="F7199" i="5"/>
  <c r="F6512" i="5"/>
  <c r="E6512" i="5" s="1"/>
  <c r="E7198" i="5"/>
  <c r="F7198" i="5"/>
  <c r="E6898" i="5"/>
  <c r="F6898" i="5"/>
  <c r="F6511" i="5"/>
  <c r="E6511" i="5" s="1"/>
  <c r="E7602" i="5"/>
  <c r="F7602" i="5"/>
  <c r="E7212" i="5"/>
  <c r="F7212" i="5"/>
  <c r="F6510" i="5"/>
  <c r="E6510" i="5" s="1"/>
  <c r="E7587" i="5"/>
  <c r="F7587" i="5"/>
  <c r="E7177" i="5"/>
  <c r="F7177" i="5"/>
  <c r="F6495" i="5"/>
  <c r="E6495" i="5" s="1"/>
  <c r="E7507" i="5"/>
  <c r="F7507" i="5"/>
  <c r="E7089" i="5"/>
  <c r="F7089" i="5"/>
  <c r="F6343" i="5"/>
  <c r="E6343" i="5" s="1"/>
  <c r="E7478" i="5"/>
  <c r="F7478" i="5"/>
  <c r="E7025" i="5"/>
  <c r="F7025" i="5"/>
  <c r="F6198" i="5"/>
  <c r="E6198" i="5" s="1"/>
  <c r="E7606" i="5"/>
  <c r="F7606" i="5"/>
  <c r="E7211" i="5"/>
  <c r="F7211" i="5"/>
  <c r="F6559" i="5"/>
  <c r="E6559" i="5" s="1"/>
  <c r="E7197" i="5"/>
  <c r="F7197" i="5"/>
  <c r="F6558" i="5"/>
  <c r="E6558" i="5" s="1"/>
  <c r="E6944" i="5"/>
  <c r="F6944" i="5"/>
  <c r="F6061" i="5"/>
  <c r="E6061" i="5" s="1"/>
  <c r="E6623" i="5"/>
  <c r="F6623" i="5"/>
  <c r="F6394" i="5"/>
  <c r="E6394" i="5" s="1"/>
  <c r="E7246" i="5"/>
  <c r="F7246" i="5"/>
  <c r="F6622" i="5"/>
  <c r="E6622" i="5" s="1"/>
  <c r="E6557" i="5"/>
  <c r="F6557" i="5"/>
  <c r="F6308" i="5"/>
  <c r="E6308" i="5" s="1"/>
  <c r="E7161" i="5"/>
  <c r="F7161" i="5"/>
  <c r="F6439" i="5"/>
  <c r="E6439" i="5" s="1"/>
  <c r="E7264" i="5"/>
  <c r="F7264" i="5"/>
  <c r="F6621" i="5"/>
  <c r="E6621" i="5" s="1"/>
  <c r="E7024" i="5"/>
  <c r="F7024" i="5"/>
  <c r="F6135" i="5"/>
  <c r="E6135" i="5" s="1"/>
  <c r="F6213" i="5"/>
  <c r="E6213" i="5" s="1"/>
  <c r="F6250" i="5"/>
  <c r="E6250" i="5" s="1"/>
  <c r="F6494" i="5"/>
  <c r="E6494" i="5" s="1"/>
  <c r="F6556" i="5"/>
  <c r="E6556" i="5" s="1"/>
  <c r="F6620" i="5"/>
  <c r="E6620" i="5" s="1"/>
  <c r="F6528" i="5"/>
  <c r="E6528" i="5" s="1"/>
  <c r="F6509" i="5"/>
  <c r="E6509" i="5" s="1"/>
  <c r="F6508" i="5"/>
  <c r="E6508" i="5" s="1"/>
  <c r="F6307" i="5"/>
  <c r="E6307" i="5" s="1"/>
  <c r="F6493" i="5"/>
  <c r="E6493" i="5" s="1"/>
  <c r="F6306" i="5"/>
  <c r="E6306" i="5" s="1"/>
  <c r="F6438" i="5"/>
  <c r="E6438" i="5" s="1"/>
  <c r="F6393" i="5"/>
  <c r="E6393" i="5" s="1"/>
  <c r="F6392" i="5"/>
  <c r="E6392" i="5" s="1"/>
  <c r="F6391" i="5"/>
  <c r="E6391" i="5" s="1"/>
  <c r="F6305" i="5"/>
  <c r="E6305" i="5" s="1"/>
  <c r="F6492" i="5"/>
  <c r="E6492" i="5" s="1"/>
  <c r="F6491" i="5"/>
  <c r="E6491" i="5" s="1"/>
  <c r="F6212" i="5"/>
  <c r="E6212" i="5" s="1"/>
  <c r="F6555" i="5"/>
  <c r="E6555" i="5" s="1"/>
  <c r="E6750" i="5"/>
  <c r="F6750" i="5"/>
  <c r="E6304" i="5"/>
  <c r="F6304" i="5"/>
  <c r="F10182" i="5"/>
  <c r="E10182" i="5" s="1"/>
  <c r="E7371" i="5"/>
  <c r="F7371" i="5"/>
  <c r="E6943" i="5"/>
  <c r="F6943" i="5"/>
  <c r="F10179" i="5"/>
  <c r="E10179" i="5" s="1"/>
  <c r="E6490" i="5"/>
  <c r="F6490" i="5"/>
  <c r="F10177" i="5"/>
  <c r="E10177" i="5" s="1"/>
  <c r="F5967" i="5"/>
  <c r="E5967" i="5" s="1"/>
  <c r="F10175" i="5"/>
  <c r="E10175" i="5" s="1"/>
  <c r="F10174" i="5"/>
  <c r="E10174" i="5" s="1"/>
  <c r="F6060" i="5"/>
  <c r="E6060" i="5" s="1"/>
  <c r="F6942" i="5"/>
  <c r="E6942" i="5" s="1"/>
  <c r="E6941" i="5"/>
  <c r="F6941" i="5"/>
  <c r="F6619" i="5"/>
  <c r="E6619" i="5" s="1"/>
  <c r="E6940" i="5"/>
  <c r="F6940" i="5"/>
  <c r="F6618" i="5"/>
  <c r="E6618" i="5" s="1"/>
  <c r="F6059" i="5"/>
  <c r="E6059" i="5" s="1"/>
  <c r="F6097" i="5"/>
  <c r="E6097" i="5" s="1"/>
  <c r="E7944" i="5"/>
  <c r="F7944" i="5"/>
  <c r="E7855" i="5"/>
  <c r="F7855" i="5"/>
  <c r="E7755" i="5"/>
  <c r="F7755" i="5"/>
  <c r="E7620" i="5"/>
  <c r="F7620" i="5"/>
  <c r="E7263" i="5"/>
  <c r="F7263" i="5"/>
  <c r="F6650" i="5"/>
  <c r="E6650" i="5" s="1"/>
  <c r="E7935" i="5"/>
  <c r="F7935" i="5"/>
  <c r="E7844" i="5"/>
  <c r="F7844" i="5"/>
  <c r="E7742" i="5"/>
  <c r="F7742" i="5"/>
  <c r="E7595" i="5"/>
  <c r="F7595" i="5"/>
  <c r="E7196" i="5"/>
  <c r="F7196" i="5"/>
  <c r="F6507" i="5"/>
  <c r="E6507" i="5" s="1"/>
  <c r="E7949" i="5"/>
  <c r="F7949" i="5"/>
  <c r="E7867" i="5"/>
  <c r="F7867" i="5"/>
  <c r="E7768" i="5"/>
  <c r="F7768" i="5"/>
  <c r="E7646" i="5"/>
  <c r="F7646" i="5"/>
  <c r="E7335" i="5"/>
  <c r="F7335" i="5"/>
  <c r="F6779" i="5"/>
  <c r="E6779" i="5" s="1"/>
  <c r="E7733" i="5"/>
  <c r="F7733" i="5"/>
  <c r="E7554" i="5"/>
  <c r="F7554" i="5"/>
  <c r="E7146" i="5"/>
  <c r="F7146" i="5"/>
  <c r="F6390" i="5"/>
  <c r="E6390" i="5" s="1"/>
  <c r="E7732" i="5"/>
  <c r="F7732" i="5"/>
  <c r="E7553" i="5"/>
  <c r="F7553" i="5"/>
  <c r="E7145" i="5"/>
  <c r="F7145" i="5"/>
  <c r="F6389" i="5"/>
  <c r="E6389" i="5" s="1"/>
  <c r="E7731" i="5"/>
  <c r="F7731" i="5"/>
  <c r="E7552" i="5"/>
  <c r="F7552" i="5"/>
  <c r="E7144" i="5"/>
  <c r="F7144" i="5"/>
  <c r="F6388" i="5"/>
  <c r="E6388" i="5" s="1"/>
  <c r="E7730" i="5"/>
  <c r="F7730" i="5"/>
  <c r="E7551" i="5"/>
  <c r="F7551" i="5"/>
  <c r="E7143" i="5"/>
  <c r="F7143" i="5"/>
  <c r="F6387" i="5"/>
  <c r="E6387" i="5" s="1"/>
  <c r="E7735" i="5"/>
  <c r="F7735" i="5"/>
  <c r="E7567" i="5"/>
  <c r="F7567" i="5"/>
  <c r="E7195" i="5"/>
  <c r="F7195" i="5"/>
  <c r="F6437" i="5"/>
  <c r="E6437" i="5" s="1"/>
  <c r="E7720" i="5"/>
  <c r="F7720" i="5"/>
  <c r="E7519" i="5"/>
  <c r="F7519" i="5"/>
  <c r="E7109" i="5"/>
  <c r="F7109" i="5"/>
  <c r="F6386" i="5"/>
  <c r="E6386" i="5" s="1"/>
  <c r="E7480" i="5"/>
  <c r="F7480" i="5"/>
  <c r="E7176" i="5"/>
  <c r="F7176" i="5"/>
  <c r="E6749" i="5"/>
  <c r="F6749" i="5"/>
  <c r="F6096" i="5"/>
  <c r="E6096" i="5" s="1"/>
  <c r="E6778" i="5"/>
  <c r="F6778" i="5"/>
  <c r="E6587" i="5"/>
  <c r="F6587" i="5"/>
  <c r="F6342" i="5"/>
  <c r="E6342" i="5" s="1"/>
  <c r="E6841" i="5"/>
  <c r="F6841" i="5"/>
  <c r="E6668" i="5"/>
  <c r="F6668" i="5"/>
  <c r="F6489" i="5"/>
  <c r="E6489" i="5" s="1"/>
  <c r="E7444" i="5"/>
  <c r="F7444" i="5"/>
  <c r="E6998" i="5"/>
  <c r="F6998" i="5"/>
  <c r="F6134" i="5"/>
  <c r="E6134" i="5" s="1"/>
  <c r="E7586" i="5"/>
  <c r="F7586" i="5"/>
  <c r="E7194" i="5"/>
  <c r="F7194" i="5"/>
  <c r="F6488" i="5"/>
  <c r="E6488" i="5" s="1"/>
  <c r="E7585" i="5"/>
  <c r="F7585" i="5"/>
  <c r="E7193" i="5"/>
  <c r="F7193" i="5"/>
  <c r="F6487" i="5"/>
  <c r="E6487" i="5" s="1"/>
  <c r="E7594" i="5"/>
  <c r="F7594" i="5"/>
  <c r="E7192" i="5"/>
  <c r="F7192" i="5"/>
  <c r="F6554" i="5"/>
  <c r="E6554" i="5" s="1"/>
  <c r="E7566" i="5"/>
  <c r="F7566" i="5"/>
  <c r="E7191" i="5"/>
  <c r="F7191" i="5"/>
  <c r="F6436" i="5"/>
  <c r="E6436" i="5" s="1"/>
  <c r="E7705" i="5"/>
  <c r="F7705" i="5"/>
  <c r="E7443" i="5"/>
  <c r="F7443" i="5"/>
  <c r="F6897" i="5"/>
  <c r="E6897" i="5" s="1"/>
  <c r="E7565" i="5"/>
  <c r="F7565" i="5"/>
  <c r="E7160" i="5"/>
  <c r="F7160" i="5"/>
  <c r="F6435" i="5"/>
  <c r="E6435" i="5" s="1"/>
  <c r="E7535" i="5"/>
  <c r="F7535" i="5"/>
  <c r="E7088" i="5"/>
  <c r="F7088" i="5"/>
  <c r="F6303" i="5"/>
  <c r="E6303" i="5" s="1"/>
  <c r="E7534" i="5"/>
  <c r="F7534" i="5"/>
  <c r="E7087" i="5"/>
  <c r="F7087" i="5"/>
  <c r="F6302" i="5"/>
  <c r="E6302" i="5" s="1"/>
  <c r="E7564" i="5"/>
  <c r="F7564" i="5"/>
  <c r="E7142" i="5"/>
  <c r="F7142" i="5"/>
  <c r="F6385" i="5"/>
  <c r="E6385" i="5" s="1"/>
  <c r="E7563" i="5"/>
  <c r="F7563" i="5"/>
  <c r="E7141" i="5"/>
  <c r="F7141" i="5"/>
  <c r="F6384" i="5"/>
  <c r="E6384" i="5" s="1"/>
  <c r="E7533" i="5"/>
  <c r="F7533" i="5"/>
  <c r="E7086" i="5"/>
  <c r="F7086" i="5"/>
  <c r="F6301" i="5"/>
  <c r="E6301" i="5" s="1"/>
  <c r="E7550" i="5"/>
  <c r="F7550" i="5"/>
  <c r="E7140" i="5"/>
  <c r="F7140" i="5"/>
  <c r="F6383" i="5"/>
  <c r="E6383" i="5" s="1"/>
  <c r="E7532" i="5"/>
  <c r="F7532" i="5"/>
  <c r="E7085" i="5"/>
  <c r="F7085" i="5"/>
  <c r="F6249" i="5"/>
  <c r="E6249" i="5" s="1"/>
  <c r="E7562" i="5"/>
  <c r="F7562" i="5"/>
  <c r="E7159" i="5"/>
  <c r="F7159" i="5"/>
  <c r="F6434" i="5"/>
  <c r="E6434" i="5" s="1"/>
  <c r="E7506" i="5"/>
  <c r="F7506" i="5"/>
  <c r="E7084" i="5"/>
  <c r="F7084" i="5"/>
  <c r="F6341" i="5"/>
  <c r="E6341" i="5" s="1"/>
  <c r="E7584" i="5"/>
  <c r="F7584" i="5"/>
  <c r="E7190" i="5"/>
  <c r="F7190" i="5"/>
  <c r="F6486" i="5"/>
  <c r="E6486" i="5" s="1"/>
  <c r="E7583" i="5"/>
  <c r="F7583" i="5"/>
  <c r="E7189" i="5"/>
  <c r="F7189" i="5"/>
  <c r="F6485" i="5"/>
  <c r="E6485" i="5" s="1"/>
  <c r="E7496" i="5"/>
  <c r="F7496" i="5"/>
  <c r="E7059" i="5"/>
  <c r="F7059" i="5"/>
  <c r="F6300" i="5"/>
  <c r="E6300" i="5" s="1"/>
  <c r="E7561" i="5"/>
  <c r="F7561" i="5"/>
  <c r="E7126" i="5"/>
  <c r="F7126" i="5"/>
  <c r="F6299" i="5"/>
  <c r="E6299" i="5" s="1"/>
  <c r="E7477" i="5"/>
  <c r="F7477" i="5"/>
  <c r="E7023" i="5"/>
  <c r="F7023" i="5"/>
  <c r="F6197" i="5"/>
  <c r="E6197" i="5" s="1"/>
  <c r="E7531" i="5"/>
  <c r="F7531" i="5"/>
  <c r="E7083" i="5"/>
  <c r="F7083" i="5"/>
  <c r="F6248" i="5"/>
  <c r="E6248" i="5" s="1"/>
  <c r="E7518" i="5"/>
  <c r="F7518" i="5"/>
  <c r="E7108" i="5"/>
  <c r="F7108" i="5"/>
  <c r="F6382" i="5"/>
  <c r="E6382" i="5" s="1"/>
  <c r="E7517" i="5"/>
  <c r="F7517" i="5"/>
  <c r="E7107" i="5"/>
  <c r="F7107" i="5"/>
  <c r="F6381" i="5"/>
  <c r="E6381" i="5" s="1"/>
  <c r="E7560" i="5"/>
  <c r="F7560" i="5"/>
  <c r="E7158" i="5"/>
  <c r="F7158" i="5"/>
  <c r="F6433" i="5"/>
  <c r="E6433" i="5" s="1"/>
  <c r="E7582" i="5"/>
  <c r="F7582" i="5"/>
  <c r="E7175" i="5"/>
  <c r="F7175" i="5"/>
  <c r="F6484" i="5"/>
  <c r="E6484" i="5" s="1"/>
  <c r="E7530" i="5"/>
  <c r="F7530" i="5"/>
  <c r="E7058" i="5"/>
  <c r="F7058" i="5"/>
  <c r="F6298" i="5"/>
  <c r="E6298" i="5" s="1"/>
  <c r="E7549" i="5"/>
  <c r="F7549" i="5"/>
  <c r="E7139" i="5"/>
  <c r="F7139" i="5"/>
  <c r="F6380" i="5"/>
  <c r="E6380" i="5" s="1"/>
  <c r="E7495" i="5"/>
  <c r="F7495" i="5"/>
  <c r="E7033" i="5"/>
  <c r="F7033" i="5"/>
  <c r="F6172" i="5"/>
  <c r="E6172" i="5" s="1"/>
  <c r="E7466" i="5"/>
  <c r="F7466" i="5"/>
  <c r="E7012" i="5"/>
  <c r="F7012" i="5"/>
  <c r="F6171" i="5"/>
  <c r="E6171" i="5" s="1"/>
  <c r="E7516" i="5"/>
  <c r="F7516" i="5"/>
  <c r="E7106" i="5"/>
  <c r="F7106" i="5"/>
  <c r="F6379" i="5"/>
  <c r="E6379" i="5" s="1"/>
  <c r="E7505" i="5"/>
  <c r="F7505" i="5"/>
  <c r="F7082" i="5"/>
  <c r="E7082" i="5" s="1"/>
  <c r="F7081" i="5"/>
  <c r="E7081" i="5" s="1"/>
  <c r="E7174" i="5"/>
  <c r="F7174" i="5"/>
  <c r="E6883" i="5"/>
  <c r="F6883" i="5"/>
  <c r="F6506" i="5"/>
  <c r="E6506" i="5" s="1"/>
  <c r="E7188" i="5"/>
  <c r="F7188" i="5"/>
  <c r="F6432" i="5"/>
  <c r="E6432" i="5" s="1"/>
  <c r="E7157" i="5"/>
  <c r="F7157" i="5"/>
  <c r="F6431" i="5"/>
  <c r="E6431" i="5" s="1"/>
  <c r="E7080" i="5"/>
  <c r="F7080" i="5"/>
  <c r="F6247" i="5"/>
  <c r="E6247" i="5" s="1"/>
  <c r="E6939" i="5"/>
  <c r="F6939" i="5"/>
  <c r="F5966" i="5"/>
  <c r="E5966" i="5" s="1"/>
  <c r="E7105" i="5"/>
  <c r="F7105" i="5"/>
  <c r="F6378" i="5"/>
  <c r="E6378" i="5" s="1"/>
  <c r="E7187" i="5"/>
  <c r="F7187" i="5"/>
  <c r="F6483" i="5"/>
  <c r="E6483" i="5" s="1"/>
  <c r="F6058" i="5"/>
  <c r="E6058" i="5" s="1"/>
  <c r="F6196" i="5"/>
  <c r="E6196" i="5" s="1"/>
  <c r="F6195" i="5"/>
  <c r="E6195" i="5" s="1"/>
  <c r="E5998" i="5"/>
  <c r="F5998" i="5"/>
  <c r="F5997" i="5"/>
  <c r="E5997" i="5" s="1"/>
  <c r="F6430" i="5"/>
  <c r="E6430" i="5" s="1"/>
  <c r="F6246" i="5"/>
  <c r="E6246" i="5" s="1"/>
  <c r="F6297" i="5"/>
  <c r="E6297" i="5" s="1"/>
  <c r="F6340" i="5"/>
  <c r="E6340" i="5" s="1"/>
  <c r="F6296" i="5"/>
  <c r="E6296" i="5" s="1"/>
  <c r="F6133" i="5"/>
  <c r="E6133" i="5" s="1"/>
  <c r="F6194" i="5"/>
  <c r="E6194" i="5" s="1"/>
  <c r="F6377" i="5"/>
  <c r="E6377" i="5" s="1"/>
  <c r="F6376" i="5"/>
  <c r="E6376" i="5" s="1"/>
  <c r="F6375" i="5"/>
  <c r="E6375" i="5" s="1"/>
  <c r="F6374" i="5"/>
  <c r="E6374" i="5" s="1"/>
  <c r="F6295" i="5"/>
  <c r="E6295" i="5" s="1"/>
  <c r="F6373" i="5"/>
  <c r="E6373" i="5" s="1"/>
  <c r="F6245" i="5"/>
  <c r="E6245" i="5" s="1"/>
  <c r="F5902" i="5"/>
  <c r="E5902" i="5" s="1"/>
  <c r="F5591" i="5"/>
  <c r="E5591" i="5" s="1"/>
  <c r="F5728" i="5"/>
  <c r="E5728" i="5" s="1"/>
  <c r="E7237" i="5"/>
  <c r="F7237" i="5"/>
  <c r="E7011" i="5"/>
  <c r="F7011" i="5"/>
  <c r="E6649" i="5"/>
  <c r="F6649" i="5"/>
  <c r="F6170" i="5"/>
  <c r="E6170" i="5" s="1"/>
  <c r="E7300" i="5"/>
  <c r="F7300" i="5"/>
  <c r="E7079" i="5"/>
  <c r="F7079" i="5"/>
  <c r="E6777" i="5"/>
  <c r="F6777" i="5"/>
  <c r="F6339" i="5"/>
  <c r="E6339" i="5" s="1"/>
  <c r="E7529" i="5"/>
  <c r="F7529" i="5"/>
  <c r="E7078" i="5"/>
  <c r="F7078" i="5"/>
  <c r="F6244" i="5"/>
  <c r="E6244" i="5" s="1"/>
  <c r="E7528" i="5"/>
  <c r="F7528" i="5"/>
  <c r="E7077" i="5"/>
  <c r="F7077" i="5"/>
  <c r="F6243" i="5"/>
  <c r="E6243" i="5" s="1"/>
  <c r="E7527" i="5"/>
  <c r="F7527" i="5"/>
  <c r="E7076" i="5"/>
  <c r="F7076" i="5"/>
  <c r="F6242" i="5"/>
  <c r="E6242" i="5" s="1"/>
  <c r="E7075" i="5"/>
  <c r="F7075" i="5"/>
  <c r="E6776" i="5"/>
  <c r="F6776" i="5"/>
  <c r="F6338" i="5"/>
  <c r="E6338" i="5" s="1"/>
  <c r="E7504" i="5"/>
  <c r="F7504" i="5"/>
  <c r="E7074" i="5"/>
  <c r="F7074" i="5"/>
  <c r="F6337" i="5"/>
  <c r="E6337" i="5" s="1"/>
  <c r="E7559" i="5"/>
  <c r="F7559" i="5"/>
  <c r="E7138" i="5"/>
  <c r="F7138" i="5"/>
  <c r="F6482" i="5"/>
  <c r="E6482" i="5" s="1"/>
  <c r="E7581" i="5"/>
  <c r="F7581" i="5"/>
  <c r="E7173" i="5"/>
  <c r="F7173" i="5"/>
  <c r="F6481" i="5"/>
  <c r="E6481" i="5" s="1"/>
  <c r="E7558" i="5"/>
  <c r="F7558" i="5"/>
  <c r="E7137" i="5"/>
  <c r="F7137" i="5"/>
  <c r="F6480" i="5"/>
  <c r="E6480" i="5" s="1"/>
  <c r="E7580" i="5"/>
  <c r="F7580" i="5"/>
  <c r="E7172" i="5"/>
  <c r="F7172" i="5"/>
  <c r="F6479" i="5"/>
  <c r="E6479" i="5" s="1"/>
  <c r="E7579" i="5"/>
  <c r="F7579" i="5"/>
  <c r="E7186" i="5"/>
  <c r="F7186" i="5"/>
  <c r="F6478" i="5"/>
  <c r="E6478" i="5" s="1"/>
  <c r="E7593" i="5"/>
  <c r="F7593" i="5"/>
  <c r="E7185" i="5"/>
  <c r="F7185" i="5"/>
  <c r="F6505" i="5"/>
  <c r="E6505" i="5" s="1"/>
  <c r="E7557" i="5"/>
  <c r="F7557" i="5"/>
  <c r="E7156" i="5"/>
  <c r="F7156" i="5"/>
  <c r="F6429" i="5"/>
  <c r="E6429" i="5" s="1"/>
  <c r="E7073" i="5"/>
  <c r="F7073" i="5"/>
  <c r="F6241" i="5"/>
  <c r="E6241" i="5" s="1"/>
  <c r="E6796" i="5"/>
  <c r="F6796" i="5"/>
  <c r="F6372" i="5"/>
  <c r="E6372" i="5" s="1"/>
  <c r="F6477" i="5"/>
  <c r="E6477" i="5" s="1"/>
  <c r="F6294" i="5"/>
  <c r="E6294" i="5" s="1"/>
  <c r="F6057" i="5"/>
  <c r="E6057" i="5" s="1"/>
  <c r="F6240" i="5"/>
  <c r="E6240" i="5" s="1"/>
  <c r="F6239" i="5"/>
  <c r="E6239" i="5" s="1"/>
  <c r="F6371" i="5"/>
  <c r="E6371" i="5" s="1"/>
  <c r="F6370" i="5"/>
  <c r="E6370" i="5" s="1"/>
  <c r="F6293" i="5"/>
  <c r="E6293" i="5" s="1"/>
  <c r="F7072" i="5"/>
  <c r="E7072" i="5" s="1"/>
  <c r="F7543" i="5"/>
  <c r="E7543" i="5" s="1"/>
  <c r="E6797" i="5"/>
  <c r="F6797" i="5"/>
  <c r="F6397" i="5"/>
  <c r="E6397" i="5" s="1"/>
  <c r="F5841" i="5"/>
  <c r="E5841" i="5" s="1"/>
  <c r="F5843" i="5"/>
  <c r="E5843" i="5" s="1"/>
  <c r="F5842" i="5"/>
  <c r="E5842" i="5" s="1"/>
  <c r="F5900" i="5"/>
  <c r="E5900" i="5" s="1"/>
  <c r="F5901" i="5"/>
  <c r="E5901" i="5" s="1"/>
  <c r="F5819" i="5"/>
  <c r="E5819" i="5" s="1"/>
  <c r="F5851" i="5"/>
  <c r="E5851" i="5" s="1"/>
  <c r="F5812" i="5"/>
  <c r="E5812" i="5" s="1"/>
  <c r="F5834" i="5"/>
  <c r="E5834" i="5" s="1"/>
  <c r="F5847" i="5"/>
  <c r="E5847" i="5" s="1"/>
  <c r="F5640" i="5"/>
  <c r="E5640" i="5" s="1"/>
  <c r="E7931" i="5"/>
  <c r="F7931" i="5"/>
  <c r="E7840" i="5"/>
  <c r="F7840" i="5"/>
  <c r="E7738" i="5"/>
  <c r="F7738" i="5"/>
  <c r="E7574" i="5"/>
  <c r="F7574" i="5"/>
  <c r="E7167" i="5"/>
  <c r="F7167" i="5"/>
  <c r="F6461" i="5"/>
  <c r="E6461" i="5" s="1"/>
  <c r="E7943" i="5"/>
  <c r="F7943" i="5"/>
  <c r="E7854" i="5"/>
  <c r="F7854" i="5"/>
  <c r="E7754" i="5"/>
  <c r="F7754" i="5"/>
  <c r="E7616" i="5"/>
  <c r="F7616" i="5"/>
  <c r="E7257" i="5"/>
  <c r="F7257" i="5"/>
  <c r="F6637" i="5"/>
  <c r="E6637" i="5" s="1"/>
  <c r="E7924" i="5"/>
  <c r="F7924" i="5"/>
  <c r="E7833" i="5"/>
  <c r="F7833" i="5"/>
  <c r="E7724" i="5"/>
  <c r="F7724" i="5"/>
  <c r="E7512" i="5"/>
  <c r="F7512" i="5"/>
  <c r="E7046" i="5"/>
  <c r="F7046" i="5"/>
  <c r="F6206" i="5"/>
  <c r="E6206" i="5" s="1"/>
  <c r="E6211" i="5"/>
  <c r="F6211" i="5"/>
  <c r="E7514" i="5"/>
  <c r="F7514" i="5"/>
  <c r="F7056" i="5"/>
  <c r="E7056" i="5" s="1"/>
  <c r="E6799" i="5"/>
  <c r="F6799" i="5"/>
  <c r="E7348" i="5"/>
  <c r="F7348" i="5"/>
  <c r="F5740" i="5"/>
  <c r="E5740" i="5" s="1"/>
  <c r="E7048" i="5"/>
  <c r="F7048" i="5"/>
  <c r="E6720" i="5"/>
  <c r="F6720" i="5"/>
  <c r="F6267" i="5"/>
  <c r="E6267" i="5" s="1"/>
  <c r="E7492" i="5"/>
  <c r="F7492" i="5"/>
  <c r="E7051" i="5"/>
  <c r="F7051" i="5"/>
  <c r="F6276" i="5"/>
  <c r="E6276" i="5" s="1"/>
  <c r="E7523" i="5"/>
  <c r="F7523" i="5"/>
  <c r="E7064" i="5"/>
  <c r="F7064" i="5"/>
  <c r="F6228" i="5"/>
  <c r="E6228" i="5" s="1"/>
  <c r="E7536" i="5"/>
  <c r="F7536" i="5"/>
  <c r="E7093" i="5"/>
  <c r="F7093" i="5"/>
  <c r="F6254" i="5"/>
  <c r="E6254" i="5" s="1"/>
  <c r="E6945" i="5"/>
  <c r="F6945" i="5"/>
  <c r="E6064" i="5"/>
  <c r="F6064" i="5"/>
  <c r="F5586" i="5"/>
  <c r="E5586" i="5" s="1"/>
  <c r="E7044" i="5"/>
  <c r="F7044" i="5"/>
  <c r="E6698" i="5"/>
  <c r="F6698" i="5"/>
  <c r="F6251" i="5"/>
  <c r="E6251" i="5" s="1"/>
  <c r="E7493" i="5"/>
  <c r="F7493" i="5"/>
  <c r="E7052" i="5"/>
  <c r="F7052" i="5"/>
  <c r="F6277" i="5"/>
  <c r="E6277" i="5" s="1"/>
  <c r="E7548" i="5"/>
  <c r="F7548" i="5"/>
  <c r="E7130" i="5"/>
  <c r="F7130" i="5"/>
  <c r="F6360" i="5"/>
  <c r="E6360" i="5" s="1"/>
  <c r="E6662" i="5"/>
  <c r="F6662" i="5"/>
  <c r="E6466" i="5"/>
  <c r="F6466" i="5"/>
  <c r="F6189" i="5"/>
  <c r="E6189" i="5" s="1"/>
  <c r="E7525" i="5"/>
  <c r="F7525" i="5"/>
  <c r="E7070" i="5"/>
  <c r="F7070" i="5"/>
  <c r="F6236" i="5"/>
  <c r="E6236" i="5" s="1"/>
  <c r="E7526" i="5"/>
  <c r="F7526" i="5"/>
  <c r="E7071" i="5"/>
  <c r="F7071" i="5"/>
  <c r="F6238" i="5"/>
  <c r="E6238" i="5" s="1"/>
  <c r="E7234" i="5"/>
  <c r="F7234" i="5"/>
  <c r="E6812" i="5"/>
  <c r="F6812" i="5"/>
  <c r="F6162" i="5"/>
  <c r="E6162" i="5" s="1"/>
  <c r="E7539" i="5"/>
  <c r="F7539" i="5"/>
  <c r="E7097" i="5"/>
  <c r="F7097" i="5"/>
  <c r="F6268" i="5"/>
  <c r="E6268" i="5" s="1"/>
  <c r="E7538" i="5"/>
  <c r="F7538" i="5"/>
  <c r="E7096" i="5"/>
  <c r="F7096" i="5"/>
  <c r="F6264" i="5"/>
  <c r="E6264" i="5" s="1"/>
  <c r="E7513" i="5"/>
  <c r="F7513" i="5"/>
  <c r="E7047" i="5"/>
  <c r="F7047" i="5"/>
  <c r="F6265" i="5"/>
  <c r="E6265" i="5" s="1"/>
  <c r="E7522" i="5"/>
  <c r="F7522" i="5"/>
  <c r="E7063" i="5"/>
  <c r="F7063" i="5"/>
  <c r="F6270" i="5"/>
  <c r="E6270" i="5" s="1"/>
  <c r="E7053" i="5"/>
  <c r="F7053" i="5"/>
  <c r="F6282" i="5"/>
  <c r="E6282" i="5" s="1"/>
  <c r="E5733" i="5"/>
  <c r="F5733" i="5"/>
  <c r="F6068" i="5"/>
  <c r="E6068" i="5" s="1"/>
  <c r="E6630" i="5"/>
  <c r="F6630" i="5"/>
  <c r="F6144" i="5"/>
  <c r="E6144" i="5" s="1"/>
  <c r="E7133" i="5"/>
  <c r="F7133" i="5"/>
  <c r="F6367" i="5"/>
  <c r="E6367" i="5" s="1"/>
  <c r="E7054" i="5"/>
  <c r="F7054" i="5"/>
  <c r="F6283" i="5"/>
  <c r="E6283" i="5" s="1"/>
  <c r="E7129" i="5"/>
  <c r="F7129" i="5"/>
  <c r="F6356" i="5"/>
  <c r="E6356" i="5" s="1"/>
  <c r="E7042" i="5"/>
  <c r="F7042" i="5"/>
  <c r="F6185" i="5"/>
  <c r="E6185" i="5" s="1"/>
  <c r="E6531" i="5"/>
  <c r="F6531" i="5"/>
  <c r="F5734" i="5"/>
  <c r="E5734" i="5" s="1"/>
  <c r="E6532" i="5"/>
  <c r="F6532" i="5"/>
  <c r="F5735" i="5"/>
  <c r="E5735" i="5" s="1"/>
  <c r="E6533" i="5"/>
  <c r="F6533" i="5"/>
  <c r="F5736" i="5"/>
  <c r="E5736" i="5" s="1"/>
  <c r="E6534" i="5"/>
  <c r="F6534" i="5"/>
  <c r="F5737" i="5"/>
  <c r="E5737" i="5" s="1"/>
  <c r="E6404" i="5"/>
  <c r="F6404" i="5"/>
  <c r="F6143" i="5"/>
  <c r="E6143" i="5" s="1"/>
  <c r="F6174" i="5"/>
  <c r="E6174" i="5" s="1"/>
  <c r="F5909" i="5"/>
  <c r="E5909" i="5" s="1"/>
  <c r="F6119" i="5"/>
  <c r="E6119" i="5" s="1"/>
  <c r="F6257" i="5"/>
  <c r="E6257" i="5" s="1"/>
  <c r="F6154" i="5"/>
  <c r="E6154" i="5" s="1"/>
  <c r="F5720" i="5"/>
  <c r="E5720" i="5" s="1"/>
  <c r="F5775" i="5"/>
  <c r="E5775" i="5" s="1"/>
  <c r="F6366" i="5"/>
  <c r="E6366" i="5" s="1"/>
  <c r="F6151" i="5"/>
  <c r="E6151" i="5" s="1"/>
  <c r="F6231" i="5"/>
  <c r="E6231" i="5" s="1"/>
  <c r="F6258" i="5"/>
  <c r="E6258" i="5" s="1"/>
  <c r="F6450" i="5"/>
  <c r="E6450" i="5" s="1"/>
  <c r="F5585" i="5"/>
  <c r="E5585" i="5" s="1"/>
  <c r="F5590" i="5"/>
  <c r="E5590" i="5" s="1"/>
  <c r="F5589" i="5"/>
  <c r="E5589" i="5" s="1"/>
  <c r="F5588" i="5"/>
  <c r="E5588" i="5" s="1"/>
  <c r="F5587" i="5"/>
  <c r="E5587" i="5" s="1"/>
  <c r="F5584" i="5"/>
  <c r="E5584" i="5" s="1"/>
  <c r="E10304" i="5"/>
  <c r="F6252" i="5"/>
  <c r="E6252" i="5" s="1"/>
  <c r="F5718" i="5"/>
  <c r="E5718" i="5" s="1"/>
  <c r="F5770" i="5"/>
  <c r="E5770" i="5" s="1"/>
  <c r="F5776" i="5"/>
  <c r="E5776" i="5" s="1"/>
  <c r="E7067" i="5"/>
  <c r="F7067" i="5"/>
  <c r="E6232" i="5"/>
  <c r="F6232" i="5"/>
  <c r="F5405" i="5"/>
  <c r="E5405" i="5" s="1"/>
  <c r="E7575" i="5"/>
  <c r="F7575" i="5"/>
  <c r="E7396" i="5"/>
  <c r="F7396" i="5"/>
  <c r="E6967" i="5"/>
  <c r="F6967" i="5"/>
  <c r="F6089" i="5"/>
  <c r="E6089" i="5" s="1"/>
  <c r="E7337" i="5"/>
  <c r="F7337" i="5"/>
  <c r="E7027" i="5"/>
  <c r="F7027" i="5"/>
  <c r="E6518" i="5"/>
  <c r="F6518" i="5"/>
  <c r="F5648" i="5"/>
  <c r="E5648" i="5" s="1"/>
  <c r="E7576" i="5"/>
  <c r="F7576" i="5"/>
  <c r="E7397" i="5"/>
  <c r="F7397" i="5"/>
  <c r="E6968" i="5"/>
  <c r="F6968" i="5"/>
  <c r="F6090" i="5"/>
  <c r="E6090" i="5" s="1"/>
  <c r="E7577" i="5"/>
  <c r="F7577" i="5"/>
  <c r="E7398" i="5"/>
  <c r="F7398" i="5"/>
  <c r="E6969" i="5"/>
  <c r="F6969" i="5"/>
  <c r="F6091" i="5"/>
  <c r="E6091" i="5" s="1"/>
  <c r="E7488" i="5"/>
  <c r="F7488" i="5"/>
  <c r="E7026" i="5"/>
  <c r="F7026" i="5"/>
  <c r="F6136" i="5"/>
  <c r="E6136" i="5" s="1"/>
  <c r="E7491" i="5"/>
  <c r="F7491" i="5"/>
  <c r="E7031" i="5"/>
  <c r="F7031" i="5"/>
  <c r="F6157" i="5"/>
  <c r="E6157" i="5" s="1"/>
  <c r="E7462" i="5"/>
  <c r="F7462" i="5"/>
  <c r="E7010" i="5"/>
  <c r="F7010" i="5"/>
  <c r="F6169" i="5"/>
  <c r="E6169" i="5" s="1"/>
  <c r="E7502" i="5"/>
  <c r="F7502" i="5"/>
  <c r="E7040" i="5"/>
  <c r="F7040" i="5"/>
  <c r="F6183" i="5"/>
  <c r="E6183" i="5" s="1"/>
  <c r="E7503" i="5"/>
  <c r="F7503" i="5"/>
  <c r="E7041" i="5"/>
  <c r="F7041" i="5"/>
  <c r="F6184" i="5"/>
  <c r="E6184" i="5" s="1"/>
  <c r="E7414" i="5"/>
  <c r="F7414" i="5"/>
  <c r="E6976" i="5"/>
  <c r="F6976" i="5"/>
  <c r="F6095" i="5"/>
  <c r="E6095" i="5" s="1"/>
  <c r="E7399" i="5"/>
  <c r="F7399" i="5"/>
  <c r="E6973" i="5"/>
  <c r="F6973" i="5"/>
  <c r="F6093" i="5"/>
  <c r="E6093" i="5" s="1"/>
  <c r="E7494" i="5"/>
  <c r="F7494" i="5"/>
  <c r="E7055" i="5"/>
  <c r="F7055" i="5"/>
  <c r="F6165" i="5"/>
  <c r="E6165" i="5" s="1"/>
  <c r="E7511" i="5"/>
  <c r="F7511" i="5"/>
  <c r="E7038" i="5"/>
  <c r="F7038" i="5"/>
  <c r="F6221" i="5"/>
  <c r="E6221" i="5" s="1"/>
  <c r="E7207" i="5"/>
  <c r="F7207" i="5"/>
  <c r="E6771" i="5"/>
  <c r="F6771" i="5"/>
  <c r="F6092" i="5"/>
  <c r="E6092" i="5" s="1"/>
  <c r="E7183" i="5"/>
  <c r="F7183" i="5"/>
  <c r="E6774" i="5"/>
  <c r="F6774" i="5"/>
  <c r="F6132" i="5"/>
  <c r="E6132" i="5" s="1"/>
  <c r="E7498" i="5"/>
  <c r="F7498" i="5"/>
  <c r="E7035" i="5"/>
  <c r="F7035" i="5"/>
  <c r="F6175" i="5"/>
  <c r="E6175" i="5" s="1"/>
  <c r="E7032" i="5"/>
  <c r="F7032" i="5"/>
  <c r="F6166" i="5"/>
  <c r="E6166" i="5" s="1"/>
  <c r="E7018" i="5"/>
  <c r="F7018" i="5"/>
  <c r="F6120" i="5"/>
  <c r="E6120" i="5" s="1"/>
  <c r="E6150" i="5"/>
  <c r="F6150" i="5"/>
  <c r="F5833" i="5"/>
  <c r="E5833" i="5" s="1"/>
  <c r="E6984" i="5"/>
  <c r="F6984" i="5"/>
  <c r="F6108" i="5"/>
  <c r="E6108" i="5" s="1"/>
  <c r="E6400" i="5"/>
  <c r="F6400" i="5"/>
  <c r="F6105" i="5"/>
  <c r="E6105" i="5" s="1"/>
  <c r="F6062" i="5"/>
  <c r="E6062" i="5" s="1"/>
  <c r="F6070" i="5"/>
  <c r="E6070" i="5" s="1"/>
  <c r="F6065" i="5"/>
  <c r="E6065" i="5" s="1"/>
  <c r="F6153" i="5"/>
  <c r="E6153" i="5" s="1"/>
  <c r="F6193" i="5"/>
  <c r="E6193" i="5" s="1"/>
  <c r="F6138" i="5"/>
  <c r="E6138" i="5" s="1"/>
  <c r="F6102" i="5"/>
  <c r="E6102" i="5" s="1"/>
  <c r="F6210" i="5"/>
  <c r="E6210" i="5" s="1"/>
  <c r="F6112" i="5"/>
  <c r="E6112" i="5" s="1"/>
  <c r="F6177" i="5"/>
  <c r="E6177" i="5" s="1"/>
  <c r="F6155" i="5"/>
  <c r="E6155" i="5" s="1"/>
  <c r="F5719" i="5"/>
  <c r="E5719" i="5" s="1"/>
  <c r="F6009" i="5"/>
  <c r="E6009" i="5" s="1"/>
  <c r="F6073" i="5"/>
  <c r="E6073" i="5" s="1"/>
  <c r="F6109" i="5"/>
  <c r="E6109" i="5" s="1"/>
  <c r="F5545" i="5"/>
  <c r="E5545" i="5" s="1"/>
  <c r="E6566" i="5"/>
  <c r="F6566" i="5"/>
  <c r="F5420" i="5"/>
  <c r="E5420" i="5" s="1"/>
  <c r="F5305" i="5"/>
  <c r="E5305" i="5" s="1"/>
  <c r="F5709" i="5"/>
  <c r="E5709" i="5" s="1"/>
  <c r="F5700" i="5"/>
  <c r="E5700" i="5" s="1"/>
  <c r="F5705" i="5"/>
  <c r="E5705" i="5" s="1"/>
  <c r="F5674" i="5"/>
  <c r="E5674" i="5" s="1"/>
  <c r="E7363" i="5"/>
  <c r="F7363" i="5"/>
  <c r="E6908" i="5"/>
  <c r="F6908" i="5"/>
  <c r="F6014" i="5"/>
  <c r="E6014" i="5" s="1"/>
  <c r="E7465" i="5"/>
  <c r="F7465" i="5"/>
  <c r="E6979" i="5"/>
  <c r="F6979" i="5"/>
  <c r="F6056" i="5"/>
  <c r="E6056" i="5" s="1"/>
  <c r="E7484" i="5"/>
  <c r="F7484" i="5"/>
  <c r="E7016" i="5"/>
  <c r="F7016" i="5"/>
  <c r="F6114" i="5"/>
  <c r="E6114" i="5" s="1"/>
  <c r="E7501" i="5"/>
  <c r="F7501" i="5"/>
  <c r="E6992" i="5"/>
  <c r="F6992" i="5"/>
  <c r="F6036" i="5"/>
  <c r="E6036" i="5" s="1"/>
  <c r="E6540" i="5"/>
  <c r="F6540" i="5"/>
  <c r="F6015" i="5"/>
  <c r="E6015" i="5" s="1"/>
  <c r="E5513" i="5"/>
  <c r="E5537" i="5"/>
  <c r="E5538" i="5"/>
  <c r="E5540" i="5"/>
  <c r="E5516" i="5"/>
  <c r="E5517" i="5"/>
  <c r="E5524" i="5"/>
  <c r="E5519" i="5"/>
  <c r="E5522" i="5"/>
  <c r="E5529" i="5"/>
  <c r="E5533" i="5"/>
  <c r="E5534" i="5"/>
  <c r="E5523" i="5"/>
  <c r="E5520" i="5"/>
  <c r="E5521" i="5"/>
  <c r="E5515" i="5"/>
  <c r="E5532" i="5"/>
  <c r="E5528" i="5"/>
  <c r="E5539" i="5"/>
  <c r="E5536" i="5"/>
  <c r="E5535" i="5"/>
  <c r="E5514" i="5"/>
  <c r="E5526" i="5"/>
  <c r="E5531" i="5"/>
  <c r="E5530" i="5"/>
  <c r="E5518" i="5"/>
  <c r="E5527" i="5"/>
  <c r="E5525" i="5"/>
  <c r="E5556" i="5"/>
  <c r="E5555" i="5"/>
  <c r="E5568" i="5"/>
  <c r="E5547" i="5"/>
  <c r="E5558" i="5"/>
  <c r="E5565" i="5"/>
  <c r="E5573" i="5"/>
  <c r="E5581" i="5"/>
  <c r="E5563" i="5"/>
  <c r="E5561" i="5"/>
  <c r="E5560" i="5"/>
  <c r="E5546" i="5"/>
  <c r="E5548" i="5"/>
  <c r="E5575" i="5"/>
  <c r="E5579" i="5"/>
  <c r="E5559" i="5"/>
  <c r="E5552" i="5"/>
  <c r="E5542" i="5"/>
  <c r="E5569" i="5"/>
  <c r="E5543" i="5"/>
  <c r="E5557" i="5"/>
  <c r="E5562" i="5"/>
  <c r="E5574" i="5"/>
  <c r="E5576" i="5"/>
  <c r="E5577" i="5"/>
  <c r="E5570" i="5"/>
  <c r="E5567" i="5"/>
  <c r="E5554" i="5"/>
  <c r="E5541" i="5"/>
  <c r="E5553" i="5"/>
  <c r="E5580" i="5"/>
  <c r="E5549" i="5"/>
  <c r="E5572" i="5"/>
  <c r="E5571" i="5"/>
  <c r="E5550" i="5"/>
  <c r="E5578" i="5"/>
  <c r="E5564" i="5"/>
  <c r="E5544" i="5"/>
  <c r="E5566" i="5"/>
  <c r="E5551" i="5"/>
  <c r="E5583" i="5"/>
  <c r="E5582" i="5"/>
  <c r="E5724" i="5"/>
  <c r="E5869" i="5"/>
  <c r="E5592" i="5"/>
  <c r="E5599" i="5"/>
  <c r="E5597" i="5"/>
  <c r="E5604" i="5"/>
  <c r="E5607" i="5"/>
  <c r="E5603" i="5"/>
  <c r="E5606" i="5"/>
  <c r="E5594" i="5"/>
  <c r="E5605" i="5"/>
  <c r="E5598" i="5"/>
  <c r="E5602" i="5"/>
  <c r="E5596" i="5"/>
  <c r="E5601" i="5"/>
  <c r="E5593" i="5"/>
  <c r="E5595" i="5"/>
  <c r="E5600" i="5"/>
  <c r="E5612" i="5"/>
  <c r="E5634" i="5"/>
  <c r="E5620" i="5"/>
  <c r="E5609" i="5"/>
  <c r="E5621" i="5"/>
  <c r="E5623" i="5"/>
  <c r="E5625" i="5"/>
  <c r="E5626" i="5"/>
  <c r="E5629" i="5"/>
  <c r="E5628" i="5"/>
  <c r="E5610" i="5"/>
  <c r="E5666" i="5"/>
  <c r="E8965" i="5"/>
  <c r="E5749" i="5"/>
  <c r="E5616" i="5"/>
  <c r="E5615" i="5"/>
  <c r="E5614" i="5"/>
  <c r="E5618" i="5"/>
  <c r="E5624" i="5"/>
  <c r="E5635" i="5"/>
  <c r="E5611" i="5"/>
  <c r="E5619" i="5"/>
  <c r="E5622" i="5"/>
  <c r="E5633" i="5"/>
  <c r="E5631" i="5"/>
  <c r="E5630" i="5"/>
  <c r="E5632" i="5"/>
  <c r="E5613" i="5"/>
  <c r="E5627" i="5"/>
  <c r="E5608" i="5"/>
  <c r="E5617" i="5"/>
  <c r="E5721" i="5"/>
  <c r="E5725" i="5"/>
  <c r="E5708" i="5"/>
  <c r="E5646" i="5"/>
  <c r="E5691" i="5"/>
  <c r="E5707" i="5"/>
  <c r="E5679" i="5"/>
  <c r="E5680" i="5"/>
  <c r="E5688" i="5"/>
  <c r="E5693" i="5"/>
  <c r="E5694" i="5"/>
  <c r="E5653" i="5"/>
  <c r="E5641" i="5"/>
  <c r="E5716" i="5"/>
  <c r="E5649" i="5"/>
  <c r="E5664" i="5"/>
  <c r="E5663" i="5"/>
  <c r="E5673" i="5"/>
  <c r="E5684" i="5"/>
  <c r="E5636" i="5"/>
  <c r="E5639" i="5"/>
  <c r="E5637" i="5"/>
  <c r="E5726" i="5"/>
  <c r="E5727" i="5"/>
  <c r="E5750" i="5"/>
  <c r="E5773" i="5"/>
  <c r="E5668" i="5"/>
  <c r="E5669" i="5"/>
  <c r="E5656" i="5"/>
  <c r="E5702" i="5"/>
  <c r="E5685" i="5"/>
  <c r="E5712" i="5"/>
  <c r="E5686" i="5"/>
  <c r="E5701" i="5"/>
  <c r="E5713" i="5"/>
  <c r="E5665" i="5"/>
  <c r="E5681" i="5"/>
  <c r="E5654" i="5"/>
  <c r="E5647" i="5"/>
  <c r="E5672" i="5"/>
  <c r="E5655" i="5"/>
  <c r="E5717" i="5"/>
  <c r="E5703" i="5"/>
  <c r="E5660" i="5"/>
  <c r="E5711" i="5"/>
  <c r="E5698" i="5"/>
  <c r="E5696" i="5"/>
  <c r="E5695" i="5"/>
  <c r="E5670" i="5"/>
  <c r="E5645" i="5"/>
  <c r="E5704" i="5"/>
  <c r="E5692" i="5"/>
  <c r="E5661" i="5"/>
  <c r="E5659" i="5"/>
  <c r="E5683" i="5"/>
  <c r="E5682" i="5"/>
  <c r="E5642" i="5"/>
  <c r="E5671" i="5"/>
  <c r="E5706" i="5"/>
  <c r="E5710" i="5"/>
  <c r="E5697" i="5"/>
  <c r="E5689" i="5"/>
  <c r="E5687" i="5"/>
  <c r="E5699" i="5"/>
  <c r="E5667" i="5"/>
  <c r="E5678" i="5"/>
  <c r="E5652" i="5"/>
  <c r="E5690" i="5"/>
  <c r="E5677" i="5"/>
  <c r="E5662" i="5"/>
  <c r="E5650" i="5"/>
  <c r="E5651" i="5"/>
  <c r="E5715" i="5"/>
  <c r="E5714" i="5"/>
  <c r="E5657" i="5"/>
  <c r="E5675" i="5"/>
  <c r="E5676" i="5"/>
  <c r="E5658" i="5"/>
  <c r="E5644" i="5"/>
  <c r="E5643" i="5"/>
  <c r="E5746" i="5"/>
  <c r="E5731" i="5"/>
  <c r="E5771" i="5"/>
  <c r="E5752" i="5"/>
  <c r="E5760" i="5"/>
  <c r="E5759" i="5"/>
  <c r="E5764" i="5"/>
  <c r="E5745" i="5"/>
  <c r="E5722" i="5"/>
  <c r="E5723" i="5"/>
  <c r="E5729" i="5"/>
  <c r="E5772" i="5"/>
  <c r="E5757" i="5"/>
  <c r="E5748" i="5"/>
  <c r="E5747" i="5"/>
  <c r="E5730" i="5"/>
  <c r="E5758" i="5"/>
  <c r="E5755" i="5"/>
  <c r="E5774" i="5"/>
  <c r="E5767" i="5"/>
  <c r="E5753" i="5"/>
  <c r="E5761" i="5"/>
  <c r="E5742" i="5"/>
  <c r="E5762" i="5"/>
  <c r="E5769" i="5"/>
  <c r="E5751" i="5"/>
  <c r="E5743" i="5"/>
  <c r="E5738" i="5"/>
  <c r="E5756" i="5"/>
  <c r="E5765" i="5"/>
  <c r="E5732" i="5"/>
  <c r="E5768" i="5"/>
  <c r="E5754" i="5"/>
  <c r="E5763" i="5"/>
  <c r="E5766" i="5"/>
  <c r="E5744" i="5"/>
  <c r="E5739" i="5"/>
  <c r="E5741" i="5"/>
  <c r="E5791" i="5"/>
  <c r="E5811" i="5"/>
  <c r="E5813" i="5"/>
  <c r="E5789" i="5"/>
  <c r="E5798" i="5"/>
  <c r="E5777" i="5"/>
  <c r="E5780" i="5"/>
  <c r="E5781" i="5"/>
  <c r="E5779" i="5"/>
  <c r="E5785" i="5"/>
  <c r="E5795" i="5"/>
  <c r="E5790" i="5"/>
  <c r="E5818" i="5"/>
  <c r="E5808" i="5"/>
  <c r="E5805" i="5"/>
  <c r="E5807" i="5"/>
  <c r="E5778" i="5"/>
  <c r="E5810" i="5"/>
  <c r="E5799" i="5"/>
  <c r="E5784" i="5"/>
  <c r="E5794" i="5"/>
  <c r="E5793" i="5"/>
  <c r="E5800" i="5"/>
  <c r="E5806" i="5"/>
  <c r="E5783" i="5"/>
  <c r="E5809" i="5"/>
  <c r="E5804" i="5"/>
  <c r="E5814" i="5"/>
  <c r="E5816" i="5"/>
  <c r="E5782" i="5"/>
  <c r="E5796" i="5"/>
  <c r="E5797" i="5"/>
  <c r="E5786" i="5"/>
  <c r="E5792" i="5"/>
  <c r="E5820" i="5"/>
  <c r="E5801" i="5"/>
  <c r="E5787" i="5"/>
  <c r="E5788" i="5"/>
  <c r="E5802" i="5"/>
  <c r="E5815" i="5"/>
  <c r="E5803" i="5"/>
  <c r="E5817" i="5"/>
  <c r="E5832" i="5"/>
  <c r="E5821" i="5"/>
  <c r="E5845" i="5"/>
  <c r="E5830" i="5"/>
  <c r="E5848" i="5"/>
  <c r="E5824" i="5"/>
  <c r="E5846" i="5"/>
  <c r="E5850" i="5"/>
  <c r="E5822" i="5"/>
  <c r="E5838" i="5"/>
  <c r="E5831" i="5"/>
  <c r="E5826" i="5"/>
  <c r="E5835" i="5"/>
  <c r="E5836" i="5"/>
  <c r="E5840" i="5"/>
  <c r="E5839" i="5"/>
  <c r="E5823" i="5"/>
  <c r="E5849" i="5"/>
  <c r="E5837" i="5"/>
  <c r="E5829" i="5"/>
  <c r="E5828" i="5"/>
  <c r="E5827" i="5"/>
  <c r="E5844" i="5"/>
  <c r="E5825" i="5"/>
  <c r="E5860" i="5"/>
  <c r="E5857" i="5"/>
  <c r="E5872" i="5"/>
  <c r="E5885" i="5"/>
  <c r="E5899" i="5"/>
  <c r="E5880" i="5"/>
  <c r="E5876" i="5"/>
  <c r="E5866" i="5"/>
  <c r="E5875" i="5"/>
  <c r="E5894" i="5"/>
  <c r="E5892" i="5"/>
  <c r="E5864" i="5"/>
  <c r="E5854" i="5"/>
  <c r="E5889" i="5"/>
  <c r="E5891" i="5"/>
  <c r="E5881" i="5"/>
  <c r="E5873" i="5"/>
  <c r="E5886" i="5"/>
  <c r="E5887" i="5"/>
  <c r="E5638" i="5"/>
  <c r="E5882" i="5"/>
  <c r="E5861" i="5"/>
  <c r="E5897" i="5"/>
  <c r="E5871" i="5"/>
  <c r="E5884" i="5"/>
  <c r="E5852" i="5"/>
  <c r="E5874" i="5"/>
  <c r="E5878" i="5"/>
  <c r="E5862" i="5"/>
  <c r="E5870" i="5"/>
  <c r="E5853" i="5"/>
  <c r="E5893" i="5"/>
  <c r="E5877" i="5"/>
  <c r="E5867" i="5"/>
  <c r="E5896" i="5"/>
  <c r="E5888" i="5"/>
  <c r="E5883" i="5"/>
  <c r="E5858" i="5"/>
  <c r="E5865" i="5"/>
  <c r="E5895" i="5"/>
  <c r="E5863" i="5"/>
  <c r="E5855" i="5"/>
  <c r="E5859" i="5"/>
  <c r="E5898" i="5"/>
  <c r="E5856" i="5"/>
  <c r="E5879" i="5"/>
  <c r="E5868" i="5"/>
  <c r="E5890" i="5"/>
  <c r="E5952" i="5"/>
  <c r="E5907" i="5"/>
  <c r="E5916" i="5"/>
  <c r="E5947" i="5"/>
  <c r="E5906" i="5"/>
  <c r="E5922" i="5"/>
  <c r="E5940" i="5"/>
  <c r="E5941" i="5"/>
  <c r="E5942" i="5"/>
  <c r="E5943" i="5"/>
  <c r="E5944" i="5"/>
  <c r="E5945" i="5"/>
  <c r="E5946" i="5"/>
  <c r="E5951" i="5"/>
  <c r="E5904" i="5"/>
  <c r="E5923" i="5"/>
  <c r="E5924" i="5"/>
  <c r="E5925" i="5"/>
  <c r="E5926" i="5"/>
  <c r="E5927" i="5"/>
  <c r="E5928" i="5"/>
  <c r="E5929" i="5"/>
  <c r="E5930" i="5"/>
  <c r="E5931" i="5"/>
  <c r="E5932" i="5"/>
  <c r="E5953" i="5"/>
  <c r="E5954" i="5"/>
  <c r="E5955" i="5"/>
  <c r="E5956" i="5"/>
  <c r="E5957" i="5"/>
  <c r="E5958" i="5"/>
  <c r="E5959" i="5"/>
  <c r="E5960" i="5"/>
  <c r="E5961" i="5"/>
  <c r="E5962" i="5"/>
  <c r="E5963" i="5"/>
  <c r="E5965" i="5"/>
  <c r="E5964" i="5"/>
  <c r="E5939" i="5"/>
  <c r="E5912" i="5"/>
  <c r="E5948" i="5"/>
  <c r="E5937" i="5"/>
  <c r="E5911" i="5"/>
  <c r="E5935" i="5"/>
  <c r="E5936" i="5"/>
  <c r="E5917" i="5"/>
  <c r="E5950" i="5"/>
  <c r="E5921" i="5"/>
  <c r="E5920" i="5"/>
  <c r="E5908" i="5"/>
  <c r="E5938" i="5"/>
  <c r="E5918" i="5"/>
  <c r="E5919" i="5"/>
  <c r="E5915" i="5"/>
  <c r="E5933" i="5"/>
  <c r="E5903" i="5"/>
  <c r="E5913" i="5"/>
  <c r="E5914" i="5"/>
  <c r="E5910" i="5"/>
  <c r="E5905" i="5"/>
  <c r="E5949" i="5"/>
  <c r="E5934" i="5"/>
  <c r="E5987" i="5"/>
  <c r="E5985" i="5"/>
  <c r="E5976" i="5"/>
  <c r="E5992" i="5"/>
  <c r="E5990" i="5"/>
  <c r="E5991" i="5"/>
  <c r="E5972" i="5"/>
  <c r="E5982" i="5"/>
  <c r="E5994" i="5"/>
  <c r="E5986" i="5"/>
  <c r="E5979" i="5"/>
  <c r="E5977" i="5"/>
  <c r="E5988" i="5"/>
  <c r="E5978" i="5"/>
  <c r="E5971" i="5"/>
  <c r="E5973" i="5"/>
  <c r="E5975" i="5"/>
  <c r="E5989" i="5"/>
  <c r="E5993" i="5"/>
  <c r="E5968" i="5"/>
  <c r="E5969" i="5"/>
  <c r="E5970" i="5"/>
  <c r="E5984" i="5"/>
  <c r="E5983" i="5"/>
  <c r="E5995" i="5"/>
  <c r="E5980" i="5"/>
  <c r="E5996" i="5"/>
  <c r="E5981" i="5"/>
  <c r="E5974" i="5"/>
  <c r="E6001" i="5"/>
  <c r="E6002" i="5"/>
  <c r="E6044" i="5"/>
  <c r="E6032" i="5"/>
  <c r="E6033" i="5"/>
  <c r="E6043" i="5"/>
  <c r="E6017" i="5"/>
  <c r="E6045" i="5"/>
  <c r="E6034" i="5"/>
  <c r="E6018" i="5"/>
  <c r="E6028" i="5"/>
  <c r="E6054" i="5"/>
  <c r="E6035" i="5"/>
  <c r="E6023" i="5"/>
  <c r="E6012" i="5"/>
  <c r="E6030" i="5"/>
  <c r="E6029" i="5"/>
  <c r="E6053" i="5"/>
  <c r="E6021" i="5"/>
  <c r="E6022" i="5"/>
  <c r="E6003" i="5"/>
  <c r="E6024" i="5"/>
  <c r="E6010" i="5"/>
  <c r="E6037" i="5"/>
  <c r="E6046" i="5"/>
  <c r="E6031" i="5"/>
  <c r="E6007" i="5"/>
  <c r="E6025" i="5"/>
  <c r="E6026" i="5"/>
  <c r="E6020" i="5"/>
  <c r="E6019" i="5"/>
  <c r="E6008" i="5"/>
  <c r="E6004" i="5"/>
  <c r="E6042" i="5"/>
  <c r="E6027" i="5"/>
  <c r="E6038" i="5"/>
  <c r="E6016" i="5"/>
  <c r="E6011" i="5"/>
  <c r="E6055" i="5"/>
  <c r="E6047" i="5"/>
  <c r="E6050" i="5"/>
  <c r="E6006" i="5"/>
  <c r="E6051" i="5"/>
  <c r="E6049" i="5"/>
  <c r="E6000" i="5"/>
  <c r="E5999" i="5"/>
  <c r="E6040" i="5"/>
  <c r="E6039" i="5"/>
  <c r="E6041" i="5"/>
  <c r="E6005" i="5"/>
  <c r="E6013" i="5"/>
  <c r="E6048" i="5"/>
  <c r="E6052" i="5"/>
  <c r="E6074" i="5"/>
  <c r="E6078" i="5"/>
  <c r="E6075" i="5"/>
  <c r="E6085" i="5"/>
  <c r="E6063" i="5"/>
  <c r="E6080" i="5"/>
  <c r="E6094" i="5"/>
  <c r="E6076" i="5"/>
  <c r="E6083" i="5"/>
  <c r="E6084" i="5"/>
  <c r="E6081" i="5"/>
  <c r="E6071" i="5"/>
  <c r="E6072" i="5"/>
  <c r="E6082" i="5"/>
  <c r="E6086" i="5"/>
  <c r="E6079" i="5"/>
  <c r="E6066" i="5"/>
  <c r="E6087" i="5"/>
  <c r="E6077" i="5"/>
  <c r="E6067" i="5"/>
  <c r="E6069" i="5"/>
  <c r="E6088" i="5"/>
  <c r="E6128" i="5"/>
  <c r="E6117" i="5"/>
  <c r="E6116" i="5"/>
  <c r="E6101" i="5"/>
  <c r="E6104" i="5"/>
  <c r="E6099" i="5"/>
  <c r="E6118" i="5"/>
  <c r="E6125" i="5"/>
  <c r="E6121" i="5"/>
  <c r="E6130" i="5"/>
  <c r="E6127" i="5"/>
  <c r="E6131" i="5"/>
  <c r="E6110" i="5"/>
  <c r="E6113" i="5"/>
  <c r="E6111" i="5"/>
  <c r="E6123" i="5"/>
  <c r="E6122" i="5"/>
  <c r="E6115" i="5"/>
  <c r="E6098" i="5"/>
  <c r="E6126" i="5"/>
  <c r="E6107" i="5"/>
  <c r="E6100" i="5"/>
  <c r="E6103" i="5"/>
  <c r="E6124" i="5"/>
  <c r="E6129" i="5"/>
  <c r="E6140" i="5"/>
  <c r="E6158" i="5"/>
  <c r="E6149" i="5"/>
  <c r="E6156" i="5"/>
  <c r="E6160" i="5"/>
  <c r="E6164" i="5"/>
  <c r="E6139" i="5"/>
  <c r="E6146" i="5"/>
  <c r="E6142" i="5"/>
  <c r="E6163" i="5"/>
  <c r="E6167" i="5"/>
  <c r="E6152" i="5"/>
  <c r="E6159" i="5"/>
  <c r="E6141" i="5"/>
  <c r="E6168" i="5"/>
  <c r="E6161" i="5"/>
  <c r="E6145" i="5"/>
  <c r="E6147" i="5"/>
  <c r="E6148" i="5"/>
  <c r="E6137" i="5"/>
  <c r="E6178" i="5"/>
  <c r="E6192" i="5"/>
  <c r="E6182" i="5"/>
  <c r="E6179" i="5"/>
  <c r="E6176" i="5"/>
  <c r="E6180" i="5"/>
  <c r="E6181" i="5"/>
  <c r="E6191" i="5"/>
  <c r="E6190" i="5"/>
  <c r="E6173" i="5"/>
  <c r="E6187" i="5"/>
  <c r="E6186" i="5"/>
  <c r="E6188" i="5"/>
  <c r="E6201" i="5"/>
  <c r="E6204" i="5"/>
  <c r="E6202" i="5"/>
  <c r="E6200" i="5"/>
  <c r="E6207" i="5"/>
  <c r="E6348" i="5"/>
  <c r="E6208" i="5"/>
  <c r="E6205" i="5"/>
  <c r="E6209" i="5"/>
  <c r="E6203" i="5"/>
  <c r="E6224" i="5"/>
  <c r="E6229" i="5"/>
  <c r="E6219" i="5"/>
  <c r="E6215" i="5"/>
  <c r="E6222" i="5"/>
  <c r="E6214" i="5"/>
  <c r="E6233" i="5"/>
  <c r="E6223" i="5"/>
  <c r="E6226" i="5"/>
  <c r="E6234" i="5"/>
  <c r="E6235" i="5"/>
  <c r="E6227" i="5"/>
  <c r="E6216" i="5"/>
  <c r="E6217" i="5"/>
  <c r="E6237" i="5"/>
  <c r="E6230" i="5"/>
  <c r="E6220" i="5"/>
  <c r="E6218" i="5"/>
  <c r="E6225" i="5"/>
  <c r="E6292" i="5"/>
  <c r="E6280" i="5"/>
  <c r="E6287" i="5"/>
  <c r="E6288" i="5"/>
  <c r="E6289" i="5"/>
  <c r="E6271" i="5"/>
  <c r="E6284" i="5"/>
  <c r="E6272" i="5"/>
  <c r="E6285" i="5"/>
  <c r="E6281" i="5"/>
  <c r="E6266" i="5"/>
  <c r="E6291" i="5"/>
  <c r="E6259" i="5"/>
  <c r="E6260" i="5"/>
  <c r="E6290" i="5"/>
  <c r="E6279" i="5"/>
  <c r="E6262" i="5"/>
  <c r="E6274" i="5"/>
  <c r="E6273" i="5"/>
  <c r="E6256" i="5"/>
  <c r="E6275" i="5"/>
  <c r="E6286" i="5"/>
  <c r="E6269" i="5"/>
  <c r="E6261" i="5"/>
  <c r="E6255" i="5"/>
  <c r="E6278" i="5"/>
  <c r="E6253" i="5"/>
  <c r="E6263" i="5"/>
  <c r="E6312" i="5"/>
  <c r="E6324" i="5"/>
  <c r="E6320" i="5"/>
  <c r="E6327" i="5"/>
  <c r="E6317" i="5"/>
  <c r="E6333" i="5"/>
  <c r="E6336" i="5"/>
  <c r="E6316" i="5"/>
  <c r="E6322" i="5"/>
  <c r="E6326" i="5"/>
  <c r="E6325" i="5"/>
  <c r="E6315" i="5"/>
  <c r="E6318" i="5"/>
  <c r="E6330" i="5"/>
  <c r="E6323" i="5"/>
  <c r="E6334" i="5"/>
  <c r="E6335" i="5"/>
  <c r="E6321" i="5"/>
  <c r="E6332" i="5"/>
  <c r="E6331" i="5"/>
  <c r="E6319" i="5"/>
  <c r="E6328" i="5"/>
  <c r="E6313" i="5"/>
  <c r="E6314" i="5"/>
  <c r="E6329" i="5"/>
  <c r="E6365" i="5"/>
  <c r="E6364" i="5"/>
  <c r="E6368" i="5"/>
  <c r="E6358" i="5"/>
  <c r="E6346" i="5"/>
  <c r="E6361" i="5"/>
  <c r="E6355" i="5"/>
  <c r="E6369" i="5"/>
  <c r="E6359" i="5"/>
  <c r="E6353" i="5"/>
  <c r="E6362" i="5"/>
  <c r="E6363" i="5"/>
  <c r="E6357" i="5"/>
  <c r="E6352" i="5"/>
  <c r="E6347" i="5"/>
  <c r="E6350" i="5"/>
  <c r="E6345" i="5"/>
  <c r="E6349" i="5"/>
  <c r="E6354" i="5"/>
  <c r="E6351" i="5"/>
  <c r="E6415" i="5"/>
  <c r="E6427" i="5"/>
  <c r="E6410" i="5"/>
  <c r="E6401" i="5"/>
  <c r="E6399" i="5"/>
  <c r="E6416" i="5"/>
  <c r="E6425" i="5"/>
  <c r="E6407" i="5"/>
  <c r="E6413" i="5"/>
  <c r="E6402" i="5"/>
  <c r="E6403" i="5"/>
  <c r="E6417" i="5"/>
  <c r="E6424" i="5"/>
  <c r="E6418" i="5"/>
  <c r="E6428" i="5"/>
  <c r="E6406" i="5"/>
  <c r="E6408" i="5"/>
  <c r="E6419" i="5"/>
  <c r="E6396" i="5"/>
  <c r="E6420" i="5"/>
  <c r="E6426" i="5"/>
  <c r="E6414" i="5"/>
  <c r="E6398" i="5"/>
  <c r="E6409" i="5"/>
  <c r="E6412" i="5"/>
  <c r="E6422" i="5"/>
  <c r="E6405" i="5"/>
  <c r="E6411" i="5"/>
  <c r="E6423" i="5"/>
  <c r="E6421" i="5"/>
  <c r="E6447" i="5"/>
  <c r="E6444" i="5"/>
  <c r="E6464" i="5"/>
  <c r="E6458" i="5"/>
  <c r="E6472" i="5"/>
  <c r="E6474" i="5"/>
  <c r="E6475" i="5"/>
  <c r="E6476" i="5"/>
  <c r="E6459" i="5"/>
  <c r="E6446" i="5"/>
  <c r="E6443" i="5"/>
  <c r="E6453" i="5"/>
  <c r="E6452" i="5"/>
  <c r="E6462" i="5"/>
  <c r="E6456" i="5"/>
  <c r="E6467" i="5"/>
  <c r="E6457" i="5"/>
  <c r="E6473" i="5"/>
  <c r="E6460" i="5"/>
  <c r="E6445" i="5"/>
  <c r="E6451" i="5"/>
  <c r="E6463" i="5"/>
  <c r="E6454" i="5"/>
  <c r="E6471" i="5"/>
  <c r="E6468" i="5"/>
  <c r="E6470" i="5"/>
  <c r="E6469" i="5"/>
  <c r="E6449" i="5"/>
  <c r="E6455" i="5"/>
  <c r="E6465" i="5"/>
  <c r="E6448" i="5"/>
  <c r="E6503" i="5"/>
  <c r="E6504" i="5"/>
  <c r="E6501" i="5"/>
  <c r="E6525" i="5"/>
  <c r="E6527" i="5"/>
  <c r="E6523" i="5"/>
  <c r="E6521" i="5"/>
  <c r="E6515" i="5"/>
  <c r="E6517" i="5"/>
  <c r="E6519" i="5"/>
  <c r="E6524" i="5"/>
  <c r="E6522" i="5"/>
  <c r="E6526" i="5"/>
  <c r="E6516" i="5"/>
  <c r="E6520" i="5"/>
  <c r="E6542" i="5"/>
  <c r="E6546" i="5"/>
  <c r="E6552" i="5"/>
  <c r="E6539" i="5"/>
  <c r="E6547" i="5"/>
  <c r="E6550" i="5"/>
  <c r="E6551" i="5"/>
  <c r="E6541" i="5"/>
  <c r="E6553" i="5"/>
  <c r="E6538" i="5"/>
  <c r="E6549" i="5"/>
  <c r="E6537" i="5"/>
  <c r="E6548" i="5"/>
  <c r="E6544" i="5"/>
  <c r="E6530" i="5"/>
  <c r="E6535" i="5"/>
  <c r="E6545" i="5"/>
  <c r="E6543" i="5"/>
  <c r="E6536" i="5"/>
  <c r="E6576" i="5"/>
  <c r="E6585" i="5"/>
  <c r="E6575" i="5"/>
  <c r="E6569" i="5"/>
  <c r="E6574" i="5"/>
  <c r="E6572" i="5"/>
  <c r="E6568" i="5"/>
  <c r="E6567" i="5"/>
  <c r="E6563" i="5"/>
  <c r="E6582" i="5"/>
  <c r="E6579" i="5"/>
  <c r="E6586" i="5"/>
  <c r="E6578" i="5"/>
  <c r="E6584" i="5"/>
  <c r="E6583" i="5"/>
  <c r="E6571" i="5"/>
  <c r="E6580" i="5"/>
  <c r="E6581" i="5"/>
  <c r="E6573" i="5"/>
  <c r="E6564" i="5"/>
  <c r="E6565" i="5"/>
  <c r="E6570" i="5"/>
  <c r="E6577" i="5"/>
  <c r="E6603" i="5"/>
  <c r="E6602" i="5"/>
  <c r="E6591" i="5"/>
  <c r="E6593" i="5"/>
  <c r="E6616" i="5"/>
  <c r="E6617" i="5"/>
  <c r="E6613" i="5"/>
  <c r="E6588" i="5"/>
  <c r="E6605" i="5"/>
  <c r="E6598" i="5"/>
  <c r="E6606" i="5"/>
  <c r="E6604" i="5"/>
  <c r="E6615" i="5"/>
  <c r="E6589" i="5"/>
  <c r="E6595" i="5"/>
  <c r="E6594" i="5"/>
  <c r="E6590" i="5"/>
  <c r="E6601" i="5"/>
  <c r="E6600" i="5"/>
  <c r="E6614" i="5"/>
  <c r="E6608" i="5"/>
  <c r="E6610" i="5"/>
  <c r="E6611" i="5"/>
  <c r="E6599" i="5"/>
  <c r="E6612" i="5"/>
  <c r="E6596" i="5"/>
  <c r="E6609" i="5"/>
  <c r="E6592" i="5"/>
  <c r="E6597" i="5"/>
  <c r="E6607" i="5"/>
  <c r="E6634" i="5"/>
  <c r="E6635" i="5"/>
  <c r="E6631" i="5"/>
  <c r="E6640" i="5"/>
  <c r="E6641" i="5"/>
  <c r="E6627" i="5"/>
  <c r="E6648" i="5"/>
  <c r="E6628" i="5"/>
  <c r="E6647" i="5"/>
  <c r="E6642" i="5"/>
  <c r="E6643" i="5"/>
  <c r="E6636" i="5"/>
  <c r="E6645" i="5"/>
  <c r="E6646" i="5"/>
  <c r="E6633" i="5"/>
  <c r="E6626" i="5"/>
  <c r="E6638" i="5"/>
  <c r="E6639" i="5"/>
  <c r="E6644" i="5"/>
  <c r="E6632" i="5"/>
  <c r="E6629" i="5"/>
  <c r="E6666" i="5"/>
  <c r="E6655" i="5"/>
  <c r="E6660" i="5"/>
  <c r="E6658" i="5"/>
  <c r="E6659" i="5"/>
  <c r="E6657" i="5"/>
  <c r="E6656" i="5"/>
  <c r="E6665" i="5"/>
  <c r="E6651" i="5"/>
  <c r="E6654" i="5"/>
  <c r="E6667" i="5"/>
  <c r="E6664" i="5"/>
  <c r="E6663" i="5"/>
  <c r="E6652" i="5"/>
  <c r="E6653" i="5"/>
  <c r="E6661" i="5"/>
  <c r="E6681" i="5"/>
  <c r="E6669" i="5"/>
  <c r="E6670" i="5"/>
  <c r="E6676" i="5"/>
  <c r="E6679" i="5"/>
  <c r="E6674" i="5"/>
  <c r="E6680" i="5"/>
  <c r="E6675" i="5"/>
  <c r="E6672" i="5"/>
  <c r="E6678" i="5"/>
  <c r="E6671" i="5"/>
  <c r="E6682" i="5"/>
  <c r="E6677" i="5"/>
  <c r="E6673" i="5"/>
  <c r="E6696" i="5"/>
  <c r="E6691" i="5"/>
  <c r="E6697" i="5"/>
  <c r="E6686" i="5"/>
  <c r="E6692" i="5"/>
  <c r="E6693" i="5"/>
  <c r="E6685" i="5"/>
  <c r="E6689" i="5"/>
  <c r="E6688" i="5"/>
  <c r="E6683" i="5"/>
  <c r="E6690" i="5"/>
  <c r="E6694" i="5"/>
  <c r="E6695" i="5"/>
  <c r="E6684" i="5"/>
  <c r="E6687" i="5"/>
  <c r="E6726" i="5"/>
  <c r="E6746" i="5"/>
  <c r="E6748" i="5"/>
  <c r="E6709" i="5"/>
  <c r="E6743" i="5"/>
  <c r="E6744" i="5"/>
  <c r="E6747" i="5"/>
  <c r="E6745" i="5"/>
  <c r="E6710" i="5"/>
  <c r="E6711" i="5"/>
  <c r="E6741" i="5"/>
  <c r="E6713" i="5"/>
  <c r="E6737" i="5"/>
  <c r="E6723" i="5"/>
  <c r="E6731" i="5"/>
  <c r="E6707" i="5"/>
  <c r="E6718" i="5"/>
  <c r="E6727" i="5"/>
  <c r="E6703" i="5"/>
  <c r="E6742" i="5"/>
  <c r="E6699" i="5"/>
  <c r="E6705" i="5"/>
  <c r="E6740" i="5"/>
  <c r="E6729" i="5"/>
  <c r="E6708" i="5"/>
  <c r="E6712" i="5"/>
  <c r="E6732" i="5"/>
  <c r="E6722" i="5"/>
  <c r="E6736" i="5"/>
  <c r="E6735" i="5"/>
  <c r="E6700" i="5"/>
  <c r="E6721" i="5"/>
  <c r="E6719" i="5"/>
  <c r="E6725" i="5"/>
  <c r="E6734" i="5"/>
  <c r="E6733" i="5"/>
  <c r="E6702" i="5"/>
  <c r="E6738" i="5"/>
  <c r="E6739" i="5"/>
  <c r="E6728" i="5"/>
  <c r="E6724" i="5"/>
  <c r="E6730" i="5"/>
  <c r="E6706" i="5"/>
  <c r="E6717" i="5"/>
  <c r="E6701" i="5"/>
  <c r="E6714" i="5"/>
  <c r="E6704" i="5"/>
  <c r="E6715" i="5"/>
  <c r="E6716" i="5"/>
  <c r="E6760" i="5"/>
  <c r="E6763" i="5"/>
  <c r="E6764" i="5"/>
  <c r="E6775" i="5"/>
  <c r="E6757" i="5"/>
  <c r="E6756" i="5"/>
  <c r="E6752" i="5"/>
  <c r="E6758" i="5"/>
  <c r="E6762" i="5"/>
  <c r="E6772" i="5"/>
  <c r="E6773" i="5"/>
  <c r="E6753" i="5"/>
  <c r="E6759" i="5"/>
  <c r="E6754" i="5"/>
  <c r="E6761" i="5"/>
  <c r="E6770" i="5"/>
  <c r="E6769" i="5"/>
  <c r="E6767" i="5"/>
  <c r="E6766" i="5"/>
  <c r="E6768" i="5"/>
  <c r="E6755" i="5"/>
  <c r="E6765" i="5"/>
  <c r="E6785" i="5"/>
  <c r="E6789" i="5"/>
  <c r="E6794" i="5"/>
  <c r="E6790" i="5"/>
  <c r="E6795" i="5"/>
  <c r="E6780" i="5"/>
  <c r="E6793" i="5"/>
  <c r="E6792" i="5"/>
  <c r="E6787" i="5"/>
  <c r="E6791" i="5"/>
  <c r="E6784" i="5"/>
  <c r="E6786" i="5"/>
  <c r="E6781" i="5"/>
  <c r="E6788" i="5"/>
  <c r="E6782" i="5"/>
  <c r="E6783" i="5"/>
  <c r="E6815" i="5"/>
  <c r="E6813" i="5"/>
  <c r="E6808" i="5"/>
  <c r="E6809" i="5"/>
  <c r="E6810" i="5"/>
  <c r="E6804" i="5"/>
  <c r="E6806" i="5"/>
  <c r="E6800" i="5"/>
  <c r="E6807" i="5"/>
  <c r="E6802" i="5"/>
  <c r="E6814" i="5"/>
  <c r="E6816" i="5"/>
  <c r="E6801" i="5"/>
  <c r="E6803" i="5"/>
  <c r="E6817" i="5"/>
  <c r="E6805" i="5"/>
  <c r="E6798" i="5"/>
  <c r="E6811" i="5"/>
  <c r="E6820" i="5"/>
  <c r="E6835" i="5"/>
  <c r="E6818" i="5"/>
  <c r="E6829" i="5"/>
  <c r="E6832" i="5"/>
  <c r="E6827" i="5"/>
  <c r="E6823" i="5"/>
  <c r="E6834" i="5"/>
  <c r="E6830" i="5"/>
  <c r="E6821" i="5"/>
  <c r="E6833" i="5"/>
  <c r="E6822" i="5"/>
  <c r="E6828" i="5"/>
  <c r="E6836" i="5"/>
  <c r="E6838" i="5"/>
  <c r="E6840" i="5"/>
  <c r="E6819" i="5"/>
  <c r="E6826" i="5"/>
  <c r="E6831" i="5"/>
  <c r="E6824" i="5"/>
  <c r="E6837" i="5"/>
  <c r="E6825" i="5"/>
  <c r="E6839" i="5"/>
  <c r="E6870" i="5"/>
  <c r="E6848" i="5"/>
  <c r="E6851" i="5"/>
  <c r="E6863" i="5"/>
  <c r="E6864" i="5"/>
  <c r="E6865" i="5"/>
  <c r="E6866" i="5"/>
  <c r="E6867" i="5"/>
  <c r="E6868" i="5"/>
  <c r="E6869" i="5"/>
  <c r="E6843" i="5"/>
  <c r="E6852" i="5"/>
  <c r="E6853" i="5"/>
  <c r="E6854" i="5"/>
  <c r="E6855" i="5"/>
  <c r="E6856" i="5"/>
  <c r="E6857" i="5"/>
  <c r="E6858" i="5"/>
  <c r="E6859" i="5"/>
  <c r="E6860" i="5"/>
  <c r="E6861" i="5"/>
  <c r="E6871" i="5"/>
  <c r="E6872" i="5"/>
  <c r="E6873" i="5"/>
  <c r="E6874" i="5"/>
  <c r="E6875" i="5"/>
  <c r="E6876" i="5"/>
  <c r="E6877" i="5"/>
  <c r="E6878" i="5"/>
  <c r="E6879" i="5"/>
  <c r="E6880" i="5"/>
  <c r="E6881" i="5"/>
  <c r="E6882" i="5"/>
  <c r="E6844" i="5"/>
  <c r="E6849" i="5"/>
  <c r="E6850" i="5"/>
  <c r="E6862" i="5"/>
  <c r="E6846" i="5"/>
  <c r="E6842" i="5"/>
  <c r="E6847" i="5"/>
  <c r="E6845" i="5"/>
  <c r="E6890" i="5"/>
  <c r="E6889" i="5"/>
  <c r="E6893" i="5"/>
  <c r="E6886" i="5"/>
  <c r="E6892" i="5"/>
  <c r="E6887" i="5"/>
  <c r="E6884" i="5"/>
  <c r="E6894" i="5"/>
  <c r="E6891" i="5"/>
  <c r="E6896" i="5"/>
  <c r="E6885" i="5"/>
  <c r="E6888" i="5"/>
  <c r="E6895" i="5"/>
  <c r="E6933" i="5"/>
  <c r="E6921" i="5"/>
  <c r="E6911" i="5"/>
  <c r="E6915" i="5"/>
  <c r="E6916" i="5"/>
  <c r="E6914" i="5"/>
  <c r="E6909" i="5"/>
  <c r="E6928" i="5"/>
  <c r="E6934" i="5"/>
  <c r="E6905" i="5"/>
  <c r="E6906" i="5"/>
  <c r="E6926" i="5"/>
  <c r="E6927" i="5"/>
  <c r="E6912" i="5"/>
  <c r="E6913" i="5"/>
  <c r="E6903" i="5"/>
  <c r="E6929" i="5"/>
  <c r="E6919" i="5"/>
  <c r="E6922" i="5"/>
  <c r="E6925" i="5"/>
  <c r="E6924" i="5"/>
  <c r="E7057" i="5"/>
  <c r="E6932" i="5"/>
  <c r="E6931" i="5"/>
  <c r="E6920" i="5"/>
  <c r="E6917" i="5"/>
  <c r="E6930" i="5"/>
  <c r="E6907" i="5"/>
  <c r="E6910" i="5"/>
  <c r="E6938" i="5"/>
  <c r="E6935" i="5"/>
  <c r="E6904" i="5"/>
  <c r="E6902" i="5"/>
  <c r="E6937" i="5"/>
  <c r="E6923" i="5"/>
  <c r="E6901" i="5"/>
  <c r="E6900" i="5"/>
  <c r="E6918" i="5"/>
  <c r="E6936" i="5"/>
  <c r="E6961" i="5"/>
  <c r="E6953" i="5"/>
  <c r="E6972" i="5"/>
  <c r="E6970" i="5"/>
  <c r="E6971" i="5"/>
  <c r="E6962" i="5"/>
  <c r="E6964" i="5"/>
  <c r="E6963" i="5"/>
  <c r="E6956" i="5"/>
  <c r="E6965" i="5"/>
  <c r="E6948" i="5"/>
  <c r="E6955" i="5"/>
  <c r="E6949" i="5"/>
  <c r="E6954" i="5"/>
  <c r="E6951" i="5"/>
  <c r="E6952" i="5"/>
  <c r="E6966" i="5"/>
  <c r="E6974" i="5"/>
  <c r="E6946" i="5"/>
  <c r="E6947" i="5"/>
  <c r="E6960" i="5"/>
  <c r="E6959" i="5"/>
  <c r="E6950" i="5"/>
  <c r="E6977" i="5"/>
  <c r="E6957" i="5"/>
  <c r="E6978" i="5"/>
  <c r="E6958" i="5"/>
  <c r="E6975" i="5"/>
  <c r="E6980" i="5"/>
  <c r="E6986" i="5"/>
  <c r="E6987" i="5"/>
  <c r="E6993" i="5"/>
  <c r="E6997" i="5"/>
  <c r="E6991" i="5"/>
  <c r="E6983" i="5"/>
  <c r="E6990" i="5"/>
  <c r="E6989" i="5"/>
  <c r="E6988" i="5"/>
  <c r="E6985" i="5"/>
  <c r="E6981" i="5"/>
  <c r="E6995" i="5"/>
  <c r="E6994" i="5"/>
  <c r="E6996" i="5"/>
  <c r="E6982" i="5"/>
  <c r="E6999" i="5"/>
  <c r="E7009" i="5"/>
  <c r="E7008" i="5"/>
  <c r="E7006" i="5"/>
  <c r="E7007" i="5"/>
  <c r="E7004" i="5"/>
  <c r="E7000" i="5"/>
  <c r="E7002" i="5"/>
  <c r="E7003" i="5"/>
  <c r="E7001" i="5"/>
  <c r="E7005" i="5"/>
  <c r="E7015" i="5"/>
  <c r="E7021" i="5"/>
  <c r="E7017" i="5"/>
  <c r="E7020" i="5"/>
  <c r="E7014" i="5"/>
  <c r="E7013" i="5"/>
  <c r="E7019" i="5"/>
  <c r="E7022" i="5"/>
  <c r="E7028" i="5"/>
  <c r="E7030" i="5"/>
  <c r="E7029" i="5"/>
  <c r="E7039" i="5"/>
  <c r="E7034" i="5"/>
  <c r="E7043" i="5"/>
  <c r="E7036" i="5"/>
  <c r="E7037" i="5"/>
  <c r="E7050" i="5"/>
  <c r="E7049" i="5"/>
  <c r="E7045" i="5"/>
  <c r="E7065" i="5"/>
  <c r="E7068" i="5"/>
  <c r="E7066" i="5"/>
  <c r="E7069" i="5"/>
  <c r="E7103" i="5"/>
  <c r="E7104" i="5"/>
  <c r="E7099" i="5"/>
  <c r="E7098" i="5"/>
  <c r="E7094" i="5"/>
  <c r="E7100" i="5"/>
  <c r="E7102" i="5"/>
  <c r="E7091" i="5"/>
  <c r="E7101" i="5"/>
  <c r="E7092" i="5"/>
  <c r="E7095" i="5"/>
  <c r="E7119" i="5"/>
  <c r="E7112" i="5"/>
  <c r="E7120" i="5"/>
  <c r="E7113" i="5"/>
  <c r="E7110" i="5"/>
  <c r="E7118" i="5"/>
  <c r="E7125" i="5"/>
  <c r="E7124" i="5"/>
  <c r="E7117" i="5"/>
  <c r="E7115" i="5"/>
  <c r="E7122" i="5"/>
  <c r="E7114" i="5"/>
  <c r="E7116" i="5"/>
  <c r="E7123" i="5"/>
  <c r="E7121" i="5"/>
  <c r="E7111" i="5"/>
  <c r="E7132" i="5"/>
  <c r="E7136" i="5"/>
  <c r="E7128" i="5"/>
  <c r="E7127" i="5"/>
  <c r="E7135" i="5"/>
  <c r="E7131" i="5"/>
  <c r="E7134" i="5"/>
  <c r="E7153" i="5"/>
  <c r="E7155" i="5"/>
  <c r="E7154" i="5"/>
  <c r="E7152" i="5"/>
  <c r="E7151" i="5"/>
  <c r="E7169" i="5"/>
  <c r="E7166" i="5"/>
  <c r="E7171" i="5"/>
  <c r="E7164" i="5"/>
  <c r="E7168" i="5"/>
  <c r="E7165" i="5"/>
  <c r="E7170" i="5"/>
  <c r="E6502" i="5"/>
  <c r="E7184" i="5"/>
  <c r="E7182" i="5"/>
  <c r="E7181" i="5"/>
  <c r="E7180" i="5"/>
  <c r="E7209" i="5"/>
  <c r="E7210" i="5"/>
  <c r="E7204" i="5"/>
  <c r="E7206" i="5"/>
  <c r="E7208" i="5"/>
  <c r="E7224" i="5"/>
  <c r="E7225" i="5"/>
  <c r="E7222" i="5"/>
  <c r="E7223" i="5"/>
  <c r="E7221" i="5"/>
  <c r="E7220" i="5"/>
  <c r="E7219" i="5"/>
  <c r="E7215" i="5"/>
  <c r="E7217" i="5"/>
  <c r="E7218" i="5"/>
  <c r="E7216" i="5"/>
  <c r="E7235" i="5"/>
  <c r="E7230" i="5"/>
  <c r="E7231" i="5"/>
  <c r="E7226" i="5"/>
  <c r="E7236" i="5"/>
  <c r="E7229" i="5"/>
  <c r="E7233" i="5"/>
  <c r="E7232" i="5"/>
  <c r="E7228" i="5"/>
  <c r="E7227" i="5"/>
  <c r="E7241" i="5"/>
  <c r="E7240" i="5"/>
  <c r="E7245" i="5"/>
  <c r="E7239" i="5"/>
  <c r="E7244" i="5"/>
  <c r="E7243" i="5"/>
  <c r="E7242" i="5"/>
  <c r="E7254" i="5"/>
  <c r="E7255" i="5"/>
  <c r="E7250" i="5"/>
  <c r="E7251" i="5"/>
  <c r="E7261" i="5"/>
  <c r="E7262" i="5"/>
  <c r="E7253" i="5"/>
  <c r="E7249" i="5"/>
  <c r="E7260" i="5"/>
  <c r="E7258" i="5"/>
  <c r="E7259" i="5"/>
  <c r="E7256" i="5"/>
  <c r="E7248" i="5"/>
  <c r="E7252" i="5"/>
  <c r="E7265" i="5"/>
  <c r="E7268" i="5"/>
  <c r="E7266" i="5"/>
  <c r="E7267" i="5"/>
  <c r="E7277" i="5"/>
  <c r="E7276" i="5"/>
  <c r="E7284" i="5"/>
  <c r="E7271" i="5"/>
  <c r="E7281" i="5"/>
  <c r="E7285" i="5"/>
  <c r="E7270" i="5"/>
  <c r="E7272" i="5"/>
  <c r="E7279" i="5"/>
  <c r="E7275" i="5"/>
  <c r="E7288" i="5"/>
  <c r="E7273" i="5"/>
  <c r="E7287" i="5"/>
  <c r="E7286" i="5"/>
  <c r="E7289" i="5"/>
  <c r="E7282" i="5"/>
  <c r="E7280" i="5"/>
  <c r="E7283" i="5"/>
  <c r="E7278" i="5"/>
  <c r="E7269" i="5"/>
  <c r="E7274" i="5"/>
  <c r="E7299" i="5"/>
  <c r="E7290" i="5"/>
  <c r="E7296" i="5"/>
  <c r="E7294" i="5"/>
  <c r="E7293" i="5"/>
  <c r="E7295" i="5"/>
  <c r="E7291" i="5"/>
  <c r="E7298" i="5"/>
  <c r="E7297" i="5"/>
  <c r="E7292" i="5"/>
  <c r="E7312" i="5"/>
  <c r="E7307" i="5"/>
  <c r="E7313" i="5"/>
  <c r="E7301" i="5"/>
  <c r="E7306" i="5"/>
  <c r="E7310" i="5"/>
  <c r="E7311" i="5"/>
  <c r="E7302" i="5"/>
  <c r="E7304" i="5"/>
  <c r="E7303" i="5"/>
  <c r="E7308" i="5"/>
  <c r="E7309" i="5"/>
  <c r="E7305" i="5"/>
  <c r="E7319" i="5"/>
  <c r="E7314" i="5"/>
  <c r="E7333" i="5"/>
  <c r="E7318" i="5"/>
  <c r="E7331" i="5"/>
  <c r="E7334" i="5"/>
  <c r="E7332" i="5"/>
  <c r="E7320" i="5"/>
  <c r="E7321" i="5"/>
  <c r="E7315" i="5"/>
  <c r="E7322" i="5"/>
  <c r="E7323" i="5"/>
  <c r="E7328" i="5"/>
  <c r="E7326" i="5"/>
  <c r="E7325" i="5"/>
  <c r="E7327" i="5"/>
  <c r="E7316" i="5"/>
  <c r="E7317" i="5"/>
  <c r="E7324" i="5"/>
  <c r="E7330" i="5"/>
  <c r="E7329" i="5"/>
  <c r="E7341" i="5"/>
  <c r="E7342" i="5"/>
  <c r="E7346" i="5"/>
  <c r="E7340" i="5"/>
  <c r="E7343" i="5"/>
  <c r="E7339" i="5"/>
  <c r="E7338" i="5"/>
  <c r="E7336" i="5"/>
  <c r="E7344" i="5"/>
  <c r="E7345" i="5"/>
  <c r="E7349" i="5"/>
  <c r="E7350" i="5"/>
  <c r="E7347" i="5"/>
  <c r="E7355" i="5"/>
  <c r="E7354" i="5"/>
  <c r="E7351" i="5"/>
  <c r="E7356" i="5"/>
  <c r="E7358" i="5"/>
  <c r="E7360" i="5"/>
  <c r="E7352" i="5"/>
  <c r="E7357" i="5"/>
  <c r="E7353" i="5"/>
  <c r="E7359" i="5"/>
  <c r="E7364" i="5"/>
  <c r="E7365" i="5"/>
  <c r="E7370" i="5"/>
  <c r="E7362" i="5"/>
  <c r="E7366" i="5"/>
  <c r="E7367" i="5"/>
  <c r="E7369" i="5"/>
  <c r="E7368" i="5"/>
  <c r="E7361" i="5"/>
  <c r="E7411" i="5"/>
  <c r="E7380" i="5"/>
  <c r="E7401" i="5"/>
  <c r="E7402" i="5"/>
  <c r="E7403" i="5"/>
  <c r="E7404" i="5"/>
  <c r="E7405" i="5"/>
  <c r="E7406" i="5"/>
  <c r="E7407" i="5"/>
  <c r="E7408" i="5"/>
  <c r="E7409" i="5"/>
  <c r="E7415" i="5"/>
  <c r="E7373" i="5"/>
  <c r="E7383" i="5"/>
  <c r="E7384" i="5"/>
  <c r="E7385" i="5"/>
  <c r="E7386" i="5"/>
  <c r="E7387" i="5"/>
  <c r="E7388" i="5"/>
  <c r="E7389" i="5"/>
  <c r="E7390" i="5"/>
  <c r="E7391" i="5"/>
  <c r="E7392" i="5"/>
  <c r="E7416" i="5"/>
  <c r="E7417" i="5"/>
  <c r="E7418" i="5"/>
  <c r="E7419" i="5"/>
  <c r="E7420" i="5"/>
  <c r="E7421" i="5"/>
  <c r="E7422" i="5"/>
  <c r="E7423" i="5"/>
  <c r="E7424" i="5"/>
  <c r="E7425" i="5"/>
  <c r="E7426" i="5"/>
  <c r="E7427" i="5"/>
  <c r="E7410" i="5"/>
  <c r="E7377" i="5"/>
  <c r="E7378" i="5"/>
  <c r="E7394" i="5"/>
  <c r="E7376" i="5"/>
  <c r="E7382" i="5"/>
  <c r="E7372" i="5"/>
  <c r="E7374" i="5"/>
  <c r="E7400" i="5"/>
  <c r="E7393" i="5"/>
  <c r="E7413" i="5"/>
  <c r="E7395" i="5"/>
  <c r="E7375" i="5"/>
  <c r="E7379" i="5"/>
  <c r="E7412" i="5"/>
  <c r="E7381" i="5"/>
  <c r="E7434" i="5"/>
  <c r="E7431" i="5"/>
  <c r="E7438" i="5"/>
  <c r="E7439" i="5"/>
  <c r="E7433" i="5"/>
  <c r="E7436" i="5"/>
  <c r="E7430" i="5"/>
  <c r="E7435" i="5"/>
  <c r="E7432" i="5"/>
  <c r="E7442" i="5"/>
  <c r="E7440" i="5"/>
  <c r="E7429" i="5"/>
  <c r="E7437" i="5"/>
  <c r="E7428" i="5"/>
  <c r="E7441" i="5"/>
  <c r="E7459" i="5"/>
  <c r="E7457" i="5"/>
  <c r="E7458" i="5"/>
  <c r="E7451" i="5"/>
  <c r="E7448" i="5"/>
  <c r="E7450" i="5"/>
  <c r="E7456" i="5"/>
  <c r="E7460" i="5"/>
  <c r="E7446" i="5"/>
  <c r="E7447" i="5"/>
  <c r="E7445" i="5"/>
  <c r="E7455" i="5"/>
  <c r="E7454" i="5"/>
  <c r="E7449" i="5"/>
  <c r="E7463" i="5"/>
  <c r="E7452" i="5"/>
  <c r="E7464" i="5"/>
  <c r="E7453" i="5"/>
  <c r="E7461" i="5"/>
  <c r="E7469" i="5"/>
  <c r="E7472" i="5"/>
  <c r="E7470" i="5"/>
  <c r="E7471" i="5"/>
  <c r="E7476" i="5"/>
  <c r="E7468" i="5"/>
  <c r="E7474" i="5"/>
  <c r="E7473" i="5"/>
  <c r="E7475" i="5"/>
  <c r="E7467" i="5"/>
  <c r="E7479" i="5"/>
  <c r="E7482" i="5"/>
  <c r="E7485" i="5"/>
  <c r="E7483" i="5"/>
  <c r="E7481" i="5"/>
  <c r="E7486" i="5"/>
  <c r="E7487" i="5"/>
  <c r="E7490" i="5"/>
  <c r="E7489" i="5"/>
  <c r="E7500" i="5"/>
  <c r="E7499" i="5"/>
  <c r="E7509" i="5"/>
  <c r="E7515" i="5"/>
  <c r="E7510" i="5"/>
  <c r="E7524" i="5"/>
  <c r="E7542" i="5"/>
  <c r="E7540" i="5"/>
  <c r="E7537" i="5"/>
  <c r="E7541" i="5"/>
  <c r="E7546" i="5"/>
  <c r="E7547" i="5"/>
  <c r="E7556" i="5"/>
  <c r="E7555" i="5"/>
  <c r="E7578" i="5"/>
  <c r="E7573" i="5"/>
  <c r="E7205" i="5"/>
  <c r="E7591" i="5"/>
  <c r="E7592" i="5"/>
  <c r="E7590" i="5"/>
  <c r="E7600" i="5"/>
  <c r="E7601" i="5"/>
  <c r="E7605" i="5"/>
  <c r="E7604" i="5"/>
  <c r="E7609" i="5"/>
  <c r="E7608" i="5"/>
  <c r="E7612" i="5"/>
  <c r="E7613" i="5"/>
  <c r="E7619" i="5"/>
  <c r="E7615" i="5"/>
  <c r="E7617" i="5"/>
  <c r="E7618" i="5"/>
  <c r="E7614" i="5"/>
  <c r="E7621" i="5"/>
  <c r="E7624" i="5"/>
  <c r="E7626" i="5"/>
  <c r="E7625" i="5"/>
  <c r="E7622" i="5"/>
  <c r="E7623" i="5"/>
  <c r="E7631" i="5"/>
  <c r="E7627" i="5"/>
  <c r="E7628" i="5"/>
  <c r="E7629" i="5"/>
  <c r="E7630" i="5"/>
  <c r="E7633" i="5"/>
  <c r="E7632" i="5"/>
  <c r="E7634" i="5"/>
  <c r="E7636" i="5"/>
  <c r="E7637" i="5"/>
  <c r="E7638" i="5"/>
  <c r="E7643" i="5"/>
  <c r="E7645" i="5"/>
  <c r="E7644" i="5"/>
  <c r="E7639" i="5"/>
  <c r="E7640" i="5"/>
  <c r="E7641" i="5"/>
  <c r="E7642" i="5"/>
  <c r="E7647" i="5"/>
  <c r="E7648" i="5"/>
  <c r="E7650" i="5"/>
  <c r="E7649" i="5"/>
  <c r="E7653" i="5"/>
  <c r="E7655" i="5"/>
  <c r="E7651" i="5"/>
  <c r="E7654" i="5"/>
  <c r="E7652" i="5"/>
  <c r="E7656" i="5"/>
  <c r="E7657" i="5"/>
  <c r="E7663" i="5"/>
  <c r="E7675" i="5"/>
  <c r="E7676" i="5"/>
  <c r="E7677" i="5"/>
  <c r="E7678" i="5"/>
  <c r="E7679" i="5"/>
  <c r="E7680" i="5"/>
  <c r="E7687" i="5"/>
  <c r="E7681" i="5"/>
  <c r="E7682" i="5"/>
  <c r="E7683" i="5"/>
  <c r="E7686" i="5"/>
  <c r="E7685" i="5"/>
  <c r="E7689" i="5"/>
  <c r="E7658" i="5"/>
  <c r="E7664" i="5"/>
  <c r="E7665" i="5"/>
  <c r="E7666" i="5"/>
  <c r="E7667" i="5"/>
  <c r="E7668" i="5"/>
  <c r="E7669" i="5"/>
  <c r="E7670" i="5"/>
  <c r="E7671" i="5"/>
  <c r="E7672" i="5"/>
  <c r="E7673" i="5"/>
  <c r="E7690" i="5"/>
  <c r="E7691" i="5"/>
  <c r="E7692" i="5"/>
  <c r="E7693" i="5"/>
  <c r="E7694" i="5"/>
  <c r="E7695" i="5"/>
  <c r="E7696" i="5"/>
  <c r="E7697" i="5"/>
  <c r="E7698" i="5"/>
  <c r="E7699" i="5"/>
  <c r="E7700" i="5"/>
  <c r="E7701" i="5"/>
  <c r="E7684" i="5"/>
  <c r="E7660" i="5"/>
  <c r="E7661" i="5"/>
  <c r="E7674" i="5"/>
  <c r="E7659" i="5"/>
  <c r="E7662" i="5"/>
  <c r="E7688" i="5"/>
  <c r="E7703" i="5"/>
  <c r="E7702" i="5"/>
  <c r="E7704" i="5"/>
  <c r="E7706" i="5"/>
  <c r="E7709" i="5"/>
  <c r="E7707" i="5"/>
  <c r="E7710" i="5"/>
  <c r="E7708" i="5"/>
  <c r="E7711" i="5"/>
  <c r="E7712" i="5"/>
  <c r="E7713" i="5"/>
  <c r="E7714" i="5"/>
  <c r="E7715" i="5"/>
  <c r="E7716" i="5"/>
  <c r="E7717" i="5"/>
  <c r="E7718" i="5"/>
  <c r="E7722" i="5"/>
  <c r="E7721" i="5"/>
  <c r="E7723" i="5"/>
  <c r="E7725" i="5"/>
  <c r="E7728" i="5"/>
  <c r="E7727" i="5"/>
  <c r="E7729" i="5"/>
  <c r="E7734" i="5"/>
  <c r="E7739" i="5"/>
  <c r="E7737" i="5"/>
  <c r="E7741" i="5"/>
  <c r="E7745" i="5"/>
  <c r="E7744" i="5"/>
  <c r="E7748" i="5"/>
  <c r="E7749" i="5"/>
  <c r="E7747" i="5"/>
  <c r="E7599" i="5"/>
  <c r="E7751" i="5"/>
  <c r="E7750" i="5"/>
  <c r="E7752" i="5"/>
  <c r="E7753" i="5"/>
  <c r="E7756" i="5"/>
  <c r="E7758" i="5"/>
  <c r="E7757" i="5"/>
  <c r="E7759" i="5"/>
  <c r="E7761" i="5"/>
  <c r="E7760" i="5"/>
  <c r="E7763" i="5"/>
  <c r="E7762" i="5"/>
  <c r="E7766" i="5"/>
  <c r="E7765" i="5"/>
  <c r="E7767" i="5"/>
  <c r="E7764" i="5"/>
  <c r="E7769" i="5"/>
  <c r="E7770" i="5"/>
  <c r="E7773" i="5"/>
  <c r="E7775" i="5"/>
  <c r="E7774" i="5"/>
  <c r="E7771" i="5"/>
  <c r="E7772" i="5"/>
  <c r="E7776" i="5"/>
  <c r="E7777" i="5"/>
  <c r="E7778" i="5"/>
  <c r="E7780" i="5"/>
  <c r="E7779" i="5"/>
  <c r="E7781" i="5"/>
  <c r="E7786" i="5"/>
  <c r="E7797" i="5"/>
  <c r="E7798" i="5"/>
  <c r="E7799" i="5"/>
  <c r="E7800" i="5"/>
  <c r="E7801" i="5"/>
  <c r="E7802" i="5"/>
  <c r="E7809" i="5"/>
  <c r="E7810" i="5"/>
  <c r="E7803" i="5"/>
  <c r="E7804" i="5"/>
  <c r="E7805" i="5"/>
  <c r="E7808" i="5"/>
  <c r="E7807" i="5"/>
  <c r="E7811" i="5"/>
  <c r="E7782" i="5"/>
  <c r="E7787" i="5"/>
  <c r="E7788" i="5"/>
  <c r="E7789" i="5"/>
  <c r="E7790" i="5"/>
  <c r="E7791" i="5"/>
  <c r="E7792" i="5"/>
  <c r="E7793" i="5"/>
  <c r="E7794" i="5"/>
  <c r="E7795" i="5"/>
  <c r="E7796" i="5"/>
  <c r="E7812" i="5"/>
  <c r="E7813" i="5"/>
  <c r="E7814" i="5"/>
  <c r="E7815" i="5"/>
  <c r="E7816" i="5"/>
  <c r="E7817" i="5"/>
  <c r="E7818" i="5"/>
  <c r="E7819" i="5"/>
  <c r="E7820" i="5"/>
  <c r="E7821" i="5"/>
  <c r="E7822" i="5"/>
  <c r="E7806" i="5"/>
  <c r="E7783" i="5"/>
  <c r="E7784" i="5"/>
  <c r="E7785" i="5"/>
  <c r="E7823" i="5"/>
  <c r="E7824" i="5"/>
  <c r="E7825" i="5"/>
  <c r="E7827" i="5"/>
  <c r="E7826" i="5"/>
  <c r="E7829" i="5"/>
  <c r="E7830" i="5"/>
  <c r="E7831" i="5"/>
  <c r="E7834" i="5"/>
  <c r="E7832" i="5"/>
  <c r="E7835" i="5"/>
  <c r="E7836" i="5"/>
  <c r="E7837" i="5"/>
  <c r="E7838" i="5"/>
  <c r="E7839" i="5"/>
  <c r="E7841" i="5"/>
  <c r="E7843" i="5"/>
  <c r="E7746" i="5"/>
  <c r="E7846" i="5"/>
  <c r="E7847" i="5"/>
  <c r="E7845" i="5"/>
  <c r="E7849" i="5"/>
  <c r="E7850" i="5"/>
  <c r="E7852" i="5"/>
  <c r="E7851" i="5"/>
  <c r="E7853" i="5"/>
  <c r="E7856" i="5"/>
  <c r="E7858" i="5"/>
  <c r="E7857" i="5"/>
  <c r="E7860" i="5"/>
  <c r="E7859" i="5"/>
  <c r="E7862" i="5"/>
  <c r="E7861" i="5"/>
  <c r="E7865" i="5"/>
  <c r="E7864" i="5"/>
  <c r="E7866" i="5"/>
  <c r="E7863" i="5"/>
  <c r="E7868" i="5"/>
  <c r="E7869" i="5"/>
  <c r="E7871" i="5"/>
  <c r="E7873" i="5"/>
  <c r="E7872" i="5"/>
  <c r="E7870" i="5"/>
  <c r="E7874" i="5"/>
  <c r="E7875" i="5"/>
  <c r="E7876" i="5"/>
  <c r="E7878" i="5"/>
  <c r="E7877" i="5"/>
  <c r="E7879" i="5"/>
  <c r="E7883" i="5"/>
  <c r="E7894" i="5"/>
  <c r="E7895" i="5"/>
  <c r="E7896" i="5"/>
  <c r="E7897" i="5"/>
  <c r="E7898" i="5"/>
  <c r="E7899" i="5"/>
  <c r="E7906" i="5"/>
  <c r="E7907" i="5"/>
  <c r="E7900" i="5"/>
  <c r="E7901" i="5"/>
  <c r="E7902" i="5"/>
  <c r="E7905" i="5"/>
  <c r="E7904" i="5"/>
  <c r="E7908" i="5"/>
  <c r="E7880" i="5"/>
  <c r="E7884" i="5"/>
  <c r="E7885" i="5"/>
  <c r="E7886" i="5"/>
  <c r="E7887" i="5"/>
  <c r="E7888" i="5"/>
  <c r="E7889" i="5"/>
  <c r="E7890" i="5"/>
  <c r="E7891" i="5"/>
  <c r="E7892" i="5"/>
  <c r="E7893" i="5"/>
  <c r="E7909" i="5"/>
  <c r="E7910" i="5"/>
  <c r="E7911" i="5"/>
  <c r="E7912" i="5"/>
  <c r="E7913" i="5"/>
  <c r="E7914" i="5"/>
  <c r="E7915" i="5"/>
  <c r="E7916" i="5"/>
  <c r="E7917" i="5"/>
  <c r="E7918" i="5"/>
  <c r="E7919" i="5"/>
  <c r="E7903" i="5"/>
  <c r="E7881" i="5"/>
  <c r="E7882" i="5"/>
  <c r="E7920" i="5"/>
  <c r="E7921" i="5"/>
  <c r="E7922" i="5"/>
  <c r="E7923" i="5"/>
  <c r="E7925" i="5"/>
  <c r="E7926" i="5"/>
  <c r="E7927" i="5"/>
  <c r="E7928" i="5"/>
  <c r="E7929" i="5"/>
  <c r="E7930" i="5"/>
  <c r="E7932" i="5"/>
  <c r="E7934" i="5"/>
  <c r="E7936" i="5"/>
  <c r="E7848" i="5"/>
  <c r="E7938" i="5"/>
  <c r="E7937" i="5"/>
  <c r="E7940" i="5"/>
  <c r="E7941" i="5"/>
  <c r="E7942" i="5"/>
  <c r="E7945" i="5"/>
  <c r="E7947" i="5"/>
  <c r="E7946" i="5"/>
  <c r="E7948" i="5"/>
  <c r="E7951" i="5"/>
  <c r="E7950" i="5"/>
  <c r="E7952" i="5"/>
  <c r="E7953" i="5"/>
  <c r="E7954" i="5"/>
  <c r="E7955" i="5"/>
  <c r="E7957" i="5"/>
  <c r="E7956" i="5"/>
  <c r="E7959" i="5"/>
  <c r="E7960" i="5"/>
  <c r="E7958" i="5"/>
  <c r="E7961" i="5"/>
  <c r="E7963" i="5"/>
  <c r="E7974" i="5"/>
  <c r="E7975" i="5"/>
  <c r="E7976" i="5"/>
  <c r="E7977" i="5"/>
  <c r="E7978" i="5"/>
  <c r="E7979" i="5"/>
  <c r="E7986" i="5"/>
  <c r="E7987" i="5"/>
  <c r="E7980" i="5"/>
  <c r="E7981" i="5"/>
  <c r="E7982" i="5"/>
  <c r="E7985" i="5"/>
  <c r="E7984" i="5"/>
  <c r="E7988" i="5"/>
  <c r="E7962" i="5"/>
  <c r="E7964" i="5"/>
  <c r="E7965" i="5"/>
  <c r="E7966" i="5"/>
  <c r="E7967" i="5"/>
  <c r="E7968" i="5"/>
  <c r="E7969" i="5"/>
  <c r="E7970" i="5"/>
  <c r="E7971" i="5"/>
  <c r="E7972" i="5"/>
  <c r="E7973" i="5"/>
  <c r="E7989" i="5"/>
  <c r="E7990" i="5"/>
  <c r="E7991" i="5"/>
  <c r="E7992" i="5"/>
  <c r="E7993" i="5"/>
  <c r="E7994" i="5"/>
  <c r="E7995" i="5"/>
  <c r="E7996" i="5"/>
  <c r="E7997" i="5"/>
  <c r="E7998" i="5"/>
  <c r="E7999" i="5"/>
  <c r="E7983" i="5"/>
  <c r="E8000" i="5"/>
  <c r="E8001" i="5"/>
  <c r="E8002" i="5"/>
  <c r="E8003" i="5"/>
  <c r="E8004" i="5"/>
  <c r="E8005" i="5"/>
  <c r="E8006" i="5"/>
  <c r="E8007" i="5"/>
  <c r="E8008" i="5"/>
  <c r="E8009" i="5"/>
  <c r="E8011" i="5"/>
  <c r="E8010" i="5"/>
  <c r="E7939" i="5"/>
  <c r="E8012" i="5"/>
  <c r="E8014" i="5"/>
  <c r="E8015" i="5"/>
  <c r="E8016" i="5"/>
  <c r="E8018" i="5"/>
  <c r="E8017" i="5"/>
  <c r="E8019" i="5"/>
  <c r="E8021" i="5"/>
  <c r="E8020" i="5"/>
  <c r="E8022" i="5"/>
  <c r="E8023" i="5"/>
  <c r="E8024" i="5"/>
  <c r="E8025" i="5"/>
  <c r="E8026" i="5"/>
  <c r="E8027" i="5"/>
  <c r="E8029" i="5"/>
  <c r="E8040" i="5"/>
  <c r="E8041" i="5"/>
  <c r="E8042" i="5"/>
  <c r="E8043" i="5"/>
  <c r="E8044" i="5"/>
  <c r="E8045" i="5"/>
  <c r="E8052" i="5"/>
  <c r="E8053" i="5"/>
  <c r="E8046" i="5"/>
  <c r="E8047" i="5"/>
  <c r="E8048" i="5"/>
  <c r="E8051" i="5"/>
  <c r="E8050" i="5"/>
  <c r="E8054" i="5"/>
  <c r="E8028" i="5"/>
  <c r="E8030" i="5"/>
  <c r="E8031" i="5"/>
  <c r="E8032" i="5"/>
  <c r="E8033" i="5"/>
  <c r="E8034" i="5"/>
  <c r="E8035" i="5"/>
  <c r="E8036" i="5"/>
  <c r="E8037" i="5"/>
  <c r="E8038" i="5"/>
  <c r="E8039" i="5"/>
  <c r="E8055" i="5"/>
  <c r="E8056" i="5"/>
  <c r="E8057" i="5"/>
  <c r="E8058" i="5"/>
  <c r="E8059" i="5"/>
  <c r="E8060" i="5"/>
  <c r="E8061" i="5"/>
  <c r="E8062" i="5"/>
  <c r="E8063" i="5"/>
  <c r="E8064" i="5"/>
  <c r="E8065" i="5"/>
  <c r="E8049" i="5"/>
  <c r="E8066" i="5"/>
  <c r="E8067" i="5"/>
  <c r="E8068" i="5"/>
  <c r="E8069" i="5"/>
  <c r="E8070" i="5"/>
  <c r="E8071" i="5"/>
  <c r="E8072" i="5"/>
  <c r="E8073" i="5"/>
  <c r="E8074" i="5"/>
  <c r="E8013" i="5"/>
  <c r="E8076" i="5"/>
  <c r="E8077" i="5"/>
  <c r="E8075" i="5"/>
  <c r="E8078" i="5"/>
  <c r="E8080" i="5"/>
  <c r="E8081" i="5"/>
  <c r="E8083" i="5"/>
  <c r="E8082" i="5"/>
  <c r="E8084" i="5"/>
  <c r="E8086" i="5"/>
  <c r="E8085" i="5"/>
  <c r="E8087" i="5"/>
  <c r="E8088" i="5"/>
  <c r="E8089" i="5"/>
  <c r="E8090" i="5"/>
  <c r="E8091" i="5"/>
  <c r="E8092" i="5"/>
  <c r="E8094" i="5"/>
  <c r="E8105" i="5"/>
  <c r="E8106" i="5"/>
  <c r="E8107" i="5"/>
  <c r="E8108" i="5"/>
  <c r="E8109" i="5"/>
  <c r="E8110" i="5"/>
  <c r="E8117" i="5"/>
  <c r="E8118" i="5"/>
  <c r="E8111" i="5"/>
  <c r="E8112" i="5"/>
  <c r="E8113" i="5"/>
  <c r="E8116" i="5"/>
  <c r="E8115" i="5"/>
  <c r="E8119" i="5"/>
  <c r="E8093" i="5"/>
  <c r="E8095" i="5"/>
  <c r="E8096" i="5"/>
  <c r="E8097" i="5"/>
  <c r="E8098" i="5"/>
  <c r="E8099" i="5"/>
  <c r="E8100" i="5"/>
  <c r="E8101" i="5"/>
  <c r="E8102" i="5"/>
  <c r="E8103" i="5"/>
  <c r="E8104" i="5"/>
  <c r="E8120" i="5"/>
  <c r="E8121" i="5"/>
  <c r="E8122" i="5"/>
  <c r="E8123" i="5"/>
  <c r="E8124" i="5"/>
  <c r="E8125" i="5"/>
  <c r="E8126" i="5"/>
  <c r="E8127" i="5"/>
  <c r="E8128" i="5"/>
  <c r="E8129" i="5"/>
  <c r="E8130" i="5"/>
  <c r="E8114" i="5"/>
  <c r="E8131" i="5"/>
  <c r="E8132" i="5"/>
  <c r="E8133" i="5"/>
  <c r="E8134" i="5"/>
  <c r="E8135" i="5"/>
  <c r="E8136" i="5"/>
  <c r="E8137" i="5"/>
  <c r="E8138" i="5"/>
  <c r="E8139" i="5"/>
  <c r="E8079" i="5"/>
  <c r="E8141" i="5"/>
  <c r="E8140" i="5"/>
  <c r="E8142" i="5"/>
  <c r="E8144" i="5"/>
  <c r="E8145" i="5"/>
  <c r="E8147" i="5"/>
  <c r="E8146" i="5"/>
  <c r="E8148" i="5"/>
  <c r="E8150" i="5"/>
  <c r="E8149" i="5"/>
  <c r="E8151" i="5"/>
  <c r="E8152" i="5"/>
  <c r="E8153" i="5"/>
  <c r="E8154" i="5"/>
  <c r="E8155" i="5"/>
  <c r="E8157" i="5"/>
  <c r="E8168" i="5"/>
  <c r="E8169" i="5"/>
  <c r="E8170" i="5"/>
  <c r="E8171" i="5"/>
  <c r="E8172" i="5"/>
  <c r="E8173" i="5"/>
  <c r="E8180" i="5"/>
  <c r="E8181" i="5"/>
  <c r="E8174" i="5"/>
  <c r="E8175" i="5"/>
  <c r="E8176" i="5"/>
  <c r="E8179" i="5"/>
  <c r="E8178" i="5"/>
  <c r="E8182" i="5"/>
  <c r="E8156" i="5"/>
  <c r="E8158" i="5"/>
  <c r="E8159" i="5"/>
  <c r="E8160" i="5"/>
  <c r="E8161" i="5"/>
  <c r="E8162" i="5"/>
  <c r="E8163" i="5"/>
  <c r="E8164" i="5"/>
  <c r="E8165" i="5"/>
  <c r="E8166" i="5"/>
  <c r="E8167" i="5"/>
  <c r="E8183" i="5"/>
  <c r="E8184" i="5"/>
  <c r="E8185" i="5"/>
  <c r="E8186" i="5"/>
  <c r="E8187" i="5"/>
  <c r="E8188" i="5"/>
  <c r="E8189" i="5"/>
  <c r="E8190" i="5"/>
  <c r="E8191" i="5"/>
  <c r="E8192" i="5"/>
  <c r="E8193" i="5"/>
  <c r="E8177" i="5"/>
  <c r="E8194" i="5"/>
  <c r="E8195" i="5"/>
  <c r="E8196" i="5"/>
  <c r="E8197" i="5"/>
  <c r="E8198" i="5"/>
  <c r="E8199" i="5"/>
  <c r="E8200" i="5"/>
  <c r="E8201" i="5"/>
  <c r="E8203" i="5"/>
  <c r="E8204" i="5"/>
  <c r="E8202" i="5"/>
  <c r="E8143" i="5"/>
  <c r="E8205" i="5"/>
  <c r="E8207" i="5"/>
  <c r="E8208" i="5"/>
  <c r="E8210" i="5"/>
  <c r="E8209" i="5"/>
  <c r="E8211" i="5"/>
  <c r="E8212" i="5"/>
  <c r="E8214" i="5"/>
  <c r="E8213" i="5"/>
  <c r="E8215" i="5"/>
  <c r="E8216" i="5"/>
  <c r="E8217" i="5"/>
  <c r="E8218" i="5"/>
  <c r="E8219" i="5"/>
  <c r="E8221" i="5"/>
  <c r="E8232" i="5"/>
  <c r="E8233" i="5"/>
  <c r="E8234" i="5"/>
  <c r="E8235" i="5"/>
  <c r="E8236" i="5"/>
  <c r="E8237" i="5"/>
  <c r="E8244" i="5"/>
  <c r="E8245" i="5"/>
  <c r="E8238" i="5"/>
  <c r="E8239" i="5"/>
  <c r="E8240" i="5"/>
  <c r="E8243" i="5"/>
  <c r="E8242" i="5"/>
  <c r="E8246" i="5"/>
  <c r="E8220" i="5"/>
  <c r="E8222" i="5"/>
  <c r="E8223" i="5"/>
  <c r="E8224" i="5"/>
  <c r="E8225" i="5"/>
  <c r="E8226" i="5"/>
  <c r="E8227" i="5"/>
  <c r="E8228" i="5"/>
  <c r="E8229" i="5"/>
  <c r="E8230" i="5"/>
  <c r="E8231" i="5"/>
  <c r="E8247" i="5"/>
  <c r="E8248" i="5"/>
  <c r="E8249" i="5"/>
  <c r="E8250" i="5"/>
  <c r="E8251" i="5"/>
  <c r="E8252" i="5"/>
  <c r="E8253" i="5"/>
  <c r="E8254" i="5"/>
  <c r="E8255" i="5"/>
  <c r="E8256" i="5"/>
  <c r="E8257" i="5"/>
  <c r="E8241" i="5"/>
  <c r="E8258" i="5"/>
  <c r="E8259" i="5"/>
  <c r="E8260" i="5"/>
  <c r="E8261" i="5"/>
  <c r="E8263" i="5"/>
  <c r="E8262" i="5"/>
  <c r="E8264" i="5"/>
  <c r="E8265" i="5"/>
  <c r="E8266" i="5"/>
  <c r="E8206" i="5"/>
  <c r="E8268" i="5"/>
  <c r="E8267" i="5"/>
  <c r="E8270" i="5"/>
  <c r="E8271" i="5"/>
  <c r="E8272" i="5"/>
  <c r="E8273" i="5"/>
  <c r="E8275" i="5"/>
  <c r="E8274" i="5"/>
  <c r="E8276" i="5"/>
  <c r="E8277" i="5"/>
  <c r="E8278" i="5"/>
  <c r="E8279" i="5"/>
  <c r="E8280" i="5"/>
  <c r="E8292" i="5"/>
  <c r="E8293" i="5"/>
  <c r="E8294" i="5"/>
  <c r="E8295" i="5"/>
  <c r="E8296" i="5"/>
  <c r="E8297" i="5"/>
  <c r="E8304" i="5"/>
  <c r="E8305" i="5"/>
  <c r="E8298" i="5"/>
  <c r="E8299" i="5"/>
  <c r="E8300" i="5"/>
  <c r="E8303" i="5"/>
  <c r="E8302" i="5"/>
  <c r="E8306" i="5"/>
  <c r="E8281" i="5"/>
  <c r="E8282" i="5"/>
  <c r="E8283" i="5"/>
  <c r="E8284" i="5"/>
  <c r="E8285" i="5"/>
  <c r="E8286" i="5"/>
  <c r="E8287" i="5"/>
  <c r="E8288" i="5"/>
  <c r="E8289" i="5"/>
  <c r="E8290" i="5"/>
  <c r="E8291" i="5"/>
  <c r="E8307" i="5"/>
  <c r="E8308" i="5"/>
  <c r="E8309" i="5"/>
  <c r="E8310" i="5"/>
  <c r="E8311" i="5"/>
  <c r="E8312" i="5"/>
  <c r="E8313" i="5"/>
  <c r="E8314" i="5"/>
  <c r="E8315" i="5"/>
  <c r="E8316" i="5"/>
  <c r="E8317" i="5"/>
  <c r="E8301" i="5"/>
  <c r="E8318" i="5"/>
  <c r="E8319" i="5"/>
  <c r="E8320" i="5"/>
  <c r="E8321" i="5"/>
  <c r="E8322" i="5"/>
  <c r="E8323" i="5"/>
  <c r="E8324" i="5"/>
  <c r="E8326" i="5"/>
  <c r="E8325" i="5"/>
  <c r="E8269" i="5"/>
  <c r="E8327" i="5"/>
  <c r="E8328" i="5"/>
  <c r="E8329" i="5"/>
  <c r="E8330" i="5"/>
  <c r="E8331" i="5"/>
  <c r="E8333" i="5"/>
  <c r="E8332" i="5"/>
  <c r="E8334" i="5"/>
  <c r="E8335" i="5"/>
  <c r="E8336" i="5"/>
  <c r="E8348" i="5"/>
  <c r="E8349" i="5"/>
  <c r="E8350" i="5"/>
  <c r="E8351" i="5"/>
  <c r="E8352" i="5"/>
  <c r="E8353" i="5"/>
  <c r="E8360" i="5"/>
  <c r="E8361" i="5"/>
  <c r="E8354" i="5"/>
  <c r="E8355" i="5"/>
  <c r="E8356" i="5"/>
  <c r="E8359" i="5"/>
  <c r="E8358" i="5"/>
  <c r="E8362" i="5"/>
  <c r="E8337" i="5"/>
  <c r="E8338" i="5"/>
  <c r="E8339" i="5"/>
  <c r="E8340" i="5"/>
  <c r="E8341" i="5"/>
  <c r="E8342" i="5"/>
  <c r="E8343" i="5"/>
  <c r="E8344" i="5"/>
  <c r="E8345" i="5"/>
  <c r="E8346" i="5"/>
  <c r="E8347" i="5"/>
  <c r="E8363" i="5"/>
  <c r="E8364" i="5"/>
  <c r="E8365" i="5"/>
  <c r="E8366" i="5"/>
  <c r="E8367" i="5"/>
  <c r="E8368" i="5"/>
  <c r="E8369" i="5"/>
  <c r="E8370" i="5"/>
  <c r="E8371" i="5"/>
  <c r="E8372" i="5"/>
  <c r="E8373" i="5"/>
  <c r="E8357" i="5"/>
  <c r="E8374" i="5"/>
  <c r="E8375" i="5"/>
  <c r="E8376" i="5"/>
  <c r="E8377" i="5"/>
  <c r="E8378" i="5"/>
  <c r="E8379" i="5"/>
  <c r="E8381" i="5"/>
  <c r="E8382" i="5"/>
  <c r="E8380" i="5"/>
  <c r="E8383" i="5"/>
  <c r="E8384" i="5"/>
  <c r="E8385" i="5"/>
  <c r="E8386" i="5"/>
  <c r="E8387" i="5"/>
  <c r="E8389" i="5"/>
  <c r="E8388" i="5"/>
  <c r="E8390" i="5"/>
  <c r="E8391" i="5"/>
  <c r="E8392" i="5"/>
  <c r="E8404" i="5"/>
  <c r="E8405" i="5"/>
  <c r="E8406" i="5"/>
  <c r="E8407" i="5"/>
  <c r="E8408" i="5"/>
  <c r="E8409" i="5"/>
  <c r="E8416" i="5"/>
  <c r="E8417" i="5"/>
  <c r="E8410" i="5"/>
  <c r="E8411" i="5"/>
  <c r="E8412" i="5"/>
  <c r="E8415" i="5"/>
  <c r="E8414" i="5"/>
  <c r="E8418" i="5"/>
  <c r="E8393" i="5"/>
  <c r="E8394" i="5"/>
  <c r="E8395" i="5"/>
  <c r="E8396" i="5"/>
  <c r="E8397" i="5"/>
  <c r="E8398" i="5"/>
  <c r="E8399" i="5"/>
  <c r="E8400" i="5"/>
  <c r="E8401" i="5"/>
  <c r="E8402" i="5"/>
  <c r="E8403" i="5"/>
  <c r="E8419" i="5"/>
  <c r="E8420" i="5"/>
  <c r="E8421" i="5"/>
  <c r="E8422" i="5"/>
  <c r="E8423" i="5"/>
  <c r="E8424" i="5"/>
  <c r="E8425" i="5"/>
  <c r="E8426" i="5"/>
  <c r="E8427" i="5"/>
  <c r="E8428" i="5"/>
  <c r="E8429" i="5"/>
  <c r="E8413" i="5"/>
  <c r="E8430" i="5"/>
  <c r="E8431" i="5"/>
  <c r="E8432" i="5"/>
  <c r="E8433" i="5"/>
  <c r="E8434" i="5"/>
  <c r="E8435" i="5"/>
  <c r="E8436" i="5"/>
  <c r="E8439" i="5"/>
  <c r="E8438" i="5"/>
  <c r="E8437" i="5"/>
  <c r="E8440" i="5"/>
  <c r="E8441" i="5"/>
  <c r="E8442" i="5"/>
  <c r="E8443" i="5"/>
  <c r="E8445" i="5"/>
  <c r="E8444" i="5"/>
  <c r="E8446" i="5"/>
  <c r="E8447" i="5"/>
  <c r="E8448" i="5"/>
  <c r="E8460" i="5"/>
  <c r="E8461" i="5"/>
  <c r="E8462" i="5"/>
  <c r="E8463" i="5"/>
  <c r="E8464" i="5"/>
  <c r="E8465" i="5"/>
  <c r="E8472" i="5"/>
  <c r="E8473" i="5"/>
  <c r="E8466" i="5"/>
  <c r="E8467" i="5"/>
  <c r="E8468" i="5"/>
  <c r="E8471" i="5"/>
  <c r="E8470" i="5"/>
  <c r="E8474" i="5"/>
  <c r="E8449" i="5"/>
  <c r="E8450" i="5"/>
  <c r="E8451" i="5"/>
  <c r="E8452" i="5"/>
  <c r="E8453" i="5"/>
  <c r="E8454" i="5"/>
  <c r="E8455" i="5"/>
  <c r="E8456" i="5"/>
  <c r="E8457" i="5"/>
  <c r="E8458" i="5"/>
  <c r="E8459" i="5"/>
  <c r="E8475" i="5"/>
  <c r="E8476" i="5"/>
  <c r="E8477" i="5"/>
  <c r="E8478" i="5"/>
  <c r="E8479" i="5"/>
  <c r="E8480" i="5"/>
  <c r="E8481" i="5"/>
  <c r="E8482" i="5"/>
  <c r="E8483" i="5"/>
  <c r="E8484" i="5"/>
  <c r="E8485" i="5"/>
  <c r="E8469" i="5"/>
  <c r="E8486" i="5"/>
  <c r="E8487" i="5"/>
  <c r="E8488" i="5"/>
  <c r="E8489" i="5"/>
  <c r="E8490" i="5"/>
  <c r="E8491" i="5"/>
  <c r="E8495" i="5"/>
  <c r="E8493" i="5"/>
  <c r="E8494" i="5"/>
  <c r="E8492" i="5"/>
  <c r="E8496" i="5"/>
  <c r="E8497" i="5"/>
  <c r="E8498" i="5"/>
  <c r="E8499" i="5"/>
  <c r="E8501" i="5"/>
  <c r="E8500" i="5"/>
  <c r="E8502" i="5"/>
  <c r="E8503" i="5"/>
  <c r="E8504" i="5"/>
  <c r="E8516" i="5"/>
  <c r="E8517" i="5"/>
  <c r="E8518" i="5"/>
  <c r="E8519" i="5"/>
  <c r="E8520" i="5"/>
  <c r="E8521" i="5"/>
  <c r="E8528" i="5"/>
  <c r="E8529" i="5"/>
  <c r="E8522" i="5"/>
  <c r="E8523" i="5"/>
  <c r="E8524" i="5"/>
  <c r="E8527" i="5"/>
  <c r="E8526" i="5"/>
  <c r="E8530" i="5"/>
  <c r="E8505" i="5"/>
  <c r="E8506" i="5"/>
  <c r="E8507" i="5"/>
  <c r="E8508" i="5"/>
  <c r="E8509" i="5"/>
  <c r="E8510" i="5"/>
  <c r="E8511" i="5"/>
  <c r="E8512" i="5"/>
  <c r="E8513" i="5"/>
  <c r="E8514" i="5"/>
  <c r="E8515" i="5"/>
  <c r="E8531" i="5"/>
  <c r="E8532" i="5"/>
  <c r="E8533" i="5"/>
  <c r="E8534" i="5"/>
  <c r="E8535" i="5"/>
  <c r="E8536" i="5"/>
  <c r="E8537" i="5"/>
  <c r="E8538" i="5"/>
  <c r="E8539" i="5"/>
  <c r="E8540" i="5"/>
  <c r="E8541" i="5"/>
  <c r="E8525" i="5"/>
  <c r="E8542" i="5"/>
  <c r="E8543" i="5"/>
  <c r="E8544" i="5"/>
  <c r="E8545" i="5"/>
  <c r="E8546" i="5"/>
  <c r="E8547" i="5"/>
  <c r="E8548" i="5"/>
  <c r="E8550" i="5"/>
  <c r="E8549" i="5"/>
  <c r="E8551" i="5"/>
  <c r="E8552" i="5"/>
  <c r="E8553" i="5"/>
  <c r="E8554" i="5"/>
  <c r="E8555" i="5"/>
  <c r="E8557" i="5"/>
  <c r="E8556" i="5"/>
  <c r="E8558" i="5"/>
  <c r="E8559" i="5"/>
  <c r="E8560" i="5"/>
  <c r="E8572" i="5"/>
  <c r="E8573" i="5"/>
  <c r="E8574" i="5"/>
  <c r="E8575" i="5"/>
  <c r="E8576" i="5"/>
  <c r="E8577" i="5"/>
  <c r="E8584" i="5"/>
  <c r="E8585" i="5"/>
  <c r="E8578" i="5"/>
  <c r="E8579" i="5"/>
  <c r="E8580" i="5"/>
  <c r="E8583" i="5"/>
  <c r="E8582" i="5"/>
  <c r="E8586" i="5"/>
  <c r="E8561" i="5"/>
  <c r="E8562" i="5"/>
  <c r="E8563" i="5"/>
  <c r="E8564" i="5"/>
  <c r="E8565" i="5"/>
  <c r="E8566" i="5"/>
  <c r="E8567" i="5"/>
  <c r="E8568" i="5"/>
  <c r="E8569" i="5"/>
  <c r="E8570" i="5"/>
  <c r="E8571" i="5"/>
  <c r="E8587" i="5"/>
  <c r="E8588" i="5"/>
  <c r="E8589" i="5"/>
  <c r="E8590" i="5"/>
  <c r="E8591" i="5"/>
  <c r="E8592" i="5"/>
  <c r="E8593" i="5"/>
  <c r="E8594" i="5"/>
  <c r="E8595" i="5"/>
  <c r="E8596" i="5"/>
  <c r="E8597" i="5"/>
  <c r="E8581" i="5"/>
  <c r="E8598" i="5"/>
  <c r="E8599" i="5"/>
  <c r="E8600" i="5"/>
  <c r="E8601" i="5"/>
  <c r="E8602" i="5"/>
  <c r="E8603" i="5"/>
  <c r="E8607" i="5"/>
  <c r="E8605" i="5"/>
  <c r="E8606" i="5"/>
  <c r="E8604" i="5"/>
  <c r="E8608" i="5"/>
  <c r="E8609" i="5"/>
  <c r="E8610" i="5"/>
  <c r="E8611" i="5"/>
  <c r="E8613" i="5"/>
  <c r="E8612" i="5"/>
  <c r="E8614" i="5"/>
  <c r="E8615" i="5"/>
  <c r="E8616" i="5"/>
  <c r="E8628" i="5"/>
  <c r="E8629" i="5"/>
  <c r="E8630" i="5"/>
  <c r="E8631" i="5"/>
  <c r="E8632" i="5"/>
  <c r="E8633" i="5"/>
  <c r="E8640" i="5"/>
  <c r="E8641" i="5"/>
  <c r="E8634" i="5"/>
  <c r="E8635" i="5"/>
  <c r="E8636" i="5"/>
  <c r="E8639" i="5"/>
  <c r="E8638" i="5"/>
  <c r="E8642" i="5"/>
  <c r="E8617" i="5"/>
  <c r="E8618" i="5"/>
  <c r="E8619" i="5"/>
  <c r="E8620" i="5"/>
  <c r="E8621" i="5"/>
  <c r="E8622" i="5"/>
  <c r="E8623" i="5"/>
  <c r="E8624" i="5"/>
  <c r="E8625" i="5"/>
  <c r="E8626" i="5"/>
  <c r="E8627" i="5"/>
  <c r="E8643" i="5"/>
  <c r="E8644" i="5"/>
  <c r="E8645" i="5"/>
  <c r="E8646" i="5"/>
  <c r="E8647" i="5"/>
  <c r="E8648" i="5"/>
  <c r="E8649" i="5"/>
  <c r="E8650" i="5"/>
  <c r="E8651" i="5"/>
  <c r="E8652" i="5"/>
  <c r="E8653" i="5"/>
  <c r="E8637" i="5"/>
  <c r="E8654" i="5"/>
  <c r="E8655" i="5"/>
  <c r="E8656" i="5"/>
  <c r="E8657" i="5"/>
  <c r="E8658" i="5"/>
  <c r="E8659" i="5"/>
  <c r="E8662" i="5"/>
  <c r="E8661" i="5"/>
  <c r="E8660" i="5"/>
  <c r="E8663" i="5"/>
  <c r="E8664" i="5"/>
  <c r="E8665" i="5"/>
  <c r="E8666" i="5"/>
  <c r="E8668" i="5"/>
  <c r="E8667" i="5"/>
  <c r="E8669" i="5"/>
  <c r="E8670" i="5"/>
  <c r="E8671" i="5"/>
  <c r="E8683" i="5"/>
  <c r="E8684" i="5"/>
  <c r="E8685" i="5"/>
  <c r="E8686" i="5"/>
  <c r="E8687" i="5"/>
  <c r="E8688" i="5"/>
  <c r="E8695" i="5"/>
  <c r="E8696" i="5"/>
  <c r="E8689" i="5"/>
  <c r="E8690" i="5"/>
  <c r="E8691" i="5"/>
  <c r="E8694" i="5"/>
  <c r="E8693" i="5"/>
  <c r="E8697" i="5"/>
  <c r="E8672" i="5"/>
  <c r="E8673" i="5"/>
  <c r="E8674" i="5"/>
  <c r="E8675" i="5"/>
  <c r="E8676" i="5"/>
  <c r="E8677" i="5"/>
  <c r="E8678" i="5"/>
  <c r="E8679" i="5"/>
  <c r="E8680" i="5"/>
  <c r="E8681" i="5"/>
  <c r="E8682" i="5"/>
  <c r="E8698" i="5"/>
  <c r="E8699" i="5"/>
  <c r="E8700" i="5"/>
  <c r="E8701" i="5"/>
  <c r="E8702" i="5"/>
  <c r="E8703" i="5"/>
  <c r="E8704" i="5"/>
  <c r="E8705" i="5"/>
  <c r="E8706" i="5"/>
  <c r="E8707" i="5"/>
  <c r="E8708" i="5"/>
  <c r="E8692" i="5"/>
  <c r="E8709" i="5"/>
  <c r="E8710" i="5"/>
  <c r="E8711" i="5"/>
  <c r="E8712" i="5"/>
  <c r="E8713" i="5"/>
  <c r="E8714" i="5"/>
  <c r="E8717" i="5"/>
  <c r="E8716" i="5"/>
  <c r="E8715" i="5"/>
  <c r="E8718" i="5"/>
  <c r="E8719" i="5"/>
  <c r="E8720" i="5"/>
  <c r="E8721" i="5"/>
  <c r="E8723" i="5"/>
  <c r="E8722" i="5"/>
  <c r="E8724" i="5"/>
  <c r="E8725" i="5"/>
  <c r="E8737" i="5"/>
  <c r="E8738" i="5"/>
  <c r="E8739" i="5"/>
  <c r="E8740" i="5"/>
  <c r="E8741" i="5"/>
  <c r="E8742" i="5"/>
  <c r="E8749" i="5"/>
  <c r="E8750" i="5"/>
  <c r="E8743" i="5"/>
  <c r="E8744" i="5"/>
  <c r="E8745" i="5"/>
  <c r="E8748" i="5"/>
  <c r="E8747" i="5"/>
  <c r="E8751" i="5"/>
  <c r="E8726" i="5"/>
  <c r="E8727" i="5"/>
  <c r="E8728" i="5"/>
  <c r="E8729" i="5"/>
  <c r="E8730" i="5"/>
  <c r="E8731" i="5"/>
  <c r="E8732" i="5"/>
  <c r="E8733" i="5"/>
  <c r="E8734" i="5"/>
  <c r="E8735" i="5"/>
  <c r="E8736" i="5"/>
  <c r="E8752" i="5"/>
  <c r="E8753" i="5"/>
  <c r="E8754" i="5"/>
  <c r="E8755" i="5"/>
  <c r="E8756" i="5"/>
  <c r="E8757" i="5"/>
  <c r="E8758" i="5"/>
  <c r="E8759" i="5"/>
  <c r="E8760" i="5"/>
  <c r="E8761" i="5"/>
  <c r="E8762" i="5"/>
  <c r="E8746" i="5"/>
  <c r="E8763" i="5"/>
  <c r="E8764" i="5"/>
  <c r="E8765" i="5"/>
  <c r="E8766" i="5"/>
  <c r="E8770" i="5"/>
  <c r="E8768" i="5"/>
  <c r="E8769" i="5"/>
  <c r="E8767" i="5"/>
  <c r="E8771" i="5"/>
  <c r="E8772" i="5"/>
  <c r="E8773" i="5"/>
  <c r="E8774" i="5"/>
  <c r="E8776" i="5"/>
  <c r="E8775" i="5"/>
  <c r="E8777" i="5"/>
  <c r="E8778" i="5"/>
  <c r="E8790" i="5"/>
  <c r="E8791" i="5"/>
  <c r="E8792" i="5"/>
  <c r="E8793" i="5"/>
  <c r="E8794" i="5"/>
  <c r="E8795" i="5"/>
  <c r="E8802" i="5"/>
  <c r="E8803" i="5"/>
  <c r="E8796" i="5"/>
  <c r="E8797" i="5"/>
  <c r="E8798" i="5"/>
  <c r="E8801" i="5"/>
  <c r="E8800" i="5"/>
  <c r="E8804" i="5"/>
  <c r="E8779" i="5"/>
  <c r="E8780" i="5"/>
  <c r="E8781" i="5"/>
  <c r="E8782" i="5"/>
  <c r="E8783" i="5"/>
  <c r="E8784" i="5"/>
  <c r="E8785" i="5"/>
  <c r="E8786" i="5"/>
  <c r="E8787" i="5"/>
  <c r="E8788" i="5"/>
  <c r="E8789" i="5"/>
  <c r="E8805" i="5"/>
  <c r="E8806" i="5"/>
  <c r="E8807" i="5"/>
  <c r="E8808" i="5"/>
  <c r="E8809" i="5"/>
  <c r="E8810" i="5"/>
  <c r="E8811" i="5"/>
  <c r="E8812" i="5"/>
  <c r="E8813" i="5"/>
  <c r="E8814" i="5"/>
  <c r="E8815" i="5"/>
  <c r="E8799" i="5"/>
  <c r="E8816" i="5"/>
  <c r="E8817" i="5"/>
  <c r="E8818" i="5"/>
  <c r="E8819" i="5"/>
  <c r="E8821" i="5"/>
  <c r="E8820" i="5"/>
  <c r="E8822" i="5"/>
  <c r="E8823" i="5"/>
  <c r="E8824" i="5"/>
  <c r="E8825" i="5"/>
  <c r="E8826" i="5"/>
  <c r="E8828" i="5"/>
  <c r="E8827" i="5"/>
  <c r="E8829" i="5"/>
  <c r="E8841" i="5"/>
  <c r="E8842" i="5"/>
  <c r="E8843" i="5"/>
  <c r="E8844" i="5"/>
  <c r="E8845" i="5"/>
  <c r="E8846" i="5"/>
  <c r="E8853" i="5"/>
  <c r="E8854" i="5"/>
  <c r="E8847" i="5"/>
  <c r="E8848" i="5"/>
  <c r="E8849" i="5"/>
  <c r="E8852" i="5"/>
  <c r="E8851" i="5"/>
  <c r="E8830" i="5"/>
  <c r="E8831" i="5"/>
  <c r="E8832" i="5"/>
  <c r="E8833" i="5"/>
  <c r="E8834" i="5"/>
  <c r="E8835" i="5"/>
  <c r="E8836" i="5"/>
  <c r="E8837" i="5"/>
  <c r="E8838" i="5"/>
  <c r="E8839" i="5"/>
  <c r="E8840" i="5"/>
  <c r="E8855" i="5"/>
  <c r="E8856" i="5"/>
  <c r="E8857" i="5"/>
  <c r="E8858" i="5"/>
  <c r="E8859" i="5"/>
  <c r="E8860" i="5"/>
  <c r="E8861" i="5"/>
  <c r="E8862" i="5"/>
  <c r="E8863" i="5"/>
  <c r="E8864" i="5"/>
  <c r="E8865" i="5"/>
  <c r="E8850" i="5"/>
  <c r="E8866" i="5"/>
  <c r="E8867" i="5"/>
  <c r="E8868" i="5"/>
  <c r="E8871" i="5"/>
  <c r="E8870" i="5"/>
  <c r="E8869" i="5"/>
  <c r="E8872" i="5"/>
  <c r="E8873" i="5"/>
  <c r="E8874" i="5"/>
  <c r="E8875" i="5"/>
  <c r="E8877" i="5"/>
  <c r="E8876" i="5"/>
  <c r="E8889" i="5"/>
  <c r="E8890" i="5"/>
  <c r="E8891" i="5"/>
  <c r="E8892" i="5"/>
  <c r="E8893" i="5"/>
  <c r="E8894" i="5"/>
  <c r="E8901" i="5"/>
  <c r="E8902" i="5"/>
  <c r="E8895" i="5"/>
  <c r="E8896" i="5"/>
  <c r="E8897" i="5"/>
  <c r="E8900" i="5"/>
  <c r="E8899" i="5"/>
  <c r="E8878" i="5"/>
  <c r="E8879" i="5"/>
  <c r="E8880" i="5"/>
  <c r="E8881" i="5"/>
  <c r="E8882" i="5"/>
  <c r="E8883" i="5"/>
  <c r="E8884" i="5"/>
  <c r="E8885" i="5"/>
  <c r="E8886" i="5"/>
  <c r="E8887" i="5"/>
  <c r="E8888" i="5"/>
  <c r="E8903" i="5"/>
  <c r="E8904" i="5"/>
  <c r="E8905" i="5"/>
  <c r="E8906" i="5"/>
  <c r="E8907" i="5"/>
  <c r="E8908" i="5"/>
  <c r="E8909" i="5"/>
  <c r="E8910" i="5"/>
  <c r="E8911" i="5"/>
  <c r="E8912" i="5"/>
  <c r="E8913" i="5"/>
  <c r="E8898" i="5"/>
  <c r="E8914" i="5"/>
  <c r="E8915" i="5"/>
  <c r="E8918" i="5"/>
  <c r="E8917" i="5"/>
  <c r="E8916" i="5"/>
  <c r="E8919" i="5"/>
  <c r="E8920" i="5"/>
  <c r="E8921" i="5"/>
  <c r="E8922" i="5"/>
  <c r="E8924" i="5"/>
  <c r="E8923" i="5"/>
  <c r="E8936" i="5"/>
  <c r="E8937" i="5"/>
  <c r="E8938" i="5"/>
  <c r="E8939" i="5"/>
  <c r="E8940" i="5"/>
  <c r="E8941" i="5"/>
  <c r="E8948" i="5"/>
  <c r="E8949" i="5"/>
  <c r="E8942" i="5"/>
  <c r="E8943" i="5"/>
  <c r="E8944" i="5"/>
  <c r="E8947" i="5"/>
  <c r="E8946" i="5"/>
  <c r="E8925" i="5"/>
  <c r="E8926" i="5"/>
  <c r="E8927" i="5"/>
  <c r="E8928" i="5"/>
  <c r="E8929" i="5"/>
  <c r="E8930" i="5"/>
  <c r="E8931" i="5"/>
  <c r="E8932" i="5"/>
  <c r="E8933" i="5"/>
  <c r="E8934" i="5"/>
  <c r="E8935" i="5"/>
  <c r="E8950" i="5"/>
  <c r="E8951" i="5"/>
  <c r="E8952" i="5"/>
  <c r="E8953" i="5"/>
  <c r="E8954" i="5"/>
  <c r="E8955" i="5"/>
  <c r="E8956" i="5"/>
  <c r="E8957" i="5"/>
  <c r="E8958" i="5"/>
  <c r="E8959" i="5"/>
  <c r="E8960" i="5"/>
  <c r="E8945" i="5"/>
  <c r="E8961" i="5"/>
  <c r="E8962" i="5"/>
  <c r="E8964" i="5"/>
  <c r="E8963" i="5"/>
  <c r="E8966" i="5"/>
  <c r="E8967" i="5"/>
  <c r="E8968" i="5"/>
  <c r="E8969" i="5"/>
  <c r="E8971" i="5"/>
  <c r="E8970" i="5"/>
  <c r="E8983" i="5"/>
  <c r="E8984" i="5"/>
  <c r="E8985" i="5"/>
  <c r="E8986" i="5"/>
  <c r="E8987" i="5"/>
  <c r="E8988" i="5"/>
  <c r="E8995" i="5"/>
  <c r="E8996" i="5"/>
  <c r="E8989" i="5"/>
  <c r="E8990" i="5"/>
  <c r="E8991" i="5"/>
  <c r="E8994" i="5"/>
  <c r="E8993" i="5"/>
  <c r="E8972" i="5"/>
  <c r="E8973" i="5"/>
  <c r="E8974" i="5"/>
  <c r="E8975" i="5"/>
  <c r="E8976" i="5"/>
  <c r="E8977" i="5"/>
  <c r="E8978" i="5"/>
  <c r="E8979" i="5"/>
  <c r="E8980" i="5"/>
  <c r="E8981" i="5"/>
  <c r="E8982" i="5"/>
  <c r="E8997" i="5"/>
  <c r="E8998" i="5"/>
  <c r="E8999" i="5"/>
  <c r="E9000" i="5"/>
  <c r="E9001" i="5"/>
  <c r="E9002" i="5"/>
  <c r="E9003" i="5"/>
  <c r="E9004" i="5"/>
  <c r="E9005" i="5"/>
  <c r="E9006" i="5"/>
  <c r="E9007" i="5"/>
  <c r="E8992" i="5"/>
  <c r="E9008" i="5"/>
  <c r="E9009" i="5"/>
  <c r="E9011" i="5"/>
  <c r="E9010" i="5"/>
  <c r="E9012" i="5"/>
  <c r="E9013" i="5"/>
  <c r="E9014" i="5"/>
  <c r="E9015" i="5"/>
  <c r="E9017" i="5"/>
  <c r="E9016" i="5"/>
  <c r="E9029" i="5"/>
  <c r="E9030" i="5"/>
  <c r="E9031" i="5"/>
  <c r="E9032" i="5"/>
  <c r="E9033" i="5"/>
  <c r="E9034" i="5"/>
  <c r="E9041" i="5"/>
  <c r="E9042" i="5"/>
  <c r="E9035" i="5"/>
  <c r="E9036" i="5"/>
  <c r="E9037" i="5"/>
  <c r="E9040" i="5"/>
  <c r="E9039" i="5"/>
  <c r="E9018" i="5"/>
  <c r="E9019" i="5"/>
  <c r="E9020" i="5"/>
  <c r="E9021" i="5"/>
  <c r="E9022" i="5"/>
  <c r="E9023" i="5"/>
  <c r="E9024" i="5"/>
  <c r="E9025" i="5"/>
  <c r="E9026" i="5"/>
  <c r="E9027" i="5"/>
  <c r="E9028" i="5"/>
  <c r="E9043" i="5"/>
  <c r="E9044" i="5"/>
  <c r="E9045" i="5"/>
  <c r="E9046" i="5"/>
  <c r="E9047" i="5"/>
  <c r="E9048" i="5"/>
  <c r="E9049" i="5"/>
  <c r="E9050" i="5"/>
  <c r="E9051" i="5"/>
  <c r="E9052" i="5"/>
  <c r="E9053" i="5"/>
  <c r="E9038" i="5"/>
  <c r="E9054" i="5"/>
  <c r="E9055" i="5"/>
  <c r="E9057" i="5"/>
  <c r="E9056" i="5"/>
  <c r="E9058" i="5"/>
  <c r="E9059" i="5"/>
  <c r="E9060" i="5"/>
  <c r="E9061" i="5"/>
  <c r="E9062" i="5"/>
  <c r="E9074" i="5"/>
  <c r="E9075" i="5"/>
  <c r="E9076" i="5"/>
  <c r="E9077" i="5"/>
  <c r="E9078" i="5"/>
  <c r="E9079" i="5"/>
  <c r="E9086" i="5"/>
  <c r="E9087" i="5"/>
  <c r="E9080" i="5"/>
  <c r="E9081" i="5"/>
  <c r="E9082" i="5"/>
  <c r="E9085" i="5"/>
  <c r="E9084" i="5"/>
  <c r="E9063" i="5"/>
  <c r="E9064" i="5"/>
  <c r="E9065" i="5"/>
  <c r="E9066" i="5"/>
  <c r="E9067" i="5"/>
  <c r="E9068" i="5"/>
  <c r="E9069" i="5"/>
  <c r="E9070" i="5"/>
  <c r="E9071" i="5"/>
  <c r="E9072" i="5"/>
  <c r="E9073" i="5"/>
  <c r="E9088" i="5"/>
  <c r="E9089" i="5"/>
  <c r="E9090" i="5"/>
  <c r="E9091" i="5"/>
  <c r="E9092" i="5"/>
  <c r="E9093" i="5"/>
  <c r="E9094" i="5"/>
  <c r="E9095" i="5"/>
  <c r="E9096" i="5"/>
  <c r="E9097" i="5"/>
  <c r="E9098" i="5"/>
  <c r="E9083" i="5"/>
  <c r="E9099" i="5"/>
  <c r="E9100" i="5"/>
  <c r="E9102" i="5"/>
  <c r="E9101" i="5"/>
  <c r="E9103" i="5"/>
  <c r="E9104" i="5"/>
  <c r="E9105" i="5"/>
  <c r="E9106" i="5"/>
  <c r="E9107" i="5"/>
  <c r="E9119" i="5"/>
  <c r="E9120" i="5"/>
  <c r="E9121" i="5"/>
  <c r="E9122" i="5"/>
  <c r="E9123" i="5"/>
  <c r="E9124" i="5"/>
  <c r="E9131" i="5"/>
  <c r="E9132" i="5"/>
  <c r="E9125" i="5"/>
  <c r="E9126" i="5"/>
  <c r="E9127" i="5"/>
  <c r="E9130" i="5"/>
  <c r="E9129" i="5"/>
  <c r="E9108" i="5"/>
  <c r="E9109" i="5"/>
  <c r="E9110" i="5"/>
  <c r="E9111" i="5"/>
  <c r="E9112" i="5"/>
  <c r="E9113" i="5"/>
  <c r="E9114" i="5"/>
  <c r="E9115" i="5"/>
  <c r="E9116" i="5"/>
  <c r="E9117" i="5"/>
  <c r="E9118" i="5"/>
  <c r="E9133" i="5"/>
  <c r="E9134" i="5"/>
  <c r="E9135" i="5"/>
  <c r="E9136" i="5"/>
  <c r="E9137" i="5"/>
  <c r="E9138" i="5"/>
  <c r="E9139" i="5"/>
  <c r="E9140" i="5"/>
  <c r="E9141" i="5"/>
  <c r="E9142" i="5"/>
  <c r="E9143" i="5"/>
  <c r="E9128" i="5"/>
  <c r="E9144" i="5"/>
  <c r="E9145" i="5"/>
  <c r="E9147" i="5"/>
  <c r="E9146" i="5"/>
  <c r="E9148" i="5"/>
  <c r="E9149" i="5"/>
  <c r="E9150" i="5"/>
  <c r="E9151" i="5"/>
  <c r="E9152" i="5"/>
  <c r="E9164" i="5"/>
  <c r="E9165" i="5"/>
  <c r="E9166" i="5"/>
  <c r="E9167" i="5"/>
  <c r="E9168" i="5"/>
  <c r="E9169" i="5"/>
  <c r="E9176" i="5"/>
  <c r="E9177" i="5"/>
  <c r="E9170" i="5"/>
  <c r="E9171" i="5"/>
  <c r="E9172" i="5"/>
  <c r="E9175" i="5"/>
  <c r="E9174" i="5"/>
  <c r="E9153" i="5"/>
  <c r="E9154" i="5"/>
  <c r="E9155" i="5"/>
  <c r="E9156" i="5"/>
  <c r="E9157" i="5"/>
  <c r="E9158" i="5"/>
  <c r="E9159" i="5"/>
  <c r="E9160" i="5"/>
  <c r="E9161" i="5"/>
  <c r="E9162" i="5"/>
  <c r="E9163" i="5"/>
  <c r="E9178" i="5"/>
  <c r="E9179" i="5"/>
  <c r="E9180" i="5"/>
  <c r="E9181" i="5"/>
  <c r="E9182" i="5"/>
  <c r="E9183" i="5"/>
  <c r="E9184" i="5"/>
  <c r="E9185" i="5"/>
  <c r="E9186" i="5"/>
  <c r="E9187" i="5"/>
  <c r="E9188" i="5"/>
  <c r="E9173" i="5"/>
  <c r="E9189" i="5"/>
  <c r="E9190" i="5"/>
  <c r="E9192" i="5"/>
  <c r="E9191" i="5"/>
  <c r="E9193" i="5"/>
  <c r="E9194" i="5"/>
  <c r="E9195" i="5"/>
  <c r="E9196" i="5"/>
  <c r="E9197" i="5"/>
  <c r="E9209" i="5"/>
  <c r="E9210" i="5"/>
  <c r="E9211" i="5"/>
  <c r="E9212" i="5"/>
  <c r="E9213" i="5"/>
  <c r="E9214" i="5"/>
  <c r="E9221" i="5"/>
  <c r="E9222" i="5"/>
  <c r="E9215" i="5"/>
  <c r="E9216" i="5"/>
  <c r="E9217" i="5"/>
  <c r="E9220" i="5"/>
  <c r="E9219" i="5"/>
  <c r="E9198" i="5"/>
  <c r="E9199" i="5"/>
  <c r="E9200" i="5"/>
  <c r="E9201" i="5"/>
  <c r="E9202" i="5"/>
  <c r="E9203" i="5"/>
  <c r="E9204" i="5"/>
  <c r="E9205" i="5"/>
  <c r="E9206" i="5"/>
  <c r="E9207" i="5"/>
  <c r="E9208" i="5"/>
  <c r="E9223" i="5"/>
  <c r="E9224" i="5"/>
  <c r="E9225" i="5"/>
  <c r="E9226" i="5"/>
  <c r="E9227" i="5"/>
  <c r="E9228" i="5"/>
  <c r="E9229" i="5"/>
  <c r="E9230" i="5"/>
  <c r="E9231" i="5"/>
  <c r="E9232" i="5"/>
  <c r="E9233" i="5"/>
  <c r="E9218" i="5"/>
  <c r="E9234" i="5"/>
  <c r="E9235" i="5"/>
  <c r="E9237" i="5"/>
  <c r="E9236" i="5"/>
  <c r="E9238" i="5"/>
  <c r="E9239" i="5"/>
  <c r="E9240" i="5"/>
  <c r="E9241" i="5"/>
  <c r="E9242" i="5"/>
  <c r="E9254" i="5"/>
  <c r="E9255" i="5"/>
  <c r="E9256" i="5"/>
  <c r="E9257" i="5"/>
  <c r="E9258" i="5"/>
  <c r="E9259" i="5"/>
  <c r="E9266" i="5"/>
  <c r="E9267" i="5"/>
  <c r="E9260" i="5"/>
  <c r="E9261" i="5"/>
  <c r="E9262" i="5"/>
  <c r="E9265" i="5"/>
  <c r="E9264" i="5"/>
  <c r="E9243" i="5"/>
  <c r="E9244" i="5"/>
  <c r="E9245" i="5"/>
  <c r="E9246" i="5"/>
  <c r="E9247" i="5"/>
  <c r="E9248" i="5"/>
  <c r="E9249" i="5"/>
  <c r="E9250" i="5"/>
  <c r="E9251" i="5"/>
  <c r="E9252" i="5"/>
  <c r="E9253" i="5"/>
  <c r="E9268" i="5"/>
  <c r="E9269" i="5"/>
  <c r="E9270" i="5"/>
  <c r="E9271" i="5"/>
  <c r="E9272" i="5"/>
  <c r="E9273" i="5"/>
  <c r="E9274" i="5"/>
  <c r="E9275" i="5"/>
  <c r="E9276" i="5"/>
  <c r="E9277" i="5"/>
  <c r="E9278" i="5"/>
  <c r="E9263" i="5"/>
  <c r="E9279" i="5"/>
  <c r="E9280" i="5"/>
  <c r="E9281" i="5"/>
  <c r="E9282" i="5"/>
  <c r="E9283" i="5"/>
  <c r="E9284" i="5"/>
  <c r="E9285" i="5"/>
  <c r="E9286" i="5"/>
  <c r="E9298" i="5"/>
  <c r="E9299" i="5"/>
  <c r="E9300" i="5"/>
  <c r="E9301" i="5"/>
  <c r="E9302" i="5"/>
  <c r="E9303" i="5"/>
  <c r="E9310" i="5"/>
  <c r="E9311" i="5"/>
  <c r="E9304" i="5"/>
  <c r="E9305" i="5"/>
  <c r="E9306" i="5"/>
  <c r="E9309" i="5"/>
  <c r="E9308" i="5"/>
  <c r="E9287" i="5"/>
  <c r="E9288" i="5"/>
  <c r="E9289" i="5"/>
  <c r="E9290" i="5"/>
  <c r="E9291" i="5"/>
  <c r="E9292" i="5"/>
  <c r="E9293" i="5"/>
  <c r="E9294" i="5"/>
  <c r="E9295" i="5"/>
  <c r="E9296" i="5"/>
  <c r="E9297" i="5"/>
  <c r="E9312" i="5"/>
  <c r="E9313" i="5"/>
  <c r="E9314" i="5"/>
  <c r="E9315" i="5"/>
  <c r="E9316" i="5"/>
  <c r="E9317" i="5"/>
  <c r="E9318" i="5"/>
  <c r="E9319" i="5"/>
  <c r="E9320" i="5"/>
  <c r="E9321" i="5"/>
  <c r="E9322" i="5"/>
  <c r="E9307" i="5"/>
  <c r="E9323" i="5"/>
  <c r="E9324" i="5"/>
  <c r="E9325" i="5"/>
  <c r="E9326" i="5"/>
  <c r="E9327" i="5"/>
  <c r="E9328" i="5"/>
  <c r="E9329" i="5"/>
  <c r="E9330" i="5"/>
  <c r="E9342" i="5"/>
  <c r="E9343" i="5"/>
  <c r="E9344" i="5"/>
  <c r="E9345" i="5"/>
  <c r="E9346" i="5"/>
  <c r="E9347" i="5"/>
  <c r="E9354" i="5"/>
  <c r="E9355" i="5"/>
  <c r="E9348" i="5"/>
  <c r="E9349" i="5"/>
  <c r="E9350" i="5"/>
  <c r="E9353" i="5"/>
  <c r="E9352" i="5"/>
  <c r="E9331" i="5"/>
  <c r="E9332" i="5"/>
  <c r="E9333" i="5"/>
  <c r="E9334" i="5"/>
  <c r="E9335" i="5"/>
  <c r="E9336" i="5"/>
  <c r="E9337" i="5"/>
  <c r="E9338" i="5"/>
  <c r="E9339" i="5"/>
  <c r="E9340" i="5"/>
  <c r="E9341" i="5"/>
  <c r="E9356" i="5"/>
  <c r="E9357" i="5"/>
  <c r="E9358" i="5"/>
  <c r="E9359" i="5"/>
  <c r="E9360" i="5"/>
  <c r="E9361" i="5"/>
  <c r="E9362" i="5"/>
  <c r="E9363" i="5"/>
  <c r="E9364" i="5"/>
  <c r="E9365" i="5"/>
  <c r="E9366" i="5"/>
  <c r="E9351" i="5"/>
  <c r="E9367" i="5"/>
  <c r="E9368" i="5"/>
  <c r="E9369" i="5"/>
  <c r="E9370" i="5"/>
  <c r="E9371" i="5"/>
  <c r="E9372" i="5"/>
  <c r="E9373" i="5"/>
  <c r="E9374" i="5"/>
  <c r="E9386" i="5"/>
  <c r="E9387" i="5"/>
  <c r="E9388" i="5"/>
  <c r="E9389" i="5"/>
  <c r="E9390" i="5"/>
  <c r="E9391" i="5"/>
  <c r="E9398" i="5"/>
  <c r="E9399" i="5"/>
  <c r="E9392" i="5"/>
  <c r="E9393" i="5"/>
  <c r="E9394" i="5"/>
  <c r="E9397" i="5"/>
  <c r="E9396" i="5"/>
  <c r="E9375" i="5"/>
  <c r="E9376" i="5"/>
  <c r="E9377" i="5"/>
  <c r="E9378" i="5"/>
  <c r="E9379" i="5"/>
  <c r="E9380" i="5"/>
  <c r="E9381" i="5"/>
  <c r="E9382" i="5"/>
  <c r="E9383" i="5"/>
  <c r="E9384" i="5"/>
  <c r="E9385" i="5"/>
  <c r="E9400" i="5"/>
  <c r="E9401" i="5"/>
  <c r="E9402" i="5"/>
  <c r="E9403" i="5"/>
  <c r="E9404" i="5"/>
  <c r="E9405" i="5"/>
  <c r="E9406" i="5"/>
  <c r="E9407" i="5"/>
  <c r="E9408" i="5"/>
  <c r="E9409" i="5"/>
  <c r="E9410" i="5"/>
  <c r="E9395" i="5"/>
  <c r="E9411" i="5"/>
  <c r="E9412" i="5"/>
  <c r="E9413" i="5"/>
  <c r="E9414" i="5"/>
  <c r="E9415" i="5"/>
  <c r="E9416" i="5"/>
  <c r="E9417" i="5"/>
  <c r="E9429" i="5"/>
  <c r="E9430" i="5"/>
  <c r="E9431" i="5"/>
  <c r="E9432" i="5"/>
  <c r="E9433" i="5"/>
  <c r="E9434" i="5"/>
  <c r="E9441" i="5"/>
  <c r="E9442" i="5"/>
  <c r="E9435" i="5"/>
  <c r="E9436" i="5"/>
  <c r="E9437" i="5"/>
  <c r="E9440" i="5"/>
  <c r="E9439" i="5"/>
  <c r="E9418" i="5"/>
  <c r="E9419" i="5"/>
  <c r="E9420" i="5"/>
  <c r="E9421" i="5"/>
  <c r="E9422" i="5"/>
  <c r="E9423" i="5"/>
  <c r="E9424" i="5"/>
  <c r="E9425" i="5"/>
  <c r="E9426" i="5"/>
  <c r="E9427" i="5"/>
  <c r="E9428" i="5"/>
  <c r="E9443" i="5"/>
  <c r="E9444" i="5"/>
  <c r="E9445" i="5"/>
  <c r="E9446" i="5"/>
  <c r="E9447" i="5"/>
  <c r="E9448" i="5"/>
  <c r="E9449" i="5"/>
  <c r="E9450" i="5"/>
  <c r="E9451" i="5"/>
  <c r="E9452" i="5"/>
  <c r="E9453" i="5"/>
  <c r="E9438" i="5"/>
  <c r="E9454" i="5"/>
  <c r="E9455" i="5"/>
  <c r="E9456" i="5"/>
  <c r="E9457" i="5"/>
  <c r="E9458" i="5"/>
  <c r="E9459" i="5"/>
  <c r="E9466" i="5"/>
  <c r="E9467" i="5"/>
  <c r="E9468" i="5"/>
  <c r="E9469" i="5"/>
  <c r="E9470" i="5"/>
  <c r="E9471" i="5"/>
  <c r="E9478" i="5"/>
  <c r="E9479" i="5"/>
  <c r="E9472" i="5"/>
  <c r="E9473" i="5"/>
  <c r="E9474" i="5"/>
  <c r="E9477" i="5"/>
  <c r="E9476" i="5"/>
  <c r="E9460" i="5"/>
  <c r="E9461" i="5"/>
  <c r="E9462" i="5"/>
  <c r="E9463" i="5"/>
  <c r="E9464" i="5"/>
  <c r="E9465" i="5"/>
  <c r="E9480" i="5"/>
  <c r="E9481" i="5"/>
  <c r="E9482" i="5"/>
  <c r="E9483" i="5"/>
  <c r="E9484" i="5"/>
  <c r="E9485" i="5"/>
  <c r="E9486" i="5"/>
  <c r="E9487" i="5"/>
  <c r="E9488" i="5"/>
  <c r="E9489" i="5"/>
  <c r="E9490" i="5"/>
  <c r="E9475" i="5"/>
  <c r="E9491" i="5"/>
  <c r="E9492" i="5"/>
  <c r="E9493" i="5"/>
  <c r="E9494" i="5"/>
  <c r="E9495" i="5"/>
  <c r="E9496" i="5"/>
  <c r="E9503" i="5"/>
  <c r="E9504" i="5"/>
  <c r="E9505" i="5"/>
  <c r="E9506" i="5"/>
  <c r="E9507" i="5"/>
  <c r="E9508" i="5"/>
  <c r="E9515" i="5"/>
  <c r="E9516" i="5"/>
  <c r="E9509" i="5"/>
  <c r="E9510" i="5"/>
  <c r="E9511" i="5"/>
  <c r="E9514" i="5"/>
  <c r="E9513" i="5"/>
  <c r="E9497" i="5"/>
  <c r="E9498" i="5"/>
  <c r="E9499" i="5"/>
  <c r="E9500" i="5"/>
  <c r="E9501" i="5"/>
  <c r="E9502" i="5"/>
  <c r="E9517" i="5"/>
  <c r="E9518" i="5"/>
  <c r="E9519" i="5"/>
  <c r="E9520" i="5"/>
  <c r="E9521" i="5"/>
  <c r="E9522" i="5"/>
  <c r="E9523" i="5"/>
  <c r="E9524" i="5"/>
  <c r="E9525" i="5"/>
  <c r="E9526" i="5"/>
  <c r="E9527" i="5"/>
  <c r="E9512" i="5"/>
  <c r="E9528" i="5"/>
  <c r="E9529" i="5"/>
  <c r="E9530" i="5"/>
  <c r="E9531" i="5"/>
  <c r="E9532" i="5"/>
  <c r="E9539" i="5"/>
  <c r="E9540" i="5"/>
  <c r="E9541" i="5"/>
  <c r="E9542" i="5"/>
  <c r="E9543" i="5"/>
  <c r="E9544" i="5"/>
  <c r="E9551" i="5"/>
  <c r="E9552" i="5"/>
  <c r="E9545" i="5"/>
  <c r="E9546" i="5"/>
  <c r="E9547" i="5"/>
  <c r="E9550" i="5"/>
  <c r="E9549" i="5"/>
  <c r="E9533" i="5"/>
  <c r="E9534" i="5"/>
  <c r="E9535" i="5"/>
  <c r="E9536" i="5"/>
  <c r="E9537" i="5"/>
  <c r="E9538" i="5"/>
  <c r="E9553" i="5"/>
  <c r="E9554" i="5"/>
  <c r="E9555" i="5"/>
  <c r="E9556" i="5"/>
  <c r="E9557" i="5"/>
  <c r="E9558" i="5"/>
  <c r="E9559" i="5"/>
  <c r="E9560" i="5"/>
  <c r="E9561" i="5"/>
  <c r="E9562" i="5"/>
  <c r="E9563" i="5"/>
  <c r="E9548" i="5"/>
  <c r="E9564" i="5"/>
  <c r="E9565" i="5"/>
  <c r="E9566" i="5"/>
  <c r="E9567" i="5"/>
  <c r="E9568" i="5"/>
  <c r="E9575" i="5"/>
  <c r="E9576" i="5"/>
  <c r="E9577" i="5"/>
  <c r="E9578" i="5"/>
  <c r="E9579" i="5"/>
  <c r="E9580" i="5"/>
  <c r="E9587" i="5"/>
  <c r="E9588" i="5"/>
  <c r="E9581" i="5"/>
  <c r="E9582" i="5"/>
  <c r="E9583" i="5"/>
  <c r="E9586" i="5"/>
  <c r="E9585" i="5"/>
  <c r="E9569" i="5"/>
  <c r="E9570" i="5"/>
  <c r="E9571" i="5"/>
  <c r="E9572" i="5"/>
  <c r="E9573" i="5"/>
  <c r="E9574" i="5"/>
  <c r="E9589" i="5"/>
  <c r="E9590" i="5"/>
  <c r="E9591" i="5"/>
  <c r="E9592" i="5"/>
  <c r="E9593" i="5"/>
  <c r="E9594" i="5"/>
  <c r="E9595" i="5"/>
  <c r="E9596" i="5"/>
  <c r="E9597" i="5"/>
  <c r="E9598" i="5"/>
  <c r="E9599" i="5"/>
  <c r="E9584" i="5"/>
  <c r="E9600" i="5"/>
  <c r="E9601" i="5"/>
  <c r="E9602" i="5"/>
  <c r="E9609" i="5"/>
  <c r="E9610" i="5"/>
  <c r="E9611" i="5"/>
  <c r="E9612" i="5"/>
  <c r="E9613" i="5"/>
  <c r="E9614" i="5"/>
  <c r="E9621" i="5"/>
  <c r="E9622" i="5"/>
  <c r="E9615" i="5"/>
  <c r="E9616" i="5"/>
  <c r="E9617" i="5"/>
  <c r="E9620" i="5"/>
  <c r="E9619" i="5"/>
  <c r="E9603" i="5"/>
  <c r="E9604" i="5"/>
  <c r="E9605" i="5"/>
  <c r="E9606" i="5"/>
  <c r="E9607" i="5"/>
  <c r="E9608" i="5"/>
  <c r="E9623" i="5"/>
  <c r="E9624" i="5"/>
  <c r="E9625" i="5"/>
  <c r="E9626" i="5"/>
  <c r="E9627" i="5"/>
  <c r="E9628" i="5"/>
  <c r="E9629" i="5"/>
  <c r="E9630" i="5"/>
  <c r="E9631" i="5"/>
  <c r="E9632" i="5"/>
  <c r="E9633" i="5"/>
  <c r="E9618" i="5"/>
  <c r="E9634" i="5"/>
  <c r="E9635" i="5"/>
  <c r="E9636" i="5"/>
  <c r="E9642" i="5"/>
  <c r="E9643" i="5"/>
  <c r="E9644" i="5"/>
  <c r="E9645" i="5"/>
  <c r="E9646" i="5"/>
  <c r="E9647" i="5"/>
  <c r="E9654" i="5"/>
  <c r="E9655" i="5"/>
  <c r="E9648" i="5"/>
  <c r="E9649" i="5"/>
  <c r="E9650" i="5"/>
  <c r="E9653" i="5"/>
  <c r="E9652" i="5"/>
  <c r="E9637" i="5"/>
  <c r="E9638" i="5"/>
  <c r="E9639" i="5"/>
  <c r="E9640" i="5"/>
  <c r="E9641" i="5"/>
  <c r="E9656" i="5"/>
  <c r="E9657" i="5"/>
  <c r="E9658" i="5"/>
  <c r="E9659" i="5"/>
  <c r="E9660" i="5"/>
  <c r="E9661" i="5"/>
  <c r="E9662" i="5"/>
  <c r="E9663" i="5"/>
  <c r="E9664" i="5"/>
  <c r="E9665" i="5"/>
  <c r="E9666" i="5"/>
  <c r="E9651" i="5"/>
  <c r="E9667" i="5"/>
  <c r="E9668" i="5"/>
  <c r="E9669" i="5"/>
  <c r="E9674" i="5"/>
  <c r="E9675" i="5"/>
  <c r="E9676" i="5"/>
  <c r="E9677" i="5"/>
  <c r="E9678" i="5"/>
  <c r="E9679" i="5"/>
  <c r="E9686" i="5"/>
  <c r="E9687" i="5"/>
  <c r="E9680" i="5"/>
  <c r="E9681" i="5"/>
  <c r="E9682" i="5"/>
  <c r="E9685" i="5"/>
  <c r="E9684" i="5"/>
  <c r="E9670" i="5"/>
  <c r="E9671" i="5"/>
  <c r="E9672" i="5"/>
  <c r="E9673" i="5"/>
  <c r="E9688" i="5"/>
  <c r="E9689" i="5"/>
  <c r="E9690" i="5"/>
  <c r="E9691" i="5"/>
  <c r="E9692" i="5"/>
  <c r="E9693" i="5"/>
  <c r="E9694" i="5"/>
  <c r="E9695" i="5"/>
  <c r="E9696" i="5"/>
  <c r="E9697" i="5"/>
  <c r="E9698" i="5"/>
  <c r="E9683" i="5"/>
  <c r="E9699" i="5"/>
  <c r="E9700" i="5"/>
  <c r="E9701" i="5"/>
  <c r="E9706" i="5"/>
  <c r="E9707" i="5"/>
  <c r="E9708" i="5"/>
  <c r="E9709" i="5"/>
  <c r="E9710" i="5"/>
  <c r="E9711" i="5"/>
  <c r="E9718" i="5"/>
  <c r="E9719" i="5"/>
  <c r="E9712" i="5"/>
  <c r="E9713" i="5"/>
  <c r="E9714" i="5"/>
  <c r="E9717" i="5"/>
  <c r="E9716" i="5"/>
  <c r="E9702" i="5"/>
  <c r="E9703" i="5"/>
  <c r="E9704" i="5"/>
  <c r="E9705" i="5"/>
  <c r="E9720" i="5"/>
  <c r="E9721" i="5"/>
  <c r="E9722" i="5"/>
  <c r="E9723" i="5"/>
  <c r="E9724" i="5"/>
  <c r="E9725" i="5"/>
  <c r="E9726" i="5"/>
  <c r="E9727" i="5"/>
  <c r="E9728" i="5"/>
  <c r="E9729" i="5"/>
  <c r="E9730" i="5"/>
  <c r="E9715" i="5"/>
  <c r="E9731" i="5"/>
  <c r="E9732" i="5"/>
  <c r="E9733" i="5"/>
  <c r="E9735" i="5"/>
  <c r="E9736" i="5"/>
  <c r="E9737" i="5"/>
  <c r="E9738" i="5"/>
  <c r="E9739" i="5"/>
  <c r="E9740" i="5"/>
  <c r="E9747" i="5"/>
  <c r="E9748" i="5"/>
  <c r="E9741" i="5"/>
  <c r="E9742" i="5"/>
  <c r="E9743" i="5"/>
  <c r="E9746" i="5"/>
  <c r="E9745" i="5"/>
  <c r="E9734" i="5"/>
  <c r="E9749" i="5"/>
  <c r="E9750" i="5"/>
  <c r="E9751" i="5"/>
  <c r="E9752" i="5"/>
  <c r="E9753" i="5"/>
  <c r="E9754" i="5"/>
  <c r="E9755" i="5"/>
  <c r="E9756" i="5"/>
  <c r="E9757" i="5"/>
  <c r="E9758" i="5"/>
  <c r="E9759" i="5"/>
  <c r="E9744" i="5"/>
  <c r="E9760" i="5"/>
  <c r="E9761" i="5"/>
  <c r="E9762" i="5"/>
  <c r="E9764" i="5"/>
  <c r="E9765" i="5"/>
  <c r="E9766" i="5"/>
  <c r="E9767" i="5"/>
  <c r="E9768" i="5"/>
  <c r="E9769" i="5"/>
  <c r="E9776" i="5"/>
  <c r="E9777" i="5"/>
  <c r="E9770" i="5"/>
  <c r="E9771" i="5"/>
  <c r="E9772" i="5"/>
  <c r="E9775" i="5"/>
  <c r="E9774" i="5"/>
  <c r="E9763" i="5"/>
  <c r="E9778" i="5"/>
  <c r="E9779" i="5"/>
  <c r="E9780" i="5"/>
  <c r="E9781" i="5"/>
  <c r="E9782" i="5"/>
  <c r="E9783" i="5"/>
  <c r="E9784" i="5"/>
  <c r="E9785" i="5"/>
  <c r="E9786" i="5"/>
  <c r="E9787" i="5"/>
  <c r="E9788" i="5"/>
  <c r="E9773" i="5"/>
  <c r="E9789" i="5"/>
  <c r="E9790" i="5"/>
  <c r="E9791" i="5"/>
  <c r="E9793" i="5"/>
  <c r="E9794" i="5"/>
  <c r="E9795" i="5"/>
  <c r="E9796" i="5"/>
  <c r="E9797" i="5"/>
  <c r="E9798" i="5"/>
  <c r="E9805" i="5"/>
  <c r="E9806" i="5"/>
  <c r="E9799" i="5"/>
  <c r="E9800" i="5"/>
  <c r="E9801" i="5"/>
  <c r="E9804" i="5"/>
  <c r="E9803" i="5"/>
  <c r="E9792" i="5"/>
  <c r="E9807" i="5"/>
  <c r="E9808" i="5"/>
  <c r="E9809" i="5"/>
  <c r="E9810" i="5"/>
  <c r="E9811" i="5"/>
  <c r="E9812" i="5"/>
  <c r="E9813" i="5"/>
  <c r="E9814" i="5"/>
  <c r="E9815" i="5"/>
  <c r="E9816" i="5"/>
  <c r="E9817" i="5"/>
  <c r="E9802" i="5"/>
  <c r="E9818" i="5"/>
  <c r="E9819" i="5"/>
  <c r="E9820" i="5"/>
  <c r="E9822" i="5"/>
  <c r="E9823" i="5"/>
  <c r="E9824" i="5"/>
  <c r="E9825" i="5"/>
  <c r="E9826" i="5"/>
  <c r="E9827" i="5"/>
  <c r="E9834" i="5"/>
  <c r="E9835" i="5"/>
  <c r="E9828" i="5"/>
  <c r="E9829" i="5"/>
  <c r="E9830" i="5"/>
  <c r="E9833" i="5"/>
  <c r="E9832" i="5"/>
  <c r="E9821" i="5"/>
  <c r="E9836" i="5"/>
  <c r="E9837" i="5"/>
  <c r="E9838" i="5"/>
  <c r="E9839" i="5"/>
  <c r="E9840" i="5"/>
  <c r="E9841" i="5"/>
  <c r="E9842" i="5"/>
  <c r="E9843" i="5"/>
  <c r="E9844" i="5"/>
  <c r="E9845" i="5"/>
  <c r="E9846" i="5"/>
  <c r="E9831" i="5"/>
  <c r="E9847" i="5"/>
  <c r="E9848" i="5"/>
  <c r="E9849" i="5"/>
  <c r="E9851" i="5"/>
  <c r="E9852" i="5"/>
  <c r="E9853" i="5"/>
  <c r="E9854" i="5"/>
  <c r="E9855" i="5"/>
  <c r="E9856" i="5"/>
  <c r="E9863" i="5"/>
  <c r="E9864" i="5"/>
  <c r="E9857" i="5"/>
  <c r="E9858" i="5"/>
  <c r="E9859" i="5"/>
  <c r="E9862" i="5"/>
  <c r="E9861" i="5"/>
  <c r="E9850" i="5"/>
  <c r="E9865" i="5"/>
  <c r="E9866" i="5"/>
  <c r="E9867" i="5"/>
  <c r="E9868" i="5"/>
  <c r="E9869" i="5"/>
  <c r="E9870" i="5"/>
  <c r="E9871" i="5"/>
  <c r="E9872" i="5"/>
  <c r="E9873" i="5"/>
  <c r="E9874" i="5"/>
  <c r="E9875" i="5"/>
  <c r="E9860" i="5"/>
  <c r="E9876" i="5"/>
  <c r="E9877" i="5"/>
  <c r="E9878" i="5"/>
  <c r="E9880" i="5"/>
  <c r="E9881" i="5"/>
  <c r="E9882" i="5"/>
  <c r="E9883" i="5"/>
  <c r="E9884" i="5"/>
  <c r="E9885" i="5"/>
  <c r="E9892" i="5"/>
  <c r="E9893" i="5"/>
  <c r="E9886" i="5"/>
  <c r="E9887" i="5"/>
  <c r="E9888" i="5"/>
  <c r="E9891" i="5"/>
  <c r="E9890" i="5"/>
  <c r="E9879" i="5"/>
  <c r="E9894" i="5"/>
  <c r="E9895" i="5"/>
  <c r="E9896" i="5"/>
  <c r="E9897" i="5"/>
  <c r="E9898" i="5"/>
  <c r="E9899" i="5"/>
  <c r="E9900" i="5"/>
  <c r="E9901" i="5"/>
  <c r="E9902" i="5"/>
  <c r="E9903" i="5"/>
  <c r="E9904" i="5"/>
  <c r="E9889" i="5"/>
  <c r="E9905" i="5"/>
  <c r="E9906" i="5"/>
  <c r="E9907" i="5"/>
  <c r="E9909" i="5"/>
  <c r="E9910" i="5"/>
  <c r="E9911" i="5"/>
  <c r="E9912" i="5"/>
  <c r="E9913" i="5"/>
  <c r="E9914" i="5"/>
  <c r="E9921" i="5"/>
  <c r="E9922" i="5"/>
  <c r="E9915" i="5"/>
  <c r="E9916" i="5"/>
  <c r="E9917" i="5"/>
  <c r="E9920" i="5"/>
  <c r="E9919" i="5"/>
  <c r="E9908" i="5"/>
  <c r="E9923" i="5"/>
  <c r="E9924" i="5"/>
  <c r="E9925" i="5"/>
  <c r="E9926" i="5"/>
  <c r="E9927" i="5"/>
  <c r="E9928" i="5"/>
  <c r="E9929" i="5"/>
  <c r="E9930" i="5"/>
  <c r="E9931" i="5"/>
  <c r="E9932" i="5"/>
  <c r="E9933" i="5"/>
  <c r="E9918" i="5"/>
  <c r="E9934" i="5"/>
  <c r="E9935" i="5"/>
  <c r="E9936" i="5"/>
  <c r="E9938" i="5"/>
  <c r="E9939" i="5"/>
  <c r="E9940" i="5"/>
  <c r="E9941" i="5"/>
  <c r="E9942" i="5"/>
  <c r="E9943" i="5"/>
  <c r="E9950" i="5"/>
  <c r="E9951" i="5"/>
  <c r="E9944" i="5"/>
  <c r="E9945" i="5"/>
  <c r="E9946" i="5"/>
  <c r="E9949" i="5"/>
  <c r="E9948" i="5"/>
  <c r="E9937" i="5"/>
  <c r="E9952" i="5"/>
  <c r="E9953" i="5"/>
  <c r="E9954" i="5"/>
  <c r="E9955" i="5"/>
  <c r="E9956" i="5"/>
  <c r="E9957" i="5"/>
  <c r="E9958" i="5"/>
  <c r="E9959" i="5"/>
  <c r="E9960" i="5"/>
  <c r="E9961" i="5"/>
  <c r="E9962" i="5"/>
  <c r="E9947" i="5"/>
  <c r="E9963" i="5"/>
  <c r="E9964" i="5"/>
  <c r="E9965" i="5"/>
  <c r="E9967" i="5"/>
  <c r="E9968" i="5"/>
  <c r="E9969" i="5"/>
  <c r="E9970" i="5"/>
  <c r="E9971" i="5"/>
  <c r="E9972" i="5"/>
  <c r="E9979" i="5"/>
  <c r="E9980" i="5"/>
  <c r="E9973" i="5"/>
  <c r="E9974" i="5"/>
  <c r="E9975" i="5"/>
  <c r="E9978" i="5"/>
  <c r="E9977" i="5"/>
  <c r="E9966" i="5"/>
  <c r="E9981" i="5"/>
  <c r="E9982" i="5"/>
  <c r="E9983" i="5"/>
  <c r="E9984" i="5"/>
  <c r="E9985" i="5"/>
  <c r="E9986" i="5"/>
  <c r="E9987" i="5"/>
  <c r="E9988" i="5"/>
  <c r="E9989" i="5"/>
  <c r="E9990" i="5"/>
  <c r="E9991" i="5"/>
  <c r="E9976" i="5"/>
  <c r="E9992" i="5"/>
  <c r="E9993" i="5"/>
  <c r="E9994" i="5"/>
  <c r="E9996" i="5"/>
  <c r="E9997" i="5"/>
  <c r="E9998" i="5"/>
  <c r="E9999" i="5"/>
  <c r="E10000" i="5"/>
  <c r="E10001" i="5"/>
  <c r="E10008" i="5"/>
  <c r="E10009" i="5"/>
  <c r="E10002" i="5"/>
  <c r="E10003" i="5"/>
  <c r="E10004" i="5"/>
  <c r="E10007" i="5"/>
  <c r="E10006" i="5"/>
  <c r="E9995" i="5"/>
  <c r="E10010" i="5"/>
  <c r="E10011" i="5"/>
  <c r="E10012" i="5"/>
  <c r="E10013" i="5"/>
  <c r="E10014" i="5"/>
  <c r="E10015" i="5"/>
  <c r="E10016" i="5"/>
  <c r="E10017" i="5"/>
  <c r="E10018" i="5"/>
  <c r="E10019" i="5"/>
  <c r="E10020" i="5"/>
  <c r="E10005" i="5"/>
  <c r="E10021" i="5"/>
  <c r="E10022" i="5"/>
  <c r="E10023" i="5"/>
  <c r="E10025" i="5"/>
  <c r="E10026" i="5"/>
  <c r="E10027" i="5"/>
  <c r="E10028" i="5"/>
  <c r="E10029" i="5"/>
  <c r="E10030" i="5"/>
  <c r="E10037" i="5"/>
  <c r="E10038" i="5"/>
  <c r="E10031" i="5"/>
  <c r="E10032" i="5"/>
  <c r="E10033" i="5"/>
  <c r="E10036" i="5"/>
  <c r="E10035" i="5"/>
  <c r="E10024" i="5"/>
  <c r="E10039" i="5"/>
  <c r="E10040" i="5"/>
  <c r="E10041" i="5"/>
  <c r="E10042" i="5"/>
  <c r="E10043" i="5"/>
  <c r="E10044" i="5"/>
  <c r="E10045" i="5"/>
  <c r="E10046" i="5"/>
  <c r="E10047" i="5"/>
  <c r="E10048" i="5"/>
  <c r="E10049" i="5"/>
  <c r="E10034" i="5"/>
  <c r="E10050" i="5"/>
  <c r="E10051" i="5"/>
  <c r="E10052" i="5"/>
  <c r="E10054" i="5"/>
  <c r="E10055" i="5"/>
  <c r="E10056" i="5"/>
  <c r="E10057" i="5"/>
  <c r="E10058" i="5"/>
  <c r="E10059" i="5"/>
  <c r="E10066" i="5"/>
  <c r="E10067" i="5"/>
  <c r="E10060" i="5"/>
  <c r="E10061" i="5"/>
  <c r="E10062" i="5"/>
  <c r="E10065" i="5"/>
  <c r="E10064" i="5"/>
  <c r="E10053" i="5"/>
  <c r="E10068" i="5"/>
  <c r="E10069" i="5"/>
  <c r="E10070" i="5"/>
  <c r="E10071" i="5"/>
  <c r="E10072" i="5"/>
  <c r="E10073" i="5"/>
  <c r="E10074" i="5"/>
  <c r="E10075" i="5"/>
  <c r="E10076" i="5"/>
  <c r="E10077" i="5"/>
  <c r="E10063" i="5"/>
  <c r="E10078" i="5"/>
  <c r="E10079" i="5"/>
  <c r="E10080" i="5"/>
  <c r="E10082" i="5"/>
  <c r="E10083" i="5"/>
  <c r="E10084" i="5"/>
  <c r="E10085" i="5"/>
  <c r="E10086" i="5"/>
  <c r="E10087" i="5"/>
  <c r="E10094" i="5"/>
  <c r="E10095" i="5"/>
  <c r="E10088" i="5"/>
  <c r="E10089" i="5"/>
  <c r="E10090" i="5"/>
  <c r="E10093" i="5"/>
  <c r="E10092" i="5"/>
  <c r="E10081" i="5"/>
  <c r="E10096" i="5"/>
  <c r="E10097" i="5"/>
  <c r="E10098" i="5"/>
  <c r="E10099" i="5"/>
  <c r="E10100" i="5"/>
  <c r="E10101" i="5"/>
  <c r="E10102" i="5"/>
  <c r="E10103" i="5"/>
  <c r="E10104" i="5"/>
  <c r="E10091" i="5"/>
  <c r="E10105" i="5"/>
  <c r="E10106" i="5"/>
  <c r="E10107" i="5"/>
  <c r="E10109" i="5"/>
  <c r="E10110" i="5"/>
  <c r="E10111" i="5"/>
  <c r="E10112" i="5"/>
  <c r="E10113" i="5"/>
  <c r="E10114" i="5"/>
  <c r="E10121" i="5"/>
  <c r="E10122" i="5"/>
  <c r="E10115" i="5"/>
  <c r="E10116" i="5"/>
  <c r="E10117" i="5"/>
  <c r="E10120" i="5"/>
  <c r="E10119" i="5"/>
  <c r="E10108" i="5"/>
  <c r="E10123" i="5"/>
  <c r="E10124" i="5"/>
  <c r="E10125" i="5"/>
  <c r="E10126" i="5"/>
  <c r="E10127" i="5"/>
  <c r="E10128" i="5"/>
  <c r="E10129" i="5"/>
  <c r="E10130" i="5"/>
  <c r="E10118" i="5"/>
  <c r="E10131" i="5"/>
  <c r="E10132" i="5"/>
  <c r="E10133" i="5"/>
  <c r="E10135" i="5"/>
  <c r="E10136" i="5"/>
  <c r="E10137" i="5"/>
  <c r="E10138" i="5"/>
  <c r="E10145" i="5"/>
  <c r="E10146" i="5"/>
  <c r="E10139" i="5"/>
  <c r="E10140" i="5"/>
  <c r="E10141" i="5"/>
  <c r="E10144" i="5"/>
  <c r="E10143" i="5"/>
  <c r="E10134" i="5"/>
  <c r="E10147" i="5"/>
  <c r="E10148" i="5"/>
  <c r="E10149" i="5"/>
  <c r="E10150" i="5"/>
  <c r="E10151" i="5"/>
  <c r="E10152" i="5"/>
  <c r="E10153" i="5"/>
  <c r="E10142" i="5"/>
  <c r="E10154" i="5"/>
  <c r="E10156" i="5"/>
  <c r="E10157" i="5"/>
  <c r="E10158" i="5"/>
  <c r="E10159" i="5"/>
  <c r="E10166" i="5"/>
  <c r="E10167" i="5"/>
  <c r="E10160" i="5"/>
  <c r="E10161" i="5"/>
  <c r="E10162" i="5"/>
  <c r="E10165" i="5"/>
  <c r="E10164" i="5"/>
  <c r="E10155" i="5"/>
  <c r="E10168" i="5"/>
  <c r="E10169" i="5"/>
  <c r="E10170" i="5"/>
  <c r="E10171" i="5"/>
  <c r="E10163" i="5"/>
  <c r="E10172" i="5"/>
  <c r="E10176" i="5"/>
  <c r="E10178" i="5"/>
  <c r="E10180" i="5"/>
  <c r="E10181" i="5"/>
  <c r="E10189" i="5"/>
  <c r="E10190" i="5"/>
  <c r="E10183" i="5"/>
  <c r="E10184" i="5"/>
  <c r="E10185" i="5"/>
  <c r="E10188" i="5"/>
  <c r="E10187" i="5"/>
  <c r="E10173" i="5"/>
  <c r="E10191" i="5"/>
  <c r="E10192" i="5"/>
  <c r="E10193" i="5"/>
  <c r="E10194" i="5"/>
  <c r="E10186" i="5"/>
  <c r="E10196" i="5"/>
  <c r="E10197" i="5"/>
  <c r="E10198" i="5"/>
  <c r="E10199" i="5"/>
  <c r="E10206" i="5"/>
  <c r="E10207" i="5"/>
  <c r="E10200" i="5"/>
  <c r="E10201" i="5"/>
  <c r="E10202" i="5"/>
  <c r="E10205" i="5"/>
  <c r="E10204" i="5"/>
  <c r="E10195" i="5"/>
  <c r="E10208" i="5"/>
  <c r="E10209" i="5"/>
  <c r="E10210" i="5"/>
  <c r="E10211" i="5"/>
  <c r="E10203" i="5"/>
  <c r="E10219" i="5"/>
  <c r="E10220" i="5"/>
  <c r="E10213" i="5"/>
  <c r="E10214" i="5"/>
  <c r="E10215" i="5"/>
  <c r="E10218" i="5"/>
  <c r="E10217" i="5"/>
  <c r="E10212" i="5"/>
  <c r="E10221" i="5"/>
  <c r="E10222" i="5"/>
  <c r="E10223" i="5"/>
  <c r="E10224" i="5"/>
  <c r="E10216" i="5"/>
  <c r="E10232" i="5"/>
  <c r="E10233" i="5"/>
  <c r="E10226" i="5"/>
  <c r="E10227" i="5"/>
  <c r="E10228" i="5"/>
  <c r="E10231" i="5"/>
  <c r="E10230" i="5"/>
  <c r="E10225" i="5"/>
  <c r="E10234" i="5"/>
  <c r="E10235" i="5"/>
  <c r="E10236" i="5"/>
  <c r="E10237" i="5"/>
  <c r="E10229" i="5"/>
  <c r="E10245" i="5"/>
  <c r="E10246" i="5"/>
  <c r="E10239" i="5"/>
  <c r="E10240" i="5"/>
  <c r="E10241" i="5"/>
  <c r="E10244" i="5"/>
  <c r="E10243" i="5"/>
  <c r="E10238" i="5"/>
  <c r="E10247" i="5"/>
  <c r="E10248" i="5"/>
  <c r="E10242" i="5"/>
  <c r="E10256" i="5"/>
  <c r="E10257" i="5"/>
  <c r="E10250" i="5"/>
  <c r="E10251" i="5"/>
  <c r="E10252" i="5"/>
  <c r="E10255" i="5"/>
  <c r="E10254" i="5"/>
  <c r="E10249" i="5"/>
  <c r="E10258" i="5"/>
  <c r="E10259" i="5"/>
  <c r="E10253" i="5"/>
  <c r="E10267" i="5"/>
  <c r="E10268" i="5"/>
  <c r="E10261" i="5"/>
  <c r="E10262" i="5"/>
  <c r="E10263" i="5"/>
  <c r="E10266" i="5"/>
  <c r="E10265" i="5"/>
  <c r="E10260" i="5"/>
  <c r="E10269" i="5"/>
  <c r="E10270" i="5"/>
  <c r="E10264" i="5"/>
  <c r="E10278" i="5"/>
  <c r="E10279" i="5"/>
  <c r="E10272" i="5"/>
  <c r="E10273" i="5"/>
  <c r="E10274" i="5"/>
  <c r="E10277" i="5"/>
  <c r="E10276" i="5"/>
  <c r="E10271" i="5"/>
  <c r="E10280" i="5"/>
  <c r="E10281" i="5"/>
  <c r="E10275" i="5"/>
  <c r="E10289" i="5"/>
  <c r="E10290" i="5"/>
  <c r="E10283" i="5"/>
  <c r="E10284" i="5"/>
  <c r="E10285" i="5"/>
  <c r="E10288" i="5"/>
  <c r="E10287" i="5"/>
  <c r="E10282" i="5"/>
  <c r="E10291" i="5"/>
  <c r="E10292" i="5"/>
  <c r="E10286" i="5"/>
  <c r="E10296" i="5"/>
  <c r="E10297" i="5"/>
  <c r="E10295" i="5"/>
  <c r="E10294" i="5"/>
  <c r="E10293" i="5"/>
  <c r="E10299" i="5"/>
  <c r="E10298" i="5"/>
  <c r="E10300" i="5"/>
  <c r="E10301" i="5"/>
  <c r="E10302" i="5"/>
  <c r="E10303" i="5"/>
  <c r="E10305" i="5"/>
  <c r="E10306" i="5"/>
  <c r="E10307" i="5"/>
  <c r="E10308" i="5"/>
  <c r="E10309" i="5"/>
  <c r="E10310" i="5"/>
  <c r="E10311" i="5"/>
  <c r="E10312" i="5"/>
  <c r="E10313" i="5"/>
  <c r="F1633" i="5"/>
  <c r="F1634" i="5"/>
  <c r="F1635" i="5"/>
  <c r="F1636" i="5"/>
  <c r="F1637" i="5"/>
  <c r="F1638" i="5"/>
  <c r="F1639" i="5"/>
  <c r="F1640" i="5"/>
  <c r="F1641" i="5"/>
  <c r="F1642" i="5"/>
  <c r="F1643" i="5"/>
  <c r="F1644" i="5"/>
  <c r="F1645" i="5"/>
  <c r="F1646" i="5"/>
  <c r="F1647" i="5"/>
  <c r="F1648" i="5"/>
  <c r="F1649" i="5"/>
  <c r="F1650" i="5"/>
  <c r="F1651" i="5"/>
  <c r="F1652" i="5"/>
  <c r="F1653" i="5"/>
  <c r="F1654" i="5"/>
  <c r="F1655" i="5"/>
  <c r="F1656" i="5"/>
  <c r="F1657" i="5"/>
  <c r="F1658" i="5"/>
  <c r="F1659" i="5"/>
  <c r="F1660" i="5"/>
  <c r="F1661" i="5"/>
  <c r="F1662" i="5"/>
  <c r="F1663" i="5"/>
  <c r="F1664" i="5"/>
  <c r="F1665" i="5"/>
  <c r="F1666" i="5"/>
  <c r="F1667" i="5"/>
  <c r="F1668" i="5"/>
  <c r="F1669" i="5"/>
  <c r="F1670" i="5"/>
  <c r="F1671" i="5"/>
  <c r="F1672" i="5"/>
  <c r="F1673" i="5"/>
  <c r="F1674" i="5"/>
  <c r="F1675" i="5"/>
  <c r="F1676" i="5"/>
  <c r="F1677" i="5"/>
  <c r="F1678" i="5"/>
  <c r="F1679" i="5"/>
  <c r="F1680" i="5"/>
  <c r="F1681" i="5"/>
  <c r="F1682" i="5"/>
  <c r="F1683" i="5"/>
  <c r="F1684" i="5"/>
  <c r="F1685" i="5"/>
  <c r="F1686" i="5"/>
  <c r="F1687" i="5"/>
  <c r="F1688" i="5"/>
  <c r="F1689" i="5"/>
  <c r="F1690" i="5"/>
  <c r="F1691" i="5"/>
  <c r="F1692" i="5"/>
  <c r="F1693" i="5"/>
  <c r="F1694" i="5"/>
  <c r="F1695" i="5"/>
  <c r="F1696" i="5"/>
  <c r="F1697" i="5"/>
  <c r="F1698" i="5"/>
  <c r="F1699" i="5"/>
  <c r="F1700" i="5"/>
  <c r="F1701" i="5"/>
  <c r="F1702" i="5"/>
  <c r="F1703" i="5"/>
  <c r="F1704" i="5"/>
  <c r="F1705" i="5"/>
  <c r="F1706" i="5"/>
  <c r="F1707" i="5"/>
  <c r="F1708" i="5"/>
  <c r="F1709" i="5"/>
  <c r="F1710" i="5"/>
  <c r="F1711" i="5"/>
  <c r="F1712" i="5"/>
  <c r="F1713" i="5"/>
  <c r="F1714" i="5"/>
  <c r="F1715" i="5"/>
  <c r="F1716" i="5"/>
  <c r="F1717" i="5"/>
  <c r="F1718" i="5"/>
  <c r="F1719" i="5"/>
  <c r="F1720" i="5"/>
  <c r="F1721" i="5"/>
  <c r="F1722" i="5"/>
  <c r="F1723" i="5"/>
  <c r="F1724" i="5"/>
  <c r="F1725" i="5"/>
  <c r="F1726" i="5"/>
  <c r="F1727" i="5"/>
  <c r="F1728" i="5"/>
  <c r="F1729" i="5"/>
  <c r="F1730" i="5"/>
  <c r="F1731" i="5"/>
  <c r="F1732" i="5"/>
  <c r="F1733" i="5"/>
  <c r="F1734" i="5"/>
  <c r="F1735" i="5"/>
  <c r="F1736" i="5"/>
  <c r="F1737" i="5"/>
  <c r="F1738" i="5"/>
  <c r="F1739" i="5"/>
  <c r="F1740" i="5"/>
  <c r="F1741" i="5"/>
  <c r="F1742" i="5"/>
  <c r="F1743" i="5"/>
  <c r="F1744" i="5"/>
  <c r="F1745" i="5"/>
  <c r="F1746" i="5"/>
  <c r="F1747" i="5"/>
  <c r="F1748" i="5"/>
  <c r="F1749" i="5"/>
  <c r="F1750" i="5"/>
  <c r="F1751" i="5"/>
  <c r="F1752" i="5"/>
  <c r="F1753" i="5"/>
  <c r="F1754" i="5"/>
  <c r="F1755" i="5"/>
  <c r="F1756" i="5"/>
  <c r="F1757" i="5"/>
  <c r="F1758" i="5"/>
  <c r="F1759" i="5"/>
  <c r="F1760" i="5"/>
  <c r="F1761" i="5"/>
  <c r="F1762" i="5"/>
  <c r="F1763" i="5"/>
  <c r="F1764" i="5"/>
  <c r="F1765" i="5"/>
  <c r="F1766" i="5"/>
  <c r="F1767" i="5"/>
  <c r="F1768" i="5"/>
  <c r="F1769" i="5"/>
  <c r="F1770" i="5"/>
  <c r="F1771" i="5"/>
  <c r="F1772" i="5"/>
  <c r="F1773" i="5"/>
  <c r="F1774" i="5"/>
  <c r="F1775" i="5"/>
  <c r="F1776" i="5"/>
  <c r="F1777" i="5"/>
  <c r="F1778" i="5"/>
  <c r="F1779" i="5"/>
  <c r="F1780" i="5"/>
  <c r="F1781" i="5"/>
  <c r="F1782" i="5"/>
  <c r="F1783" i="5"/>
  <c r="F1784" i="5"/>
  <c r="F1785" i="5"/>
  <c r="F1786" i="5"/>
  <c r="F1787" i="5"/>
  <c r="F1788" i="5"/>
  <c r="F1789" i="5"/>
  <c r="F1790" i="5"/>
  <c r="F1791" i="5"/>
  <c r="F1792" i="5"/>
  <c r="F1793" i="5"/>
  <c r="F1794" i="5"/>
  <c r="F1795" i="5"/>
  <c r="F1796" i="5"/>
  <c r="F1797" i="5"/>
  <c r="F1798" i="5"/>
  <c r="F1799" i="5"/>
  <c r="F1800" i="5"/>
  <c r="F1801" i="5"/>
  <c r="F1802" i="5"/>
  <c r="F1803" i="5"/>
  <c r="F1804" i="5"/>
  <c r="F1805" i="5"/>
  <c r="F1806" i="5"/>
  <c r="F1807" i="5"/>
  <c r="F1808" i="5"/>
  <c r="F1809" i="5"/>
  <c r="F1810" i="5"/>
  <c r="F1811" i="5"/>
  <c r="F1812" i="5"/>
  <c r="F1813" i="5"/>
  <c r="F1814" i="5"/>
  <c r="F1815" i="5"/>
  <c r="F1816" i="5"/>
  <c r="F1817" i="5"/>
  <c r="F1818" i="5"/>
  <c r="F1819" i="5"/>
  <c r="F1820" i="5"/>
  <c r="F1821" i="5"/>
  <c r="F1822" i="5"/>
  <c r="F1823" i="5"/>
  <c r="F1824" i="5"/>
  <c r="F1825" i="5"/>
  <c r="F1826" i="5"/>
  <c r="F1827" i="5"/>
  <c r="F1828" i="5"/>
  <c r="F1829" i="5"/>
  <c r="F1830" i="5"/>
  <c r="F1831" i="5"/>
  <c r="F1832" i="5"/>
  <c r="F1833" i="5"/>
  <c r="F1834" i="5"/>
  <c r="F1835" i="5"/>
  <c r="F1836" i="5"/>
  <c r="F1837" i="5"/>
  <c r="F1838" i="5"/>
  <c r="F1839" i="5"/>
  <c r="F1840" i="5"/>
  <c r="F1841" i="5"/>
  <c r="F1842" i="5"/>
  <c r="F1843" i="5"/>
  <c r="F1844" i="5"/>
  <c r="F1845" i="5"/>
  <c r="F1846" i="5"/>
  <c r="F1847" i="5"/>
  <c r="F1848" i="5"/>
  <c r="F1849" i="5"/>
  <c r="F1850" i="5"/>
  <c r="F1851" i="5"/>
  <c r="F1852" i="5"/>
  <c r="F1853" i="5"/>
  <c r="F1854" i="5"/>
  <c r="F1855" i="5"/>
  <c r="F1856" i="5"/>
  <c r="F1857" i="5"/>
  <c r="F1858" i="5"/>
  <c r="F1859" i="5"/>
  <c r="F1860" i="5"/>
  <c r="F1861" i="5"/>
  <c r="F1862" i="5"/>
  <c r="F1863" i="5"/>
  <c r="F1864" i="5"/>
  <c r="F1865" i="5"/>
  <c r="F1866" i="5"/>
  <c r="F1867" i="5"/>
  <c r="F1868" i="5"/>
  <c r="F1869" i="5"/>
  <c r="F1870" i="5"/>
  <c r="F1871" i="5"/>
  <c r="F1872" i="5"/>
  <c r="F1873" i="5"/>
  <c r="F1874" i="5"/>
  <c r="F1875" i="5"/>
  <c r="F1876" i="5"/>
  <c r="F1877" i="5"/>
  <c r="F1878" i="5"/>
  <c r="F1879" i="5"/>
  <c r="F1880" i="5"/>
  <c r="F1881" i="5"/>
  <c r="F1882" i="5"/>
  <c r="F1883" i="5"/>
  <c r="F1884" i="5"/>
  <c r="F1885" i="5"/>
  <c r="F1886" i="5"/>
  <c r="F1887" i="5"/>
  <c r="F1888" i="5"/>
  <c r="F1889" i="5"/>
  <c r="F1890" i="5"/>
  <c r="F1891" i="5"/>
  <c r="F1892" i="5"/>
  <c r="F1893" i="5"/>
  <c r="F1894" i="5"/>
  <c r="F1895" i="5"/>
  <c r="F1896" i="5"/>
  <c r="F1897" i="5"/>
  <c r="F1898" i="5"/>
  <c r="F1899" i="5"/>
  <c r="F1900" i="5"/>
  <c r="F1901" i="5"/>
  <c r="F1902" i="5"/>
  <c r="F1903" i="5"/>
  <c r="F1904" i="5"/>
  <c r="F1905" i="5"/>
  <c r="F1906" i="5"/>
  <c r="F1907" i="5"/>
  <c r="F1908" i="5"/>
  <c r="F1909" i="5"/>
  <c r="F1910" i="5"/>
  <c r="F1911" i="5"/>
  <c r="F1912" i="5"/>
  <c r="F1913" i="5"/>
  <c r="E1913" i="5" s="1"/>
  <c r="F1914" i="5"/>
  <c r="E1914" i="5" s="1"/>
  <c r="F1915" i="5"/>
  <c r="E1915" i="5" s="1"/>
  <c r="F1916" i="5"/>
  <c r="E1916" i="5" s="1"/>
  <c r="F1917" i="5"/>
  <c r="E1917" i="5" s="1"/>
  <c r="F1918" i="5"/>
  <c r="E1918" i="5" s="1"/>
  <c r="F1919" i="5"/>
  <c r="E1919" i="5" s="1"/>
  <c r="F1920" i="5"/>
  <c r="E1920" i="5" s="1"/>
  <c r="F1921" i="5"/>
  <c r="E1921" i="5" s="1"/>
  <c r="F1922" i="5"/>
  <c r="E1922" i="5" s="1"/>
  <c r="F1923" i="5"/>
  <c r="E1923" i="5" s="1"/>
  <c r="F1924" i="5"/>
  <c r="E1924" i="5" s="1"/>
  <c r="F1925" i="5"/>
  <c r="E1925" i="5" s="1"/>
  <c r="F1926" i="5"/>
  <c r="E1926" i="5" s="1"/>
  <c r="F1927" i="5"/>
  <c r="E1927" i="5" s="1"/>
  <c r="F1928" i="5"/>
  <c r="E1928" i="5" s="1"/>
  <c r="F1929" i="5"/>
  <c r="E1929" i="5" s="1"/>
  <c r="F1930" i="5"/>
  <c r="E1930" i="5" s="1"/>
  <c r="F1931" i="5"/>
  <c r="E1931" i="5" s="1"/>
  <c r="F1932" i="5"/>
  <c r="E1932" i="5" s="1"/>
  <c r="F1933" i="5"/>
  <c r="E1933" i="5" s="1"/>
  <c r="F1934" i="5"/>
  <c r="E1934" i="5" s="1"/>
  <c r="F1935" i="5"/>
  <c r="E1935" i="5" s="1"/>
  <c r="F1936" i="5"/>
  <c r="E1936" i="5" s="1"/>
  <c r="F1937" i="5"/>
  <c r="E1937" i="5" s="1"/>
  <c r="F1938" i="5"/>
  <c r="E1938" i="5" s="1"/>
  <c r="F1939" i="5"/>
  <c r="E1939" i="5" s="1"/>
  <c r="F1940" i="5"/>
  <c r="E1940" i="5" s="1"/>
  <c r="F1941" i="5"/>
  <c r="E1941" i="5" s="1"/>
  <c r="F1942" i="5"/>
  <c r="E1942" i="5" s="1"/>
  <c r="F1943" i="5"/>
  <c r="E1943" i="5" s="1"/>
  <c r="F1944" i="5"/>
  <c r="E1944" i="5" s="1"/>
  <c r="F1945" i="5"/>
  <c r="E1945" i="5" s="1"/>
  <c r="F1946" i="5"/>
  <c r="E1946" i="5" s="1"/>
  <c r="F1947" i="5"/>
  <c r="E1947" i="5" s="1"/>
  <c r="F1948" i="5"/>
  <c r="E1948" i="5" s="1"/>
  <c r="F1949" i="5"/>
  <c r="E1949" i="5" s="1"/>
  <c r="F1950" i="5"/>
  <c r="E1950" i="5" s="1"/>
  <c r="F1951" i="5"/>
  <c r="E1951" i="5" s="1"/>
  <c r="F1952" i="5"/>
  <c r="E1952" i="5" s="1"/>
  <c r="F1953" i="5"/>
  <c r="E1953" i="5" s="1"/>
  <c r="F1954" i="5"/>
  <c r="E1954" i="5" s="1"/>
  <c r="F1955" i="5"/>
  <c r="E1955" i="5" s="1"/>
  <c r="F1956" i="5"/>
  <c r="E1956" i="5" s="1"/>
  <c r="F1957" i="5"/>
  <c r="E1957" i="5" s="1"/>
  <c r="F1958" i="5"/>
  <c r="E1958" i="5" s="1"/>
  <c r="F1959" i="5"/>
  <c r="E1959" i="5" s="1"/>
  <c r="F1960" i="5"/>
  <c r="E1960" i="5" s="1"/>
  <c r="F1961" i="5"/>
  <c r="E1961" i="5" s="1"/>
  <c r="F1962" i="5"/>
  <c r="E1962" i="5" s="1"/>
  <c r="F1963" i="5"/>
  <c r="E1963" i="5" s="1"/>
  <c r="F1964" i="5"/>
  <c r="E1964" i="5" s="1"/>
  <c r="F1965" i="5"/>
  <c r="E1965" i="5" s="1"/>
  <c r="F1966" i="5"/>
  <c r="E1966" i="5" s="1"/>
  <c r="F1967" i="5"/>
  <c r="E1967" i="5" s="1"/>
  <c r="F1968" i="5"/>
  <c r="E1968" i="5" s="1"/>
  <c r="F1969" i="5"/>
  <c r="E1969" i="5" s="1"/>
  <c r="F1970" i="5"/>
  <c r="E1970" i="5" s="1"/>
  <c r="F1971" i="5"/>
  <c r="E1971" i="5" s="1"/>
  <c r="F1972" i="5"/>
  <c r="E1972" i="5" s="1"/>
  <c r="F1973" i="5"/>
  <c r="E1973" i="5" s="1"/>
  <c r="F1974" i="5"/>
  <c r="E1974" i="5" s="1"/>
  <c r="F1975" i="5"/>
  <c r="E1975" i="5" s="1"/>
  <c r="F1976" i="5"/>
  <c r="E1976" i="5" s="1"/>
  <c r="F1977" i="5"/>
  <c r="E1977" i="5" s="1"/>
  <c r="F1978" i="5"/>
  <c r="E1978" i="5" s="1"/>
  <c r="F1979" i="5"/>
  <c r="E1979" i="5" s="1"/>
  <c r="F1980" i="5"/>
  <c r="E1980" i="5" s="1"/>
  <c r="F1981" i="5"/>
  <c r="E1981" i="5" s="1"/>
  <c r="F1982" i="5"/>
  <c r="E1982" i="5" s="1"/>
  <c r="F1983" i="5"/>
  <c r="E1983" i="5" s="1"/>
  <c r="F1984" i="5"/>
  <c r="E1984" i="5" s="1"/>
  <c r="F1985" i="5"/>
  <c r="E1985" i="5" s="1"/>
  <c r="F1986" i="5"/>
  <c r="E1986" i="5" s="1"/>
  <c r="F1987" i="5"/>
  <c r="E1987" i="5" s="1"/>
  <c r="F1988" i="5"/>
  <c r="E1988" i="5" s="1"/>
  <c r="F1989" i="5"/>
  <c r="E1989" i="5" s="1"/>
  <c r="F1990" i="5"/>
  <c r="E1990" i="5" s="1"/>
  <c r="F1991" i="5"/>
  <c r="E1991" i="5" s="1"/>
  <c r="F1992" i="5"/>
  <c r="E1992" i="5" s="1"/>
  <c r="F1993" i="5"/>
  <c r="E1993" i="5" s="1"/>
  <c r="F1994" i="5"/>
  <c r="E1994" i="5" s="1"/>
  <c r="F1995" i="5"/>
  <c r="E1995" i="5" s="1"/>
  <c r="F1996" i="5"/>
  <c r="E1996" i="5" s="1"/>
  <c r="F1997" i="5"/>
  <c r="E1997" i="5" s="1"/>
  <c r="F1998" i="5"/>
  <c r="E1998" i="5" s="1"/>
  <c r="F1999" i="5"/>
  <c r="E1999" i="5" s="1"/>
  <c r="F2000" i="5"/>
  <c r="E2000" i="5" s="1"/>
  <c r="F2001" i="5"/>
  <c r="E2001" i="5" s="1"/>
  <c r="F2002" i="5"/>
  <c r="E2002" i="5" s="1"/>
  <c r="F2003" i="5"/>
  <c r="E2003" i="5" s="1"/>
  <c r="F2004" i="5"/>
  <c r="E2004" i="5" s="1"/>
  <c r="F2005" i="5"/>
  <c r="E2005" i="5" s="1"/>
  <c r="F2006" i="5"/>
  <c r="E2006" i="5" s="1"/>
  <c r="F2007" i="5"/>
  <c r="E2007" i="5" s="1"/>
  <c r="F2008" i="5"/>
  <c r="E2008" i="5" s="1"/>
  <c r="F2009" i="5"/>
  <c r="E2009" i="5" s="1"/>
  <c r="F2010" i="5"/>
  <c r="E2010" i="5" s="1"/>
  <c r="F2011" i="5"/>
  <c r="E2011" i="5" s="1"/>
  <c r="F2012" i="5"/>
  <c r="E2012" i="5" s="1"/>
  <c r="F2013" i="5"/>
  <c r="E2013" i="5" s="1"/>
  <c r="F2014" i="5"/>
  <c r="E2014" i="5" s="1"/>
  <c r="F2015" i="5"/>
  <c r="E2015" i="5" s="1"/>
  <c r="F2016" i="5"/>
  <c r="E2016" i="5" s="1"/>
  <c r="F2017" i="5"/>
  <c r="E2017" i="5" s="1"/>
  <c r="F2018" i="5"/>
  <c r="E2018" i="5" s="1"/>
  <c r="F2019" i="5"/>
  <c r="E2019" i="5" s="1"/>
  <c r="F2020" i="5"/>
  <c r="E2020" i="5" s="1"/>
  <c r="F2021" i="5"/>
  <c r="E2021" i="5" s="1"/>
  <c r="F2022" i="5"/>
  <c r="E2022" i="5" s="1"/>
  <c r="F2023" i="5"/>
  <c r="E2023" i="5" s="1"/>
  <c r="F2024" i="5"/>
  <c r="E2024" i="5" s="1"/>
  <c r="F2025" i="5"/>
  <c r="E2025" i="5" s="1"/>
  <c r="F2026" i="5"/>
  <c r="E2026" i="5" s="1"/>
  <c r="F2027" i="5"/>
  <c r="E2027" i="5" s="1"/>
  <c r="F2028" i="5"/>
  <c r="E2028" i="5" s="1"/>
  <c r="F2029" i="5"/>
  <c r="E2029" i="5" s="1"/>
  <c r="F2030" i="5"/>
  <c r="E2030" i="5" s="1"/>
  <c r="F2031" i="5"/>
  <c r="E2031" i="5" s="1"/>
  <c r="F2032" i="5"/>
  <c r="E2032" i="5" s="1"/>
  <c r="F2033" i="5"/>
  <c r="E2033" i="5" s="1"/>
  <c r="F2034" i="5"/>
  <c r="E2034" i="5" s="1"/>
  <c r="F2035" i="5"/>
  <c r="E2035" i="5" s="1"/>
  <c r="F2036" i="5"/>
  <c r="E2036" i="5" s="1"/>
  <c r="F2037" i="5"/>
  <c r="E2037" i="5" s="1"/>
  <c r="F2038" i="5"/>
  <c r="E2038" i="5" s="1"/>
  <c r="F2039" i="5"/>
  <c r="E2039" i="5" s="1"/>
  <c r="F2040" i="5"/>
  <c r="E2040" i="5" s="1"/>
  <c r="F2041" i="5"/>
  <c r="E2041" i="5" s="1"/>
  <c r="F2042" i="5"/>
  <c r="E2042" i="5" s="1"/>
  <c r="F2043" i="5"/>
  <c r="E2043" i="5" s="1"/>
  <c r="F2044" i="5"/>
  <c r="E2044" i="5" s="1"/>
  <c r="F2045" i="5"/>
  <c r="E2045" i="5" s="1"/>
  <c r="F2046" i="5"/>
  <c r="E2046" i="5" s="1"/>
  <c r="F2047" i="5"/>
  <c r="E2047" i="5" s="1"/>
  <c r="F2048" i="5"/>
  <c r="E2048" i="5" s="1"/>
  <c r="F2049" i="5"/>
  <c r="E2049" i="5" s="1"/>
  <c r="F2050" i="5"/>
  <c r="E2050" i="5" s="1"/>
  <c r="F2051" i="5"/>
  <c r="E2051" i="5" s="1"/>
  <c r="F2052" i="5"/>
  <c r="E2052" i="5" s="1"/>
  <c r="F2053" i="5"/>
  <c r="E2053" i="5" s="1"/>
  <c r="F2054" i="5"/>
  <c r="E2054" i="5" s="1"/>
  <c r="F2055" i="5"/>
  <c r="E2055" i="5" s="1"/>
  <c r="F2056" i="5"/>
  <c r="E2056" i="5" s="1"/>
  <c r="F2057" i="5"/>
  <c r="E2057" i="5" s="1"/>
  <c r="F2058" i="5"/>
  <c r="E2058" i="5" s="1"/>
  <c r="F2059" i="5"/>
  <c r="E2059" i="5" s="1"/>
  <c r="F2060" i="5"/>
  <c r="E2060" i="5" s="1"/>
  <c r="F2061" i="5"/>
  <c r="E2061" i="5" s="1"/>
  <c r="F2062" i="5"/>
  <c r="E2062" i="5" s="1"/>
  <c r="F2063" i="5"/>
  <c r="E2063" i="5" s="1"/>
  <c r="F2064" i="5"/>
  <c r="E2064" i="5" s="1"/>
  <c r="F2065" i="5"/>
  <c r="E2065" i="5" s="1"/>
  <c r="F2066" i="5"/>
  <c r="E2066" i="5" s="1"/>
  <c r="F2067" i="5"/>
  <c r="E2067" i="5" s="1"/>
  <c r="F2068" i="5"/>
  <c r="E2068" i="5" s="1"/>
  <c r="F2069" i="5"/>
  <c r="E2069" i="5" s="1"/>
  <c r="F2070" i="5"/>
  <c r="E2070" i="5" s="1"/>
  <c r="F2071" i="5"/>
  <c r="E2071" i="5" s="1"/>
  <c r="F2072" i="5"/>
  <c r="E2072" i="5" s="1"/>
  <c r="F2073" i="5"/>
  <c r="E2073" i="5" s="1"/>
  <c r="F2074" i="5"/>
  <c r="E2074" i="5" s="1"/>
  <c r="F2075" i="5"/>
  <c r="E2075" i="5" s="1"/>
  <c r="F2076" i="5"/>
  <c r="E2076" i="5" s="1"/>
  <c r="F2077" i="5"/>
  <c r="E2077" i="5" s="1"/>
  <c r="F2078" i="5"/>
  <c r="E2078" i="5" s="1"/>
  <c r="F2079" i="5"/>
  <c r="E2079" i="5" s="1"/>
  <c r="F2080" i="5"/>
  <c r="E2080" i="5" s="1"/>
  <c r="F2081" i="5"/>
  <c r="E2081" i="5" s="1"/>
  <c r="F2082" i="5"/>
  <c r="E2082" i="5" s="1"/>
  <c r="F2083" i="5"/>
  <c r="E2083" i="5" s="1"/>
  <c r="F2084" i="5"/>
  <c r="E2084" i="5" s="1"/>
  <c r="F2085" i="5"/>
  <c r="E2085" i="5" s="1"/>
  <c r="F2086" i="5"/>
  <c r="E2086" i="5" s="1"/>
  <c r="F2087" i="5"/>
  <c r="E2087" i="5" s="1"/>
  <c r="F2088" i="5"/>
  <c r="E2088" i="5" s="1"/>
  <c r="F2089" i="5"/>
  <c r="E2089" i="5" s="1"/>
  <c r="F2090" i="5"/>
  <c r="E2090" i="5" s="1"/>
  <c r="F2091" i="5"/>
  <c r="E2091" i="5" s="1"/>
  <c r="F2092" i="5"/>
  <c r="E2092" i="5" s="1"/>
  <c r="F2093" i="5"/>
  <c r="E2093" i="5" s="1"/>
  <c r="F2094" i="5"/>
  <c r="E2094" i="5" s="1"/>
  <c r="F2095" i="5"/>
  <c r="E2095" i="5" s="1"/>
  <c r="F2096" i="5"/>
  <c r="E2096" i="5" s="1"/>
  <c r="F2097" i="5"/>
  <c r="E2097" i="5" s="1"/>
  <c r="F2098" i="5"/>
  <c r="E2098" i="5" s="1"/>
  <c r="F2099" i="5"/>
  <c r="E2099" i="5" s="1"/>
  <c r="F2100" i="5"/>
  <c r="E2100" i="5" s="1"/>
  <c r="F2101" i="5"/>
  <c r="E2101" i="5" s="1"/>
  <c r="F2102" i="5"/>
  <c r="E2102" i="5" s="1"/>
  <c r="F2103" i="5"/>
  <c r="E2103" i="5" s="1"/>
  <c r="F2104" i="5"/>
  <c r="E2104" i="5" s="1"/>
  <c r="F2105" i="5"/>
  <c r="E2105" i="5" s="1"/>
  <c r="F2106" i="5"/>
  <c r="E2106" i="5" s="1"/>
  <c r="F2107" i="5"/>
  <c r="E2107" i="5" s="1"/>
  <c r="F2108" i="5"/>
  <c r="E2108" i="5" s="1"/>
  <c r="F2109" i="5"/>
  <c r="E2109" i="5" s="1"/>
  <c r="F2110" i="5"/>
  <c r="E2110" i="5" s="1"/>
  <c r="F2111" i="5"/>
  <c r="E2111" i="5" s="1"/>
  <c r="F2112" i="5"/>
  <c r="E2112" i="5" s="1"/>
  <c r="F2113" i="5"/>
  <c r="E2113" i="5" s="1"/>
  <c r="F2114" i="5"/>
  <c r="E2114" i="5" s="1"/>
  <c r="F2115" i="5"/>
  <c r="E2115" i="5" s="1"/>
  <c r="F2116" i="5"/>
  <c r="E2116" i="5" s="1"/>
  <c r="F2117" i="5"/>
  <c r="E2117" i="5" s="1"/>
  <c r="F2118" i="5"/>
  <c r="E2118" i="5" s="1"/>
  <c r="F2119" i="5"/>
  <c r="E2119" i="5" s="1"/>
  <c r="F2120" i="5"/>
  <c r="E2120" i="5" s="1"/>
  <c r="F2121" i="5"/>
  <c r="E2121" i="5" s="1"/>
  <c r="F2122" i="5"/>
  <c r="E2122" i="5" s="1"/>
  <c r="F2123" i="5"/>
  <c r="E2123" i="5" s="1"/>
  <c r="F2124" i="5"/>
  <c r="E2124" i="5" s="1"/>
  <c r="F2125" i="5"/>
  <c r="E2125" i="5" s="1"/>
  <c r="F2126" i="5"/>
  <c r="E2126" i="5" s="1"/>
  <c r="F2127" i="5"/>
  <c r="E2127" i="5" s="1"/>
  <c r="F2128" i="5"/>
  <c r="E2128" i="5" s="1"/>
  <c r="F2129" i="5"/>
  <c r="E2129" i="5" s="1"/>
  <c r="F2130" i="5"/>
  <c r="E2130" i="5" s="1"/>
  <c r="F2131" i="5"/>
  <c r="E2131" i="5" s="1"/>
  <c r="F2132" i="5"/>
  <c r="E2132" i="5" s="1"/>
  <c r="F2133" i="5"/>
  <c r="E2133" i="5" s="1"/>
  <c r="F2134" i="5"/>
  <c r="E2134" i="5" s="1"/>
  <c r="F2135" i="5"/>
  <c r="E2135" i="5" s="1"/>
  <c r="F2136" i="5"/>
  <c r="E2136" i="5" s="1"/>
  <c r="F2137" i="5"/>
  <c r="E2137" i="5" s="1"/>
  <c r="F2138" i="5"/>
  <c r="E2138" i="5" s="1"/>
  <c r="F2139" i="5"/>
  <c r="E2139" i="5" s="1"/>
  <c r="F2140" i="5"/>
  <c r="E2140" i="5" s="1"/>
  <c r="F2141" i="5"/>
  <c r="E2141" i="5" s="1"/>
  <c r="F2142" i="5"/>
  <c r="E2142" i="5" s="1"/>
  <c r="F2143" i="5"/>
  <c r="E2143" i="5" s="1"/>
  <c r="F2144" i="5"/>
  <c r="E2144" i="5" s="1"/>
  <c r="F2145" i="5"/>
  <c r="E2145" i="5" s="1"/>
  <c r="F2146" i="5"/>
  <c r="E2146" i="5" s="1"/>
  <c r="F2147" i="5"/>
  <c r="E2147" i="5" s="1"/>
  <c r="F2148" i="5"/>
  <c r="E2148" i="5" s="1"/>
  <c r="F2149" i="5"/>
  <c r="E2149" i="5" s="1"/>
  <c r="F2150" i="5"/>
  <c r="E2150" i="5" s="1"/>
  <c r="F2151" i="5"/>
  <c r="E2151" i="5" s="1"/>
  <c r="F2152" i="5"/>
  <c r="E2152" i="5" s="1"/>
  <c r="F2153" i="5"/>
  <c r="E2153" i="5" s="1"/>
  <c r="F2154" i="5"/>
  <c r="E2154" i="5" s="1"/>
  <c r="F2155" i="5"/>
  <c r="E2155" i="5" s="1"/>
  <c r="F2156" i="5"/>
  <c r="E2156" i="5" s="1"/>
  <c r="F2157" i="5"/>
  <c r="E2157" i="5" s="1"/>
  <c r="F2158" i="5"/>
  <c r="E2158" i="5" s="1"/>
  <c r="F2159" i="5"/>
  <c r="E2159" i="5" s="1"/>
  <c r="F2160" i="5"/>
  <c r="E2160" i="5" s="1"/>
  <c r="F2161" i="5"/>
  <c r="E2161" i="5" s="1"/>
  <c r="F2162" i="5"/>
  <c r="E2162" i="5" s="1"/>
  <c r="F2163" i="5"/>
  <c r="E2163" i="5" s="1"/>
  <c r="F2164" i="5"/>
  <c r="E2164" i="5" s="1"/>
  <c r="F2165" i="5"/>
  <c r="E2165" i="5" s="1"/>
  <c r="F2166" i="5"/>
  <c r="E2166" i="5" s="1"/>
  <c r="F2167" i="5"/>
  <c r="E2167" i="5" s="1"/>
  <c r="F2168" i="5"/>
  <c r="E2168" i="5" s="1"/>
  <c r="F2169" i="5"/>
  <c r="E2169" i="5" s="1"/>
  <c r="F2170" i="5"/>
  <c r="E2170" i="5" s="1"/>
  <c r="F2171" i="5"/>
  <c r="E2171" i="5" s="1"/>
  <c r="F2172" i="5"/>
  <c r="E2172" i="5" s="1"/>
  <c r="F2173" i="5"/>
  <c r="E2173" i="5" s="1"/>
  <c r="F2174" i="5"/>
  <c r="E2174" i="5" s="1"/>
  <c r="F2175" i="5"/>
  <c r="E2175" i="5" s="1"/>
  <c r="F2176" i="5"/>
  <c r="E2176" i="5" s="1"/>
  <c r="F2177" i="5"/>
  <c r="E2177" i="5" s="1"/>
  <c r="F2178" i="5"/>
  <c r="E2178" i="5" s="1"/>
  <c r="F2179" i="5"/>
  <c r="E2179" i="5" s="1"/>
  <c r="F2180" i="5"/>
  <c r="E2180" i="5" s="1"/>
  <c r="F2181" i="5"/>
  <c r="E2181" i="5" s="1"/>
  <c r="F2182" i="5"/>
  <c r="E2182" i="5" s="1"/>
  <c r="F2183" i="5"/>
  <c r="E2183" i="5" s="1"/>
  <c r="F2184" i="5"/>
  <c r="E2184" i="5" s="1"/>
  <c r="F2185" i="5"/>
  <c r="E2185" i="5" s="1"/>
  <c r="F2186" i="5"/>
  <c r="E2186" i="5" s="1"/>
  <c r="F2187" i="5"/>
  <c r="E2187" i="5" s="1"/>
  <c r="F2188" i="5"/>
  <c r="E2188" i="5" s="1"/>
  <c r="F2189" i="5"/>
  <c r="E2189" i="5" s="1"/>
  <c r="F2190" i="5"/>
  <c r="E2190" i="5" s="1"/>
  <c r="F2191" i="5"/>
  <c r="E2191" i="5" s="1"/>
  <c r="F2192" i="5"/>
  <c r="E2192" i="5" s="1"/>
  <c r="F2193" i="5"/>
  <c r="E2193" i="5" s="1"/>
  <c r="F2194" i="5"/>
  <c r="E2194" i="5" s="1"/>
  <c r="F2195" i="5"/>
  <c r="E2195" i="5" s="1"/>
  <c r="F2196" i="5"/>
  <c r="E2196" i="5" s="1"/>
  <c r="F2197" i="5"/>
  <c r="E2197" i="5" s="1"/>
  <c r="F2198" i="5"/>
  <c r="E2198" i="5" s="1"/>
  <c r="F2199" i="5"/>
  <c r="E2199" i="5" s="1"/>
  <c r="F2200" i="5"/>
  <c r="E2200" i="5" s="1"/>
  <c r="F2201" i="5"/>
  <c r="E2201" i="5" s="1"/>
  <c r="F2202" i="5"/>
  <c r="E2202" i="5" s="1"/>
  <c r="F2203" i="5"/>
  <c r="E2203" i="5" s="1"/>
  <c r="F2204" i="5"/>
  <c r="E2204" i="5" s="1"/>
  <c r="F2205" i="5"/>
  <c r="E2205" i="5" s="1"/>
  <c r="F2206" i="5"/>
  <c r="E2206" i="5" s="1"/>
  <c r="F2207" i="5"/>
  <c r="E2207" i="5" s="1"/>
  <c r="F2208" i="5"/>
  <c r="E2208" i="5" s="1"/>
  <c r="F2209" i="5"/>
  <c r="E2209" i="5" s="1"/>
  <c r="F2210" i="5"/>
  <c r="E2210" i="5" s="1"/>
  <c r="F2211" i="5"/>
  <c r="E2211" i="5" s="1"/>
  <c r="F2212" i="5"/>
  <c r="E2212" i="5" s="1"/>
  <c r="F2213" i="5"/>
  <c r="E2213" i="5" s="1"/>
  <c r="F2214" i="5"/>
  <c r="E2214" i="5" s="1"/>
  <c r="F2215" i="5"/>
  <c r="E2215" i="5" s="1"/>
  <c r="F2216" i="5"/>
  <c r="E2216" i="5" s="1"/>
  <c r="F2217" i="5"/>
  <c r="E2217" i="5" s="1"/>
  <c r="F2218" i="5"/>
  <c r="E2218" i="5" s="1"/>
  <c r="F2219" i="5"/>
  <c r="E2219" i="5" s="1"/>
  <c r="F2220" i="5"/>
  <c r="E2220" i="5" s="1"/>
  <c r="F2221" i="5"/>
  <c r="E2221" i="5" s="1"/>
  <c r="F2222" i="5"/>
  <c r="E2222" i="5" s="1"/>
  <c r="F2223" i="5"/>
  <c r="E2223" i="5" s="1"/>
  <c r="F2224" i="5"/>
  <c r="E2224" i="5" s="1"/>
  <c r="F2225" i="5"/>
  <c r="E2225" i="5" s="1"/>
  <c r="F2226" i="5"/>
  <c r="E2226" i="5" s="1"/>
  <c r="F2227" i="5"/>
  <c r="E2227" i="5" s="1"/>
  <c r="F2228" i="5"/>
  <c r="E2228" i="5" s="1"/>
  <c r="F2229" i="5"/>
  <c r="E2229" i="5" s="1"/>
  <c r="F2230" i="5"/>
  <c r="E2230" i="5" s="1"/>
  <c r="F2231" i="5"/>
  <c r="E2231" i="5" s="1"/>
  <c r="F2232" i="5"/>
  <c r="E2232" i="5" s="1"/>
  <c r="F2233" i="5"/>
  <c r="E2233" i="5" s="1"/>
  <c r="F2234" i="5"/>
  <c r="E2234" i="5" s="1"/>
  <c r="F2235" i="5"/>
  <c r="E2235" i="5" s="1"/>
  <c r="F2236" i="5"/>
  <c r="E2236" i="5" s="1"/>
  <c r="F2237" i="5"/>
  <c r="E2237" i="5" s="1"/>
  <c r="F2238" i="5"/>
  <c r="E2238" i="5" s="1"/>
  <c r="F2239" i="5"/>
  <c r="E2239" i="5" s="1"/>
  <c r="F2240" i="5"/>
  <c r="E2240" i="5" s="1"/>
  <c r="F2241" i="5"/>
  <c r="E2241" i="5" s="1"/>
  <c r="F2242" i="5"/>
  <c r="E2242" i="5" s="1"/>
  <c r="F2243" i="5"/>
  <c r="E2243" i="5" s="1"/>
  <c r="F2244" i="5"/>
  <c r="E2244" i="5" s="1"/>
  <c r="F2245" i="5"/>
  <c r="E2245" i="5" s="1"/>
  <c r="F2246" i="5"/>
  <c r="E2246" i="5" s="1"/>
  <c r="F2247" i="5"/>
  <c r="E2247" i="5" s="1"/>
  <c r="F2248" i="5"/>
  <c r="E2248" i="5" s="1"/>
  <c r="F2249" i="5"/>
  <c r="E2249" i="5" s="1"/>
  <c r="F2250" i="5"/>
  <c r="E2250" i="5" s="1"/>
  <c r="F2251" i="5"/>
  <c r="E2251" i="5" s="1"/>
  <c r="F2252" i="5"/>
  <c r="E2252" i="5" s="1"/>
  <c r="F2253" i="5"/>
  <c r="E2253" i="5" s="1"/>
  <c r="F2254" i="5"/>
  <c r="E2254" i="5" s="1"/>
  <c r="F2255" i="5"/>
  <c r="E2255" i="5" s="1"/>
  <c r="F2256" i="5"/>
  <c r="E2256" i="5" s="1"/>
  <c r="F2257" i="5"/>
  <c r="E2257" i="5" s="1"/>
  <c r="F2258" i="5"/>
  <c r="E2258" i="5" s="1"/>
  <c r="F2259" i="5"/>
  <c r="E2259" i="5" s="1"/>
  <c r="F2260" i="5"/>
  <c r="E2260" i="5" s="1"/>
  <c r="F2261" i="5"/>
  <c r="E2261" i="5" s="1"/>
  <c r="F2262" i="5"/>
  <c r="E2262" i="5" s="1"/>
  <c r="F2263" i="5"/>
  <c r="E2263" i="5" s="1"/>
  <c r="F2264" i="5"/>
  <c r="E2264" i="5" s="1"/>
  <c r="F2265" i="5"/>
  <c r="E2265" i="5" s="1"/>
  <c r="F2266" i="5"/>
  <c r="E2266" i="5" s="1"/>
  <c r="F2267" i="5"/>
  <c r="E2267" i="5" s="1"/>
  <c r="F2268" i="5"/>
  <c r="E2268" i="5" s="1"/>
  <c r="F2269" i="5"/>
  <c r="E2269" i="5" s="1"/>
  <c r="F2270" i="5"/>
  <c r="E2270" i="5" s="1"/>
  <c r="F2271" i="5"/>
  <c r="E2271" i="5" s="1"/>
  <c r="F2272" i="5"/>
  <c r="E2272" i="5" s="1"/>
  <c r="F2273" i="5"/>
  <c r="E2273" i="5" s="1"/>
  <c r="F2274" i="5"/>
  <c r="E2274" i="5" s="1"/>
  <c r="F2275" i="5"/>
  <c r="E2275" i="5" s="1"/>
  <c r="F2276" i="5"/>
  <c r="E2276" i="5" s="1"/>
  <c r="F2277" i="5"/>
  <c r="E2277" i="5" s="1"/>
  <c r="F2278" i="5"/>
  <c r="E2278" i="5" s="1"/>
  <c r="F2279" i="5"/>
  <c r="E2279" i="5" s="1"/>
  <c r="F2280" i="5"/>
  <c r="E2280" i="5" s="1"/>
  <c r="F2281" i="5"/>
  <c r="E2281" i="5" s="1"/>
  <c r="F2282" i="5"/>
  <c r="E2282" i="5" s="1"/>
  <c r="F2283" i="5"/>
  <c r="E2283" i="5" s="1"/>
  <c r="F2284" i="5"/>
  <c r="E2284" i="5" s="1"/>
  <c r="F2285" i="5"/>
  <c r="E2285" i="5" s="1"/>
  <c r="F2286" i="5"/>
  <c r="E2286" i="5" s="1"/>
  <c r="F2287" i="5"/>
  <c r="E2287" i="5" s="1"/>
  <c r="F2288" i="5"/>
  <c r="E2288" i="5" s="1"/>
  <c r="F2289" i="5"/>
  <c r="E2289" i="5" s="1"/>
  <c r="F2290" i="5"/>
  <c r="E2290" i="5" s="1"/>
  <c r="F2291" i="5"/>
  <c r="E2291" i="5" s="1"/>
  <c r="F2292" i="5"/>
  <c r="E2292" i="5" s="1"/>
  <c r="F2293" i="5"/>
  <c r="E2293" i="5" s="1"/>
  <c r="F2294" i="5"/>
  <c r="E2294" i="5" s="1"/>
  <c r="F2295" i="5"/>
  <c r="E2295" i="5" s="1"/>
  <c r="F2296" i="5"/>
  <c r="E2296" i="5" s="1"/>
  <c r="F2297" i="5"/>
  <c r="E2297" i="5" s="1"/>
  <c r="F2298" i="5"/>
  <c r="E2298" i="5" s="1"/>
  <c r="F2299" i="5"/>
  <c r="E2299" i="5" s="1"/>
  <c r="F2300" i="5"/>
  <c r="E2300" i="5" s="1"/>
  <c r="F2301" i="5"/>
  <c r="E2301" i="5" s="1"/>
  <c r="F2302" i="5"/>
  <c r="E2302" i="5" s="1"/>
  <c r="F2303" i="5"/>
  <c r="E2303" i="5" s="1"/>
  <c r="F2304" i="5"/>
  <c r="E2304" i="5" s="1"/>
  <c r="F2305" i="5"/>
  <c r="E2305" i="5" s="1"/>
  <c r="F2306" i="5"/>
  <c r="E2306" i="5" s="1"/>
  <c r="F2307" i="5"/>
  <c r="E2307" i="5" s="1"/>
  <c r="F2308" i="5"/>
  <c r="E2308" i="5" s="1"/>
  <c r="F2309" i="5"/>
  <c r="E2309" i="5" s="1"/>
  <c r="F2310" i="5"/>
  <c r="E2310" i="5" s="1"/>
  <c r="F2311" i="5"/>
  <c r="E2311" i="5" s="1"/>
  <c r="F2312" i="5"/>
  <c r="E2312" i="5" s="1"/>
  <c r="F2313" i="5"/>
  <c r="E2313" i="5" s="1"/>
  <c r="F2314" i="5"/>
  <c r="E2314" i="5" s="1"/>
  <c r="F2315" i="5"/>
  <c r="E2315" i="5" s="1"/>
  <c r="F2316" i="5"/>
  <c r="E2316" i="5" s="1"/>
  <c r="F2317" i="5"/>
  <c r="E2317" i="5" s="1"/>
  <c r="F2318" i="5"/>
  <c r="E2318" i="5" s="1"/>
  <c r="F2319" i="5"/>
  <c r="E2319" i="5" s="1"/>
  <c r="F2320" i="5"/>
  <c r="E2320" i="5" s="1"/>
  <c r="F2321" i="5"/>
  <c r="E2321" i="5" s="1"/>
  <c r="F2322" i="5"/>
  <c r="E2322" i="5" s="1"/>
  <c r="F2323" i="5"/>
  <c r="E2323" i="5" s="1"/>
  <c r="F2324" i="5"/>
  <c r="E2324" i="5" s="1"/>
  <c r="F2325" i="5"/>
  <c r="E2325" i="5" s="1"/>
  <c r="F2326" i="5"/>
  <c r="E2326" i="5" s="1"/>
  <c r="F2327" i="5"/>
  <c r="E2327" i="5" s="1"/>
  <c r="F2328" i="5"/>
  <c r="E2328" i="5" s="1"/>
  <c r="F2329" i="5"/>
  <c r="E2329" i="5" s="1"/>
  <c r="F2330" i="5"/>
  <c r="E2330" i="5" s="1"/>
  <c r="F2331" i="5"/>
  <c r="E2331" i="5" s="1"/>
  <c r="F2332" i="5"/>
  <c r="E2332" i="5" s="1"/>
  <c r="F2333" i="5"/>
  <c r="E2333" i="5" s="1"/>
  <c r="F2334" i="5"/>
  <c r="E2334" i="5" s="1"/>
  <c r="F2335" i="5"/>
  <c r="E2335" i="5" s="1"/>
  <c r="F2336" i="5"/>
  <c r="E2336" i="5" s="1"/>
  <c r="F2337" i="5"/>
  <c r="E2337" i="5" s="1"/>
  <c r="F2338" i="5"/>
  <c r="E2338" i="5" s="1"/>
  <c r="F2339" i="5"/>
  <c r="E2339" i="5" s="1"/>
  <c r="F2340" i="5"/>
  <c r="E2340" i="5" s="1"/>
  <c r="F2341" i="5"/>
  <c r="E2341" i="5" s="1"/>
  <c r="F2342" i="5"/>
  <c r="E2342" i="5" s="1"/>
  <c r="F2343" i="5"/>
  <c r="E2343" i="5" s="1"/>
  <c r="F2344" i="5"/>
  <c r="E2344" i="5" s="1"/>
  <c r="F2345" i="5"/>
  <c r="E2345" i="5" s="1"/>
  <c r="F2346" i="5"/>
  <c r="E2346" i="5" s="1"/>
  <c r="F2347" i="5"/>
  <c r="E2347" i="5" s="1"/>
  <c r="F2348" i="5"/>
  <c r="E2348" i="5" s="1"/>
  <c r="F2349" i="5"/>
  <c r="E2349" i="5" s="1"/>
  <c r="F2350" i="5"/>
  <c r="E2350" i="5" s="1"/>
  <c r="F2351" i="5"/>
  <c r="E2351" i="5" s="1"/>
  <c r="F2352" i="5"/>
  <c r="E2352" i="5" s="1"/>
  <c r="F2353" i="5"/>
  <c r="E2353" i="5" s="1"/>
  <c r="F2354" i="5"/>
  <c r="E2354" i="5" s="1"/>
  <c r="F2355" i="5"/>
  <c r="E2355" i="5" s="1"/>
  <c r="F2356" i="5"/>
  <c r="E2356" i="5" s="1"/>
  <c r="F2357" i="5"/>
  <c r="E2357" i="5" s="1"/>
  <c r="F2358" i="5"/>
  <c r="E2358" i="5" s="1"/>
  <c r="F2359" i="5"/>
  <c r="E2359" i="5" s="1"/>
  <c r="F2360" i="5"/>
  <c r="E2360" i="5" s="1"/>
  <c r="F2361" i="5"/>
  <c r="E2361" i="5" s="1"/>
  <c r="F2362" i="5"/>
  <c r="E2362" i="5" s="1"/>
  <c r="F2363" i="5"/>
  <c r="E2363" i="5" s="1"/>
  <c r="F2364" i="5"/>
  <c r="E2364" i="5" s="1"/>
  <c r="F2365" i="5"/>
  <c r="E2365" i="5" s="1"/>
  <c r="F2366" i="5"/>
  <c r="E2366" i="5" s="1"/>
  <c r="F2367" i="5"/>
  <c r="E2367" i="5" s="1"/>
  <c r="F2368" i="5"/>
  <c r="E2368" i="5" s="1"/>
  <c r="F2369" i="5"/>
  <c r="E2369" i="5" s="1"/>
  <c r="F2370" i="5"/>
  <c r="E2370" i="5" s="1"/>
  <c r="F2371" i="5"/>
  <c r="E2371" i="5" s="1"/>
  <c r="F2372" i="5"/>
  <c r="E2372" i="5" s="1"/>
  <c r="F2373" i="5"/>
  <c r="E2373" i="5" s="1"/>
  <c r="F2374" i="5"/>
  <c r="E2374" i="5" s="1"/>
  <c r="F2375" i="5"/>
  <c r="E2375" i="5" s="1"/>
  <c r="F2376" i="5"/>
  <c r="E2376" i="5" s="1"/>
  <c r="F2377" i="5"/>
  <c r="E2377" i="5" s="1"/>
  <c r="F2378" i="5"/>
  <c r="E2378" i="5" s="1"/>
  <c r="F2379" i="5"/>
  <c r="E2379" i="5" s="1"/>
  <c r="F2380" i="5"/>
  <c r="E2380" i="5" s="1"/>
  <c r="F2381" i="5"/>
  <c r="E2381" i="5" s="1"/>
  <c r="F2382" i="5"/>
  <c r="E2382" i="5" s="1"/>
  <c r="F2383" i="5"/>
  <c r="E2383" i="5" s="1"/>
  <c r="F2384" i="5"/>
  <c r="E2384" i="5" s="1"/>
  <c r="F2385" i="5"/>
  <c r="E2385" i="5" s="1"/>
  <c r="F2386" i="5"/>
  <c r="E2386" i="5" s="1"/>
  <c r="F2387" i="5"/>
  <c r="E2387" i="5" s="1"/>
  <c r="F2388" i="5"/>
  <c r="E2388" i="5" s="1"/>
  <c r="F2389" i="5"/>
  <c r="E2389" i="5" s="1"/>
  <c r="F2390" i="5"/>
  <c r="E2390" i="5" s="1"/>
  <c r="F2391" i="5"/>
  <c r="E2391" i="5" s="1"/>
  <c r="F2392" i="5"/>
  <c r="E2392" i="5" s="1"/>
  <c r="F2393" i="5"/>
  <c r="E2393" i="5" s="1"/>
  <c r="F2394" i="5"/>
  <c r="E2394" i="5" s="1"/>
  <c r="F2395" i="5"/>
  <c r="E2395" i="5" s="1"/>
  <c r="F2396" i="5"/>
  <c r="E2396" i="5" s="1"/>
  <c r="F2397" i="5"/>
  <c r="E2397" i="5" s="1"/>
  <c r="F2398" i="5"/>
  <c r="E2398" i="5" s="1"/>
  <c r="F2399" i="5"/>
  <c r="E2399" i="5" s="1"/>
  <c r="F2400" i="5"/>
  <c r="E2400" i="5" s="1"/>
  <c r="F2401" i="5"/>
  <c r="E2401" i="5" s="1"/>
  <c r="F2402" i="5"/>
  <c r="E2402" i="5" s="1"/>
  <c r="F2403" i="5"/>
  <c r="E2403" i="5" s="1"/>
  <c r="F2404" i="5"/>
  <c r="E2404" i="5" s="1"/>
  <c r="F2405" i="5"/>
  <c r="E2405" i="5" s="1"/>
  <c r="F2406" i="5"/>
  <c r="E2406" i="5" s="1"/>
  <c r="F2407" i="5"/>
  <c r="E2407" i="5" s="1"/>
  <c r="F2408" i="5"/>
  <c r="E2408" i="5" s="1"/>
  <c r="F2409" i="5"/>
  <c r="E2409" i="5" s="1"/>
  <c r="F2410" i="5"/>
  <c r="E2410" i="5" s="1"/>
  <c r="F2411" i="5"/>
  <c r="E2411" i="5" s="1"/>
  <c r="F2412" i="5"/>
  <c r="E2412" i="5" s="1"/>
  <c r="F2413" i="5"/>
  <c r="E2413" i="5" s="1"/>
  <c r="F2414" i="5"/>
  <c r="E2414" i="5" s="1"/>
  <c r="F2415" i="5"/>
  <c r="E2415" i="5" s="1"/>
  <c r="F2416" i="5"/>
  <c r="E2416" i="5" s="1"/>
  <c r="F2417" i="5"/>
  <c r="E2417" i="5" s="1"/>
  <c r="F2418" i="5"/>
  <c r="E2418" i="5" s="1"/>
  <c r="F2419" i="5"/>
  <c r="E2419" i="5" s="1"/>
  <c r="F2420" i="5"/>
  <c r="E2420" i="5" s="1"/>
  <c r="F2421" i="5"/>
  <c r="E2421" i="5" s="1"/>
  <c r="F2422" i="5"/>
  <c r="E2422" i="5" s="1"/>
  <c r="F2423" i="5"/>
  <c r="E2423" i="5" s="1"/>
  <c r="F2424" i="5"/>
  <c r="E2424" i="5" s="1"/>
  <c r="F2425" i="5"/>
  <c r="E2425" i="5" s="1"/>
  <c r="F2426" i="5"/>
  <c r="E2426" i="5" s="1"/>
  <c r="F2427" i="5"/>
  <c r="E2427" i="5" s="1"/>
  <c r="F2428" i="5"/>
  <c r="E2428" i="5" s="1"/>
  <c r="F2429" i="5"/>
  <c r="E2429" i="5" s="1"/>
  <c r="F2430" i="5"/>
  <c r="E2430" i="5" s="1"/>
  <c r="F2431" i="5"/>
  <c r="E2431" i="5" s="1"/>
  <c r="F2432" i="5"/>
  <c r="E2432" i="5" s="1"/>
  <c r="F2433" i="5"/>
  <c r="E2433" i="5" s="1"/>
  <c r="F2434" i="5"/>
  <c r="E2434" i="5" s="1"/>
  <c r="F2435" i="5"/>
  <c r="E2435" i="5" s="1"/>
  <c r="F2436" i="5"/>
  <c r="E2436" i="5" s="1"/>
  <c r="F2437" i="5"/>
  <c r="E2437" i="5" s="1"/>
  <c r="F2438" i="5"/>
  <c r="E2438" i="5" s="1"/>
  <c r="F2439" i="5"/>
  <c r="E2439" i="5" s="1"/>
  <c r="F2440" i="5"/>
  <c r="E2440" i="5" s="1"/>
  <c r="F2441" i="5"/>
  <c r="E2441" i="5" s="1"/>
  <c r="F2442" i="5"/>
  <c r="E2442" i="5" s="1"/>
  <c r="F2443" i="5"/>
  <c r="E2443" i="5" s="1"/>
  <c r="F2444" i="5"/>
  <c r="E2444" i="5" s="1"/>
  <c r="F2445" i="5"/>
  <c r="E2445" i="5" s="1"/>
  <c r="F2446" i="5"/>
  <c r="E2446" i="5" s="1"/>
  <c r="F2447" i="5"/>
  <c r="E2447" i="5" s="1"/>
  <c r="F2448" i="5"/>
  <c r="E2448" i="5" s="1"/>
  <c r="F2449" i="5"/>
  <c r="E2449" i="5" s="1"/>
  <c r="F2450" i="5"/>
  <c r="E2450" i="5" s="1"/>
  <c r="F2451" i="5"/>
  <c r="E2451" i="5" s="1"/>
  <c r="F2452" i="5"/>
  <c r="E2452" i="5" s="1"/>
  <c r="F2453" i="5"/>
  <c r="E2453" i="5" s="1"/>
  <c r="F2454" i="5"/>
  <c r="E2454" i="5" s="1"/>
  <c r="F2455" i="5"/>
  <c r="E2455" i="5" s="1"/>
  <c r="F2456" i="5"/>
  <c r="E2456" i="5" s="1"/>
  <c r="F2457" i="5"/>
  <c r="E2457" i="5" s="1"/>
  <c r="F2458" i="5"/>
  <c r="E2458" i="5" s="1"/>
  <c r="F2459" i="5"/>
  <c r="E2459" i="5" s="1"/>
  <c r="F2460" i="5"/>
  <c r="E2460" i="5" s="1"/>
  <c r="F2461" i="5"/>
  <c r="E2461" i="5" s="1"/>
  <c r="F2462" i="5"/>
  <c r="E2462" i="5" s="1"/>
  <c r="F2463" i="5"/>
  <c r="E2463" i="5" s="1"/>
  <c r="F2464" i="5"/>
  <c r="E2464" i="5" s="1"/>
  <c r="F2465" i="5"/>
  <c r="E2465" i="5" s="1"/>
  <c r="F2466" i="5"/>
  <c r="E2466" i="5" s="1"/>
  <c r="F2467" i="5"/>
  <c r="E2467" i="5" s="1"/>
  <c r="F2468" i="5"/>
  <c r="E2468" i="5" s="1"/>
  <c r="F2469" i="5"/>
  <c r="E2469" i="5" s="1"/>
  <c r="F2470" i="5"/>
  <c r="E2470" i="5" s="1"/>
  <c r="F2471" i="5"/>
  <c r="E2471" i="5" s="1"/>
  <c r="F2472" i="5"/>
  <c r="E2472" i="5" s="1"/>
  <c r="F2473" i="5"/>
  <c r="E2473" i="5" s="1"/>
  <c r="F2474" i="5"/>
  <c r="E2474" i="5" s="1"/>
  <c r="F2475" i="5"/>
  <c r="E2475" i="5" s="1"/>
  <c r="F2476" i="5"/>
  <c r="E2476" i="5" s="1"/>
  <c r="F2477" i="5"/>
  <c r="E2477" i="5" s="1"/>
  <c r="F2478" i="5"/>
  <c r="E2478" i="5" s="1"/>
  <c r="F2479" i="5"/>
  <c r="E2479" i="5" s="1"/>
  <c r="F2480" i="5"/>
  <c r="E2480" i="5" s="1"/>
  <c r="F2481" i="5"/>
  <c r="E2481" i="5" s="1"/>
  <c r="F2482" i="5"/>
  <c r="E2482" i="5" s="1"/>
  <c r="F2483" i="5"/>
  <c r="E2483" i="5" s="1"/>
  <c r="F2484" i="5"/>
  <c r="E2484" i="5" s="1"/>
  <c r="F2485" i="5"/>
  <c r="E2485" i="5" s="1"/>
  <c r="F2486" i="5"/>
  <c r="E2486" i="5" s="1"/>
  <c r="F2487" i="5"/>
  <c r="E2487" i="5" s="1"/>
  <c r="F2488" i="5"/>
  <c r="E2488" i="5" s="1"/>
  <c r="F2489" i="5"/>
  <c r="E2489" i="5" s="1"/>
  <c r="F2490" i="5"/>
  <c r="E2490" i="5" s="1"/>
  <c r="F2491" i="5"/>
  <c r="E2491" i="5" s="1"/>
  <c r="F2492" i="5"/>
  <c r="E2492" i="5" s="1"/>
  <c r="F2493" i="5"/>
  <c r="E2493" i="5" s="1"/>
  <c r="F2494" i="5"/>
  <c r="E2494" i="5" s="1"/>
  <c r="F2495" i="5"/>
  <c r="E2495" i="5" s="1"/>
  <c r="F2496" i="5"/>
  <c r="E2496" i="5" s="1"/>
  <c r="F2497" i="5"/>
  <c r="E2497" i="5" s="1"/>
  <c r="F2498" i="5"/>
  <c r="E2498" i="5" s="1"/>
  <c r="F2499" i="5"/>
  <c r="E2499" i="5" s="1"/>
  <c r="F2500" i="5"/>
  <c r="E2500" i="5" s="1"/>
  <c r="F2501" i="5"/>
  <c r="E2501" i="5" s="1"/>
  <c r="F2502" i="5"/>
  <c r="E2502" i="5" s="1"/>
  <c r="F2503" i="5"/>
  <c r="E2503" i="5" s="1"/>
  <c r="F2504" i="5"/>
  <c r="E2504" i="5" s="1"/>
  <c r="F2505" i="5"/>
  <c r="E2505" i="5" s="1"/>
  <c r="F2506" i="5"/>
  <c r="E2506" i="5" s="1"/>
  <c r="F2507" i="5"/>
  <c r="E2507" i="5" s="1"/>
  <c r="F2508" i="5"/>
  <c r="E2508" i="5" s="1"/>
  <c r="F2509" i="5"/>
  <c r="E2509" i="5" s="1"/>
  <c r="F2510" i="5"/>
  <c r="E2510" i="5" s="1"/>
  <c r="F2511" i="5"/>
  <c r="E2511" i="5" s="1"/>
  <c r="F2512" i="5"/>
  <c r="E2512" i="5" s="1"/>
  <c r="F2513" i="5"/>
  <c r="E2513" i="5" s="1"/>
  <c r="F2514" i="5"/>
  <c r="E2514" i="5" s="1"/>
  <c r="F2515" i="5"/>
  <c r="E2515" i="5" s="1"/>
  <c r="F2516" i="5"/>
  <c r="E2516" i="5" s="1"/>
  <c r="F2517" i="5"/>
  <c r="E2517" i="5" s="1"/>
  <c r="F2518" i="5"/>
  <c r="E2518" i="5" s="1"/>
  <c r="F2519" i="5"/>
  <c r="E2519" i="5" s="1"/>
  <c r="F2520" i="5"/>
  <c r="E2520" i="5" s="1"/>
  <c r="F2521" i="5"/>
  <c r="E2521" i="5" s="1"/>
  <c r="F2522" i="5"/>
  <c r="E2522" i="5" s="1"/>
  <c r="F2523" i="5"/>
  <c r="E2523" i="5" s="1"/>
  <c r="F2524" i="5"/>
  <c r="E2524" i="5" s="1"/>
  <c r="F2525" i="5"/>
  <c r="E2525" i="5" s="1"/>
  <c r="F2526" i="5"/>
  <c r="E2526" i="5" s="1"/>
  <c r="F2527" i="5"/>
  <c r="E2527" i="5" s="1"/>
  <c r="F2528" i="5"/>
  <c r="E2528" i="5" s="1"/>
  <c r="F2529" i="5"/>
  <c r="E2529" i="5" s="1"/>
  <c r="F2530" i="5"/>
  <c r="E2530" i="5" s="1"/>
  <c r="F2531" i="5"/>
  <c r="E2531" i="5" s="1"/>
  <c r="F2532" i="5"/>
  <c r="E2532" i="5" s="1"/>
  <c r="F2533" i="5"/>
  <c r="E2533" i="5" s="1"/>
  <c r="F2534" i="5"/>
  <c r="E2534" i="5" s="1"/>
  <c r="F2535" i="5"/>
  <c r="E2535" i="5" s="1"/>
  <c r="F2536" i="5"/>
  <c r="E2536" i="5" s="1"/>
  <c r="F2537" i="5"/>
  <c r="E2537" i="5" s="1"/>
  <c r="F2538" i="5"/>
  <c r="E2538" i="5" s="1"/>
  <c r="F2539" i="5"/>
  <c r="E2539" i="5" s="1"/>
  <c r="F2540" i="5"/>
  <c r="E2540" i="5" s="1"/>
  <c r="F2541" i="5"/>
  <c r="E2541" i="5" s="1"/>
  <c r="F2542" i="5"/>
  <c r="E2542" i="5" s="1"/>
  <c r="F2543" i="5"/>
  <c r="E2543" i="5" s="1"/>
  <c r="F2544" i="5"/>
  <c r="E2544" i="5" s="1"/>
  <c r="F2545" i="5"/>
  <c r="E2545" i="5" s="1"/>
  <c r="F2546" i="5"/>
  <c r="E2546" i="5" s="1"/>
  <c r="F2547" i="5"/>
  <c r="E2547" i="5" s="1"/>
  <c r="F2548" i="5"/>
  <c r="E2548" i="5" s="1"/>
  <c r="F2549" i="5"/>
  <c r="E2549" i="5" s="1"/>
  <c r="F2550" i="5"/>
  <c r="E2550" i="5" s="1"/>
  <c r="F2551" i="5"/>
  <c r="E2551" i="5" s="1"/>
  <c r="F2552" i="5"/>
  <c r="E2552" i="5" s="1"/>
  <c r="F2553" i="5"/>
  <c r="E2553" i="5" s="1"/>
  <c r="F2554" i="5"/>
  <c r="E2554" i="5" s="1"/>
  <c r="F2555" i="5"/>
  <c r="E2555" i="5" s="1"/>
  <c r="F2556" i="5"/>
  <c r="E2556" i="5" s="1"/>
  <c r="F2557" i="5"/>
  <c r="E2557" i="5" s="1"/>
  <c r="F2558" i="5"/>
  <c r="E2558" i="5" s="1"/>
  <c r="F2559" i="5"/>
  <c r="E2559" i="5" s="1"/>
  <c r="F2560" i="5"/>
  <c r="E2560" i="5" s="1"/>
  <c r="F2561" i="5"/>
  <c r="E2561" i="5" s="1"/>
  <c r="F2562" i="5"/>
  <c r="E2562" i="5" s="1"/>
  <c r="F2563" i="5"/>
  <c r="E2563" i="5" s="1"/>
  <c r="F2564" i="5"/>
  <c r="E2564" i="5" s="1"/>
  <c r="F2565" i="5"/>
  <c r="E2565" i="5" s="1"/>
  <c r="F2566" i="5"/>
  <c r="E2566" i="5" s="1"/>
  <c r="F2567" i="5"/>
  <c r="E2567" i="5" s="1"/>
  <c r="F2568" i="5"/>
  <c r="E2568" i="5" s="1"/>
  <c r="F2569" i="5"/>
  <c r="E2569" i="5" s="1"/>
  <c r="F2570" i="5"/>
  <c r="E2570" i="5" s="1"/>
  <c r="F2571" i="5"/>
  <c r="E2571" i="5" s="1"/>
  <c r="F2572" i="5"/>
  <c r="E2572" i="5" s="1"/>
  <c r="F2573" i="5"/>
  <c r="E2573" i="5" s="1"/>
  <c r="F2574" i="5"/>
  <c r="E2574" i="5" s="1"/>
  <c r="F2575" i="5"/>
  <c r="E2575" i="5" s="1"/>
  <c r="F2576" i="5"/>
  <c r="E2576" i="5" s="1"/>
  <c r="F2577" i="5"/>
  <c r="E2577" i="5" s="1"/>
  <c r="F2578" i="5"/>
  <c r="E2578" i="5" s="1"/>
  <c r="F2579" i="5"/>
  <c r="E2579" i="5" s="1"/>
  <c r="F2580" i="5"/>
  <c r="E2580" i="5" s="1"/>
  <c r="F2581" i="5"/>
  <c r="E2581" i="5" s="1"/>
  <c r="F2582" i="5"/>
  <c r="E2582" i="5" s="1"/>
  <c r="F2583" i="5"/>
  <c r="E2583" i="5" s="1"/>
  <c r="F2584" i="5"/>
  <c r="E2584" i="5" s="1"/>
  <c r="F2585" i="5"/>
  <c r="E2585" i="5" s="1"/>
  <c r="F2586" i="5"/>
  <c r="E2586" i="5" s="1"/>
  <c r="F2587" i="5"/>
  <c r="E2587" i="5" s="1"/>
  <c r="F2588" i="5"/>
  <c r="E2588" i="5" s="1"/>
  <c r="F2590" i="5"/>
  <c r="E2590" i="5" s="1"/>
  <c r="F2591" i="5"/>
  <c r="E2591" i="5" s="1"/>
  <c r="F2592" i="5"/>
  <c r="E2592" i="5" s="1"/>
  <c r="F2593" i="5"/>
  <c r="E2593" i="5" s="1"/>
  <c r="F2594" i="5"/>
  <c r="E2594" i="5" s="1"/>
  <c r="F2595" i="5"/>
  <c r="E2595" i="5" s="1"/>
  <c r="F2596" i="5"/>
  <c r="E2596" i="5" s="1"/>
  <c r="F2597" i="5"/>
  <c r="E2597" i="5" s="1"/>
  <c r="F2598" i="5"/>
  <c r="E2598" i="5" s="1"/>
  <c r="F2599" i="5"/>
  <c r="E2599" i="5" s="1"/>
  <c r="F2600" i="5"/>
  <c r="E2600" i="5" s="1"/>
  <c r="F2601" i="5"/>
  <c r="E2601" i="5" s="1"/>
  <c r="F2602" i="5"/>
  <c r="E2602" i="5" s="1"/>
  <c r="F2603" i="5"/>
  <c r="E2603" i="5" s="1"/>
  <c r="F2604" i="5"/>
  <c r="E2604" i="5" s="1"/>
  <c r="F2605" i="5"/>
  <c r="E2605" i="5" s="1"/>
  <c r="F2606" i="5"/>
  <c r="E2606" i="5" s="1"/>
  <c r="F2607" i="5"/>
  <c r="E2607" i="5" s="1"/>
  <c r="F2608" i="5"/>
  <c r="E2608" i="5" s="1"/>
  <c r="F2610" i="5"/>
  <c r="E2610" i="5" s="1"/>
  <c r="F2611" i="5"/>
  <c r="E2611" i="5" s="1"/>
  <c r="F2612" i="5"/>
  <c r="E2612" i="5" s="1"/>
  <c r="F2613" i="5"/>
  <c r="E2613" i="5" s="1"/>
  <c r="F2614" i="5"/>
  <c r="E2614" i="5" s="1"/>
  <c r="F2615" i="5"/>
  <c r="E2615" i="5" s="1"/>
  <c r="F2616" i="5"/>
  <c r="E2616" i="5" s="1"/>
  <c r="F2617" i="5"/>
  <c r="E2617" i="5" s="1"/>
  <c r="F2618" i="5"/>
  <c r="E2618" i="5" s="1"/>
  <c r="F2619" i="5"/>
  <c r="E2619" i="5" s="1"/>
  <c r="F2620" i="5"/>
  <c r="E2620" i="5" s="1"/>
  <c r="F2621" i="5"/>
  <c r="E2621" i="5" s="1"/>
  <c r="F2622" i="5"/>
  <c r="E2622" i="5" s="1"/>
  <c r="F2623" i="5"/>
  <c r="E2623" i="5" s="1"/>
  <c r="F2624" i="5"/>
  <c r="E2624" i="5" s="1"/>
  <c r="F2625" i="5"/>
  <c r="E2625" i="5" s="1"/>
  <c r="F2626" i="5"/>
  <c r="E2626" i="5" s="1"/>
  <c r="F2627" i="5"/>
  <c r="E2627" i="5" s="1"/>
  <c r="F2628" i="5"/>
  <c r="E2628" i="5" s="1"/>
  <c r="F2629" i="5"/>
  <c r="E2629" i="5" s="1"/>
  <c r="F2630" i="5"/>
  <c r="E2630" i="5" s="1"/>
  <c r="F2631" i="5"/>
  <c r="E2631" i="5" s="1"/>
  <c r="F2632" i="5"/>
  <c r="E2632" i="5" s="1"/>
  <c r="F2633" i="5"/>
  <c r="E2633" i="5" s="1"/>
  <c r="F2634" i="5"/>
  <c r="E2634" i="5" s="1"/>
  <c r="F2635" i="5"/>
  <c r="E2635" i="5" s="1"/>
  <c r="F2636" i="5"/>
  <c r="E2636" i="5" s="1"/>
  <c r="F2637" i="5"/>
  <c r="E2637" i="5" s="1"/>
  <c r="F2638" i="5"/>
  <c r="E2638" i="5" s="1"/>
  <c r="F2639" i="5"/>
  <c r="E2639" i="5" s="1"/>
  <c r="F2640" i="5"/>
  <c r="E2640" i="5" s="1"/>
  <c r="F2641" i="5"/>
  <c r="E2641" i="5" s="1"/>
  <c r="F2642" i="5"/>
  <c r="E2642" i="5" s="1"/>
  <c r="F2643" i="5"/>
  <c r="E2643" i="5" s="1"/>
  <c r="F2644" i="5"/>
  <c r="E2644" i="5" s="1"/>
  <c r="F2645" i="5"/>
  <c r="E2645" i="5" s="1"/>
  <c r="F2646" i="5"/>
  <c r="E2646" i="5" s="1"/>
  <c r="F2647" i="5"/>
  <c r="E2647" i="5" s="1"/>
  <c r="F2648" i="5"/>
  <c r="E2648" i="5" s="1"/>
  <c r="F2649" i="5"/>
  <c r="E2649" i="5" s="1"/>
  <c r="F2650" i="5"/>
  <c r="E2650" i="5" s="1"/>
  <c r="F2651" i="5"/>
  <c r="E2651" i="5" s="1"/>
  <c r="F2652" i="5"/>
  <c r="E2652" i="5" s="1"/>
  <c r="F2653" i="5"/>
  <c r="E2653" i="5" s="1"/>
  <c r="F2654" i="5"/>
  <c r="E2654" i="5" s="1"/>
  <c r="F2655" i="5"/>
  <c r="E2655" i="5" s="1"/>
  <c r="F2656" i="5"/>
  <c r="E2656" i="5" s="1"/>
  <c r="F2657" i="5"/>
  <c r="E2657" i="5" s="1"/>
  <c r="F2658" i="5"/>
  <c r="E2658" i="5" s="1"/>
  <c r="F2659" i="5"/>
  <c r="E2659" i="5" s="1"/>
  <c r="F2660" i="5"/>
  <c r="E2660" i="5" s="1"/>
  <c r="F2661" i="5"/>
  <c r="E2661" i="5" s="1"/>
  <c r="F2662" i="5"/>
  <c r="E2662" i="5" s="1"/>
  <c r="F2663" i="5"/>
  <c r="E2663" i="5" s="1"/>
  <c r="F2664" i="5"/>
  <c r="E2664" i="5" s="1"/>
  <c r="F2665" i="5"/>
  <c r="E2665" i="5" s="1"/>
  <c r="F2666" i="5"/>
  <c r="E2666" i="5" s="1"/>
  <c r="F2667" i="5"/>
  <c r="E2667" i="5" s="1"/>
  <c r="F2668" i="5"/>
  <c r="E2668" i="5" s="1"/>
  <c r="F2669" i="5"/>
  <c r="E2669" i="5" s="1"/>
  <c r="F2670" i="5"/>
  <c r="E2670" i="5" s="1"/>
  <c r="F2671" i="5"/>
  <c r="E2671" i="5" s="1"/>
  <c r="F2672" i="5"/>
  <c r="E2672" i="5" s="1"/>
  <c r="F2673" i="5"/>
  <c r="E2673" i="5" s="1"/>
  <c r="F2674" i="5"/>
  <c r="E2674" i="5" s="1"/>
  <c r="F2675" i="5"/>
  <c r="E2675" i="5" s="1"/>
  <c r="F2676" i="5"/>
  <c r="E2676" i="5" s="1"/>
  <c r="F2677" i="5"/>
  <c r="E2677" i="5" s="1"/>
  <c r="F2678" i="5"/>
  <c r="E2678" i="5" s="1"/>
  <c r="F2679" i="5"/>
  <c r="E2679" i="5" s="1"/>
  <c r="F2680" i="5"/>
  <c r="E2680" i="5" s="1"/>
  <c r="F2681" i="5"/>
  <c r="E2681" i="5" s="1"/>
  <c r="F2682" i="5"/>
  <c r="E2682" i="5" s="1"/>
  <c r="F2683" i="5"/>
  <c r="E2683" i="5" s="1"/>
  <c r="F2684" i="5"/>
  <c r="E2684" i="5" s="1"/>
  <c r="F2685" i="5"/>
  <c r="E2685" i="5" s="1"/>
  <c r="F2686" i="5"/>
  <c r="E2686" i="5" s="1"/>
  <c r="F2687" i="5"/>
  <c r="E2687" i="5" s="1"/>
  <c r="F2688" i="5"/>
  <c r="E2688" i="5" s="1"/>
  <c r="F2689" i="5"/>
  <c r="E2689" i="5" s="1"/>
  <c r="F2690" i="5"/>
  <c r="E2690" i="5" s="1"/>
  <c r="F2691" i="5"/>
  <c r="E2691" i="5" s="1"/>
  <c r="F2692" i="5"/>
  <c r="E2692" i="5" s="1"/>
  <c r="F2693" i="5"/>
  <c r="E2693" i="5" s="1"/>
  <c r="F2694" i="5"/>
  <c r="E2694" i="5" s="1"/>
  <c r="F2695" i="5"/>
  <c r="E2695" i="5" s="1"/>
  <c r="F2696" i="5"/>
  <c r="E2696" i="5" s="1"/>
  <c r="F2697" i="5"/>
  <c r="E2697" i="5" s="1"/>
  <c r="F2698" i="5"/>
  <c r="E2698" i="5" s="1"/>
  <c r="F2699" i="5"/>
  <c r="E2699" i="5" s="1"/>
  <c r="F2700" i="5"/>
  <c r="E2700" i="5" s="1"/>
  <c r="F2701" i="5"/>
  <c r="E2701" i="5" s="1"/>
  <c r="F2702" i="5"/>
  <c r="E2702" i="5" s="1"/>
  <c r="F2703" i="5"/>
  <c r="E2703" i="5" s="1"/>
  <c r="F2704" i="5"/>
  <c r="E2704" i="5" s="1"/>
  <c r="F2705" i="5"/>
  <c r="E2705" i="5" s="1"/>
  <c r="F2706" i="5"/>
  <c r="E2706" i="5" s="1"/>
  <c r="F2707" i="5"/>
  <c r="E2707" i="5" s="1"/>
  <c r="F2708" i="5"/>
  <c r="E2708" i="5" s="1"/>
  <c r="F2709" i="5"/>
  <c r="E2709" i="5" s="1"/>
  <c r="F2710" i="5"/>
  <c r="E2710" i="5" s="1"/>
  <c r="F2711" i="5"/>
  <c r="E2711" i="5" s="1"/>
  <c r="F2712" i="5"/>
  <c r="E2712" i="5" s="1"/>
  <c r="F2713" i="5"/>
  <c r="E2713" i="5" s="1"/>
  <c r="F2714" i="5"/>
  <c r="E2714" i="5" s="1"/>
  <c r="F2715" i="5"/>
  <c r="E2715" i="5" s="1"/>
  <c r="F2716" i="5"/>
  <c r="E2716" i="5" s="1"/>
  <c r="F2717" i="5"/>
  <c r="E2717" i="5" s="1"/>
  <c r="F2718" i="5"/>
  <c r="E2718" i="5" s="1"/>
  <c r="F2719" i="5"/>
  <c r="E2719" i="5" s="1"/>
  <c r="F2720" i="5"/>
  <c r="E2720" i="5" s="1"/>
  <c r="F2721" i="5"/>
  <c r="E2721" i="5" s="1"/>
  <c r="F2722" i="5"/>
  <c r="E2722" i="5" s="1"/>
  <c r="F2723" i="5"/>
  <c r="E2723" i="5" s="1"/>
  <c r="F2724" i="5"/>
  <c r="E2724" i="5" s="1"/>
  <c r="F2725" i="5"/>
  <c r="E2725" i="5" s="1"/>
  <c r="F2726" i="5"/>
  <c r="E2726" i="5" s="1"/>
  <c r="F2727" i="5"/>
  <c r="E2727" i="5" s="1"/>
  <c r="F2728" i="5"/>
  <c r="E2728" i="5" s="1"/>
  <c r="F2729" i="5"/>
  <c r="E2729" i="5" s="1"/>
  <c r="F2730" i="5"/>
  <c r="E2730" i="5" s="1"/>
  <c r="F2731" i="5"/>
  <c r="E2731" i="5" s="1"/>
  <c r="F2732" i="5"/>
  <c r="E2732" i="5" s="1"/>
  <c r="F2733" i="5"/>
  <c r="E2733" i="5" s="1"/>
  <c r="F2734" i="5"/>
  <c r="E2734" i="5" s="1"/>
  <c r="F2735" i="5"/>
  <c r="E2735" i="5" s="1"/>
  <c r="F2736" i="5"/>
  <c r="E2736" i="5" s="1"/>
  <c r="F2737" i="5"/>
  <c r="E2737" i="5" s="1"/>
  <c r="F2738" i="5"/>
  <c r="E2738" i="5" s="1"/>
  <c r="F2739" i="5"/>
  <c r="E2739" i="5" s="1"/>
  <c r="F2740" i="5"/>
  <c r="E2740" i="5" s="1"/>
  <c r="F2741" i="5"/>
  <c r="E2741" i="5" s="1"/>
  <c r="F2742" i="5"/>
  <c r="E2742" i="5" s="1"/>
  <c r="F2743" i="5"/>
  <c r="E2743" i="5" s="1"/>
  <c r="F2744" i="5"/>
  <c r="E2744" i="5" s="1"/>
  <c r="F2745" i="5"/>
  <c r="E2745" i="5" s="1"/>
  <c r="F2746" i="5"/>
  <c r="E2746" i="5" s="1"/>
  <c r="F2747" i="5"/>
  <c r="E2747" i="5" s="1"/>
  <c r="F2748" i="5"/>
  <c r="E2748" i="5" s="1"/>
  <c r="F2749" i="5"/>
  <c r="E2749" i="5" s="1"/>
  <c r="F2750" i="5"/>
  <c r="E2750" i="5" s="1"/>
  <c r="F2751" i="5"/>
  <c r="E2751" i="5" s="1"/>
  <c r="F2752" i="5"/>
  <c r="E2752" i="5" s="1"/>
  <c r="F2753" i="5"/>
  <c r="E2753" i="5" s="1"/>
  <c r="F2754" i="5"/>
  <c r="E2754" i="5" s="1"/>
  <c r="F2755" i="5"/>
  <c r="E2755" i="5" s="1"/>
  <c r="F2756" i="5"/>
  <c r="E2756" i="5" s="1"/>
  <c r="F2757" i="5"/>
  <c r="E2757" i="5" s="1"/>
  <c r="F2758" i="5"/>
  <c r="E2758" i="5" s="1"/>
  <c r="F2759" i="5"/>
  <c r="E2759" i="5" s="1"/>
  <c r="F2760" i="5"/>
  <c r="E2760" i="5" s="1"/>
  <c r="F2761" i="5"/>
  <c r="E2761" i="5" s="1"/>
  <c r="F2762" i="5"/>
  <c r="E2762" i="5" s="1"/>
  <c r="F2763" i="5"/>
  <c r="E2763" i="5" s="1"/>
  <c r="F2764" i="5"/>
  <c r="E2764" i="5" s="1"/>
  <c r="F2765" i="5"/>
  <c r="E2765" i="5" s="1"/>
  <c r="F2766" i="5"/>
  <c r="E2766" i="5" s="1"/>
  <c r="F2767" i="5"/>
  <c r="E2767" i="5" s="1"/>
  <c r="F2768" i="5"/>
  <c r="E2768" i="5" s="1"/>
  <c r="F2769" i="5"/>
  <c r="E2769" i="5" s="1"/>
  <c r="F2770" i="5"/>
  <c r="E2770" i="5" s="1"/>
  <c r="F2771" i="5"/>
  <c r="E2771" i="5" s="1"/>
  <c r="F2772" i="5"/>
  <c r="E2772" i="5" s="1"/>
  <c r="F2773" i="5"/>
  <c r="E2773" i="5" s="1"/>
  <c r="F2774" i="5"/>
  <c r="E2774" i="5" s="1"/>
  <c r="F2775" i="5"/>
  <c r="E2775" i="5" s="1"/>
  <c r="F2776" i="5"/>
  <c r="E2776" i="5" s="1"/>
  <c r="F2777" i="5"/>
  <c r="E2777" i="5" s="1"/>
  <c r="F2778" i="5"/>
  <c r="E2778" i="5" s="1"/>
  <c r="F2779" i="5"/>
  <c r="E2779" i="5" s="1"/>
  <c r="F2780" i="5"/>
  <c r="E2780" i="5" s="1"/>
  <c r="F2781" i="5"/>
  <c r="E2781" i="5" s="1"/>
  <c r="F2782" i="5"/>
  <c r="E2782" i="5" s="1"/>
  <c r="F2783" i="5"/>
  <c r="E2783" i="5" s="1"/>
  <c r="F2784" i="5"/>
  <c r="E2784" i="5" s="1"/>
  <c r="F2785" i="5"/>
  <c r="E2785" i="5" s="1"/>
  <c r="F2786" i="5"/>
  <c r="E2786" i="5" s="1"/>
  <c r="F2787" i="5"/>
  <c r="E2787" i="5" s="1"/>
  <c r="F2788" i="5"/>
  <c r="E2788" i="5" s="1"/>
  <c r="F2789" i="5"/>
  <c r="E2789" i="5" s="1"/>
  <c r="F2790" i="5"/>
  <c r="E2790" i="5" s="1"/>
  <c r="F2791" i="5"/>
  <c r="E2791" i="5" s="1"/>
  <c r="F2792" i="5"/>
  <c r="E2792" i="5" s="1"/>
  <c r="F2793" i="5"/>
  <c r="E2793" i="5" s="1"/>
  <c r="F2794" i="5"/>
  <c r="E2794" i="5" s="1"/>
  <c r="F2795" i="5"/>
  <c r="E2795" i="5" s="1"/>
  <c r="F2796" i="5"/>
  <c r="E2796" i="5" s="1"/>
  <c r="F2797" i="5"/>
  <c r="E2797" i="5" s="1"/>
  <c r="F2798" i="5"/>
  <c r="E2798" i="5" s="1"/>
  <c r="F2799" i="5"/>
  <c r="E2799" i="5" s="1"/>
  <c r="F2800" i="5"/>
  <c r="E2800" i="5" s="1"/>
  <c r="F2801" i="5"/>
  <c r="E2801" i="5" s="1"/>
  <c r="F2802" i="5"/>
  <c r="E2802" i="5" s="1"/>
  <c r="F2803" i="5"/>
  <c r="E2803" i="5" s="1"/>
  <c r="F2804" i="5"/>
  <c r="E2804" i="5" s="1"/>
  <c r="F2805" i="5"/>
  <c r="E2805" i="5" s="1"/>
  <c r="F2806" i="5"/>
  <c r="E2806" i="5" s="1"/>
  <c r="F2807" i="5"/>
  <c r="E2807" i="5" s="1"/>
  <c r="F2808" i="5"/>
  <c r="E2808" i="5" s="1"/>
  <c r="F2809" i="5"/>
  <c r="E2809" i="5" s="1"/>
  <c r="F2810" i="5"/>
  <c r="E2810" i="5" s="1"/>
  <c r="F2811" i="5"/>
  <c r="E2811" i="5" s="1"/>
  <c r="F2812" i="5"/>
  <c r="E2812" i="5" s="1"/>
  <c r="F2813" i="5"/>
  <c r="E2813" i="5" s="1"/>
  <c r="F2814" i="5"/>
  <c r="E2814" i="5" s="1"/>
  <c r="F2815" i="5"/>
  <c r="E2815" i="5" s="1"/>
  <c r="F2816" i="5"/>
  <c r="E2816" i="5" s="1"/>
  <c r="F2817" i="5"/>
  <c r="E2817" i="5" s="1"/>
  <c r="F2818" i="5"/>
  <c r="E2818" i="5" s="1"/>
  <c r="F2819" i="5"/>
  <c r="E2819" i="5" s="1"/>
  <c r="F2820" i="5"/>
  <c r="E2820" i="5" s="1"/>
  <c r="F2821" i="5"/>
  <c r="E2821" i="5" s="1"/>
  <c r="F2822" i="5"/>
  <c r="E2822" i="5" s="1"/>
  <c r="F2823" i="5"/>
  <c r="E2823" i="5" s="1"/>
  <c r="F2824" i="5"/>
  <c r="E2824" i="5" s="1"/>
  <c r="F2825" i="5"/>
  <c r="E2825" i="5" s="1"/>
  <c r="F2826" i="5"/>
  <c r="E2826" i="5" s="1"/>
  <c r="F2827" i="5"/>
  <c r="E2827" i="5" s="1"/>
  <c r="F2828" i="5"/>
  <c r="E2828" i="5" s="1"/>
  <c r="F2829" i="5"/>
  <c r="E2829" i="5" s="1"/>
  <c r="F2830" i="5"/>
  <c r="E2830" i="5" s="1"/>
  <c r="F2831" i="5"/>
  <c r="E2831" i="5" s="1"/>
  <c r="F2832" i="5"/>
  <c r="E2832" i="5" s="1"/>
  <c r="F2833" i="5"/>
  <c r="E2833" i="5" s="1"/>
  <c r="F2834" i="5"/>
  <c r="E2834" i="5" s="1"/>
  <c r="F2835" i="5"/>
  <c r="E2835" i="5" s="1"/>
  <c r="F2836" i="5"/>
  <c r="E2836" i="5" s="1"/>
  <c r="F2837" i="5"/>
  <c r="E2837" i="5" s="1"/>
  <c r="F2838" i="5"/>
  <c r="E2838" i="5" s="1"/>
  <c r="F2839" i="5"/>
  <c r="E2839" i="5" s="1"/>
  <c r="F2840" i="5"/>
  <c r="E2840" i="5" s="1"/>
  <c r="F2841" i="5"/>
  <c r="E2841" i="5" s="1"/>
  <c r="F2842" i="5"/>
  <c r="E2842" i="5" s="1"/>
  <c r="F2843" i="5"/>
  <c r="E2843" i="5" s="1"/>
  <c r="F2844" i="5"/>
  <c r="E2844" i="5" s="1"/>
  <c r="F2845" i="5"/>
  <c r="E2845" i="5" s="1"/>
  <c r="F2846" i="5"/>
  <c r="E2846" i="5" s="1"/>
  <c r="F2847" i="5"/>
  <c r="E2847" i="5" s="1"/>
  <c r="F2848" i="5"/>
  <c r="E2848" i="5" s="1"/>
  <c r="F2849" i="5"/>
  <c r="E2849" i="5" s="1"/>
  <c r="F2850" i="5"/>
  <c r="E2850" i="5" s="1"/>
  <c r="F2851" i="5"/>
  <c r="E2851" i="5" s="1"/>
  <c r="F2852" i="5"/>
  <c r="E2852" i="5" s="1"/>
  <c r="F2853" i="5"/>
  <c r="E2853" i="5" s="1"/>
  <c r="F2854" i="5"/>
  <c r="E2854" i="5" s="1"/>
  <c r="F2855" i="5"/>
  <c r="E2855" i="5" s="1"/>
  <c r="F2856" i="5"/>
  <c r="E2856" i="5" s="1"/>
  <c r="F2857" i="5"/>
  <c r="E2857" i="5" s="1"/>
  <c r="F2858" i="5"/>
  <c r="E2858" i="5" s="1"/>
  <c r="F2859" i="5"/>
  <c r="E2859" i="5" s="1"/>
  <c r="F2860" i="5"/>
  <c r="E2860" i="5" s="1"/>
  <c r="F2861" i="5"/>
  <c r="E2861" i="5" s="1"/>
  <c r="F2862" i="5"/>
  <c r="E2862" i="5" s="1"/>
  <c r="F2863" i="5"/>
  <c r="E2863" i="5" s="1"/>
  <c r="F2864" i="5"/>
  <c r="E2864" i="5" s="1"/>
  <c r="F2865" i="5"/>
  <c r="E2865" i="5" s="1"/>
  <c r="F2866" i="5"/>
  <c r="E2866" i="5" s="1"/>
  <c r="F2867" i="5"/>
  <c r="E2867" i="5" s="1"/>
  <c r="F2868" i="5"/>
  <c r="E2868" i="5" s="1"/>
  <c r="F2869" i="5"/>
  <c r="E2869" i="5" s="1"/>
  <c r="F2870" i="5"/>
  <c r="E2870" i="5" s="1"/>
  <c r="F2871" i="5"/>
  <c r="E2871" i="5" s="1"/>
  <c r="F2872" i="5"/>
  <c r="E2872" i="5" s="1"/>
  <c r="F2873" i="5"/>
  <c r="E2873" i="5" s="1"/>
  <c r="F2874" i="5"/>
  <c r="E2874" i="5" s="1"/>
  <c r="F2875" i="5"/>
  <c r="E2875" i="5" s="1"/>
  <c r="F2876" i="5"/>
  <c r="E2876" i="5" s="1"/>
  <c r="F2877" i="5"/>
  <c r="E2877" i="5" s="1"/>
  <c r="F2878" i="5"/>
  <c r="E2878" i="5" s="1"/>
  <c r="F2879" i="5"/>
  <c r="E2879" i="5" s="1"/>
  <c r="F2880" i="5"/>
  <c r="E2880" i="5" s="1"/>
  <c r="F2881" i="5"/>
  <c r="E2881" i="5" s="1"/>
  <c r="F2882" i="5"/>
  <c r="E2882" i="5" s="1"/>
  <c r="F2883" i="5"/>
  <c r="E2883" i="5" s="1"/>
  <c r="F2884" i="5"/>
  <c r="E2884" i="5" s="1"/>
  <c r="F2885" i="5"/>
  <c r="E2885" i="5" s="1"/>
  <c r="F2886" i="5"/>
  <c r="E2886" i="5" s="1"/>
  <c r="F2887" i="5"/>
  <c r="E2887" i="5" s="1"/>
  <c r="F2888" i="5"/>
  <c r="E2888" i="5" s="1"/>
  <c r="F2889" i="5"/>
  <c r="E2889" i="5" s="1"/>
  <c r="F2890" i="5"/>
  <c r="E2890" i="5" s="1"/>
  <c r="F2891" i="5"/>
  <c r="E2891" i="5" s="1"/>
  <c r="F2892" i="5"/>
  <c r="E2892" i="5" s="1"/>
  <c r="F2893" i="5"/>
  <c r="E2893" i="5" s="1"/>
  <c r="F2894" i="5"/>
  <c r="E2894" i="5" s="1"/>
  <c r="F2895" i="5"/>
  <c r="E2895" i="5" s="1"/>
  <c r="F2896" i="5"/>
  <c r="E2896" i="5" s="1"/>
  <c r="F2897" i="5"/>
  <c r="E2897" i="5" s="1"/>
  <c r="F2898" i="5"/>
  <c r="E2898" i="5" s="1"/>
  <c r="F2899" i="5"/>
  <c r="E2899" i="5" s="1"/>
  <c r="F2900" i="5"/>
  <c r="E2900" i="5" s="1"/>
  <c r="F2901" i="5"/>
  <c r="E2901" i="5" s="1"/>
  <c r="F2902" i="5"/>
  <c r="E2902" i="5" s="1"/>
  <c r="F2903" i="5"/>
  <c r="E2903" i="5" s="1"/>
  <c r="F2904" i="5"/>
  <c r="E2904" i="5" s="1"/>
  <c r="F2905" i="5"/>
  <c r="E2905" i="5" s="1"/>
  <c r="F2906" i="5"/>
  <c r="E2906" i="5" s="1"/>
  <c r="F2907" i="5"/>
  <c r="E2907" i="5" s="1"/>
  <c r="F2908" i="5"/>
  <c r="E2908" i="5" s="1"/>
  <c r="F2909" i="5"/>
  <c r="E2909" i="5" s="1"/>
  <c r="F2910" i="5"/>
  <c r="E2910" i="5" s="1"/>
  <c r="F2911" i="5"/>
  <c r="E2911" i="5" s="1"/>
  <c r="F2912" i="5"/>
  <c r="E2912" i="5" s="1"/>
  <c r="F2913" i="5"/>
  <c r="E2913" i="5" s="1"/>
  <c r="F2914" i="5"/>
  <c r="E2914" i="5" s="1"/>
  <c r="F2915" i="5"/>
  <c r="E2915" i="5" s="1"/>
  <c r="F2916" i="5"/>
  <c r="E2916" i="5" s="1"/>
  <c r="F2917" i="5"/>
  <c r="E2917" i="5" s="1"/>
  <c r="F2918" i="5"/>
  <c r="E2918" i="5" s="1"/>
  <c r="F2919" i="5"/>
  <c r="E2919" i="5" s="1"/>
  <c r="F2920" i="5"/>
  <c r="E2920" i="5" s="1"/>
  <c r="F2921" i="5"/>
  <c r="E2921" i="5" s="1"/>
  <c r="F2922" i="5"/>
  <c r="E2922" i="5" s="1"/>
  <c r="F2923" i="5"/>
  <c r="E2923" i="5" s="1"/>
  <c r="F2924" i="5"/>
  <c r="E2924" i="5" s="1"/>
  <c r="F2925" i="5"/>
  <c r="E2925" i="5" s="1"/>
  <c r="F2926" i="5"/>
  <c r="E2926" i="5" s="1"/>
  <c r="F2927" i="5"/>
  <c r="E2927" i="5" s="1"/>
  <c r="F2928" i="5"/>
  <c r="E2928" i="5" s="1"/>
  <c r="F2929" i="5"/>
  <c r="E2929" i="5" s="1"/>
  <c r="F2930" i="5"/>
  <c r="E2930" i="5" s="1"/>
  <c r="F2931" i="5"/>
  <c r="E2931" i="5" s="1"/>
  <c r="F2932" i="5"/>
  <c r="E2932" i="5" s="1"/>
  <c r="F2933" i="5"/>
  <c r="E2933" i="5" s="1"/>
  <c r="F2934" i="5"/>
  <c r="E2934" i="5" s="1"/>
  <c r="F2935" i="5"/>
  <c r="E2935" i="5" s="1"/>
  <c r="F2936" i="5"/>
  <c r="E2936" i="5" s="1"/>
  <c r="F2937" i="5"/>
  <c r="E2937" i="5" s="1"/>
  <c r="F2938" i="5"/>
  <c r="E2938" i="5" s="1"/>
  <c r="F2939" i="5"/>
  <c r="E2939" i="5" s="1"/>
  <c r="F2940" i="5"/>
  <c r="E2940" i="5" s="1"/>
  <c r="F2941" i="5"/>
  <c r="E2941" i="5" s="1"/>
  <c r="F2942" i="5"/>
  <c r="E2942" i="5" s="1"/>
  <c r="F2943" i="5"/>
  <c r="E2943" i="5" s="1"/>
  <c r="F2944" i="5"/>
  <c r="E2944" i="5" s="1"/>
  <c r="F2947" i="5"/>
  <c r="E2947" i="5" s="1"/>
  <c r="F2948" i="5"/>
  <c r="E2948" i="5" s="1"/>
  <c r="F2949" i="5"/>
  <c r="E2949" i="5" s="1"/>
  <c r="F2950" i="5"/>
  <c r="E2950" i="5" s="1"/>
  <c r="F2951" i="5"/>
  <c r="E2951" i="5" s="1"/>
  <c r="F2952" i="5"/>
  <c r="E2952" i="5" s="1"/>
  <c r="F2953" i="5"/>
  <c r="E2953" i="5" s="1"/>
  <c r="F2954" i="5"/>
  <c r="E2954" i="5" s="1"/>
  <c r="F2955" i="5"/>
  <c r="E2955" i="5" s="1"/>
  <c r="F2956" i="5"/>
  <c r="E2956" i="5" s="1"/>
  <c r="F2957" i="5"/>
  <c r="E2957" i="5" s="1"/>
  <c r="F2958" i="5"/>
  <c r="E2958" i="5" s="1"/>
  <c r="F2959" i="5"/>
  <c r="E2959" i="5" s="1"/>
  <c r="F2960" i="5"/>
  <c r="E2960" i="5" s="1"/>
  <c r="F2961" i="5"/>
  <c r="E2961" i="5" s="1"/>
  <c r="F2962" i="5"/>
  <c r="E2962" i="5" s="1"/>
  <c r="F2963" i="5"/>
  <c r="E2963" i="5" s="1"/>
  <c r="F2964" i="5"/>
  <c r="E2964" i="5" s="1"/>
  <c r="F2965" i="5"/>
  <c r="E2965" i="5" s="1"/>
  <c r="F2966" i="5"/>
  <c r="E2966" i="5" s="1"/>
  <c r="F2967" i="5"/>
  <c r="E2967" i="5" s="1"/>
  <c r="F2968" i="5"/>
  <c r="E2968" i="5" s="1"/>
  <c r="F2969" i="5"/>
  <c r="E2969" i="5" s="1"/>
  <c r="F2970" i="5"/>
  <c r="E2970" i="5" s="1"/>
  <c r="F2971" i="5"/>
  <c r="E2971" i="5" s="1"/>
  <c r="F2972" i="5"/>
  <c r="E2972" i="5" s="1"/>
  <c r="F2973" i="5"/>
  <c r="E2973" i="5" s="1"/>
  <c r="F2974" i="5"/>
  <c r="E2974" i="5" s="1"/>
  <c r="F2975" i="5"/>
  <c r="E2975" i="5" s="1"/>
  <c r="F2976" i="5"/>
  <c r="E2976" i="5" s="1"/>
  <c r="F2977" i="5"/>
  <c r="E2977" i="5" s="1"/>
  <c r="F2978" i="5"/>
  <c r="E2978" i="5" s="1"/>
  <c r="F2979" i="5"/>
  <c r="E2979" i="5" s="1"/>
  <c r="F2980" i="5"/>
  <c r="E2980" i="5" s="1"/>
  <c r="F2981" i="5"/>
  <c r="E2981" i="5" s="1"/>
  <c r="F2982" i="5"/>
  <c r="E2982" i="5" s="1"/>
  <c r="F2983" i="5"/>
  <c r="E2983" i="5" s="1"/>
  <c r="F2984" i="5"/>
  <c r="E2984" i="5" s="1"/>
  <c r="F2985" i="5"/>
  <c r="E2985" i="5" s="1"/>
  <c r="F2986" i="5"/>
  <c r="E2986" i="5" s="1"/>
  <c r="F2987" i="5"/>
  <c r="E2987" i="5" s="1"/>
  <c r="F2988" i="5"/>
  <c r="E2988" i="5" s="1"/>
  <c r="F2989" i="5"/>
  <c r="E2989" i="5" s="1"/>
  <c r="F2990" i="5"/>
  <c r="E2990" i="5" s="1"/>
  <c r="F2991" i="5"/>
  <c r="E2991" i="5" s="1"/>
  <c r="F2992" i="5"/>
  <c r="E2992" i="5" s="1"/>
  <c r="F2993" i="5"/>
  <c r="E2993" i="5" s="1"/>
  <c r="F2994" i="5"/>
  <c r="E2994" i="5" s="1"/>
  <c r="F2995" i="5"/>
  <c r="E2995" i="5" s="1"/>
  <c r="F2996" i="5"/>
  <c r="E2996" i="5" s="1"/>
  <c r="F2997" i="5"/>
  <c r="E2997" i="5" s="1"/>
  <c r="F2998" i="5"/>
  <c r="E2998" i="5" s="1"/>
  <c r="F2999" i="5"/>
  <c r="E2999" i="5" s="1"/>
  <c r="F3000" i="5"/>
  <c r="E3000" i="5" s="1"/>
  <c r="F3001" i="5"/>
  <c r="E3001" i="5" s="1"/>
  <c r="F3002" i="5"/>
  <c r="E3002" i="5" s="1"/>
  <c r="F3003" i="5"/>
  <c r="E3003" i="5" s="1"/>
  <c r="F3004" i="5"/>
  <c r="E3004" i="5" s="1"/>
  <c r="F3005" i="5"/>
  <c r="E3005" i="5" s="1"/>
  <c r="F3006" i="5"/>
  <c r="E3006" i="5" s="1"/>
  <c r="F3007" i="5"/>
  <c r="E3007" i="5" s="1"/>
  <c r="F3008" i="5"/>
  <c r="E3008" i="5" s="1"/>
  <c r="F3009" i="5"/>
  <c r="E3009" i="5" s="1"/>
  <c r="F3010" i="5"/>
  <c r="E3010" i="5" s="1"/>
  <c r="F3011" i="5"/>
  <c r="E3011" i="5" s="1"/>
  <c r="F3012" i="5"/>
  <c r="E3012" i="5" s="1"/>
  <c r="F3013" i="5"/>
  <c r="E3013" i="5" s="1"/>
  <c r="F3014" i="5"/>
  <c r="E3014" i="5" s="1"/>
  <c r="F3015" i="5"/>
  <c r="E3015" i="5" s="1"/>
  <c r="F3016" i="5"/>
  <c r="E3016" i="5" s="1"/>
  <c r="F3017" i="5"/>
  <c r="E3017" i="5" s="1"/>
  <c r="F3018" i="5"/>
  <c r="E3018" i="5" s="1"/>
  <c r="F3019" i="5"/>
  <c r="E3019" i="5" s="1"/>
  <c r="F3020" i="5"/>
  <c r="E3020" i="5" s="1"/>
  <c r="F3021" i="5"/>
  <c r="E3021" i="5" s="1"/>
  <c r="F3022" i="5"/>
  <c r="E3022" i="5" s="1"/>
  <c r="F3023" i="5"/>
  <c r="E3023" i="5" s="1"/>
  <c r="F3024" i="5"/>
  <c r="E3024" i="5" s="1"/>
  <c r="F3025" i="5"/>
  <c r="E3025" i="5" s="1"/>
  <c r="F3026" i="5"/>
  <c r="E3026" i="5" s="1"/>
  <c r="F3027" i="5"/>
  <c r="E3027" i="5" s="1"/>
  <c r="F3028" i="5"/>
  <c r="E3028" i="5" s="1"/>
  <c r="F3029" i="5"/>
  <c r="E3029" i="5" s="1"/>
  <c r="F3030" i="5"/>
  <c r="E3030" i="5" s="1"/>
  <c r="F3031" i="5"/>
  <c r="E3031" i="5" s="1"/>
  <c r="F3032" i="5"/>
  <c r="E3032" i="5" s="1"/>
  <c r="F3033" i="5"/>
  <c r="E3033" i="5" s="1"/>
  <c r="F3034" i="5"/>
  <c r="E3034" i="5" s="1"/>
  <c r="F3035" i="5"/>
  <c r="E3035" i="5" s="1"/>
  <c r="F3036" i="5"/>
  <c r="E3036" i="5" s="1"/>
  <c r="F3037" i="5"/>
  <c r="E3037" i="5" s="1"/>
  <c r="F3038" i="5"/>
  <c r="E3038" i="5" s="1"/>
  <c r="F3039" i="5"/>
  <c r="E3039" i="5" s="1"/>
  <c r="F3040" i="5"/>
  <c r="E3040" i="5" s="1"/>
  <c r="F3041" i="5"/>
  <c r="E3041" i="5" s="1"/>
  <c r="F3042" i="5"/>
  <c r="E3042" i="5" s="1"/>
  <c r="F3043" i="5"/>
  <c r="E3043" i="5" s="1"/>
  <c r="F3044" i="5"/>
  <c r="E3044" i="5" s="1"/>
  <c r="F3045" i="5"/>
  <c r="E3045" i="5" s="1"/>
  <c r="F3046" i="5"/>
  <c r="E3046" i="5" s="1"/>
  <c r="F3047" i="5"/>
  <c r="E3047" i="5" s="1"/>
  <c r="F3048" i="5"/>
  <c r="E3048" i="5" s="1"/>
  <c r="F3049" i="5"/>
  <c r="E3049" i="5" s="1"/>
  <c r="F3050" i="5"/>
  <c r="E3050" i="5" s="1"/>
  <c r="F3051" i="5"/>
  <c r="E3051" i="5" s="1"/>
  <c r="F3052" i="5"/>
  <c r="E3052" i="5" s="1"/>
  <c r="F3053" i="5"/>
  <c r="E3053" i="5" s="1"/>
  <c r="F3054" i="5"/>
  <c r="E3054" i="5" s="1"/>
  <c r="F3055" i="5"/>
  <c r="E3055" i="5" s="1"/>
  <c r="F3056" i="5"/>
  <c r="E3056" i="5" s="1"/>
  <c r="F3057" i="5"/>
  <c r="E3057" i="5" s="1"/>
  <c r="F3058" i="5"/>
  <c r="E3058" i="5" s="1"/>
  <c r="F3059" i="5"/>
  <c r="E3059" i="5" s="1"/>
  <c r="F3060" i="5"/>
  <c r="E3060" i="5" s="1"/>
  <c r="F3061" i="5"/>
  <c r="E3061" i="5" s="1"/>
  <c r="F3062" i="5"/>
  <c r="E3062" i="5" s="1"/>
  <c r="F3063" i="5"/>
  <c r="E3063" i="5" s="1"/>
  <c r="F3064" i="5"/>
  <c r="E3064" i="5" s="1"/>
  <c r="F3065" i="5"/>
  <c r="E3065" i="5" s="1"/>
  <c r="F3066" i="5"/>
  <c r="E3066" i="5" s="1"/>
  <c r="F3067" i="5"/>
  <c r="E3067" i="5" s="1"/>
  <c r="F3068" i="5"/>
  <c r="E3068" i="5" s="1"/>
  <c r="F3069" i="5"/>
  <c r="E3069" i="5" s="1"/>
  <c r="F3070" i="5"/>
  <c r="E3070" i="5" s="1"/>
  <c r="F3071" i="5"/>
  <c r="E3071" i="5" s="1"/>
  <c r="F3072" i="5"/>
  <c r="E3072" i="5" s="1"/>
  <c r="F3073" i="5"/>
  <c r="E3073" i="5" s="1"/>
  <c r="F3074" i="5"/>
  <c r="E3074" i="5" s="1"/>
  <c r="F3075" i="5"/>
  <c r="E3075" i="5" s="1"/>
  <c r="F3076" i="5"/>
  <c r="E3076" i="5" s="1"/>
  <c r="F3077" i="5"/>
  <c r="E3077" i="5" s="1"/>
  <c r="F3078" i="5"/>
  <c r="E3078" i="5" s="1"/>
  <c r="F3079" i="5"/>
  <c r="E3079" i="5" s="1"/>
  <c r="F3080" i="5"/>
  <c r="E3080" i="5" s="1"/>
  <c r="F3081" i="5"/>
  <c r="E3081" i="5" s="1"/>
  <c r="F3082" i="5"/>
  <c r="E3082" i="5" s="1"/>
  <c r="F3083" i="5"/>
  <c r="E3083" i="5" s="1"/>
  <c r="F3084" i="5"/>
  <c r="E3084" i="5" s="1"/>
  <c r="F3085" i="5"/>
  <c r="E3085" i="5" s="1"/>
  <c r="F3086" i="5"/>
  <c r="E3086" i="5" s="1"/>
  <c r="F3087" i="5"/>
  <c r="E3087" i="5" s="1"/>
  <c r="F3088" i="5"/>
  <c r="E3088" i="5" s="1"/>
  <c r="F3089" i="5"/>
  <c r="E3089" i="5" s="1"/>
  <c r="F3090" i="5"/>
  <c r="E3090" i="5" s="1"/>
  <c r="F3091" i="5"/>
  <c r="E3091" i="5" s="1"/>
  <c r="F3092" i="5"/>
  <c r="E3092" i="5" s="1"/>
  <c r="F3093" i="5"/>
  <c r="E3093" i="5" s="1"/>
  <c r="F3094" i="5"/>
  <c r="E3094" i="5" s="1"/>
  <c r="F3095" i="5"/>
  <c r="E3095" i="5" s="1"/>
  <c r="F3096" i="5"/>
  <c r="E3096" i="5" s="1"/>
  <c r="F3097" i="5"/>
  <c r="E3097" i="5" s="1"/>
  <c r="F3098" i="5"/>
  <c r="E3098" i="5" s="1"/>
  <c r="F3099" i="5"/>
  <c r="E3099" i="5" s="1"/>
  <c r="F3101" i="5"/>
  <c r="E3101" i="5" s="1"/>
  <c r="F3102" i="5"/>
  <c r="E3102" i="5" s="1"/>
  <c r="F3103" i="5"/>
  <c r="E3103" i="5" s="1"/>
  <c r="F3104" i="5"/>
  <c r="E3104" i="5" s="1"/>
  <c r="F3105" i="5"/>
  <c r="E3105" i="5" s="1"/>
  <c r="F3106" i="5"/>
  <c r="E3106" i="5" s="1"/>
  <c r="F3107" i="5"/>
  <c r="E3107" i="5" s="1"/>
  <c r="F3108" i="5"/>
  <c r="E3108" i="5" s="1"/>
  <c r="F3109" i="5"/>
  <c r="E3109" i="5" s="1"/>
  <c r="F3110" i="5"/>
  <c r="E3110" i="5" s="1"/>
  <c r="F3111" i="5"/>
  <c r="E3111" i="5" s="1"/>
  <c r="F3112" i="5"/>
  <c r="E3112" i="5" s="1"/>
  <c r="F3113" i="5"/>
  <c r="E3113" i="5" s="1"/>
  <c r="F3114" i="5"/>
  <c r="E3114" i="5" s="1"/>
  <c r="F3115" i="5"/>
  <c r="E3115" i="5" s="1"/>
  <c r="F3116" i="5"/>
  <c r="E3116" i="5" s="1"/>
  <c r="F3117" i="5"/>
  <c r="E3117" i="5" s="1"/>
  <c r="F3118" i="5"/>
  <c r="E3118" i="5" s="1"/>
  <c r="F3119" i="5"/>
  <c r="E3119" i="5" s="1"/>
  <c r="F3120" i="5"/>
  <c r="E3120" i="5" s="1"/>
  <c r="F3121" i="5"/>
  <c r="E3121" i="5" s="1"/>
  <c r="F3122" i="5"/>
  <c r="E3122" i="5" s="1"/>
  <c r="F3123" i="5"/>
  <c r="E3123" i="5" s="1"/>
  <c r="F3124" i="5"/>
  <c r="E3124" i="5" s="1"/>
  <c r="F3125" i="5"/>
  <c r="E3125" i="5" s="1"/>
  <c r="F3126" i="5"/>
  <c r="E3126" i="5" s="1"/>
  <c r="F3127" i="5"/>
  <c r="E3127" i="5" s="1"/>
  <c r="F3128" i="5"/>
  <c r="E3128" i="5" s="1"/>
  <c r="F3129" i="5"/>
  <c r="E3129" i="5" s="1"/>
  <c r="F3130" i="5"/>
  <c r="E3130" i="5" s="1"/>
  <c r="F3131" i="5"/>
  <c r="E3131" i="5" s="1"/>
  <c r="F3100" i="5"/>
  <c r="E3100" i="5" s="1"/>
  <c r="F3132" i="5"/>
  <c r="E3132" i="5" s="1"/>
  <c r="F3134" i="5"/>
  <c r="E3134" i="5" s="1"/>
  <c r="F3135" i="5"/>
  <c r="E3135" i="5" s="1"/>
  <c r="F3136" i="5"/>
  <c r="E3136" i="5" s="1"/>
  <c r="F3137" i="5"/>
  <c r="E3137" i="5" s="1"/>
  <c r="F3138" i="5"/>
  <c r="E3138" i="5" s="1"/>
  <c r="F3139" i="5"/>
  <c r="E3139" i="5" s="1"/>
  <c r="F3140" i="5"/>
  <c r="E3140" i="5" s="1"/>
  <c r="F3141" i="5"/>
  <c r="E3141" i="5" s="1"/>
  <c r="F3142" i="5"/>
  <c r="E3142" i="5" s="1"/>
  <c r="F3143" i="5"/>
  <c r="E3143" i="5" s="1"/>
  <c r="F3144" i="5"/>
  <c r="E3144" i="5" s="1"/>
  <c r="F3145" i="5"/>
  <c r="E3145" i="5" s="1"/>
  <c r="F3146" i="5"/>
  <c r="E3146" i="5" s="1"/>
  <c r="F3147" i="5"/>
  <c r="E3147" i="5" s="1"/>
  <c r="F3148" i="5"/>
  <c r="E3148" i="5" s="1"/>
  <c r="F3149" i="5"/>
  <c r="E3149" i="5" s="1"/>
  <c r="F3150" i="5"/>
  <c r="E3150" i="5" s="1"/>
  <c r="F3151" i="5"/>
  <c r="E3151" i="5" s="1"/>
  <c r="F3152" i="5"/>
  <c r="E3152" i="5" s="1"/>
  <c r="F3153" i="5"/>
  <c r="E3153" i="5" s="1"/>
  <c r="F3154" i="5"/>
  <c r="E3154" i="5" s="1"/>
  <c r="F3155" i="5"/>
  <c r="E3155" i="5" s="1"/>
  <c r="F3158" i="5"/>
  <c r="E3158" i="5" s="1"/>
  <c r="F3156" i="5"/>
  <c r="E3156" i="5" s="1"/>
  <c r="F3159" i="5"/>
  <c r="E3159" i="5" s="1"/>
  <c r="F3218" i="5"/>
  <c r="E3218" i="5" s="1"/>
  <c r="F3267" i="5"/>
  <c r="E3267" i="5" s="1"/>
  <c r="F3160" i="5"/>
  <c r="E3160" i="5" s="1"/>
  <c r="F3161" i="5"/>
  <c r="E3161" i="5" s="1"/>
  <c r="F3162" i="5"/>
  <c r="E3162" i="5" s="1"/>
  <c r="F3163" i="5"/>
  <c r="E3163" i="5" s="1"/>
  <c r="F3164" i="5"/>
  <c r="E3164" i="5" s="1"/>
  <c r="F3165" i="5"/>
  <c r="E3165" i="5" s="1"/>
  <c r="F3166" i="5"/>
  <c r="E3166" i="5" s="1"/>
  <c r="F3167" i="5"/>
  <c r="E3167" i="5" s="1"/>
  <c r="F3168" i="5"/>
  <c r="E3168" i="5" s="1"/>
  <c r="F3169" i="5"/>
  <c r="E3169" i="5" s="1"/>
  <c r="F3170" i="5"/>
  <c r="E3170" i="5" s="1"/>
  <c r="F3171" i="5"/>
  <c r="E3171" i="5" s="1"/>
  <c r="F3172" i="5"/>
  <c r="E3172" i="5" s="1"/>
  <c r="F3173" i="5"/>
  <c r="E3173" i="5" s="1"/>
  <c r="F3174" i="5"/>
  <c r="E3174" i="5" s="1"/>
  <c r="F3175" i="5"/>
  <c r="E3175" i="5" s="1"/>
  <c r="F3176" i="5"/>
  <c r="E3176" i="5" s="1"/>
  <c r="F3177" i="5"/>
  <c r="E3177" i="5" s="1"/>
  <c r="F3178" i="5"/>
  <c r="E3178" i="5" s="1"/>
  <c r="F3179" i="5"/>
  <c r="E3179" i="5" s="1"/>
  <c r="F3180" i="5"/>
  <c r="E3180" i="5" s="1"/>
  <c r="F3181" i="5"/>
  <c r="E3181" i="5" s="1"/>
  <c r="F3182" i="5"/>
  <c r="E3182" i="5" s="1"/>
  <c r="F3183" i="5"/>
  <c r="E3183" i="5" s="1"/>
  <c r="F3184" i="5"/>
  <c r="E3184" i="5" s="1"/>
  <c r="F3185" i="5"/>
  <c r="E3185" i="5" s="1"/>
  <c r="F3186" i="5"/>
  <c r="E3186" i="5" s="1"/>
  <c r="F3187" i="5"/>
  <c r="E3187" i="5" s="1"/>
  <c r="F3188" i="5"/>
  <c r="E3188" i="5" s="1"/>
  <c r="F3189" i="5"/>
  <c r="E3189" i="5" s="1"/>
  <c r="F3190" i="5"/>
  <c r="E3190" i="5" s="1"/>
  <c r="F3191" i="5"/>
  <c r="E3191" i="5" s="1"/>
  <c r="F3192" i="5"/>
  <c r="E3192" i="5" s="1"/>
  <c r="F3193" i="5"/>
  <c r="E3193" i="5" s="1"/>
  <c r="F3194" i="5"/>
  <c r="E3194" i="5" s="1"/>
  <c r="F3195" i="5"/>
  <c r="E3195" i="5" s="1"/>
  <c r="F3196" i="5"/>
  <c r="E3196" i="5" s="1"/>
  <c r="F3197" i="5"/>
  <c r="E3197" i="5" s="1"/>
  <c r="F3198" i="5"/>
  <c r="E3198" i="5" s="1"/>
  <c r="F3199" i="5"/>
  <c r="E3199" i="5" s="1"/>
  <c r="F3200" i="5"/>
  <c r="E3200" i="5" s="1"/>
  <c r="F3201" i="5"/>
  <c r="E3201" i="5" s="1"/>
  <c r="F3202" i="5"/>
  <c r="E3202" i="5" s="1"/>
  <c r="F3203" i="5"/>
  <c r="E3203" i="5" s="1"/>
  <c r="F3204" i="5"/>
  <c r="E3204" i="5" s="1"/>
  <c r="F3205" i="5"/>
  <c r="E3205" i="5" s="1"/>
  <c r="F3206" i="5"/>
  <c r="E3206" i="5" s="1"/>
  <c r="F3207" i="5"/>
  <c r="E3207" i="5" s="1"/>
  <c r="F3208" i="5"/>
  <c r="E3208" i="5" s="1"/>
  <c r="F3209" i="5"/>
  <c r="E3209" i="5" s="1"/>
  <c r="F3210" i="5"/>
  <c r="E3210" i="5" s="1"/>
  <c r="F3211" i="5"/>
  <c r="E3211" i="5" s="1"/>
  <c r="F3212" i="5"/>
  <c r="E3212" i="5" s="1"/>
  <c r="F3213" i="5"/>
  <c r="E3213" i="5" s="1"/>
  <c r="F3214" i="5"/>
  <c r="E3214" i="5" s="1"/>
  <c r="F3215" i="5"/>
  <c r="E3215" i="5" s="1"/>
  <c r="F3216" i="5"/>
  <c r="E3216" i="5" s="1"/>
  <c r="F3219" i="5"/>
  <c r="E3219" i="5" s="1"/>
  <c r="F3220" i="5"/>
  <c r="E3220" i="5" s="1"/>
  <c r="F3221" i="5"/>
  <c r="E3221" i="5" s="1"/>
  <c r="F3222" i="5"/>
  <c r="E3222" i="5" s="1"/>
  <c r="F3223" i="5"/>
  <c r="E3223" i="5" s="1"/>
  <c r="F3224" i="5"/>
  <c r="E3224" i="5" s="1"/>
  <c r="F3225" i="5"/>
  <c r="E3225" i="5" s="1"/>
  <c r="F3226" i="5"/>
  <c r="E3226" i="5" s="1"/>
  <c r="F3227" i="5"/>
  <c r="E3227" i="5" s="1"/>
  <c r="F3228" i="5"/>
  <c r="E3228" i="5" s="1"/>
  <c r="F3229" i="5"/>
  <c r="E3229" i="5" s="1"/>
  <c r="F3230" i="5"/>
  <c r="E3230" i="5" s="1"/>
  <c r="F3231" i="5"/>
  <c r="E3231" i="5" s="1"/>
  <c r="F3232" i="5"/>
  <c r="E3232" i="5" s="1"/>
  <c r="F3233" i="5"/>
  <c r="E3233" i="5" s="1"/>
  <c r="F3234" i="5"/>
  <c r="E3234" i="5" s="1"/>
  <c r="F3235" i="5"/>
  <c r="E3235" i="5" s="1"/>
  <c r="F3236" i="5"/>
  <c r="E3236" i="5" s="1"/>
  <c r="F3237" i="5"/>
  <c r="E3237" i="5" s="1"/>
  <c r="F3238" i="5"/>
  <c r="E3238" i="5" s="1"/>
  <c r="F3239" i="5"/>
  <c r="E3239" i="5" s="1"/>
  <c r="F3240" i="5"/>
  <c r="E3240" i="5" s="1"/>
  <c r="F3241" i="5"/>
  <c r="E3241" i="5" s="1"/>
  <c r="F3242" i="5"/>
  <c r="E3242" i="5" s="1"/>
  <c r="F3243" i="5"/>
  <c r="E3243" i="5" s="1"/>
  <c r="F3244" i="5"/>
  <c r="E3244" i="5" s="1"/>
  <c r="F3245" i="5"/>
  <c r="E3245" i="5" s="1"/>
  <c r="F3246" i="5"/>
  <c r="E3246" i="5" s="1"/>
  <c r="F3247" i="5"/>
  <c r="E3247" i="5" s="1"/>
  <c r="F3248" i="5"/>
  <c r="E3248" i="5" s="1"/>
  <c r="F3249" i="5"/>
  <c r="E3249" i="5" s="1"/>
  <c r="F3250" i="5"/>
  <c r="E3250" i="5" s="1"/>
  <c r="F3251" i="5"/>
  <c r="E3251" i="5" s="1"/>
  <c r="F3252" i="5"/>
  <c r="E3252" i="5" s="1"/>
  <c r="F3253" i="5"/>
  <c r="E3253" i="5" s="1"/>
  <c r="F3254" i="5"/>
  <c r="E3254" i="5" s="1"/>
  <c r="F3255" i="5"/>
  <c r="E3255" i="5" s="1"/>
  <c r="F3256" i="5"/>
  <c r="E3256" i="5" s="1"/>
  <c r="F3257" i="5"/>
  <c r="E3257" i="5" s="1"/>
  <c r="F3258" i="5"/>
  <c r="E3258" i="5" s="1"/>
  <c r="F3259" i="5"/>
  <c r="E3259" i="5" s="1"/>
  <c r="F3260" i="5"/>
  <c r="E3260" i="5" s="1"/>
  <c r="F3261" i="5"/>
  <c r="E3261" i="5" s="1"/>
  <c r="F3262" i="5"/>
  <c r="E3262" i="5" s="1"/>
  <c r="F3263" i="5"/>
  <c r="E3263" i="5" s="1"/>
  <c r="F3264" i="5"/>
  <c r="E3264" i="5" s="1"/>
  <c r="F3268" i="5"/>
  <c r="E3268" i="5" s="1"/>
  <c r="F3269" i="5"/>
  <c r="E3269" i="5" s="1"/>
  <c r="F3270" i="5"/>
  <c r="E3270" i="5" s="1"/>
  <c r="F3271" i="5"/>
  <c r="E3271" i="5" s="1"/>
  <c r="F3272" i="5"/>
  <c r="E3272" i="5" s="1"/>
  <c r="F3273" i="5"/>
  <c r="E3273" i="5" s="1"/>
  <c r="F3274" i="5"/>
  <c r="E3274" i="5" s="1"/>
  <c r="F3275" i="5"/>
  <c r="E3275" i="5" s="1"/>
  <c r="F3276" i="5"/>
  <c r="E3276" i="5" s="1"/>
  <c r="F3277" i="5"/>
  <c r="E3277" i="5" s="1"/>
  <c r="F3278" i="5"/>
  <c r="E3278" i="5" s="1"/>
  <c r="F3279" i="5"/>
  <c r="E3279" i="5" s="1"/>
  <c r="F3280" i="5"/>
  <c r="E3280" i="5" s="1"/>
  <c r="F3281" i="5"/>
  <c r="E3281" i="5" s="1"/>
  <c r="F3282" i="5"/>
  <c r="E3282" i="5" s="1"/>
  <c r="F3283" i="5"/>
  <c r="E3283" i="5" s="1"/>
  <c r="F3284" i="5"/>
  <c r="E3284" i="5" s="1"/>
  <c r="F3285" i="5"/>
  <c r="E3285" i="5" s="1"/>
  <c r="F3286" i="5"/>
  <c r="E3286" i="5" s="1"/>
  <c r="F3287" i="5"/>
  <c r="E3287" i="5" s="1"/>
  <c r="F3288" i="5"/>
  <c r="E3288" i="5" s="1"/>
  <c r="F3289" i="5"/>
  <c r="E3289" i="5" s="1"/>
  <c r="F3290" i="5"/>
  <c r="E3290" i="5" s="1"/>
  <c r="F3291" i="5"/>
  <c r="E3291" i="5" s="1"/>
  <c r="F3292" i="5"/>
  <c r="E3292" i="5" s="1"/>
  <c r="F3293" i="5"/>
  <c r="E3293" i="5" s="1"/>
  <c r="F3294" i="5"/>
  <c r="E3294" i="5" s="1"/>
  <c r="F3295" i="5"/>
  <c r="E3295" i="5" s="1"/>
  <c r="F3296" i="5"/>
  <c r="E3296" i="5" s="1"/>
  <c r="F3297" i="5"/>
  <c r="E3297" i="5" s="1"/>
  <c r="F3298" i="5"/>
  <c r="E3298" i="5" s="1"/>
  <c r="F3299" i="5"/>
  <c r="E3299" i="5" s="1"/>
  <c r="F3300" i="5"/>
  <c r="E3300" i="5" s="1"/>
  <c r="F3303" i="5"/>
  <c r="E3303" i="5" s="1"/>
  <c r="F3304" i="5"/>
  <c r="E3304" i="5" s="1"/>
  <c r="F3305" i="5"/>
  <c r="E3305" i="5" s="1"/>
  <c r="F3306" i="5"/>
  <c r="E3306" i="5" s="1"/>
  <c r="F3307" i="5"/>
  <c r="E3307" i="5" s="1"/>
  <c r="F3308" i="5"/>
  <c r="E3308" i="5" s="1"/>
  <c r="F3309" i="5"/>
  <c r="E3309" i="5" s="1"/>
  <c r="F3310" i="5"/>
  <c r="E3310" i="5" s="1"/>
  <c r="F3311" i="5"/>
  <c r="E3311" i="5" s="1"/>
  <c r="F3312" i="5"/>
  <c r="E3312" i="5" s="1"/>
  <c r="F3313" i="5"/>
  <c r="E3313" i="5" s="1"/>
  <c r="F3314" i="5"/>
  <c r="E3314" i="5" s="1"/>
  <c r="F3315" i="5"/>
  <c r="E3315" i="5" s="1"/>
  <c r="F3316" i="5"/>
  <c r="E3316" i="5" s="1"/>
  <c r="F3317" i="5"/>
  <c r="E3317" i="5" s="1"/>
  <c r="F3318" i="5"/>
  <c r="E3318" i="5" s="1"/>
  <c r="F3319" i="5"/>
  <c r="E3319" i="5" s="1"/>
  <c r="F3320" i="5"/>
  <c r="E3320" i="5" s="1"/>
  <c r="F3321" i="5"/>
  <c r="E3321" i="5" s="1"/>
  <c r="F3322" i="5"/>
  <c r="E3322" i="5" s="1"/>
  <c r="F3323" i="5"/>
  <c r="E3323" i="5" s="1"/>
  <c r="F3324" i="5"/>
  <c r="E3324" i="5" s="1"/>
  <c r="F3325" i="5"/>
  <c r="E3325" i="5" s="1"/>
  <c r="F3326" i="5"/>
  <c r="E3326" i="5" s="1"/>
  <c r="F3327" i="5"/>
  <c r="E3327" i="5" s="1"/>
  <c r="F3328" i="5"/>
  <c r="E3328" i="5" s="1"/>
  <c r="F3329" i="5"/>
  <c r="E3329" i="5" s="1"/>
  <c r="F3330" i="5"/>
  <c r="E3330" i="5" s="1"/>
  <c r="F3331" i="5"/>
  <c r="E3331" i="5" s="1"/>
  <c r="F3332" i="5"/>
  <c r="E3332" i="5" s="1"/>
  <c r="F3333" i="5"/>
  <c r="E3333" i="5" s="1"/>
  <c r="F3334" i="5"/>
  <c r="E3334" i="5" s="1"/>
  <c r="F3335" i="5"/>
  <c r="E3335" i="5" s="1"/>
  <c r="F3336" i="5"/>
  <c r="E3336" i="5" s="1"/>
  <c r="F3337" i="5"/>
  <c r="E3337" i="5" s="1"/>
  <c r="F3338" i="5"/>
  <c r="E3338" i="5" s="1"/>
  <c r="F3339" i="5"/>
  <c r="E3339" i="5" s="1"/>
  <c r="F3340" i="5"/>
  <c r="E3340" i="5" s="1"/>
  <c r="F3341" i="5"/>
  <c r="E3341" i="5" s="1"/>
  <c r="F3342" i="5"/>
  <c r="E3342" i="5" s="1"/>
  <c r="F3343" i="5"/>
  <c r="E3343" i="5" s="1"/>
  <c r="F3344" i="5"/>
  <c r="E3344" i="5" s="1"/>
  <c r="F3345" i="5"/>
  <c r="E3345" i="5" s="1"/>
  <c r="F3346" i="5"/>
  <c r="E3346" i="5" s="1"/>
  <c r="F3347" i="5"/>
  <c r="E3347" i="5" s="1"/>
  <c r="F3348" i="5"/>
  <c r="E3348" i="5" s="1"/>
  <c r="F3349" i="5"/>
  <c r="E3349" i="5" s="1"/>
  <c r="F3350" i="5"/>
  <c r="E3350" i="5" s="1"/>
  <c r="F3351" i="5"/>
  <c r="E3351" i="5" s="1"/>
  <c r="F3352" i="5"/>
  <c r="E3352" i="5" s="1"/>
  <c r="F3353" i="5"/>
  <c r="E3353" i="5" s="1"/>
  <c r="F3354" i="5"/>
  <c r="E3354" i="5" s="1"/>
  <c r="F3358" i="5"/>
  <c r="E3358" i="5" s="1"/>
  <c r="F3359" i="5"/>
  <c r="E3359" i="5" s="1"/>
  <c r="F3355" i="5"/>
  <c r="E3355" i="5" s="1"/>
  <c r="F3356" i="5"/>
  <c r="E3356" i="5" s="1"/>
  <c r="F3360" i="5"/>
  <c r="E3360" i="5" s="1"/>
  <c r="F3361" i="5"/>
  <c r="E3361" i="5" s="1"/>
  <c r="F3362" i="5"/>
  <c r="E3362" i="5" s="1"/>
  <c r="F3363" i="5"/>
  <c r="E3363" i="5" s="1"/>
  <c r="F3364" i="5"/>
  <c r="E3364" i="5" s="1"/>
  <c r="F3365" i="5"/>
  <c r="E3365" i="5" s="1"/>
  <c r="F3366" i="5"/>
  <c r="E3366" i="5" s="1"/>
  <c r="F3367" i="5"/>
  <c r="E3367" i="5" s="1"/>
  <c r="F3368" i="5"/>
  <c r="E3368" i="5" s="1"/>
  <c r="F3369" i="5"/>
  <c r="E3369" i="5" s="1"/>
  <c r="F3370" i="5"/>
  <c r="E3370" i="5" s="1"/>
  <c r="F3371" i="5"/>
  <c r="E3371" i="5" s="1"/>
  <c r="F3372" i="5"/>
  <c r="E3372" i="5" s="1"/>
  <c r="F3373" i="5"/>
  <c r="E3373" i="5" s="1"/>
  <c r="F3374" i="5"/>
  <c r="E3374" i="5" s="1"/>
  <c r="F3375" i="5"/>
  <c r="E3375" i="5" s="1"/>
  <c r="F3376" i="5"/>
  <c r="E3376" i="5" s="1"/>
  <c r="F3377" i="5"/>
  <c r="E3377" i="5" s="1"/>
  <c r="F3378" i="5"/>
  <c r="E3378" i="5" s="1"/>
  <c r="F3379" i="5"/>
  <c r="E3379" i="5" s="1"/>
  <c r="F3380" i="5"/>
  <c r="E3380" i="5" s="1"/>
  <c r="F3381" i="5"/>
  <c r="E3381" i="5" s="1"/>
  <c r="F3382" i="5"/>
  <c r="E3382" i="5" s="1"/>
  <c r="F3383" i="5"/>
  <c r="E3383" i="5" s="1"/>
  <c r="F3384" i="5"/>
  <c r="E3384" i="5" s="1"/>
  <c r="F3385" i="5"/>
  <c r="E3385" i="5" s="1"/>
  <c r="F3386" i="5"/>
  <c r="E3386" i="5" s="1"/>
  <c r="F3387" i="5"/>
  <c r="E3387" i="5" s="1"/>
  <c r="F3388" i="5"/>
  <c r="E3388" i="5" s="1"/>
  <c r="F3389" i="5"/>
  <c r="E3389" i="5" s="1"/>
  <c r="F3390" i="5"/>
  <c r="E3390" i="5" s="1"/>
  <c r="F3391" i="5"/>
  <c r="E3391" i="5" s="1"/>
  <c r="F3392" i="5"/>
  <c r="E3392" i="5" s="1"/>
  <c r="F3393" i="5"/>
  <c r="E3393" i="5" s="1"/>
  <c r="F3394" i="5"/>
  <c r="E3394" i="5" s="1"/>
  <c r="F3395" i="5"/>
  <c r="E3395" i="5" s="1"/>
  <c r="F3396" i="5"/>
  <c r="E3396" i="5" s="1"/>
  <c r="F3397" i="5"/>
  <c r="E3397" i="5" s="1"/>
  <c r="F3398" i="5"/>
  <c r="E3398" i="5" s="1"/>
  <c r="F3399" i="5"/>
  <c r="E3399" i="5" s="1"/>
  <c r="F3400" i="5"/>
  <c r="E3400" i="5" s="1"/>
  <c r="F3401" i="5"/>
  <c r="E3401" i="5" s="1"/>
  <c r="F3402" i="5"/>
  <c r="E3402" i="5" s="1"/>
  <c r="F3403" i="5"/>
  <c r="E3403" i="5" s="1"/>
  <c r="F3404" i="5"/>
  <c r="E3404" i="5" s="1"/>
  <c r="F3405" i="5"/>
  <c r="E3405" i="5" s="1"/>
  <c r="F3406" i="5"/>
  <c r="E3406" i="5" s="1"/>
  <c r="F3407" i="5"/>
  <c r="E3407" i="5" s="1"/>
  <c r="F3408" i="5"/>
  <c r="E3408" i="5" s="1"/>
  <c r="F3409" i="5"/>
  <c r="E3409" i="5" s="1"/>
  <c r="F3410" i="5"/>
  <c r="E3410" i="5" s="1"/>
  <c r="F3411" i="5"/>
  <c r="E3411" i="5" s="1"/>
  <c r="F3412" i="5"/>
  <c r="E3412" i="5" s="1"/>
  <c r="F3413" i="5"/>
  <c r="E3413" i="5" s="1"/>
  <c r="F3414" i="5"/>
  <c r="E3414" i="5" s="1"/>
  <c r="F3415" i="5"/>
  <c r="E3415" i="5" s="1"/>
  <c r="F3416" i="5"/>
  <c r="E3416" i="5" s="1"/>
  <c r="F3417" i="5"/>
  <c r="E3417" i="5" s="1"/>
  <c r="F3418" i="5"/>
  <c r="E3418" i="5" s="1"/>
  <c r="F3419" i="5"/>
  <c r="E3419" i="5" s="1"/>
  <c r="F3420" i="5"/>
  <c r="E3420" i="5" s="1"/>
  <c r="F3421" i="5"/>
  <c r="E3421" i="5" s="1"/>
  <c r="F3422" i="5"/>
  <c r="E3422" i="5" s="1"/>
  <c r="F3423" i="5"/>
  <c r="E3423" i="5" s="1"/>
  <c r="F3424" i="5"/>
  <c r="E3424" i="5" s="1"/>
  <c r="F3425" i="5"/>
  <c r="E3425" i="5" s="1"/>
  <c r="F3426" i="5"/>
  <c r="E3426" i="5" s="1"/>
  <c r="F3427" i="5"/>
  <c r="E3427" i="5" s="1"/>
  <c r="F3428" i="5"/>
  <c r="E3428" i="5" s="1"/>
  <c r="F3429" i="5"/>
  <c r="E3429" i="5" s="1"/>
  <c r="F3430" i="5"/>
  <c r="E3430" i="5" s="1"/>
  <c r="F3431" i="5"/>
  <c r="E3431" i="5" s="1"/>
  <c r="F3432" i="5"/>
  <c r="E3432" i="5" s="1"/>
  <c r="F3433" i="5"/>
  <c r="E3433" i="5" s="1"/>
  <c r="F3434" i="5"/>
  <c r="E3434" i="5" s="1"/>
  <c r="F3435" i="5"/>
  <c r="E3435" i="5" s="1"/>
  <c r="F3436" i="5"/>
  <c r="E3436" i="5" s="1"/>
  <c r="F3437" i="5"/>
  <c r="E3437" i="5" s="1"/>
  <c r="F3438" i="5"/>
  <c r="E3438" i="5" s="1"/>
  <c r="F3439" i="5"/>
  <c r="E3439" i="5" s="1"/>
  <c r="F3440" i="5"/>
  <c r="E3440" i="5" s="1"/>
  <c r="F3441" i="5"/>
  <c r="E3441" i="5" s="1"/>
  <c r="F3442" i="5"/>
  <c r="E3442" i="5" s="1"/>
  <c r="F3443" i="5"/>
  <c r="E3443" i="5" s="1"/>
  <c r="F3444" i="5"/>
  <c r="E3444" i="5" s="1"/>
  <c r="F3445" i="5"/>
  <c r="E3445" i="5" s="1"/>
  <c r="F3446" i="5"/>
  <c r="E3446" i="5" s="1"/>
  <c r="F3447" i="5"/>
  <c r="E3447" i="5" s="1"/>
  <c r="F3448" i="5"/>
  <c r="E3448" i="5" s="1"/>
  <c r="F3157" i="5"/>
  <c r="E3157" i="5" s="1"/>
  <c r="F3217" i="5"/>
  <c r="E3217" i="5" s="1"/>
  <c r="F3265" i="5"/>
  <c r="E3265" i="5" s="1"/>
  <c r="F3301" i="5"/>
  <c r="E3301" i="5" s="1"/>
  <c r="F3357" i="5"/>
  <c r="E3357" i="5" s="1"/>
  <c r="F3266" i="5"/>
  <c r="E3266" i="5" s="1"/>
  <c r="F3449" i="5"/>
  <c r="E3449" i="5" s="1"/>
  <c r="F3450" i="5"/>
  <c r="E3450" i="5" s="1"/>
  <c r="F3451" i="5"/>
  <c r="E3451" i="5" s="1"/>
  <c r="F3452" i="5"/>
  <c r="E3452" i="5" s="1"/>
  <c r="F3453" i="5"/>
  <c r="E3453" i="5" s="1"/>
  <c r="F3454" i="5"/>
  <c r="E3454" i="5" s="1"/>
  <c r="F3455" i="5"/>
  <c r="E3455" i="5" s="1"/>
  <c r="F3456" i="5"/>
  <c r="E3456" i="5" s="1"/>
  <c r="F3457" i="5"/>
  <c r="E3457" i="5" s="1"/>
  <c r="F3458" i="5"/>
  <c r="E3458" i="5" s="1"/>
  <c r="F3459" i="5"/>
  <c r="E3459" i="5" s="1"/>
  <c r="F3460" i="5"/>
  <c r="E3460" i="5" s="1"/>
  <c r="F3461" i="5"/>
  <c r="E3461" i="5" s="1"/>
  <c r="F3462" i="5"/>
  <c r="E3462" i="5" s="1"/>
  <c r="F3463" i="5"/>
  <c r="E3463" i="5" s="1"/>
  <c r="F3464" i="5"/>
  <c r="E3464" i="5" s="1"/>
  <c r="F3465" i="5"/>
  <c r="E3465" i="5" s="1"/>
  <c r="F3466" i="5"/>
  <c r="E3466" i="5" s="1"/>
  <c r="F3467" i="5"/>
  <c r="E3467" i="5" s="1"/>
  <c r="F3471" i="5"/>
  <c r="E3471" i="5" s="1"/>
  <c r="F3468" i="5"/>
  <c r="E3468" i="5" s="1"/>
  <c r="F3469" i="5"/>
  <c r="E3469" i="5" s="1"/>
  <c r="F3472" i="5"/>
  <c r="E3472" i="5" s="1"/>
  <c r="F3473" i="5"/>
  <c r="E3473" i="5" s="1"/>
  <c r="F3474" i="5"/>
  <c r="E3474" i="5" s="1"/>
  <c r="F3475" i="5"/>
  <c r="E3475" i="5" s="1"/>
  <c r="F3476" i="5"/>
  <c r="E3476" i="5" s="1"/>
  <c r="F3477" i="5"/>
  <c r="E3477" i="5" s="1"/>
  <c r="F3478" i="5"/>
  <c r="E3478" i="5" s="1"/>
  <c r="F3479" i="5"/>
  <c r="E3479" i="5" s="1"/>
  <c r="F3480" i="5"/>
  <c r="E3480" i="5" s="1"/>
  <c r="F3481" i="5"/>
  <c r="E3481" i="5" s="1"/>
  <c r="F3482" i="5"/>
  <c r="E3482" i="5" s="1"/>
  <c r="F3483" i="5"/>
  <c r="E3483" i="5" s="1"/>
  <c r="F3484" i="5"/>
  <c r="E3484" i="5" s="1"/>
  <c r="F3485" i="5"/>
  <c r="E3485" i="5" s="1"/>
  <c r="F3486" i="5"/>
  <c r="E3486" i="5" s="1"/>
  <c r="F3487" i="5"/>
  <c r="E3487" i="5" s="1"/>
  <c r="F3488" i="5"/>
  <c r="E3488" i="5" s="1"/>
  <c r="F3489" i="5"/>
  <c r="E3489" i="5" s="1"/>
  <c r="F3490" i="5"/>
  <c r="E3490" i="5" s="1"/>
  <c r="F3491" i="5"/>
  <c r="E3491" i="5" s="1"/>
  <c r="F3492" i="5"/>
  <c r="E3492" i="5" s="1"/>
  <c r="F3739" i="5"/>
  <c r="E3739" i="5" s="1"/>
  <c r="F3493" i="5"/>
  <c r="E3493" i="5" s="1"/>
  <c r="F3494" i="5"/>
  <c r="E3494" i="5" s="1"/>
  <c r="F3495" i="5"/>
  <c r="E3495" i="5" s="1"/>
  <c r="F3496" i="5"/>
  <c r="E3496" i="5" s="1"/>
  <c r="F3497" i="5"/>
  <c r="E3497" i="5" s="1"/>
  <c r="F3609" i="5"/>
  <c r="E3609" i="5" s="1"/>
  <c r="F3498" i="5"/>
  <c r="E3498" i="5" s="1"/>
  <c r="F3610" i="5"/>
  <c r="E3610" i="5" s="1"/>
  <c r="F3499" i="5"/>
  <c r="E3499" i="5" s="1"/>
  <c r="F3500" i="5"/>
  <c r="E3500" i="5" s="1"/>
  <c r="F3501" i="5"/>
  <c r="E3501" i="5" s="1"/>
  <c r="F3503" i="5"/>
  <c r="E3503" i="5" s="1"/>
  <c r="F3504" i="5"/>
  <c r="E3504" i="5" s="1"/>
  <c r="F3505" i="5"/>
  <c r="E3505" i="5" s="1"/>
  <c r="F3506" i="5"/>
  <c r="E3506" i="5" s="1"/>
  <c r="F3507" i="5"/>
  <c r="E3507" i="5" s="1"/>
  <c r="F3508" i="5"/>
  <c r="E3508" i="5" s="1"/>
  <c r="F3509" i="5"/>
  <c r="E3509" i="5" s="1"/>
  <c r="F3510" i="5"/>
  <c r="E3510" i="5" s="1"/>
  <c r="F3511" i="5"/>
  <c r="E3511" i="5" s="1"/>
  <c r="F3512" i="5"/>
  <c r="E3512" i="5" s="1"/>
  <c r="F3513" i="5"/>
  <c r="E3513" i="5" s="1"/>
  <c r="F3514" i="5"/>
  <c r="E3514" i="5" s="1"/>
  <c r="F3515" i="5"/>
  <c r="E3515" i="5" s="1"/>
  <c r="F3516" i="5"/>
  <c r="E3516" i="5" s="1"/>
  <c r="F3517" i="5"/>
  <c r="E3517" i="5" s="1"/>
  <c r="F3518" i="5"/>
  <c r="E3518" i="5" s="1"/>
  <c r="F3519" i="5"/>
  <c r="E3519" i="5" s="1"/>
  <c r="F3520" i="5"/>
  <c r="E3520" i="5" s="1"/>
  <c r="F3521" i="5"/>
  <c r="E3521" i="5" s="1"/>
  <c r="F3522" i="5"/>
  <c r="E3522" i="5" s="1"/>
  <c r="F3523" i="5"/>
  <c r="E3523" i="5" s="1"/>
  <c r="F3524" i="5"/>
  <c r="E3524" i="5" s="1"/>
  <c r="F3525" i="5"/>
  <c r="E3525" i="5" s="1"/>
  <c r="F3526" i="5"/>
  <c r="E3526" i="5" s="1"/>
  <c r="F3527" i="5"/>
  <c r="E3527" i="5" s="1"/>
  <c r="F3528" i="5"/>
  <c r="E3528" i="5" s="1"/>
  <c r="F3529" i="5"/>
  <c r="E3529" i="5" s="1"/>
  <c r="F3530" i="5"/>
  <c r="E3530" i="5" s="1"/>
  <c r="F3531" i="5"/>
  <c r="E3531" i="5" s="1"/>
  <c r="F3532" i="5"/>
  <c r="E3532" i="5" s="1"/>
  <c r="F3533" i="5"/>
  <c r="E3533" i="5" s="1"/>
  <c r="F3534" i="5"/>
  <c r="E3534" i="5" s="1"/>
  <c r="F3535" i="5"/>
  <c r="E3535" i="5" s="1"/>
  <c r="F3536" i="5"/>
  <c r="E3536" i="5" s="1"/>
  <c r="F3537" i="5"/>
  <c r="E3537" i="5" s="1"/>
  <c r="F3538" i="5"/>
  <c r="E3538" i="5" s="1"/>
  <c r="F3539" i="5"/>
  <c r="E3539" i="5" s="1"/>
  <c r="F3540" i="5"/>
  <c r="E3540" i="5" s="1"/>
  <c r="F3541" i="5"/>
  <c r="E3541" i="5" s="1"/>
  <c r="F3542" i="5"/>
  <c r="E3542" i="5" s="1"/>
  <c r="F3543" i="5"/>
  <c r="E3543" i="5" s="1"/>
  <c r="F3544" i="5"/>
  <c r="E3544" i="5" s="1"/>
  <c r="F3545" i="5"/>
  <c r="E3545" i="5" s="1"/>
  <c r="F3546" i="5"/>
  <c r="E3546" i="5" s="1"/>
  <c r="F3547" i="5"/>
  <c r="E3547" i="5" s="1"/>
  <c r="F3548" i="5"/>
  <c r="E3548" i="5" s="1"/>
  <c r="F3549" i="5"/>
  <c r="E3549" i="5" s="1"/>
  <c r="F3550" i="5"/>
  <c r="E3550" i="5" s="1"/>
  <c r="F3551" i="5"/>
  <c r="E3551" i="5" s="1"/>
  <c r="F3552" i="5"/>
  <c r="E3552" i="5" s="1"/>
  <c r="F3553" i="5"/>
  <c r="E3553" i="5" s="1"/>
  <c r="F3554" i="5"/>
  <c r="E3554" i="5" s="1"/>
  <c r="F3555" i="5"/>
  <c r="E3555" i="5" s="1"/>
  <c r="F3556" i="5"/>
  <c r="E3556" i="5" s="1"/>
  <c r="F3557" i="5"/>
  <c r="E3557" i="5" s="1"/>
  <c r="F3558" i="5"/>
  <c r="E3558" i="5" s="1"/>
  <c r="F3559" i="5"/>
  <c r="E3559" i="5" s="1"/>
  <c r="F3560" i="5"/>
  <c r="E3560" i="5" s="1"/>
  <c r="F3561" i="5"/>
  <c r="E3561" i="5" s="1"/>
  <c r="F3562" i="5"/>
  <c r="E3562" i="5" s="1"/>
  <c r="F3563" i="5"/>
  <c r="E3563" i="5" s="1"/>
  <c r="F3564" i="5"/>
  <c r="E3564" i="5" s="1"/>
  <c r="F3565" i="5"/>
  <c r="E3565" i="5" s="1"/>
  <c r="F3566" i="5"/>
  <c r="E3566" i="5" s="1"/>
  <c r="F3567" i="5"/>
  <c r="E3567" i="5" s="1"/>
  <c r="F3568" i="5"/>
  <c r="E3568" i="5" s="1"/>
  <c r="F3502" i="5"/>
  <c r="E3502" i="5" s="1"/>
  <c r="F3571" i="5"/>
  <c r="E3571" i="5" s="1"/>
  <c r="F3572" i="5"/>
  <c r="E3572" i="5" s="1"/>
  <c r="F3573" i="5"/>
  <c r="E3573" i="5" s="1"/>
  <c r="F3574" i="5"/>
  <c r="E3574" i="5" s="1"/>
  <c r="F3575" i="5"/>
  <c r="E3575" i="5" s="1"/>
  <c r="F3576" i="5"/>
  <c r="E3576" i="5" s="1"/>
  <c r="F3577" i="5"/>
  <c r="E3577" i="5" s="1"/>
  <c r="F3578" i="5"/>
  <c r="E3578" i="5" s="1"/>
  <c r="F3579" i="5"/>
  <c r="E3579" i="5" s="1"/>
  <c r="F3580" i="5"/>
  <c r="E3580" i="5" s="1"/>
  <c r="F3581" i="5"/>
  <c r="E3581" i="5" s="1"/>
  <c r="F3582" i="5"/>
  <c r="E3582" i="5" s="1"/>
  <c r="F3583" i="5"/>
  <c r="E3583" i="5" s="1"/>
  <c r="F3584" i="5"/>
  <c r="E3584" i="5" s="1"/>
  <c r="F3585" i="5"/>
  <c r="E3585" i="5" s="1"/>
  <c r="F3586" i="5"/>
  <c r="E3586" i="5" s="1"/>
  <c r="F3587" i="5"/>
  <c r="E3587" i="5" s="1"/>
  <c r="F3588" i="5"/>
  <c r="E3588" i="5" s="1"/>
  <c r="F3589" i="5"/>
  <c r="E3589" i="5" s="1"/>
  <c r="F3590" i="5"/>
  <c r="E3590" i="5" s="1"/>
  <c r="F3591" i="5"/>
  <c r="E3591" i="5" s="1"/>
  <c r="F3592" i="5"/>
  <c r="E3592" i="5" s="1"/>
  <c r="F3593" i="5"/>
  <c r="E3593" i="5" s="1"/>
  <c r="F3594" i="5"/>
  <c r="E3594" i="5" s="1"/>
  <c r="F3595" i="5"/>
  <c r="E3595" i="5" s="1"/>
  <c r="F3596" i="5"/>
  <c r="E3596" i="5" s="1"/>
  <c r="F3597" i="5"/>
  <c r="E3597" i="5" s="1"/>
  <c r="F3598" i="5"/>
  <c r="E3598" i="5" s="1"/>
  <c r="F3599" i="5"/>
  <c r="E3599" i="5" s="1"/>
  <c r="F3600" i="5"/>
  <c r="E3600" i="5" s="1"/>
  <c r="F3601" i="5"/>
  <c r="E3601" i="5" s="1"/>
  <c r="F3602" i="5"/>
  <c r="E3602" i="5" s="1"/>
  <c r="F3603" i="5"/>
  <c r="E3603" i="5" s="1"/>
  <c r="F3604" i="5"/>
  <c r="E3604" i="5" s="1"/>
  <c r="F3605" i="5"/>
  <c r="E3605" i="5" s="1"/>
  <c r="F3606" i="5"/>
  <c r="E3606" i="5" s="1"/>
  <c r="F3569" i="5"/>
  <c r="E3569" i="5" s="1"/>
  <c r="F3607" i="5"/>
  <c r="E3607" i="5" s="1"/>
  <c r="F3611" i="5"/>
  <c r="E3611" i="5" s="1"/>
  <c r="F3612" i="5"/>
  <c r="E3612" i="5" s="1"/>
  <c r="F3613" i="5"/>
  <c r="E3613" i="5" s="1"/>
  <c r="F3614" i="5"/>
  <c r="E3614" i="5" s="1"/>
  <c r="F3615" i="5"/>
  <c r="E3615" i="5" s="1"/>
  <c r="F3616" i="5"/>
  <c r="E3616" i="5" s="1"/>
  <c r="F3617" i="5"/>
  <c r="E3617" i="5" s="1"/>
  <c r="F3618" i="5"/>
  <c r="E3618" i="5" s="1"/>
  <c r="F3619" i="5"/>
  <c r="E3619" i="5" s="1"/>
  <c r="F3620" i="5"/>
  <c r="E3620" i="5" s="1"/>
  <c r="F3621" i="5"/>
  <c r="E3621" i="5" s="1"/>
  <c r="F3622" i="5"/>
  <c r="E3622" i="5" s="1"/>
  <c r="F3623" i="5"/>
  <c r="E3623" i="5" s="1"/>
  <c r="F3624" i="5"/>
  <c r="E3624" i="5" s="1"/>
  <c r="F3625" i="5"/>
  <c r="E3625" i="5" s="1"/>
  <c r="F3626" i="5"/>
  <c r="E3626" i="5" s="1"/>
  <c r="F3627" i="5"/>
  <c r="E3627" i="5" s="1"/>
  <c r="F3628" i="5"/>
  <c r="E3628" i="5" s="1"/>
  <c r="F3629" i="5"/>
  <c r="E3629" i="5" s="1"/>
  <c r="F3630" i="5"/>
  <c r="E3630" i="5" s="1"/>
  <c r="F3631" i="5"/>
  <c r="E3631" i="5" s="1"/>
  <c r="F3632" i="5"/>
  <c r="E3632" i="5" s="1"/>
  <c r="F3633" i="5"/>
  <c r="E3633" i="5" s="1"/>
  <c r="F3634" i="5"/>
  <c r="E3634" i="5" s="1"/>
  <c r="F3635" i="5"/>
  <c r="E3635" i="5" s="1"/>
  <c r="F3636" i="5"/>
  <c r="E3636" i="5" s="1"/>
  <c r="F3637" i="5"/>
  <c r="E3637" i="5" s="1"/>
  <c r="F3638" i="5"/>
  <c r="E3638" i="5" s="1"/>
  <c r="F3639" i="5"/>
  <c r="E3639" i="5" s="1"/>
  <c r="F3640" i="5"/>
  <c r="E3640" i="5" s="1"/>
  <c r="F3641" i="5"/>
  <c r="E3641" i="5" s="1"/>
  <c r="F3642" i="5"/>
  <c r="E3642" i="5" s="1"/>
  <c r="F3643" i="5"/>
  <c r="E3643" i="5" s="1"/>
  <c r="F3644" i="5"/>
  <c r="E3644" i="5" s="1"/>
  <c r="F3645" i="5"/>
  <c r="E3645" i="5" s="1"/>
  <c r="F3659" i="5"/>
  <c r="E3659" i="5" s="1"/>
  <c r="F3646" i="5"/>
  <c r="E3646" i="5" s="1"/>
  <c r="F3608" i="5"/>
  <c r="E3608" i="5" s="1"/>
  <c r="F3647" i="5"/>
  <c r="E3647" i="5" s="1"/>
  <c r="F3648" i="5"/>
  <c r="E3648" i="5" s="1"/>
  <c r="F3649" i="5"/>
  <c r="E3649" i="5" s="1"/>
  <c r="F3650" i="5"/>
  <c r="E3650" i="5" s="1"/>
  <c r="F3651" i="5"/>
  <c r="E3651" i="5" s="1"/>
  <c r="F3652" i="5"/>
  <c r="E3652" i="5" s="1"/>
  <c r="F3653" i="5"/>
  <c r="E3653" i="5" s="1"/>
  <c r="F3654" i="5"/>
  <c r="E3654" i="5" s="1"/>
  <c r="F3655" i="5"/>
  <c r="E3655" i="5" s="1"/>
  <c r="F3660" i="5"/>
  <c r="E3660" i="5" s="1"/>
  <c r="F3661" i="5"/>
  <c r="E3661" i="5" s="1"/>
  <c r="F3662" i="5"/>
  <c r="E3662" i="5" s="1"/>
  <c r="F3663" i="5"/>
  <c r="E3663" i="5" s="1"/>
  <c r="F3664" i="5"/>
  <c r="E3664" i="5" s="1"/>
  <c r="F3665" i="5"/>
  <c r="E3665" i="5" s="1"/>
  <c r="F3666" i="5"/>
  <c r="E3666" i="5" s="1"/>
  <c r="F3667" i="5"/>
  <c r="E3667" i="5" s="1"/>
  <c r="F3668" i="5"/>
  <c r="E3668" i="5" s="1"/>
  <c r="F3669" i="5"/>
  <c r="E3669" i="5" s="1"/>
  <c r="F3670" i="5"/>
  <c r="E3670" i="5" s="1"/>
  <c r="F3671" i="5"/>
  <c r="E3671" i="5" s="1"/>
  <c r="F3672" i="5"/>
  <c r="E3672" i="5" s="1"/>
  <c r="F3673" i="5"/>
  <c r="E3673" i="5" s="1"/>
  <c r="F3674" i="5"/>
  <c r="E3674" i="5" s="1"/>
  <c r="F3675" i="5"/>
  <c r="E3675" i="5" s="1"/>
  <c r="F3676" i="5"/>
  <c r="E3676" i="5" s="1"/>
  <c r="F3677" i="5"/>
  <c r="E3677" i="5" s="1"/>
  <c r="F3678" i="5"/>
  <c r="E3678" i="5" s="1"/>
  <c r="F3679" i="5"/>
  <c r="E3679" i="5" s="1"/>
  <c r="F3680" i="5"/>
  <c r="E3680" i="5" s="1"/>
  <c r="F3681" i="5"/>
  <c r="E3681" i="5" s="1"/>
  <c r="F3682" i="5"/>
  <c r="E3682" i="5" s="1"/>
  <c r="F3683" i="5"/>
  <c r="E3683" i="5" s="1"/>
  <c r="F3684" i="5"/>
  <c r="E3684" i="5" s="1"/>
  <c r="F3685" i="5"/>
  <c r="E3685" i="5" s="1"/>
  <c r="F3686" i="5"/>
  <c r="E3686" i="5" s="1"/>
  <c r="F3687" i="5"/>
  <c r="E3687" i="5" s="1"/>
  <c r="F3688" i="5"/>
  <c r="E3688" i="5" s="1"/>
  <c r="F3689" i="5"/>
  <c r="E3689" i="5" s="1"/>
  <c r="F3690" i="5"/>
  <c r="E3690" i="5" s="1"/>
  <c r="F3691" i="5"/>
  <c r="E3691" i="5" s="1"/>
  <c r="F3692" i="5"/>
  <c r="E3692" i="5" s="1"/>
  <c r="F3693" i="5"/>
  <c r="E3693" i="5" s="1"/>
  <c r="F3694" i="5"/>
  <c r="E3694" i="5" s="1"/>
  <c r="F3695" i="5"/>
  <c r="E3695" i="5" s="1"/>
  <c r="F3696" i="5"/>
  <c r="E3696" i="5" s="1"/>
  <c r="F3697" i="5"/>
  <c r="E3697" i="5" s="1"/>
  <c r="F3698" i="5"/>
  <c r="E3698" i="5" s="1"/>
  <c r="F3699" i="5"/>
  <c r="E3699" i="5" s="1"/>
  <c r="F3700" i="5"/>
  <c r="E3700" i="5" s="1"/>
  <c r="F3701" i="5"/>
  <c r="E3701" i="5" s="1"/>
  <c r="F3702" i="5"/>
  <c r="E3702" i="5" s="1"/>
  <c r="F3703" i="5"/>
  <c r="E3703" i="5" s="1"/>
  <c r="F3704" i="5"/>
  <c r="E3704" i="5" s="1"/>
  <c r="F3705" i="5"/>
  <c r="E3705" i="5" s="1"/>
  <c r="F3706" i="5"/>
  <c r="E3706" i="5" s="1"/>
  <c r="F3707" i="5"/>
  <c r="E3707" i="5" s="1"/>
  <c r="F3708" i="5"/>
  <c r="E3708" i="5" s="1"/>
  <c r="F3709" i="5"/>
  <c r="E3709" i="5" s="1"/>
  <c r="F3710" i="5"/>
  <c r="E3710" i="5" s="1"/>
  <c r="F3711" i="5"/>
  <c r="E3711" i="5" s="1"/>
  <c r="F3712" i="5"/>
  <c r="E3712" i="5" s="1"/>
  <c r="F3713" i="5"/>
  <c r="E3713" i="5" s="1"/>
  <c r="F3714" i="5"/>
  <c r="E3714" i="5" s="1"/>
  <c r="F3715" i="5"/>
  <c r="E3715" i="5" s="1"/>
  <c r="F3716" i="5"/>
  <c r="E3716" i="5" s="1"/>
  <c r="F3717" i="5"/>
  <c r="E3717" i="5" s="1"/>
  <c r="F3718" i="5"/>
  <c r="E3718" i="5" s="1"/>
  <c r="F3719" i="5"/>
  <c r="E3719" i="5" s="1"/>
  <c r="F3720" i="5"/>
  <c r="E3720" i="5" s="1"/>
  <c r="F3721" i="5"/>
  <c r="E3721" i="5" s="1"/>
  <c r="F3722" i="5"/>
  <c r="E3722" i="5" s="1"/>
  <c r="F3723" i="5"/>
  <c r="E3723" i="5" s="1"/>
  <c r="F3724" i="5"/>
  <c r="E3724" i="5" s="1"/>
  <c r="F3725" i="5"/>
  <c r="E3725" i="5" s="1"/>
  <c r="F3726" i="5"/>
  <c r="E3726" i="5" s="1"/>
  <c r="F3727" i="5"/>
  <c r="E3727" i="5" s="1"/>
  <c r="F3728" i="5"/>
  <c r="E3728" i="5" s="1"/>
  <c r="F3729" i="5"/>
  <c r="E3729" i="5" s="1"/>
  <c r="F3730" i="5"/>
  <c r="E3730" i="5" s="1"/>
  <c r="F3731" i="5"/>
  <c r="E3731" i="5" s="1"/>
  <c r="F3732" i="5"/>
  <c r="E3732" i="5" s="1"/>
  <c r="F3733" i="5"/>
  <c r="E3733" i="5" s="1"/>
  <c r="F3734" i="5"/>
  <c r="E3734" i="5" s="1"/>
  <c r="F3735" i="5"/>
  <c r="E3735" i="5" s="1"/>
  <c r="F3736" i="5"/>
  <c r="E3736" i="5" s="1"/>
  <c r="F3740" i="5"/>
  <c r="E3740" i="5" s="1"/>
  <c r="F3741" i="5"/>
  <c r="E3741" i="5" s="1"/>
  <c r="F3742" i="5"/>
  <c r="E3742" i="5" s="1"/>
  <c r="F3743" i="5"/>
  <c r="E3743" i="5" s="1"/>
  <c r="F3744" i="5"/>
  <c r="E3744" i="5" s="1"/>
  <c r="F3745" i="5"/>
  <c r="E3745" i="5" s="1"/>
  <c r="F3746" i="5"/>
  <c r="E3746" i="5" s="1"/>
  <c r="F3747" i="5"/>
  <c r="E3747" i="5" s="1"/>
  <c r="F3748" i="5"/>
  <c r="E3748" i="5" s="1"/>
  <c r="F3749" i="5"/>
  <c r="E3749" i="5" s="1"/>
  <c r="F3750" i="5"/>
  <c r="E3750" i="5" s="1"/>
  <c r="F3751" i="5"/>
  <c r="E3751" i="5" s="1"/>
  <c r="F3752" i="5"/>
  <c r="E3752" i="5" s="1"/>
  <c r="F3753" i="5"/>
  <c r="E3753" i="5" s="1"/>
  <c r="F3754" i="5"/>
  <c r="E3754" i="5" s="1"/>
  <c r="F3755" i="5"/>
  <c r="E3755" i="5" s="1"/>
  <c r="F3756" i="5"/>
  <c r="E3756" i="5" s="1"/>
  <c r="F3757" i="5"/>
  <c r="E3757" i="5" s="1"/>
  <c r="F3758" i="5"/>
  <c r="E3758" i="5" s="1"/>
  <c r="F3759" i="5"/>
  <c r="E3759" i="5" s="1"/>
  <c r="F3760" i="5"/>
  <c r="E3760" i="5" s="1"/>
  <c r="F3761" i="5"/>
  <c r="E3761" i="5" s="1"/>
  <c r="F3762" i="5"/>
  <c r="E3762" i="5" s="1"/>
  <c r="F3763" i="5"/>
  <c r="E3763" i="5" s="1"/>
  <c r="F3764" i="5"/>
  <c r="E3764" i="5" s="1"/>
  <c r="F3765" i="5"/>
  <c r="E3765" i="5" s="1"/>
  <c r="F3766" i="5"/>
  <c r="E3766" i="5" s="1"/>
  <c r="F3767" i="5"/>
  <c r="E3767" i="5" s="1"/>
  <c r="F3768" i="5"/>
  <c r="E3768" i="5" s="1"/>
  <c r="F3769" i="5"/>
  <c r="E3769" i="5" s="1"/>
  <c r="F3770" i="5"/>
  <c r="E3770" i="5" s="1"/>
  <c r="F3771" i="5"/>
  <c r="E3771" i="5" s="1"/>
  <c r="F3772" i="5"/>
  <c r="E3772" i="5" s="1"/>
  <c r="F3773" i="5"/>
  <c r="E3773" i="5" s="1"/>
  <c r="F3774" i="5"/>
  <c r="E3774" i="5" s="1"/>
  <c r="F3775" i="5"/>
  <c r="E3775" i="5" s="1"/>
  <c r="F3776" i="5"/>
  <c r="E3776" i="5" s="1"/>
  <c r="F3777" i="5"/>
  <c r="E3777" i="5" s="1"/>
  <c r="F3778" i="5"/>
  <c r="E3778" i="5" s="1"/>
  <c r="F3302" i="5"/>
  <c r="E3302" i="5" s="1"/>
  <c r="F3656" i="5"/>
  <c r="E3656" i="5" s="1"/>
  <c r="F3657" i="5"/>
  <c r="E3657" i="5" s="1"/>
  <c r="F3737" i="5"/>
  <c r="E3737" i="5" s="1"/>
  <c r="F3738" i="5"/>
  <c r="E3738" i="5" s="1"/>
  <c r="F3779" i="5"/>
  <c r="E3779" i="5" s="1"/>
  <c r="F3658" i="5"/>
  <c r="E3658" i="5" s="1"/>
  <c r="F3780" i="5"/>
  <c r="E3780" i="5" s="1"/>
  <c r="F3797" i="5"/>
  <c r="E3797" i="5" s="1"/>
  <c r="F3781" i="5"/>
  <c r="E3781" i="5" s="1"/>
  <c r="F3782" i="5"/>
  <c r="E3782" i="5" s="1"/>
  <c r="F3783" i="5"/>
  <c r="E3783" i="5" s="1"/>
  <c r="F3784" i="5"/>
  <c r="E3784" i="5" s="1"/>
  <c r="F3785" i="5"/>
  <c r="E3785" i="5" s="1"/>
  <c r="F3786" i="5"/>
  <c r="E3786" i="5" s="1"/>
  <c r="F3787" i="5"/>
  <c r="E3787" i="5" s="1"/>
  <c r="F3788" i="5"/>
  <c r="E3788" i="5" s="1"/>
  <c r="F3789" i="5"/>
  <c r="E3789" i="5" s="1"/>
  <c r="F3790" i="5"/>
  <c r="E3790" i="5" s="1"/>
  <c r="F3791" i="5"/>
  <c r="E3791" i="5" s="1"/>
  <c r="F3792" i="5"/>
  <c r="E3792" i="5" s="1"/>
  <c r="F3793" i="5"/>
  <c r="E3793" i="5" s="1"/>
  <c r="F4050" i="5"/>
  <c r="E4050" i="5" s="1"/>
  <c r="F3794" i="5"/>
  <c r="E3794" i="5" s="1"/>
  <c r="F3915" i="5"/>
  <c r="E3915" i="5" s="1"/>
  <c r="F2589" i="5"/>
  <c r="E2589" i="5" s="1"/>
  <c r="F3798" i="5"/>
  <c r="E3798" i="5" s="1"/>
  <c r="F3799" i="5"/>
  <c r="E3799" i="5" s="1"/>
  <c r="F3800" i="5"/>
  <c r="E3800" i="5" s="1"/>
  <c r="F3801" i="5"/>
  <c r="E3801" i="5" s="1"/>
  <c r="F3802" i="5"/>
  <c r="E3802" i="5" s="1"/>
  <c r="F3803" i="5"/>
  <c r="E3803" i="5" s="1"/>
  <c r="F3804" i="5"/>
  <c r="E3804" i="5" s="1"/>
  <c r="F3805" i="5"/>
  <c r="E3805" i="5" s="1"/>
  <c r="F3806" i="5"/>
  <c r="E3806" i="5" s="1"/>
  <c r="F3807" i="5"/>
  <c r="E3807" i="5" s="1"/>
  <c r="F3808" i="5"/>
  <c r="E3808" i="5" s="1"/>
  <c r="F3809" i="5"/>
  <c r="E3809" i="5" s="1"/>
  <c r="F3810" i="5"/>
  <c r="E3810" i="5" s="1"/>
  <c r="F3811" i="5"/>
  <c r="E3811" i="5" s="1"/>
  <c r="F3812" i="5"/>
  <c r="E3812" i="5" s="1"/>
  <c r="F3813" i="5"/>
  <c r="E3813" i="5" s="1"/>
  <c r="F3814" i="5"/>
  <c r="E3814" i="5" s="1"/>
  <c r="F3815" i="5"/>
  <c r="E3815" i="5" s="1"/>
  <c r="F3816" i="5"/>
  <c r="E3816" i="5" s="1"/>
  <c r="F3817" i="5"/>
  <c r="E3817" i="5" s="1"/>
  <c r="F3818" i="5"/>
  <c r="E3818" i="5" s="1"/>
  <c r="F3819" i="5"/>
  <c r="E3819" i="5" s="1"/>
  <c r="F3820" i="5"/>
  <c r="E3820" i="5" s="1"/>
  <c r="F3821" i="5"/>
  <c r="E3821" i="5" s="1"/>
  <c r="F3822" i="5"/>
  <c r="E3822" i="5" s="1"/>
  <c r="F3823" i="5"/>
  <c r="E3823" i="5" s="1"/>
  <c r="F3824" i="5"/>
  <c r="E3824" i="5" s="1"/>
  <c r="F3825" i="5"/>
  <c r="E3825" i="5" s="1"/>
  <c r="F3826" i="5"/>
  <c r="E3826" i="5" s="1"/>
  <c r="F3827" i="5"/>
  <c r="E3827" i="5" s="1"/>
  <c r="F3986" i="5"/>
  <c r="E3986" i="5" s="1"/>
  <c r="F3828" i="5"/>
  <c r="E3828" i="5" s="1"/>
  <c r="F3829" i="5"/>
  <c r="E3829" i="5" s="1"/>
  <c r="F3830" i="5"/>
  <c r="E3830" i="5" s="1"/>
  <c r="F3831" i="5"/>
  <c r="E3831" i="5" s="1"/>
  <c r="F3832" i="5"/>
  <c r="E3832" i="5" s="1"/>
  <c r="F3833" i="5"/>
  <c r="E3833" i="5" s="1"/>
  <c r="F3834" i="5"/>
  <c r="E3834" i="5" s="1"/>
  <c r="F3835" i="5"/>
  <c r="E3835" i="5" s="1"/>
  <c r="F3836" i="5"/>
  <c r="E3836" i="5" s="1"/>
  <c r="F3837" i="5"/>
  <c r="E3837" i="5" s="1"/>
  <c r="F3838" i="5"/>
  <c r="E3838" i="5" s="1"/>
  <c r="F3839" i="5"/>
  <c r="E3839" i="5" s="1"/>
  <c r="F3840" i="5"/>
  <c r="E3840" i="5" s="1"/>
  <c r="F3841" i="5"/>
  <c r="E3841" i="5" s="1"/>
  <c r="F3842" i="5"/>
  <c r="E3842" i="5" s="1"/>
  <c r="F3843" i="5"/>
  <c r="E3843" i="5" s="1"/>
  <c r="F3844" i="5"/>
  <c r="E3844" i="5" s="1"/>
  <c r="F3845" i="5"/>
  <c r="E3845" i="5" s="1"/>
  <c r="F3846" i="5"/>
  <c r="E3846" i="5" s="1"/>
  <c r="F3847" i="5"/>
  <c r="E3847" i="5" s="1"/>
  <c r="F3848" i="5"/>
  <c r="E3848" i="5" s="1"/>
  <c r="F3849" i="5"/>
  <c r="E3849" i="5" s="1"/>
  <c r="F3850" i="5"/>
  <c r="E3850" i="5" s="1"/>
  <c r="F3851" i="5"/>
  <c r="E3851" i="5" s="1"/>
  <c r="F3852" i="5"/>
  <c r="E3852" i="5" s="1"/>
  <c r="F3853" i="5"/>
  <c r="E3853" i="5" s="1"/>
  <c r="F3854" i="5"/>
  <c r="E3854" i="5" s="1"/>
  <c r="F3855" i="5"/>
  <c r="E3855" i="5" s="1"/>
  <c r="F3856" i="5"/>
  <c r="E3856" i="5" s="1"/>
  <c r="F3857" i="5"/>
  <c r="E3857" i="5" s="1"/>
  <c r="F3858" i="5"/>
  <c r="E3858" i="5" s="1"/>
  <c r="F3859" i="5"/>
  <c r="E3859" i="5" s="1"/>
  <c r="F3860" i="5"/>
  <c r="E3860" i="5" s="1"/>
  <c r="F3861" i="5"/>
  <c r="E3861" i="5" s="1"/>
  <c r="F3862" i="5"/>
  <c r="E3862" i="5" s="1"/>
  <c r="F3863" i="5"/>
  <c r="E3863" i="5" s="1"/>
  <c r="F3864" i="5"/>
  <c r="E3864" i="5" s="1"/>
  <c r="F3865" i="5"/>
  <c r="E3865" i="5" s="1"/>
  <c r="F3866" i="5"/>
  <c r="E3866" i="5" s="1"/>
  <c r="F3867" i="5"/>
  <c r="E3867" i="5" s="1"/>
  <c r="F3868" i="5"/>
  <c r="E3868" i="5" s="1"/>
  <c r="F3869" i="5"/>
  <c r="E3869" i="5" s="1"/>
  <c r="F3870" i="5"/>
  <c r="E3870" i="5" s="1"/>
  <c r="F3871" i="5"/>
  <c r="E3871" i="5" s="1"/>
  <c r="F3872" i="5"/>
  <c r="E3872" i="5" s="1"/>
  <c r="F3873" i="5"/>
  <c r="E3873" i="5" s="1"/>
  <c r="F3874" i="5"/>
  <c r="E3874" i="5" s="1"/>
  <c r="F3875" i="5"/>
  <c r="E3875" i="5" s="1"/>
  <c r="F3876" i="5"/>
  <c r="E3876" i="5" s="1"/>
  <c r="F3877" i="5"/>
  <c r="E3877" i="5" s="1"/>
  <c r="F3878" i="5"/>
  <c r="E3878" i="5" s="1"/>
  <c r="F3879" i="5"/>
  <c r="E3879" i="5" s="1"/>
  <c r="F3880" i="5"/>
  <c r="E3880" i="5" s="1"/>
  <c r="F3881" i="5"/>
  <c r="E3881" i="5" s="1"/>
  <c r="F3882" i="5"/>
  <c r="E3882" i="5" s="1"/>
  <c r="F3883" i="5"/>
  <c r="E3883" i="5" s="1"/>
  <c r="F3884" i="5"/>
  <c r="E3884" i="5" s="1"/>
  <c r="F3885" i="5"/>
  <c r="E3885" i="5" s="1"/>
  <c r="F3886" i="5"/>
  <c r="E3886" i="5" s="1"/>
  <c r="F3887" i="5"/>
  <c r="E3887" i="5" s="1"/>
  <c r="F3888" i="5"/>
  <c r="E3888" i="5" s="1"/>
  <c r="F3889" i="5"/>
  <c r="E3889" i="5" s="1"/>
  <c r="F3890" i="5"/>
  <c r="E3890" i="5" s="1"/>
  <c r="F3891" i="5"/>
  <c r="E3891" i="5" s="1"/>
  <c r="F3892" i="5"/>
  <c r="E3892" i="5" s="1"/>
  <c r="F3893" i="5"/>
  <c r="E3893" i="5" s="1"/>
  <c r="F3894" i="5"/>
  <c r="E3894" i="5" s="1"/>
  <c r="F3895" i="5"/>
  <c r="E3895" i="5" s="1"/>
  <c r="F3896" i="5"/>
  <c r="E3896" i="5" s="1"/>
  <c r="F3897" i="5"/>
  <c r="E3897" i="5" s="1"/>
  <c r="F3898" i="5"/>
  <c r="E3898" i="5" s="1"/>
  <c r="F3899" i="5"/>
  <c r="E3899" i="5" s="1"/>
  <c r="F3900" i="5"/>
  <c r="E3900" i="5" s="1"/>
  <c r="F3901" i="5"/>
  <c r="E3901" i="5" s="1"/>
  <c r="F3902" i="5"/>
  <c r="E3902" i="5" s="1"/>
  <c r="F3903" i="5"/>
  <c r="E3903" i="5" s="1"/>
  <c r="F3904" i="5"/>
  <c r="E3904" i="5" s="1"/>
  <c r="F3905" i="5"/>
  <c r="E3905" i="5" s="1"/>
  <c r="F3906" i="5"/>
  <c r="E3906" i="5" s="1"/>
  <c r="F3907" i="5"/>
  <c r="E3907" i="5" s="1"/>
  <c r="F3908" i="5"/>
  <c r="E3908" i="5" s="1"/>
  <c r="F3909" i="5"/>
  <c r="E3909" i="5" s="1"/>
  <c r="F3910" i="5"/>
  <c r="E3910" i="5" s="1"/>
  <c r="F3948" i="5"/>
  <c r="E3948" i="5" s="1"/>
  <c r="F3949" i="5"/>
  <c r="E3949" i="5" s="1"/>
  <c r="F3911" i="5"/>
  <c r="E3911" i="5" s="1"/>
  <c r="F3916" i="5"/>
  <c r="E3916" i="5" s="1"/>
  <c r="F3917" i="5"/>
  <c r="E3917" i="5" s="1"/>
  <c r="F3918" i="5"/>
  <c r="E3918" i="5" s="1"/>
  <c r="F3919" i="5"/>
  <c r="E3919" i="5" s="1"/>
  <c r="F3920" i="5"/>
  <c r="E3920" i="5" s="1"/>
  <c r="F3921" i="5"/>
  <c r="E3921" i="5" s="1"/>
  <c r="F3922" i="5"/>
  <c r="E3922" i="5" s="1"/>
  <c r="F3923" i="5"/>
  <c r="E3923" i="5" s="1"/>
  <c r="F3924" i="5"/>
  <c r="E3924" i="5" s="1"/>
  <c r="F3925" i="5"/>
  <c r="E3925" i="5" s="1"/>
  <c r="F3926" i="5"/>
  <c r="E3926" i="5" s="1"/>
  <c r="F3927" i="5"/>
  <c r="E3927" i="5" s="1"/>
  <c r="F3928" i="5"/>
  <c r="E3928" i="5" s="1"/>
  <c r="F3929" i="5"/>
  <c r="E3929" i="5" s="1"/>
  <c r="F3930" i="5"/>
  <c r="E3930" i="5" s="1"/>
  <c r="F3931" i="5"/>
  <c r="E3931" i="5" s="1"/>
  <c r="F3932" i="5"/>
  <c r="E3932" i="5" s="1"/>
  <c r="F3933" i="5"/>
  <c r="E3933" i="5" s="1"/>
  <c r="F3934" i="5"/>
  <c r="E3934" i="5" s="1"/>
  <c r="F3935" i="5"/>
  <c r="E3935" i="5" s="1"/>
  <c r="F3936" i="5"/>
  <c r="E3936" i="5" s="1"/>
  <c r="F3937" i="5"/>
  <c r="E3937" i="5" s="1"/>
  <c r="F3938" i="5"/>
  <c r="E3938" i="5" s="1"/>
  <c r="F3939" i="5"/>
  <c r="E3939" i="5" s="1"/>
  <c r="F3940" i="5"/>
  <c r="E3940" i="5" s="1"/>
  <c r="F3941" i="5"/>
  <c r="E3941" i="5" s="1"/>
  <c r="F3942" i="5"/>
  <c r="E3942" i="5" s="1"/>
  <c r="F3943" i="5"/>
  <c r="E3943" i="5" s="1"/>
  <c r="F3944" i="5"/>
  <c r="E3944" i="5" s="1"/>
  <c r="F3945" i="5"/>
  <c r="E3945" i="5" s="1"/>
  <c r="F3950" i="5"/>
  <c r="E3950" i="5" s="1"/>
  <c r="F3951" i="5"/>
  <c r="E3951" i="5" s="1"/>
  <c r="F3952" i="5"/>
  <c r="E3952" i="5" s="1"/>
  <c r="F3953" i="5"/>
  <c r="E3953" i="5" s="1"/>
  <c r="F3954" i="5"/>
  <c r="E3954" i="5" s="1"/>
  <c r="F3955" i="5"/>
  <c r="E3955" i="5" s="1"/>
  <c r="F3956" i="5"/>
  <c r="E3956" i="5" s="1"/>
  <c r="F3957" i="5"/>
  <c r="E3957" i="5" s="1"/>
  <c r="F3958" i="5"/>
  <c r="E3958" i="5" s="1"/>
  <c r="F3959" i="5"/>
  <c r="E3959" i="5" s="1"/>
  <c r="F3960" i="5"/>
  <c r="E3960" i="5" s="1"/>
  <c r="F3961" i="5"/>
  <c r="E3961" i="5" s="1"/>
  <c r="F3962" i="5"/>
  <c r="E3962" i="5" s="1"/>
  <c r="F3946" i="5"/>
  <c r="E3946" i="5" s="1"/>
  <c r="F3795" i="5"/>
  <c r="E3795" i="5" s="1"/>
  <c r="F3912" i="5"/>
  <c r="E3912" i="5" s="1"/>
  <c r="F3963" i="5"/>
  <c r="E3963" i="5" s="1"/>
  <c r="F3964" i="5"/>
  <c r="E3964" i="5" s="1"/>
  <c r="F3965" i="5"/>
  <c r="E3965" i="5" s="1"/>
  <c r="F3966" i="5"/>
  <c r="E3966" i="5" s="1"/>
  <c r="F3967" i="5"/>
  <c r="E3967" i="5" s="1"/>
  <c r="F3968" i="5"/>
  <c r="E3968" i="5" s="1"/>
  <c r="F3969" i="5"/>
  <c r="E3969" i="5" s="1"/>
  <c r="F3970" i="5"/>
  <c r="E3970" i="5" s="1"/>
  <c r="F3971" i="5"/>
  <c r="E3971" i="5" s="1"/>
  <c r="F3972" i="5"/>
  <c r="E3972" i="5" s="1"/>
  <c r="F3973" i="5"/>
  <c r="E3973" i="5" s="1"/>
  <c r="F3974" i="5"/>
  <c r="E3974" i="5" s="1"/>
  <c r="F3975" i="5"/>
  <c r="E3975" i="5" s="1"/>
  <c r="F3976" i="5"/>
  <c r="E3976" i="5" s="1"/>
  <c r="F3977" i="5"/>
  <c r="E3977" i="5" s="1"/>
  <c r="F3978" i="5"/>
  <c r="E3978" i="5" s="1"/>
  <c r="F3979" i="5"/>
  <c r="E3979" i="5" s="1"/>
  <c r="F3980" i="5"/>
  <c r="E3980" i="5" s="1"/>
  <c r="F3981" i="5"/>
  <c r="E3981" i="5" s="1"/>
  <c r="F3982" i="5"/>
  <c r="E3982" i="5" s="1"/>
  <c r="F3983" i="5"/>
  <c r="E3983" i="5" s="1"/>
  <c r="F3984" i="5"/>
  <c r="E3984" i="5" s="1"/>
  <c r="F2609" i="5"/>
  <c r="E2609" i="5" s="1"/>
  <c r="F3987" i="5"/>
  <c r="E3987" i="5" s="1"/>
  <c r="F3988" i="5"/>
  <c r="E3988" i="5" s="1"/>
  <c r="F3989" i="5"/>
  <c r="E3989" i="5" s="1"/>
  <c r="F3990" i="5"/>
  <c r="E3990" i="5" s="1"/>
  <c r="F3991" i="5"/>
  <c r="E3991" i="5" s="1"/>
  <c r="F3992" i="5"/>
  <c r="E3992" i="5" s="1"/>
  <c r="F3993" i="5"/>
  <c r="E3993" i="5" s="1"/>
  <c r="F3994" i="5"/>
  <c r="E3994" i="5" s="1"/>
  <c r="F3995" i="5"/>
  <c r="E3995" i="5" s="1"/>
  <c r="F3996" i="5"/>
  <c r="E3996" i="5" s="1"/>
  <c r="F3997" i="5"/>
  <c r="E3997" i="5" s="1"/>
  <c r="F3998" i="5"/>
  <c r="E3998" i="5" s="1"/>
  <c r="F3999" i="5"/>
  <c r="E3999" i="5" s="1"/>
  <c r="F4000" i="5"/>
  <c r="E4000" i="5" s="1"/>
  <c r="F4001" i="5"/>
  <c r="E4001" i="5" s="1"/>
  <c r="F4002" i="5"/>
  <c r="E4002" i="5" s="1"/>
  <c r="F4003" i="5"/>
  <c r="E4003" i="5" s="1"/>
  <c r="F4004" i="5"/>
  <c r="E4004" i="5" s="1"/>
  <c r="F4005" i="5"/>
  <c r="E4005" i="5" s="1"/>
  <c r="F4006" i="5"/>
  <c r="E4006" i="5" s="1"/>
  <c r="F4007" i="5"/>
  <c r="E4007" i="5" s="1"/>
  <c r="F4008" i="5"/>
  <c r="E4008" i="5" s="1"/>
  <c r="F4009" i="5"/>
  <c r="E4009" i="5" s="1"/>
  <c r="F4010" i="5"/>
  <c r="E4010" i="5" s="1"/>
  <c r="F4011" i="5"/>
  <c r="E4011" i="5" s="1"/>
  <c r="F4012" i="5"/>
  <c r="E4012" i="5" s="1"/>
  <c r="F4013" i="5"/>
  <c r="E4013" i="5" s="1"/>
  <c r="F4014" i="5"/>
  <c r="E4014" i="5" s="1"/>
  <c r="F4015" i="5"/>
  <c r="E4015" i="5" s="1"/>
  <c r="F4016" i="5"/>
  <c r="E4016" i="5" s="1"/>
  <c r="F4017" i="5"/>
  <c r="E4017" i="5" s="1"/>
  <c r="F4018" i="5"/>
  <c r="E4018" i="5" s="1"/>
  <c r="F4019" i="5"/>
  <c r="E4019" i="5" s="1"/>
  <c r="F4020" i="5"/>
  <c r="E4020" i="5" s="1"/>
  <c r="F4021" i="5"/>
  <c r="E4021" i="5" s="1"/>
  <c r="F4022" i="5"/>
  <c r="E4022" i="5" s="1"/>
  <c r="F4023" i="5"/>
  <c r="E4023" i="5" s="1"/>
  <c r="F4024" i="5"/>
  <c r="E4024" i="5" s="1"/>
  <c r="F4025" i="5"/>
  <c r="E4025" i="5" s="1"/>
  <c r="F4026" i="5"/>
  <c r="E4026" i="5" s="1"/>
  <c r="F4027" i="5"/>
  <c r="E4027" i="5" s="1"/>
  <c r="F4028" i="5"/>
  <c r="E4028" i="5" s="1"/>
  <c r="F4029" i="5"/>
  <c r="E4029" i="5" s="1"/>
  <c r="F4030" i="5"/>
  <c r="E4030" i="5" s="1"/>
  <c r="F4031" i="5"/>
  <c r="E4031" i="5" s="1"/>
  <c r="F4032" i="5"/>
  <c r="E4032" i="5" s="1"/>
  <c r="F4033" i="5"/>
  <c r="E4033" i="5" s="1"/>
  <c r="F4034" i="5"/>
  <c r="E4034" i="5" s="1"/>
  <c r="F4035" i="5"/>
  <c r="E4035" i="5" s="1"/>
  <c r="F4036" i="5"/>
  <c r="E4036" i="5" s="1"/>
  <c r="F4037" i="5"/>
  <c r="E4037" i="5" s="1"/>
  <c r="F4038" i="5"/>
  <c r="E4038" i="5" s="1"/>
  <c r="F4039" i="5"/>
  <c r="E4039" i="5" s="1"/>
  <c r="F4040" i="5"/>
  <c r="E4040" i="5" s="1"/>
  <c r="F4041" i="5"/>
  <c r="E4041" i="5" s="1"/>
  <c r="F4042" i="5"/>
  <c r="E4042" i="5" s="1"/>
  <c r="F4043" i="5"/>
  <c r="E4043" i="5" s="1"/>
  <c r="F4044" i="5"/>
  <c r="E4044" i="5" s="1"/>
  <c r="F4045" i="5"/>
  <c r="E4045" i="5" s="1"/>
  <c r="F4046" i="5"/>
  <c r="E4046" i="5" s="1"/>
  <c r="F4047" i="5"/>
  <c r="E4047" i="5" s="1"/>
  <c r="F4048" i="5"/>
  <c r="E4048" i="5" s="1"/>
  <c r="F4051" i="5"/>
  <c r="E4051" i="5" s="1"/>
  <c r="F4052" i="5"/>
  <c r="E4052" i="5" s="1"/>
  <c r="F4053" i="5"/>
  <c r="E4053" i="5" s="1"/>
  <c r="F4054" i="5"/>
  <c r="E4054" i="5" s="1"/>
  <c r="F4055" i="5"/>
  <c r="E4055" i="5" s="1"/>
  <c r="F4056" i="5"/>
  <c r="E4056" i="5" s="1"/>
  <c r="F4057" i="5"/>
  <c r="E4057" i="5" s="1"/>
  <c r="F4058" i="5"/>
  <c r="E4058" i="5" s="1"/>
  <c r="F4059" i="5"/>
  <c r="E4059" i="5" s="1"/>
  <c r="F4060" i="5"/>
  <c r="E4060" i="5" s="1"/>
  <c r="F4061" i="5"/>
  <c r="E4061" i="5" s="1"/>
  <c r="F4062" i="5"/>
  <c r="E4062" i="5" s="1"/>
  <c r="F4063" i="5"/>
  <c r="E4063" i="5" s="1"/>
  <c r="F4064" i="5"/>
  <c r="E4064" i="5" s="1"/>
  <c r="F4065" i="5"/>
  <c r="E4065" i="5" s="1"/>
  <c r="F4066" i="5"/>
  <c r="E4066" i="5" s="1"/>
  <c r="F4067" i="5"/>
  <c r="E4067" i="5" s="1"/>
  <c r="F4068" i="5"/>
  <c r="E4068" i="5" s="1"/>
  <c r="F4069" i="5"/>
  <c r="E4069" i="5" s="1"/>
  <c r="F4070" i="5"/>
  <c r="E4070" i="5" s="1"/>
  <c r="F4071" i="5"/>
  <c r="E4071" i="5" s="1"/>
  <c r="F4072" i="5"/>
  <c r="E4072" i="5" s="1"/>
  <c r="F4073" i="5"/>
  <c r="E4073" i="5" s="1"/>
  <c r="F4074" i="5"/>
  <c r="E4074" i="5" s="1"/>
  <c r="F4075" i="5"/>
  <c r="E4075" i="5" s="1"/>
  <c r="F4076" i="5"/>
  <c r="E4076" i="5" s="1"/>
  <c r="F4077" i="5"/>
  <c r="E4077" i="5" s="1"/>
  <c r="F4078" i="5"/>
  <c r="E4078" i="5" s="1"/>
  <c r="F4079" i="5"/>
  <c r="E4079" i="5" s="1"/>
  <c r="F4080" i="5"/>
  <c r="E4080" i="5" s="1"/>
  <c r="F4081" i="5"/>
  <c r="E4081" i="5" s="1"/>
  <c r="F4082" i="5"/>
  <c r="E4082" i="5" s="1"/>
  <c r="F4083" i="5"/>
  <c r="E4083" i="5" s="1"/>
  <c r="F4084" i="5"/>
  <c r="E4084" i="5" s="1"/>
  <c r="F4085" i="5"/>
  <c r="E4085" i="5" s="1"/>
  <c r="F4086" i="5"/>
  <c r="E4086" i="5" s="1"/>
  <c r="F4087" i="5"/>
  <c r="E4087" i="5" s="1"/>
  <c r="F4088" i="5"/>
  <c r="E4088" i="5" s="1"/>
  <c r="F4089" i="5"/>
  <c r="E4089" i="5" s="1"/>
  <c r="F4090" i="5"/>
  <c r="E4090" i="5" s="1"/>
  <c r="F4091" i="5"/>
  <c r="E4091" i="5" s="1"/>
  <c r="F4092" i="5"/>
  <c r="E4092" i="5" s="1"/>
  <c r="F4093" i="5"/>
  <c r="E4093" i="5" s="1"/>
  <c r="F4094" i="5"/>
  <c r="E4094" i="5" s="1"/>
  <c r="F4095" i="5"/>
  <c r="E4095" i="5" s="1"/>
  <c r="F4096" i="5"/>
  <c r="E4096" i="5" s="1"/>
  <c r="F4097" i="5"/>
  <c r="E4097" i="5" s="1"/>
  <c r="F4098" i="5"/>
  <c r="E4098" i="5" s="1"/>
  <c r="F4099" i="5"/>
  <c r="E4099" i="5" s="1"/>
  <c r="F4100" i="5"/>
  <c r="E4100" i="5" s="1"/>
  <c r="F4101" i="5"/>
  <c r="E4101" i="5" s="1"/>
  <c r="F4102" i="5"/>
  <c r="E4102" i="5" s="1"/>
  <c r="F3796" i="5"/>
  <c r="E3796" i="5" s="1"/>
  <c r="F3913" i="5"/>
  <c r="E3913" i="5" s="1"/>
  <c r="F3947" i="5"/>
  <c r="E3947" i="5" s="1"/>
  <c r="F3914" i="5"/>
  <c r="E3914" i="5" s="1"/>
  <c r="F3985" i="5"/>
  <c r="E3985" i="5" s="1"/>
  <c r="F3570" i="5"/>
  <c r="E3570" i="5" s="1"/>
  <c r="F4049" i="5"/>
  <c r="E4049" i="5" s="1"/>
  <c r="F4103" i="5"/>
  <c r="E4103" i="5" s="1"/>
  <c r="F4104" i="5"/>
  <c r="E4104" i="5" s="1"/>
  <c r="F4105" i="5"/>
  <c r="E4105" i="5" s="1"/>
  <c r="F4106" i="5"/>
  <c r="E4106" i="5" s="1"/>
  <c r="F4107" i="5"/>
  <c r="E4107" i="5" s="1"/>
  <c r="F4108" i="5"/>
  <c r="E4108" i="5" s="1"/>
  <c r="F4109" i="5"/>
  <c r="E4109" i="5" s="1"/>
  <c r="F4110" i="5"/>
  <c r="E4110" i="5" s="1"/>
  <c r="F4111" i="5"/>
  <c r="E4111" i="5" s="1"/>
  <c r="F4112" i="5"/>
  <c r="E4112" i="5" s="1"/>
  <c r="F4113" i="5"/>
  <c r="E4113" i="5" s="1"/>
  <c r="F4114" i="5"/>
  <c r="E4114" i="5" s="1"/>
  <c r="F4115" i="5"/>
  <c r="E4115" i="5" s="1"/>
  <c r="F4116" i="5"/>
  <c r="E4116" i="5" s="1"/>
  <c r="F4117" i="5"/>
  <c r="E4117" i="5" s="1"/>
  <c r="F4118" i="5"/>
  <c r="E4118" i="5" s="1"/>
  <c r="F4119" i="5"/>
  <c r="E4119" i="5" s="1"/>
  <c r="F4120" i="5"/>
  <c r="E4120" i="5" s="1"/>
  <c r="F4121" i="5"/>
  <c r="E4121" i="5" s="1"/>
  <c r="F4122" i="5"/>
  <c r="E4122" i="5" s="1"/>
  <c r="F4123" i="5"/>
  <c r="E4123" i="5" s="1"/>
  <c r="F4124" i="5"/>
  <c r="E4124" i="5" s="1"/>
  <c r="F4125" i="5"/>
  <c r="E4125" i="5" s="1"/>
  <c r="F4126" i="5"/>
  <c r="E4126" i="5" s="1"/>
  <c r="F4127" i="5"/>
  <c r="E4127" i="5" s="1"/>
  <c r="F4128" i="5"/>
  <c r="E4128" i="5" s="1"/>
  <c r="F4129" i="5"/>
  <c r="E4129" i="5" s="1"/>
  <c r="F4130" i="5"/>
  <c r="E4130" i="5" s="1"/>
  <c r="F4131" i="5"/>
  <c r="E4131" i="5" s="1"/>
  <c r="F4132" i="5"/>
  <c r="E4132" i="5" s="1"/>
  <c r="F4133" i="5"/>
  <c r="E4133" i="5" s="1"/>
  <c r="F4134" i="5"/>
  <c r="E4134" i="5" s="1"/>
  <c r="F4135" i="5"/>
  <c r="E4135" i="5" s="1"/>
  <c r="F4136" i="5"/>
  <c r="E4136" i="5" s="1"/>
  <c r="F4137" i="5"/>
  <c r="E4137" i="5" s="1"/>
  <c r="F4138" i="5"/>
  <c r="E4138" i="5" s="1"/>
  <c r="F4139" i="5"/>
  <c r="E4139" i="5" s="1"/>
  <c r="F4140" i="5"/>
  <c r="E4140" i="5" s="1"/>
  <c r="F4141" i="5"/>
  <c r="E4141" i="5" s="1"/>
  <c r="F4366" i="5"/>
  <c r="E4366" i="5" s="1"/>
  <c r="F4323" i="5"/>
  <c r="E4323" i="5" s="1"/>
  <c r="F4324" i="5"/>
  <c r="E4324" i="5" s="1"/>
  <c r="F4142" i="5"/>
  <c r="E4142" i="5" s="1"/>
  <c r="F4143" i="5"/>
  <c r="E4143" i="5" s="1"/>
  <c r="F4144" i="5"/>
  <c r="E4144" i="5" s="1"/>
  <c r="F4145" i="5"/>
  <c r="E4145" i="5" s="1"/>
  <c r="F4146" i="5"/>
  <c r="E4146" i="5" s="1"/>
  <c r="F4147" i="5"/>
  <c r="E4147" i="5" s="1"/>
  <c r="F4148" i="5"/>
  <c r="E4148" i="5" s="1"/>
  <c r="F4149" i="5"/>
  <c r="E4149" i="5" s="1"/>
  <c r="F4150" i="5"/>
  <c r="E4150" i="5" s="1"/>
  <c r="F4151" i="5"/>
  <c r="E4151" i="5" s="1"/>
  <c r="F4152" i="5"/>
  <c r="E4152" i="5" s="1"/>
  <c r="F4153" i="5"/>
  <c r="E4153" i="5" s="1"/>
  <c r="F4154" i="5"/>
  <c r="E4154" i="5" s="1"/>
  <c r="F4155" i="5"/>
  <c r="E4155" i="5" s="1"/>
  <c r="F4156" i="5"/>
  <c r="E4156" i="5" s="1"/>
  <c r="F4157" i="5"/>
  <c r="E4157" i="5" s="1"/>
  <c r="F4158" i="5"/>
  <c r="E4158" i="5" s="1"/>
  <c r="F4159" i="5"/>
  <c r="E4159" i="5" s="1"/>
  <c r="F4160" i="5"/>
  <c r="E4160" i="5" s="1"/>
  <c r="F4161" i="5"/>
  <c r="E4161" i="5" s="1"/>
  <c r="F4162" i="5"/>
  <c r="E4162" i="5" s="1"/>
  <c r="F4163" i="5"/>
  <c r="E4163" i="5" s="1"/>
  <c r="F4164" i="5"/>
  <c r="E4164" i="5" s="1"/>
  <c r="F4167" i="5"/>
  <c r="E4167" i="5" s="1"/>
  <c r="F4168" i="5"/>
  <c r="E4168" i="5" s="1"/>
  <c r="F4169" i="5"/>
  <c r="E4169" i="5" s="1"/>
  <c r="F4170" i="5"/>
  <c r="E4170" i="5" s="1"/>
  <c r="F4171" i="5"/>
  <c r="E4171" i="5" s="1"/>
  <c r="F4172" i="5"/>
  <c r="E4172" i="5" s="1"/>
  <c r="F4173" i="5"/>
  <c r="E4173" i="5" s="1"/>
  <c r="F4174" i="5"/>
  <c r="E4174" i="5" s="1"/>
  <c r="F4175" i="5"/>
  <c r="E4175" i="5" s="1"/>
  <c r="F4176" i="5"/>
  <c r="E4176" i="5" s="1"/>
  <c r="F4177" i="5"/>
  <c r="E4177" i="5" s="1"/>
  <c r="F4178" i="5"/>
  <c r="E4178" i="5" s="1"/>
  <c r="F4179" i="5"/>
  <c r="E4179" i="5" s="1"/>
  <c r="F4180" i="5"/>
  <c r="E4180" i="5" s="1"/>
  <c r="F4181" i="5"/>
  <c r="E4181" i="5" s="1"/>
  <c r="F4182" i="5"/>
  <c r="E4182" i="5" s="1"/>
  <c r="F4183" i="5"/>
  <c r="E4183" i="5" s="1"/>
  <c r="F4184" i="5"/>
  <c r="E4184" i="5" s="1"/>
  <c r="F4185" i="5"/>
  <c r="E4185" i="5" s="1"/>
  <c r="F4186" i="5"/>
  <c r="E4186" i="5" s="1"/>
  <c r="F4187" i="5"/>
  <c r="E4187" i="5" s="1"/>
  <c r="F4188" i="5"/>
  <c r="E4188" i="5" s="1"/>
  <c r="F4189" i="5"/>
  <c r="E4189" i="5" s="1"/>
  <c r="F4190" i="5"/>
  <c r="E4190" i="5" s="1"/>
  <c r="F4191" i="5"/>
  <c r="E4191" i="5" s="1"/>
  <c r="F4192" i="5"/>
  <c r="E4192" i="5" s="1"/>
  <c r="F4193" i="5"/>
  <c r="E4193" i="5" s="1"/>
  <c r="F4194" i="5"/>
  <c r="E4194" i="5" s="1"/>
  <c r="F4195" i="5"/>
  <c r="E4195" i="5" s="1"/>
  <c r="F4196" i="5"/>
  <c r="E4196" i="5" s="1"/>
  <c r="F4197" i="5"/>
  <c r="E4197" i="5" s="1"/>
  <c r="F4198" i="5"/>
  <c r="E4198" i="5" s="1"/>
  <c r="F4199" i="5"/>
  <c r="E4199" i="5" s="1"/>
  <c r="F4200" i="5"/>
  <c r="E4200" i="5" s="1"/>
  <c r="F4201" i="5"/>
  <c r="E4201" i="5" s="1"/>
  <c r="F4202" i="5"/>
  <c r="E4202" i="5" s="1"/>
  <c r="F4203" i="5"/>
  <c r="E4203" i="5" s="1"/>
  <c r="F4204" i="5"/>
  <c r="E4204" i="5" s="1"/>
  <c r="F4205" i="5"/>
  <c r="E4205" i="5" s="1"/>
  <c r="F4206" i="5"/>
  <c r="E4206" i="5" s="1"/>
  <c r="F4207" i="5"/>
  <c r="E4207" i="5" s="1"/>
  <c r="F4208" i="5"/>
  <c r="E4208" i="5" s="1"/>
  <c r="F4209" i="5"/>
  <c r="E4209" i="5" s="1"/>
  <c r="F4210" i="5"/>
  <c r="E4210" i="5" s="1"/>
  <c r="F4211" i="5"/>
  <c r="E4211" i="5" s="1"/>
  <c r="F4212" i="5"/>
  <c r="E4212" i="5" s="1"/>
  <c r="F4213" i="5"/>
  <c r="E4213" i="5" s="1"/>
  <c r="F4214" i="5"/>
  <c r="E4214" i="5" s="1"/>
  <c r="F4215" i="5"/>
  <c r="E4215" i="5" s="1"/>
  <c r="F4216" i="5"/>
  <c r="E4216" i="5" s="1"/>
  <c r="F4217" i="5"/>
  <c r="E4217" i="5" s="1"/>
  <c r="F4218" i="5"/>
  <c r="E4218" i="5" s="1"/>
  <c r="F4219" i="5"/>
  <c r="E4219" i="5" s="1"/>
  <c r="F4220" i="5"/>
  <c r="E4220" i="5" s="1"/>
  <c r="F4221" i="5"/>
  <c r="E4221" i="5" s="1"/>
  <c r="F4222" i="5"/>
  <c r="E4222" i="5" s="1"/>
  <c r="F4223" i="5"/>
  <c r="E4223" i="5" s="1"/>
  <c r="F4224" i="5"/>
  <c r="E4224" i="5" s="1"/>
  <c r="F4225" i="5"/>
  <c r="E4225" i="5" s="1"/>
  <c r="F4226" i="5"/>
  <c r="E4226" i="5" s="1"/>
  <c r="F4227" i="5"/>
  <c r="E4227" i="5" s="1"/>
  <c r="F4228" i="5"/>
  <c r="E4228" i="5" s="1"/>
  <c r="F4229" i="5"/>
  <c r="E4229" i="5" s="1"/>
  <c r="F4230" i="5"/>
  <c r="E4230" i="5" s="1"/>
  <c r="F4231" i="5"/>
  <c r="E4231" i="5" s="1"/>
  <c r="F4232" i="5"/>
  <c r="E4232" i="5" s="1"/>
  <c r="F4233" i="5"/>
  <c r="E4233" i="5" s="1"/>
  <c r="F4234" i="5"/>
  <c r="E4234" i="5" s="1"/>
  <c r="F4235" i="5"/>
  <c r="E4235" i="5" s="1"/>
  <c r="F4236" i="5"/>
  <c r="E4236" i="5" s="1"/>
  <c r="F4237" i="5"/>
  <c r="E4237" i="5" s="1"/>
  <c r="F4238" i="5"/>
  <c r="E4238" i="5" s="1"/>
  <c r="F4239" i="5"/>
  <c r="E4239" i="5" s="1"/>
  <c r="F4240" i="5"/>
  <c r="E4240" i="5" s="1"/>
  <c r="F4241" i="5"/>
  <c r="E4241" i="5" s="1"/>
  <c r="F4242" i="5"/>
  <c r="E4242" i="5" s="1"/>
  <c r="F4243" i="5"/>
  <c r="E4243" i="5" s="1"/>
  <c r="F4244" i="5"/>
  <c r="E4244" i="5" s="1"/>
  <c r="F4245" i="5"/>
  <c r="E4245" i="5" s="1"/>
  <c r="F4246" i="5"/>
  <c r="E4246" i="5" s="1"/>
  <c r="F4247" i="5"/>
  <c r="E4247" i="5" s="1"/>
  <c r="F4248" i="5"/>
  <c r="E4248" i="5" s="1"/>
  <c r="F4249" i="5"/>
  <c r="E4249" i="5" s="1"/>
  <c r="F4250" i="5"/>
  <c r="E4250" i="5" s="1"/>
  <c r="F4251" i="5"/>
  <c r="E4251" i="5" s="1"/>
  <c r="F4252" i="5"/>
  <c r="E4252" i="5" s="1"/>
  <c r="F4253" i="5"/>
  <c r="E4253" i="5" s="1"/>
  <c r="F4254" i="5"/>
  <c r="E4254" i="5" s="1"/>
  <c r="F4255" i="5"/>
  <c r="E4255" i="5" s="1"/>
  <c r="F4256" i="5"/>
  <c r="E4256" i="5" s="1"/>
  <c r="F4257" i="5"/>
  <c r="E4257" i="5" s="1"/>
  <c r="F4258" i="5"/>
  <c r="E4258" i="5" s="1"/>
  <c r="F4259" i="5"/>
  <c r="E4259" i="5" s="1"/>
  <c r="F4260" i="5"/>
  <c r="E4260" i="5" s="1"/>
  <c r="F4261" i="5"/>
  <c r="E4261" i="5" s="1"/>
  <c r="F4262" i="5"/>
  <c r="E4262" i="5" s="1"/>
  <c r="F4263" i="5"/>
  <c r="E4263" i="5" s="1"/>
  <c r="F4264" i="5"/>
  <c r="E4264" i="5" s="1"/>
  <c r="F4265" i="5"/>
  <c r="E4265" i="5" s="1"/>
  <c r="F4266" i="5"/>
  <c r="E4266" i="5" s="1"/>
  <c r="F4267" i="5"/>
  <c r="E4267" i="5" s="1"/>
  <c r="F4268" i="5"/>
  <c r="E4268" i="5" s="1"/>
  <c r="F4269" i="5"/>
  <c r="E4269" i="5" s="1"/>
  <c r="F4270" i="5"/>
  <c r="E4270" i="5" s="1"/>
  <c r="F4271" i="5"/>
  <c r="E4271" i="5" s="1"/>
  <c r="F4272" i="5"/>
  <c r="E4272" i="5" s="1"/>
  <c r="F4273" i="5"/>
  <c r="E4273" i="5" s="1"/>
  <c r="F4274" i="5"/>
  <c r="E4274" i="5" s="1"/>
  <c r="F4275" i="5"/>
  <c r="E4275" i="5" s="1"/>
  <c r="F4276" i="5"/>
  <c r="E4276" i="5" s="1"/>
  <c r="F4277" i="5"/>
  <c r="E4277" i="5" s="1"/>
  <c r="F4278" i="5"/>
  <c r="E4278" i="5" s="1"/>
  <c r="F4279" i="5"/>
  <c r="E4279" i="5" s="1"/>
  <c r="F4280" i="5"/>
  <c r="E4280" i="5" s="1"/>
  <c r="F4281" i="5"/>
  <c r="E4281" i="5" s="1"/>
  <c r="F4282" i="5"/>
  <c r="E4282" i="5" s="1"/>
  <c r="F4283" i="5"/>
  <c r="E4283" i="5" s="1"/>
  <c r="F4284" i="5"/>
  <c r="E4284" i="5" s="1"/>
  <c r="F4285" i="5"/>
  <c r="E4285" i="5" s="1"/>
  <c r="F4286" i="5"/>
  <c r="E4286" i="5" s="1"/>
  <c r="F4165" i="5"/>
  <c r="E4165" i="5" s="1"/>
  <c r="F4287" i="5"/>
  <c r="E4287" i="5" s="1"/>
  <c r="F4288" i="5"/>
  <c r="E4288" i="5" s="1"/>
  <c r="F4289" i="5"/>
  <c r="E4289" i="5" s="1"/>
  <c r="F4290" i="5"/>
  <c r="E4290" i="5" s="1"/>
  <c r="F5218" i="5"/>
  <c r="E5218" i="5" s="1"/>
  <c r="F4291" i="5"/>
  <c r="E4291" i="5" s="1"/>
  <c r="F4292" i="5"/>
  <c r="E4292" i="5" s="1"/>
  <c r="F4293" i="5"/>
  <c r="E4293" i="5" s="1"/>
  <c r="F4294" i="5"/>
  <c r="E4294" i="5" s="1"/>
  <c r="F4295" i="5"/>
  <c r="E4295" i="5" s="1"/>
  <c r="F4296" i="5"/>
  <c r="E4296" i="5" s="1"/>
  <c r="F4297" i="5"/>
  <c r="E4297" i="5" s="1"/>
  <c r="F4298" i="5"/>
  <c r="E4298" i="5" s="1"/>
  <c r="F4299" i="5"/>
  <c r="E4299" i="5" s="1"/>
  <c r="F4300" i="5"/>
  <c r="E4300" i="5" s="1"/>
  <c r="F4301" i="5"/>
  <c r="E4301" i="5" s="1"/>
  <c r="F4302" i="5"/>
  <c r="E4302" i="5" s="1"/>
  <c r="F4303" i="5"/>
  <c r="E4303" i="5" s="1"/>
  <c r="F4304" i="5"/>
  <c r="E4304" i="5" s="1"/>
  <c r="F4305" i="5"/>
  <c r="E4305" i="5" s="1"/>
  <c r="F4306" i="5"/>
  <c r="E4306" i="5" s="1"/>
  <c r="F4307" i="5"/>
  <c r="E4307" i="5" s="1"/>
  <c r="F4308" i="5"/>
  <c r="E4308" i="5" s="1"/>
  <c r="F4309" i="5"/>
  <c r="E4309" i="5" s="1"/>
  <c r="F4310" i="5"/>
  <c r="E4310" i="5" s="1"/>
  <c r="F4311" i="5"/>
  <c r="E4311" i="5" s="1"/>
  <c r="F4312" i="5"/>
  <c r="E4312" i="5" s="1"/>
  <c r="F4313" i="5"/>
  <c r="E4313" i="5" s="1"/>
  <c r="F4314" i="5"/>
  <c r="E4314" i="5" s="1"/>
  <c r="F4315" i="5"/>
  <c r="E4315" i="5" s="1"/>
  <c r="F4316" i="5"/>
  <c r="E4316" i="5" s="1"/>
  <c r="F4317" i="5"/>
  <c r="E4317" i="5" s="1"/>
  <c r="F4318" i="5"/>
  <c r="E4318" i="5" s="1"/>
  <c r="F4319" i="5"/>
  <c r="E4319" i="5" s="1"/>
  <c r="F4320" i="5"/>
  <c r="E4320" i="5" s="1"/>
  <c r="F4321" i="5"/>
  <c r="E4321" i="5" s="1"/>
  <c r="F4325" i="5"/>
  <c r="E4325" i="5" s="1"/>
  <c r="F4326" i="5"/>
  <c r="E4326" i="5" s="1"/>
  <c r="F4327" i="5"/>
  <c r="E4327" i="5" s="1"/>
  <c r="F4328" i="5"/>
  <c r="E4328" i="5" s="1"/>
  <c r="F4329" i="5"/>
  <c r="E4329" i="5" s="1"/>
  <c r="F4330" i="5"/>
  <c r="E4330" i="5" s="1"/>
  <c r="F4331" i="5"/>
  <c r="E4331" i="5" s="1"/>
  <c r="F4332" i="5"/>
  <c r="E4332" i="5" s="1"/>
  <c r="F4333" i="5"/>
  <c r="E4333" i="5" s="1"/>
  <c r="F4334" i="5"/>
  <c r="E4334" i="5" s="1"/>
  <c r="F4367" i="5"/>
  <c r="E4367" i="5" s="1"/>
  <c r="F4166" i="5"/>
  <c r="E4166" i="5" s="1"/>
  <c r="F4368" i="5"/>
  <c r="E4368" i="5" s="1"/>
  <c r="F4335" i="5"/>
  <c r="E4335" i="5" s="1"/>
  <c r="F4336" i="5"/>
  <c r="E4336" i="5" s="1"/>
  <c r="F4337" i="5"/>
  <c r="E4337" i="5" s="1"/>
  <c r="F4338" i="5"/>
  <c r="E4338" i="5" s="1"/>
  <c r="F4339" i="5"/>
  <c r="E4339" i="5" s="1"/>
  <c r="F4340" i="5"/>
  <c r="E4340" i="5" s="1"/>
  <c r="F4341" i="5"/>
  <c r="E4341" i="5" s="1"/>
  <c r="F4342" i="5"/>
  <c r="E4342" i="5" s="1"/>
  <c r="F4343" i="5"/>
  <c r="E4343" i="5" s="1"/>
  <c r="F4344" i="5"/>
  <c r="E4344" i="5" s="1"/>
  <c r="F4345" i="5"/>
  <c r="E4345" i="5" s="1"/>
  <c r="F4346" i="5"/>
  <c r="E4346" i="5" s="1"/>
  <c r="F4347" i="5"/>
  <c r="E4347" i="5" s="1"/>
  <c r="F4348" i="5"/>
  <c r="E4348" i="5" s="1"/>
  <c r="F4349" i="5"/>
  <c r="E4349" i="5" s="1"/>
  <c r="F4350" i="5"/>
  <c r="E4350" i="5" s="1"/>
  <c r="F4351" i="5"/>
  <c r="E4351" i="5" s="1"/>
  <c r="F4352" i="5"/>
  <c r="E4352" i="5" s="1"/>
  <c r="F4353" i="5"/>
  <c r="E4353" i="5" s="1"/>
  <c r="F4369" i="5"/>
  <c r="E4369" i="5" s="1"/>
  <c r="F4354" i="5"/>
  <c r="E4354" i="5" s="1"/>
  <c r="F4355" i="5"/>
  <c r="E4355" i="5" s="1"/>
  <c r="F4356" i="5"/>
  <c r="E4356" i="5" s="1"/>
  <c r="F4357" i="5"/>
  <c r="E4357" i="5" s="1"/>
  <c r="F4358" i="5"/>
  <c r="E4358" i="5" s="1"/>
  <c r="F4359" i="5"/>
  <c r="E4359" i="5" s="1"/>
  <c r="F4360" i="5"/>
  <c r="E4360" i="5" s="1"/>
  <c r="F4361" i="5"/>
  <c r="E4361" i="5" s="1"/>
  <c r="F4370" i="5"/>
  <c r="E4370" i="5" s="1"/>
  <c r="F4371" i="5"/>
  <c r="E4371" i="5" s="1"/>
  <c r="F4372" i="5"/>
  <c r="E4372" i="5" s="1"/>
  <c r="F4373" i="5"/>
  <c r="E4373" i="5" s="1"/>
  <c r="F4374" i="5"/>
  <c r="E4374" i="5" s="1"/>
  <c r="F4375" i="5"/>
  <c r="E4375" i="5" s="1"/>
  <c r="F4376" i="5"/>
  <c r="E4376" i="5" s="1"/>
  <c r="F4377" i="5"/>
  <c r="E4377" i="5" s="1"/>
  <c r="F4378" i="5"/>
  <c r="E4378" i="5" s="1"/>
  <c r="F4379" i="5"/>
  <c r="E4379" i="5" s="1"/>
  <c r="F4380" i="5"/>
  <c r="E4380" i="5" s="1"/>
  <c r="F4381" i="5"/>
  <c r="E4381" i="5" s="1"/>
  <c r="F4382" i="5"/>
  <c r="E4382" i="5" s="1"/>
  <c r="F4383" i="5"/>
  <c r="E4383" i="5" s="1"/>
  <c r="F4384" i="5"/>
  <c r="E4384" i="5" s="1"/>
  <c r="F4385" i="5"/>
  <c r="E4385" i="5" s="1"/>
  <c r="F4386" i="5"/>
  <c r="E4386" i="5" s="1"/>
  <c r="F4387" i="5"/>
  <c r="E4387" i="5" s="1"/>
  <c r="F4388" i="5"/>
  <c r="E4388" i="5" s="1"/>
  <c r="F4362" i="5"/>
  <c r="E4362" i="5" s="1"/>
  <c r="F4389" i="5"/>
  <c r="E4389" i="5" s="1"/>
  <c r="F4390" i="5"/>
  <c r="E4390" i="5" s="1"/>
  <c r="F4391" i="5"/>
  <c r="E4391" i="5" s="1"/>
  <c r="F4392" i="5"/>
  <c r="E4392" i="5" s="1"/>
  <c r="F4322" i="5"/>
  <c r="E4322" i="5" s="1"/>
  <c r="F4393" i="5"/>
  <c r="E4393" i="5" s="1"/>
  <c r="F4394" i="5"/>
  <c r="E4394" i="5" s="1"/>
  <c r="F4395" i="5"/>
  <c r="E4395" i="5" s="1"/>
  <c r="F4396" i="5"/>
  <c r="E4396" i="5" s="1"/>
  <c r="F4397" i="5"/>
  <c r="E4397" i="5" s="1"/>
  <c r="F4398" i="5"/>
  <c r="E4398" i="5" s="1"/>
  <c r="F4399" i="5"/>
  <c r="E4399" i="5" s="1"/>
  <c r="F4400" i="5"/>
  <c r="E4400" i="5" s="1"/>
  <c r="F4401" i="5"/>
  <c r="E4401" i="5" s="1"/>
  <c r="F4402" i="5"/>
  <c r="E4402" i="5" s="1"/>
  <c r="F4403" i="5"/>
  <c r="E4403" i="5" s="1"/>
  <c r="F4404" i="5"/>
  <c r="E4404" i="5" s="1"/>
  <c r="F4405" i="5"/>
  <c r="E4405" i="5" s="1"/>
  <c r="F4406" i="5"/>
  <c r="E4406" i="5" s="1"/>
  <c r="F4407" i="5"/>
  <c r="E4407" i="5" s="1"/>
  <c r="F4408" i="5"/>
  <c r="E4408" i="5" s="1"/>
  <c r="F4409" i="5"/>
  <c r="E4409" i="5" s="1"/>
  <c r="F4410" i="5"/>
  <c r="E4410" i="5" s="1"/>
  <c r="F4411" i="5"/>
  <c r="E4411" i="5" s="1"/>
  <c r="F4412" i="5"/>
  <c r="E4412" i="5" s="1"/>
  <c r="F4413" i="5"/>
  <c r="E4413" i="5" s="1"/>
  <c r="F4414" i="5"/>
  <c r="E4414" i="5" s="1"/>
  <c r="F4415" i="5"/>
  <c r="E4415" i="5" s="1"/>
  <c r="F4416" i="5"/>
  <c r="E4416" i="5" s="1"/>
  <c r="F4417" i="5"/>
  <c r="E4417" i="5" s="1"/>
  <c r="F4418" i="5"/>
  <c r="E4418" i="5" s="1"/>
  <c r="F4419" i="5"/>
  <c r="E4419" i="5" s="1"/>
  <c r="F4420" i="5"/>
  <c r="E4420" i="5" s="1"/>
  <c r="F4421" i="5"/>
  <c r="E4421" i="5" s="1"/>
  <c r="F4422" i="5"/>
  <c r="E4422" i="5" s="1"/>
  <c r="F4423" i="5"/>
  <c r="E4423" i="5" s="1"/>
  <c r="F4424" i="5"/>
  <c r="E4424" i="5" s="1"/>
  <c r="F4425" i="5"/>
  <c r="E4425" i="5" s="1"/>
  <c r="F4427" i="5"/>
  <c r="E4427" i="5" s="1"/>
  <c r="F4428" i="5"/>
  <c r="E4428" i="5" s="1"/>
  <c r="F4429" i="5"/>
  <c r="E4429" i="5" s="1"/>
  <c r="F4430" i="5"/>
  <c r="E4430" i="5" s="1"/>
  <c r="F4431" i="5"/>
  <c r="E4431" i="5" s="1"/>
  <c r="F4432" i="5"/>
  <c r="E4432" i="5" s="1"/>
  <c r="F4433" i="5"/>
  <c r="E4433" i="5" s="1"/>
  <c r="F4434" i="5"/>
  <c r="E4434" i="5" s="1"/>
  <c r="F4435" i="5"/>
  <c r="E4435" i="5" s="1"/>
  <c r="F4436" i="5"/>
  <c r="E4436" i="5" s="1"/>
  <c r="F4437" i="5"/>
  <c r="E4437" i="5" s="1"/>
  <c r="F4438" i="5"/>
  <c r="E4438" i="5" s="1"/>
  <c r="F4439" i="5"/>
  <c r="E4439" i="5" s="1"/>
  <c r="F4440" i="5"/>
  <c r="E4440" i="5" s="1"/>
  <c r="F4441" i="5"/>
  <c r="E4441" i="5" s="1"/>
  <c r="F4442" i="5"/>
  <c r="E4442" i="5" s="1"/>
  <c r="F4477" i="5"/>
  <c r="E4477" i="5" s="1"/>
  <c r="F4443" i="5"/>
  <c r="E4443" i="5" s="1"/>
  <c r="F4444" i="5"/>
  <c r="E4444" i="5" s="1"/>
  <c r="F4445" i="5"/>
  <c r="E4445" i="5" s="1"/>
  <c r="F4446" i="5"/>
  <c r="E4446" i="5" s="1"/>
  <c r="F4447" i="5"/>
  <c r="E4447" i="5" s="1"/>
  <c r="F4448" i="5"/>
  <c r="E4448" i="5" s="1"/>
  <c r="F4449" i="5"/>
  <c r="E4449" i="5" s="1"/>
  <c r="F4450" i="5"/>
  <c r="E4450" i="5" s="1"/>
  <c r="F4451" i="5"/>
  <c r="E4451" i="5" s="1"/>
  <c r="F4452" i="5"/>
  <c r="E4452" i="5" s="1"/>
  <c r="F4453" i="5"/>
  <c r="E4453" i="5" s="1"/>
  <c r="F4454" i="5"/>
  <c r="E4454" i="5" s="1"/>
  <c r="F4455" i="5"/>
  <c r="E4455" i="5" s="1"/>
  <c r="F4456" i="5"/>
  <c r="E4456" i="5" s="1"/>
  <c r="F4457" i="5"/>
  <c r="E4457" i="5" s="1"/>
  <c r="F4458" i="5"/>
  <c r="E4458" i="5" s="1"/>
  <c r="F4459" i="5"/>
  <c r="E4459" i="5" s="1"/>
  <c r="F4460" i="5"/>
  <c r="E4460" i="5" s="1"/>
  <c r="F4461" i="5"/>
  <c r="E4461" i="5" s="1"/>
  <c r="F4462" i="5"/>
  <c r="E4462" i="5" s="1"/>
  <c r="F4463" i="5"/>
  <c r="E4463" i="5" s="1"/>
  <c r="F4464" i="5"/>
  <c r="E4464" i="5" s="1"/>
  <c r="F4465" i="5"/>
  <c r="E4465" i="5" s="1"/>
  <c r="F4466" i="5"/>
  <c r="E4466" i="5" s="1"/>
  <c r="F4787" i="5"/>
  <c r="E4787" i="5" s="1"/>
  <c r="F4467" i="5"/>
  <c r="E4467" i="5" s="1"/>
  <c r="F4468" i="5"/>
  <c r="E4468" i="5" s="1"/>
  <c r="F4469" i="5"/>
  <c r="E4469" i="5" s="1"/>
  <c r="F4470" i="5"/>
  <c r="E4470" i="5" s="1"/>
  <c r="F4471" i="5"/>
  <c r="E4471" i="5" s="1"/>
  <c r="F4472" i="5"/>
  <c r="E4472" i="5" s="1"/>
  <c r="F4473" i="5"/>
  <c r="E4473" i="5" s="1"/>
  <c r="F4474" i="5"/>
  <c r="E4474" i="5" s="1"/>
  <c r="F4475" i="5"/>
  <c r="E4475" i="5" s="1"/>
  <c r="F4476" i="5"/>
  <c r="E4476" i="5" s="1"/>
  <c r="F4478" i="5"/>
  <c r="E4478" i="5" s="1"/>
  <c r="F4479" i="5"/>
  <c r="E4479" i="5" s="1"/>
  <c r="F4480" i="5"/>
  <c r="E4480" i="5" s="1"/>
  <c r="F4481" i="5"/>
  <c r="E4481" i="5" s="1"/>
  <c r="F4482" i="5"/>
  <c r="E4482" i="5" s="1"/>
  <c r="F4483" i="5"/>
  <c r="E4483" i="5" s="1"/>
  <c r="F4484" i="5"/>
  <c r="E4484" i="5" s="1"/>
  <c r="F4485" i="5"/>
  <c r="E4485" i="5" s="1"/>
  <c r="F4486" i="5"/>
  <c r="E4486" i="5" s="1"/>
  <c r="F4487" i="5"/>
  <c r="E4487" i="5" s="1"/>
  <c r="F4488" i="5"/>
  <c r="E4488" i="5" s="1"/>
  <c r="F4489" i="5"/>
  <c r="E4489" i="5" s="1"/>
  <c r="F4490" i="5"/>
  <c r="E4490" i="5" s="1"/>
  <c r="F4491" i="5"/>
  <c r="E4491" i="5" s="1"/>
  <c r="F4492" i="5"/>
  <c r="E4492" i="5" s="1"/>
  <c r="F4493" i="5"/>
  <c r="E4493" i="5" s="1"/>
  <c r="F4494" i="5"/>
  <c r="E4494" i="5" s="1"/>
  <c r="F4495" i="5"/>
  <c r="E4495" i="5" s="1"/>
  <c r="F4496" i="5"/>
  <c r="E4496" i="5" s="1"/>
  <c r="F4497" i="5"/>
  <c r="E4497" i="5" s="1"/>
  <c r="F4498" i="5"/>
  <c r="E4498" i="5" s="1"/>
  <c r="F4499" i="5"/>
  <c r="E4499" i="5" s="1"/>
  <c r="F4544" i="5"/>
  <c r="E4544" i="5" s="1"/>
  <c r="F4500" i="5"/>
  <c r="E4500" i="5" s="1"/>
  <c r="F4501" i="5"/>
  <c r="E4501" i="5" s="1"/>
  <c r="F4502" i="5"/>
  <c r="E4502" i="5" s="1"/>
  <c r="F4503" i="5"/>
  <c r="E4503" i="5" s="1"/>
  <c r="F4504" i="5"/>
  <c r="E4504" i="5" s="1"/>
  <c r="F4505" i="5"/>
  <c r="E4505" i="5" s="1"/>
  <c r="F4506" i="5"/>
  <c r="E4506" i="5" s="1"/>
  <c r="F4507" i="5"/>
  <c r="E4507" i="5" s="1"/>
  <c r="F4508" i="5"/>
  <c r="E4508" i="5" s="1"/>
  <c r="F4509" i="5"/>
  <c r="E4509" i="5" s="1"/>
  <c r="F4510" i="5"/>
  <c r="E4510" i="5" s="1"/>
  <c r="F4511" i="5"/>
  <c r="E4511" i="5" s="1"/>
  <c r="F4512" i="5"/>
  <c r="E4512" i="5" s="1"/>
  <c r="F4513" i="5"/>
  <c r="E4513" i="5" s="1"/>
  <c r="F4514" i="5"/>
  <c r="E4514" i="5" s="1"/>
  <c r="F4515" i="5"/>
  <c r="E4515" i="5" s="1"/>
  <c r="F4516" i="5"/>
  <c r="E4516" i="5" s="1"/>
  <c r="F4517" i="5"/>
  <c r="E4517" i="5" s="1"/>
  <c r="F4518" i="5"/>
  <c r="E4518" i="5" s="1"/>
  <c r="F4519" i="5"/>
  <c r="E4519" i="5" s="1"/>
  <c r="F4523" i="5"/>
  <c r="E4523" i="5" s="1"/>
  <c r="F4524" i="5"/>
  <c r="E4524" i="5" s="1"/>
  <c r="F4525" i="5"/>
  <c r="E4525" i="5" s="1"/>
  <c r="F4526" i="5"/>
  <c r="E4526" i="5" s="1"/>
  <c r="F4527" i="5"/>
  <c r="E4527" i="5" s="1"/>
  <c r="F4528" i="5"/>
  <c r="E4528" i="5" s="1"/>
  <c r="F4529" i="5"/>
  <c r="E4529" i="5" s="1"/>
  <c r="F4530" i="5"/>
  <c r="E4530" i="5" s="1"/>
  <c r="F4531" i="5"/>
  <c r="E4531" i="5" s="1"/>
  <c r="F4532" i="5"/>
  <c r="E4532" i="5" s="1"/>
  <c r="F4533" i="5"/>
  <c r="E4533" i="5" s="1"/>
  <c r="F4534" i="5"/>
  <c r="E4534" i="5" s="1"/>
  <c r="F4535" i="5"/>
  <c r="E4535" i="5" s="1"/>
  <c r="F4536" i="5"/>
  <c r="E4536" i="5" s="1"/>
  <c r="F4537" i="5"/>
  <c r="E4537" i="5" s="1"/>
  <c r="F4538" i="5"/>
  <c r="E4538" i="5" s="1"/>
  <c r="F4539" i="5"/>
  <c r="E4539" i="5" s="1"/>
  <c r="F4540" i="5"/>
  <c r="E4540" i="5" s="1"/>
  <c r="F4541" i="5"/>
  <c r="E4541" i="5" s="1"/>
  <c r="F4542" i="5"/>
  <c r="E4542" i="5" s="1"/>
  <c r="F4545" i="5"/>
  <c r="E4545" i="5" s="1"/>
  <c r="F4546" i="5"/>
  <c r="E4546" i="5" s="1"/>
  <c r="F4547" i="5"/>
  <c r="E4547" i="5" s="1"/>
  <c r="F4548" i="5"/>
  <c r="E4548" i="5" s="1"/>
  <c r="F4549" i="5"/>
  <c r="E4549" i="5" s="1"/>
  <c r="F4550" i="5"/>
  <c r="E4550" i="5" s="1"/>
  <c r="F4551" i="5"/>
  <c r="E4551" i="5" s="1"/>
  <c r="F4552" i="5"/>
  <c r="E4552" i="5" s="1"/>
  <c r="F4553" i="5"/>
  <c r="E4553" i="5" s="1"/>
  <c r="F4554" i="5"/>
  <c r="E4554" i="5" s="1"/>
  <c r="F4555" i="5"/>
  <c r="E4555" i="5" s="1"/>
  <c r="F4556" i="5"/>
  <c r="E4556" i="5" s="1"/>
  <c r="F4557" i="5"/>
  <c r="E4557" i="5" s="1"/>
  <c r="F4652" i="5"/>
  <c r="E4652" i="5" s="1"/>
  <c r="F4694" i="5"/>
  <c r="E4694" i="5" s="1"/>
  <c r="F4558" i="5"/>
  <c r="E4558" i="5" s="1"/>
  <c r="F4559" i="5"/>
  <c r="E4559" i="5" s="1"/>
  <c r="F4560" i="5"/>
  <c r="E4560" i="5" s="1"/>
  <c r="F4561" i="5"/>
  <c r="E4561" i="5" s="1"/>
  <c r="F4562" i="5"/>
  <c r="E4562" i="5" s="1"/>
  <c r="F4563" i="5"/>
  <c r="E4563" i="5" s="1"/>
  <c r="F4564" i="5"/>
  <c r="E4564" i="5" s="1"/>
  <c r="F4565" i="5"/>
  <c r="E4565" i="5" s="1"/>
  <c r="F4566" i="5"/>
  <c r="E4566" i="5" s="1"/>
  <c r="F4567" i="5"/>
  <c r="E4567" i="5" s="1"/>
  <c r="F4568" i="5"/>
  <c r="E4568" i="5" s="1"/>
  <c r="F4569" i="5"/>
  <c r="E4569" i="5" s="1"/>
  <c r="F4570" i="5"/>
  <c r="E4570" i="5" s="1"/>
  <c r="F4571" i="5"/>
  <c r="E4571" i="5" s="1"/>
  <c r="F4572" i="5"/>
  <c r="E4572" i="5" s="1"/>
  <c r="F4573" i="5"/>
  <c r="E4573" i="5" s="1"/>
  <c r="F4574" i="5"/>
  <c r="E4574" i="5" s="1"/>
  <c r="F4575" i="5"/>
  <c r="E4575" i="5" s="1"/>
  <c r="F4576" i="5"/>
  <c r="E4576" i="5" s="1"/>
  <c r="F4577" i="5"/>
  <c r="E4577" i="5" s="1"/>
  <c r="F4578" i="5"/>
  <c r="E4578" i="5" s="1"/>
  <c r="F4579" i="5"/>
  <c r="E4579" i="5" s="1"/>
  <c r="F4580" i="5"/>
  <c r="E4580" i="5" s="1"/>
  <c r="F4581" i="5"/>
  <c r="E4581" i="5" s="1"/>
  <c r="F4582" i="5"/>
  <c r="E4582" i="5" s="1"/>
  <c r="F4583" i="5"/>
  <c r="E4583" i="5" s="1"/>
  <c r="F4584" i="5"/>
  <c r="E4584" i="5" s="1"/>
  <c r="F4585" i="5"/>
  <c r="E4585" i="5" s="1"/>
  <c r="F4586" i="5"/>
  <c r="E4586" i="5" s="1"/>
  <c r="F4587" i="5"/>
  <c r="E4587" i="5" s="1"/>
  <c r="F4588" i="5"/>
  <c r="E4588" i="5" s="1"/>
  <c r="F4589" i="5"/>
  <c r="E4589" i="5" s="1"/>
  <c r="F4590" i="5"/>
  <c r="E4590" i="5" s="1"/>
  <c r="F4591" i="5"/>
  <c r="E4591" i="5" s="1"/>
  <c r="F4592" i="5"/>
  <c r="E4592" i="5" s="1"/>
  <c r="F4593" i="5"/>
  <c r="E4593" i="5" s="1"/>
  <c r="F4594" i="5"/>
  <c r="E4594" i="5" s="1"/>
  <c r="F4595" i="5"/>
  <c r="E4595" i="5" s="1"/>
  <c r="F4596" i="5"/>
  <c r="E4596" i="5" s="1"/>
  <c r="F4597" i="5"/>
  <c r="E4597" i="5" s="1"/>
  <c r="F4598" i="5"/>
  <c r="E4598" i="5" s="1"/>
  <c r="F4599" i="5"/>
  <c r="E4599" i="5" s="1"/>
  <c r="F4600" i="5"/>
  <c r="E4600" i="5" s="1"/>
  <c r="F4601" i="5"/>
  <c r="E4601" i="5" s="1"/>
  <c r="F4602" i="5"/>
  <c r="E4602" i="5" s="1"/>
  <c r="F4603" i="5"/>
  <c r="E4603" i="5" s="1"/>
  <c r="F4604" i="5"/>
  <c r="E4604" i="5" s="1"/>
  <c r="F4605" i="5"/>
  <c r="E4605" i="5" s="1"/>
  <c r="F4606" i="5"/>
  <c r="E4606" i="5" s="1"/>
  <c r="F4607" i="5"/>
  <c r="E4607" i="5" s="1"/>
  <c r="F4608" i="5"/>
  <c r="E4608" i="5" s="1"/>
  <c r="F4609" i="5"/>
  <c r="E4609" i="5" s="1"/>
  <c r="F4610" i="5"/>
  <c r="E4610" i="5" s="1"/>
  <c r="F4611" i="5"/>
  <c r="E4611" i="5" s="1"/>
  <c r="F4612" i="5"/>
  <c r="E4612" i="5" s="1"/>
  <c r="F4613" i="5"/>
  <c r="E4613" i="5" s="1"/>
  <c r="F4614" i="5"/>
  <c r="E4614" i="5" s="1"/>
  <c r="F4615" i="5"/>
  <c r="E4615" i="5" s="1"/>
  <c r="F4616" i="5"/>
  <c r="E4616" i="5" s="1"/>
  <c r="F4617" i="5"/>
  <c r="E4617" i="5" s="1"/>
  <c r="F4618" i="5"/>
  <c r="E4618" i="5" s="1"/>
  <c r="F4619" i="5"/>
  <c r="E4619" i="5" s="1"/>
  <c r="F4620" i="5"/>
  <c r="E4620" i="5" s="1"/>
  <c r="F4621" i="5"/>
  <c r="E4621" i="5" s="1"/>
  <c r="F4622" i="5"/>
  <c r="E4622" i="5" s="1"/>
  <c r="F4623" i="5"/>
  <c r="E4623" i="5" s="1"/>
  <c r="F4624" i="5"/>
  <c r="E4624" i="5" s="1"/>
  <c r="F4625" i="5"/>
  <c r="E4625" i="5" s="1"/>
  <c r="F4626" i="5"/>
  <c r="E4626" i="5" s="1"/>
  <c r="F4627" i="5"/>
  <c r="E4627" i="5" s="1"/>
  <c r="F4628" i="5"/>
  <c r="E4628" i="5" s="1"/>
  <c r="F4629" i="5"/>
  <c r="E4629" i="5" s="1"/>
  <c r="F4630" i="5"/>
  <c r="E4630" i="5" s="1"/>
  <c r="F4631" i="5"/>
  <c r="E4631" i="5" s="1"/>
  <c r="F4632" i="5"/>
  <c r="E4632" i="5" s="1"/>
  <c r="F4633" i="5"/>
  <c r="E4633" i="5" s="1"/>
  <c r="F4634" i="5"/>
  <c r="E4634" i="5" s="1"/>
  <c r="F4635" i="5"/>
  <c r="E4635" i="5" s="1"/>
  <c r="F4636" i="5"/>
  <c r="E4636" i="5" s="1"/>
  <c r="F4637" i="5"/>
  <c r="E4637" i="5" s="1"/>
  <c r="F4638" i="5"/>
  <c r="E4638" i="5" s="1"/>
  <c r="F4639" i="5"/>
  <c r="E4639" i="5" s="1"/>
  <c r="F4640" i="5"/>
  <c r="E4640" i="5" s="1"/>
  <c r="F4641" i="5"/>
  <c r="E4641" i="5" s="1"/>
  <c r="F4642" i="5"/>
  <c r="E4642" i="5" s="1"/>
  <c r="F4643" i="5"/>
  <c r="E4643" i="5" s="1"/>
  <c r="F4644" i="5"/>
  <c r="E4644" i="5" s="1"/>
  <c r="F4520" i="5"/>
  <c r="E4520" i="5" s="1"/>
  <c r="F4521" i="5"/>
  <c r="E4521" i="5" s="1"/>
  <c r="F4653" i="5"/>
  <c r="E4653" i="5" s="1"/>
  <c r="F4654" i="5"/>
  <c r="E4654" i="5" s="1"/>
  <c r="F4655" i="5"/>
  <c r="E4655" i="5" s="1"/>
  <c r="F4656" i="5"/>
  <c r="E4656" i="5" s="1"/>
  <c r="F4657" i="5"/>
  <c r="E4657" i="5" s="1"/>
  <c r="F4658" i="5"/>
  <c r="E4658" i="5" s="1"/>
  <c r="F4659" i="5"/>
  <c r="E4659" i="5" s="1"/>
  <c r="F4660" i="5"/>
  <c r="E4660" i="5" s="1"/>
  <c r="F4661" i="5"/>
  <c r="E4661" i="5" s="1"/>
  <c r="F4662" i="5"/>
  <c r="E4662" i="5" s="1"/>
  <c r="F4663" i="5"/>
  <c r="E4663" i="5" s="1"/>
  <c r="F4664" i="5"/>
  <c r="E4664" i="5" s="1"/>
  <c r="F4665" i="5"/>
  <c r="E4665" i="5" s="1"/>
  <c r="F4666" i="5"/>
  <c r="E4666" i="5" s="1"/>
  <c r="F4667" i="5"/>
  <c r="E4667" i="5" s="1"/>
  <c r="F4668" i="5"/>
  <c r="E4668" i="5" s="1"/>
  <c r="F4669" i="5"/>
  <c r="E4669" i="5" s="1"/>
  <c r="F4543" i="5"/>
  <c r="E4543" i="5" s="1"/>
  <c r="F4670" i="5"/>
  <c r="E4670" i="5" s="1"/>
  <c r="F4671" i="5"/>
  <c r="E4671" i="5" s="1"/>
  <c r="F4672" i="5"/>
  <c r="E4672" i="5" s="1"/>
  <c r="F4673" i="5"/>
  <c r="E4673" i="5" s="1"/>
  <c r="F4674" i="5"/>
  <c r="E4674" i="5" s="1"/>
  <c r="F4675" i="5"/>
  <c r="E4675" i="5" s="1"/>
  <c r="F4676" i="5"/>
  <c r="E4676" i="5" s="1"/>
  <c r="F4677" i="5"/>
  <c r="E4677" i="5" s="1"/>
  <c r="F4678" i="5"/>
  <c r="E4678" i="5" s="1"/>
  <c r="F4679" i="5"/>
  <c r="E4679" i="5" s="1"/>
  <c r="F4680" i="5"/>
  <c r="E4680" i="5" s="1"/>
  <c r="F4681" i="5"/>
  <c r="E4681" i="5" s="1"/>
  <c r="F4682" i="5"/>
  <c r="E4682" i="5" s="1"/>
  <c r="F4683" i="5"/>
  <c r="E4683" i="5" s="1"/>
  <c r="F4684" i="5"/>
  <c r="E4684" i="5" s="1"/>
  <c r="F4685" i="5"/>
  <c r="E4685" i="5" s="1"/>
  <c r="F4686" i="5"/>
  <c r="E4686" i="5" s="1"/>
  <c r="F4687" i="5"/>
  <c r="E4687" i="5" s="1"/>
  <c r="F4688" i="5"/>
  <c r="E4688" i="5" s="1"/>
  <c r="F4689" i="5"/>
  <c r="E4689" i="5" s="1"/>
  <c r="F4690" i="5"/>
  <c r="E4690" i="5" s="1"/>
  <c r="F4691" i="5"/>
  <c r="E4691" i="5" s="1"/>
  <c r="F4695" i="5"/>
  <c r="E4695" i="5" s="1"/>
  <c r="F4696" i="5"/>
  <c r="E4696" i="5" s="1"/>
  <c r="F4697" i="5"/>
  <c r="E4697" i="5" s="1"/>
  <c r="F4698" i="5"/>
  <c r="E4698" i="5" s="1"/>
  <c r="F4699" i="5"/>
  <c r="E4699" i="5" s="1"/>
  <c r="F4700" i="5"/>
  <c r="E4700" i="5" s="1"/>
  <c r="F4701" i="5"/>
  <c r="E4701" i="5" s="1"/>
  <c r="F4702" i="5"/>
  <c r="E4702" i="5" s="1"/>
  <c r="F4703" i="5"/>
  <c r="E4703" i="5" s="1"/>
  <c r="F4704" i="5"/>
  <c r="E4704" i="5" s="1"/>
  <c r="F4705" i="5"/>
  <c r="E4705" i="5" s="1"/>
  <c r="F4706" i="5"/>
  <c r="E4706" i="5" s="1"/>
  <c r="F4707" i="5"/>
  <c r="E4707" i="5" s="1"/>
  <c r="F4708" i="5"/>
  <c r="E4708" i="5" s="1"/>
  <c r="F4709" i="5"/>
  <c r="E4709" i="5" s="1"/>
  <c r="F4710" i="5"/>
  <c r="E4710" i="5" s="1"/>
  <c r="F4711" i="5"/>
  <c r="E4711" i="5" s="1"/>
  <c r="F4712" i="5"/>
  <c r="E4712" i="5" s="1"/>
  <c r="F4713" i="5"/>
  <c r="E4713" i="5" s="1"/>
  <c r="F4714" i="5"/>
  <c r="E4714" i="5" s="1"/>
  <c r="F4715" i="5"/>
  <c r="E4715" i="5" s="1"/>
  <c r="F4716" i="5"/>
  <c r="E4716" i="5" s="1"/>
  <c r="F4717" i="5"/>
  <c r="E4717" i="5" s="1"/>
  <c r="F4718" i="5"/>
  <c r="E4718" i="5" s="1"/>
  <c r="F4719" i="5"/>
  <c r="E4719" i="5" s="1"/>
  <c r="F4720" i="5"/>
  <c r="E4720" i="5" s="1"/>
  <c r="F4721" i="5"/>
  <c r="E4721" i="5" s="1"/>
  <c r="F4722" i="5"/>
  <c r="E4722" i="5" s="1"/>
  <c r="F4723" i="5"/>
  <c r="E4723" i="5" s="1"/>
  <c r="F4724" i="5"/>
  <c r="E4724" i="5" s="1"/>
  <c r="F4725" i="5"/>
  <c r="E4725" i="5" s="1"/>
  <c r="F4726" i="5"/>
  <c r="E4726" i="5" s="1"/>
  <c r="F4727" i="5"/>
  <c r="E4727" i="5" s="1"/>
  <c r="F4728" i="5"/>
  <c r="E4728" i="5" s="1"/>
  <c r="F4729" i="5"/>
  <c r="E4729" i="5" s="1"/>
  <c r="F4730" i="5"/>
  <c r="E4730" i="5" s="1"/>
  <c r="F4731" i="5"/>
  <c r="E4731" i="5" s="1"/>
  <c r="F4732" i="5"/>
  <c r="E4732" i="5" s="1"/>
  <c r="F4733" i="5"/>
  <c r="E4733" i="5" s="1"/>
  <c r="F4734" i="5"/>
  <c r="E4734" i="5" s="1"/>
  <c r="F4735" i="5"/>
  <c r="E4735" i="5" s="1"/>
  <c r="F4736" i="5"/>
  <c r="E4736" i="5" s="1"/>
  <c r="F4737" i="5"/>
  <c r="E4737" i="5" s="1"/>
  <c r="F4738" i="5"/>
  <c r="E4738" i="5" s="1"/>
  <c r="F4739" i="5"/>
  <c r="E4739" i="5" s="1"/>
  <c r="F4522" i="5"/>
  <c r="E4522" i="5" s="1"/>
  <c r="F4645" i="5"/>
  <c r="E4645" i="5" s="1"/>
  <c r="F4646" i="5"/>
  <c r="E4646" i="5" s="1"/>
  <c r="F4647" i="5"/>
  <c r="E4647" i="5" s="1"/>
  <c r="F4648" i="5"/>
  <c r="E4648" i="5" s="1"/>
  <c r="F4649" i="5"/>
  <c r="E4649" i="5" s="1"/>
  <c r="F4650" i="5"/>
  <c r="E4650" i="5" s="1"/>
  <c r="F4740" i="5"/>
  <c r="E4740" i="5" s="1"/>
  <c r="F4692" i="5"/>
  <c r="E4692" i="5" s="1"/>
  <c r="F4741" i="5"/>
  <c r="E4741" i="5" s="1"/>
  <c r="F4742" i="5"/>
  <c r="E4742" i="5" s="1"/>
  <c r="F4744" i="5"/>
  <c r="E4744" i="5" s="1"/>
  <c r="F4745" i="5"/>
  <c r="E4745" i="5" s="1"/>
  <c r="F4746" i="5"/>
  <c r="E4746" i="5" s="1"/>
  <c r="F4747" i="5"/>
  <c r="E4747" i="5" s="1"/>
  <c r="F4748" i="5"/>
  <c r="E4748" i="5" s="1"/>
  <c r="F4749" i="5"/>
  <c r="E4749" i="5" s="1"/>
  <c r="F4750" i="5"/>
  <c r="E4750" i="5" s="1"/>
  <c r="F4751" i="5"/>
  <c r="E4751" i="5" s="1"/>
  <c r="F4752" i="5"/>
  <c r="E4752" i="5" s="1"/>
  <c r="F4753" i="5"/>
  <c r="E4753" i="5" s="1"/>
  <c r="F4754" i="5"/>
  <c r="E4754" i="5" s="1"/>
  <c r="F4755" i="5"/>
  <c r="E4755" i="5" s="1"/>
  <c r="F4756" i="5"/>
  <c r="E4756" i="5" s="1"/>
  <c r="F4757" i="5"/>
  <c r="E4757" i="5" s="1"/>
  <c r="F4758" i="5"/>
  <c r="E4758" i="5" s="1"/>
  <c r="F4759" i="5"/>
  <c r="E4759" i="5" s="1"/>
  <c r="F4760" i="5"/>
  <c r="E4760" i="5" s="1"/>
  <c r="F4761" i="5"/>
  <c r="E4761" i="5" s="1"/>
  <c r="F4762" i="5"/>
  <c r="E4762" i="5" s="1"/>
  <c r="F4763" i="5"/>
  <c r="E4763" i="5" s="1"/>
  <c r="F4764" i="5"/>
  <c r="E4764" i="5" s="1"/>
  <c r="F4765" i="5"/>
  <c r="E4765" i="5" s="1"/>
  <c r="F4766" i="5"/>
  <c r="E4766" i="5" s="1"/>
  <c r="F4767" i="5"/>
  <c r="E4767" i="5" s="1"/>
  <c r="F4768" i="5"/>
  <c r="E4768" i="5" s="1"/>
  <c r="F4769" i="5"/>
  <c r="E4769" i="5" s="1"/>
  <c r="F4770" i="5"/>
  <c r="E4770" i="5" s="1"/>
  <c r="F4771" i="5"/>
  <c r="E4771" i="5" s="1"/>
  <c r="F4772" i="5"/>
  <c r="E4772" i="5" s="1"/>
  <c r="F4773" i="5"/>
  <c r="E4773" i="5" s="1"/>
  <c r="F4774" i="5"/>
  <c r="E4774" i="5" s="1"/>
  <c r="F4775" i="5"/>
  <c r="E4775" i="5" s="1"/>
  <c r="F4776" i="5"/>
  <c r="E4776" i="5" s="1"/>
  <c r="F4777" i="5"/>
  <c r="E4777" i="5" s="1"/>
  <c r="F4778" i="5"/>
  <c r="E4778" i="5" s="1"/>
  <c r="F4779" i="5"/>
  <c r="E4779" i="5" s="1"/>
  <c r="F4780" i="5"/>
  <c r="E4780" i="5" s="1"/>
  <c r="F4781" i="5"/>
  <c r="E4781" i="5" s="1"/>
  <c r="F4782" i="5"/>
  <c r="E4782" i="5" s="1"/>
  <c r="F4783" i="5"/>
  <c r="E4783" i="5" s="1"/>
  <c r="F4784" i="5"/>
  <c r="E4784" i="5" s="1"/>
  <c r="F4785" i="5"/>
  <c r="E4785" i="5" s="1"/>
  <c r="F4788" i="5"/>
  <c r="E4788" i="5" s="1"/>
  <c r="F4789" i="5"/>
  <c r="E4789" i="5" s="1"/>
  <c r="F4790" i="5"/>
  <c r="E4790" i="5" s="1"/>
  <c r="F4791" i="5"/>
  <c r="E4791" i="5" s="1"/>
  <c r="F4792" i="5"/>
  <c r="E4792" i="5" s="1"/>
  <c r="F4793" i="5"/>
  <c r="E4793" i="5" s="1"/>
  <c r="F4794" i="5"/>
  <c r="E4794" i="5" s="1"/>
  <c r="F4795" i="5"/>
  <c r="E4795" i="5" s="1"/>
  <c r="F4796" i="5"/>
  <c r="E4796" i="5" s="1"/>
  <c r="F4797" i="5"/>
  <c r="E4797" i="5" s="1"/>
  <c r="F4798" i="5"/>
  <c r="E4798" i="5" s="1"/>
  <c r="F4799" i="5"/>
  <c r="E4799" i="5" s="1"/>
  <c r="F4800" i="5"/>
  <c r="E4800" i="5" s="1"/>
  <c r="F4801" i="5"/>
  <c r="E4801" i="5" s="1"/>
  <c r="F4802" i="5"/>
  <c r="E4802" i="5" s="1"/>
  <c r="F4803" i="5"/>
  <c r="E4803" i="5" s="1"/>
  <c r="F4804" i="5"/>
  <c r="E4804" i="5" s="1"/>
  <c r="F4805" i="5"/>
  <c r="E4805" i="5" s="1"/>
  <c r="F4806" i="5"/>
  <c r="E4806" i="5" s="1"/>
  <c r="F4807" i="5"/>
  <c r="E4807" i="5" s="1"/>
  <c r="F4808" i="5"/>
  <c r="E4808" i="5" s="1"/>
  <c r="F4809" i="5"/>
  <c r="E4809" i="5" s="1"/>
  <c r="F4810" i="5"/>
  <c r="E4810" i="5" s="1"/>
  <c r="F4811" i="5"/>
  <c r="E4811" i="5" s="1"/>
  <c r="F4812" i="5"/>
  <c r="E4812" i="5" s="1"/>
  <c r="F4813" i="5"/>
  <c r="E4813" i="5" s="1"/>
  <c r="F4814" i="5"/>
  <c r="E4814" i="5" s="1"/>
  <c r="F4815" i="5"/>
  <c r="E4815" i="5" s="1"/>
  <c r="F4816" i="5"/>
  <c r="E4816" i="5" s="1"/>
  <c r="F4817" i="5"/>
  <c r="E4817" i="5" s="1"/>
  <c r="F4818" i="5"/>
  <c r="E4818" i="5" s="1"/>
  <c r="F4819" i="5"/>
  <c r="E4819" i="5" s="1"/>
  <c r="F4820" i="5"/>
  <c r="E4820" i="5" s="1"/>
  <c r="F4821" i="5"/>
  <c r="E4821" i="5" s="1"/>
  <c r="F4822" i="5"/>
  <c r="E4822" i="5" s="1"/>
  <c r="F4823" i="5"/>
  <c r="E4823" i="5" s="1"/>
  <c r="F4824" i="5"/>
  <c r="E4824" i="5" s="1"/>
  <c r="F4825" i="5"/>
  <c r="E4825" i="5" s="1"/>
  <c r="F4826" i="5"/>
  <c r="E4826" i="5" s="1"/>
  <c r="F4827" i="5"/>
  <c r="E4827" i="5" s="1"/>
  <c r="F4828" i="5"/>
  <c r="E4828" i="5" s="1"/>
  <c r="F4829" i="5"/>
  <c r="E4829" i="5" s="1"/>
  <c r="F4830" i="5"/>
  <c r="E4830" i="5" s="1"/>
  <c r="F4831" i="5"/>
  <c r="E4831" i="5" s="1"/>
  <c r="F4832" i="5"/>
  <c r="E4832" i="5" s="1"/>
  <c r="F4833" i="5"/>
  <c r="E4833" i="5" s="1"/>
  <c r="F4834" i="5"/>
  <c r="E4834" i="5" s="1"/>
  <c r="F4835" i="5"/>
  <c r="E4835" i="5" s="1"/>
  <c r="F4836" i="5"/>
  <c r="E4836" i="5" s="1"/>
  <c r="F4837" i="5"/>
  <c r="E4837" i="5" s="1"/>
  <c r="F4838" i="5"/>
  <c r="E4838" i="5" s="1"/>
  <c r="F4839" i="5"/>
  <c r="E4839" i="5" s="1"/>
  <c r="F4840" i="5"/>
  <c r="E4840" i="5" s="1"/>
  <c r="F4841" i="5"/>
  <c r="E4841" i="5" s="1"/>
  <c r="F4842" i="5"/>
  <c r="E4842" i="5" s="1"/>
  <c r="F4843" i="5"/>
  <c r="E4843" i="5" s="1"/>
  <c r="F4844" i="5"/>
  <c r="E4844" i="5" s="1"/>
  <c r="F4845" i="5"/>
  <c r="E4845" i="5" s="1"/>
  <c r="F4846" i="5"/>
  <c r="E4846" i="5" s="1"/>
  <c r="F4847" i="5"/>
  <c r="E4847" i="5" s="1"/>
  <c r="F4848" i="5"/>
  <c r="E4848" i="5" s="1"/>
  <c r="F4849" i="5"/>
  <c r="E4849" i="5" s="1"/>
  <c r="F4850" i="5"/>
  <c r="E4850" i="5" s="1"/>
  <c r="F4851" i="5"/>
  <c r="E4851" i="5" s="1"/>
  <c r="F4852" i="5"/>
  <c r="E4852" i="5" s="1"/>
  <c r="F4853" i="5"/>
  <c r="E4853" i="5" s="1"/>
  <c r="F4854" i="5"/>
  <c r="E4854" i="5" s="1"/>
  <c r="F4855" i="5"/>
  <c r="E4855" i="5" s="1"/>
  <c r="F4856" i="5"/>
  <c r="E4856" i="5" s="1"/>
  <c r="F4857" i="5"/>
  <c r="E4857" i="5" s="1"/>
  <c r="F4858" i="5"/>
  <c r="E4858" i="5" s="1"/>
  <c r="F4859" i="5"/>
  <c r="E4859" i="5" s="1"/>
  <c r="F4860" i="5"/>
  <c r="E4860" i="5" s="1"/>
  <c r="F4861" i="5"/>
  <c r="E4861" i="5" s="1"/>
  <c r="F4862" i="5"/>
  <c r="E4862" i="5" s="1"/>
  <c r="F4863" i="5"/>
  <c r="E4863" i="5" s="1"/>
  <c r="F4864" i="5"/>
  <c r="E4864" i="5" s="1"/>
  <c r="F4865" i="5"/>
  <c r="E4865" i="5" s="1"/>
  <c r="F4866" i="5"/>
  <c r="E4866" i="5" s="1"/>
  <c r="F4867" i="5"/>
  <c r="E4867" i="5" s="1"/>
  <c r="F4868" i="5"/>
  <c r="E4868" i="5" s="1"/>
  <c r="F4869" i="5"/>
  <c r="E4869" i="5" s="1"/>
  <c r="F4870" i="5"/>
  <c r="E4870" i="5" s="1"/>
  <c r="F4871" i="5"/>
  <c r="E4871" i="5" s="1"/>
  <c r="F4872" i="5"/>
  <c r="E4872" i="5" s="1"/>
  <c r="F4873" i="5"/>
  <c r="E4873" i="5" s="1"/>
  <c r="F4874" i="5"/>
  <c r="E4874" i="5" s="1"/>
  <c r="F4875" i="5"/>
  <c r="E4875" i="5" s="1"/>
  <c r="F4876" i="5"/>
  <c r="E4876" i="5" s="1"/>
  <c r="F4877" i="5"/>
  <c r="E4877" i="5" s="1"/>
  <c r="F4878" i="5"/>
  <c r="E4878" i="5" s="1"/>
  <c r="F4879" i="5"/>
  <c r="E4879" i="5" s="1"/>
  <c r="F4880" i="5"/>
  <c r="E4880" i="5" s="1"/>
  <c r="F4881" i="5"/>
  <c r="E4881" i="5" s="1"/>
  <c r="F4882" i="5"/>
  <c r="E4882" i="5" s="1"/>
  <c r="F4883" i="5"/>
  <c r="E4883" i="5" s="1"/>
  <c r="F4884" i="5"/>
  <c r="E4884" i="5" s="1"/>
  <c r="F4885" i="5"/>
  <c r="E4885" i="5" s="1"/>
  <c r="F4886" i="5"/>
  <c r="E4886" i="5" s="1"/>
  <c r="F4887" i="5"/>
  <c r="E4887" i="5" s="1"/>
  <c r="F4888" i="5"/>
  <c r="E4888" i="5" s="1"/>
  <c r="F4889" i="5"/>
  <c r="E4889" i="5" s="1"/>
  <c r="F4890" i="5"/>
  <c r="E4890" i="5" s="1"/>
  <c r="F4891" i="5"/>
  <c r="E4891" i="5" s="1"/>
  <c r="F4892" i="5"/>
  <c r="E4892" i="5" s="1"/>
  <c r="F4893" i="5"/>
  <c r="E4893" i="5" s="1"/>
  <c r="F4894" i="5"/>
  <c r="E4894" i="5" s="1"/>
  <c r="F4895" i="5"/>
  <c r="E4895" i="5" s="1"/>
  <c r="F4896" i="5"/>
  <c r="E4896" i="5" s="1"/>
  <c r="F4923" i="5"/>
  <c r="E4923" i="5" s="1"/>
  <c r="F4897" i="5"/>
  <c r="E4897" i="5" s="1"/>
  <c r="F4898" i="5"/>
  <c r="E4898" i="5" s="1"/>
  <c r="F4899" i="5"/>
  <c r="E4899" i="5" s="1"/>
  <c r="F4900" i="5"/>
  <c r="E4900" i="5" s="1"/>
  <c r="F4901" i="5"/>
  <c r="E4901" i="5" s="1"/>
  <c r="F4902" i="5"/>
  <c r="E4902" i="5" s="1"/>
  <c r="F4903" i="5"/>
  <c r="E4903" i="5" s="1"/>
  <c r="F4904" i="5"/>
  <c r="E4904" i="5" s="1"/>
  <c r="F4905" i="5"/>
  <c r="E4905" i="5" s="1"/>
  <c r="F4906" i="5"/>
  <c r="E4906" i="5" s="1"/>
  <c r="F4907" i="5"/>
  <c r="E4907" i="5" s="1"/>
  <c r="F4908" i="5"/>
  <c r="E4908" i="5" s="1"/>
  <c r="F4909" i="5"/>
  <c r="E4909" i="5" s="1"/>
  <c r="F4910" i="5"/>
  <c r="E4910" i="5" s="1"/>
  <c r="F4911" i="5"/>
  <c r="E4911" i="5" s="1"/>
  <c r="F4912" i="5"/>
  <c r="E4912" i="5" s="1"/>
  <c r="F4913" i="5"/>
  <c r="E4913" i="5" s="1"/>
  <c r="F4914" i="5"/>
  <c r="E4914" i="5" s="1"/>
  <c r="F4915" i="5"/>
  <c r="E4915" i="5" s="1"/>
  <c r="F4916" i="5"/>
  <c r="E4916" i="5" s="1"/>
  <c r="F4917" i="5"/>
  <c r="E4917" i="5" s="1"/>
  <c r="F4918" i="5"/>
  <c r="E4918" i="5" s="1"/>
  <c r="F4919" i="5"/>
  <c r="E4919" i="5" s="1"/>
  <c r="F4920" i="5"/>
  <c r="E4920" i="5" s="1"/>
  <c r="F4921" i="5"/>
  <c r="E4921" i="5" s="1"/>
  <c r="F4922" i="5"/>
  <c r="E4922" i="5" s="1"/>
  <c r="F4924" i="5"/>
  <c r="E4924" i="5" s="1"/>
  <c r="F4925" i="5"/>
  <c r="E4925" i="5" s="1"/>
  <c r="F4926" i="5"/>
  <c r="E4926" i="5" s="1"/>
  <c r="F4927" i="5"/>
  <c r="E4927" i="5" s="1"/>
  <c r="F4928" i="5"/>
  <c r="E4928" i="5" s="1"/>
  <c r="F4929" i="5"/>
  <c r="E4929" i="5" s="1"/>
  <c r="F4930" i="5"/>
  <c r="E4930" i="5" s="1"/>
  <c r="F4931" i="5"/>
  <c r="E4931" i="5" s="1"/>
  <c r="F4932" i="5"/>
  <c r="E4932" i="5" s="1"/>
  <c r="F4933" i="5"/>
  <c r="E4933" i="5" s="1"/>
  <c r="F4934" i="5"/>
  <c r="E4934" i="5" s="1"/>
  <c r="F4935" i="5"/>
  <c r="E4935" i="5" s="1"/>
  <c r="F4936" i="5"/>
  <c r="E4936" i="5" s="1"/>
  <c r="F4937" i="5"/>
  <c r="E4937" i="5" s="1"/>
  <c r="F4938" i="5"/>
  <c r="E4938" i="5" s="1"/>
  <c r="F4939" i="5"/>
  <c r="E4939" i="5" s="1"/>
  <c r="F4940" i="5"/>
  <c r="E4940" i="5" s="1"/>
  <c r="F4941" i="5"/>
  <c r="E4941" i="5" s="1"/>
  <c r="F4942" i="5"/>
  <c r="E4942" i="5" s="1"/>
  <c r="F4943" i="5"/>
  <c r="E4943" i="5" s="1"/>
  <c r="F4944" i="5"/>
  <c r="E4944" i="5" s="1"/>
  <c r="F4945" i="5"/>
  <c r="E4945" i="5" s="1"/>
  <c r="F4946" i="5"/>
  <c r="E4946" i="5" s="1"/>
  <c r="F4947" i="5"/>
  <c r="E4947" i="5" s="1"/>
  <c r="F4948" i="5"/>
  <c r="E4948" i="5" s="1"/>
  <c r="F4949" i="5"/>
  <c r="E4949" i="5" s="1"/>
  <c r="F4951" i="5"/>
  <c r="E4951" i="5" s="1"/>
  <c r="F4952" i="5"/>
  <c r="E4952" i="5" s="1"/>
  <c r="F4953" i="5"/>
  <c r="E4953" i="5" s="1"/>
  <c r="F4954" i="5"/>
  <c r="E4954" i="5" s="1"/>
  <c r="F4955" i="5"/>
  <c r="E4955" i="5" s="1"/>
  <c r="F4956" i="5"/>
  <c r="E4956" i="5" s="1"/>
  <c r="F4957" i="5"/>
  <c r="E4957" i="5" s="1"/>
  <c r="F4958" i="5"/>
  <c r="E4958" i="5" s="1"/>
  <c r="F4959" i="5"/>
  <c r="E4959" i="5" s="1"/>
  <c r="F4960" i="5"/>
  <c r="E4960" i="5" s="1"/>
  <c r="F4961" i="5"/>
  <c r="E4961" i="5" s="1"/>
  <c r="F4962" i="5"/>
  <c r="E4962" i="5" s="1"/>
  <c r="F4963" i="5"/>
  <c r="E4963" i="5" s="1"/>
  <c r="F4964" i="5"/>
  <c r="E4964" i="5" s="1"/>
  <c r="F4965" i="5"/>
  <c r="E4965" i="5" s="1"/>
  <c r="F4966" i="5"/>
  <c r="E4966" i="5" s="1"/>
  <c r="F4967" i="5"/>
  <c r="E4967" i="5" s="1"/>
  <c r="F4968" i="5"/>
  <c r="E4968" i="5" s="1"/>
  <c r="F4969" i="5"/>
  <c r="E4969" i="5" s="1"/>
  <c r="F4970" i="5"/>
  <c r="E4970" i="5" s="1"/>
  <c r="F4971" i="5"/>
  <c r="E4971" i="5" s="1"/>
  <c r="F4972" i="5"/>
  <c r="E4972" i="5" s="1"/>
  <c r="F4973" i="5"/>
  <c r="E4973" i="5" s="1"/>
  <c r="F4974" i="5"/>
  <c r="E4974" i="5" s="1"/>
  <c r="F4975" i="5"/>
  <c r="E4975" i="5" s="1"/>
  <c r="F4976" i="5"/>
  <c r="E4976" i="5" s="1"/>
  <c r="F4977" i="5"/>
  <c r="E4977" i="5" s="1"/>
  <c r="F4978" i="5"/>
  <c r="E4978" i="5" s="1"/>
  <c r="F4979" i="5"/>
  <c r="E4979" i="5" s="1"/>
  <c r="F4980" i="5"/>
  <c r="E4980" i="5" s="1"/>
  <c r="F4981" i="5"/>
  <c r="E4981" i="5" s="1"/>
  <c r="F4982" i="5"/>
  <c r="E4982" i="5" s="1"/>
  <c r="F4983" i="5"/>
  <c r="E4983" i="5" s="1"/>
  <c r="F4984" i="5"/>
  <c r="E4984" i="5" s="1"/>
  <c r="F4985" i="5"/>
  <c r="E4985" i="5" s="1"/>
  <c r="F4986" i="5"/>
  <c r="E4986" i="5" s="1"/>
  <c r="F4987" i="5"/>
  <c r="E4987" i="5" s="1"/>
  <c r="F4988" i="5"/>
  <c r="E4988" i="5" s="1"/>
  <c r="F4993" i="5"/>
  <c r="E4993" i="5" s="1"/>
  <c r="F4994" i="5"/>
  <c r="E4994" i="5" s="1"/>
  <c r="F5173" i="5"/>
  <c r="E5173" i="5" s="1"/>
  <c r="F5264" i="5"/>
  <c r="E5264" i="5" s="1"/>
  <c r="F5053" i="5"/>
  <c r="E5053" i="5" s="1"/>
  <c r="F4995" i="5"/>
  <c r="E4995" i="5" s="1"/>
  <c r="F4996" i="5"/>
  <c r="E4996" i="5" s="1"/>
  <c r="F4997" i="5"/>
  <c r="E4997" i="5" s="1"/>
  <c r="F4998" i="5"/>
  <c r="E4998" i="5" s="1"/>
  <c r="F4999" i="5"/>
  <c r="E4999" i="5" s="1"/>
  <c r="F5000" i="5"/>
  <c r="E5000" i="5" s="1"/>
  <c r="F5001" i="5"/>
  <c r="E5001" i="5" s="1"/>
  <c r="F5002" i="5"/>
  <c r="E5002" i="5" s="1"/>
  <c r="F5003" i="5"/>
  <c r="E5003" i="5" s="1"/>
  <c r="F5004" i="5"/>
  <c r="E5004" i="5" s="1"/>
  <c r="F5005" i="5"/>
  <c r="E5005" i="5" s="1"/>
  <c r="F5006" i="5"/>
  <c r="E5006" i="5" s="1"/>
  <c r="F5007" i="5"/>
  <c r="E5007" i="5" s="1"/>
  <c r="F5008" i="5"/>
  <c r="E5008" i="5" s="1"/>
  <c r="F5009" i="5"/>
  <c r="E5009" i="5" s="1"/>
  <c r="F5010" i="5"/>
  <c r="E5010" i="5" s="1"/>
  <c r="F5011" i="5"/>
  <c r="E5011" i="5" s="1"/>
  <c r="F5012" i="5"/>
  <c r="E5012" i="5" s="1"/>
  <c r="F5013" i="5"/>
  <c r="E5013" i="5" s="1"/>
  <c r="F5014" i="5"/>
  <c r="E5014" i="5" s="1"/>
  <c r="F5015" i="5"/>
  <c r="E5015" i="5" s="1"/>
  <c r="F5016" i="5"/>
  <c r="E5016" i="5" s="1"/>
  <c r="F5017" i="5"/>
  <c r="E5017" i="5" s="1"/>
  <c r="F5018" i="5"/>
  <c r="E5018" i="5" s="1"/>
  <c r="F5019" i="5"/>
  <c r="E5019" i="5" s="1"/>
  <c r="F5020" i="5"/>
  <c r="E5020" i="5" s="1"/>
  <c r="F5021" i="5"/>
  <c r="E5021" i="5" s="1"/>
  <c r="F5022" i="5"/>
  <c r="E5022" i="5" s="1"/>
  <c r="F5023" i="5"/>
  <c r="E5023" i="5" s="1"/>
  <c r="F5024" i="5"/>
  <c r="E5024" i="5" s="1"/>
  <c r="F5025" i="5"/>
  <c r="E5025" i="5" s="1"/>
  <c r="F5026" i="5"/>
  <c r="E5026" i="5" s="1"/>
  <c r="F5029" i="5"/>
  <c r="E5029" i="5" s="1"/>
  <c r="F5030" i="5"/>
  <c r="E5030" i="5" s="1"/>
  <c r="F5031" i="5"/>
  <c r="E5031" i="5" s="1"/>
  <c r="F5032" i="5"/>
  <c r="E5032" i="5" s="1"/>
  <c r="F5033" i="5"/>
  <c r="E5033" i="5" s="1"/>
  <c r="F5034" i="5"/>
  <c r="E5034" i="5" s="1"/>
  <c r="F5035" i="5"/>
  <c r="E5035" i="5" s="1"/>
  <c r="F5036" i="5"/>
  <c r="E5036" i="5" s="1"/>
  <c r="F5037" i="5"/>
  <c r="E5037" i="5" s="1"/>
  <c r="F5038" i="5"/>
  <c r="E5038" i="5" s="1"/>
  <c r="F5039" i="5"/>
  <c r="E5039" i="5" s="1"/>
  <c r="F5040" i="5"/>
  <c r="E5040" i="5" s="1"/>
  <c r="F5041" i="5"/>
  <c r="E5041" i="5" s="1"/>
  <c r="F5042" i="5"/>
  <c r="E5042" i="5" s="1"/>
  <c r="F5043" i="5"/>
  <c r="E5043" i="5" s="1"/>
  <c r="F5044" i="5"/>
  <c r="E5044" i="5" s="1"/>
  <c r="F5045" i="5"/>
  <c r="E5045" i="5" s="1"/>
  <c r="F5046" i="5"/>
  <c r="E5046" i="5" s="1"/>
  <c r="F5047" i="5"/>
  <c r="E5047" i="5" s="1"/>
  <c r="F5048" i="5"/>
  <c r="E5048" i="5" s="1"/>
  <c r="F5049" i="5"/>
  <c r="E5049" i="5" s="1"/>
  <c r="F5050" i="5"/>
  <c r="E5050" i="5" s="1"/>
  <c r="F5051" i="5"/>
  <c r="E5051" i="5" s="1"/>
  <c r="F5052" i="5"/>
  <c r="E5052" i="5" s="1"/>
  <c r="F5054" i="5"/>
  <c r="E5054" i="5" s="1"/>
  <c r="F5055" i="5"/>
  <c r="E5055" i="5" s="1"/>
  <c r="F5056" i="5"/>
  <c r="E5056" i="5" s="1"/>
  <c r="F5057" i="5"/>
  <c r="E5057" i="5" s="1"/>
  <c r="F5058" i="5"/>
  <c r="E5058" i="5" s="1"/>
  <c r="F5059" i="5"/>
  <c r="E5059" i="5" s="1"/>
  <c r="F5060" i="5"/>
  <c r="E5060" i="5" s="1"/>
  <c r="F5061" i="5"/>
  <c r="E5061" i="5" s="1"/>
  <c r="F5062" i="5"/>
  <c r="E5062" i="5" s="1"/>
  <c r="F5063" i="5"/>
  <c r="E5063" i="5" s="1"/>
  <c r="F5064" i="5"/>
  <c r="E5064" i="5" s="1"/>
  <c r="F5065" i="5"/>
  <c r="E5065" i="5" s="1"/>
  <c r="F5066" i="5"/>
  <c r="E5066" i="5" s="1"/>
  <c r="F5067" i="5"/>
  <c r="E5067" i="5" s="1"/>
  <c r="F5068" i="5"/>
  <c r="E5068" i="5" s="1"/>
  <c r="F5265" i="5"/>
  <c r="E5265" i="5" s="1"/>
  <c r="F5069" i="5"/>
  <c r="E5069" i="5" s="1"/>
  <c r="F5070" i="5"/>
  <c r="E5070" i="5" s="1"/>
  <c r="F5071" i="5"/>
  <c r="E5071" i="5" s="1"/>
  <c r="F5072" i="5"/>
  <c r="E5072" i="5" s="1"/>
  <c r="F5073" i="5"/>
  <c r="E5073" i="5" s="1"/>
  <c r="F5074" i="5"/>
  <c r="E5074" i="5" s="1"/>
  <c r="F5075" i="5"/>
  <c r="E5075" i="5" s="1"/>
  <c r="F5076" i="5"/>
  <c r="E5076" i="5" s="1"/>
  <c r="F5077" i="5"/>
  <c r="E5077" i="5" s="1"/>
  <c r="F5078" i="5"/>
  <c r="E5078" i="5" s="1"/>
  <c r="F5079" i="5"/>
  <c r="E5079" i="5" s="1"/>
  <c r="F5080" i="5"/>
  <c r="E5080" i="5" s="1"/>
  <c r="F5081" i="5"/>
  <c r="E5081" i="5" s="1"/>
  <c r="F5082" i="5"/>
  <c r="E5082" i="5" s="1"/>
  <c r="F5083" i="5"/>
  <c r="E5083" i="5" s="1"/>
  <c r="F5084" i="5"/>
  <c r="E5084" i="5" s="1"/>
  <c r="F5085" i="5"/>
  <c r="E5085" i="5" s="1"/>
  <c r="F5086" i="5"/>
  <c r="E5086" i="5" s="1"/>
  <c r="F5087" i="5"/>
  <c r="E5087" i="5" s="1"/>
  <c r="F5088" i="5"/>
  <c r="E5088" i="5" s="1"/>
  <c r="F5089" i="5"/>
  <c r="E5089" i="5" s="1"/>
  <c r="F5090" i="5"/>
  <c r="E5090" i="5" s="1"/>
  <c r="F5091" i="5"/>
  <c r="E5091" i="5" s="1"/>
  <c r="F5092" i="5"/>
  <c r="E5092" i="5" s="1"/>
  <c r="F5093" i="5"/>
  <c r="E5093" i="5" s="1"/>
  <c r="F5094" i="5"/>
  <c r="E5094" i="5" s="1"/>
  <c r="F5095" i="5"/>
  <c r="E5095" i="5" s="1"/>
  <c r="F5096" i="5"/>
  <c r="E5096" i="5" s="1"/>
  <c r="F5097" i="5"/>
  <c r="E5097" i="5" s="1"/>
  <c r="F5098" i="5"/>
  <c r="E5098" i="5" s="1"/>
  <c r="F5099" i="5"/>
  <c r="E5099" i="5" s="1"/>
  <c r="F5100" i="5"/>
  <c r="E5100" i="5" s="1"/>
  <c r="F5101" i="5"/>
  <c r="E5101" i="5" s="1"/>
  <c r="F5102" i="5"/>
  <c r="E5102" i="5" s="1"/>
  <c r="F5103" i="5"/>
  <c r="E5103" i="5" s="1"/>
  <c r="F5104" i="5"/>
  <c r="E5104" i="5" s="1"/>
  <c r="F5105" i="5"/>
  <c r="E5105" i="5" s="1"/>
  <c r="F5106" i="5"/>
  <c r="E5106" i="5" s="1"/>
  <c r="F5107" i="5"/>
  <c r="E5107" i="5" s="1"/>
  <c r="F5108" i="5"/>
  <c r="E5108" i="5" s="1"/>
  <c r="F5109" i="5"/>
  <c r="E5109" i="5" s="1"/>
  <c r="F5110" i="5"/>
  <c r="E5110" i="5" s="1"/>
  <c r="F5111" i="5"/>
  <c r="E5111" i="5" s="1"/>
  <c r="F5112" i="5"/>
  <c r="E5112" i="5" s="1"/>
  <c r="F5113" i="5"/>
  <c r="E5113" i="5" s="1"/>
  <c r="F5114" i="5"/>
  <c r="E5114" i="5" s="1"/>
  <c r="F5115" i="5"/>
  <c r="E5115" i="5" s="1"/>
  <c r="F5116" i="5"/>
  <c r="E5116" i="5" s="1"/>
  <c r="F5117" i="5"/>
  <c r="E5117" i="5" s="1"/>
  <c r="F5118" i="5"/>
  <c r="E5118" i="5" s="1"/>
  <c r="F5119" i="5"/>
  <c r="E5119" i="5" s="1"/>
  <c r="F5120" i="5"/>
  <c r="E5120" i="5" s="1"/>
  <c r="F5121" i="5"/>
  <c r="E5121" i="5" s="1"/>
  <c r="F5122" i="5"/>
  <c r="E5122" i="5" s="1"/>
  <c r="F5123" i="5"/>
  <c r="E5123" i="5" s="1"/>
  <c r="F5124" i="5"/>
  <c r="E5124" i="5" s="1"/>
  <c r="F5125" i="5"/>
  <c r="E5125" i="5" s="1"/>
  <c r="F5126" i="5"/>
  <c r="E5126" i="5" s="1"/>
  <c r="F5127" i="5"/>
  <c r="E5127" i="5" s="1"/>
  <c r="F5128" i="5"/>
  <c r="E5128" i="5" s="1"/>
  <c r="F5129" i="5"/>
  <c r="E5129" i="5" s="1"/>
  <c r="F5130" i="5"/>
  <c r="E5130" i="5" s="1"/>
  <c r="F5131" i="5"/>
  <c r="E5131" i="5" s="1"/>
  <c r="F5132" i="5"/>
  <c r="E5132" i="5" s="1"/>
  <c r="F5134" i="5"/>
  <c r="E5134" i="5" s="1"/>
  <c r="F5135" i="5"/>
  <c r="E5135" i="5" s="1"/>
  <c r="F5136" i="5"/>
  <c r="E5136" i="5" s="1"/>
  <c r="F5137" i="5"/>
  <c r="E5137" i="5" s="1"/>
  <c r="F5138" i="5"/>
  <c r="E5138" i="5" s="1"/>
  <c r="F5139" i="5"/>
  <c r="E5139" i="5" s="1"/>
  <c r="F5140" i="5"/>
  <c r="E5140" i="5" s="1"/>
  <c r="F5141" i="5"/>
  <c r="E5141" i="5" s="1"/>
  <c r="F5142" i="5"/>
  <c r="E5142" i="5" s="1"/>
  <c r="F5143" i="5"/>
  <c r="E5143" i="5" s="1"/>
  <c r="F5144" i="5"/>
  <c r="E5144" i="5" s="1"/>
  <c r="F5145" i="5"/>
  <c r="E5145" i="5" s="1"/>
  <c r="F5146" i="5"/>
  <c r="E5146" i="5" s="1"/>
  <c r="F5147" i="5"/>
  <c r="E5147" i="5" s="1"/>
  <c r="F5148" i="5"/>
  <c r="E5148" i="5" s="1"/>
  <c r="F5149" i="5"/>
  <c r="E5149" i="5" s="1"/>
  <c r="F5150" i="5"/>
  <c r="E5150" i="5" s="1"/>
  <c r="F5151" i="5"/>
  <c r="E5151" i="5" s="1"/>
  <c r="F5152" i="5"/>
  <c r="E5152" i="5" s="1"/>
  <c r="F5153" i="5"/>
  <c r="E5153" i="5" s="1"/>
  <c r="F5154" i="5"/>
  <c r="E5154" i="5" s="1"/>
  <c r="F5155" i="5"/>
  <c r="E5155" i="5" s="1"/>
  <c r="F5156" i="5"/>
  <c r="E5156" i="5" s="1"/>
  <c r="F5157" i="5"/>
  <c r="E5157" i="5" s="1"/>
  <c r="F5158" i="5"/>
  <c r="E5158" i="5" s="1"/>
  <c r="F5159" i="5"/>
  <c r="E5159" i="5" s="1"/>
  <c r="F5160" i="5"/>
  <c r="E5160" i="5" s="1"/>
  <c r="F5161" i="5"/>
  <c r="E5161" i="5" s="1"/>
  <c r="F5162" i="5"/>
  <c r="E5162" i="5" s="1"/>
  <c r="F5163" i="5"/>
  <c r="E5163" i="5" s="1"/>
  <c r="F5164" i="5"/>
  <c r="E5164" i="5" s="1"/>
  <c r="F5165" i="5"/>
  <c r="E5165" i="5" s="1"/>
  <c r="F5166" i="5"/>
  <c r="E5166" i="5" s="1"/>
  <c r="F5167" i="5"/>
  <c r="E5167" i="5" s="1"/>
  <c r="F5168" i="5"/>
  <c r="E5168" i="5" s="1"/>
  <c r="F5169" i="5"/>
  <c r="E5169" i="5" s="1"/>
  <c r="F5170" i="5"/>
  <c r="E5170" i="5" s="1"/>
  <c r="F5174" i="5"/>
  <c r="E5174" i="5" s="1"/>
  <c r="F5175" i="5"/>
  <c r="E5175" i="5" s="1"/>
  <c r="F5176" i="5"/>
  <c r="E5176" i="5" s="1"/>
  <c r="F5177" i="5"/>
  <c r="E5177" i="5" s="1"/>
  <c r="F5178" i="5"/>
  <c r="E5178" i="5" s="1"/>
  <c r="F5179" i="5"/>
  <c r="E5179" i="5" s="1"/>
  <c r="F5180" i="5"/>
  <c r="E5180" i="5" s="1"/>
  <c r="F5181" i="5"/>
  <c r="E5181" i="5" s="1"/>
  <c r="F5182" i="5"/>
  <c r="E5182" i="5" s="1"/>
  <c r="F5183" i="5"/>
  <c r="E5183" i="5" s="1"/>
  <c r="F5184" i="5"/>
  <c r="E5184" i="5" s="1"/>
  <c r="F5185" i="5"/>
  <c r="E5185" i="5" s="1"/>
  <c r="F5186" i="5"/>
  <c r="E5186" i="5" s="1"/>
  <c r="F5187" i="5"/>
  <c r="E5187" i="5" s="1"/>
  <c r="F5188" i="5"/>
  <c r="E5188" i="5" s="1"/>
  <c r="F5189" i="5"/>
  <c r="E5189" i="5" s="1"/>
  <c r="F5190" i="5"/>
  <c r="E5190" i="5" s="1"/>
  <c r="F5191" i="5"/>
  <c r="E5191" i="5" s="1"/>
  <c r="F5192" i="5"/>
  <c r="E5192" i="5" s="1"/>
  <c r="F5027" i="5"/>
  <c r="E5027" i="5" s="1"/>
  <c r="F5193" i="5"/>
  <c r="E5193" i="5" s="1"/>
  <c r="F5194" i="5"/>
  <c r="E5194" i="5" s="1"/>
  <c r="F5195" i="5"/>
  <c r="E5195" i="5" s="1"/>
  <c r="F5196" i="5"/>
  <c r="E5196" i="5" s="1"/>
  <c r="F5197" i="5"/>
  <c r="E5197" i="5" s="1"/>
  <c r="F5198" i="5"/>
  <c r="E5198" i="5" s="1"/>
  <c r="F5199" i="5"/>
  <c r="E5199" i="5" s="1"/>
  <c r="F5200" i="5"/>
  <c r="E5200" i="5" s="1"/>
  <c r="F5201" i="5"/>
  <c r="E5201" i="5" s="1"/>
  <c r="F5202" i="5"/>
  <c r="E5202" i="5" s="1"/>
  <c r="F5203" i="5"/>
  <c r="E5203" i="5" s="1"/>
  <c r="F5204" i="5"/>
  <c r="E5204" i="5" s="1"/>
  <c r="F5205" i="5"/>
  <c r="E5205" i="5" s="1"/>
  <c r="F5206" i="5"/>
  <c r="E5206" i="5" s="1"/>
  <c r="F5207" i="5"/>
  <c r="E5207" i="5" s="1"/>
  <c r="F5208" i="5"/>
  <c r="E5208" i="5" s="1"/>
  <c r="F5209" i="5"/>
  <c r="E5209" i="5" s="1"/>
  <c r="F5210" i="5"/>
  <c r="E5210" i="5" s="1"/>
  <c r="F5211" i="5"/>
  <c r="E5211" i="5" s="1"/>
  <c r="F5212" i="5"/>
  <c r="E5212" i="5" s="1"/>
  <c r="F5213" i="5"/>
  <c r="E5213" i="5" s="1"/>
  <c r="F5214" i="5"/>
  <c r="E5214" i="5" s="1"/>
  <c r="F5215" i="5"/>
  <c r="E5215" i="5" s="1"/>
  <c r="F5216" i="5"/>
  <c r="E5216" i="5" s="1"/>
  <c r="F5217" i="5"/>
  <c r="E5217" i="5" s="1"/>
  <c r="F5219" i="5"/>
  <c r="E5219" i="5" s="1"/>
  <c r="F5220" i="5"/>
  <c r="E5220" i="5" s="1"/>
  <c r="F5221" i="5"/>
  <c r="E5221" i="5" s="1"/>
  <c r="F5222" i="5"/>
  <c r="E5222" i="5" s="1"/>
  <c r="F5223" i="5"/>
  <c r="E5223" i="5" s="1"/>
  <c r="F5224" i="5"/>
  <c r="E5224" i="5" s="1"/>
  <c r="F5225" i="5"/>
  <c r="E5225" i="5" s="1"/>
  <c r="F5226" i="5"/>
  <c r="E5226" i="5" s="1"/>
  <c r="F5227" i="5"/>
  <c r="E5227" i="5" s="1"/>
  <c r="F5228" i="5"/>
  <c r="E5228" i="5" s="1"/>
  <c r="F5229" i="5"/>
  <c r="E5229" i="5" s="1"/>
  <c r="F5230" i="5"/>
  <c r="E5230" i="5" s="1"/>
  <c r="F5231" i="5"/>
  <c r="E5231" i="5" s="1"/>
  <c r="F5232" i="5"/>
  <c r="E5232" i="5" s="1"/>
  <c r="F5233" i="5"/>
  <c r="E5233" i="5" s="1"/>
  <c r="F5234" i="5"/>
  <c r="E5234" i="5" s="1"/>
  <c r="F5235" i="5"/>
  <c r="E5235" i="5" s="1"/>
  <c r="F5236" i="5"/>
  <c r="E5236" i="5" s="1"/>
  <c r="F5237" i="5"/>
  <c r="E5237" i="5" s="1"/>
  <c r="F5238" i="5"/>
  <c r="E5238" i="5" s="1"/>
  <c r="F5239" i="5"/>
  <c r="E5239" i="5" s="1"/>
  <c r="F5240" i="5"/>
  <c r="E5240" i="5" s="1"/>
  <c r="F5241" i="5"/>
  <c r="E5241" i="5" s="1"/>
  <c r="F5242" i="5"/>
  <c r="E5242" i="5" s="1"/>
  <c r="F5243" i="5"/>
  <c r="E5243" i="5" s="1"/>
  <c r="F5244" i="5"/>
  <c r="E5244" i="5" s="1"/>
  <c r="F5245" i="5"/>
  <c r="E5245" i="5" s="1"/>
  <c r="F5246" i="5"/>
  <c r="E5246" i="5" s="1"/>
  <c r="F5247" i="5"/>
  <c r="E5247" i="5" s="1"/>
  <c r="F5248" i="5"/>
  <c r="E5248" i="5" s="1"/>
  <c r="F5249" i="5"/>
  <c r="E5249" i="5" s="1"/>
  <c r="F5250" i="5"/>
  <c r="E5250" i="5" s="1"/>
  <c r="F5251" i="5"/>
  <c r="E5251" i="5" s="1"/>
  <c r="F5252" i="5"/>
  <c r="E5252" i="5" s="1"/>
  <c r="F5253" i="5"/>
  <c r="E5253" i="5" s="1"/>
  <c r="F5254" i="5"/>
  <c r="E5254" i="5" s="1"/>
  <c r="F5255" i="5"/>
  <c r="E5255" i="5" s="1"/>
  <c r="F5256" i="5"/>
  <c r="E5256" i="5" s="1"/>
  <c r="F5257" i="5"/>
  <c r="E5257" i="5" s="1"/>
  <c r="F5258" i="5"/>
  <c r="E5258" i="5" s="1"/>
  <c r="F5259" i="5"/>
  <c r="E5259" i="5" s="1"/>
  <c r="F5266" i="5"/>
  <c r="E5266" i="5" s="1"/>
  <c r="F5267" i="5"/>
  <c r="E5267" i="5" s="1"/>
  <c r="F5268" i="5"/>
  <c r="E5268" i="5" s="1"/>
  <c r="F5269" i="5"/>
  <c r="E5269" i="5" s="1"/>
  <c r="F5270" i="5"/>
  <c r="E5270" i="5" s="1"/>
  <c r="F5271" i="5"/>
  <c r="E5271" i="5" s="1"/>
  <c r="F5272" i="5"/>
  <c r="E5272" i="5" s="1"/>
  <c r="F5273" i="5"/>
  <c r="E5273" i="5" s="1"/>
  <c r="F5274" i="5"/>
  <c r="E5274" i="5" s="1"/>
  <c r="F5171" i="5"/>
  <c r="E5171" i="5" s="1"/>
  <c r="F5028" i="5"/>
  <c r="E5028" i="5" s="1"/>
  <c r="F5275" i="5"/>
  <c r="E5275" i="5" s="1"/>
  <c r="F5276" i="5"/>
  <c r="E5276" i="5" s="1"/>
  <c r="F5277" i="5"/>
  <c r="E5277" i="5" s="1"/>
  <c r="F5278" i="5"/>
  <c r="E5278" i="5" s="1"/>
  <c r="F5279" i="5"/>
  <c r="E5279" i="5" s="1"/>
  <c r="F5280" i="5"/>
  <c r="E5280" i="5" s="1"/>
  <c r="F5281" i="5"/>
  <c r="E5281" i="5" s="1"/>
  <c r="F5282" i="5"/>
  <c r="E5282" i="5" s="1"/>
  <c r="F5283" i="5"/>
  <c r="E5283" i="5" s="1"/>
  <c r="F5284" i="5"/>
  <c r="E5284" i="5" s="1"/>
  <c r="F5285" i="5"/>
  <c r="E5285" i="5" s="1"/>
  <c r="F5286" i="5"/>
  <c r="E5286" i="5" s="1"/>
  <c r="F5287" i="5"/>
  <c r="E5287" i="5" s="1"/>
  <c r="F5288" i="5"/>
  <c r="E5288" i="5" s="1"/>
  <c r="F5289" i="5"/>
  <c r="E5289" i="5" s="1"/>
  <c r="F5290" i="5"/>
  <c r="E5290" i="5" s="1"/>
  <c r="F5291" i="5"/>
  <c r="E5291" i="5" s="1"/>
  <c r="F5292" i="5"/>
  <c r="E5292" i="5" s="1"/>
  <c r="F5293" i="5"/>
  <c r="E5293" i="5" s="1"/>
  <c r="F5294" i="5"/>
  <c r="E5294" i="5" s="1"/>
  <c r="F5295" i="5"/>
  <c r="E5295" i="5" s="1"/>
  <c r="F5296" i="5"/>
  <c r="E5296" i="5" s="1"/>
  <c r="F5297" i="5"/>
  <c r="E5297" i="5" s="1"/>
  <c r="F5298" i="5"/>
  <c r="E5298" i="5" s="1"/>
  <c r="F5299" i="5"/>
  <c r="E5299" i="5" s="1"/>
  <c r="F5300" i="5"/>
  <c r="E5300" i="5" s="1"/>
  <c r="F5172" i="5"/>
  <c r="E5172" i="5" s="1"/>
  <c r="F5260" i="5"/>
  <c r="E5260" i="5" s="1"/>
  <c r="F5261" i="5"/>
  <c r="E5261" i="5" s="1"/>
  <c r="F5262" i="5"/>
  <c r="E5262" i="5" s="1"/>
  <c r="F5301" i="5"/>
  <c r="E5301" i="5" s="1"/>
  <c r="F5263" i="5"/>
  <c r="E5263" i="5" s="1"/>
  <c r="F5302" i="5"/>
  <c r="E5302" i="5" s="1"/>
  <c r="F5320" i="5"/>
  <c r="E5320" i="5" s="1"/>
  <c r="F5399" i="5"/>
  <c r="E5399" i="5" s="1"/>
  <c r="F5470" i="5"/>
  <c r="E5470" i="5" s="1"/>
  <c r="F5326" i="5"/>
  <c r="E5326" i="5" s="1"/>
  <c r="F5321" i="5"/>
  <c r="E5321" i="5" s="1"/>
  <c r="F5313" i="5"/>
  <c r="E5313" i="5" s="1"/>
  <c r="F5317" i="5"/>
  <c r="E5317" i="5" s="1"/>
  <c r="F5325" i="5"/>
  <c r="E5325" i="5" s="1"/>
  <c r="F5319" i="5"/>
  <c r="E5319" i="5" s="1"/>
  <c r="F5316" i="5"/>
  <c r="E5316" i="5" s="1"/>
  <c r="F5315" i="5"/>
  <c r="E5315" i="5" s="1"/>
  <c r="F5318" i="5"/>
  <c r="E5318" i="5" s="1"/>
  <c r="F5324" i="5"/>
  <c r="E5324" i="5" s="1"/>
  <c r="F5323" i="5"/>
  <c r="E5323" i="5" s="1"/>
  <c r="F5314" i="5"/>
  <c r="E5314" i="5" s="1"/>
  <c r="F5322" i="5"/>
  <c r="E5322" i="5" s="1"/>
  <c r="F5306" i="5"/>
  <c r="E5306" i="5" s="1"/>
  <c r="F5311" i="5"/>
  <c r="E5311" i="5" s="1"/>
  <c r="F5310" i="5"/>
  <c r="E5310" i="5" s="1"/>
  <c r="F5312" i="5"/>
  <c r="E5312" i="5" s="1"/>
  <c r="F5344" i="5"/>
  <c r="E5344" i="5" s="1"/>
  <c r="F5328" i="5"/>
  <c r="E5328" i="5" s="1"/>
  <c r="F5339" i="5"/>
  <c r="E5339" i="5" s="1"/>
  <c r="F5341" i="5"/>
  <c r="E5341" i="5" s="1"/>
  <c r="F5340" i="5"/>
  <c r="E5340" i="5" s="1"/>
  <c r="F5331" i="5"/>
  <c r="E5331" i="5" s="1"/>
  <c r="F5309" i="5"/>
  <c r="E5309" i="5" s="1"/>
  <c r="F5471" i="5"/>
  <c r="E5471" i="5" s="1"/>
  <c r="F5327" i="5"/>
  <c r="E5327" i="5" s="1"/>
  <c r="F5343" i="5"/>
  <c r="E5343" i="5" s="1"/>
  <c r="F5337" i="5"/>
  <c r="E5337" i="5" s="1"/>
  <c r="F5342" i="5"/>
  <c r="E5342" i="5" s="1"/>
  <c r="F5345" i="5"/>
  <c r="E5345" i="5" s="1"/>
  <c r="F5336" i="5"/>
  <c r="E5336" i="5" s="1"/>
  <c r="F5335" i="5"/>
  <c r="E5335" i="5" s="1"/>
  <c r="F5329" i="5"/>
  <c r="E5329" i="5" s="1"/>
  <c r="F5346" i="5"/>
  <c r="E5346" i="5" s="1"/>
  <c r="F5334" i="5"/>
  <c r="E5334" i="5" s="1"/>
  <c r="F5338" i="5"/>
  <c r="E5338" i="5" s="1"/>
  <c r="F5330" i="5"/>
  <c r="E5330" i="5" s="1"/>
  <c r="F5356" i="5"/>
  <c r="E5356" i="5" s="1"/>
  <c r="F5374" i="5"/>
  <c r="E5374" i="5" s="1"/>
  <c r="F5400" i="5"/>
  <c r="E5400" i="5" s="1"/>
  <c r="F5364" i="5"/>
  <c r="E5364" i="5" s="1"/>
  <c r="F5376" i="5"/>
  <c r="E5376" i="5" s="1"/>
  <c r="F5355" i="5"/>
  <c r="E5355" i="5" s="1"/>
  <c r="F5388" i="5"/>
  <c r="E5388" i="5" s="1"/>
  <c r="F5383" i="5"/>
  <c r="E5383" i="5" s="1"/>
  <c r="F5369" i="5"/>
  <c r="E5369" i="5" s="1"/>
  <c r="F5371" i="5"/>
  <c r="E5371" i="5" s="1"/>
  <c r="F5385" i="5"/>
  <c r="E5385" i="5" s="1"/>
  <c r="F5379" i="5"/>
  <c r="E5379" i="5" s="1"/>
  <c r="F5349" i="5"/>
  <c r="E5349" i="5" s="1"/>
  <c r="F5366" i="5"/>
  <c r="E5366" i="5" s="1"/>
  <c r="F5387" i="5"/>
  <c r="E5387" i="5" s="1"/>
  <c r="F5368" i="5"/>
  <c r="E5368" i="5" s="1"/>
  <c r="F5365" i="5"/>
  <c r="E5365" i="5" s="1"/>
  <c r="F5395" i="5"/>
  <c r="E5395" i="5" s="1"/>
  <c r="F5362" i="5"/>
  <c r="E5362" i="5" s="1"/>
  <c r="F5401" i="5"/>
  <c r="E5401" i="5" s="1"/>
  <c r="F5398" i="5"/>
  <c r="E5398" i="5" s="1"/>
  <c r="F5350" i="5"/>
  <c r="E5350" i="5" s="1"/>
  <c r="F5359" i="5"/>
  <c r="E5359" i="5" s="1"/>
  <c r="F5352" i="5"/>
  <c r="E5352" i="5" s="1"/>
  <c r="F5372" i="5"/>
  <c r="E5372" i="5" s="1"/>
  <c r="F5358" i="5"/>
  <c r="E5358" i="5" s="1"/>
  <c r="F5363" i="5"/>
  <c r="E5363" i="5" s="1"/>
  <c r="F5380" i="5"/>
  <c r="E5380" i="5" s="1"/>
  <c r="F5394" i="5"/>
  <c r="E5394" i="5" s="1"/>
  <c r="F5396" i="5"/>
  <c r="E5396" i="5" s="1"/>
  <c r="F5353" i="5"/>
  <c r="E5353" i="5" s="1"/>
  <c r="F5367" i="5"/>
  <c r="E5367" i="5" s="1"/>
  <c r="F5390" i="5"/>
  <c r="E5390" i="5" s="1"/>
  <c r="F5373" i="5"/>
  <c r="E5373" i="5" s="1"/>
  <c r="F5354" i="5"/>
  <c r="E5354" i="5" s="1"/>
  <c r="F5392" i="5"/>
  <c r="E5392" i="5" s="1"/>
  <c r="F5391" i="5"/>
  <c r="E5391" i="5" s="1"/>
  <c r="F5357" i="5"/>
  <c r="E5357" i="5" s="1"/>
  <c r="F5377" i="5"/>
  <c r="E5377" i="5" s="1"/>
  <c r="F5378" i="5"/>
  <c r="E5378" i="5" s="1"/>
  <c r="F5347" i="5"/>
  <c r="E5347" i="5" s="1"/>
  <c r="F5397" i="5"/>
  <c r="E5397" i="5" s="1"/>
  <c r="F5389" i="5"/>
  <c r="E5389" i="5" s="1"/>
  <c r="F5370" i="5"/>
  <c r="E5370" i="5" s="1"/>
  <c r="F5384" i="5"/>
  <c r="E5384" i="5" s="1"/>
  <c r="F5381" i="5"/>
  <c r="E5381" i="5" s="1"/>
  <c r="F5375" i="5"/>
  <c r="E5375" i="5" s="1"/>
  <c r="F5348" i="5"/>
  <c r="E5348" i="5" s="1"/>
  <c r="F5361" i="5"/>
  <c r="E5361" i="5" s="1"/>
  <c r="F5360" i="5"/>
  <c r="E5360" i="5" s="1"/>
  <c r="F5351" i="5"/>
  <c r="E5351" i="5" s="1"/>
  <c r="F5393" i="5"/>
  <c r="E5393" i="5" s="1"/>
  <c r="F5386" i="5"/>
  <c r="E5386" i="5" s="1"/>
  <c r="F5307" i="5"/>
  <c r="E5307" i="5" s="1"/>
  <c r="F5403" i="5"/>
  <c r="E5403" i="5" s="1"/>
  <c r="F5402" i="5"/>
  <c r="E5402" i="5" s="1"/>
  <c r="F5404" i="5"/>
  <c r="E5404" i="5" s="1"/>
  <c r="F5382" i="5"/>
  <c r="E5382" i="5" s="1"/>
  <c r="F5419" i="5"/>
  <c r="E5419" i="5" s="1"/>
  <c r="F5435" i="5"/>
  <c r="E5435" i="5" s="1"/>
  <c r="F5415" i="5"/>
  <c r="E5415" i="5" s="1"/>
  <c r="F5428" i="5"/>
  <c r="E5428" i="5" s="1"/>
  <c r="F5452" i="5"/>
  <c r="E5452" i="5" s="1"/>
  <c r="F5456" i="5"/>
  <c r="E5456" i="5" s="1"/>
  <c r="F5455" i="5"/>
  <c r="E5455" i="5" s="1"/>
  <c r="F5441" i="5"/>
  <c r="E5441" i="5" s="1"/>
  <c r="F5429" i="5"/>
  <c r="E5429" i="5" s="1"/>
  <c r="F5442" i="5"/>
  <c r="E5442" i="5" s="1"/>
  <c r="F5448" i="5"/>
  <c r="E5448" i="5" s="1"/>
  <c r="F5461" i="5"/>
  <c r="E5461" i="5" s="1"/>
  <c r="F5406" i="5"/>
  <c r="E5406" i="5" s="1"/>
  <c r="F5451" i="5"/>
  <c r="E5451" i="5" s="1"/>
  <c r="F5408" i="5"/>
  <c r="E5408" i="5" s="1"/>
  <c r="F5413" i="5"/>
  <c r="E5413" i="5" s="1"/>
  <c r="F5454" i="5"/>
  <c r="E5454" i="5" s="1"/>
  <c r="F5423" i="5"/>
  <c r="E5423" i="5" s="1"/>
  <c r="F5433" i="5"/>
  <c r="E5433" i="5" s="1"/>
  <c r="F5434" i="5"/>
  <c r="E5434" i="5" s="1"/>
  <c r="F5411" i="5"/>
  <c r="E5411" i="5" s="1"/>
  <c r="F5459" i="5"/>
  <c r="E5459" i="5" s="1"/>
  <c r="F5412" i="5"/>
  <c r="E5412" i="5" s="1"/>
  <c r="F5458" i="5"/>
  <c r="E5458" i="5" s="1"/>
  <c r="F5438" i="5"/>
  <c r="E5438" i="5" s="1"/>
  <c r="F5439" i="5"/>
  <c r="E5439" i="5" s="1"/>
  <c r="F5430" i="5"/>
  <c r="E5430" i="5" s="1"/>
  <c r="F5422" i="5"/>
  <c r="E5422" i="5" s="1"/>
  <c r="F5446" i="5"/>
  <c r="E5446" i="5" s="1"/>
  <c r="F5453" i="5"/>
  <c r="E5453" i="5" s="1"/>
  <c r="F5426" i="5"/>
  <c r="E5426" i="5" s="1"/>
  <c r="F5410" i="5"/>
  <c r="E5410" i="5" s="1"/>
  <c r="F5445" i="5"/>
  <c r="E5445" i="5" s="1"/>
  <c r="F5421" i="5"/>
  <c r="E5421" i="5" s="1"/>
  <c r="F5457" i="5"/>
  <c r="E5457" i="5" s="1"/>
  <c r="F5431" i="5"/>
  <c r="E5431" i="5" s="1"/>
  <c r="F5432" i="5"/>
  <c r="E5432" i="5" s="1"/>
  <c r="F5444" i="5"/>
  <c r="E5444" i="5" s="1"/>
  <c r="F5409" i="5"/>
  <c r="E5409" i="5" s="1"/>
  <c r="F5407" i="5"/>
  <c r="E5407" i="5" s="1"/>
  <c r="F5424" i="5"/>
  <c r="E5424" i="5" s="1"/>
  <c r="F5447" i="5"/>
  <c r="E5447" i="5" s="1"/>
  <c r="F5417" i="5"/>
  <c r="E5417" i="5" s="1"/>
  <c r="F5427" i="5"/>
  <c r="E5427" i="5" s="1"/>
  <c r="F5436" i="5"/>
  <c r="E5436" i="5" s="1"/>
  <c r="F5443" i="5"/>
  <c r="E5443" i="5" s="1"/>
  <c r="F5449" i="5"/>
  <c r="E5449" i="5" s="1"/>
  <c r="F5450" i="5"/>
  <c r="E5450" i="5" s="1"/>
  <c r="F5416" i="5"/>
  <c r="E5416" i="5" s="1"/>
  <c r="F5418" i="5"/>
  <c r="E5418" i="5" s="1"/>
  <c r="F5460" i="5"/>
  <c r="E5460" i="5" s="1"/>
  <c r="F5414" i="5"/>
  <c r="E5414" i="5" s="1"/>
  <c r="F5425" i="5"/>
  <c r="E5425" i="5" s="1"/>
  <c r="F5440" i="5"/>
  <c r="E5440" i="5" s="1"/>
  <c r="F5462" i="5"/>
  <c r="E5462" i="5" s="1"/>
  <c r="F5463" i="5"/>
  <c r="E5463" i="5" s="1"/>
  <c r="F5437" i="5"/>
  <c r="E5437" i="5" s="1"/>
  <c r="F5465" i="5"/>
  <c r="E5465" i="5" s="1"/>
  <c r="F5485" i="5"/>
  <c r="E5485" i="5" s="1"/>
  <c r="F5502" i="5"/>
  <c r="E5502" i="5" s="1"/>
  <c r="F5486" i="5"/>
  <c r="E5486" i="5" s="1"/>
  <c r="F5487" i="5"/>
  <c r="E5487" i="5" s="1"/>
  <c r="F5484" i="5"/>
  <c r="E5484" i="5" s="1"/>
  <c r="F5473" i="5"/>
  <c r="E5473" i="5" s="1"/>
  <c r="F5477" i="5"/>
  <c r="E5477" i="5" s="1"/>
  <c r="F5332" i="5"/>
  <c r="E5332" i="5" s="1"/>
  <c r="F5333" i="5"/>
  <c r="E5333" i="5" s="1"/>
  <c r="F5503" i="5"/>
  <c r="E5503" i="5" s="1"/>
  <c r="F5476" i="5"/>
  <c r="E5476" i="5" s="1"/>
  <c r="F5478" i="5"/>
  <c r="E5478" i="5" s="1"/>
  <c r="F5466" i="5"/>
  <c r="E5466" i="5" s="1"/>
  <c r="F5472" i="5"/>
  <c r="E5472" i="5" s="1"/>
  <c r="F5481" i="5"/>
  <c r="E5481" i="5" s="1"/>
  <c r="F5488" i="5"/>
  <c r="E5488" i="5" s="1"/>
  <c r="F5494" i="5"/>
  <c r="E5494" i="5" s="1"/>
  <c r="F5482" i="5"/>
  <c r="E5482" i="5" s="1"/>
  <c r="F5510" i="5"/>
  <c r="E5510" i="5" s="1"/>
  <c r="F5468" i="5"/>
  <c r="E5468" i="5" s="1"/>
  <c r="F5464" i="5"/>
  <c r="E5464" i="5" s="1"/>
  <c r="F5495" i="5"/>
  <c r="E5495" i="5" s="1"/>
  <c r="F5500" i="5"/>
  <c r="E5500" i="5" s="1"/>
  <c r="F5498" i="5"/>
  <c r="E5498" i="5" s="1"/>
  <c r="F5499" i="5"/>
  <c r="E5499" i="5" s="1"/>
  <c r="F5497" i="5"/>
  <c r="E5497" i="5" s="1"/>
  <c r="F5496" i="5"/>
  <c r="E5496" i="5" s="1"/>
  <c r="F5504" i="5"/>
  <c r="E5504" i="5" s="1"/>
  <c r="F5506" i="5"/>
  <c r="E5506" i="5" s="1"/>
  <c r="F5507" i="5"/>
  <c r="E5507" i="5" s="1"/>
  <c r="F5508" i="5"/>
  <c r="E5508" i="5" s="1"/>
  <c r="F5509" i="5"/>
  <c r="E5509" i="5" s="1"/>
  <c r="F5480" i="5"/>
  <c r="E5480" i="5" s="1"/>
  <c r="F5474" i="5"/>
  <c r="E5474" i="5" s="1"/>
  <c r="F5501" i="5"/>
  <c r="E5501" i="5" s="1"/>
  <c r="F5475" i="5"/>
  <c r="E5475" i="5" s="1"/>
  <c r="F5491" i="5"/>
  <c r="E5491" i="5" s="1"/>
  <c r="F5492" i="5"/>
  <c r="E5492" i="5" s="1"/>
  <c r="F5489" i="5"/>
  <c r="E5489" i="5" s="1"/>
  <c r="F5493" i="5"/>
  <c r="E5493" i="5" s="1"/>
  <c r="F5308" i="5"/>
  <c r="E5308" i="5" s="1"/>
  <c r="F5483" i="5"/>
  <c r="E5483" i="5" s="1"/>
  <c r="F5490" i="5"/>
  <c r="E5490" i="5" s="1"/>
  <c r="F5479" i="5"/>
  <c r="E5479" i="5" s="1"/>
  <c r="F5511" i="5"/>
  <c r="E5511" i="5" s="1"/>
  <c r="F5505" i="5"/>
  <c r="E5505" i="5" s="1"/>
  <c r="F5512" i="5"/>
  <c r="E5512" i="5" s="1"/>
  <c r="F5467" i="5"/>
  <c r="E5467" i="5" s="1"/>
  <c r="F5469" i="5"/>
  <c r="E5469" i="5" s="1"/>
  <c r="F5513" i="5"/>
  <c r="F5537" i="5"/>
  <c r="F5538" i="5"/>
  <c r="F5540" i="5"/>
  <c r="F5516" i="5"/>
  <c r="F5517" i="5"/>
  <c r="F5524" i="5"/>
  <c r="F5519" i="5"/>
  <c r="F5522" i="5"/>
  <c r="F5529" i="5"/>
  <c r="F5533" i="5"/>
  <c r="F5534" i="5"/>
  <c r="F5523" i="5"/>
  <c r="F5520" i="5"/>
  <c r="F5521" i="5"/>
  <c r="F5515" i="5"/>
  <c r="F5532" i="5"/>
  <c r="F5528" i="5"/>
  <c r="F5539" i="5"/>
  <c r="F5536" i="5"/>
  <c r="F5535" i="5"/>
  <c r="F5514" i="5"/>
  <c r="F5526" i="5"/>
  <c r="F5531" i="5"/>
  <c r="F5530" i="5"/>
  <c r="F5518" i="5"/>
  <c r="F5527" i="5"/>
  <c r="F5525" i="5"/>
  <c r="F5556" i="5"/>
  <c r="F5555" i="5"/>
  <c r="F5568" i="5"/>
  <c r="F5547" i="5"/>
  <c r="F5558" i="5"/>
  <c r="F5565" i="5"/>
  <c r="F5573" i="5"/>
  <c r="F5581" i="5"/>
  <c r="F5563" i="5"/>
  <c r="F5561" i="5"/>
  <c r="F5560" i="5"/>
  <c r="F5546" i="5"/>
  <c r="F5548" i="5"/>
  <c r="F5575" i="5"/>
  <c r="F5579" i="5"/>
  <c r="F5559" i="5"/>
  <c r="F5552" i="5"/>
  <c r="F5542" i="5"/>
  <c r="F5569" i="5"/>
  <c r="F5543" i="5"/>
  <c r="F5557" i="5"/>
  <c r="F5562" i="5"/>
  <c r="F5574" i="5"/>
  <c r="F5576" i="5"/>
  <c r="F5577" i="5"/>
  <c r="F5570" i="5"/>
  <c r="F5567" i="5"/>
  <c r="F5554" i="5"/>
  <c r="F5541" i="5"/>
  <c r="F5553" i="5"/>
  <c r="F5580" i="5"/>
  <c r="F5549" i="5"/>
  <c r="F5572" i="5"/>
  <c r="F5571" i="5"/>
  <c r="F5550" i="5"/>
  <c r="F5578" i="5"/>
  <c r="F5564" i="5"/>
  <c r="F5544" i="5"/>
  <c r="F5566" i="5"/>
  <c r="F5551" i="5"/>
  <c r="F5583" i="5"/>
  <c r="F5582" i="5"/>
  <c r="F5724" i="5"/>
  <c r="F5869" i="5"/>
  <c r="F5592" i="5"/>
  <c r="F5599" i="5"/>
  <c r="F5597" i="5"/>
  <c r="F5604" i="5"/>
  <c r="F5607" i="5"/>
  <c r="F5603" i="5"/>
  <c r="F5606" i="5"/>
  <c r="F5594" i="5"/>
  <c r="F5605" i="5"/>
  <c r="F5598" i="5"/>
  <c r="F5602" i="5"/>
  <c r="F5596" i="5"/>
  <c r="F5601" i="5"/>
  <c r="F5593" i="5"/>
  <c r="F5595" i="5"/>
  <c r="F5600" i="5"/>
  <c r="F5612" i="5"/>
  <c r="F5634" i="5"/>
  <c r="F5620" i="5"/>
  <c r="F5609" i="5"/>
  <c r="F5621" i="5"/>
  <c r="F5623" i="5"/>
  <c r="F5625" i="5"/>
  <c r="F5626" i="5"/>
  <c r="F5629" i="5"/>
  <c r="F5628" i="5"/>
  <c r="F5610" i="5"/>
  <c r="F5666" i="5"/>
  <c r="F8965" i="5"/>
  <c r="F5749" i="5"/>
  <c r="F5616" i="5"/>
  <c r="F5615" i="5"/>
  <c r="F5614" i="5"/>
  <c r="F5618" i="5"/>
  <c r="F5624" i="5"/>
  <c r="F5635" i="5"/>
  <c r="F5611" i="5"/>
  <c r="F5619" i="5"/>
  <c r="F5622" i="5"/>
  <c r="F5633" i="5"/>
  <c r="F5631" i="5"/>
  <c r="F5630" i="5"/>
  <c r="F5632" i="5"/>
  <c r="F5613" i="5"/>
  <c r="F5627" i="5"/>
  <c r="F5608" i="5"/>
  <c r="F5617" i="5"/>
  <c r="F5721" i="5"/>
  <c r="F5725" i="5"/>
  <c r="F5708" i="5"/>
  <c r="F5646" i="5"/>
  <c r="F5691" i="5"/>
  <c r="F5707" i="5"/>
  <c r="F5679" i="5"/>
  <c r="F5680" i="5"/>
  <c r="F5688" i="5"/>
  <c r="F5693" i="5"/>
  <c r="F5694" i="5"/>
  <c r="F5653" i="5"/>
  <c r="F5641" i="5"/>
  <c r="F5716" i="5"/>
  <c r="F5649" i="5"/>
  <c r="F5664" i="5"/>
  <c r="F5663" i="5"/>
  <c r="F5673" i="5"/>
  <c r="F5684" i="5"/>
  <c r="F5636" i="5"/>
  <c r="F5639" i="5"/>
  <c r="F5637" i="5"/>
  <c r="F5726" i="5"/>
  <c r="F5727" i="5"/>
  <c r="F5750" i="5"/>
  <c r="F5773" i="5"/>
  <c r="F5668" i="5"/>
  <c r="F5669" i="5"/>
  <c r="F5656" i="5"/>
  <c r="F5702" i="5"/>
  <c r="F5685" i="5"/>
  <c r="F5712" i="5"/>
  <c r="F5686" i="5"/>
  <c r="F5701" i="5"/>
  <c r="F5713" i="5"/>
  <c r="F5665" i="5"/>
  <c r="F5681" i="5"/>
  <c r="F5654" i="5"/>
  <c r="F5647" i="5"/>
  <c r="F5672" i="5"/>
  <c r="F5655" i="5"/>
  <c r="F5717" i="5"/>
  <c r="F5703" i="5"/>
  <c r="F5660" i="5"/>
  <c r="F5711" i="5"/>
  <c r="F5698" i="5"/>
  <c r="F5696" i="5"/>
  <c r="F5695" i="5"/>
  <c r="F5670" i="5"/>
  <c r="F5645" i="5"/>
  <c r="F5704" i="5"/>
  <c r="F5692" i="5"/>
  <c r="F5661" i="5"/>
  <c r="F5659" i="5"/>
  <c r="F5683" i="5"/>
  <c r="F5682" i="5"/>
  <c r="F5642" i="5"/>
  <c r="F5671" i="5"/>
  <c r="F5706" i="5"/>
  <c r="F5710" i="5"/>
  <c r="F5697" i="5"/>
  <c r="F5689" i="5"/>
  <c r="F5687" i="5"/>
  <c r="F5699" i="5"/>
  <c r="F5667" i="5"/>
  <c r="F5678" i="5"/>
  <c r="F5652" i="5"/>
  <c r="F5690" i="5"/>
  <c r="F5677" i="5"/>
  <c r="F5662" i="5"/>
  <c r="F5650" i="5"/>
  <c r="F5651" i="5"/>
  <c r="F5715" i="5"/>
  <c r="F5714" i="5"/>
  <c r="F5657" i="5"/>
  <c r="F5675" i="5"/>
  <c r="F5676" i="5"/>
  <c r="F5658" i="5"/>
  <c r="F5644" i="5"/>
  <c r="F5643" i="5"/>
  <c r="F5746" i="5"/>
  <c r="F5731" i="5"/>
  <c r="F5771" i="5"/>
  <c r="F5752" i="5"/>
  <c r="F5760" i="5"/>
  <c r="F5759" i="5"/>
  <c r="F5764" i="5"/>
  <c r="F5745" i="5"/>
  <c r="F5722" i="5"/>
  <c r="F5723" i="5"/>
  <c r="F5729" i="5"/>
  <c r="F5772" i="5"/>
  <c r="F5757" i="5"/>
  <c r="F5748" i="5"/>
  <c r="F5747" i="5"/>
  <c r="F5730" i="5"/>
  <c r="F5758" i="5"/>
  <c r="F5755" i="5"/>
  <c r="F5774" i="5"/>
  <c r="F5767" i="5"/>
  <c r="F5753" i="5"/>
  <c r="F5761" i="5"/>
  <c r="F5742" i="5"/>
  <c r="F5762" i="5"/>
  <c r="F5769" i="5"/>
  <c r="F5751" i="5"/>
  <c r="F5743" i="5"/>
  <c r="F5738" i="5"/>
  <c r="F5756" i="5"/>
  <c r="F5765" i="5"/>
  <c r="F5732" i="5"/>
  <c r="F5768" i="5"/>
  <c r="F5754" i="5"/>
  <c r="F5763" i="5"/>
  <c r="F5766" i="5"/>
  <c r="F5744" i="5"/>
  <c r="F5739" i="5"/>
  <c r="F5741" i="5"/>
  <c r="F5791" i="5"/>
  <c r="F5811" i="5"/>
  <c r="F5813" i="5"/>
  <c r="F5789" i="5"/>
  <c r="F5798" i="5"/>
  <c r="F5777" i="5"/>
  <c r="F5780" i="5"/>
  <c r="F5781" i="5"/>
  <c r="F5779" i="5"/>
  <c r="F5785" i="5"/>
  <c r="F5795" i="5"/>
  <c r="F5790" i="5"/>
  <c r="F5818" i="5"/>
  <c r="F5808" i="5"/>
  <c r="F5805" i="5"/>
  <c r="F5807" i="5"/>
  <c r="F5778" i="5"/>
  <c r="F5810" i="5"/>
  <c r="F5799" i="5"/>
  <c r="F5784" i="5"/>
  <c r="F5794" i="5"/>
  <c r="F5793" i="5"/>
  <c r="F5800" i="5"/>
  <c r="F5806" i="5"/>
  <c r="F5783" i="5"/>
  <c r="F5809" i="5"/>
  <c r="F5804" i="5"/>
  <c r="F5814" i="5"/>
  <c r="F5816" i="5"/>
  <c r="F5782" i="5"/>
  <c r="F5796" i="5"/>
  <c r="F5797" i="5"/>
  <c r="F5786" i="5"/>
  <c r="F5792" i="5"/>
  <c r="F5820" i="5"/>
  <c r="F5801" i="5"/>
  <c r="F5787" i="5"/>
  <c r="F5788" i="5"/>
  <c r="F5802" i="5"/>
  <c r="F5815" i="5"/>
  <c r="F5803" i="5"/>
  <c r="F5817" i="5"/>
  <c r="F5832" i="5"/>
  <c r="F5821" i="5"/>
  <c r="F5845" i="5"/>
  <c r="F5830" i="5"/>
  <c r="F5848" i="5"/>
  <c r="F5824" i="5"/>
  <c r="F5846" i="5"/>
  <c r="F5850" i="5"/>
  <c r="F5822" i="5"/>
  <c r="F5838" i="5"/>
  <c r="F5831" i="5"/>
  <c r="F5826" i="5"/>
  <c r="F5835" i="5"/>
  <c r="F5836" i="5"/>
  <c r="F5840" i="5"/>
  <c r="F5839" i="5"/>
  <c r="F5823" i="5"/>
  <c r="F5849" i="5"/>
  <c r="F5837" i="5"/>
  <c r="F5829" i="5"/>
  <c r="F5828" i="5"/>
  <c r="F5827" i="5"/>
  <c r="F5844" i="5"/>
  <c r="F5825" i="5"/>
  <c r="F5860" i="5"/>
  <c r="F5857" i="5"/>
  <c r="F5872" i="5"/>
  <c r="F5885" i="5"/>
  <c r="F5899" i="5"/>
  <c r="F5880" i="5"/>
  <c r="F5876" i="5"/>
  <c r="F5866" i="5"/>
  <c r="F5875" i="5"/>
  <c r="F5894" i="5"/>
  <c r="F5892" i="5"/>
  <c r="F5864" i="5"/>
  <c r="F5854" i="5"/>
  <c r="F5889" i="5"/>
  <c r="F5891" i="5"/>
  <c r="F5881" i="5"/>
  <c r="F5873" i="5"/>
  <c r="F5886" i="5"/>
  <c r="F5887" i="5"/>
  <c r="F5638" i="5"/>
  <c r="F5882" i="5"/>
  <c r="F5861" i="5"/>
  <c r="F5897" i="5"/>
  <c r="F5871" i="5"/>
  <c r="F5884" i="5"/>
  <c r="F5852" i="5"/>
  <c r="F5874" i="5"/>
  <c r="F5878" i="5"/>
  <c r="F5862" i="5"/>
  <c r="F5870" i="5"/>
  <c r="F5853" i="5"/>
  <c r="F5893" i="5"/>
  <c r="F5877" i="5"/>
  <c r="F5867" i="5"/>
  <c r="F5896" i="5"/>
  <c r="F5888" i="5"/>
  <c r="F5883" i="5"/>
  <c r="F5858" i="5"/>
  <c r="F5865" i="5"/>
  <c r="F5895" i="5"/>
  <c r="F5863" i="5"/>
  <c r="F5855" i="5"/>
  <c r="F5859" i="5"/>
  <c r="F5898" i="5"/>
  <c r="F5856" i="5"/>
  <c r="F5879" i="5"/>
  <c r="F5868" i="5"/>
  <c r="F5890" i="5"/>
  <c r="F5952" i="5"/>
  <c r="F5907" i="5"/>
  <c r="F5916" i="5"/>
  <c r="F5947" i="5"/>
  <c r="F5906" i="5"/>
  <c r="F5922" i="5"/>
  <c r="F5940" i="5"/>
  <c r="F5941" i="5"/>
  <c r="F5942" i="5"/>
  <c r="F5943" i="5"/>
  <c r="F5944" i="5"/>
  <c r="F5945" i="5"/>
  <c r="F5946" i="5"/>
  <c r="F5951" i="5"/>
  <c r="F5904" i="5"/>
  <c r="F5923" i="5"/>
  <c r="F5924" i="5"/>
  <c r="F5925" i="5"/>
  <c r="F5926" i="5"/>
  <c r="F5927" i="5"/>
  <c r="F5928" i="5"/>
  <c r="F5929" i="5"/>
  <c r="F5930" i="5"/>
  <c r="F5931" i="5"/>
  <c r="F5932" i="5"/>
  <c r="F5953" i="5"/>
  <c r="F5954" i="5"/>
  <c r="F5955" i="5"/>
  <c r="F5956" i="5"/>
  <c r="F5957" i="5"/>
  <c r="F5958" i="5"/>
  <c r="F5959" i="5"/>
  <c r="F5960" i="5"/>
  <c r="F5961" i="5"/>
  <c r="F5962" i="5"/>
  <c r="F5963" i="5"/>
  <c r="F5965" i="5"/>
  <c r="F5964" i="5"/>
  <c r="F5939" i="5"/>
  <c r="F5912" i="5"/>
  <c r="F5948" i="5"/>
  <c r="F5937" i="5"/>
  <c r="F5911" i="5"/>
  <c r="F5935" i="5"/>
  <c r="F5936" i="5"/>
  <c r="F5917" i="5"/>
  <c r="F5950" i="5"/>
  <c r="F5921" i="5"/>
  <c r="F5920" i="5"/>
  <c r="F5908" i="5"/>
  <c r="F5938" i="5"/>
  <c r="F5918" i="5"/>
  <c r="F5919" i="5"/>
  <c r="F5915" i="5"/>
  <c r="F5933" i="5"/>
  <c r="F5903" i="5"/>
  <c r="F5913" i="5"/>
  <c r="F5914" i="5"/>
  <c r="F5910" i="5"/>
  <c r="F5905" i="5"/>
  <c r="F5949" i="5"/>
  <c r="F5934" i="5"/>
  <c r="F5987" i="5"/>
  <c r="F5985" i="5"/>
  <c r="F5976" i="5"/>
  <c r="F5992" i="5"/>
  <c r="F5990" i="5"/>
  <c r="F5991" i="5"/>
  <c r="F5972" i="5"/>
  <c r="F5982" i="5"/>
  <c r="F5994" i="5"/>
  <c r="F5986" i="5"/>
  <c r="F5979" i="5"/>
  <c r="F5977" i="5"/>
  <c r="F5988" i="5"/>
  <c r="F5978" i="5"/>
  <c r="F5971" i="5"/>
  <c r="F5973" i="5"/>
  <c r="F5975" i="5"/>
  <c r="F5989" i="5"/>
  <c r="F5993" i="5"/>
  <c r="F5968" i="5"/>
  <c r="F5969" i="5"/>
  <c r="F5970" i="5"/>
  <c r="F5984" i="5"/>
  <c r="F5983" i="5"/>
  <c r="F5995" i="5"/>
  <c r="F5980" i="5"/>
  <c r="F5996" i="5"/>
  <c r="F5981" i="5"/>
  <c r="F5974" i="5"/>
  <c r="F6001" i="5"/>
  <c r="F6002" i="5"/>
  <c r="F6044" i="5"/>
  <c r="F6032" i="5"/>
  <c r="F6033" i="5"/>
  <c r="F6043" i="5"/>
  <c r="F6017" i="5"/>
  <c r="F6045" i="5"/>
  <c r="F6034" i="5"/>
  <c r="F6018" i="5"/>
  <c r="F6028" i="5"/>
  <c r="F6054" i="5"/>
  <c r="F6035" i="5"/>
  <c r="F6023" i="5"/>
  <c r="F6012" i="5"/>
  <c r="F6030" i="5"/>
  <c r="F6029" i="5"/>
  <c r="F6053" i="5"/>
  <c r="F6021" i="5"/>
  <c r="F6022" i="5"/>
  <c r="F6003" i="5"/>
  <c r="F6024" i="5"/>
  <c r="F6010" i="5"/>
  <c r="F6037" i="5"/>
  <c r="F6046" i="5"/>
  <c r="F6031" i="5"/>
  <c r="F6007" i="5"/>
  <c r="F6025" i="5"/>
  <c r="F6026" i="5"/>
  <c r="F6020" i="5"/>
  <c r="F6019" i="5"/>
  <c r="F6008" i="5"/>
  <c r="F6004" i="5"/>
  <c r="F6042" i="5"/>
  <c r="F6027" i="5"/>
  <c r="F6038" i="5"/>
  <c r="F6016" i="5"/>
  <c r="F6011" i="5"/>
  <c r="F6055" i="5"/>
  <c r="F6047" i="5"/>
  <c r="F6050" i="5"/>
  <c r="F6006" i="5"/>
  <c r="F6051" i="5"/>
  <c r="F6049" i="5"/>
  <c r="F6000" i="5"/>
  <c r="F5999" i="5"/>
  <c r="F6040" i="5"/>
  <c r="F6039" i="5"/>
  <c r="F6041" i="5"/>
  <c r="F6005" i="5"/>
  <c r="F6013" i="5"/>
  <c r="F6048" i="5"/>
  <c r="F6052" i="5"/>
  <c r="F6074" i="5"/>
  <c r="F6078" i="5"/>
  <c r="F6075" i="5"/>
  <c r="F6085" i="5"/>
  <c r="F6063" i="5"/>
  <c r="F6080" i="5"/>
  <c r="F6094" i="5"/>
  <c r="F6076" i="5"/>
  <c r="F6083" i="5"/>
  <c r="F6084" i="5"/>
  <c r="F6081" i="5"/>
  <c r="F6071" i="5"/>
  <c r="F6072" i="5"/>
  <c r="F6082" i="5"/>
  <c r="F6086" i="5"/>
  <c r="F6079" i="5"/>
  <c r="F6066" i="5"/>
  <c r="F6087" i="5"/>
  <c r="F6077" i="5"/>
  <c r="F6067" i="5"/>
  <c r="F6069" i="5"/>
  <c r="F6088" i="5"/>
  <c r="F6128" i="5"/>
  <c r="F6117" i="5"/>
  <c r="F6116" i="5"/>
  <c r="F6101" i="5"/>
  <c r="F6104" i="5"/>
  <c r="F6099" i="5"/>
  <c r="F6118" i="5"/>
  <c r="F6125" i="5"/>
  <c r="F6121" i="5"/>
  <c r="F6130" i="5"/>
  <c r="F6127" i="5"/>
  <c r="F6131" i="5"/>
  <c r="F6110" i="5"/>
  <c r="F6113" i="5"/>
  <c r="F6111" i="5"/>
  <c r="F6123" i="5"/>
  <c r="F6122" i="5"/>
  <c r="F6115" i="5"/>
  <c r="F6098" i="5"/>
  <c r="F6126" i="5"/>
  <c r="F6107" i="5"/>
  <c r="F6100" i="5"/>
  <c r="F6103" i="5"/>
  <c r="F6124" i="5"/>
  <c r="F6129" i="5"/>
  <c r="F6140" i="5"/>
  <c r="F6158" i="5"/>
  <c r="F6149" i="5"/>
  <c r="F6156" i="5"/>
  <c r="F6160" i="5"/>
  <c r="F6164" i="5"/>
  <c r="F6139" i="5"/>
  <c r="F6146" i="5"/>
  <c r="F6142" i="5"/>
  <c r="F6163" i="5"/>
  <c r="F6167" i="5"/>
  <c r="F6152" i="5"/>
  <c r="F6159" i="5"/>
  <c r="F6141" i="5"/>
  <c r="F6168" i="5"/>
  <c r="F6161" i="5"/>
  <c r="F6145" i="5"/>
  <c r="F6147" i="5"/>
  <c r="F6148" i="5"/>
  <c r="F6137" i="5"/>
  <c r="F6178" i="5"/>
  <c r="F6192" i="5"/>
  <c r="F6182" i="5"/>
  <c r="F6179" i="5"/>
  <c r="F6176" i="5"/>
  <c r="F6180" i="5"/>
  <c r="F6181" i="5"/>
  <c r="F6191" i="5"/>
  <c r="F6190" i="5"/>
  <c r="F6173" i="5"/>
  <c r="F6187" i="5"/>
  <c r="F6186" i="5"/>
  <c r="F6188" i="5"/>
  <c r="F6201" i="5"/>
  <c r="F6204" i="5"/>
  <c r="F6202" i="5"/>
  <c r="F6200" i="5"/>
  <c r="F6207" i="5"/>
  <c r="F6348" i="5"/>
  <c r="F6208" i="5"/>
  <c r="F6205" i="5"/>
  <c r="F6209" i="5"/>
  <c r="F6203" i="5"/>
  <c r="F6224" i="5"/>
  <c r="F6229" i="5"/>
  <c r="F6219" i="5"/>
  <c r="F6215" i="5"/>
  <c r="F6222" i="5"/>
  <c r="F6214" i="5"/>
  <c r="F6233" i="5"/>
  <c r="F6223" i="5"/>
  <c r="F6226" i="5"/>
  <c r="F6234" i="5"/>
  <c r="F6235" i="5"/>
  <c r="F6227" i="5"/>
  <c r="F6216" i="5"/>
  <c r="F6217" i="5"/>
  <c r="F6237" i="5"/>
  <c r="F6230" i="5"/>
  <c r="F6220" i="5"/>
  <c r="F6218" i="5"/>
  <c r="F6225" i="5"/>
  <c r="F6292" i="5"/>
  <c r="F6280" i="5"/>
  <c r="F6287" i="5"/>
  <c r="F6288" i="5"/>
  <c r="F6289" i="5"/>
  <c r="F6271" i="5"/>
  <c r="F6284" i="5"/>
  <c r="F6272" i="5"/>
  <c r="F6285" i="5"/>
  <c r="F6281" i="5"/>
  <c r="F6266" i="5"/>
  <c r="F6291" i="5"/>
  <c r="F6259" i="5"/>
  <c r="F6260" i="5"/>
  <c r="F6290" i="5"/>
  <c r="F6279" i="5"/>
  <c r="F6262" i="5"/>
  <c r="F6274" i="5"/>
  <c r="F6273" i="5"/>
  <c r="F6256" i="5"/>
  <c r="F6275" i="5"/>
  <c r="F6286" i="5"/>
  <c r="F6269" i="5"/>
  <c r="F6261" i="5"/>
  <c r="F6255" i="5"/>
  <c r="F6278" i="5"/>
  <c r="F6253" i="5"/>
  <c r="F6263" i="5"/>
  <c r="F6312" i="5"/>
  <c r="F6324" i="5"/>
  <c r="F6320" i="5"/>
  <c r="F6327" i="5"/>
  <c r="F6317" i="5"/>
  <c r="F6333" i="5"/>
  <c r="F6336" i="5"/>
  <c r="F6316" i="5"/>
  <c r="F6322" i="5"/>
  <c r="F6326" i="5"/>
  <c r="F6325" i="5"/>
  <c r="F6315" i="5"/>
  <c r="F6318" i="5"/>
  <c r="F6330" i="5"/>
  <c r="F6323" i="5"/>
  <c r="F6334" i="5"/>
  <c r="F6335" i="5"/>
  <c r="F6321" i="5"/>
  <c r="F6332" i="5"/>
  <c r="F6331" i="5"/>
  <c r="F6319" i="5"/>
  <c r="F6328" i="5"/>
  <c r="F6313" i="5"/>
  <c r="F6314" i="5"/>
  <c r="F6329" i="5"/>
  <c r="F6365" i="5"/>
  <c r="F6364" i="5"/>
  <c r="F6368" i="5"/>
  <c r="F6358" i="5"/>
  <c r="F6346" i="5"/>
  <c r="F6361" i="5"/>
  <c r="F6355" i="5"/>
  <c r="F6369" i="5"/>
  <c r="F6359" i="5"/>
  <c r="F6353" i="5"/>
  <c r="F6362" i="5"/>
  <c r="F6363" i="5"/>
  <c r="F6357" i="5"/>
  <c r="F6352" i="5"/>
  <c r="F6347" i="5"/>
  <c r="F6350" i="5"/>
  <c r="F6345" i="5"/>
  <c r="F6349" i="5"/>
  <c r="F6354" i="5"/>
  <c r="F6351" i="5"/>
  <c r="F6415" i="5"/>
  <c r="F6427" i="5"/>
  <c r="F6410" i="5"/>
  <c r="F6401" i="5"/>
  <c r="F6399" i="5"/>
  <c r="F6416" i="5"/>
  <c r="F6425" i="5"/>
  <c r="F6407" i="5"/>
  <c r="F6413" i="5"/>
  <c r="F6402" i="5"/>
  <c r="F6403" i="5"/>
  <c r="F6417" i="5"/>
  <c r="F6424" i="5"/>
  <c r="F6418" i="5"/>
  <c r="F6428" i="5"/>
  <c r="F6406" i="5"/>
  <c r="F6408" i="5"/>
  <c r="F6419" i="5"/>
  <c r="F6396" i="5"/>
  <c r="F6420" i="5"/>
  <c r="F6426" i="5"/>
  <c r="F6414" i="5"/>
  <c r="F6398" i="5"/>
  <c r="F6409" i="5"/>
  <c r="F6412" i="5"/>
  <c r="F6422" i="5"/>
  <c r="F6405" i="5"/>
  <c r="F6411" i="5"/>
  <c r="F6423" i="5"/>
  <c r="F6421" i="5"/>
  <c r="F6447" i="5"/>
  <c r="F6444" i="5"/>
  <c r="F6464" i="5"/>
  <c r="F6458" i="5"/>
  <c r="F6472" i="5"/>
  <c r="F6106" i="5"/>
  <c r="E6106" i="5" s="1"/>
  <c r="F6474" i="5"/>
  <c r="F6475" i="5"/>
  <c r="F6476" i="5"/>
  <c r="F6459" i="5"/>
  <c r="F6446" i="5"/>
  <c r="F6443" i="5"/>
  <c r="F6453" i="5"/>
  <c r="F6452" i="5"/>
  <c r="F6462" i="5"/>
  <c r="F6456" i="5"/>
  <c r="F6467" i="5"/>
  <c r="F6457" i="5"/>
  <c r="F6473" i="5"/>
  <c r="F6460" i="5"/>
  <c r="F6445" i="5"/>
  <c r="F6451" i="5"/>
  <c r="F6463" i="5"/>
  <c r="F6454" i="5"/>
  <c r="F6471" i="5"/>
  <c r="F6468" i="5"/>
  <c r="F6470" i="5"/>
  <c r="F6469" i="5"/>
  <c r="F6449" i="5"/>
  <c r="F6455" i="5"/>
  <c r="F6465" i="5"/>
  <c r="F6448" i="5"/>
  <c r="F6503" i="5"/>
  <c r="F6504" i="5"/>
  <c r="F6501" i="5"/>
  <c r="F6525" i="5"/>
  <c r="F6527" i="5"/>
  <c r="F6523" i="5"/>
  <c r="F6521" i="5"/>
  <c r="F6515" i="5"/>
  <c r="F6517" i="5"/>
  <c r="F6519" i="5"/>
  <c r="F6524" i="5"/>
  <c r="F6522" i="5"/>
  <c r="F6526" i="5"/>
  <c r="F6516" i="5"/>
  <c r="F6520" i="5"/>
  <c r="F6542" i="5"/>
  <c r="F6546" i="5"/>
  <c r="F6552" i="5"/>
  <c r="F6539" i="5"/>
  <c r="F6547" i="5"/>
  <c r="F6550" i="5"/>
  <c r="F6551" i="5"/>
  <c r="F6541" i="5"/>
  <c r="F6553" i="5"/>
  <c r="F6538" i="5"/>
  <c r="F6549" i="5"/>
  <c r="F6537" i="5"/>
  <c r="F6548" i="5"/>
  <c r="F6544" i="5"/>
  <c r="F6530" i="5"/>
  <c r="F6535" i="5"/>
  <c r="F6545" i="5"/>
  <c r="F6543" i="5"/>
  <c r="F6536" i="5"/>
  <c r="F6576" i="5"/>
  <c r="F6585" i="5"/>
  <c r="F6575" i="5"/>
  <c r="F6569" i="5"/>
  <c r="F6574" i="5"/>
  <c r="F6572" i="5"/>
  <c r="F6568" i="5"/>
  <c r="F6567" i="5"/>
  <c r="F6563" i="5"/>
  <c r="F6582" i="5"/>
  <c r="F6579" i="5"/>
  <c r="F6586" i="5"/>
  <c r="F6578" i="5"/>
  <c r="F6584" i="5"/>
  <c r="F6583" i="5"/>
  <c r="F6571" i="5"/>
  <c r="F6580" i="5"/>
  <c r="F6581" i="5"/>
  <c r="F6573" i="5"/>
  <c r="F6564" i="5"/>
  <c r="F6565" i="5"/>
  <c r="F6570" i="5"/>
  <c r="F6577" i="5"/>
  <c r="F6603" i="5"/>
  <c r="F6602" i="5"/>
  <c r="F6591" i="5"/>
  <c r="F6593" i="5"/>
  <c r="F6616" i="5"/>
  <c r="F6617" i="5"/>
  <c r="F6613" i="5"/>
  <c r="F6588" i="5"/>
  <c r="F6605" i="5"/>
  <c r="F6598" i="5"/>
  <c r="F6606" i="5"/>
  <c r="F6604" i="5"/>
  <c r="F6615" i="5"/>
  <c r="F6589" i="5"/>
  <c r="F6595" i="5"/>
  <c r="F6594" i="5"/>
  <c r="F6590" i="5"/>
  <c r="F6601" i="5"/>
  <c r="F6600" i="5"/>
  <c r="F6614" i="5"/>
  <c r="F6608" i="5"/>
  <c r="F6610" i="5"/>
  <c r="F6611" i="5"/>
  <c r="F6599" i="5"/>
  <c r="F6612" i="5"/>
  <c r="F6596" i="5"/>
  <c r="F6609" i="5"/>
  <c r="F6592" i="5"/>
  <c r="F6597" i="5"/>
  <c r="F6607" i="5"/>
  <c r="F6634" i="5"/>
  <c r="F6635" i="5"/>
  <c r="F6631" i="5"/>
  <c r="F6640" i="5"/>
  <c r="F6641" i="5"/>
  <c r="F6627" i="5"/>
  <c r="F6648" i="5"/>
  <c r="F6628" i="5"/>
  <c r="F6647" i="5"/>
  <c r="F6642" i="5"/>
  <c r="F6643" i="5"/>
  <c r="F6636" i="5"/>
  <c r="F6645" i="5"/>
  <c r="F6646" i="5"/>
  <c r="F6633" i="5"/>
  <c r="F6626" i="5"/>
  <c r="F6638" i="5"/>
  <c r="F6639" i="5"/>
  <c r="F6644" i="5"/>
  <c r="F6632" i="5"/>
  <c r="F6629" i="5"/>
  <c r="F6666" i="5"/>
  <c r="F6655" i="5"/>
  <c r="F6660" i="5"/>
  <c r="F6658" i="5"/>
  <c r="F6659" i="5"/>
  <c r="F6657" i="5"/>
  <c r="F6656" i="5"/>
  <c r="F6665" i="5"/>
  <c r="F6651" i="5"/>
  <c r="F6654" i="5"/>
  <c r="F6667" i="5"/>
  <c r="F6664" i="5"/>
  <c r="F6663" i="5"/>
  <c r="F6652" i="5"/>
  <c r="F6653" i="5"/>
  <c r="F6661" i="5"/>
  <c r="F6681" i="5"/>
  <c r="F6669" i="5"/>
  <c r="F6670" i="5"/>
  <c r="F6676" i="5"/>
  <c r="F6679" i="5"/>
  <c r="F6674" i="5"/>
  <c r="F6680" i="5"/>
  <c r="F6675" i="5"/>
  <c r="F6672" i="5"/>
  <c r="F6678" i="5"/>
  <c r="F6671" i="5"/>
  <c r="F6682" i="5"/>
  <c r="F6677" i="5"/>
  <c r="F6673" i="5"/>
  <c r="F6696" i="5"/>
  <c r="F6691" i="5"/>
  <c r="F6697" i="5"/>
  <c r="F6686" i="5"/>
  <c r="F6692" i="5"/>
  <c r="F6693" i="5"/>
  <c r="F6685" i="5"/>
  <c r="F6689" i="5"/>
  <c r="F6688" i="5"/>
  <c r="F6683" i="5"/>
  <c r="F6690" i="5"/>
  <c r="F6694" i="5"/>
  <c r="F6695" i="5"/>
  <c r="F6684" i="5"/>
  <c r="F6687" i="5"/>
  <c r="F6726" i="5"/>
  <c r="F6746" i="5"/>
  <c r="F6748" i="5"/>
  <c r="F6709" i="5"/>
  <c r="F6743" i="5"/>
  <c r="F6744" i="5"/>
  <c r="F6747" i="5"/>
  <c r="F6745" i="5"/>
  <c r="F6710" i="5"/>
  <c r="F6711" i="5"/>
  <c r="F6741" i="5"/>
  <c r="F6713" i="5"/>
  <c r="F6737" i="5"/>
  <c r="F6723" i="5"/>
  <c r="F6731" i="5"/>
  <c r="F6707" i="5"/>
  <c r="F6718" i="5"/>
  <c r="F6727" i="5"/>
  <c r="F6703" i="5"/>
  <c r="F6742" i="5"/>
  <c r="F6699" i="5"/>
  <c r="F6705" i="5"/>
  <c r="F6740" i="5"/>
  <c r="F6729" i="5"/>
  <c r="F6708" i="5"/>
  <c r="F6712" i="5"/>
  <c r="F6732" i="5"/>
  <c r="F6722" i="5"/>
  <c r="F6736" i="5"/>
  <c r="F6735" i="5"/>
  <c r="F6700" i="5"/>
  <c r="F6721" i="5"/>
  <c r="F6719" i="5"/>
  <c r="F6725" i="5"/>
  <c r="F6734" i="5"/>
  <c r="F6733" i="5"/>
  <c r="F6702" i="5"/>
  <c r="F6738" i="5"/>
  <c r="F6739" i="5"/>
  <c r="F6728" i="5"/>
  <c r="F6724" i="5"/>
  <c r="F6730" i="5"/>
  <c r="F6706" i="5"/>
  <c r="F6717" i="5"/>
  <c r="F6701" i="5"/>
  <c r="F6714" i="5"/>
  <c r="F6704" i="5"/>
  <c r="F6715" i="5"/>
  <c r="F6716" i="5"/>
  <c r="F6760" i="5"/>
  <c r="F6763" i="5"/>
  <c r="F6764" i="5"/>
  <c r="F6775" i="5"/>
  <c r="F6757" i="5"/>
  <c r="F6756" i="5"/>
  <c r="F6752" i="5"/>
  <c r="F6758" i="5"/>
  <c r="F6762" i="5"/>
  <c r="F6772" i="5"/>
  <c r="F6773" i="5"/>
  <c r="F6753" i="5"/>
  <c r="F6759" i="5"/>
  <c r="F6754" i="5"/>
  <c r="F6761" i="5"/>
  <c r="F6770" i="5"/>
  <c r="F6769" i="5"/>
  <c r="F6767" i="5"/>
  <c r="F6766" i="5"/>
  <c r="F6768" i="5"/>
  <c r="F6755" i="5"/>
  <c r="F6765" i="5"/>
  <c r="F6785" i="5"/>
  <c r="F6789" i="5"/>
  <c r="F6794" i="5"/>
  <c r="F6790" i="5"/>
  <c r="F6795" i="5"/>
  <c r="F6780" i="5"/>
  <c r="F6793" i="5"/>
  <c r="F6792" i="5"/>
  <c r="F6787" i="5"/>
  <c r="F6791" i="5"/>
  <c r="F6784" i="5"/>
  <c r="F6786" i="5"/>
  <c r="F6781" i="5"/>
  <c r="F6788" i="5"/>
  <c r="F6782" i="5"/>
  <c r="F6783" i="5"/>
  <c r="F6815" i="5"/>
  <c r="F6813" i="5"/>
  <c r="F6808" i="5"/>
  <c r="F6809" i="5"/>
  <c r="F6810" i="5"/>
  <c r="F6804" i="5"/>
  <c r="F6806" i="5"/>
  <c r="F6800" i="5"/>
  <c r="F6807" i="5"/>
  <c r="F6802" i="5"/>
  <c r="F6814" i="5"/>
  <c r="F6816" i="5"/>
  <c r="F6801" i="5"/>
  <c r="F6803" i="5"/>
  <c r="F6817" i="5"/>
  <c r="F6805" i="5"/>
  <c r="F6798" i="5"/>
  <c r="F6811" i="5"/>
  <c r="F6820" i="5"/>
  <c r="F6835" i="5"/>
  <c r="F6818" i="5"/>
  <c r="F6829" i="5"/>
  <c r="F6832" i="5"/>
  <c r="F6827" i="5"/>
  <c r="F6823" i="5"/>
  <c r="F6834" i="5"/>
  <c r="F6830" i="5"/>
  <c r="F6821" i="5"/>
  <c r="F6833" i="5"/>
  <c r="F6822" i="5"/>
  <c r="F6828" i="5"/>
  <c r="F6836" i="5"/>
  <c r="F6838" i="5"/>
  <c r="F6840" i="5"/>
  <c r="F6819" i="5"/>
  <c r="F6826" i="5"/>
  <c r="F6831" i="5"/>
  <c r="F6824" i="5"/>
  <c r="F6837" i="5"/>
  <c r="F6825" i="5"/>
  <c r="F6839" i="5"/>
  <c r="F6870" i="5"/>
  <c r="F6848" i="5"/>
  <c r="F6851" i="5"/>
  <c r="F6863" i="5"/>
  <c r="F6864" i="5"/>
  <c r="F6865" i="5"/>
  <c r="F6866" i="5"/>
  <c r="F6867" i="5"/>
  <c r="F6868" i="5"/>
  <c r="F6869" i="5"/>
  <c r="F6843" i="5"/>
  <c r="F6852" i="5"/>
  <c r="F6853" i="5"/>
  <c r="F6854" i="5"/>
  <c r="F6855" i="5"/>
  <c r="F6856" i="5"/>
  <c r="F6857" i="5"/>
  <c r="F6858" i="5"/>
  <c r="F6859" i="5"/>
  <c r="F6860" i="5"/>
  <c r="F6861" i="5"/>
  <c r="F6871" i="5"/>
  <c r="F6872" i="5"/>
  <c r="F6873" i="5"/>
  <c r="F6874" i="5"/>
  <c r="F6875" i="5"/>
  <c r="F6876" i="5"/>
  <c r="F6877" i="5"/>
  <c r="F6878" i="5"/>
  <c r="F6879" i="5"/>
  <c r="F6880" i="5"/>
  <c r="F6881" i="5"/>
  <c r="F6882" i="5"/>
  <c r="F6844" i="5"/>
  <c r="F6849" i="5"/>
  <c r="F6850" i="5"/>
  <c r="F6862" i="5"/>
  <c r="F6846" i="5"/>
  <c r="F6842" i="5"/>
  <c r="F6847" i="5"/>
  <c r="F6845" i="5"/>
  <c r="F6890" i="5"/>
  <c r="F6889" i="5"/>
  <c r="F6893" i="5"/>
  <c r="F6886" i="5"/>
  <c r="F6892" i="5"/>
  <c r="F6887" i="5"/>
  <c r="F6884" i="5"/>
  <c r="F6894" i="5"/>
  <c r="F6891" i="5"/>
  <c r="F6896" i="5"/>
  <c r="F6885" i="5"/>
  <c r="F6888" i="5"/>
  <c r="F6895" i="5"/>
  <c r="F6933" i="5"/>
  <c r="F6921" i="5"/>
  <c r="F6911" i="5"/>
  <c r="F6915" i="5"/>
  <c r="F6916" i="5"/>
  <c r="F6914" i="5"/>
  <c r="F6909" i="5"/>
  <c r="F6928" i="5"/>
  <c r="F6934" i="5"/>
  <c r="F6905" i="5"/>
  <c r="F6906" i="5"/>
  <c r="F6926" i="5"/>
  <c r="F6927" i="5"/>
  <c r="F6912" i="5"/>
  <c r="F6913" i="5"/>
  <c r="F6903" i="5"/>
  <c r="F6929" i="5"/>
  <c r="F6919" i="5"/>
  <c r="F6922" i="5"/>
  <c r="F6925" i="5"/>
  <c r="F6924" i="5"/>
  <c r="F7057" i="5"/>
  <c r="F6932" i="5"/>
  <c r="F6931" i="5"/>
  <c r="F6920" i="5"/>
  <c r="F6917" i="5"/>
  <c r="F6930" i="5"/>
  <c r="F6907" i="5"/>
  <c r="F6910" i="5"/>
  <c r="F6938" i="5"/>
  <c r="F6935" i="5"/>
  <c r="F6904" i="5"/>
  <c r="F6902" i="5"/>
  <c r="F6937" i="5"/>
  <c r="F6923" i="5"/>
  <c r="F6901" i="5"/>
  <c r="F6900" i="5"/>
  <c r="F6918" i="5"/>
  <c r="F6936" i="5"/>
  <c r="F6961" i="5"/>
  <c r="F6953" i="5"/>
  <c r="F6972" i="5"/>
  <c r="F6970" i="5"/>
  <c r="F6971" i="5"/>
  <c r="F6962" i="5"/>
  <c r="F6964" i="5"/>
  <c r="F6963" i="5"/>
  <c r="F6956" i="5"/>
  <c r="F6965" i="5"/>
  <c r="F6948" i="5"/>
  <c r="F6955" i="5"/>
  <c r="F6949" i="5"/>
  <c r="F6954" i="5"/>
  <c r="F6951" i="5"/>
  <c r="F6952" i="5"/>
  <c r="F6966" i="5"/>
  <c r="F6974" i="5"/>
  <c r="F6946" i="5"/>
  <c r="F6947" i="5"/>
  <c r="F6960" i="5"/>
  <c r="F6959" i="5"/>
  <c r="F6950" i="5"/>
  <c r="F6977" i="5"/>
  <c r="F6957" i="5"/>
  <c r="F6978" i="5"/>
  <c r="F6958" i="5"/>
  <c r="F6975" i="5"/>
  <c r="F6980" i="5"/>
  <c r="F6986" i="5"/>
  <c r="F6987" i="5"/>
  <c r="F6993" i="5"/>
  <c r="F6997" i="5"/>
  <c r="F6991" i="5"/>
  <c r="F6983" i="5"/>
  <c r="F6990" i="5"/>
  <c r="F6989" i="5"/>
  <c r="F6988" i="5"/>
  <c r="F6985" i="5"/>
  <c r="F6981" i="5"/>
  <c r="F6995" i="5"/>
  <c r="F6994" i="5"/>
  <c r="F6996" i="5"/>
  <c r="F6982" i="5"/>
  <c r="F6999" i="5"/>
  <c r="F7009" i="5"/>
  <c r="F7008" i="5"/>
  <c r="F7006" i="5"/>
  <c r="F7007" i="5"/>
  <c r="F7004" i="5"/>
  <c r="F7000" i="5"/>
  <c r="F7002" i="5"/>
  <c r="F7003" i="5"/>
  <c r="F7001" i="5"/>
  <c r="F7005" i="5"/>
  <c r="F7015" i="5"/>
  <c r="F7021" i="5"/>
  <c r="F7017" i="5"/>
  <c r="F7020" i="5"/>
  <c r="F7014" i="5"/>
  <c r="F7013" i="5"/>
  <c r="F7019" i="5"/>
  <c r="F7022" i="5"/>
  <c r="F7028" i="5"/>
  <c r="F7030" i="5"/>
  <c r="F7029" i="5"/>
  <c r="F7039" i="5"/>
  <c r="F7034" i="5"/>
  <c r="F7043" i="5"/>
  <c r="F7036" i="5"/>
  <c r="F7037" i="5"/>
  <c r="F7050" i="5"/>
  <c r="F7049" i="5"/>
  <c r="F7045" i="5"/>
  <c r="F7065" i="5"/>
  <c r="F7068" i="5"/>
  <c r="F7066" i="5"/>
  <c r="F7069" i="5"/>
  <c r="F7103" i="5"/>
  <c r="F7104" i="5"/>
  <c r="F7099" i="5"/>
  <c r="F7098" i="5"/>
  <c r="F7094" i="5"/>
  <c r="F7100" i="5"/>
  <c r="F7102" i="5"/>
  <c r="F7091" i="5"/>
  <c r="F7101" i="5"/>
  <c r="F7092" i="5"/>
  <c r="F7095" i="5"/>
  <c r="F7119" i="5"/>
  <c r="F7112" i="5"/>
  <c r="F7120" i="5"/>
  <c r="F7113" i="5"/>
  <c r="F7110" i="5"/>
  <c r="F7118" i="5"/>
  <c r="F7125" i="5"/>
  <c r="F7124" i="5"/>
  <c r="F7117" i="5"/>
  <c r="F7115" i="5"/>
  <c r="F7122" i="5"/>
  <c r="F7114" i="5"/>
  <c r="F7116" i="5"/>
  <c r="F7123" i="5"/>
  <c r="F7121" i="5"/>
  <c r="F7111" i="5"/>
  <c r="F7132" i="5"/>
  <c r="F7136" i="5"/>
  <c r="F7128" i="5"/>
  <c r="F7127" i="5"/>
  <c r="F7135" i="5"/>
  <c r="F7131" i="5"/>
  <c r="F7134" i="5"/>
  <c r="F7153" i="5"/>
  <c r="F7155" i="5"/>
  <c r="F7154" i="5"/>
  <c r="F7152" i="5"/>
  <c r="F7151" i="5"/>
  <c r="F7169" i="5"/>
  <c r="F7166" i="5"/>
  <c r="F7171" i="5"/>
  <c r="F7164" i="5"/>
  <c r="F7168" i="5"/>
  <c r="F7165" i="5"/>
  <c r="F7170" i="5"/>
  <c r="F6502" i="5"/>
  <c r="F7184" i="5"/>
  <c r="F7182" i="5"/>
  <c r="F7181" i="5"/>
  <c r="F7180" i="5"/>
  <c r="F7209" i="5"/>
  <c r="F7210" i="5"/>
  <c r="F7204" i="5"/>
  <c r="F7206" i="5"/>
  <c r="F7208" i="5"/>
  <c r="F7224" i="5"/>
  <c r="F7225" i="5"/>
  <c r="F7222" i="5"/>
  <c r="F7223" i="5"/>
  <c r="F7221" i="5"/>
  <c r="F7220" i="5"/>
  <c r="F7219" i="5"/>
  <c r="F7215" i="5"/>
  <c r="F7217" i="5"/>
  <c r="F7218" i="5"/>
  <c r="F7216" i="5"/>
  <c r="F7235" i="5"/>
  <c r="F7230" i="5"/>
  <c r="F7231" i="5"/>
  <c r="F7226" i="5"/>
  <c r="F7236" i="5"/>
  <c r="F7229" i="5"/>
  <c r="F7233" i="5"/>
  <c r="F7232" i="5"/>
  <c r="F7228" i="5"/>
  <c r="F7227" i="5"/>
  <c r="F7241" i="5"/>
  <c r="F7240" i="5"/>
  <c r="F7245" i="5"/>
  <c r="F7239" i="5"/>
  <c r="F7244" i="5"/>
  <c r="F7243" i="5"/>
  <c r="F7242" i="5"/>
  <c r="F7254" i="5"/>
  <c r="F7255" i="5"/>
  <c r="F7250" i="5"/>
  <c r="F7251" i="5"/>
  <c r="F7261" i="5"/>
  <c r="F7262" i="5"/>
  <c r="F7253" i="5"/>
  <c r="F7249" i="5"/>
  <c r="F7260" i="5"/>
  <c r="F7258" i="5"/>
  <c r="F7259" i="5"/>
  <c r="F7256" i="5"/>
  <c r="F7248" i="5"/>
  <c r="F7252" i="5"/>
  <c r="F7265" i="5"/>
  <c r="F7268" i="5"/>
  <c r="F7266" i="5"/>
  <c r="F7267" i="5"/>
  <c r="F7277" i="5"/>
  <c r="F7276" i="5"/>
  <c r="F7284" i="5"/>
  <c r="F7271" i="5"/>
  <c r="F7281" i="5"/>
  <c r="F7285" i="5"/>
  <c r="F7270" i="5"/>
  <c r="F7272" i="5"/>
  <c r="F7279" i="5"/>
  <c r="F7275" i="5"/>
  <c r="F7288" i="5"/>
  <c r="F7273" i="5"/>
  <c r="F7287" i="5"/>
  <c r="F7286" i="5"/>
  <c r="F7289" i="5"/>
  <c r="F7282" i="5"/>
  <c r="F7280" i="5"/>
  <c r="F7283" i="5"/>
  <c r="F7278" i="5"/>
  <c r="F7269" i="5"/>
  <c r="F7274" i="5"/>
  <c r="F7299" i="5"/>
  <c r="F7290" i="5"/>
  <c r="F7296" i="5"/>
  <c r="F7294" i="5"/>
  <c r="F7293" i="5"/>
  <c r="F7295" i="5"/>
  <c r="F7291" i="5"/>
  <c r="F7298" i="5"/>
  <c r="F7297" i="5"/>
  <c r="F7292" i="5"/>
  <c r="F7312" i="5"/>
  <c r="F7307" i="5"/>
  <c r="F7313" i="5"/>
  <c r="F7301" i="5"/>
  <c r="F7306" i="5"/>
  <c r="F7310" i="5"/>
  <c r="F7311" i="5"/>
  <c r="F7302" i="5"/>
  <c r="F7304" i="5"/>
  <c r="F7303" i="5"/>
  <c r="F7308" i="5"/>
  <c r="F7309" i="5"/>
  <c r="F7305" i="5"/>
  <c r="F7319" i="5"/>
  <c r="F7314" i="5"/>
  <c r="F7333" i="5"/>
  <c r="F7318" i="5"/>
  <c r="F7331" i="5"/>
  <c r="F7334" i="5"/>
  <c r="F7332" i="5"/>
  <c r="F7320" i="5"/>
  <c r="F7321" i="5"/>
  <c r="F7315" i="5"/>
  <c r="F7322" i="5"/>
  <c r="F7323" i="5"/>
  <c r="F7328" i="5"/>
  <c r="F7326" i="5"/>
  <c r="F7325" i="5"/>
  <c r="F7327" i="5"/>
  <c r="F7316" i="5"/>
  <c r="F7317" i="5"/>
  <c r="F7324" i="5"/>
  <c r="F7330" i="5"/>
  <c r="F7329" i="5"/>
  <c r="F7341" i="5"/>
  <c r="F7342" i="5"/>
  <c r="F7346" i="5"/>
  <c r="F7340" i="5"/>
  <c r="F7343" i="5"/>
  <c r="F7339" i="5"/>
  <c r="F7338" i="5"/>
  <c r="F7336" i="5"/>
  <c r="F7344" i="5"/>
  <c r="F7345" i="5"/>
  <c r="F7349" i="5"/>
  <c r="F7350" i="5"/>
  <c r="F7347" i="5"/>
  <c r="F7355" i="5"/>
  <c r="F7354" i="5"/>
  <c r="F7351" i="5"/>
  <c r="F7356" i="5"/>
  <c r="F7358" i="5"/>
  <c r="F7360" i="5"/>
  <c r="F7352" i="5"/>
  <c r="F7357" i="5"/>
  <c r="F7353" i="5"/>
  <c r="F7359" i="5"/>
  <c r="F7364" i="5"/>
  <c r="F7365" i="5"/>
  <c r="F7370" i="5"/>
  <c r="F7362" i="5"/>
  <c r="F7366" i="5"/>
  <c r="F7367" i="5"/>
  <c r="F7369" i="5"/>
  <c r="F7368" i="5"/>
  <c r="F7361" i="5"/>
  <c r="F7411" i="5"/>
  <c r="F7380" i="5"/>
  <c r="F7401" i="5"/>
  <c r="F7402" i="5"/>
  <c r="F7403" i="5"/>
  <c r="F7404" i="5"/>
  <c r="F7405" i="5"/>
  <c r="F7406" i="5"/>
  <c r="F7407" i="5"/>
  <c r="F7408" i="5"/>
  <c r="F7409" i="5"/>
  <c r="F7415" i="5"/>
  <c r="F7373" i="5"/>
  <c r="F7383" i="5"/>
  <c r="F7384" i="5"/>
  <c r="F7385" i="5"/>
  <c r="F7386" i="5"/>
  <c r="F7387" i="5"/>
  <c r="F7388" i="5"/>
  <c r="F7389" i="5"/>
  <c r="F7390" i="5"/>
  <c r="F7391" i="5"/>
  <c r="F7392" i="5"/>
  <c r="F7416" i="5"/>
  <c r="F7417" i="5"/>
  <c r="F7418" i="5"/>
  <c r="F7419" i="5"/>
  <c r="F7420" i="5"/>
  <c r="F7421" i="5"/>
  <c r="F7422" i="5"/>
  <c r="F7423" i="5"/>
  <c r="F7424" i="5"/>
  <c r="F7425" i="5"/>
  <c r="F7426" i="5"/>
  <c r="F7427" i="5"/>
  <c r="F7410" i="5"/>
  <c r="F7377" i="5"/>
  <c r="F7378" i="5"/>
  <c r="F7394" i="5"/>
  <c r="F7376" i="5"/>
  <c r="F7382" i="5"/>
  <c r="F7372" i="5"/>
  <c r="F7374" i="5"/>
  <c r="F7400" i="5"/>
  <c r="F7393" i="5"/>
  <c r="F7413" i="5"/>
  <c r="F7395" i="5"/>
  <c r="F7375" i="5"/>
  <c r="F7379" i="5"/>
  <c r="F7412" i="5"/>
  <c r="F7381" i="5"/>
  <c r="F7434" i="5"/>
  <c r="F7431" i="5"/>
  <c r="F7438" i="5"/>
  <c r="F7439" i="5"/>
  <c r="F7433" i="5"/>
  <c r="F7436" i="5"/>
  <c r="F7430" i="5"/>
  <c r="F7435" i="5"/>
  <c r="F7432" i="5"/>
  <c r="F7442" i="5"/>
  <c r="F7440" i="5"/>
  <c r="F7429" i="5"/>
  <c r="F7437" i="5"/>
  <c r="F7428" i="5"/>
  <c r="F7441" i="5"/>
  <c r="F7459" i="5"/>
  <c r="F7457" i="5"/>
  <c r="F7458" i="5"/>
  <c r="F7451" i="5"/>
  <c r="F7448" i="5"/>
  <c r="F7450" i="5"/>
  <c r="F7456" i="5"/>
  <c r="F7460" i="5"/>
  <c r="F7446" i="5"/>
  <c r="F7447" i="5"/>
  <c r="F7445" i="5"/>
  <c r="F7455" i="5"/>
  <c r="F7454" i="5"/>
  <c r="F7449" i="5"/>
  <c r="F7463" i="5"/>
  <c r="F7452" i="5"/>
  <c r="F7464" i="5"/>
  <c r="F7453" i="5"/>
  <c r="F7461" i="5"/>
  <c r="F7469" i="5"/>
  <c r="F7472" i="5"/>
  <c r="F7470" i="5"/>
  <c r="F7471" i="5"/>
  <c r="F7476" i="5"/>
  <c r="F7468" i="5"/>
  <c r="F7474" i="5"/>
  <c r="F7473" i="5"/>
  <c r="F7475" i="5"/>
  <c r="F7467" i="5"/>
  <c r="F7479" i="5"/>
  <c r="F7482" i="5"/>
  <c r="F7485" i="5"/>
  <c r="F7483" i="5"/>
  <c r="F7481" i="5"/>
  <c r="F7486" i="5"/>
  <c r="F7487" i="5"/>
  <c r="F7490" i="5"/>
  <c r="F7489" i="5"/>
  <c r="F7500" i="5"/>
  <c r="F7499" i="5"/>
  <c r="F7509" i="5"/>
  <c r="F7515" i="5"/>
  <c r="F7510" i="5"/>
  <c r="F7524" i="5"/>
  <c r="F7542" i="5"/>
  <c r="F7540" i="5"/>
  <c r="F7537" i="5"/>
  <c r="F7541" i="5"/>
  <c r="F7546" i="5"/>
  <c r="F7547" i="5"/>
  <c r="F7556" i="5"/>
  <c r="F7555" i="5"/>
  <c r="F7578" i="5"/>
  <c r="F7573" i="5"/>
  <c r="F7205" i="5"/>
  <c r="F7591" i="5"/>
  <c r="F7592" i="5"/>
  <c r="F7590" i="5"/>
  <c r="F7600" i="5"/>
  <c r="F7601" i="5"/>
  <c r="F7605" i="5"/>
  <c r="F7604" i="5"/>
  <c r="F7609" i="5"/>
  <c r="F7608" i="5"/>
  <c r="F7612" i="5"/>
  <c r="F7613" i="5"/>
  <c r="F7619" i="5"/>
  <c r="F7615" i="5"/>
  <c r="F7617" i="5"/>
  <c r="F7618" i="5"/>
  <c r="F7614" i="5"/>
  <c r="F7621" i="5"/>
  <c r="F7624" i="5"/>
  <c r="F7626" i="5"/>
  <c r="F7625" i="5"/>
  <c r="F7622" i="5"/>
  <c r="F7623" i="5"/>
  <c r="F7631" i="5"/>
  <c r="F7627" i="5"/>
  <c r="F7628" i="5"/>
  <c r="F7629" i="5"/>
  <c r="F7630" i="5"/>
  <c r="F7633" i="5"/>
  <c r="F7632" i="5"/>
  <c r="F7634" i="5"/>
  <c r="F7636" i="5"/>
  <c r="F7637" i="5"/>
  <c r="F7638" i="5"/>
  <c r="F7643" i="5"/>
  <c r="F7645" i="5"/>
  <c r="F7644" i="5"/>
  <c r="F7639" i="5"/>
  <c r="F7640" i="5"/>
  <c r="F7641" i="5"/>
  <c r="F7642" i="5"/>
  <c r="F7647" i="5"/>
  <c r="F7648" i="5"/>
  <c r="F7650" i="5"/>
  <c r="F7649" i="5"/>
  <c r="F7653" i="5"/>
  <c r="F7655" i="5"/>
  <c r="F7651" i="5"/>
  <c r="F7654" i="5"/>
  <c r="F7652" i="5"/>
  <c r="F7656" i="5"/>
  <c r="F7657" i="5"/>
  <c r="F7663" i="5"/>
  <c r="F7675" i="5"/>
  <c r="F7676" i="5"/>
  <c r="F7677" i="5"/>
  <c r="F7678" i="5"/>
  <c r="F7679" i="5"/>
  <c r="F7680" i="5"/>
  <c r="F7687" i="5"/>
  <c r="F7681" i="5"/>
  <c r="F7682" i="5"/>
  <c r="F7683" i="5"/>
  <c r="F7686" i="5"/>
  <c r="F7685" i="5"/>
  <c r="F7689" i="5"/>
  <c r="F7658" i="5"/>
  <c r="F7664" i="5"/>
  <c r="F7665" i="5"/>
  <c r="F7666" i="5"/>
  <c r="F7667" i="5"/>
  <c r="F7668" i="5"/>
  <c r="F7669" i="5"/>
  <c r="F7670" i="5"/>
  <c r="F7671" i="5"/>
  <c r="F7672" i="5"/>
  <c r="F7673" i="5"/>
  <c r="F7690" i="5"/>
  <c r="F7691" i="5"/>
  <c r="F7692" i="5"/>
  <c r="F7693" i="5"/>
  <c r="F7694" i="5"/>
  <c r="F7695" i="5"/>
  <c r="F7696" i="5"/>
  <c r="F7697" i="5"/>
  <c r="F7698" i="5"/>
  <c r="F7699" i="5"/>
  <c r="F7700" i="5"/>
  <c r="F7701" i="5"/>
  <c r="F7684" i="5"/>
  <c r="F7660" i="5"/>
  <c r="F7661" i="5"/>
  <c r="F7674" i="5"/>
  <c r="F7659" i="5"/>
  <c r="F7662" i="5"/>
  <c r="F7688" i="5"/>
  <c r="F7703" i="5"/>
  <c r="F7702" i="5"/>
  <c r="F7704" i="5"/>
  <c r="F7706" i="5"/>
  <c r="F7709" i="5"/>
  <c r="F7707" i="5"/>
  <c r="F7710" i="5"/>
  <c r="F7708" i="5"/>
  <c r="F7711" i="5"/>
  <c r="F7712" i="5"/>
  <c r="F7713" i="5"/>
  <c r="F7714" i="5"/>
  <c r="F7715" i="5"/>
  <c r="F7716" i="5"/>
  <c r="F7717" i="5"/>
  <c r="F7718" i="5"/>
  <c r="F7722" i="5"/>
  <c r="F7721" i="5"/>
  <c r="F7723" i="5"/>
  <c r="F7725" i="5"/>
  <c r="F7728" i="5"/>
  <c r="F7727" i="5"/>
  <c r="F7729" i="5"/>
  <c r="F7734" i="5"/>
  <c r="F7739" i="5"/>
  <c r="F7737" i="5"/>
  <c r="F7741" i="5"/>
  <c r="F7745" i="5"/>
  <c r="F7744" i="5"/>
  <c r="F7748" i="5"/>
  <c r="F7749" i="5"/>
  <c r="F7747" i="5"/>
  <c r="F7599" i="5"/>
  <c r="F7751" i="5"/>
  <c r="F7750" i="5"/>
  <c r="F7752" i="5"/>
  <c r="F7753" i="5"/>
  <c r="F7756" i="5"/>
  <c r="F7758" i="5"/>
  <c r="F7757" i="5"/>
  <c r="F7759" i="5"/>
  <c r="F7761" i="5"/>
  <c r="F7760" i="5"/>
  <c r="F7763" i="5"/>
  <c r="F7762" i="5"/>
  <c r="F7766" i="5"/>
  <c r="F7765" i="5"/>
  <c r="F7767" i="5"/>
  <c r="F7764" i="5"/>
  <c r="F7769" i="5"/>
  <c r="F7770" i="5"/>
  <c r="F7773" i="5"/>
  <c r="F7775" i="5"/>
  <c r="F7774" i="5"/>
  <c r="F7771" i="5"/>
  <c r="F7772" i="5"/>
  <c r="F7776" i="5"/>
  <c r="F7777" i="5"/>
  <c r="F7778" i="5"/>
  <c r="F7780" i="5"/>
  <c r="F7779" i="5"/>
  <c r="F7781" i="5"/>
  <c r="F7786" i="5"/>
  <c r="F7797" i="5"/>
  <c r="F7798" i="5"/>
  <c r="F7799" i="5"/>
  <c r="F7800" i="5"/>
  <c r="F7801" i="5"/>
  <c r="F7802" i="5"/>
  <c r="F7809" i="5"/>
  <c r="F7810" i="5"/>
  <c r="F7803" i="5"/>
  <c r="F7804" i="5"/>
  <c r="F7805" i="5"/>
  <c r="F7808" i="5"/>
  <c r="F7807" i="5"/>
  <c r="F7811" i="5"/>
  <c r="F7782" i="5"/>
  <c r="F7787" i="5"/>
  <c r="F7788" i="5"/>
  <c r="F7789" i="5"/>
  <c r="F7790" i="5"/>
  <c r="F7791" i="5"/>
  <c r="F7792" i="5"/>
  <c r="F7793" i="5"/>
  <c r="F7794" i="5"/>
  <c r="F7795" i="5"/>
  <c r="F7796" i="5"/>
  <c r="F7812" i="5"/>
  <c r="F7813" i="5"/>
  <c r="F7814" i="5"/>
  <c r="F7815" i="5"/>
  <c r="F7816" i="5"/>
  <c r="F7817" i="5"/>
  <c r="F7818" i="5"/>
  <c r="F7819" i="5"/>
  <c r="F7820" i="5"/>
  <c r="F7821" i="5"/>
  <c r="F7822" i="5"/>
  <c r="F7806" i="5"/>
  <c r="F7783" i="5"/>
  <c r="F7784" i="5"/>
  <c r="F7785" i="5"/>
  <c r="F7823" i="5"/>
  <c r="F7824" i="5"/>
  <c r="F7825" i="5"/>
  <c r="F7827" i="5"/>
  <c r="F7826" i="5"/>
  <c r="F7829" i="5"/>
  <c r="F7830" i="5"/>
  <c r="F7831" i="5"/>
  <c r="F7834" i="5"/>
  <c r="F7832" i="5"/>
  <c r="F7835" i="5"/>
  <c r="F7836" i="5"/>
  <c r="F7837" i="5"/>
  <c r="F7838" i="5"/>
  <c r="F7839" i="5"/>
  <c r="F7841" i="5"/>
  <c r="F7843" i="5"/>
  <c r="F7746" i="5"/>
  <c r="F7846" i="5"/>
  <c r="F7847" i="5"/>
  <c r="F7845" i="5"/>
  <c r="F7849" i="5"/>
  <c r="F7850" i="5"/>
  <c r="F7852" i="5"/>
  <c r="F7851" i="5"/>
  <c r="F7853" i="5"/>
  <c r="F7856" i="5"/>
  <c r="F7858" i="5"/>
  <c r="F7857" i="5"/>
  <c r="F7860" i="5"/>
  <c r="F7859" i="5"/>
  <c r="F7862" i="5"/>
  <c r="F7861" i="5"/>
  <c r="F7865" i="5"/>
  <c r="F7864" i="5"/>
  <c r="F7866" i="5"/>
  <c r="F7863" i="5"/>
  <c r="F7868" i="5"/>
  <c r="F7869" i="5"/>
  <c r="F7871" i="5"/>
  <c r="F7873" i="5"/>
  <c r="F7872" i="5"/>
  <c r="F7870" i="5"/>
  <c r="F7874" i="5"/>
  <c r="F7875" i="5"/>
  <c r="F7876" i="5"/>
  <c r="F7878" i="5"/>
  <c r="F7877" i="5"/>
  <c r="F7879" i="5"/>
  <c r="F7883" i="5"/>
  <c r="F7894" i="5"/>
  <c r="F7895" i="5"/>
  <c r="F7896" i="5"/>
  <c r="F7897" i="5"/>
  <c r="F7898" i="5"/>
  <c r="F7899" i="5"/>
  <c r="F7906" i="5"/>
  <c r="F7907" i="5"/>
  <c r="F7900" i="5"/>
  <c r="F7901" i="5"/>
  <c r="F7902" i="5"/>
  <c r="F7905" i="5"/>
  <c r="F7904" i="5"/>
  <c r="F7908" i="5"/>
  <c r="F7880" i="5"/>
  <c r="F7884" i="5"/>
  <c r="F7885" i="5"/>
  <c r="F7886" i="5"/>
  <c r="F7887" i="5"/>
  <c r="F7888" i="5"/>
  <c r="F7889" i="5"/>
  <c r="F7890" i="5"/>
  <c r="F7891" i="5"/>
  <c r="F7892" i="5"/>
  <c r="F7893" i="5"/>
  <c r="F7909" i="5"/>
  <c r="F7910" i="5"/>
  <c r="F7911" i="5"/>
  <c r="F7912" i="5"/>
  <c r="F7913" i="5"/>
  <c r="F7914" i="5"/>
  <c r="F7915" i="5"/>
  <c r="F7916" i="5"/>
  <c r="F7917" i="5"/>
  <c r="F7918" i="5"/>
  <c r="F7919" i="5"/>
  <c r="F7903" i="5"/>
  <c r="F7881" i="5"/>
  <c r="F7882" i="5"/>
  <c r="F7920" i="5"/>
  <c r="F7921" i="5"/>
  <c r="F7922" i="5"/>
  <c r="F7923" i="5"/>
  <c r="F7925" i="5"/>
  <c r="F7926" i="5"/>
  <c r="F7927" i="5"/>
  <c r="F7928" i="5"/>
  <c r="F7929" i="5"/>
  <c r="F7930" i="5"/>
  <c r="F7932" i="5"/>
  <c r="F7934" i="5"/>
  <c r="F7936" i="5"/>
  <c r="F7848" i="5"/>
  <c r="F7938" i="5"/>
  <c r="F7937" i="5"/>
  <c r="F7940" i="5"/>
  <c r="F7941" i="5"/>
  <c r="F7942" i="5"/>
  <c r="F7945" i="5"/>
  <c r="F7947" i="5"/>
  <c r="F7946" i="5"/>
  <c r="F7948" i="5"/>
  <c r="F7951" i="5"/>
  <c r="F7950" i="5"/>
  <c r="F7952" i="5"/>
  <c r="F7953" i="5"/>
  <c r="F7954" i="5"/>
  <c r="F7955" i="5"/>
  <c r="F7957" i="5"/>
  <c r="F7956" i="5"/>
  <c r="F7959" i="5"/>
  <c r="F7960" i="5"/>
  <c r="F7958" i="5"/>
  <c r="F7961" i="5"/>
  <c r="F7963" i="5"/>
  <c r="F7974" i="5"/>
  <c r="F7975" i="5"/>
  <c r="F7976" i="5"/>
  <c r="F7977" i="5"/>
  <c r="F7978" i="5"/>
  <c r="F7979" i="5"/>
  <c r="F7986" i="5"/>
  <c r="F7987" i="5"/>
  <c r="F7980" i="5"/>
  <c r="F7981" i="5"/>
  <c r="F7982" i="5"/>
  <c r="F7985" i="5"/>
  <c r="F7984" i="5"/>
  <c r="F7988" i="5"/>
  <c r="F7962" i="5"/>
  <c r="F7964" i="5"/>
  <c r="F7965" i="5"/>
  <c r="F7966" i="5"/>
  <c r="F7967" i="5"/>
  <c r="F7968" i="5"/>
  <c r="F7969" i="5"/>
  <c r="F7970" i="5"/>
  <c r="F7971" i="5"/>
  <c r="F7972" i="5"/>
  <c r="F7973" i="5"/>
  <c r="F7989" i="5"/>
  <c r="F7990" i="5"/>
  <c r="F7991" i="5"/>
  <c r="F7992" i="5"/>
  <c r="F7993" i="5"/>
  <c r="F7994" i="5"/>
  <c r="F7995" i="5"/>
  <c r="F7996" i="5"/>
  <c r="F7997" i="5"/>
  <c r="F7998" i="5"/>
  <c r="F7999" i="5"/>
  <c r="F7983" i="5"/>
  <c r="F8000" i="5"/>
  <c r="F8001" i="5"/>
  <c r="F8002" i="5"/>
  <c r="F8003" i="5"/>
  <c r="F8004" i="5"/>
  <c r="F8005" i="5"/>
  <c r="F8006" i="5"/>
  <c r="F8007" i="5"/>
  <c r="F8008" i="5"/>
  <c r="F8009" i="5"/>
  <c r="F8011" i="5"/>
  <c r="F8010" i="5"/>
  <c r="F7939" i="5"/>
  <c r="F8012" i="5"/>
  <c r="F8014" i="5"/>
  <c r="F8015" i="5"/>
  <c r="F8016" i="5"/>
  <c r="F8018" i="5"/>
  <c r="F8017" i="5"/>
  <c r="F8019" i="5"/>
  <c r="F8021" i="5"/>
  <c r="F8020" i="5"/>
  <c r="F8022" i="5"/>
  <c r="F8023" i="5"/>
  <c r="F8024" i="5"/>
  <c r="F8025" i="5"/>
  <c r="F8026" i="5"/>
  <c r="F8027" i="5"/>
  <c r="F8029" i="5"/>
  <c r="F8040" i="5"/>
  <c r="F8041" i="5"/>
  <c r="F8042" i="5"/>
  <c r="F8043" i="5"/>
  <c r="F8044" i="5"/>
  <c r="F8045" i="5"/>
  <c r="F8052" i="5"/>
  <c r="F8053" i="5"/>
  <c r="F8046" i="5"/>
  <c r="F8047" i="5"/>
  <c r="F8048" i="5"/>
  <c r="F8051" i="5"/>
  <c r="F8050" i="5"/>
  <c r="F8054" i="5"/>
  <c r="F8028" i="5"/>
  <c r="F8030" i="5"/>
  <c r="F8031" i="5"/>
  <c r="F8032" i="5"/>
  <c r="F8033" i="5"/>
  <c r="F8034" i="5"/>
  <c r="F8035" i="5"/>
  <c r="F8036" i="5"/>
  <c r="F8037" i="5"/>
  <c r="F8038" i="5"/>
  <c r="F2945" i="5"/>
  <c r="E2945" i="5" s="1"/>
  <c r="F3133" i="5"/>
  <c r="E3133" i="5" s="1"/>
  <c r="F2946" i="5"/>
  <c r="E2946" i="5" s="1"/>
  <c r="F8039" i="5"/>
  <c r="F8055" i="5"/>
  <c r="F8056" i="5"/>
  <c r="F8057" i="5"/>
  <c r="F8058" i="5"/>
  <c r="F8059" i="5"/>
  <c r="F8060" i="5"/>
  <c r="F8061" i="5"/>
  <c r="F8062" i="5"/>
  <c r="F8063" i="5"/>
  <c r="F8064" i="5"/>
  <c r="F8065" i="5"/>
  <c r="F8049" i="5"/>
  <c r="F8066" i="5"/>
  <c r="F8067" i="5"/>
  <c r="F8068" i="5"/>
  <c r="F8069" i="5"/>
  <c r="F8070" i="5"/>
  <c r="F8071" i="5"/>
  <c r="F8072" i="5"/>
  <c r="F8073" i="5"/>
  <c r="F8074" i="5"/>
  <c r="F8013" i="5"/>
  <c r="F8076" i="5"/>
  <c r="F8077" i="5"/>
  <c r="F8075" i="5"/>
  <c r="F8078" i="5"/>
  <c r="F8080" i="5"/>
  <c r="F8081" i="5"/>
  <c r="F8083" i="5"/>
  <c r="F8082" i="5"/>
  <c r="F8084" i="5"/>
  <c r="F8086" i="5"/>
  <c r="F8085" i="5"/>
  <c r="F8087" i="5"/>
  <c r="F8088" i="5"/>
  <c r="F8089" i="5"/>
  <c r="F8090" i="5"/>
  <c r="F8091" i="5"/>
  <c r="F8092" i="5"/>
  <c r="F8094" i="5"/>
  <c r="F8105" i="5"/>
  <c r="F8106" i="5"/>
  <c r="F8107" i="5"/>
  <c r="F8108" i="5"/>
  <c r="F8109" i="5"/>
  <c r="F8110" i="5"/>
  <c r="F8117" i="5"/>
  <c r="F8118" i="5"/>
  <c r="F8111" i="5"/>
  <c r="F8112" i="5"/>
  <c r="F8113" i="5"/>
  <c r="F8116" i="5"/>
  <c r="F8115" i="5"/>
  <c r="F8119" i="5"/>
  <c r="F8093" i="5"/>
  <c r="F8095" i="5"/>
  <c r="F8096" i="5"/>
  <c r="F8097" i="5"/>
  <c r="F8098" i="5"/>
  <c r="F8099" i="5"/>
  <c r="F8100" i="5"/>
  <c r="F8101" i="5"/>
  <c r="F8102" i="5"/>
  <c r="F8103" i="5"/>
  <c r="F8104" i="5"/>
  <c r="F8120" i="5"/>
  <c r="F8121" i="5"/>
  <c r="F8122" i="5"/>
  <c r="F8123" i="5"/>
  <c r="F8124" i="5"/>
  <c r="F8125" i="5"/>
  <c r="F8126" i="5"/>
  <c r="F8127" i="5"/>
  <c r="F8128" i="5"/>
  <c r="F8129" i="5"/>
  <c r="F8130" i="5"/>
  <c r="F8114" i="5"/>
  <c r="F8131" i="5"/>
  <c r="F8132" i="5"/>
  <c r="F8133" i="5"/>
  <c r="F8134" i="5"/>
  <c r="F8135" i="5"/>
  <c r="F8136" i="5"/>
  <c r="F8137" i="5"/>
  <c r="F8138" i="5"/>
  <c r="F8139" i="5"/>
  <c r="F8079" i="5"/>
  <c r="F8141" i="5"/>
  <c r="F8140" i="5"/>
  <c r="F8142" i="5"/>
  <c r="F8144" i="5"/>
  <c r="F8145" i="5"/>
  <c r="F8147" i="5"/>
  <c r="F8146" i="5"/>
  <c r="F8148" i="5"/>
  <c r="F8150" i="5"/>
  <c r="F8149" i="5"/>
  <c r="F8151" i="5"/>
  <c r="F8152" i="5"/>
  <c r="F8153" i="5"/>
  <c r="F8154" i="5"/>
  <c r="F8155" i="5"/>
  <c r="F8157" i="5"/>
  <c r="F8168" i="5"/>
  <c r="F8169" i="5"/>
  <c r="F8170" i="5"/>
  <c r="F8171" i="5"/>
  <c r="F8172" i="5"/>
  <c r="F8173" i="5"/>
  <c r="F8180" i="5"/>
  <c r="F8181" i="5"/>
  <c r="F8174" i="5"/>
  <c r="F8175" i="5"/>
  <c r="F8176" i="5"/>
  <c r="F8179" i="5"/>
  <c r="F8178" i="5"/>
  <c r="F8182" i="5"/>
  <c r="F8156" i="5"/>
  <c r="F8158" i="5"/>
  <c r="F8159" i="5"/>
  <c r="F8160" i="5"/>
  <c r="F8161" i="5"/>
  <c r="F8162" i="5"/>
  <c r="F8163" i="5"/>
  <c r="F8164" i="5"/>
  <c r="F8165" i="5"/>
  <c r="F8166" i="5"/>
  <c r="F8167" i="5"/>
  <c r="F8183" i="5"/>
  <c r="F8184" i="5"/>
  <c r="F8185" i="5"/>
  <c r="F8186" i="5"/>
  <c r="F8187" i="5"/>
  <c r="F8188" i="5"/>
  <c r="F8189" i="5"/>
  <c r="F8190" i="5"/>
  <c r="F8191" i="5"/>
  <c r="F8192" i="5"/>
  <c r="F8193" i="5"/>
  <c r="F8177" i="5"/>
  <c r="F8194" i="5"/>
  <c r="F8195" i="5"/>
  <c r="F8196" i="5"/>
  <c r="F8197" i="5"/>
  <c r="F8198" i="5"/>
  <c r="F8199" i="5"/>
  <c r="F8200" i="5"/>
  <c r="F8201" i="5"/>
  <c r="F8203" i="5"/>
  <c r="F8204" i="5"/>
  <c r="F8202" i="5"/>
  <c r="F8143" i="5"/>
  <c r="F8205" i="5"/>
  <c r="F8207" i="5"/>
  <c r="F8208" i="5"/>
  <c r="F8210" i="5"/>
  <c r="F8209" i="5"/>
  <c r="F8211" i="5"/>
  <c r="F8212" i="5"/>
  <c r="F8214" i="5"/>
  <c r="F8213" i="5"/>
  <c r="F8215" i="5"/>
  <c r="F8216" i="5"/>
  <c r="F8217" i="5"/>
  <c r="F8218" i="5"/>
  <c r="F8219" i="5"/>
  <c r="F8221" i="5"/>
  <c r="F8232" i="5"/>
  <c r="F8233" i="5"/>
  <c r="F8234" i="5"/>
  <c r="F8235" i="5"/>
  <c r="F8236" i="5"/>
  <c r="F8237" i="5"/>
  <c r="F8244" i="5"/>
  <c r="F8245" i="5"/>
  <c r="F8238" i="5"/>
  <c r="F8239" i="5"/>
  <c r="F8240" i="5"/>
  <c r="F8243" i="5"/>
  <c r="F8242" i="5"/>
  <c r="F8246" i="5"/>
  <c r="F8220" i="5"/>
  <c r="F8222" i="5"/>
  <c r="F8223" i="5"/>
  <c r="F8224" i="5"/>
  <c r="F8225" i="5"/>
  <c r="F8226" i="5"/>
  <c r="F8227" i="5"/>
  <c r="F8228" i="5"/>
  <c r="F8229" i="5"/>
  <c r="F8230" i="5"/>
  <c r="F8231" i="5"/>
  <c r="F8247" i="5"/>
  <c r="F8248" i="5"/>
  <c r="F8249" i="5"/>
  <c r="F8250" i="5"/>
  <c r="F8251" i="5"/>
  <c r="F8252" i="5"/>
  <c r="F8253" i="5"/>
  <c r="F8254" i="5"/>
  <c r="F8255" i="5"/>
  <c r="F8256" i="5"/>
  <c r="F8257" i="5"/>
  <c r="F8241" i="5"/>
  <c r="F8258" i="5"/>
  <c r="F8259" i="5"/>
  <c r="F8260" i="5"/>
  <c r="F8261" i="5"/>
  <c r="F8263" i="5"/>
  <c r="F8262" i="5"/>
  <c r="F8264" i="5"/>
  <c r="F8265" i="5"/>
  <c r="F8266" i="5"/>
  <c r="F8206" i="5"/>
  <c r="F8268" i="5"/>
  <c r="F8267" i="5"/>
  <c r="F8270" i="5"/>
  <c r="F8271" i="5"/>
  <c r="F8272" i="5"/>
  <c r="F8273" i="5"/>
  <c r="F8275" i="5"/>
  <c r="F8274" i="5"/>
  <c r="F8276" i="5"/>
  <c r="F8277" i="5"/>
  <c r="F8278" i="5"/>
  <c r="F8279" i="5"/>
  <c r="F8280" i="5"/>
  <c r="F8292" i="5"/>
  <c r="F8293" i="5"/>
  <c r="F8294" i="5"/>
  <c r="F8295" i="5"/>
  <c r="F8296" i="5"/>
  <c r="F8297" i="5"/>
  <c r="F8304" i="5"/>
  <c r="F8305" i="5"/>
  <c r="F8298" i="5"/>
  <c r="F8299" i="5"/>
  <c r="F8300" i="5"/>
  <c r="F8303" i="5"/>
  <c r="F8302" i="5"/>
  <c r="F8306" i="5"/>
  <c r="F8281" i="5"/>
  <c r="F8282" i="5"/>
  <c r="F8283" i="5"/>
  <c r="F8284" i="5"/>
  <c r="F8285" i="5"/>
  <c r="F8286" i="5"/>
  <c r="F8287" i="5"/>
  <c r="F8288" i="5"/>
  <c r="F8289" i="5"/>
  <c r="F8290" i="5"/>
  <c r="F8291" i="5"/>
  <c r="F8307" i="5"/>
  <c r="F8308" i="5"/>
  <c r="F8309" i="5"/>
  <c r="F8310" i="5"/>
  <c r="F8311" i="5"/>
  <c r="F8312" i="5"/>
  <c r="F8313" i="5"/>
  <c r="F8314" i="5"/>
  <c r="F8315" i="5"/>
  <c r="F8316" i="5"/>
  <c r="F8317" i="5"/>
  <c r="F8301" i="5"/>
  <c r="F8318" i="5"/>
  <c r="F8319" i="5"/>
  <c r="F8320" i="5"/>
  <c r="F8321" i="5"/>
  <c r="F8322" i="5"/>
  <c r="F8323" i="5"/>
  <c r="F8324" i="5"/>
  <c r="F8326" i="5"/>
  <c r="F8325" i="5"/>
  <c r="F8269" i="5"/>
  <c r="F8327" i="5"/>
  <c r="F8328" i="5"/>
  <c r="F8329" i="5"/>
  <c r="F8330" i="5"/>
  <c r="F8331" i="5"/>
  <c r="F8333" i="5"/>
  <c r="F8332" i="5"/>
  <c r="F8334" i="5"/>
  <c r="F8335" i="5"/>
  <c r="F8336" i="5"/>
  <c r="F8348" i="5"/>
  <c r="F8349" i="5"/>
  <c r="F8350" i="5"/>
  <c r="F8351" i="5"/>
  <c r="F8352" i="5"/>
  <c r="F8353" i="5"/>
  <c r="F8360" i="5"/>
  <c r="F8361" i="5"/>
  <c r="F8354" i="5"/>
  <c r="F8355" i="5"/>
  <c r="F8356" i="5"/>
  <c r="F8359" i="5"/>
  <c r="F8358" i="5"/>
  <c r="F8362" i="5"/>
  <c r="F8337" i="5"/>
  <c r="F8338" i="5"/>
  <c r="F8339" i="5"/>
  <c r="F8340" i="5"/>
  <c r="F8341" i="5"/>
  <c r="F8342" i="5"/>
  <c r="F8343" i="5"/>
  <c r="F8344" i="5"/>
  <c r="F8345" i="5"/>
  <c r="F8346" i="5"/>
  <c r="F8347" i="5"/>
  <c r="F8363" i="5"/>
  <c r="F8364" i="5"/>
  <c r="F8365" i="5"/>
  <c r="F8366" i="5"/>
  <c r="F8367" i="5"/>
  <c r="F8368" i="5"/>
  <c r="F8369" i="5"/>
  <c r="F8370" i="5"/>
  <c r="F8371" i="5"/>
  <c r="F8372" i="5"/>
  <c r="F8373" i="5"/>
  <c r="F8357" i="5"/>
  <c r="F8374" i="5"/>
  <c r="F8375" i="5"/>
  <c r="F8376" i="5"/>
  <c r="F8377" i="5"/>
  <c r="F8378" i="5"/>
  <c r="F8379" i="5"/>
  <c r="F8381" i="5"/>
  <c r="F8382" i="5"/>
  <c r="F8380" i="5"/>
  <c r="F8383" i="5"/>
  <c r="F8384" i="5"/>
  <c r="F8385" i="5"/>
  <c r="F8386" i="5"/>
  <c r="F8387" i="5"/>
  <c r="F8389" i="5"/>
  <c r="F8388" i="5"/>
  <c r="F8390" i="5"/>
  <c r="F8391" i="5"/>
  <c r="F8392" i="5"/>
  <c r="F8404" i="5"/>
  <c r="F8405" i="5"/>
  <c r="F8406" i="5"/>
  <c r="F8407" i="5"/>
  <c r="F8408" i="5"/>
  <c r="F8409" i="5"/>
  <c r="F8416" i="5"/>
  <c r="F8417" i="5"/>
  <c r="F8410" i="5"/>
  <c r="F8411" i="5"/>
  <c r="F8412" i="5"/>
  <c r="F8415" i="5"/>
  <c r="F8414" i="5"/>
  <c r="F8418" i="5"/>
  <c r="F8393" i="5"/>
  <c r="F8394" i="5"/>
  <c r="F8395" i="5"/>
  <c r="F8396" i="5"/>
  <c r="F8397" i="5"/>
  <c r="F8398" i="5"/>
  <c r="F8399" i="5"/>
  <c r="F8400" i="5"/>
  <c r="F8401" i="5"/>
  <c r="F8402" i="5"/>
  <c r="F8403" i="5"/>
  <c r="F8419" i="5"/>
  <c r="F8420" i="5"/>
  <c r="F8421" i="5"/>
  <c r="F8422" i="5"/>
  <c r="F8423" i="5"/>
  <c r="F8424" i="5"/>
  <c r="F8425" i="5"/>
  <c r="F8426" i="5"/>
  <c r="F8427" i="5"/>
  <c r="F8428" i="5"/>
  <c r="F8429" i="5"/>
  <c r="F8413" i="5"/>
  <c r="F8430" i="5"/>
  <c r="F8431" i="5"/>
  <c r="F8432" i="5"/>
  <c r="F8433" i="5"/>
  <c r="F8434" i="5"/>
  <c r="F8435" i="5"/>
  <c r="F8436" i="5"/>
  <c r="F8439" i="5"/>
  <c r="F8438" i="5"/>
  <c r="F8437" i="5"/>
  <c r="F8440" i="5"/>
  <c r="F8441" i="5"/>
  <c r="F8442" i="5"/>
  <c r="F8443" i="5"/>
  <c r="F8445" i="5"/>
  <c r="F8444" i="5"/>
  <c r="F8446" i="5"/>
  <c r="F8447" i="5"/>
  <c r="F8448" i="5"/>
  <c r="F8460" i="5"/>
  <c r="F8461" i="5"/>
  <c r="F8462" i="5"/>
  <c r="F8463" i="5"/>
  <c r="F8464" i="5"/>
  <c r="F8465" i="5"/>
  <c r="F8472" i="5"/>
  <c r="F8473" i="5"/>
  <c r="F8466" i="5"/>
  <c r="F8467" i="5"/>
  <c r="F8468" i="5"/>
  <c r="F8471" i="5"/>
  <c r="F8470" i="5"/>
  <c r="F8474" i="5"/>
  <c r="F8449" i="5"/>
  <c r="F8450" i="5"/>
  <c r="F8451" i="5"/>
  <c r="F8452" i="5"/>
  <c r="F8453" i="5"/>
  <c r="F8454" i="5"/>
  <c r="F8455" i="5"/>
  <c r="F8456" i="5"/>
  <c r="F8457" i="5"/>
  <c r="F8458" i="5"/>
  <c r="F8459" i="5"/>
  <c r="F8475" i="5"/>
  <c r="F8476" i="5"/>
  <c r="F8477" i="5"/>
  <c r="F8478" i="5"/>
  <c r="F8479" i="5"/>
  <c r="F8480" i="5"/>
  <c r="F8481" i="5"/>
  <c r="F8482" i="5"/>
  <c r="F8483" i="5"/>
  <c r="F8484" i="5"/>
  <c r="F8485" i="5"/>
  <c r="F8469" i="5"/>
  <c r="F8486" i="5"/>
  <c r="F8487" i="5"/>
  <c r="F8488" i="5"/>
  <c r="F8489" i="5"/>
  <c r="F8490" i="5"/>
  <c r="F8491" i="5"/>
  <c r="F8495" i="5"/>
  <c r="F8493" i="5"/>
  <c r="F8494" i="5"/>
  <c r="F8492" i="5"/>
  <c r="F8496" i="5"/>
  <c r="F8497" i="5"/>
  <c r="F8498" i="5"/>
  <c r="F8499" i="5"/>
  <c r="F8501" i="5"/>
  <c r="F8500" i="5"/>
  <c r="F8502" i="5"/>
  <c r="F8503" i="5"/>
  <c r="F8504" i="5"/>
  <c r="F8516" i="5"/>
  <c r="F8517" i="5"/>
  <c r="F8518" i="5"/>
  <c r="F8519" i="5"/>
  <c r="F8520" i="5"/>
  <c r="F8521" i="5"/>
  <c r="F8528" i="5"/>
  <c r="F8529" i="5"/>
  <c r="F8522" i="5"/>
  <c r="F8523" i="5"/>
  <c r="F8524" i="5"/>
  <c r="F8527" i="5"/>
  <c r="F8526" i="5"/>
  <c r="F8530" i="5"/>
  <c r="F8505" i="5"/>
  <c r="F8506" i="5"/>
  <c r="F8507" i="5"/>
  <c r="F8508" i="5"/>
  <c r="F8509" i="5"/>
  <c r="F8510" i="5"/>
  <c r="F8511" i="5"/>
  <c r="F8512" i="5"/>
  <c r="F8513" i="5"/>
  <c r="F8514" i="5"/>
  <c r="F8515" i="5"/>
  <c r="F8531" i="5"/>
  <c r="F8532" i="5"/>
  <c r="F8533" i="5"/>
  <c r="F8534" i="5"/>
  <c r="F8535" i="5"/>
  <c r="F8536" i="5"/>
  <c r="F8537" i="5"/>
  <c r="F8538" i="5"/>
  <c r="F8539" i="5"/>
  <c r="F8540" i="5"/>
  <c r="F8541" i="5"/>
  <c r="F8525" i="5"/>
  <c r="F8542" i="5"/>
  <c r="F8543" i="5"/>
  <c r="F8544" i="5"/>
  <c r="F8545" i="5"/>
  <c r="F8546" i="5"/>
  <c r="F8547" i="5"/>
  <c r="F8548" i="5"/>
  <c r="F8550" i="5"/>
  <c r="F8549" i="5"/>
  <c r="F8551" i="5"/>
  <c r="F8552" i="5"/>
  <c r="F8553" i="5"/>
  <c r="F8554" i="5"/>
  <c r="F8555" i="5"/>
  <c r="F8557" i="5"/>
  <c r="F8556" i="5"/>
  <c r="F8558" i="5"/>
  <c r="F8559" i="5"/>
  <c r="F8560" i="5"/>
  <c r="F8572" i="5"/>
  <c r="F8573" i="5"/>
  <c r="F8574" i="5"/>
  <c r="F8575" i="5"/>
  <c r="F8576" i="5"/>
  <c r="F8577" i="5"/>
  <c r="F8584" i="5"/>
  <c r="F8585" i="5"/>
  <c r="F8578" i="5"/>
  <c r="F8579" i="5"/>
  <c r="F8580" i="5"/>
  <c r="F8583" i="5"/>
  <c r="F8582" i="5"/>
  <c r="F8586" i="5"/>
  <c r="F8561" i="5"/>
  <c r="F8562" i="5"/>
  <c r="F8563" i="5"/>
  <c r="F8564" i="5"/>
  <c r="F8565" i="5"/>
  <c r="F8566" i="5"/>
  <c r="F8567" i="5"/>
  <c r="F8568" i="5"/>
  <c r="F8569" i="5"/>
  <c r="F8570" i="5"/>
  <c r="F8571" i="5"/>
  <c r="F8587" i="5"/>
  <c r="F8588" i="5"/>
  <c r="F8589" i="5"/>
  <c r="F8590" i="5"/>
  <c r="F8591" i="5"/>
  <c r="F8592" i="5"/>
  <c r="F8593" i="5"/>
  <c r="F8594" i="5"/>
  <c r="F8595" i="5"/>
  <c r="F8596" i="5"/>
  <c r="F8597" i="5"/>
  <c r="F8581" i="5"/>
  <c r="F8598" i="5"/>
  <c r="F8599" i="5"/>
  <c r="F8600" i="5"/>
  <c r="F8601" i="5"/>
  <c r="F8602" i="5"/>
  <c r="F8603" i="5"/>
  <c r="F8607" i="5"/>
  <c r="F8605" i="5"/>
  <c r="F8606" i="5"/>
  <c r="F8604" i="5"/>
  <c r="F8608" i="5"/>
  <c r="F8609" i="5"/>
  <c r="F8610" i="5"/>
  <c r="F8611" i="5"/>
  <c r="F8613" i="5"/>
  <c r="F8612" i="5"/>
  <c r="F8614" i="5"/>
  <c r="F8615" i="5"/>
  <c r="F8616" i="5"/>
  <c r="F8628" i="5"/>
  <c r="F8629" i="5"/>
  <c r="F8630" i="5"/>
  <c r="F8631" i="5"/>
  <c r="F8632" i="5"/>
  <c r="F8633" i="5"/>
  <c r="F8640" i="5"/>
  <c r="F8641" i="5"/>
  <c r="F8634" i="5"/>
  <c r="F8635" i="5"/>
  <c r="F8636" i="5"/>
  <c r="F8639" i="5"/>
  <c r="F8638" i="5"/>
  <c r="F8642" i="5"/>
  <c r="F8617" i="5"/>
  <c r="F8618" i="5"/>
  <c r="F8619" i="5"/>
  <c r="F8620" i="5"/>
  <c r="F8621" i="5"/>
  <c r="F8622" i="5"/>
  <c r="F8623" i="5"/>
  <c r="F8624" i="5"/>
  <c r="F8625" i="5"/>
  <c r="F8626" i="5"/>
  <c r="F8627" i="5"/>
  <c r="F8643" i="5"/>
  <c r="F8644" i="5"/>
  <c r="F8645" i="5"/>
  <c r="F8646" i="5"/>
  <c r="F8647" i="5"/>
  <c r="F8648" i="5"/>
  <c r="F8649" i="5"/>
  <c r="F8650" i="5"/>
  <c r="F8651" i="5"/>
  <c r="F8652" i="5"/>
  <c r="F8653" i="5"/>
  <c r="F8637" i="5"/>
  <c r="F8654" i="5"/>
  <c r="F8655" i="5"/>
  <c r="F8656" i="5"/>
  <c r="F8657" i="5"/>
  <c r="F8658" i="5"/>
  <c r="F8659" i="5"/>
  <c r="F8662" i="5"/>
  <c r="F8661" i="5"/>
  <c r="F8660" i="5"/>
  <c r="F8663" i="5"/>
  <c r="F8664" i="5"/>
  <c r="F8665" i="5"/>
  <c r="F8666" i="5"/>
  <c r="F8668" i="5"/>
  <c r="F8667" i="5"/>
  <c r="F8669" i="5"/>
  <c r="F8670" i="5"/>
  <c r="F8671" i="5"/>
  <c r="F8683" i="5"/>
  <c r="F8684" i="5"/>
  <c r="F8685" i="5"/>
  <c r="F8686" i="5"/>
  <c r="F8687" i="5"/>
  <c r="F8688" i="5"/>
  <c r="F8695" i="5"/>
  <c r="F8696" i="5"/>
  <c r="F8689" i="5"/>
  <c r="F8690" i="5"/>
  <c r="F8691" i="5"/>
  <c r="F8694" i="5"/>
  <c r="F8693" i="5"/>
  <c r="F8697" i="5"/>
  <c r="F8672" i="5"/>
  <c r="F8673" i="5"/>
  <c r="F8674" i="5"/>
  <c r="F8675" i="5"/>
  <c r="F8676" i="5"/>
  <c r="F8677" i="5"/>
  <c r="F8678" i="5"/>
  <c r="F8679" i="5"/>
  <c r="F8680" i="5"/>
  <c r="F8681" i="5"/>
  <c r="F8682" i="5"/>
  <c r="F8698" i="5"/>
  <c r="F8699" i="5"/>
  <c r="F8700" i="5"/>
  <c r="F8701" i="5"/>
  <c r="F8702" i="5"/>
  <c r="F8703" i="5"/>
  <c r="F8704" i="5"/>
  <c r="F8705" i="5"/>
  <c r="F8706" i="5"/>
  <c r="F8707" i="5"/>
  <c r="F8708" i="5"/>
  <c r="F8692" i="5"/>
  <c r="F8709" i="5"/>
  <c r="F8710" i="5"/>
  <c r="F8711" i="5"/>
  <c r="F8712" i="5"/>
  <c r="F8713" i="5"/>
  <c r="F8714" i="5"/>
  <c r="F8717" i="5"/>
  <c r="F8716" i="5"/>
  <c r="F8715" i="5"/>
  <c r="F8718" i="5"/>
  <c r="F8719" i="5"/>
  <c r="F8720" i="5"/>
  <c r="F8721" i="5"/>
  <c r="F8723" i="5"/>
  <c r="F8722" i="5"/>
  <c r="F8724" i="5"/>
  <c r="F8725" i="5"/>
  <c r="F8737" i="5"/>
  <c r="F8738" i="5"/>
  <c r="F8739" i="5"/>
  <c r="F8740" i="5"/>
  <c r="F8741" i="5"/>
  <c r="F8742" i="5"/>
  <c r="F8749" i="5"/>
  <c r="F8750" i="5"/>
  <c r="F8743" i="5"/>
  <c r="F8744" i="5"/>
  <c r="F8745" i="5"/>
  <c r="F8748" i="5"/>
  <c r="F8747" i="5"/>
  <c r="F8751" i="5"/>
  <c r="F3470" i="5"/>
  <c r="E3470" i="5" s="1"/>
  <c r="F8726" i="5"/>
  <c r="F8727" i="5"/>
  <c r="F8728" i="5"/>
  <c r="F8729" i="5"/>
  <c r="F8730" i="5"/>
  <c r="F8731" i="5"/>
  <c r="F8732" i="5"/>
  <c r="F8733" i="5"/>
  <c r="F8734" i="5"/>
  <c r="F8735" i="5"/>
  <c r="F8736" i="5"/>
  <c r="F8752" i="5"/>
  <c r="F8753" i="5"/>
  <c r="F8754" i="5"/>
  <c r="F8755" i="5"/>
  <c r="F8756" i="5"/>
  <c r="F8757" i="5"/>
  <c r="F8758" i="5"/>
  <c r="F8759" i="5"/>
  <c r="F8760" i="5"/>
  <c r="F8761" i="5"/>
  <c r="F8762" i="5"/>
  <c r="F8746" i="5"/>
  <c r="F8763" i="5"/>
  <c r="F8764" i="5"/>
  <c r="F8765" i="5"/>
  <c r="F8766" i="5"/>
  <c r="F8770" i="5"/>
  <c r="F8768" i="5"/>
  <c r="F8769" i="5"/>
  <c r="F8767" i="5"/>
  <c r="F8771" i="5"/>
  <c r="F8772" i="5"/>
  <c r="F8773" i="5"/>
  <c r="F8774" i="5"/>
  <c r="F8776" i="5"/>
  <c r="F8775" i="5"/>
  <c r="F8777" i="5"/>
  <c r="F8778" i="5"/>
  <c r="F8790" i="5"/>
  <c r="F8791" i="5"/>
  <c r="F8792" i="5"/>
  <c r="F8793" i="5"/>
  <c r="F8794" i="5"/>
  <c r="F8795" i="5"/>
  <c r="F8802" i="5"/>
  <c r="F8803" i="5"/>
  <c r="F8796" i="5"/>
  <c r="F8797" i="5"/>
  <c r="F8798" i="5"/>
  <c r="F8801" i="5"/>
  <c r="F8800" i="5"/>
  <c r="F8804" i="5"/>
  <c r="F8779" i="5"/>
  <c r="F8780" i="5"/>
  <c r="F8781" i="5"/>
  <c r="F8782" i="5"/>
  <c r="F8783" i="5"/>
  <c r="F8784" i="5"/>
  <c r="F8785" i="5"/>
  <c r="F8786" i="5"/>
  <c r="F8787" i="5"/>
  <c r="F8788" i="5"/>
  <c r="F8789" i="5"/>
  <c r="F8805" i="5"/>
  <c r="F8806" i="5"/>
  <c r="F8807" i="5"/>
  <c r="F8808" i="5"/>
  <c r="F8809" i="5"/>
  <c r="F8810" i="5"/>
  <c r="F8811" i="5"/>
  <c r="F8812" i="5"/>
  <c r="F8813" i="5"/>
  <c r="F8814" i="5"/>
  <c r="F8815" i="5"/>
  <c r="F8799" i="5"/>
  <c r="F8816" i="5"/>
  <c r="F8817" i="5"/>
  <c r="F8818" i="5"/>
  <c r="F8819" i="5"/>
  <c r="F8821" i="5"/>
  <c r="F8820" i="5"/>
  <c r="F8822" i="5"/>
  <c r="F8823" i="5"/>
  <c r="F8824" i="5"/>
  <c r="F8825" i="5"/>
  <c r="F8826" i="5"/>
  <c r="F8828" i="5"/>
  <c r="F8827" i="5"/>
  <c r="F8829" i="5"/>
  <c r="F8841" i="5"/>
  <c r="F8842" i="5"/>
  <c r="F8843" i="5"/>
  <c r="F8844" i="5"/>
  <c r="F8845" i="5"/>
  <c r="F8846" i="5"/>
  <c r="F8853" i="5"/>
  <c r="F8854" i="5"/>
  <c r="F8847" i="5"/>
  <c r="F8848" i="5"/>
  <c r="F8849" i="5"/>
  <c r="F8852" i="5"/>
  <c r="F8851" i="5"/>
  <c r="F8830" i="5"/>
  <c r="F8831" i="5"/>
  <c r="F8832" i="5"/>
  <c r="F8833" i="5"/>
  <c r="F8834" i="5"/>
  <c r="F8835" i="5"/>
  <c r="F8836" i="5"/>
  <c r="F8837" i="5"/>
  <c r="F8838" i="5"/>
  <c r="F8839" i="5"/>
  <c r="F8840" i="5"/>
  <c r="F8855" i="5"/>
  <c r="F8856" i="5"/>
  <c r="F8857" i="5"/>
  <c r="F8858" i="5"/>
  <c r="F8859" i="5"/>
  <c r="F8860" i="5"/>
  <c r="F8861" i="5"/>
  <c r="F8862" i="5"/>
  <c r="F8863" i="5"/>
  <c r="F8864" i="5"/>
  <c r="F8865" i="5"/>
  <c r="F8850" i="5"/>
  <c r="F8866" i="5"/>
  <c r="F8867" i="5"/>
  <c r="F8868" i="5"/>
  <c r="F8871" i="5"/>
  <c r="F8870" i="5"/>
  <c r="F8869" i="5"/>
  <c r="F8872" i="5"/>
  <c r="F8873" i="5"/>
  <c r="F8874" i="5"/>
  <c r="F8875" i="5"/>
  <c r="F8877" i="5"/>
  <c r="F8876" i="5"/>
  <c r="F8889" i="5"/>
  <c r="F8890" i="5"/>
  <c r="F8891" i="5"/>
  <c r="F8892" i="5"/>
  <c r="F8893" i="5"/>
  <c r="F8894" i="5"/>
  <c r="F8901" i="5"/>
  <c r="F8902" i="5"/>
  <c r="F8895" i="5"/>
  <c r="F8896" i="5"/>
  <c r="F8897" i="5"/>
  <c r="F8900" i="5"/>
  <c r="F8899" i="5"/>
  <c r="F8878" i="5"/>
  <c r="F8879" i="5"/>
  <c r="F8880" i="5"/>
  <c r="F8881" i="5"/>
  <c r="F8882" i="5"/>
  <c r="F8883" i="5"/>
  <c r="F8884" i="5"/>
  <c r="F8885" i="5"/>
  <c r="F8886" i="5"/>
  <c r="F8887" i="5"/>
  <c r="F8888" i="5"/>
  <c r="F8903" i="5"/>
  <c r="F8904" i="5"/>
  <c r="F8905" i="5"/>
  <c r="F8906" i="5"/>
  <c r="F8907" i="5"/>
  <c r="F8908" i="5"/>
  <c r="F8909" i="5"/>
  <c r="F8910" i="5"/>
  <c r="F8911" i="5"/>
  <c r="F8912" i="5"/>
  <c r="F8913" i="5"/>
  <c r="F8898" i="5"/>
  <c r="F8914" i="5"/>
  <c r="F8915" i="5"/>
  <c r="F8918" i="5"/>
  <c r="F8917" i="5"/>
  <c r="F8916" i="5"/>
  <c r="F8919" i="5"/>
  <c r="F8920" i="5"/>
  <c r="F8921" i="5"/>
  <c r="F8922" i="5"/>
  <c r="F8924" i="5"/>
  <c r="F8923" i="5"/>
  <c r="F8936" i="5"/>
  <c r="F8937" i="5"/>
  <c r="F8938" i="5"/>
  <c r="F8939" i="5"/>
  <c r="F8940" i="5"/>
  <c r="F8941" i="5"/>
  <c r="F8948" i="5"/>
  <c r="F8949" i="5"/>
  <c r="F8942" i="5"/>
  <c r="F8943" i="5"/>
  <c r="F8944" i="5"/>
  <c r="F8947" i="5"/>
  <c r="F8946" i="5"/>
  <c r="F8925" i="5"/>
  <c r="F8926" i="5"/>
  <c r="F8927" i="5"/>
  <c r="F8928" i="5"/>
  <c r="F8929" i="5"/>
  <c r="F8930" i="5"/>
  <c r="F8931" i="5"/>
  <c r="F8932" i="5"/>
  <c r="F8933" i="5"/>
  <c r="F8934" i="5"/>
  <c r="F8935" i="5"/>
  <c r="F8950" i="5"/>
  <c r="F8951" i="5"/>
  <c r="F8952" i="5"/>
  <c r="F8953" i="5"/>
  <c r="F8954" i="5"/>
  <c r="F8955" i="5"/>
  <c r="F8956" i="5"/>
  <c r="F8957" i="5"/>
  <c r="F8958" i="5"/>
  <c r="F8959" i="5"/>
  <c r="F8960" i="5"/>
  <c r="F8945" i="5"/>
  <c r="F8961" i="5"/>
  <c r="F8962" i="5"/>
  <c r="F8964" i="5"/>
  <c r="F8963" i="5"/>
  <c r="F8966" i="5"/>
  <c r="F8967" i="5"/>
  <c r="F8968" i="5"/>
  <c r="F8969" i="5"/>
  <c r="F8971" i="5"/>
  <c r="F8970" i="5"/>
  <c r="F8983" i="5"/>
  <c r="F8984" i="5"/>
  <c r="F8985" i="5"/>
  <c r="F8986" i="5"/>
  <c r="F8987" i="5"/>
  <c r="F8988" i="5"/>
  <c r="F8995" i="5"/>
  <c r="F8996" i="5"/>
  <c r="F8989" i="5"/>
  <c r="F8990" i="5"/>
  <c r="F8991" i="5"/>
  <c r="F8994" i="5"/>
  <c r="F8993" i="5"/>
  <c r="F8972" i="5"/>
  <c r="F8973" i="5"/>
  <c r="F8974" i="5"/>
  <c r="F8975" i="5"/>
  <c r="F8976" i="5"/>
  <c r="F8977" i="5"/>
  <c r="F8978" i="5"/>
  <c r="F8979" i="5"/>
  <c r="F8980" i="5"/>
  <c r="F8981" i="5"/>
  <c r="F8982" i="5"/>
  <c r="F8997" i="5"/>
  <c r="F8998" i="5"/>
  <c r="F8999" i="5"/>
  <c r="F9000" i="5"/>
  <c r="F9001" i="5"/>
  <c r="F9002" i="5"/>
  <c r="F9003" i="5"/>
  <c r="F9004" i="5"/>
  <c r="F9005" i="5"/>
  <c r="F9006" i="5"/>
  <c r="F9007" i="5"/>
  <c r="F8992" i="5"/>
  <c r="F9008" i="5"/>
  <c r="F9009" i="5"/>
  <c r="F9011" i="5"/>
  <c r="F9010" i="5"/>
  <c r="F9012" i="5"/>
  <c r="F9013" i="5"/>
  <c r="F9014" i="5"/>
  <c r="F9015" i="5"/>
  <c r="F9017" i="5"/>
  <c r="F9016" i="5"/>
  <c r="F9029" i="5"/>
  <c r="F9030" i="5"/>
  <c r="F9031" i="5"/>
  <c r="F9032" i="5"/>
  <c r="F9033" i="5"/>
  <c r="F9034" i="5"/>
  <c r="F9041" i="5"/>
  <c r="F9042" i="5"/>
  <c r="F9035" i="5"/>
  <c r="F9036" i="5"/>
  <c r="F9037" i="5"/>
  <c r="F9040" i="5"/>
  <c r="F9039" i="5"/>
  <c r="F9018" i="5"/>
  <c r="F9019" i="5"/>
  <c r="F9020" i="5"/>
  <c r="F9021" i="5"/>
  <c r="F9022" i="5"/>
  <c r="F9023" i="5"/>
  <c r="F9024" i="5"/>
  <c r="F9025" i="5"/>
  <c r="F9026" i="5"/>
  <c r="F9027" i="5"/>
  <c r="F9028" i="5"/>
  <c r="F9043" i="5"/>
  <c r="F9044" i="5"/>
  <c r="F9045" i="5"/>
  <c r="F9046" i="5"/>
  <c r="F9047" i="5"/>
  <c r="F9048" i="5"/>
  <c r="F9049" i="5"/>
  <c r="F9050" i="5"/>
  <c r="F9051" i="5"/>
  <c r="F9052" i="5"/>
  <c r="F9053" i="5"/>
  <c r="F9038" i="5"/>
  <c r="F9054" i="5"/>
  <c r="F9055" i="5"/>
  <c r="F9057" i="5"/>
  <c r="F9056" i="5"/>
  <c r="F9058" i="5"/>
  <c r="F9059" i="5"/>
  <c r="F9060" i="5"/>
  <c r="F9061" i="5"/>
  <c r="F9062" i="5"/>
  <c r="F9074" i="5"/>
  <c r="F9075" i="5"/>
  <c r="F9076" i="5"/>
  <c r="F9077" i="5"/>
  <c r="F9078" i="5"/>
  <c r="F9079" i="5"/>
  <c r="F9086" i="5"/>
  <c r="F9087" i="5"/>
  <c r="F9080" i="5"/>
  <c r="F9081" i="5"/>
  <c r="F9082" i="5"/>
  <c r="F9085" i="5"/>
  <c r="F9084" i="5"/>
  <c r="F9063" i="5"/>
  <c r="F9064" i="5"/>
  <c r="F9065" i="5"/>
  <c r="F9066" i="5"/>
  <c r="F9067" i="5"/>
  <c r="F9068" i="5"/>
  <c r="F9069" i="5"/>
  <c r="F9070" i="5"/>
  <c r="F9071" i="5"/>
  <c r="F9072" i="5"/>
  <c r="F9073" i="5"/>
  <c r="F9088" i="5"/>
  <c r="F9089" i="5"/>
  <c r="F9090" i="5"/>
  <c r="F9091" i="5"/>
  <c r="F9092" i="5"/>
  <c r="F9093" i="5"/>
  <c r="F9094" i="5"/>
  <c r="F9095" i="5"/>
  <c r="F9096" i="5"/>
  <c r="F9097" i="5"/>
  <c r="F9098" i="5"/>
  <c r="F9083" i="5"/>
  <c r="F9099" i="5"/>
  <c r="F9100" i="5"/>
  <c r="F9102" i="5"/>
  <c r="F9101" i="5"/>
  <c r="F9103" i="5"/>
  <c r="F9104" i="5"/>
  <c r="F9105" i="5"/>
  <c r="F9106" i="5"/>
  <c r="F9107" i="5"/>
  <c r="F9119" i="5"/>
  <c r="F9120" i="5"/>
  <c r="F9121" i="5"/>
  <c r="F9122" i="5"/>
  <c r="F9123" i="5"/>
  <c r="F9124" i="5"/>
  <c r="F9131" i="5"/>
  <c r="F9132" i="5"/>
  <c r="F9125" i="5"/>
  <c r="F9126" i="5"/>
  <c r="F9127" i="5"/>
  <c r="F9130" i="5"/>
  <c r="F9129" i="5"/>
  <c r="F9108" i="5"/>
  <c r="F9109" i="5"/>
  <c r="F9110" i="5"/>
  <c r="F9111" i="5"/>
  <c r="F9112" i="5"/>
  <c r="F9113" i="5"/>
  <c r="F9114" i="5"/>
  <c r="F9115" i="5"/>
  <c r="F9116" i="5"/>
  <c r="F9117" i="5"/>
  <c r="F9118" i="5"/>
  <c r="F9133" i="5"/>
  <c r="F9134" i="5"/>
  <c r="F9135" i="5"/>
  <c r="F9136" i="5"/>
  <c r="F9137" i="5"/>
  <c r="F9138" i="5"/>
  <c r="F9139" i="5"/>
  <c r="F9140" i="5"/>
  <c r="F9141" i="5"/>
  <c r="F9142" i="5"/>
  <c r="F9143" i="5"/>
  <c r="F9128" i="5"/>
  <c r="F9144" i="5"/>
  <c r="F9145" i="5"/>
  <c r="F9147" i="5"/>
  <c r="F9146" i="5"/>
  <c r="F9148" i="5"/>
  <c r="F9149" i="5"/>
  <c r="F9150" i="5"/>
  <c r="F9151" i="5"/>
  <c r="F9152" i="5"/>
  <c r="F9164" i="5"/>
  <c r="F9165" i="5"/>
  <c r="F9166" i="5"/>
  <c r="F9167" i="5"/>
  <c r="F9168" i="5"/>
  <c r="F9169" i="5"/>
  <c r="F9176" i="5"/>
  <c r="F9177" i="5"/>
  <c r="F9170" i="5"/>
  <c r="F9171" i="5"/>
  <c r="F9172" i="5"/>
  <c r="F9175" i="5"/>
  <c r="F9174" i="5"/>
  <c r="F9153" i="5"/>
  <c r="F9154" i="5"/>
  <c r="F9155" i="5"/>
  <c r="F9156" i="5"/>
  <c r="F9157" i="5"/>
  <c r="F9158" i="5"/>
  <c r="F9159" i="5"/>
  <c r="F9160" i="5"/>
  <c r="F9161" i="5"/>
  <c r="F9162" i="5"/>
  <c r="F9163" i="5"/>
  <c r="F9178" i="5"/>
  <c r="F9179" i="5"/>
  <c r="F9180" i="5"/>
  <c r="F9181" i="5"/>
  <c r="F9182" i="5"/>
  <c r="F9183" i="5"/>
  <c r="F9184" i="5"/>
  <c r="F9185" i="5"/>
  <c r="F9186" i="5"/>
  <c r="F9187" i="5"/>
  <c r="F9188" i="5"/>
  <c r="F9173" i="5"/>
  <c r="F9189" i="5"/>
  <c r="F9190" i="5"/>
  <c r="F9192" i="5"/>
  <c r="F9191" i="5"/>
  <c r="F9193" i="5"/>
  <c r="F9194" i="5"/>
  <c r="F9195" i="5"/>
  <c r="F9196" i="5"/>
  <c r="F9197" i="5"/>
  <c r="F9209" i="5"/>
  <c r="F9210" i="5"/>
  <c r="F9211" i="5"/>
  <c r="F9212" i="5"/>
  <c r="F9213" i="5"/>
  <c r="F9214" i="5"/>
  <c r="F9221" i="5"/>
  <c r="F9222" i="5"/>
  <c r="F9215" i="5"/>
  <c r="F9216" i="5"/>
  <c r="F9217" i="5"/>
  <c r="F9220" i="5"/>
  <c r="F9219" i="5"/>
  <c r="F9198" i="5"/>
  <c r="F9199" i="5"/>
  <c r="F9200" i="5"/>
  <c r="F9201" i="5"/>
  <c r="F9202" i="5"/>
  <c r="F9203" i="5"/>
  <c r="F9204" i="5"/>
  <c r="F9205" i="5"/>
  <c r="F9206" i="5"/>
  <c r="F9207" i="5"/>
  <c r="F9208" i="5"/>
  <c r="F9223" i="5"/>
  <c r="F9224" i="5"/>
  <c r="F9225" i="5"/>
  <c r="F9226" i="5"/>
  <c r="F9227" i="5"/>
  <c r="F9228" i="5"/>
  <c r="F9229" i="5"/>
  <c r="F9230" i="5"/>
  <c r="F9231" i="5"/>
  <c r="F9232" i="5"/>
  <c r="F9233" i="5"/>
  <c r="F9218" i="5"/>
  <c r="F9234" i="5"/>
  <c r="F9235" i="5"/>
  <c r="F9237" i="5"/>
  <c r="F9236" i="5"/>
  <c r="F9238" i="5"/>
  <c r="F9239" i="5"/>
  <c r="F9240" i="5"/>
  <c r="F9241" i="5"/>
  <c r="F9242" i="5"/>
  <c r="F9254" i="5"/>
  <c r="F9255" i="5"/>
  <c r="F9256" i="5"/>
  <c r="F9257" i="5"/>
  <c r="F9258" i="5"/>
  <c r="F9259" i="5"/>
  <c r="F9266" i="5"/>
  <c r="F9267" i="5"/>
  <c r="F9260" i="5"/>
  <c r="F9261" i="5"/>
  <c r="F9262" i="5"/>
  <c r="F9265" i="5"/>
  <c r="F9264" i="5"/>
  <c r="F9243" i="5"/>
  <c r="F9244" i="5"/>
  <c r="F9245" i="5"/>
  <c r="F9246" i="5"/>
  <c r="F9247" i="5"/>
  <c r="F9248" i="5"/>
  <c r="F9249" i="5"/>
  <c r="F9250" i="5"/>
  <c r="F9251" i="5"/>
  <c r="F9252" i="5"/>
  <c r="F9253" i="5"/>
  <c r="F9268" i="5"/>
  <c r="F9269" i="5"/>
  <c r="F9270" i="5"/>
  <c r="F4426" i="5"/>
  <c r="E4426" i="5" s="1"/>
  <c r="F9271" i="5"/>
  <c r="F9272" i="5"/>
  <c r="F9273" i="5"/>
  <c r="F9274" i="5"/>
  <c r="F9275" i="5"/>
  <c r="F9276" i="5"/>
  <c r="F9277" i="5"/>
  <c r="F9278" i="5"/>
  <c r="F9263" i="5"/>
  <c r="F9279" i="5"/>
  <c r="F9280" i="5"/>
  <c r="F9281" i="5"/>
  <c r="F9282" i="5"/>
  <c r="F9283" i="5"/>
  <c r="F9284" i="5"/>
  <c r="F9285" i="5"/>
  <c r="F9286" i="5"/>
  <c r="F9298" i="5"/>
  <c r="F9299" i="5"/>
  <c r="F9300" i="5"/>
  <c r="F9301" i="5"/>
  <c r="F9302" i="5"/>
  <c r="F9303" i="5"/>
  <c r="F9310" i="5"/>
  <c r="F9311" i="5"/>
  <c r="F9304" i="5"/>
  <c r="F9305" i="5"/>
  <c r="F9306" i="5"/>
  <c r="F9309" i="5"/>
  <c r="F9308" i="5"/>
  <c r="F9287" i="5"/>
  <c r="F9288" i="5"/>
  <c r="F9289" i="5"/>
  <c r="F9290" i="5"/>
  <c r="F9291" i="5"/>
  <c r="F9292" i="5"/>
  <c r="F9293" i="5"/>
  <c r="F9294" i="5"/>
  <c r="F9295" i="5"/>
  <c r="F9296" i="5"/>
  <c r="F9297" i="5"/>
  <c r="F9312" i="5"/>
  <c r="F9313" i="5"/>
  <c r="F9314" i="5"/>
  <c r="F9315" i="5"/>
  <c r="F9316" i="5"/>
  <c r="F9317" i="5"/>
  <c r="F9318" i="5"/>
  <c r="F9319" i="5"/>
  <c r="F9320" i="5"/>
  <c r="F9321" i="5"/>
  <c r="F9322" i="5"/>
  <c r="F9307" i="5"/>
  <c r="F9323" i="5"/>
  <c r="F9324" i="5"/>
  <c r="F9325" i="5"/>
  <c r="F9326" i="5"/>
  <c r="F9327" i="5"/>
  <c r="F9328" i="5"/>
  <c r="F9329" i="5"/>
  <c r="F9330" i="5"/>
  <c r="F9342" i="5"/>
  <c r="F9343" i="5"/>
  <c r="F9344" i="5"/>
  <c r="F9345" i="5"/>
  <c r="F9346" i="5"/>
  <c r="F9347" i="5"/>
  <c r="F9354" i="5"/>
  <c r="F9355" i="5"/>
  <c r="F9348" i="5"/>
  <c r="F9349" i="5"/>
  <c r="F9350" i="5"/>
  <c r="F9353" i="5"/>
  <c r="F9352" i="5"/>
  <c r="F9331" i="5"/>
  <c r="F9332" i="5"/>
  <c r="F9333" i="5"/>
  <c r="F9334" i="5"/>
  <c r="F9335" i="5"/>
  <c r="F9336" i="5"/>
  <c r="F9337" i="5"/>
  <c r="F9338" i="5"/>
  <c r="F9339" i="5"/>
  <c r="F9340" i="5"/>
  <c r="F9341" i="5"/>
  <c r="F9356" i="5"/>
  <c r="F9357" i="5"/>
  <c r="F9358" i="5"/>
  <c r="F9359" i="5"/>
  <c r="F9360" i="5"/>
  <c r="F9361" i="5"/>
  <c r="F9362" i="5"/>
  <c r="F9363" i="5"/>
  <c r="F9364" i="5"/>
  <c r="F9365" i="5"/>
  <c r="F9366" i="5"/>
  <c r="F9351" i="5"/>
  <c r="F9367" i="5"/>
  <c r="F9368" i="5"/>
  <c r="F9369" i="5"/>
  <c r="F9370" i="5"/>
  <c r="F9371" i="5"/>
  <c r="F9372" i="5"/>
  <c r="F9373" i="5"/>
  <c r="F9374" i="5"/>
  <c r="F9386" i="5"/>
  <c r="F9387" i="5"/>
  <c r="F9388" i="5"/>
  <c r="F9389" i="5"/>
  <c r="F9390" i="5"/>
  <c r="F9391" i="5"/>
  <c r="F9398" i="5"/>
  <c r="F9399" i="5"/>
  <c r="F9392" i="5"/>
  <c r="F9393" i="5"/>
  <c r="F9394" i="5"/>
  <c r="F9397" i="5"/>
  <c r="F9396" i="5"/>
  <c r="F9375" i="5"/>
  <c r="F9376" i="5"/>
  <c r="F9377" i="5"/>
  <c r="F9378" i="5"/>
  <c r="F9379" i="5"/>
  <c r="F9380" i="5"/>
  <c r="F9381" i="5"/>
  <c r="F9382" i="5"/>
  <c r="F9383" i="5"/>
  <c r="F9384" i="5"/>
  <c r="F9385" i="5"/>
  <c r="F9400" i="5"/>
  <c r="F9401" i="5"/>
  <c r="F9402" i="5"/>
  <c r="F9403" i="5"/>
  <c r="F9404" i="5"/>
  <c r="F9405" i="5"/>
  <c r="F9406" i="5"/>
  <c r="F9407" i="5"/>
  <c r="F9408" i="5"/>
  <c r="F9409" i="5"/>
  <c r="F9410" i="5"/>
  <c r="F9395" i="5"/>
  <c r="F9411" i="5"/>
  <c r="F9412" i="5"/>
  <c r="F9413" i="5"/>
  <c r="F9414" i="5"/>
  <c r="F9415" i="5"/>
  <c r="F9416" i="5"/>
  <c r="F9417" i="5"/>
  <c r="F9429" i="5"/>
  <c r="F9430" i="5"/>
  <c r="F9431" i="5"/>
  <c r="F9432" i="5"/>
  <c r="F9433" i="5"/>
  <c r="F9434" i="5"/>
  <c r="F9441" i="5"/>
  <c r="F9442" i="5"/>
  <c r="F9435" i="5"/>
  <c r="F9436" i="5"/>
  <c r="F9437" i="5"/>
  <c r="F9440" i="5"/>
  <c r="F9439" i="5"/>
  <c r="F9418" i="5"/>
  <c r="F9419" i="5"/>
  <c r="F9420" i="5"/>
  <c r="F9421" i="5"/>
  <c r="F9422" i="5"/>
  <c r="F9423" i="5"/>
  <c r="F9424" i="5"/>
  <c r="F9425" i="5"/>
  <c r="F9426" i="5"/>
  <c r="F9427" i="5"/>
  <c r="F9428" i="5"/>
  <c r="F9443" i="5"/>
  <c r="F9444" i="5"/>
  <c r="F9445" i="5"/>
  <c r="F9446" i="5"/>
  <c r="F9447" i="5"/>
  <c r="F9448" i="5"/>
  <c r="F9449" i="5"/>
  <c r="F9450" i="5"/>
  <c r="F9451" i="5"/>
  <c r="F9452" i="5"/>
  <c r="F9453" i="5"/>
  <c r="F9438" i="5"/>
  <c r="F9454" i="5"/>
  <c r="F9455" i="5"/>
  <c r="F9456" i="5"/>
  <c r="F9457" i="5"/>
  <c r="F9458" i="5"/>
  <c r="F9459" i="5"/>
  <c r="F9466" i="5"/>
  <c r="F9467" i="5"/>
  <c r="F9468" i="5"/>
  <c r="F9469" i="5"/>
  <c r="F9470" i="5"/>
  <c r="F9471" i="5"/>
  <c r="F9478" i="5"/>
  <c r="F9479" i="5"/>
  <c r="F9472" i="5"/>
  <c r="F9473" i="5"/>
  <c r="F9474" i="5"/>
  <c r="F9477" i="5"/>
  <c r="F9476" i="5"/>
  <c r="F9460" i="5"/>
  <c r="F9461" i="5"/>
  <c r="F9462" i="5"/>
  <c r="F9463" i="5"/>
  <c r="F9464" i="5"/>
  <c r="F9465" i="5"/>
  <c r="F9480" i="5"/>
  <c r="F9481" i="5"/>
  <c r="F9482" i="5"/>
  <c r="F9483" i="5"/>
  <c r="F9484" i="5"/>
  <c r="F9485" i="5"/>
  <c r="F9486" i="5"/>
  <c r="F9487" i="5"/>
  <c r="F9488" i="5"/>
  <c r="F9489" i="5"/>
  <c r="F9490" i="5"/>
  <c r="F9475" i="5"/>
  <c r="F9491" i="5"/>
  <c r="F9492" i="5"/>
  <c r="F9493" i="5"/>
  <c r="F9494" i="5"/>
  <c r="F9495" i="5"/>
  <c r="F9496" i="5"/>
  <c r="F9503" i="5"/>
  <c r="F9504" i="5"/>
  <c r="F9505" i="5"/>
  <c r="F9506" i="5"/>
  <c r="F9507" i="5"/>
  <c r="F9508" i="5"/>
  <c r="F9515" i="5"/>
  <c r="F9516" i="5"/>
  <c r="F9509" i="5"/>
  <c r="F9510" i="5"/>
  <c r="F9511" i="5"/>
  <c r="F9514" i="5"/>
  <c r="F9513" i="5"/>
  <c r="F9497" i="5"/>
  <c r="F9498" i="5"/>
  <c r="F9499" i="5"/>
  <c r="F9500" i="5"/>
  <c r="F9501" i="5"/>
  <c r="F9502" i="5"/>
  <c r="F9517" i="5"/>
  <c r="F9518" i="5"/>
  <c r="F9519" i="5"/>
  <c r="F9520" i="5"/>
  <c r="F9521" i="5"/>
  <c r="F9522" i="5"/>
  <c r="F9523" i="5"/>
  <c r="F9524" i="5"/>
  <c r="F9525" i="5"/>
  <c r="F9526" i="5"/>
  <c r="F9527" i="5"/>
  <c r="F9512" i="5"/>
  <c r="F9528" i="5"/>
  <c r="F9529" i="5"/>
  <c r="F9530" i="5"/>
  <c r="F9531" i="5"/>
  <c r="F9532" i="5"/>
  <c r="F9539" i="5"/>
  <c r="F9540" i="5"/>
  <c r="F9541" i="5"/>
  <c r="F9542" i="5"/>
  <c r="F9543" i="5"/>
  <c r="F9544" i="5"/>
  <c r="F9551" i="5"/>
  <c r="F9552" i="5"/>
  <c r="F9545" i="5"/>
  <c r="F9546" i="5"/>
  <c r="F9547" i="5"/>
  <c r="F9550" i="5"/>
  <c r="F9549" i="5"/>
  <c r="F9533" i="5"/>
  <c r="F9534" i="5"/>
  <c r="F9535" i="5"/>
  <c r="F9536" i="5"/>
  <c r="F9537" i="5"/>
  <c r="F9538" i="5"/>
  <c r="F9553" i="5"/>
  <c r="F9554" i="5"/>
  <c r="F9555" i="5"/>
  <c r="F9556" i="5"/>
  <c r="F9557" i="5"/>
  <c r="F9558" i="5"/>
  <c r="F9559" i="5"/>
  <c r="F9560" i="5"/>
  <c r="F9561" i="5"/>
  <c r="F9562" i="5"/>
  <c r="F9563" i="5"/>
  <c r="F9548" i="5"/>
  <c r="F9564" i="5"/>
  <c r="F9565" i="5"/>
  <c r="F9566" i="5"/>
  <c r="F9567" i="5"/>
  <c r="F9568" i="5"/>
  <c r="F9575" i="5"/>
  <c r="F9576" i="5"/>
  <c r="F9577" i="5"/>
  <c r="F9578" i="5"/>
  <c r="F9579" i="5"/>
  <c r="F9580" i="5"/>
  <c r="F9587" i="5"/>
  <c r="F9588" i="5"/>
  <c r="F9581" i="5"/>
  <c r="F9582" i="5"/>
  <c r="F9583" i="5"/>
  <c r="F9586" i="5"/>
  <c r="F9585" i="5"/>
  <c r="F9569" i="5"/>
  <c r="F9570" i="5"/>
  <c r="F9571" i="5"/>
  <c r="F9572" i="5"/>
  <c r="F9573" i="5"/>
  <c r="F9574" i="5"/>
  <c r="F9589" i="5"/>
  <c r="F9590" i="5"/>
  <c r="F9591" i="5"/>
  <c r="F9592" i="5"/>
  <c r="F9593" i="5"/>
  <c r="F9594" i="5"/>
  <c r="F9595" i="5"/>
  <c r="F9596" i="5"/>
  <c r="F9597" i="5"/>
  <c r="F9598" i="5"/>
  <c r="F9599" i="5"/>
  <c r="F9584" i="5"/>
  <c r="F9600" i="5"/>
  <c r="F9601" i="5"/>
  <c r="F9602" i="5"/>
  <c r="F9609" i="5"/>
  <c r="F9610" i="5"/>
  <c r="F9611" i="5"/>
  <c r="F9612" i="5"/>
  <c r="F9613" i="5"/>
  <c r="F9614" i="5"/>
  <c r="F9621" i="5"/>
  <c r="F9622" i="5"/>
  <c r="F9615" i="5"/>
  <c r="F9616" i="5"/>
  <c r="F9617" i="5"/>
  <c r="F9620" i="5"/>
  <c r="F9619" i="5"/>
  <c r="F9603" i="5"/>
  <c r="F9604" i="5"/>
  <c r="F9605" i="5"/>
  <c r="F9606" i="5"/>
  <c r="F9607" i="5"/>
  <c r="F9608" i="5"/>
  <c r="F9623" i="5"/>
  <c r="F9624" i="5"/>
  <c r="F9625" i="5"/>
  <c r="F9626" i="5"/>
  <c r="F9627" i="5"/>
  <c r="F9628" i="5"/>
  <c r="F9629" i="5"/>
  <c r="F9630" i="5"/>
  <c r="F9631" i="5"/>
  <c r="F9632" i="5"/>
  <c r="F9633" i="5"/>
  <c r="F9618" i="5"/>
  <c r="F9634" i="5"/>
  <c r="F9635" i="5"/>
  <c r="F9636" i="5"/>
  <c r="F9642" i="5"/>
  <c r="F9643" i="5"/>
  <c r="F9644" i="5"/>
  <c r="F9645" i="5"/>
  <c r="F9646" i="5"/>
  <c r="F9647" i="5"/>
  <c r="F9654" i="5"/>
  <c r="F9655" i="5"/>
  <c r="F9648" i="5"/>
  <c r="F9649" i="5"/>
  <c r="F9650" i="5"/>
  <c r="F9653" i="5"/>
  <c r="F9652" i="5"/>
  <c r="F9637" i="5"/>
  <c r="F9638" i="5"/>
  <c r="F9639" i="5"/>
  <c r="F9640" i="5"/>
  <c r="F9641" i="5"/>
  <c r="F9656" i="5"/>
  <c r="F9657" i="5"/>
  <c r="F9658" i="5"/>
  <c r="F9659" i="5"/>
  <c r="F9660" i="5"/>
  <c r="F9661" i="5"/>
  <c r="F9662" i="5"/>
  <c r="F9663" i="5"/>
  <c r="F9664" i="5"/>
  <c r="F9665" i="5"/>
  <c r="F9666" i="5"/>
  <c r="F9651" i="5"/>
  <c r="F9667" i="5"/>
  <c r="F9668" i="5"/>
  <c r="F9669" i="5"/>
  <c r="F9674" i="5"/>
  <c r="F9675" i="5"/>
  <c r="F9676" i="5"/>
  <c r="F9677" i="5"/>
  <c r="F9678" i="5"/>
  <c r="F9679" i="5"/>
  <c r="F9686" i="5"/>
  <c r="F9687" i="5"/>
  <c r="F9680" i="5"/>
  <c r="F9681" i="5"/>
  <c r="F9682" i="5"/>
  <c r="F9685" i="5"/>
  <c r="F9684" i="5"/>
  <c r="F9670" i="5"/>
  <c r="F9671" i="5"/>
  <c r="F9672" i="5"/>
  <c r="F9673" i="5"/>
  <c r="F9688" i="5"/>
  <c r="F9689" i="5"/>
  <c r="F9690" i="5"/>
  <c r="F4786" i="5"/>
  <c r="E4786" i="5" s="1"/>
  <c r="F9691" i="5"/>
  <c r="F9692" i="5"/>
  <c r="F9693" i="5"/>
  <c r="F9694" i="5"/>
  <c r="F9695" i="5"/>
  <c r="F9696" i="5"/>
  <c r="F9697" i="5"/>
  <c r="F9698" i="5"/>
  <c r="F9683" i="5"/>
  <c r="F9699" i="5"/>
  <c r="F9700" i="5"/>
  <c r="F9701" i="5"/>
  <c r="F9706" i="5"/>
  <c r="F9707" i="5"/>
  <c r="F9708" i="5"/>
  <c r="F9709" i="5"/>
  <c r="F9710" i="5"/>
  <c r="F9711" i="5"/>
  <c r="F9718" i="5"/>
  <c r="F9719" i="5"/>
  <c r="F9712" i="5"/>
  <c r="F9713" i="5"/>
  <c r="F4693" i="5"/>
  <c r="E4693" i="5" s="1"/>
  <c r="F9714" i="5"/>
  <c r="F4651" i="5"/>
  <c r="E4651" i="5" s="1"/>
  <c r="F9717" i="5"/>
  <c r="F4950" i="5"/>
  <c r="E4950" i="5" s="1"/>
  <c r="F9716" i="5"/>
  <c r="F9702" i="5"/>
  <c r="F9703" i="5"/>
  <c r="F4743" i="5"/>
  <c r="E4743" i="5" s="1"/>
  <c r="F9704" i="5"/>
  <c r="F9705" i="5"/>
  <c r="F9720" i="5"/>
  <c r="F9721" i="5"/>
  <c r="F9722" i="5"/>
  <c r="F9723" i="5"/>
  <c r="F9724" i="5"/>
  <c r="F9725" i="5"/>
  <c r="F9726" i="5"/>
  <c r="F9727" i="5"/>
  <c r="F9728" i="5"/>
  <c r="F9729" i="5"/>
  <c r="F9730" i="5"/>
  <c r="F9715" i="5"/>
  <c r="F9731" i="5"/>
  <c r="F9732" i="5"/>
  <c r="F9733" i="5"/>
  <c r="F9735" i="5"/>
  <c r="F9736" i="5"/>
  <c r="F9737" i="5"/>
  <c r="F9738" i="5"/>
  <c r="F9739" i="5"/>
  <c r="F9740" i="5"/>
  <c r="F9747" i="5"/>
  <c r="F9748" i="5"/>
  <c r="F9741" i="5"/>
  <c r="F9742" i="5"/>
  <c r="F9743" i="5"/>
  <c r="F9746" i="5"/>
  <c r="F9745" i="5"/>
  <c r="F9734" i="5"/>
  <c r="F9749" i="5"/>
  <c r="F9750" i="5"/>
  <c r="F9751" i="5"/>
  <c r="F9752" i="5"/>
  <c r="F9753" i="5"/>
  <c r="F9754" i="5"/>
  <c r="F9755" i="5"/>
  <c r="F9756" i="5"/>
  <c r="F9757" i="5"/>
  <c r="F9758" i="5"/>
  <c r="F9759" i="5"/>
  <c r="F9744" i="5"/>
  <c r="F9760" i="5"/>
  <c r="F9761" i="5"/>
  <c r="F9762" i="5"/>
  <c r="F9764" i="5"/>
  <c r="F9765" i="5"/>
  <c r="F9766" i="5"/>
  <c r="F9767" i="5"/>
  <c r="F9768" i="5"/>
  <c r="F9769" i="5"/>
  <c r="F9776" i="5"/>
  <c r="F9777" i="5"/>
  <c r="F9770" i="5"/>
  <c r="F9771" i="5"/>
  <c r="F9772" i="5"/>
  <c r="F9775" i="5"/>
  <c r="F9774" i="5"/>
  <c r="F9763" i="5"/>
  <c r="F9778" i="5"/>
  <c r="F9779" i="5"/>
  <c r="F9780" i="5"/>
  <c r="F9781" i="5"/>
  <c r="F9782" i="5"/>
  <c r="F9783" i="5"/>
  <c r="F9784" i="5"/>
  <c r="F9785" i="5"/>
  <c r="F9786" i="5"/>
  <c r="F9787" i="5"/>
  <c r="F9788" i="5"/>
  <c r="F9773" i="5"/>
  <c r="F9789" i="5"/>
  <c r="F9790" i="5"/>
  <c r="F9791" i="5"/>
  <c r="F9793" i="5"/>
  <c r="F9794" i="5"/>
  <c r="F9795" i="5"/>
  <c r="F9796" i="5"/>
  <c r="F9797" i="5"/>
  <c r="F9798" i="5"/>
  <c r="F9805" i="5"/>
  <c r="F9806" i="5"/>
  <c r="F9799" i="5"/>
  <c r="F9800" i="5"/>
  <c r="F9801" i="5"/>
  <c r="F9804" i="5"/>
  <c r="F9803" i="5"/>
  <c r="F9792" i="5"/>
  <c r="F9807" i="5"/>
  <c r="F9808" i="5"/>
  <c r="F9809" i="5"/>
  <c r="F9810" i="5"/>
  <c r="F9811" i="5"/>
  <c r="F9812" i="5"/>
  <c r="F9813" i="5"/>
  <c r="F9814" i="5"/>
  <c r="F9815" i="5"/>
  <c r="F9816" i="5"/>
  <c r="F9817" i="5"/>
  <c r="F9802" i="5"/>
  <c r="F9818" i="5"/>
  <c r="F9819" i="5"/>
  <c r="F9820" i="5"/>
  <c r="F9822" i="5"/>
  <c r="F9823" i="5"/>
  <c r="F9824" i="5"/>
  <c r="F9825" i="5"/>
  <c r="F9826" i="5"/>
  <c r="F9827" i="5"/>
  <c r="F9834" i="5"/>
  <c r="F9835" i="5"/>
  <c r="F9828" i="5"/>
  <c r="F9829" i="5"/>
  <c r="F9830" i="5"/>
  <c r="F9833" i="5"/>
  <c r="F9832" i="5"/>
  <c r="F9821" i="5"/>
  <c r="F9836" i="5"/>
  <c r="F9837" i="5"/>
  <c r="F9838" i="5"/>
  <c r="F9839" i="5"/>
  <c r="F9840" i="5"/>
  <c r="F9841" i="5"/>
  <c r="F9842" i="5"/>
  <c r="F9843" i="5"/>
  <c r="F9844" i="5"/>
  <c r="F9845" i="5"/>
  <c r="F9846" i="5"/>
  <c r="F9831" i="5"/>
  <c r="F9847" i="5"/>
  <c r="F9848" i="5"/>
  <c r="F9849" i="5"/>
  <c r="F9851" i="5"/>
  <c r="F9852" i="5"/>
  <c r="F9853" i="5"/>
  <c r="F9854" i="5"/>
  <c r="F9855" i="5"/>
  <c r="F9856" i="5"/>
  <c r="F9863" i="5"/>
  <c r="F9864" i="5"/>
  <c r="F9857" i="5"/>
  <c r="F9858" i="5"/>
  <c r="F9859" i="5"/>
  <c r="F9862" i="5"/>
  <c r="F9861" i="5"/>
  <c r="F9850" i="5"/>
  <c r="F9865" i="5"/>
  <c r="F9866" i="5"/>
  <c r="F9867" i="5"/>
  <c r="F9868" i="5"/>
  <c r="F9869" i="5"/>
  <c r="F9870" i="5"/>
  <c r="F9871" i="5"/>
  <c r="F9872" i="5"/>
  <c r="F9873" i="5"/>
  <c r="F9874" i="5"/>
  <c r="F9875" i="5"/>
  <c r="F9860" i="5"/>
  <c r="F9876" i="5"/>
  <c r="F9877" i="5"/>
  <c r="F9878" i="5"/>
  <c r="F9880" i="5"/>
  <c r="F9881" i="5"/>
  <c r="F9882" i="5"/>
  <c r="F9883" i="5"/>
  <c r="F9884" i="5"/>
  <c r="F9885" i="5"/>
  <c r="F9892" i="5"/>
  <c r="F9893" i="5"/>
  <c r="F9886" i="5"/>
  <c r="F9887" i="5"/>
  <c r="F9888" i="5"/>
  <c r="F9891" i="5"/>
  <c r="F9890" i="5"/>
  <c r="F9879" i="5"/>
  <c r="F9894" i="5"/>
  <c r="F9895" i="5"/>
  <c r="F9896" i="5"/>
  <c r="F9897" i="5"/>
  <c r="F9898" i="5"/>
  <c r="F9899" i="5"/>
  <c r="F9900" i="5"/>
  <c r="F9901" i="5"/>
  <c r="F9902" i="5"/>
  <c r="F9903" i="5"/>
  <c r="F9904" i="5"/>
  <c r="F9889" i="5"/>
  <c r="F9905" i="5"/>
  <c r="F9906" i="5"/>
  <c r="F9907" i="5"/>
  <c r="F9909" i="5"/>
  <c r="F9910" i="5"/>
  <c r="F9911" i="5"/>
  <c r="F9912" i="5"/>
  <c r="F9913" i="5"/>
  <c r="F9914" i="5"/>
  <c r="F9921" i="5"/>
  <c r="F9922" i="5"/>
  <c r="F9915" i="5"/>
  <c r="F9916" i="5"/>
  <c r="F9917" i="5"/>
  <c r="F9920" i="5"/>
  <c r="F9919" i="5"/>
  <c r="F9908" i="5"/>
  <c r="F9923" i="5"/>
  <c r="F9924" i="5"/>
  <c r="F9925" i="5"/>
  <c r="F9926" i="5"/>
  <c r="F9927" i="5"/>
  <c r="F9928" i="5"/>
  <c r="F9929" i="5"/>
  <c r="F9930" i="5"/>
  <c r="F9931" i="5"/>
  <c r="F9932" i="5"/>
  <c r="F9933" i="5"/>
  <c r="F9918" i="5"/>
  <c r="F9934" i="5"/>
  <c r="F9935" i="5"/>
  <c r="F9936" i="5"/>
  <c r="F9938" i="5"/>
  <c r="F9939" i="5"/>
  <c r="F9940" i="5"/>
  <c r="F9941" i="5"/>
  <c r="F9942" i="5"/>
  <c r="F9943" i="5"/>
  <c r="F9950" i="5"/>
  <c r="F9951" i="5"/>
  <c r="F9944" i="5"/>
  <c r="F9945" i="5"/>
  <c r="F9946" i="5"/>
  <c r="F9949" i="5"/>
  <c r="F9948" i="5"/>
  <c r="F9937" i="5"/>
  <c r="F9952" i="5"/>
  <c r="F9953" i="5"/>
  <c r="F9954" i="5"/>
  <c r="F9955" i="5"/>
  <c r="F9956" i="5"/>
  <c r="F9957" i="5"/>
  <c r="F9958" i="5"/>
  <c r="F9959" i="5"/>
  <c r="F9960" i="5"/>
  <c r="F9961" i="5"/>
  <c r="F9962" i="5"/>
  <c r="F9947" i="5"/>
  <c r="F9963" i="5"/>
  <c r="F9964" i="5"/>
  <c r="F9965" i="5"/>
  <c r="F9967" i="5"/>
  <c r="F9968" i="5"/>
  <c r="F9969" i="5"/>
  <c r="F9970" i="5"/>
  <c r="F9971" i="5"/>
  <c r="F9972" i="5"/>
  <c r="F9979" i="5"/>
  <c r="F9980" i="5"/>
  <c r="F9973" i="5"/>
  <c r="F9974" i="5"/>
  <c r="F9975" i="5"/>
  <c r="F9978" i="5"/>
  <c r="F9977" i="5"/>
  <c r="F9966" i="5"/>
  <c r="F9981" i="5"/>
  <c r="F9982" i="5"/>
  <c r="F9983" i="5"/>
  <c r="F9984" i="5"/>
  <c r="F9985" i="5"/>
  <c r="F9986" i="5"/>
  <c r="F9987" i="5"/>
  <c r="F9988" i="5"/>
  <c r="F9989" i="5"/>
  <c r="F9990" i="5"/>
  <c r="F9991" i="5"/>
  <c r="F9976" i="5"/>
  <c r="F9992" i="5"/>
  <c r="F9993" i="5"/>
  <c r="F9994" i="5"/>
  <c r="F9996" i="5"/>
  <c r="F9997" i="5"/>
  <c r="F9998" i="5"/>
  <c r="F9999" i="5"/>
  <c r="F10000" i="5"/>
  <c r="F10001" i="5"/>
  <c r="F10008" i="5"/>
  <c r="F10009" i="5"/>
  <c r="F10002" i="5"/>
  <c r="F10003" i="5"/>
  <c r="F10004" i="5"/>
  <c r="F10007" i="5"/>
  <c r="F10006" i="5"/>
  <c r="F9995" i="5"/>
  <c r="F10010" i="5"/>
  <c r="F10011" i="5"/>
  <c r="F10012" i="5"/>
  <c r="F10013" i="5"/>
  <c r="F10014" i="5"/>
  <c r="F10015" i="5"/>
  <c r="F10016" i="5"/>
  <c r="F10017" i="5"/>
  <c r="F10018" i="5"/>
  <c r="F10019" i="5"/>
  <c r="F10020" i="5"/>
  <c r="F10005" i="5"/>
  <c r="F10021" i="5"/>
  <c r="F10022" i="5"/>
  <c r="F10023" i="5"/>
  <c r="F10025" i="5"/>
  <c r="F10026" i="5"/>
  <c r="F10027" i="5"/>
  <c r="F10028" i="5"/>
  <c r="F10029" i="5"/>
  <c r="F10030" i="5"/>
  <c r="F10037" i="5"/>
  <c r="F10038" i="5"/>
  <c r="F10031" i="5"/>
  <c r="F10032" i="5"/>
  <c r="F10033" i="5"/>
  <c r="F10036" i="5"/>
  <c r="F10035" i="5"/>
  <c r="F10024" i="5"/>
  <c r="F10039" i="5"/>
  <c r="F10040" i="5"/>
  <c r="F10041" i="5"/>
  <c r="F10042" i="5"/>
  <c r="F10043" i="5"/>
  <c r="F10044" i="5"/>
  <c r="F10045" i="5"/>
  <c r="F10046" i="5"/>
  <c r="F10047" i="5"/>
  <c r="F10048" i="5"/>
  <c r="F10049" i="5"/>
  <c r="F10034" i="5"/>
  <c r="F10050" i="5"/>
  <c r="F10051" i="5"/>
  <c r="F10052" i="5"/>
  <c r="F10054" i="5"/>
  <c r="F10055" i="5"/>
  <c r="F10056" i="5"/>
  <c r="F10057" i="5"/>
  <c r="F10058" i="5"/>
  <c r="F10059" i="5"/>
  <c r="F10066" i="5"/>
  <c r="F10067" i="5"/>
  <c r="F10060" i="5"/>
  <c r="F10061" i="5"/>
  <c r="F10062" i="5"/>
  <c r="F10065" i="5"/>
  <c r="F10064" i="5"/>
  <c r="F10053" i="5"/>
  <c r="F10068" i="5"/>
  <c r="F10069" i="5"/>
  <c r="F10070" i="5"/>
  <c r="F10071" i="5"/>
  <c r="F10072" i="5"/>
  <c r="F10073" i="5"/>
  <c r="F10074" i="5"/>
  <c r="F10075" i="5"/>
  <c r="F10076" i="5"/>
  <c r="F10077" i="5"/>
  <c r="F10063" i="5"/>
  <c r="F10078" i="5"/>
  <c r="F10079" i="5"/>
  <c r="F10080" i="5"/>
  <c r="F10082" i="5"/>
  <c r="F10083" i="5"/>
  <c r="F10084" i="5"/>
  <c r="F10085" i="5"/>
  <c r="F10086" i="5"/>
  <c r="F10087" i="5"/>
  <c r="F10094" i="5"/>
  <c r="F10095" i="5"/>
  <c r="F10088" i="5"/>
  <c r="F10089" i="5"/>
  <c r="F10090" i="5"/>
  <c r="F10093" i="5"/>
  <c r="F10092" i="5"/>
  <c r="F10081" i="5"/>
  <c r="F10096" i="5"/>
  <c r="F10097" i="5"/>
  <c r="F10098" i="5"/>
  <c r="F10099" i="5"/>
  <c r="F10100" i="5"/>
  <c r="F10101" i="5"/>
  <c r="F10102" i="5"/>
  <c r="F10103" i="5"/>
  <c r="F10104" i="5"/>
  <c r="F10091" i="5"/>
  <c r="F10105" i="5"/>
  <c r="F10106" i="5"/>
  <c r="F10107" i="5"/>
  <c r="F10109" i="5"/>
  <c r="F10110" i="5"/>
  <c r="F10111" i="5"/>
  <c r="F10112" i="5"/>
  <c r="F10113" i="5"/>
  <c r="F10114" i="5"/>
  <c r="F10121" i="5"/>
  <c r="F10122" i="5"/>
  <c r="F4989" i="5"/>
  <c r="E4989" i="5" s="1"/>
  <c r="F5303" i="5"/>
  <c r="E5303" i="5" s="1"/>
  <c r="F10115" i="5"/>
  <c r="F4990" i="5"/>
  <c r="E4990" i="5" s="1"/>
  <c r="F5304" i="5"/>
  <c r="E5304" i="5" s="1"/>
  <c r="F4991" i="5"/>
  <c r="E4991" i="5" s="1"/>
  <c r="F10116" i="5"/>
  <c r="F5133" i="5"/>
  <c r="E5133" i="5" s="1"/>
  <c r="F10117" i="5"/>
  <c r="F10120" i="5"/>
  <c r="F10119" i="5"/>
  <c r="F10108" i="5"/>
  <c r="F10123" i="5"/>
  <c r="F4992" i="5"/>
  <c r="E4992" i="5" s="1"/>
  <c r="F10124" i="5"/>
  <c r="F10125" i="5"/>
  <c r="F10126" i="5"/>
  <c r="F10127" i="5"/>
  <c r="F10128" i="5"/>
  <c r="F10129" i="5"/>
  <c r="F10130" i="5"/>
  <c r="F10118" i="5"/>
  <c r="F4363" i="5"/>
  <c r="E4363" i="5" s="1"/>
  <c r="F10131" i="5"/>
  <c r="F10132" i="5"/>
  <c r="F10133" i="5"/>
  <c r="F4364" i="5"/>
  <c r="E4364" i="5" s="1"/>
  <c r="F10135" i="5"/>
  <c r="F10136" i="5"/>
  <c r="F10137" i="5"/>
  <c r="F4365" i="5"/>
  <c r="E4365" i="5" s="1"/>
  <c r="F10138" i="5"/>
  <c r="F10145" i="5"/>
  <c r="F10146" i="5"/>
  <c r="F10139" i="5"/>
  <c r="F10140" i="5"/>
  <c r="F10141" i="5"/>
  <c r="F10144" i="5"/>
  <c r="F10143" i="5"/>
  <c r="F10134" i="5"/>
  <c r="F10147" i="5"/>
  <c r="F10148" i="5"/>
  <c r="F10149" i="5"/>
  <c r="F10150" i="5"/>
  <c r="F10151" i="5"/>
  <c r="F10152" i="5"/>
  <c r="F10153" i="5"/>
  <c r="F10142" i="5"/>
  <c r="F10154" i="5"/>
  <c r="F10156" i="5"/>
  <c r="F10157" i="5"/>
  <c r="F10158" i="5"/>
  <c r="F10159" i="5"/>
  <c r="F10166" i="5"/>
  <c r="F10167" i="5"/>
  <c r="F10160" i="5"/>
  <c r="F10161" i="5"/>
  <c r="F10162" i="5"/>
  <c r="F10165" i="5"/>
  <c r="F10164" i="5"/>
  <c r="F10155" i="5"/>
  <c r="F10168" i="5"/>
  <c r="F10169" i="5"/>
  <c r="F10170" i="5"/>
  <c r="F10171" i="5"/>
  <c r="F10163" i="5"/>
  <c r="F10172" i="5"/>
  <c r="F10176" i="5"/>
  <c r="F10178" i="5"/>
  <c r="F10180" i="5"/>
  <c r="F10181" i="5"/>
  <c r="F10189" i="5"/>
  <c r="F10190" i="5"/>
  <c r="F10183" i="5"/>
  <c r="F10184" i="5"/>
  <c r="F10185" i="5"/>
  <c r="F10188" i="5"/>
  <c r="F10187" i="5"/>
  <c r="F10173" i="5"/>
  <c r="F10191" i="5"/>
  <c r="F10192" i="5"/>
  <c r="F10193" i="5"/>
  <c r="F10194" i="5"/>
  <c r="F10186" i="5"/>
  <c r="F10196" i="5"/>
  <c r="F10197" i="5"/>
  <c r="F10198" i="5"/>
  <c r="F10199" i="5"/>
  <c r="F10206" i="5"/>
  <c r="F10207" i="5"/>
  <c r="F10200" i="5"/>
  <c r="F10201" i="5"/>
  <c r="F10202" i="5"/>
  <c r="F10205" i="5"/>
  <c r="F10204" i="5"/>
  <c r="F10195" i="5"/>
  <c r="F10208" i="5"/>
  <c r="F10209" i="5"/>
  <c r="F10210" i="5"/>
  <c r="F10211" i="5"/>
  <c r="F10203" i="5"/>
  <c r="F10219" i="5"/>
  <c r="F10220" i="5"/>
  <c r="F10213" i="5"/>
  <c r="F10214" i="5"/>
  <c r="F10215" i="5"/>
  <c r="F10218" i="5"/>
  <c r="F10217" i="5"/>
  <c r="F10212" i="5"/>
  <c r="F10221" i="5"/>
  <c r="F10222" i="5"/>
  <c r="F10223" i="5"/>
  <c r="F10224" i="5"/>
  <c r="F10216" i="5"/>
  <c r="F10232" i="5"/>
  <c r="F10233" i="5"/>
  <c r="F10226" i="5"/>
  <c r="F10227" i="5"/>
  <c r="F10228" i="5"/>
  <c r="F10231" i="5"/>
  <c r="F10230" i="5"/>
  <c r="F10225" i="5"/>
  <c r="F10234" i="5"/>
  <c r="F10235" i="5"/>
  <c r="F10236" i="5"/>
  <c r="F10237" i="5"/>
  <c r="F10229" i="5"/>
  <c r="F10245" i="5"/>
  <c r="F10246" i="5"/>
  <c r="F10239" i="5"/>
  <c r="F10240" i="5"/>
  <c r="F10241" i="5"/>
  <c r="F10244" i="5"/>
  <c r="F10243" i="5"/>
  <c r="F10238" i="5"/>
  <c r="F10247" i="5"/>
  <c r="F10248" i="5"/>
  <c r="F10242" i="5"/>
  <c r="F10256" i="5"/>
  <c r="F10257" i="5"/>
  <c r="F10250" i="5"/>
  <c r="F10251" i="5"/>
  <c r="F10252" i="5"/>
  <c r="F10255" i="5"/>
  <c r="F10254" i="5"/>
  <c r="F10249" i="5"/>
  <c r="F10258" i="5"/>
  <c r="F10259" i="5"/>
  <c r="F10253" i="5"/>
  <c r="F10267" i="5"/>
  <c r="F10268" i="5"/>
  <c r="F10261" i="5"/>
  <c r="F10262" i="5"/>
  <c r="F10263" i="5"/>
  <c r="F10266" i="5"/>
  <c r="F10265" i="5"/>
  <c r="F10260" i="5"/>
  <c r="F10269" i="5"/>
  <c r="F10270" i="5"/>
  <c r="F10264" i="5"/>
  <c r="F10278" i="5"/>
  <c r="F10279" i="5"/>
  <c r="F10272" i="5"/>
  <c r="F10273" i="5"/>
  <c r="F10274" i="5"/>
  <c r="F10277" i="5"/>
  <c r="F10276" i="5"/>
  <c r="F10271" i="5"/>
  <c r="F10280" i="5"/>
  <c r="F10281" i="5"/>
  <c r="F10275" i="5"/>
  <c r="F10289" i="5"/>
  <c r="F10290" i="5"/>
  <c r="F10283" i="5"/>
  <c r="F10284" i="5"/>
  <c r="F10285" i="5"/>
  <c r="F10288" i="5"/>
  <c r="F10287" i="5"/>
  <c r="F10282" i="5"/>
  <c r="F10291" i="5"/>
  <c r="F10292" i="5"/>
  <c r="F10286" i="5"/>
  <c r="F10296" i="5"/>
  <c r="F10297" i="5"/>
  <c r="F10295" i="5"/>
  <c r="F10294" i="5"/>
  <c r="F10293" i="5"/>
  <c r="F10299" i="5"/>
  <c r="F10298" i="5"/>
  <c r="F10300" i="5"/>
  <c r="F10301" i="5"/>
  <c r="F10302" i="5"/>
  <c r="F10303" i="5"/>
  <c r="F10304" i="5"/>
  <c r="F10305" i="5"/>
  <c r="F10306" i="5"/>
  <c r="F10307" i="5"/>
  <c r="F10308" i="5"/>
  <c r="F10309" i="5"/>
  <c r="F10310" i="5"/>
  <c r="F10311" i="5"/>
  <c r="F10312" i="5"/>
  <c r="F10313" i="5"/>
  <c r="C4083" i="5"/>
  <c r="C3729" i="5"/>
  <c r="C4933" i="5"/>
  <c r="C3714" i="5"/>
  <c r="A5" i="1" a="1"/>
  <c r="A5" i="1" s="1"/>
  <c r="E1897" i="5"/>
  <c r="C5178" i="5"/>
  <c r="C3838" i="5"/>
  <c r="C2576" i="5"/>
  <c r="E1727" i="5"/>
  <c r="E1891" i="5"/>
  <c r="E1827" i="5"/>
  <c r="E1861" i="5"/>
  <c r="E1720" i="5"/>
  <c r="E1719" i="5"/>
  <c r="E1718" i="5"/>
  <c r="E1717" i="5"/>
  <c r="E1860" i="5"/>
  <c r="E1716" i="5"/>
  <c r="E1715" i="5"/>
  <c r="E1859" i="5"/>
  <c r="E1858" i="5"/>
  <c r="E1857" i="5"/>
  <c r="E1789" i="5"/>
  <c r="E1714" i="5"/>
  <c r="E1826" i="5"/>
  <c r="E1713" i="5"/>
  <c r="E1890" i="5"/>
  <c r="F1478" i="5"/>
  <c r="E1478" i="5" s="1"/>
  <c r="F1477" i="5"/>
  <c r="E1477" i="5" s="1"/>
  <c r="E1659" i="5"/>
  <c r="E1658" i="5"/>
  <c r="F1617" i="5"/>
  <c r="E1617" i="5" s="1"/>
  <c r="E1825" i="5"/>
  <c r="E1788" i="5"/>
  <c r="E1787" i="5"/>
  <c r="E1824" i="5"/>
  <c r="E1823" i="5"/>
  <c r="E1889" i="5"/>
  <c r="E1822" i="5"/>
  <c r="E1786" i="5"/>
  <c r="E1712" i="5"/>
  <c r="E1711" i="5"/>
  <c r="E1856" i="5"/>
  <c r="E1888" i="5"/>
  <c r="E1785" i="5"/>
  <c r="E1821" i="5"/>
  <c r="E1820" i="5"/>
  <c r="E1819" i="5"/>
  <c r="E1855" i="5"/>
  <c r="E1784" i="5"/>
  <c r="E1818" i="5"/>
  <c r="E1887" i="5"/>
  <c r="F1341" i="5"/>
  <c r="E1341" i="5" s="1"/>
  <c r="E1656" i="5"/>
  <c r="E1655" i="5"/>
  <c r="F1395" i="5"/>
  <c r="E1395" i="5" s="1"/>
  <c r="F1342" i="5"/>
  <c r="E1342" i="5" s="1"/>
  <c r="F1616" i="5"/>
  <c r="E1616" i="5" s="1"/>
  <c r="F1615" i="5"/>
  <c r="E1615" i="5" s="1"/>
  <c r="F1614" i="5"/>
  <c r="E1614" i="5" s="1"/>
  <c r="F1613" i="5"/>
  <c r="E1613" i="5" s="1"/>
  <c r="F1612" i="5"/>
  <c r="E1612" i="5" s="1"/>
  <c r="F1581" i="5"/>
  <c r="E1581" i="5" s="1"/>
  <c r="E1654" i="5"/>
  <c r="F1197" i="5"/>
  <c r="E1197" i="5" s="1"/>
  <c r="E1817" i="5"/>
  <c r="E1816" i="5"/>
  <c r="E1653" i="5"/>
  <c r="E1652" i="5"/>
  <c r="F1580" i="5"/>
  <c r="E1580" i="5" s="1"/>
  <c r="F1611" i="5"/>
  <c r="E1611" i="5" s="1"/>
  <c r="E1651" i="5"/>
  <c r="E1650" i="5"/>
  <c r="E1783" i="5"/>
  <c r="E1854" i="5"/>
  <c r="F1610" i="5"/>
  <c r="E1610" i="5" s="1"/>
  <c r="F1541" i="5"/>
  <c r="E1541" i="5" s="1"/>
  <c r="F1429" i="5"/>
  <c r="E1429" i="5" s="1"/>
  <c r="F1540" i="5"/>
  <c r="E1540" i="5" s="1"/>
  <c r="F1579" i="5"/>
  <c r="E1579" i="5" s="1"/>
  <c r="F1476" i="5"/>
  <c r="E1476" i="5" s="1"/>
  <c r="F1475" i="5"/>
  <c r="E1475" i="5" s="1"/>
  <c r="E1782" i="5"/>
  <c r="F1578" i="5"/>
  <c r="E1578" i="5" s="1"/>
  <c r="F1577" i="5"/>
  <c r="E1577" i="5" s="1"/>
  <c r="F1539" i="5"/>
  <c r="E1539" i="5" s="1"/>
  <c r="F1538" i="5"/>
  <c r="E1538" i="5" s="1"/>
  <c r="F1537" i="5"/>
  <c r="E1537" i="5" s="1"/>
  <c r="E1675" i="5"/>
  <c r="F1196" i="5"/>
  <c r="E1196" i="5" s="1"/>
  <c r="F1195" i="5"/>
  <c r="E1195" i="5" s="1"/>
  <c r="F1194" i="5"/>
  <c r="E1194" i="5" s="1"/>
  <c r="F1193" i="5"/>
  <c r="E1193" i="5" s="1"/>
  <c r="F1239" i="5"/>
  <c r="E1239" i="5" s="1"/>
  <c r="F1393" i="5"/>
  <c r="E1393" i="5" s="1"/>
  <c r="F1340" i="5"/>
  <c r="E1340" i="5" s="1"/>
  <c r="F1339" i="5"/>
  <c r="E1339" i="5" s="1"/>
  <c r="F1338" i="5"/>
  <c r="E1338" i="5" s="1"/>
  <c r="F1392" i="5"/>
  <c r="E1392" i="5" s="1"/>
  <c r="F1391" i="5"/>
  <c r="E1391" i="5" s="1"/>
  <c r="F1390" i="5"/>
  <c r="E1390" i="5" s="1"/>
  <c r="E1815" i="5"/>
  <c r="E1781" i="5"/>
  <c r="E1780" i="5"/>
  <c r="F1017" i="5"/>
  <c r="E1017" i="5" s="1"/>
  <c r="F1609" i="5"/>
  <c r="E1609" i="5" s="1"/>
  <c r="E1886" i="5"/>
  <c r="E1853" i="5"/>
  <c r="E1852" i="5"/>
  <c r="E1779" i="5"/>
  <c r="E1851" i="5"/>
  <c r="E1778" i="5"/>
  <c r="E1777" i="5"/>
  <c r="E1850" i="5"/>
  <c r="E1776" i="5"/>
  <c r="E1814" i="5"/>
  <c r="E1885" i="5"/>
  <c r="E1813" i="5"/>
  <c r="E1775" i="5"/>
  <c r="E1649" i="5"/>
  <c r="E1849" i="5"/>
  <c r="E1848" i="5"/>
  <c r="E1884" i="5"/>
  <c r="E1774" i="5"/>
  <c r="E1847" i="5"/>
  <c r="F1474" i="5"/>
  <c r="E1474" i="5" s="1"/>
  <c r="F1536" i="5"/>
  <c r="E1536" i="5" s="1"/>
  <c r="F1535" i="5"/>
  <c r="E1535" i="5" s="1"/>
  <c r="E1710" i="5"/>
  <c r="E1674" i="5"/>
  <c r="F1473" i="5"/>
  <c r="E1473" i="5" s="1"/>
  <c r="F1016" i="5"/>
  <c r="E1016" i="5" s="1"/>
  <c r="F885" i="5"/>
  <c r="E885" i="5" s="1"/>
  <c r="F1192" i="5"/>
  <c r="E1192" i="5" s="1"/>
  <c r="F1389" i="5"/>
  <c r="E1389" i="5" s="1"/>
  <c r="F1295" i="5"/>
  <c r="E1295" i="5" s="1"/>
  <c r="F1335" i="5"/>
  <c r="E1335" i="5" s="1"/>
  <c r="F1294" i="5"/>
  <c r="E1294" i="5" s="1"/>
  <c r="F1576" i="5"/>
  <c r="E1576" i="5" s="1"/>
  <c r="F1388" i="5"/>
  <c r="E1388" i="5" s="1"/>
  <c r="F1472" i="5"/>
  <c r="E1472" i="5" s="1"/>
  <c r="F1387" i="5"/>
  <c r="E1387" i="5" s="1"/>
  <c r="E1709" i="5"/>
  <c r="E1773" i="5"/>
  <c r="E1812" i="5"/>
  <c r="E1883" i="5"/>
  <c r="E1648" i="5"/>
  <c r="E1673" i="5"/>
  <c r="F1608" i="5"/>
  <c r="E1608" i="5" s="1"/>
  <c r="E1772" i="5"/>
  <c r="E1771" i="5"/>
  <c r="E1882" i="5"/>
  <c r="E1708" i="5"/>
  <c r="E1647" i="5"/>
  <c r="F1334" i="5"/>
  <c r="E1334" i="5" s="1"/>
  <c r="E1770" i="5"/>
  <c r="E1769" i="5"/>
  <c r="E1881" i="5"/>
  <c r="F920" i="5"/>
  <c r="E920" i="5" s="1"/>
  <c r="F1095" i="5"/>
  <c r="E1095" i="5" s="1"/>
  <c r="E1721" i="5"/>
  <c r="F1291" i="5"/>
  <c r="E1291" i="5" s="1"/>
  <c r="F962" i="5"/>
  <c r="E962" i="5" s="1"/>
  <c r="F1534" i="5"/>
  <c r="E1534" i="5" s="1"/>
  <c r="F1533" i="5"/>
  <c r="E1533" i="5" s="1"/>
  <c r="E1768" i="5"/>
  <c r="F1607" i="5"/>
  <c r="E1607" i="5" s="1"/>
  <c r="E1811" i="5"/>
  <c r="E1646" i="5"/>
  <c r="E1672" i="5"/>
  <c r="F1428" i="5"/>
  <c r="E1428" i="5" s="1"/>
  <c r="E1707" i="5"/>
  <c r="E1706" i="5"/>
  <c r="E1645" i="5"/>
  <c r="E1767" i="5"/>
  <c r="E1644" i="5"/>
  <c r="F1575" i="5"/>
  <c r="E1575" i="5" s="1"/>
  <c r="E1671" i="5"/>
  <c r="E1705" i="5"/>
  <c r="E1670" i="5"/>
  <c r="F1606" i="5"/>
  <c r="E1606" i="5" s="1"/>
  <c r="E1704" i="5"/>
  <c r="F1605" i="5"/>
  <c r="E1605" i="5" s="1"/>
  <c r="F1574" i="5"/>
  <c r="E1574" i="5" s="1"/>
  <c r="F1333" i="5"/>
  <c r="E1333" i="5" s="1"/>
  <c r="F1293" i="5"/>
  <c r="E1293" i="5" s="1"/>
  <c r="F1292" i="5"/>
  <c r="E1292" i="5" s="1"/>
  <c r="E1810" i="5"/>
  <c r="F1112" i="5"/>
  <c r="E1112" i="5" s="1"/>
  <c r="F1290" i="5"/>
  <c r="E1290" i="5" s="1"/>
  <c r="F1238" i="5"/>
  <c r="E1238" i="5" s="1"/>
  <c r="E1643" i="5"/>
  <c r="F1471" i="5"/>
  <c r="E1471" i="5" s="1"/>
  <c r="F1604" i="5"/>
  <c r="E1604" i="5" s="1"/>
  <c r="H1094" i="5"/>
  <c r="F1094" i="5"/>
  <c r="E1094" i="5" s="1"/>
  <c r="H1013" i="5"/>
  <c r="H1014" i="5"/>
  <c r="H1015" i="5"/>
  <c r="H884" i="5"/>
  <c r="F1237" i="5"/>
  <c r="E1237" i="5" s="1"/>
  <c r="F1289" i="5"/>
  <c r="E1289" i="5" s="1"/>
  <c r="F1236" i="5"/>
  <c r="E1236" i="5" s="1"/>
  <c r="F1288" i="5"/>
  <c r="E1288" i="5" s="1"/>
  <c r="F1189" i="5"/>
  <c r="E1189" i="5" s="1"/>
  <c r="F1235" i="5"/>
  <c r="E1235" i="5" s="1"/>
  <c r="F1234" i="5"/>
  <c r="E1234" i="5" s="1"/>
  <c r="F1532" i="5"/>
  <c r="E1532" i="5" s="1"/>
  <c r="F1573" i="5"/>
  <c r="E1573" i="5" s="1"/>
  <c r="F1572" i="5"/>
  <c r="E1572" i="5" s="1"/>
  <c r="F1571" i="5"/>
  <c r="E1571" i="5" s="1"/>
  <c r="F1470" i="5"/>
  <c r="E1470" i="5" s="1"/>
  <c r="F1570" i="5"/>
  <c r="E1570" i="5" s="1"/>
  <c r="E1642" i="5"/>
  <c r="E1703" i="5"/>
  <c r="E1641" i="5"/>
  <c r="F1531" i="5"/>
  <c r="E1531" i="5" s="1"/>
  <c r="E1640" i="5"/>
  <c r="F1469" i="5"/>
  <c r="E1469" i="5" s="1"/>
  <c r="F1468" i="5"/>
  <c r="E1468" i="5" s="1"/>
  <c r="F1569" i="5"/>
  <c r="E1569" i="5" s="1"/>
  <c r="F1603" i="5"/>
  <c r="E1603" i="5" s="1"/>
  <c r="F1386" i="5"/>
  <c r="E1386" i="5" s="1"/>
  <c r="F1568" i="5"/>
  <c r="E1568" i="5" s="1"/>
  <c r="F1332" i="5"/>
  <c r="E1332" i="5" s="1"/>
  <c r="E1809" i="5"/>
  <c r="F1530" i="5"/>
  <c r="E1530" i="5" s="1"/>
  <c r="F1567" i="5"/>
  <c r="E1567" i="5" s="1"/>
  <c r="F1566" i="5"/>
  <c r="E1566" i="5" s="1"/>
  <c r="F1565" i="5"/>
  <c r="E1565" i="5" s="1"/>
  <c r="F1564" i="5"/>
  <c r="E1564" i="5" s="1"/>
  <c r="F1563" i="5"/>
  <c r="E1563" i="5" s="1"/>
  <c r="E1669" i="5"/>
  <c r="E1702" i="5"/>
  <c r="F1562" i="5"/>
  <c r="E1562" i="5" s="1"/>
  <c r="F1467" i="5"/>
  <c r="E1467" i="5" s="1"/>
  <c r="F1529" i="5"/>
  <c r="E1529" i="5" s="1"/>
  <c r="F1233" i="5"/>
  <c r="E1233" i="5" s="1"/>
  <c r="F1528" i="5"/>
  <c r="E1528" i="5" s="1"/>
  <c r="F1287" i="5"/>
  <c r="E1287" i="5" s="1"/>
  <c r="E1668" i="5"/>
  <c r="E1701" i="5"/>
  <c r="F1466" i="5"/>
  <c r="E1466" i="5" s="1"/>
  <c r="F1385" i="5"/>
  <c r="E1385" i="5" s="1"/>
  <c r="F1286" i="5"/>
  <c r="E1286" i="5" s="1"/>
  <c r="F1285" i="5"/>
  <c r="E1285" i="5" s="1"/>
  <c r="F1384" i="5"/>
  <c r="E1384" i="5" s="1"/>
  <c r="F1465" i="5"/>
  <c r="E1465" i="5" s="1"/>
  <c r="F1331" i="5"/>
  <c r="E1331" i="5" s="1"/>
  <c r="F1561" i="5"/>
  <c r="E1561" i="5" s="1"/>
  <c r="F1560" i="5"/>
  <c r="E1560" i="5" s="1"/>
  <c r="F1602" i="5"/>
  <c r="E1602" i="5" s="1"/>
  <c r="F1527" i="5"/>
  <c r="E1527" i="5" s="1"/>
  <c r="F1601" i="5"/>
  <c r="E1601" i="5" s="1"/>
  <c r="F1383" i="5"/>
  <c r="E1383" i="5" s="1"/>
  <c r="F1111" i="5"/>
  <c r="E1111" i="5" s="1"/>
  <c r="F1284" i="5"/>
  <c r="E1284" i="5" s="1"/>
  <c r="F1283" i="5"/>
  <c r="E1283" i="5" s="1"/>
  <c r="F1464" i="5"/>
  <c r="E1464" i="5" s="1"/>
  <c r="E1639" i="5"/>
  <c r="F1188" i="5"/>
  <c r="E1188" i="5" s="1"/>
  <c r="E1638" i="5"/>
  <c r="F1463" i="5"/>
  <c r="E1463" i="5" s="1"/>
  <c r="F1462" i="5"/>
  <c r="E1462" i="5" s="1"/>
  <c r="H1296" i="5"/>
  <c r="H1198" i="5"/>
  <c r="H1142" i="5"/>
  <c r="H1093" i="5"/>
  <c r="H1092" i="5"/>
  <c r="H1091" i="5"/>
  <c r="H1090" i="5"/>
  <c r="H1089" i="5"/>
  <c r="H1088" i="5"/>
  <c r="H1087" i="5"/>
  <c r="H1086" i="5"/>
  <c r="H1085" i="5"/>
  <c r="H1084" i="5"/>
  <c r="H1083" i="5"/>
  <c r="H1082" i="5"/>
  <c r="H1081" i="5"/>
  <c r="H1080" i="5"/>
  <c r="H1079" i="5"/>
  <c r="H1078" i="5"/>
  <c r="H1077" i="5"/>
  <c r="H1076" i="5"/>
  <c r="H1075" i="5"/>
  <c r="H1074" i="5"/>
  <c r="H1073" i="5"/>
  <c r="H1072" i="5"/>
  <c r="H1071" i="5"/>
  <c r="H1070" i="5"/>
  <c r="H1069" i="5"/>
  <c r="H1068" i="5"/>
  <c r="H1067" i="5"/>
  <c r="H1066" i="5"/>
  <c r="H1065" i="5"/>
  <c r="H1064" i="5"/>
  <c r="H1063" i="5"/>
  <c r="H1062" i="5"/>
  <c r="H1061" i="5"/>
  <c r="H1060" i="5"/>
  <c r="H1059" i="5"/>
  <c r="H1058" i="5"/>
  <c r="H1057" i="5"/>
  <c r="H1056" i="5"/>
  <c r="H1055" i="5"/>
  <c r="H1054" i="5"/>
  <c r="H1053" i="5"/>
  <c r="H1052" i="5"/>
  <c r="H1051" i="5"/>
  <c r="H1050" i="5"/>
  <c r="H1049" i="5"/>
  <c r="H1048" i="5"/>
  <c r="H1047" i="5"/>
  <c r="H1046" i="5"/>
  <c r="H1045" i="5"/>
  <c r="H1044" i="5"/>
  <c r="H1043" i="5"/>
  <c r="H1042" i="5"/>
  <c r="H1041" i="5"/>
  <c r="H1040" i="5"/>
  <c r="H1039" i="5"/>
  <c r="H1038" i="5"/>
  <c r="H1037" i="5"/>
  <c r="H1036" i="5"/>
  <c r="H1035" i="5"/>
  <c r="H1034" i="5"/>
  <c r="H1033" i="5"/>
  <c r="H1032" i="5"/>
  <c r="H1031" i="5"/>
  <c r="H1030" i="5"/>
  <c r="H1029" i="5"/>
  <c r="H1028" i="5"/>
  <c r="H1027" i="5"/>
  <c r="H1026" i="5"/>
  <c r="H1025" i="5"/>
  <c r="H1024" i="5"/>
  <c r="H1023" i="5"/>
  <c r="H1022" i="5"/>
  <c r="H1021" i="5"/>
  <c r="H1020" i="5"/>
  <c r="H826" i="5"/>
  <c r="H960" i="5"/>
  <c r="H961" i="5"/>
  <c r="F1015" i="5"/>
  <c r="E1015" i="5" s="1"/>
  <c r="F961" i="5"/>
  <c r="E961" i="5" s="1"/>
  <c r="F1014" i="5"/>
  <c r="E1014" i="5" s="1"/>
  <c r="F1013" i="5"/>
  <c r="E1013" i="5" s="1"/>
  <c r="F1282" i="5"/>
  <c r="E1282" i="5" s="1"/>
  <c r="F696" i="5"/>
  <c r="E696" i="5" s="1"/>
  <c r="F1526" i="5"/>
  <c r="E1526" i="5" s="1"/>
  <c r="F884" i="5"/>
  <c r="E884" i="5" s="1"/>
  <c r="F695" i="5"/>
  <c r="E695" i="5" s="1"/>
  <c r="E1637" i="5"/>
  <c r="F1093" i="5"/>
  <c r="E1093" i="5" s="1"/>
  <c r="F1092" i="5"/>
  <c r="E1092" i="5" s="1"/>
  <c r="F1600" i="5"/>
  <c r="E1600" i="5" s="1"/>
  <c r="F1525" i="5"/>
  <c r="E1525" i="5" s="1"/>
  <c r="F1524" i="5"/>
  <c r="E1524" i="5" s="1"/>
  <c r="F1523" i="5"/>
  <c r="E1523" i="5" s="1"/>
  <c r="F1522" i="5"/>
  <c r="E1522" i="5" s="1"/>
  <c r="F1521" i="5"/>
  <c r="E1521" i="5" s="1"/>
  <c r="F1520" i="5"/>
  <c r="E1520" i="5" s="1"/>
  <c r="E1700" i="5"/>
  <c r="F960" i="5"/>
  <c r="E960" i="5" s="1"/>
  <c r="F1519" i="5"/>
  <c r="E1519" i="5" s="1"/>
  <c r="H784" i="5"/>
  <c r="H785" i="5"/>
  <c r="H786" i="5"/>
  <c r="H787" i="5"/>
  <c r="H827" i="5"/>
  <c r="H799" i="5"/>
  <c r="H788" i="5"/>
  <c r="H789" i="5"/>
  <c r="H790" i="5"/>
  <c r="H791" i="5"/>
  <c r="H792" i="5"/>
  <c r="H793" i="5"/>
  <c r="H794" i="5"/>
  <c r="H795" i="5"/>
  <c r="H796" i="5"/>
  <c r="H797" i="5"/>
  <c r="H798" i="5"/>
  <c r="H800" i="5"/>
  <c r="H801" i="5"/>
  <c r="H824" i="5"/>
  <c r="H825" i="5"/>
  <c r="H802" i="5"/>
  <c r="H803" i="5"/>
  <c r="H804" i="5"/>
  <c r="H805" i="5"/>
  <c r="H806" i="5"/>
  <c r="H807" i="5"/>
  <c r="H808" i="5"/>
  <c r="H809" i="5"/>
  <c r="H810" i="5"/>
  <c r="H811" i="5"/>
  <c r="H812" i="5"/>
  <c r="H813" i="5"/>
  <c r="H814" i="5"/>
  <c r="H815" i="5"/>
  <c r="H816" i="5"/>
  <c r="H817" i="5"/>
  <c r="H818" i="5"/>
  <c r="H819" i="5"/>
  <c r="H820" i="5"/>
  <c r="H821" i="5"/>
  <c r="H822" i="5"/>
  <c r="H823" i="5"/>
  <c r="H828" i="5"/>
  <c r="H829" i="5"/>
  <c r="H830" i="5"/>
  <c r="H831" i="5"/>
  <c r="H832" i="5"/>
  <c r="H833" i="5"/>
  <c r="H834" i="5"/>
  <c r="H835" i="5"/>
  <c r="H836" i="5"/>
  <c r="H837" i="5"/>
  <c r="H838" i="5"/>
  <c r="H839" i="5"/>
  <c r="H840" i="5"/>
  <c r="H841" i="5"/>
  <c r="H842" i="5"/>
  <c r="H843" i="5"/>
  <c r="H844" i="5"/>
  <c r="H845" i="5"/>
  <c r="H846" i="5"/>
  <c r="H847" i="5"/>
  <c r="H848" i="5"/>
  <c r="H849" i="5"/>
  <c r="H850" i="5"/>
  <c r="H851" i="5"/>
  <c r="H852" i="5"/>
  <c r="H853" i="5"/>
  <c r="H854" i="5"/>
  <c r="H855" i="5"/>
  <c r="H856" i="5"/>
  <c r="H857" i="5"/>
  <c r="H858" i="5"/>
  <c r="H859" i="5"/>
  <c r="H860" i="5"/>
  <c r="H861" i="5"/>
  <c r="H862" i="5"/>
  <c r="H863" i="5"/>
  <c r="H864" i="5"/>
  <c r="H865" i="5"/>
  <c r="H866" i="5"/>
  <c r="H867" i="5"/>
  <c r="H868" i="5"/>
  <c r="H869" i="5"/>
  <c r="H870" i="5"/>
  <c r="H871" i="5"/>
  <c r="H872" i="5"/>
  <c r="H873" i="5"/>
  <c r="H874" i="5"/>
  <c r="H875" i="5"/>
  <c r="H876" i="5"/>
  <c r="H877" i="5"/>
  <c r="H878" i="5"/>
  <c r="H879" i="5"/>
  <c r="H880" i="5"/>
  <c r="H881" i="5"/>
  <c r="H882" i="5"/>
  <c r="H883" i="5"/>
  <c r="H887" i="5"/>
  <c r="H886" i="5"/>
  <c r="H888" i="5"/>
  <c r="H889" i="5"/>
  <c r="H890" i="5"/>
  <c r="H891" i="5"/>
  <c r="H892" i="5"/>
  <c r="H893" i="5"/>
  <c r="H894" i="5"/>
  <c r="H895" i="5"/>
  <c r="H896" i="5"/>
  <c r="H897" i="5"/>
  <c r="H898" i="5"/>
  <c r="H899" i="5"/>
  <c r="H900" i="5"/>
  <c r="H901" i="5"/>
  <c r="H902" i="5"/>
  <c r="H903" i="5"/>
  <c r="H904" i="5"/>
  <c r="H905" i="5"/>
  <c r="H906" i="5"/>
  <c r="H907" i="5"/>
  <c r="H908" i="5"/>
  <c r="H909" i="5"/>
  <c r="H910" i="5"/>
  <c r="H911" i="5"/>
  <c r="H912" i="5"/>
  <c r="H913" i="5"/>
  <c r="H914" i="5"/>
  <c r="H915" i="5"/>
  <c r="H916" i="5"/>
  <c r="H917" i="5"/>
  <c r="H918" i="5"/>
  <c r="H919" i="5"/>
  <c r="H921" i="5"/>
  <c r="H922" i="5"/>
  <c r="H923" i="5"/>
  <c r="H924" i="5"/>
  <c r="H925" i="5"/>
  <c r="H926" i="5"/>
  <c r="H927" i="5"/>
  <c r="H928" i="5"/>
  <c r="H929" i="5"/>
  <c r="H930" i="5"/>
  <c r="H931" i="5"/>
  <c r="H932" i="5"/>
  <c r="H933" i="5"/>
  <c r="H934" i="5"/>
  <c r="H935" i="5"/>
  <c r="H936" i="5"/>
  <c r="H937" i="5"/>
  <c r="H938" i="5"/>
  <c r="H939" i="5"/>
  <c r="H940" i="5"/>
  <c r="H941" i="5"/>
  <c r="H942" i="5"/>
  <c r="H943" i="5"/>
  <c r="H944" i="5"/>
  <c r="H945" i="5"/>
  <c r="H946" i="5"/>
  <c r="H947" i="5"/>
  <c r="H948" i="5"/>
  <c r="H949" i="5"/>
  <c r="H950" i="5"/>
  <c r="H951" i="5"/>
  <c r="H952" i="5"/>
  <c r="H953" i="5"/>
  <c r="H954" i="5"/>
  <c r="H955" i="5"/>
  <c r="H956" i="5"/>
  <c r="H957" i="5"/>
  <c r="H958" i="5"/>
  <c r="H959" i="5"/>
  <c r="H963" i="5"/>
  <c r="H964" i="5"/>
  <c r="H965" i="5"/>
  <c r="H966" i="5"/>
  <c r="H967" i="5"/>
  <c r="H968" i="5"/>
  <c r="H969" i="5"/>
  <c r="H970" i="5"/>
  <c r="H971" i="5"/>
  <c r="H972" i="5"/>
  <c r="H973" i="5"/>
  <c r="H974" i="5"/>
  <c r="H975" i="5"/>
  <c r="H976" i="5"/>
  <c r="H977" i="5"/>
  <c r="H978" i="5"/>
  <c r="H979" i="5"/>
  <c r="H980" i="5"/>
  <c r="H981" i="5"/>
  <c r="H982" i="5"/>
  <c r="H983" i="5"/>
  <c r="H984" i="5"/>
  <c r="H985" i="5"/>
  <c r="H986" i="5"/>
  <c r="H987" i="5"/>
  <c r="H988" i="5"/>
  <c r="H989" i="5"/>
  <c r="H990" i="5"/>
  <c r="H991" i="5"/>
  <c r="H992" i="5"/>
  <c r="H993" i="5"/>
  <c r="H994" i="5"/>
  <c r="H995" i="5"/>
  <c r="H996" i="5"/>
  <c r="H997" i="5"/>
  <c r="H998" i="5"/>
  <c r="H999" i="5"/>
  <c r="H1000" i="5"/>
  <c r="H1001" i="5"/>
  <c r="H1002" i="5"/>
  <c r="H1003" i="5"/>
  <c r="H1004" i="5"/>
  <c r="H1005" i="5"/>
  <c r="H1006" i="5"/>
  <c r="H1007" i="5"/>
  <c r="H1008" i="5"/>
  <c r="H1009" i="5"/>
  <c r="H1010" i="5"/>
  <c r="H1011" i="5"/>
  <c r="H1012" i="5"/>
  <c r="H1018" i="5"/>
  <c r="H1019" i="5"/>
  <c r="H1343" i="5"/>
  <c r="H1344" i="5"/>
  <c r="H783" i="5"/>
  <c r="F739" i="5"/>
  <c r="E739" i="5" s="1"/>
  <c r="F1559" i="5"/>
  <c r="E1559" i="5" s="1"/>
  <c r="F1382" i="5"/>
  <c r="E1382" i="5" s="1"/>
  <c r="E1636" i="5"/>
  <c r="F1381" i="5"/>
  <c r="E1381" i="5" s="1"/>
  <c r="F1427" i="5"/>
  <c r="E1427" i="5" s="1"/>
  <c r="F1380" i="5"/>
  <c r="E1380" i="5" s="1"/>
  <c r="F1330" i="5"/>
  <c r="E1330" i="5" s="1"/>
  <c r="F1379" i="5"/>
  <c r="E1379" i="5" s="1"/>
  <c r="F1461" i="5"/>
  <c r="E1461" i="5" s="1"/>
  <c r="F1599" i="5"/>
  <c r="E1599" i="5" s="1"/>
  <c r="F1329" i="5"/>
  <c r="E1329" i="5" s="1"/>
  <c r="F1091" i="5"/>
  <c r="E1091" i="5" s="1"/>
  <c r="F1378" i="5"/>
  <c r="E1378" i="5" s="1"/>
  <c r="F1187" i="5"/>
  <c r="E1187" i="5" s="1"/>
  <c r="F798" i="5"/>
  <c r="E798" i="5" s="1"/>
  <c r="F919" i="5"/>
  <c r="E919" i="5" s="1"/>
  <c r="F1460" i="5"/>
  <c r="E1460" i="5" s="1"/>
  <c r="F1459" i="5"/>
  <c r="E1459" i="5" s="1"/>
  <c r="F1414" i="5"/>
  <c r="E1414" i="5" s="1"/>
  <c r="F1377" i="5"/>
  <c r="E1377" i="5" s="1"/>
  <c r="F1412" i="5"/>
  <c r="E1412" i="5" s="1"/>
  <c r="F1281" i="5"/>
  <c r="E1281" i="5" s="1"/>
  <c r="F1280" i="5"/>
  <c r="E1280" i="5" s="1"/>
  <c r="F1110" i="5"/>
  <c r="E1110" i="5" s="1"/>
  <c r="F1186" i="5"/>
  <c r="E1186" i="5" s="1"/>
  <c r="F1426" i="5"/>
  <c r="E1426" i="5" s="1"/>
  <c r="F1425" i="5"/>
  <c r="E1425" i="5" s="1"/>
  <c r="F1458" i="5"/>
  <c r="E1458" i="5" s="1"/>
  <c r="F1090" i="5"/>
  <c r="E1090" i="5" s="1"/>
  <c r="F1089" i="5"/>
  <c r="E1089" i="5" s="1"/>
  <c r="F1088" i="5"/>
  <c r="E1088" i="5" s="1"/>
  <c r="F918" i="5"/>
  <c r="E918" i="5" s="1"/>
  <c r="F1424" i="5"/>
  <c r="E1424" i="5" s="1"/>
  <c r="F917" i="5"/>
  <c r="E917" i="5" s="1"/>
  <c r="F1185" i="5"/>
  <c r="E1185" i="5" s="1"/>
  <c r="F1279" i="5"/>
  <c r="E1279" i="5" s="1"/>
  <c r="F1411" i="5"/>
  <c r="E1411" i="5" s="1"/>
  <c r="F1457" i="5"/>
  <c r="E1457" i="5" s="1"/>
  <c r="F1456" i="5"/>
  <c r="E1456" i="5" s="1"/>
  <c r="F738" i="5"/>
  <c r="E738" i="5" s="1"/>
  <c r="F1184" i="5"/>
  <c r="E1184" i="5" s="1"/>
  <c r="F1012" i="5"/>
  <c r="E1012" i="5" s="1"/>
  <c r="F1423" i="5"/>
  <c r="E1423" i="5" s="1"/>
  <c r="F1109" i="5"/>
  <c r="E1109" i="5" s="1"/>
  <c r="F1376" i="5"/>
  <c r="E1376" i="5" s="1"/>
  <c r="F1183" i="5"/>
  <c r="E1183" i="5" s="1"/>
  <c r="F1278" i="5"/>
  <c r="E1278" i="5" s="1"/>
  <c r="F1328" i="5"/>
  <c r="E1328" i="5" s="1"/>
  <c r="F1011" i="5"/>
  <c r="E1011" i="5" s="1"/>
  <c r="F1455" i="5"/>
  <c r="E1455" i="5" s="1"/>
  <c r="F1454" i="5"/>
  <c r="E1454" i="5" s="1"/>
  <c r="F1277" i="5"/>
  <c r="E1277" i="5" s="1"/>
  <c r="E1808" i="5"/>
  <c r="F1518" i="5"/>
  <c r="E1518" i="5" s="1"/>
  <c r="F1232" i="5"/>
  <c r="E1232" i="5" s="1"/>
  <c r="F1410" i="5"/>
  <c r="E1410" i="5" s="1"/>
  <c r="F1409" i="5"/>
  <c r="E1409" i="5" s="1"/>
  <c r="F1408" i="5"/>
  <c r="E1408" i="5" s="1"/>
  <c r="F1375" i="5"/>
  <c r="E1375" i="5" s="1"/>
  <c r="F1327" i="5"/>
  <c r="E1327" i="5" s="1"/>
  <c r="F1374" i="5"/>
  <c r="E1374" i="5" s="1"/>
  <c r="F1373" i="5"/>
  <c r="E1373" i="5" s="1"/>
  <c r="F1326" i="5"/>
  <c r="E1326" i="5" s="1"/>
  <c r="F1325" i="5"/>
  <c r="E1325" i="5" s="1"/>
  <c r="F1324" i="5"/>
  <c r="E1324" i="5" s="1"/>
  <c r="F1182" i="5"/>
  <c r="E1182" i="5" s="1"/>
  <c r="F1181" i="5"/>
  <c r="E1181" i="5" s="1"/>
  <c r="F1372" i="5"/>
  <c r="E1372" i="5" s="1"/>
  <c r="F1180" i="5"/>
  <c r="E1180" i="5" s="1"/>
  <c r="F1143" i="5"/>
  <c r="E1143" i="5" s="1"/>
  <c r="F1108" i="5"/>
  <c r="E1108" i="5" s="1"/>
  <c r="F1422" i="5"/>
  <c r="E1422" i="5" s="1"/>
  <c r="F1421" i="5"/>
  <c r="E1421" i="5" s="1"/>
  <c r="E1846" i="5"/>
  <c r="F1276" i="5"/>
  <c r="E1276" i="5" s="1"/>
  <c r="E1845" i="5"/>
  <c r="F1275" i="5"/>
  <c r="E1275" i="5" s="1"/>
  <c r="F1141" i="5"/>
  <c r="E1141" i="5" s="1"/>
  <c r="F1407" i="5"/>
  <c r="E1407" i="5" s="1"/>
  <c r="F883" i="5"/>
  <c r="E883" i="5" s="1"/>
  <c r="F1274" i="5"/>
  <c r="E1274" i="5" s="1"/>
  <c r="F1406" i="5"/>
  <c r="E1406" i="5" s="1"/>
  <c r="F1179" i="5"/>
  <c r="E1179" i="5" s="1"/>
  <c r="F1178" i="5"/>
  <c r="E1178" i="5" s="1"/>
  <c r="F1405" i="5"/>
  <c r="E1405" i="5" s="1"/>
  <c r="F1273" i="5"/>
  <c r="E1273" i="5" s="1"/>
  <c r="F1231" i="5"/>
  <c r="E1231" i="5" s="1"/>
  <c r="F1272" i="5"/>
  <c r="E1272" i="5" s="1"/>
  <c r="F1323" i="5"/>
  <c r="E1323" i="5" s="1"/>
  <c r="F1371" i="5"/>
  <c r="E1371" i="5" s="1"/>
  <c r="F1370" i="5"/>
  <c r="E1370" i="5" s="1"/>
  <c r="E1844" i="5"/>
  <c r="F1271" i="5"/>
  <c r="E1271" i="5" s="1"/>
  <c r="F1322" i="5"/>
  <c r="E1322" i="5" s="1"/>
  <c r="F1270" i="5"/>
  <c r="E1270" i="5" s="1"/>
  <c r="F1177" i="5"/>
  <c r="E1177" i="5" s="1"/>
  <c r="F1010" i="5"/>
  <c r="E1010" i="5" s="1"/>
  <c r="F916" i="5"/>
  <c r="E916" i="5" s="1"/>
  <c r="F882" i="5"/>
  <c r="E882" i="5" s="1"/>
  <c r="F881" i="5"/>
  <c r="E881" i="5" s="1"/>
  <c r="F880" i="5"/>
  <c r="E880" i="5" s="1"/>
  <c r="F879" i="5"/>
  <c r="E879" i="5" s="1"/>
  <c r="F878" i="5"/>
  <c r="E878" i="5" s="1"/>
  <c r="F877" i="5"/>
  <c r="E877" i="5" s="1"/>
  <c r="F876" i="5"/>
  <c r="E876" i="5" s="1"/>
  <c r="F875" i="5"/>
  <c r="E875" i="5" s="1"/>
  <c r="F874" i="5"/>
  <c r="E874" i="5" s="1"/>
  <c r="F873" i="5"/>
  <c r="E873" i="5" s="1"/>
  <c r="F1404" i="5"/>
  <c r="E1404" i="5" s="1"/>
  <c r="F1009" i="5"/>
  <c r="E1009" i="5" s="1"/>
  <c r="F1087" i="5"/>
  <c r="E1087" i="5" s="1"/>
  <c r="F1230" i="5"/>
  <c r="E1230" i="5" s="1"/>
  <c r="F1176" i="5"/>
  <c r="E1176" i="5" s="1"/>
  <c r="F1229" i="5"/>
  <c r="E1229" i="5" s="1"/>
  <c r="F1403" i="5"/>
  <c r="E1403" i="5" s="1"/>
  <c r="F872" i="5"/>
  <c r="E872" i="5" s="1"/>
  <c r="F1369" i="5"/>
  <c r="E1369" i="5" s="1"/>
  <c r="F1086" i="5"/>
  <c r="E1086" i="5" s="1"/>
  <c r="F1140" i="5"/>
  <c r="E1140" i="5" s="1"/>
  <c r="F1269" i="5"/>
  <c r="E1269" i="5" s="1"/>
  <c r="F1321" i="5"/>
  <c r="E1321" i="5" s="1"/>
  <c r="F1320" i="5"/>
  <c r="E1320" i="5" s="1"/>
  <c r="F1268" i="5"/>
  <c r="E1268" i="5" s="1"/>
  <c r="F1139" i="5"/>
  <c r="E1139" i="5" s="1"/>
  <c r="F1085" i="5"/>
  <c r="E1085" i="5" s="1"/>
  <c r="F1175" i="5"/>
  <c r="E1175" i="5" s="1"/>
  <c r="F1228" i="5"/>
  <c r="E1228" i="5" s="1"/>
  <c r="F1267" i="5"/>
  <c r="E1267" i="5" s="1"/>
  <c r="E1766" i="5"/>
  <c r="F544" i="5"/>
  <c r="E544" i="5" s="1"/>
  <c r="F1084" i="5"/>
  <c r="E1084" i="5" s="1"/>
  <c r="F396" i="5"/>
  <c r="E396" i="5" s="1"/>
  <c r="F1517" i="5"/>
  <c r="E1517" i="5" s="1"/>
  <c r="F694" i="5"/>
  <c r="E694" i="5" s="1"/>
  <c r="F737" i="5"/>
  <c r="E737" i="5" s="1"/>
  <c r="F782" i="5"/>
  <c r="E782" i="5" s="1"/>
  <c r="F781" i="5"/>
  <c r="E781" i="5" s="1"/>
  <c r="F780" i="5"/>
  <c r="E780" i="5" s="1"/>
  <c r="F779" i="5"/>
  <c r="E779" i="5" s="1"/>
  <c r="F693" i="5"/>
  <c r="E693" i="5" s="1"/>
  <c r="F736" i="5"/>
  <c r="E736" i="5" s="1"/>
  <c r="F735" i="5"/>
  <c r="E735" i="5" s="1"/>
  <c r="F734" i="5"/>
  <c r="E734" i="5" s="1"/>
  <c r="F647" i="5"/>
  <c r="E647" i="5" s="1"/>
  <c r="F465" i="5"/>
  <c r="E465" i="5" s="1"/>
  <c r="F395" i="5"/>
  <c r="E395" i="5" s="1"/>
  <c r="F450" i="5"/>
  <c r="E450" i="5" s="1"/>
  <c r="F1402" i="5"/>
  <c r="E1402" i="5" s="1"/>
  <c r="F646" i="5"/>
  <c r="E646" i="5" s="1"/>
  <c r="F1319" i="5"/>
  <c r="E1319" i="5" s="1"/>
  <c r="F692" i="5"/>
  <c r="E692" i="5" s="1"/>
  <c r="F1368" i="5"/>
  <c r="E1368" i="5" s="1"/>
  <c r="F1453" i="5"/>
  <c r="E1453" i="5" s="1"/>
  <c r="F1367" i="5"/>
  <c r="E1367" i="5" s="1"/>
  <c r="F871" i="5"/>
  <c r="E871" i="5" s="1"/>
  <c r="F870" i="5"/>
  <c r="E870" i="5" s="1"/>
  <c r="F691" i="5"/>
  <c r="E691" i="5" s="1"/>
  <c r="F1266" i="5"/>
  <c r="E1266" i="5" s="1"/>
  <c r="F690" i="5"/>
  <c r="E690" i="5" s="1"/>
  <c r="F915" i="5"/>
  <c r="E915" i="5" s="1"/>
  <c r="F778" i="5"/>
  <c r="E778" i="5" s="1"/>
  <c r="F1083" i="5"/>
  <c r="E1083" i="5" s="1"/>
  <c r="F645" i="5"/>
  <c r="E645" i="5" s="1"/>
  <c r="F1082" i="5"/>
  <c r="E1082" i="5" s="1"/>
  <c r="F689" i="5"/>
  <c r="E689" i="5" s="1"/>
  <c r="F1265" i="5"/>
  <c r="E1265" i="5" s="1"/>
  <c r="F777" i="5"/>
  <c r="E777" i="5" s="1"/>
  <c r="F823" i="5"/>
  <c r="E823" i="5" s="1"/>
  <c r="F1366" i="5"/>
  <c r="E1366" i="5" s="1"/>
  <c r="F644" i="5"/>
  <c r="E644" i="5" s="1"/>
  <c r="F1081" i="5"/>
  <c r="E1081" i="5" s="1"/>
  <c r="F643" i="5"/>
  <c r="E643" i="5" s="1"/>
  <c r="F1227" i="5"/>
  <c r="E1227" i="5" s="1"/>
  <c r="F641" i="5"/>
  <c r="E641" i="5" s="1"/>
  <c r="F640" i="5"/>
  <c r="E640" i="5" s="1"/>
  <c r="F688" i="5"/>
  <c r="E688" i="5" s="1"/>
  <c r="F733" i="5"/>
  <c r="E733" i="5" s="1"/>
  <c r="F914" i="5"/>
  <c r="E914" i="5" s="1"/>
  <c r="F913" i="5"/>
  <c r="E913" i="5" s="1"/>
  <c r="F1226" i="5"/>
  <c r="E1226" i="5" s="1"/>
  <c r="F1225" i="5"/>
  <c r="E1225" i="5" s="1"/>
  <c r="F822" i="5"/>
  <c r="E822" i="5" s="1"/>
  <c r="F639" i="5"/>
  <c r="E639" i="5" s="1"/>
  <c r="F1008" i="5"/>
  <c r="E1008" i="5" s="1"/>
  <c r="F732" i="5"/>
  <c r="E732" i="5" s="1"/>
  <c r="F687" i="5"/>
  <c r="E687" i="5" s="1"/>
  <c r="F1080" i="5"/>
  <c r="E1080" i="5" s="1"/>
  <c r="F1007" i="5"/>
  <c r="E1007" i="5" s="1"/>
  <c r="F1079" i="5"/>
  <c r="E1079" i="5" s="1"/>
  <c r="F959" i="5"/>
  <c r="E959" i="5" s="1"/>
  <c r="F1006" i="5"/>
  <c r="E1006" i="5" s="1"/>
  <c r="E1635" i="5"/>
  <c r="F1365" i="5"/>
  <c r="E1365" i="5" s="1"/>
  <c r="F1078" i="5"/>
  <c r="E1078" i="5" s="1"/>
  <c r="F1005" i="5"/>
  <c r="E1005" i="5" s="1"/>
  <c r="F1004" i="5"/>
  <c r="E1004" i="5" s="1"/>
  <c r="F1264" i="5"/>
  <c r="E1264" i="5" s="1"/>
  <c r="F1003" i="5"/>
  <c r="E1003" i="5" s="1"/>
  <c r="F1002" i="5"/>
  <c r="E1002" i="5" s="1"/>
  <c r="F1138" i="5"/>
  <c r="E1138" i="5" s="1"/>
  <c r="F1077" i="5"/>
  <c r="E1077" i="5" s="1"/>
  <c r="F1076" i="5"/>
  <c r="E1076" i="5" s="1"/>
  <c r="F1075" i="5"/>
  <c r="E1075" i="5" s="1"/>
  <c r="F1137" i="5"/>
  <c r="E1137" i="5" s="1"/>
  <c r="F1263" i="5"/>
  <c r="E1263" i="5" s="1"/>
  <c r="F1136" i="5"/>
  <c r="E1136" i="5" s="1"/>
  <c r="F1262" i="5"/>
  <c r="E1262" i="5" s="1"/>
  <c r="F1074" i="5"/>
  <c r="E1074" i="5" s="1"/>
  <c r="F1001" i="5"/>
  <c r="E1001" i="5" s="1"/>
  <c r="F958" i="5"/>
  <c r="E958" i="5" s="1"/>
  <c r="F1261" i="5"/>
  <c r="E1261" i="5" s="1"/>
  <c r="F1107" i="5"/>
  <c r="E1107" i="5" s="1"/>
  <c r="F1073" i="5"/>
  <c r="E1073" i="5" s="1"/>
  <c r="F776" i="5"/>
  <c r="E776" i="5" s="1"/>
  <c r="F1072" i="5"/>
  <c r="E1072" i="5" s="1"/>
  <c r="F1135" i="5"/>
  <c r="E1135" i="5" s="1"/>
  <c r="F1000" i="5"/>
  <c r="E1000" i="5" s="1"/>
  <c r="F869" i="5"/>
  <c r="E869" i="5" s="1"/>
  <c r="F999" i="5"/>
  <c r="E999" i="5" s="1"/>
  <c r="F912" i="5"/>
  <c r="E912" i="5" s="1"/>
  <c r="F998" i="5"/>
  <c r="E998" i="5" s="1"/>
  <c r="F997" i="5"/>
  <c r="E997" i="5" s="1"/>
  <c r="F957" i="5"/>
  <c r="E957" i="5" s="1"/>
  <c r="F821" i="5"/>
  <c r="E821" i="5" s="1"/>
  <c r="F956" i="5"/>
  <c r="E956" i="5" s="1"/>
  <c r="F1071" i="5"/>
  <c r="E1071" i="5" s="1"/>
  <c r="F955" i="5"/>
  <c r="E955" i="5" s="1"/>
  <c r="F996" i="5"/>
  <c r="E996" i="5" s="1"/>
  <c r="F954" i="5"/>
  <c r="E954" i="5" s="1"/>
  <c r="F1106" i="5"/>
  <c r="E1106" i="5" s="1"/>
  <c r="F1260" i="5"/>
  <c r="E1260" i="5" s="1"/>
  <c r="F1174" i="5"/>
  <c r="E1174" i="5" s="1"/>
  <c r="E1765" i="5"/>
  <c r="F1134" i="5"/>
  <c r="E1134" i="5" s="1"/>
  <c r="F1259" i="5"/>
  <c r="E1259" i="5" s="1"/>
  <c r="F953" i="5"/>
  <c r="E953" i="5" s="1"/>
  <c r="F1598" i="5"/>
  <c r="E1598" i="5" s="1"/>
  <c r="F995" i="5"/>
  <c r="E995" i="5" s="1"/>
  <c r="F911" i="5"/>
  <c r="E911" i="5" s="1"/>
  <c r="F952" i="5"/>
  <c r="E952" i="5" s="1"/>
  <c r="E1764" i="5"/>
  <c r="F1133" i="5"/>
  <c r="E1133" i="5" s="1"/>
  <c r="F1105" i="5"/>
  <c r="E1105" i="5" s="1"/>
  <c r="F449" i="5"/>
  <c r="E449" i="5" s="1"/>
  <c r="F731" i="5"/>
  <c r="E731" i="5" s="1"/>
  <c r="F868" i="5"/>
  <c r="E868" i="5" s="1"/>
  <c r="F951" i="5"/>
  <c r="E951" i="5" s="1"/>
  <c r="F638" i="5"/>
  <c r="E638" i="5" s="1"/>
  <c r="F464" i="5"/>
  <c r="E464" i="5" s="1"/>
  <c r="F637" i="5"/>
  <c r="E637" i="5" s="1"/>
  <c r="F1070" i="5"/>
  <c r="E1070" i="5" s="1"/>
  <c r="F636" i="5"/>
  <c r="E636" i="5" s="1"/>
  <c r="F635" i="5"/>
  <c r="E635" i="5" s="1"/>
  <c r="F634" i="5"/>
  <c r="E634" i="5" s="1"/>
  <c r="F543" i="5"/>
  <c r="E543" i="5" s="1"/>
  <c r="F542" i="5"/>
  <c r="E542" i="5" s="1"/>
  <c r="F541" i="5"/>
  <c r="E541" i="5" s="1"/>
  <c r="F1173" i="5"/>
  <c r="E1173" i="5" s="1"/>
  <c r="F1132" i="5"/>
  <c r="E1132" i="5" s="1"/>
  <c r="F910" i="5"/>
  <c r="E910" i="5" s="1"/>
  <c r="F1069" i="5"/>
  <c r="E1069" i="5" s="1"/>
  <c r="F633" i="5"/>
  <c r="E633" i="5" s="1"/>
  <c r="F1172" i="5"/>
  <c r="E1172" i="5" s="1"/>
  <c r="F730" i="5"/>
  <c r="E730" i="5" s="1"/>
  <c r="F867" i="5"/>
  <c r="E867" i="5" s="1"/>
  <c r="F1068" i="5"/>
  <c r="E1068" i="5" s="1"/>
  <c r="F1171" i="5"/>
  <c r="E1171" i="5" s="1"/>
  <c r="F994" i="5"/>
  <c r="E994" i="5" s="1"/>
  <c r="F993" i="5"/>
  <c r="E993" i="5" s="1"/>
  <c r="F992" i="5"/>
  <c r="E992" i="5" s="1"/>
  <c r="F1170" i="5"/>
  <c r="E1170" i="5" s="1"/>
  <c r="F729" i="5"/>
  <c r="E729" i="5" s="1"/>
  <c r="F1067" i="5"/>
  <c r="E1067" i="5" s="1"/>
  <c r="F991" i="5"/>
  <c r="E991" i="5" s="1"/>
  <c r="F950" i="5"/>
  <c r="E950" i="5" s="1"/>
  <c r="F728" i="5"/>
  <c r="E728" i="5" s="1"/>
  <c r="F909" i="5"/>
  <c r="E909" i="5" s="1"/>
  <c r="F632" i="5"/>
  <c r="E632" i="5" s="1"/>
  <c r="F631" i="5"/>
  <c r="E631" i="5" s="1"/>
  <c r="F630" i="5"/>
  <c r="E630" i="5" s="1"/>
  <c r="F629" i="5"/>
  <c r="E629" i="5" s="1"/>
  <c r="F628" i="5"/>
  <c r="E628" i="5" s="1"/>
  <c r="F627" i="5"/>
  <c r="E627" i="5" s="1"/>
  <c r="F626" i="5"/>
  <c r="E626" i="5" s="1"/>
  <c r="F625" i="5"/>
  <c r="E625" i="5" s="1"/>
  <c r="F624" i="5"/>
  <c r="E624" i="5" s="1"/>
  <c r="F623" i="5"/>
  <c r="E623" i="5" s="1"/>
  <c r="F622" i="5"/>
  <c r="E622" i="5" s="1"/>
  <c r="F621" i="5"/>
  <c r="E621" i="5" s="1"/>
  <c r="F620" i="5"/>
  <c r="E620" i="5" s="1"/>
  <c r="F619" i="5"/>
  <c r="E619" i="5" s="1"/>
  <c r="F618" i="5"/>
  <c r="E618" i="5" s="1"/>
  <c r="F617" i="5"/>
  <c r="E617" i="5" s="1"/>
  <c r="F616" i="5"/>
  <c r="E616" i="5" s="1"/>
  <c r="F615" i="5"/>
  <c r="E615" i="5" s="1"/>
  <c r="F614" i="5"/>
  <c r="E614" i="5" s="1"/>
  <c r="E1667" i="5"/>
  <c r="F1066" i="5"/>
  <c r="E1066" i="5" s="1"/>
  <c r="F394" i="5"/>
  <c r="E394" i="5" s="1"/>
  <c r="F866" i="5"/>
  <c r="E866" i="5" s="1"/>
  <c r="F196" i="5"/>
  <c r="E196" i="5" s="1"/>
  <c r="F797" i="5"/>
  <c r="E797" i="5" s="1"/>
  <c r="F393" i="5"/>
  <c r="E393" i="5" s="1"/>
  <c r="F775" i="5"/>
  <c r="E775" i="5" s="1"/>
  <c r="F392" i="5"/>
  <c r="E392" i="5" s="1"/>
  <c r="F448" i="5"/>
  <c r="E448" i="5" s="1"/>
  <c r="F391" i="5"/>
  <c r="E391" i="5" s="1"/>
  <c r="F390" i="5"/>
  <c r="E390" i="5" s="1"/>
  <c r="F389" i="5"/>
  <c r="E389" i="5" s="1"/>
  <c r="F388" i="5"/>
  <c r="E388" i="5" s="1"/>
  <c r="F387" i="5"/>
  <c r="E387" i="5" s="1"/>
  <c r="F386" i="5"/>
  <c r="E386" i="5" s="1"/>
  <c r="F385" i="5"/>
  <c r="E385" i="5" s="1"/>
  <c r="F384" i="5"/>
  <c r="E384" i="5" s="1"/>
  <c r="F383" i="5"/>
  <c r="E383" i="5" s="1"/>
  <c r="F1065" i="5"/>
  <c r="E1065" i="5" s="1"/>
  <c r="F1064" i="5"/>
  <c r="E1064" i="5" s="1"/>
  <c r="F1063" i="5"/>
  <c r="E1063" i="5" s="1"/>
  <c r="F1062" i="5"/>
  <c r="E1062" i="5" s="1"/>
  <c r="F1061" i="5"/>
  <c r="E1061" i="5" s="1"/>
  <c r="F1060" i="5"/>
  <c r="E1060" i="5" s="1"/>
  <c r="F1059" i="5"/>
  <c r="E1059" i="5" s="1"/>
  <c r="F1058" i="5"/>
  <c r="E1058" i="5" s="1"/>
  <c r="F1057" i="5"/>
  <c r="E1057" i="5" s="1"/>
  <c r="F1056" i="5"/>
  <c r="E1056" i="5" s="1"/>
  <c r="F1055" i="5"/>
  <c r="E1055" i="5" s="1"/>
  <c r="F1054" i="5"/>
  <c r="E1054" i="5" s="1"/>
  <c r="F1053" i="5"/>
  <c r="E1053" i="5" s="1"/>
  <c r="F1052" i="5"/>
  <c r="E1052" i="5" s="1"/>
  <c r="F1051" i="5"/>
  <c r="E1051" i="5" s="1"/>
  <c r="F1050" i="5"/>
  <c r="E1050" i="5" s="1"/>
  <c r="F1049" i="5"/>
  <c r="E1049" i="5" s="1"/>
  <c r="F1048" i="5"/>
  <c r="E1048" i="5" s="1"/>
  <c r="F1047" i="5"/>
  <c r="E1047" i="5" s="1"/>
  <c r="F1046" i="5"/>
  <c r="E1046" i="5" s="1"/>
  <c r="F1045" i="5"/>
  <c r="E1045" i="5" s="1"/>
  <c r="F1044" i="5"/>
  <c r="E1044" i="5" s="1"/>
  <c r="F1043" i="5"/>
  <c r="E1043" i="5" s="1"/>
  <c r="F1042" i="5"/>
  <c r="E1042" i="5" s="1"/>
  <c r="F949" i="5"/>
  <c r="E949" i="5" s="1"/>
  <c r="F948" i="5"/>
  <c r="E948" i="5" s="1"/>
  <c r="F990" i="5"/>
  <c r="E990" i="5" s="1"/>
  <c r="F947" i="5"/>
  <c r="E947" i="5" s="1"/>
  <c r="F1131" i="5"/>
  <c r="E1131" i="5" s="1"/>
  <c r="F1130" i="5"/>
  <c r="E1130" i="5" s="1"/>
  <c r="F1401" i="5"/>
  <c r="E1401" i="5" s="1"/>
  <c r="F1169" i="5"/>
  <c r="E1169" i="5" s="1"/>
  <c r="F484" i="5"/>
  <c r="E484" i="5" s="1"/>
  <c r="F483" i="5"/>
  <c r="E483" i="5" s="1"/>
  <c r="F482" i="5"/>
  <c r="E482" i="5" s="1"/>
  <c r="F1168" i="5"/>
  <c r="E1168" i="5" s="1"/>
  <c r="F613" i="5"/>
  <c r="E613" i="5" s="1"/>
  <c r="F612" i="5"/>
  <c r="E612" i="5" s="1"/>
  <c r="F1041" i="5"/>
  <c r="E1041" i="5" s="1"/>
  <c r="F1040" i="5"/>
  <c r="E1040" i="5" s="1"/>
  <c r="F1167" i="5"/>
  <c r="E1167" i="5" s="1"/>
  <c r="F1039" i="5"/>
  <c r="E1039" i="5" s="1"/>
  <c r="F1038" i="5"/>
  <c r="E1038" i="5" s="1"/>
  <c r="F1037" i="5"/>
  <c r="E1037" i="5" s="1"/>
  <c r="F908" i="5"/>
  <c r="E908" i="5" s="1"/>
  <c r="F1036" i="5"/>
  <c r="E1036" i="5" s="1"/>
  <c r="F540" i="5"/>
  <c r="E540" i="5" s="1"/>
  <c r="F284" i="5"/>
  <c r="E284" i="5" s="1"/>
  <c r="F447" i="5"/>
  <c r="E447" i="5" s="1"/>
  <c r="F382" i="5"/>
  <c r="E382" i="5" s="1"/>
  <c r="F381" i="5"/>
  <c r="E381" i="5" s="1"/>
  <c r="I60" i="4"/>
  <c r="I18" i="4"/>
  <c r="F774" i="5"/>
  <c r="E774" i="5" s="1"/>
  <c r="F773" i="5"/>
  <c r="E773" i="5" s="1"/>
  <c r="F772" i="5"/>
  <c r="E772" i="5" s="1"/>
  <c r="F771" i="5"/>
  <c r="E771" i="5" s="1"/>
  <c r="F770" i="5"/>
  <c r="E770" i="5" s="1"/>
  <c r="E1699" i="5"/>
  <c r="F1318" i="5"/>
  <c r="E1318" i="5" s="1"/>
  <c r="F865" i="5"/>
  <c r="E865" i="5" s="1"/>
  <c r="F446" i="5"/>
  <c r="E446" i="5" s="1"/>
  <c r="E1880" i="5"/>
  <c r="F727" i="5"/>
  <c r="E727" i="5" s="1"/>
  <c r="F796" i="5"/>
  <c r="E796" i="5" s="1"/>
  <c r="F946" i="5"/>
  <c r="E946" i="5" s="1"/>
  <c r="F820" i="5"/>
  <c r="E820" i="5" s="1"/>
  <c r="F726" i="5"/>
  <c r="E726" i="5" s="1"/>
  <c r="F945" i="5"/>
  <c r="E945" i="5" s="1"/>
  <c r="F1516" i="5"/>
  <c r="E1516" i="5" s="1"/>
  <c r="F1224" i="5"/>
  <c r="E1224" i="5" s="1"/>
  <c r="F907" i="5"/>
  <c r="E907" i="5" s="1"/>
  <c r="F795" i="5"/>
  <c r="E795" i="5" s="1"/>
  <c r="F794" i="5"/>
  <c r="E794" i="5" s="1"/>
  <c r="F769" i="5"/>
  <c r="E769" i="5" s="1"/>
  <c r="F819" i="5"/>
  <c r="E819" i="5" s="1"/>
  <c r="F793" i="5"/>
  <c r="E793" i="5" s="1"/>
  <c r="E1879" i="5"/>
  <c r="F725" i="5"/>
  <c r="E725" i="5" s="1"/>
  <c r="E1878" i="5"/>
  <c r="F724" i="5"/>
  <c r="E724" i="5" s="1"/>
  <c r="E1843" i="5"/>
  <c r="F481" i="5"/>
  <c r="E481" i="5" s="1"/>
  <c r="F818" i="5"/>
  <c r="E818" i="5" s="1"/>
  <c r="I35" i="4"/>
  <c r="F792" i="5"/>
  <c r="E792" i="5" s="1"/>
  <c r="F768" i="5"/>
  <c r="E768" i="5" s="1"/>
  <c r="F864" i="5"/>
  <c r="E864" i="5" s="1"/>
  <c r="F863" i="5"/>
  <c r="E863" i="5" s="1"/>
  <c r="E1842" i="5"/>
  <c r="F686" i="5"/>
  <c r="E686" i="5" s="1"/>
  <c r="F723" i="5"/>
  <c r="E723" i="5" s="1"/>
  <c r="F1597" i="5"/>
  <c r="E1597" i="5" s="1"/>
  <c r="F944" i="5"/>
  <c r="E944" i="5" s="1"/>
  <c r="F1515" i="5"/>
  <c r="E1515" i="5" s="1"/>
  <c r="F282" i="5"/>
  <c r="E282" i="5" s="1"/>
  <c r="E1763" i="5"/>
  <c r="F380" i="5"/>
  <c r="E380" i="5" s="1"/>
  <c r="F943" i="5"/>
  <c r="E943" i="5" s="1"/>
  <c r="I36" i="4"/>
  <c r="F1258" i="5"/>
  <c r="E1258" i="5" s="1"/>
  <c r="F685" i="5"/>
  <c r="E685" i="5" s="1"/>
  <c r="F862" i="5"/>
  <c r="E862" i="5" s="1"/>
  <c r="F1452" i="5"/>
  <c r="E1452" i="5" s="1"/>
  <c r="F861" i="5"/>
  <c r="E861" i="5" s="1"/>
  <c r="F767" i="5"/>
  <c r="E767" i="5" s="1"/>
  <c r="F1317" i="5"/>
  <c r="E1317" i="5" s="1"/>
  <c r="F684" i="5"/>
  <c r="E684" i="5" s="1"/>
  <c r="F1596" i="5"/>
  <c r="E1596" i="5" s="1"/>
  <c r="F378" i="5"/>
  <c r="E378" i="5" s="1"/>
  <c r="E1762" i="5"/>
  <c r="F539" i="5"/>
  <c r="E539" i="5" s="1"/>
  <c r="F1514" i="5"/>
  <c r="E1514" i="5" s="1"/>
  <c r="F240" i="5"/>
  <c r="E240" i="5" s="1"/>
  <c r="F377" i="5"/>
  <c r="E377" i="5" s="1"/>
  <c r="F239" i="5"/>
  <c r="E239" i="5" s="1"/>
  <c r="F989" i="5"/>
  <c r="E989" i="5" s="1"/>
  <c r="F281" i="5"/>
  <c r="E281" i="5" s="1"/>
  <c r="F538" i="5"/>
  <c r="E538" i="5" s="1"/>
  <c r="F766" i="5"/>
  <c r="E766" i="5" s="1"/>
  <c r="F765" i="5"/>
  <c r="E765" i="5" s="1"/>
  <c r="F332" i="5"/>
  <c r="E332" i="5" s="1"/>
  <c r="F860" i="5"/>
  <c r="E860" i="5" s="1"/>
  <c r="F942" i="5"/>
  <c r="E942" i="5" s="1"/>
  <c r="F722" i="5"/>
  <c r="E722" i="5" s="1"/>
  <c r="F764" i="5"/>
  <c r="E764" i="5" s="1"/>
  <c r="F683" i="5"/>
  <c r="E683" i="5" s="1"/>
  <c r="F682" i="5"/>
  <c r="E682" i="5" s="1"/>
  <c r="F906" i="5"/>
  <c r="E906" i="5" s="1"/>
  <c r="F611" i="5"/>
  <c r="E611" i="5" s="1"/>
  <c r="F537" i="5"/>
  <c r="E537" i="5" s="1"/>
  <c r="F536" i="5"/>
  <c r="E536" i="5" s="1"/>
  <c r="F445" i="5"/>
  <c r="E445" i="5" s="1"/>
  <c r="F331" i="5"/>
  <c r="E331" i="5" s="1"/>
  <c r="F238" i="5"/>
  <c r="E238" i="5" s="1"/>
  <c r="F46" i="5"/>
  <c r="E46" i="5" s="1"/>
  <c r="I90" i="4"/>
  <c r="I6" i="4"/>
  <c r="I81" i="4"/>
  <c r="F146" i="5"/>
  <c r="E146" i="5" s="1"/>
  <c r="F376" i="5"/>
  <c r="E376" i="5" s="1"/>
  <c r="I41" i="4"/>
  <c r="F941" i="5"/>
  <c r="E941" i="5" s="1"/>
  <c r="F330" i="5"/>
  <c r="E330" i="5" s="1"/>
  <c r="F905" i="5"/>
  <c r="E905" i="5" s="1"/>
  <c r="F535" i="5"/>
  <c r="E535" i="5" s="1"/>
  <c r="F375" i="5"/>
  <c r="E375" i="5" s="1"/>
  <c r="F374" i="5"/>
  <c r="E374" i="5" s="1"/>
  <c r="F373" i="5"/>
  <c r="E373" i="5" s="1"/>
  <c r="F372" i="5"/>
  <c r="E372" i="5" s="1"/>
  <c r="I91" i="4"/>
  <c r="I9" i="4"/>
  <c r="E1807" i="5"/>
  <c r="F463" i="5"/>
  <c r="E463" i="5" s="1"/>
  <c r="F1364" i="5"/>
  <c r="E1364" i="5" s="1"/>
  <c r="F1035" i="5"/>
  <c r="E1035" i="5" s="1"/>
  <c r="F763" i="5"/>
  <c r="E763" i="5" s="1"/>
  <c r="F721" i="5"/>
  <c r="E721" i="5" s="1"/>
  <c r="E1841" i="5"/>
  <c r="F480" i="5"/>
  <c r="E480" i="5" s="1"/>
  <c r="F720" i="5"/>
  <c r="E720" i="5" s="1"/>
  <c r="E1806" i="5"/>
  <c r="F479" i="5"/>
  <c r="E479" i="5" s="1"/>
  <c r="F719" i="5"/>
  <c r="E719" i="5" s="1"/>
  <c r="F718" i="5"/>
  <c r="E718" i="5" s="1"/>
  <c r="F681" i="5"/>
  <c r="E681" i="5" s="1"/>
  <c r="E1761" i="5"/>
  <c r="F534" i="5"/>
  <c r="E534" i="5" s="1"/>
  <c r="F717" i="5"/>
  <c r="E717" i="5" s="1"/>
  <c r="F1558" i="5"/>
  <c r="E1558" i="5" s="1"/>
  <c r="F195" i="5"/>
  <c r="E195" i="5" s="1"/>
  <c r="F940" i="5"/>
  <c r="E940" i="5" s="1"/>
  <c r="F859" i="5"/>
  <c r="E859" i="5" s="1"/>
  <c r="F817" i="5"/>
  <c r="E817" i="5" s="1"/>
  <c r="F237" i="5"/>
  <c r="E237" i="5" s="1"/>
  <c r="F280" i="5"/>
  <c r="E280" i="5" s="1"/>
  <c r="F279" i="5"/>
  <c r="E279" i="5" s="1"/>
  <c r="E1805" i="5"/>
  <c r="F478" i="5"/>
  <c r="E478" i="5" s="1"/>
  <c r="E1804" i="5"/>
  <c r="F610" i="5"/>
  <c r="E610" i="5" s="1"/>
  <c r="F791" i="5"/>
  <c r="E791" i="5" s="1"/>
  <c r="F716" i="5"/>
  <c r="E716" i="5" s="1"/>
  <c r="E1760" i="5"/>
  <c r="F533" i="5"/>
  <c r="E533" i="5" s="1"/>
  <c r="F715" i="5"/>
  <c r="E715" i="5" s="1"/>
  <c r="F762" i="5"/>
  <c r="E762" i="5" s="1"/>
  <c r="E1759" i="5"/>
  <c r="F532" i="5"/>
  <c r="E532" i="5" s="1"/>
  <c r="F761" i="5"/>
  <c r="E761" i="5" s="1"/>
  <c r="F371" i="5"/>
  <c r="E371" i="5" s="1"/>
  <c r="F236" i="5"/>
  <c r="E236" i="5" s="1"/>
  <c r="F370" i="5"/>
  <c r="E370" i="5" s="1"/>
  <c r="F444" i="5"/>
  <c r="E444" i="5" s="1"/>
  <c r="F609" i="5"/>
  <c r="E609" i="5" s="1"/>
  <c r="F608" i="5"/>
  <c r="E608" i="5" s="1"/>
  <c r="F760" i="5"/>
  <c r="E760" i="5" s="1"/>
  <c r="F714" i="5"/>
  <c r="E714" i="5" s="1"/>
  <c r="F1413" i="5"/>
  <c r="E1413" i="5" s="1"/>
  <c r="F85" i="5"/>
  <c r="E85" i="5" s="1"/>
  <c r="I54" i="4"/>
  <c r="I88" i="4"/>
  <c r="I39" i="4"/>
  <c r="I102" i="4"/>
  <c r="F1257" i="5"/>
  <c r="E1257" i="5" s="1"/>
  <c r="F45" i="5"/>
  <c r="E45" i="5" s="1"/>
  <c r="F114" i="5"/>
  <c r="E114" i="5" s="1"/>
  <c r="F145" i="5"/>
  <c r="E145" i="5" s="1"/>
  <c r="F144" i="5"/>
  <c r="E144" i="5" s="1"/>
  <c r="I92" i="4"/>
  <c r="F443" i="5"/>
  <c r="E443" i="5" s="1"/>
  <c r="F790" i="5"/>
  <c r="E790" i="5" s="1"/>
  <c r="F166" i="5"/>
  <c r="E166" i="5" s="1"/>
  <c r="F235" i="5"/>
  <c r="E235" i="5" s="1"/>
  <c r="F234" i="5"/>
  <c r="E234" i="5" s="1"/>
  <c r="F143" i="5"/>
  <c r="E143" i="5" s="1"/>
  <c r="F1451" i="5"/>
  <c r="E1451" i="5" s="1"/>
  <c r="F142" i="5"/>
  <c r="E142" i="5" s="1"/>
  <c r="F1400" i="5"/>
  <c r="E1400" i="5" s="1"/>
  <c r="F759" i="5"/>
  <c r="E759" i="5" s="1"/>
  <c r="F113" i="5"/>
  <c r="E113" i="5" s="1"/>
  <c r="F442" i="5"/>
  <c r="E442" i="5" s="1"/>
  <c r="F141" i="5"/>
  <c r="E141" i="5" s="1"/>
  <c r="F531" i="5"/>
  <c r="E531" i="5" s="1"/>
  <c r="F112" i="5"/>
  <c r="E112" i="5" s="1"/>
  <c r="F713" i="5"/>
  <c r="E713" i="5" s="1"/>
  <c r="F988" i="5"/>
  <c r="E988" i="5" s="1"/>
  <c r="F1129" i="5"/>
  <c r="E1129" i="5" s="1"/>
  <c r="F987" i="5"/>
  <c r="E987" i="5" s="1"/>
  <c r="I100" i="4"/>
  <c r="F1166" i="5"/>
  <c r="E1166" i="5" s="1"/>
  <c r="F1034" i="5"/>
  <c r="E1034" i="5" s="1"/>
  <c r="F369" i="5"/>
  <c r="E369" i="5" s="1"/>
  <c r="I103" i="4"/>
  <c r="I51" i="4"/>
  <c r="F165" i="5"/>
  <c r="E165" i="5" s="1"/>
  <c r="F1420" i="5"/>
  <c r="E1420" i="5" s="1"/>
  <c r="F140" i="5"/>
  <c r="E140" i="5" s="1"/>
  <c r="E1634" i="5"/>
  <c r="F329" i="5"/>
  <c r="E329" i="5" s="1"/>
  <c r="E1633" i="5"/>
  <c r="F328" i="5"/>
  <c r="E328" i="5" s="1"/>
  <c r="F1363" i="5"/>
  <c r="E1363" i="5" s="1"/>
  <c r="F84" i="5"/>
  <c r="E84" i="5" s="1"/>
  <c r="E1758" i="5"/>
  <c r="F530" i="5"/>
  <c r="E530" i="5" s="1"/>
  <c r="F712" i="5"/>
  <c r="E712" i="5" s="1"/>
  <c r="F1513" i="5"/>
  <c r="E1513" i="5" s="1"/>
  <c r="F194" i="5"/>
  <c r="E194" i="5" s="1"/>
  <c r="E1698" i="5"/>
  <c r="F441" i="5"/>
  <c r="E441" i="5" s="1"/>
  <c r="E1840" i="5"/>
  <c r="F529" i="5"/>
  <c r="E529" i="5" s="1"/>
  <c r="F1632" i="5"/>
  <c r="E1632" i="5" s="1"/>
  <c r="F440" i="5"/>
  <c r="E440" i="5" s="1"/>
  <c r="F1631" i="5"/>
  <c r="E1631" i="5" s="1"/>
  <c r="F439" i="5"/>
  <c r="E439" i="5" s="1"/>
  <c r="F1630" i="5"/>
  <c r="E1630" i="5" s="1"/>
  <c r="F438" i="5"/>
  <c r="E438" i="5" s="1"/>
  <c r="E1757" i="5"/>
  <c r="F462" i="5"/>
  <c r="E462" i="5" s="1"/>
  <c r="F1595" i="5"/>
  <c r="E1595" i="5" s="1"/>
  <c r="F368" i="5"/>
  <c r="E368" i="5" s="1"/>
  <c r="E1803" i="5"/>
  <c r="F477" i="5"/>
  <c r="E477" i="5" s="1"/>
  <c r="E1697" i="5"/>
  <c r="F437" i="5"/>
  <c r="E437" i="5" s="1"/>
  <c r="E1756" i="5"/>
  <c r="F461" i="5"/>
  <c r="E461" i="5" s="1"/>
  <c r="F1223" i="5"/>
  <c r="E1223" i="5" s="1"/>
  <c r="F607" i="5"/>
  <c r="E607" i="5" s="1"/>
  <c r="F278" i="5"/>
  <c r="E278" i="5" s="1"/>
  <c r="E1696" i="5"/>
  <c r="F436" i="5"/>
  <c r="E436" i="5" s="1"/>
  <c r="F1222" i="5"/>
  <c r="E1222" i="5" s="1"/>
  <c r="E1755" i="5"/>
  <c r="F1165" i="5"/>
  <c r="E1165" i="5" s="1"/>
  <c r="F528" i="5"/>
  <c r="E528" i="5" s="1"/>
  <c r="E1695" i="5"/>
  <c r="F435" i="5"/>
  <c r="E435" i="5" s="1"/>
  <c r="E1694" i="5"/>
  <c r="F434" i="5"/>
  <c r="E434" i="5" s="1"/>
  <c r="E1693" i="5"/>
  <c r="F433" i="5"/>
  <c r="E433" i="5" s="1"/>
  <c r="E1692" i="5"/>
  <c r="F432" i="5"/>
  <c r="E432" i="5" s="1"/>
  <c r="E1754" i="5"/>
  <c r="F460" i="5"/>
  <c r="E460" i="5" s="1"/>
  <c r="E1802" i="5"/>
  <c r="F476" i="5"/>
  <c r="E476" i="5" s="1"/>
  <c r="E1691" i="5"/>
  <c r="F367" i="5"/>
  <c r="E367" i="5" s="1"/>
  <c r="F711" i="5"/>
  <c r="E711" i="5" s="1"/>
  <c r="F1221" i="5"/>
  <c r="E1221" i="5" s="1"/>
  <c r="F904" i="5"/>
  <c r="E904" i="5" s="1"/>
  <c r="F606" i="5"/>
  <c r="E606" i="5" s="1"/>
  <c r="E1753" i="5"/>
  <c r="F431" i="5"/>
  <c r="E431" i="5" s="1"/>
  <c r="F939" i="5"/>
  <c r="E939" i="5" s="1"/>
  <c r="F327" i="5"/>
  <c r="E327" i="5" s="1"/>
  <c r="E1752" i="5"/>
  <c r="F527" i="5"/>
  <c r="E527" i="5" s="1"/>
  <c r="E1751" i="5"/>
  <c r="F459" i="5"/>
  <c r="E459" i="5" s="1"/>
  <c r="E1750" i="5"/>
  <c r="F458" i="5"/>
  <c r="E458" i="5" s="1"/>
  <c r="F277" i="5"/>
  <c r="E277" i="5" s="1"/>
  <c r="F475" i="5"/>
  <c r="E475" i="5" s="1"/>
  <c r="F430" i="5"/>
  <c r="E430" i="5" s="1"/>
  <c r="F276" i="5"/>
  <c r="E276" i="5" s="1"/>
  <c r="F605" i="5"/>
  <c r="E605" i="5" s="1"/>
  <c r="F233" i="5"/>
  <c r="E233" i="5" s="1"/>
  <c r="F111" i="5"/>
  <c r="E111" i="5" s="1"/>
  <c r="F44" i="5"/>
  <c r="E44" i="5" s="1"/>
  <c r="F43" i="5"/>
  <c r="E43" i="5" s="1"/>
  <c r="F83" i="5"/>
  <c r="E83" i="5" s="1"/>
  <c r="F710" i="5"/>
  <c r="E710" i="5" s="1"/>
  <c r="F1316" i="5"/>
  <c r="E1316" i="5" s="1"/>
  <c r="F164" i="5"/>
  <c r="E164" i="5" s="1"/>
  <c r="F110" i="5"/>
  <c r="E110" i="5" s="1"/>
  <c r="F232" i="5"/>
  <c r="E232" i="5" s="1"/>
  <c r="F42" i="5"/>
  <c r="E42" i="5" s="1"/>
  <c r="F1450" i="5"/>
  <c r="E1450" i="5" s="1"/>
  <c r="F163" i="5"/>
  <c r="E163" i="5" s="1"/>
  <c r="I93" i="4"/>
  <c r="I7" i="4"/>
  <c r="G4" i="1"/>
  <c r="G3" i="1"/>
  <c r="G2" i="1"/>
  <c r="F109" i="5"/>
  <c r="E109" i="5" s="1"/>
  <c r="F604" i="5"/>
  <c r="E604" i="5" s="1"/>
  <c r="F526" i="5"/>
  <c r="E526" i="5" s="1"/>
  <c r="F82" i="5"/>
  <c r="E82" i="5" s="1"/>
  <c r="F366" i="5"/>
  <c r="E366" i="5" s="1"/>
  <c r="I15" i="4"/>
  <c r="I108" i="4"/>
  <c r="I11" i="4"/>
  <c r="I66" i="4"/>
  <c r="I43" i="4"/>
  <c r="F41" i="5"/>
  <c r="E41" i="5" s="1"/>
  <c r="F40" i="5"/>
  <c r="E40" i="5" s="1"/>
  <c r="F758" i="5"/>
  <c r="E758" i="5" s="1"/>
  <c r="I50" i="4"/>
  <c r="F1629" i="5"/>
  <c r="E1629" i="5" s="1"/>
  <c r="F326" i="5"/>
  <c r="E326" i="5" s="1"/>
  <c r="F1628" i="5"/>
  <c r="E1628" i="5" s="1"/>
  <c r="F325" i="5"/>
  <c r="E325" i="5" s="1"/>
  <c r="F1627" i="5"/>
  <c r="E1627" i="5" s="1"/>
  <c r="F324" i="5"/>
  <c r="E324" i="5" s="1"/>
  <c r="F1626" i="5"/>
  <c r="E1626" i="5" s="1"/>
  <c r="F323" i="5"/>
  <c r="E323" i="5" s="1"/>
  <c r="F1625" i="5"/>
  <c r="E1625" i="5" s="1"/>
  <c r="F322" i="5"/>
  <c r="E322" i="5" s="1"/>
  <c r="F1624" i="5"/>
  <c r="E1624" i="5" s="1"/>
  <c r="F321" i="5"/>
  <c r="E321" i="5" s="1"/>
  <c r="F1512" i="5"/>
  <c r="E1512" i="5" s="1"/>
  <c r="F193" i="5"/>
  <c r="E193" i="5" s="1"/>
  <c r="F1511" i="5"/>
  <c r="E1511" i="5" s="1"/>
  <c r="F192" i="5"/>
  <c r="E192" i="5" s="1"/>
  <c r="F1510" i="5"/>
  <c r="E1510" i="5" s="1"/>
  <c r="F191" i="5"/>
  <c r="E191" i="5" s="1"/>
  <c r="F1033" i="5"/>
  <c r="E1033" i="5" s="1"/>
  <c r="F757" i="5"/>
  <c r="E757" i="5" s="1"/>
  <c r="F429" i="5"/>
  <c r="E429" i="5" s="1"/>
  <c r="F903" i="5"/>
  <c r="E903" i="5" s="1"/>
  <c r="F603" i="5"/>
  <c r="E603" i="5" s="1"/>
  <c r="F275" i="5"/>
  <c r="E275" i="5" s="1"/>
  <c r="F756" i="5"/>
  <c r="E756" i="5" s="1"/>
  <c r="F428" i="5"/>
  <c r="E428" i="5" s="1"/>
  <c r="F139" i="5"/>
  <c r="E139" i="5" s="1"/>
  <c r="E1749" i="5"/>
  <c r="F365" i="5"/>
  <c r="E365" i="5" s="1"/>
  <c r="E1748" i="5"/>
  <c r="F364" i="5"/>
  <c r="E364" i="5" s="1"/>
  <c r="F1509" i="5"/>
  <c r="E1509" i="5" s="1"/>
  <c r="F231" i="5"/>
  <c r="E231" i="5" s="1"/>
  <c r="F1557" i="5"/>
  <c r="E1557" i="5" s="1"/>
  <c r="F320" i="5"/>
  <c r="E320" i="5" s="1"/>
  <c r="E1747" i="5"/>
  <c r="F427" i="5"/>
  <c r="E427" i="5" s="1"/>
  <c r="E1666" i="5"/>
  <c r="F363" i="5"/>
  <c r="E363" i="5" s="1"/>
  <c r="E1690" i="5"/>
  <c r="F426" i="5"/>
  <c r="E426" i="5" s="1"/>
  <c r="F1449" i="5"/>
  <c r="E1449" i="5" s="1"/>
  <c r="F230" i="5"/>
  <c r="E230" i="5" s="1"/>
  <c r="E1665" i="5"/>
  <c r="F319" i="5"/>
  <c r="E319" i="5" s="1"/>
  <c r="F1256" i="5"/>
  <c r="E1256" i="5" s="1"/>
  <c r="F81" i="5"/>
  <c r="E81" i="5" s="1"/>
  <c r="F1508" i="5"/>
  <c r="E1508" i="5" s="1"/>
  <c r="F190" i="5"/>
  <c r="E190" i="5" s="1"/>
  <c r="F1315" i="5"/>
  <c r="E1315" i="5" s="1"/>
  <c r="E1689" i="5"/>
  <c r="F425" i="5"/>
  <c r="E425" i="5" s="1"/>
  <c r="F858" i="5"/>
  <c r="E858" i="5" s="1"/>
  <c r="F229" i="5"/>
  <c r="E229" i="5" s="1"/>
  <c r="E1746" i="5"/>
  <c r="F424" i="5"/>
  <c r="E424" i="5" s="1"/>
  <c r="F1507" i="5"/>
  <c r="E1507" i="5" s="1"/>
  <c r="F274" i="5"/>
  <c r="E274" i="5" s="1"/>
  <c r="F1594" i="5"/>
  <c r="E1594" i="5" s="1"/>
  <c r="F273" i="5"/>
  <c r="E273" i="5" s="1"/>
  <c r="F1419" i="5"/>
  <c r="E1419" i="5" s="1"/>
  <c r="F108" i="5"/>
  <c r="E108" i="5" s="1"/>
  <c r="E1745" i="5"/>
  <c r="F423" i="5"/>
  <c r="E423" i="5" s="1"/>
  <c r="F1164" i="5"/>
  <c r="E1164" i="5" s="1"/>
  <c r="F525" i="5"/>
  <c r="E525" i="5" s="1"/>
  <c r="F228" i="5"/>
  <c r="E228" i="5" s="1"/>
  <c r="F1297" i="5"/>
  <c r="E1297" i="5" s="1"/>
  <c r="F39" i="5"/>
  <c r="E39" i="5" s="1"/>
  <c r="F602" i="5"/>
  <c r="E602" i="5" s="1"/>
  <c r="F272" i="5"/>
  <c r="E272" i="5" s="1"/>
  <c r="F1506" i="5"/>
  <c r="E1506" i="5" s="1"/>
  <c r="F271" i="5"/>
  <c r="E271" i="5" s="1"/>
  <c r="F1505" i="5"/>
  <c r="E1505" i="5" s="1"/>
  <c r="F270" i="5"/>
  <c r="E270" i="5" s="1"/>
  <c r="F1556" i="5"/>
  <c r="E1556" i="5" s="1"/>
  <c r="F318" i="5"/>
  <c r="E318" i="5" s="1"/>
  <c r="F1555" i="5"/>
  <c r="E1555" i="5" s="1"/>
  <c r="F317" i="5"/>
  <c r="E317" i="5" s="1"/>
  <c r="F162" i="5"/>
  <c r="E162" i="5" s="1"/>
  <c r="F138" i="5"/>
  <c r="E138" i="5" s="1"/>
  <c r="F422" i="5"/>
  <c r="E422" i="5" s="1"/>
  <c r="F316" i="5"/>
  <c r="E316" i="5" s="1"/>
  <c r="F227" i="5"/>
  <c r="E227" i="5" s="1"/>
  <c r="F226" i="5"/>
  <c r="E226" i="5" s="1"/>
  <c r="F38" i="5"/>
  <c r="E38" i="5" s="1"/>
  <c r="F269" i="5"/>
  <c r="E269" i="5" s="1"/>
  <c r="F421" i="5"/>
  <c r="E421" i="5" s="1"/>
  <c r="F107" i="5"/>
  <c r="E107" i="5" s="1"/>
  <c r="F1032" i="5"/>
  <c r="E1032" i="5" s="1"/>
  <c r="I74" i="4"/>
  <c r="I19" i="4"/>
  <c r="I5" i="4"/>
  <c r="F137" i="5"/>
  <c r="E137" i="5" s="1"/>
  <c r="F225" i="5"/>
  <c r="E225" i="5" s="1"/>
  <c r="F224" i="5"/>
  <c r="E224" i="5" s="1"/>
  <c r="F223" i="5"/>
  <c r="E223" i="5" s="1"/>
  <c r="F222" i="5"/>
  <c r="E222" i="5" s="1"/>
  <c r="F362" i="5"/>
  <c r="E362" i="5" s="1"/>
  <c r="F361" i="5"/>
  <c r="E361" i="5" s="1"/>
  <c r="I53" i="4"/>
  <c r="I77" i="4"/>
  <c r="I37" i="4"/>
  <c r="F268" i="5"/>
  <c r="E268" i="5" s="1"/>
  <c r="I31" i="4"/>
  <c r="I25" i="4"/>
  <c r="I109" i="4"/>
  <c r="I110" i="4"/>
  <c r="F1554" i="5"/>
  <c r="E1554" i="5" s="1"/>
  <c r="F189" i="5"/>
  <c r="E189" i="5" s="1"/>
  <c r="F267" i="5"/>
  <c r="E267" i="5" s="1"/>
  <c r="I69" i="4"/>
  <c r="F1448" i="5"/>
  <c r="E1448" i="5" s="1"/>
  <c r="F161" i="5"/>
  <c r="E161" i="5" s="1"/>
  <c r="F755" i="5"/>
  <c r="E755" i="5" s="1"/>
  <c r="F420" i="5"/>
  <c r="E420" i="5" s="1"/>
  <c r="F136" i="5"/>
  <c r="E136" i="5" s="1"/>
  <c r="F1504" i="5"/>
  <c r="E1504" i="5" s="1"/>
  <c r="F188" i="5"/>
  <c r="E188" i="5" s="1"/>
  <c r="F1418" i="5"/>
  <c r="E1418" i="5" s="1"/>
  <c r="F135" i="5"/>
  <c r="E135" i="5" s="1"/>
  <c r="F1503" i="5"/>
  <c r="E1503" i="5" s="1"/>
  <c r="F187" i="5"/>
  <c r="E187" i="5" s="1"/>
  <c r="F1128" i="5"/>
  <c r="E1128" i="5" s="1"/>
  <c r="F1220" i="5"/>
  <c r="E1220" i="5" s="1"/>
  <c r="F37" i="5"/>
  <c r="E37" i="5" s="1"/>
  <c r="F1255" i="5"/>
  <c r="E1255" i="5" s="1"/>
  <c r="F80" i="5"/>
  <c r="E80" i="5" s="1"/>
  <c r="F1163" i="5"/>
  <c r="E1163" i="5" s="1"/>
  <c r="F1447" i="5"/>
  <c r="E1447" i="5" s="1"/>
  <c r="F134" i="5"/>
  <c r="E134" i="5" s="1"/>
  <c r="F789" i="5"/>
  <c r="E789" i="5" s="1"/>
  <c r="F133" i="5"/>
  <c r="E133" i="5" s="1"/>
  <c r="F1399" i="5"/>
  <c r="E1399" i="5" s="1"/>
  <c r="F106" i="5"/>
  <c r="E106" i="5" s="1"/>
  <c r="F1446" i="5"/>
  <c r="E1446" i="5" s="1"/>
  <c r="F221" i="5"/>
  <c r="E221" i="5" s="1"/>
  <c r="F1553" i="5"/>
  <c r="E1553" i="5" s="1"/>
  <c r="F220" i="5"/>
  <c r="E220" i="5" s="1"/>
  <c r="F1552" i="5"/>
  <c r="E1552" i="5" s="1"/>
  <c r="F219" i="5"/>
  <c r="E219" i="5" s="1"/>
  <c r="F1362" i="5"/>
  <c r="E1362" i="5" s="1"/>
  <c r="F132" i="5"/>
  <c r="E132" i="5" s="1"/>
  <c r="F1502" i="5"/>
  <c r="E1502" i="5" s="1"/>
  <c r="F186" i="5"/>
  <c r="E186" i="5" s="1"/>
  <c r="F1445" i="5"/>
  <c r="E1445" i="5" s="1"/>
  <c r="F218" i="5"/>
  <c r="E218" i="5" s="1"/>
  <c r="F1219" i="5"/>
  <c r="E1219" i="5" s="1"/>
  <c r="F601" i="5"/>
  <c r="E601" i="5" s="1"/>
  <c r="F36" i="5"/>
  <c r="E36" i="5" s="1"/>
  <c r="F1254" i="5"/>
  <c r="E1254" i="5" s="1"/>
  <c r="F680" i="5"/>
  <c r="E680" i="5" s="1"/>
  <c r="F79" i="5"/>
  <c r="E79" i="5" s="1"/>
  <c r="F1127" i="5"/>
  <c r="E1127" i="5" s="1"/>
  <c r="F1398" i="5"/>
  <c r="E1398" i="5" s="1"/>
  <c r="F105" i="5"/>
  <c r="E105" i="5" s="1"/>
  <c r="F857" i="5"/>
  <c r="E857" i="5" s="1"/>
  <c r="F217" i="5"/>
  <c r="E217" i="5" s="1"/>
  <c r="F709" i="5"/>
  <c r="E709" i="5" s="1"/>
  <c r="F104" i="5"/>
  <c r="E104" i="5" s="1"/>
  <c r="F1314" i="5"/>
  <c r="E1314" i="5" s="1"/>
  <c r="F103" i="5"/>
  <c r="E103" i="5" s="1"/>
  <c r="F1501" i="5"/>
  <c r="E1501" i="5" s="1"/>
  <c r="F185" i="5"/>
  <c r="E185" i="5" s="1"/>
  <c r="F1313" i="5"/>
  <c r="E1313" i="5" s="1"/>
  <c r="F102" i="5"/>
  <c r="E102" i="5" s="1"/>
  <c r="F1312" i="5"/>
  <c r="E1312" i="5" s="1"/>
  <c r="F101" i="5"/>
  <c r="E101" i="5" s="1"/>
  <c r="F1253" i="5"/>
  <c r="E1253" i="5" s="1"/>
  <c r="F78" i="5"/>
  <c r="E78" i="5" s="1"/>
  <c r="F600" i="5"/>
  <c r="E600" i="5" s="1"/>
  <c r="F35" i="5"/>
  <c r="E35" i="5" s="1"/>
  <c r="F1218" i="5"/>
  <c r="E1218" i="5" s="1"/>
  <c r="F100" i="5"/>
  <c r="E100" i="5" s="1"/>
  <c r="F34" i="5"/>
  <c r="E34" i="5" s="1"/>
  <c r="F216" i="5"/>
  <c r="E216" i="5" s="1"/>
  <c r="F131" i="5"/>
  <c r="E131" i="5" s="1"/>
  <c r="F130" i="5"/>
  <c r="E130" i="5" s="1"/>
  <c r="F160" i="5"/>
  <c r="E160" i="5" s="1"/>
  <c r="F129" i="5"/>
  <c r="E129" i="5" s="1"/>
  <c r="F159" i="5"/>
  <c r="E159" i="5" s="1"/>
  <c r="F360" i="5"/>
  <c r="E360" i="5" s="1"/>
  <c r="F1500" i="5"/>
  <c r="E1500" i="5" s="1"/>
  <c r="F184" i="5"/>
  <c r="E184" i="5" s="1"/>
  <c r="F419" i="5"/>
  <c r="E419" i="5" s="1"/>
  <c r="F1499" i="5"/>
  <c r="E1499" i="5" s="1"/>
  <c r="F183" i="5"/>
  <c r="E183" i="5" s="1"/>
  <c r="F1551" i="5"/>
  <c r="E1551" i="5" s="1"/>
  <c r="F938" i="5"/>
  <c r="E938" i="5" s="1"/>
  <c r="F315" i="5"/>
  <c r="E315" i="5" s="1"/>
  <c r="F937" i="5"/>
  <c r="E937" i="5" s="1"/>
  <c r="F314" i="5"/>
  <c r="E314" i="5" s="1"/>
  <c r="F1126" i="5"/>
  <c r="E1126" i="5" s="1"/>
  <c r="F1217" i="5"/>
  <c r="E1217" i="5" s="1"/>
  <c r="F1417" i="5"/>
  <c r="E1417" i="5" s="1"/>
  <c r="F99" i="5"/>
  <c r="E99" i="5" s="1"/>
  <c r="F98" i="5"/>
  <c r="E98" i="5" s="1"/>
  <c r="I99" i="4"/>
  <c r="B5" i="1" a="1"/>
  <c r="B5" i="1" s="1"/>
  <c r="F1498" i="5"/>
  <c r="E1498" i="5" s="1"/>
  <c r="F182" i="5"/>
  <c r="E182" i="5" s="1"/>
  <c r="F1361" i="5"/>
  <c r="E1361" i="5" s="1"/>
  <c r="F77" i="5"/>
  <c r="E77" i="5" s="1"/>
  <c r="F1252" i="5"/>
  <c r="E1252" i="5" s="1"/>
  <c r="F1162" i="5"/>
  <c r="E1162" i="5" s="1"/>
  <c r="F936" i="5"/>
  <c r="E936" i="5" s="1"/>
  <c r="F1104" i="5"/>
  <c r="E1104" i="5" s="1"/>
  <c r="F1216" i="5"/>
  <c r="E1216" i="5" s="1"/>
  <c r="F599" i="5"/>
  <c r="E599" i="5" s="1"/>
  <c r="F266" i="5"/>
  <c r="E266" i="5" s="1"/>
  <c r="F33" i="5"/>
  <c r="E33" i="5" s="1"/>
  <c r="F1215" i="5"/>
  <c r="E1215" i="5" s="1"/>
  <c r="F1360" i="5"/>
  <c r="E1360" i="5" s="1"/>
  <c r="F76" i="5"/>
  <c r="E76" i="5" s="1"/>
  <c r="F1161" i="5"/>
  <c r="E1161" i="5" s="1"/>
  <c r="F1359" i="5"/>
  <c r="E1359" i="5" s="1"/>
  <c r="F75" i="5"/>
  <c r="E75" i="5" s="1"/>
  <c r="F1160" i="5"/>
  <c r="E1160" i="5" s="1"/>
  <c r="F1214" i="5"/>
  <c r="E1214" i="5" s="1"/>
  <c r="F1251" i="5"/>
  <c r="E1251" i="5" s="1"/>
  <c r="F1397" i="5"/>
  <c r="E1397" i="5" s="1"/>
  <c r="F97" i="5"/>
  <c r="E97" i="5" s="1"/>
  <c r="F1358" i="5"/>
  <c r="E1358" i="5" s="1"/>
  <c r="F74" i="5"/>
  <c r="E74" i="5" s="1"/>
  <c r="F1103" i="5"/>
  <c r="E1103" i="5" s="1"/>
  <c r="F457" i="5"/>
  <c r="E457" i="5" s="1"/>
  <c r="F524" i="5"/>
  <c r="E524" i="5" s="1"/>
  <c r="F128" i="5"/>
  <c r="E128" i="5" s="1"/>
  <c r="F1357" i="5"/>
  <c r="E1357" i="5" s="1"/>
  <c r="F73" i="5"/>
  <c r="E73" i="5" s="1"/>
  <c r="F1213" i="5"/>
  <c r="E1213" i="5" s="1"/>
  <c r="F1212" i="5"/>
  <c r="E1212" i="5" s="1"/>
  <c r="F1211" i="5"/>
  <c r="E1211" i="5" s="1"/>
  <c r="F32" i="5"/>
  <c r="E32" i="5" s="1"/>
  <c r="F986" i="5"/>
  <c r="E986" i="5" s="1"/>
  <c r="F359" i="5"/>
  <c r="E359" i="5" s="1"/>
  <c r="F1159" i="5"/>
  <c r="E1159" i="5" s="1"/>
  <c r="F1031" i="5"/>
  <c r="E1031" i="5" s="1"/>
  <c r="F358" i="5"/>
  <c r="E358" i="5" s="1"/>
  <c r="F985" i="5"/>
  <c r="E985" i="5" s="1"/>
  <c r="F984" i="5"/>
  <c r="E984" i="5" s="1"/>
  <c r="F983" i="5"/>
  <c r="E983" i="5" s="1"/>
  <c r="F754" i="5"/>
  <c r="E754" i="5" s="1"/>
  <c r="F265" i="5"/>
  <c r="E265" i="5" s="1"/>
  <c r="F197" i="5"/>
  <c r="E197" i="5" s="1"/>
  <c r="F856" i="5"/>
  <c r="E856" i="5" s="1"/>
  <c r="F31" i="5"/>
  <c r="E31" i="5" s="1"/>
  <c r="F313" i="5"/>
  <c r="E313" i="5" s="1"/>
  <c r="F816" i="5"/>
  <c r="E816" i="5" s="1"/>
  <c r="F30" i="5"/>
  <c r="E30" i="5" s="1"/>
  <c r="F72" i="5"/>
  <c r="E72" i="5" s="1"/>
  <c r="F357" i="5"/>
  <c r="E357" i="5" s="1"/>
  <c r="F855" i="5"/>
  <c r="E855" i="5" s="1"/>
  <c r="F1210" i="5"/>
  <c r="E1210" i="5" s="1"/>
  <c r="F1030" i="5"/>
  <c r="E1030" i="5" s="1"/>
  <c r="F815" i="5"/>
  <c r="E815" i="5" s="1"/>
  <c r="F854" i="5"/>
  <c r="E854" i="5" s="1"/>
  <c r="F853" i="5"/>
  <c r="E853" i="5" s="1"/>
  <c r="E1839" i="5"/>
  <c r="F679" i="5"/>
  <c r="E679" i="5" s="1"/>
  <c r="F1158" i="5"/>
  <c r="E1158" i="5" s="1"/>
  <c r="F852" i="5"/>
  <c r="E852" i="5" s="1"/>
  <c r="F1593" i="5"/>
  <c r="E1593" i="5" s="1"/>
  <c r="F902" i="5"/>
  <c r="E902" i="5" s="1"/>
  <c r="F418" i="5"/>
  <c r="E418" i="5" s="1"/>
  <c r="F127" i="5"/>
  <c r="E127" i="5" s="1"/>
  <c r="F1029" i="5"/>
  <c r="E1029" i="5" s="1"/>
  <c r="F1028" i="5"/>
  <c r="E1028" i="5" s="1"/>
  <c r="F1102" i="5"/>
  <c r="E1102" i="5" s="1"/>
  <c r="F1027" i="5"/>
  <c r="E1027" i="5" s="1"/>
  <c r="F1125" i="5"/>
  <c r="E1125" i="5" s="1"/>
  <c r="F935" i="5"/>
  <c r="E935" i="5" s="1"/>
  <c r="F982" i="5"/>
  <c r="E982" i="5" s="1"/>
  <c r="F1592" i="5"/>
  <c r="E1592" i="5" s="1"/>
  <c r="F901" i="5"/>
  <c r="E901" i="5" s="1"/>
  <c r="F900" i="5"/>
  <c r="E900" i="5" s="1"/>
  <c r="F1124" i="5"/>
  <c r="E1124" i="5" s="1"/>
  <c r="F1123" i="5"/>
  <c r="E1123" i="5" s="1"/>
  <c r="F1101" i="5"/>
  <c r="E1101" i="5" s="1"/>
  <c r="F1026" i="5"/>
  <c r="E1026" i="5" s="1"/>
  <c r="F934" i="5"/>
  <c r="E934" i="5" s="1"/>
  <c r="F312" i="5"/>
  <c r="E312" i="5" s="1"/>
  <c r="F1157" i="5"/>
  <c r="E1157" i="5" s="1"/>
  <c r="F933" i="5"/>
  <c r="E933" i="5" s="1"/>
  <c r="F1122" i="5"/>
  <c r="E1122" i="5" s="1"/>
  <c r="F1356" i="5"/>
  <c r="E1356" i="5" s="1"/>
  <c r="F417" i="5"/>
  <c r="E417" i="5" s="1"/>
  <c r="F899" i="5"/>
  <c r="E899" i="5" s="1"/>
  <c r="F981" i="5"/>
  <c r="E981" i="5" s="1"/>
  <c r="F898" i="5"/>
  <c r="E898" i="5" s="1"/>
  <c r="F1025" i="5"/>
  <c r="E1025" i="5" s="1"/>
  <c r="F851" i="5"/>
  <c r="E851" i="5" s="1"/>
  <c r="F1156" i="5"/>
  <c r="E1156" i="5" s="1"/>
  <c r="F1100" i="5"/>
  <c r="E1100" i="5" s="1"/>
  <c r="F1121" i="5"/>
  <c r="E1121" i="5" s="1"/>
  <c r="F1120" i="5"/>
  <c r="E1120" i="5" s="1"/>
  <c r="F1119" i="5"/>
  <c r="E1119" i="5" s="1"/>
  <c r="F897" i="5"/>
  <c r="E897" i="5" s="1"/>
  <c r="F1099" i="5"/>
  <c r="E1099" i="5" s="1"/>
  <c r="F1155" i="5"/>
  <c r="E1155" i="5" s="1"/>
  <c r="F850" i="5"/>
  <c r="E850" i="5" s="1"/>
  <c r="F1118" i="5"/>
  <c r="E1118" i="5" s="1"/>
  <c r="F416" i="5"/>
  <c r="E416" i="5" s="1"/>
  <c r="F147" i="5"/>
  <c r="E147" i="5" s="1"/>
  <c r="F4" i="5"/>
  <c r="E4" i="5" s="1"/>
  <c r="F5" i="5"/>
  <c r="E5" i="5" s="1"/>
  <c r="F6" i="5"/>
  <c r="E6" i="5" s="1"/>
  <c r="F7" i="5"/>
  <c r="E7" i="5" s="1"/>
  <c r="F8" i="5"/>
  <c r="E8" i="5" s="1"/>
  <c r="F9" i="5"/>
  <c r="E9" i="5" s="1"/>
  <c r="F10" i="5"/>
  <c r="E10" i="5" s="1"/>
  <c r="F11" i="5"/>
  <c r="E11" i="5" s="1"/>
  <c r="F12" i="5"/>
  <c r="E12" i="5" s="1"/>
  <c r="F13" i="5"/>
  <c r="E13" i="5" s="1"/>
  <c r="F14" i="5"/>
  <c r="E14" i="5" s="1"/>
  <c r="F15" i="5"/>
  <c r="E15" i="5" s="1"/>
  <c r="F16" i="5"/>
  <c r="E16" i="5" s="1"/>
  <c r="F2" i="5"/>
  <c r="E2" i="5" s="1"/>
  <c r="F3" i="5"/>
  <c r="E3" i="5" s="1"/>
  <c r="F17" i="5"/>
  <c r="E17" i="5" s="1"/>
  <c r="F18" i="5"/>
  <c r="E18" i="5" s="1"/>
  <c r="F19" i="5"/>
  <c r="E19" i="5" s="1"/>
  <c r="F20" i="5"/>
  <c r="E20" i="5" s="1"/>
  <c r="F21" i="5"/>
  <c r="E21" i="5" s="1"/>
  <c r="F22" i="5"/>
  <c r="E22" i="5" s="1"/>
  <c r="F23" i="5"/>
  <c r="E23" i="5" s="1"/>
  <c r="F24" i="5"/>
  <c r="E24" i="5" s="1"/>
  <c r="F25" i="5"/>
  <c r="E25" i="5" s="1"/>
  <c r="F26" i="5"/>
  <c r="E26" i="5" s="1"/>
  <c r="F27" i="5"/>
  <c r="E27" i="5" s="1"/>
  <c r="F28" i="5"/>
  <c r="E28" i="5" s="1"/>
  <c r="F29" i="5"/>
  <c r="E29" i="5" s="1"/>
  <c r="F47" i="5"/>
  <c r="E47" i="5" s="1"/>
  <c r="F336" i="5"/>
  <c r="E336" i="5" s="1"/>
  <c r="F48" i="5"/>
  <c r="E48" i="5" s="1"/>
  <c r="F49" i="5"/>
  <c r="E49" i="5" s="1"/>
  <c r="F50" i="5"/>
  <c r="E50" i="5" s="1"/>
  <c r="F51" i="5"/>
  <c r="E51" i="5" s="1"/>
  <c r="F52" i="5"/>
  <c r="E52" i="5" s="1"/>
  <c r="F53" i="5"/>
  <c r="E53" i="5" s="1"/>
  <c r="F54" i="5"/>
  <c r="E54" i="5" s="1"/>
  <c r="F55" i="5"/>
  <c r="E55" i="5" s="1"/>
  <c r="F56" i="5"/>
  <c r="E56" i="5" s="1"/>
  <c r="F57" i="5"/>
  <c r="E57" i="5" s="1"/>
  <c r="F58" i="5"/>
  <c r="E58" i="5" s="1"/>
  <c r="F59" i="5"/>
  <c r="E59" i="5" s="1"/>
  <c r="F60" i="5"/>
  <c r="E60" i="5" s="1"/>
  <c r="F61" i="5"/>
  <c r="E61" i="5" s="1"/>
  <c r="F62" i="5"/>
  <c r="E62" i="5" s="1"/>
  <c r="F63" i="5"/>
  <c r="E63" i="5" s="1"/>
  <c r="F65" i="5"/>
  <c r="E65" i="5" s="1"/>
  <c r="F66" i="5"/>
  <c r="E66" i="5" s="1"/>
  <c r="F64" i="5"/>
  <c r="E64" i="5" s="1"/>
  <c r="F67" i="5"/>
  <c r="E67" i="5" s="1"/>
  <c r="F68" i="5"/>
  <c r="E68" i="5" s="1"/>
  <c r="F69" i="5"/>
  <c r="E69" i="5" s="1"/>
  <c r="F70" i="5"/>
  <c r="E70" i="5" s="1"/>
  <c r="F71" i="5"/>
  <c r="E71" i="5" s="1"/>
  <c r="F87" i="5"/>
  <c r="E87" i="5" s="1"/>
  <c r="F86" i="5"/>
  <c r="E86" i="5" s="1"/>
  <c r="F88" i="5"/>
  <c r="E88" i="5" s="1"/>
  <c r="F89" i="5"/>
  <c r="E89" i="5" s="1"/>
  <c r="F90" i="5"/>
  <c r="E90" i="5" s="1"/>
  <c r="F91" i="5"/>
  <c r="E91" i="5" s="1"/>
  <c r="F92" i="5"/>
  <c r="E92" i="5" s="1"/>
  <c r="F93" i="5"/>
  <c r="E93" i="5" s="1"/>
  <c r="F94" i="5"/>
  <c r="E94" i="5" s="1"/>
  <c r="F95" i="5"/>
  <c r="E95" i="5" s="1"/>
  <c r="F96" i="5"/>
  <c r="E96" i="5" s="1"/>
  <c r="F115" i="5"/>
  <c r="E115" i="5" s="1"/>
  <c r="F116" i="5"/>
  <c r="E116" i="5" s="1"/>
  <c r="F117" i="5"/>
  <c r="E117" i="5" s="1"/>
  <c r="F118" i="5"/>
  <c r="E118" i="5" s="1"/>
  <c r="F119" i="5"/>
  <c r="E119" i="5" s="1"/>
  <c r="F120" i="5"/>
  <c r="E120" i="5" s="1"/>
  <c r="F121" i="5"/>
  <c r="E121" i="5" s="1"/>
  <c r="F122" i="5"/>
  <c r="E122" i="5" s="1"/>
  <c r="F123" i="5"/>
  <c r="E123" i="5" s="1"/>
  <c r="F124" i="5"/>
  <c r="E124" i="5" s="1"/>
  <c r="F125" i="5"/>
  <c r="E125" i="5" s="1"/>
  <c r="F126" i="5"/>
  <c r="E126" i="5" s="1"/>
  <c r="F148" i="5"/>
  <c r="E148" i="5" s="1"/>
  <c r="F152" i="5"/>
  <c r="E152" i="5" s="1"/>
  <c r="F168" i="5"/>
  <c r="E168" i="5" s="1"/>
  <c r="F149" i="5"/>
  <c r="E149" i="5" s="1"/>
  <c r="F289" i="5"/>
  <c r="E289" i="5" s="1"/>
  <c r="F150" i="5"/>
  <c r="E150" i="5" s="1"/>
  <c r="F169" i="5"/>
  <c r="E169" i="5" s="1"/>
  <c r="F170" i="5"/>
  <c r="E170" i="5" s="1"/>
  <c r="F151" i="5"/>
  <c r="E151" i="5" s="1"/>
  <c r="F153" i="5"/>
  <c r="E153" i="5" s="1"/>
  <c r="F171" i="5"/>
  <c r="E171" i="5" s="1"/>
  <c r="F154" i="5"/>
  <c r="E154" i="5" s="1"/>
  <c r="F167" i="5"/>
  <c r="E167" i="5" s="1"/>
  <c r="F155" i="5"/>
  <c r="E155" i="5" s="1"/>
  <c r="F156" i="5"/>
  <c r="E156" i="5" s="1"/>
  <c r="F157" i="5"/>
  <c r="E157" i="5" s="1"/>
  <c r="F158" i="5"/>
  <c r="E158" i="5" s="1"/>
  <c r="F173" i="5"/>
  <c r="E173" i="5" s="1"/>
  <c r="F174" i="5"/>
  <c r="E174" i="5" s="1"/>
  <c r="F175" i="5"/>
  <c r="E175" i="5" s="1"/>
  <c r="F172" i="5"/>
  <c r="E172" i="5" s="1"/>
  <c r="F176" i="5"/>
  <c r="E176" i="5" s="1"/>
  <c r="F177" i="5"/>
  <c r="E177" i="5" s="1"/>
  <c r="F178" i="5"/>
  <c r="E178" i="5" s="1"/>
  <c r="F179" i="5"/>
  <c r="E179" i="5" s="1"/>
  <c r="F180" i="5"/>
  <c r="E180" i="5" s="1"/>
  <c r="F181" i="5"/>
  <c r="E181" i="5" s="1"/>
  <c r="F198" i="5"/>
  <c r="E198" i="5" s="1"/>
  <c r="F199" i="5"/>
  <c r="E199" i="5" s="1"/>
  <c r="F200" i="5"/>
  <c r="E200" i="5" s="1"/>
  <c r="F201" i="5"/>
  <c r="E201" i="5" s="1"/>
  <c r="F202" i="5"/>
  <c r="E202" i="5" s="1"/>
  <c r="F203" i="5"/>
  <c r="E203" i="5" s="1"/>
  <c r="F204" i="5"/>
  <c r="E204" i="5" s="1"/>
  <c r="F205" i="5"/>
  <c r="E205" i="5" s="1"/>
  <c r="F206" i="5"/>
  <c r="E206" i="5" s="1"/>
  <c r="F207" i="5"/>
  <c r="E207" i="5" s="1"/>
  <c r="F208" i="5"/>
  <c r="E208" i="5" s="1"/>
  <c r="F209" i="5"/>
  <c r="E209" i="5" s="1"/>
  <c r="F210" i="5"/>
  <c r="E210" i="5" s="1"/>
  <c r="F211" i="5"/>
  <c r="E211" i="5" s="1"/>
  <c r="F212" i="5"/>
  <c r="E212" i="5" s="1"/>
  <c r="F213" i="5"/>
  <c r="E213" i="5" s="1"/>
  <c r="F214" i="5"/>
  <c r="E214" i="5" s="1"/>
  <c r="F215" i="5"/>
  <c r="E215" i="5" s="1"/>
  <c r="F263" i="5"/>
  <c r="E263" i="5" s="1"/>
  <c r="F241" i="5"/>
  <c r="E241" i="5" s="1"/>
  <c r="F242" i="5"/>
  <c r="E242" i="5" s="1"/>
  <c r="F243" i="5"/>
  <c r="E243" i="5" s="1"/>
  <c r="F244" i="5"/>
  <c r="E244" i="5" s="1"/>
  <c r="F245" i="5"/>
  <c r="E245" i="5" s="1"/>
  <c r="F246" i="5"/>
  <c r="E246" i="5" s="1"/>
  <c r="F247" i="5"/>
  <c r="E247" i="5" s="1"/>
  <c r="F248" i="5"/>
  <c r="E248" i="5" s="1"/>
  <c r="F249" i="5"/>
  <c r="E249" i="5" s="1"/>
  <c r="F250" i="5"/>
  <c r="E250" i="5" s="1"/>
  <c r="F251" i="5"/>
  <c r="E251" i="5" s="1"/>
  <c r="F285" i="5"/>
  <c r="E285" i="5" s="1"/>
  <c r="F252" i="5"/>
  <c r="E252" i="5" s="1"/>
  <c r="F253" i="5"/>
  <c r="E253" i="5" s="1"/>
  <c r="F254" i="5"/>
  <c r="E254" i="5" s="1"/>
  <c r="F255" i="5"/>
  <c r="E255" i="5" s="1"/>
  <c r="F256" i="5"/>
  <c r="E256" i="5" s="1"/>
  <c r="F257" i="5"/>
  <c r="E257" i="5" s="1"/>
  <c r="F258" i="5"/>
  <c r="E258" i="5" s="1"/>
  <c r="F259" i="5"/>
  <c r="E259" i="5" s="1"/>
  <c r="F260" i="5"/>
  <c r="E260" i="5" s="1"/>
  <c r="F261" i="5"/>
  <c r="E261" i="5" s="1"/>
  <c r="F262" i="5"/>
  <c r="E262" i="5" s="1"/>
  <c r="F286" i="5"/>
  <c r="E286" i="5" s="1"/>
  <c r="F283" i="5"/>
  <c r="E283" i="5" s="1"/>
  <c r="F264" i="5"/>
  <c r="E264" i="5" s="1"/>
  <c r="F290" i="5"/>
  <c r="E290" i="5" s="1"/>
  <c r="F291" i="5"/>
  <c r="E291" i="5" s="1"/>
  <c r="F292" i="5"/>
  <c r="E292" i="5" s="1"/>
  <c r="F287" i="5"/>
  <c r="E287" i="5" s="1"/>
  <c r="F288" i="5"/>
  <c r="E288" i="5" s="1"/>
  <c r="F293" i="5"/>
  <c r="E293" i="5" s="1"/>
  <c r="F294" i="5"/>
  <c r="E294" i="5" s="1"/>
  <c r="F295" i="5"/>
  <c r="E295" i="5" s="1"/>
  <c r="F296" i="5"/>
  <c r="E296" i="5" s="1"/>
  <c r="F297" i="5"/>
  <c r="E297" i="5" s="1"/>
  <c r="F298" i="5"/>
  <c r="E298" i="5" s="1"/>
  <c r="F299" i="5"/>
  <c r="E299" i="5" s="1"/>
  <c r="F300" i="5"/>
  <c r="E300" i="5" s="1"/>
  <c r="F301" i="5"/>
  <c r="E301" i="5" s="1"/>
  <c r="F302" i="5"/>
  <c r="E302" i="5" s="1"/>
  <c r="F333" i="5"/>
  <c r="E333" i="5" s="1"/>
  <c r="F303" i="5"/>
  <c r="E303" i="5" s="1"/>
  <c r="F304" i="5"/>
  <c r="E304" i="5" s="1"/>
  <c r="F305" i="5"/>
  <c r="E305" i="5" s="1"/>
  <c r="F306" i="5"/>
  <c r="E306" i="5" s="1"/>
  <c r="F307" i="5"/>
  <c r="E307" i="5" s="1"/>
  <c r="F308" i="5"/>
  <c r="E308" i="5" s="1"/>
  <c r="F309" i="5"/>
  <c r="E309" i="5" s="1"/>
  <c r="F310" i="5"/>
  <c r="E310" i="5" s="1"/>
  <c r="F311" i="5"/>
  <c r="E311" i="5" s="1"/>
  <c r="F340" i="5"/>
  <c r="E340" i="5" s="1"/>
  <c r="F334" i="5"/>
  <c r="E334" i="5" s="1"/>
  <c r="F342" i="5"/>
  <c r="E342" i="5" s="1"/>
  <c r="F343" i="5"/>
  <c r="E343" i="5" s="1"/>
  <c r="F335" i="5"/>
  <c r="E335" i="5" s="1"/>
  <c r="F338" i="5"/>
  <c r="E338" i="5" s="1"/>
  <c r="F344" i="5"/>
  <c r="E344" i="5" s="1"/>
  <c r="F345" i="5"/>
  <c r="E345" i="5" s="1"/>
  <c r="F346" i="5"/>
  <c r="E346" i="5" s="1"/>
  <c r="F347" i="5"/>
  <c r="E347" i="5" s="1"/>
  <c r="F348" i="5"/>
  <c r="E348" i="5" s="1"/>
  <c r="F349" i="5"/>
  <c r="E349" i="5" s="1"/>
  <c r="F350" i="5"/>
  <c r="E350" i="5" s="1"/>
  <c r="F337" i="5"/>
  <c r="E337" i="5" s="1"/>
  <c r="F341" i="5"/>
  <c r="E341" i="5" s="1"/>
  <c r="F339" i="5"/>
  <c r="E339" i="5" s="1"/>
  <c r="F351" i="5"/>
  <c r="E351" i="5" s="1"/>
  <c r="F352" i="5"/>
  <c r="E352" i="5" s="1"/>
  <c r="F354" i="5"/>
  <c r="E354" i="5" s="1"/>
  <c r="F353" i="5"/>
  <c r="E353" i="5" s="1"/>
  <c r="F355" i="5"/>
  <c r="E355" i="5" s="1"/>
  <c r="F379" i="5"/>
  <c r="E379" i="5" s="1"/>
  <c r="F356" i="5"/>
  <c r="E356" i="5" s="1"/>
  <c r="F397" i="5"/>
  <c r="E397" i="5" s="1"/>
  <c r="F398" i="5"/>
  <c r="E398" i="5" s="1"/>
  <c r="F399" i="5"/>
  <c r="E399" i="5" s="1"/>
  <c r="F400" i="5"/>
  <c r="E400" i="5" s="1"/>
  <c r="F401" i="5"/>
  <c r="E401" i="5" s="1"/>
  <c r="F402" i="5"/>
  <c r="E402" i="5" s="1"/>
  <c r="F403" i="5"/>
  <c r="E403" i="5" s="1"/>
  <c r="F404" i="5"/>
  <c r="E404" i="5" s="1"/>
  <c r="F405" i="5"/>
  <c r="E405" i="5" s="1"/>
  <c r="F406" i="5"/>
  <c r="E406" i="5" s="1"/>
  <c r="F407" i="5"/>
  <c r="E407" i="5" s="1"/>
  <c r="F408" i="5"/>
  <c r="E408" i="5" s="1"/>
  <c r="F409" i="5"/>
  <c r="E409" i="5" s="1"/>
  <c r="F410" i="5"/>
  <c r="E410" i="5" s="1"/>
  <c r="F411" i="5"/>
  <c r="E411" i="5" s="1"/>
  <c r="F412" i="5"/>
  <c r="E412" i="5" s="1"/>
  <c r="F413" i="5"/>
  <c r="E413" i="5" s="1"/>
  <c r="F414" i="5"/>
  <c r="E414" i="5" s="1"/>
  <c r="F415" i="5"/>
  <c r="E415" i="5" s="1"/>
  <c r="F451" i="5"/>
  <c r="E451" i="5" s="1"/>
  <c r="F452" i="5"/>
  <c r="E452" i="5" s="1"/>
  <c r="F453" i="5"/>
  <c r="E453" i="5" s="1"/>
  <c r="F454" i="5"/>
  <c r="E454" i="5" s="1"/>
  <c r="F455" i="5"/>
  <c r="E455" i="5" s="1"/>
  <c r="F456" i="5"/>
  <c r="E456" i="5" s="1"/>
  <c r="F466" i="5"/>
  <c r="E466" i="5" s="1"/>
  <c r="F467" i="5"/>
  <c r="E467" i="5" s="1"/>
  <c r="F468" i="5"/>
  <c r="E468" i="5" s="1"/>
  <c r="F469" i="5"/>
  <c r="E469" i="5" s="1"/>
  <c r="F470" i="5"/>
  <c r="E470" i="5" s="1"/>
  <c r="F471" i="5"/>
  <c r="E471" i="5" s="1"/>
  <c r="F472" i="5"/>
  <c r="E472" i="5" s="1"/>
  <c r="F473" i="5"/>
  <c r="E473" i="5" s="1"/>
  <c r="F474" i="5"/>
  <c r="E474" i="5" s="1"/>
  <c r="F485" i="5"/>
  <c r="E485" i="5" s="1"/>
  <c r="F486" i="5"/>
  <c r="E486" i="5" s="1"/>
  <c r="F487" i="5"/>
  <c r="E487" i="5" s="1"/>
  <c r="F488" i="5"/>
  <c r="E488" i="5" s="1"/>
  <c r="F489" i="5"/>
  <c r="E489" i="5" s="1"/>
  <c r="F490" i="5"/>
  <c r="E490" i="5" s="1"/>
  <c r="F491" i="5"/>
  <c r="E491" i="5" s="1"/>
  <c r="F492" i="5"/>
  <c r="E492" i="5" s="1"/>
  <c r="F493" i="5"/>
  <c r="E493" i="5" s="1"/>
  <c r="F494" i="5"/>
  <c r="E494" i="5" s="1"/>
  <c r="F495" i="5"/>
  <c r="E495" i="5" s="1"/>
  <c r="F496" i="5"/>
  <c r="E496" i="5" s="1"/>
  <c r="F497" i="5"/>
  <c r="E497" i="5" s="1"/>
  <c r="F498" i="5"/>
  <c r="E498" i="5" s="1"/>
  <c r="F499" i="5"/>
  <c r="E499" i="5" s="1"/>
  <c r="F500" i="5"/>
  <c r="E500" i="5" s="1"/>
  <c r="F501" i="5"/>
  <c r="E501" i="5" s="1"/>
  <c r="F502" i="5"/>
  <c r="E502" i="5" s="1"/>
  <c r="F503" i="5"/>
  <c r="E503" i="5" s="1"/>
  <c r="F504" i="5"/>
  <c r="E504" i="5" s="1"/>
  <c r="F505" i="5"/>
  <c r="E505" i="5" s="1"/>
  <c r="F506" i="5"/>
  <c r="E506" i="5" s="1"/>
  <c r="F507" i="5"/>
  <c r="E507" i="5" s="1"/>
  <c r="F508" i="5"/>
  <c r="E508" i="5" s="1"/>
  <c r="F509" i="5"/>
  <c r="E509" i="5" s="1"/>
  <c r="F510" i="5"/>
  <c r="E510" i="5" s="1"/>
  <c r="F511" i="5"/>
  <c r="E511" i="5" s="1"/>
  <c r="F512" i="5"/>
  <c r="E512" i="5" s="1"/>
  <c r="F513" i="5"/>
  <c r="E513" i="5" s="1"/>
  <c r="F514" i="5"/>
  <c r="E514" i="5" s="1"/>
  <c r="F515" i="5"/>
  <c r="E515" i="5" s="1"/>
  <c r="F516" i="5"/>
  <c r="E516" i="5" s="1"/>
  <c r="F517" i="5"/>
  <c r="E517" i="5" s="1"/>
  <c r="F518" i="5"/>
  <c r="E518" i="5" s="1"/>
  <c r="F519" i="5"/>
  <c r="E519" i="5" s="1"/>
  <c r="F520" i="5"/>
  <c r="E520" i="5" s="1"/>
  <c r="F521" i="5"/>
  <c r="E521" i="5" s="1"/>
  <c r="F522" i="5"/>
  <c r="E522" i="5" s="1"/>
  <c r="F523" i="5"/>
  <c r="E523" i="5" s="1"/>
  <c r="F572" i="5"/>
  <c r="E572" i="5" s="1"/>
  <c r="F573" i="5"/>
  <c r="E573" i="5" s="1"/>
  <c r="F545" i="5"/>
  <c r="E545" i="5" s="1"/>
  <c r="F546" i="5"/>
  <c r="E546" i="5" s="1"/>
  <c r="F547" i="5"/>
  <c r="E547" i="5" s="1"/>
  <c r="F548" i="5"/>
  <c r="E548" i="5" s="1"/>
  <c r="F549" i="5"/>
  <c r="E549" i="5" s="1"/>
  <c r="F550" i="5"/>
  <c r="E550" i="5" s="1"/>
  <c r="F551" i="5"/>
  <c r="E551" i="5" s="1"/>
  <c r="F552" i="5"/>
  <c r="E552" i="5" s="1"/>
  <c r="F553" i="5"/>
  <c r="E553" i="5" s="1"/>
  <c r="F554" i="5"/>
  <c r="E554" i="5" s="1"/>
  <c r="F555" i="5"/>
  <c r="E555" i="5" s="1"/>
  <c r="F556" i="5"/>
  <c r="E556" i="5" s="1"/>
  <c r="F557" i="5"/>
  <c r="E557" i="5" s="1"/>
  <c r="F558" i="5"/>
  <c r="E558" i="5" s="1"/>
  <c r="F559" i="5"/>
  <c r="E559" i="5" s="1"/>
  <c r="F560" i="5"/>
  <c r="E560" i="5" s="1"/>
  <c r="F561" i="5"/>
  <c r="E561" i="5" s="1"/>
  <c r="F562" i="5"/>
  <c r="E562" i="5" s="1"/>
  <c r="F563" i="5"/>
  <c r="E563" i="5" s="1"/>
  <c r="F564" i="5"/>
  <c r="E564" i="5" s="1"/>
  <c r="F565" i="5"/>
  <c r="E565" i="5" s="1"/>
  <c r="F566" i="5"/>
  <c r="E566" i="5" s="1"/>
  <c r="F567" i="5"/>
  <c r="E567" i="5" s="1"/>
  <c r="F568" i="5"/>
  <c r="E568" i="5" s="1"/>
  <c r="F569" i="5"/>
  <c r="E569" i="5" s="1"/>
  <c r="F570" i="5"/>
  <c r="E570" i="5" s="1"/>
  <c r="F580" i="5"/>
  <c r="E580" i="5" s="1"/>
  <c r="F591" i="5"/>
  <c r="E591" i="5" s="1"/>
  <c r="F574" i="5"/>
  <c r="E574" i="5" s="1"/>
  <c r="F575" i="5"/>
  <c r="E575" i="5" s="1"/>
  <c r="F577" i="5"/>
  <c r="E577" i="5" s="1"/>
  <c r="F578" i="5"/>
  <c r="E578" i="5" s="1"/>
  <c r="F579" i="5"/>
  <c r="E579" i="5" s="1"/>
  <c r="F583" i="5"/>
  <c r="E583" i="5" s="1"/>
  <c r="F576" i="5"/>
  <c r="E576" i="5" s="1"/>
  <c r="F584" i="5"/>
  <c r="E584" i="5" s="1"/>
  <c r="F585" i="5"/>
  <c r="E585" i="5" s="1"/>
  <c r="F586" i="5"/>
  <c r="E586" i="5" s="1"/>
  <c r="F642" i="5"/>
  <c r="E642" i="5" s="1"/>
  <c r="F581" i="5"/>
  <c r="E581" i="5" s="1"/>
  <c r="F571" i="5"/>
  <c r="E571" i="5" s="1"/>
  <c r="F587" i="5"/>
  <c r="E587" i="5" s="1"/>
  <c r="F588" i="5"/>
  <c r="E588" i="5" s="1"/>
  <c r="F589" i="5"/>
  <c r="E589" i="5" s="1"/>
  <c r="F590" i="5"/>
  <c r="E590" i="5" s="1"/>
  <c r="F592" i="5"/>
  <c r="E592" i="5" s="1"/>
  <c r="F594" i="5"/>
  <c r="E594" i="5" s="1"/>
  <c r="F595" i="5"/>
  <c r="E595" i="5" s="1"/>
  <c r="F596" i="5"/>
  <c r="E596" i="5" s="1"/>
  <c r="F597" i="5"/>
  <c r="E597" i="5" s="1"/>
  <c r="F648" i="5"/>
  <c r="E648" i="5" s="1"/>
  <c r="F598" i="5"/>
  <c r="E598" i="5" s="1"/>
  <c r="F593" i="5"/>
  <c r="E593" i="5" s="1"/>
  <c r="F650" i="5"/>
  <c r="E650" i="5" s="1"/>
  <c r="F651" i="5"/>
  <c r="E651" i="5" s="1"/>
  <c r="F649" i="5"/>
  <c r="E649" i="5" s="1"/>
  <c r="F652" i="5"/>
  <c r="E652" i="5" s="1"/>
  <c r="F653" i="5"/>
  <c r="E653" i="5" s="1"/>
  <c r="F654" i="5"/>
  <c r="E654" i="5" s="1"/>
  <c r="F655" i="5"/>
  <c r="E655" i="5" s="1"/>
  <c r="F656" i="5"/>
  <c r="E656" i="5" s="1"/>
  <c r="F657" i="5"/>
  <c r="E657" i="5" s="1"/>
  <c r="F658" i="5"/>
  <c r="E658" i="5" s="1"/>
  <c r="F659" i="5"/>
  <c r="E659" i="5" s="1"/>
  <c r="F660" i="5"/>
  <c r="E660" i="5" s="1"/>
  <c r="F661" i="5"/>
  <c r="E661" i="5" s="1"/>
  <c r="F662" i="5"/>
  <c r="E662" i="5" s="1"/>
  <c r="F663" i="5"/>
  <c r="E663" i="5" s="1"/>
  <c r="F664" i="5"/>
  <c r="E664" i="5" s="1"/>
  <c r="F665" i="5"/>
  <c r="E665" i="5" s="1"/>
  <c r="F666" i="5"/>
  <c r="E666" i="5" s="1"/>
  <c r="F667" i="5"/>
  <c r="E667" i="5" s="1"/>
  <c r="F668" i="5"/>
  <c r="E668" i="5" s="1"/>
  <c r="F669" i="5"/>
  <c r="E669" i="5" s="1"/>
  <c r="F671" i="5"/>
  <c r="E671" i="5" s="1"/>
  <c r="F672" i="5"/>
  <c r="E672" i="5" s="1"/>
  <c r="F673" i="5"/>
  <c r="E673" i="5" s="1"/>
  <c r="F674" i="5"/>
  <c r="E674" i="5" s="1"/>
  <c r="F675" i="5"/>
  <c r="E675" i="5" s="1"/>
  <c r="F676" i="5"/>
  <c r="E676" i="5" s="1"/>
  <c r="F677" i="5"/>
  <c r="E677" i="5" s="1"/>
  <c r="F670" i="5"/>
  <c r="E670" i="5" s="1"/>
  <c r="F678" i="5"/>
  <c r="E678" i="5" s="1"/>
  <c r="F698" i="5"/>
  <c r="E698" i="5" s="1"/>
  <c r="F697" i="5"/>
  <c r="E697" i="5" s="1"/>
  <c r="F699" i="5"/>
  <c r="E699" i="5" s="1"/>
  <c r="F700" i="5"/>
  <c r="E700" i="5" s="1"/>
  <c r="F701" i="5"/>
  <c r="E701" i="5" s="1"/>
  <c r="F702" i="5"/>
  <c r="E702" i="5" s="1"/>
  <c r="F703" i="5"/>
  <c r="E703" i="5" s="1"/>
  <c r="F704" i="5"/>
  <c r="E704" i="5" s="1"/>
  <c r="F705" i="5"/>
  <c r="E705" i="5" s="1"/>
  <c r="F706" i="5"/>
  <c r="E706" i="5" s="1"/>
  <c r="F707" i="5"/>
  <c r="E707" i="5" s="1"/>
  <c r="F708" i="5"/>
  <c r="E708" i="5" s="1"/>
  <c r="F740" i="5"/>
  <c r="E740" i="5" s="1"/>
  <c r="F741" i="5"/>
  <c r="E741" i="5" s="1"/>
  <c r="F742" i="5"/>
  <c r="E742" i="5" s="1"/>
  <c r="F743" i="5"/>
  <c r="E743" i="5" s="1"/>
  <c r="F744" i="5"/>
  <c r="E744" i="5" s="1"/>
  <c r="F745" i="5"/>
  <c r="E745" i="5" s="1"/>
  <c r="F746" i="5"/>
  <c r="E746" i="5" s="1"/>
  <c r="F747" i="5"/>
  <c r="E747" i="5" s="1"/>
  <c r="F748" i="5"/>
  <c r="E748" i="5" s="1"/>
  <c r="F749" i="5"/>
  <c r="E749" i="5" s="1"/>
  <c r="F750" i="5"/>
  <c r="E750" i="5" s="1"/>
  <c r="F751" i="5"/>
  <c r="E751" i="5" s="1"/>
  <c r="F752" i="5"/>
  <c r="E752" i="5" s="1"/>
  <c r="F753" i="5"/>
  <c r="E753" i="5" s="1"/>
  <c r="F783" i="5"/>
  <c r="E783" i="5" s="1"/>
  <c r="F784" i="5"/>
  <c r="E784" i="5" s="1"/>
  <c r="F785" i="5"/>
  <c r="E785" i="5" s="1"/>
  <c r="F786" i="5"/>
  <c r="E786" i="5" s="1"/>
  <c r="F787" i="5"/>
  <c r="E787" i="5" s="1"/>
  <c r="F827" i="5"/>
  <c r="E827" i="5" s="1"/>
  <c r="F799" i="5"/>
  <c r="E799" i="5" s="1"/>
  <c r="F788" i="5"/>
  <c r="E788" i="5" s="1"/>
  <c r="F800" i="5"/>
  <c r="E800" i="5" s="1"/>
  <c r="F801" i="5"/>
  <c r="E801" i="5" s="1"/>
  <c r="F824" i="5"/>
  <c r="E824" i="5" s="1"/>
  <c r="F825" i="5"/>
  <c r="E825" i="5" s="1"/>
  <c r="F826" i="5"/>
  <c r="E826" i="5" s="1"/>
  <c r="F802" i="5"/>
  <c r="E802" i="5" s="1"/>
  <c r="F803" i="5"/>
  <c r="E803" i="5" s="1"/>
  <c r="F804" i="5"/>
  <c r="E804" i="5" s="1"/>
  <c r="F805" i="5"/>
  <c r="E805" i="5" s="1"/>
  <c r="F806" i="5"/>
  <c r="E806" i="5" s="1"/>
  <c r="F807" i="5"/>
  <c r="E807" i="5" s="1"/>
  <c r="F808" i="5"/>
  <c r="E808" i="5" s="1"/>
  <c r="F809" i="5"/>
  <c r="E809" i="5" s="1"/>
  <c r="F810" i="5"/>
  <c r="E810" i="5" s="1"/>
  <c r="F811" i="5"/>
  <c r="E811" i="5" s="1"/>
  <c r="F812" i="5"/>
  <c r="E812" i="5" s="1"/>
  <c r="F813" i="5"/>
  <c r="E813" i="5" s="1"/>
  <c r="F814" i="5"/>
  <c r="E814" i="5" s="1"/>
  <c r="F828" i="5"/>
  <c r="E828" i="5" s="1"/>
  <c r="F829" i="5"/>
  <c r="E829" i="5" s="1"/>
  <c r="F830" i="5"/>
  <c r="E830" i="5" s="1"/>
  <c r="F831" i="5"/>
  <c r="E831" i="5" s="1"/>
  <c r="F832" i="5"/>
  <c r="E832" i="5" s="1"/>
  <c r="F833" i="5"/>
  <c r="E833" i="5" s="1"/>
  <c r="F834" i="5"/>
  <c r="E834" i="5" s="1"/>
  <c r="F835" i="5"/>
  <c r="E835" i="5" s="1"/>
  <c r="F836" i="5"/>
  <c r="E836" i="5" s="1"/>
  <c r="F837" i="5"/>
  <c r="E837" i="5" s="1"/>
  <c r="F838" i="5"/>
  <c r="E838" i="5" s="1"/>
  <c r="F839" i="5"/>
  <c r="E839" i="5" s="1"/>
  <c r="F840" i="5"/>
  <c r="E840" i="5" s="1"/>
  <c r="F841" i="5"/>
  <c r="E841" i="5" s="1"/>
  <c r="F842" i="5"/>
  <c r="E842" i="5" s="1"/>
  <c r="F843" i="5"/>
  <c r="E843" i="5" s="1"/>
  <c r="F844" i="5"/>
  <c r="E844" i="5" s="1"/>
  <c r="F845" i="5"/>
  <c r="E845" i="5" s="1"/>
  <c r="F846" i="5"/>
  <c r="E846" i="5" s="1"/>
  <c r="F847" i="5"/>
  <c r="E847" i="5" s="1"/>
  <c r="F848" i="5"/>
  <c r="E848" i="5" s="1"/>
  <c r="F849" i="5"/>
  <c r="E849" i="5" s="1"/>
  <c r="F887" i="5"/>
  <c r="E887" i="5" s="1"/>
  <c r="F886" i="5"/>
  <c r="E886" i="5" s="1"/>
  <c r="F888" i="5"/>
  <c r="E888" i="5" s="1"/>
  <c r="F889" i="5"/>
  <c r="E889" i="5" s="1"/>
  <c r="F890" i="5"/>
  <c r="E890" i="5" s="1"/>
  <c r="F891" i="5"/>
  <c r="E891" i="5" s="1"/>
  <c r="F892" i="5"/>
  <c r="E892" i="5" s="1"/>
  <c r="F893" i="5"/>
  <c r="E893" i="5" s="1"/>
  <c r="F894" i="5"/>
  <c r="E894" i="5" s="1"/>
  <c r="F895" i="5"/>
  <c r="E895" i="5" s="1"/>
  <c r="F896" i="5"/>
  <c r="E896" i="5" s="1"/>
  <c r="F921" i="5"/>
  <c r="E921" i="5" s="1"/>
  <c r="F922" i="5"/>
  <c r="E922" i="5" s="1"/>
  <c r="F923" i="5"/>
  <c r="E923" i="5" s="1"/>
  <c r="F924" i="5"/>
  <c r="E924" i="5" s="1"/>
  <c r="F925" i="5"/>
  <c r="E925" i="5" s="1"/>
  <c r="F926" i="5"/>
  <c r="E926" i="5" s="1"/>
  <c r="F927" i="5"/>
  <c r="E927" i="5" s="1"/>
  <c r="F928" i="5"/>
  <c r="E928" i="5" s="1"/>
  <c r="F929" i="5"/>
  <c r="E929" i="5" s="1"/>
  <c r="F930" i="5"/>
  <c r="E930" i="5" s="1"/>
  <c r="F931" i="5"/>
  <c r="E931" i="5" s="1"/>
  <c r="F932" i="5"/>
  <c r="E932" i="5" s="1"/>
  <c r="F963" i="5"/>
  <c r="E963" i="5" s="1"/>
  <c r="F964" i="5"/>
  <c r="E964" i="5" s="1"/>
  <c r="F965" i="5"/>
  <c r="E965" i="5" s="1"/>
  <c r="F966" i="5"/>
  <c r="E966" i="5" s="1"/>
  <c r="F967" i="5"/>
  <c r="E967" i="5" s="1"/>
  <c r="F968" i="5"/>
  <c r="E968" i="5" s="1"/>
  <c r="F969" i="5"/>
  <c r="E969" i="5" s="1"/>
  <c r="F970" i="5"/>
  <c r="E970" i="5" s="1"/>
  <c r="F971" i="5"/>
  <c r="E971" i="5" s="1"/>
  <c r="F972" i="5"/>
  <c r="E972" i="5" s="1"/>
  <c r="F973" i="5"/>
  <c r="E973" i="5" s="1"/>
  <c r="F974" i="5"/>
  <c r="E974" i="5" s="1"/>
  <c r="F975" i="5"/>
  <c r="E975" i="5" s="1"/>
  <c r="F976" i="5"/>
  <c r="E976" i="5" s="1"/>
  <c r="F977" i="5"/>
  <c r="E977" i="5" s="1"/>
  <c r="F978" i="5"/>
  <c r="E978" i="5" s="1"/>
  <c r="F979" i="5"/>
  <c r="E979" i="5" s="1"/>
  <c r="F980" i="5"/>
  <c r="E980" i="5" s="1"/>
  <c r="F1018" i="5"/>
  <c r="E1018" i="5" s="1"/>
  <c r="F1019" i="5"/>
  <c r="E1019" i="5" s="1"/>
  <c r="F1020" i="5"/>
  <c r="E1020" i="5" s="1"/>
  <c r="F1021" i="5"/>
  <c r="E1021" i="5" s="1"/>
  <c r="F1022" i="5"/>
  <c r="E1022" i="5" s="1"/>
  <c r="F1096" i="5"/>
  <c r="E1096" i="5" s="1"/>
  <c r="F1023" i="5"/>
  <c r="E1023" i="5" s="1"/>
  <c r="F1024" i="5"/>
  <c r="E1024" i="5" s="1"/>
  <c r="F1097" i="5"/>
  <c r="E1097" i="5" s="1"/>
  <c r="F1098" i="5"/>
  <c r="E1098" i="5" s="1"/>
  <c r="F1142" i="5"/>
  <c r="E1142" i="5" s="1"/>
  <c r="F1113" i="5"/>
  <c r="E1113" i="5" s="1"/>
  <c r="F1114" i="5"/>
  <c r="E1114" i="5" s="1"/>
  <c r="F1115" i="5"/>
  <c r="E1115" i="5" s="1"/>
  <c r="F1116" i="5"/>
  <c r="E1116" i="5" s="1"/>
  <c r="F1117" i="5"/>
  <c r="E1117" i="5" s="1"/>
  <c r="F1144" i="5"/>
  <c r="E1144" i="5" s="1"/>
  <c r="F1145" i="5"/>
  <c r="E1145" i="5" s="1"/>
  <c r="F1146" i="5"/>
  <c r="E1146" i="5" s="1"/>
  <c r="F1147" i="5"/>
  <c r="E1147" i="5" s="1"/>
  <c r="F1148" i="5"/>
  <c r="E1148" i="5" s="1"/>
  <c r="F1190" i="5"/>
  <c r="E1190" i="5" s="1"/>
  <c r="F1149" i="5"/>
  <c r="E1149" i="5" s="1"/>
  <c r="F1150" i="5"/>
  <c r="E1150" i="5" s="1"/>
  <c r="F1151" i="5"/>
  <c r="E1151" i="5" s="1"/>
  <c r="F1152" i="5"/>
  <c r="E1152" i="5" s="1"/>
  <c r="F1153" i="5"/>
  <c r="E1153" i="5" s="1"/>
  <c r="F1191" i="5"/>
  <c r="E1191" i="5" s="1"/>
  <c r="F1154" i="5"/>
  <c r="E1154" i="5" s="1"/>
  <c r="F1199" i="5"/>
  <c r="E1199" i="5" s="1"/>
  <c r="F1198" i="5"/>
  <c r="E1198" i="5" s="1"/>
  <c r="F1200" i="5"/>
  <c r="E1200" i="5" s="1"/>
  <c r="F1201" i="5"/>
  <c r="E1201" i="5" s="1"/>
  <c r="F1202" i="5"/>
  <c r="E1202" i="5" s="1"/>
  <c r="F1203" i="5"/>
  <c r="E1203" i="5" s="1"/>
  <c r="F1204" i="5"/>
  <c r="E1204" i="5" s="1"/>
  <c r="F1205" i="5"/>
  <c r="E1205" i="5" s="1"/>
  <c r="F1206" i="5"/>
  <c r="E1206" i="5" s="1"/>
  <c r="F1207" i="5"/>
  <c r="E1207" i="5" s="1"/>
  <c r="F1208" i="5"/>
  <c r="E1208" i="5" s="1"/>
  <c r="F1209" i="5"/>
  <c r="E1209" i="5" s="1"/>
  <c r="F1240" i="5"/>
  <c r="E1240" i="5" s="1"/>
  <c r="F1241" i="5"/>
  <c r="E1241" i="5" s="1"/>
  <c r="F1242" i="5"/>
  <c r="E1242" i="5" s="1"/>
  <c r="F1243" i="5"/>
  <c r="E1243" i="5" s="1"/>
  <c r="F1244" i="5"/>
  <c r="E1244" i="5" s="1"/>
  <c r="F1245" i="5"/>
  <c r="E1245" i="5" s="1"/>
  <c r="F1246" i="5"/>
  <c r="E1246" i="5" s="1"/>
  <c r="F1247" i="5"/>
  <c r="E1247" i="5" s="1"/>
  <c r="F1248" i="5"/>
  <c r="E1248" i="5" s="1"/>
  <c r="F1249" i="5"/>
  <c r="E1249" i="5" s="1"/>
  <c r="F1298" i="5"/>
  <c r="E1298" i="5" s="1"/>
  <c r="F1299" i="5"/>
  <c r="E1299" i="5" s="1"/>
  <c r="F1296" i="5"/>
  <c r="E1296" i="5" s="1"/>
  <c r="F1300" i="5"/>
  <c r="E1300" i="5" s="1"/>
  <c r="F1301" i="5"/>
  <c r="E1301" i="5" s="1"/>
  <c r="F1302" i="5"/>
  <c r="E1302" i="5" s="1"/>
  <c r="F1303" i="5"/>
  <c r="E1303" i="5" s="1"/>
  <c r="F1304" i="5"/>
  <c r="E1304" i="5" s="1"/>
  <c r="F1305" i="5"/>
  <c r="E1305" i="5" s="1"/>
  <c r="F1306" i="5"/>
  <c r="E1306" i="5" s="1"/>
  <c r="F1307" i="5"/>
  <c r="E1307" i="5" s="1"/>
  <c r="F1308" i="5"/>
  <c r="E1308" i="5" s="1"/>
  <c r="F1309" i="5"/>
  <c r="E1309" i="5" s="1"/>
  <c r="F1336" i="5"/>
  <c r="E1336" i="5" s="1"/>
  <c r="F1310" i="5"/>
  <c r="E1310" i="5" s="1"/>
  <c r="F1337" i="5"/>
  <c r="E1337" i="5" s="1"/>
  <c r="F1311" i="5"/>
  <c r="E1311" i="5" s="1"/>
  <c r="F1345" i="5"/>
  <c r="E1345" i="5" s="1"/>
  <c r="F1346" i="5"/>
  <c r="E1346" i="5" s="1"/>
  <c r="F1347" i="5"/>
  <c r="E1347" i="5" s="1"/>
  <c r="F1348" i="5"/>
  <c r="E1348" i="5" s="1"/>
  <c r="F1349" i="5"/>
  <c r="E1349" i="5" s="1"/>
  <c r="F1350" i="5"/>
  <c r="E1350" i="5" s="1"/>
  <c r="F1351" i="5"/>
  <c r="E1351" i="5" s="1"/>
  <c r="F1352" i="5"/>
  <c r="E1352" i="5" s="1"/>
  <c r="F1343" i="5"/>
  <c r="E1343" i="5" s="1"/>
  <c r="F1344" i="5"/>
  <c r="E1344" i="5" s="1"/>
  <c r="F1353" i="5"/>
  <c r="E1353" i="5" s="1"/>
  <c r="F1354" i="5"/>
  <c r="E1354" i="5" s="1"/>
  <c r="F1355" i="5"/>
  <c r="E1355" i="5" s="1"/>
  <c r="F1396" i="5"/>
  <c r="E1396" i="5" s="1"/>
  <c r="E1680" i="5"/>
  <c r="F1415" i="5"/>
  <c r="E1415" i="5" s="1"/>
  <c r="F1416" i="5"/>
  <c r="E1416" i="5" s="1"/>
  <c r="F1430" i="5"/>
  <c r="E1430" i="5" s="1"/>
  <c r="F1431" i="5"/>
  <c r="E1431" i="5" s="1"/>
  <c r="F1432" i="5"/>
  <c r="E1432" i="5" s="1"/>
  <c r="F1433" i="5"/>
  <c r="E1433" i="5" s="1"/>
  <c r="F1434" i="5"/>
  <c r="E1434" i="5" s="1"/>
  <c r="F1435" i="5"/>
  <c r="E1435" i="5" s="1"/>
  <c r="F1436" i="5"/>
  <c r="E1436" i="5" s="1"/>
  <c r="F1437" i="5"/>
  <c r="E1437" i="5" s="1"/>
  <c r="F1438" i="5"/>
  <c r="E1438" i="5" s="1"/>
  <c r="F1439" i="5"/>
  <c r="E1439" i="5" s="1"/>
  <c r="F1440" i="5"/>
  <c r="E1440" i="5" s="1"/>
  <c r="F1441" i="5"/>
  <c r="E1441" i="5" s="1"/>
  <c r="F1442" i="5"/>
  <c r="E1442" i="5" s="1"/>
  <c r="F1443" i="5"/>
  <c r="E1443" i="5" s="1"/>
  <c r="F1444" i="5"/>
  <c r="E1444" i="5" s="1"/>
  <c r="F1481" i="5"/>
  <c r="E1481" i="5" s="1"/>
  <c r="F1479" i="5"/>
  <c r="E1479" i="5" s="1"/>
  <c r="F1480" i="5"/>
  <c r="E1480" i="5" s="1"/>
  <c r="F1483" i="5"/>
  <c r="E1483" i="5" s="1"/>
  <c r="E1660" i="5"/>
  <c r="F1482" i="5"/>
  <c r="E1482" i="5" s="1"/>
  <c r="F1542" i="5"/>
  <c r="E1542" i="5" s="1"/>
  <c r="F1484" i="5"/>
  <c r="E1484" i="5" s="1"/>
  <c r="F1485" i="5"/>
  <c r="E1485" i="5" s="1"/>
  <c r="F1486" i="5"/>
  <c r="E1486" i="5" s="1"/>
  <c r="F1487" i="5"/>
  <c r="E1487" i="5" s="1"/>
  <c r="F1490" i="5"/>
  <c r="E1490" i="5" s="1"/>
  <c r="F1488" i="5"/>
  <c r="E1488" i="5" s="1"/>
  <c r="F1489" i="5"/>
  <c r="E1489" i="5" s="1"/>
  <c r="F1543" i="5"/>
  <c r="E1543" i="5" s="1"/>
  <c r="F1492" i="5"/>
  <c r="E1492" i="5" s="1"/>
  <c r="F1493" i="5"/>
  <c r="E1493" i="5" s="1"/>
  <c r="F1494" i="5"/>
  <c r="E1494" i="5" s="1"/>
  <c r="F1495" i="5"/>
  <c r="E1495" i="5" s="1"/>
  <c r="F1496" i="5"/>
  <c r="E1496" i="5" s="1"/>
  <c r="F1497" i="5"/>
  <c r="E1497" i="5" s="1"/>
  <c r="F1544" i="5"/>
  <c r="E1544" i="5" s="1"/>
  <c r="F1545" i="5"/>
  <c r="E1545" i="5" s="1"/>
  <c r="F1546" i="5"/>
  <c r="E1546" i="5" s="1"/>
  <c r="F1547" i="5"/>
  <c r="E1547" i="5" s="1"/>
  <c r="F1548" i="5"/>
  <c r="E1548" i="5" s="1"/>
  <c r="F1549" i="5"/>
  <c r="E1549" i="5" s="1"/>
  <c r="F1550" i="5"/>
  <c r="E1550" i="5" s="1"/>
  <c r="F1582" i="5"/>
  <c r="E1582" i="5" s="1"/>
  <c r="F1583" i="5"/>
  <c r="E1583" i="5" s="1"/>
  <c r="F1584" i="5"/>
  <c r="E1584" i="5" s="1"/>
  <c r="F1585" i="5"/>
  <c r="E1585" i="5" s="1"/>
  <c r="F1586" i="5"/>
  <c r="E1586" i="5" s="1"/>
  <c r="F1587" i="5"/>
  <c r="E1587" i="5" s="1"/>
  <c r="F1588" i="5"/>
  <c r="E1588" i="5" s="1"/>
  <c r="F1589" i="5"/>
  <c r="E1589" i="5" s="1"/>
  <c r="F1590" i="5"/>
  <c r="E1590" i="5" s="1"/>
  <c r="F1591" i="5"/>
  <c r="E1591" i="5" s="1"/>
  <c r="F1618" i="5"/>
  <c r="E1618" i="5" s="1"/>
  <c r="F1620" i="5"/>
  <c r="E1620" i="5" s="1"/>
  <c r="F1621" i="5"/>
  <c r="E1621" i="5" s="1"/>
  <c r="F1622" i="5"/>
  <c r="E1622" i="5" s="1"/>
  <c r="F1623" i="5"/>
  <c r="E1623" i="5" s="1"/>
  <c r="F1619" i="5"/>
  <c r="E1619" i="5" s="1"/>
  <c r="E1657" i="5"/>
  <c r="E1661" i="5"/>
  <c r="E1662" i="5"/>
  <c r="E1676" i="5"/>
  <c r="E1677" i="5"/>
  <c r="E1663" i="5"/>
  <c r="E1678" i="5"/>
  <c r="E1664" i="5"/>
  <c r="E1682" i="5"/>
  <c r="E1679" i="5"/>
  <c r="E1722" i="5"/>
  <c r="E1683" i="5"/>
  <c r="E1723" i="5"/>
  <c r="E1724" i="5"/>
  <c r="E1681" i="5"/>
  <c r="E1684" i="5"/>
  <c r="E1685" i="5"/>
  <c r="E1686" i="5"/>
  <c r="E1725" i="5"/>
  <c r="E1687" i="5"/>
  <c r="E1726" i="5"/>
  <c r="E1688" i="5"/>
  <c r="E1728" i="5"/>
  <c r="E1729" i="5"/>
  <c r="E1730" i="5"/>
  <c r="E1790" i="5"/>
  <c r="E1731" i="5"/>
  <c r="E1732" i="5"/>
  <c r="E1733" i="5"/>
  <c r="E1734" i="5"/>
  <c r="E1735" i="5"/>
  <c r="E1736" i="5"/>
  <c r="E1737" i="5"/>
  <c r="E1738" i="5"/>
  <c r="E1739" i="5"/>
  <c r="E1740" i="5"/>
  <c r="E1741" i="5"/>
  <c r="E1742" i="5"/>
  <c r="E1743" i="5"/>
  <c r="E1744" i="5"/>
  <c r="E1791" i="5"/>
  <c r="E1792" i="5"/>
  <c r="E1793" i="5"/>
  <c r="E1794" i="5"/>
  <c r="E1795" i="5"/>
  <c r="E1796" i="5"/>
  <c r="E1797" i="5"/>
  <c r="E1798" i="5"/>
  <c r="E1799" i="5"/>
  <c r="E1800" i="5"/>
  <c r="E1801" i="5"/>
  <c r="E1828" i="5"/>
  <c r="E1829" i="5"/>
  <c r="E1830" i="5"/>
  <c r="E1831" i="5"/>
  <c r="E1832" i="5"/>
  <c r="E1833" i="5"/>
  <c r="E1834" i="5"/>
  <c r="E1835" i="5"/>
  <c r="E1836" i="5"/>
  <c r="E1837" i="5"/>
  <c r="E1838" i="5"/>
  <c r="E1862" i="5"/>
  <c r="E1863" i="5"/>
  <c r="E1864" i="5"/>
  <c r="E1865" i="5"/>
  <c r="E1866" i="5"/>
  <c r="E1867" i="5"/>
  <c r="E1868" i="5"/>
  <c r="E1869" i="5"/>
  <c r="E1870" i="5"/>
  <c r="E1871" i="5"/>
  <c r="E1872" i="5"/>
  <c r="E1873" i="5"/>
  <c r="E1874" i="5"/>
  <c r="E1875" i="5"/>
  <c r="E1876" i="5"/>
  <c r="E1877" i="5"/>
  <c r="E1892" i="5"/>
  <c r="E1893" i="5"/>
  <c r="E1894" i="5"/>
  <c r="E1895" i="5"/>
  <c r="E1896" i="5"/>
  <c r="E1898" i="5"/>
  <c r="E1899" i="5"/>
  <c r="E1900" i="5"/>
  <c r="E1902" i="5"/>
  <c r="E1903" i="5"/>
  <c r="E1904" i="5"/>
  <c r="E1905" i="5"/>
  <c r="E1906" i="5"/>
  <c r="E1907" i="5"/>
  <c r="E1908" i="5"/>
  <c r="E1909" i="5"/>
  <c r="E1910" i="5"/>
  <c r="E1911" i="5"/>
  <c r="E1912" i="5"/>
  <c r="F1394" i="5"/>
  <c r="E1394" i="5" s="1"/>
  <c r="E1901" i="5"/>
  <c r="C5" i="1" a="1"/>
  <c r="C5" i="1" s="1"/>
  <c r="F1250" i="5"/>
  <c r="E1250" i="5" s="1"/>
  <c r="F1491" i="5"/>
  <c r="E1491" i="5" s="1"/>
  <c r="F582" i="5"/>
  <c r="E582" i="5" s="1"/>
  <c r="I68" i="4"/>
  <c r="I63" i="4"/>
  <c r="I56" i="4"/>
  <c r="I57" i="4"/>
  <c r="I22" i="4"/>
  <c r="I65" i="4"/>
  <c r="I44" i="4"/>
  <c r="I45" i="4"/>
  <c r="I47" i="4"/>
  <c r="I46" i="4"/>
  <c r="I58" i="4"/>
  <c r="I20" i="4"/>
  <c r="I59" i="4"/>
  <c r="I28" i="4"/>
  <c r="I8" i="4"/>
  <c r="I111" i="4"/>
  <c r="I87" i="4"/>
  <c r="I75" i="4"/>
  <c r="I49" i="4"/>
  <c r="I72" i="4"/>
  <c r="I10" i="4"/>
  <c r="I83" i="4"/>
  <c r="I12" i="4"/>
  <c r="I98" i="4"/>
  <c r="I48" i="4"/>
  <c r="I16" i="4"/>
  <c r="I101" i="4"/>
  <c r="I61" i="4"/>
  <c r="I84" i="4"/>
  <c r="I23" i="4"/>
  <c r="I17" i="4"/>
  <c r="I3" i="4"/>
  <c r="I94" i="4"/>
  <c r="I106" i="4"/>
  <c r="I70" i="4"/>
  <c r="I73" i="4"/>
  <c r="I33" i="4"/>
  <c r="I30" i="4"/>
  <c r="I82" i="4"/>
  <c r="I55" i="4"/>
  <c r="I76" i="4"/>
  <c r="C5" i="3"/>
  <c r="C6" i="3"/>
  <c r="C7" i="3"/>
  <c r="C8" i="3"/>
  <c r="C9" i="3"/>
  <c r="C10" i="3"/>
  <c r="C11" i="3"/>
  <c r="C12" i="3"/>
  <c r="C13" i="3"/>
  <c r="C14" i="3"/>
  <c r="C15" i="3"/>
  <c r="C16" i="3"/>
  <c r="C4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" i="3"/>
  <c r="B1" i="3"/>
  <c r="I21" i="4"/>
  <c r="I71" i="4"/>
  <c r="I13" i="4"/>
  <c r="I38" i="4"/>
  <c r="I67" i="4"/>
  <c r="I42" i="4"/>
  <c r="I86" i="4"/>
  <c r="I85" i="4"/>
  <c r="I80" i="4"/>
  <c r="I79" i="4"/>
  <c r="I107" i="4"/>
  <c r="I34" i="4"/>
  <c r="I89" i="4"/>
  <c r="I78" i="4"/>
  <c r="I32" i="4"/>
  <c r="I62" i="4"/>
  <c r="I64" i="4"/>
  <c r="I29" i="4"/>
  <c r="I26" i="4"/>
  <c r="I2" i="4"/>
  <c r="I95" i="4"/>
  <c r="I4" i="4"/>
  <c r="I112" i="4"/>
  <c r="I27" i="4"/>
  <c r="I105" i="4"/>
  <c r="I40" i="4"/>
  <c r="I52" i="4"/>
  <c r="I104" i="4"/>
  <c r="I24" i="4"/>
  <c r="I96" i="4"/>
  <c r="I14" i="4"/>
  <c r="D5" i="1" l="1" a="1"/>
  <c r="D5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<sst xmlns="http://schemas.openxmlformats.org/spreadsheetml/2006/main" count="14270" uniqueCount="970">
  <si>
    <t>PESQUISAR NOTAS</t>
  </si>
  <si>
    <t>Rateio</t>
  </si>
  <si>
    <t>Nota:</t>
  </si>
  <si>
    <t>Adm/462</t>
  </si>
  <si>
    <t>,</t>
  </si>
  <si>
    <t>Manutenção/406</t>
  </si>
  <si>
    <t>Fornecedor</t>
  </si>
  <si>
    <t>Valor</t>
  </si>
  <si>
    <t>Vencimento</t>
  </si>
  <si>
    <t>Status</t>
  </si>
  <si>
    <t>Operacional/330</t>
  </si>
  <si>
    <t>nota</t>
  </si>
  <si>
    <t>fornecedor</t>
  </si>
  <si>
    <t>valor</t>
  </si>
  <si>
    <t>vencimento</t>
  </si>
  <si>
    <t>status</t>
  </si>
  <si>
    <t>SETBUS</t>
  </si>
  <si>
    <t>NÃO CHEGOU</t>
  </si>
  <si>
    <t>JB COMERCIO</t>
  </si>
  <si>
    <t>ACM LIMP</t>
  </si>
  <si>
    <t>NÃO ENCONTRADO</t>
  </si>
  <si>
    <t>N Nota:</t>
  </si>
  <si>
    <t>Fornecedores</t>
  </si>
  <si>
    <t>Valor:</t>
  </si>
  <si>
    <t>Dt Venc:</t>
  </si>
  <si>
    <t>D/venc</t>
  </si>
  <si>
    <t>Obs</t>
  </si>
  <si>
    <t>Estado</t>
  </si>
  <si>
    <t>ALUGUEL</t>
  </si>
  <si>
    <t>GESTÃO WORKPLACE</t>
  </si>
  <si>
    <t xml:space="preserve"> VERIFICAR </t>
  </si>
  <si>
    <t>GUICHÊ GOIANIA</t>
  </si>
  <si>
    <t>VERIFICAR</t>
  </si>
  <si>
    <t>ABC TURBO COMERCIO</t>
  </si>
  <si>
    <t>AGIS EQUIPE</t>
  </si>
  <si>
    <t>AUTO GERAL COMERCIO</t>
  </si>
  <si>
    <t>CBA AUTOMOTIVE PARTS</t>
  </si>
  <si>
    <t>COMBULUZ COMERCIO</t>
  </si>
  <si>
    <t>CRISPE AUTO PEÇAS</t>
  </si>
  <si>
    <t>DE NIGRIS</t>
  </si>
  <si>
    <t>ICONIC LUBRIFICANTES</t>
  </si>
  <si>
    <t>MARCEVAN FREIOS</t>
  </si>
  <si>
    <t>MAXI PARTS INDUSTRIA</t>
  </si>
  <si>
    <t>MORELATE SUDESTE</t>
  </si>
  <si>
    <t>RACE INDUSTRIA E COMERCIO</t>
  </si>
  <si>
    <t>RADAR RADIADORES</t>
  </si>
  <si>
    <t>RADAR RADIADORES E PEÇAS</t>
  </si>
  <si>
    <t>SETBUS COMERCIO</t>
  </si>
  <si>
    <t>STOP BUS DISTRIBUIDORA</t>
  </si>
  <si>
    <t>COMBULUZ DISTRIBUIDORA</t>
  </si>
  <si>
    <t xml:space="preserve">BEM ESTAR BEBIDAS </t>
  </si>
  <si>
    <t>MALEC DIESEL</t>
  </si>
  <si>
    <t>RENATO BATISTA DE SOUSA</t>
  </si>
  <si>
    <t>AUTO SUECO SÃO PAULO</t>
  </si>
  <si>
    <t>SIRIUS AUTO PARTES</t>
  </si>
  <si>
    <t>LEONE EQUIPAMENTOS</t>
  </si>
  <si>
    <t>GC GUSCAR COMERCIO</t>
  </si>
  <si>
    <t>CARDANS TENCAR</t>
  </si>
  <si>
    <t>CORESTINTAS COMERCIO</t>
  </si>
  <si>
    <t>IPIRANGA PRODUTOS DE PETROLEO SA</t>
  </si>
  <si>
    <t>CETRA CENTRO DE ENGENHARIA</t>
  </si>
  <si>
    <t>E DE OLIVEIRA</t>
  </si>
  <si>
    <t>COMERCIAL RENOVA RECUPERADORA</t>
  </si>
  <si>
    <t>AUTO SUECO</t>
  </si>
  <si>
    <t>BRIDA LUBRIFICANTES</t>
  </si>
  <si>
    <t>COMERCIAL DE NIGRIS</t>
  </si>
  <si>
    <t>GUSCAR COMERCIO</t>
  </si>
  <si>
    <t>RAFAEL MENCARINI ORLANDO</t>
  </si>
  <si>
    <t>ADV</t>
  </si>
  <si>
    <t>SOARES E TERROZO ADV</t>
  </si>
  <si>
    <t>SAMA AUTOPEÇAS</t>
  </si>
  <si>
    <t>VIBRA ENERGIA SA</t>
  </si>
  <si>
    <t>VIDROBUS DISTRIBUIDORA</t>
  </si>
  <si>
    <t>VIDROS RIO</t>
  </si>
  <si>
    <t>RECUPERADORA MENEGATTI</t>
  </si>
  <si>
    <t>AWIN VEICULAÇÃO</t>
  </si>
  <si>
    <t>MARCOPOLO SA</t>
  </si>
  <si>
    <t>REAL ONIBUS</t>
  </si>
  <si>
    <t>FTOOLS COMERCIO</t>
  </si>
  <si>
    <t>PACAEMBU AUTOPEÇAS</t>
  </si>
  <si>
    <t>DE NIGRIS DISTRIBUIDORA</t>
  </si>
  <si>
    <t>BANCO MONEO</t>
  </si>
  <si>
    <t>BANCO CARUANA</t>
  </si>
  <si>
    <t>GEOTECNICA EQUIPAMENTOS</t>
  </si>
  <si>
    <t>MAXI PARTS</t>
  </si>
  <si>
    <t>VEO COMERCIO E RECUPERAÇÃO</t>
  </si>
  <si>
    <t>FENIX COMERCIO</t>
  </si>
  <si>
    <t>MAXI PARTS INDUSTRIA E COMERCIO</t>
  </si>
  <si>
    <t>PROTONS DO BRASIL</t>
  </si>
  <si>
    <t>CODEMA COMERCIAL</t>
  </si>
  <si>
    <t>ATACADO UNIÃO</t>
  </si>
  <si>
    <t>ROMANO PRESTAÇÃO DE SERVIÇOS</t>
  </si>
  <si>
    <t>GARDENS SERVIÇOS</t>
  </si>
  <si>
    <t>BIEGAI DO BRASIL LTDA</t>
  </si>
  <si>
    <t>J.C ALVES COMERCIO COMBUSTIVEIS</t>
  </si>
  <si>
    <t>INSTAL PRINT</t>
  </si>
  <si>
    <t>NK REPAROS</t>
  </si>
  <si>
    <t>JB PNEUS</t>
  </si>
  <si>
    <t>PORTO TRUCK PARTS</t>
  </si>
  <si>
    <t>RACE INDUSTRIA</t>
  </si>
  <si>
    <t>ELITE RECUPERADORA</t>
  </si>
  <si>
    <t>UMOV ME TECNOLOGIA</t>
  </si>
  <si>
    <t>RAFAEL MENCARINI</t>
  </si>
  <si>
    <t>POUPATEMPO DO CAMINHÃO</t>
  </si>
  <si>
    <t>CORESTINTAS COMERCIO DE TINTAS</t>
  </si>
  <si>
    <t>BIEGAI DO BRASIL</t>
  </si>
  <si>
    <t>GE4 INDUSTRIA E COMERCIO</t>
  </si>
  <si>
    <t>JB COMERCIO E RECUPERADORA</t>
  </si>
  <si>
    <t>FRIGELAR COMERCIO</t>
  </si>
  <si>
    <t>SWITCH SERVIÇOS ELETRONICOS</t>
  </si>
  <si>
    <t>Contas</t>
  </si>
  <si>
    <t>NOTRE DAME</t>
  </si>
  <si>
    <t xml:space="preserve">CRISPE AUTOPEÇAS </t>
  </si>
  <si>
    <t>NELSER DISTRIBUIDORA</t>
  </si>
  <si>
    <t>UMARIZAL OFFICE</t>
  </si>
  <si>
    <t>SUZAMCOMP COMERCIO</t>
  </si>
  <si>
    <t>KPS INDUSTRIA DE COMERCIO</t>
  </si>
  <si>
    <t>TITA SOLUÇOES</t>
  </si>
  <si>
    <t xml:space="preserve">DNS TACOGRAFOS E VELOCIMETROS </t>
  </si>
  <si>
    <t xml:space="preserve">DNS TACOGRAFOS </t>
  </si>
  <si>
    <t>ILARIO SERAFIM ADVOGADOS</t>
  </si>
  <si>
    <t>PAJOLLA MIDIA</t>
  </si>
  <si>
    <t>BANCO SANTANDER</t>
  </si>
  <si>
    <t>Aluguel</t>
  </si>
  <si>
    <t>ENCOMENDAS JOÃO PESSOA</t>
  </si>
  <si>
    <t>FSILVA EMPREENDIMENTOS E ADMINISTRAÇOES</t>
  </si>
  <si>
    <t>MICRON</t>
  </si>
  <si>
    <t>DIVENA COMERCIAL</t>
  </si>
  <si>
    <t>PAPELARIA LUPAPEL</t>
  </si>
  <si>
    <t>VM COMPONENTES</t>
  </si>
  <si>
    <t>BHC COMERCIO DE PEÇAS</t>
  </si>
  <si>
    <t>VIDROSBUS DISTRIBUIDORA</t>
  </si>
  <si>
    <t>JAILTON JOSEMAR DA SILVA</t>
  </si>
  <si>
    <t>SETBUS COMERCIO DE AUTOPEÇAS</t>
  </si>
  <si>
    <t>I9 MODULOS</t>
  </si>
  <si>
    <t>ANDRE LUIZ RODRIGUES</t>
  </si>
  <si>
    <t>COMERCIAL PAULISTA DE BATERIAS</t>
  </si>
  <si>
    <t xml:space="preserve">GUSCAR COMERCIO </t>
  </si>
  <si>
    <t>GUSCAR COMERCIO COMERCIO</t>
  </si>
  <si>
    <t>CVOVIDROS E PEÇAS</t>
  </si>
  <si>
    <t>RODOANELBUS</t>
  </si>
  <si>
    <t>SCANIA LATIN AMERICA</t>
  </si>
  <si>
    <t>PORTO TRUCK</t>
  </si>
  <si>
    <t>MG3 BUS COMERCIO</t>
  </si>
  <si>
    <t>CARVALHO ONIBUS</t>
  </si>
  <si>
    <t xml:space="preserve">ROMANO PRESTACAO DE SERVICOS </t>
  </si>
  <si>
    <t xml:space="preserve">MG3 BUS COM DE PECAS </t>
  </si>
  <si>
    <t>CARDANS NSA COMERCIO DE PEÇAS</t>
  </si>
  <si>
    <t>CBA DIESEL</t>
  </si>
  <si>
    <t>DIVINO COMERCIAL</t>
  </si>
  <si>
    <t>MIGUI MATERIAIS ELETRICOS</t>
  </si>
  <si>
    <t>ODAPEL DISTRIBUIDORA</t>
  </si>
  <si>
    <t>RVP DISTRIBUIDORA</t>
  </si>
  <si>
    <t>BANCO VOLKSWAGEN</t>
  </si>
  <si>
    <t>SEMPRE MAIS</t>
  </si>
  <si>
    <t>BEM ESTAR BEBIDAS</t>
  </si>
  <si>
    <t>EXPRESSO PRINCESA</t>
  </si>
  <si>
    <t>GR PRODUTOS INDUSTRIAIS</t>
  </si>
  <si>
    <t>SOARES REFRIGERACAO LTDA EPP</t>
  </si>
  <si>
    <t>ELETRICA LITUANIA LTDA</t>
  </si>
  <si>
    <t xml:space="preserve">ROMANO PRESTACAO </t>
  </si>
  <si>
    <t>MORELATE DISTR AUTO</t>
  </si>
  <si>
    <t>VIVO VITORIA</t>
  </si>
  <si>
    <t>JS PEÇAS E ASSISTENCIA</t>
  </si>
  <si>
    <t>INTERNET 10</t>
  </si>
  <si>
    <t>VIAÇÃO NORDESTE LTDA</t>
  </si>
  <si>
    <t>BANCO DO NORDESTE</t>
  </si>
  <si>
    <t>BANCO GUANABARA</t>
  </si>
  <si>
    <t>EDP AFONSO</t>
  </si>
  <si>
    <t>AUTO GERAL COMERCIO DE PEÇAS</t>
  </si>
  <si>
    <t>CARDANS NSA COMERCIO</t>
  </si>
  <si>
    <t>DEUTSHLAMP</t>
  </si>
  <si>
    <t>GARDINOTEC</t>
  </si>
  <si>
    <t>POUPATEMPO DO CAMINHAO</t>
  </si>
  <si>
    <t>VIDROBUS COMERCIO</t>
  </si>
  <si>
    <t>VRP AUTO PEÇAS</t>
  </si>
  <si>
    <t>COMERCIAL RENOVA</t>
  </si>
  <si>
    <t>M.C. OLIVEIRA PECAS - EPP</t>
  </si>
  <si>
    <t>MORELATE DISTR DE AUTO PECAS</t>
  </si>
  <si>
    <t>LOCAÇÃO</t>
  </si>
  <si>
    <t>JARDINS SÃO FRANCISCO-ES</t>
  </si>
  <si>
    <t>AMERICA NET</t>
  </si>
  <si>
    <t>BANCO DAYCOVAL</t>
  </si>
  <si>
    <t>ALUGUEL CURITIBA</t>
  </si>
  <si>
    <t>FAZZY INTERNET</t>
  </si>
  <si>
    <t>CLARO</t>
  </si>
  <si>
    <t>IMOVEL GOVERNADOR VALADARES</t>
  </si>
  <si>
    <t xml:space="preserve">DE NIGRIS </t>
  </si>
  <si>
    <t>MIGUI CENTER</t>
  </si>
  <si>
    <t>RODOBENS VEICULOS</t>
  </si>
  <si>
    <t>REUNIDAS TRANSPORTADORA</t>
  </si>
  <si>
    <t>OBVIO BRASIL SOFTWARE</t>
  </si>
  <si>
    <t>MUNIQUE COMERCIO</t>
  </si>
  <si>
    <t>USE EPI EQUIPAMENTOS</t>
  </si>
  <si>
    <t>TV MIDIA COMUNICAÇÃO</t>
  </si>
  <si>
    <t>TITA SOLUÇOES AMBIENTAIS</t>
  </si>
  <si>
    <t>GC GUSCAR AUTO PECAS</t>
  </si>
  <si>
    <t>CARVALHO PEÇAS</t>
  </si>
  <si>
    <t>ROMANO PRESTAÇÃO</t>
  </si>
  <si>
    <t>GALICIA SERVIÇOS</t>
  </si>
  <si>
    <t>TREVISO RIO VEICULOS</t>
  </si>
  <si>
    <t>VB TRANSPORTE E TURISMO</t>
  </si>
  <si>
    <t>FAZZY TELECOM</t>
  </si>
  <si>
    <t>MARCELO DA SILVA</t>
  </si>
  <si>
    <t>TREVISO RIO</t>
  </si>
  <si>
    <t>CEMIG GOV. VALADARES</t>
  </si>
  <si>
    <t xml:space="preserve">GARDINOTEC INDUSTRIA </t>
  </si>
  <si>
    <t>PLANO PNEUMATIC</t>
  </si>
  <si>
    <t xml:space="preserve">SAMA AUTOPEÇAS </t>
  </si>
  <si>
    <t>UNIBUS COMERCIO</t>
  </si>
  <si>
    <t>UNIBUS COMERCIO DE PEÇAS</t>
  </si>
  <si>
    <t>VIDROBUS VIDROS</t>
  </si>
  <si>
    <t>KLEBER AUGUSTO</t>
  </si>
  <si>
    <t>N.A TRUCK CENTER LTDA</t>
  </si>
  <si>
    <t>ICONIC LUBRIFICANTES S.A.</t>
  </si>
  <si>
    <t>F-TOOLS COMERCIO</t>
  </si>
  <si>
    <t>POD COMERCIO PECAS</t>
  </si>
  <si>
    <t>SETBUS COMERCIO AUTOPECAS</t>
  </si>
  <si>
    <t>CBA DIESEL RJ ATACADISTA</t>
  </si>
  <si>
    <t>ATACADO UNIAO</t>
  </si>
  <si>
    <t>MARCOS MAIA</t>
  </si>
  <si>
    <t>CBA DIESEL RJ</t>
  </si>
  <si>
    <t xml:space="preserve">CODEMA COMERCIAL E IMPORTADORA </t>
  </si>
  <si>
    <t>REAL ONIBUS LTDA</t>
  </si>
  <si>
    <t>AUTO PECAS RODOANELBUS</t>
  </si>
  <si>
    <t xml:space="preserve">DEUSTSH LAMP </t>
  </si>
  <si>
    <t xml:space="preserve">JB PNEUS </t>
  </si>
  <si>
    <t>JC ALVES COMERCIO DE COMBUSTIVEIS</t>
  </si>
  <si>
    <t>SOUZA E FERREIRA</t>
  </si>
  <si>
    <t>CBA AUTOMOVEIS</t>
  </si>
  <si>
    <t>AUTO PECAS RODOANELBUS LTDA</t>
  </si>
  <si>
    <t xml:space="preserve">VIDROBUS DISTRIBUIDORA </t>
  </si>
  <si>
    <t xml:space="preserve">NELSER DISTRIBUIDORA </t>
  </si>
  <si>
    <t>AUTOMAXX CONSULTORIA</t>
  </si>
  <si>
    <t>PROTEGE</t>
  </si>
  <si>
    <t>ATAR COMERCIAL</t>
  </si>
  <si>
    <t>CBA AUTOMOTIVE</t>
  </si>
  <si>
    <t xml:space="preserve">MARCOPOLO SA </t>
  </si>
  <si>
    <t>MOTO SCARTON</t>
  </si>
  <si>
    <t>MOURA COMERCIAL PAULISTA</t>
  </si>
  <si>
    <t>REAL ONIBUS PAULISTA</t>
  </si>
  <si>
    <t>RENATO BATISTA</t>
  </si>
  <si>
    <t>GEMEOS RICARDO</t>
  </si>
  <si>
    <t xml:space="preserve">MAFISA FERRAMENTAS </t>
  </si>
  <si>
    <t>PACAEMBU AUTOPECAS</t>
  </si>
  <si>
    <t>CIA BRASILEIRA DIST</t>
  </si>
  <si>
    <t>ESSOR SEGURADORA</t>
  </si>
  <si>
    <t>CEWAL COMERCIO</t>
  </si>
  <si>
    <t>BGM RODOTEC</t>
  </si>
  <si>
    <t>GEMEOS RICARDO MATERIAS</t>
  </si>
  <si>
    <t>BANCO MERCEBEZ BENZ</t>
  </si>
  <si>
    <t>BANCO NORDESTE</t>
  </si>
  <si>
    <t>BANCO SCANIA</t>
  </si>
  <si>
    <t>BANCO VOLVO FINAME</t>
  </si>
  <si>
    <t>AJL MEDICINA</t>
  </si>
  <si>
    <t>GUICHE RESENDE - RJ</t>
  </si>
  <si>
    <t>ITANET</t>
  </si>
  <si>
    <t>HDI SEGUROS</t>
  </si>
  <si>
    <t>LSR BUS DISTRIBUIÇÃO</t>
  </si>
  <si>
    <t>VIVO GOV. VALADARES</t>
  </si>
  <si>
    <t>NICOLAS CORREA PICOLOTE</t>
  </si>
  <si>
    <t xml:space="preserve">REAL ONIBUS </t>
  </si>
  <si>
    <t>REPANOL LAVANDERIA INDUSTRIAL</t>
  </si>
  <si>
    <t>VOLVO DO BRASIL</t>
  </si>
  <si>
    <t>NOVACOMM</t>
  </si>
  <si>
    <t>IMOVEL CAPIBARIBE</t>
  </si>
  <si>
    <t>ESTAÇÃO RODOVIARIA CACHOEIRO</t>
  </si>
  <si>
    <t>AJL MEDICINA E SEGURANÇA</t>
  </si>
  <si>
    <t>QUADRI SYSTEMS</t>
  </si>
  <si>
    <t>MICROSEGUROS</t>
  </si>
  <si>
    <t>LUIZ CARLOS FERREIRA</t>
  </si>
  <si>
    <t>RODOPARK OPERAÇÕES COMERCIAIS</t>
  </si>
  <si>
    <t>SUPERCABO CARATINGA</t>
  </si>
  <si>
    <t>KADIJA COMERCIO PENUMATICOS</t>
  </si>
  <si>
    <t>COVEPE COMERCIO</t>
  </si>
  <si>
    <t>WLM PARTICIPACOES</t>
  </si>
  <si>
    <t>GRUPO APC</t>
  </si>
  <si>
    <t>MPLAN TECNOLOGIA</t>
  </si>
  <si>
    <t>VIVAS TEC MATERIAL</t>
  </si>
  <si>
    <t>J A FERREIRA DECORAÇOES</t>
  </si>
  <si>
    <t>NEW LINE SERVIÇOS</t>
  </si>
  <si>
    <t>BOA VISTA TINTAS</t>
  </si>
  <si>
    <t>DIVENA COMERCIAL LTDA</t>
  </si>
  <si>
    <t>ATX TECIDOS EIRELI</t>
  </si>
  <si>
    <t>LSR BUS</t>
  </si>
  <si>
    <t>COMERCIAL PAULISTA DE BATERIA</t>
  </si>
  <si>
    <t>LUCINETE DE URZEDO</t>
  </si>
  <si>
    <t>GC GUSCAR</t>
  </si>
  <si>
    <t>SOBERANA DOS PARAFUSOS</t>
  </si>
  <si>
    <t>CARDANS COMERCIO</t>
  </si>
  <si>
    <t>MAFISA FERRAMENTAS</t>
  </si>
  <si>
    <t>UNOPACK ALIMENTOS</t>
  </si>
  <si>
    <t>SUZAMCOMP</t>
  </si>
  <si>
    <t>MKT SERVIÇOS GRAFICOS</t>
  </si>
  <si>
    <t>INNOVA TELECOM</t>
  </si>
  <si>
    <t>ARMAZEM LESTE COMERCIAL</t>
  </si>
  <si>
    <t>AIRA COMERCIO DE PECAS</t>
  </si>
  <si>
    <t>VIDROBUS VIDROS P ONIBUS</t>
  </si>
  <si>
    <t>MAROCOPOLO SA</t>
  </si>
  <si>
    <t>MORELATE DISTR AUT</t>
  </si>
  <si>
    <t>MORELATE SUDESTE DISTR</t>
  </si>
  <si>
    <t>BONFIM SILVA</t>
  </si>
  <si>
    <t>COMERCIAL DE VEICULOS</t>
  </si>
  <si>
    <t>LACRE CRONOTACOGRAFOS</t>
  </si>
  <si>
    <t xml:space="preserve">PAPELARIA LUPAPEL </t>
  </si>
  <si>
    <t>ABC TURBO</t>
  </si>
  <si>
    <t>MOREIRA CARVALHAES</t>
  </si>
  <si>
    <t>ALIANZ SEGUROS SA</t>
  </si>
  <si>
    <t>BGMRODOTEC</t>
  </si>
  <si>
    <t>INSTRUTHERM INSTRUMENTOS</t>
  </si>
  <si>
    <t>EDP CACHOEIRO</t>
  </si>
  <si>
    <t>EDP SERRA</t>
  </si>
  <si>
    <t>EDP TAUBATÉ</t>
  </si>
  <si>
    <t>SND DISTRIBUIÇÃO</t>
  </si>
  <si>
    <t>AUTO PEÇAS RODOANELBUS</t>
  </si>
  <si>
    <t>CBA AUTOMOVEIS PARTS</t>
  </si>
  <si>
    <t>ECOMAX DO ABC FABRICAÇÃO</t>
  </si>
  <si>
    <t>VITRINE ANIMADA COMERCIO</t>
  </si>
  <si>
    <t>KOLLER E SINDICIC</t>
  </si>
  <si>
    <t>SOARES REFRIGERAÇÃO</t>
  </si>
  <si>
    <t>GARDENSS SERVIÇOS</t>
  </si>
  <si>
    <t>TRUCKAO PEÇAS</t>
  </si>
  <si>
    <t>ZINA EQUIPAMENTOS</t>
  </si>
  <si>
    <t>CEMIG CARATINGA</t>
  </si>
  <si>
    <t>GUSCAR COMERCIO COMERCIAL</t>
  </si>
  <si>
    <t>GARDINOTEC AMORTECEDORES</t>
  </si>
  <si>
    <t>COMBULUZ</t>
  </si>
  <si>
    <t>AIRA COMERCIO DE PEÇAS</t>
  </si>
  <si>
    <t>MIGUELED</t>
  </si>
  <si>
    <t>MIL QUIMICA</t>
  </si>
  <si>
    <t>CPFL CAMPINAS(ENERGIA)</t>
  </si>
  <si>
    <t xml:space="preserve">TOTAL PARTS </t>
  </si>
  <si>
    <t>VALIN DISTRIBUIDORA</t>
  </si>
  <si>
    <t>WLM PARTICIPAÇOES</t>
  </si>
  <si>
    <t>SUZANCOMP</t>
  </si>
  <si>
    <t>CIA BRASILEIRADIST AUTO</t>
  </si>
  <si>
    <t>UNIBUS COMERCIO DE PECAS</t>
  </si>
  <si>
    <t>ALELO DIESEL(PEDIR AO LEO)</t>
  </si>
  <si>
    <t>ODAPEL COMERCIO</t>
  </si>
  <si>
    <t>UNICO SERVIÇOS E TECNOLOGIA</t>
  </si>
  <si>
    <t>MDM SOLUCOES</t>
  </si>
  <si>
    <t>4R AMBIENTAL LOCAÇÃO</t>
  </si>
  <si>
    <t>NK REPAROS DE PARABRISAS</t>
  </si>
  <si>
    <t>BRISA NET</t>
  </si>
  <si>
    <t>EDP VITORIA</t>
  </si>
  <si>
    <t>VIVO CARIACICA</t>
  </si>
  <si>
    <t>ALELO INSTITUIÇÃO</t>
  </si>
  <si>
    <t>ZENILDA FERREIRA</t>
  </si>
  <si>
    <t>REAL ONIBUS COMERCIO</t>
  </si>
  <si>
    <t>ELETRICA LITUANIA</t>
  </si>
  <si>
    <t>SERVICEKLEEN DO BRASIL</t>
  </si>
  <si>
    <t>NEWS GPS</t>
  </si>
  <si>
    <t>DNS TACOGRAFOS</t>
  </si>
  <si>
    <t>BRISANET FORTALEZA</t>
  </si>
  <si>
    <t>POD COMERCIO</t>
  </si>
  <si>
    <t xml:space="preserve">DUTRABUS </t>
  </si>
  <si>
    <t>CENTER DIESEL</t>
  </si>
  <si>
    <t>BH BUS TRASNPORTES</t>
  </si>
  <si>
    <t>COMDIP COMERCIAL</t>
  </si>
  <si>
    <t>F E G DE ITATIAIA</t>
  </si>
  <si>
    <t>DUTRABUS</t>
  </si>
  <si>
    <t>MIGUELED MATERIAIS ELETRICOS</t>
  </si>
  <si>
    <t>ECOMAX DO ABC</t>
  </si>
  <si>
    <t>CASA DINAMO</t>
  </si>
  <si>
    <t>FA MARINGA LTDA</t>
  </si>
  <si>
    <t>THERMO KLIMA REFRIGERAÇÃO</t>
  </si>
  <si>
    <t>PLANO PNEUMATICA</t>
  </si>
  <si>
    <t>RDI2 PEÇAS AUTOMOTIVAS</t>
  </si>
  <si>
    <t>ODAPEL DIATRIBUIDORA</t>
  </si>
  <si>
    <t>RENATO BATISTA DE SOUZA</t>
  </si>
  <si>
    <t>GERALDO ABILIO</t>
  </si>
  <si>
    <t>DEUTSH LAMP</t>
  </si>
  <si>
    <t>NOVACIA</t>
  </si>
  <si>
    <t>VELOE</t>
  </si>
  <si>
    <t>BALANCATRACA</t>
  </si>
  <si>
    <t>BANCO BRADESCO</t>
  </si>
  <si>
    <t>MOVATTO E COMMERCE</t>
  </si>
  <si>
    <t>AGIS EQUIPAMENTOS</t>
  </si>
  <si>
    <t>TACORREI TACOGRAFOS</t>
  </si>
  <si>
    <t>VALETÃO PNEUS</t>
  </si>
  <si>
    <t>FISERV DO BRASIL</t>
  </si>
  <si>
    <t>AUTO PEÇAS MECANICA</t>
  </si>
  <si>
    <t xml:space="preserve">RL SERVIÇOS </t>
  </si>
  <si>
    <t>MAIS LINK TELECOMUNICAÇÃO</t>
  </si>
  <si>
    <t>KADIJA COMERCIO</t>
  </si>
  <si>
    <t>GAVI AUTOMOTIVA</t>
  </si>
  <si>
    <t>SINART SALVADOR</t>
  </si>
  <si>
    <t>LUIZ CARLOS FERREIRA DE OLIVEIRA</t>
  </si>
  <si>
    <t>PLSONIBUS COMERCIO</t>
  </si>
  <si>
    <t>GR PRODUTOS</t>
  </si>
  <si>
    <t>TOP DIESEL</t>
  </si>
  <si>
    <t>INACIO E AUGUSTO (IMOVEL RJ)</t>
  </si>
  <si>
    <t>SANTA CRUZ DO CAPIBARIBE</t>
  </si>
  <si>
    <t xml:space="preserve">  VERIFICAR  </t>
  </si>
  <si>
    <t>PLASONIBUS COMERCIO</t>
  </si>
  <si>
    <t>TAXA DE EMBARQUE CARATINGA</t>
  </si>
  <si>
    <t>GERPRINT SERVIÇOS</t>
  </si>
  <si>
    <t xml:space="preserve">POUPATEMPO </t>
  </si>
  <si>
    <t xml:space="preserve">RODOANELBUS </t>
  </si>
  <si>
    <t>FELTEX FABRICAÇÃO</t>
  </si>
  <si>
    <t>VALIN INDUSTRIA</t>
  </si>
  <si>
    <t>MARCELO DA SILVA VALVULAS</t>
  </si>
  <si>
    <t>FLEX AUTOMOTIVA</t>
  </si>
  <si>
    <t>C F R BERNARDES</t>
  </si>
  <si>
    <t>ELETRO PED E DOTTA</t>
  </si>
  <si>
    <t xml:space="preserve">VIBRA ENERGIA SA </t>
  </si>
  <si>
    <t>ZENILDA FERREIRA DOS SANTOS</t>
  </si>
  <si>
    <t>MECANICA DE VEICULOS PICARRAS</t>
  </si>
  <si>
    <t>VALIN INDUSTRIA E DISTRIBUIDORA</t>
  </si>
  <si>
    <t>TOTAL PARTS COMERCIO</t>
  </si>
  <si>
    <t>TATIANA DA SILVA MOREIRA</t>
  </si>
  <si>
    <t>TURIM RIO VEICULOS</t>
  </si>
  <si>
    <t>Locação</t>
  </si>
  <si>
    <t>LEVI COMUNICAÇÃO</t>
  </si>
  <si>
    <t>CODEMA COMERCIAL E IMPORTADORA</t>
  </si>
  <si>
    <t>CENTAURO AUTOPEÇAS</t>
  </si>
  <si>
    <t>REFRESILVA REFRIGERAÇÃO</t>
  </si>
  <si>
    <t>MARCOS MAIA JUNIOR</t>
  </si>
  <si>
    <t>CEMIG GOV GUICHE</t>
  </si>
  <si>
    <t>CLIMA BUS</t>
  </si>
  <si>
    <t>DE NIGRIS COMERCIO</t>
  </si>
  <si>
    <t>ARMAZEN LESTE COMERCIAL</t>
  </si>
  <si>
    <t>ALL GREEN COMERCIO</t>
  </si>
  <si>
    <t>ROMANO SERVIÇOS</t>
  </si>
  <si>
    <t>TACOGRAFOS</t>
  </si>
  <si>
    <t>GLADYSON BOONE DA SILVA</t>
  </si>
  <si>
    <t>GUSTAVO MENCARINI ORLANDO</t>
  </si>
  <si>
    <t>PROTEGE PROTEÇÃO</t>
  </si>
  <si>
    <t>IPIRANGA PRODUTOS DE PETROLEO</t>
  </si>
  <si>
    <t>PLANO PNEUMATIC COMERCIO</t>
  </si>
  <si>
    <t>RECUPERADORA DE ROSCAS</t>
  </si>
  <si>
    <t>LUIZ CARLOS FERERIRA</t>
  </si>
  <si>
    <t>REPANOL LAVANDERIA</t>
  </si>
  <si>
    <t>NPN FERRAMENTAS E TREINAMENTOS</t>
  </si>
  <si>
    <t>VIDROBUS</t>
  </si>
  <si>
    <t>AIRA COMERCIO</t>
  </si>
  <si>
    <t>SEMAP BORRACHAS</t>
  </si>
  <si>
    <t>J MACEDO</t>
  </si>
  <si>
    <t>LL OLIVEIRA</t>
  </si>
  <si>
    <t>SO ONIBUS COMERCIAL</t>
  </si>
  <si>
    <t>FELTEX FABRICAÇÃO DE PRODUTOS</t>
  </si>
  <si>
    <t>RIO DIESEL VEICULOS</t>
  </si>
  <si>
    <t>W9 CAMISETAS</t>
  </si>
  <si>
    <t xml:space="preserve">MKT SERVIÇOS </t>
  </si>
  <si>
    <t>CIPETRAN NORTE</t>
  </si>
  <si>
    <t>COMERCIAL PAULISTA COMERCIAL</t>
  </si>
  <si>
    <t>SIRIUS AUTO PEÇAS</t>
  </si>
  <si>
    <t>AUTO PEÇAS E MECANICA</t>
  </si>
  <si>
    <t>AUTOGERAL COMERCIO</t>
  </si>
  <si>
    <t>PURIFIC INDUSTRIA</t>
  </si>
  <si>
    <t xml:space="preserve">CBA AUTOMOTIVE PARTS </t>
  </si>
  <si>
    <t>GUSTAVO MENCARINI</t>
  </si>
  <si>
    <t>GALZER DO BRASIL</t>
  </si>
  <si>
    <t>DEUTSHLAMP COMERCIAL</t>
  </si>
  <si>
    <t>ACCORD COMUNICAÇÃO</t>
  </si>
  <si>
    <t>BELOBUS COMERCIO</t>
  </si>
  <si>
    <t xml:space="preserve">CBA DIESEL </t>
  </si>
  <si>
    <t>BETMAR INDUSTRIAL</t>
  </si>
  <si>
    <t>E DE OLIVEIRA MATERIAL DE LIMPEZA</t>
  </si>
  <si>
    <t>SAMA AUTO PEÇAS</t>
  </si>
  <si>
    <t>VIA ELETRICA COMERCIAL</t>
  </si>
  <si>
    <t xml:space="preserve">CRISPE AUTO PEÇAS </t>
  </si>
  <si>
    <t>GARDINOTEC INDUSTRIA</t>
  </si>
  <si>
    <t>ASTRA DIESEL</t>
  </si>
  <si>
    <t>ALELO INSTITUIÇÃO DE PAGAMENTO</t>
  </si>
  <si>
    <t>MDM SOLUÇOES</t>
  </si>
  <si>
    <t>SOS MANUTENÇÃO</t>
  </si>
  <si>
    <t>AUTO SUECO NORS</t>
  </si>
  <si>
    <t>SERVICEKLEEN</t>
  </si>
  <si>
    <t>BRAJAL VEIGA</t>
  </si>
  <si>
    <t>BRISA NET CAMPINA GRANDE</t>
  </si>
  <si>
    <t>JC PEÇAS E ASSISTENCIA</t>
  </si>
  <si>
    <t>GR PRODUTOS DE PETROLEO</t>
  </si>
  <si>
    <t>CORESTINTAS</t>
  </si>
  <si>
    <t>BHC COMERCIO</t>
  </si>
  <si>
    <t>SAMPAIO MULTICOISAS COMERCIO</t>
  </si>
  <si>
    <t>RENOVA RECUPERADORA</t>
  </si>
  <si>
    <t>COMAX FERRAMENTAS</t>
  </si>
  <si>
    <t>MARBUS COMERCIO</t>
  </si>
  <si>
    <t>RL SERVIÇOS</t>
  </si>
  <si>
    <t>RETIFICA DE MOTORES</t>
  </si>
  <si>
    <t>PRUDENTIAL DO BRASIL</t>
  </si>
  <si>
    <t>CENTRO DE INTEGRAÇÃO</t>
  </si>
  <si>
    <t>MERCEDES BENZ</t>
  </si>
  <si>
    <t>CETRA ENGENHARIA</t>
  </si>
  <si>
    <t>AUTO ELETRODIESEL</t>
  </si>
  <si>
    <t>CENTAURO BATERIAS</t>
  </si>
  <si>
    <t>MAIL LINK TELECOMUNICAÇÕES</t>
  </si>
  <si>
    <t>TOLEDO DO BRASIL</t>
  </si>
  <si>
    <t>LUIZ CARLOS</t>
  </si>
  <si>
    <t xml:space="preserve">ANTONIO CARLOS RODRIGUES </t>
  </si>
  <si>
    <t>RC TRUCK CENTER</t>
  </si>
  <si>
    <t xml:space="preserve">CONSTRUTORA TELAVIVE </t>
  </si>
  <si>
    <t>J MACEDO PARTICIPAÇOES</t>
  </si>
  <si>
    <t>ECLAIR SERVIÇOS DE ALIMENTOS</t>
  </si>
  <si>
    <t>GERALDO ABILIO DA SILVA</t>
  </si>
  <si>
    <t>ABCD MANGUEIRAS</t>
  </si>
  <si>
    <t>AILTON DE SOUZA</t>
  </si>
  <si>
    <t>UMOV ME</t>
  </si>
  <si>
    <t>AWIN VEICULAÇÃO DE PUBLICIDADE</t>
  </si>
  <si>
    <t>AGIS EQUIPAMENTO</t>
  </si>
  <si>
    <t>JB PNEUS COMERCIO</t>
  </si>
  <si>
    <t>LIDEM PRODUTOS TEXTEIS</t>
  </si>
  <si>
    <t>TERMINAL RODOVIARIO DE GOIANIA</t>
  </si>
  <si>
    <t>BHP ENGENHARIAS</t>
  </si>
  <si>
    <t>M C OLIVEIRA</t>
  </si>
  <si>
    <t>NORS CAMINHOES</t>
  </si>
  <si>
    <t>SAMPAIO MULTICOISAS</t>
  </si>
  <si>
    <t xml:space="preserve">MAXI PARTS INDUSTRIAIS </t>
  </si>
  <si>
    <t>CVOVIDROS</t>
  </si>
  <si>
    <t>TOTAL PARTS</t>
  </si>
  <si>
    <t>VENAC SCANIA</t>
  </si>
  <si>
    <t>GUANABARA DIESEL</t>
  </si>
  <si>
    <t>LEANDRO CARDOSO</t>
  </si>
  <si>
    <t>PORTO EIXO</t>
  </si>
  <si>
    <t>ELETRICA LITHUANIA</t>
  </si>
  <si>
    <t>ELETRICO PAIVA</t>
  </si>
  <si>
    <t>JAILTON JOSEMAR</t>
  </si>
  <si>
    <t>MOERLATE SUDESTE</t>
  </si>
  <si>
    <t>FABIO RIBEIRO DA SILVA</t>
  </si>
  <si>
    <t>BELLA VITA TRANSPORTES</t>
  </si>
  <si>
    <t>CLARIN COMERCIO</t>
  </si>
  <si>
    <t>GRAFICA PRO COMERCIO</t>
  </si>
  <si>
    <t>MESSIAS JOSE DA SILVA</t>
  </si>
  <si>
    <t>LPL INDUSTRIA</t>
  </si>
  <si>
    <t>MAFISA EQUIPAMENTOS</t>
  </si>
  <si>
    <t>RADAEL MENCARINI</t>
  </si>
  <si>
    <t>SO ONIBUS</t>
  </si>
  <si>
    <t>SOARES REFRIGERAÇÃO LTDA</t>
  </si>
  <si>
    <t>THERMO KLIMA</t>
  </si>
  <si>
    <t>WAUX DISTRIBUIDORA</t>
  </si>
  <si>
    <t>CENTER SOLDAS GASES</t>
  </si>
  <si>
    <t>FA MARINGA</t>
  </si>
  <si>
    <t>VENAC VEICULOS</t>
  </si>
  <si>
    <t>KALUNGA SA</t>
  </si>
  <si>
    <t xml:space="preserve">CASA DINAMO </t>
  </si>
  <si>
    <t>CFR BERNARDES</t>
  </si>
  <si>
    <t>SOLDA CERTA</t>
  </si>
  <si>
    <t>ELETRODIESEL RECUPEÇAS</t>
  </si>
  <si>
    <t>MIGUELED MATERTIAIS ELETRICOS</t>
  </si>
  <si>
    <t>WILLIAM JAMIL</t>
  </si>
  <si>
    <t>ESPER RECUPERADORA</t>
  </si>
  <si>
    <t>LPL INDUSTRIA E COMERCIO</t>
  </si>
  <si>
    <t>BANCO MERCEDES-BENZ</t>
  </si>
  <si>
    <t>MKT SERVIÇOS</t>
  </si>
  <si>
    <t>SOUDY TERCEIRIZAÇÃO</t>
  </si>
  <si>
    <t>GARDENS SOLUÇOES</t>
  </si>
  <si>
    <t>STREET DESIGNER</t>
  </si>
  <si>
    <t>MIGUI CENTER MATERIAIS</t>
  </si>
  <si>
    <t xml:space="preserve">UNOPACK ALIMENTOS </t>
  </si>
  <si>
    <t>RDI2 PEÇAS</t>
  </si>
  <si>
    <t>POUPATEMPO DOS CAMINHOES</t>
  </si>
  <si>
    <t>WANDERSON MARTINS</t>
  </si>
  <si>
    <t>STAR DIESEL MECANICA</t>
  </si>
  <si>
    <t>JC ALVES COMERCIO</t>
  </si>
  <si>
    <t>TROPICAL AROMAS</t>
  </si>
  <si>
    <t>ABC RETIFICA</t>
  </si>
  <si>
    <t>FLASH SOLUÇÃO</t>
  </si>
  <si>
    <t>BRAGANFER INDUSTRIA</t>
  </si>
  <si>
    <t>VENTILAR INDUSTRIA</t>
  </si>
  <si>
    <t>FTOOLS</t>
  </si>
  <si>
    <t>CONSTRUTORA TELAVIVE</t>
  </si>
  <si>
    <t>SOCICAM ADMINISTRAÇÃO</t>
  </si>
  <si>
    <t>MARIO MOVEIS</t>
  </si>
  <si>
    <t>CENTRAL COMERCIO DE BATERIAS</t>
  </si>
  <si>
    <t>PLANO PENUMATIC</t>
  </si>
  <si>
    <t xml:space="preserve">LSR BUS </t>
  </si>
  <si>
    <t>RIO DIESEL</t>
  </si>
  <si>
    <t xml:space="preserve">INNOVA TELECOM </t>
  </si>
  <si>
    <t xml:space="preserve">MIGUI MATERIAIS </t>
  </si>
  <si>
    <t>MORELATE DISTRIBUIDORA</t>
  </si>
  <si>
    <t>PADRAO ABC</t>
  </si>
  <si>
    <t>NORS CAMINHÃO</t>
  </si>
  <si>
    <t>WLM PARTICIPAÇÕES</t>
  </si>
  <si>
    <t xml:space="preserve">E DE OLIVEIRA </t>
  </si>
  <si>
    <t>TITA SOLUÇÕES</t>
  </si>
  <si>
    <t>LUCINDA DA SILVA FIGUEIREDO</t>
  </si>
  <si>
    <t>TECNICA MARCHESE</t>
  </si>
  <si>
    <t>VIBRA ENEGIA SA</t>
  </si>
  <si>
    <t>ATAR COMERCIAL DE PEÇAS</t>
  </si>
  <si>
    <t>ESPAÇO PRATELEIRAS</t>
  </si>
  <si>
    <t xml:space="preserve">SETBUS COMERCIO </t>
  </si>
  <si>
    <t>LIDEM PRODUTOS</t>
  </si>
  <si>
    <t>INDUSTRIA DE BEBIDAS</t>
  </si>
  <si>
    <t>SABRINA DA SILVA BENTO</t>
  </si>
  <si>
    <t>VP VALVULAS</t>
  </si>
  <si>
    <t>UNIÃO COMERCIO</t>
  </si>
  <si>
    <t>MAIS LINK</t>
  </si>
  <si>
    <t>PRUDENTIAL</t>
  </si>
  <si>
    <t>NOVACIA TELECOMUNICAÇÕES</t>
  </si>
  <si>
    <t>CIEE</t>
  </si>
  <si>
    <t>INGRAM MICRO</t>
  </si>
  <si>
    <t xml:space="preserve">MAXI PARTS </t>
  </si>
  <si>
    <t>CATA CENTRO DE AVALIAÇÃO</t>
  </si>
  <si>
    <t>CIA BRASILEIRA</t>
  </si>
  <si>
    <t>KIOMI INDUSTRIA E COMERCIO</t>
  </si>
  <si>
    <t>COMERCIAL PAULISTA</t>
  </si>
  <si>
    <t>J C ALVES COMERCIO</t>
  </si>
  <si>
    <t>GIGANTES COMERCIO DE VIDROS</t>
  </si>
  <si>
    <t>UMOV.ME</t>
  </si>
  <si>
    <t>CRISPE AUTOPEÇAS</t>
  </si>
  <si>
    <t>INGRAM MICRO BRASIL</t>
  </si>
  <si>
    <t>MERCURI PEÇAS</t>
  </si>
  <si>
    <t>UTIL UNIÃO TRANSPORTE</t>
  </si>
  <si>
    <t>WANDERSON MARTINS PINEL</t>
  </si>
  <si>
    <t>UNIMETRO INSPEÇÃO</t>
  </si>
  <si>
    <t>SWITH SERVIÇOS ELETRONICOS</t>
  </si>
  <si>
    <t>REAL FREIOS</t>
  </si>
  <si>
    <t>FARAEL MENCARINI</t>
  </si>
  <si>
    <t xml:space="preserve">GUANABARA DIESEL </t>
  </si>
  <si>
    <t>SO MANGUEIRAS</t>
  </si>
  <si>
    <t>MAIS DIST</t>
  </si>
  <si>
    <t>BHP ENGENHARIA</t>
  </si>
  <si>
    <t xml:space="preserve">SINAL </t>
  </si>
  <si>
    <t>MALEC DIESEL COMERCIO</t>
  </si>
  <si>
    <t>TACOGRAFOS DNS</t>
  </si>
  <si>
    <t>KPS INDUSTRIA</t>
  </si>
  <si>
    <t>GUANABARA DIESEL SA</t>
  </si>
  <si>
    <t>VIVAS TEC</t>
  </si>
  <si>
    <t>MADAME CMYK</t>
  </si>
  <si>
    <t>SABRINA DA SILVA</t>
  </si>
  <si>
    <t>M S P BATISTA</t>
  </si>
  <si>
    <t>MERCURI PEÇAS E SERVIÇOS</t>
  </si>
  <si>
    <t>TESLA MECATRONICA</t>
  </si>
  <si>
    <t>AGRICOL DIESEL</t>
  </si>
  <si>
    <t>RODOBENS</t>
  </si>
  <si>
    <t>GA DE ARAUJO</t>
  </si>
  <si>
    <t>CFR BERNARDES TEXTIL</t>
  </si>
  <si>
    <t>NORS CAMINHOES E ONIBUS</t>
  </si>
  <si>
    <t>IPIRANGA PRODRUTOS DE PETROLEO SA</t>
  </si>
  <si>
    <t>OZORIO SERVIÇOS E GESTÃO</t>
  </si>
  <si>
    <t>QUINTEK PEÇAS</t>
  </si>
  <si>
    <t>JP COMERCIO DE PNEUS</t>
  </si>
  <si>
    <t>BANCO MERCEDES BENZ</t>
  </si>
  <si>
    <t>BET MAR</t>
  </si>
  <si>
    <t>NORS CAMINHÕES</t>
  </si>
  <si>
    <t>VOLVO DO BRASIL VEICULOS</t>
  </si>
  <si>
    <t>F &amp; G DE ITATIAIA</t>
  </si>
  <si>
    <t>KOLLER E SINDIC</t>
  </si>
  <si>
    <t>MSP BATISTA</t>
  </si>
  <si>
    <t>GERPRINT</t>
  </si>
  <si>
    <t>RETIFICA METROPOLITANA</t>
  </si>
  <si>
    <t>SUPERVISÃO MANDAQUI</t>
  </si>
  <si>
    <t>WALISSON JERONIMO</t>
  </si>
  <si>
    <t>PAJOLLA E TK COMUNICAÇÃO</t>
  </si>
  <si>
    <t>SELBUS PEÇAS</t>
  </si>
  <si>
    <t>GRAN COFFEE</t>
  </si>
  <si>
    <t>NA TRUCK CENTER</t>
  </si>
  <si>
    <t>BANCO BRADESCO(FGI BRINDES)</t>
  </si>
  <si>
    <t>TOTALLUBRI</t>
  </si>
  <si>
    <t>UNOPACK</t>
  </si>
  <si>
    <t>ITV INSPEÇÃO TECNICA</t>
  </si>
  <si>
    <t>GRADYSTON BOONE</t>
  </si>
  <si>
    <t>KPS INDUSTRIA E COMERCIO</t>
  </si>
  <si>
    <t>NEW GPS</t>
  </si>
  <si>
    <t>A CASA DA MANGUEIRA</t>
  </si>
  <si>
    <t>WLM PARTICIPÇÕES</t>
  </si>
  <si>
    <t>G A ARAUJO</t>
  </si>
  <si>
    <t>foi retirado do movimento dia 16/01</t>
  </si>
  <si>
    <t xml:space="preserve">PADRAO ABC </t>
  </si>
  <si>
    <t>BH BUS TRANSPORTES</t>
  </si>
  <si>
    <t>GUANABARA DIESEL SA COMERCIO</t>
  </si>
  <si>
    <t>NOMINAL COMERCIO E SERVIÇOS</t>
  </si>
  <si>
    <t xml:space="preserve">PORTO TRUCK PARTS </t>
  </si>
  <si>
    <t>MG3 BUS</t>
  </si>
  <si>
    <t xml:space="preserve">MAIS LINK </t>
  </si>
  <si>
    <t>VITORIABUSS DISTRIBUIDORA</t>
  </si>
  <si>
    <t>MARCIANO EGGER</t>
  </si>
  <si>
    <t>AUTO PEÇAS</t>
  </si>
  <si>
    <t>CRISTIANO INACIO CRUZ</t>
  </si>
  <si>
    <t>MIGUI MATERIAIS</t>
  </si>
  <si>
    <t>IPIRANGA PRODUTOS DE PETROLEOS SA</t>
  </si>
  <si>
    <t xml:space="preserve">MIGUELED </t>
  </si>
  <si>
    <t>TECNO PLACAS</t>
  </si>
  <si>
    <t>G A DE ARAUJO</t>
  </si>
  <si>
    <t>ILARIO SERAFIM</t>
  </si>
  <si>
    <t>SO ONIBUS COMERCIO</t>
  </si>
  <si>
    <t xml:space="preserve">TITA SOLUÇOES </t>
  </si>
  <si>
    <t>CEWWAL COMERCIO</t>
  </si>
  <si>
    <t>BET MAR INDUSTRIAL</t>
  </si>
  <si>
    <t>GUSNABARA DIESEL</t>
  </si>
  <si>
    <t>ANILUCIO AGUIAR BARBOSA</t>
  </si>
  <si>
    <t>BEM ESTRA BEBIDAS</t>
  </si>
  <si>
    <t>VENTILAR INDUSTRIA COMERCIO</t>
  </si>
  <si>
    <t>PURIFIC INDUSTRIA COMERCIO</t>
  </si>
  <si>
    <t>GERPRINT ARTES GRAFICAS</t>
  </si>
  <si>
    <t>MAZER DISTRIBUIDORA</t>
  </si>
  <si>
    <t>BELLA VITA TRASNPORTES</t>
  </si>
  <si>
    <t>TBRH RECURSOS HUMANOS</t>
  </si>
  <si>
    <t>leo pegou no dia 22/01/2025</t>
  </si>
  <si>
    <t>GUSCAR COMERCIAL</t>
  </si>
  <si>
    <t>PADRAO ABC MECANICA</t>
  </si>
  <si>
    <t xml:space="preserve">MAXI INDUSTRIA </t>
  </si>
  <si>
    <t>MOURA TACOGRAFOS</t>
  </si>
  <si>
    <t>ATACADO UNIÇÃO</t>
  </si>
  <si>
    <t xml:space="preserve">CARVALHO ONIBUS </t>
  </si>
  <si>
    <t>PROTEGE PROTEÇÃO E TRANSPORTE</t>
  </si>
  <si>
    <t>GRANCOFFEE</t>
  </si>
  <si>
    <t>MERC DIESEL</t>
  </si>
  <si>
    <t>IPIRANGA PRODUTOS DE PETREOLEO SA</t>
  </si>
  <si>
    <t>GLADYSTON BOONE DA SILVA</t>
  </si>
  <si>
    <t>ABC COMER E CONSERTO</t>
  </si>
  <si>
    <t>VIDROS BUS</t>
  </si>
  <si>
    <t>NPN FERRAMENTAS</t>
  </si>
  <si>
    <t xml:space="preserve"> </t>
  </si>
  <si>
    <t>ROMANO COMERCIO</t>
  </si>
  <si>
    <t>ELIANA SAMUEL</t>
  </si>
  <si>
    <t>LINEKER MACHADO</t>
  </si>
  <si>
    <t>PREF ITABAPOANA</t>
  </si>
  <si>
    <t>VIVAS TEC MATERIAL DE CONSTRUÇÃO</t>
  </si>
  <si>
    <t xml:space="preserve">BGM RODOTEC </t>
  </si>
  <si>
    <t>ELIANA SAMUEL MACHADO</t>
  </si>
  <si>
    <t>JP COMERCIO</t>
  </si>
  <si>
    <t>LUVITA COMERCIAL</t>
  </si>
  <si>
    <t>MARDESA DISTRIBUIDORA</t>
  </si>
  <si>
    <t>SUGAI SEGURADORA</t>
  </si>
  <si>
    <t>ALELO INSTITUIÇÃO DE PAGAMENTOS</t>
  </si>
  <si>
    <t>JOSE MIGUEL DE SOUZA</t>
  </si>
  <si>
    <t>THAYNA DA SILVA</t>
  </si>
  <si>
    <t>COMPANY RIO</t>
  </si>
  <si>
    <t>VENTILAR INDUSTRIA E COMERCIO</t>
  </si>
  <si>
    <t>VALEC INDUSTRIA</t>
  </si>
  <si>
    <t>ANILUCIO AGUIAR</t>
  </si>
  <si>
    <t>RS COMERCIO DE PEÇAS</t>
  </si>
  <si>
    <t>ANDRE LUIZ RODRIGUES LOURENÇO</t>
  </si>
  <si>
    <t xml:space="preserve">BR COMPANY </t>
  </si>
  <si>
    <t>UNIÃO COMERCIO EPI</t>
  </si>
  <si>
    <t>METALURGICA KODAMA</t>
  </si>
  <si>
    <t>GR INDUSTRIAIS</t>
  </si>
  <si>
    <t>SEMAP BORRACHAS E PLASTICOS</t>
  </si>
  <si>
    <t>CAVRALHO ONIBUS</t>
  </si>
  <si>
    <t>KLEBER AUGUSTO BERNARDO</t>
  </si>
  <si>
    <t>renovar</t>
  </si>
  <si>
    <t xml:space="preserve">CETRA CENTRO DE ENGENHARIA </t>
  </si>
  <si>
    <t xml:space="preserve">ID </t>
  </si>
  <si>
    <t xml:space="preserve">Cliente </t>
  </si>
  <si>
    <t>CC</t>
  </si>
  <si>
    <t>TP</t>
  </si>
  <si>
    <t>SERV</t>
  </si>
  <si>
    <t>NAT</t>
  </si>
  <si>
    <t>CFOP</t>
  </si>
  <si>
    <t>OP</t>
  </si>
  <si>
    <t>TP NOTA</t>
  </si>
  <si>
    <t>Abc Turbo</t>
  </si>
  <si>
    <t>-</t>
  </si>
  <si>
    <t>Acx Gestão</t>
  </si>
  <si>
    <t>Ajl Medicina</t>
  </si>
  <si>
    <t>Aldemilson Claudino</t>
  </si>
  <si>
    <t>Alelo abastecimento</t>
  </si>
  <si>
    <t>Alelo(vr va)</t>
  </si>
  <si>
    <t>All Green</t>
  </si>
  <si>
    <t>America Net</t>
  </si>
  <si>
    <t>Amoir Franca</t>
  </si>
  <si>
    <t>Amonir Franca</t>
  </si>
  <si>
    <t>Andre Luiz</t>
  </si>
  <si>
    <t xml:space="preserve">Auto Gt </t>
  </si>
  <si>
    <t>Auto Posto Arthur</t>
  </si>
  <si>
    <t>Awin Veiculacao</t>
  </si>
  <si>
    <t>Bem Estar</t>
  </si>
  <si>
    <t>Bgm Rodotec</t>
  </si>
  <si>
    <t>Bh Bus</t>
  </si>
  <si>
    <t>Brajal Veiga</t>
  </si>
  <si>
    <t xml:space="preserve">Bruno Vinicius </t>
  </si>
  <si>
    <t>Bus Pay</t>
  </si>
  <si>
    <t>Carlos Cardoso</t>
  </si>
  <si>
    <t>Cata Centro</t>
  </si>
  <si>
    <t>Coisa</t>
  </si>
  <si>
    <t>Construtora Telavive</t>
  </si>
  <si>
    <t>Corestintas</t>
  </si>
  <si>
    <t>Davi Henrique</t>
  </si>
  <si>
    <t>Edimar Batista</t>
  </si>
  <si>
    <t>Elite Recuperadora</t>
  </si>
  <si>
    <t>Estrela Do Rio</t>
  </si>
  <si>
    <t>Expresso Princesa</t>
  </si>
  <si>
    <t>Expresso Transpen</t>
  </si>
  <si>
    <t>F Tools</t>
  </si>
  <si>
    <t>Fabio Ribeiro</t>
  </si>
  <si>
    <t>Faspress</t>
  </si>
  <si>
    <t>Fazzy Internet</t>
  </si>
  <si>
    <t>Fenix Comercio</t>
  </si>
  <si>
    <t>Fiserv Do Brasil</t>
  </si>
  <si>
    <t>Flavio Rogerio</t>
  </si>
  <si>
    <t>Frio Peças</t>
  </si>
  <si>
    <t>Galicia Serviços</t>
  </si>
  <si>
    <t>Gardens</t>
  </si>
  <si>
    <t>Gemeos Ricardo</t>
  </si>
  <si>
    <t>Germano Pinheiro</t>
  </si>
  <si>
    <t>Giovana Passagens</t>
  </si>
  <si>
    <t>Giuliano Gonçalves</t>
  </si>
  <si>
    <t>Glicia Ferreira</t>
  </si>
  <si>
    <t>Hotel E Restaurante</t>
  </si>
  <si>
    <t>Ilario Serafim</t>
  </si>
  <si>
    <t>Innova Telecom</t>
  </si>
  <si>
    <t>Instal Print</t>
  </si>
  <si>
    <t>Irmaos Lucio</t>
  </si>
  <si>
    <t>Isaque da Silva</t>
  </si>
  <si>
    <t xml:space="preserve">J B Servicos De Agenciamento </t>
  </si>
  <si>
    <t>Jailton J Silva</t>
  </si>
  <si>
    <t xml:space="preserve">Jan Logistica </t>
  </si>
  <si>
    <t>Jose Alexsandro</t>
  </si>
  <si>
    <t>Jose Mateus</t>
  </si>
  <si>
    <t>Jrc Eletrica</t>
  </si>
  <si>
    <t>Js Peças</t>
  </si>
  <si>
    <t>Kalunga</t>
  </si>
  <si>
    <t>Lastro Comercio</t>
  </si>
  <si>
    <t>Lourinaldo Alves</t>
  </si>
  <si>
    <t>Lupapel</t>
  </si>
  <si>
    <t xml:space="preserve">M F S L Agencia </t>
  </si>
  <si>
    <t>Mais Link</t>
  </si>
  <si>
    <t>Maria Cleude</t>
  </si>
  <si>
    <t xml:space="preserve">Maria D Lurdes </t>
  </si>
  <si>
    <t>Mb Filmes</t>
  </si>
  <si>
    <t>Mdm Soluçoes</t>
  </si>
  <si>
    <t>Mesqui Serviços</t>
  </si>
  <si>
    <t xml:space="preserve">New Line </t>
  </si>
  <si>
    <t>Notre Dame</t>
  </si>
  <si>
    <t>Novacia tecnologia</t>
  </si>
  <si>
    <t xml:space="preserve">Nunes E Ferreira </t>
  </si>
  <si>
    <t>Oficina Mecanica Jh Ltda</t>
  </si>
  <si>
    <t>Padaria e Mercearia Saline</t>
  </si>
  <si>
    <t xml:space="preserve">Pavisolo Pavimento </t>
  </si>
  <si>
    <t>PC450157</t>
  </si>
  <si>
    <t>Protege</t>
  </si>
  <si>
    <t>Rcom</t>
  </si>
  <si>
    <t>Rei Do Tudo</t>
  </si>
  <si>
    <t xml:space="preserve">Reunidas </t>
  </si>
  <si>
    <t>Sampaio Multicoisas</t>
  </si>
  <si>
    <t>Selma Fernandes</t>
  </si>
  <si>
    <t>Servicekleen</t>
  </si>
  <si>
    <t>Sf Frangos</t>
  </si>
  <si>
    <t>Silvio dos Santos</t>
  </si>
  <si>
    <t>Soudy (Limpeza)</t>
  </si>
  <si>
    <t>Soudy (Portaria)</t>
  </si>
  <si>
    <t>Suzancomp</t>
  </si>
  <si>
    <t>Switch Serviços</t>
  </si>
  <si>
    <t>T. Edson Comercio</t>
  </si>
  <si>
    <t>Tacorrei Tacografos</t>
  </si>
  <si>
    <t xml:space="preserve">Tatiana Da Silva Moreira </t>
  </si>
  <si>
    <t>Teckman</t>
  </si>
  <si>
    <t>Ticket Soluçoes</t>
  </si>
  <si>
    <t>NCS</t>
  </si>
  <si>
    <t>Tita Solucoes</t>
  </si>
  <si>
    <t>Tv Midia Comunicação</t>
  </si>
  <si>
    <t>Unico Serviços</t>
  </si>
  <si>
    <t>Unopack Alimentos</t>
  </si>
  <si>
    <t>Util União</t>
  </si>
  <si>
    <t>Veppo e Cia</t>
  </si>
  <si>
    <t>Via Eletrica</t>
  </si>
  <si>
    <t>Viacao Pretti</t>
  </si>
  <si>
    <t>Vinicius Lima</t>
  </si>
  <si>
    <t>Volaris</t>
  </si>
  <si>
    <t>Vtk Tubos</t>
  </si>
  <si>
    <t>Walisson Jeronimo(Alimentação)</t>
  </si>
  <si>
    <t>Walisson Jeronimo(Limpeza)</t>
  </si>
  <si>
    <t>Willian Jamil Abbud</t>
  </si>
  <si>
    <t>Xvision</t>
  </si>
  <si>
    <t>TOTAL:</t>
  </si>
  <si>
    <t>Qtde:</t>
  </si>
  <si>
    <t>Total Linha:</t>
  </si>
  <si>
    <t>Unitario:</t>
  </si>
  <si>
    <t>Filial:</t>
  </si>
  <si>
    <t>CNPJ:</t>
  </si>
  <si>
    <t>UF:</t>
  </si>
  <si>
    <t>Diesel:</t>
  </si>
  <si>
    <t>Arla:</t>
  </si>
  <si>
    <t>52.406.329/0009-08</t>
  </si>
  <si>
    <t>SP</t>
  </si>
  <si>
    <t>52.406.329/0010-41</t>
  </si>
  <si>
    <t>GO</t>
  </si>
  <si>
    <t>52.406.329/0011-22</t>
  </si>
  <si>
    <t>PR</t>
  </si>
  <si>
    <t>52.406.329/0013-94</t>
  </si>
  <si>
    <t>RJ</t>
  </si>
  <si>
    <t>52.406.329/0014-75</t>
  </si>
  <si>
    <t>MG</t>
  </si>
  <si>
    <t>4972 - Betim</t>
  </si>
  <si>
    <t>52.406.329/0015-56</t>
  </si>
  <si>
    <t>BA</t>
  </si>
  <si>
    <t>52.406.329/0016-37</t>
  </si>
  <si>
    <t>ES</t>
  </si>
  <si>
    <t xml:space="preserve">6119 - Vitoria, </t>
  </si>
  <si>
    <t>52.406.329/0018-07</t>
  </si>
  <si>
    <t>AL</t>
  </si>
  <si>
    <t>52.406.329/0019-80</t>
  </si>
  <si>
    <t>SE</t>
  </si>
  <si>
    <t>52.406.329/0020-13</t>
  </si>
  <si>
    <t>PB</t>
  </si>
  <si>
    <t>52.406.329/0021-02</t>
  </si>
  <si>
    <t>PE</t>
  </si>
  <si>
    <t>52.406.329/0022-85</t>
  </si>
  <si>
    <t>DF</t>
  </si>
  <si>
    <t>52.406.329/0023-66</t>
  </si>
  <si>
    <t>RGS</t>
  </si>
  <si>
    <t>52.406.329/0024-47</t>
  </si>
  <si>
    <t>SC</t>
  </si>
  <si>
    <t>52.406.329/0012-13</t>
  </si>
  <si>
    <t xml:space="preserve">fornecedor </t>
  </si>
  <si>
    <t xml:space="preserve">valor </t>
  </si>
  <si>
    <t>venc</t>
  </si>
  <si>
    <t>midia express</t>
  </si>
  <si>
    <t>itanet conecta</t>
  </si>
  <si>
    <t>luvep luz veiculos</t>
  </si>
  <si>
    <t>BENEFICIARIO</t>
  </si>
  <si>
    <t>MÓDULO</t>
  </si>
  <si>
    <t xml:space="preserve"> VALOR </t>
  </si>
  <si>
    <t xml:space="preserve"> VENCIMENTO </t>
  </si>
  <si>
    <t>RIO</t>
  </si>
  <si>
    <t>Rod. Niteroi</t>
  </si>
  <si>
    <t>10 e 11</t>
  </si>
  <si>
    <t>todo dia 10</t>
  </si>
  <si>
    <t>Rod. Do Rio</t>
  </si>
  <si>
    <t>207/2</t>
  </si>
  <si>
    <t>29A</t>
  </si>
  <si>
    <t>63A</t>
  </si>
  <si>
    <t>E-47A</t>
  </si>
  <si>
    <t>E-49A</t>
  </si>
  <si>
    <t>BRASILIA</t>
  </si>
  <si>
    <t>Consorcio Novo Terminal</t>
  </si>
  <si>
    <t>B06</t>
  </si>
  <si>
    <t>todo dia 5</t>
  </si>
  <si>
    <t>DE05</t>
  </si>
  <si>
    <t>todo dia 1</t>
  </si>
  <si>
    <t>B04</t>
  </si>
  <si>
    <t>B05</t>
  </si>
  <si>
    <t>SÃO PAULO</t>
  </si>
  <si>
    <t>Socicam Tiête</t>
  </si>
  <si>
    <t>DE-03</t>
  </si>
  <si>
    <t>DE-03 QMCL</t>
  </si>
  <si>
    <t> </t>
  </si>
  <si>
    <t>todo dia 14</t>
  </si>
  <si>
    <t>SL 100</t>
  </si>
  <si>
    <t>347 QMCL</t>
  </si>
  <si>
    <t>352 QMCL</t>
  </si>
  <si>
    <t>446 QMCL</t>
  </si>
  <si>
    <t>448 QMCL</t>
  </si>
  <si>
    <t>447 QMCL</t>
  </si>
  <si>
    <t>449 QMCL</t>
  </si>
  <si>
    <t>450 QMCL</t>
  </si>
  <si>
    <t>451 QMCL</t>
  </si>
  <si>
    <t>452 QMCL</t>
  </si>
  <si>
    <t>453A</t>
  </si>
  <si>
    <t>453A QMCL</t>
  </si>
  <si>
    <t>ARACAJU</t>
  </si>
  <si>
    <t>Socicam Aracaju</t>
  </si>
  <si>
    <t>228 QMCL</t>
  </si>
  <si>
    <t>todo dia 15</t>
  </si>
  <si>
    <t>RECIFE</t>
  </si>
  <si>
    <t>Socicam Recife</t>
  </si>
  <si>
    <t>PERNAMBUCO</t>
  </si>
  <si>
    <t>Socicam Caruaru</t>
  </si>
  <si>
    <t>B07</t>
  </si>
  <si>
    <t>Socicam Serra Talhada</t>
  </si>
  <si>
    <t>B01</t>
  </si>
  <si>
    <t>Socicam Petrolina</t>
  </si>
  <si>
    <t>B42</t>
  </si>
  <si>
    <t>Socicam Arcoverde</t>
  </si>
  <si>
    <t>B13</t>
  </si>
  <si>
    <t>PARAIBA</t>
  </si>
  <si>
    <t>Socicam Campina Grande</t>
  </si>
  <si>
    <t>B26</t>
  </si>
  <si>
    <t>Socicam João Pessoa</t>
  </si>
  <si>
    <t>B27</t>
  </si>
  <si>
    <t>CAMPINAS</t>
  </si>
  <si>
    <t>Socicam Campinas</t>
  </si>
  <si>
    <t>B38</t>
  </si>
  <si>
    <t>B37</t>
  </si>
  <si>
    <t xml:space="preserve">CEÁRA </t>
  </si>
  <si>
    <t>Socicam Fortaleza</t>
  </si>
  <si>
    <t>RIO GRANDE DO NORTE</t>
  </si>
  <si>
    <t>Socicam Natal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</si>
</sst>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8" formatCode="&quot;R$&quot;\ #,##0.00;[Red]\-&quot;R$&quot;\ #,##0.00"/>
    <numFmt numFmtId="44" formatCode="_-&quot;R$&quot;\ * #,##0.00_-;\-&quot;R$&quot;\ * #,##0.00_-;_-&quot;R$&quot;\ * &quot;-&quot;??_-;_-@_-"/>
    <numFmt numFmtId="164" formatCode="_(&quot;R$&quot;* #,##0.00_);_(&quot;R$&quot;* \(#,##0.00\);_(&quot;R$&quot;* &quot;-&quot;??_);_(@_)"/>
    <numFmt numFmtId="165" formatCode="&quot;R$&quot;\ #,##0.00"/>
    <numFmt numFmtId="166" formatCode="#,##0.000000000000000"/>
    <numFmt numFmtId="167" formatCode="_-[$R$-416]\ * #,##0.00_-;\-[$R$-416]\ * #,##0.00_-;_-[$R$-416]\ * &quot;-&quot;??_-;_-@_-"/>
  </numFmts>
  <fonts count="3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1"/>
      <color theme="0"/>
      <name val="Calibri"/>
      <scheme val="minor"/>
    </font>
    <font>
      <sz val="18"/>
      <color rgb="FFE7E6E6"/>
      <name val="Calibri"/>
      <family val="2"/>
    </font>
    <font>
      <sz val="18"/>
      <color rgb="FF000000"/>
      <name val="Calibri"/>
      <family val="2"/>
    </font>
    <font>
      <sz val="18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4"/>
      <color theme="10"/>
      <name val="Calibri"/>
      <family val="2"/>
      <scheme val="minor"/>
    </font>
    <font>
      <sz val="11"/>
      <color theme="1"/>
      <name val="Calibri Light"/>
      <scheme val="major"/>
    </font>
    <font>
      <sz val="14"/>
      <color theme="1"/>
      <name val="Calibri"/>
      <scheme val="minor"/>
    </font>
    <font>
      <sz val="18"/>
      <color theme="1"/>
      <name val="Calibri"/>
      <scheme val="minor"/>
    </font>
    <font>
      <b/>
      <sz val="18"/>
      <color theme="1"/>
      <name val="Calibri"/>
      <scheme val="minor"/>
    </font>
    <font>
      <sz val="20"/>
      <color theme="0"/>
      <name val="Calibri"/>
      <scheme val="minor"/>
    </font>
    <font>
      <sz val="18"/>
      <color theme="0"/>
      <name val="Calibri"/>
      <scheme val="minor"/>
    </font>
    <font>
      <b/>
      <sz val="18"/>
      <color theme="0"/>
      <name val="Calibri"/>
      <scheme val="minor"/>
    </font>
    <font>
      <sz val="18"/>
      <color rgb="FFE7E6E6"/>
      <name val="Calibri"/>
    </font>
    <font>
      <sz val="18"/>
      <color rgb="FF000000"/>
      <name val="Calibri"/>
    </font>
    <font>
      <sz val="14"/>
      <color rgb="FF000000"/>
      <name val="Calibri"/>
      <scheme val="minor"/>
    </font>
    <font>
      <b/>
      <sz val="20"/>
      <color rgb="FF000000"/>
      <name val="Calibri"/>
      <scheme val="minor"/>
    </font>
    <font>
      <b/>
      <sz val="20"/>
      <color theme="0"/>
      <name val="Calibri"/>
      <scheme val="minor"/>
    </font>
    <font>
      <sz val="14"/>
      <color theme="2" tint="-0.89999084444715716"/>
      <name val="Calibri"/>
      <scheme val="minor"/>
    </font>
    <font>
      <sz val="14"/>
      <color theme="1"/>
      <name val="Yu Mincho"/>
    </font>
    <font>
      <sz val="14"/>
      <color rgb="FFFF0000"/>
      <name val="Calibri"/>
      <family val="2"/>
      <scheme val="minor"/>
    </font>
    <font>
      <u/>
      <sz val="14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4"/>
      </patternFill>
    </fill>
    <fill>
      <patternFill patternType="solid">
        <fgColor rgb="FF262626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 style="double">
        <color rgb="FF000000"/>
      </right>
      <top style="double">
        <color rgb="FF000000"/>
      </top>
      <bottom/>
      <diagonal/>
    </border>
    <border>
      <left style="double">
        <color rgb="FF000000"/>
      </left>
      <right/>
      <top/>
      <bottom style="double">
        <color rgb="FF000000"/>
      </bottom>
      <diagonal/>
    </border>
    <border>
      <left style="double">
        <color rgb="FF000000"/>
      </left>
      <right style="double">
        <color rgb="FF000000"/>
      </right>
      <top style="double">
        <color rgb="FF000000"/>
      </top>
      <bottom/>
      <diagonal/>
    </border>
    <border>
      <left style="double">
        <color rgb="FF000000"/>
      </left>
      <right style="double">
        <color rgb="FF000000"/>
      </right>
      <top/>
      <bottom/>
      <diagonal/>
    </border>
    <border>
      <left style="double">
        <color rgb="FF000000"/>
      </left>
      <right style="double">
        <color rgb="FF000000"/>
      </right>
      <top/>
      <bottom style="double">
        <color rgb="FF000000"/>
      </bottom>
      <diagonal/>
    </border>
    <border>
      <left style="double">
        <color rgb="FF000000"/>
      </left>
      <right/>
      <top style="double">
        <color rgb="FF000000"/>
      </top>
      <bottom style="double">
        <color rgb="FF000000"/>
      </bottom>
      <diagonal/>
    </border>
    <border>
      <left/>
      <right style="double">
        <color rgb="FF000000"/>
      </right>
      <top style="double">
        <color rgb="FF000000"/>
      </top>
      <bottom style="double">
        <color rgb="FF000000"/>
      </bottom>
      <diagonal/>
    </border>
    <border>
      <left/>
      <right style="double">
        <color rgb="FF000000"/>
      </right>
      <top/>
      <bottom/>
      <diagonal/>
    </border>
    <border>
      <left/>
      <right style="double">
        <color rgb="FF000000"/>
      </right>
      <top/>
      <bottom style="double">
        <color rgb="FF000000"/>
      </bottom>
      <diagonal/>
    </border>
    <border>
      <left style="double">
        <color rgb="FF000000"/>
      </left>
      <right/>
      <top style="double">
        <color rgb="FF000000"/>
      </top>
      <bottom/>
      <diagonal/>
    </border>
    <border>
      <left/>
      <right/>
      <top style="double">
        <color rgb="FF000000"/>
      </top>
      <bottom/>
      <diagonal/>
    </border>
    <border>
      <left/>
      <right/>
      <top/>
      <bottom style="double">
        <color rgb="FF000000"/>
      </bottom>
      <diagonal/>
    </border>
    <border>
      <left/>
      <right/>
      <top style="double">
        <color rgb="FF000000"/>
      </top>
      <bottom style="double">
        <color rgb="FF000000"/>
      </bottom>
      <diagonal/>
    </border>
    <border>
      <left/>
      <right/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 style="double">
        <color rgb="FF000000"/>
      </left>
      <right/>
      <top/>
      <bottom/>
      <diagonal/>
    </border>
    <border>
      <left style="double">
        <color rgb="FF000000"/>
      </left>
      <right style="double">
        <color rgb="FF000000"/>
      </right>
      <top style="double">
        <color rgb="FF000000"/>
      </top>
      <bottom style="double">
        <color rgb="FF000000"/>
      </bottom>
      <diagonal/>
    </border>
  </borders>
  <cellStyleXfs count="7">
    <xf numFmtId="0" fontId="0" fillId="0" borderId="0"/>
    <xf numFmtId="0" fontId="2" fillId="2" borderId="0" applyNumberFormat="0" applyBorder="0" applyAlignment="0" applyProtection="0"/>
    <xf numFmtId="0" fontId="1" fillId="3" borderId="0" applyNumberFormat="0" applyBorder="0" applyAlignment="0" applyProtection="0"/>
    <xf numFmtId="0" fontId="2" fillId="4" borderId="0" applyNumberFormat="0" applyBorder="0" applyAlignment="0" applyProtection="0"/>
    <xf numFmtId="0" fontId="1" fillId="5" borderId="0" applyNumberFormat="0" applyBorder="0" applyAlignment="0" applyProtection="0"/>
    <xf numFmtId="0" fontId="10" fillId="6" borderId="0" applyNumberFormat="0" applyBorder="0" applyAlignment="0" applyProtection="0"/>
    <xf numFmtId="0" fontId="8" fillId="0" borderId="0" applyNumberFormat="0" applyFill="0" applyBorder="0" applyAlignment="0" applyProtection="0"/>
  </cellStyleXfs>
  <cellXfs count="122">
    <xf numFmtId="0" fontId="0" fillId="0" borderId="0" xfId="0"/>
    <xf numFmtId="0" fontId="0" fillId="0" borderId="0" xfId="0" applyAlignment="1">
      <alignment horizontal="center" vertical="center"/>
    </xf>
    <xf numFmtId="0" fontId="4" fillId="0" borderId="0" xfId="0" applyFont="1"/>
    <xf numFmtId="0" fontId="4" fillId="0" borderId="0" xfId="0" applyFont="1" applyAlignment="1">
      <alignment horizontal="center" vertical="center"/>
    </xf>
    <xf numFmtId="164" fontId="0" fillId="0" borderId="0" xfId="0" applyNumberFormat="1"/>
    <xf numFmtId="165" fontId="0" fillId="0" borderId="0" xfId="0" applyNumberFormat="1"/>
    <xf numFmtId="14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165" fontId="5" fillId="4" borderId="0" xfId="3" applyNumberFormat="1" applyFont="1"/>
    <xf numFmtId="165" fontId="9" fillId="4" borderId="0" xfId="3" applyNumberFormat="1" applyFont="1" applyAlignment="1">
      <alignment horizontal="right" vertical="center"/>
    </xf>
    <xf numFmtId="165" fontId="9" fillId="4" borderId="0" xfId="3" applyNumberFormat="1" applyFont="1"/>
    <xf numFmtId="0" fontId="5" fillId="4" borderId="0" xfId="3" applyFont="1"/>
    <xf numFmtId="2" fontId="3" fillId="5" borderId="0" xfId="4" applyNumberFormat="1" applyFont="1"/>
    <xf numFmtId="166" fontId="3" fillId="5" borderId="0" xfId="4" applyNumberFormat="1" applyFont="1"/>
    <xf numFmtId="14" fontId="0" fillId="0" borderId="0" xfId="0" applyNumberFormat="1" applyAlignment="1">
      <alignment horizontal="center"/>
    </xf>
    <xf numFmtId="0" fontId="0" fillId="0" borderId="0" xfId="0" applyAlignment="1">
      <alignment vertical="center"/>
    </xf>
    <xf numFmtId="0" fontId="10" fillId="6" borderId="0" xfId="5" applyAlignment="1">
      <alignment horizontal="center"/>
    </xf>
    <xf numFmtId="167" fontId="10" fillId="6" borderId="0" xfId="5" applyNumberFormat="1" applyAlignment="1">
      <alignment horizontal="center"/>
    </xf>
    <xf numFmtId="167" fontId="0" fillId="0" borderId="0" xfId="0" applyNumberFormat="1" applyAlignment="1">
      <alignment horizontal="center"/>
    </xf>
    <xf numFmtId="0" fontId="11" fillId="7" borderId="1" xfId="0" applyFont="1" applyFill="1" applyBorder="1" applyAlignment="1">
      <alignment horizontal="center" vertical="center"/>
    </xf>
    <xf numFmtId="0" fontId="11" fillId="7" borderId="2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0" borderId="5" xfId="0" applyFont="1" applyBorder="1" applyAlignment="1">
      <alignment horizontal="center" vertical="center" wrapText="1"/>
    </xf>
    <xf numFmtId="0" fontId="12" fillId="0" borderId="6" xfId="0" applyFont="1" applyBorder="1" applyAlignment="1">
      <alignment horizontal="center" vertical="center"/>
    </xf>
    <xf numFmtId="8" fontId="12" fillId="0" borderId="6" xfId="0" applyNumberFormat="1" applyFont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165" fontId="12" fillId="0" borderId="6" xfId="0" applyNumberFormat="1" applyFont="1" applyBorder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13" fillId="0" borderId="0" xfId="0" applyFont="1"/>
    <xf numFmtId="0" fontId="13" fillId="0" borderId="0" xfId="0" applyFont="1" applyAlignment="1">
      <alignment horizontal="center" vertical="center"/>
    </xf>
    <xf numFmtId="0" fontId="13" fillId="0" borderId="0" xfId="0" applyFont="1" applyAlignment="1">
      <alignment horizontal="left" vertical="center"/>
    </xf>
    <xf numFmtId="0" fontId="13" fillId="0" borderId="0" xfId="0" applyFont="1" applyAlignment="1">
      <alignment horizontal="left"/>
    </xf>
    <xf numFmtId="167" fontId="13" fillId="0" borderId="0" xfId="0" applyNumberFormat="1" applyFont="1" applyAlignment="1">
      <alignment horizontal="center" vertical="center"/>
    </xf>
    <xf numFmtId="14" fontId="13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14" fontId="6" fillId="0" borderId="0" xfId="0" applyNumberFormat="1" applyFont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44" fontId="4" fillId="0" borderId="0" xfId="0" applyNumberFormat="1" applyFont="1" applyAlignment="1">
      <alignment horizontal="right" vertical="center"/>
    </xf>
    <xf numFmtId="44" fontId="4" fillId="0" borderId="0" xfId="0" applyNumberFormat="1" applyFont="1" applyAlignment="1">
      <alignment horizontal="center" vertical="center"/>
    </xf>
    <xf numFmtId="0" fontId="18" fillId="0" borderId="0" xfId="0" applyFont="1" applyAlignment="1">
      <alignment vertical="center"/>
    </xf>
    <xf numFmtId="0" fontId="21" fillId="11" borderId="12" xfId="0" applyFont="1" applyFill="1" applyBorder="1" applyAlignment="1">
      <alignment horizontal="right" vertical="center"/>
    </xf>
    <xf numFmtId="0" fontId="22" fillId="11" borderId="13" xfId="0" applyFont="1" applyFill="1" applyBorder="1" applyAlignment="1">
      <alignment horizontal="center" vertical="center"/>
    </xf>
    <xf numFmtId="0" fontId="4" fillId="0" borderId="24" xfId="0" applyFont="1" applyBorder="1" applyAlignment="1">
      <alignment horizontal="center" vertical="center" wrapText="1"/>
    </xf>
    <xf numFmtId="0" fontId="4" fillId="0" borderId="25" xfId="0" applyFont="1" applyBorder="1" applyAlignment="1">
      <alignment horizontal="center" vertical="center"/>
    </xf>
    <xf numFmtId="0" fontId="17" fillId="10" borderId="13" xfId="0" applyFont="1" applyFill="1" applyBorder="1" applyAlignment="1">
      <alignment horizontal="center" vertical="center"/>
    </xf>
    <xf numFmtId="14" fontId="17" fillId="10" borderId="13" xfId="0" applyNumberFormat="1" applyFont="1" applyFill="1" applyBorder="1" applyAlignment="1">
      <alignment horizontal="center" vertical="center"/>
    </xf>
    <xf numFmtId="0" fontId="17" fillId="10" borderId="11" xfId="0" applyFont="1" applyFill="1" applyBorder="1" applyAlignment="1">
      <alignment horizontal="center" vertical="center"/>
    </xf>
    <xf numFmtId="0" fontId="17" fillId="10" borderId="14" xfId="0" applyFont="1" applyFill="1" applyBorder="1" applyAlignment="1">
      <alignment horizontal="center" vertical="center"/>
    </xf>
    <xf numFmtId="14" fontId="17" fillId="10" borderId="14" xfId="0" applyNumberFormat="1" applyFont="1" applyFill="1" applyBorder="1" applyAlignment="1">
      <alignment horizontal="center" vertical="center"/>
    </xf>
    <xf numFmtId="0" fontId="17" fillId="10" borderId="18" xfId="0" applyFont="1" applyFill="1" applyBorder="1" applyAlignment="1">
      <alignment horizontal="center" vertical="center"/>
    </xf>
    <xf numFmtId="0" fontId="17" fillId="10" borderId="15" xfId="0" applyFont="1" applyFill="1" applyBorder="1" applyAlignment="1">
      <alignment horizontal="center" vertical="center"/>
    </xf>
    <xf numFmtId="14" fontId="17" fillId="10" borderId="15" xfId="0" applyNumberFormat="1" applyFont="1" applyFill="1" applyBorder="1" applyAlignment="1">
      <alignment horizontal="center" vertical="center"/>
    </xf>
    <xf numFmtId="0" fontId="17" fillId="10" borderId="19" xfId="0" applyFont="1" applyFill="1" applyBorder="1" applyAlignment="1">
      <alignment horizontal="center" vertical="center"/>
    </xf>
    <xf numFmtId="0" fontId="22" fillId="11" borderId="20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165" fontId="0" fillId="0" borderId="0" xfId="0" applyNumberFormat="1" applyAlignment="1">
      <alignment vertical="center"/>
    </xf>
    <xf numFmtId="44" fontId="17" fillId="10" borderId="21" xfId="0" applyNumberFormat="1" applyFont="1" applyFill="1" applyBorder="1" applyAlignment="1">
      <alignment horizontal="center" vertical="center"/>
    </xf>
    <xf numFmtId="44" fontId="17" fillId="10" borderId="0" xfId="0" applyNumberFormat="1" applyFont="1" applyFill="1" applyAlignment="1">
      <alignment horizontal="center" vertical="center"/>
    </xf>
    <xf numFmtId="44" fontId="17" fillId="10" borderId="22" xfId="0" applyNumberFormat="1" applyFont="1" applyFill="1" applyBorder="1" applyAlignment="1">
      <alignment horizontal="center" vertical="center"/>
    </xf>
    <xf numFmtId="0" fontId="24" fillId="0" borderId="5" xfId="0" applyFont="1" applyBorder="1" applyAlignment="1">
      <alignment horizontal="center" vertical="center" wrapText="1"/>
    </xf>
    <xf numFmtId="0" fontId="24" fillId="0" borderId="6" xfId="0" applyFont="1" applyBorder="1" applyAlignment="1">
      <alignment horizontal="center" vertical="center"/>
    </xf>
    <xf numFmtId="8" fontId="24" fillId="0" borderId="6" xfId="0" applyNumberFormat="1" applyFont="1" applyBorder="1" applyAlignment="1">
      <alignment horizontal="center" vertical="center"/>
    </xf>
    <xf numFmtId="14" fontId="24" fillId="0" borderId="6" xfId="0" applyNumberFormat="1" applyFont="1" applyBorder="1" applyAlignment="1">
      <alignment horizontal="center" vertical="center"/>
    </xf>
    <xf numFmtId="165" fontId="24" fillId="0" borderId="6" xfId="0" applyNumberFormat="1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 wrapText="1"/>
    </xf>
    <xf numFmtId="0" fontId="12" fillId="0" borderId="8" xfId="0" applyFont="1" applyBorder="1" applyAlignment="1">
      <alignment horizontal="center" vertical="center"/>
    </xf>
    <xf numFmtId="165" fontId="12" fillId="0" borderId="8" xfId="0" applyNumberFormat="1" applyFont="1" applyBorder="1" applyAlignment="1">
      <alignment horizontal="center" vertical="center"/>
    </xf>
    <xf numFmtId="14" fontId="12" fillId="0" borderId="8" xfId="0" applyNumberFormat="1" applyFont="1" applyBorder="1" applyAlignment="1">
      <alignment horizontal="center" vertical="center"/>
    </xf>
    <xf numFmtId="0" fontId="4" fillId="0" borderId="0" xfId="0" quotePrefix="1" applyFont="1" applyAlignment="1">
      <alignment horizontal="center" vertical="center"/>
    </xf>
    <xf numFmtId="0" fontId="25" fillId="9" borderId="0" xfId="1" applyFont="1" applyFill="1" applyBorder="1" applyAlignment="1">
      <alignment horizontal="right" vertical="center"/>
    </xf>
    <xf numFmtId="167" fontId="25" fillId="9" borderId="0" xfId="2" applyNumberFormat="1" applyFont="1" applyFill="1" applyBorder="1" applyAlignment="1">
      <alignment horizontal="right" vertical="center"/>
    </xf>
    <xf numFmtId="0" fontId="21" fillId="13" borderId="12" xfId="1" applyFont="1" applyFill="1" applyBorder="1" applyAlignment="1">
      <alignment horizontal="center" vertical="center"/>
    </xf>
    <xf numFmtId="14" fontId="0" fillId="0" borderId="0" xfId="0" applyNumberFormat="1" applyAlignment="1">
      <alignment vertical="center"/>
    </xf>
    <xf numFmtId="0" fontId="25" fillId="0" borderId="0" xfId="0" applyFont="1" applyAlignment="1">
      <alignment horizontal="center" vertical="center" wrapText="1"/>
    </xf>
    <xf numFmtId="0" fontId="21" fillId="13" borderId="26" xfId="1" applyFont="1" applyFill="1" applyBorder="1" applyAlignment="1">
      <alignment horizontal="center" vertical="center"/>
    </xf>
    <xf numFmtId="167" fontId="28" fillId="14" borderId="14" xfId="2" applyNumberFormat="1" applyFont="1" applyFill="1" applyBorder="1" applyAlignment="1">
      <alignment horizontal="center" vertical="center"/>
    </xf>
    <xf numFmtId="167" fontId="28" fillId="14" borderId="15" xfId="2" applyNumberFormat="1" applyFont="1" applyFill="1" applyBorder="1" applyAlignment="1">
      <alignment horizontal="center" vertical="center"/>
    </xf>
    <xf numFmtId="0" fontId="27" fillId="12" borderId="16" xfId="1" applyFont="1" applyFill="1" applyBorder="1" applyAlignment="1">
      <alignment horizontal="center" vertical="center"/>
    </xf>
    <xf numFmtId="165" fontId="26" fillId="15" borderId="27" xfId="1" applyNumberFormat="1" applyFont="1" applyFill="1" applyBorder="1" applyAlignment="1">
      <alignment horizontal="center" vertical="center"/>
    </xf>
    <xf numFmtId="44" fontId="14" fillId="8" borderId="0" xfId="6" applyNumberFormat="1" applyFont="1" applyFill="1" applyAlignment="1">
      <alignment horizontal="center" vertical="center"/>
    </xf>
    <xf numFmtId="44" fontId="14" fillId="8" borderId="0" xfId="6" applyNumberFormat="1" applyFont="1" applyFill="1" applyBorder="1" applyAlignment="1">
      <alignment horizontal="center" vertical="center"/>
    </xf>
    <xf numFmtId="44" fontId="15" fillId="0" borderId="0" xfId="6" applyNumberFormat="1" applyFont="1" applyBorder="1" applyAlignment="1">
      <alignment horizontal="center" vertical="center"/>
    </xf>
    <xf numFmtId="44" fontId="15" fillId="8" borderId="0" xfId="6" applyNumberFormat="1" applyFont="1" applyFill="1" applyBorder="1" applyAlignment="1">
      <alignment horizontal="center" vertical="center"/>
    </xf>
    <xf numFmtId="44" fontId="15" fillId="0" borderId="0" xfId="6" applyNumberFormat="1" applyFont="1" applyAlignment="1">
      <alignment horizontal="center" vertical="center"/>
    </xf>
    <xf numFmtId="44" fontId="15" fillId="8" borderId="0" xfId="6" applyNumberFormat="1" applyFont="1" applyFill="1" applyAlignment="1">
      <alignment horizontal="center" vertical="center"/>
    </xf>
    <xf numFmtId="44" fontId="4" fillId="0" borderId="10" xfId="0" applyNumberFormat="1" applyFont="1" applyBorder="1" applyAlignment="1">
      <alignment horizontal="center" vertical="center"/>
    </xf>
    <xf numFmtId="44" fontId="14" fillId="8" borderId="10" xfId="6" applyNumberFormat="1" applyFont="1" applyFill="1" applyBorder="1" applyAlignment="1">
      <alignment horizontal="center" vertical="center"/>
    </xf>
    <xf numFmtId="44" fontId="4" fillId="0" borderId="10" xfId="0" applyNumberFormat="1" applyFont="1" applyBorder="1" applyAlignment="1">
      <alignment horizontal="right" vertical="center"/>
    </xf>
    <xf numFmtId="0" fontId="13" fillId="0" borderId="0" xfId="0" applyFont="1" applyAlignment="1">
      <alignment horizontal="center" vertical="center" wrapText="1"/>
    </xf>
    <xf numFmtId="0" fontId="29" fillId="0" borderId="0" xfId="0" applyFont="1" applyAlignment="1">
      <alignment horizontal="center" vertical="center"/>
    </xf>
    <xf numFmtId="14" fontId="0" fillId="0" borderId="0" xfId="0" applyNumberFormat="1"/>
    <xf numFmtId="44" fontId="4" fillId="0" borderId="24" xfId="0" applyNumberFormat="1" applyFont="1" applyBorder="1" applyAlignment="1">
      <alignment horizontal="right" vertical="center"/>
    </xf>
    <xf numFmtId="0" fontId="4" fillId="0" borderId="0" xfId="0" applyFont="1" applyAlignment="1">
      <alignment horizontal="center"/>
    </xf>
    <xf numFmtId="0" fontId="4" fillId="0" borderId="0" xfId="0" quotePrefix="1" applyFont="1" applyAlignment="1">
      <alignment horizontal="center" vertical="center" wrapText="1"/>
    </xf>
    <xf numFmtId="44" fontId="13" fillId="0" borderId="0" xfId="0" applyNumberFormat="1" applyFont="1" applyAlignment="1">
      <alignment horizontal="center" vertical="center"/>
    </xf>
    <xf numFmtId="44" fontId="30" fillId="8" borderId="0" xfId="6" applyNumberFormat="1" applyFont="1" applyFill="1" applyBorder="1" applyAlignment="1">
      <alignment horizontal="center" vertical="center"/>
    </xf>
    <xf numFmtId="44" fontId="30" fillId="8" borderId="0" xfId="6" applyNumberFormat="1" applyFont="1" applyFill="1" applyAlignment="1">
      <alignment horizontal="center" vertical="center"/>
    </xf>
    <xf numFmtId="44" fontId="31" fillId="0" borderId="0" xfId="0" applyNumberFormat="1" applyFont="1" applyAlignment="1">
      <alignment horizontal="center" vertical="center"/>
    </xf>
    <xf numFmtId="44" fontId="4" fillId="0" borderId="24" xfId="0" applyNumberFormat="1" applyFont="1" applyBorder="1" applyAlignment="1">
      <alignment horizontal="center" vertical="center"/>
    </xf>
    <xf numFmtId="14" fontId="18" fillId="0" borderId="0" xfId="0" applyNumberFormat="1" applyFont="1" applyAlignment="1">
      <alignment vertical="center"/>
    </xf>
    <xf numFmtId="14" fontId="22" fillId="11" borderId="13" xfId="0" applyNumberFormat="1" applyFont="1" applyFill="1" applyBorder="1" applyAlignment="1">
      <alignment horizontal="center" vertical="center"/>
    </xf>
    <xf numFmtId="14" fontId="0" fillId="0" borderId="0" xfId="0" applyNumberFormat="1" applyAlignment="1">
      <alignment horizontal="left"/>
    </xf>
    <xf numFmtId="0" fontId="20" fillId="11" borderId="20" xfId="0" applyFont="1" applyFill="1" applyBorder="1" applyAlignment="1">
      <alignment horizontal="center" vertical="center"/>
    </xf>
    <xf numFmtId="0" fontId="20" fillId="11" borderId="21" xfId="0" applyFont="1" applyFill="1" applyBorder="1" applyAlignment="1">
      <alignment horizontal="center" vertical="center"/>
    </xf>
    <xf numFmtId="0" fontId="20" fillId="11" borderId="11" xfId="0" applyFont="1" applyFill="1" applyBorder="1" applyAlignment="1">
      <alignment horizontal="center" vertical="center"/>
    </xf>
    <xf numFmtId="0" fontId="19" fillId="10" borderId="16" xfId="0" applyFont="1" applyFill="1" applyBorder="1" applyAlignment="1">
      <alignment horizontal="center" vertical="center"/>
    </xf>
    <xf numFmtId="0" fontId="19" fillId="10" borderId="23" xfId="0" applyFont="1" applyFill="1" applyBorder="1" applyAlignment="1">
      <alignment horizontal="center" vertical="center"/>
    </xf>
    <xf numFmtId="0" fontId="19" fillId="10" borderId="17" xfId="0" applyFont="1" applyFill="1" applyBorder="1" applyAlignment="1">
      <alignment horizontal="center" vertical="center"/>
    </xf>
    <xf numFmtId="0" fontId="23" fillId="7" borderId="7" xfId="0" applyFont="1" applyFill="1" applyBorder="1" applyAlignment="1">
      <alignment horizontal="center" vertical="center"/>
    </xf>
    <xf numFmtId="0" fontId="23" fillId="7" borderId="8" xfId="0" applyFont="1" applyFill="1" applyBorder="1" applyAlignment="1">
      <alignment horizontal="center" vertical="center"/>
    </xf>
    <xf numFmtId="0" fontId="23" fillId="7" borderId="9" xfId="0" applyFont="1" applyFill="1" applyBorder="1" applyAlignment="1">
      <alignment horizontal="center" vertical="center"/>
    </xf>
    <xf numFmtId="0" fontId="11" fillId="7" borderId="7" xfId="0" applyFont="1" applyFill="1" applyBorder="1" applyAlignment="1">
      <alignment horizontal="center" vertical="center"/>
    </xf>
    <xf numFmtId="0" fontId="11" fillId="7" borderId="8" xfId="0" applyFont="1" applyFill="1" applyBorder="1" applyAlignment="1">
      <alignment horizontal="center" vertical="center"/>
    </xf>
    <xf numFmtId="0" fontId="11" fillId="7" borderId="9" xfId="0" applyFont="1" applyFill="1" applyBorder="1" applyAlignment="1">
      <alignment horizontal="center" vertical="center"/>
    </xf>
    <xf numFmtId="0" fontId="11" fillId="7" borderId="3" xfId="0" applyFont="1" applyFill="1" applyBorder="1" applyAlignment="1">
      <alignment horizontal="center" vertical="center"/>
    </xf>
    <xf numFmtId="0" fontId="11" fillId="7" borderId="4" xfId="0" applyFont="1" applyFill="1" applyBorder="1" applyAlignment="1">
      <alignment horizontal="center" vertical="center"/>
    </xf>
    <xf numFmtId="0" fontId="11" fillId="7" borderId="2" xfId="0" applyFont="1" applyFill="1" applyBorder="1" applyAlignment="1">
      <alignment horizontal="center" vertical="center"/>
    </xf>
    <xf numFmtId="0" fontId="11" fillId="7" borderId="6" xfId="0" applyFont="1" applyFill="1" applyBorder="1" applyAlignment="1">
      <alignment horizontal="center" vertical="center"/>
    </xf>
  </cellXfs>
  <cellStyles count="7">
    <cellStyle name="20% - Ênfase5" xfId="4" builtinId="46"/>
    <cellStyle name="20% - Ênfase6" xfId="2" builtinId="50"/>
    <cellStyle name="Ênfase1" xfId="5" builtinId="29"/>
    <cellStyle name="Ênfase5" xfId="3" builtinId="45"/>
    <cellStyle name="Ênfase6" xfId="1" builtinId="49"/>
    <cellStyle name="Hyperlink" xfId="6" xr:uid="{00000000-000B-0000-0000-000008000000}"/>
    <cellStyle name="Normal" xfId="0" builtinId="0"/>
  </cellStyles>
  <dxfs count="61">
    <dxf>
      <font>
        <color rgb="FF006100"/>
      </font>
      <fill>
        <patternFill>
          <bgColor rgb="FFC6EFCE"/>
        </patternFill>
      </fill>
    </dxf>
    <dxf>
      <font>
        <strike val="0"/>
        <outline val="0"/>
        <shadow val="0"/>
        <u val="none"/>
        <vertAlign val="baseline"/>
        <sz val="14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z val="18"/>
      </font>
      <numFmt numFmtId="0" formatCode="General"/>
      <alignment horizontal="left" vertical="center" textRotation="0" wrapText="0" indent="0" justifyLastLine="0" shrinkToFit="0" readingOrder="0"/>
    </dxf>
    <dxf>
      <font>
        <sz val="18"/>
      </font>
      <alignment horizontal="center" vertical="center" textRotation="0" wrapText="0" indent="0" justifyLastLine="0" shrinkToFit="0" readingOrder="0"/>
    </dxf>
    <dxf>
      <font>
        <sz val="18"/>
      </font>
      <alignment horizontal="center" vertical="center" textRotation="0" wrapText="0" indent="0" justifyLastLine="0" shrinkToFit="0" readingOrder="0"/>
    </dxf>
    <dxf>
      <font>
        <sz val="18"/>
      </font>
      <alignment horizontal="center" vertical="center" textRotation="0" wrapText="0" indent="0" justifyLastLine="0" shrinkToFit="0" readingOrder="0"/>
    </dxf>
    <dxf>
      <font>
        <sz val="18"/>
      </font>
      <alignment horizontal="center" vertical="center" textRotation="0" wrapText="0" indent="0" justifyLastLine="0" shrinkToFit="0" readingOrder="0"/>
    </dxf>
    <dxf>
      <font>
        <sz val="18"/>
      </font>
      <alignment horizontal="center" vertical="center" textRotation="0" wrapText="0" indent="0" justifyLastLine="0" shrinkToFit="0" readingOrder="0"/>
    </dxf>
    <dxf>
      <font>
        <sz val="18"/>
      </font>
      <alignment horizontal="center" vertical="center" textRotation="0" wrapText="0" indent="0" justifyLastLine="0" shrinkToFit="0" readingOrder="0"/>
    </dxf>
    <dxf>
      <font>
        <sz val="18"/>
      </font>
      <alignment horizontal="center" vertical="center" textRotation="0" wrapText="0" indent="0" justifyLastLine="0" shrinkToFit="0" readingOrder="0"/>
    </dxf>
    <dxf>
      <font>
        <sz val="18"/>
      </font>
      <alignment horizontal="center" vertical="center" textRotation="0" wrapText="0" indent="0" justifyLastLine="0" shrinkToFit="0" readingOrder="0"/>
    </dxf>
    <dxf>
      <font>
        <sz val="18"/>
      </font>
      <alignment horizontal="center" vertical="center" textRotation="0" wrapText="0" indent="0" justifyLastLine="0" shrinkToFit="0" readingOrder="0"/>
    </dxf>
    <dxf>
      <font>
        <sz val="18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color rgb="FF9C5700"/>
      </font>
      <fill>
        <patternFill patternType="solid"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sz val="18"/>
      </font>
      <alignment horizontal="center" vertical="center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z val="18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z val="18"/>
      </font>
      <numFmt numFmtId="167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numFmt numFmtId="167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z val="18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z val="18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z val="18"/>
      </font>
      <alignment horizontal="center" vertical="center"/>
    </dxf>
    <dxf>
      <font>
        <sz val="18"/>
      </font>
      <alignment horizontal="center" vertical="center"/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40404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pixabay.com/es/casa-icono-svg-vector-bot%C3%B3n-2741413/" TargetMode="External"/><Relationship Id="rId2" Type="http://schemas.openxmlformats.org/officeDocument/2006/relationships/image" Target="../media/image1.png"/><Relationship Id="rId1" Type="http://schemas.openxmlformats.org/officeDocument/2006/relationships/hyperlink" Target="#Principal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https://pixabay.com/es/casa-icono-svg-vector-bot%C3%B3n-2741413/" TargetMode="External"/><Relationship Id="rId2" Type="http://schemas.openxmlformats.org/officeDocument/2006/relationships/image" Target="../media/image1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https://pixabay.com/es/casa-icono-svg-vector-bot%C3%B3n-2741413/" TargetMode="External"/><Relationship Id="rId2" Type="http://schemas.openxmlformats.org/officeDocument/2006/relationships/image" Target="../media/image1.png"/><Relationship Id="rId1" Type="http://schemas.openxmlformats.org/officeDocument/2006/relationships/hyperlink" Target="#Principal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https://pixabay.com/es/casa-icono-svg-vector-bot%C3%B3n-2741413/" TargetMode="External"/><Relationship Id="rId2" Type="http://schemas.openxmlformats.org/officeDocument/2006/relationships/image" Target="../media/image1.png"/><Relationship Id="rId1" Type="http://schemas.openxmlformats.org/officeDocument/2006/relationships/hyperlink" Target="#Principal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0</xdr:row>
      <xdr:rowOff>0</xdr:rowOff>
    </xdr:from>
    <xdr:to>
      <xdr:col>8</xdr:col>
      <xdr:colOff>295275</xdr:colOff>
      <xdr:row>0</xdr:row>
      <xdr:rowOff>257175</xdr:rowOff>
    </xdr:to>
    <xdr:pic>
      <xdr:nvPicPr>
        <xdr:cNvPr id="4" name="Imagem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DAEC357-FF10-4CA2-B032-10E2A61597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prstClr val="black"/>
            <a:schemeClr val="accent5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3"/>
            </a:ext>
          </a:extLst>
        </a:blip>
        <a:stretch>
          <a:fillRect/>
        </a:stretch>
      </xdr:blipFill>
      <xdr:spPr>
        <a:xfrm>
          <a:off x="12372975" y="0"/>
          <a:ext cx="295275" cy="2571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0</xdr:row>
      <xdr:rowOff>0</xdr:rowOff>
    </xdr:from>
    <xdr:to>
      <xdr:col>9</xdr:col>
      <xdr:colOff>227135</xdr:colOff>
      <xdr:row>0</xdr:row>
      <xdr:rowOff>183173</xdr:rowOff>
    </xdr:to>
    <xdr:pic>
      <xdr:nvPicPr>
        <xdr:cNvPr id="3" name="Imagem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EF3D4B6-6A75-25A2-08DD-D140FB5CE8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prstClr val="black"/>
            <a:schemeClr val="accent5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3"/>
            </a:ext>
          </a:extLst>
        </a:blip>
        <a:stretch>
          <a:fillRect/>
        </a:stretch>
      </xdr:blipFill>
      <xdr:spPr>
        <a:xfrm>
          <a:off x="7854460" y="0"/>
          <a:ext cx="227135" cy="18317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123825</xdr:colOff>
      <xdr:row>0</xdr:row>
      <xdr:rowOff>85725</xdr:rowOff>
    </xdr:from>
    <xdr:to>
      <xdr:col>2</xdr:col>
      <xdr:colOff>350960</xdr:colOff>
      <xdr:row>0</xdr:row>
      <xdr:rowOff>268898</xdr:rowOff>
    </xdr:to>
    <xdr:pic>
      <xdr:nvPicPr>
        <xdr:cNvPr id="2" name="Imagem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79D50D9-9838-4E1A-92E8-C7B5D166BF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prstClr val="black"/>
            <a:schemeClr val="accent5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3"/>
            </a:ext>
          </a:extLst>
        </a:blip>
        <a:stretch>
          <a:fillRect/>
        </a:stretch>
      </xdr:blipFill>
      <xdr:spPr>
        <a:xfrm>
          <a:off x="2847975" y="85725"/>
          <a:ext cx="227135" cy="18317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156342</xdr:colOff>
      <xdr:row>0</xdr:row>
      <xdr:rowOff>71930</xdr:rowOff>
    </xdr:from>
    <xdr:to>
      <xdr:col>11</xdr:col>
      <xdr:colOff>383477</xdr:colOff>
      <xdr:row>0</xdr:row>
      <xdr:rowOff>255103</xdr:rowOff>
    </xdr:to>
    <xdr:pic>
      <xdr:nvPicPr>
        <xdr:cNvPr id="2" name="Imagem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E265B24-4103-4245-8BE2-3D352A3234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prstClr val="black"/>
            <a:schemeClr val="accent5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3"/>
            </a:ext>
          </a:extLst>
        </a:blip>
        <a:stretch>
          <a:fillRect/>
        </a:stretch>
      </xdr:blipFill>
      <xdr:spPr>
        <a:xfrm>
          <a:off x="8271642" y="71930"/>
          <a:ext cx="227135" cy="18317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1D7F613-1510-4F8A-A0EE-714E5935CDD5}" name="Tabela7" displayName="Tabela7" ref="A1:E4" totalsRowShown="0" headerRowDxfId="54" dataDxfId="53">
  <autoFilter ref="A1:E4" xr:uid="{11D7F613-1510-4F8A-A0EE-714E5935CDD5}"/>
  <sortState xmlns:xlrd2="http://schemas.microsoft.com/office/spreadsheetml/2017/richdata2" ref="A2:E2">
    <sortCondition ref="D1:D2"/>
  </sortState>
  <tableColumns count="5">
    <tableColumn id="1" xr3:uid="{AA04DF52-4387-4CD7-B2C9-4262ED18D898}" name="nota" dataDxfId="51" totalsRowDxfId="52"/>
    <tableColumn id="2" xr3:uid="{1ED715E1-C557-461B-B2D3-FBF772807155}" name="fornecedor" dataDxfId="49" totalsRowDxfId="50"/>
    <tableColumn id="3" xr3:uid="{4C54DD8E-2881-46CF-86AA-B76677B878D9}" name="valor" dataDxfId="47" totalsRowDxfId="48"/>
    <tableColumn id="4" xr3:uid="{975C5F13-DD75-4DE6-9BE1-F923F23E06EB}" name="vencimento" dataDxfId="45" totalsRowDxfId="46"/>
    <tableColumn id="5" xr3:uid="{99E09E1B-84C2-43B2-A609-0ECE87A61194}" name="status" dataDxfId="43" totalsRowDxfId="44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618A05A-357F-4FF8-BBE6-47B5B66421F5}" name="Tabela2" displayName="Tabela2" ref="A1:H10313" headerRowDxfId="37" dataDxfId="36">
  <autoFilter ref="A1:H10313" xr:uid="{C618A05A-357F-4FF8-BBE6-47B5B66421F5}">
    <filterColumn colId="6">
      <filters blank="1"/>
    </filterColumn>
  </autoFilter>
  <sortState xmlns:xlrd2="http://schemas.microsoft.com/office/spreadsheetml/2017/richdata2" ref="A2:H10313">
    <sortCondition ref="D1:D10313"/>
  </sortState>
  <tableColumns count="8">
    <tableColumn id="1" xr3:uid="{F5F21AE4-6946-453D-9CC0-4EABDBB21C96}" name="N Nota:" totalsRowLabel="Total" dataDxfId="34" totalsRowDxfId="35"/>
    <tableColumn id="2" xr3:uid="{0981B128-2EF7-402A-B09E-4EB5204D8220}" name="Fornecedores" dataDxfId="32" totalsRowDxfId="33"/>
    <tableColumn id="3" xr3:uid="{12B9E0D5-AB5A-4604-9DBD-AEB70760BEC0}" name="Valor:" dataDxfId="30" totalsRowDxfId="31"/>
    <tableColumn id="4" xr3:uid="{4D828A8C-DB7C-4EDB-9782-069903C9178A}" name="Dt Venc:" dataDxfId="28" totalsRowDxfId="29"/>
    <tableColumn id="5" xr3:uid="{D92FE945-51DA-400B-A5A0-0E8DF594987A}" name="Status" dataDxfId="26" totalsRowDxfId="27">
      <calculatedColumnFormula>IF(Tabela2[[#This Row],[Dt Venc:]]&gt;TODAY(),"Em Aberto",IF(Tabela2[[#This Row],[D/venc]]="-","Enviado",IF(Tabela2[[#This Row],[Dt Venc:]]=TODAY(),"Vence Hoje","Vencida")))</calculatedColumnFormula>
    </tableColumn>
    <tableColumn id="6" xr3:uid="{F8EF8B74-76DC-4EFC-985B-79BC1BABA439}" name="D/venc" dataDxfId="24" totalsRowDxfId="25">
      <calculatedColumnFormula>IF(G2=1,"-",Tabela2[[#This Row],[Dt Venc:]]-TODAY())</calculatedColumnFormula>
    </tableColumn>
    <tableColumn id="7" xr3:uid="{31EE04B2-F6F6-4DA0-9DD4-A9A16F69815C}" name="Obs" dataDxfId="22" totalsRowDxfId="23"/>
    <tableColumn id="8" xr3:uid="{53D367F0-2DFE-40AF-AD1E-BE274588F638}" name="Estado" dataDxfId="20" totalsRowDxfId="21"/>
  </tableColumns>
  <tableStyleInfo name="TableStyleLight9" showFirstColumn="1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124B6D-CB6E-47F5-A55D-59C03950E2A8}" name="Tabela1" displayName="Tabela1" ref="A1:I112" totalsRowShown="0" headerRowDxfId="19" dataDxfId="18">
  <autoFilter ref="A1:I112" xr:uid="{24124B6D-CB6E-47F5-A55D-59C03950E2A8}"/>
  <sortState xmlns:xlrd2="http://schemas.microsoft.com/office/spreadsheetml/2017/richdata2" ref="A2:I112">
    <sortCondition ref="B1:B112"/>
  </sortState>
  <tableColumns count="9">
    <tableColumn id="2" xr3:uid="{0B1636AA-067C-4283-94BA-601333302F96}" name="ID " dataDxfId="17"/>
    <tableColumn id="1" xr3:uid="{1EA74F30-0452-4B0B-9615-900CDE38D341}" name="Cliente " dataDxfId="16"/>
    <tableColumn id="3" xr3:uid="{6374A51B-5211-4C44-93E9-7230A674D040}" name="CC" dataDxfId="15"/>
    <tableColumn id="4" xr3:uid="{8FE99251-6410-4487-82FB-28A34BA54680}" name="TP" dataDxfId="14"/>
    <tableColumn id="5" xr3:uid="{771084BD-51AF-414D-AD3B-7E48B0AD31EF}" name="SERV" dataDxfId="13"/>
    <tableColumn id="6" xr3:uid="{AC849EAB-95E6-456E-8B73-F472AFC2AC40}" name="NAT" dataDxfId="12"/>
    <tableColumn id="7" xr3:uid="{5F474197-0D22-446D-BE4B-81E71A67D51A}" name="CFOP" dataDxfId="11"/>
    <tableColumn id="8" xr3:uid="{712819C1-6B64-45DE-835D-CE86DA9417CE}" name="OP" dataDxfId="10"/>
    <tableColumn id="9" xr3:uid="{8C105B97-802B-461E-BF15-B7738FE7199E}" name="TP NOTA" dataDxfId="9">
      <calculatedColumnFormula>IF(G2=2933,"NFE OU NFS EM OUTRO ESTADO",IF(G2=1556,"NFE EM SP",IF(G2=1933,"NFS EM SP",IF(G2=1653,"COMBUSTIVEL","NADA"))))</calculatedColumnFormula>
    </tableColumn>
  </tableColumns>
  <tableStyleInfo name="TableStyleMedium4" showFirstColumn="1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ABD21F5-B6EA-44A2-A80E-3741973561D6}" name="Tabela46" displayName="Tabela46" ref="E2:J17" totalsRowShown="0" headerRowDxfId="8" dataDxfId="7">
  <autoFilter ref="E2:J17" xr:uid="{8ABD21F5-B6EA-44A2-A80E-3741973561D6}"/>
  <sortState xmlns:xlrd2="http://schemas.microsoft.com/office/spreadsheetml/2017/richdata2" ref="E3:I17">
    <sortCondition ref="E2:E17"/>
  </sortState>
  <tableColumns count="6">
    <tableColumn id="1" xr3:uid="{1864496B-AB12-4EFC-9040-40A2C170096F}" name="Filial:" dataDxfId="6"/>
    <tableColumn id="2" xr3:uid="{F59AB1BC-BB0F-4EE8-AAB1-EEA1A9E75472}" name="CNPJ:" dataDxfId="5"/>
    <tableColumn id="3" xr3:uid="{D0899DA7-7E8B-4295-B484-B278B0B97765}" name="UF:" dataDxfId="4"/>
    <tableColumn id="4" xr3:uid="{A564D3D9-36F5-4428-8620-2E0DF2FC11BB}" name="Diesel:" dataDxfId="3"/>
    <tableColumn id="5" xr3:uid="{294F9B12-5BE8-4DA9-9CB1-5D89BF97A2C5}" name="Arla:" dataDxfId="2"/>
    <tableColumn id="6" xr3:uid="{11679FC2-C760-4927-94F2-8914B8A04F6D}" name="fornecedor" dataDxfId="1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450A8E87-8F26-471D-AB21-C9B5A6123FA4}">
  <we:reference id="wa200005502" version="1.0.0.11" store="pt-BR" storeType="OMEX"/>
  <we:alternateReferences>
    <we:reference id="wa200005502" version="1.0.0.11" store="wa200005502" storeType="OMEX"/>
  </we:alternateReferences>
  <we:properties>
    <we:property name="docId" value="&quot;D8TwaZTTWRimz-xWtRpzm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827" Type="http://schemas.openxmlformats.org/officeDocument/2006/relationships/hyperlink" Target="https://1drv.ms/x/s!AkP3hbXXLtgBhpEoaTK-EAwrB6PPjQ?e=hRuig5&amp;nav=MTVfe0NCREMzODZGLTI3RDktNEI4RS05QjQ0LUUzQTc5QTQyQzY2MX0" TargetMode="External"/><Relationship Id="rId170" Type="http://schemas.openxmlformats.org/officeDocument/2006/relationships/hyperlink" Target="https://1drv.ms/x/s!AkP3hbXXLtgBhpEoaTK-EAwrB6PPjQ?e=hKKsXn&amp;nav=MTVfe0M0MzQ5RkZFLUFFMEMtNDZBOC05NDNELUU2ODg5N0JGMDU4Rn0" TargetMode="External"/><Relationship Id="rId987" Type="http://schemas.openxmlformats.org/officeDocument/2006/relationships/hyperlink" Target="https://1drv.ms/x/s!AkP3hbXXLtgBhpEoaTK-EAwrB6PPjQ?e=fk66xb&amp;nav=MTVfezU0MjNBNEE5LTNDNzctNDQwNC05RjA3LTAyNEI1N0FBQjFDNX0" TargetMode="External"/><Relationship Id="rId2668" Type="http://schemas.openxmlformats.org/officeDocument/2006/relationships/hyperlink" Target="https://1drv.ms/x/s!AkP3hbXXLtgBhpEoaTK-EAwrB6PPjQ?e=hUXjPN&amp;nav=MTVfezYzNzY4MEExLTRDMzItNDcxMy05M0ZCLTBFNjAwNTlBMUI0MH0" TargetMode="External"/><Relationship Id="rId847" Type="http://schemas.openxmlformats.org/officeDocument/2006/relationships/hyperlink" Target="https://1drv.ms/x/s!AkP3hbXXLtgBhpEoaTK-EAwrB6PPjQ?e=VcWWuU&amp;nav=MTVfe0ExMEEwQ0RDLUFCNUQtNEMxQS1BM0ZGLTEzRDE2MkJEN0U2Q30" TargetMode="External"/><Relationship Id="rId1477" Type="http://schemas.openxmlformats.org/officeDocument/2006/relationships/hyperlink" Target="https://1drv.ms/x/s!AkP3hbXXLtgBhpEoaTK-EAwrB6PPjQ?e=Dygyft&amp;nav=MTVfe0VDMUJBNEJBLUNCOTAtNDI3Ri1CMTVFLUZDQjc2NURCQ0I1Q30" TargetMode="External"/><Relationship Id="rId1684" Type="http://schemas.openxmlformats.org/officeDocument/2006/relationships/hyperlink" Target="https://1drv.ms/x/s!AkP3hbXXLtgBhpEoaTK-EAwrB6PPjQ?e=DHRjp5&amp;nav=MTVfezdEN0E2ODJDLUYxMzctNDI0MS1BRjZDLThEMzExM0M0OTZBNn0" TargetMode="External"/><Relationship Id="rId1891" Type="http://schemas.openxmlformats.org/officeDocument/2006/relationships/hyperlink" Target="https://1drv.ms/x/s!AkP3hbXXLtgBhpEoaTK-EAwrB6PPjQ?e=3z9g8a&amp;nav=MTVfezBGMENERTNBLTZCQTUtNDYwRi05MDM3LUNDNDk5MDBCNUU5MX0" TargetMode="External"/><Relationship Id="rId2528" Type="http://schemas.openxmlformats.org/officeDocument/2006/relationships/hyperlink" Target="https://1drv.ms/x/s!AkP3hbXXLtgBhpEoaTK-EAwrB6PPjQ?e=mXia38&amp;nav=MTVfe0I0NjUwQ0I4LURGNzEtNDA5NC04M0QxLUExRTNDN0Q3OTc1MX0" TargetMode="External"/><Relationship Id="rId2735" Type="http://schemas.openxmlformats.org/officeDocument/2006/relationships/hyperlink" Target="https://1drv.ms/x/s!AkP3hbXXLtgBhpEoaTK-EAwrB6PPjQ?e=ri5cSY&amp;nav=MTVfezRBRTVDQTNDLUEzNkQtNDc4RS04NzYyLUJGRjkyRDk4RjhGMX0" TargetMode="External"/><Relationship Id="rId707" Type="http://schemas.openxmlformats.org/officeDocument/2006/relationships/hyperlink" Target="https://1drv.ms/x/s!AkP3hbXXLtgBhpEoaTK-EAwrB6PPjQ?e=JPeMLZ&amp;nav=MTVfezdEMkY3NDEyLUYwMzItNDM0RC05MDRFLTcyNTE0ODM0NjA4M30" TargetMode="External"/><Relationship Id="rId914" Type="http://schemas.openxmlformats.org/officeDocument/2006/relationships/hyperlink" Target="https://1drv.ms/x/s!AkP3hbXXLtgBhpEoaTK-EAwrB6PPjQ?e=q7Y9UY&amp;nav=MTVfezY2QjMzRUJDLTdGREQtNEI4MC05QkFBLTZFRTQyNUFCMDY2MH0" TargetMode="External"/><Relationship Id="rId1337" Type="http://schemas.openxmlformats.org/officeDocument/2006/relationships/hyperlink" Target="https://1drv.ms/x/s!AkP3hbXXLtgBhpEoaTK-EAwrB6PPjQ?e=SkY523&amp;nav=MTVfezk3NEQ3MjVGLTlERDMtNDdDOS05QzJDLUU5RjJCNjk2N0I4MX0" TargetMode="External"/><Relationship Id="rId1544" Type="http://schemas.openxmlformats.org/officeDocument/2006/relationships/hyperlink" Target="https://1drv.ms/x/s!AkP3hbXXLtgBhpEoaTK-EAwrB6PPjQ?e=PsqPhH&amp;nav=MTVfe0ZDRjg3ODhGLTBFNDItNDJCOC04MDRCLTU4OTcwNUMwMjFGMn0" TargetMode="External"/><Relationship Id="rId1751" Type="http://schemas.openxmlformats.org/officeDocument/2006/relationships/hyperlink" Target="https://1drv.ms/x/s!AkP3hbXXLtgBhpEoaTK-EAwrB6PPjQ?e=S6aQgK&amp;nav=MTVfezNDQTZGMDU5LTE2MUMtNDZDQi05RTYwLTUxMTNGNkFCNTI3Qn0" TargetMode="External"/><Relationship Id="rId43" Type="http://schemas.openxmlformats.org/officeDocument/2006/relationships/hyperlink" Target="https://1drv.ms/x/s!AkP3hbXXLtgBhpEoaTK-EAwrB6PPjQ?e=AMVmTu&amp;nav=MTVfezNFMEFDQTg3LTgzOUUtNDFGNC04MkYwLUIxRjIyNTFBRDYzNX0" TargetMode="External"/><Relationship Id="rId1404" Type="http://schemas.openxmlformats.org/officeDocument/2006/relationships/hyperlink" Target="https://1drv.ms/x/s!AkP3hbXXLtgBhpEoaTK-EAwrB6PPjQ?e=6Dzvxb&amp;nav=MTVfezE4RDVGRUE3LUYyN0MtNDRFNC1BMENCLTk1RTNFRjk3QkJDRX0" TargetMode="External"/><Relationship Id="rId1611" Type="http://schemas.openxmlformats.org/officeDocument/2006/relationships/hyperlink" Target="https://1drv.ms/x/s!AkP3hbXXLtgBhpEoaTK-EAwrB6PPjQ?e=hF7xUm&amp;nav=MTVfezBDOEZCN0U5LURBOEQtNEY2Qi1CNUE1LUYzQTk0NDFBRkE2NX0" TargetMode="External"/><Relationship Id="rId497" Type="http://schemas.openxmlformats.org/officeDocument/2006/relationships/hyperlink" Target="https://1drv.ms/x/s!AkP3hbXXLtgBhpEoaTK-EAwrB6PPjQ?e=zfxOib&amp;nav=MTVfezc5MUI1QUJBLTY0QUItNDM1OS05NkVBLTE3MUFBQTY2QzQ4Q30" TargetMode="External"/><Relationship Id="rId2178" Type="http://schemas.openxmlformats.org/officeDocument/2006/relationships/hyperlink" Target="https://1drv.ms/x/s!AkP3hbXXLtgBhpEoaTK-EAwrB6PPjQ?e=PJkcfB&amp;nav=MTVfezBFRjgyRDlFLThFOEUtNDA2RC05QUQzLTk5RDY0REIzMEU3Rn0" TargetMode="External"/><Relationship Id="rId2385" Type="http://schemas.openxmlformats.org/officeDocument/2006/relationships/hyperlink" Target="https://1drv.ms/x/s!AkP3hbXXLtgBhpEoaTK-EAwrB6PPjQ?e=X2f9pt&amp;nav=MTVfe0M4ODI3QTVFLTgzOUMtNDk2Qy1BMThFLUNCMDYwN0JBQjM5M30" TargetMode="External"/><Relationship Id="rId357" Type="http://schemas.openxmlformats.org/officeDocument/2006/relationships/hyperlink" Target="https://1drv.ms/x/s!AkP3hbXXLtgBhpEoaTK-EAwrB6PPjQ?e=mvWMFP&amp;nav=MTVfe0Q0MjM2QjFDLUVBQTAtNDE3Ri1BOEVGLTQzNzNBN0FGODY4M30" TargetMode="External"/><Relationship Id="rId1194" Type="http://schemas.openxmlformats.org/officeDocument/2006/relationships/hyperlink" Target="https://1drv.ms/x/s!AkP3hbXXLtgBhpEoaTK-EAwrB6PPjQ?e=U6lTuf&amp;nav=MTVfezFEODYyODdBLUIyOTctNDdGMC04MTkyLUUzRDE3NjM5RkNFQ30" TargetMode="External"/><Relationship Id="rId2038" Type="http://schemas.openxmlformats.org/officeDocument/2006/relationships/hyperlink" Target="https://1drv.ms/x/s!AkP3hbXXLtgBhpEoaTK-EAwrB6PPjQ?e=e8c5BE&amp;nav=MTVfe0YzRjMwRTg2LTYyMTgtNEY5QS05Qzg0LTUxNkJFM0Q4MDAwN30" TargetMode="External"/><Relationship Id="rId2592" Type="http://schemas.openxmlformats.org/officeDocument/2006/relationships/hyperlink" Target="https://1drv.ms/x/s!AkP3hbXXLtgBhpEoaTK-EAwrB6PPjQ?e=ZnXBwL&amp;nav=MTVfezI5Qjk2QkQ4LUM5RkMtNDc1RS1BMkNCLTRDQTg1OEZFNkY2N30" TargetMode="External"/><Relationship Id="rId217" Type="http://schemas.openxmlformats.org/officeDocument/2006/relationships/hyperlink" Target="https://1drv.ms/x/s!AkP3hbXXLtgBhpEoaTK-EAwrB6PPjQ?e=hKKsXn&amp;nav=MTVfe0M0MzQ5RkZFLUFFMEMtNDZBOC05NDNELUU2ODg5N0JGMDU4Rn0" TargetMode="External"/><Relationship Id="rId564" Type="http://schemas.openxmlformats.org/officeDocument/2006/relationships/hyperlink" Target="https://1drv.ms/x/s!AkP3hbXXLtgBhpEoaTK-EAwrB6PPjQ?e=xgZSuS&amp;nav=MTVfezA3RkYxMTMwLTAyQjYtNDA4RS1BMkU5LTI2MUQ0MjM2OEJGQn0" TargetMode="External"/><Relationship Id="rId771" Type="http://schemas.openxmlformats.org/officeDocument/2006/relationships/hyperlink" Target="https://1drv.ms/x/s!AkP3hbXXLtgBhpEoaTK-EAwrB6PPjQ?e=0lRBEc&amp;nav=MTVfezRDRDQwMjU1LUJFM0ItNENDQS05NDQ1LUY1OTdERDA5ODg4NH0" TargetMode="External"/><Relationship Id="rId2245" Type="http://schemas.openxmlformats.org/officeDocument/2006/relationships/hyperlink" Target="https://1drv.ms/x/s!AkP3hbXXLtgBhpEoaTK-EAwrB6PPjQ?e=vI4FNr&amp;nav=MTVfezhGQzkyMTU5LUYxNTUtNDg4MS04N0QzLTE5OTgzQjI3QTc1NH0" TargetMode="External"/><Relationship Id="rId2452" Type="http://schemas.openxmlformats.org/officeDocument/2006/relationships/hyperlink" Target="https://1drv.ms/x/s!AkP3hbXXLtgBhpEoaTK-EAwrB6PPjQ?e=LQfhsg&amp;nav=MTVfe0FGQTQ2QTUxLTkwOEEtNEZCNi04OUQ1LTMwOUU4QkMzMTRFQ30" TargetMode="External"/><Relationship Id="rId424" Type="http://schemas.openxmlformats.org/officeDocument/2006/relationships/hyperlink" Target="https://1drv.ms/x/s!AkP3hbXXLtgBhpEoaTK-EAwrB6PPjQ?e=sXo522&amp;nav=MTVfe0VCNzhCQUU0LUVEQzItNDRCMC04QTFFLUZEQzA0OTNEMDkzOX0" TargetMode="External"/><Relationship Id="rId631" Type="http://schemas.openxmlformats.org/officeDocument/2006/relationships/hyperlink" Target="https://1drv.ms/x/s!AkP3hbXXLtgBhpEoaTK-EAwrB6PPjQ?e=ZRDRyK&amp;nav=MTVfe0IyQkRBQzE0LUM2QkQtNDY3Ny04MjcyLUQxNjYyMkIyRTZGRH0" TargetMode="External"/><Relationship Id="rId1054" Type="http://schemas.openxmlformats.org/officeDocument/2006/relationships/hyperlink" Target="https://1drv.ms/x/s!AkP3hbXXLtgBhpEoaTK-EAwrB6PPjQ?e=rYbeUy&amp;nav=MTVfe0Q1MEM2OTMzLTFBNUUtNDhCMS1CQzhCLTlGQTI2NEEzRURDRH0" TargetMode="External"/><Relationship Id="rId1261" Type="http://schemas.openxmlformats.org/officeDocument/2006/relationships/hyperlink" Target="https://1drv.ms/x/s!AkP3hbXXLtgBhpEoaTK-EAwrB6PPjQ?e=UaBeCf&amp;nav=MTVfezM0NkJDRTA1LThBNUQtNDFFMC1BNjQ2LTk5NTVEMTg4RUEzNn0" TargetMode="External"/><Relationship Id="rId2105" Type="http://schemas.openxmlformats.org/officeDocument/2006/relationships/hyperlink" Target="https://1drv.ms/x/s!AkP3hbXXLtgBhpEoaTK-EAwrB6PPjQ?e=7tvhFu&amp;nav=MTVfezYzQUQ2N0RCLTZFQkQtNDhGOC1BODVFLUQzNjgwN0I4QkNFMn0" TargetMode="External"/><Relationship Id="rId2312" Type="http://schemas.openxmlformats.org/officeDocument/2006/relationships/hyperlink" Target="https://1drv.ms/x/s!AkP3hbXXLtgBhpEoaTK-EAwrB6PPjQ?e=LiWfcw&amp;nav=MTVfezFBQTVDNUQ5LTIxM0QtNDcxMi05RkYwLUI2NUUyNTFDRkFBMH0" TargetMode="External"/><Relationship Id="rId1121" Type="http://schemas.openxmlformats.org/officeDocument/2006/relationships/hyperlink" Target="https://1drv.ms/x/s!AkP3hbXXLtgBhpEoaTK-EAwrB6PPjQ?e=Brd8C5&amp;nav=MTVfe0YyMTJGNjdELTg0REMtNEY4Ri05MzE5LTE0M0FEODlBMzg5Q30" TargetMode="External"/><Relationship Id="rId1938" Type="http://schemas.openxmlformats.org/officeDocument/2006/relationships/hyperlink" Target="https://1drv.ms/x/s!AkP3hbXXLtgBhpEoaTK-EAwrB6PPjQ?e=U8iWbp&amp;nav=MTVfezVDRDNFMEMzLTY0NDctNDUyNC05RjQyLUQ5MzdFOTgzQzgzNH0" TargetMode="External"/><Relationship Id="rId281" Type="http://schemas.openxmlformats.org/officeDocument/2006/relationships/hyperlink" Target="https://1drv.ms/x/s!AkP3hbXXLtgBhpEoaTK-EAwrB6PPjQ?e=36Im2J&amp;nav=MTVfezg1NTdGRUM1LTczODktNDk5My1BQjA0LTkyQjFDODE4MjgxRX0" TargetMode="External"/><Relationship Id="rId141" Type="http://schemas.openxmlformats.org/officeDocument/2006/relationships/hyperlink" Target="https://1drv.ms/x/s!AkP3hbXXLtgBhpEoaTK-EAwrB6PPjQ?e=hRuig5&amp;nav=MTVfe0NCREMzODZGLTI3RDktNEI4RS05QjQ0LUUzQTc5QTQyQzY2MX0" TargetMode="External"/><Relationship Id="rId7" Type="http://schemas.openxmlformats.org/officeDocument/2006/relationships/hyperlink" Target="https://1drv.ms/x/s!AkP3hbXXLtgBhpEoaTK-EAwrB6PPjQ?e=mje4Gd&amp;nav=MTVfezU5NEY1RjhGLUNGMzYtNEIxRi04NzFBLTRDNzQ3QUMxQjMxRn0" TargetMode="External"/><Relationship Id="rId958" Type="http://schemas.openxmlformats.org/officeDocument/2006/relationships/hyperlink" Target="https://1drv.ms/x/s!AkP3hbXXLtgBhpEoaTK-EAwrB6PPjQ?e=GuJxJM&amp;nav=MTVfe0NBQzcxNDNGLTAzODYtNEFDRi1BNTI1LTRDQTYxMDEzNkYwM30" TargetMode="External"/><Relationship Id="rId1588" Type="http://schemas.openxmlformats.org/officeDocument/2006/relationships/hyperlink" Target="https://1drv.ms/x/s!AkP3hbXXLtgBhpEoaTK-EAwrB6PPjQ?e=hF7xUm&amp;nav=MTVfezBDOEZCN0U5LURBOEQtNEY2Qi1CNUE1LUYzQTk0NDFBRkE2NX0" TargetMode="External"/><Relationship Id="rId1795" Type="http://schemas.openxmlformats.org/officeDocument/2006/relationships/hyperlink" Target="https://1drv.ms/x/s!AkP3hbXXLtgBhpEoaTK-EAwrB6PPjQ?e=sBpJD5&amp;nav=MTVfezM5QzdFMEZDLTg3QTEtNDRCMS04QTgyLUQ3MDU0NDI2MTBFRn0" TargetMode="External"/><Relationship Id="rId2639" Type="http://schemas.openxmlformats.org/officeDocument/2006/relationships/hyperlink" Target="https://1drv.ms/x/s!AkP3hbXXLtgBhpEoaTK-EAwrB6PPjQ?e=k1JzSb&amp;nav=MTVfezlCRDVCMEI4LTNBMEItNDE5NC04RTEyLUQxQzc3N0U3MUFFQn0" TargetMode="External"/><Relationship Id="rId87" Type="http://schemas.openxmlformats.org/officeDocument/2006/relationships/hyperlink" Target="https://1drv.ms/x/s!AkP3hbXXLtgBhpEoaTK-EAwrB6PPjQ?e=AMVmTu&amp;nav=MTVfezNFMEFDQTg3LTgzOUUtNDFGNC04MkYwLUIxRjIyNTFBRDYzNX0" TargetMode="External"/><Relationship Id="rId818" Type="http://schemas.openxmlformats.org/officeDocument/2006/relationships/hyperlink" Target="https://1drv.ms/x/s!AkP3hbXXLtgBhpEoaTK-EAwrB6PPjQ?e=zuxs7K&amp;nav=MTVfezEzQ0U5ODFBLTQxOTEtNERBOS05RDcwLTU1NDcwQ0I2MzhFNX0" TargetMode="External"/><Relationship Id="rId1448" Type="http://schemas.openxmlformats.org/officeDocument/2006/relationships/hyperlink" Target="https://1drv.ms/x/s!AkP3hbXXLtgBhpEoaTK-EAwrB6PPjQ?e=xXe3yl&amp;nav=MTVfezM1QjlFQjFCLUIxM0MtNDQ0Ni05MzQyLUU2QjczMkYzQzJFOH0" TargetMode="External"/><Relationship Id="rId1655" Type="http://schemas.openxmlformats.org/officeDocument/2006/relationships/hyperlink" Target="https://1drv.ms/x/s!AkP3hbXXLtgBhpEoaTK-EAwrB6PPjQ?e=DHRjp5&amp;nav=MTVfezdEN0E2ODJDLUYxMzctNDI0MS1BRjZDLThEMzExM0M0OTZBNn0" TargetMode="External"/><Relationship Id="rId2706" Type="http://schemas.openxmlformats.org/officeDocument/2006/relationships/hyperlink" Target="https://1drv.ms/x/s!AkP3hbXXLtgBhpEoaTK-EAwrB6PPjQ?e=hUXjPN&amp;nav=MTVfezYzNzY4MEExLTRDMzItNDcxMy05M0ZCLTBFNjAwNTlBMUI0MH0" TargetMode="External"/><Relationship Id="rId1308" Type="http://schemas.openxmlformats.org/officeDocument/2006/relationships/hyperlink" Target="https://1drv.ms/x/s!AkP3hbXXLtgBhpEoaTK-EAwrB6PPjQ?e=bD2jTr&amp;nav=MTVfezRGRUQzQzY0LTk3M0ItNDNDNy1BRUY3LTYwMDNGN0E5OThFQX0" TargetMode="External"/><Relationship Id="rId1862" Type="http://schemas.openxmlformats.org/officeDocument/2006/relationships/hyperlink" Target="https://1drv.ms/x/s!AkP3hbXXLtgBhpEoaTK-EAwrB6PPjQ?e=KawXz2&amp;nav=MTVfe0I2MTk3NUI3LTcxN0UtNDYyRi05OUNBLTc2RTcxMkRFMjVEOH0" TargetMode="External"/><Relationship Id="rId1515" Type="http://schemas.openxmlformats.org/officeDocument/2006/relationships/hyperlink" Target="https://1drv.ms/x/s!AkP3hbXXLtgBhpEoaTK-EAwrB6PPjQ?e=c68bSo&amp;nav=MTVfe0EwNUQ0QUFCLTFGNTAtNDE4Mi1CMzhBLUU3OUIyRDM1NzJDQn0" TargetMode="External"/><Relationship Id="rId1722" Type="http://schemas.openxmlformats.org/officeDocument/2006/relationships/hyperlink" Target="https://1drv.ms/x/s!AkP3hbXXLtgBhpEoaTK-EAwrB6PPjQ?e=DHRjp5&amp;nav=MTVfezdEN0E2ODJDLUYxMzctNDI0MS1BRjZDLThEMzExM0M0OTZBNn0" TargetMode="External"/><Relationship Id="rId14" Type="http://schemas.openxmlformats.org/officeDocument/2006/relationships/hyperlink" Target="https://1drv.ms/x/s!AkP3hbXXLtgBhpEoaTK-EAwrB6PPjQ?e=mje4Gd&amp;nav=MTVfezU5NEY1RjhGLUNGMzYtNEIxRi04NzFBLTRDNzQ3QUMxQjMxRn0" TargetMode="External"/><Relationship Id="rId2289" Type="http://schemas.openxmlformats.org/officeDocument/2006/relationships/hyperlink" Target="https://1drv.ms/x/s!AkP3hbXXLtgBhpEoaTK-EAwrB6PPjQ?e=vI4FNr&amp;nav=MTVfezhGQzkyMTU5LUYxNTUtNDg4MS04N0QzLTE5OTgzQjI3QTc1NH0" TargetMode="External"/><Relationship Id="rId2496" Type="http://schemas.openxmlformats.org/officeDocument/2006/relationships/hyperlink" Target="https://1drv.ms/x/s!AkP3hbXXLtgBhpEoaTK-EAwrB6PPjQ?e=LQfhsg&amp;nav=MTVfe0FGQTQ2QTUxLTkwOEEtNEZCNi04OUQ1LTMwOUU4QkMzMTRFQ30" TargetMode="External"/><Relationship Id="rId468" Type="http://schemas.openxmlformats.org/officeDocument/2006/relationships/hyperlink" Target="https://1drv.ms/x/s!AkP3hbXXLtgBhpEoaTK-EAwrB6PPjQ?e=sXo522&amp;nav=MTVfe0VCNzhCQUU0LUVEQzItNDRCMC04QTFFLUZEQzA0OTNEMDkzOX0" TargetMode="External"/><Relationship Id="rId675" Type="http://schemas.openxmlformats.org/officeDocument/2006/relationships/hyperlink" Target="https://1drv.ms/x/s!AkP3hbXXLtgBhpEoaTK-EAwrB6PPjQ?e=JPeMLZ&amp;nav=MTVfezdEMkY3NDEyLUYwMzItNDM0RC05MDRFLTcyNTE0ODM0NjA4M30" TargetMode="External"/><Relationship Id="rId882" Type="http://schemas.openxmlformats.org/officeDocument/2006/relationships/hyperlink" Target="https://1drv.ms/x/s!AkP3hbXXLtgBhpEoaTK-EAwrB6PPjQ?e=VcWWuU&amp;nav=MTVfe0ExMEEwQ0RDLUFCNUQtNEMxQS1BM0ZGLTEzRDE2MkJEN0U2Q30" TargetMode="External"/><Relationship Id="rId1098" Type="http://schemas.openxmlformats.org/officeDocument/2006/relationships/hyperlink" Target="https://1drv.ms/x/s!AkP3hbXXLtgBhpEoaTK-EAwrB6PPjQ?e=rYbeUy&amp;nav=MTVfe0Q1MEM2OTMzLTFBNUUtNDhCMS1CQzhCLTlGQTI2NEEzRURDRH0" TargetMode="External"/><Relationship Id="rId2149" Type="http://schemas.openxmlformats.org/officeDocument/2006/relationships/hyperlink" Target="https://1drv.ms/x/s!AkP3hbXXLtgBhpEoaTK-EAwrB6PPjQ?e=nj2bQ1&amp;nav=MTVfezAwMDAwMDAwLTAwMDEtMDAwMC0wMDAwLTAwMDAwMDAwMDAwMH0" TargetMode="External"/><Relationship Id="rId2356" Type="http://schemas.openxmlformats.org/officeDocument/2006/relationships/hyperlink" Target="https://1drv.ms/x/s!AkP3hbXXLtgBhpEoaTK-EAwrB6PPjQ?e=LiWfcw&amp;nav=MTVfezFBQTVDNUQ5LTIxM0QtNDcxMi05RkYwLUI2NUUyNTFDRkFBMH0" TargetMode="External"/><Relationship Id="rId2563" Type="http://schemas.openxmlformats.org/officeDocument/2006/relationships/hyperlink" Target="https://1drv.ms/x/s!AkP3hbXXLtgBhpEoaTK-EAwrB6PPjQ?e=mXia38&amp;nav=MTVfe0I0NjUwQ0I4LURGNzEtNDA5NC04M0QxLUExRTNDN0Q3OTc1MX0" TargetMode="External"/><Relationship Id="rId328" Type="http://schemas.openxmlformats.org/officeDocument/2006/relationships/hyperlink" Target="https://1drv.ms/x/s!AkP3hbXXLtgBhpEoaTK-EAwrB6PPjQ?e=HO6wd4&amp;nav=MTVfe0NDRThCRDRELTFCMEEtNDNFRC1BMDRDLTc1QjY0NDgwNjJBMH0" TargetMode="External"/><Relationship Id="rId535" Type="http://schemas.openxmlformats.org/officeDocument/2006/relationships/hyperlink" Target="https://1drv.ms/x/s!AkP3hbXXLtgBhpEoaTK-EAwrB6PPjQ?e=zfxOib&amp;nav=MTVfezc5MUI1QUJBLTY0QUItNDM1OS05NkVBLTE3MUFBQTY2QzQ4Q30" TargetMode="External"/><Relationship Id="rId742" Type="http://schemas.openxmlformats.org/officeDocument/2006/relationships/hyperlink" Target="https://1drv.ms/x/s!AkP3hbXXLtgBhpEoaTK-EAwrB6PPjQ?e=0lRBEc&amp;nav=MTVfezRDRDQwMjU1LUJFM0ItNENDQS05NDQ1LUY1OTdERDA5ODg4NH0" TargetMode="External"/><Relationship Id="rId1165" Type="http://schemas.openxmlformats.org/officeDocument/2006/relationships/hyperlink" Target="https://1drv.ms/x/s!AkP3hbXXLtgBhpEoaTK-EAwrB6PPjQ?e=7D4jtp&amp;nav=MTVfe0Q5MDNFMUVCLUFFNkQtNDU5OC04QjYyLUFGODVDMTZENkVGMX0" TargetMode="External"/><Relationship Id="rId1372" Type="http://schemas.openxmlformats.org/officeDocument/2006/relationships/hyperlink" Target="https://1drv.ms/x/s!AkP3hbXXLtgBhpEoaTK-EAwrB6PPjQ?e=6Dzvxb&amp;nav=MTVfezE4RDVGRUE3LUYyN0MtNDRFNC1BMENCLTk1RTNFRjk3QkJDRX0" TargetMode="External"/><Relationship Id="rId2009" Type="http://schemas.openxmlformats.org/officeDocument/2006/relationships/hyperlink" Target="https://1drv.ms/x/s!AkP3hbXXLtgBhpEoaTK-EAwrB6PPjQ?e=e8c5BE&amp;nav=MTVfe0YzRjMwRTg2LTYyMTgtNEY5QS05Qzg0LTUxNkJFM0Q4MDAwN30" TargetMode="External"/><Relationship Id="rId2216" Type="http://schemas.openxmlformats.org/officeDocument/2006/relationships/hyperlink" Target="https://1drv.ms/x/s!AkP3hbXXLtgBhpEoaTK-EAwrB6PPjQ?e=PJkcfB&amp;nav=MTVfezBFRjgyRDlFLThFOEUtNDA2RC05QUQzLTk5RDY0REIzMEU3Rn0" TargetMode="External"/><Relationship Id="rId2423" Type="http://schemas.openxmlformats.org/officeDocument/2006/relationships/hyperlink" Target="https://1drv.ms/x/s!AkP3hbXXLtgBhpEoaTK-EAwrB6PPjQ?e=X2f9pt&amp;nav=MTVfe0M4ODI3QTVFLTgzOUMtNDk2Qy1BMThFLUNCMDYwN0JBQjM5M30" TargetMode="External"/><Relationship Id="rId2630" Type="http://schemas.openxmlformats.org/officeDocument/2006/relationships/hyperlink" Target="https://1drv.ms/x/s!AkP3hbXXLtgBhpEoaTK-EAwrB6PPjQ?e=k1JzSb&amp;nav=MTVfezlCRDVCMEI4LTNBMEItNDE5NC04RTEyLUQxQzc3N0U3MUFFQn0" TargetMode="External"/><Relationship Id="rId602" Type="http://schemas.openxmlformats.org/officeDocument/2006/relationships/hyperlink" Target="https://1drv.ms/x/s!AkP3hbXXLtgBhpEoaTK-EAwrB6PPjQ?e=ZRDRyK&amp;nav=MTVfe0IyQkRBQzE0LUM2QkQtNDY3Ny04MjcyLUQxNjYyMkIyRTZGRH0" TargetMode="External"/><Relationship Id="rId1025" Type="http://schemas.openxmlformats.org/officeDocument/2006/relationships/hyperlink" Target="https://1drv.ms/x/s!AkP3hbXXLtgBhpEoaTK-EAwrB6PPjQ?e=NFspu9&amp;nav=MTVfezE1M0M1OEJDLTA3MzUtNERFMC1BNzE4LTMzMUY1QjZBOEZDMH0" TargetMode="External"/><Relationship Id="rId1232" Type="http://schemas.openxmlformats.org/officeDocument/2006/relationships/hyperlink" Target="https://1drv.ms/x/s!AkP3hbXXLtgBhpEoaTK-EAwrB6PPjQ?e=U6lTuf&amp;nav=MTVfezFEODYyODdBLUIyOTctNDdGMC04MTkyLUUzRDE3NjM5RkNFQ30" TargetMode="External"/><Relationship Id="rId185" Type="http://schemas.openxmlformats.org/officeDocument/2006/relationships/hyperlink" Target="https://1drv.ms/x/s!AkP3hbXXLtgBhpEoaTK-EAwrB6PPjQ?e=hKKsXn&amp;nav=MTVfe0M0MzQ5RkZFLUFFMEMtNDZBOC05NDNELUU2ODg5N0JGMDU4Rn0" TargetMode="External"/><Relationship Id="rId1909" Type="http://schemas.openxmlformats.org/officeDocument/2006/relationships/hyperlink" Target="https://1drv.ms/x/s!AkP3hbXXLtgBhpEoaTK-EAwrB6PPjQ?e=TStCPl&amp;nav=MTVfezI2MjVEMjA5LUMzRUYtNEM5RS1CM0Q3LUE4NUY4RTMyNDUyNH0" TargetMode="External"/><Relationship Id="rId392" Type="http://schemas.openxmlformats.org/officeDocument/2006/relationships/hyperlink" Target="https://1drv.ms/x/s!AkP3hbXXLtgBhpEoaTK-EAwrB6PPjQ?e=mvWMFP&amp;nav=MTVfe0Q0MjM2QjFDLUVBQTAtNDE3Ri1BOEVGLTQzNzNBN0FGODY4M30" TargetMode="External"/><Relationship Id="rId2073" Type="http://schemas.openxmlformats.org/officeDocument/2006/relationships/hyperlink" Target="https://1drv.ms/x/s!AkP3hbXXLtgBhpEoaTK-EAwrB6PPjQ?e=t9ByVx&amp;nav=MTVfe0MzOTE2QzlDLTMzMEMtNEQ4NS05NjZBLTBFNzk3QjgxMEIwQn0" TargetMode="External"/><Relationship Id="rId2280" Type="http://schemas.openxmlformats.org/officeDocument/2006/relationships/hyperlink" Target="https://1drv.ms/x/s!AkP3hbXXLtgBhpEoaTK-EAwrB6PPjQ?e=vI4FNr&amp;nav=MTVfezhGQzkyMTU5LUYxNTUtNDg4MS04N0QzLTE5OTgzQjI3QTc1NH0" TargetMode="External"/><Relationship Id="rId252" Type="http://schemas.openxmlformats.org/officeDocument/2006/relationships/hyperlink" Target="https://1drv.ms/x/s!AkP3hbXXLtgBhpEoaTK-EAwrB6PPjQ?e=36Im2J&amp;nav=MTVfezg1NTdGRUM1LTczODktNDk5My1BQjA0LTkyQjFDODE4MjgxRX0" TargetMode="External"/><Relationship Id="rId2140" Type="http://schemas.openxmlformats.org/officeDocument/2006/relationships/hyperlink" Target="https://1drv.ms/x/s!AkP3hbXXLtgBhpEoaTK-EAwrB6PPjQ?e=nj2bQ1&amp;nav=MTVfezAwMDAwMDAwLTAwMDEtMDAwMC0wMDAwLTAwMDAwMDAwMDAwMH0" TargetMode="External"/><Relationship Id="rId112" Type="http://schemas.openxmlformats.org/officeDocument/2006/relationships/hyperlink" Target="https://1drv.ms/x/s!AkP3hbXXLtgBhpEoaTK-EAwrB6PPjQ?e=hRuig5&amp;nav=MTVfe0NCREMzODZGLTI3RDktNEI4RS05QjQ0LUUzQTc5QTQyQzY2MX0" TargetMode="External"/><Relationship Id="rId1699" Type="http://schemas.openxmlformats.org/officeDocument/2006/relationships/hyperlink" Target="https://1drv.ms/x/s!AkP3hbXXLtgBhpEoaTK-EAwrB6PPjQ?e=DHRjp5&amp;nav=MTVfezdEN0E2ODJDLUYxMzctNDI0MS1BRjZDLThEMzExM0M0OTZBNn0" TargetMode="External"/><Relationship Id="rId2000" Type="http://schemas.openxmlformats.org/officeDocument/2006/relationships/hyperlink" Target="https://1drv.ms/x/s!AkP3hbXXLtgBhpEoaTK-EAwrB6PPjQ?e=e8c5BE&amp;nav=MTVfe0YzRjMwRTg2LTYyMTgtNEY5QS05Qzg0LTUxNkJFM0Q4MDAwN30" TargetMode="External"/><Relationship Id="rId929" Type="http://schemas.openxmlformats.org/officeDocument/2006/relationships/hyperlink" Target="https://1drv.ms/x/s!AkP3hbXXLtgBhpEoaTK-EAwrB6PPjQ?e=GuJxJM&amp;nav=MTVfe0NBQzcxNDNGLTAzODYtNEFDRi1BNTI1LTRDQTYxMDEzNkYwM30" TargetMode="External"/><Relationship Id="rId1559" Type="http://schemas.openxmlformats.org/officeDocument/2006/relationships/hyperlink" Target="https://1drv.ms/x/s!AkP3hbXXLtgBhpEoaTK-EAwrB6PPjQ?e=PsqPhH&amp;nav=MTVfe0ZDRjg3ODhGLTBFNDItNDJCOC04MDRCLTU4OTcwNUMwMjFGMn0" TargetMode="External"/><Relationship Id="rId1766" Type="http://schemas.openxmlformats.org/officeDocument/2006/relationships/hyperlink" Target="https://1drv.ms/x/s!AkP3hbXXLtgBhpEoaTK-EAwrB6PPjQ?e=sBpJD5&amp;nav=MTVfezM5QzdFMEZDLTg3QTEtNDRCMS04QTgyLUQ3MDU0NDI2MTBFRn0" TargetMode="External"/><Relationship Id="rId1973" Type="http://schemas.openxmlformats.org/officeDocument/2006/relationships/hyperlink" Target="https://1drv.ms/x/s!AkP3hbXXLtgBhpEoaTK-EAwrB6PPjQ?e=Hae5Hc&amp;nav=MTVfe0U1QUU2RDZBLTFGMkUtNENGNC04OENCLUE1MjI0OEMyNDMzNn0" TargetMode="External"/><Relationship Id="rId58" Type="http://schemas.openxmlformats.org/officeDocument/2006/relationships/hyperlink" Target="https://1drv.ms/x/s!AkP3hbXXLtgBhpEoaTK-EAwrB6PPjQ?e=AMVmTu&amp;nav=MTVfezNFMEFDQTg3LTgzOUUtNDFGNC04MkYwLUIxRjIyNTFBRDYzNX0" TargetMode="External"/><Relationship Id="rId1419" Type="http://schemas.openxmlformats.org/officeDocument/2006/relationships/hyperlink" Target="https://1drv.ms/x/s!AkP3hbXXLtgBhpEoaTK-EAwrB6PPjQ?e=xXe3yl&amp;nav=MTVfezM1QjlFQjFCLUIxM0MtNDQ0Ni05MzQyLUU2QjczMkYzQzJFOH0" TargetMode="External"/><Relationship Id="rId1626" Type="http://schemas.openxmlformats.org/officeDocument/2006/relationships/hyperlink" Target="https://1drv.ms/x/s!AkP3hbXXLtgBhpEoaTK-EAwrB6PPjQ?e=VUlHtx&amp;nav=MTVfe0JEMzdCNzJBLTQ3QUItNEI0NC04MDRCLTNDRDY0MDVBODI2Qn0" TargetMode="External"/><Relationship Id="rId1833" Type="http://schemas.openxmlformats.org/officeDocument/2006/relationships/hyperlink" Target="https://1drv.ms/x/s!AkP3hbXXLtgBhpEoaTK-EAwrB6PPjQ?e=Qo1W02&amp;nav=MTVfe0Q5NDAyRTdCLTJCNEYtNEQ5OS05Q0Y4LTIyNDExQjYxNzRBRH0" TargetMode="External"/><Relationship Id="rId1900" Type="http://schemas.openxmlformats.org/officeDocument/2006/relationships/hyperlink" Target="https://1drv.ms/x/s!AkP3hbXXLtgBhpEoaTK-EAwrB6PPjQ?e=TStCPl&amp;nav=MTVfezI2MjVEMjA5LUMzRUYtNEM5RS1CM0Q3LUE4NUY4RTMyNDUyNH0" TargetMode="External"/><Relationship Id="rId579" Type="http://schemas.openxmlformats.org/officeDocument/2006/relationships/hyperlink" Target="https://1drv.ms/x/s!AkP3hbXXLtgBhpEoaTK-EAwrB6PPjQ?e=xgZSuS&amp;nav=MTVfezA3RkYxMTMwLTAyQjYtNDA4RS1BMkU5LTI2MUQ0MjM2OEJGQn0" TargetMode="External"/><Relationship Id="rId786" Type="http://schemas.openxmlformats.org/officeDocument/2006/relationships/hyperlink" Target="https://1drv.ms/x/s!AkP3hbXXLtgBhpEoaTK-EAwrB6PPjQ?e=zuxs7K&amp;nav=MTVfezEzQ0U5ODFBLTQxOTEtNERBOS05RDcwLTU1NDcwQ0I2MzhFNX0" TargetMode="External"/><Relationship Id="rId993" Type="http://schemas.openxmlformats.org/officeDocument/2006/relationships/hyperlink" Target="https://1drv.ms/x/s!AkP3hbXXLtgBhpEoaTK-EAwrB6PPjQ?e=fk66xb&amp;nav=MTVfezU0MjNBNEE5LTNDNzctNDQwNC05RjA3LTAyNEI1N0FBQjFDNX0" TargetMode="External"/><Relationship Id="rId2467" Type="http://schemas.openxmlformats.org/officeDocument/2006/relationships/hyperlink" Target="https://1drv.ms/x/s!AkP3hbXXLtgBhpEoaTK-EAwrB6PPjQ?e=LQfhsg&amp;nav=MTVfe0FGQTQ2QTUxLTkwOEEtNEZCNi04OUQ1LTMwOUU4QkMzMTRFQ30" TargetMode="External"/><Relationship Id="rId2674" Type="http://schemas.openxmlformats.org/officeDocument/2006/relationships/hyperlink" Target="https://1drv.ms/x/s!AkP3hbXXLtgBhpEoaTK-EAwrB6PPjQ?e=hUXjPN&amp;nav=MTVfezYzNzY4MEExLTRDMzItNDcxMy05M0ZCLTBFNjAwNTlBMUI0MH0" TargetMode="External"/><Relationship Id="rId439" Type="http://schemas.openxmlformats.org/officeDocument/2006/relationships/hyperlink" Target="https://1drv.ms/x/s!AkP3hbXXLtgBhpEoaTK-EAwrB6PPjQ?e=sXo522&amp;nav=MTVfe0VCNzhCQUU0LUVEQzItNDRCMC04QTFFLUZEQzA0OTNEMDkzOX0" TargetMode="External"/><Relationship Id="rId646" Type="http://schemas.openxmlformats.org/officeDocument/2006/relationships/hyperlink" Target="https://1drv.ms/x/s!AkP3hbXXLtgBhpEoaTK-EAwrB6PPjQ?e=ZRDRyK&amp;nav=MTVfe0IyQkRBQzE0LUM2QkQtNDY3Ny04MjcyLUQxNjYyMkIyRTZGRH0" TargetMode="External"/><Relationship Id="rId1069" Type="http://schemas.openxmlformats.org/officeDocument/2006/relationships/hyperlink" Target="https://1drv.ms/x/s!AkP3hbXXLtgBhpEoaTK-EAwrB6PPjQ?e=rYbeUy&amp;nav=MTVfe0Q1MEM2OTMzLTFBNUUtNDhCMS1CQzhCLTlGQTI2NEEzRURDRH0" TargetMode="External"/><Relationship Id="rId1276" Type="http://schemas.openxmlformats.org/officeDocument/2006/relationships/hyperlink" Target="https://1drv.ms/x/s!AkP3hbXXLtgBhpEoaTK-EAwrB6PPjQ?e=bD2jTr&amp;nav=MTVfezRGRUQzQzY0LTk3M0ItNDNDNy1BRUY3LTYwMDNGN0E5OThFQX0" TargetMode="External"/><Relationship Id="rId1483" Type="http://schemas.openxmlformats.org/officeDocument/2006/relationships/hyperlink" Target="https://1drv.ms/x/s!AkP3hbXXLtgBhpEoaTK-EAwrB6PPjQ?e=Dygyft&amp;nav=MTVfe0VDMUJBNEJBLUNCOTAtNDI3Ri1CMTVFLUZDQjc2NURCQ0I1Q30" TargetMode="External"/><Relationship Id="rId2327" Type="http://schemas.openxmlformats.org/officeDocument/2006/relationships/hyperlink" Target="https://1drv.ms/x/s!AkP3hbXXLtgBhpEoaTK-EAwrB6PPjQ?e=LiWfcw&amp;nav=MTVfezFBQTVDNUQ5LTIxM0QtNDcxMi05RkYwLUI2NUUyNTFDRkFBMH0" TargetMode="External"/><Relationship Id="rId506" Type="http://schemas.openxmlformats.org/officeDocument/2006/relationships/hyperlink" Target="https://1drv.ms/x/s!AkP3hbXXLtgBhpEoaTK-EAwrB6PPjQ?e=zfxOib&amp;nav=MTVfezc5MUI1QUJBLTY0QUItNDM1OS05NkVBLTE3MUFBQTY2QzQ4Q30" TargetMode="External"/><Relationship Id="rId853" Type="http://schemas.openxmlformats.org/officeDocument/2006/relationships/hyperlink" Target="https://1drv.ms/x/s!AkP3hbXXLtgBhpEoaTK-EAwrB6PPjQ?e=VcWWuU&amp;nav=MTVfe0ExMEEwQ0RDLUFCNUQtNEMxQS1BM0ZGLTEzRDE2MkJEN0U2Q30" TargetMode="External"/><Relationship Id="rId1136" Type="http://schemas.openxmlformats.org/officeDocument/2006/relationships/hyperlink" Target="https://1drv.ms/x/s!AkP3hbXXLtgBhpEoaTK-EAwrB6PPjQ?e=Brd8C5&amp;nav=MTVfe0YyMTJGNjdELTg0REMtNEY4Ri05MzE5LTE0M0FEODlBMzg5Q30" TargetMode="External"/><Relationship Id="rId1690" Type="http://schemas.openxmlformats.org/officeDocument/2006/relationships/hyperlink" Target="https://1drv.ms/x/s!AkP3hbXXLtgBhpEoaTK-EAwrB6PPjQ?e=DHRjp5&amp;nav=MTVfezdEN0E2ODJDLUYxMzctNDI0MS1BRjZDLThEMzExM0M0OTZBNn0" TargetMode="External"/><Relationship Id="rId2534" Type="http://schemas.openxmlformats.org/officeDocument/2006/relationships/hyperlink" Target="https://1drv.ms/x/s!AkP3hbXXLtgBhpEoaTK-EAwrB6PPjQ?e=mXia38&amp;nav=MTVfe0I0NjUwQ0I4LURGNzEtNDA5NC04M0QxLUExRTNDN0Q3OTc1MX0" TargetMode="External"/><Relationship Id="rId2741" Type="http://schemas.openxmlformats.org/officeDocument/2006/relationships/hyperlink" Target="https://1drv.ms/x/s!AkP3hbXXLtgBhpEoaTK-EAwrB6PPjQ?e=5RiQ1M&amp;nav=MTVfezAwOEJCMDMxLUEyNEEtNDc3RS04RDNFLTBENTk0MDBCNEY0OH0" TargetMode="External"/><Relationship Id="rId713" Type="http://schemas.openxmlformats.org/officeDocument/2006/relationships/hyperlink" Target="https://1drv.ms/x/s!AkP3hbXXLtgBhpEoaTK-EAwrB6PPjQ?e=JPeMLZ&amp;nav=MTVfezdEMkY3NDEyLUYwMzItNDM0RC05MDRFLTcyNTE0ODM0NjA4M30" TargetMode="External"/><Relationship Id="rId920" Type="http://schemas.openxmlformats.org/officeDocument/2006/relationships/hyperlink" Target="https://1drv.ms/x/s!AkP3hbXXLtgBhpEoaTK-EAwrB6PPjQ?e=q7Y9UY&amp;nav=MTVfezY2QjMzRUJDLTdGREQtNEI4MC05QkFBLTZFRTQyNUFCMDY2MH0" TargetMode="External"/><Relationship Id="rId1343" Type="http://schemas.openxmlformats.org/officeDocument/2006/relationships/hyperlink" Target="https://1drv.ms/x/s!AkP3hbXXLtgBhpEoaTK-EAwrB6PPjQ?e=SkY523&amp;nav=MTVfezk3NEQ3MjVGLTlERDMtNDdDOS05QzJDLUU5RjJCNjk2N0I4MX0" TargetMode="External"/><Relationship Id="rId1550" Type="http://schemas.openxmlformats.org/officeDocument/2006/relationships/hyperlink" Target="https://1drv.ms/x/s!AkP3hbXXLtgBhpEoaTK-EAwrB6PPjQ?e=PsqPhH&amp;nav=MTVfe0ZDRjg3ODhGLTBFNDItNDJCOC04MDRCLTU4OTcwNUMwMjFGMn0" TargetMode="External"/><Relationship Id="rId2601" Type="http://schemas.openxmlformats.org/officeDocument/2006/relationships/hyperlink" Target="https://1drv.ms/x/s!AkP3hbXXLtgBhpEoaTK-EAwrB6PPjQ?e=k1JzSb&amp;nav=MTVfezlCRDVCMEI4LTNBMEItNDE5NC04RTEyLUQxQzc3N0U3MUFFQn0" TargetMode="External"/><Relationship Id="rId1203" Type="http://schemas.openxmlformats.org/officeDocument/2006/relationships/hyperlink" Target="https://1drv.ms/x/s!AkP3hbXXLtgBhpEoaTK-EAwrB6PPjQ?e=U6lTuf&amp;nav=MTVfezFEODYyODdBLUIyOTctNDdGMC04MTkyLUUzRDE3NjM5RkNFQ30" TargetMode="External"/><Relationship Id="rId1410" Type="http://schemas.openxmlformats.org/officeDocument/2006/relationships/hyperlink" Target="https://1drv.ms/x/s!AkP3hbXXLtgBhpEoaTK-EAwrB6PPjQ?e=6Dzvxb&amp;nav=MTVfezE4RDVGRUE3LUYyN0MtNDRFNC1BMENCLTk1RTNFRjk3QkJDRX0" TargetMode="External"/><Relationship Id="rId296" Type="http://schemas.openxmlformats.org/officeDocument/2006/relationships/hyperlink" Target="https://1drv.ms/x/s!AkP3hbXXLtgBhpEoaTK-EAwrB6PPjQ?e=HO6wd4&amp;nav=MTVfe0NDRThCRDRELTFCMEEtNDNFRC1BMDRDLTc1QjY0NDgwNjJBMH0" TargetMode="External"/><Relationship Id="rId2184" Type="http://schemas.openxmlformats.org/officeDocument/2006/relationships/hyperlink" Target="https://1drv.ms/x/s!AkP3hbXXLtgBhpEoaTK-EAwrB6PPjQ?e=PJkcfB&amp;nav=MTVfezBFRjgyRDlFLThFOEUtNDA2RC05QUQzLTk5RDY0REIzMEU3Rn0" TargetMode="External"/><Relationship Id="rId2391" Type="http://schemas.openxmlformats.org/officeDocument/2006/relationships/hyperlink" Target="https://1drv.ms/x/s!AkP3hbXXLtgBhpEoaTK-EAwrB6PPjQ?e=X2f9pt&amp;nav=MTVfe0M4ODI3QTVFLTgzOUMtNDk2Qy1BMThFLUNCMDYwN0JBQjM5M30" TargetMode="External"/><Relationship Id="rId156" Type="http://schemas.openxmlformats.org/officeDocument/2006/relationships/hyperlink" Target="https://1drv.ms/x/s!AkP3hbXXLtgBhpEoaTK-EAwrB6PPjQ?e=hRuig5&amp;nav=MTVfe0NCREMzODZGLTI3RDktNEI4RS05QjQ0LUUzQTc5QTQyQzY2MX0" TargetMode="External"/><Relationship Id="rId363" Type="http://schemas.openxmlformats.org/officeDocument/2006/relationships/hyperlink" Target="https://1drv.ms/x/s!AkP3hbXXLtgBhpEoaTK-EAwrB6PPjQ?e=mvWMFP&amp;nav=MTVfe0Q0MjM2QjFDLUVBQTAtNDE3Ri1BOEVGLTQzNzNBN0FGODY4M30" TargetMode="External"/><Relationship Id="rId570" Type="http://schemas.openxmlformats.org/officeDocument/2006/relationships/hyperlink" Target="https://1drv.ms/x/s!AkP3hbXXLtgBhpEoaTK-EAwrB6PPjQ?e=xgZSuS&amp;nav=MTVfezA3RkYxMTMwLTAyQjYtNDA4RS1BMkU5LTI2MUQ0MjM2OEJGQn0" TargetMode="External"/><Relationship Id="rId2044" Type="http://schemas.openxmlformats.org/officeDocument/2006/relationships/hyperlink" Target="https://1drv.ms/x/s!AkP3hbXXLtgBhpEoaTK-EAwrB6PPjQ?e=t9ByVx&amp;nav=MTVfe0MzOTE2QzlDLTMzMEMtNEQ4NS05NjZBLTBFNzk3QjgxMEIwQn0" TargetMode="External"/><Relationship Id="rId2251" Type="http://schemas.openxmlformats.org/officeDocument/2006/relationships/hyperlink" Target="https://1drv.ms/x/s!AkP3hbXXLtgBhpEoaTK-EAwrB6PPjQ?e=vI4FNr&amp;nav=MTVfezhGQzkyMTU5LUYxNTUtNDg4MS04N0QzLTE5OTgzQjI3QTc1NH0" TargetMode="External"/><Relationship Id="rId223" Type="http://schemas.openxmlformats.org/officeDocument/2006/relationships/hyperlink" Target="https://1drv.ms/x/s!AkP3hbXXLtgBhpEoaTK-EAwrB6PPjQ?e=hKKsXn&amp;nav=MTVfe0M0MzQ5RkZFLUFFMEMtNDZBOC05NDNELUU2ODg5N0JGMDU4Rn0" TargetMode="External"/><Relationship Id="rId430" Type="http://schemas.openxmlformats.org/officeDocument/2006/relationships/hyperlink" Target="https://1drv.ms/x/s!AkP3hbXXLtgBhpEoaTK-EAwrB6PPjQ?e=sXo522&amp;nav=MTVfe0VCNzhCQUU0LUVEQzItNDRCMC04QTFFLUZEQzA0OTNEMDkzOX0" TargetMode="External"/><Relationship Id="rId1060" Type="http://schemas.openxmlformats.org/officeDocument/2006/relationships/hyperlink" Target="https://1drv.ms/x/s!AkP3hbXXLtgBhpEoaTK-EAwrB6PPjQ?e=rYbeUy&amp;nav=MTVfe0Q1MEM2OTMzLTFBNUUtNDhCMS1CQzhCLTlGQTI2NEEzRURDRH0" TargetMode="External"/><Relationship Id="rId2111" Type="http://schemas.openxmlformats.org/officeDocument/2006/relationships/hyperlink" Target="https://1drv.ms/x/s!AkP3hbXXLtgBhpEoaTK-EAwrB6PPjQ?e=7tvhFu&amp;nav=MTVfezYzQUQ2N0RCLTZFQkQtNDhGOC1BODVFLUQzNjgwN0I4QkNFMn0" TargetMode="External"/><Relationship Id="rId1877" Type="http://schemas.openxmlformats.org/officeDocument/2006/relationships/hyperlink" Target="https://1drv.ms/x/s!AkP3hbXXLtgBhpEoaTK-EAwrB6PPjQ?e=3z9g8a&amp;nav=MTVfezBGMENERTNBLTZCQTUtNDYwRi05MDM3LUNDNDk5MDBCNUU5MX0" TargetMode="External"/><Relationship Id="rId1737" Type="http://schemas.openxmlformats.org/officeDocument/2006/relationships/hyperlink" Target="https://1drv.ms/x/s!AkP3hbXXLtgBhpEoaTK-EAwrB6PPjQ?e=OaIvOH&amp;nav=MTVfezFDODBFQUMzLTY0M0UtNDM2MC04REU0LTRBOUYzQ0MxQkY2Nn0" TargetMode="External"/><Relationship Id="rId1944" Type="http://schemas.openxmlformats.org/officeDocument/2006/relationships/hyperlink" Target="https://1drv.ms/x/s!AkP3hbXXLtgBhpEoaTK-EAwrB6PPjQ?e=Hae5Hc&amp;nav=MTVfe0U1QUU2RDZBLTFGMkUtNENGNC04OENCLUE1MjI0OEMyNDMzNn0" TargetMode="External"/><Relationship Id="rId29" Type="http://schemas.openxmlformats.org/officeDocument/2006/relationships/hyperlink" Target="https://1drv.ms/x/s!AkP3hbXXLtgBhpEoaTK-EAwrB6PPjQ?e=pv1n5G&amp;nav=MTVfe0I5QjVDOEU1LTM5MTMtNDRCNy1COEY4LUUwMUNENUM2NTY1NX0" TargetMode="External"/><Relationship Id="rId1804" Type="http://schemas.openxmlformats.org/officeDocument/2006/relationships/hyperlink" Target="https://1drv.ms/x/s!AkP3hbXXLtgBhpEoaTK-EAwrB6PPjQ?e=sBpJD5&amp;nav=MTVfezM5QzdFMEZDLTg3QTEtNDRCMS04QTgyLUQ3MDU0NDI2MTBFRn0" TargetMode="External"/><Relationship Id="rId897" Type="http://schemas.openxmlformats.org/officeDocument/2006/relationships/hyperlink" Target="https://1drv.ms/x/s!AkP3hbXXLtgBhpEoaTK-EAwrB6PPjQ?e=q7Y9UY&amp;nav=MTVfezY2QjMzRUJDLTdGREQtNEI4MC05QkFBLTZFRTQyNUFCMDY2MH0" TargetMode="External"/><Relationship Id="rId2578" Type="http://schemas.openxmlformats.org/officeDocument/2006/relationships/hyperlink" Target="https://1drv.ms/x/s!AkP3hbXXLtgBhpEoaTK-EAwrB6PPjQ?e=jIa7Pe&amp;nav=MTVfe0JFMzhCMTg0LTU1OTYtNDhFNS05ODAzLUExRUIzQzAyNDQyOH0" TargetMode="External"/><Relationship Id="rId757" Type="http://schemas.openxmlformats.org/officeDocument/2006/relationships/hyperlink" Target="https://1drv.ms/x/s!AkP3hbXXLtgBhpEoaTK-EAwrB6PPjQ?e=0lRBEc&amp;nav=MTVfezRDRDQwMjU1LUJFM0ItNENDQS05NDQ1LUY1OTdERDA5ODg4NH0" TargetMode="External"/><Relationship Id="rId964" Type="http://schemas.openxmlformats.org/officeDocument/2006/relationships/hyperlink" Target="https://1drv.ms/x/s!AkP3hbXXLtgBhpEoaTK-EAwrB6PPjQ?e=fk66xb&amp;nav=MTVfezU0MjNBNEE5LTNDNzctNDQwNC05RjA3LTAyNEI1N0FBQjFDNX0" TargetMode="External"/><Relationship Id="rId1387" Type="http://schemas.openxmlformats.org/officeDocument/2006/relationships/hyperlink" Target="https://1drv.ms/x/s!AkP3hbXXLtgBhpEoaTK-EAwrB6PPjQ?e=6Dzvxb&amp;nav=MTVfezE4RDVGRUE3LUYyN0MtNDRFNC1BMENCLTk1RTNFRjk3QkJDRX0" TargetMode="External"/><Relationship Id="rId1594" Type="http://schemas.openxmlformats.org/officeDocument/2006/relationships/hyperlink" Target="https://1drv.ms/x/s!AkP3hbXXLtgBhpEoaTK-EAwrB6PPjQ?e=hF7xUm&amp;nav=MTVfezBDOEZCN0U5LURBOEQtNEY2Qi1CNUE1LUYzQTk0NDFBRkE2NX0" TargetMode="External"/><Relationship Id="rId2438" Type="http://schemas.openxmlformats.org/officeDocument/2006/relationships/hyperlink" Target="https://1drv.ms/x/s!AkP3hbXXLtgBhpEoaTK-EAwrB6PPjQ?e=LQfhsg&amp;nav=MTVfe0FGQTQ2QTUxLTkwOEEtNEZCNi04OUQ1LTMwOUU4QkMzMTRFQ30" TargetMode="External"/><Relationship Id="rId2645" Type="http://schemas.openxmlformats.org/officeDocument/2006/relationships/hyperlink" Target="https://1drv.ms/x/s!AkP3hbXXLtgBhpEoaTK-EAwrB6PPjQ?e=k1JzSb&amp;nav=MTVfezlCRDVCMEI4LTNBMEItNDE5NC04RTEyLUQxQzc3N0U3MUFFQn0" TargetMode="External"/><Relationship Id="rId93" Type="http://schemas.openxmlformats.org/officeDocument/2006/relationships/hyperlink" Target="https://1drv.ms/x/s!AkP3hbXXLtgBhpEoaTK-EAwrB6PPjQ?e=AMVmTu&amp;nav=MTVfezNFMEFDQTg3LTgzOUUtNDFGNC04MkYwLUIxRjIyNTFBRDYzNX0" TargetMode="External"/><Relationship Id="rId617" Type="http://schemas.openxmlformats.org/officeDocument/2006/relationships/hyperlink" Target="https://1drv.ms/x/s!AkP3hbXXLtgBhpEoaTK-EAwrB6PPjQ?e=ZRDRyK&amp;nav=MTVfe0IyQkRBQzE0LUM2QkQtNDY3Ny04MjcyLUQxNjYyMkIyRTZGRH0" TargetMode="External"/><Relationship Id="rId824" Type="http://schemas.openxmlformats.org/officeDocument/2006/relationships/hyperlink" Target="https://1drv.ms/x/s!AkP3hbXXLtgBhpEoaTK-EAwrB6PPjQ?e=zuxs7K&amp;nav=MTVfezEzQ0U5ODFBLTQxOTEtNERBOS05RDcwLTU1NDcwQ0I2MzhFNX0" TargetMode="External"/><Relationship Id="rId1247" Type="http://schemas.openxmlformats.org/officeDocument/2006/relationships/hyperlink" Target="https://1drv.ms/x/s!AkP3hbXXLtgBhpEoaTK-EAwrB6PPjQ?e=UaBeCf&amp;nav=MTVfezM0NkJDRTA1LThBNUQtNDFFMC1BNjQ2LTk5NTVEMTg4RUEzNn0" TargetMode="External"/><Relationship Id="rId1454" Type="http://schemas.openxmlformats.org/officeDocument/2006/relationships/hyperlink" Target="https://1drv.ms/x/s!AkP3hbXXLtgBhpEoaTK-EAwrB6PPjQ?e=xXe3yl&amp;nav=MTVfezM1QjlFQjFCLUIxM0MtNDQ0Ni05MzQyLUU2QjczMkYzQzJFOH0" TargetMode="External"/><Relationship Id="rId1661" Type="http://schemas.openxmlformats.org/officeDocument/2006/relationships/hyperlink" Target="https://1drv.ms/x/s!AkP3hbXXLtgBhpEoaTK-EAwrB6PPjQ?e=DHRjp5&amp;nav=MTVfezdEN0E2ODJDLUYxMzctNDI0MS1BRjZDLThEMzExM0M0OTZBNn0" TargetMode="External"/><Relationship Id="rId2505" Type="http://schemas.openxmlformats.org/officeDocument/2006/relationships/hyperlink" Target="https://1drv.ms/x/s!AkP3hbXXLtgBhpEoaTK-EAwrB6PPjQ?e=C0qDpb&amp;nav=MTVfe0FDMDA5RTg0LUFERUEtNEUzNC1BMjZCLUY5MjIwQzAxQjZBRH0" TargetMode="External"/><Relationship Id="rId2712" Type="http://schemas.openxmlformats.org/officeDocument/2006/relationships/hyperlink" Target="https://1drv.ms/x/s!AkP3hbXXLtgBhpEoaTK-EAwrB6PPjQ?e=hUXjPN&amp;nav=MTVfezYzNzY4MEExLTRDMzItNDcxMy05M0ZCLTBFNjAwNTlBMUI0MH0" TargetMode="External"/><Relationship Id="rId1107" Type="http://schemas.openxmlformats.org/officeDocument/2006/relationships/hyperlink" Target="https://1drv.ms/x/s!AkP3hbXXLtgBhpEoaTK-EAwrB6PPjQ?e=Brd8C5&amp;nav=MTVfe0YyMTJGNjdELTg0REMtNEY4Ri05MzE5LTE0M0FEODlBMzg5Q30" TargetMode="External"/><Relationship Id="rId1314" Type="http://schemas.openxmlformats.org/officeDocument/2006/relationships/hyperlink" Target="https://1drv.ms/x/s!AkP3hbXXLtgBhpEoaTK-EAwrB6PPjQ?e=bD2jTr&amp;nav=MTVfezRGRUQzQzY0LTk3M0ItNDNDNy1BRUY3LTYwMDNGN0E5OThFQX0" TargetMode="External"/><Relationship Id="rId1521" Type="http://schemas.openxmlformats.org/officeDocument/2006/relationships/hyperlink" Target="https://1drv.ms/x/s!AkP3hbXXLtgBhpEoaTK-EAwrB6PPjQ?e=VcWWuU&amp;nav=MTVfe0ExMEEwQ0RDLUFCNUQtNEMxQS1BM0ZGLTEzRDE2MkJEN0U2Q30" TargetMode="External"/><Relationship Id="rId20" Type="http://schemas.openxmlformats.org/officeDocument/2006/relationships/hyperlink" Target="https://1drv.ms/x/s!AkP3hbXXLtgBhpEoaTK-EAwrB6PPjQ?e=pv1n5G&amp;nav=MTVfe0I5QjVDOEU1LTM5MTMtNDRCNy1COEY4LUUwMUNENUM2NTY1NX0" TargetMode="External"/><Relationship Id="rId2088" Type="http://schemas.openxmlformats.org/officeDocument/2006/relationships/hyperlink" Target="https://1drv.ms/x/s!AkP3hbXXLtgBhpEoaTK-EAwrB6PPjQ?e=6Uvhwt&amp;nav=MTVfe0Q5NUQ0MEFGLTAxNjgtNDM5Ni04Rjg1LTZBMkFBMzFBMkRCMn0" TargetMode="External"/><Relationship Id="rId2295" Type="http://schemas.openxmlformats.org/officeDocument/2006/relationships/hyperlink" Target="https://1drv.ms/x/s!AkP3hbXXLtgBhpEoaTK-EAwrB6PPjQ?e=vI4FNr&amp;nav=MTVfezhGQzkyMTU5LUYxNTUtNDg4MS04N0QzLTE5OTgzQjI3QTc1NH0" TargetMode="External"/><Relationship Id="rId267" Type="http://schemas.openxmlformats.org/officeDocument/2006/relationships/hyperlink" Target="https://1drv.ms/x/s!AkP3hbXXLtgBhpEoaTK-EAwrB6PPjQ?e=36Im2J&amp;nav=MTVfezg1NTdGRUM1LTczODktNDk5My1BQjA0LTkyQjFDODE4MjgxRX0" TargetMode="External"/><Relationship Id="rId474" Type="http://schemas.openxmlformats.org/officeDocument/2006/relationships/hyperlink" Target="https://1drv.ms/x/s!AkP3hbXXLtgBhpEoaTK-EAwrB6PPjQ?e=sXo522&amp;nav=MTVfe0VCNzhCQUU0LUVEQzItNDRCMC04QTFFLUZEQzA0OTNEMDkzOX0" TargetMode="External"/><Relationship Id="rId2155" Type="http://schemas.openxmlformats.org/officeDocument/2006/relationships/hyperlink" Target="https://1drv.ms/x/s!AkP3hbXXLtgBhpEoaTK-EAwrB6PPjQ?e=nj2bQ1&amp;nav=MTVfezAwMDAwMDAwLTAwMDEtMDAwMC0wMDAwLTAwMDAwMDAwMDAwMH0" TargetMode="External"/><Relationship Id="rId127" Type="http://schemas.openxmlformats.org/officeDocument/2006/relationships/hyperlink" Target="https://1drv.ms/x/s!AkP3hbXXLtgBhpEoaTK-EAwrB6PPjQ?e=hRuig5&amp;nav=MTVfe0NCREMzODZGLTI3RDktNEI4RS05QjQ0LUUzQTc5QTQyQzY2MX0" TargetMode="External"/><Relationship Id="rId681" Type="http://schemas.openxmlformats.org/officeDocument/2006/relationships/hyperlink" Target="https://1drv.ms/x/s!AkP3hbXXLtgBhpEoaTK-EAwrB6PPjQ?e=JPeMLZ&amp;nav=MTVfezdEMkY3NDEyLUYwMzItNDM0RC05MDRFLTcyNTE0ODM0NjA4M30" TargetMode="External"/><Relationship Id="rId2362" Type="http://schemas.openxmlformats.org/officeDocument/2006/relationships/hyperlink" Target="https://1drv.ms/x/s!AkP3hbXXLtgBhpEoaTK-EAwrB6PPjQ?e=LiWfcw&amp;nav=MTVfezFBQTVDNUQ5LTIxM0QtNDcxMi05RkYwLUI2NUUyNTFDRkFBMH0" TargetMode="External"/><Relationship Id="rId334" Type="http://schemas.openxmlformats.org/officeDocument/2006/relationships/hyperlink" Target="https://1drv.ms/x/s!AkP3hbXXLtgBhpEoaTK-EAwrB6PPjQ?e=HO6wd4&amp;nav=MTVfe0NDRThCRDRELTFCMEEtNDNFRC1BMDRDLTc1QjY0NDgwNjJBMH0" TargetMode="External"/><Relationship Id="rId541" Type="http://schemas.openxmlformats.org/officeDocument/2006/relationships/hyperlink" Target="https://1drv.ms/x/s!AkP3hbXXLtgBhpEoaTK-EAwrB6PPjQ?e=zfxOib&amp;nav=MTVfezc5MUI1QUJBLTY0QUItNDM1OS05NkVBLTE3MUFBQTY2QzQ4Q30" TargetMode="External"/><Relationship Id="rId1171" Type="http://schemas.openxmlformats.org/officeDocument/2006/relationships/hyperlink" Target="https://1drv.ms/x/s!AkP3hbXXLtgBhpEoaTK-EAwrB6PPjQ?e=7D4jtp&amp;nav=MTVfe0Q5MDNFMUVCLUFFNkQtNDU5OC04QjYyLUFGODVDMTZENkVGMX0" TargetMode="External"/><Relationship Id="rId2015" Type="http://schemas.openxmlformats.org/officeDocument/2006/relationships/hyperlink" Target="https://1drv.ms/x/s!AkP3hbXXLtgBhpEoaTK-EAwrB6PPjQ?e=e8c5BE&amp;nav=MTVfe0YzRjMwRTg2LTYyMTgtNEY5QS05Qzg0LTUxNkJFM0Q4MDAwN30" TargetMode="External"/><Relationship Id="rId2222" Type="http://schemas.openxmlformats.org/officeDocument/2006/relationships/hyperlink" Target="https://1drv.ms/x/s!AkP3hbXXLtgBhpEoaTK-EAwrB6PPjQ?e=PJkcfB&amp;nav=MTVfezBFRjgyRDlFLThFOEUtNDA2RC05QUQzLTk5RDY0REIzMEU3Rn0" TargetMode="External"/><Relationship Id="rId401" Type="http://schemas.openxmlformats.org/officeDocument/2006/relationships/hyperlink" Target="https://1drv.ms/x/s!AkP3hbXXLtgBhpEoaTK-EAwrB6PPjQ?e=mvWMFP&amp;nav=MTVfe0Q0MjM2QjFDLUVBQTAtNDE3Ri1BOEVGLTQzNzNBN0FGODY4M30" TargetMode="External"/><Relationship Id="rId1031" Type="http://schemas.openxmlformats.org/officeDocument/2006/relationships/hyperlink" Target="https://1drv.ms/x/s!AkP3hbXXLtgBhpEoaTK-EAwrB6PPjQ?e=NFspu9&amp;nav=MTVfezE1M0M1OEJDLTA3MzUtNERFMC1BNzE4LTMzMUY1QjZBOEZDMH0" TargetMode="External"/><Relationship Id="rId1988" Type="http://schemas.openxmlformats.org/officeDocument/2006/relationships/hyperlink" Target="https://1drv.ms/x/s!AkP3hbXXLtgBhpEoaTK-EAwrB6PPjQ?e=e8c5BE&amp;nav=MTVfe0YzRjMwRTg2LTYyMTgtNEY5QS05Qzg0LTUxNkJFM0Q4MDAwN30" TargetMode="External"/><Relationship Id="rId1848" Type="http://schemas.openxmlformats.org/officeDocument/2006/relationships/hyperlink" Target="https://1drv.ms/x/s!AkP3hbXXLtgBhpEoaTK-EAwrB6PPjQ?e=Qo1W02&amp;nav=MTVfe0Q5NDAyRTdCLTJCNEYtNEQ5OS05Q0Y4LTIyNDExQjYxNzRBRH0" TargetMode="External"/><Relationship Id="rId191" Type="http://schemas.openxmlformats.org/officeDocument/2006/relationships/hyperlink" Target="https://1drv.ms/x/s!AkP3hbXXLtgBhpEoaTK-EAwrB6PPjQ?e=hKKsXn&amp;nav=MTVfe0M0MzQ5RkZFLUFFMEMtNDZBOC05NDNELUU2ODg5N0JGMDU4Rn0" TargetMode="External"/><Relationship Id="rId1708" Type="http://schemas.openxmlformats.org/officeDocument/2006/relationships/hyperlink" Target="https://1drv.ms/x/s!AkP3hbXXLtgBhpEoaTK-EAwrB6PPjQ?e=DHRjp5&amp;nav=MTVfezdEN0E2ODJDLUYxMzctNDI0MS1BRjZDLThEMzExM0M0OTZBNn0" TargetMode="External"/><Relationship Id="rId1915" Type="http://schemas.openxmlformats.org/officeDocument/2006/relationships/hyperlink" Target="https://1drv.ms/x/s!AkP3hbXXLtgBhpEoaTK-EAwrB6PPjQ?e=U8iWbp&amp;nav=MTVfezVDRDNFMEMzLTY0NDctNDUyNC05RjQyLUQ5MzdFOTgzQzgzNH0" TargetMode="External"/><Relationship Id="rId2689" Type="http://schemas.openxmlformats.org/officeDocument/2006/relationships/hyperlink" Target="https://1drv.ms/x/s!AkP3hbXXLtgBhpEoaTK-EAwrB6PPjQ?e=hUXjPN&amp;nav=MTVfezYzNzY4MEExLTRDMzItNDcxMy05M0ZCLTBFNjAwNTlBMUI0MH0" TargetMode="External"/><Relationship Id="rId868" Type="http://schemas.openxmlformats.org/officeDocument/2006/relationships/hyperlink" Target="https://1drv.ms/x/s!AkP3hbXXLtgBhpEoaTK-EAwrB6PPjQ?e=VcWWuU&amp;nav=MTVfe0ExMEEwQ0RDLUFCNUQtNEMxQS1BM0ZGLTEzRDE2MkJEN0U2Q30" TargetMode="External"/><Relationship Id="rId1498" Type="http://schemas.openxmlformats.org/officeDocument/2006/relationships/hyperlink" Target="https://1drv.ms/x/s!AkP3hbXXLtgBhpEoaTK-EAwrB6PPjQ?e=Dygyft&amp;nav=MTVfe0VDMUJBNEJBLUNCOTAtNDI3Ri1CMTVFLUZDQjc2NURCQ0I1Q30" TargetMode="External"/><Relationship Id="rId2549" Type="http://schemas.openxmlformats.org/officeDocument/2006/relationships/hyperlink" Target="https://1drv.ms/x/s!AkP3hbXXLtgBhpEoaTK-EAwrB6PPjQ?e=mXia38&amp;nav=MTVfe0I0NjUwQ0I4LURGNzEtNDA5NC04M0QxLUExRTNDN0Q3OTc1MX0" TargetMode="External"/><Relationship Id="rId728" Type="http://schemas.openxmlformats.org/officeDocument/2006/relationships/hyperlink" Target="https://1drv.ms/x/s!AkP3hbXXLtgBhpEoaTK-EAwrB6PPjQ?e=0lRBEc&amp;nav=MTVfezRDRDQwMjU1LUJFM0ItNENDQS05NDQ1LUY1OTdERDA5ODg4NH0" TargetMode="External"/><Relationship Id="rId935" Type="http://schemas.openxmlformats.org/officeDocument/2006/relationships/hyperlink" Target="https://1drv.ms/x/s!AkP3hbXXLtgBhpEoaTK-EAwrB6PPjQ?e=GuJxJM&amp;nav=MTVfe0NBQzcxNDNGLTAzODYtNEFDRi1BNTI1LTRDQTYxMDEzNkYwM30" TargetMode="External"/><Relationship Id="rId1358" Type="http://schemas.openxmlformats.org/officeDocument/2006/relationships/hyperlink" Target="https://1drv.ms/x/s!AkP3hbXXLtgBhpEoaTK-EAwrB6PPjQ?e=0mRVd8&amp;nav=MTVfezhCNkZEQTNBLUNGMjctNEI5QS04QzdDLTFGQzk0MjVBNUY1QX0" TargetMode="External"/><Relationship Id="rId1565" Type="http://schemas.openxmlformats.org/officeDocument/2006/relationships/hyperlink" Target="https://1drv.ms/x/s!AkP3hbXXLtgBhpEoaTK-EAwrB6PPjQ?e=hF7xUm&amp;nav=MTVfezBDOEZCN0U5LURBOEQtNEY2Qi1CNUE1LUYzQTk0NDFBRkE2NX0" TargetMode="External"/><Relationship Id="rId1772" Type="http://schemas.openxmlformats.org/officeDocument/2006/relationships/hyperlink" Target="https://1drv.ms/x/s!AkP3hbXXLtgBhpEoaTK-EAwrB6PPjQ?e=sBpJD5&amp;nav=MTVfezM5QzdFMEZDLTg3QTEtNDRCMS04QTgyLUQ3MDU0NDI2MTBFRn0" TargetMode="External"/><Relationship Id="rId2409" Type="http://schemas.openxmlformats.org/officeDocument/2006/relationships/hyperlink" Target="https://1drv.ms/x/s!AkP3hbXXLtgBhpEoaTK-EAwrB6PPjQ?e=X2f9pt&amp;nav=MTVfe0M4ODI3QTVFLTgzOUMtNDk2Qy1BMThFLUNCMDYwN0JBQjM5M30" TargetMode="External"/><Relationship Id="rId2616" Type="http://schemas.openxmlformats.org/officeDocument/2006/relationships/hyperlink" Target="https://1drv.ms/x/s!AkP3hbXXLtgBhpEoaTK-EAwrB6PPjQ?e=k1JzSb&amp;nav=MTVfezlCRDVCMEI4LTNBMEItNDE5NC04RTEyLUQxQzc3N0U3MUFFQn0" TargetMode="External"/><Relationship Id="rId64" Type="http://schemas.openxmlformats.org/officeDocument/2006/relationships/hyperlink" Target="https://1drv.ms/x/s!AkP3hbXXLtgBhpEoaTK-EAwrB6PPjQ?e=AMVmTu&amp;nav=MTVfezNFMEFDQTg3LTgzOUUtNDFGNC04MkYwLUIxRjIyNTFBRDYzNX0" TargetMode="External"/><Relationship Id="rId1218" Type="http://schemas.openxmlformats.org/officeDocument/2006/relationships/hyperlink" Target="https://1drv.ms/x/s!AkP3hbXXLtgBhpEoaTK-EAwrB6PPjQ?e=U6lTuf&amp;nav=MTVfezFEODYyODdBLUIyOTctNDdGMC04MTkyLUUzRDE3NjM5RkNFQ30" TargetMode="External"/><Relationship Id="rId1425" Type="http://schemas.openxmlformats.org/officeDocument/2006/relationships/hyperlink" Target="https://1drv.ms/x/s!AkP3hbXXLtgBhpEoaTK-EAwrB6PPjQ?e=xXe3yl&amp;nav=MTVfezM1QjlFQjFCLUIxM0MtNDQ0Ni05MzQyLUU2QjczMkYzQzJFOH0" TargetMode="External"/><Relationship Id="rId1632" Type="http://schemas.openxmlformats.org/officeDocument/2006/relationships/hyperlink" Target="https://1drv.ms/x/s!AkP3hbXXLtgBhpEoaTK-EAwrB6PPjQ?e=VUlHtx&amp;nav=MTVfe0JEMzdCNzJBLTQ3QUItNEI0NC04MDRCLTNDRDY0MDVBODI2Qn0" TargetMode="External"/><Relationship Id="rId2199" Type="http://schemas.openxmlformats.org/officeDocument/2006/relationships/hyperlink" Target="https://1drv.ms/x/s!AkP3hbXXLtgBhpEoaTK-EAwrB6PPjQ?e=PJkcfB&amp;nav=MTVfezBFRjgyRDlFLThFOEUtNDA2RC05QUQzLTk5RDY0REIzMEU3Rn0" TargetMode="External"/><Relationship Id="rId378" Type="http://schemas.openxmlformats.org/officeDocument/2006/relationships/hyperlink" Target="https://1drv.ms/x/s!AkP3hbXXLtgBhpEoaTK-EAwrB6PPjQ?e=mvWMFP&amp;nav=MTVfe0Q0MjM2QjFDLUVBQTAtNDE3Ri1BOEVGLTQzNzNBN0FGODY4M30" TargetMode="External"/><Relationship Id="rId585" Type="http://schemas.openxmlformats.org/officeDocument/2006/relationships/hyperlink" Target="https://1drv.ms/x/s!AkP3hbXXLtgBhpEoaTK-EAwrB6PPjQ?e=xgZSuS&amp;nav=MTVfezA3RkYxMTMwLTAyQjYtNDA4RS1BMkU5LTI2MUQ0MjM2OEJGQn0" TargetMode="External"/><Relationship Id="rId792" Type="http://schemas.openxmlformats.org/officeDocument/2006/relationships/hyperlink" Target="https://1drv.ms/x/s!AkP3hbXXLtgBhpEoaTK-EAwrB6PPjQ?e=zuxs7K&amp;nav=MTVfezEzQ0U5ODFBLTQxOTEtNERBOS05RDcwLTU1NDcwQ0I2MzhFNX0" TargetMode="External"/><Relationship Id="rId2059" Type="http://schemas.openxmlformats.org/officeDocument/2006/relationships/hyperlink" Target="https://1drv.ms/x/s!AkP3hbXXLtgBhpEoaTK-EAwrB6PPjQ?e=t9ByVx&amp;nav=MTVfe0MzOTE2QzlDLTMzMEMtNEQ4NS05NjZBLTBFNzk3QjgxMEIwQn0" TargetMode="External"/><Relationship Id="rId2266" Type="http://schemas.openxmlformats.org/officeDocument/2006/relationships/hyperlink" Target="https://1drv.ms/x/s!AkP3hbXXLtgBhpEoaTK-EAwrB6PPjQ?e=vI4FNr&amp;nav=MTVfezhGQzkyMTU5LUYxNTUtNDg4MS04N0QzLTE5OTgzQjI3QTc1NH0" TargetMode="External"/><Relationship Id="rId2473" Type="http://schemas.openxmlformats.org/officeDocument/2006/relationships/hyperlink" Target="https://1drv.ms/x/s!AkP3hbXXLtgBhpEoaTK-EAwrB6PPjQ?e=LQfhsg&amp;nav=MTVfe0FGQTQ2QTUxLTkwOEEtNEZCNi04OUQ1LTMwOUU4QkMzMTRFQ30" TargetMode="External"/><Relationship Id="rId2680" Type="http://schemas.openxmlformats.org/officeDocument/2006/relationships/hyperlink" Target="https://1drv.ms/x/s!AkP3hbXXLtgBhpEoaTK-EAwrB6PPjQ?e=hUXjPN&amp;nav=MTVfezYzNzY4MEExLTRDMzItNDcxMy05M0ZCLTBFNjAwNTlBMUI0MH0" TargetMode="External"/><Relationship Id="rId238" Type="http://schemas.openxmlformats.org/officeDocument/2006/relationships/hyperlink" Target="https://1drv.ms/x/s!AkP3hbXXLtgBhpEoaTK-EAwrB6PPjQ?e=36Im2J&amp;nav=MTVfezg1NTdGRUM1LTczODktNDk5My1BQjA0LTkyQjFDODE4MjgxRX0" TargetMode="External"/><Relationship Id="rId445" Type="http://schemas.openxmlformats.org/officeDocument/2006/relationships/hyperlink" Target="https://1drv.ms/x/s!AkP3hbXXLtgBhpEoaTK-EAwrB6PPjQ?e=sXo522&amp;nav=MTVfe0VCNzhCQUU0LUVEQzItNDRCMC04QTFFLUZEQzA0OTNEMDkzOX0" TargetMode="External"/><Relationship Id="rId652" Type="http://schemas.openxmlformats.org/officeDocument/2006/relationships/hyperlink" Target="https://1drv.ms/x/s!AkP3hbXXLtgBhpEoaTK-EAwrB6PPjQ?e=ZRDRyK&amp;nav=MTVfe0IyQkRBQzE0LUM2QkQtNDY3Ny04MjcyLUQxNjYyMkIyRTZGRH0" TargetMode="External"/><Relationship Id="rId1075" Type="http://schemas.openxmlformats.org/officeDocument/2006/relationships/hyperlink" Target="https://1drv.ms/x/s!AkP3hbXXLtgBhpEoaTK-EAwrB6PPjQ?e=rYbeUy&amp;nav=MTVfe0Q1MEM2OTMzLTFBNUUtNDhCMS1CQzhCLTlGQTI2NEEzRURDRH0" TargetMode="External"/><Relationship Id="rId1282" Type="http://schemas.openxmlformats.org/officeDocument/2006/relationships/hyperlink" Target="https://1drv.ms/x/s!AkP3hbXXLtgBhpEoaTK-EAwrB6PPjQ?e=bD2jTr&amp;nav=MTVfezRGRUQzQzY0LTk3M0ItNDNDNy1BRUY3LTYwMDNGN0E5OThFQX0" TargetMode="External"/><Relationship Id="rId2126" Type="http://schemas.openxmlformats.org/officeDocument/2006/relationships/hyperlink" Target="https://1drv.ms/x/s!AkP3hbXXLtgBhpEoaTK-EAwrB6PPjQ?e=7tvhFu&amp;nav=MTVfezYzQUQ2N0RCLTZFQkQtNDhGOC1BODVFLUQzNjgwN0I4QkNFMn0" TargetMode="External"/><Relationship Id="rId2333" Type="http://schemas.openxmlformats.org/officeDocument/2006/relationships/hyperlink" Target="https://1drv.ms/x/s!AkP3hbXXLtgBhpEoaTK-EAwrB6PPjQ?e=LiWfcw&amp;nav=MTVfezFBQTVDNUQ5LTIxM0QtNDcxMi05RkYwLUI2NUUyNTFDRkFBMH0" TargetMode="External"/><Relationship Id="rId2540" Type="http://schemas.openxmlformats.org/officeDocument/2006/relationships/hyperlink" Target="https://1drv.ms/x/s!AkP3hbXXLtgBhpEoaTK-EAwrB6PPjQ?e=mXia38&amp;nav=MTVfe0I0NjUwQ0I4LURGNzEtNDA5NC04M0QxLUExRTNDN0Q3OTc1MX0" TargetMode="External"/><Relationship Id="rId305" Type="http://schemas.openxmlformats.org/officeDocument/2006/relationships/hyperlink" Target="https://1drv.ms/x/s!AkP3hbXXLtgBhpEoaTK-EAwrB6PPjQ?e=HO6wd4&amp;nav=MTVfe0NDRThCRDRELTFCMEEtNDNFRC1BMDRDLTc1QjY0NDgwNjJBMH0" TargetMode="External"/><Relationship Id="rId512" Type="http://schemas.openxmlformats.org/officeDocument/2006/relationships/hyperlink" Target="https://1drv.ms/x/s!AkP3hbXXLtgBhpEoaTK-EAwrB6PPjQ?e=zfxOib&amp;nav=MTVfezc5MUI1QUJBLTY0QUItNDM1OS05NkVBLTE3MUFBQTY2QzQ4Q30" TargetMode="External"/><Relationship Id="rId1142" Type="http://schemas.openxmlformats.org/officeDocument/2006/relationships/hyperlink" Target="https://1drv.ms/x/s!AkP3hbXXLtgBhpEoaTK-EAwrB6PPjQ?e=xGItXl&amp;nav=MTVfezc3NDc5QTVFLTEyMTItNEVGOS04NzRCLUUzREZBMkQ0NjU4OH0" TargetMode="External"/><Relationship Id="rId2400" Type="http://schemas.openxmlformats.org/officeDocument/2006/relationships/hyperlink" Target="https://1drv.ms/x/s!AkP3hbXXLtgBhpEoaTK-EAwrB6PPjQ?e=X2f9pt&amp;nav=MTVfe0M4ODI3QTVFLTgzOUMtNDk2Qy1BMThFLUNCMDYwN0JBQjM5M30" TargetMode="External"/><Relationship Id="rId1002" Type="http://schemas.openxmlformats.org/officeDocument/2006/relationships/hyperlink" Target="https://1drv.ms/x/s!AkP3hbXXLtgBhpEoaTK-EAwrB6PPjQ?e=fk66xb&amp;nav=MTVfezU0MjNBNEE5LTNDNzctNDQwNC05RjA3LTAyNEI1N0FBQjFDNX0" TargetMode="External"/><Relationship Id="rId1959" Type="http://schemas.openxmlformats.org/officeDocument/2006/relationships/hyperlink" Target="https://1drv.ms/x/s!AkP3hbXXLtgBhpEoaTK-EAwrB6PPjQ?e=Hae5Hc&amp;nav=MTVfe0U1QUU2RDZBLTFGMkUtNENGNC04OENCLUE1MjI0OEMyNDMzNn0" TargetMode="External"/><Relationship Id="rId1819" Type="http://schemas.openxmlformats.org/officeDocument/2006/relationships/hyperlink" Target="https://1drv.ms/x/s!AkP3hbXXLtgBhpEoaTK-EAwrB6PPjQ?e=sBpJD5&amp;nav=MTVfezM5QzdFMEZDLTg3QTEtNDRCMS04QTgyLUQ3MDU0NDI2MTBFRn0" TargetMode="External"/><Relationship Id="rId2190" Type="http://schemas.openxmlformats.org/officeDocument/2006/relationships/hyperlink" Target="https://1drv.ms/x/s!AkP3hbXXLtgBhpEoaTK-EAwrB6PPjQ?e=PJkcfB&amp;nav=MTVfezBFRjgyRDlFLThFOEUtNDA2RC05QUQzLTk5RDY0REIzMEU3Rn0" TargetMode="External"/><Relationship Id="rId162" Type="http://schemas.openxmlformats.org/officeDocument/2006/relationships/hyperlink" Target="https://1drv.ms/x/s!AkP3hbXXLtgBhpEoaTK-EAwrB6PPjQ?e=hRuig5&amp;nav=MTVfe0NCREMzODZGLTI3RDktNEI4RS05QjQ0LUUzQTc5QTQyQzY2MX0" TargetMode="External"/><Relationship Id="rId2050" Type="http://schemas.openxmlformats.org/officeDocument/2006/relationships/hyperlink" Target="https://1drv.ms/x/s!AkP3hbXXLtgBhpEoaTK-EAwrB6PPjQ?e=t9ByVx&amp;nav=MTVfe0MzOTE2QzlDLTMzMEMtNEQ4NS05NjZBLTBFNzk3QjgxMEIwQn0" TargetMode="External"/><Relationship Id="rId979" Type="http://schemas.openxmlformats.org/officeDocument/2006/relationships/hyperlink" Target="https://1drv.ms/x/s!AkP3hbXXLtgBhpEoaTK-EAwrB6PPjQ?e=fk66xb&amp;nav=MTVfezU0MjNBNEE5LTNDNzctNDQwNC05RjA3LTAyNEI1N0FBQjFDNX0" TargetMode="External"/><Relationship Id="rId839" Type="http://schemas.openxmlformats.org/officeDocument/2006/relationships/hyperlink" Target="https://1drv.ms/x/s!AkP3hbXXLtgBhpEoaTK-EAwrB6PPjQ?e=zuxs7K&amp;nav=MTVfezEzQ0U5ODFBLTQxOTEtNERBOS05RDcwLTU1NDcwQ0I2MzhFNX0" TargetMode="External"/><Relationship Id="rId1469" Type="http://schemas.openxmlformats.org/officeDocument/2006/relationships/hyperlink" Target="https://1drv.ms/x/s!AkP3hbXXLtgBhpEoaTK-EAwrB6PPjQ?e=xXe3yl&amp;nav=MTVfezM1QjlFQjFCLUIxM0MtNDQ0Ni05MzQyLUU2QjczMkYzQzJFOH0" TargetMode="External"/><Relationship Id="rId1676" Type="http://schemas.openxmlformats.org/officeDocument/2006/relationships/hyperlink" Target="https://1drv.ms/x/s!AkP3hbXXLtgBhpEoaTK-EAwrB6PPjQ?e=DHRjp5&amp;nav=MTVfezdEN0E2ODJDLUYxMzctNDI0MS1BRjZDLThEMzExM0M0OTZBNn0" TargetMode="External"/><Relationship Id="rId1883" Type="http://schemas.openxmlformats.org/officeDocument/2006/relationships/hyperlink" Target="https://1drv.ms/x/s!AkP3hbXXLtgBhpEoaTK-EAwrB6PPjQ?e=3z9g8a&amp;nav=MTVfezBGMENERTNBLTZCQTUtNDYwRi05MDM3LUNDNDk5MDBCNUU5MX0" TargetMode="External"/><Relationship Id="rId2727" Type="http://schemas.openxmlformats.org/officeDocument/2006/relationships/hyperlink" Target="https://1drv.ms/x/s!AkP3hbXXLtgBhpEoaTK-EAwrB6PPjQ?e=hUXjPN&amp;nav=MTVfezYzNzY4MEExLTRDMzItNDcxMy05M0ZCLTBFNjAwNTlBMUI0MH0" TargetMode="External"/><Relationship Id="rId906" Type="http://schemas.openxmlformats.org/officeDocument/2006/relationships/hyperlink" Target="https://1drv.ms/x/s!AkP3hbXXLtgBhpEoaTK-EAwrB6PPjQ?e=q7Y9UY&amp;nav=MTVfezY2QjMzRUJDLTdGREQtNEI4MC05QkFBLTZFRTQyNUFCMDY2MH0" TargetMode="External"/><Relationship Id="rId1329" Type="http://schemas.openxmlformats.org/officeDocument/2006/relationships/hyperlink" Target="https://1drv.ms/x/s!AkP3hbXXLtgBhpEoaTK-EAwrB6PPjQ?e=mYpfR1&amp;nav=MTVfe0NGMTlDQTg1LUE2QUMtNDYyRC1CN0M1LUExRjVBNjI1MDcyOX0" TargetMode="External"/><Relationship Id="rId1536" Type="http://schemas.openxmlformats.org/officeDocument/2006/relationships/hyperlink" Target="https://1drv.ms/x/s!AkP3hbXXLtgBhpEoaTK-EAwrB6PPjQ?e=PsqPhH&amp;nav=MTVfe0ZDRjg3ODhGLTBFNDItNDJCOC04MDRCLTU4OTcwNUMwMjFGMn0" TargetMode="External"/><Relationship Id="rId1743" Type="http://schemas.openxmlformats.org/officeDocument/2006/relationships/hyperlink" Target="https://1drv.ms/x/s!AkP3hbXXLtgBhpEoaTK-EAwrB6PPjQ?e=OaIvOH&amp;nav=MTVfezFDODBFQUMzLTY0M0UtNDM2MC04REU0LTRBOUYzQ0MxQkY2Nn0" TargetMode="External"/><Relationship Id="rId1950" Type="http://schemas.openxmlformats.org/officeDocument/2006/relationships/hyperlink" Target="https://1drv.ms/x/s!AkP3hbXXLtgBhpEoaTK-EAwrB6PPjQ?e=Hae5Hc&amp;nav=MTVfe0U1QUU2RDZBLTFGMkUtNENGNC04OENCLUE1MjI0OEMyNDMzNn0" TargetMode="External"/><Relationship Id="rId35" Type="http://schemas.openxmlformats.org/officeDocument/2006/relationships/hyperlink" Target="https://1drv.ms/x/s!AkP3hbXXLtgBhpEoaTK-EAwrB6PPjQ?e=pv1n5G&amp;nav=MTVfe0I5QjVDOEU1LTM5MTMtNDRCNy1COEY4LUUwMUNENUM2NTY1NX0" TargetMode="External"/><Relationship Id="rId1603" Type="http://schemas.openxmlformats.org/officeDocument/2006/relationships/hyperlink" Target="https://1drv.ms/x/s!AkP3hbXXLtgBhpEoaTK-EAwrB6PPjQ?e=hF7xUm&amp;nav=MTVfezBDOEZCN0U5LURBOEQtNEY2Qi1CNUE1LUYzQTk0NDFBRkE2NX0" TargetMode="External"/><Relationship Id="rId1810" Type="http://schemas.openxmlformats.org/officeDocument/2006/relationships/hyperlink" Target="https://1drv.ms/x/s!AkP3hbXXLtgBhpEoaTK-EAwrB6PPjQ?e=sBpJD5&amp;nav=MTVfezM5QzdFMEZDLTg3QTEtNDRCMS04QTgyLUQ3MDU0NDI2MTBFRn0" TargetMode="External"/><Relationship Id="rId489" Type="http://schemas.openxmlformats.org/officeDocument/2006/relationships/hyperlink" Target="https://1drv.ms/x/s!AkP3hbXXLtgBhpEoaTK-EAwrB6PPjQ?e=zfxOib&amp;nav=MTVfezc5MUI1QUJBLTY0QUItNDM1OS05NkVBLTE3MUFBQTY2QzQ4Q30" TargetMode="External"/><Relationship Id="rId696" Type="http://schemas.openxmlformats.org/officeDocument/2006/relationships/hyperlink" Target="https://1drv.ms/x/s!AkP3hbXXLtgBhpEoaTK-EAwrB6PPjQ?e=JPeMLZ&amp;nav=MTVfezdEMkY3NDEyLUYwMzItNDM0RC05MDRFLTcyNTE0ODM0NjA4M30" TargetMode="External"/><Relationship Id="rId2377" Type="http://schemas.openxmlformats.org/officeDocument/2006/relationships/hyperlink" Target="https://1drv.ms/x/s!AkP3hbXXLtgBhpEoaTK-EAwrB6PPjQ?e=X2f9pt&amp;nav=MTVfe0M4ODI3QTVFLTgzOUMtNDk2Qy1BMThFLUNCMDYwN0JBQjM5M30" TargetMode="External"/><Relationship Id="rId2584" Type="http://schemas.openxmlformats.org/officeDocument/2006/relationships/hyperlink" Target="https://1drv.ms/x/s!AkP3hbXXLtgBhpEoaTK-EAwrB6PPjQ?e=N61x6z&amp;nav=MTVfezFBOUUwQ0Q3LUM4QTctNDRFRS1CMkY3LTFGQkJDMEM4NTIzRH0" TargetMode="External"/><Relationship Id="rId349" Type="http://schemas.openxmlformats.org/officeDocument/2006/relationships/hyperlink" Target="https://1drv.ms/x/s!AkP3hbXXLtgBhpEoaTK-EAwrB6PPjQ?e=HO6wd4&amp;nav=MTVfe0NDRThCRDRELTFCMEEtNDNFRC1BMDRDLTc1QjY0NDgwNjJBMH0" TargetMode="External"/><Relationship Id="rId556" Type="http://schemas.openxmlformats.org/officeDocument/2006/relationships/hyperlink" Target="https://1drv.ms/x/s!AkP3hbXXLtgBhpEoaTK-EAwrB6PPjQ?e=xgZSuS&amp;nav=MTVfezA3RkYxMTMwLTAyQjYtNDA4RS1BMkU5LTI2MUQ0MjM2OEJGQn0" TargetMode="External"/><Relationship Id="rId763" Type="http://schemas.openxmlformats.org/officeDocument/2006/relationships/hyperlink" Target="https://1drv.ms/x/s!AkP3hbXXLtgBhpEoaTK-EAwrB6PPjQ?e=0lRBEc&amp;nav=MTVfezRDRDQwMjU1LUJFM0ItNENDQS05NDQ1LUY1OTdERDA5ODg4NH0" TargetMode="External"/><Relationship Id="rId1186" Type="http://schemas.openxmlformats.org/officeDocument/2006/relationships/hyperlink" Target="https://1drv.ms/x/s!AkP3hbXXLtgBhpEoaTK-EAwrB6PPjQ?e=7D4jtp&amp;nav=MTVfe0Q5MDNFMUVCLUFFNkQtNDU5OC04QjYyLUFGODVDMTZENkVGMX0" TargetMode="External"/><Relationship Id="rId1393" Type="http://schemas.openxmlformats.org/officeDocument/2006/relationships/hyperlink" Target="https://1drv.ms/x/s!AkP3hbXXLtgBhpEoaTK-EAwrB6PPjQ?e=6Dzvxb&amp;nav=MTVfezE4RDVGRUE3LUYyN0MtNDRFNC1BMENCLTk1RTNFRjk3QkJDRX0" TargetMode="External"/><Relationship Id="rId2237" Type="http://schemas.openxmlformats.org/officeDocument/2006/relationships/hyperlink" Target="https://1drv.ms/x/s!AkP3hbXXLtgBhpEoaTK-EAwrB6PPjQ?e=vI4FNr&amp;nav=MTVfezhGQzkyMTU5LUYxNTUtNDg4MS04N0QzLTE5OTgzQjI3QTc1NH0" TargetMode="External"/><Relationship Id="rId2444" Type="http://schemas.openxmlformats.org/officeDocument/2006/relationships/hyperlink" Target="https://1drv.ms/x/s!AkP3hbXXLtgBhpEoaTK-EAwrB6PPjQ?e=LQfhsg&amp;nav=MTVfe0FGQTQ2QTUxLTkwOEEtNEZCNi04OUQ1LTMwOUU4QkMzMTRFQ30" TargetMode="External"/><Relationship Id="rId209" Type="http://schemas.openxmlformats.org/officeDocument/2006/relationships/hyperlink" Target="https://1drv.ms/x/s!AkP3hbXXLtgBhpEoaTK-EAwrB6PPjQ?e=hKKsXn&amp;nav=MTVfe0M0MzQ5RkZFLUFFMEMtNDZBOC05NDNELUU2ODg5N0JGMDU4Rn0" TargetMode="External"/><Relationship Id="rId416" Type="http://schemas.openxmlformats.org/officeDocument/2006/relationships/hyperlink" Target="https://1drv.ms/x/s!AkP3hbXXLtgBhpEoaTK-EAwrB6PPjQ?e=mvWMFP&amp;nav=MTVfe0Q0MjM2QjFDLUVBQTAtNDE3Ri1BOEVGLTQzNzNBN0FGODY4M30" TargetMode="External"/><Relationship Id="rId970" Type="http://schemas.openxmlformats.org/officeDocument/2006/relationships/hyperlink" Target="https://1drv.ms/x/s!AkP3hbXXLtgBhpEoaTK-EAwrB6PPjQ?e=fk66xb&amp;nav=MTVfezU0MjNBNEE5LTNDNzctNDQwNC05RjA3LTAyNEI1N0FBQjFDNX0" TargetMode="External"/><Relationship Id="rId1046" Type="http://schemas.openxmlformats.org/officeDocument/2006/relationships/hyperlink" Target="https://1drv.ms/x/s!AkP3hbXXLtgBhpEoaTK-EAwrB6PPjQ?e=NFspu9&amp;nav=MTVfezE1M0M1OEJDLTA3MzUtNERFMC1BNzE4LTMzMUY1QjZBOEZDMH0" TargetMode="External"/><Relationship Id="rId1253" Type="http://schemas.openxmlformats.org/officeDocument/2006/relationships/hyperlink" Target="https://1drv.ms/x/s!AkP3hbXXLtgBhpEoaTK-EAwrB6PPjQ?e=UaBeCf&amp;nav=MTVfezM0NkJDRTA1LThBNUQtNDFFMC1BNjQ2LTk5NTVEMTg4RUEzNn0" TargetMode="External"/><Relationship Id="rId2651" Type="http://schemas.openxmlformats.org/officeDocument/2006/relationships/hyperlink" Target="https://1drv.ms/x/s!AkP3hbXXLtgBhpEoaTK-EAwrB6PPjQ?e=k1JzSb&amp;nav=MTVfezlCRDVCMEI4LTNBMEItNDE5NC04RTEyLUQxQzc3N0U3MUFFQn0" TargetMode="External"/><Relationship Id="rId623" Type="http://schemas.openxmlformats.org/officeDocument/2006/relationships/hyperlink" Target="https://1drv.ms/x/s!AkP3hbXXLtgBhpEoaTK-EAwrB6PPjQ?e=ZRDRyK&amp;nav=MTVfe0IyQkRBQzE0LUM2QkQtNDY3Ny04MjcyLUQxNjYyMkIyRTZGRH0" TargetMode="External"/><Relationship Id="rId830" Type="http://schemas.openxmlformats.org/officeDocument/2006/relationships/hyperlink" Target="https://1drv.ms/x/s!AkP3hbXXLtgBhpEoaTK-EAwrB6PPjQ?e=zuxs7K&amp;nav=MTVfezEzQ0U5ODFBLTQxOTEtNERBOS05RDcwLTU1NDcwQ0I2MzhFNX0" TargetMode="External"/><Relationship Id="rId1460" Type="http://schemas.openxmlformats.org/officeDocument/2006/relationships/hyperlink" Target="https://1drv.ms/x/s!AkP3hbXXLtgBhpEoaTK-EAwrB6PPjQ?e=xXe3yl&amp;nav=MTVfezM1QjlFQjFCLUIxM0MtNDQ0Ni05MzQyLUU2QjczMkYzQzJFOH0" TargetMode="External"/><Relationship Id="rId2304" Type="http://schemas.openxmlformats.org/officeDocument/2006/relationships/hyperlink" Target="https://1drv.ms/x/s!AkP3hbXXLtgBhpEoaTK-EAwrB6PPjQ?e=LiWfcw&amp;nav=MTVfezFBQTVDNUQ5LTIxM0QtNDcxMi05RkYwLUI2NUUyNTFDRkFBMH0" TargetMode="External"/><Relationship Id="rId2511" Type="http://schemas.openxmlformats.org/officeDocument/2006/relationships/hyperlink" Target="https://1drv.ms/x/s!AkP3hbXXLtgBhpEoaTK-EAwrB6PPjQ?e=mXia38&amp;nav=MTVfe0I0NjUwQ0I4LURGNzEtNDA5NC04M0QxLUExRTNDN0Q3OTc1MX0" TargetMode="External"/><Relationship Id="rId1113" Type="http://schemas.openxmlformats.org/officeDocument/2006/relationships/hyperlink" Target="https://1drv.ms/x/s!AkP3hbXXLtgBhpEoaTK-EAwrB6PPjQ?e=Brd8C5&amp;nav=MTVfe0YyMTJGNjdELTg0REMtNEY4Ri05MzE5LTE0M0FEODlBMzg5Q30" TargetMode="External"/><Relationship Id="rId1320" Type="http://schemas.openxmlformats.org/officeDocument/2006/relationships/hyperlink" Target="https://1drv.ms/x/s!AkP3hbXXLtgBhpEoaTK-EAwrB6PPjQ?e=aEDo0X&amp;nav=MTVfe0Y5NTI5MkI1LUFCMUItNDU0Ni1BNjg1LUVEQUU4Q0U3RTM5OX0" TargetMode="External"/><Relationship Id="rId2094" Type="http://schemas.openxmlformats.org/officeDocument/2006/relationships/hyperlink" Target="https://1drv.ms/x/s!AkP3hbXXLtgBhpEoaTK-EAwrB6PPjQ?e=7tvhFu&amp;nav=MTVfezYzQUQ2N0RCLTZFQkQtNDhGOC1BODVFLUQzNjgwN0I4QkNFMn0" TargetMode="External"/><Relationship Id="rId273" Type="http://schemas.openxmlformats.org/officeDocument/2006/relationships/hyperlink" Target="https://1drv.ms/x/s!AkP3hbXXLtgBhpEoaTK-EAwrB6PPjQ?e=36Im2J&amp;nav=MTVfezg1NTdGRUM1LTczODktNDk5My1BQjA0LTkyQjFDODE4MjgxRX0" TargetMode="External"/><Relationship Id="rId480" Type="http://schemas.openxmlformats.org/officeDocument/2006/relationships/hyperlink" Target="https://1drv.ms/x/s!AkP3hbXXLtgBhpEoaTK-EAwrB6PPjQ?e=sXo522&amp;nav=MTVfe0VCNzhCQUU0LUVEQzItNDRCMC04QTFFLUZEQzA0OTNEMDkzOX0" TargetMode="External"/><Relationship Id="rId2161" Type="http://schemas.openxmlformats.org/officeDocument/2006/relationships/hyperlink" Target="https://1drv.ms/x/s!AkP3hbXXLtgBhpEoaTK-EAwrB6PPjQ?e=nj2bQ1&amp;nav=MTVfezAwMDAwMDAwLTAwMDEtMDAwMC0wMDAwLTAwMDAwMDAwMDAwMH0" TargetMode="External"/><Relationship Id="rId133" Type="http://schemas.openxmlformats.org/officeDocument/2006/relationships/hyperlink" Target="https://1drv.ms/x/s!AkP3hbXXLtgBhpEoaTK-EAwrB6PPjQ?e=hRuig5&amp;nav=MTVfe0NCREMzODZGLTI3RDktNEI4RS05QjQ0LUUzQTc5QTQyQzY2MX0" TargetMode="External"/><Relationship Id="rId340" Type="http://schemas.openxmlformats.org/officeDocument/2006/relationships/hyperlink" Target="https://1drv.ms/x/s!AkP3hbXXLtgBhpEoaTK-EAwrB6PPjQ?e=HO6wd4&amp;nav=MTVfe0NDRThCRDRELTFCMEEtNDNFRC1BMDRDLTc1QjY0NDgwNjJBMH0" TargetMode="External"/><Relationship Id="rId2021" Type="http://schemas.openxmlformats.org/officeDocument/2006/relationships/hyperlink" Target="https://1drv.ms/x/s!AkP3hbXXLtgBhpEoaTK-EAwrB6PPjQ?e=e8c5BE&amp;nav=MTVfe0YzRjMwRTg2LTYyMTgtNEY5QS05Qzg0LTUxNkJFM0Q4MDAwN30" TargetMode="External"/><Relationship Id="rId200" Type="http://schemas.openxmlformats.org/officeDocument/2006/relationships/hyperlink" Target="https://1drv.ms/x/s!AkP3hbXXLtgBhpEoaTK-EAwrB6PPjQ?e=hKKsXn&amp;nav=MTVfe0M0MzQ5RkZFLUFFMEMtNDZBOC05NDNELUU2ODg5N0JGMDU4Rn0" TargetMode="External"/><Relationship Id="rId1787" Type="http://schemas.openxmlformats.org/officeDocument/2006/relationships/hyperlink" Target="https://1drv.ms/x/s!AkP3hbXXLtgBhpEoaTK-EAwrB6PPjQ?e=sBpJD5&amp;nav=MTVfezM5QzdFMEZDLTg3QTEtNDRCMS04QTgyLUQ3MDU0NDI2MTBFRn0" TargetMode="External"/><Relationship Id="rId1994" Type="http://schemas.openxmlformats.org/officeDocument/2006/relationships/hyperlink" Target="https://1drv.ms/x/s!AkP3hbXXLtgBhpEoaTK-EAwrB6PPjQ?e=e8c5BE&amp;nav=MTVfe0YzRjMwRTg2LTYyMTgtNEY5QS05Qzg0LTUxNkJFM0Q4MDAwN30" TargetMode="External"/><Relationship Id="rId79" Type="http://schemas.openxmlformats.org/officeDocument/2006/relationships/hyperlink" Target="https://1drv.ms/x/s!AkP3hbXXLtgBhpEoaTK-EAwrB6PPjQ?e=AMVmTu&amp;nav=MTVfezNFMEFDQTg3LTgzOUUtNDFGNC04MkYwLUIxRjIyNTFBRDYzNX0" TargetMode="External"/><Relationship Id="rId1647" Type="http://schemas.openxmlformats.org/officeDocument/2006/relationships/hyperlink" Target="https://1drv.ms/x/s!AkP3hbXXLtgBhpEoaTK-EAwrB6PPjQ?e=VUlHtx&amp;nav=MTVfe0JEMzdCNzJBLTQ3QUItNEI0NC04MDRCLTNDRDY0MDVBODI2Qn0" TargetMode="External"/><Relationship Id="rId1854" Type="http://schemas.openxmlformats.org/officeDocument/2006/relationships/hyperlink" Target="https://1drv.ms/x/s!AkP3hbXXLtgBhpEoaTK-EAwrB6PPjQ?e=pv1n5G&amp;nav=MTVfe0I5QjVDOEU1LTM5MTMtNDRCNy1COEY4LUUwMUNENUM2NTY1NX0" TargetMode="External"/><Relationship Id="rId1507" Type="http://schemas.openxmlformats.org/officeDocument/2006/relationships/hyperlink" Target="https://1drv.ms/x/s!AkP3hbXXLtgBhpEoaTK-EAwrB6PPjQ?e=xGItXl&amp;nav=MTVfezc3NDc5QTVFLTEyMTItNEVGOS04NzRCLUUzREZBMkQ0NjU4OH0" TargetMode="External"/><Relationship Id="rId1714" Type="http://schemas.openxmlformats.org/officeDocument/2006/relationships/hyperlink" Target="https://1drv.ms/x/s!AkP3hbXXLtgBhpEoaTK-EAwrB6PPjQ?e=DHRjp5&amp;nav=MTVfezdEN0E2ODJDLUYxMzctNDI0MS1BRjZDLThEMzExM0M0OTZBNn0" TargetMode="External"/><Relationship Id="rId1921" Type="http://schemas.openxmlformats.org/officeDocument/2006/relationships/hyperlink" Target="https://1drv.ms/x/s!AkP3hbXXLtgBhpEoaTK-EAwrB6PPjQ?e=U8iWbp&amp;nav=MTVfezVDRDNFMEMzLTY0NDctNDUyNC05RjQyLUQ5MzdFOTgzQzgzNH0" TargetMode="External"/><Relationship Id="rId2488" Type="http://schemas.openxmlformats.org/officeDocument/2006/relationships/hyperlink" Target="https://1drv.ms/x/s!AkP3hbXXLtgBhpEoaTK-EAwrB6PPjQ?e=LQfhsg&amp;nav=MTVfe0FGQTQ2QTUxLTkwOEEtNEZCNi04OUQ1LTMwOUU4QkMzMTRFQ30" TargetMode="External"/><Relationship Id="rId1297" Type="http://schemas.openxmlformats.org/officeDocument/2006/relationships/hyperlink" Target="https://1drv.ms/x/s!AkP3hbXXLtgBhpEoaTK-EAwrB6PPjQ?e=bD2jTr&amp;nav=MTVfezRGRUQzQzY0LTk3M0ItNDNDNy1BRUY3LTYwMDNGN0E5OThFQX0" TargetMode="External"/><Relationship Id="rId2695" Type="http://schemas.openxmlformats.org/officeDocument/2006/relationships/hyperlink" Target="https://1drv.ms/x/s!AkP3hbXXLtgBhpEoaTK-EAwrB6PPjQ?e=hUXjPN&amp;nav=MTVfezYzNzY4MEExLTRDMzItNDcxMy05M0ZCLTBFNjAwNTlBMUI0MH0" TargetMode="External"/><Relationship Id="rId667" Type="http://schemas.openxmlformats.org/officeDocument/2006/relationships/hyperlink" Target="https://1drv.ms/x/s!AkP3hbXXLtgBhpEoaTK-EAwrB6PPjQ?e=JPeMLZ&amp;nav=MTVfezdEMkY3NDEyLUYwMzItNDM0RC05MDRFLTcyNTE0ODM0NjA4M30" TargetMode="External"/><Relationship Id="rId874" Type="http://schemas.openxmlformats.org/officeDocument/2006/relationships/hyperlink" Target="https://1drv.ms/x/s!AkP3hbXXLtgBhpEoaTK-EAwrB6PPjQ?e=VcWWuU&amp;nav=MTVfe0ExMEEwQ0RDLUFCNUQtNEMxQS1BM0ZGLTEzRDE2MkJEN0U2Q30" TargetMode="External"/><Relationship Id="rId2348" Type="http://schemas.openxmlformats.org/officeDocument/2006/relationships/hyperlink" Target="https://1drv.ms/x/s!AkP3hbXXLtgBhpEoaTK-EAwrB6PPjQ?e=LiWfcw&amp;nav=MTVfezFBQTVDNUQ5LTIxM0QtNDcxMi05RkYwLUI2NUUyNTFDRkFBMH0" TargetMode="External"/><Relationship Id="rId2555" Type="http://schemas.openxmlformats.org/officeDocument/2006/relationships/hyperlink" Target="https://1drv.ms/x/s!AkP3hbXXLtgBhpEoaTK-EAwrB6PPjQ?e=mXia38&amp;nav=MTVfe0I0NjUwQ0I4LURGNzEtNDA5NC04M0QxLUExRTNDN0Q3OTc1MX0" TargetMode="External"/><Relationship Id="rId527" Type="http://schemas.openxmlformats.org/officeDocument/2006/relationships/hyperlink" Target="https://1drv.ms/x/s!AkP3hbXXLtgBhpEoaTK-EAwrB6PPjQ?e=zfxOib&amp;nav=MTVfezc5MUI1QUJBLTY0QUItNDM1OS05NkVBLTE3MUFBQTY2QzQ4Q30" TargetMode="External"/><Relationship Id="rId734" Type="http://schemas.openxmlformats.org/officeDocument/2006/relationships/hyperlink" Target="https://1drv.ms/x/s!AkP3hbXXLtgBhpEoaTK-EAwrB6PPjQ?e=0lRBEc&amp;nav=MTVfezRDRDQwMjU1LUJFM0ItNENDQS05NDQ1LUY1OTdERDA5ODg4NH0" TargetMode="External"/><Relationship Id="rId941" Type="http://schemas.openxmlformats.org/officeDocument/2006/relationships/hyperlink" Target="https://1drv.ms/x/s!AkP3hbXXLtgBhpEoaTK-EAwrB6PPjQ?e=GuJxJM&amp;nav=MTVfe0NBQzcxNDNGLTAzODYtNEFDRi1BNTI1LTRDQTYxMDEzNkYwM30" TargetMode="External"/><Relationship Id="rId1157" Type="http://schemas.openxmlformats.org/officeDocument/2006/relationships/hyperlink" Target="https://1drv.ms/x/s!AkP3hbXXLtgBhpEoaTK-EAwrB6PPjQ?e=7D4jtp&amp;nav=MTVfe0Q5MDNFMUVCLUFFNkQtNDU5OC04QjYyLUFGODVDMTZENkVGMX0" TargetMode="External"/><Relationship Id="rId1364" Type="http://schemas.openxmlformats.org/officeDocument/2006/relationships/hyperlink" Target="https://1drv.ms/x/s!AkP3hbXXLtgBhpEoaTK-EAwrB6PPjQ?e=0mRVd8&amp;nav=MTVfezhCNkZEQTNBLUNGMjctNEI5QS04QzdDLTFGQzk0MjVBNUY1QX0" TargetMode="External"/><Relationship Id="rId1571" Type="http://schemas.openxmlformats.org/officeDocument/2006/relationships/hyperlink" Target="https://1drv.ms/x/s!AkP3hbXXLtgBhpEoaTK-EAwrB6PPjQ?e=hF7xUm&amp;nav=MTVfezBDOEZCN0U5LURBOEQtNEY2Qi1CNUE1LUYzQTk0NDFBRkE2NX0" TargetMode="External"/><Relationship Id="rId2208" Type="http://schemas.openxmlformats.org/officeDocument/2006/relationships/hyperlink" Target="https://1drv.ms/x/s!AkP3hbXXLtgBhpEoaTK-EAwrB6PPjQ?e=PJkcfB&amp;nav=MTVfezBFRjgyRDlFLThFOEUtNDA2RC05QUQzLTk5RDY0REIzMEU3Rn0" TargetMode="External"/><Relationship Id="rId2415" Type="http://schemas.openxmlformats.org/officeDocument/2006/relationships/hyperlink" Target="https://1drv.ms/x/s!AkP3hbXXLtgBhpEoaTK-EAwrB6PPjQ?e=X2f9pt&amp;nav=MTVfe0M4ODI3QTVFLTgzOUMtNDk2Qy1BMThFLUNCMDYwN0JBQjM5M30" TargetMode="External"/><Relationship Id="rId2622" Type="http://schemas.openxmlformats.org/officeDocument/2006/relationships/hyperlink" Target="https://1drv.ms/x/s!AkP3hbXXLtgBhpEoaTK-EAwrB6PPjQ?e=k1JzSb&amp;nav=MTVfezlCRDVCMEI4LTNBMEItNDE5NC04RTEyLUQxQzc3N0U3MUFFQn0" TargetMode="External"/><Relationship Id="rId70" Type="http://schemas.openxmlformats.org/officeDocument/2006/relationships/hyperlink" Target="https://1drv.ms/x/s!AkP3hbXXLtgBhpEoaTK-EAwrB6PPjQ?e=AMVmTu&amp;nav=MTVfezNFMEFDQTg3LTgzOUUtNDFGNC04MkYwLUIxRjIyNTFBRDYzNX0" TargetMode="External"/><Relationship Id="rId801" Type="http://schemas.openxmlformats.org/officeDocument/2006/relationships/hyperlink" Target="https://1drv.ms/x/s!AkP3hbXXLtgBhpEoaTK-EAwrB6PPjQ?e=zuxs7K&amp;nav=MTVfezEzQ0U5ODFBLTQxOTEtNERBOS05RDcwLTU1NDcwQ0I2MzhFNX0" TargetMode="External"/><Relationship Id="rId1017" Type="http://schemas.openxmlformats.org/officeDocument/2006/relationships/hyperlink" Target="https://1drv.ms/x/s!AkP3hbXXLtgBhpEoaTK-EAwrB6PPjQ?e=NFspu9&amp;nav=MTVfezE1M0M1OEJDLTA3MzUtNERFMC1BNzE4LTMzMUY1QjZBOEZDMH0" TargetMode="External"/><Relationship Id="rId1224" Type="http://schemas.openxmlformats.org/officeDocument/2006/relationships/hyperlink" Target="https://1drv.ms/x/s!AkP3hbXXLtgBhpEoaTK-EAwrB6PPjQ?e=U6lTuf&amp;nav=MTVfezFEODYyODdBLUIyOTctNDdGMC04MTkyLUUzRDE3NjM5RkNFQ30" TargetMode="External"/><Relationship Id="rId1431" Type="http://schemas.openxmlformats.org/officeDocument/2006/relationships/hyperlink" Target="https://1drv.ms/x/s!AkP3hbXXLtgBhpEoaTK-EAwrB6PPjQ?e=xXe3yl&amp;nav=MTVfezM1QjlFQjFCLUIxM0MtNDQ0Ni05MzQyLUU2QjczMkYzQzJFOH0" TargetMode="External"/><Relationship Id="rId177" Type="http://schemas.openxmlformats.org/officeDocument/2006/relationships/hyperlink" Target="https://1drv.ms/x/s!AkP3hbXXLtgBhpEoaTK-EAwrB6PPjQ?e=hKKsXn&amp;nav=MTVfe0M0MzQ5RkZFLUFFMEMtNDZBOC05NDNELUU2ODg5N0JGMDU4Rn0" TargetMode="External"/><Relationship Id="rId384" Type="http://schemas.openxmlformats.org/officeDocument/2006/relationships/hyperlink" Target="https://1drv.ms/x/s!AkP3hbXXLtgBhpEoaTK-EAwrB6PPjQ?e=mvWMFP&amp;nav=MTVfe0Q0MjM2QjFDLUVBQTAtNDE3Ri1BOEVGLTQzNzNBN0FGODY4M30" TargetMode="External"/><Relationship Id="rId591" Type="http://schemas.openxmlformats.org/officeDocument/2006/relationships/hyperlink" Target="https://1drv.ms/x/s!AkP3hbXXLtgBhpEoaTK-EAwrB6PPjQ?e=xgZSuS&amp;nav=MTVfezA3RkYxMTMwLTAyQjYtNDA4RS1BMkU5LTI2MUQ0MjM2OEJGQn0" TargetMode="External"/><Relationship Id="rId2065" Type="http://schemas.openxmlformats.org/officeDocument/2006/relationships/hyperlink" Target="https://1drv.ms/x/s!AkP3hbXXLtgBhpEoaTK-EAwrB6PPjQ?e=t9ByVx&amp;nav=MTVfe0MzOTE2QzlDLTMzMEMtNEQ4NS05NjZBLTBFNzk3QjgxMEIwQn0" TargetMode="External"/><Relationship Id="rId2272" Type="http://schemas.openxmlformats.org/officeDocument/2006/relationships/hyperlink" Target="https://1drv.ms/x/s!AkP3hbXXLtgBhpEoaTK-EAwrB6PPjQ?e=vI4FNr&amp;nav=MTVfezhGQzkyMTU5LUYxNTUtNDg4MS04N0QzLTE5OTgzQjI3QTc1NH0" TargetMode="External"/><Relationship Id="rId244" Type="http://schemas.openxmlformats.org/officeDocument/2006/relationships/hyperlink" Target="https://1drv.ms/x/s!AkP3hbXXLtgBhpEoaTK-EAwrB6PPjQ?e=36Im2J&amp;nav=MTVfezg1NTdGRUM1LTczODktNDk5My1BQjA0LTkyQjFDODE4MjgxRX0" TargetMode="External"/><Relationship Id="rId1081" Type="http://schemas.openxmlformats.org/officeDocument/2006/relationships/hyperlink" Target="https://1drv.ms/x/s!AkP3hbXXLtgBhpEoaTK-EAwrB6PPjQ?e=rYbeUy&amp;nav=MTVfe0Q1MEM2OTMzLTFBNUUtNDhCMS1CQzhCLTlGQTI2NEEzRURDRH0" TargetMode="External"/><Relationship Id="rId451" Type="http://schemas.openxmlformats.org/officeDocument/2006/relationships/hyperlink" Target="https://1drv.ms/x/s!AkP3hbXXLtgBhpEoaTK-EAwrB6PPjQ?e=sXo522&amp;nav=MTVfe0VCNzhCQUU0LUVEQzItNDRCMC04QTFFLUZEQzA0OTNEMDkzOX0" TargetMode="External"/><Relationship Id="rId2132" Type="http://schemas.openxmlformats.org/officeDocument/2006/relationships/hyperlink" Target="https://1drv.ms/x/s!AkP3hbXXLtgBhpEoaTK-EAwrB6PPjQ?e=knsjIH&amp;nav=MTVfezQzQ0NBOTIyLUQ4RkItNEEzRi1BNkU5LTMwNjg2NkVBNzcyMn0" TargetMode="External"/><Relationship Id="rId104" Type="http://schemas.openxmlformats.org/officeDocument/2006/relationships/hyperlink" Target="https://1drv.ms/x/s!AkP3hbXXLtgBhpEoaTK-EAwrB6PPjQ?e=hRuig5&amp;nav=MTVfe0NCREMzODZGLTI3RDktNEI4RS05QjQ0LUUzQTc5QTQyQzY2MX0" TargetMode="External"/><Relationship Id="rId311" Type="http://schemas.openxmlformats.org/officeDocument/2006/relationships/hyperlink" Target="https://1drv.ms/x/s!AkP3hbXXLtgBhpEoaTK-EAwrB6PPjQ?e=HO6wd4&amp;nav=MTVfe0NDRThCRDRELTFCMEEtNDNFRC1BMDRDLTc1QjY0NDgwNjJBMH0" TargetMode="External"/><Relationship Id="rId1898" Type="http://schemas.openxmlformats.org/officeDocument/2006/relationships/hyperlink" Target="https://1drv.ms/x/s!AkP3hbXXLtgBhpEoaTK-EAwrB6PPjQ?e=TStCPl&amp;nav=MTVfezI2MjVEMjA5LUMzRUYtNEM5RS1CM0Q3LUE4NUY4RTMyNDUyNH0" TargetMode="External"/><Relationship Id="rId1758" Type="http://schemas.openxmlformats.org/officeDocument/2006/relationships/hyperlink" Target="https://1drv.ms/x/s!AkP3hbXXLtgBhpEoaTK-EAwrB6PPjQ?e=36Im2J&amp;nav=MTVfezg1NTdGRUM1LTczODktNDk5My1BQjA0LTkyQjFDODE4MjgxRX0" TargetMode="External"/><Relationship Id="rId1965" Type="http://schemas.openxmlformats.org/officeDocument/2006/relationships/hyperlink" Target="https://1drv.ms/x/s!AkP3hbXXLtgBhpEoaTK-EAwrB6PPjQ?e=Hae5Hc&amp;nav=MTVfe0U1QUU2RDZBLTFGMkUtNENGNC04OENCLUE1MjI0OEMyNDMzNn0" TargetMode="External"/><Relationship Id="rId1618" Type="http://schemas.openxmlformats.org/officeDocument/2006/relationships/hyperlink" Target="https://1drv.ms/x/s!AkP3hbXXLtgBhpEoaTK-EAwrB6PPjQ?e=hF7xUm&amp;nav=MTVfezBDOEZCN0U5LURBOEQtNEY2Qi1CNUE1LUYzQTk0NDFBRkE2NX0" TargetMode="External"/><Relationship Id="rId1825" Type="http://schemas.openxmlformats.org/officeDocument/2006/relationships/hyperlink" Target="https://1drv.ms/x/s!AkP3hbXXLtgBhpEoaTK-EAwrB6PPjQ?e=hRuig5&amp;nav=MTVfe0NCREMzODZGLTI3RDktNEI4RS05QjQ0LUUzQTc5QTQyQzY2MX0" TargetMode="External"/><Relationship Id="rId2599" Type="http://schemas.openxmlformats.org/officeDocument/2006/relationships/hyperlink" Target="https://1drv.ms/x/s!AkP3hbXXLtgBhpEoaTK-EAwrB6PPjQ?e=k1JzSb&amp;nav=MTVfezlCRDVCMEI4LTNBMEItNDE5NC04RTEyLUQxQzc3N0U3MUFFQn0" TargetMode="External"/><Relationship Id="rId778" Type="http://schemas.openxmlformats.org/officeDocument/2006/relationships/hyperlink" Target="https://1drv.ms/x/s!AkP3hbXXLtgBhpEoaTK-EAwrB6PPjQ?e=0lRBEc&amp;nav=MTVfezRDRDQwMjU1LUJFM0ItNENDQS05NDQ1LUY1OTdERDA5ODg4NH0" TargetMode="External"/><Relationship Id="rId985" Type="http://schemas.openxmlformats.org/officeDocument/2006/relationships/hyperlink" Target="https://1drv.ms/x/s!AkP3hbXXLtgBhpEoaTK-EAwrB6PPjQ?e=fk66xb&amp;nav=MTVfezU0MjNBNEE5LTNDNzctNDQwNC05RjA3LTAyNEI1N0FBQjFDNX0" TargetMode="External"/><Relationship Id="rId2459" Type="http://schemas.openxmlformats.org/officeDocument/2006/relationships/hyperlink" Target="https://1drv.ms/x/s!AkP3hbXXLtgBhpEoaTK-EAwrB6PPjQ?e=LQfhsg&amp;nav=MTVfe0FGQTQ2QTUxLTkwOEEtNEZCNi04OUQ1LTMwOUU4QkMzMTRFQ30" TargetMode="External"/><Relationship Id="rId2666" Type="http://schemas.openxmlformats.org/officeDocument/2006/relationships/hyperlink" Target="https://1drv.ms/x/s!AkP3hbXXLtgBhpEoaTK-EAwrB6PPjQ?e=hUXjPN&amp;nav=MTVfezYzNzY4MEExLTRDMzItNDcxMy05M0ZCLTBFNjAwNTlBMUI0MH0" TargetMode="External"/><Relationship Id="rId638" Type="http://schemas.openxmlformats.org/officeDocument/2006/relationships/hyperlink" Target="https://1drv.ms/x/s!AkP3hbXXLtgBhpEoaTK-EAwrB6PPjQ?e=ZRDRyK&amp;nav=MTVfe0IyQkRBQzE0LUM2QkQtNDY3Ny04MjcyLUQxNjYyMkIyRTZGRH0" TargetMode="External"/><Relationship Id="rId845" Type="http://schemas.openxmlformats.org/officeDocument/2006/relationships/hyperlink" Target="https://1drv.ms/x/s!AkP3hbXXLtgBhpEoaTK-EAwrB6PPjQ?e=VcWWuU&amp;nav=MTVfe0ExMEEwQ0RDLUFCNUQtNEMxQS1BM0ZGLTEzRDE2MkJEN0U2Q30" TargetMode="External"/><Relationship Id="rId1268" Type="http://schemas.openxmlformats.org/officeDocument/2006/relationships/hyperlink" Target="https://1drv.ms/x/s!AkP3hbXXLtgBhpEoaTK-EAwrB6PPjQ?e=UaBeCf&amp;nav=MTVfezM0NkJDRTA1LThBNUQtNDFFMC1BNjQ2LTk5NTVEMTg4RUEzNn0" TargetMode="External"/><Relationship Id="rId1475" Type="http://schemas.openxmlformats.org/officeDocument/2006/relationships/hyperlink" Target="https://1drv.ms/x/s!AkP3hbXXLtgBhpEoaTK-EAwrB6PPjQ?e=Dygyft&amp;nav=MTVfe0VDMUJBNEJBLUNCOTAtNDI3Ri1CMTVFLUZDQjc2NURCQ0I1Q30" TargetMode="External"/><Relationship Id="rId1682" Type="http://schemas.openxmlformats.org/officeDocument/2006/relationships/hyperlink" Target="https://1drv.ms/x/s!AkP3hbXXLtgBhpEoaTK-EAwrB6PPjQ?e=DHRjp5&amp;nav=MTVfezdEN0E2ODJDLUYxMzctNDI0MS1BRjZDLThEMzExM0M0OTZBNn0" TargetMode="External"/><Relationship Id="rId2319" Type="http://schemas.openxmlformats.org/officeDocument/2006/relationships/hyperlink" Target="https://1drv.ms/x/s!AkP3hbXXLtgBhpEoaTK-EAwrB6PPjQ?e=LiWfcw&amp;nav=MTVfezFBQTVDNUQ5LTIxM0QtNDcxMi05RkYwLUI2NUUyNTFDRkFBMH0" TargetMode="External"/><Relationship Id="rId2526" Type="http://schemas.openxmlformats.org/officeDocument/2006/relationships/hyperlink" Target="https://1drv.ms/x/s!AkP3hbXXLtgBhpEoaTK-EAwrB6PPjQ?e=mXia38&amp;nav=MTVfe0I0NjUwQ0I4LURGNzEtNDA5NC04M0QxLUExRTNDN0Q3OTc1MX0" TargetMode="External"/><Relationship Id="rId2733" Type="http://schemas.openxmlformats.org/officeDocument/2006/relationships/hyperlink" Target="https://1drv.ms/x/s!AkP3hbXXLtgBhpEoaTK-EAwrB6PPjQ?e=Ur0BW1&amp;nav=MTVfezkzNThBMkE2LTZERjAtNDU0RS05QTc5LTIxQTJBMEM1OUIxOX0" TargetMode="External"/><Relationship Id="rId705" Type="http://schemas.openxmlformats.org/officeDocument/2006/relationships/hyperlink" Target="https://1drv.ms/x/s!AkP3hbXXLtgBhpEoaTK-EAwrB6PPjQ?e=JPeMLZ&amp;nav=MTVfezdEMkY3NDEyLUYwMzItNDM0RC05MDRFLTcyNTE0ODM0NjA4M30" TargetMode="External"/><Relationship Id="rId1128" Type="http://schemas.openxmlformats.org/officeDocument/2006/relationships/hyperlink" Target="https://1drv.ms/x/s!AkP3hbXXLtgBhpEoaTK-EAwrB6PPjQ?e=Brd8C5&amp;nav=MTVfe0YyMTJGNjdELTg0REMtNEY4Ri05MzE5LTE0M0FEODlBMzg5Q30" TargetMode="External"/><Relationship Id="rId1335" Type="http://schemas.openxmlformats.org/officeDocument/2006/relationships/hyperlink" Target="https://1drv.ms/x/s!AkP3hbXXLtgBhpEoaTK-EAwrB6PPjQ?e=SkY523&amp;nav=MTVfezk3NEQ3MjVGLTlERDMtNDdDOS05QzJDLUU5RjJCNjk2N0I4MX0" TargetMode="External"/><Relationship Id="rId1542" Type="http://schemas.openxmlformats.org/officeDocument/2006/relationships/hyperlink" Target="https://1drv.ms/x/s!AkP3hbXXLtgBhpEoaTK-EAwrB6PPjQ?e=PsqPhH&amp;nav=MTVfe0ZDRjg3ODhGLTBFNDItNDJCOC04MDRCLTU4OTcwNUMwMjFGMn0" TargetMode="External"/><Relationship Id="rId912" Type="http://schemas.openxmlformats.org/officeDocument/2006/relationships/hyperlink" Target="https://1drv.ms/x/s!AkP3hbXXLtgBhpEoaTK-EAwrB6PPjQ?e=q7Y9UY&amp;nav=MTVfezY2QjMzRUJDLTdGREQtNEI4MC05QkFBLTZFRTQyNUFCMDY2MH0" TargetMode="External"/><Relationship Id="rId41" Type="http://schemas.openxmlformats.org/officeDocument/2006/relationships/hyperlink" Target="https://1drv.ms/x/s!AkP3hbXXLtgBhpEoaTK-EAwrB6PPjQ?e=AMVmTu&amp;nav=MTVfezNFMEFDQTg3LTgzOUUtNDFGNC04MkYwLUIxRjIyNTFBRDYzNX0" TargetMode="External"/><Relationship Id="rId1402" Type="http://schemas.openxmlformats.org/officeDocument/2006/relationships/hyperlink" Target="https://1drv.ms/x/s!AkP3hbXXLtgBhpEoaTK-EAwrB6PPjQ?e=6Dzvxb&amp;nav=MTVfezE4RDVGRUE3LUYyN0MtNDRFNC1BMENCLTk1RTNFRjk3QkJDRX0" TargetMode="External"/><Relationship Id="rId288" Type="http://schemas.openxmlformats.org/officeDocument/2006/relationships/hyperlink" Target="https://1drv.ms/x/s!AkP3hbXXLtgBhpEoaTK-EAwrB6PPjQ?e=HO6wd4&amp;nav=MTVfe0NDRThCRDRELTFCMEEtNDNFRC1BMDRDLTc1QjY0NDgwNjJBMH0" TargetMode="External"/><Relationship Id="rId495" Type="http://schemas.openxmlformats.org/officeDocument/2006/relationships/hyperlink" Target="https://1drv.ms/x/s!AkP3hbXXLtgBhpEoaTK-EAwrB6PPjQ?e=zfxOib&amp;nav=MTVfezc5MUI1QUJBLTY0QUItNDM1OS05NkVBLTE3MUFBQTY2QzQ4Q30" TargetMode="External"/><Relationship Id="rId2176" Type="http://schemas.openxmlformats.org/officeDocument/2006/relationships/hyperlink" Target="https://1drv.ms/x/s!AkP3hbXXLtgBhpEoaTK-EAwrB6PPjQ?e=PJkcfB&amp;nav=MTVfezBFRjgyRDlFLThFOEUtNDA2RC05QUQzLTk5RDY0REIzMEU3Rn0" TargetMode="External"/><Relationship Id="rId2383" Type="http://schemas.openxmlformats.org/officeDocument/2006/relationships/hyperlink" Target="https://1drv.ms/x/s!AkP3hbXXLtgBhpEoaTK-EAwrB6PPjQ?e=X2f9pt&amp;nav=MTVfe0M4ODI3QTVFLTgzOUMtNDk2Qy1BMThFLUNCMDYwN0JBQjM5M30" TargetMode="External"/><Relationship Id="rId2590" Type="http://schemas.openxmlformats.org/officeDocument/2006/relationships/hyperlink" Target="https://1drv.ms/x/s!AkP3hbXXLtgBhpEoaTK-EAwrB6PPjQ?e=ZnXBwL&amp;nav=MTVfezI5Qjk2QkQ4LUM5RkMtNDc1RS1BMkNCLTRDQTg1OEZFNkY2N30" TargetMode="External"/><Relationship Id="rId148" Type="http://schemas.openxmlformats.org/officeDocument/2006/relationships/hyperlink" Target="https://1drv.ms/x/s!AkP3hbXXLtgBhpEoaTK-EAwrB6PPjQ?e=hRuig5&amp;nav=MTVfe0NCREMzODZGLTI3RDktNEI4RS05QjQ0LUUzQTc5QTQyQzY2MX0" TargetMode="External"/><Relationship Id="rId355" Type="http://schemas.openxmlformats.org/officeDocument/2006/relationships/hyperlink" Target="https://1drv.ms/x/s!AkP3hbXXLtgBhpEoaTK-EAwrB6PPjQ?e=mvWMFP&amp;nav=MTVfe0Q0MjM2QjFDLUVBQTAtNDE3Ri1BOEVGLTQzNzNBN0FGODY4M30" TargetMode="External"/><Relationship Id="rId562" Type="http://schemas.openxmlformats.org/officeDocument/2006/relationships/hyperlink" Target="https://1drv.ms/x/s!AkP3hbXXLtgBhpEoaTK-EAwrB6PPjQ?e=xgZSuS&amp;nav=MTVfezA3RkYxMTMwLTAyQjYtNDA4RS1BMkU5LTI2MUQ0MjM2OEJGQn0" TargetMode="External"/><Relationship Id="rId1192" Type="http://schemas.openxmlformats.org/officeDocument/2006/relationships/hyperlink" Target="https://1drv.ms/x/s!AkP3hbXXLtgBhpEoaTK-EAwrB6PPjQ?e=U6lTuf&amp;nav=MTVfezFEODYyODdBLUIyOTctNDdGMC04MTkyLUUzRDE3NjM5RkNFQ30" TargetMode="External"/><Relationship Id="rId2036" Type="http://schemas.openxmlformats.org/officeDocument/2006/relationships/hyperlink" Target="https://1drv.ms/x/s!AkP3hbXXLtgBhpEoaTK-EAwrB6PPjQ?e=e8c5BE&amp;nav=MTVfe0YzRjMwRTg2LTYyMTgtNEY5QS05Qzg0LTUxNkJFM0Q4MDAwN30" TargetMode="External"/><Relationship Id="rId2243" Type="http://schemas.openxmlformats.org/officeDocument/2006/relationships/hyperlink" Target="https://1drv.ms/x/s!AkP3hbXXLtgBhpEoaTK-EAwrB6PPjQ?e=vI4FNr&amp;nav=MTVfezhGQzkyMTU5LUYxNTUtNDg4MS04N0QzLTE5OTgzQjI3QTc1NH0" TargetMode="External"/><Relationship Id="rId2450" Type="http://schemas.openxmlformats.org/officeDocument/2006/relationships/hyperlink" Target="https://1drv.ms/x/s!AkP3hbXXLtgBhpEoaTK-EAwrB6PPjQ?e=LQfhsg&amp;nav=MTVfe0FGQTQ2QTUxLTkwOEEtNEZCNi04OUQ1LTMwOUU4QkMzMTRFQ30" TargetMode="External"/><Relationship Id="rId215" Type="http://schemas.openxmlformats.org/officeDocument/2006/relationships/hyperlink" Target="https://1drv.ms/x/s!AkP3hbXXLtgBhpEoaTK-EAwrB6PPjQ?e=hKKsXn&amp;nav=MTVfe0M0MzQ5RkZFLUFFMEMtNDZBOC05NDNELUU2ODg5N0JGMDU4Rn0" TargetMode="External"/><Relationship Id="rId422" Type="http://schemas.openxmlformats.org/officeDocument/2006/relationships/hyperlink" Target="https://1drv.ms/x/s!AkP3hbXXLtgBhpEoaTK-EAwrB6PPjQ?e=sXo522&amp;nav=MTVfe0VCNzhCQUU0LUVEQzItNDRCMC04QTFFLUZEQzA0OTNEMDkzOX0" TargetMode="External"/><Relationship Id="rId1052" Type="http://schemas.openxmlformats.org/officeDocument/2006/relationships/hyperlink" Target="https://1drv.ms/x/s!AkP3hbXXLtgBhpEoaTK-EAwrB6PPjQ?e=rYbeUy&amp;nav=MTVfe0Q1MEM2OTMzLTFBNUUtNDhCMS1CQzhCLTlGQTI2NEEzRURDRH0" TargetMode="External"/><Relationship Id="rId2103" Type="http://schemas.openxmlformats.org/officeDocument/2006/relationships/hyperlink" Target="https://1drv.ms/x/s!AkP3hbXXLtgBhpEoaTK-EAwrB6PPjQ?e=7tvhFu&amp;nav=MTVfezYzQUQ2N0RCLTZFQkQtNDhGOC1BODVFLUQzNjgwN0I4QkNFMn0" TargetMode="External"/><Relationship Id="rId2310" Type="http://schemas.openxmlformats.org/officeDocument/2006/relationships/hyperlink" Target="https://1drv.ms/x/s!AkP3hbXXLtgBhpEoaTK-EAwrB6PPjQ?e=LiWfcw&amp;nav=MTVfezFBQTVDNUQ5LTIxM0QtNDcxMi05RkYwLUI2NUUyNTFDRkFBMH0" TargetMode="External"/><Relationship Id="rId1869" Type="http://schemas.openxmlformats.org/officeDocument/2006/relationships/hyperlink" Target="https://1drv.ms/x/s!AkP3hbXXLtgBhpEoaTK-EAwrB6PPjQ?e=lNfo2c&amp;nav=MTVfezA2NDZDNEUzLUJDNjEtNDQ0RC05RjEzLTc2OTQ0MTEzOTQyNX0" TargetMode="External"/><Relationship Id="rId1729" Type="http://schemas.openxmlformats.org/officeDocument/2006/relationships/hyperlink" Target="https://1drv.ms/x/s!AkP3hbXXLtgBhpEoaTK-EAwrB6PPjQ?e=DHRjp5&amp;nav=MTVfezdEN0E2ODJDLUYxMzctNDI0MS1BRjZDLThEMzExM0M0OTZBNn0" TargetMode="External"/><Relationship Id="rId1936" Type="http://schemas.openxmlformats.org/officeDocument/2006/relationships/hyperlink" Target="https://1drv.ms/x/s!AkP3hbXXLtgBhpEoaTK-EAwrB6PPjQ?e=U8iWbp&amp;nav=MTVfezVDRDNFMEMzLTY0NDctNDUyNC05RjQyLUQ5MzdFOTgzQzgzNH0" TargetMode="External"/><Relationship Id="rId5" Type="http://schemas.openxmlformats.org/officeDocument/2006/relationships/hyperlink" Target="https://1drv.ms/x/s!AkP3hbXXLtgBhpEoaTK-EAwrB6PPjQ?e=mje4Gd&amp;nav=MTVfezU5NEY1RjhGLUNGMzYtNEIxRi04NzFBLTRDNzQ3QUMxQjMxRn0" TargetMode="External"/><Relationship Id="rId889" Type="http://schemas.openxmlformats.org/officeDocument/2006/relationships/hyperlink" Target="https://1drv.ms/x/s!AkP3hbXXLtgBhpEoaTK-EAwrB6PPjQ?e=q7Y9UY&amp;nav=MTVfezY2QjMzRUJDLTdGREQtNEI4MC05QkFBLTZFRTQyNUFCMDY2MH0" TargetMode="External"/><Relationship Id="rId749" Type="http://schemas.openxmlformats.org/officeDocument/2006/relationships/hyperlink" Target="https://1drv.ms/x/s!AkP3hbXXLtgBhpEoaTK-EAwrB6PPjQ?e=0lRBEc&amp;nav=MTVfezRDRDQwMjU1LUJFM0ItNENDQS05NDQ1LUY1OTdERDA5ODg4NH0" TargetMode="External"/><Relationship Id="rId1379" Type="http://schemas.openxmlformats.org/officeDocument/2006/relationships/hyperlink" Target="https://1drv.ms/x/s!AkP3hbXXLtgBhpEoaTK-EAwrB6PPjQ?e=6Dzvxb&amp;nav=MTVfezE4RDVGRUE3LUYyN0MtNDRFNC1BMENCLTk1RTNFRjk3QkJDRX0" TargetMode="External"/><Relationship Id="rId1586" Type="http://schemas.openxmlformats.org/officeDocument/2006/relationships/hyperlink" Target="https://1drv.ms/x/s!AkP3hbXXLtgBhpEoaTK-EAwrB6PPjQ?e=hF7xUm&amp;nav=MTVfezBDOEZCN0U5LURBOEQtNEY2Qi1CNUE1LUYzQTk0NDFBRkE2NX0" TargetMode="External"/><Relationship Id="rId609" Type="http://schemas.openxmlformats.org/officeDocument/2006/relationships/hyperlink" Target="https://1drv.ms/x/s!AkP3hbXXLtgBhpEoaTK-EAwrB6PPjQ?e=ZRDRyK&amp;nav=MTVfe0IyQkRBQzE0LUM2QkQtNDY3Ny04MjcyLUQxNjYyMkIyRTZGRH0" TargetMode="External"/><Relationship Id="rId956" Type="http://schemas.openxmlformats.org/officeDocument/2006/relationships/hyperlink" Target="https://1drv.ms/x/s!AkP3hbXXLtgBhpEoaTK-EAwrB6PPjQ?e=GuJxJM&amp;nav=MTVfe0NBQzcxNDNGLTAzODYtNEFDRi1BNTI1LTRDQTYxMDEzNkYwM30" TargetMode="External"/><Relationship Id="rId1239" Type="http://schemas.openxmlformats.org/officeDocument/2006/relationships/hyperlink" Target="https://1drv.ms/x/s!AkP3hbXXLtgBhpEoaTK-EAwrB6PPjQ?e=UaBeCf&amp;nav=MTVfezM0NkJDRTA1LThBNUQtNDFFMC1BNjQ2LTk5NTVEMTg4RUEzNn0" TargetMode="External"/><Relationship Id="rId1793" Type="http://schemas.openxmlformats.org/officeDocument/2006/relationships/hyperlink" Target="https://1drv.ms/x/s!AkP3hbXXLtgBhpEoaTK-EAwrB6PPjQ?e=sBpJD5&amp;nav=MTVfezM5QzdFMEZDLTg3QTEtNDRCMS04QTgyLUQ3MDU0NDI2MTBFRn0" TargetMode="External"/><Relationship Id="rId2637" Type="http://schemas.openxmlformats.org/officeDocument/2006/relationships/hyperlink" Target="https://1drv.ms/x/s!AkP3hbXXLtgBhpEoaTK-EAwrB6PPjQ?e=k1JzSb&amp;nav=MTVfezlCRDVCMEI4LTNBMEItNDE5NC04RTEyLUQxQzc3N0U3MUFFQn0" TargetMode="External"/><Relationship Id="rId85" Type="http://schemas.openxmlformats.org/officeDocument/2006/relationships/hyperlink" Target="https://1drv.ms/x/s!AkP3hbXXLtgBhpEoaTK-EAwrB6PPjQ?e=AMVmTu&amp;nav=MTVfezNFMEFDQTg3LTgzOUUtNDFGNC04MkYwLUIxRjIyNTFBRDYzNX0" TargetMode="External"/><Relationship Id="rId816" Type="http://schemas.openxmlformats.org/officeDocument/2006/relationships/hyperlink" Target="https://1drv.ms/x/s!AkP3hbXXLtgBhpEoaTK-EAwrB6PPjQ?e=zuxs7K&amp;nav=MTVfezEzQ0U5ODFBLTQxOTEtNERBOS05RDcwLTU1NDcwQ0I2MzhFNX0" TargetMode="External"/><Relationship Id="rId1446" Type="http://schemas.openxmlformats.org/officeDocument/2006/relationships/hyperlink" Target="https://1drv.ms/x/s!AkP3hbXXLtgBhpEoaTK-EAwrB6PPjQ?e=xXe3yl&amp;nav=MTVfezM1QjlFQjFCLUIxM0MtNDQ0Ni05MzQyLUU2QjczMkYzQzJFOH0" TargetMode="External"/><Relationship Id="rId1653" Type="http://schemas.openxmlformats.org/officeDocument/2006/relationships/hyperlink" Target="https://1drv.ms/x/s!AkP3hbXXLtgBhpEoaTK-EAwrB6PPjQ?e=DHRjp5&amp;nav=MTVfezdEN0E2ODJDLUYxMzctNDI0MS1BRjZDLThEMzExM0M0OTZBNn0" TargetMode="External"/><Relationship Id="rId1860" Type="http://schemas.openxmlformats.org/officeDocument/2006/relationships/hyperlink" Target="https://1drv.ms/x/s!AkP3hbXXLtgBhpEoaTK-EAwrB6PPjQ?e=pv1n5G&amp;nav=MTVfe0I5QjVDOEU1LTM5MTMtNDRCNy1COEY4LUUwMUNENUM2NTY1NX0" TargetMode="External"/><Relationship Id="rId2704" Type="http://schemas.openxmlformats.org/officeDocument/2006/relationships/hyperlink" Target="https://1drv.ms/x/s!AkP3hbXXLtgBhpEoaTK-EAwrB6PPjQ?e=hUXjPN&amp;nav=MTVfezYzNzY4MEExLTRDMzItNDcxMy05M0ZCLTBFNjAwNTlBMUI0MH0" TargetMode="External"/><Relationship Id="rId1306" Type="http://schemas.openxmlformats.org/officeDocument/2006/relationships/hyperlink" Target="https://1drv.ms/x/s!AkP3hbXXLtgBhpEoaTK-EAwrB6PPjQ?e=bD2jTr&amp;nav=MTVfezRGRUQzQzY0LTk3M0ItNDNDNy1BRUY3LTYwMDNGN0E5OThFQX0" TargetMode="External"/><Relationship Id="rId1513" Type="http://schemas.openxmlformats.org/officeDocument/2006/relationships/hyperlink" Target="https://1drv.ms/x/s!AkP3hbXXLtgBhpEoaTK-EAwrB6PPjQ?e=c68bSo&amp;nav=MTVfe0EwNUQ0QUFCLTFGNTAtNDE4Mi1CMzhBLUU3OUIyRDM1NzJDQn0" TargetMode="External"/><Relationship Id="rId1720" Type="http://schemas.openxmlformats.org/officeDocument/2006/relationships/hyperlink" Target="https://1drv.ms/x/s!AkP3hbXXLtgBhpEoaTK-EAwrB6PPjQ?e=DHRjp5&amp;nav=MTVfezdEN0E2ODJDLUYxMzctNDI0MS1BRjZDLThEMzExM0M0OTZBNn0" TargetMode="External"/><Relationship Id="rId12" Type="http://schemas.openxmlformats.org/officeDocument/2006/relationships/hyperlink" Target="https://1drv.ms/x/s!AkP3hbXXLtgBhpEoaTK-EAwrB6PPjQ?e=mje4Gd&amp;nav=MTVfezU5NEY1RjhGLUNGMzYtNEIxRi04NzFBLTRDNzQ3QUMxQjMxRn0" TargetMode="External"/><Relationship Id="rId399" Type="http://schemas.openxmlformats.org/officeDocument/2006/relationships/hyperlink" Target="https://1drv.ms/x/s!AkP3hbXXLtgBhpEoaTK-EAwrB6PPjQ?e=mvWMFP&amp;nav=MTVfe0Q0MjM2QjFDLUVBQTAtNDE3Ri1BOEVGLTQzNzNBN0FGODY4M30" TargetMode="External"/><Relationship Id="rId2287" Type="http://schemas.openxmlformats.org/officeDocument/2006/relationships/hyperlink" Target="https://1drv.ms/x/s!AkP3hbXXLtgBhpEoaTK-EAwrB6PPjQ?e=vI4FNr&amp;nav=MTVfezhGQzkyMTU5LUYxNTUtNDg4MS04N0QzLTE5OTgzQjI3QTc1NH0" TargetMode="External"/><Relationship Id="rId2494" Type="http://schemas.openxmlformats.org/officeDocument/2006/relationships/hyperlink" Target="https://1drv.ms/x/s!AkP3hbXXLtgBhpEoaTK-EAwrB6PPjQ?e=LQfhsg&amp;nav=MTVfe0FGQTQ2QTUxLTkwOEEtNEZCNi04OUQ1LTMwOUU4QkMzMTRFQ30" TargetMode="External"/><Relationship Id="rId259" Type="http://schemas.openxmlformats.org/officeDocument/2006/relationships/hyperlink" Target="https://1drv.ms/x/s!AkP3hbXXLtgBhpEoaTK-EAwrB6PPjQ?e=36Im2J&amp;nav=MTVfezg1NTdGRUM1LTczODktNDk5My1BQjA0LTkyQjFDODE4MjgxRX0" TargetMode="External"/><Relationship Id="rId466" Type="http://schemas.openxmlformats.org/officeDocument/2006/relationships/hyperlink" Target="https://1drv.ms/x/s!AkP3hbXXLtgBhpEoaTK-EAwrB6PPjQ?e=sXo522&amp;nav=MTVfe0VCNzhCQUU0LUVEQzItNDRCMC04QTFFLUZEQzA0OTNEMDkzOX0" TargetMode="External"/><Relationship Id="rId673" Type="http://schemas.openxmlformats.org/officeDocument/2006/relationships/hyperlink" Target="https://1drv.ms/x/s!AkP3hbXXLtgBhpEoaTK-EAwrB6PPjQ?e=JPeMLZ&amp;nav=MTVfezdEMkY3NDEyLUYwMzItNDM0RC05MDRFLTcyNTE0ODM0NjA4M30" TargetMode="External"/><Relationship Id="rId880" Type="http://schemas.openxmlformats.org/officeDocument/2006/relationships/hyperlink" Target="https://1drv.ms/x/s!AkP3hbXXLtgBhpEoaTK-EAwrB6PPjQ?e=VcWWuU&amp;nav=MTVfe0ExMEEwQ0RDLUFCNUQtNEMxQS1BM0ZGLTEzRDE2MkJEN0U2Q30" TargetMode="External"/><Relationship Id="rId1096" Type="http://schemas.openxmlformats.org/officeDocument/2006/relationships/hyperlink" Target="https://1drv.ms/x/s!AkP3hbXXLtgBhpEoaTK-EAwrB6PPjQ?e=rYbeUy&amp;nav=MTVfe0Q1MEM2OTMzLTFBNUUtNDhCMS1CQzhCLTlGQTI2NEEzRURDRH0" TargetMode="External"/><Relationship Id="rId2147" Type="http://schemas.openxmlformats.org/officeDocument/2006/relationships/hyperlink" Target="https://1drv.ms/x/s!AkP3hbXXLtgBhpEoaTK-EAwrB6PPjQ?e=nj2bQ1&amp;nav=MTVfezAwMDAwMDAwLTAwMDEtMDAwMC0wMDAwLTAwMDAwMDAwMDAwMH0" TargetMode="External"/><Relationship Id="rId2354" Type="http://schemas.openxmlformats.org/officeDocument/2006/relationships/hyperlink" Target="https://1drv.ms/x/s!AkP3hbXXLtgBhpEoaTK-EAwrB6PPjQ?e=LiWfcw&amp;nav=MTVfezFBQTVDNUQ5LTIxM0QtNDcxMi05RkYwLUI2NUUyNTFDRkFBMH0" TargetMode="External"/><Relationship Id="rId2561" Type="http://schemas.openxmlformats.org/officeDocument/2006/relationships/hyperlink" Target="https://1drv.ms/x/s!AkP3hbXXLtgBhpEoaTK-EAwrB6PPjQ?e=mXia38&amp;nav=MTVfe0I0NjUwQ0I4LURGNzEtNDA5NC04M0QxLUExRTNDN0Q3OTc1MX0" TargetMode="External"/><Relationship Id="rId119" Type="http://schemas.openxmlformats.org/officeDocument/2006/relationships/hyperlink" Target="https://1drv.ms/x/s!AkP3hbXXLtgBhpEoaTK-EAwrB6PPjQ?e=hRuig5&amp;nav=MTVfe0NCREMzODZGLTI3RDktNEI4RS05QjQ0LUUzQTc5QTQyQzY2MX0" TargetMode="External"/><Relationship Id="rId326" Type="http://schemas.openxmlformats.org/officeDocument/2006/relationships/hyperlink" Target="https://1drv.ms/x/s!AkP3hbXXLtgBhpEoaTK-EAwrB6PPjQ?e=HO6wd4&amp;nav=MTVfe0NDRThCRDRELTFCMEEtNDNFRC1BMDRDLTc1QjY0NDgwNjJBMH0" TargetMode="External"/><Relationship Id="rId533" Type="http://schemas.openxmlformats.org/officeDocument/2006/relationships/hyperlink" Target="https://1drv.ms/x/s!AkP3hbXXLtgBhpEoaTK-EAwrB6PPjQ?e=zfxOib&amp;nav=MTVfezc5MUI1QUJBLTY0QUItNDM1OS05NkVBLTE3MUFBQTY2QzQ4Q30" TargetMode="External"/><Relationship Id="rId1163" Type="http://schemas.openxmlformats.org/officeDocument/2006/relationships/hyperlink" Target="https://1drv.ms/x/s!AkP3hbXXLtgBhpEoaTK-EAwrB6PPjQ?e=7D4jtp&amp;nav=MTVfe0Q5MDNFMUVCLUFFNkQtNDU5OC04QjYyLUFGODVDMTZENkVGMX0" TargetMode="External"/><Relationship Id="rId1370" Type="http://schemas.openxmlformats.org/officeDocument/2006/relationships/hyperlink" Target="https://1drv.ms/x/s!AkP3hbXXLtgBhpEoaTK-EAwrB6PPjQ?e=0mRVd8&amp;nav=MTVfezhCNkZEQTNBLUNGMjctNEI5QS04QzdDLTFGQzk0MjVBNUY1QX0" TargetMode="External"/><Relationship Id="rId2007" Type="http://schemas.openxmlformats.org/officeDocument/2006/relationships/hyperlink" Target="https://1drv.ms/x/s!AkP3hbXXLtgBhpEoaTK-EAwrB6PPjQ?e=e8c5BE&amp;nav=MTVfe0YzRjMwRTg2LTYyMTgtNEY5QS05Qzg0LTUxNkJFM0Q4MDAwN30" TargetMode="External"/><Relationship Id="rId2214" Type="http://schemas.openxmlformats.org/officeDocument/2006/relationships/hyperlink" Target="https://1drv.ms/x/s!AkP3hbXXLtgBhpEoaTK-EAwrB6PPjQ?e=PJkcfB&amp;nav=MTVfezBFRjgyRDlFLThFOEUtNDA2RC05QUQzLTk5RDY0REIzMEU3Rn0" TargetMode="External"/><Relationship Id="rId740" Type="http://schemas.openxmlformats.org/officeDocument/2006/relationships/hyperlink" Target="https://1drv.ms/x/s!AkP3hbXXLtgBhpEoaTK-EAwrB6PPjQ?e=0lRBEc&amp;nav=MTVfezRDRDQwMjU1LUJFM0ItNENDQS05NDQ1LUY1OTdERDA5ODg4NH0" TargetMode="External"/><Relationship Id="rId1023" Type="http://schemas.openxmlformats.org/officeDocument/2006/relationships/hyperlink" Target="https://1drv.ms/x/s!AkP3hbXXLtgBhpEoaTK-EAwrB6PPjQ?e=NFspu9&amp;nav=MTVfezE1M0M1OEJDLTA3MzUtNERFMC1BNzE4LTMzMUY1QjZBOEZDMH0" TargetMode="External"/><Relationship Id="rId2421" Type="http://schemas.openxmlformats.org/officeDocument/2006/relationships/hyperlink" Target="https://1drv.ms/x/s!AkP3hbXXLtgBhpEoaTK-EAwrB6PPjQ?e=X2f9pt&amp;nav=MTVfe0M4ODI3QTVFLTgzOUMtNDk2Qy1BMThFLUNCMDYwN0JBQjM5M30" TargetMode="External"/><Relationship Id="rId600" Type="http://schemas.openxmlformats.org/officeDocument/2006/relationships/hyperlink" Target="https://1drv.ms/x/s!AkP3hbXXLtgBhpEoaTK-EAwrB6PPjQ?e=xgZSuS&amp;nav=MTVfezA3RkYxMTMwLTAyQjYtNDA4RS1BMkU5LTI2MUQ0MjM2OEJGQn0" TargetMode="External"/><Relationship Id="rId1230" Type="http://schemas.openxmlformats.org/officeDocument/2006/relationships/hyperlink" Target="https://1drv.ms/x/s!AkP3hbXXLtgBhpEoaTK-EAwrB6PPjQ?e=U6lTuf&amp;nav=MTVfezFEODYyODdBLUIyOTctNDdGMC04MTkyLUUzRDE3NjM5RkNFQ30" TargetMode="External"/><Relationship Id="rId183" Type="http://schemas.openxmlformats.org/officeDocument/2006/relationships/hyperlink" Target="https://1drv.ms/x/s!AkP3hbXXLtgBhpEoaTK-EAwrB6PPjQ?e=hKKsXn&amp;nav=MTVfe0M0MzQ5RkZFLUFFMEMtNDZBOC05NDNELUU2ODg5N0JGMDU4Rn0" TargetMode="External"/><Relationship Id="rId390" Type="http://schemas.openxmlformats.org/officeDocument/2006/relationships/hyperlink" Target="https://1drv.ms/x/s!AkP3hbXXLtgBhpEoaTK-EAwrB6PPjQ?e=mvWMFP&amp;nav=MTVfe0Q0MjM2QjFDLUVBQTAtNDE3Ri1BOEVGLTQzNzNBN0FGODY4M30" TargetMode="External"/><Relationship Id="rId1907" Type="http://schemas.openxmlformats.org/officeDocument/2006/relationships/hyperlink" Target="https://1drv.ms/x/s!AkP3hbXXLtgBhpEoaTK-EAwrB6PPjQ?e=TStCPl&amp;nav=MTVfezI2MjVEMjA5LUMzRUYtNEM5RS1CM0Q3LUE4NUY4RTMyNDUyNH0" TargetMode="External"/><Relationship Id="rId2071" Type="http://schemas.openxmlformats.org/officeDocument/2006/relationships/hyperlink" Target="https://1drv.ms/x/s!AkP3hbXXLtgBhpEoaTK-EAwrB6PPjQ?e=t9ByVx&amp;nav=MTVfe0MzOTE2QzlDLTMzMEMtNEQ4NS05NjZBLTBFNzk3QjgxMEIwQn0" TargetMode="External"/><Relationship Id="rId250" Type="http://schemas.openxmlformats.org/officeDocument/2006/relationships/hyperlink" Target="https://1drv.ms/x/s!AkP3hbXXLtgBhpEoaTK-EAwrB6PPjQ?e=36Im2J&amp;nav=MTVfezg1NTdGRUM1LTczODktNDk5My1BQjA0LTkyQjFDODE4MjgxRX0" TargetMode="External"/><Relationship Id="rId110" Type="http://schemas.openxmlformats.org/officeDocument/2006/relationships/hyperlink" Target="https://1drv.ms/x/s!AkP3hbXXLtgBhpEoaTK-EAwrB6PPjQ?e=hRuig5&amp;nav=MTVfe0NCREMzODZGLTI3RDktNEI4RS05QjQ0LUUzQTc5QTQyQzY2MX0" TargetMode="External"/><Relationship Id="rId1697" Type="http://schemas.openxmlformats.org/officeDocument/2006/relationships/hyperlink" Target="https://1drv.ms/x/s!AkP3hbXXLtgBhpEoaTK-EAwrB6PPjQ?e=DHRjp5&amp;nav=MTVfezdEN0E2ODJDLUYxMzctNDI0MS1BRjZDLThEMzExM0M0OTZBNn0" TargetMode="External"/><Relationship Id="rId927" Type="http://schemas.openxmlformats.org/officeDocument/2006/relationships/hyperlink" Target="https://1drv.ms/x/s!AkP3hbXXLtgBhpEoaTK-EAwrB6PPjQ?e=GuJxJM&amp;nav=MTVfe0NBQzcxNDNGLTAzODYtNEFDRi1BNTI1LTRDQTYxMDEzNkYwM30" TargetMode="External"/><Relationship Id="rId1557" Type="http://schemas.openxmlformats.org/officeDocument/2006/relationships/hyperlink" Target="https://1drv.ms/x/s!AkP3hbXXLtgBhpEoaTK-EAwrB6PPjQ?e=PsqPhH&amp;nav=MTVfe0ZDRjg3ODhGLTBFNDItNDJCOC04MDRCLTU4OTcwNUMwMjFGMn0" TargetMode="External"/><Relationship Id="rId1764" Type="http://schemas.openxmlformats.org/officeDocument/2006/relationships/hyperlink" Target="https://1drv.ms/x/s!AkP3hbXXLtgBhpEoaTK-EAwrB6PPjQ?e=sBpJD5&amp;nav=MTVfezM5QzdFMEZDLTg3QTEtNDRCMS04QTgyLUQ3MDU0NDI2MTBFRn0" TargetMode="External"/><Relationship Id="rId1971" Type="http://schemas.openxmlformats.org/officeDocument/2006/relationships/hyperlink" Target="https://1drv.ms/x/s!AkP3hbXXLtgBhpEoaTK-EAwrB6PPjQ?e=Hae5Hc&amp;nav=MTVfe0U1QUU2RDZBLTFGMkUtNENGNC04OENCLUE1MjI0OEMyNDMzNn0" TargetMode="External"/><Relationship Id="rId2608" Type="http://schemas.openxmlformats.org/officeDocument/2006/relationships/hyperlink" Target="https://1drv.ms/x/s!AkP3hbXXLtgBhpEoaTK-EAwrB6PPjQ?e=k1JzSb&amp;nav=MTVfezlCRDVCMEI4LTNBMEItNDE5NC04RTEyLUQxQzc3N0U3MUFFQn0" TargetMode="External"/><Relationship Id="rId56" Type="http://schemas.openxmlformats.org/officeDocument/2006/relationships/hyperlink" Target="https://1drv.ms/x/s!AkP3hbXXLtgBhpEoaTK-EAwrB6PPjQ?e=AMVmTu&amp;nav=MTVfezNFMEFDQTg3LTgzOUUtNDFGNC04MkYwLUIxRjIyNTFBRDYzNX0" TargetMode="External"/><Relationship Id="rId1417" Type="http://schemas.openxmlformats.org/officeDocument/2006/relationships/hyperlink" Target="https://1drv.ms/x/s!AkP3hbXXLtgBhpEoaTK-EAwrB6PPjQ?e=xXe3yl&amp;nav=MTVfezM1QjlFQjFCLUIxM0MtNDQ0Ni05MzQyLUU2QjczMkYzQzJFOH0" TargetMode="External"/><Relationship Id="rId1624" Type="http://schemas.openxmlformats.org/officeDocument/2006/relationships/hyperlink" Target="https://1drv.ms/x/s!AkP3hbXXLtgBhpEoaTK-EAwrB6PPjQ?e=VUlHtx&amp;nav=MTVfe0JEMzdCNzJBLTQ3QUItNEI0NC04MDRCLTNDRDY0MDVBODI2Qn0" TargetMode="External"/><Relationship Id="rId1831" Type="http://schemas.openxmlformats.org/officeDocument/2006/relationships/hyperlink" Target="https://1drv.ms/x/s!AkP3hbXXLtgBhpEoaTK-EAwrB6PPjQ?e=Qo1W02&amp;nav=MTVfe0Q5NDAyRTdCLTJCNEYtNEQ5OS05Q0Y4LTIyNDExQjYxNzRBRH0" TargetMode="External"/><Relationship Id="rId2398" Type="http://schemas.openxmlformats.org/officeDocument/2006/relationships/hyperlink" Target="https://1drv.ms/x/s!AkP3hbXXLtgBhpEoaTK-EAwrB6PPjQ?e=X2f9pt&amp;nav=MTVfe0M4ODI3QTVFLTgzOUMtNDk2Qy1BMThFLUNCMDYwN0JBQjM5M30" TargetMode="External"/><Relationship Id="rId577" Type="http://schemas.openxmlformats.org/officeDocument/2006/relationships/hyperlink" Target="https://1drv.ms/x/s!AkP3hbXXLtgBhpEoaTK-EAwrB6PPjQ?e=xgZSuS&amp;nav=MTVfezA3RkYxMTMwLTAyQjYtNDA4RS1BMkU5LTI2MUQ0MjM2OEJGQn0" TargetMode="External"/><Relationship Id="rId2258" Type="http://schemas.openxmlformats.org/officeDocument/2006/relationships/hyperlink" Target="https://1drv.ms/x/s!AkP3hbXXLtgBhpEoaTK-EAwrB6PPjQ?e=vI4FNr&amp;nav=MTVfezhGQzkyMTU5LUYxNTUtNDg4MS04N0QzLTE5OTgzQjI3QTc1NH0" TargetMode="External"/><Relationship Id="rId784" Type="http://schemas.openxmlformats.org/officeDocument/2006/relationships/hyperlink" Target="https://1drv.ms/x/s!AkP3hbXXLtgBhpEoaTK-EAwrB6PPjQ?e=zuxs7K&amp;nav=MTVfezEzQ0U5ODFBLTQxOTEtNERBOS05RDcwLTU1NDcwQ0I2MzhFNX0" TargetMode="External"/><Relationship Id="rId991" Type="http://schemas.openxmlformats.org/officeDocument/2006/relationships/hyperlink" Target="https://1drv.ms/x/s!AkP3hbXXLtgBhpEoaTK-EAwrB6PPjQ?e=fk66xb&amp;nav=MTVfezU0MjNBNEE5LTNDNzctNDQwNC05RjA3LTAyNEI1N0FBQjFDNX0" TargetMode="External"/><Relationship Id="rId1067" Type="http://schemas.openxmlformats.org/officeDocument/2006/relationships/hyperlink" Target="https://1drv.ms/x/s!AkP3hbXXLtgBhpEoaTK-EAwrB6PPjQ?e=rYbeUy&amp;nav=MTVfe0Q1MEM2OTMzLTFBNUUtNDhCMS1CQzhCLTlGQTI2NEEzRURDRH0" TargetMode="External"/><Relationship Id="rId2465" Type="http://schemas.openxmlformats.org/officeDocument/2006/relationships/hyperlink" Target="https://1drv.ms/x/s!AkP3hbXXLtgBhpEoaTK-EAwrB6PPjQ?e=LQfhsg&amp;nav=MTVfe0FGQTQ2QTUxLTkwOEEtNEZCNi04OUQ1LTMwOUU4QkMzMTRFQ30" TargetMode="External"/><Relationship Id="rId2672" Type="http://schemas.openxmlformats.org/officeDocument/2006/relationships/hyperlink" Target="https://1drv.ms/x/s!AkP3hbXXLtgBhpEoaTK-EAwrB6PPjQ?e=hUXjPN&amp;nav=MTVfezYzNzY4MEExLTRDMzItNDcxMy05M0ZCLTBFNjAwNTlBMUI0MH0" TargetMode="External"/><Relationship Id="rId437" Type="http://schemas.openxmlformats.org/officeDocument/2006/relationships/hyperlink" Target="https://1drv.ms/x/s!AkP3hbXXLtgBhpEoaTK-EAwrB6PPjQ?e=sXo522&amp;nav=MTVfe0VCNzhCQUU0LUVEQzItNDRCMC04QTFFLUZEQzA0OTNEMDkzOX0" TargetMode="External"/><Relationship Id="rId644" Type="http://schemas.openxmlformats.org/officeDocument/2006/relationships/hyperlink" Target="https://1drv.ms/x/s!AkP3hbXXLtgBhpEoaTK-EAwrB6PPjQ?e=ZRDRyK&amp;nav=MTVfe0IyQkRBQzE0LUM2QkQtNDY3Ny04MjcyLUQxNjYyMkIyRTZGRH0" TargetMode="External"/><Relationship Id="rId851" Type="http://schemas.openxmlformats.org/officeDocument/2006/relationships/hyperlink" Target="https://1drv.ms/x/s!AkP3hbXXLtgBhpEoaTK-EAwrB6PPjQ?e=VcWWuU&amp;nav=MTVfe0ExMEEwQ0RDLUFCNUQtNEMxQS1BM0ZGLTEzRDE2MkJEN0U2Q30" TargetMode="External"/><Relationship Id="rId1274" Type="http://schemas.openxmlformats.org/officeDocument/2006/relationships/hyperlink" Target="https://1drv.ms/x/s!AkP3hbXXLtgBhpEoaTK-EAwrB6PPjQ?e=bD2jTr&amp;nav=MTVfezRGRUQzQzY0LTk3M0ItNDNDNy1BRUY3LTYwMDNGN0E5OThFQX0" TargetMode="External"/><Relationship Id="rId1481" Type="http://schemas.openxmlformats.org/officeDocument/2006/relationships/hyperlink" Target="https://1drv.ms/x/s!AkP3hbXXLtgBhpEoaTK-EAwrB6PPjQ?e=Dygyft&amp;nav=MTVfe0VDMUJBNEJBLUNCOTAtNDI3Ri1CMTVFLUZDQjc2NURCQ0I1Q30" TargetMode="External"/><Relationship Id="rId2118" Type="http://schemas.openxmlformats.org/officeDocument/2006/relationships/hyperlink" Target="https://1drv.ms/x/s!AkP3hbXXLtgBhpEoaTK-EAwrB6PPjQ?e=7tvhFu&amp;nav=MTVfezYzQUQ2N0RCLTZFQkQtNDhGOC1BODVFLUQzNjgwN0I4QkNFMn0" TargetMode="External"/><Relationship Id="rId2325" Type="http://schemas.openxmlformats.org/officeDocument/2006/relationships/hyperlink" Target="https://1drv.ms/x/s!AkP3hbXXLtgBhpEoaTK-EAwrB6PPjQ?e=LiWfcw&amp;nav=MTVfezFBQTVDNUQ5LTIxM0QtNDcxMi05RkYwLUI2NUUyNTFDRkFBMH0" TargetMode="External"/><Relationship Id="rId2532" Type="http://schemas.openxmlformats.org/officeDocument/2006/relationships/hyperlink" Target="https://1drv.ms/x/s!AkP3hbXXLtgBhpEoaTK-EAwrB6PPjQ?e=mXia38&amp;nav=MTVfe0I0NjUwQ0I4LURGNzEtNDA5NC04M0QxLUExRTNDN0Q3OTc1MX0" TargetMode="External"/><Relationship Id="rId504" Type="http://schemas.openxmlformats.org/officeDocument/2006/relationships/hyperlink" Target="https://1drv.ms/x/s!AkP3hbXXLtgBhpEoaTK-EAwrB6PPjQ?e=zfxOib&amp;nav=MTVfezc5MUI1QUJBLTY0QUItNDM1OS05NkVBLTE3MUFBQTY2QzQ4Q30" TargetMode="External"/><Relationship Id="rId711" Type="http://schemas.openxmlformats.org/officeDocument/2006/relationships/hyperlink" Target="https://1drv.ms/x/s!AkP3hbXXLtgBhpEoaTK-EAwrB6PPjQ?e=JPeMLZ&amp;nav=MTVfezdEMkY3NDEyLUYwMzItNDM0RC05MDRFLTcyNTE0ODM0NjA4M30" TargetMode="External"/><Relationship Id="rId1134" Type="http://schemas.openxmlformats.org/officeDocument/2006/relationships/hyperlink" Target="https://1drv.ms/x/s!AkP3hbXXLtgBhpEoaTK-EAwrB6PPjQ?e=Brd8C5&amp;nav=MTVfe0YyMTJGNjdELTg0REMtNEY4Ri05MzE5LTE0M0FEODlBMzg5Q30" TargetMode="External"/><Relationship Id="rId1341" Type="http://schemas.openxmlformats.org/officeDocument/2006/relationships/hyperlink" Target="https://1drv.ms/x/s!AkP3hbXXLtgBhpEoaTK-EAwrB6PPjQ?e=SkY523&amp;nav=MTVfezk3NEQ3MjVGLTlERDMtNDdDOS05QzJDLUU5RjJCNjk2N0I4MX0" TargetMode="External"/><Relationship Id="rId1201" Type="http://schemas.openxmlformats.org/officeDocument/2006/relationships/hyperlink" Target="https://1drv.ms/x/s!AkP3hbXXLtgBhpEoaTK-EAwrB6PPjQ?e=U6lTuf&amp;nav=MTVfezFEODYyODdBLUIyOTctNDdGMC04MTkyLUUzRDE3NjM5RkNFQ30" TargetMode="External"/><Relationship Id="rId294" Type="http://schemas.openxmlformats.org/officeDocument/2006/relationships/hyperlink" Target="https://1drv.ms/x/s!AkP3hbXXLtgBhpEoaTK-EAwrB6PPjQ?e=HO6wd4&amp;nav=MTVfe0NDRThCRDRELTFCMEEtNDNFRC1BMDRDLTc1QjY0NDgwNjJBMH0" TargetMode="External"/><Relationship Id="rId2182" Type="http://schemas.openxmlformats.org/officeDocument/2006/relationships/hyperlink" Target="https://1drv.ms/x/s!AkP3hbXXLtgBhpEoaTK-EAwrB6PPjQ?e=PJkcfB&amp;nav=MTVfezBFRjgyRDlFLThFOEUtNDA2RC05QUQzLTk5RDY0REIzMEU3Rn0" TargetMode="External"/><Relationship Id="rId154" Type="http://schemas.openxmlformats.org/officeDocument/2006/relationships/hyperlink" Target="https://1drv.ms/x/s!AkP3hbXXLtgBhpEoaTK-EAwrB6PPjQ?e=hRuig5&amp;nav=MTVfe0NCREMzODZGLTI3RDktNEI4RS05QjQ0LUUzQTc5QTQyQzY2MX0" TargetMode="External"/><Relationship Id="rId361" Type="http://schemas.openxmlformats.org/officeDocument/2006/relationships/hyperlink" Target="https://1drv.ms/x/s!AkP3hbXXLtgBhpEoaTK-EAwrB6PPjQ?e=mvWMFP&amp;nav=MTVfe0Q0MjM2QjFDLUVBQTAtNDE3Ri1BOEVGLTQzNzNBN0FGODY4M30" TargetMode="External"/><Relationship Id="rId2042" Type="http://schemas.openxmlformats.org/officeDocument/2006/relationships/hyperlink" Target="https://1drv.ms/x/s!AkP3hbXXLtgBhpEoaTK-EAwrB6PPjQ?e=e8c5BE&amp;nav=MTVfe0YzRjMwRTg2LTYyMTgtNEY5QS05Qzg0LTUxNkJFM0Q4MDAwN30" TargetMode="External"/><Relationship Id="rId221" Type="http://schemas.openxmlformats.org/officeDocument/2006/relationships/hyperlink" Target="https://1drv.ms/x/s!AkP3hbXXLtgBhpEoaTK-EAwrB6PPjQ?e=hKKsXn&amp;nav=MTVfe0M0MzQ5RkZFLUFFMEMtNDZBOC05NDNELUU2ODg5N0JGMDU4Rn0" TargetMode="External"/><Relationship Id="rId1668" Type="http://schemas.openxmlformats.org/officeDocument/2006/relationships/hyperlink" Target="https://1drv.ms/x/s!AkP3hbXXLtgBhpEoaTK-EAwrB6PPjQ?e=DHRjp5&amp;nav=MTVfezdEN0E2ODJDLUYxMzctNDI0MS1BRjZDLThEMzExM0M0OTZBNn0" TargetMode="External"/><Relationship Id="rId1875" Type="http://schemas.openxmlformats.org/officeDocument/2006/relationships/hyperlink" Target="https://1drv.ms/x/s!AkP3hbXXLtgBhpEoaTK-EAwrB6PPjQ?e=3z9g8a&amp;nav=MTVfezBGMENERTNBLTZCQTUtNDYwRi05MDM3LUNDNDk5MDBCNUU5MX0" TargetMode="External"/><Relationship Id="rId2719" Type="http://schemas.openxmlformats.org/officeDocument/2006/relationships/hyperlink" Target="https://1drv.ms/x/s!AkP3hbXXLtgBhpEoaTK-EAwrB6PPjQ?e=hUXjPN&amp;nav=MTVfezYzNzY4MEExLTRDMzItNDcxMy05M0ZCLTBFNjAwNTlBMUI0MH0" TargetMode="External"/><Relationship Id="rId1528" Type="http://schemas.openxmlformats.org/officeDocument/2006/relationships/hyperlink" Target="https://1drv.ms/x/s!AkP3hbXXLtgBhpEoaTK-EAwrB6PPjQ?e=PsqPhH&amp;nav=MTVfe0ZDRjg3ODhGLTBFNDItNDJCOC04MDRCLTU4OTcwNUMwMjFGMn0" TargetMode="External"/><Relationship Id="rId1735" Type="http://schemas.openxmlformats.org/officeDocument/2006/relationships/hyperlink" Target="https://1drv.ms/x/s!AkP3hbXXLtgBhpEoaTK-EAwrB6PPjQ?e=OaIvOH&amp;nav=MTVfezFDODBFQUMzLTY0M0UtNDM2MC04REU0LTRBOUYzQ0MxQkY2Nn0" TargetMode="External"/><Relationship Id="rId1942" Type="http://schemas.openxmlformats.org/officeDocument/2006/relationships/hyperlink" Target="https://1drv.ms/x/s!AkP3hbXXLtgBhpEoaTK-EAwrB6PPjQ?e=U8iWbp&amp;nav=MTVfezVDRDNFMEMzLTY0NDctNDUyNC05RjQyLUQ5MzdFOTgzQzgzNH0" TargetMode="External"/><Relationship Id="rId27" Type="http://schemas.openxmlformats.org/officeDocument/2006/relationships/hyperlink" Target="https://1drv.ms/x/s!AkP3hbXXLtgBhpEoaTK-EAwrB6PPjQ?e=pv1n5G&amp;nav=MTVfe0I5QjVDOEU1LTM5MTMtNDRCNy1COEY4LUUwMUNENUM2NTY1NX0" TargetMode="External"/><Relationship Id="rId1802" Type="http://schemas.openxmlformats.org/officeDocument/2006/relationships/hyperlink" Target="https://1drv.ms/x/s!AkP3hbXXLtgBhpEoaTK-EAwrB6PPjQ?e=sBpJD5&amp;nav=MTVfezM5QzdFMEZDLTg3QTEtNDRCMS04QTgyLUQ3MDU0NDI2MTBFRn0" TargetMode="External"/><Relationship Id="rId688" Type="http://schemas.openxmlformats.org/officeDocument/2006/relationships/hyperlink" Target="https://1drv.ms/x/s!AkP3hbXXLtgBhpEoaTK-EAwrB6PPjQ?e=JPeMLZ&amp;nav=MTVfezdEMkY3NDEyLUYwMzItNDM0RC05MDRFLTcyNTE0ODM0NjA4M30" TargetMode="External"/><Relationship Id="rId895" Type="http://schemas.openxmlformats.org/officeDocument/2006/relationships/hyperlink" Target="https://1drv.ms/x/s!AkP3hbXXLtgBhpEoaTK-EAwrB6PPjQ?e=q7Y9UY&amp;nav=MTVfezY2QjMzRUJDLTdGREQtNEI4MC05QkFBLTZFRTQyNUFCMDY2MH0" TargetMode="External"/><Relationship Id="rId2369" Type="http://schemas.openxmlformats.org/officeDocument/2006/relationships/hyperlink" Target="https://1drv.ms/x/s!AkP3hbXXLtgBhpEoaTK-EAwrB6PPjQ?e=X2f9pt&amp;nav=MTVfe0M4ODI3QTVFLTgzOUMtNDk2Qy1BMThFLUNCMDYwN0JBQjM5M30" TargetMode="External"/><Relationship Id="rId2576" Type="http://schemas.openxmlformats.org/officeDocument/2006/relationships/hyperlink" Target="https://1drv.ms/x/s!AkP3hbXXLtgBhpEoaTK-EAwrB6PPjQ?e=mXia38&amp;nav=MTVfe0I0NjUwQ0I4LURGNzEtNDA5NC04M0QxLUExRTNDN0Q3OTc1MX0" TargetMode="External"/><Relationship Id="rId548" Type="http://schemas.openxmlformats.org/officeDocument/2006/relationships/hyperlink" Target="https://1drv.ms/x/s!AkP3hbXXLtgBhpEoaTK-EAwrB6PPjQ?e=xgZSuS&amp;nav=MTVfezA3RkYxMTMwLTAyQjYtNDA4RS1BMkU5LTI2MUQ0MjM2OEJGQn0" TargetMode="External"/><Relationship Id="rId755" Type="http://schemas.openxmlformats.org/officeDocument/2006/relationships/hyperlink" Target="https://1drv.ms/x/s!AkP3hbXXLtgBhpEoaTK-EAwrB6PPjQ?e=0lRBEc&amp;nav=MTVfezRDRDQwMjU1LUJFM0ItNENDQS05NDQ1LUY1OTdERDA5ODg4NH0" TargetMode="External"/><Relationship Id="rId962" Type="http://schemas.openxmlformats.org/officeDocument/2006/relationships/hyperlink" Target="https://1drv.ms/x/s!AkP3hbXXLtgBhpEoaTK-EAwrB6PPjQ?e=fk66xb&amp;nav=MTVfezU0MjNBNEE5LTNDNzctNDQwNC05RjA3LTAyNEI1N0FBQjFDNX0" TargetMode="External"/><Relationship Id="rId1178" Type="http://schemas.openxmlformats.org/officeDocument/2006/relationships/hyperlink" Target="https://1drv.ms/x/s!AkP3hbXXLtgBhpEoaTK-EAwrB6PPjQ?e=7D4jtp&amp;nav=MTVfe0Q5MDNFMUVCLUFFNkQtNDU5OC04QjYyLUFGODVDMTZENkVGMX0" TargetMode="External"/><Relationship Id="rId1385" Type="http://schemas.openxmlformats.org/officeDocument/2006/relationships/hyperlink" Target="https://1drv.ms/x/s!AkP3hbXXLtgBhpEoaTK-EAwrB6PPjQ?e=6Dzvxb&amp;nav=MTVfezE4RDVGRUE3LUYyN0MtNDRFNC1BMENCLTk1RTNFRjk3QkJDRX0" TargetMode="External"/><Relationship Id="rId1592" Type="http://schemas.openxmlformats.org/officeDocument/2006/relationships/hyperlink" Target="https://1drv.ms/x/s!AkP3hbXXLtgBhpEoaTK-EAwrB6PPjQ?e=hF7xUm&amp;nav=MTVfezBDOEZCN0U5LURBOEQtNEY2Qi1CNUE1LUYzQTk0NDFBRkE2NX0" TargetMode="External"/><Relationship Id="rId2229" Type="http://schemas.openxmlformats.org/officeDocument/2006/relationships/hyperlink" Target="https://1drv.ms/x/s!AkP3hbXXLtgBhpEoaTK-EAwrB6PPjQ?e=PJkcfB&amp;nav=MTVfezBFRjgyRDlFLThFOEUtNDA2RC05QUQzLTk5RDY0REIzMEU3Rn0" TargetMode="External"/><Relationship Id="rId2436" Type="http://schemas.openxmlformats.org/officeDocument/2006/relationships/hyperlink" Target="https://1drv.ms/x/s!AkP3hbXXLtgBhpEoaTK-EAwrB6PPjQ?e=LQfhsg&amp;nav=MTVfe0FGQTQ2QTUxLTkwOEEtNEZCNi04OUQ1LTMwOUU4QkMzMTRFQ30" TargetMode="External"/><Relationship Id="rId2643" Type="http://schemas.openxmlformats.org/officeDocument/2006/relationships/hyperlink" Target="https://1drv.ms/x/s!AkP3hbXXLtgBhpEoaTK-EAwrB6PPjQ?e=k1JzSb&amp;nav=MTVfezlCRDVCMEI4LTNBMEItNDE5NC04RTEyLUQxQzc3N0U3MUFFQn0" TargetMode="External"/><Relationship Id="rId91" Type="http://schemas.openxmlformats.org/officeDocument/2006/relationships/hyperlink" Target="https://1drv.ms/x/s!AkP3hbXXLtgBhpEoaTK-EAwrB6PPjQ?e=AMVmTu&amp;nav=MTVfezNFMEFDQTg3LTgzOUUtNDFGNC04MkYwLUIxRjIyNTFBRDYzNX0" TargetMode="External"/><Relationship Id="rId408" Type="http://schemas.openxmlformats.org/officeDocument/2006/relationships/hyperlink" Target="https://1drv.ms/x/s!AkP3hbXXLtgBhpEoaTK-EAwrB6PPjQ?e=mvWMFP&amp;nav=MTVfe0Q0MjM2QjFDLUVBQTAtNDE3Ri1BOEVGLTQzNzNBN0FGODY4M30" TargetMode="External"/><Relationship Id="rId615" Type="http://schemas.openxmlformats.org/officeDocument/2006/relationships/hyperlink" Target="https://1drv.ms/x/s!AkP3hbXXLtgBhpEoaTK-EAwrB6PPjQ?e=ZRDRyK&amp;nav=MTVfe0IyQkRBQzE0LUM2QkQtNDY3Ny04MjcyLUQxNjYyMkIyRTZGRH0" TargetMode="External"/><Relationship Id="rId822" Type="http://schemas.openxmlformats.org/officeDocument/2006/relationships/hyperlink" Target="https://1drv.ms/x/s!AkP3hbXXLtgBhpEoaTK-EAwrB6PPjQ?e=zuxs7K&amp;nav=MTVfezEzQ0U5ODFBLTQxOTEtNERBOS05RDcwLTU1NDcwQ0I2MzhFNX0" TargetMode="External"/><Relationship Id="rId1038" Type="http://schemas.openxmlformats.org/officeDocument/2006/relationships/hyperlink" Target="https://1drv.ms/x/s!AkP3hbXXLtgBhpEoaTK-EAwrB6PPjQ?e=NFspu9&amp;nav=MTVfezE1M0M1OEJDLTA3MzUtNERFMC1BNzE4LTMzMUY1QjZBOEZDMH0" TargetMode="External"/><Relationship Id="rId1245" Type="http://schemas.openxmlformats.org/officeDocument/2006/relationships/hyperlink" Target="https://1drv.ms/x/s!AkP3hbXXLtgBhpEoaTK-EAwrB6PPjQ?e=UaBeCf&amp;nav=MTVfezM0NkJDRTA1LThBNUQtNDFFMC1BNjQ2LTk5NTVEMTg4RUEzNn0" TargetMode="External"/><Relationship Id="rId1452" Type="http://schemas.openxmlformats.org/officeDocument/2006/relationships/hyperlink" Target="https://1drv.ms/x/s!AkP3hbXXLtgBhpEoaTK-EAwrB6PPjQ?e=xXe3yl&amp;nav=MTVfezM1QjlFQjFCLUIxM0MtNDQ0Ni05MzQyLUU2QjczMkYzQzJFOH0" TargetMode="External"/><Relationship Id="rId2503" Type="http://schemas.openxmlformats.org/officeDocument/2006/relationships/hyperlink" Target="https://1drv.ms/x/s!AkP3hbXXLtgBhpEoaTK-EAwrB6PPjQ?e=LQfhsg&amp;nav=MTVfe0FGQTQ2QTUxLTkwOEEtNEZCNi04OUQ1LTMwOUU4QkMzMTRFQ30" TargetMode="External"/><Relationship Id="rId1105" Type="http://schemas.openxmlformats.org/officeDocument/2006/relationships/hyperlink" Target="https://1drv.ms/x/s!AkP3hbXXLtgBhpEoaTK-EAwrB6PPjQ?e=Brd8C5&amp;nav=MTVfe0YyMTJGNjdELTg0REMtNEY4Ri05MzE5LTE0M0FEODlBMzg5Q30" TargetMode="External"/><Relationship Id="rId1312" Type="http://schemas.openxmlformats.org/officeDocument/2006/relationships/hyperlink" Target="https://1drv.ms/x/s!AkP3hbXXLtgBhpEoaTK-EAwrB6PPjQ?e=bD2jTr&amp;nav=MTVfezRGRUQzQzY0LTk3M0ItNDNDNy1BRUY3LTYwMDNGN0E5OThFQX0" TargetMode="External"/><Relationship Id="rId2710" Type="http://schemas.openxmlformats.org/officeDocument/2006/relationships/hyperlink" Target="https://1drv.ms/x/s!AkP3hbXXLtgBhpEoaTK-EAwrB6PPjQ?e=hUXjPN&amp;nav=MTVfezYzNzY4MEExLTRDMzItNDcxMy05M0ZCLTBFNjAwNTlBMUI0MH0" TargetMode="External"/><Relationship Id="rId198" Type="http://schemas.openxmlformats.org/officeDocument/2006/relationships/hyperlink" Target="https://1drv.ms/x/s!AkP3hbXXLtgBhpEoaTK-EAwrB6PPjQ?e=hKKsXn&amp;nav=MTVfe0M0MzQ5RkZFLUFFMEMtNDZBOC05NDNELUU2ODg5N0JGMDU4Rn0" TargetMode="External"/><Relationship Id="rId2086" Type="http://schemas.openxmlformats.org/officeDocument/2006/relationships/hyperlink" Target="https://1drv.ms/x/s!AkP3hbXXLtgBhpEoaTK-EAwrB6PPjQ?e=6Uvhwt&amp;nav=MTVfe0Q5NUQ0MEFGLTAxNjgtNDM5Ni04Rjg1LTZBMkFBMzFBMkRCMn0" TargetMode="External"/><Relationship Id="rId2293" Type="http://schemas.openxmlformats.org/officeDocument/2006/relationships/hyperlink" Target="https://1drv.ms/x/s!AkP3hbXXLtgBhpEoaTK-EAwrB6PPjQ?e=vI4FNr&amp;nav=MTVfezhGQzkyMTU5LUYxNTUtNDg4MS04N0QzLTE5OTgzQjI3QTc1NH0" TargetMode="External"/><Relationship Id="rId2598" Type="http://schemas.openxmlformats.org/officeDocument/2006/relationships/hyperlink" Target="https://1drv.ms/x/s!AkP3hbXXLtgBhpEoaTK-EAwrB6PPjQ?e=2mSwdU&amp;nav=MTVfezAwOEJCMDMxLUEyNEEtNDc3RS04RDNFLTBENTk0MDBCNEY0OH0" TargetMode="External"/><Relationship Id="rId265" Type="http://schemas.openxmlformats.org/officeDocument/2006/relationships/hyperlink" Target="https://1drv.ms/x/s!AkP3hbXXLtgBhpEoaTK-EAwrB6PPjQ?e=36Im2J&amp;nav=MTVfezg1NTdGRUM1LTczODktNDk5My1BQjA0LTkyQjFDODE4MjgxRX0" TargetMode="External"/><Relationship Id="rId472" Type="http://schemas.openxmlformats.org/officeDocument/2006/relationships/hyperlink" Target="https://1drv.ms/x/s!AkP3hbXXLtgBhpEoaTK-EAwrB6PPjQ?e=sXo522&amp;nav=MTVfe0VCNzhCQUU0LUVEQzItNDRCMC04QTFFLUZEQzA0OTNEMDkzOX0" TargetMode="External"/><Relationship Id="rId2153" Type="http://schemas.openxmlformats.org/officeDocument/2006/relationships/hyperlink" Target="https://1drv.ms/x/s!AkP3hbXXLtgBhpEoaTK-EAwrB6PPjQ?e=nj2bQ1&amp;nav=MTVfezAwMDAwMDAwLTAwMDEtMDAwMC0wMDAwLTAwMDAwMDAwMDAwMH0" TargetMode="External"/><Relationship Id="rId2360" Type="http://schemas.openxmlformats.org/officeDocument/2006/relationships/hyperlink" Target="https://1drv.ms/x/s!AkP3hbXXLtgBhpEoaTK-EAwrB6PPjQ?e=LiWfcw&amp;nav=MTVfezFBQTVDNUQ5LTIxM0QtNDcxMi05RkYwLUI2NUUyNTFDRkFBMH0" TargetMode="External"/><Relationship Id="rId125" Type="http://schemas.openxmlformats.org/officeDocument/2006/relationships/hyperlink" Target="https://1drv.ms/x/s!AkP3hbXXLtgBhpEoaTK-EAwrB6PPjQ?e=hRuig5&amp;nav=MTVfe0NCREMzODZGLTI3RDktNEI4RS05QjQ0LUUzQTc5QTQyQzY2MX0" TargetMode="External"/><Relationship Id="rId332" Type="http://schemas.openxmlformats.org/officeDocument/2006/relationships/hyperlink" Target="https://1drv.ms/x/s!AkP3hbXXLtgBhpEoaTK-EAwrB6PPjQ?e=HO6wd4&amp;nav=MTVfe0NDRThCRDRELTFCMEEtNDNFRC1BMDRDLTc1QjY0NDgwNjJBMH0" TargetMode="External"/><Relationship Id="rId777" Type="http://schemas.openxmlformats.org/officeDocument/2006/relationships/hyperlink" Target="https://1drv.ms/x/s!AkP3hbXXLtgBhpEoaTK-EAwrB6PPjQ?e=0lRBEc&amp;nav=MTVfezRDRDQwMjU1LUJFM0ItNENDQS05NDQ1LUY1OTdERDA5ODg4NH0" TargetMode="External"/><Relationship Id="rId984" Type="http://schemas.openxmlformats.org/officeDocument/2006/relationships/hyperlink" Target="https://1drv.ms/x/s!AkP3hbXXLtgBhpEoaTK-EAwrB6PPjQ?e=fk66xb&amp;nav=MTVfezU0MjNBNEE5LTNDNzctNDQwNC05RjA3LTAyNEI1N0FBQjFDNX0" TargetMode="External"/><Relationship Id="rId2013" Type="http://schemas.openxmlformats.org/officeDocument/2006/relationships/hyperlink" Target="https://1drv.ms/x/s!AkP3hbXXLtgBhpEoaTK-EAwrB6PPjQ?e=e8c5BE&amp;nav=MTVfe0YzRjMwRTg2LTYyMTgtNEY5QS05Qzg0LTUxNkJFM0Q4MDAwN30" TargetMode="External"/><Relationship Id="rId2220" Type="http://schemas.openxmlformats.org/officeDocument/2006/relationships/hyperlink" Target="https://1drv.ms/x/s!AkP3hbXXLtgBhpEoaTK-EAwrB6PPjQ?e=PJkcfB&amp;nav=MTVfezBFRjgyRDlFLThFOEUtNDA2RC05QUQzLTk5RDY0REIzMEU3Rn0" TargetMode="External"/><Relationship Id="rId2458" Type="http://schemas.openxmlformats.org/officeDocument/2006/relationships/hyperlink" Target="https://1drv.ms/x/s!AkP3hbXXLtgBhpEoaTK-EAwrB6PPjQ?e=LQfhsg&amp;nav=MTVfe0FGQTQ2QTUxLTkwOEEtNEZCNi04OUQ1LTMwOUU4QkMzMTRFQ30" TargetMode="External"/><Relationship Id="rId2665" Type="http://schemas.openxmlformats.org/officeDocument/2006/relationships/hyperlink" Target="https://1drv.ms/x/s!AkP3hbXXLtgBhpEoaTK-EAwrB6PPjQ?e=k1JzSb&amp;nav=MTVfezlCRDVCMEI4LTNBMEItNDE5NC04RTEyLUQxQzc3N0U3MUFFQn0" TargetMode="External"/><Relationship Id="rId637" Type="http://schemas.openxmlformats.org/officeDocument/2006/relationships/hyperlink" Target="https://1drv.ms/x/s!AkP3hbXXLtgBhpEoaTK-EAwrB6PPjQ?e=ZRDRyK&amp;nav=MTVfe0IyQkRBQzE0LUM2QkQtNDY3Ny04MjcyLUQxNjYyMkIyRTZGRH0" TargetMode="External"/><Relationship Id="rId844" Type="http://schemas.openxmlformats.org/officeDocument/2006/relationships/hyperlink" Target="https://1drv.ms/x/s!AkP3hbXXLtgBhpEoaTK-EAwrB6PPjQ?e=VcWWuU&amp;nav=MTVfe0ExMEEwQ0RDLUFCNUQtNEMxQS1BM0ZGLTEzRDE2MkJEN0U2Q30" TargetMode="External"/><Relationship Id="rId1267" Type="http://schemas.openxmlformats.org/officeDocument/2006/relationships/hyperlink" Target="https://1drv.ms/x/s!AkP3hbXXLtgBhpEoaTK-EAwrB6PPjQ?e=UaBeCf&amp;nav=MTVfezM0NkJDRTA1LThBNUQtNDFFMC1BNjQ2LTk5NTVEMTg4RUEzNn0" TargetMode="External"/><Relationship Id="rId1474" Type="http://schemas.openxmlformats.org/officeDocument/2006/relationships/hyperlink" Target="https://1drv.ms/x/s!AkP3hbXXLtgBhpEoaTK-EAwrB6PPjQ?e=xXe3yl&amp;nav=MTVfezM1QjlFQjFCLUIxM0MtNDQ0Ni05MzQyLUU2QjczMkYzQzJFOH0" TargetMode="External"/><Relationship Id="rId1681" Type="http://schemas.openxmlformats.org/officeDocument/2006/relationships/hyperlink" Target="https://1drv.ms/x/s!AkP3hbXXLtgBhpEoaTK-EAwrB6PPjQ?e=DHRjp5&amp;nav=MTVfezdEN0E2ODJDLUYxMzctNDI0MS1BRjZDLThEMzExM0M0OTZBNn0" TargetMode="External"/><Relationship Id="rId2318" Type="http://schemas.openxmlformats.org/officeDocument/2006/relationships/hyperlink" Target="https://1drv.ms/x/s!AkP3hbXXLtgBhpEoaTK-EAwrB6PPjQ?e=LiWfcw&amp;nav=MTVfezFBQTVDNUQ5LTIxM0QtNDcxMi05RkYwLUI2NUUyNTFDRkFBMH0" TargetMode="External"/><Relationship Id="rId2525" Type="http://schemas.openxmlformats.org/officeDocument/2006/relationships/hyperlink" Target="https://1drv.ms/x/s!AkP3hbXXLtgBhpEoaTK-EAwrB6PPjQ?e=mXia38&amp;nav=MTVfe0I0NjUwQ0I4LURGNzEtNDA5NC04M0QxLUExRTNDN0Q3OTc1MX0" TargetMode="External"/><Relationship Id="rId2732" Type="http://schemas.openxmlformats.org/officeDocument/2006/relationships/hyperlink" Target="https://1drv.ms/x/s!AkP3hbXXLtgBhpEoaTK-EAwrB6PPjQ?e=hUXjPN&amp;nav=MTVfezYzNzY4MEExLTRDMzItNDcxMy05M0ZCLTBFNjAwNTlBMUI0MH0" TargetMode="External"/><Relationship Id="rId704" Type="http://schemas.openxmlformats.org/officeDocument/2006/relationships/hyperlink" Target="https://1drv.ms/x/s!AkP3hbXXLtgBhpEoaTK-EAwrB6PPjQ?e=JPeMLZ&amp;nav=MTVfezdEMkY3NDEyLUYwMzItNDM0RC05MDRFLTcyNTE0ODM0NjA4M30" TargetMode="External"/><Relationship Id="rId911" Type="http://schemas.openxmlformats.org/officeDocument/2006/relationships/hyperlink" Target="https://1drv.ms/x/s!AkP3hbXXLtgBhpEoaTK-EAwrB6PPjQ?e=q7Y9UY&amp;nav=MTVfezY2QjMzRUJDLTdGREQtNEI4MC05QkFBLTZFRTQyNUFCMDY2MH0" TargetMode="External"/><Relationship Id="rId1127" Type="http://schemas.openxmlformats.org/officeDocument/2006/relationships/hyperlink" Target="https://1drv.ms/x/s!AkP3hbXXLtgBhpEoaTK-EAwrB6PPjQ?e=Brd8C5&amp;nav=MTVfe0YyMTJGNjdELTg0REMtNEY4Ri05MzE5LTE0M0FEODlBMzg5Q30" TargetMode="External"/><Relationship Id="rId1334" Type="http://schemas.openxmlformats.org/officeDocument/2006/relationships/hyperlink" Target="https://1drv.ms/x/s!AkP3hbXXLtgBhpEoaTK-EAwrB6PPjQ?e=SkY523&amp;nav=MTVfezk3NEQ3MjVGLTlERDMtNDdDOS05QzJDLUU5RjJCNjk2N0I4MX0" TargetMode="External"/><Relationship Id="rId1541" Type="http://schemas.openxmlformats.org/officeDocument/2006/relationships/hyperlink" Target="https://1drv.ms/x/s!AkP3hbXXLtgBhpEoaTK-EAwrB6PPjQ?e=PsqPhH&amp;nav=MTVfe0ZDRjg3ODhGLTBFNDItNDJCOC04MDRCLTU4OTcwNUMwMjFGMn0" TargetMode="External"/><Relationship Id="rId1779" Type="http://schemas.openxmlformats.org/officeDocument/2006/relationships/hyperlink" Target="https://1drv.ms/x/s!AkP3hbXXLtgBhpEoaTK-EAwrB6PPjQ?e=sBpJD5&amp;nav=MTVfezM5QzdFMEZDLTg3QTEtNDRCMS04QTgyLUQ3MDU0NDI2MTBFRn0" TargetMode="External"/><Relationship Id="rId1986" Type="http://schemas.openxmlformats.org/officeDocument/2006/relationships/hyperlink" Target="https://1drv.ms/x/s!AkP3hbXXLtgBhpEoaTK-EAwrB6PPjQ?e=e8c5BE&amp;nav=MTVfe0YzRjMwRTg2LTYyMTgtNEY5QS05Qzg0LTUxNkJFM0Q4MDAwN30" TargetMode="External"/><Relationship Id="rId40" Type="http://schemas.openxmlformats.org/officeDocument/2006/relationships/hyperlink" Target="https://1drv.ms/x/s!AkP3hbXXLtgBhpEoaTK-EAwrB6PPjQ?e=AMVmTu&amp;nav=MTVfezNFMEFDQTg3LTgzOUUtNDFGNC04MkYwLUIxRjIyNTFBRDYzNX0" TargetMode="External"/><Relationship Id="rId1401" Type="http://schemas.openxmlformats.org/officeDocument/2006/relationships/hyperlink" Target="https://1drv.ms/x/s!AkP3hbXXLtgBhpEoaTK-EAwrB6PPjQ?e=6Dzvxb&amp;nav=MTVfezE4RDVGRUE3LUYyN0MtNDRFNC1BMENCLTk1RTNFRjk3QkJDRX0" TargetMode="External"/><Relationship Id="rId1639" Type="http://schemas.openxmlformats.org/officeDocument/2006/relationships/hyperlink" Target="https://1drv.ms/x/s!AkP3hbXXLtgBhpEoaTK-EAwrB6PPjQ?e=VUlHtx&amp;nav=MTVfe0JEMzdCNzJBLTQ3QUItNEI0NC04MDRCLTNDRDY0MDVBODI2Qn0" TargetMode="External"/><Relationship Id="rId1846" Type="http://schemas.openxmlformats.org/officeDocument/2006/relationships/hyperlink" Target="https://1drv.ms/x/s!AkP3hbXXLtgBhpEoaTK-EAwrB6PPjQ?e=Qo1W02&amp;nav=MTVfe0Q5NDAyRTdCLTJCNEYtNEQ5OS05Q0Y4LTIyNDExQjYxNzRBRH0" TargetMode="External"/><Relationship Id="rId1706" Type="http://schemas.openxmlformats.org/officeDocument/2006/relationships/hyperlink" Target="https://1drv.ms/x/s!AkP3hbXXLtgBhpEoaTK-EAwrB6PPjQ?e=DHRjp5&amp;nav=MTVfezdEN0E2ODJDLUYxMzctNDI0MS1BRjZDLThEMzExM0M0OTZBNn0" TargetMode="External"/><Relationship Id="rId1913" Type="http://schemas.openxmlformats.org/officeDocument/2006/relationships/hyperlink" Target="https://1drv.ms/x/s!AkP3hbXXLtgBhpEoaTK-EAwrB6PPjQ?e=TStCPl&amp;nav=MTVfezI2MjVEMjA5LUMzRUYtNEM5RS1CM0Q3LUE4NUY4RTMyNDUyNH0" TargetMode="External"/><Relationship Id="rId287" Type="http://schemas.openxmlformats.org/officeDocument/2006/relationships/hyperlink" Target="https://1drv.ms/x/s!AkP3hbXXLtgBhpEoaTK-EAwrB6PPjQ?e=HO6wd4&amp;nav=MTVfe0NDRThCRDRELTFCMEEtNDNFRC1BMDRDLTc1QjY0NDgwNjJBMH0" TargetMode="External"/><Relationship Id="rId494" Type="http://schemas.openxmlformats.org/officeDocument/2006/relationships/hyperlink" Target="https://1drv.ms/x/s!AkP3hbXXLtgBhpEoaTK-EAwrB6PPjQ?e=zfxOib&amp;nav=MTVfezc5MUI1QUJBLTY0QUItNDM1OS05NkVBLTE3MUFBQTY2QzQ4Q30" TargetMode="External"/><Relationship Id="rId2175" Type="http://schemas.openxmlformats.org/officeDocument/2006/relationships/hyperlink" Target="https://1drv.ms/x/s!AkP3hbXXLtgBhpEoaTK-EAwrB6PPjQ?e=PJkcfB&amp;nav=MTVfezBFRjgyRDlFLThFOEUtNDA2RC05QUQzLTk5RDY0REIzMEU3Rn0" TargetMode="External"/><Relationship Id="rId2382" Type="http://schemas.openxmlformats.org/officeDocument/2006/relationships/hyperlink" Target="https://1drv.ms/x/s!AkP3hbXXLtgBhpEoaTK-EAwrB6PPjQ?e=X2f9pt&amp;nav=MTVfe0M4ODI3QTVFLTgzOUMtNDk2Qy1BMThFLUNCMDYwN0JBQjM5M30" TargetMode="External"/><Relationship Id="rId147" Type="http://schemas.openxmlformats.org/officeDocument/2006/relationships/hyperlink" Target="https://1drv.ms/x/s!AkP3hbXXLtgBhpEoaTK-EAwrB6PPjQ?e=hRuig5&amp;nav=MTVfe0NCREMzODZGLTI3RDktNEI4RS05QjQ0LUUzQTc5QTQyQzY2MX0" TargetMode="External"/><Relationship Id="rId354" Type="http://schemas.openxmlformats.org/officeDocument/2006/relationships/hyperlink" Target="https://1drv.ms/x/s!AkP3hbXXLtgBhpEoaTK-EAwrB6PPjQ?e=mvWMFP&amp;nav=MTVfe0Q0MjM2QjFDLUVBQTAtNDE3Ri1BOEVGLTQzNzNBN0FGODY4M30" TargetMode="External"/><Relationship Id="rId799" Type="http://schemas.openxmlformats.org/officeDocument/2006/relationships/hyperlink" Target="https://1drv.ms/x/s!AkP3hbXXLtgBhpEoaTK-EAwrB6PPjQ?e=zuxs7K&amp;nav=MTVfezEzQ0U5ODFBLTQxOTEtNERBOS05RDcwLTU1NDcwQ0I2MzhFNX0" TargetMode="External"/><Relationship Id="rId1191" Type="http://schemas.openxmlformats.org/officeDocument/2006/relationships/hyperlink" Target="https://1drv.ms/x/s!AkP3hbXXLtgBhpEoaTK-EAwrB6PPjQ?e=7D4jtp&amp;nav=MTVfe0Q5MDNFMUVCLUFFNkQtNDU5OC04QjYyLUFGODVDMTZENkVGMX0" TargetMode="External"/><Relationship Id="rId2035" Type="http://schemas.openxmlformats.org/officeDocument/2006/relationships/hyperlink" Target="https://1drv.ms/x/s!AkP3hbXXLtgBhpEoaTK-EAwrB6PPjQ?e=e8c5BE&amp;nav=MTVfe0YzRjMwRTg2LTYyMTgtNEY5QS05Qzg0LTUxNkJFM0Q4MDAwN30" TargetMode="External"/><Relationship Id="rId2687" Type="http://schemas.openxmlformats.org/officeDocument/2006/relationships/hyperlink" Target="https://1drv.ms/x/s!AkP3hbXXLtgBhpEoaTK-EAwrB6PPjQ?e=hUXjPN&amp;nav=MTVfezYzNzY4MEExLTRDMzItNDcxMy05M0ZCLTBFNjAwNTlBMUI0MH0" TargetMode="External"/><Relationship Id="rId561" Type="http://schemas.openxmlformats.org/officeDocument/2006/relationships/hyperlink" Target="https://1drv.ms/x/s!AkP3hbXXLtgBhpEoaTK-EAwrB6PPjQ?e=xgZSuS&amp;nav=MTVfezA3RkYxMTMwLTAyQjYtNDA4RS1BMkU5LTI2MUQ0MjM2OEJGQn0" TargetMode="External"/><Relationship Id="rId659" Type="http://schemas.openxmlformats.org/officeDocument/2006/relationships/hyperlink" Target="https://1drv.ms/x/s!AkP3hbXXLtgBhpEoaTK-EAwrB6PPjQ?e=ZRDRyK&amp;nav=MTVfe0IyQkRBQzE0LUM2QkQtNDY3Ny04MjcyLUQxNjYyMkIyRTZGRH0" TargetMode="External"/><Relationship Id="rId866" Type="http://schemas.openxmlformats.org/officeDocument/2006/relationships/hyperlink" Target="https://1drv.ms/x/s!AkP3hbXXLtgBhpEoaTK-EAwrB6PPjQ?e=VcWWuU&amp;nav=MTVfe0ExMEEwQ0RDLUFCNUQtNEMxQS1BM0ZGLTEzRDE2MkJEN0U2Q30" TargetMode="External"/><Relationship Id="rId1289" Type="http://schemas.openxmlformats.org/officeDocument/2006/relationships/hyperlink" Target="https://1drv.ms/x/s!AkP3hbXXLtgBhpEoaTK-EAwrB6PPjQ?e=bD2jTr&amp;nav=MTVfezRGRUQzQzY0LTk3M0ItNDNDNy1BRUY3LTYwMDNGN0E5OThFQX0" TargetMode="External"/><Relationship Id="rId1496" Type="http://schemas.openxmlformats.org/officeDocument/2006/relationships/hyperlink" Target="https://1drv.ms/x/s!AkP3hbXXLtgBhpEoaTK-EAwrB6PPjQ?e=Dygyft&amp;nav=MTVfe0VDMUJBNEJBLUNCOTAtNDI3Ri1CMTVFLUZDQjc2NURCQ0I1Q30" TargetMode="External"/><Relationship Id="rId2242" Type="http://schemas.openxmlformats.org/officeDocument/2006/relationships/hyperlink" Target="https://1drv.ms/x/s!AkP3hbXXLtgBhpEoaTK-EAwrB6PPjQ?e=vI4FNr&amp;nav=MTVfezhGQzkyMTU5LUYxNTUtNDg4MS04N0QzLTE5OTgzQjI3QTc1NH0" TargetMode="External"/><Relationship Id="rId2547" Type="http://schemas.openxmlformats.org/officeDocument/2006/relationships/hyperlink" Target="https://1drv.ms/x/s!AkP3hbXXLtgBhpEoaTK-EAwrB6PPjQ?e=mXia38&amp;nav=MTVfe0I0NjUwQ0I4LURGNzEtNDA5NC04M0QxLUExRTNDN0Q3OTc1MX0" TargetMode="External"/><Relationship Id="rId214" Type="http://schemas.openxmlformats.org/officeDocument/2006/relationships/hyperlink" Target="https://1drv.ms/x/s!AkP3hbXXLtgBhpEoaTK-EAwrB6PPjQ?e=hKKsXn&amp;nav=MTVfe0M0MzQ5RkZFLUFFMEMtNDZBOC05NDNELUU2ODg5N0JGMDU4Rn0" TargetMode="External"/><Relationship Id="rId421" Type="http://schemas.openxmlformats.org/officeDocument/2006/relationships/hyperlink" Target="https://1drv.ms/x/s!AkP3hbXXLtgBhpEoaTK-EAwrB6PPjQ?e=sXo522&amp;nav=MTVfe0VCNzhCQUU0LUVEQzItNDRCMC04QTFFLUZEQzA0OTNEMDkzOX0" TargetMode="External"/><Relationship Id="rId519" Type="http://schemas.openxmlformats.org/officeDocument/2006/relationships/hyperlink" Target="https://1drv.ms/x/s!AkP3hbXXLtgBhpEoaTK-EAwrB6PPjQ?e=zfxOib&amp;nav=MTVfezc5MUI1QUJBLTY0QUItNDM1OS05NkVBLTE3MUFBQTY2QzQ4Q30" TargetMode="External"/><Relationship Id="rId1051" Type="http://schemas.openxmlformats.org/officeDocument/2006/relationships/hyperlink" Target="https://1drv.ms/x/s!AkP3hbXXLtgBhpEoaTK-EAwrB6PPjQ?e=NFspu9&amp;nav=MTVfezE1M0M1OEJDLTA3MzUtNERFMC1BNzE4LTMzMUY1QjZBOEZDMH0" TargetMode="External"/><Relationship Id="rId1149" Type="http://schemas.openxmlformats.org/officeDocument/2006/relationships/hyperlink" Target="https://1drv.ms/x/s!AkP3hbXXLtgBhpEoaTK-EAwrB6PPjQ?e=xGItXl&amp;nav=MTVfezc3NDc5QTVFLTEyMTItNEVGOS04NzRCLUUzREZBMkQ0NjU4OH0" TargetMode="External"/><Relationship Id="rId1356" Type="http://schemas.openxmlformats.org/officeDocument/2006/relationships/hyperlink" Target="https://1drv.ms/x/s!AkP3hbXXLtgBhpEoaTK-EAwrB6PPjQ?e=U6lTuf&amp;nav=MTVfezFEODYyODdBLUIyOTctNDdGMC04MTkyLUUzRDE3NjM5RkNFQ30" TargetMode="External"/><Relationship Id="rId2102" Type="http://schemas.openxmlformats.org/officeDocument/2006/relationships/hyperlink" Target="https://1drv.ms/x/s!AkP3hbXXLtgBhpEoaTK-EAwrB6PPjQ?e=7tvhFu&amp;nav=MTVfezYzQUQ2N0RCLTZFQkQtNDhGOC1BODVFLUQzNjgwN0I4QkNFMn0" TargetMode="External"/><Relationship Id="rId726" Type="http://schemas.openxmlformats.org/officeDocument/2006/relationships/hyperlink" Target="https://1drv.ms/x/s!AkP3hbXXLtgBhpEoaTK-EAwrB6PPjQ?e=0lRBEc&amp;nav=MTVfezRDRDQwMjU1LUJFM0ItNENDQS05NDQ1LUY1OTdERDA5ODg4NH0" TargetMode="External"/><Relationship Id="rId933" Type="http://schemas.openxmlformats.org/officeDocument/2006/relationships/hyperlink" Target="https://1drv.ms/x/s!AkP3hbXXLtgBhpEoaTK-EAwrB6PPjQ?e=GuJxJM&amp;nav=MTVfe0NBQzcxNDNGLTAzODYtNEFDRi1BNTI1LTRDQTYxMDEzNkYwM30" TargetMode="External"/><Relationship Id="rId1009" Type="http://schemas.openxmlformats.org/officeDocument/2006/relationships/hyperlink" Target="https://1drv.ms/x/s!AkP3hbXXLtgBhpEoaTK-EAwrB6PPjQ?e=NFspu9&amp;nav=MTVfezE1M0M1OEJDLTA3MzUtNERFMC1BNzE4LTMzMUY1QjZBOEZDMH0" TargetMode="External"/><Relationship Id="rId1563" Type="http://schemas.openxmlformats.org/officeDocument/2006/relationships/hyperlink" Target="https://1drv.ms/x/s!AkP3hbXXLtgBhpEoaTK-EAwrB6PPjQ?e=hF7xUm&amp;nav=MTVfezBDOEZCN0U5LURBOEQtNEY2Qi1CNUE1LUYzQTk0NDFBRkE2NX0" TargetMode="External"/><Relationship Id="rId1770" Type="http://schemas.openxmlformats.org/officeDocument/2006/relationships/hyperlink" Target="https://1drv.ms/x/s!AkP3hbXXLtgBhpEoaTK-EAwrB6PPjQ?e=sBpJD5&amp;nav=MTVfezM5QzdFMEZDLTg3QTEtNDRCMS04QTgyLUQ3MDU0NDI2MTBFRn0" TargetMode="External"/><Relationship Id="rId1868" Type="http://schemas.openxmlformats.org/officeDocument/2006/relationships/hyperlink" Target="https://1drv.ms/x/s!AkP3hbXXLtgBhpEoaTK-EAwrB6PPjQ?e=lNfo2c&amp;nav=MTVfezA2NDZDNEUzLUJDNjEtNDQ0RC05RjEzLTc2OTQ0MTEzOTQyNX0" TargetMode="External"/><Relationship Id="rId2407" Type="http://schemas.openxmlformats.org/officeDocument/2006/relationships/hyperlink" Target="https://1drv.ms/x/s!AkP3hbXXLtgBhpEoaTK-EAwrB6PPjQ?e=X2f9pt&amp;nav=MTVfe0M4ODI3QTVFLTgzOUMtNDk2Qy1BMThFLUNCMDYwN0JBQjM5M30" TargetMode="External"/><Relationship Id="rId2614" Type="http://schemas.openxmlformats.org/officeDocument/2006/relationships/hyperlink" Target="https://1drv.ms/x/s!AkP3hbXXLtgBhpEoaTK-EAwrB6PPjQ?e=k1JzSb&amp;nav=MTVfezlCRDVCMEI4LTNBMEItNDE5NC04RTEyLUQxQzc3N0U3MUFFQn0" TargetMode="External"/><Relationship Id="rId62" Type="http://schemas.openxmlformats.org/officeDocument/2006/relationships/hyperlink" Target="https://1drv.ms/x/s!AkP3hbXXLtgBhpEoaTK-EAwrB6PPjQ?e=AMVmTu&amp;nav=MTVfezNFMEFDQTg3LTgzOUUtNDFGNC04MkYwLUIxRjIyNTFBRDYzNX0" TargetMode="External"/><Relationship Id="rId1216" Type="http://schemas.openxmlformats.org/officeDocument/2006/relationships/hyperlink" Target="https://1drv.ms/x/s!AkP3hbXXLtgBhpEoaTK-EAwrB6PPjQ?e=U6lTuf&amp;nav=MTVfezFEODYyODdBLUIyOTctNDdGMC04MTkyLUUzRDE3NjM5RkNFQ30" TargetMode="External"/><Relationship Id="rId1423" Type="http://schemas.openxmlformats.org/officeDocument/2006/relationships/hyperlink" Target="https://1drv.ms/x/s!AkP3hbXXLtgBhpEoaTK-EAwrB6PPjQ?e=xXe3yl&amp;nav=MTVfezM1QjlFQjFCLUIxM0MtNDQ0Ni05MzQyLUU2QjczMkYzQzJFOH0" TargetMode="External"/><Relationship Id="rId1630" Type="http://schemas.openxmlformats.org/officeDocument/2006/relationships/hyperlink" Target="https://1drv.ms/x/s!AkP3hbXXLtgBhpEoaTK-EAwrB6PPjQ?e=VUlHtx&amp;nav=MTVfe0JEMzdCNzJBLTQ3QUItNEI0NC04MDRCLTNDRDY0MDVBODI2Qn0" TargetMode="External"/><Relationship Id="rId1728" Type="http://schemas.openxmlformats.org/officeDocument/2006/relationships/hyperlink" Target="https://1drv.ms/x/s!AkP3hbXXLtgBhpEoaTK-EAwrB6PPjQ?e=DHRjp5&amp;nav=MTVfezdEN0E2ODJDLUYxMzctNDI0MS1BRjZDLThEMzExM0M0OTZBNn0" TargetMode="External"/><Relationship Id="rId1935" Type="http://schemas.openxmlformats.org/officeDocument/2006/relationships/hyperlink" Target="https://1drv.ms/x/s!AkP3hbXXLtgBhpEoaTK-EAwrB6PPjQ?e=U8iWbp&amp;nav=MTVfezVDRDNFMEMzLTY0NDctNDUyNC05RjQyLUQ5MzdFOTgzQzgzNH0" TargetMode="External"/><Relationship Id="rId2197" Type="http://schemas.openxmlformats.org/officeDocument/2006/relationships/hyperlink" Target="https://1drv.ms/x/s!AkP3hbXXLtgBhpEoaTK-EAwrB6PPjQ?e=PJkcfB&amp;nav=MTVfezBFRjgyRDlFLThFOEUtNDA2RC05QUQzLTk5RDY0REIzMEU3Rn0" TargetMode="External"/><Relationship Id="rId169" Type="http://schemas.openxmlformats.org/officeDocument/2006/relationships/hyperlink" Target="https://1drv.ms/x/s!AkP3hbXXLtgBhpEoaTK-EAwrB6PPjQ?e=hKKsXn&amp;nav=MTVfe0M0MzQ5RkZFLUFFMEMtNDZBOC05NDNELUU2ODg5N0JGMDU4Rn0" TargetMode="External"/><Relationship Id="rId376" Type="http://schemas.openxmlformats.org/officeDocument/2006/relationships/hyperlink" Target="https://1drv.ms/x/s!AkP3hbXXLtgBhpEoaTK-EAwrB6PPjQ?e=mvWMFP&amp;nav=MTVfe0Q0MjM2QjFDLUVBQTAtNDE3Ri1BOEVGLTQzNzNBN0FGODY4M30" TargetMode="External"/><Relationship Id="rId583" Type="http://schemas.openxmlformats.org/officeDocument/2006/relationships/hyperlink" Target="https://1drv.ms/x/s!AkP3hbXXLtgBhpEoaTK-EAwrB6PPjQ?e=xgZSuS&amp;nav=MTVfezA3RkYxMTMwLTAyQjYtNDA4RS1BMkU5LTI2MUQ0MjM2OEJGQn0" TargetMode="External"/><Relationship Id="rId790" Type="http://schemas.openxmlformats.org/officeDocument/2006/relationships/hyperlink" Target="https://1drv.ms/x/s!AkP3hbXXLtgBhpEoaTK-EAwrB6PPjQ?e=zuxs7K&amp;nav=MTVfezEzQ0U5ODFBLTQxOTEtNERBOS05RDcwLTU1NDcwQ0I2MzhFNX0" TargetMode="External"/><Relationship Id="rId2057" Type="http://schemas.openxmlformats.org/officeDocument/2006/relationships/hyperlink" Target="https://1drv.ms/x/s!AkP3hbXXLtgBhpEoaTK-EAwrB6PPjQ?e=t9ByVx&amp;nav=MTVfe0MzOTE2QzlDLTMzMEMtNEQ4NS05NjZBLTBFNzk3QjgxMEIwQn0" TargetMode="External"/><Relationship Id="rId2264" Type="http://schemas.openxmlformats.org/officeDocument/2006/relationships/hyperlink" Target="https://1drv.ms/x/s!AkP3hbXXLtgBhpEoaTK-EAwrB6PPjQ?e=vI4FNr&amp;nav=MTVfezhGQzkyMTU5LUYxNTUtNDg4MS04N0QzLTE5OTgzQjI3QTc1NH0" TargetMode="External"/><Relationship Id="rId2471" Type="http://schemas.openxmlformats.org/officeDocument/2006/relationships/hyperlink" Target="https://1drv.ms/x/s!AkP3hbXXLtgBhpEoaTK-EAwrB6PPjQ?e=LQfhsg&amp;nav=MTVfe0FGQTQ2QTUxLTkwOEEtNEZCNi04OUQ1LTMwOUU4QkMzMTRFQ30" TargetMode="External"/><Relationship Id="rId4" Type="http://schemas.openxmlformats.org/officeDocument/2006/relationships/hyperlink" Target="https://1drv.ms/x/s!AkP3hbXXLtgBhpEoaTK-EAwrB6PPjQ?e=mje4Gd&amp;nav=MTVfezU5NEY1RjhGLUNGMzYtNEIxRi04NzFBLTRDNzQ3QUMxQjMxRn0" TargetMode="External"/><Relationship Id="rId236" Type="http://schemas.openxmlformats.org/officeDocument/2006/relationships/hyperlink" Target="https://1drv.ms/x/s!AkP3hbXXLtgBhpEoaTK-EAwrB6PPjQ?e=36Im2J&amp;nav=MTVfezg1NTdGRUM1LTczODktNDk5My1BQjA0LTkyQjFDODE4MjgxRX0" TargetMode="External"/><Relationship Id="rId443" Type="http://schemas.openxmlformats.org/officeDocument/2006/relationships/hyperlink" Target="https://1drv.ms/x/s!AkP3hbXXLtgBhpEoaTK-EAwrB6PPjQ?e=sXo522&amp;nav=MTVfe0VCNzhCQUU0LUVEQzItNDRCMC04QTFFLUZEQzA0OTNEMDkzOX0" TargetMode="External"/><Relationship Id="rId650" Type="http://schemas.openxmlformats.org/officeDocument/2006/relationships/hyperlink" Target="https://1drv.ms/x/s!AkP3hbXXLtgBhpEoaTK-EAwrB6PPjQ?e=ZRDRyK&amp;nav=MTVfe0IyQkRBQzE0LUM2QkQtNDY3Ny04MjcyLUQxNjYyMkIyRTZGRH0" TargetMode="External"/><Relationship Id="rId888" Type="http://schemas.openxmlformats.org/officeDocument/2006/relationships/hyperlink" Target="https://1drv.ms/x/s!AkP3hbXXLtgBhpEoaTK-EAwrB6PPjQ?e=q7Y9UY&amp;nav=MTVfezY2QjMzRUJDLTdGREQtNEI4MC05QkFBLTZFRTQyNUFCMDY2MH0" TargetMode="External"/><Relationship Id="rId1073" Type="http://schemas.openxmlformats.org/officeDocument/2006/relationships/hyperlink" Target="https://1drv.ms/x/s!AkP3hbXXLtgBhpEoaTK-EAwrB6PPjQ?e=rYbeUy&amp;nav=MTVfe0Q1MEM2OTMzLTFBNUUtNDhCMS1CQzhCLTlGQTI2NEEzRURDRH0" TargetMode="External"/><Relationship Id="rId1280" Type="http://schemas.openxmlformats.org/officeDocument/2006/relationships/hyperlink" Target="https://1drv.ms/x/s!AkP3hbXXLtgBhpEoaTK-EAwrB6PPjQ?e=bD2jTr&amp;nav=MTVfezRGRUQzQzY0LTk3M0ItNDNDNy1BRUY3LTYwMDNGN0E5OThFQX0" TargetMode="External"/><Relationship Id="rId2124" Type="http://schemas.openxmlformats.org/officeDocument/2006/relationships/hyperlink" Target="https://1drv.ms/x/s!AkP3hbXXLtgBhpEoaTK-EAwrB6PPjQ?e=7tvhFu&amp;nav=MTVfezYzQUQ2N0RCLTZFQkQtNDhGOC1BODVFLUQzNjgwN0I4QkNFMn0" TargetMode="External"/><Relationship Id="rId2331" Type="http://schemas.openxmlformats.org/officeDocument/2006/relationships/hyperlink" Target="https://1drv.ms/x/s!AkP3hbXXLtgBhpEoaTK-EAwrB6PPjQ?e=LiWfcw&amp;nav=MTVfezFBQTVDNUQ5LTIxM0QtNDcxMi05RkYwLUI2NUUyNTFDRkFBMH0" TargetMode="External"/><Relationship Id="rId2569" Type="http://schemas.openxmlformats.org/officeDocument/2006/relationships/hyperlink" Target="https://1drv.ms/x/s!AkP3hbXXLtgBhpEoaTK-EAwrB6PPjQ?e=mXia38&amp;nav=MTVfe0I0NjUwQ0I4LURGNzEtNDA5NC04M0QxLUExRTNDN0Q3OTc1MX0" TargetMode="External"/><Relationship Id="rId303" Type="http://schemas.openxmlformats.org/officeDocument/2006/relationships/hyperlink" Target="https://1drv.ms/x/s!AkP3hbXXLtgBhpEoaTK-EAwrB6PPjQ?e=HO6wd4&amp;nav=MTVfe0NDRThCRDRELTFCMEEtNDNFRC1BMDRDLTc1QjY0NDgwNjJBMH0" TargetMode="External"/><Relationship Id="rId748" Type="http://schemas.openxmlformats.org/officeDocument/2006/relationships/hyperlink" Target="https://1drv.ms/x/s!AkP3hbXXLtgBhpEoaTK-EAwrB6PPjQ?e=0lRBEc&amp;nav=MTVfezRDRDQwMjU1LUJFM0ItNENDQS05NDQ1LUY1OTdERDA5ODg4NH0" TargetMode="External"/><Relationship Id="rId955" Type="http://schemas.openxmlformats.org/officeDocument/2006/relationships/hyperlink" Target="https://1drv.ms/x/s!AkP3hbXXLtgBhpEoaTK-EAwrB6PPjQ?e=GuJxJM&amp;nav=MTVfe0NBQzcxNDNGLTAzODYtNEFDRi1BNTI1LTRDQTYxMDEzNkYwM30" TargetMode="External"/><Relationship Id="rId1140" Type="http://schemas.openxmlformats.org/officeDocument/2006/relationships/hyperlink" Target="https://1drv.ms/x/s!AkP3hbXXLtgBhpEoaTK-EAwrB6PPjQ?e=xGItXl&amp;nav=MTVfezc3NDc5QTVFLTEyMTItNEVGOS04NzRCLUUzREZBMkQ0NjU4OH0" TargetMode="External"/><Relationship Id="rId1378" Type="http://schemas.openxmlformats.org/officeDocument/2006/relationships/hyperlink" Target="https://1drv.ms/x/s!AkP3hbXXLtgBhpEoaTK-EAwrB6PPjQ?e=6Dzvxb&amp;nav=MTVfezE4RDVGRUE3LUYyN0MtNDRFNC1BMENCLTk1RTNFRjk3QkJDRX0" TargetMode="External"/><Relationship Id="rId1585" Type="http://schemas.openxmlformats.org/officeDocument/2006/relationships/hyperlink" Target="https://1drv.ms/x/s!AkP3hbXXLtgBhpEoaTK-EAwrB6PPjQ?e=hF7xUm&amp;nav=MTVfezBDOEZCN0U5LURBOEQtNEY2Qi1CNUE1LUYzQTk0NDFBRkE2NX0" TargetMode="External"/><Relationship Id="rId1792" Type="http://schemas.openxmlformats.org/officeDocument/2006/relationships/hyperlink" Target="https://1drv.ms/x/s!AkP3hbXXLtgBhpEoaTK-EAwrB6PPjQ?e=sBpJD5&amp;nav=MTVfezM5QzdFMEZDLTg3QTEtNDRCMS04QTgyLUQ3MDU0NDI2MTBFRn0" TargetMode="External"/><Relationship Id="rId2429" Type="http://schemas.openxmlformats.org/officeDocument/2006/relationships/hyperlink" Target="https://1drv.ms/x/s!AkP3hbXXLtgBhpEoaTK-EAwrB6PPjQ?e=X2f9pt&amp;nav=MTVfe0M4ODI3QTVFLTgzOUMtNDk2Qy1BMThFLUNCMDYwN0JBQjM5M30" TargetMode="External"/><Relationship Id="rId2636" Type="http://schemas.openxmlformats.org/officeDocument/2006/relationships/hyperlink" Target="https://1drv.ms/x/s!AkP3hbXXLtgBhpEoaTK-EAwrB6PPjQ?e=k1JzSb&amp;nav=MTVfezlCRDVCMEI4LTNBMEItNDE5NC04RTEyLUQxQzc3N0U3MUFFQn0" TargetMode="External"/><Relationship Id="rId84" Type="http://schemas.openxmlformats.org/officeDocument/2006/relationships/hyperlink" Target="https://1drv.ms/x/s!AkP3hbXXLtgBhpEoaTK-EAwrB6PPjQ?e=AMVmTu&amp;nav=MTVfezNFMEFDQTg3LTgzOUUtNDFGNC04MkYwLUIxRjIyNTFBRDYzNX0" TargetMode="External"/><Relationship Id="rId510" Type="http://schemas.openxmlformats.org/officeDocument/2006/relationships/hyperlink" Target="https://1drv.ms/x/s!AkP3hbXXLtgBhpEoaTK-EAwrB6PPjQ?e=zfxOib&amp;nav=MTVfezc5MUI1QUJBLTY0QUItNDM1OS05NkVBLTE3MUFBQTY2QzQ4Q30" TargetMode="External"/><Relationship Id="rId608" Type="http://schemas.openxmlformats.org/officeDocument/2006/relationships/hyperlink" Target="https://1drv.ms/x/s!AkP3hbXXLtgBhpEoaTK-EAwrB6PPjQ?e=ZRDRyK&amp;nav=MTVfe0IyQkRBQzE0LUM2QkQtNDY3Ny04MjcyLUQxNjYyMkIyRTZGRH0" TargetMode="External"/><Relationship Id="rId815" Type="http://schemas.openxmlformats.org/officeDocument/2006/relationships/hyperlink" Target="https://1drv.ms/x/s!AkP3hbXXLtgBhpEoaTK-EAwrB6PPjQ?e=zuxs7K&amp;nav=MTVfezEzQ0U5ODFBLTQxOTEtNERBOS05RDcwLTU1NDcwQ0I2MzhFNX0" TargetMode="External"/><Relationship Id="rId1238" Type="http://schemas.openxmlformats.org/officeDocument/2006/relationships/hyperlink" Target="https://1drv.ms/x/s!AkP3hbXXLtgBhpEoaTK-EAwrB6PPjQ?e=UaBeCf&amp;nav=MTVfezM0NkJDRTA1LThBNUQtNDFFMC1BNjQ2LTk5NTVEMTg4RUEzNn0" TargetMode="External"/><Relationship Id="rId1445" Type="http://schemas.openxmlformats.org/officeDocument/2006/relationships/hyperlink" Target="https://1drv.ms/x/s!AkP3hbXXLtgBhpEoaTK-EAwrB6PPjQ?e=xXe3yl&amp;nav=MTVfezM1QjlFQjFCLUIxM0MtNDQ0Ni05MzQyLUU2QjczMkYzQzJFOH0" TargetMode="External"/><Relationship Id="rId1652" Type="http://schemas.openxmlformats.org/officeDocument/2006/relationships/hyperlink" Target="https://1drv.ms/x/s!AkP3hbXXLtgBhpEoaTK-EAwrB6PPjQ?e=DHRjp5&amp;nav=MTVfezdEN0E2ODJDLUYxMzctNDI0MS1BRjZDLThEMzExM0M0OTZBNn0" TargetMode="External"/><Relationship Id="rId1000" Type="http://schemas.openxmlformats.org/officeDocument/2006/relationships/hyperlink" Target="https://1drv.ms/x/s!AkP3hbXXLtgBhpEoaTK-EAwrB6PPjQ?e=fk66xb&amp;nav=MTVfezU0MjNBNEE5LTNDNzctNDQwNC05RjA3LTAyNEI1N0FBQjFDNX0" TargetMode="External"/><Relationship Id="rId1305" Type="http://schemas.openxmlformats.org/officeDocument/2006/relationships/hyperlink" Target="https://1drv.ms/x/s!AkP3hbXXLtgBhpEoaTK-EAwrB6PPjQ?e=bD2jTr&amp;nav=MTVfezRGRUQzQzY0LTk3M0ItNDNDNy1BRUY3LTYwMDNGN0E5OThFQX0" TargetMode="External"/><Relationship Id="rId1957" Type="http://schemas.openxmlformats.org/officeDocument/2006/relationships/hyperlink" Target="https://1drv.ms/x/s!AkP3hbXXLtgBhpEoaTK-EAwrB6PPjQ?e=Hae5Hc&amp;nav=MTVfe0U1QUU2RDZBLTFGMkUtNENGNC04OENCLUE1MjI0OEMyNDMzNn0" TargetMode="External"/><Relationship Id="rId2703" Type="http://schemas.openxmlformats.org/officeDocument/2006/relationships/hyperlink" Target="https://1drv.ms/x/s!AkP3hbXXLtgBhpEoaTK-EAwrB6PPjQ?e=hUXjPN&amp;nav=MTVfezYzNzY4MEExLTRDMzItNDcxMy05M0ZCLTBFNjAwNTlBMUI0MH0" TargetMode="External"/><Relationship Id="rId1512" Type="http://schemas.openxmlformats.org/officeDocument/2006/relationships/hyperlink" Target="https://1drv.ms/x/s!AkP3hbXXLtgBhpEoaTK-EAwrB6PPjQ?e=c68bSo&amp;nav=MTVfe0EwNUQ0QUFCLTFGNTAtNDE4Mi1CMzhBLUU3OUIyRDM1NzJDQn0" TargetMode="External"/><Relationship Id="rId1817" Type="http://schemas.openxmlformats.org/officeDocument/2006/relationships/hyperlink" Target="https://1drv.ms/x/s!AkP3hbXXLtgBhpEoaTK-EAwrB6PPjQ?e=sBpJD5&amp;nav=MTVfezM5QzdFMEZDLTg3QTEtNDRCMS04QTgyLUQ3MDU0NDI2MTBFRn0" TargetMode="External"/><Relationship Id="rId11" Type="http://schemas.openxmlformats.org/officeDocument/2006/relationships/hyperlink" Target="https://1drv.ms/x/s!AkP3hbXXLtgBhpEoaTK-EAwrB6PPjQ?e=mje4Gd&amp;nav=MTVfezU5NEY1RjhGLUNGMzYtNEIxRi04NzFBLTRDNzQ3QUMxQjMxRn0" TargetMode="External"/><Relationship Id="rId398" Type="http://schemas.openxmlformats.org/officeDocument/2006/relationships/hyperlink" Target="https://1drv.ms/x/s!AkP3hbXXLtgBhpEoaTK-EAwrB6PPjQ?e=mvWMFP&amp;nav=MTVfe0Q0MjM2QjFDLUVBQTAtNDE3Ri1BOEVGLTQzNzNBN0FGODY4M30" TargetMode="External"/><Relationship Id="rId2079" Type="http://schemas.openxmlformats.org/officeDocument/2006/relationships/hyperlink" Target="https://1drv.ms/x/s!AkP3hbXXLtgBhpEoaTK-EAwrB6PPjQ?e=t9ByVx&amp;nav=MTVfe0MzOTE2QzlDLTMzMEMtNEQ4NS05NjZBLTBFNzk3QjgxMEIwQn0" TargetMode="External"/><Relationship Id="rId160" Type="http://schemas.openxmlformats.org/officeDocument/2006/relationships/hyperlink" Target="https://1drv.ms/x/s!AkP3hbXXLtgBhpEoaTK-EAwrB6PPjQ?e=hRuig5&amp;nav=MTVfe0NCREMzODZGLTI3RDktNEI4RS05QjQ0LUUzQTc5QTQyQzY2MX0" TargetMode="External"/><Relationship Id="rId2286" Type="http://schemas.openxmlformats.org/officeDocument/2006/relationships/hyperlink" Target="https://1drv.ms/x/s!AkP3hbXXLtgBhpEoaTK-EAwrB6PPjQ?e=vI4FNr&amp;nav=MTVfezhGQzkyMTU5LUYxNTUtNDg4MS04N0QzLTE5OTgzQjI3QTc1NH0" TargetMode="External"/><Relationship Id="rId2493" Type="http://schemas.openxmlformats.org/officeDocument/2006/relationships/hyperlink" Target="https://1drv.ms/x/s!AkP3hbXXLtgBhpEoaTK-EAwrB6PPjQ?e=LQfhsg&amp;nav=MTVfe0FGQTQ2QTUxLTkwOEEtNEZCNi04OUQ1LTMwOUU4QkMzMTRFQ30" TargetMode="External"/><Relationship Id="rId258" Type="http://schemas.openxmlformats.org/officeDocument/2006/relationships/hyperlink" Target="https://1drv.ms/x/s!AkP3hbXXLtgBhpEoaTK-EAwrB6PPjQ?e=36Im2J&amp;nav=MTVfezg1NTdGRUM1LTczODktNDk5My1BQjA0LTkyQjFDODE4MjgxRX0" TargetMode="External"/><Relationship Id="rId465" Type="http://schemas.openxmlformats.org/officeDocument/2006/relationships/hyperlink" Target="https://1drv.ms/x/s!AkP3hbXXLtgBhpEoaTK-EAwrB6PPjQ?e=sXo522&amp;nav=MTVfe0VCNzhCQUU0LUVEQzItNDRCMC04QTFFLUZEQzA0OTNEMDkzOX0" TargetMode="External"/><Relationship Id="rId672" Type="http://schemas.openxmlformats.org/officeDocument/2006/relationships/hyperlink" Target="https://1drv.ms/x/s!AkP3hbXXLtgBhpEoaTK-EAwrB6PPjQ?e=JPeMLZ&amp;nav=MTVfezdEMkY3NDEyLUYwMzItNDM0RC05MDRFLTcyNTE0ODM0NjA4M30" TargetMode="External"/><Relationship Id="rId1095" Type="http://schemas.openxmlformats.org/officeDocument/2006/relationships/hyperlink" Target="https://1drv.ms/x/s!AkP3hbXXLtgBhpEoaTK-EAwrB6PPjQ?e=rYbeUy&amp;nav=MTVfe0Q1MEM2OTMzLTFBNUUtNDhCMS1CQzhCLTlGQTI2NEEzRURDRH0" TargetMode="External"/><Relationship Id="rId2146" Type="http://schemas.openxmlformats.org/officeDocument/2006/relationships/hyperlink" Target="https://1drv.ms/x/s!AkP3hbXXLtgBhpEoaTK-EAwrB6PPjQ?e=nj2bQ1&amp;nav=MTVfezAwMDAwMDAwLTAwMDEtMDAwMC0wMDAwLTAwMDAwMDAwMDAwMH0" TargetMode="External"/><Relationship Id="rId2353" Type="http://schemas.openxmlformats.org/officeDocument/2006/relationships/hyperlink" Target="https://1drv.ms/x/s!AkP3hbXXLtgBhpEoaTK-EAwrB6PPjQ?e=LiWfcw&amp;nav=MTVfezFBQTVDNUQ5LTIxM0QtNDcxMi05RkYwLUI2NUUyNTFDRkFBMH0" TargetMode="External"/><Relationship Id="rId2560" Type="http://schemas.openxmlformats.org/officeDocument/2006/relationships/hyperlink" Target="https://1drv.ms/x/s!AkP3hbXXLtgBhpEoaTK-EAwrB6PPjQ?e=mXia38&amp;nav=MTVfe0I0NjUwQ0I4LURGNzEtNDA5NC04M0QxLUExRTNDN0Q3OTc1MX0" TargetMode="External"/><Relationship Id="rId118" Type="http://schemas.openxmlformats.org/officeDocument/2006/relationships/hyperlink" Target="https://1drv.ms/x/s!AkP3hbXXLtgBhpEoaTK-EAwrB6PPjQ?e=hRuig5&amp;nav=MTVfe0NCREMzODZGLTI3RDktNEI4RS05QjQ0LUUzQTc5QTQyQzY2MX0" TargetMode="External"/><Relationship Id="rId325" Type="http://schemas.openxmlformats.org/officeDocument/2006/relationships/hyperlink" Target="https://1drv.ms/x/s!AkP3hbXXLtgBhpEoaTK-EAwrB6PPjQ?e=HO6wd4&amp;nav=MTVfe0NDRThCRDRELTFCMEEtNDNFRC1BMDRDLTc1QjY0NDgwNjJBMH0" TargetMode="External"/><Relationship Id="rId532" Type="http://schemas.openxmlformats.org/officeDocument/2006/relationships/hyperlink" Target="https://1drv.ms/x/s!AkP3hbXXLtgBhpEoaTK-EAwrB6PPjQ?e=zfxOib&amp;nav=MTVfezc5MUI1QUJBLTY0QUItNDM1OS05NkVBLTE3MUFBQTY2QzQ4Q30" TargetMode="External"/><Relationship Id="rId977" Type="http://schemas.openxmlformats.org/officeDocument/2006/relationships/hyperlink" Target="https://1drv.ms/x/s!AkP3hbXXLtgBhpEoaTK-EAwrB6PPjQ?e=fk66xb&amp;nav=MTVfezU0MjNBNEE5LTNDNzctNDQwNC05RjA3LTAyNEI1N0FBQjFDNX0" TargetMode="External"/><Relationship Id="rId1162" Type="http://schemas.openxmlformats.org/officeDocument/2006/relationships/hyperlink" Target="https://1drv.ms/x/s!AkP3hbXXLtgBhpEoaTK-EAwrB6PPjQ?e=7D4jtp&amp;nav=MTVfe0Q5MDNFMUVCLUFFNkQtNDU5OC04QjYyLUFGODVDMTZENkVGMX0" TargetMode="External"/><Relationship Id="rId2006" Type="http://schemas.openxmlformats.org/officeDocument/2006/relationships/hyperlink" Target="https://1drv.ms/x/s!AkP3hbXXLtgBhpEoaTK-EAwrB6PPjQ?e=e8c5BE&amp;nav=MTVfe0YzRjMwRTg2LTYyMTgtNEY5QS05Qzg0LTUxNkJFM0Q4MDAwN30" TargetMode="External"/><Relationship Id="rId2213" Type="http://schemas.openxmlformats.org/officeDocument/2006/relationships/hyperlink" Target="https://1drv.ms/x/s!AkP3hbXXLtgBhpEoaTK-EAwrB6PPjQ?e=PJkcfB&amp;nav=MTVfezBFRjgyRDlFLThFOEUtNDA2RC05QUQzLTk5RDY0REIzMEU3Rn0" TargetMode="External"/><Relationship Id="rId2420" Type="http://schemas.openxmlformats.org/officeDocument/2006/relationships/hyperlink" Target="https://1drv.ms/x/s!AkP3hbXXLtgBhpEoaTK-EAwrB6PPjQ?e=X2f9pt&amp;nav=MTVfe0M4ODI3QTVFLTgzOUMtNDk2Qy1BMThFLUNCMDYwN0JBQjM5M30" TargetMode="External"/><Relationship Id="rId2658" Type="http://schemas.openxmlformats.org/officeDocument/2006/relationships/hyperlink" Target="https://1drv.ms/x/s!AkP3hbXXLtgBhpEoaTK-EAwrB6PPjQ?e=k1JzSb&amp;nav=MTVfezlCRDVCMEI4LTNBMEItNDE5NC04RTEyLUQxQzc3N0U3MUFFQn0" TargetMode="External"/><Relationship Id="rId837" Type="http://schemas.openxmlformats.org/officeDocument/2006/relationships/hyperlink" Target="https://1drv.ms/x/s!AkP3hbXXLtgBhpEoaTK-EAwrB6PPjQ?e=zuxs7K&amp;nav=MTVfezEzQ0U5ODFBLTQxOTEtNERBOS05RDcwLTU1NDcwQ0I2MzhFNX0" TargetMode="External"/><Relationship Id="rId1022" Type="http://schemas.openxmlformats.org/officeDocument/2006/relationships/hyperlink" Target="https://1drv.ms/x/s!AkP3hbXXLtgBhpEoaTK-EAwrB6PPjQ?e=NFspu9&amp;nav=MTVfezE1M0M1OEJDLTA3MzUtNERFMC1BNzE4LTMzMUY1QjZBOEZDMH0" TargetMode="External"/><Relationship Id="rId1467" Type="http://schemas.openxmlformats.org/officeDocument/2006/relationships/hyperlink" Target="https://1drv.ms/x/s!AkP3hbXXLtgBhpEoaTK-EAwrB6PPjQ?e=xXe3yl&amp;nav=MTVfezM1QjlFQjFCLUIxM0MtNDQ0Ni05MzQyLUU2QjczMkYzQzJFOH0" TargetMode="External"/><Relationship Id="rId1674" Type="http://schemas.openxmlformats.org/officeDocument/2006/relationships/hyperlink" Target="https://1drv.ms/x/s!AkP3hbXXLtgBhpEoaTK-EAwrB6PPjQ?e=DHRjp5&amp;nav=MTVfezdEN0E2ODJDLUYxMzctNDI0MS1BRjZDLThEMzExM0M0OTZBNn0" TargetMode="External"/><Relationship Id="rId1881" Type="http://schemas.openxmlformats.org/officeDocument/2006/relationships/hyperlink" Target="https://1drv.ms/x/s!AkP3hbXXLtgBhpEoaTK-EAwrB6PPjQ?e=3z9g8a&amp;nav=MTVfezBGMENERTNBLTZCQTUtNDYwRi05MDM3LUNDNDk5MDBCNUU5MX0" TargetMode="External"/><Relationship Id="rId2518" Type="http://schemas.openxmlformats.org/officeDocument/2006/relationships/hyperlink" Target="https://1drv.ms/x/s!AkP3hbXXLtgBhpEoaTK-EAwrB6PPjQ?e=mXia38&amp;nav=MTVfe0I0NjUwQ0I4LURGNzEtNDA5NC04M0QxLUExRTNDN0Q3OTc1MX0" TargetMode="External"/><Relationship Id="rId2725" Type="http://schemas.openxmlformats.org/officeDocument/2006/relationships/hyperlink" Target="https://1drv.ms/x/s!AkP3hbXXLtgBhpEoaTK-EAwrB6PPjQ?e=hUXjPN&amp;nav=MTVfezYzNzY4MEExLTRDMzItNDcxMy05M0ZCLTBFNjAwNTlBMUI0MH0" TargetMode="External"/><Relationship Id="rId904" Type="http://schemas.openxmlformats.org/officeDocument/2006/relationships/hyperlink" Target="https://1drv.ms/x/s!AkP3hbXXLtgBhpEoaTK-EAwrB6PPjQ?e=q7Y9UY&amp;nav=MTVfezY2QjMzRUJDLTdGREQtNEI4MC05QkFBLTZFRTQyNUFCMDY2MH0" TargetMode="External"/><Relationship Id="rId1327" Type="http://schemas.openxmlformats.org/officeDocument/2006/relationships/hyperlink" Target="https://1drv.ms/x/s!AkP3hbXXLtgBhpEoaTK-EAwrB6PPjQ?e=mYpfR1&amp;nav=MTVfe0NGMTlDQTg1LUE2QUMtNDYyRC1CN0M1LUExRjVBNjI1MDcyOX0" TargetMode="External"/><Relationship Id="rId1534" Type="http://schemas.openxmlformats.org/officeDocument/2006/relationships/hyperlink" Target="https://1drv.ms/x/s!AkP3hbXXLtgBhpEoaTK-EAwrB6PPjQ?e=PsqPhH&amp;nav=MTVfe0ZDRjg3ODhGLTBFNDItNDJCOC04MDRCLTU4OTcwNUMwMjFGMn0" TargetMode="External"/><Relationship Id="rId1741" Type="http://schemas.openxmlformats.org/officeDocument/2006/relationships/hyperlink" Target="https://1drv.ms/x/s!AkP3hbXXLtgBhpEoaTK-EAwrB6PPjQ?e=OaIvOH&amp;nav=MTVfezFDODBFQUMzLTY0M0UtNDM2MC04REU0LTRBOUYzQ0MxQkY2Nn0" TargetMode="External"/><Relationship Id="rId1979" Type="http://schemas.openxmlformats.org/officeDocument/2006/relationships/hyperlink" Target="https://1drv.ms/x/s!AkP3hbXXLtgBhpEoaTK-EAwrB6PPjQ?e=Hae5Hc&amp;nav=MTVfe0U1QUU2RDZBLTFGMkUtNENGNC04OENCLUE1MjI0OEMyNDMzNn0" TargetMode="External"/><Relationship Id="rId33" Type="http://schemas.openxmlformats.org/officeDocument/2006/relationships/hyperlink" Target="https://1drv.ms/x/s!AkP3hbXXLtgBhpEoaTK-EAwrB6PPjQ?e=pv1n5G&amp;nav=MTVfe0I5QjVDOEU1LTM5MTMtNDRCNy1COEY4LUUwMUNENUM2NTY1NX0" TargetMode="External"/><Relationship Id="rId1601" Type="http://schemas.openxmlformats.org/officeDocument/2006/relationships/hyperlink" Target="https://1drv.ms/x/s!AkP3hbXXLtgBhpEoaTK-EAwrB6PPjQ?e=hF7xUm&amp;nav=MTVfezBDOEZCN0U5LURBOEQtNEY2Qi1CNUE1LUYzQTk0NDFBRkE2NX0" TargetMode="External"/><Relationship Id="rId1839" Type="http://schemas.openxmlformats.org/officeDocument/2006/relationships/hyperlink" Target="https://1drv.ms/x/s!AkP3hbXXLtgBhpEoaTK-EAwrB6PPjQ?e=Qo1W02&amp;nav=MTVfe0Q5NDAyRTdCLTJCNEYtNEQ5OS05Q0Y4LTIyNDExQjYxNzRBRH0" TargetMode="External"/><Relationship Id="rId182" Type="http://schemas.openxmlformats.org/officeDocument/2006/relationships/hyperlink" Target="https://1drv.ms/x/s!AkP3hbXXLtgBhpEoaTK-EAwrB6PPjQ?e=hKKsXn&amp;nav=MTVfe0M0MzQ5RkZFLUFFMEMtNDZBOC05NDNELUU2ODg5N0JGMDU4Rn0" TargetMode="External"/><Relationship Id="rId1906" Type="http://schemas.openxmlformats.org/officeDocument/2006/relationships/hyperlink" Target="https://1drv.ms/x/s!AkP3hbXXLtgBhpEoaTK-EAwrB6PPjQ?e=TStCPl&amp;nav=MTVfezI2MjVEMjA5LUMzRUYtNEM5RS1CM0Q3LUE4NUY4RTMyNDUyNH0" TargetMode="External"/><Relationship Id="rId487" Type="http://schemas.openxmlformats.org/officeDocument/2006/relationships/hyperlink" Target="https://1drv.ms/x/s!AkP3hbXXLtgBhpEoaTK-EAwrB6PPjQ?e=zfxOib&amp;nav=MTVfezc5MUI1QUJBLTY0QUItNDM1OS05NkVBLTE3MUFBQTY2QzQ4Q30" TargetMode="External"/><Relationship Id="rId694" Type="http://schemas.openxmlformats.org/officeDocument/2006/relationships/hyperlink" Target="https://1drv.ms/x/s!AkP3hbXXLtgBhpEoaTK-EAwrB6PPjQ?e=JPeMLZ&amp;nav=MTVfezdEMkY3NDEyLUYwMzItNDM0RC05MDRFLTcyNTE0ODM0NjA4M30" TargetMode="External"/><Relationship Id="rId2070" Type="http://schemas.openxmlformats.org/officeDocument/2006/relationships/hyperlink" Target="https://1drv.ms/x/s!AkP3hbXXLtgBhpEoaTK-EAwrB6PPjQ?e=t9ByVx&amp;nav=MTVfe0MzOTE2QzlDLTMzMEMtNEQ4NS05NjZBLTBFNzk3QjgxMEIwQn0" TargetMode="External"/><Relationship Id="rId2168" Type="http://schemas.openxmlformats.org/officeDocument/2006/relationships/hyperlink" Target="https://1drv.ms/x/s!AkP3hbXXLtgBhpEoaTK-EAwrB6PPjQ?e=PJkcfB&amp;nav=MTVfezBFRjgyRDlFLThFOEUtNDA2RC05QUQzLTk5RDY0REIzMEU3Rn0" TargetMode="External"/><Relationship Id="rId2375" Type="http://schemas.openxmlformats.org/officeDocument/2006/relationships/hyperlink" Target="https://1drv.ms/x/s!AkP3hbXXLtgBhpEoaTK-EAwrB6PPjQ?e=X2f9pt&amp;nav=MTVfe0M4ODI3QTVFLTgzOUMtNDk2Qy1BMThFLUNCMDYwN0JBQjM5M30" TargetMode="External"/><Relationship Id="rId347" Type="http://schemas.openxmlformats.org/officeDocument/2006/relationships/hyperlink" Target="https://1drv.ms/x/s!AkP3hbXXLtgBhpEoaTK-EAwrB6PPjQ?e=HO6wd4&amp;nav=MTVfe0NDRThCRDRELTFCMEEtNDNFRC1BMDRDLTc1QjY0NDgwNjJBMH0" TargetMode="External"/><Relationship Id="rId999" Type="http://schemas.openxmlformats.org/officeDocument/2006/relationships/hyperlink" Target="https://1drv.ms/x/s!AkP3hbXXLtgBhpEoaTK-EAwrB6PPjQ?e=fk66xb&amp;nav=MTVfezU0MjNBNEE5LTNDNzctNDQwNC05RjA3LTAyNEI1N0FBQjFDNX0" TargetMode="External"/><Relationship Id="rId1184" Type="http://schemas.openxmlformats.org/officeDocument/2006/relationships/hyperlink" Target="https://1drv.ms/x/s!AkP3hbXXLtgBhpEoaTK-EAwrB6PPjQ?e=7D4jtp&amp;nav=MTVfe0Q5MDNFMUVCLUFFNkQtNDU5OC04QjYyLUFGODVDMTZENkVGMX0" TargetMode="External"/><Relationship Id="rId2028" Type="http://schemas.openxmlformats.org/officeDocument/2006/relationships/hyperlink" Target="https://1drv.ms/x/s!AkP3hbXXLtgBhpEoaTK-EAwrB6PPjQ?e=e8c5BE&amp;nav=MTVfe0YzRjMwRTg2LTYyMTgtNEY5QS05Qzg0LTUxNkJFM0Q4MDAwN30" TargetMode="External"/><Relationship Id="rId2582" Type="http://schemas.openxmlformats.org/officeDocument/2006/relationships/hyperlink" Target="https://1drv.ms/x/s!AkP3hbXXLtgBhpEoaTK-EAwrB6PPjQ?e=jbE9BC&amp;nav=MTVfe0Q1MjgxNjQzLUFDMEQtNDBGMi1BMzA0LTQyQTk3OTExMDc3Mn0" TargetMode="External"/><Relationship Id="rId554" Type="http://schemas.openxmlformats.org/officeDocument/2006/relationships/hyperlink" Target="https://1drv.ms/x/s!AkP3hbXXLtgBhpEoaTK-EAwrB6PPjQ?e=xgZSuS&amp;nav=MTVfezA3RkYxMTMwLTAyQjYtNDA4RS1BMkU5LTI2MUQ0MjM2OEJGQn0" TargetMode="External"/><Relationship Id="rId761" Type="http://schemas.openxmlformats.org/officeDocument/2006/relationships/hyperlink" Target="https://1drv.ms/x/s!AkP3hbXXLtgBhpEoaTK-EAwrB6PPjQ?e=0lRBEc&amp;nav=MTVfezRDRDQwMjU1LUJFM0ItNENDQS05NDQ1LUY1OTdERDA5ODg4NH0" TargetMode="External"/><Relationship Id="rId859" Type="http://schemas.openxmlformats.org/officeDocument/2006/relationships/hyperlink" Target="https://1drv.ms/x/s!AkP3hbXXLtgBhpEoaTK-EAwrB6PPjQ?e=VcWWuU&amp;nav=MTVfe0ExMEEwQ0RDLUFCNUQtNEMxQS1BM0ZGLTEzRDE2MkJEN0U2Q30" TargetMode="External"/><Relationship Id="rId1391" Type="http://schemas.openxmlformats.org/officeDocument/2006/relationships/hyperlink" Target="https://1drv.ms/x/s!AkP3hbXXLtgBhpEoaTK-EAwrB6PPjQ?e=6Dzvxb&amp;nav=MTVfezE4RDVGRUE3LUYyN0MtNDRFNC1BMENCLTk1RTNFRjk3QkJDRX0" TargetMode="External"/><Relationship Id="rId1489" Type="http://schemas.openxmlformats.org/officeDocument/2006/relationships/hyperlink" Target="https://1drv.ms/x/s!AkP3hbXXLtgBhpEoaTK-EAwrB6PPjQ?e=Dygyft&amp;nav=MTVfe0VDMUJBNEJBLUNCOTAtNDI3Ri1CMTVFLUZDQjc2NURCQ0I1Q30" TargetMode="External"/><Relationship Id="rId1696" Type="http://schemas.openxmlformats.org/officeDocument/2006/relationships/hyperlink" Target="https://1drv.ms/x/s!AkP3hbXXLtgBhpEoaTK-EAwrB6PPjQ?e=DHRjp5&amp;nav=MTVfezdEN0E2ODJDLUYxMzctNDI0MS1BRjZDLThEMzExM0M0OTZBNn0" TargetMode="External"/><Relationship Id="rId2235" Type="http://schemas.openxmlformats.org/officeDocument/2006/relationships/hyperlink" Target="https://1drv.ms/x/s!AkP3hbXXLtgBhpEoaTK-EAwrB6PPjQ?e=vI4FNr&amp;nav=MTVfezhGQzkyMTU5LUYxNTUtNDg4MS04N0QzLTE5OTgzQjI3QTc1NH0" TargetMode="External"/><Relationship Id="rId2442" Type="http://schemas.openxmlformats.org/officeDocument/2006/relationships/hyperlink" Target="https://1drv.ms/x/s!AkP3hbXXLtgBhpEoaTK-EAwrB6PPjQ?e=LQfhsg&amp;nav=MTVfe0FGQTQ2QTUxLTkwOEEtNEZCNi04OUQ1LTMwOUU4QkMzMTRFQ30" TargetMode="External"/><Relationship Id="rId207" Type="http://schemas.openxmlformats.org/officeDocument/2006/relationships/hyperlink" Target="https://1drv.ms/x/s!AkP3hbXXLtgBhpEoaTK-EAwrB6PPjQ?e=hKKsXn&amp;nav=MTVfe0M0MzQ5RkZFLUFFMEMtNDZBOC05NDNELUU2ODg5N0JGMDU4Rn0" TargetMode="External"/><Relationship Id="rId414" Type="http://schemas.openxmlformats.org/officeDocument/2006/relationships/hyperlink" Target="https://1drv.ms/x/s!AkP3hbXXLtgBhpEoaTK-EAwrB6PPjQ?e=mvWMFP&amp;nav=MTVfe0Q0MjM2QjFDLUVBQTAtNDE3Ri1BOEVGLTQzNzNBN0FGODY4M30" TargetMode="External"/><Relationship Id="rId621" Type="http://schemas.openxmlformats.org/officeDocument/2006/relationships/hyperlink" Target="https://1drv.ms/x/s!AkP3hbXXLtgBhpEoaTK-EAwrB6PPjQ?e=ZRDRyK&amp;nav=MTVfe0IyQkRBQzE0LUM2QkQtNDY3Ny04MjcyLUQxNjYyMkIyRTZGRH0" TargetMode="External"/><Relationship Id="rId1044" Type="http://schemas.openxmlformats.org/officeDocument/2006/relationships/hyperlink" Target="https://1drv.ms/x/s!AkP3hbXXLtgBhpEoaTK-EAwrB6PPjQ?e=NFspu9&amp;nav=MTVfezE1M0M1OEJDLTA3MzUtNERFMC1BNzE4LTMzMUY1QjZBOEZDMH0" TargetMode="External"/><Relationship Id="rId1251" Type="http://schemas.openxmlformats.org/officeDocument/2006/relationships/hyperlink" Target="https://1drv.ms/x/s!AkP3hbXXLtgBhpEoaTK-EAwrB6PPjQ?e=UaBeCf&amp;nav=MTVfezM0NkJDRTA1LThBNUQtNDFFMC1BNjQ2LTk5NTVEMTg4RUEzNn0" TargetMode="External"/><Relationship Id="rId1349" Type="http://schemas.openxmlformats.org/officeDocument/2006/relationships/hyperlink" Target="https://1drv.ms/x/s!AkP3hbXXLtgBhpEoaTK-EAwrB6PPjQ?e=SkY523&amp;nav=MTVfezk3NEQ3MjVGLTlERDMtNDdDOS05QzJDLUU5RjJCNjk2N0I4MX0" TargetMode="External"/><Relationship Id="rId2302" Type="http://schemas.openxmlformats.org/officeDocument/2006/relationships/hyperlink" Target="https://1drv.ms/x/s!AkP3hbXXLtgBhpEoaTK-EAwrB6PPjQ?e=LiWfcw&amp;nav=MTVfezFBQTVDNUQ5LTIxM0QtNDcxMi05RkYwLUI2NUUyNTFDRkFBMH0" TargetMode="External"/><Relationship Id="rId2747" Type="http://schemas.openxmlformats.org/officeDocument/2006/relationships/table" Target="../tables/table2.xml"/><Relationship Id="rId719" Type="http://schemas.openxmlformats.org/officeDocument/2006/relationships/hyperlink" Target="https://1drv.ms/x/s!AkP3hbXXLtgBhpEoaTK-EAwrB6PPjQ?e=JPeMLZ&amp;nav=MTVfezdEMkY3NDEyLUYwMzItNDM0RC05MDRFLTcyNTE0ODM0NjA4M30" TargetMode="External"/><Relationship Id="rId926" Type="http://schemas.openxmlformats.org/officeDocument/2006/relationships/hyperlink" Target="https://1drv.ms/x/s!AkP3hbXXLtgBhpEoaTK-EAwrB6PPjQ?e=GuJxJM&amp;nav=MTVfe0NBQzcxNDNGLTAzODYtNEFDRi1BNTI1LTRDQTYxMDEzNkYwM30" TargetMode="External"/><Relationship Id="rId1111" Type="http://schemas.openxmlformats.org/officeDocument/2006/relationships/hyperlink" Target="https://1drv.ms/x/s!AkP3hbXXLtgBhpEoaTK-EAwrB6PPjQ?e=Brd8C5&amp;nav=MTVfe0YyMTJGNjdELTg0REMtNEY4Ri05MzE5LTE0M0FEODlBMzg5Q30" TargetMode="External"/><Relationship Id="rId1556" Type="http://schemas.openxmlformats.org/officeDocument/2006/relationships/hyperlink" Target="https://1drv.ms/x/s!AkP3hbXXLtgBhpEoaTK-EAwrB6PPjQ?e=PsqPhH&amp;nav=MTVfe0ZDRjg3ODhGLTBFNDItNDJCOC04MDRCLTU4OTcwNUMwMjFGMn0" TargetMode="External"/><Relationship Id="rId1763" Type="http://schemas.openxmlformats.org/officeDocument/2006/relationships/hyperlink" Target="https://1drv.ms/x/s!AkP3hbXXLtgBhpEoaTK-EAwrB6PPjQ?e=sBpJD5&amp;nav=MTVfezM5QzdFMEZDLTg3QTEtNDRCMS04QTgyLUQ3MDU0NDI2MTBFRn0" TargetMode="External"/><Relationship Id="rId1970" Type="http://schemas.openxmlformats.org/officeDocument/2006/relationships/hyperlink" Target="https://1drv.ms/x/s!AkP3hbXXLtgBhpEoaTK-EAwrB6PPjQ?e=Hae5Hc&amp;nav=MTVfe0U1QUU2RDZBLTFGMkUtNENGNC04OENCLUE1MjI0OEMyNDMzNn0" TargetMode="External"/><Relationship Id="rId2607" Type="http://schemas.openxmlformats.org/officeDocument/2006/relationships/hyperlink" Target="https://1drv.ms/x/s!AkP3hbXXLtgBhpEoaTK-EAwrB6PPjQ?e=k1JzSb&amp;nav=MTVfezlCRDVCMEI4LTNBMEItNDE5NC04RTEyLUQxQzc3N0U3MUFFQn0" TargetMode="External"/><Relationship Id="rId55" Type="http://schemas.openxmlformats.org/officeDocument/2006/relationships/hyperlink" Target="https://1drv.ms/x/s!AkP3hbXXLtgBhpEoaTK-EAwrB6PPjQ?e=AMVmTu&amp;nav=MTVfezNFMEFDQTg3LTgzOUUtNDFGNC04MkYwLUIxRjIyNTFBRDYzNX0" TargetMode="External"/><Relationship Id="rId1209" Type="http://schemas.openxmlformats.org/officeDocument/2006/relationships/hyperlink" Target="https://1drv.ms/x/s!AkP3hbXXLtgBhpEoaTK-EAwrB6PPjQ?e=U6lTuf&amp;nav=MTVfezFEODYyODdBLUIyOTctNDdGMC04MTkyLUUzRDE3NjM5RkNFQ30" TargetMode="External"/><Relationship Id="rId1416" Type="http://schemas.openxmlformats.org/officeDocument/2006/relationships/hyperlink" Target="https://1drv.ms/x/s!AkP3hbXXLtgBhpEoaTK-EAwrB6PPjQ?e=xXe3yl&amp;nav=MTVfezM1QjlFQjFCLUIxM0MtNDQ0Ni05MzQyLUU2QjczMkYzQzJFOH0" TargetMode="External"/><Relationship Id="rId1623" Type="http://schemas.openxmlformats.org/officeDocument/2006/relationships/hyperlink" Target="https://1drv.ms/x/s!AkP3hbXXLtgBhpEoaTK-EAwrB6PPjQ?e=VUlHtx&amp;nav=MTVfe0JEMzdCNzJBLTQ3QUItNEI0NC04MDRCLTNDRDY0MDVBODI2Qn0" TargetMode="External"/><Relationship Id="rId1830" Type="http://schemas.openxmlformats.org/officeDocument/2006/relationships/hyperlink" Target="https://1drv.ms/x/s!AkP3hbXXLtgBhpEoaTK-EAwrB6PPjQ?e=Qo1W02&amp;nav=MTVfe0Q5NDAyRTdCLTJCNEYtNEQ5OS05Q0Y4LTIyNDExQjYxNzRBRH0" TargetMode="External"/><Relationship Id="rId1928" Type="http://schemas.openxmlformats.org/officeDocument/2006/relationships/hyperlink" Target="https://1drv.ms/x/s!AkP3hbXXLtgBhpEoaTK-EAwrB6PPjQ?e=U8iWbp&amp;nav=MTVfezVDRDNFMEMzLTY0NDctNDUyNC05RjQyLUQ5MzdFOTgzQzgzNH0" TargetMode="External"/><Relationship Id="rId2092" Type="http://schemas.openxmlformats.org/officeDocument/2006/relationships/hyperlink" Target="https://1drv.ms/x/s!AkP3hbXXLtgBhpEoaTK-EAwrB6PPjQ?e=7tvhFu&amp;nav=MTVfezYzQUQ2N0RCLTZFQkQtNDhGOC1BODVFLUQzNjgwN0I4QkNFMn0" TargetMode="External"/><Relationship Id="rId271" Type="http://schemas.openxmlformats.org/officeDocument/2006/relationships/hyperlink" Target="https://1drv.ms/x/s!AkP3hbXXLtgBhpEoaTK-EAwrB6PPjQ?e=36Im2J&amp;nav=MTVfezg1NTdGRUM1LTczODktNDk5My1BQjA0LTkyQjFDODE4MjgxRX0" TargetMode="External"/><Relationship Id="rId2397" Type="http://schemas.openxmlformats.org/officeDocument/2006/relationships/hyperlink" Target="https://1drv.ms/x/s!AkP3hbXXLtgBhpEoaTK-EAwrB6PPjQ?e=X2f9pt&amp;nav=MTVfe0M4ODI3QTVFLTgzOUMtNDk2Qy1BMThFLUNCMDYwN0JBQjM5M30" TargetMode="External"/><Relationship Id="rId131" Type="http://schemas.openxmlformats.org/officeDocument/2006/relationships/hyperlink" Target="https://1drv.ms/x/s!AkP3hbXXLtgBhpEoaTK-EAwrB6PPjQ?e=hRuig5&amp;nav=MTVfe0NCREMzODZGLTI3RDktNEI4RS05QjQ0LUUzQTc5QTQyQzY2MX0" TargetMode="External"/><Relationship Id="rId369" Type="http://schemas.openxmlformats.org/officeDocument/2006/relationships/hyperlink" Target="https://1drv.ms/x/s!AkP3hbXXLtgBhpEoaTK-EAwrB6PPjQ?e=mvWMFP&amp;nav=MTVfe0Q0MjM2QjFDLUVBQTAtNDE3Ri1BOEVGLTQzNzNBN0FGODY4M30" TargetMode="External"/><Relationship Id="rId576" Type="http://schemas.openxmlformats.org/officeDocument/2006/relationships/hyperlink" Target="https://1drv.ms/x/s!AkP3hbXXLtgBhpEoaTK-EAwrB6PPjQ?e=xgZSuS&amp;nav=MTVfezA3RkYxMTMwLTAyQjYtNDA4RS1BMkU5LTI2MUQ0MjM2OEJGQn0" TargetMode="External"/><Relationship Id="rId783" Type="http://schemas.openxmlformats.org/officeDocument/2006/relationships/hyperlink" Target="https://1drv.ms/x/s!AkP3hbXXLtgBhpEoaTK-EAwrB6PPjQ?e=0lRBEc&amp;nav=MTVfezRDRDQwMjU1LUJFM0ItNENDQS05NDQ1LUY1OTdERDA5ODg4NH0" TargetMode="External"/><Relationship Id="rId990" Type="http://schemas.openxmlformats.org/officeDocument/2006/relationships/hyperlink" Target="https://1drv.ms/x/s!AkP3hbXXLtgBhpEoaTK-EAwrB6PPjQ?e=fk66xb&amp;nav=MTVfezU0MjNBNEE5LTNDNzctNDQwNC05RjA3LTAyNEI1N0FBQjFDNX0" TargetMode="External"/><Relationship Id="rId2257" Type="http://schemas.openxmlformats.org/officeDocument/2006/relationships/hyperlink" Target="https://1drv.ms/x/s!AkP3hbXXLtgBhpEoaTK-EAwrB6PPjQ?e=vI4FNr&amp;nav=MTVfezhGQzkyMTU5LUYxNTUtNDg4MS04N0QzLTE5OTgzQjI3QTc1NH0" TargetMode="External"/><Relationship Id="rId2464" Type="http://schemas.openxmlformats.org/officeDocument/2006/relationships/hyperlink" Target="https://1drv.ms/x/s!AkP3hbXXLtgBhpEoaTK-EAwrB6PPjQ?e=LQfhsg&amp;nav=MTVfe0FGQTQ2QTUxLTkwOEEtNEZCNi04OUQ1LTMwOUU4QkMzMTRFQ30" TargetMode="External"/><Relationship Id="rId2671" Type="http://schemas.openxmlformats.org/officeDocument/2006/relationships/hyperlink" Target="https://1drv.ms/x/s!AkP3hbXXLtgBhpEoaTK-EAwrB6PPjQ?e=hUXjPN&amp;nav=MTVfezYzNzY4MEExLTRDMzItNDcxMy05M0ZCLTBFNjAwNTlBMUI0MH0" TargetMode="External"/><Relationship Id="rId229" Type="http://schemas.openxmlformats.org/officeDocument/2006/relationships/hyperlink" Target="https://1drv.ms/x/s!AkP3hbXXLtgBhpEoaTK-EAwrB6PPjQ?e=36Im2J&amp;nav=MTVfezg1NTdGRUM1LTczODktNDk5My1BQjA0LTkyQjFDODE4MjgxRX0" TargetMode="External"/><Relationship Id="rId436" Type="http://schemas.openxmlformats.org/officeDocument/2006/relationships/hyperlink" Target="https://1drv.ms/x/s!AkP3hbXXLtgBhpEoaTK-EAwrB6PPjQ?e=sXo522&amp;nav=MTVfe0VCNzhCQUU0LUVEQzItNDRCMC04QTFFLUZEQzA0OTNEMDkzOX0" TargetMode="External"/><Relationship Id="rId643" Type="http://schemas.openxmlformats.org/officeDocument/2006/relationships/hyperlink" Target="https://1drv.ms/x/s!AkP3hbXXLtgBhpEoaTK-EAwrB6PPjQ?e=ZRDRyK&amp;nav=MTVfe0IyQkRBQzE0LUM2QkQtNDY3Ny04MjcyLUQxNjYyMkIyRTZGRH0" TargetMode="External"/><Relationship Id="rId1066" Type="http://schemas.openxmlformats.org/officeDocument/2006/relationships/hyperlink" Target="https://1drv.ms/x/s!AkP3hbXXLtgBhpEoaTK-EAwrB6PPjQ?e=rYbeUy&amp;nav=MTVfe0Q1MEM2OTMzLTFBNUUtNDhCMS1CQzhCLTlGQTI2NEEzRURDRH0" TargetMode="External"/><Relationship Id="rId1273" Type="http://schemas.openxmlformats.org/officeDocument/2006/relationships/hyperlink" Target="https://1drv.ms/x/s!AkP3hbXXLtgBhpEoaTK-EAwrB6PPjQ?e=bD2jTr&amp;nav=MTVfezRGRUQzQzY0LTk3M0ItNDNDNy1BRUY3LTYwMDNGN0E5OThFQX0" TargetMode="External"/><Relationship Id="rId1480" Type="http://schemas.openxmlformats.org/officeDocument/2006/relationships/hyperlink" Target="https://1drv.ms/x/s!AkP3hbXXLtgBhpEoaTK-EAwrB6PPjQ?e=Dygyft&amp;nav=MTVfe0VDMUJBNEJBLUNCOTAtNDI3Ri1CMTVFLUZDQjc2NURCQ0I1Q30" TargetMode="External"/><Relationship Id="rId2117" Type="http://schemas.openxmlformats.org/officeDocument/2006/relationships/hyperlink" Target="https://1drv.ms/x/s!AkP3hbXXLtgBhpEoaTK-EAwrB6PPjQ?e=7tvhFu&amp;nav=MTVfezYzQUQ2N0RCLTZFQkQtNDhGOC1BODVFLUQzNjgwN0I4QkNFMn0" TargetMode="External"/><Relationship Id="rId2324" Type="http://schemas.openxmlformats.org/officeDocument/2006/relationships/hyperlink" Target="https://1drv.ms/x/s!AkP3hbXXLtgBhpEoaTK-EAwrB6PPjQ?e=LiWfcw&amp;nav=MTVfezFBQTVDNUQ5LTIxM0QtNDcxMi05RkYwLUI2NUUyNTFDRkFBMH0" TargetMode="External"/><Relationship Id="rId850" Type="http://schemas.openxmlformats.org/officeDocument/2006/relationships/hyperlink" Target="https://1drv.ms/x/s!AkP3hbXXLtgBhpEoaTK-EAwrB6PPjQ?e=VcWWuU&amp;nav=MTVfe0ExMEEwQ0RDLUFCNUQtNEMxQS1BM0ZGLTEzRDE2MkJEN0U2Q30" TargetMode="External"/><Relationship Id="rId948" Type="http://schemas.openxmlformats.org/officeDocument/2006/relationships/hyperlink" Target="https://1drv.ms/x/s!AkP3hbXXLtgBhpEoaTK-EAwrB6PPjQ?e=GuJxJM&amp;nav=MTVfe0NBQzcxNDNGLTAzODYtNEFDRi1BNTI1LTRDQTYxMDEzNkYwM30" TargetMode="External"/><Relationship Id="rId1133" Type="http://schemas.openxmlformats.org/officeDocument/2006/relationships/hyperlink" Target="https://1drv.ms/x/s!AkP3hbXXLtgBhpEoaTK-EAwrB6PPjQ?e=Brd8C5&amp;nav=MTVfe0YyMTJGNjdELTg0REMtNEY4Ri05MzE5LTE0M0FEODlBMzg5Q30" TargetMode="External"/><Relationship Id="rId1578" Type="http://schemas.openxmlformats.org/officeDocument/2006/relationships/hyperlink" Target="https://1drv.ms/x/s!AkP3hbXXLtgBhpEoaTK-EAwrB6PPjQ?e=hF7xUm&amp;nav=MTVfezBDOEZCN0U5LURBOEQtNEY2Qi1CNUE1LUYzQTk0NDFBRkE2NX0" TargetMode="External"/><Relationship Id="rId1785" Type="http://schemas.openxmlformats.org/officeDocument/2006/relationships/hyperlink" Target="https://1drv.ms/x/s!AkP3hbXXLtgBhpEoaTK-EAwrB6PPjQ?e=sBpJD5&amp;nav=MTVfezM5QzdFMEZDLTg3QTEtNDRCMS04QTgyLUQ3MDU0NDI2MTBFRn0" TargetMode="External"/><Relationship Id="rId1992" Type="http://schemas.openxmlformats.org/officeDocument/2006/relationships/hyperlink" Target="https://1drv.ms/x/s!AkP3hbXXLtgBhpEoaTK-EAwrB6PPjQ?e=e8c5BE&amp;nav=MTVfe0YzRjMwRTg2LTYyMTgtNEY5QS05Qzg0LTUxNkJFM0Q4MDAwN30" TargetMode="External"/><Relationship Id="rId2531" Type="http://schemas.openxmlformats.org/officeDocument/2006/relationships/hyperlink" Target="https://1drv.ms/x/s!AkP3hbXXLtgBhpEoaTK-EAwrB6PPjQ?e=mXia38&amp;nav=MTVfe0I0NjUwQ0I4LURGNzEtNDA5NC04M0QxLUExRTNDN0Q3OTc1MX0" TargetMode="External"/><Relationship Id="rId2629" Type="http://schemas.openxmlformats.org/officeDocument/2006/relationships/hyperlink" Target="https://1drv.ms/x/s!AkP3hbXXLtgBhpEoaTK-EAwrB6PPjQ?e=k1JzSb&amp;nav=MTVfezlCRDVCMEI4LTNBMEItNDE5NC04RTEyLUQxQzc3N0U3MUFFQn0" TargetMode="External"/><Relationship Id="rId77" Type="http://schemas.openxmlformats.org/officeDocument/2006/relationships/hyperlink" Target="https://1drv.ms/x/s!AkP3hbXXLtgBhpEoaTK-EAwrB6PPjQ?e=AMVmTu&amp;nav=MTVfezNFMEFDQTg3LTgzOUUtNDFGNC04MkYwLUIxRjIyNTFBRDYzNX0" TargetMode="External"/><Relationship Id="rId503" Type="http://schemas.openxmlformats.org/officeDocument/2006/relationships/hyperlink" Target="https://1drv.ms/x/s!AkP3hbXXLtgBhpEoaTK-EAwrB6PPjQ?e=zfxOib&amp;nav=MTVfezc5MUI1QUJBLTY0QUItNDM1OS05NkVBLTE3MUFBQTY2QzQ4Q30" TargetMode="External"/><Relationship Id="rId710" Type="http://schemas.openxmlformats.org/officeDocument/2006/relationships/hyperlink" Target="https://1drv.ms/x/s!AkP3hbXXLtgBhpEoaTK-EAwrB6PPjQ?e=JPeMLZ&amp;nav=MTVfezdEMkY3NDEyLUYwMzItNDM0RC05MDRFLTcyNTE0ODM0NjA4M30" TargetMode="External"/><Relationship Id="rId808" Type="http://schemas.openxmlformats.org/officeDocument/2006/relationships/hyperlink" Target="https://1drv.ms/x/s!AkP3hbXXLtgBhpEoaTK-EAwrB6PPjQ?e=zuxs7K&amp;nav=MTVfezEzQ0U5ODFBLTQxOTEtNERBOS05RDcwLTU1NDcwQ0I2MzhFNX0" TargetMode="External"/><Relationship Id="rId1340" Type="http://schemas.openxmlformats.org/officeDocument/2006/relationships/hyperlink" Target="https://1drv.ms/x/s!AkP3hbXXLtgBhpEoaTK-EAwrB6PPjQ?e=SkY523&amp;nav=MTVfezk3NEQ3MjVGLTlERDMtNDdDOS05QzJDLUU5RjJCNjk2N0I4MX0" TargetMode="External"/><Relationship Id="rId1438" Type="http://schemas.openxmlformats.org/officeDocument/2006/relationships/hyperlink" Target="https://1drv.ms/x/s!AkP3hbXXLtgBhpEoaTK-EAwrB6PPjQ?e=xXe3yl&amp;nav=MTVfezM1QjlFQjFCLUIxM0MtNDQ0Ni05MzQyLUU2QjczMkYzQzJFOH0" TargetMode="External"/><Relationship Id="rId1645" Type="http://schemas.openxmlformats.org/officeDocument/2006/relationships/hyperlink" Target="https://1drv.ms/x/s!AkP3hbXXLtgBhpEoaTK-EAwrB6PPjQ?e=VUlHtx&amp;nav=MTVfe0JEMzdCNzJBLTQ3QUItNEI0NC04MDRCLTNDRDY0MDVBODI2Qn0" TargetMode="External"/><Relationship Id="rId1200" Type="http://schemas.openxmlformats.org/officeDocument/2006/relationships/hyperlink" Target="https://1drv.ms/x/s!AkP3hbXXLtgBhpEoaTK-EAwrB6PPjQ?e=U6lTuf&amp;nav=MTVfezFEODYyODdBLUIyOTctNDdGMC04MTkyLUUzRDE3NjM5RkNFQ30" TargetMode="External"/><Relationship Id="rId1852" Type="http://schemas.openxmlformats.org/officeDocument/2006/relationships/hyperlink" Target="https://1drv.ms/x/s!AkP3hbXXLtgBhpEoaTK-EAwrB6PPjQ?e=Qo1W02&amp;nav=MTVfe0Q5NDAyRTdCLTJCNEYtNEQ5OS05Q0Y4LTIyNDExQjYxNzRBRH0" TargetMode="External"/><Relationship Id="rId1505" Type="http://schemas.openxmlformats.org/officeDocument/2006/relationships/hyperlink" Target="https://1drv.ms/x/s!AkP3hbXXLtgBhpEoaTK-EAwrB6PPjQ?e=xGItXl&amp;nav=MTVfezc3NDc5QTVFLTEyMTItNEVGOS04NzRCLUUzREZBMkQ0NjU4OH0" TargetMode="External"/><Relationship Id="rId1712" Type="http://schemas.openxmlformats.org/officeDocument/2006/relationships/hyperlink" Target="https://1drv.ms/x/s!AkP3hbXXLtgBhpEoaTK-EAwrB6PPjQ?e=DHRjp5&amp;nav=MTVfezdEN0E2ODJDLUYxMzctNDI0MS1BRjZDLThEMzExM0M0OTZBNn0" TargetMode="External"/><Relationship Id="rId293" Type="http://schemas.openxmlformats.org/officeDocument/2006/relationships/hyperlink" Target="https://1drv.ms/x/s!AkP3hbXXLtgBhpEoaTK-EAwrB6PPjQ?e=HO6wd4&amp;nav=MTVfe0NDRThCRDRELTFCMEEtNDNFRC1BMDRDLTc1QjY0NDgwNjJBMH0" TargetMode="External"/><Relationship Id="rId2181" Type="http://schemas.openxmlformats.org/officeDocument/2006/relationships/hyperlink" Target="https://1drv.ms/x/s!AkP3hbXXLtgBhpEoaTK-EAwrB6PPjQ?e=PJkcfB&amp;nav=MTVfezBFRjgyRDlFLThFOEUtNDA2RC05QUQzLTk5RDY0REIzMEU3Rn0" TargetMode="External"/><Relationship Id="rId153" Type="http://schemas.openxmlformats.org/officeDocument/2006/relationships/hyperlink" Target="https://1drv.ms/x/s!AkP3hbXXLtgBhpEoaTK-EAwrB6PPjQ?e=hRuig5&amp;nav=MTVfe0NCREMzODZGLTI3RDktNEI4RS05QjQ0LUUzQTc5QTQyQzY2MX0" TargetMode="External"/><Relationship Id="rId360" Type="http://schemas.openxmlformats.org/officeDocument/2006/relationships/hyperlink" Target="https://1drv.ms/x/s!AkP3hbXXLtgBhpEoaTK-EAwrB6PPjQ?e=mvWMFP&amp;nav=MTVfe0Q0MjM2QjFDLUVBQTAtNDE3Ri1BOEVGLTQzNzNBN0FGODY4M30" TargetMode="External"/><Relationship Id="rId598" Type="http://schemas.openxmlformats.org/officeDocument/2006/relationships/hyperlink" Target="https://1drv.ms/x/s!AkP3hbXXLtgBhpEoaTK-EAwrB6PPjQ?e=xgZSuS&amp;nav=MTVfezA3RkYxMTMwLTAyQjYtNDA4RS1BMkU5LTI2MUQ0MjM2OEJGQn0" TargetMode="External"/><Relationship Id="rId2041" Type="http://schemas.openxmlformats.org/officeDocument/2006/relationships/hyperlink" Target="https://1drv.ms/x/s!AkP3hbXXLtgBhpEoaTK-EAwrB6PPjQ?e=e8c5BE&amp;nav=MTVfe0YzRjMwRTg2LTYyMTgtNEY5QS05Qzg0LTUxNkJFM0Q4MDAwN30" TargetMode="External"/><Relationship Id="rId2279" Type="http://schemas.openxmlformats.org/officeDocument/2006/relationships/hyperlink" Target="https://1drv.ms/x/s!AkP3hbXXLtgBhpEoaTK-EAwrB6PPjQ?e=vI4FNr&amp;nav=MTVfezhGQzkyMTU5LUYxNTUtNDg4MS04N0QzLTE5OTgzQjI3QTc1NH0" TargetMode="External"/><Relationship Id="rId2486" Type="http://schemas.openxmlformats.org/officeDocument/2006/relationships/hyperlink" Target="https://1drv.ms/x/s!AkP3hbXXLtgBhpEoaTK-EAwrB6PPjQ?e=LQfhsg&amp;nav=MTVfe0FGQTQ2QTUxLTkwOEEtNEZCNi04OUQ1LTMwOUU4QkMzMTRFQ30" TargetMode="External"/><Relationship Id="rId2693" Type="http://schemas.openxmlformats.org/officeDocument/2006/relationships/hyperlink" Target="https://1drv.ms/x/s!AkP3hbXXLtgBhpEoaTK-EAwrB6PPjQ?e=hUXjPN&amp;nav=MTVfezYzNzY4MEExLTRDMzItNDcxMy05M0ZCLTBFNjAwNTlBMUI0MH0" TargetMode="External"/><Relationship Id="rId220" Type="http://schemas.openxmlformats.org/officeDocument/2006/relationships/hyperlink" Target="https://1drv.ms/x/s!AkP3hbXXLtgBhpEoaTK-EAwrB6PPjQ?e=hKKsXn&amp;nav=MTVfe0M0MzQ5RkZFLUFFMEMtNDZBOC05NDNELUU2ODg5N0JGMDU4Rn0" TargetMode="External"/><Relationship Id="rId458" Type="http://schemas.openxmlformats.org/officeDocument/2006/relationships/hyperlink" Target="https://1drv.ms/x/s!AkP3hbXXLtgBhpEoaTK-EAwrB6PPjQ?e=sXo522&amp;nav=MTVfe0VCNzhCQUU0LUVEQzItNDRCMC04QTFFLUZEQzA0OTNEMDkzOX0" TargetMode="External"/><Relationship Id="rId665" Type="http://schemas.openxmlformats.org/officeDocument/2006/relationships/hyperlink" Target="https://1drv.ms/x/s!AkP3hbXXLtgBhpEoaTK-EAwrB6PPjQ?e=JPeMLZ&amp;nav=MTVfezdEMkY3NDEyLUYwMzItNDM0RC05MDRFLTcyNTE0ODM0NjA4M30" TargetMode="External"/><Relationship Id="rId872" Type="http://schemas.openxmlformats.org/officeDocument/2006/relationships/hyperlink" Target="https://1drv.ms/x/s!AkP3hbXXLtgBhpEoaTK-EAwrB6PPjQ?e=VcWWuU&amp;nav=MTVfe0ExMEEwQ0RDLUFCNUQtNEMxQS1BM0ZGLTEzRDE2MkJEN0U2Q30" TargetMode="External"/><Relationship Id="rId1088" Type="http://schemas.openxmlformats.org/officeDocument/2006/relationships/hyperlink" Target="https://1drv.ms/x/s!AkP3hbXXLtgBhpEoaTK-EAwrB6PPjQ?e=rYbeUy&amp;nav=MTVfe0Q1MEM2OTMzLTFBNUUtNDhCMS1CQzhCLTlGQTI2NEEzRURDRH0" TargetMode="External"/><Relationship Id="rId1295" Type="http://schemas.openxmlformats.org/officeDocument/2006/relationships/hyperlink" Target="https://1drv.ms/x/s!AkP3hbXXLtgBhpEoaTK-EAwrB6PPjQ?e=bD2jTr&amp;nav=MTVfezRGRUQzQzY0LTk3M0ItNDNDNy1BRUY3LTYwMDNGN0E5OThFQX0" TargetMode="External"/><Relationship Id="rId2139" Type="http://schemas.openxmlformats.org/officeDocument/2006/relationships/hyperlink" Target="https://1drv.ms/x/s!AkP3hbXXLtgBhpEoaTK-EAwrB6PPjQ?e=nj2bQ1&amp;nav=MTVfezAwMDAwMDAwLTAwMDEtMDAwMC0wMDAwLTAwMDAwMDAwMDAwMH0" TargetMode="External"/><Relationship Id="rId2346" Type="http://schemas.openxmlformats.org/officeDocument/2006/relationships/hyperlink" Target="https://1drv.ms/x/s!AkP3hbXXLtgBhpEoaTK-EAwrB6PPjQ?e=LiWfcw&amp;nav=MTVfezFBQTVDNUQ5LTIxM0QtNDcxMi05RkYwLUI2NUUyNTFDRkFBMH0" TargetMode="External"/><Relationship Id="rId2553" Type="http://schemas.openxmlformats.org/officeDocument/2006/relationships/hyperlink" Target="https://1drv.ms/x/s!AkP3hbXXLtgBhpEoaTK-EAwrB6PPjQ?e=mXia38&amp;nav=MTVfe0I0NjUwQ0I4LURGNzEtNDA5NC04M0QxLUExRTNDN0Q3OTc1MX0" TargetMode="External"/><Relationship Id="rId318" Type="http://schemas.openxmlformats.org/officeDocument/2006/relationships/hyperlink" Target="https://1drv.ms/x/s!AkP3hbXXLtgBhpEoaTK-EAwrB6PPjQ?e=HO6wd4&amp;nav=MTVfe0NDRThCRDRELTFCMEEtNDNFRC1BMDRDLTc1QjY0NDgwNjJBMH0" TargetMode="External"/><Relationship Id="rId525" Type="http://schemas.openxmlformats.org/officeDocument/2006/relationships/hyperlink" Target="https://1drv.ms/x/s!AkP3hbXXLtgBhpEoaTK-EAwrB6PPjQ?e=zfxOib&amp;nav=MTVfezc5MUI1QUJBLTY0QUItNDM1OS05NkVBLTE3MUFBQTY2QzQ4Q30" TargetMode="External"/><Relationship Id="rId732" Type="http://schemas.openxmlformats.org/officeDocument/2006/relationships/hyperlink" Target="https://1drv.ms/x/s!AkP3hbXXLtgBhpEoaTK-EAwrB6PPjQ?e=0lRBEc&amp;nav=MTVfezRDRDQwMjU1LUJFM0ItNENDQS05NDQ1LUY1OTdERDA5ODg4NH0" TargetMode="External"/><Relationship Id="rId1155" Type="http://schemas.openxmlformats.org/officeDocument/2006/relationships/hyperlink" Target="https://1drv.ms/x/s!AkP3hbXXLtgBhpEoaTK-EAwrB6PPjQ?e=7D4jtp&amp;nav=MTVfe0Q5MDNFMUVCLUFFNkQtNDU5OC04QjYyLUFGODVDMTZENkVGMX0" TargetMode="External"/><Relationship Id="rId1362" Type="http://schemas.openxmlformats.org/officeDocument/2006/relationships/hyperlink" Target="https://1drv.ms/x/s!AkP3hbXXLtgBhpEoaTK-EAwrB6PPjQ?e=0mRVd8&amp;nav=MTVfezhCNkZEQTNBLUNGMjctNEI5QS04QzdDLTFGQzk0MjVBNUY1QX0" TargetMode="External"/><Relationship Id="rId2206" Type="http://schemas.openxmlformats.org/officeDocument/2006/relationships/hyperlink" Target="https://1drv.ms/x/s!AkP3hbXXLtgBhpEoaTK-EAwrB6PPjQ?e=PJkcfB&amp;nav=MTVfezBFRjgyRDlFLThFOEUtNDA2RC05QUQzLTk5RDY0REIzMEU3Rn0" TargetMode="External"/><Relationship Id="rId2413" Type="http://schemas.openxmlformats.org/officeDocument/2006/relationships/hyperlink" Target="https://1drv.ms/x/s!AkP3hbXXLtgBhpEoaTK-EAwrB6PPjQ?e=X2f9pt&amp;nav=MTVfe0M4ODI3QTVFLTgzOUMtNDk2Qy1BMThFLUNCMDYwN0JBQjM5M30" TargetMode="External"/><Relationship Id="rId2620" Type="http://schemas.openxmlformats.org/officeDocument/2006/relationships/hyperlink" Target="https://1drv.ms/x/s!AkP3hbXXLtgBhpEoaTK-EAwrB6PPjQ?e=k1JzSb&amp;nav=MTVfezlCRDVCMEI4LTNBMEItNDE5NC04RTEyLUQxQzc3N0U3MUFFQn0" TargetMode="External"/><Relationship Id="rId99" Type="http://schemas.openxmlformats.org/officeDocument/2006/relationships/hyperlink" Target="https://1drv.ms/x/s!AkP3hbXXLtgBhpEoaTK-EAwrB6PPjQ?e=AMVmTu&amp;nav=MTVfezNFMEFDQTg3LTgzOUUtNDFGNC04MkYwLUIxRjIyNTFBRDYzNX0" TargetMode="External"/><Relationship Id="rId1015" Type="http://schemas.openxmlformats.org/officeDocument/2006/relationships/hyperlink" Target="https://1drv.ms/x/s!AkP3hbXXLtgBhpEoaTK-EAwrB6PPjQ?e=NFspu9&amp;nav=MTVfezE1M0M1OEJDLTA3MzUtNERFMC1BNzE4LTMzMUY1QjZBOEZDMH0" TargetMode="External"/><Relationship Id="rId1222" Type="http://schemas.openxmlformats.org/officeDocument/2006/relationships/hyperlink" Target="https://1drv.ms/x/s!AkP3hbXXLtgBhpEoaTK-EAwrB6PPjQ?e=U6lTuf&amp;nav=MTVfezFEODYyODdBLUIyOTctNDdGMC04MTkyLUUzRDE3NjM5RkNFQ30" TargetMode="External"/><Relationship Id="rId1667" Type="http://schemas.openxmlformats.org/officeDocument/2006/relationships/hyperlink" Target="https://1drv.ms/x/s!AkP3hbXXLtgBhpEoaTK-EAwrB6PPjQ?e=DHRjp5&amp;nav=MTVfezdEN0E2ODJDLUYxMzctNDI0MS1BRjZDLThEMzExM0M0OTZBNn0" TargetMode="External"/><Relationship Id="rId1874" Type="http://schemas.openxmlformats.org/officeDocument/2006/relationships/hyperlink" Target="https://1drv.ms/x/s!AkP3hbXXLtgBhpEoaTK-EAwrB6PPjQ?e=lNfo2c&amp;nav=MTVfezA2NDZDNEUzLUJDNjEtNDQ0RC05RjEzLTc2OTQ0MTEzOTQyNX0" TargetMode="External"/><Relationship Id="rId2718" Type="http://schemas.openxmlformats.org/officeDocument/2006/relationships/hyperlink" Target="https://1drv.ms/x/s!AkP3hbXXLtgBhpEoaTK-EAwrB6PPjQ?e=hUXjPN&amp;nav=MTVfezYzNzY4MEExLTRDMzItNDcxMy05M0ZCLTBFNjAwNTlBMUI0MH0" TargetMode="External"/><Relationship Id="rId1527" Type="http://schemas.openxmlformats.org/officeDocument/2006/relationships/hyperlink" Target="https://1drv.ms/x/s!AkP3hbXXLtgBhpEoaTK-EAwrB6PPjQ?e=PsqPhH&amp;nav=MTVfe0ZDRjg3ODhGLTBFNDItNDJCOC04MDRCLTU4OTcwNUMwMjFGMn0" TargetMode="External"/><Relationship Id="rId1734" Type="http://schemas.openxmlformats.org/officeDocument/2006/relationships/hyperlink" Target="https://1drv.ms/x/s!AkP3hbXXLtgBhpEoaTK-EAwrB6PPjQ?e=DHRjp5&amp;nav=MTVfezdEN0E2ODJDLUYxMzctNDI0MS1BRjZDLThEMzExM0M0OTZBNn0" TargetMode="External"/><Relationship Id="rId1941" Type="http://schemas.openxmlformats.org/officeDocument/2006/relationships/hyperlink" Target="https://1drv.ms/x/s!AkP3hbXXLtgBhpEoaTK-EAwrB6PPjQ?e=U8iWbp&amp;nav=MTVfezVDRDNFMEMzLTY0NDctNDUyNC05RjQyLUQ5MzdFOTgzQzgzNH0" TargetMode="External"/><Relationship Id="rId26" Type="http://schemas.openxmlformats.org/officeDocument/2006/relationships/hyperlink" Target="https://1drv.ms/x/s!AkP3hbXXLtgBhpEoaTK-EAwrB6PPjQ?e=pv1n5G&amp;nav=MTVfe0I5QjVDOEU1LTM5MTMtNDRCNy1COEY4LUUwMUNENUM2NTY1NX0" TargetMode="External"/><Relationship Id="rId175" Type="http://schemas.openxmlformats.org/officeDocument/2006/relationships/hyperlink" Target="https://1drv.ms/x/s!AkP3hbXXLtgBhpEoaTK-EAwrB6PPjQ?e=hKKsXn&amp;nav=MTVfe0M0MzQ5RkZFLUFFMEMtNDZBOC05NDNELUU2ODg5N0JGMDU4Rn0" TargetMode="External"/><Relationship Id="rId1801" Type="http://schemas.openxmlformats.org/officeDocument/2006/relationships/hyperlink" Target="https://1drv.ms/x/s!AkP3hbXXLtgBhpEoaTK-EAwrB6PPjQ?e=sBpJD5&amp;nav=MTVfezM5QzdFMEZDLTg3QTEtNDRCMS04QTgyLUQ3MDU0NDI2MTBFRn0" TargetMode="External"/><Relationship Id="rId382" Type="http://schemas.openxmlformats.org/officeDocument/2006/relationships/hyperlink" Target="https://1drv.ms/x/s!AkP3hbXXLtgBhpEoaTK-EAwrB6PPjQ?e=mvWMFP&amp;nav=MTVfe0Q0MjM2QjFDLUVBQTAtNDE3Ri1BOEVGLTQzNzNBN0FGODY4M30" TargetMode="External"/><Relationship Id="rId687" Type="http://schemas.openxmlformats.org/officeDocument/2006/relationships/hyperlink" Target="https://1drv.ms/x/s!AkP3hbXXLtgBhpEoaTK-EAwrB6PPjQ?e=JPeMLZ&amp;nav=MTVfezdEMkY3NDEyLUYwMzItNDM0RC05MDRFLTcyNTE0ODM0NjA4M30" TargetMode="External"/><Relationship Id="rId2063" Type="http://schemas.openxmlformats.org/officeDocument/2006/relationships/hyperlink" Target="https://1drv.ms/x/s!AkP3hbXXLtgBhpEoaTK-EAwrB6PPjQ?e=t9ByVx&amp;nav=MTVfe0MzOTE2QzlDLTMzMEMtNEQ4NS05NjZBLTBFNzk3QjgxMEIwQn0" TargetMode="External"/><Relationship Id="rId2270" Type="http://schemas.openxmlformats.org/officeDocument/2006/relationships/hyperlink" Target="https://1drv.ms/x/s!AkP3hbXXLtgBhpEoaTK-EAwrB6PPjQ?e=vI4FNr&amp;nav=MTVfezhGQzkyMTU5LUYxNTUtNDg4MS04N0QzLTE5OTgzQjI3QTc1NH0" TargetMode="External"/><Relationship Id="rId2368" Type="http://schemas.openxmlformats.org/officeDocument/2006/relationships/hyperlink" Target="https://1drv.ms/x/s!AkP3hbXXLtgBhpEoaTK-EAwrB6PPjQ?e=X2f9pt&amp;nav=MTVfe0M4ODI3QTVFLTgzOUMtNDk2Qy1BMThFLUNCMDYwN0JBQjM5M30" TargetMode="External"/><Relationship Id="rId242" Type="http://schemas.openxmlformats.org/officeDocument/2006/relationships/hyperlink" Target="https://1drv.ms/x/s!AkP3hbXXLtgBhpEoaTK-EAwrB6PPjQ?e=36Im2J&amp;nav=MTVfezg1NTdGRUM1LTczODktNDk5My1BQjA0LTkyQjFDODE4MjgxRX0" TargetMode="External"/><Relationship Id="rId894" Type="http://schemas.openxmlformats.org/officeDocument/2006/relationships/hyperlink" Target="https://1drv.ms/x/s!AkP3hbXXLtgBhpEoaTK-EAwrB6PPjQ?e=q7Y9UY&amp;nav=MTVfezY2QjMzRUJDLTdGREQtNEI4MC05QkFBLTZFRTQyNUFCMDY2MH0" TargetMode="External"/><Relationship Id="rId1177" Type="http://schemas.openxmlformats.org/officeDocument/2006/relationships/hyperlink" Target="https://1drv.ms/x/s!AkP3hbXXLtgBhpEoaTK-EAwrB6PPjQ?e=7D4jtp&amp;nav=MTVfe0Q5MDNFMUVCLUFFNkQtNDU5OC04QjYyLUFGODVDMTZENkVGMX0" TargetMode="External"/><Relationship Id="rId2130" Type="http://schemas.openxmlformats.org/officeDocument/2006/relationships/hyperlink" Target="https://1drv.ms/x/s!AkP3hbXXLtgBhpEoaTK-EAwrB6PPjQ?e=7tvhFu&amp;nav=MTVfezYzQUQ2N0RCLTZFQkQtNDhGOC1BODVFLUQzNjgwN0I4QkNFMn0" TargetMode="External"/><Relationship Id="rId2575" Type="http://schemas.openxmlformats.org/officeDocument/2006/relationships/hyperlink" Target="https://1drv.ms/x/s!AkP3hbXXLtgBhpEoaTK-EAwrB6PPjQ?e=mXia38&amp;nav=MTVfe0I0NjUwQ0I4LURGNzEtNDA5NC04M0QxLUExRTNDN0Q3OTc1MX0" TargetMode="External"/><Relationship Id="rId102" Type="http://schemas.openxmlformats.org/officeDocument/2006/relationships/hyperlink" Target="https://1drv.ms/x/s!AkP3hbXXLtgBhpEoaTK-EAwrB6PPjQ?e=AMVmTu&amp;nav=MTVfezNFMEFDQTg3LTgzOUUtNDFGNC04MkYwLUIxRjIyNTFBRDYzNX0" TargetMode="External"/><Relationship Id="rId547" Type="http://schemas.openxmlformats.org/officeDocument/2006/relationships/hyperlink" Target="https://1drv.ms/x/s!AkP3hbXXLtgBhpEoaTK-EAwrB6PPjQ?e=xgZSuS&amp;nav=MTVfezA3RkYxMTMwLTAyQjYtNDA4RS1BMkU5LTI2MUQ0MjM2OEJGQn0" TargetMode="External"/><Relationship Id="rId754" Type="http://schemas.openxmlformats.org/officeDocument/2006/relationships/hyperlink" Target="https://1drv.ms/x/s!AkP3hbXXLtgBhpEoaTK-EAwrB6PPjQ?e=0lRBEc&amp;nav=MTVfezRDRDQwMjU1LUJFM0ItNENDQS05NDQ1LUY1OTdERDA5ODg4NH0" TargetMode="External"/><Relationship Id="rId961" Type="http://schemas.openxmlformats.org/officeDocument/2006/relationships/hyperlink" Target="https://1drv.ms/x/s!AkP3hbXXLtgBhpEoaTK-EAwrB6PPjQ?e=fk66xb&amp;nav=MTVfezU0MjNBNEE5LTNDNzctNDQwNC05RjA3LTAyNEI1N0FBQjFDNX0" TargetMode="External"/><Relationship Id="rId1384" Type="http://schemas.openxmlformats.org/officeDocument/2006/relationships/hyperlink" Target="https://1drv.ms/x/s!AkP3hbXXLtgBhpEoaTK-EAwrB6PPjQ?e=6Dzvxb&amp;nav=MTVfezE4RDVGRUE3LUYyN0MtNDRFNC1BMENCLTk1RTNFRjk3QkJDRX0" TargetMode="External"/><Relationship Id="rId1591" Type="http://schemas.openxmlformats.org/officeDocument/2006/relationships/hyperlink" Target="https://1drv.ms/x/s!AkP3hbXXLtgBhpEoaTK-EAwrB6PPjQ?e=hF7xUm&amp;nav=MTVfezBDOEZCN0U5LURBOEQtNEY2Qi1CNUE1LUYzQTk0NDFBRkE2NX0" TargetMode="External"/><Relationship Id="rId1689" Type="http://schemas.openxmlformats.org/officeDocument/2006/relationships/hyperlink" Target="https://1drv.ms/x/s!AkP3hbXXLtgBhpEoaTK-EAwrB6PPjQ?e=DHRjp5&amp;nav=MTVfezdEN0E2ODJDLUYxMzctNDI0MS1BRjZDLThEMzExM0M0OTZBNn0" TargetMode="External"/><Relationship Id="rId2228" Type="http://schemas.openxmlformats.org/officeDocument/2006/relationships/hyperlink" Target="https://1drv.ms/x/s!AkP3hbXXLtgBhpEoaTK-EAwrB6PPjQ?e=PJkcfB&amp;nav=MTVfezBFRjgyRDlFLThFOEUtNDA2RC05QUQzLTk5RDY0REIzMEU3Rn0" TargetMode="External"/><Relationship Id="rId2435" Type="http://schemas.openxmlformats.org/officeDocument/2006/relationships/hyperlink" Target="https://1drv.ms/x/s!AkP3hbXXLtgBhpEoaTK-EAwrB6PPjQ?e=LQfhsg&amp;nav=MTVfe0FGQTQ2QTUxLTkwOEEtNEZCNi04OUQ1LTMwOUU4QkMzMTRFQ30" TargetMode="External"/><Relationship Id="rId2642" Type="http://schemas.openxmlformats.org/officeDocument/2006/relationships/hyperlink" Target="https://1drv.ms/x/s!AkP3hbXXLtgBhpEoaTK-EAwrB6PPjQ?e=k1JzSb&amp;nav=MTVfezlCRDVCMEI4LTNBMEItNDE5NC04RTEyLUQxQzc3N0U3MUFFQn0" TargetMode="External"/><Relationship Id="rId90" Type="http://schemas.openxmlformats.org/officeDocument/2006/relationships/hyperlink" Target="https://1drv.ms/x/s!AkP3hbXXLtgBhpEoaTK-EAwrB6PPjQ?e=AMVmTu&amp;nav=MTVfezNFMEFDQTg3LTgzOUUtNDFGNC04MkYwLUIxRjIyNTFBRDYzNX0" TargetMode="External"/><Relationship Id="rId407" Type="http://schemas.openxmlformats.org/officeDocument/2006/relationships/hyperlink" Target="https://1drv.ms/x/s!AkP3hbXXLtgBhpEoaTK-EAwrB6PPjQ?e=mvWMFP&amp;nav=MTVfe0Q0MjM2QjFDLUVBQTAtNDE3Ri1BOEVGLTQzNzNBN0FGODY4M30" TargetMode="External"/><Relationship Id="rId614" Type="http://schemas.openxmlformats.org/officeDocument/2006/relationships/hyperlink" Target="https://1drv.ms/x/s!AkP3hbXXLtgBhpEoaTK-EAwrB6PPjQ?e=ZRDRyK&amp;nav=MTVfe0IyQkRBQzE0LUM2QkQtNDY3Ny04MjcyLUQxNjYyMkIyRTZGRH0" TargetMode="External"/><Relationship Id="rId821" Type="http://schemas.openxmlformats.org/officeDocument/2006/relationships/hyperlink" Target="https://1drv.ms/x/s!AkP3hbXXLtgBhpEoaTK-EAwrB6PPjQ?e=zuxs7K&amp;nav=MTVfezEzQ0U5ODFBLTQxOTEtNERBOS05RDcwLTU1NDcwQ0I2MzhFNX0" TargetMode="External"/><Relationship Id="rId1037" Type="http://schemas.openxmlformats.org/officeDocument/2006/relationships/hyperlink" Target="https://1drv.ms/x/s!AkP3hbXXLtgBhpEoaTK-EAwrB6PPjQ?e=NFspu9&amp;nav=MTVfezE1M0M1OEJDLTA3MzUtNERFMC1BNzE4LTMzMUY1QjZBOEZDMH0" TargetMode="External"/><Relationship Id="rId1244" Type="http://schemas.openxmlformats.org/officeDocument/2006/relationships/hyperlink" Target="https://1drv.ms/x/s!AkP3hbXXLtgBhpEoaTK-EAwrB6PPjQ?e=UaBeCf&amp;nav=MTVfezM0NkJDRTA1LThBNUQtNDFFMC1BNjQ2LTk5NTVEMTg4RUEzNn0" TargetMode="External"/><Relationship Id="rId1451" Type="http://schemas.openxmlformats.org/officeDocument/2006/relationships/hyperlink" Target="https://1drv.ms/x/s!AkP3hbXXLtgBhpEoaTK-EAwrB6PPjQ?e=xXe3yl&amp;nav=MTVfezM1QjlFQjFCLUIxM0MtNDQ0Ni05MzQyLUU2QjczMkYzQzJFOH0" TargetMode="External"/><Relationship Id="rId1896" Type="http://schemas.openxmlformats.org/officeDocument/2006/relationships/hyperlink" Target="https://1drv.ms/x/s!AkP3hbXXLtgBhpEoaTK-EAwrB6PPjQ?e=3z9g8a&amp;nav=MTVfezBGMENERTNBLTZCQTUtNDYwRi05MDM3LUNDNDk5MDBCNUU5MX0" TargetMode="External"/><Relationship Id="rId2502" Type="http://schemas.openxmlformats.org/officeDocument/2006/relationships/hyperlink" Target="https://1drv.ms/x/s!AkP3hbXXLtgBhpEoaTK-EAwrB6PPjQ?e=LQfhsg&amp;nav=MTVfe0FGQTQ2QTUxLTkwOEEtNEZCNi04OUQ1LTMwOUU4QkMzMTRFQ30" TargetMode="External"/><Relationship Id="rId919" Type="http://schemas.openxmlformats.org/officeDocument/2006/relationships/hyperlink" Target="https://1drv.ms/x/s!AkP3hbXXLtgBhpEoaTK-EAwrB6PPjQ?e=q7Y9UY&amp;nav=MTVfezY2QjMzRUJDLTdGREQtNEI4MC05QkFBLTZFRTQyNUFCMDY2MH0" TargetMode="External"/><Relationship Id="rId1104" Type="http://schemas.openxmlformats.org/officeDocument/2006/relationships/hyperlink" Target="https://1drv.ms/x/s!AkP3hbXXLtgBhpEoaTK-EAwrB6PPjQ?e=Brd8C5&amp;nav=MTVfe0YyMTJGNjdELTg0REMtNEY4Ri05MzE5LTE0M0FEODlBMzg5Q30" TargetMode="External"/><Relationship Id="rId1311" Type="http://schemas.openxmlformats.org/officeDocument/2006/relationships/hyperlink" Target="https://1drv.ms/x/s!AkP3hbXXLtgBhpEoaTK-EAwrB6PPjQ?e=bD2jTr&amp;nav=MTVfezRGRUQzQzY0LTk3M0ItNDNDNy1BRUY3LTYwMDNGN0E5OThFQX0" TargetMode="External"/><Relationship Id="rId1549" Type="http://schemas.openxmlformats.org/officeDocument/2006/relationships/hyperlink" Target="https://1drv.ms/x/s!AkP3hbXXLtgBhpEoaTK-EAwrB6PPjQ?e=PsqPhH&amp;nav=MTVfe0ZDRjg3ODhGLTBFNDItNDJCOC04MDRCLTU4OTcwNUMwMjFGMn0" TargetMode="External"/><Relationship Id="rId1756" Type="http://schemas.openxmlformats.org/officeDocument/2006/relationships/hyperlink" Target="https://1drv.ms/x/s!AkP3hbXXLtgBhpEoaTK-EAwrB6PPjQ?e=S6aQgK&amp;nav=MTVfezNDQTZGMDU5LTE2MUMtNDZDQi05RTYwLTUxMTNGNkFCNTI3Qn0" TargetMode="External"/><Relationship Id="rId1963" Type="http://schemas.openxmlformats.org/officeDocument/2006/relationships/hyperlink" Target="https://1drv.ms/x/s!AkP3hbXXLtgBhpEoaTK-EAwrB6PPjQ?e=Hae5Hc&amp;nav=MTVfe0U1QUU2RDZBLTFGMkUtNENGNC04OENCLUE1MjI0OEMyNDMzNn0" TargetMode="External"/><Relationship Id="rId48" Type="http://schemas.openxmlformats.org/officeDocument/2006/relationships/hyperlink" Target="https://1drv.ms/x/s!AkP3hbXXLtgBhpEoaTK-EAwrB6PPjQ?e=AMVmTu&amp;nav=MTVfezNFMEFDQTg3LTgzOUUtNDFGNC04MkYwLUIxRjIyNTFBRDYzNX0" TargetMode="External"/><Relationship Id="rId1409" Type="http://schemas.openxmlformats.org/officeDocument/2006/relationships/hyperlink" Target="https://1drv.ms/x/s!AkP3hbXXLtgBhpEoaTK-EAwrB6PPjQ?e=6Dzvxb&amp;nav=MTVfezE4RDVGRUE3LUYyN0MtNDRFNC1BMENCLTk1RTNFRjk3QkJDRX0" TargetMode="External"/><Relationship Id="rId1616" Type="http://schemas.openxmlformats.org/officeDocument/2006/relationships/hyperlink" Target="https://1drv.ms/x/s!AkP3hbXXLtgBhpEoaTK-EAwrB6PPjQ?e=hF7xUm&amp;nav=MTVfezBDOEZCN0U5LURBOEQtNEY2Qi1CNUE1LUYzQTk0NDFBRkE2NX0" TargetMode="External"/><Relationship Id="rId1823" Type="http://schemas.openxmlformats.org/officeDocument/2006/relationships/hyperlink" Target="https://1drv.ms/x/s!AkP3hbXXLtgBhpEoaTK-EAwrB6PPjQ?e=hRuig5&amp;nav=MTVfe0NCREMzODZGLTI3RDktNEI4RS05QjQ0LUUzQTc5QTQyQzY2MX0" TargetMode="External"/><Relationship Id="rId197" Type="http://schemas.openxmlformats.org/officeDocument/2006/relationships/hyperlink" Target="https://1drv.ms/x/s!AkP3hbXXLtgBhpEoaTK-EAwrB6PPjQ?e=hKKsXn&amp;nav=MTVfe0M0MzQ5RkZFLUFFMEMtNDZBOC05NDNELUU2ODg5N0JGMDU4Rn0" TargetMode="External"/><Relationship Id="rId2085" Type="http://schemas.openxmlformats.org/officeDocument/2006/relationships/hyperlink" Target="https://1drv.ms/x/s!AkP3hbXXLtgBhpEoaTK-EAwrB6PPjQ?e=6Uvhwt&amp;nav=MTVfe0Q5NUQ0MEFGLTAxNjgtNDM5Ni04Rjg1LTZBMkFBMzFBMkRCMn0" TargetMode="External"/><Relationship Id="rId2292" Type="http://schemas.openxmlformats.org/officeDocument/2006/relationships/hyperlink" Target="https://1drv.ms/x/s!AkP3hbXXLtgBhpEoaTK-EAwrB6PPjQ?e=vI4FNr&amp;nav=MTVfezhGQzkyMTU5LUYxNTUtNDg4MS04N0QzLTE5OTgzQjI3QTc1NH0" TargetMode="External"/><Relationship Id="rId264" Type="http://schemas.openxmlformats.org/officeDocument/2006/relationships/hyperlink" Target="https://1drv.ms/x/s!AkP3hbXXLtgBhpEoaTK-EAwrB6PPjQ?e=36Im2J&amp;nav=MTVfezg1NTdGRUM1LTczODktNDk5My1BQjA0LTkyQjFDODE4MjgxRX0" TargetMode="External"/><Relationship Id="rId471" Type="http://schemas.openxmlformats.org/officeDocument/2006/relationships/hyperlink" Target="https://1drv.ms/x/s!AkP3hbXXLtgBhpEoaTK-EAwrB6PPjQ?e=sXo522&amp;nav=MTVfe0VCNzhCQUU0LUVEQzItNDRCMC04QTFFLUZEQzA0OTNEMDkzOX0" TargetMode="External"/><Relationship Id="rId2152" Type="http://schemas.openxmlformats.org/officeDocument/2006/relationships/hyperlink" Target="https://1drv.ms/x/s!AkP3hbXXLtgBhpEoaTK-EAwrB6PPjQ?e=nj2bQ1&amp;nav=MTVfezAwMDAwMDAwLTAwMDEtMDAwMC0wMDAwLTAwMDAwMDAwMDAwMH0" TargetMode="External"/><Relationship Id="rId2597" Type="http://schemas.openxmlformats.org/officeDocument/2006/relationships/hyperlink" Target="https://1drv.ms/x/s!AkP3hbXXLtgBhpEoaTK-EAwrB6PPjQ?e=6yBXWn&amp;nav=MTVfezJFQ0QzRjA0LUYyNEMtNEI2OS1CQTYzLTQ1QTBDQ0M4QjlEN30" TargetMode="External"/><Relationship Id="rId124" Type="http://schemas.openxmlformats.org/officeDocument/2006/relationships/hyperlink" Target="https://1drv.ms/x/s!AkP3hbXXLtgBhpEoaTK-EAwrB6PPjQ?e=hRuig5&amp;nav=MTVfe0NCREMzODZGLTI3RDktNEI4RS05QjQ0LUUzQTc5QTQyQzY2MX0" TargetMode="External"/><Relationship Id="rId569" Type="http://schemas.openxmlformats.org/officeDocument/2006/relationships/hyperlink" Target="https://1drv.ms/x/s!AkP3hbXXLtgBhpEoaTK-EAwrB6PPjQ?e=xgZSuS&amp;nav=MTVfezA3RkYxMTMwLTAyQjYtNDA4RS1BMkU5LTI2MUQ0MjM2OEJGQn0" TargetMode="External"/><Relationship Id="rId776" Type="http://schemas.openxmlformats.org/officeDocument/2006/relationships/hyperlink" Target="https://1drv.ms/x/s!AkP3hbXXLtgBhpEoaTK-EAwrB6PPjQ?e=0lRBEc&amp;nav=MTVfezRDRDQwMjU1LUJFM0ItNENDQS05NDQ1LUY1OTdERDA5ODg4NH0" TargetMode="External"/><Relationship Id="rId983" Type="http://schemas.openxmlformats.org/officeDocument/2006/relationships/hyperlink" Target="https://1drv.ms/x/s!AkP3hbXXLtgBhpEoaTK-EAwrB6PPjQ?e=fk66xb&amp;nav=MTVfezU0MjNBNEE5LTNDNzctNDQwNC05RjA3LTAyNEI1N0FBQjFDNX0" TargetMode="External"/><Relationship Id="rId1199" Type="http://schemas.openxmlformats.org/officeDocument/2006/relationships/hyperlink" Target="https://1drv.ms/x/s!AkP3hbXXLtgBhpEoaTK-EAwrB6PPjQ?e=U6lTuf&amp;nav=MTVfezFEODYyODdBLUIyOTctNDdGMC04MTkyLUUzRDE3NjM5RkNFQ30" TargetMode="External"/><Relationship Id="rId2457" Type="http://schemas.openxmlformats.org/officeDocument/2006/relationships/hyperlink" Target="https://1drv.ms/x/s!AkP3hbXXLtgBhpEoaTK-EAwrB6PPjQ?e=LQfhsg&amp;nav=MTVfe0FGQTQ2QTUxLTkwOEEtNEZCNi04OUQ1LTMwOUU4QkMzMTRFQ30" TargetMode="External"/><Relationship Id="rId2664" Type="http://schemas.openxmlformats.org/officeDocument/2006/relationships/hyperlink" Target="https://1drv.ms/x/s!AkP3hbXXLtgBhpEoaTK-EAwrB6PPjQ?e=k1JzSb&amp;nav=MTVfezlCRDVCMEI4LTNBMEItNDE5NC04RTEyLUQxQzc3N0U3MUFFQn0" TargetMode="External"/><Relationship Id="rId331" Type="http://schemas.openxmlformats.org/officeDocument/2006/relationships/hyperlink" Target="https://1drv.ms/x/s!AkP3hbXXLtgBhpEoaTK-EAwrB6PPjQ?e=HO6wd4&amp;nav=MTVfe0NDRThCRDRELTFCMEEtNDNFRC1BMDRDLTc1QjY0NDgwNjJBMH0" TargetMode="External"/><Relationship Id="rId429" Type="http://schemas.openxmlformats.org/officeDocument/2006/relationships/hyperlink" Target="https://1drv.ms/x/s!AkP3hbXXLtgBhpEoaTK-EAwrB6PPjQ?e=sXo522&amp;nav=MTVfe0VCNzhCQUU0LUVEQzItNDRCMC04QTFFLUZEQzA0OTNEMDkzOX0" TargetMode="External"/><Relationship Id="rId636" Type="http://schemas.openxmlformats.org/officeDocument/2006/relationships/hyperlink" Target="https://1drv.ms/x/s!AkP3hbXXLtgBhpEoaTK-EAwrB6PPjQ?e=ZRDRyK&amp;nav=MTVfe0IyQkRBQzE0LUM2QkQtNDY3Ny04MjcyLUQxNjYyMkIyRTZGRH0" TargetMode="External"/><Relationship Id="rId1059" Type="http://schemas.openxmlformats.org/officeDocument/2006/relationships/hyperlink" Target="https://1drv.ms/x/s!AkP3hbXXLtgBhpEoaTK-EAwrB6PPjQ?e=rYbeUy&amp;nav=MTVfe0Q1MEM2OTMzLTFBNUUtNDhCMS1CQzhCLTlGQTI2NEEzRURDRH0" TargetMode="External"/><Relationship Id="rId1266" Type="http://schemas.openxmlformats.org/officeDocument/2006/relationships/hyperlink" Target="https://1drv.ms/x/s!AkP3hbXXLtgBhpEoaTK-EAwrB6PPjQ?e=UaBeCf&amp;nav=MTVfezM0NkJDRTA1LThBNUQtNDFFMC1BNjQ2LTk5NTVEMTg4RUEzNn0" TargetMode="External"/><Relationship Id="rId1473" Type="http://schemas.openxmlformats.org/officeDocument/2006/relationships/hyperlink" Target="https://1drv.ms/x/s!AkP3hbXXLtgBhpEoaTK-EAwrB6PPjQ?e=xXe3yl&amp;nav=MTVfezM1QjlFQjFCLUIxM0MtNDQ0Ni05MzQyLUU2QjczMkYzQzJFOH0" TargetMode="External"/><Relationship Id="rId2012" Type="http://schemas.openxmlformats.org/officeDocument/2006/relationships/hyperlink" Target="https://1drv.ms/x/s!AkP3hbXXLtgBhpEoaTK-EAwrB6PPjQ?e=e8c5BE&amp;nav=MTVfe0YzRjMwRTg2LTYyMTgtNEY5QS05Qzg0LTUxNkJFM0Q4MDAwN30" TargetMode="External"/><Relationship Id="rId2317" Type="http://schemas.openxmlformats.org/officeDocument/2006/relationships/hyperlink" Target="https://1drv.ms/x/s!AkP3hbXXLtgBhpEoaTK-EAwrB6PPjQ?e=LiWfcw&amp;nav=MTVfezFBQTVDNUQ5LTIxM0QtNDcxMi05RkYwLUI2NUUyNTFDRkFBMH0" TargetMode="External"/><Relationship Id="rId843" Type="http://schemas.openxmlformats.org/officeDocument/2006/relationships/hyperlink" Target="https://1drv.ms/x/s!AkP3hbXXLtgBhpEoaTK-EAwrB6PPjQ?e=zuxs7K&amp;nav=MTVfezEzQ0U5ODFBLTQxOTEtNERBOS05RDcwLTU1NDcwQ0I2MzhFNX0" TargetMode="External"/><Relationship Id="rId1126" Type="http://schemas.openxmlformats.org/officeDocument/2006/relationships/hyperlink" Target="https://1drv.ms/x/s!AkP3hbXXLtgBhpEoaTK-EAwrB6PPjQ?e=Brd8C5&amp;nav=MTVfe0YyMTJGNjdELTg0REMtNEY4Ri05MzE5LTE0M0FEODlBMzg5Q30" TargetMode="External"/><Relationship Id="rId1680" Type="http://schemas.openxmlformats.org/officeDocument/2006/relationships/hyperlink" Target="https://1drv.ms/x/s!AkP3hbXXLtgBhpEoaTK-EAwrB6PPjQ?e=DHRjp5&amp;nav=MTVfezdEN0E2ODJDLUYxMzctNDI0MS1BRjZDLThEMzExM0M0OTZBNn0" TargetMode="External"/><Relationship Id="rId1778" Type="http://schemas.openxmlformats.org/officeDocument/2006/relationships/hyperlink" Target="https://1drv.ms/x/s!AkP3hbXXLtgBhpEoaTK-EAwrB6PPjQ?e=sBpJD5&amp;nav=MTVfezM5QzdFMEZDLTg3QTEtNDRCMS04QTgyLUQ3MDU0NDI2MTBFRn0" TargetMode="External"/><Relationship Id="rId1985" Type="http://schemas.openxmlformats.org/officeDocument/2006/relationships/hyperlink" Target="https://1drv.ms/x/s!AkP3hbXXLtgBhpEoaTK-EAwrB6PPjQ?e=e8c5BE&amp;nav=MTVfe0YzRjMwRTg2LTYyMTgtNEY5QS05Qzg0LTUxNkJFM0Q4MDAwN30" TargetMode="External"/><Relationship Id="rId2524" Type="http://schemas.openxmlformats.org/officeDocument/2006/relationships/hyperlink" Target="https://1drv.ms/x/s!AkP3hbXXLtgBhpEoaTK-EAwrB6PPjQ?e=mXia38&amp;nav=MTVfe0I0NjUwQ0I4LURGNzEtNDA5NC04M0QxLUExRTNDN0Q3OTc1MX0" TargetMode="External"/><Relationship Id="rId2731" Type="http://schemas.openxmlformats.org/officeDocument/2006/relationships/hyperlink" Target="https://1drv.ms/x/s!AkP3hbXXLtgBhpEoaTK-EAwrB6PPjQ?e=hUXjPN&amp;nav=MTVfezYzNzY4MEExLTRDMzItNDcxMy05M0ZCLTBFNjAwNTlBMUI0MH0" TargetMode="External"/><Relationship Id="rId703" Type="http://schemas.openxmlformats.org/officeDocument/2006/relationships/hyperlink" Target="https://1drv.ms/x/s!AkP3hbXXLtgBhpEoaTK-EAwrB6PPjQ?e=JPeMLZ&amp;nav=MTVfezdEMkY3NDEyLUYwMzItNDM0RC05MDRFLTcyNTE0ODM0NjA4M30" TargetMode="External"/><Relationship Id="rId910" Type="http://schemas.openxmlformats.org/officeDocument/2006/relationships/hyperlink" Target="https://1drv.ms/x/s!AkP3hbXXLtgBhpEoaTK-EAwrB6PPjQ?e=q7Y9UY&amp;nav=MTVfezY2QjMzRUJDLTdGREQtNEI4MC05QkFBLTZFRTQyNUFCMDY2MH0" TargetMode="External"/><Relationship Id="rId1333" Type="http://schemas.openxmlformats.org/officeDocument/2006/relationships/hyperlink" Target="https://1drv.ms/x/s!AkP3hbXXLtgBhpEoaTK-EAwrB6PPjQ?e=SkY523&amp;nav=MTVfezk3NEQ3MjVGLTlERDMtNDdDOS05QzJDLUU5RjJCNjk2N0I4MX0" TargetMode="External"/><Relationship Id="rId1540" Type="http://schemas.openxmlformats.org/officeDocument/2006/relationships/hyperlink" Target="https://1drv.ms/x/s!AkP3hbXXLtgBhpEoaTK-EAwrB6PPjQ?e=PsqPhH&amp;nav=MTVfe0ZDRjg3ODhGLTBFNDItNDJCOC04MDRCLTU4OTcwNUMwMjFGMn0" TargetMode="External"/><Relationship Id="rId1638" Type="http://schemas.openxmlformats.org/officeDocument/2006/relationships/hyperlink" Target="https://1drv.ms/x/s!AkP3hbXXLtgBhpEoaTK-EAwrB6PPjQ?e=VUlHtx&amp;nav=MTVfe0JEMzdCNzJBLTQ3QUItNEI0NC04MDRCLTNDRDY0MDVBODI2Qn0" TargetMode="External"/><Relationship Id="rId1400" Type="http://schemas.openxmlformats.org/officeDocument/2006/relationships/hyperlink" Target="https://1drv.ms/x/s!AkP3hbXXLtgBhpEoaTK-EAwrB6PPjQ?e=6Dzvxb&amp;nav=MTVfezE4RDVGRUE3LUYyN0MtNDRFNC1BMENCLTk1RTNFRjk3QkJDRX0" TargetMode="External"/><Relationship Id="rId1845" Type="http://schemas.openxmlformats.org/officeDocument/2006/relationships/hyperlink" Target="https://1drv.ms/x/s!AkP3hbXXLtgBhpEoaTK-EAwrB6PPjQ?e=Qo1W02&amp;nav=MTVfe0Q5NDAyRTdCLTJCNEYtNEQ5OS05Q0Y4LTIyNDExQjYxNzRBRH0" TargetMode="External"/><Relationship Id="rId1705" Type="http://schemas.openxmlformats.org/officeDocument/2006/relationships/hyperlink" Target="https://1drv.ms/x/s!AkP3hbXXLtgBhpEoaTK-EAwrB6PPjQ?e=DHRjp5&amp;nav=MTVfezdEN0E2ODJDLUYxMzctNDI0MS1BRjZDLThEMzExM0M0OTZBNn0" TargetMode="External"/><Relationship Id="rId1912" Type="http://schemas.openxmlformats.org/officeDocument/2006/relationships/hyperlink" Target="https://1drv.ms/x/s!AkP3hbXXLtgBhpEoaTK-EAwrB6PPjQ?e=TStCPl&amp;nav=MTVfezI2MjVEMjA5LUMzRUYtNEM5RS1CM0Q3LUE4NUY4RTMyNDUyNH0" TargetMode="External"/><Relationship Id="rId286" Type="http://schemas.openxmlformats.org/officeDocument/2006/relationships/hyperlink" Target="https://1drv.ms/x/s!AkP3hbXXLtgBhpEoaTK-EAwrB6PPjQ?e=36Im2J&amp;nav=MTVfezg1NTdGRUM1LTczODktNDk5My1BQjA0LTkyQjFDODE4MjgxRX0" TargetMode="External"/><Relationship Id="rId493" Type="http://schemas.openxmlformats.org/officeDocument/2006/relationships/hyperlink" Target="https://1drv.ms/x/s!AkP3hbXXLtgBhpEoaTK-EAwrB6PPjQ?e=zfxOib&amp;nav=MTVfezc5MUI1QUJBLTY0QUItNDM1OS05NkVBLTE3MUFBQTY2QzQ4Q30" TargetMode="External"/><Relationship Id="rId2174" Type="http://schemas.openxmlformats.org/officeDocument/2006/relationships/hyperlink" Target="https://1drv.ms/x/s!AkP3hbXXLtgBhpEoaTK-EAwrB6PPjQ?e=PJkcfB&amp;nav=MTVfezBFRjgyRDlFLThFOEUtNDA2RC05QUQzLTk5RDY0REIzMEU3Rn0" TargetMode="External"/><Relationship Id="rId2381" Type="http://schemas.openxmlformats.org/officeDocument/2006/relationships/hyperlink" Target="https://1drv.ms/x/s!AkP3hbXXLtgBhpEoaTK-EAwrB6PPjQ?e=X2f9pt&amp;nav=MTVfe0M4ODI3QTVFLTgzOUMtNDk2Qy1BMThFLUNCMDYwN0JBQjM5M30" TargetMode="External"/><Relationship Id="rId146" Type="http://schemas.openxmlformats.org/officeDocument/2006/relationships/hyperlink" Target="https://1drv.ms/x/s!AkP3hbXXLtgBhpEoaTK-EAwrB6PPjQ?e=hRuig5&amp;nav=MTVfe0NCREMzODZGLTI3RDktNEI4RS05QjQ0LUUzQTc5QTQyQzY2MX0" TargetMode="External"/><Relationship Id="rId353" Type="http://schemas.openxmlformats.org/officeDocument/2006/relationships/hyperlink" Target="https://1drv.ms/x/s!AkP3hbXXLtgBhpEoaTK-EAwrB6PPjQ?e=mvWMFP&amp;nav=MTVfe0Q0MjM2QjFDLUVBQTAtNDE3Ri1BOEVGLTQzNzNBN0FGODY4M30" TargetMode="External"/><Relationship Id="rId560" Type="http://schemas.openxmlformats.org/officeDocument/2006/relationships/hyperlink" Target="https://1drv.ms/x/s!AkP3hbXXLtgBhpEoaTK-EAwrB6PPjQ?e=xgZSuS&amp;nav=MTVfezA3RkYxMTMwLTAyQjYtNDA4RS1BMkU5LTI2MUQ0MjM2OEJGQn0" TargetMode="External"/><Relationship Id="rId798" Type="http://schemas.openxmlformats.org/officeDocument/2006/relationships/hyperlink" Target="https://1drv.ms/x/s!AkP3hbXXLtgBhpEoaTK-EAwrB6PPjQ?e=zuxs7K&amp;nav=MTVfezEzQ0U5ODFBLTQxOTEtNERBOS05RDcwLTU1NDcwQ0I2MzhFNX0" TargetMode="External"/><Relationship Id="rId1190" Type="http://schemas.openxmlformats.org/officeDocument/2006/relationships/hyperlink" Target="https://1drv.ms/x/s!AkP3hbXXLtgBhpEoaTK-EAwrB6PPjQ?e=7D4jtp&amp;nav=MTVfe0Q5MDNFMUVCLUFFNkQtNDU5OC04QjYyLUFGODVDMTZENkVGMX0" TargetMode="External"/><Relationship Id="rId2034" Type="http://schemas.openxmlformats.org/officeDocument/2006/relationships/hyperlink" Target="https://1drv.ms/x/s!AkP3hbXXLtgBhpEoaTK-EAwrB6PPjQ?e=e8c5BE&amp;nav=MTVfe0YzRjMwRTg2LTYyMTgtNEY5QS05Qzg0LTUxNkJFM0Q4MDAwN30" TargetMode="External"/><Relationship Id="rId2241" Type="http://schemas.openxmlformats.org/officeDocument/2006/relationships/hyperlink" Target="https://1drv.ms/x/s!AkP3hbXXLtgBhpEoaTK-EAwrB6PPjQ?e=vI4FNr&amp;nav=MTVfezhGQzkyMTU5LUYxNTUtNDg4MS04N0QzLTE5OTgzQjI3QTc1NH0" TargetMode="External"/><Relationship Id="rId2479" Type="http://schemas.openxmlformats.org/officeDocument/2006/relationships/hyperlink" Target="https://1drv.ms/x/s!AkP3hbXXLtgBhpEoaTK-EAwrB6PPjQ?e=LQfhsg&amp;nav=MTVfe0FGQTQ2QTUxLTkwOEEtNEZCNi04OUQ1LTMwOUU4QkMzMTRFQ30" TargetMode="External"/><Relationship Id="rId2686" Type="http://schemas.openxmlformats.org/officeDocument/2006/relationships/hyperlink" Target="https://1drv.ms/x/s!AkP3hbXXLtgBhpEoaTK-EAwrB6PPjQ?e=hUXjPN&amp;nav=MTVfezYzNzY4MEExLTRDMzItNDcxMy05M0ZCLTBFNjAwNTlBMUI0MH0" TargetMode="External"/><Relationship Id="rId213" Type="http://schemas.openxmlformats.org/officeDocument/2006/relationships/hyperlink" Target="https://1drv.ms/x/s!AkP3hbXXLtgBhpEoaTK-EAwrB6PPjQ?e=hKKsXn&amp;nav=MTVfe0M0MzQ5RkZFLUFFMEMtNDZBOC05NDNELUU2ODg5N0JGMDU4Rn0" TargetMode="External"/><Relationship Id="rId420" Type="http://schemas.openxmlformats.org/officeDocument/2006/relationships/hyperlink" Target="https://1drv.ms/x/s!AkP3hbXXLtgBhpEoaTK-EAwrB6PPjQ?e=sXo522&amp;nav=MTVfe0VCNzhCQUU0LUVEQzItNDRCMC04QTFFLUZEQzA0OTNEMDkzOX0" TargetMode="External"/><Relationship Id="rId658" Type="http://schemas.openxmlformats.org/officeDocument/2006/relationships/hyperlink" Target="https://1drv.ms/x/s!AkP3hbXXLtgBhpEoaTK-EAwrB6PPjQ?e=ZRDRyK&amp;nav=MTVfe0IyQkRBQzE0LUM2QkQtNDY3Ny04MjcyLUQxNjYyMkIyRTZGRH0" TargetMode="External"/><Relationship Id="rId865" Type="http://schemas.openxmlformats.org/officeDocument/2006/relationships/hyperlink" Target="https://1drv.ms/x/s!AkP3hbXXLtgBhpEoaTK-EAwrB6PPjQ?e=VcWWuU&amp;nav=MTVfe0ExMEEwQ0RDLUFCNUQtNEMxQS1BM0ZGLTEzRDE2MkJEN0U2Q30" TargetMode="External"/><Relationship Id="rId1050" Type="http://schemas.openxmlformats.org/officeDocument/2006/relationships/hyperlink" Target="https://1drv.ms/x/s!AkP3hbXXLtgBhpEoaTK-EAwrB6PPjQ?e=NFspu9&amp;nav=MTVfezE1M0M1OEJDLTA3MzUtNERFMC1BNzE4LTMzMUY1QjZBOEZDMH0" TargetMode="External"/><Relationship Id="rId1288" Type="http://schemas.openxmlformats.org/officeDocument/2006/relationships/hyperlink" Target="https://1drv.ms/x/s!AkP3hbXXLtgBhpEoaTK-EAwrB6PPjQ?e=bD2jTr&amp;nav=MTVfezRGRUQzQzY0LTk3M0ItNDNDNy1BRUY3LTYwMDNGN0E5OThFQX0" TargetMode="External"/><Relationship Id="rId1495" Type="http://schemas.openxmlformats.org/officeDocument/2006/relationships/hyperlink" Target="https://1drv.ms/x/s!AkP3hbXXLtgBhpEoaTK-EAwrB6PPjQ?e=Dygyft&amp;nav=MTVfe0VDMUJBNEJBLUNCOTAtNDI3Ri1CMTVFLUZDQjc2NURCQ0I1Q30" TargetMode="External"/><Relationship Id="rId2101" Type="http://schemas.openxmlformats.org/officeDocument/2006/relationships/hyperlink" Target="https://1drv.ms/x/s!AkP3hbXXLtgBhpEoaTK-EAwrB6PPjQ?e=7tvhFu&amp;nav=MTVfezYzQUQ2N0RCLTZFQkQtNDhGOC1BODVFLUQzNjgwN0I4QkNFMn0" TargetMode="External"/><Relationship Id="rId2339" Type="http://schemas.openxmlformats.org/officeDocument/2006/relationships/hyperlink" Target="https://1drv.ms/x/s!AkP3hbXXLtgBhpEoaTK-EAwrB6PPjQ?e=LiWfcw&amp;nav=MTVfezFBQTVDNUQ5LTIxM0QtNDcxMi05RkYwLUI2NUUyNTFDRkFBMH0" TargetMode="External"/><Relationship Id="rId2546" Type="http://schemas.openxmlformats.org/officeDocument/2006/relationships/hyperlink" Target="https://1drv.ms/x/s!AkP3hbXXLtgBhpEoaTK-EAwrB6PPjQ?e=mXia38&amp;nav=MTVfe0I0NjUwQ0I4LURGNzEtNDA5NC04M0QxLUExRTNDN0Q3OTc1MX0" TargetMode="External"/><Relationship Id="rId518" Type="http://schemas.openxmlformats.org/officeDocument/2006/relationships/hyperlink" Target="https://1drv.ms/x/s!AkP3hbXXLtgBhpEoaTK-EAwrB6PPjQ?e=zfxOib&amp;nav=MTVfezc5MUI1QUJBLTY0QUItNDM1OS05NkVBLTE3MUFBQTY2QzQ4Q30" TargetMode="External"/><Relationship Id="rId725" Type="http://schemas.openxmlformats.org/officeDocument/2006/relationships/hyperlink" Target="https://1drv.ms/x/s!AkP3hbXXLtgBhpEoaTK-EAwrB6PPjQ?e=0lRBEc&amp;nav=MTVfezRDRDQwMjU1LUJFM0ItNENDQS05NDQ1LUY1OTdERDA5ODg4NH0" TargetMode="External"/><Relationship Id="rId932" Type="http://schemas.openxmlformats.org/officeDocument/2006/relationships/hyperlink" Target="https://1drv.ms/x/s!AkP3hbXXLtgBhpEoaTK-EAwrB6PPjQ?e=GuJxJM&amp;nav=MTVfe0NBQzcxNDNGLTAzODYtNEFDRi1BNTI1LTRDQTYxMDEzNkYwM30" TargetMode="External"/><Relationship Id="rId1148" Type="http://schemas.openxmlformats.org/officeDocument/2006/relationships/hyperlink" Target="https://1drv.ms/x/s!AkP3hbXXLtgBhpEoaTK-EAwrB6PPjQ?e=xGItXl&amp;nav=MTVfezc3NDc5QTVFLTEyMTItNEVGOS04NzRCLUUzREZBMkQ0NjU4OH0" TargetMode="External"/><Relationship Id="rId1355" Type="http://schemas.openxmlformats.org/officeDocument/2006/relationships/hyperlink" Target="https://1drv.ms/x/s!AkP3hbXXLtgBhpEoaTK-EAwrB6PPjQ?e=SkY523&amp;nav=MTVfezk3NEQ3MjVGLTlERDMtNDdDOS05QzJDLUU5RjJCNjk2N0I4MX0" TargetMode="External"/><Relationship Id="rId1562" Type="http://schemas.openxmlformats.org/officeDocument/2006/relationships/hyperlink" Target="https://1drv.ms/x/s!AkP3hbXXLtgBhpEoaTK-EAwrB6PPjQ?e=JPeMLZ&amp;nav=MTVfezdEMkY3NDEyLUYwMzItNDM0RC05MDRFLTcyNTE0ODM0NjA4M30" TargetMode="External"/><Relationship Id="rId2406" Type="http://schemas.openxmlformats.org/officeDocument/2006/relationships/hyperlink" Target="https://1drv.ms/x/s!AkP3hbXXLtgBhpEoaTK-EAwrB6PPjQ?e=X2f9pt&amp;nav=MTVfe0M4ODI3QTVFLTgzOUMtNDk2Qy1BMThFLUNCMDYwN0JBQjM5M30" TargetMode="External"/><Relationship Id="rId2613" Type="http://schemas.openxmlformats.org/officeDocument/2006/relationships/hyperlink" Target="https://1drv.ms/x/s!AkP3hbXXLtgBhpEoaTK-EAwrB6PPjQ?e=k1JzSb&amp;nav=MTVfezlCRDVCMEI4LTNBMEItNDE5NC04RTEyLUQxQzc3N0U3MUFFQn0" TargetMode="External"/><Relationship Id="rId1008" Type="http://schemas.openxmlformats.org/officeDocument/2006/relationships/hyperlink" Target="https://1drv.ms/x/s!AkP3hbXXLtgBhpEoaTK-EAwrB6PPjQ?e=NFspu9&amp;nav=MTVfezE1M0M1OEJDLTA3MzUtNERFMC1BNzE4LTMzMUY1QjZBOEZDMH0" TargetMode="External"/><Relationship Id="rId1215" Type="http://schemas.openxmlformats.org/officeDocument/2006/relationships/hyperlink" Target="https://1drv.ms/x/s!AkP3hbXXLtgBhpEoaTK-EAwrB6PPjQ?e=U6lTuf&amp;nav=MTVfezFEODYyODdBLUIyOTctNDdGMC04MTkyLUUzRDE3NjM5RkNFQ30" TargetMode="External"/><Relationship Id="rId1422" Type="http://schemas.openxmlformats.org/officeDocument/2006/relationships/hyperlink" Target="https://1drv.ms/x/s!AkP3hbXXLtgBhpEoaTK-EAwrB6PPjQ?e=xXe3yl&amp;nav=MTVfezM1QjlFQjFCLUIxM0MtNDQ0Ni05MzQyLUU2QjczMkYzQzJFOH0" TargetMode="External"/><Relationship Id="rId1867" Type="http://schemas.openxmlformats.org/officeDocument/2006/relationships/hyperlink" Target="https://1drv.ms/x/s!AkP3hbXXLtgBhpEoaTK-EAwrB6PPjQ?e=lNfo2c&amp;nav=MTVfezA2NDZDNEUzLUJDNjEtNDQ0RC05RjEzLTc2OTQ0MTEzOTQyNX0" TargetMode="External"/><Relationship Id="rId61" Type="http://schemas.openxmlformats.org/officeDocument/2006/relationships/hyperlink" Target="https://1drv.ms/x/s!AkP3hbXXLtgBhpEoaTK-EAwrB6PPjQ?e=AMVmTu&amp;nav=MTVfezNFMEFDQTg3LTgzOUUtNDFGNC04MkYwLUIxRjIyNTFBRDYzNX0" TargetMode="External"/><Relationship Id="rId1727" Type="http://schemas.openxmlformats.org/officeDocument/2006/relationships/hyperlink" Target="https://1drv.ms/x/s!AkP3hbXXLtgBhpEoaTK-EAwrB6PPjQ?e=DHRjp5&amp;nav=MTVfezdEN0E2ODJDLUYxMzctNDI0MS1BRjZDLThEMzExM0M0OTZBNn0" TargetMode="External"/><Relationship Id="rId1934" Type="http://schemas.openxmlformats.org/officeDocument/2006/relationships/hyperlink" Target="https://1drv.ms/x/s!AkP3hbXXLtgBhpEoaTK-EAwrB6PPjQ?e=U8iWbp&amp;nav=MTVfezVDRDNFMEMzLTY0NDctNDUyNC05RjQyLUQ5MzdFOTgzQzgzNH0" TargetMode="External"/><Relationship Id="rId19" Type="http://schemas.openxmlformats.org/officeDocument/2006/relationships/hyperlink" Target="https://1drv.ms/x/s!AkP3hbXXLtgBhpEoaTK-EAwrB6PPjQ?e=pv1n5G&amp;nav=MTVfe0I5QjVDOEU1LTM5MTMtNDRCNy1COEY4LUUwMUNENUM2NTY1NX0" TargetMode="External"/><Relationship Id="rId2196" Type="http://schemas.openxmlformats.org/officeDocument/2006/relationships/hyperlink" Target="https://1drv.ms/x/s!AkP3hbXXLtgBhpEoaTK-EAwrB6PPjQ?e=PJkcfB&amp;nav=MTVfezBFRjgyRDlFLThFOEUtNDA2RC05QUQzLTk5RDY0REIzMEU3Rn0" TargetMode="External"/><Relationship Id="rId168" Type="http://schemas.openxmlformats.org/officeDocument/2006/relationships/hyperlink" Target="https://1drv.ms/x/s!AkP3hbXXLtgBhpEoaTK-EAwrB6PPjQ?e=hKKsXn&amp;nav=MTVfe0M0MzQ5RkZFLUFFMEMtNDZBOC05NDNELUU2ODg5N0JGMDU4Rn0" TargetMode="External"/><Relationship Id="rId375" Type="http://schemas.openxmlformats.org/officeDocument/2006/relationships/hyperlink" Target="https://1drv.ms/x/s!AkP3hbXXLtgBhpEoaTK-EAwrB6PPjQ?e=mvWMFP&amp;nav=MTVfe0Q0MjM2QjFDLUVBQTAtNDE3Ri1BOEVGLTQzNzNBN0FGODY4M30" TargetMode="External"/><Relationship Id="rId582" Type="http://schemas.openxmlformats.org/officeDocument/2006/relationships/hyperlink" Target="https://1drv.ms/x/s!AkP3hbXXLtgBhpEoaTK-EAwrB6PPjQ?e=xgZSuS&amp;nav=MTVfezA3RkYxMTMwLTAyQjYtNDA4RS1BMkU5LTI2MUQ0MjM2OEJGQn0" TargetMode="External"/><Relationship Id="rId2056" Type="http://schemas.openxmlformats.org/officeDocument/2006/relationships/hyperlink" Target="https://1drv.ms/x/s!AkP3hbXXLtgBhpEoaTK-EAwrB6PPjQ?e=t9ByVx&amp;nav=MTVfe0MzOTE2QzlDLTMzMEMtNEQ4NS05NjZBLTBFNzk3QjgxMEIwQn0" TargetMode="External"/><Relationship Id="rId2263" Type="http://schemas.openxmlformats.org/officeDocument/2006/relationships/hyperlink" Target="https://1drv.ms/x/s!AkP3hbXXLtgBhpEoaTK-EAwrB6PPjQ?e=vI4FNr&amp;nav=MTVfezhGQzkyMTU5LUYxNTUtNDg4MS04N0QzLTE5OTgzQjI3QTc1NH0" TargetMode="External"/><Relationship Id="rId2470" Type="http://schemas.openxmlformats.org/officeDocument/2006/relationships/hyperlink" Target="https://1drv.ms/x/s!AkP3hbXXLtgBhpEoaTK-EAwrB6PPjQ?e=LQfhsg&amp;nav=MTVfe0FGQTQ2QTUxLTkwOEEtNEZCNi04OUQ1LTMwOUU4QkMzMTRFQ30" TargetMode="External"/><Relationship Id="rId3" Type="http://schemas.openxmlformats.org/officeDocument/2006/relationships/hyperlink" Target="https://1drv.ms/x/s!AkP3hbXXLtgBhpEoaTK-EAwrB6PPjQ?e=mje4Gd&amp;nav=MTVfezU5NEY1RjhGLUNGMzYtNEIxRi04NzFBLTRDNzQ3QUMxQjMxRn0" TargetMode="External"/><Relationship Id="rId235" Type="http://schemas.openxmlformats.org/officeDocument/2006/relationships/hyperlink" Target="https://1drv.ms/x/s!AkP3hbXXLtgBhpEoaTK-EAwrB6PPjQ?e=36Im2J&amp;nav=MTVfezg1NTdGRUM1LTczODktNDk5My1BQjA0LTkyQjFDODE4MjgxRX0" TargetMode="External"/><Relationship Id="rId442" Type="http://schemas.openxmlformats.org/officeDocument/2006/relationships/hyperlink" Target="https://1drv.ms/x/s!AkP3hbXXLtgBhpEoaTK-EAwrB6PPjQ?e=sXo522&amp;nav=MTVfe0VCNzhCQUU0LUVEQzItNDRCMC04QTFFLUZEQzA0OTNEMDkzOX0" TargetMode="External"/><Relationship Id="rId887" Type="http://schemas.openxmlformats.org/officeDocument/2006/relationships/hyperlink" Target="https://1drv.ms/x/s!AkP3hbXXLtgBhpEoaTK-EAwrB6PPjQ?e=q7Y9UY&amp;nav=MTVfezY2QjMzRUJDLTdGREQtNEI4MC05QkFBLTZFRTQyNUFCMDY2MH0" TargetMode="External"/><Relationship Id="rId1072" Type="http://schemas.openxmlformats.org/officeDocument/2006/relationships/hyperlink" Target="https://1drv.ms/x/s!AkP3hbXXLtgBhpEoaTK-EAwrB6PPjQ?e=rYbeUy&amp;nav=MTVfe0Q1MEM2OTMzLTFBNUUtNDhCMS1CQzhCLTlGQTI2NEEzRURDRH0" TargetMode="External"/><Relationship Id="rId2123" Type="http://schemas.openxmlformats.org/officeDocument/2006/relationships/hyperlink" Target="https://1drv.ms/x/s!AkP3hbXXLtgBhpEoaTK-EAwrB6PPjQ?e=7tvhFu&amp;nav=MTVfezYzQUQ2N0RCLTZFQkQtNDhGOC1BODVFLUQzNjgwN0I4QkNFMn0" TargetMode="External"/><Relationship Id="rId2330" Type="http://schemas.openxmlformats.org/officeDocument/2006/relationships/hyperlink" Target="https://1drv.ms/x/s!AkP3hbXXLtgBhpEoaTK-EAwrB6PPjQ?e=LiWfcw&amp;nav=MTVfezFBQTVDNUQ5LTIxM0QtNDcxMi05RkYwLUI2NUUyNTFDRkFBMH0" TargetMode="External"/><Relationship Id="rId2568" Type="http://schemas.openxmlformats.org/officeDocument/2006/relationships/hyperlink" Target="https://1drv.ms/x/s!AkP3hbXXLtgBhpEoaTK-EAwrB6PPjQ?e=mXia38&amp;nav=MTVfe0I0NjUwQ0I4LURGNzEtNDA5NC04M0QxLUExRTNDN0Q3OTc1MX0" TargetMode="External"/><Relationship Id="rId302" Type="http://schemas.openxmlformats.org/officeDocument/2006/relationships/hyperlink" Target="https://1drv.ms/x/s!AkP3hbXXLtgBhpEoaTK-EAwrB6PPjQ?e=HO6wd4&amp;nav=MTVfe0NDRThCRDRELTFCMEEtNDNFRC1BMDRDLTc1QjY0NDgwNjJBMH0" TargetMode="External"/><Relationship Id="rId747" Type="http://schemas.openxmlformats.org/officeDocument/2006/relationships/hyperlink" Target="https://1drv.ms/x/s!AkP3hbXXLtgBhpEoaTK-EAwrB6PPjQ?e=0lRBEc&amp;nav=MTVfezRDRDQwMjU1LUJFM0ItNENDQS05NDQ1LUY1OTdERDA5ODg4NH0" TargetMode="External"/><Relationship Id="rId954" Type="http://schemas.openxmlformats.org/officeDocument/2006/relationships/hyperlink" Target="https://1drv.ms/x/s!AkP3hbXXLtgBhpEoaTK-EAwrB6PPjQ?e=GuJxJM&amp;nav=MTVfe0NBQzcxNDNGLTAzODYtNEFDRi1BNTI1LTRDQTYxMDEzNkYwM30" TargetMode="External"/><Relationship Id="rId1377" Type="http://schemas.openxmlformats.org/officeDocument/2006/relationships/hyperlink" Target="https://1drv.ms/x/s!AkP3hbXXLtgBhpEoaTK-EAwrB6PPjQ?e=6Dzvxb&amp;nav=MTVfezE4RDVGRUE3LUYyN0MtNDRFNC1BMENCLTk1RTNFRjk3QkJDRX0" TargetMode="External"/><Relationship Id="rId1584" Type="http://schemas.openxmlformats.org/officeDocument/2006/relationships/hyperlink" Target="https://1drv.ms/x/s!AkP3hbXXLtgBhpEoaTK-EAwrB6PPjQ?e=hF7xUm&amp;nav=MTVfezBDOEZCN0U5LURBOEQtNEY2Qi1CNUE1LUYzQTk0NDFBRkE2NX0" TargetMode="External"/><Relationship Id="rId1791" Type="http://schemas.openxmlformats.org/officeDocument/2006/relationships/hyperlink" Target="https://1drv.ms/x/s!AkP3hbXXLtgBhpEoaTK-EAwrB6PPjQ?e=sBpJD5&amp;nav=MTVfezM5QzdFMEZDLTg3QTEtNDRCMS04QTgyLUQ3MDU0NDI2MTBFRn0" TargetMode="External"/><Relationship Id="rId2428" Type="http://schemas.openxmlformats.org/officeDocument/2006/relationships/hyperlink" Target="https://1drv.ms/x/s!AkP3hbXXLtgBhpEoaTK-EAwrB6PPjQ?e=X2f9pt&amp;nav=MTVfe0M4ODI3QTVFLTgzOUMtNDk2Qy1BMThFLUNCMDYwN0JBQjM5M30" TargetMode="External"/><Relationship Id="rId2635" Type="http://schemas.openxmlformats.org/officeDocument/2006/relationships/hyperlink" Target="https://1drv.ms/x/s!AkP3hbXXLtgBhpEoaTK-EAwrB6PPjQ?e=k1JzSb&amp;nav=MTVfezlCRDVCMEI4LTNBMEItNDE5NC04RTEyLUQxQzc3N0U3MUFFQn0" TargetMode="External"/><Relationship Id="rId83" Type="http://schemas.openxmlformats.org/officeDocument/2006/relationships/hyperlink" Target="https://1drv.ms/x/s!AkP3hbXXLtgBhpEoaTK-EAwrB6PPjQ?e=AMVmTu&amp;nav=MTVfezNFMEFDQTg3LTgzOUUtNDFGNC04MkYwLUIxRjIyNTFBRDYzNX0" TargetMode="External"/><Relationship Id="rId607" Type="http://schemas.openxmlformats.org/officeDocument/2006/relationships/hyperlink" Target="https://1drv.ms/x/s!AkP3hbXXLtgBhpEoaTK-EAwrB6PPjQ?e=ZRDRyK&amp;nav=MTVfe0IyQkRBQzE0LUM2QkQtNDY3Ny04MjcyLUQxNjYyMkIyRTZGRH0" TargetMode="External"/><Relationship Id="rId814" Type="http://schemas.openxmlformats.org/officeDocument/2006/relationships/hyperlink" Target="https://1drv.ms/x/s!AkP3hbXXLtgBhpEoaTK-EAwrB6PPjQ?e=zuxs7K&amp;nav=MTVfezEzQ0U5ODFBLTQxOTEtNERBOS05RDcwLTU1NDcwQ0I2MzhFNX0" TargetMode="External"/><Relationship Id="rId1237" Type="http://schemas.openxmlformats.org/officeDocument/2006/relationships/hyperlink" Target="https://1drv.ms/x/s!AkP3hbXXLtgBhpEoaTK-EAwrB6PPjQ?e=TTdfya&amp;nav=MTVfe0FDRTAxNkUwLUE0RkUtNEMyMi04MTlFLTc3NEJGQzBDNERDMn0" TargetMode="External"/><Relationship Id="rId1444" Type="http://schemas.openxmlformats.org/officeDocument/2006/relationships/hyperlink" Target="https://1drv.ms/x/s!AkP3hbXXLtgBhpEoaTK-EAwrB6PPjQ?e=xXe3yl&amp;nav=MTVfezM1QjlFQjFCLUIxM0MtNDQ0Ni05MzQyLUU2QjczMkYzQzJFOH0" TargetMode="External"/><Relationship Id="rId1651" Type="http://schemas.openxmlformats.org/officeDocument/2006/relationships/hyperlink" Target="https://1drv.ms/x/s!AkP3hbXXLtgBhpEoaTK-EAwrB6PPjQ?e=DHRjp5&amp;nav=MTVfezdEN0E2ODJDLUYxMzctNDI0MS1BRjZDLThEMzExM0M0OTZBNn0" TargetMode="External"/><Relationship Id="rId1889" Type="http://schemas.openxmlformats.org/officeDocument/2006/relationships/hyperlink" Target="https://1drv.ms/x/s!AkP3hbXXLtgBhpEoaTK-EAwrB6PPjQ?e=3z9g8a&amp;nav=MTVfezBGMENERTNBLTZCQTUtNDYwRi05MDM3LUNDNDk5MDBCNUU5MX0" TargetMode="External"/><Relationship Id="rId2702" Type="http://schemas.openxmlformats.org/officeDocument/2006/relationships/hyperlink" Target="https://1drv.ms/x/s!AkP3hbXXLtgBhpEoaTK-EAwrB6PPjQ?e=hUXjPN&amp;nav=MTVfezYzNzY4MEExLTRDMzItNDcxMy05M0ZCLTBFNjAwNTlBMUI0MH0" TargetMode="External"/><Relationship Id="rId1304" Type="http://schemas.openxmlformats.org/officeDocument/2006/relationships/hyperlink" Target="https://1drv.ms/x/s!AkP3hbXXLtgBhpEoaTK-EAwrB6PPjQ?e=bD2jTr&amp;nav=MTVfezRGRUQzQzY0LTk3M0ItNDNDNy1BRUY3LTYwMDNGN0E5OThFQX0" TargetMode="External"/><Relationship Id="rId1511" Type="http://schemas.openxmlformats.org/officeDocument/2006/relationships/hyperlink" Target="https://1drv.ms/x/s!AkP3hbXXLtgBhpEoaTK-EAwrB6PPjQ?e=MuIk1d&amp;nav=MTVfe0EwNUQ0QUFCLTFGNTAtNDE4Mi1CMzhBLUU3OUIyRDM1NzJDQn0" TargetMode="External"/><Relationship Id="rId1749" Type="http://schemas.openxmlformats.org/officeDocument/2006/relationships/hyperlink" Target="https://1drv.ms/x/s!AkP3hbXXLtgBhpEoaTK-EAwrB6PPjQ?e=OaIvOH&amp;nav=MTVfezFDODBFQUMzLTY0M0UtNDM2MC04REU0LTRBOUYzQ0MxQkY2Nn0" TargetMode="External"/><Relationship Id="rId1956" Type="http://schemas.openxmlformats.org/officeDocument/2006/relationships/hyperlink" Target="https://1drv.ms/x/s!AkP3hbXXLtgBhpEoaTK-EAwrB6PPjQ?e=Hae5Hc&amp;nav=MTVfe0U1QUU2RDZBLTFGMkUtNENGNC04OENCLUE1MjI0OEMyNDMzNn0" TargetMode="External"/><Relationship Id="rId1609" Type="http://schemas.openxmlformats.org/officeDocument/2006/relationships/hyperlink" Target="https://1drv.ms/x/s!AkP3hbXXLtgBhpEoaTK-EAwrB6PPjQ?e=hF7xUm&amp;nav=MTVfezBDOEZCN0U5LURBOEQtNEY2Qi1CNUE1LUYzQTk0NDFBRkE2NX0" TargetMode="External"/><Relationship Id="rId1816" Type="http://schemas.openxmlformats.org/officeDocument/2006/relationships/hyperlink" Target="https://1drv.ms/x/s!AkP3hbXXLtgBhpEoaTK-EAwrB6PPjQ?e=sBpJD5&amp;nav=MTVfezM5QzdFMEZDLTg3QTEtNDRCMS04QTgyLUQ3MDU0NDI2MTBFRn0" TargetMode="External"/><Relationship Id="rId10" Type="http://schemas.openxmlformats.org/officeDocument/2006/relationships/hyperlink" Target="https://1drv.ms/x/s!AkP3hbXXLtgBhpEoaTK-EAwrB6PPjQ?e=mje4Gd&amp;nav=MTVfezU5NEY1RjhGLUNGMzYtNEIxRi04NzFBLTRDNzQ3QUMxQjMxRn0" TargetMode="External"/><Relationship Id="rId397" Type="http://schemas.openxmlformats.org/officeDocument/2006/relationships/hyperlink" Target="https://1drv.ms/x/s!AkP3hbXXLtgBhpEoaTK-EAwrB6PPjQ?e=mvWMFP&amp;nav=MTVfe0Q0MjM2QjFDLUVBQTAtNDE3Ri1BOEVGLTQzNzNBN0FGODY4M30" TargetMode="External"/><Relationship Id="rId2078" Type="http://schemas.openxmlformats.org/officeDocument/2006/relationships/hyperlink" Target="https://1drv.ms/x/s!AkP3hbXXLtgBhpEoaTK-EAwrB6PPjQ?e=t9ByVx&amp;nav=MTVfe0MzOTE2QzlDLTMzMEMtNEQ4NS05NjZBLTBFNzk3QjgxMEIwQn0" TargetMode="External"/><Relationship Id="rId2285" Type="http://schemas.openxmlformats.org/officeDocument/2006/relationships/hyperlink" Target="https://1drv.ms/x/s!AkP3hbXXLtgBhpEoaTK-EAwrB6PPjQ?e=vI4FNr&amp;nav=MTVfezhGQzkyMTU5LUYxNTUtNDg4MS04N0QzLTE5OTgzQjI3QTc1NH0" TargetMode="External"/><Relationship Id="rId2492" Type="http://schemas.openxmlformats.org/officeDocument/2006/relationships/hyperlink" Target="https://1drv.ms/x/s!AkP3hbXXLtgBhpEoaTK-EAwrB6PPjQ?e=LQfhsg&amp;nav=MTVfe0FGQTQ2QTUxLTkwOEEtNEZCNi04OUQ1LTMwOUU4QkMzMTRFQ30" TargetMode="External"/><Relationship Id="rId257" Type="http://schemas.openxmlformats.org/officeDocument/2006/relationships/hyperlink" Target="https://1drv.ms/x/s!AkP3hbXXLtgBhpEoaTK-EAwrB6PPjQ?e=36Im2J&amp;nav=MTVfezg1NTdGRUM1LTczODktNDk5My1BQjA0LTkyQjFDODE4MjgxRX0" TargetMode="External"/><Relationship Id="rId464" Type="http://schemas.openxmlformats.org/officeDocument/2006/relationships/hyperlink" Target="https://1drv.ms/x/s!AkP3hbXXLtgBhpEoaTK-EAwrB6PPjQ?e=sXo522&amp;nav=MTVfe0VCNzhCQUU0LUVEQzItNDRCMC04QTFFLUZEQzA0OTNEMDkzOX0" TargetMode="External"/><Relationship Id="rId1094" Type="http://schemas.openxmlformats.org/officeDocument/2006/relationships/hyperlink" Target="https://1drv.ms/x/s!AkP3hbXXLtgBhpEoaTK-EAwrB6PPjQ?e=rYbeUy&amp;nav=MTVfe0Q1MEM2OTMzLTFBNUUtNDhCMS1CQzhCLTlGQTI2NEEzRURDRH0" TargetMode="External"/><Relationship Id="rId2145" Type="http://schemas.openxmlformats.org/officeDocument/2006/relationships/hyperlink" Target="https://1drv.ms/x/s!AkP3hbXXLtgBhpEoaTK-EAwrB6PPjQ?e=nj2bQ1&amp;nav=MTVfezAwMDAwMDAwLTAwMDEtMDAwMC0wMDAwLTAwMDAwMDAwMDAwMH0" TargetMode="External"/><Relationship Id="rId117" Type="http://schemas.openxmlformats.org/officeDocument/2006/relationships/hyperlink" Target="https://1drv.ms/x/s!AkP3hbXXLtgBhpEoaTK-EAwrB6PPjQ?e=hRuig5&amp;nav=MTVfe0NCREMzODZGLTI3RDktNEI4RS05QjQ0LUUzQTc5QTQyQzY2MX0" TargetMode="External"/><Relationship Id="rId671" Type="http://schemas.openxmlformats.org/officeDocument/2006/relationships/hyperlink" Target="https://1drv.ms/x/s!AkP3hbXXLtgBhpEoaTK-EAwrB6PPjQ?e=JPeMLZ&amp;nav=MTVfezdEMkY3NDEyLUYwMzItNDM0RC05MDRFLTcyNTE0ODM0NjA4M30" TargetMode="External"/><Relationship Id="rId769" Type="http://schemas.openxmlformats.org/officeDocument/2006/relationships/hyperlink" Target="https://1drv.ms/x/s!AkP3hbXXLtgBhpEoaTK-EAwrB6PPjQ?e=0lRBEc&amp;nav=MTVfezRDRDQwMjU1LUJFM0ItNENDQS05NDQ1LUY1OTdERDA5ODg4NH0" TargetMode="External"/><Relationship Id="rId976" Type="http://schemas.openxmlformats.org/officeDocument/2006/relationships/hyperlink" Target="https://1drv.ms/x/s!AkP3hbXXLtgBhpEoaTK-EAwrB6PPjQ?e=fk66xb&amp;nav=MTVfezU0MjNBNEE5LTNDNzctNDQwNC05RjA3LTAyNEI1N0FBQjFDNX0" TargetMode="External"/><Relationship Id="rId1399" Type="http://schemas.openxmlformats.org/officeDocument/2006/relationships/hyperlink" Target="https://1drv.ms/x/s!AkP3hbXXLtgBhpEoaTK-EAwrB6PPjQ?e=6Dzvxb&amp;nav=MTVfezE4RDVGRUE3LUYyN0MtNDRFNC1BMENCLTk1RTNFRjk3QkJDRX0" TargetMode="External"/><Relationship Id="rId2352" Type="http://schemas.openxmlformats.org/officeDocument/2006/relationships/hyperlink" Target="https://1drv.ms/x/s!AkP3hbXXLtgBhpEoaTK-EAwrB6PPjQ?e=LiWfcw&amp;nav=MTVfezFBQTVDNUQ5LTIxM0QtNDcxMi05RkYwLUI2NUUyNTFDRkFBMH0" TargetMode="External"/><Relationship Id="rId2657" Type="http://schemas.openxmlformats.org/officeDocument/2006/relationships/hyperlink" Target="https://1drv.ms/x/s!AkP3hbXXLtgBhpEoaTK-EAwrB6PPjQ?e=k1JzSb&amp;nav=MTVfezlCRDVCMEI4LTNBMEItNDE5NC04RTEyLUQxQzc3N0U3MUFFQn0" TargetMode="External"/><Relationship Id="rId324" Type="http://schemas.openxmlformats.org/officeDocument/2006/relationships/hyperlink" Target="https://1drv.ms/x/s!AkP3hbXXLtgBhpEoaTK-EAwrB6PPjQ?e=HO6wd4&amp;nav=MTVfe0NDRThCRDRELTFCMEEtNDNFRC1BMDRDLTc1QjY0NDgwNjJBMH0" TargetMode="External"/><Relationship Id="rId531" Type="http://schemas.openxmlformats.org/officeDocument/2006/relationships/hyperlink" Target="https://1drv.ms/x/s!AkP3hbXXLtgBhpEoaTK-EAwrB6PPjQ?e=zfxOib&amp;nav=MTVfezc5MUI1QUJBLTY0QUItNDM1OS05NkVBLTE3MUFBQTY2QzQ4Q30" TargetMode="External"/><Relationship Id="rId629" Type="http://schemas.openxmlformats.org/officeDocument/2006/relationships/hyperlink" Target="https://1drv.ms/x/s!AkP3hbXXLtgBhpEoaTK-EAwrB6PPjQ?e=ZRDRyK&amp;nav=MTVfe0IyQkRBQzE0LUM2QkQtNDY3Ny04MjcyLUQxNjYyMkIyRTZGRH0" TargetMode="External"/><Relationship Id="rId1161" Type="http://schemas.openxmlformats.org/officeDocument/2006/relationships/hyperlink" Target="https://1drv.ms/x/s!AkP3hbXXLtgBhpEoaTK-EAwrB6PPjQ?e=7D4jtp&amp;nav=MTVfe0Q5MDNFMUVCLUFFNkQtNDU5OC04QjYyLUFGODVDMTZENkVGMX0" TargetMode="External"/><Relationship Id="rId1259" Type="http://schemas.openxmlformats.org/officeDocument/2006/relationships/hyperlink" Target="https://1drv.ms/x/s!AkP3hbXXLtgBhpEoaTK-EAwrB6PPjQ?e=UaBeCf&amp;nav=MTVfezM0NkJDRTA1LThBNUQtNDFFMC1BNjQ2LTk5NTVEMTg4RUEzNn0" TargetMode="External"/><Relationship Id="rId1466" Type="http://schemas.openxmlformats.org/officeDocument/2006/relationships/hyperlink" Target="https://1drv.ms/x/s!AkP3hbXXLtgBhpEoaTK-EAwrB6PPjQ?e=xXe3yl&amp;nav=MTVfezM1QjlFQjFCLUIxM0MtNDQ0Ni05MzQyLUU2QjczMkYzQzJFOH0" TargetMode="External"/><Relationship Id="rId2005" Type="http://schemas.openxmlformats.org/officeDocument/2006/relationships/hyperlink" Target="https://1drv.ms/x/s!AkP3hbXXLtgBhpEoaTK-EAwrB6PPjQ?e=e8c5BE&amp;nav=MTVfe0YzRjMwRTg2LTYyMTgtNEY5QS05Qzg0LTUxNkJFM0Q4MDAwN30" TargetMode="External"/><Relationship Id="rId2212" Type="http://schemas.openxmlformats.org/officeDocument/2006/relationships/hyperlink" Target="https://1drv.ms/x/s!AkP3hbXXLtgBhpEoaTK-EAwrB6PPjQ?e=PJkcfB&amp;nav=MTVfezBFRjgyRDlFLThFOEUtNDA2RC05QUQzLTk5RDY0REIzMEU3Rn0" TargetMode="External"/><Relationship Id="rId836" Type="http://schemas.openxmlformats.org/officeDocument/2006/relationships/hyperlink" Target="https://1drv.ms/x/s!AkP3hbXXLtgBhpEoaTK-EAwrB6PPjQ?e=zuxs7K&amp;nav=MTVfezEzQ0U5ODFBLTQxOTEtNERBOS05RDcwLTU1NDcwQ0I2MzhFNX0" TargetMode="External"/><Relationship Id="rId1021" Type="http://schemas.openxmlformats.org/officeDocument/2006/relationships/hyperlink" Target="https://1drv.ms/x/s!AkP3hbXXLtgBhpEoaTK-EAwrB6PPjQ?e=NFspu9&amp;nav=MTVfezE1M0M1OEJDLTA3MzUtNERFMC1BNzE4LTMzMUY1QjZBOEZDMH0" TargetMode="External"/><Relationship Id="rId1119" Type="http://schemas.openxmlformats.org/officeDocument/2006/relationships/hyperlink" Target="https://1drv.ms/x/s!AkP3hbXXLtgBhpEoaTK-EAwrB6PPjQ?e=Brd8C5&amp;nav=MTVfe0YyMTJGNjdELTg0REMtNEY4Ri05MzE5LTE0M0FEODlBMzg5Q30" TargetMode="External"/><Relationship Id="rId1673" Type="http://schemas.openxmlformats.org/officeDocument/2006/relationships/hyperlink" Target="https://1drv.ms/x/s!AkP3hbXXLtgBhpEoaTK-EAwrB6PPjQ?e=DHRjp5&amp;nav=MTVfezdEN0E2ODJDLUYxMzctNDI0MS1BRjZDLThEMzExM0M0OTZBNn0" TargetMode="External"/><Relationship Id="rId1880" Type="http://schemas.openxmlformats.org/officeDocument/2006/relationships/hyperlink" Target="https://1drv.ms/x/s!AkP3hbXXLtgBhpEoaTK-EAwrB6PPjQ?e=3z9g8a&amp;nav=MTVfezBGMENERTNBLTZCQTUtNDYwRi05MDM3LUNDNDk5MDBCNUU5MX0" TargetMode="External"/><Relationship Id="rId1978" Type="http://schemas.openxmlformats.org/officeDocument/2006/relationships/hyperlink" Target="https://1drv.ms/x/s!AkP3hbXXLtgBhpEoaTK-EAwrB6PPjQ?e=Hae5Hc&amp;nav=MTVfe0U1QUU2RDZBLTFGMkUtNENGNC04OENCLUE1MjI0OEMyNDMzNn0" TargetMode="External"/><Relationship Id="rId2517" Type="http://schemas.openxmlformats.org/officeDocument/2006/relationships/hyperlink" Target="https://1drv.ms/x/s!AkP3hbXXLtgBhpEoaTK-EAwrB6PPjQ?e=mXia38&amp;nav=MTVfe0I0NjUwQ0I4LURGNzEtNDA5NC04M0QxLUExRTNDN0Q3OTc1MX0" TargetMode="External"/><Relationship Id="rId2724" Type="http://schemas.openxmlformats.org/officeDocument/2006/relationships/hyperlink" Target="https://1drv.ms/x/s!AkP3hbXXLtgBhpEoaTK-EAwrB6PPjQ?e=hUXjPN&amp;nav=MTVfezYzNzY4MEExLTRDMzItNDcxMy05M0ZCLTBFNjAwNTlBMUI0MH0" TargetMode="External"/><Relationship Id="rId903" Type="http://schemas.openxmlformats.org/officeDocument/2006/relationships/hyperlink" Target="https://1drv.ms/x/s!AkP3hbXXLtgBhpEoaTK-EAwrB6PPjQ?e=q7Y9UY&amp;nav=MTVfezY2QjMzRUJDLTdGREQtNEI4MC05QkFBLTZFRTQyNUFCMDY2MH0" TargetMode="External"/><Relationship Id="rId1326" Type="http://schemas.openxmlformats.org/officeDocument/2006/relationships/hyperlink" Target="https://1drv.ms/x/s!AkP3hbXXLtgBhpEoaTK-EAwrB6PPjQ?e=mYpfR1&amp;nav=MTVfe0NGMTlDQTg1LUE2QUMtNDYyRC1CN0M1LUExRjVBNjI1MDcyOX0" TargetMode="External"/><Relationship Id="rId1533" Type="http://schemas.openxmlformats.org/officeDocument/2006/relationships/hyperlink" Target="https://1drv.ms/x/s!AkP3hbXXLtgBhpEoaTK-EAwrB6PPjQ?e=PsqPhH&amp;nav=MTVfe0ZDRjg3ODhGLTBFNDItNDJCOC04MDRCLTU4OTcwNUMwMjFGMn0" TargetMode="External"/><Relationship Id="rId1740" Type="http://schemas.openxmlformats.org/officeDocument/2006/relationships/hyperlink" Target="https://1drv.ms/x/s!AkP3hbXXLtgBhpEoaTK-EAwrB6PPjQ?e=OaIvOH&amp;nav=MTVfezFDODBFQUMzLTY0M0UtNDM2MC04REU0LTRBOUYzQ0MxQkY2Nn0" TargetMode="External"/><Relationship Id="rId32" Type="http://schemas.openxmlformats.org/officeDocument/2006/relationships/hyperlink" Target="https://1drv.ms/x/s!AkP3hbXXLtgBhpEoaTK-EAwrB6PPjQ?e=pv1n5G&amp;nav=MTVfe0I5QjVDOEU1LTM5MTMtNDRCNy1COEY4LUUwMUNENUM2NTY1NX0" TargetMode="External"/><Relationship Id="rId1600" Type="http://schemas.openxmlformats.org/officeDocument/2006/relationships/hyperlink" Target="https://1drv.ms/x/s!AkP3hbXXLtgBhpEoaTK-EAwrB6PPjQ?e=hF7xUm&amp;nav=MTVfezBDOEZCN0U5LURBOEQtNEY2Qi1CNUE1LUYzQTk0NDFBRkE2NX0" TargetMode="External"/><Relationship Id="rId1838" Type="http://schemas.openxmlformats.org/officeDocument/2006/relationships/hyperlink" Target="https://1drv.ms/x/s!AkP3hbXXLtgBhpEoaTK-EAwrB6PPjQ?e=Qo1W02&amp;nav=MTVfe0Q5NDAyRTdCLTJCNEYtNEQ5OS05Q0Y4LTIyNDExQjYxNzRBRH0" TargetMode="External"/><Relationship Id="rId181" Type="http://schemas.openxmlformats.org/officeDocument/2006/relationships/hyperlink" Target="https://1drv.ms/x/s!AkP3hbXXLtgBhpEoaTK-EAwrB6PPjQ?e=hKKsXn&amp;nav=MTVfe0M0MzQ5RkZFLUFFMEMtNDZBOC05NDNELUU2ODg5N0JGMDU4Rn0" TargetMode="External"/><Relationship Id="rId1905" Type="http://schemas.openxmlformats.org/officeDocument/2006/relationships/hyperlink" Target="https://1drv.ms/x/s!AkP3hbXXLtgBhpEoaTK-EAwrB6PPjQ?e=TStCPl&amp;nav=MTVfezI2MjVEMjA5LUMzRUYtNEM5RS1CM0Q3LUE4NUY4RTMyNDUyNH0" TargetMode="External"/><Relationship Id="rId279" Type="http://schemas.openxmlformats.org/officeDocument/2006/relationships/hyperlink" Target="https://1drv.ms/x/s!AkP3hbXXLtgBhpEoaTK-EAwrB6PPjQ?e=36Im2J&amp;nav=MTVfezg1NTdGRUM1LTczODktNDk5My1BQjA0LTkyQjFDODE4MjgxRX0" TargetMode="External"/><Relationship Id="rId486" Type="http://schemas.openxmlformats.org/officeDocument/2006/relationships/hyperlink" Target="https://1drv.ms/x/s!AkP3hbXXLtgBhpEoaTK-EAwrB6PPjQ?e=zfxOib&amp;nav=MTVfezc5MUI1QUJBLTY0QUItNDM1OS05NkVBLTE3MUFBQTY2QzQ4Q30" TargetMode="External"/><Relationship Id="rId693" Type="http://schemas.openxmlformats.org/officeDocument/2006/relationships/hyperlink" Target="https://1drv.ms/x/s!AkP3hbXXLtgBhpEoaTK-EAwrB6PPjQ?e=JPeMLZ&amp;nav=MTVfezdEMkY3NDEyLUYwMzItNDM0RC05MDRFLTcyNTE0ODM0NjA4M30" TargetMode="External"/><Relationship Id="rId2167" Type="http://schemas.openxmlformats.org/officeDocument/2006/relationships/hyperlink" Target="https://1drv.ms/x/s!AkP3hbXXLtgBhpEoaTK-EAwrB6PPjQ?e=PJkcfB&amp;nav=MTVfezBFRjgyRDlFLThFOEUtNDA2RC05QUQzLTk5RDY0REIzMEU3Rn0" TargetMode="External"/><Relationship Id="rId2374" Type="http://schemas.openxmlformats.org/officeDocument/2006/relationships/hyperlink" Target="https://1drv.ms/x/s!AkP3hbXXLtgBhpEoaTK-EAwrB6PPjQ?e=X2f9pt&amp;nav=MTVfe0M4ODI3QTVFLTgzOUMtNDk2Qy1BMThFLUNCMDYwN0JBQjM5M30" TargetMode="External"/><Relationship Id="rId2581" Type="http://schemas.openxmlformats.org/officeDocument/2006/relationships/hyperlink" Target="https://1drv.ms/x/s!AkP3hbXXLtgBhpEoaTK-EAwrB6PPjQ?e=jbE9BC&amp;nav=MTVfe0Q1MjgxNjQzLUFDMEQtNDBGMi1BMzA0LTQyQTk3OTExMDc3Mn0" TargetMode="External"/><Relationship Id="rId139" Type="http://schemas.openxmlformats.org/officeDocument/2006/relationships/hyperlink" Target="https://1drv.ms/x/s!AkP3hbXXLtgBhpEoaTK-EAwrB6PPjQ?e=hRuig5&amp;nav=MTVfe0NCREMzODZGLTI3RDktNEI4RS05QjQ0LUUzQTc5QTQyQzY2MX0" TargetMode="External"/><Relationship Id="rId346" Type="http://schemas.openxmlformats.org/officeDocument/2006/relationships/hyperlink" Target="https://1drv.ms/x/s!AkP3hbXXLtgBhpEoaTK-EAwrB6PPjQ?e=HO6wd4&amp;nav=MTVfe0NDRThCRDRELTFCMEEtNDNFRC1BMDRDLTc1QjY0NDgwNjJBMH0" TargetMode="External"/><Relationship Id="rId553" Type="http://schemas.openxmlformats.org/officeDocument/2006/relationships/hyperlink" Target="https://1drv.ms/x/s!AkP3hbXXLtgBhpEoaTK-EAwrB6PPjQ?e=xgZSuS&amp;nav=MTVfezA3RkYxMTMwLTAyQjYtNDA4RS1BMkU5LTI2MUQ0MjM2OEJGQn0" TargetMode="External"/><Relationship Id="rId760" Type="http://schemas.openxmlformats.org/officeDocument/2006/relationships/hyperlink" Target="https://1drv.ms/x/s!AkP3hbXXLtgBhpEoaTK-EAwrB6PPjQ?e=0lRBEc&amp;nav=MTVfezRDRDQwMjU1LUJFM0ItNENDQS05NDQ1LUY1OTdERDA5ODg4NH0" TargetMode="External"/><Relationship Id="rId998" Type="http://schemas.openxmlformats.org/officeDocument/2006/relationships/hyperlink" Target="https://1drv.ms/x/s!AkP3hbXXLtgBhpEoaTK-EAwrB6PPjQ?e=fk66xb&amp;nav=MTVfezU0MjNBNEE5LTNDNzctNDQwNC05RjA3LTAyNEI1N0FBQjFDNX0" TargetMode="External"/><Relationship Id="rId1183" Type="http://schemas.openxmlformats.org/officeDocument/2006/relationships/hyperlink" Target="https://1drv.ms/x/s!AkP3hbXXLtgBhpEoaTK-EAwrB6PPjQ?e=7D4jtp&amp;nav=MTVfe0Q5MDNFMUVCLUFFNkQtNDU5OC04QjYyLUFGODVDMTZENkVGMX0" TargetMode="External"/><Relationship Id="rId1390" Type="http://schemas.openxmlformats.org/officeDocument/2006/relationships/hyperlink" Target="https://1drv.ms/x/s!AkP3hbXXLtgBhpEoaTK-EAwrB6PPjQ?e=6Dzvxb&amp;nav=MTVfezE4RDVGRUE3LUYyN0MtNDRFNC1BMENCLTk1RTNFRjk3QkJDRX0" TargetMode="External"/><Relationship Id="rId2027" Type="http://schemas.openxmlformats.org/officeDocument/2006/relationships/hyperlink" Target="https://1drv.ms/x/s!AkP3hbXXLtgBhpEoaTK-EAwrB6PPjQ?e=e8c5BE&amp;nav=MTVfe0YzRjMwRTg2LTYyMTgtNEY5QS05Qzg0LTUxNkJFM0Q4MDAwN30" TargetMode="External"/><Relationship Id="rId2234" Type="http://schemas.openxmlformats.org/officeDocument/2006/relationships/hyperlink" Target="https://1drv.ms/x/s!AkP3hbXXLtgBhpEoaTK-EAwrB6PPjQ?e=vI4FNr&amp;nav=MTVfezhGQzkyMTU5LUYxNTUtNDg4MS04N0QzLTE5OTgzQjI3QTc1NH0" TargetMode="External"/><Relationship Id="rId2441" Type="http://schemas.openxmlformats.org/officeDocument/2006/relationships/hyperlink" Target="https://1drv.ms/x/s!AkP3hbXXLtgBhpEoaTK-EAwrB6PPjQ?e=LQfhsg&amp;nav=MTVfe0FGQTQ2QTUxLTkwOEEtNEZCNi04OUQ1LTMwOUU4QkMzMTRFQ30" TargetMode="External"/><Relationship Id="rId2679" Type="http://schemas.openxmlformats.org/officeDocument/2006/relationships/hyperlink" Target="https://1drv.ms/x/s!AkP3hbXXLtgBhpEoaTK-EAwrB6PPjQ?e=hUXjPN&amp;nav=MTVfezYzNzY4MEExLTRDMzItNDcxMy05M0ZCLTBFNjAwNTlBMUI0MH0" TargetMode="External"/><Relationship Id="rId206" Type="http://schemas.openxmlformats.org/officeDocument/2006/relationships/hyperlink" Target="https://1drv.ms/x/s!AkP3hbXXLtgBhpEoaTK-EAwrB6PPjQ?e=hKKsXn&amp;nav=MTVfe0M0MzQ5RkZFLUFFMEMtNDZBOC05NDNELUU2ODg5N0JGMDU4Rn0" TargetMode="External"/><Relationship Id="rId413" Type="http://schemas.openxmlformats.org/officeDocument/2006/relationships/hyperlink" Target="https://1drv.ms/x/s!AkP3hbXXLtgBhpEoaTK-EAwrB6PPjQ?e=mvWMFP&amp;nav=MTVfe0Q0MjM2QjFDLUVBQTAtNDE3Ri1BOEVGLTQzNzNBN0FGODY4M30" TargetMode="External"/><Relationship Id="rId858" Type="http://schemas.openxmlformats.org/officeDocument/2006/relationships/hyperlink" Target="https://1drv.ms/x/s!AkP3hbXXLtgBhpEoaTK-EAwrB6PPjQ?e=VcWWuU&amp;nav=MTVfe0ExMEEwQ0RDLUFCNUQtNEMxQS1BM0ZGLTEzRDE2MkJEN0U2Q30" TargetMode="External"/><Relationship Id="rId1043" Type="http://schemas.openxmlformats.org/officeDocument/2006/relationships/hyperlink" Target="https://1drv.ms/x/s!AkP3hbXXLtgBhpEoaTK-EAwrB6PPjQ?e=NFspu9&amp;nav=MTVfezE1M0M1OEJDLTA3MzUtNERFMC1BNzE4LTMzMUY1QjZBOEZDMH0" TargetMode="External"/><Relationship Id="rId1488" Type="http://schemas.openxmlformats.org/officeDocument/2006/relationships/hyperlink" Target="https://1drv.ms/x/s!AkP3hbXXLtgBhpEoaTK-EAwrB6PPjQ?e=Dygyft&amp;nav=MTVfe0VDMUJBNEJBLUNCOTAtNDI3Ri1CMTVFLUZDQjc2NURCQ0I1Q30" TargetMode="External"/><Relationship Id="rId1695" Type="http://schemas.openxmlformats.org/officeDocument/2006/relationships/hyperlink" Target="https://1drv.ms/x/s!AkP3hbXXLtgBhpEoaTK-EAwrB6PPjQ?e=DHRjp5&amp;nav=MTVfezdEN0E2ODJDLUYxMzctNDI0MS1BRjZDLThEMzExM0M0OTZBNn0" TargetMode="External"/><Relationship Id="rId2539" Type="http://schemas.openxmlformats.org/officeDocument/2006/relationships/hyperlink" Target="https://1drv.ms/x/s!AkP3hbXXLtgBhpEoaTK-EAwrB6PPjQ?e=mXia38&amp;nav=MTVfe0I0NjUwQ0I4LURGNzEtNDA5NC04M0QxLUExRTNDN0Q3OTc1MX0" TargetMode="External"/><Relationship Id="rId2746" Type="http://schemas.openxmlformats.org/officeDocument/2006/relationships/drawing" Target="../drawings/drawing1.xml"/><Relationship Id="rId620" Type="http://schemas.openxmlformats.org/officeDocument/2006/relationships/hyperlink" Target="https://1drv.ms/x/s!AkP3hbXXLtgBhpEoaTK-EAwrB6PPjQ?e=ZRDRyK&amp;nav=MTVfe0IyQkRBQzE0LUM2QkQtNDY3Ny04MjcyLUQxNjYyMkIyRTZGRH0" TargetMode="External"/><Relationship Id="rId718" Type="http://schemas.openxmlformats.org/officeDocument/2006/relationships/hyperlink" Target="https://1drv.ms/x/s!AkP3hbXXLtgBhpEoaTK-EAwrB6PPjQ?e=JPeMLZ&amp;nav=MTVfezdEMkY3NDEyLUYwMzItNDM0RC05MDRFLTcyNTE0ODM0NjA4M30" TargetMode="External"/><Relationship Id="rId925" Type="http://schemas.openxmlformats.org/officeDocument/2006/relationships/hyperlink" Target="https://1drv.ms/x/s!AkP3hbXXLtgBhpEoaTK-EAwrB6PPjQ?e=GuJxJM&amp;nav=MTVfe0NBQzcxNDNGLTAzODYtNEFDRi1BNTI1LTRDQTYxMDEzNkYwM30" TargetMode="External"/><Relationship Id="rId1250" Type="http://schemas.openxmlformats.org/officeDocument/2006/relationships/hyperlink" Target="https://1drv.ms/x/s!AkP3hbXXLtgBhpEoaTK-EAwrB6PPjQ?e=UaBeCf&amp;nav=MTVfezM0NkJDRTA1LThBNUQtNDFFMC1BNjQ2LTk5NTVEMTg4RUEzNn0" TargetMode="External"/><Relationship Id="rId1348" Type="http://schemas.openxmlformats.org/officeDocument/2006/relationships/hyperlink" Target="https://1drv.ms/x/s!AkP3hbXXLtgBhpEoaTK-EAwrB6PPjQ?e=SkY523&amp;nav=MTVfezk3NEQ3MjVGLTlERDMtNDdDOS05QzJDLUU5RjJCNjk2N0I4MX0" TargetMode="External"/><Relationship Id="rId1555" Type="http://schemas.openxmlformats.org/officeDocument/2006/relationships/hyperlink" Target="https://1drv.ms/x/s!AkP3hbXXLtgBhpEoaTK-EAwrB6PPjQ?e=PsqPhH&amp;nav=MTVfe0ZDRjg3ODhGLTBFNDItNDJCOC04MDRCLTU4OTcwNUMwMjFGMn0" TargetMode="External"/><Relationship Id="rId1762" Type="http://schemas.openxmlformats.org/officeDocument/2006/relationships/hyperlink" Target="https://1drv.ms/x/s!AkP3hbXXLtgBhpEoaTK-EAwrB6PPjQ?e=sBpJD5&amp;nav=MTVfezM5QzdFMEZDLTg3QTEtNDRCMS04QTgyLUQ3MDU0NDI2MTBFRn0" TargetMode="External"/><Relationship Id="rId2301" Type="http://schemas.openxmlformats.org/officeDocument/2006/relationships/hyperlink" Target="https://1drv.ms/x/s!AkP3hbXXLtgBhpEoaTK-EAwrB6PPjQ?e=LiWfcw&amp;nav=MTVfezFBQTVDNUQ5LTIxM0QtNDcxMi05RkYwLUI2NUUyNTFDRkFBMH0" TargetMode="External"/><Relationship Id="rId2606" Type="http://schemas.openxmlformats.org/officeDocument/2006/relationships/hyperlink" Target="https://1drv.ms/x/s!AkP3hbXXLtgBhpEoaTK-EAwrB6PPjQ?e=k1JzSb&amp;nav=MTVfezlCRDVCMEI4LTNBMEItNDE5NC04RTEyLUQxQzc3N0U3MUFFQn0" TargetMode="External"/><Relationship Id="rId1110" Type="http://schemas.openxmlformats.org/officeDocument/2006/relationships/hyperlink" Target="https://1drv.ms/x/s!AkP3hbXXLtgBhpEoaTK-EAwrB6PPjQ?e=Brd8C5&amp;nav=MTVfe0YyMTJGNjdELTg0REMtNEY4Ri05MzE5LTE0M0FEODlBMzg5Q30" TargetMode="External"/><Relationship Id="rId1208" Type="http://schemas.openxmlformats.org/officeDocument/2006/relationships/hyperlink" Target="https://1drv.ms/x/s!AkP3hbXXLtgBhpEoaTK-EAwrB6PPjQ?e=U6lTuf&amp;nav=MTVfezFEODYyODdBLUIyOTctNDdGMC04MTkyLUUzRDE3NjM5RkNFQ30" TargetMode="External"/><Relationship Id="rId1415" Type="http://schemas.openxmlformats.org/officeDocument/2006/relationships/hyperlink" Target="https://1drv.ms/x/s!AkP3hbXXLtgBhpEoaTK-EAwrB6PPjQ?e=xXe3yl&amp;nav=MTVfezM1QjlFQjFCLUIxM0MtNDQ0Ni05MzQyLUU2QjczMkYzQzJFOH0" TargetMode="External"/><Relationship Id="rId54" Type="http://schemas.openxmlformats.org/officeDocument/2006/relationships/hyperlink" Target="https://1drv.ms/x/s!AkP3hbXXLtgBhpEoaTK-EAwrB6PPjQ?e=AMVmTu&amp;nav=MTVfezNFMEFDQTg3LTgzOUUtNDFGNC04MkYwLUIxRjIyNTFBRDYzNX0" TargetMode="External"/><Relationship Id="rId1622" Type="http://schemas.openxmlformats.org/officeDocument/2006/relationships/hyperlink" Target="https://1drv.ms/x/s!AkP3hbXXLtgBhpEoaTK-EAwrB6PPjQ?e=hF7xUm&amp;nav=MTVfezBDOEZCN0U5LURBOEQtNEY2Qi1CNUE1LUYzQTk0NDFBRkE2NX0" TargetMode="External"/><Relationship Id="rId1927" Type="http://schemas.openxmlformats.org/officeDocument/2006/relationships/hyperlink" Target="https://1drv.ms/x/s!AkP3hbXXLtgBhpEoaTK-EAwrB6PPjQ?e=U8iWbp&amp;nav=MTVfezVDRDNFMEMzLTY0NDctNDUyNC05RjQyLUQ5MzdFOTgzQzgzNH0" TargetMode="External"/><Relationship Id="rId2091" Type="http://schemas.openxmlformats.org/officeDocument/2006/relationships/hyperlink" Target="https://1drv.ms/x/s!AkP3hbXXLtgBhpEoaTK-EAwrB6PPjQ?e=7tvhFu&amp;nav=MTVfezYzQUQ2N0RCLTZFQkQtNDhGOC1BODVFLUQzNjgwN0I4QkNFMn0" TargetMode="External"/><Relationship Id="rId2189" Type="http://schemas.openxmlformats.org/officeDocument/2006/relationships/hyperlink" Target="https://1drv.ms/x/s!AkP3hbXXLtgBhpEoaTK-EAwrB6PPjQ?e=PJkcfB&amp;nav=MTVfezBFRjgyRDlFLThFOEUtNDA2RC05QUQzLTk5RDY0REIzMEU3Rn0" TargetMode="External"/><Relationship Id="rId270" Type="http://schemas.openxmlformats.org/officeDocument/2006/relationships/hyperlink" Target="https://1drv.ms/x/s!AkP3hbXXLtgBhpEoaTK-EAwrB6PPjQ?e=36Im2J&amp;nav=MTVfezg1NTdGRUM1LTczODktNDk5My1BQjA0LTkyQjFDODE4MjgxRX0" TargetMode="External"/><Relationship Id="rId2396" Type="http://schemas.openxmlformats.org/officeDocument/2006/relationships/hyperlink" Target="https://1drv.ms/x/s!AkP3hbXXLtgBhpEoaTK-EAwrB6PPjQ?e=X2f9pt&amp;nav=MTVfe0M4ODI3QTVFLTgzOUMtNDk2Qy1BMThFLUNCMDYwN0JBQjM5M30" TargetMode="External"/><Relationship Id="rId130" Type="http://schemas.openxmlformats.org/officeDocument/2006/relationships/hyperlink" Target="https://1drv.ms/x/s!AkP3hbXXLtgBhpEoaTK-EAwrB6PPjQ?e=hRuig5&amp;nav=MTVfe0NCREMzODZGLTI3RDktNEI4RS05QjQ0LUUzQTc5QTQyQzY2MX0" TargetMode="External"/><Relationship Id="rId368" Type="http://schemas.openxmlformats.org/officeDocument/2006/relationships/hyperlink" Target="https://1drv.ms/x/s!AkP3hbXXLtgBhpEoaTK-EAwrB6PPjQ?e=mvWMFP&amp;nav=MTVfe0Q0MjM2QjFDLUVBQTAtNDE3Ri1BOEVGLTQzNzNBN0FGODY4M30" TargetMode="External"/><Relationship Id="rId575" Type="http://schemas.openxmlformats.org/officeDocument/2006/relationships/hyperlink" Target="https://1drv.ms/x/s!AkP3hbXXLtgBhpEoaTK-EAwrB6PPjQ?e=xgZSuS&amp;nav=MTVfezA3RkYxMTMwLTAyQjYtNDA4RS1BMkU5LTI2MUQ0MjM2OEJGQn0" TargetMode="External"/><Relationship Id="rId782" Type="http://schemas.openxmlformats.org/officeDocument/2006/relationships/hyperlink" Target="https://1drv.ms/x/s!AkP3hbXXLtgBhpEoaTK-EAwrB6PPjQ?e=0lRBEc&amp;nav=MTVfezRDRDQwMjU1LUJFM0ItNENDQS05NDQ1LUY1OTdERDA5ODg4NH0" TargetMode="External"/><Relationship Id="rId2049" Type="http://schemas.openxmlformats.org/officeDocument/2006/relationships/hyperlink" Target="https://1drv.ms/x/s!AkP3hbXXLtgBhpEoaTK-EAwrB6PPjQ?e=t9ByVx&amp;nav=MTVfe0MzOTE2QzlDLTMzMEMtNEQ4NS05NjZBLTBFNzk3QjgxMEIwQn0" TargetMode="External"/><Relationship Id="rId2256" Type="http://schemas.openxmlformats.org/officeDocument/2006/relationships/hyperlink" Target="https://1drv.ms/x/s!AkP3hbXXLtgBhpEoaTK-EAwrB6PPjQ?e=vI4FNr&amp;nav=MTVfezhGQzkyMTU5LUYxNTUtNDg4MS04N0QzLTE5OTgzQjI3QTc1NH0" TargetMode="External"/><Relationship Id="rId2463" Type="http://schemas.openxmlformats.org/officeDocument/2006/relationships/hyperlink" Target="https://1drv.ms/x/s!AkP3hbXXLtgBhpEoaTK-EAwrB6PPjQ?e=LQfhsg&amp;nav=MTVfe0FGQTQ2QTUxLTkwOEEtNEZCNi04OUQ1LTMwOUU4QkMzMTRFQ30" TargetMode="External"/><Relationship Id="rId2670" Type="http://schemas.openxmlformats.org/officeDocument/2006/relationships/hyperlink" Target="https://1drv.ms/x/s!AkP3hbXXLtgBhpEoaTK-EAwrB6PPjQ?e=hUXjPN&amp;nav=MTVfezYzNzY4MEExLTRDMzItNDcxMy05M0ZCLTBFNjAwNTlBMUI0MH0" TargetMode="External"/><Relationship Id="rId228" Type="http://schemas.openxmlformats.org/officeDocument/2006/relationships/hyperlink" Target="https://1drv.ms/x/s!AkP3hbXXLtgBhpEoaTK-EAwrB6PPjQ?e=36Im2J&amp;nav=MTVfezg1NTdGRUM1LTczODktNDk5My1BQjA0LTkyQjFDODE4MjgxRX0" TargetMode="External"/><Relationship Id="rId435" Type="http://schemas.openxmlformats.org/officeDocument/2006/relationships/hyperlink" Target="https://1drv.ms/x/s!AkP3hbXXLtgBhpEoaTK-EAwrB6PPjQ?e=sXo522&amp;nav=MTVfe0VCNzhCQUU0LUVEQzItNDRCMC04QTFFLUZEQzA0OTNEMDkzOX0" TargetMode="External"/><Relationship Id="rId642" Type="http://schemas.openxmlformats.org/officeDocument/2006/relationships/hyperlink" Target="https://1drv.ms/x/s!AkP3hbXXLtgBhpEoaTK-EAwrB6PPjQ?e=ZRDRyK&amp;nav=MTVfe0IyQkRBQzE0LUM2QkQtNDY3Ny04MjcyLUQxNjYyMkIyRTZGRH0" TargetMode="External"/><Relationship Id="rId1065" Type="http://schemas.openxmlformats.org/officeDocument/2006/relationships/hyperlink" Target="https://1drv.ms/x/s!AkP3hbXXLtgBhpEoaTK-EAwrB6PPjQ?e=rYbeUy&amp;nav=MTVfe0Q1MEM2OTMzLTFBNUUtNDhCMS1CQzhCLTlGQTI2NEEzRURDRH0" TargetMode="External"/><Relationship Id="rId1272" Type="http://schemas.openxmlformats.org/officeDocument/2006/relationships/hyperlink" Target="https://1drv.ms/x/s!AkP3hbXXLtgBhpEoaTK-EAwrB6PPjQ?e=bD2jTr&amp;nav=MTVfezRGRUQzQzY0LTk3M0ItNDNDNy1BRUY3LTYwMDNGN0E5OThFQX0" TargetMode="External"/><Relationship Id="rId2116" Type="http://schemas.openxmlformats.org/officeDocument/2006/relationships/hyperlink" Target="https://1drv.ms/x/s!AkP3hbXXLtgBhpEoaTK-EAwrB6PPjQ?e=7tvhFu&amp;nav=MTVfezYzQUQ2N0RCLTZFQkQtNDhGOC1BODVFLUQzNjgwN0I4QkNFMn0" TargetMode="External"/><Relationship Id="rId2323" Type="http://schemas.openxmlformats.org/officeDocument/2006/relationships/hyperlink" Target="https://1drv.ms/x/s!AkP3hbXXLtgBhpEoaTK-EAwrB6PPjQ?e=LiWfcw&amp;nav=MTVfezFBQTVDNUQ5LTIxM0QtNDcxMi05RkYwLUI2NUUyNTFDRkFBMH0" TargetMode="External"/><Relationship Id="rId2530" Type="http://schemas.openxmlformats.org/officeDocument/2006/relationships/hyperlink" Target="https://1drv.ms/x/s!AkP3hbXXLtgBhpEoaTK-EAwrB6PPjQ?e=mXia38&amp;nav=MTVfe0I0NjUwQ0I4LURGNzEtNDA5NC04M0QxLUExRTNDN0Q3OTc1MX0" TargetMode="External"/><Relationship Id="rId502" Type="http://schemas.openxmlformats.org/officeDocument/2006/relationships/hyperlink" Target="https://1drv.ms/x/s!AkP3hbXXLtgBhpEoaTK-EAwrB6PPjQ?e=zfxOib&amp;nav=MTVfezc5MUI1QUJBLTY0QUItNDM1OS05NkVBLTE3MUFBQTY2QzQ4Q30" TargetMode="External"/><Relationship Id="rId947" Type="http://schemas.openxmlformats.org/officeDocument/2006/relationships/hyperlink" Target="https://1drv.ms/x/s!AkP3hbXXLtgBhpEoaTK-EAwrB6PPjQ?e=GuJxJM&amp;nav=MTVfe0NBQzcxNDNGLTAzODYtNEFDRi1BNTI1LTRDQTYxMDEzNkYwM30" TargetMode="External"/><Relationship Id="rId1132" Type="http://schemas.openxmlformats.org/officeDocument/2006/relationships/hyperlink" Target="https://1drv.ms/x/s!AkP3hbXXLtgBhpEoaTK-EAwrB6PPjQ?e=Brd8C5&amp;nav=MTVfe0YyMTJGNjdELTg0REMtNEY4Ri05MzE5LTE0M0FEODlBMzg5Q30" TargetMode="External"/><Relationship Id="rId1577" Type="http://schemas.openxmlformats.org/officeDocument/2006/relationships/hyperlink" Target="https://1drv.ms/x/s!AkP3hbXXLtgBhpEoaTK-EAwrB6PPjQ?e=hF7xUm&amp;nav=MTVfezBDOEZCN0U5LURBOEQtNEY2Qi1CNUE1LUYzQTk0NDFBRkE2NX0" TargetMode="External"/><Relationship Id="rId1784" Type="http://schemas.openxmlformats.org/officeDocument/2006/relationships/hyperlink" Target="https://1drv.ms/x/s!AkP3hbXXLtgBhpEoaTK-EAwrB6PPjQ?e=sBpJD5&amp;nav=MTVfezM5QzdFMEZDLTg3QTEtNDRCMS04QTgyLUQ3MDU0NDI2MTBFRn0" TargetMode="External"/><Relationship Id="rId1991" Type="http://schemas.openxmlformats.org/officeDocument/2006/relationships/hyperlink" Target="https://1drv.ms/x/s!AkP3hbXXLtgBhpEoaTK-EAwrB6PPjQ?e=e8c5BE&amp;nav=MTVfe0YzRjMwRTg2LTYyMTgtNEY5QS05Qzg0LTUxNkJFM0Q4MDAwN30" TargetMode="External"/><Relationship Id="rId2628" Type="http://schemas.openxmlformats.org/officeDocument/2006/relationships/hyperlink" Target="https://1drv.ms/x/s!AkP3hbXXLtgBhpEoaTK-EAwrB6PPjQ?e=k1JzSb&amp;nav=MTVfezlCRDVCMEI4LTNBMEItNDE5NC04RTEyLUQxQzc3N0U3MUFFQn0" TargetMode="External"/><Relationship Id="rId76" Type="http://schemas.openxmlformats.org/officeDocument/2006/relationships/hyperlink" Target="https://1drv.ms/x/s!AkP3hbXXLtgBhpEoaTK-EAwrB6PPjQ?e=AMVmTu&amp;nav=MTVfezNFMEFDQTg3LTgzOUUtNDFGNC04MkYwLUIxRjIyNTFBRDYzNX0" TargetMode="External"/><Relationship Id="rId807" Type="http://schemas.openxmlformats.org/officeDocument/2006/relationships/hyperlink" Target="https://1drv.ms/x/s!AkP3hbXXLtgBhpEoaTK-EAwrB6PPjQ?e=zuxs7K&amp;nav=MTVfezEzQ0U5ODFBLTQxOTEtNERBOS05RDcwLTU1NDcwQ0I2MzhFNX0" TargetMode="External"/><Relationship Id="rId1437" Type="http://schemas.openxmlformats.org/officeDocument/2006/relationships/hyperlink" Target="https://1drv.ms/x/s!AkP3hbXXLtgBhpEoaTK-EAwrB6PPjQ?e=xXe3yl&amp;nav=MTVfezM1QjlFQjFCLUIxM0MtNDQ0Ni05MzQyLUU2QjczMkYzQzJFOH0" TargetMode="External"/><Relationship Id="rId1644" Type="http://schemas.openxmlformats.org/officeDocument/2006/relationships/hyperlink" Target="https://1drv.ms/x/s!AkP3hbXXLtgBhpEoaTK-EAwrB6PPjQ?e=VUlHtx&amp;nav=MTVfe0JEMzdCNzJBLTQ3QUItNEI0NC04MDRCLTNDRDY0MDVBODI2Qn0" TargetMode="External"/><Relationship Id="rId1851" Type="http://schemas.openxmlformats.org/officeDocument/2006/relationships/hyperlink" Target="https://1drv.ms/x/s!AkP3hbXXLtgBhpEoaTK-EAwrB6PPjQ?e=Qo1W02&amp;nav=MTVfe0Q5NDAyRTdCLTJCNEYtNEQ5OS05Q0Y4LTIyNDExQjYxNzRBRH0" TargetMode="External"/><Relationship Id="rId1504" Type="http://schemas.openxmlformats.org/officeDocument/2006/relationships/hyperlink" Target="https://1drv.ms/x/s!AkP3hbXXLtgBhpEoaTK-EAwrB6PPjQ?e=xGItXl&amp;nav=MTVfezc3NDc5QTVFLTEyMTItNEVGOS04NzRCLUUzREZBMkQ0NjU4OH0" TargetMode="External"/><Relationship Id="rId1711" Type="http://schemas.openxmlformats.org/officeDocument/2006/relationships/hyperlink" Target="https://1drv.ms/x/s!AkP3hbXXLtgBhpEoaTK-EAwrB6PPjQ?e=DHRjp5&amp;nav=MTVfezdEN0E2ODJDLUYxMzctNDI0MS1BRjZDLThEMzExM0M0OTZBNn0" TargetMode="External"/><Relationship Id="rId1949" Type="http://schemas.openxmlformats.org/officeDocument/2006/relationships/hyperlink" Target="https://1drv.ms/x/s!AkP3hbXXLtgBhpEoaTK-EAwrB6PPjQ?e=Hae5Hc&amp;nav=MTVfe0U1QUU2RDZBLTFGMkUtNENGNC04OENCLUE1MjI0OEMyNDMzNn0" TargetMode="External"/><Relationship Id="rId292" Type="http://schemas.openxmlformats.org/officeDocument/2006/relationships/hyperlink" Target="https://1drv.ms/x/s!AkP3hbXXLtgBhpEoaTK-EAwrB6PPjQ?e=HO6wd4&amp;nav=MTVfe0NDRThCRDRELTFCMEEtNDNFRC1BMDRDLTc1QjY0NDgwNjJBMH0" TargetMode="External"/><Relationship Id="rId1809" Type="http://schemas.openxmlformats.org/officeDocument/2006/relationships/hyperlink" Target="https://1drv.ms/x/s!AkP3hbXXLtgBhpEoaTK-EAwrB6PPjQ?e=sBpJD5&amp;nav=MTVfezM5QzdFMEZDLTg3QTEtNDRCMS04QTgyLUQ3MDU0NDI2MTBFRn0" TargetMode="External"/><Relationship Id="rId597" Type="http://schemas.openxmlformats.org/officeDocument/2006/relationships/hyperlink" Target="https://1drv.ms/x/s!AkP3hbXXLtgBhpEoaTK-EAwrB6PPjQ?e=xgZSuS&amp;nav=MTVfezA3RkYxMTMwLTAyQjYtNDA4RS1BMkU5LTI2MUQ0MjM2OEJGQn0" TargetMode="External"/><Relationship Id="rId2180" Type="http://schemas.openxmlformats.org/officeDocument/2006/relationships/hyperlink" Target="https://1drv.ms/x/s!AkP3hbXXLtgBhpEoaTK-EAwrB6PPjQ?e=PJkcfB&amp;nav=MTVfezBFRjgyRDlFLThFOEUtNDA2RC05QUQzLTk5RDY0REIzMEU3Rn0" TargetMode="External"/><Relationship Id="rId2278" Type="http://schemas.openxmlformats.org/officeDocument/2006/relationships/hyperlink" Target="https://1drv.ms/x/s!AkP3hbXXLtgBhpEoaTK-EAwrB6PPjQ?e=vI4FNr&amp;nav=MTVfezhGQzkyMTU5LUYxNTUtNDg4MS04N0QzLTE5OTgzQjI3QTc1NH0" TargetMode="External"/><Relationship Id="rId2485" Type="http://schemas.openxmlformats.org/officeDocument/2006/relationships/hyperlink" Target="https://1drv.ms/x/s!AkP3hbXXLtgBhpEoaTK-EAwrB6PPjQ?e=LQfhsg&amp;nav=MTVfe0FGQTQ2QTUxLTkwOEEtNEZCNi04OUQ1LTMwOUU4QkMzMTRFQ30" TargetMode="External"/><Relationship Id="rId152" Type="http://schemas.openxmlformats.org/officeDocument/2006/relationships/hyperlink" Target="https://1drv.ms/x/s!AkP3hbXXLtgBhpEoaTK-EAwrB6PPjQ?e=hRuig5&amp;nav=MTVfe0NCREMzODZGLTI3RDktNEI4RS05QjQ0LUUzQTc5QTQyQzY2MX0" TargetMode="External"/><Relationship Id="rId457" Type="http://schemas.openxmlformats.org/officeDocument/2006/relationships/hyperlink" Target="https://1drv.ms/x/s!AkP3hbXXLtgBhpEoaTK-EAwrB6PPjQ?e=sXo522&amp;nav=MTVfe0VCNzhCQUU0LUVEQzItNDRCMC04QTFFLUZEQzA0OTNEMDkzOX0" TargetMode="External"/><Relationship Id="rId1087" Type="http://schemas.openxmlformats.org/officeDocument/2006/relationships/hyperlink" Target="https://1drv.ms/x/s!AkP3hbXXLtgBhpEoaTK-EAwrB6PPjQ?e=rYbeUy&amp;nav=MTVfe0Q1MEM2OTMzLTFBNUUtNDhCMS1CQzhCLTlGQTI2NEEzRURDRH0" TargetMode="External"/><Relationship Id="rId1294" Type="http://schemas.openxmlformats.org/officeDocument/2006/relationships/hyperlink" Target="https://1drv.ms/x/s!AkP3hbXXLtgBhpEoaTK-EAwrB6PPjQ?e=bD2jTr&amp;nav=MTVfezRGRUQzQzY0LTk3M0ItNDNDNy1BRUY3LTYwMDNGN0E5OThFQX0" TargetMode="External"/><Relationship Id="rId2040" Type="http://schemas.openxmlformats.org/officeDocument/2006/relationships/hyperlink" Target="https://1drv.ms/x/s!AkP3hbXXLtgBhpEoaTK-EAwrB6PPjQ?e=e8c5BE&amp;nav=MTVfe0YzRjMwRTg2LTYyMTgtNEY5QS05Qzg0LTUxNkJFM0Q4MDAwN30" TargetMode="External"/><Relationship Id="rId2138" Type="http://schemas.openxmlformats.org/officeDocument/2006/relationships/hyperlink" Target="https://1drv.ms/x/s!AkP3hbXXLtgBhpEoaTK-EAwrB6PPjQ?e=nj2bQ1&amp;nav=MTVfezAwMDAwMDAwLTAwMDEtMDAwMC0wMDAwLTAwMDAwMDAwMDAwMH0" TargetMode="External"/><Relationship Id="rId2692" Type="http://schemas.openxmlformats.org/officeDocument/2006/relationships/hyperlink" Target="https://1drv.ms/x/s!AkP3hbXXLtgBhpEoaTK-EAwrB6PPjQ?e=hUXjPN&amp;nav=MTVfezYzNzY4MEExLTRDMzItNDcxMy05M0ZCLTBFNjAwNTlBMUI0MH0" TargetMode="External"/><Relationship Id="rId664" Type="http://schemas.openxmlformats.org/officeDocument/2006/relationships/hyperlink" Target="https://1drv.ms/x/s!AkP3hbXXLtgBhpEoaTK-EAwrB6PPjQ?e=JPeMLZ&amp;nav=MTVfezdEMkY3NDEyLUYwMzItNDM0RC05MDRFLTcyNTE0ODM0NjA4M30" TargetMode="External"/><Relationship Id="rId871" Type="http://schemas.openxmlformats.org/officeDocument/2006/relationships/hyperlink" Target="https://1drv.ms/x/s!AkP3hbXXLtgBhpEoaTK-EAwrB6PPjQ?e=VcWWuU&amp;nav=MTVfe0ExMEEwQ0RDLUFCNUQtNEMxQS1BM0ZGLTEzRDE2MkJEN0U2Q30" TargetMode="External"/><Relationship Id="rId969" Type="http://schemas.openxmlformats.org/officeDocument/2006/relationships/hyperlink" Target="https://1drv.ms/x/s!AkP3hbXXLtgBhpEoaTK-EAwrB6PPjQ?e=fk66xb&amp;nav=MTVfezU0MjNBNEE5LTNDNzctNDQwNC05RjA3LTAyNEI1N0FBQjFDNX0" TargetMode="External"/><Relationship Id="rId1599" Type="http://schemas.openxmlformats.org/officeDocument/2006/relationships/hyperlink" Target="https://1drv.ms/x/s!AkP3hbXXLtgBhpEoaTK-EAwrB6PPjQ?e=hF7xUm&amp;nav=MTVfezBDOEZCN0U5LURBOEQtNEY2Qi1CNUE1LUYzQTk0NDFBRkE2NX0" TargetMode="External"/><Relationship Id="rId2345" Type="http://schemas.openxmlformats.org/officeDocument/2006/relationships/hyperlink" Target="https://1drv.ms/x/s!AkP3hbXXLtgBhpEoaTK-EAwrB6PPjQ?e=LiWfcw&amp;nav=MTVfezFBQTVDNUQ5LTIxM0QtNDcxMi05RkYwLUI2NUUyNTFDRkFBMH0" TargetMode="External"/><Relationship Id="rId2552" Type="http://schemas.openxmlformats.org/officeDocument/2006/relationships/hyperlink" Target="https://1drv.ms/x/s!AkP3hbXXLtgBhpEoaTK-EAwrB6PPjQ?e=mXia38&amp;nav=MTVfe0I0NjUwQ0I4LURGNzEtNDA5NC04M0QxLUExRTNDN0Q3OTc1MX0" TargetMode="External"/><Relationship Id="rId317" Type="http://schemas.openxmlformats.org/officeDocument/2006/relationships/hyperlink" Target="https://1drv.ms/x/s!AkP3hbXXLtgBhpEoaTK-EAwrB6PPjQ?e=HO6wd4&amp;nav=MTVfe0NDRThCRDRELTFCMEEtNDNFRC1BMDRDLTc1QjY0NDgwNjJBMH0" TargetMode="External"/><Relationship Id="rId524" Type="http://schemas.openxmlformats.org/officeDocument/2006/relationships/hyperlink" Target="https://1drv.ms/x/s!AkP3hbXXLtgBhpEoaTK-EAwrB6PPjQ?e=zfxOib&amp;nav=MTVfezc5MUI1QUJBLTY0QUItNDM1OS05NkVBLTE3MUFBQTY2QzQ4Q30" TargetMode="External"/><Relationship Id="rId731" Type="http://schemas.openxmlformats.org/officeDocument/2006/relationships/hyperlink" Target="https://1drv.ms/x/s!AkP3hbXXLtgBhpEoaTK-EAwrB6PPjQ?e=0lRBEc&amp;nav=MTVfezRDRDQwMjU1LUJFM0ItNENDQS05NDQ1LUY1OTdERDA5ODg4NH0" TargetMode="External"/><Relationship Id="rId1154" Type="http://schemas.openxmlformats.org/officeDocument/2006/relationships/hyperlink" Target="https://1drv.ms/x/s!AkP3hbXXLtgBhpEoaTK-EAwrB6PPjQ?e=7D4jtp&amp;nav=MTVfe0Q5MDNFMUVCLUFFNkQtNDU5OC04QjYyLUFGODVDMTZENkVGMX0" TargetMode="External"/><Relationship Id="rId1361" Type="http://schemas.openxmlformats.org/officeDocument/2006/relationships/hyperlink" Target="https://1drv.ms/x/s!AkP3hbXXLtgBhpEoaTK-EAwrB6PPjQ?e=0mRVd8&amp;nav=MTVfezhCNkZEQTNBLUNGMjctNEI5QS04QzdDLTFGQzk0MjVBNUY1QX0" TargetMode="External"/><Relationship Id="rId1459" Type="http://schemas.openxmlformats.org/officeDocument/2006/relationships/hyperlink" Target="https://1drv.ms/x/s!AkP3hbXXLtgBhpEoaTK-EAwrB6PPjQ?e=xXe3yl&amp;nav=MTVfezM1QjlFQjFCLUIxM0MtNDQ0Ni05MzQyLUU2QjczMkYzQzJFOH0" TargetMode="External"/><Relationship Id="rId2205" Type="http://schemas.openxmlformats.org/officeDocument/2006/relationships/hyperlink" Target="https://1drv.ms/x/s!AkP3hbXXLtgBhpEoaTK-EAwrB6PPjQ?e=PJkcfB&amp;nav=MTVfezBFRjgyRDlFLThFOEUtNDA2RC05QUQzLTk5RDY0REIzMEU3Rn0" TargetMode="External"/><Relationship Id="rId2412" Type="http://schemas.openxmlformats.org/officeDocument/2006/relationships/hyperlink" Target="https://1drv.ms/x/s!AkP3hbXXLtgBhpEoaTK-EAwrB6PPjQ?e=X2f9pt&amp;nav=MTVfe0M4ODI3QTVFLTgzOUMtNDk2Qy1BMThFLUNCMDYwN0JBQjM5M30" TargetMode="External"/><Relationship Id="rId98" Type="http://schemas.openxmlformats.org/officeDocument/2006/relationships/hyperlink" Target="https://1drv.ms/x/s!AkP3hbXXLtgBhpEoaTK-EAwrB6PPjQ?e=AMVmTu&amp;nav=MTVfezNFMEFDQTg3LTgzOUUtNDFGNC04MkYwLUIxRjIyNTFBRDYzNX0" TargetMode="External"/><Relationship Id="rId829" Type="http://schemas.openxmlformats.org/officeDocument/2006/relationships/hyperlink" Target="https://1drv.ms/x/s!AkP3hbXXLtgBhpEoaTK-EAwrB6PPjQ?e=zuxs7K&amp;nav=MTVfezEzQ0U5ODFBLTQxOTEtNERBOS05RDcwLTU1NDcwQ0I2MzhFNX0" TargetMode="External"/><Relationship Id="rId1014" Type="http://schemas.openxmlformats.org/officeDocument/2006/relationships/hyperlink" Target="https://1drv.ms/x/s!AkP3hbXXLtgBhpEoaTK-EAwrB6PPjQ?e=NFspu9&amp;nav=MTVfezE1M0M1OEJDLTA3MzUtNERFMC1BNzE4LTMzMUY1QjZBOEZDMH0" TargetMode="External"/><Relationship Id="rId1221" Type="http://schemas.openxmlformats.org/officeDocument/2006/relationships/hyperlink" Target="https://1drv.ms/x/s!AkP3hbXXLtgBhpEoaTK-EAwrB6PPjQ?e=U6lTuf&amp;nav=MTVfezFEODYyODdBLUIyOTctNDdGMC04MTkyLUUzRDE3NjM5RkNFQ30" TargetMode="External"/><Relationship Id="rId1666" Type="http://schemas.openxmlformats.org/officeDocument/2006/relationships/hyperlink" Target="https://1drv.ms/x/s!AkP3hbXXLtgBhpEoaTK-EAwrB6PPjQ?e=DHRjp5&amp;nav=MTVfezdEN0E2ODJDLUYxMzctNDI0MS1BRjZDLThEMzExM0M0OTZBNn0" TargetMode="External"/><Relationship Id="rId1873" Type="http://schemas.openxmlformats.org/officeDocument/2006/relationships/hyperlink" Target="https://1drv.ms/x/s!AkP3hbXXLtgBhpEoaTK-EAwrB6PPjQ?e=lNfo2c&amp;nav=MTVfezA2NDZDNEUzLUJDNjEtNDQ0RC05RjEzLTc2OTQ0MTEzOTQyNX0" TargetMode="External"/><Relationship Id="rId2717" Type="http://schemas.openxmlformats.org/officeDocument/2006/relationships/hyperlink" Target="https://1drv.ms/x/s!AkP3hbXXLtgBhpEoaTK-EAwrB6PPjQ?e=hUXjPN&amp;nav=MTVfezYzNzY4MEExLTRDMzItNDcxMy05M0ZCLTBFNjAwNTlBMUI0MH0" TargetMode="External"/><Relationship Id="rId1319" Type="http://schemas.openxmlformats.org/officeDocument/2006/relationships/hyperlink" Target="https://1drv.ms/x/s!AkP3hbXXLtgBhpEoaTK-EAwrB6PPjQ?e=aEDo0X&amp;nav=MTVfe0Y5NTI5MkI1LUFCMUItNDU0Ni1BNjg1LUVEQUU4Q0U3RTM5OX0" TargetMode="External"/><Relationship Id="rId1526" Type="http://schemas.openxmlformats.org/officeDocument/2006/relationships/hyperlink" Target="https://1drv.ms/x/s!AkP3hbXXLtgBhpEoaTK-EAwrB6PPjQ?e=PsqPhH&amp;nav=MTVfe0ZDRjg3ODhGLTBFNDItNDJCOC04MDRCLTU4OTcwNUMwMjFGMn0" TargetMode="External"/><Relationship Id="rId1733" Type="http://schemas.openxmlformats.org/officeDocument/2006/relationships/hyperlink" Target="https://1drv.ms/x/s!AkP3hbXXLtgBhpEoaTK-EAwrB6PPjQ?e=DHRjp5&amp;nav=MTVfezdEN0E2ODJDLUYxMzctNDI0MS1BRjZDLThEMzExM0M0OTZBNn0" TargetMode="External"/><Relationship Id="rId1940" Type="http://schemas.openxmlformats.org/officeDocument/2006/relationships/hyperlink" Target="https://1drv.ms/x/s!AkP3hbXXLtgBhpEoaTK-EAwrB6PPjQ?e=U8iWbp&amp;nav=MTVfezVDRDNFMEMzLTY0NDctNDUyNC05RjQyLUQ5MzdFOTgzQzgzNH0" TargetMode="External"/><Relationship Id="rId25" Type="http://schemas.openxmlformats.org/officeDocument/2006/relationships/hyperlink" Target="https://1drv.ms/x/s!AkP3hbXXLtgBhpEoaTK-EAwrB6PPjQ?e=pv1n5G&amp;nav=MTVfe0I5QjVDOEU1LTM5MTMtNDRCNy1COEY4LUUwMUNENUM2NTY1NX0" TargetMode="External"/><Relationship Id="rId1800" Type="http://schemas.openxmlformats.org/officeDocument/2006/relationships/hyperlink" Target="https://1drv.ms/x/s!AkP3hbXXLtgBhpEoaTK-EAwrB6PPjQ?e=sBpJD5&amp;nav=MTVfezM5QzdFMEZDLTg3QTEtNDRCMS04QTgyLUQ3MDU0NDI2MTBFRn0" TargetMode="External"/><Relationship Id="rId174" Type="http://schemas.openxmlformats.org/officeDocument/2006/relationships/hyperlink" Target="https://1drv.ms/x/s!AkP3hbXXLtgBhpEoaTK-EAwrB6PPjQ?e=hKKsXn&amp;nav=MTVfe0M0MzQ5RkZFLUFFMEMtNDZBOC05NDNELUU2ODg5N0JGMDU4Rn0" TargetMode="External"/><Relationship Id="rId381" Type="http://schemas.openxmlformats.org/officeDocument/2006/relationships/hyperlink" Target="https://1drv.ms/x/s!AkP3hbXXLtgBhpEoaTK-EAwrB6PPjQ?e=mvWMFP&amp;nav=MTVfe0Q0MjM2QjFDLUVBQTAtNDE3Ri1BOEVGLTQzNzNBN0FGODY4M30" TargetMode="External"/><Relationship Id="rId2062" Type="http://schemas.openxmlformats.org/officeDocument/2006/relationships/hyperlink" Target="https://1drv.ms/x/s!AkP3hbXXLtgBhpEoaTK-EAwrB6PPjQ?e=t9ByVx&amp;nav=MTVfe0MzOTE2QzlDLTMzMEMtNEQ4NS05NjZBLTBFNzk3QjgxMEIwQn0" TargetMode="External"/><Relationship Id="rId241" Type="http://schemas.openxmlformats.org/officeDocument/2006/relationships/hyperlink" Target="https://1drv.ms/x/s!AkP3hbXXLtgBhpEoaTK-EAwrB6PPjQ?e=36Im2J&amp;nav=MTVfezg1NTdGRUM1LTczODktNDk5My1BQjA0LTkyQjFDODE4MjgxRX0" TargetMode="External"/><Relationship Id="rId479" Type="http://schemas.openxmlformats.org/officeDocument/2006/relationships/hyperlink" Target="https://1drv.ms/x/s!AkP3hbXXLtgBhpEoaTK-EAwrB6PPjQ?e=sXo522&amp;nav=MTVfe0VCNzhCQUU0LUVEQzItNDRCMC04QTFFLUZEQzA0OTNEMDkzOX0" TargetMode="External"/><Relationship Id="rId686" Type="http://schemas.openxmlformats.org/officeDocument/2006/relationships/hyperlink" Target="https://1drv.ms/x/s!AkP3hbXXLtgBhpEoaTK-EAwrB6PPjQ?e=JPeMLZ&amp;nav=MTVfezdEMkY3NDEyLUYwMzItNDM0RC05MDRFLTcyNTE0ODM0NjA4M30" TargetMode="External"/><Relationship Id="rId893" Type="http://schemas.openxmlformats.org/officeDocument/2006/relationships/hyperlink" Target="https://1drv.ms/x/s!AkP3hbXXLtgBhpEoaTK-EAwrB6PPjQ?e=q7Y9UY&amp;nav=MTVfezY2QjMzRUJDLTdGREQtNEI4MC05QkFBLTZFRTQyNUFCMDY2MH0" TargetMode="External"/><Relationship Id="rId2367" Type="http://schemas.openxmlformats.org/officeDocument/2006/relationships/hyperlink" Target="https://1drv.ms/x/s!AkP3hbXXLtgBhpEoaTK-EAwrB6PPjQ?e=X2f9pt&amp;nav=MTVfe0M4ODI3QTVFLTgzOUMtNDk2Qy1BMThFLUNCMDYwN0JBQjM5M30" TargetMode="External"/><Relationship Id="rId2574" Type="http://schemas.openxmlformats.org/officeDocument/2006/relationships/hyperlink" Target="https://1drv.ms/x/s!AkP3hbXXLtgBhpEoaTK-EAwrB6PPjQ?e=mXia38&amp;nav=MTVfe0I0NjUwQ0I4LURGNzEtNDA5NC04M0QxLUExRTNDN0Q3OTc1MX0" TargetMode="External"/><Relationship Id="rId339" Type="http://schemas.openxmlformats.org/officeDocument/2006/relationships/hyperlink" Target="https://1drv.ms/x/s!AkP3hbXXLtgBhpEoaTK-EAwrB6PPjQ?e=HO6wd4&amp;nav=MTVfe0NDRThCRDRELTFCMEEtNDNFRC1BMDRDLTc1QjY0NDgwNjJBMH0" TargetMode="External"/><Relationship Id="rId546" Type="http://schemas.openxmlformats.org/officeDocument/2006/relationships/hyperlink" Target="https://1drv.ms/x/s!AkP3hbXXLtgBhpEoaTK-EAwrB6PPjQ?e=xgZSuS&amp;nav=MTVfezA3RkYxMTMwLTAyQjYtNDA4RS1BMkU5LTI2MUQ0MjM2OEJGQn0" TargetMode="External"/><Relationship Id="rId753" Type="http://schemas.openxmlformats.org/officeDocument/2006/relationships/hyperlink" Target="https://1drv.ms/x/s!AkP3hbXXLtgBhpEoaTK-EAwrB6PPjQ?e=0lRBEc&amp;nav=MTVfezRDRDQwMjU1LUJFM0ItNENDQS05NDQ1LUY1OTdERDA5ODg4NH0" TargetMode="External"/><Relationship Id="rId1176" Type="http://schemas.openxmlformats.org/officeDocument/2006/relationships/hyperlink" Target="https://1drv.ms/x/s!AkP3hbXXLtgBhpEoaTK-EAwrB6PPjQ?e=7D4jtp&amp;nav=MTVfe0Q5MDNFMUVCLUFFNkQtNDU5OC04QjYyLUFGODVDMTZENkVGMX0" TargetMode="External"/><Relationship Id="rId1383" Type="http://schemas.openxmlformats.org/officeDocument/2006/relationships/hyperlink" Target="https://1drv.ms/x/s!AkP3hbXXLtgBhpEoaTK-EAwrB6PPjQ?e=6Dzvxb&amp;nav=MTVfezE4RDVGRUE3LUYyN0MtNDRFNC1BMENCLTk1RTNFRjk3QkJDRX0" TargetMode="External"/><Relationship Id="rId2227" Type="http://schemas.openxmlformats.org/officeDocument/2006/relationships/hyperlink" Target="https://1drv.ms/x/s!AkP3hbXXLtgBhpEoaTK-EAwrB6PPjQ?e=PJkcfB&amp;nav=MTVfezBFRjgyRDlFLThFOEUtNDA2RC05QUQzLTk5RDY0REIzMEU3Rn0" TargetMode="External"/><Relationship Id="rId2434" Type="http://schemas.openxmlformats.org/officeDocument/2006/relationships/hyperlink" Target="https://1drv.ms/x/s!AkP3hbXXLtgBhpEoaTK-EAwrB6PPjQ?e=LQfhsg&amp;nav=MTVfe0FGQTQ2QTUxLTkwOEEtNEZCNi04OUQ1LTMwOUU4QkMzMTRFQ30" TargetMode="External"/><Relationship Id="rId101" Type="http://schemas.openxmlformats.org/officeDocument/2006/relationships/hyperlink" Target="https://1drv.ms/x/s!AkP3hbXXLtgBhpEoaTK-EAwrB6PPjQ?e=AMVmTu&amp;nav=MTVfezNFMEFDQTg3LTgzOUUtNDFGNC04MkYwLUIxRjIyNTFBRDYzNX0" TargetMode="External"/><Relationship Id="rId406" Type="http://schemas.openxmlformats.org/officeDocument/2006/relationships/hyperlink" Target="https://1drv.ms/x/s!AkP3hbXXLtgBhpEoaTK-EAwrB6PPjQ?e=mvWMFP&amp;nav=MTVfe0Q0MjM2QjFDLUVBQTAtNDE3Ri1BOEVGLTQzNzNBN0FGODY4M30" TargetMode="External"/><Relationship Id="rId960" Type="http://schemas.openxmlformats.org/officeDocument/2006/relationships/hyperlink" Target="https://1drv.ms/x/s!AkP3hbXXLtgBhpEoaTK-EAwrB6PPjQ?e=GuJxJM&amp;nav=MTVfe0NBQzcxNDNGLTAzODYtNEFDRi1BNTI1LTRDQTYxMDEzNkYwM30" TargetMode="External"/><Relationship Id="rId1036" Type="http://schemas.openxmlformats.org/officeDocument/2006/relationships/hyperlink" Target="https://1drv.ms/x/s!AkP3hbXXLtgBhpEoaTK-EAwrB6PPjQ?e=NFspu9&amp;nav=MTVfezE1M0M1OEJDLTA3MzUtNERFMC1BNzE4LTMzMUY1QjZBOEZDMH0" TargetMode="External"/><Relationship Id="rId1243" Type="http://schemas.openxmlformats.org/officeDocument/2006/relationships/hyperlink" Target="https://1drv.ms/x/s!AkP3hbXXLtgBhpEoaTK-EAwrB6PPjQ?e=UaBeCf&amp;nav=MTVfezM0NkJDRTA1LThBNUQtNDFFMC1BNjQ2LTk5NTVEMTg4RUEzNn0" TargetMode="External"/><Relationship Id="rId1590" Type="http://schemas.openxmlformats.org/officeDocument/2006/relationships/hyperlink" Target="https://1drv.ms/x/s!AkP3hbXXLtgBhpEoaTK-EAwrB6PPjQ?e=hF7xUm&amp;nav=MTVfezBDOEZCN0U5LURBOEQtNEY2Qi1CNUE1LUYzQTk0NDFBRkE2NX0" TargetMode="External"/><Relationship Id="rId1688" Type="http://schemas.openxmlformats.org/officeDocument/2006/relationships/hyperlink" Target="https://1drv.ms/x/s!AkP3hbXXLtgBhpEoaTK-EAwrB6PPjQ?e=DHRjp5&amp;nav=MTVfezdEN0E2ODJDLUYxMzctNDI0MS1BRjZDLThEMzExM0M0OTZBNn0" TargetMode="External"/><Relationship Id="rId1895" Type="http://schemas.openxmlformats.org/officeDocument/2006/relationships/hyperlink" Target="https://1drv.ms/x/s!AkP3hbXXLtgBhpEoaTK-EAwrB6PPjQ?e=3z9g8a&amp;nav=MTVfezBGMENERTNBLTZCQTUtNDYwRi05MDM3LUNDNDk5MDBCNUU5MX0" TargetMode="External"/><Relationship Id="rId2641" Type="http://schemas.openxmlformats.org/officeDocument/2006/relationships/hyperlink" Target="https://1drv.ms/x/s!AkP3hbXXLtgBhpEoaTK-EAwrB6PPjQ?e=k1JzSb&amp;nav=MTVfezlCRDVCMEI4LTNBMEItNDE5NC04RTEyLUQxQzc3N0U3MUFFQn0" TargetMode="External"/><Relationship Id="rId2739" Type="http://schemas.openxmlformats.org/officeDocument/2006/relationships/hyperlink" Target="https://1drv.ms/x/s!AkP3hbXXLtgBhpEoaTK-EAwrB6PPjQ?e=5RiQ1M&amp;nav=MTVfezAwOEJCMDMxLUEyNEEtNDc3RS04RDNFLTBENTk0MDBCNEY0OH0" TargetMode="External"/><Relationship Id="rId613" Type="http://schemas.openxmlformats.org/officeDocument/2006/relationships/hyperlink" Target="https://1drv.ms/x/s!AkP3hbXXLtgBhpEoaTK-EAwrB6PPjQ?e=ZRDRyK&amp;nav=MTVfe0IyQkRBQzE0LUM2QkQtNDY3Ny04MjcyLUQxNjYyMkIyRTZGRH0" TargetMode="External"/><Relationship Id="rId820" Type="http://schemas.openxmlformats.org/officeDocument/2006/relationships/hyperlink" Target="https://1drv.ms/x/s!AkP3hbXXLtgBhpEoaTK-EAwrB6PPjQ?e=zuxs7K&amp;nav=MTVfezEzQ0U5ODFBLTQxOTEtNERBOS05RDcwLTU1NDcwQ0I2MzhFNX0" TargetMode="External"/><Relationship Id="rId918" Type="http://schemas.openxmlformats.org/officeDocument/2006/relationships/hyperlink" Target="https://1drv.ms/x/s!AkP3hbXXLtgBhpEoaTK-EAwrB6PPjQ?e=q7Y9UY&amp;nav=MTVfezY2QjMzRUJDLTdGREQtNEI4MC05QkFBLTZFRTQyNUFCMDY2MH0" TargetMode="External"/><Relationship Id="rId1450" Type="http://schemas.openxmlformats.org/officeDocument/2006/relationships/hyperlink" Target="https://1drv.ms/x/s!AkP3hbXXLtgBhpEoaTK-EAwrB6PPjQ?e=xXe3yl&amp;nav=MTVfezM1QjlFQjFCLUIxM0MtNDQ0Ni05MzQyLUU2QjczMkYzQzJFOH0" TargetMode="External"/><Relationship Id="rId1548" Type="http://schemas.openxmlformats.org/officeDocument/2006/relationships/hyperlink" Target="https://1drv.ms/x/s!AkP3hbXXLtgBhpEoaTK-EAwrB6PPjQ?e=PsqPhH&amp;nav=MTVfe0ZDRjg3ODhGLTBFNDItNDJCOC04MDRCLTU4OTcwNUMwMjFGMn0" TargetMode="External"/><Relationship Id="rId1755" Type="http://schemas.openxmlformats.org/officeDocument/2006/relationships/hyperlink" Target="https://1drv.ms/x/s!AkP3hbXXLtgBhpEoaTK-EAwrB6PPjQ?e=S6aQgK&amp;nav=MTVfezNDQTZGMDU5LTE2MUMtNDZDQi05RTYwLTUxMTNGNkFCNTI3Qn0" TargetMode="External"/><Relationship Id="rId2501" Type="http://schemas.openxmlformats.org/officeDocument/2006/relationships/hyperlink" Target="https://1drv.ms/x/s!AkP3hbXXLtgBhpEoaTK-EAwrB6PPjQ?e=LQfhsg&amp;nav=MTVfe0FGQTQ2QTUxLTkwOEEtNEZCNi04OUQ1LTMwOUU4QkMzMTRFQ30" TargetMode="External"/><Relationship Id="rId1103" Type="http://schemas.openxmlformats.org/officeDocument/2006/relationships/hyperlink" Target="https://1drv.ms/x/s!AkP3hbXXLtgBhpEoaTK-EAwrB6PPjQ?e=Brd8C5&amp;nav=MTVfe0YyMTJGNjdELTg0REMtNEY4Ri05MzE5LTE0M0FEODlBMzg5Q30" TargetMode="External"/><Relationship Id="rId1310" Type="http://schemas.openxmlformats.org/officeDocument/2006/relationships/hyperlink" Target="https://1drv.ms/x/s!AkP3hbXXLtgBhpEoaTK-EAwrB6PPjQ?e=bD2jTr&amp;nav=MTVfezRGRUQzQzY0LTk3M0ItNDNDNy1BRUY3LTYwMDNGN0E5OThFQX0" TargetMode="External"/><Relationship Id="rId1408" Type="http://schemas.openxmlformats.org/officeDocument/2006/relationships/hyperlink" Target="https://1drv.ms/x/s!AkP3hbXXLtgBhpEoaTK-EAwrB6PPjQ?e=6Dzvxb&amp;nav=MTVfezE4RDVGRUE3LUYyN0MtNDRFNC1BMENCLTk1RTNFRjk3QkJDRX0" TargetMode="External"/><Relationship Id="rId1962" Type="http://schemas.openxmlformats.org/officeDocument/2006/relationships/hyperlink" Target="https://1drv.ms/x/s!AkP3hbXXLtgBhpEoaTK-EAwrB6PPjQ?e=Hae5Hc&amp;nav=MTVfe0U1QUU2RDZBLTFGMkUtNENGNC04OENCLUE1MjI0OEMyNDMzNn0" TargetMode="External"/><Relationship Id="rId47" Type="http://schemas.openxmlformats.org/officeDocument/2006/relationships/hyperlink" Target="https://1drv.ms/x/s!AkP3hbXXLtgBhpEoaTK-EAwrB6PPjQ?e=AMVmTu&amp;nav=MTVfezNFMEFDQTg3LTgzOUUtNDFGNC04MkYwLUIxRjIyNTFBRDYzNX0" TargetMode="External"/><Relationship Id="rId1615" Type="http://schemas.openxmlformats.org/officeDocument/2006/relationships/hyperlink" Target="https://1drv.ms/x/s!AkP3hbXXLtgBhpEoaTK-EAwrB6PPjQ?e=hF7xUm&amp;nav=MTVfezBDOEZCN0U5LURBOEQtNEY2Qi1CNUE1LUYzQTk0NDFBRkE2NX0" TargetMode="External"/><Relationship Id="rId1822" Type="http://schemas.openxmlformats.org/officeDocument/2006/relationships/hyperlink" Target="https://1drv.ms/x/s!AkP3hbXXLtgBhpEoaTK-EAwrB6PPjQ?e=sBpJD5&amp;nav=MTVfezM5QzdFMEZDLTg3QTEtNDRCMS04QTgyLUQ3MDU0NDI2MTBFRn0" TargetMode="External"/><Relationship Id="rId196" Type="http://schemas.openxmlformats.org/officeDocument/2006/relationships/hyperlink" Target="https://1drv.ms/x/s!AkP3hbXXLtgBhpEoaTK-EAwrB6PPjQ?e=hKKsXn&amp;nav=MTVfe0M0MzQ5RkZFLUFFMEMtNDZBOC05NDNELUU2ODg5N0JGMDU4Rn0" TargetMode="External"/><Relationship Id="rId2084" Type="http://schemas.openxmlformats.org/officeDocument/2006/relationships/hyperlink" Target="https://1drv.ms/x/s!AkP3hbXXLtgBhpEoaTK-EAwrB6PPjQ?e=6Uvhwt&amp;nav=MTVfe0Q5NUQ0MEFGLTAxNjgtNDM5Ni04Rjg1LTZBMkFBMzFBMkRCMn0" TargetMode="External"/><Relationship Id="rId2291" Type="http://schemas.openxmlformats.org/officeDocument/2006/relationships/hyperlink" Target="https://1drv.ms/x/s!AkP3hbXXLtgBhpEoaTK-EAwrB6PPjQ?e=vI4FNr&amp;nav=MTVfezhGQzkyMTU5LUYxNTUtNDg4MS04N0QzLTE5OTgzQjI3QTc1NH0" TargetMode="External"/><Relationship Id="rId263" Type="http://schemas.openxmlformats.org/officeDocument/2006/relationships/hyperlink" Target="https://1drv.ms/x/s!AkP3hbXXLtgBhpEoaTK-EAwrB6PPjQ?e=36Im2J&amp;nav=MTVfezg1NTdGRUM1LTczODktNDk5My1BQjA0LTkyQjFDODE4MjgxRX0" TargetMode="External"/><Relationship Id="rId470" Type="http://schemas.openxmlformats.org/officeDocument/2006/relationships/hyperlink" Target="https://1drv.ms/x/s!AkP3hbXXLtgBhpEoaTK-EAwrB6PPjQ?e=sXo522&amp;nav=MTVfe0VCNzhCQUU0LUVEQzItNDRCMC04QTFFLUZEQzA0OTNEMDkzOX0" TargetMode="External"/><Relationship Id="rId2151" Type="http://schemas.openxmlformats.org/officeDocument/2006/relationships/hyperlink" Target="https://1drv.ms/x/s!AkP3hbXXLtgBhpEoaTK-EAwrB6PPjQ?e=nj2bQ1&amp;nav=MTVfezAwMDAwMDAwLTAwMDEtMDAwMC0wMDAwLTAwMDAwMDAwMDAwMH0" TargetMode="External"/><Relationship Id="rId2389" Type="http://schemas.openxmlformats.org/officeDocument/2006/relationships/hyperlink" Target="https://1drv.ms/x/s!AkP3hbXXLtgBhpEoaTK-EAwrB6PPjQ?e=X2f9pt&amp;nav=MTVfe0M4ODI3QTVFLTgzOUMtNDk2Qy1BMThFLUNCMDYwN0JBQjM5M30" TargetMode="External"/><Relationship Id="rId2596" Type="http://schemas.openxmlformats.org/officeDocument/2006/relationships/hyperlink" Target="https://1drv.ms/x/s!AkP3hbXXLtgBhpEoaTK-EAwrB6PPjQ?e=6yBXWn&amp;nav=MTVfezJFQ0QzRjA0LUYyNEMtNEI2OS1CQTYzLTQ1QTBDQ0M4QjlEN30" TargetMode="External"/><Relationship Id="rId123" Type="http://schemas.openxmlformats.org/officeDocument/2006/relationships/hyperlink" Target="https://1drv.ms/x/s!AkP3hbXXLtgBhpEoaTK-EAwrB6PPjQ?e=hRuig5&amp;nav=MTVfe0NCREMzODZGLTI3RDktNEI4RS05QjQ0LUUzQTc5QTQyQzY2MX0" TargetMode="External"/><Relationship Id="rId330" Type="http://schemas.openxmlformats.org/officeDocument/2006/relationships/hyperlink" Target="https://1drv.ms/x/s!AkP3hbXXLtgBhpEoaTK-EAwrB6PPjQ?e=HO6wd4&amp;nav=MTVfe0NDRThCRDRELTFCMEEtNDNFRC1BMDRDLTc1QjY0NDgwNjJBMH0" TargetMode="External"/><Relationship Id="rId568" Type="http://schemas.openxmlformats.org/officeDocument/2006/relationships/hyperlink" Target="https://1drv.ms/x/s!AkP3hbXXLtgBhpEoaTK-EAwrB6PPjQ?e=xgZSuS&amp;nav=MTVfezA3RkYxMTMwLTAyQjYtNDA4RS1BMkU5LTI2MUQ0MjM2OEJGQn0" TargetMode="External"/><Relationship Id="rId775" Type="http://schemas.openxmlformats.org/officeDocument/2006/relationships/hyperlink" Target="https://1drv.ms/x/s!AkP3hbXXLtgBhpEoaTK-EAwrB6PPjQ?e=0lRBEc&amp;nav=MTVfezRDRDQwMjU1LUJFM0ItNENDQS05NDQ1LUY1OTdERDA5ODg4NH0" TargetMode="External"/><Relationship Id="rId982" Type="http://schemas.openxmlformats.org/officeDocument/2006/relationships/hyperlink" Target="https://1drv.ms/x/s!AkP3hbXXLtgBhpEoaTK-EAwrB6PPjQ?e=fk66xb&amp;nav=MTVfezU0MjNBNEE5LTNDNzctNDQwNC05RjA3LTAyNEI1N0FBQjFDNX0" TargetMode="External"/><Relationship Id="rId1198" Type="http://schemas.openxmlformats.org/officeDocument/2006/relationships/hyperlink" Target="https://1drv.ms/x/s!AkP3hbXXLtgBhpEoaTK-EAwrB6PPjQ?e=U6lTuf&amp;nav=MTVfezFEODYyODdBLUIyOTctNDdGMC04MTkyLUUzRDE3NjM5RkNFQ30" TargetMode="External"/><Relationship Id="rId2011" Type="http://schemas.openxmlformats.org/officeDocument/2006/relationships/hyperlink" Target="https://1drv.ms/x/s!AkP3hbXXLtgBhpEoaTK-EAwrB6PPjQ?e=e8c5BE&amp;nav=MTVfe0YzRjMwRTg2LTYyMTgtNEY5QS05Qzg0LTUxNkJFM0Q4MDAwN30" TargetMode="External"/><Relationship Id="rId2249" Type="http://schemas.openxmlformats.org/officeDocument/2006/relationships/hyperlink" Target="https://1drv.ms/x/s!AkP3hbXXLtgBhpEoaTK-EAwrB6PPjQ?e=vI4FNr&amp;nav=MTVfezhGQzkyMTU5LUYxNTUtNDg4MS04N0QzLTE5OTgzQjI3QTc1NH0" TargetMode="External"/><Relationship Id="rId2456" Type="http://schemas.openxmlformats.org/officeDocument/2006/relationships/hyperlink" Target="https://1drv.ms/x/s!AkP3hbXXLtgBhpEoaTK-EAwrB6PPjQ?e=LQfhsg&amp;nav=MTVfe0FGQTQ2QTUxLTkwOEEtNEZCNi04OUQ1LTMwOUU4QkMzMTRFQ30" TargetMode="External"/><Relationship Id="rId2663" Type="http://schemas.openxmlformats.org/officeDocument/2006/relationships/hyperlink" Target="https://1drv.ms/x/s!AkP3hbXXLtgBhpEoaTK-EAwrB6PPjQ?e=k1JzSb&amp;nav=MTVfezlCRDVCMEI4LTNBMEItNDE5NC04RTEyLUQxQzc3N0U3MUFFQn0" TargetMode="External"/><Relationship Id="rId428" Type="http://schemas.openxmlformats.org/officeDocument/2006/relationships/hyperlink" Target="https://1drv.ms/x/s!AkP3hbXXLtgBhpEoaTK-EAwrB6PPjQ?e=sXo522&amp;nav=MTVfe0VCNzhCQUU0LUVEQzItNDRCMC04QTFFLUZEQzA0OTNEMDkzOX0" TargetMode="External"/><Relationship Id="rId635" Type="http://schemas.openxmlformats.org/officeDocument/2006/relationships/hyperlink" Target="https://1drv.ms/x/s!AkP3hbXXLtgBhpEoaTK-EAwrB6PPjQ?e=ZRDRyK&amp;nav=MTVfe0IyQkRBQzE0LUM2QkQtNDY3Ny04MjcyLUQxNjYyMkIyRTZGRH0" TargetMode="External"/><Relationship Id="rId842" Type="http://schemas.openxmlformats.org/officeDocument/2006/relationships/hyperlink" Target="https://1drv.ms/x/s!AkP3hbXXLtgBhpEoaTK-EAwrB6PPjQ?e=zuxs7K&amp;nav=MTVfezEzQ0U5ODFBLTQxOTEtNERBOS05RDcwLTU1NDcwQ0I2MzhFNX0" TargetMode="External"/><Relationship Id="rId1058" Type="http://schemas.openxmlformats.org/officeDocument/2006/relationships/hyperlink" Target="https://1drv.ms/x/s!AkP3hbXXLtgBhpEoaTK-EAwrB6PPjQ?e=rYbeUy&amp;nav=MTVfe0Q1MEM2OTMzLTFBNUUtNDhCMS1CQzhCLTlGQTI2NEEzRURDRH0" TargetMode="External"/><Relationship Id="rId1265" Type="http://schemas.openxmlformats.org/officeDocument/2006/relationships/hyperlink" Target="https://1drv.ms/x/s!AkP3hbXXLtgBhpEoaTK-EAwrB6PPjQ?e=UaBeCf&amp;nav=MTVfezM0NkJDRTA1LThBNUQtNDFFMC1BNjQ2LTk5NTVEMTg4RUEzNn0" TargetMode="External"/><Relationship Id="rId1472" Type="http://schemas.openxmlformats.org/officeDocument/2006/relationships/hyperlink" Target="https://1drv.ms/x/s!AkP3hbXXLtgBhpEoaTK-EAwrB6PPjQ?e=xXe3yl&amp;nav=MTVfezM1QjlFQjFCLUIxM0MtNDQ0Ni05MzQyLUU2QjczMkYzQzJFOH0" TargetMode="External"/><Relationship Id="rId2109" Type="http://schemas.openxmlformats.org/officeDocument/2006/relationships/hyperlink" Target="https://1drv.ms/x/s!AkP3hbXXLtgBhpEoaTK-EAwrB6PPjQ?e=7tvhFu&amp;nav=MTVfezYzQUQ2N0RCLTZFQkQtNDhGOC1BODVFLUQzNjgwN0I4QkNFMn0" TargetMode="External"/><Relationship Id="rId2316" Type="http://schemas.openxmlformats.org/officeDocument/2006/relationships/hyperlink" Target="https://1drv.ms/x/s!AkP3hbXXLtgBhpEoaTK-EAwrB6PPjQ?e=LiWfcw&amp;nav=MTVfezFBQTVDNUQ5LTIxM0QtNDcxMi05RkYwLUI2NUUyNTFDRkFBMH0" TargetMode="External"/><Relationship Id="rId2523" Type="http://schemas.openxmlformats.org/officeDocument/2006/relationships/hyperlink" Target="https://1drv.ms/x/s!AkP3hbXXLtgBhpEoaTK-EAwrB6PPjQ?e=mXia38&amp;nav=MTVfe0I0NjUwQ0I4LURGNzEtNDA5NC04M0QxLUExRTNDN0Q3OTc1MX0" TargetMode="External"/><Relationship Id="rId2730" Type="http://schemas.openxmlformats.org/officeDocument/2006/relationships/hyperlink" Target="https://1drv.ms/x/s!AkP3hbXXLtgBhpEoaTK-EAwrB6PPjQ?e=hUXjPN&amp;nav=MTVfezYzNzY4MEExLTRDMzItNDcxMy05M0ZCLTBFNjAwNTlBMUI0MH0" TargetMode="External"/><Relationship Id="rId702" Type="http://schemas.openxmlformats.org/officeDocument/2006/relationships/hyperlink" Target="https://1drv.ms/x/s!AkP3hbXXLtgBhpEoaTK-EAwrB6PPjQ?e=JPeMLZ&amp;nav=MTVfezdEMkY3NDEyLUYwMzItNDM0RC05MDRFLTcyNTE0ODM0NjA4M30" TargetMode="External"/><Relationship Id="rId1125" Type="http://schemas.openxmlformats.org/officeDocument/2006/relationships/hyperlink" Target="https://1drv.ms/x/s!AkP3hbXXLtgBhpEoaTK-EAwrB6PPjQ?e=Brd8C5&amp;nav=MTVfe0YyMTJGNjdELTg0REMtNEY4Ri05MzE5LTE0M0FEODlBMzg5Q30" TargetMode="External"/><Relationship Id="rId1332" Type="http://schemas.openxmlformats.org/officeDocument/2006/relationships/hyperlink" Target="https://1drv.ms/x/s!AkP3hbXXLtgBhpEoaTK-EAwrB6PPjQ?e=mYpfR1&amp;nav=MTVfe0NGMTlDQTg1LUE2QUMtNDYyRC1CN0M1LUExRjVBNjI1MDcyOX0" TargetMode="External"/><Relationship Id="rId1777" Type="http://schemas.openxmlformats.org/officeDocument/2006/relationships/hyperlink" Target="https://1drv.ms/x/s!AkP3hbXXLtgBhpEoaTK-EAwrB6PPjQ?e=sBpJD5&amp;nav=MTVfezM5QzdFMEZDLTg3QTEtNDRCMS04QTgyLUQ3MDU0NDI2MTBFRn0" TargetMode="External"/><Relationship Id="rId1984" Type="http://schemas.openxmlformats.org/officeDocument/2006/relationships/hyperlink" Target="https://1drv.ms/x/s!AkP3hbXXLtgBhpEoaTK-EAwrB6PPjQ?e=e8c5BE&amp;nav=MTVfe0YzRjMwRTg2LTYyMTgtNEY5QS05Qzg0LTUxNkJFM0Q4MDAwN30" TargetMode="External"/><Relationship Id="rId69" Type="http://schemas.openxmlformats.org/officeDocument/2006/relationships/hyperlink" Target="https://1drv.ms/x/s!AkP3hbXXLtgBhpEoaTK-EAwrB6PPjQ?e=AMVmTu&amp;nav=MTVfezNFMEFDQTg3LTgzOUUtNDFGNC04MkYwLUIxRjIyNTFBRDYzNX0" TargetMode="External"/><Relationship Id="rId1637" Type="http://schemas.openxmlformats.org/officeDocument/2006/relationships/hyperlink" Target="https://1drv.ms/x/s!AkP3hbXXLtgBhpEoaTK-EAwrB6PPjQ?e=VUlHtx&amp;nav=MTVfe0JEMzdCNzJBLTQ3QUItNEI0NC04MDRCLTNDRDY0MDVBODI2Qn0" TargetMode="External"/><Relationship Id="rId1844" Type="http://schemas.openxmlformats.org/officeDocument/2006/relationships/hyperlink" Target="https://1drv.ms/x/s!AkP3hbXXLtgBhpEoaTK-EAwrB6PPjQ?e=Qo1W02&amp;nav=MTVfe0Q5NDAyRTdCLTJCNEYtNEQ5OS05Q0Y4LTIyNDExQjYxNzRBRH0" TargetMode="External"/><Relationship Id="rId1704" Type="http://schemas.openxmlformats.org/officeDocument/2006/relationships/hyperlink" Target="https://1drv.ms/x/s!AkP3hbXXLtgBhpEoaTK-EAwrB6PPjQ?e=DHRjp5&amp;nav=MTVfezdEN0E2ODJDLUYxMzctNDI0MS1BRjZDLThEMzExM0M0OTZBNn0" TargetMode="External"/><Relationship Id="rId285" Type="http://schemas.openxmlformats.org/officeDocument/2006/relationships/hyperlink" Target="https://1drv.ms/x/s!AkP3hbXXLtgBhpEoaTK-EAwrB6PPjQ?e=36Im2J&amp;nav=MTVfezg1NTdGRUM1LTczODktNDk5My1BQjA0LTkyQjFDODE4MjgxRX0" TargetMode="External"/><Relationship Id="rId1911" Type="http://schemas.openxmlformats.org/officeDocument/2006/relationships/hyperlink" Target="https://1drv.ms/x/s!AkP3hbXXLtgBhpEoaTK-EAwrB6PPjQ?e=TStCPl&amp;nav=MTVfezI2MjVEMjA5LUMzRUYtNEM5RS1CM0Q3LUE4NUY4RTMyNDUyNH0" TargetMode="External"/><Relationship Id="rId492" Type="http://schemas.openxmlformats.org/officeDocument/2006/relationships/hyperlink" Target="https://1drv.ms/x/s!AkP3hbXXLtgBhpEoaTK-EAwrB6PPjQ?e=zfxOib&amp;nav=MTVfezc5MUI1QUJBLTY0QUItNDM1OS05NkVBLTE3MUFBQTY2QzQ4Q30" TargetMode="External"/><Relationship Id="rId797" Type="http://schemas.openxmlformats.org/officeDocument/2006/relationships/hyperlink" Target="https://1drv.ms/x/s!AkP3hbXXLtgBhpEoaTK-EAwrB6PPjQ?e=zuxs7K&amp;nav=MTVfezEzQ0U5ODFBLTQxOTEtNERBOS05RDcwLTU1NDcwQ0I2MzhFNX0" TargetMode="External"/><Relationship Id="rId2173" Type="http://schemas.openxmlformats.org/officeDocument/2006/relationships/hyperlink" Target="https://1drv.ms/x/s!AkP3hbXXLtgBhpEoaTK-EAwrB6PPjQ?e=PJkcfB&amp;nav=MTVfezBFRjgyRDlFLThFOEUtNDA2RC05QUQzLTk5RDY0REIzMEU3Rn0" TargetMode="External"/><Relationship Id="rId2380" Type="http://schemas.openxmlformats.org/officeDocument/2006/relationships/hyperlink" Target="https://1drv.ms/x/s!AkP3hbXXLtgBhpEoaTK-EAwrB6PPjQ?e=X2f9pt&amp;nav=MTVfe0M4ODI3QTVFLTgzOUMtNDk2Qy1BMThFLUNCMDYwN0JBQjM5M30" TargetMode="External"/><Relationship Id="rId2478" Type="http://schemas.openxmlformats.org/officeDocument/2006/relationships/hyperlink" Target="https://1drv.ms/x/s!AkP3hbXXLtgBhpEoaTK-EAwrB6PPjQ?e=LQfhsg&amp;nav=MTVfe0FGQTQ2QTUxLTkwOEEtNEZCNi04OUQ1LTMwOUU4QkMzMTRFQ30" TargetMode="External"/><Relationship Id="rId145" Type="http://schemas.openxmlformats.org/officeDocument/2006/relationships/hyperlink" Target="https://1drv.ms/x/s!AkP3hbXXLtgBhpEoaTK-EAwrB6PPjQ?e=hRuig5&amp;nav=MTVfe0NCREMzODZGLTI3RDktNEI4RS05QjQ0LUUzQTc5QTQyQzY2MX0" TargetMode="External"/><Relationship Id="rId352" Type="http://schemas.openxmlformats.org/officeDocument/2006/relationships/hyperlink" Target="https://1drv.ms/x/s!AkP3hbXXLtgBhpEoaTK-EAwrB6PPjQ?e=mvWMFP&amp;nav=MTVfe0Q0MjM2QjFDLUVBQTAtNDE3Ri1BOEVGLTQzNzNBN0FGODY4M30" TargetMode="External"/><Relationship Id="rId1287" Type="http://schemas.openxmlformats.org/officeDocument/2006/relationships/hyperlink" Target="https://1drv.ms/x/s!AkP3hbXXLtgBhpEoaTK-EAwrB6PPjQ?e=bD2jTr&amp;nav=MTVfezRGRUQzQzY0LTk3M0ItNDNDNy1BRUY3LTYwMDNGN0E5OThFQX0" TargetMode="External"/><Relationship Id="rId2033" Type="http://schemas.openxmlformats.org/officeDocument/2006/relationships/hyperlink" Target="https://1drv.ms/x/s!AkP3hbXXLtgBhpEoaTK-EAwrB6PPjQ?e=e8c5BE&amp;nav=MTVfe0YzRjMwRTg2LTYyMTgtNEY5QS05Qzg0LTUxNkJFM0Q4MDAwN30" TargetMode="External"/><Relationship Id="rId2240" Type="http://schemas.openxmlformats.org/officeDocument/2006/relationships/hyperlink" Target="https://1drv.ms/x/s!AkP3hbXXLtgBhpEoaTK-EAwrB6PPjQ?e=vI4FNr&amp;nav=MTVfezhGQzkyMTU5LUYxNTUtNDg4MS04N0QzLTE5OTgzQjI3QTc1NH0" TargetMode="External"/><Relationship Id="rId2685" Type="http://schemas.openxmlformats.org/officeDocument/2006/relationships/hyperlink" Target="https://1drv.ms/x/s!AkP3hbXXLtgBhpEoaTK-EAwrB6PPjQ?e=hUXjPN&amp;nav=MTVfezYzNzY4MEExLTRDMzItNDcxMy05M0ZCLTBFNjAwNTlBMUI0MH0" TargetMode="External"/><Relationship Id="rId212" Type="http://schemas.openxmlformats.org/officeDocument/2006/relationships/hyperlink" Target="https://1drv.ms/x/s!AkP3hbXXLtgBhpEoaTK-EAwrB6PPjQ?e=hKKsXn&amp;nav=MTVfe0M0MzQ5RkZFLUFFMEMtNDZBOC05NDNELUU2ODg5N0JGMDU4Rn0" TargetMode="External"/><Relationship Id="rId657" Type="http://schemas.openxmlformats.org/officeDocument/2006/relationships/hyperlink" Target="https://1drv.ms/x/s!AkP3hbXXLtgBhpEoaTK-EAwrB6PPjQ?e=ZRDRyK&amp;nav=MTVfe0IyQkRBQzE0LUM2QkQtNDY3Ny04MjcyLUQxNjYyMkIyRTZGRH0" TargetMode="External"/><Relationship Id="rId864" Type="http://schemas.openxmlformats.org/officeDocument/2006/relationships/hyperlink" Target="https://1drv.ms/x/s!AkP3hbXXLtgBhpEoaTK-EAwrB6PPjQ?e=VcWWuU&amp;nav=MTVfe0ExMEEwQ0RDLUFCNUQtNEMxQS1BM0ZGLTEzRDE2MkJEN0U2Q30" TargetMode="External"/><Relationship Id="rId1494" Type="http://schemas.openxmlformats.org/officeDocument/2006/relationships/hyperlink" Target="https://1drv.ms/x/s!AkP3hbXXLtgBhpEoaTK-EAwrB6PPjQ?e=Dygyft&amp;nav=MTVfe0VDMUJBNEJBLUNCOTAtNDI3Ri1CMTVFLUZDQjc2NURCQ0I1Q30" TargetMode="External"/><Relationship Id="rId1799" Type="http://schemas.openxmlformats.org/officeDocument/2006/relationships/hyperlink" Target="https://1drv.ms/x/s!AkP3hbXXLtgBhpEoaTK-EAwrB6PPjQ?e=sBpJD5&amp;nav=MTVfezM5QzdFMEZDLTg3QTEtNDRCMS04QTgyLUQ3MDU0NDI2MTBFRn0" TargetMode="External"/><Relationship Id="rId2100" Type="http://schemas.openxmlformats.org/officeDocument/2006/relationships/hyperlink" Target="https://1drv.ms/x/s!AkP3hbXXLtgBhpEoaTK-EAwrB6PPjQ?e=7tvhFu&amp;nav=MTVfezYzQUQ2N0RCLTZFQkQtNDhGOC1BODVFLUQzNjgwN0I4QkNFMn0" TargetMode="External"/><Relationship Id="rId2338" Type="http://schemas.openxmlformats.org/officeDocument/2006/relationships/hyperlink" Target="https://1drv.ms/x/s!AkP3hbXXLtgBhpEoaTK-EAwrB6PPjQ?e=LiWfcw&amp;nav=MTVfezFBQTVDNUQ5LTIxM0QtNDcxMi05RkYwLUI2NUUyNTFDRkFBMH0" TargetMode="External"/><Relationship Id="rId2545" Type="http://schemas.openxmlformats.org/officeDocument/2006/relationships/hyperlink" Target="https://1drv.ms/x/s!AkP3hbXXLtgBhpEoaTK-EAwrB6PPjQ?e=mXia38&amp;nav=MTVfe0I0NjUwQ0I4LURGNzEtNDA5NC04M0QxLUExRTNDN0Q3OTc1MX0" TargetMode="External"/><Relationship Id="rId517" Type="http://schemas.openxmlformats.org/officeDocument/2006/relationships/hyperlink" Target="https://1drv.ms/x/s!AkP3hbXXLtgBhpEoaTK-EAwrB6PPjQ?e=zfxOib&amp;nav=MTVfezc5MUI1QUJBLTY0QUItNDM1OS05NkVBLTE3MUFBQTY2QzQ4Q30" TargetMode="External"/><Relationship Id="rId724" Type="http://schemas.openxmlformats.org/officeDocument/2006/relationships/hyperlink" Target="https://1drv.ms/x/s!AkP3hbXXLtgBhpEoaTK-EAwrB6PPjQ?e=JPeMLZ&amp;nav=MTVfezdEMkY3NDEyLUYwMzItNDM0RC05MDRFLTcyNTE0ODM0NjA4M30" TargetMode="External"/><Relationship Id="rId931" Type="http://schemas.openxmlformats.org/officeDocument/2006/relationships/hyperlink" Target="https://1drv.ms/x/s!AkP3hbXXLtgBhpEoaTK-EAwrB6PPjQ?e=GuJxJM&amp;nav=MTVfe0NBQzcxNDNGLTAzODYtNEFDRi1BNTI1LTRDQTYxMDEzNkYwM30" TargetMode="External"/><Relationship Id="rId1147" Type="http://schemas.openxmlformats.org/officeDocument/2006/relationships/hyperlink" Target="https://1drv.ms/x/s!AkP3hbXXLtgBhpEoaTK-EAwrB6PPjQ?e=xGItXl&amp;nav=MTVfezc3NDc5QTVFLTEyMTItNEVGOS04NzRCLUUzREZBMkQ0NjU4OH0" TargetMode="External"/><Relationship Id="rId1354" Type="http://schemas.openxmlformats.org/officeDocument/2006/relationships/hyperlink" Target="https://1drv.ms/x/s!AkP3hbXXLtgBhpEoaTK-EAwrB6PPjQ?e=SkY523&amp;nav=MTVfezk3NEQ3MjVGLTlERDMtNDdDOS05QzJDLUU5RjJCNjk2N0I4MX0" TargetMode="External"/><Relationship Id="rId1561" Type="http://schemas.openxmlformats.org/officeDocument/2006/relationships/hyperlink" Target="https://1drv.ms/x/s!AkP3hbXXLtgBhpEoaTK-EAwrB6PPjQ?e=zuxs7K&amp;nav=MTVfezEzQ0U5ODFBLTQxOTEtNERBOS05RDcwLTU1NDcwQ0I2MzhFNX0" TargetMode="External"/><Relationship Id="rId2405" Type="http://schemas.openxmlformats.org/officeDocument/2006/relationships/hyperlink" Target="https://1drv.ms/x/s!AkP3hbXXLtgBhpEoaTK-EAwrB6PPjQ?e=X2f9pt&amp;nav=MTVfe0M4ODI3QTVFLTgzOUMtNDk2Qy1BMThFLUNCMDYwN0JBQjM5M30" TargetMode="External"/><Relationship Id="rId2612" Type="http://schemas.openxmlformats.org/officeDocument/2006/relationships/hyperlink" Target="https://1drv.ms/x/s!AkP3hbXXLtgBhpEoaTK-EAwrB6PPjQ?e=k1JzSb&amp;nav=MTVfezlCRDVCMEI4LTNBMEItNDE5NC04RTEyLUQxQzc3N0U3MUFFQn0" TargetMode="External"/><Relationship Id="rId60" Type="http://schemas.openxmlformats.org/officeDocument/2006/relationships/hyperlink" Target="https://1drv.ms/x/s!AkP3hbXXLtgBhpEoaTK-EAwrB6PPjQ?e=AMVmTu&amp;nav=MTVfezNFMEFDQTg3LTgzOUUtNDFGNC04MkYwLUIxRjIyNTFBRDYzNX0" TargetMode="External"/><Relationship Id="rId1007" Type="http://schemas.openxmlformats.org/officeDocument/2006/relationships/hyperlink" Target="https://1drv.ms/x/s!AkP3hbXXLtgBhpEoaTK-EAwrB6PPjQ?e=NFspu9&amp;nav=MTVfezE1M0M1OEJDLTA3MzUtNERFMC1BNzE4LTMzMUY1QjZBOEZDMH0" TargetMode="External"/><Relationship Id="rId1214" Type="http://schemas.openxmlformats.org/officeDocument/2006/relationships/hyperlink" Target="https://1drv.ms/x/s!AkP3hbXXLtgBhpEoaTK-EAwrB6PPjQ?e=U6lTuf&amp;nav=MTVfezFEODYyODdBLUIyOTctNDdGMC04MTkyLUUzRDE3NjM5RkNFQ30" TargetMode="External"/><Relationship Id="rId1421" Type="http://schemas.openxmlformats.org/officeDocument/2006/relationships/hyperlink" Target="https://1drv.ms/x/s!AkP3hbXXLtgBhpEoaTK-EAwrB6PPjQ?e=xXe3yl&amp;nav=MTVfezM1QjlFQjFCLUIxM0MtNDQ0Ni05MzQyLUU2QjczMkYzQzJFOH0" TargetMode="External"/><Relationship Id="rId1659" Type="http://schemas.openxmlformats.org/officeDocument/2006/relationships/hyperlink" Target="https://1drv.ms/x/s!AkP3hbXXLtgBhpEoaTK-EAwrB6PPjQ?e=DHRjp5&amp;nav=MTVfezdEN0E2ODJDLUYxMzctNDI0MS1BRjZDLThEMzExM0M0OTZBNn0" TargetMode="External"/><Relationship Id="rId1866" Type="http://schemas.openxmlformats.org/officeDocument/2006/relationships/hyperlink" Target="https://1drv.ms/x/s!AkP3hbXXLtgBhpEoaTK-EAwrB6PPjQ?e=KawXz2&amp;nav=MTVfe0I2MTk3NUI3LTcxN0UtNDYyRi05OUNBLTc2RTcxMkRFMjVEOH0" TargetMode="External"/><Relationship Id="rId1519" Type="http://schemas.openxmlformats.org/officeDocument/2006/relationships/hyperlink" Target="https://1drv.ms/x/s!AkP3hbXXLtgBhpEoaTK-EAwrB6PPjQ?e=VcWWuU&amp;nav=MTVfe0ExMEEwQ0RDLUFCNUQtNEMxQS1BM0ZGLTEzRDE2MkJEN0U2Q30" TargetMode="External"/><Relationship Id="rId1726" Type="http://schemas.openxmlformats.org/officeDocument/2006/relationships/hyperlink" Target="https://1drv.ms/x/s!AkP3hbXXLtgBhpEoaTK-EAwrB6PPjQ?e=DHRjp5&amp;nav=MTVfezdEN0E2ODJDLUYxMzctNDI0MS1BRjZDLThEMzExM0M0OTZBNn0" TargetMode="External"/><Relationship Id="rId1933" Type="http://schemas.openxmlformats.org/officeDocument/2006/relationships/hyperlink" Target="https://1drv.ms/x/s!AkP3hbXXLtgBhpEoaTK-EAwrB6PPjQ?e=U8iWbp&amp;nav=MTVfezVDRDNFMEMzLTY0NDctNDUyNC05RjQyLUQ5MzdFOTgzQzgzNH0" TargetMode="External"/><Relationship Id="rId18" Type="http://schemas.openxmlformats.org/officeDocument/2006/relationships/hyperlink" Target="https://1drv.ms/x/s!AkP3hbXXLtgBhpEoaTK-EAwrB6PPjQ?e=pv1n5G&amp;nav=MTVfe0I5QjVDOEU1LTM5MTMtNDRCNy1COEY4LUUwMUNENUM2NTY1NX0" TargetMode="External"/><Relationship Id="rId2195" Type="http://schemas.openxmlformats.org/officeDocument/2006/relationships/hyperlink" Target="https://1drv.ms/x/s!AkP3hbXXLtgBhpEoaTK-EAwrB6PPjQ?e=PJkcfB&amp;nav=MTVfezBFRjgyRDlFLThFOEUtNDA2RC05QUQzLTk5RDY0REIzMEU3Rn0" TargetMode="External"/><Relationship Id="rId167" Type="http://schemas.openxmlformats.org/officeDocument/2006/relationships/hyperlink" Target="https://1drv.ms/x/s!AkP3hbXXLtgBhpEoaTK-EAwrB6PPjQ?e=hKKsXn&amp;nav=MTVfe0M0MzQ5RkZFLUFFMEMtNDZBOC05NDNELUU2ODg5N0JGMDU4Rn0" TargetMode="External"/><Relationship Id="rId374" Type="http://schemas.openxmlformats.org/officeDocument/2006/relationships/hyperlink" Target="https://1drv.ms/x/s!AkP3hbXXLtgBhpEoaTK-EAwrB6PPjQ?e=mvWMFP&amp;nav=MTVfe0Q0MjM2QjFDLUVBQTAtNDE3Ri1BOEVGLTQzNzNBN0FGODY4M30" TargetMode="External"/><Relationship Id="rId581" Type="http://schemas.openxmlformats.org/officeDocument/2006/relationships/hyperlink" Target="https://1drv.ms/x/s!AkP3hbXXLtgBhpEoaTK-EAwrB6PPjQ?e=xgZSuS&amp;nav=MTVfezA3RkYxMTMwLTAyQjYtNDA4RS1BMkU5LTI2MUQ0MjM2OEJGQn0" TargetMode="External"/><Relationship Id="rId2055" Type="http://schemas.openxmlformats.org/officeDocument/2006/relationships/hyperlink" Target="https://1drv.ms/x/s!AkP3hbXXLtgBhpEoaTK-EAwrB6PPjQ?e=t9ByVx&amp;nav=MTVfe0MzOTE2QzlDLTMzMEMtNEQ4NS05NjZBLTBFNzk3QjgxMEIwQn0" TargetMode="External"/><Relationship Id="rId2262" Type="http://schemas.openxmlformats.org/officeDocument/2006/relationships/hyperlink" Target="https://1drv.ms/x/s!AkP3hbXXLtgBhpEoaTK-EAwrB6PPjQ?e=vI4FNr&amp;nav=MTVfezhGQzkyMTU5LUYxNTUtNDg4MS04N0QzLTE5OTgzQjI3QTc1NH0" TargetMode="External"/><Relationship Id="rId234" Type="http://schemas.openxmlformats.org/officeDocument/2006/relationships/hyperlink" Target="https://1drv.ms/x/s!AkP3hbXXLtgBhpEoaTK-EAwrB6PPjQ?e=36Im2J&amp;nav=MTVfezg1NTdGRUM1LTczODktNDk5My1BQjA0LTkyQjFDODE4MjgxRX0" TargetMode="External"/><Relationship Id="rId679" Type="http://schemas.openxmlformats.org/officeDocument/2006/relationships/hyperlink" Target="https://1drv.ms/x/s!AkP3hbXXLtgBhpEoaTK-EAwrB6PPjQ?e=JPeMLZ&amp;nav=MTVfezdEMkY3NDEyLUYwMzItNDM0RC05MDRFLTcyNTE0ODM0NjA4M30" TargetMode="External"/><Relationship Id="rId886" Type="http://schemas.openxmlformats.org/officeDocument/2006/relationships/hyperlink" Target="https://1drv.ms/x/s!AkP3hbXXLtgBhpEoaTK-EAwrB6PPjQ?e=q7Y9UY&amp;nav=MTVfezY2QjMzRUJDLTdGREQtNEI4MC05QkFBLTZFRTQyNUFCMDY2MH0" TargetMode="External"/><Relationship Id="rId2567" Type="http://schemas.openxmlformats.org/officeDocument/2006/relationships/hyperlink" Target="https://1drv.ms/x/s!AkP3hbXXLtgBhpEoaTK-EAwrB6PPjQ?e=mXia38&amp;nav=MTVfe0I0NjUwQ0I4LURGNzEtNDA5NC04M0QxLUExRTNDN0Q3OTc1MX0" TargetMode="External"/><Relationship Id="rId2" Type="http://schemas.openxmlformats.org/officeDocument/2006/relationships/hyperlink" Target="https://1drv.ms/x/s!AkP3hbXXLtgBhpEoaTK-EAwrB6PPjQ?e=jhuV2L&amp;nav=MTVfezFBOUUwQ0Q3LUM4QTctNDRFRS1CMkY3LTFGQkJDMEM4NTIzRH0" TargetMode="External"/><Relationship Id="rId441" Type="http://schemas.openxmlformats.org/officeDocument/2006/relationships/hyperlink" Target="https://1drv.ms/x/s!AkP3hbXXLtgBhpEoaTK-EAwrB6PPjQ?e=sXo522&amp;nav=MTVfe0VCNzhCQUU0LUVEQzItNDRCMC04QTFFLUZEQzA0OTNEMDkzOX0" TargetMode="External"/><Relationship Id="rId539" Type="http://schemas.openxmlformats.org/officeDocument/2006/relationships/hyperlink" Target="https://1drv.ms/x/s!AkP3hbXXLtgBhpEoaTK-EAwrB6PPjQ?e=zfxOib&amp;nav=MTVfezc5MUI1QUJBLTY0QUItNDM1OS05NkVBLTE3MUFBQTY2QzQ4Q30" TargetMode="External"/><Relationship Id="rId746" Type="http://schemas.openxmlformats.org/officeDocument/2006/relationships/hyperlink" Target="https://1drv.ms/x/s!AkP3hbXXLtgBhpEoaTK-EAwrB6PPjQ?e=0lRBEc&amp;nav=MTVfezRDRDQwMjU1LUJFM0ItNENDQS05NDQ1LUY1OTdERDA5ODg4NH0" TargetMode="External"/><Relationship Id="rId1071" Type="http://schemas.openxmlformats.org/officeDocument/2006/relationships/hyperlink" Target="https://1drv.ms/x/s!AkP3hbXXLtgBhpEoaTK-EAwrB6PPjQ?e=rYbeUy&amp;nav=MTVfe0Q1MEM2OTMzLTFBNUUtNDhCMS1CQzhCLTlGQTI2NEEzRURDRH0" TargetMode="External"/><Relationship Id="rId1169" Type="http://schemas.openxmlformats.org/officeDocument/2006/relationships/hyperlink" Target="https://1drv.ms/x/s!AkP3hbXXLtgBhpEoaTK-EAwrB6PPjQ?e=7D4jtp&amp;nav=MTVfe0Q5MDNFMUVCLUFFNkQtNDU5OC04QjYyLUFGODVDMTZENkVGMX0" TargetMode="External"/><Relationship Id="rId1376" Type="http://schemas.openxmlformats.org/officeDocument/2006/relationships/hyperlink" Target="https://1drv.ms/x/s!AkP3hbXXLtgBhpEoaTK-EAwrB6PPjQ?e=6Dzvxb&amp;nav=MTVfezE4RDVGRUE3LUYyN0MtNDRFNC1BMENCLTk1RTNFRjk3QkJDRX0" TargetMode="External"/><Relationship Id="rId1583" Type="http://schemas.openxmlformats.org/officeDocument/2006/relationships/hyperlink" Target="https://1drv.ms/x/s!AkP3hbXXLtgBhpEoaTK-EAwrB6PPjQ?e=hF7xUm&amp;nav=MTVfezBDOEZCN0U5LURBOEQtNEY2Qi1CNUE1LUYzQTk0NDFBRkE2NX0" TargetMode="External"/><Relationship Id="rId2122" Type="http://schemas.openxmlformats.org/officeDocument/2006/relationships/hyperlink" Target="https://1drv.ms/x/s!AkP3hbXXLtgBhpEoaTK-EAwrB6PPjQ?e=7tvhFu&amp;nav=MTVfezYzQUQ2N0RCLTZFQkQtNDhGOC1BODVFLUQzNjgwN0I4QkNFMn0" TargetMode="External"/><Relationship Id="rId2427" Type="http://schemas.openxmlformats.org/officeDocument/2006/relationships/hyperlink" Target="https://1drv.ms/x/s!AkP3hbXXLtgBhpEoaTK-EAwrB6PPjQ?e=X2f9pt&amp;nav=MTVfe0M4ODI3QTVFLTgzOUMtNDk2Qy1BMThFLUNCMDYwN0JBQjM5M30" TargetMode="External"/><Relationship Id="rId301" Type="http://schemas.openxmlformats.org/officeDocument/2006/relationships/hyperlink" Target="https://1drv.ms/x/s!AkP3hbXXLtgBhpEoaTK-EAwrB6PPjQ?e=HO6wd4&amp;nav=MTVfe0NDRThCRDRELTFCMEEtNDNFRC1BMDRDLTc1QjY0NDgwNjJBMH0" TargetMode="External"/><Relationship Id="rId953" Type="http://schemas.openxmlformats.org/officeDocument/2006/relationships/hyperlink" Target="https://1drv.ms/x/s!AkP3hbXXLtgBhpEoaTK-EAwrB6PPjQ?e=GuJxJM&amp;nav=MTVfe0NBQzcxNDNGLTAzODYtNEFDRi1BNTI1LTRDQTYxMDEzNkYwM30" TargetMode="External"/><Relationship Id="rId1029" Type="http://schemas.openxmlformats.org/officeDocument/2006/relationships/hyperlink" Target="https://1drv.ms/x/s!AkP3hbXXLtgBhpEoaTK-EAwrB6PPjQ?e=NFspu9&amp;nav=MTVfezE1M0M1OEJDLTA3MzUtNERFMC1BNzE4LTMzMUY1QjZBOEZDMH0" TargetMode="External"/><Relationship Id="rId1236" Type="http://schemas.openxmlformats.org/officeDocument/2006/relationships/hyperlink" Target="https://1drv.ms/x/s!AkP3hbXXLtgBhpEoaTK-EAwrB6PPjQ?e=U6lTuf&amp;nav=MTVfezFEODYyODdBLUIyOTctNDdGMC04MTkyLUUzRDE3NjM5RkNFQ30" TargetMode="External"/><Relationship Id="rId1790" Type="http://schemas.openxmlformats.org/officeDocument/2006/relationships/hyperlink" Target="https://1drv.ms/x/s!AkP3hbXXLtgBhpEoaTK-EAwrB6PPjQ?e=sBpJD5&amp;nav=MTVfezM5QzdFMEZDLTg3QTEtNDRCMS04QTgyLUQ3MDU0NDI2MTBFRn0" TargetMode="External"/><Relationship Id="rId1888" Type="http://schemas.openxmlformats.org/officeDocument/2006/relationships/hyperlink" Target="https://1drv.ms/x/s!AkP3hbXXLtgBhpEoaTK-EAwrB6PPjQ?e=3z9g8a&amp;nav=MTVfezBGMENERTNBLTZCQTUtNDYwRi05MDM3LUNDNDk5MDBCNUU5MX0" TargetMode="External"/><Relationship Id="rId2634" Type="http://schemas.openxmlformats.org/officeDocument/2006/relationships/hyperlink" Target="https://1drv.ms/x/s!AkP3hbXXLtgBhpEoaTK-EAwrB6PPjQ?e=k1JzSb&amp;nav=MTVfezlCRDVCMEI4LTNBMEItNDE5NC04RTEyLUQxQzc3N0U3MUFFQn0" TargetMode="External"/><Relationship Id="rId82" Type="http://schemas.openxmlformats.org/officeDocument/2006/relationships/hyperlink" Target="https://1drv.ms/x/s!AkP3hbXXLtgBhpEoaTK-EAwrB6PPjQ?e=AMVmTu&amp;nav=MTVfezNFMEFDQTg3LTgzOUUtNDFGNC04MkYwLUIxRjIyNTFBRDYzNX0" TargetMode="External"/><Relationship Id="rId606" Type="http://schemas.openxmlformats.org/officeDocument/2006/relationships/hyperlink" Target="https://1drv.ms/x/s!AkP3hbXXLtgBhpEoaTK-EAwrB6PPjQ?e=ZRDRyK&amp;nav=MTVfe0IyQkRBQzE0LUM2QkQtNDY3Ny04MjcyLUQxNjYyMkIyRTZGRH0" TargetMode="External"/><Relationship Id="rId813" Type="http://schemas.openxmlformats.org/officeDocument/2006/relationships/hyperlink" Target="https://1drv.ms/x/s!AkP3hbXXLtgBhpEoaTK-EAwrB6PPjQ?e=zuxs7K&amp;nav=MTVfezEzQ0U5ODFBLTQxOTEtNERBOS05RDcwLTU1NDcwQ0I2MzhFNX0" TargetMode="External"/><Relationship Id="rId1443" Type="http://schemas.openxmlformats.org/officeDocument/2006/relationships/hyperlink" Target="https://1drv.ms/x/s!AkP3hbXXLtgBhpEoaTK-EAwrB6PPjQ?e=xXe3yl&amp;nav=MTVfezM1QjlFQjFCLUIxM0MtNDQ0Ni05MzQyLUU2QjczMkYzQzJFOH0" TargetMode="External"/><Relationship Id="rId1650" Type="http://schemas.openxmlformats.org/officeDocument/2006/relationships/hyperlink" Target="https://1drv.ms/x/s!AkP3hbXXLtgBhpEoaTK-EAwrB6PPjQ?e=DHRjp5&amp;nav=MTVfezdEN0E2ODJDLUYxMzctNDI0MS1BRjZDLThEMzExM0M0OTZBNn0" TargetMode="External"/><Relationship Id="rId1748" Type="http://schemas.openxmlformats.org/officeDocument/2006/relationships/hyperlink" Target="https://1drv.ms/x/s!AkP3hbXXLtgBhpEoaTK-EAwrB6PPjQ?e=OaIvOH&amp;nav=MTVfezFDODBFQUMzLTY0M0UtNDM2MC04REU0LTRBOUYzQ0MxQkY2Nn0" TargetMode="External"/><Relationship Id="rId2701" Type="http://schemas.openxmlformats.org/officeDocument/2006/relationships/hyperlink" Target="https://1drv.ms/x/s!AkP3hbXXLtgBhpEoaTK-EAwrB6PPjQ?e=hUXjPN&amp;nav=MTVfezYzNzY4MEExLTRDMzItNDcxMy05M0ZCLTBFNjAwNTlBMUI0MH0" TargetMode="External"/><Relationship Id="rId1303" Type="http://schemas.openxmlformats.org/officeDocument/2006/relationships/hyperlink" Target="https://1drv.ms/x/s!AkP3hbXXLtgBhpEoaTK-EAwrB6PPjQ?e=bD2jTr&amp;nav=MTVfezRGRUQzQzY0LTk3M0ItNDNDNy1BRUY3LTYwMDNGN0E5OThFQX0" TargetMode="External"/><Relationship Id="rId1510" Type="http://schemas.openxmlformats.org/officeDocument/2006/relationships/hyperlink" Target="https://1drv.ms/x/s!AkP3hbXXLtgBhpEoaTK-EAwrB6PPjQ?e=xGItXl&amp;nav=MTVfezc3NDc5QTVFLTEyMTItNEVGOS04NzRCLUUzREZBMkQ0NjU4OH0" TargetMode="External"/><Relationship Id="rId1955" Type="http://schemas.openxmlformats.org/officeDocument/2006/relationships/hyperlink" Target="https://1drv.ms/x/s!AkP3hbXXLtgBhpEoaTK-EAwrB6PPjQ?e=Hae5Hc&amp;nav=MTVfe0U1QUU2RDZBLTFGMkUtNENGNC04OENCLUE1MjI0OEMyNDMzNn0" TargetMode="External"/><Relationship Id="rId1608" Type="http://schemas.openxmlformats.org/officeDocument/2006/relationships/hyperlink" Target="https://1drv.ms/x/s!AkP3hbXXLtgBhpEoaTK-EAwrB6PPjQ?e=hF7xUm&amp;nav=MTVfezBDOEZCN0U5LURBOEQtNEY2Qi1CNUE1LUYzQTk0NDFBRkE2NX0" TargetMode="External"/><Relationship Id="rId1815" Type="http://schemas.openxmlformats.org/officeDocument/2006/relationships/hyperlink" Target="https://1drv.ms/x/s!AkP3hbXXLtgBhpEoaTK-EAwrB6PPjQ?e=sBpJD5&amp;nav=MTVfezM5QzdFMEZDLTg3QTEtNDRCMS04QTgyLUQ3MDU0NDI2MTBFRn0" TargetMode="External"/><Relationship Id="rId189" Type="http://schemas.openxmlformats.org/officeDocument/2006/relationships/hyperlink" Target="https://1drv.ms/x/s!AkP3hbXXLtgBhpEoaTK-EAwrB6PPjQ?e=hKKsXn&amp;nav=MTVfe0M0MzQ5RkZFLUFFMEMtNDZBOC05NDNELUU2ODg5N0JGMDU4Rn0" TargetMode="External"/><Relationship Id="rId396" Type="http://schemas.openxmlformats.org/officeDocument/2006/relationships/hyperlink" Target="https://1drv.ms/x/s!AkP3hbXXLtgBhpEoaTK-EAwrB6PPjQ?e=mvWMFP&amp;nav=MTVfe0Q0MjM2QjFDLUVBQTAtNDE3Ri1BOEVGLTQzNzNBN0FGODY4M30" TargetMode="External"/><Relationship Id="rId2077" Type="http://schemas.openxmlformats.org/officeDocument/2006/relationships/hyperlink" Target="https://1drv.ms/x/s!AkP3hbXXLtgBhpEoaTK-EAwrB6PPjQ?e=t9ByVx&amp;nav=MTVfe0MzOTE2QzlDLTMzMEMtNEQ4NS05NjZBLTBFNzk3QjgxMEIwQn0" TargetMode="External"/><Relationship Id="rId2284" Type="http://schemas.openxmlformats.org/officeDocument/2006/relationships/hyperlink" Target="https://1drv.ms/x/s!AkP3hbXXLtgBhpEoaTK-EAwrB6PPjQ?e=vI4FNr&amp;nav=MTVfezhGQzkyMTU5LUYxNTUtNDg4MS04N0QzLTE5OTgzQjI3QTc1NH0" TargetMode="External"/><Relationship Id="rId2491" Type="http://schemas.openxmlformats.org/officeDocument/2006/relationships/hyperlink" Target="https://1drv.ms/x/s!AkP3hbXXLtgBhpEoaTK-EAwrB6PPjQ?e=LQfhsg&amp;nav=MTVfe0FGQTQ2QTUxLTkwOEEtNEZCNi04OUQ1LTMwOUU4QkMzMTRFQ30" TargetMode="External"/><Relationship Id="rId256" Type="http://schemas.openxmlformats.org/officeDocument/2006/relationships/hyperlink" Target="https://1drv.ms/x/s!AkP3hbXXLtgBhpEoaTK-EAwrB6PPjQ?e=36Im2J&amp;nav=MTVfezg1NTdGRUM1LTczODktNDk5My1BQjA0LTkyQjFDODE4MjgxRX0" TargetMode="External"/><Relationship Id="rId463" Type="http://schemas.openxmlformats.org/officeDocument/2006/relationships/hyperlink" Target="https://1drv.ms/x/s!AkP3hbXXLtgBhpEoaTK-EAwrB6PPjQ?e=sXo522&amp;nav=MTVfe0VCNzhCQUU0LUVEQzItNDRCMC04QTFFLUZEQzA0OTNEMDkzOX0" TargetMode="External"/><Relationship Id="rId670" Type="http://schemas.openxmlformats.org/officeDocument/2006/relationships/hyperlink" Target="https://1drv.ms/x/s!AkP3hbXXLtgBhpEoaTK-EAwrB6PPjQ?e=JPeMLZ&amp;nav=MTVfezdEMkY3NDEyLUYwMzItNDM0RC05MDRFLTcyNTE0ODM0NjA4M30" TargetMode="External"/><Relationship Id="rId1093" Type="http://schemas.openxmlformats.org/officeDocument/2006/relationships/hyperlink" Target="https://1drv.ms/x/s!AkP3hbXXLtgBhpEoaTK-EAwrB6PPjQ?e=rYbeUy&amp;nav=MTVfe0Q1MEM2OTMzLTFBNUUtNDhCMS1CQzhCLTlGQTI2NEEzRURDRH0" TargetMode="External"/><Relationship Id="rId2144" Type="http://schemas.openxmlformats.org/officeDocument/2006/relationships/hyperlink" Target="https://1drv.ms/x/s!AkP3hbXXLtgBhpEoaTK-EAwrB6PPjQ?e=nj2bQ1&amp;nav=MTVfezAwMDAwMDAwLTAwMDEtMDAwMC0wMDAwLTAwMDAwMDAwMDAwMH0" TargetMode="External"/><Relationship Id="rId2351" Type="http://schemas.openxmlformats.org/officeDocument/2006/relationships/hyperlink" Target="https://1drv.ms/x/s!AkP3hbXXLtgBhpEoaTK-EAwrB6PPjQ?e=LiWfcw&amp;nav=MTVfezFBQTVDNUQ5LTIxM0QtNDcxMi05RkYwLUI2NUUyNTFDRkFBMH0" TargetMode="External"/><Relationship Id="rId2589" Type="http://schemas.openxmlformats.org/officeDocument/2006/relationships/hyperlink" Target="https://1drv.ms/x/s!AkP3hbXXLtgBhpEoaTK-EAwrB6PPjQ?e=ZnXBwL&amp;nav=MTVfezI5Qjk2QkQ4LUM5RkMtNDc1RS1BMkNCLTRDQTg1OEZFNkY2N30" TargetMode="External"/><Relationship Id="rId116" Type="http://schemas.openxmlformats.org/officeDocument/2006/relationships/hyperlink" Target="https://1drv.ms/x/s!AkP3hbXXLtgBhpEoaTK-EAwrB6PPjQ?e=hRuig5&amp;nav=MTVfe0NCREMzODZGLTI3RDktNEI4RS05QjQ0LUUzQTc5QTQyQzY2MX0" TargetMode="External"/><Relationship Id="rId323" Type="http://schemas.openxmlformats.org/officeDocument/2006/relationships/hyperlink" Target="https://1drv.ms/x/s!AkP3hbXXLtgBhpEoaTK-EAwrB6PPjQ?e=HO6wd4&amp;nav=MTVfe0NDRThCRDRELTFCMEEtNDNFRC1BMDRDLTc1QjY0NDgwNjJBMH0" TargetMode="External"/><Relationship Id="rId530" Type="http://schemas.openxmlformats.org/officeDocument/2006/relationships/hyperlink" Target="https://1drv.ms/x/s!AkP3hbXXLtgBhpEoaTK-EAwrB6PPjQ?e=zfxOib&amp;nav=MTVfezc5MUI1QUJBLTY0QUItNDM1OS05NkVBLTE3MUFBQTY2QzQ4Q30" TargetMode="External"/><Relationship Id="rId768" Type="http://schemas.openxmlformats.org/officeDocument/2006/relationships/hyperlink" Target="https://1drv.ms/x/s!AkP3hbXXLtgBhpEoaTK-EAwrB6PPjQ?e=0lRBEc&amp;nav=MTVfezRDRDQwMjU1LUJFM0ItNENDQS05NDQ1LUY1OTdERDA5ODg4NH0" TargetMode="External"/><Relationship Id="rId975" Type="http://schemas.openxmlformats.org/officeDocument/2006/relationships/hyperlink" Target="https://1drv.ms/x/s!AkP3hbXXLtgBhpEoaTK-EAwrB6PPjQ?e=fk66xb&amp;nav=MTVfezU0MjNBNEE5LTNDNzctNDQwNC05RjA3LTAyNEI1N0FBQjFDNX0" TargetMode="External"/><Relationship Id="rId1160" Type="http://schemas.openxmlformats.org/officeDocument/2006/relationships/hyperlink" Target="https://1drv.ms/x/s!AkP3hbXXLtgBhpEoaTK-EAwrB6PPjQ?e=7D4jtp&amp;nav=MTVfe0Q5MDNFMUVCLUFFNkQtNDU5OC04QjYyLUFGODVDMTZENkVGMX0" TargetMode="External"/><Relationship Id="rId1398" Type="http://schemas.openxmlformats.org/officeDocument/2006/relationships/hyperlink" Target="https://1drv.ms/x/s!AkP3hbXXLtgBhpEoaTK-EAwrB6PPjQ?e=6Dzvxb&amp;nav=MTVfezE4RDVGRUE3LUYyN0MtNDRFNC1BMENCLTk1RTNFRjk3QkJDRX0" TargetMode="External"/><Relationship Id="rId2004" Type="http://schemas.openxmlformats.org/officeDocument/2006/relationships/hyperlink" Target="https://1drv.ms/x/s!AkP3hbXXLtgBhpEoaTK-EAwrB6PPjQ?e=e8c5BE&amp;nav=MTVfe0YzRjMwRTg2LTYyMTgtNEY5QS05Qzg0LTUxNkJFM0Q4MDAwN30" TargetMode="External"/><Relationship Id="rId2211" Type="http://schemas.openxmlformats.org/officeDocument/2006/relationships/hyperlink" Target="https://1drv.ms/x/s!AkP3hbXXLtgBhpEoaTK-EAwrB6PPjQ?e=PJkcfB&amp;nav=MTVfezBFRjgyRDlFLThFOEUtNDA2RC05QUQzLTk5RDY0REIzMEU3Rn0" TargetMode="External"/><Relationship Id="rId2449" Type="http://schemas.openxmlformats.org/officeDocument/2006/relationships/hyperlink" Target="https://1drv.ms/x/s!AkP3hbXXLtgBhpEoaTK-EAwrB6PPjQ?e=LQfhsg&amp;nav=MTVfe0FGQTQ2QTUxLTkwOEEtNEZCNi04OUQ1LTMwOUU4QkMzMTRFQ30" TargetMode="External"/><Relationship Id="rId2656" Type="http://schemas.openxmlformats.org/officeDocument/2006/relationships/hyperlink" Target="https://1drv.ms/x/s!AkP3hbXXLtgBhpEoaTK-EAwrB6PPjQ?e=k1JzSb&amp;nav=MTVfezlCRDVCMEI4LTNBMEItNDE5NC04RTEyLUQxQzc3N0U3MUFFQn0" TargetMode="External"/><Relationship Id="rId628" Type="http://schemas.openxmlformats.org/officeDocument/2006/relationships/hyperlink" Target="https://1drv.ms/x/s!AkP3hbXXLtgBhpEoaTK-EAwrB6PPjQ?e=ZRDRyK&amp;nav=MTVfe0IyQkRBQzE0LUM2QkQtNDY3Ny04MjcyLUQxNjYyMkIyRTZGRH0" TargetMode="External"/><Relationship Id="rId835" Type="http://schemas.openxmlformats.org/officeDocument/2006/relationships/hyperlink" Target="https://1drv.ms/x/s!AkP3hbXXLtgBhpEoaTK-EAwrB6PPjQ?e=zuxs7K&amp;nav=MTVfezEzQ0U5ODFBLTQxOTEtNERBOS05RDcwLTU1NDcwQ0I2MzhFNX0" TargetMode="External"/><Relationship Id="rId1258" Type="http://schemas.openxmlformats.org/officeDocument/2006/relationships/hyperlink" Target="https://1drv.ms/x/s!AkP3hbXXLtgBhpEoaTK-EAwrB6PPjQ?e=UaBeCf&amp;nav=MTVfezM0NkJDRTA1LThBNUQtNDFFMC1BNjQ2LTk5NTVEMTg4RUEzNn0" TargetMode="External"/><Relationship Id="rId1465" Type="http://schemas.openxmlformats.org/officeDocument/2006/relationships/hyperlink" Target="https://1drv.ms/x/s!AkP3hbXXLtgBhpEoaTK-EAwrB6PPjQ?e=xXe3yl&amp;nav=MTVfezM1QjlFQjFCLUIxM0MtNDQ0Ni05MzQyLUU2QjczMkYzQzJFOH0" TargetMode="External"/><Relationship Id="rId1672" Type="http://schemas.openxmlformats.org/officeDocument/2006/relationships/hyperlink" Target="https://1drv.ms/x/s!AkP3hbXXLtgBhpEoaTK-EAwrB6PPjQ?e=DHRjp5&amp;nav=MTVfezdEN0E2ODJDLUYxMzctNDI0MS1BRjZDLThEMzExM0M0OTZBNn0" TargetMode="External"/><Relationship Id="rId2309" Type="http://schemas.openxmlformats.org/officeDocument/2006/relationships/hyperlink" Target="https://1drv.ms/x/s!AkP3hbXXLtgBhpEoaTK-EAwrB6PPjQ?e=LiWfcw&amp;nav=MTVfezFBQTVDNUQ5LTIxM0QtNDcxMi05RkYwLUI2NUUyNTFDRkFBMH0" TargetMode="External"/><Relationship Id="rId2516" Type="http://schemas.openxmlformats.org/officeDocument/2006/relationships/hyperlink" Target="https://1drv.ms/x/s!AkP3hbXXLtgBhpEoaTK-EAwrB6PPjQ?e=mXia38&amp;nav=MTVfe0I0NjUwQ0I4LURGNzEtNDA5NC04M0QxLUExRTNDN0Q3OTc1MX0" TargetMode="External"/><Relationship Id="rId2723" Type="http://schemas.openxmlformats.org/officeDocument/2006/relationships/hyperlink" Target="https://1drv.ms/x/s!AkP3hbXXLtgBhpEoaTK-EAwrB6PPjQ?e=hUXjPN&amp;nav=MTVfezYzNzY4MEExLTRDMzItNDcxMy05M0ZCLTBFNjAwNTlBMUI0MH0" TargetMode="External"/><Relationship Id="rId1020" Type="http://schemas.openxmlformats.org/officeDocument/2006/relationships/hyperlink" Target="https://1drv.ms/x/s!AkP3hbXXLtgBhpEoaTK-EAwrB6PPjQ?e=NFspu9&amp;nav=MTVfezE1M0M1OEJDLTA3MzUtNERFMC1BNzE4LTMzMUY1QjZBOEZDMH0" TargetMode="External"/><Relationship Id="rId1118" Type="http://schemas.openxmlformats.org/officeDocument/2006/relationships/hyperlink" Target="https://1drv.ms/x/s!AkP3hbXXLtgBhpEoaTK-EAwrB6PPjQ?e=Brd8C5&amp;nav=MTVfe0YyMTJGNjdELTg0REMtNEY4Ri05MzE5LTE0M0FEODlBMzg5Q30" TargetMode="External"/><Relationship Id="rId1325" Type="http://schemas.openxmlformats.org/officeDocument/2006/relationships/hyperlink" Target="https://1drv.ms/x/s!AkP3hbXXLtgBhpEoaTK-EAwrB6PPjQ?e=mYpfR1&amp;nav=MTVfe0NGMTlDQTg1LUE2QUMtNDYyRC1CN0M1LUExRjVBNjI1MDcyOX0" TargetMode="External"/><Relationship Id="rId1532" Type="http://schemas.openxmlformats.org/officeDocument/2006/relationships/hyperlink" Target="https://1drv.ms/x/s!AkP3hbXXLtgBhpEoaTK-EAwrB6PPjQ?e=PsqPhH&amp;nav=MTVfe0ZDRjg3ODhGLTBFNDItNDJCOC04MDRCLTU4OTcwNUMwMjFGMn0" TargetMode="External"/><Relationship Id="rId1977" Type="http://schemas.openxmlformats.org/officeDocument/2006/relationships/hyperlink" Target="https://1drv.ms/x/s!AkP3hbXXLtgBhpEoaTK-EAwrB6PPjQ?e=Hae5Hc&amp;nav=MTVfe0U1QUU2RDZBLTFGMkUtNENGNC04OENCLUE1MjI0OEMyNDMzNn0" TargetMode="External"/><Relationship Id="rId902" Type="http://schemas.openxmlformats.org/officeDocument/2006/relationships/hyperlink" Target="https://1drv.ms/x/s!AkP3hbXXLtgBhpEoaTK-EAwrB6PPjQ?e=q7Y9UY&amp;nav=MTVfezY2QjMzRUJDLTdGREQtNEI4MC05QkFBLTZFRTQyNUFCMDY2MH0" TargetMode="External"/><Relationship Id="rId1837" Type="http://schemas.openxmlformats.org/officeDocument/2006/relationships/hyperlink" Target="https://1drv.ms/x/s!AkP3hbXXLtgBhpEoaTK-EAwrB6PPjQ?e=Qo1W02&amp;nav=MTVfe0Q5NDAyRTdCLTJCNEYtNEQ5OS05Q0Y4LTIyNDExQjYxNzRBRH0" TargetMode="External"/><Relationship Id="rId31" Type="http://schemas.openxmlformats.org/officeDocument/2006/relationships/hyperlink" Target="https://1drv.ms/x/s!AkP3hbXXLtgBhpEoaTK-EAwrB6PPjQ?e=pv1n5G&amp;nav=MTVfe0I5QjVDOEU1LTM5MTMtNDRCNy1COEY4LUUwMUNENUM2NTY1NX0" TargetMode="External"/><Relationship Id="rId2099" Type="http://schemas.openxmlformats.org/officeDocument/2006/relationships/hyperlink" Target="https://1drv.ms/x/s!AkP3hbXXLtgBhpEoaTK-EAwrB6PPjQ?e=7tvhFu&amp;nav=MTVfezYzQUQ2N0RCLTZFQkQtNDhGOC1BODVFLUQzNjgwN0I4QkNFMn0" TargetMode="External"/><Relationship Id="rId180" Type="http://schemas.openxmlformats.org/officeDocument/2006/relationships/hyperlink" Target="https://1drv.ms/x/s!AkP3hbXXLtgBhpEoaTK-EAwrB6PPjQ?e=hKKsXn&amp;nav=MTVfe0M0MzQ5RkZFLUFFMEMtNDZBOC05NDNELUU2ODg5N0JGMDU4Rn0" TargetMode="External"/><Relationship Id="rId278" Type="http://schemas.openxmlformats.org/officeDocument/2006/relationships/hyperlink" Target="https://1drv.ms/x/s!AkP3hbXXLtgBhpEoaTK-EAwrB6PPjQ?e=36Im2J&amp;nav=MTVfezg1NTdGRUM1LTczODktNDk5My1BQjA0LTkyQjFDODE4MjgxRX0" TargetMode="External"/><Relationship Id="rId1904" Type="http://schemas.openxmlformats.org/officeDocument/2006/relationships/hyperlink" Target="https://1drv.ms/x/s!AkP3hbXXLtgBhpEoaTK-EAwrB6PPjQ?e=TStCPl&amp;nav=MTVfezI2MjVEMjA5LUMzRUYtNEM5RS1CM0Q3LUE4NUY4RTMyNDUyNH0" TargetMode="External"/><Relationship Id="rId485" Type="http://schemas.openxmlformats.org/officeDocument/2006/relationships/hyperlink" Target="https://1drv.ms/x/s!AkP3hbXXLtgBhpEoaTK-EAwrB6PPjQ?e=zfxOib&amp;nav=MTVfezc5MUI1QUJBLTY0QUItNDM1OS05NkVBLTE3MUFBQTY2QzQ4Q30" TargetMode="External"/><Relationship Id="rId692" Type="http://schemas.openxmlformats.org/officeDocument/2006/relationships/hyperlink" Target="https://1drv.ms/x/s!AkP3hbXXLtgBhpEoaTK-EAwrB6PPjQ?e=JPeMLZ&amp;nav=MTVfezdEMkY3NDEyLUYwMzItNDM0RC05MDRFLTcyNTE0ODM0NjA4M30" TargetMode="External"/><Relationship Id="rId2166" Type="http://schemas.openxmlformats.org/officeDocument/2006/relationships/hyperlink" Target="https://1drv.ms/x/s!AkP3hbXXLtgBhpEoaTK-EAwrB6PPjQ?e=PJkcfB&amp;nav=MTVfezBFRjgyRDlFLThFOEUtNDA2RC05QUQzLTk5RDY0REIzMEU3Rn0" TargetMode="External"/><Relationship Id="rId2373" Type="http://schemas.openxmlformats.org/officeDocument/2006/relationships/hyperlink" Target="https://1drv.ms/x/s!AkP3hbXXLtgBhpEoaTK-EAwrB6PPjQ?e=X2f9pt&amp;nav=MTVfe0M4ODI3QTVFLTgzOUMtNDk2Qy1BMThFLUNCMDYwN0JBQjM5M30" TargetMode="External"/><Relationship Id="rId2580" Type="http://schemas.openxmlformats.org/officeDocument/2006/relationships/hyperlink" Target="https://1drv.ms/x/s!AkP3hbXXLtgBhpEoaTK-EAwrB6PPjQ?e=5RiQ1M&amp;nav=MTVfezAwOEJCMDMxLUEyNEEtNDc3RS04RDNFLTBENTk0MDBCNEY0OH0" TargetMode="External"/><Relationship Id="rId138" Type="http://schemas.openxmlformats.org/officeDocument/2006/relationships/hyperlink" Target="https://1drv.ms/x/s!AkP3hbXXLtgBhpEoaTK-EAwrB6PPjQ?e=hRuig5&amp;nav=MTVfe0NCREMzODZGLTI3RDktNEI4RS05QjQ0LUUzQTc5QTQyQzY2MX0" TargetMode="External"/><Relationship Id="rId345" Type="http://schemas.openxmlformats.org/officeDocument/2006/relationships/hyperlink" Target="https://1drv.ms/x/s!AkP3hbXXLtgBhpEoaTK-EAwrB6PPjQ?e=HO6wd4&amp;nav=MTVfe0NDRThCRDRELTFCMEEtNDNFRC1BMDRDLTc1QjY0NDgwNjJBMH0" TargetMode="External"/><Relationship Id="rId552" Type="http://schemas.openxmlformats.org/officeDocument/2006/relationships/hyperlink" Target="https://1drv.ms/x/s!AkP3hbXXLtgBhpEoaTK-EAwrB6PPjQ?e=xgZSuS&amp;nav=MTVfezA3RkYxMTMwLTAyQjYtNDA4RS1BMkU5LTI2MUQ0MjM2OEJGQn0" TargetMode="External"/><Relationship Id="rId997" Type="http://schemas.openxmlformats.org/officeDocument/2006/relationships/hyperlink" Target="https://1drv.ms/x/s!AkP3hbXXLtgBhpEoaTK-EAwrB6PPjQ?e=fk66xb&amp;nav=MTVfezU0MjNBNEE5LTNDNzctNDQwNC05RjA3LTAyNEI1N0FBQjFDNX0" TargetMode="External"/><Relationship Id="rId1182" Type="http://schemas.openxmlformats.org/officeDocument/2006/relationships/hyperlink" Target="https://1drv.ms/x/s!AkP3hbXXLtgBhpEoaTK-EAwrB6PPjQ?e=7D4jtp&amp;nav=MTVfe0Q5MDNFMUVCLUFFNkQtNDU5OC04QjYyLUFGODVDMTZENkVGMX0" TargetMode="External"/><Relationship Id="rId2026" Type="http://schemas.openxmlformats.org/officeDocument/2006/relationships/hyperlink" Target="https://1drv.ms/x/s!AkP3hbXXLtgBhpEoaTK-EAwrB6PPjQ?e=e8c5BE&amp;nav=MTVfe0YzRjMwRTg2LTYyMTgtNEY5QS05Qzg0LTUxNkJFM0Q4MDAwN30" TargetMode="External"/><Relationship Id="rId2233" Type="http://schemas.openxmlformats.org/officeDocument/2006/relationships/hyperlink" Target="https://1drv.ms/x/s!AkP3hbXXLtgBhpEoaTK-EAwrB6PPjQ?e=vI4FNr&amp;nav=MTVfezhGQzkyMTU5LUYxNTUtNDg4MS04N0QzLTE5OTgzQjI3QTc1NH0" TargetMode="External"/><Relationship Id="rId2440" Type="http://schemas.openxmlformats.org/officeDocument/2006/relationships/hyperlink" Target="https://1drv.ms/x/s!AkP3hbXXLtgBhpEoaTK-EAwrB6PPjQ?e=LQfhsg&amp;nav=MTVfe0FGQTQ2QTUxLTkwOEEtNEZCNi04OUQ1LTMwOUU4QkMzMTRFQ30" TargetMode="External"/><Relationship Id="rId2678" Type="http://schemas.openxmlformats.org/officeDocument/2006/relationships/hyperlink" Target="https://1drv.ms/x/s!AkP3hbXXLtgBhpEoaTK-EAwrB6PPjQ?e=hUXjPN&amp;nav=MTVfezYzNzY4MEExLTRDMzItNDcxMy05M0ZCLTBFNjAwNTlBMUI0MH0" TargetMode="External"/><Relationship Id="rId205" Type="http://schemas.openxmlformats.org/officeDocument/2006/relationships/hyperlink" Target="https://1drv.ms/x/s!AkP3hbXXLtgBhpEoaTK-EAwrB6PPjQ?e=hKKsXn&amp;nav=MTVfe0M0MzQ5RkZFLUFFMEMtNDZBOC05NDNELUU2ODg5N0JGMDU4Rn0" TargetMode="External"/><Relationship Id="rId412" Type="http://schemas.openxmlformats.org/officeDocument/2006/relationships/hyperlink" Target="https://1drv.ms/x/s!AkP3hbXXLtgBhpEoaTK-EAwrB6PPjQ?e=mvWMFP&amp;nav=MTVfe0Q0MjM2QjFDLUVBQTAtNDE3Ri1BOEVGLTQzNzNBN0FGODY4M30" TargetMode="External"/><Relationship Id="rId857" Type="http://schemas.openxmlformats.org/officeDocument/2006/relationships/hyperlink" Target="https://1drv.ms/x/s!AkP3hbXXLtgBhpEoaTK-EAwrB6PPjQ?e=VcWWuU&amp;nav=MTVfe0ExMEEwQ0RDLUFCNUQtNEMxQS1BM0ZGLTEzRDE2MkJEN0U2Q30" TargetMode="External"/><Relationship Id="rId1042" Type="http://schemas.openxmlformats.org/officeDocument/2006/relationships/hyperlink" Target="https://1drv.ms/x/s!AkP3hbXXLtgBhpEoaTK-EAwrB6PPjQ?e=NFspu9&amp;nav=MTVfezE1M0M1OEJDLTA3MzUtNERFMC1BNzE4LTMzMUY1QjZBOEZDMH0" TargetMode="External"/><Relationship Id="rId1487" Type="http://schemas.openxmlformats.org/officeDocument/2006/relationships/hyperlink" Target="https://1drv.ms/x/s!AkP3hbXXLtgBhpEoaTK-EAwrB6PPjQ?e=Dygyft&amp;nav=MTVfe0VDMUJBNEJBLUNCOTAtNDI3Ri1CMTVFLUZDQjc2NURCQ0I1Q30" TargetMode="External"/><Relationship Id="rId1694" Type="http://schemas.openxmlformats.org/officeDocument/2006/relationships/hyperlink" Target="https://1drv.ms/x/s!AkP3hbXXLtgBhpEoaTK-EAwrB6PPjQ?e=DHRjp5&amp;nav=MTVfezdEN0E2ODJDLUYxMzctNDI0MS1BRjZDLThEMzExM0M0OTZBNn0" TargetMode="External"/><Relationship Id="rId2300" Type="http://schemas.openxmlformats.org/officeDocument/2006/relationships/hyperlink" Target="https://1drv.ms/x/s!AkP3hbXXLtgBhpEoaTK-EAwrB6PPjQ?e=LiWfcw&amp;nav=MTVfezFBQTVDNUQ5LTIxM0QtNDcxMi05RkYwLUI2NUUyNTFDRkFBMH0" TargetMode="External"/><Relationship Id="rId2538" Type="http://schemas.openxmlformats.org/officeDocument/2006/relationships/hyperlink" Target="https://1drv.ms/x/s!AkP3hbXXLtgBhpEoaTK-EAwrB6PPjQ?e=mXia38&amp;nav=MTVfe0I0NjUwQ0I4LURGNzEtNDA5NC04M0QxLUExRTNDN0Q3OTc1MX0" TargetMode="External"/><Relationship Id="rId2745" Type="http://schemas.openxmlformats.org/officeDocument/2006/relationships/printerSettings" Target="../printerSettings/printerSettings2.bin"/><Relationship Id="rId717" Type="http://schemas.openxmlformats.org/officeDocument/2006/relationships/hyperlink" Target="https://1drv.ms/x/s!AkP3hbXXLtgBhpEoaTK-EAwrB6PPjQ?e=JPeMLZ&amp;nav=MTVfezdEMkY3NDEyLUYwMzItNDM0RC05MDRFLTcyNTE0ODM0NjA4M30" TargetMode="External"/><Relationship Id="rId924" Type="http://schemas.openxmlformats.org/officeDocument/2006/relationships/hyperlink" Target="https://1drv.ms/x/s!AkP3hbXXLtgBhpEoaTK-EAwrB6PPjQ?e=GuJxJM&amp;nav=MTVfe0NBQzcxNDNGLTAzODYtNEFDRi1BNTI1LTRDQTYxMDEzNkYwM30" TargetMode="External"/><Relationship Id="rId1347" Type="http://schemas.openxmlformats.org/officeDocument/2006/relationships/hyperlink" Target="https://1drv.ms/x/s!AkP3hbXXLtgBhpEoaTK-EAwrB6PPjQ?e=SkY523&amp;nav=MTVfezk3NEQ3MjVGLTlERDMtNDdDOS05QzJDLUU5RjJCNjk2N0I4MX0" TargetMode="External"/><Relationship Id="rId1554" Type="http://schemas.openxmlformats.org/officeDocument/2006/relationships/hyperlink" Target="https://1drv.ms/x/s!AkP3hbXXLtgBhpEoaTK-EAwrB6PPjQ?e=PsqPhH&amp;nav=MTVfe0ZDRjg3ODhGLTBFNDItNDJCOC04MDRCLTU4OTcwNUMwMjFGMn0" TargetMode="External"/><Relationship Id="rId1761" Type="http://schemas.openxmlformats.org/officeDocument/2006/relationships/hyperlink" Target="https://1drv.ms/x/s!AkP3hbXXLtgBhpEoaTK-EAwrB6PPjQ?e=36Im2J&amp;nav=MTVfezg1NTdGRUM1LTczODktNDk5My1BQjA0LTkyQjFDODE4MjgxRX0" TargetMode="External"/><Relationship Id="rId1999" Type="http://schemas.openxmlformats.org/officeDocument/2006/relationships/hyperlink" Target="https://1drv.ms/x/s!AkP3hbXXLtgBhpEoaTK-EAwrB6PPjQ?e=e8c5BE&amp;nav=MTVfe0YzRjMwRTg2LTYyMTgtNEY5QS05Qzg0LTUxNkJFM0Q4MDAwN30" TargetMode="External"/><Relationship Id="rId2605" Type="http://schemas.openxmlformats.org/officeDocument/2006/relationships/hyperlink" Target="https://1drv.ms/x/s!AkP3hbXXLtgBhpEoaTK-EAwrB6PPjQ?e=k1JzSb&amp;nav=MTVfezlCRDVCMEI4LTNBMEItNDE5NC04RTEyLUQxQzc3N0U3MUFFQn0" TargetMode="External"/><Relationship Id="rId53" Type="http://schemas.openxmlformats.org/officeDocument/2006/relationships/hyperlink" Target="https://1drv.ms/x/s!AkP3hbXXLtgBhpEoaTK-EAwrB6PPjQ?e=AMVmTu&amp;nav=MTVfezNFMEFDQTg3LTgzOUUtNDFGNC04MkYwLUIxRjIyNTFBRDYzNX0" TargetMode="External"/><Relationship Id="rId1207" Type="http://schemas.openxmlformats.org/officeDocument/2006/relationships/hyperlink" Target="https://1drv.ms/x/s!AkP3hbXXLtgBhpEoaTK-EAwrB6PPjQ?e=U6lTuf&amp;nav=MTVfezFEODYyODdBLUIyOTctNDdGMC04MTkyLUUzRDE3NjM5RkNFQ30" TargetMode="External"/><Relationship Id="rId1414" Type="http://schemas.openxmlformats.org/officeDocument/2006/relationships/hyperlink" Target="https://1drv.ms/x/s!AkP3hbXXLtgBhpEoaTK-EAwrB6PPjQ?e=xXe3yl&amp;nav=MTVfezM1QjlFQjFCLUIxM0MtNDQ0Ni05MzQyLUU2QjczMkYzQzJFOH0" TargetMode="External"/><Relationship Id="rId1621" Type="http://schemas.openxmlformats.org/officeDocument/2006/relationships/hyperlink" Target="https://1drv.ms/x/s!AkP3hbXXLtgBhpEoaTK-EAwrB6PPjQ?e=hF7xUm&amp;nav=MTVfezBDOEZCN0U5LURBOEQtNEY2Qi1CNUE1LUYzQTk0NDFBRkE2NX0" TargetMode="External"/><Relationship Id="rId1859" Type="http://schemas.openxmlformats.org/officeDocument/2006/relationships/hyperlink" Target="https://1drv.ms/x/s!AkP3hbXXLtgBhpEoaTK-EAwrB6PPjQ?e=pv1n5G&amp;nav=MTVfe0I5QjVDOEU1LTM5MTMtNDRCNy1COEY4LUUwMUNENUM2NTY1NX0" TargetMode="External"/><Relationship Id="rId1719" Type="http://schemas.openxmlformats.org/officeDocument/2006/relationships/hyperlink" Target="https://1drv.ms/x/s!AkP3hbXXLtgBhpEoaTK-EAwrB6PPjQ?e=DHRjp5&amp;nav=MTVfezdEN0E2ODJDLUYxMzctNDI0MS1BRjZDLThEMzExM0M0OTZBNn0" TargetMode="External"/><Relationship Id="rId1926" Type="http://schemas.openxmlformats.org/officeDocument/2006/relationships/hyperlink" Target="https://1drv.ms/x/s!AkP3hbXXLtgBhpEoaTK-EAwrB6PPjQ?e=U8iWbp&amp;nav=MTVfezVDRDNFMEMzLTY0NDctNDUyNC05RjQyLUQ5MzdFOTgzQzgzNH0" TargetMode="External"/><Relationship Id="rId2090" Type="http://schemas.openxmlformats.org/officeDocument/2006/relationships/hyperlink" Target="https://1drv.ms/x/s!AkP3hbXXLtgBhpEoaTK-EAwrB6PPjQ?e=7tvhFu&amp;nav=MTVfezYzQUQ2N0RCLTZFQkQtNDhGOC1BODVFLUQzNjgwN0I4QkNFMn0" TargetMode="External"/><Relationship Id="rId2188" Type="http://schemas.openxmlformats.org/officeDocument/2006/relationships/hyperlink" Target="https://1drv.ms/x/s!AkP3hbXXLtgBhpEoaTK-EAwrB6PPjQ?e=PJkcfB&amp;nav=MTVfezBFRjgyRDlFLThFOEUtNDA2RC05QUQzLTk5RDY0REIzMEU3Rn0" TargetMode="External"/><Relationship Id="rId2395" Type="http://schemas.openxmlformats.org/officeDocument/2006/relationships/hyperlink" Target="https://1drv.ms/x/s!AkP3hbXXLtgBhpEoaTK-EAwrB6PPjQ?e=X2f9pt&amp;nav=MTVfe0M4ODI3QTVFLTgzOUMtNDk2Qy1BMThFLUNCMDYwN0JBQjM5M30" TargetMode="External"/><Relationship Id="rId367" Type="http://schemas.openxmlformats.org/officeDocument/2006/relationships/hyperlink" Target="https://1drv.ms/x/s!AkP3hbXXLtgBhpEoaTK-EAwrB6PPjQ?e=mvWMFP&amp;nav=MTVfe0Q0MjM2QjFDLUVBQTAtNDE3Ri1BOEVGLTQzNzNBN0FGODY4M30" TargetMode="External"/><Relationship Id="rId574" Type="http://schemas.openxmlformats.org/officeDocument/2006/relationships/hyperlink" Target="https://1drv.ms/x/s!AkP3hbXXLtgBhpEoaTK-EAwrB6PPjQ?e=xgZSuS&amp;nav=MTVfezA3RkYxMTMwLTAyQjYtNDA4RS1BMkU5LTI2MUQ0MjM2OEJGQn0" TargetMode="External"/><Relationship Id="rId2048" Type="http://schemas.openxmlformats.org/officeDocument/2006/relationships/hyperlink" Target="https://1drv.ms/x/s!AkP3hbXXLtgBhpEoaTK-EAwrB6PPjQ?e=t9ByVx&amp;nav=MTVfe0MzOTE2QzlDLTMzMEMtNEQ4NS05NjZBLTBFNzk3QjgxMEIwQn0" TargetMode="External"/><Relationship Id="rId2255" Type="http://schemas.openxmlformats.org/officeDocument/2006/relationships/hyperlink" Target="https://1drv.ms/x/s!AkP3hbXXLtgBhpEoaTK-EAwrB6PPjQ?e=vI4FNr&amp;nav=MTVfezhGQzkyMTU5LUYxNTUtNDg4MS04N0QzLTE5OTgzQjI3QTc1NH0" TargetMode="External"/><Relationship Id="rId227" Type="http://schemas.openxmlformats.org/officeDocument/2006/relationships/hyperlink" Target="https://1drv.ms/x/s!AkP3hbXXLtgBhpEoaTK-EAwrB6PPjQ?e=36Im2J&amp;nav=MTVfezg1NTdGRUM1LTczODktNDk5My1BQjA0LTkyQjFDODE4MjgxRX0" TargetMode="External"/><Relationship Id="rId781" Type="http://schemas.openxmlformats.org/officeDocument/2006/relationships/hyperlink" Target="https://1drv.ms/x/s!AkP3hbXXLtgBhpEoaTK-EAwrB6PPjQ?e=0lRBEc&amp;nav=MTVfezRDRDQwMjU1LUJFM0ItNENDQS05NDQ1LUY1OTdERDA5ODg4NH0" TargetMode="External"/><Relationship Id="rId879" Type="http://schemas.openxmlformats.org/officeDocument/2006/relationships/hyperlink" Target="https://1drv.ms/x/s!AkP3hbXXLtgBhpEoaTK-EAwrB6PPjQ?e=VcWWuU&amp;nav=MTVfe0ExMEEwQ0RDLUFCNUQtNEMxQS1BM0ZGLTEzRDE2MkJEN0U2Q30" TargetMode="External"/><Relationship Id="rId2462" Type="http://schemas.openxmlformats.org/officeDocument/2006/relationships/hyperlink" Target="https://1drv.ms/x/s!AkP3hbXXLtgBhpEoaTK-EAwrB6PPjQ?e=LQfhsg&amp;nav=MTVfe0FGQTQ2QTUxLTkwOEEtNEZCNi04OUQ1LTMwOUU4QkMzMTRFQ30" TargetMode="External"/><Relationship Id="rId434" Type="http://schemas.openxmlformats.org/officeDocument/2006/relationships/hyperlink" Target="https://1drv.ms/x/s!AkP3hbXXLtgBhpEoaTK-EAwrB6PPjQ?e=sXo522&amp;nav=MTVfe0VCNzhCQUU0LUVEQzItNDRCMC04QTFFLUZEQzA0OTNEMDkzOX0" TargetMode="External"/><Relationship Id="rId641" Type="http://schemas.openxmlformats.org/officeDocument/2006/relationships/hyperlink" Target="https://1drv.ms/x/s!AkP3hbXXLtgBhpEoaTK-EAwrB6PPjQ?e=ZRDRyK&amp;nav=MTVfe0IyQkRBQzE0LUM2QkQtNDY3Ny04MjcyLUQxNjYyMkIyRTZGRH0" TargetMode="External"/><Relationship Id="rId739" Type="http://schemas.openxmlformats.org/officeDocument/2006/relationships/hyperlink" Target="https://1drv.ms/x/s!AkP3hbXXLtgBhpEoaTK-EAwrB6PPjQ?e=0lRBEc&amp;nav=MTVfezRDRDQwMjU1LUJFM0ItNENDQS05NDQ1LUY1OTdERDA5ODg4NH0" TargetMode="External"/><Relationship Id="rId1064" Type="http://schemas.openxmlformats.org/officeDocument/2006/relationships/hyperlink" Target="https://1drv.ms/x/s!AkP3hbXXLtgBhpEoaTK-EAwrB6PPjQ?e=rYbeUy&amp;nav=MTVfe0Q1MEM2OTMzLTFBNUUtNDhCMS1CQzhCLTlGQTI2NEEzRURDRH0" TargetMode="External"/><Relationship Id="rId1271" Type="http://schemas.openxmlformats.org/officeDocument/2006/relationships/hyperlink" Target="https://1drv.ms/x/s!AkP3hbXXLtgBhpEoaTK-EAwrB6PPjQ?e=UaBeCf&amp;nav=MTVfezM0NkJDRTA1LThBNUQtNDFFMC1BNjQ2LTk5NTVEMTg4RUEzNn0" TargetMode="External"/><Relationship Id="rId1369" Type="http://schemas.openxmlformats.org/officeDocument/2006/relationships/hyperlink" Target="https://1drv.ms/x/s!AkP3hbXXLtgBhpEoaTK-EAwrB6PPjQ?e=0mRVd8&amp;nav=MTVfezhCNkZEQTNBLUNGMjctNEI5QS04QzdDLTFGQzk0MjVBNUY1QX0" TargetMode="External"/><Relationship Id="rId1576" Type="http://schemas.openxmlformats.org/officeDocument/2006/relationships/hyperlink" Target="https://1drv.ms/x/s!AkP3hbXXLtgBhpEoaTK-EAwrB6PPjQ?e=hF7xUm&amp;nav=MTVfezBDOEZCN0U5LURBOEQtNEY2Qi1CNUE1LUYzQTk0NDFBRkE2NX0" TargetMode="External"/><Relationship Id="rId2115" Type="http://schemas.openxmlformats.org/officeDocument/2006/relationships/hyperlink" Target="https://1drv.ms/x/s!AkP3hbXXLtgBhpEoaTK-EAwrB6PPjQ?e=7tvhFu&amp;nav=MTVfezYzQUQ2N0RCLTZFQkQtNDhGOC1BODVFLUQzNjgwN0I4QkNFMn0" TargetMode="External"/><Relationship Id="rId2322" Type="http://schemas.openxmlformats.org/officeDocument/2006/relationships/hyperlink" Target="https://1drv.ms/x/s!AkP3hbXXLtgBhpEoaTK-EAwrB6PPjQ?e=LiWfcw&amp;nav=MTVfezFBQTVDNUQ5LTIxM0QtNDcxMi05RkYwLUI2NUUyNTFDRkFBMH0" TargetMode="External"/><Relationship Id="rId501" Type="http://schemas.openxmlformats.org/officeDocument/2006/relationships/hyperlink" Target="https://1drv.ms/x/s!AkP3hbXXLtgBhpEoaTK-EAwrB6PPjQ?e=zfxOib&amp;nav=MTVfezc5MUI1QUJBLTY0QUItNDM1OS05NkVBLTE3MUFBQTY2QzQ4Q30" TargetMode="External"/><Relationship Id="rId946" Type="http://schemas.openxmlformats.org/officeDocument/2006/relationships/hyperlink" Target="https://1drv.ms/x/s!AkP3hbXXLtgBhpEoaTK-EAwrB6PPjQ?e=GuJxJM&amp;nav=MTVfe0NBQzcxNDNGLTAzODYtNEFDRi1BNTI1LTRDQTYxMDEzNkYwM30" TargetMode="External"/><Relationship Id="rId1131" Type="http://schemas.openxmlformats.org/officeDocument/2006/relationships/hyperlink" Target="https://1drv.ms/x/s!AkP3hbXXLtgBhpEoaTK-EAwrB6PPjQ?e=Brd8C5&amp;nav=MTVfe0YyMTJGNjdELTg0REMtNEY4Ri05MzE5LTE0M0FEODlBMzg5Q30" TargetMode="External"/><Relationship Id="rId1229" Type="http://schemas.openxmlformats.org/officeDocument/2006/relationships/hyperlink" Target="https://1drv.ms/x/s!AkP3hbXXLtgBhpEoaTK-EAwrB6PPjQ?e=U6lTuf&amp;nav=MTVfezFEODYyODdBLUIyOTctNDdGMC04MTkyLUUzRDE3NjM5RkNFQ30" TargetMode="External"/><Relationship Id="rId1783" Type="http://schemas.openxmlformats.org/officeDocument/2006/relationships/hyperlink" Target="https://1drv.ms/x/s!AkP3hbXXLtgBhpEoaTK-EAwrB6PPjQ?e=sBpJD5&amp;nav=MTVfezM5QzdFMEZDLTg3QTEtNDRCMS04QTgyLUQ3MDU0NDI2MTBFRn0" TargetMode="External"/><Relationship Id="rId1990" Type="http://schemas.openxmlformats.org/officeDocument/2006/relationships/hyperlink" Target="https://1drv.ms/x/s!AkP3hbXXLtgBhpEoaTK-EAwrB6PPjQ?e=e8c5BE&amp;nav=MTVfe0YzRjMwRTg2LTYyMTgtNEY5QS05Qzg0LTUxNkJFM0Q4MDAwN30" TargetMode="External"/><Relationship Id="rId2627" Type="http://schemas.openxmlformats.org/officeDocument/2006/relationships/hyperlink" Target="https://1drv.ms/x/s!AkP3hbXXLtgBhpEoaTK-EAwrB6PPjQ?e=k1JzSb&amp;nav=MTVfezlCRDVCMEI4LTNBMEItNDE5NC04RTEyLUQxQzc3N0U3MUFFQn0" TargetMode="External"/><Relationship Id="rId75" Type="http://schemas.openxmlformats.org/officeDocument/2006/relationships/hyperlink" Target="https://1drv.ms/x/s!AkP3hbXXLtgBhpEoaTK-EAwrB6PPjQ?e=AMVmTu&amp;nav=MTVfezNFMEFDQTg3LTgzOUUtNDFGNC04MkYwLUIxRjIyNTFBRDYzNX0" TargetMode="External"/><Relationship Id="rId806" Type="http://schemas.openxmlformats.org/officeDocument/2006/relationships/hyperlink" Target="https://1drv.ms/x/s!AkP3hbXXLtgBhpEoaTK-EAwrB6PPjQ?e=zuxs7K&amp;nav=MTVfezEzQ0U5ODFBLTQxOTEtNERBOS05RDcwLTU1NDcwQ0I2MzhFNX0" TargetMode="External"/><Relationship Id="rId1436" Type="http://schemas.openxmlformats.org/officeDocument/2006/relationships/hyperlink" Target="https://1drv.ms/x/s!AkP3hbXXLtgBhpEoaTK-EAwrB6PPjQ?e=xXe3yl&amp;nav=MTVfezM1QjlFQjFCLUIxM0MtNDQ0Ni05MzQyLUU2QjczMkYzQzJFOH0" TargetMode="External"/><Relationship Id="rId1643" Type="http://schemas.openxmlformats.org/officeDocument/2006/relationships/hyperlink" Target="https://1drv.ms/x/s!AkP3hbXXLtgBhpEoaTK-EAwrB6PPjQ?e=VUlHtx&amp;nav=MTVfe0JEMzdCNzJBLTQ3QUItNEI0NC04MDRCLTNDRDY0MDVBODI2Qn0" TargetMode="External"/><Relationship Id="rId1850" Type="http://schemas.openxmlformats.org/officeDocument/2006/relationships/hyperlink" Target="https://1drv.ms/x/s!AkP3hbXXLtgBhpEoaTK-EAwrB6PPjQ?e=Qo1W02&amp;nav=MTVfe0Q5NDAyRTdCLTJCNEYtNEQ5OS05Q0Y4LTIyNDExQjYxNzRBRH0" TargetMode="External"/><Relationship Id="rId1503" Type="http://schemas.openxmlformats.org/officeDocument/2006/relationships/hyperlink" Target="https://1drv.ms/x/s!AkP3hbXXLtgBhpEoaTK-EAwrB6PPjQ?e=xGItXl&amp;nav=MTVfezc3NDc5QTVFLTEyMTItNEVGOS04NzRCLUUzREZBMkQ0NjU4OH0" TargetMode="External"/><Relationship Id="rId1710" Type="http://schemas.openxmlformats.org/officeDocument/2006/relationships/hyperlink" Target="https://1drv.ms/x/s!AkP3hbXXLtgBhpEoaTK-EAwrB6PPjQ?e=DHRjp5&amp;nav=MTVfezdEN0E2ODJDLUYxMzctNDI0MS1BRjZDLThEMzExM0M0OTZBNn0" TargetMode="External"/><Relationship Id="rId1948" Type="http://schemas.openxmlformats.org/officeDocument/2006/relationships/hyperlink" Target="https://1drv.ms/x/s!AkP3hbXXLtgBhpEoaTK-EAwrB6PPjQ?e=Hae5Hc&amp;nav=MTVfe0U1QUU2RDZBLTFGMkUtNENGNC04OENCLUE1MjI0OEMyNDMzNn0" TargetMode="External"/><Relationship Id="rId291" Type="http://schemas.openxmlformats.org/officeDocument/2006/relationships/hyperlink" Target="https://1drv.ms/x/s!AkP3hbXXLtgBhpEoaTK-EAwrB6PPjQ?e=HO6wd4&amp;nav=MTVfe0NDRThCRDRELTFCMEEtNDNFRC1BMDRDLTc1QjY0NDgwNjJBMH0" TargetMode="External"/><Relationship Id="rId1808" Type="http://schemas.openxmlformats.org/officeDocument/2006/relationships/hyperlink" Target="https://1drv.ms/x/s!AkP3hbXXLtgBhpEoaTK-EAwrB6PPjQ?e=sBpJD5&amp;nav=MTVfezM5QzdFMEZDLTg3QTEtNDRCMS04QTgyLUQ3MDU0NDI2MTBFRn0" TargetMode="External"/><Relationship Id="rId151" Type="http://schemas.openxmlformats.org/officeDocument/2006/relationships/hyperlink" Target="https://1drv.ms/x/s!AkP3hbXXLtgBhpEoaTK-EAwrB6PPjQ?e=hRuig5&amp;nav=MTVfe0NCREMzODZGLTI3RDktNEI4RS05QjQ0LUUzQTc5QTQyQzY2MX0" TargetMode="External"/><Relationship Id="rId389" Type="http://schemas.openxmlformats.org/officeDocument/2006/relationships/hyperlink" Target="https://1drv.ms/x/s!AkP3hbXXLtgBhpEoaTK-EAwrB6PPjQ?e=mvWMFP&amp;nav=MTVfe0Q0MjM2QjFDLUVBQTAtNDE3Ri1BOEVGLTQzNzNBN0FGODY4M30" TargetMode="External"/><Relationship Id="rId596" Type="http://schemas.openxmlformats.org/officeDocument/2006/relationships/hyperlink" Target="https://1drv.ms/x/s!AkP3hbXXLtgBhpEoaTK-EAwrB6PPjQ?e=xgZSuS&amp;nav=MTVfezA3RkYxMTMwLTAyQjYtNDA4RS1BMkU5LTI2MUQ0MjM2OEJGQn0" TargetMode="External"/><Relationship Id="rId2277" Type="http://schemas.openxmlformats.org/officeDocument/2006/relationships/hyperlink" Target="https://1drv.ms/x/s!AkP3hbXXLtgBhpEoaTK-EAwrB6PPjQ?e=vI4FNr&amp;nav=MTVfezhGQzkyMTU5LUYxNTUtNDg4MS04N0QzLTE5OTgzQjI3QTc1NH0" TargetMode="External"/><Relationship Id="rId2484" Type="http://schemas.openxmlformats.org/officeDocument/2006/relationships/hyperlink" Target="https://1drv.ms/x/s!AkP3hbXXLtgBhpEoaTK-EAwrB6PPjQ?e=LQfhsg&amp;nav=MTVfe0FGQTQ2QTUxLTkwOEEtNEZCNi04OUQ1LTMwOUU4QkMzMTRFQ30" TargetMode="External"/><Relationship Id="rId2691" Type="http://schemas.openxmlformats.org/officeDocument/2006/relationships/hyperlink" Target="https://1drv.ms/x/s!AkP3hbXXLtgBhpEoaTK-EAwrB6PPjQ?e=hUXjPN&amp;nav=MTVfezYzNzY4MEExLTRDMzItNDcxMy05M0ZCLTBFNjAwNTlBMUI0MH0" TargetMode="External"/><Relationship Id="rId249" Type="http://schemas.openxmlformats.org/officeDocument/2006/relationships/hyperlink" Target="https://1drv.ms/x/s!AkP3hbXXLtgBhpEoaTK-EAwrB6PPjQ?e=36Im2J&amp;nav=MTVfezg1NTdGRUM1LTczODktNDk5My1BQjA0LTkyQjFDODE4MjgxRX0" TargetMode="External"/><Relationship Id="rId456" Type="http://schemas.openxmlformats.org/officeDocument/2006/relationships/hyperlink" Target="https://1drv.ms/x/s!AkP3hbXXLtgBhpEoaTK-EAwrB6PPjQ?e=sXo522&amp;nav=MTVfe0VCNzhCQUU0LUVEQzItNDRCMC04QTFFLUZEQzA0OTNEMDkzOX0" TargetMode="External"/><Relationship Id="rId663" Type="http://schemas.openxmlformats.org/officeDocument/2006/relationships/hyperlink" Target="https://1drv.ms/x/s!AkP3hbXXLtgBhpEoaTK-EAwrB6PPjQ?e=ZRDRyK&amp;nav=MTVfe0IyQkRBQzE0LUM2QkQtNDY3Ny04MjcyLUQxNjYyMkIyRTZGRH0" TargetMode="External"/><Relationship Id="rId870" Type="http://schemas.openxmlformats.org/officeDocument/2006/relationships/hyperlink" Target="https://1drv.ms/x/s!AkP3hbXXLtgBhpEoaTK-EAwrB6PPjQ?e=VcWWuU&amp;nav=MTVfe0ExMEEwQ0RDLUFCNUQtNEMxQS1BM0ZGLTEzRDE2MkJEN0U2Q30" TargetMode="External"/><Relationship Id="rId1086" Type="http://schemas.openxmlformats.org/officeDocument/2006/relationships/hyperlink" Target="https://1drv.ms/x/s!AkP3hbXXLtgBhpEoaTK-EAwrB6PPjQ?e=rYbeUy&amp;nav=MTVfe0Q1MEM2OTMzLTFBNUUtNDhCMS1CQzhCLTlGQTI2NEEzRURDRH0" TargetMode="External"/><Relationship Id="rId1293" Type="http://schemas.openxmlformats.org/officeDocument/2006/relationships/hyperlink" Target="https://1drv.ms/x/s!AkP3hbXXLtgBhpEoaTK-EAwrB6PPjQ?e=bD2jTr&amp;nav=MTVfezRGRUQzQzY0LTk3M0ItNDNDNy1BRUY3LTYwMDNGN0E5OThFQX0" TargetMode="External"/><Relationship Id="rId2137" Type="http://schemas.openxmlformats.org/officeDocument/2006/relationships/hyperlink" Target="https://1drv.ms/x/s!AkP3hbXXLtgBhpEoaTK-EAwrB6PPjQ?e=nj2bQ1&amp;nav=MTVfezAwMDAwMDAwLTAwMDEtMDAwMC0wMDAwLTAwMDAwMDAwMDAwMH0" TargetMode="External"/><Relationship Id="rId2344" Type="http://schemas.openxmlformats.org/officeDocument/2006/relationships/hyperlink" Target="https://1drv.ms/x/s!AkP3hbXXLtgBhpEoaTK-EAwrB6PPjQ?e=LiWfcw&amp;nav=MTVfezFBQTVDNUQ5LTIxM0QtNDcxMi05RkYwLUI2NUUyNTFDRkFBMH0" TargetMode="External"/><Relationship Id="rId2551" Type="http://schemas.openxmlformats.org/officeDocument/2006/relationships/hyperlink" Target="https://1drv.ms/x/s!AkP3hbXXLtgBhpEoaTK-EAwrB6PPjQ?e=mXia38&amp;nav=MTVfe0I0NjUwQ0I4LURGNzEtNDA5NC04M0QxLUExRTNDN0Q3OTc1MX0" TargetMode="External"/><Relationship Id="rId109" Type="http://schemas.openxmlformats.org/officeDocument/2006/relationships/hyperlink" Target="https://1drv.ms/x/s!AkP3hbXXLtgBhpEoaTK-EAwrB6PPjQ?e=hRuig5&amp;nav=MTVfe0NCREMzODZGLTI3RDktNEI4RS05QjQ0LUUzQTc5QTQyQzY2MX0" TargetMode="External"/><Relationship Id="rId316" Type="http://schemas.openxmlformats.org/officeDocument/2006/relationships/hyperlink" Target="https://1drv.ms/x/s!AkP3hbXXLtgBhpEoaTK-EAwrB6PPjQ?e=HO6wd4&amp;nav=MTVfe0NDRThCRDRELTFCMEEtNDNFRC1BMDRDLTc1QjY0NDgwNjJBMH0" TargetMode="External"/><Relationship Id="rId523" Type="http://schemas.openxmlformats.org/officeDocument/2006/relationships/hyperlink" Target="https://1drv.ms/x/s!AkP3hbXXLtgBhpEoaTK-EAwrB6PPjQ?e=zfxOib&amp;nav=MTVfezc5MUI1QUJBLTY0QUItNDM1OS05NkVBLTE3MUFBQTY2QzQ4Q30" TargetMode="External"/><Relationship Id="rId968" Type="http://schemas.openxmlformats.org/officeDocument/2006/relationships/hyperlink" Target="https://1drv.ms/x/s!AkP3hbXXLtgBhpEoaTK-EAwrB6PPjQ?e=fk66xb&amp;nav=MTVfezU0MjNBNEE5LTNDNzctNDQwNC05RjA3LTAyNEI1N0FBQjFDNX0" TargetMode="External"/><Relationship Id="rId1153" Type="http://schemas.openxmlformats.org/officeDocument/2006/relationships/hyperlink" Target="https://1drv.ms/x/s!AkP3hbXXLtgBhpEoaTK-EAwrB6PPjQ?e=7D4jtp&amp;nav=MTVfe0Q5MDNFMUVCLUFFNkQtNDU5OC04QjYyLUFGODVDMTZENkVGMX0" TargetMode="External"/><Relationship Id="rId1598" Type="http://schemas.openxmlformats.org/officeDocument/2006/relationships/hyperlink" Target="https://1drv.ms/x/s!AkP3hbXXLtgBhpEoaTK-EAwrB6PPjQ?e=hF7xUm&amp;nav=MTVfezBDOEZCN0U5LURBOEQtNEY2Qi1CNUE1LUYzQTk0NDFBRkE2NX0" TargetMode="External"/><Relationship Id="rId2204" Type="http://schemas.openxmlformats.org/officeDocument/2006/relationships/hyperlink" Target="https://1drv.ms/x/s!AkP3hbXXLtgBhpEoaTK-EAwrB6PPjQ?e=PJkcfB&amp;nav=MTVfezBFRjgyRDlFLThFOEUtNDA2RC05QUQzLTk5RDY0REIzMEU3Rn0" TargetMode="External"/><Relationship Id="rId2649" Type="http://schemas.openxmlformats.org/officeDocument/2006/relationships/hyperlink" Target="https://1drv.ms/x/s!AkP3hbXXLtgBhpEoaTK-EAwrB6PPjQ?e=k1JzSb&amp;nav=MTVfezlCRDVCMEI4LTNBMEItNDE5NC04RTEyLUQxQzc3N0U3MUFFQn0" TargetMode="External"/><Relationship Id="rId97" Type="http://schemas.openxmlformats.org/officeDocument/2006/relationships/hyperlink" Target="https://1drv.ms/x/s!AkP3hbXXLtgBhpEoaTK-EAwrB6PPjQ?e=AMVmTu&amp;nav=MTVfezNFMEFDQTg3LTgzOUUtNDFGNC04MkYwLUIxRjIyNTFBRDYzNX0" TargetMode="External"/><Relationship Id="rId730" Type="http://schemas.openxmlformats.org/officeDocument/2006/relationships/hyperlink" Target="https://1drv.ms/x/s!AkP3hbXXLtgBhpEoaTK-EAwrB6PPjQ?e=0lRBEc&amp;nav=MTVfezRDRDQwMjU1LUJFM0ItNENDQS05NDQ1LUY1OTdERDA5ODg4NH0" TargetMode="External"/><Relationship Id="rId828" Type="http://schemas.openxmlformats.org/officeDocument/2006/relationships/hyperlink" Target="https://1drv.ms/x/s!AkP3hbXXLtgBhpEoaTK-EAwrB6PPjQ?e=zuxs7K&amp;nav=MTVfezEzQ0U5ODFBLTQxOTEtNERBOS05RDcwLTU1NDcwQ0I2MzhFNX0" TargetMode="External"/><Relationship Id="rId1013" Type="http://schemas.openxmlformats.org/officeDocument/2006/relationships/hyperlink" Target="https://1drv.ms/x/s!AkP3hbXXLtgBhpEoaTK-EAwrB6PPjQ?e=NFspu9&amp;nav=MTVfezE1M0M1OEJDLTA3MzUtNERFMC1BNzE4LTMzMUY1QjZBOEZDMH0" TargetMode="External"/><Relationship Id="rId1360" Type="http://schemas.openxmlformats.org/officeDocument/2006/relationships/hyperlink" Target="https://1drv.ms/x/s!AkP3hbXXLtgBhpEoaTK-EAwrB6PPjQ?e=0mRVd8&amp;nav=MTVfezhCNkZEQTNBLUNGMjctNEI5QS04QzdDLTFGQzk0MjVBNUY1QX0" TargetMode="External"/><Relationship Id="rId1458" Type="http://schemas.openxmlformats.org/officeDocument/2006/relationships/hyperlink" Target="https://1drv.ms/x/s!AkP3hbXXLtgBhpEoaTK-EAwrB6PPjQ?e=xXe3yl&amp;nav=MTVfezM1QjlFQjFCLUIxM0MtNDQ0Ni05MzQyLUU2QjczMkYzQzJFOH0" TargetMode="External"/><Relationship Id="rId1665" Type="http://schemas.openxmlformats.org/officeDocument/2006/relationships/hyperlink" Target="https://1drv.ms/x/s!AkP3hbXXLtgBhpEoaTK-EAwrB6PPjQ?e=DHRjp5&amp;nav=MTVfezdEN0E2ODJDLUYxMzctNDI0MS1BRjZDLThEMzExM0M0OTZBNn0" TargetMode="External"/><Relationship Id="rId1872" Type="http://schemas.openxmlformats.org/officeDocument/2006/relationships/hyperlink" Target="https://1drv.ms/x/s!AkP3hbXXLtgBhpEoaTK-EAwrB6PPjQ?e=lNfo2c&amp;nav=MTVfezA2NDZDNEUzLUJDNjEtNDQ0RC05RjEzLTc2OTQ0MTEzOTQyNX0" TargetMode="External"/><Relationship Id="rId2411" Type="http://schemas.openxmlformats.org/officeDocument/2006/relationships/hyperlink" Target="https://1drv.ms/x/s!AkP3hbXXLtgBhpEoaTK-EAwrB6PPjQ?e=X2f9pt&amp;nav=MTVfe0M4ODI3QTVFLTgzOUMtNDk2Qy1BMThFLUNCMDYwN0JBQjM5M30" TargetMode="External"/><Relationship Id="rId2509" Type="http://schemas.openxmlformats.org/officeDocument/2006/relationships/hyperlink" Target="https://1drv.ms/x/s!AkP3hbXXLtgBhpEoaTK-EAwrB6PPjQ?e=6TTmbj&amp;nav=MTVfezE1NUUyNjAwLTBGQUYtNDYyRS05MjBELTkwRjJEQzFDMUI3Q30" TargetMode="External"/><Relationship Id="rId2716" Type="http://schemas.openxmlformats.org/officeDocument/2006/relationships/hyperlink" Target="https://1drv.ms/x/s!AkP3hbXXLtgBhpEoaTK-EAwrB6PPjQ?e=hUXjPN&amp;nav=MTVfezYzNzY4MEExLTRDMzItNDcxMy05M0ZCLTBFNjAwNTlBMUI0MH0" TargetMode="External"/><Relationship Id="rId1220" Type="http://schemas.openxmlformats.org/officeDocument/2006/relationships/hyperlink" Target="https://1drv.ms/x/s!AkP3hbXXLtgBhpEoaTK-EAwrB6PPjQ?e=U6lTuf&amp;nav=MTVfezFEODYyODdBLUIyOTctNDdGMC04MTkyLUUzRDE3NjM5RkNFQ30" TargetMode="External"/><Relationship Id="rId1318" Type="http://schemas.openxmlformats.org/officeDocument/2006/relationships/hyperlink" Target="https://1drv.ms/x/s!AkP3hbXXLtgBhpEoaTK-EAwrB6PPjQ?e=aEDo0X&amp;nav=MTVfe0Y5NTI5MkI1LUFCMUItNDU0Ni1BNjg1LUVEQUU4Q0U3RTM5OX0" TargetMode="External"/><Relationship Id="rId1525" Type="http://schemas.openxmlformats.org/officeDocument/2006/relationships/hyperlink" Target="https://1drv.ms/x/s!AkP3hbXXLtgBhpEoaTK-EAwrB6PPjQ?e=PsqPhH&amp;nav=MTVfe0ZDRjg3ODhGLTBFNDItNDJCOC04MDRCLTU4OTcwNUMwMjFGMn0" TargetMode="External"/><Relationship Id="rId1732" Type="http://schemas.openxmlformats.org/officeDocument/2006/relationships/hyperlink" Target="https://1drv.ms/x/s!AkP3hbXXLtgBhpEoaTK-EAwrB6PPjQ?e=DHRjp5&amp;nav=MTVfezdEN0E2ODJDLUYxMzctNDI0MS1BRjZDLThEMzExM0M0OTZBNn0" TargetMode="External"/><Relationship Id="rId24" Type="http://schemas.openxmlformats.org/officeDocument/2006/relationships/hyperlink" Target="https://1drv.ms/x/s!AkP3hbXXLtgBhpEoaTK-EAwrB6PPjQ?e=pv1n5G&amp;nav=MTVfe0I5QjVDOEU1LTM5MTMtNDRCNy1COEY4LUUwMUNENUM2NTY1NX0" TargetMode="External"/><Relationship Id="rId2299" Type="http://schemas.openxmlformats.org/officeDocument/2006/relationships/hyperlink" Target="https://1drv.ms/x/s!AkP3hbXXLtgBhpEoaTK-EAwrB6PPjQ?e=LiWfcw&amp;nav=MTVfezFBQTVDNUQ5LTIxM0QtNDcxMi05RkYwLUI2NUUyNTFDRkFBMH0" TargetMode="External"/><Relationship Id="rId173" Type="http://schemas.openxmlformats.org/officeDocument/2006/relationships/hyperlink" Target="https://1drv.ms/x/s!AkP3hbXXLtgBhpEoaTK-EAwrB6PPjQ?e=hKKsXn&amp;nav=MTVfe0M0MzQ5RkZFLUFFMEMtNDZBOC05NDNELUU2ODg5N0JGMDU4Rn0" TargetMode="External"/><Relationship Id="rId380" Type="http://schemas.openxmlformats.org/officeDocument/2006/relationships/hyperlink" Target="https://1drv.ms/x/s!AkP3hbXXLtgBhpEoaTK-EAwrB6PPjQ?e=mvWMFP&amp;nav=MTVfe0Q0MjM2QjFDLUVBQTAtNDE3Ri1BOEVGLTQzNzNBN0FGODY4M30" TargetMode="External"/><Relationship Id="rId2061" Type="http://schemas.openxmlformats.org/officeDocument/2006/relationships/hyperlink" Target="https://1drv.ms/x/s!AkP3hbXXLtgBhpEoaTK-EAwrB6PPjQ?e=t9ByVx&amp;nav=MTVfe0MzOTE2QzlDLTMzMEMtNEQ4NS05NjZBLTBFNzk3QjgxMEIwQn0" TargetMode="External"/><Relationship Id="rId240" Type="http://schemas.openxmlformats.org/officeDocument/2006/relationships/hyperlink" Target="https://1drv.ms/x/s!AkP3hbXXLtgBhpEoaTK-EAwrB6PPjQ?e=36Im2J&amp;nav=MTVfezg1NTdGRUM1LTczODktNDk5My1BQjA0LTkyQjFDODE4MjgxRX0" TargetMode="External"/><Relationship Id="rId478" Type="http://schemas.openxmlformats.org/officeDocument/2006/relationships/hyperlink" Target="https://1drv.ms/x/s!AkP3hbXXLtgBhpEoaTK-EAwrB6PPjQ?e=sXo522&amp;nav=MTVfe0VCNzhCQUU0LUVEQzItNDRCMC04QTFFLUZEQzA0OTNEMDkzOX0" TargetMode="External"/><Relationship Id="rId685" Type="http://schemas.openxmlformats.org/officeDocument/2006/relationships/hyperlink" Target="https://1drv.ms/x/s!AkP3hbXXLtgBhpEoaTK-EAwrB6PPjQ?e=JPeMLZ&amp;nav=MTVfezdEMkY3NDEyLUYwMzItNDM0RC05MDRFLTcyNTE0ODM0NjA4M30" TargetMode="External"/><Relationship Id="rId892" Type="http://schemas.openxmlformats.org/officeDocument/2006/relationships/hyperlink" Target="https://1drv.ms/x/s!AkP3hbXXLtgBhpEoaTK-EAwrB6PPjQ?e=q7Y9UY&amp;nav=MTVfezY2QjMzRUJDLTdGREQtNEI4MC05QkFBLTZFRTQyNUFCMDY2MH0" TargetMode="External"/><Relationship Id="rId2159" Type="http://schemas.openxmlformats.org/officeDocument/2006/relationships/hyperlink" Target="https://1drv.ms/x/s!AkP3hbXXLtgBhpEoaTK-EAwrB6PPjQ?e=nj2bQ1&amp;nav=MTVfezAwMDAwMDAwLTAwMDEtMDAwMC0wMDAwLTAwMDAwMDAwMDAwMH0" TargetMode="External"/><Relationship Id="rId2366" Type="http://schemas.openxmlformats.org/officeDocument/2006/relationships/hyperlink" Target="https://1drv.ms/x/s!AkP3hbXXLtgBhpEoaTK-EAwrB6PPjQ?e=X2f9pt&amp;nav=MTVfe0M4ODI3QTVFLTgzOUMtNDk2Qy1BMThFLUNCMDYwN0JBQjM5M30" TargetMode="External"/><Relationship Id="rId2573" Type="http://schemas.openxmlformats.org/officeDocument/2006/relationships/hyperlink" Target="https://1drv.ms/x/s!AkP3hbXXLtgBhpEoaTK-EAwrB6PPjQ?e=mXia38&amp;nav=MTVfe0I0NjUwQ0I4LURGNzEtNDA5NC04M0QxLUExRTNDN0Q3OTc1MX0" TargetMode="External"/><Relationship Id="rId100" Type="http://schemas.openxmlformats.org/officeDocument/2006/relationships/hyperlink" Target="https://1drv.ms/x/s!AkP3hbXXLtgBhpEoaTK-EAwrB6PPjQ?e=AMVmTu&amp;nav=MTVfezNFMEFDQTg3LTgzOUUtNDFGNC04MkYwLUIxRjIyNTFBRDYzNX0" TargetMode="External"/><Relationship Id="rId338" Type="http://schemas.openxmlformats.org/officeDocument/2006/relationships/hyperlink" Target="https://1drv.ms/x/s!AkP3hbXXLtgBhpEoaTK-EAwrB6PPjQ?e=HO6wd4&amp;nav=MTVfe0NDRThCRDRELTFCMEEtNDNFRC1BMDRDLTc1QjY0NDgwNjJBMH0" TargetMode="External"/><Relationship Id="rId545" Type="http://schemas.openxmlformats.org/officeDocument/2006/relationships/hyperlink" Target="https://1drv.ms/x/s!AkP3hbXXLtgBhpEoaTK-EAwrB6PPjQ?e=xgZSuS&amp;nav=MTVfezA3RkYxMTMwLTAyQjYtNDA4RS1BMkU5LTI2MUQ0MjM2OEJGQn0" TargetMode="External"/><Relationship Id="rId752" Type="http://schemas.openxmlformats.org/officeDocument/2006/relationships/hyperlink" Target="https://1drv.ms/x/s!AkP3hbXXLtgBhpEoaTK-EAwrB6PPjQ?e=0lRBEc&amp;nav=MTVfezRDRDQwMjU1LUJFM0ItNENDQS05NDQ1LUY1OTdERDA5ODg4NH0" TargetMode="External"/><Relationship Id="rId1175" Type="http://schemas.openxmlformats.org/officeDocument/2006/relationships/hyperlink" Target="https://1drv.ms/x/s!AkP3hbXXLtgBhpEoaTK-EAwrB6PPjQ?e=7D4jtp&amp;nav=MTVfe0Q5MDNFMUVCLUFFNkQtNDU5OC04QjYyLUFGODVDMTZENkVGMX0" TargetMode="External"/><Relationship Id="rId1382" Type="http://schemas.openxmlformats.org/officeDocument/2006/relationships/hyperlink" Target="https://1drv.ms/x/s!AkP3hbXXLtgBhpEoaTK-EAwrB6PPjQ?e=6Dzvxb&amp;nav=MTVfezE4RDVGRUE3LUYyN0MtNDRFNC1BMENCLTk1RTNFRjk3QkJDRX0" TargetMode="External"/><Relationship Id="rId2019" Type="http://schemas.openxmlformats.org/officeDocument/2006/relationships/hyperlink" Target="https://1drv.ms/x/s!AkP3hbXXLtgBhpEoaTK-EAwrB6PPjQ?e=e8c5BE&amp;nav=MTVfe0YzRjMwRTg2LTYyMTgtNEY5QS05Qzg0LTUxNkJFM0Q4MDAwN30" TargetMode="External"/><Relationship Id="rId2226" Type="http://schemas.openxmlformats.org/officeDocument/2006/relationships/hyperlink" Target="https://1drv.ms/x/s!AkP3hbXXLtgBhpEoaTK-EAwrB6PPjQ?e=PJkcfB&amp;nav=MTVfezBFRjgyRDlFLThFOEUtNDA2RC05QUQzLTk5RDY0REIzMEU3Rn0" TargetMode="External"/><Relationship Id="rId2433" Type="http://schemas.openxmlformats.org/officeDocument/2006/relationships/hyperlink" Target="https://1drv.ms/x/s!AkP3hbXXLtgBhpEoaTK-EAwrB6PPjQ?e=X2f9pt&amp;nav=MTVfe0M4ODI3QTVFLTgzOUMtNDk2Qy1BMThFLUNCMDYwN0JBQjM5M30" TargetMode="External"/><Relationship Id="rId2640" Type="http://schemas.openxmlformats.org/officeDocument/2006/relationships/hyperlink" Target="https://1drv.ms/x/s!AkP3hbXXLtgBhpEoaTK-EAwrB6PPjQ?e=k1JzSb&amp;nav=MTVfezlCRDVCMEI4LTNBMEItNDE5NC04RTEyLUQxQzc3N0U3MUFFQn0" TargetMode="External"/><Relationship Id="rId405" Type="http://schemas.openxmlformats.org/officeDocument/2006/relationships/hyperlink" Target="https://1drv.ms/x/s!AkP3hbXXLtgBhpEoaTK-EAwrB6PPjQ?e=mvWMFP&amp;nav=MTVfe0Q0MjM2QjFDLUVBQTAtNDE3Ri1BOEVGLTQzNzNBN0FGODY4M30" TargetMode="External"/><Relationship Id="rId612" Type="http://schemas.openxmlformats.org/officeDocument/2006/relationships/hyperlink" Target="https://1drv.ms/x/s!AkP3hbXXLtgBhpEoaTK-EAwrB6PPjQ?e=ZRDRyK&amp;nav=MTVfe0IyQkRBQzE0LUM2QkQtNDY3Ny04MjcyLUQxNjYyMkIyRTZGRH0" TargetMode="External"/><Relationship Id="rId1035" Type="http://schemas.openxmlformats.org/officeDocument/2006/relationships/hyperlink" Target="https://1drv.ms/x/s!AkP3hbXXLtgBhpEoaTK-EAwrB6PPjQ?e=NFspu9&amp;nav=MTVfezE1M0M1OEJDLTA3MzUtNERFMC1BNzE4LTMzMUY1QjZBOEZDMH0" TargetMode="External"/><Relationship Id="rId1242" Type="http://schemas.openxmlformats.org/officeDocument/2006/relationships/hyperlink" Target="https://1drv.ms/x/s!AkP3hbXXLtgBhpEoaTK-EAwrB6PPjQ?e=UaBeCf&amp;nav=MTVfezM0NkJDRTA1LThBNUQtNDFFMC1BNjQ2LTk5NTVEMTg4RUEzNn0" TargetMode="External"/><Relationship Id="rId1687" Type="http://schemas.openxmlformats.org/officeDocument/2006/relationships/hyperlink" Target="https://1drv.ms/x/s!AkP3hbXXLtgBhpEoaTK-EAwrB6PPjQ?e=DHRjp5&amp;nav=MTVfezdEN0E2ODJDLUYxMzctNDI0MS1BRjZDLThEMzExM0M0OTZBNn0" TargetMode="External"/><Relationship Id="rId1894" Type="http://schemas.openxmlformats.org/officeDocument/2006/relationships/hyperlink" Target="https://1drv.ms/x/s!AkP3hbXXLtgBhpEoaTK-EAwrB6PPjQ?e=3z9g8a&amp;nav=MTVfezBGMENERTNBLTZCQTUtNDYwRi05MDM3LUNDNDk5MDBCNUU5MX0" TargetMode="External"/><Relationship Id="rId2500" Type="http://schemas.openxmlformats.org/officeDocument/2006/relationships/hyperlink" Target="https://1drv.ms/x/s!AkP3hbXXLtgBhpEoaTK-EAwrB6PPjQ?e=LQfhsg&amp;nav=MTVfe0FGQTQ2QTUxLTkwOEEtNEZCNi04OUQ1LTMwOUU4QkMzMTRFQ30" TargetMode="External"/><Relationship Id="rId2738" Type="http://schemas.openxmlformats.org/officeDocument/2006/relationships/hyperlink" Target="https://1drv.ms/x/s!AkP3hbXXLtgBhpEoaTK-EAwrB6PPjQ?e=5RiQ1M&amp;nav=MTVfezAwOEJCMDMxLUEyNEEtNDc3RS04RDNFLTBENTk0MDBCNEY0OH0" TargetMode="External"/><Relationship Id="rId917" Type="http://schemas.openxmlformats.org/officeDocument/2006/relationships/hyperlink" Target="https://1drv.ms/x/s!AkP3hbXXLtgBhpEoaTK-EAwrB6PPjQ?e=q7Y9UY&amp;nav=MTVfezY2QjMzRUJDLTdGREQtNEI4MC05QkFBLTZFRTQyNUFCMDY2MH0" TargetMode="External"/><Relationship Id="rId1102" Type="http://schemas.openxmlformats.org/officeDocument/2006/relationships/hyperlink" Target="https://1drv.ms/x/s!AkP3hbXXLtgBhpEoaTK-EAwrB6PPjQ?e=Brd8C5&amp;nav=MTVfe0YyMTJGNjdELTg0REMtNEY4Ri05MzE5LTE0M0FEODlBMzg5Q30" TargetMode="External"/><Relationship Id="rId1547" Type="http://schemas.openxmlformats.org/officeDocument/2006/relationships/hyperlink" Target="https://1drv.ms/x/s!AkP3hbXXLtgBhpEoaTK-EAwrB6PPjQ?e=PsqPhH&amp;nav=MTVfe0ZDRjg3ODhGLTBFNDItNDJCOC04MDRCLTU4OTcwNUMwMjFGMn0" TargetMode="External"/><Relationship Id="rId1754" Type="http://schemas.openxmlformats.org/officeDocument/2006/relationships/hyperlink" Target="https://1drv.ms/x/s!AkP3hbXXLtgBhpEoaTK-EAwrB6PPjQ?e=S6aQgK&amp;nav=MTVfezNDQTZGMDU5LTE2MUMtNDZDQi05RTYwLTUxMTNGNkFCNTI3Qn0" TargetMode="External"/><Relationship Id="rId1961" Type="http://schemas.openxmlformats.org/officeDocument/2006/relationships/hyperlink" Target="https://1drv.ms/x/s!AkP3hbXXLtgBhpEoaTK-EAwrB6PPjQ?e=Hae5Hc&amp;nav=MTVfe0U1QUU2RDZBLTFGMkUtNENGNC04OENCLUE1MjI0OEMyNDMzNn0" TargetMode="External"/><Relationship Id="rId46" Type="http://schemas.openxmlformats.org/officeDocument/2006/relationships/hyperlink" Target="https://1drv.ms/x/s!AkP3hbXXLtgBhpEoaTK-EAwrB6PPjQ?e=AMVmTu&amp;nav=MTVfezNFMEFDQTg3LTgzOUUtNDFGNC04MkYwLUIxRjIyNTFBRDYzNX0" TargetMode="External"/><Relationship Id="rId1407" Type="http://schemas.openxmlformats.org/officeDocument/2006/relationships/hyperlink" Target="https://1drv.ms/x/s!AkP3hbXXLtgBhpEoaTK-EAwrB6PPjQ?e=6Dzvxb&amp;nav=MTVfezE4RDVGRUE3LUYyN0MtNDRFNC1BMENCLTk1RTNFRjk3QkJDRX0" TargetMode="External"/><Relationship Id="rId1614" Type="http://schemas.openxmlformats.org/officeDocument/2006/relationships/hyperlink" Target="https://1drv.ms/x/s!AkP3hbXXLtgBhpEoaTK-EAwrB6PPjQ?e=hF7xUm&amp;nav=MTVfezBDOEZCN0U5LURBOEQtNEY2Qi1CNUE1LUYzQTk0NDFBRkE2NX0" TargetMode="External"/><Relationship Id="rId1821" Type="http://schemas.openxmlformats.org/officeDocument/2006/relationships/hyperlink" Target="https://1drv.ms/x/s!AkP3hbXXLtgBhpEoaTK-EAwrB6PPjQ?e=sBpJD5&amp;nav=MTVfezM5QzdFMEZDLTg3QTEtNDRCMS04QTgyLUQ3MDU0NDI2MTBFRn0" TargetMode="External"/><Relationship Id="rId195" Type="http://schemas.openxmlformats.org/officeDocument/2006/relationships/hyperlink" Target="https://1drv.ms/x/s!AkP3hbXXLtgBhpEoaTK-EAwrB6PPjQ?e=hKKsXn&amp;nav=MTVfe0M0MzQ5RkZFLUFFMEMtNDZBOC05NDNELUU2ODg5N0JGMDU4Rn0" TargetMode="External"/><Relationship Id="rId1919" Type="http://schemas.openxmlformats.org/officeDocument/2006/relationships/hyperlink" Target="https://1drv.ms/x/s!AkP3hbXXLtgBhpEoaTK-EAwrB6PPjQ?e=U8iWbp&amp;nav=MTVfezVDRDNFMEMzLTY0NDctNDUyNC05RjQyLUQ5MzdFOTgzQzgzNH0" TargetMode="External"/><Relationship Id="rId2083" Type="http://schemas.openxmlformats.org/officeDocument/2006/relationships/hyperlink" Target="https://1drv.ms/x/s!AkP3hbXXLtgBhpEoaTK-EAwrB6PPjQ?e=6Uvhwt&amp;nav=MTVfe0Q5NUQ0MEFGLTAxNjgtNDM5Ni04Rjg1LTZBMkFBMzFBMkRCMn0" TargetMode="External"/><Relationship Id="rId2290" Type="http://schemas.openxmlformats.org/officeDocument/2006/relationships/hyperlink" Target="https://1drv.ms/x/s!AkP3hbXXLtgBhpEoaTK-EAwrB6PPjQ?e=vI4FNr&amp;nav=MTVfezhGQzkyMTU5LUYxNTUtNDg4MS04N0QzLTE5OTgzQjI3QTc1NH0" TargetMode="External"/><Relationship Id="rId2388" Type="http://schemas.openxmlformats.org/officeDocument/2006/relationships/hyperlink" Target="https://1drv.ms/x/s!AkP3hbXXLtgBhpEoaTK-EAwrB6PPjQ?e=X2f9pt&amp;nav=MTVfe0M4ODI3QTVFLTgzOUMtNDk2Qy1BMThFLUNCMDYwN0JBQjM5M30" TargetMode="External"/><Relationship Id="rId2595" Type="http://schemas.openxmlformats.org/officeDocument/2006/relationships/hyperlink" Target="https://1drv.ms/x/s!AkP3hbXXLtgBhpEoaTK-EAwrB6PPjQ?e=6yBXWn&amp;nav=MTVfezJFQ0QzRjA0LUYyNEMtNEI2OS1CQTYzLTQ1QTBDQ0M4QjlEN30" TargetMode="External"/><Relationship Id="rId262" Type="http://schemas.openxmlformats.org/officeDocument/2006/relationships/hyperlink" Target="https://1drv.ms/x/s!AkP3hbXXLtgBhpEoaTK-EAwrB6PPjQ?e=36Im2J&amp;nav=MTVfezg1NTdGRUM1LTczODktNDk5My1BQjA0LTkyQjFDODE4MjgxRX0" TargetMode="External"/><Relationship Id="rId567" Type="http://schemas.openxmlformats.org/officeDocument/2006/relationships/hyperlink" Target="https://1drv.ms/x/s!AkP3hbXXLtgBhpEoaTK-EAwrB6PPjQ?e=xgZSuS&amp;nav=MTVfezA3RkYxMTMwLTAyQjYtNDA4RS1BMkU5LTI2MUQ0MjM2OEJGQn0" TargetMode="External"/><Relationship Id="rId1197" Type="http://schemas.openxmlformats.org/officeDocument/2006/relationships/hyperlink" Target="https://1drv.ms/x/s!AkP3hbXXLtgBhpEoaTK-EAwrB6PPjQ?e=U6lTuf&amp;nav=MTVfezFEODYyODdBLUIyOTctNDdGMC04MTkyLUUzRDE3NjM5RkNFQ30" TargetMode="External"/><Relationship Id="rId2150" Type="http://schemas.openxmlformats.org/officeDocument/2006/relationships/hyperlink" Target="https://1drv.ms/x/s!AkP3hbXXLtgBhpEoaTK-EAwrB6PPjQ?e=nj2bQ1&amp;nav=MTVfezAwMDAwMDAwLTAwMDEtMDAwMC0wMDAwLTAwMDAwMDAwMDAwMH0" TargetMode="External"/><Relationship Id="rId2248" Type="http://schemas.openxmlformats.org/officeDocument/2006/relationships/hyperlink" Target="https://1drv.ms/x/s!AkP3hbXXLtgBhpEoaTK-EAwrB6PPjQ?e=vI4FNr&amp;nav=MTVfezhGQzkyMTU5LUYxNTUtNDg4MS04N0QzLTE5OTgzQjI3QTc1NH0" TargetMode="External"/><Relationship Id="rId122" Type="http://schemas.openxmlformats.org/officeDocument/2006/relationships/hyperlink" Target="https://1drv.ms/x/s!AkP3hbXXLtgBhpEoaTK-EAwrB6PPjQ?e=hRuig5&amp;nav=MTVfe0NCREMzODZGLTI3RDktNEI4RS05QjQ0LUUzQTc5QTQyQzY2MX0" TargetMode="External"/><Relationship Id="rId774" Type="http://schemas.openxmlformats.org/officeDocument/2006/relationships/hyperlink" Target="https://1drv.ms/x/s!AkP3hbXXLtgBhpEoaTK-EAwrB6PPjQ?e=0lRBEc&amp;nav=MTVfezRDRDQwMjU1LUJFM0ItNENDQS05NDQ1LUY1OTdERDA5ODg4NH0" TargetMode="External"/><Relationship Id="rId981" Type="http://schemas.openxmlformats.org/officeDocument/2006/relationships/hyperlink" Target="https://1drv.ms/x/s!AkP3hbXXLtgBhpEoaTK-EAwrB6PPjQ?e=fk66xb&amp;nav=MTVfezU0MjNBNEE5LTNDNzctNDQwNC05RjA3LTAyNEI1N0FBQjFDNX0" TargetMode="External"/><Relationship Id="rId1057" Type="http://schemas.openxmlformats.org/officeDocument/2006/relationships/hyperlink" Target="https://1drv.ms/x/s!AkP3hbXXLtgBhpEoaTK-EAwrB6PPjQ?e=rYbeUy&amp;nav=MTVfe0Q1MEM2OTMzLTFBNUUtNDhCMS1CQzhCLTlGQTI2NEEzRURDRH0" TargetMode="External"/><Relationship Id="rId2010" Type="http://schemas.openxmlformats.org/officeDocument/2006/relationships/hyperlink" Target="https://1drv.ms/x/s!AkP3hbXXLtgBhpEoaTK-EAwrB6PPjQ?e=e8c5BE&amp;nav=MTVfe0YzRjMwRTg2LTYyMTgtNEY5QS05Qzg0LTUxNkJFM0Q4MDAwN30" TargetMode="External"/><Relationship Id="rId2455" Type="http://schemas.openxmlformats.org/officeDocument/2006/relationships/hyperlink" Target="https://1drv.ms/x/s!AkP3hbXXLtgBhpEoaTK-EAwrB6PPjQ?e=LQfhsg&amp;nav=MTVfe0FGQTQ2QTUxLTkwOEEtNEZCNi04OUQ1LTMwOUU4QkMzMTRFQ30" TargetMode="External"/><Relationship Id="rId2662" Type="http://schemas.openxmlformats.org/officeDocument/2006/relationships/hyperlink" Target="https://1drv.ms/x/s!AkP3hbXXLtgBhpEoaTK-EAwrB6PPjQ?e=k1JzSb&amp;nav=MTVfezlCRDVCMEI4LTNBMEItNDE5NC04RTEyLUQxQzc3N0U3MUFFQn0" TargetMode="External"/><Relationship Id="rId427" Type="http://schemas.openxmlformats.org/officeDocument/2006/relationships/hyperlink" Target="https://1drv.ms/x/s!AkP3hbXXLtgBhpEoaTK-EAwrB6PPjQ?e=sXo522&amp;nav=MTVfe0VCNzhCQUU0LUVEQzItNDRCMC04QTFFLUZEQzA0OTNEMDkzOX0" TargetMode="External"/><Relationship Id="rId634" Type="http://schemas.openxmlformats.org/officeDocument/2006/relationships/hyperlink" Target="https://1drv.ms/x/s!AkP3hbXXLtgBhpEoaTK-EAwrB6PPjQ?e=ZRDRyK&amp;nav=MTVfe0IyQkRBQzE0LUM2QkQtNDY3Ny04MjcyLUQxNjYyMkIyRTZGRH0" TargetMode="External"/><Relationship Id="rId841" Type="http://schemas.openxmlformats.org/officeDocument/2006/relationships/hyperlink" Target="https://1drv.ms/x/s!AkP3hbXXLtgBhpEoaTK-EAwrB6PPjQ?e=zuxs7K&amp;nav=MTVfezEzQ0U5ODFBLTQxOTEtNERBOS05RDcwLTU1NDcwQ0I2MzhFNX0" TargetMode="External"/><Relationship Id="rId1264" Type="http://schemas.openxmlformats.org/officeDocument/2006/relationships/hyperlink" Target="https://1drv.ms/x/s!AkP3hbXXLtgBhpEoaTK-EAwrB6PPjQ?e=UaBeCf&amp;nav=MTVfezM0NkJDRTA1LThBNUQtNDFFMC1BNjQ2LTk5NTVEMTg4RUEzNn0" TargetMode="External"/><Relationship Id="rId1471" Type="http://schemas.openxmlformats.org/officeDocument/2006/relationships/hyperlink" Target="https://1drv.ms/x/s!AkP3hbXXLtgBhpEoaTK-EAwrB6PPjQ?e=xXe3yl&amp;nav=MTVfezM1QjlFQjFCLUIxM0MtNDQ0Ni05MzQyLUU2QjczMkYzQzJFOH0" TargetMode="External"/><Relationship Id="rId1569" Type="http://schemas.openxmlformats.org/officeDocument/2006/relationships/hyperlink" Target="https://1drv.ms/x/s!AkP3hbXXLtgBhpEoaTK-EAwrB6PPjQ?e=hF7xUm&amp;nav=MTVfezBDOEZCN0U5LURBOEQtNEY2Qi1CNUE1LUYzQTk0NDFBRkE2NX0" TargetMode="External"/><Relationship Id="rId2108" Type="http://schemas.openxmlformats.org/officeDocument/2006/relationships/hyperlink" Target="https://1drv.ms/x/s!AkP3hbXXLtgBhpEoaTK-EAwrB6PPjQ?e=7tvhFu&amp;nav=MTVfezYzQUQ2N0RCLTZFQkQtNDhGOC1BODVFLUQzNjgwN0I4QkNFMn0" TargetMode="External"/><Relationship Id="rId2315" Type="http://schemas.openxmlformats.org/officeDocument/2006/relationships/hyperlink" Target="https://1drv.ms/x/s!AkP3hbXXLtgBhpEoaTK-EAwrB6PPjQ?e=LiWfcw&amp;nav=MTVfezFBQTVDNUQ5LTIxM0QtNDcxMi05RkYwLUI2NUUyNTFDRkFBMH0" TargetMode="External"/><Relationship Id="rId2522" Type="http://schemas.openxmlformats.org/officeDocument/2006/relationships/hyperlink" Target="https://1drv.ms/x/s!AkP3hbXXLtgBhpEoaTK-EAwrB6PPjQ?e=mXia38&amp;nav=MTVfe0I0NjUwQ0I4LURGNzEtNDA5NC04M0QxLUExRTNDN0Q3OTc1MX0" TargetMode="External"/><Relationship Id="rId701" Type="http://schemas.openxmlformats.org/officeDocument/2006/relationships/hyperlink" Target="https://1drv.ms/x/s!AkP3hbXXLtgBhpEoaTK-EAwrB6PPjQ?e=JPeMLZ&amp;nav=MTVfezdEMkY3NDEyLUYwMzItNDM0RC05MDRFLTcyNTE0ODM0NjA4M30" TargetMode="External"/><Relationship Id="rId939" Type="http://schemas.openxmlformats.org/officeDocument/2006/relationships/hyperlink" Target="https://1drv.ms/x/s!AkP3hbXXLtgBhpEoaTK-EAwrB6PPjQ?e=GuJxJM&amp;nav=MTVfe0NBQzcxNDNGLTAzODYtNEFDRi1BNTI1LTRDQTYxMDEzNkYwM30" TargetMode="External"/><Relationship Id="rId1124" Type="http://schemas.openxmlformats.org/officeDocument/2006/relationships/hyperlink" Target="https://1drv.ms/x/s!AkP3hbXXLtgBhpEoaTK-EAwrB6PPjQ?e=Brd8C5&amp;nav=MTVfe0YyMTJGNjdELTg0REMtNEY4Ri05MzE5LTE0M0FEODlBMzg5Q30" TargetMode="External"/><Relationship Id="rId1331" Type="http://schemas.openxmlformats.org/officeDocument/2006/relationships/hyperlink" Target="https://1drv.ms/x/s!AkP3hbXXLtgBhpEoaTK-EAwrB6PPjQ?e=mYpfR1&amp;nav=MTVfe0NGMTlDQTg1LUE2QUMtNDYyRC1CN0M1LUExRjVBNjI1MDcyOX0" TargetMode="External"/><Relationship Id="rId1776" Type="http://schemas.openxmlformats.org/officeDocument/2006/relationships/hyperlink" Target="https://1drv.ms/x/s!AkP3hbXXLtgBhpEoaTK-EAwrB6PPjQ?e=sBpJD5&amp;nav=MTVfezM5QzdFMEZDLTg3QTEtNDRCMS04QTgyLUQ3MDU0NDI2MTBFRn0" TargetMode="External"/><Relationship Id="rId1983" Type="http://schemas.openxmlformats.org/officeDocument/2006/relationships/hyperlink" Target="https://1drv.ms/x/s!AkP3hbXXLtgBhpEoaTK-EAwrB6PPjQ?e=e8c5BE&amp;nav=MTVfe0YzRjMwRTg2LTYyMTgtNEY5QS05Qzg0LTUxNkJFM0Q4MDAwN30" TargetMode="External"/><Relationship Id="rId68" Type="http://schemas.openxmlformats.org/officeDocument/2006/relationships/hyperlink" Target="https://1drv.ms/x/s!AkP3hbXXLtgBhpEoaTK-EAwrB6PPjQ?e=AMVmTu&amp;nav=MTVfezNFMEFDQTg3LTgzOUUtNDFGNC04MkYwLUIxRjIyNTFBRDYzNX0" TargetMode="External"/><Relationship Id="rId1429" Type="http://schemas.openxmlformats.org/officeDocument/2006/relationships/hyperlink" Target="https://1drv.ms/x/s!AkP3hbXXLtgBhpEoaTK-EAwrB6PPjQ?e=xXe3yl&amp;nav=MTVfezM1QjlFQjFCLUIxM0MtNDQ0Ni05MzQyLUU2QjczMkYzQzJFOH0" TargetMode="External"/><Relationship Id="rId1636" Type="http://schemas.openxmlformats.org/officeDocument/2006/relationships/hyperlink" Target="https://1drv.ms/x/s!AkP3hbXXLtgBhpEoaTK-EAwrB6PPjQ?e=VUlHtx&amp;nav=MTVfe0JEMzdCNzJBLTQ3QUItNEI0NC04MDRCLTNDRDY0MDVBODI2Qn0" TargetMode="External"/><Relationship Id="rId1843" Type="http://schemas.openxmlformats.org/officeDocument/2006/relationships/hyperlink" Target="https://1drv.ms/x/s!AkP3hbXXLtgBhpEoaTK-EAwrB6PPjQ?e=Qo1W02&amp;nav=MTVfe0Q5NDAyRTdCLTJCNEYtNEQ5OS05Q0Y4LTIyNDExQjYxNzRBRH0" TargetMode="External"/><Relationship Id="rId1703" Type="http://schemas.openxmlformats.org/officeDocument/2006/relationships/hyperlink" Target="https://1drv.ms/x/s!AkP3hbXXLtgBhpEoaTK-EAwrB6PPjQ?e=DHRjp5&amp;nav=MTVfezdEN0E2ODJDLUYxMzctNDI0MS1BRjZDLThEMzExM0M0OTZBNn0" TargetMode="External"/><Relationship Id="rId1910" Type="http://schemas.openxmlformats.org/officeDocument/2006/relationships/hyperlink" Target="https://1drv.ms/x/s!AkP3hbXXLtgBhpEoaTK-EAwrB6PPjQ?e=TStCPl&amp;nav=MTVfezI2MjVEMjA5LUMzRUYtNEM5RS1CM0Q3LUE4NUY4RTMyNDUyNH0" TargetMode="External"/><Relationship Id="rId284" Type="http://schemas.openxmlformats.org/officeDocument/2006/relationships/hyperlink" Target="https://1drv.ms/x/s!AkP3hbXXLtgBhpEoaTK-EAwrB6PPjQ?e=36Im2J&amp;nav=MTVfezg1NTdGRUM1LTczODktNDk5My1BQjA0LTkyQjFDODE4MjgxRX0" TargetMode="External"/><Relationship Id="rId491" Type="http://schemas.openxmlformats.org/officeDocument/2006/relationships/hyperlink" Target="https://1drv.ms/x/s!AkP3hbXXLtgBhpEoaTK-EAwrB6PPjQ?e=zfxOib&amp;nav=MTVfezc5MUI1QUJBLTY0QUItNDM1OS05NkVBLTE3MUFBQTY2QzQ4Q30" TargetMode="External"/><Relationship Id="rId2172" Type="http://schemas.openxmlformats.org/officeDocument/2006/relationships/hyperlink" Target="https://1drv.ms/x/s!AkP3hbXXLtgBhpEoaTK-EAwrB6PPjQ?e=PJkcfB&amp;nav=MTVfezBFRjgyRDlFLThFOEUtNDA2RC05QUQzLTk5RDY0REIzMEU3Rn0" TargetMode="External"/><Relationship Id="rId144" Type="http://schemas.openxmlformats.org/officeDocument/2006/relationships/hyperlink" Target="https://1drv.ms/x/s!AkP3hbXXLtgBhpEoaTK-EAwrB6PPjQ?e=hRuig5&amp;nav=MTVfe0NCREMzODZGLTI3RDktNEI4RS05QjQ0LUUzQTc5QTQyQzY2MX0" TargetMode="External"/><Relationship Id="rId589" Type="http://schemas.openxmlformats.org/officeDocument/2006/relationships/hyperlink" Target="https://1drv.ms/x/s!AkP3hbXXLtgBhpEoaTK-EAwrB6PPjQ?e=xgZSuS&amp;nav=MTVfezA3RkYxMTMwLTAyQjYtNDA4RS1BMkU5LTI2MUQ0MjM2OEJGQn0" TargetMode="External"/><Relationship Id="rId796" Type="http://schemas.openxmlformats.org/officeDocument/2006/relationships/hyperlink" Target="https://1drv.ms/x/s!AkP3hbXXLtgBhpEoaTK-EAwrB6PPjQ?e=zuxs7K&amp;nav=MTVfezEzQ0U5ODFBLTQxOTEtNERBOS05RDcwLTU1NDcwQ0I2MzhFNX0" TargetMode="External"/><Relationship Id="rId2477" Type="http://schemas.openxmlformats.org/officeDocument/2006/relationships/hyperlink" Target="https://1drv.ms/x/s!AkP3hbXXLtgBhpEoaTK-EAwrB6PPjQ?e=LQfhsg&amp;nav=MTVfe0FGQTQ2QTUxLTkwOEEtNEZCNi04OUQ1LTMwOUU4QkMzMTRFQ30" TargetMode="External"/><Relationship Id="rId2684" Type="http://schemas.openxmlformats.org/officeDocument/2006/relationships/hyperlink" Target="https://1drv.ms/x/s!AkP3hbXXLtgBhpEoaTK-EAwrB6PPjQ?e=hUXjPN&amp;nav=MTVfezYzNzY4MEExLTRDMzItNDcxMy05M0ZCLTBFNjAwNTlBMUI0MH0" TargetMode="External"/><Relationship Id="rId351" Type="http://schemas.openxmlformats.org/officeDocument/2006/relationships/hyperlink" Target="https://1drv.ms/x/s!AkP3hbXXLtgBhpEoaTK-EAwrB6PPjQ?e=HO6wd4&amp;nav=MTVfe0NDRThCRDRELTFCMEEtNDNFRC1BMDRDLTc1QjY0NDgwNjJBMH0" TargetMode="External"/><Relationship Id="rId449" Type="http://schemas.openxmlformats.org/officeDocument/2006/relationships/hyperlink" Target="https://1drv.ms/x/s!AkP3hbXXLtgBhpEoaTK-EAwrB6PPjQ?e=sXo522&amp;nav=MTVfe0VCNzhCQUU0LUVEQzItNDRCMC04QTFFLUZEQzA0OTNEMDkzOX0" TargetMode="External"/><Relationship Id="rId656" Type="http://schemas.openxmlformats.org/officeDocument/2006/relationships/hyperlink" Target="https://1drv.ms/x/s!AkP3hbXXLtgBhpEoaTK-EAwrB6PPjQ?e=ZRDRyK&amp;nav=MTVfe0IyQkRBQzE0LUM2QkQtNDY3Ny04MjcyLUQxNjYyMkIyRTZGRH0" TargetMode="External"/><Relationship Id="rId863" Type="http://schemas.openxmlformats.org/officeDocument/2006/relationships/hyperlink" Target="https://1drv.ms/x/s!AkP3hbXXLtgBhpEoaTK-EAwrB6PPjQ?e=VcWWuU&amp;nav=MTVfe0ExMEEwQ0RDLUFCNUQtNEMxQS1BM0ZGLTEzRDE2MkJEN0U2Q30" TargetMode="External"/><Relationship Id="rId1079" Type="http://schemas.openxmlformats.org/officeDocument/2006/relationships/hyperlink" Target="https://1drv.ms/x/s!AkP3hbXXLtgBhpEoaTK-EAwrB6PPjQ?e=rYbeUy&amp;nav=MTVfe0Q1MEM2OTMzLTFBNUUtNDhCMS1CQzhCLTlGQTI2NEEzRURDRH0" TargetMode="External"/><Relationship Id="rId1286" Type="http://schemas.openxmlformats.org/officeDocument/2006/relationships/hyperlink" Target="https://1drv.ms/x/s!AkP3hbXXLtgBhpEoaTK-EAwrB6PPjQ?e=bD2jTr&amp;nav=MTVfezRGRUQzQzY0LTk3M0ItNDNDNy1BRUY3LTYwMDNGN0E5OThFQX0" TargetMode="External"/><Relationship Id="rId1493" Type="http://schemas.openxmlformats.org/officeDocument/2006/relationships/hyperlink" Target="https://1drv.ms/x/s!AkP3hbXXLtgBhpEoaTK-EAwrB6PPjQ?e=Dygyft&amp;nav=MTVfe0VDMUJBNEJBLUNCOTAtNDI3Ri1CMTVFLUZDQjc2NURCQ0I1Q30" TargetMode="External"/><Relationship Id="rId2032" Type="http://schemas.openxmlformats.org/officeDocument/2006/relationships/hyperlink" Target="https://1drv.ms/x/s!AkP3hbXXLtgBhpEoaTK-EAwrB6PPjQ?e=e8c5BE&amp;nav=MTVfe0YzRjMwRTg2LTYyMTgtNEY5QS05Qzg0LTUxNkJFM0Q4MDAwN30" TargetMode="External"/><Relationship Id="rId2337" Type="http://schemas.openxmlformats.org/officeDocument/2006/relationships/hyperlink" Target="https://1drv.ms/x/s!AkP3hbXXLtgBhpEoaTK-EAwrB6PPjQ?e=LiWfcw&amp;nav=MTVfezFBQTVDNUQ5LTIxM0QtNDcxMi05RkYwLUI2NUUyNTFDRkFBMH0" TargetMode="External"/><Relationship Id="rId2544" Type="http://schemas.openxmlformats.org/officeDocument/2006/relationships/hyperlink" Target="https://1drv.ms/x/s!AkP3hbXXLtgBhpEoaTK-EAwrB6PPjQ?e=mXia38&amp;nav=MTVfe0I0NjUwQ0I4LURGNzEtNDA5NC04M0QxLUExRTNDN0Q3OTc1MX0" TargetMode="External"/><Relationship Id="rId211" Type="http://schemas.openxmlformats.org/officeDocument/2006/relationships/hyperlink" Target="https://1drv.ms/x/s!AkP3hbXXLtgBhpEoaTK-EAwrB6PPjQ?e=hKKsXn&amp;nav=MTVfe0M0MzQ5RkZFLUFFMEMtNDZBOC05NDNELUU2ODg5N0JGMDU4Rn0" TargetMode="External"/><Relationship Id="rId309" Type="http://schemas.openxmlformats.org/officeDocument/2006/relationships/hyperlink" Target="https://1drv.ms/x/s!AkP3hbXXLtgBhpEoaTK-EAwrB6PPjQ?e=HO6wd4&amp;nav=MTVfe0NDRThCRDRELTFCMEEtNDNFRC1BMDRDLTc1QjY0NDgwNjJBMH0" TargetMode="External"/><Relationship Id="rId516" Type="http://schemas.openxmlformats.org/officeDocument/2006/relationships/hyperlink" Target="https://1drv.ms/x/s!AkP3hbXXLtgBhpEoaTK-EAwrB6PPjQ?e=zfxOib&amp;nav=MTVfezc5MUI1QUJBLTY0QUItNDM1OS05NkVBLTE3MUFBQTY2QzQ4Q30" TargetMode="External"/><Relationship Id="rId1146" Type="http://schemas.openxmlformats.org/officeDocument/2006/relationships/hyperlink" Target="https://1drv.ms/x/s!AkP3hbXXLtgBhpEoaTK-EAwrB6PPjQ?e=xGItXl&amp;nav=MTVfezc3NDc5QTVFLTEyMTItNEVGOS04NzRCLUUzREZBMkQ0NjU4OH0" TargetMode="External"/><Relationship Id="rId1798" Type="http://schemas.openxmlformats.org/officeDocument/2006/relationships/hyperlink" Target="https://1drv.ms/x/s!AkP3hbXXLtgBhpEoaTK-EAwrB6PPjQ?e=sBpJD5&amp;nav=MTVfezM5QzdFMEZDLTg3QTEtNDRCMS04QTgyLUQ3MDU0NDI2MTBFRn0" TargetMode="External"/><Relationship Id="rId723" Type="http://schemas.openxmlformats.org/officeDocument/2006/relationships/hyperlink" Target="https://1drv.ms/x/s!AkP3hbXXLtgBhpEoaTK-EAwrB6PPjQ?e=JPeMLZ&amp;nav=MTVfezdEMkY3NDEyLUYwMzItNDM0RC05MDRFLTcyNTE0ODM0NjA4M30" TargetMode="External"/><Relationship Id="rId930" Type="http://schemas.openxmlformats.org/officeDocument/2006/relationships/hyperlink" Target="https://1drv.ms/x/s!AkP3hbXXLtgBhpEoaTK-EAwrB6PPjQ?e=GuJxJM&amp;nav=MTVfe0NBQzcxNDNGLTAzODYtNEFDRi1BNTI1LTRDQTYxMDEzNkYwM30" TargetMode="External"/><Relationship Id="rId1006" Type="http://schemas.openxmlformats.org/officeDocument/2006/relationships/hyperlink" Target="https://1drv.ms/x/s!AkP3hbXXLtgBhpEoaTK-EAwrB6PPjQ?e=NFspu9&amp;nav=MTVfezE1M0M1OEJDLTA3MzUtNERFMC1BNzE4LTMzMUY1QjZBOEZDMH0" TargetMode="External"/><Relationship Id="rId1353" Type="http://schemas.openxmlformats.org/officeDocument/2006/relationships/hyperlink" Target="https://1drv.ms/x/s!AkP3hbXXLtgBhpEoaTK-EAwrB6PPjQ?e=SkY523&amp;nav=MTVfezk3NEQ3MjVGLTlERDMtNDdDOS05QzJDLUU5RjJCNjk2N0I4MX0" TargetMode="External"/><Relationship Id="rId1560" Type="http://schemas.openxmlformats.org/officeDocument/2006/relationships/hyperlink" Target="https://1drv.ms/x/s!AkP3hbXXLtgBhpEoaTK-EAwrB6PPjQ?e=PsqPhH&amp;nav=MTVfe0ZDRjg3ODhGLTBFNDItNDJCOC04MDRCLTU4OTcwNUMwMjFGMn0" TargetMode="External"/><Relationship Id="rId1658" Type="http://schemas.openxmlformats.org/officeDocument/2006/relationships/hyperlink" Target="https://1drv.ms/x/s!AkP3hbXXLtgBhpEoaTK-EAwrB6PPjQ?e=DHRjp5&amp;nav=MTVfezdEN0E2ODJDLUYxMzctNDI0MS1BRjZDLThEMzExM0M0OTZBNn0" TargetMode="External"/><Relationship Id="rId1865" Type="http://schemas.openxmlformats.org/officeDocument/2006/relationships/hyperlink" Target="https://1drv.ms/x/s!AkP3hbXXLtgBhpEoaTK-EAwrB6PPjQ?e=KawXz2&amp;nav=MTVfe0I2MTk3NUI3LTcxN0UtNDYyRi05OUNBLTc2RTcxMkRFMjVEOH0" TargetMode="External"/><Relationship Id="rId2404" Type="http://schemas.openxmlformats.org/officeDocument/2006/relationships/hyperlink" Target="https://1drv.ms/x/s!AkP3hbXXLtgBhpEoaTK-EAwrB6PPjQ?e=X2f9pt&amp;nav=MTVfe0M4ODI3QTVFLTgzOUMtNDk2Qy1BMThFLUNCMDYwN0JBQjM5M30" TargetMode="External"/><Relationship Id="rId2611" Type="http://schemas.openxmlformats.org/officeDocument/2006/relationships/hyperlink" Target="https://1drv.ms/x/s!AkP3hbXXLtgBhpEoaTK-EAwrB6PPjQ?e=k1JzSb&amp;nav=MTVfezlCRDVCMEI4LTNBMEItNDE5NC04RTEyLUQxQzc3N0U3MUFFQn0" TargetMode="External"/><Relationship Id="rId2709" Type="http://schemas.openxmlformats.org/officeDocument/2006/relationships/hyperlink" Target="https://1drv.ms/x/s!AkP3hbXXLtgBhpEoaTK-EAwrB6PPjQ?e=hUXjPN&amp;nav=MTVfezYzNzY4MEExLTRDMzItNDcxMy05M0ZCLTBFNjAwNTlBMUI0MH0" TargetMode="External"/><Relationship Id="rId1213" Type="http://schemas.openxmlformats.org/officeDocument/2006/relationships/hyperlink" Target="https://1drv.ms/x/s!AkP3hbXXLtgBhpEoaTK-EAwrB6PPjQ?e=U6lTuf&amp;nav=MTVfezFEODYyODdBLUIyOTctNDdGMC04MTkyLUUzRDE3NjM5RkNFQ30" TargetMode="External"/><Relationship Id="rId1420" Type="http://schemas.openxmlformats.org/officeDocument/2006/relationships/hyperlink" Target="https://1drv.ms/x/s!AkP3hbXXLtgBhpEoaTK-EAwrB6PPjQ?e=xXe3yl&amp;nav=MTVfezM1QjlFQjFCLUIxM0MtNDQ0Ni05MzQyLUU2QjczMkYzQzJFOH0" TargetMode="External"/><Relationship Id="rId1518" Type="http://schemas.openxmlformats.org/officeDocument/2006/relationships/hyperlink" Target="https://1drv.ms/x/s!AkP3hbXXLtgBhpEoaTK-EAwrB6PPjQ?e=VcWWuU&amp;nav=MTVfe0ExMEEwQ0RDLUFCNUQtNEMxQS1BM0ZGLTEzRDE2MkJEN0U2Q30" TargetMode="External"/><Relationship Id="rId1725" Type="http://schemas.openxmlformats.org/officeDocument/2006/relationships/hyperlink" Target="https://1drv.ms/x/s!AkP3hbXXLtgBhpEoaTK-EAwrB6PPjQ?e=DHRjp5&amp;nav=MTVfezdEN0E2ODJDLUYxMzctNDI0MS1BRjZDLThEMzExM0M0OTZBNn0" TargetMode="External"/><Relationship Id="rId1932" Type="http://schemas.openxmlformats.org/officeDocument/2006/relationships/hyperlink" Target="https://1drv.ms/x/s!AkP3hbXXLtgBhpEoaTK-EAwrB6PPjQ?e=U8iWbp&amp;nav=MTVfezVDRDNFMEMzLTY0NDctNDUyNC05RjQyLUQ5MzdFOTgzQzgzNH0" TargetMode="External"/><Relationship Id="rId17" Type="http://schemas.openxmlformats.org/officeDocument/2006/relationships/hyperlink" Target="https://1drv.ms/x/s!AkP3hbXXLtgBhpEoaTK-EAwrB6PPjQ?e=y4BK8H&amp;nav=MTVfezE1NUUyNjAwLTBGQUYtNDYyRS05MjBELTkwRjJEQzFDMUI3Q30" TargetMode="External"/><Relationship Id="rId2194" Type="http://schemas.openxmlformats.org/officeDocument/2006/relationships/hyperlink" Target="https://1drv.ms/x/s!AkP3hbXXLtgBhpEoaTK-EAwrB6PPjQ?e=PJkcfB&amp;nav=MTVfezBFRjgyRDlFLThFOEUtNDA2RC05QUQzLTk5RDY0REIzMEU3Rn0" TargetMode="External"/><Relationship Id="rId166" Type="http://schemas.openxmlformats.org/officeDocument/2006/relationships/hyperlink" Target="https://1drv.ms/x/s!AkP3hbXXLtgBhpEoaTK-EAwrB6PPjQ?e=hKKsXn&amp;nav=MTVfe0M0MzQ5RkZFLUFFMEMtNDZBOC05NDNELUU2ODg5N0JGMDU4Rn0" TargetMode="External"/><Relationship Id="rId373" Type="http://schemas.openxmlformats.org/officeDocument/2006/relationships/hyperlink" Target="https://1drv.ms/x/s!AkP3hbXXLtgBhpEoaTK-EAwrB6PPjQ?e=mvWMFP&amp;nav=MTVfe0Q0MjM2QjFDLUVBQTAtNDE3Ri1BOEVGLTQzNzNBN0FGODY4M30" TargetMode="External"/><Relationship Id="rId580" Type="http://schemas.openxmlformats.org/officeDocument/2006/relationships/hyperlink" Target="https://1drv.ms/x/s!AkP3hbXXLtgBhpEoaTK-EAwrB6PPjQ?e=xgZSuS&amp;nav=MTVfezA3RkYxMTMwLTAyQjYtNDA4RS1BMkU5LTI2MUQ0MjM2OEJGQn0" TargetMode="External"/><Relationship Id="rId2054" Type="http://schemas.openxmlformats.org/officeDocument/2006/relationships/hyperlink" Target="https://1drv.ms/x/s!AkP3hbXXLtgBhpEoaTK-EAwrB6PPjQ?e=t9ByVx&amp;nav=MTVfe0MzOTE2QzlDLTMzMEMtNEQ4NS05NjZBLTBFNzk3QjgxMEIwQn0" TargetMode="External"/><Relationship Id="rId2261" Type="http://schemas.openxmlformats.org/officeDocument/2006/relationships/hyperlink" Target="https://1drv.ms/x/s!AkP3hbXXLtgBhpEoaTK-EAwrB6PPjQ?e=vI4FNr&amp;nav=MTVfezhGQzkyMTU5LUYxNTUtNDg4MS04N0QzLTE5OTgzQjI3QTc1NH0" TargetMode="External"/><Relationship Id="rId2499" Type="http://schemas.openxmlformats.org/officeDocument/2006/relationships/hyperlink" Target="https://1drv.ms/x/s!AkP3hbXXLtgBhpEoaTK-EAwrB6PPjQ?e=LQfhsg&amp;nav=MTVfe0FGQTQ2QTUxLTkwOEEtNEZCNi04OUQ1LTMwOUU4QkMzMTRFQ30" TargetMode="External"/><Relationship Id="rId1" Type="http://schemas.openxmlformats.org/officeDocument/2006/relationships/hyperlink" Target="https://1drv.ms/x/s!AkP3hbXXLtgBhpEoaTK-EAwrB6PPjQ?e=y7fMC6&amp;nav=MTVfezJFQ0QzRjA0LUYyNEMtNEI2OS1CQTYzLTQ1QTBDQ0M4QjlEN30" TargetMode="External"/><Relationship Id="rId233" Type="http://schemas.openxmlformats.org/officeDocument/2006/relationships/hyperlink" Target="https://1drv.ms/x/s!AkP3hbXXLtgBhpEoaTK-EAwrB6PPjQ?e=36Im2J&amp;nav=MTVfezg1NTdGRUM1LTczODktNDk5My1BQjA0LTkyQjFDODE4MjgxRX0" TargetMode="External"/><Relationship Id="rId440" Type="http://schemas.openxmlformats.org/officeDocument/2006/relationships/hyperlink" Target="https://1drv.ms/x/s!AkP3hbXXLtgBhpEoaTK-EAwrB6PPjQ?e=sXo522&amp;nav=MTVfe0VCNzhCQUU0LUVEQzItNDRCMC04QTFFLUZEQzA0OTNEMDkzOX0" TargetMode="External"/><Relationship Id="rId678" Type="http://schemas.openxmlformats.org/officeDocument/2006/relationships/hyperlink" Target="https://1drv.ms/x/s!AkP3hbXXLtgBhpEoaTK-EAwrB6PPjQ?e=JPeMLZ&amp;nav=MTVfezdEMkY3NDEyLUYwMzItNDM0RC05MDRFLTcyNTE0ODM0NjA4M30" TargetMode="External"/><Relationship Id="rId885" Type="http://schemas.openxmlformats.org/officeDocument/2006/relationships/hyperlink" Target="https://1drv.ms/x/s!AkP3hbXXLtgBhpEoaTK-EAwrB6PPjQ?e=q7Y9UY&amp;nav=MTVfezY2QjMzRUJDLTdGREQtNEI4MC05QkFBLTZFRTQyNUFCMDY2MH0" TargetMode="External"/><Relationship Id="rId1070" Type="http://schemas.openxmlformats.org/officeDocument/2006/relationships/hyperlink" Target="https://1drv.ms/x/s!AkP3hbXXLtgBhpEoaTK-EAwrB6PPjQ?e=rYbeUy&amp;nav=MTVfe0Q1MEM2OTMzLTFBNUUtNDhCMS1CQzhCLTlGQTI2NEEzRURDRH0" TargetMode="External"/><Relationship Id="rId2121" Type="http://schemas.openxmlformats.org/officeDocument/2006/relationships/hyperlink" Target="https://1drv.ms/x/s!AkP3hbXXLtgBhpEoaTK-EAwrB6PPjQ?e=7tvhFu&amp;nav=MTVfezYzQUQ2N0RCLTZFQkQtNDhGOC1BODVFLUQzNjgwN0I4QkNFMn0" TargetMode="External"/><Relationship Id="rId2359" Type="http://schemas.openxmlformats.org/officeDocument/2006/relationships/hyperlink" Target="https://1drv.ms/x/s!AkP3hbXXLtgBhpEoaTK-EAwrB6PPjQ?e=LiWfcw&amp;nav=MTVfezFBQTVDNUQ5LTIxM0QtNDcxMi05RkYwLUI2NUUyNTFDRkFBMH0" TargetMode="External"/><Relationship Id="rId2566" Type="http://schemas.openxmlformats.org/officeDocument/2006/relationships/hyperlink" Target="https://1drv.ms/x/s!AkP3hbXXLtgBhpEoaTK-EAwrB6PPjQ?e=mXia38&amp;nav=MTVfe0I0NjUwQ0I4LURGNzEtNDA5NC04M0QxLUExRTNDN0Q3OTc1MX0" TargetMode="External"/><Relationship Id="rId300" Type="http://schemas.openxmlformats.org/officeDocument/2006/relationships/hyperlink" Target="https://1drv.ms/x/s!AkP3hbXXLtgBhpEoaTK-EAwrB6PPjQ?e=HO6wd4&amp;nav=MTVfe0NDRThCRDRELTFCMEEtNDNFRC1BMDRDLTc1QjY0NDgwNjJBMH0" TargetMode="External"/><Relationship Id="rId538" Type="http://schemas.openxmlformats.org/officeDocument/2006/relationships/hyperlink" Target="https://1drv.ms/x/s!AkP3hbXXLtgBhpEoaTK-EAwrB6PPjQ?e=zfxOib&amp;nav=MTVfezc5MUI1QUJBLTY0QUItNDM1OS05NkVBLTE3MUFBQTY2QzQ4Q30" TargetMode="External"/><Relationship Id="rId745" Type="http://schemas.openxmlformats.org/officeDocument/2006/relationships/hyperlink" Target="https://1drv.ms/x/s!AkP3hbXXLtgBhpEoaTK-EAwrB6PPjQ?e=0lRBEc&amp;nav=MTVfezRDRDQwMjU1LUJFM0ItNENDQS05NDQ1LUY1OTdERDA5ODg4NH0" TargetMode="External"/><Relationship Id="rId952" Type="http://schemas.openxmlformats.org/officeDocument/2006/relationships/hyperlink" Target="https://1drv.ms/x/s!AkP3hbXXLtgBhpEoaTK-EAwrB6PPjQ?e=GuJxJM&amp;nav=MTVfe0NBQzcxNDNGLTAzODYtNEFDRi1BNTI1LTRDQTYxMDEzNkYwM30" TargetMode="External"/><Relationship Id="rId1168" Type="http://schemas.openxmlformats.org/officeDocument/2006/relationships/hyperlink" Target="https://1drv.ms/x/s!AkP3hbXXLtgBhpEoaTK-EAwrB6PPjQ?e=7D4jtp&amp;nav=MTVfe0Q5MDNFMUVCLUFFNkQtNDU5OC04QjYyLUFGODVDMTZENkVGMX0" TargetMode="External"/><Relationship Id="rId1375" Type="http://schemas.openxmlformats.org/officeDocument/2006/relationships/hyperlink" Target="https://1drv.ms/x/s!AkP3hbXXLtgBhpEoaTK-EAwrB6PPjQ?e=6Dzvxb&amp;nav=MTVfezE4RDVGRUE3LUYyN0MtNDRFNC1BMENCLTk1RTNFRjk3QkJDRX0" TargetMode="External"/><Relationship Id="rId1582" Type="http://schemas.openxmlformats.org/officeDocument/2006/relationships/hyperlink" Target="https://1drv.ms/x/s!AkP3hbXXLtgBhpEoaTK-EAwrB6PPjQ?e=hF7xUm&amp;nav=MTVfezBDOEZCN0U5LURBOEQtNEY2Qi1CNUE1LUYzQTk0NDFBRkE2NX0" TargetMode="External"/><Relationship Id="rId2219" Type="http://schemas.openxmlformats.org/officeDocument/2006/relationships/hyperlink" Target="https://1drv.ms/x/s!AkP3hbXXLtgBhpEoaTK-EAwrB6PPjQ?e=PJkcfB&amp;nav=MTVfezBFRjgyRDlFLThFOEUtNDA2RC05QUQzLTk5RDY0REIzMEU3Rn0" TargetMode="External"/><Relationship Id="rId2426" Type="http://schemas.openxmlformats.org/officeDocument/2006/relationships/hyperlink" Target="https://1drv.ms/x/s!AkP3hbXXLtgBhpEoaTK-EAwrB6PPjQ?e=X2f9pt&amp;nav=MTVfe0M4ODI3QTVFLTgzOUMtNDk2Qy1BMThFLUNCMDYwN0JBQjM5M30" TargetMode="External"/><Relationship Id="rId2633" Type="http://schemas.openxmlformats.org/officeDocument/2006/relationships/hyperlink" Target="https://1drv.ms/x/s!AkP3hbXXLtgBhpEoaTK-EAwrB6PPjQ?e=k1JzSb&amp;nav=MTVfezlCRDVCMEI4LTNBMEItNDE5NC04RTEyLUQxQzc3N0U3MUFFQn0" TargetMode="External"/><Relationship Id="rId81" Type="http://schemas.openxmlformats.org/officeDocument/2006/relationships/hyperlink" Target="https://1drv.ms/x/s!AkP3hbXXLtgBhpEoaTK-EAwrB6PPjQ?e=AMVmTu&amp;nav=MTVfezNFMEFDQTg3LTgzOUUtNDFGNC04MkYwLUIxRjIyNTFBRDYzNX0" TargetMode="External"/><Relationship Id="rId605" Type="http://schemas.openxmlformats.org/officeDocument/2006/relationships/hyperlink" Target="https://1drv.ms/x/s!AkP3hbXXLtgBhpEoaTK-EAwrB6PPjQ?e=ZRDRyK&amp;nav=MTVfe0IyQkRBQzE0LUM2QkQtNDY3Ny04MjcyLUQxNjYyMkIyRTZGRH0" TargetMode="External"/><Relationship Id="rId812" Type="http://schemas.openxmlformats.org/officeDocument/2006/relationships/hyperlink" Target="https://1drv.ms/x/s!AkP3hbXXLtgBhpEoaTK-EAwrB6PPjQ?e=zuxs7K&amp;nav=MTVfezEzQ0U5ODFBLTQxOTEtNERBOS05RDcwLTU1NDcwQ0I2MzhFNX0" TargetMode="External"/><Relationship Id="rId1028" Type="http://schemas.openxmlformats.org/officeDocument/2006/relationships/hyperlink" Target="https://1drv.ms/x/s!AkP3hbXXLtgBhpEoaTK-EAwrB6PPjQ?e=NFspu9&amp;nav=MTVfezE1M0M1OEJDLTA3MzUtNERFMC1BNzE4LTMzMUY1QjZBOEZDMH0" TargetMode="External"/><Relationship Id="rId1235" Type="http://schemas.openxmlformats.org/officeDocument/2006/relationships/hyperlink" Target="https://1drv.ms/x/s!AkP3hbXXLtgBhpEoaTK-EAwrB6PPjQ?e=U6lTuf&amp;nav=MTVfezFEODYyODdBLUIyOTctNDdGMC04MTkyLUUzRDE3NjM5RkNFQ30" TargetMode="External"/><Relationship Id="rId1442" Type="http://schemas.openxmlformats.org/officeDocument/2006/relationships/hyperlink" Target="https://1drv.ms/x/s!AkP3hbXXLtgBhpEoaTK-EAwrB6PPjQ?e=xXe3yl&amp;nav=MTVfezM1QjlFQjFCLUIxM0MtNDQ0Ni05MzQyLUU2QjczMkYzQzJFOH0" TargetMode="External"/><Relationship Id="rId1887" Type="http://schemas.openxmlformats.org/officeDocument/2006/relationships/hyperlink" Target="https://1drv.ms/x/s!AkP3hbXXLtgBhpEoaTK-EAwrB6PPjQ?e=3z9g8a&amp;nav=MTVfezBGMENERTNBLTZCQTUtNDYwRi05MDM3LUNDNDk5MDBCNUU5MX0" TargetMode="External"/><Relationship Id="rId1302" Type="http://schemas.openxmlformats.org/officeDocument/2006/relationships/hyperlink" Target="https://1drv.ms/x/s!AkP3hbXXLtgBhpEoaTK-EAwrB6PPjQ?e=bD2jTr&amp;nav=MTVfezRGRUQzQzY0LTk3M0ItNDNDNy1BRUY3LTYwMDNGN0E5OThFQX0" TargetMode="External"/><Relationship Id="rId1747" Type="http://schemas.openxmlformats.org/officeDocument/2006/relationships/hyperlink" Target="https://1drv.ms/x/s!AkP3hbXXLtgBhpEoaTK-EAwrB6PPjQ?e=OaIvOH&amp;nav=MTVfezFDODBFQUMzLTY0M0UtNDM2MC04REU0LTRBOUYzQ0MxQkY2Nn0" TargetMode="External"/><Relationship Id="rId1954" Type="http://schemas.openxmlformats.org/officeDocument/2006/relationships/hyperlink" Target="https://1drv.ms/x/s!AkP3hbXXLtgBhpEoaTK-EAwrB6PPjQ?e=Hae5Hc&amp;nav=MTVfe0U1QUU2RDZBLTFGMkUtNENGNC04OENCLUE1MjI0OEMyNDMzNn0" TargetMode="External"/><Relationship Id="rId2700" Type="http://schemas.openxmlformats.org/officeDocument/2006/relationships/hyperlink" Target="https://1drv.ms/x/s!AkP3hbXXLtgBhpEoaTK-EAwrB6PPjQ?e=hUXjPN&amp;nav=MTVfezYzNzY4MEExLTRDMzItNDcxMy05M0ZCLTBFNjAwNTlBMUI0MH0" TargetMode="External"/><Relationship Id="rId39" Type="http://schemas.openxmlformats.org/officeDocument/2006/relationships/hyperlink" Target="https://1drv.ms/x/s!AkP3hbXXLtgBhpEoaTK-EAwrB6PPjQ?e=AMVmTu&amp;nav=MTVfezNFMEFDQTg3LTgzOUUtNDFGNC04MkYwLUIxRjIyNTFBRDYzNX0" TargetMode="External"/><Relationship Id="rId1607" Type="http://schemas.openxmlformats.org/officeDocument/2006/relationships/hyperlink" Target="https://1drv.ms/x/s!AkP3hbXXLtgBhpEoaTK-EAwrB6PPjQ?e=hF7xUm&amp;nav=MTVfezBDOEZCN0U5LURBOEQtNEY2Qi1CNUE1LUYzQTk0NDFBRkE2NX0" TargetMode="External"/><Relationship Id="rId1814" Type="http://schemas.openxmlformats.org/officeDocument/2006/relationships/hyperlink" Target="https://1drv.ms/x/s!AkP3hbXXLtgBhpEoaTK-EAwrB6PPjQ?e=sBpJD5&amp;nav=MTVfezM5QzdFMEZDLTg3QTEtNDRCMS04QTgyLUQ3MDU0NDI2MTBFRn0" TargetMode="External"/><Relationship Id="rId188" Type="http://schemas.openxmlformats.org/officeDocument/2006/relationships/hyperlink" Target="https://1drv.ms/x/s!AkP3hbXXLtgBhpEoaTK-EAwrB6PPjQ?e=hKKsXn&amp;nav=MTVfe0M0MzQ5RkZFLUFFMEMtNDZBOC05NDNELUU2ODg5N0JGMDU4Rn0" TargetMode="External"/><Relationship Id="rId395" Type="http://schemas.openxmlformats.org/officeDocument/2006/relationships/hyperlink" Target="https://1drv.ms/x/s!AkP3hbXXLtgBhpEoaTK-EAwrB6PPjQ?e=mvWMFP&amp;nav=MTVfe0Q0MjM2QjFDLUVBQTAtNDE3Ri1BOEVGLTQzNzNBN0FGODY4M30" TargetMode="External"/><Relationship Id="rId2076" Type="http://schemas.openxmlformats.org/officeDocument/2006/relationships/hyperlink" Target="https://1drv.ms/x/s!AkP3hbXXLtgBhpEoaTK-EAwrB6PPjQ?e=t9ByVx&amp;nav=MTVfe0MzOTE2QzlDLTMzMEMtNEQ4NS05NjZBLTBFNzk3QjgxMEIwQn0" TargetMode="External"/><Relationship Id="rId2283" Type="http://schemas.openxmlformats.org/officeDocument/2006/relationships/hyperlink" Target="https://1drv.ms/x/s!AkP3hbXXLtgBhpEoaTK-EAwrB6PPjQ?e=vI4FNr&amp;nav=MTVfezhGQzkyMTU5LUYxNTUtNDg4MS04N0QzLTE5OTgzQjI3QTc1NH0" TargetMode="External"/><Relationship Id="rId2490" Type="http://schemas.openxmlformats.org/officeDocument/2006/relationships/hyperlink" Target="https://1drv.ms/x/s!AkP3hbXXLtgBhpEoaTK-EAwrB6PPjQ?e=LQfhsg&amp;nav=MTVfe0FGQTQ2QTUxLTkwOEEtNEZCNi04OUQ1LTMwOUU4QkMzMTRFQ30" TargetMode="External"/><Relationship Id="rId2588" Type="http://schemas.openxmlformats.org/officeDocument/2006/relationships/hyperlink" Target="https://1drv.ms/x/s!AkP3hbXXLtgBhpEoaTK-EAwrB6PPjQ?e=vc5Xf0&amp;nav=MTVfezc5M0I0RDk3LURGREYtNDUyMy1BMEQ2LUYzRTU0RjYwN0RCRX0" TargetMode="External"/><Relationship Id="rId255" Type="http://schemas.openxmlformats.org/officeDocument/2006/relationships/hyperlink" Target="https://1drv.ms/x/s!AkP3hbXXLtgBhpEoaTK-EAwrB6PPjQ?e=36Im2J&amp;nav=MTVfezg1NTdGRUM1LTczODktNDk5My1BQjA0LTkyQjFDODE4MjgxRX0" TargetMode="External"/><Relationship Id="rId462" Type="http://schemas.openxmlformats.org/officeDocument/2006/relationships/hyperlink" Target="https://1drv.ms/x/s!AkP3hbXXLtgBhpEoaTK-EAwrB6PPjQ?e=sXo522&amp;nav=MTVfe0VCNzhCQUU0LUVEQzItNDRCMC04QTFFLUZEQzA0OTNEMDkzOX0" TargetMode="External"/><Relationship Id="rId1092" Type="http://schemas.openxmlformats.org/officeDocument/2006/relationships/hyperlink" Target="https://1drv.ms/x/s!AkP3hbXXLtgBhpEoaTK-EAwrB6PPjQ?e=rYbeUy&amp;nav=MTVfe0Q1MEM2OTMzLTFBNUUtNDhCMS1CQzhCLTlGQTI2NEEzRURDRH0" TargetMode="External"/><Relationship Id="rId1397" Type="http://schemas.openxmlformats.org/officeDocument/2006/relationships/hyperlink" Target="https://1drv.ms/x/s!AkP3hbXXLtgBhpEoaTK-EAwrB6PPjQ?e=6Dzvxb&amp;nav=MTVfezE4RDVGRUE3LUYyN0MtNDRFNC1BMENCLTk1RTNFRjk3QkJDRX0" TargetMode="External"/><Relationship Id="rId2143" Type="http://schemas.openxmlformats.org/officeDocument/2006/relationships/hyperlink" Target="https://1drv.ms/x/s!AkP3hbXXLtgBhpEoaTK-EAwrB6PPjQ?e=nj2bQ1&amp;nav=MTVfezAwMDAwMDAwLTAwMDEtMDAwMC0wMDAwLTAwMDAwMDAwMDAwMH0" TargetMode="External"/><Relationship Id="rId2350" Type="http://schemas.openxmlformats.org/officeDocument/2006/relationships/hyperlink" Target="https://1drv.ms/x/s!AkP3hbXXLtgBhpEoaTK-EAwrB6PPjQ?e=LiWfcw&amp;nav=MTVfezFBQTVDNUQ5LTIxM0QtNDcxMi05RkYwLUI2NUUyNTFDRkFBMH0" TargetMode="External"/><Relationship Id="rId115" Type="http://schemas.openxmlformats.org/officeDocument/2006/relationships/hyperlink" Target="https://1drv.ms/x/s!AkP3hbXXLtgBhpEoaTK-EAwrB6PPjQ?e=hRuig5&amp;nav=MTVfe0NCREMzODZGLTI3RDktNEI4RS05QjQ0LUUzQTc5QTQyQzY2MX0" TargetMode="External"/><Relationship Id="rId322" Type="http://schemas.openxmlformats.org/officeDocument/2006/relationships/hyperlink" Target="https://1drv.ms/x/s!AkP3hbXXLtgBhpEoaTK-EAwrB6PPjQ?e=HO6wd4&amp;nav=MTVfe0NDRThCRDRELTFCMEEtNDNFRC1BMDRDLTc1QjY0NDgwNjJBMH0" TargetMode="External"/><Relationship Id="rId767" Type="http://schemas.openxmlformats.org/officeDocument/2006/relationships/hyperlink" Target="https://1drv.ms/x/s!AkP3hbXXLtgBhpEoaTK-EAwrB6PPjQ?e=0lRBEc&amp;nav=MTVfezRDRDQwMjU1LUJFM0ItNENDQS05NDQ1LUY1OTdERDA5ODg4NH0" TargetMode="External"/><Relationship Id="rId974" Type="http://schemas.openxmlformats.org/officeDocument/2006/relationships/hyperlink" Target="https://1drv.ms/x/s!AkP3hbXXLtgBhpEoaTK-EAwrB6PPjQ?e=fk66xb&amp;nav=MTVfezU0MjNBNEE5LTNDNzctNDQwNC05RjA3LTAyNEI1N0FBQjFDNX0" TargetMode="External"/><Relationship Id="rId2003" Type="http://schemas.openxmlformats.org/officeDocument/2006/relationships/hyperlink" Target="https://1drv.ms/x/s!AkP3hbXXLtgBhpEoaTK-EAwrB6PPjQ?e=e8c5BE&amp;nav=MTVfe0YzRjMwRTg2LTYyMTgtNEY5QS05Qzg0LTUxNkJFM0Q4MDAwN30" TargetMode="External"/><Relationship Id="rId2210" Type="http://schemas.openxmlformats.org/officeDocument/2006/relationships/hyperlink" Target="https://1drv.ms/x/s!AkP3hbXXLtgBhpEoaTK-EAwrB6PPjQ?e=PJkcfB&amp;nav=MTVfezBFRjgyRDlFLThFOEUtNDA2RC05QUQzLTk5RDY0REIzMEU3Rn0" TargetMode="External"/><Relationship Id="rId2448" Type="http://schemas.openxmlformats.org/officeDocument/2006/relationships/hyperlink" Target="https://1drv.ms/x/s!AkP3hbXXLtgBhpEoaTK-EAwrB6PPjQ?e=LQfhsg&amp;nav=MTVfe0FGQTQ2QTUxLTkwOEEtNEZCNi04OUQ1LTMwOUU4QkMzMTRFQ30" TargetMode="External"/><Relationship Id="rId2655" Type="http://schemas.openxmlformats.org/officeDocument/2006/relationships/hyperlink" Target="https://1drv.ms/x/s!AkP3hbXXLtgBhpEoaTK-EAwrB6PPjQ?e=k1JzSb&amp;nav=MTVfezlCRDVCMEI4LTNBMEItNDE5NC04RTEyLUQxQzc3N0U3MUFFQn0" TargetMode="External"/><Relationship Id="rId627" Type="http://schemas.openxmlformats.org/officeDocument/2006/relationships/hyperlink" Target="https://1drv.ms/x/s!AkP3hbXXLtgBhpEoaTK-EAwrB6PPjQ?e=ZRDRyK&amp;nav=MTVfe0IyQkRBQzE0LUM2QkQtNDY3Ny04MjcyLUQxNjYyMkIyRTZGRH0" TargetMode="External"/><Relationship Id="rId834" Type="http://schemas.openxmlformats.org/officeDocument/2006/relationships/hyperlink" Target="https://1drv.ms/x/s!AkP3hbXXLtgBhpEoaTK-EAwrB6PPjQ?e=zuxs7K&amp;nav=MTVfezEzQ0U5ODFBLTQxOTEtNERBOS05RDcwLTU1NDcwQ0I2MzhFNX0" TargetMode="External"/><Relationship Id="rId1257" Type="http://schemas.openxmlformats.org/officeDocument/2006/relationships/hyperlink" Target="https://1drv.ms/x/s!AkP3hbXXLtgBhpEoaTK-EAwrB6PPjQ?e=UaBeCf&amp;nav=MTVfezM0NkJDRTA1LThBNUQtNDFFMC1BNjQ2LTk5NTVEMTg4RUEzNn0" TargetMode="External"/><Relationship Id="rId1464" Type="http://schemas.openxmlformats.org/officeDocument/2006/relationships/hyperlink" Target="https://1drv.ms/x/s!AkP3hbXXLtgBhpEoaTK-EAwrB6PPjQ?e=xXe3yl&amp;nav=MTVfezM1QjlFQjFCLUIxM0MtNDQ0Ni05MzQyLUU2QjczMkYzQzJFOH0" TargetMode="External"/><Relationship Id="rId1671" Type="http://schemas.openxmlformats.org/officeDocument/2006/relationships/hyperlink" Target="https://1drv.ms/x/s!AkP3hbXXLtgBhpEoaTK-EAwrB6PPjQ?e=DHRjp5&amp;nav=MTVfezdEN0E2ODJDLUYxMzctNDI0MS1BRjZDLThEMzExM0M0OTZBNn0" TargetMode="External"/><Relationship Id="rId2308" Type="http://schemas.openxmlformats.org/officeDocument/2006/relationships/hyperlink" Target="https://1drv.ms/x/s!AkP3hbXXLtgBhpEoaTK-EAwrB6PPjQ?e=LiWfcw&amp;nav=MTVfezFBQTVDNUQ5LTIxM0QtNDcxMi05RkYwLUI2NUUyNTFDRkFBMH0" TargetMode="External"/><Relationship Id="rId2515" Type="http://schemas.openxmlformats.org/officeDocument/2006/relationships/hyperlink" Target="https://1drv.ms/x/s!AkP3hbXXLtgBhpEoaTK-EAwrB6PPjQ?e=mXia38&amp;nav=MTVfe0I0NjUwQ0I4LURGNzEtNDA5NC04M0QxLUExRTNDN0Q3OTc1MX0" TargetMode="External"/><Relationship Id="rId2722" Type="http://schemas.openxmlformats.org/officeDocument/2006/relationships/hyperlink" Target="https://1drv.ms/x/s!AkP3hbXXLtgBhpEoaTK-EAwrB6PPjQ?e=hUXjPN&amp;nav=MTVfezYzNzY4MEExLTRDMzItNDcxMy05M0ZCLTBFNjAwNTlBMUI0MH0" TargetMode="External"/><Relationship Id="rId901" Type="http://schemas.openxmlformats.org/officeDocument/2006/relationships/hyperlink" Target="https://1drv.ms/x/s!AkP3hbXXLtgBhpEoaTK-EAwrB6PPjQ?e=q7Y9UY&amp;nav=MTVfezY2QjMzRUJDLTdGREQtNEI4MC05QkFBLTZFRTQyNUFCMDY2MH0" TargetMode="External"/><Relationship Id="rId1117" Type="http://schemas.openxmlformats.org/officeDocument/2006/relationships/hyperlink" Target="https://1drv.ms/x/s!AkP3hbXXLtgBhpEoaTK-EAwrB6PPjQ?e=Brd8C5&amp;nav=MTVfe0YyMTJGNjdELTg0REMtNEY4Ri05MzE5LTE0M0FEODlBMzg5Q30" TargetMode="External"/><Relationship Id="rId1324" Type="http://schemas.openxmlformats.org/officeDocument/2006/relationships/hyperlink" Target="https://1drv.ms/x/s!AkP3hbXXLtgBhpEoaTK-EAwrB6PPjQ?e=mYpfR1&amp;nav=MTVfe0NGMTlDQTg1LUE2QUMtNDYyRC1CN0M1LUExRjVBNjI1MDcyOX0" TargetMode="External"/><Relationship Id="rId1531" Type="http://schemas.openxmlformats.org/officeDocument/2006/relationships/hyperlink" Target="https://1drv.ms/x/s!AkP3hbXXLtgBhpEoaTK-EAwrB6PPjQ?e=PsqPhH&amp;nav=MTVfe0ZDRjg3ODhGLTBFNDItNDJCOC04MDRCLTU4OTcwNUMwMjFGMn0" TargetMode="External"/><Relationship Id="rId1769" Type="http://schemas.openxmlformats.org/officeDocument/2006/relationships/hyperlink" Target="https://1drv.ms/x/s!AkP3hbXXLtgBhpEoaTK-EAwrB6PPjQ?e=sBpJD5&amp;nav=MTVfezM5QzdFMEZDLTg3QTEtNDRCMS04QTgyLUQ3MDU0NDI2MTBFRn0" TargetMode="External"/><Relationship Id="rId1976" Type="http://schemas.openxmlformats.org/officeDocument/2006/relationships/hyperlink" Target="https://1drv.ms/x/s!AkP3hbXXLtgBhpEoaTK-EAwrB6PPjQ?e=Hae5Hc&amp;nav=MTVfe0U1QUU2RDZBLTFGMkUtNENGNC04OENCLUE1MjI0OEMyNDMzNn0" TargetMode="External"/><Relationship Id="rId30" Type="http://schemas.openxmlformats.org/officeDocument/2006/relationships/hyperlink" Target="https://1drv.ms/x/s!AkP3hbXXLtgBhpEoaTK-EAwrB6PPjQ?e=pv1n5G&amp;nav=MTVfe0I5QjVDOEU1LTM5MTMtNDRCNy1COEY4LUUwMUNENUM2NTY1NX0" TargetMode="External"/><Relationship Id="rId1629" Type="http://schemas.openxmlformats.org/officeDocument/2006/relationships/hyperlink" Target="https://1drv.ms/x/s!AkP3hbXXLtgBhpEoaTK-EAwrB6PPjQ?e=VUlHtx&amp;nav=MTVfe0JEMzdCNzJBLTQ3QUItNEI0NC04MDRCLTNDRDY0MDVBODI2Qn0" TargetMode="External"/><Relationship Id="rId1836" Type="http://schemas.openxmlformats.org/officeDocument/2006/relationships/hyperlink" Target="https://1drv.ms/x/s!AkP3hbXXLtgBhpEoaTK-EAwrB6PPjQ?e=Qo1W02&amp;nav=MTVfe0Q5NDAyRTdCLTJCNEYtNEQ5OS05Q0Y4LTIyNDExQjYxNzRBRH0" TargetMode="External"/><Relationship Id="rId1903" Type="http://schemas.openxmlformats.org/officeDocument/2006/relationships/hyperlink" Target="https://1drv.ms/x/s!AkP3hbXXLtgBhpEoaTK-EAwrB6PPjQ?e=TStCPl&amp;nav=MTVfezI2MjVEMjA5LUMzRUYtNEM5RS1CM0Q3LUE4NUY4RTMyNDUyNH0" TargetMode="External"/><Relationship Id="rId2098" Type="http://schemas.openxmlformats.org/officeDocument/2006/relationships/hyperlink" Target="https://1drv.ms/x/s!AkP3hbXXLtgBhpEoaTK-EAwrB6PPjQ?e=7tvhFu&amp;nav=MTVfezYzQUQ2N0RCLTZFQkQtNDhGOC1BODVFLUQzNjgwN0I4QkNFMn0" TargetMode="External"/><Relationship Id="rId277" Type="http://schemas.openxmlformats.org/officeDocument/2006/relationships/hyperlink" Target="https://1drv.ms/x/s!AkP3hbXXLtgBhpEoaTK-EAwrB6PPjQ?e=36Im2J&amp;nav=MTVfezg1NTdGRUM1LTczODktNDk5My1BQjA0LTkyQjFDODE4MjgxRX0" TargetMode="External"/><Relationship Id="rId484" Type="http://schemas.openxmlformats.org/officeDocument/2006/relationships/hyperlink" Target="https://1drv.ms/x/s!AkP3hbXXLtgBhpEoaTK-EAwrB6PPjQ?e=zfxOib&amp;nav=MTVfezc5MUI1QUJBLTY0QUItNDM1OS05NkVBLTE3MUFBQTY2QzQ4Q30" TargetMode="External"/><Relationship Id="rId2165" Type="http://schemas.openxmlformats.org/officeDocument/2006/relationships/hyperlink" Target="https://1drv.ms/x/s!AkP3hbXXLtgBhpEoaTK-EAwrB6PPjQ?e=PJkcfB&amp;nav=MTVfezBFRjgyRDlFLThFOEUtNDA2RC05QUQzLTk5RDY0REIzMEU3Rn0" TargetMode="External"/><Relationship Id="rId137" Type="http://schemas.openxmlformats.org/officeDocument/2006/relationships/hyperlink" Target="https://1drv.ms/x/s!AkP3hbXXLtgBhpEoaTK-EAwrB6PPjQ?e=hRuig5&amp;nav=MTVfe0NCREMzODZGLTI3RDktNEI4RS05QjQ0LUUzQTc5QTQyQzY2MX0" TargetMode="External"/><Relationship Id="rId344" Type="http://schemas.openxmlformats.org/officeDocument/2006/relationships/hyperlink" Target="https://1drv.ms/x/s!AkP3hbXXLtgBhpEoaTK-EAwrB6PPjQ?e=HO6wd4&amp;nav=MTVfe0NDRThCRDRELTFCMEEtNDNFRC1BMDRDLTc1QjY0NDgwNjJBMH0" TargetMode="External"/><Relationship Id="rId691" Type="http://schemas.openxmlformats.org/officeDocument/2006/relationships/hyperlink" Target="https://1drv.ms/x/s!AkP3hbXXLtgBhpEoaTK-EAwrB6PPjQ?e=JPeMLZ&amp;nav=MTVfezdEMkY3NDEyLUYwMzItNDM0RC05MDRFLTcyNTE0ODM0NjA4M30" TargetMode="External"/><Relationship Id="rId789" Type="http://schemas.openxmlformats.org/officeDocument/2006/relationships/hyperlink" Target="https://1drv.ms/x/s!AkP3hbXXLtgBhpEoaTK-EAwrB6PPjQ?e=zuxs7K&amp;nav=MTVfezEzQ0U5ODFBLTQxOTEtNERBOS05RDcwLTU1NDcwQ0I2MzhFNX0" TargetMode="External"/><Relationship Id="rId996" Type="http://schemas.openxmlformats.org/officeDocument/2006/relationships/hyperlink" Target="https://1drv.ms/x/s!AkP3hbXXLtgBhpEoaTK-EAwrB6PPjQ?e=fk66xb&amp;nav=MTVfezU0MjNBNEE5LTNDNzctNDQwNC05RjA3LTAyNEI1N0FBQjFDNX0" TargetMode="External"/><Relationship Id="rId2025" Type="http://schemas.openxmlformats.org/officeDocument/2006/relationships/hyperlink" Target="https://1drv.ms/x/s!AkP3hbXXLtgBhpEoaTK-EAwrB6PPjQ?e=e8c5BE&amp;nav=MTVfe0YzRjMwRTg2LTYyMTgtNEY5QS05Qzg0LTUxNkJFM0Q4MDAwN30" TargetMode="External"/><Relationship Id="rId2372" Type="http://schemas.openxmlformats.org/officeDocument/2006/relationships/hyperlink" Target="https://1drv.ms/x/s!AkP3hbXXLtgBhpEoaTK-EAwrB6PPjQ?e=X2f9pt&amp;nav=MTVfe0M4ODI3QTVFLTgzOUMtNDk2Qy1BMThFLUNCMDYwN0JBQjM5M30" TargetMode="External"/><Relationship Id="rId2677" Type="http://schemas.openxmlformats.org/officeDocument/2006/relationships/hyperlink" Target="https://1drv.ms/x/s!AkP3hbXXLtgBhpEoaTK-EAwrB6PPjQ?e=hUXjPN&amp;nav=MTVfezYzNzY4MEExLTRDMzItNDcxMy05M0ZCLTBFNjAwNTlBMUI0MH0" TargetMode="External"/><Relationship Id="rId551" Type="http://schemas.openxmlformats.org/officeDocument/2006/relationships/hyperlink" Target="https://1drv.ms/x/s!AkP3hbXXLtgBhpEoaTK-EAwrB6PPjQ?e=xgZSuS&amp;nav=MTVfezA3RkYxMTMwLTAyQjYtNDA4RS1BMkU5LTI2MUQ0MjM2OEJGQn0" TargetMode="External"/><Relationship Id="rId649" Type="http://schemas.openxmlformats.org/officeDocument/2006/relationships/hyperlink" Target="https://1drv.ms/x/s!AkP3hbXXLtgBhpEoaTK-EAwrB6PPjQ?e=ZRDRyK&amp;nav=MTVfe0IyQkRBQzE0LUM2QkQtNDY3Ny04MjcyLUQxNjYyMkIyRTZGRH0" TargetMode="External"/><Relationship Id="rId856" Type="http://schemas.openxmlformats.org/officeDocument/2006/relationships/hyperlink" Target="https://1drv.ms/x/s!AkP3hbXXLtgBhpEoaTK-EAwrB6PPjQ?e=VcWWuU&amp;nav=MTVfe0ExMEEwQ0RDLUFCNUQtNEMxQS1BM0ZGLTEzRDE2MkJEN0U2Q30" TargetMode="External"/><Relationship Id="rId1181" Type="http://schemas.openxmlformats.org/officeDocument/2006/relationships/hyperlink" Target="https://1drv.ms/x/s!AkP3hbXXLtgBhpEoaTK-EAwrB6PPjQ?e=7D4jtp&amp;nav=MTVfe0Q5MDNFMUVCLUFFNkQtNDU5OC04QjYyLUFGODVDMTZENkVGMX0" TargetMode="External"/><Relationship Id="rId1279" Type="http://schemas.openxmlformats.org/officeDocument/2006/relationships/hyperlink" Target="https://1drv.ms/x/s!AkP3hbXXLtgBhpEoaTK-EAwrB6PPjQ?e=bD2jTr&amp;nav=MTVfezRGRUQzQzY0LTk3M0ItNDNDNy1BRUY3LTYwMDNGN0E5OThFQX0" TargetMode="External"/><Relationship Id="rId1486" Type="http://schemas.openxmlformats.org/officeDocument/2006/relationships/hyperlink" Target="https://1drv.ms/x/s!AkP3hbXXLtgBhpEoaTK-EAwrB6PPjQ?e=Dygyft&amp;nav=MTVfe0VDMUJBNEJBLUNCOTAtNDI3Ri1CMTVFLUZDQjc2NURCQ0I1Q30" TargetMode="External"/><Relationship Id="rId2232" Type="http://schemas.openxmlformats.org/officeDocument/2006/relationships/hyperlink" Target="https://1drv.ms/x/s!AkP3hbXXLtgBhpEoaTK-EAwrB6PPjQ?e=vI4FNr&amp;nav=MTVfezhGQzkyMTU5LUYxNTUtNDg4MS04N0QzLTE5OTgzQjI3QTc1NH0" TargetMode="External"/><Relationship Id="rId2537" Type="http://schemas.openxmlformats.org/officeDocument/2006/relationships/hyperlink" Target="https://1drv.ms/x/s!AkP3hbXXLtgBhpEoaTK-EAwrB6PPjQ?e=mXia38&amp;nav=MTVfe0I0NjUwQ0I4LURGNzEtNDA5NC04M0QxLUExRTNDN0Q3OTc1MX0" TargetMode="External"/><Relationship Id="rId204" Type="http://schemas.openxmlformats.org/officeDocument/2006/relationships/hyperlink" Target="https://1drv.ms/x/s!AkP3hbXXLtgBhpEoaTK-EAwrB6PPjQ?e=hKKsXn&amp;nav=MTVfe0M0MzQ5RkZFLUFFMEMtNDZBOC05NDNELUU2ODg5N0JGMDU4Rn0" TargetMode="External"/><Relationship Id="rId411" Type="http://schemas.openxmlformats.org/officeDocument/2006/relationships/hyperlink" Target="https://1drv.ms/x/s!AkP3hbXXLtgBhpEoaTK-EAwrB6PPjQ?e=mvWMFP&amp;nav=MTVfe0Q0MjM2QjFDLUVBQTAtNDE3Ri1BOEVGLTQzNzNBN0FGODY4M30" TargetMode="External"/><Relationship Id="rId509" Type="http://schemas.openxmlformats.org/officeDocument/2006/relationships/hyperlink" Target="https://1drv.ms/x/s!AkP3hbXXLtgBhpEoaTK-EAwrB6PPjQ?e=zfxOib&amp;nav=MTVfezc5MUI1QUJBLTY0QUItNDM1OS05NkVBLTE3MUFBQTY2QzQ4Q30" TargetMode="External"/><Relationship Id="rId1041" Type="http://schemas.openxmlformats.org/officeDocument/2006/relationships/hyperlink" Target="https://1drv.ms/x/s!AkP3hbXXLtgBhpEoaTK-EAwrB6PPjQ?e=NFspu9&amp;nav=MTVfezE1M0M1OEJDLTA3MzUtNERFMC1BNzE4LTMzMUY1QjZBOEZDMH0" TargetMode="External"/><Relationship Id="rId1139" Type="http://schemas.openxmlformats.org/officeDocument/2006/relationships/hyperlink" Target="https://1drv.ms/x/s!AkP3hbXXLtgBhpEoaTK-EAwrB6PPjQ?e=xGItXl&amp;nav=MTVfezc3NDc5QTVFLTEyMTItNEVGOS04NzRCLUUzREZBMkQ0NjU4OH0" TargetMode="External"/><Relationship Id="rId1346" Type="http://schemas.openxmlformats.org/officeDocument/2006/relationships/hyperlink" Target="https://1drv.ms/x/s!AkP3hbXXLtgBhpEoaTK-EAwrB6PPjQ?e=SkY523&amp;nav=MTVfezk3NEQ3MjVGLTlERDMtNDdDOS05QzJDLUU5RjJCNjk2N0I4MX0" TargetMode="External"/><Relationship Id="rId1693" Type="http://schemas.openxmlformats.org/officeDocument/2006/relationships/hyperlink" Target="https://1drv.ms/x/s!AkP3hbXXLtgBhpEoaTK-EAwrB6PPjQ?e=DHRjp5&amp;nav=MTVfezdEN0E2ODJDLUYxMzctNDI0MS1BRjZDLThEMzExM0M0OTZBNn0" TargetMode="External"/><Relationship Id="rId1998" Type="http://schemas.openxmlformats.org/officeDocument/2006/relationships/hyperlink" Target="https://1drv.ms/x/s!AkP3hbXXLtgBhpEoaTK-EAwrB6PPjQ?e=e8c5BE&amp;nav=MTVfe0YzRjMwRTg2LTYyMTgtNEY5QS05Qzg0LTUxNkJFM0Q4MDAwN30" TargetMode="External"/><Relationship Id="rId2744" Type="http://schemas.openxmlformats.org/officeDocument/2006/relationships/hyperlink" Target="https://1drv.ms/x/s!AkP3hbXXLtgBhpEoaTK-EAwrB6PPjQ?e=Arnrcb&amp;nav=MTVfezRBRTVDQTNDLUEzNkQtNDc4RS04NzYyLUJGRjkyRDk4RjhGMX0" TargetMode="External"/><Relationship Id="rId716" Type="http://schemas.openxmlformats.org/officeDocument/2006/relationships/hyperlink" Target="https://1drv.ms/x/s!AkP3hbXXLtgBhpEoaTK-EAwrB6PPjQ?e=JPeMLZ&amp;nav=MTVfezdEMkY3NDEyLUYwMzItNDM0RC05MDRFLTcyNTE0ODM0NjA4M30" TargetMode="External"/><Relationship Id="rId923" Type="http://schemas.openxmlformats.org/officeDocument/2006/relationships/hyperlink" Target="https://1drv.ms/x/s!AkP3hbXXLtgBhpEoaTK-EAwrB6PPjQ?e=GuJxJM&amp;nav=MTVfe0NBQzcxNDNGLTAzODYtNEFDRi1BNTI1LTRDQTYxMDEzNkYwM30" TargetMode="External"/><Relationship Id="rId1553" Type="http://schemas.openxmlformats.org/officeDocument/2006/relationships/hyperlink" Target="https://1drv.ms/x/s!AkP3hbXXLtgBhpEoaTK-EAwrB6PPjQ?e=PsqPhH&amp;nav=MTVfe0ZDRjg3ODhGLTBFNDItNDJCOC04MDRCLTU4OTcwNUMwMjFGMn0" TargetMode="External"/><Relationship Id="rId1760" Type="http://schemas.openxmlformats.org/officeDocument/2006/relationships/hyperlink" Target="https://1drv.ms/x/s!AkP3hbXXLtgBhpEoaTK-EAwrB6PPjQ?e=36Im2J&amp;nav=MTVfezg1NTdGRUM1LTczODktNDk5My1BQjA0LTkyQjFDODE4MjgxRX0" TargetMode="External"/><Relationship Id="rId1858" Type="http://schemas.openxmlformats.org/officeDocument/2006/relationships/hyperlink" Target="https://1drv.ms/x/s!AkP3hbXXLtgBhpEoaTK-EAwrB6PPjQ?e=pv1n5G&amp;nav=MTVfe0I5QjVDOEU1LTM5MTMtNDRCNy1COEY4LUUwMUNENUM2NTY1NX0" TargetMode="External"/><Relationship Id="rId2604" Type="http://schemas.openxmlformats.org/officeDocument/2006/relationships/hyperlink" Target="https://1drv.ms/x/s!AkP3hbXXLtgBhpEoaTK-EAwrB6PPjQ?e=k1JzSb&amp;nav=MTVfezlCRDVCMEI4LTNBMEItNDE5NC04RTEyLUQxQzc3N0U3MUFFQn0" TargetMode="External"/><Relationship Id="rId52" Type="http://schemas.openxmlformats.org/officeDocument/2006/relationships/hyperlink" Target="https://1drv.ms/x/s!AkP3hbXXLtgBhpEoaTK-EAwrB6PPjQ?e=AMVmTu&amp;nav=MTVfezNFMEFDQTg3LTgzOUUtNDFGNC04MkYwLUIxRjIyNTFBRDYzNX0" TargetMode="External"/><Relationship Id="rId1206" Type="http://schemas.openxmlformats.org/officeDocument/2006/relationships/hyperlink" Target="https://1drv.ms/x/s!AkP3hbXXLtgBhpEoaTK-EAwrB6PPjQ?e=U6lTuf&amp;nav=MTVfezFEODYyODdBLUIyOTctNDdGMC04MTkyLUUzRDE3NjM5RkNFQ30" TargetMode="External"/><Relationship Id="rId1413" Type="http://schemas.openxmlformats.org/officeDocument/2006/relationships/hyperlink" Target="https://1drv.ms/x/s!AkP3hbXXLtgBhpEoaTK-EAwrB6PPjQ?e=6Dzvxb&amp;nav=MTVfezE4RDVGRUE3LUYyN0MtNDRFNC1BMENCLTk1RTNFRjk3QkJDRX0" TargetMode="External"/><Relationship Id="rId1620" Type="http://schemas.openxmlformats.org/officeDocument/2006/relationships/hyperlink" Target="https://1drv.ms/x/s!AkP3hbXXLtgBhpEoaTK-EAwrB6PPjQ?e=hF7xUm&amp;nav=MTVfezBDOEZCN0U5LURBOEQtNEY2Qi1CNUE1LUYzQTk0NDFBRkE2NX0" TargetMode="External"/><Relationship Id="rId1718" Type="http://schemas.openxmlformats.org/officeDocument/2006/relationships/hyperlink" Target="https://1drv.ms/x/s!AkP3hbXXLtgBhpEoaTK-EAwrB6PPjQ?e=DHRjp5&amp;nav=MTVfezdEN0E2ODJDLUYxMzctNDI0MS1BRjZDLThEMzExM0M0OTZBNn0" TargetMode="External"/><Relationship Id="rId1925" Type="http://schemas.openxmlformats.org/officeDocument/2006/relationships/hyperlink" Target="https://1drv.ms/x/s!AkP3hbXXLtgBhpEoaTK-EAwrB6PPjQ?e=U8iWbp&amp;nav=MTVfezVDRDNFMEMzLTY0NDctNDUyNC05RjQyLUQ5MzdFOTgzQzgzNH0" TargetMode="External"/><Relationship Id="rId299" Type="http://schemas.openxmlformats.org/officeDocument/2006/relationships/hyperlink" Target="https://1drv.ms/x/s!AkP3hbXXLtgBhpEoaTK-EAwrB6PPjQ?e=HO6wd4&amp;nav=MTVfe0NDRThCRDRELTFCMEEtNDNFRC1BMDRDLTc1QjY0NDgwNjJBMH0" TargetMode="External"/><Relationship Id="rId2187" Type="http://schemas.openxmlformats.org/officeDocument/2006/relationships/hyperlink" Target="https://1drv.ms/x/s!AkP3hbXXLtgBhpEoaTK-EAwrB6PPjQ?e=PJkcfB&amp;nav=MTVfezBFRjgyRDlFLThFOEUtNDA2RC05QUQzLTk5RDY0REIzMEU3Rn0" TargetMode="External"/><Relationship Id="rId2394" Type="http://schemas.openxmlformats.org/officeDocument/2006/relationships/hyperlink" Target="https://1drv.ms/x/s!AkP3hbXXLtgBhpEoaTK-EAwrB6PPjQ?e=X2f9pt&amp;nav=MTVfe0M4ODI3QTVFLTgzOUMtNDk2Qy1BMThFLUNCMDYwN0JBQjM5M30" TargetMode="External"/><Relationship Id="rId159" Type="http://schemas.openxmlformats.org/officeDocument/2006/relationships/hyperlink" Target="https://1drv.ms/x/s!AkP3hbXXLtgBhpEoaTK-EAwrB6PPjQ?e=hRuig5&amp;nav=MTVfe0NCREMzODZGLTI3RDktNEI4RS05QjQ0LUUzQTc5QTQyQzY2MX0" TargetMode="External"/><Relationship Id="rId366" Type="http://schemas.openxmlformats.org/officeDocument/2006/relationships/hyperlink" Target="https://1drv.ms/x/s!AkP3hbXXLtgBhpEoaTK-EAwrB6PPjQ?e=mvWMFP&amp;nav=MTVfe0Q0MjM2QjFDLUVBQTAtNDE3Ri1BOEVGLTQzNzNBN0FGODY4M30" TargetMode="External"/><Relationship Id="rId573" Type="http://schemas.openxmlformats.org/officeDocument/2006/relationships/hyperlink" Target="https://1drv.ms/x/s!AkP3hbXXLtgBhpEoaTK-EAwrB6PPjQ?e=xgZSuS&amp;nav=MTVfezA3RkYxMTMwLTAyQjYtNDA4RS1BMkU5LTI2MUQ0MjM2OEJGQn0" TargetMode="External"/><Relationship Id="rId780" Type="http://schemas.openxmlformats.org/officeDocument/2006/relationships/hyperlink" Target="https://1drv.ms/x/s!AkP3hbXXLtgBhpEoaTK-EAwrB6PPjQ?e=0lRBEc&amp;nav=MTVfezRDRDQwMjU1LUJFM0ItNENDQS05NDQ1LUY1OTdERDA5ODg4NH0" TargetMode="External"/><Relationship Id="rId2047" Type="http://schemas.openxmlformats.org/officeDocument/2006/relationships/hyperlink" Target="https://1drv.ms/x/s!AkP3hbXXLtgBhpEoaTK-EAwrB6PPjQ?e=t9ByVx&amp;nav=MTVfe0MzOTE2QzlDLTMzMEMtNEQ4NS05NjZBLTBFNzk3QjgxMEIwQn0" TargetMode="External"/><Relationship Id="rId2254" Type="http://schemas.openxmlformats.org/officeDocument/2006/relationships/hyperlink" Target="https://1drv.ms/x/s!AkP3hbXXLtgBhpEoaTK-EAwrB6PPjQ?e=vI4FNr&amp;nav=MTVfezhGQzkyMTU5LUYxNTUtNDg4MS04N0QzLTE5OTgzQjI3QTc1NH0" TargetMode="External"/><Relationship Id="rId2461" Type="http://schemas.openxmlformats.org/officeDocument/2006/relationships/hyperlink" Target="https://1drv.ms/x/s!AkP3hbXXLtgBhpEoaTK-EAwrB6PPjQ?e=LQfhsg&amp;nav=MTVfe0FGQTQ2QTUxLTkwOEEtNEZCNi04OUQ1LTMwOUU4QkMzMTRFQ30" TargetMode="External"/><Relationship Id="rId2699" Type="http://schemas.openxmlformats.org/officeDocument/2006/relationships/hyperlink" Target="https://1drv.ms/x/s!AkP3hbXXLtgBhpEoaTK-EAwrB6PPjQ?e=hUXjPN&amp;nav=MTVfezYzNzY4MEExLTRDMzItNDcxMy05M0ZCLTBFNjAwNTlBMUI0MH0" TargetMode="External"/><Relationship Id="rId226" Type="http://schemas.openxmlformats.org/officeDocument/2006/relationships/hyperlink" Target="https://1drv.ms/x/s!AkP3hbXXLtgBhpEoaTK-EAwrB6PPjQ?e=36Im2J&amp;nav=MTVfezg1NTdGRUM1LTczODktNDk5My1BQjA0LTkyQjFDODE4MjgxRX0" TargetMode="External"/><Relationship Id="rId433" Type="http://schemas.openxmlformats.org/officeDocument/2006/relationships/hyperlink" Target="https://1drv.ms/x/s!AkP3hbXXLtgBhpEoaTK-EAwrB6PPjQ?e=sXo522&amp;nav=MTVfe0VCNzhCQUU0LUVEQzItNDRCMC04QTFFLUZEQzA0OTNEMDkzOX0" TargetMode="External"/><Relationship Id="rId878" Type="http://schemas.openxmlformats.org/officeDocument/2006/relationships/hyperlink" Target="https://1drv.ms/x/s!AkP3hbXXLtgBhpEoaTK-EAwrB6PPjQ?e=VcWWuU&amp;nav=MTVfe0ExMEEwQ0RDLUFCNUQtNEMxQS1BM0ZGLTEzRDE2MkJEN0U2Q30" TargetMode="External"/><Relationship Id="rId1063" Type="http://schemas.openxmlformats.org/officeDocument/2006/relationships/hyperlink" Target="https://1drv.ms/x/s!AkP3hbXXLtgBhpEoaTK-EAwrB6PPjQ?e=rYbeUy&amp;nav=MTVfe0Q1MEM2OTMzLTFBNUUtNDhCMS1CQzhCLTlGQTI2NEEzRURDRH0" TargetMode="External"/><Relationship Id="rId1270" Type="http://schemas.openxmlformats.org/officeDocument/2006/relationships/hyperlink" Target="https://1drv.ms/x/s!AkP3hbXXLtgBhpEoaTK-EAwrB6PPjQ?e=UaBeCf&amp;nav=MTVfezM0NkJDRTA1LThBNUQtNDFFMC1BNjQ2LTk5NTVEMTg4RUEzNn0" TargetMode="External"/><Relationship Id="rId2114" Type="http://schemas.openxmlformats.org/officeDocument/2006/relationships/hyperlink" Target="https://1drv.ms/x/s!AkP3hbXXLtgBhpEoaTK-EAwrB6PPjQ?e=7tvhFu&amp;nav=MTVfezYzQUQ2N0RCLTZFQkQtNDhGOC1BODVFLUQzNjgwN0I4QkNFMn0" TargetMode="External"/><Relationship Id="rId2559" Type="http://schemas.openxmlformats.org/officeDocument/2006/relationships/hyperlink" Target="https://1drv.ms/x/s!AkP3hbXXLtgBhpEoaTK-EAwrB6PPjQ?e=mXia38&amp;nav=MTVfe0I0NjUwQ0I4LURGNzEtNDA5NC04M0QxLUExRTNDN0Q3OTc1MX0" TargetMode="External"/><Relationship Id="rId640" Type="http://schemas.openxmlformats.org/officeDocument/2006/relationships/hyperlink" Target="https://1drv.ms/x/s!AkP3hbXXLtgBhpEoaTK-EAwrB6PPjQ?e=ZRDRyK&amp;nav=MTVfe0IyQkRBQzE0LUM2QkQtNDY3Ny04MjcyLUQxNjYyMkIyRTZGRH0" TargetMode="External"/><Relationship Id="rId738" Type="http://schemas.openxmlformats.org/officeDocument/2006/relationships/hyperlink" Target="https://1drv.ms/x/s!AkP3hbXXLtgBhpEoaTK-EAwrB6PPjQ?e=0lRBEc&amp;nav=MTVfezRDRDQwMjU1LUJFM0ItNENDQS05NDQ1LUY1OTdERDA5ODg4NH0" TargetMode="External"/><Relationship Id="rId945" Type="http://schemas.openxmlformats.org/officeDocument/2006/relationships/hyperlink" Target="https://1drv.ms/x/s!AkP3hbXXLtgBhpEoaTK-EAwrB6PPjQ?e=GuJxJM&amp;nav=MTVfe0NBQzcxNDNGLTAzODYtNEFDRi1BNTI1LTRDQTYxMDEzNkYwM30" TargetMode="External"/><Relationship Id="rId1368" Type="http://schemas.openxmlformats.org/officeDocument/2006/relationships/hyperlink" Target="https://1drv.ms/x/s!AkP3hbXXLtgBhpEoaTK-EAwrB6PPjQ?e=0mRVd8&amp;nav=MTVfezhCNkZEQTNBLUNGMjctNEI5QS04QzdDLTFGQzk0MjVBNUY1QX0" TargetMode="External"/><Relationship Id="rId1575" Type="http://schemas.openxmlformats.org/officeDocument/2006/relationships/hyperlink" Target="https://1drv.ms/x/s!AkP3hbXXLtgBhpEoaTK-EAwrB6PPjQ?e=hF7xUm&amp;nav=MTVfezBDOEZCN0U5LURBOEQtNEY2Qi1CNUE1LUYzQTk0NDFBRkE2NX0" TargetMode="External"/><Relationship Id="rId1782" Type="http://schemas.openxmlformats.org/officeDocument/2006/relationships/hyperlink" Target="https://1drv.ms/x/s!AkP3hbXXLtgBhpEoaTK-EAwrB6PPjQ?e=sBpJD5&amp;nav=MTVfezM5QzdFMEZDLTg3QTEtNDRCMS04QTgyLUQ3MDU0NDI2MTBFRn0" TargetMode="External"/><Relationship Id="rId2321" Type="http://schemas.openxmlformats.org/officeDocument/2006/relationships/hyperlink" Target="https://1drv.ms/x/s!AkP3hbXXLtgBhpEoaTK-EAwrB6PPjQ?e=LiWfcw&amp;nav=MTVfezFBQTVDNUQ5LTIxM0QtNDcxMi05RkYwLUI2NUUyNTFDRkFBMH0" TargetMode="External"/><Relationship Id="rId2419" Type="http://schemas.openxmlformats.org/officeDocument/2006/relationships/hyperlink" Target="https://1drv.ms/x/s!AkP3hbXXLtgBhpEoaTK-EAwrB6PPjQ?e=X2f9pt&amp;nav=MTVfe0M4ODI3QTVFLTgzOUMtNDk2Qy1BMThFLUNCMDYwN0JBQjM5M30" TargetMode="External"/><Relationship Id="rId2626" Type="http://schemas.openxmlformats.org/officeDocument/2006/relationships/hyperlink" Target="https://1drv.ms/x/s!AkP3hbXXLtgBhpEoaTK-EAwrB6PPjQ?e=k1JzSb&amp;nav=MTVfezlCRDVCMEI4LTNBMEItNDE5NC04RTEyLUQxQzc3N0U3MUFFQn0" TargetMode="External"/><Relationship Id="rId74" Type="http://schemas.openxmlformats.org/officeDocument/2006/relationships/hyperlink" Target="https://1drv.ms/x/s!AkP3hbXXLtgBhpEoaTK-EAwrB6PPjQ?e=AMVmTu&amp;nav=MTVfezNFMEFDQTg3LTgzOUUtNDFGNC04MkYwLUIxRjIyNTFBRDYzNX0" TargetMode="External"/><Relationship Id="rId500" Type="http://schemas.openxmlformats.org/officeDocument/2006/relationships/hyperlink" Target="https://1drv.ms/x/s!AkP3hbXXLtgBhpEoaTK-EAwrB6PPjQ?e=zfxOib&amp;nav=MTVfezc5MUI1QUJBLTY0QUItNDM1OS05NkVBLTE3MUFBQTY2QzQ4Q30" TargetMode="External"/><Relationship Id="rId805" Type="http://schemas.openxmlformats.org/officeDocument/2006/relationships/hyperlink" Target="https://1drv.ms/x/s!AkP3hbXXLtgBhpEoaTK-EAwrB6PPjQ?e=zuxs7K&amp;nav=MTVfezEzQ0U5ODFBLTQxOTEtNERBOS05RDcwLTU1NDcwQ0I2MzhFNX0" TargetMode="External"/><Relationship Id="rId1130" Type="http://schemas.openxmlformats.org/officeDocument/2006/relationships/hyperlink" Target="https://1drv.ms/x/s!AkP3hbXXLtgBhpEoaTK-EAwrB6PPjQ?e=Brd8C5&amp;nav=MTVfe0YyMTJGNjdELTg0REMtNEY4Ri05MzE5LTE0M0FEODlBMzg5Q30" TargetMode="External"/><Relationship Id="rId1228" Type="http://schemas.openxmlformats.org/officeDocument/2006/relationships/hyperlink" Target="https://1drv.ms/x/s!AkP3hbXXLtgBhpEoaTK-EAwrB6PPjQ?e=U6lTuf&amp;nav=MTVfezFEODYyODdBLUIyOTctNDdGMC04MTkyLUUzRDE3NjM5RkNFQ30" TargetMode="External"/><Relationship Id="rId1435" Type="http://schemas.openxmlformats.org/officeDocument/2006/relationships/hyperlink" Target="https://1drv.ms/x/s!AkP3hbXXLtgBhpEoaTK-EAwrB6PPjQ?e=xXe3yl&amp;nav=MTVfezM1QjlFQjFCLUIxM0MtNDQ0Ni05MzQyLUU2QjczMkYzQzJFOH0" TargetMode="External"/><Relationship Id="rId1642" Type="http://schemas.openxmlformats.org/officeDocument/2006/relationships/hyperlink" Target="https://1drv.ms/x/s!AkP3hbXXLtgBhpEoaTK-EAwrB6PPjQ?e=VUlHtx&amp;nav=MTVfe0JEMzdCNzJBLTQ3QUItNEI0NC04MDRCLTNDRDY0MDVBODI2Qn0" TargetMode="External"/><Relationship Id="rId1947" Type="http://schemas.openxmlformats.org/officeDocument/2006/relationships/hyperlink" Target="https://1drv.ms/x/s!AkP3hbXXLtgBhpEoaTK-EAwrB6PPjQ?e=Hae5Hc&amp;nav=MTVfe0U1QUU2RDZBLTFGMkUtNENGNC04OENCLUE1MjI0OEMyNDMzNn0" TargetMode="External"/><Relationship Id="rId1502" Type="http://schemas.openxmlformats.org/officeDocument/2006/relationships/hyperlink" Target="https://1drv.ms/x/s!AkP3hbXXLtgBhpEoaTK-EAwrB6PPjQ?e=xGItXl&amp;nav=MTVfezc3NDc5QTVFLTEyMTItNEVGOS04NzRCLUUzREZBMkQ0NjU4OH0" TargetMode="External"/><Relationship Id="rId1807" Type="http://schemas.openxmlformats.org/officeDocument/2006/relationships/hyperlink" Target="https://1drv.ms/x/s!AkP3hbXXLtgBhpEoaTK-EAwrB6PPjQ?e=sBpJD5&amp;nav=MTVfezM5QzdFMEZDLTg3QTEtNDRCMS04QTgyLUQ3MDU0NDI2MTBFRn0" TargetMode="External"/><Relationship Id="rId290" Type="http://schemas.openxmlformats.org/officeDocument/2006/relationships/hyperlink" Target="https://1drv.ms/x/s!AkP3hbXXLtgBhpEoaTK-EAwrB6PPjQ?e=HO6wd4&amp;nav=MTVfe0NDRThCRDRELTFCMEEtNDNFRC1BMDRDLTc1QjY0NDgwNjJBMH0" TargetMode="External"/><Relationship Id="rId388" Type="http://schemas.openxmlformats.org/officeDocument/2006/relationships/hyperlink" Target="https://1drv.ms/x/s!AkP3hbXXLtgBhpEoaTK-EAwrB6PPjQ?e=mvWMFP&amp;nav=MTVfe0Q0MjM2QjFDLUVBQTAtNDE3Ri1BOEVGLTQzNzNBN0FGODY4M30" TargetMode="External"/><Relationship Id="rId2069" Type="http://schemas.openxmlformats.org/officeDocument/2006/relationships/hyperlink" Target="https://1drv.ms/x/s!AkP3hbXXLtgBhpEoaTK-EAwrB6PPjQ?e=t9ByVx&amp;nav=MTVfe0MzOTE2QzlDLTMzMEMtNEQ4NS05NjZBLTBFNzk3QjgxMEIwQn0" TargetMode="External"/><Relationship Id="rId150" Type="http://schemas.openxmlformats.org/officeDocument/2006/relationships/hyperlink" Target="https://1drv.ms/x/s!AkP3hbXXLtgBhpEoaTK-EAwrB6PPjQ?e=hRuig5&amp;nav=MTVfe0NCREMzODZGLTI3RDktNEI4RS05QjQ0LUUzQTc5QTQyQzY2MX0" TargetMode="External"/><Relationship Id="rId595" Type="http://schemas.openxmlformats.org/officeDocument/2006/relationships/hyperlink" Target="https://1drv.ms/x/s!AkP3hbXXLtgBhpEoaTK-EAwrB6PPjQ?e=xgZSuS&amp;nav=MTVfezA3RkYxMTMwLTAyQjYtNDA4RS1BMkU5LTI2MUQ0MjM2OEJGQn0" TargetMode="External"/><Relationship Id="rId2276" Type="http://schemas.openxmlformats.org/officeDocument/2006/relationships/hyperlink" Target="https://1drv.ms/x/s!AkP3hbXXLtgBhpEoaTK-EAwrB6PPjQ?e=vI4FNr&amp;nav=MTVfezhGQzkyMTU5LUYxNTUtNDg4MS04N0QzLTE5OTgzQjI3QTc1NH0" TargetMode="External"/><Relationship Id="rId2483" Type="http://schemas.openxmlformats.org/officeDocument/2006/relationships/hyperlink" Target="https://1drv.ms/x/s!AkP3hbXXLtgBhpEoaTK-EAwrB6PPjQ?e=LQfhsg&amp;nav=MTVfe0FGQTQ2QTUxLTkwOEEtNEZCNi04OUQ1LTMwOUU4QkMzMTRFQ30" TargetMode="External"/><Relationship Id="rId2690" Type="http://schemas.openxmlformats.org/officeDocument/2006/relationships/hyperlink" Target="https://1drv.ms/x/s!AkP3hbXXLtgBhpEoaTK-EAwrB6PPjQ?e=hUXjPN&amp;nav=MTVfezYzNzY4MEExLTRDMzItNDcxMy05M0ZCLTBFNjAwNTlBMUI0MH0" TargetMode="External"/><Relationship Id="rId248" Type="http://schemas.openxmlformats.org/officeDocument/2006/relationships/hyperlink" Target="https://1drv.ms/x/s!AkP3hbXXLtgBhpEoaTK-EAwrB6PPjQ?e=36Im2J&amp;nav=MTVfezg1NTdGRUM1LTczODktNDk5My1BQjA0LTkyQjFDODE4MjgxRX0" TargetMode="External"/><Relationship Id="rId455" Type="http://schemas.openxmlformats.org/officeDocument/2006/relationships/hyperlink" Target="https://1drv.ms/x/s!AkP3hbXXLtgBhpEoaTK-EAwrB6PPjQ?e=sXo522&amp;nav=MTVfe0VCNzhCQUU0LUVEQzItNDRCMC04QTFFLUZEQzA0OTNEMDkzOX0" TargetMode="External"/><Relationship Id="rId662" Type="http://schemas.openxmlformats.org/officeDocument/2006/relationships/hyperlink" Target="https://1drv.ms/x/s!AkP3hbXXLtgBhpEoaTK-EAwrB6PPjQ?e=ZRDRyK&amp;nav=MTVfe0IyQkRBQzE0LUM2QkQtNDY3Ny04MjcyLUQxNjYyMkIyRTZGRH0" TargetMode="External"/><Relationship Id="rId1085" Type="http://schemas.openxmlformats.org/officeDocument/2006/relationships/hyperlink" Target="https://1drv.ms/x/s!AkP3hbXXLtgBhpEoaTK-EAwrB6PPjQ?e=rYbeUy&amp;nav=MTVfe0Q1MEM2OTMzLTFBNUUtNDhCMS1CQzhCLTlGQTI2NEEzRURDRH0" TargetMode="External"/><Relationship Id="rId1292" Type="http://schemas.openxmlformats.org/officeDocument/2006/relationships/hyperlink" Target="https://1drv.ms/x/s!AkP3hbXXLtgBhpEoaTK-EAwrB6PPjQ?e=bD2jTr&amp;nav=MTVfezRGRUQzQzY0LTk3M0ItNDNDNy1BRUY3LTYwMDNGN0E5OThFQX0" TargetMode="External"/><Relationship Id="rId2136" Type="http://schemas.openxmlformats.org/officeDocument/2006/relationships/hyperlink" Target="https://1drv.ms/x/s!AkP3hbXXLtgBhpEoaTK-EAwrB6PPjQ?e=nj2bQ1&amp;nav=MTVfezAwMDAwMDAwLTAwMDEtMDAwMC0wMDAwLTAwMDAwMDAwMDAwMH0" TargetMode="External"/><Relationship Id="rId2343" Type="http://schemas.openxmlformats.org/officeDocument/2006/relationships/hyperlink" Target="https://1drv.ms/x/s!AkP3hbXXLtgBhpEoaTK-EAwrB6PPjQ?e=LiWfcw&amp;nav=MTVfezFBQTVDNUQ5LTIxM0QtNDcxMi05RkYwLUI2NUUyNTFDRkFBMH0" TargetMode="External"/><Relationship Id="rId2550" Type="http://schemas.openxmlformats.org/officeDocument/2006/relationships/hyperlink" Target="https://1drv.ms/x/s!AkP3hbXXLtgBhpEoaTK-EAwrB6PPjQ?e=mXia38&amp;nav=MTVfe0I0NjUwQ0I4LURGNzEtNDA5NC04M0QxLUExRTNDN0Q3OTc1MX0" TargetMode="External"/><Relationship Id="rId108" Type="http://schemas.openxmlformats.org/officeDocument/2006/relationships/hyperlink" Target="https://1drv.ms/x/s!AkP3hbXXLtgBhpEoaTK-EAwrB6PPjQ?e=hRuig5&amp;nav=MTVfe0NCREMzODZGLTI3RDktNEI4RS05QjQ0LUUzQTc5QTQyQzY2MX0" TargetMode="External"/><Relationship Id="rId315" Type="http://schemas.openxmlformats.org/officeDocument/2006/relationships/hyperlink" Target="https://1drv.ms/x/s!AkP3hbXXLtgBhpEoaTK-EAwrB6PPjQ?e=HO6wd4&amp;nav=MTVfe0NDRThCRDRELTFCMEEtNDNFRC1BMDRDLTc1QjY0NDgwNjJBMH0" TargetMode="External"/><Relationship Id="rId522" Type="http://schemas.openxmlformats.org/officeDocument/2006/relationships/hyperlink" Target="https://1drv.ms/x/s!AkP3hbXXLtgBhpEoaTK-EAwrB6PPjQ?e=zfxOib&amp;nav=MTVfezc5MUI1QUJBLTY0QUItNDM1OS05NkVBLTE3MUFBQTY2QzQ4Q30" TargetMode="External"/><Relationship Id="rId967" Type="http://schemas.openxmlformats.org/officeDocument/2006/relationships/hyperlink" Target="https://1drv.ms/x/s!AkP3hbXXLtgBhpEoaTK-EAwrB6PPjQ?e=fk66xb&amp;nav=MTVfezU0MjNBNEE5LTNDNzctNDQwNC05RjA3LTAyNEI1N0FBQjFDNX0" TargetMode="External"/><Relationship Id="rId1152" Type="http://schemas.openxmlformats.org/officeDocument/2006/relationships/hyperlink" Target="https://1drv.ms/x/s!AkP3hbXXLtgBhpEoaTK-EAwrB6PPjQ?e=xGItXl&amp;nav=MTVfezc3NDc5QTVFLTEyMTItNEVGOS04NzRCLUUzREZBMkQ0NjU4OH0" TargetMode="External"/><Relationship Id="rId1597" Type="http://schemas.openxmlformats.org/officeDocument/2006/relationships/hyperlink" Target="https://1drv.ms/x/s!AkP3hbXXLtgBhpEoaTK-EAwrB6PPjQ?e=hF7xUm&amp;nav=MTVfezBDOEZCN0U5LURBOEQtNEY2Qi1CNUE1LUYzQTk0NDFBRkE2NX0" TargetMode="External"/><Relationship Id="rId2203" Type="http://schemas.openxmlformats.org/officeDocument/2006/relationships/hyperlink" Target="https://1drv.ms/x/s!AkP3hbXXLtgBhpEoaTK-EAwrB6PPjQ?e=PJkcfB&amp;nav=MTVfezBFRjgyRDlFLThFOEUtNDA2RC05QUQzLTk5RDY0REIzMEU3Rn0" TargetMode="External"/><Relationship Id="rId2410" Type="http://schemas.openxmlformats.org/officeDocument/2006/relationships/hyperlink" Target="https://1drv.ms/x/s!AkP3hbXXLtgBhpEoaTK-EAwrB6PPjQ?e=X2f9pt&amp;nav=MTVfe0M4ODI3QTVFLTgzOUMtNDk2Qy1BMThFLUNCMDYwN0JBQjM5M30" TargetMode="External"/><Relationship Id="rId2648" Type="http://schemas.openxmlformats.org/officeDocument/2006/relationships/hyperlink" Target="https://1drv.ms/x/s!AkP3hbXXLtgBhpEoaTK-EAwrB6PPjQ?e=k1JzSb&amp;nav=MTVfezlCRDVCMEI4LTNBMEItNDE5NC04RTEyLUQxQzc3N0U3MUFFQn0" TargetMode="External"/><Relationship Id="rId96" Type="http://schemas.openxmlformats.org/officeDocument/2006/relationships/hyperlink" Target="https://1drv.ms/x/s!AkP3hbXXLtgBhpEoaTK-EAwrB6PPjQ?e=AMVmTu&amp;nav=MTVfezNFMEFDQTg3LTgzOUUtNDFGNC04MkYwLUIxRjIyNTFBRDYzNX0" TargetMode="External"/><Relationship Id="rId827" Type="http://schemas.openxmlformats.org/officeDocument/2006/relationships/hyperlink" Target="https://1drv.ms/x/s!AkP3hbXXLtgBhpEoaTK-EAwrB6PPjQ?e=zuxs7K&amp;nav=MTVfezEzQ0U5ODFBLTQxOTEtNERBOS05RDcwLTU1NDcwQ0I2MzhFNX0" TargetMode="External"/><Relationship Id="rId1012" Type="http://schemas.openxmlformats.org/officeDocument/2006/relationships/hyperlink" Target="https://1drv.ms/x/s!AkP3hbXXLtgBhpEoaTK-EAwrB6PPjQ?e=NFspu9&amp;nav=MTVfezE1M0M1OEJDLTA3MzUtNERFMC1BNzE4LTMzMUY1QjZBOEZDMH0" TargetMode="External"/><Relationship Id="rId1457" Type="http://schemas.openxmlformats.org/officeDocument/2006/relationships/hyperlink" Target="https://1drv.ms/x/s!AkP3hbXXLtgBhpEoaTK-EAwrB6PPjQ?e=xXe3yl&amp;nav=MTVfezM1QjlFQjFCLUIxM0MtNDQ0Ni05MzQyLUU2QjczMkYzQzJFOH0" TargetMode="External"/><Relationship Id="rId1664" Type="http://schemas.openxmlformats.org/officeDocument/2006/relationships/hyperlink" Target="https://1drv.ms/x/s!AkP3hbXXLtgBhpEoaTK-EAwrB6PPjQ?e=DHRjp5&amp;nav=MTVfezdEN0E2ODJDLUYxMzctNDI0MS1BRjZDLThEMzExM0M0OTZBNn0" TargetMode="External"/><Relationship Id="rId1871" Type="http://schemas.openxmlformats.org/officeDocument/2006/relationships/hyperlink" Target="https://1drv.ms/x/s!AkP3hbXXLtgBhpEoaTK-EAwrB6PPjQ?e=lNfo2c&amp;nav=MTVfezA2NDZDNEUzLUJDNjEtNDQ0RC05RjEzLTc2OTQ0MTEzOTQyNX0" TargetMode="External"/><Relationship Id="rId2508" Type="http://schemas.openxmlformats.org/officeDocument/2006/relationships/hyperlink" Target="https://1drv.ms/x/s!AkP3hbXXLtgBhpEoaTK-EAwrB6PPjQ?e=6TTmbj&amp;nav=MTVfezE1NUUyNjAwLTBGQUYtNDYyRS05MjBELTkwRjJEQzFDMUI3Q30" TargetMode="External"/><Relationship Id="rId2715" Type="http://schemas.openxmlformats.org/officeDocument/2006/relationships/hyperlink" Target="https://1drv.ms/x/s!AkP3hbXXLtgBhpEoaTK-EAwrB6PPjQ?e=hUXjPN&amp;nav=MTVfezYzNzY4MEExLTRDMzItNDcxMy05M0ZCLTBFNjAwNTlBMUI0MH0" TargetMode="External"/><Relationship Id="rId1317" Type="http://schemas.openxmlformats.org/officeDocument/2006/relationships/hyperlink" Target="https://1drv.ms/x/s!AkP3hbXXLtgBhpEoaTK-EAwrB6PPjQ?e=aEDo0X&amp;nav=MTVfe0Y5NTI5MkI1LUFCMUItNDU0Ni1BNjg1LUVEQUU4Q0U3RTM5OX0" TargetMode="External"/><Relationship Id="rId1524" Type="http://schemas.openxmlformats.org/officeDocument/2006/relationships/hyperlink" Target="https://1drv.ms/x/s!AkP3hbXXLtgBhpEoaTK-EAwrB6PPjQ?e=PsqPhH&amp;nav=MTVfe0ZDRjg3ODhGLTBFNDItNDJCOC04MDRCLTU4OTcwNUMwMjFGMn0" TargetMode="External"/><Relationship Id="rId1731" Type="http://schemas.openxmlformats.org/officeDocument/2006/relationships/hyperlink" Target="https://1drv.ms/x/s!AkP3hbXXLtgBhpEoaTK-EAwrB6PPjQ?e=DHRjp5&amp;nav=MTVfezdEN0E2ODJDLUYxMzctNDI0MS1BRjZDLThEMzExM0M0OTZBNn0" TargetMode="External"/><Relationship Id="rId1969" Type="http://schemas.openxmlformats.org/officeDocument/2006/relationships/hyperlink" Target="https://1drv.ms/x/s!AkP3hbXXLtgBhpEoaTK-EAwrB6PPjQ?e=Hae5Hc&amp;nav=MTVfe0U1QUU2RDZBLTFGMkUtNENGNC04OENCLUE1MjI0OEMyNDMzNn0" TargetMode="External"/><Relationship Id="rId23" Type="http://schemas.openxmlformats.org/officeDocument/2006/relationships/hyperlink" Target="https://1drv.ms/x/s!AkP3hbXXLtgBhpEoaTK-EAwrB6PPjQ?e=pv1n5G&amp;nav=MTVfe0I5QjVDOEU1LTM5MTMtNDRCNy1COEY4LUUwMUNENUM2NTY1NX0" TargetMode="External"/><Relationship Id="rId1829" Type="http://schemas.openxmlformats.org/officeDocument/2006/relationships/hyperlink" Target="https://1drv.ms/x/s!AkP3hbXXLtgBhpEoaTK-EAwrB6PPjQ?e=Qo1W02&amp;nav=MTVfe0Q5NDAyRTdCLTJCNEYtNEQ5OS05Q0Y4LTIyNDExQjYxNzRBRH0" TargetMode="External"/><Relationship Id="rId2298" Type="http://schemas.openxmlformats.org/officeDocument/2006/relationships/hyperlink" Target="https://1drv.ms/x/s!AkP3hbXXLtgBhpEoaTK-EAwrB6PPjQ?e=LiWfcw&amp;nav=MTVfezFBQTVDNUQ5LTIxM0QtNDcxMi05RkYwLUI2NUUyNTFDRkFBMH0" TargetMode="External"/><Relationship Id="rId172" Type="http://schemas.openxmlformats.org/officeDocument/2006/relationships/hyperlink" Target="https://1drv.ms/x/s!AkP3hbXXLtgBhpEoaTK-EAwrB6PPjQ?e=hKKsXn&amp;nav=MTVfe0M0MzQ5RkZFLUFFMEMtNDZBOC05NDNELUU2ODg5N0JGMDU4Rn0" TargetMode="External"/><Relationship Id="rId477" Type="http://schemas.openxmlformats.org/officeDocument/2006/relationships/hyperlink" Target="https://1drv.ms/x/s!AkP3hbXXLtgBhpEoaTK-EAwrB6PPjQ?e=sXo522&amp;nav=MTVfe0VCNzhCQUU0LUVEQzItNDRCMC04QTFFLUZEQzA0OTNEMDkzOX0" TargetMode="External"/><Relationship Id="rId684" Type="http://schemas.openxmlformats.org/officeDocument/2006/relationships/hyperlink" Target="https://1drv.ms/x/s!AkP3hbXXLtgBhpEoaTK-EAwrB6PPjQ?e=JPeMLZ&amp;nav=MTVfezdEMkY3NDEyLUYwMzItNDM0RC05MDRFLTcyNTE0ODM0NjA4M30" TargetMode="External"/><Relationship Id="rId2060" Type="http://schemas.openxmlformats.org/officeDocument/2006/relationships/hyperlink" Target="https://1drv.ms/x/s!AkP3hbXXLtgBhpEoaTK-EAwrB6PPjQ?e=t9ByVx&amp;nav=MTVfe0MzOTE2QzlDLTMzMEMtNEQ4NS05NjZBLTBFNzk3QjgxMEIwQn0" TargetMode="External"/><Relationship Id="rId2158" Type="http://schemas.openxmlformats.org/officeDocument/2006/relationships/hyperlink" Target="https://1drv.ms/x/s!AkP3hbXXLtgBhpEoaTK-EAwrB6PPjQ?e=nj2bQ1&amp;nav=MTVfezAwMDAwMDAwLTAwMDEtMDAwMC0wMDAwLTAwMDAwMDAwMDAwMH0" TargetMode="External"/><Relationship Id="rId2365" Type="http://schemas.openxmlformats.org/officeDocument/2006/relationships/hyperlink" Target="https://1drv.ms/x/s!AkP3hbXXLtgBhpEoaTK-EAwrB6PPjQ?e=X2f9pt&amp;nav=MTVfe0M4ODI3QTVFLTgzOUMtNDk2Qy1BMThFLUNCMDYwN0JBQjM5M30" TargetMode="External"/><Relationship Id="rId337" Type="http://schemas.openxmlformats.org/officeDocument/2006/relationships/hyperlink" Target="https://1drv.ms/x/s!AkP3hbXXLtgBhpEoaTK-EAwrB6PPjQ?e=HO6wd4&amp;nav=MTVfe0NDRThCRDRELTFCMEEtNDNFRC1BMDRDLTc1QjY0NDgwNjJBMH0" TargetMode="External"/><Relationship Id="rId891" Type="http://schemas.openxmlformats.org/officeDocument/2006/relationships/hyperlink" Target="https://1drv.ms/x/s!AkP3hbXXLtgBhpEoaTK-EAwrB6PPjQ?e=q7Y9UY&amp;nav=MTVfezY2QjMzRUJDLTdGREQtNEI4MC05QkFBLTZFRTQyNUFCMDY2MH0" TargetMode="External"/><Relationship Id="rId989" Type="http://schemas.openxmlformats.org/officeDocument/2006/relationships/hyperlink" Target="https://1drv.ms/x/s!AkP3hbXXLtgBhpEoaTK-EAwrB6PPjQ?e=fk66xb&amp;nav=MTVfezU0MjNBNEE5LTNDNzctNDQwNC05RjA3LTAyNEI1N0FBQjFDNX0" TargetMode="External"/><Relationship Id="rId2018" Type="http://schemas.openxmlformats.org/officeDocument/2006/relationships/hyperlink" Target="https://1drv.ms/x/s!AkP3hbXXLtgBhpEoaTK-EAwrB6PPjQ?e=e8c5BE&amp;nav=MTVfe0YzRjMwRTg2LTYyMTgtNEY5QS05Qzg0LTUxNkJFM0Q4MDAwN30" TargetMode="External"/><Relationship Id="rId2572" Type="http://schemas.openxmlformats.org/officeDocument/2006/relationships/hyperlink" Target="https://1drv.ms/x/s!AkP3hbXXLtgBhpEoaTK-EAwrB6PPjQ?e=mXia38&amp;nav=MTVfe0I0NjUwQ0I4LURGNzEtNDA5NC04M0QxLUExRTNDN0Q3OTc1MX0" TargetMode="External"/><Relationship Id="rId544" Type="http://schemas.openxmlformats.org/officeDocument/2006/relationships/hyperlink" Target="https://1drv.ms/x/s!AkP3hbXXLtgBhpEoaTK-EAwrB6PPjQ?e=xgZSuS&amp;nav=MTVfezA3RkYxMTMwLTAyQjYtNDA4RS1BMkU5LTI2MUQ0MjM2OEJGQn0" TargetMode="External"/><Relationship Id="rId751" Type="http://schemas.openxmlformats.org/officeDocument/2006/relationships/hyperlink" Target="https://1drv.ms/x/s!AkP3hbXXLtgBhpEoaTK-EAwrB6PPjQ?e=0lRBEc&amp;nav=MTVfezRDRDQwMjU1LUJFM0ItNENDQS05NDQ1LUY1OTdERDA5ODg4NH0" TargetMode="External"/><Relationship Id="rId849" Type="http://schemas.openxmlformats.org/officeDocument/2006/relationships/hyperlink" Target="https://1drv.ms/x/s!AkP3hbXXLtgBhpEoaTK-EAwrB6PPjQ?e=VcWWuU&amp;nav=MTVfe0ExMEEwQ0RDLUFCNUQtNEMxQS1BM0ZGLTEzRDE2MkJEN0U2Q30" TargetMode="External"/><Relationship Id="rId1174" Type="http://schemas.openxmlformats.org/officeDocument/2006/relationships/hyperlink" Target="https://1drv.ms/x/s!AkP3hbXXLtgBhpEoaTK-EAwrB6PPjQ?e=7D4jtp&amp;nav=MTVfe0Q5MDNFMUVCLUFFNkQtNDU5OC04QjYyLUFGODVDMTZENkVGMX0" TargetMode="External"/><Relationship Id="rId1381" Type="http://schemas.openxmlformats.org/officeDocument/2006/relationships/hyperlink" Target="https://1drv.ms/x/s!AkP3hbXXLtgBhpEoaTK-EAwrB6PPjQ?e=6Dzvxb&amp;nav=MTVfezE4RDVGRUE3LUYyN0MtNDRFNC1BMENCLTk1RTNFRjk3QkJDRX0" TargetMode="External"/><Relationship Id="rId1479" Type="http://schemas.openxmlformats.org/officeDocument/2006/relationships/hyperlink" Target="https://1drv.ms/x/s!AkP3hbXXLtgBhpEoaTK-EAwrB6PPjQ?e=Dygyft&amp;nav=MTVfe0VDMUJBNEJBLUNCOTAtNDI3Ri1CMTVFLUZDQjc2NURCQ0I1Q30" TargetMode="External"/><Relationship Id="rId1686" Type="http://schemas.openxmlformats.org/officeDocument/2006/relationships/hyperlink" Target="https://1drv.ms/x/s!AkP3hbXXLtgBhpEoaTK-EAwrB6PPjQ?e=DHRjp5&amp;nav=MTVfezdEN0E2ODJDLUYxMzctNDI0MS1BRjZDLThEMzExM0M0OTZBNn0" TargetMode="External"/><Relationship Id="rId2225" Type="http://schemas.openxmlformats.org/officeDocument/2006/relationships/hyperlink" Target="https://1drv.ms/x/s!AkP3hbXXLtgBhpEoaTK-EAwrB6PPjQ?e=PJkcfB&amp;nav=MTVfezBFRjgyRDlFLThFOEUtNDA2RC05QUQzLTk5RDY0REIzMEU3Rn0" TargetMode="External"/><Relationship Id="rId2432" Type="http://schemas.openxmlformats.org/officeDocument/2006/relationships/hyperlink" Target="https://1drv.ms/x/s!AkP3hbXXLtgBhpEoaTK-EAwrB6PPjQ?e=X2f9pt&amp;nav=MTVfe0M4ODI3QTVFLTgzOUMtNDk2Qy1BMThFLUNCMDYwN0JBQjM5M30" TargetMode="External"/><Relationship Id="rId404" Type="http://schemas.openxmlformats.org/officeDocument/2006/relationships/hyperlink" Target="https://1drv.ms/x/s!AkP3hbXXLtgBhpEoaTK-EAwrB6PPjQ?e=mvWMFP&amp;nav=MTVfe0Q0MjM2QjFDLUVBQTAtNDE3Ri1BOEVGLTQzNzNBN0FGODY4M30" TargetMode="External"/><Relationship Id="rId611" Type="http://schemas.openxmlformats.org/officeDocument/2006/relationships/hyperlink" Target="https://1drv.ms/x/s!AkP3hbXXLtgBhpEoaTK-EAwrB6PPjQ?e=ZRDRyK&amp;nav=MTVfe0IyQkRBQzE0LUM2QkQtNDY3Ny04MjcyLUQxNjYyMkIyRTZGRH0" TargetMode="External"/><Relationship Id="rId1034" Type="http://schemas.openxmlformats.org/officeDocument/2006/relationships/hyperlink" Target="https://1drv.ms/x/s!AkP3hbXXLtgBhpEoaTK-EAwrB6PPjQ?e=NFspu9&amp;nav=MTVfezE1M0M1OEJDLTA3MzUtNERFMC1BNzE4LTMzMUY1QjZBOEZDMH0" TargetMode="External"/><Relationship Id="rId1241" Type="http://schemas.openxmlformats.org/officeDocument/2006/relationships/hyperlink" Target="https://1drv.ms/x/s!AkP3hbXXLtgBhpEoaTK-EAwrB6PPjQ?e=UaBeCf&amp;nav=MTVfezM0NkJDRTA1LThBNUQtNDFFMC1BNjQ2LTk5NTVEMTg4RUEzNn0" TargetMode="External"/><Relationship Id="rId1339" Type="http://schemas.openxmlformats.org/officeDocument/2006/relationships/hyperlink" Target="https://1drv.ms/x/s!AkP3hbXXLtgBhpEoaTK-EAwrB6PPjQ?e=SkY523&amp;nav=MTVfezk3NEQ3MjVGLTlERDMtNDdDOS05QzJDLUU5RjJCNjk2N0I4MX0" TargetMode="External"/><Relationship Id="rId1893" Type="http://schemas.openxmlformats.org/officeDocument/2006/relationships/hyperlink" Target="https://1drv.ms/x/s!AkP3hbXXLtgBhpEoaTK-EAwrB6PPjQ?e=3z9g8a&amp;nav=MTVfezBGMENERTNBLTZCQTUtNDYwRi05MDM3LUNDNDk5MDBCNUU5MX0" TargetMode="External"/><Relationship Id="rId2737" Type="http://schemas.openxmlformats.org/officeDocument/2006/relationships/hyperlink" Target="https://1drv.ms/x/s!AkP3hbXXLtgBhpEoaTK-EAwrB6PPjQ?e=abxmJR&amp;nav=MTVfe0JFMzhCMTg0LTU1OTYtNDhFNS05ODAzLUExRUIzQzAyNDQyOH0" TargetMode="External"/><Relationship Id="rId709" Type="http://schemas.openxmlformats.org/officeDocument/2006/relationships/hyperlink" Target="https://1drv.ms/x/s!AkP3hbXXLtgBhpEoaTK-EAwrB6PPjQ?e=JPeMLZ&amp;nav=MTVfezdEMkY3NDEyLUYwMzItNDM0RC05MDRFLTcyNTE0ODM0NjA4M30" TargetMode="External"/><Relationship Id="rId916" Type="http://schemas.openxmlformats.org/officeDocument/2006/relationships/hyperlink" Target="https://1drv.ms/x/s!AkP3hbXXLtgBhpEoaTK-EAwrB6PPjQ?e=q7Y9UY&amp;nav=MTVfezY2QjMzRUJDLTdGREQtNEI4MC05QkFBLTZFRTQyNUFCMDY2MH0" TargetMode="External"/><Relationship Id="rId1101" Type="http://schemas.openxmlformats.org/officeDocument/2006/relationships/hyperlink" Target="https://1drv.ms/x/s!AkP3hbXXLtgBhpEoaTK-EAwrB6PPjQ?e=Brd8C5&amp;nav=MTVfe0YyMTJGNjdELTg0REMtNEY4Ri05MzE5LTE0M0FEODlBMzg5Q30" TargetMode="External"/><Relationship Id="rId1546" Type="http://schemas.openxmlformats.org/officeDocument/2006/relationships/hyperlink" Target="https://1drv.ms/x/s!AkP3hbXXLtgBhpEoaTK-EAwrB6PPjQ?e=PsqPhH&amp;nav=MTVfe0ZDRjg3ODhGLTBFNDItNDJCOC04MDRCLTU4OTcwNUMwMjFGMn0" TargetMode="External"/><Relationship Id="rId1753" Type="http://schemas.openxmlformats.org/officeDocument/2006/relationships/hyperlink" Target="https://1drv.ms/x/s!AkP3hbXXLtgBhpEoaTK-EAwrB6PPjQ?e=S6aQgK&amp;nav=MTVfezNDQTZGMDU5LTE2MUMtNDZDQi05RTYwLTUxMTNGNkFCNTI3Qn0" TargetMode="External"/><Relationship Id="rId1960" Type="http://schemas.openxmlformats.org/officeDocument/2006/relationships/hyperlink" Target="https://1drv.ms/x/s!AkP3hbXXLtgBhpEoaTK-EAwrB6PPjQ?e=Hae5Hc&amp;nav=MTVfe0U1QUU2RDZBLTFGMkUtNENGNC04OENCLUE1MjI0OEMyNDMzNn0" TargetMode="External"/><Relationship Id="rId45" Type="http://schemas.openxmlformats.org/officeDocument/2006/relationships/hyperlink" Target="https://1drv.ms/x/s!AkP3hbXXLtgBhpEoaTK-EAwrB6PPjQ?e=AMVmTu&amp;nav=MTVfezNFMEFDQTg3LTgzOUUtNDFGNC04MkYwLUIxRjIyNTFBRDYzNX0" TargetMode="External"/><Relationship Id="rId1406" Type="http://schemas.openxmlformats.org/officeDocument/2006/relationships/hyperlink" Target="https://1drv.ms/x/s!AkP3hbXXLtgBhpEoaTK-EAwrB6PPjQ?e=6Dzvxb&amp;nav=MTVfezE4RDVGRUE3LUYyN0MtNDRFNC1BMENCLTk1RTNFRjk3QkJDRX0" TargetMode="External"/><Relationship Id="rId1613" Type="http://schemas.openxmlformats.org/officeDocument/2006/relationships/hyperlink" Target="https://1drv.ms/x/s!AkP3hbXXLtgBhpEoaTK-EAwrB6PPjQ?e=hF7xUm&amp;nav=MTVfezBDOEZCN0U5LURBOEQtNEY2Qi1CNUE1LUYzQTk0NDFBRkE2NX0" TargetMode="External"/><Relationship Id="rId1820" Type="http://schemas.openxmlformats.org/officeDocument/2006/relationships/hyperlink" Target="https://1drv.ms/x/s!AkP3hbXXLtgBhpEoaTK-EAwrB6PPjQ?e=sBpJD5&amp;nav=MTVfezM5QzdFMEZDLTg3QTEtNDRCMS04QTgyLUQ3MDU0NDI2MTBFRn0" TargetMode="External"/><Relationship Id="rId194" Type="http://schemas.openxmlformats.org/officeDocument/2006/relationships/hyperlink" Target="https://1drv.ms/x/s!AkP3hbXXLtgBhpEoaTK-EAwrB6PPjQ?e=hKKsXn&amp;nav=MTVfe0M0MzQ5RkZFLUFFMEMtNDZBOC05NDNELUU2ODg5N0JGMDU4Rn0" TargetMode="External"/><Relationship Id="rId1918" Type="http://schemas.openxmlformats.org/officeDocument/2006/relationships/hyperlink" Target="https://1drv.ms/x/s!AkP3hbXXLtgBhpEoaTK-EAwrB6PPjQ?e=U8iWbp&amp;nav=MTVfezVDRDNFMEMzLTY0NDctNDUyNC05RjQyLUQ5MzdFOTgzQzgzNH0" TargetMode="External"/><Relationship Id="rId2082" Type="http://schemas.openxmlformats.org/officeDocument/2006/relationships/hyperlink" Target="https://1drv.ms/x/s!AkP3hbXXLtgBhpEoaTK-EAwrB6PPjQ?e=t9ByVx&amp;nav=MTVfe0MzOTE2QzlDLTMzMEMtNEQ4NS05NjZBLTBFNzk3QjgxMEIwQn0" TargetMode="External"/><Relationship Id="rId261" Type="http://schemas.openxmlformats.org/officeDocument/2006/relationships/hyperlink" Target="https://1drv.ms/x/s!AkP3hbXXLtgBhpEoaTK-EAwrB6PPjQ?e=36Im2J&amp;nav=MTVfezg1NTdGRUM1LTczODktNDk5My1BQjA0LTkyQjFDODE4MjgxRX0" TargetMode="External"/><Relationship Id="rId499" Type="http://schemas.openxmlformats.org/officeDocument/2006/relationships/hyperlink" Target="https://1drv.ms/x/s!AkP3hbXXLtgBhpEoaTK-EAwrB6PPjQ?e=zfxOib&amp;nav=MTVfezc5MUI1QUJBLTY0QUItNDM1OS05NkVBLTE3MUFBQTY2QzQ4Q30" TargetMode="External"/><Relationship Id="rId2387" Type="http://schemas.openxmlformats.org/officeDocument/2006/relationships/hyperlink" Target="https://1drv.ms/x/s!AkP3hbXXLtgBhpEoaTK-EAwrB6PPjQ?e=X2f9pt&amp;nav=MTVfe0M4ODI3QTVFLTgzOUMtNDk2Qy1BMThFLUNCMDYwN0JBQjM5M30" TargetMode="External"/><Relationship Id="rId2594" Type="http://schemas.openxmlformats.org/officeDocument/2006/relationships/hyperlink" Target="https://1drv.ms/x/s!AkP3hbXXLtgBhpEoaTK-EAwrB6PPjQ?e=6yBXWn&amp;nav=MTVfezJFQ0QzRjA0LUYyNEMtNEI2OS1CQTYzLTQ1QTBDQ0M4QjlEN30" TargetMode="External"/><Relationship Id="rId359" Type="http://schemas.openxmlformats.org/officeDocument/2006/relationships/hyperlink" Target="https://1drv.ms/x/s!AkP3hbXXLtgBhpEoaTK-EAwrB6PPjQ?e=mvWMFP&amp;nav=MTVfe0Q0MjM2QjFDLUVBQTAtNDE3Ri1BOEVGLTQzNzNBN0FGODY4M30" TargetMode="External"/><Relationship Id="rId566" Type="http://schemas.openxmlformats.org/officeDocument/2006/relationships/hyperlink" Target="https://1drv.ms/x/s!AkP3hbXXLtgBhpEoaTK-EAwrB6PPjQ?e=xgZSuS&amp;nav=MTVfezA3RkYxMTMwLTAyQjYtNDA4RS1BMkU5LTI2MUQ0MjM2OEJGQn0" TargetMode="External"/><Relationship Id="rId773" Type="http://schemas.openxmlformats.org/officeDocument/2006/relationships/hyperlink" Target="https://1drv.ms/x/s!AkP3hbXXLtgBhpEoaTK-EAwrB6PPjQ?e=0lRBEc&amp;nav=MTVfezRDRDQwMjU1LUJFM0ItNENDQS05NDQ1LUY1OTdERDA5ODg4NH0" TargetMode="External"/><Relationship Id="rId1196" Type="http://schemas.openxmlformats.org/officeDocument/2006/relationships/hyperlink" Target="https://1drv.ms/x/s!AkP3hbXXLtgBhpEoaTK-EAwrB6PPjQ?e=U6lTuf&amp;nav=MTVfezFEODYyODdBLUIyOTctNDdGMC04MTkyLUUzRDE3NjM5RkNFQ30" TargetMode="External"/><Relationship Id="rId2247" Type="http://schemas.openxmlformats.org/officeDocument/2006/relationships/hyperlink" Target="https://1drv.ms/x/s!AkP3hbXXLtgBhpEoaTK-EAwrB6PPjQ?e=vI4FNr&amp;nav=MTVfezhGQzkyMTU5LUYxNTUtNDg4MS04N0QzLTE5OTgzQjI3QTc1NH0" TargetMode="External"/><Relationship Id="rId2454" Type="http://schemas.openxmlformats.org/officeDocument/2006/relationships/hyperlink" Target="https://1drv.ms/x/s!AkP3hbXXLtgBhpEoaTK-EAwrB6PPjQ?e=LQfhsg&amp;nav=MTVfe0FGQTQ2QTUxLTkwOEEtNEZCNi04OUQ1LTMwOUU4QkMzMTRFQ30" TargetMode="External"/><Relationship Id="rId121" Type="http://schemas.openxmlformats.org/officeDocument/2006/relationships/hyperlink" Target="https://1drv.ms/x/s!AkP3hbXXLtgBhpEoaTK-EAwrB6PPjQ?e=hRuig5&amp;nav=MTVfe0NCREMzODZGLTI3RDktNEI4RS05QjQ0LUUzQTc5QTQyQzY2MX0" TargetMode="External"/><Relationship Id="rId219" Type="http://schemas.openxmlformats.org/officeDocument/2006/relationships/hyperlink" Target="https://1drv.ms/x/s!AkP3hbXXLtgBhpEoaTK-EAwrB6PPjQ?e=hKKsXn&amp;nav=MTVfe0M0MzQ5RkZFLUFFMEMtNDZBOC05NDNELUU2ODg5N0JGMDU4Rn0" TargetMode="External"/><Relationship Id="rId426" Type="http://schemas.openxmlformats.org/officeDocument/2006/relationships/hyperlink" Target="https://1drv.ms/x/s!AkP3hbXXLtgBhpEoaTK-EAwrB6PPjQ?e=sXo522&amp;nav=MTVfe0VCNzhCQUU0LUVEQzItNDRCMC04QTFFLUZEQzA0OTNEMDkzOX0" TargetMode="External"/><Relationship Id="rId633" Type="http://schemas.openxmlformats.org/officeDocument/2006/relationships/hyperlink" Target="https://1drv.ms/x/s!AkP3hbXXLtgBhpEoaTK-EAwrB6PPjQ?e=ZRDRyK&amp;nav=MTVfe0IyQkRBQzE0LUM2QkQtNDY3Ny04MjcyLUQxNjYyMkIyRTZGRH0" TargetMode="External"/><Relationship Id="rId980" Type="http://schemas.openxmlformats.org/officeDocument/2006/relationships/hyperlink" Target="https://1drv.ms/x/s!AkP3hbXXLtgBhpEoaTK-EAwrB6PPjQ?e=fk66xb&amp;nav=MTVfezU0MjNBNEE5LTNDNzctNDQwNC05RjA3LTAyNEI1N0FBQjFDNX0" TargetMode="External"/><Relationship Id="rId1056" Type="http://schemas.openxmlformats.org/officeDocument/2006/relationships/hyperlink" Target="https://1drv.ms/x/s!AkP3hbXXLtgBhpEoaTK-EAwrB6PPjQ?e=rYbeUy&amp;nav=MTVfe0Q1MEM2OTMzLTFBNUUtNDhCMS1CQzhCLTlGQTI2NEEzRURDRH0" TargetMode="External"/><Relationship Id="rId1263" Type="http://schemas.openxmlformats.org/officeDocument/2006/relationships/hyperlink" Target="https://1drv.ms/x/s!AkP3hbXXLtgBhpEoaTK-EAwrB6PPjQ?e=UaBeCf&amp;nav=MTVfezM0NkJDRTA1LThBNUQtNDFFMC1BNjQ2LTk5NTVEMTg4RUEzNn0" TargetMode="External"/><Relationship Id="rId2107" Type="http://schemas.openxmlformats.org/officeDocument/2006/relationships/hyperlink" Target="https://1drv.ms/x/s!AkP3hbXXLtgBhpEoaTK-EAwrB6PPjQ?e=7tvhFu&amp;nav=MTVfezYzQUQ2N0RCLTZFQkQtNDhGOC1BODVFLUQzNjgwN0I4QkNFMn0" TargetMode="External"/><Relationship Id="rId2314" Type="http://schemas.openxmlformats.org/officeDocument/2006/relationships/hyperlink" Target="https://1drv.ms/x/s!AkP3hbXXLtgBhpEoaTK-EAwrB6PPjQ?e=LiWfcw&amp;nav=MTVfezFBQTVDNUQ5LTIxM0QtNDcxMi05RkYwLUI2NUUyNTFDRkFBMH0" TargetMode="External"/><Relationship Id="rId2661" Type="http://schemas.openxmlformats.org/officeDocument/2006/relationships/hyperlink" Target="https://1drv.ms/x/s!AkP3hbXXLtgBhpEoaTK-EAwrB6PPjQ?e=k1JzSb&amp;nav=MTVfezlCRDVCMEI4LTNBMEItNDE5NC04RTEyLUQxQzc3N0U3MUFFQn0" TargetMode="External"/><Relationship Id="rId840" Type="http://schemas.openxmlformats.org/officeDocument/2006/relationships/hyperlink" Target="https://1drv.ms/x/s!AkP3hbXXLtgBhpEoaTK-EAwrB6PPjQ?e=zuxs7K&amp;nav=MTVfezEzQ0U5ODFBLTQxOTEtNERBOS05RDcwLTU1NDcwQ0I2MzhFNX0" TargetMode="External"/><Relationship Id="rId938" Type="http://schemas.openxmlformats.org/officeDocument/2006/relationships/hyperlink" Target="https://1drv.ms/x/s!AkP3hbXXLtgBhpEoaTK-EAwrB6PPjQ?e=GuJxJM&amp;nav=MTVfe0NBQzcxNDNGLTAzODYtNEFDRi1BNTI1LTRDQTYxMDEzNkYwM30" TargetMode="External"/><Relationship Id="rId1470" Type="http://schemas.openxmlformats.org/officeDocument/2006/relationships/hyperlink" Target="https://1drv.ms/x/s!AkP3hbXXLtgBhpEoaTK-EAwrB6PPjQ?e=xXe3yl&amp;nav=MTVfezM1QjlFQjFCLUIxM0MtNDQ0Ni05MzQyLUU2QjczMkYzQzJFOH0" TargetMode="External"/><Relationship Id="rId1568" Type="http://schemas.openxmlformats.org/officeDocument/2006/relationships/hyperlink" Target="https://1drv.ms/x/s!AkP3hbXXLtgBhpEoaTK-EAwrB6PPjQ?e=hF7xUm&amp;nav=MTVfezBDOEZCN0U5LURBOEQtNEY2Qi1CNUE1LUYzQTk0NDFBRkE2NX0" TargetMode="External"/><Relationship Id="rId1775" Type="http://schemas.openxmlformats.org/officeDocument/2006/relationships/hyperlink" Target="https://1drv.ms/x/s!AkP3hbXXLtgBhpEoaTK-EAwrB6PPjQ?e=sBpJD5&amp;nav=MTVfezM5QzdFMEZDLTg3QTEtNDRCMS04QTgyLUQ3MDU0NDI2MTBFRn0" TargetMode="External"/><Relationship Id="rId2521" Type="http://schemas.openxmlformats.org/officeDocument/2006/relationships/hyperlink" Target="https://1drv.ms/x/s!AkP3hbXXLtgBhpEoaTK-EAwrB6PPjQ?e=mXia38&amp;nav=MTVfe0I0NjUwQ0I4LURGNzEtNDA5NC04M0QxLUExRTNDN0Q3OTc1MX0" TargetMode="External"/><Relationship Id="rId2619" Type="http://schemas.openxmlformats.org/officeDocument/2006/relationships/hyperlink" Target="https://1drv.ms/x/s!AkP3hbXXLtgBhpEoaTK-EAwrB6PPjQ?e=k1JzSb&amp;nav=MTVfezlCRDVCMEI4LTNBMEItNDE5NC04RTEyLUQxQzc3N0U3MUFFQn0" TargetMode="External"/><Relationship Id="rId67" Type="http://schemas.openxmlformats.org/officeDocument/2006/relationships/hyperlink" Target="https://1drv.ms/x/s!AkP3hbXXLtgBhpEoaTK-EAwrB6PPjQ?e=AMVmTu&amp;nav=MTVfezNFMEFDQTg3LTgzOUUtNDFGNC04MkYwLUIxRjIyNTFBRDYzNX0" TargetMode="External"/><Relationship Id="rId700" Type="http://schemas.openxmlformats.org/officeDocument/2006/relationships/hyperlink" Target="https://1drv.ms/x/s!AkP3hbXXLtgBhpEoaTK-EAwrB6PPjQ?e=JPeMLZ&amp;nav=MTVfezdEMkY3NDEyLUYwMzItNDM0RC05MDRFLTcyNTE0ODM0NjA4M30" TargetMode="External"/><Relationship Id="rId1123" Type="http://schemas.openxmlformats.org/officeDocument/2006/relationships/hyperlink" Target="https://1drv.ms/x/s!AkP3hbXXLtgBhpEoaTK-EAwrB6PPjQ?e=Brd8C5&amp;nav=MTVfe0YyMTJGNjdELTg0REMtNEY4Ri05MzE5LTE0M0FEODlBMzg5Q30" TargetMode="External"/><Relationship Id="rId1330" Type="http://schemas.openxmlformats.org/officeDocument/2006/relationships/hyperlink" Target="https://1drv.ms/x/s!AkP3hbXXLtgBhpEoaTK-EAwrB6PPjQ?e=mYpfR1&amp;nav=MTVfe0NGMTlDQTg1LUE2QUMtNDYyRC1CN0M1LUExRjVBNjI1MDcyOX0" TargetMode="External"/><Relationship Id="rId1428" Type="http://schemas.openxmlformats.org/officeDocument/2006/relationships/hyperlink" Target="https://1drv.ms/x/s!AkP3hbXXLtgBhpEoaTK-EAwrB6PPjQ?e=xXe3yl&amp;nav=MTVfezM1QjlFQjFCLUIxM0MtNDQ0Ni05MzQyLUU2QjczMkYzQzJFOH0" TargetMode="External"/><Relationship Id="rId1635" Type="http://schemas.openxmlformats.org/officeDocument/2006/relationships/hyperlink" Target="https://1drv.ms/x/s!AkP3hbXXLtgBhpEoaTK-EAwrB6PPjQ?e=VUlHtx&amp;nav=MTVfe0JEMzdCNzJBLTQ3QUItNEI0NC04MDRCLTNDRDY0MDVBODI2Qn0" TargetMode="External"/><Relationship Id="rId1982" Type="http://schemas.openxmlformats.org/officeDocument/2006/relationships/hyperlink" Target="https://1drv.ms/x/s!AkP3hbXXLtgBhpEoaTK-EAwrB6PPjQ?e=e8c5BE&amp;nav=MTVfe0YzRjMwRTg2LTYyMTgtNEY5QS05Qzg0LTUxNkJFM0Q4MDAwN30" TargetMode="External"/><Relationship Id="rId1842" Type="http://schemas.openxmlformats.org/officeDocument/2006/relationships/hyperlink" Target="https://1drv.ms/x/s!AkP3hbXXLtgBhpEoaTK-EAwrB6PPjQ?e=Qo1W02&amp;nav=MTVfe0Q5NDAyRTdCLTJCNEYtNEQ5OS05Q0Y4LTIyNDExQjYxNzRBRH0" TargetMode="External"/><Relationship Id="rId1702" Type="http://schemas.openxmlformats.org/officeDocument/2006/relationships/hyperlink" Target="https://1drv.ms/x/s!AkP3hbXXLtgBhpEoaTK-EAwrB6PPjQ?e=DHRjp5&amp;nav=MTVfezdEN0E2ODJDLUYxMzctNDI0MS1BRjZDLThEMzExM0M0OTZBNn0" TargetMode="External"/><Relationship Id="rId283" Type="http://schemas.openxmlformats.org/officeDocument/2006/relationships/hyperlink" Target="https://1drv.ms/x/s!AkP3hbXXLtgBhpEoaTK-EAwrB6PPjQ?e=36Im2J&amp;nav=MTVfezg1NTdGRUM1LTczODktNDk5My1BQjA0LTkyQjFDODE4MjgxRX0" TargetMode="External"/><Relationship Id="rId490" Type="http://schemas.openxmlformats.org/officeDocument/2006/relationships/hyperlink" Target="https://1drv.ms/x/s!AkP3hbXXLtgBhpEoaTK-EAwrB6PPjQ?e=zfxOib&amp;nav=MTVfezc5MUI1QUJBLTY0QUItNDM1OS05NkVBLTE3MUFBQTY2QzQ4Q30" TargetMode="External"/><Relationship Id="rId2171" Type="http://schemas.openxmlformats.org/officeDocument/2006/relationships/hyperlink" Target="https://1drv.ms/x/s!AkP3hbXXLtgBhpEoaTK-EAwrB6PPjQ?e=PJkcfB&amp;nav=MTVfezBFRjgyRDlFLThFOEUtNDA2RC05QUQzLTk5RDY0REIzMEU3Rn0" TargetMode="External"/><Relationship Id="rId143" Type="http://schemas.openxmlformats.org/officeDocument/2006/relationships/hyperlink" Target="https://1drv.ms/x/s!AkP3hbXXLtgBhpEoaTK-EAwrB6PPjQ?e=hRuig5&amp;nav=MTVfe0NCREMzODZGLTI3RDktNEI4RS05QjQ0LUUzQTc5QTQyQzY2MX0" TargetMode="External"/><Relationship Id="rId350" Type="http://schemas.openxmlformats.org/officeDocument/2006/relationships/hyperlink" Target="https://1drv.ms/x/s!AkP3hbXXLtgBhpEoaTK-EAwrB6PPjQ?e=HO6wd4&amp;nav=MTVfe0NDRThCRDRELTFCMEEtNDNFRC1BMDRDLTc1QjY0NDgwNjJBMH0" TargetMode="External"/><Relationship Id="rId588" Type="http://schemas.openxmlformats.org/officeDocument/2006/relationships/hyperlink" Target="https://1drv.ms/x/s!AkP3hbXXLtgBhpEoaTK-EAwrB6PPjQ?e=xgZSuS&amp;nav=MTVfezA3RkYxMTMwLTAyQjYtNDA4RS1BMkU5LTI2MUQ0MjM2OEJGQn0" TargetMode="External"/><Relationship Id="rId795" Type="http://schemas.openxmlformats.org/officeDocument/2006/relationships/hyperlink" Target="https://1drv.ms/x/s!AkP3hbXXLtgBhpEoaTK-EAwrB6PPjQ?e=zuxs7K&amp;nav=MTVfezEzQ0U5ODFBLTQxOTEtNERBOS05RDcwLTU1NDcwQ0I2MzhFNX0" TargetMode="External"/><Relationship Id="rId2031" Type="http://schemas.openxmlformats.org/officeDocument/2006/relationships/hyperlink" Target="https://1drv.ms/x/s!AkP3hbXXLtgBhpEoaTK-EAwrB6PPjQ?e=e8c5BE&amp;nav=MTVfe0YzRjMwRTg2LTYyMTgtNEY5QS05Qzg0LTUxNkJFM0Q4MDAwN30" TargetMode="External"/><Relationship Id="rId2269" Type="http://schemas.openxmlformats.org/officeDocument/2006/relationships/hyperlink" Target="https://1drv.ms/x/s!AkP3hbXXLtgBhpEoaTK-EAwrB6PPjQ?e=vI4FNr&amp;nav=MTVfezhGQzkyMTU5LUYxNTUtNDg4MS04N0QzLTE5OTgzQjI3QTc1NH0" TargetMode="External"/><Relationship Id="rId2476" Type="http://schemas.openxmlformats.org/officeDocument/2006/relationships/hyperlink" Target="https://1drv.ms/x/s!AkP3hbXXLtgBhpEoaTK-EAwrB6PPjQ?e=LQfhsg&amp;nav=MTVfe0FGQTQ2QTUxLTkwOEEtNEZCNi04OUQ1LTMwOUU4QkMzMTRFQ30" TargetMode="External"/><Relationship Id="rId2683" Type="http://schemas.openxmlformats.org/officeDocument/2006/relationships/hyperlink" Target="https://1drv.ms/x/s!AkP3hbXXLtgBhpEoaTK-EAwrB6PPjQ?e=hUXjPN&amp;nav=MTVfezYzNzY4MEExLTRDMzItNDcxMy05M0ZCLTBFNjAwNTlBMUI0MH0" TargetMode="External"/><Relationship Id="rId9" Type="http://schemas.openxmlformats.org/officeDocument/2006/relationships/hyperlink" Target="https://1drv.ms/x/s!AkP3hbXXLtgBhpEoaTK-EAwrB6PPjQ?e=mIIluV&amp;nav=MTVfezFBNjM2MTc3LUZCMjQtNEUwRS05QzhDLUMxNDc3QUJCRjg0RH0" TargetMode="External"/><Relationship Id="rId210" Type="http://schemas.openxmlformats.org/officeDocument/2006/relationships/hyperlink" Target="https://1drv.ms/x/s!AkP3hbXXLtgBhpEoaTK-EAwrB6PPjQ?e=hKKsXn&amp;nav=MTVfe0M0MzQ5RkZFLUFFMEMtNDZBOC05NDNELUU2ODg5N0JGMDU4Rn0" TargetMode="External"/><Relationship Id="rId448" Type="http://schemas.openxmlformats.org/officeDocument/2006/relationships/hyperlink" Target="https://1drv.ms/x/s!AkP3hbXXLtgBhpEoaTK-EAwrB6PPjQ?e=sXo522&amp;nav=MTVfe0VCNzhCQUU0LUVEQzItNDRCMC04QTFFLUZEQzA0OTNEMDkzOX0" TargetMode="External"/><Relationship Id="rId655" Type="http://schemas.openxmlformats.org/officeDocument/2006/relationships/hyperlink" Target="https://1drv.ms/x/s!AkP3hbXXLtgBhpEoaTK-EAwrB6PPjQ?e=ZRDRyK&amp;nav=MTVfe0IyQkRBQzE0LUM2QkQtNDY3Ny04MjcyLUQxNjYyMkIyRTZGRH0" TargetMode="External"/><Relationship Id="rId862" Type="http://schemas.openxmlformats.org/officeDocument/2006/relationships/hyperlink" Target="https://1drv.ms/x/s!AkP3hbXXLtgBhpEoaTK-EAwrB6PPjQ?e=VcWWuU&amp;nav=MTVfe0ExMEEwQ0RDLUFCNUQtNEMxQS1BM0ZGLTEzRDE2MkJEN0U2Q30" TargetMode="External"/><Relationship Id="rId1078" Type="http://schemas.openxmlformats.org/officeDocument/2006/relationships/hyperlink" Target="https://1drv.ms/x/s!AkP3hbXXLtgBhpEoaTK-EAwrB6PPjQ?e=rYbeUy&amp;nav=MTVfe0Q1MEM2OTMzLTFBNUUtNDhCMS1CQzhCLTlGQTI2NEEzRURDRH0" TargetMode="External"/><Relationship Id="rId1285" Type="http://schemas.openxmlformats.org/officeDocument/2006/relationships/hyperlink" Target="https://1drv.ms/x/s!AkP3hbXXLtgBhpEoaTK-EAwrB6PPjQ?e=bD2jTr&amp;nav=MTVfezRGRUQzQzY0LTk3M0ItNDNDNy1BRUY3LTYwMDNGN0E5OThFQX0" TargetMode="External"/><Relationship Id="rId1492" Type="http://schemas.openxmlformats.org/officeDocument/2006/relationships/hyperlink" Target="https://1drv.ms/x/s!AkP3hbXXLtgBhpEoaTK-EAwrB6PPjQ?e=Dygyft&amp;nav=MTVfe0VDMUJBNEJBLUNCOTAtNDI3Ri1CMTVFLUZDQjc2NURCQ0I1Q30" TargetMode="External"/><Relationship Id="rId2129" Type="http://schemas.openxmlformats.org/officeDocument/2006/relationships/hyperlink" Target="https://1drv.ms/x/s!AkP3hbXXLtgBhpEoaTK-EAwrB6PPjQ?e=7tvhFu&amp;nav=MTVfezYzQUQ2N0RCLTZFQkQtNDhGOC1BODVFLUQzNjgwN0I4QkNFMn0" TargetMode="External"/><Relationship Id="rId2336" Type="http://schemas.openxmlformats.org/officeDocument/2006/relationships/hyperlink" Target="https://1drv.ms/x/s!AkP3hbXXLtgBhpEoaTK-EAwrB6PPjQ?e=LiWfcw&amp;nav=MTVfezFBQTVDNUQ5LTIxM0QtNDcxMi05RkYwLUI2NUUyNTFDRkFBMH0" TargetMode="External"/><Relationship Id="rId2543" Type="http://schemas.openxmlformats.org/officeDocument/2006/relationships/hyperlink" Target="https://1drv.ms/x/s!AkP3hbXXLtgBhpEoaTK-EAwrB6PPjQ?e=mXia38&amp;nav=MTVfe0I0NjUwQ0I4LURGNzEtNDA5NC04M0QxLUExRTNDN0Q3OTc1MX0" TargetMode="External"/><Relationship Id="rId308" Type="http://schemas.openxmlformats.org/officeDocument/2006/relationships/hyperlink" Target="https://1drv.ms/x/s!AkP3hbXXLtgBhpEoaTK-EAwrB6PPjQ?e=HO6wd4&amp;nav=MTVfe0NDRThCRDRELTFCMEEtNDNFRC1BMDRDLTc1QjY0NDgwNjJBMH0" TargetMode="External"/><Relationship Id="rId515" Type="http://schemas.openxmlformats.org/officeDocument/2006/relationships/hyperlink" Target="https://1drv.ms/x/s!AkP3hbXXLtgBhpEoaTK-EAwrB6PPjQ?e=zfxOib&amp;nav=MTVfezc5MUI1QUJBLTY0QUItNDM1OS05NkVBLTE3MUFBQTY2QzQ4Q30" TargetMode="External"/><Relationship Id="rId722" Type="http://schemas.openxmlformats.org/officeDocument/2006/relationships/hyperlink" Target="https://1drv.ms/x/s!AkP3hbXXLtgBhpEoaTK-EAwrB6PPjQ?e=JPeMLZ&amp;nav=MTVfezdEMkY3NDEyLUYwMzItNDM0RC05MDRFLTcyNTE0ODM0NjA4M30" TargetMode="External"/><Relationship Id="rId1145" Type="http://schemas.openxmlformats.org/officeDocument/2006/relationships/hyperlink" Target="https://1drv.ms/x/s!AkP3hbXXLtgBhpEoaTK-EAwrB6PPjQ?e=xGItXl&amp;nav=MTVfezc3NDc5QTVFLTEyMTItNEVGOS04NzRCLUUzREZBMkQ0NjU4OH0" TargetMode="External"/><Relationship Id="rId1352" Type="http://schemas.openxmlformats.org/officeDocument/2006/relationships/hyperlink" Target="https://1drv.ms/x/s!AkP3hbXXLtgBhpEoaTK-EAwrB6PPjQ?e=SkY523&amp;nav=MTVfezk3NEQ3MjVGLTlERDMtNDdDOS05QzJDLUU5RjJCNjk2N0I4MX0" TargetMode="External"/><Relationship Id="rId1797" Type="http://schemas.openxmlformats.org/officeDocument/2006/relationships/hyperlink" Target="https://1drv.ms/x/s!AkP3hbXXLtgBhpEoaTK-EAwrB6PPjQ?e=sBpJD5&amp;nav=MTVfezM5QzdFMEZDLTg3QTEtNDRCMS04QTgyLUQ3MDU0NDI2MTBFRn0" TargetMode="External"/><Relationship Id="rId2403" Type="http://schemas.openxmlformats.org/officeDocument/2006/relationships/hyperlink" Target="https://1drv.ms/x/s!AkP3hbXXLtgBhpEoaTK-EAwrB6PPjQ?e=X2f9pt&amp;nav=MTVfe0M4ODI3QTVFLTgzOUMtNDk2Qy1BMThFLUNCMDYwN0JBQjM5M30" TargetMode="External"/><Relationship Id="rId89" Type="http://schemas.openxmlformats.org/officeDocument/2006/relationships/hyperlink" Target="https://1drv.ms/x/s!AkP3hbXXLtgBhpEoaTK-EAwrB6PPjQ?e=AMVmTu&amp;nav=MTVfezNFMEFDQTg3LTgzOUUtNDFGNC04MkYwLUIxRjIyNTFBRDYzNX0" TargetMode="External"/><Relationship Id="rId1005" Type="http://schemas.openxmlformats.org/officeDocument/2006/relationships/hyperlink" Target="https://1drv.ms/x/s!AkP3hbXXLtgBhpEoaTK-EAwrB6PPjQ?e=NFspu9&amp;nav=MTVfezE1M0M1OEJDLTA3MzUtNERFMC1BNzE4LTMzMUY1QjZBOEZDMH0" TargetMode="External"/><Relationship Id="rId1212" Type="http://schemas.openxmlformats.org/officeDocument/2006/relationships/hyperlink" Target="https://1drv.ms/x/s!AkP3hbXXLtgBhpEoaTK-EAwrB6PPjQ?e=U6lTuf&amp;nav=MTVfezFEODYyODdBLUIyOTctNDdGMC04MTkyLUUzRDE3NjM5RkNFQ30" TargetMode="External"/><Relationship Id="rId1657" Type="http://schemas.openxmlformats.org/officeDocument/2006/relationships/hyperlink" Target="https://1drv.ms/x/s!AkP3hbXXLtgBhpEoaTK-EAwrB6PPjQ?e=DHRjp5&amp;nav=MTVfezdEN0E2ODJDLUYxMzctNDI0MS1BRjZDLThEMzExM0M0OTZBNn0" TargetMode="External"/><Relationship Id="rId1864" Type="http://schemas.openxmlformats.org/officeDocument/2006/relationships/hyperlink" Target="https://1drv.ms/x/s!AkP3hbXXLtgBhpEoaTK-EAwrB6PPjQ?e=KawXz2&amp;nav=MTVfe0I2MTk3NUI3LTcxN0UtNDYyRi05OUNBLTc2RTcxMkRFMjVEOH0" TargetMode="External"/><Relationship Id="rId2610" Type="http://schemas.openxmlformats.org/officeDocument/2006/relationships/hyperlink" Target="https://1drv.ms/x/s!AkP3hbXXLtgBhpEoaTK-EAwrB6PPjQ?e=k1JzSb&amp;nav=MTVfezlCRDVCMEI4LTNBMEItNDE5NC04RTEyLUQxQzc3N0U3MUFFQn0" TargetMode="External"/><Relationship Id="rId2708" Type="http://schemas.openxmlformats.org/officeDocument/2006/relationships/hyperlink" Target="https://1drv.ms/x/s!AkP3hbXXLtgBhpEoaTK-EAwrB6PPjQ?e=hUXjPN&amp;nav=MTVfezYzNzY4MEExLTRDMzItNDcxMy05M0ZCLTBFNjAwNTlBMUI0MH0" TargetMode="External"/><Relationship Id="rId1517" Type="http://schemas.openxmlformats.org/officeDocument/2006/relationships/hyperlink" Target="https://1drv.ms/x/s!AkP3hbXXLtgBhpEoaTK-EAwrB6PPjQ?e=VcWWuU&amp;nav=MTVfe0ExMEEwQ0RDLUFCNUQtNEMxQS1BM0ZGLTEzRDE2MkJEN0U2Q30" TargetMode="External"/><Relationship Id="rId1724" Type="http://schemas.openxmlformats.org/officeDocument/2006/relationships/hyperlink" Target="https://1drv.ms/x/s!AkP3hbXXLtgBhpEoaTK-EAwrB6PPjQ?e=DHRjp5&amp;nav=MTVfezdEN0E2ODJDLUYxMzctNDI0MS1BRjZDLThEMzExM0M0OTZBNn0" TargetMode="External"/><Relationship Id="rId16" Type="http://schemas.openxmlformats.org/officeDocument/2006/relationships/hyperlink" Target="https://1drv.ms/x/s!AkP3hbXXLtgBhpEoaTK-EAwrB6PPjQ?e=y7fMC6&amp;nav=MTVfezJFQ0QzRjA0LUYyNEMtNEI2OS1CQTYzLTQ1QTBDQ0M4QjlEN30" TargetMode="External"/><Relationship Id="rId1931" Type="http://schemas.openxmlformats.org/officeDocument/2006/relationships/hyperlink" Target="https://1drv.ms/x/s!AkP3hbXXLtgBhpEoaTK-EAwrB6PPjQ?e=U8iWbp&amp;nav=MTVfezVDRDNFMEMzLTY0NDctNDUyNC05RjQyLUQ5MzdFOTgzQzgzNH0" TargetMode="External"/><Relationship Id="rId2193" Type="http://schemas.openxmlformats.org/officeDocument/2006/relationships/hyperlink" Target="https://1drv.ms/x/s!AkP3hbXXLtgBhpEoaTK-EAwrB6PPjQ?e=PJkcfB&amp;nav=MTVfezBFRjgyRDlFLThFOEUtNDA2RC05QUQzLTk5RDY0REIzMEU3Rn0" TargetMode="External"/><Relationship Id="rId2498" Type="http://schemas.openxmlformats.org/officeDocument/2006/relationships/hyperlink" Target="https://1drv.ms/x/s!AkP3hbXXLtgBhpEoaTK-EAwrB6PPjQ?e=LQfhsg&amp;nav=MTVfe0FGQTQ2QTUxLTkwOEEtNEZCNi04OUQ1LTMwOUU4QkMzMTRFQ30" TargetMode="External"/><Relationship Id="rId165" Type="http://schemas.openxmlformats.org/officeDocument/2006/relationships/hyperlink" Target="https://1drv.ms/x/s!AkP3hbXXLtgBhpEoaTK-EAwrB6PPjQ?e=hKKsXn&amp;nav=MTVfe0M0MzQ5RkZFLUFFMEMtNDZBOC05NDNELUU2ODg5N0JGMDU4Rn0" TargetMode="External"/><Relationship Id="rId372" Type="http://schemas.openxmlformats.org/officeDocument/2006/relationships/hyperlink" Target="https://1drv.ms/x/s!AkP3hbXXLtgBhpEoaTK-EAwrB6PPjQ?e=mvWMFP&amp;nav=MTVfe0Q0MjM2QjFDLUVBQTAtNDE3Ri1BOEVGLTQzNzNBN0FGODY4M30" TargetMode="External"/><Relationship Id="rId677" Type="http://schemas.openxmlformats.org/officeDocument/2006/relationships/hyperlink" Target="https://1drv.ms/x/s!AkP3hbXXLtgBhpEoaTK-EAwrB6PPjQ?e=JPeMLZ&amp;nav=MTVfezdEMkY3NDEyLUYwMzItNDM0RC05MDRFLTcyNTE0ODM0NjA4M30" TargetMode="External"/><Relationship Id="rId2053" Type="http://schemas.openxmlformats.org/officeDocument/2006/relationships/hyperlink" Target="https://1drv.ms/x/s!AkP3hbXXLtgBhpEoaTK-EAwrB6PPjQ?e=t9ByVx&amp;nav=MTVfe0MzOTE2QzlDLTMzMEMtNEQ4NS05NjZBLTBFNzk3QjgxMEIwQn0" TargetMode="External"/><Relationship Id="rId2260" Type="http://schemas.openxmlformats.org/officeDocument/2006/relationships/hyperlink" Target="https://1drv.ms/x/s!AkP3hbXXLtgBhpEoaTK-EAwrB6PPjQ?e=vI4FNr&amp;nav=MTVfezhGQzkyMTU5LUYxNTUtNDg4MS04N0QzLTE5OTgzQjI3QTc1NH0" TargetMode="External"/><Relationship Id="rId2358" Type="http://schemas.openxmlformats.org/officeDocument/2006/relationships/hyperlink" Target="https://1drv.ms/x/s!AkP3hbXXLtgBhpEoaTK-EAwrB6PPjQ?e=LiWfcw&amp;nav=MTVfezFBQTVDNUQ5LTIxM0QtNDcxMi05RkYwLUI2NUUyNTFDRkFBMH0" TargetMode="External"/><Relationship Id="rId232" Type="http://schemas.openxmlformats.org/officeDocument/2006/relationships/hyperlink" Target="https://1drv.ms/x/s!AkP3hbXXLtgBhpEoaTK-EAwrB6PPjQ?e=36Im2J&amp;nav=MTVfezg1NTdGRUM1LTczODktNDk5My1BQjA0LTkyQjFDODE4MjgxRX0" TargetMode="External"/><Relationship Id="rId884" Type="http://schemas.openxmlformats.org/officeDocument/2006/relationships/hyperlink" Target="https://1drv.ms/x/s!AkP3hbXXLtgBhpEoaTK-EAwrB6PPjQ?e=q7Y9UY&amp;nav=MTVfezY2QjMzRUJDLTdGREQtNEI4MC05QkFBLTZFRTQyNUFCMDY2MH0" TargetMode="External"/><Relationship Id="rId2120" Type="http://schemas.openxmlformats.org/officeDocument/2006/relationships/hyperlink" Target="https://1drv.ms/x/s!AkP3hbXXLtgBhpEoaTK-EAwrB6PPjQ?e=7tvhFu&amp;nav=MTVfezYzQUQ2N0RCLTZFQkQtNDhGOC1BODVFLUQzNjgwN0I4QkNFMn0" TargetMode="External"/><Relationship Id="rId2565" Type="http://schemas.openxmlformats.org/officeDocument/2006/relationships/hyperlink" Target="https://1drv.ms/x/s!AkP3hbXXLtgBhpEoaTK-EAwrB6PPjQ?e=mXia38&amp;nav=MTVfe0I0NjUwQ0I4LURGNzEtNDA5NC04M0QxLUExRTNDN0Q3OTc1MX0" TargetMode="External"/><Relationship Id="rId537" Type="http://schemas.openxmlformats.org/officeDocument/2006/relationships/hyperlink" Target="https://1drv.ms/x/s!AkP3hbXXLtgBhpEoaTK-EAwrB6PPjQ?e=zfxOib&amp;nav=MTVfezc5MUI1QUJBLTY0QUItNDM1OS05NkVBLTE3MUFBQTY2QzQ4Q30" TargetMode="External"/><Relationship Id="rId744" Type="http://schemas.openxmlformats.org/officeDocument/2006/relationships/hyperlink" Target="https://1drv.ms/x/s!AkP3hbXXLtgBhpEoaTK-EAwrB6PPjQ?e=0lRBEc&amp;nav=MTVfezRDRDQwMjU1LUJFM0ItNENDQS05NDQ1LUY1OTdERDA5ODg4NH0" TargetMode="External"/><Relationship Id="rId951" Type="http://schemas.openxmlformats.org/officeDocument/2006/relationships/hyperlink" Target="https://1drv.ms/x/s!AkP3hbXXLtgBhpEoaTK-EAwrB6PPjQ?e=GuJxJM&amp;nav=MTVfe0NBQzcxNDNGLTAzODYtNEFDRi1BNTI1LTRDQTYxMDEzNkYwM30" TargetMode="External"/><Relationship Id="rId1167" Type="http://schemas.openxmlformats.org/officeDocument/2006/relationships/hyperlink" Target="https://1drv.ms/x/s!AkP3hbXXLtgBhpEoaTK-EAwrB6PPjQ?e=7D4jtp&amp;nav=MTVfe0Q5MDNFMUVCLUFFNkQtNDU5OC04QjYyLUFGODVDMTZENkVGMX0" TargetMode="External"/><Relationship Id="rId1374" Type="http://schemas.openxmlformats.org/officeDocument/2006/relationships/hyperlink" Target="https://1drv.ms/x/s!AkP3hbXXLtgBhpEoaTK-EAwrB6PPjQ?e=6Dzvxb&amp;nav=MTVfezE4RDVGRUE3LUYyN0MtNDRFNC1BMENCLTk1RTNFRjk3QkJDRX0" TargetMode="External"/><Relationship Id="rId1581" Type="http://schemas.openxmlformats.org/officeDocument/2006/relationships/hyperlink" Target="https://1drv.ms/x/s!AkP3hbXXLtgBhpEoaTK-EAwrB6PPjQ?e=hF7xUm&amp;nav=MTVfezBDOEZCN0U5LURBOEQtNEY2Qi1CNUE1LUYzQTk0NDFBRkE2NX0" TargetMode="External"/><Relationship Id="rId1679" Type="http://schemas.openxmlformats.org/officeDocument/2006/relationships/hyperlink" Target="https://1drv.ms/x/s!AkP3hbXXLtgBhpEoaTK-EAwrB6PPjQ?e=DHRjp5&amp;nav=MTVfezdEN0E2ODJDLUYxMzctNDI0MS1BRjZDLThEMzExM0M0OTZBNn0" TargetMode="External"/><Relationship Id="rId2218" Type="http://schemas.openxmlformats.org/officeDocument/2006/relationships/hyperlink" Target="https://1drv.ms/x/s!AkP3hbXXLtgBhpEoaTK-EAwrB6PPjQ?e=PJkcfB&amp;nav=MTVfezBFRjgyRDlFLThFOEUtNDA2RC05QUQzLTk5RDY0REIzMEU3Rn0" TargetMode="External"/><Relationship Id="rId2425" Type="http://schemas.openxmlformats.org/officeDocument/2006/relationships/hyperlink" Target="https://1drv.ms/x/s!AkP3hbXXLtgBhpEoaTK-EAwrB6PPjQ?e=X2f9pt&amp;nav=MTVfe0M4ODI3QTVFLTgzOUMtNDk2Qy1BMThFLUNCMDYwN0JBQjM5M30" TargetMode="External"/><Relationship Id="rId2632" Type="http://schemas.openxmlformats.org/officeDocument/2006/relationships/hyperlink" Target="https://1drv.ms/x/s!AkP3hbXXLtgBhpEoaTK-EAwrB6PPjQ?e=k1JzSb&amp;nav=MTVfezlCRDVCMEI4LTNBMEItNDE5NC04RTEyLUQxQzc3N0U3MUFFQn0" TargetMode="External"/><Relationship Id="rId80" Type="http://schemas.openxmlformats.org/officeDocument/2006/relationships/hyperlink" Target="https://1drv.ms/x/s!AkP3hbXXLtgBhpEoaTK-EAwrB6PPjQ?e=AMVmTu&amp;nav=MTVfezNFMEFDQTg3LTgzOUUtNDFGNC04MkYwLUIxRjIyNTFBRDYzNX0" TargetMode="External"/><Relationship Id="rId604" Type="http://schemas.openxmlformats.org/officeDocument/2006/relationships/hyperlink" Target="https://1drv.ms/x/s!AkP3hbXXLtgBhpEoaTK-EAwrB6PPjQ?e=ZRDRyK&amp;nav=MTVfe0IyQkRBQzE0LUM2QkQtNDY3Ny04MjcyLUQxNjYyMkIyRTZGRH0" TargetMode="External"/><Relationship Id="rId811" Type="http://schemas.openxmlformats.org/officeDocument/2006/relationships/hyperlink" Target="https://1drv.ms/x/s!AkP3hbXXLtgBhpEoaTK-EAwrB6PPjQ?e=zuxs7K&amp;nav=MTVfezEzQ0U5ODFBLTQxOTEtNERBOS05RDcwLTU1NDcwQ0I2MzhFNX0" TargetMode="External"/><Relationship Id="rId1027" Type="http://schemas.openxmlformats.org/officeDocument/2006/relationships/hyperlink" Target="https://1drv.ms/x/s!AkP3hbXXLtgBhpEoaTK-EAwrB6PPjQ?e=NFspu9&amp;nav=MTVfezE1M0M1OEJDLTA3MzUtNERFMC1BNzE4LTMzMUY1QjZBOEZDMH0" TargetMode="External"/><Relationship Id="rId1234" Type="http://schemas.openxmlformats.org/officeDocument/2006/relationships/hyperlink" Target="https://1drv.ms/x/s!AkP3hbXXLtgBhpEoaTK-EAwrB6PPjQ?e=U6lTuf&amp;nav=MTVfezFEODYyODdBLUIyOTctNDdGMC04MTkyLUUzRDE3NjM5RkNFQ30" TargetMode="External"/><Relationship Id="rId1441" Type="http://schemas.openxmlformats.org/officeDocument/2006/relationships/hyperlink" Target="https://1drv.ms/x/s!AkP3hbXXLtgBhpEoaTK-EAwrB6PPjQ?e=xXe3yl&amp;nav=MTVfezM1QjlFQjFCLUIxM0MtNDQ0Ni05MzQyLUU2QjczMkYzQzJFOH0" TargetMode="External"/><Relationship Id="rId1886" Type="http://schemas.openxmlformats.org/officeDocument/2006/relationships/hyperlink" Target="https://1drv.ms/x/s!AkP3hbXXLtgBhpEoaTK-EAwrB6PPjQ?e=3z9g8a&amp;nav=MTVfezBGMENERTNBLTZCQTUtNDYwRi05MDM3LUNDNDk5MDBCNUU5MX0" TargetMode="External"/><Relationship Id="rId909" Type="http://schemas.openxmlformats.org/officeDocument/2006/relationships/hyperlink" Target="https://1drv.ms/x/s!AkP3hbXXLtgBhpEoaTK-EAwrB6PPjQ?e=q7Y9UY&amp;nav=MTVfezY2QjMzRUJDLTdGREQtNEI4MC05QkFBLTZFRTQyNUFCMDY2MH0" TargetMode="External"/><Relationship Id="rId1301" Type="http://schemas.openxmlformats.org/officeDocument/2006/relationships/hyperlink" Target="https://1drv.ms/x/s!AkP3hbXXLtgBhpEoaTK-EAwrB6PPjQ?e=bD2jTr&amp;nav=MTVfezRGRUQzQzY0LTk3M0ItNDNDNy1BRUY3LTYwMDNGN0E5OThFQX0" TargetMode="External"/><Relationship Id="rId1539" Type="http://schemas.openxmlformats.org/officeDocument/2006/relationships/hyperlink" Target="https://1drv.ms/x/s!AkP3hbXXLtgBhpEoaTK-EAwrB6PPjQ?e=PsqPhH&amp;nav=MTVfe0ZDRjg3ODhGLTBFNDItNDJCOC04MDRCLTU4OTcwNUMwMjFGMn0" TargetMode="External"/><Relationship Id="rId1746" Type="http://schemas.openxmlformats.org/officeDocument/2006/relationships/hyperlink" Target="https://1drv.ms/x/s!AkP3hbXXLtgBhpEoaTK-EAwrB6PPjQ?e=OaIvOH&amp;nav=MTVfezFDODBFQUMzLTY0M0UtNDM2MC04REU0LTRBOUYzQ0MxQkY2Nn0" TargetMode="External"/><Relationship Id="rId1953" Type="http://schemas.openxmlformats.org/officeDocument/2006/relationships/hyperlink" Target="https://1drv.ms/x/s!AkP3hbXXLtgBhpEoaTK-EAwrB6PPjQ?e=Hae5Hc&amp;nav=MTVfe0U1QUU2RDZBLTFGMkUtNENGNC04OENCLUE1MjI0OEMyNDMzNn0" TargetMode="External"/><Relationship Id="rId38" Type="http://schemas.openxmlformats.org/officeDocument/2006/relationships/hyperlink" Target="https://1drv.ms/x/s!AkP3hbXXLtgBhpEoaTK-EAwrB6PPjQ?e=AMVmTu&amp;nav=MTVfezNFMEFDQTg3LTgzOUUtNDFGNC04MkYwLUIxRjIyNTFBRDYzNX0" TargetMode="External"/><Relationship Id="rId1606" Type="http://schemas.openxmlformats.org/officeDocument/2006/relationships/hyperlink" Target="https://1drv.ms/x/s!AkP3hbXXLtgBhpEoaTK-EAwrB6PPjQ?e=hF7xUm&amp;nav=MTVfezBDOEZCN0U5LURBOEQtNEY2Qi1CNUE1LUYzQTk0NDFBRkE2NX0" TargetMode="External"/><Relationship Id="rId1813" Type="http://schemas.openxmlformats.org/officeDocument/2006/relationships/hyperlink" Target="https://1drv.ms/x/s!AkP3hbXXLtgBhpEoaTK-EAwrB6PPjQ?e=sBpJD5&amp;nav=MTVfezM5QzdFMEZDLTg3QTEtNDRCMS04QTgyLUQ3MDU0NDI2MTBFRn0" TargetMode="External"/><Relationship Id="rId187" Type="http://schemas.openxmlformats.org/officeDocument/2006/relationships/hyperlink" Target="https://1drv.ms/x/s!AkP3hbXXLtgBhpEoaTK-EAwrB6PPjQ?e=hKKsXn&amp;nav=MTVfe0M0MzQ5RkZFLUFFMEMtNDZBOC05NDNELUU2ODg5N0JGMDU4Rn0" TargetMode="External"/><Relationship Id="rId394" Type="http://schemas.openxmlformats.org/officeDocument/2006/relationships/hyperlink" Target="https://1drv.ms/x/s!AkP3hbXXLtgBhpEoaTK-EAwrB6PPjQ?e=mvWMFP&amp;nav=MTVfe0Q0MjM2QjFDLUVBQTAtNDE3Ri1BOEVGLTQzNzNBN0FGODY4M30" TargetMode="External"/><Relationship Id="rId2075" Type="http://schemas.openxmlformats.org/officeDocument/2006/relationships/hyperlink" Target="https://1drv.ms/x/s!AkP3hbXXLtgBhpEoaTK-EAwrB6PPjQ?e=t9ByVx&amp;nav=MTVfe0MzOTE2QzlDLTMzMEMtNEQ4NS05NjZBLTBFNzk3QjgxMEIwQn0" TargetMode="External"/><Relationship Id="rId2282" Type="http://schemas.openxmlformats.org/officeDocument/2006/relationships/hyperlink" Target="https://1drv.ms/x/s!AkP3hbXXLtgBhpEoaTK-EAwrB6PPjQ?e=vI4FNr&amp;nav=MTVfezhGQzkyMTU5LUYxNTUtNDg4MS04N0QzLTE5OTgzQjI3QTc1NH0" TargetMode="External"/><Relationship Id="rId254" Type="http://schemas.openxmlformats.org/officeDocument/2006/relationships/hyperlink" Target="https://1drv.ms/x/s!AkP3hbXXLtgBhpEoaTK-EAwrB6PPjQ?e=36Im2J&amp;nav=MTVfezg1NTdGRUM1LTczODktNDk5My1BQjA0LTkyQjFDODE4MjgxRX0" TargetMode="External"/><Relationship Id="rId699" Type="http://schemas.openxmlformats.org/officeDocument/2006/relationships/hyperlink" Target="https://1drv.ms/x/s!AkP3hbXXLtgBhpEoaTK-EAwrB6PPjQ?e=JPeMLZ&amp;nav=MTVfezdEMkY3NDEyLUYwMzItNDM0RC05MDRFLTcyNTE0ODM0NjA4M30" TargetMode="External"/><Relationship Id="rId1091" Type="http://schemas.openxmlformats.org/officeDocument/2006/relationships/hyperlink" Target="https://1drv.ms/x/s!AkP3hbXXLtgBhpEoaTK-EAwrB6PPjQ?e=rYbeUy&amp;nav=MTVfe0Q1MEM2OTMzLTFBNUUtNDhCMS1CQzhCLTlGQTI2NEEzRURDRH0" TargetMode="External"/><Relationship Id="rId2587" Type="http://schemas.openxmlformats.org/officeDocument/2006/relationships/hyperlink" Target="https://1drv.ms/x/s!AkP3hbXXLtgBhpEoaTK-EAwrB6PPjQ?e=vc5Xf0&amp;nav=MTVfezc5M0I0RDk3LURGREYtNDUyMy1BMEQ2LUYzRTU0RjYwN0RCRX0" TargetMode="External"/><Relationship Id="rId114" Type="http://schemas.openxmlformats.org/officeDocument/2006/relationships/hyperlink" Target="https://1drv.ms/x/s!AkP3hbXXLtgBhpEoaTK-EAwrB6PPjQ?e=hRuig5&amp;nav=MTVfe0NCREMzODZGLTI3RDktNEI4RS05QjQ0LUUzQTc5QTQyQzY2MX0" TargetMode="External"/><Relationship Id="rId461" Type="http://schemas.openxmlformats.org/officeDocument/2006/relationships/hyperlink" Target="https://1drv.ms/x/s!AkP3hbXXLtgBhpEoaTK-EAwrB6PPjQ?e=sXo522&amp;nav=MTVfe0VCNzhCQUU0LUVEQzItNDRCMC04QTFFLUZEQzA0OTNEMDkzOX0" TargetMode="External"/><Relationship Id="rId559" Type="http://schemas.openxmlformats.org/officeDocument/2006/relationships/hyperlink" Target="https://1drv.ms/x/s!AkP3hbXXLtgBhpEoaTK-EAwrB6PPjQ?e=xgZSuS&amp;nav=MTVfezA3RkYxMTMwLTAyQjYtNDA4RS1BMkU5LTI2MUQ0MjM2OEJGQn0" TargetMode="External"/><Relationship Id="rId766" Type="http://schemas.openxmlformats.org/officeDocument/2006/relationships/hyperlink" Target="https://1drv.ms/x/s!AkP3hbXXLtgBhpEoaTK-EAwrB6PPjQ?e=0lRBEc&amp;nav=MTVfezRDRDQwMjU1LUJFM0ItNENDQS05NDQ1LUY1OTdERDA5ODg4NH0" TargetMode="External"/><Relationship Id="rId1189" Type="http://schemas.openxmlformats.org/officeDocument/2006/relationships/hyperlink" Target="https://1drv.ms/x/s!AkP3hbXXLtgBhpEoaTK-EAwrB6PPjQ?e=7D4jtp&amp;nav=MTVfe0Q5MDNFMUVCLUFFNkQtNDU5OC04QjYyLUFGODVDMTZENkVGMX0" TargetMode="External"/><Relationship Id="rId1396" Type="http://schemas.openxmlformats.org/officeDocument/2006/relationships/hyperlink" Target="https://1drv.ms/x/s!AkP3hbXXLtgBhpEoaTK-EAwrB6PPjQ?e=6Dzvxb&amp;nav=MTVfezE4RDVGRUE3LUYyN0MtNDRFNC1BMENCLTk1RTNFRjk3QkJDRX0" TargetMode="External"/><Relationship Id="rId2142" Type="http://schemas.openxmlformats.org/officeDocument/2006/relationships/hyperlink" Target="https://1drv.ms/x/s!AkP3hbXXLtgBhpEoaTK-EAwrB6PPjQ?e=nj2bQ1&amp;nav=MTVfezAwMDAwMDAwLTAwMDEtMDAwMC0wMDAwLTAwMDAwMDAwMDAwMH0" TargetMode="External"/><Relationship Id="rId2447" Type="http://schemas.openxmlformats.org/officeDocument/2006/relationships/hyperlink" Target="https://1drv.ms/x/s!AkP3hbXXLtgBhpEoaTK-EAwrB6PPjQ?e=LQfhsg&amp;nav=MTVfe0FGQTQ2QTUxLTkwOEEtNEZCNi04OUQ1LTMwOUU4QkMzMTRFQ30" TargetMode="External"/><Relationship Id="rId321" Type="http://schemas.openxmlformats.org/officeDocument/2006/relationships/hyperlink" Target="https://1drv.ms/x/s!AkP3hbXXLtgBhpEoaTK-EAwrB6PPjQ?e=HO6wd4&amp;nav=MTVfe0NDRThCRDRELTFCMEEtNDNFRC1BMDRDLTc1QjY0NDgwNjJBMH0" TargetMode="External"/><Relationship Id="rId419" Type="http://schemas.openxmlformats.org/officeDocument/2006/relationships/hyperlink" Target="https://1drv.ms/x/s!AkP3hbXXLtgBhpEoaTK-EAwrB6PPjQ?e=sXo522&amp;nav=MTVfe0VCNzhCQUU0LUVEQzItNDRCMC04QTFFLUZEQzA0OTNEMDkzOX0" TargetMode="External"/><Relationship Id="rId626" Type="http://schemas.openxmlformats.org/officeDocument/2006/relationships/hyperlink" Target="https://1drv.ms/x/s!AkP3hbXXLtgBhpEoaTK-EAwrB6PPjQ?e=ZRDRyK&amp;nav=MTVfe0IyQkRBQzE0LUM2QkQtNDY3Ny04MjcyLUQxNjYyMkIyRTZGRH0" TargetMode="External"/><Relationship Id="rId973" Type="http://schemas.openxmlformats.org/officeDocument/2006/relationships/hyperlink" Target="https://1drv.ms/x/s!AkP3hbXXLtgBhpEoaTK-EAwrB6PPjQ?e=fk66xb&amp;nav=MTVfezU0MjNBNEE5LTNDNzctNDQwNC05RjA3LTAyNEI1N0FBQjFDNX0" TargetMode="External"/><Relationship Id="rId1049" Type="http://schemas.openxmlformats.org/officeDocument/2006/relationships/hyperlink" Target="https://1drv.ms/x/s!AkP3hbXXLtgBhpEoaTK-EAwrB6PPjQ?e=NFspu9&amp;nav=MTVfezE1M0M1OEJDLTA3MzUtNERFMC1BNzE4LTMzMUY1QjZBOEZDMH0" TargetMode="External"/><Relationship Id="rId1256" Type="http://schemas.openxmlformats.org/officeDocument/2006/relationships/hyperlink" Target="https://1drv.ms/x/s!AkP3hbXXLtgBhpEoaTK-EAwrB6PPjQ?e=UaBeCf&amp;nav=MTVfezM0NkJDRTA1LThBNUQtNDFFMC1BNjQ2LTk5NTVEMTg4RUEzNn0" TargetMode="External"/><Relationship Id="rId2002" Type="http://schemas.openxmlformats.org/officeDocument/2006/relationships/hyperlink" Target="https://1drv.ms/x/s!AkP3hbXXLtgBhpEoaTK-EAwrB6PPjQ?e=e8c5BE&amp;nav=MTVfe0YzRjMwRTg2LTYyMTgtNEY5QS05Qzg0LTUxNkJFM0Q4MDAwN30" TargetMode="External"/><Relationship Id="rId2307" Type="http://schemas.openxmlformats.org/officeDocument/2006/relationships/hyperlink" Target="https://1drv.ms/x/s!AkP3hbXXLtgBhpEoaTK-EAwrB6PPjQ?e=LiWfcw&amp;nav=MTVfezFBQTVDNUQ5LTIxM0QtNDcxMi05RkYwLUI2NUUyNTFDRkFBMH0" TargetMode="External"/><Relationship Id="rId2654" Type="http://schemas.openxmlformats.org/officeDocument/2006/relationships/hyperlink" Target="https://1drv.ms/x/s!AkP3hbXXLtgBhpEoaTK-EAwrB6PPjQ?e=k1JzSb&amp;nav=MTVfezlCRDVCMEI4LTNBMEItNDE5NC04RTEyLUQxQzc3N0U3MUFFQn0" TargetMode="External"/><Relationship Id="rId833" Type="http://schemas.openxmlformats.org/officeDocument/2006/relationships/hyperlink" Target="https://1drv.ms/x/s!AkP3hbXXLtgBhpEoaTK-EAwrB6PPjQ?e=zuxs7K&amp;nav=MTVfezEzQ0U5ODFBLTQxOTEtNERBOS05RDcwLTU1NDcwQ0I2MzhFNX0" TargetMode="External"/><Relationship Id="rId1116" Type="http://schemas.openxmlformats.org/officeDocument/2006/relationships/hyperlink" Target="https://1drv.ms/x/s!AkP3hbXXLtgBhpEoaTK-EAwrB6PPjQ?e=Brd8C5&amp;nav=MTVfe0YyMTJGNjdELTg0REMtNEY4Ri05MzE5LTE0M0FEODlBMzg5Q30" TargetMode="External"/><Relationship Id="rId1463" Type="http://schemas.openxmlformats.org/officeDocument/2006/relationships/hyperlink" Target="https://1drv.ms/x/s!AkP3hbXXLtgBhpEoaTK-EAwrB6PPjQ?e=xXe3yl&amp;nav=MTVfezM1QjlFQjFCLUIxM0MtNDQ0Ni05MzQyLUU2QjczMkYzQzJFOH0" TargetMode="External"/><Relationship Id="rId1670" Type="http://schemas.openxmlformats.org/officeDocument/2006/relationships/hyperlink" Target="https://1drv.ms/x/s!AkP3hbXXLtgBhpEoaTK-EAwrB6PPjQ?e=DHRjp5&amp;nav=MTVfezdEN0E2ODJDLUYxMzctNDI0MS1BRjZDLThEMzExM0M0OTZBNn0" TargetMode="External"/><Relationship Id="rId1768" Type="http://schemas.openxmlformats.org/officeDocument/2006/relationships/hyperlink" Target="https://1drv.ms/x/s!AkP3hbXXLtgBhpEoaTK-EAwrB6PPjQ?e=sBpJD5&amp;nav=MTVfezM5QzdFMEZDLTg3QTEtNDRCMS04QTgyLUQ3MDU0NDI2MTBFRn0" TargetMode="External"/><Relationship Id="rId2514" Type="http://schemas.openxmlformats.org/officeDocument/2006/relationships/hyperlink" Target="https://1drv.ms/x/s!AkP3hbXXLtgBhpEoaTK-EAwrB6PPjQ?e=mXia38&amp;nav=MTVfe0I0NjUwQ0I4LURGNzEtNDA5NC04M0QxLUExRTNDN0Q3OTc1MX0" TargetMode="External"/><Relationship Id="rId2721" Type="http://schemas.openxmlformats.org/officeDocument/2006/relationships/hyperlink" Target="https://1drv.ms/x/s!AkP3hbXXLtgBhpEoaTK-EAwrB6PPjQ?e=hUXjPN&amp;nav=MTVfezYzNzY4MEExLTRDMzItNDcxMy05M0ZCLTBFNjAwNTlBMUI0MH0" TargetMode="External"/><Relationship Id="rId900" Type="http://schemas.openxmlformats.org/officeDocument/2006/relationships/hyperlink" Target="https://1drv.ms/x/s!AkP3hbXXLtgBhpEoaTK-EAwrB6PPjQ?e=q7Y9UY&amp;nav=MTVfezY2QjMzRUJDLTdGREQtNEI4MC05QkFBLTZFRTQyNUFCMDY2MH0" TargetMode="External"/><Relationship Id="rId1323" Type="http://schemas.openxmlformats.org/officeDocument/2006/relationships/hyperlink" Target="https://1drv.ms/x/s!AkP3hbXXLtgBhpEoaTK-EAwrB6PPjQ?e=mYpfR1&amp;nav=MTVfe0NGMTlDQTg1LUE2QUMtNDYyRC1CN0M1LUExRjVBNjI1MDcyOX0" TargetMode="External"/><Relationship Id="rId1530" Type="http://schemas.openxmlformats.org/officeDocument/2006/relationships/hyperlink" Target="https://1drv.ms/x/s!AkP3hbXXLtgBhpEoaTK-EAwrB6PPjQ?e=PsqPhH&amp;nav=MTVfe0ZDRjg3ODhGLTBFNDItNDJCOC04MDRCLTU4OTcwNUMwMjFGMn0" TargetMode="External"/><Relationship Id="rId1628" Type="http://schemas.openxmlformats.org/officeDocument/2006/relationships/hyperlink" Target="https://1drv.ms/x/s!AkP3hbXXLtgBhpEoaTK-EAwrB6PPjQ?e=VUlHtx&amp;nav=MTVfe0JEMzdCNzJBLTQ3QUItNEI0NC04MDRCLTNDRDY0MDVBODI2Qn0" TargetMode="External"/><Relationship Id="rId1975" Type="http://schemas.openxmlformats.org/officeDocument/2006/relationships/hyperlink" Target="https://1drv.ms/x/s!AkP3hbXXLtgBhpEoaTK-EAwrB6PPjQ?e=Hae5Hc&amp;nav=MTVfe0U1QUU2RDZBLTFGMkUtNENGNC04OENCLUE1MjI0OEMyNDMzNn0" TargetMode="External"/><Relationship Id="rId1835" Type="http://schemas.openxmlformats.org/officeDocument/2006/relationships/hyperlink" Target="https://1drv.ms/x/s!AkP3hbXXLtgBhpEoaTK-EAwrB6PPjQ?e=Qo1W02&amp;nav=MTVfe0Q5NDAyRTdCLTJCNEYtNEQ5OS05Q0Y4LTIyNDExQjYxNzRBRH0" TargetMode="External"/><Relationship Id="rId1902" Type="http://schemas.openxmlformats.org/officeDocument/2006/relationships/hyperlink" Target="https://1drv.ms/x/s!AkP3hbXXLtgBhpEoaTK-EAwrB6PPjQ?e=TStCPl&amp;nav=MTVfezI2MjVEMjA5LUMzRUYtNEM5RS1CM0Q3LUE4NUY4RTMyNDUyNH0" TargetMode="External"/><Relationship Id="rId2097" Type="http://schemas.openxmlformats.org/officeDocument/2006/relationships/hyperlink" Target="https://1drv.ms/x/s!AkP3hbXXLtgBhpEoaTK-EAwrB6PPjQ?e=7tvhFu&amp;nav=MTVfezYzQUQ2N0RCLTZFQkQtNDhGOC1BODVFLUQzNjgwN0I4QkNFMn0" TargetMode="External"/><Relationship Id="rId276" Type="http://schemas.openxmlformats.org/officeDocument/2006/relationships/hyperlink" Target="https://1drv.ms/x/s!AkP3hbXXLtgBhpEoaTK-EAwrB6PPjQ?e=36Im2J&amp;nav=MTVfezg1NTdGRUM1LTczODktNDk5My1BQjA0LTkyQjFDODE4MjgxRX0" TargetMode="External"/><Relationship Id="rId483" Type="http://schemas.openxmlformats.org/officeDocument/2006/relationships/hyperlink" Target="https://1drv.ms/x/s!AkP3hbXXLtgBhpEoaTK-EAwrB6PPjQ?e=zfxOib&amp;nav=MTVfezc5MUI1QUJBLTY0QUItNDM1OS05NkVBLTE3MUFBQTY2QzQ4Q30" TargetMode="External"/><Relationship Id="rId690" Type="http://schemas.openxmlformats.org/officeDocument/2006/relationships/hyperlink" Target="https://1drv.ms/x/s!AkP3hbXXLtgBhpEoaTK-EAwrB6PPjQ?e=JPeMLZ&amp;nav=MTVfezdEMkY3NDEyLUYwMzItNDM0RC05MDRFLTcyNTE0ODM0NjA4M30" TargetMode="External"/><Relationship Id="rId2164" Type="http://schemas.openxmlformats.org/officeDocument/2006/relationships/hyperlink" Target="https://1drv.ms/x/s!AkP3hbXXLtgBhpEoaTK-EAwrB6PPjQ?e=PJkcfB&amp;nav=MTVfezBFRjgyRDlFLThFOEUtNDA2RC05QUQzLTk5RDY0REIzMEU3Rn0" TargetMode="External"/><Relationship Id="rId2371" Type="http://schemas.openxmlformats.org/officeDocument/2006/relationships/hyperlink" Target="https://1drv.ms/x/s!AkP3hbXXLtgBhpEoaTK-EAwrB6PPjQ?e=X2f9pt&amp;nav=MTVfe0M4ODI3QTVFLTgzOUMtNDk2Qy1BMThFLUNCMDYwN0JBQjM5M30" TargetMode="External"/><Relationship Id="rId136" Type="http://schemas.openxmlformats.org/officeDocument/2006/relationships/hyperlink" Target="https://1drv.ms/x/s!AkP3hbXXLtgBhpEoaTK-EAwrB6PPjQ?e=hRuig5&amp;nav=MTVfe0NCREMzODZGLTI3RDktNEI4RS05QjQ0LUUzQTc5QTQyQzY2MX0" TargetMode="External"/><Relationship Id="rId343" Type="http://schemas.openxmlformats.org/officeDocument/2006/relationships/hyperlink" Target="https://1drv.ms/x/s!AkP3hbXXLtgBhpEoaTK-EAwrB6PPjQ?e=HO6wd4&amp;nav=MTVfe0NDRThCRDRELTFCMEEtNDNFRC1BMDRDLTc1QjY0NDgwNjJBMH0" TargetMode="External"/><Relationship Id="rId550" Type="http://schemas.openxmlformats.org/officeDocument/2006/relationships/hyperlink" Target="https://1drv.ms/x/s!AkP3hbXXLtgBhpEoaTK-EAwrB6PPjQ?e=xgZSuS&amp;nav=MTVfezA3RkYxMTMwLTAyQjYtNDA4RS1BMkU5LTI2MUQ0MjM2OEJGQn0" TargetMode="External"/><Relationship Id="rId788" Type="http://schemas.openxmlformats.org/officeDocument/2006/relationships/hyperlink" Target="https://1drv.ms/x/s!AkP3hbXXLtgBhpEoaTK-EAwrB6PPjQ?e=zuxs7K&amp;nav=MTVfezEzQ0U5ODFBLTQxOTEtNERBOS05RDcwLTU1NDcwQ0I2MzhFNX0" TargetMode="External"/><Relationship Id="rId995" Type="http://schemas.openxmlformats.org/officeDocument/2006/relationships/hyperlink" Target="https://1drv.ms/x/s!AkP3hbXXLtgBhpEoaTK-EAwrB6PPjQ?e=fk66xb&amp;nav=MTVfezU0MjNBNEE5LTNDNzctNDQwNC05RjA3LTAyNEI1N0FBQjFDNX0" TargetMode="External"/><Relationship Id="rId1180" Type="http://schemas.openxmlformats.org/officeDocument/2006/relationships/hyperlink" Target="https://1drv.ms/x/s!AkP3hbXXLtgBhpEoaTK-EAwrB6PPjQ?e=7D4jtp&amp;nav=MTVfe0Q5MDNFMUVCLUFFNkQtNDU5OC04QjYyLUFGODVDMTZENkVGMX0" TargetMode="External"/><Relationship Id="rId2024" Type="http://schemas.openxmlformats.org/officeDocument/2006/relationships/hyperlink" Target="https://1drv.ms/x/s!AkP3hbXXLtgBhpEoaTK-EAwrB6PPjQ?e=e8c5BE&amp;nav=MTVfe0YzRjMwRTg2LTYyMTgtNEY5QS05Qzg0LTUxNkJFM0Q4MDAwN30" TargetMode="External"/><Relationship Id="rId2231" Type="http://schemas.openxmlformats.org/officeDocument/2006/relationships/hyperlink" Target="https://1drv.ms/x/s!AkP3hbXXLtgBhpEoaTK-EAwrB6PPjQ?e=vI4FNr&amp;nav=MTVfezhGQzkyMTU5LUYxNTUtNDg4MS04N0QzLTE5OTgzQjI3QTc1NH0" TargetMode="External"/><Relationship Id="rId2469" Type="http://schemas.openxmlformats.org/officeDocument/2006/relationships/hyperlink" Target="https://1drv.ms/x/s!AkP3hbXXLtgBhpEoaTK-EAwrB6PPjQ?e=LQfhsg&amp;nav=MTVfe0FGQTQ2QTUxLTkwOEEtNEZCNi04OUQ1LTMwOUU4QkMzMTRFQ30" TargetMode="External"/><Relationship Id="rId2676" Type="http://schemas.openxmlformats.org/officeDocument/2006/relationships/hyperlink" Target="https://1drv.ms/x/s!AkP3hbXXLtgBhpEoaTK-EAwrB6PPjQ?e=hUXjPN&amp;nav=MTVfezYzNzY4MEExLTRDMzItNDcxMy05M0ZCLTBFNjAwNTlBMUI0MH0" TargetMode="External"/><Relationship Id="rId203" Type="http://schemas.openxmlformats.org/officeDocument/2006/relationships/hyperlink" Target="https://1drv.ms/x/s!AkP3hbXXLtgBhpEoaTK-EAwrB6PPjQ?e=hKKsXn&amp;nav=MTVfe0M0MzQ5RkZFLUFFMEMtNDZBOC05NDNELUU2ODg5N0JGMDU4Rn0" TargetMode="External"/><Relationship Id="rId648" Type="http://schemas.openxmlformats.org/officeDocument/2006/relationships/hyperlink" Target="https://1drv.ms/x/s!AkP3hbXXLtgBhpEoaTK-EAwrB6PPjQ?e=ZRDRyK&amp;nav=MTVfe0IyQkRBQzE0LUM2QkQtNDY3Ny04MjcyLUQxNjYyMkIyRTZGRH0" TargetMode="External"/><Relationship Id="rId855" Type="http://schemas.openxmlformats.org/officeDocument/2006/relationships/hyperlink" Target="https://1drv.ms/x/s!AkP3hbXXLtgBhpEoaTK-EAwrB6PPjQ?e=VcWWuU&amp;nav=MTVfe0ExMEEwQ0RDLUFCNUQtNEMxQS1BM0ZGLTEzRDE2MkJEN0U2Q30" TargetMode="External"/><Relationship Id="rId1040" Type="http://schemas.openxmlformats.org/officeDocument/2006/relationships/hyperlink" Target="https://1drv.ms/x/s!AkP3hbXXLtgBhpEoaTK-EAwrB6PPjQ?e=NFspu9&amp;nav=MTVfezE1M0M1OEJDLTA3MzUtNERFMC1BNzE4LTMzMUY1QjZBOEZDMH0" TargetMode="External"/><Relationship Id="rId1278" Type="http://schemas.openxmlformats.org/officeDocument/2006/relationships/hyperlink" Target="https://1drv.ms/x/s!AkP3hbXXLtgBhpEoaTK-EAwrB6PPjQ?e=bD2jTr&amp;nav=MTVfezRGRUQzQzY0LTk3M0ItNDNDNy1BRUY3LTYwMDNGN0E5OThFQX0" TargetMode="External"/><Relationship Id="rId1485" Type="http://schemas.openxmlformats.org/officeDocument/2006/relationships/hyperlink" Target="https://1drv.ms/x/s!AkP3hbXXLtgBhpEoaTK-EAwrB6PPjQ?e=Dygyft&amp;nav=MTVfe0VDMUJBNEJBLUNCOTAtNDI3Ri1CMTVFLUZDQjc2NURCQ0I1Q30" TargetMode="External"/><Relationship Id="rId1692" Type="http://schemas.openxmlformats.org/officeDocument/2006/relationships/hyperlink" Target="https://1drv.ms/x/s!AkP3hbXXLtgBhpEoaTK-EAwrB6PPjQ?e=DHRjp5&amp;nav=MTVfezdEN0E2ODJDLUYxMzctNDI0MS1BRjZDLThEMzExM0M0OTZBNn0" TargetMode="External"/><Relationship Id="rId2329" Type="http://schemas.openxmlformats.org/officeDocument/2006/relationships/hyperlink" Target="https://1drv.ms/x/s!AkP3hbXXLtgBhpEoaTK-EAwrB6PPjQ?e=LiWfcw&amp;nav=MTVfezFBQTVDNUQ5LTIxM0QtNDcxMi05RkYwLUI2NUUyNTFDRkFBMH0" TargetMode="External"/><Relationship Id="rId2536" Type="http://schemas.openxmlformats.org/officeDocument/2006/relationships/hyperlink" Target="https://1drv.ms/x/s!AkP3hbXXLtgBhpEoaTK-EAwrB6PPjQ?e=mXia38&amp;nav=MTVfe0I0NjUwQ0I4LURGNzEtNDA5NC04M0QxLUExRTNDN0Q3OTc1MX0" TargetMode="External"/><Relationship Id="rId2743" Type="http://schemas.openxmlformats.org/officeDocument/2006/relationships/hyperlink" Target="https://1drv.ms/x/s!AkP3hbXXLtgBhpEoaTK-EAwrB6PPjQ?e=Arnrcb&amp;nav=MTVfezRBRTVDQTNDLUEzNkQtNDc4RS04NzYyLUJGRjkyRDk4RjhGMX0" TargetMode="External"/><Relationship Id="rId410" Type="http://schemas.openxmlformats.org/officeDocument/2006/relationships/hyperlink" Target="https://1drv.ms/x/s!AkP3hbXXLtgBhpEoaTK-EAwrB6PPjQ?e=mvWMFP&amp;nav=MTVfe0Q0MjM2QjFDLUVBQTAtNDE3Ri1BOEVGLTQzNzNBN0FGODY4M30" TargetMode="External"/><Relationship Id="rId508" Type="http://schemas.openxmlformats.org/officeDocument/2006/relationships/hyperlink" Target="https://1drv.ms/x/s!AkP3hbXXLtgBhpEoaTK-EAwrB6PPjQ?e=zfxOib&amp;nav=MTVfezc5MUI1QUJBLTY0QUItNDM1OS05NkVBLTE3MUFBQTY2QzQ4Q30" TargetMode="External"/><Relationship Id="rId715" Type="http://schemas.openxmlformats.org/officeDocument/2006/relationships/hyperlink" Target="https://1drv.ms/x/s!AkP3hbXXLtgBhpEoaTK-EAwrB6PPjQ?e=JPeMLZ&amp;nav=MTVfezdEMkY3NDEyLUYwMzItNDM0RC05MDRFLTcyNTE0ODM0NjA4M30" TargetMode="External"/><Relationship Id="rId922" Type="http://schemas.openxmlformats.org/officeDocument/2006/relationships/hyperlink" Target="https://1drv.ms/x/s!AkP3hbXXLtgBhpEoaTK-EAwrB6PPjQ?e=GuJxJM&amp;nav=MTVfe0NBQzcxNDNGLTAzODYtNEFDRi1BNTI1LTRDQTYxMDEzNkYwM30" TargetMode="External"/><Relationship Id="rId1138" Type="http://schemas.openxmlformats.org/officeDocument/2006/relationships/hyperlink" Target="https://1drv.ms/x/s!AkP3hbXXLtgBhpEoaTK-EAwrB6PPjQ?e=xGItXl&amp;nav=MTVfezc3NDc5QTVFLTEyMTItNEVGOS04NzRCLUUzREZBMkQ0NjU4OH0" TargetMode="External"/><Relationship Id="rId1345" Type="http://schemas.openxmlformats.org/officeDocument/2006/relationships/hyperlink" Target="https://1drv.ms/x/s!AkP3hbXXLtgBhpEoaTK-EAwrB6PPjQ?e=SkY523&amp;nav=MTVfezk3NEQ3MjVGLTlERDMtNDdDOS05QzJDLUU5RjJCNjk2N0I4MX0" TargetMode="External"/><Relationship Id="rId1552" Type="http://schemas.openxmlformats.org/officeDocument/2006/relationships/hyperlink" Target="https://1drv.ms/x/s!AkP3hbXXLtgBhpEoaTK-EAwrB6PPjQ?e=PsqPhH&amp;nav=MTVfe0ZDRjg3ODhGLTBFNDItNDJCOC04MDRCLTU4OTcwNUMwMjFGMn0" TargetMode="External"/><Relationship Id="rId1997" Type="http://schemas.openxmlformats.org/officeDocument/2006/relationships/hyperlink" Target="https://1drv.ms/x/s!AkP3hbXXLtgBhpEoaTK-EAwrB6PPjQ?e=e8c5BE&amp;nav=MTVfe0YzRjMwRTg2LTYyMTgtNEY5QS05Qzg0LTUxNkJFM0Q4MDAwN30" TargetMode="External"/><Relationship Id="rId2603" Type="http://schemas.openxmlformats.org/officeDocument/2006/relationships/hyperlink" Target="https://1drv.ms/x/s!AkP3hbXXLtgBhpEoaTK-EAwrB6PPjQ?e=k1JzSb&amp;nav=MTVfezlCRDVCMEI4LTNBMEItNDE5NC04RTEyLUQxQzc3N0U3MUFFQn0" TargetMode="External"/><Relationship Id="rId1205" Type="http://schemas.openxmlformats.org/officeDocument/2006/relationships/hyperlink" Target="https://1drv.ms/x/s!AkP3hbXXLtgBhpEoaTK-EAwrB6PPjQ?e=U6lTuf&amp;nav=MTVfezFEODYyODdBLUIyOTctNDdGMC04MTkyLUUzRDE3NjM5RkNFQ30" TargetMode="External"/><Relationship Id="rId1857" Type="http://schemas.openxmlformats.org/officeDocument/2006/relationships/hyperlink" Target="https://1drv.ms/x/s!AkP3hbXXLtgBhpEoaTK-EAwrB6PPjQ?e=pv1n5G&amp;nav=MTVfe0I5QjVDOEU1LTM5MTMtNDRCNy1COEY4LUUwMUNENUM2NTY1NX0" TargetMode="External"/><Relationship Id="rId51" Type="http://schemas.openxmlformats.org/officeDocument/2006/relationships/hyperlink" Target="https://1drv.ms/x/s!AkP3hbXXLtgBhpEoaTK-EAwrB6PPjQ?e=AMVmTu&amp;nav=MTVfezNFMEFDQTg3LTgzOUUtNDFGNC04MkYwLUIxRjIyNTFBRDYzNX0" TargetMode="External"/><Relationship Id="rId1412" Type="http://schemas.openxmlformats.org/officeDocument/2006/relationships/hyperlink" Target="https://1drv.ms/x/s!AkP3hbXXLtgBhpEoaTK-EAwrB6PPjQ?e=6Dzvxb&amp;nav=MTVfezE4RDVGRUE3LUYyN0MtNDRFNC1BMENCLTk1RTNFRjk3QkJDRX0" TargetMode="External"/><Relationship Id="rId1717" Type="http://schemas.openxmlformats.org/officeDocument/2006/relationships/hyperlink" Target="https://1drv.ms/x/s!AkP3hbXXLtgBhpEoaTK-EAwrB6PPjQ?e=DHRjp5&amp;nav=MTVfezdEN0E2ODJDLUYxMzctNDI0MS1BRjZDLThEMzExM0M0OTZBNn0" TargetMode="External"/><Relationship Id="rId1924" Type="http://schemas.openxmlformats.org/officeDocument/2006/relationships/hyperlink" Target="https://1drv.ms/x/s!AkP3hbXXLtgBhpEoaTK-EAwrB6PPjQ?e=U8iWbp&amp;nav=MTVfezVDRDNFMEMzLTY0NDctNDUyNC05RjQyLUQ5MzdFOTgzQzgzNH0" TargetMode="External"/><Relationship Id="rId298" Type="http://schemas.openxmlformats.org/officeDocument/2006/relationships/hyperlink" Target="https://1drv.ms/x/s!AkP3hbXXLtgBhpEoaTK-EAwrB6PPjQ?e=HO6wd4&amp;nav=MTVfe0NDRThCRDRELTFCMEEtNDNFRC1BMDRDLTc1QjY0NDgwNjJBMH0" TargetMode="External"/><Relationship Id="rId158" Type="http://schemas.openxmlformats.org/officeDocument/2006/relationships/hyperlink" Target="https://1drv.ms/x/s!AkP3hbXXLtgBhpEoaTK-EAwrB6PPjQ?e=hRuig5&amp;nav=MTVfe0NCREMzODZGLTI3RDktNEI4RS05QjQ0LUUzQTc5QTQyQzY2MX0" TargetMode="External"/><Relationship Id="rId2186" Type="http://schemas.openxmlformats.org/officeDocument/2006/relationships/hyperlink" Target="https://1drv.ms/x/s!AkP3hbXXLtgBhpEoaTK-EAwrB6PPjQ?e=PJkcfB&amp;nav=MTVfezBFRjgyRDlFLThFOEUtNDA2RC05QUQzLTk5RDY0REIzMEU3Rn0" TargetMode="External"/><Relationship Id="rId2393" Type="http://schemas.openxmlformats.org/officeDocument/2006/relationships/hyperlink" Target="https://1drv.ms/x/s!AkP3hbXXLtgBhpEoaTK-EAwrB6PPjQ?e=X2f9pt&amp;nav=MTVfe0M4ODI3QTVFLTgzOUMtNDk2Qy1BMThFLUNCMDYwN0JBQjM5M30" TargetMode="External"/><Relationship Id="rId2698" Type="http://schemas.openxmlformats.org/officeDocument/2006/relationships/hyperlink" Target="https://1drv.ms/x/s!AkP3hbXXLtgBhpEoaTK-EAwrB6PPjQ?e=hUXjPN&amp;nav=MTVfezYzNzY4MEExLTRDMzItNDcxMy05M0ZCLTBFNjAwNTlBMUI0MH0" TargetMode="External"/><Relationship Id="rId365" Type="http://schemas.openxmlformats.org/officeDocument/2006/relationships/hyperlink" Target="https://1drv.ms/x/s!AkP3hbXXLtgBhpEoaTK-EAwrB6PPjQ?e=mvWMFP&amp;nav=MTVfe0Q0MjM2QjFDLUVBQTAtNDE3Ri1BOEVGLTQzNzNBN0FGODY4M30" TargetMode="External"/><Relationship Id="rId572" Type="http://schemas.openxmlformats.org/officeDocument/2006/relationships/hyperlink" Target="https://1drv.ms/x/s!AkP3hbXXLtgBhpEoaTK-EAwrB6PPjQ?e=xgZSuS&amp;nav=MTVfezA3RkYxMTMwLTAyQjYtNDA4RS1BMkU5LTI2MUQ0MjM2OEJGQn0" TargetMode="External"/><Relationship Id="rId2046" Type="http://schemas.openxmlformats.org/officeDocument/2006/relationships/hyperlink" Target="https://1drv.ms/x/s!AkP3hbXXLtgBhpEoaTK-EAwrB6PPjQ?e=t9ByVx&amp;nav=MTVfe0MzOTE2QzlDLTMzMEMtNEQ4NS05NjZBLTBFNzk3QjgxMEIwQn0" TargetMode="External"/><Relationship Id="rId2253" Type="http://schemas.openxmlformats.org/officeDocument/2006/relationships/hyperlink" Target="https://1drv.ms/x/s!AkP3hbXXLtgBhpEoaTK-EAwrB6PPjQ?e=vI4FNr&amp;nav=MTVfezhGQzkyMTU5LUYxNTUtNDg4MS04N0QzLTE5OTgzQjI3QTc1NH0" TargetMode="External"/><Relationship Id="rId2460" Type="http://schemas.openxmlformats.org/officeDocument/2006/relationships/hyperlink" Target="https://1drv.ms/x/s!AkP3hbXXLtgBhpEoaTK-EAwrB6PPjQ?e=LQfhsg&amp;nav=MTVfe0FGQTQ2QTUxLTkwOEEtNEZCNi04OUQ1LTMwOUU4QkMzMTRFQ30" TargetMode="External"/><Relationship Id="rId225" Type="http://schemas.openxmlformats.org/officeDocument/2006/relationships/hyperlink" Target="https://1drv.ms/x/s!AkP3hbXXLtgBhpEoaTK-EAwrB6PPjQ?e=hKKsXn&amp;nav=MTVfe0M0MzQ5RkZFLUFFMEMtNDZBOC05NDNELUU2ODg5N0JGMDU4Rn0" TargetMode="External"/><Relationship Id="rId432" Type="http://schemas.openxmlformats.org/officeDocument/2006/relationships/hyperlink" Target="https://1drv.ms/x/s!AkP3hbXXLtgBhpEoaTK-EAwrB6PPjQ?e=sXo522&amp;nav=MTVfe0VCNzhCQUU0LUVEQzItNDRCMC04QTFFLUZEQzA0OTNEMDkzOX0" TargetMode="External"/><Relationship Id="rId877" Type="http://schemas.openxmlformats.org/officeDocument/2006/relationships/hyperlink" Target="https://1drv.ms/x/s!AkP3hbXXLtgBhpEoaTK-EAwrB6PPjQ?e=VcWWuU&amp;nav=MTVfe0ExMEEwQ0RDLUFCNUQtNEMxQS1BM0ZGLTEzRDE2MkJEN0U2Q30" TargetMode="External"/><Relationship Id="rId1062" Type="http://schemas.openxmlformats.org/officeDocument/2006/relationships/hyperlink" Target="https://1drv.ms/x/s!AkP3hbXXLtgBhpEoaTK-EAwrB6PPjQ?e=rYbeUy&amp;nav=MTVfe0Q1MEM2OTMzLTFBNUUtNDhCMS1CQzhCLTlGQTI2NEEzRURDRH0" TargetMode="External"/><Relationship Id="rId2113" Type="http://schemas.openxmlformats.org/officeDocument/2006/relationships/hyperlink" Target="https://1drv.ms/x/s!AkP3hbXXLtgBhpEoaTK-EAwrB6PPjQ?e=7tvhFu&amp;nav=MTVfezYzQUQ2N0RCLTZFQkQtNDhGOC1BODVFLUQzNjgwN0I4QkNFMn0" TargetMode="External"/><Relationship Id="rId2320" Type="http://schemas.openxmlformats.org/officeDocument/2006/relationships/hyperlink" Target="https://1drv.ms/x/s!AkP3hbXXLtgBhpEoaTK-EAwrB6PPjQ?e=LiWfcw&amp;nav=MTVfezFBQTVDNUQ5LTIxM0QtNDcxMi05RkYwLUI2NUUyNTFDRkFBMH0" TargetMode="External"/><Relationship Id="rId2558" Type="http://schemas.openxmlformats.org/officeDocument/2006/relationships/hyperlink" Target="https://1drv.ms/x/s!AkP3hbXXLtgBhpEoaTK-EAwrB6PPjQ?e=mXia38&amp;nav=MTVfe0I0NjUwQ0I4LURGNzEtNDA5NC04M0QxLUExRTNDN0Q3OTc1MX0" TargetMode="External"/><Relationship Id="rId737" Type="http://schemas.openxmlformats.org/officeDocument/2006/relationships/hyperlink" Target="https://1drv.ms/x/s!AkP3hbXXLtgBhpEoaTK-EAwrB6PPjQ?e=0lRBEc&amp;nav=MTVfezRDRDQwMjU1LUJFM0ItNENDQS05NDQ1LUY1OTdERDA5ODg4NH0" TargetMode="External"/><Relationship Id="rId944" Type="http://schemas.openxmlformats.org/officeDocument/2006/relationships/hyperlink" Target="https://1drv.ms/x/s!AkP3hbXXLtgBhpEoaTK-EAwrB6PPjQ?e=GuJxJM&amp;nav=MTVfe0NBQzcxNDNGLTAzODYtNEFDRi1BNTI1LTRDQTYxMDEzNkYwM30" TargetMode="External"/><Relationship Id="rId1367" Type="http://schemas.openxmlformats.org/officeDocument/2006/relationships/hyperlink" Target="https://1drv.ms/x/s!AkP3hbXXLtgBhpEoaTK-EAwrB6PPjQ?e=0mRVd8&amp;nav=MTVfezhCNkZEQTNBLUNGMjctNEI5QS04QzdDLTFGQzk0MjVBNUY1QX0" TargetMode="External"/><Relationship Id="rId1574" Type="http://schemas.openxmlformats.org/officeDocument/2006/relationships/hyperlink" Target="https://1drv.ms/x/s!AkP3hbXXLtgBhpEoaTK-EAwrB6PPjQ?e=hF7xUm&amp;nav=MTVfezBDOEZCN0U5LURBOEQtNEY2Qi1CNUE1LUYzQTk0NDFBRkE2NX0" TargetMode="External"/><Relationship Id="rId1781" Type="http://schemas.openxmlformats.org/officeDocument/2006/relationships/hyperlink" Target="https://1drv.ms/x/s!AkP3hbXXLtgBhpEoaTK-EAwrB6PPjQ?e=sBpJD5&amp;nav=MTVfezM5QzdFMEZDLTg3QTEtNDRCMS04QTgyLUQ3MDU0NDI2MTBFRn0" TargetMode="External"/><Relationship Id="rId2418" Type="http://schemas.openxmlformats.org/officeDocument/2006/relationships/hyperlink" Target="https://1drv.ms/x/s!AkP3hbXXLtgBhpEoaTK-EAwrB6PPjQ?e=X2f9pt&amp;nav=MTVfe0M4ODI3QTVFLTgzOUMtNDk2Qy1BMThFLUNCMDYwN0JBQjM5M30" TargetMode="External"/><Relationship Id="rId2625" Type="http://schemas.openxmlformats.org/officeDocument/2006/relationships/hyperlink" Target="https://1drv.ms/x/s!AkP3hbXXLtgBhpEoaTK-EAwrB6PPjQ?e=k1JzSb&amp;nav=MTVfezlCRDVCMEI4LTNBMEItNDE5NC04RTEyLUQxQzc3N0U3MUFFQn0" TargetMode="External"/><Relationship Id="rId73" Type="http://schemas.openxmlformats.org/officeDocument/2006/relationships/hyperlink" Target="https://1drv.ms/x/s!AkP3hbXXLtgBhpEoaTK-EAwrB6PPjQ?e=AMVmTu&amp;nav=MTVfezNFMEFDQTg3LTgzOUUtNDFGNC04MkYwLUIxRjIyNTFBRDYzNX0" TargetMode="External"/><Relationship Id="rId804" Type="http://schemas.openxmlformats.org/officeDocument/2006/relationships/hyperlink" Target="https://1drv.ms/x/s!AkP3hbXXLtgBhpEoaTK-EAwrB6PPjQ?e=zuxs7K&amp;nav=MTVfezEzQ0U5ODFBLTQxOTEtNERBOS05RDcwLTU1NDcwQ0I2MzhFNX0" TargetMode="External"/><Relationship Id="rId1227" Type="http://schemas.openxmlformats.org/officeDocument/2006/relationships/hyperlink" Target="https://1drv.ms/x/s!AkP3hbXXLtgBhpEoaTK-EAwrB6PPjQ?e=U6lTuf&amp;nav=MTVfezFEODYyODdBLUIyOTctNDdGMC04MTkyLUUzRDE3NjM5RkNFQ30" TargetMode="External"/><Relationship Id="rId1434" Type="http://schemas.openxmlformats.org/officeDocument/2006/relationships/hyperlink" Target="https://1drv.ms/x/s!AkP3hbXXLtgBhpEoaTK-EAwrB6PPjQ?e=xXe3yl&amp;nav=MTVfezM1QjlFQjFCLUIxM0MtNDQ0Ni05MzQyLUU2QjczMkYzQzJFOH0" TargetMode="External"/><Relationship Id="rId1641" Type="http://schemas.openxmlformats.org/officeDocument/2006/relationships/hyperlink" Target="https://1drv.ms/x/s!AkP3hbXXLtgBhpEoaTK-EAwrB6PPjQ?e=VUlHtx&amp;nav=MTVfe0JEMzdCNzJBLTQ3QUItNEI0NC04MDRCLTNDRDY0MDVBODI2Qn0" TargetMode="External"/><Relationship Id="rId1879" Type="http://schemas.openxmlformats.org/officeDocument/2006/relationships/hyperlink" Target="https://1drv.ms/x/s!AkP3hbXXLtgBhpEoaTK-EAwrB6PPjQ?e=3z9g8a&amp;nav=MTVfezBGMENERTNBLTZCQTUtNDYwRi05MDM3LUNDNDk5MDBCNUU5MX0" TargetMode="External"/><Relationship Id="rId1501" Type="http://schemas.openxmlformats.org/officeDocument/2006/relationships/hyperlink" Target="https://1drv.ms/x/s!AkP3hbXXLtgBhpEoaTK-EAwrB6PPjQ?e=xGItXl&amp;nav=MTVfezc3NDc5QTVFLTEyMTItNEVGOS04NzRCLUUzREZBMkQ0NjU4OH0" TargetMode="External"/><Relationship Id="rId1739" Type="http://schemas.openxmlformats.org/officeDocument/2006/relationships/hyperlink" Target="https://1drv.ms/x/s!AkP3hbXXLtgBhpEoaTK-EAwrB6PPjQ?e=OaIvOH&amp;nav=MTVfezFDODBFQUMzLTY0M0UtNDM2MC04REU0LTRBOUYzQ0MxQkY2Nn0" TargetMode="External"/><Relationship Id="rId1946" Type="http://schemas.openxmlformats.org/officeDocument/2006/relationships/hyperlink" Target="https://1drv.ms/x/s!AkP3hbXXLtgBhpEoaTK-EAwrB6PPjQ?e=Hae5Hc&amp;nav=MTVfe0U1QUU2RDZBLTFGMkUtNENGNC04OENCLUE1MjI0OEMyNDMzNn0" TargetMode="External"/><Relationship Id="rId1806" Type="http://schemas.openxmlformats.org/officeDocument/2006/relationships/hyperlink" Target="https://1drv.ms/x/s!AkP3hbXXLtgBhpEoaTK-EAwrB6PPjQ?e=sBpJD5&amp;nav=MTVfezM5QzdFMEZDLTg3QTEtNDRCMS04QTgyLUQ3MDU0NDI2MTBFRn0" TargetMode="External"/><Relationship Id="rId387" Type="http://schemas.openxmlformats.org/officeDocument/2006/relationships/hyperlink" Target="https://1drv.ms/x/s!AkP3hbXXLtgBhpEoaTK-EAwrB6PPjQ?e=mvWMFP&amp;nav=MTVfe0Q0MjM2QjFDLUVBQTAtNDE3Ri1BOEVGLTQzNzNBN0FGODY4M30" TargetMode="External"/><Relationship Id="rId594" Type="http://schemas.openxmlformats.org/officeDocument/2006/relationships/hyperlink" Target="https://1drv.ms/x/s!AkP3hbXXLtgBhpEoaTK-EAwrB6PPjQ?e=xgZSuS&amp;nav=MTVfezA3RkYxMTMwLTAyQjYtNDA4RS1BMkU5LTI2MUQ0MjM2OEJGQn0" TargetMode="External"/><Relationship Id="rId2068" Type="http://schemas.openxmlformats.org/officeDocument/2006/relationships/hyperlink" Target="https://1drv.ms/x/s!AkP3hbXXLtgBhpEoaTK-EAwrB6PPjQ?e=t9ByVx&amp;nav=MTVfe0MzOTE2QzlDLTMzMEMtNEQ4NS05NjZBLTBFNzk3QjgxMEIwQn0" TargetMode="External"/><Relationship Id="rId2275" Type="http://schemas.openxmlformats.org/officeDocument/2006/relationships/hyperlink" Target="https://1drv.ms/x/s!AkP3hbXXLtgBhpEoaTK-EAwrB6PPjQ?e=vI4FNr&amp;nav=MTVfezhGQzkyMTU5LUYxNTUtNDg4MS04N0QzLTE5OTgzQjI3QTc1NH0" TargetMode="External"/><Relationship Id="rId247" Type="http://schemas.openxmlformats.org/officeDocument/2006/relationships/hyperlink" Target="https://1drv.ms/x/s!AkP3hbXXLtgBhpEoaTK-EAwrB6PPjQ?e=36Im2J&amp;nav=MTVfezg1NTdGRUM1LTczODktNDk5My1BQjA0LTkyQjFDODE4MjgxRX0" TargetMode="External"/><Relationship Id="rId899" Type="http://schemas.openxmlformats.org/officeDocument/2006/relationships/hyperlink" Target="https://1drv.ms/x/s!AkP3hbXXLtgBhpEoaTK-EAwrB6PPjQ?e=q7Y9UY&amp;nav=MTVfezY2QjMzRUJDLTdGREQtNEI4MC05QkFBLTZFRTQyNUFCMDY2MH0" TargetMode="External"/><Relationship Id="rId1084" Type="http://schemas.openxmlformats.org/officeDocument/2006/relationships/hyperlink" Target="https://1drv.ms/x/s!AkP3hbXXLtgBhpEoaTK-EAwrB6PPjQ?e=rYbeUy&amp;nav=MTVfe0Q1MEM2OTMzLTFBNUUtNDhCMS1CQzhCLTlGQTI2NEEzRURDRH0" TargetMode="External"/><Relationship Id="rId2482" Type="http://schemas.openxmlformats.org/officeDocument/2006/relationships/hyperlink" Target="https://1drv.ms/x/s!AkP3hbXXLtgBhpEoaTK-EAwrB6PPjQ?e=LQfhsg&amp;nav=MTVfe0FGQTQ2QTUxLTkwOEEtNEZCNi04OUQ1LTMwOUU4QkMzMTRFQ30" TargetMode="External"/><Relationship Id="rId107" Type="http://schemas.openxmlformats.org/officeDocument/2006/relationships/hyperlink" Target="https://1drv.ms/x/s!AkP3hbXXLtgBhpEoaTK-EAwrB6PPjQ?e=hRuig5&amp;nav=MTVfe0NCREMzODZGLTI3RDktNEI4RS05QjQ0LUUzQTc5QTQyQzY2MX0" TargetMode="External"/><Relationship Id="rId454" Type="http://schemas.openxmlformats.org/officeDocument/2006/relationships/hyperlink" Target="https://1drv.ms/x/s!AkP3hbXXLtgBhpEoaTK-EAwrB6PPjQ?e=sXo522&amp;nav=MTVfe0VCNzhCQUU0LUVEQzItNDRCMC04QTFFLUZEQzA0OTNEMDkzOX0" TargetMode="External"/><Relationship Id="rId661" Type="http://schemas.openxmlformats.org/officeDocument/2006/relationships/hyperlink" Target="https://1drv.ms/x/s!AkP3hbXXLtgBhpEoaTK-EAwrB6PPjQ?e=ZRDRyK&amp;nav=MTVfe0IyQkRBQzE0LUM2QkQtNDY3Ny04MjcyLUQxNjYyMkIyRTZGRH0" TargetMode="External"/><Relationship Id="rId759" Type="http://schemas.openxmlformats.org/officeDocument/2006/relationships/hyperlink" Target="https://1drv.ms/x/s!AkP3hbXXLtgBhpEoaTK-EAwrB6PPjQ?e=0lRBEc&amp;nav=MTVfezRDRDQwMjU1LUJFM0ItNENDQS05NDQ1LUY1OTdERDA5ODg4NH0" TargetMode="External"/><Relationship Id="rId966" Type="http://schemas.openxmlformats.org/officeDocument/2006/relationships/hyperlink" Target="https://1drv.ms/x/s!AkP3hbXXLtgBhpEoaTK-EAwrB6PPjQ?e=fk66xb&amp;nav=MTVfezU0MjNBNEE5LTNDNzctNDQwNC05RjA3LTAyNEI1N0FBQjFDNX0" TargetMode="External"/><Relationship Id="rId1291" Type="http://schemas.openxmlformats.org/officeDocument/2006/relationships/hyperlink" Target="https://1drv.ms/x/s!AkP3hbXXLtgBhpEoaTK-EAwrB6PPjQ?e=bD2jTr&amp;nav=MTVfezRGRUQzQzY0LTk3M0ItNDNDNy1BRUY3LTYwMDNGN0E5OThFQX0" TargetMode="External"/><Relationship Id="rId1389" Type="http://schemas.openxmlformats.org/officeDocument/2006/relationships/hyperlink" Target="https://1drv.ms/x/s!AkP3hbXXLtgBhpEoaTK-EAwrB6PPjQ?e=6Dzvxb&amp;nav=MTVfezE4RDVGRUE3LUYyN0MtNDRFNC1BMENCLTk1RTNFRjk3QkJDRX0" TargetMode="External"/><Relationship Id="rId1596" Type="http://schemas.openxmlformats.org/officeDocument/2006/relationships/hyperlink" Target="https://1drv.ms/x/s!AkP3hbXXLtgBhpEoaTK-EAwrB6PPjQ?e=hF7xUm&amp;nav=MTVfezBDOEZCN0U5LURBOEQtNEY2Qi1CNUE1LUYzQTk0NDFBRkE2NX0" TargetMode="External"/><Relationship Id="rId2135" Type="http://schemas.openxmlformats.org/officeDocument/2006/relationships/hyperlink" Target="https://1drv.ms/x/s!AkP3hbXXLtgBhpEoaTK-EAwrB6PPjQ?e=nj2bQ1&amp;nav=MTVfezAwMDAwMDAwLTAwMDEtMDAwMC0wMDAwLTAwMDAwMDAwMDAwMH0" TargetMode="External"/><Relationship Id="rId2342" Type="http://schemas.openxmlformats.org/officeDocument/2006/relationships/hyperlink" Target="https://1drv.ms/x/s!AkP3hbXXLtgBhpEoaTK-EAwrB6PPjQ?e=LiWfcw&amp;nav=MTVfezFBQTVDNUQ5LTIxM0QtNDcxMi05RkYwLUI2NUUyNTFDRkFBMH0" TargetMode="External"/><Relationship Id="rId2647" Type="http://schemas.openxmlformats.org/officeDocument/2006/relationships/hyperlink" Target="https://1drv.ms/x/s!AkP3hbXXLtgBhpEoaTK-EAwrB6PPjQ?e=k1JzSb&amp;nav=MTVfezlCRDVCMEI4LTNBMEItNDE5NC04RTEyLUQxQzc3N0U3MUFFQn0" TargetMode="External"/><Relationship Id="rId314" Type="http://schemas.openxmlformats.org/officeDocument/2006/relationships/hyperlink" Target="https://1drv.ms/x/s!AkP3hbXXLtgBhpEoaTK-EAwrB6PPjQ?e=HO6wd4&amp;nav=MTVfe0NDRThCRDRELTFCMEEtNDNFRC1BMDRDLTc1QjY0NDgwNjJBMH0" TargetMode="External"/><Relationship Id="rId521" Type="http://schemas.openxmlformats.org/officeDocument/2006/relationships/hyperlink" Target="https://1drv.ms/x/s!AkP3hbXXLtgBhpEoaTK-EAwrB6PPjQ?e=zfxOib&amp;nav=MTVfezc5MUI1QUJBLTY0QUItNDM1OS05NkVBLTE3MUFBQTY2QzQ4Q30" TargetMode="External"/><Relationship Id="rId619" Type="http://schemas.openxmlformats.org/officeDocument/2006/relationships/hyperlink" Target="https://1drv.ms/x/s!AkP3hbXXLtgBhpEoaTK-EAwrB6PPjQ?e=ZRDRyK&amp;nav=MTVfe0IyQkRBQzE0LUM2QkQtNDY3Ny04MjcyLUQxNjYyMkIyRTZGRH0" TargetMode="External"/><Relationship Id="rId1151" Type="http://schemas.openxmlformats.org/officeDocument/2006/relationships/hyperlink" Target="https://1drv.ms/x/s!AkP3hbXXLtgBhpEoaTK-EAwrB6PPjQ?e=xGItXl&amp;nav=MTVfezc3NDc5QTVFLTEyMTItNEVGOS04NzRCLUUzREZBMkQ0NjU4OH0" TargetMode="External"/><Relationship Id="rId1249" Type="http://schemas.openxmlformats.org/officeDocument/2006/relationships/hyperlink" Target="https://1drv.ms/x/s!AkP3hbXXLtgBhpEoaTK-EAwrB6PPjQ?e=UaBeCf&amp;nav=MTVfezM0NkJDRTA1LThBNUQtNDFFMC1BNjQ2LTk5NTVEMTg4RUEzNn0" TargetMode="External"/><Relationship Id="rId2202" Type="http://schemas.openxmlformats.org/officeDocument/2006/relationships/hyperlink" Target="https://1drv.ms/x/s!AkP3hbXXLtgBhpEoaTK-EAwrB6PPjQ?e=PJkcfB&amp;nav=MTVfezBFRjgyRDlFLThFOEUtNDA2RC05QUQzLTk5RDY0REIzMEU3Rn0" TargetMode="External"/><Relationship Id="rId95" Type="http://schemas.openxmlformats.org/officeDocument/2006/relationships/hyperlink" Target="https://1drv.ms/x/s!AkP3hbXXLtgBhpEoaTK-EAwrB6PPjQ?e=AMVmTu&amp;nav=MTVfezNFMEFDQTg3LTgzOUUtNDFGNC04MkYwLUIxRjIyNTFBRDYzNX0" TargetMode="External"/><Relationship Id="rId826" Type="http://schemas.openxmlformats.org/officeDocument/2006/relationships/hyperlink" Target="https://1drv.ms/x/s!AkP3hbXXLtgBhpEoaTK-EAwrB6PPjQ?e=zuxs7K&amp;nav=MTVfezEzQ0U5ODFBLTQxOTEtNERBOS05RDcwLTU1NDcwQ0I2MzhFNX0" TargetMode="External"/><Relationship Id="rId1011" Type="http://schemas.openxmlformats.org/officeDocument/2006/relationships/hyperlink" Target="https://1drv.ms/x/s!AkP3hbXXLtgBhpEoaTK-EAwrB6PPjQ?e=NFspu9&amp;nav=MTVfezE1M0M1OEJDLTA3MzUtNERFMC1BNzE4LTMzMUY1QjZBOEZDMH0" TargetMode="External"/><Relationship Id="rId1109" Type="http://schemas.openxmlformats.org/officeDocument/2006/relationships/hyperlink" Target="https://1drv.ms/x/s!AkP3hbXXLtgBhpEoaTK-EAwrB6PPjQ?e=Brd8C5&amp;nav=MTVfe0YyMTJGNjdELTg0REMtNEY4Ri05MzE5LTE0M0FEODlBMzg5Q30" TargetMode="External"/><Relationship Id="rId1456" Type="http://schemas.openxmlformats.org/officeDocument/2006/relationships/hyperlink" Target="https://1drv.ms/x/s!AkP3hbXXLtgBhpEoaTK-EAwrB6PPjQ?e=xXe3yl&amp;nav=MTVfezM1QjlFQjFCLUIxM0MtNDQ0Ni05MzQyLUU2QjczMkYzQzJFOH0" TargetMode="External"/><Relationship Id="rId1663" Type="http://schemas.openxmlformats.org/officeDocument/2006/relationships/hyperlink" Target="https://1drv.ms/x/s!AkP3hbXXLtgBhpEoaTK-EAwrB6PPjQ?e=DHRjp5&amp;nav=MTVfezdEN0E2ODJDLUYxMzctNDI0MS1BRjZDLThEMzExM0M0OTZBNn0" TargetMode="External"/><Relationship Id="rId1870" Type="http://schemas.openxmlformats.org/officeDocument/2006/relationships/hyperlink" Target="https://1drv.ms/x/s!AkP3hbXXLtgBhpEoaTK-EAwrB6PPjQ?e=lNfo2c&amp;nav=MTVfezA2NDZDNEUzLUJDNjEtNDQ0RC05RjEzLTc2OTQ0MTEzOTQyNX0" TargetMode="External"/><Relationship Id="rId1968" Type="http://schemas.openxmlformats.org/officeDocument/2006/relationships/hyperlink" Target="https://1drv.ms/x/s!AkP3hbXXLtgBhpEoaTK-EAwrB6PPjQ?e=Hae5Hc&amp;nav=MTVfe0U1QUU2RDZBLTFGMkUtNENGNC04OENCLUE1MjI0OEMyNDMzNn0" TargetMode="External"/><Relationship Id="rId2507" Type="http://schemas.openxmlformats.org/officeDocument/2006/relationships/hyperlink" Target="https://1drv.ms/x/s!AkP3hbXXLtgBhpEoaTK-EAwrB6PPjQ?e=6TTmbj&amp;nav=MTVfezE1NUUyNjAwLTBGQUYtNDYyRS05MjBELTkwRjJEQzFDMUI3Q30" TargetMode="External"/><Relationship Id="rId2714" Type="http://schemas.openxmlformats.org/officeDocument/2006/relationships/hyperlink" Target="https://1drv.ms/x/s!AkP3hbXXLtgBhpEoaTK-EAwrB6PPjQ?e=hUXjPN&amp;nav=MTVfezYzNzY4MEExLTRDMzItNDcxMy05M0ZCLTBFNjAwNTlBMUI0MH0" TargetMode="External"/><Relationship Id="rId1316" Type="http://schemas.openxmlformats.org/officeDocument/2006/relationships/hyperlink" Target="https://1drv.ms/x/s!AkP3hbXXLtgBhpEoaTK-EAwrB6PPjQ?e=aEDo0X&amp;nav=MTVfe0Y5NTI5MkI1LUFCMUItNDU0Ni1BNjg1LUVEQUU4Q0U3RTM5OX0" TargetMode="External"/><Relationship Id="rId1523" Type="http://schemas.openxmlformats.org/officeDocument/2006/relationships/hyperlink" Target="https://1drv.ms/x/s!AkP3hbXXLtgBhpEoaTK-EAwrB6PPjQ?e=PsqPhH&amp;nav=MTVfe0ZDRjg3ODhGLTBFNDItNDJCOC04MDRCLTU4OTcwNUMwMjFGMn0" TargetMode="External"/><Relationship Id="rId1730" Type="http://schemas.openxmlformats.org/officeDocument/2006/relationships/hyperlink" Target="https://1drv.ms/x/s!AkP3hbXXLtgBhpEoaTK-EAwrB6PPjQ?e=DHRjp5&amp;nav=MTVfezdEN0E2ODJDLUYxMzctNDI0MS1BRjZDLThEMzExM0M0OTZBNn0" TargetMode="External"/><Relationship Id="rId22" Type="http://schemas.openxmlformats.org/officeDocument/2006/relationships/hyperlink" Target="https://1drv.ms/x/s!AkP3hbXXLtgBhpEoaTK-EAwrB6PPjQ?e=pv1n5G&amp;nav=MTVfe0I5QjVDOEU1LTM5MTMtNDRCNy1COEY4LUUwMUNENUM2NTY1NX0" TargetMode="External"/><Relationship Id="rId1828" Type="http://schemas.openxmlformats.org/officeDocument/2006/relationships/hyperlink" Target="https://1drv.ms/x/s!AkP3hbXXLtgBhpEoaTK-EAwrB6PPjQ?e=Qo1W02&amp;nav=MTVfe0Q5NDAyRTdCLTJCNEYtNEQ5OS05Q0Y4LTIyNDExQjYxNzRBRH0" TargetMode="External"/><Relationship Id="rId171" Type="http://schemas.openxmlformats.org/officeDocument/2006/relationships/hyperlink" Target="https://1drv.ms/x/s!AkP3hbXXLtgBhpEoaTK-EAwrB6PPjQ?e=hKKsXn&amp;nav=MTVfe0M0MzQ5RkZFLUFFMEMtNDZBOC05NDNELUU2ODg5N0JGMDU4Rn0" TargetMode="External"/><Relationship Id="rId2297" Type="http://schemas.openxmlformats.org/officeDocument/2006/relationships/hyperlink" Target="https://1drv.ms/x/s!AkP3hbXXLtgBhpEoaTK-EAwrB6PPjQ?e=LiWfcw&amp;nav=MTVfezFBQTVDNUQ5LTIxM0QtNDcxMi05RkYwLUI2NUUyNTFDRkFBMH0" TargetMode="External"/><Relationship Id="rId269" Type="http://schemas.openxmlformats.org/officeDocument/2006/relationships/hyperlink" Target="https://1drv.ms/x/s!AkP3hbXXLtgBhpEoaTK-EAwrB6PPjQ?e=36Im2J&amp;nav=MTVfezg1NTdGRUM1LTczODktNDk5My1BQjA0LTkyQjFDODE4MjgxRX0" TargetMode="External"/><Relationship Id="rId476" Type="http://schemas.openxmlformats.org/officeDocument/2006/relationships/hyperlink" Target="https://1drv.ms/x/s!AkP3hbXXLtgBhpEoaTK-EAwrB6PPjQ?e=sXo522&amp;nav=MTVfe0VCNzhCQUU0LUVEQzItNDRCMC04QTFFLUZEQzA0OTNEMDkzOX0" TargetMode="External"/><Relationship Id="rId683" Type="http://schemas.openxmlformats.org/officeDocument/2006/relationships/hyperlink" Target="https://1drv.ms/x/s!AkP3hbXXLtgBhpEoaTK-EAwrB6PPjQ?e=JPeMLZ&amp;nav=MTVfezdEMkY3NDEyLUYwMzItNDM0RC05MDRFLTcyNTE0ODM0NjA4M30" TargetMode="External"/><Relationship Id="rId890" Type="http://schemas.openxmlformats.org/officeDocument/2006/relationships/hyperlink" Target="https://1drv.ms/x/s!AkP3hbXXLtgBhpEoaTK-EAwrB6PPjQ?e=q7Y9UY&amp;nav=MTVfezY2QjMzRUJDLTdGREQtNEI4MC05QkFBLTZFRTQyNUFCMDY2MH0" TargetMode="External"/><Relationship Id="rId2157" Type="http://schemas.openxmlformats.org/officeDocument/2006/relationships/hyperlink" Target="https://1drv.ms/x/s!AkP3hbXXLtgBhpEoaTK-EAwrB6PPjQ?e=nj2bQ1&amp;nav=MTVfezAwMDAwMDAwLTAwMDEtMDAwMC0wMDAwLTAwMDAwMDAwMDAwMH0" TargetMode="External"/><Relationship Id="rId2364" Type="http://schemas.openxmlformats.org/officeDocument/2006/relationships/hyperlink" Target="https://1drv.ms/x/s!AkP3hbXXLtgBhpEoaTK-EAwrB6PPjQ?e=X2f9pt&amp;nav=MTVfe0M4ODI3QTVFLTgzOUMtNDk2Qy1BMThFLUNCMDYwN0JBQjM5M30" TargetMode="External"/><Relationship Id="rId2571" Type="http://schemas.openxmlformats.org/officeDocument/2006/relationships/hyperlink" Target="https://1drv.ms/x/s!AkP3hbXXLtgBhpEoaTK-EAwrB6PPjQ?e=mXia38&amp;nav=MTVfe0I0NjUwQ0I4LURGNzEtNDA5NC04M0QxLUExRTNDN0Q3OTc1MX0" TargetMode="External"/><Relationship Id="rId129" Type="http://schemas.openxmlformats.org/officeDocument/2006/relationships/hyperlink" Target="https://1drv.ms/x/s!AkP3hbXXLtgBhpEoaTK-EAwrB6PPjQ?e=hRuig5&amp;nav=MTVfe0NCREMzODZGLTI3RDktNEI4RS05QjQ0LUUzQTc5QTQyQzY2MX0" TargetMode="External"/><Relationship Id="rId336" Type="http://schemas.openxmlformats.org/officeDocument/2006/relationships/hyperlink" Target="https://1drv.ms/x/s!AkP3hbXXLtgBhpEoaTK-EAwrB6PPjQ?e=HO6wd4&amp;nav=MTVfe0NDRThCRDRELTFCMEEtNDNFRC1BMDRDLTc1QjY0NDgwNjJBMH0" TargetMode="External"/><Relationship Id="rId543" Type="http://schemas.openxmlformats.org/officeDocument/2006/relationships/hyperlink" Target="https://1drv.ms/x/s!AkP3hbXXLtgBhpEoaTK-EAwrB6PPjQ?e=zfxOib&amp;nav=MTVfezc5MUI1QUJBLTY0QUItNDM1OS05NkVBLTE3MUFBQTY2QzQ4Q30" TargetMode="External"/><Relationship Id="rId988" Type="http://schemas.openxmlformats.org/officeDocument/2006/relationships/hyperlink" Target="https://1drv.ms/x/s!AkP3hbXXLtgBhpEoaTK-EAwrB6PPjQ?e=fk66xb&amp;nav=MTVfezU0MjNBNEE5LTNDNzctNDQwNC05RjA3LTAyNEI1N0FBQjFDNX0" TargetMode="External"/><Relationship Id="rId1173" Type="http://schemas.openxmlformats.org/officeDocument/2006/relationships/hyperlink" Target="https://1drv.ms/x/s!AkP3hbXXLtgBhpEoaTK-EAwrB6PPjQ?e=7D4jtp&amp;nav=MTVfe0Q5MDNFMUVCLUFFNkQtNDU5OC04QjYyLUFGODVDMTZENkVGMX0" TargetMode="External"/><Relationship Id="rId1380" Type="http://schemas.openxmlformats.org/officeDocument/2006/relationships/hyperlink" Target="https://1drv.ms/x/s!AkP3hbXXLtgBhpEoaTK-EAwrB6PPjQ?e=6Dzvxb&amp;nav=MTVfezE4RDVGRUE3LUYyN0MtNDRFNC1BMENCLTk1RTNFRjk3QkJDRX0" TargetMode="External"/><Relationship Id="rId2017" Type="http://schemas.openxmlformats.org/officeDocument/2006/relationships/hyperlink" Target="https://1drv.ms/x/s!AkP3hbXXLtgBhpEoaTK-EAwrB6PPjQ?e=e8c5BE&amp;nav=MTVfe0YzRjMwRTg2LTYyMTgtNEY5QS05Qzg0LTUxNkJFM0Q4MDAwN30" TargetMode="External"/><Relationship Id="rId2224" Type="http://schemas.openxmlformats.org/officeDocument/2006/relationships/hyperlink" Target="https://1drv.ms/x/s!AkP3hbXXLtgBhpEoaTK-EAwrB6PPjQ?e=PJkcfB&amp;nav=MTVfezBFRjgyRDlFLThFOEUtNDA2RC05QUQzLTk5RDY0REIzMEU3Rn0" TargetMode="External"/><Relationship Id="rId2669" Type="http://schemas.openxmlformats.org/officeDocument/2006/relationships/hyperlink" Target="https://1drv.ms/x/s!AkP3hbXXLtgBhpEoaTK-EAwrB6PPjQ?e=hUXjPN&amp;nav=MTVfezYzNzY4MEExLTRDMzItNDcxMy05M0ZCLTBFNjAwNTlBMUI0MH0" TargetMode="External"/><Relationship Id="rId403" Type="http://schemas.openxmlformats.org/officeDocument/2006/relationships/hyperlink" Target="https://1drv.ms/x/s!AkP3hbXXLtgBhpEoaTK-EAwrB6PPjQ?e=mvWMFP&amp;nav=MTVfe0Q0MjM2QjFDLUVBQTAtNDE3Ri1BOEVGLTQzNzNBN0FGODY4M30" TargetMode="External"/><Relationship Id="rId750" Type="http://schemas.openxmlformats.org/officeDocument/2006/relationships/hyperlink" Target="https://1drv.ms/x/s!AkP3hbXXLtgBhpEoaTK-EAwrB6PPjQ?e=0lRBEc&amp;nav=MTVfezRDRDQwMjU1LUJFM0ItNENDQS05NDQ1LUY1OTdERDA5ODg4NH0" TargetMode="External"/><Relationship Id="rId848" Type="http://schemas.openxmlformats.org/officeDocument/2006/relationships/hyperlink" Target="https://1drv.ms/x/s!AkP3hbXXLtgBhpEoaTK-EAwrB6PPjQ?e=VcWWuU&amp;nav=MTVfe0ExMEEwQ0RDLUFCNUQtNEMxQS1BM0ZGLTEzRDE2MkJEN0U2Q30" TargetMode="External"/><Relationship Id="rId1033" Type="http://schemas.openxmlformats.org/officeDocument/2006/relationships/hyperlink" Target="https://1drv.ms/x/s!AkP3hbXXLtgBhpEoaTK-EAwrB6PPjQ?e=NFspu9&amp;nav=MTVfezE1M0M1OEJDLTA3MzUtNERFMC1BNzE4LTMzMUY1QjZBOEZDMH0" TargetMode="External"/><Relationship Id="rId1478" Type="http://schemas.openxmlformats.org/officeDocument/2006/relationships/hyperlink" Target="https://1drv.ms/x/s!AkP3hbXXLtgBhpEoaTK-EAwrB6PPjQ?e=Dygyft&amp;nav=MTVfe0VDMUJBNEJBLUNCOTAtNDI3Ri1CMTVFLUZDQjc2NURCQ0I1Q30" TargetMode="External"/><Relationship Id="rId1685" Type="http://schemas.openxmlformats.org/officeDocument/2006/relationships/hyperlink" Target="https://1drv.ms/x/s!AkP3hbXXLtgBhpEoaTK-EAwrB6PPjQ?e=DHRjp5&amp;nav=MTVfezdEN0E2ODJDLUYxMzctNDI0MS1BRjZDLThEMzExM0M0OTZBNn0" TargetMode="External"/><Relationship Id="rId1892" Type="http://schemas.openxmlformats.org/officeDocument/2006/relationships/hyperlink" Target="https://1drv.ms/x/s!AkP3hbXXLtgBhpEoaTK-EAwrB6PPjQ?e=3z9g8a&amp;nav=MTVfezBGMENERTNBLTZCQTUtNDYwRi05MDM3LUNDNDk5MDBCNUU5MX0" TargetMode="External"/><Relationship Id="rId2431" Type="http://schemas.openxmlformats.org/officeDocument/2006/relationships/hyperlink" Target="https://1drv.ms/x/s!AkP3hbXXLtgBhpEoaTK-EAwrB6PPjQ?e=X2f9pt&amp;nav=MTVfe0M4ODI3QTVFLTgzOUMtNDk2Qy1BMThFLUNCMDYwN0JBQjM5M30" TargetMode="External"/><Relationship Id="rId2529" Type="http://schemas.openxmlformats.org/officeDocument/2006/relationships/hyperlink" Target="https://1drv.ms/x/s!AkP3hbXXLtgBhpEoaTK-EAwrB6PPjQ?e=mXia38&amp;nav=MTVfe0I0NjUwQ0I4LURGNzEtNDA5NC04M0QxLUExRTNDN0Q3OTc1MX0" TargetMode="External"/><Relationship Id="rId2736" Type="http://schemas.openxmlformats.org/officeDocument/2006/relationships/hyperlink" Target="https://1drv.ms/x/s!AkP3hbXXLtgBhpEoaTK-EAwrB6PPjQ?e=ri5cSY&amp;nav=MTVfezRBRTVDQTNDLUEzNkQtNDc4RS04NzYyLUJGRjkyRDk4RjhGMX0" TargetMode="External"/><Relationship Id="rId610" Type="http://schemas.openxmlformats.org/officeDocument/2006/relationships/hyperlink" Target="https://1drv.ms/x/s!AkP3hbXXLtgBhpEoaTK-EAwrB6PPjQ?e=ZRDRyK&amp;nav=MTVfe0IyQkRBQzE0LUM2QkQtNDY3Ny04MjcyLUQxNjYyMkIyRTZGRH0" TargetMode="External"/><Relationship Id="rId708" Type="http://schemas.openxmlformats.org/officeDocument/2006/relationships/hyperlink" Target="https://1drv.ms/x/s!AkP3hbXXLtgBhpEoaTK-EAwrB6PPjQ?e=JPeMLZ&amp;nav=MTVfezdEMkY3NDEyLUYwMzItNDM0RC05MDRFLTcyNTE0ODM0NjA4M30" TargetMode="External"/><Relationship Id="rId915" Type="http://schemas.openxmlformats.org/officeDocument/2006/relationships/hyperlink" Target="https://1drv.ms/x/s!AkP3hbXXLtgBhpEoaTK-EAwrB6PPjQ?e=q7Y9UY&amp;nav=MTVfezY2QjMzRUJDLTdGREQtNEI4MC05QkFBLTZFRTQyNUFCMDY2MH0" TargetMode="External"/><Relationship Id="rId1240" Type="http://schemas.openxmlformats.org/officeDocument/2006/relationships/hyperlink" Target="https://1drv.ms/x/s!AkP3hbXXLtgBhpEoaTK-EAwrB6PPjQ?e=UaBeCf&amp;nav=MTVfezM0NkJDRTA1LThBNUQtNDFFMC1BNjQ2LTk5NTVEMTg4RUEzNn0" TargetMode="External"/><Relationship Id="rId1338" Type="http://schemas.openxmlformats.org/officeDocument/2006/relationships/hyperlink" Target="https://1drv.ms/x/s!AkP3hbXXLtgBhpEoaTK-EAwrB6PPjQ?e=SkY523&amp;nav=MTVfezk3NEQ3MjVGLTlERDMtNDdDOS05QzJDLUU5RjJCNjk2N0I4MX0" TargetMode="External"/><Relationship Id="rId1545" Type="http://schemas.openxmlformats.org/officeDocument/2006/relationships/hyperlink" Target="https://1drv.ms/x/s!AkP3hbXXLtgBhpEoaTK-EAwrB6PPjQ?e=PsqPhH&amp;nav=MTVfe0ZDRjg3ODhGLTBFNDItNDJCOC04MDRCLTU4OTcwNUMwMjFGMn0" TargetMode="External"/><Relationship Id="rId1100" Type="http://schemas.openxmlformats.org/officeDocument/2006/relationships/hyperlink" Target="https://1drv.ms/x/s!AkP3hbXXLtgBhpEoaTK-EAwrB6PPjQ?e=Brd8C5&amp;nav=MTVfe0YyMTJGNjdELTg0REMtNEY4Ri05MzE5LTE0M0FEODlBMzg5Q30" TargetMode="External"/><Relationship Id="rId1405" Type="http://schemas.openxmlformats.org/officeDocument/2006/relationships/hyperlink" Target="https://1drv.ms/x/s!AkP3hbXXLtgBhpEoaTK-EAwrB6PPjQ?e=6Dzvxb&amp;nav=MTVfezE4RDVGRUE3LUYyN0MtNDRFNC1BMENCLTk1RTNFRjk3QkJDRX0" TargetMode="External"/><Relationship Id="rId1752" Type="http://schemas.openxmlformats.org/officeDocument/2006/relationships/hyperlink" Target="https://1drv.ms/x/s!AkP3hbXXLtgBhpEoaTK-EAwrB6PPjQ?e=S6aQgK&amp;nav=MTVfezNDQTZGMDU5LTE2MUMtNDZDQi05RTYwLTUxMTNGNkFCNTI3Qn0" TargetMode="External"/><Relationship Id="rId44" Type="http://schemas.openxmlformats.org/officeDocument/2006/relationships/hyperlink" Target="https://1drv.ms/x/s!AkP3hbXXLtgBhpEoaTK-EAwrB6PPjQ?e=AMVmTu&amp;nav=MTVfezNFMEFDQTg3LTgzOUUtNDFGNC04MkYwLUIxRjIyNTFBRDYzNX0" TargetMode="External"/><Relationship Id="rId1612" Type="http://schemas.openxmlformats.org/officeDocument/2006/relationships/hyperlink" Target="https://1drv.ms/x/s!AkP3hbXXLtgBhpEoaTK-EAwrB6PPjQ?e=hF7xUm&amp;nav=MTVfezBDOEZCN0U5LURBOEQtNEY2Qi1CNUE1LUYzQTk0NDFBRkE2NX0" TargetMode="External"/><Relationship Id="rId1917" Type="http://schemas.openxmlformats.org/officeDocument/2006/relationships/hyperlink" Target="https://1drv.ms/x/s!AkP3hbXXLtgBhpEoaTK-EAwrB6PPjQ?e=U8iWbp&amp;nav=MTVfezVDRDNFMEMzLTY0NDctNDUyNC05RjQyLUQ5MzdFOTgzQzgzNH0" TargetMode="External"/><Relationship Id="rId193" Type="http://schemas.openxmlformats.org/officeDocument/2006/relationships/hyperlink" Target="https://1drv.ms/x/s!AkP3hbXXLtgBhpEoaTK-EAwrB6PPjQ?e=hKKsXn&amp;nav=MTVfe0M0MzQ5RkZFLUFFMEMtNDZBOC05NDNELUU2ODg5N0JGMDU4Rn0" TargetMode="External"/><Relationship Id="rId498" Type="http://schemas.openxmlformats.org/officeDocument/2006/relationships/hyperlink" Target="https://1drv.ms/x/s!AkP3hbXXLtgBhpEoaTK-EAwrB6PPjQ?e=zfxOib&amp;nav=MTVfezc5MUI1QUJBLTY0QUItNDM1OS05NkVBLTE3MUFBQTY2QzQ4Q30" TargetMode="External"/><Relationship Id="rId2081" Type="http://schemas.openxmlformats.org/officeDocument/2006/relationships/hyperlink" Target="https://1drv.ms/x/s!AkP3hbXXLtgBhpEoaTK-EAwrB6PPjQ?e=t9ByVx&amp;nav=MTVfe0MzOTE2QzlDLTMzMEMtNEQ4NS05NjZBLTBFNzk3QjgxMEIwQn0" TargetMode="External"/><Relationship Id="rId2179" Type="http://schemas.openxmlformats.org/officeDocument/2006/relationships/hyperlink" Target="https://1drv.ms/x/s!AkP3hbXXLtgBhpEoaTK-EAwrB6PPjQ?e=PJkcfB&amp;nav=MTVfezBFRjgyRDlFLThFOEUtNDA2RC05QUQzLTk5RDY0REIzMEU3Rn0" TargetMode="External"/><Relationship Id="rId260" Type="http://schemas.openxmlformats.org/officeDocument/2006/relationships/hyperlink" Target="https://1drv.ms/x/s!AkP3hbXXLtgBhpEoaTK-EAwrB6PPjQ?e=36Im2J&amp;nav=MTVfezg1NTdGRUM1LTczODktNDk5My1BQjA0LTkyQjFDODE4MjgxRX0" TargetMode="External"/><Relationship Id="rId2386" Type="http://schemas.openxmlformats.org/officeDocument/2006/relationships/hyperlink" Target="https://1drv.ms/x/s!AkP3hbXXLtgBhpEoaTK-EAwrB6PPjQ?e=X2f9pt&amp;nav=MTVfe0M4ODI3QTVFLTgzOUMtNDk2Qy1BMThFLUNCMDYwN0JBQjM5M30" TargetMode="External"/><Relationship Id="rId2593" Type="http://schemas.openxmlformats.org/officeDocument/2006/relationships/hyperlink" Target="https://1drv.ms/x/s!AkP3hbXXLtgBhpEoaTK-EAwrB6PPjQ?e=ZnXBwL&amp;nav=MTVfezI5Qjk2QkQ4LUM5RkMtNDc1RS1BMkNCLTRDQTg1OEZFNkY2N30" TargetMode="External"/><Relationship Id="rId120" Type="http://schemas.openxmlformats.org/officeDocument/2006/relationships/hyperlink" Target="https://1drv.ms/x/s!AkP3hbXXLtgBhpEoaTK-EAwrB6PPjQ?e=hRuig5&amp;nav=MTVfe0NCREMzODZGLTI3RDktNEI4RS05QjQ0LUUzQTc5QTQyQzY2MX0" TargetMode="External"/><Relationship Id="rId358" Type="http://schemas.openxmlformats.org/officeDocument/2006/relationships/hyperlink" Target="https://1drv.ms/x/s!AkP3hbXXLtgBhpEoaTK-EAwrB6PPjQ?e=mvWMFP&amp;nav=MTVfe0Q0MjM2QjFDLUVBQTAtNDE3Ri1BOEVGLTQzNzNBN0FGODY4M30" TargetMode="External"/><Relationship Id="rId565" Type="http://schemas.openxmlformats.org/officeDocument/2006/relationships/hyperlink" Target="https://1drv.ms/x/s!AkP3hbXXLtgBhpEoaTK-EAwrB6PPjQ?e=xgZSuS&amp;nav=MTVfezA3RkYxMTMwLTAyQjYtNDA4RS1BMkU5LTI2MUQ0MjM2OEJGQn0" TargetMode="External"/><Relationship Id="rId772" Type="http://schemas.openxmlformats.org/officeDocument/2006/relationships/hyperlink" Target="https://1drv.ms/x/s!AkP3hbXXLtgBhpEoaTK-EAwrB6PPjQ?e=0lRBEc&amp;nav=MTVfezRDRDQwMjU1LUJFM0ItNENDQS05NDQ1LUY1OTdERDA5ODg4NH0" TargetMode="External"/><Relationship Id="rId1195" Type="http://schemas.openxmlformats.org/officeDocument/2006/relationships/hyperlink" Target="https://1drv.ms/x/s!AkP3hbXXLtgBhpEoaTK-EAwrB6PPjQ?e=U6lTuf&amp;nav=MTVfezFEODYyODdBLUIyOTctNDdGMC04MTkyLUUzRDE3NjM5RkNFQ30" TargetMode="External"/><Relationship Id="rId2039" Type="http://schemas.openxmlformats.org/officeDocument/2006/relationships/hyperlink" Target="https://1drv.ms/x/s!AkP3hbXXLtgBhpEoaTK-EAwrB6PPjQ?e=e8c5BE&amp;nav=MTVfe0YzRjMwRTg2LTYyMTgtNEY5QS05Qzg0LTUxNkJFM0Q4MDAwN30" TargetMode="External"/><Relationship Id="rId2246" Type="http://schemas.openxmlformats.org/officeDocument/2006/relationships/hyperlink" Target="https://1drv.ms/x/s!AkP3hbXXLtgBhpEoaTK-EAwrB6PPjQ?e=vI4FNr&amp;nav=MTVfezhGQzkyMTU5LUYxNTUtNDg4MS04N0QzLTE5OTgzQjI3QTc1NH0" TargetMode="External"/><Relationship Id="rId2453" Type="http://schemas.openxmlformats.org/officeDocument/2006/relationships/hyperlink" Target="https://1drv.ms/x/s!AkP3hbXXLtgBhpEoaTK-EAwrB6PPjQ?e=LQfhsg&amp;nav=MTVfe0FGQTQ2QTUxLTkwOEEtNEZCNi04OUQ1LTMwOUU4QkMzMTRFQ30" TargetMode="External"/><Relationship Id="rId2660" Type="http://schemas.openxmlformats.org/officeDocument/2006/relationships/hyperlink" Target="https://1drv.ms/x/s!AkP3hbXXLtgBhpEoaTK-EAwrB6PPjQ?e=k1JzSb&amp;nav=MTVfezlCRDVCMEI4LTNBMEItNDE5NC04RTEyLUQxQzc3N0U3MUFFQn0" TargetMode="External"/><Relationship Id="rId218" Type="http://schemas.openxmlformats.org/officeDocument/2006/relationships/hyperlink" Target="https://1drv.ms/x/s!AkP3hbXXLtgBhpEoaTK-EAwrB6PPjQ?e=hKKsXn&amp;nav=MTVfe0M0MzQ5RkZFLUFFMEMtNDZBOC05NDNELUU2ODg5N0JGMDU4Rn0" TargetMode="External"/><Relationship Id="rId425" Type="http://schemas.openxmlformats.org/officeDocument/2006/relationships/hyperlink" Target="https://1drv.ms/x/s!AkP3hbXXLtgBhpEoaTK-EAwrB6PPjQ?e=sXo522&amp;nav=MTVfe0VCNzhCQUU0LUVEQzItNDRCMC04QTFFLUZEQzA0OTNEMDkzOX0" TargetMode="External"/><Relationship Id="rId632" Type="http://schemas.openxmlformats.org/officeDocument/2006/relationships/hyperlink" Target="https://1drv.ms/x/s!AkP3hbXXLtgBhpEoaTK-EAwrB6PPjQ?e=ZRDRyK&amp;nav=MTVfe0IyQkRBQzE0LUM2QkQtNDY3Ny04MjcyLUQxNjYyMkIyRTZGRH0" TargetMode="External"/><Relationship Id="rId1055" Type="http://schemas.openxmlformats.org/officeDocument/2006/relationships/hyperlink" Target="https://1drv.ms/x/s!AkP3hbXXLtgBhpEoaTK-EAwrB6PPjQ?e=rYbeUy&amp;nav=MTVfe0Q1MEM2OTMzLTFBNUUtNDhCMS1CQzhCLTlGQTI2NEEzRURDRH0" TargetMode="External"/><Relationship Id="rId1262" Type="http://schemas.openxmlformats.org/officeDocument/2006/relationships/hyperlink" Target="https://1drv.ms/x/s!AkP3hbXXLtgBhpEoaTK-EAwrB6PPjQ?e=UaBeCf&amp;nav=MTVfezM0NkJDRTA1LThBNUQtNDFFMC1BNjQ2LTk5NTVEMTg4RUEzNn0" TargetMode="External"/><Relationship Id="rId2106" Type="http://schemas.openxmlformats.org/officeDocument/2006/relationships/hyperlink" Target="https://1drv.ms/x/s!AkP3hbXXLtgBhpEoaTK-EAwrB6PPjQ?e=7tvhFu&amp;nav=MTVfezYzQUQ2N0RCLTZFQkQtNDhGOC1BODVFLUQzNjgwN0I4QkNFMn0" TargetMode="External"/><Relationship Id="rId2313" Type="http://schemas.openxmlformats.org/officeDocument/2006/relationships/hyperlink" Target="https://1drv.ms/x/s!AkP3hbXXLtgBhpEoaTK-EAwrB6PPjQ?e=LiWfcw&amp;nav=MTVfezFBQTVDNUQ5LTIxM0QtNDcxMi05RkYwLUI2NUUyNTFDRkFBMH0" TargetMode="External"/><Relationship Id="rId2520" Type="http://schemas.openxmlformats.org/officeDocument/2006/relationships/hyperlink" Target="https://1drv.ms/x/s!AkP3hbXXLtgBhpEoaTK-EAwrB6PPjQ?e=mXia38&amp;nav=MTVfe0I0NjUwQ0I4LURGNzEtNDA5NC04M0QxLUExRTNDN0Q3OTc1MX0" TargetMode="External"/><Relationship Id="rId937" Type="http://schemas.openxmlformats.org/officeDocument/2006/relationships/hyperlink" Target="https://1drv.ms/x/s!AkP3hbXXLtgBhpEoaTK-EAwrB6PPjQ?e=GuJxJM&amp;nav=MTVfe0NBQzcxNDNGLTAzODYtNEFDRi1BNTI1LTRDQTYxMDEzNkYwM30" TargetMode="External"/><Relationship Id="rId1122" Type="http://schemas.openxmlformats.org/officeDocument/2006/relationships/hyperlink" Target="https://1drv.ms/x/s!AkP3hbXXLtgBhpEoaTK-EAwrB6PPjQ?e=Brd8C5&amp;nav=MTVfe0YyMTJGNjdELTg0REMtNEY4Ri05MzE5LTE0M0FEODlBMzg5Q30" TargetMode="External"/><Relationship Id="rId1567" Type="http://schemas.openxmlformats.org/officeDocument/2006/relationships/hyperlink" Target="https://1drv.ms/x/s!AkP3hbXXLtgBhpEoaTK-EAwrB6PPjQ?e=hF7xUm&amp;nav=MTVfezBDOEZCN0U5LURBOEQtNEY2Qi1CNUE1LUYzQTk0NDFBRkE2NX0" TargetMode="External"/><Relationship Id="rId1774" Type="http://schemas.openxmlformats.org/officeDocument/2006/relationships/hyperlink" Target="https://1drv.ms/x/s!AkP3hbXXLtgBhpEoaTK-EAwrB6PPjQ?e=sBpJD5&amp;nav=MTVfezM5QzdFMEZDLTg3QTEtNDRCMS04QTgyLUQ3MDU0NDI2MTBFRn0" TargetMode="External"/><Relationship Id="rId1981" Type="http://schemas.openxmlformats.org/officeDocument/2006/relationships/hyperlink" Target="https://1drv.ms/x/s!AkP3hbXXLtgBhpEoaTK-EAwrB6PPjQ?e=Hae5Hc&amp;nav=MTVfe0U1QUU2RDZBLTFGMkUtNENGNC04OENCLUE1MjI0OEMyNDMzNn0" TargetMode="External"/><Relationship Id="rId2618" Type="http://schemas.openxmlformats.org/officeDocument/2006/relationships/hyperlink" Target="https://1drv.ms/x/s!AkP3hbXXLtgBhpEoaTK-EAwrB6PPjQ?e=k1JzSb&amp;nav=MTVfezlCRDVCMEI4LTNBMEItNDE5NC04RTEyLUQxQzc3N0U3MUFFQn0" TargetMode="External"/><Relationship Id="rId66" Type="http://schemas.openxmlformats.org/officeDocument/2006/relationships/hyperlink" Target="https://1drv.ms/x/s!AkP3hbXXLtgBhpEoaTK-EAwrB6PPjQ?e=AMVmTu&amp;nav=MTVfezNFMEFDQTg3LTgzOUUtNDFGNC04MkYwLUIxRjIyNTFBRDYzNX0" TargetMode="External"/><Relationship Id="rId1427" Type="http://schemas.openxmlformats.org/officeDocument/2006/relationships/hyperlink" Target="https://1drv.ms/x/s!AkP3hbXXLtgBhpEoaTK-EAwrB6PPjQ?e=xXe3yl&amp;nav=MTVfezM1QjlFQjFCLUIxM0MtNDQ0Ni05MzQyLUU2QjczMkYzQzJFOH0" TargetMode="External"/><Relationship Id="rId1634" Type="http://schemas.openxmlformats.org/officeDocument/2006/relationships/hyperlink" Target="https://1drv.ms/x/s!AkP3hbXXLtgBhpEoaTK-EAwrB6PPjQ?e=VUlHtx&amp;nav=MTVfe0JEMzdCNzJBLTQ3QUItNEI0NC04MDRCLTNDRDY0MDVBODI2Qn0" TargetMode="External"/><Relationship Id="rId1841" Type="http://schemas.openxmlformats.org/officeDocument/2006/relationships/hyperlink" Target="https://1drv.ms/x/s!AkP3hbXXLtgBhpEoaTK-EAwrB6PPjQ?e=Qo1W02&amp;nav=MTVfe0Q5NDAyRTdCLTJCNEYtNEQ5OS05Q0Y4LTIyNDExQjYxNzRBRH0" TargetMode="External"/><Relationship Id="rId1939" Type="http://schemas.openxmlformats.org/officeDocument/2006/relationships/hyperlink" Target="https://1drv.ms/x/s!AkP3hbXXLtgBhpEoaTK-EAwrB6PPjQ?e=U8iWbp&amp;nav=MTVfezVDRDNFMEMzLTY0NDctNDUyNC05RjQyLUQ5MzdFOTgzQzgzNH0" TargetMode="External"/><Relationship Id="rId1701" Type="http://schemas.openxmlformats.org/officeDocument/2006/relationships/hyperlink" Target="https://1drv.ms/x/s!AkP3hbXXLtgBhpEoaTK-EAwrB6PPjQ?e=DHRjp5&amp;nav=MTVfezdEN0E2ODJDLUYxMzctNDI0MS1BRjZDLThEMzExM0M0OTZBNn0" TargetMode="External"/><Relationship Id="rId282" Type="http://schemas.openxmlformats.org/officeDocument/2006/relationships/hyperlink" Target="https://1drv.ms/x/s!AkP3hbXXLtgBhpEoaTK-EAwrB6PPjQ?e=36Im2J&amp;nav=MTVfezg1NTdGRUM1LTczODktNDk5My1BQjA0LTkyQjFDODE4MjgxRX0" TargetMode="External"/><Relationship Id="rId587" Type="http://schemas.openxmlformats.org/officeDocument/2006/relationships/hyperlink" Target="https://1drv.ms/x/s!AkP3hbXXLtgBhpEoaTK-EAwrB6PPjQ?e=xgZSuS&amp;nav=MTVfezA3RkYxMTMwLTAyQjYtNDA4RS1BMkU5LTI2MUQ0MjM2OEJGQn0" TargetMode="External"/><Relationship Id="rId2170" Type="http://schemas.openxmlformats.org/officeDocument/2006/relationships/hyperlink" Target="https://1drv.ms/x/s!AkP3hbXXLtgBhpEoaTK-EAwrB6PPjQ?e=PJkcfB&amp;nav=MTVfezBFRjgyRDlFLThFOEUtNDA2RC05QUQzLTk5RDY0REIzMEU3Rn0" TargetMode="External"/><Relationship Id="rId2268" Type="http://schemas.openxmlformats.org/officeDocument/2006/relationships/hyperlink" Target="https://1drv.ms/x/s!AkP3hbXXLtgBhpEoaTK-EAwrB6PPjQ?e=vI4FNr&amp;nav=MTVfezhGQzkyMTU5LUYxNTUtNDg4MS04N0QzLTE5OTgzQjI3QTc1NH0" TargetMode="External"/><Relationship Id="rId8" Type="http://schemas.openxmlformats.org/officeDocument/2006/relationships/hyperlink" Target="https://1drv.ms/x/s!AkP3hbXXLtgBhpEoaTK-EAwrB6PPjQ?e=mje4Gd&amp;nav=MTVfezU5NEY1RjhGLUNGMzYtNEIxRi04NzFBLTRDNzQ3QUMxQjMxRn0" TargetMode="External"/><Relationship Id="rId142" Type="http://schemas.openxmlformats.org/officeDocument/2006/relationships/hyperlink" Target="https://1drv.ms/x/s!AkP3hbXXLtgBhpEoaTK-EAwrB6PPjQ?e=hRuig5&amp;nav=MTVfe0NCREMzODZGLTI3RDktNEI4RS05QjQ0LUUzQTc5QTQyQzY2MX0" TargetMode="External"/><Relationship Id="rId447" Type="http://schemas.openxmlformats.org/officeDocument/2006/relationships/hyperlink" Target="https://1drv.ms/x/s!AkP3hbXXLtgBhpEoaTK-EAwrB6PPjQ?e=sXo522&amp;nav=MTVfe0VCNzhCQUU0LUVEQzItNDRCMC04QTFFLUZEQzA0OTNEMDkzOX0" TargetMode="External"/><Relationship Id="rId794" Type="http://schemas.openxmlformats.org/officeDocument/2006/relationships/hyperlink" Target="https://1drv.ms/x/s!AkP3hbXXLtgBhpEoaTK-EAwrB6PPjQ?e=zuxs7K&amp;nav=MTVfezEzQ0U5ODFBLTQxOTEtNERBOS05RDcwLTU1NDcwQ0I2MzhFNX0" TargetMode="External"/><Relationship Id="rId1077" Type="http://schemas.openxmlformats.org/officeDocument/2006/relationships/hyperlink" Target="https://1drv.ms/x/s!AkP3hbXXLtgBhpEoaTK-EAwrB6PPjQ?e=rYbeUy&amp;nav=MTVfe0Q1MEM2OTMzLTFBNUUtNDhCMS1CQzhCLTlGQTI2NEEzRURDRH0" TargetMode="External"/><Relationship Id="rId2030" Type="http://schemas.openxmlformats.org/officeDocument/2006/relationships/hyperlink" Target="https://1drv.ms/x/s!AkP3hbXXLtgBhpEoaTK-EAwrB6PPjQ?e=e8c5BE&amp;nav=MTVfe0YzRjMwRTg2LTYyMTgtNEY5QS05Qzg0LTUxNkJFM0Q4MDAwN30" TargetMode="External"/><Relationship Id="rId2128" Type="http://schemas.openxmlformats.org/officeDocument/2006/relationships/hyperlink" Target="https://1drv.ms/x/s!AkP3hbXXLtgBhpEoaTK-EAwrB6PPjQ?e=7tvhFu&amp;nav=MTVfezYzQUQ2N0RCLTZFQkQtNDhGOC1BODVFLUQzNjgwN0I4QkNFMn0" TargetMode="External"/><Relationship Id="rId2475" Type="http://schemas.openxmlformats.org/officeDocument/2006/relationships/hyperlink" Target="https://1drv.ms/x/s!AkP3hbXXLtgBhpEoaTK-EAwrB6PPjQ?e=LQfhsg&amp;nav=MTVfe0FGQTQ2QTUxLTkwOEEtNEZCNi04OUQ1LTMwOUU4QkMzMTRFQ30" TargetMode="External"/><Relationship Id="rId2682" Type="http://schemas.openxmlformats.org/officeDocument/2006/relationships/hyperlink" Target="https://1drv.ms/x/s!AkP3hbXXLtgBhpEoaTK-EAwrB6PPjQ?e=hUXjPN&amp;nav=MTVfezYzNzY4MEExLTRDMzItNDcxMy05M0ZCLTBFNjAwNTlBMUI0MH0" TargetMode="External"/><Relationship Id="rId654" Type="http://schemas.openxmlformats.org/officeDocument/2006/relationships/hyperlink" Target="https://1drv.ms/x/s!AkP3hbXXLtgBhpEoaTK-EAwrB6PPjQ?e=ZRDRyK&amp;nav=MTVfe0IyQkRBQzE0LUM2QkQtNDY3Ny04MjcyLUQxNjYyMkIyRTZGRH0" TargetMode="External"/><Relationship Id="rId861" Type="http://schemas.openxmlformats.org/officeDocument/2006/relationships/hyperlink" Target="https://1drv.ms/x/s!AkP3hbXXLtgBhpEoaTK-EAwrB6PPjQ?e=VcWWuU&amp;nav=MTVfe0ExMEEwQ0RDLUFCNUQtNEMxQS1BM0ZGLTEzRDE2MkJEN0U2Q30" TargetMode="External"/><Relationship Id="rId959" Type="http://schemas.openxmlformats.org/officeDocument/2006/relationships/hyperlink" Target="https://1drv.ms/x/s!AkP3hbXXLtgBhpEoaTK-EAwrB6PPjQ?e=GuJxJM&amp;nav=MTVfe0NBQzcxNDNGLTAzODYtNEFDRi1BNTI1LTRDQTYxMDEzNkYwM30" TargetMode="External"/><Relationship Id="rId1284" Type="http://schemas.openxmlformats.org/officeDocument/2006/relationships/hyperlink" Target="https://1drv.ms/x/s!AkP3hbXXLtgBhpEoaTK-EAwrB6PPjQ?e=bD2jTr&amp;nav=MTVfezRGRUQzQzY0LTk3M0ItNDNDNy1BRUY3LTYwMDNGN0E5OThFQX0" TargetMode="External"/><Relationship Id="rId1491" Type="http://schemas.openxmlformats.org/officeDocument/2006/relationships/hyperlink" Target="https://1drv.ms/x/s!AkP3hbXXLtgBhpEoaTK-EAwrB6PPjQ?e=Dygyft&amp;nav=MTVfe0VDMUJBNEJBLUNCOTAtNDI3Ri1CMTVFLUZDQjc2NURCQ0I1Q30" TargetMode="External"/><Relationship Id="rId1589" Type="http://schemas.openxmlformats.org/officeDocument/2006/relationships/hyperlink" Target="https://1drv.ms/x/s!AkP3hbXXLtgBhpEoaTK-EAwrB6PPjQ?e=hF7xUm&amp;nav=MTVfezBDOEZCN0U5LURBOEQtNEY2Qi1CNUE1LUYzQTk0NDFBRkE2NX0" TargetMode="External"/><Relationship Id="rId2335" Type="http://schemas.openxmlformats.org/officeDocument/2006/relationships/hyperlink" Target="https://1drv.ms/x/s!AkP3hbXXLtgBhpEoaTK-EAwrB6PPjQ?e=LiWfcw&amp;nav=MTVfezFBQTVDNUQ5LTIxM0QtNDcxMi05RkYwLUI2NUUyNTFDRkFBMH0" TargetMode="External"/><Relationship Id="rId2542" Type="http://schemas.openxmlformats.org/officeDocument/2006/relationships/hyperlink" Target="https://1drv.ms/x/s!AkP3hbXXLtgBhpEoaTK-EAwrB6PPjQ?e=mXia38&amp;nav=MTVfe0I0NjUwQ0I4LURGNzEtNDA5NC04M0QxLUExRTNDN0Q3OTc1MX0" TargetMode="External"/><Relationship Id="rId307" Type="http://schemas.openxmlformats.org/officeDocument/2006/relationships/hyperlink" Target="https://1drv.ms/x/s!AkP3hbXXLtgBhpEoaTK-EAwrB6PPjQ?e=HO6wd4&amp;nav=MTVfe0NDRThCRDRELTFCMEEtNDNFRC1BMDRDLTc1QjY0NDgwNjJBMH0" TargetMode="External"/><Relationship Id="rId514" Type="http://schemas.openxmlformats.org/officeDocument/2006/relationships/hyperlink" Target="https://1drv.ms/x/s!AkP3hbXXLtgBhpEoaTK-EAwrB6PPjQ?e=zfxOib&amp;nav=MTVfezc5MUI1QUJBLTY0QUItNDM1OS05NkVBLTE3MUFBQTY2QzQ4Q30" TargetMode="External"/><Relationship Id="rId721" Type="http://schemas.openxmlformats.org/officeDocument/2006/relationships/hyperlink" Target="https://1drv.ms/x/s!AkP3hbXXLtgBhpEoaTK-EAwrB6PPjQ?e=JPeMLZ&amp;nav=MTVfezdEMkY3NDEyLUYwMzItNDM0RC05MDRFLTcyNTE0ODM0NjA4M30" TargetMode="External"/><Relationship Id="rId1144" Type="http://schemas.openxmlformats.org/officeDocument/2006/relationships/hyperlink" Target="https://1drv.ms/x/s!AkP3hbXXLtgBhpEoaTK-EAwrB6PPjQ?e=xGItXl&amp;nav=MTVfezc3NDc5QTVFLTEyMTItNEVGOS04NzRCLUUzREZBMkQ0NjU4OH0" TargetMode="External"/><Relationship Id="rId1351" Type="http://schemas.openxmlformats.org/officeDocument/2006/relationships/hyperlink" Target="https://1drv.ms/x/s!AkP3hbXXLtgBhpEoaTK-EAwrB6PPjQ?e=SkY523&amp;nav=MTVfezk3NEQ3MjVGLTlERDMtNDdDOS05QzJDLUU5RjJCNjk2N0I4MX0" TargetMode="External"/><Relationship Id="rId1449" Type="http://schemas.openxmlformats.org/officeDocument/2006/relationships/hyperlink" Target="https://1drv.ms/x/s!AkP3hbXXLtgBhpEoaTK-EAwrB6PPjQ?e=xXe3yl&amp;nav=MTVfezM1QjlFQjFCLUIxM0MtNDQ0Ni05MzQyLUU2QjczMkYzQzJFOH0" TargetMode="External"/><Relationship Id="rId1796" Type="http://schemas.openxmlformats.org/officeDocument/2006/relationships/hyperlink" Target="https://1drv.ms/x/s!AkP3hbXXLtgBhpEoaTK-EAwrB6PPjQ?e=sBpJD5&amp;nav=MTVfezM5QzdFMEZDLTg3QTEtNDRCMS04QTgyLUQ3MDU0NDI2MTBFRn0" TargetMode="External"/><Relationship Id="rId2402" Type="http://schemas.openxmlformats.org/officeDocument/2006/relationships/hyperlink" Target="https://1drv.ms/x/s!AkP3hbXXLtgBhpEoaTK-EAwrB6PPjQ?e=X2f9pt&amp;nav=MTVfe0M4ODI3QTVFLTgzOUMtNDk2Qy1BMThFLUNCMDYwN0JBQjM5M30" TargetMode="External"/><Relationship Id="rId88" Type="http://schemas.openxmlformats.org/officeDocument/2006/relationships/hyperlink" Target="https://1drv.ms/x/s!AkP3hbXXLtgBhpEoaTK-EAwrB6PPjQ?e=AMVmTu&amp;nav=MTVfezNFMEFDQTg3LTgzOUUtNDFGNC04MkYwLUIxRjIyNTFBRDYzNX0" TargetMode="External"/><Relationship Id="rId819" Type="http://schemas.openxmlformats.org/officeDocument/2006/relationships/hyperlink" Target="https://1drv.ms/x/s!AkP3hbXXLtgBhpEoaTK-EAwrB6PPjQ?e=zuxs7K&amp;nav=MTVfezEzQ0U5ODFBLTQxOTEtNERBOS05RDcwLTU1NDcwQ0I2MzhFNX0" TargetMode="External"/><Relationship Id="rId1004" Type="http://schemas.openxmlformats.org/officeDocument/2006/relationships/hyperlink" Target="https://1drv.ms/x/s!AkP3hbXXLtgBhpEoaTK-EAwrB6PPjQ?e=fk66xb&amp;nav=MTVfezU0MjNBNEE5LTNDNzctNDQwNC05RjA3LTAyNEI1N0FBQjFDNX0" TargetMode="External"/><Relationship Id="rId1211" Type="http://schemas.openxmlformats.org/officeDocument/2006/relationships/hyperlink" Target="https://1drv.ms/x/s!AkP3hbXXLtgBhpEoaTK-EAwrB6PPjQ?e=U6lTuf&amp;nav=MTVfezFEODYyODdBLUIyOTctNDdGMC04MTkyLUUzRDE3NjM5RkNFQ30" TargetMode="External"/><Relationship Id="rId1656" Type="http://schemas.openxmlformats.org/officeDocument/2006/relationships/hyperlink" Target="https://1drv.ms/x/s!AkP3hbXXLtgBhpEoaTK-EAwrB6PPjQ?e=DHRjp5&amp;nav=MTVfezdEN0E2ODJDLUYxMzctNDI0MS1BRjZDLThEMzExM0M0OTZBNn0" TargetMode="External"/><Relationship Id="rId1863" Type="http://schemas.openxmlformats.org/officeDocument/2006/relationships/hyperlink" Target="https://1drv.ms/x/s!AkP3hbXXLtgBhpEoaTK-EAwrB6PPjQ?e=KawXz2&amp;nav=MTVfe0I2MTk3NUI3LTcxN0UtNDYyRi05OUNBLTc2RTcxMkRFMjVEOH0" TargetMode="External"/><Relationship Id="rId2707" Type="http://schemas.openxmlformats.org/officeDocument/2006/relationships/hyperlink" Target="https://1drv.ms/x/s!AkP3hbXXLtgBhpEoaTK-EAwrB6PPjQ?e=hUXjPN&amp;nav=MTVfezYzNzY4MEExLTRDMzItNDcxMy05M0ZCLTBFNjAwNTlBMUI0MH0" TargetMode="External"/><Relationship Id="rId1309" Type="http://schemas.openxmlformats.org/officeDocument/2006/relationships/hyperlink" Target="https://1drv.ms/x/s!AkP3hbXXLtgBhpEoaTK-EAwrB6PPjQ?e=bD2jTr&amp;nav=MTVfezRGRUQzQzY0LTk3M0ItNDNDNy1BRUY3LTYwMDNGN0E5OThFQX0" TargetMode="External"/><Relationship Id="rId1516" Type="http://schemas.openxmlformats.org/officeDocument/2006/relationships/hyperlink" Target="https://1drv.ms/x/s!AkP3hbXXLtgBhpEoaTK-EAwrB6PPjQ?e=fk66xb&amp;nav=MTVfezU0MjNBNEE5LTNDNzctNDQwNC05RjA3LTAyNEI1N0FBQjFDNX0" TargetMode="External"/><Relationship Id="rId1723" Type="http://schemas.openxmlformats.org/officeDocument/2006/relationships/hyperlink" Target="https://1drv.ms/x/s!AkP3hbXXLtgBhpEoaTK-EAwrB6PPjQ?e=DHRjp5&amp;nav=MTVfezdEN0E2ODJDLUYxMzctNDI0MS1BRjZDLThEMzExM0M0OTZBNn0" TargetMode="External"/><Relationship Id="rId1930" Type="http://schemas.openxmlformats.org/officeDocument/2006/relationships/hyperlink" Target="https://1drv.ms/x/s!AkP3hbXXLtgBhpEoaTK-EAwrB6PPjQ?e=U8iWbp&amp;nav=MTVfezVDRDNFMEMzLTY0NDctNDUyNC05RjQyLUQ5MzdFOTgzQzgzNH0" TargetMode="External"/><Relationship Id="rId15" Type="http://schemas.openxmlformats.org/officeDocument/2006/relationships/hyperlink" Target="https://1drv.ms/x/s!AkP3hbXXLtgBhpEoaTK-EAwrB6PPjQ?e=jhuV2L&amp;nav=MTVfezFBOUUwQ0Q3LUM4QTctNDRFRS1CMkY3LTFGQkJDMEM4NTIzRH0" TargetMode="External"/><Relationship Id="rId2192" Type="http://schemas.openxmlformats.org/officeDocument/2006/relationships/hyperlink" Target="https://1drv.ms/x/s!AkP3hbXXLtgBhpEoaTK-EAwrB6PPjQ?e=PJkcfB&amp;nav=MTVfezBFRjgyRDlFLThFOEUtNDA2RC05QUQzLTk5RDY0REIzMEU3Rn0" TargetMode="External"/><Relationship Id="rId164" Type="http://schemas.openxmlformats.org/officeDocument/2006/relationships/hyperlink" Target="https://1drv.ms/x/s!AkP3hbXXLtgBhpEoaTK-EAwrB6PPjQ?e=hRuig5&amp;nav=MTVfe0NCREMzODZGLTI3RDktNEI4RS05QjQ0LUUzQTc5QTQyQzY2MX0" TargetMode="External"/><Relationship Id="rId371" Type="http://schemas.openxmlformats.org/officeDocument/2006/relationships/hyperlink" Target="https://1drv.ms/x/s!AkP3hbXXLtgBhpEoaTK-EAwrB6PPjQ?e=mvWMFP&amp;nav=MTVfe0Q0MjM2QjFDLUVBQTAtNDE3Ri1BOEVGLTQzNzNBN0FGODY4M30" TargetMode="External"/><Relationship Id="rId2052" Type="http://schemas.openxmlformats.org/officeDocument/2006/relationships/hyperlink" Target="https://1drv.ms/x/s!AkP3hbXXLtgBhpEoaTK-EAwrB6PPjQ?e=t9ByVx&amp;nav=MTVfe0MzOTE2QzlDLTMzMEMtNEQ4NS05NjZBLTBFNzk3QjgxMEIwQn0" TargetMode="External"/><Relationship Id="rId2497" Type="http://schemas.openxmlformats.org/officeDocument/2006/relationships/hyperlink" Target="https://1drv.ms/x/s!AkP3hbXXLtgBhpEoaTK-EAwrB6PPjQ?e=LQfhsg&amp;nav=MTVfe0FGQTQ2QTUxLTkwOEEtNEZCNi04OUQ1LTMwOUU4QkMzMTRFQ30" TargetMode="External"/><Relationship Id="rId469" Type="http://schemas.openxmlformats.org/officeDocument/2006/relationships/hyperlink" Target="https://1drv.ms/x/s!AkP3hbXXLtgBhpEoaTK-EAwrB6PPjQ?e=sXo522&amp;nav=MTVfe0VCNzhCQUU0LUVEQzItNDRCMC04QTFFLUZEQzA0OTNEMDkzOX0" TargetMode="External"/><Relationship Id="rId676" Type="http://schemas.openxmlformats.org/officeDocument/2006/relationships/hyperlink" Target="https://1drv.ms/x/s!AkP3hbXXLtgBhpEoaTK-EAwrB6PPjQ?e=JPeMLZ&amp;nav=MTVfezdEMkY3NDEyLUYwMzItNDM0RC05MDRFLTcyNTE0ODM0NjA4M30" TargetMode="External"/><Relationship Id="rId883" Type="http://schemas.openxmlformats.org/officeDocument/2006/relationships/hyperlink" Target="https://1drv.ms/x/s!AkP3hbXXLtgBhpEoaTK-EAwrB6PPjQ?e=q7Y9UY&amp;nav=MTVfezY2QjMzRUJDLTdGREQtNEI4MC05QkFBLTZFRTQyNUFCMDY2MH0" TargetMode="External"/><Relationship Id="rId1099" Type="http://schemas.openxmlformats.org/officeDocument/2006/relationships/hyperlink" Target="https://1drv.ms/x/s!AkP3hbXXLtgBhpEoaTK-EAwrB6PPjQ?e=Brd8C5&amp;nav=MTVfe0YyMTJGNjdELTg0REMtNEY4Ri05MzE5LTE0M0FEODlBMzg5Q30" TargetMode="External"/><Relationship Id="rId2357" Type="http://schemas.openxmlformats.org/officeDocument/2006/relationships/hyperlink" Target="https://1drv.ms/x/s!AkP3hbXXLtgBhpEoaTK-EAwrB6PPjQ?e=LiWfcw&amp;nav=MTVfezFBQTVDNUQ5LTIxM0QtNDcxMi05RkYwLUI2NUUyNTFDRkFBMH0" TargetMode="External"/><Relationship Id="rId2564" Type="http://schemas.openxmlformats.org/officeDocument/2006/relationships/hyperlink" Target="https://1drv.ms/x/s!AkP3hbXXLtgBhpEoaTK-EAwrB6PPjQ?e=mXia38&amp;nav=MTVfe0I0NjUwQ0I4LURGNzEtNDA5NC04M0QxLUExRTNDN0Q3OTc1MX0" TargetMode="External"/><Relationship Id="rId231" Type="http://schemas.openxmlformats.org/officeDocument/2006/relationships/hyperlink" Target="https://1drv.ms/x/s!AkP3hbXXLtgBhpEoaTK-EAwrB6PPjQ?e=36Im2J&amp;nav=MTVfezg1NTdGRUM1LTczODktNDk5My1BQjA0LTkyQjFDODE4MjgxRX0" TargetMode="External"/><Relationship Id="rId329" Type="http://schemas.openxmlformats.org/officeDocument/2006/relationships/hyperlink" Target="https://1drv.ms/x/s!AkP3hbXXLtgBhpEoaTK-EAwrB6PPjQ?e=HO6wd4&amp;nav=MTVfe0NDRThCRDRELTFCMEEtNDNFRC1BMDRDLTc1QjY0NDgwNjJBMH0" TargetMode="External"/><Relationship Id="rId536" Type="http://schemas.openxmlformats.org/officeDocument/2006/relationships/hyperlink" Target="https://1drv.ms/x/s!AkP3hbXXLtgBhpEoaTK-EAwrB6PPjQ?e=zfxOib&amp;nav=MTVfezc5MUI1QUJBLTY0QUItNDM1OS05NkVBLTE3MUFBQTY2QzQ4Q30" TargetMode="External"/><Relationship Id="rId1166" Type="http://schemas.openxmlformats.org/officeDocument/2006/relationships/hyperlink" Target="https://1drv.ms/x/s!AkP3hbXXLtgBhpEoaTK-EAwrB6PPjQ?e=7D4jtp&amp;nav=MTVfe0Q5MDNFMUVCLUFFNkQtNDU5OC04QjYyLUFGODVDMTZENkVGMX0" TargetMode="External"/><Relationship Id="rId1373" Type="http://schemas.openxmlformats.org/officeDocument/2006/relationships/hyperlink" Target="https://1drv.ms/x/s!AkP3hbXXLtgBhpEoaTK-EAwrB6PPjQ?e=6Dzvxb&amp;nav=MTVfezE4RDVGRUE3LUYyN0MtNDRFNC1BMENCLTk1RTNFRjk3QkJDRX0" TargetMode="External"/><Relationship Id="rId2217" Type="http://schemas.openxmlformats.org/officeDocument/2006/relationships/hyperlink" Target="https://1drv.ms/x/s!AkP3hbXXLtgBhpEoaTK-EAwrB6PPjQ?e=PJkcfB&amp;nav=MTVfezBFRjgyRDlFLThFOEUtNDA2RC05QUQzLTk5RDY0REIzMEU3Rn0" TargetMode="External"/><Relationship Id="rId743" Type="http://schemas.openxmlformats.org/officeDocument/2006/relationships/hyperlink" Target="https://1drv.ms/x/s!AkP3hbXXLtgBhpEoaTK-EAwrB6PPjQ?e=0lRBEc&amp;nav=MTVfezRDRDQwMjU1LUJFM0ItNENDQS05NDQ1LUY1OTdERDA5ODg4NH0" TargetMode="External"/><Relationship Id="rId950" Type="http://schemas.openxmlformats.org/officeDocument/2006/relationships/hyperlink" Target="https://1drv.ms/x/s!AkP3hbXXLtgBhpEoaTK-EAwrB6PPjQ?e=GuJxJM&amp;nav=MTVfe0NBQzcxNDNGLTAzODYtNEFDRi1BNTI1LTRDQTYxMDEzNkYwM30" TargetMode="External"/><Relationship Id="rId1026" Type="http://schemas.openxmlformats.org/officeDocument/2006/relationships/hyperlink" Target="https://1drv.ms/x/s!AkP3hbXXLtgBhpEoaTK-EAwrB6PPjQ?e=NFspu9&amp;nav=MTVfezE1M0M1OEJDLTA3MzUtNERFMC1BNzE4LTMzMUY1QjZBOEZDMH0" TargetMode="External"/><Relationship Id="rId1580" Type="http://schemas.openxmlformats.org/officeDocument/2006/relationships/hyperlink" Target="https://1drv.ms/x/s!AkP3hbXXLtgBhpEoaTK-EAwrB6PPjQ?e=hF7xUm&amp;nav=MTVfezBDOEZCN0U5LURBOEQtNEY2Qi1CNUE1LUYzQTk0NDFBRkE2NX0" TargetMode="External"/><Relationship Id="rId1678" Type="http://schemas.openxmlformats.org/officeDocument/2006/relationships/hyperlink" Target="https://1drv.ms/x/s!AkP3hbXXLtgBhpEoaTK-EAwrB6PPjQ?e=DHRjp5&amp;nav=MTVfezdEN0E2ODJDLUYxMzctNDI0MS1BRjZDLThEMzExM0M0OTZBNn0" TargetMode="External"/><Relationship Id="rId1885" Type="http://schemas.openxmlformats.org/officeDocument/2006/relationships/hyperlink" Target="https://1drv.ms/x/s!AkP3hbXXLtgBhpEoaTK-EAwrB6PPjQ?e=3z9g8a&amp;nav=MTVfezBGMENERTNBLTZCQTUtNDYwRi05MDM3LUNDNDk5MDBCNUU5MX0" TargetMode="External"/><Relationship Id="rId2424" Type="http://schemas.openxmlformats.org/officeDocument/2006/relationships/hyperlink" Target="https://1drv.ms/x/s!AkP3hbXXLtgBhpEoaTK-EAwrB6PPjQ?e=X2f9pt&amp;nav=MTVfe0M4ODI3QTVFLTgzOUMtNDk2Qy1BMThFLUNCMDYwN0JBQjM5M30" TargetMode="External"/><Relationship Id="rId2631" Type="http://schemas.openxmlformats.org/officeDocument/2006/relationships/hyperlink" Target="https://1drv.ms/x/s!AkP3hbXXLtgBhpEoaTK-EAwrB6PPjQ?e=k1JzSb&amp;nav=MTVfezlCRDVCMEI4LTNBMEItNDE5NC04RTEyLUQxQzc3N0U3MUFFQn0" TargetMode="External"/><Relationship Id="rId2729" Type="http://schemas.openxmlformats.org/officeDocument/2006/relationships/hyperlink" Target="https://1drv.ms/x/s!AkP3hbXXLtgBhpEoaTK-EAwrB6PPjQ?e=hUXjPN&amp;nav=MTVfezYzNzY4MEExLTRDMzItNDcxMy05M0ZCLTBFNjAwNTlBMUI0MH0" TargetMode="External"/><Relationship Id="rId603" Type="http://schemas.openxmlformats.org/officeDocument/2006/relationships/hyperlink" Target="https://1drv.ms/x/s!AkP3hbXXLtgBhpEoaTK-EAwrB6PPjQ?e=ZRDRyK&amp;nav=MTVfe0IyQkRBQzE0LUM2QkQtNDY3Ny04MjcyLUQxNjYyMkIyRTZGRH0" TargetMode="External"/><Relationship Id="rId810" Type="http://schemas.openxmlformats.org/officeDocument/2006/relationships/hyperlink" Target="https://1drv.ms/x/s!AkP3hbXXLtgBhpEoaTK-EAwrB6PPjQ?e=zuxs7K&amp;nav=MTVfezEzQ0U5ODFBLTQxOTEtNERBOS05RDcwLTU1NDcwQ0I2MzhFNX0" TargetMode="External"/><Relationship Id="rId908" Type="http://schemas.openxmlformats.org/officeDocument/2006/relationships/hyperlink" Target="https://1drv.ms/x/s!AkP3hbXXLtgBhpEoaTK-EAwrB6PPjQ?e=q7Y9UY&amp;nav=MTVfezY2QjMzRUJDLTdGREQtNEI4MC05QkFBLTZFRTQyNUFCMDY2MH0" TargetMode="External"/><Relationship Id="rId1233" Type="http://schemas.openxmlformats.org/officeDocument/2006/relationships/hyperlink" Target="https://1drv.ms/x/s!AkP3hbXXLtgBhpEoaTK-EAwrB6PPjQ?e=U6lTuf&amp;nav=MTVfezFEODYyODdBLUIyOTctNDdGMC04MTkyLUUzRDE3NjM5RkNFQ30" TargetMode="External"/><Relationship Id="rId1440" Type="http://schemas.openxmlformats.org/officeDocument/2006/relationships/hyperlink" Target="https://1drv.ms/x/s!AkP3hbXXLtgBhpEoaTK-EAwrB6PPjQ?e=xXe3yl&amp;nav=MTVfezM1QjlFQjFCLUIxM0MtNDQ0Ni05MzQyLUU2QjczMkYzQzJFOH0" TargetMode="External"/><Relationship Id="rId1538" Type="http://schemas.openxmlformats.org/officeDocument/2006/relationships/hyperlink" Target="https://1drv.ms/x/s!AkP3hbXXLtgBhpEoaTK-EAwrB6PPjQ?e=PsqPhH&amp;nav=MTVfe0ZDRjg3ODhGLTBFNDItNDJCOC04MDRCLTU4OTcwNUMwMjFGMn0" TargetMode="External"/><Relationship Id="rId1300" Type="http://schemas.openxmlformats.org/officeDocument/2006/relationships/hyperlink" Target="https://1drv.ms/x/s!AkP3hbXXLtgBhpEoaTK-EAwrB6PPjQ?e=bD2jTr&amp;nav=MTVfezRGRUQzQzY0LTk3M0ItNDNDNy1BRUY3LTYwMDNGN0E5OThFQX0" TargetMode="External"/><Relationship Id="rId1745" Type="http://schemas.openxmlformats.org/officeDocument/2006/relationships/hyperlink" Target="https://1drv.ms/x/s!AkP3hbXXLtgBhpEoaTK-EAwrB6PPjQ?e=OaIvOH&amp;nav=MTVfezFDODBFQUMzLTY0M0UtNDM2MC04REU0LTRBOUYzQ0MxQkY2Nn0" TargetMode="External"/><Relationship Id="rId1952" Type="http://schemas.openxmlformats.org/officeDocument/2006/relationships/hyperlink" Target="https://1drv.ms/x/s!AkP3hbXXLtgBhpEoaTK-EAwrB6PPjQ?e=Hae5Hc&amp;nav=MTVfe0U1QUU2RDZBLTFGMkUtNENGNC04OENCLUE1MjI0OEMyNDMzNn0" TargetMode="External"/><Relationship Id="rId37" Type="http://schemas.openxmlformats.org/officeDocument/2006/relationships/hyperlink" Target="https://1drv.ms/x/s!AkP3hbXXLtgBhpEoaTK-EAwrB6PPjQ?e=AMVmTu&amp;nav=MTVfezNFMEFDQTg3LTgzOUUtNDFGNC04MkYwLUIxRjIyNTFBRDYzNX0" TargetMode="External"/><Relationship Id="rId1605" Type="http://schemas.openxmlformats.org/officeDocument/2006/relationships/hyperlink" Target="https://1drv.ms/x/s!AkP3hbXXLtgBhpEoaTK-EAwrB6PPjQ?e=hF7xUm&amp;nav=MTVfezBDOEZCN0U5LURBOEQtNEY2Qi1CNUE1LUYzQTk0NDFBRkE2NX0" TargetMode="External"/><Relationship Id="rId1812" Type="http://schemas.openxmlformats.org/officeDocument/2006/relationships/hyperlink" Target="https://1drv.ms/x/s!AkP3hbXXLtgBhpEoaTK-EAwrB6PPjQ?e=sBpJD5&amp;nav=MTVfezM5QzdFMEZDLTg3QTEtNDRCMS04QTgyLUQ3MDU0NDI2MTBFRn0" TargetMode="External"/><Relationship Id="rId186" Type="http://schemas.openxmlformats.org/officeDocument/2006/relationships/hyperlink" Target="https://1drv.ms/x/s!AkP3hbXXLtgBhpEoaTK-EAwrB6PPjQ?e=hKKsXn&amp;nav=MTVfe0M0MzQ5RkZFLUFFMEMtNDZBOC05NDNELUU2ODg5N0JGMDU4Rn0" TargetMode="External"/><Relationship Id="rId393" Type="http://schemas.openxmlformats.org/officeDocument/2006/relationships/hyperlink" Target="https://1drv.ms/x/s!AkP3hbXXLtgBhpEoaTK-EAwrB6PPjQ?e=mvWMFP&amp;nav=MTVfe0Q0MjM2QjFDLUVBQTAtNDE3Ri1BOEVGLTQzNzNBN0FGODY4M30" TargetMode="External"/><Relationship Id="rId2074" Type="http://schemas.openxmlformats.org/officeDocument/2006/relationships/hyperlink" Target="https://1drv.ms/x/s!AkP3hbXXLtgBhpEoaTK-EAwrB6PPjQ?e=t9ByVx&amp;nav=MTVfe0MzOTE2QzlDLTMzMEMtNEQ4NS05NjZBLTBFNzk3QjgxMEIwQn0" TargetMode="External"/><Relationship Id="rId2281" Type="http://schemas.openxmlformats.org/officeDocument/2006/relationships/hyperlink" Target="https://1drv.ms/x/s!AkP3hbXXLtgBhpEoaTK-EAwrB6PPjQ?e=vI4FNr&amp;nav=MTVfezhGQzkyMTU5LUYxNTUtNDg4MS04N0QzLTE5OTgzQjI3QTc1NH0" TargetMode="External"/><Relationship Id="rId253" Type="http://schemas.openxmlformats.org/officeDocument/2006/relationships/hyperlink" Target="https://1drv.ms/x/s!AkP3hbXXLtgBhpEoaTK-EAwrB6PPjQ?e=36Im2J&amp;nav=MTVfezg1NTdGRUM1LTczODktNDk5My1BQjA0LTkyQjFDODE4MjgxRX0" TargetMode="External"/><Relationship Id="rId460" Type="http://schemas.openxmlformats.org/officeDocument/2006/relationships/hyperlink" Target="https://1drv.ms/x/s!AkP3hbXXLtgBhpEoaTK-EAwrB6PPjQ?e=sXo522&amp;nav=MTVfe0VCNzhCQUU0LUVEQzItNDRCMC04QTFFLUZEQzA0OTNEMDkzOX0" TargetMode="External"/><Relationship Id="rId698" Type="http://schemas.openxmlformats.org/officeDocument/2006/relationships/hyperlink" Target="https://1drv.ms/x/s!AkP3hbXXLtgBhpEoaTK-EAwrB6PPjQ?e=JPeMLZ&amp;nav=MTVfezdEMkY3NDEyLUYwMzItNDM0RC05MDRFLTcyNTE0ODM0NjA4M30" TargetMode="External"/><Relationship Id="rId1090" Type="http://schemas.openxmlformats.org/officeDocument/2006/relationships/hyperlink" Target="https://1drv.ms/x/s!AkP3hbXXLtgBhpEoaTK-EAwrB6PPjQ?e=rYbeUy&amp;nav=MTVfe0Q1MEM2OTMzLTFBNUUtNDhCMS1CQzhCLTlGQTI2NEEzRURDRH0" TargetMode="External"/><Relationship Id="rId2141" Type="http://schemas.openxmlformats.org/officeDocument/2006/relationships/hyperlink" Target="https://1drv.ms/x/s!AkP3hbXXLtgBhpEoaTK-EAwrB6PPjQ?e=nj2bQ1&amp;nav=MTVfezAwMDAwMDAwLTAwMDEtMDAwMC0wMDAwLTAwMDAwMDAwMDAwMH0" TargetMode="External"/><Relationship Id="rId2379" Type="http://schemas.openxmlformats.org/officeDocument/2006/relationships/hyperlink" Target="https://1drv.ms/x/s!AkP3hbXXLtgBhpEoaTK-EAwrB6PPjQ?e=X2f9pt&amp;nav=MTVfe0M4ODI3QTVFLTgzOUMtNDk2Qy1BMThFLUNCMDYwN0JBQjM5M30" TargetMode="External"/><Relationship Id="rId2586" Type="http://schemas.openxmlformats.org/officeDocument/2006/relationships/hyperlink" Target="https://1drv.ms/x/s!AkP3hbXXLtgBhpEoaTK-EAwrB6PPjQ?e=N61x6z&amp;nav=MTVfezFBOUUwQ0Q3LUM4QTctNDRFRS1CMkY3LTFGQkJDMEM4NTIzRH0" TargetMode="External"/><Relationship Id="rId113" Type="http://schemas.openxmlformats.org/officeDocument/2006/relationships/hyperlink" Target="https://1drv.ms/x/s!AkP3hbXXLtgBhpEoaTK-EAwrB6PPjQ?e=hRuig5&amp;nav=MTVfe0NCREMzODZGLTI3RDktNEI4RS05QjQ0LUUzQTc5QTQyQzY2MX0" TargetMode="External"/><Relationship Id="rId320" Type="http://schemas.openxmlformats.org/officeDocument/2006/relationships/hyperlink" Target="https://1drv.ms/x/s!AkP3hbXXLtgBhpEoaTK-EAwrB6PPjQ?e=HO6wd4&amp;nav=MTVfe0NDRThCRDRELTFCMEEtNDNFRC1BMDRDLTc1QjY0NDgwNjJBMH0" TargetMode="External"/><Relationship Id="rId558" Type="http://schemas.openxmlformats.org/officeDocument/2006/relationships/hyperlink" Target="https://1drv.ms/x/s!AkP3hbXXLtgBhpEoaTK-EAwrB6PPjQ?e=xgZSuS&amp;nav=MTVfezA3RkYxMTMwLTAyQjYtNDA4RS1BMkU5LTI2MUQ0MjM2OEJGQn0" TargetMode="External"/><Relationship Id="rId765" Type="http://schemas.openxmlformats.org/officeDocument/2006/relationships/hyperlink" Target="https://1drv.ms/x/s!AkP3hbXXLtgBhpEoaTK-EAwrB6PPjQ?e=0lRBEc&amp;nav=MTVfezRDRDQwMjU1LUJFM0ItNENDQS05NDQ1LUY1OTdERDA5ODg4NH0" TargetMode="External"/><Relationship Id="rId972" Type="http://schemas.openxmlformats.org/officeDocument/2006/relationships/hyperlink" Target="https://1drv.ms/x/s!AkP3hbXXLtgBhpEoaTK-EAwrB6PPjQ?e=fk66xb&amp;nav=MTVfezU0MjNBNEE5LTNDNzctNDQwNC05RjA3LTAyNEI1N0FBQjFDNX0" TargetMode="External"/><Relationship Id="rId1188" Type="http://schemas.openxmlformats.org/officeDocument/2006/relationships/hyperlink" Target="https://1drv.ms/x/s!AkP3hbXXLtgBhpEoaTK-EAwrB6PPjQ?e=7D4jtp&amp;nav=MTVfe0Q5MDNFMUVCLUFFNkQtNDU5OC04QjYyLUFGODVDMTZENkVGMX0" TargetMode="External"/><Relationship Id="rId1395" Type="http://schemas.openxmlformats.org/officeDocument/2006/relationships/hyperlink" Target="https://1drv.ms/x/s!AkP3hbXXLtgBhpEoaTK-EAwrB6PPjQ?e=6Dzvxb&amp;nav=MTVfezE4RDVGRUE3LUYyN0MtNDRFNC1BMENCLTk1RTNFRjk3QkJDRX0" TargetMode="External"/><Relationship Id="rId2001" Type="http://schemas.openxmlformats.org/officeDocument/2006/relationships/hyperlink" Target="https://1drv.ms/x/s!AkP3hbXXLtgBhpEoaTK-EAwrB6PPjQ?e=e8c5BE&amp;nav=MTVfe0YzRjMwRTg2LTYyMTgtNEY5QS05Qzg0LTUxNkJFM0Q4MDAwN30" TargetMode="External"/><Relationship Id="rId2239" Type="http://schemas.openxmlformats.org/officeDocument/2006/relationships/hyperlink" Target="https://1drv.ms/x/s!AkP3hbXXLtgBhpEoaTK-EAwrB6PPjQ?e=vI4FNr&amp;nav=MTVfezhGQzkyMTU5LUYxNTUtNDg4MS04N0QzLTE5OTgzQjI3QTc1NH0" TargetMode="External"/><Relationship Id="rId2446" Type="http://schemas.openxmlformats.org/officeDocument/2006/relationships/hyperlink" Target="https://1drv.ms/x/s!AkP3hbXXLtgBhpEoaTK-EAwrB6PPjQ?e=LQfhsg&amp;nav=MTVfe0FGQTQ2QTUxLTkwOEEtNEZCNi04OUQ1LTMwOUU4QkMzMTRFQ30" TargetMode="External"/><Relationship Id="rId2653" Type="http://schemas.openxmlformats.org/officeDocument/2006/relationships/hyperlink" Target="https://1drv.ms/x/s!AkP3hbXXLtgBhpEoaTK-EAwrB6PPjQ?e=k1JzSb&amp;nav=MTVfezlCRDVCMEI4LTNBMEItNDE5NC04RTEyLUQxQzc3N0U3MUFFQn0" TargetMode="External"/><Relationship Id="rId418" Type="http://schemas.openxmlformats.org/officeDocument/2006/relationships/hyperlink" Target="https://1drv.ms/x/s!AkP3hbXXLtgBhpEoaTK-EAwrB6PPjQ?e=sXo522&amp;nav=MTVfe0VCNzhCQUU0LUVEQzItNDRCMC04QTFFLUZEQzA0OTNEMDkzOX0" TargetMode="External"/><Relationship Id="rId625" Type="http://schemas.openxmlformats.org/officeDocument/2006/relationships/hyperlink" Target="https://1drv.ms/x/s!AkP3hbXXLtgBhpEoaTK-EAwrB6PPjQ?e=ZRDRyK&amp;nav=MTVfe0IyQkRBQzE0LUM2QkQtNDY3Ny04MjcyLUQxNjYyMkIyRTZGRH0" TargetMode="External"/><Relationship Id="rId832" Type="http://schemas.openxmlformats.org/officeDocument/2006/relationships/hyperlink" Target="https://1drv.ms/x/s!AkP3hbXXLtgBhpEoaTK-EAwrB6PPjQ?e=zuxs7K&amp;nav=MTVfezEzQ0U5ODFBLTQxOTEtNERBOS05RDcwLTU1NDcwQ0I2MzhFNX0" TargetMode="External"/><Relationship Id="rId1048" Type="http://schemas.openxmlformats.org/officeDocument/2006/relationships/hyperlink" Target="https://1drv.ms/x/s!AkP3hbXXLtgBhpEoaTK-EAwrB6PPjQ?e=NFspu9&amp;nav=MTVfezE1M0M1OEJDLTA3MzUtNERFMC1BNzE4LTMzMUY1QjZBOEZDMH0" TargetMode="External"/><Relationship Id="rId1255" Type="http://schemas.openxmlformats.org/officeDocument/2006/relationships/hyperlink" Target="https://1drv.ms/x/s!AkP3hbXXLtgBhpEoaTK-EAwrB6PPjQ?e=UaBeCf&amp;nav=MTVfezM0NkJDRTA1LThBNUQtNDFFMC1BNjQ2LTk5NTVEMTg4RUEzNn0" TargetMode="External"/><Relationship Id="rId1462" Type="http://schemas.openxmlformats.org/officeDocument/2006/relationships/hyperlink" Target="https://1drv.ms/x/s!AkP3hbXXLtgBhpEoaTK-EAwrB6PPjQ?e=xXe3yl&amp;nav=MTVfezM1QjlFQjFCLUIxM0MtNDQ0Ni05MzQyLUU2QjczMkYzQzJFOH0" TargetMode="External"/><Relationship Id="rId2306" Type="http://schemas.openxmlformats.org/officeDocument/2006/relationships/hyperlink" Target="https://1drv.ms/x/s!AkP3hbXXLtgBhpEoaTK-EAwrB6PPjQ?e=LiWfcw&amp;nav=MTVfezFBQTVDNUQ5LTIxM0QtNDcxMi05RkYwLUI2NUUyNTFDRkFBMH0" TargetMode="External"/><Relationship Id="rId2513" Type="http://schemas.openxmlformats.org/officeDocument/2006/relationships/hyperlink" Target="https://1drv.ms/x/s!AkP3hbXXLtgBhpEoaTK-EAwrB6PPjQ?e=mXia38&amp;nav=MTVfe0I0NjUwQ0I4LURGNzEtNDA5NC04M0QxLUExRTNDN0Q3OTc1MX0" TargetMode="External"/><Relationship Id="rId1115" Type="http://schemas.openxmlformats.org/officeDocument/2006/relationships/hyperlink" Target="https://1drv.ms/x/s!AkP3hbXXLtgBhpEoaTK-EAwrB6PPjQ?e=Brd8C5&amp;nav=MTVfe0YyMTJGNjdELTg0REMtNEY4Ri05MzE5LTE0M0FEODlBMzg5Q30" TargetMode="External"/><Relationship Id="rId1322" Type="http://schemas.openxmlformats.org/officeDocument/2006/relationships/hyperlink" Target="https://1drv.ms/x/s!AkP3hbXXLtgBhpEoaTK-EAwrB6PPjQ?e=aEDo0X&amp;nav=MTVfe0Y5NTI5MkI1LUFCMUItNDU0Ni1BNjg1LUVEQUU4Q0U3RTM5OX0" TargetMode="External"/><Relationship Id="rId1767" Type="http://schemas.openxmlformats.org/officeDocument/2006/relationships/hyperlink" Target="https://1drv.ms/x/s!AkP3hbXXLtgBhpEoaTK-EAwrB6PPjQ?e=sBpJD5&amp;nav=MTVfezM5QzdFMEZDLTg3QTEtNDRCMS04QTgyLUQ3MDU0NDI2MTBFRn0" TargetMode="External"/><Relationship Id="rId1974" Type="http://schemas.openxmlformats.org/officeDocument/2006/relationships/hyperlink" Target="https://1drv.ms/x/s!AkP3hbXXLtgBhpEoaTK-EAwrB6PPjQ?e=Hae5Hc&amp;nav=MTVfe0U1QUU2RDZBLTFGMkUtNENGNC04OENCLUE1MjI0OEMyNDMzNn0" TargetMode="External"/><Relationship Id="rId2720" Type="http://schemas.openxmlformats.org/officeDocument/2006/relationships/hyperlink" Target="https://1drv.ms/x/s!AkP3hbXXLtgBhpEoaTK-EAwrB6PPjQ?e=hUXjPN&amp;nav=MTVfezYzNzY4MEExLTRDMzItNDcxMy05M0ZCLTBFNjAwNTlBMUI0MH0" TargetMode="External"/><Relationship Id="rId59" Type="http://schemas.openxmlformats.org/officeDocument/2006/relationships/hyperlink" Target="https://1drv.ms/x/s!AkP3hbXXLtgBhpEoaTK-EAwrB6PPjQ?e=AMVmTu&amp;nav=MTVfezNFMEFDQTg3LTgzOUUtNDFGNC04MkYwLUIxRjIyNTFBRDYzNX0" TargetMode="External"/><Relationship Id="rId1627" Type="http://schemas.openxmlformats.org/officeDocument/2006/relationships/hyperlink" Target="https://1drv.ms/x/s!AkP3hbXXLtgBhpEoaTK-EAwrB6PPjQ?e=VUlHtx&amp;nav=MTVfe0JEMzdCNzJBLTQ3QUItNEI0NC04MDRCLTNDRDY0MDVBODI2Qn0" TargetMode="External"/><Relationship Id="rId1834" Type="http://schemas.openxmlformats.org/officeDocument/2006/relationships/hyperlink" Target="https://1drv.ms/x/s!AkP3hbXXLtgBhpEoaTK-EAwrB6PPjQ?e=Qo1W02&amp;nav=MTVfe0Q5NDAyRTdCLTJCNEYtNEQ5OS05Q0Y4LTIyNDExQjYxNzRBRH0" TargetMode="External"/><Relationship Id="rId2096" Type="http://schemas.openxmlformats.org/officeDocument/2006/relationships/hyperlink" Target="https://1drv.ms/x/s!AkP3hbXXLtgBhpEoaTK-EAwrB6PPjQ?e=7tvhFu&amp;nav=MTVfezYzQUQ2N0RCLTZFQkQtNDhGOC1BODVFLUQzNjgwN0I4QkNFMn0" TargetMode="External"/><Relationship Id="rId1901" Type="http://schemas.openxmlformats.org/officeDocument/2006/relationships/hyperlink" Target="https://1drv.ms/x/s!AkP3hbXXLtgBhpEoaTK-EAwrB6PPjQ?e=TStCPl&amp;nav=MTVfezI2MjVEMjA5LUMzRUYtNEM5RS1CM0Q3LUE4NUY4RTMyNDUyNH0" TargetMode="External"/><Relationship Id="rId275" Type="http://schemas.openxmlformats.org/officeDocument/2006/relationships/hyperlink" Target="https://1drv.ms/x/s!AkP3hbXXLtgBhpEoaTK-EAwrB6PPjQ?e=36Im2J&amp;nav=MTVfezg1NTdGRUM1LTczODktNDk5My1BQjA0LTkyQjFDODE4MjgxRX0" TargetMode="External"/><Relationship Id="rId482" Type="http://schemas.openxmlformats.org/officeDocument/2006/relationships/hyperlink" Target="https://1drv.ms/x/s!AkP3hbXXLtgBhpEoaTK-EAwrB6PPjQ?e=zfxOib&amp;nav=MTVfezc5MUI1QUJBLTY0QUItNDM1OS05NkVBLTE3MUFBQTY2QzQ4Q30" TargetMode="External"/><Relationship Id="rId2163" Type="http://schemas.openxmlformats.org/officeDocument/2006/relationships/hyperlink" Target="https://1drv.ms/x/s!AkP3hbXXLtgBhpEoaTK-EAwrB6PPjQ?e=PJkcfB&amp;nav=MTVfezBFRjgyRDlFLThFOEUtNDA2RC05QUQzLTk5RDY0REIzMEU3Rn0" TargetMode="External"/><Relationship Id="rId2370" Type="http://schemas.openxmlformats.org/officeDocument/2006/relationships/hyperlink" Target="https://1drv.ms/x/s!AkP3hbXXLtgBhpEoaTK-EAwrB6PPjQ?e=X2f9pt&amp;nav=MTVfe0M4ODI3QTVFLTgzOUMtNDk2Qy1BMThFLUNCMDYwN0JBQjM5M30" TargetMode="External"/><Relationship Id="rId135" Type="http://schemas.openxmlformats.org/officeDocument/2006/relationships/hyperlink" Target="https://1drv.ms/x/s!AkP3hbXXLtgBhpEoaTK-EAwrB6PPjQ?e=hRuig5&amp;nav=MTVfe0NCREMzODZGLTI3RDktNEI4RS05QjQ0LUUzQTc5QTQyQzY2MX0" TargetMode="External"/><Relationship Id="rId342" Type="http://schemas.openxmlformats.org/officeDocument/2006/relationships/hyperlink" Target="https://1drv.ms/x/s!AkP3hbXXLtgBhpEoaTK-EAwrB6PPjQ?e=HO6wd4&amp;nav=MTVfe0NDRThCRDRELTFCMEEtNDNFRC1BMDRDLTc1QjY0NDgwNjJBMH0" TargetMode="External"/><Relationship Id="rId787" Type="http://schemas.openxmlformats.org/officeDocument/2006/relationships/hyperlink" Target="https://1drv.ms/x/s!AkP3hbXXLtgBhpEoaTK-EAwrB6PPjQ?e=zuxs7K&amp;nav=MTVfezEzQ0U5ODFBLTQxOTEtNERBOS05RDcwLTU1NDcwQ0I2MzhFNX0" TargetMode="External"/><Relationship Id="rId994" Type="http://schemas.openxmlformats.org/officeDocument/2006/relationships/hyperlink" Target="https://1drv.ms/x/s!AkP3hbXXLtgBhpEoaTK-EAwrB6PPjQ?e=fk66xb&amp;nav=MTVfezU0MjNBNEE5LTNDNzctNDQwNC05RjA3LTAyNEI1N0FBQjFDNX0" TargetMode="External"/><Relationship Id="rId2023" Type="http://schemas.openxmlformats.org/officeDocument/2006/relationships/hyperlink" Target="https://1drv.ms/x/s!AkP3hbXXLtgBhpEoaTK-EAwrB6PPjQ?e=e8c5BE&amp;nav=MTVfe0YzRjMwRTg2LTYyMTgtNEY5QS05Qzg0LTUxNkJFM0Q4MDAwN30" TargetMode="External"/><Relationship Id="rId2230" Type="http://schemas.openxmlformats.org/officeDocument/2006/relationships/hyperlink" Target="https://1drv.ms/x/s!AkP3hbXXLtgBhpEoaTK-EAwrB6PPjQ?e=vI4FNr&amp;nav=MTVfezhGQzkyMTU5LUYxNTUtNDg4MS04N0QzLTE5OTgzQjI3QTc1NH0" TargetMode="External"/><Relationship Id="rId2468" Type="http://schemas.openxmlformats.org/officeDocument/2006/relationships/hyperlink" Target="https://1drv.ms/x/s!AkP3hbXXLtgBhpEoaTK-EAwrB6PPjQ?e=LQfhsg&amp;nav=MTVfe0FGQTQ2QTUxLTkwOEEtNEZCNi04OUQ1LTMwOUU4QkMzMTRFQ30" TargetMode="External"/><Relationship Id="rId2675" Type="http://schemas.openxmlformats.org/officeDocument/2006/relationships/hyperlink" Target="https://1drv.ms/x/s!AkP3hbXXLtgBhpEoaTK-EAwrB6PPjQ?e=hUXjPN&amp;nav=MTVfezYzNzY4MEExLTRDMzItNDcxMy05M0ZCLTBFNjAwNTlBMUI0MH0" TargetMode="External"/><Relationship Id="rId202" Type="http://schemas.openxmlformats.org/officeDocument/2006/relationships/hyperlink" Target="https://1drv.ms/x/s!AkP3hbXXLtgBhpEoaTK-EAwrB6PPjQ?e=hKKsXn&amp;nav=MTVfe0M0MzQ5RkZFLUFFMEMtNDZBOC05NDNELUU2ODg5N0JGMDU4Rn0" TargetMode="External"/><Relationship Id="rId647" Type="http://schemas.openxmlformats.org/officeDocument/2006/relationships/hyperlink" Target="https://1drv.ms/x/s!AkP3hbXXLtgBhpEoaTK-EAwrB6PPjQ?e=ZRDRyK&amp;nav=MTVfe0IyQkRBQzE0LUM2QkQtNDY3Ny04MjcyLUQxNjYyMkIyRTZGRH0" TargetMode="External"/><Relationship Id="rId854" Type="http://schemas.openxmlformats.org/officeDocument/2006/relationships/hyperlink" Target="https://1drv.ms/x/s!AkP3hbXXLtgBhpEoaTK-EAwrB6PPjQ?e=VcWWuU&amp;nav=MTVfe0ExMEEwQ0RDLUFCNUQtNEMxQS1BM0ZGLTEzRDE2MkJEN0U2Q30" TargetMode="External"/><Relationship Id="rId1277" Type="http://schemas.openxmlformats.org/officeDocument/2006/relationships/hyperlink" Target="https://1drv.ms/x/s!AkP3hbXXLtgBhpEoaTK-EAwrB6PPjQ?e=bD2jTr&amp;nav=MTVfezRGRUQzQzY0LTk3M0ItNDNDNy1BRUY3LTYwMDNGN0E5OThFQX0" TargetMode="External"/><Relationship Id="rId1484" Type="http://schemas.openxmlformats.org/officeDocument/2006/relationships/hyperlink" Target="https://1drv.ms/x/s!AkP3hbXXLtgBhpEoaTK-EAwrB6PPjQ?e=Dygyft&amp;nav=MTVfe0VDMUJBNEJBLUNCOTAtNDI3Ri1CMTVFLUZDQjc2NURCQ0I1Q30" TargetMode="External"/><Relationship Id="rId1691" Type="http://schemas.openxmlformats.org/officeDocument/2006/relationships/hyperlink" Target="https://1drv.ms/x/s!AkP3hbXXLtgBhpEoaTK-EAwrB6PPjQ?e=DHRjp5&amp;nav=MTVfezdEN0E2ODJDLUYxMzctNDI0MS1BRjZDLThEMzExM0M0OTZBNn0" TargetMode="External"/><Relationship Id="rId2328" Type="http://schemas.openxmlformats.org/officeDocument/2006/relationships/hyperlink" Target="https://1drv.ms/x/s!AkP3hbXXLtgBhpEoaTK-EAwrB6PPjQ?e=LiWfcw&amp;nav=MTVfezFBQTVDNUQ5LTIxM0QtNDcxMi05RkYwLUI2NUUyNTFDRkFBMH0" TargetMode="External"/><Relationship Id="rId2535" Type="http://schemas.openxmlformats.org/officeDocument/2006/relationships/hyperlink" Target="https://1drv.ms/x/s!AkP3hbXXLtgBhpEoaTK-EAwrB6PPjQ?e=mXia38&amp;nav=MTVfe0I0NjUwQ0I4LURGNzEtNDA5NC04M0QxLUExRTNDN0Q3OTc1MX0" TargetMode="External"/><Relationship Id="rId2742" Type="http://schemas.openxmlformats.org/officeDocument/2006/relationships/hyperlink" Target="https://1drv.ms/x/s!AkP3hbXXLtgBhpEoaTK-EAwrB6PPjQ?e=5RiQ1M&amp;nav=MTVfezAwOEJCMDMxLUEyNEEtNDc3RS04RDNFLTBENTk0MDBCNEY0OH0" TargetMode="External"/><Relationship Id="rId507" Type="http://schemas.openxmlformats.org/officeDocument/2006/relationships/hyperlink" Target="https://1drv.ms/x/s!AkP3hbXXLtgBhpEoaTK-EAwrB6PPjQ?e=zfxOib&amp;nav=MTVfezc5MUI1QUJBLTY0QUItNDM1OS05NkVBLTE3MUFBQTY2QzQ4Q30" TargetMode="External"/><Relationship Id="rId714" Type="http://schemas.openxmlformats.org/officeDocument/2006/relationships/hyperlink" Target="https://1drv.ms/x/s!AkP3hbXXLtgBhpEoaTK-EAwrB6PPjQ?e=JPeMLZ&amp;nav=MTVfezdEMkY3NDEyLUYwMzItNDM0RC05MDRFLTcyNTE0ODM0NjA4M30" TargetMode="External"/><Relationship Id="rId921" Type="http://schemas.openxmlformats.org/officeDocument/2006/relationships/hyperlink" Target="https://1drv.ms/x/s!AkP3hbXXLtgBhpEoaTK-EAwrB6PPjQ?e=q7Y9UY&amp;nav=MTVfezY2QjMzRUJDLTdGREQtNEI4MC05QkFBLTZFRTQyNUFCMDY2MH0" TargetMode="External"/><Relationship Id="rId1137" Type="http://schemas.openxmlformats.org/officeDocument/2006/relationships/hyperlink" Target="https://1drv.ms/x/s!AkP3hbXXLtgBhpEoaTK-EAwrB6PPjQ?e=Brd8C5&amp;nav=MTVfe0YyMTJGNjdELTg0REMtNEY4Ri05MzE5LTE0M0FEODlBMzg5Q30" TargetMode="External"/><Relationship Id="rId1344" Type="http://schemas.openxmlformats.org/officeDocument/2006/relationships/hyperlink" Target="https://1drv.ms/x/s!AkP3hbXXLtgBhpEoaTK-EAwrB6PPjQ?e=SkY523&amp;nav=MTVfezk3NEQ3MjVGLTlERDMtNDdDOS05QzJDLUU5RjJCNjk2N0I4MX0" TargetMode="External"/><Relationship Id="rId1551" Type="http://schemas.openxmlformats.org/officeDocument/2006/relationships/hyperlink" Target="https://1drv.ms/x/s!AkP3hbXXLtgBhpEoaTK-EAwrB6PPjQ?e=PsqPhH&amp;nav=MTVfe0ZDRjg3ODhGLTBFNDItNDJCOC04MDRCLTU4OTcwNUMwMjFGMn0" TargetMode="External"/><Relationship Id="rId1789" Type="http://schemas.openxmlformats.org/officeDocument/2006/relationships/hyperlink" Target="https://1drv.ms/x/s!AkP3hbXXLtgBhpEoaTK-EAwrB6PPjQ?e=sBpJD5&amp;nav=MTVfezM5QzdFMEZDLTg3QTEtNDRCMS04QTgyLUQ3MDU0NDI2MTBFRn0" TargetMode="External"/><Relationship Id="rId1996" Type="http://schemas.openxmlformats.org/officeDocument/2006/relationships/hyperlink" Target="https://1drv.ms/x/s!AkP3hbXXLtgBhpEoaTK-EAwrB6PPjQ?e=e8c5BE&amp;nav=MTVfe0YzRjMwRTg2LTYyMTgtNEY5QS05Qzg0LTUxNkJFM0Q4MDAwN30" TargetMode="External"/><Relationship Id="rId2602" Type="http://schemas.openxmlformats.org/officeDocument/2006/relationships/hyperlink" Target="https://1drv.ms/x/s!AkP3hbXXLtgBhpEoaTK-EAwrB6PPjQ?e=k1JzSb&amp;nav=MTVfezlCRDVCMEI4LTNBMEItNDE5NC04RTEyLUQxQzc3N0U3MUFFQn0" TargetMode="External"/><Relationship Id="rId50" Type="http://schemas.openxmlformats.org/officeDocument/2006/relationships/hyperlink" Target="https://1drv.ms/x/s!AkP3hbXXLtgBhpEoaTK-EAwrB6PPjQ?e=AMVmTu&amp;nav=MTVfezNFMEFDQTg3LTgzOUUtNDFGNC04MkYwLUIxRjIyNTFBRDYzNX0" TargetMode="External"/><Relationship Id="rId1204" Type="http://schemas.openxmlformats.org/officeDocument/2006/relationships/hyperlink" Target="https://1drv.ms/x/s!AkP3hbXXLtgBhpEoaTK-EAwrB6PPjQ?e=U6lTuf&amp;nav=MTVfezFEODYyODdBLUIyOTctNDdGMC04MTkyLUUzRDE3NjM5RkNFQ30" TargetMode="External"/><Relationship Id="rId1411" Type="http://schemas.openxmlformats.org/officeDocument/2006/relationships/hyperlink" Target="https://1drv.ms/x/s!AkP3hbXXLtgBhpEoaTK-EAwrB6PPjQ?e=6Dzvxb&amp;nav=MTVfezE4RDVGRUE3LUYyN0MtNDRFNC1BMENCLTk1RTNFRjk3QkJDRX0" TargetMode="External"/><Relationship Id="rId1649" Type="http://schemas.openxmlformats.org/officeDocument/2006/relationships/hyperlink" Target="https://1drv.ms/x/s!AkP3hbXXLtgBhpEoaTK-EAwrB6PPjQ?e=DHRjp5&amp;nav=MTVfezdEN0E2ODJDLUYxMzctNDI0MS1BRjZDLThEMzExM0M0OTZBNn0" TargetMode="External"/><Relationship Id="rId1856" Type="http://schemas.openxmlformats.org/officeDocument/2006/relationships/hyperlink" Target="https://1drv.ms/x/s!AkP3hbXXLtgBhpEoaTK-EAwrB6PPjQ?e=pv1n5G&amp;nav=MTVfe0I5QjVDOEU1LTM5MTMtNDRCNy1COEY4LUUwMUNENUM2NTY1NX0" TargetMode="External"/><Relationship Id="rId1509" Type="http://schemas.openxmlformats.org/officeDocument/2006/relationships/hyperlink" Target="https://1drv.ms/x/s!AkP3hbXXLtgBhpEoaTK-EAwrB6PPjQ?e=xGItXl&amp;nav=MTVfezc3NDc5QTVFLTEyMTItNEVGOS04NzRCLUUzREZBMkQ0NjU4OH0" TargetMode="External"/><Relationship Id="rId1716" Type="http://schemas.openxmlformats.org/officeDocument/2006/relationships/hyperlink" Target="https://1drv.ms/x/s!AkP3hbXXLtgBhpEoaTK-EAwrB6PPjQ?e=DHRjp5&amp;nav=MTVfezdEN0E2ODJDLUYxMzctNDI0MS1BRjZDLThEMzExM0M0OTZBNn0" TargetMode="External"/><Relationship Id="rId1923" Type="http://schemas.openxmlformats.org/officeDocument/2006/relationships/hyperlink" Target="https://1drv.ms/x/s!AkP3hbXXLtgBhpEoaTK-EAwrB6PPjQ?e=U8iWbp&amp;nav=MTVfezVDRDNFMEMzLTY0NDctNDUyNC05RjQyLUQ5MzdFOTgzQzgzNH0" TargetMode="External"/><Relationship Id="rId297" Type="http://schemas.openxmlformats.org/officeDocument/2006/relationships/hyperlink" Target="https://1drv.ms/x/s!AkP3hbXXLtgBhpEoaTK-EAwrB6PPjQ?e=HO6wd4&amp;nav=MTVfe0NDRThCRDRELTFCMEEtNDNFRC1BMDRDLTc1QjY0NDgwNjJBMH0" TargetMode="External"/><Relationship Id="rId2185" Type="http://schemas.openxmlformats.org/officeDocument/2006/relationships/hyperlink" Target="https://1drv.ms/x/s!AkP3hbXXLtgBhpEoaTK-EAwrB6PPjQ?e=PJkcfB&amp;nav=MTVfezBFRjgyRDlFLThFOEUtNDA2RC05QUQzLTk5RDY0REIzMEU3Rn0" TargetMode="External"/><Relationship Id="rId2392" Type="http://schemas.openxmlformats.org/officeDocument/2006/relationships/hyperlink" Target="https://1drv.ms/x/s!AkP3hbXXLtgBhpEoaTK-EAwrB6PPjQ?e=X2f9pt&amp;nav=MTVfe0M4ODI3QTVFLTgzOUMtNDk2Qy1BMThFLUNCMDYwN0JBQjM5M30" TargetMode="External"/><Relationship Id="rId157" Type="http://schemas.openxmlformats.org/officeDocument/2006/relationships/hyperlink" Target="https://1drv.ms/x/s!AkP3hbXXLtgBhpEoaTK-EAwrB6PPjQ?e=hRuig5&amp;nav=MTVfe0NCREMzODZGLTI3RDktNEI4RS05QjQ0LUUzQTc5QTQyQzY2MX0" TargetMode="External"/><Relationship Id="rId364" Type="http://schemas.openxmlformats.org/officeDocument/2006/relationships/hyperlink" Target="https://1drv.ms/x/s!AkP3hbXXLtgBhpEoaTK-EAwrB6PPjQ?e=mvWMFP&amp;nav=MTVfe0Q0MjM2QjFDLUVBQTAtNDE3Ri1BOEVGLTQzNzNBN0FGODY4M30" TargetMode="External"/><Relationship Id="rId2045" Type="http://schemas.openxmlformats.org/officeDocument/2006/relationships/hyperlink" Target="https://1drv.ms/x/s!AkP3hbXXLtgBhpEoaTK-EAwrB6PPjQ?e=t9ByVx&amp;nav=MTVfe0MzOTE2QzlDLTMzMEMtNEQ4NS05NjZBLTBFNzk3QjgxMEIwQn0" TargetMode="External"/><Relationship Id="rId2697" Type="http://schemas.openxmlformats.org/officeDocument/2006/relationships/hyperlink" Target="https://1drv.ms/x/s!AkP3hbXXLtgBhpEoaTK-EAwrB6PPjQ?e=hUXjPN&amp;nav=MTVfezYzNzY4MEExLTRDMzItNDcxMy05M0ZCLTBFNjAwNTlBMUI0MH0" TargetMode="External"/><Relationship Id="rId571" Type="http://schemas.openxmlformats.org/officeDocument/2006/relationships/hyperlink" Target="https://1drv.ms/x/s!AkP3hbXXLtgBhpEoaTK-EAwrB6PPjQ?e=xgZSuS&amp;nav=MTVfezA3RkYxMTMwLTAyQjYtNDA4RS1BMkU5LTI2MUQ0MjM2OEJGQn0" TargetMode="External"/><Relationship Id="rId669" Type="http://schemas.openxmlformats.org/officeDocument/2006/relationships/hyperlink" Target="https://1drv.ms/x/s!AkP3hbXXLtgBhpEoaTK-EAwrB6PPjQ?e=JPeMLZ&amp;nav=MTVfezdEMkY3NDEyLUYwMzItNDM0RC05MDRFLTcyNTE0ODM0NjA4M30" TargetMode="External"/><Relationship Id="rId876" Type="http://schemas.openxmlformats.org/officeDocument/2006/relationships/hyperlink" Target="https://1drv.ms/x/s!AkP3hbXXLtgBhpEoaTK-EAwrB6PPjQ?e=VcWWuU&amp;nav=MTVfe0ExMEEwQ0RDLUFCNUQtNEMxQS1BM0ZGLTEzRDE2MkJEN0U2Q30" TargetMode="External"/><Relationship Id="rId1299" Type="http://schemas.openxmlformats.org/officeDocument/2006/relationships/hyperlink" Target="https://1drv.ms/x/s!AkP3hbXXLtgBhpEoaTK-EAwrB6PPjQ?e=bD2jTr&amp;nav=MTVfezRGRUQzQzY0LTk3M0ItNDNDNy1BRUY3LTYwMDNGN0E5OThFQX0" TargetMode="External"/><Relationship Id="rId2252" Type="http://schemas.openxmlformats.org/officeDocument/2006/relationships/hyperlink" Target="https://1drv.ms/x/s!AkP3hbXXLtgBhpEoaTK-EAwrB6PPjQ?e=vI4FNr&amp;nav=MTVfezhGQzkyMTU5LUYxNTUtNDg4MS04N0QzLTE5OTgzQjI3QTc1NH0" TargetMode="External"/><Relationship Id="rId2557" Type="http://schemas.openxmlformats.org/officeDocument/2006/relationships/hyperlink" Target="https://1drv.ms/x/s!AkP3hbXXLtgBhpEoaTK-EAwrB6PPjQ?e=mXia38&amp;nav=MTVfe0I0NjUwQ0I4LURGNzEtNDA5NC04M0QxLUExRTNDN0Q3OTc1MX0" TargetMode="External"/><Relationship Id="rId224" Type="http://schemas.openxmlformats.org/officeDocument/2006/relationships/hyperlink" Target="https://1drv.ms/x/s!AkP3hbXXLtgBhpEoaTK-EAwrB6PPjQ?e=hKKsXn&amp;nav=MTVfe0M0MzQ5RkZFLUFFMEMtNDZBOC05NDNELUU2ODg5N0JGMDU4Rn0" TargetMode="External"/><Relationship Id="rId431" Type="http://schemas.openxmlformats.org/officeDocument/2006/relationships/hyperlink" Target="https://1drv.ms/x/s!AkP3hbXXLtgBhpEoaTK-EAwrB6PPjQ?e=sXo522&amp;nav=MTVfe0VCNzhCQUU0LUVEQzItNDRCMC04QTFFLUZEQzA0OTNEMDkzOX0" TargetMode="External"/><Relationship Id="rId529" Type="http://schemas.openxmlformats.org/officeDocument/2006/relationships/hyperlink" Target="https://1drv.ms/x/s!AkP3hbXXLtgBhpEoaTK-EAwrB6PPjQ?e=zfxOib&amp;nav=MTVfezc5MUI1QUJBLTY0QUItNDM1OS05NkVBLTE3MUFBQTY2QzQ4Q30" TargetMode="External"/><Relationship Id="rId736" Type="http://schemas.openxmlformats.org/officeDocument/2006/relationships/hyperlink" Target="https://1drv.ms/x/s!AkP3hbXXLtgBhpEoaTK-EAwrB6PPjQ?e=0lRBEc&amp;nav=MTVfezRDRDQwMjU1LUJFM0ItNENDQS05NDQ1LUY1OTdERDA5ODg4NH0" TargetMode="External"/><Relationship Id="rId1061" Type="http://schemas.openxmlformats.org/officeDocument/2006/relationships/hyperlink" Target="https://1drv.ms/x/s!AkP3hbXXLtgBhpEoaTK-EAwrB6PPjQ?e=rYbeUy&amp;nav=MTVfe0Q1MEM2OTMzLTFBNUUtNDhCMS1CQzhCLTlGQTI2NEEzRURDRH0" TargetMode="External"/><Relationship Id="rId1159" Type="http://schemas.openxmlformats.org/officeDocument/2006/relationships/hyperlink" Target="https://1drv.ms/x/s!AkP3hbXXLtgBhpEoaTK-EAwrB6PPjQ?e=7D4jtp&amp;nav=MTVfe0Q5MDNFMUVCLUFFNkQtNDU5OC04QjYyLUFGODVDMTZENkVGMX0" TargetMode="External"/><Relationship Id="rId1366" Type="http://schemas.openxmlformats.org/officeDocument/2006/relationships/hyperlink" Target="https://1drv.ms/x/s!AkP3hbXXLtgBhpEoaTK-EAwrB6PPjQ?e=0mRVd8&amp;nav=MTVfezhCNkZEQTNBLUNGMjctNEI5QS04QzdDLTFGQzk0MjVBNUY1QX0" TargetMode="External"/><Relationship Id="rId2112" Type="http://schemas.openxmlformats.org/officeDocument/2006/relationships/hyperlink" Target="https://1drv.ms/x/s!AkP3hbXXLtgBhpEoaTK-EAwrB6PPjQ?e=7tvhFu&amp;nav=MTVfezYzQUQ2N0RCLTZFQkQtNDhGOC1BODVFLUQzNjgwN0I4QkNFMn0" TargetMode="External"/><Relationship Id="rId2417" Type="http://schemas.openxmlformats.org/officeDocument/2006/relationships/hyperlink" Target="https://1drv.ms/x/s!AkP3hbXXLtgBhpEoaTK-EAwrB6PPjQ?e=X2f9pt&amp;nav=MTVfe0M4ODI3QTVFLTgzOUMtNDk2Qy1BMThFLUNCMDYwN0JBQjM5M30" TargetMode="External"/><Relationship Id="rId943" Type="http://schemas.openxmlformats.org/officeDocument/2006/relationships/hyperlink" Target="https://1drv.ms/x/s!AkP3hbXXLtgBhpEoaTK-EAwrB6PPjQ?e=GuJxJM&amp;nav=MTVfe0NBQzcxNDNGLTAzODYtNEFDRi1BNTI1LTRDQTYxMDEzNkYwM30" TargetMode="External"/><Relationship Id="rId1019" Type="http://schemas.openxmlformats.org/officeDocument/2006/relationships/hyperlink" Target="https://1drv.ms/x/s!AkP3hbXXLtgBhpEoaTK-EAwrB6PPjQ?e=NFspu9&amp;nav=MTVfezE1M0M1OEJDLTA3MzUtNERFMC1BNzE4LTMzMUY1QjZBOEZDMH0" TargetMode="External"/><Relationship Id="rId1573" Type="http://schemas.openxmlformats.org/officeDocument/2006/relationships/hyperlink" Target="https://1drv.ms/x/s!AkP3hbXXLtgBhpEoaTK-EAwrB6PPjQ?e=hF7xUm&amp;nav=MTVfezBDOEZCN0U5LURBOEQtNEY2Qi1CNUE1LUYzQTk0NDFBRkE2NX0" TargetMode="External"/><Relationship Id="rId1780" Type="http://schemas.openxmlformats.org/officeDocument/2006/relationships/hyperlink" Target="https://1drv.ms/x/s!AkP3hbXXLtgBhpEoaTK-EAwrB6PPjQ?e=sBpJD5&amp;nav=MTVfezM5QzdFMEZDLTg3QTEtNDRCMS04QTgyLUQ3MDU0NDI2MTBFRn0" TargetMode="External"/><Relationship Id="rId1878" Type="http://schemas.openxmlformats.org/officeDocument/2006/relationships/hyperlink" Target="https://1drv.ms/x/s!AkP3hbXXLtgBhpEoaTK-EAwrB6PPjQ?e=3z9g8a&amp;nav=MTVfezBGMENERTNBLTZCQTUtNDYwRi05MDM3LUNDNDk5MDBCNUU5MX0" TargetMode="External"/><Relationship Id="rId2624" Type="http://schemas.openxmlformats.org/officeDocument/2006/relationships/hyperlink" Target="https://1drv.ms/x/s!AkP3hbXXLtgBhpEoaTK-EAwrB6PPjQ?e=k1JzSb&amp;nav=MTVfezlCRDVCMEI4LTNBMEItNDE5NC04RTEyLUQxQzc3N0U3MUFFQn0" TargetMode="External"/><Relationship Id="rId72" Type="http://schemas.openxmlformats.org/officeDocument/2006/relationships/hyperlink" Target="https://1drv.ms/x/s!AkP3hbXXLtgBhpEoaTK-EAwrB6PPjQ?e=AMVmTu&amp;nav=MTVfezNFMEFDQTg3LTgzOUUtNDFGNC04MkYwLUIxRjIyNTFBRDYzNX0" TargetMode="External"/><Relationship Id="rId803" Type="http://schemas.openxmlformats.org/officeDocument/2006/relationships/hyperlink" Target="https://1drv.ms/x/s!AkP3hbXXLtgBhpEoaTK-EAwrB6PPjQ?e=zuxs7K&amp;nav=MTVfezEzQ0U5ODFBLTQxOTEtNERBOS05RDcwLTU1NDcwQ0I2MzhFNX0" TargetMode="External"/><Relationship Id="rId1226" Type="http://schemas.openxmlformats.org/officeDocument/2006/relationships/hyperlink" Target="https://1drv.ms/x/s!AkP3hbXXLtgBhpEoaTK-EAwrB6PPjQ?e=U6lTuf&amp;nav=MTVfezFEODYyODdBLUIyOTctNDdGMC04MTkyLUUzRDE3NjM5RkNFQ30" TargetMode="External"/><Relationship Id="rId1433" Type="http://schemas.openxmlformats.org/officeDocument/2006/relationships/hyperlink" Target="https://1drv.ms/x/s!AkP3hbXXLtgBhpEoaTK-EAwrB6PPjQ?e=xXe3yl&amp;nav=MTVfezM1QjlFQjFCLUIxM0MtNDQ0Ni05MzQyLUU2QjczMkYzQzJFOH0" TargetMode="External"/><Relationship Id="rId1640" Type="http://schemas.openxmlformats.org/officeDocument/2006/relationships/hyperlink" Target="https://1drv.ms/x/s!AkP3hbXXLtgBhpEoaTK-EAwrB6PPjQ?e=VUlHtx&amp;nav=MTVfe0JEMzdCNzJBLTQ3QUItNEI0NC04MDRCLTNDRDY0MDVBODI2Qn0" TargetMode="External"/><Relationship Id="rId1738" Type="http://schemas.openxmlformats.org/officeDocument/2006/relationships/hyperlink" Target="https://1drv.ms/x/s!AkP3hbXXLtgBhpEoaTK-EAwrB6PPjQ?e=OaIvOH&amp;nav=MTVfezFDODBFQUMzLTY0M0UtNDM2MC04REU0LTRBOUYzQ0MxQkY2Nn0" TargetMode="External"/><Relationship Id="rId1500" Type="http://schemas.openxmlformats.org/officeDocument/2006/relationships/hyperlink" Target="https://1drv.ms/x/s!AkP3hbXXLtgBhpEoaTK-EAwrB6PPjQ?e=Dygyft&amp;nav=MTVfe0VDMUJBNEJBLUNCOTAtNDI3Ri1CMTVFLUZDQjc2NURCQ0I1Q30" TargetMode="External"/><Relationship Id="rId1945" Type="http://schemas.openxmlformats.org/officeDocument/2006/relationships/hyperlink" Target="https://1drv.ms/x/s!AkP3hbXXLtgBhpEoaTK-EAwrB6PPjQ?e=Hae5Hc&amp;nav=MTVfe0U1QUU2RDZBLTFGMkUtNENGNC04OENCLUE1MjI0OEMyNDMzNn0" TargetMode="External"/><Relationship Id="rId1805" Type="http://schemas.openxmlformats.org/officeDocument/2006/relationships/hyperlink" Target="https://1drv.ms/x/s!AkP3hbXXLtgBhpEoaTK-EAwrB6PPjQ?e=sBpJD5&amp;nav=MTVfezM5QzdFMEZDLTg3QTEtNDRCMS04QTgyLUQ3MDU0NDI2MTBFRn0" TargetMode="External"/><Relationship Id="rId179" Type="http://schemas.openxmlformats.org/officeDocument/2006/relationships/hyperlink" Target="https://1drv.ms/x/s!AkP3hbXXLtgBhpEoaTK-EAwrB6PPjQ?e=hKKsXn&amp;nav=MTVfe0M0MzQ5RkZFLUFFMEMtNDZBOC05NDNELUU2ODg5N0JGMDU4Rn0" TargetMode="External"/><Relationship Id="rId386" Type="http://schemas.openxmlformats.org/officeDocument/2006/relationships/hyperlink" Target="https://1drv.ms/x/s!AkP3hbXXLtgBhpEoaTK-EAwrB6PPjQ?e=mvWMFP&amp;nav=MTVfe0Q0MjM2QjFDLUVBQTAtNDE3Ri1BOEVGLTQzNzNBN0FGODY4M30" TargetMode="External"/><Relationship Id="rId593" Type="http://schemas.openxmlformats.org/officeDocument/2006/relationships/hyperlink" Target="https://1drv.ms/x/s!AkP3hbXXLtgBhpEoaTK-EAwrB6PPjQ?e=xgZSuS&amp;nav=MTVfezA3RkYxMTMwLTAyQjYtNDA4RS1BMkU5LTI2MUQ0MjM2OEJGQn0" TargetMode="External"/><Relationship Id="rId2067" Type="http://schemas.openxmlformats.org/officeDocument/2006/relationships/hyperlink" Target="https://1drv.ms/x/s!AkP3hbXXLtgBhpEoaTK-EAwrB6PPjQ?e=t9ByVx&amp;nav=MTVfe0MzOTE2QzlDLTMzMEMtNEQ4NS05NjZBLTBFNzk3QjgxMEIwQn0" TargetMode="External"/><Relationship Id="rId2274" Type="http://schemas.openxmlformats.org/officeDocument/2006/relationships/hyperlink" Target="https://1drv.ms/x/s!AkP3hbXXLtgBhpEoaTK-EAwrB6PPjQ?e=vI4FNr&amp;nav=MTVfezhGQzkyMTU5LUYxNTUtNDg4MS04N0QzLTE5OTgzQjI3QTc1NH0" TargetMode="External"/><Relationship Id="rId2481" Type="http://schemas.openxmlformats.org/officeDocument/2006/relationships/hyperlink" Target="https://1drv.ms/x/s!AkP3hbXXLtgBhpEoaTK-EAwrB6PPjQ?e=LQfhsg&amp;nav=MTVfe0FGQTQ2QTUxLTkwOEEtNEZCNi04OUQ1LTMwOUU4QkMzMTRFQ30" TargetMode="External"/><Relationship Id="rId246" Type="http://schemas.openxmlformats.org/officeDocument/2006/relationships/hyperlink" Target="https://1drv.ms/x/s!AkP3hbXXLtgBhpEoaTK-EAwrB6PPjQ?e=36Im2J&amp;nav=MTVfezg1NTdGRUM1LTczODktNDk5My1BQjA0LTkyQjFDODE4MjgxRX0" TargetMode="External"/><Relationship Id="rId453" Type="http://schemas.openxmlformats.org/officeDocument/2006/relationships/hyperlink" Target="https://1drv.ms/x/s!AkP3hbXXLtgBhpEoaTK-EAwrB6PPjQ?e=sXo522&amp;nav=MTVfe0VCNzhCQUU0LUVEQzItNDRCMC04QTFFLUZEQzA0OTNEMDkzOX0" TargetMode="External"/><Relationship Id="rId660" Type="http://schemas.openxmlformats.org/officeDocument/2006/relationships/hyperlink" Target="https://1drv.ms/x/s!AkP3hbXXLtgBhpEoaTK-EAwrB6PPjQ?e=ZRDRyK&amp;nav=MTVfe0IyQkRBQzE0LUM2QkQtNDY3Ny04MjcyLUQxNjYyMkIyRTZGRH0" TargetMode="External"/><Relationship Id="rId898" Type="http://schemas.openxmlformats.org/officeDocument/2006/relationships/hyperlink" Target="https://1drv.ms/x/s!AkP3hbXXLtgBhpEoaTK-EAwrB6PPjQ?e=q7Y9UY&amp;nav=MTVfezY2QjMzRUJDLTdGREQtNEI4MC05QkFBLTZFRTQyNUFCMDY2MH0" TargetMode="External"/><Relationship Id="rId1083" Type="http://schemas.openxmlformats.org/officeDocument/2006/relationships/hyperlink" Target="https://1drv.ms/x/s!AkP3hbXXLtgBhpEoaTK-EAwrB6PPjQ?e=rYbeUy&amp;nav=MTVfe0Q1MEM2OTMzLTFBNUUtNDhCMS1CQzhCLTlGQTI2NEEzRURDRH0" TargetMode="External"/><Relationship Id="rId1290" Type="http://schemas.openxmlformats.org/officeDocument/2006/relationships/hyperlink" Target="https://1drv.ms/x/s!AkP3hbXXLtgBhpEoaTK-EAwrB6PPjQ?e=bD2jTr&amp;nav=MTVfezRGRUQzQzY0LTk3M0ItNDNDNy1BRUY3LTYwMDNGN0E5OThFQX0" TargetMode="External"/><Relationship Id="rId2134" Type="http://schemas.openxmlformats.org/officeDocument/2006/relationships/hyperlink" Target="https://1drv.ms/x/s!AkP3hbXXLtgBhpEoaTK-EAwrB6PPjQ?e=nj2bQ1&amp;nav=MTVfezAwMDAwMDAwLTAwMDEtMDAwMC0wMDAwLTAwMDAwMDAwMDAwMH0" TargetMode="External"/><Relationship Id="rId2341" Type="http://schemas.openxmlformats.org/officeDocument/2006/relationships/hyperlink" Target="https://1drv.ms/x/s!AkP3hbXXLtgBhpEoaTK-EAwrB6PPjQ?e=LiWfcw&amp;nav=MTVfezFBQTVDNUQ5LTIxM0QtNDcxMi05RkYwLUI2NUUyNTFDRkFBMH0" TargetMode="External"/><Relationship Id="rId2579" Type="http://schemas.openxmlformats.org/officeDocument/2006/relationships/hyperlink" Target="https://1drv.ms/x/s!AkP3hbXXLtgBhpEoaTK-EAwrB6PPjQ?e=5RiQ1M&amp;nav=MTVfezAwOEJCMDMxLUEyNEEtNDc3RS04RDNFLTBENTk0MDBCNEY0OH0" TargetMode="External"/><Relationship Id="rId106" Type="http://schemas.openxmlformats.org/officeDocument/2006/relationships/hyperlink" Target="https://1drv.ms/x/s!AkP3hbXXLtgBhpEoaTK-EAwrB6PPjQ?e=hRuig5&amp;nav=MTVfe0NCREMzODZGLTI3RDktNEI4RS05QjQ0LUUzQTc5QTQyQzY2MX0" TargetMode="External"/><Relationship Id="rId313" Type="http://schemas.openxmlformats.org/officeDocument/2006/relationships/hyperlink" Target="https://1drv.ms/x/s!AkP3hbXXLtgBhpEoaTK-EAwrB6PPjQ?e=HO6wd4&amp;nav=MTVfe0NDRThCRDRELTFCMEEtNDNFRC1BMDRDLTc1QjY0NDgwNjJBMH0" TargetMode="External"/><Relationship Id="rId758" Type="http://schemas.openxmlformats.org/officeDocument/2006/relationships/hyperlink" Target="https://1drv.ms/x/s!AkP3hbXXLtgBhpEoaTK-EAwrB6PPjQ?e=0lRBEc&amp;nav=MTVfezRDRDQwMjU1LUJFM0ItNENDQS05NDQ1LUY1OTdERDA5ODg4NH0" TargetMode="External"/><Relationship Id="rId965" Type="http://schemas.openxmlformats.org/officeDocument/2006/relationships/hyperlink" Target="https://1drv.ms/x/s!AkP3hbXXLtgBhpEoaTK-EAwrB6PPjQ?e=fk66xb&amp;nav=MTVfezU0MjNBNEE5LTNDNzctNDQwNC05RjA3LTAyNEI1N0FBQjFDNX0" TargetMode="External"/><Relationship Id="rId1150" Type="http://schemas.openxmlformats.org/officeDocument/2006/relationships/hyperlink" Target="https://1drv.ms/x/s!AkP3hbXXLtgBhpEoaTK-EAwrB6PPjQ?e=xGItXl&amp;nav=MTVfezc3NDc5QTVFLTEyMTItNEVGOS04NzRCLUUzREZBMkQ0NjU4OH0" TargetMode="External"/><Relationship Id="rId1388" Type="http://schemas.openxmlformats.org/officeDocument/2006/relationships/hyperlink" Target="https://1drv.ms/x/s!AkP3hbXXLtgBhpEoaTK-EAwrB6PPjQ?e=6Dzvxb&amp;nav=MTVfezE4RDVGRUE3LUYyN0MtNDRFNC1BMENCLTk1RTNFRjk3QkJDRX0" TargetMode="External"/><Relationship Id="rId1595" Type="http://schemas.openxmlformats.org/officeDocument/2006/relationships/hyperlink" Target="https://1drv.ms/x/s!AkP3hbXXLtgBhpEoaTK-EAwrB6PPjQ?e=hF7xUm&amp;nav=MTVfezBDOEZCN0U5LURBOEQtNEY2Qi1CNUE1LUYzQTk0NDFBRkE2NX0" TargetMode="External"/><Relationship Id="rId2439" Type="http://schemas.openxmlformats.org/officeDocument/2006/relationships/hyperlink" Target="https://1drv.ms/x/s!AkP3hbXXLtgBhpEoaTK-EAwrB6PPjQ?e=LQfhsg&amp;nav=MTVfe0FGQTQ2QTUxLTkwOEEtNEZCNi04OUQ1LTMwOUU4QkMzMTRFQ30" TargetMode="External"/><Relationship Id="rId2646" Type="http://schemas.openxmlformats.org/officeDocument/2006/relationships/hyperlink" Target="https://1drv.ms/x/s!AkP3hbXXLtgBhpEoaTK-EAwrB6PPjQ?e=k1JzSb&amp;nav=MTVfezlCRDVCMEI4LTNBMEItNDE5NC04RTEyLUQxQzc3N0U3MUFFQn0" TargetMode="External"/><Relationship Id="rId94" Type="http://schemas.openxmlformats.org/officeDocument/2006/relationships/hyperlink" Target="https://1drv.ms/x/s!AkP3hbXXLtgBhpEoaTK-EAwrB6PPjQ?e=AMVmTu&amp;nav=MTVfezNFMEFDQTg3LTgzOUUtNDFGNC04MkYwLUIxRjIyNTFBRDYzNX0" TargetMode="External"/><Relationship Id="rId520" Type="http://schemas.openxmlformats.org/officeDocument/2006/relationships/hyperlink" Target="https://1drv.ms/x/s!AkP3hbXXLtgBhpEoaTK-EAwrB6PPjQ?e=zfxOib&amp;nav=MTVfezc5MUI1QUJBLTY0QUItNDM1OS05NkVBLTE3MUFBQTY2QzQ4Q30" TargetMode="External"/><Relationship Id="rId618" Type="http://schemas.openxmlformats.org/officeDocument/2006/relationships/hyperlink" Target="https://1drv.ms/x/s!AkP3hbXXLtgBhpEoaTK-EAwrB6PPjQ?e=ZRDRyK&amp;nav=MTVfe0IyQkRBQzE0LUM2QkQtNDY3Ny04MjcyLUQxNjYyMkIyRTZGRH0" TargetMode="External"/><Relationship Id="rId825" Type="http://schemas.openxmlformats.org/officeDocument/2006/relationships/hyperlink" Target="https://1drv.ms/x/s!AkP3hbXXLtgBhpEoaTK-EAwrB6PPjQ?e=zuxs7K&amp;nav=MTVfezEzQ0U5ODFBLTQxOTEtNERBOS05RDcwLTU1NDcwQ0I2MzhFNX0" TargetMode="External"/><Relationship Id="rId1248" Type="http://schemas.openxmlformats.org/officeDocument/2006/relationships/hyperlink" Target="https://1drv.ms/x/s!AkP3hbXXLtgBhpEoaTK-EAwrB6PPjQ?e=UaBeCf&amp;nav=MTVfezM0NkJDRTA1LThBNUQtNDFFMC1BNjQ2LTk5NTVEMTg4RUEzNn0" TargetMode="External"/><Relationship Id="rId1455" Type="http://schemas.openxmlformats.org/officeDocument/2006/relationships/hyperlink" Target="https://1drv.ms/x/s!AkP3hbXXLtgBhpEoaTK-EAwrB6PPjQ?e=xXe3yl&amp;nav=MTVfezM1QjlFQjFCLUIxM0MtNDQ0Ni05MzQyLUU2QjczMkYzQzJFOH0" TargetMode="External"/><Relationship Id="rId1662" Type="http://schemas.openxmlformats.org/officeDocument/2006/relationships/hyperlink" Target="https://1drv.ms/x/s!AkP3hbXXLtgBhpEoaTK-EAwrB6PPjQ?e=DHRjp5&amp;nav=MTVfezdEN0E2ODJDLUYxMzctNDI0MS1BRjZDLThEMzExM0M0OTZBNn0" TargetMode="External"/><Relationship Id="rId2201" Type="http://schemas.openxmlformats.org/officeDocument/2006/relationships/hyperlink" Target="https://1drv.ms/x/s!AkP3hbXXLtgBhpEoaTK-EAwrB6PPjQ?e=PJkcfB&amp;nav=MTVfezBFRjgyRDlFLThFOEUtNDA2RC05QUQzLTk5RDY0REIzMEU3Rn0" TargetMode="External"/><Relationship Id="rId2506" Type="http://schemas.openxmlformats.org/officeDocument/2006/relationships/hyperlink" Target="https://1drv.ms/x/s!AkP3hbXXLtgBhpEoaTK-EAwrB6PPjQ?e=6TTmbj&amp;nav=MTVfezE1NUUyNjAwLTBGQUYtNDYyRS05MjBELTkwRjJEQzFDMUI3Q30" TargetMode="External"/><Relationship Id="rId1010" Type="http://schemas.openxmlformats.org/officeDocument/2006/relationships/hyperlink" Target="https://1drv.ms/x/s!AkP3hbXXLtgBhpEoaTK-EAwrB6PPjQ?e=NFspu9&amp;nav=MTVfezE1M0M1OEJDLTA3MzUtNERFMC1BNzE4LTMzMUY1QjZBOEZDMH0" TargetMode="External"/><Relationship Id="rId1108" Type="http://schemas.openxmlformats.org/officeDocument/2006/relationships/hyperlink" Target="https://1drv.ms/x/s!AkP3hbXXLtgBhpEoaTK-EAwrB6PPjQ?e=Brd8C5&amp;nav=MTVfe0YyMTJGNjdELTg0REMtNEY4Ri05MzE5LTE0M0FEODlBMzg5Q30" TargetMode="External"/><Relationship Id="rId1315" Type="http://schemas.openxmlformats.org/officeDocument/2006/relationships/hyperlink" Target="https://1drv.ms/x/s!AkP3hbXXLtgBhpEoaTK-EAwrB6PPjQ?e=DHRjp5&amp;nav=MTVfezdEN0E2ODJDLUYxMzctNDI0MS1BRjZDLThEMzExM0M0OTZBNn0" TargetMode="External"/><Relationship Id="rId1967" Type="http://schemas.openxmlformats.org/officeDocument/2006/relationships/hyperlink" Target="https://1drv.ms/x/s!AkP3hbXXLtgBhpEoaTK-EAwrB6PPjQ?e=Hae5Hc&amp;nav=MTVfe0U1QUU2RDZBLTFGMkUtNENGNC04OENCLUE1MjI0OEMyNDMzNn0" TargetMode="External"/><Relationship Id="rId2713" Type="http://schemas.openxmlformats.org/officeDocument/2006/relationships/hyperlink" Target="https://1drv.ms/x/s!AkP3hbXXLtgBhpEoaTK-EAwrB6PPjQ?e=hUXjPN&amp;nav=MTVfezYzNzY4MEExLTRDMzItNDcxMy05M0ZCLTBFNjAwNTlBMUI0MH0" TargetMode="External"/><Relationship Id="rId1522" Type="http://schemas.openxmlformats.org/officeDocument/2006/relationships/hyperlink" Target="https://1drv.ms/x/s!AkP3hbXXLtgBhpEoaTK-EAwrB6PPjQ?e=PsqPhH&amp;nav=MTVfe0ZDRjg3ODhGLTBFNDItNDJCOC04MDRCLTU4OTcwNUMwMjFGMn0" TargetMode="External"/><Relationship Id="rId21" Type="http://schemas.openxmlformats.org/officeDocument/2006/relationships/hyperlink" Target="https://1drv.ms/x/s!AkP3hbXXLtgBhpEoaTK-EAwrB6PPjQ?e=pv1n5G&amp;nav=MTVfe0I5QjVDOEU1LTM5MTMtNDRCNy1COEY4LUUwMUNENUM2NTY1NX0" TargetMode="External"/><Relationship Id="rId2089" Type="http://schemas.openxmlformats.org/officeDocument/2006/relationships/hyperlink" Target="https://1drv.ms/x/s!AkP3hbXXLtgBhpEoaTK-EAwrB6PPjQ?e=6Uvhwt&amp;nav=MTVfe0Q5NUQ0MEFGLTAxNjgtNDM5Ni04Rjg1LTZBMkFBMzFBMkRCMn0" TargetMode="External"/><Relationship Id="rId2296" Type="http://schemas.openxmlformats.org/officeDocument/2006/relationships/hyperlink" Target="https://1drv.ms/x/s!AkP3hbXXLtgBhpEoaTK-EAwrB6PPjQ?e=vI4FNr&amp;nav=MTVfezhGQzkyMTU5LUYxNTUtNDg4MS04N0QzLTE5OTgzQjI3QTc1NH0" TargetMode="External"/><Relationship Id="rId268" Type="http://schemas.openxmlformats.org/officeDocument/2006/relationships/hyperlink" Target="https://1drv.ms/x/s!AkP3hbXXLtgBhpEoaTK-EAwrB6PPjQ?e=36Im2J&amp;nav=MTVfezg1NTdGRUM1LTczODktNDk5My1BQjA0LTkyQjFDODE4MjgxRX0" TargetMode="External"/><Relationship Id="rId475" Type="http://schemas.openxmlformats.org/officeDocument/2006/relationships/hyperlink" Target="https://1drv.ms/x/s!AkP3hbXXLtgBhpEoaTK-EAwrB6PPjQ?e=sXo522&amp;nav=MTVfe0VCNzhCQUU0LUVEQzItNDRCMC04QTFFLUZEQzA0OTNEMDkzOX0" TargetMode="External"/><Relationship Id="rId682" Type="http://schemas.openxmlformats.org/officeDocument/2006/relationships/hyperlink" Target="https://1drv.ms/x/s!AkP3hbXXLtgBhpEoaTK-EAwrB6PPjQ?e=JPeMLZ&amp;nav=MTVfezdEMkY3NDEyLUYwMzItNDM0RC05MDRFLTcyNTE0ODM0NjA4M30" TargetMode="External"/><Relationship Id="rId2156" Type="http://schemas.openxmlformats.org/officeDocument/2006/relationships/hyperlink" Target="https://1drv.ms/x/s!AkP3hbXXLtgBhpEoaTK-EAwrB6PPjQ?e=nj2bQ1&amp;nav=MTVfezAwMDAwMDAwLTAwMDEtMDAwMC0wMDAwLTAwMDAwMDAwMDAwMH0" TargetMode="External"/><Relationship Id="rId2363" Type="http://schemas.openxmlformats.org/officeDocument/2006/relationships/hyperlink" Target="https://1drv.ms/x/s!AkP3hbXXLtgBhpEoaTK-EAwrB6PPjQ?e=LiWfcw&amp;nav=MTVfezFBQTVDNUQ5LTIxM0QtNDcxMi05RkYwLUI2NUUyNTFDRkFBMH0" TargetMode="External"/><Relationship Id="rId2570" Type="http://schemas.openxmlformats.org/officeDocument/2006/relationships/hyperlink" Target="https://1drv.ms/x/s!AkP3hbXXLtgBhpEoaTK-EAwrB6PPjQ?e=mXia38&amp;nav=MTVfe0I0NjUwQ0I4LURGNzEtNDA5NC04M0QxLUExRTNDN0Q3OTc1MX0" TargetMode="External"/><Relationship Id="rId128" Type="http://schemas.openxmlformats.org/officeDocument/2006/relationships/hyperlink" Target="https://1drv.ms/x/s!AkP3hbXXLtgBhpEoaTK-EAwrB6PPjQ?e=hRuig5&amp;nav=MTVfe0NCREMzODZGLTI3RDktNEI4RS05QjQ0LUUzQTc5QTQyQzY2MX0" TargetMode="External"/><Relationship Id="rId335" Type="http://schemas.openxmlformats.org/officeDocument/2006/relationships/hyperlink" Target="https://1drv.ms/x/s!AkP3hbXXLtgBhpEoaTK-EAwrB6PPjQ?e=HO6wd4&amp;nav=MTVfe0NDRThCRDRELTFCMEEtNDNFRC1BMDRDLTc1QjY0NDgwNjJBMH0" TargetMode="External"/><Relationship Id="rId542" Type="http://schemas.openxmlformats.org/officeDocument/2006/relationships/hyperlink" Target="https://1drv.ms/x/s!AkP3hbXXLtgBhpEoaTK-EAwrB6PPjQ?e=zfxOib&amp;nav=MTVfezc5MUI1QUJBLTY0QUItNDM1OS05NkVBLTE3MUFBQTY2QzQ4Q30" TargetMode="External"/><Relationship Id="rId1172" Type="http://schemas.openxmlformats.org/officeDocument/2006/relationships/hyperlink" Target="https://1drv.ms/x/s!AkP3hbXXLtgBhpEoaTK-EAwrB6PPjQ?e=7D4jtp&amp;nav=MTVfe0Q5MDNFMUVCLUFFNkQtNDU5OC04QjYyLUFGODVDMTZENkVGMX0" TargetMode="External"/><Relationship Id="rId2016" Type="http://schemas.openxmlformats.org/officeDocument/2006/relationships/hyperlink" Target="https://1drv.ms/x/s!AkP3hbXXLtgBhpEoaTK-EAwrB6PPjQ?e=e8c5BE&amp;nav=MTVfe0YzRjMwRTg2LTYyMTgtNEY5QS05Qzg0LTUxNkJFM0Q4MDAwN30" TargetMode="External"/><Relationship Id="rId2223" Type="http://schemas.openxmlformats.org/officeDocument/2006/relationships/hyperlink" Target="https://1drv.ms/x/s!AkP3hbXXLtgBhpEoaTK-EAwrB6PPjQ?e=PJkcfB&amp;nav=MTVfezBFRjgyRDlFLThFOEUtNDA2RC05QUQzLTk5RDY0REIzMEU3Rn0" TargetMode="External"/><Relationship Id="rId2430" Type="http://schemas.openxmlformats.org/officeDocument/2006/relationships/hyperlink" Target="https://1drv.ms/x/s!AkP3hbXXLtgBhpEoaTK-EAwrB6PPjQ?e=X2f9pt&amp;nav=MTVfe0M4ODI3QTVFLTgzOUMtNDk2Qy1BMThFLUNCMDYwN0JBQjM5M30" TargetMode="External"/><Relationship Id="rId402" Type="http://schemas.openxmlformats.org/officeDocument/2006/relationships/hyperlink" Target="https://1drv.ms/x/s!AkP3hbXXLtgBhpEoaTK-EAwrB6PPjQ?e=mvWMFP&amp;nav=MTVfe0Q0MjM2QjFDLUVBQTAtNDE3Ri1BOEVGLTQzNzNBN0FGODY4M30" TargetMode="External"/><Relationship Id="rId1032" Type="http://schemas.openxmlformats.org/officeDocument/2006/relationships/hyperlink" Target="https://1drv.ms/x/s!AkP3hbXXLtgBhpEoaTK-EAwrB6PPjQ?e=NFspu9&amp;nav=MTVfezE1M0M1OEJDLTA3MzUtNERFMC1BNzE4LTMzMUY1QjZBOEZDMH0" TargetMode="External"/><Relationship Id="rId1989" Type="http://schemas.openxmlformats.org/officeDocument/2006/relationships/hyperlink" Target="https://1drv.ms/x/s!AkP3hbXXLtgBhpEoaTK-EAwrB6PPjQ?e=e8c5BE&amp;nav=MTVfe0YzRjMwRTg2LTYyMTgtNEY5QS05Qzg0LTUxNkJFM0Q4MDAwN30" TargetMode="External"/><Relationship Id="rId1849" Type="http://schemas.openxmlformats.org/officeDocument/2006/relationships/hyperlink" Target="https://1drv.ms/x/s!AkP3hbXXLtgBhpEoaTK-EAwrB6PPjQ?e=Qo1W02&amp;nav=MTVfe0Q5NDAyRTdCLTJCNEYtNEQ5OS05Q0Y4LTIyNDExQjYxNzRBRH0" TargetMode="External"/><Relationship Id="rId192" Type="http://schemas.openxmlformats.org/officeDocument/2006/relationships/hyperlink" Target="https://1drv.ms/x/s!AkP3hbXXLtgBhpEoaTK-EAwrB6PPjQ?e=hKKsXn&amp;nav=MTVfe0M0MzQ5RkZFLUFFMEMtNDZBOC05NDNELUU2ODg5N0JGMDU4Rn0" TargetMode="External"/><Relationship Id="rId1709" Type="http://schemas.openxmlformats.org/officeDocument/2006/relationships/hyperlink" Target="https://1drv.ms/x/s!AkP3hbXXLtgBhpEoaTK-EAwrB6PPjQ?e=DHRjp5&amp;nav=MTVfezdEN0E2ODJDLUYxMzctNDI0MS1BRjZDLThEMzExM0M0OTZBNn0" TargetMode="External"/><Relationship Id="rId1916" Type="http://schemas.openxmlformats.org/officeDocument/2006/relationships/hyperlink" Target="https://1drv.ms/x/s!AkP3hbXXLtgBhpEoaTK-EAwrB6PPjQ?e=U8iWbp&amp;nav=MTVfezVDRDNFMEMzLTY0NDctNDUyNC05RjQyLUQ5MzdFOTgzQzgzNH0" TargetMode="External"/><Relationship Id="rId2080" Type="http://schemas.openxmlformats.org/officeDocument/2006/relationships/hyperlink" Target="https://1drv.ms/x/s!AkP3hbXXLtgBhpEoaTK-EAwrB6PPjQ?e=t9ByVx&amp;nav=MTVfe0MzOTE2QzlDLTMzMEMtNEQ4NS05NjZBLTBFNzk3QjgxMEIwQn0" TargetMode="External"/><Relationship Id="rId869" Type="http://schemas.openxmlformats.org/officeDocument/2006/relationships/hyperlink" Target="https://1drv.ms/x/s!AkP3hbXXLtgBhpEoaTK-EAwrB6PPjQ?e=VcWWuU&amp;nav=MTVfe0ExMEEwQ0RDLUFCNUQtNEMxQS1BM0ZGLTEzRDE2MkJEN0U2Q30" TargetMode="External"/><Relationship Id="rId1499" Type="http://schemas.openxmlformats.org/officeDocument/2006/relationships/hyperlink" Target="https://1drv.ms/x/s!AkP3hbXXLtgBhpEoaTK-EAwrB6PPjQ?e=Dygyft&amp;nav=MTVfe0VDMUJBNEJBLUNCOTAtNDI3Ri1CMTVFLUZDQjc2NURCQ0I1Q30" TargetMode="External"/><Relationship Id="rId729" Type="http://schemas.openxmlformats.org/officeDocument/2006/relationships/hyperlink" Target="https://1drv.ms/x/s!AkP3hbXXLtgBhpEoaTK-EAwrB6PPjQ?e=0lRBEc&amp;nav=MTVfezRDRDQwMjU1LUJFM0ItNENDQS05NDQ1LUY1OTdERDA5ODg4NH0" TargetMode="External"/><Relationship Id="rId1359" Type="http://schemas.openxmlformats.org/officeDocument/2006/relationships/hyperlink" Target="https://1drv.ms/x/s!AkP3hbXXLtgBhpEoaTK-EAwrB6PPjQ?e=0mRVd8&amp;nav=MTVfezhCNkZEQTNBLUNGMjctNEI5QS04QzdDLTFGQzk0MjVBNUY1QX0" TargetMode="External"/><Relationship Id="rId936" Type="http://schemas.openxmlformats.org/officeDocument/2006/relationships/hyperlink" Target="https://1drv.ms/x/s!AkP3hbXXLtgBhpEoaTK-EAwrB6PPjQ?e=GuJxJM&amp;nav=MTVfe0NBQzcxNDNGLTAzODYtNEFDRi1BNTI1LTRDQTYxMDEzNkYwM30" TargetMode="External"/><Relationship Id="rId1219" Type="http://schemas.openxmlformats.org/officeDocument/2006/relationships/hyperlink" Target="https://1drv.ms/x/s!AkP3hbXXLtgBhpEoaTK-EAwrB6PPjQ?e=U6lTuf&amp;nav=MTVfezFEODYyODdBLUIyOTctNDdGMC04MTkyLUUzRDE3NjM5RkNFQ30" TargetMode="External"/><Relationship Id="rId1566" Type="http://schemas.openxmlformats.org/officeDocument/2006/relationships/hyperlink" Target="https://1drv.ms/x/s!AkP3hbXXLtgBhpEoaTK-EAwrB6PPjQ?e=hF7xUm&amp;nav=MTVfezBDOEZCN0U5LURBOEQtNEY2Qi1CNUE1LUYzQTk0NDFBRkE2NX0" TargetMode="External"/><Relationship Id="rId1773" Type="http://schemas.openxmlformats.org/officeDocument/2006/relationships/hyperlink" Target="https://1drv.ms/x/s!AkP3hbXXLtgBhpEoaTK-EAwrB6PPjQ?e=sBpJD5&amp;nav=MTVfezM5QzdFMEZDLTg3QTEtNDRCMS04QTgyLUQ3MDU0NDI2MTBFRn0" TargetMode="External"/><Relationship Id="rId1980" Type="http://schemas.openxmlformats.org/officeDocument/2006/relationships/hyperlink" Target="https://1drv.ms/x/s!AkP3hbXXLtgBhpEoaTK-EAwrB6PPjQ?e=Hae5Hc&amp;nav=MTVfe0U1QUU2RDZBLTFGMkUtNENGNC04OENCLUE1MjI0OEMyNDMzNn0" TargetMode="External"/><Relationship Id="rId2617" Type="http://schemas.openxmlformats.org/officeDocument/2006/relationships/hyperlink" Target="https://1drv.ms/x/s!AkP3hbXXLtgBhpEoaTK-EAwrB6PPjQ?e=k1JzSb&amp;nav=MTVfezlCRDVCMEI4LTNBMEItNDE5NC04RTEyLUQxQzc3N0U3MUFFQn0" TargetMode="External"/><Relationship Id="rId65" Type="http://schemas.openxmlformats.org/officeDocument/2006/relationships/hyperlink" Target="https://1drv.ms/x/s!AkP3hbXXLtgBhpEoaTK-EAwrB6PPjQ?e=AMVmTu&amp;nav=MTVfezNFMEFDQTg3LTgzOUUtNDFGNC04MkYwLUIxRjIyNTFBRDYzNX0" TargetMode="External"/><Relationship Id="rId1426" Type="http://schemas.openxmlformats.org/officeDocument/2006/relationships/hyperlink" Target="https://1drv.ms/x/s!AkP3hbXXLtgBhpEoaTK-EAwrB6PPjQ?e=xXe3yl&amp;nav=MTVfezM1QjlFQjFCLUIxM0MtNDQ0Ni05MzQyLUU2QjczMkYzQzJFOH0" TargetMode="External"/><Relationship Id="rId1633" Type="http://schemas.openxmlformats.org/officeDocument/2006/relationships/hyperlink" Target="https://1drv.ms/x/s!AkP3hbXXLtgBhpEoaTK-EAwrB6PPjQ?e=VUlHtx&amp;nav=MTVfe0JEMzdCNzJBLTQ3QUItNEI0NC04MDRCLTNDRDY0MDVBODI2Qn0" TargetMode="External"/><Relationship Id="rId1840" Type="http://schemas.openxmlformats.org/officeDocument/2006/relationships/hyperlink" Target="https://1drv.ms/x/s!AkP3hbXXLtgBhpEoaTK-EAwrB6PPjQ?e=Qo1W02&amp;nav=MTVfe0Q5NDAyRTdCLTJCNEYtNEQ5OS05Q0Y4LTIyNDExQjYxNzRBRH0" TargetMode="External"/><Relationship Id="rId1700" Type="http://schemas.openxmlformats.org/officeDocument/2006/relationships/hyperlink" Target="https://1drv.ms/x/s!AkP3hbXXLtgBhpEoaTK-EAwrB6PPjQ?e=DHRjp5&amp;nav=MTVfezdEN0E2ODJDLUYxMzctNDI0MS1BRjZDLThEMzExM0M0OTZBNn0" TargetMode="External"/><Relationship Id="rId379" Type="http://schemas.openxmlformats.org/officeDocument/2006/relationships/hyperlink" Target="https://1drv.ms/x/s!AkP3hbXXLtgBhpEoaTK-EAwrB6PPjQ?e=mvWMFP&amp;nav=MTVfe0Q0MjM2QjFDLUVBQTAtNDE3Ri1BOEVGLTQzNzNBN0FGODY4M30" TargetMode="External"/><Relationship Id="rId586" Type="http://schemas.openxmlformats.org/officeDocument/2006/relationships/hyperlink" Target="https://1drv.ms/x/s!AkP3hbXXLtgBhpEoaTK-EAwrB6PPjQ?e=xgZSuS&amp;nav=MTVfezA3RkYxMTMwLTAyQjYtNDA4RS1BMkU5LTI2MUQ0MjM2OEJGQn0" TargetMode="External"/><Relationship Id="rId793" Type="http://schemas.openxmlformats.org/officeDocument/2006/relationships/hyperlink" Target="https://1drv.ms/x/s!AkP3hbXXLtgBhpEoaTK-EAwrB6PPjQ?e=zuxs7K&amp;nav=MTVfezEzQ0U5ODFBLTQxOTEtNERBOS05RDcwLTU1NDcwQ0I2MzhFNX0" TargetMode="External"/><Relationship Id="rId2267" Type="http://schemas.openxmlformats.org/officeDocument/2006/relationships/hyperlink" Target="https://1drv.ms/x/s!AkP3hbXXLtgBhpEoaTK-EAwrB6PPjQ?e=vI4FNr&amp;nav=MTVfezhGQzkyMTU5LUYxNTUtNDg4MS04N0QzLTE5OTgzQjI3QTc1NH0" TargetMode="External"/><Relationship Id="rId2474" Type="http://schemas.openxmlformats.org/officeDocument/2006/relationships/hyperlink" Target="https://1drv.ms/x/s!AkP3hbXXLtgBhpEoaTK-EAwrB6PPjQ?e=LQfhsg&amp;nav=MTVfe0FGQTQ2QTUxLTkwOEEtNEZCNi04OUQ1LTMwOUU4QkMzMTRFQ30" TargetMode="External"/><Relationship Id="rId2681" Type="http://schemas.openxmlformats.org/officeDocument/2006/relationships/hyperlink" Target="https://1drv.ms/x/s!AkP3hbXXLtgBhpEoaTK-EAwrB6PPjQ?e=hUXjPN&amp;nav=MTVfezYzNzY4MEExLTRDMzItNDcxMy05M0ZCLTBFNjAwNTlBMUI0MH0" TargetMode="External"/><Relationship Id="rId239" Type="http://schemas.openxmlformats.org/officeDocument/2006/relationships/hyperlink" Target="https://1drv.ms/x/s!AkP3hbXXLtgBhpEoaTK-EAwrB6PPjQ?e=36Im2J&amp;nav=MTVfezg1NTdGRUM1LTczODktNDk5My1BQjA0LTkyQjFDODE4MjgxRX0" TargetMode="External"/><Relationship Id="rId446" Type="http://schemas.openxmlformats.org/officeDocument/2006/relationships/hyperlink" Target="https://1drv.ms/x/s!AkP3hbXXLtgBhpEoaTK-EAwrB6PPjQ?e=sXo522&amp;nav=MTVfe0VCNzhCQUU0LUVEQzItNDRCMC04QTFFLUZEQzA0OTNEMDkzOX0" TargetMode="External"/><Relationship Id="rId653" Type="http://schemas.openxmlformats.org/officeDocument/2006/relationships/hyperlink" Target="https://1drv.ms/x/s!AkP3hbXXLtgBhpEoaTK-EAwrB6PPjQ?e=ZRDRyK&amp;nav=MTVfe0IyQkRBQzE0LUM2QkQtNDY3Ny04MjcyLUQxNjYyMkIyRTZGRH0" TargetMode="External"/><Relationship Id="rId1076" Type="http://schemas.openxmlformats.org/officeDocument/2006/relationships/hyperlink" Target="https://1drv.ms/x/s!AkP3hbXXLtgBhpEoaTK-EAwrB6PPjQ?e=rYbeUy&amp;nav=MTVfe0Q1MEM2OTMzLTFBNUUtNDhCMS1CQzhCLTlGQTI2NEEzRURDRH0" TargetMode="External"/><Relationship Id="rId1283" Type="http://schemas.openxmlformats.org/officeDocument/2006/relationships/hyperlink" Target="https://1drv.ms/x/s!AkP3hbXXLtgBhpEoaTK-EAwrB6PPjQ?e=bD2jTr&amp;nav=MTVfezRGRUQzQzY0LTk3M0ItNDNDNy1BRUY3LTYwMDNGN0E5OThFQX0" TargetMode="External"/><Relationship Id="rId1490" Type="http://schemas.openxmlformats.org/officeDocument/2006/relationships/hyperlink" Target="https://1drv.ms/x/s!AkP3hbXXLtgBhpEoaTK-EAwrB6PPjQ?e=Dygyft&amp;nav=MTVfe0VDMUJBNEJBLUNCOTAtNDI3Ri1CMTVFLUZDQjc2NURCQ0I1Q30" TargetMode="External"/><Relationship Id="rId2127" Type="http://schemas.openxmlformats.org/officeDocument/2006/relationships/hyperlink" Target="https://1drv.ms/x/s!AkP3hbXXLtgBhpEoaTK-EAwrB6PPjQ?e=7tvhFu&amp;nav=MTVfezYzQUQ2N0RCLTZFQkQtNDhGOC1BODVFLUQzNjgwN0I4QkNFMn0" TargetMode="External"/><Relationship Id="rId2334" Type="http://schemas.openxmlformats.org/officeDocument/2006/relationships/hyperlink" Target="https://1drv.ms/x/s!AkP3hbXXLtgBhpEoaTK-EAwrB6PPjQ?e=LiWfcw&amp;nav=MTVfezFBQTVDNUQ5LTIxM0QtNDcxMi05RkYwLUI2NUUyNTFDRkFBMH0" TargetMode="External"/><Relationship Id="rId306" Type="http://schemas.openxmlformats.org/officeDocument/2006/relationships/hyperlink" Target="https://1drv.ms/x/s!AkP3hbXXLtgBhpEoaTK-EAwrB6PPjQ?e=HO6wd4&amp;nav=MTVfe0NDRThCRDRELTFCMEEtNDNFRC1BMDRDLTc1QjY0NDgwNjJBMH0" TargetMode="External"/><Relationship Id="rId860" Type="http://schemas.openxmlformats.org/officeDocument/2006/relationships/hyperlink" Target="https://1drv.ms/x/s!AkP3hbXXLtgBhpEoaTK-EAwrB6PPjQ?e=VcWWuU&amp;nav=MTVfe0ExMEEwQ0RDLUFCNUQtNEMxQS1BM0ZGLTEzRDE2MkJEN0U2Q30" TargetMode="External"/><Relationship Id="rId1143" Type="http://schemas.openxmlformats.org/officeDocument/2006/relationships/hyperlink" Target="https://1drv.ms/x/s!AkP3hbXXLtgBhpEoaTK-EAwrB6PPjQ?e=xGItXl&amp;nav=MTVfezc3NDc5QTVFLTEyMTItNEVGOS04NzRCLUUzREZBMkQ0NjU4OH0" TargetMode="External"/><Relationship Id="rId2541" Type="http://schemas.openxmlformats.org/officeDocument/2006/relationships/hyperlink" Target="https://1drv.ms/x/s!AkP3hbXXLtgBhpEoaTK-EAwrB6PPjQ?e=mXia38&amp;nav=MTVfe0I0NjUwQ0I4LURGNzEtNDA5NC04M0QxLUExRTNDN0Q3OTc1MX0" TargetMode="External"/><Relationship Id="rId513" Type="http://schemas.openxmlformats.org/officeDocument/2006/relationships/hyperlink" Target="https://1drv.ms/x/s!AkP3hbXXLtgBhpEoaTK-EAwrB6PPjQ?e=zfxOib&amp;nav=MTVfezc5MUI1QUJBLTY0QUItNDM1OS05NkVBLTE3MUFBQTY2QzQ4Q30" TargetMode="External"/><Relationship Id="rId720" Type="http://schemas.openxmlformats.org/officeDocument/2006/relationships/hyperlink" Target="https://1drv.ms/x/s!AkP3hbXXLtgBhpEoaTK-EAwrB6PPjQ?e=JPeMLZ&amp;nav=MTVfezdEMkY3NDEyLUYwMzItNDM0RC05MDRFLTcyNTE0ODM0NjA4M30" TargetMode="External"/><Relationship Id="rId1350" Type="http://schemas.openxmlformats.org/officeDocument/2006/relationships/hyperlink" Target="https://1drv.ms/x/s!AkP3hbXXLtgBhpEoaTK-EAwrB6PPjQ?e=SkY523&amp;nav=MTVfezk3NEQ3MjVGLTlERDMtNDdDOS05QzJDLUU5RjJCNjk2N0I4MX0" TargetMode="External"/><Relationship Id="rId2401" Type="http://schemas.openxmlformats.org/officeDocument/2006/relationships/hyperlink" Target="https://1drv.ms/x/s!AkP3hbXXLtgBhpEoaTK-EAwrB6PPjQ?e=X2f9pt&amp;nav=MTVfe0M4ODI3QTVFLTgzOUMtNDk2Qy1BMThFLUNCMDYwN0JBQjM5M30" TargetMode="External"/><Relationship Id="rId1003" Type="http://schemas.openxmlformats.org/officeDocument/2006/relationships/hyperlink" Target="https://1drv.ms/x/s!AkP3hbXXLtgBhpEoaTK-EAwrB6PPjQ?e=fk66xb&amp;nav=MTVfezU0MjNBNEE5LTNDNzctNDQwNC05RjA3LTAyNEI1N0FBQjFDNX0" TargetMode="External"/><Relationship Id="rId1210" Type="http://schemas.openxmlformats.org/officeDocument/2006/relationships/hyperlink" Target="https://1drv.ms/x/s!AkP3hbXXLtgBhpEoaTK-EAwrB6PPjQ?e=U6lTuf&amp;nav=MTVfezFEODYyODdBLUIyOTctNDdGMC04MTkyLUUzRDE3NjM5RkNFQ30" TargetMode="External"/><Relationship Id="rId2191" Type="http://schemas.openxmlformats.org/officeDocument/2006/relationships/hyperlink" Target="https://1drv.ms/x/s!AkP3hbXXLtgBhpEoaTK-EAwrB6PPjQ?e=PJkcfB&amp;nav=MTVfezBFRjgyRDlFLThFOEUtNDA2RC05QUQzLTk5RDY0REIzMEU3Rn0" TargetMode="External"/><Relationship Id="rId163" Type="http://schemas.openxmlformats.org/officeDocument/2006/relationships/hyperlink" Target="https://1drv.ms/x/s!AkP3hbXXLtgBhpEoaTK-EAwrB6PPjQ?e=hRuig5&amp;nav=MTVfe0NCREMzODZGLTI3RDktNEI4RS05QjQ0LUUzQTc5QTQyQzY2MX0" TargetMode="External"/><Relationship Id="rId370" Type="http://schemas.openxmlformats.org/officeDocument/2006/relationships/hyperlink" Target="https://1drv.ms/x/s!AkP3hbXXLtgBhpEoaTK-EAwrB6PPjQ?e=mvWMFP&amp;nav=MTVfe0Q0MjM2QjFDLUVBQTAtNDE3Ri1BOEVGLTQzNzNBN0FGODY4M30" TargetMode="External"/><Relationship Id="rId2051" Type="http://schemas.openxmlformats.org/officeDocument/2006/relationships/hyperlink" Target="https://1drv.ms/x/s!AkP3hbXXLtgBhpEoaTK-EAwrB6PPjQ?e=t9ByVx&amp;nav=MTVfe0MzOTE2QzlDLTMzMEMtNEQ4NS05NjZBLTBFNzk3QjgxMEIwQn0" TargetMode="External"/><Relationship Id="rId230" Type="http://schemas.openxmlformats.org/officeDocument/2006/relationships/hyperlink" Target="https://1drv.ms/x/s!AkP3hbXXLtgBhpEoaTK-EAwrB6PPjQ?e=36Im2J&amp;nav=MTVfezg1NTdGRUM1LTczODktNDk5My1BQjA0LTkyQjFDODE4MjgxRX0" TargetMode="External"/><Relationship Id="rId1677" Type="http://schemas.openxmlformats.org/officeDocument/2006/relationships/hyperlink" Target="https://1drv.ms/x/s!AkP3hbXXLtgBhpEoaTK-EAwrB6PPjQ?e=DHRjp5&amp;nav=MTVfezdEN0E2ODJDLUYxMzctNDI0MS1BRjZDLThEMzExM0M0OTZBNn0" TargetMode="External"/><Relationship Id="rId1884" Type="http://schemas.openxmlformats.org/officeDocument/2006/relationships/hyperlink" Target="https://1drv.ms/x/s!AkP3hbXXLtgBhpEoaTK-EAwrB6PPjQ?e=3z9g8a&amp;nav=MTVfezBGMENERTNBLTZCQTUtNDYwRi05MDM3LUNDNDk5MDBCNUU5MX0" TargetMode="External"/><Relationship Id="rId2728" Type="http://schemas.openxmlformats.org/officeDocument/2006/relationships/hyperlink" Target="https://1drv.ms/x/s!AkP3hbXXLtgBhpEoaTK-EAwrB6PPjQ?e=hUXjPN&amp;nav=MTVfezYzNzY4MEExLTRDMzItNDcxMy05M0ZCLTBFNjAwNTlBMUI0MH0" TargetMode="External"/><Relationship Id="rId907" Type="http://schemas.openxmlformats.org/officeDocument/2006/relationships/hyperlink" Target="https://1drv.ms/x/s!AkP3hbXXLtgBhpEoaTK-EAwrB6PPjQ?e=q7Y9UY&amp;nav=MTVfezY2QjMzRUJDLTdGREQtNEI4MC05QkFBLTZFRTQyNUFCMDY2MH0" TargetMode="External"/><Relationship Id="rId1537" Type="http://schemas.openxmlformats.org/officeDocument/2006/relationships/hyperlink" Target="https://1drv.ms/x/s!AkP3hbXXLtgBhpEoaTK-EAwrB6PPjQ?e=PsqPhH&amp;nav=MTVfe0ZDRjg3ODhGLTBFNDItNDJCOC04MDRCLTU4OTcwNUMwMjFGMn0" TargetMode="External"/><Relationship Id="rId1744" Type="http://schemas.openxmlformats.org/officeDocument/2006/relationships/hyperlink" Target="https://1drv.ms/x/s!AkP3hbXXLtgBhpEoaTK-EAwrB6PPjQ?e=OaIvOH&amp;nav=MTVfezFDODBFQUMzLTY0M0UtNDM2MC04REU0LTRBOUYzQ0MxQkY2Nn0" TargetMode="External"/><Relationship Id="rId1951" Type="http://schemas.openxmlformats.org/officeDocument/2006/relationships/hyperlink" Target="https://1drv.ms/x/s!AkP3hbXXLtgBhpEoaTK-EAwrB6PPjQ?e=Hae5Hc&amp;nav=MTVfe0U1QUU2RDZBLTFGMkUtNENGNC04OENCLUE1MjI0OEMyNDMzNn0" TargetMode="External"/><Relationship Id="rId36" Type="http://schemas.openxmlformats.org/officeDocument/2006/relationships/hyperlink" Target="https://1drv.ms/x/s!AkP3hbXXLtgBhpEoaTK-EAwrB6PPjQ?e=AMVmTu&amp;nav=MTVfezNFMEFDQTg3LTgzOUUtNDFGNC04MkYwLUIxRjIyNTFBRDYzNX0" TargetMode="External"/><Relationship Id="rId1604" Type="http://schemas.openxmlformats.org/officeDocument/2006/relationships/hyperlink" Target="https://1drv.ms/x/s!AkP3hbXXLtgBhpEoaTK-EAwrB6PPjQ?e=hF7xUm&amp;nav=MTVfezBDOEZCN0U5LURBOEQtNEY2Qi1CNUE1LUYzQTk0NDFBRkE2NX0" TargetMode="External"/><Relationship Id="rId1811" Type="http://schemas.openxmlformats.org/officeDocument/2006/relationships/hyperlink" Target="https://1drv.ms/x/s!AkP3hbXXLtgBhpEoaTK-EAwrB6PPjQ?e=sBpJD5&amp;nav=MTVfezM5QzdFMEZDLTg3QTEtNDRCMS04QTgyLUQ3MDU0NDI2MTBFRn0" TargetMode="External"/><Relationship Id="rId697" Type="http://schemas.openxmlformats.org/officeDocument/2006/relationships/hyperlink" Target="https://1drv.ms/x/s!AkP3hbXXLtgBhpEoaTK-EAwrB6PPjQ?e=JPeMLZ&amp;nav=MTVfezdEMkY3NDEyLUYwMzItNDM0RC05MDRFLTcyNTE0ODM0NjA4M30" TargetMode="External"/><Relationship Id="rId2378" Type="http://schemas.openxmlformats.org/officeDocument/2006/relationships/hyperlink" Target="https://1drv.ms/x/s!AkP3hbXXLtgBhpEoaTK-EAwrB6PPjQ?e=X2f9pt&amp;nav=MTVfe0M4ODI3QTVFLTgzOUMtNDk2Qy1BMThFLUNCMDYwN0JBQjM5M30" TargetMode="External"/><Relationship Id="rId1187" Type="http://schemas.openxmlformats.org/officeDocument/2006/relationships/hyperlink" Target="https://1drv.ms/x/s!AkP3hbXXLtgBhpEoaTK-EAwrB6PPjQ?e=7D4jtp&amp;nav=MTVfe0Q5MDNFMUVCLUFFNkQtNDU5OC04QjYyLUFGODVDMTZENkVGMX0" TargetMode="External"/><Relationship Id="rId2585" Type="http://schemas.openxmlformats.org/officeDocument/2006/relationships/hyperlink" Target="https://1drv.ms/x/s!AkP3hbXXLtgBhpEoaTK-EAwrB6PPjQ?e=N61x6z&amp;nav=MTVfezFBOUUwQ0Q3LUM4QTctNDRFRS1CMkY3LTFGQkJDMEM4NTIzRH0" TargetMode="External"/><Relationship Id="rId557" Type="http://schemas.openxmlformats.org/officeDocument/2006/relationships/hyperlink" Target="https://1drv.ms/x/s!AkP3hbXXLtgBhpEoaTK-EAwrB6PPjQ?e=xgZSuS&amp;nav=MTVfezA3RkYxMTMwLTAyQjYtNDA4RS1BMkU5LTI2MUQ0MjM2OEJGQn0" TargetMode="External"/><Relationship Id="rId764" Type="http://schemas.openxmlformats.org/officeDocument/2006/relationships/hyperlink" Target="https://1drv.ms/x/s!AkP3hbXXLtgBhpEoaTK-EAwrB6PPjQ?e=0lRBEc&amp;nav=MTVfezRDRDQwMjU1LUJFM0ItNENDQS05NDQ1LUY1OTdERDA5ODg4NH0" TargetMode="External"/><Relationship Id="rId971" Type="http://schemas.openxmlformats.org/officeDocument/2006/relationships/hyperlink" Target="https://1drv.ms/x/s!AkP3hbXXLtgBhpEoaTK-EAwrB6PPjQ?e=fk66xb&amp;nav=MTVfezU0MjNBNEE5LTNDNzctNDQwNC05RjA3LTAyNEI1N0FBQjFDNX0" TargetMode="External"/><Relationship Id="rId1394" Type="http://schemas.openxmlformats.org/officeDocument/2006/relationships/hyperlink" Target="https://1drv.ms/x/s!AkP3hbXXLtgBhpEoaTK-EAwrB6PPjQ?e=6Dzvxb&amp;nav=MTVfezE4RDVGRUE3LUYyN0MtNDRFNC1BMENCLTk1RTNFRjk3QkJDRX0" TargetMode="External"/><Relationship Id="rId2238" Type="http://schemas.openxmlformats.org/officeDocument/2006/relationships/hyperlink" Target="https://1drv.ms/x/s!AkP3hbXXLtgBhpEoaTK-EAwrB6PPjQ?e=vI4FNr&amp;nav=MTVfezhGQzkyMTU5LUYxNTUtNDg4MS04N0QzLTE5OTgzQjI3QTc1NH0" TargetMode="External"/><Relationship Id="rId2445" Type="http://schemas.openxmlformats.org/officeDocument/2006/relationships/hyperlink" Target="https://1drv.ms/x/s!AkP3hbXXLtgBhpEoaTK-EAwrB6PPjQ?e=LQfhsg&amp;nav=MTVfe0FGQTQ2QTUxLTkwOEEtNEZCNi04OUQ1LTMwOUU4QkMzMTRFQ30" TargetMode="External"/><Relationship Id="rId2652" Type="http://schemas.openxmlformats.org/officeDocument/2006/relationships/hyperlink" Target="https://1drv.ms/x/s!AkP3hbXXLtgBhpEoaTK-EAwrB6PPjQ?e=k1JzSb&amp;nav=MTVfezlCRDVCMEI4LTNBMEItNDE5NC04RTEyLUQxQzc3N0U3MUFFQn0" TargetMode="External"/><Relationship Id="rId417" Type="http://schemas.openxmlformats.org/officeDocument/2006/relationships/hyperlink" Target="https://1drv.ms/x/s!AkP3hbXXLtgBhpEoaTK-EAwrB6PPjQ?e=sXo522&amp;nav=MTVfe0VCNzhCQUU0LUVEQzItNDRCMC04QTFFLUZEQzA0OTNEMDkzOX0" TargetMode="External"/><Relationship Id="rId624" Type="http://schemas.openxmlformats.org/officeDocument/2006/relationships/hyperlink" Target="https://1drv.ms/x/s!AkP3hbXXLtgBhpEoaTK-EAwrB6PPjQ?e=ZRDRyK&amp;nav=MTVfe0IyQkRBQzE0LUM2QkQtNDY3Ny04MjcyLUQxNjYyMkIyRTZGRH0" TargetMode="External"/><Relationship Id="rId831" Type="http://schemas.openxmlformats.org/officeDocument/2006/relationships/hyperlink" Target="https://1drv.ms/x/s!AkP3hbXXLtgBhpEoaTK-EAwrB6PPjQ?e=zuxs7K&amp;nav=MTVfezEzQ0U5ODFBLTQxOTEtNERBOS05RDcwLTU1NDcwQ0I2MzhFNX0" TargetMode="External"/><Relationship Id="rId1047" Type="http://schemas.openxmlformats.org/officeDocument/2006/relationships/hyperlink" Target="https://1drv.ms/x/s!AkP3hbXXLtgBhpEoaTK-EAwrB6PPjQ?e=NFspu9&amp;nav=MTVfezE1M0M1OEJDLTA3MzUtNERFMC1BNzE4LTMzMUY1QjZBOEZDMH0" TargetMode="External"/><Relationship Id="rId1254" Type="http://schemas.openxmlformats.org/officeDocument/2006/relationships/hyperlink" Target="https://1drv.ms/x/s!AkP3hbXXLtgBhpEoaTK-EAwrB6PPjQ?e=UaBeCf&amp;nav=MTVfezM0NkJDRTA1LThBNUQtNDFFMC1BNjQ2LTk5NTVEMTg4RUEzNn0" TargetMode="External"/><Relationship Id="rId1461" Type="http://schemas.openxmlformats.org/officeDocument/2006/relationships/hyperlink" Target="https://1drv.ms/x/s!AkP3hbXXLtgBhpEoaTK-EAwrB6PPjQ?e=xXe3yl&amp;nav=MTVfezM1QjlFQjFCLUIxM0MtNDQ0Ni05MzQyLUU2QjczMkYzQzJFOH0" TargetMode="External"/><Relationship Id="rId2305" Type="http://schemas.openxmlformats.org/officeDocument/2006/relationships/hyperlink" Target="https://1drv.ms/x/s!AkP3hbXXLtgBhpEoaTK-EAwrB6PPjQ?e=LiWfcw&amp;nav=MTVfezFBQTVDNUQ5LTIxM0QtNDcxMi05RkYwLUI2NUUyNTFDRkFBMH0" TargetMode="External"/><Relationship Id="rId2512" Type="http://schemas.openxmlformats.org/officeDocument/2006/relationships/hyperlink" Target="https://1drv.ms/x/s!AkP3hbXXLtgBhpEoaTK-EAwrB6PPjQ?e=mXia38&amp;nav=MTVfe0I0NjUwQ0I4LURGNzEtNDA5NC04M0QxLUExRTNDN0Q3OTc1MX0" TargetMode="External"/><Relationship Id="rId1114" Type="http://schemas.openxmlformats.org/officeDocument/2006/relationships/hyperlink" Target="https://1drv.ms/x/s!AkP3hbXXLtgBhpEoaTK-EAwrB6PPjQ?e=Brd8C5&amp;nav=MTVfe0YyMTJGNjdELTg0REMtNEY4Ri05MzE5LTE0M0FEODlBMzg5Q30" TargetMode="External"/><Relationship Id="rId1321" Type="http://schemas.openxmlformats.org/officeDocument/2006/relationships/hyperlink" Target="https://1drv.ms/x/s!AkP3hbXXLtgBhpEoaTK-EAwrB6PPjQ?e=aEDo0X&amp;nav=MTVfe0Y5NTI5MkI1LUFCMUItNDU0Ni1BNjg1LUVEQUU4Q0U3RTM5OX0" TargetMode="External"/><Relationship Id="rId2095" Type="http://schemas.openxmlformats.org/officeDocument/2006/relationships/hyperlink" Target="https://1drv.ms/x/s!AkP3hbXXLtgBhpEoaTK-EAwrB6PPjQ?e=7tvhFu&amp;nav=MTVfezYzQUQ2N0RCLTZFQkQtNDhGOC1BODVFLUQzNjgwN0I4QkNFMn0" TargetMode="External"/><Relationship Id="rId274" Type="http://schemas.openxmlformats.org/officeDocument/2006/relationships/hyperlink" Target="https://1drv.ms/x/s!AkP3hbXXLtgBhpEoaTK-EAwrB6PPjQ?e=36Im2J&amp;nav=MTVfezg1NTdGRUM1LTczODktNDk5My1BQjA0LTkyQjFDODE4MjgxRX0" TargetMode="External"/><Relationship Id="rId481" Type="http://schemas.openxmlformats.org/officeDocument/2006/relationships/hyperlink" Target="https://1drv.ms/x/s!AkP3hbXXLtgBhpEoaTK-EAwrB6PPjQ?e=sXo522&amp;nav=MTVfe0VCNzhCQUU0LUVEQzItNDRCMC04QTFFLUZEQzA0OTNEMDkzOX0" TargetMode="External"/><Relationship Id="rId2162" Type="http://schemas.openxmlformats.org/officeDocument/2006/relationships/hyperlink" Target="https://1drv.ms/x/s!AkP3hbXXLtgBhpEoaTK-EAwrB6PPjQ?e=ZnXBwL&amp;nav=MTVfezI5Qjk2QkQ4LUM5RkMtNDc1RS1BMkNCLTRDQTg1OEZFNkY2N30" TargetMode="External"/><Relationship Id="rId134" Type="http://schemas.openxmlformats.org/officeDocument/2006/relationships/hyperlink" Target="https://1drv.ms/x/s!AkP3hbXXLtgBhpEoaTK-EAwrB6PPjQ?e=hRuig5&amp;nav=MTVfe0NCREMzODZGLTI3RDktNEI4RS05QjQ0LUUzQTc5QTQyQzY2MX0" TargetMode="External"/><Relationship Id="rId341" Type="http://schemas.openxmlformats.org/officeDocument/2006/relationships/hyperlink" Target="https://1drv.ms/x/s!AkP3hbXXLtgBhpEoaTK-EAwrB6PPjQ?e=HO6wd4&amp;nav=MTVfe0NDRThCRDRELTFCMEEtNDNFRC1BMDRDLTc1QjY0NDgwNjJBMH0" TargetMode="External"/><Relationship Id="rId2022" Type="http://schemas.openxmlformats.org/officeDocument/2006/relationships/hyperlink" Target="https://1drv.ms/x/s!AkP3hbXXLtgBhpEoaTK-EAwrB6PPjQ?e=e8c5BE&amp;nav=MTVfe0YzRjMwRTg2LTYyMTgtNEY5QS05Qzg0LTUxNkJFM0Q4MDAwN30" TargetMode="External"/><Relationship Id="rId201" Type="http://schemas.openxmlformats.org/officeDocument/2006/relationships/hyperlink" Target="https://1drv.ms/x/s!AkP3hbXXLtgBhpEoaTK-EAwrB6PPjQ?e=hKKsXn&amp;nav=MTVfe0M0MzQ5RkZFLUFFMEMtNDZBOC05NDNELUU2ODg5N0JGMDU4Rn0" TargetMode="External"/><Relationship Id="rId1788" Type="http://schemas.openxmlformats.org/officeDocument/2006/relationships/hyperlink" Target="https://1drv.ms/x/s!AkP3hbXXLtgBhpEoaTK-EAwrB6PPjQ?e=sBpJD5&amp;nav=MTVfezM5QzdFMEZDLTg3QTEtNDRCMS04QTgyLUQ3MDU0NDI2MTBFRn0" TargetMode="External"/><Relationship Id="rId1995" Type="http://schemas.openxmlformats.org/officeDocument/2006/relationships/hyperlink" Target="https://1drv.ms/x/s!AkP3hbXXLtgBhpEoaTK-EAwrB6PPjQ?e=e8c5BE&amp;nav=MTVfe0YzRjMwRTg2LTYyMTgtNEY5QS05Qzg0LTUxNkJFM0Q4MDAwN30" TargetMode="External"/><Relationship Id="rId1648" Type="http://schemas.openxmlformats.org/officeDocument/2006/relationships/hyperlink" Target="https://1drv.ms/x/s!AkP3hbXXLtgBhpEoaTK-EAwrB6PPjQ?e=DHRjp5&amp;nav=MTVfezdEN0E2ODJDLUYxMzctNDI0MS1BRjZDLThEMzExM0M0OTZBNn0" TargetMode="External"/><Relationship Id="rId1508" Type="http://schemas.openxmlformats.org/officeDocument/2006/relationships/hyperlink" Target="https://1drv.ms/x/s!AkP3hbXXLtgBhpEoaTK-EAwrB6PPjQ?e=xGItXl&amp;nav=MTVfezc3NDc5QTVFLTEyMTItNEVGOS04NzRCLUUzREZBMkQ0NjU4OH0" TargetMode="External"/><Relationship Id="rId1855" Type="http://schemas.openxmlformats.org/officeDocument/2006/relationships/hyperlink" Target="https://1drv.ms/x/s!AkP3hbXXLtgBhpEoaTK-EAwrB6PPjQ?e=pv1n5G&amp;nav=MTVfe0I5QjVDOEU1LTM5MTMtNDRCNy1COEY4LUUwMUNENUM2NTY1NX0" TargetMode="External"/><Relationship Id="rId1715" Type="http://schemas.openxmlformats.org/officeDocument/2006/relationships/hyperlink" Target="https://1drv.ms/x/s!AkP3hbXXLtgBhpEoaTK-EAwrB6PPjQ?e=DHRjp5&amp;nav=MTVfezdEN0E2ODJDLUYxMzctNDI0MS1BRjZDLThEMzExM0M0OTZBNn0" TargetMode="External"/><Relationship Id="rId1922" Type="http://schemas.openxmlformats.org/officeDocument/2006/relationships/hyperlink" Target="https://1drv.ms/x/s!AkP3hbXXLtgBhpEoaTK-EAwrB6PPjQ?e=U8iWbp&amp;nav=MTVfezVDRDNFMEMzLTY0NDctNDUyNC05RjQyLUQ5MzdFOTgzQzgzNH0" TargetMode="External"/><Relationship Id="rId2489" Type="http://schemas.openxmlformats.org/officeDocument/2006/relationships/hyperlink" Target="https://1drv.ms/x/s!AkP3hbXXLtgBhpEoaTK-EAwrB6PPjQ?e=LQfhsg&amp;nav=MTVfe0FGQTQ2QTUxLTkwOEEtNEZCNi04OUQ1LTMwOUU4QkMzMTRFQ30" TargetMode="External"/><Relationship Id="rId2696" Type="http://schemas.openxmlformats.org/officeDocument/2006/relationships/hyperlink" Target="https://1drv.ms/x/s!AkP3hbXXLtgBhpEoaTK-EAwrB6PPjQ?e=hUXjPN&amp;nav=MTVfezYzNzY4MEExLTRDMzItNDcxMy05M0ZCLTBFNjAwNTlBMUI0MH0" TargetMode="External"/><Relationship Id="rId668" Type="http://schemas.openxmlformats.org/officeDocument/2006/relationships/hyperlink" Target="https://1drv.ms/x/s!AkP3hbXXLtgBhpEoaTK-EAwrB6PPjQ?e=JPeMLZ&amp;nav=MTVfezdEMkY3NDEyLUYwMzItNDM0RC05MDRFLTcyNTE0ODM0NjA4M30" TargetMode="External"/><Relationship Id="rId875" Type="http://schemas.openxmlformats.org/officeDocument/2006/relationships/hyperlink" Target="https://1drv.ms/x/s!AkP3hbXXLtgBhpEoaTK-EAwrB6PPjQ?e=VcWWuU&amp;nav=MTVfe0ExMEEwQ0RDLUFCNUQtNEMxQS1BM0ZGLTEzRDE2MkJEN0U2Q30" TargetMode="External"/><Relationship Id="rId1298" Type="http://schemas.openxmlformats.org/officeDocument/2006/relationships/hyperlink" Target="https://1drv.ms/x/s!AkP3hbXXLtgBhpEoaTK-EAwrB6PPjQ?e=bD2jTr&amp;nav=MTVfezRGRUQzQzY0LTk3M0ItNDNDNy1BRUY3LTYwMDNGN0E5OThFQX0" TargetMode="External"/><Relationship Id="rId2349" Type="http://schemas.openxmlformats.org/officeDocument/2006/relationships/hyperlink" Target="https://1drv.ms/x/s!AkP3hbXXLtgBhpEoaTK-EAwrB6PPjQ?e=LiWfcw&amp;nav=MTVfezFBQTVDNUQ5LTIxM0QtNDcxMi05RkYwLUI2NUUyNTFDRkFBMH0" TargetMode="External"/><Relationship Id="rId2556" Type="http://schemas.openxmlformats.org/officeDocument/2006/relationships/hyperlink" Target="https://1drv.ms/x/s!AkP3hbXXLtgBhpEoaTK-EAwrB6PPjQ?e=mXia38&amp;nav=MTVfe0I0NjUwQ0I4LURGNzEtNDA5NC04M0QxLUExRTNDN0Q3OTc1MX0" TargetMode="External"/><Relationship Id="rId528" Type="http://schemas.openxmlformats.org/officeDocument/2006/relationships/hyperlink" Target="https://1drv.ms/x/s!AkP3hbXXLtgBhpEoaTK-EAwrB6PPjQ?e=zfxOib&amp;nav=MTVfezc5MUI1QUJBLTY0QUItNDM1OS05NkVBLTE3MUFBQTY2QzQ4Q30" TargetMode="External"/><Relationship Id="rId735" Type="http://schemas.openxmlformats.org/officeDocument/2006/relationships/hyperlink" Target="https://1drv.ms/x/s!AkP3hbXXLtgBhpEoaTK-EAwrB6PPjQ?e=0lRBEc&amp;nav=MTVfezRDRDQwMjU1LUJFM0ItNENDQS05NDQ1LUY1OTdERDA5ODg4NH0" TargetMode="External"/><Relationship Id="rId942" Type="http://schemas.openxmlformats.org/officeDocument/2006/relationships/hyperlink" Target="https://1drv.ms/x/s!AkP3hbXXLtgBhpEoaTK-EAwrB6PPjQ?e=GuJxJM&amp;nav=MTVfe0NBQzcxNDNGLTAzODYtNEFDRi1BNTI1LTRDQTYxMDEzNkYwM30" TargetMode="External"/><Relationship Id="rId1158" Type="http://schemas.openxmlformats.org/officeDocument/2006/relationships/hyperlink" Target="https://1drv.ms/x/s!AkP3hbXXLtgBhpEoaTK-EAwrB6PPjQ?e=7D4jtp&amp;nav=MTVfe0Q5MDNFMUVCLUFFNkQtNDU5OC04QjYyLUFGODVDMTZENkVGMX0" TargetMode="External"/><Relationship Id="rId1365" Type="http://schemas.openxmlformats.org/officeDocument/2006/relationships/hyperlink" Target="https://1drv.ms/x/s!AkP3hbXXLtgBhpEoaTK-EAwrB6PPjQ?e=0mRVd8&amp;nav=MTVfezhCNkZEQTNBLUNGMjctNEI5QS04QzdDLTFGQzk0MjVBNUY1QX0" TargetMode="External"/><Relationship Id="rId1572" Type="http://schemas.openxmlformats.org/officeDocument/2006/relationships/hyperlink" Target="https://1drv.ms/x/s!AkP3hbXXLtgBhpEoaTK-EAwrB6PPjQ?e=hF7xUm&amp;nav=MTVfezBDOEZCN0U5LURBOEQtNEY2Qi1CNUE1LUYzQTk0NDFBRkE2NX0" TargetMode="External"/><Relationship Id="rId2209" Type="http://schemas.openxmlformats.org/officeDocument/2006/relationships/hyperlink" Target="https://1drv.ms/x/s!AkP3hbXXLtgBhpEoaTK-EAwrB6PPjQ?e=PJkcfB&amp;nav=MTVfezBFRjgyRDlFLThFOEUtNDA2RC05QUQzLTk5RDY0REIzMEU3Rn0" TargetMode="External"/><Relationship Id="rId2416" Type="http://schemas.openxmlformats.org/officeDocument/2006/relationships/hyperlink" Target="https://1drv.ms/x/s!AkP3hbXXLtgBhpEoaTK-EAwrB6PPjQ?e=X2f9pt&amp;nav=MTVfe0M4ODI3QTVFLTgzOUMtNDk2Qy1BMThFLUNCMDYwN0JBQjM5M30" TargetMode="External"/><Relationship Id="rId2623" Type="http://schemas.openxmlformats.org/officeDocument/2006/relationships/hyperlink" Target="https://1drv.ms/x/s!AkP3hbXXLtgBhpEoaTK-EAwrB6PPjQ?e=k1JzSb&amp;nav=MTVfezlCRDVCMEI4LTNBMEItNDE5NC04RTEyLUQxQzc3N0U3MUFFQn0" TargetMode="External"/><Relationship Id="rId1018" Type="http://schemas.openxmlformats.org/officeDocument/2006/relationships/hyperlink" Target="https://1drv.ms/x/s!AkP3hbXXLtgBhpEoaTK-EAwrB6PPjQ?e=NFspu9&amp;nav=MTVfezE1M0M1OEJDLTA3MzUtNERFMC1BNzE4LTMzMUY1QjZBOEZDMH0" TargetMode="External"/><Relationship Id="rId1225" Type="http://schemas.openxmlformats.org/officeDocument/2006/relationships/hyperlink" Target="https://1drv.ms/x/s!AkP3hbXXLtgBhpEoaTK-EAwrB6PPjQ?e=U6lTuf&amp;nav=MTVfezFEODYyODdBLUIyOTctNDdGMC04MTkyLUUzRDE3NjM5RkNFQ30" TargetMode="External"/><Relationship Id="rId1432" Type="http://schemas.openxmlformats.org/officeDocument/2006/relationships/hyperlink" Target="https://1drv.ms/x/s!AkP3hbXXLtgBhpEoaTK-EAwrB6PPjQ?e=xXe3yl&amp;nav=MTVfezM1QjlFQjFCLUIxM0MtNDQ0Ni05MzQyLUU2QjczMkYzQzJFOH0" TargetMode="External"/><Relationship Id="rId71" Type="http://schemas.openxmlformats.org/officeDocument/2006/relationships/hyperlink" Target="https://1drv.ms/x/s!AkP3hbXXLtgBhpEoaTK-EAwrB6PPjQ?e=AMVmTu&amp;nav=MTVfezNFMEFDQTg3LTgzOUUtNDFGNC04MkYwLUIxRjIyNTFBRDYzNX0" TargetMode="External"/><Relationship Id="rId802" Type="http://schemas.openxmlformats.org/officeDocument/2006/relationships/hyperlink" Target="https://1drv.ms/x/s!AkP3hbXXLtgBhpEoaTK-EAwrB6PPjQ?e=zuxs7K&amp;nav=MTVfezEzQ0U5ODFBLTQxOTEtNERBOS05RDcwLTU1NDcwQ0I2MzhFNX0" TargetMode="External"/><Relationship Id="rId178" Type="http://schemas.openxmlformats.org/officeDocument/2006/relationships/hyperlink" Target="https://1drv.ms/x/s!AkP3hbXXLtgBhpEoaTK-EAwrB6PPjQ?e=hKKsXn&amp;nav=MTVfe0M0MzQ5RkZFLUFFMEMtNDZBOC05NDNELUU2ODg5N0JGMDU4Rn0" TargetMode="External"/><Relationship Id="rId385" Type="http://schemas.openxmlformats.org/officeDocument/2006/relationships/hyperlink" Target="https://1drv.ms/x/s!AkP3hbXXLtgBhpEoaTK-EAwrB6PPjQ?e=mvWMFP&amp;nav=MTVfe0Q0MjM2QjFDLUVBQTAtNDE3Ri1BOEVGLTQzNzNBN0FGODY4M30" TargetMode="External"/><Relationship Id="rId592" Type="http://schemas.openxmlformats.org/officeDocument/2006/relationships/hyperlink" Target="https://1drv.ms/x/s!AkP3hbXXLtgBhpEoaTK-EAwrB6PPjQ?e=xgZSuS&amp;nav=MTVfezA3RkYxMTMwLTAyQjYtNDA4RS1BMkU5LTI2MUQ0MjM2OEJGQn0" TargetMode="External"/><Relationship Id="rId2066" Type="http://schemas.openxmlformats.org/officeDocument/2006/relationships/hyperlink" Target="https://1drv.ms/x/s!AkP3hbXXLtgBhpEoaTK-EAwrB6PPjQ?e=t9ByVx&amp;nav=MTVfe0MzOTE2QzlDLTMzMEMtNEQ4NS05NjZBLTBFNzk3QjgxMEIwQn0" TargetMode="External"/><Relationship Id="rId2273" Type="http://schemas.openxmlformats.org/officeDocument/2006/relationships/hyperlink" Target="https://1drv.ms/x/s!AkP3hbXXLtgBhpEoaTK-EAwrB6PPjQ?e=vI4FNr&amp;nav=MTVfezhGQzkyMTU5LUYxNTUtNDg4MS04N0QzLTE5OTgzQjI3QTc1NH0" TargetMode="External"/><Relationship Id="rId2480" Type="http://schemas.openxmlformats.org/officeDocument/2006/relationships/hyperlink" Target="https://1drv.ms/x/s!AkP3hbXXLtgBhpEoaTK-EAwrB6PPjQ?e=LQfhsg&amp;nav=MTVfe0FGQTQ2QTUxLTkwOEEtNEZCNi04OUQ1LTMwOUU4QkMzMTRFQ30" TargetMode="External"/><Relationship Id="rId245" Type="http://schemas.openxmlformats.org/officeDocument/2006/relationships/hyperlink" Target="https://1drv.ms/x/s!AkP3hbXXLtgBhpEoaTK-EAwrB6PPjQ?e=36Im2J&amp;nav=MTVfezg1NTdGRUM1LTczODktNDk5My1BQjA0LTkyQjFDODE4MjgxRX0" TargetMode="External"/><Relationship Id="rId452" Type="http://schemas.openxmlformats.org/officeDocument/2006/relationships/hyperlink" Target="https://1drv.ms/x/s!AkP3hbXXLtgBhpEoaTK-EAwrB6PPjQ?e=sXo522&amp;nav=MTVfe0VCNzhCQUU0LUVEQzItNDRCMC04QTFFLUZEQzA0OTNEMDkzOX0" TargetMode="External"/><Relationship Id="rId1082" Type="http://schemas.openxmlformats.org/officeDocument/2006/relationships/hyperlink" Target="https://1drv.ms/x/s!AkP3hbXXLtgBhpEoaTK-EAwrB6PPjQ?e=rYbeUy&amp;nav=MTVfe0Q1MEM2OTMzLTFBNUUtNDhCMS1CQzhCLTlGQTI2NEEzRURDRH0" TargetMode="External"/><Relationship Id="rId2133" Type="http://schemas.openxmlformats.org/officeDocument/2006/relationships/hyperlink" Target="https://1drv.ms/x/s!AkP3hbXXLtgBhpEoaTK-EAwrB6PPjQ?e=knsjIH&amp;nav=MTVfezQzQ0NBOTIyLUQ4RkItNEEzRi1BNkU5LTMwNjg2NkVBNzcyMn0" TargetMode="External"/><Relationship Id="rId2340" Type="http://schemas.openxmlformats.org/officeDocument/2006/relationships/hyperlink" Target="https://1drv.ms/x/s!AkP3hbXXLtgBhpEoaTK-EAwrB6PPjQ?e=LiWfcw&amp;nav=MTVfezFBQTVDNUQ5LTIxM0QtNDcxMi05RkYwLUI2NUUyNTFDRkFBMH0" TargetMode="External"/><Relationship Id="rId105" Type="http://schemas.openxmlformats.org/officeDocument/2006/relationships/hyperlink" Target="https://1drv.ms/x/s!AkP3hbXXLtgBhpEoaTK-EAwrB6PPjQ?e=hRuig5&amp;nav=MTVfe0NCREMzODZGLTI3RDktNEI4RS05QjQ0LUUzQTc5QTQyQzY2MX0" TargetMode="External"/><Relationship Id="rId312" Type="http://schemas.openxmlformats.org/officeDocument/2006/relationships/hyperlink" Target="https://1drv.ms/x/s!AkP3hbXXLtgBhpEoaTK-EAwrB6PPjQ?e=HO6wd4&amp;nav=MTVfe0NDRThCRDRELTFCMEEtNDNFRC1BMDRDLTc1QjY0NDgwNjJBMH0" TargetMode="External"/><Relationship Id="rId2200" Type="http://schemas.openxmlformats.org/officeDocument/2006/relationships/hyperlink" Target="https://1drv.ms/x/s!AkP3hbXXLtgBhpEoaTK-EAwrB6PPjQ?e=PJkcfB&amp;nav=MTVfezBFRjgyRDlFLThFOEUtNDA2RC05QUQzLTk5RDY0REIzMEU3Rn0" TargetMode="External"/><Relationship Id="rId1899" Type="http://schemas.openxmlformats.org/officeDocument/2006/relationships/hyperlink" Target="https://1drv.ms/x/s!AkP3hbXXLtgBhpEoaTK-EAwrB6PPjQ?e=TStCPl&amp;nav=MTVfezI2MjVEMjA5LUMzRUYtNEM5RS1CM0Q3LUE4NUY4RTMyNDUyNH0" TargetMode="External"/><Relationship Id="rId1759" Type="http://schemas.openxmlformats.org/officeDocument/2006/relationships/hyperlink" Target="https://1drv.ms/x/s!AkP3hbXXLtgBhpEoaTK-EAwrB6PPjQ?e=36Im2J&amp;nav=MTVfezg1NTdGRUM1LTczODktNDk5My1BQjA0LTkyQjFDODE4MjgxRX0" TargetMode="External"/><Relationship Id="rId1966" Type="http://schemas.openxmlformats.org/officeDocument/2006/relationships/hyperlink" Target="https://1drv.ms/x/s!AkP3hbXXLtgBhpEoaTK-EAwrB6PPjQ?e=Hae5Hc&amp;nav=MTVfe0U1QUU2RDZBLTFGMkUtNENGNC04OENCLUE1MjI0OEMyNDMzNn0" TargetMode="External"/><Relationship Id="rId1619" Type="http://schemas.openxmlformats.org/officeDocument/2006/relationships/hyperlink" Target="https://1drv.ms/x/s!AkP3hbXXLtgBhpEoaTK-EAwrB6PPjQ?e=hF7xUm&amp;nav=MTVfezBDOEZCN0U5LURBOEQtNEY2Qi1CNUE1LUYzQTk0NDFBRkE2NX0" TargetMode="External"/><Relationship Id="rId1826" Type="http://schemas.openxmlformats.org/officeDocument/2006/relationships/hyperlink" Target="https://1drv.ms/x/s!AkP3hbXXLtgBhpEoaTK-EAwrB6PPjQ?e=hRuig5&amp;nav=MTVfe0NCREMzODZGLTI3RDktNEI4RS05QjQ0LUUzQTc5QTQyQzY2MX0" TargetMode="External"/><Relationship Id="rId779" Type="http://schemas.openxmlformats.org/officeDocument/2006/relationships/hyperlink" Target="https://1drv.ms/x/s!AkP3hbXXLtgBhpEoaTK-EAwrB6PPjQ?e=0lRBEc&amp;nav=MTVfezRDRDQwMjU1LUJFM0ItNENDQS05NDQ1LUY1OTdERDA5ODg4NH0" TargetMode="External"/><Relationship Id="rId986" Type="http://schemas.openxmlformats.org/officeDocument/2006/relationships/hyperlink" Target="https://1drv.ms/x/s!AkP3hbXXLtgBhpEoaTK-EAwrB6PPjQ?e=fk66xb&amp;nav=MTVfezU0MjNBNEE5LTNDNzctNDQwNC05RjA3LTAyNEI1N0FBQjFDNX0" TargetMode="External"/><Relationship Id="rId2667" Type="http://schemas.openxmlformats.org/officeDocument/2006/relationships/hyperlink" Target="https://1drv.ms/x/s!AkP3hbXXLtgBhpEoaTK-EAwrB6PPjQ?e=hUXjPN&amp;nav=MTVfezYzNzY4MEExLTRDMzItNDcxMy05M0ZCLTBFNjAwNTlBMUI0MH0" TargetMode="External"/><Relationship Id="rId639" Type="http://schemas.openxmlformats.org/officeDocument/2006/relationships/hyperlink" Target="https://1drv.ms/x/s!AkP3hbXXLtgBhpEoaTK-EAwrB6PPjQ?e=ZRDRyK&amp;nav=MTVfe0IyQkRBQzE0LUM2QkQtNDY3Ny04MjcyLUQxNjYyMkIyRTZGRH0" TargetMode="External"/><Relationship Id="rId1269" Type="http://schemas.openxmlformats.org/officeDocument/2006/relationships/hyperlink" Target="https://1drv.ms/x/s!AkP3hbXXLtgBhpEoaTK-EAwrB6PPjQ?e=UaBeCf&amp;nav=MTVfezM0NkJDRTA1LThBNUQtNDFFMC1BNjQ2LTk5NTVEMTg4RUEzNn0" TargetMode="External"/><Relationship Id="rId1476" Type="http://schemas.openxmlformats.org/officeDocument/2006/relationships/hyperlink" Target="https://1drv.ms/x/s!AkP3hbXXLtgBhpEoaTK-EAwrB6PPjQ?e=Dygyft&amp;nav=MTVfe0VDMUJBNEJBLUNCOTAtNDI3Ri1CMTVFLUZDQjc2NURCQ0I1Q30" TargetMode="External"/><Relationship Id="rId846" Type="http://schemas.openxmlformats.org/officeDocument/2006/relationships/hyperlink" Target="https://1drv.ms/x/s!AkP3hbXXLtgBhpEoaTK-EAwrB6PPjQ?e=VcWWuU&amp;nav=MTVfe0ExMEEwQ0RDLUFCNUQtNEMxQS1BM0ZGLTEzRDE2MkJEN0U2Q30" TargetMode="External"/><Relationship Id="rId1129" Type="http://schemas.openxmlformats.org/officeDocument/2006/relationships/hyperlink" Target="https://1drv.ms/x/s!AkP3hbXXLtgBhpEoaTK-EAwrB6PPjQ?e=Brd8C5&amp;nav=MTVfe0YyMTJGNjdELTg0REMtNEY4Ri05MzE5LTE0M0FEODlBMzg5Q30" TargetMode="External"/><Relationship Id="rId1683" Type="http://schemas.openxmlformats.org/officeDocument/2006/relationships/hyperlink" Target="https://1drv.ms/x/s!AkP3hbXXLtgBhpEoaTK-EAwrB6PPjQ?e=DHRjp5&amp;nav=MTVfezdEN0E2ODJDLUYxMzctNDI0MS1BRjZDLThEMzExM0M0OTZBNn0" TargetMode="External"/><Relationship Id="rId1890" Type="http://schemas.openxmlformats.org/officeDocument/2006/relationships/hyperlink" Target="https://1drv.ms/x/s!AkP3hbXXLtgBhpEoaTK-EAwrB6PPjQ?e=3z9g8a&amp;nav=MTVfezBGMENERTNBLTZCQTUtNDYwRi05MDM3LUNDNDk5MDBCNUU5MX0" TargetMode="External"/><Relationship Id="rId2527" Type="http://schemas.openxmlformats.org/officeDocument/2006/relationships/hyperlink" Target="https://1drv.ms/x/s!AkP3hbXXLtgBhpEoaTK-EAwrB6PPjQ?e=mXia38&amp;nav=MTVfe0I0NjUwQ0I4LURGNzEtNDA5NC04M0QxLUExRTNDN0Q3OTc1MX0" TargetMode="External"/><Relationship Id="rId2734" Type="http://schemas.openxmlformats.org/officeDocument/2006/relationships/hyperlink" Target="https://1drv.ms/x/s!AkP3hbXXLtgBhpEoaTK-EAwrB6PPjQ?e=Ur0BW1&amp;nav=MTVfezkzNThBMkE2LTZERjAtNDU0RS05QTc5LTIxQTJBMEM1OUIxOX0" TargetMode="External"/><Relationship Id="rId706" Type="http://schemas.openxmlformats.org/officeDocument/2006/relationships/hyperlink" Target="https://1drv.ms/x/s!AkP3hbXXLtgBhpEoaTK-EAwrB6PPjQ?e=JPeMLZ&amp;nav=MTVfezdEMkY3NDEyLUYwMzItNDM0RC05MDRFLTcyNTE0ODM0NjA4M30" TargetMode="External"/><Relationship Id="rId913" Type="http://schemas.openxmlformats.org/officeDocument/2006/relationships/hyperlink" Target="https://1drv.ms/x/s!AkP3hbXXLtgBhpEoaTK-EAwrB6PPjQ?e=q7Y9UY&amp;nav=MTVfezY2QjMzRUJDLTdGREQtNEI4MC05QkFBLTZFRTQyNUFCMDY2MH0" TargetMode="External"/><Relationship Id="rId1336" Type="http://schemas.openxmlformats.org/officeDocument/2006/relationships/hyperlink" Target="https://1drv.ms/x/s!AkP3hbXXLtgBhpEoaTK-EAwrB6PPjQ?e=SkY523&amp;nav=MTVfezk3NEQ3MjVGLTlERDMtNDdDOS05QzJDLUU5RjJCNjk2N0I4MX0" TargetMode="External"/><Relationship Id="rId1543" Type="http://schemas.openxmlformats.org/officeDocument/2006/relationships/hyperlink" Target="https://1drv.ms/x/s!AkP3hbXXLtgBhpEoaTK-EAwrB6PPjQ?e=PsqPhH&amp;nav=MTVfe0ZDRjg3ODhGLTBFNDItNDJCOC04MDRCLTU4OTcwNUMwMjFGMn0" TargetMode="External"/><Relationship Id="rId1750" Type="http://schemas.openxmlformats.org/officeDocument/2006/relationships/hyperlink" Target="https://1drv.ms/x/s!AkP3hbXXLtgBhpEoaTK-EAwrB6PPjQ?e=S6aQgK&amp;nav=MTVfezNDQTZGMDU5LTE2MUMtNDZDQi05RTYwLTUxMTNGNkFCNTI3Qn0" TargetMode="External"/><Relationship Id="rId42" Type="http://schemas.openxmlformats.org/officeDocument/2006/relationships/hyperlink" Target="https://1drv.ms/x/s!AkP3hbXXLtgBhpEoaTK-EAwrB6PPjQ?e=AMVmTu&amp;nav=MTVfezNFMEFDQTg3LTgzOUUtNDFGNC04MkYwLUIxRjIyNTFBRDYzNX0" TargetMode="External"/><Relationship Id="rId1403" Type="http://schemas.openxmlformats.org/officeDocument/2006/relationships/hyperlink" Target="https://1drv.ms/x/s!AkP3hbXXLtgBhpEoaTK-EAwrB6PPjQ?e=6Dzvxb&amp;nav=MTVfezE4RDVGRUE3LUYyN0MtNDRFNC1BMENCLTk1RTNFRjk3QkJDRX0" TargetMode="External"/><Relationship Id="rId1610" Type="http://schemas.openxmlformats.org/officeDocument/2006/relationships/hyperlink" Target="https://1drv.ms/x/s!AkP3hbXXLtgBhpEoaTK-EAwrB6PPjQ?e=hF7xUm&amp;nav=MTVfezBDOEZCN0U5LURBOEQtNEY2Qi1CNUE1LUYzQTk0NDFBRkE2NX0" TargetMode="External"/><Relationship Id="rId289" Type="http://schemas.openxmlformats.org/officeDocument/2006/relationships/hyperlink" Target="https://1drv.ms/x/s!AkP3hbXXLtgBhpEoaTK-EAwrB6PPjQ?e=HO6wd4&amp;nav=MTVfe0NDRThCRDRELTFCMEEtNDNFRC1BMDRDLTc1QjY0NDgwNjJBMH0" TargetMode="External"/><Relationship Id="rId496" Type="http://schemas.openxmlformats.org/officeDocument/2006/relationships/hyperlink" Target="https://1drv.ms/x/s!AkP3hbXXLtgBhpEoaTK-EAwrB6PPjQ?e=zfxOib&amp;nav=MTVfezc5MUI1QUJBLTY0QUItNDM1OS05NkVBLTE3MUFBQTY2QzQ4Q30" TargetMode="External"/><Relationship Id="rId2177" Type="http://schemas.openxmlformats.org/officeDocument/2006/relationships/hyperlink" Target="https://1drv.ms/x/s!AkP3hbXXLtgBhpEoaTK-EAwrB6PPjQ?e=PJkcfB&amp;nav=MTVfezBFRjgyRDlFLThFOEUtNDA2RC05QUQzLTk5RDY0REIzMEU3Rn0" TargetMode="External"/><Relationship Id="rId2384" Type="http://schemas.openxmlformats.org/officeDocument/2006/relationships/hyperlink" Target="https://1drv.ms/x/s!AkP3hbXXLtgBhpEoaTK-EAwrB6PPjQ?e=X2f9pt&amp;nav=MTVfe0M4ODI3QTVFLTgzOUMtNDk2Qy1BMThFLUNCMDYwN0JBQjM5M30" TargetMode="External"/><Relationship Id="rId2591" Type="http://schemas.openxmlformats.org/officeDocument/2006/relationships/hyperlink" Target="https://1drv.ms/x/s!AkP3hbXXLtgBhpEoaTK-EAwrB6PPjQ?e=ZnXBwL&amp;nav=MTVfezI5Qjk2QkQ4LUM5RkMtNDc1RS1BMkNCLTRDQTg1OEZFNkY2N30" TargetMode="External"/><Relationship Id="rId149" Type="http://schemas.openxmlformats.org/officeDocument/2006/relationships/hyperlink" Target="https://1drv.ms/x/s!AkP3hbXXLtgBhpEoaTK-EAwrB6PPjQ?e=hRuig5&amp;nav=MTVfe0NCREMzODZGLTI3RDktNEI4RS05QjQ0LUUzQTc5QTQyQzY2MX0" TargetMode="External"/><Relationship Id="rId356" Type="http://schemas.openxmlformats.org/officeDocument/2006/relationships/hyperlink" Target="https://1drv.ms/x/s!AkP3hbXXLtgBhpEoaTK-EAwrB6PPjQ?e=mvWMFP&amp;nav=MTVfe0Q0MjM2QjFDLUVBQTAtNDE3Ri1BOEVGLTQzNzNBN0FGODY4M30" TargetMode="External"/><Relationship Id="rId563" Type="http://schemas.openxmlformats.org/officeDocument/2006/relationships/hyperlink" Target="https://1drv.ms/x/s!AkP3hbXXLtgBhpEoaTK-EAwrB6PPjQ?e=xgZSuS&amp;nav=MTVfezA3RkYxMTMwLTAyQjYtNDA4RS1BMkU5LTI2MUQ0MjM2OEJGQn0" TargetMode="External"/><Relationship Id="rId770" Type="http://schemas.openxmlformats.org/officeDocument/2006/relationships/hyperlink" Target="https://1drv.ms/x/s!AkP3hbXXLtgBhpEoaTK-EAwrB6PPjQ?e=0lRBEc&amp;nav=MTVfezRDRDQwMjU1LUJFM0ItNENDQS05NDQ1LUY1OTdERDA5ODg4NH0" TargetMode="External"/><Relationship Id="rId1193" Type="http://schemas.openxmlformats.org/officeDocument/2006/relationships/hyperlink" Target="https://1drv.ms/x/s!AkP3hbXXLtgBhpEoaTK-EAwrB6PPjQ?e=U6lTuf&amp;nav=MTVfezFEODYyODdBLUIyOTctNDdGMC04MTkyLUUzRDE3NjM5RkNFQ30" TargetMode="External"/><Relationship Id="rId2037" Type="http://schemas.openxmlformats.org/officeDocument/2006/relationships/hyperlink" Target="https://1drv.ms/x/s!AkP3hbXXLtgBhpEoaTK-EAwrB6PPjQ?e=e8c5BE&amp;nav=MTVfe0YzRjMwRTg2LTYyMTgtNEY5QS05Qzg0LTUxNkJFM0Q4MDAwN30" TargetMode="External"/><Relationship Id="rId2244" Type="http://schemas.openxmlformats.org/officeDocument/2006/relationships/hyperlink" Target="https://1drv.ms/x/s!AkP3hbXXLtgBhpEoaTK-EAwrB6PPjQ?e=vI4FNr&amp;nav=MTVfezhGQzkyMTU5LUYxNTUtNDg4MS04N0QzLTE5OTgzQjI3QTc1NH0" TargetMode="External"/><Relationship Id="rId2451" Type="http://schemas.openxmlformats.org/officeDocument/2006/relationships/hyperlink" Target="https://1drv.ms/x/s!AkP3hbXXLtgBhpEoaTK-EAwrB6PPjQ?e=LQfhsg&amp;nav=MTVfe0FGQTQ2QTUxLTkwOEEtNEZCNi04OUQ1LTMwOUU4QkMzMTRFQ30" TargetMode="External"/><Relationship Id="rId216" Type="http://schemas.openxmlformats.org/officeDocument/2006/relationships/hyperlink" Target="https://1drv.ms/x/s!AkP3hbXXLtgBhpEoaTK-EAwrB6PPjQ?e=hKKsXn&amp;nav=MTVfe0M0MzQ5RkZFLUFFMEMtNDZBOC05NDNELUU2ODg5N0JGMDU4Rn0" TargetMode="External"/><Relationship Id="rId423" Type="http://schemas.openxmlformats.org/officeDocument/2006/relationships/hyperlink" Target="https://1drv.ms/x/s!AkP3hbXXLtgBhpEoaTK-EAwrB6PPjQ?e=sXo522&amp;nav=MTVfe0VCNzhCQUU0LUVEQzItNDRCMC04QTFFLUZEQzA0OTNEMDkzOX0" TargetMode="External"/><Relationship Id="rId1053" Type="http://schemas.openxmlformats.org/officeDocument/2006/relationships/hyperlink" Target="https://1drv.ms/x/s!AkP3hbXXLtgBhpEoaTK-EAwrB6PPjQ?e=rYbeUy&amp;nav=MTVfe0Q1MEM2OTMzLTFBNUUtNDhCMS1CQzhCLTlGQTI2NEEzRURDRH0" TargetMode="External"/><Relationship Id="rId1260" Type="http://schemas.openxmlformats.org/officeDocument/2006/relationships/hyperlink" Target="https://1drv.ms/x/s!AkP3hbXXLtgBhpEoaTK-EAwrB6PPjQ?e=UaBeCf&amp;nav=MTVfezM0NkJDRTA1LThBNUQtNDFFMC1BNjQ2LTk5NTVEMTg4RUEzNn0" TargetMode="External"/><Relationship Id="rId2104" Type="http://schemas.openxmlformats.org/officeDocument/2006/relationships/hyperlink" Target="https://1drv.ms/x/s!AkP3hbXXLtgBhpEoaTK-EAwrB6PPjQ?e=7tvhFu&amp;nav=MTVfezYzQUQ2N0RCLTZFQkQtNDhGOC1BODVFLUQzNjgwN0I4QkNFMn0" TargetMode="External"/><Relationship Id="rId630" Type="http://schemas.openxmlformats.org/officeDocument/2006/relationships/hyperlink" Target="https://1drv.ms/x/s!AkP3hbXXLtgBhpEoaTK-EAwrB6PPjQ?e=ZRDRyK&amp;nav=MTVfe0IyQkRBQzE0LUM2QkQtNDY3Ny04MjcyLUQxNjYyMkIyRTZGRH0" TargetMode="External"/><Relationship Id="rId2311" Type="http://schemas.openxmlformats.org/officeDocument/2006/relationships/hyperlink" Target="https://1drv.ms/x/s!AkP3hbXXLtgBhpEoaTK-EAwrB6PPjQ?e=LiWfcw&amp;nav=MTVfezFBQTVDNUQ5LTIxM0QtNDcxMi05RkYwLUI2NUUyNTFDRkFBMH0" TargetMode="External"/><Relationship Id="rId1120" Type="http://schemas.openxmlformats.org/officeDocument/2006/relationships/hyperlink" Target="https://1drv.ms/x/s!AkP3hbXXLtgBhpEoaTK-EAwrB6PPjQ?e=Brd8C5&amp;nav=MTVfe0YyMTJGNjdELTg0REMtNEY4Ri05MzE5LTE0M0FEODlBMzg5Q30" TargetMode="External"/><Relationship Id="rId1937" Type="http://schemas.openxmlformats.org/officeDocument/2006/relationships/hyperlink" Target="https://1drv.ms/x/s!AkP3hbXXLtgBhpEoaTK-EAwrB6PPjQ?e=U8iWbp&amp;nav=MTVfezVDRDNFMEMzLTY0NDctNDUyNC05RjQyLUQ5MzdFOTgzQzgzNH0" TargetMode="External"/><Relationship Id="rId280" Type="http://schemas.openxmlformats.org/officeDocument/2006/relationships/hyperlink" Target="https://1drv.ms/x/s!AkP3hbXXLtgBhpEoaTK-EAwrB6PPjQ?e=36Im2J&amp;nav=MTVfezg1NTdGRUM1LTczODktNDk5My1BQjA0LTkyQjFDODE4MjgxRX0" TargetMode="External"/><Relationship Id="rId140" Type="http://schemas.openxmlformats.org/officeDocument/2006/relationships/hyperlink" Target="https://1drv.ms/x/s!AkP3hbXXLtgBhpEoaTK-EAwrB6PPjQ?e=hRuig5&amp;nav=MTVfe0NCREMzODZGLTI3RDktNEI4RS05QjQ0LUUzQTc5QTQyQzY2MX0" TargetMode="External"/><Relationship Id="rId6" Type="http://schemas.openxmlformats.org/officeDocument/2006/relationships/hyperlink" Target="https://1drv.ms/x/s!AkP3hbXXLtgBhpEoaTK-EAwrB6PPjQ?e=mje4Gd&amp;nav=MTVfezU5NEY1RjhGLUNGMzYtNEIxRi04NzFBLTRDNzQ3QUMxQjMxRn0" TargetMode="External"/><Relationship Id="rId957" Type="http://schemas.openxmlformats.org/officeDocument/2006/relationships/hyperlink" Target="https://1drv.ms/x/s!AkP3hbXXLtgBhpEoaTK-EAwrB6PPjQ?e=GuJxJM&amp;nav=MTVfe0NBQzcxNDNGLTAzODYtNEFDRi1BNTI1LTRDQTYxMDEzNkYwM30" TargetMode="External"/><Relationship Id="rId1587" Type="http://schemas.openxmlformats.org/officeDocument/2006/relationships/hyperlink" Target="https://1drv.ms/x/s!AkP3hbXXLtgBhpEoaTK-EAwrB6PPjQ?e=hF7xUm&amp;nav=MTVfezBDOEZCN0U5LURBOEQtNEY2Qi1CNUE1LUYzQTk0NDFBRkE2NX0" TargetMode="External"/><Relationship Id="rId1794" Type="http://schemas.openxmlformats.org/officeDocument/2006/relationships/hyperlink" Target="https://1drv.ms/x/s!AkP3hbXXLtgBhpEoaTK-EAwrB6PPjQ?e=sBpJD5&amp;nav=MTVfezM5QzdFMEZDLTg3QTEtNDRCMS04QTgyLUQ3MDU0NDI2MTBFRn0" TargetMode="External"/><Relationship Id="rId2638" Type="http://schemas.openxmlformats.org/officeDocument/2006/relationships/hyperlink" Target="https://1drv.ms/x/s!AkP3hbXXLtgBhpEoaTK-EAwrB6PPjQ?e=k1JzSb&amp;nav=MTVfezlCRDVCMEI4LTNBMEItNDE5NC04RTEyLUQxQzc3N0U3MUFFQn0" TargetMode="External"/><Relationship Id="rId86" Type="http://schemas.openxmlformats.org/officeDocument/2006/relationships/hyperlink" Target="https://1drv.ms/x/s!AkP3hbXXLtgBhpEoaTK-EAwrB6PPjQ?e=AMVmTu&amp;nav=MTVfezNFMEFDQTg3LTgzOUUtNDFGNC04MkYwLUIxRjIyNTFBRDYzNX0" TargetMode="External"/><Relationship Id="rId817" Type="http://schemas.openxmlformats.org/officeDocument/2006/relationships/hyperlink" Target="https://1drv.ms/x/s!AkP3hbXXLtgBhpEoaTK-EAwrB6PPjQ?e=zuxs7K&amp;nav=MTVfezEzQ0U5ODFBLTQxOTEtNERBOS05RDcwLTU1NDcwQ0I2MzhFNX0" TargetMode="External"/><Relationship Id="rId1447" Type="http://schemas.openxmlformats.org/officeDocument/2006/relationships/hyperlink" Target="https://1drv.ms/x/s!AkP3hbXXLtgBhpEoaTK-EAwrB6PPjQ?e=xXe3yl&amp;nav=MTVfezM1QjlFQjFCLUIxM0MtNDQ0Ni05MzQyLUU2QjczMkYzQzJFOH0" TargetMode="External"/><Relationship Id="rId1654" Type="http://schemas.openxmlformats.org/officeDocument/2006/relationships/hyperlink" Target="https://1drv.ms/x/s!AkP3hbXXLtgBhpEoaTK-EAwrB6PPjQ?e=DHRjp5&amp;nav=MTVfezdEN0E2ODJDLUYxMzctNDI0MS1BRjZDLThEMzExM0M0OTZBNn0" TargetMode="External"/><Relationship Id="rId1861" Type="http://schemas.openxmlformats.org/officeDocument/2006/relationships/hyperlink" Target="https://1drv.ms/x/s!AkP3hbXXLtgBhpEoaTK-EAwrB6PPjQ?e=KawXz2&amp;nav=MTVfe0I2MTk3NUI3LTcxN0UtNDYyRi05OUNBLTc2RTcxMkRFMjVEOH0" TargetMode="External"/><Relationship Id="rId2705" Type="http://schemas.openxmlformats.org/officeDocument/2006/relationships/hyperlink" Target="https://1drv.ms/x/s!AkP3hbXXLtgBhpEoaTK-EAwrB6PPjQ?e=hUXjPN&amp;nav=MTVfezYzNzY4MEExLTRDMzItNDcxMy05M0ZCLTBFNjAwNTlBMUI0MH0" TargetMode="External"/><Relationship Id="rId1307" Type="http://schemas.openxmlformats.org/officeDocument/2006/relationships/hyperlink" Target="https://1drv.ms/x/s!AkP3hbXXLtgBhpEoaTK-EAwrB6PPjQ?e=bD2jTr&amp;nav=MTVfezRGRUQzQzY0LTk3M0ItNDNDNy1BRUY3LTYwMDNGN0E5OThFQX0" TargetMode="External"/><Relationship Id="rId1514" Type="http://schemas.openxmlformats.org/officeDocument/2006/relationships/hyperlink" Target="https://1drv.ms/x/s!AkP3hbXXLtgBhpEoaTK-EAwrB6PPjQ?e=c68bSo&amp;nav=MTVfe0EwNUQ0QUFCLTFGNTAtNDE4Mi1CMzhBLUU3OUIyRDM1NzJDQn0" TargetMode="External"/><Relationship Id="rId1721" Type="http://schemas.openxmlformats.org/officeDocument/2006/relationships/hyperlink" Target="https://1drv.ms/x/s!AkP3hbXXLtgBhpEoaTK-EAwrB6PPjQ?e=DHRjp5&amp;nav=MTVfezdEN0E2ODJDLUYxMzctNDI0MS1BRjZDLThEMzExM0M0OTZBNn0" TargetMode="External"/><Relationship Id="rId13" Type="http://schemas.openxmlformats.org/officeDocument/2006/relationships/hyperlink" Target="https://1drv.ms/x/s!AkP3hbXXLtgBhpEoaTK-EAwrB6PPjQ?e=mje4Gd&amp;nav=MTVfezU5NEY1RjhGLUNGMzYtNEIxRi04NzFBLTRDNzQ3QUMxQjMxRn0" TargetMode="External"/><Relationship Id="rId2288" Type="http://schemas.openxmlformats.org/officeDocument/2006/relationships/hyperlink" Target="https://1drv.ms/x/s!AkP3hbXXLtgBhpEoaTK-EAwrB6PPjQ?e=vI4FNr&amp;nav=MTVfezhGQzkyMTU5LUYxNTUtNDg4MS04N0QzLTE5OTgzQjI3QTc1NH0" TargetMode="External"/><Relationship Id="rId2495" Type="http://schemas.openxmlformats.org/officeDocument/2006/relationships/hyperlink" Target="https://1drv.ms/x/s!AkP3hbXXLtgBhpEoaTK-EAwrB6PPjQ?e=LQfhsg&amp;nav=MTVfe0FGQTQ2QTUxLTkwOEEtNEZCNi04OUQ1LTMwOUU4QkMzMTRFQ30" TargetMode="External"/><Relationship Id="rId467" Type="http://schemas.openxmlformats.org/officeDocument/2006/relationships/hyperlink" Target="https://1drv.ms/x/s!AkP3hbXXLtgBhpEoaTK-EAwrB6PPjQ?e=sXo522&amp;nav=MTVfe0VCNzhCQUU0LUVEQzItNDRCMC04QTFFLUZEQzA0OTNEMDkzOX0" TargetMode="External"/><Relationship Id="rId1097" Type="http://schemas.openxmlformats.org/officeDocument/2006/relationships/hyperlink" Target="https://1drv.ms/x/s!AkP3hbXXLtgBhpEoaTK-EAwrB6PPjQ?e=rYbeUy&amp;nav=MTVfe0Q1MEM2OTMzLTFBNUUtNDhCMS1CQzhCLTlGQTI2NEEzRURDRH0" TargetMode="External"/><Relationship Id="rId2148" Type="http://schemas.openxmlformats.org/officeDocument/2006/relationships/hyperlink" Target="https://1drv.ms/x/s!AkP3hbXXLtgBhpEoaTK-EAwrB6PPjQ?e=nj2bQ1&amp;nav=MTVfezAwMDAwMDAwLTAwMDEtMDAwMC0wMDAwLTAwMDAwMDAwMDAwMH0" TargetMode="External"/><Relationship Id="rId674" Type="http://schemas.openxmlformats.org/officeDocument/2006/relationships/hyperlink" Target="https://1drv.ms/x/s!AkP3hbXXLtgBhpEoaTK-EAwrB6PPjQ?e=JPeMLZ&amp;nav=MTVfezdEMkY3NDEyLUYwMzItNDM0RC05MDRFLTcyNTE0ODM0NjA4M30" TargetMode="External"/><Relationship Id="rId881" Type="http://schemas.openxmlformats.org/officeDocument/2006/relationships/hyperlink" Target="https://1drv.ms/x/s!AkP3hbXXLtgBhpEoaTK-EAwrB6PPjQ?e=VcWWuU&amp;nav=MTVfe0ExMEEwQ0RDLUFCNUQtNEMxQS1BM0ZGLTEzRDE2MkJEN0U2Q30" TargetMode="External"/><Relationship Id="rId2355" Type="http://schemas.openxmlformats.org/officeDocument/2006/relationships/hyperlink" Target="https://1drv.ms/x/s!AkP3hbXXLtgBhpEoaTK-EAwrB6PPjQ?e=LiWfcw&amp;nav=MTVfezFBQTVDNUQ5LTIxM0QtNDcxMi05RkYwLUI2NUUyNTFDRkFBMH0" TargetMode="External"/><Relationship Id="rId2562" Type="http://schemas.openxmlformats.org/officeDocument/2006/relationships/hyperlink" Target="https://1drv.ms/x/s!AkP3hbXXLtgBhpEoaTK-EAwrB6PPjQ?e=mXia38&amp;nav=MTVfe0I0NjUwQ0I4LURGNzEtNDA5NC04M0QxLUExRTNDN0Q3OTc1MX0" TargetMode="External"/><Relationship Id="rId327" Type="http://schemas.openxmlformats.org/officeDocument/2006/relationships/hyperlink" Target="https://1drv.ms/x/s!AkP3hbXXLtgBhpEoaTK-EAwrB6PPjQ?e=HO6wd4&amp;nav=MTVfe0NDRThCRDRELTFCMEEtNDNFRC1BMDRDLTc1QjY0NDgwNjJBMH0" TargetMode="External"/><Relationship Id="rId534" Type="http://schemas.openxmlformats.org/officeDocument/2006/relationships/hyperlink" Target="https://1drv.ms/x/s!AkP3hbXXLtgBhpEoaTK-EAwrB6PPjQ?e=zfxOib&amp;nav=MTVfezc5MUI1QUJBLTY0QUItNDM1OS05NkVBLTE3MUFBQTY2QzQ4Q30" TargetMode="External"/><Relationship Id="rId741" Type="http://schemas.openxmlformats.org/officeDocument/2006/relationships/hyperlink" Target="https://1drv.ms/x/s!AkP3hbXXLtgBhpEoaTK-EAwrB6PPjQ?e=0lRBEc&amp;nav=MTVfezRDRDQwMjU1LUJFM0ItNENDQS05NDQ1LUY1OTdERDA5ODg4NH0" TargetMode="External"/><Relationship Id="rId1164" Type="http://schemas.openxmlformats.org/officeDocument/2006/relationships/hyperlink" Target="https://1drv.ms/x/s!AkP3hbXXLtgBhpEoaTK-EAwrB6PPjQ?e=7D4jtp&amp;nav=MTVfe0Q5MDNFMUVCLUFFNkQtNDU5OC04QjYyLUFGODVDMTZENkVGMX0" TargetMode="External"/><Relationship Id="rId1371" Type="http://schemas.openxmlformats.org/officeDocument/2006/relationships/hyperlink" Target="https://1drv.ms/x/s!AkP3hbXXLtgBhpEoaTK-EAwrB6PPjQ?e=0mRVd8&amp;nav=MTVfezhCNkZEQTNBLUNGMjctNEI5QS04QzdDLTFGQzk0MjVBNUY1QX0" TargetMode="External"/><Relationship Id="rId2008" Type="http://schemas.openxmlformats.org/officeDocument/2006/relationships/hyperlink" Target="https://1drv.ms/x/s!AkP3hbXXLtgBhpEoaTK-EAwrB6PPjQ?e=e8c5BE&amp;nav=MTVfe0YzRjMwRTg2LTYyMTgtNEY5QS05Qzg0LTUxNkJFM0Q4MDAwN30" TargetMode="External"/><Relationship Id="rId2215" Type="http://schemas.openxmlformats.org/officeDocument/2006/relationships/hyperlink" Target="https://1drv.ms/x/s!AkP3hbXXLtgBhpEoaTK-EAwrB6PPjQ?e=PJkcfB&amp;nav=MTVfezBFRjgyRDlFLThFOEUtNDA2RC05QUQzLTk5RDY0REIzMEU3Rn0" TargetMode="External"/><Relationship Id="rId2422" Type="http://schemas.openxmlformats.org/officeDocument/2006/relationships/hyperlink" Target="https://1drv.ms/x/s!AkP3hbXXLtgBhpEoaTK-EAwrB6PPjQ?e=X2f9pt&amp;nav=MTVfe0M4ODI3QTVFLTgzOUMtNDk2Qy1BMThFLUNCMDYwN0JBQjM5M30" TargetMode="External"/><Relationship Id="rId601" Type="http://schemas.openxmlformats.org/officeDocument/2006/relationships/hyperlink" Target="https://1drv.ms/x/s!AkP3hbXXLtgBhpEoaTK-EAwrB6PPjQ?e=xgZSuS&amp;nav=MTVfezA3RkYxMTMwLTAyQjYtNDA4RS1BMkU5LTI2MUQ0MjM2OEJGQn0" TargetMode="External"/><Relationship Id="rId1024" Type="http://schemas.openxmlformats.org/officeDocument/2006/relationships/hyperlink" Target="https://1drv.ms/x/s!AkP3hbXXLtgBhpEoaTK-EAwrB6PPjQ?e=NFspu9&amp;nav=MTVfezE1M0M1OEJDLTA3MzUtNERFMC1BNzE4LTMzMUY1QjZBOEZDMH0" TargetMode="External"/><Relationship Id="rId1231" Type="http://schemas.openxmlformats.org/officeDocument/2006/relationships/hyperlink" Target="https://1drv.ms/x/s!AkP3hbXXLtgBhpEoaTK-EAwrB6PPjQ?e=U6lTuf&amp;nav=MTVfezFEODYyODdBLUIyOTctNDdGMC04MTkyLUUzRDE3NjM5RkNFQ30" TargetMode="External"/><Relationship Id="rId184" Type="http://schemas.openxmlformats.org/officeDocument/2006/relationships/hyperlink" Target="https://1drv.ms/x/s!AkP3hbXXLtgBhpEoaTK-EAwrB6PPjQ?e=hKKsXn&amp;nav=MTVfe0M0MzQ5RkZFLUFFMEMtNDZBOC05NDNELUU2ODg5N0JGMDU4Rn0" TargetMode="External"/><Relationship Id="rId391" Type="http://schemas.openxmlformats.org/officeDocument/2006/relationships/hyperlink" Target="https://1drv.ms/x/s!AkP3hbXXLtgBhpEoaTK-EAwrB6PPjQ?e=mvWMFP&amp;nav=MTVfe0Q0MjM2QjFDLUVBQTAtNDE3Ri1BOEVGLTQzNzNBN0FGODY4M30" TargetMode="External"/><Relationship Id="rId1908" Type="http://schemas.openxmlformats.org/officeDocument/2006/relationships/hyperlink" Target="https://1drv.ms/x/s!AkP3hbXXLtgBhpEoaTK-EAwrB6PPjQ?e=TStCPl&amp;nav=MTVfezI2MjVEMjA5LUMzRUYtNEM5RS1CM0Q3LUE4NUY4RTMyNDUyNH0" TargetMode="External"/><Relationship Id="rId2072" Type="http://schemas.openxmlformats.org/officeDocument/2006/relationships/hyperlink" Target="https://1drv.ms/x/s!AkP3hbXXLtgBhpEoaTK-EAwrB6PPjQ?e=t9ByVx&amp;nav=MTVfe0MzOTE2QzlDLTMzMEMtNEQ4NS05NjZBLTBFNzk3QjgxMEIwQn0" TargetMode="External"/><Relationship Id="rId251" Type="http://schemas.openxmlformats.org/officeDocument/2006/relationships/hyperlink" Target="https://1drv.ms/x/s!AkP3hbXXLtgBhpEoaTK-EAwrB6PPjQ?e=36Im2J&amp;nav=MTVfezg1NTdGRUM1LTczODktNDk5My1BQjA0LTkyQjFDODE4MjgxRX0" TargetMode="External"/><Relationship Id="rId111" Type="http://schemas.openxmlformats.org/officeDocument/2006/relationships/hyperlink" Target="https://1drv.ms/x/s!AkP3hbXXLtgBhpEoaTK-EAwrB6PPjQ?e=hRuig5&amp;nav=MTVfe0NCREMzODZGLTI3RDktNEI4RS05QjQ0LUUzQTc5QTQyQzY2MX0" TargetMode="External"/><Relationship Id="rId1698" Type="http://schemas.openxmlformats.org/officeDocument/2006/relationships/hyperlink" Target="https://1drv.ms/x/s!AkP3hbXXLtgBhpEoaTK-EAwrB6PPjQ?e=DHRjp5&amp;nav=MTVfezdEN0E2ODJDLUYxMzctNDI0MS1BRjZDLThEMzExM0M0OTZBNn0" TargetMode="External"/><Relationship Id="rId928" Type="http://schemas.openxmlformats.org/officeDocument/2006/relationships/hyperlink" Target="https://1drv.ms/x/s!AkP3hbXXLtgBhpEoaTK-EAwrB6PPjQ?e=GuJxJM&amp;nav=MTVfe0NBQzcxNDNGLTAzODYtNEFDRi1BNTI1LTRDQTYxMDEzNkYwM30" TargetMode="External"/><Relationship Id="rId1558" Type="http://schemas.openxmlformats.org/officeDocument/2006/relationships/hyperlink" Target="https://1drv.ms/x/s!AkP3hbXXLtgBhpEoaTK-EAwrB6PPjQ?e=PsqPhH&amp;nav=MTVfe0ZDRjg3ODhGLTBFNDItNDJCOC04MDRCLTU4OTcwNUMwMjFGMn0" TargetMode="External"/><Relationship Id="rId1765" Type="http://schemas.openxmlformats.org/officeDocument/2006/relationships/hyperlink" Target="https://1drv.ms/x/s!AkP3hbXXLtgBhpEoaTK-EAwrB6PPjQ?e=sBpJD5&amp;nav=MTVfezM5QzdFMEZDLTg3QTEtNDRCMS04QTgyLUQ3MDU0NDI2MTBFRn0" TargetMode="External"/><Relationship Id="rId2609" Type="http://schemas.openxmlformats.org/officeDocument/2006/relationships/hyperlink" Target="https://1drv.ms/x/s!AkP3hbXXLtgBhpEoaTK-EAwrB6PPjQ?e=k1JzSb&amp;nav=MTVfezlCRDVCMEI4LTNBMEItNDE5NC04RTEyLUQxQzc3N0U3MUFFQn0" TargetMode="External"/><Relationship Id="rId57" Type="http://schemas.openxmlformats.org/officeDocument/2006/relationships/hyperlink" Target="https://1drv.ms/x/s!AkP3hbXXLtgBhpEoaTK-EAwrB6PPjQ?e=AMVmTu&amp;nav=MTVfezNFMEFDQTg3LTgzOUUtNDFGNC04MkYwLUIxRjIyNTFBRDYzNX0" TargetMode="External"/><Relationship Id="rId1418" Type="http://schemas.openxmlformats.org/officeDocument/2006/relationships/hyperlink" Target="https://1drv.ms/x/s!AkP3hbXXLtgBhpEoaTK-EAwrB6PPjQ?e=xXe3yl&amp;nav=MTVfezM1QjlFQjFCLUIxM0MtNDQ0Ni05MzQyLUU2QjczMkYzQzJFOH0" TargetMode="External"/><Relationship Id="rId1972" Type="http://schemas.openxmlformats.org/officeDocument/2006/relationships/hyperlink" Target="https://1drv.ms/x/s!AkP3hbXXLtgBhpEoaTK-EAwrB6PPjQ?e=Hae5Hc&amp;nav=MTVfe0U1QUU2RDZBLTFGMkUtNENGNC04OENCLUE1MjI0OEMyNDMzNn0" TargetMode="External"/><Relationship Id="rId1625" Type="http://schemas.openxmlformats.org/officeDocument/2006/relationships/hyperlink" Target="https://1drv.ms/x/s!AkP3hbXXLtgBhpEoaTK-EAwrB6PPjQ?e=VUlHtx&amp;nav=MTVfe0JEMzdCNzJBLTQ3QUItNEI0NC04MDRCLTNDRDY0MDVBODI2Qn0" TargetMode="External"/><Relationship Id="rId1832" Type="http://schemas.openxmlformats.org/officeDocument/2006/relationships/hyperlink" Target="https://1drv.ms/x/s!AkP3hbXXLtgBhpEoaTK-EAwrB6PPjQ?e=Qo1W02&amp;nav=MTVfe0Q5NDAyRTdCLTJCNEYtNEQ5OS05Q0Y4LTIyNDExQjYxNzRBRH0" TargetMode="External"/><Relationship Id="rId2399" Type="http://schemas.openxmlformats.org/officeDocument/2006/relationships/hyperlink" Target="https://1drv.ms/x/s!AkP3hbXXLtgBhpEoaTK-EAwrB6PPjQ?e=X2f9pt&amp;nav=MTVfe0M4ODI3QTVFLTgzOUMtNDk2Qy1BMThFLUNCMDYwN0JBQjM5M30" TargetMode="External"/><Relationship Id="rId578" Type="http://schemas.openxmlformats.org/officeDocument/2006/relationships/hyperlink" Target="https://1drv.ms/x/s!AkP3hbXXLtgBhpEoaTK-EAwrB6PPjQ?e=xgZSuS&amp;nav=MTVfezA3RkYxMTMwLTAyQjYtNDA4RS1BMkU5LTI2MUQ0MjM2OEJGQn0" TargetMode="External"/><Relationship Id="rId785" Type="http://schemas.openxmlformats.org/officeDocument/2006/relationships/hyperlink" Target="https://1drv.ms/x/s!AkP3hbXXLtgBhpEoaTK-EAwrB6PPjQ?e=zuxs7K&amp;nav=MTVfezEzQ0U5ODFBLTQxOTEtNERBOS05RDcwLTU1NDcwQ0I2MzhFNX0" TargetMode="External"/><Relationship Id="rId992" Type="http://schemas.openxmlformats.org/officeDocument/2006/relationships/hyperlink" Target="https://1drv.ms/x/s!AkP3hbXXLtgBhpEoaTK-EAwrB6PPjQ?e=fk66xb&amp;nav=MTVfezU0MjNBNEE5LTNDNzctNDQwNC05RjA3LTAyNEI1N0FBQjFDNX0" TargetMode="External"/><Relationship Id="rId2259" Type="http://schemas.openxmlformats.org/officeDocument/2006/relationships/hyperlink" Target="https://1drv.ms/x/s!AkP3hbXXLtgBhpEoaTK-EAwrB6PPjQ?e=vI4FNr&amp;nav=MTVfezhGQzkyMTU5LUYxNTUtNDg4MS04N0QzLTE5OTgzQjI3QTc1NH0" TargetMode="External"/><Relationship Id="rId2466" Type="http://schemas.openxmlformats.org/officeDocument/2006/relationships/hyperlink" Target="https://1drv.ms/x/s!AkP3hbXXLtgBhpEoaTK-EAwrB6PPjQ?e=LQfhsg&amp;nav=MTVfe0FGQTQ2QTUxLTkwOEEtNEZCNi04OUQ1LTMwOUU4QkMzMTRFQ30" TargetMode="External"/><Relationship Id="rId2673" Type="http://schemas.openxmlformats.org/officeDocument/2006/relationships/hyperlink" Target="https://1drv.ms/x/s!AkP3hbXXLtgBhpEoaTK-EAwrB6PPjQ?e=hUXjPN&amp;nav=MTVfezYzNzY4MEExLTRDMzItNDcxMy05M0ZCLTBFNjAwNTlBMUI0MH0" TargetMode="External"/><Relationship Id="rId438" Type="http://schemas.openxmlformats.org/officeDocument/2006/relationships/hyperlink" Target="https://1drv.ms/x/s!AkP3hbXXLtgBhpEoaTK-EAwrB6PPjQ?e=sXo522&amp;nav=MTVfe0VCNzhCQUU0LUVEQzItNDRCMC04QTFFLUZEQzA0OTNEMDkzOX0" TargetMode="External"/><Relationship Id="rId645" Type="http://schemas.openxmlformats.org/officeDocument/2006/relationships/hyperlink" Target="https://1drv.ms/x/s!AkP3hbXXLtgBhpEoaTK-EAwrB6PPjQ?e=ZRDRyK&amp;nav=MTVfe0IyQkRBQzE0LUM2QkQtNDY3Ny04MjcyLUQxNjYyMkIyRTZGRH0" TargetMode="External"/><Relationship Id="rId852" Type="http://schemas.openxmlformats.org/officeDocument/2006/relationships/hyperlink" Target="https://1drv.ms/x/s!AkP3hbXXLtgBhpEoaTK-EAwrB6PPjQ?e=VcWWuU&amp;nav=MTVfe0ExMEEwQ0RDLUFCNUQtNEMxQS1BM0ZGLTEzRDE2MkJEN0U2Q30" TargetMode="External"/><Relationship Id="rId1068" Type="http://schemas.openxmlformats.org/officeDocument/2006/relationships/hyperlink" Target="https://1drv.ms/x/s!AkP3hbXXLtgBhpEoaTK-EAwrB6PPjQ?e=rYbeUy&amp;nav=MTVfe0Q1MEM2OTMzLTFBNUUtNDhCMS1CQzhCLTlGQTI2NEEzRURDRH0" TargetMode="External"/><Relationship Id="rId1275" Type="http://schemas.openxmlformats.org/officeDocument/2006/relationships/hyperlink" Target="https://1drv.ms/x/s!AkP3hbXXLtgBhpEoaTK-EAwrB6PPjQ?e=bD2jTr&amp;nav=MTVfezRGRUQzQzY0LTk3M0ItNDNDNy1BRUY3LTYwMDNGN0E5OThFQX0" TargetMode="External"/><Relationship Id="rId1482" Type="http://schemas.openxmlformats.org/officeDocument/2006/relationships/hyperlink" Target="https://1drv.ms/x/s!AkP3hbXXLtgBhpEoaTK-EAwrB6PPjQ?e=Dygyft&amp;nav=MTVfe0VDMUJBNEJBLUNCOTAtNDI3Ri1CMTVFLUZDQjc2NURCQ0I1Q30" TargetMode="External"/><Relationship Id="rId2119" Type="http://schemas.openxmlformats.org/officeDocument/2006/relationships/hyperlink" Target="https://1drv.ms/x/s!AkP3hbXXLtgBhpEoaTK-EAwrB6PPjQ?e=7tvhFu&amp;nav=MTVfezYzQUQ2N0RCLTZFQkQtNDhGOC1BODVFLUQzNjgwN0I4QkNFMn0" TargetMode="External"/><Relationship Id="rId2326" Type="http://schemas.openxmlformats.org/officeDocument/2006/relationships/hyperlink" Target="https://1drv.ms/x/s!AkP3hbXXLtgBhpEoaTK-EAwrB6PPjQ?e=LiWfcw&amp;nav=MTVfezFBQTVDNUQ5LTIxM0QtNDcxMi05RkYwLUI2NUUyNTFDRkFBMH0" TargetMode="External"/><Relationship Id="rId2533" Type="http://schemas.openxmlformats.org/officeDocument/2006/relationships/hyperlink" Target="https://1drv.ms/x/s!AkP3hbXXLtgBhpEoaTK-EAwrB6PPjQ?e=mXia38&amp;nav=MTVfe0I0NjUwQ0I4LURGNzEtNDA5NC04M0QxLUExRTNDN0Q3OTc1MX0" TargetMode="External"/><Relationship Id="rId2740" Type="http://schemas.openxmlformats.org/officeDocument/2006/relationships/hyperlink" Target="https://1drv.ms/x/s!AkP3hbXXLtgBhpEoaTK-EAwrB6PPjQ?e=5RiQ1M&amp;nav=MTVfezAwOEJCMDMxLUEyNEEtNDc3RS04RDNFLTBENTk0MDBCNEY0OH0" TargetMode="External"/><Relationship Id="rId505" Type="http://schemas.openxmlformats.org/officeDocument/2006/relationships/hyperlink" Target="https://1drv.ms/x/s!AkP3hbXXLtgBhpEoaTK-EAwrB6PPjQ?e=zfxOib&amp;nav=MTVfezc5MUI1QUJBLTY0QUItNDM1OS05NkVBLTE3MUFBQTY2QzQ4Q30" TargetMode="External"/><Relationship Id="rId712" Type="http://schemas.openxmlformats.org/officeDocument/2006/relationships/hyperlink" Target="https://1drv.ms/x/s!AkP3hbXXLtgBhpEoaTK-EAwrB6PPjQ?e=JPeMLZ&amp;nav=MTVfezdEMkY3NDEyLUYwMzItNDM0RC05MDRFLTcyNTE0ODM0NjA4M30" TargetMode="External"/><Relationship Id="rId1135" Type="http://schemas.openxmlformats.org/officeDocument/2006/relationships/hyperlink" Target="https://1drv.ms/x/s!AkP3hbXXLtgBhpEoaTK-EAwrB6PPjQ?e=Brd8C5&amp;nav=MTVfe0YyMTJGNjdELTg0REMtNEY4Ri05MzE5LTE0M0FEODlBMzg5Q30" TargetMode="External"/><Relationship Id="rId1342" Type="http://schemas.openxmlformats.org/officeDocument/2006/relationships/hyperlink" Target="https://1drv.ms/x/s!AkP3hbXXLtgBhpEoaTK-EAwrB6PPjQ?e=SkY523&amp;nav=MTVfezk3NEQ3MjVGLTlERDMtNDdDOS05QzJDLUU5RjJCNjk2N0I4MX0" TargetMode="External"/><Relationship Id="rId1202" Type="http://schemas.openxmlformats.org/officeDocument/2006/relationships/hyperlink" Target="https://1drv.ms/x/s!AkP3hbXXLtgBhpEoaTK-EAwrB6PPjQ?e=U6lTuf&amp;nav=MTVfezFEODYyODdBLUIyOTctNDdGMC04MTkyLUUzRDE3NjM5RkNFQ30" TargetMode="External"/><Relationship Id="rId2600" Type="http://schemas.openxmlformats.org/officeDocument/2006/relationships/hyperlink" Target="https://1drv.ms/x/s!AkP3hbXXLtgBhpEoaTK-EAwrB6PPjQ?e=k1JzSb&amp;nav=MTVfezlCRDVCMEI4LTNBMEItNDE5NC04RTEyLUQxQzc3N0U3MUFFQn0" TargetMode="External"/><Relationship Id="rId295" Type="http://schemas.openxmlformats.org/officeDocument/2006/relationships/hyperlink" Target="https://1drv.ms/x/s!AkP3hbXXLtgBhpEoaTK-EAwrB6PPjQ?e=HO6wd4&amp;nav=MTVfe0NDRThCRDRELTFCMEEtNDNFRC1BMDRDLTc1QjY0NDgwNjJBMH0" TargetMode="External"/><Relationship Id="rId2183" Type="http://schemas.openxmlformats.org/officeDocument/2006/relationships/hyperlink" Target="https://1drv.ms/x/s!AkP3hbXXLtgBhpEoaTK-EAwrB6PPjQ?e=PJkcfB&amp;nav=MTVfezBFRjgyRDlFLThFOEUtNDA2RC05QUQzLTk5RDY0REIzMEU3Rn0" TargetMode="External"/><Relationship Id="rId2390" Type="http://schemas.openxmlformats.org/officeDocument/2006/relationships/hyperlink" Target="https://1drv.ms/x/s!AkP3hbXXLtgBhpEoaTK-EAwrB6PPjQ?e=X2f9pt&amp;nav=MTVfe0M4ODI3QTVFLTgzOUMtNDk2Qy1BMThFLUNCMDYwN0JBQjM5M30" TargetMode="External"/><Relationship Id="rId155" Type="http://schemas.openxmlformats.org/officeDocument/2006/relationships/hyperlink" Target="https://1drv.ms/x/s!AkP3hbXXLtgBhpEoaTK-EAwrB6PPjQ?e=hRuig5&amp;nav=MTVfe0NCREMzODZGLTI3RDktNEI4RS05QjQ0LUUzQTc5QTQyQzY2MX0" TargetMode="External"/><Relationship Id="rId362" Type="http://schemas.openxmlformats.org/officeDocument/2006/relationships/hyperlink" Target="https://1drv.ms/x/s!AkP3hbXXLtgBhpEoaTK-EAwrB6PPjQ?e=mvWMFP&amp;nav=MTVfe0Q0MjM2QjFDLUVBQTAtNDE3Ri1BOEVGLTQzNzNBN0FGODY4M30" TargetMode="External"/><Relationship Id="rId2043" Type="http://schemas.openxmlformats.org/officeDocument/2006/relationships/hyperlink" Target="https://1drv.ms/x/s!AkP3hbXXLtgBhpEoaTK-EAwrB6PPjQ?e=e8c5BE&amp;nav=MTVfe0YzRjMwRTg2LTYyMTgtNEY5QS05Qzg0LTUxNkJFM0Q4MDAwN30" TargetMode="External"/><Relationship Id="rId2250" Type="http://schemas.openxmlformats.org/officeDocument/2006/relationships/hyperlink" Target="https://1drv.ms/x/s!AkP3hbXXLtgBhpEoaTK-EAwrB6PPjQ?e=vI4FNr&amp;nav=MTVfezhGQzkyMTU5LUYxNTUtNDg4MS04N0QzLTE5OTgzQjI3QTc1NH0" TargetMode="External"/><Relationship Id="rId222" Type="http://schemas.openxmlformats.org/officeDocument/2006/relationships/hyperlink" Target="https://1drv.ms/x/s!AkP3hbXXLtgBhpEoaTK-EAwrB6PPjQ?e=hKKsXn&amp;nav=MTVfe0M0MzQ5RkZFLUFFMEMtNDZBOC05NDNELUU2ODg5N0JGMDU4Rn0" TargetMode="External"/><Relationship Id="rId2110" Type="http://schemas.openxmlformats.org/officeDocument/2006/relationships/hyperlink" Target="https://1drv.ms/x/s!AkP3hbXXLtgBhpEoaTK-EAwrB6PPjQ?e=7tvhFu&amp;nav=MTVfezYzQUQ2N0RCLTZFQkQtNDhGOC1BODVFLUQzNjgwN0I4QkNFMn0" TargetMode="External"/><Relationship Id="rId1669" Type="http://schemas.openxmlformats.org/officeDocument/2006/relationships/hyperlink" Target="https://1drv.ms/x/s!AkP3hbXXLtgBhpEoaTK-EAwrB6PPjQ?e=DHRjp5&amp;nav=MTVfezdEN0E2ODJDLUYxMzctNDI0MS1BRjZDLThEMzExM0M0OTZBNn0" TargetMode="External"/><Relationship Id="rId1876" Type="http://schemas.openxmlformats.org/officeDocument/2006/relationships/hyperlink" Target="https://1drv.ms/x/s!AkP3hbXXLtgBhpEoaTK-EAwrB6PPjQ?e=3z9g8a&amp;nav=MTVfezBGMENERTNBLTZCQTUtNDYwRi05MDM3LUNDNDk5MDBCNUU5MX0" TargetMode="External"/><Relationship Id="rId1529" Type="http://schemas.openxmlformats.org/officeDocument/2006/relationships/hyperlink" Target="https://1drv.ms/x/s!AkP3hbXXLtgBhpEoaTK-EAwrB6PPjQ?e=PsqPhH&amp;nav=MTVfe0ZDRjg3ODhGLTBFNDItNDJCOC04MDRCLTU4OTcwNUMwMjFGMn0" TargetMode="External"/><Relationship Id="rId1736" Type="http://schemas.openxmlformats.org/officeDocument/2006/relationships/hyperlink" Target="https://1drv.ms/x/s!AkP3hbXXLtgBhpEoaTK-EAwrB6PPjQ?e=OaIvOH&amp;nav=MTVfezFDODBFQUMzLTY0M0UtNDM2MC04REU0LTRBOUYzQ0MxQkY2Nn0" TargetMode="External"/><Relationship Id="rId1943" Type="http://schemas.openxmlformats.org/officeDocument/2006/relationships/hyperlink" Target="https://1drv.ms/x/s!AkP3hbXXLtgBhpEoaTK-EAwrB6PPjQ?e=U8iWbp&amp;nav=MTVfezVDRDNFMEMzLTY0NDctNDUyNC05RjQyLUQ5MzdFOTgzQzgzNH0" TargetMode="External"/><Relationship Id="rId28" Type="http://schemas.openxmlformats.org/officeDocument/2006/relationships/hyperlink" Target="https://1drv.ms/x/s!AkP3hbXXLtgBhpEoaTK-EAwrB6PPjQ?e=pv1n5G&amp;nav=MTVfe0I5QjVDOEU1LTM5MTMtNDRCNy1COEY4LUUwMUNENUM2NTY1NX0" TargetMode="External"/><Relationship Id="rId1803" Type="http://schemas.openxmlformats.org/officeDocument/2006/relationships/hyperlink" Target="https://1drv.ms/x/s!AkP3hbXXLtgBhpEoaTK-EAwrB6PPjQ?e=sBpJD5&amp;nav=MTVfezM5QzdFMEZDLTg3QTEtNDRCMS04QTgyLUQ3MDU0NDI2MTBFRn0" TargetMode="External"/><Relationship Id="rId689" Type="http://schemas.openxmlformats.org/officeDocument/2006/relationships/hyperlink" Target="https://1drv.ms/x/s!AkP3hbXXLtgBhpEoaTK-EAwrB6PPjQ?e=JPeMLZ&amp;nav=MTVfezdEMkY3NDEyLUYwMzItNDM0RC05MDRFLTcyNTE0ODM0NjA4M30" TargetMode="External"/><Relationship Id="rId896" Type="http://schemas.openxmlformats.org/officeDocument/2006/relationships/hyperlink" Target="https://1drv.ms/x/s!AkP3hbXXLtgBhpEoaTK-EAwrB6PPjQ?e=q7Y9UY&amp;nav=MTVfezY2QjMzRUJDLTdGREQtNEI4MC05QkFBLTZFRTQyNUFCMDY2MH0" TargetMode="External"/><Relationship Id="rId2577" Type="http://schemas.openxmlformats.org/officeDocument/2006/relationships/hyperlink" Target="https://1drv.ms/x/s!AkP3hbXXLtgBhpEoaTK-EAwrB6PPjQ?e=mXia38&amp;nav=MTVfe0I0NjUwQ0I4LURGNzEtNDA5NC04M0QxLUExRTNDN0Q3OTc1MX0" TargetMode="External"/><Relationship Id="rId549" Type="http://schemas.openxmlformats.org/officeDocument/2006/relationships/hyperlink" Target="https://1drv.ms/x/s!AkP3hbXXLtgBhpEoaTK-EAwrB6PPjQ?e=xgZSuS&amp;nav=MTVfezA3RkYxMTMwLTAyQjYtNDA4RS1BMkU5LTI2MUQ0MjM2OEJGQn0" TargetMode="External"/><Relationship Id="rId756" Type="http://schemas.openxmlformats.org/officeDocument/2006/relationships/hyperlink" Target="https://1drv.ms/x/s!AkP3hbXXLtgBhpEoaTK-EAwrB6PPjQ?e=0lRBEc&amp;nav=MTVfezRDRDQwMjU1LUJFM0ItNENDQS05NDQ1LUY1OTdERDA5ODg4NH0" TargetMode="External"/><Relationship Id="rId1179" Type="http://schemas.openxmlformats.org/officeDocument/2006/relationships/hyperlink" Target="https://1drv.ms/x/s!AkP3hbXXLtgBhpEoaTK-EAwrB6PPjQ?e=7D4jtp&amp;nav=MTVfe0Q5MDNFMUVCLUFFNkQtNDU5OC04QjYyLUFGODVDMTZENkVGMX0" TargetMode="External"/><Relationship Id="rId1386" Type="http://schemas.openxmlformats.org/officeDocument/2006/relationships/hyperlink" Target="https://1drv.ms/x/s!AkP3hbXXLtgBhpEoaTK-EAwrB6PPjQ?e=6Dzvxb&amp;nav=MTVfezE4RDVGRUE3LUYyN0MtNDRFNC1BMENCLTk1RTNFRjk3QkJDRX0" TargetMode="External"/><Relationship Id="rId1593" Type="http://schemas.openxmlformats.org/officeDocument/2006/relationships/hyperlink" Target="https://1drv.ms/x/s!AkP3hbXXLtgBhpEoaTK-EAwrB6PPjQ?e=hF7xUm&amp;nav=MTVfezBDOEZCN0U5LURBOEQtNEY2Qi1CNUE1LUYzQTk0NDFBRkE2NX0" TargetMode="External"/><Relationship Id="rId2437" Type="http://schemas.openxmlformats.org/officeDocument/2006/relationships/hyperlink" Target="https://1drv.ms/x/s!AkP3hbXXLtgBhpEoaTK-EAwrB6PPjQ?e=LQfhsg&amp;nav=MTVfe0FGQTQ2QTUxLTkwOEEtNEZCNi04OUQ1LTMwOUU4QkMzMTRFQ30" TargetMode="External"/><Relationship Id="rId409" Type="http://schemas.openxmlformats.org/officeDocument/2006/relationships/hyperlink" Target="https://1drv.ms/x/s!AkP3hbXXLtgBhpEoaTK-EAwrB6PPjQ?e=mvWMFP&amp;nav=MTVfe0Q0MjM2QjFDLUVBQTAtNDE3Ri1BOEVGLTQzNzNBN0FGODY4M30" TargetMode="External"/><Relationship Id="rId963" Type="http://schemas.openxmlformats.org/officeDocument/2006/relationships/hyperlink" Target="https://1drv.ms/x/s!AkP3hbXXLtgBhpEoaTK-EAwrB6PPjQ?e=fk66xb&amp;nav=MTVfezU0MjNBNEE5LTNDNzctNDQwNC05RjA3LTAyNEI1N0FBQjFDNX0" TargetMode="External"/><Relationship Id="rId1039" Type="http://schemas.openxmlformats.org/officeDocument/2006/relationships/hyperlink" Target="https://1drv.ms/x/s!AkP3hbXXLtgBhpEoaTK-EAwrB6PPjQ?e=NFspu9&amp;nav=MTVfezE1M0M1OEJDLTA3MzUtNERFMC1BNzE4LTMzMUY1QjZBOEZDMH0" TargetMode="External"/><Relationship Id="rId1246" Type="http://schemas.openxmlformats.org/officeDocument/2006/relationships/hyperlink" Target="https://1drv.ms/x/s!AkP3hbXXLtgBhpEoaTK-EAwrB6PPjQ?e=UaBeCf&amp;nav=MTVfezM0NkJDRTA1LThBNUQtNDFFMC1BNjQ2LTk5NTVEMTg4RUEzNn0" TargetMode="External"/><Relationship Id="rId2644" Type="http://schemas.openxmlformats.org/officeDocument/2006/relationships/hyperlink" Target="https://1drv.ms/x/s!AkP3hbXXLtgBhpEoaTK-EAwrB6PPjQ?e=k1JzSb&amp;nav=MTVfezlCRDVCMEI4LTNBMEItNDE5NC04RTEyLUQxQzc3N0U3MUFFQn0" TargetMode="External"/><Relationship Id="rId92" Type="http://schemas.openxmlformats.org/officeDocument/2006/relationships/hyperlink" Target="https://1drv.ms/x/s!AkP3hbXXLtgBhpEoaTK-EAwrB6PPjQ?e=AMVmTu&amp;nav=MTVfezNFMEFDQTg3LTgzOUUtNDFGNC04MkYwLUIxRjIyNTFBRDYzNX0" TargetMode="External"/><Relationship Id="rId616" Type="http://schemas.openxmlformats.org/officeDocument/2006/relationships/hyperlink" Target="https://1drv.ms/x/s!AkP3hbXXLtgBhpEoaTK-EAwrB6PPjQ?e=ZRDRyK&amp;nav=MTVfe0IyQkRBQzE0LUM2QkQtNDY3Ny04MjcyLUQxNjYyMkIyRTZGRH0" TargetMode="External"/><Relationship Id="rId823" Type="http://schemas.openxmlformats.org/officeDocument/2006/relationships/hyperlink" Target="https://1drv.ms/x/s!AkP3hbXXLtgBhpEoaTK-EAwrB6PPjQ?e=zuxs7K&amp;nav=MTVfezEzQ0U5ODFBLTQxOTEtNERBOS05RDcwLTU1NDcwQ0I2MzhFNX0" TargetMode="External"/><Relationship Id="rId1453" Type="http://schemas.openxmlformats.org/officeDocument/2006/relationships/hyperlink" Target="https://1drv.ms/x/s!AkP3hbXXLtgBhpEoaTK-EAwrB6PPjQ?e=xXe3yl&amp;nav=MTVfezM1QjlFQjFCLUIxM0MtNDQ0Ni05MzQyLUU2QjczMkYzQzJFOH0" TargetMode="External"/><Relationship Id="rId1660" Type="http://schemas.openxmlformats.org/officeDocument/2006/relationships/hyperlink" Target="https://1drv.ms/x/s!AkP3hbXXLtgBhpEoaTK-EAwrB6PPjQ?e=DHRjp5&amp;nav=MTVfezdEN0E2ODJDLUYxMzctNDI0MS1BRjZDLThEMzExM0M0OTZBNn0" TargetMode="External"/><Relationship Id="rId2504" Type="http://schemas.openxmlformats.org/officeDocument/2006/relationships/hyperlink" Target="https://1drv.ms/x/s!AkP3hbXXLtgBhpEoaTK-EAwrB6PPjQ?e=C0qDpb&amp;nav=MTVfe0FDMDA5RTg0LUFERUEtNEUzNC1BMjZCLUY5MjIwQzAxQjZBRH0" TargetMode="External"/><Relationship Id="rId2711" Type="http://schemas.openxmlformats.org/officeDocument/2006/relationships/hyperlink" Target="https://1drv.ms/x/s!AkP3hbXXLtgBhpEoaTK-EAwrB6PPjQ?e=hUXjPN&amp;nav=MTVfezYzNzY4MEExLTRDMzItNDcxMy05M0ZCLTBFNjAwNTlBMUI0MH0" TargetMode="External"/><Relationship Id="rId1106" Type="http://schemas.openxmlformats.org/officeDocument/2006/relationships/hyperlink" Target="https://1drv.ms/x/s!AkP3hbXXLtgBhpEoaTK-EAwrB6PPjQ?e=Brd8C5&amp;nav=MTVfe0YyMTJGNjdELTg0REMtNEY4Ri05MzE5LTE0M0FEODlBMzg5Q30" TargetMode="External"/><Relationship Id="rId1313" Type="http://schemas.openxmlformats.org/officeDocument/2006/relationships/hyperlink" Target="https://1drv.ms/x/s!AkP3hbXXLtgBhpEoaTK-EAwrB6PPjQ?e=bD2jTr&amp;nav=MTVfezRGRUQzQzY0LTk3M0ItNDNDNy1BRUY3LTYwMDNGN0E5OThFQX0" TargetMode="External"/><Relationship Id="rId1520" Type="http://schemas.openxmlformats.org/officeDocument/2006/relationships/hyperlink" Target="https://1drv.ms/x/s!AkP3hbXXLtgBhpEoaTK-EAwrB6PPjQ?e=VcWWuU&amp;nav=MTVfe0ExMEEwQ0RDLUFCNUQtNEMxQS1BM0ZGLTEzRDE2MkJEN0U2Q30" TargetMode="External"/><Relationship Id="rId199" Type="http://schemas.openxmlformats.org/officeDocument/2006/relationships/hyperlink" Target="https://1drv.ms/x/s!AkP3hbXXLtgBhpEoaTK-EAwrB6PPjQ?e=hKKsXn&amp;nav=MTVfe0M0MzQ5RkZFLUFFMEMtNDZBOC05NDNELUU2ODg5N0JGMDU4Rn0" TargetMode="External"/><Relationship Id="rId2087" Type="http://schemas.openxmlformats.org/officeDocument/2006/relationships/hyperlink" Target="https://1drv.ms/x/s!AkP3hbXXLtgBhpEoaTK-EAwrB6PPjQ?e=6Uvhwt&amp;nav=MTVfe0Q5NUQ0MEFGLTAxNjgtNDM5Ni04Rjg1LTZBMkFBMzFBMkRCMn0" TargetMode="External"/><Relationship Id="rId2294" Type="http://schemas.openxmlformats.org/officeDocument/2006/relationships/hyperlink" Target="https://1drv.ms/x/s!AkP3hbXXLtgBhpEoaTK-EAwrB6PPjQ?e=vI4FNr&amp;nav=MTVfezhGQzkyMTU5LUYxNTUtNDg4MS04N0QzLTE5OTgzQjI3QTc1NH0" TargetMode="External"/><Relationship Id="rId266" Type="http://schemas.openxmlformats.org/officeDocument/2006/relationships/hyperlink" Target="https://1drv.ms/x/s!AkP3hbXXLtgBhpEoaTK-EAwrB6PPjQ?e=36Im2J&amp;nav=MTVfezg1NTdGRUM1LTczODktNDk5My1BQjA0LTkyQjFDODE4MjgxRX0" TargetMode="External"/><Relationship Id="rId473" Type="http://schemas.openxmlformats.org/officeDocument/2006/relationships/hyperlink" Target="https://1drv.ms/x/s!AkP3hbXXLtgBhpEoaTK-EAwrB6PPjQ?e=sXo522&amp;nav=MTVfe0VCNzhCQUU0LUVEQzItNDRCMC04QTFFLUZEQzA0OTNEMDkzOX0" TargetMode="External"/><Relationship Id="rId680" Type="http://schemas.openxmlformats.org/officeDocument/2006/relationships/hyperlink" Target="https://1drv.ms/x/s!AkP3hbXXLtgBhpEoaTK-EAwrB6PPjQ?e=JPeMLZ&amp;nav=MTVfezdEMkY3NDEyLUYwMzItNDM0RC05MDRFLTcyNTE0ODM0NjA4M30" TargetMode="External"/><Relationship Id="rId2154" Type="http://schemas.openxmlformats.org/officeDocument/2006/relationships/hyperlink" Target="https://1drv.ms/x/s!AkP3hbXXLtgBhpEoaTK-EAwrB6PPjQ?e=nj2bQ1&amp;nav=MTVfezAwMDAwMDAwLTAwMDEtMDAwMC0wMDAwLTAwMDAwMDAwMDAwMH0" TargetMode="External"/><Relationship Id="rId2361" Type="http://schemas.openxmlformats.org/officeDocument/2006/relationships/hyperlink" Target="https://1drv.ms/x/s!AkP3hbXXLtgBhpEoaTK-EAwrB6PPjQ?e=LiWfcw&amp;nav=MTVfezFBQTVDNUQ5LTIxM0QtNDcxMi05RkYwLUI2NUUyNTFDRkFBMH0" TargetMode="External"/><Relationship Id="rId126" Type="http://schemas.openxmlformats.org/officeDocument/2006/relationships/hyperlink" Target="https://1drv.ms/x/s!AkP3hbXXLtgBhpEoaTK-EAwrB6PPjQ?e=hRuig5&amp;nav=MTVfe0NCREMzODZGLTI3RDktNEI4RS05QjQ0LUUzQTc5QTQyQzY2MX0" TargetMode="External"/><Relationship Id="rId333" Type="http://schemas.openxmlformats.org/officeDocument/2006/relationships/hyperlink" Target="https://1drv.ms/x/s!AkP3hbXXLtgBhpEoaTK-EAwrB6PPjQ?e=HO6wd4&amp;nav=MTVfe0NDRThCRDRELTFCMEEtNDNFRC1BMDRDLTc1QjY0NDgwNjJBMH0" TargetMode="External"/><Relationship Id="rId540" Type="http://schemas.openxmlformats.org/officeDocument/2006/relationships/hyperlink" Target="https://1drv.ms/x/s!AkP3hbXXLtgBhpEoaTK-EAwrB6PPjQ?e=zfxOib&amp;nav=MTVfezc5MUI1QUJBLTY0QUItNDM1OS05NkVBLTE3MUFBQTY2QzQ4Q30" TargetMode="External"/><Relationship Id="rId1170" Type="http://schemas.openxmlformats.org/officeDocument/2006/relationships/hyperlink" Target="https://1drv.ms/x/s!AkP3hbXXLtgBhpEoaTK-EAwrB6PPjQ?e=7D4jtp&amp;nav=MTVfe0Q5MDNFMUVCLUFFNkQtNDU5OC04QjYyLUFGODVDMTZENkVGMX0" TargetMode="External"/><Relationship Id="rId2014" Type="http://schemas.openxmlformats.org/officeDocument/2006/relationships/hyperlink" Target="https://1drv.ms/x/s!AkP3hbXXLtgBhpEoaTK-EAwrB6PPjQ?e=e8c5BE&amp;nav=MTVfe0YzRjMwRTg2LTYyMTgtNEY5QS05Qzg0LTUxNkJFM0Q4MDAwN30" TargetMode="External"/><Relationship Id="rId2221" Type="http://schemas.openxmlformats.org/officeDocument/2006/relationships/hyperlink" Target="https://1drv.ms/x/s!AkP3hbXXLtgBhpEoaTK-EAwrB6PPjQ?e=PJkcfB&amp;nav=MTVfezBFRjgyRDlFLThFOEUtNDA2RC05QUQzLTk5RDY0REIzMEU3Rn0" TargetMode="External"/><Relationship Id="rId1030" Type="http://schemas.openxmlformats.org/officeDocument/2006/relationships/hyperlink" Target="https://1drv.ms/x/s!AkP3hbXXLtgBhpEoaTK-EAwrB6PPjQ?e=NFspu9&amp;nav=MTVfezE1M0M1OEJDLTA3MzUtNERFMC1BNzE4LTMzMUY1QjZBOEZDMH0" TargetMode="External"/><Relationship Id="rId400" Type="http://schemas.openxmlformats.org/officeDocument/2006/relationships/hyperlink" Target="https://1drv.ms/x/s!AkP3hbXXLtgBhpEoaTK-EAwrB6PPjQ?e=mvWMFP&amp;nav=MTVfe0Q0MjM2QjFDLUVBQTAtNDE3Ri1BOEVGLTQzNzNBN0FGODY4M30" TargetMode="External"/><Relationship Id="rId1987" Type="http://schemas.openxmlformats.org/officeDocument/2006/relationships/hyperlink" Target="https://1drv.ms/x/s!AkP3hbXXLtgBhpEoaTK-EAwrB6PPjQ?e=e8c5BE&amp;nav=MTVfe0YzRjMwRTg2LTYyMTgtNEY5QS05Qzg0LTUxNkJFM0Q4MDAwN30" TargetMode="External"/><Relationship Id="rId1847" Type="http://schemas.openxmlformats.org/officeDocument/2006/relationships/hyperlink" Target="https://1drv.ms/x/s!AkP3hbXXLtgBhpEoaTK-EAwrB6PPjQ?e=Qo1W02&amp;nav=MTVfe0Q5NDAyRTdCLTJCNEYtNEQ5OS05Q0Y4LTIyNDExQjYxNzRBRH0" TargetMode="External"/><Relationship Id="rId1707" Type="http://schemas.openxmlformats.org/officeDocument/2006/relationships/hyperlink" Target="https://1drv.ms/x/s!AkP3hbXXLtgBhpEoaTK-EAwrB6PPjQ?e=DHRjp5&amp;nav=MTVfezdEN0E2ODJDLUYxMzctNDI0MS1BRjZDLThEMzExM0M0OTZBNn0" TargetMode="External"/><Relationship Id="rId190" Type="http://schemas.openxmlformats.org/officeDocument/2006/relationships/hyperlink" Target="https://1drv.ms/x/s!AkP3hbXXLtgBhpEoaTK-EAwrB6PPjQ?e=hKKsXn&amp;nav=MTVfe0M0MzQ5RkZFLUFFMEMtNDZBOC05NDNELUU2ODg5N0JGMDU4Rn0" TargetMode="External"/><Relationship Id="rId1914" Type="http://schemas.openxmlformats.org/officeDocument/2006/relationships/hyperlink" Target="https://1drv.ms/x/s!AkP3hbXXLtgBhpEoaTK-EAwrB6PPjQ?e=U8iWbp&amp;nav=MTVfezVDRDNFMEMzLTY0NDctNDUyNC05RjQyLUQ5MzdFOTgzQzgzNH0" TargetMode="External"/><Relationship Id="rId2688" Type="http://schemas.openxmlformats.org/officeDocument/2006/relationships/hyperlink" Target="https://1drv.ms/x/s!AkP3hbXXLtgBhpEoaTK-EAwrB6PPjQ?e=hUXjPN&amp;nav=MTVfezYzNzY4MEExLTRDMzItNDcxMy05M0ZCLTBFNjAwNTlBMUI0MH0" TargetMode="External"/><Relationship Id="rId867" Type="http://schemas.openxmlformats.org/officeDocument/2006/relationships/hyperlink" Target="https://1drv.ms/x/s!AkP3hbXXLtgBhpEoaTK-EAwrB6PPjQ?e=VcWWuU&amp;nav=MTVfe0ExMEEwQ0RDLUFCNUQtNEMxQS1BM0ZGLTEzRDE2MkJEN0U2Q30" TargetMode="External"/><Relationship Id="rId1497" Type="http://schemas.openxmlformats.org/officeDocument/2006/relationships/hyperlink" Target="https://1drv.ms/x/s!AkP3hbXXLtgBhpEoaTK-EAwrB6PPjQ?e=Dygyft&amp;nav=MTVfe0VDMUJBNEJBLUNCOTAtNDI3Ri1CMTVFLUZDQjc2NURCQ0I1Q30" TargetMode="External"/><Relationship Id="rId2548" Type="http://schemas.openxmlformats.org/officeDocument/2006/relationships/hyperlink" Target="https://1drv.ms/x/s!AkP3hbXXLtgBhpEoaTK-EAwrB6PPjQ?e=mXia38&amp;nav=MTVfe0I0NjUwQ0I4LURGNzEtNDA5NC04M0QxLUExRTNDN0Q3OTc1MX0" TargetMode="External"/><Relationship Id="rId727" Type="http://schemas.openxmlformats.org/officeDocument/2006/relationships/hyperlink" Target="https://1drv.ms/x/s!AkP3hbXXLtgBhpEoaTK-EAwrB6PPjQ?e=0lRBEc&amp;nav=MTVfezRDRDQwMjU1LUJFM0ItNENDQS05NDQ1LUY1OTdERDA5ODg4NH0" TargetMode="External"/><Relationship Id="rId934" Type="http://schemas.openxmlformats.org/officeDocument/2006/relationships/hyperlink" Target="https://1drv.ms/x/s!AkP3hbXXLtgBhpEoaTK-EAwrB6PPjQ?e=GuJxJM&amp;nav=MTVfe0NBQzcxNDNGLTAzODYtNEFDRi1BNTI1LTRDQTYxMDEzNkYwM30" TargetMode="External"/><Relationship Id="rId1357" Type="http://schemas.openxmlformats.org/officeDocument/2006/relationships/hyperlink" Target="https://1drv.ms/x/s!AkP3hbXXLtgBhpEoaTK-EAwrB6PPjQ?e=U6lTuf&amp;nav=MTVfezFEODYyODdBLUIyOTctNDdGMC04MTkyLUUzRDE3NjM5RkNFQ30" TargetMode="External"/><Relationship Id="rId1564" Type="http://schemas.openxmlformats.org/officeDocument/2006/relationships/hyperlink" Target="https://1drv.ms/x/s!AkP3hbXXLtgBhpEoaTK-EAwrB6PPjQ?e=hF7xUm&amp;nav=MTVfezBDOEZCN0U5LURBOEQtNEY2Qi1CNUE1LUYzQTk0NDFBRkE2NX0" TargetMode="External"/><Relationship Id="rId1771" Type="http://schemas.openxmlformats.org/officeDocument/2006/relationships/hyperlink" Target="https://1drv.ms/x/s!AkP3hbXXLtgBhpEoaTK-EAwrB6PPjQ?e=sBpJD5&amp;nav=MTVfezM5QzdFMEZDLTg3QTEtNDRCMS04QTgyLUQ3MDU0NDI2MTBFRn0" TargetMode="External"/><Relationship Id="rId2408" Type="http://schemas.openxmlformats.org/officeDocument/2006/relationships/hyperlink" Target="https://1drv.ms/x/s!AkP3hbXXLtgBhpEoaTK-EAwrB6PPjQ?e=X2f9pt&amp;nav=MTVfe0M4ODI3QTVFLTgzOUMtNDk2Qy1BMThFLUNCMDYwN0JBQjM5M30" TargetMode="External"/><Relationship Id="rId2615" Type="http://schemas.openxmlformats.org/officeDocument/2006/relationships/hyperlink" Target="https://1drv.ms/x/s!AkP3hbXXLtgBhpEoaTK-EAwrB6PPjQ?e=k1JzSb&amp;nav=MTVfezlCRDVCMEI4LTNBMEItNDE5NC04RTEyLUQxQzc3N0U3MUFFQn0" TargetMode="External"/><Relationship Id="rId63" Type="http://schemas.openxmlformats.org/officeDocument/2006/relationships/hyperlink" Target="https://1drv.ms/x/s!AkP3hbXXLtgBhpEoaTK-EAwrB6PPjQ?e=AMVmTu&amp;nav=MTVfezNFMEFDQTg3LTgzOUUtNDFGNC04MkYwLUIxRjIyNTFBRDYzNX0" TargetMode="External"/><Relationship Id="rId1217" Type="http://schemas.openxmlformats.org/officeDocument/2006/relationships/hyperlink" Target="https://1drv.ms/x/s!AkP3hbXXLtgBhpEoaTK-EAwrB6PPjQ?e=U6lTuf&amp;nav=MTVfezFEODYyODdBLUIyOTctNDdGMC04MTkyLUUzRDE3NjM5RkNFQ30" TargetMode="External"/><Relationship Id="rId1424" Type="http://schemas.openxmlformats.org/officeDocument/2006/relationships/hyperlink" Target="https://1drv.ms/x/s!AkP3hbXXLtgBhpEoaTK-EAwrB6PPjQ?e=xXe3yl&amp;nav=MTVfezM1QjlFQjFCLUIxM0MtNDQ0Ni05MzQyLUU2QjczMkYzQzJFOH0" TargetMode="External"/><Relationship Id="rId1631" Type="http://schemas.openxmlformats.org/officeDocument/2006/relationships/hyperlink" Target="https://1drv.ms/x/s!AkP3hbXXLtgBhpEoaTK-EAwrB6PPjQ?e=VUlHtx&amp;nav=MTVfe0JEMzdCNzJBLTQ3QUItNEI0NC04MDRCLTNDRDY0MDVBODI2Qn0" TargetMode="External"/><Relationship Id="rId2198" Type="http://schemas.openxmlformats.org/officeDocument/2006/relationships/hyperlink" Target="https://1drv.ms/x/s!AkP3hbXXLtgBhpEoaTK-EAwrB6PPjQ?e=PJkcfB&amp;nav=MTVfezBFRjgyRDlFLThFOEUtNDA2RC05QUQzLTk5RDY0REIzMEU3Rn0" TargetMode="External"/><Relationship Id="rId377" Type="http://schemas.openxmlformats.org/officeDocument/2006/relationships/hyperlink" Target="https://1drv.ms/x/s!AkP3hbXXLtgBhpEoaTK-EAwrB6PPjQ?e=mvWMFP&amp;nav=MTVfe0Q0MjM2QjFDLUVBQTAtNDE3Ri1BOEVGLTQzNzNBN0FGODY4M30" TargetMode="External"/><Relationship Id="rId584" Type="http://schemas.openxmlformats.org/officeDocument/2006/relationships/hyperlink" Target="https://1drv.ms/x/s!AkP3hbXXLtgBhpEoaTK-EAwrB6PPjQ?e=xgZSuS&amp;nav=MTVfezA3RkYxMTMwLTAyQjYtNDA4RS1BMkU5LTI2MUQ0MjM2OEJGQn0" TargetMode="External"/><Relationship Id="rId2058" Type="http://schemas.openxmlformats.org/officeDocument/2006/relationships/hyperlink" Target="https://1drv.ms/x/s!AkP3hbXXLtgBhpEoaTK-EAwrB6PPjQ?e=t9ByVx&amp;nav=MTVfe0MzOTE2QzlDLTMzMEMtNEQ4NS05NjZBLTBFNzk3QjgxMEIwQn0" TargetMode="External"/><Relationship Id="rId2265" Type="http://schemas.openxmlformats.org/officeDocument/2006/relationships/hyperlink" Target="https://1drv.ms/x/s!AkP3hbXXLtgBhpEoaTK-EAwrB6PPjQ?e=vI4FNr&amp;nav=MTVfezhGQzkyMTU5LUYxNTUtNDg4MS04N0QzLTE5OTgzQjI3QTc1NH0" TargetMode="External"/><Relationship Id="rId237" Type="http://schemas.openxmlformats.org/officeDocument/2006/relationships/hyperlink" Target="https://1drv.ms/x/s!AkP3hbXXLtgBhpEoaTK-EAwrB6PPjQ?e=36Im2J&amp;nav=MTVfezg1NTdGRUM1LTczODktNDk5My1BQjA0LTkyQjFDODE4MjgxRX0" TargetMode="External"/><Relationship Id="rId791" Type="http://schemas.openxmlformats.org/officeDocument/2006/relationships/hyperlink" Target="https://1drv.ms/x/s!AkP3hbXXLtgBhpEoaTK-EAwrB6PPjQ?e=zuxs7K&amp;nav=MTVfezEzQ0U5ODFBLTQxOTEtNERBOS05RDcwLTU1NDcwQ0I2MzhFNX0" TargetMode="External"/><Relationship Id="rId1074" Type="http://schemas.openxmlformats.org/officeDocument/2006/relationships/hyperlink" Target="https://1drv.ms/x/s!AkP3hbXXLtgBhpEoaTK-EAwrB6PPjQ?e=rYbeUy&amp;nav=MTVfe0Q1MEM2OTMzLTFBNUUtNDhCMS1CQzhCLTlGQTI2NEEzRURDRH0" TargetMode="External"/><Relationship Id="rId2472" Type="http://schemas.openxmlformats.org/officeDocument/2006/relationships/hyperlink" Target="https://1drv.ms/x/s!AkP3hbXXLtgBhpEoaTK-EAwrB6PPjQ?e=LQfhsg&amp;nav=MTVfe0FGQTQ2QTUxLTkwOEEtNEZCNi04OUQ1LTMwOUU4QkMzMTRFQ30" TargetMode="External"/><Relationship Id="rId444" Type="http://schemas.openxmlformats.org/officeDocument/2006/relationships/hyperlink" Target="https://1drv.ms/x/s!AkP3hbXXLtgBhpEoaTK-EAwrB6PPjQ?e=sXo522&amp;nav=MTVfe0VCNzhCQUU0LUVEQzItNDRCMC04QTFFLUZEQzA0OTNEMDkzOX0" TargetMode="External"/><Relationship Id="rId651" Type="http://schemas.openxmlformats.org/officeDocument/2006/relationships/hyperlink" Target="https://1drv.ms/x/s!AkP3hbXXLtgBhpEoaTK-EAwrB6PPjQ?e=ZRDRyK&amp;nav=MTVfe0IyQkRBQzE0LUM2QkQtNDY3Ny04MjcyLUQxNjYyMkIyRTZGRH0" TargetMode="External"/><Relationship Id="rId1281" Type="http://schemas.openxmlformats.org/officeDocument/2006/relationships/hyperlink" Target="https://1drv.ms/x/s!AkP3hbXXLtgBhpEoaTK-EAwrB6PPjQ?e=bD2jTr&amp;nav=MTVfezRGRUQzQzY0LTk3M0ItNDNDNy1BRUY3LTYwMDNGN0E5OThFQX0" TargetMode="External"/><Relationship Id="rId2125" Type="http://schemas.openxmlformats.org/officeDocument/2006/relationships/hyperlink" Target="https://1drv.ms/x/s!AkP3hbXXLtgBhpEoaTK-EAwrB6PPjQ?e=7tvhFu&amp;nav=MTVfezYzQUQ2N0RCLTZFQkQtNDhGOC1BODVFLUQzNjgwN0I4QkNFMn0" TargetMode="External"/><Relationship Id="rId2332" Type="http://schemas.openxmlformats.org/officeDocument/2006/relationships/hyperlink" Target="https://1drv.ms/x/s!AkP3hbXXLtgBhpEoaTK-EAwrB6PPjQ?e=LiWfcw&amp;nav=MTVfezFBQTVDNUQ5LTIxM0QtNDcxMi05RkYwLUI2NUUyNTFDRkFBMH0" TargetMode="External"/><Relationship Id="rId304" Type="http://schemas.openxmlformats.org/officeDocument/2006/relationships/hyperlink" Target="https://1drv.ms/x/s!AkP3hbXXLtgBhpEoaTK-EAwrB6PPjQ?e=HO6wd4&amp;nav=MTVfe0NDRThCRDRELTFCMEEtNDNFRC1BMDRDLTc1QjY0NDgwNjJBMH0" TargetMode="External"/><Relationship Id="rId511" Type="http://schemas.openxmlformats.org/officeDocument/2006/relationships/hyperlink" Target="https://1drv.ms/x/s!AkP3hbXXLtgBhpEoaTK-EAwrB6PPjQ?e=zfxOib&amp;nav=MTVfezc5MUI1QUJBLTY0QUItNDM1OS05NkVBLTE3MUFBQTY2QzQ4Q30" TargetMode="External"/><Relationship Id="rId1141" Type="http://schemas.openxmlformats.org/officeDocument/2006/relationships/hyperlink" Target="https://1drv.ms/x/s!AkP3hbXXLtgBhpEoaTK-EAwrB6PPjQ?e=xGItXl&amp;nav=MTVfezc3NDc5QTVFLTEyMTItNEVGOS04NzRCLUUzREZBMkQ0NjU4OH0" TargetMode="External"/><Relationship Id="rId1001" Type="http://schemas.openxmlformats.org/officeDocument/2006/relationships/hyperlink" Target="https://1drv.ms/x/s!AkP3hbXXLtgBhpEoaTK-EAwrB6PPjQ?e=fk66xb&amp;nav=MTVfezU0MjNBNEE5LTNDNzctNDQwNC05RjA3LTAyNEI1N0FBQjFDNX0" TargetMode="External"/><Relationship Id="rId1958" Type="http://schemas.openxmlformats.org/officeDocument/2006/relationships/hyperlink" Target="https://1drv.ms/x/s!AkP3hbXXLtgBhpEoaTK-EAwrB6PPjQ?e=Hae5Hc&amp;nav=MTVfe0U1QUU2RDZBLTFGMkUtNENGNC04OENCLUE1MjI0OEMyNDMzNn0" TargetMode="External"/><Relationship Id="rId1818" Type="http://schemas.openxmlformats.org/officeDocument/2006/relationships/hyperlink" Target="https://1drv.ms/x/s!AkP3hbXXLtgBhpEoaTK-EAwrB6PPjQ?e=sBpJD5&amp;nav=MTVfezM5QzdFMEZDLTg3QTEtNDRCMS04QTgyLUQ3MDU0NDI2MTBFRn0" TargetMode="External"/><Relationship Id="rId161" Type="http://schemas.openxmlformats.org/officeDocument/2006/relationships/hyperlink" Target="https://1drv.ms/x/s!AkP3hbXXLtgBhpEoaTK-EAwrB6PPjQ?e=hRuig5&amp;nav=MTVfe0NCREMzODZGLTI3RDktNEI4RS05QjQ0LUUzQTc5QTQyQzY2MX0" TargetMode="External"/><Relationship Id="rId978" Type="http://schemas.openxmlformats.org/officeDocument/2006/relationships/hyperlink" Target="https://1drv.ms/x/s!AkP3hbXXLtgBhpEoaTK-EAwrB6PPjQ?e=fk66xb&amp;nav=MTVfezU0MjNBNEE5LTNDNzctNDQwNC05RjA3LTAyNEI1N0FBQjFDNX0" TargetMode="External"/><Relationship Id="rId2659" Type="http://schemas.openxmlformats.org/officeDocument/2006/relationships/hyperlink" Target="https://1drv.ms/x/s!AkP3hbXXLtgBhpEoaTK-EAwrB6PPjQ?e=k1JzSb&amp;nav=MTVfezlCRDVCMEI4LTNBMEItNDE5NC04RTEyLUQxQzc3N0U3MUFFQn0" TargetMode="External"/><Relationship Id="rId838" Type="http://schemas.openxmlformats.org/officeDocument/2006/relationships/hyperlink" Target="https://1drv.ms/x/s!AkP3hbXXLtgBhpEoaTK-EAwrB6PPjQ?e=zuxs7K&amp;nav=MTVfezEzQ0U5ODFBLTQxOTEtNERBOS05RDcwLTU1NDcwQ0I2MzhFNX0" TargetMode="External"/><Relationship Id="rId1468" Type="http://schemas.openxmlformats.org/officeDocument/2006/relationships/hyperlink" Target="https://1drv.ms/x/s!AkP3hbXXLtgBhpEoaTK-EAwrB6PPjQ?e=xXe3yl&amp;nav=MTVfezM1QjlFQjFCLUIxM0MtNDQ0Ni05MzQyLUU2QjczMkYzQzJFOH0" TargetMode="External"/><Relationship Id="rId1675" Type="http://schemas.openxmlformats.org/officeDocument/2006/relationships/hyperlink" Target="https://1drv.ms/x/s!AkP3hbXXLtgBhpEoaTK-EAwrB6PPjQ?e=DHRjp5&amp;nav=MTVfezdEN0E2ODJDLUYxMzctNDI0MS1BRjZDLThEMzExM0M0OTZBNn0" TargetMode="External"/><Relationship Id="rId1882" Type="http://schemas.openxmlformats.org/officeDocument/2006/relationships/hyperlink" Target="https://1drv.ms/x/s!AkP3hbXXLtgBhpEoaTK-EAwrB6PPjQ?e=3z9g8a&amp;nav=MTVfezBGMENERTNBLTZCQTUtNDYwRi05MDM3LUNDNDk5MDBCNUU5MX0" TargetMode="External"/><Relationship Id="rId2519" Type="http://schemas.openxmlformats.org/officeDocument/2006/relationships/hyperlink" Target="https://1drv.ms/x/s!AkP3hbXXLtgBhpEoaTK-EAwrB6PPjQ?e=mXia38&amp;nav=MTVfe0I0NjUwQ0I4LURGNzEtNDA5NC04M0QxLUExRTNDN0Q3OTc1MX0" TargetMode="External"/><Relationship Id="rId2726" Type="http://schemas.openxmlformats.org/officeDocument/2006/relationships/hyperlink" Target="https://1drv.ms/x/s!AkP3hbXXLtgBhpEoaTK-EAwrB6PPjQ?e=hUXjPN&amp;nav=MTVfezYzNzY4MEExLTRDMzItNDcxMy05M0ZCLTBFNjAwNTlBMUI0MH0" TargetMode="External"/><Relationship Id="rId1328" Type="http://schemas.openxmlformats.org/officeDocument/2006/relationships/hyperlink" Target="https://1drv.ms/x/s!AkP3hbXXLtgBhpEoaTK-EAwrB6PPjQ?e=mYpfR1&amp;nav=MTVfe0NGMTlDQTg1LUE2QUMtNDYyRC1CN0M1LUExRjVBNjI1MDcyOX0" TargetMode="External"/><Relationship Id="rId1535" Type="http://schemas.openxmlformats.org/officeDocument/2006/relationships/hyperlink" Target="https://1drv.ms/x/s!AkP3hbXXLtgBhpEoaTK-EAwrB6PPjQ?e=PsqPhH&amp;nav=MTVfe0ZDRjg3ODhGLTBFNDItNDJCOC04MDRCLTU4OTcwNUMwMjFGMn0" TargetMode="External"/><Relationship Id="rId905" Type="http://schemas.openxmlformats.org/officeDocument/2006/relationships/hyperlink" Target="https://1drv.ms/x/s!AkP3hbXXLtgBhpEoaTK-EAwrB6PPjQ?e=q7Y9UY&amp;nav=MTVfezY2QjMzRUJDLTdGREQtNEI4MC05QkFBLTZFRTQyNUFCMDY2MH0" TargetMode="External"/><Relationship Id="rId1742" Type="http://schemas.openxmlformats.org/officeDocument/2006/relationships/hyperlink" Target="https://1drv.ms/x/s!AkP3hbXXLtgBhpEoaTK-EAwrB6PPjQ?e=OaIvOH&amp;nav=MTVfezFDODBFQUMzLTY0M0UtNDM2MC04REU0LTRBOUYzQ0MxQkY2Nn0" TargetMode="External"/><Relationship Id="rId34" Type="http://schemas.openxmlformats.org/officeDocument/2006/relationships/hyperlink" Target="https://1drv.ms/x/s!AkP3hbXXLtgBhpEoaTK-EAwrB6PPjQ?e=pv1n5G&amp;nav=MTVfe0I5QjVDOEU1LTM5MTMtNDRCNy1COEY4LUUwMUNENUM2NTY1NX0" TargetMode="External"/><Relationship Id="rId1602" Type="http://schemas.openxmlformats.org/officeDocument/2006/relationships/hyperlink" Target="https://1drv.ms/x/s!AkP3hbXXLtgBhpEoaTK-EAwrB6PPjQ?e=hF7xUm&amp;nav=MTVfezBDOEZCN0U5LURBOEQtNEY2Qi1CNUE1LUYzQTk0NDFBRkE2NX0" TargetMode="External"/><Relationship Id="rId488" Type="http://schemas.openxmlformats.org/officeDocument/2006/relationships/hyperlink" Target="https://1drv.ms/x/s!AkP3hbXXLtgBhpEoaTK-EAwrB6PPjQ?e=zfxOib&amp;nav=MTVfezc5MUI1QUJBLTY0QUItNDM1OS05NkVBLTE3MUFBQTY2QzQ4Q30" TargetMode="External"/><Relationship Id="rId695" Type="http://schemas.openxmlformats.org/officeDocument/2006/relationships/hyperlink" Target="https://1drv.ms/x/s!AkP3hbXXLtgBhpEoaTK-EAwrB6PPjQ?e=JPeMLZ&amp;nav=MTVfezdEMkY3NDEyLUYwMzItNDM0RC05MDRFLTcyNTE0ODM0NjA4M30" TargetMode="External"/><Relationship Id="rId2169" Type="http://schemas.openxmlformats.org/officeDocument/2006/relationships/hyperlink" Target="https://1drv.ms/x/s!AkP3hbXXLtgBhpEoaTK-EAwrB6PPjQ?e=PJkcfB&amp;nav=MTVfezBFRjgyRDlFLThFOEUtNDA2RC05QUQzLTk5RDY0REIzMEU3Rn0" TargetMode="External"/><Relationship Id="rId2376" Type="http://schemas.openxmlformats.org/officeDocument/2006/relationships/hyperlink" Target="https://1drv.ms/x/s!AkP3hbXXLtgBhpEoaTK-EAwrB6PPjQ?e=X2f9pt&amp;nav=MTVfe0M4ODI3QTVFLTgzOUMtNDk2Qy1BMThFLUNCMDYwN0JBQjM5M30" TargetMode="External"/><Relationship Id="rId2583" Type="http://schemas.openxmlformats.org/officeDocument/2006/relationships/hyperlink" Target="https://1drv.ms/x/s!AkP3hbXXLtgBhpEoaTK-EAwrB6PPjQ?e=jbE9BC&amp;nav=MTVfe0Q1MjgxNjQzLUFDMEQtNDBGMi1BMzA0LTQyQTk3OTExMDc3Mn0" TargetMode="External"/><Relationship Id="rId348" Type="http://schemas.openxmlformats.org/officeDocument/2006/relationships/hyperlink" Target="https://1drv.ms/x/s!AkP3hbXXLtgBhpEoaTK-EAwrB6PPjQ?e=HO6wd4&amp;nav=MTVfe0NDRThCRDRELTFCMEEtNDNFRC1BMDRDLTc1QjY0NDgwNjJBMH0" TargetMode="External"/><Relationship Id="rId555" Type="http://schemas.openxmlformats.org/officeDocument/2006/relationships/hyperlink" Target="https://1drv.ms/x/s!AkP3hbXXLtgBhpEoaTK-EAwrB6PPjQ?e=xgZSuS&amp;nav=MTVfezA3RkYxMTMwLTAyQjYtNDA4RS1BMkU5LTI2MUQ0MjM2OEJGQn0" TargetMode="External"/><Relationship Id="rId762" Type="http://schemas.openxmlformats.org/officeDocument/2006/relationships/hyperlink" Target="https://1drv.ms/x/s!AkP3hbXXLtgBhpEoaTK-EAwrB6PPjQ?e=0lRBEc&amp;nav=MTVfezRDRDQwMjU1LUJFM0ItNENDQS05NDQ1LUY1OTdERDA5ODg4NH0" TargetMode="External"/><Relationship Id="rId1185" Type="http://schemas.openxmlformats.org/officeDocument/2006/relationships/hyperlink" Target="https://1drv.ms/x/s!AkP3hbXXLtgBhpEoaTK-EAwrB6PPjQ?e=7D4jtp&amp;nav=MTVfe0Q5MDNFMUVCLUFFNkQtNDU5OC04QjYyLUFGODVDMTZENkVGMX0" TargetMode="External"/><Relationship Id="rId1392" Type="http://schemas.openxmlformats.org/officeDocument/2006/relationships/hyperlink" Target="https://1drv.ms/x/s!AkP3hbXXLtgBhpEoaTK-EAwrB6PPjQ?e=6Dzvxb&amp;nav=MTVfezE4RDVGRUE3LUYyN0MtNDRFNC1BMENCLTk1RTNFRjk3QkJDRX0" TargetMode="External"/><Relationship Id="rId2029" Type="http://schemas.openxmlformats.org/officeDocument/2006/relationships/hyperlink" Target="https://1drv.ms/x/s!AkP3hbXXLtgBhpEoaTK-EAwrB6PPjQ?e=e8c5BE&amp;nav=MTVfe0YzRjMwRTg2LTYyMTgtNEY5QS05Qzg0LTUxNkJFM0Q4MDAwN30" TargetMode="External"/><Relationship Id="rId2236" Type="http://schemas.openxmlformats.org/officeDocument/2006/relationships/hyperlink" Target="https://1drv.ms/x/s!AkP3hbXXLtgBhpEoaTK-EAwrB6PPjQ?e=vI4FNr&amp;nav=MTVfezhGQzkyMTU5LUYxNTUtNDg4MS04N0QzLTE5OTgzQjI3QTc1NH0" TargetMode="External"/><Relationship Id="rId2443" Type="http://schemas.openxmlformats.org/officeDocument/2006/relationships/hyperlink" Target="https://1drv.ms/x/s!AkP3hbXXLtgBhpEoaTK-EAwrB6PPjQ?e=LQfhsg&amp;nav=MTVfe0FGQTQ2QTUxLTkwOEEtNEZCNi04OUQ1LTMwOUU4QkMzMTRFQ30" TargetMode="External"/><Relationship Id="rId2650" Type="http://schemas.openxmlformats.org/officeDocument/2006/relationships/hyperlink" Target="https://1drv.ms/x/s!AkP3hbXXLtgBhpEoaTK-EAwrB6PPjQ?e=k1JzSb&amp;nav=MTVfezlCRDVCMEI4LTNBMEItNDE5NC04RTEyLUQxQzc3N0U3MUFFQn0" TargetMode="External"/><Relationship Id="rId208" Type="http://schemas.openxmlformats.org/officeDocument/2006/relationships/hyperlink" Target="https://1drv.ms/x/s!AkP3hbXXLtgBhpEoaTK-EAwrB6PPjQ?e=hKKsXn&amp;nav=MTVfe0M0MzQ5RkZFLUFFMEMtNDZBOC05NDNELUU2ODg5N0JGMDU4Rn0" TargetMode="External"/><Relationship Id="rId415" Type="http://schemas.openxmlformats.org/officeDocument/2006/relationships/hyperlink" Target="https://1drv.ms/x/s!AkP3hbXXLtgBhpEoaTK-EAwrB6PPjQ?e=mvWMFP&amp;nav=MTVfe0Q0MjM2QjFDLUVBQTAtNDE3Ri1BOEVGLTQzNzNBN0FGODY4M30" TargetMode="External"/><Relationship Id="rId622" Type="http://schemas.openxmlformats.org/officeDocument/2006/relationships/hyperlink" Target="https://1drv.ms/x/s!AkP3hbXXLtgBhpEoaTK-EAwrB6PPjQ?e=ZRDRyK&amp;nav=MTVfe0IyQkRBQzE0LUM2QkQtNDY3Ny04MjcyLUQxNjYyMkIyRTZGRH0" TargetMode="External"/><Relationship Id="rId1045" Type="http://schemas.openxmlformats.org/officeDocument/2006/relationships/hyperlink" Target="https://1drv.ms/x/s!AkP3hbXXLtgBhpEoaTK-EAwrB6PPjQ?e=NFspu9&amp;nav=MTVfezE1M0M1OEJDLTA3MzUtNERFMC1BNzE4LTMzMUY1QjZBOEZDMH0" TargetMode="External"/><Relationship Id="rId1252" Type="http://schemas.openxmlformats.org/officeDocument/2006/relationships/hyperlink" Target="https://1drv.ms/x/s!AkP3hbXXLtgBhpEoaTK-EAwrB6PPjQ?e=UaBeCf&amp;nav=MTVfezM0NkJDRTA1LThBNUQtNDFFMC1BNjQ2LTk5NTVEMTg4RUEzNn0" TargetMode="External"/><Relationship Id="rId2303" Type="http://schemas.openxmlformats.org/officeDocument/2006/relationships/hyperlink" Target="https://1drv.ms/x/s!AkP3hbXXLtgBhpEoaTK-EAwrB6PPjQ?e=LiWfcw&amp;nav=MTVfezFBQTVDNUQ5LTIxM0QtNDcxMi05RkYwLUI2NUUyNTFDRkFBMH0" TargetMode="External"/><Relationship Id="rId2510" Type="http://schemas.openxmlformats.org/officeDocument/2006/relationships/hyperlink" Target="https://1drv.ms/x/s!AkP3hbXXLtgBhpEoaTK-EAwrB6PPjQ?e=o9lQyb&amp;nav=MTVfezcyMTg2Rjg2LTA1OEItNDUyMy1CNjg4LUQwRkJFRDNFQTIxOH0" TargetMode="External"/><Relationship Id="rId1112" Type="http://schemas.openxmlformats.org/officeDocument/2006/relationships/hyperlink" Target="https://1drv.ms/x/s!AkP3hbXXLtgBhpEoaTK-EAwrB6PPjQ?e=Brd8C5&amp;nav=MTVfe0YyMTJGNjdELTg0REMtNEY4Ri05MzE5LTE0M0FEODlBMzg5Q30" TargetMode="External"/><Relationship Id="rId1929" Type="http://schemas.openxmlformats.org/officeDocument/2006/relationships/hyperlink" Target="https://1drv.ms/x/s!AkP3hbXXLtgBhpEoaTK-EAwrB6PPjQ?e=U8iWbp&amp;nav=MTVfezVDRDNFMEMzLTY0NDctNDUyNC05RjQyLUQ5MzdFOTgzQzgzNH0" TargetMode="External"/><Relationship Id="rId2093" Type="http://schemas.openxmlformats.org/officeDocument/2006/relationships/hyperlink" Target="https://1drv.ms/x/s!AkP3hbXXLtgBhpEoaTK-EAwrB6PPjQ?e=7tvhFu&amp;nav=MTVfezYzQUQ2N0RCLTZFQkQtNDhGOC1BODVFLUQzNjgwN0I4QkNFMn0" TargetMode="External"/><Relationship Id="rId272" Type="http://schemas.openxmlformats.org/officeDocument/2006/relationships/hyperlink" Target="https://1drv.ms/x/s!AkP3hbXXLtgBhpEoaTK-EAwrB6PPjQ?e=36Im2J&amp;nav=MTVfezg1NTdGRUM1LTczODktNDk5My1BQjA0LTkyQjFDODE4MjgxRX0" TargetMode="External"/><Relationship Id="rId2160" Type="http://schemas.openxmlformats.org/officeDocument/2006/relationships/hyperlink" Target="https://1drv.ms/x/s!AkP3hbXXLtgBhpEoaTK-EAwrB6PPjQ?e=nj2bQ1&amp;nav=MTVfezAwMDAwMDAwLTAwMDEtMDAwMC0wMDAwLTAwMDAwMDAwMDAwMH0" TargetMode="External"/><Relationship Id="rId132" Type="http://schemas.openxmlformats.org/officeDocument/2006/relationships/hyperlink" Target="https://1drv.ms/x/s!AkP3hbXXLtgBhpEoaTK-EAwrB6PPjQ?e=hRuig5&amp;nav=MTVfe0NCREMzODZGLTI3RDktNEI4RS05QjQ0LUUzQTc5QTQyQzY2MX0" TargetMode="External"/><Relationship Id="rId2020" Type="http://schemas.openxmlformats.org/officeDocument/2006/relationships/hyperlink" Target="https://1drv.ms/x/s!AkP3hbXXLtgBhpEoaTK-EAwrB6PPjQ?e=e8c5BE&amp;nav=MTVfe0YzRjMwRTg2LTYyMTgtNEY5QS05Qzg0LTUxNkJFM0Q4MDAwN30" TargetMode="External"/><Relationship Id="rId1579" Type="http://schemas.openxmlformats.org/officeDocument/2006/relationships/hyperlink" Target="https://1drv.ms/x/s!AkP3hbXXLtgBhpEoaTK-EAwrB6PPjQ?e=hF7xUm&amp;nav=MTVfezBDOEZCN0U5LURBOEQtNEY2Qi1CNUE1LUYzQTk0NDFBRkE2NX0" TargetMode="External"/><Relationship Id="rId949" Type="http://schemas.openxmlformats.org/officeDocument/2006/relationships/hyperlink" Target="https://1drv.ms/x/s!AkP3hbXXLtgBhpEoaTK-EAwrB6PPjQ?e=GuJxJM&amp;nav=MTVfe0NBQzcxNDNGLTAzODYtNEFDRi1BNTI1LTRDQTYxMDEzNkYwM30" TargetMode="External"/><Relationship Id="rId1786" Type="http://schemas.openxmlformats.org/officeDocument/2006/relationships/hyperlink" Target="https://1drv.ms/x/s!AkP3hbXXLtgBhpEoaTK-EAwrB6PPjQ?e=sBpJD5&amp;nav=MTVfezM5QzdFMEZDLTg3QTEtNDRCMS04QTgyLUQ3MDU0NDI2MTBFRn0" TargetMode="External"/><Relationship Id="rId1993" Type="http://schemas.openxmlformats.org/officeDocument/2006/relationships/hyperlink" Target="https://1drv.ms/x/s!AkP3hbXXLtgBhpEoaTK-EAwrB6PPjQ?e=e8c5BE&amp;nav=MTVfe0YzRjMwRTg2LTYyMTgtNEY5QS05Qzg0LTUxNkJFM0Q4MDAwN30" TargetMode="External"/><Relationship Id="rId78" Type="http://schemas.openxmlformats.org/officeDocument/2006/relationships/hyperlink" Target="https://1drv.ms/x/s!AkP3hbXXLtgBhpEoaTK-EAwrB6PPjQ?e=AMVmTu&amp;nav=MTVfezNFMEFDQTg3LTgzOUUtNDFGNC04MkYwLUIxRjIyNTFBRDYzNX0" TargetMode="External"/><Relationship Id="rId809" Type="http://schemas.openxmlformats.org/officeDocument/2006/relationships/hyperlink" Target="https://1drv.ms/x/s!AkP3hbXXLtgBhpEoaTK-EAwrB6PPjQ?e=zuxs7K&amp;nav=MTVfezEzQ0U5ODFBLTQxOTEtNERBOS05RDcwLTU1NDcwQ0I2MzhFNX0" TargetMode="External"/><Relationship Id="rId1439" Type="http://schemas.openxmlformats.org/officeDocument/2006/relationships/hyperlink" Target="https://1drv.ms/x/s!AkP3hbXXLtgBhpEoaTK-EAwrB6PPjQ?e=xXe3yl&amp;nav=MTVfezM1QjlFQjFCLUIxM0MtNDQ0Ni05MzQyLUU2QjczMkYzQzJFOH0" TargetMode="External"/><Relationship Id="rId1646" Type="http://schemas.openxmlformats.org/officeDocument/2006/relationships/hyperlink" Target="https://1drv.ms/x/s!AkP3hbXXLtgBhpEoaTK-EAwrB6PPjQ?e=VUlHtx&amp;nav=MTVfe0JEMzdCNzJBLTQ3QUItNEI0NC04MDRCLTNDRDY0MDVBODI2Qn0" TargetMode="External"/><Relationship Id="rId1853" Type="http://schemas.openxmlformats.org/officeDocument/2006/relationships/hyperlink" Target="https://1drv.ms/x/s!AkP3hbXXLtgBhpEoaTK-EAwrB6PPjQ?e=pv1n5G&amp;nav=MTVfe0I5QjVDOEU1LTM5MTMtNDRCNy1COEY4LUUwMUNENUM2NTY1NX0" TargetMode="External"/><Relationship Id="rId1506" Type="http://schemas.openxmlformats.org/officeDocument/2006/relationships/hyperlink" Target="https://1drv.ms/x/s!AkP3hbXXLtgBhpEoaTK-EAwrB6PPjQ?e=xGItXl&amp;nav=MTVfezc3NDc5QTVFLTEyMTItNEVGOS04NzRCLUUzREZBMkQ0NjU4OH0" TargetMode="External"/><Relationship Id="rId1713" Type="http://schemas.openxmlformats.org/officeDocument/2006/relationships/hyperlink" Target="https://1drv.ms/x/s!AkP3hbXXLtgBhpEoaTK-EAwrB6PPjQ?e=DHRjp5&amp;nav=MTVfezdEN0E2ODJDLUYxMzctNDI0MS1BRjZDLThEMzExM0M0OTZBNn0" TargetMode="External"/><Relationship Id="rId1920" Type="http://schemas.openxmlformats.org/officeDocument/2006/relationships/hyperlink" Target="https://1drv.ms/x/s!AkP3hbXXLtgBhpEoaTK-EAwrB6PPjQ?e=U8iWbp&amp;nav=MTVfezVDRDNFMEMzLTY0NDctNDUyNC05RjQyLUQ5MzdFOTgzQzgzNH0" TargetMode="External"/><Relationship Id="rId599" Type="http://schemas.openxmlformats.org/officeDocument/2006/relationships/hyperlink" Target="https://1drv.ms/x/s!AkP3hbXXLtgBhpEoaTK-EAwrB6PPjQ?e=xgZSuS&amp;nav=MTVfezA3RkYxMTMwLTAyQjYtNDA4RS1BMkU5LTI2MUQ0MjM2OEJGQn0" TargetMode="External"/><Relationship Id="rId2487" Type="http://schemas.openxmlformats.org/officeDocument/2006/relationships/hyperlink" Target="https://1drv.ms/x/s!AkP3hbXXLtgBhpEoaTK-EAwrB6PPjQ?e=LQfhsg&amp;nav=MTVfe0FGQTQ2QTUxLTkwOEEtNEZCNi04OUQ1LTMwOUU4QkMzMTRFQ30" TargetMode="External"/><Relationship Id="rId2694" Type="http://schemas.openxmlformats.org/officeDocument/2006/relationships/hyperlink" Target="https://1drv.ms/x/s!AkP3hbXXLtgBhpEoaTK-EAwrB6PPjQ?e=hUXjPN&amp;nav=MTVfezYzNzY4MEExLTRDMzItNDcxMy05M0ZCLTBFNjAwNTlBMUI0MH0" TargetMode="External"/><Relationship Id="rId459" Type="http://schemas.openxmlformats.org/officeDocument/2006/relationships/hyperlink" Target="https://1drv.ms/x/s!AkP3hbXXLtgBhpEoaTK-EAwrB6PPjQ?e=sXo522&amp;nav=MTVfe0VCNzhCQUU0LUVEQzItNDRCMC04QTFFLUZEQzA0OTNEMDkzOX0" TargetMode="External"/><Relationship Id="rId666" Type="http://schemas.openxmlformats.org/officeDocument/2006/relationships/hyperlink" Target="https://1drv.ms/x/s!AkP3hbXXLtgBhpEoaTK-EAwrB6PPjQ?e=JPeMLZ&amp;nav=MTVfezdEMkY3NDEyLUYwMzItNDM0RC05MDRFLTcyNTE0ODM0NjA4M30" TargetMode="External"/><Relationship Id="rId873" Type="http://schemas.openxmlformats.org/officeDocument/2006/relationships/hyperlink" Target="https://1drv.ms/x/s!AkP3hbXXLtgBhpEoaTK-EAwrB6PPjQ?e=VcWWuU&amp;nav=MTVfe0ExMEEwQ0RDLUFCNUQtNEMxQS1BM0ZGLTEzRDE2MkJEN0U2Q30" TargetMode="External"/><Relationship Id="rId1089" Type="http://schemas.openxmlformats.org/officeDocument/2006/relationships/hyperlink" Target="https://1drv.ms/x/s!AkP3hbXXLtgBhpEoaTK-EAwrB6PPjQ?e=rYbeUy&amp;nav=MTVfe0Q1MEM2OTMzLTFBNUUtNDhCMS1CQzhCLTlGQTI2NEEzRURDRH0" TargetMode="External"/><Relationship Id="rId1296" Type="http://schemas.openxmlformats.org/officeDocument/2006/relationships/hyperlink" Target="https://1drv.ms/x/s!AkP3hbXXLtgBhpEoaTK-EAwrB6PPjQ?e=bD2jTr&amp;nav=MTVfezRGRUQzQzY0LTk3M0ItNDNDNy1BRUY3LTYwMDNGN0E5OThFQX0" TargetMode="External"/><Relationship Id="rId2347" Type="http://schemas.openxmlformats.org/officeDocument/2006/relationships/hyperlink" Target="https://1drv.ms/x/s!AkP3hbXXLtgBhpEoaTK-EAwrB6PPjQ?e=LiWfcw&amp;nav=MTVfezFBQTVDNUQ5LTIxM0QtNDcxMi05RkYwLUI2NUUyNTFDRkFBMH0" TargetMode="External"/><Relationship Id="rId2554" Type="http://schemas.openxmlformats.org/officeDocument/2006/relationships/hyperlink" Target="https://1drv.ms/x/s!AkP3hbXXLtgBhpEoaTK-EAwrB6PPjQ?e=mXia38&amp;nav=MTVfe0I0NjUwQ0I4LURGNzEtNDA5NC04M0QxLUExRTNDN0Q3OTc1MX0" TargetMode="External"/><Relationship Id="rId319" Type="http://schemas.openxmlformats.org/officeDocument/2006/relationships/hyperlink" Target="https://1drv.ms/x/s!AkP3hbXXLtgBhpEoaTK-EAwrB6PPjQ?e=HO6wd4&amp;nav=MTVfe0NDRThCRDRELTFCMEEtNDNFRC1BMDRDLTc1QjY0NDgwNjJBMH0" TargetMode="External"/><Relationship Id="rId526" Type="http://schemas.openxmlformats.org/officeDocument/2006/relationships/hyperlink" Target="https://1drv.ms/x/s!AkP3hbXXLtgBhpEoaTK-EAwrB6PPjQ?e=zfxOib&amp;nav=MTVfezc5MUI1QUJBLTY0QUItNDM1OS05NkVBLTE3MUFBQTY2QzQ4Q30" TargetMode="External"/><Relationship Id="rId1156" Type="http://schemas.openxmlformats.org/officeDocument/2006/relationships/hyperlink" Target="https://1drv.ms/x/s!AkP3hbXXLtgBhpEoaTK-EAwrB6PPjQ?e=7D4jtp&amp;nav=MTVfe0Q5MDNFMUVCLUFFNkQtNDU5OC04QjYyLUFGODVDMTZENkVGMX0" TargetMode="External"/><Relationship Id="rId1363" Type="http://schemas.openxmlformats.org/officeDocument/2006/relationships/hyperlink" Target="https://1drv.ms/x/s!AkP3hbXXLtgBhpEoaTK-EAwrB6PPjQ?e=0mRVd8&amp;nav=MTVfezhCNkZEQTNBLUNGMjctNEI5QS04QzdDLTFGQzk0MjVBNUY1QX0" TargetMode="External"/><Relationship Id="rId2207" Type="http://schemas.openxmlformats.org/officeDocument/2006/relationships/hyperlink" Target="https://1drv.ms/x/s!AkP3hbXXLtgBhpEoaTK-EAwrB6PPjQ?e=PJkcfB&amp;nav=MTVfezBFRjgyRDlFLThFOEUtNDA2RC05QUQzLTk5RDY0REIzMEU3Rn0" TargetMode="External"/><Relationship Id="rId733" Type="http://schemas.openxmlformats.org/officeDocument/2006/relationships/hyperlink" Target="https://1drv.ms/x/s!AkP3hbXXLtgBhpEoaTK-EAwrB6PPjQ?e=0lRBEc&amp;nav=MTVfezRDRDQwMjU1LUJFM0ItNENDQS05NDQ1LUY1OTdERDA5ODg4NH0" TargetMode="External"/><Relationship Id="rId940" Type="http://schemas.openxmlformats.org/officeDocument/2006/relationships/hyperlink" Target="https://1drv.ms/x/s!AkP3hbXXLtgBhpEoaTK-EAwrB6PPjQ?e=GuJxJM&amp;nav=MTVfe0NBQzcxNDNGLTAzODYtNEFDRi1BNTI1LTRDQTYxMDEzNkYwM30" TargetMode="External"/><Relationship Id="rId1016" Type="http://schemas.openxmlformats.org/officeDocument/2006/relationships/hyperlink" Target="https://1drv.ms/x/s!AkP3hbXXLtgBhpEoaTK-EAwrB6PPjQ?e=NFspu9&amp;nav=MTVfezE1M0M1OEJDLTA3MzUtNERFMC1BNzE4LTMzMUY1QjZBOEZDMH0" TargetMode="External"/><Relationship Id="rId1570" Type="http://schemas.openxmlformats.org/officeDocument/2006/relationships/hyperlink" Target="https://1drv.ms/x/s!AkP3hbXXLtgBhpEoaTK-EAwrB6PPjQ?e=hF7xUm&amp;nav=MTVfezBDOEZCN0U5LURBOEQtNEY2Qi1CNUE1LUYzQTk0NDFBRkE2NX0" TargetMode="External"/><Relationship Id="rId2414" Type="http://schemas.openxmlformats.org/officeDocument/2006/relationships/hyperlink" Target="https://1drv.ms/x/s!AkP3hbXXLtgBhpEoaTK-EAwrB6PPjQ?e=X2f9pt&amp;nav=MTVfe0M4ODI3QTVFLTgzOUMtNDk2Qy1BMThFLUNCMDYwN0JBQjM5M30" TargetMode="External"/><Relationship Id="rId2621" Type="http://schemas.openxmlformats.org/officeDocument/2006/relationships/hyperlink" Target="https://1drv.ms/x/s!AkP3hbXXLtgBhpEoaTK-EAwrB6PPjQ?e=k1JzSb&amp;nav=MTVfezlCRDVCMEI4LTNBMEItNDE5NC04RTEyLUQxQzc3N0U3MUFFQn0" TargetMode="External"/><Relationship Id="rId800" Type="http://schemas.openxmlformats.org/officeDocument/2006/relationships/hyperlink" Target="https://1drv.ms/x/s!AkP3hbXXLtgBhpEoaTK-EAwrB6PPjQ?e=zuxs7K&amp;nav=MTVfezEzQ0U5ODFBLTQxOTEtNERBOS05RDcwLTU1NDcwQ0I2MzhFNX0" TargetMode="External"/><Relationship Id="rId1223" Type="http://schemas.openxmlformats.org/officeDocument/2006/relationships/hyperlink" Target="https://1drv.ms/x/s!AkP3hbXXLtgBhpEoaTK-EAwrB6PPjQ?e=U6lTuf&amp;nav=MTVfezFEODYyODdBLUIyOTctNDdGMC04MTkyLUUzRDE3NjM5RkNFQ30" TargetMode="External"/><Relationship Id="rId1430" Type="http://schemas.openxmlformats.org/officeDocument/2006/relationships/hyperlink" Target="https://1drv.ms/x/s!AkP3hbXXLtgBhpEoaTK-EAwrB6PPjQ?e=xXe3yl&amp;nav=MTVfezM1QjlFQjFCLUIxM0MtNDQ0Ni05MzQyLUU2QjczMkYzQzJFOH0" TargetMode="External"/><Relationship Id="rId176" Type="http://schemas.openxmlformats.org/officeDocument/2006/relationships/hyperlink" Target="https://1drv.ms/x/s!AkP3hbXXLtgBhpEoaTK-EAwrB6PPjQ?e=hKKsXn&amp;nav=MTVfe0M0MzQ5RkZFLUFFMEMtNDZBOC05NDNELUU2ODg5N0JGMDU4Rn0" TargetMode="External"/><Relationship Id="rId383" Type="http://schemas.openxmlformats.org/officeDocument/2006/relationships/hyperlink" Target="https://1drv.ms/x/s!AkP3hbXXLtgBhpEoaTK-EAwrB6PPjQ?e=mvWMFP&amp;nav=MTVfe0Q0MjM2QjFDLUVBQTAtNDE3Ri1BOEVGLTQzNzNBN0FGODY4M30" TargetMode="External"/><Relationship Id="rId590" Type="http://schemas.openxmlformats.org/officeDocument/2006/relationships/hyperlink" Target="https://1drv.ms/x/s!AkP3hbXXLtgBhpEoaTK-EAwrB6PPjQ?e=xgZSuS&amp;nav=MTVfezA3RkYxMTMwLTAyQjYtNDA4RS1BMkU5LTI2MUQ0MjM2OEJGQn0" TargetMode="External"/><Relationship Id="rId2064" Type="http://schemas.openxmlformats.org/officeDocument/2006/relationships/hyperlink" Target="https://1drv.ms/x/s!AkP3hbXXLtgBhpEoaTK-EAwrB6PPjQ?e=t9ByVx&amp;nav=MTVfe0MzOTE2QzlDLTMzMEMtNEQ4NS05NjZBLTBFNzk3QjgxMEIwQn0" TargetMode="External"/><Relationship Id="rId2271" Type="http://schemas.openxmlformats.org/officeDocument/2006/relationships/hyperlink" Target="https://1drv.ms/x/s!AkP3hbXXLtgBhpEoaTK-EAwrB6PPjQ?e=vI4FNr&amp;nav=MTVfezhGQzkyMTU5LUYxNTUtNDg4MS04N0QzLTE5OTgzQjI3QTc1NH0" TargetMode="External"/><Relationship Id="rId243" Type="http://schemas.openxmlformats.org/officeDocument/2006/relationships/hyperlink" Target="https://1drv.ms/x/s!AkP3hbXXLtgBhpEoaTK-EAwrB6PPjQ?e=36Im2J&amp;nav=MTVfezg1NTdGRUM1LTczODktNDk5My1BQjA0LTkyQjFDODE4MjgxRX0" TargetMode="External"/><Relationship Id="rId450" Type="http://schemas.openxmlformats.org/officeDocument/2006/relationships/hyperlink" Target="https://1drv.ms/x/s!AkP3hbXXLtgBhpEoaTK-EAwrB6PPjQ?e=sXo522&amp;nav=MTVfe0VCNzhCQUU0LUVEQzItNDRCMC04QTFFLUZEQzA0OTNEMDkzOX0" TargetMode="External"/><Relationship Id="rId1080" Type="http://schemas.openxmlformats.org/officeDocument/2006/relationships/hyperlink" Target="https://1drv.ms/x/s!AkP3hbXXLtgBhpEoaTK-EAwrB6PPjQ?e=rYbeUy&amp;nav=MTVfe0Q1MEM2OTMzLTFBNUUtNDhCMS1CQzhCLTlGQTI2NEEzRURDRH0" TargetMode="External"/><Relationship Id="rId2131" Type="http://schemas.openxmlformats.org/officeDocument/2006/relationships/hyperlink" Target="https://1drv.ms/x/s!AkP3hbXXLtgBhpEoaTK-EAwrB6PPjQ?e=knsjIH&amp;nav=MTVfezQzQ0NBOTIyLUQ4RkItNEEzRi1BNkU5LTMwNjg2NkVBNzcyMn0" TargetMode="External"/><Relationship Id="rId103" Type="http://schemas.openxmlformats.org/officeDocument/2006/relationships/hyperlink" Target="https://1drv.ms/x/s!AkP3hbXXLtgBhpEoaTK-EAwrB6PPjQ?e=hRuig5&amp;nav=MTVfe0NCREMzODZGLTI3RDktNEI4RS05QjQ0LUUzQTc5QTQyQzY2MX0" TargetMode="External"/><Relationship Id="rId310" Type="http://schemas.openxmlformats.org/officeDocument/2006/relationships/hyperlink" Target="https://1drv.ms/x/s!AkP3hbXXLtgBhpEoaTK-EAwrB6PPjQ?e=HO6wd4&amp;nav=MTVfe0NDRThCRDRELTFCMEEtNDNFRC1BMDRDLTc1QjY0NDgwNjJBMH0" TargetMode="External"/><Relationship Id="rId1897" Type="http://schemas.openxmlformats.org/officeDocument/2006/relationships/hyperlink" Target="https://1drv.ms/x/s!AkP3hbXXLtgBhpEoaTK-EAwrB6PPjQ?e=3z9g8a&amp;nav=MTVfezBGMENERTNBLTZCQTUtNDYwRi05MDM3LUNDNDk5MDBCNUU5MX0" TargetMode="External"/><Relationship Id="rId1757" Type="http://schemas.openxmlformats.org/officeDocument/2006/relationships/hyperlink" Target="https://1drv.ms/x/s!AkP3hbXXLtgBhpEoaTK-EAwrB6PPjQ?e=S6aQgK&amp;nav=MTVfezNDQTZGMDU5LTE2MUMtNDZDQi05RTYwLTUxMTNGNkFCNTI3Qn0" TargetMode="External"/><Relationship Id="rId1964" Type="http://schemas.openxmlformats.org/officeDocument/2006/relationships/hyperlink" Target="https://1drv.ms/x/s!AkP3hbXXLtgBhpEoaTK-EAwrB6PPjQ?e=Hae5Hc&amp;nav=MTVfe0U1QUU2RDZBLTFGMkUtNENGNC04OENCLUE1MjI0OEMyNDMzNn0" TargetMode="External"/><Relationship Id="rId49" Type="http://schemas.openxmlformats.org/officeDocument/2006/relationships/hyperlink" Target="https://1drv.ms/x/s!AkP3hbXXLtgBhpEoaTK-EAwrB6PPjQ?e=AMVmTu&amp;nav=MTVfezNFMEFDQTg3LTgzOUUtNDFGNC04MkYwLUIxRjIyNTFBRDYzNX0" TargetMode="External"/><Relationship Id="rId1617" Type="http://schemas.openxmlformats.org/officeDocument/2006/relationships/hyperlink" Target="https://1drv.ms/x/s!AkP3hbXXLtgBhpEoaTK-EAwrB6PPjQ?e=hF7xUm&amp;nav=MTVfezBDOEZCN0U5LURBOEQtNEY2Qi1CNUE1LUYzQTk0NDFBRkE2NX0" TargetMode="External"/><Relationship Id="rId1824" Type="http://schemas.openxmlformats.org/officeDocument/2006/relationships/hyperlink" Target="https://1drv.ms/x/s!AkP3hbXXLtgBhpEoaTK-EAwrB6PPjQ?e=hRuig5&amp;nav=MTVfe0NCREMzODZGLTI3RDktNEI4RS05QjQ0LUUzQTc5QTQyQzY2MX0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6B57F-48A3-4A1D-95F8-5AAAECDA501F}">
  <sheetPr codeName="Planilha2">
    <tabColor rgb="FF92D050"/>
  </sheetPr>
  <dimension ref="A1:J22"/>
  <sheetViews>
    <sheetView showGridLines="0" tabSelected="1" zoomScaleNormal="100" workbookViewId="0">
      <selection activeCell="B3" sqref="B3"/>
    </sheetView>
  </sheetViews>
  <sheetFormatPr defaultColWidth="16.5703125" defaultRowHeight="23.45"/>
  <cols>
    <col min="1" max="1" width="45.28515625" style="31" bestFit="1" customWidth="1"/>
    <col min="2" max="2" width="19.85546875" customWidth="1"/>
    <col min="3" max="3" width="20" style="105" customWidth="1"/>
    <col min="4" max="4" width="17.7109375" bestFit="1" customWidth="1"/>
    <col min="5" max="5" width="4.85546875" customWidth="1"/>
    <col min="6" max="6" width="29" bestFit="1" customWidth="1"/>
    <col min="7" max="8" width="25" customWidth="1"/>
  </cols>
  <sheetData>
    <row r="1" spans="1:10" ht="25.9">
      <c r="A1" s="106" t="s">
        <v>0</v>
      </c>
      <c r="B1" s="107"/>
      <c r="C1" s="107"/>
      <c r="D1" s="108"/>
      <c r="E1" s="16"/>
      <c r="F1" s="81" t="s">
        <v>1</v>
      </c>
      <c r="G1" s="82">
        <v>0</v>
      </c>
    </row>
    <row r="2" spans="1:10">
      <c r="A2" s="44" t="s">
        <v>2</v>
      </c>
      <c r="B2" s="109">
        <v>502</v>
      </c>
      <c r="C2" s="110"/>
      <c r="D2" s="111"/>
      <c r="E2" s="16"/>
      <c r="F2" s="78" t="s">
        <v>3</v>
      </c>
      <c r="G2" s="79">
        <f>G1*8%</f>
        <v>0</v>
      </c>
      <c r="J2" t="s">
        <v>4</v>
      </c>
    </row>
    <row r="3" spans="1:10">
      <c r="A3" s="43"/>
      <c r="B3" s="43"/>
      <c r="C3" s="103"/>
      <c r="D3" s="43"/>
      <c r="E3" s="16"/>
      <c r="F3" s="78" t="s">
        <v>5</v>
      </c>
      <c r="G3" s="79">
        <f>G1*12%</f>
        <v>0</v>
      </c>
    </row>
    <row r="4" spans="1:10" ht="23.25">
      <c r="A4" s="57" t="s">
        <v>6</v>
      </c>
      <c r="B4" s="45" t="s">
        <v>7</v>
      </c>
      <c r="C4" s="104" t="s">
        <v>8</v>
      </c>
      <c r="D4" s="45" t="s">
        <v>9</v>
      </c>
      <c r="E4" s="16"/>
      <c r="F4" s="75" t="s">
        <v>10</v>
      </c>
      <c r="G4" s="80">
        <f>G1*80%</f>
        <v>0</v>
      </c>
    </row>
    <row r="5" spans="1:10" ht="18.75">
      <c r="A5" s="48" t="str" cm="1">
        <f t="array" ref="A5">_xlfn._xlws.FILTER('Notas no movimento'!B:B,'Notas no movimento'!A:A=Principal!B2,"Não Encontrado")</f>
        <v>METALURGICA KODAMA</v>
      </c>
      <c r="B5" s="60" cm="1">
        <f t="array" ref="B5">_xlfn._xlws.FILTER('Notas no movimento'!C:C,'Notas no movimento'!A:A=Principal!B2,"Não Encontrado")</f>
        <v>3055.14</v>
      </c>
      <c r="C5" s="49" cm="1">
        <f t="array" ref="C5">_xlfn._xlws.FILTER('Notas no movimento'!D:D,'Notas no movimento'!A:A=Principal!B2,"Não Encontrado")</f>
        <v>45716</v>
      </c>
      <c r="D5" s="50" t="str" cm="1">
        <f t="array" aca="1" ref="D5" ca="1">_xlfn._xlws.FILTER('Notas no movimento'!E:E,'Notas no movimento'!A:A=Principal!B2,"Não Econtrado")</f>
        <v>Em Aberto</v>
      </c>
      <c r="E5" s="16"/>
      <c r="F5" s="73"/>
      <c r="G5" s="74"/>
    </row>
    <row r="6" spans="1:10" ht="18.75">
      <c r="A6" s="51"/>
      <c r="B6" s="61"/>
      <c r="C6" s="52"/>
      <c r="D6" s="53"/>
      <c r="E6" s="58"/>
      <c r="F6" s="16"/>
    </row>
    <row r="7" spans="1:10" ht="18.75">
      <c r="A7" s="51"/>
      <c r="B7" s="61"/>
      <c r="C7" s="52"/>
      <c r="D7" s="53"/>
      <c r="E7" s="58"/>
      <c r="F7" s="16"/>
    </row>
    <row r="8" spans="1:10" ht="18.75">
      <c r="A8" s="51"/>
      <c r="B8" s="61"/>
      <c r="C8" s="52"/>
      <c r="D8" s="53"/>
      <c r="E8" s="58"/>
      <c r="F8" s="76"/>
    </row>
    <row r="9" spans="1:10" ht="18.75">
      <c r="A9" s="51"/>
      <c r="B9" s="61"/>
      <c r="C9" s="52"/>
      <c r="D9" s="53"/>
      <c r="E9" s="58"/>
      <c r="F9" s="16"/>
    </row>
    <row r="10" spans="1:10" ht="18.75">
      <c r="A10" s="51"/>
      <c r="B10" s="61"/>
      <c r="C10" s="52"/>
      <c r="D10" s="53"/>
      <c r="E10" s="58"/>
      <c r="F10" s="16"/>
      <c r="G10" s="94"/>
    </row>
    <row r="11" spans="1:10" ht="18.75">
      <c r="A11" s="51"/>
      <c r="B11" s="61"/>
      <c r="C11" s="52"/>
      <c r="D11" s="53"/>
      <c r="E11" s="58"/>
      <c r="F11" s="16"/>
    </row>
    <row r="12" spans="1:10" ht="18.75">
      <c r="A12" s="51"/>
      <c r="B12" s="61"/>
      <c r="C12" s="52"/>
      <c r="D12" s="53"/>
      <c r="E12" s="16"/>
    </row>
    <row r="13" spans="1:10" ht="18.75">
      <c r="A13" s="51"/>
      <c r="B13" s="61"/>
      <c r="C13" s="52"/>
      <c r="D13" s="53"/>
      <c r="E13" s="59"/>
    </row>
    <row r="14" spans="1:10" ht="18.75">
      <c r="A14" s="54"/>
      <c r="B14" s="62"/>
      <c r="C14" s="55"/>
      <c r="D14" s="56"/>
      <c r="E14" s="59"/>
    </row>
    <row r="15" spans="1:10" ht="23.25"/>
    <row r="20" spans="2:2" ht="23.25">
      <c r="B20" s="4"/>
    </row>
    <row r="21" spans="2:2" ht="23.25">
      <c r="B21" s="4"/>
    </row>
    <row r="22" spans="2:2" ht="23.25"/>
  </sheetData>
  <mergeCells count="2">
    <mergeCell ref="A1:D1"/>
    <mergeCell ref="B2:D2"/>
  </mergeCells>
  <conditionalFormatting sqref="C15:C1048576 C3 D4:D14">
    <cfRule type="containsText" dxfId="60" priority="5" operator="containsText" text="Enviado">
      <formula>NOT(ISERROR(SEARCH("Enviado",C3)))</formula>
    </cfRule>
  </conditionalFormatting>
  <conditionalFormatting sqref="C15:C1048576 C3 D4:D14">
    <cfRule type="containsText" dxfId="59" priority="3" operator="containsText" text="Em Aberto">
      <formula>NOT(ISERROR(SEARCH("Em Aberto",C3)))</formula>
    </cfRule>
  </conditionalFormatting>
  <conditionalFormatting sqref="C15:C1048576 C3 D4:D14">
    <cfRule type="containsText" dxfId="58" priority="2" operator="containsText" text="Vencida">
      <formula>NOT(ISERROR(SEARCH("Vencida",C3)))</formula>
    </cfRule>
  </conditionalFormatting>
  <conditionalFormatting sqref="C15:C1048576 C3 D4:D14">
    <cfRule type="containsText" dxfId="57" priority="4" operator="containsText" text="Vence Hoje">
      <formula>NOT(ISERROR(SEARCH("Vence Hoje",C3)))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F3E20-0907-4764-8E84-090C66C8D97A}">
  <sheetPr>
    <tabColor rgb="FF00B050"/>
  </sheetPr>
  <dimension ref="A1:E4"/>
  <sheetViews>
    <sheetView showGridLines="0" workbookViewId="0">
      <selection activeCell="B8" sqref="B8"/>
    </sheetView>
  </sheetViews>
  <sheetFormatPr defaultRowHeight="23.25"/>
  <cols>
    <col min="1" max="1" width="18.85546875" style="32" bestFit="1" customWidth="1"/>
    <col min="2" max="2" width="35.28515625" style="32" bestFit="1" customWidth="1"/>
    <col min="3" max="3" width="25.7109375" style="35" bestFit="1" customWidth="1"/>
    <col min="4" max="4" width="20.5703125" style="32" bestFit="1" customWidth="1"/>
    <col min="5" max="5" width="28.42578125" style="32" bestFit="1" customWidth="1"/>
  </cols>
  <sheetData>
    <row r="1" spans="1:5" ht="23.45">
      <c r="A1" s="32" t="s">
        <v>11</v>
      </c>
      <c r="B1" s="32" t="s">
        <v>12</v>
      </c>
      <c r="C1" s="35" t="s">
        <v>13</v>
      </c>
      <c r="D1" s="32" t="s">
        <v>14</v>
      </c>
      <c r="E1" s="32" t="s">
        <v>15</v>
      </c>
    </row>
    <row r="2" spans="1:5">
      <c r="A2" s="32">
        <v>16171</v>
      </c>
      <c r="B2" s="32" t="s">
        <v>16</v>
      </c>
      <c r="C2" s="35">
        <v>1758.05</v>
      </c>
      <c r="D2" s="36">
        <v>45675</v>
      </c>
      <c r="E2" s="92" t="s">
        <v>17</v>
      </c>
    </row>
    <row r="3" spans="1:5">
      <c r="A3" s="32">
        <v>19450</v>
      </c>
      <c r="B3" s="32" t="s">
        <v>18</v>
      </c>
      <c r="C3" s="35">
        <v>1590</v>
      </c>
      <c r="D3" s="36">
        <v>45676</v>
      </c>
      <c r="E3" s="92" t="s">
        <v>17</v>
      </c>
    </row>
    <row r="4" spans="1:5">
      <c r="A4" s="32">
        <v>1781</v>
      </c>
      <c r="B4" s="32" t="s">
        <v>19</v>
      </c>
      <c r="C4" s="35">
        <v>12407.46</v>
      </c>
      <c r="D4" s="36">
        <v>45677</v>
      </c>
      <c r="E4" s="32" t="s">
        <v>20</v>
      </c>
    </row>
  </sheetData>
  <conditionalFormatting sqref="E1:E1048576">
    <cfRule type="containsText" dxfId="56" priority="2" operator="containsText" text="verificar">
      <formula>NOT(ISERROR(SEARCH("verificar",E1)))</formula>
    </cfRule>
  </conditionalFormatting>
  <conditionalFormatting sqref="E1:E1048576">
    <cfRule type="containsText" dxfId="55" priority="1" operator="containsText" text="não chegou">
      <formula>NOT(ISERROR(SEARCH("não chegou",E1)))</formula>
    </cfRule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FF550F-2638-4D6F-80FF-6613110FC9BF}">
  <sheetPr codeName="Planilha4">
    <tabColor theme="4" tint="0.39997558519241921"/>
    <pageSetUpPr fitToPage="1"/>
  </sheetPr>
  <dimension ref="A1:K10313"/>
  <sheetViews>
    <sheetView showGridLines="0" zoomScaleNormal="100" workbookViewId="0">
      <pane ySplit="1" topLeftCell="A10271" activePane="bottomLeft" state="frozen"/>
      <selection pane="bottomLeft" activeCell="B10310" sqref="B10310"/>
    </sheetView>
  </sheetViews>
  <sheetFormatPr defaultColWidth="12.28515625" defaultRowHeight="18.75"/>
  <cols>
    <col min="1" max="1" width="16.28515625" style="3" bestFit="1" customWidth="1"/>
    <col min="2" max="2" width="45.28515625" style="7" bestFit="1" customWidth="1"/>
    <col min="3" max="3" width="20.28515625" style="101" bestFit="1" customWidth="1"/>
    <col min="4" max="4" width="17.42578125" style="6" bestFit="1" customWidth="1"/>
    <col min="5" max="5" width="14.28515625" style="1" bestFit="1" customWidth="1"/>
    <col min="6" max="6" width="15.7109375" style="1" bestFit="1" customWidth="1"/>
    <col min="7" max="7" width="11.140625" style="1" customWidth="1"/>
    <col min="8" max="8" width="34.5703125" bestFit="1" customWidth="1"/>
    <col min="10" max="10" width="23" customWidth="1"/>
    <col min="11" max="11" width="20.7109375" customWidth="1"/>
  </cols>
  <sheetData>
    <row r="1" spans="1:8" ht="23.25">
      <c r="A1" s="37" t="s">
        <v>21</v>
      </c>
      <c r="B1" s="30" t="s">
        <v>22</v>
      </c>
      <c r="C1" s="98" t="s">
        <v>23</v>
      </c>
      <c r="D1" s="38" t="s">
        <v>24</v>
      </c>
      <c r="E1" s="37" t="s">
        <v>9</v>
      </c>
      <c r="F1" s="30" t="s">
        <v>25</v>
      </c>
      <c r="G1" s="37" t="s">
        <v>26</v>
      </c>
      <c r="H1" s="37" t="s">
        <v>27</v>
      </c>
    </row>
    <row r="2" spans="1:8" ht="18" hidden="1">
      <c r="A2" s="3" t="s">
        <v>28</v>
      </c>
      <c r="B2" s="7" t="s">
        <v>29</v>
      </c>
      <c r="C2" s="87" t="s">
        <v>30</v>
      </c>
      <c r="D2" s="6">
        <v>45566</v>
      </c>
      <c r="E2" s="3" t="str">
        <f ca="1">IF(Tabela2[[#This Row],[Dt Venc:]]&gt;TODAY(),"Em Aberto",IF(Tabela2[[#This Row],[D/venc]]="-","Enviado",IF(Tabela2[[#This Row],[Dt Venc:]]=TODAY(),"Vence Hoje","Vencida")))</f>
        <v>Enviado</v>
      </c>
      <c r="F2" s="3" t="str">
        <f ca="1">IF(G2=1,"-",Tabela2[[#This Row],[Dt Venc:]]-TODAY())</f>
        <v>-</v>
      </c>
      <c r="G2" s="3">
        <v>1</v>
      </c>
      <c r="H2" s="3"/>
    </row>
    <row r="3" spans="1:8" ht="18" hidden="1">
      <c r="A3" s="3" t="s">
        <v>28</v>
      </c>
      <c r="B3" s="3" t="s">
        <v>31</v>
      </c>
      <c r="C3" s="83" t="s">
        <v>32</v>
      </c>
      <c r="D3" s="6">
        <v>45566</v>
      </c>
      <c r="E3" s="3" t="str">
        <f ca="1">IF(Tabela2[[#This Row],[Dt Venc:]]&gt;TODAY(),"Em Aberto",IF(Tabela2[[#This Row],[D/venc]]="-","Enviado",IF(Tabela2[[#This Row],[Dt Venc:]]=TODAY(),"Vence Hoje","Vencida")))</f>
        <v>Enviado</v>
      </c>
      <c r="F3" s="3" t="str">
        <f ca="1">IF(G3=1,"-",Tabela2[[#This Row],[Dt Venc:]]-TODAY())</f>
        <v>-</v>
      </c>
      <c r="G3" s="3">
        <v>1</v>
      </c>
      <c r="H3" s="3"/>
    </row>
    <row r="4" spans="1:8" ht="18" hidden="1">
      <c r="A4" s="3">
        <v>10545</v>
      </c>
      <c r="B4" s="7" t="s">
        <v>33</v>
      </c>
      <c r="C4" s="42">
        <v>1526.66</v>
      </c>
      <c r="D4" s="6">
        <v>45566</v>
      </c>
      <c r="E4" s="3" t="str">
        <f ca="1">IF(Tabela2[[#This Row],[Dt Venc:]]&gt;TODAY(),"Em Aberto",IF(Tabela2[[#This Row],[D/venc]]="-","Enviado",IF(Tabela2[[#This Row],[Dt Venc:]]=TODAY(),"Vence Hoje","Vencida")))</f>
        <v>Enviado</v>
      </c>
      <c r="F4" s="3" t="str">
        <f ca="1">IF(G4=1,"-",Tabela2[[#This Row],[Dt Venc:]]-TODAY())</f>
        <v>-</v>
      </c>
      <c r="G4" s="3">
        <v>1</v>
      </c>
      <c r="H4" s="3"/>
    </row>
    <row r="5" spans="1:8" ht="18" hidden="1">
      <c r="A5" s="3">
        <v>10548</v>
      </c>
      <c r="B5" s="7" t="s">
        <v>33</v>
      </c>
      <c r="C5" s="42">
        <v>800</v>
      </c>
      <c r="D5" s="6">
        <v>45566</v>
      </c>
      <c r="E5" s="3" t="str">
        <f ca="1">IF(Tabela2[[#This Row],[Dt Venc:]]&gt;TODAY(),"Em Aberto",IF(Tabela2[[#This Row],[D/venc]]="-","Enviado",IF(Tabela2[[#This Row],[Dt Venc:]]=TODAY(),"Vence Hoje","Vencida")))</f>
        <v>Enviado</v>
      </c>
      <c r="F5" s="3" t="str">
        <f ca="1">IF(G5=1,"-",Tabela2[[#This Row],[Dt Venc:]]-TODAY())</f>
        <v>-</v>
      </c>
      <c r="G5" s="3">
        <v>1</v>
      </c>
      <c r="H5" s="3"/>
    </row>
    <row r="6" spans="1:8" ht="18" hidden="1">
      <c r="A6" s="3">
        <v>456525</v>
      </c>
      <c r="B6" s="7" t="s">
        <v>34</v>
      </c>
      <c r="C6" s="42">
        <v>1595.84</v>
      </c>
      <c r="D6" s="6">
        <v>45566</v>
      </c>
      <c r="E6" s="3" t="str">
        <f ca="1">IF(Tabela2[[#This Row],[Dt Venc:]]&gt;TODAY(),"Em Aberto",IF(Tabela2[[#This Row],[D/venc]]="-","Enviado",IF(Tabela2[[#This Row],[Dt Venc:]]=TODAY(),"Vence Hoje","Vencida")))</f>
        <v>Enviado</v>
      </c>
      <c r="F6" s="3" t="str">
        <f ca="1">IF(G6=1,"-",Tabela2[[#This Row],[Dt Venc:]]-TODAY())</f>
        <v>-</v>
      </c>
      <c r="G6" s="3">
        <v>1</v>
      </c>
      <c r="H6" s="3"/>
    </row>
    <row r="7" spans="1:8" ht="18" hidden="1">
      <c r="A7" s="3">
        <v>52845</v>
      </c>
      <c r="B7" s="7" t="s">
        <v>35</v>
      </c>
      <c r="C7" s="42">
        <v>499.16</v>
      </c>
      <c r="D7" s="6">
        <v>45566</v>
      </c>
      <c r="E7" s="3" t="str">
        <f ca="1">IF(Tabela2[[#This Row],[Dt Venc:]]&gt;TODAY(),"Em Aberto",IF(Tabela2[[#This Row],[D/venc]]="-","Enviado",IF(Tabela2[[#This Row],[Dt Venc:]]=TODAY(),"Vence Hoje","Vencida")))</f>
        <v>Enviado</v>
      </c>
      <c r="F7" s="3" t="str">
        <f ca="1">IF(G7=1,"-",Tabela2[[#This Row],[Dt Venc:]]-TODAY())</f>
        <v>-</v>
      </c>
      <c r="G7" s="3">
        <v>1</v>
      </c>
      <c r="H7" s="3"/>
    </row>
    <row r="8" spans="1:8" ht="18" hidden="1">
      <c r="A8" s="3">
        <v>251679</v>
      </c>
      <c r="B8" s="7" t="s">
        <v>36</v>
      </c>
      <c r="C8" s="42">
        <v>2204.7800000000002</v>
      </c>
      <c r="D8" s="6">
        <v>45566</v>
      </c>
      <c r="E8" s="3" t="str">
        <f ca="1">IF(Tabela2[[#This Row],[Dt Venc:]]&gt;TODAY(),"Em Aberto",IF(Tabela2[[#This Row],[D/venc]]="-","Enviado",IF(Tabela2[[#This Row],[Dt Venc:]]=TODAY(),"Vence Hoje","Vencida")))</f>
        <v>Enviado</v>
      </c>
      <c r="F8" s="3" t="str">
        <f ca="1">IF(G8=1,"-",Tabela2[[#This Row],[Dt Venc:]]-TODAY())</f>
        <v>-</v>
      </c>
      <c r="G8" s="3">
        <v>1</v>
      </c>
      <c r="H8" s="3"/>
    </row>
    <row r="9" spans="1:8" ht="18" hidden="1">
      <c r="A9" s="3">
        <v>254033</v>
      </c>
      <c r="B9" s="7" t="s">
        <v>37</v>
      </c>
      <c r="C9" s="42">
        <v>1393.34</v>
      </c>
      <c r="D9" s="6">
        <v>45566</v>
      </c>
      <c r="E9" s="3" t="str">
        <f ca="1">IF(Tabela2[[#This Row],[Dt Venc:]]&gt;TODAY(),"Em Aberto",IF(Tabela2[[#This Row],[D/venc]]="-","Enviado",IF(Tabela2[[#This Row],[Dt Venc:]]=TODAY(),"Vence Hoje","Vencida")))</f>
        <v>Enviado</v>
      </c>
      <c r="F9" s="3" t="str">
        <f ca="1">IF(G9=1,"-",Tabela2[[#This Row],[Dt Venc:]]-TODAY())</f>
        <v>-</v>
      </c>
      <c r="G9" s="3">
        <v>1</v>
      </c>
      <c r="H9" s="3"/>
    </row>
    <row r="10" spans="1:8" ht="18" hidden="1">
      <c r="A10" s="3">
        <v>21743</v>
      </c>
      <c r="B10" s="7" t="s">
        <v>38</v>
      </c>
      <c r="C10" s="42">
        <v>1554</v>
      </c>
      <c r="D10" s="6">
        <v>45566</v>
      </c>
      <c r="E10" s="3" t="str">
        <f ca="1">IF(Tabela2[[#This Row],[Dt Venc:]]&gt;TODAY(),"Em Aberto",IF(Tabela2[[#This Row],[D/venc]]="-","Enviado",IF(Tabela2[[#This Row],[Dt Venc:]]=TODAY(),"Vence Hoje","Vencida")))</f>
        <v>Enviado</v>
      </c>
      <c r="F10" s="3" t="str">
        <f ca="1">IF(G10=1,"-",Tabela2[[#This Row],[Dt Venc:]]-TODAY())</f>
        <v>-</v>
      </c>
      <c r="G10" s="3">
        <v>1</v>
      </c>
      <c r="H10" s="3"/>
    </row>
    <row r="11" spans="1:8" ht="18" hidden="1">
      <c r="A11" s="3">
        <v>22177</v>
      </c>
      <c r="B11" s="7" t="s">
        <v>38</v>
      </c>
      <c r="C11" s="42">
        <v>1559.67</v>
      </c>
      <c r="D11" s="6">
        <v>45566</v>
      </c>
      <c r="E11" s="3" t="str">
        <f ca="1">IF(Tabela2[[#This Row],[Dt Venc:]]&gt;TODAY(),"Em Aberto",IF(Tabela2[[#This Row],[D/venc]]="-","Enviado",IF(Tabela2[[#This Row],[Dt Venc:]]=TODAY(),"Vence Hoje","Vencida")))</f>
        <v>Enviado</v>
      </c>
      <c r="F11" s="3" t="str">
        <f ca="1">IF(G11=1,"-",Tabela2[[#This Row],[Dt Venc:]]-TODAY())</f>
        <v>-</v>
      </c>
      <c r="G11" s="3">
        <v>1</v>
      </c>
      <c r="H11" s="3"/>
    </row>
    <row r="12" spans="1:8" ht="18" hidden="1">
      <c r="A12" s="3">
        <v>80557</v>
      </c>
      <c r="B12" s="7" t="s">
        <v>39</v>
      </c>
      <c r="C12" s="42">
        <v>478.28</v>
      </c>
      <c r="D12" s="6">
        <v>45566</v>
      </c>
      <c r="E12" s="3" t="str">
        <f ca="1">IF(Tabela2[[#This Row],[Dt Venc:]]&gt;TODAY(),"Em Aberto",IF(Tabela2[[#This Row],[D/venc]]="-","Enviado",IF(Tabela2[[#This Row],[Dt Venc:]]=TODAY(),"Vence Hoje","Vencida")))</f>
        <v>Enviado</v>
      </c>
      <c r="F12" s="3" t="str">
        <f ca="1">IF(G12=1,"-",Tabela2[[#This Row],[Dt Venc:]]-TODAY())</f>
        <v>-</v>
      </c>
      <c r="G12" s="3">
        <v>1</v>
      </c>
      <c r="H12" s="3"/>
    </row>
    <row r="13" spans="1:8" ht="18" hidden="1">
      <c r="A13" s="3">
        <v>80558</v>
      </c>
      <c r="B13" s="7" t="s">
        <v>39</v>
      </c>
      <c r="C13" s="42">
        <v>587.33000000000004</v>
      </c>
      <c r="D13" s="6">
        <v>45566</v>
      </c>
      <c r="E13" s="3" t="str">
        <f ca="1">IF(Tabela2[[#This Row],[Dt Venc:]]&gt;TODAY(),"Em Aberto",IF(Tabela2[[#This Row],[D/venc]]="-","Enviado",IF(Tabela2[[#This Row],[Dt Venc:]]=TODAY(),"Vence Hoje","Vencida")))</f>
        <v>Enviado</v>
      </c>
      <c r="F13" s="3" t="str">
        <f ca="1">IF(G13=1,"-",Tabela2[[#This Row],[Dt Venc:]]-TODAY())</f>
        <v>-</v>
      </c>
      <c r="G13" s="3">
        <v>1</v>
      </c>
      <c r="H13" s="3"/>
    </row>
    <row r="14" spans="1:8" ht="18" hidden="1">
      <c r="A14" s="3">
        <v>359526</v>
      </c>
      <c r="B14" s="7" t="s">
        <v>39</v>
      </c>
      <c r="C14" s="42">
        <v>1176.6500000000001</v>
      </c>
      <c r="D14" s="6">
        <v>45566</v>
      </c>
      <c r="E14" s="3" t="str">
        <f ca="1">IF(Tabela2[[#This Row],[Dt Venc:]]&gt;TODAY(),"Em Aberto",IF(Tabela2[[#This Row],[D/venc]]="-","Enviado",IF(Tabela2[[#This Row],[Dt Venc:]]=TODAY(),"Vence Hoje","Vencida")))</f>
        <v>Enviado</v>
      </c>
      <c r="F14" s="3" t="str">
        <f ca="1">IF(G14=1,"-",Tabela2[[#This Row],[Dt Venc:]]-TODAY())</f>
        <v>-</v>
      </c>
      <c r="G14" s="3">
        <v>1</v>
      </c>
      <c r="H14" s="3"/>
    </row>
    <row r="15" spans="1:8" ht="18" hidden="1">
      <c r="A15" s="3">
        <v>364440</v>
      </c>
      <c r="B15" s="7" t="s">
        <v>39</v>
      </c>
      <c r="C15" s="42">
        <v>291.72000000000003</v>
      </c>
      <c r="D15" s="6">
        <v>45566</v>
      </c>
      <c r="E15" s="3" t="str">
        <f ca="1">IF(Tabela2[[#This Row],[Dt Venc:]]&gt;TODAY(),"Em Aberto",IF(Tabela2[[#This Row],[D/venc]]="-","Enviado",IF(Tabela2[[#This Row],[Dt Venc:]]=TODAY(),"Vence Hoje","Vencida")))</f>
        <v>Enviado</v>
      </c>
      <c r="F15" s="3" t="str">
        <f ca="1">IF(G15=1,"-",Tabela2[[#This Row],[Dt Venc:]]-TODAY())</f>
        <v>-</v>
      </c>
      <c r="G15" s="3">
        <v>1</v>
      </c>
      <c r="H15" s="3"/>
    </row>
    <row r="16" spans="1:8" ht="18" hidden="1">
      <c r="A16" s="3">
        <v>364446</v>
      </c>
      <c r="B16" s="7" t="s">
        <v>39</v>
      </c>
      <c r="C16" s="42">
        <v>290.41000000000003</v>
      </c>
      <c r="D16" s="6">
        <v>45566</v>
      </c>
      <c r="E16" s="3" t="str">
        <f ca="1">IF(Tabela2[[#This Row],[Dt Venc:]]&gt;TODAY(),"Em Aberto",IF(Tabela2[[#This Row],[D/venc]]="-","Enviado",IF(Tabela2[[#This Row],[Dt Venc:]]=TODAY(),"Vence Hoje","Vencida")))</f>
        <v>Enviado</v>
      </c>
      <c r="F16" s="3" t="str">
        <f ca="1">IF(G16=1,"-",Tabela2[[#This Row],[Dt Venc:]]-TODAY())</f>
        <v>-</v>
      </c>
      <c r="G16" s="3">
        <v>1</v>
      </c>
      <c r="H16" s="3"/>
    </row>
    <row r="17" spans="1:8" ht="18" hidden="1">
      <c r="A17" s="3">
        <v>21337</v>
      </c>
      <c r="B17" s="7" t="s">
        <v>40</v>
      </c>
      <c r="C17" s="42">
        <v>7933.34</v>
      </c>
      <c r="D17" s="6">
        <v>45566</v>
      </c>
      <c r="E17" s="3" t="str">
        <f ca="1">IF(Tabela2[[#This Row],[Dt Venc:]]&gt;TODAY(),"Em Aberto",IF(Tabela2[[#This Row],[D/venc]]="-","Enviado",IF(Tabela2[[#This Row],[Dt Venc:]]=TODAY(),"Vence Hoje","Vencida")))</f>
        <v>Enviado</v>
      </c>
      <c r="F17" s="3" t="str">
        <f ca="1">IF(G17=1,"-",Tabela2[[#This Row],[Dt Venc:]]-TODAY())</f>
        <v>-</v>
      </c>
      <c r="G17" s="3">
        <v>1</v>
      </c>
      <c r="H17" s="3"/>
    </row>
    <row r="18" spans="1:8" ht="18" hidden="1">
      <c r="A18" s="3">
        <v>19121</v>
      </c>
      <c r="B18" s="7" t="s">
        <v>41</v>
      </c>
      <c r="C18" s="42">
        <v>466.66</v>
      </c>
      <c r="D18" s="6">
        <v>45566</v>
      </c>
      <c r="E18" s="3" t="str">
        <f ca="1">IF(Tabela2[[#This Row],[Dt Venc:]]&gt;TODAY(),"Em Aberto",IF(Tabela2[[#This Row],[D/venc]]="-","Enviado",IF(Tabela2[[#This Row],[Dt Venc:]]=TODAY(),"Vence Hoje","Vencida")))</f>
        <v>Enviado</v>
      </c>
      <c r="F18" s="3" t="str">
        <f ca="1">IF(G18=1,"-",Tabela2[[#This Row],[Dt Venc:]]-TODAY())</f>
        <v>-</v>
      </c>
      <c r="G18" s="3">
        <v>1</v>
      </c>
      <c r="H18" s="3"/>
    </row>
    <row r="19" spans="1:8" ht="18" hidden="1">
      <c r="A19" s="3">
        <v>179321</v>
      </c>
      <c r="B19" s="7" t="s">
        <v>42</v>
      </c>
      <c r="C19" s="42">
        <v>542.38</v>
      </c>
      <c r="D19" s="6">
        <v>45566</v>
      </c>
      <c r="E19" s="3" t="str">
        <f ca="1">IF(Tabela2[[#This Row],[Dt Venc:]]&gt;TODAY(),"Em Aberto",IF(Tabela2[[#This Row],[D/venc]]="-","Enviado",IF(Tabela2[[#This Row],[Dt Venc:]]=TODAY(),"Vence Hoje","Vencida")))</f>
        <v>Enviado</v>
      </c>
      <c r="F19" s="3" t="str">
        <f ca="1">IF(G19=1,"-",Tabela2[[#This Row],[Dt Venc:]]-TODAY())</f>
        <v>-</v>
      </c>
      <c r="G19" s="3">
        <v>1</v>
      </c>
      <c r="H19" s="3"/>
    </row>
    <row r="20" spans="1:8" ht="18" hidden="1">
      <c r="A20" s="3">
        <v>187259</v>
      </c>
      <c r="B20" s="7" t="s">
        <v>43</v>
      </c>
      <c r="C20" s="42">
        <v>1055.1099999999999</v>
      </c>
      <c r="D20" s="6">
        <v>45566</v>
      </c>
      <c r="E20" s="3" t="str">
        <f ca="1">IF(Tabela2[[#This Row],[Dt Venc:]]&gt;TODAY(),"Em Aberto",IF(Tabela2[[#This Row],[D/venc]]="-","Enviado",IF(Tabela2[[#This Row],[Dt Venc:]]=TODAY(),"Vence Hoje","Vencida")))</f>
        <v>Enviado</v>
      </c>
      <c r="F20" s="3" t="str">
        <f ca="1">IF(G20=1,"-",Tabela2[[#This Row],[Dt Venc:]]-TODAY())</f>
        <v>-</v>
      </c>
      <c r="G20" s="3">
        <v>1</v>
      </c>
      <c r="H20" s="3"/>
    </row>
    <row r="21" spans="1:8" ht="18" hidden="1">
      <c r="A21" s="3">
        <v>205472</v>
      </c>
      <c r="B21" s="7" t="s">
        <v>43</v>
      </c>
      <c r="C21" s="42">
        <v>751.44</v>
      </c>
      <c r="D21" s="6">
        <v>45566</v>
      </c>
      <c r="E21" s="3" t="str">
        <f ca="1">IF(Tabela2[[#This Row],[Dt Venc:]]&gt;TODAY(),"Em Aberto",IF(Tabela2[[#This Row],[D/venc]]="-","Enviado",IF(Tabela2[[#This Row],[Dt Venc:]]=TODAY(),"Vence Hoje","Vencida")))</f>
        <v>Enviado</v>
      </c>
      <c r="F21" s="3" t="str">
        <f ca="1">IF(G21=1,"-",Tabela2[[#This Row],[Dt Venc:]]-TODAY())</f>
        <v>-</v>
      </c>
      <c r="G21" s="3">
        <v>1</v>
      </c>
      <c r="H21" s="3"/>
    </row>
    <row r="22" spans="1:8" ht="18" hidden="1">
      <c r="A22" s="3">
        <v>1788096</v>
      </c>
      <c r="B22" s="7" t="s">
        <v>43</v>
      </c>
      <c r="C22" s="42">
        <v>660</v>
      </c>
      <c r="D22" s="6">
        <v>45566</v>
      </c>
      <c r="E22" s="3" t="str">
        <f ca="1">IF(Tabela2[[#This Row],[Dt Venc:]]&gt;TODAY(),"Em Aberto",IF(Tabela2[[#This Row],[D/venc]]="-","Enviado",IF(Tabela2[[#This Row],[Dt Venc:]]=TODAY(),"Vence Hoje","Vencida")))</f>
        <v>Enviado</v>
      </c>
      <c r="F22" s="3" t="str">
        <f ca="1">IF(G22=1,"-",Tabela2[[#This Row],[Dt Venc:]]-TODAY())</f>
        <v>-</v>
      </c>
      <c r="G22" s="3">
        <v>1</v>
      </c>
      <c r="H22" s="3"/>
    </row>
    <row r="23" spans="1:8" ht="18" hidden="1">
      <c r="A23" s="3">
        <v>15119</v>
      </c>
      <c r="B23" s="7" t="s">
        <v>44</v>
      </c>
      <c r="C23" s="42">
        <v>850</v>
      </c>
      <c r="D23" s="6">
        <v>45566</v>
      </c>
      <c r="E23" s="3" t="str">
        <f ca="1">IF(Tabela2[[#This Row],[Dt Venc:]]&gt;TODAY(),"Em Aberto",IF(Tabela2[[#This Row],[D/venc]]="-","Enviado",IF(Tabela2[[#This Row],[Dt Venc:]]=TODAY(),"Vence Hoje","Vencida")))</f>
        <v>Enviado</v>
      </c>
      <c r="F23" s="3" t="str">
        <f ca="1">IF(G23=1,"-",Tabela2[[#This Row],[Dt Venc:]]-TODAY())</f>
        <v>-</v>
      </c>
      <c r="G23" s="3">
        <v>1</v>
      </c>
      <c r="H23" s="3"/>
    </row>
    <row r="24" spans="1:8" ht="18" hidden="1">
      <c r="A24" s="3">
        <v>2203</v>
      </c>
      <c r="B24" s="7" t="s">
        <v>45</v>
      </c>
      <c r="C24" s="42">
        <v>420</v>
      </c>
      <c r="D24" s="6">
        <v>45566</v>
      </c>
      <c r="E24" s="3" t="str">
        <f ca="1">IF(Tabela2[[#This Row],[Dt Venc:]]&gt;TODAY(),"Em Aberto",IF(Tabela2[[#This Row],[D/venc]]="-","Enviado",IF(Tabela2[[#This Row],[Dt Venc:]]=TODAY(),"Vence Hoje","Vencida")))</f>
        <v>Enviado</v>
      </c>
      <c r="F24" s="3" t="str">
        <f ca="1">IF(G24=1,"-",Tabela2[[#This Row],[Dt Venc:]]-TODAY())</f>
        <v>-</v>
      </c>
      <c r="G24" s="3">
        <v>1</v>
      </c>
      <c r="H24" s="3"/>
    </row>
    <row r="25" spans="1:8" ht="18" hidden="1">
      <c r="A25" s="3">
        <v>2177</v>
      </c>
      <c r="B25" s="7" t="s">
        <v>46</v>
      </c>
      <c r="C25" s="42">
        <v>565</v>
      </c>
      <c r="D25" s="6">
        <v>45566</v>
      </c>
      <c r="E25" s="3" t="str">
        <f ca="1">IF(Tabela2[[#This Row],[Dt Venc:]]&gt;TODAY(),"Em Aberto",IF(Tabela2[[#This Row],[D/venc]]="-","Enviado",IF(Tabela2[[#This Row],[Dt Venc:]]=TODAY(),"Vence Hoje","Vencida")))</f>
        <v>Enviado</v>
      </c>
      <c r="F25" s="3" t="str">
        <f ca="1">IF(G25=1,"-",Tabela2[[#This Row],[Dt Venc:]]-TODAY())</f>
        <v>-</v>
      </c>
      <c r="G25" s="3">
        <v>1</v>
      </c>
      <c r="H25" s="3"/>
    </row>
    <row r="26" spans="1:8" ht="18" hidden="1">
      <c r="A26" s="3">
        <v>2179</v>
      </c>
      <c r="B26" s="7" t="s">
        <v>46</v>
      </c>
      <c r="C26" s="42">
        <v>594</v>
      </c>
      <c r="D26" s="6">
        <v>45566</v>
      </c>
      <c r="E26" s="3" t="str">
        <f ca="1">IF(Tabela2[[#This Row],[Dt Venc:]]&gt;TODAY(),"Em Aberto",IF(Tabela2[[#This Row],[D/venc]]="-","Enviado",IF(Tabela2[[#This Row],[Dt Venc:]]=TODAY(),"Vence Hoje","Vencida")))</f>
        <v>Enviado</v>
      </c>
      <c r="F26" s="3" t="str">
        <f ca="1">IF(G26=1,"-",Tabela2[[#This Row],[Dt Venc:]]-TODAY())</f>
        <v>-</v>
      </c>
      <c r="G26" s="3">
        <v>1</v>
      </c>
      <c r="H26" s="3"/>
    </row>
    <row r="27" spans="1:8" ht="18" hidden="1">
      <c r="A27" s="3">
        <v>5687</v>
      </c>
      <c r="B27" s="7" t="s">
        <v>47</v>
      </c>
      <c r="C27" s="42">
        <v>1096.29</v>
      </c>
      <c r="D27" s="6">
        <v>45566</v>
      </c>
      <c r="E27" s="3" t="str">
        <f ca="1">IF(Tabela2[[#This Row],[Dt Venc:]]&gt;TODAY(),"Em Aberto",IF(Tabela2[[#This Row],[D/venc]]="-","Enviado",IF(Tabela2[[#This Row],[Dt Venc:]]=TODAY(),"Vence Hoje","Vencida")))</f>
        <v>Enviado</v>
      </c>
      <c r="F27" s="3" t="str">
        <f ca="1">IF(G27=1,"-",Tabela2[[#This Row],[Dt Venc:]]-TODAY())</f>
        <v>-</v>
      </c>
      <c r="G27" s="3">
        <v>1</v>
      </c>
      <c r="H27" s="3"/>
    </row>
    <row r="28" spans="1:8" ht="18" hidden="1">
      <c r="A28" s="3">
        <v>88974</v>
      </c>
      <c r="B28" s="7" t="s">
        <v>48</v>
      </c>
      <c r="C28" s="42">
        <v>1028.6199999999999</v>
      </c>
      <c r="D28" s="6">
        <v>45566</v>
      </c>
      <c r="E28" s="3" t="str">
        <f ca="1">IF(Tabela2[[#This Row],[Dt Venc:]]&gt;TODAY(),"Em Aberto",IF(Tabela2[[#This Row],[D/venc]]="-","Enviado",IF(Tabela2[[#This Row],[Dt Venc:]]=TODAY(),"Vence Hoje","Vencida")))</f>
        <v>Enviado</v>
      </c>
      <c r="F28" s="3" t="str">
        <f ca="1">IF(G28=1,"-",Tabela2[[#This Row],[Dt Venc:]]-TODAY())</f>
        <v>-</v>
      </c>
      <c r="G28" s="3">
        <v>1</v>
      </c>
      <c r="H28" s="3"/>
    </row>
    <row r="29" spans="1:8" ht="18" hidden="1">
      <c r="A29" s="3">
        <v>254336</v>
      </c>
      <c r="B29" s="7" t="s">
        <v>49</v>
      </c>
      <c r="C29" s="41">
        <v>1045</v>
      </c>
      <c r="D29" s="6">
        <v>45566</v>
      </c>
      <c r="E29" s="3" t="str">
        <f ca="1">IF(Tabela2[[#This Row],[Dt Venc:]]&gt;TODAY(),"Em Aberto",IF(Tabela2[[#This Row],[D/venc]]="-","Enviado",IF(Tabela2[[#This Row],[Dt Venc:]]=TODAY(),"Vence Hoje","Vencida")))</f>
        <v>Enviado</v>
      </c>
      <c r="F29" s="3" t="str">
        <f ca="1">IF(G29=1,"-",Tabela2[[#This Row],[Dt Venc:]]-TODAY())</f>
        <v>-</v>
      </c>
      <c r="G29" s="3">
        <v>1</v>
      </c>
      <c r="H29" s="3"/>
    </row>
    <row r="30" spans="1:8" ht="18" hidden="1">
      <c r="A30" s="3">
        <v>982</v>
      </c>
      <c r="B30" s="7" t="s">
        <v>50</v>
      </c>
      <c r="C30" s="41">
        <v>17402</v>
      </c>
      <c r="D30" s="6">
        <v>45566</v>
      </c>
      <c r="E30" s="3" t="str">
        <f ca="1">IF(Tabela2[[#This Row],[Dt Venc:]]&gt;TODAY(),"Em Aberto",IF(Tabela2[[#This Row],[D/venc]]="-","Enviado",IF(Tabela2[[#This Row],[Dt Venc:]]=TODAY(),"Vence Hoje","Vencida")))</f>
        <v>Enviado</v>
      </c>
      <c r="F30" s="3" t="str">
        <f ca="1">IF(G30=1,"-",Tabela2[[#This Row],[Dt Venc:]]-TODAY())</f>
        <v>-</v>
      </c>
      <c r="G30" s="3">
        <v>1</v>
      </c>
      <c r="H30" s="3"/>
    </row>
    <row r="31" spans="1:8" ht="18" hidden="1">
      <c r="A31" s="3">
        <v>14057</v>
      </c>
      <c r="B31" s="7" t="s">
        <v>51</v>
      </c>
      <c r="C31" s="41">
        <v>720</v>
      </c>
      <c r="D31" s="6">
        <v>45566</v>
      </c>
      <c r="E31" s="3" t="str">
        <f ca="1">IF(Tabela2[[#This Row],[Dt Venc:]]&gt;TODAY(),"Em Aberto",IF(Tabela2[[#This Row],[D/venc]]="-","Enviado",IF(Tabela2[[#This Row],[Dt Venc:]]=TODAY(),"Vence Hoje","Vencida")))</f>
        <v>Enviado</v>
      </c>
      <c r="F31" s="3" t="str">
        <f ca="1">IF(G31=1,"-",Tabela2[[#This Row],[Dt Venc:]]-TODAY())</f>
        <v>-</v>
      </c>
      <c r="G31" s="3">
        <v>1</v>
      </c>
      <c r="H31" s="3"/>
    </row>
    <row r="32" spans="1:8" ht="18" hidden="1">
      <c r="A32" s="3">
        <v>1444</v>
      </c>
      <c r="B32" s="7" t="s">
        <v>52</v>
      </c>
      <c r="C32" s="41">
        <v>852.52</v>
      </c>
      <c r="D32" s="6">
        <v>45566</v>
      </c>
      <c r="E32" s="3" t="str">
        <f ca="1">IF(Tabela2[[#This Row],[Dt Venc:]]&gt;TODAY(),"Em Aberto",IF(Tabela2[[#This Row],[D/venc]]="-","Enviado",IF(Tabela2[[#This Row],[Dt Venc:]]=TODAY(),"Vence Hoje","Vencida")))</f>
        <v>Enviado</v>
      </c>
      <c r="F32" s="3" t="str">
        <f ca="1">IF(G32=1,"-",Tabela2[[#This Row],[Dt Venc:]]-TODAY())</f>
        <v>-</v>
      </c>
      <c r="G32" s="3">
        <v>1</v>
      </c>
      <c r="H32" s="3"/>
    </row>
    <row r="33" spans="1:8" ht="18" hidden="1">
      <c r="A33" s="3">
        <v>254643</v>
      </c>
      <c r="B33" s="7" t="s">
        <v>49</v>
      </c>
      <c r="C33" s="41">
        <v>1045</v>
      </c>
      <c r="D33" s="6">
        <v>45566</v>
      </c>
      <c r="E33" s="3" t="str">
        <f ca="1">IF(Tabela2[[#This Row],[Dt Venc:]]&gt;TODAY(),"Em Aberto",IF(Tabela2[[#This Row],[D/venc]]="-","Enviado",IF(Tabela2[[#This Row],[Dt Venc:]]=TODAY(),"Vence Hoje","Vencida")))</f>
        <v>Enviado</v>
      </c>
      <c r="F33" s="3" t="str">
        <f ca="1">IF(G33=1,"-",Tabela2[[#This Row],[Dt Venc:]]-TODAY())</f>
        <v>-</v>
      </c>
      <c r="G33" s="3">
        <v>1</v>
      </c>
      <c r="H33" s="3"/>
    </row>
    <row r="34" spans="1:8" ht="18" hidden="1">
      <c r="A34" s="3">
        <v>300541</v>
      </c>
      <c r="B34" s="7" t="s">
        <v>53</v>
      </c>
      <c r="C34" s="41">
        <v>1715.02</v>
      </c>
      <c r="D34" s="6">
        <v>45566</v>
      </c>
      <c r="E34" s="3" t="str">
        <f ca="1">IF(Tabela2[[#This Row],[Dt Venc:]]&gt;TODAY(),"Em Aberto",IF(Tabela2[[#This Row],[D/venc]]="-","Enviado",IF(Tabela2[[#This Row],[Dt Venc:]]=TODAY(),"Vence Hoje","Vencida")))</f>
        <v>Enviado</v>
      </c>
      <c r="F34" s="3" t="str">
        <f ca="1">IF(G34=1,"-",Tabela2[[#This Row],[Dt Venc:]]-TODAY())</f>
        <v>-</v>
      </c>
      <c r="G34" s="3">
        <v>1</v>
      </c>
      <c r="H34" s="3"/>
    </row>
    <row r="35" spans="1:8" ht="18" hidden="1">
      <c r="A35" s="3">
        <v>7275</v>
      </c>
      <c r="B35" s="7" t="s">
        <v>54</v>
      </c>
      <c r="C35" s="41">
        <v>420</v>
      </c>
      <c r="D35" s="6">
        <v>45566</v>
      </c>
      <c r="E35" s="3" t="str">
        <f ca="1">IF(Tabela2[[#This Row],[Dt Venc:]]&gt;TODAY(),"Em Aberto",IF(Tabela2[[#This Row],[D/venc]]="-","Enviado",IF(Tabela2[[#This Row],[Dt Venc:]]=TODAY(),"Vence Hoje","Vencida")))</f>
        <v>Enviado</v>
      </c>
      <c r="F35" s="3" t="str">
        <f ca="1">IF(G35=1,"-",Tabela2[[#This Row],[Dt Venc:]]-TODAY())</f>
        <v>-</v>
      </c>
      <c r="G35" s="3">
        <v>1</v>
      </c>
      <c r="H35" s="3"/>
    </row>
    <row r="36" spans="1:8" ht="18" hidden="1">
      <c r="A36" s="3">
        <v>229909</v>
      </c>
      <c r="B36" s="7" t="s">
        <v>55</v>
      </c>
      <c r="C36" s="41">
        <v>826.67</v>
      </c>
      <c r="D36" s="6">
        <v>45566</v>
      </c>
      <c r="E36" s="3" t="str">
        <f ca="1">IF(Tabela2[[#This Row],[Dt Venc:]]&gt;TODAY(),"Em Aberto",IF(Tabela2[[#This Row],[D/venc]]="-","Enviado",IF(Tabela2[[#This Row],[Dt Venc:]]=TODAY(),"Vence Hoje","Vencida")))</f>
        <v>Enviado</v>
      </c>
      <c r="F36" s="3" t="str">
        <f ca="1">IF(G36=1,"-",Tabela2[[#This Row],[Dt Venc:]]-TODAY())</f>
        <v>-</v>
      </c>
      <c r="G36" s="3">
        <v>1</v>
      </c>
      <c r="H36" s="3"/>
    </row>
    <row r="37" spans="1:8" ht="18" hidden="1">
      <c r="A37" s="3">
        <v>606061</v>
      </c>
      <c r="B37" s="7" t="s">
        <v>56</v>
      </c>
      <c r="C37" s="41">
        <v>996.08</v>
      </c>
      <c r="D37" s="6">
        <v>45566</v>
      </c>
      <c r="E37" s="3" t="str">
        <f ca="1">IF(Tabela2[[#This Row],[Dt Venc:]]&gt;TODAY(),"Em Aberto",IF(Tabela2[[#This Row],[D/venc]]="-","Enviado",IF(Tabela2[[#This Row],[Dt Venc:]]=TODAY(),"Vence Hoje","Vencida")))</f>
        <v>Enviado</v>
      </c>
      <c r="F37" s="3" t="str">
        <f ca="1">IF(G37=1,"-",Tabela2[[#This Row],[Dt Venc:]]-TODAY())</f>
        <v>-</v>
      </c>
      <c r="G37" s="3">
        <v>1</v>
      </c>
      <c r="H37" s="3"/>
    </row>
    <row r="38" spans="1:8" ht="18" hidden="1">
      <c r="A38" s="3">
        <v>32955</v>
      </c>
      <c r="B38" s="7" t="s">
        <v>57</v>
      </c>
      <c r="C38" s="41">
        <v>450</v>
      </c>
      <c r="D38" s="6">
        <v>45566</v>
      </c>
      <c r="E38" s="3" t="str">
        <f ca="1">IF(Tabela2[[#This Row],[Dt Venc:]]&gt;TODAY(),"Em Aberto",IF(Tabela2[[#This Row],[D/venc]]="-","Enviado",IF(Tabela2[[#This Row],[Dt Venc:]]=TODAY(),"Vence Hoje","Vencida")))</f>
        <v>Enviado</v>
      </c>
      <c r="F38" s="3" t="str">
        <f ca="1">IF(G38=1,"-",Tabela2[[#This Row],[Dt Venc:]]-TODAY())</f>
        <v>-</v>
      </c>
      <c r="G38" s="3">
        <v>1</v>
      </c>
      <c r="H38" s="3"/>
    </row>
    <row r="39" spans="1:8" ht="18" hidden="1">
      <c r="A39" s="3">
        <v>2710</v>
      </c>
      <c r="B39" s="7" t="s">
        <v>58</v>
      </c>
      <c r="C39" s="41">
        <v>2509.6</v>
      </c>
      <c r="D39" s="6">
        <v>45566</v>
      </c>
      <c r="E39" s="3" t="str">
        <f ca="1">IF(Tabela2[[#This Row],[Dt Venc:]]&gt;TODAY(),"Em Aberto",IF(Tabela2[[#This Row],[D/venc]]="-","Enviado",IF(Tabela2[[#This Row],[Dt Venc:]]=TODAY(),"Vence Hoje","Vencida")))</f>
        <v>Enviado</v>
      </c>
      <c r="F39" s="3" t="str">
        <f ca="1">IF(G39=1,"-",Tabela2[[#This Row],[Dt Venc:]]-TODAY())</f>
        <v>-</v>
      </c>
      <c r="G39" s="3">
        <v>1</v>
      </c>
      <c r="H39" s="3"/>
    </row>
    <row r="40" spans="1:8" ht="18" hidden="1">
      <c r="A40" s="3">
        <v>2243931</v>
      </c>
      <c r="B40" s="7" t="s">
        <v>59</v>
      </c>
      <c r="C40" s="41">
        <v>54005</v>
      </c>
      <c r="D40" s="6">
        <v>45566</v>
      </c>
      <c r="E40" s="3" t="str">
        <f ca="1">IF(Tabela2[[#This Row],[Dt Venc:]]&gt;TODAY(),"Em Aberto",IF(Tabela2[[#This Row],[D/venc]]="-","Enviado",IF(Tabela2[[#This Row],[Dt Venc:]]=TODAY(),"Vence Hoje","Vencida")))</f>
        <v>Enviado</v>
      </c>
      <c r="F40" s="3" t="str">
        <f ca="1">IF(G40=1,"-",Tabela2[[#This Row],[Dt Venc:]]-TODAY())</f>
        <v>-</v>
      </c>
      <c r="G40" s="3">
        <v>1</v>
      </c>
      <c r="H40" s="3"/>
    </row>
    <row r="41" spans="1:8" ht="18" hidden="1">
      <c r="A41" s="3">
        <v>1978694</v>
      </c>
      <c r="B41" s="7" t="s">
        <v>59</v>
      </c>
      <c r="C41" s="41">
        <v>107476</v>
      </c>
      <c r="D41" s="6">
        <v>45566</v>
      </c>
      <c r="E41" s="3" t="str">
        <f ca="1">IF(Tabela2[[#This Row],[Dt Venc:]]&gt;TODAY(),"Em Aberto",IF(Tabela2[[#This Row],[D/venc]]="-","Enviado",IF(Tabela2[[#This Row],[Dt Venc:]]=TODAY(),"Vence Hoje","Vencida")))</f>
        <v>Enviado</v>
      </c>
      <c r="F41" s="3" t="str">
        <f ca="1">IF(G41=1,"-",Tabela2[[#This Row],[Dt Venc:]]-TODAY())</f>
        <v>-</v>
      </c>
      <c r="G41" s="3">
        <v>1</v>
      </c>
      <c r="H41" s="3"/>
    </row>
    <row r="42" spans="1:8" ht="18" hidden="1">
      <c r="A42" s="3">
        <v>2472451</v>
      </c>
      <c r="B42" s="7" t="s">
        <v>59</v>
      </c>
      <c r="C42" s="41">
        <v>79740</v>
      </c>
      <c r="D42" s="6">
        <v>45566</v>
      </c>
      <c r="E42" s="3" t="str">
        <f ca="1">IF(Tabela2[[#This Row],[Dt Venc:]]&gt;TODAY(),"Em Aberto",IF(Tabela2[[#This Row],[D/venc]]="-","Enviado",IF(Tabela2[[#This Row],[Dt Venc:]]=TODAY(),"Vence Hoje","Vencida")))</f>
        <v>Enviado</v>
      </c>
      <c r="F42" s="3" t="str">
        <f ca="1">IF(G42=1,"-",Tabela2[[#This Row],[Dt Venc:]]-TODAY())</f>
        <v>-</v>
      </c>
      <c r="G42" s="3">
        <v>1</v>
      </c>
      <c r="H42" s="3"/>
    </row>
    <row r="43" spans="1:8" ht="18" hidden="1">
      <c r="A43" s="3">
        <v>140371</v>
      </c>
      <c r="B43" s="7" t="s">
        <v>60</v>
      </c>
      <c r="C43" s="41">
        <v>390</v>
      </c>
      <c r="D43" s="6">
        <v>45566</v>
      </c>
      <c r="E43" s="3" t="str">
        <f ca="1">IF(Tabela2[[#This Row],[Dt Venc:]]&gt;TODAY(),"Em Aberto",IF(Tabela2[[#This Row],[D/venc]]="-","Enviado",IF(Tabela2[[#This Row],[Dt Venc:]]=TODAY(),"Vence Hoje","Vencida")))</f>
        <v>Enviado</v>
      </c>
      <c r="F43" s="3" t="str">
        <f ca="1">IF(G43=1,"-",Tabela2[[#This Row],[Dt Venc:]]-TODAY())</f>
        <v>-</v>
      </c>
      <c r="G43" s="3">
        <v>1</v>
      </c>
      <c r="H43" s="3"/>
    </row>
    <row r="44" spans="1:8" ht="18" hidden="1">
      <c r="A44" s="3">
        <v>140383</v>
      </c>
      <c r="B44" s="7" t="s">
        <v>60</v>
      </c>
      <c r="C44" s="41">
        <v>390</v>
      </c>
      <c r="D44" s="6">
        <v>45566</v>
      </c>
      <c r="E44" s="3" t="str">
        <f ca="1">IF(Tabela2[[#This Row],[Dt Venc:]]&gt;TODAY(),"Em Aberto",IF(Tabela2[[#This Row],[D/venc]]="-","Enviado",IF(Tabela2[[#This Row],[Dt Venc:]]=TODAY(),"Vence Hoje","Vencida")))</f>
        <v>Enviado</v>
      </c>
      <c r="F44" s="3" t="str">
        <f ca="1">IF(G44=1,"-",Tabela2[[#This Row],[Dt Venc:]]-TODAY())</f>
        <v>-</v>
      </c>
      <c r="G44" s="3">
        <v>1</v>
      </c>
      <c r="H44" s="3"/>
    </row>
    <row r="45" spans="1:8" ht="18" hidden="1">
      <c r="A45" s="3">
        <v>541</v>
      </c>
      <c r="B45" s="7" t="s">
        <v>61</v>
      </c>
      <c r="C45" s="41">
        <v>1642.85</v>
      </c>
      <c r="D45" s="6">
        <v>45566</v>
      </c>
      <c r="E45" s="3" t="str">
        <f ca="1">IF(Tabela2[[#This Row],[Dt Venc:]]&gt;TODAY(),"Em Aberto",IF(Tabela2[[#This Row],[D/venc]]="-","Enviado",IF(Tabela2[[#This Row],[Dt Venc:]]=TODAY(),"Vence Hoje","Vencida")))</f>
        <v>Enviado</v>
      </c>
      <c r="F45" s="3" t="str">
        <f ca="1">IF(G45=1,"-",Tabela2[[#This Row],[Dt Venc:]]-TODAY())</f>
        <v>-</v>
      </c>
      <c r="G45" s="3">
        <v>1</v>
      </c>
      <c r="H45" s="3"/>
    </row>
    <row r="46" spans="1:8" ht="18" hidden="1">
      <c r="A46" s="3">
        <v>4723</v>
      </c>
      <c r="B46" s="7" t="s">
        <v>62</v>
      </c>
      <c r="C46" s="41">
        <v>950</v>
      </c>
      <c r="D46" s="6">
        <v>45566</v>
      </c>
      <c r="E46" s="3" t="str">
        <f ca="1">IF(Tabela2[[#This Row],[Dt Venc:]]&gt;TODAY(),"Em Aberto",IF(Tabela2[[#This Row],[D/venc]]="-","Enviado",IF(Tabela2[[#This Row],[Dt Venc:]]=TODAY(),"Vence Hoje","Vencida")))</f>
        <v>Enviado</v>
      </c>
      <c r="F46" s="3" t="str">
        <f ca="1">IF(G46=1,"-",Tabela2[[#This Row],[Dt Venc:]]-TODAY())</f>
        <v>-</v>
      </c>
      <c r="G46" s="3">
        <v>1</v>
      </c>
      <c r="H46" s="3"/>
    </row>
    <row r="47" spans="1:8" ht="18" hidden="1">
      <c r="A47" s="3">
        <v>10709</v>
      </c>
      <c r="B47" s="7" t="s">
        <v>33</v>
      </c>
      <c r="C47" s="42">
        <v>396.66</v>
      </c>
      <c r="D47" s="6">
        <v>45567</v>
      </c>
      <c r="E47" s="3" t="str">
        <f ca="1">IF(Tabela2[[#This Row],[Dt Venc:]]&gt;TODAY(),"Em Aberto",IF(Tabela2[[#This Row],[D/venc]]="-","Enviado",IF(Tabela2[[#This Row],[Dt Venc:]]=TODAY(),"Vence Hoje","Vencida")))</f>
        <v>Enviado</v>
      </c>
      <c r="F47" s="3" t="str">
        <f ca="1">IF(G47=1,"-",Tabela2[[#This Row],[Dt Venc:]]-TODAY())</f>
        <v>-</v>
      </c>
      <c r="G47" s="3">
        <v>1</v>
      </c>
      <c r="H47" s="3"/>
    </row>
    <row r="48" spans="1:8" ht="18" hidden="1">
      <c r="A48" s="3">
        <v>299349</v>
      </c>
      <c r="B48" s="7" t="s">
        <v>63</v>
      </c>
      <c r="C48" s="42">
        <v>887.3</v>
      </c>
      <c r="D48" s="6">
        <v>45567</v>
      </c>
      <c r="E48" s="3" t="str">
        <f ca="1">IF(Tabela2[[#This Row],[Dt Venc:]]&gt;TODAY(),"Em Aberto",IF(Tabela2[[#This Row],[D/venc]]="-","Enviado",IF(Tabela2[[#This Row],[Dt Venc:]]=TODAY(),"Vence Hoje","Vencida")))</f>
        <v>Enviado</v>
      </c>
      <c r="F48" s="3" t="str">
        <f ca="1">IF(G48=1,"-",Tabela2[[#This Row],[Dt Venc:]]-TODAY())</f>
        <v>-</v>
      </c>
      <c r="G48" s="3">
        <v>1</v>
      </c>
      <c r="H48" s="3"/>
    </row>
    <row r="49" spans="1:8" ht="18" hidden="1">
      <c r="A49" s="3">
        <v>1222177</v>
      </c>
      <c r="B49" s="7" t="s">
        <v>64</v>
      </c>
      <c r="C49" s="42">
        <v>718.12</v>
      </c>
      <c r="D49" s="6">
        <v>45567</v>
      </c>
      <c r="E49" s="3" t="str">
        <f ca="1">IF(Tabela2[[#This Row],[Dt Venc:]]&gt;TODAY(),"Em Aberto",IF(Tabela2[[#This Row],[D/venc]]="-","Enviado",IF(Tabela2[[#This Row],[Dt Venc:]]=TODAY(),"Vence Hoje","Vencida")))</f>
        <v>Enviado</v>
      </c>
      <c r="F49" s="3" t="str">
        <f ca="1">IF(G49=1,"-",Tabela2[[#This Row],[Dt Venc:]]-TODAY())</f>
        <v>-</v>
      </c>
      <c r="G49" s="3">
        <v>1</v>
      </c>
      <c r="H49" s="3"/>
    </row>
    <row r="50" spans="1:8" ht="18" hidden="1">
      <c r="A50" s="3">
        <v>80198</v>
      </c>
      <c r="B50" s="7" t="s">
        <v>65</v>
      </c>
      <c r="C50" s="42">
        <v>616.65</v>
      </c>
      <c r="D50" s="6">
        <v>45567</v>
      </c>
      <c r="E50" s="3" t="str">
        <f ca="1">IF(Tabela2[[#This Row],[Dt Venc:]]&gt;TODAY(),"Em Aberto",IF(Tabela2[[#This Row],[D/venc]]="-","Enviado",IF(Tabela2[[#This Row],[Dt Venc:]]=TODAY(),"Vence Hoje","Vencida")))</f>
        <v>Enviado</v>
      </c>
      <c r="F50" s="3" t="str">
        <f ca="1">IF(G50=1,"-",Tabela2[[#This Row],[Dt Venc:]]-TODAY())</f>
        <v>-</v>
      </c>
      <c r="G50" s="3">
        <v>1</v>
      </c>
      <c r="H50" s="3"/>
    </row>
    <row r="51" spans="1:8" ht="18" hidden="1">
      <c r="A51" s="3">
        <v>80199</v>
      </c>
      <c r="B51" s="7" t="s">
        <v>65</v>
      </c>
      <c r="C51" s="42">
        <v>616.65</v>
      </c>
      <c r="D51" s="6">
        <v>45567</v>
      </c>
      <c r="E51" s="3" t="str">
        <f ca="1">IF(Tabela2[[#This Row],[Dt Venc:]]&gt;TODAY(),"Em Aberto",IF(Tabela2[[#This Row],[D/venc]]="-","Enviado",IF(Tabela2[[#This Row],[Dt Venc:]]=TODAY(),"Vence Hoje","Vencida")))</f>
        <v>Enviado</v>
      </c>
      <c r="F51" s="3" t="str">
        <f ca="1">IF(G51=1,"-",Tabela2[[#This Row],[Dt Venc:]]-TODAY())</f>
        <v>-</v>
      </c>
      <c r="G51" s="3">
        <v>1</v>
      </c>
      <c r="H51" s="3"/>
    </row>
    <row r="52" spans="1:8" ht="18" hidden="1">
      <c r="A52" s="3">
        <v>362199</v>
      </c>
      <c r="B52" s="7" t="s">
        <v>65</v>
      </c>
      <c r="C52" s="42">
        <v>298.7</v>
      </c>
      <c r="D52" s="6">
        <v>45567</v>
      </c>
      <c r="E52" s="3" t="str">
        <f ca="1">IF(Tabela2[[#This Row],[Dt Venc:]]&gt;TODAY(),"Em Aberto",IF(Tabela2[[#This Row],[D/venc]]="-","Enviado",IF(Tabela2[[#This Row],[Dt Venc:]]=TODAY(),"Vence Hoje","Vencida")))</f>
        <v>Enviado</v>
      </c>
      <c r="F52" s="3" t="str">
        <f ca="1">IF(G52=1,"-",Tabela2[[#This Row],[Dt Venc:]]-TODAY())</f>
        <v>-</v>
      </c>
      <c r="G52" s="3">
        <v>1</v>
      </c>
      <c r="H52" s="3"/>
    </row>
    <row r="53" spans="1:8" ht="18" hidden="1">
      <c r="A53" s="3">
        <v>362200</v>
      </c>
      <c r="B53" s="7" t="s">
        <v>65</v>
      </c>
      <c r="C53" s="42">
        <v>298.7</v>
      </c>
      <c r="D53" s="6">
        <v>45567</v>
      </c>
      <c r="E53" s="3" t="str">
        <f ca="1">IF(Tabela2[[#This Row],[Dt Venc:]]&gt;TODAY(),"Em Aberto",IF(Tabela2[[#This Row],[D/venc]]="-","Enviado",IF(Tabela2[[#This Row],[Dt Venc:]]=TODAY(),"Vence Hoje","Vencida")))</f>
        <v>Enviado</v>
      </c>
      <c r="F53" s="3" t="str">
        <f ca="1">IF(G53=1,"-",Tabela2[[#This Row],[Dt Venc:]]-TODAY())</f>
        <v>-</v>
      </c>
      <c r="G53" s="3">
        <v>1</v>
      </c>
      <c r="H53" s="3"/>
    </row>
    <row r="54" spans="1:8" ht="18" hidden="1">
      <c r="A54" s="3">
        <v>2570</v>
      </c>
      <c r="B54" s="7" t="s">
        <v>58</v>
      </c>
      <c r="C54" s="42">
        <v>2250.0700000000002</v>
      </c>
      <c r="D54" s="6">
        <v>45567</v>
      </c>
      <c r="E54" s="3" t="str">
        <f ca="1">IF(Tabela2[[#This Row],[Dt Venc:]]&gt;TODAY(),"Em Aberto",IF(Tabela2[[#This Row],[D/venc]]="-","Enviado",IF(Tabela2[[#This Row],[Dt Venc:]]=TODAY(),"Vence Hoje","Vencida")))</f>
        <v>Enviado</v>
      </c>
      <c r="F54" s="3" t="str">
        <f ca="1">IF(G54=1,"-",Tabela2[[#This Row],[Dt Venc:]]-TODAY())</f>
        <v>-</v>
      </c>
      <c r="G54" s="3">
        <v>1</v>
      </c>
      <c r="H54" s="3"/>
    </row>
    <row r="55" spans="1:8" ht="18" hidden="1">
      <c r="A55" s="3">
        <v>79806</v>
      </c>
      <c r="B55" s="7" t="s">
        <v>39</v>
      </c>
      <c r="C55" s="42">
        <v>609.23</v>
      </c>
      <c r="D55" s="6">
        <v>45567</v>
      </c>
      <c r="E55" s="3" t="str">
        <f ca="1">IF(Tabela2[[#This Row],[Dt Venc:]]&gt;TODAY(),"Em Aberto",IF(Tabela2[[#This Row],[D/venc]]="-","Enviado",IF(Tabela2[[#This Row],[Dt Venc:]]=TODAY(),"Vence Hoje","Vencida")))</f>
        <v>Enviado</v>
      </c>
      <c r="F55" s="3" t="str">
        <f ca="1">IF(G55=1,"-",Tabela2[[#This Row],[Dt Venc:]]-TODAY())</f>
        <v>-</v>
      </c>
      <c r="G55" s="3">
        <v>1</v>
      </c>
      <c r="H55" s="3"/>
    </row>
    <row r="56" spans="1:8" ht="18" hidden="1">
      <c r="A56" s="3">
        <v>79807</v>
      </c>
      <c r="B56" s="7" t="s">
        <v>39</v>
      </c>
      <c r="C56" s="42">
        <v>483.77</v>
      </c>
      <c r="D56" s="6">
        <v>45567</v>
      </c>
      <c r="E56" s="3" t="str">
        <f ca="1">IF(Tabela2[[#This Row],[Dt Venc:]]&gt;TODAY(),"Em Aberto",IF(Tabela2[[#This Row],[D/venc]]="-","Enviado",IF(Tabela2[[#This Row],[Dt Venc:]]=TODAY(),"Vence Hoje","Vencida")))</f>
        <v>Enviado</v>
      </c>
      <c r="F56" s="3" t="str">
        <f ca="1">IF(G56=1,"-",Tabela2[[#This Row],[Dt Venc:]]-TODAY())</f>
        <v>-</v>
      </c>
      <c r="G56" s="3">
        <v>1</v>
      </c>
      <c r="H56" s="3"/>
    </row>
    <row r="57" spans="1:8" ht="18" hidden="1">
      <c r="A57" s="3">
        <v>359599</v>
      </c>
      <c r="B57" s="7" t="s">
        <v>39</v>
      </c>
      <c r="C57" s="42">
        <v>839.03</v>
      </c>
      <c r="D57" s="6">
        <v>45567</v>
      </c>
      <c r="E57" s="3" t="str">
        <f ca="1">IF(Tabela2[[#This Row],[Dt Venc:]]&gt;TODAY(),"Em Aberto",IF(Tabela2[[#This Row],[D/venc]]="-","Enviado",IF(Tabela2[[#This Row],[Dt Venc:]]=TODAY(),"Vence Hoje","Vencida")))</f>
        <v>Enviado</v>
      </c>
      <c r="F57" s="3" t="str">
        <f ca="1">IF(G57=1,"-",Tabela2[[#This Row],[Dt Venc:]]-TODAY())</f>
        <v>-</v>
      </c>
      <c r="G57" s="3">
        <v>1</v>
      </c>
      <c r="H57" s="3"/>
    </row>
    <row r="58" spans="1:8" ht="18" hidden="1">
      <c r="A58" s="3">
        <v>359642</v>
      </c>
      <c r="B58" s="7" t="s">
        <v>39</v>
      </c>
      <c r="C58" s="42">
        <v>468.09</v>
      </c>
      <c r="D58" s="6">
        <v>45567</v>
      </c>
      <c r="E58" s="3" t="str">
        <f ca="1">IF(Tabela2[[#This Row],[Dt Venc:]]&gt;TODAY(),"Em Aberto",IF(Tabela2[[#This Row],[D/venc]]="-","Enviado",IF(Tabela2[[#This Row],[Dt Venc:]]=TODAY(),"Vence Hoje","Vencida")))</f>
        <v>Enviado</v>
      </c>
      <c r="F58" s="3" t="str">
        <f ca="1">IF(G58=1,"-",Tabela2[[#This Row],[Dt Venc:]]-TODAY())</f>
        <v>-</v>
      </c>
      <c r="G58" s="3">
        <v>1</v>
      </c>
      <c r="H58" s="3"/>
    </row>
    <row r="59" spans="1:8" ht="18" hidden="1">
      <c r="A59" s="3">
        <v>359648</v>
      </c>
      <c r="B59" s="7" t="s">
        <v>39</v>
      </c>
      <c r="C59" s="42">
        <v>307.37</v>
      </c>
      <c r="D59" s="6">
        <v>45567</v>
      </c>
      <c r="E59" s="3" t="str">
        <f ca="1">IF(Tabela2[[#This Row],[Dt Venc:]]&gt;TODAY(),"Em Aberto",IF(Tabela2[[#This Row],[D/venc]]="-","Enviado",IF(Tabela2[[#This Row],[Dt Venc:]]=TODAY(),"Vence Hoje","Vencida")))</f>
        <v>Enviado</v>
      </c>
      <c r="F59" s="3" t="str">
        <f ca="1">IF(G59=1,"-",Tabela2[[#This Row],[Dt Venc:]]-TODAY())</f>
        <v>-</v>
      </c>
      <c r="G59" s="3">
        <v>1</v>
      </c>
      <c r="H59" s="3"/>
    </row>
    <row r="60" spans="1:8" ht="18" hidden="1">
      <c r="A60" s="3">
        <v>598055</v>
      </c>
      <c r="B60" s="7" t="s">
        <v>66</v>
      </c>
      <c r="C60" s="42">
        <v>448.8</v>
      </c>
      <c r="D60" s="6">
        <v>45567</v>
      </c>
      <c r="E60" s="3" t="str">
        <f ca="1">IF(Tabela2[[#This Row],[Dt Venc:]]&gt;TODAY(),"Em Aberto",IF(Tabela2[[#This Row],[D/venc]]="-","Enviado",IF(Tabela2[[#This Row],[Dt Venc:]]=TODAY(),"Vence Hoje","Vencida")))</f>
        <v>Enviado</v>
      </c>
      <c r="F60" s="3" t="str">
        <f ca="1">IF(G60=1,"-",Tabela2[[#This Row],[Dt Venc:]]-TODAY())</f>
        <v>-</v>
      </c>
      <c r="G60" s="3">
        <v>1</v>
      </c>
      <c r="H60" s="3"/>
    </row>
    <row r="61" spans="1:8" ht="18" hidden="1">
      <c r="A61" s="3">
        <v>598057</v>
      </c>
      <c r="B61" s="7" t="s">
        <v>66</v>
      </c>
      <c r="C61" s="42">
        <v>499.68</v>
      </c>
      <c r="D61" s="6">
        <v>45567</v>
      </c>
      <c r="E61" s="3" t="str">
        <f ca="1">IF(Tabela2[[#This Row],[Dt Venc:]]&gt;TODAY(),"Em Aberto",IF(Tabela2[[#This Row],[D/venc]]="-","Enviado",IF(Tabela2[[#This Row],[Dt Venc:]]=TODAY(),"Vence Hoje","Vencida")))</f>
        <v>Enviado</v>
      </c>
      <c r="F61" s="3" t="str">
        <f ca="1">IF(G61=1,"-",Tabela2[[#This Row],[Dt Venc:]]-TODAY())</f>
        <v>-</v>
      </c>
      <c r="G61" s="3">
        <v>1</v>
      </c>
      <c r="H61" s="3"/>
    </row>
    <row r="62" spans="1:8" ht="18" hidden="1">
      <c r="A62" s="3">
        <v>598111</v>
      </c>
      <c r="B62" s="7" t="s">
        <v>66</v>
      </c>
      <c r="C62" s="42">
        <v>457.46</v>
      </c>
      <c r="D62" s="6">
        <v>45567</v>
      </c>
      <c r="E62" s="3" t="str">
        <f ca="1">IF(Tabela2[[#This Row],[Dt Venc:]]&gt;TODAY(),"Em Aberto",IF(Tabela2[[#This Row],[D/venc]]="-","Enviado",IF(Tabela2[[#This Row],[Dt Venc:]]=TODAY(),"Vence Hoje","Vencida")))</f>
        <v>Enviado</v>
      </c>
      <c r="F62" s="3" t="str">
        <f ca="1">IF(G62=1,"-",Tabela2[[#This Row],[Dt Venc:]]-TODAY())</f>
        <v>-</v>
      </c>
      <c r="G62" s="3">
        <v>1</v>
      </c>
      <c r="H62" s="3"/>
    </row>
    <row r="63" spans="1:8" ht="18" hidden="1">
      <c r="A63" s="3">
        <v>13864</v>
      </c>
      <c r="B63" s="7" t="s">
        <v>67</v>
      </c>
      <c r="C63" s="42">
        <v>560</v>
      </c>
      <c r="D63" s="6">
        <v>45567</v>
      </c>
      <c r="E63" s="3" t="str">
        <f ca="1">IF(Tabela2[[#This Row],[Dt Venc:]]&gt;TODAY(),"Em Aberto",IF(Tabela2[[#This Row],[D/venc]]="-","Enviado",IF(Tabela2[[#This Row],[Dt Venc:]]=TODAY(),"Vence Hoje","Vencida")))</f>
        <v>Enviado</v>
      </c>
      <c r="F63" s="3" t="str">
        <f ca="1">IF(G63=1,"-",Tabela2[[#This Row],[Dt Venc:]]-TODAY())</f>
        <v>-</v>
      </c>
      <c r="G63" s="3">
        <v>1</v>
      </c>
      <c r="H63" s="3"/>
    </row>
    <row r="64" spans="1:8" ht="18" hidden="1">
      <c r="A64" s="3" t="s">
        <v>68</v>
      </c>
      <c r="B64" s="7" t="s">
        <v>69</v>
      </c>
      <c r="C64" s="88" t="s">
        <v>30</v>
      </c>
      <c r="D64" s="6">
        <v>45567</v>
      </c>
      <c r="E64" s="3" t="str">
        <f ca="1">IF(Tabela2[[#This Row],[Dt Venc:]]&gt;TODAY(),"Em Aberto",IF(Tabela2[[#This Row],[D/venc]]="-","Enviado",IF(Tabela2[[#This Row],[Dt Venc:]]=TODAY(),"Vence Hoje","Vencida")))</f>
        <v>Enviado</v>
      </c>
      <c r="F64" s="3" t="str">
        <f ca="1">IF(G64=1,"-",Tabela2[[#This Row],[Dt Venc:]]-TODAY())</f>
        <v>-</v>
      </c>
      <c r="G64" s="3">
        <v>1</v>
      </c>
      <c r="H64" s="3"/>
    </row>
    <row r="65" spans="1:8" ht="18" hidden="1">
      <c r="A65" s="3">
        <v>30140</v>
      </c>
      <c r="B65" s="7" t="s">
        <v>70</v>
      </c>
      <c r="C65" s="42">
        <v>542.99</v>
      </c>
      <c r="D65" s="6">
        <v>45567</v>
      </c>
      <c r="E65" s="3" t="str">
        <f ca="1">IF(Tabela2[[#This Row],[Dt Venc:]]&gt;TODAY(),"Em Aberto",IF(Tabela2[[#This Row],[D/venc]]="-","Enviado",IF(Tabela2[[#This Row],[Dt Venc:]]=TODAY(),"Vence Hoje","Vencida")))</f>
        <v>Enviado</v>
      </c>
      <c r="F65" s="3" t="str">
        <f ca="1">IF(G65=1,"-",Tabela2[[#This Row],[Dt Venc:]]-TODAY())</f>
        <v>-</v>
      </c>
      <c r="G65" s="3">
        <v>1</v>
      </c>
      <c r="H65" s="3"/>
    </row>
    <row r="66" spans="1:8" ht="18" hidden="1">
      <c r="A66" s="3">
        <v>5566</v>
      </c>
      <c r="B66" s="7" t="s">
        <v>47</v>
      </c>
      <c r="C66" s="42">
        <v>2314</v>
      </c>
      <c r="D66" s="6">
        <v>45567</v>
      </c>
      <c r="E66" s="3" t="str">
        <f ca="1">IF(Tabela2[[#This Row],[Dt Venc:]]&gt;TODAY(),"Em Aberto",IF(Tabela2[[#This Row],[D/venc]]="-","Enviado",IF(Tabela2[[#This Row],[Dt Venc:]]=TODAY(),"Vence Hoje","Vencida")))</f>
        <v>Enviado</v>
      </c>
      <c r="F66" s="3" t="str">
        <f ca="1">IF(G66=1,"-",Tabela2[[#This Row],[Dt Venc:]]-TODAY())</f>
        <v>-</v>
      </c>
      <c r="G66" s="3">
        <v>1</v>
      </c>
      <c r="H66" s="3"/>
    </row>
    <row r="67" spans="1:8" ht="18" hidden="1">
      <c r="A67" s="3">
        <v>89241</v>
      </c>
      <c r="B67" s="7" t="s">
        <v>48</v>
      </c>
      <c r="C67" s="42">
        <v>1089.1600000000001</v>
      </c>
      <c r="D67" s="6">
        <v>45567</v>
      </c>
      <c r="E67" s="3" t="str">
        <f ca="1">IF(Tabela2[[#This Row],[Dt Venc:]]&gt;TODAY(),"Em Aberto",IF(Tabela2[[#This Row],[D/venc]]="-","Enviado",IF(Tabela2[[#This Row],[Dt Venc:]]=TODAY(),"Vence Hoje","Vencida")))</f>
        <v>Enviado</v>
      </c>
      <c r="F67" s="3" t="str">
        <f ca="1">IF(G67=1,"-",Tabela2[[#This Row],[Dt Venc:]]-TODAY())</f>
        <v>-</v>
      </c>
      <c r="G67" s="3">
        <v>1</v>
      </c>
      <c r="H67" s="3"/>
    </row>
    <row r="68" spans="1:8" ht="18" hidden="1">
      <c r="A68" s="3">
        <v>3247428</v>
      </c>
      <c r="B68" s="7" t="s">
        <v>71</v>
      </c>
      <c r="C68" s="42">
        <v>881.91</v>
      </c>
      <c r="D68" s="6">
        <v>45567</v>
      </c>
      <c r="E68" s="3" t="str">
        <f ca="1">IF(Tabela2[[#This Row],[Dt Venc:]]&gt;TODAY(),"Em Aberto",IF(Tabela2[[#This Row],[D/venc]]="-","Enviado",IF(Tabela2[[#This Row],[Dt Venc:]]=TODAY(),"Vence Hoje","Vencida")))</f>
        <v>Enviado</v>
      </c>
      <c r="F68" s="3" t="str">
        <f ca="1">IF(G68=1,"-",Tabela2[[#This Row],[Dt Venc:]]-TODAY())</f>
        <v>-</v>
      </c>
      <c r="G68" s="3">
        <v>1</v>
      </c>
      <c r="H68" s="3"/>
    </row>
    <row r="69" spans="1:8" ht="18" hidden="1">
      <c r="A69" s="3">
        <v>9832</v>
      </c>
      <c r="B69" s="7" t="s">
        <v>72</v>
      </c>
      <c r="C69" s="42">
        <v>526.66</v>
      </c>
      <c r="D69" s="6">
        <v>45567</v>
      </c>
      <c r="E69" s="3" t="str">
        <f ca="1">IF(Tabela2[[#This Row],[Dt Venc:]]&gt;TODAY(),"Em Aberto",IF(Tabela2[[#This Row],[D/venc]]="-","Enviado",IF(Tabela2[[#This Row],[Dt Venc:]]=TODAY(),"Vence Hoje","Vencida")))</f>
        <v>Enviado</v>
      </c>
      <c r="F69" s="3" t="str">
        <f ca="1">IF(G69=1,"-",Tabela2[[#This Row],[Dt Venc:]]-TODAY())</f>
        <v>-</v>
      </c>
      <c r="G69" s="3">
        <v>1</v>
      </c>
      <c r="H69" s="3"/>
    </row>
    <row r="70" spans="1:8" ht="18" hidden="1">
      <c r="A70" s="3">
        <v>217173</v>
      </c>
      <c r="B70" s="7" t="s">
        <v>73</v>
      </c>
      <c r="C70" s="42">
        <v>749</v>
      </c>
      <c r="D70" s="6">
        <v>45567</v>
      </c>
      <c r="E70" s="3" t="str">
        <f ca="1">IF(Tabela2[[#This Row],[Dt Venc:]]&gt;TODAY(),"Em Aberto",IF(Tabela2[[#This Row],[D/venc]]="-","Enviado",IF(Tabela2[[#This Row],[Dt Venc:]]=TODAY(),"Vence Hoje","Vencida")))</f>
        <v>Enviado</v>
      </c>
      <c r="F70" s="3" t="str">
        <f ca="1">IF(G70=1,"-",Tabela2[[#This Row],[Dt Venc:]]-TODAY())</f>
        <v>-</v>
      </c>
      <c r="G70" s="3">
        <v>1</v>
      </c>
      <c r="H70" s="3"/>
    </row>
    <row r="71" spans="1:8" ht="18" hidden="1">
      <c r="A71" s="3">
        <v>15418</v>
      </c>
      <c r="B71" s="7" t="s">
        <v>74</v>
      </c>
      <c r="C71" s="41">
        <v>545</v>
      </c>
      <c r="D71" s="6">
        <v>45567</v>
      </c>
      <c r="E71" s="3" t="str">
        <f ca="1">IF(Tabela2[[#This Row],[Dt Venc:]]&gt;TODAY(),"Em Aberto",IF(Tabela2[[#This Row],[D/venc]]="-","Enviado",IF(Tabela2[[#This Row],[Dt Venc:]]=TODAY(),"Vence Hoje","Vencida")))</f>
        <v>Enviado</v>
      </c>
      <c r="F71" s="3" t="str">
        <f ca="1">IF(G71=1,"-",Tabela2[[#This Row],[Dt Venc:]]-TODAY())</f>
        <v>-</v>
      </c>
      <c r="G71" s="3">
        <v>1</v>
      </c>
      <c r="H71" s="3"/>
    </row>
    <row r="72" spans="1:8" ht="18" hidden="1">
      <c r="A72" s="3">
        <v>16617</v>
      </c>
      <c r="B72" s="7" t="s">
        <v>75</v>
      </c>
      <c r="C72" s="41">
        <v>13825.04</v>
      </c>
      <c r="D72" s="6">
        <v>45567</v>
      </c>
      <c r="E72" s="3" t="str">
        <f ca="1">IF(Tabela2[[#This Row],[Dt Venc:]]&gt;TODAY(),"Em Aberto",IF(Tabela2[[#This Row],[D/venc]]="-","Enviado",IF(Tabela2[[#This Row],[Dt Venc:]]=TODAY(),"Vence Hoje","Vencida")))</f>
        <v>Enviado</v>
      </c>
      <c r="F72" s="3" t="str">
        <f ca="1">IF(G72=1,"-",Tabela2[[#This Row],[Dt Venc:]]-TODAY())</f>
        <v>-</v>
      </c>
      <c r="G72" s="3">
        <v>1</v>
      </c>
      <c r="H72" s="3"/>
    </row>
    <row r="73" spans="1:8" ht="18" hidden="1">
      <c r="A73" s="3">
        <v>5812</v>
      </c>
      <c r="B73" s="7" t="s">
        <v>47</v>
      </c>
      <c r="C73" s="41">
        <v>1216.67</v>
      </c>
      <c r="D73" s="6">
        <v>45567</v>
      </c>
      <c r="E73" s="3" t="str">
        <f ca="1">IF(Tabela2[[#This Row],[Dt Venc:]]&gt;TODAY(),"Em Aberto",IF(Tabela2[[#This Row],[D/venc]]="-","Enviado",IF(Tabela2[[#This Row],[Dt Venc:]]=TODAY(),"Vence Hoje","Vencida")))</f>
        <v>Enviado</v>
      </c>
      <c r="F73" s="3" t="str">
        <f ca="1">IF(G73=1,"-",Tabela2[[#This Row],[Dt Venc:]]-TODAY())</f>
        <v>-</v>
      </c>
      <c r="G73" s="3">
        <v>1</v>
      </c>
      <c r="H73" s="3"/>
    </row>
    <row r="74" spans="1:8" ht="18" hidden="1">
      <c r="A74" s="3">
        <v>70278</v>
      </c>
      <c r="B74" s="7" t="s">
        <v>76</v>
      </c>
      <c r="C74" s="41">
        <v>716.87</v>
      </c>
      <c r="D74" s="6">
        <v>45567</v>
      </c>
      <c r="E74" s="3" t="str">
        <f ca="1">IF(Tabela2[[#This Row],[Dt Venc:]]&gt;TODAY(),"Em Aberto",IF(Tabela2[[#This Row],[D/venc]]="-","Enviado",IF(Tabela2[[#This Row],[Dt Venc:]]=TODAY(),"Vence Hoje","Vencida")))</f>
        <v>Enviado</v>
      </c>
      <c r="F74" s="3" t="str">
        <f ca="1">IF(G74=1,"-",Tabela2[[#This Row],[Dt Venc:]]-TODAY())</f>
        <v>-</v>
      </c>
      <c r="G74" s="3">
        <v>1</v>
      </c>
      <c r="H74" s="3"/>
    </row>
    <row r="75" spans="1:8" ht="18" hidden="1">
      <c r="A75" s="3">
        <v>152553</v>
      </c>
      <c r="B75" s="7" t="s">
        <v>77</v>
      </c>
      <c r="C75" s="41">
        <v>1233.33</v>
      </c>
      <c r="D75" s="6">
        <v>45567</v>
      </c>
      <c r="E75" s="3" t="str">
        <f ca="1">IF(Tabela2[[#This Row],[Dt Venc:]]&gt;TODAY(),"Em Aberto",IF(Tabela2[[#This Row],[D/venc]]="-","Enviado",IF(Tabela2[[#This Row],[Dt Venc:]]=TODAY(),"Vence Hoje","Vencida")))</f>
        <v>Enviado</v>
      </c>
      <c r="F75" s="3" t="str">
        <f ca="1">IF(G75=1,"-",Tabela2[[#This Row],[Dt Venc:]]-TODAY())</f>
        <v>-</v>
      </c>
      <c r="G75" s="3">
        <v>1</v>
      </c>
      <c r="H75" s="3"/>
    </row>
    <row r="76" spans="1:8" ht="18" hidden="1">
      <c r="A76" s="3">
        <v>324685</v>
      </c>
      <c r="B76" s="7" t="s">
        <v>77</v>
      </c>
      <c r="C76" s="41">
        <v>185.44</v>
      </c>
      <c r="D76" s="6">
        <v>45567</v>
      </c>
      <c r="E76" s="3" t="str">
        <f ca="1">IF(Tabela2[[#This Row],[Dt Venc:]]&gt;TODAY(),"Em Aberto",IF(Tabela2[[#This Row],[D/venc]]="-","Enviado",IF(Tabela2[[#This Row],[Dt Venc:]]=TODAY(),"Vence Hoje","Vencida")))</f>
        <v>Enviado</v>
      </c>
      <c r="F76" s="3" t="str">
        <f ca="1">IF(G76=1,"-",Tabela2[[#This Row],[Dt Venc:]]-TODAY())</f>
        <v>-</v>
      </c>
      <c r="G76" s="3">
        <v>1</v>
      </c>
      <c r="H76" s="3"/>
    </row>
    <row r="77" spans="1:8" ht="18" hidden="1">
      <c r="A77" s="3">
        <v>219517</v>
      </c>
      <c r="B77" s="7" t="s">
        <v>39</v>
      </c>
      <c r="C77" s="41">
        <v>21465</v>
      </c>
      <c r="D77" s="6">
        <v>45567</v>
      </c>
      <c r="E77" s="3" t="str">
        <f ca="1">IF(Tabela2[[#This Row],[Dt Venc:]]&gt;TODAY(),"Em Aberto",IF(Tabela2[[#This Row],[D/venc]]="-","Enviado",IF(Tabela2[[#This Row],[Dt Venc:]]=TODAY(),"Vence Hoje","Vencida")))</f>
        <v>Enviado</v>
      </c>
      <c r="F77" s="3" t="str">
        <f ca="1">IF(G77=1,"-",Tabela2[[#This Row],[Dt Venc:]]-TODAY())</f>
        <v>-</v>
      </c>
      <c r="G77" s="3">
        <v>1</v>
      </c>
      <c r="H77" s="3"/>
    </row>
    <row r="78" spans="1:8" ht="18" hidden="1">
      <c r="A78" s="3">
        <v>1480</v>
      </c>
      <c r="B78" s="7" t="s">
        <v>78</v>
      </c>
      <c r="C78" s="41">
        <v>263</v>
      </c>
      <c r="D78" s="6">
        <v>45567</v>
      </c>
      <c r="E78" s="3" t="str">
        <f ca="1">IF(Tabela2[[#This Row],[Dt Venc:]]&gt;TODAY(),"Em Aberto",IF(Tabela2[[#This Row],[D/venc]]="-","Enviado",IF(Tabela2[[#This Row],[Dt Venc:]]=TODAY(),"Vence Hoje","Vencida")))</f>
        <v>Enviado</v>
      </c>
      <c r="F78" s="3" t="str">
        <f ca="1">IF(G78=1,"-",Tabela2[[#This Row],[Dt Venc:]]-TODAY())</f>
        <v>-</v>
      </c>
      <c r="G78" s="3">
        <v>1</v>
      </c>
      <c r="H78" s="3"/>
    </row>
    <row r="79" spans="1:8" ht="18" hidden="1">
      <c r="A79" s="3">
        <v>762464</v>
      </c>
      <c r="B79" s="7" t="s">
        <v>79</v>
      </c>
      <c r="C79" s="41">
        <v>456.68</v>
      </c>
      <c r="D79" s="6">
        <v>45567</v>
      </c>
      <c r="E79" s="3" t="str">
        <f ca="1">IF(Tabela2[[#This Row],[Dt Venc:]]&gt;TODAY(),"Em Aberto",IF(Tabela2[[#This Row],[D/venc]]="-","Enviado",IF(Tabela2[[#This Row],[Dt Venc:]]=TODAY(),"Vence Hoje","Vencida")))</f>
        <v>Enviado</v>
      </c>
      <c r="F79" s="3" t="str">
        <f ca="1">IF(G79=1,"-",Tabela2[[#This Row],[Dt Venc:]]-TODAY())</f>
        <v>-</v>
      </c>
      <c r="G79" s="3">
        <v>1</v>
      </c>
      <c r="H79" s="3"/>
    </row>
    <row r="80" spans="1:8" ht="18" hidden="1">
      <c r="A80" s="3">
        <v>219832</v>
      </c>
      <c r="B80" s="7" t="s">
        <v>43</v>
      </c>
      <c r="C80" s="41">
        <v>599.75</v>
      </c>
      <c r="D80" s="6">
        <v>45567</v>
      </c>
      <c r="E80" s="3" t="str">
        <f ca="1">IF(Tabela2[[#This Row],[Dt Venc:]]&gt;TODAY(),"Em Aberto",IF(Tabela2[[#This Row],[D/venc]]="-","Enviado",IF(Tabela2[[#This Row],[Dt Venc:]]=TODAY(),"Vence Hoje","Vencida")))</f>
        <v>Enviado</v>
      </c>
      <c r="F80" s="3" t="str">
        <f ca="1">IF(G80=1,"-",Tabela2[[#This Row],[Dt Venc:]]-TODAY())</f>
        <v>-</v>
      </c>
      <c r="G80" s="3">
        <v>1</v>
      </c>
      <c r="H80" s="3"/>
    </row>
    <row r="81" spans="1:8" ht="18" hidden="1">
      <c r="A81" s="3">
        <v>606315</v>
      </c>
      <c r="B81" s="7" t="s">
        <v>66</v>
      </c>
      <c r="C81" s="41">
        <v>1153.3499999999999</v>
      </c>
      <c r="D81" s="6">
        <v>45567</v>
      </c>
      <c r="E81" s="3" t="str">
        <f ca="1">IF(Tabela2[[#This Row],[Dt Venc:]]&gt;TODAY(),"Em Aberto",IF(Tabela2[[#This Row],[D/venc]]="-","Enviado",IF(Tabela2[[#This Row],[Dt Venc:]]=TODAY(),"Vence Hoje","Vencida")))</f>
        <v>Enviado</v>
      </c>
      <c r="F81" s="3" t="str">
        <f ca="1">IF(G81=1,"-",Tabela2[[#This Row],[Dt Venc:]]-TODAY())</f>
        <v>-</v>
      </c>
      <c r="G81" s="3">
        <v>1</v>
      </c>
      <c r="H81" s="3"/>
    </row>
    <row r="82" spans="1:8" ht="18" hidden="1">
      <c r="A82" s="3">
        <v>441978</v>
      </c>
      <c r="B82" s="7" t="s">
        <v>59</v>
      </c>
      <c r="C82" s="41">
        <v>54689</v>
      </c>
      <c r="D82" s="6">
        <v>45567</v>
      </c>
      <c r="E82" s="3" t="str">
        <f ca="1">IF(Tabela2[[#This Row],[Dt Venc:]]&gt;TODAY(),"Em Aberto",IF(Tabela2[[#This Row],[D/venc]]="-","Enviado",IF(Tabela2[[#This Row],[Dt Venc:]]=TODAY(),"Vence Hoje","Vencida")))</f>
        <v>Enviado</v>
      </c>
      <c r="F82" s="3" t="str">
        <f ca="1">IF(G82=1,"-",Tabela2[[#This Row],[Dt Venc:]]-TODAY())</f>
        <v>-</v>
      </c>
      <c r="G82" s="3">
        <v>1</v>
      </c>
      <c r="H82" s="3"/>
    </row>
    <row r="83" spans="1:8" ht="18" hidden="1">
      <c r="A83" s="3">
        <v>140415</v>
      </c>
      <c r="B83" s="7" t="s">
        <v>60</v>
      </c>
      <c r="C83" s="41">
        <v>390</v>
      </c>
      <c r="D83" s="6">
        <v>45567</v>
      </c>
      <c r="E83" s="3" t="str">
        <f ca="1">IF(Tabela2[[#This Row],[Dt Venc:]]&gt;TODAY(),"Em Aberto",IF(Tabela2[[#This Row],[D/venc]]="-","Enviado",IF(Tabela2[[#This Row],[Dt Venc:]]=TODAY(),"Vence Hoje","Vencida")))</f>
        <v>Enviado</v>
      </c>
      <c r="F83" s="3" t="str">
        <f ca="1">IF(G83=1,"-",Tabela2[[#This Row],[Dt Venc:]]-TODAY())</f>
        <v>-</v>
      </c>
      <c r="G83" s="3">
        <v>1</v>
      </c>
      <c r="H83" s="3"/>
    </row>
    <row r="84" spans="1:8" ht="18" hidden="1">
      <c r="A84" s="3">
        <v>219517</v>
      </c>
      <c r="B84" s="7" t="s">
        <v>80</v>
      </c>
      <c r="C84" s="41">
        <v>21465</v>
      </c>
      <c r="D84" s="6">
        <v>45567</v>
      </c>
      <c r="E84" s="3" t="str">
        <f ca="1">IF(Tabela2[[#This Row],[Dt Venc:]]&gt;TODAY(),"Em Aberto",IF(Tabela2[[#This Row],[D/venc]]="-","Enviado",IF(Tabela2[[#This Row],[Dt Venc:]]=TODAY(),"Vence Hoje","Vencida")))</f>
        <v>Enviado</v>
      </c>
      <c r="F84" s="3" t="str">
        <f ca="1">IF(G84=1,"-",Tabela2[[#This Row],[Dt Venc:]]-TODAY())</f>
        <v>-</v>
      </c>
      <c r="G84" s="3">
        <v>1</v>
      </c>
      <c r="H84" s="3"/>
    </row>
    <row r="85" spans="1:8" ht="18" hidden="1">
      <c r="A85" s="3">
        <v>818909</v>
      </c>
      <c r="B85" s="7" t="s">
        <v>81</v>
      </c>
      <c r="C85" s="87" t="s">
        <v>32</v>
      </c>
      <c r="D85" s="6">
        <v>45567</v>
      </c>
      <c r="E85" s="3" t="str">
        <f ca="1">IF(Tabela2[[#This Row],[Dt Venc:]]&gt;TODAY(),"Em Aberto",IF(Tabela2[[#This Row],[D/venc]]="-","Enviado",IF(Tabela2[[#This Row],[Dt Venc:]]=TODAY(),"Vence Hoje","Vencida")))</f>
        <v>Enviado</v>
      </c>
      <c r="F85" s="3" t="str">
        <f ca="1">IF(G85=1,"-",Tabela2[[#This Row],[Dt Venc:]]-TODAY())</f>
        <v>-</v>
      </c>
      <c r="G85" s="3">
        <v>1</v>
      </c>
      <c r="H85" s="3"/>
    </row>
    <row r="86" spans="1:8" ht="18" hidden="1">
      <c r="A86" s="3">
        <v>10494</v>
      </c>
      <c r="B86" s="7" t="s">
        <v>82</v>
      </c>
      <c r="C86" s="88" t="s">
        <v>30</v>
      </c>
      <c r="D86" s="6">
        <v>45568</v>
      </c>
      <c r="E86" s="3" t="str">
        <f ca="1">IF(Tabela2[[#This Row],[Dt Venc:]]&gt;TODAY(),"Em Aberto",IF(Tabela2[[#This Row],[D/venc]]="-","Enviado",IF(Tabela2[[#This Row],[Dt Venc:]]=TODAY(),"Vence Hoje","Vencida")))</f>
        <v>Enviado</v>
      </c>
      <c r="F86" s="3" t="str">
        <f ca="1">IF(G86=1,"-",Tabela2[[#This Row],[Dt Venc:]]-TODAY())</f>
        <v>-</v>
      </c>
      <c r="G86" s="3">
        <v>1</v>
      </c>
      <c r="H86" s="3"/>
    </row>
    <row r="87" spans="1:8" ht="18" hidden="1">
      <c r="A87" s="3">
        <v>299399</v>
      </c>
      <c r="B87" s="7" t="s">
        <v>63</v>
      </c>
      <c r="C87" s="42">
        <v>1228.8399999999999</v>
      </c>
      <c r="D87" s="6">
        <v>45568</v>
      </c>
      <c r="E87" s="3" t="str">
        <f ca="1">IF(Tabela2[[#This Row],[Dt Venc:]]&gt;TODAY(),"Em Aberto",IF(Tabela2[[#This Row],[D/venc]]="-","Enviado",IF(Tabela2[[#This Row],[Dt Venc:]]=TODAY(),"Vence Hoje","Vencida")))</f>
        <v>Enviado</v>
      </c>
      <c r="F87" s="3" t="str">
        <f ca="1">IF(G87=1,"-",Tabela2[[#This Row],[Dt Venc:]]-TODAY())</f>
        <v>-</v>
      </c>
      <c r="G87" s="3">
        <v>1</v>
      </c>
      <c r="H87" s="3"/>
    </row>
    <row r="88" spans="1:8" ht="18" hidden="1">
      <c r="A88" s="3">
        <v>1216635</v>
      </c>
      <c r="B88" s="7" t="s">
        <v>64</v>
      </c>
      <c r="C88" s="42">
        <v>852.11</v>
      </c>
      <c r="D88" s="6">
        <v>45568</v>
      </c>
      <c r="E88" s="3" t="str">
        <f ca="1">IF(Tabela2[[#This Row],[Dt Venc:]]&gt;TODAY(),"Em Aberto",IF(Tabela2[[#This Row],[D/venc]]="-","Enviado",IF(Tabela2[[#This Row],[Dt Venc:]]=TODAY(),"Vence Hoje","Vencida")))</f>
        <v>Enviado</v>
      </c>
      <c r="F88" s="3" t="str">
        <f ca="1">IF(G88=1,"-",Tabela2[[#This Row],[Dt Venc:]]-TODAY())</f>
        <v>-</v>
      </c>
      <c r="G88" s="3">
        <v>1</v>
      </c>
      <c r="H88" s="3"/>
    </row>
    <row r="89" spans="1:8" ht="18" hidden="1">
      <c r="A89" s="3">
        <v>362339</v>
      </c>
      <c r="B89" s="7" t="s">
        <v>39</v>
      </c>
      <c r="C89" s="42">
        <v>611.01</v>
      </c>
      <c r="D89" s="6">
        <v>45568</v>
      </c>
      <c r="E89" s="3" t="str">
        <f ca="1">IF(Tabela2[[#This Row],[Dt Venc:]]&gt;TODAY(),"Em Aberto",IF(Tabela2[[#This Row],[D/venc]]="-","Enviado",IF(Tabela2[[#This Row],[Dt Venc:]]=TODAY(),"Vence Hoje","Vencida")))</f>
        <v>Enviado</v>
      </c>
      <c r="F89" s="3" t="str">
        <f ca="1">IF(G89=1,"-",Tabela2[[#This Row],[Dt Venc:]]-TODAY())</f>
        <v>-</v>
      </c>
      <c r="G89" s="3">
        <v>1</v>
      </c>
      <c r="H89" s="3"/>
    </row>
    <row r="90" spans="1:8" ht="18" hidden="1">
      <c r="A90" s="3">
        <v>602357</v>
      </c>
      <c r="B90" s="7" t="s">
        <v>66</v>
      </c>
      <c r="C90" s="42">
        <v>882.42</v>
      </c>
      <c r="D90" s="6">
        <v>45568</v>
      </c>
      <c r="E90" s="3" t="str">
        <f ca="1">IF(Tabela2[[#This Row],[Dt Venc:]]&gt;TODAY(),"Em Aberto",IF(Tabela2[[#This Row],[D/venc]]="-","Enviado",IF(Tabela2[[#This Row],[Dt Venc:]]=TODAY(),"Vence Hoje","Vencida")))</f>
        <v>Enviado</v>
      </c>
      <c r="F90" s="3" t="str">
        <f ca="1">IF(G90=1,"-",Tabela2[[#This Row],[Dt Venc:]]-TODAY())</f>
        <v>-</v>
      </c>
      <c r="G90" s="3">
        <v>1</v>
      </c>
      <c r="H90" s="3"/>
    </row>
    <row r="91" spans="1:8" ht="18" hidden="1">
      <c r="A91" s="3">
        <v>107</v>
      </c>
      <c r="B91" s="7" t="s">
        <v>83</v>
      </c>
      <c r="C91" s="42">
        <v>6400</v>
      </c>
      <c r="D91" s="6">
        <v>45568</v>
      </c>
      <c r="E91" s="3" t="str">
        <f ca="1">IF(Tabela2[[#This Row],[Dt Venc:]]&gt;TODAY(),"Em Aberto",IF(Tabela2[[#This Row],[D/venc]]="-","Enviado",IF(Tabela2[[#This Row],[Dt Venc:]]=TODAY(),"Vence Hoje","Vencida")))</f>
        <v>Enviado</v>
      </c>
      <c r="F91" s="3" t="str">
        <f ca="1">IF(G91=1,"-",Tabela2[[#This Row],[Dt Venc:]]-TODAY())</f>
        <v>-</v>
      </c>
      <c r="G91" s="3">
        <v>1</v>
      </c>
      <c r="H91" s="3"/>
    </row>
    <row r="92" spans="1:8" ht="18" hidden="1">
      <c r="A92" s="3">
        <v>68203</v>
      </c>
      <c r="B92" s="7" t="s">
        <v>76</v>
      </c>
      <c r="C92" s="42">
        <v>1730.72</v>
      </c>
      <c r="D92" s="6">
        <v>45568</v>
      </c>
      <c r="E92" s="3" t="str">
        <f ca="1">IF(Tabela2[[#This Row],[Dt Venc:]]&gt;TODAY(),"Em Aberto",IF(Tabela2[[#This Row],[D/venc]]="-","Enviado",IF(Tabela2[[#This Row],[Dt Venc:]]=TODAY(),"Vence Hoje","Vencida")))</f>
        <v>Enviado</v>
      </c>
      <c r="F92" s="3" t="str">
        <f ca="1">IF(G92=1,"-",Tabela2[[#This Row],[Dt Venc:]]-TODAY())</f>
        <v>-</v>
      </c>
      <c r="G92" s="3">
        <v>1</v>
      </c>
      <c r="H92" s="3"/>
    </row>
    <row r="93" spans="1:8" ht="18" hidden="1">
      <c r="A93" s="3">
        <v>179438</v>
      </c>
      <c r="B93" s="7" t="s">
        <v>84</v>
      </c>
      <c r="C93" s="42">
        <v>863.22</v>
      </c>
      <c r="D93" s="6">
        <v>45568</v>
      </c>
      <c r="E93" s="3" t="str">
        <f ca="1">IF(Tabela2[[#This Row],[Dt Venc:]]&gt;TODAY(),"Em Aberto",IF(Tabela2[[#This Row],[D/venc]]="-","Enviado",IF(Tabela2[[#This Row],[Dt Venc:]]=TODAY(),"Vence Hoje","Vencida")))</f>
        <v>Enviado</v>
      </c>
      <c r="F93" s="3" t="str">
        <f ca="1">IF(G93=1,"-",Tabela2[[#This Row],[Dt Venc:]]-TODAY())</f>
        <v>-</v>
      </c>
      <c r="G93" s="3">
        <v>1</v>
      </c>
      <c r="H93" s="3"/>
    </row>
    <row r="94" spans="1:8" ht="18" hidden="1">
      <c r="A94" s="3">
        <v>194299</v>
      </c>
      <c r="B94" s="7" t="s">
        <v>43</v>
      </c>
      <c r="C94" s="42">
        <v>1568.87</v>
      </c>
      <c r="D94" s="6">
        <v>45568</v>
      </c>
      <c r="E94" s="3" t="str">
        <f ca="1">IF(Tabela2[[#This Row],[Dt Venc:]]&gt;TODAY(),"Em Aberto",IF(Tabela2[[#This Row],[D/venc]]="-","Enviado",IF(Tabela2[[#This Row],[Dt Venc:]]=TODAY(),"Vence Hoje","Vencida")))</f>
        <v>Enviado</v>
      </c>
      <c r="F94" s="3" t="str">
        <f ca="1">IF(G94=1,"-",Tabela2[[#This Row],[Dt Venc:]]-TODAY())</f>
        <v>-</v>
      </c>
      <c r="G94" s="3">
        <v>1</v>
      </c>
      <c r="H94" s="3"/>
    </row>
    <row r="95" spans="1:8" ht="18" hidden="1">
      <c r="A95" s="3">
        <v>206826</v>
      </c>
      <c r="B95" s="7" t="s">
        <v>43</v>
      </c>
      <c r="C95" s="42">
        <v>808.91</v>
      </c>
      <c r="D95" s="6">
        <v>45568</v>
      </c>
      <c r="E95" s="3" t="str">
        <f ca="1">IF(Tabela2[[#This Row],[Dt Venc:]]&gt;TODAY(),"Em Aberto",IF(Tabela2[[#This Row],[D/venc]]="-","Enviado",IF(Tabela2[[#This Row],[Dt Venc:]]=TODAY(),"Vence Hoje","Vencida")))</f>
        <v>Enviado</v>
      </c>
      <c r="F95" s="3" t="str">
        <f ca="1">IF(G95=1,"-",Tabela2[[#This Row],[Dt Venc:]]-TODAY())</f>
        <v>-</v>
      </c>
      <c r="G95" s="3">
        <v>1</v>
      </c>
      <c r="H95" s="3"/>
    </row>
    <row r="96" spans="1:8" ht="18" hidden="1">
      <c r="A96" s="3">
        <v>5440</v>
      </c>
      <c r="B96" s="7" t="s">
        <v>85</v>
      </c>
      <c r="C96" s="42">
        <v>600</v>
      </c>
      <c r="D96" s="6">
        <v>45568</v>
      </c>
      <c r="E96" s="3" t="str">
        <f ca="1">IF(Tabela2[[#This Row],[Dt Venc:]]&gt;TODAY(),"Em Aberto",IF(Tabela2[[#This Row],[D/venc]]="-","Enviado",IF(Tabela2[[#This Row],[Dt Venc:]]=TODAY(),"Vence Hoje","Vencida")))</f>
        <v>Enviado</v>
      </c>
      <c r="F96" s="3" t="str">
        <f ca="1">IF(G96=1,"-",Tabela2[[#This Row],[Dt Venc:]]-TODAY())</f>
        <v>-</v>
      </c>
      <c r="G96" s="3">
        <v>1</v>
      </c>
      <c r="H96" s="3"/>
    </row>
    <row r="97" spans="1:8" ht="18" hidden="1">
      <c r="A97" s="3">
        <v>152579</v>
      </c>
      <c r="B97" s="7" t="s">
        <v>77</v>
      </c>
      <c r="C97" s="41">
        <v>433.33</v>
      </c>
      <c r="D97" s="6">
        <v>45568</v>
      </c>
      <c r="E97" s="3" t="str">
        <f ca="1">IF(Tabela2[[#This Row],[Dt Venc:]]&gt;TODAY(),"Em Aberto",IF(Tabela2[[#This Row],[D/venc]]="-","Enviado",IF(Tabela2[[#This Row],[Dt Venc:]]=TODAY(),"Vence Hoje","Vencida")))</f>
        <v>Enviado</v>
      </c>
      <c r="F97" s="3" t="str">
        <f ca="1">IF(G97=1,"-",Tabela2[[#This Row],[Dt Venc:]]-TODAY())</f>
        <v>-</v>
      </c>
      <c r="G97" s="3">
        <v>1</v>
      </c>
      <c r="H97" s="3"/>
    </row>
    <row r="98" spans="1:8" ht="18" hidden="1">
      <c r="A98" s="3">
        <v>256139</v>
      </c>
      <c r="B98" s="7" t="s">
        <v>36</v>
      </c>
      <c r="C98" s="41">
        <v>270</v>
      </c>
      <c r="D98" s="6">
        <v>45568</v>
      </c>
      <c r="E98" s="3" t="str">
        <f ca="1">IF(Tabela2[[#This Row],[Dt Venc:]]&gt;TODAY(),"Em Aberto",IF(Tabela2[[#This Row],[D/venc]]="-","Enviado",IF(Tabela2[[#This Row],[Dt Venc:]]=TODAY(),"Vence Hoje","Vencida")))</f>
        <v>Enviado</v>
      </c>
      <c r="F98" s="3" t="str">
        <f ca="1">IF(G98=1,"-",Tabela2[[#This Row],[Dt Venc:]]-TODAY())</f>
        <v>-</v>
      </c>
      <c r="G98" s="3">
        <v>1</v>
      </c>
      <c r="H98" s="3"/>
    </row>
    <row r="99" spans="1:8" ht="18" hidden="1">
      <c r="A99" s="3">
        <v>10853</v>
      </c>
      <c r="B99" s="7" t="s">
        <v>33</v>
      </c>
      <c r="C99" s="41">
        <v>400</v>
      </c>
      <c r="D99" s="6">
        <v>45568</v>
      </c>
      <c r="E99" s="3" t="str">
        <f ca="1">IF(Tabela2[[#This Row],[Dt Venc:]]&gt;TODAY(),"Em Aberto",IF(Tabela2[[#This Row],[D/venc]]="-","Enviado",IF(Tabela2[[#This Row],[Dt Venc:]]=TODAY(),"Vence Hoje","Vencida")))</f>
        <v>Enviado</v>
      </c>
      <c r="F99" s="3" t="str">
        <f ca="1">IF(G99=1,"-",Tabela2[[#This Row],[Dt Venc:]]-TODAY())</f>
        <v>-</v>
      </c>
      <c r="G99" s="3">
        <v>1</v>
      </c>
      <c r="H99" s="3"/>
    </row>
    <row r="100" spans="1:8" ht="18" hidden="1">
      <c r="A100" s="3">
        <v>95</v>
      </c>
      <c r="B100" s="7" t="s">
        <v>86</v>
      </c>
      <c r="C100" s="41">
        <v>8700</v>
      </c>
      <c r="D100" s="6">
        <v>45568</v>
      </c>
      <c r="E100" s="3" t="str">
        <f ca="1">IF(Tabela2[[#This Row],[Dt Venc:]]&gt;TODAY(),"Em Aberto",IF(Tabela2[[#This Row],[D/venc]]="-","Enviado",IF(Tabela2[[#This Row],[Dt Venc:]]=TODAY(),"Vence Hoje","Vencida")))</f>
        <v>Enviado</v>
      </c>
      <c r="F100" s="3" t="str">
        <f ca="1">IF(G100=1,"-",Tabela2[[#This Row],[Dt Venc:]]-TODAY())</f>
        <v>-</v>
      </c>
      <c r="G100" s="3">
        <v>1</v>
      </c>
      <c r="H100" s="3"/>
    </row>
    <row r="101" spans="1:8" ht="18" hidden="1">
      <c r="A101" s="3">
        <v>180458</v>
      </c>
      <c r="B101" s="7" t="s">
        <v>87</v>
      </c>
      <c r="C101" s="41">
        <v>644.04</v>
      </c>
      <c r="D101" s="6">
        <v>45568</v>
      </c>
      <c r="E101" s="3" t="str">
        <f ca="1">IF(Tabela2[[#This Row],[Dt Venc:]]&gt;TODAY(),"Em Aberto",IF(Tabela2[[#This Row],[D/venc]]="-","Enviado",IF(Tabela2[[#This Row],[Dt Venc:]]=TODAY(),"Vence Hoje","Vencida")))</f>
        <v>Enviado</v>
      </c>
      <c r="F101" s="3" t="str">
        <f ca="1">IF(G101=1,"-",Tabela2[[#This Row],[Dt Venc:]]-TODAY())</f>
        <v>-</v>
      </c>
      <c r="G101" s="3">
        <v>1</v>
      </c>
      <c r="H101" s="3"/>
    </row>
    <row r="102" spans="1:8" ht="18" hidden="1">
      <c r="A102" s="3">
        <v>220482</v>
      </c>
      <c r="B102" s="7" t="s">
        <v>43</v>
      </c>
      <c r="C102" s="41">
        <v>373.4</v>
      </c>
      <c r="D102" s="6">
        <v>45568</v>
      </c>
      <c r="E102" s="3" t="str">
        <f ca="1">IF(Tabela2[[#This Row],[Dt Venc:]]&gt;TODAY(),"Em Aberto",IF(Tabela2[[#This Row],[D/venc]]="-","Enviado",IF(Tabela2[[#This Row],[Dt Venc:]]=TODAY(),"Vence Hoje","Vencida")))</f>
        <v>Enviado</v>
      </c>
      <c r="F102" s="3" t="str">
        <f ca="1">IF(G102=1,"-",Tabela2[[#This Row],[Dt Venc:]]-TODAY())</f>
        <v>-</v>
      </c>
      <c r="G102" s="3">
        <v>1</v>
      </c>
      <c r="H102" s="3"/>
    </row>
    <row r="103" spans="1:8" ht="18" hidden="1">
      <c r="A103" s="3">
        <v>220805</v>
      </c>
      <c r="B103" s="7" t="s">
        <v>43</v>
      </c>
      <c r="C103" s="41">
        <v>539.71</v>
      </c>
      <c r="D103" s="6">
        <v>45568</v>
      </c>
      <c r="E103" s="3" t="str">
        <f ca="1">IF(Tabela2[[#This Row],[Dt Venc:]]&gt;TODAY(),"Em Aberto",IF(Tabela2[[#This Row],[D/venc]]="-","Enviado",IF(Tabela2[[#This Row],[Dt Venc:]]=TODAY(),"Vence Hoje","Vencida")))</f>
        <v>Enviado</v>
      </c>
      <c r="F103" s="3" t="str">
        <f ca="1">IF(G103=1,"-",Tabela2[[#This Row],[Dt Venc:]]-TODAY())</f>
        <v>-</v>
      </c>
      <c r="G103" s="3">
        <v>1</v>
      </c>
      <c r="H103" s="3"/>
    </row>
    <row r="104" spans="1:8" ht="18" hidden="1">
      <c r="A104" s="3">
        <v>9269</v>
      </c>
      <c r="B104" s="7" t="s">
        <v>88</v>
      </c>
      <c r="C104" s="41">
        <v>578.21</v>
      </c>
      <c r="D104" s="6">
        <v>45568</v>
      </c>
      <c r="E104" s="3" t="str">
        <f ca="1">IF(Tabela2[[#This Row],[Dt Venc:]]&gt;TODAY(),"Em Aberto",IF(Tabela2[[#This Row],[D/venc]]="-","Enviado",IF(Tabela2[[#This Row],[Dt Venc:]]=TODAY(),"Vence Hoje","Vencida")))</f>
        <v>Enviado</v>
      </c>
      <c r="F104" s="3" t="str">
        <f ca="1">IF(G104=1,"-",Tabela2[[#This Row],[Dt Venc:]]-TODAY())</f>
        <v>-</v>
      </c>
      <c r="G104" s="3">
        <v>1</v>
      </c>
      <c r="H104" s="3"/>
    </row>
    <row r="105" spans="1:8" ht="18" hidden="1">
      <c r="A105" s="3">
        <v>423711</v>
      </c>
      <c r="B105" s="7" t="s">
        <v>89</v>
      </c>
      <c r="C105" s="41">
        <v>858</v>
      </c>
      <c r="D105" s="6">
        <v>45568</v>
      </c>
      <c r="E105" s="3" t="str">
        <f ca="1">IF(Tabela2[[#This Row],[Dt Venc:]]&gt;TODAY(),"Em Aberto",IF(Tabela2[[#This Row],[D/venc]]="-","Enviado",IF(Tabela2[[#This Row],[Dt Venc:]]=TODAY(),"Vence Hoje","Vencida")))</f>
        <v>Enviado</v>
      </c>
      <c r="F105" s="3" t="str">
        <f ca="1">IF(G105=1,"-",Tabela2[[#This Row],[Dt Venc:]]-TODAY())</f>
        <v>-</v>
      </c>
      <c r="G105" s="3">
        <v>1</v>
      </c>
      <c r="H105" s="3"/>
    </row>
    <row r="106" spans="1:8" ht="18" hidden="1">
      <c r="A106" s="3">
        <v>4450995</v>
      </c>
      <c r="B106" s="7" t="s">
        <v>90</v>
      </c>
      <c r="C106" s="41">
        <v>2175.23</v>
      </c>
      <c r="D106" s="6">
        <v>45568</v>
      </c>
      <c r="E106" s="3" t="str">
        <f ca="1">IF(Tabela2[[#This Row],[Dt Venc:]]&gt;TODAY(),"Em Aberto",IF(Tabela2[[#This Row],[D/venc]]="-","Enviado",IF(Tabela2[[#This Row],[Dt Venc:]]=TODAY(),"Vence Hoje","Vencida")))</f>
        <v>Enviado</v>
      </c>
      <c r="F106" s="3" t="str">
        <f ca="1">IF(G106=1,"-",Tabela2[[#This Row],[Dt Venc:]]-TODAY())</f>
        <v>-</v>
      </c>
      <c r="G106" s="3">
        <v>1</v>
      </c>
      <c r="H106" s="3"/>
    </row>
    <row r="107" spans="1:8" ht="18" hidden="1">
      <c r="A107" s="3">
        <v>2505</v>
      </c>
      <c r="B107" s="7" t="s">
        <v>91</v>
      </c>
      <c r="C107" s="41">
        <v>280</v>
      </c>
      <c r="D107" s="6">
        <v>45568</v>
      </c>
      <c r="E107" s="3" t="str">
        <f ca="1">IF(Tabela2[[#This Row],[Dt Venc:]]&gt;TODAY(),"Em Aberto",IF(Tabela2[[#This Row],[D/venc]]="-","Enviado",IF(Tabela2[[#This Row],[Dt Venc:]]=TODAY(),"Vence Hoje","Vencida")))</f>
        <v>Enviado</v>
      </c>
      <c r="F107" s="3" t="str">
        <f ca="1">IF(G107=1,"-",Tabela2[[#This Row],[Dt Venc:]]-TODAY())</f>
        <v>-</v>
      </c>
      <c r="G107" s="3">
        <v>1</v>
      </c>
      <c r="H107" s="3"/>
    </row>
    <row r="108" spans="1:8" ht="18" hidden="1">
      <c r="A108" s="3">
        <v>10854</v>
      </c>
      <c r="B108" s="7" t="s">
        <v>33</v>
      </c>
      <c r="C108" s="41">
        <v>1625</v>
      </c>
      <c r="D108" s="6">
        <v>45568</v>
      </c>
      <c r="E108" s="3" t="str">
        <f ca="1">IF(Tabela2[[#This Row],[Dt Venc:]]&gt;TODAY(),"Em Aberto",IF(Tabela2[[#This Row],[D/venc]]="-","Enviado",IF(Tabela2[[#This Row],[Dt Venc:]]=TODAY(),"Vence Hoje","Vencida")))</f>
        <v>Enviado</v>
      </c>
      <c r="F108" s="3" t="str">
        <f ca="1">IF(G108=1,"-",Tabela2[[#This Row],[Dt Venc:]]-TODAY())</f>
        <v>-</v>
      </c>
      <c r="G108" s="3">
        <v>1</v>
      </c>
      <c r="H108" s="3"/>
    </row>
    <row r="109" spans="1:8" ht="18" hidden="1">
      <c r="A109" s="3">
        <v>1523</v>
      </c>
      <c r="B109" s="7" t="s">
        <v>92</v>
      </c>
      <c r="C109" s="41">
        <v>95</v>
      </c>
      <c r="D109" s="6">
        <v>45568</v>
      </c>
      <c r="E109" s="3" t="str">
        <f ca="1">IF(Tabela2[[#This Row],[Dt Venc:]]&gt;TODAY(),"Em Aberto",IF(Tabela2[[#This Row],[D/venc]]="-","Enviado",IF(Tabela2[[#This Row],[Dt Venc:]]=TODAY(),"Vence Hoje","Vencida")))</f>
        <v>Enviado</v>
      </c>
      <c r="F109" s="3" t="str">
        <f ca="1">IF(G109=1,"-",Tabela2[[#This Row],[Dt Venc:]]-TODAY())</f>
        <v>-</v>
      </c>
      <c r="G109" s="3">
        <v>1</v>
      </c>
      <c r="H109" s="3"/>
    </row>
    <row r="110" spans="1:8" ht="18" hidden="1">
      <c r="A110" s="3">
        <v>8058</v>
      </c>
      <c r="B110" s="7" t="s">
        <v>93</v>
      </c>
      <c r="C110" s="41">
        <v>2650</v>
      </c>
      <c r="D110" s="6">
        <v>45568</v>
      </c>
      <c r="E110" s="3" t="str">
        <f ca="1">IF(Tabela2[[#This Row],[Dt Venc:]]&gt;TODAY(),"Em Aberto",IF(Tabela2[[#This Row],[D/venc]]="-","Enviado",IF(Tabela2[[#This Row],[Dt Venc:]]=TODAY(),"Vence Hoje","Vencida")))</f>
        <v>Enviado</v>
      </c>
      <c r="F110" s="3" t="str">
        <f ca="1">IF(G110=1,"-",Tabela2[[#This Row],[Dt Venc:]]-TODAY())</f>
        <v>-</v>
      </c>
      <c r="G110" s="3">
        <v>1</v>
      </c>
      <c r="H110" s="3"/>
    </row>
    <row r="111" spans="1:8" ht="18" hidden="1">
      <c r="A111" s="3">
        <v>36199</v>
      </c>
      <c r="B111" s="7" t="s">
        <v>94</v>
      </c>
      <c r="C111" s="41">
        <v>81450</v>
      </c>
      <c r="D111" s="6">
        <v>45568</v>
      </c>
      <c r="E111" s="3" t="str">
        <f ca="1">IF(Tabela2[[#This Row],[Dt Venc:]]&gt;TODAY(),"Em Aberto",IF(Tabela2[[#This Row],[D/venc]]="-","Enviado",IF(Tabela2[[#This Row],[Dt Venc:]]=TODAY(),"Vence Hoje","Vencida")))</f>
        <v>Enviado</v>
      </c>
      <c r="F111" s="3" t="str">
        <f ca="1">IF(G111=1,"-",Tabela2[[#This Row],[Dt Venc:]]-TODAY())</f>
        <v>-</v>
      </c>
      <c r="G111" s="3">
        <v>1</v>
      </c>
      <c r="H111" s="3"/>
    </row>
    <row r="112" spans="1:8" ht="18" hidden="1">
      <c r="A112" s="3">
        <v>442046</v>
      </c>
      <c r="B112" s="7" t="s">
        <v>59</v>
      </c>
      <c r="C112" s="41">
        <v>54689</v>
      </c>
      <c r="D112" s="6">
        <v>45568</v>
      </c>
      <c r="E112" s="3" t="str">
        <f ca="1">IF(Tabela2[[#This Row],[Dt Venc:]]&gt;TODAY(),"Em Aberto",IF(Tabela2[[#This Row],[D/venc]]="-","Enviado",IF(Tabela2[[#This Row],[Dt Venc:]]=TODAY(),"Vence Hoje","Vencida")))</f>
        <v>Enviado</v>
      </c>
      <c r="F112" s="3" t="str">
        <f ca="1">IF(G112=1,"-",Tabela2[[#This Row],[Dt Venc:]]-TODAY())</f>
        <v>-</v>
      </c>
      <c r="G112" s="3">
        <v>1</v>
      </c>
      <c r="H112" s="3"/>
    </row>
    <row r="113" spans="1:8" ht="18" hidden="1">
      <c r="A113" s="3">
        <v>56</v>
      </c>
      <c r="B113" s="7" t="s">
        <v>95</v>
      </c>
      <c r="C113" s="41">
        <v>3228</v>
      </c>
      <c r="D113" s="6">
        <v>45568</v>
      </c>
      <c r="E113" s="3" t="str">
        <f ca="1">IF(Tabela2[[#This Row],[Dt Venc:]]&gt;TODAY(),"Em Aberto",IF(Tabela2[[#This Row],[D/venc]]="-","Enviado",IF(Tabela2[[#This Row],[Dt Venc:]]=TODAY(),"Vence Hoje","Vencida")))</f>
        <v>Enviado</v>
      </c>
      <c r="F113" s="3" t="str">
        <f ca="1">IF(G113=1,"-",Tabela2[[#This Row],[Dt Venc:]]-TODAY())</f>
        <v>-</v>
      </c>
      <c r="G113" s="3">
        <v>1</v>
      </c>
      <c r="H113" s="3"/>
    </row>
    <row r="114" spans="1:8" ht="18" hidden="1">
      <c r="A114" s="3">
        <v>2003</v>
      </c>
      <c r="B114" s="7" t="s">
        <v>96</v>
      </c>
      <c r="C114" s="41">
        <v>800</v>
      </c>
      <c r="D114" s="6">
        <v>45568</v>
      </c>
      <c r="E114" s="3" t="str">
        <f ca="1">IF(Tabela2[[#This Row],[Dt Venc:]]&gt;TODAY(),"Em Aberto",IF(Tabela2[[#This Row],[D/venc]]="-","Enviado",IF(Tabela2[[#This Row],[Dt Venc:]]=TODAY(),"Vence Hoje","Vencida")))</f>
        <v>Enviado</v>
      </c>
      <c r="F114" s="3" t="str">
        <f ca="1">IF(G114=1,"-",Tabela2[[#This Row],[Dt Venc:]]-TODAY())</f>
        <v>-</v>
      </c>
      <c r="G114" s="3">
        <v>1</v>
      </c>
      <c r="H114" s="3"/>
    </row>
    <row r="115" spans="1:8" ht="18" hidden="1">
      <c r="A115" s="3">
        <v>10567</v>
      </c>
      <c r="B115" s="7" t="s">
        <v>33</v>
      </c>
      <c r="C115" s="42">
        <v>1553.33</v>
      </c>
      <c r="D115" s="6">
        <v>45569</v>
      </c>
      <c r="E115" s="3" t="str">
        <f ca="1">IF(Tabela2[[#This Row],[Dt Venc:]]&gt;TODAY(),"Em Aberto",IF(Tabela2[[#This Row],[D/venc]]="-","Enviado",IF(Tabela2[[#This Row],[Dt Venc:]]=TODAY(),"Vence Hoje","Vencida")))</f>
        <v>Enviado</v>
      </c>
      <c r="F115" s="3" t="str">
        <f ca="1">IF(G115=1,"-",Tabela2[[#This Row],[Dt Venc:]]-TODAY())</f>
        <v>-</v>
      </c>
      <c r="G115" s="3">
        <v>1</v>
      </c>
      <c r="H115" s="3"/>
    </row>
    <row r="116" spans="1:8" ht="18" hidden="1">
      <c r="A116" s="3">
        <v>29042</v>
      </c>
      <c r="B116" s="7" t="s">
        <v>97</v>
      </c>
      <c r="C116" s="42">
        <v>3285</v>
      </c>
      <c r="D116" s="6">
        <v>45569</v>
      </c>
      <c r="E116" s="3" t="str">
        <f ca="1">IF(Tabela2[[#This Row],[Dt Venc:]]&gt;TODAY(),"Em Aberto",IF(Tabela2[[#This Row],[D/venc]]="-","Enviado",IF(Tabela2[[#This Row],[Dt Venc:]]=TODAY(),"Vence Hoje","Vencida")))</f>
        <v>Enviado</v>
      </c>
      <c r="F116" s="3" t="str">
        <f ca="1">IF(G116=1,"-",Tabela2[[#This Row],[Dt Venc:]]-TODAY())</f>
        <v>-</v>
      </c>
      <c r="G116" s="3">
        <v>1</v>
      </c>
      <c r="H116" s="3"/>
    </row>
    <row r="117" spans="1:8" ht="18" hidden="1">
      <c r="A117" s="3">
        <v>69145</v>
      </c>
      <c r="B117" s="7" t="s">
        <v>76</v>
      </c>
      <c r="C117" s="42">
        <v>616.66</v>
      </c>
      <c r="D117" s="6">
        <v>45569</v>
      </c>
      <c r="E117" s="3" t="str">
        <f ca="1">IF(Tabela2[[#This Row],[Dt Venc:]]&gt;TODAY(),"Em Aberto",IF(Tabela2[[#This Row],[D/venc]]="-","Enviado",IF(Tabela2[[#This Row],[Dt Venc:]]=TODAY(),"Vence Hoje","Vencida")))</f>
        <v>Enviado</v>
      </c>
      <c r="F117" s="3" t="str">
        <f ca="1">IF(G117=1,"-",Tabela2[[#This Row],[Dt Venc:]]-TODAY())</f>
        <v>-</v>
      </c>
      <c r="G117" s="3">
        <v>1</v>
      </c>
      <c r="H117" s="3"/>
    </row>
    <row r="118" spans="1:8" ht="18" hidden="1">
      <c r="A118" s="3">
        <v>189026</v>
      </c>
      <c r="B118" s="7" t="s">
        <v>43</v>
      </c>
      <c r="C118" s="42">
        <v>1269.5</v>
      </c>
      <c r="D118" s="6">
        <v>45569</v>
      </c>
      <c r="E118" s="3" t="str">
        <f ca="1">IF(Tabela2[[#This Row],[Dt Venc:]]&gt;TODAY(),"Em Aberto",IF(Tabela2[[#This Row],[D/venc]]="-","Enviado",IF(Tabela2[[#This Row],[Dt Venc:]]=TODAY(),"Vence Hoje","Vencida")))</f>
        <v>Enviado</v>
      </c>
      <c r="F118" s="3" t="str">
        <f ca="1">IF(G118=1,"-",Tabela2[[#This Row],[Dt Venc:]]-TODAY())</f>
        <v>-</v>
      </c>
      <c r="G118" s="3">
        <v>1</v>
      </c>
      <c r="H118" s="3"/>
    </row>
    <row r="119" spans="1:8" ht="18" hidden="1">
      <c r="A119" s="3">
        <v>194814</v>
      </c>
      <c r="B119" s="7" t="s">
        <v>43</v>
      </c>
      <c r="C119" s="42">
        <v>1197.3399999999999</v>
      </c>
      <c r="D119" s="6">
        <v>45569</v>
      </c>
      <c r="E119" s="3" t="str">
        <f ca="1">IF(Tabela2[[#This Row],[Dt Venc:]]&gt;TODAY(),"Em Aberto",IF(Tabela2[[#This Row],[D/venc]]="-","Enviado",IF(Tabela2[[#This Row],[Dt Venc:]]=TODAY(),"Vence Hoje","Vencida")))</f>
        <v>Enviado</v>
      </c>
      <c r="F119" s="3" t="str">
        <f ca="1">IF(G119=1,"-",Tabela2[[#This Row],[Dt Venc:]]-TODAY())</f>
        <v>-</v>
      </c>
      <c r="G119" s="3">
        <v>1</v>
      </c>
      <c r="H119" s="3"/>
    </row>
    <row r="120" spans="1:8" ht="18" hidden="1">
      <c r="A120" s="3">
        <v>194815</v>
      </c>
      <c r="B120" s="7" t="s">
        <v>43</v>
      </c>
      <c r="C120" s="42">
        <v>498.7</v>
      </c>
      <c r="D120" s="6">
        <v>45569</v>
      </c>
      <c r="E120" s="3" t="str">
        <f ca="1">IF(Tabela2[[#This Row],[Dt Venc:]]&gt;TODAY(),"Em Aberto",IF(Tabela2[[#This Row],[D/venc]]="-","Enviado",IF(Tabela2[[#This Row],[Dt Venc:]]=TODAY(),"Vence Hoje","Vencida")))</f>
        <v>Enviado</v>
      </c>
      <c r="F120" s="3" t="str">
        <f ca="1">IF(G120=1,"-",Tabela2[[#This Row],[Dt Venc:]]-TODAY())</f>
        <v>-</v>
      </c>
      <c r="G120" s="3">
        <v>1</v>
      </c>
      <c r="H120" s="3"/>
    </row>
    <row r="121" spans="1:8" ht="18" hidden="1">
      <c r="A121" s="3">
        <v>207731</v>
      </c>
      <c r="B121" s="7" t="s">
        <v>43</v>
      </c>
      <c r="C121" s="42">
        <v>846.4</v>
      </c>
      <c r="D121" s="6">
        <v>45569</v>
      </c>
      <c r="E121" s="3" t="str">
        <f ca="1">IF(Tabela2[[#This Row],[Dt Venc:]]&gt;TODAY(),"Em Aberto",IF(Tabela2[[#This Row],[D/venc]]="-","Enviado",IF(Tabela2[[#This Row],[Dt Venc:]]=TODAY(),"Vence Hoje","Vencida")))</f>
        <v>Enviado</v>
      </c>
      <c r="F121" s="3" t="str">
        <f ca="1">IF(G121=1,"-",Tabela2[[#This Row],[Dt Venc:]]-TODAY())</f>
        <v>-</v>
      </c>
      <c r="G121" s="3">
        <v>1</v>
      </c>
      <c r="H121" s="3"/>
    </row>
    <row r="122" spans="1:8" ht="18" hidden="1">
      <c r="A122" s="3">
        <v>24327</v>
      </c>
      <c r="B122" s="7" t="s">
        <v>98</v>
      </c>
      <c r="C122" s="42">
        <v>864.09</v>
      </c>
      <c r="D122" s="6">
        <v>45569</v>
      </c>
      <c r="E122" s="3" t="str">
        <f ca="1">IF(Tabela2[[#This Row],[Dt Venc:]]&gt;TODAY(),"Em Aberto",IF(Tabela2[[#This Row],[D/venc]]="-","Enviado",IF(Tabela2[[#This Row],[Dt Venc:]]=TODAY(),"Vence Hoje","Vencida")))</f>
        <v>Enviado</v>
      </c>
      <c r="F122" s="3" t="str">
        <f ca="1">IF(G122=1,"-",Tabela2[[#This Row],[Dt Venc:]]-TODAY())</f>
        <v>-</v>
      </c>
      <c r="G122" s="3">
        <v>1</v>
      </c>
      <c r="H122" s="3"/>
    </row>
    <row r="123" spans="1:8" ht="18" hidden="1">
      <c r="A123" s="3">
        <v>15064</v>
      </c>
      <c r="B123" s="7" t="s">
        <v>99</v>
      </c>
      <c r="C123" s="42">
        <v>850</v>
      </c>
      <c r="D123" s="6">
        <v>45569</v>
      </c>
      <c r="E123" s="3" t="str">
        <f ca="1">IF(Tabela2[[#This Row],[Dt Venc:]]&gt;TODAY(),"Em Aberto",IF(Tabela2[[#This Row],[D/venc]]="-","Enviado",IF(Tabela2[[#This Row],[Dt Venc:]]=TODAY(),"Vence Hoje","Vencida")))</f>
        <v>Enviado</v>
      </c>
      <c r="F123" s="3" t="str">
        <f ca="1">IF(G123=1,"-",Tabela2[[#This Row],[Dt Venc:]]-TODAY())</f>
        <v>-</v>
      </c>
      <c r="G123" s="3">
        <v>1</v>
      </c>
      <c r="H123" s="3"/>
    </row>
    <row r="124" spans="1:8" ht="18" hidden="1">
      <c r="A124" s="3">
        <v>19666</v>
      </c>
      <c r="B124" s="7" t="s">
        <v>70</v>
      </c>
      <c r="C124" s="42">
        <v>1472.2</v>
      </c>
      <c r="D124" s="6">
        <v>45569</v>
      </c>
      <c r="E124" s="3" t="str">
        <f ca="1">IF(Tabela2[[#This Row],[Dt Venc:]]&gt;TODAY(),"Em Aberto",IF(Tabela2[[#This Row],[D/venc]]="-","Enviado",IF(Tabela2[[#This Row],[Dt Venc:]]=TODAY(),"Vence Hoje","Vencida")))</f>
        <v>Enviado</v>
      </c>
      <c r="F124" s="3" t="str">
        <f ca="1">IF(G124=1,"-",Tabela2[[#This Row],[Dt Venc:]]-TODAY())</f>
        <v>-</v>
      </c>
      <c r="G124" s="3">
        <v>1</v>
      </c>
      <c r="H124" s="3"/>
    </row>
    <row r="125" spans="1:8" ht="18" hidden="1">
      <c r="A125" s="3">
        <v>254197</v>
      </c>
      <c r="B125" s="7" t="s">
        <v>49</v>
      </c>
      <c r="C125" s="41">
        <v>1045</v>
      </c>
      <c r="D125" s="6">
        <v>45569</v>
      </c>
      <c r="E125" s="3" t="str">
        <f ca="1">IF(Tabela2[[#This Row],[Dt Venc:]]&gt;TODAY(),"Em Aberto",IF(Tabela2[[#This Row],[D/venc]]="-","Enviado",IF(Tabela2[[#This Row],[Dt Venc:]]=TODAY(),"Vence Hoje","Vencida")))</f>
        <v>Enviado</v>
      </c>
      <c r="F125" s="3" t="str">
        <f ca="1">IF(G125=1,"-",Tabela2[[#This Row],[Dt Venc:]]-TODAY())</f>
        <v>-</v>
      </c>
      <c r="G125" s="3">
        <v>1</v>
      </c>
      <c r="H125" s="3"/>
    </row>
    <row r="126" spans="1:8" ht="18" hidden="1">
      <c r="A126" s="3">
        <v>2971</v>
      </c>
      <c r="B126" s="7" t="s">
        <v>100</v>
      </c>
      <c r="C126" s="41">
        <v>1333.33</v>
      </c>
      <c r="D126" s="6">
        <v>45569</v>
      </c>
      <c r="E126" s="3" t="str">
        <f ca="1">IF(Tabela2[[#This Row],[Dt Venc:]]&gt;TODAY(),"Em Aberto",IF(Tabela2[[#This Row],[D/venc]]="-","Enviado",IF(Tabela2[[#This Row],[Dt Venc:]]=TODAY(),"Vence Hoje","Vencida")))</f>
        <v>Enviado</v>
      </c>
      <c r="F126" s="3" t="str">
        <f ca="1">IF(G126=1,"-",Tabela2[[#This Row],[Dt Venc:]]-TODAY())</f>
        <v>-</v>
      </c>
      <c r="G126" s="3">
        <v>1</v>
      </c>
      <c r="H126" s="3"/>
    </row>
    <row r="127" spans="1:8" ht="18" hidden="1">
      <c r="A127" s="3">
        <v>254498</v>
      </c>
      <c r="B127" s="7" t="s">
        <v>49</v>
      </c>
      <c r="C127" s="41">
        <v>1045</v>
      </c>
      <c r="D127" s="6">
        <v>45569</v>
      </c>
      <c r="E127" s="3" t="str">
        <f ca="1">IF(Tabela2[[#This Row],[Dt Venc:]]&gt;TODAY(),"Em Aberto",IF(Tabela2[[#This Row],[D/venc]]="-","Enviado",IF(Tabela2[[#This Row],[Dt Venc:]]=TODAY(),"Vence Hoje","Vencida")))</f>
        <v>Enviado</v>
      </c>
      <c r="F127" s="3" t="str">
        <f ca="1">IF(G127=1,"-",Tabela2[[#This Row],[Dt Venc:]]-TODAY())</f>
        <v>-</v>
      </c>
      <c r="G127" s="3">
        <v>1</v>
      </c>
      <c r="H127" s="3"/>
    </row>
    <row r="128" spans="1:8" ht="18" hidden="1">
      <c r="A128" s="3">
        <v>2482</v>
      </c>
      <c r="B128" s="7" t="s">
        <v>91</v>
      </c>
      <c r="C128" s="41">
        <v>280</v>
      </c>
      <c r="D128" s="6">
        <v>45569</v>
      </c>
      <c r="E128" s="3" t="str">
        <f ca="1">IF(Tabela2[[#This Row],[Dt Venc:]]&gt;TODAY(),"Em Aberto",IF(Tabela2[[#This Row],[D/venc]]="-","Enviado",IF(Tabela2[[#This Row],[Dt Venc:]]=TODAY(),"Vence Hoje","Vencida")))</f>
        <v>Enviado</v>
      </c>
      <c r="F128" s="3" t="str">
        <f ca="1">IF(G128=1,"-",Tabela2[[#This Row],[Dt Venc:]]-TODAY())</f>
        <v>-</v>
      </c>
      <c r="G128" s="3">
        <v>1</v>
      </c>
      <c r="H128" s="3"/>
    </row>
    <row r="129" spans="1:8" ht="18" hidden="1">
      <c r="A129" s="3">
        <v>4910</v>
      </c>
      <c r="B129" s="7" t="s">
        <v>101</v>
      </c>
      <c r="C129" s="41">
        <v>6360</v>
      </c>
      <c r="D129" s="6">
        <v>45569</v>
      </c>
      <c r="E129" s="3" t="str">
        <f ca="1">IF(Tabela2[[#This Row],[Dt Venc:]]&gt;TODAY(),"Em Aberto",IF(Tabela2[[#This Row],[D/venc]]="-","Enviado",IF(Tabela2[[#This Row],[Dt Venc:]]=TODAY(),"Vence Hoje","Vencida")))</f>
        <v>Enviado</v>
      </c>
      <c r="F129" s="3" t="str">
        <f ca="1">IF(G129=1,"-",Tabela2[[#This Row],[Dt Venc:]]-TODAY())</f>
        <v>-</v>
      </c>
      <c r="G129" s="3">
        <v>1</v>
      </c>
      <c r="H129" s="3"/>
    </row>
    <row r="130" spans="1:8" ht="18" hidden="1">
      <c r="A130" s="3">
        <v>13912</v>
      </c>
      <c r="B130" s="7" t="s">
        <v>102</v>
      </c>
      <c r="C130" s="41">
        <v>560</v>
      </c>
      <c r="D130" s="6">
        <v>45569</v>
      </c>
      <c r="E130" s="3" t="str">
        <f ca="1">IF(Tabela2[[#This Row],[Dt Venc:]]&gt;TODAY(),"Em Aberto",IF(Tabela2[[#This Row],[D/venc]]="-","Enviado",IF(Tabela2[[#This Row],[Dt Venc:]]=TODAY(),"Vence Hoje","Vencida")))</f>
        <v>Enviado</v>
      </c>
      <c r="F130" s="3" t="str">
        <f ca="1">IF(G130=1,"-",Tabela2[[#This Row],[Dt Venc:]]-TODAY())</f>
        <v>-</v>
      </c>
      <c r="G130" s="3">
        <v>1</v>
      </c>
      <c r="H130" s="3"/>
    </row>
    <row r="131" spans="1:8" ht="18" hidden="1">
      <c r="A131" s="3">
        <v>4831</v>
      </c>
      <c r="B131" s="7" t="s">
        <v>62</v>
      </c>
      <c r="C131" s="41">
        <v>700</v>
      </c>
      <c r="D131" s="6">
        <v>45569</v>
      </c>
      <c r="E131" s="3" t="str">
        <f ca="1">IF(Tabela2[[#This Row],[Dt Venc:]]&gt;TODAY(),"Em Aberto",IF(Tabela2[[#This Row],[D/venc]]="-","Enviado",IF(Tabela2[[#This Row],[Dt Venc:]]=TODAY(),"Vence Hoje","Vencida")))</f>
        <v>Enviado</v>
      </c>
      <c r="F131" s="3" t="str">
        <f ca="1">IF(G131=1,"-",Tabela2[[#This Row],[Dt Venc:]]-TODAY())</f>
        <v>-</v>
      </c>
      <c r="G131" s="3">
        <v>1</v>
      </c>
      <c r="H131" s="3"/>
    </row>
    <row r="132" spans="1:8" ht="18" hidden="1">
      <c r="A132" s="3">
        <v>1483</v>
      </c>
      <c r="B132" s="7" t="s">
        <v>78</v>
      </c>
      <c r="C132" s="41">
        <v>924</v>
      </c>
      <c r="D132" s="6">
        <v>45569</v>
      </c>
      <c r="E132" s="3" t="str">
        <f ca="1">IF(Tabela2[[#This Row],[Dt Venc:]]&gt;TODAY(),"Em Aberto",IF(Tabela2[[#This Row],[D/venc]]="-","Enviado",IF(Tabela2[[#This Row],[Dt Venc:]]=TODAY(),"Vence Hoje","Vencida")))</f>
        <v>Enviado</v>
      </c>
      <c r="F132" s="3" t="str">
        <f ca="1">IF(G132=1,"-",Tabela2[[#This Row],[Dt Venc:]]-TODAY())</f>
        <v>-</v>
      </c>
      <c r="G132" s="3">
        <v>1</v>
      </c>
      <c r="H132" s="3"/>
    </row>
    <row r="133" spans="1:8" ht="18" hidden="1">
      <c r="A133" s="3">
        <v>217457</v>
      </c>
      <c r="B133" s="7" t="s">
        <v>73</v>
      </c>
      <c r="C133" s="41">
        <v>363</v>
      </c>
      <c r="D133" s="6">
        <v>45569</v>
      </c>
      <c r="E133" s="3" t="str">
        <f ca="1">IF(Tabela2[[#This Row],[Dt Venc:]]&gt;TODAY(),"Em Aberto",IF(Tabela2[[#This Row],[D/venc]]="-","Enviado",IF(Tabela2[[#This Row],[Dt Venc:]]=TODAY(),"Vence Hoje","Vencida")))</f>
        <v>Enviado</v>
      </c>
      <c r="F133" s="3" t="str">
        <f ca="1">IF(G133=1,"-",Tabela2[[#This Row],[Dt Venc:]]-TODAY())</f>
        <v>-</v>
      </c>
      <c r="G133" s="3">
        <v>1</v>
      </c>
      <c r="H133" s="3"/>
    </row>
    <row r="134" spans="1:8" ht="18" hidden="1">
      <c r="A134" s="3">
        <v>6</v>
      </c>
      <c r="B134" s="7" t="s">
        <v>103</v>
      </c>
      <c r="C134" s="41">
        <v>396.66</v>
      </c>
      <c r="D134" s="6">
        <v>45569</v>
      </c>
      <c r="E134" s="3" t="str">
        <f ca="1">IF(Tabela2[[#This Row],[Dt Venc:]]&gt;TODAY(),"Em Aberto",IF(Tabela2[[#This Row],[D/venc]]="-","Enviado",IF(Tabela2[[#This Row],[Dt Venc:]]=TODAY(),"Vence Hoje","Vencida")))</f>
        <v>Enviado</v>
      </c>
      <c r="F134" s="3" t="str">
        <f ca="1">IF(G134=1,"-",Tabela2[[#This Row],[Dt Venc:]]-TODAY())</f>
        <v>-</v>
      </c>
      <c r="G134" s="3">
        <v>1</v>
      </c>
      <c r="H134" s="3"/>
    </row>
    <row r="135" spans="1:8" ht="18" hidden="1">
      <c r="A135" s="3">
        <v>324861</v>
      </c>
      <c r="B135" s="7" t="s">
        <v>77</v>
      </c>
      <c r="C135" s="41">
        <v>100</v>
      </c>
      <c r="D135" s="6">
        <v>45569</v>
      </c>
      <c r="E135" s="3" t="str">
        <f ca="1">IF(Tabela2[[#This Row],[Dt Venc:]]&gt;TODAY(),"Em Aberto",IF(Tabela2[[#This Row],[D/venc]]="-","Enviado",IF(Tabela2[[#This Row],[Dt Venc:]]=TODAY(),"Vence Hoje","Vencida")))</f>
        <v>Enviado</v>
      </c>
      <c r="F135" s="3" t="str">
        <f ca="1">IF(G135=1,"-",Tabela2[[#This Row],[Dt Venc:]]-TODAY())</f>
        <v>-</v>
      </c>
      <c r="G135" s="3">
        <v>1</v>
      </c>
      <c r="H135" s="3"/>
    </row>
    <row r="136" spans="1:8" ht="18" hidden="1">
      <c r="A136" s="3">
        <v>254796</v>
      </c>
      <c r="B136" s="7" t="s">
        <v>49</v>
      </c>
      <c r="C136" s="41">
        <v>1045</v>
      </c>
      <c r="D136" s="6">
        <v>45569</v>
      </c>
      <c r="E136" s="3" t="str">
        <f ca="1">IF(Tabela2[[#This Row],[Dt Venc:]]&gt;TODAY(),"Em Aberto",IF(Tabela2[[#This Row],[D/venc]]="-","Enviado",IF(Tabela2[[#This Row],[Dt Venc:]]=TODAY(),"Vence Hoje","Vencida")))</f>
        <v>Enviado</v>
      </c>
      <c r="F136" s="3" t="str">
        <f ca="1">IF(G136=1,"-",Tabela2[[#This Row],[Dt Venc:]]-TODAY())</f>
        <v>-</v>
      </c>
      <c r="G136" s="3">
        <v>1</v>
      </c>
      <c r="H136" s="3"/>
    </row>
    <row r="137" spans="1:8" ht="18" hidden="1">
      <c r="A137" s="3">
        <v>2715</v>
      </c>
      <c r="B137" s="7" t="s">
        <v>104</v>
      </c>
      <c r="C137" s="41">
        <v>656.6</v>
      </c>
      <c r="D137" s="6">
        <v>45569</v>
      </c>
      <c r="E137" s="3" t="str">
        <f ca="1">IF(Tabela2[[#This Row],[Dt Venc:]]&gt;TODAY(),"Em Aberto",IF(Tabela2[[#This Row],[D/venc]]="-","Enviado",IF(Tabela2[[#This Row],[Dt Venc:]]=TODAY(),"Vence Hoje","Vencida")))</f>
        <v>Enviado</v>
      </c>
      <c r="F137" s="3" t="str">
        <f ca="1">IF(G137=1,"-",Tabela2[[#This Row],[Dt Venc:]]-TODAY())</f>
        <v>-</v>
      </c>
      <c r="G137" s="3">
        <v>1</v>
      </c>
      <c r="H137" s="3"/>
    </row>
    <row r="138" spans="1:8" ht="18" hidden="1">
      <c r="A138" s="3">
        <v>6052</v>
      </c>
      <c r="B138" s="7" t="s">
        <v>105</v>
      </c>
      <c r="C138" s="41">
        <v>688</v>
      </c>
      <c r="D138" s="6">
        <v>45569</v>
      </c>
      <c r="E138" s="3" t="str">
        <f ca="1">IF(Tabela2[[#This Row],[Dt Venc:]]&gt;TODAY(),"Em Aberto",IF(Tabela2[[#This Row],[D/venc]]="-","Enviado",IF(Tabela2[[#This Row],[Dt Venc:]]=TODAY(),"Vence Hoje","Vencida")))</f>
        <v>Enviado</v>
      </c>
      <c r="F138" s="3" t="str">
        <f ca="1">IF(G138=1,"-",Tabela2[[#This Row],[Dt Venc:]]-TODAY())</f>
        <v>-</v>
      </c>
      <c r="G138" s="3">
        <v>1</v>
      </c>
      <c r="H138" s="3"/>
    </row>
    <row r="139" spans="1:8" ht="18" hidden="1">
      <c r="A139" s="3">
        <v>17775</v>
      </c>
      <c r="B139" s="7" t="s">
        <v>106</v>
      </c>
      <c r="C139" s="41">
        <v>1033.33</v>
      </c>
      <c r="D139" s="6">
        <v>45569</v>
      </c>
      <c r="E139" s="3" t="str">
        <f ca="1">IF(Tabela2[[#This Row],[Dt Venc:]]&gt;TODAY(),"Em Aberto",IF(Tabela2[[#This Row],[D/venc]]="-","Enviado",IF(Tabela2[[#This Row],[Dt Venc:]]=TODAY(),"Vence Hoje","Vencida")))</f>
        <v>Enviado</v>
      </c>
      <c r="F139" s="3" t="str">
        <f ca="1">IF(G139=1,"-",Tabela2[[#This Row],[Dt Venc:]]-TODAY())</f>
        <v>-</v>
      </c>
      <c r="G139" s="3">
        <v>1</v>
      </c>
      <c r="H139" s="3"/>
    </row>
    <row r="140" spans="1:8" ht="18" hidden="1">
      <c r="A140" s="3">
        <v>29805</v>
      </c>
      <c r="B140" s="7" t="s">
        <v>107</v>
      </c>
      <c r="C140" s="41">
        <v>2815</v>
      </c>
      <c r="D140" s="6">
        <v>45569</v>
      </c>
      <c r="E140" s="3" t="str">
        <f ca="1">IF(Tabela2[[#This Row],[Dt Venc:]]&gt;TODAY(),"Em Aberto",IF(Tabela2[[#This Row],[D/venc]]="-","Enviado",IF(Tabela2[[#This Row],[Dt Venc:]]=TODAY(),"Vence Hoje","Vencida")))</f>
        <v>Enviado</v>
      </c>
      <c r="F140" s="3" t="str">
        <f ca="1">IF(G140=1,"-",Tabela2[[#This Row],[Dt Venc:]]-TODAY())</f>
        <v>-</v>
      </c>
      <c r="G140" s="3">
        <v>1</v>
      </c>
      <c r="H140" s="3"/>
    </row>
    <row r="141" spans="1:8" ht="18" hidden="1">
      <c r="A141" s="3">
        <v>1979603</v>
      </c>
      <c r="B141" s="7" t="s">
        <v>59</v>
      </c>
      <c r="C141" s="41">
        <v>134792.5</v>
      </c>
      <c r="D141" s="6">
        <v>45569</v>
      </c>
      <c r="E141" s="3" t="str">
        <f ca="1">IF(Tabela2[[#This Row],[Dt Venc:]]&gt;TODAY(),"Em Aberto",IF(Tabela2[[#This Row],[D/venc]]="-","Enviado",IF(Tabela2[[#This Row],[Dt Venc:]]=TODAY(),"Vence Hoje","Vencida")))</f>
        <v>Enviado</v>
      </c>
      <c r="F141" s="3" t="str">
        <f ca="1">IF(G141=1,"-",Tabela2[[#This Row],[Dt Venc:]]-TODAY())</f>
        <v>-</v>
      </c>
      <c r="G141" s="3">
        <v>1</v>
      </c>
      <c r="H141" s="3"/>
    </row>
    <row r="142" spans="1:8" ht="18" hidden="1">
      <c r="A142" s="3">
        <v>473848</v>
      </c>
      <c r="B142" s="7" t="s">
        <v>108</v>
      </c>
      <c r="C142" s="41">
        <v>354.42</v>
      </c>
      <c r="D142" s="6">
        <v>45569</v>
      </c>
      <c r="E142" s="3" t="str">
        <f ca="1">IF(Tabela2[[#This Row],[Dt Venc:]]&gt;TODAY(),"Em Aberto",IF(Tabela2[[#This Row],[D/venc]]="-","Enviado",IF(Tabela2[[#This Row],[Dt Venc:]]=TODAY(),"Vence Hoje","Vencida")))</f>
        <v>Enviado</v>
      </c>
      <c r="F142" s="3" t="str">
        <f ca="1">IF(G142=1,"-",Tabela2[[#This Row],[Dt Venc:]]-TODAY())</f>
        <v>-</v>
      </c>
      <c r="G142" s="3">
        <v>1</v>
      </c>
      <c r="H142" s="3"/>
    </row>
    <row r="143" spans="1:8" ht="18" hidden="1">
      <c r="A143" s="3">
        <v>2245632</v>
      </c>
      <c r="B143" s="7" t="s">
        <v>59</v>
      </c>
      <c r="C143" s="41">
        <v>27158.5</v>
      </c>
      <c r="D143" s="6">
        <v>45569</v>
      </c>
      <c r="E143" s="3" t="str">
        <f ca="1">IF(Tabela2[[#This Row],[Dt Venc:]]&gt;TODAY(),"Em Aberto",IF(Tabela2[[#This Row],[D/venc]]="-","Enviado",IF(Tabela2[[#This Row],[Dt Venc:]]=TODAY(),"Vence Hoje","Vencida")))</f>
        <v>Enviado</v>
      </c>
      <c r="F143" s="3" t="str">
        <f ca="1">IF(G143=1,"-",Tabela2[[#This Row],[Dt Venc:]]-TODAY())</f>
        <v>-</v>
      </c>
      <c r="G143" s="3">
        <v>1</v>
      </c>
      <c r="H143" s="3"/>
    </row>
    <row r="144" spans="1:8" ht="18" hidden="1">
      <c r="A144" s="3">
        <v>140477</v>
      </c>
      <c r="B144" s="7" t="s">
        <v>60</v>
      </c>
      <c r="C144" s="41">
        <v>390</v>
      </c>
      <c r="D144" s="6">
        <v>45569</v>
      </c>
      <c r="E144" s="3" t="str">
        <f ca="1">IF(Tabela2[[#This Row],[Dt Venc:]]&gt;TODAY(),"Em Aberto",IF(Tabela2[[#This Row],[D/venc]]="-","Enviado",IF(Tabela2[[#This Row],[Dt Venc:]]=TODAY(),"Vence Hoje","Vencida")))</f>
        <v>Enviado</v>
      </c>
      <c r="F144" s="3" t="str">
        <f ca="1">IF(G144=1,"-",Tabela2[[#This Row],[Dt Venc:]]-TODAY())</f>
        <v>-</v>
      </c>
      <c r="G144" s="3">
        <v>1</v>
      </c>
      <c r="H144" s="3"/>
    </row>
    <row r="145" spans="1:8" ht="18" hidden="1">
      <c r="A145" s="3">
        <v>140469</v>
      </c>
      <c r="B145" s="7" t="s">
        <v>60</v>
      </c>
      <c r="C145" s="41">
        <v>390</v>
      </c>
      <c r="D145" s="6">
        <v>45569</v>
      </c>
      <c r="E145" s="3" t="str">
        <f ca="1">IF(Tabela2[[#This Row],[Dt Venc:]]&gt;TODAY(),"Em Aberto",IF(Tabela2[[#This Row],[D/venc]]="-","Enviado",IF(Tabela2[[#This Row],[Dt Venc:]]=TODAY(),"Vence Hoje","Vencida")))</f>
        <v>Enviado</v>
      </c>
      <c r="F145" s="3" t="str">
        <f ca="1">IF(G145=1,"-",Tabela2[[#This Row],[Dt Venc:]]-TODAY())</f>
        <v>-</v>
      </c>
      <c r="G145" s="3">
        <v>1</v>
      </c>
      <c r="H145" s="3"/>
    </row>
    <row r="146" spans="1:8" ht="18" hidden="1">
      <c r="A146" s="3">
        <v>5382</v>
      </c>
      <c r="B146" s="7" t="s">
        <v>109</v>
      </c>
      <c r="C146" s="41">
        <v>960</v>
      </c>
      <c r="D146" s="6">
        <v>45569</v>
      </c>
      <c r="E146" s="3" t="str">
        <f ca="1">IF(Tabela2[[#This Row],[Dt Venc:]]&gt;TODAY(),"Em Aberto",IF(Tabela2[[#This Row],[D/venc]]="-","Enviado",IF(Tabela2[[#This Row],[Dt Venc:]]=TODAY(),"Vence Hoje","Vencida")))</f>
        <v>Enviado</v>
      </c>
      <c r="F146" s="3" t="str">
        <f ca="1">IF(G146=1,"-",Tabela2[[#This Row],[Dt Venc:]]-TODAY())</f>
        <v>-</v>
      </c>
      <c r="G146" s="3">
        <v>1</v>
      </c>
      <c r="H146" s="3"/>
    </row>
    <row r="147" spans="1:8" ht="18" hidden="1">
      <c r="A147" s="3" t="s">
        <v>110</v>
      </c>
      <c r="B147" s="7" t="s">
        <v>111</v>
      </c>
      <c r="C147" s="42">
        <v>66509.149999999994</v>
      </c>
      <c r="D147" s="6">
        <v>45570</v>
      </c>
      <c r="E147" s="3" t="str">
        <f ca="1">IF(Tabela2[[#This Row],[Dt Venc:]]&gt;TODAY(),"Em Aberto",IF(Tabela2[[#This Row],[D/venc]]="-","Enviado",IF(Tabela2[[#This Row],[Dt Venc:]]=TODAY(),"Vence Hoje","Vencida")))</f>
        <v>Enviado</v>
      </c>
      <c r="F147" s="3" t="str">
        <f ca="1">IF(G147=1,"-",Tabela2[[#This Row],[Dt Venc:]]-TODAY())</f>
        <v>-</v>
      </c>
      <c r="G147" s="3">
        <v>1</v>
      </c>
      <c r="H147" s="3"/>
    </row>
    <row r="148" spans="1:8" ht="18" hidden="1">
      <c r="A148" s="3">
        <v>10719</v>
      </c>
      <c r="B148" s="7" t="s">
        <v>33</v>
      </c>
      <c r="C148" s="42">
        <v>1293.33</v>
      </c>
      <c r="D148" s="6">
        <v>45570</v>
      </c>
      <c r="E148" s="3" t="str">
        <f ca="1">IF(Tabela2[[#This Row],[Dt Venc:]]&gt;TODAY(),"Em Aberto",IF(Tabela2[[#This Row],[D/venc]]="-","Enviado",IF(Tabela2[[#This Row],[Dt Venc:]]=TODAY(),"Vence Hoje","Vencida")))</f>
        <v>Enviado</v>
      </c>
      <c r="F148" s="3" t="str">
        <f ca="1">IF(G148=1,"-",Tabela2[[#This Row],[Dt Venc:]]-TODAY())</f>
        <v>-</v>
      </c>
      <c r="G148" s="3">
        <v>1</v>
      </c>
      <c r="H148" s="3"/>
    </row>
    <row r="149" spans="1:8" ht="18" hidden="1">
      <c r="A149" s="3">
        <v>22201</v>
      </c>
      <c r="B149" s="7" t="s">
        <v>112</v>
      </c>
      <c r="C149" s="42">
        <v>391.67</v>
      </c>
      <c r="D149" s="6">
        <v>45570</v>
      </c>
      <c r="E149" s="3" t="str">
        <f ca="1">IF(Tabela2[[#This Row],[Dt Venc:]]&gt;TODAY(),"Em Aberto",IF(Tabela2[[#This Row],[D/venc]]="-","Enviado",IF(Tabela2[[#This Row],[Dt Venc:]]=TODAY(),"Vence Hoje","Vencida")))</f>
        <v>Enviado</v>
      </c>
      <c r="F149" s="3" t="str">
        <f ca="1">IF(G149=1,"-",Tabela2[[#This Row],[Dt Venc:]]-TODAY())</f>
        <v>-</v>
      </c>
      <c r="G149" s="3">
        <v>1</v>
      </c>
      <c r="H149" s="3"/>
    </row>
    <row r="150" spans="1:8" ht="18" hidden="1">
      <c r="A150" s="3">
        <v>2920</v>
      </c>
      <c r="B150" s="7" t="s">
        <v>100</v>
      </c>
      <c r="C150" s="42">
        <v>4219.67</v>
      </c>
      <c r="D150" s="6">
        <v>45570</v>
      </c>
      <c r="E150" s="3" t="str">
        <f ca="1">IF(Tabela2[[#This Row],[Dt Venc:]]&gt;TODAY(),"Em Aberto",IF(Tabela2[[#This Row],[D/venc]]="-","Enviado",IF(Tabela2[[#This Row],[Dt Venc:]]=TODAY(),"Vence Hoje","Vencida")))</f>
        <v>Enviado</v>
      </c>
      <c r="F150" s="3" t="str">
        <f ca="1">IF(G150=1,"-",Tabela2[[#This Row],[Dt Venc:]]-TODAY())</f>
        <v>-</v>
      </c>
      <c r="G150" s="3">
        <v>1</v>
      </c>
      <c r="H150" s="3"/>
    </row>
    <row r="151" spans="1:8" ht="18" hidden="1">
      <c r="A151" s="3">
        <v>27847</v>
      </c>
      <c r="B151" s="7" t="s">
        <v>18</v>
      </c>
      <c r="C151" s="42">
        <v>2060</v>
      </c>
      <c r="D151" s="6">
        <v>45570</v>
      </c>
      <c r="E151" s="3" t="str">
        <f ca="1">IF(Tabela2[[#This Row],[Dt Venc:]]&gt;TODAY(),"Em Aberto",IF(Tabela2[[#This Row],[D/venc]]="-","Enviado",IF(Tabela2[[#This Row],[Dt Venc:]]=TODAY(),"Vence Hoje","Vencida")))</f>
        <v>Enviado</v>
      </c>
      <c r="F151" s="3" t="str">
        <f ca="1">IF(G151=1,"-",Tabela2[[#This Row],[Dt Venc:]]-TODAY())</f>
        <v>-</v>
      </c>
      <c r="G151" s="3">
        <v>1</v>
      </c>
      <c r="H151" s="3"/>
    </row>
    <row r="152" spans="1:8" ht="18" hidden="1">
      <c r="A152" s="3">
        <v>10353</v>
      </c>
      <c r="B152" s="7" t="s">
        <v>82</v>
      </c>
      <c r="C152" s="83" t="s">
        <v>32</v>
      </c>
      <c r="D152" s="6">
        <v>45570</v>
      </c>
      <c r="E152" s="3" t="str">
        <f ca="1">IF(Tabela2[[#This Row],[Dt Venc:]]&gt;TODAY(),"Em Aberto",IF(Tabela2[[#This Row],[D/venc]]="-","Enviado",IF(Tabela2[[#This Row],[Dt Venc:]]=TODAY(),"Vence Hoje","Vencida")))</f>
        <v>Enviado</v>
      </c>
      <c r="F152" s="3" t="str">
        <f ca="1">IF(G152=1,"-",Tabela2[[#This Row],[Dt Venc:]]-TODAY())</f>
        <v>-</v>
      </c>
      <c r="G152" s="3">
        <v>1</v>
      </c>
      <c r="H152" s="3"/>
    </row>
    <row r="153" spans="1:8" ht="18" hidden="1">
      <c r="A153" s="3">
        <v>29426</v>
      </c>
      <c r="B153" s="7" t="s">
        <v>97</v>
      </c>
      <c r="C153" s="42">
        <v>3250</v>
      </c>
      <c r="D153" s="6">
        <v>45570</v>
      </c>
      <c r="E153" s="3" t="str">
        <f ca="1">IF(Tabela2[[#This Row],[Dt Venc:]]&gt;TODAY(),"Em Aberto",IF(Tabela2[[#This Row],[D/venc]]="-","Enviado",IF(Tabela2[[#This Row],[Dt Venc:]]=TODAY(),"Vence Hoje","Vencida")))</f>
        <v>Enviado</v>
      </c>
      <c r="F153" s="3" t="str">
        <f ca="1">IF(G153=1,"-",Tabela2[[#This Row],[Dt Venc:]]-TODAY())</f>
        <v>-</v>
      </c>
      <c r="G153" s="3">
        <v>1</v>
      </c>
      <c r="H153" s="3"/>
    </row>
    <row r="154" spans="1:8" ht="18" hidden="1">
      <c r="A154" s="3">
        <v>811</v>
      </c>
      <c r="B154" s="7" t="s">
        <v>113</v>
      </c>
      <c r="C154" s="42">
        <v>2653.34</v>
      </c>
      <c r="D154" s="6">
        <v>45570</v>
      </c>
      <c r="E154" s="3" t="str">
        <f ca="1">IF(Tabela2[[#This Row],[Dt Venc:]]&gt;TODAY(),"Em Aberto",IF(Tabela2[[#This Row],[D/venc]]="-","Enviado",IF(Tabela2[[#This Row],[Dt Venc:]]=TODAY(),"Vence Hoje","Vencida")))</f>
        <v>Enviado</v>
      </c>
      <c r="F154" s="3" t="str">
        <f ca="1">IF(G154=1,"-",Tabela2[[#This Row],[Dt Venc:]]-TODAY())</f>
        <v>-</v>
      </c>
      <c r="G154" s="3">
        <v>1</v>
      </c>
      <c r="H154" s="3"/>
    </row>
    <row r="155" spans="1:8" ht="18" hidden="1">
      <c r="A155" s="3">
        <v>855</v>
      </c>
      <c r="B155" s="7" t="s">
        <v>91</v>
      </c>
      <c r="C155" s="42">
        <v>305</v>
      </c>
      <c r="D155" s="6">
        <v>45570</v>
      </c>
      <c r="E155" s="3" t="str">
        <f ca="1">IF(Tabela2[[#This Row],[Dt Venc:]]&gt;TODAY(),"Em Aberto",IF(Tabela2[[#This Row],[D/venc]]="-","Enviado",IF(Tabela2[[#This Row],[Dt Venc:]]=TODAY(),"Vence Hoje","Vencida")))</f>
        <v>Enviado</v>
      </c>
      <c r="F155" s="3" t="str">
        <f ca="1">IF(G155=1,"-",Tabela2[[#This Row],[Dt Venc:]]-TODAY())</f>
        <v>-</v>
      </c>
      <c r="G155" s="3">
        <v>1</v>
      </c>
      <c r="H155" s="3"/>
    </row>
    <row r="156" spans="1:8" ht="18" hidden="1">
      <c r="A156" s="3">
        <v>2428</v>
      </c>
      <c r="B156" s="7" t="s">
        <v>91</v>
      </c>
      <c r="C156" s="42">
        <v>226.66</v>
      </c>
      <c r="D156" s="6">
        <v>45570</v>
      </c>
      <c r="E156" s="3" t="str">
        <f ca="1">IF(Tabela2[[#This Row],[Dt Venc:]]&gt;TODAY(),"Em Aberto",IF(Tabela2[[#This Row],[D/venc]]="-","Enviado",IF(Tabela2[[#This Row],[Dt Venc:]]=TODAY(),"Vence Hoje","Vencida")))</f>
        <v>Enviado</v>
      </c>
      <c r="F156" s="3" t="str">
        <f ca="1">IF(G156=1,"-",Tabela2[[#This Row],[Dt Venc:]]-TODAY())</f>
        <v>-</v>
      </c>
      <c r="G156" s="3">
        <v>1</v>
      </c>
      <c r="H156" s="3"/>
    </row>
    <row r="157" spans="1:8" ht="18" hidden="1">
      <c r="A157" s="3">
        <v>5704</v>
      </c>
      <c r="B157" s="7" t="s">
        <v>47</v>
      </c>
      <c r="C157" s="42">
        <v>1308</v>
      </c>
      <c r="D157" s="6">
        <v>45570</v>
      </c>
      <c r="E157" s="3" t="str">
        <f ca="1">IF(Tabela2[[#This Row],[Dt Venc:]]&gt;TODAY(),"Em Aberto",IF(Tabela2[[#This Row],[D/venc]]="-","Enviado",IF(Tabela2[[#This Row],[Dt Venc:]]=TODAY(),"Vence Hoje","Vencida")))</f>
        <v>Enviado</v>
      </c>
      <c r="F157" s="3" t="str">
        <f ca="1">IF(G157=1,"-",Tabela2[[#This Row],[Dt Venc:]]-TODAY())</f>
        <v>-</v>
      </c>
      <c r="G157" s="3">
        <v>1</v>
      </c>
      <c r="H157" s="3"/>
    </row>
    <row r="158" spans="1:8" ht="18" hidden="1">
      <c r="A158" s="3">
        <v>3195</v>
      </c>
      <c r="B158" s="7" t="s">
        <v>114</v>
      </c>
      <c r="C158" s="42">
        <v>160</v>
      </c>
      <c r="D158" s="6">
        <v>45570</v>
      </c>
      <c r="E158" s="3" t="str">
        <f ca="1">IF(Tabela2[[#This Row],[Dt Venc:]]&gt;TODAY(),"Em Aberto",IF(Tabela2[[#This Row],[D/venc]]="-","Enviado",IF(Tabela2[[#This Row],[Dt Venc:]]=TODAY(),"Vence Hoje","Vencida")))</f>
        <v>Enviado</v>
      </c>
      <c r="F158" s="3" t="str">
        <f ca="1">IF(G158=1,"-",Tabela2[[#This Row],[Dt Venc:]]-TODAY())</f>
        <v>-</v>
      </c>
      <c r="G158" s="3">
        <v>1</v>
      </c>
      <c r="H158" s="3"/>
    </row>
    <row r="159" spans="1:8" ht="18" hidden="1">
      <c r="A159" s="3">
        <v>18051</v>
      </c>
      <c r="B159" s="7" t="s">
        <v>115</v>
      </c>
      <c r="C159" s="41">
        <v>1314</v>
      </c>
      <c r="D159" s="6">
        <v>45570</v>
      </c>
      <c r="E159" s="3" t="str">
        <f ca="1">IF(Tabela2[[#This Row],[Dt Venc:]]&gt;TODAY(),"Em Aberto",IF(Tabela2[[#This Row],[D/venc]]="-","Enviado",IF(Tabela2[[#This Row],[Dt Venc:]]=TODAY(),"Vence Hoje","Vencida")))</f>
        <v>Enviado</v>
      </c>
      <c r="F159" s="3" t="str">
        <f ca="1">IF(G159=1,"-",Tabela2[[#This Row],[Dt Venc:]]-TODAY())</f>
        <v>-</v>
      </c>
      <c r="G159" s="3">
        <v>1</v>
      </c>
      <c r="H159" s="3"/>
    </row>
    <row r="160" spans="1:8" ht="18" hidden="1">
      <c r="A160" s="3">
        <v>20536</v>
      </c>
      <c r="B160" s="7" t="s">
        <v>116</v>
      </c>
      <c r="C160" s="41">
        <v>961.2</v>
      </c>
      <c r="D160" s="6">
        <v>45570</v>
      </c>
      <c r="E160" s="3" t="str">
        <f ca="1">IF(Tabela2[[#This Row],[Dt Venc:]]&gt;TODAY(),"Em Aberto",IF(Tabela2[[#This Row],[D/venc]]="-","Enviado",IF(Tabela2[[#This Row],[Dt Venc:]]=TODAY(),"Vence Hoje","Vencida")))</f>
        <v>Enviado</v>
      </c>
      <c r="F160" s="3" t="str">
        <f ca="1">IF(G160=1,"-",Tabela2[[#This Row],[Dt Venc:]]-TODAY())</f>
        <v>-</v>
      </c>
      <c r="G160" s="3">
        <v>1</v>
      </c>
      <c r="H160" s="3"/>
    </row>
    <row r="161" spans="1:8" ht="18" hidden="1">
      <c r="A161" s="3">
        <v>18050</v>
      </c>
      <c r="B161" s="7" t="s">
        <v>115</v>
      </c>
      <c r="C161" s="41">
        <v>6081.9</v>
      </c>
      <c r="D161" s="6">
        <v>45570</v>
      </c>
      <c r="E161" s="3" t="str">
        <f ca="1">IF(Tabela2[[#This Row],[Dt Venc:]]&gt;TODAY(),"Em Aberto",IF(Tabela2[[#This Row],[D/venc]]="-","Enviado",IF(Tabela2[[#This Row],[Dt Venc:]]=TODAY(),"Vence Hoje","Vencida")))</f>
        <v>Enviado</v>
      </c>
      <c r="F161" s="3" t="str">
        <f ca="1">IF(G161=1,"-",Tabela2[[#This Row],[Dt Venc:]]-TODAY())</f>
        <v>-</v>
      </c>
      <c r="G161" s="3">
        <v>1</v>
      </c>
      <c r="H161" s="3"/>
    </row>
    <row r="162" spans="1:8" ht="18" hidden="1">
      <c r="A162" s="3">
        <v>49174</v>
      </c>
      <c r="B162" s="7" t="s">
        <v>117</v>
      </c>
      <c r="C162" s="41">
        <v>1026.06</v>
      </c>
      <c r="D162" s="6">
        <v>45570</v>
      </c>
      <c r="E162" s="3" t="str">
        <f ca="1">IF(Tabela2[[#This Row],[Dt Venc:]]&gt;TODAY(),"Em Aberto",IF(Tabela2[[#This Row],[D/venc]]="-","Enviado",IF(Tabela2[[#This Row],[Dt Venc:]]=TODAY(),"Vence Hoje","Vencida")))</f>
        <v>Enviado</v>
      </c>
      <c r="F162" s="3" t="str">
        <f ca="1">IF(G162=1,"-",Tabela2[[#This Row],[Dt Venc:]]-TODAY())</f>
        <v>-</v>
      </c>
      <c r="G162" s="3">
        <v>1</v>
      </c>
      <c r="H162" s="3"/>
    </row>
    <row r="163" spans="1:8" ht="18" hidden="1">
      <c r="A163" s="3">
        <v>10725</v>
      </c>
      <c r="B163" s="7" t="s">
        <v>33</v>
      </c>
      <c r="C163" s="41">
        <v>3125</v>
      </c>
      <c r="D163" s="6">
        <v>45570</v>
      </c>
      <c r="E163" s="3" t="str">
        <f ca="1">IF(Tabela2[[#This Row],[Dt Venc:]]&gt;TODAY(),"Em Aberto",IF(Tabela2[[#This Row],[D/venc]]="-","Enviado",IF(Tabela2[[#This Row],[Dt Venc:]]=TODAY(),"Vence Hoje","Vencida")))</f>
        <v>Enviado</v>
      </c>
      <c r="F163" s="3" t="str">
        <f ca="1">IF(G163=1,"-",Tabela2[[#This Row],[Dt Venc:]]-TODAY())</f>
        <v>-</v>
      </c>
      <c r="G163" s="3">
        <v>1</v>
      </c>
      <c r="H163" s="3"/>
    </row>
    <row r="164" spans="1:8" ht="18" hidden="1">
      <c r="A164" s="3">
        <v>1272</v>
      </c>
      <c r="B164" s="7" t="s">
        <v>118</v>
      </c>
      <c r="C164" s="41">
        <v>255</v>
      </c>
      <c r="D164" s="6">
        <v>45570</v>
      </c>
      <c r="E164" s="3" t="str">
        <f ca="1">IF(Tabela2[[#This Row],[Dt Venc:]]&gt;TODAY(),"Em Aberto",IF(Tabela2[[#This Row],[D/venc]]="-","Enviado",IF(Tabela2[[#This Row],[Dt Venc:]]=TODAY(),"Vence Hoje","Vencida")))</f>
        <v>Enviado</v>
      </c>
      <c r="F164" s="3" t="str">
        <f ca="1">IF(G164=1,"-",Tabela2[[#This Row],[Dt Venc:]]-TODAY())</f>
        <v>-</v>
      </c>
      <c r="G164" s="3">
        <v>1</v>
      </c>
      <c r="H164" s="3"/>
    </row>
    <row r="165" spans="1:8" ht="18" hidden="1">
      <c r="A165" s="3">
        <v>1585</v>
      </c>
      <c r="B165" s="7" t="s">
        <v>119</v>
      </c>
      <c r="C165" s="41">
        <v>1140</v>
      </c>
      <c r="D165" s="6">
        <v>45570</v>
      </c>
      <c r="E165" s="3" t="str">
        <f ca="1">IF(Tabela2[[#This Row],[Dt Venc:]]&gt;TODAY(),"Em Aberto",IF(Tabela2[[#This Row],[D/venc]]="-","Enviado",IF(Tabela2[[#This Row],[Dt Venc:]]=TODAY(),"Vence Hoje","Vencida")))</f>
        <v>Enviado</v>
      </c>
      <c r="F165" s="3" t="str">
        <f ca="1">IF(G165=1,"-",Tabela2[[#This Row],[Dt Venc:]]-TODAY())</f>
        <v>-</v>
      </c>
      <c r="G165" s="3">
        <v>1</v>
      </c>
      <c r="H165" s="3"/>
    </row>
    <row r="166" spans="1:8" ht="18" hidden="1">
      <c r="A166" s="3">
        <v>13225</v>
      </c>
      <c r="B166" s="7" t="s">
        <v>120</v>
      </c>
      <c r="C166" s="41">
        <v>12565.54</v>
      </c>
      <c r="D166" s="6">
        <v>45570</v>
      </c>
      <c r="E166" s="3" t="str">
        <f ca="1">IF(Tabela2[[#This Row],[Dt Venc:]]&gt;TODAY(),"Em Aberto",IF(Tabela2[[#This Row],[D/venc]]="-","Enviado",IF(Tabela2[[#This Row],[Dt Venc:]]=TODAY(),"Vence Hoje","Vencida")))</f>
        <v>Enviado</v>
      </c>
      <c r="F166" s="3" t="str">
        <f ca="1">IF(G166=1,"-",Tabela2[[#This Row],[Dt Venc:]]-TODAY())</f>
        <v>-</v>
      </c>
      <c r="G166" s="3">
        <v>1</v>
      </c>
      <c r="H166" s="3"/>
    </row>
    <row r="167" spans="1:8" ht="18" hidden="1">
      <c r="A167" s="3" t="s">
        <v>110</v>
      </c>
      <c r="B167" s="7" t="s">
        <v>121</v>
      </c>
      <c r="C167" s="87" t="s">
        <v>30</v>
      </c>
      <c r="D167" s="6">
        <v>45570</v>
      </c>
      <c r="E167" s="3" t="str">
        <f ca="1">IF(Tabela2[[#This Row],[Dt Venc:]]&gt;TODAY(),"Em Aberto",IF(Tabela2[[#This Row],[D/venc]]="-","Enviado",IF(Tabela2[[#This Row],[Dt Venc:]]=TODAY(),"Vence Hoje","Vencida")))</f>
        <v>Enviado</v>
      </c>
      <c r="F167" s="3" t="str">
        <f ca="1">IF(G167=1,"-",Tabela2[[#This Row],[Dt Venc:]]-TODAY())</f>
        <v>-</v>
      </c>
      <c r="G167" s="3">
        <v>1</v>
      </c>
      <c r="H167" s="3"/>
    </row>
    <row r="168" spans="1:8" ht="18" hidden="1">
      <c r="A168" s="3">
        <v>5680</v>
      </c>
      <c r="B168" s="7" t="s">
        <v>122</v>
      </c>
      <c r="C168" s="84" t="s">
        <v>32</v>
      </c>
      <c r="D168" s="6">
        <v>45570</v>
      </c>
      <c r="E168" s="3" t="str">
        <f ca="1">IF(Tabela2[[#This Row],[Dt Venc:]]&gt;TODAY(),"Em Aberto",IF(Tabela2[[#This Row],[D/venc]]="-","Enviado",IF(Tabela2[[#This Row],[Dt Venc:]]=TODAY(),"Vence Hoje","Vencida")))</f>
        <v>Enviado</v>
      </c>
      <c r="F168" s="3" t="str">
        <f ca="1">IF(G168=1,"-",Tabela2[[#This Row],[Dt Venc:]]-TODAY())</f>
        <v>-</v>
      </c>
      <c r="G168" s="3">
        <v>1</v>
      </c>
      <c r="H168" s="3"/>
    </row>
    <row r="169" spans="1:8" ht="18" hidden="1">
      <c r="A169" s="3" t="s">
        <v>123</v>
      </c>
      <c r="B169" s="7" t="s">
        <v>124</v>
      </c>
      <c r="C169" s="83" t="s">
        <v>32</v>
      </c>
      <c r="D169" s="6">
        <v>45570</v>
      </c>
      <c r="E169" s="3" t="str">
        <f ca="1">IF(Tabela2[[#This Row],[Dt Venc:]]&gt;TODAY(),"Em Aberto",IF(Tabela2[[#This Row],[D/venc]]="-","Enviado",IF(Tabela2[[#This Row],[Dt Venc:]]=TODAY(),"Vence Hoje","Vencida")))</f>
        <v>Enviado</v>
      </c>
      <c r="F169" s="3" t="str">
        <f ca="1">IF(G169=1,"-",Tabela2[[#This Row],[Dt Venc:]]-TODAY())</f>
        <v>-</v>
      </c>
      <c r="G169" s="3">
        <v>1</v>
      </c>
      <c r="H169" s="3"/>
    </row>
    <row r="170" spans="1:8" ht="36" hidden="1">
      <c r="A170" s="3" t="s">
        <v>123</v>
      </c>
      <c r="B170" s="7" t="s">
        <v>125</v>
      </c>
      <c r="C170" s="87" t="s">
        <v>32</v>
      </c>
      <c r="D170" s="6">
        <v>45570</v>
      </c>
      <c r="E170" s="3" t="str">
        <f ca="1">IF(Tabela2[[#This Row],[Dt Venc:]]&gt;TODAY(),"Em Aberto",IF(Tabela2[[#This Row],[D/venc]]="-","Enviado",IF(Tabela2[[#This Row],[Dt Venc:]]=TODAY(),"Vence Hoje","Vencida")))</f>
        <v>Enviado</v>
      </c>
      <c r="F170" s="3" t="str">
        <f ca="1">IF(G170=1,"-",Tabela2[[#This Row],[Dt Venc:]]-TODAY())</f>
        <v>-</v>
      </c>
      <c r="G170" s="3">
        <v>1</v>
      </c>
      <c r="H170" s="3"/>
    </row>
    <row r="171" spans="1:8" ht="18" hidden="1">
      <c r="A171" s="3" t="s">
        <v>110</v>
      </c>
      <c r="B171" s="7" t="s">
        <v>126</v>
      </c>
      <c r="C171" s="42" t="s">
        <v>32</v>
      </c>
      <c r="D171" s="6">
        <v>45570</v>
      </c>
      <c r="E171" s="3" t="str">
        <f ca="1">IF(Tabela2[[#This Row],[Dt Venc:]]&gt;TODAY(),"Em Aberto",IF(Tabela2[[#This Row],[D/venc]]="-","Enviado",IF(Tabela2[[#This Row],[Dt Venc:]]=TODAY(),"Vence Hoje","Vencida")))</f>
        <v>Enviado</v>
      </c>
      <c r="F171" s="3" t="str">
        <f ca="1">IF(G171=1,"-",Tabela2[[#This Row],[Dt Venc:]]-TODAY())</f>
        <v>-</v>
      </c>
      <c r="G171" s="3">
        <v>1</v>
      </c>
      <c r="H171" s="3"/>
    </row>
    <row r="172" spans="1:8" ht="18" hidden="1">
      <c r="A172" s="3">
        <v>81168</v>
      </c>
      <c r="B172" s="7" t="s">
        <v>107</v>
      </c>
      <c r="C172" s="42">
        <v>2860</v>
      </c>
      <c r="D172" s="6">
        <v>45571</v>
      </c>
      <c r="E172" s="3" t="str">
        <f ca="1">IF(Tabela2[[#This Row],[Dt Venc:]]&gt;TODAY(),"Em Aberto",IF(Tabela2[[#This Row],[D/venc]]="-","Enviado",IF(Tabela2[[#This Row],[Dt Venc:]]=TODAY(),"Vence Hoje","Vencida")))</f>
        <v>Enviado</v>
      </c>
      <c r="F172" s="3" t="str">
        <f ca="1">IF(G172=1,"-",Tabela2[[#This Row],[Dt Venc:]]-TODAY())</f>
        <v>-</v>
      </c>
      <c r="G172" s="3">
        <v>1</v>
      </c>
      <c r="H172" s="3"/>
    </row>
    <row r="173" spans="1:8" ht="18" hidden="1">
      <c r="A173" s="3">
        <v>10721</v>
      </c>
      <c r="B173" s="7" t="s">
        <v>33</v>
      </c>
      <c r="C173" s="42">
        <v>800</v>
      </c>
      <c r="D173" s="6">
        <v>45571</v>
      </c>
      <c r="E173" s="3" t="str">
        <f ca="1">IF(Tabela2[[#This Row],[Dt Venc:]]&gt;TODAY(),"Em Aberto",IF(Tabela2[[#This Row],[D/venc]]="-","Enviado",IF(Tabela2[[#This Row],[Dt Venc:]]=TODAY(),"Vence Hoje","Vencida")))</f>
        <v>Enviado</v>
      </c>
      <c r="F173" s="3" t="str">
        <f ca="1">IF(G173=1,"-",Tabela2[[#This Row],[Dt Venc:]]-TODAY())</f>
        <v>-</v>
      </c>
      <c r="G173" s="3">
        <v>1</v>
      </c>
      <c r="H173" s="3"/>
    </row>
    <row r="174" spans="1:8" ht="18" hidden="1">
      <c r="A174" s="3">
        <v>2653</v>
      </c>
      <c r="B174" s="7" t="s">
        <v>58</v>
      </c>
      <c r="C174" s="42">
        <v>1083.0999999999999</v>
      </c>
      <c r="D174" s="6">
        <v>45571</v>
      </c>
      <c r="E174" s="3" t="str">
        <f ca="1">IF(Tabela2[[#This Row],[Dt Venc:]]&gt;TODAY(),"Em Aberto",IF(Tabela2[[#This Row],[D/venc]]="-","Enviado",IF(Tabela2[[#This Row],[Dt Venc:]]=TODAY(),"Vence Hoje","Vencida")))</f>
        <v>Enviado</v>
      </c>
      <c r="F174" s="3" t="str">
        <f ca="1">IF(G174=1,"-",Tabela2[[#This Row],[Dt Venc:]]-TODAY())</f>
        <v>-</v>
      </c>
      <c r="G174" s="3">
        <v>1</v>
      </c>
      <c r="H174" s="3"/>
    </row>
    <row r="175" spans="1:8" ht="18" hidden="1">
      <c r="A175" s="3">
        <v>214824</v>
      </c>
      <c r="B175" s="7" t="s">
        <v>127</v>
      </c>
      <c r="C175" s="42">
        <v>1267.78</v>
      </c>
      <c r="D175" s="6">
        <v>45571</v>
      </c>
      <c r="E175" s="3" t="str">
        <f ca="1">IF(Tabela2[[#This Row],[Dt Venc:]]&gt;TODAY(),"Em Aberto",IF(Tabela2[[#This Row],[D/venc]]="-","Enviado",IF(Tabela2[[#This Row],[Dt Venc:]]=TODAY(),"Vence Hoje","Vencida")))</f>
        <v>Enviado</v>
      </c>
      <c r="F175" s="3" t="str">
        <f ca="1">IF(G175=1,"-",Tabela2[[#This Row],[Dt Venc:]]-TODAY())</f>
        <v>-</v>
      </c>
      <c r="G175" s="3">
        <v>1</v>
      </c>
      <c r="H175" s="3"/>
    </row>
    <row r="176" spans="1:8" ht="18" hidden="1">
      <c r="A176" s="3">
        <v>29046</v>
      </c>
      <c r="B176" s="7" t="s">
        <v>97</v>
      </c>
      <c r="C176" s="42">
        <v>1084</v>
      </c>
      <c r="D176" s="6">
        <v>45571</v>
      </c>
      <c r="E176" s="3" t="str">
        <f ca="1">IF(Tabela2[[#This Row],[Dt Venc:]]&gt;TODAY(),"Em Aberto",IF(Tabela2[[#This Row],[D/venc]]="-","Enviado",IF(Tabela2[[#This Row],[Dt Venc:]]=TODAY(),"Vence Hoje","Vencida")))</f>
        <v>Enviado</v>
      </c>
      <c r="F176" s="3" t="str">
        <f ca="1">IF(G176=1,"-",Tabela2[[#This Row],[Dt Venc:]]-TODAY())</f>
        <v>-</v>
      </c>
      <c r="G176" s="3">
        <v>1</v>
      </c>
      <c r="H176" s="3"/>
    </row>
    <row r="177" spans="1:8" ht="18" hidden="1">
      <c r="A177" s="3">
        <v>187280</v>
      </c>
      <c r="B177" s="7" t="s">
        <v>128</v>
      </c>
      <c r="C177" s="42">
        <v>1243.68</v>
      </c>
      <c r="D177" s="6">
        <v>45571</v>
      </c>
      <c r="E177" s="3" t="str">
        <f ca="1">IF(Tabela2[[#This Row],[Dt Venc:]]&gt;TODAY(),"Em Aberto",IF(Tabela2[[#This Row],[D/venc]]="-","Enviado",IF(Tabela2[[#This Row],[Dt Venc:]]=TODAY(),"Vence Hoje","Vencida")))</f>
        <v>Enviado</v>
      </c>
      <c r="F177" s="3" t="str">
        <f ca="1">IF(G177=1,"-",Tabela2[[#This Row],[Dt Venc:]]-TODAY())</f>
        <v>-</v>
      </c>
      <c r="G177" s="3">
        <v>1</v>
      </c>
      <c r="H177" s="3"/>
    </row>
    <row r="178" spans="1:8" ht="18" hidden="1">
      <c r="A178" s="3">
        <v>151960</v>
      </c>
      <c r="B178" s="7" t="s">
        <v>77</v>
      </c>
      <c r="C178" s="42">
        <v>433.33</v>
      </c>
      <c r="D178" s="6">
        <v>45571</v>
      </c>
      <c r="E178" s="3" t="str">
        <f ca="1">IF(Tabela2[[#This Row],[Dt Venc:]]&gt;TODAY(),"Em Aberto",IF(Tabela2[[#This Row],[D/venc]]="-","Enviado",IF(Tabela2[[#This Row],[Dt Venc:]]=TODAY(),"Vence Hoje","Vencida")))</f>
        <v>Enviado</v>
      </c>
      <c r="F178" s="3" t="str">
        <f ca="1">IF(G178=1,"-",Tabela2[[#This Row],[Dt Venc:]]-TODAY())</f>
        <v>-</v>
      </c>
      <c r="G178" s="3">
        <v>1</v>
      </c>
      <c r="H178" s="3"/>
    </row>
    <row r="179" spans="1:8" ht="18" hidden="1">
      <c r="A179" s="3">
        <v>9257</v>
      </c>
      <c r="B179" s="7" t="s">
        <v>72</v>
      </c>
      <c r="C179" s="42">
        <v>480</v>
      </c>
      <c r="D179" s="6">
        <v>45571</v>
      </c>
      <c r="E179" s="3" t="str">
        <f ca="1">IF(Tabela2[[#This Row],[Dt Venc:]]&gt;TODAY(),"Em Aberto",IF(Tabela2[[#This Row],[D/venc]]="-","Enviado",IF(Tabela2[[#This Row],[Dt Venc:]]=TODAY(),"Vence Hoje","Vencida")))</f>
        <v>Enviado</v>
      </c>
      <c r="F179" s="3" t="str">
        <f ca="1">IF(G179=1,"-",Tabela2[[#This Row],[Dt Venc:]]-TODAY())</f>
        <v>-</v>
      </c>
      <c r="G179" s="3">
        <v>1</v>
      </c>
      <c r="H179" s="3"/>
    </row>
    <row r="180" spans="1:8" ht="18" hidden="1">
      <c r="A180" s="3">
        <v>9897</v>
      </c>
      <c r="B180" s="7" t="s">
        <v>72</v>
      </c>
      <c r="C180" s="42">
        <v>526.66999999999996</v>
      </c>
      <c r="D180" s="6">
        <v>45571</v>
      </c>
      <c r="E180" s="3" t="str">
        <f ca="1">IF(Tabela2[[#This Row],[Dt Venc:]]&gt;TODAY(),"Em Aberto",IF(Tabela2[[#This Row],[D/venc]]="-","Enviado",IF(Tabela2[[#This Row],[Dt Venc:]]=TODAY(),"Vence Hoje","Vencida")))</f>
        <v>Enviado</v>
      </c>
      <c r="F180" s="3" t="str">
        <f ca="1">IF(G180=1,"-",Tabela2[[#This Row],[Dt Venc:]]-TODAY())</f>
        <v>-</v>
      </c>
      <c r="G180" s="3">
        <v>1</v>
      </c>
      <c r="H180" s="3"/>
    </row>
    <row r="181" spans="1:8" ht="18" hidden="1">
      <c r="A181" s="3">
        <v>3015</v>
      </c>
      <c r="B181" s="7" t="s">
        <v>129</v>
      </c>
      <c r="C181" s="42">
        <v>1054</v>
      </c>
      <c r="D181" s="6">
        <v>45571</v>
      </c>
      <c r="E181" s="3" t="str">
        <f ca="1">IF(Tabela2[[#This Row],[Dt Venc:]]&gt;TODAY(),"Em Aberto",IF(Tabela2[[#This Row],[D/venc]]="-","Enviado",IF(Tabela2[[#This Row],[Dt Venc:]]=TODAY(),"Vence Hoje","Vencida")))</f>
        <v>Enviado</v>
      </c>
      <c r="F181" s="3" t="str">
        <f ca="1">IF(G181=1,"-",Tabela2[[#This Row],[Dt Venc:]]-TODAY())</f>
        <v>-</v>
      </c>
      <c r="G181" s="3">
        <v>1</v>
      </c>
      <c r="H181" s="3"/>
    </row>
    <row r="182" spans="1:8" ht="18" hidden="1">
      <c r="A182" s="3">
        <v>1132</v>
      </c>
      <c r="B182" s="7" t="s">
        <v>130</v>
      </c>
      <c r="C182" s="41">
        <v>2455</v>
      </c>
      <c r="D182" s="6">
        <v>45571</v>
      </c>
      <c r="E182" s="3" t="str">
        <f ca="1">IF(Tabela2[[#This Row],[Dt Venc:]]&gt;TODAY(),"Em Aberto",IF(Tabela2[[#This Row],[D/venc]]="-","Enviado",IF(Tabela2[[#This Row],[Dt Venc:]]=TODAY(),"Vence Hoje","Vencida")))</f>
        <v>Enviado</v>
      </c>
      <c r="F182" s="3" t="str">
        <f ca="1">IF(G182=1,"-",Tabela2[[#This Row],[Dt Venc:]]-TODAY())</f>
        <v>-</v>
      </c>
      <c r="G182" s="3">
        <v>1</v>
      </c>
      <c r="H182" s="3"/>
    </row>
    <row r="183" spans="1:8" ht="18" hidden="1">
      <c r="A183" s="3">
        <v>151969</v>
      </c>
      <c r="B183" s="7" t="s">
        <v>77</v>
      </c>
      <c r="C183" s="41">
        <v>50</v>
      </c>
      <c r="D183" s="6">
        <v>45571</v>
      </c>
      <c r="E183" s="3" t="str">
        <f ca="1">IF(Tabela2[[#This Row],[Dt Venc:]]&gt;TODAY(),"Em Aberto",IF(Tabela2[[#This Row],[D/venc]]="-","Enviado",IF(Tabela2[[#This Row],[Dt Venc:]]=TODAY(),"Vence Hoje","Vencida")))</f>
        <v>Enviado</v>
      </c>
      <c r="F183" s="3" t="str">
        <f ca="1">IF(G183=1,"-",Tabela2[[#This Row],[Dt Venc:]]-TODAY())</f>
        <v>-</v>
      </c>
      <c r="G183" s="3">
        <v>1</v>
      </c>
      <c r="H183" s="3"/>
    </row>
    <row r="184" spans="1:8" ht="18" hidden="1">
      <c r="A184" s="3">
        <v>151963</v>
      </c>
      <c r="B184" s="7" t="s">
        <v>77</v>
      </c>
      <c r="C184" s="41">
        <v>1383.33</v>
      </c>
      <c r="D184" s="6">
        <v>45571</v>
      </c>
      <c r="E184" s="3" t="str">
        <f ca="1">IF(Tabela2[[#This Row],[Dt Venc:]]&gt;TODAY(),"Em Aberto",IF(Tabela2[[#This Row],[D/venc]]="-","Enviado",IF(Tabela2[[#This Row],[Dt Venc:]]=TODAY(),"Vence Hoje","Vencida")))</f>
        <v>Enviado</v>
      </c>
      <c r="F184" s="3" t="str">
        <f ca="1">IF(G184=1,"-",Tabela2[[#This Row],[Dt Venc:]]-TODAY())</f>
        <v>-</v>
      </c>
      <c r="G184" s="3">
        <v>1</v>
      </c>
      <c r="H184" s="3"/>
    </row>
    <row r="185" spans="1:8" ht="18" hidden="1">
      <c r="A185" s="3">
        <v>219553</v>
      </c>
      <c r="B185" s="7" t="s">
        <v>127</v>
      </c>
      <c r="C185" s="41">
        <v>372.58</v>
      </c>
      <c r="D185" s="6">
        <v>45571</v>
      </c>
      <c r="E185" s="3" t="str">
        <f ca="1">IF(Tabela2[[#This Row],[Dt Venc:]]&gt;TODAY(),"Em Aberto",IF(Tabela2[[#This Row],[D/venc]]="-","Enviado",IF(Tabela2[[#This Row],[Dt Venc:]]=TODAY(),"Vence Hoje","Vencida")))</f>
        <v>Enviado</v>
      </c>
      <c r="F185" s="3" t="str">
        <f ca="1">IF(G185=1,"-",Tabela2[[#This Row],[Dt Venc:]]-TODAY())</f>
        <v>-</v>
      </c>
      <c r="G185" s="3">
        <v>1</v>
      </c>
      <c r="H185" s="3"/>
    </row>
    <row r="186" spans="1:8" ht="18" hidden="1">
      <c r="A186" s="3">
        <v>3143</v>
      </c>
      <c r="B186" s="7" t="s">
        <v>129</v>
      </c>
      <c r="C186" s="41">
        <v>1249.5</v>
      </c>
      <c r="D186" s="6">
        <v>45571</v>
      </c>
      <c r="E186" s="3" t="str">
        <f ca="1">IF(Tabela2[[#This Row],[Dt Venc:]]&gt;TODAY(),"Em Aberto",IF(Tabela2[[#This Row],[D/venc]]="-","Enviado",IF(Tabela2[[#This Row],[Dt Venc:]]=TODAY(),"Vence Hoje","Vencida")))</f>
        <v>Enviado</v>
      </c>
      <c r="F186" s="3" t="str">
        <f ca="1">IF(G186=1,"-",Tabela2[[#This Row],[Dt Venc:]]-TODAY())</f>
        <v>-</v>
      </c>
      <c r="G186" s="3">
        <v>1</v>
      </c>
      <c r="H186" s="3"/>
    </row>
    <row r="187" spans="1:8" ht="18" hidden="1">
      <c r="A187" s="3">
        <v>10537</v>
      </c>
      <c r="B187" s="7" t="s">
        <v>131</v>
      </c>
      <c r="C187" s="41">
        <v>756.66</v>
      </c>
      <c r="D187" s="6">
        <v>45571</v>
      </c>
      <c r="E187" s="3" t="str">
        <f ca="1">IF(Tabela2[[#This Row],[Dt Venc:]]&gt;TODAY(),"Em Aberto",IF(Tabela2[[#This Row],[D/venc]]="-","Enviado",IF(Tabela2[[#This Row],[Dt Venc:]]=TODAY(),"Vence Hoje","Vencida")))</f>
        <v>Enviado</v>
      </c>
      <c r="F187" s="3" t="str">
        <f ca="1">IF(G187=1,"-",Tabela2[[#This Row],[Dt Venc:]]-TODAY())</f>
        <v>-</v>
      </c>
      <c r="G187" s="3">
        <v>1</v>
      </c>
      <c r="H187" s="3"/>
    </row>
    <row r="188" spans="1:8" ht="18" hidden="1">
      <c r="A188" s="3">
        <v>152665</v>
      </c>
      <c r="B188" s="7" t="s">
        <v>77</v>
      </c>
      <c r="C188" s="41">
        <v>773.33</v>
      </c>
      <c r="D188" s="6">
        <v>45571</v>
      </c>
      <c r="E188" s="3" t="str">
        <f ca="1">IF(Tabela2[[#This Row],[Dt Venc:]]&gt;TODAY(),"Em Aberto",IF(Tabela2[[#This Row],[D/venc]]="-","Enviado",IF(Tabela2[[#This Row],[Dt Venc:]]=TODAY(),"Vence Hoje","Vencida")))</f>
        <v>Enviado</v>
      </c>
      <c r="F188" s="3" t="str">
        <f ca="1">IF(G188=1,"-",Tabela2[[#This Row],[Dt Venc:]]-TODAY())</f>
        <v>-</v>
      </c>
      <c r="G188" s="3">
        <v>1</v>
      </c>
      <c r="H188" s="3"/>
    </row>
    <row r="189" spans="1:8" ht="18" hidden="1">
      <c r="A189" s="3">
        <v>42</v>
      </c>
      <c r="B189" s="7" t="s">
        <v>132</v>
      </c>
      <c r="C189" s="41">
        <v>3873.33</v>
      </c>
      <c r="D189" s="6">
        <v>45571</v>
      </c>
      <c r="E189" s="3" t="str">
        <f ca="1">IF(Tabela2[[#This Row],[Dt Venc:]]&gt;TODAY(),"Em Aberto",IF(Tabela2[[#This Row],[D/venc]]="-","Enviado",IF(Tabela2[[#This Row],[Dt Venc:]]=TODAY(),"Vence Hoje","Vencida")))</f>
        <v>Enviado</v>
      </c>
      <c r="F189" s="3" t="str">
        <f ca="1">IF(G189=1,"-",Tabela2[[#This Row],[Dt Venc:]]-TODAY())</f>
        <v>-</v>
      </c>
      <c r="G189" s="3">
        <v>1</v>
      </c>
      <c r="H189" s="3"/>
    </row>
    <row r="190" spans="1:8" ht="18" hidden="1">
      <c r="A190" s="3">
        <v>5839</v>
      </c>
      <c r="B190" s="7" t="s">
        <v>133</v>
      </c>
      <c r="C190" s="41">
        <v>1246.4000000000001</v>
      </c>
      <c r="D190" s="6">
        <v>45571</v>
      </c>
      <c r="E190" s="3" t="str">
        <f ca="1">IF(Tabela2[[#This Row],[Dt Venc:]]&gt;TODAY(),"Em Aberto",IF(Tabela2[[#This Row],[D/venc]]="-","Enviado",IF(Tabela2[[#This Row],[Dt Venc:]]=TODAY(),"Vence Hoje","Vencida")))</f>
        <v>Enviado</v>
      </c>
      <c r="F190" s="3" t="str">
        <f ca="1">IF(G190=1,"-",Tabela2[[#This Row],[Dt Venc:]]-TODAY())</f>
        <v>-</v>
      </c>
      <c r="G190" s="3">
        <v>1</v>
      </c>
      <c r="H190" s="3"/>
    </row>
    <row r="191" spans="1:8" ht="18" hidden="1">
      <c r="A191" s="3">
        <v>3279209</v>
      </c>
      <c r="B191" s="7" t="s">
        <v>71</v>
      </c>
      <c r="C191" s="41">
        <v>2153.92</v>
      </c>
      <c r="D191" s="6">
        <v>45571</v>
      </c>
      <c r="E191" s="3" t="str">
        <f ca="1">IF(Tabela2[[#This Row],[Dt Venc:]]&gt;TODAY(),"Em Aberto",IF(Tabela2[[#This Row],[D/venc]]="-","Enviado",IF(Tabela2[[#This Row],[Dt Venc:]]=TODAY(),"Vence Hoje","Vencida")))</f>
        <v>Enviado</v>
      </c>
      <c r="F191" s="3" t="str">
        <f ca="1">IF(G191=1,"-",Tabela2[[#This Row],[Dt Venc:]]-TODAY())</f>
        <v>-</v>
      </c>
      <c r="G191" s="3">
        <v>1</v>
      </c>
      <c r="H191" s="3"/>
    </row>
    <row r="192" spans="1:8" ht="18" hidden="1">
      <c r="A192" s="3">
        <v>5833</v>
      </c>
      <c r="B192" s="7" t="s">
        <v>47</v>
      </c>
      <c r="C192" s="41">
        <v>599.70000000000005</v>
      </c>
      <c r="D192" s="6">
        <v>45571</v>
      </c>
      <c r="E192" s="3" t="str">
        <f ca="1">IF(Tabela2[[#This Row],[Dt Venc:]]&gt;TODAY(),"Em Aberto",IF(Tabela2[[#This Row],[D/venc]]="-","Enviado",IF(Tabela2[[#This Row],[Dt Venc:]]=TODAY(),"Vence Hoje","Vencida")))</f>
        <v>Enviado</v>
      </c>
      <c r="F192" s="3" t="str">
        <f ca="1">IF(G192=1,"-",Tabela2[[#This Row],[Dt Venc:]]-TODAY())</f>
        <v>-</v>
      </c>
      <c r="G192" s="3">
        <v>1</v>
      </c>
      <c r="H192" s="3"/>
    </row>
    <row r="193" spans="1:8" ht="18" hidden="1">
      <c r="A193" s="3">
        <v>5838</v>
      </c>
      <c r="B193" s="7" t="s">
        <v>47</v>
      </c>
      <c r="C193" s="41">
        <v>684.67</v>
      </c>
      <c r="D193" s="6">
        <v>45571</v>
      </c>
      <c r="E193" s="3" t="str">
        <f ca="1">IF(Tabela2[[#This Row],[Dt Venc:]]&gt;TODAY(),"Em Aberto",IF(Tabela2[[#This Row],[D/venc]]="-","Enviado",IF(Tabela2[[#This Row],[Dt Venc:]]=TODAY(),"Vence Hoje","Vencida")))</f>
        <v>Enviado</v>
      </c>
      <c r="F193" s="3" t="str">
        <f ca="1">IF(G193=1,"-",Tabela2[[#This Row],[Dt Venc:]]-TODAY())</f>
        <v>-</v>
      </c>
      <c r="G193" s="3">
        <v>1</v>
      </c>
      <c r="H193" s="3"/>
    </row>
    <row r="194" spans="1:8" ht="18" hidden="1">
      <c r="A194" s="3">
        <v>10520</v>
      </c>
      <c r="B194" s="7" t="s">
        <v>72</v>
      </c>
      <c r="C194" s="41">
        <v>440</v>
      </c>
      <c r="D194" s="6">
        <v>45571</v>
      </c>
      <c r="E194" s="3" t="str">
        <f ca="1">IF(Tabela2[[#This Row],[Dt Venc:]]&gt;TODAY(),"Em Aberto",IF(Tabela2[[#This Row],[D/venc]]="-","Enviado",IF(Tabela2[[#This Row],[Dt Venc:]]=TODAY(),"Vence Hoje","Vencida")))</f>
        <v>Enviado</v>
      </c>
      <c r="F194" s="3" t="str">
        <f ca="1">IF(G194=1,"-",Tabela2[[#This Row],[Dt Venc:]]-TODAY())</f>
        <v>-</v>
      </c>
      <c r="G194" s="3">
        <v>1</v>
      </c>
      <c r="H194" s="3"/>
    </row>
    <row r="195" spans="1:8" ht="18" hidden="1">
      <c r="A195" s="3">
        <v>10869</v>
      </c>
      <c r="B195" s="7" t="s">
        <v>33</v>
      </c>
      <c r="C195" s="41">
        <v>1760</v>
      </c>
      <c r="D195" s="6">
        <v>45571</v>
      </c>
      <c r="E195" s="3" t="str">
        <f ca="1">IF(Tabela2[[#This Row],[Dt Venc:]]&gt;TODAY(),"Em Aberto",IF(Tabela2[[#This Row],[D/venc]]="-","Enviado",IF(Tabela2[[#This Row],[Dt Venc:]]=TODAY(),"Vence Hoje","Vencida")))</f>
        <v>Enviado</v>
      </c>
      <c r="F195" s="3" t="str">
        <f ca="1">IF(G195=1,"-",Tabela2[[#This Row],[Dt Venc:]]-TODAY())</f>
        <v>-</v>
      </c>
      <c r="G195" s="3">
        <v>1</v>
      </c>
      <c r="H195" s="3"/>
    </row>
    <row r="196" spans="1:8" ht="18" hidden="1">
      <c r="A196" s="3">
        <v>5045</v>
      </c>
      <c r="B196" s="7" t="s">
        <v>134</v>
      </c>
      <c r="C196" s="41">
        <v>775</v>
      </c>
      <c r="D196" s="6">
        <v>45571</v>
      </c>
      <c r="E196" s="3" t="str">
        <f ca="1">IF(Tabela2[[#This Row],[Dt Venc:]]&gt;TODAY(),"Em Aberto",IF(Tabela2[[#This Row],[D/venc]]="-","Enviado",IF(Tabela2[[#This Row],[Dt Venc:]]=TODAY(),"Vence Hoje","Vencida")))</f>
        <v>Enviado</v>
      </c>
      <c r="F196" s="3" t="str">
        <f ca="1">IF(G196=1,"-",Tabela2[[#This Row],[Dt Venc:]]-TODAY())</f>
        <v>-</v>
      </c>
      <c r="G196" s="3">
        <v>1</v>
      </c>
      <c r="H196" s="3"/>
    </row>
    <row r="197" spans="1:8" ht="18" hidden="1">
      <c r="A197" s="3">
        <v>1639</v>
      </c>
      <c r="B197" s="7" t="s">
        <v>135</v>
      </c>
      <c r="C197" s="41">
        <v>10732.53</v>
      </c>
      <c r="D197" s="6">
        <v>45572</v>
      </c>
      <c r="E197" s="3" t="str">
        <f ca="1">IF(Tabela2[[#This Row],[Dt Venc:]]&gt;TODAY(),"Em Aberto",IF(Tabela2[[#This Row],[D/venc]]="-","Enviado",IF(Tabela2[[#This Row],[Dt Venc:]]=TODAY(),"Vence Hoje","Vencida")))</f>
        <v>Enviado</v>
      </c>
      <c r="F197" s="3" t="str">
        <f ca="1">IF(G197=1,"-",Tabela2[[#This Row],[Dt Venc:]]-TODAY())</f>
        <v>-</v>
      </c>
      <c r="G197" s="3">
        <v>1</v>
      </c>
      <c r="H197" s="3"/>
    </row>
    <row r="198" spans="1:8" ht="18" hidden="1">
      <c r="A198" s="3">
        <v>10728</v>
      </c>
      <c r="B198" s="7" t="s">
        <v>33</v>
      </c>
      <c r="C198" s="42">
        <v>720</v>
      </c>
      <c r="D198" s="6">
        <v>45572</v>
      </c>
      <c r="E198" s="3" t="str">
        <f ca="1">IF(Tabela2[[#This Row],[Dt Venc:]]&gt;TODAY(),"Em Aberto",IF(Tabela2[[#This Row],[D/venc]]="-","Enviado",IF(Tabela2[[#This Row],[Dt Venc:]]=TODAY(),"Vence Hoje","Vencida")))</f>
        <v>Enviado</v>
      </c>
      <c r="F198" s="3" t="str">
        <f ca="1">IF(G198=1,"-",Tabela2[[#This Row],[Dt Venc:]]-TODAY())</f>
        <v>-</v>
      </c>
      <c r="G198" s="3">
        <v>1</v>
      </c>
      <c r="H198" s="3"/>
    </row>
    <row r="199" spans="1:8" ht="18" hidden="1">
      <c r="A199" s="3">
        <v>32514</v>
      </c>
      <c r="B199" s="7" t="s">
        <v>57</v>
      </c>
      <c r="C199" s="42">
        <v>666.66</v>
      </c>
      <c r="D199" s="6">
        <v>45572</v>
      </c>
      <c r="E199" s="3" t="str">
        <f ca="1">IF(Tabela2[[#This Row],[Dt Venc:]]&gt;TODAY(),"Em Aberto",IF(Tabela2[[#This Row],[D/venc]]="-","Enviado",IF(Tabela2[[#This Row],[Dt Venc:]]=TODAY(),"Vence Hoje","Vencida")))</f>
        <v>Enviado</v>
      </c>
      <c r="F199" s="3" t="str">
        <f ca="1">IF(G199=1,"-",Tabela2[[#This Row],[Dt Venc:]]-TODAY())</f>
        <v>-</v>
      </c>
      <c r="G199" s="3">
        <v>1</v>
      </c>
      <c r="H199" s="3"/>
    </row>
    <row r="200" spans="1:8" ht="18" hidden="1">
      <c r="A200" s="3">
        <v>252882</v>
      </c>
      <c r="B200" s="7" t="s">
        <v>36</v>
      </c>
      <c r="C200" s="42">
        <v>360</v>
      </c>
      <c r="D200" s="6">
        <v>45572</v>
      </c>
      <c r="E200" s="3" t="str">
        <f ca="1">IF(Tabela2[[#This Row],[Dt Venc:]]&gt;TODAY(),"Em Aberto",IF(Tabela2[[#This Row],[D/venc]]="-","Enviado",IF(Tabela2[[#This Row],[Dt Venc:]]=TODAY(),"Vence Hoje","Vencida")))</f>
        <v>Enviado</v>
      </c>
      <c r="F200" s="3" t="str">
        <f ca="1">IF(G200=1,"-",Tabela2[[#This Row],[Dt Venc:]]-TODAY())</f>
        <v>-</v>
      </c>
      <c r="G200" s="3">
        <v>1</v>
      </c>
      <c r="H200" s="3"/>
    </row>
    <row r="201" spans="1:8" ht="18" hidden="1">
      <c r="A201" s="3">
        <v>421829</v>
      </c>
      <c r="B201" s="7" t="s">
        <v>89</v>
      </c>
      <c r="C201" s="42">
        <v>426.67</v>
      </c>
      <c r="D201" s="6">
        <v>45572</v>
      </c>
      <c r="E201" s="3" t="str">
        <f ca="1">IF(Tabela2[[#This Row],[Dt Venc:]]&gt;TODAY(),"Em Aberto",IF(Tabela2[[#This Row],[D/venc]]="-","Enviado",IF(Tabela2[[#This Row],[Dt Venc:]]=TODAY(),"Vence Hoje","Vencida")))</f>
        <v>Enviado</v>
      </c>
      <c r="F201" s="3" t="str">
        <f ca="1">IF(G201=1,"-",Tabela2[[#This Row],[Dt Venc:]]-TODAY())</f>
        <v>-</v>
      </c>
      <c r="G201" s="3">
        <v>1</v>
      </c>
      <c r="H201" s="3"/>
    </row>
    <row r="202" spans="1:8" ht="18" hidden="1">
      <c r="A202" s="3">
        <v>421872</v>
      </c>
      <c r="B202" s="7" t="s">
        <v>89</v>
      </c>
      <c r="C202" s="42">
        <v>850</v>
      </c>
      <c r="D202" s="6">
        <v>45572</v>
      </c>
      <c r="E202" s="3" t="str">
        <f ca="1">IF(Tabela2[[#This Row],[Dt Venc:]]&gt;TODAY(),"Em Aberto",IF(Tabela2[[#This Row],[D/venc]]="-","Enviado",IF(Tabela2[[#This Row],[Dt Venc:]]=TODAY(),"Vence Hoje","Vencida")))</f>
        <v>Enviado</v>
      </c>
      <c r="F202" s="3" t="str">
        <f ca="1">IF(G202=1,"-",Tabela2[[#This Row],[Dt Venc:]]-TODAY())</f>
        <v>-</v>
      </c>
      <c r="G202" s="3">
        <v>1</v>
      </c>
      <c r="H202" s="3"/>
    </row>
    <row r="203" spans="1:8" ht="18" hidden="1">
      <c r="A203" s="3">
        <v>389162</v>
      </c>
      <c r="B203" s="7" t="s">
        <v>136</v>
      </c>
      <c r="C203" s="42">
        <v>1870</v>
      </c>
      <c r="D203" s="6">
        <v>45572</v>
      </c>
      <c r="E203" s="3" t="str">
        <f ca="1">IF(Tabela2[[#This Row],[Dt Venc:]]&gt;TODAY(),"Em Aberto",IF(Tabela2[[#This Row],[D/venc]]="-","Enviado",IF(Tabela2[[#This Row],[Dt Venc:]]=TODAY(),"Vence Hoje","Vencida")))</f>
        <v>Enviado</v>
      </c>
      <c r="F203" s="3" t="str">
        <f ca="1">IF(G203=1,"-",Tabela2[[#This Row],[Dt Venc:]]-TODAY())</f>
        <v>-</v>
      </c>
      <c r="G203" s="3">
        <v>1</v>
      </c>
      <c r="H203" s="3"/>
    </row>
    <row r="204" spans="1:8" ht="18" hidden="1">
      <c r="A204" s="3">
        <v>79829</v>
      </c>
      <c r="B204" s="7" t="s">
        <v>39</v>
      </c>
      <c r="C204" s="42">
        <v>508.41</v>
      </c>
      <c r="D204" s="6">
        <v>45572</v>
      </c>
      <c r="E204" s="3" t="str">
        <f ca="1">IF(Tabela2[[#This Row],[Dt Venc:]]&gt;TODAY(),"Em Aberto",IF(Tabela2[[#This Row],[D/venc]]="-","Enviado",IF(Tabela2[[#This Row],[Dt Venc:]]=TODAY(),"Vence Hoje","Vencida")))</f>
        <v>Enviado</v>
      </c>
      <c r="F204" s="3" t="str">
        <f ca="1">IF(G204=1,"-",Tabela2[[#This Row],[Dt Venc:]]-TODAY())</f>
        <v>-</v>
      </c>
      <c r="G204" s="3">
        <v>1</v>
      </c>
      <c r="H204" s="3"/>
    </row>
    <row r="205" spans="1:8" ht="18" hidden="1">
      <c r="A205" s="3">
        <v>79830</v>
      </c>
      <c r="B205" s="7" t="s">
        <v>39</v>
      </c>
      <c r="C205" s="42">
        <v>141.86000000000001</v>
      </c>
      <c r="D205" s="6">
        <v>45572</v>
      </c>
      <c r="E205" s="3" t="str">
        <f ca="1">IF(Tabela2[[#This Row],[Dt Venc:]]&gt;TODAY(),"Em Aberto",IF(Tabela2[[#This Row],[D/venc]]="-","Enviado",IF(Tabela2[[#This Row],[Dt Venc:]]=TODAY(),"Vence Hoje","Vencida")))</f>
        <v>Enviado</v>
      </c>
      <c r="F205" s="3" t="str">
        <f ca="1">IF(G205=1,"-",Tabela2[[#This Row],[Dt Venc:]]-TODAY())</f>
        <v>-</v>
      </c>
      <c r="G205" s="3">
        <v>1</v>
      </c>
      <c r="H205" s="3"/>
    </row>
    <row r="206" spans="1:8" ht="18" hidden="1">
      <c r="A206" s="3">
        <v>79832</v>
      </c>
      <c r="B206" s="7" t="s">
        <v>39</v>
      </c>
      <c r="C206" s="42">
        <v>500.17</v>
      </c>
      <c r="D206" s="6">
        <v>45572</v>
      </c>
      <c r="E206" s="3" t="str">
        <f ca="1">IF(Tabela2[[#This Row],[Dt Venc:]]&gt;TODAY(),"Em Aberto",IF(Tabela2[[#This Row],[D/venc]]="-","Enviado",IF(Tabela2[[#This Row],[Dt Venc:]]=TODAY(),"Vence Hoje","Vencida")))</f>
        <v>Enviado</v>
      </c>
      <c r="F206" s="3" t="str">
        <f ca="1">IF(G206=1,"-",Tabela2[[#This Row],[Dt Venc:]]-TODAY())</f>
        <v>-</v>
      </c>
      <c r="G206" s="3">
        <v>1</v>
      </c>
      <c r="H206" s="3"/>
    </row>
    <row r="207" spans="1:8" ht="18" hidden="1">
      <c r="A207" s="3">
        <v>359975</v>
      </c>
      <c r="B207" s="7" t="s">
        <v>39</v>
      </c>
      <c r="C207" s="42">
        <v>247.83</v>
      </c>
      <c r="D207" s="6">
        <v>45572</v>
      </c>
      <c r="E207" s="3" t="str">
        <f ca="1">IF(Tabela2[[#This Row],[Dt Venc:]]&gt;TODAY(),"Em Aberto",IF(Tabela2[[#This Row],[D/venc]]="-","Enviado",IF(Tabela2[[#This Row],[Dt Venc:]]=TODAY(),"Vence Hoje","Vencida")))</f>
        <v>Enviado</v>
      </c>
      <c r="F207" s="3" t="str">
        <f ca="1">IF(G207=1,"-",Tabela2[[#This Row],[Dt Venc:]]-TODAY())</f>
        <v>-</v>
      </c>
      <c r="G207" s="3">
        <v>1</v>
      </c>
      <c r="H207" s="3"/>
    </row>
    <row r="208" spans="1:8" ht="18" hidden="1">
      <c r="A208" s="3">
        <v>359984</v>
      </c>
      <c r="B208" s="7" t="s">
        <v>39</v>
      </c>
      <c r="C208" s="42">
        <v>247.83</v>
      </c>
      <c r="D208" s="6">
        <v>45572</v>
      </c>
      <c r="E208" s="3" t="str">
        <f ca="1">IF(Tabela2[[#This Row],[Dt Venc:]]&gt;TODAY(),"Em Aberto",IF(Tabela2[[#This Row],[D/venc]]="-","Enviado",IF(Tabela2[[#This Row],[Dt Venc:]]=TODAY(),"Vence Hoje","Vencida")))</f>
        <v>Enviado</v>
      </c>
      <c r="F208" s="3" t="str">
        <f ca="1">IF(G208=1,"-",Tabela2[[#This Row],[Dt Venc:]]-TODAY())</f>
        <v>-</v>
      </c>
      <c r="G208" s="3">
        <v>1</v>
      </c>
      <c r="H208" s="3"/>
    </row>
    <row r="209" spans="1:8" ht="18" hidden="1">
      <c r="A209" s="3">
        <v>360021</v>
      </c>
      <c r="B209" s="7" t="s">
        <v>39</v>
      </c>
      <c r="C209" s="42">
        <v>247.83</v>
      </c>
      <c r="D209" s="6">
        <v>45572</v>
      </c>
      <c r="E209" s="3" t="str">
        <f ca="1">IF(Tabela2[[#This Row],[Dt Venc:]]&gt;TODAY(),"Em Aberto",IF(Tabela2[[#This Row],[D/venc]]="-","Enviado",IF(Tabela2[[#This Row],[Dt Venc:]]=TODAY(),"Vence Hoje","Vencida")))</f>
        <v>Enviado</v>
      </c>
      <c r="F209" s="3" t="str">
        <f ca="1">IF(G209=1,"-",Tabela2[[#This Row],[Dt Venc:]]-TODAY())</f>
        <v>-</v>
      </c>
      <c r="G209" s="3">
        <v>1</v>
      </c>
      <c r="H209" s="3"/>
    </row>
    <row r="210" spans="1:8" ht="18" hidden="1">
      <c r="A210" s="3">
        <v>217142</v>
      </c>
      <c r="B210" s="7" t="s">
        <v>127</v>
      </c>
      <c r="C210" s="42">
        <v>628.28</v>
      </c>
      <c r="D210" s="6">
        <v>45572</v>
      </c>
      <c r="E210" s="3" t="str">
        <f ca="1">IF(Tabela2[[#This Row],[Dt Venc:]]&gt;TODAY(),"Em Aberto",IF(Tabela2[[#This Row],[D/venc]]="-","Enviado",IF(Tabela2[[#This Row],[Dt Venc:]]=TODAY(),"Vence Hoje","Vencida")))</f>
        <v>Enviado</v>
      </c>
      <c r="F210" s="3" t="str">
        <f ca="1">IF(G210=1,"-",Tabela2[[#This Row],[Dt Venc:]]-TODAY())</f>
        <v>-</v>
      </c>
      <c r="G210" s="3">
        <v>1</v>
      </c>
      <c r="H210" s="3"/>
    </row>
    <row r="211" spans="1:8" ht="18" hidden="1">
      <c r="A211" s="3">
        <v>602866</v>
      </c>
      <c r="B211" s="7" t="s">
        <v>137</v>
      </c>
      <c r="C211" s="42">
        <v>755.93</v>
      </c>
      <c r="D211" s="6">
        <v>45572</v>
      </c>
      <c r="E211" s="3" t="str">
        <f ca="1">IF(Tabela2[[#This Row],[Dt Venc:]]&gt;TODAY(),"Em Aberto",IF(Tabela2[[#This Row],[D/venc]]="-","Enviado",IF(Tabela2[[#This Row],[Dt Venc:]]=TODAY(),"Vence Hoje","Vencida")))</f>
        <v>Enviado</v>
      </c>
      <c r="F211" s="3" t="str">
        <f ca="1">IF(G211=1,"-",Tabela2[[#This Row],[Dt Venc:]]-TODAY())</f>
        <v>-</v>
      </c>
      <c r="G211" s="3">
        <v>1</v>
      </c>
      <c r="H211" s="3"/>
    </row>
    <row r="212" spans="1:8" ht="18" hidden="1">
      <c r="A212" s="3">
        <v>602861</v>
      </c>
      <c r="B212" s="7" t="s">
        <v>138</v>
      </c>
      <c r="C212" s="42">
        <v>939.26</v>
      </c>
      <c r="D212" s="6">
        <v>45572</v>
      </c>
      <c r="E212" s="3" t="str">
        <f ca="1">IF(Tabela2[[#This Row],[Dt Venc:]]&gt;TODAY(),"Em Aberto",IF(Tabela2[[#This Row],[D/venc]]="-","Enviado",IF(Tabela2[[#This Row],[Dt Venc:]]=TODAY(),"Vence Hoje","Vencida")))</f>
        <v>Enviado</v>
      </c>
      <c r="F212" s="3" t="str">
        <f ca="1">IF(G212=1,"-",Tabela2[[#This Row],[Dt Venc:]]-TODAY())</f>
        <v>-</v>
      </c>
      <c r="G212" s="3">
        <v>1</v>
      </c>
      <c r="H212" s="3"/>
    </row>
    <row r="213" spans="1:8" ht="18" hidden="1">
      <c r="A213" s="3">
        <v>69226</v>
      </c>
      <c r="B213" s="7" t="s">
        <v>76</v>
      </c>
      <c r="C213" s="42">
        <v>390.33</v>
      </c>
      <c r="D213" s="6">
        <v>45572</v>
      </c>
      <c r="E213" s="3" t="str">
        <f ca="1">IF(Tabela2[[#This Row],[Dt Venc:]]&gt;TODAY(),"Em Aberto",IF(Tabela2[[#This Row],[D/venc]]="-","Enviado",IF(Tabela2[[#This Row],[Dt Venc:]]=TODAY(),"Vence Hoje","Vencida")))</f>
        <v>Enviado</v>
      </c>
      <c r="F213" s="3" t="str">
        <f ca="1">IF(G213=1,"-",Tabela2[[#This Row],[Dt Venc:]]-TODAY())</f>
        <v>-</v>
      </c>
      <c r="G213" s="3">
        <v>1</v>
      </c>
      <c r="H213" s="3"/>
    </row>
    <row r="214" spans="1:8" ht="18" hidden="1">
      <c r="A214" s="3">
        <v>5711</v>
      </c>
      <c r="B214" s="7" t="s">
        <v>47</v>
      </c>
      <c r="C214" s="42">
        <v>1468.63</v>
      </c>
      <c r="D214" s="6">
        <v>45572</v>
      </c>
      <c r="E214" s="3" t="str">
        <f ca="1">IF(Tabela2[[#This Row],[Dt Venc:]]&gt;TODAY(),"Em Aberto",IF(Tabela2[[#This Row],[D/venc]]="-","Enviado",IF(Tabela2[[#This Row],[Dt Venc:]]=TODAY(),"Vence Hoje","Vencida")))</f>
        <v>Enviado</v>
      </c>
      <c r="F214" s="3" t="str">
        <f ca="1">IF(G214=1,"-",Tabela2[[#This Row],[Dt Venc:]]-TODAY())</f>
        <v>-</v>
      </c>
      <c r="G214" s="3">
        <v>1</v>
      </c>
      <c r="H214" s="3"/>
    </row>
    <row r="215" spans="1:8" ht="18" hidden="1">
      <c r="A215" s="3">
        <v>89078</v>
      </c>
      <c r="B215" s="7" t="s">
        <v>48</v>
      </c>
      <c r="C215" s="42">
        <v>565.25</v>
      </c>
      <c r="D215" s="6">
        <v>45572</v>
      </c>
      <c r="E215" s="3" t="str">
        <f ca="1">IF(Tabela2[[#This Row],[Dt Venc:]]&gt;TODAY(),"Em Aberto",IF(Tabela2[[#This Row],[D/venc]]="-","Enviado",IF(Tabela2[[#This Row],[Dt Venc:]]=TODAY(),"Vence Hoje","Vencida")))</f>
        <v>Enviado</v>
      </c>
      <c r="F215" s="3" t="str">
        <f ca="1">IF(G215=1,"-",Tabela2[[#This Row],[Dt Venc:]]-TODAY())</f>
        <v>-</v>
      </c>
      <c r="G215" s="3">
        <v>1</v>
      </c>
      <c r="H215" s="3"/>
    </row>
    <row r="216" spans="1:8" ht="18" hidden="1">
      <c r="A216" s="3">
        <v>367193</v>
      </c>
      <c r="B216" s="7" t="s">
        <v>39</v>
      </c>
      <c r="C216" s="41">
        <v>542.69000000000005</v>
      </c>
      <c r="D216" s="6">
        <v>45572</v>
      </c>
      <c r="E216" s="3" t="str">
        <f ca="1">IF(Tabela2[[#This Row],[Dt Venc:]]&gt;TODAY(),"Em Aberto",IF(Tabela2[[#This Row],[D/venc]]="-","Enviado",IF(Tabela2[[#This Row],[Dt Venc:]]=TODAY(),"Vence Hoje","Vencida")))</f>
        <v>Enviado</v>
      </c>
      <c r="F216" s="3" t="str">
        <f ca="1">IF(G216=1,"-",Tabela2[[#This Row],[Dt Venc:]]-TODAY())</f>
        <v>-</v>
      </c>
      <c r="G216" s="3">
        <v>1</v>
      </c>
      <c r="H216" s="3"/>
    </row>
    <row r="217" spans="1:8" ht="18" hidden="1">
      <c r="A217" s="3">
        <v>234909</v>
      </c>
      <c r="B217" s="7" t="s">
        <v>139</v>
      </c>
      <c r="C217" s="41">
        <v>890</v>
      </c>
      <c r="D217" s="6">
        <v>45572</v>
      </c>
      <c r="E217" s="3" t="str">
        <f ca="1">IF(Tabela2[[#This Row],[Dt Venc:]]&gt;TODAY(),"Em Aberto",IF(Tabela2[[#This Row],[D/venc]]="-","Enviado",IF(Tabela2[[#This Row],[Dt Venc:]]=TODAY(),"Vence Hoje","Vencida")))</f>
        <v>Enviado</v>
      </c>
      <c r="F217" s="3" t="str">
        <f ca="1">IF(G217=1,"-",Tabela2[[#This Row],[Dt Venc:]]-TODAY())</f>
        <v>-</v>
      </c>
      <c r="G217" s="3">
        <v>1</v>
      </c>
      <c r="H217" s="3"/>
    </row>
    <row r="218" spans="1:8" ht="18" hidden="1">
      <c r="A218" s="3">
        <v>367026</v>
      </c>
      <c r="B218" s="7" t="s">
        <v>65</v>
      </c>
      <c r="C218" s="41">
        <v>1366.31</v>
      </c>
      <c r="D218" s="6">
        <v>45572</v>
      </c>
      <c r="E218" s="3" t="str">
        <f ca="1">IF(Tabela2[[#This Row],[Dt Venc:]]&gt;TODAY(),"Em Aberto",IF(Tabela2[[#This Row],[D/venc]]="-","Enviado",IF(Tabela2[[#This Row],[Dt Venc:]]=TODAY(),"Vence Hoje","Vencida")))</f>
        <v>Enviado</v>
      </c>
      <c r="F218" s="3" t="str">
        <f ca="1">IF(G218=1,"-",Tabela2[[#This Row],[Dt Venc:]]-TODAY())</f>
        <v>-</v>
      </c>
      <c r="G218" s="3">
        <v>1</v>
      </c>
      <c r="H218" s="3"/>
    </row>
    <row r="219" spans="1:8" ht="18" hidden="1">
      <c r="A219" s="3">
        <v>26757</v>
      </c>
      <c r="B219" s="7" t="s">
        <v>70</v>
      </c>
      <c r="C219" s="41">
        <v>765.68</v>
      </c>
      <c r="D219" s="6">
        <v>45572</v>
      </c>
      <c r="E219" s="3" t="str">
        <f ca="1">IF(Tabela2[[#This Row],[Dt Venc:]]&gt;TODAY(),"Em Aberto",IF(Tabela2[[#This Row],[D/venc]]="-","Enviado",IF(Tabela2[[#This Row],[Dt Venc:]]=TODAY(),"Vence Hoje","Vencida")))</f>
        <v>Enviado</v>
      </c>
      <c r="F219" s="3" t="str">
        <f ca="1">IF(G219=1,"-",Tabela2[[#This Row],[Dt Venc:]]-TODAY())</f>
        <v>-</v>
      </c>
      <c r="G219" s="3">
        <v>1</v>
      </c>
      <c r="H219" s="3"/>
    </row>
    <row r="220" spans="1:8" ht="18" hidden="1">
      <c r="A220" s="3">
        <v>25887</v>
      </c>
      <c r="B220" s="7" t="s">
        <v>70</v>
      </c>
      <c r="C220" s="41">
        <v>1745.15</v>
      </c>
      <c r="D220" s="6">
        <v>45572</v>
      </c>
      <c r="E220" s="3" t="str">
        <f ca="1">IF(Tabela2[[#This Row],[Dt Venc:]]&gt;TODAY(),"Em Aberto",IF(Tabela2[[#This Row],[D/venc]]="-","Enviado",IF(Tabela2[[#This Row],[Dt Venc:]]=TODAY(),"Vence Hoje","Vencida")))</f>
        <v>Enviado</v>
      </c>
      <c r="F220" s="3" t="str">
        <f ca="1">IF(G220=1,"-",Tabela2[[#This Row],[Dt Venc:]]-TODAY())</f>
        <v>-</v>
      </c>
      <c r="G220" s="3">
        <v>1</v>
      </c>
      <c r="H220" s="3"/>
    </row>
    <row r="221" spans="1:8" ht="18" hidden="1">
      <c r="A221" s="3">
        <v>5795</v>
      </c>
      <c r="B221" s="7" t="s">
        <v>140</v>
      </c>
      <c r="C221" s="41">
        <v>1101.5999999999999</v>
      </c>
      <c r="D221" s="6">
        <v>45572</v>
      </c>
      <c r="E221" s="3" t="str">
        <f ca="1">IF(Tabela2[[#This Row],[Dt Venc:]]&gt;TODAY(),"Em Aberto",IF(Tabela2[[#This Row],[D/venc]]="-","Enviado",IF(Tabela2[[#This Row],[Dt Venc:]]=TODAY(),"Vence Hoje","Vencida")))</f>
        <v>Enviado</v>
      </c>
      <c r="F221" s="3" t="str">
        <f ca="1">IF(G221=1,"-",Tabela2[[#This Row],[Dt Venc:]]-TODAY())</f>
        <v>-</v>
      </c>
      <c r="G221" s="3">
        <v>1</v>
      </c>
      <c r="H221" s="3"/>
    </row>
    <row r="222" spans="1:8" ht="18" hidden="1">
      <c r="A222" s="3">
        <v>1043668</v>
      </c>
      <c r="B222" s="7" t="s">
        <v>141</v>
      </c>
      <c r="C222" s="41">
        <v>1462.6</v>
      </c>
      <c r="D222" s="6">
        <v>45572</v>
      </c>
      <c r="E222" s="3" t="str">
        <f ca="1">IF(Tabela2[[#This Row],[Dt Venc:]]&gt;TODAY(),"Em Aberto",IF(Tabela2[[#This Row],[D/venc]]="-","Enviado",IF(Tabela2[[#This Row],[Dt Venc:]]=TODAY(),"Vence Hoje","Vencida")))</f>
        <v>Enviado</v>
      </c>
      <c r="F222" s="3" t="str">
        <f ca="1">IF(G222=1,"-",Tabela2[[#This Row],[Dt Venc:]]-TODAY())</f>
        <v>-</v>
      </c>
      <c r="G222" s="3">
        <v>1</v>
      </c>
      <c r="H222" s="3"/>
    </row>
    <row r="223" spans="1:8" ht="18" hidden="1">
      <c r="A223" s="3">
        <v>1043666</v>
      </c>
      <c r="B223" s="7" t="s">
        <v>141</v>
      </c>
      <c r="C223" s="41">
        <v>1805.26</v>
      </c>
      <c r="D223" s="6">
        <v>45572</v>
      </c>
      <c r="E223" s="3" t="str">
        <f ca="1">IF(Tabela2[[#This Row],[Dt Venc:]]&gt;TODAY(),"Em Aberto",IF(Tabela2[[#This Row],[D/venc]]="-","Enviado",IF(Tabela2[[#This Row],[Dt Venc:]]=TODAY(),"Vence Hoje","Vencida")))</f>
        <v>Enviado</v>
      </c>
      <c r="F223" s="3" t="str">
        <f ca="1">IF(G223=1,"-",Tabela2[[#This Row],[Dt Venc:]]-TODAY())</f>
        <v>-</v>
      </c>
      <c r="G223" s="3">
        <v>1</v>
      </c>
      <c r="H223" s="3"/>
    </row>
    <row r="224" spans="1:8" ht="18" hidden="1">
      <c r="A224" s="3">
        <v>1043665</v>
      </c>
      <c r="B224" s="7" t="s">
        <v>141</v>
      </c>
      <c r="C224" s="41">
        <v>1717.15</v>
      </c>
      <c r="D224" s="6">
        <v>45572</v>
      </c>
      <c r="E224" s="3" t="str">
        <f ca="1">IF(Tabela2[[#This Row],[Dt Venc:]]&gt;TODAY(),"Em Aberto",IF(Tabela2[[#This Row],[D/venc]]="-","Enviado",IF(Tabela2[[#This Row],[Dt Venc:]]=TODAY(),"Vence Hoje","Vencida")))</f>
        <v>Enviado</v>
      </c>
      <c r="F224" s="3" t="str">
        <f ca="1">IF(G224=1,"-",Tabela2[[#This Row],[Dt Venc:]]-TODAY())</f>
        <v>-</v>
      </c>
      <c r="G224" s="3">
        <v>1</v>
      </c>
      <c r="H224" s="3"/>
    </row>
    <row r="225" spans="1:8" ht="18" hidden="1">
      <c r="A225" s="3">
        <v>1043667</v>
      </c>
      <c r="B225" s="7" t="s">
        <v>141</v>
      </c>
      <c r="C225" s="41">
        <v>1642.92</v>
      </c>
      <c r="D225" s="6">
        <v>45572</v>
      </c>
      <c r="E225" s="3" t="str">
        <f ca="1">IF(Tabela2[[#This Row],[Dt Venc:]]&gt;TODAY(),"Em Aberto",IF(Tabela2[[#This Row],[D/venc]]="-","Enviado",IF(Tabela2[[#This Row],[Dt Venc:]]=TODAY(),"Vence Hoje","Vencida")))</f>
        <v>Enviado</v>
      </c>
      <c r="F225" s="3" t="str">
        <f ca="1">IF(G225=1,"-",Tabela2[[#This Row],[Dt Venc:]]-TODAY())</f>
        <v>-</v>
      </c>
      <c r="G225" s="3">
        <v>1</v>
      </c>
      <c r="H225" s="3"/>
    </row>
    <row r="226" spans="1:8" ht="18" hidden="1">
      <c r="A226" s="3">
        <v>26950</v>
      </c>
      <c r="B226" s="7" t="s">
        <v>142</v>
      </c>
      <c r="C226" s="41">
        <v>442</v>
      </c>
      <c r="D226" s="6">
        <v>45572</v>
      </c>
      <c r="E226" s="3" t="str">
        <f ca="1">IF(Tabela2[[#This Row],[Dt Venc:]]&gt;TODAY(),"Em Aberto",IF(Tabela2[[#This Row],[D/venc]]="-","Enviado",IF(Tabela2[[#This Row],[Dt Venc:]]=TODAY(),"Vence Hoje","Vencida")))</f>
        <v>Enviado</v>
      </c>
      <c r="F226" s="3" t="str">
        <f ca="1">IF(G226=1,"-",Tabela2[[#This Row],[Dt Venc:]]-TODAY())</f>
        <v>-</v>
      </c>
      <c r="G226" s="3">
        <v>1</v>
      </c>
      <c r="H226" s="3"/>
    </row>
    <row r="227" spans="1:8" ht="18" hidden="1">
      <c r="A227" s="3">
        <v>65483</v>
      </c>
      <c r="B227" s="7" t="s">
        <v>143</v>
      </c>
      <c r="C227" s="41">
        <v>285</v>
      </c>
      <c r="D227" s="6">
        <v>45572</v>
      </c>
      <c r="E227" s="3" t="str">
        <f ca="1">IF(Tabela2[[#This Row],[Dt Venc:]]&gt;TODAY(),"Em Aberto",IF(Tabela2[[#This Row],[D/venc]]="-","Enviado",IF(Tabela2[[#This Row],[Dt Venc:]]=TODAY(),"Vence Hoje","Vencida")))</f>
        <v>Enviado</v>
      </c>
      <c r="F227" s="3" t="str">
        <f ca="1">IF(G227=1,"-",Tabela2[[#This Row],[Dt Venc:]]-TODAY())</f>
        <v>-</v>
      </c>
      <c r="G227" s="3">
        <v>1</v>
      </c>
      <c r="H227" s="3"/>
    </row>
    <row r="228" spans="1:8" ht="18" hidden="1">
      <c r="A228" s="3">
        <v>2518</v>
      </c>
      <c r="B228" s="7" t="s">
        <v>91</v>
      </c>
      <c r="C228" s="41">
        <v>263.33</v>
      </c>
      <c r="D228" s="6">
        <v>45572</v>
      </c>
      <c r="E228" s="3" t="str">
        <f ca="1">IF(Tabela2[[#This Row],[Dt Venc:]]&gt;TODAY(),"Em Aberto",IF(Tabela2[[#This Row],[D/venc]]="-","Enviado",IF(Tabela2[[#This Row],[Dt Venc:]]=TODAY(),"Vence Hoje","Vencida")))</f>
        <v>Enviado</v>
      </c>
      <c r="F228" s="3" t="str">
        <f ca="1">IF(G228=1,"-",Tabela2[[#This Row],[Dt Venc:]]-TODAY())</f>
        <v>-</v>
      </c>
      <c r="G228" s="3">
        <v>1</v>
      </c>
      <c r="H228" s="3"/>
    </row>
    <row r="229" spans="1:8" ht="18" hidden="1">
      <c r="A229" s="3">
        <v>42878</v>
      </c>
      <c r="B229" s="7" t="s">
        <v>144</v>
      </c>
      <c r="C229" s="41">
        <v>1013.34</v>
      </c>
      <c r="D229" s="6">
        <v>45572</v>
      </c>
      <c r="E229" s="3" t="str">
        <f ca="1">IF(Tabela2[[#This Row],[Dt Venc:]]&gt;TODAY(),"Em Aberto",IF(Tabela2[[#This Row],[D/venc]]="-","Enviado",IF(Tabela2[[#This Row],[Dt Venc:]]=TODAY(),"Vence Hoje","Vencida")))</f>
        <v>Enviado</v>
      </c>
      <c r="F229" s="3" t="str">
        <f ca="1">IF(G229=1,"-",Tabela2[[#This Row],[Dt Venc:]]-TODAY())</f>
        <v>-</v>
      </c>
      <c r="G229" s="3">
        <v>1</v>
      </c>
      <c r="H229" s="3"/>
    </row>
    <row r="230" spans="1:8" ht="18" hidden="1">
      <c r="A230" s="3">
        <v>606775</v>
      </c>
      <c r="B230" s="7" t="s">
        <v>66</v>
      </c>
      <c r="C230" s="41">
        <v>495.16</v>
      </c>
      <c r="D230" s="6">
        <v>45572</v>
      </c>
      <c r="E230" s="3" t="str">
        <f ca="1">IF(Tabela2[[#This Row],[Dt Venc:]]&gt;TODAY(),"Em Aberto",IF(Tabela2[[#This Row],[D/venc]]="-","Enviado",IF(Tabela2[[#This Row],[Dt Venc:]]=TODAY(),"Vence Hoje","Vencida")))</f>
        <v>Enviado</v>
      </c>
      <c r="F230" s="3" t="str">
        <f ca="1">IF(G230=1,"-",Tabela2[[#This Row],[Dt Venc:]]-TODAY())</f>
        <v>-</v>
      </c>
      <c r="G230" s="3">
        <v>1</v>
      </c>
      <c r="H230" s="3"/>
    </row>
    <row r="231" spans="1:8" ht="18" hidden="1">
      <c r="A231" s="3">
        <v>228266</v>
      </c>
      <c r="B231" s="7" t="s">
        <v>40</v>
      </c>
      <c r="C231" s="41">
        <v>400</v>
      </c>
      <c r="D231" s="6">
        <v>45572</v>
      </c>
      <c r="E231" s="3" t="str">
        <f ca="1">IF(Tabela2[[#This Row],[Dt Venc:]]&gt;TODAY(),"Em Aberto",IF(Tabela2[[#This Row],[D/venc]]="-","Enviado",IF(Tabela2[[#This Row],[Dt Venc:]]=TODAY(),"Vence Hoje","Vencida")))</f>
        <v>Enviado</v>
      </c>
      <c r="F231" s="3" t="str">
        <f ca="1">IF(G231=1,"-",Tabela2[[#This Row],[Dt Venc:]]-TODAY())</f>
        <v>-</v>
      </c>
      <c r="G231" s="3">
        <v>1</v>
      </c>
      <c r="H231" s="3"/>
    </row>
    <row r="232" spans="1:8" ht="18" hidden="1">
      <c r="A232" s="3">
        <v>8199</v>
      </c>
      <c r="B232" s="7" t="s">
        <v>93</v>
      </c>
      <c r="C232" s="41">
        <v>4505</v>
      </c>
      <c r="D232" s="6">
        <v>45572</v>
      </c>
      <c r="E232" s="3" t="str">
        <f ca="1">IF(Tabela2[[#This Row],[Dt Venc:]]&gt;TODAY(),"Em Aberto",IF(Tabela2[[#This Row],[D/venc]]="-","Enviado",IF(Tabela2[[#This Row],[Dt Venc:]]=TODAY(),"Vence Hoje","Vencida")))</f>
        <v>Enviado</v>
      </c>
      <c r="F232" s="3" t="str">
        <f ca="1">IF(G232=1,"-",Tabela2[[#This Row],[Dt Venc:]]-TODAY())</f>
        <v>-</v>
      </c>
      <c r="G232" s="3">
        <v>1</v>
      </c>
      <c r="H232" s="3"/>
    </row>
    <row r="233" spans="1:8" ht="18" hidden="1">
      <c r="A233" s="3">
        <v>2517</v>
      </c>
      <c r="B233" s="7" t="s">
        <v>145</v>
      </c>
      <c r="C233" s="41">
        <v>230</v>
      </c>
      <c r="D233" s="6">
        <v>45572</v>
      </c>
      <c r="E233" s="3" t="str">
        <f ca="1">IF(Tabela2[[#This Row],[Dt Venc:]]&gt;TODAY(),"Em Aberto",IF(Tabela2[[#This Row],[D/venc]]="-","Enviado",IF(Tabela2[[#This Row],[Dt Venc:]]=TODAY(),"Vence Hoje","Vencida")))</f>
        <v>Enviado</v>
      </c>
      <c r="F233" s="3" t="str">
        <f ca="1">IF(G233=1,"-",Tabela2[[#This Row],[Dt Venc:]]-TODAY())</f>
        <v>-</v>
      </c>
      <c r="G233" s="3">
        <v>1</v>
      </c>
      <c r="H233" s="3"/>
    </row>
    <row r="234" spans="1:8" ht="18" hidden="1">
      <c r="A234" s="3">
        <v>353555</v>
      </c>
      <c r="B234" s="7" t="s">
        <v>59</v>
      </c>
      <c r="C234" s="41">
        <v>55726</v>
      </c>
      <c r="D234" s="6">
        <v>45572</v>
      </c>
      <c r="E234" s="3" t="str">
        <f ca="1">IF(Tabela2[[#This Row],[Dt Venc:]]&gt;TODAY(),"Em Aberto",IF(Tabela2[[#This Row],[D/venc]]="-","Enviado",IF(Tabela2[[#This Row],[Dt Venc:]]=TODAY(),"Vence Hoje","Vencida")))</f>
        <v>Enviado</v>
      </c>
      <c r="F234" s="3" t="str">
        <f ca="1">IF(G234=1,"-",Tabela2[[#This Row],[Dt Venc:]]-TODAY())</f>
        <v>-</v>
      </c>
      <c r="G234" s="3">
        <v>1</v>
      </c>
      <c r="H234" s="3"/>
    </row>
    <row r="235" spans="1:8" ht="18" hidden="1">
      <c r="A235" s="3">
        <v>442198</v>
      </c>
      <c r="B235" s="7" t="s">
        <v>59</v>
      </c>
      <c r="C235" s="41">
        <v>27494.5</v>
      </c>
      <c r="D235" s="6">
        <v>45572</v>
      </c>
      <c r="E235" s="3" t="str">
        <f ca="1">IF(Tabela2[[#This Row],[Dt Venc:]]&gt;TODAY(),"Em Aberto",IF(Tabela2[[#This Row],[D/venc]]="-","Enviado",IF(Tabela2[[#This Row],[Dt Venc:]]=TODAY(),"Vence Hoje","Vencida")))</f>
        <v>Enviado</v>
      </c>
      <c r="F235" s="3" t="str">
        <f ca="1">IF(G235=1,"-",Tabela2[[#This Row],[Dt Venc:]]-TODAY())</f>
        <v>-</v>
      </c>
      <c r="G235" s="3">
        <v>1</v>
      </c>
      <c r="H235" s="3"/>
    </row>
    <row r="236" spans="1:8" ht="18" hidden="1">
      <c r="A236" s="3">
        <v>2474198</v>
      </c>
      <c r="B236" s="7" t="s">
        <v>59</v>
      </c>
      <c r="C236" s="41">
        <v>106632</v>
      </c>
      <c r="D236" s="6">
        <v>45572</v>
      </c>
      <c r="E236" s="3" t="str">
        <f ca="1">IF(Tabela2[[#This Row],[Dt Venc:]]&gt;TODAY(),"Em Aberto",IF(Tabela2[[#This Row],[D/venc]]="-","Enviado",IF(Tabela2[[#This Row],[Dt Venc:]]=TODAY(),"Vence Hoje","Vencida")))</f>
        <v>Enviado</v>
      </c>
      <c r="F236" s="3" t="str">
        <f ca="1">IF(G236=1,"-",Tabela2[[#This Row],[Dt Venc:]]-TODAY())</f>
        <v>-</v>
      </c>
      <c r="G236" s="3">
        <v>1</v>
      </c>
      <c r="H236" s="3"/>
    </row>
    <row r="237" spans="1:8" ht="18" hidden="1">
      <c r="A237" s="3">
        <v>1980462</v>
      </c>
      <c r="B237" s="7" t="s">
        <v>59</v>
      </c>
      <c r="C237" s="41">
        <v>54029</v>
      </c>
      <c r="D237" s="6">
        <v>45572</v>
      </c>
      <c r="E237" s="3" t="str">
        <f ca="1">IF(Tabela2[[#This Row],[Dt Venc:]]&gt;TODAY(),"Em Aberto",IF(Tabela2[[#This Row],[D/venc]]="-","Enviado",IF(Tabela2[[#This Row],[Dt Venc:]]=TODAY(),"Vence Hoje","Vencida")))</f>
        <v>Enviado</v>
      </c>
      <c r="F237" s="3" t="str">
        <f ca="1">IF(G237=1,"-",Tabela2[[#This Row],[Dt Venc:]]-TODAY())</f>
        <v>-</v>
      </c>
      <c r="G237" s="3">
        <v>1</v>
      </c>
      <c r="H237" s="3"/>
    </row>
    <row r="238" spans="1:8" ht="18" hidden="1">
      <c r="A238" s="3">
        <v>65483</v>
      </c>
      <c r="B238" s="7" t="s">
        <v>146</v>
      </c>
      <c r="C238" s="42">
        <v>285</v>
      </c>
      <c r="D238" s="6">
        <v>45572</v>
      </c>
      <c r="E238" s="3" t="str">
        <f ca="1">IF(Tabela2[[#This Row],[Dt Venc:]]&gt;TODAY(),"Em Aberto",IF(Tabela2[[#This Row],[D/venc]]="-","Enviado",IF(Tabela2[[#This Row],[Dt Venc:]]=TODAY(),"Vence Hoje","Vencida")))</f>
        <v>Enviado</v>
      </c>
      <c r="F238" s="3" t="str">
        <f ca="1">IF(G238=1,"-",Tabela2[[#This Row],[Dt Venc:]]-TODAY())</f>
        <v>-</v>
      </c>
      <c r="G238" s="3">
        <v>1</v>
      </c>
      <c r="H238" s="3"/>
    </row>
    <row r="239" spans="1:8" ht="18" hidden="1">
      <c r="A239" s="3">
        <v>2474979</v>
      </c>
      <c r="B239" s="7" t="s">
        <v>59</v>
      </c>
      <c r="C239" s="41">
        <v>53410</v>
      </c>
      <c r="D239" s="6">
        <v>45572</v>
      </c>
      <c r="E239" s="3" t="str">
        <f ca="1">IF(Tabela2[[#This Row],[Dt Venc:]]&gt;TODAY(),"Em Aberto",IF(Tabela2[[#This Row],[D/venc]]="-","Enviado",IF(Tabela2[[#This Row],[Dt Venc:]]=TODAY(),"Vence Hoje","Vencida")))</f>
        <v>Enviado</v>
      </c>
      <c r="F239" s="3" t="str">
        <f ca="1">IF(G239=1,"-",Tabela2[[#This Row],[Dt Venc:]]-TODAY())</f>
        <v>-</v>
      </c>
      <c r="G239" s="3">
        <v>1</v>
      </c>
      <c r="H239" s="3"/>
    </row>
    <row r="240" spans="1:8" ht="18" hidden="1">
      <c r="A240" s="3">
        <v>42887</v>
      </c>
      <c r="B240" s="7" t="s">
        <v>144</v>
      </c>
      <c r="C240" s="41">
        <v>395</v>
      </c>
      <c r="D240" s="6">
        <v>45572</v>
      </c>
      <c r="E240" s="3" t="str">
        <f ca="1">IF(Tabela2[[#This Row],[Dt Venc:]]&gt;TODAY(),"Em Aberto",IF(Tabela2[[#This Row],[D/venc]]="-","Enviado",IF(Tabela2[[#This Row],[Dt Venc:]]=TODAY(),"Vence Hoje","Vencida")))</f>
        <v>Enviado</v>
      </c>
      <c r="F240" s="3" t="str">
        <f ca="1">IF(G240=1,"-",Tabela2[[#This Row],[Dt Venc:]]-TODAY())</f>
        <v>-</v>
      </c>
      <c r="G240" s="3">
        <v>1</v>
      </c>
      <c r="H240" s="3"/>
    </row>
    <row r="241" spans="1:8" ht="18" hidden="1">
      <c r="A241" s="3">
        <v>15121</v>
      </c>
      <c r="B241" s="7" t="s">
        <v>147</v>
      </c>
      <c r="C241" s="42">
        <v>300</v>
      </c>
      <c r="D241" s="6">
        <v>45573</v>
      </c>
      <c r="E241" s="3" t="str">
        <f ca="1">IF(Tabela2[[#This Row],[Dt Venc:]]&gt;TODAY(),"Em Aberto",IF(Tabela2[[#This Row],[D/venc]]="-","Enviado",IF(Tabela2[[#This Row],[Dt Venc:]]=TODAY(),"Vence Hoje","Vencida")))</f>
        <v>Enviado</v>
      </c>
      <c r="F241" s="3" t="str">
        <f ca="1">IF(G241=1,"-",Tabela2[[#This Row],[Dt Venc:]]-TODAY())</f>
        <v>-</v>
      </c>
      <c r="G241" s="3">
        <v>1</v>
      </c>
      <c r="H241" s="3"/>
    </row>
    <row r="242" spans="1:8" ht="18" hidden="1">
      <c r="A242" s="3">
        <v>252998</v>
      </c>
      <c r="B242" s="7" t="s">
        <v>36</v>
      </c>
      <c r="C242" s="89">
        <v>876.67</v>
      </c>
      <c r="D242" s="6">
        <v>45573</v>
      </c>
      <c r="E242" s="3" t="str">
        <f ca="1">IF(Tabela2[[#This Row],[Dt Venc:]]&gt;TODAY(),"Em Aberto",IF(Tabela2[[#This Row],[D/venc]]="-","Enviado",IF(Tabela2[[#This Row],[Dt Venc:]]=TODAY(),"Vence Hoje","Vencida")))</f>
        <v>Enviado</v>
      </c>
      <c r="F242" s="3" t="str">
        <f ca="1">IF(G242=1,"-",Tabela2[[#This Row],[Dt Venc:]]-TODAY())</f>
        <v>-</v>
      </c>
      <c r="G242" s="3">
        <v>1</v>
      </c>
      <c r="H242" s="3"/>
    </row>
    <row r="243" spans="1:8" ht="18" hidden="1">
      <c r="A243" s="3">
        <v>23269</v>
      </c>
      <c r="B243" s="7" t="s">
        <v>148</v>
      </c>
      <c r="C243" s="89">
        <v>2007.33</v>
      </c>
      <c r="D243" s="6">
        <v>45573</v>
      </c>
      <c r="E243" s="3" t="str">
        <f ca="1">IF(Tabela2[[#This Row],[Dt Venc:]]&gt;TODAY(),"Em Aberto",IF(Tabela2[[#This Row],[D/venc]]="-","Enviado",IF(Tabela2[[#This Row],[Dt Venc:]]=TODAY(),"Vence Hoje","Vencida")))</f>
        <v>Enviado</v>
      </c>
      <c r="F243" s="3" t="str">
        <f ca="1">IF(G243=1,"-",Tabela2[[#This Row],[Dt Venc:]]-TODAY())</f>
        <v>-</v>
      </c>
      <c r="G243" s="3">
        <v>1</v>
      </c>
      <c r="H243" s="3"/>
    </row>
    <row r="244" spans="1:8" ht="18" hidden="1">
      <c r="A244" s="3">
        <v>360107</v>
      </c>
      <c r="B244" s="7" t="s">
        <v>39</v>
      </c>
      <c r="C244" s="89">
        <v>1257.8499999999999</v>
      </c>
      <c r="D244" s="6">
        <v>45573</v>
      </c>
      <c r="E244" s="3" t="str">
        <f ca="1">IF(Tabela2[[#This Row],[Dt Venc:]]&gt;TODAY(),"Em Aberto",IF(Tabela2[[#This Row],[D/venc]]="-","Enviado",IF(Tabela2[[#This Row],[Dt Venc:]]=TODAY(),"Vence Hoje","Vencida")))</f>
        <v>Enviado</v>
      </c>
      <c r="F244" s="3" t="str">
        <f ca="1">IF(G244=1,"-",Tabela2[[#This Row],[Dt Venc:]]-TODAY())</f>
        <v>-</v>
      </c>
      <c r="G244" s="3">
        <v>1</v>
      </c>
      <c r="H244" s="3"/>
    </row>
    <row r="245" spans="1:8" ht="18" hidden="1">
      <c r="A245" s="3">
        <v>144607</v>
      </c>
      <c r="B245" s="7" t="s">
        <v>127</v>
      </c>
      <c r="C245" s="89">
        <v>604.5</v>
      </c>
      <c r="D245" s="6">
        <v>45573</v>
      </c>
      <c r="E245" s="3" t="str">
        <f ca="1">IF(Tabela2[[#This Row],[Dt Venc:]]&gt;TODAY(),"Em Aberto",IF(Tabela2[[#This Row],[D/venc]]="-","Enviado",IF(Tabela2[[#This Row],[Dt Venc:]]=TODAY(),"Vence Hoje","Vencida")))</f>
        <v>Enviado</v>
      </c>
      <c r="F245" s="3" t="str">
        <f ca="1">IF(G245=1,"-",Tabela2[[#This Row],[Dt Venc:]]-TODAY())</f>
        <v>-</v>
      </c>
      <c r="G245" s="3">
        <v>1</v>
      </c>
      <c r="H245" s="3"/>
    </row>
    <row r="246" spans="1:8" ht="18" hidden="1">
      <c r="A246" s="3">
        <v>144609</v>
      </c>
      <c r="B246" s="7" t="s">
        <v>127</v>
      </c>
      <c r="C246" s="42">
        <v>262.7</v>
      </c>
      <c r="D246" s="6">
        <v>45573</v>
      </c>
      <c r="E246" s="3" t="str">
        <f ca="1">IF(Tabela2[[#This Row],[Dt Venc:]]&gt;TODAY(),"Em Aberto",IF(Tabela2[[#This Row],[D/venc]]="-","Enviado",IF(Tabela2[[#This Row],[Dt Venc:]]=TODAY(),"Vence Hoje","Vencida")))</f>
        <v>Enviado</v>
      </c>
      <c r="F246" s="3" t="str">
        <f ca="1">IF(G246=1,"-",Tabela2[[#This Row],[Dt Venc:]]-TODAY())</f>
        <v>-</v>
      </c>
      <c r="G246" s="3">
        <v>1</v>
      </c>
      <c r="H246" s="3"/>
    </row>
    <row r="247" spans="1:8" ht="18" hidden="1">
      <c r="A247" s="3">
        <v>750179</v>
      </c>
      <c r="B247" s="7" t="s">
        <v>127</v>
      </c>
      <c r="C247" s="89">
        <v>362.07</v>
      </c>
      <c r="D247" s="6">
        <v>45573</v>
      </c>
      <c r="E247" s="3" t="str">
        <f ca="1">IF(Tabela2[[#This Row],[Dt Venc:]]&gt;TODAY(),"Em Aberto",IF(Tabela2[[#This Row],[D/venc]]="-","Enviado",IF(Tabela2[[#This Row],[Dt Venc:]]=TODAY(),"Vence Hoje","Vencida")))</f>
        <v>Enviado</v>
      </c>
      <c r="F247" s="3" t="str">
        <f ca="1">IF(G247=1,"-",Tabela2[[#This Row],[Dt Venc:]]-TODAY())</f>
        <v>-</v>
      </c>
      <c r="G247" s="3">
        <v>1</v>
      </c>
      <c r="H247" s="3"/>
    </row>
    <row r="248" spans="1:8" ht="18" hidden="1">
      <c r="A248" s="3">
        <v>750183</v>
      </c>
      <c r="B248" s="7" t="s">
        <v>149</v>
      </c>
      <c r="C248" s="89">
        <v>482.75</v>
      </c>
      <c r="D248" s="6">
        <v>45573</v>
      </c>
      <c r="E248" s="3" t="str">
        <f ca="1">IF(Tabela2[[#This Row],[Dt Venc:]]&gt;TODAY(),"Em Aberto",IF(Tabela2[[#This Row],[D/venc]]="-","Enviado",IF(Tabela2[[#This Row],[Dt Venc:]]=TODAY(),"Vence Hoje","Vencida")))</f>
        <v>Enviado</v>
      </c>
      <c r="F248" s="3" t="str">
        <f ca="1">IF(G248=1,"-",Tabela2[[#This Row],[Dt Venc:]]-TODAY())</f>
        <v>-</v>
      </c>
      <c r="G248" s="3">
        <v>1</v>
      </c>
      <c r="H248" s="3"/>
    </row>
    <row r="249" spans="1:8" ht="18" hidden="1">
      <c r="A249" s="3">
        <v>1411</v>
      </c>
      <c r="B249" s="7" t="s">
        <v>78</v>
      </c>
      <c r="C249" s="89">
        <v>326.60000000000002</v>
      </c>
      <c r="D249" s="6">
        <v>45573</v>
      </c>
      <c r="E249" s="3" t="str">
        <f ca="1">IF(Tabela2[[#This Row],[Dt Venc:]]&gt;TODAY(),"Em Aberto",IF(Tabela2[[#This Row],[D/venc]]="-","Enviado",IF(Tabela2[[#This Row],[Dt Venc:]]=TODAY(),"Vence Hoje","Vencida")))</f>
        <v>Enviado</v>
      </c>
      <c r="F249" s="3" t="str">
        <f ca="1">IF(G249=1,"-",Tabela2[[#This Row],[Dt Venc:]]-TODAY())</f>
        <v>-</v>
      </c>
      <c r="G249" s="3">
        <v>1</v>
      </c>
      <c r="H249" s="3"/>
    </row>
    <row r="250" spans="1:8" ht="18" hidden="1">
      <c r="A250" s="3">
        <v>598787</v>
      </c>
      <c r="B250" s="7" t="s">
        <v>66</v>
      </c>
      <c r="C250" s="89">
        <v>1536.91</v>
      </c>
      <c r="D250" s="6">
        <v>45573</v>
      </c>
      <c r="E250" s="3" t="str">
        <f ca="1">IF(Tabela2[[#This Row],[Dt Venc:]]&gt;TODAY(),"Em Aberto",IF(Tabela2[[#This Row],[D/venc]]="-","Enviado",IF(Tabela2[[#This Row],[Dt Venc:]]=TODAY(),"Vence Hoje","Vencida")))</f>
        <v>Enviado</v>
      </c>
      <c r="F250" s="3" t="str">
        <f ca="1">IF(G250=1,"-",Tabela2[[#This Row],[Dt Venc:]]-TODAY())</f>
        <v>-</v>
      </c>
      <c r="G250" s="3">
        <v>1</v>
      </c>
      <c r="H250" s="3"/>
    </row>
    <row r="251" spans="1:8" ht="18" hidden="1">
      <c r="A251" s="3">
        <v>598950</v>
      </c>
      <c r="B251" s="7" t="s">
        <v>66</v>
      </c>
      <c r="C251" s="89">
        <v>1148.4000000000001</v>
      </c>
      <c r="D251" s="6">
        <v>45573</v>
      </c>
      <c r="E251" s="3" t="str">
        <f ca="1">IF(Tabela2[[#This Row],[Dt Venc:]]&gt;TODAY(),"Em Aberto",IF(Tabela2[[#This Row],[D/venc]]="-","Enviado",IF(Tabela2[[#This Row],[Dt Venc:]]=TODAY(),"Vence Hoje","Vencida")))</f>
        <v>Enviado</v>
      </c>
      <c r="F251" s="3" t="str">
        <f ca="1">IF(G251=1,"-",Tabela2[[#This Row],[Dt Venc:]]-TODAY())</f>
        <v>-</v>
      </c>
      <c r="G251" s="3">
        <v>1</v>
      </c>
      <c r="H251" s="3"/>
    </row>
    <row r="252" spans="1:8" ht="18" hidden="1">
      <c r="A252" s="3">
        <v>179599</v>
      </c>
      <c r="B252" s="7" t="s">
        <v>84</v>
      </c>
      <c r="C252" s="89">
        <v>1253.72</v>
      </c>
      <c r="D252" s="6">
        <v>45573</v>
      </c>
      <c r="E252" s="3" t="str">
        <f ca="1">IF(Tabela2[[#This Row],[Dt Venc:]]&gt;TODAY(),"Em Aberto",IF(Tabela2[[#This Row],[D/venc]]="-","Enviado",IF(Tabela2[[#This Row],[Dt Venc:]]=TODAY(),"Vence Hoje","Vencida")))</f>
        <v>Enviado</v>
      </c>
      <c r="F252" s="3" t="str">
        <f ca="1">IF(G252=1,"-",Tabela2[[#This Row],[Dt Venc:]]-TODAY())</f>
        <v>-</v>
      </c>
      <c r="G252" s="3">
        <v>1</v>
      </c>
      <c r="H252" s="3"/>
    </row>
    <row r="253" spans="1:8" ht="18" hidden="1">
      <c r="A253" s="3">
        <v>39755</v>
      </c>
      <c r="B253" s="7" t="s">
        <v>150</v>
      </c>
      <c r="C253" s="89">
        <v>661.87</v>
      </c>
      <c r="D253" s="6">
        <v>45573</v>
      </c>
      <c r="E253" s="3" t="str">
        <f ca="1">IF(Tabela2[[#This Row],[Dt Venc:]]&gt;TODAY(),"Em Aberto",IF(Tabela2[[#This Row],[D/venc]]="-","Enviado",IF(Tabela2[[#This Row],[Dt Venc:]]=TODAY(),"Vence Hoje","Vencida")))</f>
        <v>Enviado</v>
      </c>
      <c r="F253" s="3" t="str">
        <f ca="1">IF(G253=1,"-",Tabela2[[#This Row],[Dt Venc:]]-TODAY())</f>
        <v>-</v>
      </c>
      <c r="G253" s="3">
        <v>1</v>
      </c>
      <c r="H253" s="3"/>
    </row>
    <row r="254" spans="1:8" ht="18" hidden="1">
      <c r="A254" s="3">
        <v>196191</v>
      </c>
      <c r="B254" s="7" t="s">
        <v>43</v>
      </c>
      <c r="C254" s="89">
        <v>931.53</v>
      </c>
      <c r="D254" s="6">
        <v>45573</v>
      </c>
      <c r="E254" s="3" t="str">
        <f ca="1">IF(Tabela2[[#This Row],[Dt Venc:]]&gt;TODAY(),"Em Aberto",IF(Tabela2[[#This Row],[D/venc]]="-","Enviado",IF(Tabela2[[#This Row],[Dt Venc:]]=TODAY(),"Vence Hoje","Vencida")))</f>
        <v>Enviado</v>
      </c>
      <c r="F254" s="3" t="str">
        <f ca="1">IF(G254=1,"-",Tabela2[[#This Row],[Dt Venc:]]-TODAY())</f>
        <v>-</v>
      </c>
      <c r="G254" s="3">
        <v>1</v>
      </c>
      <c r="H254" s="3"/>
    </row>
    <row r="255" spans="1:8" ht="18" hidden="1">
      <c r="A255" s="3">
        <v>208910</v>
      </c>
      <c r="B255" s="7" t="s">
        <v>43</v>
      </c>
      <c r="C255" s="89">
        <v>987.12</v>
      </c>
      <c r="D255" s="6">
        <v>45573</v>
      </c>
      <c r="E255" s="3" t="str">
        <f ca="1">IF(Tabela2[[#This Row],[Dt Venc:]]&gt;TODAY(),"Em Aberto",IF(Tabela2[[#This Row],[D/venc]]="-","Enviado",IF(Tabela2[[#This Row],[Dt Venc:]]=TODAY(),"Vence Hoje","Vencida")))</f>
        <v>Enviado</v>
      </c>
      <c r="F255" s="3" t="str">
        <f ca="1">IF(G255=1,"-",Tabela2[[#This Row],[Dt Venc:]]-TODAY())</f>
        <v>-</v>
      </c>
      <c r="G255" s="3">
        <v>1</v>
      </c>
      <c r="H255" s="3"/>
    </row>
    <row r="256" spans="1:8" ht="18" hidden="1">
      <c r="A256" s="3">
        <v>208962</v>
      </c>
      <c r="B256" s="7" t="s">
        <v>43</v>
      </c>
      <c r="C256" s="89">
        <v>961.43</v>
      </c>
      <c r="D256" s="6">
        <v>45573</v>
      </c>
      <c r="E256" s="3" t="str">
        <f ca="1">IF(Tabela2[[#This Row],[Dt Venc:]]&gt;TODAY(),"Em Aberto",IF(Tabela2[[#This Row],[D/venc]]="-","Enviado",IF(Tabela2[[#This Row],[Dt Venc:]]=TODAY(),"Vence Hoje","Vencida")))</f>
        <v>Enviado</v>
      </c>
      <c r="F256" s="3" t="str">
        <f ca="1">IF(G256=1,"-",Tabela2[[#This Row],[Dt Venc:]]-TODAY())</f>
        <v>-</v>
      </c>
      <c r="G256" s="3">
        <v>1</v>
      </c>
      <c r="H256" s="3"/>
    </row>
    <row r="257" spans="1:8" ht="18" hidden="1">
      <c r="A257" s="3">
        <v>209020</v>
      </c>
      <c r="B257" s="7" t="s">
        <v>43</v>
      </c>
      <c r="C257" s="89">
        <v>813.4</v>
      </c>
      <c r="D257" s="6">
        <v>45573</v>
      </c>
      <c r="E257" s="3" t="str">
        <f ca="1">IF(Tabela2[[#This Row],[Dt Venc:]]&gt;TODAY(),"Em Aberto",IF(Tabela2[[#This Row],[D/venc]]="-","Enviado",IF(Tabela2[[#This Row],[Dt Venc:]]=TODAY(),"Vence Hoje","Vencida")))</f>
        <v>Enviado</v>
      </c>
      <c r="F257" s="3" t="str">
        <f ca="1">IF(G257=1,"-",Tabela2[[#This Row],[Dt Venc:]]-TODAY())</f>
        <v>-</v>
      </c>
      <c r="G257" s="3">
        <v>1</v>
      </c>
      <c r="H257" s="3"/>
    </row>
    <row r="258" spans="1:8" ht="18" hidden="1">
      <c r="A258" s="3">
        <v>1377917</v>
      </c>
      <c r="B258" s="7" t="s">
        <v>151</v>
      </c>
      <c r="C258" s="89">
        <v>2023.96</v>
      </c>
      <c r="D258" s="6">
        <v>45573</v>
      </c>
      <c r="E258" s="3" t="str">
        <f ca="1">IF(Tabela2[[#This Row],[Dt Venc:]]&gt;TODAY(),"Em Aberto",IF(Tabela2[[#This Row],[D/venc]]="-","Enviado",IF(Tabela2[[#This Row],[Dt Venc:]]=TODAY(),"Vence Hoje","Vencida")))</f>
        <v>Enviado</v>
      </c>
      <c r="F258" s="3" t="str">
        <f ca="1">IF(G258=1,"-",Tabela2[[#This Row],[Dt Venc:]]-TODAY())</f>
        <v>-</v>
      </c>
      <c r="G258" s="3">
        <v>1</v>
      </c>
      <c r="H258" s="3"/>
    </row>
    <row r="259" spans="1:8" ht="18" hidden="1">
      <c r="A259" s="3">
        <v>151332</v>
      </c>
      <c r="B259" s="7" t="s">
        <v>77</v>
      </c>
      <c r="C259" s="89">
        <v>433.33</v>
      </c>
      <c r="D259" s="6">
        <v>45573</v>
      </c>
      <c r="E259" s="3" t="str">
        <f ca="1">IF(Tabela2[[#This Row],[Dt Venc:]]&gt;TODAY(),"Em Aberto",IF(Tabela2[[#This Row],[D/venc]]="-","Enviado",IF(Tabela2[[#This Row],[Dt Venc:]]=TODAY(),"Vence Hoje","Vencida")))</f>
        <v>Enviado</v>
      </c>
      <c r="F259" s="3" t="str">
        <f ca="1">IF(G259=1,"-",Tabela2[[#This Row],[Dt Venc:]]-TODAY())</f>
        <v>-</v>
      </c>
      <c r="G259" s="3">
        <v>1</v>
      </c>
      <c r="H259" s="3"/>
    </row>
    <row r="260" spans="1:8" ht="18" hidden="1">
      <c r="A260" s="3">
        <v>152019</v>
      </c>
      <c r="B260" s="7" t="s">
        <v>77</v>
      </c>
      <c r="C260" s="89">
        <v>450</v>
      </c>
      <c r="D260" s="6">
        <v>45573</v>
      </c>
      <c r="E260" s="3" t="str">
        <f ca="1">IF(Tabela2[[#This Row],[Dt Venc:]]&gt;TODAY(),"Em Aberto",IF(Tabela2[[#This Row],[D/venc]]="-","Enviado",IF(Tabela2[[#This Row],[Dt Venc:]]=TODAY(),"Vence Hoje","Vencida")))</f>
        <v>Enviado</v>
      </c>
      <c r="F260" s="3" t="str">
        <f ca="1">IF(G260=1,"-",Tabela2[[#This Row],[Dt Venc:]]-TODAY())</f>
        <v>-</v>
      </c>
      <c r="G260" s="3">
        <v>1</v>
      </c>
      <c r="H260" s="3"/>
    </row>
    <row r="261" spans="1:8" ht="18" hidden="1">
      <c r="A261" s="3">
        <v>1266</v>
      </c>
      <c r="B261" s="7" t="s">
        <v>152</v>
      </c>
      <c r="C261" s="89">
        <v>410.21</v>
      </c>
      <c r="D261" s="6">
        <v>45573</v>
      </c>
      <c r="E261" s="3" t="str">
        <f ca="1">IF(Tabela2[[#This Row],[Dt Venc:]]&gt;TODAY(),"Em Aberto",IF(Tabela2[[#This Row],[D/venc]]="-","Enviado",IF(Tabela2[[#This Row],[Dt Venc:]]=TODAY(),"Vence Hoje","Vencida")))</f>
        <v>Enviado</v>
      </c>
      <c r="F261" s="3" t="str">
        <f ca="1">IF(G261=1,"-",Tabela2[[#This Row],[Dt Venc:]]-TODAY())</f>
        <v>-</v>
      </c>
      <c r="G261" s="3">
        <v>1</v>
      </c>
      <c r="H261" s="3"/>
    </row>
    <row r="262" spans="1:8" ht="18" hidden="1">
      <c r="A262" s="3">
        <v>5587</v>
      </c>
      <c r="B262" s="7" t="s">
        <v>47</v>
      </c>
      <c r="C262" s="89">
        <v>453.33</v>
      </c>
      <c r="D262" s="6">
        <v>45573</v>
      </c>
      <c r="E262" s="3" t="str">
        <f ca="1">IF(Tabela2[[#This Row],[Dt Venc:]]&gt;TODAY(),"Em Aberto",IF(Tabela2[[#This Row],[D/venc]]="-","Enviado",IF(Tabela2[[#This Row],[Dt Venc:]]=TODAY(),"Vence Hoje","Vencida")))</f>
        <v>Enviado</v>
      </c>
      <c r="F262" s="3" t="str">
        <f ca="1">IF(G262=1,"-",Tabela2[[#This Row],[Dt Venc:]]-TODAY())</f>
        <v>-</v>
      </c>
      <c r="G262" s="3">
        <v>1</v>
      </c>
      <c r="H262" s="3"/>
    </row>
    <row r="263" spans="1:8" ht="18" hidden="1">
      <c r="A263" s="3">
        <v>284620</v>
      </c>
      <c r="B263" s="7" t="s">
        <v>153</v>
      </c>
      <c r="C263" s="90" t="s">
        <v>32</v>
      </c>
      <c r="D263" s="6">
        <v>45573</v>
      </c>
      <c r="E263" s="3" t="str">
        <f ca="1">IF(Tabela2[[#This Row],[Dt Venc:]]&gt;TODAY(),"Em Aberto",IF(Tabela2[[#This Row],[D/venc]]="-","Enviado",IF(Tabela2[[#This Row],[Dt Venc:]]=TODAY(),"Vence Hoje","Vencida")))</f>
        <v>Enviado</v>
      </c>
      <c r="F263" s="3" t="str">
        <f ca="1">IF(G263=1,"-",Tabela2[[#This Row],[Dt Venc:]]-TODAY())</f>
        <v>-</v>
      </c>
      <c r="G263" s="3">
        <v>1</v>
      </c>
      <c r="H263" s="3"/>
    </row>
    <row r="264" spans="1:8" ht="18" hidden="1">
      <c r="A264" s="3">
        <v>254336</v>
      </c>
      <c r="B264" s="7" t="s">
        <v>49</v>
      </c>
      <c r="C264" s="91">
        <v>1045</v>
      </c>
      <c r="D264" s="6">
        <v>45573</v>
      </c>
      <c r="E264" s="3" t="str">
        <f ca="1">IF(Tabela2[[#This Row],[Dt Venc:]]&gt;TODAY(),"Em Aberto",IF(Tabela2[[#This Row],[D/venc]]="-","Enviado",IF(Tabela2[[#This Row],[Dt Venc:]]=TODAY(),"Vence Hoje","Vencida")))</f>
        <v>Enviado</v>
      </c>
      <c r="F264" s="3" t="str">
        <f ca="1">IF(G264=1,"-",Tabela2[[#This Row],[Dt Venc:]]-TODAY())</f>
        <v>-</v>
      </c>
      <c r="G264" s="3">
        <v>1</v>
      </c>
      <c r="H264" s="3"/>
    </row>
    <row r="265" spans="1:8" ht="18" hidden="1">
      <c r="A265" s="3">
        <v>1551</v>
      </c>
      <c r="B265" s="7" t="s">
        <v>154</v>
      </c>
      <c r="C265" s="91">
        <v>1800</v>
      </c>
      <c r="D265" s="6">
        <v>45573</v>
      </c>
      <c r="E265" s="3" t="str">
        <f ca="1">IF(Tabela2[[#This Row],[Dt Venc:]]&gt;TODAY(),"Em Aberto",IF(Tabela2[[#This Row],[D/venc]]="-","Enviado",IF(Tabela2[[#This Row],[Dt Venc:]]=TODAY(),"Vence Hoje","Vencida")))</f>
        <v>Enviado</v>
      </c>
      <c r="F265" s="3" t="str">
        <f ca="1">IF(G265=1,"-",Tabela2[[#This Row],[Dt Venc:]]-TODAY())</f>
        <v>-</v>
      </c>
      <c r="G265" s="3">
        <v>1</v>
      </c>
      <c r="H265" s="3"/>
    </row>
    <row r="266" spans="1:8" ht="18" hidden="1">
      <c r="A266" s="3">
        <v>254643</v>
      </c>
      <c r="B266" s="7" t="s">
        <v>49</v>
      </c>
      <c r="C266" s="91">
        <v>1045</v>
      </c>
      <c r="D266" s="6">
        <v>45573</v>
      </c>
      <c r="E266" s="3" t="str">
        <f ca="1">IF(Tabela2[[#This Row],[Dt Venc:]]&gt;TODAY(),"Em Aberto",IF(Tabela2[[#This Row],[D/venc]]="-","Enviado",IF(Tabela2[[#This Row],[Dt Venc:]]=TODAY(),"Vence Hoje","Vencida")))</f>
        <v>Enviado</v>
      </c>
      <c r="F266" s="3" t="str">
        <f ca="1">IF(G266=1,"-",Tabela2[[#This Row],[Dt Venc:]]-TODAY())</f>
        <v>-</v>
      </c>
      <c r="G266" s="3">
        <v>1</v>
      </c>
      <c r="H266" s="3"/>
    </row>
    <row r="267" spans="1:8" ht="18" hidden="1">
      <c r="A267" s="3">
        <v>995</v>
      </c>
      <c r="B267" s="7" t="s">
        <v>155</v>
      </c>
      <c r="C267" s="91">
        <v>18879</v>
      </c>
      <c r="D267" s="6">
        <v>45573</v>
      </c>
      <c r="E267" s="3" t="str">
        <f ca="1">IF(Tabela2[[#This Row],[Dt Venc:]]&gt;TODAY(),"Em Aberto",IF(Tabela2[[#This Row],[D/venc]]="-","Enviado",IF(Tabela2[[#This Row],[Dt Venc:]]=TODAY(),"Vence Hoje","Vencida")))</f>
        <v>Enviado</v>
      </c>
      <c r="F267" s="3" t="str">
        <f ca="1">IF(G267=1,"-",Tabela2[[#This Row],[Dt Venc:]]-TODAY())</f>
        <v>-</v>
      </c>
      <c r="G267" s="3">
        <v>1</v>
      </c>
      <c r="H267" s="3"/>
    </row>
    <row r="268" spans="1:8" ht="18" hidden="1">
      <c r="A268" s="3">
        <v>29072</v>
      </c>
      <c r="B268" s="7" t="s">
        <v>156</v>
      </c>
      <c r="C268" s="91">
        <v>13500</v>
      </c>
      <c r="D268" s="6">
        <v>45573</v>
      </c>
      <c r="E268" s="3" t="str">
        <f ca="1">IF(Tabela2[[#This Row],[Dt Venc:]]&gt;TODAY(),"Em Aberto",IF(Tabela2[[#This Row],[D/venc]]="-","Enviado",IF(Tabela2[[#This Row],[Dt Venc:]]=TODAY(),"Vence Hoje","Vencida")))</f>
        <v>Enviado</v>
      </c>
      <c r="F268" s="3" t="str">
        <f ca="1">IF(G268=1,"-",Tabela2[[#This Row],[Dt Venc:]]-TODAY())</f>
        <v>-</v>
      </c>
      <c r="G268" s="3">
        <v>1</v>
      </c>
      <c r="H268" s="3"/>
    </row>
    <row r="269" spans="1:8" ht="18" hidden="1">
      <c r="A269" s="3">
        <v>2520</v>
      </c>
      <c r="B269" s="7" t="s">
        <v>91</v>
      </c>
      <c r="C269" s="91">
        <v>180</v>
      </c>
      <c r="D269" s="6">
        <v>45573</v>
      </c>
      <c r="E269" s="3" t="str">
        <f ca="1">IF(Tabela2[[#This Row],[Dt Venc:]]&gt;TODAY(),"Em Aberto",IF(Tabela2[[#This Row],[D/venc]]="-","Enviado",IF(Tabela2[[#This Row],[Dt Venc:]]=TODAY(),"Vence Hoje","Vencida")))</f>
        <v>Enviado</v>
      </c>
      <c r="F269" s="3" t="str">
        <f ca="1">IF(G269=1,"-",Tabela2[[#This Row],[Dt Venc:]]-TODAY())</f>
        <v>-</v>
      </c>
      <c r="G269" s="3">
        <v>1</v>
      </c>
      <c r="H269" s="3"/>
    </row>
    <row r="270" spans="1:8" ht="18" hidden="1">
      <c r="A270" s="3">
        <v>180605</v>
      </c>
      <c r="B270" s="7" t="s">
        <v>42</v>
      </c>
      <c r="C270" s="91">
        <v>447.79</v>
      </c>
      <c r="D270" s="6">
        <v>45573</v>
      </c>
      <c r="E270" s="3" t="str">
        <f ca="1">IF(Tabela2[[#This Row],[Dt Venc:]]&gt;TODAY(),"Em Aberto",IF(Tabela2[[#This Row],[D/venc]]="-","Enviado",IF(Tabela2[[#This Row],[Dt Venc:]]=TODAY(),"Vence Hoje","Vencida")))</f>
        <v>Enviado</v>
      </c>
      <c r="F270" s="3" t="str">
        <f ca="1">IF(G270=1,"-",Tabela2[[#This Row],[Dt Venc:]]-TODAY())</f>
        <v>-</v>
      </c>
      <c r="G270" s="3">
        <v>1</v>
      </c>
      <c r="H270" s="3"/>
    </row>
    <row r="271" spans="1:8" ht="18" hidden="1">
      <c r="A271" s="72">
        <v>222452</v>
      </c>
      <c r="B271" s="7" t="s">
        <v>43</v>
      </c>
      <c r="C271" s="91">
        <v>845.31</v>
      </c>
      <c r="D271" s="6">
        <v>45573</v>
      </c>
      <c r="E271" s="3" t="str">
        <f ca="1">IF(Tabela2[[#This Row],[Dt Venc:]]&gt;TODAY(),"Em Aberto",IF(Tabela2[[#This Row],[D/venc]]="-","Enviado",IF(Tabela2[[#This Row],[Dt Venc:]]=TODAY(),"Vence Hoje","Vencida")))</f>
        <v>Enviado</v>
      </c>
      <c r="F271" s="3" t="str">
        <f ca="1">IF(G271=1,"-",Tabela2[[#This Row],[Dt Venc:]]-TODAY())</f>
        <v>-</v>
      </c>
      <c r="G271" s="3">
        <v>1</v>
      </c>
      <c r="H271" s="3"/>
    </row>
    <row r="272" spans="1:8" ht="18" hidden="1">
      <c r="A272" s="3">
        <v>128372</v>
      </c>
      <c r="B272" s="7" t="s">
        <v>157</v>
      </c>
      <c r="C272" s="91">
        <v>367.08</v>
      </c>
      <c r="D272" s="6">
        <v>45573</v>
      </c>
      <c r="E272" s="3" t="str">
        <f ca="1">IF(Tabela2[[#This Row],[Dt Venc:]]&gt;TODAY(),"Em Aberto",IF(Tabela2[[#This Row],[D/venc]]="-","Enviado",IF(Tabela2[[#This Row],[Dt Venc:]]=TODAY(),"Vence Hoje","Vencida")))</f>
        <v>Enviado</v>
      </c>
      <c r="F272" s="3" t="str">
        <f ca="1">IF(G272=1,"-",Tabela2[[#This Row],[Dt Venc:]]-TODAY())</f>
        <v>-</v>
      </c>
      <c r="G272" s="3">
        <v>1</v>
      </c>
      <c r="H272" s="3"/>
    </row>
    <row r="273" spans="1:8" ht="18" hidden="1">
      <c r="A273" s="3">
        <v>2723</v>
      </c>
      <c r="B273" s="7" t="s">
        <v>58</v>
      </c>
      <c r="C273" s="91">
        <v>1607.67</v>
      </c>
      <c r="D273" s="6">
        <v>45573</v>
      </c>
      <c r="E273" s="3" t="str">
        <f ca="1">IF(Tabela2[[#This Row],[Dt Venc:]]&gt;TODAY(),"Em Aberto",IF(Tabela2[[#This Row],[D/venc]]="-","Enviado",IF(Tabela2[[#This Row],[Dt Venc:]]=TODAY(),"Vence Hoje","Vencida")))</f>
        <v>Enviado</v>
      </c>
      <c r="F273" s="3" t="str">
        <f ca="1">IF(G273=1,"-",Tabela2[[#This Row],[Dt Venc:]]-TODAY())</f>
        <v>-</v>
      </c>
      <c r="G273" s="3">
        <v>1</v>
      </c>
      <c r="H273" s="3"/>
    </row>
    <row r="274" spans="1:8" ht="18" hidden="1">
      <c r="A274" s="3">
        <v>147449</v>
      </c>
      <c r="B274" s="7" t="s">
        <v>79</v>
      </c>
      <c r="C274" s="91">
        <v>1611.84</v>
      </c>
      <c r="D274" s="6">
        <v>45573</v>
      </c>
      <c r="E274" s="3" t="str">
        <f ca="1">IF(Tabela2[[#This Row],[Dt Venc:]]&gt;TODAY(),"Em Aberto",IF(Tabela2[[#This Row],[D/venc]]="-","Enviado",IF(Tabela2[[#This Row],[Dt Venc:]]=TODAY(),"Vence Hoje","Vencida")))</f>
        <v>Enviado</v>
      </c>
      <c r="F274" s="3" t="str">
        <f ca="1">IF(G274=1,"-",Tabela2[[#This Row],[Dt Venc:]]-TODAY())</f>
        <v>-</v>
      </c>
      <c r="G274" s="3">
        <v>1</v>
      </c>
      <c r="H274" s="3"/>
    </row>
    <row r="275" spans="1:8" ht="18" hidden="1">
      <c r="A275" s="3">
        <v>254909</v>
      </c>
      <c r="B275" s="7" t="s">
        <v>49</v>
      </c>
      <c r="C275" s="91">
        <v>1045</v>
      </c>
      <c r="D275" s="6">
        <v>45573</v>
      </c>
      <c r="E275" s="3" t="str">
        <f ca="1">IF(Tabela2[[#This Row],[Dt Venc:]]&gt;TODAY(),"Em Aberto",IF(Tabela2[[#This Row],[D/venc]]="-","Enviado",IF(Tabela2[[#This Row],[Dt Venc:]]=TODAY(),"Vence Hoje","Vencida")))</f>
        <v>Enviado</v>
      </c>
      <c r="F275" s="3" t="str">
        <f ca="1">IF(G275=1,"-",Tabela2[[#This Row],[Dt Venc:]]-TODAY())</f>
        <v>-</v>
      </c>
      <c r="G275" s="3">
        <v>1</v>
      </c>
      <c r="H275" s="3"/>
    </row>
    <row r="276" spans="1:8" ht="18" hidden="1">
      <c r="A276" s="3">
        <v>21509</v>
      </c>
      <c r="B276" s="7" t="s">
        <v>158</v>
      </c>
      <c r="C276" s="91">
        <v>721</v>
      </c>
      <c r="D276" s="6">
        <v>45573</v>
      </c>
      <c r="E276" s="3" t="str">
        <f ca="1">IF(Tabela2[[#This Row],[Dt Venc:]]&gt;TODAY(),"Em Aberto",IF(Tabela2[[#This Row],[D/venc]]="-","Enviado",IF(Tabela2[[#This Row],[Dt Venc:]]=TODAY(),"Vence Hoje","Vencida")))</f>
        <v>Enviado</v>
      </c>
      <c r="F276" s="3" t="str">
        <f ca="1">IF(G276=1,"-",Tabela2[[#This Row],[Dt Venc:]]-TODAY())</f>
        <v>-</v>
      </c>
      <c r="G276" s="3">
        <v>1</v>
      </c>
      <c r="H276" s="3"/>
    </row>
    <row r="277" spans="1:8" ht="18" hidden="1">
      <c r="A277" s="3">
        <v>4849</v>
      </c>
      <c r="B277" s="7" t="s">
        <v>159</v>
      </c>
      <c r="C277" s="91">
        <v>308.95</v>
      </c>
      <c r="D277" s="6">
        <v>45573</v>
      </c>
      <c r="E277" s="3" t="str">
        <f ca="1">IF(Tabela2[[#This Row],[Dt Venc:]]&gt;TODAY(),"Em Aberto",IF(Tabela2[[#This Row],[D/venc]]="-","Enviado",IF(Tabela2[[#This Row],[Dt Venc:]]=TODAY(),"Vence Hoje","Vencida")))</f>
        <v>Enviado</v>
      </c>
      <c r="F277" s="3" t="str">
        <f ca="1">IF(G277=1,"-",Tabela2[[#This Row],[Dt Venc:]]-TODAY())</f>
        <v>-</v>
      </c>
      <c r="G277" s="3">
        <v>1</v>
      </c>
      <c r="H277" s="3"/>
    </row>
    <row r="278" spans="1:8" ht="18" hidden="1">
      <c r="A278" s="3">
        <v>2519</v>
      </c>
      <c r="B278" s="7" t="s">
        <v>160</v>
      </c>
      <c r="C278" s="91">
        <v>280</v>
      </c>
      <c r="D278" s="6">
        <v>45573</v>
      </c>
      <c r="E278" s="3" t="str">
        <f ca="1">IF(Tabela2[[#This Row],[Dt Venc:]]&gt;TODAY(),"Em Aberto",IF(Tabela2[[#This Row],[D/venc]]="-","Enviado",IF(Tabela2[[#This Row],[Dt Venc:]]=TODAY(),"Vence Hoje","Vencida")))</f>
        <v>Enviado</v>
      </c>
      <c r="F278" s="3" t="str">
        <f ca="1">IF(G278=1,"-",Tabela2[[#This Row],[Dt Venc:]]-TODAY())</f>
        <v>-</v>
      </c>
      <c r="G278" s="3">
        <v>1</v>
      </c>
      <c r="H278" s="3"/>
    </row>
    <row r="279" spans="1:8" ht="18" hidden="1">
      <c r="A279" s="3">
        <v>2246977</v>
      </c>
      <c r="B279" s="7" t="s">
        <v>59</v>
      </c>
      <c r="C279" s="41">
        <v>54205</v>
      </c>
      <c r="D279" s="6">
        <v>45573</v>
      </c>
      <c r="E279" s="3" t="str">
        <f ca="1">IF(Tabela2[[#This Row],[Dt Venc:]]&gt;TODAY(),"Em Aberto",IF(Tabela2[[#This Row],[D/venc]]="-","Enviado",IF(Tabela2[[#This Row],[Dt Venc:]]=TODAY(),"Vence Hoje","Vencida")))</f>
        <v>Enviado</v>
      </c>
      <c r="F279" s="3" t="str">
        <f ca="1">IF(G279=1,"-",Tabela2[[#This Row],[Dt Venc:]]-TODAY())</f>
        <v>-</v>
      </c>
      <c r="G279" s="3">
        <v>1</v>
      </c>
      <c r="H279" s="3"/>
    </row>
    <row r="280" spans="1:8" ht="18" hidden="1">
      <c r="A280" s="3">
        <v>1980797</v>
      </c>
      <c r="B280" s="7" t="s">
        <v>59</v>
      </c>
      <c r="C280" s="41">
        <v>107876</v>
      </c>
      <c r="D280" s="6">
        <v>45573</v>
      </c>
      <c r="E280" s="3" t="str">
        <f ca="1">IF(Tabela2[[#This Row],[Dt Venc:]]&gt;TODAY(),"Em Aberto",IF(Tabela2[[#This Row],[D/venc]]="-","Enviado",IF(Tabela2[[#This Row],[Dt Venc:]]=TODAY(),"Vence Hoje","Vencida")))</f>
        <v>Enviado</v>
      </c>
      <c r="F280" s="3" t="str">
        <f ca="1">IF(G280=1,"-",Tabela2[[#This Row],[Dt Venc:]]-TODAY())</f>
        <v>-</v>
      </c>
      <c r="G280" s="3">
        <v>1</v>
      </c>
      <c r="H280" s="3"/>
    </row>
    <row r="281" spans="1:8" ht="18" hidden="1">
      <c r="A281" s="3">
        <v>2475289</v>
      </c>
      <c r="B281" s="7" t="s">
        <v>59</v>
      </c>
      <c r="C281" s="41">
        <v>80040</v>
      </c>
      <c r="D281" s="6">
        <v>45573</v>
      </c>
      <c r="E281" s="3" t="str">
        <f ca="1">IF(Tabela2[[#This Row],[Dt Venc:]]&gt;TODAY(),"Em Aberto",IF(Tabela2[[#This Row],[D/venc]]="-","Enviado",IF(Tabela2[[#This Row],[Dt Venc:]]=TODAY(),"Vence Hoje","Vencida")))</f>
        <v>Enviado</v>
      </c>
      <c r="F281" s="3" t="str">
        <f ca="1">IF(G281=1,"-",Tabela2[[#This Row],[Dt Venc:]]-TODAY())</f>
        <v>-</v>
      </c>
      <c r="G281" s="3">
        <v>1</v>
      </c>
      <c r="H281" s="3"/>
    </row>
    <row r="282" spans="1:8" ht="18" hidden="1">
      <c r="A282" s="3">
        <v>384431</v>
      </c>
      <c r="B282" s="7" t="s">
        <v>161</v>
      </c>
      <c r="C282" s="41">
        <v>503.03</v>
      </c>
      <c r="D282" s="6">
        <v>45573</v>
      </c>
      <c r="E282" s="3" t="str">
        <f ca="1">IF(Tabela2[[#This Row],[Dt Venc:]]&gt;TODAY(),"Em Aberto",IF(Tabela2[[#This Row],[D/venc]]="-","Enviado",IF(Tabela2[[#This Row],[Dt Venc:]]=TODAY(),"Vence Hoje","Vencida")))</f>
        <v>Enviado</v>
      </c>
      <c r="F282" s="3" t="str">
        <f ca="1">IF(G282=1,"-",Tabela2[[#This Row],[Dt Venc:]]-TODAY())</f>
        <v>-</v>
      </c>
      <c r="G282" s="3">
        <v>1</v>
      </c>
      <c r="H282" s="3"/>
    </row>
    <row r="283" spans="1:8" ht="18" hidden="1">
      <c r="A283" s="3" t="s">
        <v>110</v>
      </c>
      <c r="B283" s="7" t="s">
        <v>162</v>
      </c>
      <c r="C283" s="42" t="s">
        <v>32</v>
      </c>
      <c r="D283" s="6">
        <v>45573</v>
      </c>
      <c r="E283" s="3" t="str">
        <f ca="1">IF(Tabela2[[#This Row],[Dt Venc:]]&gt;TODAY(),"Em Aberto",IF(Tabela2[[#This Row],[D/venc]]="-","Enviado",IF(Tabela2[[#This Row],[Dt Venc:]]=TODAY(),"Vence Hoje","Vencida")))</f>
        <v>Enviado</v>
      </c>
      <c r="F283" s="3" t="str">
        <f ca="1">IF(G283=1,"-",Tabela2[[#This Row],[Dt Venc:]]-TODAY())</f>
        <v>-</v>
      </c>
      <c r="G283" s="3">
        <v>1</v>
      </c>
      <c r="H283" s="3"/>
    </row>
    <row r="284" spans="1:8" ht="18" hidden="1">
      <c r="A284" s="3">
        <v>218</v>
      </c>
      <c r="B284" s="7" t="s">
        <v>163</v>
      </c>
      <c r="C284" s="41">
        <v>450</v>
      </c>
      <c r="D284" s="6">
        <v>45573</v>
      </c>
      <c r="E284" s="3" t="str">
        <f ca="1">IF(Tabela2[[#This Row],[Dt Venc:]]&gt;TODAY(),"Em Aberto",IF(Tabela2[[#This Row],[D/venc]]="-","Enviado",IF(Tabela2[[#This Row],[Dt Venc:]]=TODAY(),"Vence Hoje","Vencida")))</f>
        <v>Enviado</v>
      </c>
      <c r="F284" s="3" t="str">
        <f ca="1">IF(G284=1,"-",Tabela2[[#This Row],[Dt Venc:]]-TODAY())</f>
        <v>-</v>
      </c>
      <c r="G284" s="3">
        <v>1</v>
      </c>
      <c r="H284" s="3"/>
    </row>
    <row r="285" spans="1:8" ht="18" hidden="1">
      <c r="A285" s="3" t="s">
        <v>110</v>
      </c>
      <c r="B285" s="7" t="s">
        <v>164</v>
      </c>
      <c r="C285" s="42" t="s">
        <v>32</v>
      </c>
      <c r="D285" s="6">
        <v>45573</v>
      </c>
      <c r="E285" s="3" t="str">
        <f ca="1">IF(Tabela2[[#This Row],[Dt Venc:]]&gt;TODAY(),"Em Aberto",IF(Tabela2[[#This Row],[D/venc]]="-","Enviado",IF(Tabela2[[#This Row],[Dt Venc:]]=TODAY(),"Vence Hoje","Vencida")))</f>
        <v>Enviado</v>
      </c>
      <c r="F285" s="3" t="str">
        <f ca="1">IF(G285=1,"-",Tabela2[[#This Row],[Dt Venc:]]-TODAY())</f>
        <v>-</v>
      </c>
      <c r="G285" s="3">
        <v>1</v>
      </c>
      <c r="H285" s="3"/>
    </row>
    <row r="286" spans="1:8" ht="18" hidden="1">
      <c r="A286" s="3">
        <v>1</v>
      </c>
      <c r="B286" s="7" t="s">
        <v>165</v>
      </c>
      <c r="C286" s="85" t="s">
        <v>32</v>
      </c>
      <c r="D286" s="6">
        <v>45573</v>
      </c>
      <c r="E286" s="3" t="str">
        <f ca="1">IF(Tabela2[[#This Row],[Dt Venc:]]&gt;TODAY(),"Em Aberto",IF(Tabela2[[#This Row],[D/venc]]="-","Enviado",IF(Tabela2[[#This Row],[Dt Venc:]]=TODAY(),"Vence Hoje","Vencida")))</f>
        <v>Enviado</v>
      </c>
      <c r="F286" s="3" t="str">
        <f ca="1">IF(G286=1,"-",Tabela2[[#This Row],[Dt Venc:]]-TODAY())</f>
        <v>-</v>
      </c>
      <c r="G286" s="3">
        <v>1</v>
      </c>
      <c r="H286" s="3"/>
    </row>
    <row r="287" spans="1:8" ht="18" hidden="1">
      <c r="A287" s="3">
        <v>756561</v>
      </c>
      <c r="B287" s="7" t="s">
        <v>166</v>
      </c>
      <c r="C287" s="84" t="s">
        <v>32</v>
      </c>
      <c r="D287" s="6">
        <v>45574</v>
      </c>
      <c r="E287" s="3" t="str">
        <f ca="1">IF(Tabela2[[#This Row],[Dt Venc:]]&gt;TODAY(),"Em Aberto",IF(Tabela2[[#This Row],[D/venc]]="-","Enviado",IF(Tabela2[[#This Row],[Dt Venc:]]=TODAY(),"Vence Hoje","Vencida")))</f>
        <v>Enviado</v>
      </c>
      <c r="F287" s="3" t="str">
        <f ca="1">IF(G287=1,"-",Tabela2[[#This Row],[Dt Venc:]]-TODAY())</f>
        <v>-</v>
      </c>
      <c r="G287" s="3">
        <v>1</v>
      </c>
      <c r="H287" s="3"/>
    </row>
    <row r="288" spans="1:8" ht="18" hidden="1">
      <c r="A288" s="3">
        <v>36949</v>
      </c>
      <c r="B288" s="7" t="s">
        <v>167</v>
      </c>
      <c r="C288" s="84" t="s">
        <v>32</v>
      </c>
      <c r="D288" s="6">
        <v>45574</v>
      </c>
      <c r="E288" s="3" t="str">
        <f ca="1">IF(Tabela2[[#This Row],[Dt Venc:]]&gt;TODAY(),"Em Aberto",IF(Tabela2[[#This Row],[D/venc]]="-","Enviado",IF(Tabela2[[#This Row],[Dt Venc:]]=TODAY(),"Vence Hoje","Vencida")))</f>
        <v>Enviado</v>
      </c>
      <c r="F288" s="3" t="str">
        <f ca="1">IF(G288=1,"-",Tabela2[[#This Row],[Dt Venc:]]-TODAY())</f>
        <v>-</v>
      </c>
      <c r="G288" s="3">
        <v>1</v>
      </c>
      <c r="H288" s="3"/>
    </row>
    <row r="289" spans="1:8" ht="18" hidden="1">
      <c r="A289" s="3" t="s">
        <v>110</v>
      </c>
      <c r="B289" s="7" t="s">
        <v>168</v>
      </c>
      <c r="C289" s="42" t="s">
        <v>32</v>
      </c>
      <c r="D289" s="6">
        <v>45574</v>
      </c>
      <c r="E289" s="3" t="str">
        <f ca="1">IF(Tabela2[[#This Row],[Dt Venc:]]&gt;TODAY(),"Em Aberto",IF(Tabela2[[#This Row],[D/venc]]="-","Enviado",IF(Tabela2[[#This Row],[Dt Venc:]]=TODAY(),"Vence Hoje","Vencida")))</f>
        <v>Enviado</v>
      </c>
      <c r="F289" s="3" t="str">
        <f ca="1">IF(G289=1,"-",Tabela2[[#This Row],[Dt Venc:]]-TODAY())</f>
        <v>-</v>
      </c>
      <c r="G289" s="3">
        <v>1</v>
      </c>
      <c r="H289" s="3"/>
    </row>
    <row r="290" spans="1:8" ht="18" hidden="1">
      <c r="A290" s="3">
        <v>10739</v>
      </c>
      <c r="B290" s="7" t="s">
        <v>33</v>
      </c>
      <c r="C290" s="42">
        <v>1293.33</v>
      </c>
      <c r="D290" s="6">
        <v>45574</v>
      </c>
      <c r="E290" s="3" t="str">
        <f ca="1">IF(Tabela2[[#This Row],[Dt Venc:]]&gt;TODAY(),"Em Aberto",IF(Tabela2[[#This Row],[D/venc]]="-","Enviado",IF(Tabela2[[#This Row],[Dt Venc:]]=TODAY(),"Vence Hoje","Vencida")))</f>
        <v>Enviado</v>
      </c>
      <c r="F290" s="3" t="str">
        <f ca="1">IF(G290=1,"-",Tabela2[[#This Row],[Dt Venc:]]-TODAY())</f>
        <v>-</v>
      </c>
      <c r="G290" s="3">
        <v>1</v>
      </c>
      <c r="H290" s="3"/>
    </row>
    <row r="291" spans="1:8" ht="18" hidden="1">
      <c r="A291" s="3">
        <v>10741</v>
      </c>
      <c r="B291" s="7" t="s">
        <v>33</v>
      </c>
      <c r="C291" s="42">
        <v>658.33</v>
      </c>
      <c r="D291" s="6">
        <v>45574</v>
      </c>
      <c r="E291" s="3" t="str">
        <f ca="1">IF(Tabela2[[#This Row],[Dt Venc:]]&gt;TODAY(),"Em Aberto",IF(Tabela2[[#This Row],[D/venc]]="-","Enviado",IF(Tabela2[[#This Row],[Dt Venc:]]=TODAY(),"Vence Hoje","Vencida")))</f>
        <v>Enviado</v>
      </c>
      <c r="F291" s="3" t="str">
        <f ca="1">IF(G291=1,"-",Tabela2[[#This Row],[Dt Venc:]]-TODAY())</f>
        <v>-</v>
      </c>
      <c r="G291" s="3">
        <v>1</v>
      </c>
      <c r="H291" s="3"/>
    </row>
    <row r="292" spans="1:8" ht="18" hidden="1">
      <c r="A292" s="3">
        <v>52754</v>
      </c>
      <c r="B292" s="7" t="s">
        <v>169</v>
      </c>
      <c r="C292" s="42">
        <v>656.24</v>
      </c>
      <c r="D292" s="6">
        <v>45574</v>
      </c>
      <c r="E292" s="3" t="str">
        <f ca="1">IF(Tabela2[[#This Row],[Dt Venc:]]&gt;TODAY(),"Em Aberto",IF(Tabela2[[#This Row],[D/venc]]="-","Enviado",IF(Tabela2[[#This Row],[Dt Venc:]]=TODAY(),"Vence Hoje","Vencida")))</f>
        <v>Enviado</v>
      </c>
      <c r="F292" s="3" t="str">
        <f ca="1">IF(G292=1,"-",Tabela2[[#This Row],[Dt Venc:]]-TODAY())</f>
        <v>-</v>
      </c>
      <c r="G292" s="3">
        <v>1</v>
      </c>
      <c r="H292" s="3"/>
    </row>
    <row r="293" spans="1:8" ht="18" hidden="1">
      <c r="A293" s="3">
        <v>15125</v>
      </c>
      <c r="B293" s="7" t="s">
        <v>170</v>
      </c>
      <c r="C293" s="42">
        <v>675</v>
      </c>
      <c r="D293" s="6">
        <v>45574</v>
      </c>
      <c r="E293" s="3" t="str">
        <f ca="1">IF(Tabela2[[#This Row],[Dt Venc:]]&gt;TODAY(),"Em Aberto",IF(Tabela2[[#This Row],[D/venc]]="-","Enviado",IF(Tabela2[[#This Row],[Dt Venc:]]=TODAY(),"Vence Hoje","Vencida")))</f>
        <v>Enviado</v>
      </c>
      <c r="F293" s="3" t="str">
        <f ca="1">IF(G293=1,"-",Tabela2[[#This Row],[Dt Venc:]]-TODAY())</f>
        <v>-</v>
      </c>
      <c r="G293" s="3">
        <v>1</v>
      </c>
      <c r="H293" s="3"/>
    </row>
    <row r="294" spans="1:8" ht="18" hidden="1">
      <c r="A294" s="3">
        <v>15125</v>
      </c>
      <c r="B294" s="7" t="s">
        <v>147</v>
      </c>
      <c r="C294" s="42">
        <v>675</v>
      </c>
      <c r="D294" s="6">
        <v>45574</v>
      </c>
      <c r="E294" s="3" t="str">
        <f ca="1">IF(Tabela2[[#This Row],[Dt Venc:]]&gt;TODAY(),"Em Aberto",IF(Tabela2[[#This Row],[D/venc]]="-","Enviado",IF(Tabela2[[#This Row],[Dt Venc:]]=TODAY(),"Vence Hoje","Vencida")))</f>
        <v>Enviado</v>
      </c>
      <c r="F294" s="3" t="str">
        <f ca="1">IF(G294=1,"-",Tabela2[[#This Row],[Dt Venc:]]-TODAY())</f>
        <v>-</v>
      </c>
      <c r="G294" s="3">
        <v>1</v>
      </c>
      <c r="H294" s="3"/>
    </row>
    <row r="295" spans="1:8" ht="18" hidden="1">
      <c r="A295" s="3">
        <v>2584</v>
      </c>
      <c r="B295" s="7" t="s">
        <v>58</v>
      </c>
      <c r="C295" s="42">
        <v>2225.14</v>
      </c>
      <c r="D295" s="6">
        <v>45574</v>
      </c>
      <c r="E295" s="3" t="str">
        <f ca="1">IF(Tabela2[[#This Row],[Dt Venc:]]&gt;TODAY(),"Em Aberto",IF(Tabela2[[#This Row],[D/venc]]="-","Enviado",IF(Tabela2[[#This Row],[Dt Venc:]]=TODAY(),"Vence Hoje","Vencida")))</f>
        <v>Enviado</v>
      </c>
      <c r="F295" s="3" t="str">
        <f ca="1">IF(G295=1,"-",Tabela2[[#This Row],[Dt Venc:]]-TODAY())</f>
        <v>-</v>
      </c>
      <c r="G295" s="3">
        <v>1</v>
      </c>
      <c r="H295" s="3"/>
    </row>
    <row r="296" spans="1:8" ht="18" hidden="1">
      <c r="A296" s="3">
        <v>540556</v>
      </c>
      <c r="B296" s="7" t="s">
        <v>39</v>
      </c>
      <c r="C296" s="42">
        <v>508.01</v>
      </c>
      <c r="D296" s="6">
        <v>45574</v>
      </c>
      <c r="E296" s="3" t="str">
        <f ca="1">IF(Tabela2[[#This Row],[Dt Venc:]]&gt;TODAY(),"Em Aberto",IF(Tabela2[[#This Row],[D/venc]]="-","Enviado",IF(Tabela2[[#This Row],[Dt Venc:]]=TODAY(),"Vence Hoje","Vencida")))</f>
        <v>Enviado</v>
      </c>
      <c r="F296" s="3" t="str">
        <f ca="1">IF(G296=1,"-",Tabela2[[#This Row],[Dt Venc:]]-TODAY())</f>
        <v>-</v>
      </c>
      <c r="G296" s="3">
        <v>1</v>
      </c>
      <c r="H296" s="3"/>
    </row>
    <row r="297" spans="1:8" ht="18" hidden="1">
      <c r="A297" s="3">
        <v>357058</v>
      </c>
      <c r="B297" s="7" t="s">
        <v>171</v>
      </c>
      <c r="C297" s="42">
        <v>339.82</v>
      </c>
      <c r="D297" s="6">
        <v>45574</v>
      </c>
      <c r="E297" s="3" t="str">
        <f ca="1">IF(Tabela2[[#This Row],[Dt Venc:]]&gt;TODAY(),"Em Aberto",IF(Tabela2[[#This Row],[D/venc]]="-","Enviado",IF(Tabela2[[#This Row],[Dt Venc:]]=TODAY(),"Vence Hoje","Vencida")))</f>
        <v>Enviado</v>
      </c>
      <c r="F297" s="3" t="str">
        <f ca="1">IF(G297=1,"-",Tabela2[[#This Row],[Dt Venc:]]-TODAY())</f>
        <v>-</v>
      </c>
      <c r="G297" s="3">
        <v>1</v>
      </c>
      <c r="H297" s="3"/>
    </row>
    <row r="298" spans="1:8" ht="18" hidden="1">
      <c r="A298" s="3">
        <v>184549</v>
      </c>
      <c r="B298" s="7" t="s">
        <v>172</v>
      </c>
      <c r="C298" s="42">
        <v>1267.8599999999999</v>
      </c>
      <c r="D298" s="6">
        <v>45574</v>
      </c>
      <c r="E298" s="3" t="str">
        <f ca="1">IF(Tabela2[[#This Row],[Dt Venc:]]&gt;TODAY(),"Em Aberto",IF(Tabela2[[#This Row],[D/venc]]="-","Enviado",IF(Tabela2[[#This Row],[Dt Venc:]]=TODAY(),"Vence Hoje","Vencida")))</f>
        <v>Enviado</v>
      </c>
      <c r="F298" s="3" t="str">
        <f ca="1">IF(G298=1,"-",Tabela2[[#This Row],[Dt Venc:]]-TODAY())</f>
        <v>-</v>
      </c>
      <c r="G298" s="3">
        <v>1</v>
      </c>
      <c r="H298" s="3"/>
    </row>
    <row r="299" spans="1:8" ht="18" hidden="1">
      <c r="A299" s="3">
        <v>599122</v>
      </c>
      <c r="B299" s="7" t="s">
        <v>66</v>
      </c>
      <c r="C299" s="42">
        <v>2532.42</v>
      </c>
      <c r="D299" s="6">
        <v>45574</v>
      </c>
      <c r="E299" s="3" t="str">
        <f ca="1">IF(Tabela2[[#This Row],[Dt Venc:]]&gt;TODAY(),"Em Aberto",IF(Tabela2[[#This Row],[D/venc]]="-","Enviado",IF(Tabela2[[#This Row],[Dt Venc:]]=TODAY(),"Vence Hoje","Vencida")))</f>
        <v>Enviado</v>
      </c>
      <c r="F299" s="3" t="str">
        <f ca="1">IF(G299=1,"-",Tabela2[[#This Row],[Dt Venc:]]-TODAY())</f>
        <v>-</v>
      </c>
      <c r="G299" s="3">
        <v>1</v>
      </c>
      <c r="H299" s="3"/>
    </row>
    <row r="300" spans="1:8" ht="18" hidden="1">
      <c r="A300" s="3">
        <v>599131</v>
      </c>
      <c r="B300" s="7" t="s">
        <v>66</v>
      </c>
      <c r="C300" s="42">
        <v>908.53</v>
      </c>
      <c r="D300" s="6">
        <v>45574</v>
      </c>
      <c r="E300" s="3" t="str">
        <f ca="1">IF(Tabela2[[#This Row],[Dt Venc:]]&gt;TODAY(),"Em Aberto",IF(Tabela2[[#This Row],[D/venc]]="-","Enviado",IF(Tabela2[[#This Row],[Dt Venc:]]=TODAY(),"Vence Hoje","Vencida")))</f>
        <v>Enviado</v>
      </c>
      <c r="F300" s="3" t="str">
        <f ca="1">IF(G300=1,"-",Tabela2[[#This Row],[Dt Venc:]]-TODAY())</f>
        <v>-</v>
      </c>
      <c r="G300" s="3">
        <v>1</v>
      </c>
      <c r="H300" s="3"/>
    </row>
    <row r="301" spans="1:8" ht="18" hidden="1">
      <c r="A301" s="3">
        <v>603196</v>
      </c>
      <c r="B301" s="7" t="s">
        <v>138</v>
      </c>
      <c r="C301" s="42">
        <v>930.64</v>
      </c>
      <c r="D301" s="6">
        <v>45574</v>
      </c>
      <c r="E301" s="3" t="str">
        <f ca="1">IF(Tabela2[[#This Row],[Dt Venc:]]&gt;TODAY(),"Em Aberto",IF(Tabela2[[#This Row],[D/venc]]="-","Enviado",IF(Tabela2[[#This Row],[Dt Venc:]]=TODAY(),"Vence Hoje","Vencida")))</f>
        <v>Enviado</v>
      </c>
      <c r="F301" s="3" t="str">
        <f ca="1">IF(G301=1,"-",Tabela2[[#This Row],[Dt Venc:]]-TODAY())</f>
        <v>-</v>
      </c>
      <c r="G301" s="3">
        <v>1</v>
      </c>
      <c r="H301" s="3"/>
    </row>
    <row r="302" spans="1:8" ht="18" hidden="1">
      <c r="A302" s="3">
        <v>223210</v>
      </c>
      <c r="B302" s="7" t="s">
        <v>40</v>
      </c>
      <c r="C302" s="42">
        <v>1577.34</v>
      </c>
      <c r="D302" s="6">
        <v>45574</v>
      </c>
      <c r="E302" s="3" t="str">
        <f ca="1">IF(Tabela2[[#This Row],[Dt Venc:]]&gt;TODAY(),"Em Aberto",IF(Tabela2[[#This Row],[D/venc]]="-","Enviado",IF(Tabela2[[#This Row],[Dt Venc:]]=TODAY(),"Vence Hoje","Vencida")))</f>
        <v>Enviado</v>
      </c>
      <c r="F302" s="3" t="str">
        <f ca="1">IF(G302=1,"-",Tabela2[[#This Row],[Dt Venc:]]-TODAY())</f>
        <v>-</v>
      </c>
      <c r="G302" s="3">
        <v>1</v>
      </c>
      <c r="H302" s="3"/>
    </row>
    <row r="303" spans="1:8" ht="18" hidden="1">
      <c r="A303" s="3">
        <v>738</v>
      </c>
      <c r="B303" s="7" t="s">
        <v>113</v>
      </c>
      <c r="C303" s="42">
        <v>1226.6600000000001</v>
      </c>
      <c r="D303" s="6">
        <v>45574</v>
      </c>
      <c r="E303" s="3" t="str">
        <f ca="1">IF(Tabela2[[#This Row],[Dt Venc:]]&gt;TODAY(),"Em Aberto",IF(Tabela2[[#This Row],[D/venc]]="-","Enviado",IF(Tabela2[[#This Row],[Dt Venc:]]=TODAY(),"Vence Hoje","Vencida")))</f>
        <v>Enviado</v>
      </c>
      <c r="F303" s="3" t="str">
        <f ca="1">IF(G303=1,"-",Tabela2[[#This Row],[Dt Venc:]]-TODAY())</f>
        <v>-</v>
      </c>
      <c r="G303" s="3">
        <v>1</v>
      </c>
      <c r="H303" s="3"/>
    </row>
    <row r="304" spans="1:8" ht="18" hidden="1">
      <c r="A304" s="3">
        <v>3</v>
      </c>
      <c r="B304" s="7" t="s">
        <v>173</v>
      </c>
      <c r="C304" s="42">
        <v>793.33</v>
      </c>
      <c r="D304" s="6">
        <v>45574</v>
      </c>
      <c r="E304" s="3" t="str">
        <f ca="1">IF(Tabela2[[#This Row],[Dt Venc:]]&gt;TODAY(),"Em Aberto",IF(Tabela2[[#This Row],[D/venc]]="-","Enviado",IF(Tabela2[[#This Row],[Dt Venc:]]=TODAY(),"Vence Hoje","Vencida")))</f>
        <v>Enviado</v>
      </c>
      <c r="F304" s="3" t="str">
        <f ca="1">IF(G304=1,"-",Tabela2[[#This Row],[Dt Venc:]]-TODAY())</f>
        <v>-</v>
      </c>
      <c r="G304" s="3">
        <v>1</v>
      </c>
      <c r="H304" s="3"/>
    </row>
    <row r="305" spans="1:8" ht="18" hidden="1">
      <c r="A305" s="3">
        <v>15072</v>
      </c>
      <c r="B305" s="7" t="s">
        <v>99</v>
      </c>
      <c r="C305" s="42">
        <v>850</v>
      </c>
      <c r="D305" s="6">
        <v>45574</v>
      </c>
      <c r="E305" s="3" t="str">
        <f ca="1">IF(Tabela2[[#This Row],[Dt Venc:]]&gt;TODAY(),"Em Aberto",IF(Tabela2[[#This Row],[D/venc]]="-","Enviado",IF(Tabela2[[#This Row],[Dt Venc:]]=TODAY(),"Vence Hoje","Vencida")))</f>
        <v>Enviado</v>
      </c>
      <c r="F305" s="3" t="str">
        <f ca="1">IF(G305=1,"-",Tabela2[[#This Row],[Dt Venc:]]-TODAY())</f>
        <v>-</v>
      </c>
      <c r="G305" s="3">
        <v>1</v>
      </c>
      <c r="H305" s="3"/>
    </row>
    <row r="306" spans="1:8" ht="18" hidden="1">
      <c r="A306" s="3">
        <v>2216</v>
      </c>
      <c r="B306" s="7" t="s">
        <v>46</v>
      </c>
      <c r="C306" s="42">
        <v>965</v>
      </c>
      <c r="D306" s="6">
        <v>45574</v>
      </c>
      <c r="E306" s="3" t="str">
        <f ca="1">IF(Tabela2[[#This Row],[Dt Venc:]]&gt;TODAY(),"Em Aberto",IF(Tabela2[[#This Row],[D/venc]]="-","Enviado",IF(Tabela2[[#This Row],[Dt Venc:]]=TODAY(),"Vence Hoje","Vencida")))</f>
        <v>Enviado</v>
      </c>
      <c r="F306" s="3" t="str">
        <f ca="1">IF(G306=1,"-",Tabela2[[#This Row],[Dt Venc:]]-TODAY())</f>
        <v>-</v>
      </c>
      <c r="G306" s="3">
        <v>1</v>
      </c>
      <c r="H306" s="3"/>
    </row>
    <row r="307" spans="1:8" ht="18" hidden="1">
      <c r="A307" s="3">
        <v>3219965</v>
      </c>
      <c r="B307" s="7" t="s">
        <v>77</v>
      </c>
      <c r="C307" s="42">
        <v>311.67</v>
      </c>
      <c r="D307" s="6">
        <v>45574</v>
      </c>
      <c r="E307" s="3" t="str">
        <f ca="1">IF(Tabela2[[#This Row],[Dt Venc:]]&gt;TODAY(),"Em Aberto",IF(Tabela2[[#This Row],[D/venc]]="-","Enviado",IF(Tabela2[[#This Row],[Dt Venc:]]=TODAY(),"Vence Hoje","Vencida")))</f>
        <v>Enviado</v>
      </c>
      <c r="F307" s="3" t="str">
        <f ca="1">IF(G307=1,"-",Tabela2[[#This Row],[Dt Venc:]]-TODAY())</f>
        <v>-</v>
      </c>
      <c r="G307" s="3">
        <v>1</v>
      </c>
      <c r="H307" s="3"/>
    </row>
    <row r="308" spans="1:8" ht="18" hidden="1">
      <c r="A308" s="3">
        <v>22941</v>
      </c>
      <c r="B308" s="7" t="s">
        <v>70</v>
      </c>
      <c r="C308" s="42">
        <v>1813.63</v>
      </c>
      <c r="D308" s="6">
        <v>45574</v>
      </c>
      <c r="E308" s="3" t="str">
        <f ca="1">IF(Tabela2[[#This Row],[Dt Venc:]]&gt;TODAY(),"Em Aberto",IF(Tabela2[[#This Row],[D/venc]]="-","Enviado",IF(Tabela2[[#This Row],[Dt Venc:]]=TODAY(),"Vence Hoje","Vencida")))</f>
        <v>Enviado</v>
      </c>
      <c r="F308" s="3" t="str">
        <f ca="1">IF(G308=1,"-",Tabela2[[#This Row],[Dt Venc:]]-TODAY())</f>
        <v>-</v>
      </c>
      <c r="G308" s="3">
        <v>1</v>
      </c>
      <c r="H308" s="3"/>
    </row>
    <row r="309" spans="1:8" ht="18" hidden="1">
      <c r="A309" s="3">
        <v>25405</v>
      </c>
      <c r="B309" s="7" t="s">
        <v>70</v>
      </c>
      <c r="C309" s="42">
        <v>1455</v>
      </c>
      <c r="D309" s="6">
        <v>45574</v>
      </c>
      <c r="E309" s="3" t="str">
        <f ca="1">IF(Tabela2[[#This Row],[Dt Venc:]]&gt;TODAY(),"Em Aberto",IF(Tabela2[[#This Row],[D/venc]]="-","Enviado",IF(Tabela2[[#This Row],[Dt Venc:]]=TODAY(),"Vence Hoje","Vencida")))</f>
        <v>Enviado</v>
      </c>
      <c r="F309" s="3" t="str">
        <f ca="1">IF(G309=1,"-",Tabela2[[#This Row],[Dt Venc:]]-TODAY())</f>
        <v>-</v>
      </c>
      <c r="G309" s="3">
        <v>1</v>
      </c>
      <c r="H309" s="3"/>
    </row>
    <row r="310" spans="1:8" ht="18" hidden="1">
      <c r="A310" s="3">
        <v>168132</v>
      </c>
      <c r="B310" s="7" t="s">
        <v>174</v>
      </c>
      <c r="C310" s="42">
        <v>423.34</v>
      </c>
      <c r="D310" s="6">
        <v>45574</v>
      </c>
      <c r="E310" s="3" t="str">
        <f ca="1">IF(Tabela2[[#This Row],[Dt Venc:]]&gt;TODAY(),"Em Aberto",IF(Tabela2[[#This Row],[D/venc]]="-","Enviado",IF(Tabela2[[#This Row],[Dt Venc:]]=TODAY(),"Vence Hoje","Vencida")))</f>
        <v>Enviado</v>
      </c>
      <c r="F310" s="3" t="str">
        <f ca="1">IF(G310=1,"-",Tabela2[[#This Row],[Dt Venc:]]-TODAY())</f>
        <v>-</v>
      </c>
      <c r="G310" s="3">
        <v>1</v>
      </c>
      <c r="H310" s="3"/>
    </row>
    <row r="311" spans="1:8" ht="18" hidden="1">
      <c r="A311" s="3">
        <v>10381</v>
      </c>
      <c r="B311" s="7" t="s">
        <v>175</v>
      </c>
      <c r="C311" s="42">
        <v>301.01</v>
      </c>
      <c r="D311" s="6">
        <v>45574</v>
      </c>
      <c r="E311" s="3" t="str">
        <f ca="1">IF(Tabela2[[#This Row],[Dt Venc:]]&gt;TODAY(),"Em Aberto",IF(Tabela2[[#This Row],[D/venc]]="-","Enviado",IF(Tabela2[[#This Row],[Dt Venc:]]=TODAY(),"Vence Hoje","Vencida")))</f>
        <v>Enviado</v>
      </c>
      <c r="F311" s="3" t="str">
        <f ca="1">IF(G311=1,"-",Tabela2[[#This Row],[Dt Venc:]]-TODAY())</f>
        <v>-</v>
      </c>
      <c r="G311" s="3">
        <v>1</v>
      </c>
      <c r="H311" s="3"/>
    </row>
    <row r="312" spans="1:8" ht="18" hidden="1">
      <c r="A312" s="3">
        <v>13886</v>
      </c>
      <c r="B312" s="7" t="s">
        <v>102</v>
      </c>
      <c r="C312" s="41">
        <v>560</v>
      </c>
      <c r="D312" s="6">
        <v>45574</v>
      </c>
      <c r="E312" s="3" t="str">
        <f ca="1">IF(Tabela2[[#This Row],[Dt Venc:]]&gt;TODAY(),"Em Aberto",IF(Tabela2[[#This Row],[D/venc]]="-","Enviado",IF(Tabela2[[#This Row],[Dt Venc:]]=TODAY(),"Vence Hoje","Vencida")))</f>
        <v>Enviado</v>
      </c>
      <c r="F312" s="3" t="str">
        <f ca="1">IF(G312=1,"-",Tabela2[[#This Row],[Dt Venc:]]-TODAY())</f>
        <v>-</v>
      </c>
      <c r="G312" s="3">
        <v>1</v>
      </c>
      <c r="H312" s="3"/>
    </row>
    <row r="313" spans="1:8" ht="18" hidden="1">
      <c r="A313" s="3">
        <v>4784</v>
      </c>
      <c r="B313" s="7" t="s">
        <v>176</v>
      </c>
      <c r="C313" s="41">
        <v>553.34</v>
      </c>
      <c r="D313" s="6">
        <v>45574</v>
      </c>
      <c r="E313" s="3" t="str">
        <f ca="1">IF(Tabela2[[#This Row],[Dt Venc:]]&gt;TODAY(),"Em Aberto",IF(Tabela2[[#This Row],[D/venc]]="-","Enviado",IF(Tabela2[[#This Row],[Dt Venc:]]=TODAY(),"Vence Hoje","Vencida")))</f>
        <v>Enviado</v>
      </c>
      <c r="F313" s="3" t="str">
        <f ca="1">IF(G313=1,"-",Tabela2[[#This Row],[Dt Venc:]]-TODAY())</f>
        <v>-</v>
      </c>
      <c r="G313" s="3">
        <v>1</v>
      </c>
      <c r="H313" s="3"/>
    </row>
    <row r="314" spans="1:8" ht="18" hidden="1">
      <c r="A314" s="3">
        <v>15166</v>
      </c>
      <c r="B314" s="7" t="s">
        <v>44</v>
      </c>
      <c r="C314" s="41">
        <v>850</v>
      </c>
      <c r="D314" s="6">
        <v>45574</v>
      </c>
      <c r="E314" s="3" t="str">
        <f ca="1">IF(Tabela2[[#This Row],[Dt Venc:]]&gt;TODAY(),"Em Aberto",IF(Tabela2[[#This Row],[D/venc]]="-","Enviado",IF(Tabela2[[#This Row],[Dt Venc:]]=TODAY(),"Vence Hoje","Vencida")))</f>
        <v>Enviado</v>
      </c>
      <c r="F314" s="3" t="str">
        <f ca="1">IF(G314=1,"-",Tabela2[[#This Row],[Dt Venc:]]-TODAY())</f>
        <v>-</v>
      </c>
      <c r="G314" s="3">
        <v>1</v>
      </c>
      <c r="H314" s="3"/>
    </row>
    <row r="315" spans="1:8" ht="18" hidden="1">
      <c r="A315" s="3">
        <v>53323</v>
      </c>
      <c r="B315" s="7" t="s">
        <v>35</v>
      </c>
      <c r="C315" s="41">
        <v>432.5</v>
      </c>
      <c r="D315" s="6">
        <v>45574</v>
      </c>
      <c r="E315" s="3" t="str">
        <f ca="1">IF(Tabela2[[#This Row],[Dt Venc:]]&gt;TODAY(),"Em Aberto",IF(Tabela2[[#This Row],[D/venc]]="-","Enviado",IF(Tabela2[[#This Row],[Dt Venc:]]=TODAY(),"Vence Hoje","Vencida")))</f>
        <v>Enviado</v>
      </c>
      <c r="F315" s="3" t="str">
        <f ca="1">IF(G315=1,"-",Tabela2[[#This Row],[Dt Venc:]]-TODAY())</f>
        <v>-</v>
      </c>
      <c r="G315" s="3">
        <v>1</v>
      </c>
      <c r="H315" s="3"/>
    </row>
    <row r="316" spans="1:8" ht="18" hidden="1">
      <c r="A316" s="3">
        <v>607311</v>
      </c>
      <c r="B316" s="7" t="s">
        <v>66</v>
      </c>
      <c r="C316" s="41">
        <v>280</v>
      </c>
      <c r="D316" s="6">
        <v>45574</v>
      </c>
      <c r="E316" s="3" t="str">
        <f ca="1">IF(Tabela2[[#This Row],[Dt Venc:]]&gt;TODAY(),"Em Aberto",IF(Tabela2[[#This Row],[D/venc]]="-","Enviado",IF(Tabela2[[#This Row],[Dt Venc:]]=TODAY(),"Vence Hoje","Vencida")))</f>
        <v>Enviado</v>
      </c>
      <c r="F316" s="3" t="str">
        <f ca="1">IF(G316=1,"-",Tabela2[[#This Row],[Dt Venc:]]-TODAY())</f>
        <v>-</v>
      </c>
      <c r="G316" s="3">
        <v>1</v>
      </c>
      <c r="H316" s="3"/>
    </row>
    <row r="317" spans="1:8" ht="18" hidden="1">
      <c r="A317" s="3">
        <v>223198</v>
      </c>
      <c r="B317" s="7" t="s">
        <v>43</v>
      </c>
      <c r="C317" s="41">
        <v>827.9</v>
      </c>
      <c r="D317" s="6">
        <v>45574</v>
      </c>
      <c r="E317" s="3" t="str">
        <f ca="1">IF(Tabela2[[#This Row],[Dt Venc:]]&gt;TODAY(),"Em Aberto",IF(Tabela2[[#This Row],[D/venc]]="-","Enviado",IF(Tabela2[[#This Row],[Dt Venc:]]=TODAY(),"Vence Hoje","Vencida")))</f>
        <v>Enviado</v>
      </c>
      <c r="F317" s="3" t="str">
        <f ca="1">IF(G317=1,"-",Tabela2[[#This Row],[Dt Venc:]]-TODAY())</f>
        <v>-</v>
      </c>
      <c r="G317" s="3">
        <v>1</v>
      </c>
      <c r="H317" s="3"/>
    </row>
    <row r="318" spans="1:8" ht="18" hidden="1">
      <c r="A318" s="3">
        <v>180654</v>
      </c>
      <c r="B318" s="7" t="s">
        <v>42</v>
      </c>
      <c r="C318" s="41">
        <v>742.61</v>
      </c>
      <c r="D318" s="6">
        <v>45574</v>
      </c>
      <c r="E318" s="3" t="str">
        <f ca="1">IF(Tabela2[[#This Row],[Dt Venc:]]&gt;TODAY(),"Em Aberto",IF(Tabela2[[#This Row],[D/venc]]="-","Enviado",IF(Tabela2[[#This Row],[Dt Venc:]]=TODAY(),"Vence Hoje","Vencida")))</f>
        <v>Enviado</v>
      </c>
      <c r="F318" s="3" t="str">
        <f ca="1">IF(G318=1,"-",Tabela2[[#This Row],[Dt Venc:]]-TODAY())</f>
        <v>-</v>
      </c>
      <c r="G318" s="3">
        <v>1</v>
      </c>
      <c r="H318" s="3"/>
    </row>
    <row r="319" spans="1:8" ht="18" hidden="1">
      <c r="A319" s="3">
        <v>10874</v>
      </c>
      <c r="B319" s="7" t="s">
        <v>33</v>
      </c>
      <c r="C319" s="41">
        <v>831.66</v>
      </c>
      <c r="D319" s="6">
        <v>45574</v>
      </c>
      <c r="E319" s="3" t="str">
        <f ca="1">IF(Tabela2[[#This Row],[Dt Venc:]]&gt;TODAY(),"Em Aberto",IF(Tabela2[[#This Row],[D/venc]]="-","Enviado",IF(Tabela2[[#This Row],[Dt Venc:]]=TODAY(),"Vence Hoje","Vencida")))</f>
        <v>Enviado</v>
      </c>
      <c r="F319" s="3" t="str">
        <f ca="1">IF(G319=1,"-",Tabela2[[#This Row],[Dt Venc:]]-TODAY())</f>
        <v>-</v>
      </c>
      <c r="G319" s="3">
        <v>1</v>
      </c>
      <c r="H319" s="3"/>
    </row>
    <row r="320" spans="1:8" ht="18" hidden="1">
      <c r="A320" s="3">
        <v>300931</v>
      </c>
      <c r="B320" s="7" t="s">
        <v>63</v>
      </c>
      <c r="C320" s="41">
        <v>1228.94</v>
      </c>
      <c r="D320" s="6">
        <v>45574</v>
      </c>
      <c r="E320" s="3" t="str">
        <f ca="1">IF(Tabela2[[#This Row],[Dt Venc:]]&gt;TODAY(),"Em Aberto",IF(Tabela2[[#This Row],[D/venc]]="-","Enviado",IF(Tabela2[[#This Row],[Dt Venc:]]=TODAY(),"Vence Hoje","Vencida")))</f>
        <v>Enviado</v>
      </c>
      <c r="F320" s="3" t="str">
        <f ca="1">IF(G320=1,"-",Tabela2[[#This Row],[Dt Venc:]]-TODAY())</f>
        <v>-</v>
      </c>
      <c r="G320" s="3">
        <v>1</v>
      </c>
      <c r="H320" s="3"/>
    </row>
    <row r="321" spans="1:8" ht="18" hidden="1">
      <c r="A321" s="3">
        <v>134997</v>
      </c>
      <c r="B321" s="7" t="s">
        <v>127</v>
      </c>
      <c r="C321" s="41">
        <v>717.5</v>
      </c>
      <c r="D321" s="6">
        <v>45574</v>
      </c>
      <c r="E321" s="3" t="str">
        <f ca="1">IF(Tabela2[[#This Row],[Dt Venc:]]&gt;TODAY(),"Em Aberto",IF(Tabela2[[#This Row],[D/venc]]="-","Enviado",IF(Tabela2[[#This Row],[Dt Venc:]]=TODAY(),"Vence Hoje","Vencida")))</f>
        <v>Enviado</v>
      </c>
      <c r="F321" s="3" t="str">
        <f ca="1">IF(G321=1,"-",Tabela2[[#This Row],[Dt Venc:]]-TODAY())</f>
        <v>-</v>
      </c>
      <c r="G321" s="3">
        <v>1</v>
      </c>
      <c r="H321" s="3"/>
    </row>
    <row r="322" spans="1:8" ht="18" hidden="1">
      <c r="A322" s="3">
        <v>753116</v>
      </c>
      <c r="B322" s="7" t="s">
        <v>127</v>
      </c>
      <c r="C322" s="41">
        <v>371.47</v>
      </c>
      <c r="D322" s="6">
        <v>45574</v>
      </c>
      <c r="E322" s="3" t="str">
        <f ca="1">IF(Tabela2[[#This Row],[Dt Venc:]]&gt;TODAY(),"Em Aberto",IF(Tabela2[[#This Row],[D/venc]]="-","Enviado",IF(Tabela2[[#This Row],[Dt Venc:]]=TODAY(),"Vence Hoje","Vencida")))</f>
        <v>Enviado</v>
      </c>
      <c r="F322" s="3" t="str">
        <f ca="1">IF(G322=1,"-",Tabela2[[#This Row],[Dt Venc:]]-TODAY())</f>
        <v>-</v>
      </c>
      <c r="G322" s="3">
        <v>1</v>
      </c>
      <c r="H322" s="3"/>
    </row>
    <row r="323" spans="1:8" ht="18" hidden="1">
      <c r="A323" s="3">
        <v>134994</v>
      </c>
      <c r="B323" s="7" t="s">
        <v>127</v>
      </c>
      <c r="C323" s="41">
        <v>717.5</v>
      </c>
      <c r="D323" s="6">
        <v>45574</v>
      </c>
      <c r="E323" s="3" t="str">
        <f ca="1">IF(Tabela2[[#This Row],[Dt Venc:]]&gt;TODAY(),"Em Aberto",IF(Tabela2[[#This Row],[D/venc]]="-","Enviado",IF(Tabela2[[#This Row],[Dt Venc:]]=TODAY(),"Vence Hoje","Vencida")))</f>
        <v>Enviado</v>
      </c>
      <c r="F323" s="3" t="str">
        <f ca="1">IF(G323=1,"-",Tabela2[[#This Row],[Dt Venc:]]-TODAY())</f>
        <v>-</v>
      </c>
      <c r="G323" s="3">
        <v>1</v>
      </c>
      <c r="H323" s="3"/>
    </row>
    <row r="324" spans="1:8" ht="18" hidden="1">
      <c r="A324" s="3">
        <v>753108</v>
      </c>
      <c r="B324" s="7" t="s">
        <v>127</v>
      </c>
      <c r="C324" s="41">
        <v>371.47</v>
      </c>
      <c r="D324" s="6">
        <v>45574</v>
      </c>
      <c r="E324" s="3" t="str">
        <f ca="1">IF(Tabela2[[#This Row],[Dt Venc:]]&gt;TODAY(),"Em Aberto",IF(Tabela2[[#This Row],[D/venc]]="-","Enviado",IF(Tabela2[[#This Row],[Dt Venc:]]=TODAY(),"Vence Hoje","Vencida")))</f>
        <v>Enviado</v>
      </c>
      <c r="F324" s="3" t="str">
        <f ca="1">IF(G324=1,"-",Tabela2[[#This Row],[Dt Venc:]]-TODAY())</f>
        <v>-</v>
      </c>
      <c r="G324" s="3">
        <v>1</v>
      </c>
      <c r="H324" s="3"/>
    </row>
    <row r="325" spans="1:8" ht="18" hidden="1">
      <c r="A325" s="3">
        <v>134995</v>
      </c>
      <c r="B325" s="7" t="s">
        <v>127</v>
      </c>
      <c r="C325" s="41">
        <v>717.5</v>
      </c>
      <c r="D325" s="6">
        <v>45574</v>
      </c>
      <c r="E325" s="3" t="str">
        <f ca="1">IF(Tabela2[[#This Row],[Dt Venc:]]&gt;TODAY(),"Em Aberto",IF(Tabela2[[#This Row],[D/venc]]="-","Enviado",IF(Tabela2[[#This Row],[Dt Venc:]]=TODAY(),"Vence Hoje","Vencida")))</f>
        <v>Enviado</v>
      </c>
      <c r="F325" s="3" t="str">
        <f ca="1">IF(G325=1,"-",Tabela2[[#This Row],[Dt Venc:]]-TODAY())</f>
        <v>-</v>
      </c>
      <c r="G325" s="3">
        <v>1</v>
      </c>
      <c r="H325" s="3"/>
    </row>
    <row r="326" spans="1:8" ht="18" hidden="1">
      <c r="A326" s="3">
        <v>753110</v>
      </c>
      <c r="B326" s="7" t="s">
        <v>127</v>
      </c>
      <c r="C326" s="41">
        <v>371.47</v>
      </c>
      <c r="D326" s="6">
        <v>45574</v>
      </c>
      <c r="E326" s="3" t="str">
        <f ca="1">IF(Tabela2[[#This Row],[Dt Venc:]]&gt;TODAY(),"Em Aberto",IF(Tabela2[[#This Row],[D/venc]]="-","Enviado",IF(Tabela2[[#This Row],[Dt Venc:]]=TODAY(),"Vence Hoje","Vencida")))</f>
        <v>Enviado</v>
      </c>
      <c r="F326" s="3" t="str">
        <f ca="1">IF(G326=1,"-",Tabela2[[#This Row],[Dt Venc:]]-TODAY())</f>
        <v>-</v>
      </c>
      <c r="G326" s="3">
        <v>1</v>
      </c>
      <c r="H326" s="3"/>
    </row>
    <row r="327" spans="1:8" ht="18" hidden="1">
      <c r="A327" s="3">
        <v>38822</v>
      </c>
      <c r="B327" s="7" t="s">
        <v>177</v>
      </c>
      <c r="C327" s="41">
        <v>725</v>
      </c>
      <c r="D327" s="6">
        <v>45574</v>
      </c>
      <c r="E327" s="3" t="str">
        <f ca="1">IF(Tabela2[[#This Row],[Dt Venc:]]&gt;TODAY(),"Em Aberto",IF(Tabela2[[#This Row],[D/venc]]="-","Enviado",IF(Tabela2[[#This Row],[Dt Venc:]]=TODAY(),"Vence Hoje","Vencida")))</f>
        <v>Enviado</v>
      </c>
      <c r="F327" s="3" t="str">
        <f ca="1">IF(G327=1,"-",Tabela2[[#This Row],[Dt Venc:]]-TODAY())</f>
        <v>-</v>
      </c>
      <c r="G327" s="3">
        <v>1</v>
      </c>
      <c r="H327" s="3"/>
    </row>
    <row r="328" spans="1:8" ht="18" hidden="1">
      <c r="A328" s="3">
        <v>134996</v>
      </c>
      <c r="B328" s="7" t="s">
        <v>127</v>
      </c>
      <c r="C328" s="41">
        <v>717.5</v>
      </c>
      <c r="D328" s="6">
        <v>45574</v>
      </c>
      <c r="E328" s="3" t="str">
        <f ca="1">IF(Tabela2[[#This Row],[Dt Venc:]]&gt;TODAY(),"Em Aberto",IF(Tabela2[[#This Row],[D/venc]]="-","Enviado",IF(Tabela2[[#This Row],[Dt Venc:]]=TODAY(),"Vence Hoje","Vencida")))</f>
        <v>Enviado</v>
      </c>
      <c r="F328" s="3" t="str">
        <f ca="1">IF(G328=1,"-",Tabela2[[#This Row],[Dt Venc:]]-TODAY())</f>
        <v>-</v>
      </c>
      <c r="G328" s="3">
        <v>1</v>
      </c>
      <c r="H328" s="3"/>
    </row>
    <row r="329" spans="1:8" ht="18" hidden="1">
      <c r="A329" s="3">
        <v>753112</v>
      </c>
      <c r="B329" s="7" t="s">
        <v>127</v>
      </c>
      <c r="C329" s="41">
        <v>371.47</v>
      </c>
      <c r="D329" s="6">
        <v>45574</v>
      </c>
      <c r="E329" s="3" t="str">
        <f ca="1">IF(Tabela2[[#This Row],[Dt Venc:]]&gt;TODAY(),"Em Aberto",IF(Tabela2[[#This Row],[D/venc]]="-","Enviado",IF(Tabela2[[#This Row],[Dt Venc:]]=TODAY(),"Vence Hoje","Vencida")))</f>
        <v>Enviado</v>
      </c>
      <c r="F329" s="3" t="str">
        <f ca="1">IF(G329=1,"-",Tabela2[[#This Row],[Dt Venc:]]-TODAY())</f>
        <v>-</v>
      </c>
      <c r="G329" s="3">
        <v>1</v>
      </c>
      <c r="H329" s="3"/>
    </row>
    <row r="330" spans="1:8" ht="18" hidden="1">
      <c r="A330" s="3">
        <v>442356</v>
      </c>
      <c r="B330" s="7" t="s">
        <v>59</v>
      </c>
      <c r="C330" s="41">
        <v>54889</v>
      </c>
      <c r="D330" s="6">
        <v>45574</v>
      </c>
      <c r="E330" s="3" t="str">
        <f ca="1">IF(Tabela2[[#This Row],[Dt Venc:]]&gt;TODAY(),"Em Aberto",IF(Tabela2[[#This Row],[D/venc]]="-","Enviado",IF(Tabela2[[#This Row],[Dt Venc:]]=TODAY(),"Vence Hoje","Vencida")))</f>
        <v>Enviado</v>
      </c>
      <c r="F330" s="3" t="str">
        <f ca="1">IF(G330=1,"-",Tabela2[[#This Row],[Dt Venc:]]-TODAY())</f>
        <v>-</v>
      </c>
      <c r="G330" s="3">
        <v>1</v>
      </c>
      <c r="H330" s="3"/>
    </row>
    <row r="331" spans="1:8" ht="18" hidden="1">
      <c r="A331" s="3">
        <v>384512</v>
      </c>
      <c r="B331" s="7" t="s">
        <v>178</v>
      </c>
      <c r="C331" s="41">
        <v>239</v>
      </c>
      <c r="D331" s="6">
        <v>45574</v>
      </c>
      <c r="E331" s="3" t="str">
        <f ca="1">IF(Tabela2[[#This Row],[Dt Venc:]]&gt;TODAY(),"Em Aberto",IF(Tabela2[[#This Row],[D/venc]]="-","Enviado",IF(Tabela2[[#This Row],[Dt Venc:]]=TODAY(),"Vence Hoje","Vencida")))</f>
        <v>Enviado</v>
      </c>
      <c r="F331" s="3" t="str">
        <f ca="1">IF(G331=1,"-",Tabela2[[#This Row],[Dt Venc:]]-TODAY())</f>
        <v>-</v>
      </c>
      <c r="G331" s="3">
        <v>1</v>
      </c>
      <c r="H331" s="3"/>
    </row>
    <row r="332" spans="1:8" ht="18" hidden="1">
      <c r="A332" s="3">
        <v>140586</v>
      </c>
      <c r="B332" s="7" t="s">
        <v>60</v>
      </c>
      <c r="C332" s="41">
        <v>390</v>
      </c>
      <c r="D332" s="6">
        <v>45574</v>
      </c>
      <c r="E332" s="3" t="str">
        <f ca="1">IF(Tabela2[[#This Row],[Dt Venc:]]&gt;TODAY(),"Em Aberto",IF(Tabela2[[#This Row],[D/venc]]="-","Enviado",IF(Tabela2[[#This Row],[Dt Venc:]]=TODAY(),"Vence Hoje","Vencida")))</f>
        <v>Enviado</v>
      </c>
      <c r="F332" s="3" t="str">
        <f ca="1">IF(G332=1,"-",Tabela2[[#This Row],[Dt Venc:]]-TODAY())</f>
        <v>-</v>
      </c>
      <c r="G332" s="3">
        <v>1</v>
      </c>
      <c r="H332" s="3"/>
    </row>
    <row r="333" spans="1:8" ht="18" hidden="1">
      <c r="A333" s="3" t="s">
        <v>179</v>
      </c>
      <c r="B333" s="7" t="s">
        <v>180</v>
      </c>
      <c r="C333" s="84" t="s">
        <v>32</v>
      </c>
      <c r="D333" s="6">
        <v>45574</v>
      </c>
      <c r="E333" s="3" t="str">
        <f ca="1">IF(Tabela2[[#This Row],[Dt Venc:]]&gt;TODAY(),"Em Aberto",IF(Tabela2[[#This Row],[D/venc]]="-","Enviado",IF(Tabela2[[#This Row],[Dt Venc:]]=TODAY(),"Vence Hoje","Vencida")))</f>
        <v>Enviado</v>
      </c>
      <c r="F333" s="3" t="str">
        <f ca="1">IF(G333=1,"-",Tabela2[[#This Row],[Dt Venc:]]-TODAY())</f>
        <v>-</v>
      </c>
      <c r="G333" s="3">
        <v>1</v>
      </c>
      <c r="H333" s="3"/>
    </row>
    <row r="334" spans="1:8" ht="18" hidden="1">
      <c r="A334" s="3" t="s">
        <v>110</v>
      </c>
      <c r="B334" s="7" t="s">
        <v>181</v>
      </c>
      <c r="C334" s="42" t="s">
        <v>32</v>
      </c>
      <c r="D334" s="6">
        <v>45575</v>
      </c>
      <c r="E334" s="3" t="str">
        <f ca="1">IF(Tabela2[[#This Row],[Dt Venc:]]&gt;TODAY(),"Em Aberto",IF(Tabela2[[#This Row],[D/venc]]="-","Enviado",IF(Tabela2[[#This Row],[Dt Venc:]]=TODAY(),"Vence Hoje","Vencida")))</f>
        <v>Enviado</v>
      </c>
      <c r="F334" s="3" t="str">
        <f ca="1">IF(G334=1,"-",Tabela2[[#This Row],[Dt Venc:]]-TODAY())</f>
        <v>-</v>
      </c>
      <c r="G334" s="3">
        <v>1</v>
      </c>
      <c r="H334" s="3"/>
    </row>
    <row r="335" spans="1:8" ht="18" hidden="1">
      <c r="A335" s="3">
        <v>28629</v>
      </c>
      <c r="B335" s="7" t="s">
        <v>182</v>
      </c>
      <c r="C335" s="84" t="s">
        <v>32</v>
      </c>
      <c r="D335" s="6">
        <v>45575</v>
      </c>
      <c r="E335" s="3" t="str">
        <f ca="1">IF(Tabela2[[#This Row],[Dt Venc:]]&gt;TODAY(),"Em Aberto",IF(Tabela2[[#This Row],[D/venc]]="-","Enviado",IF(Tabela2[[#This Row],[Dt Venc:]]=TODAY(),"Vence Hoje","Vencida")))</f>
        <v>Enviado</v>
      </c>
      <c r="F335" s="3" t="str">
        <f ca="1">IF(G335=1,"-",Tabela2[[#This Row],[Dt Venc:]]-TODAY())</f>
        <v>-</v>
      </c>
      <c r="G335" s="3">
        <v>1</v>
      </c>
      <c r="H335" s="3"/>
    </row>
    <row r="336" spans="1:8" ht="18" hidden="1">
      <c r="A336" s="3" t="s">
        <v>110</v>
      </c>
      <c r="B336" s="7" t="s">
        <v>183</v>
      </c>
      <c r="C336" s="42" t="s">
        <v>32</v>
      </c>
      <c r="D336" s="6">
        <v>45575</v>
      </c>
      <c r="E336" s="3" t="str">
        <f ca="1">IF(Tabela2[[#This Row],[Dt Venc:]]&gt;TODAY(),"Em Aberto",IF(Tabela2[[#This Row],[D/venc]]="-","Enviado",IF(Tabela2[[#This Row],[Dt Venc:]]=TODAY(),"Vence Hoje","Vencida")))</f>
        <v>Enviado</v>
      </c>
      <c r="F336" s="3" t="str">
        <f ca="1">IF(G336=1,"-",Tabela2[[#This Row],[Dt Venc:]]-TODAY())</f>
        <v>-</v>
      </c>
      <c r="G336" s="3">
        <v>1</v>
      </c>
      <c r="H336" s="3"/>
    </row>
    <row r="337" spans="1:8" ht="18" hidden="1">
      <c r="A337" s="3" t="s">
        <v>110</v>
      </c>
      <c r="B337" s="7" t="s">
        <v>184</v>
      </c>
      <c r="C337" s="42" t="s">
        <v>32</v>
      </c>
      <c r="D337" s="6">
        <v>45575</v>
      </c>
      <c r="E337" s="3" t="str">
        <f ca="1">IF(Tabela2[[#This Row],[Dt Venc:]]&gt;TODAY(),"Em Aberto",IF(Tabela2[[#This Row],[D/venc]]="-","Enviado",IF(Tabela2[[#This Row],[Dt Venc:]]=TODAY(),"Vence Hoje","Vencida")))</f>
        <v>Enviado</v>
      </c>
      <c r="F337" s="3" t="str">
        <f ca="1">IF(G337=1,"-",Tabela2[[#This Row],[Dt Venc:]]-TODAY())</f>
        <v>-</v>
      </c>
      <c r="G337" s="3">
        <v>1</v>
      </c>
      <c r="H337" s="3"/>
    </row>
    <row r="338" spans="1:8" ht="18" hidden="1">
      <c r="A338" s="3" t="s">
        <v>110</v>
      </c>
      <c r="B338" s="7" t="s">
        <v>185</v>
      </c>
      <c r="C338" s="42" t="s">
        <v>32</v>
      </c>
      <c r="D338" s="6">
        <v>45575</v>
      </c>
      <c r="E338" s="3" t="str">
        <f ca="1">IF(Tabela2[[#This Row],[Dt Venc:]]&gt;TODAY(),"Em Aberto",IF(Tabela2[[#This Row],[D/venc]]="-","Enviado",IF(Tabela2[[#This Row],[Dt Venc:]]=TODAY(),"Vence Hoje","Vencida")))</f>
        <v>Enviado</v>
      </c>
      <c r="F338" s="3" t="str">
        <f ca="1">IF(G338=1,"-",Tabela2[[#This Row],[Dt Venc:]]-TODAY())</f>
        <v>-</v>
      </c>
      <c r="G338" s="3">
        <v>1</v>
      </c>
      <c r="H338" s="3"/>
    </row>
    <row r="339" spans="1:8" ht="18" hidden="1">
      <c r="A339" s="3">
        <v>28305</v>
      </c>
      <c r="B339" s="7" t="s">
        <v>97</v>
      </c>
      <c r="C339" s="42">
        <v>2165</v>
      </c>
      <c r="D339" s="6">
        <v>45575</v>
      </c>
      <c r="E339" s="3" t="str">
        <f ca="1">IF(Tabela2[[#This Row],[Dt Venc:]]&gt;TODAY(),"Em Aberto",IF(Tabela2[[#This Row],[D/venc]]="-","Enviado",IF(Tabela2[[#This Row],[Dt Venc:]]=TODAY(),"Vence Hoje","Vencida")))</f>
        <v>Enviado</v>
      </c>
      <c r="F339" s="3" t="str">
        <f ca="1">IF(G339=1,"-",Tabela2[[#This Row],[Dt Venc:]]-TODAY())</f>
        <v>-</v>
      </c>
      <c r="G339" s="3">
        <v>1</v>
      </c>
      <c r="H339" s="3"/>
    </row>
    <row r="340" spans="1:8" ht="18" hidden="1">
      <c r="A340" s="3">
        <v>10585</v>
      </c>
      <c r="B340" s="7" t="s">
        <v>33</v>
      </c>
      <c r="C340" s="42">
        <v>1433.33</v>
      </c>
      <c r="D340" s="6">
        <v>45575</v>
      </c>
      <c r="E340" s="3" t="str">
        <f ca="1">IF(Tabela2[[#This Row],[Dt Venc:]]&gt;TODAY(),"Em Aberto",IF(Tabela2[[#This Row],[D/venc]]="-","Enviado",IF(Tabela2[[#This Row],[Dt Venc:]]=TODAY(),"Vence Hoje","Vencida")))</f>
        <v>Enviado</v>
      </c>
      <c r="F340" s="3" t="str">
        <f ca="1">IF(G340=1,"-",Tabela2[[#This Row],[Dt Venc:]]-TODAY())</f>
        <v>-</v>
      </c>
      <c r="G340" s="3">
        <v>1</v>
      </c>
      <c r="H340" s="3"/>
    </row>
    <row r="341" spans="1:8" ht="18" hidden="1">
      <c r="A341" s="3" t="s">
        <v>28</v>
      </c>
      <c r="B341" s="7" t="s">
        <v>186</v>
      </c>
      <c r="C341" s="84" t="s">
        <v>32</v>
      </c>
      <c r="D341" s="6">
        <v>45575</v>
      </c>
      <c r="E341" s="3" t="str">
        <f ca="1">IF(Tabela2[[#This Row],[Dt Venc:]]&gt;TODAY(),"Em Aberto",IF(Tabela2[[#This Row],[D/venc]]="-","Enviado",IF(Tabela2[[#This Row],[Dt Venc:]]=TODAY(),"Vence Hoje","Vencida")))</f>
        <v>Enviado</v>
      </c>
      <c r="F341" s="3" t="str">
        <f ca="1">IF(G341=1,"-",Tabela2[[#This Row],[Dt Venc:]]-TODAY())</f>
        <v>-</v>
      </c>
      <c r="G341" s="3">
        <v>1</v>
      </c>
      <c r="H341" s="3"/>
    </row>
    <row r="342" spans="1:8" ht="18" hidden="1">
      <c r="A342" s="3">
        <v>52957</v>
      </c>
      <c r="B342" s="7" t="s">
        <v>35</v>
      </c>
      <c r="C342" s="42">
        <v>650.17999999999995</v>
      </c>
      <c r="D342" s="6">
        <v>45575</v>
      </c>
      <c r="E342" s="3" t="str">
        <f ca="1">IF(Tabela2[[#This Row],[Dt Venc:]]&gt;TODAY(),"Em Aberto",IF(Tabela2[[#This Row],[D/venc]]="-","Enviado",IF(Tabela2[[#This Row],[Dt Venc:]]=TODAY(),"Vence Hoje","Vencida")))</f>
        <v>Enviado</v>
      </c>
      <c r="F342" s="3" t="str">
        <f ca="1">IF(G342=1,"-",Tabela2[[#This Row],[Dt Venc:]]-TODAY())</f>
        <v>-</v>
      </c>
      <c r="G342" s="3">
        <v>1</v>
      </c>
      <c r="H342" s="3"/>
    </row>
    <row r="343" spans="1:8" ht="18" hidden="1">
      <c r="A343" s="3">
        <v>299731</v>
      </c>
      <c r="B343" s="7" t="s">
        <v>53</v>
      </c>
      <c r="C343" s="42">
        <v>614.48</v>
      </c>
      <c r="D343" s="6">
        <v>45575</v>
      </c>
      <c r="E343" s="3" t="str">
        <f ca="1">IF(Tabela2[[#This Row],[Dt Venc:]]&gt;TODAY(),"Em Aberto",IF(Tabela2[[#This Row],[D/venc]]="-","Enviado",IF(Tabela2[[#This Row],[Dt Venc:]]=TODAY(),"Vence Hoje","Vencida")))</f>
        <v>Enviado</v>
      </c>
      <c r="F343" s="3" t="str">
        <f ca="1">IF(G343=1,"-",Tabela2[[#This Row],[Dt Venc:]]-TODAY())</f>
        <v>-</v>
      </c>
      <c r="G343" s="3">
        <v>1</v>
      </c>
      <c r="H343" s="3"/>
    </row>
    <row r="344" spans="1:8" ht="18" hidden="1">
      <c r="A344" s="3">
        <v>2585</v>
      </c>
      <c r="B344" s="7" t="s">
        <v>58</v>
      </c>
      <c r="C344" s="42">
        <v>1320</v>
      </c>
      <c r="D344" s="6">
        <v>45575</v>
      </c>
      <c r="E344" s="3" t="str">
        <f ca="1">IF(Tabela2[[#This Row],[Dt Venc:]]&gt;TODAY(),"Em Aberto",IF(Tabela2[[#This Row],[D/venc]]="-","Enviado",IF(Tabela2[[#This Row],[Dt Venc:]]=TODAY(),"Vence Hoje","Vencida")))</f>
        <v>Enviado</v>
      </c>
      <c r="F344" s="3" t="str">
        <f ca="1">IF(G344=1,"-",Tabela2[[#This Row],[Dt Venc:]]-TODAY())</f>
        <v>-</v>
      </c>
      <c r="G344" s="3">
        <v>1</v>
      </c>
      <c r="H344" s="3"/>
    </row>
    <row r="345" spans="1:8" ht="18" hidden="1">
      <c r="A345" s="3">
        <v>2659</v>
      </c>
      <c r="B345" s="7" t="s">
        <v>58</v>
      </c>
      <c r="C345" s="42">
        <v>1098.17</v>
      </c>
      <c r="D345" s="6">
        <v>45575</v>
      </c>
      <c r="E345" s="3" t="str">
        <f ca="1">IF(Tabela2[[#This Row],[Dt Venc:]]&gt;TODAY(),"Em Aberto",IF(Tabela2[[#This Row],[D/venc]]="-","Enviado",IF(Tabela2[[#This Row],[Dt Venc:]]=TODAY(),"Vence Hoje","Vencida")))</f>
        <v>Enviado</v>
      </c>
      <c r="F345" s="3" t="str">
        <f ca="1">IF(G345=1,"-",Tabela2[[#This Row],[Dt Venc:]]-TODAY())</f>
        <v>-</v>
      </c>
      <c r="G345" s="3">
        <v>1</v>
      </c>
      <c r="H345" s="3"/>
    </row>
    <row r="346" spans="1:8" ht="18" hidden="1">
      <c r="A346" s="3">
        <v>21844</v>
      </c>
      <c r="B346" s="7" t="s">
        <v>38</v>
      </c>
      <c r="C346" s="42">
        <v>2596.67</v>
      </c>
      <c r="D346" s="6">
        <v>45575</v>
      </c>
      <c r="E346" s="3" t="str">
        <f ca="1">IF(Tabela2[[#This Row],[Dt Venc:]]&gt;TODAY(),"Em Aberto",IF(Tabela2[[#This Row],[D/venc]]="-","Enviado",IF(Tabela2[[#This Row],[Dt Venc:]]=TODAY(),"Vence Hoje","Vencida")))</f>
        <v>Enviado</v>
      </c>
      <c r="F346" s="3" t="str">
        <f ca="1">IF(G346=1,"-",Tabela2[[#This Row],[Dt Venc:]]-TODAY())</f>
        <v>-</v>
      </c>
      <c r="G346" s="3">
        <v>1</v>
      </c>
      <c r="H346" s="3"/>
    </row>
    <row r="347" spans="1:8" ht="18" hidden="1">
      <c r="A347" s="3">
        <v>80273</v>
      </c>
      <c r="B347" s="7" t="s">
        <v>39</v>
      </c>
      <c r="C347" s="42">
        <v>616.64</v>
      </c>
      <c r="D347" s="6">
        <v>45575</v>
      </c>
      <c r="E347" s="3" t="str">
        <f ca="1">IF(Tabela2[[#This Row],[Dt Venc:]]&gt;TODAY(),"Em Aberto",IF(Tabela2[[#This Row],[D/venc]]="-","Enviado",IF(Tabela2[[#This Row],[Dt Venc:]]=TODAY(),"Vence Hoje","Vencida")))</f>
        <v>Enviado</v>
      </c>
      <c r="F347" s="3" t="str">
        <f ca="1">IF(G347=1,"-",Tabela2[[#This Row],[Dt Venc:]]-TODAY())</f>
        <v>-</v>
      </c>
      <c r="G347" s="3">
        <v>1</v>
      </c>
      <c r="H347" s="3"/>
    </row>
    <row r="348" spans="1:8" ht="18" hidden="1">
      <c r="A348" s="3">
        <v>80272</v>
      </c>
      <c r="B348" s="7" t="s">
        <v>187</v>
      </c>
      <c r="C348" s="42">
        <v>616.64</v>
      </c>
      <c r="D348" s="6">
        <v>45575</v>
      </c>
      <c r="E348" s="3" t="str">
        <f ca="1">IF(Tabela2[[#This Row],[Dt Venc:]]&gt;TODAY(),"Em Aberto",IF(Tabela2[[#This Row],[D/venc]]="-","Enviado",IF(Tabela2[[#This Row],[Dt Venc:]]=TODAY(),"Vence Hoje","Vencida")))</f>
        <v>Enviado</v>
      </c>
      <c r="F348" s="3" t="str">
        <f ca="1">IF(G348=1,"-",Tabela2[[#This Row],[Dt Venc:]]-TODAY())</f>
        <v>-</v>
      </c>
      <c r="G348" s="3">
        <v>1</v>
      </c>
      <c r="H348" s="3"/>
    </row>
    <row r="349" spans="1:8" ht="18" hidden="1">
      <c r="A349" s="3">
        <v>362723</v>
      </c>
      <c r="B349" s="7" t="s">
        <v>187</v>
      </c>
      <c r="C349" s="42">
        <v>290.41000000000003</v>
      </c>
      <c r="D349" s="6">
        <v>45575</v>
      </c>
      <c r="E349" s="3" t="str">
        <f ca="1">IF(Tabela2[[#This Row],[Dt Venc:]]&gt;TODAY(),"Em Aberto",IF(Tabela2[[#This Row],[D/venc]]="-","Enviado",IF(Tabela2[[#This Row],[Dt Venc:]]=TODAY(),"Vence Hoje","Vencida")))</f>
        <v>Enviado</v>
      </c>
      <c r="F349" s="3" t="str">
        <f ca="1">IF(G349=1,"-",Tabela2[[#This Row],[Dt Venc:]]-TODAY())</f>
        <v>-</v>
      </c>
      <c r="G349" s="3">
        <v>1</v>
      </c>
      <c r="H349" s="3"/>
    </row>
    <row r="350" spans="1:8" ht="18" hidden="1">
      <c r="A350" s="3">
        <v>362724</v>
      </c>
      <c r="B350" s="7" t="s">
        <v>187</v>
      </c>
      <c r="C350" s="42">
        <v>290.41000000000003</v>
      </c>
      <c r="D350" s="6">
        <v>45575</v>
      </c>
      <c r="E350" s="3" t="str">
        <f ca="1">IF(Tabela2[[#This Row],[Dt Venc:]]&gt;TODAY(),"Em Aberto",IF(Tabela2[[#This Row],[D/venc]]="-","Enviado",IF(Tabela2[[#This Row],[Dt Venc:]]=TODAY(),"Vence Hoje","Vencida")))</f>
        <v>Enviado</v>
      </c>
      <c r="F350" s="3" t="str">
        <f ca="1">IF(G350=1,"-",Tabela2[[#This Row],[Dt Venc:]]-TODAY())</f>
        <v>-</v>
      </c>
      <c r="G350" s="3">
        <v>1</v>
      </c>
      <c r="H350" s="3"/>
    </row>
    <row r="351" spans="1:8" ht="18" hidden="1">
      <c r="A351" s="3">
        <v>39226</v>
      </c>
      <c r="B351" s="7" t="s">
        <v>188</v>
      </c>
      <c r="C351" s="42">
        <v>644.01</v>
      </c>
      <c r="D351" s="6">
        <v>45575</v>
      </c>
      <c r="E351" s="3" t="str">
        <f ca="1">IF(Tabela2[[#This Row],[Dt Venc:]]&gt;TODAY(),"Em Aberto",IF(Tabela2[[#This Row],[D/venc]]="-","Enviado",IF(Tabela2[[#This Row],[Dt Venc:]]=TODAY(),"Vence Hoje","Vencida")))</f>
        <v>Enviado</v>
      </c>
      <c r="F351" s="3" t="str">
        <f ca="1">IF(G351=1,"-",Tabela2[[#This Row],[Dt Venc:]]-TODAY())</f>
        <v>-</v>
      </c>
      <c r="G351" s="3">
        <v>1</v>
      </c>
      <c r="H351" s="3"/>
    </row>
    <row r="352" spans="1:8" ht="18" hidden="1">
      <c r="A352" s="3">
        <v>761516</v>
      </c>
      <c r="B352" s="7" t="s">
        <v>79</v>
      </c>
      <c r="C352" s="42">
        <v>1776.28</v>
      </c>
      <c r="D352" s="6">
        <v>45575</v>
      </c>
      <c r="E352" s="3" t="str">
        <f ca="1">IF(Tabela2[[#This Row],[Dt Venc:]]&gt;TODAY(),"Em Aberto",IF(Tabela2[[#This Row],[D/venc]]="-","Enviado",IF(Tabela2[[#This Row],[Dt Venc:]]=TODAY(),"Vence Hoje","Vencida")))</f>
        <v>Enviado</v>
      </c>
      <c r="F352" s="3" t="str">
        <f ca="1">IF(G352=1,"-",Tabela2[[#This Row],[Dt Venc:]]-TODAY())</f>
        <v>-</v>
      </c>
      <c r="G352" s="3">
        <v>1</v>
      </c>
      <c r="H352" s="3"/>
    </row>
    <row r="353" spans="1:8" ht="18" hidden="1">
      <c r="A353" s="3">
        <v>298713</v>
      </c>
      <c r="B353" s="7" t="s">
        <v>189</v>
      </c>
      <c r="C353" s="42">
        <v>393.56</v>
      </c>
      <c r="D353" s="6">
        <v>45575</v>
      </c>
      <c r="E353" s="3" t="str">
        <f ca="1">IF(Tabela2[[#This Row],[Dt Venc:]]&gt;TODAY(),"Em Aberto",IF(Tabela2[[#This Row],[D/venc]]="-","Enviado",IF(Tabela2[[#This Row],[Dt Venc:]]=TODAY(),"Vence Hoje","Vencida")))</f>
        <v>Enviado</v>
      </c>
      <c r="F353" s="3" t="str">
        <f ca="1">IF(G353=1,"-",Tabela2[[#This Row],[Dt Venc:]]-TODAY())</f>
        <v>-</v>
      </c>
      <c r="G353" s="3">
        <v>1</v>
      </c>
      <c r="H353" s="3"/>
    </row>
    <row r="354" spans="1:8" ht="18" hidden="1">
      <c r="A354" s="3" t="s">
        <v>179</v>
      </c>
      <c r="B354" s="7" t="s">
        <v>190</v>
      </c>
      <c r="C354" s="84" t="s">
        <v>32</v>
      </c>
      <c r="D354" s="6">
        <v>45575</v>
      </c>
      <c r="E354" s="3" t="str">
        <f ca="1">IF(Tabela2[[#This Row],[Dt Venc:]]&gt;TODAY(),"Em Aberto",IF(Tabela2[[#This Row],[D/venc]]="-","Enviado",IF(Tabela2[[#This Row],[Dt Venc:]]=TODAY(),"Vence Hoje","Vencida")))</f>
        <v>Enviado</v>
      </c>
      <c r="F354" s="3" t="str">
        <f ca="1">IF(G354=1,"-",Tabela2[[#This Row],[Dt Venc:]]-TODAY())</f>
        <v>-</v>
      </c>
      <c r="G354" s="3">
        <v>1</v>
      </c>
      <c r="H354" s="3"/>
    </row>
    <row r="355" spans="1:8" ht="18" hidden="1">
      <c r="A355" s="3">
        <v>5609</v>
      </c>
      <c r="B355" s="7" t="s">
        <v>47</v>
      </c>
      <c r="C355" s="42">
        <v>1232</v>
      </c>
      <c r="D355" s="6">
        <v>45575</v>
      </c>
      <c r="E355" s="3" t="str">
        <f ca="1">IF(Tabela2[[#This Row],[Dt Venc:]]&gt;TODAY(),"Em Aberto",IF(Tabela2[[#This Row],[D/venc]]="-","Enviado",IF(Tabela2[[#This Row],[Dt Venc:]]=TODAY(),"Vence Hoje","Vencida")))</f>
        <v>Enviado</v>
      </c>
      <c r="F355" s="3" t="str">
        <f ca="1">IF(G355=1,"-",Tabela2[[#This Row],[Dt Venc:]]-TODAY())</f>
        <v>-</v>
      </c>
      <c r="G355" s="3">
        <v>1</v>
      </c>
      <c r="H355" s="3"/>
    </row>
    <row r="356" spans="1:8" ht="18" hidden="1">
      <c r="A356" s="3">
        <v>9337</v>
      </c>
      <c r="B356" s="7" t="s">
        <v>174</v>
      </c>
      <c r="C356" s="42">
        <v>440</v>
      </c>
      <c r="D356" s="6">
        <v>45575</v>
      </c>
      <c r="E356" s="3" t="str">
        <f ca="1">IF(Tabela2[[#This Row],[Dt Venc:]]&gt;TODAY(),"Em Aberto",IF(Tabela2[[#This Row],[D/venc]]="-","Enviado",IF(Tabela2[[#This Row],[Dt Venc:]]=TODAY(),"Vence Hoje","Vencida")))</f>
        <v>Enviado</v>
      </c>
      <c r="F356" s="3" t="str">
        <f ca="1">IF(G356=1,"-",Tabela2[[#This Row],[Dt Venc:]]-TODAY())</f>
        <v>-</v>
      </c>
      <c r="G356" s="3">
        <v>1</v>
      </c>
      <c r="H356" s="3"/>
    </row>
    <row r="357" spans="1:8" ht="18" hidden="1">
      <c r="A357" s="3">
        <v>316873</v>
      </c>
      <c r="B357" s="7" t="s">
        <v>191</v>
      </c>
      <c r="C357" s="41">
        <v>677</v>
      </c>
      <c r="D357" s="6">
        <v>45575</v>
      </c>
      <c r="E357" s="3" t="str">
        <f ca="1">IF(Tabela2[[#This Row],[Dt Venc:]]&gt;TODAY(),"Em Aberto",IF(Tabela2[[#This Row],[D/venc]]="-","Enviado",IF(Tabela2[[#This Row],[Dt Venc:]]=TODAY(),"Vence Hoje","Vencida")))</f>
        <v>Enviado</v>
      </c>
      <c r="F357" s="3" t="str">
        <f ca="1">IF(G357=1,"-",Tabela2[[#This Row],[Dt Venc:]]-TODAY())</f>
        <v>-</v>
      </c>
      <c r="G357" s="3">
        <v>1</v>
      </c>
      <c r="H357" s="3"/>
    </row>
    <row r="358" spans="1:8" ht="18" hidden="1">
      <c r="A358" s="3">
        <v>75754</v>
      </c>
      <c r="B358" s="7" t="s">
        <v>192</v>
      </c>
      <c r="C358" s="41">
        <v>470</v>
      </c>
      <c r="D358" s="6">
        <v>45575</v>
      </c>
      <c r="E358" s="3" t="str">
        <f ca="1">IF(Tabela2[[#This Row],[Dt Venc:]]&gt;TODAY(),"Em Aberto",IF(Tabela2[[#This Row],[D/venc]]="-","Enviado",IF(Tabela2[[#This Row],[Dt Venc:]]=TODAY(),"Vence Hoje","Vencida")))</f>
        <v>Enviado</v>
      </c>
      <c r="F358" s="3" t="str">
        <f ca="1">IF(G358=1,"-",Tabela2[[#This Row],[Dt Venc:]]-TODAY())</f>
        <v>-</v>
      </c>
      <c r="G358" s="3">
        <v>1</v>
      </c>
      <c r="H358" s="3"/>
    </row>
    <row r="359" spans="1:8" ht="18" hidden="1">
      <c r="A359" s="3">
        <v>24307</v>
      </c>
      <c r="B359" s="7" t="s">
        <v>193</v>
      </c>
      <c r="C359" s="41">
        <v>943.98</v>
      </c>
      <c r="D359" s="6">
        <v>45575</v>
      </c>
      <c r="E359" s="3" t="str">
        <f ca="1">IF(Tabela2[[#This Row],[Dt Venc:]]&gt;TODAY(),"Em Aberto",IF(Tabela2[[#This Row],[D/venc]]="-","Enviado",IF(Tabela2[[#This Row],[Dt Venc:]]=TODAY(),"Vence Hoje","Vencida")))</f>
        <v>Enviado</v>
      </c>
      <c r="F359" s="3" t="str">
        <f ca="1">IF(G359=1,"-",Tabela2[[#This Row],[Dt Venc:]]-TODAY())</f>
        <v>-</v>
      </c>
      <c r="G359" s="3">
        <v>1</v>
      </c>
      <c r="H359" s="3"/>
    </row>
    <row r="360" spans="1:8" ht="18" hidden="1">
      <c r="A360" s="3">
        <v>1987</v>
      </c>
      <c r="B360" s="7" t="s">
        <v>194</v>
      </c>
      <c r="C360" s="41">
        <v>2100</v>
      </c>
      <c r="D360" s="6">
        <v>45575</v>
      </c>
      <c r="E360" s="3" t="str">
        <f ca="1">IF(Tabela2[[#This Row],[Dt Venc:]]&gt;TODAY(),"Em Aberto",IF(Tabela2[[#This Row],[D/venc]]="-","Enviado",IF(Tabela2[[#This Row],[Dt Venc:]]=TODAY(),"Vence Hoje","Vencida")))</f>
        <v>Enviado</v>
      </c>
      <c r="F360" s="3" t="str">
        <f ca="1">IF(G360=1,"-",Tabela2[[#This Row],[Dt Venc:]]-TODAY())</f>
        <v>-</v>
      </c>
      <c r="G360" s="3">
        <v>1</v>
      </c>
      <c r="H360" s="3"/>
    </row>
    <row r="361" spans="1:8" ht="18" hidden="1">
      <c r="A361" s="3">
        <v>1046828</v>
      </c>
      <c r="B361" s="7" t="s">
        <v>141</v>
      </c>
      <c r="C361" s="41">
        <v>1603.05</v>
      </c>
      <c r="D361" s="6">
        <v>45575</v>
      </c>
      <c r="E361" s="3" t="str">
        <f ca="1">IF(Tabela2[[#This Row],[Dt Venc:]]&gt;TODAY(),"Em Aberto",IF(Tabela2[[#This Row],[D/venc]]="-","Enviado",IF(Tabela2[[#This Row],[Dt Venc:]]=TODAY(),"Vence Hoje","Vencida")))</f>
        <v>Enviado</v>
      </c>
      <c r="F361" s="3" t="str">
        <f ca="1">IF(G361=1,"-",Tabela2[[#This Row],[Dt Venc:]]-TODAY())</f>
        <v>-</v>
      </c>
      <c r="G361" s="3">
        <v>1</v>
      </c>
      <c r="H361" s="3"/>
    </row>
    <row r="362" spans="1:8" ht="18" hidden="1">
      <c r="A362" s="3">
        <v>1046831</v>
      </c>
      <c r="B362" s="7" t="s">
        <v>141</v>
      </c>
      <c r="C362" s="41">
        <v>1318.32</v>
      </c>
      <c r="D362" s="6">
        <v>45575</v>
      </c>
      <c r="E362" s="3" t="str">
        <f ca="1">IF(Tabela2[[#This Row],[Dt Venc:]]&gt;TODAY(),"Em Aberto",IF(Tabela2[[#This Row],[D/venc]]="-","Enviado",IF(Tabela2[[#This Row],[Dt Venc:]]=TODAY(),"Vence Hoje","Vencida")))</f>
        <v>Enviado</v>
      </c>
      <c r="F362" s="3" t="str">
        <f ca="1">IF(G362=1,"-",Tabela2[[#This Row],[Dt Venc:]]-TODAY())</f>
        <v>-</v>
      </c>
      <c r="G362" s="3">
        <v>1</v>
      </c>
      <c r="H362" s="3"/>
    </row>
    <row r="363" spans="1:8" ht="18" hidden="1">
      <c r="A363" s="3">
        <v>10599</v>
      </c>
      <c r="B363" s="7" t="s">
        <v>72</v>
      </c>
      <c r="C363" s="41">
        <v>440</v>
      </c>
      <c r="D363" s="6">
        <v>45575</v>
      </c>
      <c r="E363" s="3" t="str">
        <f ca="1">IF(Tabela2[[#This Row],[Dt Venc:]]&gt;TODAY(),"Em Aberto",IF(Tabela2[[#This Row],[D/venc]]="-","Enviado",IF(Tabela2[[#This Row],[Dt Venc:]]=TODAY(),"Vence Hoje","Vencida")))</f>
        <v>Enviado</v>
      </c>
      <c r="F363" s="3" t="str">
        <f ca="1">IF(G363=1,"-",Tabela2[[#This Row],[Dt Venc:]]-TODAY())</f>
        <v>-</v>
      </c>
      <c r="G363" s="3">
        <v>1</v>
      </c>
      <c r="H363" s="3"/>
    </row>
    <row r="364" spans="1:8" ht="18" hidden="1">
      <c r="A364" s="3">
        <v>21756</v>
      </c>
      <c r="B364" s="7" t="s">
        <v>40</v>
      </c>
      <c r="C364" s="41">
        <v>7933.34</v>
      </c>
      <c r="D364" s="6">
        <v>45575</v>
      </c>
      <c r="E364" s="3" t="str">
        <f ca="1">IF(Tabela2[[#This Row],[Dt Venc:]]&gt;TODAY(),"Em Aberto",IF(Tabela2[[#This Row],[D/venc]]="-","Enviado",IF(Tabela2[[#This Row],[Dt Venc:]]=TODAY(),"Vence Hoje","Vencida")))</f>
        <v>Enviado</v>
      </c>
      <c r="F364" s="3" t="str">
        <f ca="1">IF(G364=1,"-",Tabela2[[#This Row],[Dt Venc:]]-TODAY())</f>
        <v>-</v>
      </c>
      <c r="G364" s="3">
        <v>1</v>
      </c>
      <c r="H364" s="3"/>
    </row>
    <row r="365" spans="1:8" ht="18" hidden="1">
      <c r="A365" s="3">
        <v>367368</v>
      </c>
      <c r="B365" s="7" t="s">
        <v>39</v>
      </c>
      <c r="C365" s="41">
        <v>1189.6300000000001</v>
      </c>
      <c r="D365" s="6">
        <v>45575</v>
      </c>
      <c r="E365" s="3" t="str">
        <f ca="1">IF(Tabela2[[#This Row],[Dt Venc:]]&gt;TODAY(),"Em Aberto",IF(Tabela2[[#This Row],[D/venc]]="-","Enviado",IF(Tabela2[[#This Row],[Dt Venc:]]=TODAY(),"Vence Hoje","Vencida")))</f>
        <v>Enviado</v>
      </c>
      <c r="F365" s="3" t="str">
        <f ca="1">IF(G365=1,"-",Tabela2[[#This Row],[Dt Venc:]]-TODAY())</f>
        <v>-</v>
      </c>
      <c r="G365" s="3">
        <v>1</v>
      </c>
      <c r="H365" s="3"/>
    </row>
    <row r="366" spans="1:8" ht="18" hidden="1">
      <c r="A366" s="3">
        <v>49307</v>
      </c>
      <c r="B366" s="7" t="s">
        <v>195</v>
      </c>
      <c r="C366" s="41">
        <v>214.78</v>
      </c>
      <c r="D366" s="6">
        <v>45575</v>
      </c>
      <c r="E366" s="3" t="str">
        <f ca="1">IF(Tabela2[[#This Row],[Dt Venc:]]&gt;TODAY(),"Em Aberto",IF(Tabela2[[#This Row],[D/venc]]="-","Enviado",IF(Tabela2[[#This Row],[Dt Venc:]]=TODAY(),"Vence Hoje","Vencida")))</f>
        <v>Enviado</v>
      </c>
      <c r="F366" s="3" t="str">
        <f ca="1">IF(G366=1,"-",Tabela2[[#This Row],[Dt Venc:]]-TODAY())</f>
        <v>-</v>
      </c>
      <c r="G366" s="3">
        <v>1</v>
      </c>
      <c r="H366" s="3"/>
    </row>
    <row r="367" spans="1:8" ht="18" hidden="1">
      <c r="A367" s="3">
        <v>10881</v>
      </c>
      <c r="B367" s="7" t="s">
        <v>33</v>
      </c>
      <c r="C367" s="41">
        <v>1593.33</v>
      </c>
      <c r="D367" s="6">
        <v>45575</v>
      </c>
      <c r="E367" s="3" t="str">
        <f ca="1">IF(Tabela2[[#This Row],[Dt Venc:]]&gt;TODAY(),"Em Aberto",IF(Tabela2[[#This Row],[D/venc]]="-","Enviado",IF(Tabela2[[#This Row],[Dt Venc:]]=TODAY(),"Vence Hoje","Vencida")))</f>
        <v>Enviado</v>
      </c>
      <c r="F367" s="3" t="str">
        <f ca="1">IF(G367=1,"-",Tabela2[[#This Row],[Dt Venc:]]-TODAY())</f>
        <v>-</v>
      </c>
      <c r="G367" s="3">
        <v>1</v>
      </c>
      <c r="H367" s="3"/>
    </row>
    <row r="368" spans="1:8" ht="18" hidden="1">
      <c r="A368" s="3">
        <v>607423</v>
      </c>
      <c r="B368" s="7" t="s">
        <v>196</v>
      </c>
      <c r="C368" s="41">
        <v>410.98</v>
      </c>
      <c r="D368" s="6">
        <v>45575</v>
      </c>
      <c r="E368" s="3" t="str">
        <f ca="1">IF(Tabela2[[#This Row],[Dt Venc:]]&gt;TODAY(),"Em Aberto",IF(Tabela2[[#This Row],[D/venc]]="-","Enviado",IF(Tabela2[[#This Row],[Dt Venc:]]=TODAY(),"Vence Hoje","Vencida")))</f>
        <v>Enviado</v>
      </c>
      <c r="F368" s="3" t="str">
        <f ca="1">IF(G368=1,"-",Tabela2[[#This Row],[Dt Venc:]]-TODAY())</f>
        <v>-</v>
      </c>
      <c r="G368" s="3">
        <v>1</v>
      </c>
      <c r="H368" s="3"/>
    </row>
    <row r="369" spans="1:8" ht="18" hidden="1">
      <c r="A369" s="3">
        <v>134182</v>
      </c>
      <c r="B369" s="7" t="s">
        <v>197</v>
      </c>
      <c r="C369" s="41">
        <v>433.66</v>
      </c>
      <c r="D369" s="6">
        <v>45575</v>
      </c>
      <c r="E369" s="3" t="str">
        <f ca="1">IF(Tabela2[[#This Row],[Dt Venc:]]&gt;TODAY(),"Em Aberto",IF(Tabela2[[#This Row],[D/venc]]="-","Enviado",IF(Tabela2[[#This Row],[Dt Venc:]]=TODAY(),"Vence Hoje","Vencida")))</f>
        <v>Enviado</v>
      </c>
      <c r="F369" s="3" t="str">
        <f ca="1">IF(G369=1,"-",Tabela2[[#This Row],[Dt Venc:]]-TODAY())</f>
        <v>-</v>
      </c>
      <c r="G369" s="3">
        <v>1</v>
      </c>
      <c r="H369" s="3"/>
    </row>
    <row r="370" spans="1:8" ht="18" hidden="1">
      <c r="A370" s="3">
        <v>8379</v>
      </c>
      <c r="B370" s="7" t="s">
        <v>105</v>
      </c>
      <c r="C370" s="41">
        <v>2650</v>
      </c>
      <c r="D370" s="6">
        <v>45575</v>
      </c>
      <c r="E370" s="3" t="str">
        <f ca="1">IF(Tabela2[[#This Row],[Dt Venc:]]&gt;TODAY(),"Em Aberto",IF(Tabela2[[#This Row],[D/venc]]="-","Enviado",IF(Tabela2[[#This Row],[Dt Venc:]]=TODAY(),"Vence Hoje","Vencida")))</f>
        <v>Enviado</v>
      </c>
      <c r="F370" s="3" t="str">
        <f ca="1">IF(G370=1,"-",Tabela2[[#This Row],[Dt Venc:]]-TODAY())</f>
        <v>-</v>
      </c>
      <c r="G370" s="3">
        <v>1</v>
      </c>
      <c r="H370" s="3"/>
    </row>
    <row r="371" spans="1:8" ht="18" hidden="1">
      <c r="A371" s="3">
        <v>2539</v>
      </c>
      <c r="B371" s="7" t="s">
        <v>198</v>
      </c>
      <c r="C371" s="41">
        <v>240</v>
      </c>
      <c r="D371" s="6">
        <v>45575</v>
      </c>
      <c r="E371" s="3" t="str">
        <f ca="1">IF(Tabela2[[#This Row],[Dt Venc:]]&gt;TODAY(),"Em Aberto",IF(Tabela2[[#This Row],[D/venc]]="-","Enviado",IF(Tabela2[[#This Row],[Dt Venc:]]=TODAY(),"Vence Hoje","Vencida")))</f>
        <v>Enviado</v>
      </c>
      <c r="F371" s="3" t="str">
        <f ca="1">IF(G371=1,"-",Tabela2[[#This Row],[Dt Venc:]]-TODAY())</f>
        <v>-</v>
      </c>
      <c r="G371" s="3">
        <v>1</v>
      </c>
      <c r="H371" s="3"/>
    </row>
    <row r="372" spans="1:8" ht="18" hidden="1">
      <c r="A372" s="3">
        <v>962924</v>
      </c>
      <c r="B372" s="7" t="s">
        <v>181</v>
      </c>
      <c r="C372" s="41">
        <v>525</v>
      </c>
      <c r="D372" s="6">
        <v>45575</v>
      </c>
      <c r="E372" s="3" t="str">
        <f ca="1">IF(Tabela2[[#This Row],[Dt Venc:]]&gt;TODAY(),"Em Aberto",IF(Tabela2[[#This Row],[D/venc]]="-","Enviado",IF(Tabela2[[#This Row],[Dt Venc:]]=TODAY(),"Vence Hoje","Vencida")))</f>
        <v>Enviado</v>
      </c>
      <c r="F372" s="3" t="str">
        <f ca="1">IF(G372=1,"-",Tabela2[[#This Row],[Dt Venc:]]-TODAY())</f>
        <v>-</v>
      </c>
      <c r="G372" s="3">
        <v>1</v>
      </c>
      <c r="H372" s="3"/>
    </row>
    <row r="373" spans="1:8" ht="18" hidden="1">
      <c r="A373" s="3">
        <v>963139</v>
      </c>
      <c r="B373" s="7" t="s">
        <v>181</v>
      </c>
      <c r="C373" s="41">
        <v>540</v>
      </c>
      <c r="D373" s="6">
        <v>45575</v>
      </c>
      <c r="E373" s="3" t="str">
        <f ca="1">IF(Tabela2[[#This Row],[Dt Venc:]]&gt;TODAY(),"Em Aberto",IF(Tabela2[[#This Row],[D/venc]]="-","Enviado",IF(Tabela2[[#This Row],[Dt Venc:]]=TODAY(),"Vence Hoje","Vencida")))</f>
        <v>Enviado</v>
      </c>
      <c r="F373" s="3" t="str">
        <f ca="1">IF(G373=1,"-",Tabela2[[#This Row],[Dt Venc:]]-TODAY())</f>
        <v>-</v>
      </c>
      <c r="G373" s="3">
        <v>1</v>
      </c>
      <c r="H373" s="3"/>
    </row>
    <row r="374" spans="1:8" ht="18" hidden="1">
      <c r="A374" s="3">
        <v>9551903</v>
      </c>
      <c r="B374" s="7" t="s">
        <v>181</v>
      </c>
      <c r="C374" s="41">
        <v>1260</v>
      </c>
      <c r="D374" s="6">
        <v>45575</v>
      </c>
      <c r="E374" s="3" t="str">
        <f ca="1">IF(Tabela2[[#This Row],[Dt Venc:]]&gt;TODAY(),"Em Aberto",IF(Tabela2[[#This Row],[D/venc]]="-","Enviado",IF(Tabela2[[#This Row],[Dt Venc:]]=TODAY(),"Vence Hoje","Vencida")))</f>
        <v>Enviado</v>
      </c>
      <c r="F374" s="3" t="str">
        <f ca="1">IF(G374=1,"-",Tabela2[[#This Row],[Dt Venc:]]-TODAY())</f>
        <v>-</v>
      </c>
      <c r="G374" s="3">
        <v>1</v>
      </c>
      <c r="H374" s="3"/>
    </row>
    <row r="375" spans="1:8" ht="18" hidden="1">
      <c r="A375" s="3">
        <v>9551644</v>
      </c>
      <c r="B375" s="7" t="s">
        <v>181</v>
      </c>
      <c r="C375" s="41">
        <v>1225</v>
      </c>
      <c r="D375" s="6">
        <v>45575</v>
      </c>
      <c r="E375" s="3" t="str">
        <f ca="1">IF(Tabela2[[#This Row],[Dt Venc:]]&gt;TODAY(),"Em Aberto",IF(Tabela2[[#This Row],[D/venc]]="-","Enviado",IF(Tabela2[[#This Row],[Dt Venc:]]=TODAY(),"Vence Hoje","Vencida")))</f>
        <v>Enviado</v>
      </c>
      <c r="F375" s="3" t="str">
        <f ca="1">IF(G375=1,"-",Tabela2[[#This Row],[Dt Venc:]]-TODAY())</f>
        <v>-</v>
      </c>
      <c r="G375" s="3">
        <v>1</v>
      </c>
      <c r="H375" s="3"/>
    </row>
    <row r="376" spans="1:8" ht="18" hidden="1">
      <c r="A376" s="3">
        <v>2467</v>
      </c>
      <c r="B376" s="7" t="s">
        <v>199</v>
      </c>
      <c r="C376" s="41">
        <v>11266.51</v>
      </c>
      <c r="D376" s="6">
        <v>45575</v>
      </c>
      <c r="E376" s="3" t="str">
        <f ca="1">IF(Tabela2[[#This Row],[Dt Venc:]]&gt;TODAY(),"Em Aberto",IF(Tabela2[[#This Row],[D/venc]]="-","Enviado",IF(Tabela2[[#This Row],[Dt Venc:]]=TODAY(),"Vence Hoje","Vencida")))</f>
        <v>Enviado</v>
      </c>
      <c r="F376" s="3" t="str">
        <f ca="1">IF(G376=1,"-",Tabela2[[#This Row],[Dt Venc:]]-TODAY())</f>
        <v>-</v>
      </c>
      <c r="G376" s="3">
        <v>1</v>
      </c>
      <c r="H376" s="3"/>
    </row>
    <row r="377" spans="1:8" ht="18" hidden="1">
      <c r="A377" s="3">
        <v>2475954</v>
      </c>
      <c r="B377" s="7" t="s">
        <v>59</v>
      </c>
      <c r="C377" s="41">
        <v>80041.5</v>
      </c>
      <c r="D377" s="6">
        <v>45575</v>
      </c>
      <c r="E377" s="3" t="str">
        <f ca="1">IF(Tabela2[[#This Row],[Dt Venc:]]&gt;TODAY(),"Em Aberto",IF(Tabela2[[#This Row],[D/venc]]="-","Enviado",IF(Tabela2[[#This Row],[Dt Venc:]]=TODAY(),"Vence Hoje","Vencida")))</f>
        <v>Enviado</v>
      </c>
      <c r="F377" s="3" t="str">
        <f ca="1">IF(G377=1,"-",Tabela2[[#This Row],[Dt Venc:]]-TODAY())</f>
        <v>-</v>
      </c>
      <c r="G377" s="3">
        <v>1</v>
      </c>
      <c r="H377" s="3"/>
    </row>
    <row r="378" spans="1:8" ht="18" hidden="1">
      <c r="A378" s="3">
        <v>202108</v>
      </c>
      <c r="B378" s="7" t="s">
        <v>200</v>
      </c>
      <c r="C378" s="41">
        <v>800</v>
      </c>
      <c r="D378" s="6">
        <v>45575</v>
      </c>
      <c r="E378" s="3" t="str">
        <f ca="1">IF(Tabela2[[#This Row],[Dt Venc:]]&gt;TODAY(),"Em Aberto",IF(Tabela2[[#This Row],[D/venc]]="-","Enviado",IF(Tabela2[[#This Row],[Dt Venc:]]=TODAY(),"Vence Hoje","Vencida")))</f>
        <v>Enviado</v>
      </c>
      <c r="F378" s="3" t="str">
        <f ca="1">IF(G378=1,"-",Tabela2[[#This Row],[Dt Venc:]]-TODAY())</f>
        <v>-</v>
      </c>
      <c r="G378" s="3">
        <v>1</v>
      </c>
      <c r="H378" s="3"/>
    </row>
    <row r="379" spans="1:8" ht="18" hidden="1">
      <c r="A379" s="3" t="s">
        <v>123</v>
      </c>
      <c r="B379" s="7" t="s">
        <v>201</v>
      </c>
      <c r="C379" s="87" t="s">
        <v>32</v>
      </c>
      <c r="D379" s="6">
        <v>45575</v>
      </c>
      <c r="E379" s="3" t="str">
        <f ca="1">IF(Tabela2[[#This Row],[Dt Venc:]]&gt;TODAY(),"Em Aberto",IF(Tabela2[[#This Row],[D/venc]]="-","Enviado",IF(Tabela2[[#This Row],[Dt Venc:]]=TODAY(),"Vence Hoje","Vencida")))</f>
        <v>Enviado</v>
      </c>
      <c r="F379" s="3" t="str">
        <f ca="1">IF(G379=1,"-",Tabela2[[#This Row],[Dt Venc:]]-TODAY())</f>
        <v>-</v>
      </c>
      <c r="G379" s="3">
        <v>1</v>
      </c>
      <c r="H379" s="3"/>
    </row>
    <row r="380" spans="1:8" ht="18" hidden="1">
      <c r="A380" s="3">
        <v>43060</v>
      </c>
      <c r="B380" s="7" t="s">
        <v>144</v>
      </c>
      <c r="C380" s="41">
        <v>618</v>
      </c>
      <c r="D380" s="6">
        <v>45575</v>
      </c>
      <c r="E380" s="3" t="str">
        <f ca="1">IF(Tabela2[[#This Row],[Dt Venc:]]&gt;TODAY(),"Em Aberto",IF(Tabela2[[#This Row],[D/venc]]="-","Enviado",IF(Tabela2[[#This Row],[Dt Venc:]]=TODAY(),"Vence Hoje","Vencida")))</f>
        <v>Enviado</v>
      </c>
      <c r="F380" s="3" t="str">
        <f ca="1">IF(G380=1,"-",Tabela2[[#This Row],[Dt Venc:]]-TODAY())</f>
        <v>-</v>
      </c>
      <c r="G380" s="3">
        <v>1</v>
      </c>
      <c r="H380" s="3"/>
    </row>
    <row r="381" spans="1:8" ht="18" hidden="1">
      <c r="A381" s="3">
        <v>361319</v>
      </c>
      <c r="B381" s="7" t="s">
        <v>202</v>
      </c>
      <c r="C381" s="41">
        <v>30</v>
      </c>
      <c r="D381" s="6">
        <v>45575</v>
      </c>
      <c r="E381" s="3" t="str">
        <f ca="1">IF(Tabela2[[#This Row],[Dt Venc:]]&gt;TODAY(),"Em Aberto",IF(Tabela2[[#This Row],[D/venc]]="-","Enviado",IF(Tabela2[[#This Row],[Dt Venc:]]=TODAY(),"Vence Hoje","Vencida")))</f>
        <v>Enviado</v>
      </c>
      <c r="F381" s="3" t="str">
        <f ca="1">IF(G381=1,"-",Tabela2[[#This Row],[Dt Venc:]]-TODAY())</f>
        <v>-</v>
      </c>
      <c r="G381" s="3">
        <v>1</v>
      </c>
      <c r="H381" s="3"/>
    </row>
    <row r="382" spans="1:8" ht="18" hidden="1">
      <c r="A382" s="3">
        <v>297827</v>
      </c>
      <c r="B382" s="7" t="s">
        <v>202</v>
      </c>
      <c r="C382" s="41">
        <v>90</v>
      </c>
      <c r="D382" s="6">
        <v>45575</v>
      </c>
      <c r="E382" s="3" t="str">
        <f ca="1">IF(Tabela2[[#This Row],[Dt Venc:]]&gt;TODAY(),"Em Aberto",IF(Tabela2[[#This Row],[D/venc]]="-","Enviado",IF(Tabela2[[#This Row],[Dt Venc:]]=TODAY(),"Vence Hoje","Vencida")))</f>
        <v>Enviado</v>
      </c>
      <c r="F382" s="3" t="str">
        <f ca="1">IF(G382=1,"-",Tabela2[[#This Row],[Dt Venc:]]-TODAY())</f>
        <v>-</v>
      </c>
      <c r="G382" s="3">
        <v>1</v>
      </c>
      <c r="H382" s="3"/>
    </row>
    <row r="383" spans="1:8" ht="18" hidden="1">
      <c r="A383" s="3">
        <v>140633</v>
      </c>
      <c r="B383" s="7" t="s">
        <v>60</v>
      </c>
      <c r="C383" s="41">
        <v>390</v>
      </c>
      <c r="D383" s="6">
        <v>45575</v>
      </c>
      <c r="E383" s="3" t="str">
        <f ca="1">IF(Tabela2[[#This Row],[Dt Venc:]]&gt;TODAY(),"Em Aberto",IF(Tabela2[[#This Row],[D/venc]]="-","Enviado",IF(Tabela2[[#This Row],[Dt Venc:]]=TODAY(),"Vence Hoje","Vencida")))</f>
        <v>Enviado</v>
      </c>
      <c r="F383" s="3" t="str">
        <f ca="1">IF(G383=1,"-",Tabela2[[#This Row],[Dt Venc:]]-TODAY())</f>
        <v>-</v>
      </c>
      <c r="G383" s="3">
        <v>1</v>
      </c>
      <c r="H383" s="3"/>
    </row>
    <row r="384" spans="1:8" ht="18" hidden="1">
      <c r="A384" s="3">
        <v>140602</v>
      </c>
      <c r="B384" s="7" t="s">
        <v>60</v>
      </c>
      <c r="C384" s="41">
        <v>390</v>
      </c>
      <c r="D384" s="6">
        <v>45575</v>
      </c>
      <c r="E384" s="3" t="str">
        <f ca="1">IF(Tabela2[[#This Row],[Dt Venc:]]&gt;TODAY(),"Em Aberto",IF(Tabela2[[#This Row],[D/venc]]="-","Enviado",IF(Tabela2[[#This Row],[Dt Venc:]]=TODAY(),"Vence Hoje","Vencida")))</f>
        <v>Enviado</v>
      </c>
      <c r="F384" s="3" t="str">
        <f ca="1">IF(G384=1,"-",Tabela2[[#This Row],[Dt Venc:]]-TODAY())</f>
        <v>-</v>
      </c>
      <c r="G384" s="3">
        <v>1</v>
      </c>
      <c r="H384" s="3"/>
    </row>
    <row r="385" spans="1:8" ht="18" hidden="1">
      <c r="A385" s="3">
        <v>140603</v>
      </c>
      <c r="B385" s="7" t="s">
        <v>60</v>
      </c>
      <c r="C385" s="41">
        <v>390</v>
      </c>
      <c r="D385" s="6">
        <v>45575</v>
      </c>
      <c r="E385" s="3" t="str">
        <f ca="1">IF(Tabela2[[#This Row],[Dt Venc:]]&gt;TODAY(),"Em Aberto",IF(Tabela2[[#This Row],[D/venc]]="-","Enviado",IF(Tabela2[[#This Row],[Dt Venc:]]=TODAY(),"Vence Hoje","Vencida")))</f>
        <v>Enviado</v>
      </c>
      <c r="F385" s="3" t="str">
        <f ca="1">IF(G385=1,"-",Tabela2[[#This Row],[Dt Venc:]]-TODAY())</f>
        <v>-</v>
      </c>
      <c r="G385" s="3">
        <v>1</v>
      </c>
      <c r="H385" s="3"/>
    </row>
    <row r="386" spans="1:8" ht="18" hidden="1">
      <c r="A386" s="3">
        <v>140601</v>
      </c>
      <c r="B386" s="7" t="s">
        <v>60</v>
      </c>
      <c r="C386" s="41">
        <v>390</v>
      </c>
      <c r="D386" s="6">
        <v>45575</v>
      </c>
      <c r="E386" s="3" t="str">
        <f ca="1">IF(Tabela2[[#This Row],[Dt Venc:]]&gt;TODAY(),"Em Aberto",IF(Tabela2[[#This Row],[D/venc]]="-","Enviado",IF(Tabela2[[#This Row],[Dt Venc:]]=TODAY(),"Vence Hoje","Vencida")))</f>
        <v>Enviado</v>
      </c>
      <c r="F386" s="3" t="str">
        <f ca="1">IF(G386=1,"-",Tabela2[[#This Row],[Dt Venc:]]-TODAY())</f>
        <v>-</v>
      </c>
      <c r="G386" s="3">
        <v>1</v>
      </c>
      <c r="H386" s="3"/>
    </row>
    <row r="387" spans="1:8" ht="18" hidden="1">
      <c r="A387" s="3">
        <v>140606</v>
      </c>
      <c r="B387" s="7" t="s">
        <v>60</v>
      </c>
      <c r="C387" s="41">
        <v>390</v>
      </c>
      <c r="D387" s="6">
        <v>45575</v>
      </c>
      <c r="E387" s="3" t="str">
        <f ca="1">IF(Tabela2[[#This Row],[Dt Venc:]]&gt;TODAY(),"Em Aberto",IF(Tabela2[[#This Row],[D/venc]]="-","Enviado",IF(Tabela2[[#This Row],[Dt Venc:]]=TODAY(),"Vence Hoje","Vencida")))</f>
        <v>Enviado</v>
      </c>
      <c r="F387" s="3" t="str">
        <f ca="1">IF(G387=1,"-",Tabela2[[#This Row],[Dt Venc:]]-TODAY())</f>
        <v>-</v>
      </c>
      <c r="G387" s="3">
        <v>1</v>
      </c>
      <c r="H387" s="3"/>
    </row>
    <row r="388" spans="1:8" ht="18" hidden="1">
      <c r="A388" s="3">
        <v>140611</v>
      </c>
      <c r="B388" s="7" t="s">
        <v>60</v>
      </c>
      <c r="C388" s="41">
        <v>390</v>
      </c>
      <c r="D388" s="6">
        <v>45575</v>
      </c>
      <c r="E388" s="3" t="str">
        <f ca="1">IF(Tabela2[[#This Row],[Dt Venc:]]&gt;TODAY(),"Em Aberto",IF(Tabela2[[#This Row],[D/venc]]="-","Enviado",IF(Tabela2[[#This Row],[Dt Venc:]]=TODAY(),"Vence Hoje","Vencida")))</f>
        <v>Enviado</v>
      </c>
      <c r="F388" s="3" t="str">
        <f ca="1">IF(G388=1,"-",Tabela2[[#This Row],[Dt Venc:]]-TODAY())</f>
        <v>-</v>
      </c>
      <c r="G388" s="3">
        <v>1</v>
      </c>
      <c r="H388" s="3"/>
    </row>
    <row r="389" spans="1:8" ht="18" hidden="1">
      <c r="A389" s="3">
        <v>140626</v>
      </c>
      <c r="B389" s="7" t="s">
        <v>60</v>
      </c>
      <c r="C389" s="41">
        <v>390</v>
      </c>
      <c r="D389" s="6">
        <v>45575</v>
      </c>
      <c r="E389" s="3" t="str">
        <f ca="1">IF(Tabela2[[#This Row],[Dt Venc:]]&gt;TODAY(),"Em Aberto",IF(Tabela2[[#This Row],[D/venc]]="-","Enviado",IF(Tabela2[[#This Row],[Dt Venc:]]=TODAY(),"Vence Hoje","Vencida")))</f>
        <v>Enviado</v>
      </c>
      <c r="F389" s="3" t="str">
        <f ca="1">IF(G389=1,"-",Tabela2[[#This Row],[Dt Venc:]]-TODAY())</f>
        <v>-</v>
      </c>
      <c r="G389" s="3">
        <v>1</v>
      </c>
      <c r="H389" s="3"/>
    </row>
    <row r="390" spans="1:8" ht="18" hidden="1">
      <c r="A390" s="3">
        <v>140621</v>
      </c>
      <c r="B390" s="7" t="s">
        <v>60</v>
      </c>
      <c r="C390" s="41">
        <v>390</v>
      </c>
      <c r="D390" s="6">
        <v>45575</v>
      </c>
      <c r="E390" s="3" t="str">
        <f ca="1">IF(Tabela2[[#This Row],[Dt Venc:]]&gt;TODAY(),"Em Aberto",IF(Tabela2[[#This Row],[D/venc]]="-","Enviado",IF(Tabela2[[#This Row],[Dt Venc:]]=TODAY(),"Vence Hoje","Vencida")))</f>
        <v>Enviado</v>
      </c>
      <c r="F390" s="3" t="str">
        <f ca="1">IF(G390=1,"-",Tabela2[[#This Row],[Dt Venc:]]-TODAY())</f>
        <v>-</v>
      </c>
      <c r="G390" s="3">
        <v>1</v>
      </c>
      <c r="H390" s="3"/>
    </row>
    <row r="391" spans="1:8" ht="18" hidden="1">
      <c r="A391" s="3">
        <v>140628</v>
      </c>
      <c r="B391" s="7" t="s">
        <v>60</v>
      </c>
      <c r="C391" s="41">
        <v>390</v>
      </c>
      <c r="D391" s="6">
        <v>45575</v>
      </c>
      <c r="E391" s="3" t="str">
        <f ca="1">IF(Tabela2[[#This Row],[Dt Venc:]]&gt;TODAY(),"Em Aberto",IF(Tabela2[[#This Row],[D/venc]]="-","Enviado",IF(Tabela2[[#This Row],[Dt Venc:]]=TODAY(),"Vence Hoje","Vencida")))</f>
        <v>Enviado</v>
      </c>
      <c r="F391" s="3" t="str">
        <f ca="1">IF(G391=1,"-",Tabela2[[#This Row],[Dt Venc:]]-TODAY())</f>
        <v>-</v>
      </c>
      <c r="G391" s="3">
        <v>1</v>
      </c>
      <c r="H391" s="3"/>
    </row>
    <row r="392" spans="1:8" ht="18" hidden="1">
      <c r="A392" s="3">
        <v>17139</v>
      </c>
      <c r="B392" s="7" t="s">
        <v>203</v>
      </c>
      <c r="C392" s="41">
        <v>800</v>
      </c>
      <c r="D392" s="6">
        <v>45575</v>
      </c>
      <c r="E392" s="3" t="str">
        <f ca="1">IF(Tabela2[[#This Row],[Dt Venc:]]&gt;TODAY(),"Em Aberto",IF(Tabela2[[#This Row],[D/venc]]="-","Enviado",IF(Tabela2[[#This Row],[Dt Venc:]]=TODAY(),"Vence Hoje","Vencida")))</f>
        <v>Enviado</v>
      </c>
      <c r="F392" s="3" t="str">
        <f ca="1">IF(G392=1,"-",Tabela2[[#This Row],[Dt Venc:]]-TODAY())</f>
        <v>-</v>
      </c>
      <c r="G392" s="3">
        <v>1</v>
      </c>
      <c r="H392" s="3"/>
    </row>
    <row r="393" spans="1:8" ht="18" hidden="1">
      <c r="A393" s="3">
        <v>17129</v>
      </c>
      <c r="B393" s="7" t="s">
        <v>203</v>
      </c>
      <c r="C393" s="41">
        <v>800</v>
      </c>
      <c r="D393" s="6">
        <v>45575</v>
      </c>
      <c r="E393" s="3" t="str">
        <f ca="1">IF(Tabela2[[#This Row],[Dt Venc:]]&gt;TODAY(),"Em Aberto",IF(Tabela2[[#This Row],[D/venc]]="-","Enviado",IF(Tabela2[[#This Row],[Dt Venc:]]=TODAY(),"Vence Hoje","Vencida")))</f>
        <v>Enviado</v>
      </c>
      <c r="F393" s="3" t="str">
        <f ca="1">IF(G393=1,"-",Tabela2[[#This Row],[Dt Venc:]]-TODAY())</f>
        <v>-</v>
      </c>
      <c r="G393" s="3">
        <v>1</v>
      </c>
      <c r="H393" s="3"/>
    </row>
    <row r="394" spans="1:8" ht="18" hidden="1">
      <c r="A394" s="3">
        <v>14098</v>
      </c>
      <c r="B394" s="7" t="s">
        <v>102</v>
      </c>
      <c r="C394" s="41">
        <v>560</v>
      </c>
      <c r="D394" s="6">
        <v>45575</v>
      </c>
      <c r="E394" s="3" t="str">
        <f ca="1">IF(Tabela2[[#This Row],[Dt Venc:]]&gt;TODAY(),"Em Aberto",IF(Tabela2[[#This Row],[D/venc]]="-","Enviado",IF(Tabela2[[#This Row],[Dt Venc:]]=TODAY(),"Vence Hoje","Vencida")))</f>
        <v>Enviado</v>
      </c>
      <c r="F394" s="3" t="str">
        <f ca="1">IF(G394=1,"-",Tabela2[[#This Row],[Dt Venc:]]-TODAY())</f>
        <v>-</v>
      </c>
      <c r="G394" s="3">
        <v>1</v>
      </c>
      <c r="H394" s="3"/>
    </row>
    <row r="395" spans="1:8" ht="18" hidden="1">
      <c r="A395" s="3">
        <v>2006</v>
      </c>
      <c r="B395" s="7" t="s">
        <v>96</v>
      </c>
      <c r="C395" s="41">
        <v>600</v>
      </c>
      <c r="D395" s="6">
        <v>45575</v>
      </c>
      <c r="E395" s="3" t="str">
        <f ca="1">IF(Tabela2[[#This Row],[Dt Venc:]]&gt;TODAY(),"Em Aberto",IF(Tabela2[[#This Row],[D/venc]]="-","Enviado",IF(Tabela2[[#This Row],[Dt Venc:]]=TODAY(),"Vence Hoje","Vencida")))</f>
        <v>Enviado</v>
      </c>
      <c r="F395" s="3" t="str">
        <f ca="1">IF(G395=1,"-",Tabela2[[#This Row],[Dt Venc:]]-TODAY())</f>
        <v>-</v>
      </c>
      <c r="G395" s="3">
        <v>1</v>
      </c>
      <c r="H395" s="3"/>
    </row>
    <row r="396" spans="1:8" ht="18" hidden="1">
      <c r="A396" s="3">
        <v>13255</v>
      </c>
      <c r="B396" s="7" t="s">
        <v>204</v>
      </c>
      <c r="C396" s="41">
        <v>583.33000000000004</v>
      </c>
      <c r="D396" s="6">
        <v>45575</v>
      </c>
      <c r="E396" s="3" t="str">
        <f ca="1">IF(Tabela2[[#This Row],[Dt Venc:]]&gt;TODAY(),"Em Aberto",IF(Tabela2[[#This Row],[D/venc]]="-","Enviado",IF(Tabela2[[#This Row],[Dt Venc:]]=TODAY(),"Vence Hoje","Vencida")))</f>
        <v>Enviado</v>
      </c>
      <c r="F396" s="3" t="str">
        <f ca="1">IF(G396=1,"-",Tabela2[[#This Row],[Dt Venc:]]-TODAY())</f>
        <v>-</v>
      </c>
      <c r="G396" s="3">
        <v>1</v>
      </c>
      <c r="H396" s="3"/>
    </row>
    <row r="397" spans="1:8" ht="18" hidden="1">
      <c r="A397" s="3">
        <v>37292</v>
      </c>
      <c r="B397" s="7" t="s">
        <v>167</v>
      </c>
      <c r="C397" s="84" t="s">
        <v>32</v>
      </c>
      <c r="D397" s="6">
        <v>45576</v>
      </c>
      <c r="E397" s="3" t="str">
        <f ca="1">IF(Tabela2[[#This Row],[Dt Venc:]]&gt;TODAY(),"Em Aberto",IF(Tabela2[[#This Row],[D/venc]]="-","Enviado",IF(Tabela2[[#This Row],[Dt Venc:]]=TODAY(),"Vence Hoje","Vencida")))</f>
        <v>Enviado</v>
      </c>
      <c r="F397" s="3" t="str">
        <f ca="1">IF(G397=1,"-",Tabela2[[#This Row],[Dt Venc:]]-TODAY())</f>
        <v>-</v>
      </c>
      <c r="G397" s="3">
        <v>1</v>
      </c>
      <c r="H397" s="3"/>
    </row>
    <row r="398" spans="1:8" ht="18" hidden="1">
      <c r="A398" s="3">
        <v>37327</v>
      </c>
      <c r="B398" s="7" t="s">
        <v>167</v>
      </c>
      <c r="C398" s="84" t="s">
        <v>32</v>
      </c>
      <c r="D398" s="6">
        <v>45576</v>
      </c>
      <c r="E398" s="3" t="str">
        <f ca="1">IF(Tabela2[[#This Row],[Dt Venc:]]&gt;TODAY(),"Em Aberto",IF(Tabela2[[#This Row],[D/venc]]="-","Enviado",IF(Tabela2[[#This Row],[Dt Venc:]]=TODAY(),"Vence Hoje","Vencida")))</f>
        <v>Enviado</v>
      </c>
      <c r="F398" s="3" t="str">
        <f ca="1">IF(G398=1,"-",Tabela2[[#This Row],[Dt Venc:]]-TODAY())</f>
        <v>-</v>
      </c>
      <c r="G398" s="3">
        <v>1</v>
      </c>
      <c r="H398" s="3"/>
    </row>
    <row r="399" spans="1:8" ht="18" hidden="1">
      <c r="A399" s="3" t="s">
        <v>110</v>
      </c>
      <c r="B399" s="7" t="s">
        <v>205</v>
      </c>
      <c r="C399" s="42" t="s">
        <v>32</v>
      </c>
      <c r="D399" s="6">
        <v>45576</v>
      </c>
      <c r="E399" s="3" t="str">
        <f ca="1">IF(Tabela2[[#This Row],[Dt Venc:]]&gt;TODAY(),"Em Aberto",IF(Tabela2[[#This Row],[D/venc]]="-","Enviado",IF(Tabela2[[#This Row],[Dt Venc:]]=TODAY(),"Vence Hoje","Vencida")))</f>
        <v>Enviado</v>
      </c>
      <c r="F399" s="3" t="str">
        <f ca="1">IF(G399=1,"-",Tabela2[[#This Row],[Dt Venc:]]-TODAY())</f>
        <v>-</v>
      </c>
      <c r="G399" s="3">
        <v>1</v>
      </c>
      <c r="H399" s="3"/>
    </row>
    <row r="400" spans="1:8" ht="18" hidden="1">
      <c r="A400" s="3">
        <v>217402</v>
      </c>
      <c r="B400" s="7" t="s">
        <v>127</v>
      </c>
      <c r="C400" s="42">
        <v>843.7</v>
      </c>
      <c r="D400" s="6">
        <v>45576</v>
      </c>
      <c r="E400" s="3" t="str">
        <f ca="1">IF(Tabela2[[#This Row],[Dt Venc:]]&gt;TODAY(),"Em Aberto",IF(Tabela2[[#This Row],[D/venc]]="-","Enviado",IF(Tabela2[[#This Row],[Dt Venc:]]=TODAY(),"Vence Hoje","Vencida")))</f>
        <v>Enviado</v>
      </c>
      <c r="F400" s="3" t="str">
        <f ca="1">IF(G400=1,"-",Tabela2[[#This Row],[Dt Venc:]]-TODAY())</f>
        <v>-</v>
      </c>
      <c r="G400" s="3">
        <v>1</v>
      </c>
      <c r="H400" s="3"/>
    </row>
    <row r="401" spans="1:8" ht="18" hidden="1">
      <c r="A401" s="3">
        <v>1419</v>
      </c>
      <c r="B401" s="7" t="s">
        <v>78</v>
      </c>
      <c r="C401" s="42">
        <v>264</v>
      </c>
      <c r="D401" s="6">
        <v>45576</v>
      </c>
      <c r="E401" s="3" t="str">
        <f ca="1">IF(Tabela2[[#This Row],[Dt Venc:]]&gt;TODAY(),"Em Aberto",IF(Tabela2[[#This Row],[D/venc]]="-","Enviado",IF(Tabela2[[#This Row],[Dt Venc:]]=TODAY(),"Vence Hoje","Vencida")))</f>
        <v>Enviado</v>
      </c>
      <c r="F401" s="3" t="str">
        <f ca="1">IF(G401=1,"-",Tabela2[[#This Row],[Dt Venc:]]-TODAY())</f>
        <v>-</v>
      </c>
      <c r="G401" s="3">
        <v>1</v>
      </c>
      <c r="H401" s="3"/>
    </row>
    <row r="402" spans="1:8" ht="18" hidden="1">
      <c r="A402" s="3">
        <v>185287</v>
      </c>
      <c r="B402" s="7" t="s">
        <v>206</v>
      </c>
      <c r="C402" s="42">
        <v>1932.29</v>
      </c>
      <c r="D402" s="6">
        <v>45576</v>
      </c>
      <c r="E402" s="3" t="str">
        <f ca="1">IF(Tabela2[[#This Row],[Dt Venc:]]&gt;TODAY(),"Em Aberto",IF(Tabela2[[#This Row],[D/venc]]="-","Enviado",IF(Tabela2[[#This Row],[Dt Venc:]]=TODAY(),"Vence Hoje","Vencida")))</f>
        <v>Enviado</v>
      </c>
      <c r="F402" s="3" t="str">
        <f ca="1">IF(G402=1,"-",Tabela2[[#This Row],[Dt Venc:]]-TODAY())</f>
        <v>-</v>
      </c>
      <c r="G402" s="3">
        <v>1</v>
      </c>
      <c r="H402" s="3"/>
    </row>
    <row r="403" spans="1:8" ht="18" hidden="1">
      <c r="A403" s="3">
        <v>599544</v>
      </c>
      <c r="B403" s="7" t="s">
        <v>66</v>
      </c>
      <c r="C403" s="42">
        <v>668.25</v>
      </c>
      <c r="D403" s="6">
        <v>45576</v>
      </c>
      <c r="E403" s="3" t="str">
        <f ca="1">IF(Tabela2[[#This Row],[Dt Venc:]]&gt;TODAY(),"Em Aberto",IF(Tabela2[[#This Row],[D/venc]]="-","Enviado",IF(Tabela2[[#This Row],[Dt Venc:]]=TODAY(),"Vence Hoje","Vencida")))</f>
        <v>Enviado</v>
      </c>
      <c r="F403" s="3" t="str">
        <f ca="1">IF(G403=1,"-",Tabela2[[#This Row],[Dt Venc:]]-TODAY())</f>
        <v>-</v>
      </c>
      <c r="G403" s="3">
        <v>1</v>
      </c>
      <c r="H403" s="3"/>
    </row>
    <row r="404" spans="1:8" ht="18" hidden="1">
      <c r="A404" s="3">
        <v>599553</v>
      </c>
      <c r="B404" s="7" t="s">
        <v>138</v>
      </c>
      <c r="C404" s="42">
        <v>448.8</v>
      </c>
      <c r="D404" s="6">
        <v>45576</v>
      </c>
      <c r="E404" s="3" t="str">
        <f ca="1">IF(Tabela2[[#This Row],[Dt Venc:]]&gt;TODAY(),"Em Aberto",IF(Tabela2[[#This Row],[D/venc]]="-","Enviado",IF(Tabela2[[#This Row],[Dt Venc:]]=TODAY(),"Vence Hoje","Vencida")))</f>
        <v>Enviado</v>
      </c>
      <c r="F404" s="3" t="str">
        <f ca="1">IF(G404=1,"-",Tabela2[[#This Row],[Dt Venc:]]-TODAY())</f>
        <v>-</v>
      </c>
      <c r="G404" s="3">
        <v>1</v>
      </c>
      <c r="H404" s="3"/>
    </row>
    <row r="405" spans="1:8" ht="18" hidden="1">
      <c r="A405" s="3">
        <v>210901</v>
      </c>
      <c r="B405" s="7" t="s">
        <v>43</v>
      </c>
      <c r="C405" s="42">
        <v>550.70000000000005</v>
      </c>
      <c r="D405" s="6">
        <v>45576</v>
      </c>
      <c r="E405" s="3" t="str">
        <f ca="1">IF(Tabela2[[#This Row],[Dt Venc:]]&gt;TODAY(),"Em Aberto",IF(Tabela2[[#This Row],[D/venc]]="-","Enviado",IF(Tabela2[[#This Row],[Dt Venc:]]=TODAY(),"Vence Hoje","Vencida")))</f>
        <v>Enviado</v>
      </c>
      <c r="F405" s="3" t="str">
        <f ca="1">IF(G405=1,"-",Tabela2[[#This Row],[Dt Venc:]]-TODAY())</f>
        <v>-</v>
      </c>
      <c r="G405" s="3">
        <v>1</v>
      </c>
      <c r="H405" s="3"/>
    </row>
    <row r="406" spans="1:8" ht="18" hidden="1">
      <c r="A406" s="3">
        <v>86400</v>
      </c>
      <c r="B406" s="7" t="s">
        <v>207</v>
      </c>
      <c r="C406" s="42">
        <v>1100</v>
      </c>
      <c r="D406" s="6">
        <v>45576</v>
      </c>
      <c r="E406" s="3" t="str">
        <f ca="1">IF(Tabela2[[#This Row],[Dt Venc:]]&gt;TODAY(),"Em Aberto",IF(Tabela2[[#This Row],[D/venc]]="-","Enviado",IF(Tabela2[[#This Row],[Dt Venc:]]=TODAY(),"Vence Hoje","Vencida")))</f>
        <v>Enviado</v>
      </c>
      <c r="F406" s="3" t="str">
        <f ca="1">IF(G406=1,"-",Tabela2[[#This Row],[Dt Venc:]]-TODAY())</f>
        <v>-</v>
      </c>
      <c r="G406" s="3">
        <v>1</v>
      </c>
      <c r="H406" s="3"/>
    </row>
    <row r="407" spans="1:8" ht="18" hidden="1">
      <c r="A407" s="3">
        <v>2218</v>
      </c>
      <c r="B407" s="7" t="s">
        <v>45</v>
      </c>
      <c r="C407" s="42">
        <v>664</v>
      </c>
      <c r="D407" s="6">
        <v>45576</v>
      </c>
      <c r="E407" s="3" t="str">
        <f ca="1">IF(Tabela2[[#This Row],[Dt Venc:]]&gt;TODAY(),"Em Aberto",IF(Tabela2[[#This Row],[D/venc]]="-","Enviado",IF(Tabela2[[#This Row],[Dt Venc:]]=TODAY(),"Vence Hoje","Vencida")))</f>
        <v>Enviado</v>
      </c>
      <c r="F407" s="3" t="str">
        <f ca="1">IF(G407=1,"-",Tabela2[[#This Row],[Dt Venc:]]-TODAY())</f>
        <v>-</v>
      </c>
      <c r="G407" s="3">
        <v>1</v>
      </c>
      <c r="H407" s="3"/>
    </row>
    <row r="408" spans="1:8" ht="18" hidden="1">
      <c r="A408" s="3">
        <v>152051</v>
      </c>
      <c r="B408" s="7" t="s">
        <v>77</v>
      </c>
      <c r="C408" s="42">
        <v>296.33</v>
      </c>
      <c r="D408" s="6">
        <v>45576</v>
      </c>
      <c r="E408" s="3" t="str">
        <f ca="1">IF(Tabela2[[#This Row],[Dt Venc:]]&gt;TODAY(),"Em Aberto",IF(Tabela2[[#This Row],[D/venc]]="-","Enviado",IF(Tabela2[[#This Row],[Dt Venc:]]=TODAY(),"Vence Hoje","Vencida")))</f>
        <v>Enviado</v>
      </c>
      <c r="F408" s="3" t="str">
        <f ca="1">IF(G408=1,"-",Tabela2[[#This Row],[Dt Venc:]]-TODAY())</f>
        <v>-</v>
      </c>
      <c r="G408" s="3">
        <v>1</v>
      </c>
      <c r="H408" s="3"/>
    </row>
    <row r="409" spans="1:8" ht="18" hidden="1">
      <c r="A409" s="3">
        <v>20024</v>
      </c>
      <c r="B409" s="7" t="s">
        <v>208</v>
      </c>
      <c r="C409" s="42">
        <v>2363.66</v>
      </c>
      <c r="D409" s="6">
        <v>45576</v>
      </c>
      <c r="E409" s="3" t="str">
        <f ca="1">IF(Tabela2[[#This Row],[Dt Venc:]]&gt;TODAY(),"Em Aberto",IF(Tabela2[[#This Row],[D/venc]]="-","Enviado",IF(Tabela2[[#This Row],[Dt Venc:]]=TODAY(),"Vence Hoje","Vencida")))</f>
        <v>Enviado</v>
      </c>
      <c r="F409" s="3" t="str">
        <f ca="1">IF(G409=1,"-",Tabela2[[#This Row],[Dt Venc:]]-TODAY())</f>
        <v>-</v>
      </c>
      <c r="G409" s="3">
        <v>1</v>
      </c>
      <c r="H409" s="3"/>
    </row>
    <row r="410" spans="1:8" ht="18" hidden="1">
      <c r="A410" s="3">
        <v>20240</v>
      </c>
      <c r="B410" s="7" t="s">
        <v>208</v>
      </c>
      <c r="C410" s="42">
        <v>751.62</v>
      </c>
      <c r="D410" s="6">
        <v>45576</v>
      </c>
      <c r="E410" s="3" t="str">
        <f ca="1">IF(Tabela2[[#This Row],[Dt Venc:]]&gt;TODAY(),"Em Aberto",IF(Tabela2[[#This Row],[D/venc]]="-","Enviado",IF(Tabela2[[#This Row],[Dt Venc:]]=TODAY(),"Vence Hoje","Vencida")))</f>
        <v>Enviado</v>
      </c>
      <c r="F410" s="3" t="str">
        <f ca="1">IF(G410=1,"-",Tabela2[[#This Row],[Dt Venc:]]-TODAY())</f>
        <v>-</v>
      </c>
      <c r="G410" s="3">
        <v>1</v>
      </c>
      <c r="H410" s="3"/>
    </row>
    <row r="411" spans="1:8" ht="18" hidden="1">
      <c r="A411" s="3">
        <v>5722</v>
      </c>
      <c r="B411" s="7" t="s">
        <v>47</v>
      </c>
      <c r="C411" s="42">
        <v>1240</v>
      </c>
      <c r="D411" s="6">
        <v>45576</v>
      </c>
      <c r="E411" s="3" t="str">
        <f ca="1">IF(Tabela2[[#This Row],[Dt Venc:]]&gt;TODAY(),"Em Aberto",IF(Tabela2[[#This Row],[D/venc]]="-","Enviado",IF(Tabela2[[#This Row],[Dt Venc:]]=TODAY(),"Vence Hoje","Vencida")))</f>
        <v>Enviado</v>
      </c>
      <c r="F411" s="3" t="str">
        <f ca="1">IF(G411=1,"-",Tabela2[[#This Row],[Dt Venc:]]-TODAY())</f>
        <v>-</v>
      </c>
      <c r="G411" s="3">
        <v>1</v>
      </c>
      <c r="H411" s="3"/>
    </row>
    <row r="412" spans="1:8" ht="18" hidden="1">
      <c r="A412" s="3">
        <v>109775</v>
      </c>
      <c r="B412" s="7" t="s">
        <v>209</v>
      </c>
      <c r="C412" s="42">
        <v>770</v>
      </c>
      <c r="D412" s="6">
        <v>45576</v>
      </c>
      <c r="E412" s="3" t="str">
        <f ca="1">IF(Tabela2[[#This Row],[Dt Venc:]]&gt;TODAY(),"Em Aberto",IF(Tabela2[[#This Row],[D/venc]]="-","Enviado",IF(Tabela2[[#This Row],[Dt Venc:]]=TODAY(),"Vence Hoje","Vencida")))</f>
        <v>Enviado</v>
      </c>
      <c r="F412" s="3" t="str">
        <f ca="1">IF(G412=1,"-",Tabela2[[#This Row],[Dt Venc:]]-TODAY())</f>
        <v>-</v>
      </c>
      <c r="G412" s="3">
        <v>1</v>
      </c>
      <c r="H412" s="3"/>
    </row>
    <row r="413" spans="1:8" ht="18" hidden="1">
      <c r="A413" s="3">
        <v>109776</v>
      </c>
      <c r="B413" s="7" t="s">
        <v>209</v>
      </c>
      <c r="C413" s="42">
        <v>980</v>
      </c>
      <c r="D413" s="6">
        <v>45576</v>
      </c>
      <c r="E413" s="3" t="str">
        <f ca="1">IF(Tabela2[[#This Row],[Dt Venc:]]&gt;TODAY(),"Em Aberto",IF(Tabela2[[#This Row],[D/venc]]="-","Enviado",IF(Tabela2[[#This Row],[Dt Venc:]]=TODAY(),"Vence Hoje","Vencida")))</f>
        <v>Enviado</v>
      </c>
      <c r="F413" s="3" t="str">
        <f ca="1">IF(G413=1,"-",Tabela2[[#This Row],[Dt Venc:]]-TODAY())</f>
        <v>-</v>
      </c>
      <c r="G413" s="3">
        <v>1</v>
      </c>
      <c r="H413" s="3"/>
    </row>
    <row r="414" spans="1:8" ht="18" hidden="1">
      <c r="A414" s="3">
        <v>110541</v>
      </c>
      <c r="B414" s="7" t="s">
        <v>210</v>
      </c>
      <c r="C414" s="42">
        <v>1095.5</v>
      </c>
      <c r="D414" s="6">
        <v>45576</v>
      </c>
      <c r="E414" s="3" t="str">
        <f ca="1">IF(Tabela2[[#This Row],[Dt Venc:]]&gt;TODAY(),"Em Aberto",IF(Tabela2[[#This Row],[D/venc]]="-","Enviado",IF(Tabela2[[#This Row],[Dt Venc:]]=TODAY(),"Vence Hoje","Vencida")))</f>
        <v>Enviado</v>
      </c>
      <c r="F414" s="3" t="str">
        <f ca="1">IF(G414=1,"-",Tabela2[[#This Row],[Dt Venc:]]-TODAY())</f>
        <v>-</v>
      </c>
      <c r="G414" s="3">
        <v>1</v>
      </c>
      <c r="H414" s="3"/>
    </row>
    <row r="415" spans="1:8" ht="18" hidden="1">
      <c r="A415" s="3">
        <v>170116</v>
      </c>
      <c r="B415" s="7" t="s">
        <v>211</v>
      </c>
      <c r="C415" s="42">
        <v>526.66</v>
      </c>
      <c r="D415" s="6">
        <v>45576</v>
      </c>
      <c r="E415" s="3" t="str">
        <f ca="1">IF(Tabela2[[#This Row],[Dt Venc:]]&gt;TODAY(),"Em Aberto",IF(Tabela2[[#This Row],[D/venc]]="-","Enviado",IF(Tabela2[[#This Row],[Dt Venc:]]=TODAY(),"Vence Hoje","Vencida")))</f>
        <v>Enviado</v>
      </c>
      <c r="F415" s="3" t="str">
        <f ca="1">IF(G415=1,"-",Tabela2[[#This Row],[Dt Venc:]]-TODAY())</f>
        <v>-</v>
      </c>
      <c r="G415" s="3">
        <v>1</v>
      </c>
      <c r="H415" s="3"/>
    </row>
    <row r="416" spans="1:8" ht="18" hidden="1">
      <c r="A416" s="3">
        <v>4996</v>
      </c>
      <c r="B416" s="7" t="s">
        <v>134</v>
      </c>
      <c r="C416" s="41">
        <v>800</v>
      </c>
      <c r="D416" s="6">
        <v>45576</v>
      </c>
      <c r="E416" s="3" t="str">
        <f ca="1">IF(Tabela2[[#This Row],[Dt Venc:]]&gt;TODAY(),"Em Aberto",IF(Tabela2[[#This Row],[D/venc]]="-","Enviado",IF(Tabela2[[#This Row],[Dt Venc:]]=TODAY(),"Vence Hoje","Vencida")))</f>
        <v>Enviado</v>
      </c>
      <c r="F416" s="3" t="str">
        <f ca="1">IF(G416=1,"-",Tabela2[[#This Row],[Dt Venc:]]-TODAY())</f>
        <v>-</v>
      </c>
      <c r="G416" s="3">
        <v>1</v>
      </c>
      <c r="H416" s="3"/>
    </row>
    <row r="417" spans="1:8" ht="18" hidden="1">
      <c r="A417" s="3">
        <v>297149</v>
      </c>
      <c r="B417" s="7" t="s">
        <v>79</v>
      </c>
      <c r="C417" s="41">
        <v>719.54</v>
      </c>
      <c r="D417" s="6">
        <v>45576</v>
      </c>
      <c r="E417" s="3" t="str">
        <f ca="1">IF(Tabela2[[#This Row],[Dt Venc:]]&gt;TODAY(),"Em Aberto",IF(Tabela2[[#This Row],[D/venc]]="-","Enviado",IF(Tabela2[[#This Row],[Dt Venc:]]=TODAY(),"Vence Hoje","Vencida")))</f>
        <v>Enviado</v>
      </c>
      <c r="F417" s="3" t="str">
        <f ca="1">IF(G417=1,"-",Tabela2[[#This Row],[Dt Venc:]]-TODAY())</f>
        <v>-</v>
      </c>
      <c r="G417" s="3">
        <v>1</v>
      </c>
      <c r="H417" s="3"/>
    </row>
    <row r="418" spans="1:8" ht="18" hidden="1">
      <c r="A418" s="3">
        <v>254498</v>
      </c>
      <c r="B418" s="7" t="s">
        <v>49</v>
      </c>
      <c r="C418" s="41">
        <v>1045</v>
      </c>
      <c r="D418" s="6">
        <v>45576</v>
      </c>
      <c r="E418" s="3" t="str">
        <f ca="1">IF(Tabela2[[#This Row],[Dt Venc:]]&gt;TODAY(),"Em Aberto",IF(Tabela2[[#This Row],[D/venc]]="-","Enviado",IF(Tabela2[[#This Row],[Dt Venc:]]=TODAY(),"Vence Hoje","Vencida")))</f>
        <v>Enviado</v>
      </c>
      <c r="F418" s="3" t="str">
        <f ca="1">IF(G418=1,"-",Tabela2[[#This Row],[Dt Venc:]]-TODAY())</f>
        <v>-</v>
      </c>
      <c r="G418" s="3">
        <v>1</v>
      </c>
      <c r="H418" s="3"/>
    </row>
    <row r="419" spans="1:8" ht="18" hidden="1">
      <c r="A419" s="3">
        <v>151963</v>
      </c>
      <c r="B419" s="7" t="s">
        <v>77</v>
      </c>
      <c r="C419" s="41">
        <v>1383.33</v>
      </c>
      <c r="D419" s="6">
        <v>45576</v>
      </c>
      <c r="E419" s="3" t="str">
        <f ca="1">IF(Tabela2[[#This Row],[Dt Venc:]]&gt;TODAY(),"Em Aberto",IF(Tabela2[[#This Row],[D/venc]]="-","Enviado",IF(Tabela2[[#This Row],[Dt Venc:]]=TODAY(),"Vence Hoje","Vencida")))</f>
        <v>Enviado</v>
      </c>
      <c r="F419" s="3" t="str">
        <f ca="1">IF(G419=1,"-",Tabela2[[#This Row],[Dt Venc:]]-TODAY())</f>
        <v>-</v>
      </c>
      <c r="G419" s="3">
        <v>1</v>
      </c>
      <c r="H419" s="3"/>
    </row>
    <row r="420" spans="1:8" ht="18" hidden="1">
      <c r="A420" s="3">
        <v>254796</v>
      </c>
      <c r="B420" s="7" t="s">
        <v>49</v>
      </c>
      <c r="C420" s="41">
        <v>1045</v>
      </c>
      <c r="D420" s="6">
        <v>45576</v>
      </c>
      <c r="E420" s="3" t="str">
        <f ca="1">IF(Tabela2[[#This Row],[Dt Venc:]]&gt;TODAY(),"Em Aberto",IF(Tabela2[[#This Row],[D/venc]]="-","Enviado",IF(Tabela2[[#This Row],[Dt Venc:]]=TODAY(),"Vence Hoje","Vencida")))</f>
        <v>Enviado</v>
      </c>
      <c r="F420" s="3" t="str">
        <f ca="1">IF(G420=1,"-",Tabela2[[#This Row],[Dt Venc:]]-TODAY())</f>
        <v>-</v>
      </c>
      <c r="G420" s="3">
        <v>1</v>
      </c>
      <c r="H420" s="3"/>
    </row>
    <row r="421" spans="1:8" ht="18" hidden="1">
      <c r="A421" s="3">
        <v>2505</v>
      </c>
      <c r="B421" s="7" t="s">
        <v>91</v>
      </c>
      <c r="C421" s="41">
        <v>280</v>
      </c>
      <c r="D421" s="6">
        <v>45576</v>
      </c>
      <c r="E421" s="3" t="str">
        <f ca="1">IF(Tabela2[[#This Row],[Dt Venc:]]&gt;TODAY(),"Em Aberto",IF(Tabela2[[#This Row],[D/venc]]="-","Enviado",IF(Tabela2[[#This Row],[Dt Venc:]]=TODAY(),"Vence Hoje","Vencida")))</f>
        <v>Enviado</v>
      </c>
      <c r="F421" s="3" t="str">
        <f ca="1">IF(G421=1,"-",Tabela2[[#This Row],[Dt Venc:]]-TODAY())</f>
        <v>-</v>
      </c>
      <c r="G421" s="3">
        <v>1</v>
      </c>
      <c r="H421" s="3"/>
    </row>
    <row r="422" spans="1:8" ht="18" hidden="1">
      <c r="A422" s="3">
        <v>219895</v>
      </c>
      <c r="B422" s="7" t="s">
        <v>127</v>
      </c>
      <c r="C422" s="41">
        <v>557.19000000000005</v>
      </c>
      <c r="D422" s="6">
        <v>45576</v>
      </c>
      <c r="E422" s="3" t="str">
        <f ca="1">IF(Tabela2[[#This Row],[Dt Venc:]]&gt;TODAY(),"Em Aberto",IF(Tabela2[[#This Row],[D/venc]]="-","Enviado",IF(Tabela2[[#This Row],[Dt Venc:]]=TODAY(),"Vence Hoje","Vencida")))</f>
        <v>Enviado</v>
      </c>
      <c r="F422" s="3" t="str">
        <f ca="1">IF(G422=1,"-",Tabela2[[#This Row],[Dt Venc:]]-TODAY())</f>
        <v>-</v>
      </c>
      <c r="G422" s="3">
        <v>1</v>
      </c>
      <c r="H422" s="3"/>
    </row>
    <row r="423" spans="1:8" ht="18" hidden="1">
      <c r="A423" s="3">
        <v>392096</v>
      </c>
      <c r="B423" s="7" t="s">
        <v>136</v>
      </c>
      <c r="C423" s="41">
        <v>1870</v>
      </c>
      <c r="D423" s="6">
        <v>45576</v>
      </c>
      <c r="E423" s="3" t="str">
        <f ca="1">IF(Tabela2[[#This Row],[Dt Venc:]]&gt;TODAY(),"Em Aberto",IF(Tabela2[[#This Row],[D/venc]]="-","Enviado",IF(Tabela2[[#This Row],[Dt Venc:]]=TODAY(),"Vence Hoje","Vencida")))</f>
        <v>Enviado</v>
      </c>
      <c r="F423" s="3" t="str">
        <f ca="1">IF(G423=1,"-",Tabela2[[#This Row],[Dt Venc:]]-TODAY())</f>
        <v>-</v>
      </c>
      <c r="G423" s="3">
        <v>1</v>
      </c>
      <c r="H423" s="3"/>
    </row>
    <row r="424" spans="1:8" ht="18" hidden="1">
      <c r="A424" s="3">
        <v>70630</v>
      </c>
      <c r="B424" s="7" t="s">
        <v>76</v>
      </c>
      <c r="C424" s="41">
        <v>1940.94</v>
      </c>
      <c r="D424" s="6">
        <v>45576</v>
      </c>
      <c r="E424" s="3" t="str">
        <f ca="1">IF(Tabela2[[#This Row],[Dt Venc:]]&gt;TODAY(),"Em Aberto",IF(Tabela2[[#This Row],[D/venc]]="-","Enviado",IF(Tabela2[[#This Row],[Dt Venc:]]=TODAY(),"Vence Hoje","Vencida")))</f>
        <v>Enviado</v>
      </c>
      <c r="F424" s="3" t="str">
        <f ca="1">IF(G424=1,"-",Tabela2[[#This Row],[Dt Venc:]]-TODAY())</f>
        <v>-</v>
      </c>
      <c r="G424" s="3">
        <v>1</v>
      </c>
      <c r="H424" s="3"/>
    </row>
    <row r="425" spans="1:8" ht="18" hidden="1">
      <c r="A425" s="3">
        <v>87550</v>
      </c>
      <c r="B425" s="7" t="s">
        <v>212</v>
      </c>
      <c r="C425" s="41">
        <v>386.67</v>
      </c>
      <c r="D425" s="6">
        <v>45576</v>
      </c>
      <c r="E425" s="3" t="str">
        <f ca="1">IF(Tabela2[[#This Row],[Dt Venc:]]&gt;TODAY(),"Em Aberto",IF(Tabela2[[#This Row],[D/venc]]="-","Enviado",IF(Tabela2[[#This Row],[Dt Venc:]]=TODAY(),"Vence Hoje","Vencida")))</f>
        <v>Enviado</v>
      </c>
      <c r="F425" s="3" t="str">
        <f ca="1">IF(G425=1,"-",Tabela2[[#This Row],[Dt Venc:]]-TODAY())</f>
        <v>-</v>
      </c>
      <c r="G425" s="3">
        <v>1</v>
      </c>
      <c r="H425" s="3"/>
    </row>
    <row r="426" spans="1:8" ht="18" hidden="1">
      <c r="A426" s="3">
        <v>152789</v>
      </c>
      <c r="B426" s="7" t="s">
        <v>77</v>
      </c>
      <c r="C426" s="41">
        <v>975.67</v>
      </c>
      <c r="D426" s="6">
        <v>45576</v>
      </c>
      <c r="E426" s="3" t="str">
        <f ca="1">IF(Tabela2[[#This Row],[Dt Venc:]]&gt;TODAY(),"Em Aberto",IF(Tabela2[[#This Row],[D/venc]]="-","Enviado",IF(Tabela2[[#This Row],[Dt Venc:]]=TODAY(),"Vence Hoje","Vencida")))</f>
        <v>Enviado</v>
      </c>
      <c r="F426" s="3" t="str">
        <f ca="1">IF(G426=1,"-",Tabela2[[#This Row],[Dt Venc:]]-TODAY())</f>
        <v>-</v>
      </c>
      <c r="G426" s="3">
        <v>1</v>
      </c>
      <c r="H426" s="3"/>
    </row>
    <row r="427" spans="1:8" ht="18" hidden="1">
      <c r="A427" s="3">
        <v>367478</v>
      </c>
      <c r="B427" s="7" t="s">
        <v>39</v>
      </c>
      <c r="C427" s="41">
        <v>456.59</v>
      </c>
      <c r="D427" s="6">
        <v>45576</v>
      </c>
      <c r="E427" s="3" t="str">
        <f ca="1">IF(Tabela2[[#This Row],[Dt Venc:]]&gt;TODAY(),"Em Aberto",IF(Tabela2[[#This Row],[D/venc]]="-","Enviado",IF(Tabela2[[#This Row],[Dt Venc:]]=TODAY(),"Vence Hoje","Vencida")))</f>
        <v>Enviado</v>
      </c>
      <c r="F427" s="3" t="str">
        <f ca="1">IF(G427=1,"-",Tabela2[[#This Row],[Dt Venc:]]-TODAY())</f>
        <v>-</v>
      </c>
      <c r="G427" s="3">
        <v>1</v>
      </c>
      <c r="H427" s="3"/>
    </row>
    <row r="428" spans="1:8" ht="18" hidden="1">
      <c r="A428" s="3">
        <v>17775</v>
      </c>
      <c r="B428" s="7" t="s">
        <v>106</v>
      </c>
      <c r="C428" s="41">
        <v>1033.33</v>
      </c>
      <c r="D428" s="6">
        <v>45576</v>
      </c>
      <c r="E428" s="3" t="str">
        <f ca="1">IF(Tabela2[[#This Row],[Dt Venc:]]&gt;TODAY(),"Em Aberto",IF(Tabela2[[#This Row],[D/venc]]="-","Enviado",IF(Tabela2[[#This Row],[Dt Venc:]]=TODAY(),"Vence Hoje","Vencida")))</f>
        <v>Enviado</v>
      </c>
      <c r="F428" s="3" t="str">
        <f ca="1">IF(G428=1,"-",Tabela2[[#This Row],[Dt Venc:]]-TODAY())</f>
        <v>-</v>
      </c>
      <c r="G428" s="3">
        <v>1</v>
      </c>
      <c r="H428" s="3"/>
    </row>
    <row r="429" spans="1:8" ht="18" hidden="1">
      <c r="A429" s="3">
        <v>255085</v>
      </c>
      <c r="B429" s="7" t="s">
        <v>49</v>
      </c>
      <c r="C429" s="41">
        <v>1393.34</v>
      </c>
      <c r="D429" s="6">
        <v>45576</v>
      </c>
      <c r="E429" s="3" t="str">
        <f ca="1">IF(Tabela2[[#This Row],[Dt Venc:]]&gt;TODAY(),"Em Aberto",IF(Tabela2[[#This Row],[D/venc]]="-","Enviado",IF(Tabela2[[#This Row],[Dt Venc:]]=TODAY(),"Vence Hoje","Vencida")))</f>
        <v>Enviado</v>
      </c>
      <c r="F429" s="3" t="str">
        <f ca="1">IF(G429=1,"-",Tabela2[[#This Row],[Dt Venc:]]-TODAY())</f>
        <v>-</v>
      </c>
      <c r="G429" s="3">
        <v>1</v>
      </c>
      <c r="H429" s="3"/>
    </row>
    <row r="430" spans="1:8" ht="18" hidden="1">
      <c r="A430" s="3">
        <v>7487</v>
      </c>
      <c r="B430" s="7" t="s">
        <v>213</v>
      </c>
      <c r="C430" s="41">
        <v>180</v>
      </c>
      <c r="D430" s="6">
        <v>45576</v>
      </c>
      <c r="E430" s="3" t="str">
        <f ca="1">IF(Tabela2[[#This Row],[Dt Venc:]]&gt;TODAY(),"Em Aberto",IF(Tabela2[[#This Row],[D/venc]]="-","Enviado",IF(Tabela2[[#This Row],[Dt Venc:]]=TODAY(),"Vence Hoje","Vencida")))</f>
        <v>Enviado</v>
      </c>
      <c r="F430" s="3" t="str">
        <f ca="1">IF(G430=1,"-",Tabela2[[#This Row],[Dt Venc:]]-TODAY())</f>
        <v>-</v>
      </c>
      <c r="G430" s="3">
        <v>1</v>
      </c>
      <c r="H430" s="3"/>
    </row>
    <row r="431" spans="1:8" ht="18" hidden="1">
      <c r="A431" s="3">
        <v>228625</v>
      </c>
      <c r="B431" s="7" t="s">
        <v>214</v>
      </c>
      <c r="C431" s="41">
        <v>900</v>
      </c>
      <c r="D431" s="6">
        <v>45576</v>
      </c>
      <c r="E431" s="3" t="str">
        <f ca="1">IF(Tabela2[[#This Row],[Dt Venc:]]&gt;TODAY(),"Em Aberto",IF(Tabela2[[#This Row],[D/venc]]="-","Enviado",IF(Tabela2[[#This Row],[Dt Venc:]]=TODAY(),"Vence Hoje","Vencida")))</f>
        <v>Enviado</v>
      </c>
      <c r="F431" s="3" t="str">
        <f ca="1">IF(G431=1,"-",Tabela2[[#This Row],[Dt Venc:]]-TODAY())</f>
        <v>-</v>
      </c>
      <c r="G431" s="3">
        <v>1</v>
      </c>
      <c r="H431" s="3"/>
    </row>
    <row r="432" spans="1:8" ht="18" hidden="1">
      <c r="A432" s="3">
        <v>753416</v>
      </c>
      <c r="B432" s="7" t="s">
        <v>127</v>
      </c>
      <c r="C432" s="41">
        <v>495.29</v>
      </c>
      <c r="D432" s="6">
        <v>45576</v>
      </c>
      <c r="E432" s="3" t="str">
        <f ca="1">IF(Tabela2[[#This Row],[Dt Venc:]]&gt;TODAY(),"Em Aberto",IF(Tabela2[[#This Row],[D/venc]]="-","Enviado",IF(Tabela2[[#This Row],[Dt Venc:]]=TODAY(),"Vence Hoje","Vencida")))</f>
        <v>Enviado</v>
      </c>
      <c r="F432" s="3" t="str">
        <f ca="1">IF(G432=1,"-",Tabela2[[#This Row],[Dt Venc:]]-TODAY())</f>
        <v>-</v>
      </c>
      <c r="G432" s="3">
        <v>1</v>
      </c>
      <c r="H432" s="3"/>
    </row>
    <row r="433" spans="1:8" ht="18" hidden="1">
      <c r="A433" s="3">
        <v>135094</v>
      </c>
      <c r="B433" s="7" t="s">
        <v>127</v>
      </c>
      <c r="C433" s="41">
        <v>956.68</v>
      </c>
      <c r="D433" s="6">
        <v>45576</v>
      </c>
      <c r="E433" s="3" t="str">
        <f ca="1">IF(Tabela2[[#This Row],[Dt Venc:]]&gt;TODAY(),"Em Aberto",IF(Tabela2[[#This Row],[D/venc]]="-","Enviado",IF(Tabela2[[#This Row],[Dt Venc:]]=TODAY(),"Vence Hoje","Vencida")))</f>
        <v>Enviado</v>
      </c>
      <c r="F433" s="3" t="str">
        <f ca="1">IF(G433=1,"-",Tabela2[[#This Row],[Dt Venc:]]-TODAY())</f>
        <v>-</v>
      </c>
      <c r="G433" s="3">
        <v>1</v>
      </c>
      <c r="H433" s="3"/>
    </row>
    <row r="434" spans="1:8" ht="18" hidden="1">
      <c r="A434" s="3">
        <v>135096</v>
      </c>
      <c r="B434" s="7" t="s">
        <v>127</v>
      </c>
      <c r="C434" s="41">
        <v>956.68</v>
      </c>
      <c r="D434" s="6">
        <v>45576</v>
      </c>
      <c r="E434" s="3" t="str">
        <f ca="1">IF(Tabela2[[#This Row],[Dt Venc:]]&gt;TODAY(),"Em Aberto",IF(Tabela2[[#This Row],[D/venc]]="-","Enviado",IF(Tabela2[[#This Row],[Dt Venc:]]=TODAY(),"Vence Hoje","Vencida")))</f>
        <v>Enviado</v>
      </c>
      <c r="F434" s="3" t="str">
        <f ca="1">IF(G434=1,"-",Tabela2[[#This Row],[Dt Venc:]]-TODAY())</f>
        <v>-</v>
      </c>
      <c r="G434" s="3">
        <v>1</v>
      </c>
      <c r="H434" s="3"/>
    </row>
    <row r="435" spans="1:8" ht="18" hidden="1">
      <c r="A435" s="3">
        <v>753418</v>
      </c>
      <c r="B435" s="7" t="s">
        <v>127</v>
      </c>
      <c r="C435" s="41">
        <v>495.29</v>
      </c>
      <c r="D435" s="6">
        <v>45576</v>
      </c>
      <c r="E435" s="3" t="str">
        <f ca="1">IF(Tabela2[[#This Row],[Dt Venc:]]&gt;TODAY(),"Em Aberto",IF(Tabela2[[#This Row],[D/venc]]="-","Enviado",IF(Tabela2[[#This Row],[Dt Venc:]]=TODAY(),"Vence Hoje","Vencida")))</f>
        <v>Enviado</v>
      </c>
      <c r="F435" s="3" t="str">
        <f ca="1">IF(G435=1,"-",Tabela2[[#This Row],[Dt Venc:]]-TODAY())</f>
        <v>-</v>
      </c>
      <c r="G435" s="3">
        <v>1</v>
      </c>
      <c r="H435" s="3"/>
    </row>
    <row r="436" spans="1:8" ht="18" hidden="1">
      <c r="A436" s="3">
        <v>1494</v>
      </c>
      <c r="B436" s="7" t="s">
        <v>215</v>
      </c>
      <c r="C436" s="41">
        <v>598</v>
      </c>
      <c r="D436" s="6">
        <v>45576</v>
      </c>
      <c r="E436" s="3" t="str">
        <f ca="1">IF(Tabela2[[#This Row],[Dt Venc:]]&gt;TODAY(),"Em Aberto",IF(Tabela2[[#This Row],[D/venc]]="-","Enviado",IF(Tabela2[[#This Row],[Dt Venc:]]=TODAY(),"Vence Hoje","Vencida")))</f>
        <v>Enviado</v>
      </c>
      <c r="F436" s="3" t="str">
        <f ca="1">IF(G436=1,"-",Tabela2[[#This Row],[Dt Venc:]]-TODAY())</f>
        <v>-</v>
      </c>
      <c r="G436" s="3">
        <v>1</v>
      </c>
      <c r="H436" s="3"/>
    </row>
    <row r="437" spans="1:8" ht="18" hidden="1">
      <c r="A437" s="3">
        <v>2727</v>
      </c>
      <c r="B437" s="7" t="s">
        <v>58</v>
      </c>
      <c r="C437" s="41">
        <v>1522.64</v>
      </c>
      <c r="D437" s="6">
        <v>45576</v>
      </c>
      <c r="E437" s="3" t="str">
        <f ca="1">IF(Tabela2[[#This Row],[Dt Venc:]]&gt;TODAY(),"Em Aberto",IF(Tabela2[[#This Row],[D/venc]]="-","Enviado",IF(Tabela2[[#This Row],[Dt Venc:]]=TODAY(),"Vence Hoje","Vencida")))</f>
        <v>Enviado</v>
      </c>
      <c r="F437" s="3" t="str">
        <f ca="1">IF(G437=1,"-",Tabela2[[#This Row],[Dt Venc:]]-TODAY())</f>
        <v>-</v>
      </c>
      <c r="G437" s="3">
        <v>1</v>
      </c>
      <c r="H437" s="3"/>
    </row>
    <row r="438" spans="1:8" ht="18" hidden="1">
      <c r="A438" s="3">
        <v>10153</v>
      </c>
      <c r="B438" s="7" t="s">
        <v>216</v>
      </c>
      <c r="C438" s="41">
        <v>426.67</v>
      </c>
      <c r="D438" s="6">
        <v>45576</v>
      </c>
      <c r="E438" s="3" t="str">
        <f ca="1">IF(Tabela2[[#This Row],[Dt Venc:]]&gt;TODAY(),"Em Aberto",IF(Tabela2[[#This Row],[D/venc]]="-","Enviado",IF(Tabela2[[#This Row],[Dt Venc:]]=TODAY(),"Vence Hoje","Vencida")))</f>
        <v>Enviado</v>
      </c>
      <c r="F438" s="3" t="str">
        <f ca="1">IF(G438=1,"-",Tabela2[[#This Row],[Dt Venc:]]-TODAY())</f>
        <v>-</v>
      </c>
      <c r="G438" s="3">
        <v>1</v>
      </c>
      <c r="H438" s="3"/>
    </row>
    <row r="439" spans="1:8" ht="18" hidden="1">
      <c r="A439" s="3">
        <v>607640</v>
      </c>
      <c r="B439" s="7" t="s">
        <v>196</v>
      </c>
      <c r="C439" s="41">
        <v>1898.26</v>
      </c>
      <c r="D439" s="6">
        <v>45576</v>
      </c>
      <c r="E439" s="3" t="str">
        <f ca="1">IF(Tabela2[[#This Row],[Dt Venc:]]&gt;TODAY(),"Em Aberto",IF(Tabela2[[#This Row],[D/venc]]="-","Enviado",IF(Tabela2[[#This Row],[Dt Venc:]]=TODAY(),"Vence Hoje","Vencida")))</f>
        <v>Enviado</v>
      </c>
      <c r="F439" s="3" t="str">
        <f ca="1">IF(G439=1,"-",Tabela2[[#This Row],[Dt Venc:]]-TODAY())</f>
        <v>-</v>
      </c>
      <c r="G439" s="3">
        <v>1</v>
      </c>
      <c r="H439" s="3"/>
    </row>
    <row r="440" spans="1:8" ht="18" hidden="1">
      <c r="A440" s="3">
        <v>224860</v>
      </c>
      <c r="B440" s="7" t="s">
        <v>43</v>
      </c>
      <c r="C440" s="41">
        <v>954.52</v>
      </c>
      <c r="D440" s="6">
        <v>45576</v>
      </c>
      <c r="E440" s="3" t="str">
        <f ca="1">IF(Tabela2[[#This Row],[Dt Venc:]]&gt;TODAY(),"Em Aberto",IF(Tabela2[[#This Row],[D/venc]]="-","Enviado",IF(Tabela2[[#This Row],[Dt Venc:]]=TODAY(),"Vence Hoje","Vencida")))</f>
        <v>Enviado</v>
      </c>
      <c r="F440" s="3" t="str">
        <f ca="1">IF(G440=1,"-",Tabela2[[#This Row],[Dt Venc:]]-TODAY())</f>
        <v>-</v>
      </c>
      <c r="G440" s="3">
        <v>1</v>
      </c>
      <c r="H440" s="3"/>
    </row>
    <row r="441" spans="1:8" ht="18" hidden="1">
      <c r="A441" s="3">
        <v>5862</v>
      </c>
      <c r="B441" s="7" t="s">
        <v>217</v>
      </c>
      <c r="C441" s="41">
        <v>1206.67</v>
      </c>
      <c r="D441" s="6">
        <v>45576</v>
      </c>
      <c r="E441" s="3" t="str">
        <f ca="1">IF(Tabela2[[#This Row],[Dt Venc:]]&gt;TODAY(),"Em Aberto",IF(Tabela2[[#This Row],[D/venc]]="-","Enviado",IF(Tabela2[[#This Row],[Dt Venc:]]=TODAY(),"Vence Hoje","Vencida")))</f>
        <v>Enviado</v>
      </c>
      <c r="F441" s="3" t="str">
        <f ca="1">IF(G441=1,"-",Tabela2[[#This Row],[Dt Venc:]]-TODAY())</f>
        <v>-</v>
      </c>
      <c r="G441" s="3">
        <v>1</v>
      </c>
      <c r="H441" s="3"/>
    </row>
    <row r="442" spans="1:8" ht="18" hidden="1">
      <c r="A442" s="3">
        <v>57</v>
      </c>
      <c r="B442" s="7" t="s">
        <v>95</v>
      </c>
      <c r="C442" s="41">
        <v>2712</v>
      </c>
      <c r="D442" s="6">
        <v>45576</v>
      </c>
      <c r="E442" s="3" t="str">
        <f ca="1">IF(Tabela2[[#This Row],[Dt Venc:]]&gt;TODAY(),"Em Aberto",IF(Tabela2[[#This Row],[D/venc]]="-","Enviado",IF(Tabela2[[#This Row],[Dt Venc:]]=TODAY(),"Vence Hoje","Vencida")))</f>
        <v>Enviado</v>
      </c>
      <c r="F442" s="3" t="str">
        <f ca="1">IF(G442=1,"-",Tabela2[[#This Row],[Dt Venc:]]-TODAY())</f>
        <v>-</v>
      </c>
      <c r="G442" s="3">
        <v>1</v>
      </c>
      <c r="H442" s="3"/>
    </row>
    <row r="443" spans="1:8" ht="18" hidden="1">
      <c r="A443" s="3">
        <v>2729</v>
      </c>
      <c r="B443" s="7" t="s">
        <v>58</v>
      </c>
      <c r="C443" s="41">
        <v>561</v>
      </c>
      <c r="D443" s="6">
        <v>45576</v>
      </c>
      <c r="E443" s="3" t="str">
        <f ca="1">IF(Tabela2[[#This Row],[Dt Venc:]]&gt;TODAY(),"Em Aberto",IF(Tabela2[[#This Row],[D/venc]]="-","Enviado",IF(Tabela2[[#This Row],[Dt Venc:]]=TODAY(),"Vence Hoje","Vencida")))</f>
        <v>Enviado</v>
      </c>
      <c r="F443" s="3" t="str">
        <f ca="1">IF(G443=1,"-",Tabela2[[#This Row],[Dt Venc:]]-TODAY())</f>
        <v>-</v>
      </c>
      <c r="G443" s="3">
        <v>1</v>
      </c>
      <c r="H443" s="3"/>
    </row>
    <row r="444" spans="1:8" ht="18" hidden="1">
      <c r="A444" s="3">
        <v>424237</v>
      </c>
      <c r="B444" s="7" t="s">
        <v>89</v>
      </c>
      <c r="C444" s="41">
        <v>208.03</v>
      </c>
      <c r="D444" s="6">
        <v>45576</v>
      </c>
      <c r="E444" s="3" t="str">
        <f ca="1">IF(Tabela2[[#This Row],[Dt Venc:]]&gt;TODAY(),"Em Aberto",IF(Tabela2[[#This Row],[D/venc]]="-","Enviado",IF(Tabela2[[#This Row],[Dt Venc:]]=TODAY(),"Vence Hoje","Vencida")))</f>
        <v>Enviado</v>
      </c>
      <c r="F444" s="3" t="str">
        <f ca="1">IF(G444=1,"-",Tabela2[[#This Row],[Dt Venc:]]-TODAY())</f>
        <v>-</v>
      </c>
      <c r="G444" s="3">
        <v>1</v>
      </c>
      <c r="H444" s="3"/>
    </row>
    <row r="445" spans="1:8" ht="18" hidden="1">
      <c r="A445" s="3">
        <v>23576</v>
      </c>
      <c r="B445" s="7" t="s">
        <v>218</v>
      </c>
      <c r="C445" s="41">
        <v>320</v>
      </c>
      <c r="D445" s="6">
        <v>45576</v>
      </c>
      <c r="E445" s="3" t="str">
        <f ca="1">IF(Tabela2[[#This Row],[Dt Venc:]]&gt;TODAY(),"Em Aberto",IF(Tabela2[[#This Row],[D/venc]]="-","Enviado",IF(Tabela2[[#This Row],[Dt Venc:]]=TODAY(),"Vence Hoje","Vencida")))</f>
        <v>Enviado</v>
      </c>
      <c r="F445" s="3" t="str">
        <f ca="1">IF(G445=1,"-",Tabela2[[#This Row],[Dt Venc:]]-TODAY())</f>
        <v>-</v>
      </c>
      <c r="G445" s="3">
        <v>1</v>
      </c>
      <c r="H445" s="3"/>
    </row>
    <row r="446" spans="1:8" ht="18" hidden="1">
      <c r="A446" s="3">
        <v>4472072</v>
      </c>
      <c r="B446" s="7" t="s">
        <v>219</v>
      </c>
      <c r="C446" s="41">
        <v>133</v>
      </c>
      <c r="D446" s="6">
        <v>45576</v>
      </c>
      <c r="E446" s="3" t="str">
        <f ca="1">IF(Tabela2[[#This Row],[Dt Venc:]]&gt;TODAY(),"Em Aberto",IF(Tabela2[[#This Row],[D/venc]]="-","Enviado",IF(Tabela2[[#This Row],[Dt Venc:]]=TODAY(),"Vence Hoje","Vencida")))</f>
        <v>Enviado</v>
      </c>
      <c r="F446" s="3" t="str">
        <f ca="1">IF(G446=1,"-",Tabela2[[#This Row],[Dt Venc:]]-TODAY())</f>
        <v>-</v>
      </c>
      <c r="G446" s="3">
        <v>1</v>
      </c>
      <c r="H446" s="3"/>
    </row>
    <row r="447" spans="1:8" ht="18" hidden="1">
      <c r="A447" s="3">
        <v>2248227</v>
      </c>
      <c r="B447" s="7" t="s">
        <v>59</v>
      </c>
      <c r="C447" s="41">
        <v>27158.5</v>
      </c>
      <c r="D447" s="6">
        <v>45576</v>
      </c>
      <c r="E447" s="3" t="str">
        <f ca="1">IF(Tabela2[[#This Row],[Dt Venc:]]&gt;TODAY(),"Em Aberto",IF(Tabela2[[#This Row],[D/venc]]="-","Enviado",IF(Tabela2[[#This Row],[Dt Venc:]]=TODAY(),"Vence Hoje","Vencida")))</f>
        <v>Enviado</v>
      </c>
      <c r="F447" s="3" t="str">
        <f ca="1">IF(G447=1,"-",Tabela2[[#This Row],[Dt Venc:]]-TODAY())</f>
        <v>-</v>
      </c>
      <c r="G447" s="3">
        <v>1</v>
      </c>
      <c r="H447" s="3"/>
    </row>
    <row r="448" spans="1:8" ht="18" hidden="1">
      <c r="A448" s="3">
        <v>140655</v>
      </c>
      <c r="B448" s="7" t="s">
        <v>60</v>
      </c>
      <c r="C448" s="41">
        <v>390</v>
      </c>
      <c r="D448" s="6">
        <v>45576</v>
      </c>
      <c r="E448" s="3" t="str">
        <f ca="1">IF(Tabela2[[#This Row],[Dt Venc:]]&gt;TODAY(),"Em Aberto",IF(Tabela2[[#This Row],[D/venc]]="-","Enviado",IF(Tabela2[[#This Row],[Dt Venc:]]=TODAY(),"Vence Hoje","Vencida")))</f>
        <v>Enviado</v>
      </c>
      <c r="F448" s="3" t="str">
        <f ca="1">IF(G448=1,"-",Tabela2[[#This Row],[Dt Venc:]]-TODAY())</f>
        <v>-</v>
      </c>
      <c r="G448" s="3">
        <v>1</v>
      </c>
      <c r="H448" s="3"/>
    </row>
    <row r="449" spans="1:8" ht="18" hidden="1">
      <c r="A449" s="3">
        <v>1981719</v>
      </c>
      <c r="B449" s="7" t="s">
        <v>59</v>
      </c>
      <c r="C449" s="41">
        <v>134792.5</v>
      </c>
      <c r="D449" s="6">
        <v>45576</v>
      </c>
      <c r="E449" s="3" t="str">
        <f ca="1">IF(Tabela2[[#This Row],[Dt Venc:]]&gt;TODAY(),"Em Aberto",IF(Tabela2[[#This Row],[D/venc]]="-","Enviado",IF(Tabela2[[#This Row],[Dt Venc:]]=TODAY(),"Vence Hoje","Vencida")))</f>
        <v>Enviado</v>
      </c>
      <c r="F449" s="3" t="str">
        <f ca="1">IF(G449=1,"-",Tabela2[[#This Row],[Dt Venc:]]-TODAY())</f>
        <v>-</v>
      </c>
      <c r="G449" s="3">
        <v>1</v>
      </c>
      <c r="H449" s="3"/>
    </row>
    <row r="450" spans="1:8" ht="18" hidden="1">
      <c r="A450" s="3">
        <v>44</v>
      </c>
      <c r="B450" s="7" t="s">
        <v>220</v>
      </c>
      <c r="C450" s="41">
        <v>545</v>
      </c>
      <c r="D450" s="6">
        <v>45576</v>
      </c>
      <c r="E450" s="3" t="str">
        <f ca="1">IF(Tabela2[[#This Row],[Dt Venc:]]&gt;TODAY(),"Em Aberto",IF(Tabela2[[#This Row],[D/venc]]="-","Enviado",IF(Tabela2[[#This Row],[Dt Venc:]]=TODAY(),"Vence Hoje","Vencida")))</f>
        <v>Enviado</v>
      </c>
      <c r="F450" s="3" t="str">
        <f ca="1">IF(G450=1,"-",Tabela2[[#This Row],[Dt Venc:]]-TODAY())</f>
        <v>-</v>
      </c>
      <c r="G450" s="3">
        <v>1</v>
      </c>
      <c r="H450" s="3"/>
    </row>
    <row r="451" spans="1:8" ht="18" hidden="1">
      <c r="A451" s="3">
        <v>10602</v>
      </c>
      <c r="B451" s="77" t="s">
        <v>33</v>
      </c>
      <c r="C451" s="42">
        <v>800</v>
      </c>
      <c r="D451" s="6">
        <v>45577</v>
      </c>
      <c r="E451" s="3" t="str">
        <f ca="1">IF(Tabela2[[#This Row],[Dt Venc:]]&gt;TODAY(),"Em Aberto",IF(Tabela2[[#This Row],[D/venc]]="-","Enviado",IF(Tabela2[[#This Row],[Dt Venc:]]=TODAY(),"Vence Hoje","Vencida")))</f>
        <v>Enviado</v>
      </c>
      <c r="F451" s="3" t="str">
        <f ca="1">IF(G451=1,"-",Tabela2[[#This Row],[Dt Venc:]]-TODAY())</f>
        <v>-</v>
      </c>
      <c r="G451" s="3">
        <v>1</v>
      </c>
      <c r="H451" s="3"/>
    </row>
    <row r="452" spans="1:8" ht="18" hidden="1">
      <c r="A452" s="3">
        <v>10607</v>
      </c>
      <c r="B452" s="7" t="s">
        <v>33</v>
      </c>
      <c r="C452" s="42">
        <v>1256.6600000000001</v>
      </c>
      <c r="D452" s="6">
        <v>45577</v>
      </c>
      <c r="E452" s="3" t="str">
        <f ca="1">IF(Tabela2[[#This Row],[Dt Venc:]]&gt;TODAY(),"Em Aberto",IF(Tabela2[[#This Row],[D/venc]]="-","Enviado",IF(Tabela2[[#This Row],[Dt Venc:]]=TODAY(),"Vence Hoje","Vencida")))</f>
        <v>Enviado</v>
      </c>
      <c r="F452" s="3" t="str">
        <f ca="1">IF(G452=1,"-",Tabela2[[#This Row],[Dt Venc:]]-TODAY())</f>
        <v>-</v>
      </c>
      <c r="G452" s="3">
        <v>1</v>
      </c>
      <c r="H452" s="3"/>
    </row>
    <row r="453" spans="1:8" ht="18" hidden="1">
      <c r="A453" s="3">
        <v>23430</v>
      </c>
      <c r="B453" s="7" t="s">
        <v>221</v>
      </c>
      <c r="C453" s="42">
        <v>634.66999999999996</v>
      </c>
      <c r="D453" s="6">
        <v>45577</v>
      </c>
      <c r="E453" s="3" t="str">
        <f ca="1">IF(Tabela2[[#This Row],[Dt Venc:]]&gt;TODAY(),"Em Aberto",IF(Tabela2[[#This Row],[D/venc]]="-","Enviado",IF(Tabela2[[#This Row],[Dt Venc:]]=TODAY(),"Vence Hoje","Vencida")))</f>
        <v>Enviado</v>
      </c>
      <c r="F453" s="3" t="str">
        <f ca="1">IF(G453=1,"-",Tabela2[[#This Row],[Dt Venc:]]-TODAY())</f>
        <v>-</v>
      </c>
      <c r="G453" s="3">
        <v>1</v>
      </c>
      <c r="H453" s="3"/>
    </row>
    <row r="454" spans="1:8" ht="18" hidden="1">
      <c r="A454" s="3">
        <v>217437</v>
      </c>
      <c r="B454" s="7" t="s">
        <v>127</v>
      </c>
      <c r="C454" s="42">
        <v>1195.43</v>
      </c>
      <c r="D454" s="6">
        <v>45577</v>
      </c>
      <c r="E454" s="3" t="str">
        <f ca="1">IF(Tabela2[[#This Row],[Dt Venc:]]&gt;TODAY(),"Em Aberto",IF(Tabela2[[#This Row],[D/venc]]="-","Enviado",IF(Tabela2[[#This Row],[Dt Venc:]]=TODAY(),"Vence Hoje","Vencida")))</f>
        <v>Enviado</v>
      </c>
      <c r="F454" s="3" t="str">
        <f ca="1">IF(G454=1,"-",Tabela2[[#This Row],[Dt Venc:]]-TODAY())</f>
        <v>-</v>
      </c>
      <c r="G454" s="3">
        <v>1</v>
      </c>
      <c r="H454" s="3"/>
    </row>
    <row r="455" spans="1:8" ht="18" hidden="1">
      <c r="A455" s="3">
        <v>217444</v>
      </c>
      <c r="B455" s="7" t="s">
        <v>127</v>
      </c>
      <c r="C455" s="42">
        <v>574.78</v>
      </c>
      <c r="D455" s="6">
        <v>45577</v>
      </c>
      <c r="E455" s="3" t="str">
        <f ca="1">IF(Tabela2[[#This Row],[Dt Venc:]]&gt;TODAY(),"Em Aberto",IF(Tabela2[[#This Row],[D/venc]]="-","Enviado",IF(Tabela2[[#This Row],[Dt Venc:]]=TODAY(),"Vence Hoje","Vencida")))</f>
        <v>Enviado</v>
      </c>
      <c r="F455" s="3" t="str">
        <f ca="1">IF(G455=1,"-",Tabela2[[#This Row],[Dt Venc:]]-TODAY())</f>
        <v>-</v>
      </c>
      <c r="G455" s="3">
        <v>1</v>
      </c>
      <c r="H455" s="3"/>
    </row>
    <row r="456" spans="1:8" ht="18" hidden="1">
      <c r="A456" s="3">
        <v>136356</v>
      </c>
      <c r="B456" s="7" t="s">
        <v>77</v>
      </c>
      <c r="C456" s="42">
        <v>530</v>
      </c>
      <c r="D456" s="6">
        <v>45577</v>
      </c>
      <c r="E456" s="3" t="str">
        <f ca="1">IF(Tabela2[[#This Row],[Dt Venc:]]&gt;TODAY(),"Em Aberto",IF(Tabela2[[#This Row],[D/venc]]="-","Enviado",IF(Tabela2[[#This Row],[Dt Venc:]]=TODAY(),"Vence Hoje","Vencida")))</f>
        <v>Enviado</v>
      </c>
      <c r="F456" s="3" t="str">
        <f ca="1">IF(G456=1,"-",Tabela2[[#This Row],[Dt Venc:]]-TODAY())</f>
        <v>-</v>
      </c>
      <c r="G456" s="3">
        <v>1</v>
      </c>
      <c r="H456" s="3"/>
    </row>
    <row r="457" spans="1:8" ht="18" hidden="1">
      <c r="A457" s="3">
        <v>14050</v>
      </c>
      <c r="B457" s="7" t="s">
        <v>51</v>
      </c>
      <c r="C457" s="41">
        <v>733.33</v>
      </c>
      <c r="D457" s="6">
        <v>45577</v>
      </c>
      <c r="E457" s="3" t="str">
        <f ca="1">IF(Tabela2[[#This Row],[Dt Venc:]]&gt;TODAY(),"Em Aberto",IF(Tabela2[[#This Row],[D/venc]]="-","Enviado",IF(Tabela2[[#This Row],[Dt Venc:]]=TODAY(),"Vence Hoje","Vencida")))</f>
        <v>Enviado</v>
      </c>
      <c r="F457" s="3" t="str">
        <f ca="1">IF(G457=1,"-",Tabela2[[#This Row],[Dt Venc:]]-TODAY())</f>
        <v>-</v>
      </c>
      <c r="G457" s="3">
        <v>1</v>
      </c>
      <c r="H457" s="3"/>
    </row>
    <row r="458" spans="1:8" ht="18" hidden="1">
      <c r="A458" s="3">
        <v>424391</v>
      </c>
      <c r="B458" s="7" t="s">
        <v>222</v>
      </c>
      <c r="C458" s="41">
        <v>446.81</v>
      </c>
      <c r="D458" s="6">
        <v>45577</v>
      </c>
      <c r="E458" s="3" t="str">
        <f ca="1">IF(Tabela2[[#This Row],[Dt Venc:]]&gt;TODAY(),"Em Aberto",IF(Tabela2[[#This Row],[D/venc]]="-","Enviado",IF(Tabela2[[#This Row],[Dt Venc:]]=TODAY(),"Vence Hoje","Vencida")))</f>
        <v>Enviado</v>
      </c>
      <c r="F458" s="3" t="str">
        <f ca="1">IF(G458=1,"-",Tabela2[[#This Row],[Dt Venc:]]-TODAY())</f>
        <v>-</v>
      </c>
      <c r="G458" s="3">
        <v>1</v>
      </c>
      <c r="H458" s="3"/>
    </row>
    <row r="459" spans="1:8" ht="18" hidden="1">
      <c r="A459" s="3">
        <v>424390</v>
      </c>
      <c r="B459" s="7" t="s">
        <v>222</v>
      </c>
      <c r="C459" s="41">
        <v>1072.5</v>
      </c>
      <c r="D459" s="6">
        <v>45577</v>
      </c>
      <c r="E459" s="3" t="str">
        <f ca="1">IF(Tabela2[[#This Row],[Dt Venc:]]&gt;TODAY(),"Em Aberto",IF(Tabela2[[#This Row],[D/venc]]="-","Enviado",IF(Tabela2[[#This Row],[Dt Venc:]]=TODAY(),"Vence Hoje","Vencida")))</f>
        <v>Enviado</v>
      </c>
      <c r="F459" s="3" t="str">
        <f ca="1">IF(G459=1,"-",Tabela2[[#This Row],[Dt Venc:]]-TODAY())</f>
        <v>-</v>
      </c>
      <c r="G459" s="3">
        <v>1</v>
      </c>
      <c r="H459" s="3"/>
    </row>
    <row r="460" spans="1:8" ht="18" hidden="1">
      <c r="A460" s="3">
        <v>152829</v>
      </c>
      <c r="B460" s="7" t="s">
        <v>223</v>
      </c>
      <c r="C460" s="41">
        <v>1823.33</v>
      </c>
      <c r="D460" s="6">
        <v>45577</v>
      </c>
      <c r="E460" s="3" t="str">
        <f ca="1">IF(Tabela2[[#This Row],[Dt Venc:]]&gt;TODAY(),"Em Aberto",IF(Tabela2[[#This Row],[D/venc]]="-","Enviado",IF(Tabela2[[#This Row],[Dt Venc:]]=TODAY(),"Vence Hoje","Vencida")))</f>
        <v>Enviado</v>
      </c>
      <c r="F460" s="3" t="str">
        <f ca="1">IF(G460=1,"-",Tabela2[[#This Row],[Dt Venc:]]-TODAY())</f>
        <v>-</v>
      </c>
      <c r="G460" s="3">
        <v>1</v>
      </c>
      <c r="H460" s="3"/>
    </row>
    <row r="461" spans="1:8" ht="18" hidden="1">
      <c r="A461" s="3">
        <v>5810</v>
      </c>
      <c r="B461" s="7" t="s">
        <v>224</v>
      </c>
      <c r="C461" s="41">
        <v>936</v>
      </c>
      <c r="D461" s="6">
        <v>45577</v>
      </c>
      <c r="E461" s="3" t="str">
        <f ca="1">IF(Tabela2[[#This Row],[Dt Venc:]]&gt;TODAY(),"Em Aberto",IF(Tabela2[[#This Row],[D/venc]]="-","Enviado",IF(Tabela2[[#This Row],[Dt Venc:]]=TODAY(),"Vence Hoje","Vencida")))</f>
        <v>Enviado</v>
      </c>
      <c r="F461" s="3" t="str">
        <f ca="1">IF(G461=1,"-",Tabela2[[#This Row],[Dt Venc:]]-TODAY())</f>
        <v>-</v>
      </c>
      <c r="G461" s="3">
        <v>1</v>
      </c>
      <c r="H461" s="3"/>
    </row>
    <row r="462" spans="1:8" ht="18" hidden="1">
      <c r="A462" s="3">
        <v>367224</v>
      </c>
      <c r="B462" s="7" t="s">
        <v>225</v>
      </c>
      <c r="C462" s="41">
        <v>326.66000000000003</v>
      </c>
      <c r="D462" s="6">
        <v>45577</v>
      </c>
      <c r="E462" s="3" t="str">
        <f ca="1">IF(Tabela2[[#This Row],[Dt Venc:]]&gt;TODAY(),"Em Aberto",IF(Tabela2[[#This Row],[D/venc]]="-","Enviado",IF(Tabela2[[#This Row],[Dt Venc:]]=TODAY(),"Vence Hoje","Vencida")))</f>
        <v>Enviado</v>
      </c>
      <c r="F462" s="3" t="str">
        <f ca="1">IF(G462=1,"-",Tabela2[[#This Row],[Dt Venc:]]-TODAY())</f>
        <v>-</v>
      </c>
      <c r="G462" s="3">
        <v>1</v>
      </c>
      <c r="H462" s="3"/>
    </row>
    <row r="463" spans="1:8" ht="18" hidden="1">
      <c r="A463" s="3">
        <v>29920</v>
      </c>
      <c r="B463" s="7" t="s">
        <v>226</v>
      </c>
      <c r="C463" s="41">
        <v>2925</v>
      </c>
      <c r="D463" s="6">
        <v>45577</v>
      </c>
      <c r="E463" s="3" t="str">
        <f ca="1">IF(Tabela2[[#This Row],[Dt Venc:]]&gt;TODAY(),"Em Aberto",IF(Tabela2[[#This Row],[D/venc]]="-","Enviado",IF(Tabela2[[#This Row],[Dt Venc:]]=TODAY(),"Vence Hoje","Vencida")))</f>
        <v>Enviado</v>
      </c>
      <c r="F463" s="3" t="str">
        <f ca="1">IF(G463=1,"-",Tabela2[[#This Row],[Dt Venc:]]-TODAY())</f>
        <v>-</v>
      </c>
      <c r="G463" s="3">
        <v>1</v>
      </c>
      <c r="H463" s="3"/>
    </row>
    <row r="464" spans="1:8" ht="18" hidden="1">
      <c r="A464" s="3">
        <v>36293</v>
      </c>
      <c r="B464" s="7" t="s">
        <v>227</v>
      </c>
      <c r="C464" s="41">
        <v>81450</v>
      </c>
      <c r="D464" s="6">
        <v>45577</v>
      </c>
      <c r="E464" s="3" t="str">
        <f ca="1">IF(Tabela2[[#This Row],[Dt Venc:]]&gt;TODAY(),"Em Aberto",IF(Tabela2[[#This Row],[D/venc]]="-","Enviado",IF(Tabela2[[#This Row],[Dt Venc:]]=TODAY(),"Vence Hoje","Vencida")))</f>
        <v>Enviado</v>
      </c>
      <c r="F464" s="3" t="str">
        <f ca="1">IF(G464=1,"-",Tabela2[[#This Row],[Dt Venc:]]-TODAY())</f>
        <v>-</v>
      </c>
      <c r="G464" s="3">
        <v>1</v>
      </c>
      <c r="H464" s="3"/>
    </row>
    <row r="465" spans="1:8" ht="18" hidden="1">
      <c r="A465" s="3">
        <v>13185</v>
      </c>
      <c r="B465" s="7" t="s">
        <v>228</v>
      </c>
      <c r="C465" s="41">
        <v>279.7</v>
      </c>
      <c r="D465" s="6">
        <v>45577</v>
      </c>
      <c r="E465" s="3" t="str">
        <f ca="1">IF(Tabela2[[#This Row],[Dt Venc:]]&gt;TODAY(),"Em Aberto",IF(Tabela2[[#This Row],[D/venc]]="-","Enviado",IF(Tabela2[[#This Row],[Dt Venc:]]=TODAY(),"Vence Hoje","Vencida")))</f>
        <v>Enviado</v>
      </c>
      <c r="F465" s="3" t="str">
        <f ca="1">IF(G465=1,"-",Tabela2[[#This Row],[Dt Venc:]]-TODAY())</f>
        <v>-</v>
      </c>
      <c r="G465" s="3">
        <v>1</v>
      </c>
      <c r="H465" s="3"/>
    </row>
    <row r="466" spans="1:8" ht="18" hidden="1">
      <c r="A466" s="3">
        <v>248501</v>
      </c>
      <c r="B466" s="7" t="s">
        <v>36</v>
      </c>
      <c r="C466" s="42">
        <v>789.33</v>
      </c>
      <c r="D466" s="6">
        <v>45578</v>
      </c>
      <c r="E466" s="3" t="str">
        <f ca="1">IF(Tabela2[[#This Row],[Dt Venc:]]&gt;TODAY(),"Em Aberto",IF(Tabela2[[#This Row],[D/venc]]="-","Enviado",IF(Tabela2[[#This Row],[Dt Venc:]]=TODAY(),"Vence Hoje","Vencida")))</f>
        <v>Enviado</v>
      </c>
      <c r="F466" s="3" t="str">
        <f ca="1">IF(G466=1,"-",Tabela2[[#This Row],[Dt Venc:]]-TODAY())</f>
        <v>-</v>
      </c>
      <c r="G466" s="3">
        <v>1</v>
      </c>
      <c r="H466" s="3"/>
    </row>
    <row r="467" spans="1:8" ht="18" hidden="1">
      <c r="A467" s="3">
        <v>248525</v>
      </c>
      <c r="B467" s="7" t="s">
        <v>229</v>
      </c>
      <c r="C467" s="42">
        <v>413.33</v>
      </c>
      <c r="D467" s="6">
        <v>45578</v>
      </c>
      <c r="E467" s="3" t="str">
        <f ca="1">IF(Tabela2[[#This Row],[Dt Venc:]]&gt;TODAY(),"Em Aberto",IF(Tabela2[[#This Row],[D/venc]]="-","Enviado",IF(Tabela2[[#This Row],[Dt Venc:]]=TODAY(),"Vence Hoje","Vencida")))</f>
        <v>Enviado</v>
      </c>
      <c r="F467" s="3" t="str">
        <f ca="1">IF(G467=1,"-",Tabela2[[#This Row],[Dt Venc:]]-TODAY())</f>
        <v>-</v>
      </c>
      <c r="G467" s="3">
        <v>1</v>
      </c>
      <c r="H467" s="3"/>
    </row>
    <row r="468" spans="1:8" ht="18" hidden="1">
      <c r="A468" s="3">
        <v>422083</v>
      </c>
      <c r="B468" s="7" t="s">
        <v>89</v>
      </c>
      <c r="C468" s="42">
        <v>1266.67</v>
      </c>
      <c r="D468" s="6">
        <v>45578</v>
      </c>
      <c r="E468" s="3" t="str">
        <f ca="1">IF(Tabela2[[#This Row],[Dt Venc:]]&gt;TODAY(),"Em Aberto",IF(Tabela2[[#This Row],[D/venc]]="-","Enviado",IF(Tabela2[[#This Row],[Dt Venc:]]=TODAY(),"Vence Hoje","Vencida")))</f>
        <v>Enviado</v>
      </c>
      <c r="F468" s="3" t="str">
        <f ca="1">IF(G468=1,"-",Tabela2[[#This Row],[Dt Venc:]]-TODAY())</f>
        <v>-</v>
      </c>
      <c r="G468" s="3">
        <v>1</v>
      </c>
      <c r="H468" s="3"/>
    </row>
    <row r="469" spans="1:8" ht="18" hidden="1">
      <c r="A469" s="3">
        <v>2669</v>
      </c>
      <c r="B469" s="7" t="s">
        <v>58</v>
      </c>
      <c r="C469" s="42">
        <v>1624.14</v>
      </c>
      <c r="D469" s="6">
        <v>45578</v>
      </c>
      <c r="E469" s="3" t="str">
        <f ca="1">IF(Tabela2[[#This Row],[Dt Venc:]]&gt;TODAY(),"Em Aberto",IF(Tabela2[[#This Row],[D/venc]]="-","Enviado",IF(Tabela2[[#This Row],[Dt Venc:]]=TODAY(),"Vence Hoje","Vencida")))</f>
        <v>Enviado</v>
      </c>
      <c r="F469" s="3" t="str">
        <f ca="1">IF(G469=1,"-",Tabela2[[#This Row],[Dt Venc:]]-TODAY())</f>
        <v>-</v>
      </c>
      <c r="G469" s="3">
        <v>1</v>
      </c>
      <c r="H469" s="3"/>
    </row>
    <row r="470" spans="1:8" ht="18" hidden="1">
      <c r="A470" s="3">
        <v>2949</v>
      </c>
      <c r="B470" s="7" t="s">
        <v>100</v>
      </c>
      <c r="C470" s="42">
        <v>1333.33</v>
      </c>
      <c r="D470" s="6">
        <v>45578</v>
      </c>
      <c r="E470" s="3" t="str">
        <f ca="1">IF(Tabela2[[#This Row],[Dt Venc:]]&gt;TODAY(),"Em Aberto",IF(Tabela2[[#This Row],[D/venc]]="-","Enviado",IF(Tabela2[[#This Row],[Dt Venc:]]=TODAY(),"Vence Hoje","Vencida")))</f>
        <v>Enviado</v>
      </c>
      <c r="F470" s="3" t="str">
        <f ca="1">IF(G470=1,"-",Tabela2[[#This Row],[Dt Venc:]]-TODAY())</f>
        <v>-</v>
      </c>
      <c r="G470" s="3">
        <v>1</v>
      </c>
      <c r="H470" s="3"/>
    </row>
    <row r="471" spans="1:8" ht="18" hidden="1">
      <c r="A471" s="3">
        <v>151441</v>
      </c>
      <c r="B471" s="7" t="s">
        <v>77</v>
      </c>
      <c r="C471" s="42">
        <v>866.67</v>
      </c>
      <c r="D471" s="6">
        <v>45578</v>
      </c>
      <c r="E471" s="3" t="str">
        <f ca="1">IF(Tabela2[[#This Row],[Dt Venc:]]&gt;TODAY(),"Em Aberto",IF(Tabela2[[#This Row],[D/venc]]="-","Enviado",IF(Tabela2[[#This Row],[Dt Venc:]]=TODAY(),"Vence Hoje","Vencida")))</f>
        <v>Enviado</v>
      </c>
      <c r="F471" s="3" t="str">
        <f ca="1">IF(G471=1,"-",Tabela2[[#This Row],[Dt Venc:]]-TODAY())</f>
        <v>-</v>
      </c>
      <c r="G471" s="3">
        <v>1</v>
      </c>
      <c r="H471" s="3"/>
    </row>
    <row r="472" spans="1:8" ht="18" hidden="1">
      <c r="A472" s="3">
        <v>5612</v>
      </c>
      <c r="B472" s="7" t="s">
        <v>47</v>
      </c>
      <c r="C472" s="42">
        <v>946.59</v>
      </c>
      <c r="D472" s="6">
        <v>45578</v>
      </c>
      <c r="E472" s="3" t="str">
        <f ca="1">IF(Tabela2[[#This Row],[Dt Venc:]]&gt;TODAY(),"Em Aberto",IF(Tabela2[[#This Row],[D/venc]]="-","Enviado",IF(Tabela2[[#This Row],[Dt Venc:]]=TODAY(),"Vence Hoje","Vencida")))</f>
        <v>Enviado</v>
      </c>
      <c r="F472" s="3" t="str">
        <f ca="1">IF(G472=1,"-",Tabela2[[#This Row],[Dt Venc:]]-TODAY())</f>
        <v>-</v>
      </c>
      <c r="G472" s="3">
        <v>1</v>
      </c>
      <c r="H472" s="3"/>
    </row>
    <row r="473" spans="1:8" ht="18" hidden="1">
      <c r="A473" s="3">
        <v>5733</v>
      </c>
      <c r="B473" s="7" t="s">
        <v>47</v>
      </c>
      <c r="C473" s="42">
        <v>1042.3499999999999</v>
      </c>
      <c r="D473" s="6">
        <v>45578</v>
      </c>
      <c r="E473" s="3" t="str">
        <f ca="1">IF(Tabela2[[#This Row],[Dt Venc:]]&gt;TODAY(),"Em Aberto",IF(Tabela2[[#This Row],[D/venc]]="-","Enviado",IF(Tabela2[[#This Row],[Dt Venc:]]=TODAY(),"Vence Hoje","Vencida")))</f>
        <v>Enviado</v>
      </c>
      <c r="F473" s="3" t="str">
        <f ca="1">IF(G473=1,"-",Tabela2[[#This Row],[Dt Venc:]]-TODAY())</f>
        <v>-</v>
      </c>
      <c r="G473" s="3">
        <v>1</v>
      </c>
      <c r="H473" s="3"/>
    </row>
    <row r="474" spans="1:8" ht="18" hidden="1">
      <c r="A474" s="3">
        <v>5736</v>
      </c>
      <c r="B474" s="7" t="s">
        <v>47</v>
      </c>
      <c r="C474" s="42">
        <v>1366.73</v>
      </c>
      <c r="D474" s="6">
        <v>45578</v>
      </c>
      <c r="E474" s="3" t="str">
        <f ca="1">IF(Tabela2[[#This Row],[Dt Venc:]]&gt;TODAY(),"Em Aberto",IF(Tabela2[[#This Row],[D/venc]]="-","Enviado",IF(Tabela2[[#This Row],[Dt Venc:]]=TODAY(),"Vence Hoje","Vencida")))</f>
        <v>Enviado</v>
      </c>
      <c r="F474" s="3" t="str">
        <f ca="1">IF(G474=1,"-",Tabela2[[#This Row],[Dt Venc:]]-TODAY())</f>
        <v>-</v>
      </c>
      <c r="G474" s="3">
        <v>1</v>
      </c>
      <c r="H474" s="3"/>
    </row>
    <row r="475" spans="1:8" ht="18" hidden="1">
      <c r="A475" s="3">
        <v>5820</v>
      </c>
      <c r="B475" s="7" t="s">
        <v>230</v>
      </c>
      <c r="C475" s="41">
        <v>357.1</v>
      </c>
      <c r="D475" s="6">
        <v>45578</v>
      </c>
      <c r="E475" s="3" t="str">
        <f ca="1">IF(Tabela2[[#This Row],[Dt Venc:]]&gt;TODAY(),"Em Aberto",IF(Tabela2[[#This Row],[D/venc]]="-","Enviado",IF(Tabela2[[#This Row],[Dt Venc:]]=TODAY(),"Vence Hoje","Vencida")))</f>
        <v>Enviado</v>
      </c>
      <c r="F475" s="3" t="str">
        <f ca="1">IF(G475=1,"-",Tabela2[[#This Row],[Dt Venc:]]-TODAY())</f>
        <v>-</v>
      </c>
      <c r="G475" s="3">
        <v>1</v>
      </c>
      <c r="H475" s="3"/>
    </row>
    <row r="476" spans="1:8" ht="18" hidden="1">
      <c r="A476" s="3">
        <v>10674</v>
      </c>
      <c r="B476" s="7" t="s">
        <v>231</v>
      </c>
      <c r="C476" s="41">
        <v>455</v>
      </c>
      <c r="D476" s="6">
        <v>45578</v>
      </c>
      <c r="E476" s="3" t="str">
        <f ca="1">IF(Tabela2[[#This Row],[Dt Venc:]]&gt;TODAY(),"Em Aberto",IF(Tabela2[[#This Row],[D/venc]]="-","Enviado",IF(Tabela2[[#This Row],[Dt Venc:]]=TODAY(),"Vence Hoje","Vencida")))</f>
        <v>Enviado</v>
      </c>
      <c r="F476" s="3" t="str">
        <f ca="1">IF(G476=1,"-",Tabela2[[#This Row],[Dt Venc:]]-TODAY())</f>
        <v>-</v>
      </c>
      <c r="G476" s="3">
        <v>1</v>
      </c>
      <c r="H476" s="3"/>
    </row>
    <row r="477" spans="1:8" ht="18" hidden="1">
      <c r="A477" s="3">
        <v>952</v>
      </c>
      <c r="B477" s="7" t="s">
        <v>232</v>
      </c>
      <c r="C477" s="41">
        <v>1226.6600000000001</v>
      </c>
      <c r="D477" s="6">
        <v>45578</v>
      </c>
      <c r="E477" s="3" t="str">
        <f ca="1">IF(Tabela2[[#This Row],[Dt Venc:]]&gt;TODAY(),"Em Aberto",IF(Tabela2[[#This Row],[D/venc]]="-","Enviado",IF(Tabela2[[#This Row],[Dt Venc:]]=TODAY(),"Vence Hoje","Vencida")))</f>
        <v>Enviado</v>
      </c>
      <c r="F477" s="3" t="str">
        <f ca="1">IF(G477=1,"-",Tabela2[[#This Row],[Dt Venc:]]-TODAY())</f>
        <v>-</v>
      </c>
      <c r="G477" s="3">
        <v>1</v>
      </c>
      <c r="H477" s="3"/>
    </row>
    <row r="478" spans="1:8" ht="18" hidden="1">
      <c r="A478" s="3">
        <v>5871</v>
      </c>
      <c r="B478" s="7" t="s">
        <v>47</v>
      </c>
      <c r="C478" s="41">
        <v>1084.2</v>
      </c>
      <c r="D478" s="6">
        <v>45578</v>
      </c>
      <c r="E478" s="3" t="str">
        <f ca="1">IF(Tabela2[[#This Row],[Dt Venc:]]&gt;TODAY(),"Em Aberto",IF(Tabela2[[#This Row],[D/venc]]="-","Enviado",IF(Tabela2[[#This Row],[Dt Venc:]]=TODAY(),"Vence Hoje","Vencida")))</f>
        <v>Enviado</v>
      </c>
      <c r="F478" s="3" t="str">
        <f ca="1">IF(G478=1,"-",Tabela2[[#This Row],[Dt Venc:]]-TODAY())</f>
        <v>-</v>
      </c>
      <c r="G478" s="3">
        <v>1</v>
      </c>
      <c r="H478" s="3"/>
    </row>
    <row r="479" spans="1:8" ht="18" hidden="1">
      <c r="A479" s="3">
        <v>5817</v>
      </c>
      <c r="B479" s="7" t="s">
        <v>140</v>
      </c>
      <c r="C479" s="41">
        <v>691.67</v>
      </c>
      <c r="D479" s="6">
        <v>45578</v>
      </c>
      <c r="E479" s="3" t="str">
        <f ca="1">IF(Tabela2[[#This Row],[Dt Venc:]]&gt;TODAY(),"Em Aberto",IF(Tabela2[[#This Row],[D/venc]]="-","Enviado",IF(Tabela2[[#This Row],[Dt Venc:]]=TODAY(),"Vence Hoje","Vencida")))</f>
        <v>Enviado</v>
      </c>
      <c r="F479" s="3" t="str">
        <f ca="1">IF(G479=1,"-",Tabela2[[#This Row],[Dt Venc:]]-TODAY())</f>
        <v>-</v>
      </c>
      <c r="G479" s="3">
        <v>1</v>
      </c>
      <c r="H479" s="3"/>
    </row>
    <row r="480" spans="1:8" ht="18" hidden="1">
      <c r="A480" s="3">
        <v>19660</v>
      </c>
      <c r="B480" s="7" t="s">
        <v>233</v>
      </c>
      <c r="C480" s="41">
        <v>1083.33</v>
      </c>
      <c r="D480" s="6">
        <v>45578</v>
      </c>
      <c r="E480" s="3" t="str">
        <f ca="1">IF(Tabela2[[#This Row],[Dt Venc:]]&gt;TODAY(),"Em Aberto",IF(Tabela2[[#This Row],[D/venc]]="-","Enviado",IF(Tabela2[[#This Row],[Dt Venc:]]=TODAY(),"Vence Hoje","Vencida")))</f>
        <v>Enviado</v>
      </c>
      <c r="F480" s="3" t="str">
        <f ca="1">IF(G480=1,"-",Tabela2[[#This Row],[Dt Venc:]]-TODAY())</f>
        <v>-</v>
      </c>
      <c r="G480" s="3">
        <v>1</v>
      </c>
      <c r="H480" s="3"/>
    </row>
    <row r="481" spans="1:8" ht="18" hidden="1">
      <c r="A481" s="3">
        <v>10898</v>
      </c>
      <c r="B481" s="7" t="s">
        <v>33</v>
      </c>
      <c r="C481" s="41">
        <v>1665</v>
      </c>
      <c r="D481" s="6">
        <v>45578</v>
      </c>
      <c r="E481" s="3" t="str">
        <f ca="1">IF(Tabela2[[#This Row],[Dt Venc:]]&gt;TODAY(),"Em Aberto",IF(Tabela2[[#This Row],[D/venc]]="-","Enviado",IF(Tabela2[[#This Row],[Dt Venc:]]=TODAY(),"Vence Hoje","Vencida")))</f>
        <v>Enviado</v>
      </c>
      <c r="F481" s="3" t="str">
        <f ca="1">IF(G481=1,"-",Tabela2[[#This Row],[Dt Venc:]]-TODAY())</f>
        <v>-</v>
      </c>
      <c r="G481" s="3">
        <v>1</v>
      </c>
      <c r="H481" s="3"/>
    </row>
    <row r="482" spans="1:8" ht="18" hidden="1">
      <c r="A482" s="3">
        <v>265425</v>
      </c>
      <c r="B482" s="7" t="s">
        <v>234</v>
      </c>
      <c r="C482" s="41">
        <v>43.92</v>
      </c>
      <c r="D482" s="6">
        <v>45578</v>
      </c>
      <c r="E482" s="3" t="str">
        <f ca="1">IF(Tabela2[[#This Row],[Dt Venc:]]&gt;TODAY(),"Em Aberto",IF(Tabela2[[#This Row],[D/venc]]="-","Enviado",IF(Tabela2[[#This Row],[Dt Venc:]]=TODAY(),"Vence Hoje","Vencida")))</f>
        <v>Enviado</v>
      </c>
      <c r="F482" s="3" t="str">
        <f ca="1">IF(G482=1,"-",Tabela2[[#This Row],[Dt Venc:]]-TODAY())</f>
        <v>-</v>
      </c>
      <c r="G482" s="3">
        <v>1</v>
      </c>
      <c r="H482" s="3"/>
    </row>
    <row r="483" spans="1:8" ht="18" hidden="1">
      <c r="A483" s="3">
        <v>265389</v>
      </c>
      <c r="B483" s="7" t="s">
        <v>234</v>
      </c>
      <c r="C483" s="41">
        <v>174.91</v>
      </c>
      <c r="D483" s="6">
        <v>45578</v>
      </c>
      <c r="E483" s="3" t="str">
        <f ca="1">IF(Tabela2[[#This Row],[Dt Venc:]]&gt;TODAY(),"Em Aberto",IF(Tabela2[[#This Row],[D/venc]]="-","Enviado",IF(Tabela2[[#This Row],[Dt Venc:]]=TODAY(),"Vence Hoje","Vencida")))</f>
        <v>Enviado</v>
      </c>
      <c r="F483" s="3" t="str">
        <f ca="1">IF(G483=1,"-",Tabela2[[#This Row],[Dt Venc:]]-TODAY())</f>
        <v>-</v>
      </c>
      <c r="G483" s="3">
        <v>1</v>
      </c>
      <c r="H483" s="3"/>
    </row>
    <row r="484" spans="1:8" ht="18" hidden="1">
      <c r="A484" s="3">
        <v>265358</v>
      </c>
      <c r="B484" s="7" t="s">
        <v>234</v>
      </c>
      <c r="C484" s="41">
        <v>2060.21</v>
      </c>
      <c r="D484" s="6">
        <v>45578</v>
      </c>
      <c r="E484" s="3" t="str">
        <f ca="1">IF(Tabela2[[#This Row],[Dt Venc:]]&gt;TODAY(),"Em Aberto",IF(Tabela2[[#This Row],[D/venc]]="-","Enviado",IF(Tabela2[[#This Row],[Dt Venc:]]=TODAY(),"Vence Hoje","Vencida")))</f>
        <v>Enviado</v>
      </c>
      <c r="F484" s="3" t="str">
        <f ca="1">IF(G484=1,"-",Tabela2[[#This Row],[Dt Venc:]]-TODAY())</f>
        <v>-</v>
      </c>
      <c r="G484" s="3">
        <v>1</v>
      </c>
      <c r="H484" s="3"/>
    </row>
    <row r="485" spans="1:8" ht="18" hidden="1">
      <c r="A485" s="3">
        <v>72649</v>
      </c>
      <c r="B485" s="7" t="s">
        <v>235</v>
      </c>
      <c r="C485" s="42">
        <v>646.07000000000005</v>
      </c>
      <c r="D485" s="6">
        <v>45579</v>
      </c>
      <c r="E485" s="3" t="str">
        <f ca="1">IF(Tabela2[[#This Row],[Dt Venc:]]&gt;TODAY(),"Em Aberto",IF(Tabela2[[#This Row],[D/venc]]="-","Enviado",IF(Tabela2[[#This Row],[Dt Venc:]]=TODAY(),"Vence Hoje","Vencida")))</f>
        <v>Enviado</v>
      </c>
      <c r="F485" s="3" t="str">
        <f ca="1">IF(G485=1,"-",Tabela2[[#This Row],[Dt Venc:]]-TODAY())</f>
        <v>-</v>
      </c>
      <c r="G485" s="3">
        <v>1</v>
      </c>
      <c r="H485" s="3"/>
    </row>
    <row r="486" spans="1:8" ht="18" hidden="1">
      <c r="A486" s="3">
        <v>1225189</v>
      </c>
      <c r="B486" s="7" t="s">
        <v>64</v>
      </c>
      <c r="C486" s="42">
        <v>1505.34</v>
      </c>
      <c r="D486" s="6">
        <v>45579</v>
      </c>
      <c r="E486" s="3" t="str">
        <f ca="1">IF(Tabela2[[#This Row],[Dt Venc:]]&gt;TODAY(),"Em Aberto",IF(Tabela2[[#This Row],[D/venc]]="-","Enviado",IF(Tabela2[[#This Row],[Dt Venc:]]=TODAY(),"Vence Hoje","Vencida")))</f>
        <v>Enviado</v>
      </c>
      <c r="F486" s="3" t="str">
        <f ca="1">IF(G486=1,"-",Tabela2[[#This Row],[Dt Venc:]]-TODAY())</f>
        <v>-</v>
      </c>
      <c r="G486" s="3">
        <v>1</v>
      </c>
      <c r="H486" s="3"/>
    </row>
    <row r="487" spans="1:8" ht="18" hidden="1">
      <c r="A487" s="3">
        <v>39637</v>
      </c>
      <c r="B487" s="7" t="s">
        <v>144</v>
      </c>
      <c r="C487" s="42">
        <v>1138.6500000000001</v>
      </c>
      <c r="D487" s="6">
        <v>45579</v>
      </c>
      <c r="E487" s="3" t="str">
        <f ca="1">IF(Tabela2[[#This Row],[Dt Venc:]]&gt;TODAY(),"Em Aberto",IF(Tabela2[[#This Row],[D/venc]]="-","Enviado",IF(Tabela2[[#This Row],[Dt Venc:]]=TODAY(),"Vence Hoje","Vencida")))</f>
        <v>Enviado</v>
      </c>
      <c r="F487" s="3" t="str">
        <f ca="1">IF(G487=1,"-",Tabela2[[#This Row],[Dt Venc:]]-TODAY())</f>
        <v>-</v>
      </c>
      <c r="G487" s="3">
        <v>1</v>
      </c>
      <c r="H487" s="3"/>
    </row>
    <row r="488" spans="1:8" ht="18" hidden="1">
      <c r="A488" s="3">
        <v>40752</v>
      </c>
      <c r="B488" s="7" t="s">
        <v>144</v>
      </c>
      <c r="C488" s="42">
        <v>552.38</v>
      </c>
      <c r="D488" s="6">
        <v>45579</v>
      </c>
      <c r="E488" s="3" t="str">
        <f ca="1">IF(Tabela2[[#This Row],[Dt Venc:]]&gt;TODAY(),"Em Aberto",IF(Tabela2[[#This Row],[D/venc]]="-","Enviado",IF(Tabela2[[#This Row],[Dt Venc:]]=TODAY(),"Vence Hoje","Vencida")))</f>
        <v>Enviado</v>
      </c>
      <c r="F488" s="3" t="str">
        <f ca="1">IF(G488=1,"-",Tabela2[[#This Row],[Dt Venc:]]-TODAY())</f>
        <v>-</v>
      </c>
      <c r="G488" s="3">
        <v>1</v>
      </c>
      <c r="H488" s="3"/>
    </row>
    <row r="489" spans="1:8" ht="18" hidden="1">
      <c r="A489" s="3">
        <v>248566</v>
      </c>
      <c r="B489" s="7" t="s">
        <v>236</v>
      </c>
      <c r="C489" s="42">
        <v>554.66999999999996</v>
      </c>
      <c r="D489" s="6">
        <v>45579</v>
      </c>
      <c r="E489" s="3" t="str">
        <f ca="1">IF(Tabela2[[#This Row],[Dt Venc:]]&gt;TODAY(),"Em Aberto",IF(Tabela2[[#This Row],[D/venc]]="-","Enviado",IF(Tabela2[[#This Row],[Dt Venc:]]=TODAY(),"Vence Hoje","Vencida")))</f>
        <v>Enviado</v>
      </c>
      <c r="F489" s="3" t="str">
        <f ca="1">IF(G489=1,"-",Tabela2[[#This Row],[Dt Venc:]]-TODAY())</f>
        <v>-</v>
      </c>
      <c r="G489" s="3">
        <v>1</v>
      </c>
      <c r="H489" s="3"/>
    </row>
    <row r="490" spans="1:8" ht="18" hidden="1">
      <c r="A490" s="3">
        <v>248580</v>
      </c>
      <c r="B490" s="7" t="s">
        <v>36</v>
      </c>
      <c r="C490" s="42">
        <v>401.33</v>
      </c>
      <c r="D490" s="6">
        <v>45579</v>
      </c>
      <c r="E490" s="3" t="str">
        <f ca="1">IF(Tabela2[[#This Row],[Dt Venc:]]&gt;TODAY(),"Em Aberto",IF(Tabela2[[#This Row],[D/venc]]="-","Enviado",IF(Tabela2[[#This Row],[Dt Venc:]]=TODAY(),"Vence Hoje","Vencida")))</f>
        <v>Enviado</v>
      </c>
      <c r="F490" s="3" t="str">
        <f ca="1">IF(G490=1,"-",Tabela2[[#This Row],[Dt Venc:]]-TODAY())</f>
        <v>-</v>
      </c>
      <c r="G490" s="3">
        <v>1</v>
      </c>
      <c r="H490" s="3"/>
    </row>
    <row r="491" spans="1:8" ht="18" hidden="1">
      <c r="A491" s="3">
        <v>2672</v>
      </c>
      <c r="B491" s="7" t="s">
        <v>58</v>
      </c>
      <c r="C491" s="42">
        <v>592</v>
      </c>
      <c r="D491" s="6">
        <v>45579</v>
      </c>
      <c r="E491" s="3" t="str">
        <f ca="1">IF(Tabela2[[#This Row],[Dt Venc:]]&gt;TODAY(),"Em Aberto",IF(Tabela2[[#This Row],[D/venc]]="-","Enviado",IF(Tabela2[[#This Row],[Dt Venc:]]=TODAY(),"Vence Hoje","Vencida")))</f>
        <v>Enviado</v>
      </c>
      <c r="F491" s="3" t="str">
        <f ca="1">IF(G491=1,"-",Tabela2[[#This Row],[Dt Venc:]]-TODAY())</f>
        <v>-</v>
      </c>
      <c r="G491" s="3">
        <v>1</v>
      </c>
      <c r="H491" s="3"/>
    </row>
    <row r="492" spans="1:8" ht="18" hidden="1">
      <c r="A492" s="3">
        <v>79874</v>
      </c>
      <c r="B492" s="7" t="s">
        <v>39</v>
      </c>
      <c r="C492" s="42">
        <v>500.17</v>
      </c>
      <c r="D492" s="6">
        <v>45579</v>
      </c>
      <c r="E492" s="3" t="str">
        <f ca="1">IF(Tabela2[[#This Row],[Dt Venc:]]&gt;TODAY(),"Em Aberto",IF(Tabela2[[#This Row],[D/venc]]="-","Enviado",IF(Tabela2[[#This Row],[Dt Venc:]]=TODAY(),"Vence Hoje","Vencida")))</f>
        <v>Enviado</v>
      </c>
      <c r="F492" s="3" t="str">
        <f ca="1">IF(G492=1,"-",Tabela2[[#This Row],[Dt Venc:]]-TODAY())</f>
        <v>-</v>
      </c>
      <c r="G492" s="3">
        <v>1</v>
      </c>
      <c r="H492" s="3"/>
    </row>
    <row r="493" spans="1:8" ht="18" hidden="1">
      <c r="A493" s="3">
        <v>79888</v>
      </c>
      <c r="B493" s="7" t="s">
        <v>39</v>
      </c>
      <c r="C493" s="42">
        <v>609.23</v>
      </c>
      <c r="D493" s="6">
        <v>45579</v>
      </c>
      <c r="E493" s="3" t="str">
        <f ca="1">IF(Tabela2[[#This Row],[Dt Venc:]]&gt;TODAY(),"Em Aberto",IF(Tabela2[[#This Row],[D/venc]]="-","Enviado",IF(Tabela2[[#This Row],[Dt Venc:]]=TODAY(),"Vence Hoje","Vencida")))</f>
        <v>Enviado</v>
      </c>
      <c r="F493" s="3" t="str">
        <f ca="1">IF(G493=1,"-",Tabela2[[#This Row],[Dt Venc:]]-TODAY())</f>
        <v>-</v>
      </c>
      <c r="G493" s="3">
        <v>1</v>
      </c>
      <c r="H493" s="3"/>
    </row>
    <row r="494" spans="1:8" ht="18" hidden="1">
      <c r="A494" s="3">
        <v>218528</v>
      </c>
      <c r="B494" s="7" t="s">
        <v>39</v>
      </c>
      <c r="C494" s="42">
        <v>21465</v>
      </c>
      <c r="D494" s="6">
        <v>45579</v>
      </c>
      <c r="E494" s="3" t="str">
        <f ca="1">IF(Tabela2[[#This Row],[Dt Venc:]]&gt;TODAY(),"Em Aberto",IF(Tabela2[[#This Row],[D/venc]]="-","Enviado",IF(Tabela2[[#This Row],[Dt Venc:]]=TODAY(),"Vence Hoje","Vencida")))</f>
        <v>Enviado</v>
      </c>
      <c r="F494" s="3" t="str">
        <f ca="1">IF(G494=1,"-",Tabela2[[#This Row],[Dt Venc:]]-TODAY())</f>
        <v>-</v>
      </c>
      <c r="G494" s="3">
        <v>1</v>
      </c>
      <c r="H494" s="3"/>
    </row>
    <row r="495" spans="1:8" ht="18" hidden="1">
      <c r="A495" s="3">
        <v>360525</v>
      </c>
      <c r="B495" s="7" t="s">
        <v>39</v>
      </c>
      <c r="C495" s="42">
        <v>411.52</v>
      </c>
      <c r="D495" s="6">
        <v>45579</v>
      </c>
      <c r="E495" s="3" t="str">
        <f ca="1">IF(Tabela2[[#This Row],[Dt Venc:]]&gt;TODAY(),"Em Aberto",IF(Tabela2[[#This Row],[D/venc]]="-","Enviado",IF(Tabela2[[#This Row],[Dt Venc:]]=TODAY(),"Vence Hoje","Vencida")))</f>
        <v>Enviado</v>
      </c>
      <c r="F495" s="3" t="str">
        <f ca="1">IF(G495=1,"-",Tabela2[[#This Row],[Dt Venc:]]-TODAY())</f>
        <v>-</v>
      </c>
      <c r="G495" s="3">
        <v>1</v>
      </c>
      <c r="H495" s="3"/>
    </row>
    <row r="496" spans="1:8" ht="18" hidden="1">
      <c r="A496" s="3">
        <v>360574</v>
      </c>
      <c r="B496" s="7" t="s">
        <v>39</v>
      </c>
      <c r="C496" s="42">
        <v>411.52</v>
      </c>
      <c r="D496" s="6">
        <v>45579</v>
      </c>
      <c r="E496" s="3" t="str">
        <f ca="1">IF(Tabela2[[#This Row],[Dt Venc:]]&gt;TODAY(),"Em Aberto",IF(Tabela2[[#This Row],[D/venc]]="-","Enviado",IF(Tabela2[[#This Row],[Dt Venc:]]=TODAY(),"Vence Hoje","Vencida")))</f>
        <v>Enviado</v>
      </c>
      <c r="F496" s="3" t="str">
        <f ca="1">IF(G496=1,"-",Tabela2[[#This Row],[Dt Venc:]]-TODAY())</f>
        <v>-</v>
      </c>
      <c r="G496" s="3">
        <v>1</v>
      </c>
      <c r="H496" s="3"/>
    </row>
    <row r="497" spans="1:8" ht="18" hidden="1">
      <c r="A497" s="3">
        <v>362813</v>
      </c>
      <c r="B497" s="7" t="s">
        <v>39</v>
      </c>
      <c r="C497" s="42">
        <v>744.71</v>
      </c>
      <c r="D497" s="6">
        <v>45579</v>
      </c>
      <c r="E497" s="3" t="str">
        <f ca="1">IF(Tabela2[[#This Row],[Dt Venc:]]&gt;TODAY(),"Em Aberto",IF(Tabela2[[#This Row],[D/venc]]="-","Enviado",IF(Tabela2[[#This Row],[Dt Venc:]]=TODAY(),"Vence Hoje","Vencida")))</f>
        <v>Enviado</v>
      </c>
      <c r="F497" s="3" t="str">
        <f ca="1">IF(G497=1,"-",Tabela2[[#This Row],[Dt Venc:]]-TODAY())</f>
        <v>-</v>
      </c>
      <c r="G497" s="3">
        <v>1</v>
      </c>
      <c r="H497" s="3"/>
    </row>
    <row r="498" spans="1:8" ht="18" hidden="1">
      <c r="A498" s="3">
        <v>362870</v>
      </c>
      <c r="B498" s="7" t="s">
        <v>39</v>
      </c>
      <c r="C498" s="42">
        <v>306.20999999999998</v>
      </c>
      <c r="D498" s="6">
        <v>45579</v>
      </c>
      <c r="E498" s="3" t="str">
        <f ca="1">IF(Tabela2[[#This Row],[Dt Venc:]]&gt;TODAY(),"Em Aberto",IF(Tabela2[[#This Row],[D/venc]]="-","Enviado",IF(Tabela2[[#This Row],[Dt Venc:]]=TODAY(),"Vence Hoje","Vencida")))</f>
        <v>Enviado</v>
      </c>
      <c r="F498" s="3" t="str">
        <f ca="1">IF(G498=1,"-",Tabela2[[#This Row],[Dt Venc:]]-TODAY())</f>
        <v>-</v>
      </c>
      <c r="G498" s="3">
        <v>1</v>
      </c>
      <c r="H498" s="3"/>
    </row>
    <row r="499" spans="1:8" ht="18" hidden="1">
      <c r="A499" s="3">
        <v>217043</v>
      </c>
      <c r="B499" s="7" t="s">
        <v>187</v>
      </c>
      <c r="C499" s="42">
        <v>14250</v>
      </c>
      <c r="D499" s="6">
        <v>45579</v>
      </c>
      <c r="E499" s="3" t="str">
        <f ca="1">IF(Tabela2[[#This Row],[Dt Venc:]]&gt;TODAY(),"Em Aberto",IF(Tabela2[[#This Row],[D/venc]]="-","Enviado",IF(Tabela2[[#This Row],[Dt Venc:]]=TODAY(),"Vence Hoje","Vencida")))</f>
        <v>Enviado</v>
      </c>
      <c r="F499" s="3" t="str">
        <f ca="1">IF(G499=1,"-",Tabela2[[#This Row],[Dt Venc:]]-TODAY())</f>
        <v>-</v>
      </c>
      <c r="G499" s="3">
        <v>1</v>
      </c>
      <c r="H499" s="3"/>
    </row>
    <row r="500" spans="1:8" ht="18" hidden="1">
      <c r="A500" s="3">
        <v>144781</v>
      </c>
      <c r="B500" s="7" t="s">
        <v>127</v>
      </c>
      <c r="C500" s="42">
        <v>953.32</v>
      </c>
      <c r="D500" s="6">
        <v>45579</v>
      </c>
      <c r="E500" s="3" t="str">
        <f ca="1">IF(Tabela2[[#This Row],[Dt Venc:]]&gt;TODAY(),"Em Aberto",IF(Tabela2[[#This Row],[D/venc]]="-","Enviado",IF(Tabela2[[#This Row],[Dt Venc:]]=TODAY(),"Vence Hoje","Vencida")))</f>
        <v>Enviado</v>
      </c>
      <c r="F500" s="3" t="str">
        <f ca="1">IF(G500=1,"-",Tabela2[[#This Row],[Dt Venc:]]-TODAY())</f>
        <v>-</v>
      </c>
      <c r="G500" s="3">
        <v>1</v>
      </c>
      <c r="H500" s="3"/>
    </row>
    <row r="501" spans="1:8" ht="18" hidden="1">
      <c r="A501" s="3">
        <v>750813</v>
      </c>
      <c r="B501" s="7" t="s">
        <v>127</v>
      </c>
      <c r="C501" s="42">
        <v>501.56</v>
      </c>
      <c r="D501" s="6">
        <v>45579</v>
      </c>
      <c r="E501" s="3" t="str">
        <f ca="1">IF(Tabela2[[#This Row],[Dt Venc:]]&gt;TODAY(),"Em Aberto",IF(Tabela2[[#This Row],[D/venc]]="-","Enviado",IF(Tabela2[[#This Row],[Dt Venc:]]=TODAY(),"Vence Hoje","Vencida")))</f>
        <v>Enviado</v>
      </c>
      <c r="F501" s="3" t="str">
        <f ca="1">IF(G501=1,"-",Tabela2[[#This Row],[Dt Venc:]]-TODAY())</f>
        <v>-</v>
      </c>
      <c r="G501" s="3">
        <v>1</v>
      </c>
      <c r="H501" s="3"/>
    </row>
    <row r="502" spans="1:8" ht="18" hidden="1">
      <c r="A502" s="3">
        <v>750817</v>
      </c>
      <c r="B502" s="7" t="s">
        <v>127</v>
      </c>
      <c r="C502" s="42">
        <v>752.34</v>
      </c>
      <c r="D502" s="6">
        <v>45579</v>
      </c>
      <c r="E502" s="3" t="str">
        <f ca="1">IF(Tabela2[[#This Row],[Dt Venc:]]&gt;TODAY(),"Em Aberto",IF(Tabela2[[#This Row],[D/venc]]="-","Enviado",IF(Tabela2[[#This Row],[Dt Venc:]]=TODAY(),"Vence Hoje","Vencida")))</f>
        <v>Enviado</v>
      </c>
      <c r="F502" s="3" t="str">
        <f ca="1">IF(G502=1,"-",Tabela2[[#This Row],[Dt Venc:]]-TODAY())</f>
        <v>-</v>
      </c>
      <c r="G502" s="3">
        <v>1</v>
      </c>
      <c r="H502" s="3"/>
    </row>
    <row r="503" spans="1:8" ht="18" hidden="1">
      <c r="A503" s="3">
        <v>603935</v>
      </c>
      <c r="B503" s="7" t="s">
        <v>66</v>
      </c>
      <c r="C503" s="42">
        <v>586.66</v>
      </c>
      <c r="D503" s="6">
        <v>45579</v>
      </c>
      <c r="E503" s="3" t="str">
        <f ca="1">IF(Tabela2[[#This Row],[Dt Venc:]]&gt;TODAY(),"Em Aberto",IF(Tabela2[[#This Row],[D/venc]]="-","Enviado",IF(Tabela2[[#This Row],[Dt Venc:]]=TODAY(),"Vence Hoje","Vencida")))</f>
        <v>Enviado</v>
      </c>
      <c r="F503" s="3" t="str">
        <f ca="1">IF(G503=1,"-",Tabela2[[#This Row],[Dt Venc:]]-TODAY())</f>
        <v>-</v>
      </c>
      <c r="G503" s="3">
        <v>1</v>
      </c>
      <c r="H503" s="3"/>
    </row>
    <row r="504" spans="1:8" ht="18" hidden="1">
      <c r="A504" s="3">
        <v>84632</v>
      </c>
      <c r="B504" s="7" t="s">
        <v>212</v>
      </c>
      <c r="C504" s="42">
        <v>774</v>
      </c>
      <c r="D504" s="6">
        <v>45579</v>
      </c>
      <c r="E504" s="3" t="str">
        <f ca="1">IF(Tabela2[[#This Row],[Dt Venc:]]&gt;TODAY(),"Em Aberto",IF(Tabela2[[#This Row],[D/venc]]="-","Enviado",IF(Tabela2[[#This Row],[Dt Venc:]]=TODAY(),"Vence Hoje","Vencida")))</f>
        <v>Enviado</v>
      </c>
      <c r="F504" s="3" t="str">
        <f ca="1">IF(G504=1,"-",Tabela2[[#This Row],[Dt Venc:]]-TODAY())</f>
        <v>-</v>
      </c>
      <c r="G504" s="3">
        <v>1</v>
      </c>
      <c r="H504" s="3"/>
    </row>
    <row r="505" spans="1:8" ht="18" hidden="1">
      <c r="A505" s="3">
        <v>19188</v>
      </c>
      <c r="B505" s="7" t="s">
        <v>41</v>
      </c>
      <c r="C505" s="42">
        <v>466.66</v>
      </c>
      <c r="D505" s="6">
        <v>45579</v>
      </c>
      <c r="E505" s="3" t="str">
        <f ca="1">IF(Tabela2[[#This Row],[Dt Venc:]]&gt;TODAY(),"Em Aberto",IF(Tabela2[[#This Row],[D/venc]]="-","Enviado",IF(Tabela2[[#This Row],[Dt Venc:]]=TODAY(),"Vence Hoje","Vencida")))</f>
        <v>Enviado</v>
      </c>
      <c r="F505" s="3" t="str">
        <f ca="1">IF(G505=1,"-",Tabela2[[#This Row],[Dt Venc:]]-TODAY())</f>
        <v>-</v>
      </c>
      <c r="G505" s="3">
        <v>1</v>
      </c>
      <c r="H505" s="3"/>
    </row>
    <row r="506" spans="1:8" ht="18" hidden="1">
      <c r="A506" s="3">
        <v>68461</v>
      </c>
      <c r="B506" s="7" t="s">
        <v>76</v>
      </c>
      <c r="C506" s="42">
        <v>3038.59</v>
      </c>
      <c r="D506" s="6">
        <v>45579</v>
      </c>
      <c r="E506" s="3" t="str">
        <f ca="1">IF(Tabela2[[#This Row],[Dt Venc:]]&gt;TODAY(),"Em Aberto",IF(Tabela2[[#This Row],[D/venc]]="-","Enviado",IF(Tabela2[[#This Row],[Dt Venc:]]=TODAY(),"Vence Hoje","Vencida")))</f>
        <v>Enviado</v>
      </c>
      <c r="F506" s="3" t="str">
        <f ca="1">IF(G506=1,"-",Tabela2[[#This Row],[Dt Venc:]]-TODAY())</f>
        <v>-</v>
      </c>
      <c r="G506" s="3">
        <v>1</v>
      </c>
      <c r="H506" s="3"/>
    </row>
    <row r="507" spans="1:8" ht="18" hidden="1">
      <c r="A507" s="3">
        <v>69519</v>
      </c>
      <c r="B507" s="7" t="s">
        <v>76</v>
      </c>
      <c r="C507" s="42">
        <v>3017.42</v>
      </c>
      <c r="D507" s="6">
        <v>45579</v>
      </c>
      <c r="E507" s="3" t="str">
        <f ca="1">IF(Tabela2[[#This Row],[Dt Venc:]]&gt;TODAY(),"Em Aberto",IF(Tabela2[[#This Row],[D/venc]]="-","Enviado",IF(Tabela2[[#This Row],[Dt Venc:]]=TODAY(),"Vence Hoje","Vencida")))</f>
        <v>Enviado</v>
      </c>
      <c r="F507" s="3" t="str">
        <f ca="1">IF(G507=1,"-",Tabela2[[#This Row],[Dt Venc:]]-TODAY())</f>
        <v>-</v>
      </c>
      <c r="G507" s="3">
        <v>1</v>
      </c>
      <c r="H507" s="3"/>
    </row>
    <row r="508" spans="1:8" ht="18" hidden="1">
      <c r="A508" s="3">
        <v>69525</v>
      </c>
      <c r="B508" s="7" t="s">
        <v>237</v>
      </c>
      <c r="C508" s="42">
        <v>1154.8</v>
      </c>
      <c r="D508" s="6">
        <v>45579</v>
      </c>
      <c r="E508" s="3" t="str">
        <f ca="1">IF(Tabela2[[#This Row],[Dt Venc:]]&gt;TODAY(),"Em Aberto",IF(Tabela2[[#This Row],[D/venc]]="-","Enviado",IF(Tabela2[[#This Row],[Dt Venc:]]=TODAY(),"Vence Hoje","Vencida")))</f>
        <v>Enviado</v>
      </c>
      <c r="F508" s="3" t="str">
        <f ca="1">IF(G508=1,"-",Tabela2[[#This Row],[Dt Venc:]]-TODAY())</f>
        <v>-</v>
      </c>
      <c r="G508" s="3">
        <v>1</v>
      </c>
      <c r="H508" s="3"/>
    </row>
    <row r="509" spans="1:8" ht="18" hidden="1">
      <c r="A509" s="3">
        <v>69548</v>
      </c>
      <c r="B509" s="7" t="s">
        <v>237</v>
      </c>
      <c r="C509" s="42">
        <v>336.62</v>
      </c>
      <c r="D509" s="6">
        <v>45579</v>
      </c>
      <c r="E509" s="3" t="str">
        <f ca="1">IF(Tabela2[[#This Row],[Dt Venc:]]&gt;TODAY(),"Em Aberto",IF(Tabela2[[#This Row],[D/venc]]="-","Enviado",IF(Tabela2[[#This Row],[Dt Venc:]]=TODAY(),"Vence Hoje","Vencida")))</f>
        <v>Enviado</v>
      </c>
      <c r="F509" s="3" t="str">
        <f ca="1">IF(G509=1,"-",Tabela2[[#This Row],[Dt Venc:]]-TODAY())</f>
        <v>-</v>
      </c>
      <c r="G509" s="3">
        <v>1</v>
      </c>
      <c r="H509" s="3"/>
    </row>
    <row r="510" spans="1:8" ht="18" hidden="1">
      <c r="A510" s="3">
        <v>198849</v>
      </c>
      <c r="B510" s="7" t="s">
        <v>43</v>
      </c>
      <c r="C510" s="42">
        <v>1746.26</v>
      </c>
      <c r="D510" s="6">
        <v>45579</v>
      </c>
      <c r="E510" s="3" t="str">
        <f ca="1">IF(Tabela2[[#This Row],[Dt Venc:]]&gt;TODAY(),"Em Aberto",IF(Tabela2[[#This Row],[D/venc]]="-","Enviado",IF(Tabela2[[#This Row],[Dt Venc:]]=TODAY(),"Vence Hoje","Vencida")))</f>
        <v>Enviado</v>
      </c>
      <c r="F510" s="3" t="str">
        <f ca="1">IF(G510=1,"-",Tabela2[[#This Row],[Dt Venc:]]-TODAY())</f>
        <v>-</v>
      </c>
      <c r="G510" s="3">
        <v>1</v>
      </c>
      <c r="H510" s="3"/>
    </row>
    <row r="511" spans="1:8" ht="18" hidden="1">
      <c r="A511" s="3">
        <v>211550</v>
      </c>
      <c r="B511" s="7" t="s">
        <v>43</v>
      </c>
      <c r="C511" s="42">
        <v>1160.8</v>
      </c>
      <c r="D511" s="6">
        <v>45579</v>
      </c>
      <c r="E511" s="3" t="str">
        <f ca="1">IF(Tabela2[[#This Row],[Dt Venc:]]&gt;TODAY(),"Em Aberto",IF(Tabela2[[#This Row],[D/venc]]="-","Enviado",IF(Tabela2[[#This Row],[Dt Venc:]]=TODAY(),"Vence Hoje","Vencida")))</f>
        <v>Enviado</v>
      </c>
      <c r="F511" s="3" t="str">
        <f ca="1">IF(G511=1,"-",Tabela2[[#This Row],[Dt Venc:]]-TODAY())</f>
        <v>-</v>
      </c>
      <c r="G511" s="3">
        <v>1</v>
      </c>
      <c r="H511" s="3"/>
    </row>
    <row r="512" spans="1:8" ht="18" hidden="1">
      <c r="A512" s="3">
        <v>211677</v>
      </c>
      <c r="B512" s="7" t="s">
        <v>43</v>
      </c>
      <c r="C512" s="42">
        <v>656</v>
      </c>
      <c r="D512" s="6">
        <v>45579</v>
      </c>
      <c r="E512" s="3" t="str">
        <f ca="1">IF(Tabela2[[#This Row],[Dt Venc:]]&gt;TODAY(),"Em Aberto",IF(Tabela2[[#This Row],[D/venc]]="-","Enviado",IF(Tabela2[[#This Row],[Dt Venc:]]=TODAY(),"Vence Hoje","Vencida")))</f>
        <v>Enviado</v>
      </c>
      <c r="F512" s="3" t="str">
        <f ca="1">IF(G512=1,"-",Tabela2[[#This Row],[Dt Venc:]]-TODAY())</f>
        <v>-</v>
      </c>
      <c r="G512" s="3">
        <v>1</v>
      </c>
      <c r="H512" s="3"/>
    </row>
    <row r="513" spans="1:8" ht="18" hidden="1">
      <c r="A513" s="3">
        <v>211684</v>
      </c>
      <c r="B513" s="7" t="s">
        <v>43</v>
      </c>
      <c r="C513" s="42">
        <v>385.5</v>
      </c>
      <c r="D513" s="6">
        <v>45579</v>
      </c>
      <c r="E513" s="3" t="str">
        <f ca="1">IF(Tabela2[[#This Row],[Dt Venc:]]&gt;TODAY(),"Em Aberto",IF(Tabela2[[#This Row],[D/venc]]="-","Enviado",IF(Tabela2[[#This Row],[Dt Venc:]]=TODAY(),"Vence Hoje","Vencida")))</f>
        <v>Enviado</v>
      </c>
      <c r="F513" s="3" t="str">
        <f ca="1">IF(G513=1,"-",Tabela2[[#This Row],[Dt Venc:]]-TODAY())</f>
        <v>-</v>
      </c>
      <c r="G513" s="3">
        <v>1</v>
      </c>
      <c r="H513" s="3"/>
    </row>
    <row r="514" spans="1:8" ht="18" hidden="1">
      <c r="A514" s="3">
        <v>36394</v>
      </c>
      <c r="B514" s="7" t="s">
        <v>238</v>
      </c>
      <c r="C514" s="42">
        <v>1979.51</v>
      </c>
      <c r="D514" s="6">
        <v>45579</v>
      </c>
      <c r="E514" s="3" t="str">
        <f ca="1">IF(Tabela2[[#This Row],[Dt Venc:]]&gt;TODAY(),"Em Aberto",IF(Tabela2[[#This Row],[D/venc]]="-","Enviado",IF(Tabela2[[#This Row],[Dt Venc:]]=TODAY(),"Vence Hoje","Vencida")))</f>
        <v>Enviado</v>
      </c>
      <c r="F514" s="3" t="str">
        <f ca="1">IF(G514=1,"-",Tabela2[[#This Row],[Dt Venc:]]-TODAY())</f>
        <v>-</v>
      </c>
      <c r="G514" s="3">
        <v>1</v>
      </c>
      <c r="H514" s="3"/>
    </row>
    <row r="515" spans="1:8" ht="18" hidden="1">
      <c r="A515" s="3">
        <v>387292</v>
      </c>
      <c r="B515" s="7" t="s">
        <v>239</v>
      </c>
      <c r="C515" s="42">
        <v>1558.33</v>
      </c>
      <c r="D515" s="6">
        <v>45579</v>
      </c>
      <c r="E515" s="3" t="str">
        <f ca="1">IF(Tabela2[[#This Row],[Dt Venc:]]&gt;TODAY(),"Em Aberto",IF(Tabela2[[#This Row],[D/venc]]="-","Enviado",IF(Tabela2[[#This Row],[Dt Venc:]]=TODAY(),"Vence Hoje","Vencida")))</f>
        <v>Enviado</v>
      </c>
      <c r="F515" s="3" t="str">
        <f ca="1">IF(G515=1,"-",Tabela2[[#This Row],[Dt Venc:]]-TODAY())</f>
        <v>-</v>
      </c>
      <c r="G515" s="3">
        <v>1</v>
      </c>
      <c r="H515" s="3"/>
    </row>
    <row r="516" spans="1:8" ht="18" hidden="1">
      <c r="A516" s="3">
        <v>151484</v>
      </c>
      <c r="B516" s="7" t="s">
        <v>77</v>
      </c>
      <c r="C516" s="42">
        <v>450</v>
      </c>
      <c r="D516" s="6">
        <v>45579</v>
      </c>
      <c r="E516" s="3" t="str">
        <f ca="1">IF(Tabela2[[#This Row],[Dt Venc:]]&gt;TODAY(),"Em Aberto",IF(Tabela2[[#This Row],[D/venc]]="-","Enviado",IF(Tabela2[[#This Row],[Dt Venc:]]=TODAY(),"Vence Hoje","Vencida")))</f>
        <v>Enviado</v>
      </c>
      <c r="F516" s="3" t="str">
        <f ca="1">IF(G516=1,"-",Tabela2[[#This Row],[Dt Venc:]]-TODAY())</f>
        <v>-</v>
      </c>
      <c r="G516" s="3">
        <v>1</v>
      </c>
      <c r="H516" s="3"/>
    </row>
    <row r="517" spans="1:8" ht="18" hidden="1">
      <c r="A517" s="3">
        <v>322240</v>
      </c>
      <c r="B517" s="7" t="s">
        <v>240</v>
      </c>
      <c r="C517" s="42">
        <v>230</v>
      </c>
      <c r="D517" s="6">
        <v>45579</v>
      </c>
      <c r="E517" s="3" t="str">
        <f ca="1">IF(Tabela2[[#This Row],[Dt Venc:]]&gt;TODAY(),"Em Aberto",IF(Tabela2[[#This Row],[D/venc]]="-","Enviado",IF(Tabela2[[#This Row],[Dt Venc:]]=TODAY(),"Vence Hoje","Vencida")))</f>
        <v>Enviado</v>
      </c>
      <c r="F517" s="3" t="str">
        <f ca="1">IF(G517=1,"-",Tabela2[[#This Row],[Dt Venc:]]-TODAY())</f>
        <v>-</v>
      </c>
      <c r="G517" s="3">
        <v>1</v>
      </c>
      <c r="H517" s="3"/>
    </row>
    <row r="518" spans="1:8" ht="18" hidden="1">
      <c r="A518" s="3">
        <v>323805</v>
      </c>
      <c r="B518" s="7" t="s">
        <v>240</v>
      </c>
      <c r="C518" s="42">
        <v>446.67</v>
      </c>
      <c r="D518" s="6">
        <v>45579</v>
      </c>
      <c r="E518" s="3" t="str">
        <f ca="1">IF(Tabela2[[#This Row],[Dt Venc:]]&gt;TODAY(),"Em Aberto",IF(Tabela2[[#This Row],[D/venc]]="-","Enviado",IF(Tabela2[[#This Row],[Dt Venc:]]=TODAY(),"Vence Hoje","Vencida")))</f>
        <v>Enviado</v>
      </c>
      <c r="F518" s="3" t="str">
        <f ca="1">IF(G518=1,"-",Tabela2[[#This Row],[Dt Venc:]]-TODAY())</f>
        <v>-</v>
      </c>
      <c r="G518" s="3">
        <v>1</v>
      </c>
      <c r="H518" s="3"/>
    </row>
    <row r="519" spans="1:8" ht="18" hidden="1">
      <c r="A519" s="3">
        <v>1439</v>
      </c>
      <c r="B519" s="7" t="s">
        <v>241</v>
      </c>
      <c r="C519" s="42">
        <v>662.5</v>
      </c>
      <c r="D519" s="6">
        <v>45579</v>
      </c>
      <c r="E519" s="3" t="str">
        <f ca="1">IF(Tabela2[[#This Row],[Dt Venc:]]&gt;TODAY(),"Em Aberto",IF(Tabela2[[#This Row],[D/venc]]="-","Enviado",IF(Tabela2[[#This Row],[Dt Venc:]]=TODAY(),"Vence Hoje","Vencida")))</f>
        <v>Enviado</v>
      </c>
      <c r="F519" s="3" t="str">
        <f ca="1">IF(G519=1,"-",Tabela2[[#This Row],[Dt Venc:]]-TODAY())</f>
        <v>-</v>
      </c>
      <c r="G519" s="3">
        <v>1</v>
      </c>
      <c r="H519" s="3"/>
    </row>
    <row r="520" spans="1:8" ht="18" hidden="1">
      <c r="A520" s="3">
        <v>23473</v>
      </c>
      <c r="B520" s="7" t="s">
        <v>70</v>
      </c>
      <c r="C520" s="42">
        <v>657.54</v>
      </c>
      <c r="D520" s="6">
        <v>45579</v>
      </c>
      <c r="E520" s="3" t="str">
        <f ca="1">IF(Tabela2[[#This Row],[Dt Venc:]]&gt;TODAY(),"Em Aberto",IF(Tabela2[[#This Row],[D/venc]]="-","Enviado",IF(Tabela2[[#This Row],[Dt Venc:]]=TODAY(),"Vence Hoje","Vencida")))</f>
        <v>Enviado</v>
      </c>
      <c r="F520" s="3" t="str">
        <f ca="1">IF(G520=1,"-",Tabela2[[#This Row],[Dt Venc:]]-TODAY())</f>
        <v>-</v>
      </c>
      <c r="G520" s="3">
        <v>1</v>
      </c>
      <c r="H520" s="3"/>
    </row>
    <row r="521" spans="1:8" ht="18" hidden="1">
      <c r="A521" s="3">
        <v>5619</v>
      </c>
      <c r="B521" s="7" t="s">
        <v>47</v>
      </c>
      <c r="C521" s="42">
        <v>1229.33</v>
      </c>
      <c r="D521" s="6">
        <v>45579</v>
      </c>
      <c r="E521" s="3" t="str">
        <f ca="1">IF(Tabela2[[#This Row],[Dt Venc:]]&gt;TODAY(),"Em Aberto",IF(Tabela2[[#This Row],[D/venc]]="-","Enviado",IF(Tabela2[[#This Row],[Dt Venc:]]=TODAY(),"Vence Hoje","Vencida")))</f>
        <v>Enviado</v>
      </c>
      <c r="F521" s="3" t="str">
        <f ca="1">IF(G521=1,"-",Tabela2[[#This Row],[Dt Venc:]]-TODAY())</f>
        <v>-</v>
      </c>
      <c r="G521" s="3">
        <v>1</v>
      </c>
      <c r="H521" s="3"/>
    </row>
    <row r="522" spans="1:8" ht="18" hidden="1">
      <c r="A522" s="3">
        <v>10049</v>
      </c>
      <c r="B522" s="7" t="s">
        <v>72</v>
      </c>
      <c r="C522" s="42">
        <v>420</v>
      </c>
      <c r="D522" s="6">
        <v>45579</v>
      </c>
      <c r="E522" s="3" t="str">
        <f ca="1">IF(Tabela2[[#This Row],[Dt Venc:]]&gt;TODAY(),"Em Aberto",IF(Tabela2[[#This Row],[D/venc]]="-","Enviado",IF(Tabela2[[#This Row],[Dt Venc:]]=TODAY(),"Vence Hoje","Vencida")))</f>
        <v>Enviado</v>
      </c>
      <c r="F522" s="3" t="str">
        <f ca="1">IF(G522=1,"-",Tabela2[[#This Row],[Dt Venc:]]-TODAY())</f>
        <v>-</v>
      </c>
      <c r="G522" s="3">
        <v>1</v>
      </c>
      <c r="H522" s="3"/>
    </row>
    <row r="523" spans="1:8" ht="18" hidden="1">
      <c r="A523" s="3">
        <v>2905</v>
      </c>
      <c r="B523" s="7" t="s">
        <v>129</v>
      </c>
      <c r="C523" s="42">
        <v>986</v>
      </c>
      <c r="D523" s="6">
        <v>45579</v>
      </c>
      <c r="E523" s="3" t="str">
        <f ca="1">IF(Tabela2[[#This Row],[Dt Venc:]]&gt;TODAY(),"Em Aberto",IF(Tabela2[[#This Row],[D/venc]]="-","Enviado",IF(Tabela2[[#This Row],[Dt Venc:]]=TODAY(),"Vence Hoje","Vencida")))</f>
        <v>Enviado</v>
      </c>
      <c r="F523" s="3" t="str">
        <f ca="1">IF(G523=1,"-",Tabela2[[#This Row],[Dt Venc:]]-TODAY())</f>
        <v>-</v>
      </c>
      <c r="G523" s="3">
        <v>1</v>
      </c>
      <c r="H523" s="3"/>
    </row>
    <row r="524" spans="1:8" ht="18" hidden="1">
      <c r="A524" s="3">
        <v>2482</v>
      </c>
      <c r="B524" s="7" t="s">
        <v>91</v>
      </c>
      <c r="C524" s="41">
        <v>280</v>
      </c>
      <c r="D524" s="6">
        <v>45579</v>
      </c>
      <c r="E524" s="3" t="str">
        <f ca="1">IF(Tabela2[[#This Row],[Dt Venc:]]&gt;TODAY(),"Em Aberto",IF(Tabela2[[#This Row],[D/venc]]="-","Enviado",IF(Tabela2[[#This Row],[Dt Venc:]]=TODAY(),"Vence Hoje","Vencida")))</f>
        <v>Enviado</v>
      </c>
      <c r="F524" s="3" t="str">
        <f ca="1">IF(G524=1,"-",Tabela2[[#This Row],[Dt Venc:]]-TODAY())</f>
        <v>-</v>
      </c>
      <c r="G524" s="3">
        <v>1</v>
      </c>
      <c r="H524" s="3"/>
    </row>
    <row r="525" spans="1:8" ht="18" hidden="1">
      <c r="A525" s="3">
        <v>2519</v>
      </c>
      <c r="B525" s="7" t="s">
        <v>91</v>
      </c>
      <c r="C525" s="41">
        <v>264.33</v>
      </c>
      <c r="D525" s="6">
        <v>45579</v>
      </c>
      <c r="E525" s="3" t="str">
        <f ca="1">IF(Tabela2[[#This Row],[Dt Venc:]]&gt;TODAY(),"Em Aberto",IF(Tabela2[[#This Row],[D/venc]]="-","Enviado",IF(Tabela2[[#This Row],[Dt Venc:]]=TODAY(),"Vence Hoje","Vencida")))</f>
        <v>Enviado</v>
      </c>
      <c r="F525" s="3" t="str">
        <f ca="1">IF(G525=1,"-",Tabela2[[#This Row],[Dt Venc:]]-TODAY())</f>
        <v>-</v>
      </c>
      <c r="G525" s="3">
        <v>1</v>
      </c>
      <c r="H525" s="3"/>
    </row>
    <row r="526" spans="1:8" ht="18" hidden="1">
      <c r="A526" s="3">
        <v>7629</v>
      </c>
      <c r="B526" s="7" t="s">
        <v>242</v>
      </c>
      <c r="C526" s="41">
        <v>298</v>
      </c>
      <c r="D526" s="6">
        <v>45579</v>
      </c>
      <c r="E526" s="3" t="str">
        <f ca="1">IF(Tabela2[[#This Row],[Dt Venc:]]&gt;TODAY(),"Em Aberto",IF(Tabela2[[#This Row],[D/venc]]="-","Enviado",IF(Tabela2[[#This Row],[Dt Venc:]]=TODAY(),"Vence Hoje","Vencida")))</f>
        <v>Enviado</v>
      </c>
      <c r="F526" s="3" t="str">
        <f ca="1">IF(G526=1,"-",Tabela2[[#This Row],[Dt Venc:]]-TODAY())</f>
        <v>-</v>
      </c>
      <c r="G526" s="3">
        <v>1</v>
      </c>
      <c r="H526" s="3"/>
    </row>
    <row r="527" spans="1:8" ht="18" hidden="1">
      <c r="A527" s="3">
        <v>962</v>
      </c>
      <c r="B527" s="7" t="s">
        <v>243</v>
      </c>
      <c r="C527" s="41">
        <v>480.45</v>
      </c>
      <c r="D527" s="6">
        <v>45579</v>
      </c>
      <c r="E527" s="3" t="str">
        <f ca="1">IF(Tabela2[[#This Row],[Dt Venc:]]&gt;TODAY(),"Em Aberto",IF(Tabela2[[#This Row],[D/venc]]="-","Enviado",IF(Tabela2[[#This Row],[Dt Venc:]]=TODAY(),"Vence Hoje","Vencida")))</f>
        <v>Enviado</v>
      </c>
      <c r="F527" s="3" t="str">
        <f ca="1">IF(G527=1,"-",Tabela2[[#This Row],[Dt Venc:]]-TODAY())</f>
        <v>-</v>
      </c>
      <c r="G527" s="3">
        <v>1</v>
      </c>
      <c r="H527" s="3"/>
    </row>
    <row r="528" spans="1:8" ht="18" hidden="1">
      <c r="A528" s="3">
        <v>694693</v>
      </c>
      <c r="B528" s="7" t="s">
        <v>244</v>
      </c>
      <c r="C528" s="41">
        <v>391.96</v>
      </c>
      <c r="D528" s="6">
        <v>45579</v>
      </c>
      <c r="E528" s="3" t="str">
        <f ca="1">IF(Tabela2[[#This Row],[Dt Venc:]]&gt;TODAY(),"Em Aberto",IF(Tabela2[[#This Row],[D/venc]]="-","Enviado",IF(Tabela2[[#This Row],[Dt Venc:]]=TODAY(),"Vence Hoje","Vencida")))</f>
        <v>Enviado</v>
      </c>
      <c r="F528" s="3" t="str">
        <f ca="1">IF(G528=1,"-",Tabela2[[#This Row],[Dt Venc:]]-TODAY())</f>
        <v>-</v>
      </c>
      <c r="G528" s="3">
        <v>1</v>
      </c>
      <c r="H528" s="3"/>
    </row>
    <row r="529" spans="1:8" ht="18" hidden="1">
      <c r="A529" s="3">
        <v>26641</v>
      </c>
      <c r="B529" s="7" t="s">
        <v>245</v>
      </c>
      <c r="C529" s="41">
        <v>1517.66</v>
      </c>
      <c r="D529" s="6">
        <v>45579</v>
      </c>
      <c r="E529" s="3" t="str">
        <f ca="1">IF(Tabela2[[#This Row],[Dt Venc:]]&gt;TODAY(),"Em Aberto",IF(Tabela2[[#This Row],[D/venc]]="-","Enviado",IF(Tabela2[[#This Row],[Dt Venc:]]=TODAY(),"Vence Hoje","Vencida")))</f>
        <v>Enviado</v>
      </c>
      <c r="F529" s="3" t="str">
        <f ca="1">IF(G529=1,"-",Tabela2[[#This Row],[Dt Venc:]]-TODAY())</f>
        <v>-</v>
      </c>
      <c r="G529" s="3">
        <v>1</v>
      </c>
      <c r="H529" s="3"/>
    </row>
    <row r="530" spans="1:8" ht="18" hidden="1">
      <c r="A530" s="3">
        <v>219942</v>
      </c>
      <c r="B530" s="7" t="s">
        <v>80</v>
      </c>
      <c r="C530" s="41">
        <v>21150</v>
      </c>
      <c r="D530" s="6">
        <v>45579</v>
      </c>
      <c r="E530" s="3" t="str">
        <f ca="1">IF(Tabela2[[#This Row],[Dt Venc:]]&gt;TODAY(),"Em Aberto",IF(Tabela2[[#This Row],[D/venc]]="-","Enviado",IF(Tabela2[[#This Row],[Dt Venc:]]=TODAY(),"Vence Hoje","Vencida")))</f>
        <v>Enviado</v>
      </c>
      <c r="F530" s="3" t="str">
        <f ca="1">IF(G530=1,"-",Tabela2[[#This Row],[Dt Venc:]]-TODAY())</f>
        <v>-</v>
      </c>
      <c r="G530" s="3">
        <v>1</v>
      </c>
      <c r="H530" s="3"/>
    </row>
    <row r="531" spans="1:8" ht="18" hidden="1">
      <c r="A531" s="3">
        <v>5</v>
      </c>
      <c r="B531" s="7" t="s">
        <v>246</v>
      </c>
      <c r="C531" s="41">
        <v>121483.52</v>
      </c>
      <c r="D531" s="6">
        <v>45579</v>
      </c>
      <c r="E531" s="3" t="str">
        <f ca="1">IF(Tabela2[[#This Row],[Dt Venc:]]&gt;TODAY(),"Em Aberto",IF(Tabela2[[#This Row],[D/venc]]="-","Enviado",IF(Tabela2[[#This Row],[Dt Venc:]]=TODAY(),"Vence Hoje","Vencida")))</f>
        <v>Enviado</v>
      </c>
      <c r="F531" s="3" t="str">
        <f ca="1">IF(G531=1,"-",Tabela2[[#This Row],[Dt Venc:]]-TODAY())</f>
        <v>-</v>
      </c>
      <c r="G531" s="3">
        <v>1</v>
      </c>
      <c r="H531" s="3"/>
    </row>
    <row r="532" spans="1:8" ht="18" hidden="1">
      <c r="A532" s="3">
        <v>57664</v>
      </c>
      <c r="B532" s="7" t="s">
        <v>247</v>
      </c>
      <c r="C532" s="41">
        <v>480</v>
      </c>
      <c r="D532" s="6">
        <v>45579</v>
      </c>
      <c r="E532" s="3" t="str">
        <f ca="1">IF(Tabela2[[#This Row],[Dt Venc:]]&gt;TODAY(),"Em Aberto",IF(Tabela2[[#This Row],[D/venc]]="-","Enviado",IF(Tabela2[[#This Row],[Dt Venc:]]=TODAY(),"Vence Hoje","Vencida")))</f>
        <v>Enviado</v>
      </c>
      <c r="F532" s="3" t="str">
        <f ca="1">IF(G532=1,"-",Tabela2[[#This Row],[Dt Venc:]]-TODAY())</f>
        <v>-</v>
      </c>
      <c r="G532" s="3">
        <v>1</v>
      </c>
      <c r="H532" s="3"/>
    </row>
    <row r="533" spans="1:8" ht="18" hidden="1">
      <c r="A533" s="3">
        <v>27306</v>
      </c>
      <c r="B533" s="7" t="s">
        <v>98</v>
      </c>
      <c r="C533" s="41">
        <v>470.8</v>
      </c>
      <c r="D533" s="6">
        <v>45579</v>
      </c>
      <c r="E533" s="3" t="str">
        <f ca="1">IF(Tabela2[[#This Row],[Dt Venc:]]&gt;TODAY(),"Em Aberto",IF(Tabela2[[#This Row],[D/venc]]="-","Enviado",IF(Tabela2[[#This Row],[Dt Venc:]]=TODAY(),"Vence Hoje","Vencida")))</f>
        <v>Enviado</v>
      </c>
      <c r="F533" s="3" t="str">
        <f ca="1">IF(G533=1,"-",Tabela2[[#This Row],[Dt Venc:]]-TODAY())</f>
        <v>-</v>
      </c>
      <c r="G533" s="3">
        <v>1</v>
      </c>
      <c r="H533" s="3"/>
    </row>
    <row r="534" spans="1:8" ht="18" hidden="1">
      <c r="A534" s="3">
        <v>607861</v>
      </c>
      <c r="B534" s="7" t="s">
        <v>66</v>
      </c>
      <c r="C534" s="41">
        <v>899.11</v>
      </c>
      <c r="D534" s="6">
        <v>45579</v>
      </c>
      <c r="E534" s="3" t="str">
        <f ca="1">IF(Tabela2[[#This Row],[Dt Venc:]]&gt;TODAY(),"Em Aberto",IF(Tabela2[[#This Row],[D/venc]]="-","Enviado",IF(Tabela2[[#This Row],[Dt Venc:]]=TODAY(),"Vence Hoje","Vencida")))</f>
        <v>Enviado</v>
      </c>
      <c r="F534" s="3" t="str">
        <f ca="1">IF(G534=1,"-",Tabela2[[#This Row],[Dt Venc:]]-TODAY())</f>
        <v>-</v>
      </c>
      <c r="G534" s="3">
        <v>1</v>
      </c>
      <c r="H534" s="3"/>
    </row>
    <row r="535" spans="1:8" ht="18" hidden="1">
      <c r="A535" s="3">
        <v>8756</v>
      </c>
      <c r="B535" s="7" t="s">
        <v>248</v>
      </c>
      <c r="C535" s="41">
        <v>2365.02</v>
      </c>
      <c r="D535" s="6">
        <v>45579</v>
      </c>
      <c r="E535" s="3" t="str">
        <f ca="1">IF(Tabela2[[#This Row],[Dt Venc:]]&gt;TODAY(),"Em Aberto",IF(Tabela2[[#This Row],[D/venc]]="-","Enviado",IF(Tabela2[[#This Row],[Dt Venc:]]=TODAY(),"Vence Hoje","Vencida")))</f>
        <v>Enviado</v>
      </c>
      <c r="F535" s="3" t="str">
        <f ca="1">IF(G535=1,"-",Tabela2[[#This Row],[Dt Venc:]]-TODAY())</f>
        <v>-</v>
      </c>
      <c r="G535" s="3">
        <v>1</v>
      </c>
      <c r="H535" s="3"/>
    </row>
    <row r="536" spans="1:8" ht="18" hidden="1">
      <c r="A536" s="3">
        <v>385203</v>
      </c>
      <c r="B536" s="7" t="s">
        <v>178</v>
      </c>
      <c r="C536" s="41">
        <v>459</v>
      </c>
      <c r="D536" s="6">
        <v>45579</v>
      </c>
      <c r="E536" s="3" t="str">
        <f ca="1">IF(Tabela2[[#This Row],[Dt Venc:]]&gt;TODAY(),"Em Aberto",IF(Tabela2[[#This Row],[D/venc]]="-","Enviado",IF(Tabela2[[#This Row],[Dt Venc:]]=TODAY(),"Vence Hoje","Vencida")))</f>
        <v>Enviado</v>
      </c>
      <c r="F536" s="3" t="str">
        <f ca="1">IF(G536=1,"-",Tabela2[[#This Row],[Dt Venc:]]-TODAY())</f>
        <v>-</v>
      </c>
      <c r="G536" s="3">
        <v>1</v>
      </c>
      <c r="H536" s="3"/>
    </row>
    <row r="537" spans="1:8" ht="18" hidden="1">
      <c r="A537" s="3">
        <v>7629</v>
      </c>
      <c r="B537" s="7" t="s">
        <v>249</v>
      </c>
      <c r="C537" s="41">
        <v>298</v>
      </c>
      <c r="D537" s="6">
        <v>45579</v>
      </c>
      <c r="E537" s="3" t="str">
        <f ca="1">IF(Tabela2[[#This Row],[Dt Venc:]]&gt;TODAY(),"Em Aberto",IF(Tabela2[[#This Row],[D/venc]]="-","Enviado",IF(Tabela2[[#This Row],[Dt Venc:]]=TODAY(),"Vence Hoje","Vencida")))</f>
        <v>Enviado</v>
      </c>
      <c r="F537" s="3" t="str">
        <f ca="1">IF(G537=1,"-",Tabela2[[#This Row],[Dt Venc:]]-TODAY())</f>
        <v>-</v>
      </c>
      <c r="G537" s="3">
        <v>1</v>
      </c>
      <c r="H537" s="3"/>
    </row>
    <row r="538" spans="1:8" ht="18" hidden="1">
      <c r="A538" s="3">
        <v>8521</v>
      </c>
      <c r="B538" s="7" t="s">
        <v>105</v>
      </c>
      <c r="C538" s="41">
        <v>4372.5</v>
      </c>
      <c r="D538" s="6">
        <v>45579</v>
      </c>
      <c r="E538" s="3" t="str">
        <f ca="1">IF(Tabela2[[#This Row],[Dt Venc:]]&gt;TODAY(),"Em Aberto",IF(Tabela2[[#This Row],[D/venc]]="-","Enviado",IF(Tabela2[[#This Row],[Dt Venc:]]=TODAY(),"Vence Hoje","Vencida")))</f>
        <v>Enviado</v>
      </c>
      <c r="F538" s="3" t="str">
        <f ca="1">IF(G538=1,"-",Tabela2[[#This Row],[Dt Venc:]]-TODAY())</f>
        <v>-</v>
      </c>
      <c r="G538" s="3">
        <v>1</v>
      </c>
      <c r="H538" s="3"/>
    </row>
    <row r="539" spans="1:8" ht="18" hidden="1">
      <c r="A539" s="3">
        <v>9464</v>
      </c>
      <c r="B539" s="7" t="s">
        <v>76</v>
      </c>
      <c r="C539" s="41">
        <v>764.6</v>
      </c>
      <c r="D539" s="6">
        <v>45579</v>
      </c>
      <c r="E539" s="3" t="str">
        <f ca="1">IF(Tabela2[[#This Row],[Dt Venc:]]&gt;TODAY(),"Em Aberto",IF(Tabela2[[#This Row],[D/venc]]="-","Enviado",IF(Tabela2[[#This Row],[Dt Venc:]]=TODAY(),"Vence Hoje","Vencida")))</f>
        <v>Enviado</v>
      </c>
      <c r="F539" s="3" t="str">
        <f ca="1">IF(G539=1,"-",Tabela2[[#This Row],[Dt Venc:]]-TODAY())</f>
        <v>-</v>
      </c>
      <c r="G539" s="3">
        <v>1</v>
      </c>
      <c r="H539" s="3"/>
    </row>
    <row r="540" spans="1:8" ht="18" hidden="1">
      <c r="A540" s="3">
        <v>442488</v>
      </c>
      <c r="B540" s="7" t="s">
        <v>59</v>
      </c>
      <c r="C540" s="41">
        <v>54889</v>
      </c>
      <c r="D540" s="6">
        <v>45579</v>
      </c>
      <c r="E540" s="3" t="str">
        <f ca="1">IF(Tabela2[[#This Row],[Dt Venc:]]&gt;TODAY(),"Em Aberto",IF(Tabela2[[#This Row],[D/venc]]="-","Enviado",IF(Tabela2[[#This Row],[Dt Venc:]]=TODAY(),"Vence Hoje","Vencida")))</f>
        <v>Enviado</v>
      </c>
      <c r="F540" s="3" t="str">
        <f ca="1">IF(G540=1,"-",Tabela2[[#This Row],[Dt Venc:]]-TODAY())</f>
        <v>-</v>
      </c>
      <c r="G540" s="3">
        <v>1</v>
      </c>
      <c r="H540" s="3"/>
    </row>
    <row r="541" spans="1:8" ht="18" hidden="1">
      <c r="A541" s="3">
        <v>140675</v>
      </c>
      <c r="B541" s="7" t="s">
        <v>60</v>
      </c>
      <c r="C541" s="41">
        <v>390</v>
      </c>
      <c r="D541" s="6">
        <v>45579</v>
      </c>
      <c r="E541" s="3" t="str">
        <f ca="1">IF(Tabela2[[#This Row],[Dt Venc:]]&gt;TODAY(),"Em Aberto",IF(Tabela2[[#This Row],[D/venc]]="-","Enviado",IF(Tabela2[[#This Row],[Dt Venc:]]=TODAY(),"Vence Hoje","Vencida")))</f>
        <v>Enviado</v>
      </c>
      <c r="F541" s="3" t="str">
        <f ca="1">IF(G541=1,"-",Tabela2[[#This Row],[Dt Venc:]]-TODAY())</f>
        <v>-</v>
      </c>
      <c r="G541" s="3">
        <v>1</v>
      </c>
      <c r="H541" s="3"/>
    </row>
    <row r="542" spans="1:8" ht="18" hidden="1">
      <c r="A542" s="3">
        <v>140681</v>
      </c>
      <c r="B542" s="7" t="s">
        <v>60</v>
      </c>
      <c r="C542" s="41">
        <v>390</v>
      </c>
      <c r="D542" s="6">
        <v>45579</v>
      </c>
      <c r="E542" s="3" t="str">
        <f ca="1">IF(Tabela2[[#This Row],[Dt Venc:]]&gt;TODAY(),"Em Aberto",IF(Tabela2[[#This Row],[D/venc]]="-","Enviado",IF(Tabela2[[#This Row],[Dt Venc:]]=TODAY(),"Vence Hoje","Vencida")))</f>
        <v>Enviado</v>
      </c>
      <c r="F542" s="3" t="str">
        <f ca="1">IF(G542=1,"-",Tabela2[[#This Row],[Dt Venc:]]-TODAY())</f>
        <v>-</v>
      </c>
      <c r="G542" s="3">
        <v>1</v>
      </c>
      <c r="H542" s="3"/>
    </row>
    <row r="543" spans="1:8" ht="18" hidden="1">
      <c r="A543" s="3">
        <v>140696</v>
      </c>
      <c r="B543" s="7" t="s">
        <v>60</v>
      </c>
      <c r="C543" s="41">
        <v>390</v>
      </c>
      <c r="D543" s="6">
        <v>45579</v>
      </c>
      <c r="E543" s="3" t="str">
        <f ca="1">IF(Tabela2[[#This Row],[Dt Venc:]]&gt;TODAY(),"Em Aberto",IF(Tabela2[[#This Row],[D/venc]]="-","Enviado",IF(Tabela2[[#This Row],[Dt Venc:]]=TODAY(),"Vence Hoje","Vencida")))</f>
        <v>Enviado</v>
      </c>
      <c r="F543" s="3" t="str">
        <f ca="1">IF(G543=1,"-",Tabela2[[#This Row],[Dt Venc:]]-TODAY())</f>
        <v>-</v>
      </c>
      <c r="G543" s="3">
        <v>1</v>
      </c>
      <c r="H543" s="3"/>
    </row>
    <row r="544" spans="1:8" ht="18" hidden="1">
      <c r="A544" s="3">
        <v>43346</v>
      </c>
      <c r="B544" s="7" t="s">
        <v>197</v>
      </c>
      <c r="C544" s="41">
        <v>880</v>
      </c>
      <c r="D544" s="6">
        <v>45579</v>
      </c>
      <c r="E544" s="3" t="str">
        <f ca="1">IF(Tabela2[[#This Row],[Dt Venc:]]&gt;TODAY(),"Em Aberto",IF(Tabela2[[#This Row],[D/venc]]="-","Enviado",IF(Tabela2[[#This Row],[Dt Venc:]]=TODAY(),"Vence Hoje","Vencida")))</f>
        <v>Enviado</v>
      </c>
      <c r="F544" s="3" t="str">
        <f ca="1">IF(G544=1,"-",Tabela2[[#This Row],[Dt Venc:]]-TODAY())</f>
        <v>-</v>
      </c>
      <c r="G544" s="3">
        <v>1</v>
      </c>
      <c r="H544" s="3"/>
    </row>
    <row r="545" spans="1:8" ht="18" hidden="1">
      <c r="A545" s="3">
        <v>36846</v>
      </c>
      <c r="B545" s="7" t="s">
        <v>167</v>
      </c>
      <c r="C545" s="83" t="s">
        <v>32</v>
      </c>
      <c r="D545" s="6">
        <v>45580</v>
      </c>
      <c r="E545" s="3" t="str">
        <f ca="1">IF(Tabela2[[#This Row],[Dt Venc:]]&gt;TODAY(),"Em Aberto",IF(Tabela2[[#This Row],[D/venc]]="-","Enviado",IF(Tabela2[[#This Row],[Dt Venc:]]=TODAY(),"Vence Hoje","Vencida")))</f>
        <v>Enviado</v>
      </c>
      <c r="F545" s="3" t="str">
        <f ca="1">IF(G545=1,"-",Tabela2[[#This Row],[Dt Venc:]]-TODAY())</f>
        <v>-</v>
      </c>
      <c r="G545" s="3">
        <v>1</v>
      </c>
      <c r="H545" s="3"/>
    </row>
    <row r="546" spans="1:8" ht="18" hidden="1">
      <c r="A546" s="3">
        <v>361229</v>
      </c>
      <c r="B546" s="7" t="s">
        <v>250</v>
      </c>
      <c r="C546" s="83" t="s">
        <v>32</v>
      </c>
      <c r="D546" s="6">
        <v>45580</v>
      </c>
      <c r="E546" s="3" t="str">
        <f ca="1">IF(Tabela2[[#This Row],[Dt Venc:]]&gt;TODAY(),"Em Aberto",IF(Tabela2[[#This Row],[D/venc]]="-","Enviado",IF(Tabela2[[#This Row],[Dt Venc:]]=TODAY(),"Vence Hoje","Vencida")))</f>
        <v>Enviado</v>
      </c>
      <c r="F546" s="3" t="str">
        <f ca="1">IF(G546=1,"-",Tabela2[[#This Row],[Dt Venc:]]-TODAY())</f>
        <v>-</v>
      </c>
      <c r="G546" s="3">
        <v>1</v>
      </c>
      <c r="H546" s="3"/>
    </row>
    <row r="547" spans="1:8" ht="18" hidden="1">
      <c r="A547" s="3">
        <v>361237</v>
      </c>
      <c r="B547" s="7" t="s">
        <v>250</v>
      </c>
      <c r="C547" s="83" t="s">
        <v>32</v>
      </c>
      <c r="D547" s="6">
        <v>45580</v>
      </c>
      <c r="E547" s="3" t="str">
        <f ca="1">IF(Tabela2[[#This Row],[Dt Venc:]]&gt;TODAY(),"Em Aberto",IF(Tabela2[[#This Row],[D/venc]]="-","Enviado",IF(Tabela2[[#This Row],[Dt Venc:]]=TODAY(),"Vence Hoje","Vencida")))</f>
        <v>Enviado</v>
      </c>
      <c r="F547" s="3" t="str">
        <f ca="1">IF(G547=1,"-",Tabela2[[#This Row],[Dt Venc:]]-TODAY())</f>
        <v>-</v>
      </c>
      <c r="G547" s="3">
        <v>1</v>
      </c>
      <c r="H547" s="3"/>
    </row>
    <row r="548" spans="1:8" ht="18" hidden="1">
      <c r="A548" s="3">
        <v>365658</v>
      </c>
      <c r="B548" s="7" t="s">
        <v>250</v>
      </c>
      <c r="C548" s="83" t="s">
        <v>32</v>
      </c>
      <c r="D548" s="6">
        <v>45580</v>
      </c>
      <c r="E548" s="3" t="str">
        <f ca="1">IF(Tabela2[[#This Row],[Dt Venc:]]&gt;TODAY(),"Em Aberto",IF(Tabela2[[#This Row],[D/venc]]="-","Enviado",IF(Tabela2[[#This Row],[Dt Venc:]]=TODAY(),"Vence Hoje","Vencida")))</f>
        <v>Enviado</v>
      </c>
      <c r="F548" s="3" t="str">
        <f ca="1">IF(G548=1,"-",Tabela2[[#This Row],[Dt Venc:]]-TODAY())</f>
        <v>-</v>
      </c>
      <c r="G548" s="3">
        <v>1</v>
      </c>
      <c r="H548" s="3"/>
    </row>
    <row r="549" spans="1:8" ht="18" hidden="1">
      <c r="A549" s="3">
        <v>365666</v>
      </c>
      <c r="B549" s="7" t="s">
        <v>250</v>
      </c>
      <c r="C549" s="83" t="s">
        <v>32</v>
      </c>
      <c r="D549" s="6">
        <v>45580</v>
      </c>
      <c r="E549" s="3" t="str">
        <f ca="1">IF(Tabela2[[#This Row],[Dt Venc:]]&gt;TODAY(),"Em Aberto",IF(Tabela2[[#This Row],[D/venc]]="-","Enviado",IF(Tabela2[[#This Row],[Dt Venc:]]=TODAY(),"Vence Hoje","Vencida")))</f>
        <v>Enviado</v>
      </c>
      <c r="F549" s="3" t="str">
        <f ca="1">IF(G549=1,"-",Tabela2[[#This Row],[Dt Venc:]]-TODAY())</f>
        <v>-</v>
      </c>
      <c r="G549" s="3">
        <v>1</v>
      </c>
      <c r="H549" s="3"/>
    </row>
    <row r="550" spans="1:8" ht="18" hidden="1">
      <c r="A550" s="3">
        <v>365674</v>
      </c>
      <c r="B550" s="7" t="s">
        <v>250</v>
      </c>
      <c r="C550" s="83" t="s">
        <v>32</v>
      </c>
      <c r="D550" s="6">
        <v>45580</v>
      </c>
      <c r="E550" s="3" t="str">
        <f ca="1">IF(Tabela2[[#This Row],[Dt Venc:]]&gt;TODAY(),"Em Aberto",IF(Tabela2[[#This Row],[D/venc]]="-","Enviado",IF(Tabela2[[#This Row],[Dt Venc:]]=TODAY(),"Vence Hoje","Vencida")))</f>
        <v>Enviado</v>
      </c>
      <c r="F550" s="3" t="str">
        <f ca="1">IF(G550=1,"-",Tabela2[[#This Row],[Dt Venc:]]-TODAY())</f>
        <v>-</v>
      </c>
      <c r="G550" s="3">
        <v>1</v>
      </c>
      <c r="H550" s="3"/>
    </row>
    <row r="551" spans="1:8" ht="18" hidden="1">
      <c r="A551" s="3">
        <v>365682</v>
      </c>
      <c r="B551" s="7" t="s">
        <v>250</v>
      </c>
      <c r="C551" s="84" t="s">
        <v>32</v>
      </c>
      <c r="D551" s="6">
        <v>45580</v>
      </c>
      <c r="E551" s="3" t="str">
        <f ca="1">IF(Tabela2[[#This Row],[Dt Venc:]]&gt;TODAY(),"Em Aberto",IF(Tabela2[[#This Row],[D/venc]]="-","Enviado",IF(Tabela2[[#This Row],[Dt Venc:]]=TODAY(),"Vence Hoje","Vencida")))</f>
        <v>Enviado</v>
      </c>
      <c r="F551" s="3" t="str">
        <f ca="1">IF(G551=1,"-",Tabela2[[#This Row],[Dt Venc:]]-TODAY())</f>
        <v>-</v>
      </c>
      <c r="G551" s="3">
        <v>1</v>
      </c>
      <c r="H551" s="3"/>
    </row>
    <row r="552" spans="1:8" ht="18" hidden="1">
      <c r="A552" s="3">
        <v>748099</v>
      </c>
      <c r="B552" s="7" t="s">
        <v>81</v>
      </c>
      <c r="C552" s="84" t="s">
        <v>32</v>
      </c>
      <c r="D552" s="6">
        <v>45580</v>
      </c>
      <c r="E552" s="3" t="str">
        <f ca="1">IF(Tabela2[[#This Row],[Dt Venc:]]&gt;TODAY(),"Em Aberto",IF(Tabela2[[#This Row],[D/venc]]="-","Enviado",IF(Tabela2[[#This Row],[Dt Venc:]]=TODAY(),"Vence Hoje","Vencida")))</f>
        <v>Enviado</v>
      </c>
      <c r="F552" s="3" t="str">
        <f ca="1">IF(G552=1,"-",Tabela2[[#This Row],[Dt Venc:]]-TODAY())</f>
        <v>-</v>
      </c>
      <c r="G552" s="3">
        <v>1</v>
      </c>
      <c r="H552" s="3"/>
    </row>
    <row r="553" spans="1:8" ht="18" hidden="1">
      <c r="A553" s="3">
        <v>562</v>
      </c>
      <c r="B553" s="7" t="s">
        <v>251</v>
      </c>
      <c r="C553" s="84" t="s">
        <v>32</v>
      </c>
      <c r="D553" s="6">
        <v>45580</v>
      </c>
      <c r="E553" s="3" t="str">
        <f ca="1">IF(Tabela2[[#This Row],[Dt Venc:]]&gt;TODAY(),"Em Aberto",IF(Tabela2[[#This Row],[D/venc]]="-","Enviado",IF(Tabela2[[#This Row],[Dt Venc:]]=TODAY(),"Vence Hoje","Vencida")))</f>
        <v>Enviado</v>
      </c>
      <c r="F553" s="3" t="str">
        <f ca="1">IF(G553=1,"-",Tabela2[[#This Row],[Dt Venc:]]-TODAY())</f>
        <v>-</v>
      </c>
      <c r="G553" s="3">
        <v>1</v>
      </c>
      <c r="H553" s="3"/>
    </row>
    <row r="554" spans="1:8" ht="18" hidden="1">
      <c r="A554" s="3">
        <v>103015</v>
      </c>
      <c r="B554" s="7" t="s">
        <v>252</v>
      </c>
      <c r="C554" s="84" t="s">
        <v>32</v>
      </c>
      <c r="D554" s="6">
        <v>45580</v>
      </c>
      <c r="E554" s="3" t="str">
        <f ca="1">IF(Tabela2[[#This Row],[Dt Venc:]]&gt;TODAY(),"Em Aberto",IF(Tabela2[[#This Row],[D/venc]]="-","Enviado",IF(Tabela2[[#This Row],[Dt Venc:]]=TODAY(),"Vence Hoje","Vencida")))</f>
        <v>Enviado</v>
      </c>
      <c r="F554" s="3" t="str">
        <f ca="1">IF(G554=1,"-",Tabela2[[#This Row],[Dt Venc:]]-TODAY())</f>
        <v>-</v>
      </c>
      <c r="G554" s="3">
        <v>1</v>
      </c>
      <c r="H554" s="3"/>
    </row>
    <row r="555" spans="1:8" ht="18" hidden="1">
      <c r="A555" s="3">
        <v>103077</v>
      </c>
      <c r="B555" s="7" t="s">
        <v>252</v>
      </c>
      <c r="C555" s="83" t="s">
        <v>32</v>
      </c>
      <c r="D555" s="6">
        <v>45580</v>
      </c>
      <c r="E555" s="3" t="str">
        <f ca="1">IF(Tabela2[[#This Row],[Dt Venc:]]&gt;TODAY(),"Em Aberto",IF(Tabela2[[#This Row],[D/venc]]="-","Enviado",IF(Tabela2[[#This Row],[Dt Venc:]]=TODAY(),"Vence Hoje","Vencida")))</f>
        <v>Enviado</v>
      </c>
      <c r="F555" s="3" t="str">
        <f ca="1">IF(G555=1,"-",Tabela2[[#This Row],[Dt Venc:]]-TODAY())</f>
        <v>-</v>
      </c>
      <c r="G555" s="3">
        <v>1</v>
      </c>
      <c r="H555" s="3"/>
    </row>
    <row r="556" spans="1:8" ht="18" hidden="1">
      <c r="A556" s="3">
        <v>103153</v>
      </c>
      <c r="B556" s="7" t="s">
        <v>252</v>
      </c>
      <c r="C556" s="85" t="s">
        <v>32</v>
      </c>
      <c r="D556" s="6">
        <v>45580</v>
      </c>
      <c r="E556" s="3" t="str">
        <f ca="1">IF(Tabela2[[#This Row],[Dt Venc:]]&gt;TODAY(),"Em Aberto",IF(Tabela2[[#This Row],[D/venc]]="-","Enviado",IF(Tabela2[[#This Row],[Dt Venc:]]=TODAY(),"Vence Hoje","Vencida")))</f>
        <v>Enviado</v>
      </c>
      <c r="F556" s="3" t="str">
        <f ca="1">IF(G556=1,"-",Tabela2[[#This Row],[Dt Venc:]]-TODAY())</f>
        <v>-</v>
      </c>
      <c r="G556" s="3">
        <v>1</v>
      </c>
      <c r="H556" s="3"/>
    </row>
    <row r="557" spans="1:8" ht="18" hidden="1">
      <c r="A557" s="3">
        <v>103154</v>
      </c>
      <c r="B557" s="7" t="s">
        <v>252</v>
      </c>
      <c r="C557" s="84" t="s">
        <v>32</v>
      </c>
      <c r="D557" s="6">
        <v>45580</v>
      </c>
      <c r="E557" s="3" t="str">
        <f ca="1">IF(Tabela2[[#This Row],[Dt Venc:]]&gt;TODAY(),"Em Aberto",IF(Tabela2[[#This Row],[D/venc]]="-","Enviado",IF(Tabela2[[#This Row],[Dt Venc:]]=TODAY(),"Vence Hoje","Vencida")))</f>
        <v>Enviado</v>
      </c>
      <c r="F557" s="3" t="str">
        <f ca="1">IF(G557=1,"-",Tabela2[[#This Row],[Dt Venc:]]-TODAY())</f>
        <v>-</v>
      </c>
      <c r="G557" s="3">
        <v>1</v>
      </c>
      <c r="H557" s="3"/>
    </row>
    <row r="558" spans="1:8" ht="18" hidden="1">
      <c r="A558" s="3">
        <v>106007</v>
      </c>
      <c r="B558" s="7" t="s">
        <v>252</v>
      </c>
      <c r="C558" s="84" t="s">
        <v>32</v>
      </c>
      <c r="D558" s="6">
        <v>45580</v>
      </c>
      <c r="E558" s="3" t="str">
        <f ca="1">IF(Tabela2[[#This Row],[Dt Venc:]]&gt;TODAY(),"Em Aberto",IF(Tabela2[[#This Row],[D/venc]]="-","Enviado",IF(Tabela2[[#This Row],[Dt Venc:]]=TODAY(),"Vence Hoje","Vencida")))</f>
        <v>Enviado</v>
      </c>
      <c r="F558" s="3" t="str">
        <f ca="1">IF(G558=1,"-",Tabela2[[#This Row],[Dt Venc:]]-TODAY())</f>
        <v>-</v>
      </c>
      <c r="G558" s="3">
        <v>1</v>
      </c>
      <c r="H558" s="3"/>
    </row>
    <row r="559" spans="1:8" ht="18" hidden="1">
      <c r="A559" s="3">
        <v>106043</v>
      </c>
      <c r="B559" s="7" t="s">
        <v>252</v>
      </c>
      <c r="C559" s="84" t="s">
        <v>32</v>
      </c>
      <c r="D559" s="6">
        <v>45580</v>
      </c>
      <c r="E559" s="3" t="str">
        <f ca="1">IF(Tabela2[[#This Row],[Dt Venc:]]&gt;TODAY(),"Em Aberto",IF(Tabela2[[#This Row],[D/venc]]="-","Enviado",IF(Tabela2[[#This Row],[Dt Venc:]]=TODAY(),"Vence Hoje","Vencida")))</f>
        <v>Enviado</v>
      </c>
      <c r="F559" s="3" t="str">
        <f ca="1">IF(G559=1,"-",Tabela2[[#This Row],[Dt Venc:]]-TODAY())</f>
        <v>-</v>
      </c>
      <c r="G559" s="3">
        <v>1</v>
      </c>
      <c r="H559" s="3"/>
    </row>
    <row r="560" spans="1:8" ht="18" hidden="1">
      <c r="A560" s="3">
        <v>107829</v>
      </c>
      <c r="B560" s="7" t="s">
        <v>252</v>
      </c>
      <c r="C560" s="84" t="s">
        <v>32</v>
      </c>
      <c r="D560" s="6">
        <v>45580</v>
      </c>
      <c r="E560" s="3" t="str">
        <f ca="1">IF(Tabela2[[#This Row],[Dt Venc:]]&gt;TODAY(),"Em Aberto",IF(Tabela2[[#This Row],[D/venc]]="-","Enviado",IF(Tabela2[[#This Row],[Dt Venc:]]=TODAY(),"Vence Hoje","Vencida")))</f>
        <v>Enviado</v>
      </c>
      <c r="F560" s="3" t="str">
        <f ca="1">IF(G560=1,"-",Tabela2[[#This Row],[Dt Venc:]]-TODAY())</f>
        <v>-</v>
      </c>
      <c r="G560" s="3">
        <v>1</v>
      </c>
      <c r="H560" s="3"/>
    </row>
    <row r="561" spans="1:8" ht="18" hidden="1">
      <c r="A561" s="3">
        <v>107830</v>
      </c>
      <c r="B561" s="7" t="s">
        <v>252</v>
      </c>
      <c r="C561" s="85" t="s">
        <v>32</v>
      </c>
      <c r="D561" s="6">
        <v>45580</v>
      </c>
      <c r="E561" s="3" t="str">
        <f ca="1">IF(Tabela2[[#This Row],[Dt Venc:]]&gt;TODAY(),"Em Aberto",IF(Tabela2[[#This Row],[D/venc]]="-","Enviado",IF(Tabela2[[#This Row],[Dt Venc:]]=TODAY(),"Vence Hoje","Vencida")))</f>
        <v>Enviado</v>
      </c>
      <c r="F561" s="3" t="str">
        <f ca="1">IF(G561=1,"-",Tabela2[[#This Row],[Dt Venc:]]-TODAY())</f>
        <v>-</v>
      </c>
      <c r="G561" s="3">
        <v>1</v>
      </c>
      <c r="H561" s="3"/>
    </row>
    <row r="562" spans="1:8" ht="18" hidden="1">
      <c r="A562" s="3">
        <v>107831</v>
      </c>
      <c r="B562" s="7" t="s">
        <v>252</v>
      </c>
      <c r="C562" s="84" t="s">
        <v>32</v>
      </c>
      <c r="D562" s="6">
        <v>45580</v>
      </c>
      <c r="E562" s="3" t="str">
        <f ca="1">IF(Tabela2[[#This Row],[Dt Venc:]]&gt;TODAY(),"Em Aberto",IF(Tabela2[[#This Row],[D/venc]]="-","Enviado",IF(Tabela2[[#This Row],[Dt Venc:]]=TODAY(),"Vence Hoje","Vencida")))</f>
        <v>Enviado</v>
      </c>
      <c r="F562" s="3" t="str">
        <f ca="1">IF(G562=1,"-",Tabela2[[#This Row],[Dt Venc:]]-TODAY())</f>
        <v>-</v>
      </c>
      <c r="G562" s="3">
        <v>1</v>
      </c>
      <c r="H562" s="3"/>
    </row>
    <row r="563" spans="1:8" ht="18" hidden="1">
      <c r="A563" s="3">
        <v>107832</v>
      </c>
      <c r="B563" s="7" t="s">
        <v>252</v>
      </c>
      <c r="C563" s="84" t="s">
        <v>32</v>
      </c>
      <c r="D563" s="6">
        <v>45580</v>
      </c>
      <c r="E563" s="3" t="str">
        <f ca="1">IF(Tabela2[[#This Row],[Dt Venc:]]&gt;TODAY(),"Em Aberto",IF(Tabela2[[#This Row],[D/venc]]="-","Enviado",IF(Tabela2[[#This Row],[Dt Venc:]]=TODAY(),"Vence Hoje","Vencida")))</f>
        <v>Enviado</v>
      </c>
      <c r="F563" s="3" t="str">
        <f ca="1">IF(G563=1,"-",Tabela2[[#This Row],[Dt Venc:]]-TODAY())</f>
        <v>-</v>
      </c>
      <c r="G563" s="3">
        <v>1</v>
      </c>
      <c r="H563" s="3"/>
    </row>
    <row r="564" spans="1:8" ht="18" hidden="1">
      <c r="A564" s="3">
        <v>892178</v>
      </c>
      <c r="B564" s="7" t="s">
        <v>253</v>
      </c>
      <c r="C564" s="84" t="s">
        <v>32</v>
      </c>
      <c r="D564" s="6">
        <v>45580</v>
      </c>
      <c r="E564" s="3" t="str">
        <f ca="1">IF(Tabela2[[#This Row],[Dt Venc:]]&gt;TODAY(),"Em Aberto",IF(Tabela2[[#This Row],[D/venc]]="-","Enviado",IF(Tabela2[[#This Row],[Dt Venc:]]=TODAY(),"Vence Hoje","Vencida")))</f>
        <v>Enviado</v>
      </c>
      <c r="F564" s="3" t="str">
        <f ca="1">IF(G564=1,"-",Tabela2[[#This Row],[Dt Venc:]]-TODAY())</f>
        <v>-</v>
      </c>
      <c r="G564" s="3">
        <v>1</v>
      </c>
      <c r="H564" s="3"/>
    </row>
    <row r="565" spans="1:8" ht="18" hidden="1">
      <c r="A565" s="3">
        <v>894135</v>
      </c>
      <c r="B565" s="7" t="s">
        <v>253</v>
      </c>
      <c r="C565" s="84" t="s">
        <v>32</v>
      </c>
      <c r="D565" s="6">
        <v>45580</v>
      </c>
      <c r="E565" s="3" t="str">
        <f ca="1">IF(Tabela2[[#This Row],[Dt Venc:]]&gt;TODAY(),"Em Aberto",IF(Tabela2[[#This Row],[D/venc]]="-","Enviado",IF(Tabela2[[#This Row],[Dt Venc:]]=TODAY(),"Vence Hoje","Vencida")))</f>
        <v>Enviado</v>
      </c>
      <c r="F565" s="3" t="str">
        <f ca="1">IF(G565=1,"-",Tabela2[[#This Row],[Dt Venc:]]-TODAY())</f>
        <v>-</v>
      </c>
      <c r="G565" s="3">
        <v>1</v>
      </c>
      <c r="H565" s="3"/>
    </row>
    <row r="566" spans="1:8" ht="18" hidden="1">
      <c r="A566" s="3">
        <v>896565</v>
      </c>
      <c r="B566" s="7" t="s">
        <v>253</v>
      </c>
      <c r="C566" s="84" t="s">
        <v>32</v>
      </c>
      <c r="D566" s="6">
        <v>45580</v>
      </c>
      <c r="E566" s="3" t="str">
        <f ca="1">IF(Tabela2[[#This Row],[Dt Venc:]]&gt;TODAY(),"Em Aberto",IF(Tabela2[[#This Row],[D/venc]]="-","Enviado",IF(Tabela2[[#This Row],[Dt Venc:]]=TODAY(),"Vence Hoje","Vencida")))</f>
        <v>Enviado</v>
      </c>
      <c r="F566" s="3" t="str">
        <f ca="1">IF(G566=1,"-",Tabela2[[#This Row],[Dt Venc:]]-TODAY())</f>
        <v>-</v>
      </c>
      <c r="G566" s="3">
        <v>1</v>
      </c>
      <c r="H566" s="3"/>
    </row>
    <row r="567" spans="1:8" ht="18" hidden="1">
      <c r="A567" s="3">
        <v>900386</v>
      </c>
      <c r="B567" s="7" t="s">
        <v>253</v>
      </c>
      <c r="C567" s="84" t="s">
        <v>32</v>
      </c>
      <c r="D567" s="6">
        <v>45580</v>
      </c>
      <c r="E567" s="3" t="str">
        <f ca="1">IF(Tabela2[[#This Row],[Dt Venc:]]&gt;TODAY(),"Em Aberto",IF(Tabela2[[#This Row],[D/venc]]="-","Enviado",IF(Tabela2[[#This Row],[Dt Venc:]]=TODAY(),"Vence Hoje","Vencida")))</f>
        <v>Enviado</v>
      </c>
      <c r="F567" s="3" t="str">
        <f ca="1">IF(G567=1,"-",Tabela2[[#This Row],[Dt Venc:]]-TODAY())</f>
        <v>-</v>
      </c>
      <c r="G567" s="3">
        <v>1</v>
      </c>
      <c r="H567" s="3"/>
    </row>
    <row r="568" spans="1:8" ht="18" hidden="1">
      <c r="A568" s="3">
        <v>901787</v>
      </c>
      <c r="B568" s="7" t="s">
        <v>253</v>
      </c>
      <c r="C568" s="84" t="s">
        <v>32</v>
      </c>
      <c r="D568" s="6">
        <v>45580</v>
      </c>
      <c r="E568" s="3" t="str">
        <f ca="1">IF(Tabela2[[#This Row],[Dt Venc:]]&gt;TODAY(),"Em Aberto",IF(Tabela2[[#This Row],[D/venc]]="-","Enviado",IF(Tabela2[[#This Row],[Dt Venc:]]=TODAY(),"Vence Hoje","Vencida")))</f>
        <v>Enviado</v>
      </c>
      <c r="F568" s="3" t="str">
        <f ca="1">IF(G568=1,"-",Tabela2[[#This Row],[Dt Venc:]]-TODAY())</f>
        <v>-</v>
      </c>
      <c r="G568" s="3">
        <v>1</v>
      </c>
      <c r="H568" s="3"/>
    </row>
    <row r="569" spans="1:8" ht="18" hidden="1">
      <c r="A569" s="3">
        <v>901788</v>
      </c>
      <c r="B569" s="7" t="s">
        <v>253</v>
      </c>
      <c r="C569" s="84" t="s">
        <v>32</v>
      </c>
      <c r="D569" s="6">
        <v>45580</v>
      </c>
      <c r="E569" s="3" t="str">
        <f ca="1">IF(Tabela2[[#This Row],[Dt Venc:]]&gt;TODAY(),"Em Aberto",IF(Tabela2[[#This Row],[D/venc]]="-","Enviado",IF(Tabela2[[#This Row],[Dt Venc:]]=TODAY(),"Vence Hoje","Vencida")))</f>
        <v>Enviado</v>
      </c>
      <c r="F569" s="3" t="str">
        <f ca="1">IF(G569=1,"-",Tabela2[[#This Row],[Dt Venc:]]-TODAY())</f>
        <v>-</v>
      </c>
      <c r="G569" s="3">
        <v>1</v>
      </c>
      <c r="H569" s="3"/>
    </row>
    <row r="570" spans="1:8" ht="18" hidden="1">
      <c r="A570" s="3">
        <v>901789</v>
      </c>
      <c r="B570" s="7" t="s">
        <v>253</v>
      </c>
      <c r="C570" s="84" t="s">
        <v>32</v>
      </c>
      <c r="D570" s="6">
        <v>45580</v>
      </c>
      <c r="E570" s="3" t="str">
        <f ca="1">IF(Tabela2[[#This Row],[Dt Venc:]]&gt;TODAY(),"Em Aberto",IF(Tabela2[[#This Row],[D/venc]]="-","Enviado",IF(Tabela2[[#This Row],[Dt Venc:]]=TODAY(),"Vence Hoje","Vencida")))</f>
        <v>Enviado</v>
      </c>
      <c r="F570" s="3" t="str">
        <f ca="1">IF(G570=1,"-",Tabela2[[#This Row],[Dt Venc:]]-TODAY())</f>
        <v>-</v>
      </c>
      <c r="G570" s="3">
        <v>1</v>
      </c>
      <c r="H570" s="3"/>
    </row>
    <row r="571" spans="1:8" ht="18" hidden="1">
      <c r="A571" s="3">
        <v>28388</v>
      </c>
      <c r="B571" s="7" t="s">
        <v>97</v>
      </c>
      <c r="C571" s="42">
        <v>1950</v>
      </c>
      <c r="D571" s="6">
        <v>45580</v>
      </c>
      <c r="E571" s="3" t="str">
        <f ca="1">IF(Tabela2[[#This Row],[Dt Venc:]]&gt;TODAY(),"Em Aberto",IF(Tabela2[[#This Row],[D/venc]]="-","Enviado",IF(Tabela2[[#This Row],[Dt Venc:]]=TODAY(),"Vence Hoje","Vencida")))</f>
        <v>Enviado</v>
      </c>
      <c r="F571" s="3" t="str">
        <f ca="1">IF(G571=1,"-",Tabela2[[#This Row],[Dt Venc:]]-TODAY())</f>
        <v>-</v>
      </c>
      <c r="G571" s="3">
        <v>1</v>
      </c>
      <c r="H571" s="3"/>
    </row>
    <row r="572" spans="1:8" ht="18" hidden="1">
      <c r="A572" s="3">
        <v>880609</v>
      </c>
      <c r="B572" s="7" t="s">
        <v>254</v>
      </c>
      <c r="C572" s="42">
        <v>450</v>
      </c>
      <c r="D572" s="6">
        <v>45580</v>
      </c>
      <c r="E572" s="3" t="str">
        <f ca="1">IF(Tabela2[[#This Row],[Dt Venc:]]&gt;TODAY(),"Em Aberto",IF(Tabela2[[#This Row],[D/venc]]="-","Enviado",IF(Tabela2[[#This Row],[Dt Venc:]]=TODAY(),"Vence Hoje","Vencida")))</f>
        <v>Enviado</v>
      </c>
      <c r="F572" s="3" t="str">
        <f ca="1">IF(G572=1,"-",Tabela2[[#This Row],[Dt Venc:]]-TODAY())</f>
        <v>-</v>
      </c>
      <c r="G572" s="3">
        <v>1</v>
      </c>
      <c r="H572" s="3"/>
    </row>
    <row r="573" spans="1:8" ht="18" hidden="1">
      <c r="A573" s="3">
        <v>52845</v>
      </c>
      <c r="B573" s="7" t="s">
        <v>35</v>
      </c>
      <c r="C573" s="42">
        <v>499.16</v>
      </c>
      <c r="D573" s="6">
        <v>45580</v>
      </c>
      <c r="E573" s="3" t="str">
        <f ca="1">IF(Tabela2[[#This Row],[Dt Venc:]]&gt;TODAY(),"Em Aberto",IF(Tabela2[[#This Row],[D/venc]]="-","Enviado",IF(Tabela2[[#This Row],[Dt Venc:]]=TODAY(),"Vence Hoje","Vencida")))</f>
        <v>Enviado</v>
      </c>
      <c r="F573" s="3" t="str">
        <f ca="1">IF(G573=1,"-",Tabela2[[#This Row],[Dt Venc:]]-TODAY())</f>
        <v>-</v>
      </c>
      <c r="G573" s="3">
        <v>1</v>
      </c>
      <c r="H573" s="3"/>
    </row>
    <row r="574" spans="1:8" ht="18" hidden="1">
      <c r="A574" s="3">
        <v>21900</v>
      </c>
      <c r="B574" s="7" t="s">
        <v>38</v>
      </c>
      <c r="C574" s="42">
        <v>2796.67</v>
      </c>
      <c r="D574" s="6">
        <v>45580</v>
      </c>
      <c r="E574" s="3" t="str">
        <f ca="1">IF(Tabela2[[#This Row],[Dt Venc:]]&gt;TODAY(),"Em Aberto",IF(Tabela2[[#This Row],[D/venc]]="-","Enviado",IF(Tabela2[[#This Row],[Dt Venc:]]=TODAY(),"Vence Hoje","Vencida")))</f>
        <v>Enviado</v>
      </c>
      <c r="F574" s="3" t="str">
        <f ca="1">IF(G574=1,"-",Tabela2[[#This Row],[Dt Venc:]]-TODAY())</f>
        <v>-</v>
      </c>
      <c r="G574" s="3">
        <v>1</v>
      </c>
      <c r="H574" s="3"/>
    </row>
    <row r="575" spans="1:8" ht="18" hidden="1">
      <c r="A575" s="3">
        <v>21901</v>
      </c>
      <c r="B575" s="7" t="s">
        <v>38</v>
      </c>
      <c r="C575" s="42">
        <v>1441.33</v>
      </c>
      <c r="D575" s="6">
        <v>45580</v>
      </c>
      <c r="E575" s="3" t="str">
        <f ca="1">IF(Tabela2[[#This Row],[Dt Venc:]]&gt;TODAY(),"Em Aberto",IF(Tabela2[[#This Row],[D/venc]]="-","Enviado",IF(Tabela2[[#This Row],[Dt Venc:]]=TODAY(),"Vence Hoje","Vencida")))</f>
        <v>Enviado</v>
      </c>
      <c r="F575" s="3" t="str">
        <f ca="1">IF(G575=1,"-",Tabela2[[#This Row],[Dt Venc:]]-TODAY())</f>
        <v>-</v>
      </c>
      <c r="G575" s="3">
        <v>1</v>
      </c>
      <c r="H575" s="3"/>
    </row>
    <row r="576" spans="1:8" ht="18" hidden="1">
      <c r="A576" s="3" t="s">
        <v>28</v>
      </c>
      <c r="B576" s="7" t="s">
        <v>255</v>
      </c>
      <c r="C576" s="84" t="s">
        <v>32</v>
      </c>
      <c r="D576" s="6">
        <v>45580</v>
      </c>
      <c r="E576" s="3" t="str">
        <f ca="1">IF(Tabela2[[#This Row],[Dt Venc:]]&gt;TODAY(),"Em Aberto",IF(Tabela2[[#This Row],[D/venc]]="-","Enviado",IF(Tabela2[[#This Row],[Dt Venc:]]=TODAY(),"Vence Hoje","Vencida")))</f>
        <v>Enviado</v>
      </c>
      <c r="F576" s="3" t="str">
        <f ca="1">IF(G576=1,"-",Tabela2[[#This Row],[Dt Venc:]]-TODAY())</f>
        <v>-</v>
      </c>
      <c r="G576" s="3">
        <v>1</v>
      </c>
      <c r="H576" s="3"/>
    </row>
    <row r="577" spans="1:8" ht="18" hidden="1">
      <c r="A577" s="3">
        <v>144788</v>
      </c>
      <c r="B577" s="7" t="s">
        <v>127</v>
      </c>
      <c r="C577" s="42">
        <v>717.5</v>
      </c>
      <c r="D577" s="6">
        <v>45580</v>
      </c>
      <c r="E577" s="3" t="str">
        <f ca="1">IF(Tabela2[[#This Row],[Dt Venc:]]&gt;TODAY(),"Em Aberto",IF(Tabela2[[#This Row],[D/venc]]="-","Enviado",IF(Tabela2[[#This Row],[Dt Venc:]]=TODAY(),"Vence Hoje","Vencida")))</f>
        <v>Enviado</v>
      </c>
      <c r="F577" s="3" t="str">
        <f ca="1">IF(G577=1,"-",Tabela2[[#This Row],[Dt Venc:]]-TODAY())</f>
        <v>-</v>
      </c>
      <c r="G577" s="3">
        <v>1</v>
      </c>
      <c r="H577" s="3"/>
    </row>
    <row r="578" spans="1:8" ht="18" hidden="1">
      <c r="A578" s="3">
        <v>750868</v>
      </c>
      <c r="B578" s="7" t="s">
        <v>127</v>
      </c>
      <c r="C578" s="42">
        <v>625.48</v>
      </c>
      <c r="D578" s="6">
        <v>45580</v>
      </c>
      <c r="E578" s="3" t="str">
        <f ca="1">IF(Tabela2[[#This Row],[Dt Venc:]]&gt;TODAY(),"Em Aberto",IF(Tabela2[[#This Row],[D/venc]]="-","Enviado",IF(Tabela2[[#This Row],[Dt Venc:]]=TODAY(),"Vence Hoje","Vencida")))</f>
        <v>Enviado</v>
      </c>
      <c r="F578" s="3" t="str">
        <f ca="1">IF(G578=1,"-",Tabela2[[#This Row],[Dt Venc:]]-TODAY())</f>
        <v>-</v>
      </c>
      <c r="G578" s="3">
        <v>1</v>
      </c>
      <c r="H578" s="3"/>
    </row>
    <row r="579" spans="1:8" ht="18" hidden="1">
      <c r="A579" s="3">
        <v>1420</v>
      </c>
      <c r="B579" s="7" t="s">
        <v>78</v>
      </c>
      <c r="C579" s="42">
        <v>1003</v>
      </c>
      <c r="D579" s="6">
        <v>45580</v>
      </c>
      <c r="E579" s="3" t="str">
        <f ca="1">IF(Tabela2[[#This Row],[Dt Venc:]]&gt;TODAY(),"Em Aberto",IF(Tabela2[[#This Row],[D/venc]]="-","Enviado",IF(Tabela2[[#This Row],[Dt Venc:]]=TODAY(),"Vence Hoje","Vencida")))</f>
        <v>Enviado</v>
      </c>
      <c r="F579" s="3" t="str">
        <f ca="1">IF(G579=1,"-",Tabela2[[#This Row],[Dt Venc:]]-TODAY())</f>
        <v>-</v>
      </c>
      <c r="G579" s="3">
        <v>1</v>
      </c>
      <c r="H579" s="3"/>
    </row>
    <row r="580" spans="1:8" ht="18" hidden="1">
      <c r="A580" s="3">
        <v>912703</v>
      </c>
      <c r="B580" s="7" t="s">
        <v>253</v>
      </c>
      <c r="C580" s="84" t="s">
        <v>32</v>
      </c>
      <c r="D580" s="6">
        <v>45580</v>
      </c>
      <c r="E580" s="3" t="str">
        <f ca="1">IF(Tabela2[[#This Row],[Dt Venc:]]&gt;TODAY(),"Em Aberto",IF(Tabela2[[#This Row],[D/venc]]="-","Enviado",IF(Tabela2[[#This Row],[Dt Venc:]]=TODAY(),"Vence Hoje","Vencida")))</f>
        <v>Enviado</v>
      </c>
      <c r="F580" s="3" t="str">
        <f ca="1">IF(G580=1,"-",Tabela2[[#This Row],[Dt Venc:]]-TODAY())</f>
        <v>-</v>
      </c>
      <c r="G580" s="3">
        <v>1</v>
      </c>
      <c r="H580" s="3"/>
    </row>
    <row r="581" spans="1:8" ht="18" hidden="1">
      <c r="A581" s="3" t="s">
        <v>110</v>
      </c>
      <c r="B581" s="7" t="s">
        <v>256</v>
      </c>
      <c r="C581" s="42" t="s">
        <v>32</v>
      </c>
      <c r="D581" s="6">
        <v>45580</v>
      </c>
      <c r="E581" s="3" t="str">
        <f ca="1">IF(Tabela2[[#This Row],[Dt Venc:]]&gt;TODAY(),"Em Aberto",IF(Tabela2[[#This Row],[D/venc]]="-","Enviado",IF(Tabela2[[#This Row],[Dt Venc:]]=TODAY(),"Vence Hoje","Vencida")))</f>
        <v>Enviado</v>
      </c>
      <c r="F581" s="3" t="str">
        <f ca="1">IF(G581=1,"-",Tabela2[[#This Row],[Dt Venc:]]-TODAY())</f>
        <v>-</v>
      </c>
      <c r="G581" s="3">
        <v>1</v>
      </c>
      <c r="H581" s="3"/>
    </row>
    <row r="582" spans="1:8" ht="18" hidden="1">
      <c r="A582" s="3">
        <v>905</v>
      </c>
      <c r="B582" s="7" t="s">
        <v>92</v>
      </c>
      <c r="C582" s="42">
        <v>29520</v>
      </c>
      <c r="D582" s="6">
        <v>45580</v>
      </c>
      <c r="E582" s="3" t="str">
        <f ca="1">IF(Tabela2[[#This Row],[Dt Venc:]]&gt;TODAY(),"Em Aberto",IF(Tabela2[[#This Row],[D/venc]]="-","Enviado",IF(Tabela2[[#This Row],[Dt Venc:]]=TODAY(),"Vence Hoje","Vencida")))</f>
        <v>Enviado</v>
      </c>
      <c r="F582" s="3" t="str">
        <f ca="1">IF(G582=1,"-",Tabela2[[#This Row],[Dt Venc:]]-TODAY())</f>
        <v>-</v>
      </c>
      <c r="G582" s="3">
        <v>1</v>
      </c>
      <c r="H582" s="3"/>
    </row>
    <row r="583" spans="1:8" ht="18" hidden="1">
      <c r="A583" s="3">
        <v>604071</v>
      </c>
      <c r="B583" s="7" t="s">
        <v>138</v>
      </c>
      <c r="C583" s="42">
        <v>1358.49</v>
      </c>
      <c r="D583" s="6">
        <v>45580</v>
      </c>
      <c r="E583" s="3" t="str">
        <f ca="1">IF(Tabela2[[#This Row],[Dt Venc:]]&gt;TODAY(),"Em Aberto",IF(Tabela2[[#This Row],[D/venc]]="-","Enviado",IF(Tabela2[[#This Row],[Dt Venc:]]=TODAY(),"Vence Hoje","Vencida")))</f>
        <v>Enviado</v>
      </c>
      <c r="F583" s="3" t="str">
        <f ca="1">IF(G583=1,"-",Tabela2[[#This Row],[Dt Venc:]]-TODAY())</f>
        <v>-</v>
      </c>
      <c r="G583" s="3">
        <v>1</v>
      </c>
      <c r="H583" s="3"/>
    </row>
    <row r="584" spans="1:8" ht="18" hidden="1">
      <c r="A584" s="3">
        <v>49287</v>
      </c>
      <c r="B584" s="7" t="s">
        <v>257</v>
      </c>
      <c r="C584" s="42">
        <v>922.27</v>
      </c>
      <c r="D584" s="6">
        <v>45580</v>
      </c>
      <c r="E584" s="3" t="str">
        <f ca="1">IF(Tabela2[[#This Row],[Dt Venc:]]&gt;TODAY(),"Em Aberto",IF(Tabela2[[#This Row],[D/venc]]="-","Enviado",IF(Tabela2[[#This Row],[Dt Venc:]]=TODAY(),"Vence Hoje","Vencida")))</f>
        <v>Enviado</v>
      </c>
      <c r="F584" s="3" t="str">
        <f ca="1">IF(G584=1,"-",Tabela2[[#This Row],[Dt Venc:]]-TODAY())</f>
        <v>-</v>
      </c>
      <c r="G584" s="3">
        <v>1</v>
      </c>
      <c r="H584" s="3"/>
    </row>
    <row r="585" spans="1:8" ht="18" hidden="1">
      <c r="A585" s="3">
        <v>49288</v>
      </c>
      <c r="B585" s="7" t="s">
        <v>257</v>
      </c>
      <c r="C585" s="42">
        <v>669.71</v>
      </c>
      <c r="D585" s="6">
        <v>45580</v>
      </c>
      <c r="E585" s="3" t="str">
        <f ca="1">IF(Tabela2[[#This Row],[Dt Venc:]]&gt;TODAY(),"Em Aberto",IF(Tabela2[[#This Row],[D/venc]]="-","Enviado",IF(Tabela2[[#This Row],[Dt Venc:]]=TODAY(),"Vence Hoje","Vencida")))</f>
        <v>Enviado</v>
      </c>
      <c r="F585" s="3" t="str">
        <f ca="1">IF(G585=1,"-",Tabela2[[#This Row],[Dt Venc:]]-TODAY())</f>
        <v>-</v>
      </c>
      <c r="G585" s="3">
        <v>1</v>
      </c>
      <c r="H585" s="3"/>
    </row>
    <row r="586" spans="1:8" ht="18" hidden="1">
      <c r="A586" s="3">
        <v>49289</v>
      </c>
      <c r="B586" s="7" t="s">
        <v>257</v>
      </c>
      <c r="C586" s="42">
        <v>976.06</v>
      </c>
      <c r="D586" s="6">
        <v>45580</v>
      </c>
      <c r="E586" s="3" t="str">
        <f ca="1">IF(Tabela2[[#This Row],[Dt Venc:]]&gt;TODAY(),"Em Aberto",IF(Tabela2[[#This Row],[D/venc]]="-","Enviado",IF(Tabela2[[#This Row],[Dt Venc:]]=TODAY(),"Vence Hoje","Vencida")))</f>
        <v>Enviado</v>
      </c>
      <c r="F586" s="3" t="str">
        <f ca="1">IF(G586=1,"-",Tabela2[[#This Row],[Dt Venc:]]-TODAY())</f>
        <v>-</v>
      </c>
      <c r="G586" s="3">
        <v>1</v>
      </c>
      <c r="H586" s="3"/>
    </row>
    <row r="587" spans="1:8" ht="18" hidden="1">
      <c r="A587" s="3">
        <v>1155</v>
      </c>
      <c r="B587" s="7" t="s">
        <v>258</v>
      </c>
      <c r="C587" s="42">
        <v>1220</v>
      </c>
      <c r="D587" s="6">
        <v>45580</v>
      </c>
      <c r="E587" s="3" t="str">
        <f ca="1">IF(Tabela2[[#This Row],[Dt Venc:]]&gt;TODAY(),"Em Aberto",IF(Tabela2[[#This Row],[D/venc]]="-","Enviado",IF(Tabela2[[#This Row],[Dt Venc:]]=TODAY(),"Vence Hoje","Vencida")))</f>
        <v>Enviado</v>
      </c>
      <c r="F587" s="3" t="str">
        <f ca="1">IF(G587=1,"-",Tabela2[[#This Row],[Dt Venc:]]-TODAY())</f>
        <v>-</v>
      </c>
      <c r="G587" s="3">
        <v>1</v>
      </c>
      <c r="H587" s="3"/>
    </row>
    <row r="588" spans="1:8" ht="18" hidden="1">
      <c r="A588" s="3">
        <v>69642</v>
      </c>
      <c r="B588" s="7" t="s">
        <v>76</v>
      </c>
      <c r="C588" s="42">
        <v>1650.78</v>
      </c>
      <c r="D588" s="6">
        <v>45580</v>
      </c>
      <c r="E588" s="3" t="str">
        <f ca="1">IF(Tabela2[[#This Row],[Dt Venc:]]&gt;TODAY(),"Em Aberto",IF(Tabela2[[#This Row],[D/venc]]="-","Enviado",IF(Tabela2[[#This Row],[Dt Venc:]]=TODAY(),"Vence Hoje","Vencida")))</f>
        <v>Enviado</v>
      </c>
      <c r="F588" s="3" t="str">
        <f ca="1">IF(G588=1,"-",Tabela2[[#This Row],[Dt Venc:]]-TODAY())</f>
        <v>-</v>
      </c>
      <c r="G588" s="3">
        <v>1</v>
      </c>
      <c r="H588" s="3"/>
    </row>
    <row r="589" spans="1:8" ht="18" hidden="1">
      <c r="A589" s="3">
        <v>187259</v>
      </c>
      <c r="B589" s="7" t="s">
        <v>43</v>
      </c>
      <c r="C589" s="42">
        <v>1055.1099999999999</v>
      </c>
      <c r="D589" s="6">
        <v>45580</v>
      </c>
      <c r="E589" s="3" t="str">
        <f ca="1">IF(Tabela2[[#This Row],[Dt Venc:]]&gt;TODAY(),"Em Aberto",IF(Tabela2[[#This Row],[D/venc]]="-","Enviado",IF(Tabela2[[#This Row],[Dt Venc:]]=TODAY(),"Vence Hoje","Vencida")))</f>
        <v>Enviado</v>
      </c>
      <c r="F589" s="3" t="str">
        <f ca="1">IF(G589=1,"-",Tabela2[[#This Row],[Dt Venc:]]-TODAY())</f>
        <v>-</v>
      </c>
      <c r="G589" s="3">
        <v>1</v>
      </c>
      <c r="H589" s="3"/>
    </row>
    <row r="590" spans="1:8" ht="18" hidden="1">
      <c r="A590" s="3">
        <v>199602</v>
      </c>
      <c r="B590" s="7" t="s">
        <v>43</v>
      </c>
      <c r="C590" s="42">
        <v>1564.38</v>
      </c>
      <c r="D590" s="6">
        <v>45580</v>
      </c>
      <c r="E590" s="3" t="str">
        <f ca="1">IF(Tabela2[[#This Row],[Dt Venc:]]&gt;TODAY(),"Em Aberto",IF(Tabela2[[#This Row],[D/venc]]="-","Enviado",IF(Tabela2[[#This Row],[Dt Venc:]]=TODAY(),"Vence Hoje","Vencida")))</f>
        <v>Enviado</v>
      </c>
      <c r="F590" s="3" t="str">
        <f ca="1">IF(G590=1,"-",Tabela2[[#This Row],[Dt Venc:]]-TODAY())</f>
        <v>-</v>
      </c>
      <c r="G590" s="3">
        <v>1</v>
      </c>
      <c r="H590" s="3"/>
    </row>
    <row r="591" spans="1:8" ht="18" hidden="1">
      <c r="A591" s="3">
        <v>912704</v>
      </c>
      <c r="B591" s="7" t="s">
        <v>253</v>
      </c>
      <c r="C591" s="84" t="s">
        <v>32</v>
      </c>
      <c r="D591" s="6">
        <v>45580</v>
      </c>
      <c r="E591" s="3" t="str">
        <f ca="1">IF(Tabela2[[#This Row],[Dt Venc:]]&gt;TODAY(),"Em Aberto",IF(Tabela2[[#This Row],[D/venc]]="-","Enviado",IF(Tabela2[[#This Row],[Dt Venc:]]=TODAY(),"Vence Hoje","Vencida")))</f>
        <v>Enviado</v>
      </c>
      <c r="F591" s="3" t="str">
        <f ca="1">IF(G591=1,"-",Tabela2[[#This Row],[Dt Venc:]]-TODAY())</f>
        <v>-</v>
      </c>
      <c r="G591" s="3">
        <v>1</v>
      </c>
      <c r="H591" s="3"/>
    </row>
    <row r="592" spans="1:8" ht="18" hidden="1">
      <c r="A592" s="3">
        <v>212242</v>
      </c>
      <c r="B592" s="7" t="s">
        <v>43</v>
      </c>
      <c r="C592" s="42">
        <v>638.6</v>
      </c>
      <c r="D592" s="6">
        <v>45580</v>
      </c>
      <c r="E592" s="3" t="str">
        <f ca="1">IF(Tabela2[[#This Row],[Dt Venc:]]&gt;TODAY(),"Em Aberto",IF(Tabela2[[#This Row],[D/venc]]="-","Enviado",IF(Tabela2[[#This Row],[Dt Venc:]]=TODAY(),"Vence Hoje","Vencida")))</f>
        <v>Enviado</v>
      </c>
      <c r="F592" s="3" t="str">
        <f ca="1">IF(G592=1,"-",Tabela2[[#This Row],[Dt Venc:]]-TODAY())</f>
        <v>-</v>
      </c>
      <c r="G592" s="3">
        <v>1</v>
      </c>
      <c r="H592" s="3"/>
    </row>
    <row r="593" spans="1:8" ht="18" hidden="1">
      <c r="A593" s="3" t="s">
        <v>110</v>
      </c>
      <c r="B593" s="7" t="s">
        <v>259</v>
      </c>
      <c r="C593" s="42" t="s">
        <v>32</v>
      </c>
      <c r="D593" s="6">
        <v>45580</v>
      </c>
      <c r="E593" s="3" t="str">
        <f ca="1">IF(Tabela2[[#This Row],[Dt Venc:]]&gt;TODAY(),"Em Aberto",IF(Tabela2[[#This Row],[D/venc]]="-","Enviado",IF(Tabela2[[#This Row],[Dt Venc:]]=TODAY(),"Vence Hoje","Vencida")))</f>
        <v>Enviado</v>
      </c>
      <c r="F593" s="3" t="str">
        <f ca="1">IF(G593=1,"-",Tabela2[[#This Row],[Dt Venc:]]-TODAY())</f>
        <v>-</v>
      </c>
      <c r="G593" s="3">
        <v>1</v>
      </c>
      <c r="H593" s="3"/>
    </row>
    <row r="594" spans="1:8" ht="18" hidden="1">
      <c r="A594" s="3">
        <v>757</v>
      </c>
      <c r="B594" s="7" t="s">
        <v>113</v>
      </c>
      <c r="C594" s="42">
        <v>2453.34</v>
      </c>
      <c r="D594" s="6">
        <v>45580</v>
      </c>
      <c r="E594" s="3" t="str">
        <f ca="1">IF(Tabela2[[#This Row],[Dt Venc:]]&gt;TODAY(),"Em Aberto",IF(Tabela2[[#This Row],[D/venc]]="-","Enviado",IF(Tabela2[[#This Row],[Dt Venc:]]=TODAY(),"Vence Hoje","Vencida")))</f>
        <v>Enviado</v>
      </c>
      <c r="F594" s="3" t="str">
        <f ca="1">IF(G594=1,"-",Tabela2[[#This Row],[Dt Venc:]]-TODAY())</f>
        <v>-</v>
      </c>
      <c r="G594" s="3">
        <v>1</v>
      </c>
      <c r="H594" s="3"/>
    </row>
    <row r="595" spans="1:8" ht="18" hidden="1">
      <c r="A595" s="3">
        <v>5</v>
      </c>
      <c r="B595" s="7" t="s">
        <v>260</v>
      </c>
      <c r="C595" s="42">
        <v>2068</v>
      </c>
      <c r="D595" s="6">
        <v>45580</v>
      </c>
      <c r="E595" s="3" t="str">
        <f ca="1">IF(Tabela2[[#This Row],[Dt Venc:]]&gt;TODAY(),"Em Aberto",IF(Tabela2[[#This Row],[D/venc]]="-","Enviado",IF(Tabela2[[#This Row],[Dt Venc:]]=TODAY(),"Vence Hoje","Vencida")))</f>
        <v>Enviado</v>
      </c>
      <c r="F595" s="3" t="str">
        <f ca="1">IF(G595=1,"-",Tabela2[[#This Row],[Dt Venc:]]-TODAY())</f>
        <v>-</v>
      </c>
      <c r="G595" s="3">
        <v>1</v>
      </c>
      <c r="H595" s="3"/>
    </row>
    <row r="596" spans="1:8" ht="18" hidden="1">
      <c r="A596" s="3">
        <v>151504</v>
      </c>
      <c r="B596" s="7" t="s">
        <v>77</v>
      </c>
      <c r="C596" s="42">
        <v>433.33</v>
      </c>
      <c r="D596" s="6">
        <v>45580</v>
      </c>
      <c r="E596" s="3" t="str">
        <f ca="1">IF(Tabela2[[#This Row],[Dt Venc:]]&gt;TODAY(),"Em Aberto",IF(Tabela2[[#This Row],[D/venc]]="-","Enviado",IF(Tabela2[[#This Row],[Dt Venc:]]=TODAY(),"Vence Hoje","Vencida")))</f>
        <v>Enviado</v>
      </c>
      <c r="F596" s="3" t="str">
        <f ca="1">IF(G596=1,"-",Tabela2[[#This Row],[Dt Venc:]]-TODAY())</f>
        <v>-</v>
      </c>
      <c r="G596" s="3">
        <v>1</v>
      </c>
      <c r="H596" s="3"/>
    </row>
    <row r="597" spans="1:8" ht="18" hidden="1">
      <c r="A597" s="3">
        <v>152208</v>
      </c>
      <c r="B597" s="7" t="s">
        <v>261</v>
      </c>
      <c r="C597" s="42">
        <v>1100</v>
      </c>
      <c r="D597" s="6">
        <v>45580</v>
      </c>
      <c r="E597" s="3" t="str">
        <f ca="1">IF(Tabela2[[#This Row],[Dt Venc:]]&gt;TODAY(),"Em Aberto",IF(Tabela2[[#This Row],[D/venc]]="-","Enviado",IF(Tabela2[[#This Row],[Dt Venc:]]=TODAY(),"Vence Hoje","Vencida")))</f>
        <v>Enviado</v>
      </c>
      <c r="F597" s="3" t="str">
        <f ca="1">IF(G597=1,"-",Tabela2[[#This Row],[Dt Venc:]]-TODAY())</f>
        <v>-</v>
      </c>
      <c r="G597" s="3">
        <v>1</v>
      </c>
      <c r="H597" s="3"/>
    </row>
    <row r="598" spans="1:8" ht="18" hidden="1">
      <c r="A598" s="3">
        <v>170441</v>
      </c>
      <c r="B598" s="7" t="s">
        <v>211</v>
      </c>
      <c r="C598" s="42">
        <v>177.34</v>
      </c>
      <c r="D598" s="6">
        <v>45580</v>
      </c>
      <c r="E598" s="3" t="str">
        <f ca="1">IF(Tabela2[[#This Row],[Dt Venc:]]&gt;TODAY(),"Em Aberto",IF(Tabela2[[#This Row],[D/venc]]="-","Enviado",IF(Tabela2[[#This Row],[Dt Venc:]]=TODAY(),"Vence Hoje","Vencida")))</f>
        <v>Enviado</v>
      </c>
      <c r="F598" s="3" t="str">
        <f ca="1">IF(G598=1,"-",Tabela2[[#This Row],[Dt Venc:]]-TODAY())</f>
        <v>-</v>
      </c>
      <c r="G598" s="3">
        <v>1</v>
      </c>
      <c r="H598" s="3"/>
    </row>
    <row r="599" spans="1:8" ht="18" hidden="1">
      <c r="A599" s="3">
        <v>254643</v>
      </c>
      <c r="B599" s="7" t="s">
        <v>49</v>
      </c>
      <c r="C599" s="41">
        <v>1045</v>
      </c>
      <c r="D599" s="6">
        <v>45580</v>
      </c>
      <c r="E599" s="3" t="str">
        <f ca="1">IF(Tabela2[[#This Row],[Dt Venc:]]&gt;TODAY(),"Em Aberto",IF(Tabela2[[#This Row],[D/venc]]="-","Enviado",IF(Tabela2[[#This Row],[Dt Venc:]]=TODAY(),"Vence Hoje","Vencida")))</f>
        <v>Enviado</v>
      </c>
      <c r="F599" s="3" t="str">
        <f ca="1">IF(G599=1,"-",Tabela2[[#This Row],[Dt Venc:]]-TODAY())</f>
        <v>-</v>
      </c>
      <c r="G599" s="3">
        <v>1</v>
      </c>
      <c r="H599" s="3"/>
    </row>
    <row r="600" spans="1:8" ht="18" hidden="1">
      <c r="A600" s="3">
        <v>7275</v>
      </c>
      <c r="B600" s="7" t="s">
        <v>54</v>
      </c>
      <c r="C600" s="41">
        <v>420</v>
      </c>
      <c r="D600" s="6">
        <v>45580</v>
      </c>
      <c r="E600" s="3" t="str">
        <f ca="1">IF(Tabela2[[#This Row],[Dt Venc:]]&gt;TODAY(),"Em Aberto",IF(Tabela2[[#This Row],[D/venc]]="-","Enviado",IF(Tabela2[[#This Row],[Dt Venc:]]=TODAY(),"Vence Hoje","Vencida")))</f>
        <v>Enviado</v>
      </c>
      <c r="F600" s="3" t="str">
        <f ca="1">IF(G600=1,"-",Tabela2[[#This Row],[Dt Venc:]]-TODAY())</f>
        <v>-</v>
      </c>
      <c r="G600" s="3">
        <v>1</v>
      </c>
      <c r="H600" s="3"/>
    </row>
    <row r="601" spans="1:8" ht="18" hidden="1">
      <c r="A601" s="3">
        <v>229909</v>
      </c>
      <c r="B601" s="7" t="s">
        <v>55</v>
      </c>
      <c r="C601" s="41">
        <v>826.67</v>
      </c>
      <c r="D601" s="6">
        <v>45580</v>
      </c>
      <c r="E601" s="3" t="str">
        <f ca="1">IF(Tabela2[[#This Row],[Dt Venc:]]&gt;TODAY(),"Em Aberto",IF(Tabela2[[#This Row],[D/venc]]="-","Enviado",IF(Tabela2[[#This Row],[Dt Venc:]]=TODAY(),"Vence Hoje","Vencida")))</f>
        <v>Enviado</v>
      </c>
      <c r="F601" s="3" t="str">
        <f ca="1">IF(G601=1,"-",Tabela2[[#This Row],[Dt Venc:]]-TODAY())</f>
        <v>-</v>
      </c>
      <c r="G601" s="3">
        <v>1</v>
      </c>
      <c r="H601" s="3"/>
    </row>
    <row r="602" spans="1:8" ht="18" hidden="1">
      <c r="A602" s="3">
        <v>128372</v>
      </c>
      <c r="B602" s="7" t="s">
        <v>157</v>
      </c>
      <c r="C602" s="41">
        <v>367.08</v>
      </c>
      <c r="D602" s="6">
        <v>45580</v>
      </c>
      <c r="E602" s="3" t="str">
        <f ca="1">IF(Tabela2[[#This Row],[Dt Venc:]]&gt;TODAY(),"Em Aberto",IF(Tabela2[[#This Row],[D/venc]]="-","Enviado",IF(Tabela2[[#This Row],[Dt Venc:]]=TODAY(),"Vence Hoje","Vencida")))</f>
        <v>Enviado</v>
      </c>
      <c r="F602" s="3" t="str">
        <f ca="1">IF(G602=1,"-",Tabela2[[#This Row],[Dt Venc:]]-TODAY())</f>
        <v>-</v>
      </c>
      <c r="G602" s="3">
        <v>1</v>
      </c>
      <c r="H602" s="3"/>
    </row>
    <row r="603" spans="1:8" ht="18" hidden="1">
      <c r="A603" s="3">
        <v>254909</v>
      </c>
      <c r="B603" s="7" t="s">
        <v>49</v>
      </c>
      <c r="C603" s="41">
        <v>1045</v>
      </c>
      <c r="D603" s="6">
        <v>45580</v>
      </c>
      <c r="E603" s="3" t="str">
        <f ca="1">IF(Tabela2[[#This Row],[Dt Venc:]]&gt;TODAY(),"Em Aberto",IF(Tabela2[[#This Row],[D/venc]]="-","Enviado",IF(Tabela2[[#This Row],[Dt Venc:]]=TODAY(),"Vence Hoje","Vencida")))</f>
        <v>Enviado</v>
      </c>
      <c r="F603" s="3" t="str">
        <f ca="1">IF(G603=1,"-",Tabela2[[#This Row],[Dt Venc:]]-TODAY())</f>
        <v>-</v>
      </c>
      <c r="G603" s="3">
        <v>1</v>
      </c>
      <c r="H603" s="3"/>
    </row>
    <row r="604" spans="1:8" ht="18" hidden="1">
      <c r="A604" s="3">
        <v>1006</v>
      </c>
      <c r="B604" s="7" t="s">
        <v>155</v>
      </c>
      <c r="C604" s="41">
        <v>18879</v>
      </c>
      <c r="D604" s="6">
        <v>45580</v>
      </c>
      <c r="E604" s="3" t="str">
        <f ca="1">IF(Tabela2[[#This Row],[Dt Venc:]]&gt;TODAY(),"Em Aberto",IF(Tabela2[[#This Row],[D/venc]]="-","Enviado",IF(Tabela2[[#This Row],[Dt Venc:]]=TODAY(),"Vence Hoje","Vencida")))</f>
        <v>Enviado</v>
      </c>
      <c r="F604" s="3" t="str">
        <f ca="1">IF(G604=1,"-",Tabela2[[#This Row],[Dt Venc:]]-TODAY())</f>
        <v>-</v>
      </c>
      <c r="G604" s="3">
        <v>1</v>
      </c>
      <c r="H604" s="3"/>
    </row>
    <row r="605" spans="1:8" ht="18" hidden="1">
      <c r="A605" s="3">
        <v>14057</v>
      </c>
      <c r="B605" s="7" t="s">
        <v>262</v>
      </c>
      <c r="C605" s="41">
        <v>637</v>
      </c>
      <c r="D605" s="6">
        <v>45580</v>
      </c>
      <c r="E605" s="3" t="str">
        <f ca="1">IF(Tabela2[[#This Row],[Dt Venc:]]&gt;TODAY(),"Em Aberto",IF(Tabela2[[#This Row],[D/venc]]="-","Enviado",IF(Tabela2[[#This Row],[Dt Venc:]]=TODAY(),"Vence Hoje","Vencida")))</f>
        <v>Enviado</v>
      </c>
      <c r="F605" s="3" t="str">
        <f ca="1">IF(G605=1,"-",Tabela2[[#This Row],[Dt Venc:]]-TODAY())</f>
        <v>-</v>
      </c>
      <c r="G605" s="3">
        <v>1</v>
      </c>
      <c r="H605" s="3"/>
    </row>
    <row r="606" spans="1:8" ht="18" hidden="1">
      <c r="A606" s="3">
        <v>255224</v>
      </c>
      <c r="B606" s="7" t="s">
        <v>49</v>
      </c>
      <c r="C606" s="41">
        <v>1393.34</v>
      </c>
      <c r="D606" s="6">
        <v>45580</v>
      </c>
      <c r="E606" s="3" t="str">
        <f ca="1">IF(Tabela2[[#This Row],[Dt Venc:]]&gt;TODAY(),"Em Aberto",IF(Tabela2[[#This Row],[D/venc]]="-","Enviado",IF(Tabela2[[#This Row],[Dt Venc:]]=TODAY(),"Vence Hoje","Vencida")))</f>
        <v>Enviado</v>
      </c>
      <c r="F606" s="3" t="str">
        <f ca="1">IF(G606=1,"-",Tabela2[[#This Row],[Dt Venc:]]-TODAY())</f>
        <v>-</v>
      </c>
      <c r="G606" s="3">
        <v>1</v>
      </c>
      <c r="H606" s="3"/>
    </row>
    <row r="607" spans="1:8" ht="18" hidden="1">
      <c r="A607" s="3">
        <v>2519</v>
      </c>
      <c r="B607" s="7" t="s">
        <v>160</v>
      </c>
      <c r="C607" s="41">
        <v>280</v>
      </c>
      <c r="D607" s="6">
        <v>45580</v>
      </c>
      <c r="E607" s="3" t="str">
        <f ca="1">IF(Tabela2[[#This Row],[Dt Venc:]]&gt;TODAY(),"Em Aberto",IF(Tabela2[[#This Row],[D/venc]]="-","Enviado",IF(Tabela2[[#This Row],[Dt Venc:]]=TODAY(),"Vence Hoje","Vencida")))</f>
        <v>Enviado</v>
      </c>
      <c r="F607" s="3" t="str">
        <f ca="1">IF(G607=1,"-",Tabela2[[#This Row],[Dt Venc:]]-TODAY())</f>
        <v>-</v>
      </c>
      <c r="G607" s="3">
        <v>1</v>
      </c>
      <c r="H607" s="3"/>
    </row>
    <row r="608" spans="1:8" ht="18" hidden="1">
      <c r="A608" s="3">
        <v>57698</v>
      </c>
      <c r="B608" s="7" t="s">
        <v>247</v>
      </c>
      <c r="C608" s="41">
        <v>130</v>
      </c>
      <c r="D608" s="6">
        <v>45580</v>
      </c>
      <c r="E608" s="3" t="str">
        <f ca="1">IF(Tabela2[[#This Row],[Dt Venc:]]&gt;TODAY(),"Em Aberto",IF(Tabela2[[#This Row],[D/venc]]="-","Enviado",IF(Tabela2[[#This Row],[Dt Venc:]]=TODAY(),"Vence Hoje","Vencida")))</f>
        <v>Enviado</v>
      </c>
      <c r="F608" s="3" t="str">
        <f ca="1">IF(G608=1,"-",Tabela2[[#This Row],[Dt Venc:]]-TODAY())</f>
        <v>-</v>
      </c>
      <c r="G608" s="3">
        <v>1</v>
      </c>
      <c r="H608" s="3"/>
    </row>
    <row r="609" spans="1:8" ht="18" hidden="1">
      <c r="A609" s="3">
        <v>14091</v>
      </c>
      <c r="B609" s="7" t="s">
        <v>51</v>
      </c>
      <c r="C609" s="41">
        <v>240</v>
      </c>
      <c r="D609" s="6">
        <v>45580</v>
      </c>
      <c r="E609" s="3" t="str">
        <f ca="1">IF(Tabela2[[#This Row],[Dt Venc:]]&gt;TODAY(),"Em Aberto",IF(Tabela2[[#This Row],[D/venc]]="-","Enviado",IF(Tabela2[[#This Row],[Dt Venc:]]=TODAY(),"Vence Hoje","Vencida")))</f>
        <v>Enviado</v>
      </c>
      <c r="F609" s="3" t="str">
        <f ca="1">IF(G609=1,"-",Tabela2[[#This Row],[Dt Venc:]]-TODAY())</f>
        <v>-</v>
      </c>
      <c r="G609" s="3">
        <v>1</v>
      </c>
      <c r="H609" s="3"/>
    </row>
    <row r="610" spans="1:8" ht="18" hidden="1">
      <c r="A610" s="3">
        <v>608098</v>
      </c>
      <c r="B610" s="7" t="s">
        <v>66</v>
      </c>
      <c r="C610" s="41">
        <v>1974.68</v>
      </c>
      <c r="D610" s="6">
        <v>45580</v>
      </c>
      <c r="E610" s="3" t="str">
        <f ca="1">IF(Tabela2[[#This Row],[Dt Venc:]]&gt;TODAY(),"Em Aberto",IF(Tabela2[[#This Row],[D/venc]]="-","Enviado",IF(Tabela2[[#This Row],[Dt Venc:]]=TODAY(),"Vence Hoje","Vencida")))</f>
        <v>Enviado</v>
      </c>
      <c r="F610" s="3" t="str">
        <f ca="1">IF(G610=1,"-",Tabela2[[#This Row],[Dt Venc:]]-TODAY())</f>
        <v>-</v>
      </c>
      <c r="G610" s="3">
        <v>1</v>
      </c>
      <c r="H610" s="3"/>
    </row>
    <row r="611" spans="1:8" ht="18" hidden="1">
      <c r="A611" s="3">
        <v>65753</v>
      </c>
      <c r="B611" s="7" t="s">
        <v>146</v>
      </c>
      <c r="C611" s="41">
        <v>386.5</v>
      </c>
      <c r="D611" s="6">
        <v>45580</v>
      </c>
      <c r="E611" s="3" t="str">
        <f ca="1">IF(Tabela2[[#This Row],[Dt Venc:]]&gt;TODAY(),"Em Aberto",IF(Tabela2[[#This Row],[D/venc]]="-","Enviado",IF(Tabela2[[#This Row],[Dt Venc:]]=TODAY(),"Vence Hoje","Vencida")))</f>
        <v>Enviado</v>
      </c>
      <c r="F611" s="3" t="str">
        <f ca="1">IF(G611=1,"-",Tabela2[[#This Row],[Dt Venc:]]-TODAY())</f>
        <v>-</v>
      </c>
      <c r="G611" s="3">
        <v>1</v>
      </c>
      <c r="H611" s="3"/>
    </row>
    <row r="612" spans="1:8" ht="18" hidden="1">
      <c r="A612" s="3">
        <v>1982660</v>
      </c>
      <c r="B612" s="7" t="s">
        <v>59</v>
      </c>
      <c r="C612" s="41">
        <v>107876</v>
      </c>
      <c r="D612" s="6">
        <v>45580</v>
      </c>
      <c r="E612" s="3" t="str">
        <f ca="1">IF(Tabela2[[#This Row],[Dt Venc:]]&gt;TODAY(),"Em Aberto",IF(Tabela2[[#This Row],[D/venc]]="-","Enviado",IF(Tabela2[[#This Row],[Dt Venc:]]=TODAY(),"Vence Hoje","Vencida")))</f>
        <v>Enviado</v>
      </c>
      <c r="F612" s="3" t="str">
        <f ca="1">IF(G612=1,"-",Tabela2[[#This Row],[Dt Venc:]]-TODAY())</f>
        <v>-</v>
      </c>
      <c r="G612" s="3">
        <v>1</v>
      </c>
      <c r="H612" s="3"/>
    </row>
    <row r="613" spans="1:8" ht="18" hidden="1">
      <c r="A613" s="3">
        <v>2249443</v>
      </c>
      <c r="B613" s="7" t="s">
        <v>59</v>
      </c>
      <c r="C613" s="41">
        <v>54205</v>
      </c>
      <c r="D613" s="6">
        <v>45580</v>
      </c>
      <c r="E613" s="3" t="str">
        <f ca="1">IF(Tabela2[[#This Row],[Dt Venc:]]&gt;TODAY(),"Em Aberto",IF(Tabela2[[#This Row],[D/venc]]="-","Enviado",IF(Tabela2[[#This Row],[Dt Venc:]]=TODAY(),"Vence Hoje","Vencida")))</f>
        <v>Enviado</v>
      </c>
      <c r="F613" s="3" t="str">
        <f ca="1">IF(G613=1,"-",Tabela2[[#This Row],[Dt Venc:]]-TODAY())</f>
        <v>-</v>
      </c>
      <c r="G613" s="3">
        <v>1</v>
      </c>
      <c r="H613" s="3"/>
    </row>
    <row r="614" spans="1:8" ht="18" hidden="1">
      <c r="A614" s="3">
        <v>2553046</v>
      </c>
      <c r="B614" s="7" t="s">
        <v>263</v>
      </c>
      <c r="C614" s="41">
        <v>1796.3</v>
      </c>
      <c r="D614" s="6">
        <v>45580</v>
      </c>
      <c r="E614" s="3" t="str">
        <f ca="1">IF(Tabela2[[#This Row],[Dt Venc:]]&gt;TODAY(),"Em Aberto",IF(Tabela2[[#This Row],[D/venc]]="-","Enviado",IF(Tabela2[[#This Row],[Dt Venc:]]=TODAY(),"Vence Hoje","Vencida")))</f>
        <v>Enviado</v>
      </c>
      <c r="F614" s="3" t="str">
        <f ca="1">IF(G614=1,"-",Tabela2[[#This Row],[Dt Venc:]]-TODAY())</f>
        <v>-</v>
      </c>
      <c r="G614" s="3">
        <v>1</v>
      </c>
      <c r="H614" s="3"/>
    </row>
    <row r="615" spans="1:8" ht="18" hidden="1">
      <c r="A615" s="3">
        <v>2555707</v>
      </c>
      <c r="B615" s="7" t="s">
        <v>263</v>
      </c>
      <c r="C615" s="41">
        <v>1796.3</v>
      </c>
      <c r="D615" s="6">
        <v>45580</v>
      </c>
      <c r="E615" s="3" t="str">
        <f ca="1">IF(Tabela2[[#This Row],[Dt Venc:]]&gt;TODAY(),"Em Aberto",IF(Tabela2[[#This Row],[D/venc]]="-","Enviado",IF(Tabela2[[#This Row],[Dt Venc:]]=TODAY(),"Vence Hoje","Vencida")))</f>
        <v>Enviado</v>
      </c>
      <c r="F615" s="3" t="str">
        <f ca="1">IF(G615=1,"-",Tabela2[[#This Row],[Dt Venc:]]-TODAY())</f>
        <v>-</v>
      </c>
      <c r="G615" s="3">
        <v>1</v>
      </c>
      <c r="H615" s="3"/>
    </row>
    <row r="616" spans="1:8" ht="18" hidden="1">
      <c r="A616" s="3">
        <v>2553019</v>
      </c>
      <c r="B616" s="7" t="s">
        <v>263</v>
      </c>
      <c r="C616" s="41">
        <v>1796.3</v>
      </c>
      <c r="D616" s="6">
        <v>45580</v>
      </c>
      <c r="E616" s="3" t="str">
        <f ca="1">IF(Tabela2[[#This Row],[Dt Venc:]]&gt;TODAY(),"Em Aberto",IF(Tabela2[[#This Row],[D/venc]]="-","Enviado",IF(Tabela2[[#This Row],[Dt Venc:]]=TODAY(),"Vence Hoje","Vencida")))</f>
        <v>Enviado</v>
      </c>
      <c r="F616" s="3" t="str">
        <f ca="1">IF(G616=1,"-",Tabela2[[#This Row],[Dt Venc:]]-TODAY())</f>
        <v>-</v>
      </c>
      <c r="G616" s="3">
        <v>1</v>
      </c>
      <c r="H616" s="3"/>
    </row>
    <row r="617" spans="1:8" ht="18" hidden="1">
      <c r="A617" s="3">
        <v>2554253</v>
      </c>
      <c r="B617" s="7" t="s">
        <v>263</v>
      </c>
      <c r="C617" s="41">
        <v>1796.3</v>
      </c>
      <c r="D617" s="6">
        <v>45580</v>
      </c>
      <c r="E617" s="3" t="str">
        <f ca="1">IF(Tabela2[[#This Row],[Dt Venc:]]&gt;TODAY(),"Em Aberto",IF(Tabela2[[#This Row],[D/venc]]="-","Enviado",IF(Tabela2[[#This Row],[Dt Venc:]]=TODAY(),"Vence Hoje","Vencida")))</f>
        <v>Enviado</v>
      </c>
      <c r="F617" s="3" t="str">
        <f ca="1">IF(G617=1,"-",Tabela2[[#This Row],[Dt Venc:]]-TODAY())</f>
        <v>-</v>
      </c>
      <c r="G617" s="3">
        <v>1</v>
      </c>
      <c r="H617" s="3"/>
    </row>
    <row r="618" spans="1:8" ht="18" hidden="1">
      <c r="A618" s="3">
        <v>2555176</v>
      </c>
      <c r="B618" s="7" t="s">
        <v>263</v>
      </c>
      <c r="C618" s="41">
        <v>1796.3</v>
      </c>
      <c r="D618" s="6">
        <v>45580</v>
      </c>
      <c r="E618" s="3" t="str">
        <f ca="1">IF(Tabela2[[#This Row],[Dt Venc:]]&gt;TODAY(),"Em Aberto",IF(Tabela2[[#This Row],[D/venc]]="-","Enviado",IF(Tabela2[[#This Row],[Dt Venc:]]=TODAY(),"Vence Hoje","Vencida")))</f>
        <v>Enviado</v>
      </c>
      <c r="F618" s="3" t="str">
        <f ca="1">IF(G618=1,"-",Tabela2[[#This Row],[Dt Venc:]]-TODAY())</f>
        <v>-</v>
      </c>
      <c r="G618" s="3">
        <v>1</v>
      </c>
      <c r="H618" s="3"/>
    </row>
    <row r="619" spans="1:8" ht="18" hidden="1">
      <c r="A619" s="3">
        <v>2555611</v>
      </c>
      <c r="B619" s="7" t="s">
        <v>263</v>
      </c>
      <c r="C619" s="41">
        <v>1796.3</v>
      </c>
      <c r="D619" s="6">
        <v>45580</v>
      </c>
      <c r="E619" s="3" t="str">
        <f ca="1">IF(Tabela2[[#This Row],[Dt Venc:]]&gt;TODAY(),"Em Aberto",IF(Tabela2[[#This Row],[D/venc]]="-","Enviado",IF(Tabela2[[#This Row],[Dt Venc:]]=TODAY(),"Vence Hoje","Vencida")))</f>
        <v>Enviado</v>
      </c>
      <c r="F619" s="3" t="str">
        <f ca="1">IF(G619=1,"-",Tabela2[[#This Row],[Dt Venc:]]-TODAY())</f>
        <v>-</v>
      </c>
      <c r="G619" s="3">
        <v>1</v>
      </c>
      <c r="H619" s="3"/>
    </row>
    <row r="620" spans="1:8" ht="18" hidden="1">
      <c r="A620" s="3">
        <v>2552448</v>
      </c>
      <c r="B620" s="7" t="s">
        <v>263</v>
      </c>
      <c r="C620" s="41">
        <v>1796.3</v>
      </c>
      <c r="D620" s="6">
        <v>45580</v>
      </c>
      <c r="E620" s="3" t="str">
        <f ca="1">IF(Tabela2[[#This Row],[Dt Venc:]]&gt;TODAY(),"Em Aberto",IF(Tabela2[[#This Row],[D/venc]]="-","Enviado",IF(Tabela2[[#This Row],[Dt Venc:]]=TODAY(),"Vence Hoje","Vencida")))</f>
        <v>Enviado</v>
      </c>
      <c r="F620" s="3" t="str">
        <f ca="1">IF(G620=1,"-",Tabela2[[#This Row],[Dt Venc:]]-TODAY())</f>
        <v>-</v>
      </c>
      <c r="G620" s="3">
        <v>1</v>
      </c>
      <c r="H620" s="3"/>
    </row>
    <row r="621" spans="1:8" ht="18" hidden="1">
      <c r="A621" s="3">
        <v>2554196</v>
      </c>
      <c r="B621" s="7" t="s">
        <v>263</v>
      </c>
      <c r="C621" s="41">
        <v>1796.3</v>
      </c>
      <c r="D621" s="6">
        <v>45580</v>
      </c>
      <c r="E621" s="3" t="str">
        <f ca="1">IF(Tabela2[[#This Row],[Dt Venc:]]&gt;TODAY(),"Em Aberto",IF(Tabela2[[#This Row],[D/venc]]="-","Enviado",IF(Tabela2[[#This Row],[Dt Venc:]]=TODAY(),"Vence Hoje","Vencida")))</f>
        <v>Enviado</v>
      </c>
      <c r="F621" s="3" t="str">
        <f ca="1">IF(G621=1,"-",Tabela2[[#This Row],[Dt Venc:]]-TODAY())</f>
        <v>-</v>
      </c>
      <c r="G621" s="3">
        <v>1</v>
      </c>
      <c r="H621" s="3"/>
    </row>
    <row r="622" spans="1:8" ht="18" hidden="1">
      <c r="A622" s="3">
        <v>2554977</v>
      </c>
      <c r="B622" s="7" t="s">
        <v>263</v>
      </c>
      <c r="C622" s="41">
        <v>1796.3</v>
      </c>
      <c r="D622" s="6">
        <v>45580</v>
      </c>
      <c r="E622" s="3" t="str">
        <f ca="1">IF(Tabela2[[#This Row],[Dt Venc:]]&gt;TODAY(),"Em Aberto",IF(Tabela2[[#This Row],[D/venc]]="-","Enviado",IF(Tabela2[[#This Row],[Dt Venc:]]=TODAY(),"Vence Hoje","Vencida")))</f>
        <v>Enviado</v>
      </c>
      <c r="F622" s="3" t="str">
        <f ca="1">IF(G622=1,"-",Tabela2[[#This Row],[Dt Venc:]]-TODAY())</f>
        <v>-</v>
      </c>
      <c r="G622" s="3">
        <v>1</v>
      </c>
      <c r="H622" s="3"/>
    </row>
    <row r="623" spans="1:8" ht="18" hidden="1">
      <c r="A623" s="3">
        <v>2551827</v>
      </c>
      <c r="B623" s="7" t="s">
        <v>263</v>
      </c>
      <c r="C623" s="41">
        <v>1796.3</v>
      </c>
      <c r="D623" s="6">
        <v>45580</v>
      </c>
      <c r="E623" s="3" t="str">
        <f ca="1">IF(Tabela2[[#This Row],[Dt Venc:]]&gt;TODAY(),"Em Aberto",IF(Tabela2[[#This Row],[D/venc]]="-","Enviado",IF(Tabela2[[#This Row],[Dt Venc:]]=TODAY(),"Vence Hoje","Vencida")))</f>
        <v>Enviado</v>
      </c>
      <c r="F623" s="3" t="str">
        <f ca="1">IF(G623=1,"-",Tabela2[[#This Row],[Dt Venc:]]-TODAY())</f>
        <v>-</v>
      </c>
      <c r="G623" s="3">
        <v>1</v>
      </c>
      <c r="H623" s="3"/>
    </row>
    <row r="624" spans="1:8" ht="18" hidden="1">
      <c r="A624" s="3">
        <v>2550966</v>
      </c>
      <c r="B624" s="7" t="s">
        <v>263</v>
      </c>
      <c r="C624" s="41">
        <v>1796.3</v>
      </c>
      <c r="D624" s="6">
        <v>45580</v>
      </c>
      <c r="E624" s="3" t="str">
        <f ca="1">IF(Tabela2[[#This Row],[Dt Venc:]]&gt;TODAY(),"Em Aberto",IF(Tabela2[[#This Row],[D/venc]]="-","Enviado",IF(Tabela2[[#This Row],[Dt Venc:]]=TODAY(),"Vence Hoje","Vencida")))</f>
        <v>Enviado</v>
      </c>
      <c r="F624" s="3" t="str">
        <f ca="1">IF(G624=1,"-",Tabela2[[#This Row],[Dt Venc:]]-TODAY())</f>
        <v>-</v>
      </c>
      <c r="G624" s="3">
        <v>1</v>
      </c>
      <c r="H624" s="3"/>
    </row>
    <row r="625" spans="1:8" ht="18" hidden="1">
      <c r="A625" s="3">
        <v>2554868</v>
      </c>
      <c r="B625" s="7" t="s">
        <v>263</v>
      </c>
      <c r="C625" s="41">
        <v>1796.3</v>
      </c>
      <c r="D625" s="6">
        <v>45580</v>
      </c>
      <c r="E625" s="3" t="str">
        <f ca="1">IF(Tabela2[[#This Row],[Dt Venc:]]&gt;TODAY(),"Em Aberto",IF(Tabela2[[#This Row],[D/venc]]="-","Enviado",IF(Tabela2[[#This Row],[Dt Venc:]]=TODAY(),"Vence Hoje","Vencida")))</f>
        <v>Enviado</v>
      </c>
      <c r="F625" s="3" t="str">
        <f ca="1">IF(G625=1,"-",Tabela2[[#This Row],[Dt Venc:]]-TODAY())</f>
        <v>-</v>
      </c>
      <c r="G625" s="3">
        <v>1</v>
      </c>
      <c r="H625" s="3"/>
    </row>
    <row r="626" spans="1:8" ht="18" hidden="1">
      <c r="A626" s="3">
        <v>2552369</v>
      </c>
      <c r="B626" s="7" t="s">
        <v>263</v>
      </c>
      <c r="C626" s="41">
        <v>1796.3</v>
      </c>
      <c r="D626" s="6">
        <v>45580</v>
      </c>
      <c r="E626" s="3" t="str">
        <f ca="1">IF(Tabela2[[#This Row],[Dt Venc:]]&gt;TODAY(),"Em Aberto",IF(Tabela2[[#This Row],[D/venc]]="-","Enviado",IF(Tabela2[[#This Row],[Dt Venc:]]=TODAY(),"Vence Hoje","Vencida")))</f>
        <v>Enviado</v>
      </c>
      <c r="F626" s="3" t="str">
        <f ca="1">IF(G626=1,"-",Tabela2[[#This Row],[Dt Venc:]]-TODAY())</f>
        <v>-</v>
      </c>
      <c r="G626" s="3">
        <v>1</v>
      </c>
      <c r="H626" s="3"/>
    </row>
    <row r="627" spans="1:8" ht="18" hidden="1">
      <c r="A627" s="3">
        <v>2555298</v>
      </c>
      <c r="B627" s="7" t="s">
        <v>263</v>
      </c>
      <c r="C627" s="41">
        <v>1796.3</v>
      </c>
      <c r="D627" s="6">
        <v>45580</v>
      </c>
      <c r="E627" s="3" t="str">
        <f ca="1">IF(Tabela2[[#This Row],[Dt Venc:]]&gt;TODAY(),"Em Aberto",IF(Tabela2[[#This Row],[D/venc]]="-","Enviado",IF(Tabela2[[#This Row],[Dt Venc:]]=TODAY(),"Vence Hoje","Vencida")))</f>
        <v>Enviado</v>
      </c>
      <c r="F627" s="3" t="str">
        <f ca="1">IF(G627=1,"-",Tabela2[[#This Row],[Dt Venc:]]-TODAY())</f>
        <v>-</v>
      </c>
      <c r="G627" s="3">
        <v>1</v>
      </c>
      <c r="H627" s="3"/>
    </row>
    <row r="628" spans="1:8" ht="18" hidden="1">
      <c r="A628" s="3">
        <v>2552902</v>
      </c>
      <c r="B628" s="7" t="s">
        <v>263</v>
      </c>
      <c r="C628" s="41">
        <v>1796.3</v>
      </c>
      <c r="D628" s="6">
        <v>45580</v>
      </c>
      <c r="E628" s="3" t="str">
        <f ca="1">IF(Tabela2[[#This Row],[Dt Venc:]]&gt;TODAY(),"Em Aberto",IF(Tabela2[[#This Row],[D/venc]]="-","Enviado",IF(Tabela2[[#This Row],[Dt Venc:]]=TODAY(),"Vence Hoje","Vencida")))</f>
        <v>Enviado</v>
      </c>
      <c r="F628" s="3" t="str">
        <f ca="1">IF(G628=1,"-",Tabela2[[#This Row],[Dt Venc:]]-TODAY())</f>
        <v>-</v>
      </c>
      <c r="G628" s="3">
        <v>1</v>
      </c>
      <c r="H628" s="3"/>
    </row>
    <row r="629" spans="1:8" ht="18" hidden="1">
      <c r="A629" s="3">
        <v>2551445</v>
      </c>
      <c r="B629" s="7" t="s">
        <v>263</v>
      </c>
      <c r="C629" s="41">
        <v>1796.3</v>
      </c>
      <c r="D629" s="6">
        <v>45580</v>
      </c>
      <c r="E629" s="3" t="str">
        <f ca="1">IF(Tabela2[[#This Row],[Dt Venc:]]&gt;TODAY(),"Em Aberto",IF(Tabela2[[#This Row],[D/venc]]="-","Enviado",IF(Tabela2[[#This Row],[Dt Venc:]]=TODAY(),"Vence Hoje","Vencida")))</f>
        <v>Enviado</v>
      </c>
      <c r="F629" s="3" t="str">
        <f ca="1">IF(G629=1,"-",Tabela2[[#This Row],[Dt Venc:]]-TODAY())</f>
        <v>-</v>
      </c>
      <c r="G629" s="3">
        <v>1</v>
      </c>
      <c r="H629" s="3"/>
    </row>
    <row r="630" spans="1:8" ht="18" hidden="1">
      <c r="A630" s="3">
        <v>2552499</v>
      </c>
      <c r="B630" s="7" t="s">
        <v>263</v>
      </c>
      <c r="C630" s="41">
        <v>1796.3</v>
      </c>
      <c r="D630" s="6">
        <v>45580</v>
      </c>
      <c r="E630" s="3" t="str">
        <f ca="1">IF(Tabela2[[#This Row],[Dt Venc:]]&gt;TODAY(),"Em Aberto",IF(Tabela2[[#This Row],[D/venc]]="-","Enviado",IF(Tabela2[[#This Row],[Dt Venc:]]=TODAY(),"Vence Hoje","Vencida")))</f>
        <v>Enviado</v>
      </c>
      <c r="F630" s="3" t="str">
        <f ca="1">IF(G630=1,"-",Tabela2[[#This Row],[Dt Venc:]]-TODAY())</f>
        <v>-</v>
      </c>
      <c r="G630" s="3">
        <v>1</v>
      </c>
      <c r="H630" s="3"/>
    </row>
    <row r="631" spans="1:8" ht="18" hidden="1">
      <c r="A631" s="3">
        <v>2552081</v>
      </c>
      <c r="B631" s="7" t="s">
        <v>263</v>
      </c>
      <c r="C631" s="41">
        <v>1796.3</v>
      </c>
      <c r="D631" s="6">
        <v>45580</v>
      </c>
      <c r="E631" s="3" t="str">
        <f ca="1">IF(Tabela2[[#This Row],[Dt Venc:]]&gt;TODAY(),"Em Aberto",IF(Tabela2[[#This Row],[D/venc]]="-","Enviado",IF(Tabela2[[#This Row],[Dt Venc:]]=TODAY(),"Vence Hoje","Vencida")))</f>
        <v>Enviado</v>
      </c>
      <c r="F631" s="3" t="str">
        <f ca="1">IF(G631=1,"-",Tabela2[[#This Row],[Dt Venc:]]-TODAY())</f>
        <v>-</v>
      </c>
      <c r="G631" s="3">
        <v>1</v>
      </c>
      <c r="H631" s="3"/>
    </row>
    <row r="632" spans="1:8" ht="18" hidden="1">
      <c r="A632" s="3">
        <v>2551433</v>
      </c>
      <c r="B632" s="7" t="s">
        <v>263</v>
      </c>
      <c r="C632" s="41">
        <v>1796.3</v>
      </c>
      <c r="D632" s="6">
        <v>45580</v>
      </c>
      <c r="E632" s="3" t="str">
        <f ca="1">IF(Tabela2[[#This Row],[Dt Venc:]]&gt;TODAY(),"Em Aberto",IF(Tabela2[[#This Row],[D/venc]]="-","Enviado",IF(Tabela2[[#This Row],[Dt Venc:]]=TODAY(),"Vence Hoje","Vencida")))</f>
        <v>Enviado</v>
      </c>
      <c r="F632" s="3" t="str">
        <f ca="1">IF(G632=1,"-",Tabela2[[#This Row],[Dt Venc:]]-TODAY())</f>
        <v>-</v>
      </c>
      <c r="G632" s="3">
        <v>1</v>
      </c>
      <c r="H632" s="3"/>
    </row>
    <row r="633" spans="1:8" ht="18" hidden="1">
      <c r="A633" s="3">
        <v>2259</v>
      </c>
      <c r="B633" s="7" t="s">
        <v>45</v>
      </c>
      <c r="C633" s="41">
        <v>760</v>
      </c>
      <c r="D633" s="6">
        <v>45580</v>
      </c>
      <c r="E633" s="3" t="str">
        <f ca="1">IF(Tabela2[[#This Row],[Dt Venc:]]&gt;TODAY(),"Em Aberto",IF(Tabela2[[#This Row],[D/venc]]="-","Enviado",IF(Tabela2[[#This Row],[Dt Venc:]]=TODAY(),"Vence Hoje","Vencida")))</f>
        <v>Enviado</v>
      </c>
      <c r="F633" s="3" t="str">
        <f ca="1">IF(G633=1,"-",Tabela2[[#This Row],[Dt Venc:]]-TODAY())</f>
        <v>-</v>
      </c>
      <c r="G633" s="3">
        <v>1</v>
      </c>
      <c r="H633" s="3"/>
    </row>
    <row r="634" spans="1:8" ht="18" hidden="1">
      <c r="A634" s="3">
        <v>140720</v>
      </c>
      <c r="B634" s="7" t="s">
        <v>60</v>
      </c>
      <c r="C634" s="41">
        <v>390</v>
      </c>
      <c r="D634" s="6">
        <v>45580</v>
      </c>
      <c r="E634" s="3" t="str">
        <f ca="1">IF(Tabela2[[#This Row],[Dt Venc:]]&gt;TODAY(),"Em Aberto",IF(Tabela2[[#This Row],[D/venc]]="-","Enviado",IF(Tabela2[[#This Row],[Dt Venc:]]=TODAY(),"Vence Hoje","Vencida")))</f>
        <v>Enviado</v>
      </c>
      <c r="F634" s="3" t="str">
        <f ca="1">IF(G634=1,"-",Tabela2[[#This Row],[Dt Venc:]]-TODAY())</f>
        <v>-</v>
      </c>
      <c r="G634" s="3">
        <v>1</v>
      </c>
      <c r="H634" s="3"/>
    </row>
    <row r="635" spans="1:8" ht="18" hidden="1">
      <c r="A635" s="3">
        <v>140708</v>
      </c>
      <c r="B635" s="7" t="s">
        <v>60</v>
      </c>
      <c r="C635" s="41">
        <v>390</v>
      </c>
      <c r="D635" s="6">
        <v>45580</v>
      </c>
      <c r="E635" s="3" t="str">
        <f ca="1">IF(Tabela2[[#This Row],[Dt Venc:]]&gt;TODAY(),"Em Aberto",IF(Tabela2[[#This Row],[D/venc]]="-","Enviado",IF(Tabela2[[#This Row],[Dt Venc:]]=TODAY(),"Vence Hoje","Vencida")))</f>
        <v>Enviado</v>
      </c>
      <c r="F635" s="3" t="str">
        <f ca="1">IF(G635=1,"-",Tabela2[[#This Row],[Dt Venc:]]-TODAY())</f>
        <v>-</v>
      </c>
      <c r="G635" s="3">
        <v>1</v>
      </c>
      <c r="H635" s="3"/>
    </row>
    <row r="636" spans="1:8" ht="18" hidden="1">
      <c r="A636" s="3">
        <v>140719</v>
      </c>
      <c r="B636" s="7" t="s">
        <v>60</v>
      </c>
      <c r="C636" s="41">
        <v>390</v>
      </c>
      <c r="D636" s="6">
        <v>45580</v>
      </c>
      <c r="E636" s="3" t="str">
        <f ca="1">IF(Tabela2[[#This Row],[Dt Venc:]]&gt;TODAY(),"Em Aberto",IF(Tabela2[[#This Row],[D/venc]]="-","Enviado",IF(Tabela2[[#This Row],[Dt Venc:]]=TODAY(),"Vence Hoje","Vencida")))</f>
        <v>Enviado</v>
      </c>
      <c r="F636" s="3" t="str">
        <f ca="1">IF(G636=1,"-",Tabela2[[#This Row],[Dt Venc:]]-TODAY())</f>
        <v>-</v>
      </c>
      <c r="G636" s="3">
        <v>1</v>
      </c>
      <c r="H636" s="3"/>
    </row>
    <row r="637" spans="1:8" ht="18" hidden="1">
      <c r="A637" s="3">
        <v>140707</v>
      </c>
      <c r="B637" s="7" t="s">
        <v>60</v>
      </c>
      <c r="C637" s="41">
        <v>390</v>
      </c>
      <c r="D637" s="6">
        <v>45580</v>
      </c>
      <c r="E637" s="3" t="str">
        <f ca="1">IF(Tabela2[[#This Row],[Dt Venc:]]&gt;TODAY(),"Em Aberto",IF(Tabela2[[#This Row],[D/venc]]="-","Enviado",IF(Tabela2[[#This Row],[Dt Venc:]]=TODAY(),"Vence Hoje","Vencida")))</f>
        <v>Enviado</v>
      </c>
      <c r="F637" s="3" t="str">
        <f ca="1">IF(G637=1,"-",Tabela2[[#This Row],[Dt Venc:]]-TODAY())</f>
        <v>-</v>
      </c>
      <c r="G637" s="3">
        <v>1</v>
      </c>
      <c r="H637" s="3"/>
    </row>
    <row r="638" spans="1:8" ht="18" hidden="1">
      <c r="A638" s="3">
        <v>3289772</v>
      </c>
      <c r="B638" s="7" t="s">
        <v>71</v>
      </c>
      <c r="C638" s="41">
        <v>80941.5</v>
      </c>
      <c r="D638" s="6">
        <v>45580</v>
      </c>
      <c r="E638" s="3" t="str">
        <f ca="1">IF(Tabela2[[#This Row],[Dt Venc:]]&gt;TODAY(),"Em Aberto",IF(Tabela2[[#This Row],[D/venc]]="-","Enviado",IF(Tabela2[[#This Row],[Dt Venc:]]=TODAY(),"Vence Hoje","Vencida")))</f>
        <v>Enviado</v>
      </c>
      <c r="F638" s="3" t="str">
        <f ca="1">IF(G638=1,"-",Tabela2[[#This Row],[Dt Venc:]]-TODAY())</f>
        <v>-</v>
      </c>
      <c r="G638" s="3">
        <v>1</v>
      </c>
      <c r="H638" s="3"/>
    </row>
    <row r="639" spans="1:8" ht="18" hidden="1">
      <c r="A639" s="3">
        <v>1540</v>
      </c>
      <c r="B639" s="7" t="s">
        <v>92</v>
      </c>
      <c r="C639" s="41">
        <v>4680</v>
      </c>
      <c r="D639" s="6">
        <v>45580</v>
      </c>
      <c r="E639" s="3" t="str">
        <f ca="1">IF(Tabela2[[#This Row],[Dt Venc:]]&gt;TODAY(),"Em Aberto",IF(Tabela2[[#This Row],[D/venc]]="-","Enviado",IF(Tabela2[[#This Row],[Dt Venc:]]=TODAY(),"Vence Hoje","Vencida")))</f>
        <v>Enviado</v>
      </c>
      <c r="F639" s="3" t="str">
        <f ca="1">IF(G639=1,"-",Tabela2[[#This Row],[Dt Venc:]]-TODAY())</f>
        <v>-</v>
      </c>
      <c r="G639" s="3">
        <v>1</v>
      </c>
      <c r="H639" s="3"/>
    </row>
    <row r="640" spans="1:8" ht="18" hidden="1">
      <c r="A640" s="3">
        <v>1010</v>
      </c>
      <c r="B640" s="7" t="s">
        <v>92</v>
      </c>
      <c r="C640" s="41">
        <v>2050</v>
      </c>
      <c r="D640" s="6">
        <v>45580</v>
      </c>
      <c r="E640" s="3" t="str">
        <f ca="1">IF(Tabela2[[#This Row],[Dt Venc:]]&gt;TODAY(),"Em Aberto",IF(Tabela2[[#This Row],[D/venc]]="-","Enviado",IF(Tabela2[[#This Row],[Dt Venc:]]=TODAY(),"Vence Hoje","Vencida")))</f>
        <v>Enviado</v>
      </c>
      <c r="F640" s="3" t="str">
        <f ca="1">IF(G640=1,"-",Tabela2[[#This Row],[Dt Venc:]]-TODAY())</f>
        <v>-</v>
      </c>
      <c r="G640" s="3">
        <v>1</v>
      </c>
      <c r="H640" s="3"/>
    </row>
    <row r="641" spans="1:8" ht="18" hidden="1">
      <c r="A641" s="3">
        <v>1</v>
      </c>
      <c r="B641" s="7" t="s">
        <v>264</v>
      </c>
      <c r="C641" s="41">
        <v>82.05</v>
      </c>
      <c r="D641" s="6">
        <v>45580</v>
      </c>
      <c r="E641" s="3" t="str">
        <f ca="1">IF(Tabela2[[#This Row],[Dt Venc:]]&gt;TODAY(),"Em Aberto",IF(Tabela2[[#This Row],[D/venc]]="-","Enviado",IF(Tabela2[[#This Row],[Dt Venc:]]=TODAY(),"Vence Hoje","Vencida")))</f>
        <v>Enviado</v>
      </c>
      <c r="F641" s="3" t="str">
        <f ca="1">IF(G641=1,"-",Tabela2[[#This Row],[Dt Venc:]]-TODAY())</f>
        <v>-</v>
      </c>
      <c r="G641" s="3">
        <v>1</v>
      </c>
      <c r="H641" s="3"/>
    </row>
    <row r="642" spans="1:8" ht="18" hidden="1">
      <c r="A642" s="3" t="s">
        <v>179</v>
      </c>
      <c r="B642" s="7" t="s">
        <v>265</v>
      </c>
      <c r="C642" s="84" t="s">
        <v>32</v>
      </c>
      <c r="D642" s="6">
        <v>45580</v>
      </c>
      <c r="E642" s="3" t="str">
        <f ca="1">IF(Tabela2[[#This Row],[Dt Venc:]]&gt;TODAY(),"Em Aberto",IF(Tabela2[[#This Row],[D/venc]]="-","Enviado",IF(Tabela2[[#This Row],[Dt Venc:]]=TODAY(),"Vence Hoje","Vencida")))</f>
        <v>Enviado</v>
      </c>
      <c r="F642" s="3" t="str">
        <f ca="1">IF(G642=1,"-",Tabela2[[#This Row],[Dt Venc:]]-TODAY())</f>
        <v>-</v>
      </c>
      <c r="G642" s="3">
        <v>1</v>
      </c>
      <c r="H642" s="3"/>
    </row>
    <row r="643" spans="1:8" ht="18" hidden="1">
      <c r="A643" s="3">
        <v>1528</v>
      </c>
      <c r="B643" s="7" t="s">
        <v>266</v>
      </c>
      <c r="C643" s="41">
        <v>4154.6400000000003</v>
      </c>
      <c r="D643" s="6">
        <v>45580</v>
      </c>
      <c r="E643" s="3" t="str">
        <f ca="1">IF(Tabela2[[#This Row],[Dt Venc:]]&gt;TODAY(),"Em Aberto",IF(Tabela2[[#This Row],[D/venc]]="-","Enviado",IF(Tabela2[[#This Row],[Dt Venc:]]=TODAY(),"Vence Hoje","Vencida")))</f>
        <v>Enviado</v>
      </c>
      <c r="F643" s="3" t="str">
        <f ca="1">IF(G643=1,"-",Tabela2[[#This Row],[Dt Venc:]]-TODAY())</f>
        <v>-</v>
      </c>
      <c r="G643" s="3">
        <v>1</v>
      </c>
      <c r="H643" s="3"/>
    </row>
    <row r="644" spans="1:8" ht="18" hidden="1">
      <c r="A644" s="3">
        <v>25698</v>
      </c>
      <c r="B644" s="7" t="s">
        <v>267</v>
      </c>
      <c r="C644" s="41">
        <v>450</v>
      </c>
      <c r="D644" s="6">
        <v>45580</v>
      </c>
      <c r="E644" s="3" t="str">
        <f ca="1">IF(Tabela2[[#This Row],[Dt Venc:]]&gt;TODAY(),"Em Aberto",IF(Tabela2[[#This Row],[D/venc]]="-","Enviado",IF(Tabela2[[#This Row],[Dt Venc:]]=TODAY(),"Vence Hoje","Vencida")))</f>
        <v>Enviado</v>
      </c>
      <c r="F644" s="3" t="str">
        <f ca="1">IF(G644=1,"-",Tabela2[[#This Row],[Dt Venc:]]-TODAY())</f>
        <v>-</v>
      </c>
      <c r="G644" s="3">
        <v>1</v>
      </c>
      <c r="H644" s="3"/>
    </row>
    <row r="645" spans="1:8" ht="18" hidden="1">
      <c r="A645" s="3">
        <v>1329</v>
      </c>
      <c r="B645" s="7" t="s">
        <v>268</v>
      </c>
      <c r="C645" s="41">
        <v>11417</v>
      </c>
      <c r="D645" s="6">
        <v>45580</v>
      </c>
      <c r="E645" s="3" t="str">
        <f ca="1">IF(Tabela2[[#This Row],[Dt Venc:]]&gt;TODAY(),"Em Aberto",IF(Tabela2[[#This Row],[D/venc]]="-","Enviado",IF(Tabela2[[#This Row],[Dt Venc:]]=TODAY(),"Vence Hoje","Vencida")))</f>
        <v>Enviado</v>
      </c>
      <c r="F645" s="3" t="str">
        <f ca="1">IF(G645=1,"-",Tabela2[[#This Row],[Dt Venc:]]-TODAY())</f>
        <v>-</v>
      </c>
      <c r="G645" s="3">
        <v>1</v>
      </c>
      <c r="H645" s="3"/>
    </row>
    <row r="646" spans="1:8" ht="18" hidden="1">
      <c r="A646" s="3">
        <v>735038</v>
      </c>
      <c r="B646" s="7" t="s">
        <v>269</v>
      </c>
      <c r="C646" s="41">
        <v>19538.46</v>
      </c>
      <c r="D646" s="6">
        <v>45580</v>
      </c>
      <c r="E646" s="3" t="str">
        <f ca="1">IF(Tabela2[[#This Row],[Dt Venc:]]&gt;TODAY(),"Em Aberto",IF(Tabela2[[#This Row],[D/venc]]="-","Enviado",IF(Tabela2[[#This Row],[Dt Venc:]]=TODAY(),"Vence Hoje","Vencida")))</f>
        <v>Enviado</v>
      </c>
      <c r="F646" s="3" t="str">
        <f ca="1">IF(G646=1,"-",Tabela2[[#This Row],[Dt Venc:]]-TODAY())</f>
        <v>-</v>
      </c>
      <c r="G646" s="3">
        <v>1</v>
      </c>
      <c r="H646" s="3"/>
    </row>
    <row r="647" spans="1:8" ht="18" hidden="1">
      <c r="A647" s="3">
        <v>429</v>
      </c>
      <c r="B647" s="7" t="s">
        <v>270</v>
      </c>
      <c r="C647" s="41">
        <v>15000</v>
      </c>
      <c r="D647" s="6">
        <v>45580</v>
      </c>
      <c r="E647" s="3" t="str">
        <f ca="1">IF(Tabela2[[#This Row],[Dt Venc:]]&gt;TODAY(),"Em Aberto",IF(Tabela2[[#This Row],[D/venc]]="-","Enviado",IF(Tabela2[[#This Row],[Dt Venc:]]=TODAY(),"Vence Hoje","Vencida")))</f>
        <v>Enviado</v>
      </c>
      <c r="F647" s="3" t="str">
        <f ca="1">IF(G647=1,"-",Tabela2[[#This Row],[Dt Venc:]]-TODAY())</f>
        <v>-</v>
      </c>
      <c r="G647" s="3">
        <v>1</v>
      </c>
      <c r="H647" s="3"/>
    </row>
    <row r="648" spans="1:8" ht="18" hidden="1">
      <c r="A648" s="3" t="s">
        <v>110</v>
      </c>
      <c r="B648" s="7" t="s">
        <v>271</v>
      </c>
      <c r="C648" s="85" t="s">
        <v>32</v>
      </c>
      <c r="D648" s="6">
        <v>45580</v>
      </c>
      <c r="E648" s="3" t="str">
        <f ca="1">IF(Tabela2[[#This Row],[Dt Venc:]]&gt;TODAY(),"Em Aberto",IF(Tabela2[[#This Row],[D/venc]]="-","Enviado",IF(Tabela2[[#This Row],[Dt Venc:]]=TODAY(),"Vence Hoje","Vencida")))</f>
        <v>Enviado</v>
      </c>
      <c r="F648" s="3" t="str">
        <f ca="1">IF(G648=1,"-",Tabela2[[#This Row],[Dt Venc:]]-TODAY())</f>
        <v>-</v>
      </c>
      <c r="G648" s="3">
        <v>1</v>
      </c>
      <c r="H648" s="3"/>
    </row>
    <row r="649" spans="1:8" ht="18" hidden="1">
      <c r="A649" s="3">
        <v>37300</v>
      </c>
      <c r="B649" s="7" t="s">
        <v>167</v>
      </c>
      <c r="C649" s="84" t="s">
        <v>32</v>
      </c>
      <c r="D649" s="6">
        <v>45581</v>
      </c>
      <c r="E649" s="3" t="str">
        <f ca="1">IF(Tabela2[[#This Row],[Dt Venc:]]&gt;TODAY(),"Em Aberto",IF(Tabela2[[#This Row],[D/venc]]="-","Enviado",IF(Tabela2[[#This Row],[Dt Venc:]]=TODAY(),"Vence Hoje","Vencida")))</f>
        <v>Enviado</v>
      </c>
      <c r="F649" s="3" t="str">
        <f ca="1">IF(G649=1,"-",Tabela2[[#This Row],[Dt Venc:]]-TODAY())</f>
        <v>-</v>
      </c>
      <c r="G649" s="3">
        <v>1</v>
      </c>
      <c r="H649" s="3"/>
    </row>
    <row r="650" spans="1:8" ht="18" hidden="1">
      <c r="A650" s="3">
        <v>10621</v>
      </c>
      <c r="B650" s="7" t="s">
        <v>33</v>
      </c>
      <c r="C650" s="42">
        <v>1553.33</v>
      </c>
      <c r="D650" s="6">
        <v>45581</v>
      </c>
      <c r="E650" s="3" t="str">
        <f ca="1">IF(Tabela2[[#This Row],[Dt Venc:]]&gt;TODAY(),"Em Aberto",IF(Tabela2[[#This Row],[D/venc]]="-","Enviado",IF(Tabela2[[#This Row],[Dt Venc:]]=TODAY(),"Vence Hoje","Vencida")))</f>
        <v>Enviado</v>
      </c>
      <c r="F650" s="3" t="str">
        <f ca="1">IF(G650=1,"-",Tabela2[[#This Row],[Dt Venc:]]-TODAY())</f>
        <v>-</v>
      </c>
      <c r="G650" s="3">
        <v>1</v>
      </c>
      <c r="H650" s="3"/>
    </row>
    <row r="651" spans="1:8" ht="18" hidden="1">
      <c r="A651" s="3">
        <v>10774</v>
      </c>
      <c r="B651" s="7" t="s">
        <v>33</v>
      </c>
      <c r="C651" s="42">
        <v>1511.66</v>
      </c>
      <c r="D651" s="6">
        <v>45581</v>
      </c>
      <c r="E651" s="3" t="str">
        <f ca="1">IF(Tabela2[[#This Row],[Dt Venc:]]&gt;TODAY(),"Em Aberto",IF(Tabela2[[#This Row],[D/venc]]="-","Enviado",IF(Tabela2[[#This Row],[Dt Venc:]]=TODAY(),"Vence Hoje","Vencida")))</f>
        <v>Enviado</v>
      </c>
      <c r="F651" s="3" t="str">
        <f ca="1">IF(G651=1,"-",Tabela2[[#This Row],[Dt Venc:]]-TODAY())</f>
        <v>-</v>
      </c>
      <c r="G651" s="3">
        <v>1</v>
      </c>
      <c r="H651" s="3"/>
    </row>
    <row r="652" spans="1:8" ht="18" hidden="1">
      <c r="A652" s="3">
        <v>1222177</v>
      </c>
      <c r="B652" s="7" t="s">
        <v>64</v>
      </c>
      <c r="C652" s="42">
        <v>718.12</v>
      </c>
      <c r="D652" s="6">
        <v>45581</v>
      </c>
      <c r="E652" s="3" t="str">
        <f ca="1">IF(Tabela2[[#This Row],[Dt Venc:]]&gt;TODAY(),"Em Aberto",IF(Tabela2[[#This Row],[D/venc]]="-","Enviado",IF(Tabela2[[#This Row],[Dt Venc:]]=TODAY(),"Vence Hoje","Vencida")))</f>
        <v>Enviado</v>
      </c>
      <c r="F652" s="3" t="str">
        <f ca="1">IF(G652=1,"-",Tabela2[[#This Row],[Dt Venc:]]-TODAY())</f>
        <v>-</v>
      </c>
      <c r="G652" s="3">
        <v>1</v>
      </c>
      <c r="H652" s="3"/>
    </row>
    <row r="653" spans="1:8" ht="18" hidden="1">
      <c r="A653" s="3">
        <v>2603</v>
      </c>
      <c r="B653" s="7" t="s">
        <v>58</v>
      </c>
      <c r="C653" s="42">
        <v>1797.74</v>
      </c>
      <c r="D653" s="6">
        <v>45581</v>
      </c>
      <c r="E653" s="3" t="str">
        <f ca="1">IF(Tabela2[[#This Row],[Dt Venc:]]&gt;TODAY(),"Em Aberto",IF(Tabela2[[#This Row],[D/venc]]="-","Enviado",IF(Tabela2[[#This Row],[Dt Venc:]]=TODAY(),"Vence Hoje","Vencida")))</f>
        <v>Enviado</v>
      </c>
      <c r="F653" s="3" t="str">
        <f ca="1">IF(G653=1,"-",Tabela2[[#This Row],[Dt Venc:]]-TODAY())</f>
        <v>-</v>
      </c>
      <c r="G653" s="3">
        <v>1</v>
      </c>
      <c r="H653" s="3"/>
    </row>
    <row r="654" spans="1:8" ht="18" hidden="1">
      <c r="A654" s="3">
        <v>21930</v>
      </c>
      <c r="B654" s="7" t="s">
        <v>38</v>
      </c>
      <c r="C654" s="42">
        <v>523.33000000000004</v>
      </c>
      <c r="D654" s="6">
        <v>45581</v>
      </c>
      <c r="E654" s="3" t="str">
        <f ca="1">IF(Tabela2[[#This Row],[Dt Venc:]]&gt;TODAY(),"Em Aberto",IF(Tabela2[[#This Row],[D/venc]]="-","Enviado",IF(Tabela2[[#This Row],[Dt Venc:]]=TODAY(),"Vence Hoje","Vencida")))</f>
        <v>Enviado</v>
      </c>
      <c r="F654" s="3" t="str">
        <f ca="1">IF(G654=1,"-",Tabela2[[#This Row],[Dt Venc:]]-TODAY())</f>
        <v>-</v>
      </c>
      <c r="G654" s="3">
        <v>1</v>
      </c>
      <c r="H654" s="3"/>
    </row>
    <row r="655" spans="1:8" ht="18" hidden="1">
      <c r="A655" s="3">
        <v>80333</v>
      </c>
      <c r="B655" s="7" t="s">
        <v>39</v>
      </c>
      <c r="C655" s="42">
        <v>616.64</v>
      </c>
      <c r="D655" s="6">
        <v>45581</v>
      </c>
      <c r="E655" s="3" t="str">
        <f ca="1">IF(Tabela2[[#This Row],[Dt Venc:]]&gt;TODAY(),"Em Aberto",IF(Tabela2[[#This Row],[D/venc]]="-","Enviado",IF(Tabela2[[#This Row],[Dt Venc:]]=TODAY(),"Vence Hoje","Vencida")))</f>
        <v>Enviado</v>
      </c>
      <c r="F655" s="3" t="str">
        <f ca="1">IF(G655=1,"-",Tabela2[[#This Row],[Dt Venc:]]-TODAY())</f>
        <v>-</v>
      </c>
      <c r="G655" s="3">
        <v>1</v>
      </c>
      <c r="H655" s="3"/>
    </row>
    <row r="656" spans="1:8" ht="18" hidden="1">
      <c r="A656" s="3">
        <v>80336</v>
      </c>
      <c r="B656" s="7" t="s">
        <v>39</v>
      </c>
      <c r="C656" s="42">
        <v>646.72</v>
      </c>
      <c r="D656" s="6">
        <v>45581</v>
      </c>
      <c r="E656" s="3" t="str">
        <f ca="1">IF(Tabela2[[#This Row],[Dt Venc:]]&gt;TODAY(),"Em Aberto",IF(Tabela2[[#This Row],[D/venc]]="-","Enviado",IF(Tabela2[[#This Row],[Dt Venc:]]=TODAY(),"Vence Hoje","Vencida")))</f>
        <v>Enviado</v>
      </c>
      <c r="F656" s="3" t="str">
        <f ca="1">IF(G656=1,"-",Tabela2[[#This Row],[Dt Venc:]]-TODAY())</f>
        <v>-</v>
      </c>
      <c r="G656" s="3">
        <v>1</v>
      </c>
      <c r="H656" s="3"/>
    </row>
    <row r="657" spans="1:8" ht="18" hidden="1">
      <c r="A657" s="3">
        <v>363133</v>
      </c>
      <c r="B657" s="7" t="s">
        <v>39</v>
      </c>
      <c r="C657" s="42">
        <v>290.41000000000003</v>
      </c>
      <c r="D657" s="6">
        <v>45581</v>
      </c>
      <c r="E657" s="3" t="str">
        <f ca="1">IF(Tabela2[[#This Row],[Dt Venc:]]&gt;TODAY(),"Em Aberto",IF(Tabela2[[#This Row],[D/venc]]="-","Enviado",IF(Tabela2[[#This Row],[Dt Venc:]]=TODAY(),"Vence Hoje","Vencida")))</f>
        <v>Enviado</v>
      </c>
      <c r="F657" s="3" t="str">
        <f ca="1">IF(G657=1,"-",Tabela2[[#This Row],[Dt Venc:]]-TODAY())</f>
        <v>-</v>
      </c>
      <c r="G657" s="3">
        <v>1</v>
      </c>
      <c r="H657" s="3"/>
    </row>
    <row r="658" spans="1:8" ht="18" hidden="1">
      <c r="A658" s="3">
        <v>363177</v>
      </c>
      <c r="B658" s="7" t="s">
        <v>39</v>
      </c>
      <c r="C658" s="42">
        <v>383.76</v>
      </c>
      <c r="D658" s="6">
        <v>45581</v>
      </c>
      <c r="E658" s="3" t="str">
        <f ca="1">IF(Tabela2[[#This Row],[Dt Venc:]]&gt;TODAY(),"Em Aberto",IF(Tabela2[[#This Row],[D/venc]]="-","Enviado",IF(Tabela2[[#This Row],[Dt Venc:]]=TODAY(),"Vence Hoje","Vencida")))</f>
        <v>Enviado</v>
      </c>
      <c r="F658" s="3" t="str">
        <f ca="1">IF(G658=1,"-",Tabela2[[#This Row],[Dt Venc:]]-TODAY())</f>
        <v>-</v>
      </c>
      <c r="G658" s="3">
        <v>1</v>
      </c>
      <c r="H658" s="3"/>
    </row>
    <row r="659" spans="1:8" ht="18" hidden="1">
      <c r="A659" s="3">
        <v>213223</v>
      </c>
      <c r="B659" s="7" t="s">
        <v>127</v>
      </c>
      <c r="C659" s="42">
        <v>1517.24</v>
      </c>
      <c r="D659" s="6">
        <v>45581</v>
      </c>
      <c r="E659" s="3" t="str">
        <f ca="1">IF(Tabela2[[#This Row],[Dt Venc:]]&gt;TODAY(),"Em Aberto",IF(Tabela2[[#This Row],[D/venc]]="-","Enviado",IF(Tabela2[[#This Row],[Dt Venc:]]=TODAY(),"Vence Hoje","Vencida")))</f>
        <v>Enviado</v>
      </c>
      <c r="F659" s="3" t="str">
        <f ca="1">IF(G659=1,"-",Tabela2[[#This Row],[Dt Venc:]]-TODAY())</f>
        <v>-</v>
      </c>
      <c r="G659" s="3">
        <v>1</v>
      </c>
      <c r="H659" s="3"/>
    </row>
    <row r="660" spans="1:8" ht="18" hidden="1">
      <c r="A660" s="3">
        <v>1359</v>
      </c>
      <c r="B660" s="7" t="s">
        <v>78</v>
      </c>
      <c r="C660" s="42">
        <v>449.34</v>
      </c>
      <c r="D660" s="6">
        <v>45581</v>
      </c>
      <c r="E660" s="3" t="str">
        <f ca="1">IF(Tabela2[[#This Row],[Dt Venc:]]&gt;TODAY(),"Em Aberto",IF(Tabela2[[#This Row],[D/venc]]="-","Enviado",IF(Tabela2[[#This Row],[Dt Venc:]]=TODAY(),"Vence Hoje","Vencida")))</f>
        <v>Enviado</v>
      </c>
      <c r="F660" s="3" t="str">
        <f ca="1">IF(G660=1,"-",Tabela2[[#This Row],[Dt Venc:]]-TODAY())</f>
        <v>-</v>
      </c>
      <c r="G660" s="3">
        <v>1</v>
      </c>
      <c r="H660" s="3"/>
    </row>
    <row r="661" spans="1:8" ht="18" hidden="1">
      <c r="A661" s="3">
        <v>600135</v>
      </c>
      <c r="B661" s="7" t="s">
        <v>66</v>
      </c>
      <c r="C661" s="42">
        <v>1151.51</v>
      </c>
      <c r="D661" s="6">
        <v>45581</v>
      </c>
      <c r="E661" s="3" t="str">
        <f ca="1">IF(Tabela2[[#This Row],[Dt Venc:]]&gt;TODAY(),"Em Aberto",IF(Tabela2[[#This Row],[D/venc]]="-","Enviado",IF(Tabela2[[#This Row],[Dt Venc:]]=TODAY(),"Vence Hoje","Vencida")))</f>
        <v>Enviado</v>
      </c>
      <c r="F661" s="3" t="str">
        <f ca="1">IF(G661=1,"-",Tabela2[[#This Row],[Dt Venc:]]-TODAY())</f>
        <v>-</v>
      </c>
      <c r="G661" s="3">
        <v>1</v>
      </c>
      <c r="H661" s="3"/>
    </row>
    <row r="662" spans="1:8" ht="18" hidden="1">
      <c r="A662" s="3">
        <v>604293</v>
      </c>
      <c r="B662" s="7" t="s">
        <v>138</v>
      </c>
      <c r="C662" s="42">
        <v>789.36</v>
      </c>
      <c r="D662" s="6">
        <v>45581</v>
      </c>
      <c r="E662" s="3" t="str">
        <f ca="1">IF(Tabela2[[#This Row],[Dt Venc:]]&gt;TODAY(),"Em Aberto",IF(Tabela2[[#This Row],[D/venc]]="-","Enviado",IF(Tabela2[[#This Row],[Dt Venc:]]=TODAY(),"Vence Hoje","Vencida")))</f>
        <v>Enviado</v>
      </c>
      <c r="F662" s="3" t="str">
        <f ca="1">IF(G662=1,"-",Tabela2[[#This Row],[Dt Venc:]]-TODAY())</f>
        <v>-</v>
      </c>
      <c r="G662" s="3">
        <v>1</v>
      </c>
      <c r="H662" s="3"/>
    </row>
    <row r="663" spans="1:8" ht="18" hidden="1">
      <c r="A663" s="3">
        <v>29564</v>
      </c>
      <c r="B663" s="7" t="s">
        <v>97</v>
      </c>
      <c r="C663" s="42">
        <v>2710</v>
      </c>
      <c r="D663" s="6">
        <v>45581</v>
      </c>
      <c r="E663" s="3" t="str">
        <f ca="1">IF(Tabela2[[#This Row],[Dt Venc:]]&gt;TODAY(),"Em Aberto",IF(Tabela2[[#This Row],[D/venc]]="-","Enviado",IF(Tabela2[[#This Row],[Dt Venc:]]=TODAY(),"Vence Hoje","Vencida")))</f>
        <v>Enviado</v>
      </c>
      <c r="F663" s="3" t="str">
        <f ca="1">IF(G663=1,"-",Tabela2[[#This Row],[Dt Venc:]]-TODAY())</f>
        <v>-</v>
      </c>
      <c r="G663" s="3">
        <v>1</v>
      </c>
      <c r="H663" s="3"/>
    </row>
    <row r="664" spans="1:8" ht="18" hidden="1">
      <c r="A664" s="3">
        <v>19202</v>
      </c>
      <c r="B664" s="7" t="s">
        <v>41</v>
      </c>
      <c r="C664" s="42">
        <v>466.66</v>
      </c>
      <c r="D664" s="6">
        <v>45581</v>
      </c>
      <c r="E664" s="3" t="str">
        <f ca="1">IF(Tabela2[[#This Row],[Dt Venc:]]&gt;TODAY(),"Em Aberto",IF(Tabela2[[#This Row],[D/venc]]="-","Enviado",IF(Tabela2[[#This Row],[Dt Venc:]]=TODAY(),"Vence Hoje","Vencida")))</f>
        <v>Enviado</v>
      </c>
      <c r="F664" s="3" t="str">
        <f ca="1">IF(G664=1,"-",Tabela2[[#This Row],[Dt Venc:]]-TODAY())</f>
        <v>-</v>
      </c>
      <c r="G664" s="3">
        <v>1</v>
      </c>
      <c r="H664" s="3"/>
    </row>
    <row r="665" spans="1:8" ht="18" hidden="1">
      <c r="A665" s="3">
        <v>199945</v>
      </c>
      <c r="B665" s="7" t="s">
        <v>43</v>
      </c>
      <c r="C665" s="42">
        <v>1227.08</v>
      </c>
      <c r="D665" s="6">
        <v>45581</v>
      </c>
      <c r="E665" s="3" t="str">
        <f ca="1">IF(Tabela2[[#This Row],[Dt Venc:]]&gt;TODAY(),"Em Aberto",IF(Tabela2[[#This Row],[D/venc]]="-","Enviado",IF(Tabela2[[#This Row],[Dt Venc:]]=TODAY(),"Vence Hoje","Vencida")))</f>
        <v>Enviado</v>
      </c>
      <c r="F665" s="3" t="str">
        <f ca="1">IF(G665=1,"-",Tabela2[[#This Row],[Dt Venc:]]-TODAY())</f>
        <v>-</v>
      </c>
      <c r="G665" s="3">
        <v>1</v>
      </c>
      <c r="H665" s="3"/>
    </row>
    <row r="666" spans="1:8" ht="18" hidden="1">
      <c r="A666" s="3">
        <v>200059</v>
      </c>
      <c r="B666" s="7" t="s">
        <v>43</v>
      </c>
      <c r="C666" s="42">
        <v>646.14</v>
      </c>
      <c r="D666" s="6">
        <v>45581</v>
      </c>
      <c r="E666" s="3" t="str">
        <f ca="1">IF(Tabela2[[#This Row],[Dt Venc:]]&gt;TODAY(),"Em Aberto",IF(Tabela2[[#This Row],[D/venc]]="-","Enviado",IF(Tabela2[[#This Row],[Dt Venc:]]=TODAY(),"Vence Hoje","Vencida")))</f>
        <v>Enviado</v>
      </c>
      <c r="F666" s="3" t="str">
        <f ca="1">IF(G666=1,"-",Tabela2[[#This Row],[Dt Venc:]]-TODAY())</f>
        <v>-</v>
      </c>
      <c r="G666" s="3">
        <v>1</v>
      </c>
      <c r="H666" s="3"/>
    </row>
    <row r="667" spans="1:8" ht="18" hidden="1">
      <c r="A667" s="3">
        <v>200164</v>
      </c>
      <c r="B667" s="7" t="s">
        <v>43</v>
      </c>
      <c r="C667" s="42">
        <v>1103.8699999999999</v>
      </c>
      <c r="D667" s="6">
        <v>45581</v>
      </c>
      <c r="E667" s="3" t="str">
        <f ca="1">IF(Tabela2[[#This Row],[Dt Venc:]]&gt;TODAY(),"Em Aberto",IF(Tabela2[[#This Row],[D/venc]]="-","Enviado",IF(Tabela2[[#This Row],[Dt Venc:]]=TODAY(),"Vence Hoje","Vencida")))</f>
        <v>Enviado</v>
      </c>
      <c r="F667" s="3" t="str">
        <f ca="1">IF(G667=1,"-",Tabela2[[#This Row],[Dt Venc:]]-TODAY())</f>
        <v>-</v>
      </c>
      <c r="G667" s="3">
        <v>1</v>
      </c>
      <c r="H667" s="3"/>
    </row>
    <row r="668" spans="1:8" ht="18" hidden="1">
      <c r="A668" s="3">
        <v>1380345</v>
      </c>
      <c r="B668" s="7" t="s">
        <v>151</v>
      </c>
      <c r="C668" s="42">
        <v>598.88</v>
      </c>
      <c r="D668" s="6">
        <v>45581</v>
      </c>
      <c r="E668" s="3" t="str">
        <f ca="1">IF(Tabela2[[#This Row],[Dt Venc:]]&gt;TODAY(),"Em Aberto",IF(Tabela2[[#This Row],[D/venc]]="-","Enviado",IF(Tabela2[[#This Row],[Dt Venc:]]=TODAY(),"Vence Hoje","Vencida")))</f>
        <v>Enviado</v>
      </c>
      <c r="F668" s="3" t="str">
        <f ca="1">IF(G668=1,"-",Tabela2[[#This Row],[Dt Venc:]]-TODAY())</f>
        <v>-</v>
      </c>
      <c r="G668" s="3">
        <v>1</v>
      </c>
      <c r="H668" s="3"/>
    </row>
    <row r="669" spans="1:8" ht="18" hidden="1">
      <c r="A669" s="3">
        <v>15085</v>
      </c>
      <c r="B669" s="7" t="s">
        <v>99</v>
      </c>
      <c r="C669" s="42">
        <v>850</v>
      </c>
      <c r="D669" s="6">
        <v>45581</v>
      </c>
      <c r="E669" s="3" t="str">
        <f ca="1">IF(Tabela2[[#This Row],[Dt Venc:]]&gt;TODAY(),"Em Aberto",IF(Tabela2[[#This Row],[D/venc]]="-","Enviado",IF(Tabela2[[#This Row],[Dt Venc:]]=TODAY(),"Vence Hoje","Vencida")))</f>
        <v>Enviado</v>
      </c>
      <c r="F669" s="3" t="str">
        <f ca="1">IF(G669=1,"-",Tabela2[[#This Row],[Dt Venc:]]-TODAY())</f>
        <v>-</v>
      </c>
      <c r="G669" s="3">
        <v>1</v>
      </c>
      <c r="H669" s="3"/>
    </row>
    <row r="670" spans="1:8" ht="18" hidden="1">
      <c r="A670" s="3" t="s">
        <v>110</v>
      </c>
      <c r="B670" s="7" t="s">
        <v>272</v>
      </c>
      <c r="C670" s="42" t="s">
        <v>32</v>
      </c>
      <c r="D670" s="6">
        <v>45581</v>
      </c>
      <c r="E670" s="3" t="str">
        <f ca="1">IF(Tabela2[[#This Row],[Dt Venc:]]&gt;TODAY(),"Em Aberto",IF(Tabela2[[#This Row],[D/venc]]="-","Enviado",IF(Tabela2[[#This Row],[Dt Venc:]]=TODAY(),"Vence Hoje","Vencida")))</f>
        <v>Enviado</v>
      </c>
      <c r="F670" s="3" t="str">
        <f ca="1">IF(G670=1,"-",Tabela2[[#This Row],[Dt Venc:]]-TODAY())</f>
        <v>-</v>
      </c>
      <c r="G670" s="3">
        <v>1</v>
      </c>
      <c r="H670" s="3"/>
    </row>
    <row r="671" spans="1:8" ht="18" hidden="1">
      <c r="A671" s="3">
        <v>15150</v>
      </c>
      <c r="B671" s="7" t="s">
        <v>44</v>
      </c>
      <c r="C671" s="42">
        <v>850</v>
      </c>
      <c r="D671" s="6">
        <v>45581</v>
      </c>
      <c r="E671" s="3" t="str">
        <f ca="1">IF(Tabela2[[#This Row],[Dt Venc:]]&gt;TODAY(),"Em Aberto",IF(Tabela2[[#This Row],[D/venc]]="-","Enviado",IF(Tabela2[[#This Row],[Dt Venc:]]=TODAY(),"Vence Hoje","Vencida")))</f>
        <v>Enviado</v>
      </c>
      <c r="F671" s="3" t="str">
        <f ca="1">IF(G671=1,"-",Tabela2[[#This Row],[Dt Venc:]]-TODAY())</f>
        <v>-</v>
      </c>
      <c r="G671" s="3">
        <v>1</v>
      </c>
      <c r="H671" s="3"/>
    </row>
    <row r="672" spans="1:8" ht="18" hidden="1">
      <c r="A672" s="3">
        <v>2203</v>
      </c>
      <c r="B672" s="7" t="s">
        <v>45</v>
      </c>
      <c r="C672" s="42">
        <v>420</v>
      </c>
      <c r="D672" s="6">
        <v>45581</v>
      </c>
      <c r="E672" s="3" t="str">
        <f ca="1">IF(Tabela2[[#This Row],[Dt Venc:]]&gt;TODAY(),"Em Aberto",IF(Tabela2[[#This Row],[D/venc]]="-","Enviado",IF(Tabela2[[#This Row],[Dt Venc:]]=TODAY(),"Vence Hoje","Vencida")))</f>
        <v>Enviado</v>
      </c>
      <c r="F672" s="3" t="str">
        <f ca="1">IF(G672=1,"-",Tabela2[[#This Row],[Dt Venc:]]-TODAY())</f>
        <v>-</v>
      </c>
      <c r="G672" s="3">
        <v>1</v>
      </c>
      <c r="H672" s="3"/>
    </row>
    <row r="673" spans="1:8" ht="18" hidden="1">
      <c r="A673" s="3">
        <v>13864</v>
      </c>
      <c r="B673" s="7" t="s">
        <v>67</v>
      </c>
      <c r="C673" s="42">
        <v>560</v>
      </c>
      <c r="D673" s="6">
        <v>45581</v>
      </c>
      <c r="E673" s="3" t="str">
        <f ca="1">IF(Tabela2[[#This Row],[Dt Venc:]]&gt;TODAY(),"Em Aberto",IF(Tabela2[[#This Row],[D/venc]]="-","Enviado",IF(Tabela2[[#This Row],[Dt Venc:]]=TODAY(),"Vence Hoje","Vencida")))</f>
        <v>Enviado</v>
      </c>
      <c r="F673" s="3" t="str">
        <f ca="1">IF(G673=1,"-",Tabela2[[#This Row],[Dt Venc:]]-TODAY())</f>
        <v>-</v>
      </c>
      <c r="G673" s="3">
        <v>1</v>
      </c>
      <c r="H673" s="3"/>
    </row>
    <row r="674" spans="1:8" ht="18" hidden="1">
      <c r="A674" s="3">
        <v>20685</v>
      </c>
      <c r="B674" s="7" t="s">
        <v>70</v>
      </c>
      <c r="C674" s="42">
        <v>1059.6300000000001</v>
      </c>
      <c r="D674" s="6">
        <v>45581</v>
      </c>
      <c r="E674" s="3" t="str">
        <f ca="1">IF(Tabela2[[#This Row],[Dt Venc:]]&gt;TODAY(),"Em Aberto",IF(Tabela2[[#This Row],[D/venc]]="-","Enviado",IF(Tabela2[[#This Row],[Dt Venc:]]=TODAY(),"Vence Hoje","Vencida")))</f>
        <v>Enviado</v>
      </c>
      <c r="F674" s="3" t="str">
        <f ca="1">IF(G674=1,"-",Tabela2[[#This Row],[Dt Venc:]]-TODAY())</f>
        <v>-</v>
      </c>
      <c r="G674" s="3">
        <v>1</v>
      </c>
      <c r="H674" s="3"/>
    </row>
    <row r="675" spans="1:8" ht="18" hidden="1">
      <c r="A675" s="3">
        <v>26431</v>
      </c>
      <c r="B675" s="7" t="s">
        <v>70</v>
      </c>
      <c r="C675" s="42">
        <v>1680.65</v>
      </c>
      <c r="D675" s="6">
        <v>45581</v>
      </c>
      <c r="E675" s="3" t="str">
        <f ca="1">IF(Tabela2[[#This Row],[Dt Venc:]]&gt;TODAY(),"Em Aberto",IF(Tabela2[[#This Row],[D/venc]]="-","Enviado",IF(Tabela2[[#This Row],[Dt Venc:]]=TODAY(),"Vence Hoje","Vencida")))</f>
        <v>Enviado</v>
      </c>
      <c r="F675" s="3" t="str">
        <f ca="1">IF(G675=1,"-",Tabela2[[#This Row],[Dt Venc:]]-TODAY())</f>
        <v>-</v>
      </c>
      <c r="G675" s="3">
        <v>1</v>
      </c>
      <c r="H675" s="3"/>
    </row>
    <row r="676" spans="1:8" ht="18" hidden="1">
      <c r="A676" s="3">
        <v>26658</v>
      </c>
      <c r="B676" s="7" t="s">
        <v>70</v>
      </c>
      <c r="C676" s="42">
        <v>104.04</v>
      </c>
      <c r="D676" s="6">
        <v>45581</v>
      </c>
      <c r="E676" s="3" t="str">
        <f ca="1">IF(Tabela2[[#This Row],[Dt Venc:]]&gt;TODAY(),"Em Aberto",IF(Tabela2[[#This Row],[D/venc]]="-","Enviado",IF(Tabela2[[#This Row],[Dt Venc:]]=TODAY(),"Vence Hoje","Vencida")))</f>
        <v>Enviado</v>
      </c>
      <c r="F676" s="3" t="str">
        <f ca="1">IF(G676=1,"-",Tabela2[[#This Row],[Dt Venc:]]-TODAY())</f>
        <v>-</v>
      </c>
      <c r="G676" s="3">
        <v>1</v>
      </c>
      <c r="H676" s="3"/>
    </row>
    <row r="677" spans="1:8" ht="18" hidden="1">
      <c r="A677" s="3">
        <v>89241</v>
      </c>
      <c r="B677" s="7" t="s">
        <v>48</v>
      </c>
      <c r="C677" s="42">
        <v>1089.1600000000001</v>
      </c>
      <c r="D677" s="6">
        <v>45581</v>
      </c>
      <c r="E677" s="3" t="str">
        <f ca="1">IF(Tabela2[[#This Row],[Dt Venc:]]&gt;TODAY(),"Em Aberto",IF(Tabela2[[#This Row],[D/venc]]="-","Enviado",IF(Tabela2[[#This Row],[Dt Venc:]]=TODAY(),"Vence Hoje","Vencida")))</f>
        <v>Enviado</v>
      </c>
      <c r="F677" s="3" t="str">
        <f ca="1">IF(G677=1,"-",Tabela2[[#This Row],[Dt Venc:]]-TODAY())</f>
        <v>-</v>
      </c>
      <c r="G677" s="3">
        <v>1</v>
      </c>
      <c r="H677" s="3"/>
    </row>
    <row r="678" spans="1:8" ht="18" hidden="1">
      <c r="A678" s="3">
        <v>10073</v>
      </c>
      <c r="B678" s="7" t="s">
        <v>72</v>
      </c>
      <c r="C678" s="42">
        <v>697.34</v>
      </c>
      <c r="D678" s="6">
        <v>45581</v>
      </c>
      <c r="E678" s="3" t="str">
        <f ca="1">IF(Tabela2[[#This Row],[Dt Venc:]]&gt;TODAY(),"Em Aberto",IF(Tabela2[[#This Row],[D/venc]]="-","Enviado",IF(Tabela2[[#This Row],[Dt Venc:]]=TODAY(),"Vence Hoje","Vencida")))</f>
        <v>Enviado</v>
      </c>
      <c r="F678" s="3" t="str">
        <f ca="1">IF(G678=1,"-",Tabela2[[#This Row],[Dt Venc:]]-TODAY())</f>
        <v>-</v>
      </c>
      <c r="G678" s="3">
        <v>1</v>
      </c>
      <c r="H678" s="3"/>
    </row>
    <row r="679" spans="1:8" ht="18" hidden="1">
      <c r="A679" s="3">
        <v>53234</v>
      </c>
      <c r="B679" s="7" t="s">
        <v>35</v>
      </c>
      <c r="C679" s="41">
        <v>993.51</v>
      </c>
      <c r="D679" s="6">
        <v>45581</v>
      </c>
      <c r="E679" s="3" t="str">
        <f ca="1">IF(Tabela2[[#This Row],[Dt Venc:]]&gt;TODAY(),"Em Aberto",IF(Tabela2[[#This Row],[D/venc]]="-","Enviado",IF(Tabela2[[#This Row],[Dt Venc:]]=TODAY(),"Vence Hoje","Vencida")))</f>
        <v>Enviado</v>
      </c>
      <c r="F679" s="3" t="str">
        <f ca="1">IF(G679=1,"-",Tabela2[[#This Row],[Dt Venc:]]-TODAY())</f>
        <v>-</v>
      </c>
      <c r="G679" s="3">
        <v>1</v>
      </c>
      <c r="H679" s="3"/>
    </row>
    <row r="680" spans="1:8" ht="18" hidden="1">
      <c r="A680" s="3">
        <v>762464</v>
      </c>
      <c r="B680" s="7" t="s">
        <v>79</v>
      </c>
      <c r="C680" s="41">
        <v>456.68</v>
      </c>
      <c r="D680" s="6">
        <v>45581</v>
      </c>
      <c r="E680" s="3" t="str">
        <f ca="1">IF(Tabela2[[#This Row],[Dt Venc:]]&gt;TODAY(),"Em Aberto",IF(Tabela2[[#This Row],[D/venc]]="-","Enviado",IF(Tabela2[[#This Row],[Dt Venc:]]=TODAY(),"Vence Hoje","Vencida")))</f>
        <v>Enviado</v>
      </c>
      <c r="F680" s="3" t="str">
        <f ca="1">IF(G680=1,"-",Tabela2[[#This Row],[Dt Venc:]]-TODAY())</f>
        <v>-</v>
      </c>
      <c r="G680" s="3">
        <v>1</v>
      </c>
      <c r="H680" s="3"/>
    </row>
    <row r="681" spans="1:8" ht="18" hidden="1">
      <c r="A681" s="3">
        <v>70800</v>
      </c>
      <c r="B681" s="7" t="s">
        <v>76</v>
      </c>
      <c r="C681" s="41">
        <v>1796.57</v>
      </c>
      <c r="D681" s="6">
        <v>45581</v>
      </c>
      <c r="E681" s="3" t="str">
        <f ca="1">IF(Tabela2[[#This Row],[Dt Venc:]]&gt;TODAY(),"Em Aberto",IF(Tabela2[[#This Row],[D/venc]]="-","Enviado",IF(Tabela2[[#This Row],[Dt Venc:]]=TODAY(),"Vence Hoje","Vencida")))</f>
        <v>Enviado</v>
      </c>
      <c r="F681" s="3" t="str">
        <f ca="1">IF(G681=1,"-",Tabela2[[#This Row],[Dt Venc:]]-TODAY())</f>
        <v>-</v>
      </c>
      <c r="G681" s="3">
        <v>1</v>
      </c>
      <c r="H681" s="3"/>
    </row>
    <row r="682" spans="1:8" ht="18" hidden="1">
      <c r="A682" s="3">
        <v>65804</v>
      </c>
      <c r="B682" s="7" t="s">
        <v>146</v>
      </c>
      <c r="C682" s="41">
        <v>262.5</v>
      </c>
      <c r="D682" s="6">
        <v>45581</v>
      </c>
      <c r="E682" s="3" t="str">
        <f ca="1">IF(Tabela2[[#This Row],[Dt Venc:]]&gt;TODAY(),"Em Aberto",IF(Tabela2[[#This Row],[D/venc]]="-","Enviado",IF(Tabela2[[#This Row],[Dt Venc:]]=TODAY(),"Vence Hoje","Vencida")))</f>
        <v>Enviado</v>
      </c>
      <c r="F682" s="3" t="str">
        <f ca="1">IF(G682=1,"-",Tabela2[[#This Row],[Dt Venc:]]-TODAY())</f>
        <v>-</v>
      </c>
      <c r="G682" s="3">
        <v>1</v>
      </c>
      <c r="H682" s="3"/>
    </row>
    <row r="683" spans="1:8" ht="18" hidden="1">
      <c r="A683" s="3">
        <v>14983</v>
      </c>
      <c r="B683" s="7" t="s">
        <v>273</v>
      </c>
      <c r="C683" s="41">
        <v>240</v>
      </c>
      <c r="D683" s="6">
        <v>45581</v>
      </c>
      <c r="E683" s="3" t="str">
        <f ca="1">IF(Tabela2[[#This Row],[Dt Venc:]]&gt;TODAY(),"Em Aberto",IF(Tabela2[[#This Row],[D/venc]]="-","Enviado",IF(Tabela2[[#This Row],[Dt Venc:]]=TODAY(),"Vence Hoje","Vencida")))</f>
        <v>Enviado</v>
      </c>
      <c r="F683" s="3" t="str">
        <f ca="1">IF(G683=1,"-",Tabela2[[#This Row],[Dt Venc:]]-TODAY())</f>
        <v>-</v>
      </c>
      <c r="G683" s="3">
        <v>1</v>
      </c>
      <c r="H683" s="3"/>
    </row>
    <row r="684" spans="1:8" ht="18" hidden="1">
      <c r="A684" s="3">
        <v>4482328</v>
      </c>
      <c r="B684" s="7" t="s">
        <v>219</v>
      </c>
      <c r="C684" s="41">
        <v>398.99</v>
      </c>
      <c r="D684" s="6">
        <v>45581</v>
      </c>
      <c r="E684" s="3" t="str">
        <f ca="1">IF(Tabela2[[#This Row],[Dt Venc:]]&gt;TODAY(),"Em Aberto",IF(Tabela2[[#This Row],[D/venc]]="-","Enviado",IF(Tabela2[[#This Row],[Dt Venc:]]=TODAY(),"Vence Hoje","Vencida")))</f>
        <v>Enviado</v>
      </c>
      <c r="F684" s="3" t="str">
        <f ca="1">IF(G684=1,"-",Tabela2[[#This Row],[Dt Venc:]]-TODAY())</f>
        <v>-</v>
      </c>
      <c r="G684" s="3">
        <v>1</v>
      </c>
      <c r="H684" s="3"/>
    </row>
    <row r="685" spans="1:8" ht="18" hidden="1">
      <c r="A685" s="3">
        <v>104149</v>
      </c>
      <c r="B685" s="7" t="s">
        <v>274</v>
      </c>
      <c r="C685" s="41">
        <v>535</v>
      </c>
      <c r="D685" s="6">
        <v>45581</v>
      </c>
      <c r="E685" s="3" t="str">
        <f ca="1">IF(Tabela2[[#This Row],[Dt Venc:]]&gt;TODAY(),"Em Aberto",IF(Tabela2[[#This Row],[D/venc]]="-","Enviado",IF(Tabela2[[#This Row],[Dt Venc:]]=TODAY(),"Vence Hoje","Vencida")))</f>
        <v>Enviado</v>
      </c>
      <c r="F685" s="3" t="str">
        <f ca="1">IF(G685=1,"-",Tabela2[[#This Row],[Dt Venc:]]-TODAY())</f>
        <v>-</v>
      </c>
      <c r="G685" s="3">
        <v>1</v>
      </c>
      <c r="H685" s="3"/>
    </row>
    <row r="686" spans="1:8" ht="18" hidden="1">
      <c r="A686" s="3">
        <v>69423</v>
      </c>
      <c r="B686" s="7" t="s">
        <v>275</v>
      </c>
      <c r="C686" s="41">
        <v>608.66999999999996</v>
      </c>
      <c r="D686" s="6">
        <v>45581</v>
      </c>
      <c r="E686" s="3" t="str">
        <f ca="1">IF(Tabela2[[#This Row],[Dt Venc:]]&gt;TODAY(),"Em Aberto",IF(Tabela2[[#This Row],[D/venc]]="-","Enviado",IF(Tabela2[[#This Row],[Dt Venc:]]=TODAY(),"Vence Hoje","Vencida")))</f>
        <v>Enviado</v>
      </c>
      <c r="F686" s="3" t="str">
        <f ca="1">IF(G686=1,"-",Tabela2[[#This Row],[Dt Venc:]]-TODAY())</f>
        <v>-</v>
      </c>
      <c r="G686" s="3">
        <v>1</v>
      </c>
      <c r="H686" s="3"/>
    </row>
    <row r="687" spans="1:8" ht="18" hidden="1">
      <c r="A687" s="3">
        <v>442624</v>
      </c>
      <c r="B687" s="7" t="s">
        <v>59</v>
      </c>
      <c r="C687" s="41">
        <v>27416</v>
      </c>
      <c r="D687" s="6">
        <v>45581</v>
      </c>
      <c r="E687" s="3" t="str">
        <f ca="1">IF(Tabela2[[#This Row],[Dt Venc:]]&gt;TODAY(),"Em Aberto",IF(Tabela2[[#This Row],[D/venc]]="-","Enviado",IF(Tabela2[[#This Row],[Dt Venc:]]=TODAY(),"Vence Hoje","Vencida")))</f>
        <v>Enviado</v>
      </c>
      <c r="F687" s="3" t="str">
        <f ca="1">IF(G687=1,"-",Tabela2[[#This Row],[Dt Venc:]]-TODAY())</f>
        <v>-</v>
      </c>
      <c r="G687" s="3">
        <v>1</v>
      </c>
      <c r="H687" s="3"/>
    </row>
    <row r="688" spans="1:8" ht="18" hidden="1">
      <c r="A688" s="3">
        <v>27259</v>
      </c>
      <c r="B688" s="7" t="s">
        <v>276</v>
      </c>
      <c r="C688" s="41">
        <v>7724</v>
      </c>
      <c r="D688" s="6">
        <v>45581</v>
      </c>
      <c r="E688" s="3" t="str">
        <f ca="1">IF(Tabela2[[#This Row],[Dt Venc:]]&gt;TODAY(),"Em Aberto",IF(Tabela2[[#This Row],[D/venc]]="-","Enviado",IF(Tabela2[[#This Row],[Dt Venc:]]=TODAY(),"Vence Hoje","Vencida")))</f>
        <v>Enviado</v>
      </c>
      <c r="F688" s="3" t="str">
        <f ca="1">IF(G688=1,"-",Tabela2[[#This Row],[Dt Venc:]]-TODAY())</f>
        <v>-</v>
      </c>
      <c r="G688" s="3">
        <v>1</v>
      </c>
      <c r="H688" s="3"/>
    </row>
    <row r="689" spans="1:8" ht="18" hidden="1">
      <c r="A689" s="3">
        <v>1851</v>
      </c>
      <c r="B689" s="7" t="s">
        <v>277</v>
      </c>
      <c r="C689" s="41">
        <v>22509.85</v>
      </c>
      <c r="D689" s="6">
        <v>45581</v>
      </c>
      <c r="E689" s="3" t="str">
        <f ca="1">IF(Tabela2[[#This Row],[Dt Venc:]]&gt;TODAY(),"Em Aberto",IF(Tabela2[[#This Row],[D/venc]]="-","Enviado",IF(Tabela2[[#This Row],[Dt Venc:]]=TODAY(),"Vence Hoje","Vencida")))</f>
        <v>Enviado</v>
      </c>
      <c r="F689" s="3" t="str">
        <f ca="1">IF(G689=1,"-",Tabela2[[#This Row],[Dt Venc:]]-TODAY())</f>
        <v>-</v>
      </c>
      <c r="G689" s="3">
        <v>1</v>
      </c>
      <c r="H689" s="3"/>
    </row>
    <row r="690" spans="1:8" ht="18" hidden="1">
      <c r="A690" s="3">
        <v>8462</v>
      </c>
      <c r="B690" s="7" t="s">
        <v>278</v>
      </c>
      <c r="C690" s="41">
        <v>181.1</v>
      </c>
      <c r="D690" s="6">
        <v>45581</v>
      </c>
      <c r="E690" s="3" t="str">
        <f ca="1">IF(Tabela2[[#This Row],[Dt Venc:]]&gt;TODAY(),"Em Aberto",IF(Tabela2[[#This Row],[D/venc]]="-","Enviado",IF(Tabela2[[#This Row],[Dt Venc:]]=TODAY(),"Vence Hoje","Vencida")))</f>
        <v>Enviado</v>
      </c>
      <c r="F690" s="3" t="str">
        <f ca="1">IF(G690=1,"-",Tabela2[[#This Row],[Dt Venc:]]-TODAY())</f>
        <v>-</v>
      </c>
      <c r="G690" s="3">
        <v>1</v>
      </c>
      <c r="H690" s="3"/>
    </row>
    <row r="691" spans="1:8" ht="18" hidden="1">
      <c r="A691" s="3">
        <v>320</v>
      </c>
      <c r="B691" s="7" t="s">
        <v>279</v>
      </c>
      <c r="C691" s="41">
        <v>5490</v>
      </c>
      <c r="D691" s="6">
        <v>45581</v>
      </c>
      <c r="E691" s="3" t="str">
        <f ca="1">IF(Tabela2[[#This Row],[Dt Venc:]]&gt;TODAY(),"Em Aberto",IF(Tabela2[[#This Row],[D/venc]]="-","Enviado",IF(Tabela2[[#This Row],[Dt Venc:]]=TODAY(),"Vence Hoje","Vencida")))</f>
        <v>Enviado</v>
      </c>
      <c r="F691" s="3" t="str">
        <f ca="1">IF(G691=1,"-",Tabela2[[#This Row],[Dt Venc:]]-TODAY())</f>
        <v>-</v>
      </c>
      <c r="G691" s="3">
        <v>1</v>
      </c>
      <c r="H691" s="3"/>
    </row>
    <row r="692" spans="1:8" ht="18" hidden="1">
      <c r="A692" s="3">
        <v>550</v>
      </c>
      <c r="B692" s="7" t="s">
        <v>280</v>
      </c>
      <c r="C692" s="41">
        <v>34611.769999999997</v>
      </c>
      <c r="D692" s="6">
        <v>45581</v>
      </c>
      <c r="E692" s="3" t="str">
        <f ca="1">IF(Tabela2[[#This Row],[Dt Venc:]]&gt;TODAY(),"Em Aberto",IF(Tabela2[[#This Row],[D/venc]]="-","Enviado",IF(Tabela2[[#This Row],[Dt Venc:]]=TODAY(),"Vence Hoje","Vencida")))</f>
        <v>Enviado</v>
      </c>
      <c r="F692" s="3" t="str">
        <f ca="1">IF(G692=1,"-",Tabela2[[#This Row],[Dt Venc:]]-TODAY())</f>
        <v>-</v>
      </c>
      <c r="G692" s="3">
        <v>1</v>
      </c>
      <c r="H692" s="3"/>
    </row>
    <row r="693" spans="1:8" ht="18" hidden="1">
      <c r="A693" s="3">
        <v>140757</v>
      </c>
      <c r="B693" s="7" t="s">
        <v>60</v>
      </c>
      <c r="C693" s="41">
        <v>390</v>
      </c>
      <c r="D693" s="6">
        <v>45581</v>
      </c>
      <c r="E693" s="3" t="str">
        <f ca="1">IF(Tabela2[[#This Row],[Dt Venc:]]&gt;TODAY(),"Em Aberto",IF(Tabela2[[#This Row],[D/venc]]="-","Enviado",IF(Tabela2[[#This Row],[Dt Venc:]]=TODAY(),"Vence Hoje","Vencida")))</f>
        <v>Enviado</v>
      </c>
      <c r="F693" s="3" t="str">
        <f ca="1">IF(G693=1,"-",Tabela2[[#This Row],[Dt Venc:]]-TODAY())</f>
        <v>-</v>
      </c>
      <c r="G693" s="3">
        <v>1</v>
      </c>
      <c r="H693" s="3"/>
    </row>
    <row r="694" spans="1:8" ht="18" hidden="1">
      <c r="A694" s="3">
        <v>3049</v>
      </c>
      <c r="B694" s="7" t="s">
        <v>100</v>
      </c>
      <c r="C694" s="41">
        <v>633.33000000000004</v>
      </c>
      <c r="D694" s="6">
        <v>45581</v>
      </c>
      <c r="E694" s="3" t="str">
        <f ca="1">IF(Tabela2[[#This Row],[Dt Venc:]]&gt;TODAY(),"Em Aberto",IF(Tabela2[[#This Row],[D/venc]]="-","Enviado",IF(Tabela2[[#This Row],[Dt Venc:]]=TODAY(),"Vence Hoje","Vencida")))</f>
        <v>Enviado</v>
      </c>
      <c r="F694" s="3" t="str">
        <f ca="1">IF(G694=1,"-",Tabela2[[#This Row],[Dt Venc:]]-TODAY())</f>
        <v>-</v>
      </c>
      <c r="G694" s="3">
        <v>1</v>
      </c>
      <c r="H694" s="3"/>
    </row>
    <row r="695" spans="1:8" ht="18" hidden="1">
      <c r="A695" s="3">
        <v>3051</v>
      </c>
      <c r="B695" s="7" t="s">
        <v>100</v>
      </c>
      <c r="C695" s="41">
        <v>765.67</v>
      </c>
      <c r="D695" s="6">
        <v>45581</v>
      </c>
      <c r="E695" s="3" t="str">
        <f ca="1">IF(Tabela2[[#This Row],[Dt Venc:]]&gt;TODAY(),"Em Aberto",IF(Tabela2[[#This Row],[D/venc]]="-","Enviado",IF(Tabela2[[#This Row],[Dt Venc:]]=TODAY(),"Vence Hoje","Vencida")))</f>
        <v>Enviado</v>
      </c>
      <c r="F695" s="3" t="str">
        <f ca="1">IF(G695=1,"-",Tabela2[[#This Row],[Dt Venc:]]-TODAY())</f>
        <v>-</v>
      </c>
      <c r="G695" s="3">
        <v>1</v>
      </c>
      <c r="H695" s="3"/>
    </row>
    <row r="696" spans="1:8" ht="18" hidden="1">
      <c r="A696" s="3">
        <v>36050</v>
      </c>
      <c r="B696" s="7" t="s">
        <v>281</v>
      </c>
      <c r="C696" s="41">
        <v>163.9</v>
      </c>
      <c r="D696" s="6">
        <v>45581</v>
      </c>
      <c r="E696" s="3" t="str">
        <f ca="1">IF(Tabela2[[#This Row],[Dt Venc:]]&gt;TODAY(),"Em Aberto",IF(Tabela2[[#This Row],[D/venc]]="-","Enviado",IF(Tabela2[[#This Row],[Dt Venc:]]=TODAY(),"Vence Hoje","Vencida")))</f>
        <v>Enviado</v>
      </c>
      <c r="F696" s="3" t="str">
        <f ca="1">IF(G696=1,"-",Tabela2[[#This Row],[Dt Venc:]]-TODAY())</f>
        <v>-</v>
      </c>
      <c r="G696" s="3">
        <v>1</v>
      </c>
      <c r="H696" s="3"/>
    </row>
    <row r="697" spans="1:8" ht="18" hidden="1">
      <c r="A697" s="3">
        <v>37196</v>
      </c>
      <c r="B697" s="7" t="s">
        <v>167</v>
      </c>
      <c r="C697" s="85" t="s">
        <v>32</v>
      </c>
      <c r="D697" s="6">
        <v>45582</v>
      </c>
      <c r="E697" s="3" t="str">
        <f ca="1">IF(Tabela2[[#This Row],[Dt Venc:]]&gt;TODAY(),"Em Aberto",IF(Tabela2[[#This Row],[D/venc]]="-","Enviado",IF(Tabela2[[#This Row],[Dt Venc:]]=TODAY(),"Vence Hoje","Vencida")))</f>
        <v>Enviado</v>
      </c>
      <c r="F697" s="3" t="str">
        <f ca="1">IF(G697=1,"-",Tabela2[[#This Row],[Dt Venc:]]-TODAY())</f>
        <v>-</v>
      </c>
      <c r="G697" s="3">
        <v>1</v>
      </c>
      <c r="H697" s="3"/>
    </row>
    <row r="698" spans="1:8" ht="18" hidden="1">
      <c r="A698" s="3">
        <v>10626</v>
      </c>
      <c r="B698" s="7" t="s">
        <v>33</v>
      </c>
      <c r="C698" s="42">
        <v>400</v>
      </c>
      <c r="D698" s="6">
        <v>45582</v>
      </c>
      <c r="E698" s="3" t="str">
        <f ca="1">IF(Tabela2[[#This Row],[Dt Venc:]]&gt;TODAY(),"Em Aberto",IF(Tabela2[[#This Row],[D/venc]]="-","Enviado",IF(Tabela2[[#This Row],[Dt Venc:]]=TODAY(),"Vence Hoje","Vencida")))</f>
        <v>Enviado</v>
      </c>
      <c r="F698" s="3" t="str">
        <f ca="1">IF(G698=1,"-",Tabela2[[#This Row],[Dt Venc:]]-TODAY())</f>
        <v>-</v>
      </c>
      <c r="G698" s="3">
        <v>1</v>
      </c>
      <c r="H698" s="3"/>
    </row>
    <row r="699" spans="1:8" ht="18" hidden="1">
      <c r="A699" s="3">
        <v>15173</v>
      </c>
      <c r="B699" s="7" t="s">
        <v>170</v>
      </c>
      <c r="C699" s="42">
        <v>386.66</v>
      </c>
      <c r="D699" s="6">
        <v>45582</v>
      </c>
      <c r="E699" s="3" t="str">
        <f ca="1">IF(Tabela2[[#This Row],[Dt Venc:]]&gt;TODAY(),"Em Aberto",IF(Tabela2[[#This Row],[D/venc]]="-","Enviado",IF(Tabela2[[#This Row],[Dt Venc:]]=TODAY(),"Vence Hoje","Vencida")))</f>
        <v>Enviado</v>
      </c>
      <c r="F699" s="3" t="str">
        <f ca="1">IF(G699=1,"-",Tabela2[[#This Row],[Dt Venc:]]-TODAY())</f>
        <v>-</v>
      </c>
      <c r="G699" s="3">
        <v>1</v>
      </c>
      <c r="H699" s="3"/>
    </row>
    <row r="700" spans="1:8" ht="18" hidden="1">
      <c r="A700" s="3">
        <v>15175</v>
      </c>
      <c r="B700" s="7" t="s">
        <v>170</v>
      </c>
      <c r="C700" s="42">
        <v>450</v>
      </c>
      <c r="D700" s="6">
        <v>45582</v>
      </c>
      <c r="E700" s="3" t="str">
        <f ca="1">IF(Tabela2[[#This Row],[Dt Venc:]]&gt;TODAY(),"Em Aberto",IF(Tabela2[[#This Row],[D/venc]]="-","Enviado",IF(Tabela2[[#This Row],[Dt Venc:]]=TODAY(),"Vence Hoje","Vencida")))</f>
        <v>Enviado</v>
      </c>
      <c r="F700" s="3" t="str">
        <f ca="1">IF(G700=1,"-",Tabela2[[#This Row],[Dt Venc:]]-TODAY())</f>
        <v>-</v>
      </c>
      <c r="G700" s="3">
        <v>1</v>
      </c>
      <c r="H700" s="3"/>
    </row>
    <row r="701" spans="1:8" ht="18" hidden="1">
      <c r="A701" s="3">
        <v>604476</v>
      </c>
      <c r="B701" s="7" t="s">
        <v>138</v>
      </c>
      <c r="C701" s="42">
        <v>2499.58</v>
      </c>
      <c r="D701" s="6">
        <v>45582</v>
      </c>
      <c r="E701" s="3" t="str">
        <f ca="1">IF(Tabela2[[#This Row],[Dt Venc:]]&gt;TODAY(),"Em Aberto",IF(Tabela2[[#This Row],[D/venc]]="-","Enviado",IF(Tabela2[[#This Row],[Dt Venc:]]=TODAY(),"Vence Hoje","Vencida")))</f>
        <v>Enviado</v>
      </c>
      <c r="F701" s="3" t="str">
        <f ca="1">IF(G701=1,"-",Tabela2[[#This Row],[Dt Venc:]]-TODAY())</f>
        <v>-</v>
      </c>
      <c r="G701" s="3">
        <v>1</v>
      </c>
      <c r="H701" s="3"/>
    </row>
    <row r="702" spans="1:8" ht="18" hidden="1">
      <c r="A702" s="3">
        <v>107</v>
      </c>
      <c r="B702" s="7" t="s">
        <v>83</v>
      </c>
      <c r="C702" s="42">
        <v>6400</v>
      </c>
      <c r="D702" s="6">
        <v>45582</v>
      </c>
      <c r="E702" s="3" t="str">
        <f ca="1">IF(Tabela2[[#This Row],[Dt Venc:]]&gt;TODAY(),"Em Aberto",IF(Tabela2[[#This Row],[D/venc]]="-","Enviado",IF(Tabela2[[#This Row],[Dt Venc:]]=TODAY(),"Vence Hoje","Vencida")))</f>
        <v>Enviado</v>
      </c>
      <c r="F702" s="3" t="str">
        <f ca="1">IF(G702=1,"-",Tabela2[[#This Row],[Dt Venc:]]-TODAY())</f>
        <v>-</v>
      </c>
      <c r="G702" s="3">
        <v>1</v>
      </c>
      <c r="H702" s="3"/>
    </row>
    <row r="703" spans="1:8" ht="18" hidden="1">
      <c r="A703" s="3">
        <v>194299</v>
      </c>
      <c r="B703" s="7" t="s">
        <v>43</v>
      </c>
      <c r="C703" s="42">
        <v>1568.87</v>
      </c>
      <c r="D703" s="6">
        <v>45582</v>
      </c>
      <c r="E703" s="3" t="str">
        <f ca="1">IF(Tabela2[[#This Row],[Dt Venc:]]&gt;TODAY(),"Em Aberto",IF(Tabela2[[#This Row],[D/venc]]="-","Enviado",IF(Tabela2[[#This Row],[Dt Venc:]]=TODAY(),"Vence Hoje","Vencida")))</f>
        <v>Enviado</v>
      </c>
      <c r="F703" s="3" t="str">
        <f ca="1">IF(G703=1,"-",Tabela2[[#This Row],[Dt Venc:]]-TODAY())</f>
        <v>-</v>
      </c>
      <c r="G703" s="3">
        <v>1</v>
      </c>
      <c r="H703" s="3"/>
    </row>
    <row r="704" spans="1:8" ht="18" hidden="1">
      <c r="A704" s="3">
        <v>213890</v>
      </c>
      <c r="B704" s="7" t="s">
        <v>43</v>
      </c>
      <c r="C704" s="42">
        <v>765.14</v>
      </c>
      <c r="D704" s="6">
        <v>45582</v>
      </c>
      <c r="E704" s="3" t="str">
        <f ca="1">IF(Tabela2[[#This Row],[Dt Venc:]]&gt;TODAY(),"Em Aberto",IF(Tabela2[[#This Row],[D/venc]]="-","Enviado",IF(Tabela2[[#This Row],[Dt Venc:]]=TODAY(),"Vence Hoje","Vencida")))</f>
        <v>Enviado</v>
      </c>
      <c r="F704" s="3" t="str">
        <f ca="1">IF(G704=1,"-",Tabela2[[#This Row],[Dt Venc:]]-TODAY())</f>
        <v>-</v>
      </c>
      <c r="G704" s="3">
        <v>1</v>
      </c>
      <c r="H704" s="3"/>
    </row>
    <row r="705" spans="1:8" ht="18" hidden="1">
      <c r="A705" s="3">
        <v>1380844</v>
      </c>
      <c r="B705" s="7" t="s">
        <v>151</v>
      </c>
      <c r="C705" s="42">
        <v>1573.18</v>
      </c>
      <c r="D705" s="6">
        <v>45582</v>
      </c>
      <c r="E705" s="3" t="str">
        <f ca="1">IF(Tabela2[[#This Row],[Dt Venc:]]&gt;TODAY(),"Em Aberto",IF(Tabela2[[#This Row],[D/venc]]="-","Enviado",IF(Tabela2[[#This Row],[Dt Venc:]]=TODAY(),"Vence Hoje","Vencida")))</f>
        <v>Enviado</v>
      </c>
      <c r="F705" s="3" t="str">
        <f ca="1">IF(G705=1,"-",Tabela2[[#This Row],[Dt Venc:]]-TODAY())</f>
        <v>-</v>
      </c>
      <c r="G705" s="3">
        <v>1</v>
      </c>
      <c r="H705" s="3"/>
    </row>
    <row r="706" spans="1:8" ht="18" hidden="1">
      <c r="A706" s="3">
        <v>5630</v>
      </c>
      <c r="B706" s="7" t="s">
        <v>47</v>
      </c>
      <c r="C706" s="42">
        <v>928.33</v>
      </c>
      <c r="D706" s="6">
        <v>45582</v>
      </c>
      <c r="E706" s="3" t="str">
        <f ca="1">IF(Tabela2[[#This Row],[Dt Venc:]]&gt;TODAY(),"Em Aberto",IF(Tabela2[[#This Row],[D/venc]]="-","Enviado",IF(Tabela2[[#This Row],[Dt Venc:]]=TODAY(),"Vence Hoje","Vencida")))</f>
        <v>Enviado</v>
      </c>
      <c r="F706" s="3" t="str">
        <f ca="1">IF(G706=1,"-",Tabela2[[#This Row],[Dt Venc:]]-TODAY())</f>
        <v>-</v>
      </c>
      <c r="G706" s="3">
        <v>1</v>
      </c>
      <c r="H706" s="3"/>
    </row>
    <row r="707" spans="1:8" ht="18" hidden="1">
      <c r="A707" s="3">
        <v>214019</v>
      </c>
      <c r="B707" s="7" t="s">
        <v>43</v>
      </c>
      <c r="C707" s="41">
        <v>1598.37</v>
      </c>
      <c r="D707" s="6">
        <v>45582</v>
      </c>
      <c r="E707" s="3" t="str">
        <f ca="1">IF(Tabela2[[#This Row],[Dt Venc:]]&gt;TODAY(),"Em Aberto",IF(Tabela2[[#This Row],[D/venc]]="-","Enviado",IF(Tabela2[[#This Row],[Dt Venc:]]=TODAY(),"Vence Hoje","Vencida")))</f>
        <v>Enviado</v>
      </c>
      <c r="F707" s="3" t="str">
        <f ca="1">IF(G707=1,"-",Tabela2[[#This Row],[Dt Venc:]]-TODAY())</f>
        <v>-</v>
      </c>
      <c r="G707" s="3">
        <v>1</v>
      </c>
      <c r="H707" s="3"/>
    </row>
    <row r="708" spans="1:8" ht="18" hidden="1">
      <c r="A708" s="3">
        <v>15173</v>
      </c>
      <c r="B708" s="7" t="s">
        <v>170</v>
      </c>
      <c r="C708" s="41">
        <v>386.66</v>
      </c>
      <c r="D708" s="6">
        <v>45582</v>
      </c>
      <c r="E708" s="3" t="str">
        <f ca="1">IF(Tabela2[[#This Row],[Dt Venc:]]&gt;TODAY(),"Em Aberto",IF(Tabela2[[#This Row],[D/venc]]="-","Enviado",IF(Tabela2[[#This Row],[Dt Venc:]]=TODAY(),"Vence Hoje","Vencida")))</f>
        <v>Enviado</v>
      </c>
      <c r="F708" s="3" t="str">
        <f ca="1">IF(G708=1,"-",Tabela2[[#This Row],[Dt Venc:]]-TODAY())</f>
        <v>-</v>
      </c>
      <c r="G708" s="3">
        <v>1</v>
      </c>
      <c r="H708" s="3"/>
    </row>
    <row r="709" spans="1:8" ht="18" hidden="1">
      <c r="A709" s="3">
        <v>9269</v>
      </c>
      <c r="B709" s="7" t="s">
        <v>88</v>
      </c>
      <c r="C709" s="41">
        <v>578.21</v>
      </c>
      <c r="D709" s="6">
        <v>45582</v>
      </c>
      <c r="E709" s="3" t="str">
        <f ca="1">IF(Tabela2[[#This Row],[Dt Venc:]]&gt;TODAY(),"Em Aberto",IF(Tabela2[[#This Row],[D/venc]]="-","Enviado",IF(Tabela2[[#This Row],[Dt Venc:]]=TODAY(),"Vence Hoje","Vencida")))</f>
        <v>Enviado</v>
      </c>
      <c r="F709" s="3" t="str">
        <f ca="1">IF(G709=1,"-",Tabela2[[#This Row],[Dt Venc:]]-TODAY())</f>
        <v>-</v>
      </c>
      <c r="G709" s="3">
        <v>1</v>
      </c>
      <c r="H709" s="3"/>
    </row>
    <row r="710" spans="1:8" ht="18" hidden="1">
      <c r="A710" s="3">
        <v>220329</v>
      </c>
      <c r="B710" s="7" t="s">
        <v>282</v>
      </c>
      <c r="C710" s="41">
        <v>361.62</v>
      </c>
      <c r="D710" s="6">
        <v>45582</v>
      </c>
      <c r="E710" s="3" t="str">
        <f ca="1">IF(Tabela2[[#This Row],[Dt Venc:]]&gt;TODAY(),"Em Aberto",IF(Tabela2[[#This Row],[D/venc]]="-","Enviado",IF(Tabela2[[#This Row],[Dt Venc:]]=TODAY(),"Vence Hoje","Vencida")))</f>
        <v>Enviado</v>
      </c>
      <c r="F710" s="3" t="str">
        <f ca="1">IF(G710=1,"-",Tabela2[[#This Row],[Dt Venc:]]-TODAY())</f>
        <v>-</v>
      </c>
      <c r="G710" s="3">
        <v>1</v>
      </c>
      <c r="H710" s="3"/>
    </row>
    <row r="711" spans="1:8" ht="18" hidden="1">
      <c r="A711" s="3">
        <v>10735</v>
      </c>
      <c r="B711" s="7" t="s">
        <v>231</v>
      </c>
      <c r="C711" s="41">
        <v>466.66</v>
      </c>
      <c r="D711" s="6">
        <v>45582</v>
      </c>
      <c r="E711" s="3" t="str">
        <f ca="1">IF(Tabela2[[#This Row],[Dt Venc:]]&gt;TODAY(),"Em Aberto",IF(Tabela2[[#This Row],[D/venc]]="-","Enviado",IF(Tabela2[[#This Row],[Dt Venc:]]=TODAY(),"Vence Hoje","Vencida")))</f>
        <v>Enviado</v>
      </c>
      <c r="F711" s="3" t="str">
        <f ca="1">IF(G711=1,"-",Tabela2[[#This Row],[Dt Venc:]]-TODAY())</f>
        <v>-</v>
      </c>
      <c r="G711" s="3">
        <v>1</v>
      </c>
      <c r="H711" s="3"/>
    </row>
    <row r="712" spans="1:8" ht="18" hidden="1">
      <c r="A712" s="3">
        <v>8098</v>
      </c>
      <c r="B712" s="7" t="s">
        <v>283</v>
      </c>
      <c r="C712" s="41">
        <v>7590.13</v>
      </c>
      <c r="D712" s="6">
        <v>45582</v>
      </c>
      <c r="E712" s="3" t="str">
        <f ca="1">IF(Tabela2[[#This Row],[Dt Venc:]]&gt;TODAY(),"Em Aberto",IF(Tabela2[[#This Row],[D/venc]]="-","Enviado",IF(Tabela2[[#This Row],[Dt Venc:]]=TODAY(),"Vence Hoje","Vencida")))</f>
        <v>Enviado</v>
      </c>
      <c r="F712" s="3" t="str">
        <f ca="1">IF(G712=1,"-",Tabela2[[#This Row],[Dt Venc:]]-TODAY())</f>
        <v>-</v>
      </c>
      <c r="G712" s="3">
        <v>1</v>
      </c>
      <c r="H712" s="3"/>
    </row>
    <row r="713" spans="1:8" ht="18" hidden="1">
      <c r="A713" s="3">
        <v>16849</v>
      </c>
      <c r="B713" s="7" t="s">
        <v>75</v>
      </c>
      <c r="C713" s="41">
        <v>7002.67</v>
      </c>
      <c r="D713" s="6">
        <v>45582</v>
      </c>
      <c r="E713" s="3" t="str">
        <f ca="1">IF(Tabela2[[#This Row],[Dt Venc:]]&gt;TODAY(),"Em Aberto",IF(Tabela2[[#This Row],[D/venc]]="-","Enviado",IF(Tabela2[[#This Row],[Dt Venc:]]=TODAY(),"Vence Hoje","Vencida")))</f>
        <v>Enviado</v>
      </c>
      <c r="F713" s="3" t="str">
        <f ca="1">IF(G713=1,"-",Tabela2[[#This Row],[Dt Venc:]]-TODAY())</f>
        <v>-</v>
      </c>
      <c r="G713" s="3">
        <v>1</v>
      </c>
      <c r="H713" s="3"/>
    </row>
    <row r="714" spans="1:8" ht="18" hidden="1">
      <c r="A714" s="3">
        <v>1427</v>
      </c>
      <c r="B714" s="7" t="s">
        <v>284</v>
      </c>
      <c r="C714" s="41">
        <v>897</v>
      </c>
      <c r="D714" s="6">
        <v>45582</v>
      </c>
      <c r="E714" s="3" t="str">
        <f ca="1">IF(Tabela2[[#This Row],[Dt Venc:]]&gt;TODAY(),"Em Aberto",IF(Tabela2[[#This Row],[D/venc]]="-","Enviado",IF(Tabela2[[#This Row],[Dt Venc:]]=TODAY(),"Vence Hoje","Vencida")))</f>
        <v>Enviado</v>
      </c>
      <c r="F714" s="3" t="str">
        <f ca="1">IF(G714=1,"-",Tabela2[[#This Row],[Dt Venc:]]-TODAY())</f>
        <v>-</v>
      </c>
      <c r="G714" s="3">
        <v>1</v>
      </c>
      <c r="H714" s="3"/>
    </row>
    <row r="715" spans="1:8" ht="18" hidden="1">
      <c r="A715" s="3">
        <v>7</v>
      </c>
      <c r="B715" s="7" t="s">
        <v>173</v>
      </c>
      <c r="C715" s="41">
        <v>465</v>
      </c>
      <c r="D715" s="6">
        <v>45582</v>
      </c>
      <c r="E715" s="3" t="str">
        <f ca="1">IF(Tabela2[[#This Row],[Dt Venc:]]&gt;TODAY(),"Em Aberto",IF(Tabela2[[#This Row],[D/venc]]="-","Enviado",IF(Tabela2[[#This Row],[Dt Venc:]]=TODAY(),"Vence Hoje","Vencida")))</f>
        <v>Enviado</v>
      </c>
      <c r="F715" s="3" t="str">
        <f ca="1">IF(G715=1,"-",Tabela2[[#This Row],[Dt Venc:]]-TODAY())</f>
        <v>-</v>
      </c>
      <c r="G715" s="3">
        <v>1</v>
      </c>
      <c r="H715" s="3"/>
    </row>
    <row r="716" spans="1:8" ht="18" hidden="1">
      <c r="A716" s="3">
        <v>424632</v>
      </c>
      <c r="B716" s="7" t="s">
        <v>89</v>
      </c>
      <c r="C716" s="41">
        <v>758</v>
      </c>
      <c r="D716" s="6">
        <v>45582</v>
      </c>
      <c r="E716" s="3" t="str">
        <f ca="1">IF(Tabela2[[#This Row],[Dt Venc:]]&gt;TODAY(),"Em Aberto",IF(Tabela2[[#This Row],[D/venc]]="-","Enviado",IF(Tabela2[[#This Row],[Dt Venc:]]=TODAY(),"Vence Hoje","Vencida")))</f>
        <v>Enviado</v>
      </c>
      <c r="F716" s="3" t="str">
        <f ca="1">IF(G716=1,"-",Tabela2[[#This Row],[Dt Venc:]]-TODAY())</f>
        <v>-</v>
      </c>
      <c r="G716" s="3">
        <v>1</v>
      </c>
      <c r="H716" s="3"/>
    </row>
    <row r="717" spans="1:8" ht="18" hidden="1">
      <c r="A717" s="3">
        <v>392494</v>
      </c>
      <c r="B717" s="7" t="s">
        <v>285</v>
      </c>
      <c r="C717" s="41">
        <v>1558.33</v>
      </c>
      <c r="D717" s="6">
        <v>45582</v>
      </c>
      <c r="E717" s="3" t="str">
        <f ca="1">IF(Tabela2[[#This Row],[Dt Venc:]]&gt;TODAY(),"Em Aberto",IF(Tabela2[[#This Row],[D/venc]]="-","Enviado",IF(Tabela2[[#This Row],[Dt Venc:]]=TODAY(),"Vence Hoje","Vencida")))</f>
        <v>Enviado</v>
      </c>
      <c r="F717" s="3" t="str">
        <f ca="1">IF(G717=1,"-",Tabela2[[#This Row],[Dt Venc:]]-TODAY())</f>
        <v>-</v>
      </c>
      <c r="G717" s="3">
        <v>1</v>
      </c>
      <c r="H717" s="3"/>
    </row>
    <row r="718" spans="1:8" ht="18" hidden="1">
      <c r="A718" s="3">
        <v>36045</v>
      </c>
      <c r="B718" s="7" t="s">
        <v>70</v>
      </c>
      <c r="C718" s="41">
        <v>962.84</v>
      </c>
      <c r="D718" s="6">
        <v>45582</v>
      </c>
      <c r="E718" s="3" t="str">
        <f ca="1">IF(Tabela2[[#This Row],[Dt Venc:]]&gt;TODAY(),"Em Aberto",IF(Tabela2[[#This Row],[D/venc]]="-","Enviado",IF(Tabela2[[#This Row],[Dt Venc:]]=TODAY(),"Vence Hoje","Vencida")))</f>
        <v>Enviado</v>
      </c>
      <c r="F718" s="3" t="str">
        <f ca="1">IF(G718=1,"-",Tabela2[[#This Row],[Dt Venc:]]-TODAY())</f>
        <v>-</v>
      </c>
      <c r="G718" s="3">
        <v>1</v>
      </c>
      <c r="H718" s="3"/>
    </row>
    <row r="719" spans="1:8" ht="18" hidden="1">
      <c r="A719" s="3">
        <v>10904</v>
      </c>
      <c r="B719" s="7" t="s">
        <v>33</v>
      </c>
      <c r="C719" s="41">
        <v>1543.33</v>
      </c>
      <c r="D719" s="6">
        <v>45582</v>
      </c>
      <c r="E719" s="3" t="str">
        <f ca="1">IF(Tabela2[[#This Row],[Dt Venc:]]&gt;TODAY(),"Em Aberto",IF(Tabela2[[#This Row],[D/venc]]="-","Enviado",IF(Tabela2[[#This Row],[Dt Venc:]]=TODAY(),"Vence Hoje","Vencida")))</f>
        <v>Enviado</v>
      </c>
      <c r="F719" s="3" t="str">
        <f ca="1">IF(G719=1,"-",Tabela2[[#This Row],[Dt Venc:]]-TODAY())</f>
        <v>-</v>
      </c>
      <c r="G719" s="3">
        <v>1</v>
      </c>
      <c r="H719" s="3"/>
    </row>
    <row r="720" spans="1:8" ht="18" hidden="1">
      <c r="A720" s="3">
        <v>26945</v>
      </c>
      <c r="B720" s="7" t="s">
        <v>70</v>
      </c>
      <c r="C720" s="41">
        <v>1935.61</v>
      </c>
      <c r="D720" s="6">
        <v>45582</v>
      </c>
      <c r="E720" s="3" t="str">
        <f ca="1">IF(Tabela2[[#This Row],[Dt Venc:]]&gt;TODAY(),"Em Aberto",IF(Tabela2[[#This Row],[D/venc]]="-","Enviado",IF(Tabela2[[#This Row],[Dt Venc:]]=TODAY(),"Vence Hoje","Vencida")))</f>
        <v>Enviado</v>
      </c>
      <c r="F720" s="3" t="str">
        <f ca="1">IF(G720=1,"-",Tabela2[[#This Row],[Dt Venc:]]-TODAY())</f>
        <v>-</v>
      </c>
      <c r="G720" s="3">
        <v>1</v>
      </c>
      <c r="H720" s="3"/>
    </row>
    <row r="721" spans="1:8" ht="18" hidden="1">
      <c r="A721" s="3">
        <v>172383</v>
      </c>
      <c r="B721" s="7" t="s">
        <v>174</v>
      </c>
      <c r="C721" s="41">
        <v>453.34</v>
      </c>
      <c r="D721" s="6">
        <v>45582</v>
      </c>
      <c r="E721" s="3" t="str">
        <f ca="1">IF(Tabela2[[#This Row],[Dt Venc:]]&gt;TODAY(),"Em Aberto",IF(Tabela2[[#This Row],[D/venc]]="-","Enviado",IF(Tabela2[[#This Row],[Dt Venc:]]=TODAY(),"Vence Hoje","Vencida")))</f>
        <v>Enviado</v>
      </c>
      <c r="F721" s="3" t="str">
        <f ca="1">IF(G721=1,"-",Tabela2[[#This Row],[Dt Venc:]]-TODAY())</f>
        <v>-</v>
      </c>
      <c r="G721" s="3">
        <v>1</v>
      </c>
      <c r="H721" s="3"/>
    </row>
    <row r="722" spans="1:8" ht="18" hidden="1">
      <c r="A722" s="3">
        <v>63</v>
      </c>
      <c r="B722" s="7" t="s">
        <v>286</v>
      </c>
      <c r="C722" s="41">
        <v>400</v>
      </c>
      <c r="D722" s="6">
        <v>45582</v>
      </c>
      <c r="E722" s="3" t="str">
        <f ca="1">IF(Tabela2[[#This Row],[Dt Venc:]]&gt;TODAY(),"Em Aberto",IF(Tabela2[[#This Row],[D/venc]]="-","Enviado",IF(Tabela2[[#This Row],[Dt Venc:]]=TODAY(),"Vence Hoje","Vencida")))</f>
        <v>Enviado</v>
      </c>
      <c r="F722" s="3" t="str">
        <f ca="1">IF(G722=1,"-",Tabela2[[#This Row],[Dt Venc:]]-TODAY())</f>
        <v>-</v>
      </c>
      <c r="G722" s="3">
        <v>1</v>
      </c>
      <c r="H722" s="3"/>
    </row>
    <row r="723" spans="1:8" ht="18" hidden="1">
      <c r="A723" s="3">
        <v>43730</v>
      </c>
      <c r="B723" s="7" t="s">
        <v>144</v>
      </c>
      <c r="C723" s="41">
        <v>533.34</v>
      </c>
      <c r="D723" s="6">
        <v>45582</v>
      </c>
      <c r="E723" s="3" t="str">
        <f ca="1">IF(Tabela2[[#This Row],[Dt Venc:]]&gt;TODAY(),"Em Aberto",IF(Tabela2[[#This Row],[D/venc]]="-","Enviado",IF(Tabela2[[#This Row],[Dt Venc:]]=TODAY(),"Vence Hoje","Vencida")))</f>
        <v>Enviado</v>
      </c>
      <c r="F723" s="3" t="str">
        <f ca="1">IF(G723=1,"-",Tabela2[[#This Row],[Dt Venc:]]-TODAY())</f>
        <v>-</v>
      </c>
      <c r="G723" s="3">
        <v>1</v>
      </c>
      <c r="H723" s="3"/>
    </row>
    <row r="724" spans="1:8" ht="18" hidden="1">
      <c r="A724" s="3">
        <v>608413</v>
      </c>
      <c r="B724" s="7" t="s">
        <v>287</v>
      </c>
      <c r="C724" s="41">
        <v>1910.76</v>
      </c>
      <c r="D724" s="6">
        <v>45582</v>
      </c>
      <c r="E724" s="3" t="str">
        <f ca="1">IF(Tabela2[[#This Row],[Dt Venc:]]&gt;TODAY(),"Em Aberto",IF(Tabela2[[#This Row],[D/venc]]="-","Enviado",IF(Tabela2[[#This Row],[Dt Venc:]]=TODAY(),"Vence Hoje","Vencida")))</f>
        <v>Enviado</v>
      </c>
      <c r="F724" s="3" t="str">
        <f ca="1">IF(G724=1,"-",Tabela2[[#This Row],[Dt Venc:]]-TODAY())</f>
        <v>-</v>
      </c>
      <c r="G724" s="3">
        <v>1</v>
      </c>
      <c r="H724" s="3"/>
    </row>
    <row r="725" spans="1:8" ht="18" hidden="1">
      <c r="A725" s="3">
        <v>608438</v>
      </c>
      <c r="B725" s="7" t="s">
        <v>287</v>
      </c>
      <c r="C725" s="41">
        <v>473.28</v>
      </c>
      <c r="D725" s="6">
        <v>45582</v>
      </c>
      <c r="E725" s="3" t="str">
        <f ca="1">IF(Tabela2[[#This Row],[Dt Venc:]]&gt;TODAY(),"Em Aberto",IF(Tabela2[[#This Row],[D/venc]]="-","Enviado",IF(Tabela2[[#This Row],[Dt Venc:]]=TODAY(),"Vence Hoje","Vencida")))</f>
        <v>Enviado</v>
      </c>
      <c r="F725" s="3" t="str">
        <f ca="1">IF(G725=1,"-",Tabela2[[#This Row],[Dt Venc:]]-TODAY())</f>
        <v>-</v>
      </c>
      <c r="G725" s="3">
        <v>1</v>
      </c>
      <c r="H725" s="3"/>
    </row>
    <row r="726" spans="1:8" ht="18" hidden="1">
      <c r="A726" s="3">
        <v>2739</v>
      </c>
      <c r="B726" s="7" t="s">
        <v>58</v>
      </c>
      <c r="C726" s="41">
        <v>1965.34</v>
      </c>
      <c r="D726" s="6">
        <v>45582</v>
      </c>
      <c r="E726" s="3" t="str">
        <f ca="1">IF(Tabela2[[#This Row],[Dt Venc:]]&gt;TODAY(),"Em Aberto",IF(Tabela2[[#This Row],[D/venc]]="-","Enviado",IF(Tabela2[[#This Row],[Dt Venc:]]=TODAY(),"Vence Hoje","Vencida")))</f>
        <v>Enviado</v>
      </c>
      <c r="F726" s="3" t="str">
        <f ca="1">IF(G726=1,"-",Tabela2[[#This Row],[Dt Venc:]]-TODAY())</f>
        <v>-</v>
      </c>
      <c r="G726" s="3">
        <v>1</v>
      </c>
      <c r="H726" s="3"/>
    </row>
    <row r="727" spans="1:8" ht="18" hidden="1">
      <c r="A727" s="3">
        <v>181044</v>
      </c>
      <c r="B727" s="7" t="s">
        <v>42</v>
      </c>
      <c r="C727" s="41">
        <v>1781.25</v>
      </c>
      <c r="D727" s="6">
        <v>45582</v>
      </c>
      <c r="E727" s="3" t="str">
        <f ca="1">IF(Tabela2[[#This Row],[Dt Venc:]]&gt;TODAY(),"Em Aberto",IF(Tabela2[[#This Row],[D/venc]]="-","Enviado",IF(Tabela2[[#This Row],[Dt Venc:]]=TODAY(),"Vence Hoje","Vencida")))</f>
        <v>Enviado</v>
      </c>
      <c r="F727" s="3" t="str">
        <f ca="1">IF(G727=1,"-",Tabela2[[#This Row],[Dt Venc:]]-TODAY())</f>
        <v>-</v>
      </c>
      <c r="G727" s="3">
        <v>1</v>
      </c>
      <c r="H727" s="3"/>
    </row>
    <row r="728" spans="1:8" ht="18" hidden="1">
      <c r="A728" s="3">
        <v>35512</v>
      </c>
      <c r="B728" s="7" t="s">
        <v>288</v>
      </c>
      <c r="C728" s="41">
        <v>500.25</v>
      </c>
      <c r="D728" s="6">
        <v>45582</v>
      </c>
      <c r="E728" s="3" t="str">
        <f ca="1">IF(Tabela2[[#This Row],[Dt Venc:]]&gt;TODAY(),"Em Aberto",IF(Tabela2[[#This Row],[D/venc]]="-","Enviado",IF(Tabela2[[#This Row],[Dt Venc:]]=TODAY(),"Vence Hoje","Vencida")))</f>
        <v>Enviado</v>
      </c>
      <c r="F728" s="3" t="str">
        <f ca="1">IF(G728=1,"-",Tabela2[[#This Row],[Dt Venc:]]-TODAY())</f>
        <v>-</v>
      </c>
      <c r="G728" s="3">
        <v>1</v>
      </c>
      <c r="H728" s="3"/>
    </row>
    <row r="729" spans="1:8" ht="18" hidden="1">
      <c r="A729" s="3">
        <v>15431</v>
      </c>
      <c r="B729" s="7" t="s">
        <v>289</v>
      </c>
      <c r="C729" s="41">
        <v>900</v>
      </c>
      <c r="D729" s="6">
        <v>45582</v>
      </c>
      <c r="E729" s="3" t="str">
        <f ca="1">IF(Tabela2[[#This Row],[Dt Venc:]]&gt;TODAY(),"Em Aberto",IF(Tabela2[[#This Row],[D/venc]]="-","Enviado",IF(Tabela2[[#This Row],[Dt Venc:]]=TODAY(),"Vence Hoje","Vencida")))</f>
        <v>Enviado</v>
      </c>
      <c r="F729" s="3" t="str">
        <f ca="1">IF(G729=1,"-",Tabela2[[#This Row],[Dt Venc:]]-TODAY())</f>
        <v>-</v>
      </c>
      <c r="G729" s="3">
        <v>1</v>
      </c>
      <c r="H729" s="3"/>
    </row>
    <row r="730" spans="1:8" ht="18" hidden="1">
      <c r="A730" s="3">
        <v>1100</v>
      </c>
      <c r="B730" s="7" t="s">
        <v>290</v>
      </c>
      <c r="C730" s="41">
        <v>405</v>
      </c>
      <c r="D730" s="6">
        <v>45582</v>
      </c>
      <c r="E730" s="3" t="str">
        <f ca="1">IF(Tabela2[[#This Row],[Dt Venc:]]&gt;TODAY(),"Em Aberto",IF(Tabela2[[#This Row],[D/venc]]="-","Enviado",IF(Tabela2[[#This Row],[Dt Venc:]]=TODAY(),"Vence Hoje","Vencida")))</f>
        <v>Enviado</v>
      </c>
      <c r="F730" s="3" t="str">
        <f ca="1">IF(G730=1,"-",Tabela2[[#This Row],[Dt Venc:]]-TODAY())</f>
        <v>-</v>
      </c>
      <c r="G730" s="3">
        <v>1</v>
      </c>
      <c r="H730" s="3"/>
    </row>
    <row r="731" spans="1:8" ht="18" hidden="1">
      <c r="A731" s="3">
        <v>8708</v>
      </c>
      <c r="B731" s="7" t="s">
        <v>105</v>
      </c>
      <c r="C731" s="41">
        <v>2252.5</v>
      </c>
      <c r="D731" s="6">
        <v>45582</v>
      </c>
      <c r="E731" s="3" t="str">
        <f ca="1">IF(Tabela2[[#This Row],[Dt Venc:]]&gt;TODAY(),"Em Aberto",IF(Tabela2[[#This Row],[D/venc]]="-","Enviado",IF(Tabela2[[#This Row],[Dt Venc:]]=TODAY(),"Vence Hoje","Vencida")))</f>
        <v>Enviado</v>
      </c>
      <c r="F731" s="3" t="str">
        <f ca="1">IF(G731=1,"-",Tabela2[[#This Row],[Dt Venc:]]-TODAY())</f>
        <v>-</v>
      </c>
      <c r="G731" s="3">
        <v>1</v>
      </c>
      <c r="H731" s="3"/>
    </row>
    <row r="732" spans="1:8" ht="18" hidden="1">
      <c r="A732" s="3">
        <v>354684</v>
      </c>
      <c r="B732" s="7" t="s">
        <v>59</v>
      </c>
      <c r="C732" s="41">
        <v>55433</v>
      </c>
      <c r="D732" s="6">
        <v>45582</v>
      </c>
      <c r="E732" s="3" t="str">
        <f ca="1">IF(Tabela2[[#This Row],[Dt Venc:]]&gt;TODAY(),"Em Aberto",IF(Tabela2[[#This Row],[D/venc]]="-","Enviado",IF(Tabela2[[#This Row],[Dt Venc:]]=TODAY(),"Vence Hoje","Vencida")))</f>
        <v>Enviado</v>
      </c>
      <c r="F732" s="3" t="str">
        <f ca="1">IF(G732=1,"-",Tabela2[[#This Row],[Dt Venc:]]-TODAY())</f>
        <v>-</v>
      </c>
      <c r="G732" s="3">
        <v>1</v>
      </c>
      <c r="H732" s="3"/>
    </row>
    <row r="733" spans="1:8" ht="18" hidden="1">
      <c r="A733" s="3">
        <v>6475</v>
      </c>
      <c r="B733" s="7" t="s">
        <v>291</v>
      </c>
      <c r="C733" s="41">
        <v>4959</v>
      </c>
      <c r="D733" s="6">
        <v>45582</v>
      </c>
      <c r="E733" s="3" t="str">
        <f ca="1">IF(Tabela2[[#This Row],[Dt Venc:]]&gt;TODAY(),"Em Aberto",IF(Tabela2[[#This Row],[D/venc]]="-","Enviado",IF(Tabela2[[#This Row],[Dt Venc:]]=TODAY(),"Vence Hoje","Vencida")))</f>
        <v>Enviado</v>
      </c>
      <c r="F733" s="3" t="str">
        <f ca="1">IF(G733=1,"-",Tabela2[[#This Row],[Dt Venc:]]-TODAY())</f>
        <v>-</v>
      </c>
      <c r="G733" s="3">
        <v>1</v>
      </c>
      <c r="H733" s="3"/>
    </row>
    <row r="734" spans="1:8" ht="18" hidden="1">
      <c r="A734" s="3">
        <v>140794</v>
      </c>
      <c r="B734" s="7" t="s">
        <v>60</v>
      </c>
      <c r="C734" s="41">
        <v>390</v>
      </c>
      <c r="D734" s="6">
        <v>45582</v>
      </c>
      <c r="E734" s="3" t="str">
        <f ca="1">IF(Tabela2[[#This Row],[Dt Venc:]]&gt;TODAY(),"Em Aberto",IF(Tabela2[[#This Row],[D/venc]]="-","Enviado",IF(Tabela2[[#This Row],[Dt Venc:]]=TODAY(),"Vence Hoje","Vencida")))</f>
        <v>Enviado</v>
      </c>
      <c r="F734" s="3" t="str">
        <f ca="1">IF(G734=1,"-",Tabela2[[#This Row],[Dt Venc:]]-TODAY())</f>
        <v>-</v>
      </c>
      <c r="G734" s="3">
        <v>1</v>
      </c>
      <c r="H734" s="3"/>
    </row>
    <row r="735" spans="1:8" ht="18" hidden="1">
      <c r="A735" s="3">
        <v>140793</v>
      </c>
      <c r="B735" s="7" t="s">
        <v>60</v>
      </c>
      <c r="C735" s="41">
        <v>390</v>
      </c>
      <c r="D735" s="6">
        <v>45582</v>
      </c>
      <c r="E735" s="3" t="str">
        <f ca="1">IF(Tabela2[[#This Row],[Dt Venc:]]&gt;TODAY(),"Em Aberto",IF(Tabela2[[#This Row],[D/venc]]="-","Enviado",IF(Tabela2[[#This Row],[Dt Venc:]]=TODAY(),"Vence Hoje","Vencida")))</f>
        <v>Enviado</v>
      </c>
      <c r="F735" s="3" t="str">
        <f ca="1">IF(G735=1,"-",Tabela2[[#This Row],[Dt Venc:]]-TODAY())</f>
        <v>-</v>
      </c>
      <c r="G735" s="3">
        <v>1</v>
      </c>
      <c r="H735" s="3"/>
    </row>
    <row r="736" spans="1:8" ht="18" hidden="1">
      <c r="A736" s="3">
        <v>140792</v>
      </c>
      <c r="B736" s="7" t="s">
        <v>60</v>
      </c>
      <c r="C736" s="41">
        <v>390</v>
      </c>
      <c r="D736" s="6">
        <v>45582</v>
      </c>
      <c r="E736" s="3" t="str">
        <f ca="1">IF(Tabela2[[#This Row],[Dt Venc:]]&gt;TODAY(),"Em Aberto",IF(Tabela2[[#This Row],[D/venc]]="-","Enviado",IF(Tabela2[[#This Row],[Dt Venc:]]=TODAY(),"Vence Hoje","Vencida")))</f>
        <v>Enviado</v>
      </c>
      <c r="F736" s="3" t="str">
        <f ca="1">IF(G736=1,"-",Tabela2[[#This Row],[Dt Venc:]]-TODAY())</f>
        <v>-</v>
      </c>
      <c r="G736" s="3">
        <v>1</v>
      </c>
      <c r="H736" s="3"/>
    </row>
    <row r="737" spans="1:8" ht="18" hidden="1">
      <c r="A737" s="3">
        <v>3290989</v>
      </c>
      <c r="B737" s="7" t="s">
        <v>71</v>
      </c>
      <c r="C737" s="41">
        <v>80941.5</v>
      </c>
      <c r="D737" s="6">
        <v>45582</v>
      </c>
      <c r="E737" s="3" t="str">
        <f ca="1">IF(Tabela2[[#This Row],[Dt Venc:]]&gt;TODAY(),"Em Aberto",IF(Tabela2[[#This Row],[D/venc]]="-","Enviado",IF(Tabela2[[#This Row],[Dt Venc:]]=TODAY(),"Vence Hoje","Vencida")))</f>
        <v>Enviado</v>
      </c>
      <c r="F737" s="3" t="str">
        <f ca="1">IF(G737=1,"-",Tabela2[[#This Row],[Dt Venc:]]-TODAY())</f>
        <v>-</v>
      </c>
      <c r="G737" s="3">
        <v>1</v>
      </c>
      <c r="H737" s="3"/>
    </row>
    <row r="738" spans="1:8" ht="18" hidden="1">
      <c r="A738" s="3">
        <v>53866</v>
      </c>
      <c r="B738" s="7" t="s">
        <v>35</v>
      </c>
      <c r="C738" s="41">
        <v>113.8</v>
      </c>
      <c r="D738" s="6">
        <v>45582</v>
      </c>
      <c r="E738" s="3" t="str">
        <f ca="1">IF(Tabela2[[#This Row],[Dt Venc:]]&gt;TODAY(),"Em Aberto",IF(Tabela2[[#This Row],[D/venc]]="-","Enviado",IF(Tabela2[[#This Row],[Dt Venc:]]=TODAY(),"Vence Hoje","Vencida")))</f>
        <v>Enviado</v>
      </c>
      <c r="F738" s="3" t="str">
        <f ca="1">IF(G738=1,"-",Tabela2[[#This Row],[Dt Venc:]]-TODAY())</f>
        <v>-</v>
      </c>
      <c r="G738" s="3">
        <v>1</v>
      </c>
      <c r="H738" s="3"/>
    </row>
    <row r="739" spans="1:8" ht="18" hidden="1">
      <c r="A739" s="3">
        <v>2009</v>
      </c>
      <c r="B739" s="7" t="s">
        <v>96</v>
      </c>
      <c r="C739" s="41">
        <v>640</v>
      </c>
      <c r="D739" s="6">
        <v>45582</v>
      </c>
      <c r="E739" s="3" t="str">
        <f ca="1">IF(Tabela2[[#This Row],[Dt Venc:]]&gt;TODAY(),"Em Aberto",IF(Tabela2[[#This Row],[D/venc]]="-","Enviado",IF(Tabela2[[#This Row],[Dt Venc:]]=TODAY(),"Vence Hoje","Vencida")))</f>
        <v>Enviado</v>
      </c>
      <c r="F739" s="3" t="str">
        <f ca="1">IF(G739=1,"-",Tabela2[[#This Row],[Dt Venc:]]-TODAY())</f>
        <v>-</v>
      </c>
      <c r="G739" s="3">
        <v>1</v>
      </c>
      <c r="H739" s="3"/>
    </row>
    <row r="740" spans="1:8" ht="18" hidden="1">
      <c r="A740" s="3">
        <v>52892</v>
      </c>
      <c r="B740" s="7" t="s">
        <v>35</v>
      </c>
      <c r="C740" s="42">
        <v>1464.58</v>
      </c>
      <c r="D740" s="6">
        <v>45583</v>
      </c>
      <c r="E740" s="3" t="str">
        <f ca="1">IF(Tabela2[[#This Row],[Dt Venc:]]&gt;TODAY(),"Em Aberto",IF(Tabela2[[#This Row],[D/venc]]="-","Enviado",IF(Tabela2[[#This Row],[Dt Venc:]]=TODAY(),"Vence Hoje","Vencida")))</f>
        <v>Enviado</v>
      </c>
      <c r="F740" s="3" t="str">
        <f ca="1">IF(G740=1,"-",Tabela2[[#This Row],[Dt Venc:]]-TODAY())</f>
        <v>-</v>
      </c>
      <c r="G740" s="3">
        <v>1</v>
      </c>
      <c r="H740" s="3"/>
    </row>
    <row r="741" spans="1:8" ht="18" hidden="1">
      <c r="A741" s="3">
        <v>298830</v>
      </c>
      <c r="B741" s="7" t="s">
        <v>53</v>
      </c>
      <c r="C741" s="42">
        <v>829.53</v>
      </c>
      <c r="D741" s="6">
        <v>45583</v>
      </c>
      <c r="E741" s="3" t="str">
        <f ca="1">IF(Tabela2[[#This Row],[Dt Venc:]]&gt;TODAY(),"Em Aberto",IF(Tabela2[[#This Row],[D/venc]]="-","Enviado",IF(Tabela2[[#This Row],[Dt Venc:]]=TODAY(),"Vence Hoje","Vencida")))</f>
        <v>Enviado</v>
      </c>
      <c r="F741" s="3" t="str">
        <f ca="1">IF(G741=1,"-",Tabela2[[#This Row],[Dt Venc:]]-TODAY())</f>
        <v>-</v>
      </c>
      <c r="G741" s="3">
        <v>1</v>
      </c>
      <c r="H741" s="3"/>
    </row>
    <row r="742" spans="1:8" ht="18" hidden="1">
      <c r="A742" s="3">
        <v>387635</v>
      </c>
      <c r="B742" s="7" t="s">
        <v>136</v>
      </c>
      <c r="C742" s="42">
        <v>1870</v>
      </c>
      <c r="D742" s="6">
        <v>45583</v>
      </c>
      <c r="E742" s="3" t="str">
        <f ca="1">IF(Tabela2[[#This Row],[Dt Venc:]]&gt;TODAY(),"Em Aberto",IF(Tabela2[[#This Row],[D/venc]]="-","Enviado",IF(Tabela2[[#This Row],[Dt Venc:]]=TODAY(),"Vence Hoje","Vencida")))</f>
        <v>Enviado</v>
      </c>
      <c r="F742" s="3" t="str">
        <f ca="1">IF(G742=1,"-",Tabela2[[#This Row],[Dt Venc:]]-TODAY())</f>
        <v>-</v>
      </c>
      <c r="G742" s="3">
        <v>1</v>
      </c>
      <c r="H742" s="3"/>
    </row>
    <row r="743" spans="1:8" ht="18" hidden="1">
      <c r="A743" s="3">
        <v>360995</v>
      </c>
      <c r="B743" s="7" t="s">
        <v>39</v>
      </c>
      <c r="C743" s="42">
        <v>451.41</v>
      </c>
      <c r="D743" s="6">
        <v>45583</v>
      </c>
      <c r="E743" s="3" t="str">
        <f ca="1">IF(Tabela2[[#This Row],[Dt Venc:]]&gt;TODAY(),"Em Aberto",IF(Tabela2[[#This Row],[D/venc]]="-","Enviado",IF(Tabela2[[#This Row],[Dt Venc:]]=TODAY(),"Vence Hoje","Vencida")))</f>
        <v>Enviado</v>
      </c>
      <c r="F743" s="3" t="str">
        <f ca="1">IF(G743=1,"-",Tabela2[[#This Row],[Dt Venc:]]-TODAY())</f>
        <v>-</v>
      </c>
      <c r="G743" s="3">
        <v>1</v>
      </c>
      <c r="H743" s="3"/>
    </row>
    <row r="744" spans="1:8" ht="18" hidden="1">
      <c r="A744" s="3">
        <v>365638</v>
      </c>
      <c r="B744" s="7" t="s">
        <v>39</v>
      </c>
      <c r="C744" s="42">
        <v>1094.98</v>
      </c>
      <c r="D744" s="6">
        <v>45583</v>
      </c>
      <c r="E744" s="3" t="str">
        <f ca="1">IF(Tabela2[[#This Row],[Dt Venc:]]&gt;TODAY(),"Em Aberto",IF(Tabela2[[#This Row],[D/venc]]="-","Enviado",IF(Tabela2[[#This Row],[Dt Venc:]]=TODAY(),"Vence Hoje","Vencida")))</f>
        <v>Enviado</v>
      </c>
      <c r="F744" s="3" t="str">
        <f ca="1">IF(G744=1,"-",Tabela2[[#This Row],[Dt Venc:]]-TODAY())</f>
        <v>-</v>
      </c>
      <c r="G744" s="3">
        <v>1</v>
      </c>
      <c r="H744" s="3"/>
    </row>
    <row r="745" spans="1:8" ht="18" hidden="1">
      <c r="A745" s="3">
        <v>211108</v>
      </c>
      <c r="B745" s="7" t="s">
        <v>127</v>
      </c>
      <c r="C745" s="42">
        <v>951.93</v>
      </c>
      <c r="D745" s="6">
        <v>45583</v>
      </c>
      <c r="E745" s="3" t="str">
        <f ca="1">IF(Tabela2[[#This Row],[Dt Venc:]]&gt;TODAY(),"Em Aberto",IF(Tabela2[[#This Row],[D/venc]]="-","Enviado",IF(Tabela2[[#This Row],[Dt Venc:]]=TODAY(),"Vence Hoje","Vencida")))</f>
        <v>Enviado</v>
      </c>
      <c r="F745" s="3" t="str">
        <f ca="1">IF(G745=1,"-",Tabela2[[#This Row],[Dt Venc:]]-TODAY())</f>
        <v>-</v>
      </c>
      <c r="G745" s="3">
        <v>1</v>
      </c>
      <c r="H745" s="3"/>
    </row>
    <row r="746" spans="1:8" ht="18" hidden="1">
      <c r="A746" s="3">
        <v>1443</v>
      </c>
      <c r="B746" s="7" t="s">
        <v>78</v>
      </c>
      <c r="C746" s="42">
        <v>667</v>
      </c>
      <c r="D746" s="6">
        <v>45583</v>
      </c>
      <c r="E746" s="3" t="str">
        <f ca="1">IF(Tabela2[[#This Row],[Dt Venc:]]&gt;TODAY(),"Em Aberto",IF(Tabela2[[#This Row],[D/venc]]="-","Enviado",IF(Tabela2[[#This Row],[Dt Venc:]]=TODAY(),"Vence Hoje","Vencida")))</f>
        <v>Enviado</v>
      </c>
      <c r="F746" s="3" t="str">
        <f ca="1">IF(G746=1,"-",Tabela2[[#This Row],[Dt Venc:]]-TODAY())</f>
        <v>-</v>
      </c>
      <c r="G746" s="3">
        <v>1</v>
      </c>
      <c r="H746" s="3"/>
    </row>
    <row r="747" spans="1:8" ht="18" hidden="1">
      <c r="A747" s="3">
        <v>189026</v>
      </c>
      <c r="B747" s="7" t="s">
        <v>43</v>
      </c>
      <c r="C747" s="42">
        <v>1269.5</v>
      </c>
      <c r="D747" s="6">
        <v>45583</v>
      </c>
      <c r="E747" s="3" t="str">
        <f ca="1">IF(Tabela2[[#This Row],[Dt Venc:]]&gt;TODAY(),"Em Aberto",IF(Tabela2[[#This Row],[D/venc]]="-","Enviado",IF(Tabela2[[#This Row],[Dt Venc:]]=TODAY(),"Vence Hoje","Vencida")))</f>
        <v>Enviado</v>
      </c>
      <c r="F747" s="3" t="str">
        <f ca="1">IF(G747=1,"-",Tabela2[[#This Row],[Dt Venc:]]-TODAY())</f>
        <v>-</v>
      </c>
      <c r="G747" s="3">
        <v>1</v>
      </c>
      <c r="H747" s="3"/>
    </row>
    <row r="748" spans="1:8" ht="18" hidden="1">
      <c r="A748" s="3">
        <v>201185</v>
      </c>
      <c r="B748" s="7" t="s">
        <v>43</v>
      </c>
      <c r="C748" s="42">
        <v>651.73</v>
      </c>
      <c r="D748" s="6">
        <v>45583</v>
      </c>
      <c r="E748" s="3" t="str">
        <f ca="1">IF(Tabela2[[#This Row],[Dt Venc:]]&gt;TODAY(),"Em Aberto",IF(Tabela2[[#This Row],[D/venc]]="-","Enviado",IF(Tabela2[[#This Row],[Dt Venc:]]=TODAY(),"Vence Hoje","Vencida")))</f>
        <v>Enviado</v>
      </c>
      <c r="F748" s="3" t="str">
        <f ca="1">IF(G748=1,"-",Tabela2[[#This Row],[Dt Venc:]]-TODAY())</f>
        <v>-</v>
      </c>
      <c r="G748" s="3">
        <v>1</v>
      </c>
      <c r="H748" s="3"/>
    </row>
    <row r="749" spans="1:8" ht="18" hidden="1">
      <c r="A749" s="3">
        <v>201219</v>
      </c>
      <c r="B749" s="7" t="s">
        <v>43</v>
      </c>
      <c r="C749" s="42">
        <v>913.91</v>
      </c>
      <c r="D749" s="6">
        <v>45583</v>
      </c>
      <c r="E749" s="3" t="str">
        <f ca="1">IF(Tabela2[[#This Row],[Dt Venc:]]&gt;TODAY(),"Em Aberto",IF(Tabela2[[#This Row],[D/venc]]="-","Enviado",IF(Tabela2[[#This Row],[Dt Venc:]]=TODAY(),"Vence Hoje","Vencida")))</f>
        <v>Enviado</v>
      </c>
      <c r="F749" s="3" t="str">
        <f ca="1">IF(G749=1,"-",Tabela2[[#This Row],[Dt Venc:]]-TODAY())</f>
        <v>-</v>
      </c>
      <c r="G749" s="3">
        <v>1</v>
      </c>
      <c r="H749" s="3"/>
    </row>
    <row r="750" spans="1:8" ht="18" hidden="1">
      <c r="A750" s="3">
        <v>20869</v>
      </c>
      <c r="B750" s="7" t="s">
        <v>70</v>
      </c>
      <c r="C750" s="42">
        <v>395.12</v>
      </c>
      <c r="D750" s="6">
        <v>45583</v>
      </c>
      <c r="E750" s="3" t="str">
        <f ca="1">IF(Tabela2[[#This Row],[Dt Venc:]]&gt;TODAY(),"Em Aberto",IF(Tabela2[[#This Row],[D/venc]]="-","Enviado",IF(Tabela2[[#This Row],[Dt Venc:]]=TODAY(),"Vence Hoje","Vencida")))</f>
        <v>Enviado</v>
      </c>
      <c r="F750" s="3" t="str">
        <f ca="1">IF(G750=1,"-",Tabela2[[#This Row],[Dt Venc:]]-TODAY())</f>
        <v>-</v>
      </c>
      <c r="G750" s="3">
        <v>1</v>
      </c>
      <c r="H750" s="3"/>
    </row>
    <row r="751" spans="1:8" ht="18" hidden="1">
      <c r="A751" s="3">
        <v>5750</v>
      </c>
      <c r="B751" s="7" t="s">
        <v>47</v>
      </c>
      <c r="C751" s="42">
        <v>656.5</v>
      </c>
      <c r="D751" s="6">
        <v>45583</v>
      </c>
      <c r="E751" s="3" t="str">
        <f ca="1">IF(Tabela2[[#This Row],[Dt Venc:]]&gt;TODAY(),"Em Aberto",IF(Tabela2[[#This Row],[D/venc]]="-","Enviado",IF(Tabela2[[#This Row],[Dt Venc:]]=TODAY(),"Vence Hoje","Vencida")))</f>
        <v>Enviado</v>
      </c>
      <c r="F751" s="3" t="str">
        <f ca="1">IF(G751=1,"-",Tabela2[[#This Row],[Dt Venc:]]-TODAY())</f>
        <v>-</v>
      </c>
      <c r="G751" s="3">
        <v>1</v>
      </c>
      <c r="H751" s="3"/>
    </row>
    <row r="752" spans="1:8" ht="18" hidden="1">
      <c r="A752" s="3">
        <v>17982</v>
      </c>
      <c r="B752" s="7" t="s">
        <v>292</v>
      </c>
      <c r="C752" s="42">
        <v>1526</v>
      </c>
      <c r="D752" s="6">
        <v>45583</v>
      </c>
      <c r="E752" s="3" t="str">
        <f ca="1">IF(Tabela2[[#This Row],[Dt Venc:]]&gt;TODAY(),"Em Aberto",IF(Tabela2[[#This Row],[D/venc]]="-","Enviado",IF(Tabela2[[#This Row],[Dt Venc:]]=TODAY(),"Vence Hoje","Vencida")))</f>
        <v>Enviado</v>
      </c>
      <c r="F752" s="3" t="str">
        <f ca="1">IF(G752=1,"-",Tabela2[[#This Row],[Dt Venc:]]-TODAY())</f>
        <v>-</v>
      </c>
      <c r="G752" s="3">
        <v>1</v>
      </c>
      <c r="H752" s="3"/>
    </row>
    <row r="753" spans="1:8" ht="18" hidden="1">
      <c r="A753" s="3">
        <v>214629</v>
      </c>
      <c r="B753" s="7" t="s">
        <v>43</v>
      </c>
      <c r="C753" s="41">
        <v>1113.6500000000001</v>
      </c>
      <c r="D753" s="6">
        <v>45583</v>
      </c>
      <c r="E753" s="3" t="str">
        <f ca="1">IF(Tabela2[[#This Row],[Dt Venc:]]&gt;TODAY(),"Em Aberto",IF(Tabela2[[#This Row],[D/venc]]="-","Enviado",IF(Tabela2[[#This Row],[Dt Venc:]]=TODAY(),"Vence Hoje","Vencida")))</f>
        <v>Enviado</v>
      </c>
      <c r="F753" s="3" t="str">
        <f ca="1">IF(G753=1,"-",Tabela2[[#This Row],[Dt Venc:]]-TODAY())</f>
        <v>-</v>
      </c>
      <c r="G753" s="3">
        <v>1</v>
      </c>
      <c r="H753" s="3"/>
    </row>
    <row r="754" spans="1:8" ht="18" hidden="1">
      <c r="A754" s="3">
        <v>3833</v>
      </c>
      <c r="B754" s="7" t="s">
        <v>293</v>
      </c>
      <c r="C754" s="41">
        <v>1760</v>
      </c>
      <c r="D754" s="6">
        <v>45583</v>
      </c>
      <c r="E754" s="3" t="str">
        <f ca="1">IF(Tabela2[[#This Row],[Dt Venc:]]&gt;TODAY(),"Em Aberto",IF(Tabela2[[#This Row],[D/venc]]="-","Enviado",IF(Tabela2[[#This Row],[Dt Venc:]]=TODAY(),"Vence Hoje","Vencida")))</f>
        <v>Enviado</v>
      </c>
      <c r="F754" s="3" t="str">
        <f ca="1">IF(G754=1,"-",Tabela2[[#This Row],[Dt Venc:]]-TODAY())</f>
        <v>-</v>
      </c>
      <c r="G754" s="3">
        <v>1</v>
      </c>
      <c r="H754" s="3"/>
    </row>
    <row r="755" spans="1:8" ht="18" hidden="1">
      <c r="A755" s="3">
        <v>254796</v>
      </c>
      <c r="B755" s="7" t="s">
        <v>49</v>
      </c>
      <c r="C755" s="41">
        <v>1045</v>
      </c>
      <c r="D755" s="6">
        <v>45583</v>
      </c>
      <c r="E755" s="3" t="str">
        <f ca="1">IF(Tabela2[[#This Row],[Dt Venc:]]&gt;TODAY(),"Em Aberto",IF(Tabela2[[#This Row],[D/venc]]="-","Enviado",IF(Tabela2[[#This Row],[Dt Venc:]]=TODAY(),"Vence Hoje","Vencida")))</f>
        <v>Enviado</v>
      </c>
      <c r="F755" s="3" t="str">
        <f ca="1">IF(G755=1,"-",Tabela2[[#This Row],[Dt Venc:]]-TODAY())</f>
        <v>-</v>
      </c>
      <c r="G755" s="3">
        <v>1</v>
      </c>
      <c r="H755" s="3"/>
    </row>
    <row r="756" spans="1:8" ht="18" hidden="1">
      <c r="A756" s="3">
        <v>17775</v>
      </c>
      <c r="B756" s="7" t="s">
        <v>106</v>
      </c>
      <c r="C756" s="41">
        <v>1033.33</v>
      </c>
      <c r="D756" s="6">
        <v>45583</v>
      </c>
      <c r="E756" s="3" t="str">
        <f ca="1">IF(Tabela2[[#This Row],[Dt Venc:]]&gt;TODAY(),"Em Aberto",IF(Tabela2[[#This Row],[D/venc]]="-","Enviado",IF(Tabela2[[#This Row],[Dt Venc:]]=TODAY(),"Vence Hoje","Vencida")))</f>
        <v>Enviado</v>
      </c>
      <c r="F756" s="3" t="str">
        <f ca="1">IF(G756=1,"-",Tabela2[[#This Row],[Dt Venc:]]-TODAY())</f>
        <v>-</v>
      </c>
      <c r="G756" s="3">
        <v>1</v>
      </c>
      <c r="H756" s="3"/>
    </row>
    <row r="757" spans="1:8" ht="18" hidden="1">
      <c r="A757" s="3">
        <v>255085</v>
      </c>
      <c r="B757" s="7" t="s">
        <v>49</v>
      </c>
      <c r="C757" s="41">
        <v>1393.34</v>
      </c>
      <c r="D757" s="6">
        <v>45583</v>
      </c>
      <c r="E757" s="3" t="str">
        <f ca="1">IF(Tabela2[[#This Row],[Dt Venc:]]&gt;TODAY(),"Em Aberto",IF(Tabela2[[#This Row],[D/venc]]="-","Enviado",IF(Tabela2[[#This Row],[Dt Venc:]]=TODAY(),"Vence Hoje","Vencida")))</f>
        <v>Enviado</v>
      </c>
      <c r="F757" s="3" t="str">
        <f ca="1">IF(G757=1,"-",Tabela2[[#This Row],[Dt Venc:]]-TODAY())</f>
        <v>-</v>
      </c>
      <c r="G757" s="3">
        <v>1</v>
      </c>
      <c r="H757" s="3"/>
    </row>
    <row r="758" spans="1:8" ht="18" hidden="1">
      <c r="A758" s="3">
        <v>598</v>
      </c>
      <c r="B758" s="7" t="s">
        <v>294</v>
      </c>
      <c r="C758" s="41">
        <v>11000</v>
      </c>
      <c r="D758" s="6">
        <v>45583</v>
      </c>
      <c r="E758" s="3" t="str">
        <f ca="1">IF(Tabela2[[#This Row],[Dt Venc:]]&gt;TODAY(),"Em Aberto",IF(Tabela2[[#This Row],[D/venc]]="-","Enviado",IF(Tabela2[[#This Row],[Dt Venc:]]=TODAY(),"Vence Hoje","Vencida")))</f>
        <v>Enviado</v>
      </c>
      <c r="F758" s="3" t="str">
        <f ca="1">IF(G758=1,"-",Tabela2[[#This Row],[Dt Venc:]]-TODAY())</f>
        <v>-</v>
      </c>
      <c r="G758" s="3">
        <v>1</v>
      </c>
      <c r="H758" s="3"/>
    </row>
    <row r="759" spans="1:8" ht="18" hidden="1">
      <c r="A759" s="3">
        <v>56</v>
      </c>
      <c r="B759" s="7" t="s">
        <v>95</v>
      </c>
      <c r="C759" s="41">
        <v>3228</v>
      </c>
      <c r="D759" s="6">
        <v>45583</v>
      </c>
      <c r="E759" s="3" t="str">
        <f ca="1">IF(Tabela2[[#This Row],[Dt Venc:]]&gt;TODAY(),"Em Aberto",IF(Tabela2[[#This Row],[D/venc]]="-","Enviado",IF(Tabela2[[#This Row],[Dt Venc:]]=TODAY(),"Vence Hoje","Vencida")))</f>
        <v>Enviado</v>
      </c>
      <c r="F759" s="3" t="str">
        <f ca="1">IF(G759=1,"-",Tabela2[[#This Row],[Dt Venc:]]-TODAY())</f>
        <v>-</v>
      </c>
      <c r="G759" s="3">
        <v>1</v>
      </c>
      <c r="H759" s="3"/>
    </row>
    <row r="760" spans="1:8" ht="18" hidden="1">
      <c r="A760" s="3">
        <v>30495</v>
      </c>
      <c r="B760" s="7" t="s">
        <v>295</v>
      </c>
      <c r="C760" s="41">
        <v>923.9</v>
      </c>
      <c r="D760" s="6">
        <v>45583</v>
      </c>
      <c r="E760" s="3" t="str">
        <f ca="1">IF(Tabela2[[#This Row],[Dt Venc:]]&gt;TODAY(),"Em Aberto",IF(Tabela2[[#This Row],[D/venc]]="-","Enviado",IF(Tabela2[[#This Row],[Dt Venc:]]=TODAY(),"Vence Hoje","Vencida")))</f>
        <v>Enviado</v>
      </c>
      <c r="F760" s="3" t="str">
        <f ca="1">IF(G760=1,"-",Tabela2[[#This Row],[Dt Venc:]]-TODAY())</f>
        <v>-</v>
      </c>
      <c r="G760" s="3">
        <v>1</v>
      </c>
      <c r="H760" s="3"/>
    </row>
    <row r="761" spans="1:8" ht="18" hidden="1">
      <c r="A761" s="3">
        <v>2539</v>
      </c>
      <c r="B761" s="7" t="s">
        <v>198</v>
      </c>
      <c r="C761" s="41">
        <v>240</v>
      </c>
      <c r="D761" s="6">
        <v>45583</v>
      </c>
      <c r="E761" s="3" t="str">
        <f ca="1">IF(Tabela2[[#This Row],[Dt Venc:]]&gt;TODAY(),"Em Aberto",IF(Tabela2[[#This Row],[D/venc]]="-","Enviado",IF(Tabela2[[#This Row],[Dt Venc:]]=TODAY(),"Vence Hoje","Vencida")))</f>
        <v>Enviado</v>
      </c>
      <c r="F761" s="3" t="str">
        <f ca="1">IF(G761=1,"-",Tabela2[[#This Row],[Dt Venc:]]-TODAY())</f>
        <v>-</v>
      </c>
      <c r="G761" s="3">
        <v>1</v>
      </c>
      <c r="H761" s="3"/>
    </row>
    <row r="762" spans="1:8" ht="18" hidden="1">
      <c r="A762" s="3">
        <v>70891</v>
      </c>
      <c r="B762" s="7" t="s">
        <v>76</v>
      </c>
      <c r="C762" s="41">
        <v>579.95000000000005</v>
      </c>
      <c r="D762" s="6">
        <v>45583</v>
      </c>
      <c r="E762" s="3" t="str">
        <f ca="1">IF(Tabela2[[#This Row],[Dt Venc:]]&gt;TODAY(),"Em Aberto",IF(Tabela2[[#This Row],[D/venc]]="-","Enviado",IF(Tabela2[[#This Row],[Dt Venc:]]=TODAY(),"Vence Hoje","Vencida")))</f>
        <v>Enviado</v>
      </c>
      <c r="F762" s="3" t="str">
        <f ca="1">IF(G762=1,"-",Tabela2[[#This Row],[Dt Venc:]]-TODAY())</f>
        <v>-</v>
      </c>
      <c r="G762" s="3">
        <v>1</v>
      </c>
      <c r="H762" s="3"/>
    </row>
    <row r="763" spans="1:8" ht="18" hidden="1">
      <c r="A763" s="3">
        <v>255380</v>
      </c>
      <c r="B763" s="7" t="s">
        <v>37</v>
      </c>
      <c r="C763" s="41">
        <v>1045</v>
      </c>
      <c r="D763" s="6">
        <v>45583</v>
      </c>
      <c r="E763" s="3" t="str">
        <f ca="1">IF(Tabela2[[#This Row],[Dt Venc:]]&gt;TODAY(),"Em Aberto",IF(Tabela2[[#This Row],[D/venc]]="-","Enviado",IF(Tabela2[[#This Row],[Dt Venc:]]=TODAY(),"Vence Hoje","Vencida")))</f>
        <v>Enviado</v>
      </c>
      <c r="F763" s="3" t="str">
        <f ca="1">IF(G763=1,"-",Tabela2[[#This Row],[Dt Venc:]]-TODAY())</f>
        <v>-</v>
      </c>
      <c r="G763" s="3">
        <v>1</v>
      </c>
      <c r="H763" s="3"/>
    </row>
    <row r="764" spans="1:8" ht="18" hidden="1">
      <c r="A764" s="3">
        <v>56165</v>
      </c>
      <c r="B764" s="7" t="s">
        <v>296</v>
      </c>
      <c r="C764" s="41">
        <v>332.6</v>
      </c>
      <c r="D764" s="6">
        <v>45583</v>
      </c>
      <c r="E764" s="3" t="str">
        <f ca="1">IF(Tabela2[[#This Row],[Dt Venc:]]&gt;TODAY(),"Em Aberto",IF(Tabela2[[#This Row],[D/venc]]="-","Enviado",IF(Tabela2[[#This Row],[Dt Venc:]]=TODAY(),"Vence Hoje","Vencida")))</f>
        <v>Enviado</v>
      </c>
      <c r="F764" s="3" t="str">
        <f ca="1">IF(G764=1,"-",Tabela2[[#This Row],[Dt Venc:]]-TODAY())</f>
        <v>-</v>
      </c>
      <c r="G764" s="3">
        <v>1</v>
      </c>
      <c r="H764" s="3"/>
    </row>
    <row r="765" spans="1:8" ht="18" hidden="1">
      <c r="A765" s="3">
        <v>172640</v>
      </c>
      <c r="B765" s="7" t="s">
        <v>297</v>
      </c>
      <c r="C765" s="41">
        <v>300</v>
      </c>
      <c r="D765" s="6">
        <v>45583</v>
      </c>
      <c r="E765" s="3" t="str">
        <f ca="1">IF(Tabela2[[#This Row],[Dt Venc:]]&gt;TODAY(),"Em Aberto",IF(Tabela2[[#This Row],[D/venc]]="-","Enviado",IF(Tabela2[[#This Row],[Dt Venc:]]=TODAY(),"Vence Hoje","Vencida")))</f>
        <v>Enviado</v>
      </c>
      <c r="F765" s="3" t="str">
        <f ca="1">IF(G765=1,"-",Tabela2[[#This Row],[Dt Venc:]]-TODAY())</f>
        <v>-</v>
      </c>
      <c r="G765" s="3">
        <v>1</v>
      </c>
      <c r="H765" s="3"/>
    </row>
    <row r="766" spans="1:8" ht="18" hidden="1">
      <c r="A766" s="3">
        <v>70904</v>
      </c>
      <c r="B766" s="7" t="s">
        <v>298</v>
      </c>
      <c r="C766" s="41">
        <v>600.54999999999995</v>
      </c>
      <c r="D766" s="6">
        <v>45583</v>
      </c>
      <c r="E766" s="3" t="str">
        <f ca="1">IF(Tabela2[[#This Row],[Dt Venc:]]&gt;TODAY(),"Em Aberto",IF(Tabela2[[#This Row],[D/venc]]="-","Enviado",IF(Tabela2[[#This Row],[Dt Venc:]]=TODAY(),"Vence Hoje","Vencida")))</f>
        <v>Enviado</v>
      </c>
      <c r="F766" s="3" t="str">
        <f ca="1">IF(G766=1,"-",Tabela2[[#This Row],[Dt Venc:]]-TODAY())</f>
        <v>-</v>
      </c>
      <c r="G766" s="3">
        <v>1</v>
      </c>
      <c r="H766" s="3"/>
    </row>
    <row r="767" spans="1:8" ht="18" hidden="1">
      <c r="A767" s="3">
        <v>385764</v>
      </c>
      <c r="B767" s="7" t="s">
        <v>299</v>
      </c>
      <c r="C767" s="41">
        <v>425.05</v>
      </c>
      <c r="D767" s="6">
        <v>45583</v>
      </c>
      <c r="E767" s="3" t="str">
        <f ca="1">IF(Tabela2[[#This Row],[Dt Venc:]]&gt;TODAY(),"Em Aberto",IF(Tabela2[[#This Row],[D/venc]]="-","Enviado",IF(Tabela2[[#This Row],[Dt Venc:]]=TODAY(),"Vence Hoje","Vencida")))</f>
        <v>Enviado</v>
      </c>
      <c r="F767" s="3" t="str">
        <f ca="1">IF(G767=1,"-",Tabela2[[#This Row],[Dt Venc:]]-TODAY())</f>
        <v>-</v>
      </c>
      <c r="G767" s="3">
        <v>1</v>
      </c>
      <c r="H767" s="3"/>
    </row>
    <row r="768" spans="1:8" ht="18" hidden="1">
      <c r="A768" s="3">
        <v>228335</v>
      </c>
      <c r="B768" s="7" t="s">
        <v>300</v>
      </c>
      <c r="C768" s="41">
        <v>970.51</v>
      </c>
      <c r="D768" s="6">
        <v>45583</v>
      </c>
      <c r="E768" s="3" t="str">
        <f ca="1">IF(Tabela2[[#This Row],[Dt Venc:]]&gt;TODAY(),"Em Aberto",IF(Tabela2[[#This Row],[D/venc]]="-","Enviado",IF(Tabela2[[#This Row],[Dt Venc:]]=TODAY(),"Vence Hoje","Vencida")))</f>
        <v>Enviado</v>
      </c>
      <c r="F768" s="3" t="str">
        <f ca="1">IF(G768=1,"-",Tabela2[[#This Row],[Dt Venc:]]-TODAY())</f>
        <v>-</v>
      </c>
      <c r="G768" s="3">
        <v>1</v>
      </c>
      <c r="H768" s="3"/>
    </row>
    <row r="769" spans="1:8" ht="18" hidden="1">
      <c r="A769" s="3">
        <v>2801</v>
      </c>
      <c r="B769" s="7" t="s">
        <v>301</v>
      </c>
      <c r="C769" s="41">
        <v>406.67</v>
      </c>
      <c r="D769" s="6">
        <v>45583</v>
      </c>
      <c r="E769" s="3" t="str">
        <f ca="1">IF(Tabela2[[#This Row],[Dt Venc:]]&gt;TODAY(),"Em Aberto",IF(Tabela2[[#This Row],[D/venc]]="-","Enviado",IF(Tabela2[[#This Row],[Dt Venc:]]=TODAY(),"Vence Hoje","Vencida")))</f>
        <v>Enviado</v>
      </c>
      <c r="F769" s="3" t="str">
        <f ca="1">IF(G769=1,"-",Tabela2[[#This Row],[Dt Venc:]]-TODAY())</f>
        <v>-</v>
      </c>
      <c r="G769" s="3">
        <v>1</v>
      </c>
      <c r="H769" s="3"/>
    </row>
    <row r="770" spans="1:8" ht="18" hidden="1">
      <c r="A770" s="3">
        <v>368077</v>
      </c>
      <c r="B770" s="7" t="s">
        <v>302</v>
      </c>
      <c r="C770" s="41">
        <v>350.15</v>
      </c>
      <c r="D770" s="6">
        <v>45583</v>
      </c>
      <c r="E770" s="3" t="str">
        <f ca="1">IF(Tabela2[[#This Row],[Dt Venc:]]&gt;TODAY(),"Em Aberto",IF(Tabela2[[#This Row],[D/venc]]="-","Enviado",IF(Tabela2[[#This Row],[Dt Venc:]]=TODAY(),"Vence Hoje","Vencida")))</f>
        <v>Enviado</v>
      </c>
      <c r="F770" s="3" t="str">
        <f ca="1">IF(G770=1,"-",Tabela2[[#This Row],[Dt Venc:]]-TODAY())</f>
        <v>-</v>
      </c>
      <c r="G770" s="3">
        <v>1</v>
      </c>
      <c r="H770" s="3"/>
    </row>
    <row r="771" spans="1:8" ht="18" hidden="1">
      <c r="A771" s="3">
        <v>81213</v>
      </c>
      <c r="B771" s="7" t="s">
        <v>302</v>
      </c>
      <c r="C771" s="41">
        <v>150.32</v>
      </c>
      <c r="D771" s="6">
        <v>45583</v>
      </c>
      <c r="E771" s="3" t="str">
        <f ca="1">IF(Tabela2[[#This Row],[Dt Venc:]]&gt;TODAY(),"Em Aberto",IF(Tabela2[[#This Row],[D/venc]]="-","Enviado",IF(Tabela2[[#This Row],[Dt Venc:]]=TODAY(),"Vence Hoje","Vencida")))</f>
        <v>Enviado</v>
      </c>
      <c r="F771" s="3" t="str">
        <f ca="1">IF(G771=1,"-",Tabela2[[#This Row],[Dt Venc:]]-TODAY())</f>
        <v>-</v>
      </c>
      <c r="G771" s="3">
        <v>1</v>
      </c>
      <c r="H771" s="3"/>
    </row>
    <row r="772" spans="1:8" ht="18" hidden="1">
      <c r="A772" s="3">
        <v>81215</v>
      </c>
      <c r="B772" s="7" t="s">
        <v>302</v>
      </c>
      <c r="C772" s="41">
        <v>690</v>
      </c>
      <c r="D772" s="6">
        <v>45583</v>
      </c>
      <c r="E772" s="3" t="str">
        <f ca="1">IF(Tabela2[[#This Row],[Dt Venc:]]&gt;TODAY(),"Em Aberto",IF(Tabela2[[#This Row],[D/venc]]="-","Enviado",IF(Tabela2[[#This Row],[Dt Venc:]]=TODAY(),"Vence Hoje","Vencida")))</f>
        <v>Enviado</v>
      </c>
      <c r="F772" s="3" t="str">
        <f ca="1">IF(G772=1,"-",Tabela2[[#This Row],[Dt Venc:]]-TODAY())</f>
        <v>-</v>
      </c>
      <c r="G772" s="3">
        <v>1</v>
      </c>
      <c r="H772" s="3"/>
    </row>
    <row r="773" spans="1:8" ht="18" hidden="1">
      <c r="A773" s="3">
        <v>368073</v>
      </c>
      <c r="B773" s="7" t="s">
        <v>302</v>
      </c>
      <c r="C773" s="41">
        <v>350.15</v>
      </c>
      <c r="D773" s="6">
        <v>45583</v>
      </c>
      <c r="E773" s="3" t="str">
        <f ca="1">IF(Tabela2[[#This Row],[Dt Venc:]]&gt;TODAY(),"Em Aberto",IF(Tabela2[[#This Row],[D/venc]]="-","Enviado",IF(Tabela2[[#This Row],[Dt Venc:]]=TODAY(),"Vence Hoje","Vencida")))</f>
        <v>Enviado</v>
      </c>
      <c r="F773" s="3" t="str">
        <f ca="1">IF(G773=1,"-",Tabela2[[#This Row],[Dt Venc:]]-TODAY())</f>
        <v>-</v>
      </c>
      <c r="G773" s="3">
        <v>1</v>
      </c>
      <c r="H773" s="3"/>
    </row>
    <row r="774" spans="1:8" ht="18" hidden="1">
      <c r="A774" s="3">
        <v>30001</v>
      </c>
      <c r="B774" s="7" t="s">
        <v>107</v>
      </c>
      <c r="C774" s="41">
        <v>3360</v>
      </c>
      <c r="D774" s="6">
        <v>45583</v>
      </c>
      <c r="E774" s="3" t="str">
        <f ca="1">IF(Tabela2[[#This Row],[Dt Venc:]]&gt;TODAY(),"Em Aberto",IF(Tabela2[[#This Row],[D/venc]]="-","Enviado",IF(Tabela2[[#This Row],[Dt Venc:]]=TODAY(),"Vence Hoje","Vencida")))</f>
        <v>Enviado</v>
      </c>
      <c r="F774" s="3" t="str">
        <f ca="1">IF(G774=1,"-",Tabela2[[#This Row],[Dt Venc:]]-TODAY())</f>
        <v>-</v>
      </c>
      <c r="G774" s="3">
        <v>1</v>
      </c>
      <c r="H774" s="3"/>
    </row>
    <row r="775" spans="1:8" ht="18" hidden="1">
      <c r="A775" s="3">
        <v>17139</v>
      </c>
      <c r="B775" s="7" t="s">
        <v>203</v>
      </c>
      <c r="C775" s="41">
        <v>800</v>
      </c>
      <c r="D775" s="6">
        <v>45583</v>
      </c>
      <c r="E775" s="3" t="str">
        <f ca="1">IF(Tabela2[[#This Row],[Dt Venc:]]&gt;TODAY(),"Em Aberto",IF(Tabela2[[#This Row],[D/venc]]="-","Enviado",IF(Tabela2[[#This Row],[Dt Venc:]]=TODAY(),"Vence Hoje","Vencida")))</f>
        <v>Enviado</v>
      </c>
      <c r="F775" s="3" t="str">
        <f ca="1">IF(G775=1,"-",Tabela2[[#This Row],[Dt Venc:]]-TODAY())</f>
        <v>-</v>
      </c>
      <c r="G775" s="3">
        <v>1</v>
      </c>
      <c r="H775" s="3"/>
    </row>
    <row r="776" spans="1:8" ht="18" hidden="1">
      <c r="A776" s="3">
        <v>14118</v>
      </c>
      <c r="B776" s="7" t="s">
        <v>303</v>
      </c>
      <c r="C776" s="41">
        <v>793.34</v>
      </c>
      <c r="D776" s="6">
        <v>45583</v>
      </c>
      <c r="E776" s="3" t="str">
        <f ca="1">IF(Tabela2[[#This Row],[Dt Venc:]]&gt;TODAY(),"Em Aberto",IF(Tabela2[[#This Row],[D/venc]]="-","Enviado",IF(Tabela2[[#This Row],[Dt Venc:]]=TODAY(),"Vence Hoje","Vencida")))</f>
        <v>Enviado</v>
      </c>
      <c r="F776" s="3" t="str">
        <f ca="1">IF(G776=1,"-",Tabela2[[#This Row],[Dt Venc:]]-TODAY())</f>
        <v>-</v>
      </c>
      <c r="G776" s="3">
        <v>1</v>
      </c>
      <c r="H776" s="3"/>
    </row>
    <row r="777" spans="1:8" ht="18" hidden="1">
      <c r="A777" s="3">
        <v>1983559</v>
      </c>
      <c r="B777" s="7" t="s">
        <v>59</v>
      </c>
      <c r="C777" s="41">
        <v>134835</v>
      </c>
      <c r="D777" s="6">
        <v>45583</v>
      </c>
      <c r="E777" s="3" t="str">
        <f ca="1">IF(Tabela2[[#This Row],[Dt Venc:]]&gt;TODAY(),"Em Aberto",IF(Tabela2[[#This Row],[D/venc]]="-","Enviado",IF(Tabela2[[#This Row],[Dt Venc:]]=TODAY(),"Vence Hoje","Vencida")))</f>
        <v>Enviado</v>
      </c>
      <c r="F777" s="3" t="str">
        <f ca="1">IF(G777=1,"-",Tabela2[[#This Row],[Dt Venc:]]-TODAY())</f>
        <v>-</v>
      </c>
      <c r="G777" s="3">
        <v>1</v>
      </c>
      <c r="H777" s="3"/>
    </row>
    <row r="778" spans="1:8" ht="18" hidden="1">
      <c r="A778" s="3">
        <v>2251029</v>
      </c>
      <c r="B778" s="7" t="s">
        <v>59</v>
      </c>
      <c r="C778" s="41">
        <v>27123.5</v>
      </c>
      <c r="D778" s="6">
        <v>45583</v>
      </c>
      <c r="E778" s="3" t="str">
        <f ca="1">IF(Tabela2[[#This Row],[Dt Venc:]]&gt;TODAY(),"Em Aberto",IF(Tabela2[[#This Row],[D/venc]]="-","Enviado",IF(Tabela2[[#This Row],[Dt Venc:]]=TODAY(),"Vence Hoje","Vencida")))</f>
        <v>Enviado</v>
      </c>
      <c r="F778" s="3" t="str">
        <f ca="1">IF(G778=1,"-",Tabela2[[#This Row],[Dt Venc:]]-TODAY())</f>
        <v>-</v>
      </c>
      <c r="G778" s="3">
        <v>1</v>
      </c>
      <c r="H778" s="3"/>
    </row>
    <row r="779" spans="1:8" ht="18" hidden="1">
      <c r="A779" s="3">
        <v>140818</v>
      </c>
      <c r="B779" s="7" t="s">
        <v>60</v>
      </c>
      <c r="C779" s="41">
        <v>390</v>
      </c>
      <c r="D779" s="6">
        <v>45583</v>
      </c>
      <c r="E779" s="3" t="str">
        <f ca="1">IF(Tabela2[[#This Row],[Dt Venc:]]&gt;TODAY(),"Em Aberto",IF(Tabela2[[#This Row],[D/venc]]="-","Enviado",IF(Tabela2[[#This Row],[Dt Venc:]]=TODAY(),"Vence Hoje","Vencida")))</f>
        <v>Enviado</v>
      </c>
      <c r="F779" s="3" t="str">
        <f ca="1">IF(G779=1,"-",Tabela2[[#This Row],[Dt Venc:]]-TODAY())</f>
        <v>-</v>
      </c>
      <c r="G779" s="3">
        <v>1</v>
      </c>
      <c r="H779" s="3"/>
    </row>
    <row r="780" spans="1:8" ht="18" hidden="1">
      <c r="A780" s="3">
        <v>140816</v>
      </c>
      <c r="B780" s="7" t="s">
        <v>60</v>
      </c>
      <c r="C780" s="41">
        <v>390</v>
      </c>
      <c r="D780" s="6">
        <v>45583</v>
      </c>
      <c r="E780" s="3" t="str">
        <f ca="1">IF(Tabela2[[#This Row],[Dt Venc:]]&gt;TODAY(),"Em Aberto",IF(Tabela2[[#This Row],[D/venc]]="-","Enviado",IF(Tabela2[[#This Row],[Dt Venc:]]=TODAY(),"Vence Hoje","Vencida")))</f>
        <v>Enviado</v>
      </c>
      <c r="F780" s="3" t="str">
        <f ca="1">IF(G780=1,"-",Tabela2[[#This Row],[Dt Venc:]]-TODAY())</f>
        <v>-</v>
      </c>
      <c r="G780" s="3">
        <v>1</v>
      </c>
      <c r="H780" s="3"/>
    </row>
    <row r="781" spans="1:8" ht="18" hidden="1">
      <c r="A781" s="3">
        <v>140842</v>
      </c>
      <c r="B781" s="7" t="s">
        <v>60</v>
      </c>
      <c r="C781" s="41">
        <v>390</v>
      </c>
      <c r="D781" s="6">
        <v>45583</v>
      </c>
      <c r="E781" s="3" t="str">
        <f ca="1">IF(Tabela2[[#This Row],[Dt Venc:]]&gt;TODAY(),"Em Aberto",IF(Tabela2[[#This Row],[D/venc]]="-","Enviado",IF(Tabela2[[#This Row],[Dt Venc:]]=TODAY(),"Vence Hoje","Vencida")))</f>
        <v>Enviado</v>
      </c>
      <c r="F781" s="3" t="str">
        <f ca="1">IF(G781=1,"-",Tabela2[[#This Row],[Dt Venc:]]-TODAY())</f>
        <v>-</v>
      </c>
      <c r="G781" s="3">
        <v>1</v>
      </c>
      <c r="H781" s="3"/>
    </row>
    <row r="782" spans="1:8" ht="18" hidden="1">
      <c r="A782" s="3">
        <v>140819</v>
      </c>
      <c r="B782" s="7" t="s">
        <v>60</v>
      </c>
      <c r="C782" s="41">
        <v>390</v>
      </c>
      <c r="D782" s="6">
        <v>45583</v>
      </c>
      <c r="E782" s="3" t="str">
        <f ca="1">IF(Tabela2[[#This Row],[Dt Venc:]]&gt;TODAY(),"Em Aberto",IF(Tabela2[[#This Row],[D/venc]]="-","Enviado",IF(Tabela2[[#This Row],[Dt Venc:]]=TODAY(),"Vence Hoje","Vencida")))</f>
        <v>Enviado</v>
      </c>
      <c r="F782" s="3" t="str">
        <f ca="1">IF(G782=1,"-",Tabela2[[#This Row],[Dt Venc:]]-TODAY())</f>
        <v>-</v>
      </c>
      <c r="G782" s="3">
        <v>1</v>
      </c>
      <c r="H782" s="3"/>
    </row>
    <row r="783" spans="1:8" ht="18" hidden="1">
      <c r="A783" s="3">
        <v>10644</v>
      </c>
      <c r="B783" s="7" t="s">
        <v>33</v>
      </c>
      <c r="C783" s="42">
        <v>560</v>
      </c>
      <c r="D783" s="6">
        <v>45584</v>
      </c>
      <c r="E783" s="3" t="str">
        <f ca="1">IF(Tabela2[[#This Row],[Dt Venc:]]&gt;TODAY(),"Em Aberto",IF(Tabela2[[#This Row],[D/venc]]="-","Enviado",IF(Tabela2[[#This Row],[Dt Venc:]]=TODAY(),"Vence Hoje","Vencida")))</f>
        <v>Enviado</v>
      </c>
      <c r="F783" s="3" t="str">
        <f ca="1">IF(G783=1,"-",Tabela2[[#This Row],[Dt Venc:]]-TODAY())</f>
        <v>-</v>
      </c>
      <c r="G783" s="3">
        <v>1</v>
      </c>
      <c r="H783" s="3" t="str">
        <f>_xlfn.XLOOKUP(A783,'Notas Faltantes'!A:A,'Notas Faltantes'!E:E,"",0)</f>
        <v/>
      </c>
    </row>
    <row r="784" spans="1:8" ht="18" hidden="1">
      <c r="A784" s="3">
        <v>10648</v>
      </c>
      <c r="B784" s="7" t="s">
        <v>33</v>
      </c>
      <c r="C784" s="42">
        <v>1640</v>
      </c>
      <c r="D784" s="6">
        <v>45584</v>
      </c>
      <c r="E784" s="3" t="str">
        <f ca="1">IF(Tabela2[[#This Row],[Dt Venc:]]&gt;TODAY(),"Em Aberto",IF(Tabela2[[#This Row],[D/venc]]="-","Enviado",IF(Tabela2[[#This Row],[Dt Venc:]]=TODAY(),"Vence Hoje","Vencida")))</f>
        <v>Enviado</v>
      </c>
      <c r="F784" s="3" t="str">
        <f ca="1">IF(G784=1,"-",Tabela2[[#This Row],[Dt Venc:]]-TODAY())</f>
        <v>-</v>
      </c>
      <c r="G784" s="3">
        <v>1</v>
      </c>
      <c r="H784" s="3" t="str">
        <f>_xlfn.XLOOKUP(A784,'Notas Faltantes'!A:A,'Notas Faltantes'!E:E,"",0)</f>
        <v/>
      </c>
    </row>
    <row r="785" spans="1:8" ht="18" hidden="1">
      <c r="A785" s="3">
        <v>144842</v>
      </c>
      <c r="B785" s="7" t="s">
        <v>127</v>
      </c>
      <c r="C785" s="42">
        <v>717.5</v>
      </c>
      <c r="D785" s="6">
        <v>45584</v>
      </c>
      <c r="E785" s="3" t="str">
        <f ca="1">IF(Tabela2[[#This Row],[Dt Venc:]]&gt;TODAY(),"Em Aberto",IF(Tabela2[[#This Row],[D/venc]]="-","Enviado",IF(Tabela2[[#This Row],[Dt Venc:]]=TODAY(),"Vence Hoje","Vencida")))</f>
        <v>Enviado</v>
      </c>
      <c r="F785" s="3" t="str">
        <f ca="1">IF(G785=1,"-",Tabela2[[#This Row],[Dt Venc:]]-TODAY())</f>
        <v>-</v>
      </c>
      <c r="G785" s="3">
        <v>1</v>
      </c>
      <c r="H785" s="3" t="str">
        <f>_xlfn.XLOOKUP(A785,'Notas Faltantes'!A:A,'Notas Faltantes'!E:E,"",0)</f>
        <v/>
      </c>
    </row>
    <row r="786" spans="1:8" ht="18" hidden="1">
      <c r="A786" s="3">
        <v>751107</v>
      </c>
      <c r="B786" s="7" t="s">
        <v>127</v>
      </c>
      <c r="C786" s="42">
        <v>376.17</v>
      </c>
      <c r="D786" s="6">
        <v>45584</v>
      </c>
      <c r="E786" s="3" t="str">
        <f ca="1">IF(Tabela2[[#This Row],[Dt Venc:]]&gt;TODAY(),"Em Aberto",IF(Tabela2[[#This Row],[D/venc]]="-","Enviado",IF(Tabela2[[#This Row],[Dt Venc:]]=TODAY(),"Vence Hoje","Vencida")))</f>
        <v>Enviado</v>
      </c>
      <c r="F786" s="3" t="str">
        <f ca="1">IF(G786=1,"-",Tabela2[[#This Row],[Dt Venc:]]-TODAY())</f>
        <v>-</v>
      </c>
      <c r="G786" s="3">
        <v>1</v>
      </c>
      <c r="H786" s="3" t="str">
        <f>_xlfn.XLOOKUP(A786,'Notas Faltantes'!A:A,'Notas Faltantes'!E:E,"",0)</f>
        <v/>
      </c>
    </row>
    <row r="787" spans="1:8" ht="18" hidden="1">
      <c r="A787" s="3">
        <v>751116</v>
      </c>
      <c r="B787" s="7" t="s">
        <v>127</v>
      </c>
      <c r="C787" s="42">
        <v>752.34</v>
      </c>
      <c r="D787" s="6">
        <v>45584</v>
      </c>
      <c r="E787" s="3" t="str">
        <f ca="1">IF(Tabela2[[#This Row],[Dt Venc:]]&gt;TODAY(),"Em Aberto",IF(Tabela2[[#This Row],[D/venc]]="-","Enviado",IF(Tabela2[[#This Row],[Dt Venc:]]=TODAY(),"Vence Hoje","Vencida")))</f>
        <v>Enviado</v>
      </c>
      <c r="F787" s="3" t="str">
        <f ca="1">IF(G787=1,"-",Tabela2[[#This Row],[Dt Venc:]]-TODAY())</f>
        <v>-</v>
      </c>
      <c r="G787" s="3">
        <v>1</v>
      </c>
      <c r="H787" s="3" t="str">
        <f>_xlfn.XLOOKUP(A787,'Notas Faltantes'!A:A,'Notas Faltantes'!E:E,"",0)</f>
        <v/>
      </c>
    </row>
    <row r="788" spans="1:8" ht="18" hidden="1">
      <c r="A788" s="3">
        <v>2971</v>
      </c>
      <c r="B788" s="7" t="s">
        <v>100</v>
      </c>
      <c r="C788" s="41">
        <v>1333.33</v>
      </c>
      <c r="D788" s="6">
        <v>45584</v>
      </c>
      <c r="E788" s="3" t="str">
        <f ca="1">IF(Tabela2[[#This Row],[Dt Venc:]]&gt;TODAY(),"Em Aberto",IF(Tabela2[[#This Row],[D/venc]]="-","Enviado",IF(Tabela2[[#This Row],[Dt Venc:]]=TODAY(),"Vence Hoje","Vencida")))</f>
        <v>Enviado</v>
      </c>
      <c r="F788" s="3" t="str">
        <f ca="1">IF(G788=1,"-",Tabela2[[#This Row],[Dt Venc:]]-TODAY())</f>
        <v>-</v>
      </c>
      <c r="G788" s="3">
        <v>1</v>
      </c>
      <c r="H788" s="3" t="str">
        <f>_xlfn.XLOOKUP(A788,'Notas Faltantes'!A:A,'Notas Faltantes'!E:E,"",0)</f>
        <v/>
      </c>
    </row>
    <row r="789" spans="1:8" ht="18" hidden="1">
      <c r="A789" s="3">
        <v>217457</v>
      </c>
      <c r="B789" s="7" t="s">
        <v>73</v>
      </c>
      <c r="C789" s="41">
        <v>363</v>
      </c>
      <c r="D789" s="6">
        <v>45584</v>
      </c>
      <c r="E789" s="3" t="str">
        <f ca="1">IF(Tabela2[[#This Row],[Dt Venc:]]&gt;TODAY(),"Em Aberto",IF(Tabela2[[#This Row],[D/venc]]="-","Enviado",IF(Tabela2[[#This Row],[Dt Venc:]]=TODAY(),"Vence Hoje","Vencida")))</f>
        <v>Enviado</v>
      </c>
      <c r="F789" s="3" t="str">
        <f ca="1">IF(G789=1,"-",Tabela2[[#This Row],[Dt Venc:]]-TODAY())</f>
        <v>-</v>
      </c>
      <c r="G789" s="3">
        <v>1</v>
      </c>
      <c r="H789" s="3" t="str">
        <f>_xlfn.XLOOKUP(A789,'Notas Faltantes'!A:A,'Notas Faltantes'!E:E,"",0)</f>
        <v/>
      </c>
    </row>
    <row r="790" spans="1:8" ht="18" hidden="1">
      <c r="A790" s="3">
        <v>188532</v>
      </c>
      <c r="B790" s="7" t="s">
        <v>304</v>
      </c>
      <c r="C790" s="41">
        <v>1405.39</v>
      </c>
      <c r="D790" s="6">
        <v>45584</v>
      </c>
      <c r="E790" s="3" t="str">
        <f ca="1">IF(Tabela2[[#This Row],[Dt Venc:]]&gt;TODAY(),"Em Aberto",IF(Tabela2[[#This Row],[D/venc]]="-","Enviado",IF(Tabela2[[#This Row],[Dt Venc:]]=TODAY(),"Vence Hoje","Vencida")))</f>
        <v>Enviado</v>
      </c>
      <c r="F790" s="3" t="str">
        <f ca="1">IF(G790=1,"-",Tabela2[[#This Row],[Dt Venc:]]-TODAY())</f>
        <v>-</v>
      </c>
      <c r="G790" s="3">
        <v>1</v>
      </c>
      <c r="H790" s="3" t="str">
        <f>_xlfn.XLOOKUP(A790,'Notas Faltantes'!A:A,'Notas Faltantes'!E:E,"",0)</f>
        <v/>
      </c>
    </row>
    <row r="791" spans="1:8" ht="18" hidden="1">
      <c r="A791" s="3">
        <v>1517</v>
      </c>
      <c r="B791" s="7" t="s">
        <v>78</v>
      </c>
      <c r="C791" s="41">
        <v>587</v>
      </c>
      <c r="D791" s="6">
        <v>45584</v>
      </c>
      <c r="E791" s="3" t="str">
        <f ca="1">IF(Tabela2[[#This Row],[Dt Venc:]]&gt;TODAY(),"Em Aberto",IF(Tabela2[[#This Row],[D/venc]]="-","Enviado",IF(Tabela2[[#This Row],[Dt Venc:]]=TODAY(),"Vence Hoje","Vencida")))</f>
        <v>Enviado</v>
      </c>
      <c r="F791" s="3" t="str">
        <f ca="1">IF(G791=1,"-",Tabela2[[#This Row],[Dt Venc:]]-TODAY())</f>
        <v>-</v>
      </c>
      <c r="G791" s="3">
        <v>1</v>
      </c>
      <c r="H791" s="3" t="str">
        <f>_xlfn.XLOOKUP(A791,'Notas Faltantes'!A:A,'Notas Faltantes'!E:E,"",0)</f>
        <v/>
      </c>
    </row>
    <row r="792" spans="1:8" ht="18" hidden="1">
      <c r="A792" s="3">
        <v>9</v>
      </c>
      <c r="B792" s="7" t="s">
        <v>173</v>
      </c>
      <c r="C792" s="41">
        <v>808.33</v>
      </c>
      <c r="D792" s="6">
        <v>45584</v>
      </c>
      <c r="E792" s="3" t="str">
        <f ca="1">IF(Tabela2[[#This Row],[Dt Venc:]]&gt;TODAY(),"Em Aberto",IF(Tabela2[[#This Row],[D/venc]]="-","Enviado",IF(Tabela2[[#This Row],[Dt Venc:]]=TODAY(),"Vence Hoje","Vencida")))</f>
        <v>Enviado</v>
      </c>
      <c r="F792" s="3" t="str">
        <f ca="1">IF(G792=1,"-",Tabela2[[#This Row],[Dt Venc:]]-TODAY())</f>
        <v>-</v>
      </c>
      <c r="G792" s="3">
        <v>1</v>
      </c>
      <c r="H792" s="3" t="str">
        <f>_xlfn.XLOOKUP(A792,'Notas Faltantes'!A:A,'Notas Faltantes'!E:E,"",0)</f>
        <v/>
      </c>
    </row>
    <row r="793" spans="1:8" ht="18" hidden="1">
      <c r="A793" s="3">
        <v>5887</v>
      </c>
      <c r="B793" s="7" t="s">
        <v>47</v>
      </c>
      <c r="C793" s="41">
        <v>813.08</v>
      </c>
      <c r="D793" s="6">
        <v>45584</v>
      </c>
      <c r="E793" s="3" t="str">
        <f ca="1">IF(Tabela2[[#This Row],[Dt Venc:]]&gt;TODAY(),"Em Aberto",IF(Tabela2[[#This Row],[D/venc]]="-","Enviado",IF(Tabela2[[#This Row],[Dt Venc:]]=TODAY(),"Vence Hoje","Vencida")))</f>
        <v>Enviado</v>
      </c>
      <c r="F793" s="3" t="str">
        <f ca="1">IF(G793=1,"-",Tabela2[[#This Row],[Dt Venc:]]-TODAY())</f>
        <v>-</v>
      </c>
      <c r="G793" s="3">
        <v>1</v>
      </c>
      <c r="H793" s="3" t="str">
        <f>_xlfn.XLOOKUP(A793,'Notas Faltantes'!A:A,'Notas Faltantes'!E:E,"",0)</f>
        <v/>
      </c>
    </row>
    <row r="794" spans="1:8" ht="18" hidden="1">
      <c r="A794" s="3">
        <v>10921</v>
      </c>
      <c r="B794" s="7" t="s">
        <v>305</v>
      </c>
      <c r="C794" s="41">
        <v>1568.33</v>
      </c>
      <c r="D794" s="6">
        <v>45584</v>
      </c>
      <c r="E794" s="3" t="str">
        <f ca="1">IF(Tabela2[[#This Row],[Dt Venc:]]&gt;TODAY(),"Em Aberto",IF(Tabela2[[#This Row],[D/venc]]="-","Enviado",IF(Tabela2[[#This Row],[Dt Venc:]]=TODAY(),"Vence Hoje","Vencida")))</f>
        <v>Enviado</v>
      </c>
      <c r="F794" s="3" t="str">
        <f ca="1">IF(G794=1,"-",Tabela2[[#This Row],[Dt Venc:]]-TODAY())</f>
        <v>-</v>
      </c>
      <c r="G794" s="3">
        <v>1</v>
      </c>
      <c r="H794" s="3" t="str">
        <f>_xlfn.XLOOKUP(A794,'Notas Faltantes'!A:A,'Notas Faltantes'!E:E,"",0)</f>
        <v/>
      </c>
    </row>
    <row r="795" spans="1:8" ht="18" hidden="1">
      <c r="A795" s="3">
        <v>152970</v>
      </c>
      <c r="B795" s="7" t="s">
        <v>77</v>
      </c>
      <c r="C795" s="41">
        <v>433.33</v>
      </c>
      <c r="D795" s="6">
        <v>45584</v>
      </c>
      <c r="E795" s="3" t="str">
        <f ca="1">IF(Tabela2[[#This Row],[Dt Venc:]]&gt;TODAY(),"Em Aberto",IF(Tabela2[[#This Row],[D/venc]]="-","Enviado",IF(Tabela2[[#This Row],[Dt Venc:]]=TODAY(),"Vence Hoje","Vencida")))</f>
        <v>Enviado</v>
      </c>
      <c r="F795" s="3" t="str">
        <f ca="1">IF(G795=1,"-",Tabela2[[#This Row],[Dt Venc:]]-TODAY())</f>
        <v>-</v>
      </c>
      <c r="G795" s="3">
        <v>1</v>
      </c>
      <c r="H795" s="3" t="str">
        <f>_xlfn.XLOOKUP(A795,'Notas Faltantes'!A:A,'Notas Faltantes'!E:E,"",0)</f>
        <v/>
      </c>
    </row>
    <row r="796" spans="1:8" ht="18" hidden="1">
      <c r="A796" s="3">
        <v>220574</v>
      </c>
      <c r="B796" s="7" t="s">
        <v>127</v>
      </c>
      <c r="C796" s="41">
        <v>2056.23</v>
      </c>
      <c r="D796" s="6">
        <v>45584</v>
      </c>
      <c r="E796" s="3" t="str">
        <f ca="1">IF(Tabela2[[#This Row],[Dt Venc:]]&gt;TODAY(),"Em Aberto",IF(Tabela2[[#This Row],[D/venc]]="-","Enviado",IF(Tabela2[[#This Row],[Dt Venc:]]=TODAY(),"Vence Hoje","Vencida")))</f>
        <v>Enviado</v>
      </c>
      <c r="F796" s="3" t="str">
        <f ca="1">IF(G796=1,"-",Tabela2[[#This Row],[Dt Venc:]]-TODAY())</f>
        <v>-</v>
      </c>
      <c r="G796" s="3">
        <v>1</v>
      </c>
      <c r="H796" s="3" t="str">
        <f>_xlfn.XLOOKUP(A796,'Notas Faltantes'!A:A,'Notas Faltantes'!E:E,"",0)</f>
        <v/>
      </c>
    </row>
    <row r="797" spans="1:8" ht="18" hidden="1">
      <c r="A797" s="3">
        <v>17129</v>
      </c>
      <c r="B797" s="7" t="s">
        <v>203</v>
      </c>
      <c r="C797" s="41">
        <v>800</v>
      </c>
      <c r="D797" s="6">
        <v>45584</v>
      </c>
      <c r="E797" s="3" t="str">
        <f ca="1">IF(Tabela2[[#This Row],[Dt Venc:]]&gt;TODAY(),"Em Aberto",IF(Tabela2[[#This Row],[D/venc]]="-","Enviado",IF(Tabela2[[#This Row],[Dt Venc:]]=TODAY(),"Vence Hoje","Vencida")))</f>
        <v>Enviado</v>
      </c>
      <c r="F797" s="3" t="str">
        <f ca="1">IF(G797=1,"-",Tabela2[[#This Row],[Dt Venc:]]-TODAY())</f>
        <v>-</v>
      </c>
      <c r="G797" s="3">
        <v>1</v>
      </c>
      <c r="H797" s="3" t="str">
        <f>_xlfn.XLOOKUP(A797,'Notas Faltantes'!A:A,'Notas Faltantes'!E:E,"",0)</f>
        <v/>
      </c>
    </row>
    <row r="798" spans="1:8" ht="18" hidden="1">
      <c r="A798" s="3">
        <v>3292177</v>
      </c>
      <c r="B798" s="7" t="s">
        <v>71</v>
      </c>
      <c r="C798" s="41">
        <v>134902.5</v>
      </c>
      <c r="D798" s="6">
        <v>45584</v>
      </c>
      <c r="E798" s="3" t="str">
        <f ca="1">IF(Tabela2[[#This Row],[Dt Venc:]]&gt;TODAY(),"Em Aberto",IF(Tabela2[[#This Row],[D/venc]]="-","Enviado",IF(Tabela2[[#This Row],[Dt Venc:]]=TODAY(),"Vence Hoje","Vencida")))</f>
        <v>Enviado</v>
      </c>
      <c r="F798" s="3" t="str">
        <f ca="1">IF(G798=1,"-",Tabela2[[#This Row],[Dt Venc:]]-TODAY())</f>
        <v>-</v>
      </c>
      <c r="G798" s="3">
        <v>1</v>
      </c>
      <c r="H798" s="3" t="str">
        <f>_xlfn.XLOOKUP(A798,'Notas Faltantes'!A:A,'Notas Faltantes'!E:E,"",0)</f>
        <v/>
      </c>
    </row>
    <row r="799" spans="1:8" ht="18" hidden="1">
      <c r="A799" s="3">
        <v>2682</v>
      </c>
      <c r="B799" s="7" t="s">
        <v>58</v>
      </c>
      <c r="C799" s="41">
        <v>1807.27</v>
      </c>
      <c r="D799" s="6">
        <v>45585</v>
      </c>
      <c r="E799" s="3" t="str">
        <f ca="1">IF(Tabela2[[#This Row],[Dt Venc:]]&gt;TODAY(),"Em Aberto",IF(Tabela2[[#This Row],[D/venc]]="-","Enviado",IF(Tabela2[[#This Row],[Dt Venc:]]=TODAY(),"Vence Hoje","Vencida")))</f>
        <v>Enviado</v>
      </c>
      <c r="F799" s="3" t="str">
        <f ca="1">IF(G799=1,"-",Tabela2[[#This Row],[Dt Venc:]]-TODAY())</f>
        <v>-</v>
      </c>
      <c r="G799" s="3">
        <v>1</v>
      </c>
      <c r="H799" s="3" t="str">
        <f>_xlfn.XLOOKUP(A799,'Notas Faltantes'!A:A,'Notas Faltantes'!E:E,"",0)</f>
        <v/>
      </c>
    </row>
    <row r="800" spans="1:8" ht="18" hidden="1">
      <c r="A800" s="3">
        <v>10788</v>
      </c>
      <c r="B800" s="7" t="s">
        <v>33</v>
      </c>
      <c r="C800" s="42">
        <v>1600</v>
      </c>
      <c r="D800" s="6">
        <v>45585</v>
      </c>
      <c r="E800" s="3" t="str">
        <f ca="1">IF(Tabela2[[#This Row],[Dt Venc:]]&gt;TODAY(),"Em Aberto",IF(Tabela2[[#This Row],[D/venc]]="-","Enviado",IF(Tabela2[[#This Row],[Dt Venc:]]=TODAY(),"Vence Hoje","Vencida")))</f>
        <v>Enviado</v>
      </c>
      <c r="F800" s="3" t="str">
        <f ca="1">IF(G800=1,"-",Tabela2[[#This Row],[Dt Venc:]]-TODAY())</f>
        <v>-</v>
      </c>
      <c r="G800" s="3">
        <v>1</v>
      </c>
      <c r="H800" s="3" t="str">
        <f>_xlfn.XLOOKUP(A800,'Notas Faltantes'!A:A,'Notas Faltantes'!E:E,"",0)</f>
        <v/>
      </c>
    </row>
    <row r="801" spans="1:8" ht="18" hidden="1">
      <c r="A801" s="3">
        <v>21948</v>
      </c>
      <c r="B801" s="7" t="s">
        <v>38</v>
      </c>
      <c r="C801" s="42">
        <v>523.33000000000004</v>
      </c>
      <c r="D801" s="6">
        <v>45585</v>
      </c>
      <c r="E801" s="3" t="str">
        <f ca="1">IF(Tabela2[[#This Row],[Dt Venc:]]&gt;TODAY(),"Em Aberto",IF(Tabela2[[#This Row],[D/venc]]="-","Enviado",IF(Tabela2[[#This Row],[Dt Venc:]]=TODAY(),"Vence Hoje","Vencida")))</f>
        <v>Enviado</v>
      </c>
      <c r="F801" s="3" t="str">
        <f ca="1">IF(G801=1,"-",Tabela2[[#This Row],[Dt Venc:]]-TODAY())</f>
        <v>-</v>
      </c>
      <c r="G801" s="3">
        <v>1</v>
      </c>
      <c r="H801" s="3" t="str">
        <f>_xlfn.XLOOKUP(A801,'Notas Faltantes'!A:A,'Notas Faltantes'!E:E,"",0)</f>
        <v/>
      </c>
    </row>
    <row r="802" spans="1:8" ht="18" hidden="1">
      <c r="A802" s="3">
        <v>2920</v>
      </c>
      <c r="B802" s="7" t="s">
        <v>100</v>
      </c>
      <c r="C802" s="42">
        <v>4219.67</v>
      </c>
      <c r="D802" s="6">
        <v>45585</v>
      </c>
      <c r="E802" s="3" t="str">
        <f ca="1">IF(Tabela2[[#This Row],[Dt Venc:]]&gt;TODAY(),"Em Aberto",IF(Tabela2[[#This Row],[D/venc]]="-","Enviado",IF(Tabela2[[#This Row],[Dt Venc:]]=TODAY(),"Vence Hoje","Vencida")))</f>
        <v>Enviado</v>
      </c>
      <c r="F802" s="3" t="str">
        <f ca="1">IF(G802=1,"-",Tabela2[[#This Row],[Dt Venc:]]-TODAY())</f>
        <v>-</v>
      </c>
      <c r="G802" s="3">
        <v>1</v>
      </c>
      <c r="H802" s="3" t="str">
        <f>_xlfn.XLOOKUP(A802,'Notas Faltantes'!A:A,'Notas Faltantes'!E:E,"",0)</f>
        <v/>
      </c>
    </row>
    <row r="803" spans="1:8" ht="18" hidden="1">
      <c r="A803" s="3">
        <v>223343</v>
      </c>
      <c r="B803" s="7" t="s">
        <v>306</v>
      </c>
      <c r="C803" s="42">
        <v>326.39999999999998</v>
      </c>
      <c r="D803" s="6">
        <v>45585</v>
      </c>
      <c r="E803" s="3" t="str">
        <f ca="1">IF(Tabela2[[#This Row],[Dt Venc:]]&gt;TODAY(),"Em Aberto",IF(Tabela2[[#This Row],[D/venc]]="-","Enviado",IF(Tabela2[[#This Row],[Dt Venc:]]=TODAY(),"Vence Hoje","Vencida")))</f>
        <v>Enviado</v>
      </c>
      <c r="F803" s="3" t="str">
        <f ca="1">IF(G803=1,"-",Tabela2[[#This Row],[Dt Venc:]]-TODAY())</f>
        <v>-</v>
      </c>
      <c r="G803" s="3">
        <v>1</v>
      </c>
      <c r="H803" s="3" t="str">
        <f>_xlfn.XLOOKUP(A803,'Notas Faltantes'!A:A,'Notas Faltantes'!E:E,"",0)</f>
        <v/>
      </c>
    </row>
    <row r="804" spans="1:8" ht="18" hidden="1">
      <c r="A804" s="3">
        <v>774</v>
      </c>
      <c r="B804" s="7" t="s">
        <v>113</v>
      </c>
      <c r="C804" s="42">
        <v>2536.66</v>
      </c>
      <c r="D804" s="6">
        <v>45585</v>
      </c>
      <c r="E804" s="3" t="str">
        <f ca="1">IF(Tabela2[[#This Row],[Dt Venc:]]&gt;TODAY(),"Em Aberto",IF(Tabela2[[#This Row],[D/venc]]="-","Enviado",IF(Tabela2[[#This Row],[Dt Venc:]]=TODAY(),"Vence Hoje","Vencida")))</f>
        <v>Enviado</v>
      </c>
      <c r="F804" s="3" t="str">
        <f ca="1">IF(G804=1,"-",Tabela2[[#This Row],[Dt Venc:]]-TODAY())</f>
        <v>-</v>
      </c>
      <c r="G804" s="3">
        <v>1</v>
      </c>
      <c r="H804" s="3" t="str">
        <f>_xlfn.XLOOKUP(A804,'Notas Faltantes'!A:A,'Notas Faltantes'!E:E,"",0)</f>
        <v/>
      </c>
    </row>
    <row r="805" spans="1:8" ht="18" hidden="1">
      <c r="A805" s="3">
        <v>151563</v>
      </c>
      <c r="B805" s="7" t="s">
        <v>77</v>
      </c>
      <c r="C805" s="42">
        <v>1233.33</v>
      </c>
      <c r="D805" s="6">
        <v>45585</v>
      </c>
      <c r="E805" s="3" t="str">
        <f ca="1">IF(Tabela2[[#This Row],[Dt Venc:]]&gt;TODAY(),"Em Aberto",IF(Tabela2[[#This Row],[D/venc]]="-","Enviado",IF(Tabela2[[#This Row],[Dt Venc:]]=TODAY(),"Vence Hoje","Vencida")))</f>
        <v>Enviado</v>
      </c>
      <c r="F805" s="3" t="str">
        <f ca="1">IF(G805=1,"-",Tabela2[[#This Row],[Dt Venc:]]-TODAY())</f>
        <v>-</v>
      </c>
      <c r="G805" s="3">
        <v>1</v>
      </c>
      <c r="H805" s="3" t="str">
        <f>_xlfn.XLOOKUP(A805,'Notas Faltantes'!A:A,'Notas Faltantes'!E:E,"",0)</f>
        <v/>
      </c>
    </row>
    <row r="806" spans="1:8" ht="18" hidden="1">
      <c r="A806" s="3">
        <v>5640</v>
      </c>
      <c r="B806" s="7" t="s">
        <v>47</v>
      </c>
      <c r="C806" s="42">
        <v>1041.33</v>
      </c>
      <c r="D806" s="6">
        <v>45585</v>
      </c>
      <c r="E806" s="3" t="str">
        <f ca="1">IF(Tabela2[[#This Row],[Dt Venc:]]&gt;TODAY(),"Em Aberto",IF(Tabela2[[#This Row],[D/venc]]="-","Enviado",IF(Tabela2[[#This Row],[Dt Venc:]]=TODAY(),"Vence Hoje","Vencida")))</f>
        <v>Enviado</v>
      </c>
      <c r="F806" s="3" t="str">
        <f ca="1">IF(G806=1,"-",Tabela2[[#This Row],[Dt Venc:]]-TODAY())</f>
        <v>-</v>
      </c>
      <c r="G806" s="3">
        <v>1</v>
      </c>
      <c r="H806" s="3" t="str">
        <f>_xlfn.XLOOKUP(A806,'Notas Faltantes'!A:A,'Notas Faltantes'!E:E,"",0)</f>
        <v/>
      </c>
    </row>
    <row r="807" spans="1:8" ht="18" hidden="1">
      <c r="A807" s="3">
        <v>5763</v>
      </c>
      <c r="B807" s="7" t="s">
        <v>47</v>
      </c>
      <c r="C807" s="42">
        <v>1326.6</v>
      </c>
      <c r="D807" s="6">
        <v>45585</v>
      </c>
      <c r="E807" s="3" t="str">
        <f ca="1">IF(Tabela2[[#This Row],[Dt Venc:]]&gt;TODAY(),"Em Aberto",IF(Tabela2[[#This Row],[D/venc]]="-","Enviado",IF(Tabela2[[#This Row],[Dt Venc:]]=TODAY(),"Vence Hoje","Vencida")))</f>
        <v>Enviado</v>
      </c>
      <c r="F807" s="3" t="str">
        <f ca="1">IF(G807=1,"-",Tabela2[[#This Row],[Dt Venc:]]-TODAY())</f>
        <v>-</v>
      </c>
      <c r="G807" s="3">
        <v>1</v>
      </c>
      <c r="H807" s="3" t="str">
        <f>_xlfn.XLOOKUP(A807,'Notas Faltantes'!A:A,'Notas Faltantes'!E:E,"",0)</f>
        <v/>
      </c>
    </row>
    <row r="808" spans="1:8" ht="18" hidden="1">
      <c r="A808" s="3">
        <v>217282</v>
      </c>
      <c r="B808" s="7" t="s">
        <v>73</v>
      </c>
      <c r="C808" s="42">
        <v>826</v>
      </c>
      <c r="D808" s="6">
        <v>45585</v>
      </c>
      <c r="E808" s="3" t="str">
        <f ca="1">IF(Tabela2[[#This Row],[Dt Venc:]]&gt;TODAY(),"Em Aberto",IF(Tabela2[[#This Row],[D/venc]]="-","Enviado",IF(Tabela2[[#This Row],[Dt Venc:]]=TODAY(),"Vence Hoje","Vencida")))</f>
        <v>Enviado</v>
      </c>
      <c r="F808" s="3" t="str">
        <f ca="1">IF(G808=1,"-",Tabela2[[#This Row],[Dt Venc:]]-TODAY())</f>
        <v>-</v>
      </c>
      <c r="G808" s="3">
        <v>1</v>
      </c>
      <c r="H808" s="3" t="str">
        <f>_xlfn.XLOOKUP(A808,'Notas Faltantes'!A:A,'Notas Faltantes'!E:E,"",0)</f>
        <v/>
      </c>
    </row>
    <row r="809" spans="1:8" ht="18" hidden="1">
      <c r="A809" s="3">
        <v>3073</v>
      </c>
      <c r="B809" s="7" t="s">
        <v>129</v>
      </c>
      <c r="C809" s="42">
        <v>1054</v>
      </c>
      <c r="D809" s="6">
        <v>45585</v>
      </c>
      <c r="E809" s="3" t="str">
        <f ca="1">IF(Tabela2[[#This Row],[Dt Venc:]]&gt;TODAY(),"Em Aberto",IF(Tabela2[[#This Row],[D/venc]]="-","Enviado",IF(Tabela2[[#This Row],[Dt Venc:]]=TODAY(),"Vence Hoje","Vencida")))</f>
        <v>Enviado</v>
      </c>
      <c r="F809" s="3" t="str">
        <f ca="1">IF(G809=1,"-",Tabela2[[#This Row],[Dt Venc:]]-TODAY())</f>
        <v>-</v>
      </c>
      <c r="G809" s="3">
        <v>1</v>
      </c>
      <c r="H809" s="3" t="str">
        <f>_xlfn.XLOOKUP(A809,'Notas Faltantes'!A:A,'Notas Faltantes'!E:E,"",0)</f>
        <v/>
      </c>
    </row>
    <row r="810" spans="1:8" ht="18" hidden="1">
      <c r="A810" s="3">
        <v>1312</v>
      </c>
      <c r="B810" s="7" t="s">
        <v>258</v>
      </c>
      <c r="C810" s="41">
        <v>665.83</v>
      </c>
      <c r="D810" s="6">
        <v>45585</v>
      </c>
      <c r="E810" s="3" t="str">
        <f ca="1">IF(Tabela2[[#This Row],[Dt Venc:]]&gt;TODAY(),"Em Aberto",IF(Tabela2[[#This Row],[D/venc]]="-","Enviado",IF(Tabela2[[#This Row],[Dt Venc:]]=TODAY(),"Vence Hoje","Vencida")))</f>
        <v>Enviado</v>
      </c>
      <c r="F810" s="3" t="str">
        <f ca="1">IF(G810=1,"-",Tabela2[[#This Row],[Dt Venc:]]-TODAY())</f>
        <v>-</v>
      </c>
      <c r="G810" s="3">
        <v>1</v>
      </c>
      <c r="H810" s="3" t="str">
        <f>_xlfn.XLOOKUP(A810,'Notas Faltantes'!A:A,'Notas Faltantes'!E:E,"",0)</f>
        <v/>
      </c>
    </row>
    <row r="811" spans="1:8" ht="18" hidden="1">
      <c r="A811" s="3">
        <v>144912</v>
      </c>
      <c r="B811" s="7" t="s">
        <v>127</v>
      </c>
      <c r="C811" s="41">
        <v>717.5</v>
      </c>
      <c r="D811" s="6">
        <v>45585</v>
      </c>
      <c r="E811" s="3" t="str">
        <f ca="1">IF(Tabela2[[#This Row],[Dt Venc:]]&gt;TODAY(),"Em Aberto",IF(Tabela2[[#This Row],[D/venc]]="-","Enviado",IF(Tabela2[[#This Row],[Dt Venc:]]=TODAY(),"Vence Hoje","Vencida")))</f>
        <v>Enviado</v>
      </c>
      <c r="F811" s="3" t="str">
        <f ca="1">IF(G811=1,"-",Tabela2[[#This Row],[Dt Venc:]]-TODAY())</f>
        <v>-</v>
      </c>
      <c r="G811" s="3">
        <v>1</v>
      </c>
      <c r="H811" s="3" t="str">
        <f>_xlfn.XLOOKUP(A811,'Notas Faltantes'!A:A,'Notas Faltantes'!E:E,"",0)</f>
        <v/>
      </c>
    </row>
    <row r="812" spans="1:8" ht="18" hidden="1">
      <c r="A812" s="3">
        <v>144910</v>
      </c>
      <c r="B812" s="7" t="s">
        <v>127</v>
      </c>
      <c r="C812" s="41">
        <v>717.5</v>
      </c>
      <c r="D812" s="6">
        <v>45585</v>
      </c>
      <c r="E812" s="3" t="str">
        <f ca="1">IF(Tabela2[[#This Row],[Dt Venc:]]&gt;TODAY(),"Em Aberto",IF(Tabela2[[#This Row],[D/venc]]="-","Enviado",IF(Tabela2[[#This Row],[Dt Venc:]]=TODAY(),"Vence Hoje","Vencida")))</f>
        <v>Enviado</v>
      </c>
      <c r="F812" s="3" t="str">
        <f ca="1">IF(G812=1,"-",Tabela2[[#This Row],[Dt Venc:]]-TODAY())</f>
        <v>-</v>
      </c>
      <c r="G812" s="3">
        <v>1</v>
      </c>
      <c r="H812" s="3" t="str">
        <f>_xlfn.XLOOKUP(A812,'Notas Faltantes'!A:A,'Notas Faltantes'!E:E,"",0)</f>
        <v/>
      </c>
    </row>
    <row r="813" spans="1:8" ht="18" hidden="1">
      <c r="A813" s="3">
        <v>751342</v>
      </c>
      <c r="B813" s="7" t="s">
        <v>127</v>
      </c>
      <c r="C813" s="41">
        <v>376.17</v>
      </c>
      <c r="D813" s="6">
        <v>45585</v>
      </c>
      <c r="E813" s="3" t="str">
        <f ca="1">IF(Tabela2[[#This Row],[Dt Venc:]]&gt;TODAY(),"Em Aberto",IF(Tabela2[[#This Row],[D/venc]]="-","Enviado",IF(Tabela2[[#This Row],[Dt Venc:]]=TODAY(),"Vence Hoje","Vencida")))</f>
        <v>Enviado</v>
      </c>
      <c r="F813" s="3" t="str">
        <f ca="1">IF(G813=1,"-",Tabela2[[#This Row],[Dt Venc:]]-TODAY())</f>
        <v>-</v>
      </c>
      <c r="G813" s="3">
        <v>1</v>
      </c>
      <c r="H813" s="3" t="str">
        <f>_xlfn.XLOOKUP(A813,'Notas Faltantes'!A:A,'Notas Faltantes'!E:E,"",0)</f>
        <v/>
      </c>
    </row>
    <row r="814" spans="1:8" ht="18" hidden="1">
      <c r="A814" s="3">
        <v>751339</v>
      </c>
      <c r="B814" s="7" t="s">
        <v>127</v>
      </c>
      <c r="C814" s="41">
        <v>376.17</v>
      </c>
      <c r="D814" s="6">
        <v>45585</v>
      </c>
      <c r="E814" s="3" t="str">
        <f ca="1">IF(Tabela2[[#This Row],[Dt Venc:]]&gt;TODAY(),"Em Aberto",IF(Tabela2[[#This Row],[D/venc]]="-","Enviado",IF(Tabela2[[#This Row],[Dt Venc:]]=TODAY(),"Vence Hoje","Vencida")))</f>
        <v>Enviado</v>
      </c>
      <c r="F814" s="3" t="str">
        <f ca="1">IF(G814=1,"-",Tabela2[[#This Row],[Dt Venc:]]-TODAY())</f>
        <v>-</v>
      </c>
      <c r="G814" s="3">
        <v>1</v>
      </c>
      <c r="H814" s="3" t="str">
        <f>_xlfn.XLOOKUP(A814,'Notas Faltantes'!A:A,'Notas Faltantes'!E:E,"",0)</f>
        <v/>
      </c>
    </row>
    <row r="815" spans="1:8" ht="18" hidden="1">
      <c r="A815" s="3">
        <v>22463</v>
      </c>
      <c r="B815" s="7" t="s">
        <v>38</v>
      </c>
      <c r="C815" s="41">
        <v>2596.67</v>
      </c>
      <c r="D815" s="6">
        <v>45585</v>
      </c>
      <c r="E815" s="3" t="str">
        <f ca="1">IF(Tabela2[[#This Row],[Dt Venc:]]&gt;TODAY(),"Em Aberto",IF(Tabela2[[#This Row],[D/venc]]="-","Enviado",IF(Tabela2[[#This Row],[Dt Venc:]]=TODAY(),"Vence Hoje","Vencida")))</f>
        <v>Enviado</v>
      </c>
      <c r="F815" s="3" t="str">
        <f ca="1">IF(G815=1,"-",Tabela2[[#This Row],[Dt Venc:]]-TODAY())</f>
        <v>-</v>
      </c>
      <c r="G815" s="3">
        <v>1</v>
      </c>
      <c r="H815" s="3" t="str">
        <f>_xlfn.XLOOKUP(A815,'Notas Faltantes'!A:A,'Notas Faltantes'!E:E,"",0)</f>
        <v/>
      </c>
    </row>
    <row r="816" spans="1:8" ht="18" hidden="1">
      <c r="A816" s="3">
        <v>4843</v>
      </c>
      <c r="B816" s="7" t="s">
        <v>307</v>
      </c>
      <c r="C816" s="41">
        <v>9150</v>
      </c>
      <c r="D816" s="6">
        <v>45585</v>
      </c>
      <c r="E816" s="3" t="str">
        <f ca="1">IF(Tabela2[[#This Row],[Dt Venc:]]&gt;TODAY(),"Em Aberto",IF(Tabela2[[#This Row],[D/venc]]="-","Enviado",IF(Tabela2[[#This Row],[Dt Venc:]]=TODAY(),"Vence Hoje","Vencida")))</f>
        <v>Enviado</v>
      </c>
      <c r="F816" s="3" t="str">
        <f ca="1">IF(G816=1,"-",Tabela2[[#This Row],[Dt Venc:]]-TODAY())</f>
        <v>-</v>
      </c>
      <c r="G816" s="3">
        <v>1</v>
      </c>
      <c r="H816" s="3" t="str">
        <f>_xlfn.XLOOKUP(A816,'Notas Faltantes'!A:A,'Notas Faltantes'!E:E,"",0)</f>
        <v/>
      </c>
    </row>
    <row r="817" spans="1:8" ht="18" hidden="1">
      <c r="A817" s="3">
        <v>22570</v>
      </c>
      <c r="B817" s="7" t="s">
        <v>308</v>
      </c>
      <c r="C817" s="41">
        <v>5349.45</v>
      </c>
      <c r="D817" s="6">
        <v>45585</v>
      </c>
      <c r="E817" s="3" t="str">
        <f ca="1">IF(Tabela2[[#This Row],[Dt Venc:]]&gt;TODAY(),"Em Aberto",IF(Tabela2[[#This Row],[D/venc]]="-","Enviado",IF(Tabela2[[#This Row],[Dt Venc:]]=TODAY(),"Vence Hoje","Vencida")))</f>
        <v>Enviado</v>
      </c>
      <c r="F817" s="3" t="str">
        <f ca="1">IF(G817=1,"-",Tabela2[[#This Row],[Dt Venc:]]-TODAY())</f>
        <v>-</v>
      </c>
      <c r="G817" s="3">
        <v>1</v>
      </c>
      <c r="H817" s="3" t="str">
        <f>_xlfn.XLOOKUP(A817,'Notas Faltantes'!A:A,'Notas Faltantes'!E:E,"",0)</f>
        <v/>
      </c>
    </row>
    <row r="818" spans="1:8" ht="18" hidden="1">
      <c r="A818" s="3">
        <v>5897</v>
      </c>
      <c r="B818" s="7" t="s">
        <v>47</v>
      </c>
      <c r="C818" s="41">
        <v>859.4</v>
      </c>
      <c r="D818" s="6">
        <v>45585</v>
      </c>
      <c r="E818" s="3" t="str">
        <f ca="1">IF(Tabela2[[#This Row],[Dt Venc:]]&gt;TODAY(),"Em Aberto",IF(Tabela2[[#This Row],[D/venc]]="-","Enviado",IF(Tabela2[[#This Row],[Dt Venc:]]=TODAY(),"Vence Hoje","Vencida")))</f>
        <v>Enviado</v>
      </c>
      <c r="F818" s="3" t="str">
        <f ca="1">IF(G818=1,"-",Tabela2[[#This Row],[Dt Venc:]]-TODAY())</f>
        <v>-</v>
      </c>
      <c r="G818" s="3">
        <v>1</v>
      </c>
      <c r="H818" s="3" t="str">
        <f>_xlfn.XLOOKUP(A818,'Notas Faltantes'!A:A,'Notas Faltantes'!E:E,"",0)</f>
        <v/>
      </c>
    </row>
    <row r="819" spans="1:8" ht="18" hidden="1">
      <c r="A819" s="3">
        <v>220671</v>
      </c>
      <c r="B819" s="7" t="s">
        <v>127</v>
      </c>
      <c r="C819" s="41">
        <v>1476.48</v>
      </c>
      <c r="D819" s="6">
        <v>45585</v>
      </c>
      <c r="E819" s="3" t="str">
        <f ca="1">IF(Tabela2[[#This Row],[Dt Venc:]]&gt;TODAY(),"Em Aberto",IF(Tabela2[[#This Row],[D/venc]]="-","Enviado",IF(Tabela2[[#This Row],[Dt Venc:]]=TODAY(),"Vence Hoje","Vencida")))</f>
        <v>Enviado</v>
      </c>
      <c r="F819" s="3" t="str">
        <f ca="1">IF(G819=1,"-",Tabela2[[#This Row],[Dt Venc:]]-TODAY())</f>
        <v>-</v>
      </c>
      <c r="G819" s="3">
        <v>1</v>
      </c>
      <c r="H819" s="3" t="str">
        <f>_xlfn.XLOOKUP(A819,'Notas Faltantes'!A:A,'Notas Faltantes'!E:E,"",0)</f>
        <v/>
      </c>
    </row>
    <row r="820" spans="1:8" ht="18" hidden="1">
      <c r="A820" s="3">
        <v>110272</v>
      </c>
      <c r="B820" s="7" t="s">
        <v>309</v>
      </c>
      <c r="C820" s="41">
        <v>391.67</v>
      </c>
      <c r="D820" s="6">
        <v>45585</v>
      </c>
      <c r="E820" s="3" t="str">
        <f ca="1">IF(Tabela2[[#This Row],[Dt Venc:]]&gt;TODAY(),"Em Aberto",IF(Tabela2[[#This Row],[D/venc]]="-","Enviado",IF(Tabela2[[#This Row],[Dt Venc:]]=TODAY(),"Vence Hoje","Vencida")))</f>
        <v>Enviado</v>
      </c>
      <c r="F820" s="3" t="str">
        <f ca="1">IF(G820=1,"-",Tabela2[[#This Row],[Dt Venc:]]-TODAY())</f>
        <v>-</v>
      </c>
      <c r="G820" s="3">
        <v>1</v>
      </c>
      <c r="H820" s="3" t="str">
        <f>_xlfn.XLOOKUP(A820,'Notas Faltantes'!A:A,'Notas Faltantes'!E:E,"",0)</f>
        <v/>
      </c>
    </row>
    <row r="821" spans="1:8" ht="18" hidden="1">
      <c r="A821" s="3">
        <v>2742</v>
      </c>
      <c r="B821" s="7" t="s">
        <v>58</v>
      </c>
      <c r="C821" s="41">
        <v>1516.34</v>
      </c>
      <c r="D821" s="6">
        <v>45585</v>
      </c>
      <c r="E821" s="3" t="str">
        <f ca="1">IF(Tabela2[[#This Row],[Dt Venc:]]&gt;TODAY(),"Em Aberto",IF(Tabela2[[#This Row],[D/venc]]="-","Enviado",IF(Tabela2[[#This Row],[Dt Venc:]]=TODAY(),"Vence Hoje","Vencida")))</f>
        <v>Enviado</v>
      </c>
      <c r="F821" s="3" t="str">
        <f ca="1">IF(G821=1,"-",Tabela2[[#This Row],[Dt Venc:]]-TODAY())</f>
        <v>-</v>
      </c>
      <c r="G821" s="3">
        <v>1</v>
      </c>
      <c r="H821" s="3" t="str">
        <f>_xlfn.XLOOKUP(A821,'Notas Faltantes'!A:A,'Notas Faltantes'!E:E,"",0)</f>
        <v/>
      </c>
    </row>
    <row r="822" spans="1:8" ht="18" hidden="1">
      <c r="A822" s="3">
        <v>1577</v>
      </c>
      <c r="B822" s="7" t="s">
        <v>154</v>
      </c>
      <c r="C822" s="41">
        <v>1800</v>
      </c>
      <c r="D822" s="6">
        <v>45585</v>
      </c>
      <c r="E822" s="3" t="str">
        <f ca="1">IF(Tabela2[[#This Row],[Dt Venc:]]&gt;TODAY(),"Em Aberto",IF(Tabela2[[#This Row],[D/venc]]="-","Enviado",IF(Tabela2[[#This Row],[Dt Venc:]]=TODAY(),"Vence Hoje","Vencida")))</f>
        <v>Enviado</v>
      </c>
      <c r="F822" s="3" t="str">
        <f ca="1">IF(G822=1,"-",Tabela2[[#This Row],[Dt Venc:]]-TODAY())</f>
        <v>-</v>
      </c>
      <c r="G822" s="3">
        <v>1</v>
      </c>
      <c r="H822" s="3" t="str">
        <f>_xlfn.XLOOKUP(A822,'Notas Faltantes'!A:A,'Notas Faltantes'!E:E,"",0)</f>
        <v/>
      </c>
    </row>
    <row r="823" spans="1:8" ht="18" hidden="1">
      <c r="A823" s="3">
        <v>8770</v>
      </c>
      <c r="B823" s="7" t="s">
        <v>248</v>
      </c>
      <c r="C823" s="41">
        <v>8249.89</v>
      </c>
      <c r="D823" s="6">
        <v>45585</v>
      </c>
      <c r="E823" s="3" t="str">
        <f ca="1">IF(Tabela2[[#This Row],[Dt Venc:]]&gt;TODAY(),"Em Aberto",IF(Tabela2[[#This Row],[D/venc]]="-","Enviado",IF(Tabela2[[#This Row],[Dt Venc:]]=TODAY(),"Vence Hoje","Vencida")))</f>
        <v>Enviado</v>
      </c>
      <c r="F823" s="3" t="str">
        <f ca="1">IF(G823=1,"-",Tabela2[[#This Row],[Dt Venc:]]-TODAY())</f>
        <v>-</v>
      </c>
      <c r="G823" s="3">
        <v>1</v>
      </c>
      <c r="H823" s="3" t="str">
        <f>_xlfn.XLOOKUP(A823,'Notas Faltantes'!A:A,'Notas Faltantes'!E:E,"",0)</f>
        <v/>
      </c>
    </row>
    <row r="824" spans="1:8" ht="18" hidden="1">
      <c r="A824" s="3" t="s">
        <v>110</v>
      </c>
      <c r="B824" s="7" t="s">
        <v>310</v>
      </c>
      <c r="C824" s="42" t="s">
        <v>32</v>
      </c>
      <c r="D824" s="6">
        <v>45585</v>
      </c>
      <c r="E824" s="3" t="str">
        <f ca="1">IF(Tabela2[[#This Row],[Dt Venc:]]&gt;TODAY(),"Em Aberto",IF(Tabela2[[#This Row],[D/venc]]="-","Enviado",IF(Tabela2[[#This Row],[Dt Venc:]]=TODAY(),"Vence Hoje","Vencida")))</f>
        <v>Enviado</v>
      </c>
      <c r="F824" s="3" t="str">
        <f ca="1">IF(G824=1,"-",Tabela2[[#This Row],[Dt Venc:]]-TODAY())</f>
        <v>-</v>
      </c>
      <c r="G824" s="3">
        <v>1</v>
      </c>
      <c r="H824" s="3" t="str">
        <f>_xlfn.XLOOKUP(A824,'Notas Faltantes'!A:A,'Notas Faltantes'!E:E,"",0)</f>
        <v/>
      </c>
    </row>
    <row r="825" spans="1:8" ht="18" hidden="1">
      <c r="A825" s="3" t="s">
        <v>110</v>
      </c>
      <c r="B825" s="7" t="s">
        <v>311</v>
      </c>
      <c r="C825" s="42" t="s">
        <v>32</v>
      </c>
      <c r="D825" s="6">
        <v>45585</v>
      </c>
      <c r="E825" s="3" t="str">
        <f ca="1">IF(Tabela2[[#This Row],[Dt Venc:]]&gt;TODAY(),"Em Aberto",IF(Tabela2[[#This Row],[D/venc]]="-","Enviado",IF(Tabela2[[#This Row],[Dt Venc:]]=TODAY(),"Vence Hoje","Vencida")))</f>
        <v>Enviado</v>
      </c>
      <c r="F825" s="3" t="str">
        <f ca="1">IF(G825=1,"-",Tabela2[[#This Row],[Dt Venc:]]-TODAY())</f>
        <v>-</v>
      </c>
      <c r="G825" s="3">
        <v>1</v>
      </c>
      <c r="H825" s="3" t="str">
        <f>_xlfn.XLOOKUP(A825,'Notas Faltantes'!A:A,'Notas Faltantes'!E:E,"",0)</f>
        <v/>
      </c>
    </row>
    <row r="826" spans="1:8" ht="18" hidden="1">
      <c r="A826" s="3" t="s">
        <v>110</v>
      </c>
      <c r="B826" s="7" t="s">
        <v>312</v>
      </c>
      <c r="C826" s="42" t="s">
        <v>32</v>
      </c>
      <c r="D826" s="6">
        <v>45585</v>
      </c>
      <c r="E826" s="3" t="str">
        <f ca="1">IF(Tabela2[[#This Row],[Dt Venc:]]&gt;TODAY(),"Em Aberto",IF(Tabela2[[#This Row],[D/venc]]="-","Enviado",IF(Tabela2[[#This Row],[Dt Venc:]]=TODAY(),"Vence Hoje","Vencida")))</f>
        <v>Enviado</v>
      </c>
      <c r="F826" s="3" t="str">
        <f ca="1">IF(G826=1,"-",Tabela2[[#This Row],[Dt Venc:]]-TODAY())</f>
        <v>-</v>
      </c>
      <c r="G826" s="3">
        <v>1</v>
      </c>
      <c r="H826" s="3" t="str">
        <f>_xlfn.XLOOKUP(A826,'Notas Faltantes'!A:A,'Notas Faltantes'!E:E,"",0)</f>
        <v/>
      </c>
    </row>
    <row r="827" spans="1:8" ht="18" hidden="1">
      <c r="A827" s="3">
        <v>252700</v>
      </c>
      <c r="B827" s="7" t="s">
        <v>313</v>
      </c>
      <c r="C827" s="41">
        <v>2493</v>
      </c>
      <c r="D827" s="6">
        <v>45586</v>
      </c>
      <c r="E827" s="3" t="str">
        <f ca="1">IF(Tabela2[[#This Row],[Dt Venc:]]&gt;TODAY(),"Em Aberto",IF(Tabela2[[#This Row],[D/venc]]="-","Enviado",IF(Tabela2[[#This Row],[Dt Venc:]]=TODAY(),"Vence Hoje","Vencida")))</f>
        <v>Enviado</v>
      </c>
      <c r="F827" s="3" t="str">
        <f ca="1">IF(G827=1,"-",Tabela2[[#This Row],[Dt Venc:]]-TODAY())</f>
        <v>-</v>
      </c>
      <c r="G827" s="3">
        <v>1</v>
      </c>
      <c r="H827" s="3" t="str">
        <f>_xlfn.XLOOKUP(A827,'Notas Faltantes'!A:A,'Notas Faltantes'!E:E,"",0)</f>
        <v/>
      </c>
    </row>
    <row r="828" spans="1:8" ht="18" hidden="1">
      <c r="A828" s="3">
        <v>5749</v>
      </c>
      <c r="B828" s="7" t="s">
        <v>314</v>
      </c>
      <c r="C828" s="42">
        <v>961.33</v>
      </c>
      <c r="D828" s="6">
        <v>45586</v>
      </c>
      <c r="E828" s="3" t="str">
        <f ca="1">IF(Tabela2[[#This Row],[Dt Venc:]]&gt;TODAY(),"Em Aberto",IF(Tabela2[[#This Row],[D/venc]]="-","Enviado",IF(Tabela2[[#This Row],[Dt Venc:]]=TODAY(),"Vence Hoje","Vencida")))</f>
        <v>Enviado</v>
      </c>
      <c r="F828" s="3" t="str">
        <f ca="1">IF(G828=1,"-",Tabela2[[#This Row],[Dt Venc:]]-TODAY())</f>
        <v>-</v>
      </c>
      <c r="G828" s="3">
        <v>1</v>
      </c>
      <c r="H828" s="3" t="str">
        <f>_xlfn.XLOOKUP(A828,'Notas Faltantes'!A:A,'Notas Faltantes'!E:E,"",0)</f>
        <v/>
      </c>
    </row>
    <row r="829" spans="1:8" ht="18" hidden="1">
      <c r="A829" s="3">
        <v>15046</v>
      </c>
      <c r="B829" s="7" t="s">
        <v>289</v>
      </c>
      <c r="C829" s="42">
        <v>483.34</v>
      </c>
      <c r="D829" s="6">
        <v>45586</v>
      </c>
      <c r="E829" s="3" t="str">
        <f ca="1">IF(Tabela2[[#This Row],[Dt Venc:]]&gt;TODAY(),"Em Aberto",IF(Tabela2[[#This Row],[D/venc]]="-","Enviado",IF(Tabela2[[#This Row],[Dt Venc:]]=TODAY(),"Vence Hoje","Vencida")))</f>
        <v>Enviado</v>
      </c>
      <c r="F829" s="3" t="str">
        <f ca="1">IF(G829=1,"-",Tabela2[[#This Row],[Dt Venc:]]-TODAY())</f>
        <v>-</v>
      </c>
      <c r="G829" s="3">
        <v>1</v>
      </c>
      <c r="H829" s="3" t="str">
        <f>_xlfn.XLOOKUP(A829,'Notas Faltantes'!A:A,'Notas Faltantes'!E:E,"",0)</f>
        <v/>
      </c>
    </row>
    <row r="830" spans="1:8" ht="18" hidden="1">
      <c r="A830" s="3">
        <v>249732</v>
      </c>
      <c r="B830" s="7" t="s">
        <v>315</v>
      </c>
      <c r="C830" s="42">
        <v>1834.67</v>
      </c>
      <c r="D830" s="6">
        <v>45586</v>
      </c>
      <c r="E830" s="3" t="str">
        <f ca="1">IF(Tabela2[[#This Row],[Dt Venc:]]&gt;TODAY(),"Em Aberto",IF(Tabela2[[#This Row],[D/venc]]="-","Enviado",IF(Tabela2[[#This Row],[Dt Venc:]]=TODAY(),"Vence Hoje","Vencida")))</f>
        <v>Enviado</v>
      </c>
      <c r="F830" s="3" t="str">
        <f ca="1">IF(G830=1,"-",Tabela2[[#This Row],[Dt Venc:]]-TODAY())</f>
        <v>-</v>
      </c>
      <c r="G830" s="3">
        <v>1</v>
      </c>
      <c r="H830" s="3" t="str">
        <f>_xlfn.XLOOKUP(A830,'Notas Faltantes'!A:A,'Notas Faltantes'!E:E,"",0)</f>
        <v/>
      </c>
    </row>
    <row r="831" spans="1:8" ht="18" hidden="1">
      <c r="A831" s="3">
        <v>23325</v>
      </c>
      <c r="B831" s="7" t="s">
        <v>148</v>
      </c>
      <c r="C831" s="42">
        <v>1902.43</v>
      </c>
      <c r="D831" s="6">
        <v>45586</v>
      </c>
      <c r="E831" s="3" t="str">
        <f ca="1">IF(Tabela2[[#This Row],[Dt Venc:]]&gt;TODAY(),"Em Aberto",IF(Tabela2[[#This Row],[D/venc]]="-","Enviado",IF(Tabela2[[#This Row],[Dt Venc:]]=TODAY(),"Vence Hoje","Vencida")))</f>
        <v>Enviado</v>
      </c>
      <c r="F831" s="3" t="str">
        <f ca="1">IF(G831=1,"-",Tabela2[[#This Row],[Dt Venc:]]-TODAY())</f>
        <v>-</v>
      </c>
      <c r="G831" s="3">
        <v>1</v>
      </c>
      <c r="H831" s="3" t="str">
        <f>_xlfn.XLOOKUP(A831,'Notas Faltantes'!A:A,'Notas Faltantes'!E:E,"",0)</f>
        <v/>
      </c>
    </row>
    <row r="832" spans="1:8" ht="18" hidden="1">
      <c r="A832" s="3">
        <v>80032</v>
      </c>
      <c r="B832" s="7" t="s">
        <v>39</v>
      </c>
      <c r="C832" s="42">
        <v>475.6</v>
      </c>
      <c r="D832" s="6">
        <v>45586</v>
      </c>
      <c r="E832" s="3" t="str">
        <f ca="1">IF(Tabela2[[#This Row],[Dt Venc:]]&gt;TODAY(),"Em Aberto",IF(Tabela2[[#This Row],[D/venc]]="-","Enviado",IF(Tabela2[[#This Row],[Dt Venc:]]=TODAY(),"Vence Hoje","Vencida")))</f>
        <v>Enviado</v>
      </c>
      <c r="F832" s="3" t="str">
        <f ca="1">IF(G832=1,"-",Tabela2[[#This Row],[Dt Venc:]]-TODAY())</f>
        <v>-</v>
      </c>
      <c r="G832" s="3">
        <v>1</v>
      </c>
      <c r="H832" s="3" t="str">
        <f>_xlfn.XLOOKUP(A832,'Notas Faltantes'!A:A,'Notas Faltantes'!E:E,"",0)</f>
        <v/>
      </c>
    </row>
    <row r="833" spans="1:8" ht="18" hidden="1">
      <c r="A833" s="3">
        <v>80382</v>
      </c>
      <c r="B833" s="7" t="s">
        <v>39</v>
      </c>
      <c r="C833" s="42">
        <v>616.64</v>
      </c>
      <c r="D833" s="6">
        <v>45586</v>
      </c>
      <c r="E833" s="3" t="str">
        <f ca="1">IF(Tabela2[[#This Row],[Dt Venc:]]&gt;TODAY(),"Em Aberto",IF(Tabela2[[#This Row],[D/venc]]="-","Enviado",IF(Tabela2[[#This Row],[Dt Venc:]]=TODAY(),"Vence Hoje","Vencida")))</f>
        <v>Enviado</v>
      </c>
      <c r="F833" s="3" t="str">
        <f ca="1">IF(G833=1,"-",Tabela2[[#This Row],[Dt Venc:]]-TODAY())</f>
        <v>-</v>
      </c>
      <c r="G833" s="3">
        <v>1</v>
      </c>
      <c r="H833" s="3" t="str">
        <f>_xlfn.XLOOKUP(A833,'Notas Faltantes'!A:A,'Notas Faltantes'!E:E,"",0)</f>
        <v/>
      </c>
    </row>
    <row r="834" spans="1:8" ht="18" hidden="1">
      <c r="A834" s="3">
        <v>80386</v>
      </c>
      <c r="B834" s="7" t="s">
        <v>39</v>
      </c>
      <c r="C834" s="42">
        <v>616.64</v>
      </c>
      <c r="D834" s="6">
        <v>45586</v>
      </c>
      <c r="E834" s="3" t="str">
        <f ca="1">IF(Tabela2[[#This Row],[Dt Venc:]]&gt;TODAY(),"Em Aberto",IF(Tabela2[[#This Row],[D/venc]]="-","Enviado",IF(Tabela2[[#This Row],[Dt Venc:]]=TODAY(),"Vence Hoje","Vencida")))</f>
        <v>Enviado</v>
      </c>
      <c r="F834" s="3" t="str">
        <f ca="1">IF(G834=1,"-",Tabela2[[#This Row],[Dt Venc:]]-TODAY())</f>
        <v>-</v>
      </c>
      <c r="G834" s="3">
        <v>1</v>
      </c>
      <c r="H834" s="3" t="str">
        <f>_xlfn.XLOOKUP(A834,'Notas Faltantes'!A:A,'Notas Faltantes'!E:E,"",0)</f>
        <v/>
      </c>
    </row>
    <row r="835" spans="1:8" ht="18" hidden="1">
      <c r="A835" s="3">
        <v>217368</v>
      </c>
      <c r="B835" s="7" t="s">
        <v>39</v>
      </c>
      <c r="C835" s="42">
        <v>20490</v>
      </c>
      <c r="D835" s="6">
        <v>45586</v>
      </c>
      <c r="E835" s="3" t="str">
        <f ca="1">IF(Tabela2[[#This Row],[Dt Venc:]]&gt;TODAY(),"Em Aberto",IF(Tabela2[[#This Row],[D/venc]]="-","Enviado",IF(Tabela2[[#This Row],[Dt Venc:]]=TODAY(),"Vence Hoje","Vencida")))</f>
        <v>Enviado</v>
      </c>
      <c r="F835" s="3" t="str">
        <f ca="1">IF(G835=1,"-",Tabela2[[#This Row],[Dt Venc:]]-TODAY())</f>
        <v>-</v>
      </c>
      <c r="G835" s="3">
        <v>1</v>
      </c>
      <c r="H835" s="3" t="str">
        <f>_xlfn.XLOOKUP(A835,'Notas Faltantes'!A:A,'Notas Faltantes'!E:E,"",0)</f>
        <v/>
      </c>
    </row>
    <row r="836" spans="1:8" ht="18" hidden="1">
      <c r="A836" s="3">
        <v>361193</v>
      </c>
      <c r="B836" s="7" t="s">
        <v>39</v>
      </c>
      <c r="C836" s="42">
        <v>290.41000000000003</v>
      </c>
      <c r="D836" s="6">
        <v>45586</v>
      </c>
      <c r="E836" s="3" t="str">
        <f ca="1">IF(Tabela2[[#This Row],[Dt Venc:]]&gt;TODAY(),"Em Aberto",IF(Tabela2[[#This Row],[D/venc]]="-","Enviado",IF(Tabela2[[#This Row],[Dt Venc:]]=TODAY(),"Vence Hoje","Vencida")))</f>
        <v>Enviado</v>
      </c>
      <c r="F836" s="3" t="str">
        <f ca="1">IF(G836=1,"-",Tabela2[[#This Row],[Dt Venc:]]-TODAY())</f>
        <v>-</v>
      </c>
      <c r="G836" s="3">
        <v>1</v>
      </c>
      <c r="H836" s="3" t="str">
        <f>_xlfn.XLOOKUP(A836,'Notas Faltantes'!A:A,'Notas Faltantes'!E:E,"",0)</f>
        <v/>
      </c>
    </row>
    <row r="837" spans="1:8" ht="18" hidden="1">
      <c r="A837" s="3">
        <v>363514</v>
      </c>
      <c r="B837" s="7" t="s">
        <v>39</v>
      </c>
      <c r="C837" s="42">
        <v>290.41000000000003</v>
      </c>
      <c r="D837" s="6">
        <v>45586</v>
      </c>
      <c r="E837" s="3" t="str">
        <f ca="1">IF(Tabela2[[#This Row],[Dt Venc:]]&gt;TODAY(),"Em Aberto",IF(Tabela2[[#This Row],[D/venc]]="-","Enviado",IF(Tabela2[[#This Row],[Dt Venc:]]=TODAY(),"Vence Hoje","Vencida")))</f>
        <v>Enviado</v>
      </c>
      <c r="F837" s="3" t="str">
        <f ca="1">IF(G837=1,"-",Tabela2[[#This Row],[Dt Venc:]]-TODAY())</f>
        <v>-</v>
      </c>
      <c r="G837" s="3">
        <v>1</v>
      </c>
      <c r="H837" s="3" t="str">
        <f>_xlfn.XLOOKUP(A837,'Notas Faltantes'!A:A,'Notas Faltantes'!E:E,"",0)</f>
        <v/>
      </c>
    </row>
    <row r="838" spans="1:8" ht="18" hidden="1">
      <c r="A838" s="3">
        <v>363543</v>
      </c>
      <c r="B838" s="7" t="s">
        <v>39</v>
      </c>
      <c r="C838" s="42">
        <v>290.41000000000003</v>
      </c>
      <c r="D838" s="6">
        <v>45586</v>
      </c>
      <c r="E838" s="3" t="str">
        <f ca="1">IF(Tabela2[[#This Row],[Dt Venc:]]&gt;TODAY(),"Em Aberto",IF(Tabela2[[#This Row],[D/venc]]="-","Enviado",IF(Tabela2[[#This Row],[Dt Venc:]]=TODAY(),"Vence Hoje","Vencida")))</f>
        <v>Enviado</v>
      </c>
      <c r="F838" s="3" t="str">
        <f ca="1">IF(G838=1,"-",Tabela2[[#This Row],[Dt Venc:]]-TODAY())</f>
        <v>-</v>
      </c>
      <c r="G838" s="3">
        <v>1</v>
      </c>
      <c r="H838" s="3" t="str">
        <f>_xlfn.XLOOKUP(A838,'Notas Faltantes'!A:A,'Notas Faltantes'!E:E,"",0)</f>
        <v/>
      </c>
    </row>
    <row r="839" spans="1:8" ht="18" hidden="1">
      <c r="A839" s="3">
        <v>600741</v>
      </c>
      <c r="B839" s="7" t="s">
        <v>66</v>
      </c>
      <c r="C839" s="42">
        <v>900.9</v>
      </c>
      <c r="D839" s="6">
        <v>45586</v>
      </c>
      <c r="E839" s="3" t="str">
        <f ca="1">IF(Tabela2[[#This Row],[Dt Venc:]]&gt;TODAY(),"Em Aberto",IF(Tabela2[[#This Row],[D/venc]]="-","Enviado",IF(Tabela2[[#This Row],[Dt Venc:]]=TODAY(),"Vence Hoje","Vencida")))</f>
        <v>Enviado</v>
      </c>
      <c r="F839" s="3" t="str">
        <f ca="1">IF(G839=1,"-",Tabela2[[#This Row],[Dt Venc:]]-TODAY())</f>
        <v>-</v>
      </c>
      <c r="G839" s="3">
        <v>1</v>
      </c>
      <c r="H839" s="3" t="str">
        <f>_xlfn.XLOOKUP(A839,'Notas Faltantes'!A:A,'Notas Faltantes'!E:E,"",0)</f>
        <v/>
      </c>
    </row>
    <row r="840" spans="1:8" ht="18" hidden="1">
      <c r="A840" s="3">
        <v>29251</v>
      </c>
      <c r="B840" s="7" t="s">
        <v>18</v>
      </c>
      <c r="C840" s="42">
        <v>2925</v>
      </c>
      <c r="D840" s="6">
        <v>45586</v>
      </c>
      <c r="E840" s="3" t="str">
        <f ca="1">IF(Tabela2[[#This Row],[Dt Venc:]]&gt;TODAY(),"Em Aberto",IF(Tabela2[[#This Row],[D/venc]]="-","Enviado",IF(Tabela2[[#This Row],[Dt Venc:]]=TODAY(),"Vence Hoje","Vencida")))</f>
        <v>Enviado</v>
      </c>
      <c r="F840" s="3" t="str">
        <f ca="1">IF(G840=1,"-",Tabela2[[#This Row],[Dt Venc:]]-TODAY())</f>
        <v>-</v>
      </c>
      <c r="G840" s="3">
        <v>1</v>
      </c>
      <c r="H840" s="3" t="str">
        <f>_xlfn.XLOOKUP(A840,'Notas Faltantes'!A:A,'Notas Faltantes'!E:E,"",0)</f>
        <v/>
      </c>
    </row>
    <row r="841" spans="1:8" ht="18" hidden="1">
      <c r="A841" s="3">
        <v>68685</v>
      </c>
      <c r="B841" s="7" t="s">
        <v>76</v>
      </c>
      <c r="C841" s="42">
        <v>1195.19</v>
      </c>
      <c r="D841" s="6">
        <v>45586</v>
      </c>
      <c r="E841" s="3" t="str">
        <f ca="1">IF(Tabela2[[#This Row],[Dt Venc:]]&gt;TODAY(),"Em Aberto",IF(Tabela2[[#This Row],[D/venc]]="-","Enviado",IF(Tabela2[[#This Row],[Dt Venc:]]=TODAY(),"Vence Hoje","Vencida")))</f>
        <v>Enviado</v>
      </c>
      <c r="F841" s="3" t="str">
        <f ca="1">IF(G841=1,"-",Tabela2[[#This Row],[Dt Venc:]]-TODAY())</f>
        <v>-</v>
      </c>
      <c r="G841" s="3">
        <v>1</v>
      </c>
      <c r="H841" s="3" t="str">
        <f>_xlfn.XLOOKUP(A841,'Notas Faltantes'!A:A,'Notas Faltantes'!E:E,"",0)</f>
        <v/>
      </c>
    </row>
    <row r="842" spans="1:8" ht="18" hidden="1">
      <c r="A842" s="3">
        <v>69839</v>
      </c>
      <c r="B842" s="7" t="s">
        <v>76</v>
      </c>
      <c r="C842" s="42">
        <v>878.26</v>
      </c>
      <c r="D842" s="6">
        <v>45586</v>
      </c>
      <c r="E842" s="3" t="str">
        <f ca="1">IF(Tabela2[[#This Row],[Dt Venc:]]&gt;TODAY(),"Em Aberto",IF(Tabela2[[#This Row],[D/venc]]="-","Enviado",IF(Tabela2[[#This Row],[Dt Venc:]]=TODAY(),"Vence Hoje","Vencida")))</f>
        <v>Enviado</v>
      </c>
      <c r="F842" s="3" t="str">
        <f ca="1">IF(G842=1,"-",Tabela2[[#This Row],[Dt Venc:]]-TODAY())</f>
        <v>-</v>
      </c>
      <c r="G842" s="3">
        <v>1</v>
      </c>
      <c r="H842" s="3" t="str">
        <f>_xlfn.XLOOKUP(A842,'Notas Faltantes'!A:A,'Notas Faltantes'!E:E,"",0)</f>
        <v/>
      </c>
    </row>
    <row r="843" spans="1:8" ht="18" hidden="1">
      <c r="A843" s="3">
        <v>202021</v>
      </c>
      <c r="B843" s="7" t="s">
        <v>43</v>
      </c>
      <c r="C843" s="42">
        <v>1170.8699999999999</v>
      </c>
      <c r="D843" s="6">
        <v>45586</v>
      </c>
      <c r="E843" s="3" t="str">
        <f ca="1">IF(Tabela2[[#This Row],[Dt Venc:]]&gt;TODAY(),"Em Aberto",IF(Tabela2[[#This Row],[D/venc]]="-","Enviado",IF(Tabela2[[#This Row],[Dt Venc:]]=TODAY(),"Vence Hoje","Vencida")))</f>
        <v>Enviado</v>
      </c>
      <c r="F843" s="3" t="str">
        <f ca="1">IF(G843=1,"-",Tabela2[[#This Row],[Dt Venc:]]-TODAY())</f>
        <v>-</v>
      </c>
      <c r="G843" s="3">
        <v>1</v>
      </c>
      <c r="H843" s="3" t="str">
        <f>_xlfn.XLOOKUP(A843,'Notas Faltantes'!A:A,'Notas Faltantes'!E:E,"",0)</f>
        <v/>
      </c>
    </row>
    <row r="844" spans="1:8" ht="18" hidden="1">
      <c r="A844" s="3">
        <v>151622</v>
      </c>
      <c r="B844" s="7" t="s">
        <v>77</v>
      </c>
      <c r="C844" s="42">
        <v>1383.33</v>
      </c>
      <c r="D844" s="6">
        <v>45586</v>
      </c>
      <c r="E844" s="3" t="str">
        <f ca="1">IF(Tabela2[[#This Row],[Dt Venc:]]&gt;TODAY(),"Em Aberto",IF(Tabela2[[#This Row],[D/venc]]="-","Enviado",IF(Tabela2[[#This Row],[Dt Venc:]]=TODAY(),"Vence Hoje","Vencida")))</f>
        <v>Enviado</v>
      </c>
      <c r="F844" s="3" t="str">
        <f ca="1">IF(G844=1,"-",Tabela2[[#This Row],[Dt Venc:]]-TODAY())</f>
        <v>-</v>
      </c>
      <c r="G844" s="3">
        <v>1</v>
      </c>
      <c r="H844" s="3" t="str">
        <f>_xlfn.XLOOKUP(A844,'Notas Faltantes'!A:A,'Notas Faltantes'!E:E,"",0)</f>
        <v/>
      </c>
    </row>
    <row r="845" spans="1:8" ht="18" hidden="1">
      <c r="A845" s="3">
        <v>322546</v>
      </c>
      <c r="B845" s="7" t="s">
        <v>77</v>
      </c>
      <c r="C845" s="42">
        <v>574.66999999999996</v>
      </c>
      <c r="D845" s="6">
        <v>45586</v>
      </c>
      <c r="E845" s="3" t="str">
        <f ca="1">IF(Tabela2[[#This Row],[Dt Venc:]]&gt;TODAY(),"Em Aberto",IF(Tabela2[[#This Row],[D/venc]]="-","Enviado",IF(Tabela2[[#This Row],[Dt Venc:]]=TODAY(),"Vence Hoje","Vencida")))</f>
        <v>Enviado</v>
      </c>
      <c r="F845" s="3" t="str">
        <f ca="1">IF(G845=1,"-",Tabela2[[#This Row],[Dt Venc:]]-TODAY())</f>
        <v>-</v>
      </c>
      <c r="G845" s="3">
        <v>1</v>
      </c>
      <c r="H845" s="3" t="str">
        <f>_xlfn.XLOOKUP(A845,'Notas Faltantes'!A:A,'Notas Faltantes'!E:E,"",0)</f>
        <v/>
      </c>
    </row>
    <row r="846" spans="1:8" ht="18" hidden="1">
      <c r="A846" s="3">
        <v>24049</v>
      </c>
      <c r="B846" s="7" t="s">
        <v>70</v>
      </c>
      <c r="C846" s="42">
        <v>2809.74</v>
      </c>
      <c r="D846" s="6">
        <v>45586</v>
      </c>
      <c r="E846" s="3" t="str">
        <f ca="1">IF(Tabela2[[#This Row],[Dt Venc:]]&gt;TODAY(),"Em Aberto",IF(Tabela2[[#This Row],[D/venc]]="-","Enviado",IF(Tabela2[[#This Row],[Dt Venc:]]=TODAY(),"Vence Hoje","Vencida")))</f>
        <v>Enviado</v>
      </c>
      <c r="F846" s="3" t="str">
        <f ca="1">IF(G846=1,"-",Tabela2[[#This Row],[Dt Venc:]]-TODAY())</f>
        <v>-</v>
      </c>
      <c r="G846" s="3">
        <v>1</v>
      </c>
      <c r="H846" s="3" t="str">
        <f>_xlfn.XLOOKUP(A846,'Notas Faltantes'!A:A,'Notas Faltantes'!E:E,"",0)</f>
        <v/>
      </c>
    </row>
    <row r="847" spans="1:8" ht="18" hidden="1">
      <c r="A847" s="3">
        <v>24734</v>
      </c>
      <c r="B847" s="7" t="s">
        <v>70</v>
      </c>
      <c r="C847" s="42">
        <v>579.46</v>
      </c>
      <c r="D847" s="6">
        <v>45586</v>
      </c>
      <c r="E847" s="3" t="str">
        <f ca="1">IF(Tabela2[[#This Row],[Dt Venc:]]&gt;TODAY(),"Em Aberto",IF(Tabela2[[#This Row],[D/venc]]="-","Enviado",IF(Tabela2[[#This Row],[Dt Venc:]]=TODAY(),"Vence Hoje","Vencida")))</f>
        <v>Enviado</v>
      </c>
      <c r="F847" s="3" t="str">
        <f ca="1">IF(G847=1,"-",Tabela2[[#This Row],[Dt Venc:]]-TODAY())</f>
        <v>-</v>
      </c>
      <c r="G847" s="3">
        <v>1</v>
      </c>
      <c r="H847" s="3" t="str">
        <f>_xlfn.XLOOKUP(A847,'Notas Faltantes'!A:A,'Notas Faltantes'!E:E,"",0)</f>
        <v/>
      </c>
    </row>
    <row r="848" spans="1:8" ht="18" hidden="1">
      <c r="A848" s="3">
        <v>5647</v>
      </c>
      <c r="B848" s="7" t="s">
        <v>47</v>
      </c>
      <c r="C848" s="42">
        <v>907.57</v>
      </c>
      <c r="D848" s="6">
        <v>45586</v>
      </c>
      <c r="E848" s="3" t="str">
        <f ca="1">IF(Tabela2[[#This Row],[Dt Venc:]]&gt;TODAY(),"Em Aberto",IF(Tabela2[[#This Row],[D/venc]]="-","Enviado",IF(Tabela2[[#This Row],[Dt Venc:]]=TODAY(),"Vence Hoje","Vencida")))</f>
        <v>Enviado</v>
      </c>
      <c r="F848" s="3" t="str">
        <f ca="1">IF(G848=1,"-",Tabela2[[#This Row],[Dt Venc:]]-TODAY())</f>
        <v>-</v>
      </c>
      <c r="G848" s="3">
        <v>1</v>
      </c>
      <c r="H848" s="3" t="str">
        <f>_xlfn.XLOOKUP(A848,'Notas Faltantes'!A:A,'Notas Faltantes'!E:E,"",0)</f>
        <v/>
      </c>
    </row>
    <row r="849" spans="1:8" ht="18" hidden="1">
      <c r="A849" s="3">
        <v>3256306</v>
      </c>
      <c r="B849" s="7" t="s">
        <v>71</v>
      </c>
      <c r="C849" s="42">
        <v>1921</v>
      </c>
      <c r="D849" s="6">
        <v>45586</v>
      </c>
      <c r="E849" s="3" t="str">
        <f ca="1">IF(Tabela2[[#This Row],[Dt Venc:]]&gt;TODAY(),"Em Aberto",IF(Tabela2[[#This Row],[D/venc]]="-","Enviado",IF(Tabela2[[#This Row],[Dt Venc:]]=TODAY(),"Vence Hoje","Vencida")))</f>
        <v>Enviado</v>
      </c>
      <c r="F849" s="3" t="str">
        <f ca="1">IF(G849=1,"-",Tabela2[[#This Row],[Dt Venc:]]-TODAY())</f>
        <v>-</v>
      </c>
      <c r="G849" s="3">
        <v>1</v>
      </c>
      <c r="H849" s="3" t="str">
        <f>_xlfn.XLOOKUP(A849,'Notas Faltantes'!A:A,'Notas Faltantes'!E:E,"",0)</f>
        <v/>
      </c>
    </row>
    <row r="850" spans="1:8" ht="18" hidden="1">
      <c r="A850" s="3">
        <v>41478</v>
      </c>
      <c r="B850" s="7" t="s">
        <v>197</v>
      </c>
      <c r="C850" s="41">
        <v>688.4</v>
      </c>
      <c r="D850" s="6">
        <v>45586</v>
      </c>
      <c r="E850" s="3" t="str">
        <f ca="1">IF(Tabela2[[#This Row],[Dt Venc:]]&gt;TODAY(),"Em Aberto",IF(Tabela2[[#This Row],[D/venc]]="-","Enviado",IF(Tabela2[[#This Row],[Dt Venc:]]=TODAY(),"Vence Hoje","Vencida")))</f>
        <v>Enviado</v>
      </c>
      <c r="F850" s="3" t="str">
        <f ca="1">IF(G850=1,"-",Tabela2[[#This Row],[Dt Venc:]]-TODAY())</f>
        <v>-</v>
      </c>
      <c r="G850" s="3">
        <v>1</v>
      </c>
      <c r="H850" s="3" t="str">
        <f>_xlfn.XLOOKUP(A850,'Notas Faltantes'!A:A,'Notas Faltantes'!E:E,"",0)</f>
        <v/>
      </c>
    </row>
    <row r="851" spans="1:8" ht="18" hidden="1">
      <c r="A851" s="3">
        <v>33829</v>
      </c>
      <c r="B851" s="7" t="s">
        <v>316</v>
      </c>
      <c r="C851" s="41">
        <v>450</v>
      </c>
      <c r="D851" s="6">
        <v>45586</v>
      </c>
      <c r="E851" s="3" t="str">
        <f ca="1">IF(Tabela2[[#This Row],[Dt Venc:]]&gt;TODAY(),"Em Aberto",IF(Tabela2[[#This Row],[D/venc]]="-","Enviado",IF(Tabela2[[#This Row],[Dt Venc:]]=TODAY(),"Vence Hoje","Vencida")))</f>
        <v>Enviado</v>
      </c>
      <c r="F851" s="3" t="str">
        <f ca="1">IF(G851=1,"-",Tabela2[[#This Row],[Dt Venc:]]-TODAY())</f>
        <v>-</v>
      </c>
      <c r="G851" s="3">
        <v>1</v>
      </c>
      <c r="H851" s="3" t="str">
        <f>_xlfn.XLOOKUP(A851,'Notas Faltantes'!A:A,'Notas Faltantes'!E:E,"",0)</f>
        <v/>
      </c>
    </row>
    <row r="852" spans="1:8" ht="18" hidden="1">
      <c r="A852" s="3">
        <v>37</v>
      </c>
      <c r="B852" s="7" t="s">
        <v>132</v>
      </c>
      <c r="C852" s="41">
        <v>1150</v>
      </c>
      <c r="D852" s="6">
        <v>45586</v>
      </c>
      <c r="E852" s="3" t="str">
        <f ca="1">IF(Tabela2[[#This Row],[Dt Venc:]]&gt;TODAY(),"Em Aberto",IF(Tabela2[[#This Row],[D/venc]]="-","Enviado",IF(Tabela2[[#This Row],[Dt Venc:]]=TODAY(),"Vence Hoje","Vencida")))</f>
        <v>Enviado</v>
      </c>
      <c r="F852" s="3" t="str">
        <f ca="1">IF(G852=1,"-",Tabela2[[#This Row],[Dt Venc:]]-TODAY())</f>
        <v>-</v>
      </c>
      <c r="G852" s="3">
        <v>1</v>
      </c>
      <c r="H852" s="3" t="str">
        <f>_xlfn.XLOOKUP(A852,'Notas Faltantes'!A:A,'Notas Faltantes'!E:E,"",0)</f>
        <v/>
      </c>
    </row>
    <row r="853" spans="1:8" ht="18" hidden="1">
      <c r="A853" s="3">
        <v>365864</v>
      </c>
      <c r="B853" s="7" t="s">
        <v>187</v>
      </c>
      <c r="C853" s="41">
        <v>436.07</v>
      </c>
      <c r="D853" s="6">
        <v>45586</v>
      </c>
      <c r="E853" s="3" t="str">
        <f ca="1">IF(Tabela2[[#This Row],[Dt Venc:]]&gt;TODAY(),"Em Aberto",IF(Tabela2[[#This Row],[D/venc]]="-","Enviado",IF(Tabela2[[#This Row],[Dt Venc:]]=TODAY(),"Vence Hoje","Vencida")))</f>
        <v>Enviado</v>
      </c>
      <c r="F853" s="3" t="str">
        <f ca="1">IF(G853=1,"-",Tabela2[[#This Row],[Dt Venc:]]-TODAY())</f>
        <v>-</v>
      </c>
      <c r="G853" s="3">
        <v>1</v>
      </c>
      <c r="H853" s="3" t="str">
        <f>_xlfn.XLOOKUP(A853,'Notas Faltantes'!A:A,'Notas Faltantes'!E:E,"",0)</f>
        <v/>
      </c>
    </row>
    <row r="854" spans="1:8" ht="18" hidden="1">
      <c r="A854" s="3">
        <v>10791</v>
      </c>
      <c r="B854" s="7" t="s">
        <v>33</v>
      </c>
      <c r="C854" s="41">
        <v>400</v>
      </c>
      <c r="D854" s="6">
        <v>45586</v>
      </c>
      <c r="E854" s="3" t="str">
        <f ca="1">IF(Tabela2[[#This Row],[Dt Venc:]]&gt;TODAY(),"Em Aberto",IF(Tabela2[[#This Row],[D/venc]]="-","Enviado",IF(Tabela2[[#This Row],[Dt Venc:]]=TODAY(),"Vence Hoje","Vencida")))</f>
        <v>Enviado</v>
      </c>
      <c r="F854" s="3" t="str">
        <f ca="1">IF(G854=1,"-",Tabela2[[#This Row],[Dt Venc:]]-TODAY())</f>
        <v>-</v>
      </c>
      <c r="G854" s="3">
        <v>1</v>
      </c>
      <c r="H854" s="3" t="str">
        <f>_xlfn.XLOOKUP(A854,'Notas Faltantes'!A:A,'Notas Faltantes'!E:E,"",0)</f>
        <v/>
      </c>
    </row>
    <row r="855" spans="1:8" ht="18" hidden="1">
      <c r="A855" s="3">
        <v>51</v>
      </c>
      <c r="B855" s="7" t="s">
        <v>317</v>
      </c>
      <c r="C855" s="41">
        <v>42917</v>
      </c>
      <c r="D855" s="6">
        <v>45586</v>
      </c>
      <c r="E855" s="3" t="str">
        <f ca="1">IF(Tabela2[[#This Row],[Dt Venc:]]&gt;TODAY(),"Em Aberto",IF(Tabela2[[#This Row],[D/venc]]="-","Enviado",IF(Tabela2[[#This Row],[Dt Venc:]]=TODAY(),"Vence Hoje","Vencida")))</f>
        <v>Enviado</v>
      </c>
      <c r="F855" s="3" t="str">
        <f ca="1">IF(G855=1,"-",Tabela2[[#This Row],[Dt Venc:]]-TODAY())</f>
        <v>-</v>
      </c>
      <c r="G855" s="3">
        <v>1</v>
      </c>
      <c r="H855" s="3" t="str">
        <f>_xlfn.XLOOKUP(A855,'Notas Faltantes'!A:A,'Notas Faltantes'!E:E,"",0)</f>
        <v/>
      </c>
    </row>
    <row r="856" spans="1:8" ht="18" hidden="1">
      <c r="A856" s="3">
        <v>7156</v>
      </c>
      <c r="B856" s="7" t="s">
        <v>318</v>
      </c>
      <c r="C856" s="41">
        <v>931</v>
      </c>
      <c r="D856" s="6">
        <v>45586</v>
      </c>
      <c r="E856" s="3" t="str">
        <f ca="1">IF(Tabela2[[#This Row],[Dt Venc:]]&gt;TODAY(),"Em Aberto",IF(Tabela2[[#This Row],[D/venc]]="-","Enviado",IF(Tabela2[[#This Row],[Dt Venc:]]=TODAY(),"Vence Hoje","Vencida")))</f>
        <v>Enviado</v>
      </c>
      <c r="F856" s="3" t="str">
        <f ca="1">IF(G856=1,"-",Tabela2[[#This Row],[Dt Venc:]]-TODAY())</f>
        <v>-</v>
      </c>
      <c r="G856" s="3">
        <v>1</v>
      </c>
      <c r="H856" s="3" t="str">
        <f>_xlfn.XLOOKUP(A856,'Notas Faltantes'!A:A,'Notas Faltantes'!E:E,"",0)</f>
        <v/>
      </c>
    </row>
    <row r="857" spans="1:8" ht="18" hidden="1">
      <c r="A857" s="3">
        <v>234909</v>
      </c>
      <c r="B857" s="7" t="s">
        <v>139</v>
      </c>
      <c r="C857" s="41">
        <v>890</v>
      </c>
      <c r="D857" s="6">
        <v>45586</v>
      </c>
      <c r="E857" s="3" t="str">
        <f ca="1">IF(Tabela2[[#This Row],[Dt Venc:]]&gt;TODAY(),"Em Aberto",IF(Tabela2[[#This Row],[D/venc]]="-","Enviado",IF(Tabela2[[#This Row],[Dt Venc:]]=TODAY(),"Vence Hoje","Vencida")))</f>
        <v>Enviado</v>
      </c>
      <c r="F857" s="3" t="str">
        <f ca="1">IF(G857=1,"-",Tabela2[[#This Row],[Dt Venc:]]-TODAY())</f>
        <v>-</v>
      </c>
      <c r="G857" s="3">
        <v>1</v>
      </c>
      <c r="H857" s="3" t="str">
        <f>_xlfn.XLOOKUP(A857,'Notas Faltantes'!A:A,'Notas Faltantes'!E:E,"",0)</f>
        <v/>
      </c>
    </row>
    <row r="858" spans="1:8" ht="18" hidden="1">
      <c r="A858" s="3">
        <v>42878</v>
      </c>
      <c r="B858" s="7" t="s">
        <v>144</v>
      </c>
      <c r="C858" s="41">
        <v>1013.34</v>
      </c>
      <c r="D858" s="6">
        <v>45586</v>
      </c>
      <c r="E858" s="3" t="str">
        <f ca="1">IF(Tabela2[[#This Row],[Dt Venc:]]&gt;TODAY(),"Em Aberto",IF(Tabela2[[#This Row],[D/venc]]="-","Enviado",IF(Tabela2[[#This Row],[Dt Venc:]]=TODAY(),"Vence Hoje","Vencida")))</f>
        <v>Enviado</v>
      </c>
      <c r="F858" s="3" t="str">
        <f ca="1">IF(G858=1,"-",Tabela2[[#This Row],[Dt Venc:]]-TODAY())</f>
        <v>-</v>
      </c>
      <c r="G858" s="3">
        <v>1</v>
      </c>
      <c r="H858" s="3" t="str">
        <f>_xlfn.XLOOKUP(A858,'Notas Faltantes'!A:A,'Notas Faltantes'!E:E,"",0)</f>
        <v/>
      </c>
    </row>
    <row r="859" spans="1:8" ht="18" hidden="1">
      <c r="A859" s="3">
        <v>1024</v>
      </c>
      <c r="B859" s="7" t="s">
        <v>155</v>
      </c>
      <c r="C859" s="41">
        <v>13835.61</v>
      </c>
      <c r="D859" s="6">
        <v>45586</v>
      </c>
      <c r="E859" s="3" t="str">
        <f ca="1">IF(Tabela2[[#This Row],[Dt Venc:]]&gt;TODAY(),"Em Aberto",IF(Tabela2[[#This Row],[D/venc]]="-","Enviado",IF(Tabela2[[#This Row],[Dt Venc:]]=TODAY(),"Vence Hoje","Vencida")))</f>
        <v>Enviado</v>
      </c>
      <c r="F859" s="3" t="str">
        <f ca="1">IF(G859=1,"-",Tabela2[[#This Row],[Dt Venc:]]-TODAY())</f>
        <v>-</v>
      </c>
      <c r="G859" s="3">
        <v>1</v>
      </c>
      <c r="H859" s="3" t="str">
        <f>_xlfn.XLOOKUP(A859,'Notas Faltantes'!A:A,'Notas Faltantes'!E:E,"",0)</f>
        <v/>
      </c>
    </row>
    <row r="860" spans="1:8" ht="18" hidden="1">
      <c r="A860" s="3">
        <v>5612</v>
      </c>
      <c r="B860" s="7" t="s">
        <v>249</v>
      </c>
      <c r="C860" s="41">
        <v>233</v>
      </c>
      <c r="D860" s="6">
        <v>45586</v>
      </c>
      <c r="E860" s="3" t="str">
        <f ca="1">IF(Tabela2[[#This Row],[Dt Venc:]]&gt;TODAY(),"Em Aberto",IF(Tabela2[[#This Row],[D/venc]]="-","Enviado",IF(Tabela2[[#This Row],[Dt Venc:]]=TODAY(),"Vence Hoje","Vencida")))</f>
        <v>Enviado</v>
      </c>
      <c r="F860" s="3" t="str">
        <f ca="1">IF(G860=1,"-",Tabela2[[#This Row],[Dt Venc:]]-TODAY())</f>
        <v>-</v>
      </c>
      <c r="G860" s="3">
        <v>1</v>
      </c>
      <c r="H860" s="3" t="str">
        <f>_xlfn.XLOOKUP(A860,'Notas Faltantes'!A:A,'Notas Faltantes'!E:E,"",0)</f>
        <v/>
      </c>
    </row>
    <row r="861" spans="1:8" ht="18" hidden="1">
      <c r="A861" s="3">
        <v>21544</v>
      </c>
      <c r="B861" s="7" t="s">
        <v>319</v>
      </c>
      <c r="C861" s="41">
        <v>734.5</v>
      </c>
      <c r="D861" s="6">
        <v>45586</v>
      </c>
      <c r="E861" s="3" t="str">
        <f ca="1">IF(Tabela2[[#This Row],[Dt Venc:]]&gt;TODAY(),"Em Aberto",IF(Tabela2[[#This Row],[D/venc]]="-","Enviado",IF(Tabela2[[#This Row],[Dt Venc:]]=TODAY(),"Vence Hoje","Vencida")))</f>
        <v>Enviado</v>
      </c>
      <c r="F861" s="3" t="str">
        <f ca="1">IF(G861=1,"-",Tabela2[[#This Row],[Dt Venc:]]-TODAY())</f>
        <v>-</v>
      </c>
      <c r="G861" s="3">
        <v>1</v>
      </c>
      <c r="H861" s="3" t="str">
        <f>_xlfn.XLOOKUP(A861,'Notas Faltantes'!A:A,'Notas Faltantes'!E:E,"",0)</f>
        <v/>
      </c>
    </row>
    <row r="862" spans="1:8" ht="18" hidden="1">
      <c r="A862" s="3">
        <v>228692</v>
      </c>
      <c r="B862" s="7" t="s">
        <v>300</v>
      </c>
      <c r="C862" s="41">
        <v>941.85</v>
      </c>
      <c r="D862" s="6">
        <v>45586</v>
      </c>
      <c r="E862" s="3" t="str">
        <f ca="1">IF(Tabela2[[#This Row],[Dt Venc:]]&gt;TODAY(),"Em Aberto",IF(Tabela2[[#This Row],[D/venc]]="-","Enviado",IF(Tabela2[[#This Row],[Dt Venc:]]=TODAY(),"Vence Hoje","Vencida")))</f>
        <v>Enviado</v>
      </c>
      <c r="F862" s="3" t="str">
        <f ca="1">IF(G862=1,"-",Tabela2[[#This Row],[Dt Venc:]]-TODAY())</f>
        <v>-</v>
      </c>
      <c r="G862" s="3">
        <v>1</v>
      </c>
      <c r="H862" s="3" t="str">
        <f>_xlfn.XLOOKUP(A862,'Notas Faltantes'!A:A,'Notas Faltantes'!E:E,"",0)</f>
        <v/>
      </c>
    </row>
    <row r="863" spans="1:8" ht="18" hidden="1">
      <c r="A863" s="3">
        <v>608912</v>
      </c>
      <c r="B863" s="7" t="s">
        <v>287</v>
      </c>
      <c r="C863" s="41">
        <v>2258.02</v>
      </c>
      <c r="D863" s="6">
        <v>45586</v>
      </c>
      <c r="E863" s="3" t="str">
        <f ca="1">IF(Tabela2[[#This Row],[Dt Venc:]]&gt;TODAY(),"Em Aberto",IF(Tabela2[[#This Row],[D/venc]]="-","Enviado",IF(Tabela2[[#This Row],[Dt Venc:]]=TODAY(),"Vence Hoje","Vencida")))</f>
        <v>Enviado</v>
      </c>
      <c r="F863" s="3" t="str">
        <f ca="1">IF(G863=1,"-",Tabela2[[#This Row],[Dt Venc:]]-TODAY())</f>
        <v>-</v>
      </c>
      <c r="G863" s="3">
        <v>1</v>
      </c>
      <c r="H863" s="3" t="str">
        <f>_xlfn.XLOOKUP(A863,'Notas Faltantes'!A:A,'Notas Faltantes'!E:E,"",0)</f>
        <v/>
      </c>
    </row>
    <row r="864" spans="1:8" ht="18" hidden="1">
      <c r="A864" s="3">
        <v>228677</v>
      </c>
      <c r="B864" s="7" t="s">
        <v>300</v>
      </c>
      <c r="C864" s="41">
        <v>1295.4000000000001</v>
      </c>
      <c r="D864" s="6">
        <v>45586</v>
      </c>
      <c r="E864" s="3" t="str">
        <f ca="1">IF(Tabela2[[#This Row],[Dt Venc:]]&gt;TODAY(),"Em Aberto",IF(Tabela2[[#This Row],[D/venc]]="-","Enviado",IF(Tabela2[[#This Row],[Dt Venc:]]=TODAY(),"Vence Hoje","Vencida")))</f>
        <v>Enviado</v>
      </c>
      <c r="F864" s="3" t="str">
        <f ca="1">IF(G864=1,"-",Tabela2[[#This Row],[Dt Venc:]]-TODAY())</f>
        <v>-</v>
      </c>
      <c r="G864" s="3">
        <v>1</v>
      </c>
      <c r="H864" s="3" t="str">
        <f>_xlfn.XLOOKUP(A864,'Notas Faltantes'!A:A,'Notas Faltantes'!E:E,"",0)</f>
        <v/>
      </c>
    </row>
    <row r="865" spans="1:8" ht="18" hidden="1">
      <c r="A865" s="3">
        <v>4472072</v>
      </c>
      <c r="B865" s="7" t="s">
        <v>219</v>
      </c>
      <c r="C865" s="41">
        <v>133</v>
      </c>
      <c r="D865" s="6">
        <v>45586</v>
      </c>
      <c r="E865" s="3" t="str">
        <f ca="1">IF(Tabela2[[#This Row],[Dt Venc:]]&gt;TODAY(),"Em Aberto",IF(Tabela2[[#This Row],[D/venc]]="-","Enviado",IF(Tabela2[[#This Row],[Dt Venc:]]=TODAY(),"Vence Hoje","Vencida")))</f>
        <v>Enviado</v>
      </c>
      <c r="F865" s="3" t="str">
        <f ca="1">IF(G865=1,"-",Tabela2[[#This Row],[Dt Venc:]]-TODAY())</f>
        <v>-</v>
      </c>
      <c r="G865" s="3">
        <v>1</v>
      </c>
      <c r="H865" s="3" t="str">
        <f>_xlfn.XLOOKUP(A865,'Notas Faltantes'!A:A,'Notas Faltantes'!E:E,"",0)</f>
        <v/>
      </c>
    </row>
    <row r="866" spans="1:8" ht="18" hidden="1">
      <c r="A866" s="3">
        <v>5045</v>
      </c>
      <c r="B866" s="7" t="s">
        <v>134</v>
      </c>
      <c r="C866" s="41">
        <v>775</v>
      </c>
      <c r="D866" s="6">
        <v>45586</v>
      </c>
      <c r="E866" s="3" t="str">
        <f ca="1">IF(Tabela2[[#This Row],[Dt Venc:]]&gt;TODAY(),"Em Aberto",IF(Tabela2[[#This Row],[D/venc]]="-","Enviado",IF(Tabela2[[#This Row],[Dt Venc:]]=TODAY(),"Vence Hoje","Vencida")))</f>
        <v>Enviado</v>
      </c>
      <c r="F866" s="3" t="str">
        <f ca="1">IF(G866=1,"-",Tabela2[[#This Row],[Dt Venc:]]-TODAY())</f>
        <v>-</v>
      </c>
      <c r="G866" s="3">
        <v>1</v>
      </c>
      <c r="H866" s="3" t="str">
        <f>_xlfn.XLOOKUP(A866,'Notas Faltantes'!A:A,'Notas Faltantes'!E:E,"",0)</f>
        <v/>
      </c>
    </row>
    <row r="867" spans="1:8" ht="18" hidden="1">
      <c r="A867" s="3">
        <v>229011</v>
      </c>
      <c r="B867" s="7" t="s">
        <v>43</v>
      </c>
      <c r="C867" s="41">
        <v>289.76</v>
      </c>
      <c r="D867" s="6">
        <v>45586</v>
      </c>
      <c r="E867" s="3" t="str">
        <f ca="1">IF(Tabela2[[#This Row],[Dt Venc:]]&gt;TODAY(),"Em Aberto",IF(Tabela2[[#This Row],[D/venc]]="-","Enviado",IF(Tabela2[[#This Row],[Dt Venc:]]=TODAY(),"Vence Hoje","Vencida")))</f>
        <v>Enviado</v>
      </c>
      <c r="F867" s="3" t="str">
        <f ca="1">IF(G867=1,"-",Tabela2[[#This Row],[Dt Venc:]]-TODAY())</f>
        <v>-</v>
      </c>
      <c r="G867" s="3">
        <v>1</v>
      </c>
      <c r="H867" s="3" t="str">
        <f>_xlfn.XLOOKUP(A867,'Notas Faltantes'!A:A,'Notas Faltantes'!E:E,"",0)</f>
        <v/>
      </c>
    </row>
    <row r="868" spans="1:8" ht="18" hidden="1">
      <c r="A868" s="3">
        <v>8812</v>
      </c>
      <c r="B868" s="7" t="s">
        <v>105</v>
      </c>
      <c r="C868" s="41">
        <v>3500</v>
      </c>
      <c r="D868" s="6">
        <v>45586</v>
      </c>
      <c r="E868" s="3" t="str">
        <f ca="1">IF(Tabela2[[#This Row],[Dt Venc:]]&gt;TODAY(),"Em Aberto",IF(Tabela2[[#This Row],[D/venc]]="-","Enviado",IF(Tabela2[[#This Row],[Dt Venc:]]=TODAY(),"Vence Hoje","Vencida")))</f>
        <v>Enviado</v>
      </c>
      <c r="F868" s="3" t="str">
        <f ca="1">IF(G868=1,"-",Tabela2[[#This Row],[Dt Venc:]]-TODAY())</f>
        <v>-</v>
      </c>
      <c r="G868" s="3">
        <v>1</v>
      </c>
      <c r="H868" s="3" t="str">
        <f>_xlfn.XLOOKUP(A868,'Notas Faltantes'!A:A,'Notas Faltantes'!E:E,"",0)</f>
        <v/>
      </c>
    </row>
    <row r="869" spans="1:8" ht="18" hidden="1">
      <c r="A869" s="3">
        <v>608946</v>
      </c>
      <c r="B869" s="7" t="s">
        <v>66</v>
      </c>
      <c r="C869" s="41">
        <v>815.59</v>
      </c>
      <c r="D869" s="6">
        <v>45586</v>
      </c>
      <c r="E869" s="3" t="str">
        <f ca="1">IF(Tabela2[[#This Row],[Dt Venc:]]&gt;TODAY(),"Em Aberto",IF(Tabela2[[#This Row],[D/venc]]="-","Enviado",IF(Tabela2[[#This Row],[Dt Venc:]]=TODAY(),"Vence Hoje","Vencida")))</f>
        <v>Enviado</v>
      </c>
      <c r="F869" s="3" t="str">
        <f ca="1">IF(G869=1,"-",Tabela2[[#This Row],[Dt Venc:]]-TODAY())</f>
        <v>-</v>
      </c>
      <c r="G869" s="3">
        <v>1</v>
      </c>
      <c r="H869" s="3" t="str">
        <f>_xlfn.XLOOKUP(A869,'Notas Faltantes'!A:A,'Notas Faltantes'!E:E,"",0)</f>
        <v/>
      </c>
    </row>
    <row r="870" spans="1:8" ht="18" hidden="1">
      <c r="A870" s="3">
        <v>1564</v>
      </c>
      <c r="B870" s="7" t="s">
        <v>320</v>
      </c>
      <c r="C870" s="41">
        <v>95</v>
      </c>
      <c r="D870" s="6">
        <v>45586</v>
      </c>
      <c r="E870" s="3" t="str">
        <f ca="1">IF(Tabela2[[#This Row],[Dt Venc:]]&gt;TODAY(),"Em Aberto",IF(Tabela2[[#This Row],[D/venc]]="-","Enviado",IF(Tabela2[[#This Row],[Dt Venc:]]=TODAY(),"Vence Hoje","Vencida")))</f>
        <v>Enviado</v>
      </c>
      <c r="F870" s="3" t="str">
        <f ca="1">IF(G870=1,"-",Tabela2[[#This Row],[Dt Venc:]]-TODAY())</f>
        <v>-</v>
      </c>
      <c r="G870" s="3">
        <v>1</v>
      </c>
      <c r="H870" s="3" t="str">
        <f>_xlfn.XLOOKUP(A870,'Notas Faltantes'!A:A,'Notas Faltantes'!E:E,"",0)</f>
        <v/>
      </c>
    </row>
    <row r="871" spans="1:8" ht="18" hidden="1">
      <c r="A871" s="3">
        <v>442758</v>
      </c>
      <c r="B871" s="7" t="s">
        <v>59</v>
      </c>
      <c r="C871" s="41">
        <v>54935</v>
      </c>
      <c r="D871" s="6">
        <v>45586</v>
      </c>
      <c r="E871" s="3" t="str">
        <f ca="1">IF(Tabela2[[#This Row],[Dt Venc:]]&gt;TODAY(),"Em Aberto",IF(Tabela2[[#This Row],[D/venc]]="-","Enviado",IF(Tabela2[[#This Row],[Dt Venc:]]=TODAY(),"Vence Hoje","Vencida")))</f>
        <v>Enviado</v>
      </c>
      <c r="F871" s="3" t="str">
        <f ca="1">IF(G871=1,"-",Tabela2[[#This Row],[Dt Venc:]]-TODAY())</f>
        <v>-</v>
      </c>
      <c r="G871" s="3">
        <v>1</v>
      </c>
      <c r="H871" s="3" t="str">
        <f>_xlfn.XLOOKUP(A871,'Notas Faltantes'!A:A,'Notas Faltantes'!E:E,"",0)</f>
        <v/>
      </c>
    </row>
    <row r="872" spans="1:8" ht="18" hidden="1">
      <c r="A872" s="3">
        <v>8706</v>
      </c>
      <c r="B872" s="7" t="s">
        <v>321</v>
      </c>
      <c r="C872" s="41">
        <v>400</v>
      </c>
      <c r="D872" s="6">
        <v>45586</v>
      </c>
      <c r="E872" s="3" t="str">
        <f ca="1">IF(Tabela2[[#This Row],[Dt Venc:]]&gt;TODAY(),"Em Aberto",IF(Tabela2[[#This Row],[D/venc]]="-","Enviado",IF(Tabela2[[#This Row],[Dt Venc:]]=TODAY(),"Vence Hoje","Vencida")))</f>
        <v>Enviado</v>
      </c>
      <c r="F872" s="3" t="str">
        <f ca="1">IF(G872=1,"-",Tabela2[[#This Row],[Dt Venc:]]-TODAY())</f>
        <v>-</v>
      </c>
      <c r="G872" s="3">
        <v>1</v>
      </c>
      <c r="H872" s="3" t="str">
        <f>_xlfn.XLOOKUP(A872,'Notas Faltantes'!A:A,'Notas Faltantes'!E:E,"",0)</f>
        <v/>
      </c>
    </row>
    <row r="873" spans="1:8" ht="18" hidden="1">
      <c r="A873" s="3">
        <v>140861</v>
      </c>
      <c r="B873" s="7" t="s">
        <v>60</v>
      </c>
      <c r="C873" s="41">
        <v>390</v>
      </c>
      <c r="D873" s="6">
        <v>45586</v>
      </c>
      <c r="E873" s="3" t="str">
        <f ca="1">IF(Tabela2[[#This Row],[Dt Venc:]]&gt;TODAY(),"Em Aberto",IF(Tabela2[[#This Row],[D/venc]]="-","Enviado",IF(Tabela2[[#This Row],[Dt Venc:]]=TODAY(),"Vence Hoje","Vencida")))</f>
        <v>Enviado</v>
      </c>
      <c r="F873" s="3" t="str">
        <f ca="1">IF(G873=1,"-",Tabela2[[#This Row],[Dt Venc:]]-TODAY())</f>
        <v>-</v>
      </c>
      <c r="G873" s="3">
        <v>1</v>
      </c>
      <c r="H873" s="3" t="str">
        <f>_xlfn.XLOOKUP(A873,'Notas Faltantes'!A:A,'Notas Faltantes'!E:E,"",0)</f>
        <v/>
      </c>
    </row>
    <row r="874" spans="1:8" ht="18" hidden="1">
      <c r="A874" s="3">
        <v>140862</v>
      </c>
      <c r="B874" s="7" t="s">
        <v>60</v>
      </c>
      <c r="C874" s="41">
        <v>390</v>
      </c>
      <c r="D874" s="6">
        <v>45586</v>
      </c>
      <c r="E874" s="3" t="str">
        <f ca="1">IF(Tabela2[[#This Row],[Dt Venc:]]&gt;TODAY(),"Em Aberto",IF(Tabela2[[#This Row],[D/venc]]="-","Enviado",IF(Tabela2[[#This Row],[Dt Venc:]]=TODAY(),"Vence Hoje","Vencida")))</f>
        <v>Enviado</v>
      </c>
      <c r="F874" s="3" t="str">
        <f ca="1">IF(G874=1,"-",Tabela2[[#This Row],[Dt Venc:]]-TODAY())</f>
        <v>-</v>
      </c>
      <c r="G874" s="3">
        <v>1</v>
      </c>
      <c r="H874" s="3" t="str">
        <f>_xlfn.XLOOKUP(A874,'Notas Faltantes'!A:A,'Notas Faltantes'!E:E,"",0)</f>
        <v/>
      </c>
    </row>
    <row r="875" spans="1:8" ht="18" hidden="1">
      <c r="A875" s="3">
        <v>140868</v>
      </c>
      <c r="B875" s="7" t="s">
        <v>60</v>
      </c>
      <c r="C875" s="41">
        <v>390</v>
      </c>
      <c r="D875" s="6">
        <v>45586</v>
      </c>
      <c r="E875" s="3" t="str">
        <f ca="1">IF(Tabela2[[#This Row],[Dt Venc:]]&gt;TODAY(),"Em Aberto",IF(Tabela2[[#This Row],[D/venc]]="-","Enviado",IF(Tabela2[[#This Row],[Dt Venc:]]=TODAY(),"Vence Hoje","Vencida")))</f>
        <v>Enviado</v>
      </c>
      <c r="F875" s="3" t="str">
        <f ca="1">IF(G875=1,"-",Tabela2[[#This Row],[Dt Venc:]]-TODAY())</f>
        <v>-</v>
      </c>
      <c r="G875" s="3">
        <v>1</v>
      </c>
      <c r="H875" s="3" t="str">
        <f>_xlfn.XLOOKUP(A875,'Notas Faltantes'!A:A,'Notas Faltantes'!E:E,"",0)</f>
        <v/>
      </c>
    </row>
    <row r="876" spans="1:8" ht="18" hidden="1">
      <c r="A876" s="3">
        <v>140867</v>
      </c>
      <c r="B876" s="7" t="s">
        <v>60</v>
      </c>
      <c r="C876" s="41">
        <v>390</v>
      </c>
      <c r="D876" s="6">
        <v>45586</v>
      </c>
      <c r="E876" s="3" t="str">
        <f ca="1">IF(Tabela2[[#This Row],[Dt Venc:]]&gt;TODAY(),"Em Aberto",IF(Tabela2[[#This Row],[D/venc]]="-","Enviado",IF(Tabela2[[#This Row],[Dt Venc:]]=TODAY(),"Vence Hoje","Vencida")))</f>
        <v>Enviado</v>
      </c>
      <c r="F876" s="3" t="str">
        <f ca="1">IF(G876=1,"-",Tabela2[[#This Row],[Dt Venc:]]-TODAY())</f>
        <v>-</v>
      </c>
      <c r="G876" s="3">
        <v>1</v>
      </c>
      <c r="H876" s="3" t="str">
        <f>_xlfn.XLOOKUP(A876,'Notas Faltantes'!A:A,'Notas Faltantes'!E:E,"",0)</f>
        <v/>
      </c>
    </row>
    <row r="877" spans="1:8" ht="18" hidden="1">
      <c r="A877" s="3">
        <v>140872</v>
      </c>
      <c r="B877" s="7" t="s">
        <v>60</v>
      </c>
      <c r="C877" s="41">
        <v>390</v>
      </c>
      <c r="D877" s="6">
        <v>45586</v>
      </c>
      <c r="E877" s="3" t="str">
        <f ca="1">IF(Tabela2[[#This Row],[Dt Venc:]]&gt;TODAY(),"Em Aberto",IF(Tabela2[[#This Row],[D/venc]]="-","Enviado",IF(Tabela2[[#This Row],[Dt Venc:]]=TODAY(),"Vence Hoje","Vencida")))</f>
        <v>Enviado</v>
      </c>
      <c r="F877" s="3" t="str">
        <f ca="1">IF(G877=1,"-",Tabela2[[#This Row],[Dt Venc:]]-TODAY())</f>
        <v>-</v>
      </c>
      <c r="G877" s="3">
        <v>1</v>
      </c>
      <c r="H877" s="3" t="str">
        <f>_xlfn.XLOOKUP(A877,'Notas Faltantes'!A:A,'Notas Faltantes'!E:E,"",0)</f>
        <v/>
      </c>
    </row>
    <row r="878" spans="1:8" ht="18" hidden="1">
      <c r="A878" s="3">
        <v>140873</v>
      </c>
      <c r="B878" s="7" t="s">
        <v>60</v>
      </c>
      <c r="C878" s="41">
        <v>390</v>
      </c>
      <c r="D878" s="6">
        <v>45586</v>
      </c>
      <c r="E878" s="3" t="str">
        <f ca="1">IF(Tabela2[[#This Row],[Dt Venc:]]&gt;TODAY(),"Em Aberto",IF(Tabela2[[#This Row],[D/venc]]="-","Enviado",IF(Tabela2[[#This Row],[Dt Venc:]]=TODAY(),"Vence Hoje","Vencida")))</f>
        <v>Enviado</v>
      </c>
      <c r="F878" s="3" t="str">
        <f ca="1">IF(G878=1,"-",Tabela2[[#This Row],[Dt Venc:]]-TODAY())</f>
        <v>-</v>
      </c>
      <c r="G878" s="3">
        <v>1</v>
      </c>
      <c r="H878" s="3" t="str">
        <f>_xlfn.XLOOKUP(A878,'Notas Faltantes'!A:A,'Notas Faltantes'!E:E,"",0)</f>
        <v/>
      </c>
    </row>
    <row r="879" spans="1:8" ht="18" hidden="1">
      <c r="A879" s="3">
        <v>140874</v>
      </c>
      <c r="B879" s="7" t="s">
        <v>60</v>
      </c>
      <c r="C879" s="41">
        <v>390</v>
      </c>
      <c r="D879" s="6">
        <v>45586</v>
      </c>
      <c r="E879" s="3" t="str">
        <f ca="1">IF(Tabela2[[#This Row],[Dt Venc:]]&gt;TODAY(),"Em Aberto",IF(Tabela2[[#This Row],[D/venc]]="-","Enviado",IF(Tabela2[[#This Row],[Dt Venc:]]=TODAY(),"Vence Hoje","Vencida")))</f>
        <v>Enviado</v>
      </c>
      <c r="F879" s="3" t="str">
        <f ca="1">IF(G879=1,"-",Tabela2[[#This Row],[Dt Venc:]]-TODAY())</f>
        <v>-</v>
      </c>
      <c r="G879" s="3">
        <v>1</v>
      </c>
      <c r="H879" s="3" t="str">
        <f>_xlfn.XLOOKUP(A879,'Notas Faltantes'!A:A,'Notas Faltantes'!E:E,"",0)</f>
        <v/>
      </c>
    </row>
    <row r="880" spans="1:8" ht="18" hidden="1">
      <c r="A880" s="3">
        <v>140878</v>
      </c>
      <c r="B880" s="7" t="s">
        <v>60</v>
      </c>
      <c r="C880" s="41">
        <v>390</v>
      </c>
      <c r="D880" s="6">
        <v>45586</v>
      </c>
      <c r="E880" s="3" t="str">
        <f ca="1">IF(Tabela2[[#This Row],[Dt Venc:]]&gt;TODAY(),"Em Aberto",IF(Tabela2[[#This Row],[D/venc]]="-","Enviado",IF(Tabela2[[#This Row],[Dt Venc:]]=TODAY(),"Vence Hoje","Vencida")))</f>
        <v>Enviado</v>
      </c>
      <c r="F880" s="3" t="str">
        <f ca="1">IF(G880=1,"-",Tabela2[[#This Row],[Dt Venc:]]-TODAY())</f>
        <v>-</v>
      </c>
      <c r="G880" s="3">
        <v>1</v>
      </c>
      <c r="H880" s="3" t="str">
        <f>_xlfn.XLOOKUP(A880,'Notas Faltantes'!A:A,'Notas Faltantes'!E:E,"",0)</f>
        <v/>
      </c>
    </row>
    <row r="881" spans="1:8" ht="18" hidden="1">
      <c r="A881" s="3">
        <v>140879</v>
      </c>
      <c r="B881" s="7" t="s">
        <v>60</v>
      </c>
      <c r="C881" s="41">
        <v>390</v>
      </c>
      <c r="D881" s="6">
        <v>45586</v>
      </c>
      <c r="E881" s="3" t="str">
        <f ca="1">IF(Tabela2[[#This Row],[Dt Venc:]]&gt;TODAY(),"Em Aberto",IF(Tabela2[[#This Row],[D/venc]]="-","Enviado",IF(Tabela2[[#This Row],[Dt Venc:]]=TODAY(),"Vence Hoje","Vencida")))</f>
        <v>Enviado</v>
      </c>
      <c r="F881" s="3" t="str">
        <f ca="1">IF(G881=1,"-",Tabela2[[#This Row],[Dt Venc:]]-TODAY())</f>
        <v>-</v>
      </c>
      <c r="G881" s="3">
        <v>1</v>
      </c>
      <c r="H881" s="3" t="str">
        <f>_xlfn.XLOOKUP(A881,'Notas Faltantes'!A:A,'Notas Faltantes'!E:E,"",0)</f>
        <v/>
      </c>
    </row>
    <row r="882" spans="1:8" ht="18" hidden="1">
      <c r="A882" s="3">
        <v>140860</v>
      </c>
      <c r="B882" s="7" t="s">
        <v>60</v>
      </c>
      <c r="C882" s="41">
        <v>390</v>
      </c>
      <c r="D882" s="6">
        <v>45586</v>
      </c>
      <c r="E882" s="3" t="str">
        <f ca="1">IF(Tabela2[[#This Row],[Dt Venc:]]&gt;TODAY(),"Em Aberto",IF(Tabela2[[#This Row],[D/venc]]="-","Enviado",IF(Tabela2[[#This Row],[Dt Venc:]]=TODAY(),"Vence Hoje","Vencida")))</f>
        <v>Enviado</v>
      </c>
      <c r="F882" s="3" t="str">
        <f ca="1">IF(G882=1,"-",Tabela2[[#This Row],[Dt Venc:]]-TODAY())</f>
        <v>-</v>
      </c>
      <c r="G882" s="3">
        <v>1</v>
      </c>
      <c r="H882" s="3" t="str">
        <f>_xlfn.XLOOKUP(A882,'Notas Faltantes'!A:A,'Notas Faltantes'!E:E,"",0)</f>
        <v/>
      </c>
    </row>
    <row r="883" spans="1:8" ht="18" hidden="1">
      <c r="A883" s="3">
        <v>229007</v>
      </c>
      <c r="B883" s="7" t="s">
        <v>43</v>
      </c>
      <c r="C883" s="41">
        <v>497.63</v>
      </c>
      <c r="D883" s="6">
        <v>45586</v>
      </c>
      <c r="E883" s="3" t="str">
        <f ca="1">IF(Tabela2[[#This Row],[Dt Venc:]]&gt;TODAY(),"Em Aberto",IF(Tabela2[[#This Row],[D/venc]]="-","Enviado",IF(Tabela2[[#This Row],[Dt Venc:]]=TODAY(),"Vence Hoje","Vencida")))</f>
        <v>Enviado</v>
      </c>
      <c r="F883" s="3" t="str">
        <f ca="1">IF(G883=1,"-",Tabela2[[#This Row],[Dt Venc:]]-TODAY())</f>
        <v>-</v>
      </c>
      <c r="G883" s="3">
        <v>1</v>
      </c>
      <c r="H883" s="3" t="str">
        <f>_xlfn.XLOOKUP(A883,'Notas Faltantes'!A:A,'Notas Faltantes'!E:E,"",0)</f>
        <v/>
      </c>
    </row>
    <row r="884" spans="1:8" ht="18" hidden="1">
      <c r="A884" s="3">
        <v>3051</v>
      </c>
      <c r="B884" s="7" t="s">
        <v>100</v>
      </c>
      <c r="C884" s="41">
        <v>765.67</v>
      </c>
      <c r="D884" s="6">
        <v>45586</v>
      </c>
      <c r="E884" s="3" t="str">
        <f ca="1">IF(Tabela2[[#This Row],[Dt Venc:]]&gt;TODAY(),"Em Aberto",IF(Tabela2[[#This Row],[D/venc]]="-","Enviado",IF(Tabela2[[#This Row],[Dt Venc:]]=TODAY(),"Vence Hoje","Vencida")))</f>
        <v>Enviado</v>
      </c>
      <c r="F884" s="3" t="str">
        <f ca="1">IF(G884=1,"-",Tabela2[[#This Row],[Dt Venc:]]-TODAY())</f>
        <v>-</v>
      </c>
      <c r="G884" s="3">
        <v>1</v>
      </c>
      <c r="H884" s="3" t="str">
        <f>_xlfn.XLOOKUP(A884,'Notas Faltantes'!A:A,'Notas Faltantes'!E:E,"",0)</f>
        <v/>
      </c>
    </row>
    <row r="885" spans="1:8" ht="18" hidden="1">
      <c r="A885" s="3">
        <v>16304</v>
      </c>
      <c r="B885" s="7" t="s">
        <v>322</v>
      </c>
      <c r="C885" s="41">
        <v>1697</v>
      </c>
      <c r="D885" s="6">
        <v>45586</v>
      </c>
      <c r="E885" s="3" t="str">
        <f ca="1">IF(Tabela2[[#This Row],[Dt Venc:]]&gt;TODAY(),"Em Aberto",IF(Tabela2[[#This Row],[D/venc]]="-","Enviado",IF(Tabela2[[#This Row],[Dt Venc:]]=TODAY(),"Vence Hoje","Vencida")))</f>
        <v>Enviado</v>
      </c>
      <c r="F885" s="3" t="str">
        <f ca="1">IF(G885=1,"-",Tabela2[[#This Row],[Dt Venc:]]-TODAY())</f>
        <v>-</v>
      </c>
      <c r="G885" s="3">
        <v>1</v>
      </c>
      <c r="H885" s="3"/>
    </row>
    <row r="886" spans="1:8" ht="18" hidden="1">
      <c r="A886" s="3">
        <v>37348</v>
      </c>
      <c r="B886" s="7" t="s">
        <v>167</v>
      </c>
      <c r="C886" s="83" t="s">
        <v>32</v>
      </c>
      <c r="D886" s="6">
        <v>45587</v>
      </c>
      <c r="E886" s="3" t="str">
        <f ca="1">IF(Tabela2[[#This Row],[Dt Venc:]]&gt;TODAY(),"Em Aberto",IF(Tabela2[[#This Row],[D/venc]]="-","Enviado",IF(Tabela2[[#This Row],[Dt Venc:]]=TODAY(),"Vence Hoje","Vencida")))</f>
        <v>Enviado</v>
      </c>
      <c r="F886" s="3" t="str">
        <f ca="1">IF(G886=1,"-",Tabela2[[#This Row],[Dt Venc:]]-TODAY())</f>
        <v>-</v>
      </c>
      <c r="G886" s="3">
        <v>1</v>
      </c>
      <c r="H886" s="3" t="str">
        <f>_xlfn.XLOOKUP(A886,'Notas Faltantes'!A:A,'Notas Faltantes'!E:E,"",0)</f>
        <v/>
      </c>
    </row>
    <row r="887" spans="1:8" ht="18" hidden="1">
      <c r="A887" s="3">
        <v>298980</v>
      </c>
      <c r="B887" s="7" t="s">
        <v>63</v>
      </c>
      <c r="C887" s="42">
        <v>425</v>
      </c>
      <c r="D887" s="6">
        <v>45587</v>
      </c>
      <c r="E887" s="3" t="str">
        <f ca="1">IF(Tabela2[[#This Row],[Dt Venc:]]&gt;TODAY(),"Em Aberto",IF(Tabela2[[#This Row],[D/venc]]="-","Enviado",IF(Tabela2[[#This Row],[Dt Venc:]]=TODAY(),"Vence Hoje","Vencida")))</f>
        <v>Enviado</v>
      </c>
      <c r="F887" s="3" t="str">
        <f ca="1">IF(G887=1,"-",Tabela2[[#This Row],[Dt Venc:]]-TODAY())</f>
        <v>-</v>
      </c>
      <c r="G887" s="3">
        <v>1</v>
      </c>
      <c r="H887" s="3" t="str">
        <f>_xlfn.XLOOKUP(A887,'Notas Faltantes'!A:A,'Notas Faltantes'!E:E,"",0)</f>
        <v/>
      </c>
    </row>
    <row r="888" spans="1:8" ht="18" hidden="1">
      <c r="A888" s="3" t="s">
        <v>110</v>
      </c>
      <c r="B888" s="7" t="s">
        <v>323</v>
      </c>
      <c r="C888" s="42" t="s">
        <v>32</v>
      </c>
      <c r="D888" s="6">
        <v>45587</v>
      </c>
      <c r="E888" s="3" t="str">
        <f ca="1">IF(Tabela2[[#This Row],[Dt Venc:]]&gt;TODAY(),"Em Aberto",IF(Tabela2[[#This Row],[D/venc]]="-","Enviado",IF(Tabela2[[#This Row],[Dt Venc:]]=TODAY(),"Vence Hoje","Vencida")))</f>
        <v>Enviado</v>
      </c>
      <c r="F888" s="3" t="str">
        <f ca="1">IF(G888=1,"-",Tabela2[[#This Row],[Dt Venc:]]-TODAY())</f>
        <v>-</v>
      </c>
      <c r="G888" s="3">
        <v>1</v>
      </c>
      <c r="H888" s="3" t="str">
        <f>_xlfn.XLOOKUP(A888,'Notas Faltantes'!A:A,'Notas Faltantes'!E:E,"",0)</f>
        <v/>
      </c>
    </row>
    <row r="889" spans="1:8" ht="18" hidden="1">
      <c r="A889" s="3">
        <v>22010</v>
      </c>
      <c r="B889" s="7" t="s">
        <v>38</v>
      </c>
      <c r="C889" s="42">
        <v>2596.67</v>
      </c>
      <c r="D889" s="6">
        <v>45587</v>
      </c>
      <c r="E889" s="3" t="str">
        <f ca="1">IF(Tabela2[[#This Row],[Dt Venc:]]&gt;TODAY(),"Em Aberto",IF(Tabela2[[#This Row],[D/venc]]="-","Enviado",IF(Tabela2[[#This Row],[Dt Venc:]]=TODAY(),"Vence Hoje","Vencida")))</f>
        <v>Enviado</v>
      </c>
      <c r="F889" s="3" t="str">
        <f ca="1">IF(G889=1,"-",Tabela2[[#This Row],[Dt Venc:]]-TODAY())</f>
        <v>-</v>
      </c>
      <c r="G889" s="3">
        <v>1</v>
      </c>
      <c r="H889" s="3" t="str">
        <f>_xlfn.XLOOKUP(A889,'Notas Faltantes'!A:A,'Notas Faltantes'!E:E,"",0)</f>
        <v/>
      </c>
    </row>
    <row r="890" spans="1:8" ht="18" hidden="1">
      <c r="A890" s="3">
        <v>219019</v>
      </c>
      <c r="B890" s="7" t="s">
        <v>39</v>
      </c>
      <c r="C890" s="42">
        <v>21465</v>
      </c>
      <c r="D890" s="6">
        <v>45587</v>
      </c>
      <c r="E890" s="3" t="str">
        <f ca="1">IF(Tabela2[[#This Row],[Dt Venc:]]&gt;TODAY(),"Em Aberto",IF(Tabela2[[#This Row],[D/venc]]="-","Enviado",IF(Tabela2[[#This Row],[Dt Venc:]]=TODAY(),"Vence Hoje","Vencida")))</f>
        <v>Enviado</v>
      </c>
      <c r="F890" s="3" t="str">
        <f ca="1">IF(G890=1,"-",Tabela2[[#This Row],[Dt Venc:]]-TODAY())</f>
        <v>-</v>
      </c>
      <c r="G890" s="3">
        <v>1</v>
      </c>
      <c r="H890" s="3" t="str">
        <f>_xlfn.XLOOKUP(A890,'Notas Faltantes'!A:A,'Notas Faltantes'!E:E,"",0)</f>
        <v/>
      </c>
    </row>
    <row r="891" spans="1:8" ht="18" hidden="1">
      <c r="A891" s="3">
        <v>213632</v>
      </c>
      <c r="B891" s="7" t="s">
        <v>127</v>
      </c>
      <c r="C891" s="42">
        <v>903.72</v>
      </c>
      <c r="D891" s="6">
        <v>45587</v>
      </c>
      <c r="E891" s="3" t="str">
        <f ca="1">IF(Tabela2[[#This Row],[Dt Venc:]]&gt;TODAY(),"Em Aberto",IF(Tabela2[[#This Row],[D/venc]]="-","Enviado",IF(Tabela2[[#This Row],[Dt Venc:]]=TODAY(),"Vence Hoje","Vencida")))</f>
        <v>Enviado</v>
      </c>
      <c r="F891" s="3" t="str">
        <f ca="1">IF(G891=1,"-",Tabela2[[#This Row],[Dt Venc:]]-TODAY())</f>
        <v>-</v>
      </c>
      <c r="G891" s="3">
        <v>1</v>
      </c>
      <c r="H891" s="3" t="str">
        <f>_xlfn.XLOOKUP(A891,'Notas Faltantes'!A:A,'Notas Faltantes'!E:E,"",0)</f>
        <v/>
      </c>
    </row>
    <row r="892" spans="1:8" ht="18" hidden="1">
      <c r="A892" s="3">
        <v>216032</v>
      </c>
      <c r="B892" s="7" t="s">
        <v>127</v>
      </c>
      <c r="C892" s="42">
        <v>1149.07</v>
      </c>
      <c r="D892" s="6">
        <v>45587</v>
      </c>
      <c r="E892" s="3" t="str">
        <f ca="1">IF(Tabela2[[#This Row],[Dt Venc:]]&gt;TODAY(),"Em Aberto",IF(Tabela2[[#This Row],[D/venc]]="-","Enviado",IF(Tabela2[[#This Row],[Dt Venc:]]=TODAY(),"Vence Hoje","Vencida")))</f>
        <v>Enviado</v>
      </c>
      <c r="F892" s="3" t="str">
        <f ca="1">IF(G892=1,"-",Tabela2[[#This Row],[Dt Venc:]]-TODAY())</f>
        <v>-</v>
      </c>
      <c r="G892" s="3">
        <v>1</v>
      </c>
      <c r="H892" s="3" t="str">
        <f>_xlfn.XLOOKUP(A892,'Notas Faltantes'!A:A,'Notas Faltantes'!E:E,"",0)</f>
        <v/>
      </c>
    </row>
    <row r="893" spans="1:8" ht="18" hidden="1">
      <c r="A893" s="3">
        <v>600976</v>
      </c>
      <c r="B893" s="7" t="s">
        <v>66</v>
      </c>
      <c r="C893" s="42">
        <v>783.44</v>
      </c>
      <c r="D893" s="6">
        <v>45587</v>
      </c>
      <c r="E893" s="3" t="str">
        <f ca="1">IF(Tabela2[[#This Row],[Dt Venc:]]&gt;TODAY(),"Em Aberto",IF(Tabela2[[#This Row],[D/venc]]="-","Enviado",IF(Tabela2[[#This Row],[Dt Venc:]]=TODAY(),"Vence Hoje","Vencida")))</f>
        <v>Enviado</v>
      </c>
      <c r="F893" s="3" t="str">
        <f ca="1">IF(G893=1,"-",Tabela2[[#This Row],[Dt Venc:]]-TODAY())</f>
        <v>-</v>
      </c>
      <c r="G893" s="3">
        <v>1</v>
      </c>
      <c r="H893" s="3" t="str">
        <f>_xlfn.XLOOKUP(A893,'Notas Faltantes'!A:A,'Notas Faltantes'!E:E,"",0)</f>
        <v/>
      </c>
    </row>
    <row r="894" spans="1:8" ht="18" hidden="1">
      <c r="A894" s="3">
        <v>28038</v>
      </c>
      <c r="B894" s="7" t="s">
        <v>97</v>
      </c>
      <c r="C894" s="42">
        <v>2385</v>
      </c>
      <c r="D894" s="6">
        <v>45587</v>
      </c>
      <c r="E894" s="3" t="str">
        <f ca="1">IF(Tabela2[[#This Row],[Dt Venc:]]&gt;TODAY(),"Em Aberto",IF(Tabela2[[#This Row],[D/venc]]="-","Enviado",IF(Tabela2[[#This Row],[Dt Venc:]]=TODAY(),"Vence Hoje","Vencida")))</f>
        <v>Enviado</v>
      </c>
      <c r="F894" s="3" t="str">
        <f ca="1">IF(G894=1,"-",Tabela2[[#This Row],[Dt Venc:]]-TODAY())</f>
        <v>-</v>
      </c>
      <c r="G894" s="3">
        <v>1</v>
      </c>
      <c r="H894" s="3" t="str">
        <f>_xlfn.XLOOKUP(A894,'Notas Faltantes'!A:A,'Notas Faltantes'!E:E,"",0)</f>
        <v/>
      </c>
    </row>
    <row r="895" spans="1:8" ht="18" hidden="1">
      <c r="A895" s="3">
        <v>29640</v>
      </c>
      <c r="B895" s="7" t="s">
        <v>97</v>
      </c>
      <c r="C895" s="42">
        <v>4585</v>
      </c>
      <c r="D895" s="6">
        <v>45587</v>
      </c>
      <c r="E895" s="3" t="str">
        <f ca="1">IF(Tabela2[[#This Row],[Dt Venc:]]&gt;TODAY(),"Em Aberto",IF(Tabela2[[#This Row],[D/venc]]="-","Enviado",IF(Tabela2[[#This Row],[Dt Venc:]]=TODAY(),"Vence Hoje","Vencida")))</f>
        <v>Enviado</v>
      </c>
      <c r="F895" s="3" t="str">
        <f ca="1">IF(G895=1,"-",Tabela2[[#This Row],[Dt Venc:]]-TODAY())</f>
        <v>-</v>
      </c>
      <c r="G895" s="3">
        <v>1</v>
      </c>
      <c r="H895" s="3" t="str">
        <f>_xlfn.XLOOKUP(A895,'Notas Faltantes'!A:A,'Notas Faltantes'!E:E,"",0)</f>
        <v/>
      </c>
    </row>
    <row r="896" spans="1:8" ht="18" hidden="1">
      <c r="A896" s="3">
        <v>15102</v>
      </c>
      <c r="B896" s="7" t="s">
        <v>44</v>
      </c>
      <c r="C896" s="42">
        <v>708.33</v>
      </c>
      <c r="D896" s="6">
        <v>45587</v>
      </c>
      <c r="E896" s="3" t="str">
        <f ca="1">IF(Tabela2[[#This Row],[Dt Venc:]]&gt;TODAY(),"Em Aberto",IF(Tabela2[[#This Row],[D/venc]]="-","Enviado",IF(Tabela2[[#This Row],[Dt Venc:]]=TODAY(),"Vence Hoje","Vencida")))</f>
        <v>Enviado</v>
      </c>
      <c r="F896" s="3" t="str">
        <f ca="1">IF(G896=1,"-",Tabela2[[#This Row],[Dt Venc:]]-TODAY())</f>
        <v>-</v>
      </c>
      <c r="G896" s="3">
        <v>1</v>
      </c>
      <c r="H896" s="3" t="str">
        <f>_xlfn.XLOOKUP(A896,'Notas Faltantes'!A:A,'Notas Faltantes'!E:E,"",0)</f>
        <v/>
      </c>
    </row>
    <row r="897" spans="1:8" ht="18" hidden="1">
      <c r="A897" s="3">
        <v>605044</v>
      </c>
      <c r="B897" s="7" t="s">
        <v>138</v>
      </c>
      <c r="C897" s="41">
        <v>495</v>
      </c>
      <c r="D897" s="6">
        <v>45587</v>
      </c>
      <c r="E897" s="3" t="str">
        <f ca="1">IF(Tabela2[[#This Row],[Dt Venc:]]&gt;TODAY(),"Em Aberto",IF(Tabela2[[#This Row],[D/venc]]="-","Enviado",IF(Tabela2[[#This Row],[Dt Venc:]]=TODAY(),"Vence Hoje","Vencida")))</f>
        <v>Enviado</v>
      </c>
      <c r="F897" s="3" t="str">
        <f ca="1">IF(G897=1,"-",Tabela2[[#This Row],[Dt Venc:]]-TODAY())</f>
        <v>-</v>
      </c>
      <c r="G897" s="3">
        <v>1</v>
      </c>
      <c r="H897" s="3" t="str">
        <f>_xlfn.XLOOKUP(A897,'Notas Faltantes'!A:A,'Notas Faltantes'!E:E,"",0)</f>
        <v/>
      </c>
    </row>
    <row r="898" spans="1:8" ht="18" hidden="1">
      <c r="A898" s="3">
        <v>215720</v>
      </c>
      <c r="B898" s="7" t="s">
        <v>43</v>
      </c>
      <c r="C898" s="41">
        <v>597.79999999999995</v>
      </c>
      <c r="D898" s="6">
        <v>45587</v>
      </c>
      <c r="E898" s="3" t="str">
        <f ca="1">IF(Tabela2[[#This Row],[Dt Venc:]]&gt;TODAY(),"Em Aberto",IF(Tabela2[[#This Row],[D/venc]]="-","Enviado",IF(Tabela2[[#This Row],[Dt Venc:]]=TODAY(),"Vence Hoje","Vencida")))</f>
        <v>Enviado</v>
      </c>
      <c r="F898" s="3" t="str">
        <f ca="1">IF(G898=1,"-",Tabela2[[#This Row],[Dt Venc:]]-TODAY())</f>
        <v>-</v>
      </c>
      <c r="G898" s="3">
        <v>1</v>
      </c>
      <c r="H898" s="3" t="str">
        <f>_xlfn.XLOOKUP(A898,'Notas Faltantes'!A:A,'Notas Faltantes'!E:E,"",0)</f>
        <v/>
      </c>
    </row>
    <row r="899" spans="1:8" ht="18" hidden="1">
      <c r="A899" s="3">
        <v>604986</v>
      </c>
      <c r="B899" s="7" t="s">
        <v>324</v>
      </c>
      <c r="C899" s="41">
        <v>1199.1199999999999</v>
      </c>
      <c r="D899" s="6">
        <v>45587</v>
      </c>
      <c r="E899" s="3" t="str">
        <f ca="1">IF(Tabela2[[#This Row],[Dt Venc:]]&gt;TODAY(),"Em Aberto",IF(Tabela2[[#This Row],[D/venc]]="-","Enviado",IF(Tabela2[[#This Row],[Dt Venc:]]=TODAY(),"Vence Hoje","Vencida")))</f>
        <v>Enviado</v>
      </c>
      <c r="F899" s="3" t="str">
        <f ca="1">IF(G899=1,"-",Tabela2[[#This Row],[Dt Venc:]]-TODAY())</f>
        <v>-</v>
      </c>
      <c r="G899" s="3">
        <v>1</v>
      </c>
      <c r="H899" s="3" t="str">
        <f>_xlfn.XLOOKUP(A899,'Notas Faltantes'!A:A,'Notas Faltantes'!E:E,"",0)</f>
        <v/>
      </c>
    </row>
    <row r="900" spans="1:8" ht="18" hidden="1">
      <c r="A900" s="3">
        <v>604969</v>
      </c>
      <c r="B900" s="7" t="s">
        <v>138</v>
      </c>
      <c r="C900" s="41">
        <v>751.08</v>
      </c>
      <c r="D900" s="6">
        <v>45587</v>
      </c>
      <c r="E900" s="3" t="str">
        <f ca="1">IF(Tabela2[[#This Row],[Dt Venc:]]&gt;TODAY(),"Em Aberto",IF(Tabela2[[#This Row],[D/venc]]="-","Enviado",IF(Tabela2[[#This Row],[Dt Venc:]]=TODAY(),"Vence Hoje","Vencida")))</f>
        <v>Enviado</v>
      </c>
      <c r="F900" s="3" t="str">
        <f ca="1">IF(G900=1,"-",Tabela2[[#This Row],[Dt Venc:]]-TODAY())</f>
        <v>-</v>
      </c>
      <c r="G900" s="3">
        <v>1</v>
      </c>
      <c r="H900" s="3" t="str">
        <f>_xlfn.XLOOKUP(A900,'Notas Faltantes'!A:A,'Notas Faltantes'!E:E,"",0)</f>
        <v/>
      </c>
    </row>
    <row r="901" spans="1:8" ht="18" hidden="1">
      <c r="A901" s="3">
        <v>185551</v>
      </c>
      <c r="B901" s="7" t="s">
        <v>325</v>
      </c>
      <c r="C901" s="41">
        <v>1304.48</v>
      </c>
      <c r="D901" s="6">
        <v>45587</v>
      </c>
      <c r="E901" s="3" t="str">
        <f ca="1">IF(Tabela2[[#This Row],[Dt Venc:]]&gt;TODAY(),"Em Aberto",IF(Tabela2[[#This Row],[D/venc]]="-","Enviado",IF(Tabela2[[#This Row],[Dt Venc:]]=TODAY(),"Vence Hoje","Vencida")))</f>
        <v>Enviado</v>
      </c>
      <c r="F901" s="3" t="str">
        <f ca="1">IF(G901=1,"-",Tabela2[[#This Row],[Dt Venc:]]-TODAY())</f>
        <v>-</v>
      </c>
      <c r="G901" s="3">
        <v>1</v>
      </c>
      <c r="H901" s="3" t="str">
        <f>_xlfn.XLOOKUP(A901,'Notas Faltantes'!A:A,'Notas Faltantes'!E:E,"",0)</f>
        <v/>
      </c>
    </row>
    <row r="902" spans="1:8" ht="18" hidden="1">
      <c r="A902" s="3">
        <v>1228020</v>
      </c>
      <c r="B902" s="7" t="s">
        <v>64</v>
      </c>
      <c r="C902" s="41">
        <v>1109</v>
      </c>
      <c r="D902" s="6">
        <v>45587</v>
      </c>
      <c r="E902" s="3" t="str">
        <f ca="1">IF(Tabela2[[#This Row],[Dt Venc:]]&gt;TODAY(),"Em Aberto",IF(Tabela2[[#This Row],[D/venc]]="-","Enviado",IF(Tabela2[[#This Row],[Dt Venc:]]=TODAY(),"Vence Hoje","Vencida")))</f>
        <v>Enviado</v>
      </c>
      <c r="F902" s="3" t="str">
        <f ca="1">IF(G902=1,"-",Tabela2[[#This Row],[Dt Venc:]]-TODAY())</f>
        <v>-</v>
      </c>
      <c r="G902" s="3">
        <v>1</v>
      </c>
      <c r="H902" s="3" t="str">
        <f>_xlfn.XLOOKUP(A902,'Notas Faltantes'!A:A,'Notas Faltantes'!E:E,"",0)</f>
        <v/>
      </c>
    </row>
    <row r="903" spans="1:8" ht="18" hidden="1">
      <c r="A903" s="3">
        <v>254909</v>
      </c>
      <c r="B903" s="7" t="s">
        <v>49</v>
      </c>
      <c r="C903" s="41">
        <v>1045</v>
      </c>
      <c r="D903" s="6">
        <v>45587</v>
      </c>
      <c r="E903" s="3" t="str">
        <f ca="1">IF(Tabela2[[#This Row],[Dt Venc:]]&gt;TODAY(),"Em Aberto",IF(Tabela2[[#This Row],[D/venc]]="-","Enviado",IF(Tabela2[[#This Row],[Dt Venc:]]=TODAY(),"Vence Hoje","Vencida")))</f>
        <v>Enviado</v>
      </c>
      <c r="F903" s="3" t="str">
        <f ca="1">IF(G903=1,"-",Tabela2[[#This Row],[Dt Venc:]]-TODAY())</f>
        <v>-</v>
      </c>
      <c r="G903" s="3">
        <v>1</v>
      </c>
      <c r="H903" s="3" t="str">
        <f>_xlfn.XLOOKUP(A903,'Notas Faltantes'!A:A,'Notas Faltantes'!E:E,"",0)</f>
        <v/>
      </c>
    </row>
    <row r="904" spans="1:8" ht="18" hidden="1">
      <c r="A904" s="3">
        <v>255224</v>
      </c>
      <c r="B904" s="7" t="s">
        <v>49</v>
      </c>
      <c r="C904" s="41">
        <v>1393.33</v>
      </c>
      <c r="D904" s="6">
        <v>45587</v>
      </c>
      <c r="E904" s="3" t="str">
        <f ca="1">IF(Tabela2[[#This Row],[Dt Venc:]]&gt;TODAY(),"Em Aberto",IF(Tabela2[[#This Row],[D/venc]]="-","Enviado",IF(Tabela2[[#This Row],[Dt Venc:]]=TODAY(),"Vence Hoje","Vencida")))</f>
        <v>Enviado</v>
      </c>
      <c r="F904" s="3" t="str">
        <f ca="1">IF(G904=1,"-",Tabela2[[#This Row],[Dt Venc:]]-TODAY())</f>
        <v>-</v>
      </c>
      <c r="G904" s="3">
        <v>1</v>
      </c>
      <c r="H904" s="3" t="str">
        <f>_xlfn.XLOOKUP(A904,'Notas Faltantes'!A:A,'Notas Faltantes'!E:E,"",0)</f>
        <v/>
      </c>
    </row>
    <row r="905" spans="1:8" ht="18" hidden="1">
      <c r="A905" s="3">
        <v>1030</v>
      </c>
      <c r="B905" s="7" t="s">
        <v>155</v>
      </c>
      <c r="C905" s="41">
        <v>5043.3900000000003</v>
      </c>
      <c r="D905" s="6">
        <v>45587</v>
      </c>
      <c r="E905" s="3" t="str">
        <f ca="1">IF(Tabela2[[#This Row],[Dt Venc:]]&gt;TODAY(),"Em Aberto",IF(Tabela2[[#This Row],[D/venc]]="-","Enviado",IF(Tabela2[[#This Row],[Dt Venc:]]=TODAY(),"Vence Hoje","Vencida")))</f>
        <v>Enviado</v>
      </c>
      <c r="F905" s="3" t="str">
        <f ca="1">IF(G905=1,"-",Tabela2[[#This Row],[Dt Venc:]]-TODAY())</f>
        <v>-</v>
      </c>
      <c r="G905" s="3">
        <v>1</v>
      </c>
      <c r="H905" s="3" t="str">
        <f>_xlfn.XLOOKUP(A905,'Notas Faltantes'!A:A,'Notas Faltantes'!E:E,"",0)</f>
        <v/>
      </c>
    </row>
    <row r="906" spans="1:8" ht="18" hidden="1">
      <c r="A906" s="3">
        <v>23591</v>
      </c>
      <c r="B906" s="7" t="s">
        <v>218</v>
      </c>
      <c r="C906" s="41">
        <v>479.23</v>
      </c>
      <c r="D906" s="6">
        <v>45587</v>
      </c>
      <c r="E906" s="3" t="str">
        <f ca="1">IF(Tabela2[[#This Row],[Dt Venc:]]&gt;TODAY(),"Em Aberto",IF(Tabela2[[#This Row],[D/venc]]="-","Enviado",IF(Tabela2[[#This Row],[Dt Venc:]]=TODAY(),"Vence Hoje","Vencida")))</f>
        <v>Enviado</v>
      </c>
      <c r="F906" s="3" t="str">
        <f ca="1">IF(G906=1,"-",Tabela2[[#This Row],[Dt Venc:]]-TODAY())</f>
        <v>-</v>
      </c>
      <c r="G906" s="3">
        <v>1</v>
      </c>
      <c r="H906" s="3" t="str">
        <f>_xlfn.XLOOKUP(A906,'Notas Faltantes'!A:A,'Notas Faltantes'!E:E,"",0)</f>
        <v/>
      </c>
    </row>
    <row r="907" spans="1:8" ht="18" hidden="1">
      <c r="A907" s="3">
        <v>255521</v>
      </c>
      <c r="B907" s="7" t="s">
        <v>326</v>
      </c>
      <c r="C907" s="41">
        <v>1393.34</v>
      </c>
      <c r="D907" s="6">
        <v>45587</v>
      </c>
      <c r="E907" s="3" t="str">
        <f ca="1">IF(Tabela2[[#This Row],[Dt Venc:]]&gt;TODAY(),"Em Aberto",IF(Tabela2[[#This Row],[D/venc]]="-","Enviado",IF(Tabela2[[#This Row],[Dt Venc:]]=TODAY(),"Vence Hoje","Vencida")))</f>
        <v>Enviado</v>
      </c>
      <c r="F907" s="3" t="str">
        <f ca="1">IF(G907=1,"-",Tabela2[[#This Row],[Dt Venc:]]-TODAY())</f>
        <v>-</v>
      </c>
      <c r="G907" s="3">
        <v>1</v>
      </c>
      <c r="H907" s="3" t="str">
        <f>_xlfn.XLOOKUP(A907,'Notas Faltantes'!A:A,'Notas Faltantes'!E:E,"",0)</f>
        <v/>
      </c>
    </row>
    <row r="908" spans="1:8" ht="18" hidden="1">
      <c r="A908" s="3">
        <v>299581</v>
      </c>
      <c r="B908" s="7" t="s">
        <v>43</v>
      </c>
      <c r="C908" s="41">
        <v>661.34</v>
      </c>
      <c r="D908" s="6">
        <v>45587</v>
      </c>
      <c r="E908" s="3" t="str">
        <f ca="1">IF(Tabela2[[#This Row],[Dt Venc:]]&gt;TODAY(),"Em Aberto",IF(Tabela2[[#This Row],[D/venc]]="-","Enviado",IF(Tabela2[[#This Row],[Dt Venc:]]=TODAY(),"Vence Hoje","Vencida")))</f>
        <v>Enviado</v>
      </c>
      <c r="F908" s="3" t="str">
        <f ca="1">IF(G908=1,"-",Tabela2[[#This Row],[Dt Venc:]]-TODAY())</f>
        <v>-</v>
      </c>
      <c r="G908" s="3">
        <v>1</v>
      </c>
      <c r="H908" s="3" t="str">
        <f>_xlfn.XLOOKUP(A908,'Notas Faltantes'!A:A,'Notas Faltantes'!E:E,"",0)</f>
        <v/>
      </c>
    </row>
    <row r="909" spans="1:8" ht="18" hidden="1">
      <c r="A909" s="3">
        <v>56376</v>
      </c>
      <c r="B909" s="7" t="s">
        <v>327</v>
      </c>
      <c r="C909" s="41">
        <v>528</v>
      </c>
      <c r="D909" s="6">
        <v>45587</v>
      </c>
      <c r="E909" s="3" t="str">
        <f ca="1">IF(Tabela2[[#This Row],[Dt Venc:]]&gt;TODAY(),"Em Aberto",IF(Tabela2[[#This Row],[D/venc]]="-","Enviado",IF(Tabela2[[#This Row],[Dt Venc:]]=TODAY(),"Vence Hoje","Vencida")))</f>
        <v>Enviado</v>
      </c>
      <c r="F909" s="3" t="str">
        <f ca="1">IF(G909=1,"-",Tabela2[[#This Row],[Dt Venc:]]-TODAY())</f>
        <v>-</v>
      </c>
      <c r="G909" s="3">
        <v>1</v>
      </c>
      <c r="H909" s="3" t="str">
        <f>_xlfn.XLOOKUP(A909,'Notas Faltantes'!A:A,'Notas Faltantes'!E:E,"",0)</f>
        <v/>
      </c>
    </row>
    <row r="910" spans="1:8" ht="18" hidden="1">
      <c r="A910" s="3">
        <v>3529</v>
      </c>
      <c r="B910" s="7" t="s">
        <v>328</v>
      </c>
      <c r="C910" s="41">
        <v>269.38</v>
      </c>
      <c r="D910" s="6">
        <v>45587</v>
      </c>
      <c r="E910" s="3" t="str">
        <f ca="1">IF(Tabela2[[#This Row],[Dt Venc:]]&gt;TODAY(),"Em Aberto",IF(Tabela2[[#This Row],[D/venc]]="-","Enviado",IF(Tabela2[[#This Row],[Dt Venc:]]=TODAY(),"Vence Hoje","Vencida")))</f>
        <v>Enviado</v>
      </c>
      <c r="F910" s="3" t="str">
        <f ca="1">IF(G910=1,"-",Tabela2[[#This Row],[Dt Venc:]]-TODAY())</f>
        <v>-</v>
      </c>
      <c r="G910" s="3">
        <v>1</v>
      </c>
      <c r="H910" s="3" t="str">
        <f>_xlfn.XLOOKUP(A910,'Notas Faltantes'!A:A,'Notas Faltantes'!E:E,"",0)</f>
        <v/>
      </c>
    </row>
    <row r="911" spans="1:8" ht="18" hidden="1">
      <c r="A911" s="3">
        <v>229888</v>
      </c>
      <c r="B911" s="7" t="s">
        <v>43</v>
      </c>
      <c r="C911" s="41">
        <v>741.65</v>
      </c>
      <c r="D911" s="6">
        <v>45587</v>
      </c>
      <c r="E911" s="3" t="str">
        <f ca="1">IF(Tabela2[[#This Row],[Dt Venc:]]&gt;TODAY(),"Em Aberto",IF(Tabela2[[#This Row],[D/venc]]="-","Enviado",IF(Tabela2[[#This Row],[Dt Venc:]]=TODAY(),"Vence Hoje","Vencida")))</f>
        <v>Enviado</v>
      </c>
      <c r="F911" s="3" t="str">
        <f ca="1">IF(G911=1,"-",Tabela2[[#This Row],[Dt Venc:]]-TODAY())</f>
        <v>-</v>
      </c>
      <c r="G911" s="3">
        <v>1</v>
      </c>
      <c r="H911" s="3" t="str">
        <f>_xlfn.XLOOKUP(A911,'Notas Faltantes'!A:A,'Notas Faltantes'!E:E,"",0)</f>
        <v/>
      </c>
    </row>
    <row r="912" spans="1:8" ht="18" hidden="1">
      <c r="A912" s="3">
        <v>186182</v>
      </c>
      <c r="B912" s="7" t="s">
        <v>172</v>
      </c>
      <c r="C912" s="41">
        <v>1685.99</v>
      </c>
      <c r="D912" s="6">
        <v>45587</v>
      </c>
      <c r="E912" s="3" t="str">
        <f ca="1">IF(Tabela2[[#This Row],[Dt Venc:]]&gt;TODAY(),"Em Aberto",IF(Tabela2[[#This Row],[D/venc]]="-","Enviado",IF(Tabela2[[#This Row],[Dt Venc:]]=TODAY(),"Vence Hoje","Vencida")))</f>
        <v>Enviado</v>
      </c>
      <c r="F912" s="3" t="str">
        <f ca="1">IF(G912=1,"-",Tabela2[[#This Row],[Dt Venc:]]-TODAY())</f>
        <v>-</v>
      </c>
      <c r="G912" s="3">
        <v>1</v>
      </c>
      <c r="H912" s="3" t="str">
        <f>_xlfn.XLOOKUP(A912,'Notas Faltantes'!A:A,'Notas Faltantes'!E:E,"",0)</f>
        <v/>
      </c>
    </row>
    <row r="913" spans="1:8" ht="18" hidden="1">
      <c r="A913" s="3">
        <v>6478</v>
      </c>
      <c r="B913" s="7" t="s">
        <v>291</v>
      </c>
      <c r="C913" s="41">
        <v>913.5</v>
      </c>
      <c r="D913" s="6">
        <v>45587</v>
      </c>
      <c r="E913" s="3" t="str">
        <f ca="1">IF(Tabela2[[#This Row],[Dt Venc:]]&gt;TODAY(),"Em Aberto",IF(Tabela2[[#This Row],[D/venc]]="-","Enviado",IF(Tabela2[[#This Row],[Dt Venc:]]=TODAY(),"Vence Hoje","Vencida")))</f>
        <v>Enviado</v>
      </c>
      <c r="F913" s="3" t="str">
        <f ca="1">IF(G913=1,"-",Tabela2[[#This Row],[Dt Venc:]]-TODAY())</f>
        <v>-</v>
      </c>
      <c r="G913" s="3">
        <v>1</v>
      </c>
      <c r="H913" s="3" t="str">
        <f>_xlfn.XLOOKUP(A913,'Notas Faltantes'!A:A,'Notas Faltantes'!E:E,"",0)</f>
        <v/>
      </c>
    </row>
    <row r="914" spans="1:8" ht="18" hidden="1">
      <c r="A914" s="3">
        <v>6479</v>
      </c>
      <c r="B914" s="7" t="s">
        <v>291</v>
      </c>
      <c r="C914" s="41">
        <v>5872.5</v>
      </c>
      <c r="D914" s="6">
        <v>45587</v>
      </c>
      <c r="E914" s="3" t="str">
        <f ca="1">IF(Tabela2[[#This Row],[Dt Venc:]]&gt;TODAY(),"Em Aberto",IF(Tabela2[[#This Row],[D/venc]]="-","Enviado",IF(Tabela2[[#This Row],[Dt Venc:]]=TODAY(),"Vence Hoje","Vencida")))</f>
        <v>Enviado</v>
      </c>
      <c r="F914" s="3" t="str">
        <f ca="1">IF(G914=1,"-",Tabela2[[#This Row],[Dt Venc:]]-TODAY())</f>
        <v>-</v>
      </c>
      <c r="G914" s="3">
        <v>1</v>
      </c>
      <c r="H914" s="3" t="str">
        <f>_xlfn.XLOOKUP(A914,'Notas Faltantes'!A:A,'Notas Faltantes'!E:E,"",0)</f>
        <v/>
      </c>
    </row>
    <row r="915" spans="1:8" ht="18" hidden="1">
      <c r="A915" s="3">
        <v>3883</v>
      </c>
      <c r="B915" s="7" t="s">
        <v>293</v>
      </c>
      <c r="C915" s="41">
        <v>1760</v>
      </c>
      <c r="D915" s="6">
        <v>45587</v>
      </c>
      <c r="E915" s="3" t="str">
        <f ca="1">IF(Tabela2[[#This Row],[Dt Venc:]]&gt;TODAY(),"Em Aberto",IF(Tabela2[[#This Row],[D/venc]]="-","Enviado",IF(Tabela2[[#This Row],[Dt Venc:]]=TODAY(),"Vence Hoje","Vencida")))</f>
        <v>Enviado</v>
      </c>
      <c r="F915" s="3" t="str">
        <f ca="1">IF(G915=1,"-",Tabela2[[#This Row],[Dt Venc:]]-TODAY())</f>
        <v>-</v>
      </c>
      <c r="G915" s="3">
        <v>1</v>
      </c>
      <c r="H915" s="3" t="str">
        <f>_xlfn.XLOOKUP(A915,'Notas Faltantes'!A:A,'Notas Faltantes'!E:E,"",0)</f>
        <v/>
      </c>
    </row>
    <row r="916" spans="1:8" ht="18" hidden="1">
      <c r="A916" s="3">
        <v>207372</v>
      </c>
      <c r="B916" s="7" t="s">
        <v>329</v>
      </c>
      <c r="C916" s="41">
        <v>6300</v>
      </c>
      <c r="D916" s="6">
        <v>45587</v>
      </c>
      <c r="E916" s="3" t="str">
        <f ca="1">IF(Tabela2[[#This Row],[Dt Venc:]]&gt;TODAY(),"Em Aberto",IF(Tabela2[[#This Row],[D/venc]]="-","Enviado",IF(Tabela2[[#This Row],[Dt Venc:]]=TODAY(),"Vence Hoje","Vencida")))</f>
        <v>Enviado</v>
      </c>
      <c r="F916" s="3" t="str">
        <f ca="1">IF(G916=1,"-",Tabela2[[#This Row],[Dt Venc:]]-TODAY())</f>
        <v>-</v>
      </c>
      <c r="G916" s="3">
        <v>1</v>
      </c>
      <c r="H916" s="3" t="str">
        <f>_xlfn.XLOOKUP(A916,'Notas Faltantes'!A:A,'Notas Faltantes'!E:E,"",0)</f>
        <v/>
      </c>
    </row>
    <row r="917" spans="1:8" ht="18" hidden="1">
      <c r="A917" s="3">
        <v>2252538</v>
      </c>
      <c r="B917" s="7" t="s">
        <v>59</v>
      </c>
      <c r="C917" s="41">
        <v>54124</v>
      </c>
      <c r="D917" s="6">
        <v>45587</v>
      </c>
      <c r="E917" s="3" t="str">
        <f ca="1">IF(Tabela2[[#This Row],[Dt Venc:]]&gt;TODAY(),"Em Aberto",IF(Tabela2[[#This Row],[D/venc]]="-","Enviado",IF(Tabela2[[#This Row],[Dt Venc:]]=TODAY(),"Vence Hoje","Vencida")))</f>
        <v>Enviado</v>
      </c>
      <c r="F917" s="3" t="str">
        <f ca="1">IF(G917=1,"-",Tabela2[[#This Row],[Dt Venc:]]-TODAY())</f>
        <v>-</v>
      </c>
      <c r="G917" s="3">
        <v>1</v>
      </c>
      <c r="H917" s="3" t="str">
        <f>_xlfn.XLOOKUP(A917,'Notas Faltantes'!A:A,'Notas Faltantes'!E:E,"",0)</f>
        <v/>
      </c>
    </row>
    <row r="918" spans="1:8" ht="18" hidden="1">
      <c r="A918" s="3">
        <v>1984639</v>
      </c>
      <c r="B918" s="7" t="s">
        <v>59</v>
      </c>
      <c r="C918" s="41">
        <v>107910</v>
      </c>
      <c r="D918" s="6">
        <v>45587</v>
      </c>
      <c r="E918" s="3" t="str">
        <f ca="1">IF(Tabela2[[#This Row],[Dt Venc:]]&gt;TODAY(),"Em Aberto",IF(Tabela2[[#This Row],[D/venc]]="-","Enviado",IF(Tabela2[[#This Row],[Dt Venc:]]=TODAY(),"Vence Hoje","Vencida")))</f>
        <v>Enviado</v>
      </c>
      <c r="F918" s="3" t="str">
        <f ca="1">IF(G918=1,"-",Tabela2[[#This Row],[Dt Venc:]]-TODAY())</f>
        <v>-</v>
      </c>
      <c r="G918" s="3">
        <v>1</v>
      </c>
      <c r="H918" s="3" t="str">
        <f>_xlfn.XLOOKUP(A918,'Notas Faltantes'!A:A,'Notas Faltantes'!E:E,"",0)</f>
        <v/>
      </c>
    </row>
    <row r="919" spans="1:8" ht="18" hidden="1">
      <c r="A919" s="3">
        <v>3292995</v>
      </c>
      <c r="B919" s="7" t="s">
        <v>71</v>
      </c>
      <c r="C919" s="41">
        <v>80941.5</v>
      </c>
      <c r="D919" s="6">
        <v>45587</v>
      </c>
      <c r="E919" s="3" t="str">
        <f ca="1">IF(Tabela2[[#This Row],[Dt Venc:]]&gt;TODAY(),"Em Aberto",IF(Tabela2[[#This Row],[D/venc]]="-","Enviado",IF(Tabela2[[#This Row],[Dt Venc:]]=TODAY(),"Vence Hoje","Vencida")))</f>
        <v>Enviado</v>
      </c>
      <c r="F919" s="3" t="str">
        <f ca="1">IF(G919=1,"-",Tabela2[[#This Row],[Dt Venc:]]-TODAY())</f>
        <v>-</v>
      </c>
      <c r="G919" s="3">
        <v>1</v>
      </c>
      <c r="H919" s="3" t="str">
        <f>_xlfn.XLOOKUP(A919,'Notas Faltantes'!A:A,'Notas Faltantes'!E:E,"",0)</f>
        <v/>
      </c>
    </row>
    <row r="920" spans="1:8" ht="18" hidden="1">
      <c r="A920" s="3" t="s">
        <v>110</v>
      </c>
      <c r="B920" s="7" t="s">
        <v>330</v>
      </c>
      <c r="C920" s="42" t="s">
        <v>32</v>
      </c>
      <c r="D920" s="6">
        <v>45587</v>
      </c>
      <c r="E920" s="3" t="str">
        <f ca="1">IF(Tabela2[[#This Row],[Dt Venc:]]&gt;TODAY(),"Em Aberto",IF(Tabela2[[#This Row],[D/venc]]="-","Enviado",IF(Tabela2[[#This Row],[Dt Venc:]]=TODAY(),"Vence Hoje","Vencida")))</f>
        <v>Enviado</v>
      </c>
      <c r="F920" s="3" t="str">
        <f ca="1">IF(G920=1,"-",Tabela2[[#This Row],[Dt Venc:]]-TODAY())</f>
        <v>-</v>
      </c>
      <c r="G920" s="3">
        <v>1</v>
      </c>
      <c r="H920" s="3"/>
    </row>
    <row r="921" spans="1:8" ht="18" hidden="1">
      <c r="A921" s="3">
        <v>10657</v>
      </c>
      <c r="B921" s="7" t="s">
        <v>33</v>
      </c>
      <c r="C921" s="42">
        <v>1620</v>
      </c>
      <c r="D921" s="6">
        <v>45588</v>
      </c>
      <c r="E921" s="3" t="str">
        <f ca="1">IF(Tabela2[[#This Row],[Dt Venc:]]&gt;TODAY(),"Em Aberto",IF(Tabela2[[#This Row],[D/venc]]="-","Enviado",IF(Tabela2[[#This Row],[Dt Venc:]]=TODAY(),"Vence Hoje","Vencida")))</f>
        <v>Enviado</v>
      </c>
      <c r="F921" s="3" t="str">
        <f ca="1">IF(G921=1,"-",Tabela2[[#This Row],[Dt Venc:]]-TODAY())</f>
        <v>-</v>
      </c>
      <c r="G921" s="3">
        <v>1</v>
      </c>
      <c r="H921" s="3" t="str">
        <f>_xlfn.XLOOKUP(A921,'Notas Faltantes'!A:A,'Notas Faltantes'!E:E,"",0)</f>
        <v/>
      </c>
    </row>
    <row r="922" spans="1:8" ht="18" hidden="1">
      <c r="A922" s="3">
        <v>2621</v>
      </c>
      <c r="B922" s="7" t="s">
        <v>58</v>
      </c>
      <c r="C922" s="42">
        <v>2027.2</v>
      </c>
      <c r="D922" s="6">
        <v>45588</v>
      </c>
      <c r="E922" s="3" t="str">
        <f ca="1">IF(Tabela2[[#This Row],[Dt Venc:]]&gt;TODAY(),"Em Aberto",IF(Tabela2[[#This Row],[D/venc]]="-","Enviado",IF(Tabela2[[#This Row],[Dt Venc:]]=TODAY(),"Vence Hoje","Vencida")))</f>
        <v>Enviado</v>
      </c>
      <c r="F922" s="3" t="str">
        <f ca="1">IF(G922=1,"-",Tabela2[[#This Row],[Dt Venc:]]-TODAY())</f>
        <v>-</v>
      </c>
      <c r="G922" s="3">
        <v>1</v>
      </c>
      <c r="H922" s="3" t="str">
        <f>_xlfn.XLOOKUP(A922,'Notas Faltantes'!A:A,'Notas Faltantes'!E:E,"",0)</f>
        <v/>
      </c>
    </row>
    <row r="923" spans="1:8" ht="18" hidden="1">
      <c r="A923" s="3">
        <v>216158</v>
      </c>
      <c r="B923" s="7" t="s">
        <v>39</v>
      </c>
      <c r="C923" s="42">
        <v>13995</v>
      </c>
      <c r="D923" s="6">
        <v>45588</v>
      </c>
      <c r="E923" s="3" t="str">
        <f ca="1">IF(Tabela2[[#This Row],[Dt Venc:]]&gt;TODAY(),"Em Aberto",IF(Tabela2[[#This Row],[D/venc]]="-","Enviado",IF(Tabela2[[#This Row],[Dt Venc:]]=TODAY(),"Vence Hoje","Vencida")))</f>
        <v>Enviado</v>
      </c>
      <c r="F923" s="3" t="str">
        <f ca="1">IF(G923=1,"-",Tabela2[[#This Row],[Dt Venc:]]-TODAY())</f>
        <v>-</v>
      </c>
      <c r="G923" s="3">
        <v>1</v>
      </c>
      <c r="H923" s="3" t="str">
        <f>_xlfn.XLOOKUP(A923,'Notas Faltantes'!A:A,'Notas Faltantes'!E:E,"",0)</f>
        <v/>
      </c>
    </row>
    <row r="924" spans="1:8" ht="18" hidden="1">
      <c r="A924" s="3">
        <v>203328</v>
      </c>
      <c r="B924" s="7" t="s">
        <v>43</v>
      </c>
      <c r="C924" s="42">
        <v>1296.9100000000001</v>
      </c>
      <c r="D924" s="6">
        <v>45588</v>
      </c>
      <c r="E924" s="3" t="str">
        <f ca="1">IF(Tabela2[[#This Row],[Dt Venc:]]&gt;TODAY(),"Em Aberto",IF(Tabela2[[#This Row],[D/venc]]="-","Enviado",IF(Tabela2[[#This Row],[Dt Venc:]]=TODAY(),"Vence Hoje","Vencida")))</f>
        <v>Enviado</v>
      </c>
      <c r="F924" s="3" t="str">
        <f ca="1">IF(G924=1,"-",Tabela2[[#This Row],[Dt Venc:]]-TODAY())</f>
        <v>-</v>
      </c>
      <c r="G924" s="3">
        <v>1</v>
      </c>
      <c r="H924" s="3" t="str">
        <f>_xlfn.XLOOKUP(A924,'Notas Faltantes'!A:A,'Notas Faltantes'!E:E,"",0)</f>
        <v/>
      </c>
    </row>
    <row r="925" spans="1:8" ht="18" hidden="1">
      <c r="A925" s="3">
        <v>760741</v>
      </c>
      <c r="B925" s="7" t="s">
        <v>79</v>
      </c>
      <c r="C925" s="42">
        <v>2244.0300000000002</v>
      </c>
      <c r="D925" s="6">
        <v>45588</v>
      </c>
      <c r="E925" s="3" t="str">
        <f ca="1">IF(Tabela2[[#This Row],[Dt Venc:]]&gt;TODAY(),"Em Aberto",IF(Tabela2[[#This Row],[D/venc]]="-","Enviado",IF(Tabela2[[#This Row],[Dt Venc:]]=TODAY(),"Vence Hoje","Vencida")))</f>
        <v>Enviado</v>
      </c>
      <c r="F925" s="3" t="str">
        <f ca="1">IF(G925=1,"-",Tabela2[[#This Row],[Dt Venc:]]-TODAY())</f>
        <v>-</v>
      </c>
      <c r="G925" s="3">
        <v>1</v>
      </c>
      <c r="H925" s="3" t="str">
        <f>_xlfn.XLOOKUP(A925,'Notas Faltantes'!A:A,'Notas Faltantes'!E:E,"",0)</f>
        <v/>
      </c>
    </row>
    <row r="926" spans="1:8" ht="18" hidden="1">
      <c r="A926" s="3">
        <v>2197</v>
      </c>
      <c r="B926" s="7" t="s">
        <v>45</v>
      </c>
      <c r="C926" s="42">
        <v>435</v>
      </c>
      <c r="D926" s="6">
        <v>45588</v>
      </c>
      <c r="E926" s="3" t="str">
        <f ca="1">IF(Tabela2[[#This Row],[Dt Venc:]]&gt;TODAY(),"Em Aberto",IF(Tabela2[[#This Row],[D/venc]]="-","Enviado",IF(Tabela2[[#This Row],[Dt Venc:]]=TODAY(),"Vence Hoje","Vencida")))</f>
        <v>Enviado</v>
      </c>
      <c r="F926" s="3" t="str">
        <f ca="1">IF(G926=1,"-",Tabela2[[#This Row],[Dt Venc:]]-TODAY())</f>
        <v>-</v>
      </c>
      <c r="G926" s="3">
        <v>1</v>
      </c>
      <c r="H926" s="3" t="str">
        <f>_xlfn.XLOOKUP(A926,'Notas Faltantes'!A:A,'Notas Faltantes'!E:E,"",0)</f>
        <v/>
      </c>
    </row>
    <row r="927" spans="1:8" ht="18" hidden="1">
      <c r="A927" s="3">
        <v>22626</v>
      </c>
      <c r="B927" s="7" t="s">
        <v>331</v>
      </c>
      <c r="C927" s="42">
        <v>346.67</v>
      </c>
      <c r="D927" s="6">
        <v>45588</v>
      </c>
      <c r="E927" s="3" t="str">
        <f ca="1">IF(Tabela2[[#This Row],[Dt Venc:]]&gt;TODAY(),"Em Aberto",IF(Tabela2[[#This Row],[D/venc]]="-","Enviado",IF(Tabela2[[#This Row],[Dt Venc:]]=TODAY(),"Vence Hoje","Vencida")))</f>
        <v>Enviado</v>
      </c>
      <c r="F927" s="3" t="str">
        <f ca="1">IF(G927=1,"-",Tabela2[[#This Row],[Dt Venc:]]-TODAY())</f>
        <v>-</v>
      </c>
      <c r="G927" s="3">
        <v>1</v>
      </c>
      <c r="H927" s="3" t="str">
        <f>_xlfn.XLOOKUP(A927,'Notas Faltantes'!A:A,'Notas Faltantes'!E:E,"",0)</f>
        <v/>
      </c>
    </row>
    <row r="928" spans="1:8" ht="18" hidden="1">
      <c r="A928" s="3">
        <v>12069</v>
      </c>
      <c r="B928" s="7" t="s">
        <v>332</v>
      </c>
      <c r="C928" s="42">
        <v>2450.6</v>
      </c>
      <c r="D928" s="6">
        <v>45588</v>
      </c>
      <c r="E928" s="3" t="str">
        <f ca="1">IF(Tabela2[[#This Row],[Dt Venc:]]&gt;TODAY(),"Em Aberto",IF(Tabela2[[#This Row],[D/venc]]="-","Enviado",IF(Tabela2[[#This Row],[Dt Venc:]]=TODAY(),"Vence Hoje","Vencida")))</f>
        <v>Enviado</v>
      </c>
      <c r="F928" s="3" t="str">
        <f ca="1">IF(G928=1,"-",Tabela2[[#This Row],[Dt Venc:]]-TODAY())</f>
        <v>-</v>
      </c>
      <c r="G928" s="3">
        <v>1</v>
      </c>
      <c r="H928" s="3" t="str">
        <f>_xlfn.XLOOKUP(A928,'Notas Faltantes'!A:A,'Notas Faltantes'!E:E,"",0)</f>
        <v/>
      </c>
    </row>
    <row r="929" spans="1:8" ht="18" hidden="1">
      <c r="A929" s="3">
        <v>137942</v>
      </c>
      <c r="B929" s="7" t="s">
        <v>333</v>
      </c>
      <c r="C929" s="42">
        <v>1044.6099999999999</v>
      </c>
      <c r="D929" s="6">
        <v>45588</v>
      </c>
      <c r="E929" s="3" t="str">
        <f ca="1">IF(Tabela2[[#This Row],[Dt Venc:]]&gt;TODAY(),"Em Aberto",IF(Tabela2[[#This Row],[D/venc]]="-","Enviado",IF(Tabela2[[#This Row],[Dt Venc:]]=TODAY(),"Vence Hoje","Vencida")))</f>
        <v>Enviado</v>
      </c>
      <c r="F929" s="3" t="str">
        <f ca="1">IF(G929=1,"-",Tabela2[[#This Row],[Dt Venc:]]-TODAY())</f>
        <v>-</v>
      </c>
      <c r="G929" s="3">
        <v>1</v>
      </c>
      <c r="H929" s="3" t="str">
        <f>_xlfn.XLOOKUP(A929,'Notas Faltantes'!A:A,'Notas Faltantes'!E:E,"",0)</f>
        <v/>
      </c>
    </row>
    <row r="930" spans="1:8" ht="18" hidden="1">
      <c r="A930" s="3">
        <v>10802</v>
      </c>
      <c r="B930" s="7" t="s">
        <v>33</v>
      </c>
      <c r="C930" s="41">
        <v>1600</v>
      </c>
      <c r="D930" s="6">
        <v>45588</v>
      </c>
      <c r="E930" s="3" t="str">
        <f ca="1">IF(Tabela2[[#This Row],[Dt Venc:]]&gt;TODAY(),"Em Aberto",IF(Tabela2[[#This Row],[D/venc]]="-","Enviado",IF(Tabela2[[#This Row],[Dt Venc:]]=TODAY(),"Vence Hoje","Vencida")))</f>
        <v>Enviado</v>
      </c>
      <c r="F930" s="3" t="str">
        <f ca="1">IF(G930=1,"-",Tabela2[[#This Row],[Dt Venc:]]-TODAY())</f>
        <v>-</v>
      </c>
      <c r="G930" s="3">
        <v>1</v>
      </c>
      <c r="H930" s="3" t="str">
        <f>_xlfn.XLOOKUP(A930,'Notas Faltantes'!A:A,'Notas Faltantes'!E:E,"",0)</f>
        <v/>
      </c>
    </row>
    <row r="931" spans="1:8" ht="18" hidden="1">
      <c r="A931" s="3">
        <v>10228</v>
      </c>
      <c r="B931" s="7" t="s">
        <v>72</v>
      </c>
      <c r="C931" s="41">
        <v>876.66</v>
      </c>
      <c r="D931" s="6">
        <v>45588</v>
      </c>
      <c r="E931" s="3" t="str">
        <f ca="1">IF(Tabela2[[#This Row],[Dt Venc:]]&gt;TODAY(),"Em Aberto",IF(Tabela2[[#This Row],[D/venc]]="-","Enviado",IF(Tabela2[[#This Row],[Dt Venc:]]=TODAY(),"Vence Hoje","Vencida")))</f>
        <v>Enviado</v>
      </c>
      <c r="F931" s="3" t="str">
        <f ca="1">IF(G931=1,"-",Tabela2[[#This Row],[Dt Venc:]]-TODAY())</f>
        <v>-</v>
      </c>
      <c r="G931" s="3">
        <v>1</v>
      </c>
      <c r="H931" s="3" t="str">
        <f>_xlfn.XLOOKUP(A931,'Notas Faltantes'!A:A,'Notas Faltantes'!E:E,"",0)</f>
        <v/>
      </c>
    </row>
    <row r="932" spans="1:8" ht="18" hidden="1">
      <c r="A932" s="3">
        <v>10226</v>
      </c>
      <c r="B932" s="7" t="s">
        <v>72</v>
      </c>
      <c r="C932" s="41">
        <v>610</v>
      </c>
      <c r="D932" s="6">
        <v>45588</v>
      </c>
      <c r="E932" s="3" t="str">
        <f ca="1">IF(Tabela2[[#This Row],[Dt Venc:]]&gt;TODAY(),"Em Aberto",IF(Tabela2[[#This Row],[D/venc]]="-","Enviado",IF(Tabela2[[#This Row],[Dt Venc:]]=TODAY(),"Vence Hoje","Vencida")))</f>
        <v>Enviado</v>
      </c>
      <c r="F932" s="3" t="str">
        <f ca="1">IF(G932=1,"-",Tabela2[[#This Row],[Dt Venc:]]-TODAY())</f>
        <v>-</v>
      </c>
      <c r="G932" s="3">
        <v>1</v>
      </c>
      <c r="H932" s="3" t="str">
        <f>_xlfn.XLOOKUP(A932,'Notas Faltantes'!A:A,'Notas Faltantes'!E:E,"",0)</f>
        <v/>
      </c>
    </row>
    <row r="933" spans="1:8" ht="18" hidden="1">
      <c r="A933" s="3">
        <v>605263</v>
      </c>
      <c r="B933" s="7" t="s">
        <v>138</v>
      </c>
      <c r="C933" s="41">
        <v>579.87</v>
      </c>
      <c r="D933" s="6">
        <v>45588</v>
      </c>
      <c r="E933" s="3" t="str">
        <f ca="1">IF(Tabela2[[#This Row],[Dt Venc:]]&gt;TODAY(),"Em Aberto",IF(Tabela2[[#This Row],[D/venc]]="-","Enviado",IF(Tabela2[[#This Row],[Dt Venc:]]=TODAY(),"Vence Hoje","Vencida")))</f>
        <v>Enviado</v>
      </c>
      <c r="F933" s="3" t="str">
        <f ca="1">IF(G933=1,"-",Tabela2[[#This Row],[Dt Venc:]]-TODAY())</f>
        <v>-</v>
      </c>
      <c r="G933" s="3">
        <v>1</v>
      </c>
      <c r="H933" s="3" t="str">
        <f>_xlfn.XLOOKUP(A933,'Notas Faltantes'!A:A,'Notas Faltantes'!E:E,"",0)</f>
        <v/>
      </c>
    </row>
    <row r="934" spans="1:8" ht="18" hidden="1">
      <c r="A934" s="3">
        <v>13886</v>
      </c>
      <c r="B934" s="7" t="s">
        <v>102</v>
      </c>
      <c r="C934" s="41">
        <v>560</v>
      </c>
      <c r="D934" s="6">
        <v>45588</v>
      </c>
      <c r="E934" s="3" t="str">
        <f ca="1">IF(Tabela2[[#This Row],[Dt Venc:]]&gt;TODAY(),"Em Aberto",IF(Tabela2[[#This Row],[D/venc]]="-","Enviado",IF(Tabela2[[#This Row],[Dt Venc:]]=TODAY(),"Vence Hoje","Vencida")))</f>
        <v>Enviado</v>
      </c>
      <c r="F934" s="3" t="str">
        <f ca="1">IF(G934=1,"-",Tabela2[[#This Row],[Dt Venc:]]-TODAY())</f>
        <v>-</v>
      </c>
      <c r="G934" s="3">
        <v>1</v>
      </c>
      <c r="H934" s="3" t="str">
        <f>_xlfn.XLOOKUP(A934,'Notas Faltantes'!A:A,'Notas Faltantes'!E:E,"",0)</f>
        <v/>
      </c>
    </row>
    <row r="935" spans="1:8" ht="18" hidden="1">
      <c r="A935" s="3">
        <v>216543</v>
      </c>
      <c r="B935" s="7" t="s">
        <v>43</v>
      </c>
      <c r="C935" s="41">
        <v>672.46</v>
      </c>
      <c r="D935" s="6">
        <v>45588</v>
      </c>
      <c r="E935" s="3" t="str">
        <f ca="1">IF(Tabela2[[#This Row],[Dt Venc:]]&gt;TODAY(),"Em Aberto",IF(Tabela2[[#This Row],[D/venc]]="-","Enviado",IF(Tabela2[[#This Row],[Dt Venc:]]=TODAY(),"Vence Hoje","Vencida")))</f>
        <v>Enviado</v>
      </c>
      <c r="F935" s="3" t="str">
        <f ca="1">IF(G935=1,"-",Tabela2[[#This Row],[Dt Venc:]]-TODAY())</f>
        <v>-</v>
      </c>
      <c r="G935" s="3">
        <v>1</v>
      </c>
      <c r="H935" s="3" t="str">
        <f>_xlfn.XLOOKUP(A935,'Notas Faltantes'!A:A,'Notas Faltantes'!E:E,"",0)</f>
        <v/>
      </c>
    </row>
    <row r="936" spans="1:8" ht="18" hidden="1">
      <c r="A936" s="3">
        <v>216382</v>
      </c>
      <c r="B936" s="7" t="s">
        <v>43</v>
      </c>
      <c r="C936" s="41">
        <v>1083.96</v>
      </c>
      <c r="D936" s="6">
        <v>45588</v>
      </c>
      <c r="E936" s="3" t="str">
        <f ca="1">IF(Tabela2[[#This Row],[Dt Venc:]]&gt;TODAY(),"Em Aberto",IF(Tabela2[[#This Row],[D/venc]]="-","Enviado",IF(Tabela2[[#This Row],[Dt Venc:]]=TODAY(),"Vence Hoje","Vencida")))</f>
        <v>Enviado</v>
      </c>
      <c r="F936" s="3" t="str">
        <f ca="1">IF(G936=1,"-",Tabela2[[#This Row],[Dt Venc:]]-TODAY())</f>
        <v>-</v>
      </c>
      <c r="G936" s="3">
        <v>1</v>
      </c>
      <c r="H936" s="3" t="str">
        <f>_xlfn.XLOOKUP(A936,'Notas Faltantes'!A:A,'Notas Faltantes'!E:E,"",0)</f>
        <v/>
      </c>
    </row>
    <row r="937" spans="1:8" ht="18" hidden="1">
      <c r="A937" s="3">
        <v>15166</v>
      </c>
      <c r="B937" s="7" t="s">
        <v>44</v>
      </c>
      <c r="C937" s="41">
        <v>850</v>
      </c>
      <c r="D937" s="6">
        <v>45588</v>
      </c>
      <c r="E937" s="3" t="str">
        <f ca="1">IF(Tabela2[[#This Row],[Dt Venc:]]&gt;TODAY(),"Em Aberto",IF(Tabela2[[#This Row],[D/venc]]="-","Enviado",IF(Tabela2[[#This Row],[Dt Venc:]]=TODAY(),"Vence Hoje","Vencida")))</f>
        <v>Enviado</v>
      </c>
      <c r="F937" s="3" t="str">
        <f ca="1">IF(G937=1,"-",Tabela2[[#This Row],[Dt Venc:]]-TODAY())</f>
        <v>-</v>
      </c>
      <c r="G937" s="3">
        <v>1</v>
      </c>
      <c r="H937" s="3" t="str">
        <f>_xlfn.XLOOKUP(A937,'Notas Faltantes'!A:A,'Notas Faltantes'!E:E,"",0)</f>
        <v/>
      </c>
    </row>
    <row r="938" spans="1:8" ht="18" hidden="1">
      <c r="A938" s="3">
        <v>53323</v>
      </c>
      <c r="B938" s="7" t="s">
        <v>35</v>
      </c>
      <c r="C938" s="41">
        <v>432.5</v>
      </c>
      <c r="D938" s="6">
        <v>45588</v>
      </c>
      <c r="E938" s="3" t="str">
        <f ca="1">IF(Tabela2[[#This Row],[Dt Venc:]]&gt;TODAY(),"Em Aberto",IF(Tabela2[[#This Row],[D/venc]]="-","Enviado",IF(Tabela2[[#This Row],[Dt Venc:]]=TODAY(),"Vence Hoje","Vencida")))</f>
        <v>Enviado</v>
      </c>
      <c r="F938" s="3" t="str">
        <f ca="1">IF(G938=1,"-",Tabela2[[#This Row],[Dt Venc:]]-TODAY())</f>
        <v>-</v>
      </c>
      <c r="G938" s="3">
        <v>1</v>
      </c>
      <c r="H938" s="3" t="str">
        <f>_xlfn.XLOOKUP(A938,'Notas Faltantes'!A:A,'Notas Faltantes'!E:E,"",0)</f>
        <v/>
      </c>
    </row>
    <row r="939" spans="1:8" ht="18" hidden="1">
      <c r="A939" s="3">
        <v>38822</v>
      </c>
      <c r="B939" s="7" t="s">
        <v>177</v>
      </c>
      <c r="C939" s="41">
        <v>725</v>
      </c>
      <c r="D939" s="6">
        <v>45588</v>
      </c>
      <c r="E939" s="3" t="str">
        <f ca="1">IF(Tabela2[[#This Row],[Dt Venc:]]&gt;TODAY(),"Em Aberto",IF(Tabela2[[#This Row],[D/venc]]="-","Enviado",IF(Tabela2[[#This Row],[Dt Venc:]]=TODAY(),"Vence Hoje","Vencida")))</f>
        <v>Enviado</v>
      </c>
      <c r="F939" s="3" t="str">
        <f ca="1">IF(G939=1,"-",Tabela2[[#This Row],[Dt Venc:]]-TODAY())</f>
        <v>-</v>
      </c>
      <c r="G939" s="3">
        <v>1</v>
      </c>
      <c r="H939" s="3" t="str">
        <f>_xlfn.XLOOKUP(A939,'Notas Faltantes'!A:A,'Notas Faltantes'!E:E,"",0)</f>
        <v/>
      </c>
    </row>
    <row r="940" spans="1:8" ht="18" hidden="1">
      <c r="A940" s="3">
        <v>188598</v>
      </c>
      <c r="B940" s="7" t="s">
        <v>128</v>
      </c>
      <c r="C940" s="41">
        <v>223.75</v>
      </c>
      <c r="D940" s="6">
        <v>45588</v>
      </c>
      <c r="E940" s="3" t="str">
        <f ca="1">IF(Tabela2[[#This Row],[Dt Venc:]]&gt;TODAY(),"Em Aberto",IF(Tabela2[[#This Row],[D/venc]]="-","Enviado",IF(Tabela2[[#This Row],[Dt Venc:]]=TODAY(),"Vence Hoje","Vencida")))</f>
        <v>Enviado</v>
      </c>
      <c r="F940" s="3" t="str">
        <f ca="1">IF(G940=1,"-",Tabela2[[#This Row],[Dt Venc:]]-TODAY())</f>
        <v>-</v>
      </c>
      <c r="G940" s="3">
        <v>1</v>
      </c>
      <c r="H940" s="3" t="str">
        <f>_xlfn.XLOOKUP(A940,'Notas Faltantes'!A:A,'Notas Faltantes'!E:E,"",0)</f>
        <v/>
      </c>
    </row>
    <row r="941" spans="1:8" ht="18" hidden="1">
      <c r="A941" s="3">
        <v>18118</v>
      </c>
      <c r="B941" s="7" t="s">
        <v>334</v>
      </c>
      <c r="C941" s="41">
        <v>7963.21</v>
      </c>
      <c r="D941" s="6">
        <v>45588</v>
      </c>
      <c r="E941" s="3" t="str">
        <f ca="1">IF(Tabela2[[#This Row],[Dt Venc:]]&gt;TODAY(),"Em Aberto",IF(Tabela2[[#This Row],[D/venc]]="-","Enviado",IF(Tabela2[[#This Row],[Dt Venc:]]=TODAY(),"Vence Hoje","Vencida")))</f>
        <v>Enviado</v>
      </c>
      <c r="F941" s="3" t="str">
        <f ca="1">IF(G941=1,"-",Tabela2[[#This Row],[Dt Venc:]]-TODAY())</f>
        <v>-</v>
      </c>
      <c r="G941" s="3">
        <v>1</v>
      </c>
      <c r="H941" s="3" t="str">
        <f>_xlfn.XLOOKUP(A941,'Notas Faltantes'!A:A,'Notas Faltantes'!E:E,"",0)</f>
        <v/>
      </c>
    </row>
    <row r="942" spans="1:8" ht="18" hidden="1">
      <c r="A942" s="3">
        <v>30288</v>
      </c>
      <c r="B942" s="7" t="s">
        <v>335</v>
      </c>
      <c r="C942" s="41">
        <v>177.75</v>
      </c>
      <c r="D942" s="6">
        <v>45588</v>
      </c>
      <c r="E942" s="3" t="str">
        <f ca="1">IF(Tabela2[[#This Row],[Dt Venc:]]&gt;TODAY(),"Em Aberto",IF(Tabela2[[#This Row],[D/venc]]="-","Enviado",IF(Tabela2[[#This Row],[Dt Venc:]]=TODAY(),"Vence Hoje","Vencida")))</f>
        <v>Enviado</v>
      </c>
      <c r="F942" s="3" t="str">
        <f ca="1">IF(G942=1,"-",Tabela2[[#This Row],[Dt Venc:]]-TODAY())</f>
        <v>-</v>
      </c>
      <c r="G942" s="3">
        <v>1</v>
      </c>
      <c r="H942" s="3" t="str">
        <f>_xlfn.XLOOKUP(A942,'Notas Faltantes'!A:A,'Notas Faltantes'!E:E,"",0)</f>
        <v/>
      </c>
    </row>
    <row r="943" spans="1:8" ht="18" hidden="1">
      <c r="A943" s="3">
        <v>153032</v>
      </c>
      <c r="B943" s="7" t="s">
        <v>77</v>
      </c>
      <c r="C943" s="41">
        <v>773.33</v>
      </c>
      <c r="D943" s="6">
        <v>45588</v>
      </c>
      <c r="E943" s="3" t="str">
        <f ca="1">IF(Tabela2[[#This Row],[Dt Venc:]]&gt;TODAY(),"Em Aberto",IF(Tabela2[[#This Row],[D/venc]]="-","Enviado",IF(Tabela2[[#This Row],[Dt Venc:]]=TODAY(),"Vence Hoje","Vencida")))</f>
        <v>Enviado</v>
      </c>
      <c r="F943" s="3" t="str">
        <f ca="1">IF(G943=1,"-",Tabela2[[#This Row],[Dt Venc:]]-TODAY())</f>
        <v>-</v>
      </c>
      <c r="G943" s="3">
        <v>1</v>
      </c>
      <c r="H943" s="3" t="str">
        <f>_xlfn.XLOOKUP(A943,'Notas Faltantes'!A:A,'Notas Faltantes'!E:E,"",0)</f>
        <v/>
      </c>
    </row>
    <row r="944" spans="1:8" ht="18" hidden="1">
      <c r="A944" s="3">
        <v>112067</v>
      </c>
      <c r="B944" s="7" t="s">
        <v>336</v>
      </c>
      <c r="C944" s="41">
        <v>518.33000000000004</v>
      </c>
      <c r="D944" s="6">
        <v>45588</v>
      </c>
      <c r="E944" s="3" t="str">
        <f ca="1">IF(Tabela2[[#This Row],[Dt Venc:]]&gt;TODAY(),"Em Aberto",IF(Tabela2[[#This Row],[D/venc]]="-","Enviado",IF(Tabela2[[#This Row],[Dt Venc:]]=TODAY(),"Vence Hoje","Vencida")))</f>
        <v>Enviado</v>
      </c>
      <c r="F944" s="3" t="str">
        <f ca="1">IF(G944=1,"-",Tabela2[[#This Row],[Dt Venc:]]-TODAY())</f>
        <v>-</v>
      </c>
      <c r="G944" s="3">
        <v>1</v>
      </c>
      <c r="H944" s="3" t="str">
        <f>_xlfn.XLOOKUP(A944,'Notas Faltantes'!A:A,'Notas Faltantes'!E:E,"",0)</f>
        <v/>
      </c>
    </row>
    <row r="945" spans="1:8" ht="18" hidden="1">
      <c r="A945" s="3">
        <v>10935</v>
      </c>
      <c r="B945" s="7" t="s">
        <v>33</v>
      </c>
      <c r="C945" s="41">
        <v>1651.66</v>
      </c>
      <c r="D945" s="6">
        <v>45588</v>
      </c>
      <c r="E945" s="3" t="str">
        <f ca="1">IF(Tabela2[[#This Row],[Dt Venc:]]&gt;TODAY(),"Em Aberto",IF(Tabela2[[#This Row],[D/venc]]="-","Enviado",IF(Tabela2[[#This Row],[Dt Venc:]]=TODAY(),"Vence Hoje","Vencida")))</f>
        <v>Enviado</v>
      </c>
      <c r="F945" s="3" t="str">
        <f ca="1">IF(G945=1,"-",Tabela2[[#This Row],[Dt Venc:]]-TODAY())</f>
        <v>-</v>
      </c>
      <c r="G945" s="3">
        <v>1</v>
      </c>
      <c r="H945" s="3" t="str">
        <f>_xlfn.XLOOKUP(A945,'Notas Faltantes'!A:A,'Notas Faltantes'!E:E,"",0)</f>
        <v/>
      </c>
    </row>
    <row r="946" spans="1:8" ht="18" hidden="1">
      <c r="A946" s="3">
        <v>220505</v>
      </c>
      <c r="B946" s="7" t="s">
        <v>80</v>
      </c>
      <c r="C946" s="41">
        <v>21465</v>
      </c>
      <c r="D946" s="6">
        <v>45588</v>
      </c>
      <c r="E946" s="3" t="str">
        <f ca="1">IF(Tabela2[[#This Row],[Dt Venc:]]&gt;TODAY(),"Em Aberto",IF(Tabela2[[#This Row],[D/venc]]="-","Enviado",IF(Tabela2[[#This Row],[Dt Venc:]]=TODAY(),"Vence Hoje","Vencida")))</f>
        <v>Enviado</v>
      </c>
      <c r="F946" s="3" t="str">
        <f ca="1">IF(G946=1,"-",Tabela2[[#This Row],[Dt Venc:]]-TODAY())</f>
        <v>-</v>
      </c>
      <c r="G946" s="3">
        <v>1</v>
      </c>
      <c r="H946" s="3" t="str">
        <f>_xlfn.XLOOKUP(A946,'Notas Faltantes'!A:A,'Notas Faltantes'!E:E,"",0)</f>
        <v/>
      </c>
    </row>
    <row r="947" spans="1:8" ht="18" hidden="1">
      <c r="A947" s="3">
        <v>53728</v>
      </c>
      <c r="B947" s="7" t="s">
        <v>169</v>
      </c>
      <c r="C947" s="41">
        <v>1104.42</v>
      </c>
      <c r="D947" s="6">
        <v>45588</v>
      </c>
      <c r="E947" s="3" t="str">
        <f ca="1">IF(Tabela2[[#This Row],[Dt Venc:]]&gt;TODAY(),"Em Aberto",IF(Tabela2[[#This Row],[D/venc]]="-","Enviado",IF(Tabela2[[#This Row],[Dt Venc:]]=TODAY(),"Vence Hoje","Vencida")))</f>
        <v>Enviado</v>
      </c>
      <c r="F947" s="3" t="str">
        <f ca="1">IF(G947=1,"-",Tabela2[[#This Row],[Dt Venc:]]-TODAY())</f>
        <v>-</v>
      </c>
      <c r="G947" s="3">
        <v>1</v>
      </c>
      <c r="H947" s="3" t="str">
        <f>_xlfn.XLOOKUP(A947,'Notas Faltantes'!A:A,'Notas Faltantes'!E:E,"",0)</f>
        <v/>
      </c>
    </row>
    <row r="948" spans="1:8" ht="18" hidden="1">
      <c r="A948" s="3">
        <v>43</v>
      </c>
      <c r="B948" s="7" t="s">
        <v>132</v>
      </c>
      <c r="C948" s="41">
        <v>3983.33</v>
      </c>
      <c r="D948" s="6">
        <v>45588</v>
      </c>
      <c r="E948" s="3" t="str">
        <f ca="1">IF(Tabela2[[#This Row],[Dt Venc:]]&gt;TODAY(),"Em Aberto",IF(Tabela2[[#This Row],[D/venc]]="-","Enviado",IF(Tabela2[[#This Row],[Dt Venc:]]=TODAY(),"Vence Hoje","Vencida")))</f>
        <v>Enviado</v>
      </c>
      <c r="F948" s="3" t="str">
        <f ca="1">IF(G948=1,"-",Tabela2[[#This Row],[Dt Venc:]]-TODAY())</f>
        <v>-</v>
      </c>
      <c r="G948" s="3">
        <v>1</v>
      </c>
      <c r="H948" s="3" t="str">
        <f>_xlfn.XLOOKUP(A948,'Notas Faltantes'!A:A,'Notas Faltantes'!E:E,"",0)</f>
        <v/>
      </c>
    </row>
    <row r="949" spans="1:8" ht="18" hidden="1">
      <c r="A949" s="3">
        <v>609329</v>
      </c>
      <c r="B949" s="7" t="s">
        <v>66</v>
      </c>
      <c r="C949" s="41">
        <v>3634.7</v>
      </c>
      <c r="D949" s="6">
        <v>45588</v>
      </c>
      <c r="E949" s="3" t="str">
        <f ca="1">IF(Tabela2[[#This Row],[Dt Venc:]]&gt;TODAY(),"Em Aberto",IF(Tabela2[[#This Row],[D/venc]]="-","Enviado",IF(Tabela2[[#This Row],[Dt Venc:]]=TODAY(),"Vence Hoje","Vencida")))</f>
        <v>Enviado</v>
      </c>
      <c r="F949" s="3" t="str">
        <f ca="1">IF(G949=1,"-",Tabela2[[#This Row],[Dt Venc:]]-TODAY())</f>
        <v>-</v>
      </c>
      <c r="G949" s="3">
        <v>1</v>
      </c>
      <c r="H949" s="3" t="str">
        <f>_xlfn.XLOOKUP(A949,'Notas Faltantes'!A:A,'Notas Faltantes'!E:E,"",0)</f>
        <v/>
      </c>
    </row>
    <row r="950" spans="1:8" ht="18" hidden="1">
      <c r="A950" s="3">
        <v>609293</v>
      </c>
      <c r="B950" s="7" t="s">
        <v>66</v>
      </c>
      <c r="C950" s="41">
        <v>420</v>
      </c>
      <c r="D950" s="6">
        <v>45588</v>
      </c>
      <c r="E950" s="3" t="str">
        <f ca="1">IF(Tabela2[[#This Row],[Dt Venc:]]&gt;TODAY(),"Em Aberto",IF(Tabela2[[#This Row],[D/venc]]="-","Enviado",IF(Tabela2[[#This Row],[Dt Venc:]]=TODAY(),"Vence Hoje","Vencida")))</f>
        <v>Enviado</v>
      </c>
      <c r="F950" s="3" t="str">
        <f ca="1">IF(G950=1,"-",Tabela2[[#This Row],[Dt Venc:]]-TODAY())</f>
        <v>-</v>
      </c>
      <c r="G950" s="3">
        <v>1</v>
      </c>
      <c r="H950" s="3" t="str">
        <f>_xlfn.XLOOKUP(A950,'Notas Faltantes'!A:A,'Notas Faltantes'!E:E,"",0)</f>
        <v/>
      </c>
    </row>
    <row r="951" spans="1:8" ht="18" hidden="1">
      <c r="A951" s="3">
        <v>6749</v>
      </c>
      <c r="B951" s="7" t="s">
        <v>105</v>
      </c>
      <c r="C951" s="41">
        <v>980</v>
      </c>
      <c r="D951" s="6">
        <v>45588</v>
      </c>
      <c r="E951" s="3" t="str">
        <f ca="1">IF(Tabela2[[#This Row],[Dt Venc:]]&gt;TODAY(),"Em Aberto",IF(Tabela2[[#This Row],[D/venc]]="-","Enviado",IF(Tabela2[[#This Row],[Dt Venc:]]=TODAY(),"Vence Hoje","Vencida")))</f>
        <v>Enviado</v>
      </c>
      <c r="F951" s="3" t="str">
        <f ca="1">IF(G951=1,"-",Tabela2[[#This Row],[Dt Venc:]]-TODAY())</f>
        <v>-</v>
      </c>
      <c r="G951" s="3">
        <v>1</v>
      </c>
      <c r="H951" s="3" t="str">
        <f>_xlfn.XLOOKUP(A951,'Notas Faltantes'!A:A,'Notas Faltantes'!E:E,"",0)</f>
        <v/>
      </c>
    </row>
    <row r="952" spans="1:8" ht="18" hidden="1">
      <c r="A952" s="3">
        <v>69789</v>
      </c>
      <c r="B952" s="7" t="s">
        <v>333</v>
      </c>
      <c r="C952" s="41">
        <v>536.5</v>
      </c>
      <c r="D952" s="6">
        <v>45588</v>
      </c>
      <c r="E952" s="3" t="str">
        <f ca="1">IF(Tabela2[[#This Row],[Dt Venc:]]&gt;TODAY(),"Em Aberto",IF(Tabela2[[#This Row],[D/venc]]="-","Enviado",IF(Tabela2[[#This Row],[Dt Venc:]]=TODAY(),"Vence Hoje","Vencida")))</f>
        <v>Enviado</v>
      </c>
      <c r="F952" s="3" t="str">
        <f ca="1">IF(G952=1,"-",Tabela2[[#This Row],[Dt Venc:]]-TODAY())</f>
        <v>-</v>
      </c>
      <c r="G952" s="3">
        <v>1</v>
      </c>
      <c r="H952" s="3" t="str">
        <f>_xlfn.XLOOKUP(A952,'Notas Faltantes'!A:A,'Notas Faltantes'!E:E,"",0)</f>
        <v/>
      </c>
    </row>
    <row r="953" spans="1:8" ht="18" hidden="1">
      <c r="A953" s="3">
        <v>128834</v>
      </c>
      <c r="B953" s="7" t="s">
        <v>157</v>
      </c>
      <c r="C953" s="41">
        <v>670.98</v>
      </c>
      <c r="D953" s="6">
        <v>45588</v>
      </c>
      <c r="E953" s="3" t="str">
        <f ca="1">IF(Tabela2[[#This Row],[Dt Venc:]]&gt;TODAY(),"Em Aberto",IF(Tabela2[[#This Row],[D/venc]]="-","Enviado",IF(Tabela2[[#This Row],[Dt Venc:]]=TODAY(),"Vence Hoje","Vencida")))</f>
        <v>Enviado</v>
      </c>
      <c r="F953" s="3" t="str">
        <f ca="1">IF(G953=1,"-",Tabela2[[#This Row],[Dt Venc:]]-TODAY())</f>
        <v>-</v>
      </c>
      <c r="G953" s="3">
        <v>1</v>
      </c>
      <c r="H953" s="3" t="str">
        <f>_xlfn.XLOOKUP(A953,'Notas Faltantes'!A:A,'Notas Faltantes'!E:E,"",0)</f>
        <v/>
      </c>
    </row>
    <row r="954" spans="1:8" ht="18" hidden="1">
      <c r="A954" s="3">
        <v>933</v>
      </c>
      <c r="B954" s="7" t="s">
        <v>43</v>
      </c>
      <c r="C954" s="41">
        <v>723.34</v>
      </c>
      <c r="D954" s="6">
        <v>45588</v>
      </c>
      <c r="E954" s="3" t="str">
        <f ca="1">IF(Tabela2[[#This Row],[Dt Venc:]]&gt;TODAY(),"Em Aberto",IF(Tabela2[[#This Row],[D/venc]]="-","Enviado",IF(Tabela2[[#This Row],[Dt Venc:]]=TODAY(),"Vence Hoje","Vencida")))</f>
        <v>Enviado</v>
      </c>
      <c r="F954" s="3" t="str">
        <f ca="1">IF(G954=1,"-",Tabela2[[#This Row],[Dt Venc:]]-TODAY())</f>
        <v>-</v>
      </c>
      <c r="G954" s="3">
        <v>1</v>
      </c>
      <c r="H954" s="3" t="str">
        <f>_xlfn.XLOOKUP(A954,'Notas Faltantes'!A:A,'Notas Faltantes'!E:E,"",0)</f>
        <v/>
      </c>
    </row>
    <row r="955" spans="1:8" ht="18" hidden="1">
      <c r="A955" s="3">
        <v>2747</v>
      </c>
      <c r="B955" s="7" t="s">
        <v>58</v>
      </c>
      <c r="C955" s="41">
        <v>660</v>
      </c>
      <c r="D955" s="6">
        <v>45588</v>
      </c>
      <c r="E955" s="3" t="str">
        <f ca="1">IF(Tabela2[[#This Row],[Dt Venc:]]&gt;TODAY(),"Em Aberto",IF(Tabela2[[#This Row],[D/venc]]="-","Enviado",IF(Tabela2[[#This Row],[Dt Venc:]]=TODAY(),"Vence Hoje","Vencida")))</f>
        <v>Enviado</v>
      </c>
      <c r="F955" s="3" t="str">
        <f ca="1">IF(G955=1,"-",Tabela2[[#This Row],[Dt Venc:]]-TODAY())</f>
        <v>-</v>
      </c>
      <c r="G955" s="3">
        <v>1</v>
      </c>
      <c r="H955" s="3" t="str">
        <f>_xlfn.XLOOKUP(A955,'Notas Faltantes'!A:A,'Notas Faltantes'!E:E,"",0)</f>
        <v/>
      </c>
    </row>
    <row r="956" spans="1:8" ht="18" hidden="1">
      <c r="A956" s="3">
        <v>763387</v>
      </c>
      <c r="B956" s="7" t="s">
        <v>79</v>
      </c>
      <c r="C956" s="41">
        <v>1855.38</v>
      </c>
      <c r="D956" s="6">
        <v>45588</v>
      </c>
      <c r="E956" s="3" t="str">
        <f ca="1">IF(Tabela2[[#This Row],[Dt Venc:]]&gt;TODAY(),"Em Aberto",IF(Tabela2[[#This Row],[D/venc]]="-","Enviado",IF(Tabela2[[#This Row],[Dt Venc:]]=TODAY(),"Vence Hoje","Vencida")))</f>
        <v>Enviado</v>
      </c>
      <c r="F956" s="3" t="str">
        <f ca="1">IF(G956=1,"-",Tabela2[[#This Row],[Dt Venc:]]-TODAY())</f>
        <v>-</v>
      </c>
      <c r="G956" s="3">
        <v>1</v>
      </c>
      <c r="H956" s="3" t="str">
        <f>_xlfn.XLOOKUP(A956,'Notas Faltantes'!A:A,'Notas Faltantes'!E:E,"",0)</f>
        <v/>
      </c>
    </row>
    <row r="957" spans="1:8" ht="18" hidden="1">
      <c r="A957" s="3">
        <v>1526</v>
      </c>
      <c r="B957" s="7" t="s">
        <v>78</v>
      </c>
      <c r="C957" s="41">
        <v>392</v>
      </c>
      <c r="D957" s="6">
        <v>45588</v>
      </c>
      <c r="E957" s="3" t="str">
        <f ca="1">IF(Tabela2[[#This Row],[Dt Venc:]]&gt;TODAY(),"Em Aberto",IF(Tabela2[[#This Row],[D/venc]]="-","Enviado",IF(Tabela2[[#This Row],[Dt Venc:]]=TODAY(),"Vence Hoje","Vencida")))</f>
        <v>Enviado</v>
      </c>
      <c r="F957" s="3" t="str">
        <f ca="1">IF(G957=1,"-",Tabela2[[#This Row],[Dt Venc:]]-TODAY())</f>
        <v>-</v>
      </c>
      <c r="G957" s="3">
        <v>1</v>
      </c>
      <c r="H957" s="3" t="str">
        <f>_xlfn.XLOOKUP(A957,'Notas Faltantes'!A:A,'Notas Faltantes'!E:E,"",0)</f>
        <v/>
      </c>
    </row>
    <row r="958" spans="1:8" ht="18" hidden="1">
      <c r="A958" s="3">
        <v>230618</v>
      </c>
      <c r="B958" s="7" t="s">
        <v>43</v>
      </c>
      <c r="C958" s="41">
        <v>689.43</v>
      </c>
      <c r="D958" s="6">
        <v>45588</v>
      </c>
      <c r="E958" s="3" t="str">
        <f ca="1">IF(Tabela2[[#This Row],[Dt Venc:]]&gt;TODAY(),"Em Aberto",IF(Tabela2[[#This Row],[D/venc]]="-","Enviado",IF(Tabela2[[#This Row],[Dt Venc:]]=TODAY(),"Vence Hoje","Vencida")))</f>
        <v>Enviado</v>
      </c>
      <c r="F958" s="3" t="str">
        <f ca="1">IF(G958=1,"-",Tabela2[[#This Row],[Dt Venc:]]-TODAY())</f>
        <v>-</v>
      </c>
      <c r="G958" s="3">
        <v>1</v>
      </c>
      <c r="H958" s="3" t="str">
        <f>_xlfn.XLOOKUP(A958,'Notas Faltantes'!A:A,'Notas Faltantes'!E:E,"",0)</f>
        <v/>
      </c>
    </row>
    <row r="959" spans="1:8" ht="18" hidden="1">
      <c r="A959" s="3">
        <v>181253</v>
      </c>
      <c r="B959" s="7" t="s">
        <v>84</v>
      </c>
      <c r="C959" s="41">
        <v>802.32</v>
      </c>
      <c r="D959" s="6">
        <v>45588</v>
      </c>
      <c r="E959" s="3" t="str">
        <f ca="1">IF(Tabela2[[#This Row],[Dt Venc:]]&gt;TODAY(),"Em Aberto",IF(Tabela2[[#This Row],[D/venc]]="-","Enviado",IF(Tabela2[[#This Row],[Dt Venc:]]=TODAY(),"Vence Hoje","Vencida")))</f>
        <v>Enviado</v>
      </c>
      <c r="F959" s="3" t="str">
        <f ca="1">IF(G959=1,"-",Tabela2[[#This Row],[Dt Venc:]]-TODAY())</f>
        <v>-</v>
      </c>
      <c r="G959" s="3">
        <v>1</v>
      </c>
      <c r="H959" s="3" t="str">
        <f>_xlfn.XLOOKUP(A959,'Notas Faltantes'!A:A,'Notas Faltantes'!E:E,"",0)</f>
        <v/>
      </c>
    </row>
    <row r="960" spans="1:8" ht="18" hidden="1">
      <c r="A960" s="3">
        <v>442992</v>
      </c>
      <c r="B960" s="7" t="s">
        <v>59</v>
      </c>
      <c r="C960" s="41">
        <v>27515</v>
      </c>
      <c r="D960" s="6">
        <v>45588</v>
      </c>
      <c r="E960" s="3" t="str">
        <f ca="1">IF(Tabela2[[#This Row],[Dt Venc:]]&gt;TODAY(),"Em Aberto",IF(Tabela2[[#This Row],[D/venc]]="-","Enviado",IF(Tabela2[[#This Row],[Dt Venc:]]=TODAY(),"Vence Hoje","Vencida")))</f>
        <v>Enviado</v>
      </c>
      <c r="F960" s="3" t="str">
        <f ca="1">IF(G960=1,"-",Tabela2[[#This Row],[Dt Venc:]]-TODAY())</f>
        <v>-</v>
      </c>
      <c r="G960" s="3">
        <v>1</v>
      </c>
      <c r="H960" s="3" t="str">
        <f>_xlfn.XLOOKUP(A960,'Notas Faltantes'!A:A,'Notas Faltantes'!E:E,"",0)</f>
        <v/>
      </c>
    </row>
    <row r="961" spans="1:8" ht="18" hidden="1">
      <c r="A961" s="3">
        <v>36383</v>
      </c>
      <c r="B961" s="7" t="s">
        <v>227</v>
      </c>
      <c r="C961" s="41">
        <v>119900</v>
      </c>
      <c r="D961" s="6">
        <v>45588</v>
      </c>
      <c r="E961" s="3" t="str">
        <f ca="1">IF(Tabela2[[#This Row],[Dt Venc:]]&gt;TODAY(),"Em Aberto",IF(Tabela2[[#This Row],[D/venc]]="-","Enviado",IF(Tabela2[[#This Row],[Dt Venc:]]=TODAY(),"Vence Hoje","Vencida")))</f>
        <v>Enviado</v>
      </c>
      <c r="F961" s="3" t="str">
        <f ca="1">IF(G961=1,"-",Tabela2[[#This Row],[Dt Venc:]]-TODAY())</f>
        <v>-</v>
      </c>
      <c r="G961" s="3">
        <v>1</v>
      </c>
      <c r="H961" s="3" t="str">
        <f>_xlfn.XLOOKUP(A961,'Notas Faltantes'!A:A,'Notas Faltantes'!E:E,"",0)</f>
        <v/>
      </c>
    </row>
    <row r="962" spans="1:8" ht="18" hidden="1">
      <c r="A962" s="3" t="s">
        <v>110</v>
      </c>
      <c r="B962" s="7" t="s">
        <v>337</v>
      </c>
      <c r="C962" s="42" t="s">
        <v>32</v>
      </c>
      <c r="D962" s="6">
        <v>45588</v>
      </c>
      <c r="E962" s="3" t="str">
        <f ca="1">IF(Tabela2[[#This Row],[Dt Venc:]]&gt;TODAY(),"Em Aberto",IF(Tabela2[[#This Row],[D/venc]]="-","Enviado",IF(Tabela2[[#This Row],[Dt Venc:]]=TODAY(),"Vence Hoje","Vencida")))</f>
        <v>Enviado</v>
      </c>
      <c r="F962" s="3" t="str">
        <f ca="1">IF(G962=1,"-",Tabela2[[#This Row],[Dt Venc:]]-TODAY())</f>
        <v>-</v>
      </c>
      <c r="G962" s="3">
        <v>1</v>
      </c>
      <c r="H962" s="3"/>
    </row>
    <row r="963" spans="1:8" ht="18" hidden="1">
      <c r="A963" s="3">
        <v>10665</v>
      </c>
      <c r="B963" s="7" t="s">
        <v>33</v>
      </c>
      <c r="C963" s="42">
        <v>1293.33</v>
      </c>
      <c r="D963" s="6">
        <v>45589</v>
      </c>
      <c r="E963" s="3" t="str">
        <f ca="1">IF(Tabela2[[#This Row],[Dt Venc:]]&gt;TODAY(),"Em Aberto",IF(Tabela2[[#This Row],[D/venc]]="-","Enviado",IF(Tabela2[[#This Row],[Dt Venc:]]=TODAY(),"Vence Hoje","Vencida")))</f>
        <v>Enviado</v>
      </c>
      <c r="F963" s="3" t="str">
        <f ca="1">IF(G963=1,"-",Tabela2[[#This Row],[Dt Venc:]]-TODAY())</f>
        <v>-</v>
      </c>
      <c r="G963" s="3">
        <v>1</v>
      </c>
      <c r="H963" s="3" t="str">
        <f>_xlfn.XLOOKUP(A963,'Notas Faltantes'!A:A,'Notas Faltantes'!E:E,"",0)</f>
        <v/>
      </c>
    </row>
    <row r="964" spans="1:8" ht="18" hidden="1">
      <c r="A964" s="3">
        <v>10669</v>
      </c>
      <c r="B964" s="7" t="s">
        <v>33</v>
      </c>
      <c r="C964" s="42">
        <v>800</v>
      </c>
      <c r="D964" s="6">
        <v>45589</v>
      </c>
      <c r="E964" s="3" t="str">
        <f ca="1">IF(Tabela2[[#This Row],[Dt Venc:]]&gt;TODAY(),"Em Aberto",IF(Tabela2[[#This Row],[D/venc]]="-","Enviado",IF(Tabela2[[#This Row],[Dt Venc:]]=TODAY(),"Vence Hoje","Vencida")))</f>
        <v>Enviado</v>
      </c>
      <c r="F964" s="3" t="str">
        <f ca="1">IF(G964=1,"-",Tabela2[[#This Row],[Dt Venc:]]-TODAY())</f>
        <v>-</v>
      </c>
      <c r="G964" s="3">
        <v>1</v>
      </c>
      <c r="H964" s="3" t="str">
        <f>_xlfn.XLOOKUP(A964,'Notas Faltantes'!A:A,'Notas Faltantes'!E:E,"",0)</f>
        <v/>
      </c>
    </row>
    <row r="965" spans="1:8" ht="18" hidden="1">
      <c r="A965" s="3">
        <v>22059</v>
      </c>
      <c r="B965" s="7" t="s">
        <v>38</v>
      </c>
      <c r="C965" s="42">
        <v>720.67</v>
      </c>
      <c r="D965" s="6">
        <v>45589</v>
      </c>
      <c r="E965" s="3" t="str">
        <f ca="1">IF(Tabela2[[#This Row],[Dt Venc:]]&gt;TODAY(),"Em Aberto",IF(Tabela2[[#This Row],[D/venc]]="-","Enviado",IF(Tabela2[[#This Row],[Dt Venc:]]=TODAY(),"Vence Hoje","Vencida")))</f>
        <v>Enviado</v>
      </c>
      <c r="F965" s="3" t="str">
        <f ca="1">IF(G965=1,"-",Tabela2[[#This Row],[Dt Venc:]]-TODAY())</f>
        <v>-</v>
      </c>
      <c r="G965" s="3">
        <v>1</v>
      </c>
      <c r="H965" s="3" t="str">
        <f>_xlfn.XLOOKUP(A965,'Notas Faltantes'!A:A,'Notas Faltantes'!E:E,"",0)</f>
        <v/>
      </c>
    </row>
    <row r="966" spans="1:8" ht="18" hidden="1">
      <c r="A966" s="3">
        <v>80447</v>
      </c>
      <c r="B966" s="7" t="s">
        <v>39</v>
      </c>
      <c r="C966" s="42">
        <v>579.16999999999996</v>
      </c>
      <c r="D966" s="6">
        <v>45589</v>
      </c>
      <c r="E966" s="3" t="str">
        <f ca="1">IF(Tabela2[[#This Row],[Dt Venc:]]&gt;TODAY(),"Em Aberto",IF(Tabela2[[#This Row],[D/venc]]="-","Enviado",IF(Tabela2[[#This Row],[Dt Venc:]]=TODAY(),"Vence Hoje","Vencida")))</f>
        <v>Enviado</v>
      </c>
      <c r="F966" s="3" t="str">
        <f ca="1">IF(G966=1,"-",Tabela2[[#This Row],[Dt Venc:]]-TODAY())</f>
        <v>-</v>
      </c>
      <c r="G966" s="3">
        <v>1</v>
      </c>
      <c r="H966" s="3" t="str">
        <f>_xlfn.XLOOKUP(A966,'Notas Faltantes'!A:A,'Notas Faltantes'!E:E,"",0)</f>
        <v/>
      </c>
    </row>
    <row r="967" spans="1:8" ht="18" hidden="1">
      <c r="A967" s="3">
        <v>80449</v>
      </c>
      <c r="B967" s="7" t="s">
        <v>39</v>
      </c>
      <c r="C967" s="42">
        <v>656.01</v>
      </c>
      <c r="D967" s="6">
        <v>45589</v>
      </c>
      <c r="E967" s="3" t="str">
        <f ca="1">IF(Tabela2[[#This Row],[Dt Venc:]]&gt;TODAY(),"Em Aberto",IF(Tabela2[[#This Row],[D/venc]]="-","Enviado",IF(Tabela2[[#This Row],[Dt Venc:]]=TODAY(),"Vence Hoje","Vencida")))</f>
        <v>Enviado</v>
      </c>
      <c r="F967" s="3" t="str">
        <f ca="1">IF(G967=1,"-",Tabela2[[#This Row],[Dt Venc:]]-TODAY())</f>
        <v>-</v>
      </c>
      <c r="G967" s="3">
        <v>1</v>
      </c>
      <c r="H967" s="3" t="str">
        <f>_xlfn.XLOOKUP(A967,'Notas Faltantes'!A:A,'Notas Faltantes'!E:E,"",0)</f>
        <v/>
      </c>
    </row>
    <row r="968" spans="1:8" ht="18" hidden="1">
      <c r="A968" s="3">
        <v>363856</v>
      </c>
      <c r="B968" s="7" t="s">
        <v>39</v>
      </c>
      <c r="C968" s="42">
        <v>290.41000000000003</v>
      </c>
      <c r="D968" s="6">
        <v>45589</v>
      </c>
      <c r="E968" s="3" t="str">
        <f ca="1">IF(Tabela2[[#This Row],[Dt Venc:]]&gt;TODAY(),"Em Aberto",IF(Tabela2[[#This Row],[D/venc]]="-","Enviado",IF(Tabela2[[#This Row],[Dt Venc:]]=TODAY(),"Vence Hoje","Vencida")))</f>
        <v>Enviado</v>
      </c>
      <c r="F968" s="3" t="str">
        <f ca="1">IF(G968=1,"-",Tabela2[[#This Row],[Dt Venc:]]-TODAY())</f>
        <v>-</v>
      </c>
      <c r="G968" s="3">
        <v>1</v>
      </c>
      <c r="H968" s="3" t="str">
        <f>_xlfn.XLOOKUP(A968,'Notas Faltantes'!A:A,'Notas Faltantes'!E:E,"",0)</f>
        <v/>
      </c>
    </row>
    <row r="969" spans="1:8" ht="18" hidden="1">
      <c r="A969" s="3">
        <v>363861</v>
      </c>
      <c r="B969" s="7" t="s">
        <v>39</v>
      </c>
      <c r="C969" s="42">
        <v>361.07</v>
      </c>
      <c r="D969" s="6">
        <v>45589</v>
      </c>
      <c r="E969" s="3" t="str">
        <f ca="1">IF(Tabela2[[#This Row],[Dt Venc:]]&gt;TODAY(),"Em Aberto",IF(Tabela2[[#This Row],[D/venc]]="-","Enviado",IF(Tabela2[[#This Row],[Dt Venc:]]=TODAY(),"Vence Hoje","Vencida")))</f>
        <v>Enviado</v>
      </c>
      <c r="F969" s="3" t="str">
        <f ca="1">IF(G969=1,"-",Tabela2[[#This Row],[Dt Venc:]]-TODAY())</f>
        <v>-</v>
      </c>
      <c r="G969" s="3">
        <v>1</v>
      </c>
      <c r="H969" s="3" t="str">
        <f>_xlfn.XLOOKUP(A969,'Notas Faltantes'!A:A,'Notas Faltantes'!E:E,"",0)</f>
        <v/>
      </c>
    </row>
    <row r="970" spans="1:8" ht="18" hidden="1">
      <c r="A970" s="3">
        <v>601231</v>
      </c>
      <c r="B970" s="7" t="s">
        <v>66</v>
      </c>
      <c r="C970" s="42">
        <v>655.29</v>
      </c>
      <c r="D970" s="6">
        <v>45589</v>
      </c>
      <c r="E970" s="3" t="str">
        <f ca="1">IF(Tabela2[[#This Row],[Dt Venc:]]&gt;TODAY(),"Em Aberto",IF(Tabela2[[#This Row],[D/venc]]="-","Enviado",IF(Tabela2[[#This Row],[Dt Venc:]]=TODAY(),"Vence Hoje","Vencida")))</f>
        <v>Enviado</v>
      </c>
      <c r="F970" s="3" t="str">
        <f ca="1">IF(G970=1,"-",Tabela2[[#This Row],[Dt Venc:]]-TODAY())</f>
        <v>-</v>
      </c>
      <c r="G970" s="3">
        <v>1</v>
      </c>
      <c r="H970" s="3" t="str">
        <f>_xlfn.XLOOKUP(A970,'Notas Faltantes'!A:A,'Notas Faltantes'!E:E,"",0)</f>
        <v/>
      </c>
    </row>
    <row r="971" spans="1:8" ht="18" hidden="1">
      <c r="A971" s="3">
        <v>601342</v>
      </c>
      <c r="B971" s="7" t="s">
        <v>66</v>
      </c>
      <c r="C971" s="42">
        <v>1881.33</v>
      </c>
      <c r="D971" s="6">
        <v>45589</v>
      </c>
      <c r="E971" s="3" t="str">
        <f ca="1">IF(Tabela2[[#This Row],[Dt Venc:]]&gt;TODAY(),"Em Aberto",IF(Tabela2[[#This Row],[D/venc]]="-","Enviado",IF(Tabela2[[#This Row],[Dt Venc:]]=TODAY(),"Vence Hoje","Vencida")))</f>
        <v>Enviado</v>
      </c>
      <c r="F971" s="3" t="str">
        <f ca="1">IF(G971=1,"-",Tabela2[[#This Row],[Dt Venc:]]-TODAY())</f>
        <v>-</v>
      </c>
      <c r="G971" s="3">
        <v>1</v>
      </c>
      <c r="H971" s="3" t="str">
        <f>_xlfn.XLOOKUP(A971,'Notas Faltantes'!A:A,'Notas Faltantes'!E:E,"",0)</f>
        <v/>
      </c>
    </row>
    <row r="972" spans="1:8" ht="18" hidden="1">
      <c r="A972" s="3">
        <v>78532</v>
      </c>
      <c r="B972" s="7" t="s">
        <v>212</v>
      </c>
      <c r="C972" s="42">
        <v>1287.5</v>
      </c>
      <c r="D972" s="6">
        <v>45589</v>
      </c>
      <c r="E972" s="3" t="str">
        <f ca="1">IF(Tabela2[[#This Row],[Dt Venc:]]&gt;TODAY(),"Em Aberto",IF(Tabela2[[#This Row],[D/venc]]="-","Enviado",IF(Tabela2[[#This Row],[Dt Venc:]]=TODAY(),"Vence Hoje","Vencida")))</f>
        <v>Enviado</v>
      </c>
      <c r="F972" s="3" t="str">
        <f ca="1">IF(G972=1,"-",Tabela2[[#This Row],[Dt Venc:]]-TODAY())</f>
        <v>-</v>
      </c>
      <c r="G972" s="3">
        <v>1</v>
      </c>
      <c r="H972" s="3" t="str">
        <f>_xlfn.XLOOKUP(A972,'Notas Faltantes'!A:A,'Notas Faltantes'!E:E,"",0)</f>
        <v/>
      </c>
    </row>
    <row r="973" spans="1:8" ht="18" hidden="1">
      <c r="A973" s="3">
        <v>1383071</v>
      </c>
      <c r="B973" s="7" t="s">
        <v>338</v>
      </c>
      <c r="C973" s="42">
        <v>569.78</v>
      </c>
      <c r="D973" s="6">
        <v>45589</v>
      </c>
      <c r="E973" s="3" t="str">
        <f ca="1">IF(Tabela2[[#This Row],[Dt Venc:]]&gt;TODAY(),"Em Aberto",IF(Tabela2[[#This Row],[D/venc]]="-","Enviado",IF(Tabela2[[#This Row],[Dt Venc:]]=TODAY(),"Vence Hoje","Vencida")))</f>
        <v>Enviado</v>
      </c>
      <c r="F973" s="3" t="str">
        <f ca="1">IF(G973=1,"-",Tabela2[[#This Row],[Dt Venc:]]-TODAY())</f>
        <v>-</v>
      </c>
      <c r="G973" s="3">
        <v>1</v>
      </c>
      <c r="H973" s="3" t="str">
        <f>_xlfn.XLOOKUP(A973,'Notas Faltantes'!A:A,'Notas Faltantes'!E:E,"",0)</f>
        <v/>
      </c>
    </row>
    <row r="974" spans="1:8" ht="18" hidden="1">
      <c r="A974" s="3">
        <v>2</v>
      </c>
      <c r="B974" s="7" t="s">
        <v>103</v>
      </c>
      <c r="C974" s="42">
        <v>1100</v>
      </c>
      <c r="D974" s="6">
        <v>45589</v>
      </c>
      <c r="E974" s="3" t="str">
        <f ca="1">IF(Tabela2[[#This Row],[Dt Venc:]]&gt;TODAY(),"Em Aberto",IF(Tabela2[[#This Row],[D/venc]]="-","Enviado",IF(Tabela2[[#This Row],[Dt Venc:]]=TODAY(),"Vence Hoje","Vencida")))</f>
        <v>Enviado</v>
      </c>
      <c r="F974" s="3" t="str">
        <f ca="1">IF(G974=1,"-",Tabela2[[#This Row],[Dt Venc:]]-TODAY())</f>
        <v>-</v>
      </c>
      <c r="G974" s="3">
        <v>1</v>
      </c>
      <c r="H974" s="3" t="str">
        <f>_xlfn.XLOOKUP(A974,'Notas Faltantes'!A:A,'Notas Faltantes'!E:E,"",0)</f>
        <v/>
      </c>
    </row>
    <row r="975" spans="1:8" ht="18" hidden="1">
      <c r="A975" s="3">
        <v>2216</v>
      </c>
      <c r="B975" s="7" t="s">
        <v>46</v>
      </c>
      <c r="C975" s="42">
        <v>965</v>
      </c>
      <c r="D975" s="6">
        <v>45589</v>
      </c>
      <c r="E975" s="3" t="str">
        <f ca="1">IF(Tabela2[[#This Row],[Dt Venc:]]&gt;TODAY(),"Em Aberto",IF(Tabela2[[#This Row],[D/venc]]="-","Enviado",IF(Tabela2[[#This Row],[Dt Venc:]]=TODAY(),"Vence Hoje","Vencida")))</f>
        <v>Enviado</v>
      </c>
      <c r="F975" s="3" t="str">
        <f ca="1">IF(G975=1,"-",Tabela2[[#This Row],[Dt Venc:]]-TODAY())</f>
        <v>-</v>
      </c>
      <c r="G975" s="3">
        <v>1</v>
      </c>
      <c r="H975" s="3" t="str">
        <f>_xlfn.XLOOKUP(A975,'Notas Faltantes'!A:A,'Notas Faltantes'!E:E,"",0)</f>
        <v/>
      </c>
    </row>
    <row r="976" spans="1:8" ht="18" hidden="1">
      <c r="A976" s="3">
        <v>151690</v>
      </c>
      <c r="B976" s="7" t="s">
        <v>77</v>
      </c>
      <c r="C976" s="42">
        <v>433.33</v>
      </c>
      <c r="D976" s="6">
        <v>45589</v>
      </c>
      <c r="E976" s="3" t="str">
        <f ca="1">IF(Tabela2[[#This Row],[Dt Venc:]]&gt;TODAY(),"Em Aberto",IF(Tabela2[[#This Row],[D/venc]]="-","Enviado",IF(Tabela2[[#This Row],[Dt Venc:]]=TODAY(),"Vence Hoje","Vencida")))</f>
        <v>Enviado</v>
      </c>
      <c r="F976" s="3" t="str">
        <f ca="1">IF(G976=1,"-",Tabela2[[#This Row],[Dt Venc:]]-TODAY())</f>
        <v>-</v>
      </c>
      <c r="G976" s="3">
        <v>1</v>
      </c>
      <c r="H976" s="3" t="str">
        <f>_xlfn.XLOOKUP(A976,'Notas Faltantes'!A:A,'Notas Faltantes'!E:E,"",0)</f>
        <v/>
      </c>
    </row>
    <row r="977" spans="1:8" ht="18" hidden="1">
      <c r="A977" s="3">
        <v>151709</v>
      </c>
      <c r="B977" s="7" t="s">
        <v>261</v>
      </c>
      <c r="C977" s="42">
        <v>773.33</v>
      </c>
      <c r="D977" s="6">
        <v>45589</v>
      </c>
      <c r="E977" s="3" t="str">
        <f ca="1">IF(Tabela2[[#This Row],[Dt Venc:]]&gt;TODAY(),"Em Aberto",IF(Tabela2[[#This Row],[D/venc]]="-","Enviado",IF(Tabela2[[#This Row],[Dt Venc:]]=TODAY(),"Vence Hoje","Vencida")))</f>
        <v>Enviado</v>
      </c>
      <c r="F977" s="3" t="str">
        <f ca="1">IF(G977=1,"-",Tabela2[[#This Row],[Dt Venc:]]-TODAY())</f>
        <v>-</v>
      </c>
      <c r="G977" s="3">
        <v>1</v>
      </c>
      <c r="H977" s="3" t="str">
        <f>_xlfn.XLOOKUP(A977,'Notas Faltantes'!A:A,'Notas Faltantes'!E:E,"",0)</f>
        <v/>
      </c>
    </row>
    <row r="978" spans="1:8" ht="18" hidden="1">
      <c r="A978" s="3">
        <v>5656</v>
      </c>
      <c r="B978" s="7" t="s">
        <v>47</v>
      </c>
      <c r="C978" s="42">
        <v>1346.47</v>
      </c>
      <c r="D978" s="6">
        <v>45589</v>
      </c>
      <c r="E978" s="3" t="str">
        <f ca="1">IF(Tabela2[[#This Row],[Dt Venc:]]&gt;TODAY(),"Em Aberto",IF(Tabela2[[#This Row],[D/venc]]="-","Enviado",IF(Tabela2[[#This Row],[Dt Venc:]]=TODAY(),"Vence Hoje","Vencida")))</f>
        <v>Enviado</v>
      </c>
      <c r="F978" s="3" t="str">
        <f ca="1">IF(G978=1,"-",Tabela2[[#This Row],[Dt Venc:]]-TODAY())</f>
        <v>-</v>
      </c>
      <c r="G978" s="3">
        <v>1</v>
      </c>
      <c r="H978" s="3" t="str">
        <f>_xlfn.XLOOKUP(A978,'Notas Faltantes'!A:A,'Notas Faltantes'!E:E,"",0)</f>
        <v/>
      </c>
    </row>
    <row r="979" spans="1:8" ht="18" hidden="1">
      <c r="A979" s="3">
        <v>5662</v>
      </c>
      <c r="B979" s="7" t="s">
        <v>47</v>
      </c>
      <c r="C979" s="42">
        <v>1143</v>
      </c>
      <c r="D979" s="6">
        <v>45589</v>
      </c>
      <c r="E979" s="3" t="str">
        <f ca="1">IF(Tabela2[[#This Row],[Dt Venc:]]&gt;TODAY(),"Em Aberto",IF(Tabela2[[#This Row],[D/venc]]="-","Enviado",IF(Tabela2[[#This Row],[Dt Venc:]]=TODAY(),"Vence Hoje","Vencida")))</f>
        <v>Enviado</v>
      </c>
      <c r="F979" s="3" t="str">
        <f ca="1">IF(G979=1,"-",Tabela2[[#This Row],[Dt Venc:]]-TODAY())</f>
        <v>-</v>
      </c>
      <c r="G979" s="3">
        <v>1</v>
      </c>
      <c r="H979" s="3" t="str">
        <f>_xlfn.XLOOKUP(A979,'Notas Faltantes'!A:A,'Notas Faltantes'!E:E,"",0)</f>
        <v/>
      </c>
    </row>
    <row r="980" spans="1:8" ht="18" hidden="1">
      <c r="A980" s="3">
        <v>251527</v>
      </c>
      <c r="B980" s="7" t="s">
        <v>313</v>
      </c>
      <c r="C980" s="42">
        <v>5541.1</v>
      </c>
      <c r="D980" s="6">
        <v>45589</v>
      </c>
      <c r="E980" s="3" t="str">
        <f ca="1">IF(Tabela2[[#This Row],[Dt Venc:]]&gt;TODAY(),"Em Aberto",IF(Tabela2[[#This Row],[D/venc]]="-","Enviado",IF(Tabela2[[#This Row],[Dt Venc:]]=TODAY(),"Vence Hoje","Vencida")))</f>
        <v>Enviado</v>
      </c>
      <c r="F980" s="3" t="str">
        <f ca="1">IF(G980=1,"-",Tabela2[[#This Row],[Dt Venc:]]-TODAY())</f>
        <v>-</v>
      </c>
      <c r="G980" s="3">
        <v>1</v>
      </c>
      <c r="H980" s="3" t="str">
        <f>_xlfn.XLOOKUP(A980,'Notas Faltantes'!A:A,'Notas Faltantes'!E:E,"",0)</f>
        <v/>
      </c>
    </row>
    <row r="981" spans="1:8" ht="18" hidden="1">
      <c r="A981" s="3">
        <v>605452</v>
      </c>
      <c r="B981" s="7" t="s">
        <v>324</v>
      </c>
      <c r="C981" s="41">
        <v>868.14</v>
      </c>
      <c r="D981" s="6">
        <v>45589</v>
      </c>
      <c r="E981" s="3" t="str">
        <f ca="1">IF(Tabela2[[#This Row],[Dt Venc:]]&gt;TODAY(),"Em Aberto",IF(Tabela2[[#This Row],[D/venc]]="-","Enviado",IF(Tabela2[[#This Row],[Dt Venc:]]=TODAY(),"Vence Hoje","Vencida")))</f>
        <v>Enviado</v>
      </c>
      <c r="F981" s="3" t="str">
        <f ca="1">IF(G981=1,"-",Tabela2[[#This Row],[Dt Venc:]]-TODAY())</f>
        <v>-</v>
      </c>
      <c r="G981" s="3">
        <v>1</v>
      </c>
      <c r="H981" s="3" t="str">
        <f>_xlfn.XLOOKUP(A981,'Notas Faltantes'!A:A,'Notas Faltantes'!E:E,"",0)</f>
        <v/>
      </c>
    </row>
    <row r="982" spans="1:8" ht="18" hidden="1">
      <c r="A982" s="3">
        <v>605339</v>
      </c>
      <c r="B982" s="7" t="s">
        <v>138</v>
      </c>
      <c r="C982" s="41">
        <v>422.85</v>
      </c>
      <c r="D982" s="6">
        <v>45589</v>
      </c>
      <c r="E982" s="3" t="str">
        <f ca="1">IF(Tabela2[[#This Row],[Dt Venc:]]&gt;TODAY(),"Em Aberto",IF(Tabela2[[#This Row],[D/venc]]="-","Enviado",IF(Tabela2[[#This Row],[Dt Venc:]]=TODAY(),"Vence Hoje","Vencida")))</f>
        <v>Enviado</v>
      </c>
      <c r="F982" s="3" t="str">
        <f ca="1">IF(G982=1,"-",Tabela2[[#This Row],[Dt Venc:]]-TODAY())</f>
        <v>-</v>
      </c>
      <c r="G982" s="3">
        <v>1</v>
      </c>
      <c r="H982" s="3" t="str">
        <f>_xlfn.XLOOKUP(A982,'Notas Faltantes'!A:A,'Notas Faltantes'!E:E,"",0)</f>
        <v/>
      </c>
    </row>
    <row r="983" spans="1:8" ht="18" hidden="1">
      <c r="A983" s="3">
        <v>605435</v>
      </c>
      <c r="B983" s="7" t="s">
        <v>66</v>
      </c>
      <c r="C983" s="41">
        <v>280</v>
      </c>
      <c r="D983" s="6">
        <v>45589</v>
      </c>
      <c r="E983" s="3" t="str">
        <f ca="1">IF(Tabela2[[#This Row],[Dt Venc:]]&gt;TODAY(),"Em Aberto",IF(Tabela2[[#This Row],[D/venc]]="-","Enviado",IF(Tabela2[[#This Row],[Dt Venc:]]=TODAY(),"Vence Hoje","Vencida")))</f>
        <v>Enviado</v>
      </c>
      <c r="F983" s="3" t="str">
        <f ca="1">IF(G983=1,"-",Tabela2[[#This Row],[Dt Venc:]]-TODAY())</f>
        <v>-</v>
      </c>
      <c r="G983" s="3">
        <v>1</v>
      </c>
      <c r="H983" s="3" t="str">
        <f>_xlfn.XLOOKUP(A983,'Notas Faltantes'!A:A,'Notas Faltantes'!E:E,"",0)</f>
        <v/>
      </c>
    </row>
    <row r="984" spans="1:8" ht="18" hidden="1">
      <c r="A984" s="3">
        <v>180176</v>
      </c>
      <c r="B984" s="7" t="s">
        <v>42</v>
      </c>
      <c r="C984" s="41">
        <v>885.11</v>
      </c>
      <c r="D984" s="6">
        <v>45589</v>
      </c>
      <c r="E984" s="3" t="str">
        <f ca="1">IF(Tabela2[[#This Row],[Dt Venc:]]&gt;TODAY(),"Em Aberto",IF(Tabela2[[#This Row],[D/venc]]="-","Enviado",IF(Tabela2[[#This Row],[Dt Venc:]]=TODAY(),"Vence Hoje","Vencida")))</f>
        <v>Enviado</v>
      </c>
      <c r="F984" s="3" t="str">
        <f ca="1">IF(G984=1,"-",Tabela2[[#This Row],[Dt Venc:]]-TODAY())</f>
        <v>-</v>
      </c>
      <c r="G984" s="3">
        <v>1</v>
      </c>
      <c r="H984" s="3" t="str">
        <f>_xlfn.XLOOKUP(A984,'Notas Faltantes'!A:A,'Notas Faltantes'!E:E,"",0)</f>
        <v/>
      </c>
    </row>
    <row r="985" spans="1:8" ht="18" hidden="1">
      <c r="A985" s="3">
        <v>216977</v>
      </c>
      <c r="B985" s="7" t="s">
        <v>43</v>
      </c>
      <c r="C985" s="41">
        <v>348.55</v>
      </c>
      <c r="D985" s="6">
        <v>45589</v>
      </c>
      <c r="E985" s="3" t="str">
        <f ca="1">IF(Tabela2[[#This Row],[Dt Venc:]]&gt;TODAY(),"Em Aberto",IF(Tabela2[[#This Row],[D/venc]]="-","Enviado",IF(Tabela2[[#This Row],[Dt Venc:]]=TODAY(),"Vence Hoje","Vencida")))</f>
        <v>Enviado</v>
      </c>
      <c r="F985" s="3" t="str">
        <f ca="1">IF(G985=1,"-",Tabela2[[#This Row],[Dt Venc:]]-TODAY())</f>
        <v>-</v>
      </c>
      <c r="G985" s="3">
        <v>1</v>
      </c>
      <c r="H985" s="3" t="str">
        <f>_xlfn.XLOOKUP(A985,'Notas Faltantes'!A:A,'Notas Faltantes'!E:E,"",0)</f>
        <v/>
      </c>
    </row>
    <row r="986" spans="1:8" ht="18" hidden="1">
      <c r="A986" s="3">
        <v>26496</v>
      </c>
      <c r="B986" s="7" t="s">
        <v>98</v>
      </c>
      <c r="C986" s="41">
        <v>442</v>
      </c>
      <c r="D986" s="6">
        <v>45589</v>
      </c>
      <c r="E986" s="3" t="str">
        <f ca="1">IF(Tabela2[[#This Row],[Dt Venc:]]&gt;TODAY(),"Em Aberto",IF(Tabela2[[#This Row],[D/venc]]="-","Enviado",IF(Tabela2[[#This Row],[Dt Venc:]]=TODAY(),"Vence Hoje","Vencida")))</f>
        <v>Enviado</v>
      </c>
      <c r="F986" s="3" t="str">
        <f ca="1">IF(G986=1,"-",Tabela2[[#This Row],[Dt Venc:]]-TODAY())</f>
        <v>-</v>
      </c>
      <c r="G986" s="3">
        <v>1</v>
      </c>
      <c r="H986" s="3" t="str">
        <f>_xlfn.XLOOKUP(A986,'Notas Faltantes'!A:A,'Notas Faltantes'!E:E,"",0)</f>
        <v/>
      </c>
    </row>
    <row r="987" spans="1:8" ht="18" hidden="1">
      <c r="A987" s="3">
        <v>96</v>
      </c>
      <c r="B987" s="7" t="s">
        <v>339</v>
      </c>
      <c r="C987" s="41">
        <v>7413.34</v>
      </c>
      <c r="D987" s="6">
        <v>45589</v>
      </c>
      <c r="E987" s="3" t="str">
        <f ca="1">IF(Tabela2[[#This Row],[Dt Venc:]]&gt;TODAY(),"Em Aberto",IF(Tabela2[[#This Row],[D/venc]]="-","Enviado",IF(Tabela2[[#This Row],[Dt Venc:]]=TODAY(),"Vence Hoje","Vencida")))</f>
        <v>Enviado</v>
      </c>
      <c r="F987" s="3" t="str">
        <f ca="1">IF(G987=1,"-",Tabela2[[#This Row],[Dt Venc:]]-TODAY())</f>
        <v>-</v>
      </c>
      <c r="G987" s="3">
        <v>1</v>
      </c>
      <c r="H987" s="3" t="str">
        <f>_xlfn.XLOOKUP(A987,'Notas Faltantes'!A:A,'Notas Faltantes'!E:E,"",0)</f>
        <v/>
      </c>
    </row>
    <row r="988" spans="1:8" ht="18" hidden="1">
      <c r="A988" s="3">
        <v>1528</v>
      </c>
      <c r="B988" s="7" t="s">
        <v>92</v>
      </c>
      <c r="C988" s="41">
        <v>8866.67</v>
      </c>
      <c r="D988" s="6">
        <v>45589</v>
      </c>
      <c r="E988" s="3" t="str">
        <f ca="1">IF(Tabela2[[#This Row],[Dt Venc:]]&gt;TODAY(),"Em Aberto",IF(Tabela2[[#This Row],[D/venc]]="-","Enviado",IF(Tabela2[[#This Row],[Dt Venc:]]=TODAY(),"Vence Hoje","Vencida")))</f>
        <v>Enviado</v>
      </c>
      <c r="F988" s="3" t="str">
        <f ca="1">IF(G988=1,"-",Tabela2[[#This Row],[Dt Venc:]]-TODAY())</f>
        <v>-</v>
      </c>
      <c r="G988" s="3">
        <v>1</v>
      </c>
      <c r="H988" s="3" t="str">
        <f>_xlfn.XLOOKUP(A988,'Notas Faltantes'!A:A,'Notas Faltantes'!E:E,"",0)</f>
        <v/>
      </c>
    </row>
    <row r="989" spans="1:8" ht="18" hidden="1">
      <c r="A989" s="3">
        <v>220993</v>
      </c>
      <c r="B989" s="7" t="s">
        <v>127</v>
      </c>
      <c r="C989" s="41">
        <v>335.68</v>
      </c>
      <c r="D989" s="6">
        <v>45589</v>
      </c>
      <c r="E989" s="3" t="str">
        <f ca="1">IF(Tabela2[[#This Row],[Dt Venc:]]&gt;TODAY(),"Em Aberto",IF(Tabela2[[#This Row],[D/venc]]="-","Enviado",IF(Tabela2[[#This Row],[Dt Venc:]]=TODAY(),"Vence Hoje","Vencida")))</f>
        <v>Enviado</v>
      </c>
      <c r="F989" s="3" t="str">
        <f ca="1">IF(G989=1,"-",Tabela2[[#This Row],[Dt Venc:]]-TODAY())</f>
        <v>-</v>
      </c>
      <c r="G989" s="3">
        <v>1</v>
      </c>
      <c r="H989" s="3" t="str">
        <f>_xlfn.XLOOKUP(A989,'Notas Faltantes'!A:A,'Notas Faltantes'!E:E,"",0)</f>
        <v/>
      </c>
    </row>
    <row r="990" spans="1:8" ht="18" hidden="1">
      <c r="A990" s="3">
        <v>10941</v>
      </c>
      <c r="B990" s="7" t="s">
        <v>33</v>
      </c>
      <c r="C990" s="41">
        <v>800</v>
      </c>
      <c r="D990" s="6">
        <v>45589</v>
      </c>
      <c r="E990" s="3" t="str">
        <f ca="1">IF(Tabela2[[#This Row],[Dt Venc:]]&gt;TODAY(),"Em Aberto",IF(Tabela2[[#This Row],[D/venc]]="-","Enviado",IF(Tabela2[[#This Row],[Dt Venc:]]=TODAY(),"Vence Hoje","Vencida")))</f>
        <v>Enviado</v>
      </c>
      <c r="F990" s="3" t="str">
        <f ca="1">IF(G990=1,"-",Tabela2[[#This Row],[Dt Venc:]]-TODAY())</f>
        <v>-</v>
      </c>
      <c r="G990" s="3">
        <v>1</v>
      </c>
      <c r="H990" s="3" t="str">
        <f>_xlfn.XLOOKUP(A990,'Notas Faltantes'!A:A,'Notas Faltantes'!E:E,"",0)</f>
        <v/>
      </c>
    </row>
    <row r="991" spans="1:8" ht="18" hidden="1">
      <c r="A991" s="3">
        <v>231001</v>
      </c>
      <c r="B991" s="7" t="s">
        <v>43</v>
      </c>
      <c r="C991" s="41">
        <v>600</v>
      </c>
      <c r="D991" s="6">
        <v>45589</v>
      </c>
      <c r="E991" s="3" t="str">
        <f ca="1">IF(Tabela2[[#This Row],[Dt Venc:]]&gt;TODAY(),"Em Aberto",IF(Tabela2[[#This Row],[D/venc]]="-","Enviado",IF(Tabela2[[#This Row],[Dt Venc:]]=TODAY(),"Vence Hoje","Vencida")))</f>
        <v>Enviado</v>
      </c>
      <c r="F991" s="3" t="str">
        <f ca="1">IF(G991=1,"-",Tabela2[[#This Row],[Dt Venc:]]-TODAY())</f>
        <v>-</v>
      </c>
      <c r="G991" s="3">
        <v>1</v>
      </c>
      <c r="H991" s="3" t="str">
        <f>_xlfn.XLOOKUP(A991,'Notas Faltantes'!A:A,'Notas Faltantes'!E:E,"",0)</f>
        <v/>
      </c>
    </row>
    <row r="992" spans="1:8" ht="18" hidden="1">
      <c r="A992" s="3">
        <v>27821</v>
      </c>
      <c r="B992" s="7" t="s">
        <v>142</v>
      </c>
      <c r="C992" s="41">
        <v>330</v>
      </c>
      <c r="D992" s="6">
        <v>45589</v>
      </c>
      <c r="E992" s="3" t="str">
        <f ca="1">IF(Tabela2[[#This Row],[Dt Venc:]]&gt;TODAY(),"Em Aberto",IF(Tabela2[[#This Row],[D/venc]]="-","Enviado",IF(Tabela2[[#This Row],[Dt Venc:]]=TODAY(),"Vence Hoje","Vencida")))</f>
        <v>Enviado</v>
      </c>
      <c r="F992" s="3" t="str">
        <f ca="1">IF(G992=1,"-",Tabela2[[#This Row],[Dt Venc:]]-TODAY())</f>
        <v>-</v>
      </c>
      <c r="G992" s="3">
        <v>1</v>
      </c>
      <c r="H992" s="3" t="str">
        <f>_xlfn.XLOOKUP(A992,'Notas Faltantes'!A:A,'Notas Faltantes'!E:E,"",0)</f>
        <v/>
      </c>
    </row>
    <row r="993" spans="1:8" ht="18" hidden="1">
      <c r="A993" s="3">
        <v>27826</v>
      </c>
      <c r="B993" s="7" t="s">
        <v>142</v>
      </c>
      <c r="C993" s="41">
        <v>346.4</v>
      </c>
      <c r="D993" s="6">
        <v>45589</v>
      </c>
      <c r="E993" s="3" t="str">
        <f ca="1">IF(Tabela2[[#This Row],[Dt Venc:]]&gt;TODAY(),"Em Aberto",IF(Tabela2[[#This Row],[D/venc]]="-","Enviado",IF(Tabela2[[#This Row],[Dt Venc:]]=TODAY(),"Vence Hoje","Vencida")))</f>
        <v>Enviado</v>
      </c>
      <c r="F993" s="3" t="str">
        <f ca="1">IF(G993=1,"-",Tabela2[[#This Row],[Dt Venc:]]-TODAY())</f>
        <v>-</v>
      </c>
      <c r="G993" s="3">
        <v>1</v>
      </c>
      <c r="H993" s="3" t="str">
        <f>_xlfn.XLOOKUP(A993,'Notas Faltantes'!A:A,'Notas Faltantes'!E:E,"",0)</f>
        <v/>
      </c>
    </row>
    <row r="994" spans="1:8" ht="18" hidden="1">
      <c r="A994" s="3">
        <v>14116</v>
      </c>
      <c r="B994" s="7" t="s">
        <v>51</v>
      </c>
      <c r="C994" s="41">
        <v>340</v>
      </c>
      <c r="D994" s="6">
        <v>45589</v>
      </c>
      <c r="E994" s="3" t="str">
        <f ca="1">IF(Tabela2[[#This Row],[Dt Venc:]]&gt;TODAY(),"Em Aberto",IF(Tabela2[[#This Row],[D/venc]]="-","Enviado",IF(Tabela2[[#This Row],[Dt Venc:]]=TODAY(),"Vence Hoje","Vencida")))</f>
        <v>Enviado</v>
      </c>
      <c r="F994" s="3" t="str">
        <f ca="1">IF(G994=1,"-",Tabela2[[#This Row],[Dt Venc:]]-TODAY())</f>
        <v>-</v>
      </c>
      <c r="G994" s="3">
        <v>1</v>
      </c>
      <c r="H994" s="3" t="str">
        <f>_xlfn.XLOOKUP(A994,'Notas Faltantes'!A:A,'Notas Faltantes'!E:E,"",0)</f>
        <v/>
      </c>
    </row>
    <row r="995" spans="1:8" ht="18" hidden="1">
      <c r="A995" s="3">
        <v>9457</v>
      </c>
      <c r="B995" s="7" t="s">
        <v>88</v>
      </c>
      <c r="C995" s="41">
        <v>292.2</v>
      </c>
      <c r="D995" s="6">
        <v>45589</v>
      </c>
      <c r="E995" s="3" t="str">
        <f ca="1">IF(Tabela2[[#This Row],[Dt Venc:]]&gt;TODAY(),"Em Aberto",IF(Tabela2[[#This Row],[D/venc]]="-","Enviado",IF(Tabela2[[#This Row],[Dt Venc:]]=TODAY(),"Vence Hoje","Vencida")))</f>
        <v>Enviado</v>
      </c>
      <c r="F995" s="3" t="str">
        <f ca="1">IF(G995=1,"-",Tabela2[[#This Row],[Dt Venc:]]-TODAY())</f>
        <v>-</v>
      </c>
      <c r="G995" s="3">
        <v>1</v>
      </c>
      <c r="H995" s="3" t="str">
        <f>_xlfn.XLOOKUP(A995,'Notas Faltantes'!A:A,'Notas Faltantes'!E:E,"",0)</f>
        <v/>
      </c>
    </row>
    <row r="996" spans="1:8" ht="18" hidden="1">
      <c r="A996" s="3">
        <v>5915</v>
      </c>
      <c r="B996" s="7" t="s">
        <v>47</v>
      </c>
      <c r="C996" s="41">
        <v>1274.0999999999999</v>
      </c>
      <c r="D996" s="6">
        <v>45589</v>
      </c>
      <c r="E996" s="3" t="str">
        <f ca="1">IF(Tabela2[[#This Row],[Dt Venc:]]&gt;TODAY(),"Em Aberto",IF(Tabela2[[#This Row],[D/venc]]="-","Enviado",IF(Tabela2[[#This Row],[Dt Venc:]]=TODAY(),"Vence Hoje","Vencida")))</f>
        <v>Enviado</v>
      </c>
      <c r="F996" s="3" t="str">
        <f ca="1">IF(G996=1,"-",Tabela2[[#This Row],[Dt Venc:]]-TODAY())</f>
        <v>-</v>
      </c>
      <c r="G996" s="3">
        <v>1</v>
      </c>
      <c r="H996" s="3" t="str">
        <f>_xlfn.XLOOKUP(A996,'Notas Faltantes'!A:A,'Notas Faltantes'!E:E,"",0)</f>
        <v/>
      </c>
    </row>
    <row r="997" spans="1:8" ht="18" hidden="1">
      <c r="A997" s="3">
        <v>37198</v>
      </c>
      <c r="B997" s="7" t="s">
        <v>70</v>
      </c>
      <c r="C997" s="41">
        <v>170.5</v>
      </c>
      <c r="D997" s="6">
        <v>45589</v>
      </c>
      <c r="E997" s="3" t="str">
        <f ca="1">IF(Tabela2[[#This Row],[Dt Venc:]]&gt;TODAY(),"Em Aberto",IF(Tabela2[[#This Row],[D/venc]]="-","Enviado",IF(Tabela2[[#This Row],[Dt Venc:]]=TODAY(),"Vence Hoje","Vencida")))</f>
        <v>Enviado</v>
      </c>
      <c r="F997" s="3" t="str">
        <f ca="1">IF(G997=1,"-",Tabela2[[#This Row],[Dt Venc:]]-TODAY())</f>
        <v>-</v>
      </c>
      <c r="G997" s="3">
        <v>1</v>
      </c>
      <c r="H997" s="3" t="str">
        <f>_xlfn.XLOOKUP(A997,'Notas Faltantes'!A:A,'Notas Faltantes'!E:E,"",0)</f>
        <v/>
      </c>
    </row>
    <row r="998" spans="1:8" ht="18" hidden="1">
      <c r="A998" s="3">
        <v>28842</v>
      </c>
      <c r="B998" s="7" t="s">
        <v>70</v>
      </c>
      <c r="C998" s="41">
        <v>187.4</v>
      </c>
      <c r="D998" s="6">
        <v>45589</v>
      </c>
      <c r="E998" s="3" t="str">
        <f ca="1">IF(Tabela2[[#This Row],[Dt Venc:]]&gt;TODAY(),"Em Aberto",IF(Tabela2[[#This Row],[D/venc]]="-","Enviado",IF(Tabela2[[#This Row],[Dt Venc:]]=TODAY(),"Vence Hoje","Vencida")))</f>
        <v>Enviado</v>
      </c>
      <c r="F998" s="3" t="str">
        <f ca="1">IF(G998=1,"-",Tabela2[[#This Row],[Dt Venc:]]-TODAY())</f>
        <v>-</v>
      </c>
      <c r="G998" s="3">
        <v>1</v>
      </c>
      <c r="H998" s="3" t="str">
        <f>_xlfn.XLOOKUP(A998,'Notas Faltantes'!A:A,'Notas Faltantes'!E:E,"",0)</f>
        <v/>
      </c>
    </row>
    <row r="999" spans="1:8" ht="18" hidden="1">
      <c r="A999" s="3">
        <v>87823</v>
      </c>
      <c r="B999" s="7" t="s">
        <v>207</v>
      </c>
      <c r="C999" s="41">
        <v>733.33</v>
      </c>
      <c r="D999" s="6">
        <v>45589</v>
      </c>
      <c r="E999" s="3" t="str">
        <f ca="1">IF(Tabela2[[#This Row],[Dt Venc:]]&gt;TODAY(),"Em Aberto",IF(Tabela2[[#This Row],[D/venc]]="-","Enviado",IF(Tabela2[[#This Row],[Dt Venc:]]=TODAY(),"Vence Hoje","Vencida")))</f>
        <v>Enviado</v>
      </c>
      <c r="F999" s="3" t="str">
        <f ca="1">IF(G999=1,"-",Tabela2[[#This Row],[Dt Venc:]]-TODAY())</f>
        <v>-</v>
      </c>
      <c r="G999" s="3">
        <v>1</v>
      </c>
      <c r="H999" s="3" t="str">
        <f>_xlfn.XLOOKUP(A999,'Notas Faltantes'!A:A,'Notas Faltantes'!E:E,"",0)</f>
        <v/>
      </c>
    </row>
    <row r="1000" spans="1:8" ht="18" hidden="1">
      <c r="A1000" s="3">
        <v>2750</v>
      </c>
      <c r="B1000" s="7" t="s">
        <v>58</v>
      </c>
      <c r="C1000" s="41">
        <v>616.66999999999996</v>
      </c>
      <c r="D1000" s="6">
        <v>45589</v>
      </c>
      <c r="E1000" s="3" t="str">
        <f ca="1">IF(Tabela2[[#This Row],[Dt Venc:]]&gt;TODAY(),"Em Aberto",IF(Tabela2[[#This Row],[D/venc]]="-","Enviado",IF(Tabela2[[#This Row],[Dt Venc:]]=TODAY(),"Vence Hoje","Vencida")))</f>
        <v>Enviado</v>
      </c>
      <c r="F1000" s="3" t="str">
        <f ca="1">IF(G1000=1,"-",Tabela2[[#This Row],[Dt Venc:]]-TODAY())</f>
        <v>-</v>
      </c>
      <c r="G1000" s="3">
        <v>1</v>
      </c>
      <c r="H1000" s="3" t="str">
        <f>_xlfn.XLOOKUP(A1000,'Notas Faltantes'!A:A,'Notas Faltantes'!E:E,"",0)</f>
        <v/>
      </c>
    </row>
    <row r="1001" spans="1:8" ht="18" hidden="1">
      <c r="A1001" s="3">
        <v>27695</v>
      </c>
      <c r="B1001" s="7" t="s">
        <v>70</v>
      </c>
      <c r="C1001" s="41">
        <v>1066.4000000000001</v>
      </c>
      <c r="D1001" s="6">
        <v>45589</v>
      </c>
      <c r="E1001" s="3" t="str">
        <f ca="1">IF(Tabela2[[#This Row],[Dt Venc:]]&gt;TODAY(),"Em Aberto",IF(Tabela2[[#This Row],[D/venc]]="-","Enviado",IF(Tabela2[[#This Row],[Dt Venc:]]=TODAY(),"Vence Hoje","Vencida")))</f>
        <v>Enviado</v>
      </c>
      <c r="F1001" s="3" t="str">
        <f ca="1">IF(G1001=1,"-",Tabela2[[#This Row],[Dt Venc:]]-TODAY())</f>
        <v>-</v>
      </c>
      <c r="G1001" s="3">
        <v>1</v>
      </c>
      <c r="H1001" s="3" t="str">
        <f>_xlfn.XLOOKUP(A1001,'Notas Faltantes'!A:A,'Notas Faltantes'!E:E,"",0)</f>
        <v/>
      </c>
    </row>
    <row r="1002" spans="1:8" ht="18" hidden="1">
      <c r="A1002" s="3">
        <v>135427</v>
      </c>
      <c r="B1002" s="7" t="s">
        <v>127</v>
      </c>
      <c r="C1002" s="41">
        <v>956.67</v>
      </c>
      <c r="D1002" s="6">
        <v>45589</v>
      </c>
      <c r="E1002" s="3" t="str">
        <f ca="1">IF(Tabela2[[#This Row],[Dt Venc:]]&gt;TODAY(),"Em Aberto",IF(Tabela2[[#This Row],[D/venc]]="-","Enviado",IF(Tabela2[[#This Row],[Dt Venc:]]=TODAY(),"Vence Hoje","Vencida")))</f>
        <v>Enviado</v>
      </c>
      <c r="F1002" s="3" t="str">
        <f ca="1">IF(G1002=1,"-",Tabela2[[#This Row],[Dt Venc:]]-TODAY())</f>
        <v>-</v>
      </c>
      <c r="G1002" s="3">
        <v>1</v>
      </c>
      <c r="H1002" s="3" t="str">
        <f>_xlfn.XLOOKUP(A1002,'Notas Faltantes'!A:A,'Notas Faltantes'!E:E,"",0)</f>
        <v/>
      </c>
    </row>
    <row r="1003" spans="1:8" ht="18" hidden="1">
      <c r="A1003" s="3">
        <v>754751</v>
      </c>
      <c r="B1003" s="7" t="s">
        <v>127</v>
      </c>
      <c r="C1003" s="41">
        <v>482.75</v>
      </c>
      <c r="D1003" s="6">
        <v>45589</v>
      </c>
      <c r="E1003" s="3" t="str">
        <f ca="1">IF(Tabela2[[#This Row],[Dt Venc:]]&gt;TODAY(),"Em Aberto",IF(Tabela2[[#This Row],[D/venc]]="-","Enviado",IF(Tabela2[[#This Row],[Dt Venc:]]=TODAY(),"Vence Hoje","Vencida")))</f>
        <v>Enviado</v>
      </c>
      <c r="F1003" s="3" t="str">
        <f ca="1">IF(G1003=1,"-",Tabela2[[#This Row],[Dt Venc:]]-TODAY())</f>
        <v>-</v>
      </c>
      <c r="G1003" s="3">
        <v>1</v>
      </c>
      <c r="H1003" s="3" t="str">
        <f>_xlfn.XLOOKUP(A1003,'Notas Faltantes'!A:A,'Notas Faltantes'!E:E,"",0)</f>
        <v/>
      </c>
    </row>
    <row r="1004" spans="1:8" ht="18" hidden="1">
      <c r="A1004" s="3">
        <v>135426</v>
      </c>
      <c r="B1004" s="7" t="s">
        <v>127</v>
      </c>
      <c r="C1004" s="41">
        <v>956.67</v>
      </c>
      <c r="D1004" s="6">
        <v>45589</v>
      </c>
      <c r="E1004" s="3" t="str">
        <f ca="1">IF(Tabela2[[#This Row],[Dt Venc:]]&gt;TODAY(),"Em Aberto",IF(Tabela2[[#This Row],[D/venc]]="-","Enviado",IF(Tabela2[[#This Row],[Dt Venc:]]=TODAY(),"Vence Hoje","Vencida")))</f>
        <v>Enviado</v>
      </c>
      <c r="F1004" s="3" t="str">
        <f ca="1">IF(G1004=1,"-",Tabela2[[#This Row],[Dt Venc:]]-TODAY())</f>
        <v>-</v>
      </c>
      <c r="G1004" s="3">
        <v>1</v>
      </c>
      <c r="H1004" s="3" t="str">
        <f>_xlfn.XLOOKUP(A1004,'Notas Faltantes'!A:A,'Notas Faltantes'!E:E,"",0)</f>
        <v/>
      </c>
    </row>
    <row r="1005" spans="1:8" ht="18" hidden="1">
      <c r="A1005" s="3">
        <v>754749</v>
      </c>
      <c r="B1005" s="7" t="s">
        <v>127</v>
      </c>
      <c r="C1005" s="41">
        <v>482.72</v>
      </c>
      <c r="D1005" s="6">
        <v>45589</v>
      </c>
      <c r="E1005" s="3" t="str">
        <f ca="1">IF(Tabela2[[#This Row],[Dt Venc:]]&gt;TODAY(),"Em Aberto",IF(Tabela2[[#This Row],[D/venc]]="-","Enviado",IF(Tabela2[[#This Row],[Dt Venc:]]=TODAY(),"Vence Hoje","Vencida")))</f>
        <v>Enviado</v>
      </c>
      <c r="F1005" s="3" t="str">
        <f ca="1">IF(G1005=1,"-",Tabela2[[#This Row],[Dt Venc:]]-TODAY())</f>
        <v>-</v>
      </c>
      <c r="G1005" s="3">
        <v>1</v>
      </c>
      <c r="H1005" s="3" t="str">
        <f>_xlfn.XLOOKUP(A1005,'Notas Faltantes'!A:A,'Notas Faltantes'!E:E,"",0)</f>
        <v/>
      </c>
    </row>
    <row r="1006" spans="1:8" ht="18" hidden="1">
      <c r="A1006" s="3">
        <v>231000</v>
      </c>
      <c r="B1006" s="7" t="s">
        <v>43</v>
      </c>
      <c r="C1006" s="41">
        <v>1272.07</v>
      </c>
      <c r="D1006" s="6">
        <v>45589</v>
      </c>
      <c r="E1006" s="3" t="str">
        <f ca="1">IF(Tabela2[[#This Row],[Dt Venc:]]&gt;TODAY(),"Em Aberto",IF(Tabela2[[#This Row],[D/venc]]="-","Enviado",IF(Tabela2[[#This Row],[Dt Venc:]]=TODAY(),"Vence Hoje","Vencida")))</f>
        <v>Enviado</v>
      </c>
      <c r="F1006" s="3" t="str">
        <f ca="1">IF(G1006=1,"-",Tabela2[[#This Row],[Dt Venc:]]-TODAY())</f>
        <v>-</v>
      </c>
      <c r="G1006" s="3">
        <v>1</v>
      </c>
      <c r="H1006" s="3" t="str">
        <f>_xlfn.XLOOKUP(A1006,'Notas Faltantes'!A:A,'Notas Faltantes'!E:E,"",0)</f>
        <v/>
      </c>
    </row>
    <row r="1007" spans="1:8" ht="18" hidden="1">
      <c r="A1007" s="3">
        <v>35512</v>
      </c>
      <c r="B1007" s="7" t="s">
        <v>288</v>
      </c>
      <c r="C1007" s="41">
        <v>500.25</v>
      </c>
      <c r="D1007" s="6">
        <v>45589</v>
      </c>
      <c r="E1007" s="3" t="str">
        <f ca="1">IF(Tabela2[[#This Row],[Dt Venc:]]&gt;TODAY(),"Em Aberto",IF(Tabela2[[#This Row],[D/venc]]="-","Enviado",IF(Tabela2[[#This Row],[Dt Venc:]]=TODAY(),"Vence Hoje","Vencida")))</f>
        <v>Enviado</v>
      </c>
      <c r="F1007" s="3" t="str">
        <f ca="1">IF(G1007=1,"-",Tabela2[[#This Row],[Dt Venc:]]-TODAY())</f>
        <v>-</v>
      </c>
      <c r="G1007" s="3">
        <v>1</v>
      </c>
      <c r="H1007" s="3" t="str">
        <f>_xlfn.XLOOKUP(A1007,'Notas Faltantes'!A:A,'Notas Faltantes'!E:E,"",0)</f>
        <v/>
      </c>
    </row>
    <row r="1008" spans="1:8" ht="18" hidden="1">
      <c r="A1008" s="3">
        <v>60209</v>
      </c>
      <c r="B1008" s="7" t="s">
        <v>340</v>
      </c>
      <c r="C1008" s="41">
        <v>1894.88</v>
      </c>
      <c r="D1008" s="6">
        <v>45589</v>
      </c>
      <c r="E1008" s="3" t="str">
        <f ca="1">IF(Tabela2[[#This Row],[Dt Venc:]]&gt;TODAY(),"Em Aberto",IF(Tabela2[[#This Row],[D/venc]]="-","Enviado",IF(Tabela2[[#This Row],[Dt Venc:]]=TODAY(),"Vence Hoje","Vencida")))</f>
        <v>Enviado</v>
      </c>
      <c r="F1008" s="3" t="str">
        <f ca="1">IF(G1008=1,"-",Tabela2[[#This Row],[Dt Venc:]]-TODAY())</f>
        <v>-</v>
      </c>
      <c r="G1008" s="3">
        <v>1</v>
      </c>
      <c r="H1008" s="3" t="str">
        <f>_xlfn.XLOOKUP(A1008,'Notas Faltantes'!A:A,'Notas Faltantes'!E:E,"",0)</f>
        <v/>
      </c>
    </row>
    <row r="1009" spans="1:8" ht="18" hidden="1">
      <c r="A1009" s="3">
        <v>301616</v>
      </c>
      <c r="B1009" s="7" t="s">
        <v>63</v>
      </c>
      <c r="C1009" s="41">
        <v>1982.86</v>
      </c>
      <c r="D1009" s="6">
        <v>45589</v>
      </c>
      <c r="E1009" s="3" t="str">
        <f ca="1">IF(Tabela2[[#This Row],[Dt Venc:]]&gt;TODAY(),"Em Aberto",IF(Tabela2[[#This Row],[D/venc]]="-","Enviado",IF(Tabela2[[#This Row],[Dt Venc:]]=TODAY(),"Vence Hoje","Vencida")))</f>
        <v>Enviado</v>
      </c>
      <c r="F1009" s="3" t="str">
        <f ca="1">IF(G1009=1,"-",Tabela2[[#This Row],[Dt Venc:]]-TODAY())</f>
        <v>-</v>
      </c>
      <c r="G1009" s="3">
        <v>1</v>
      </c>
      <c r="H1009" s="3" t="str">
        <f>_xlfn.XLOOKUP(A1009,'Notas Faltantes'!A:A,'Notas Faltantes'!E:E,"",0)</f>
        <v/>
      </c>
    </row>
    <row r="1010" spans="1:8" ht="18" hidden="1">
      <c r="A1010" s="3">
        <v>9052</v>
      </c>
      <c r="B1010" s="7" t="s">
        <v>105</v>
      </c>
      <c r="C1010" s="41">
        <v>2500</v>
      </c>
      <c r="D1010" s="6">
        <v>45589</v>
      </c>
      <c r="E1010" s="3" t="str">
        <f ca="1">IF(Tabela2[[#This Row],[Dt Venc:]]&gt;TODAY(),"Em Aberto",IF(Tabela2[[#This Row],[D/venc]]="-","Enviado",IF(Tabela2[[#This Row],[Dt Venc:]]=TODAY(),"Vence Hoje","Vencida")))</f>
        <v>Enviado</v>
      </c>
      <c r="F1010" s="3" t="str">
        <f ca="1">IF(G1010=1,"-",Tabela2[[#This Row],[Dt Venc:]]-TODAY())</f>
        <v>-</v>
      </c>
      <c r="G1010" s="3">
        <v>1</v>
      </c>
      <c r="H1010" s="3" t="str">
        <f>_xlfn.XLOOKUP(A1010,'Notas Faltantes'!A:A,'Notas Faltantes'!E:E,"",0)</f>
        <v/>
      </c>
    </row>
    <row r="1011" spans="1:8" ht="18" hidden="1">
      <c r="A1011" s="3">
        <v>30058</v>
      </c>
      <c r="B1011" s="7" t="s">
        <v>97</v>
      </c>
      <c r="C1011" s="41">
        <v>4765</v>
      </c>
      <c r="D1011" s="6">
        <v>45589</v>
      </c>
      <c r="E1011" s="3" t="str">
        <f ca="1">IF(Tabela2[[#This Row],[Dt Venc:]]&gt;TODAY(),"Em Aberto",IF(Tabela2[[#This Row],[D/venc]]="-","Enviado",IF(Tabela2[[#This Row],[Dt Venc:]]=TODAY(),"Vence Hoje","Vencida")))</f>
        <v>Enviado</v>
      </c>
      <c r="F1011" s="3" t="str">
        <f ca="1">IF(G1011=1,"-",Tabela2[[#This Row],[Dt Venc:]]-TODAY())</f>
        <v>-</v>
      </c>
      <c r="G1011" s="3">
        <v>1</v>
      </c>
      <c r="H1011" s="3" t="str">
        <f>_xlfn.XLOOKUP(A1011,'Notas Faltantes'!A:A,'Notas Faltantes'!E:E,"",0)</f>
        <v/>
      </c>
    </row>
    <row r="1012" spans="1:8" ht="18" hidden="1">
      <c r="A1012" s="3">
        <v>301616</v>
      </c>
      <c r="B1012" s="7" t="s">
        <v>63</v>
      </c>
      <c r="C1012" s="41">
        <v>1982.86</v>
      </c>
      <c r="D1012" s="6">
        <v>45589</v>
      </c>
      <c r="E1012" s="3" t="str">
        <f ca="1">IF(Tabela2[[#This Row],[Dt Venc:]]&gt;TODAY(),"Em Aberto",IF(Tabela2[[#This Row],[D/venc]]="-","Enviado",IF(Tabela2[[#This Row],[Dt Venc:]]=TODAY(),"Vence Hoje","Vencida")))</f>
        <v>Enviado</v>
      </c>
      <c r="F1012" s="3" t="str">
        <f ca="1">IF(G1012=1,"-",Tabela2[[#This Row],[Dt Venc:]]-TODAY())</f>
        <v>-</v>
      </c>
      <c r="G1012" s="3">
        <v>1</v>
      </c>
      <c r="H1012" s="3" t="str">
        <f>_xlfn.XLOOKUP(A1012,'Notas Faltantes'!A:A,'Notas Faltantes'!E:E,"",0)</f>
        <v/>
      </c>
    </row>
    <row r="1013" spans="1:8" ht="18" hidden="1">
      <c r="A1013" s="3">
        <v>32585</v>
      </c>
      <c r="B1013" s="7" t="s">
        <v>341</v>
      </c>
      <c r="C1013" s="41">
        <v>5214.83</v>
      </c>
      <c r="D1013" s="6">
        <v>45589</v>
      </c>
      <c r="E1013" s="3" t="str">
        <f ca="1">IF(Tabela2[[#This Row],[Dt Venc:]]&gt;TODAY(),"Em Aberto",IF(Tabela2[[#This Row],[D/venc]]="-","Enviado",IF(Tabela2[[#This Row],[Dt Venc:]]=TODAY(),"Vence Hoje","Vencida")))</f>
        <v>Enviado</v>
      </c>
      <c r="F1013" s="3" t="str">
        <f ca="1">IF(G1013=1,"-",Tabela2[[#This Row],[Dt Venc:]]-TODAY())</f>
        <v>-</v>
      </c>
      <c r="G1013" s="3">
        <v>1</v>
      </c>
      <c r="H1013" s="3" t="str">
        <f>_xlfn.XLOOKUP(A1013,'Notas Faltantes'!A:A,'Notas Faltantes'!E:E,"",0)</f>
        <v/>
      </c>
    </row>
    <row r="1014" spans="1:8" ht="18" hidden="1">
      <c r="A1014" s="3">
        <v>3294198</v>
      </c>
      <c r="B1014" s="7" t="s">
        <v>71</v>
      </c>
      <c r="C1014" s="41">
        <v>81396</v>
      </c>
      <c r="D1014" s="6">
        <v>45589</v>
      </c>
      <c r="E1014" s="3" t="str">
        <f ca="1">IF(Tabela2[[#This Row],[Dt Venc:]]&gt;TODAY(),"Em Aberto",IF(Tabela2[[#This Row],[D/venc]]="-","Enviado",IF(Tabela2[[#This Row],[Dt Venc:]]=TODAY(),"Vence Hoje","Vencida")))</f>
        <v>Enviado</v>
      </c>
      <c r="F1014" s="3" t="str">
        <f ca="1">IF(G1014=1,"-",Tabela2[[#This Row],[Dt Venc:]]-TODAY())</f>
        <v>-</v>
      </c>
      <c r="G1014" s="3">
        <v>1</v>
      </c>
      <c r="H1014" s="3" t="str">
        <f>_xlfn.XLOOKUP(A1014,'Notas Faltantes'!A:A,'Notas Faltantes'!E:E,"",0)</f>
        <v/>
      </c>
    </row>
    <row r="1015" spans="1:8" ht="18" hidden="1">
      <c r="A1015" s="3">
        <v>53746</v>
      </c>
      <c r="B1015" s="7" t="s">
        <v>35</v>
      </c>
      <c r="C1015" s="41">
        <v>329.03</v>
      </c>
      <c r="D1015" s="6">
        <v>45589</v>
      </c>
      <c r="E1015" s="3" t="str">
        <f ca="1">IF(Tabela2[[#This Row],[Dt Venc:]]&gt;TODAY(),"Em Aberto",IF(Tabela2[[#This Row],[D/venc]]="-","Enviado",IF(Tabela2[[#This Row],[Dt Venc:]]=TODAY(),"Vence Hoje","Vencida")))</f>
        <v>Enviado</v>
      </c>
      <c r="F1015" s="3" t="str">
        <f ca="1">IF(G1015=1,"-",Tabela2[[#This Row],[Dt Venc:]]-TODAY())</f>
        <v>-</v>
      </c>
      <c r="G1015" s="3">
        <v>1</v>
      </c>
      <c r="H1015" s="3" t="str">
        <f>_xlfn.XLOOKUP(A1015,'Notas Faltantes'!A:A,'Notas Faltantes'!E:E,"",0)</f>
        <v/>
      </c>
    </row>
    <row r="1016" spans="1:8" ht="18" hidden="1">
      <c r="A1016" s="3">
        <v>2011</v>
      </c>
      <c r="B1016" s="7" t="s">
        <v>342</v>
      </c>
      <c r="C1016" s="41">
        <v>680</v>
      </c>
      <c r="D1016" s="6">
        <v>45589</v>
      </c>
      <c r="E1016" s="3" t="str">
        <f ca="1">IF(Tabela2[[#This Row],[Dt Venc:]]&gt;TODAY(),"Em Aberto",IF(Tabela2[[#This Row],[D/venc]]="-","Enviado",IF(Tabela2[[#This Row],[Dt Venc:]]=TODAY(),"Vence Hoje","Vencida")))</f>
        <v>Enviado</v>
      </c>
      <c r="F1016" s="3" t="str">
        <f ca="1">IF(G1016=1,"-",Tabela2[[#This Row],[Dt Venc:]]-TODAY())</f>
        <v>-</v>
      </c>
      <c r="G1016" s="3">
        <v>1</v>
      </c>
      <c r="H1016" s="3"/>
    </row>
    <row r="1017" spans="1:8" ht="18" hidden="1">
      <c r="A1017" s="3">
        <v>149961</v>
      </c>
      <c r="B1017" s="7" t="s">
        <v>148</v>
      </c>
      <c r="C1017" s="41">
        <v>393.33</v>
      </c>
      <c r="D1017" s="6">
        <v>45590</v>
      </c>
      <c r="E1017" s="3" t="str">
        <f ca="1">IF(Tabela2[[#This Row],[Dt Venc:]]&gt;TODAY(),"Em Aberto",IF(Tabela2[[#This Row],[D/venc]]="-","Enviado",IF(Tabela2[[#This Row],[Dt Venc:]]=TODAY(),"Vence Hoje","Vencida")))</f>
        <v>Enviado</v>
      </c>
      <c r="F1017" s="3" t="str">
        <f ca="1">IF(G1017=1,"-",Tabela2[[#This Row],[Dt Venc:]]-TODAY())</f>
        <v>-</v>
      </c>
      <c r="G1017" s="3">
        <v>1</v>
      </c>
      <c r="H1017" s="3"/>
    </row>
    <row r="1018" spans="1:8" ht="18" hidden="1">
      <c r="A1018" s="3">
        <v>495914</v>
      </c>
      <c r="B1018" s="7" t="s">
        <v>153</v>
      </c>
      <c r="C1018" s="84" t="s">
        <v>32</v>
      </c>
      <c r="D1018" s="6">
        <v>45590</v>
      </c>
      <c r="E1018" s="3" t="str">
        <f ca="1">IF(Tabela2[[#This Row],[Dt Venc:]]&gt;TODAY(),"Em Aberto",IF(Tabela2[[#This Row],[D/venc]]="-","Enviado",IF(Tabela2[[#This Row],[Dt Venc:]]=TODAY(),"Vence Hoje","Vencida")))</f>
        <v>Enviado</v>
      </c>
      <c r="F1018" s="3" t="str">
        <f ca="1">IF(G1018=1,"-",Tabela2[[#This Row],[Dt Venc:]]-TODAY())</f>
        <v>-</v>
      </c>
      <c r="G1018" s="3">
        <v>1</v>
      </c>
      <c r="H1018" s="3" t="str">
        <f>_xlfn.XLOOKUP(A1018,'Notas Faltantes'!A:A,'Notas Faltantes'!E:E,"",0)</f>
        <v/>
      </c>
    </row>
    <row r="1019" spans="1:8" ht="18" hidden="1">
      <c r="A1019" s="3" t="s">
        <v>110</v>
      </c>
      <c r="B1019" s="7" t="s">
        <v>343</v>
      </c>
      <c r="C1019" s="42" t="s">
        <v>32</v>
      </c>
      <c r="D1019" s="6">
        <v>45590</v>
      </c>
      <c r="E1019" s="3" t="str">
        <f ca="1">IF(Tabela2[[#This Row],[Dt Venc:]]&gt;TODAY(),"Em Aberto",IF(Tabela2[[#This Row],[D/venc]]="-","Enviado",IF(Tabela2[[#This Row],[Dt Venc:]]=TODAY(),"Vence Hoje","Vencida")))</f>
        <v>Enviado</v>
      </c>
      <c r="F1019" s="3" t="str">
        <f ca="1">IF(G1019=1,"-",Tabela2[[#This Row],[Dt Venc:]]-TODAY())</f>
        <v>-</v>
      </c>
      <c r="G1019" s="3">
        <v>1</v>
      </c>
      <c r="H1019" s="3" t="str">
        <f>_xlfn.XLOOKUP(A1019,'Notas Faltantes'!A:A,'Notas Faltantes'!E:E,"",0)</f>
        <v/>
      </c>
    </row>
    <row r="1020" spans="1:8" ht="18" hidden="1">
      <c r="A1020" s="3" t="s">
        <v>110</v>
      </c>
      <c r="B1020" s="7" t="s">
        <v>344</v>
      </c>
      <c r="C1020" s="42" t="s">
        <v>32</v>
      </c>
      <c r="D1020" s="6">
        <v>45590</v>
      </c>
      <c r="E1020" s="3" t="str">
        <f ca="1">IF(Tabela2[[#This Row],[Dt Venc:]]&gt;TODAY(),"Em Aberto",IF(Tabela2[[#This Row],[D/venc]]="-","Enviado",IF(Tabela2[[#This Row],[Dt Venc:]]=TODAY(),"Vence Hoje","Vencida")))</f>
        <v>Enviado</v>
      </c>
      <c r="F1020" s="3" t="str">
        <f ca="1">IF(G1020=1,"-",Tabela2[[#This Row],[Dt Venc:]]-TODAY())</f>
        <v>-</v>
      </c>
      <c r="G1020" s="3">
        <v>1</v>
      </c>
      <c r="H1020" s="3" t="str">
        <f>_xlfn.XLOOKUP(A1020,'Notas Faltantes'!A:A,'Notas Faltantes'!E:E,"",0)</f>
        <v/>
      </c>
    </row>
    <row r="1021" spans="1:8" ht="18" hidden="1">
      <c r="A1021" s="3">
        <v>601482</v>
      </c>
      <c r="B1021" s="7" t="s">
        <v>66</v>
      </c>
      <c r="C1021" s="42">
        <v>2921.22</v>
      </c>
      <c r="D1021" s="6">
        <v>45590</v>
      </c>
      <c r="E1021" s="3" t="str">
        <f ca="1">IF(Tabela2[[#This Row],[Dt Venc:]]&gt;TODAY(),"Em Aberto",IF(Tabela2[[#This Row],[D/venc]]="-","Enviado",IF(Tabela2[[#This Row],[Dt Venc:]]=TODAY(),"Vence Hoje","Vencida")))</f>
        <v>Enviado</v>
      </c>
      <c r="F1021" s="3" t="str">
        <f ca="1">IF(G1021=1,"-",Tabela2[[#This Row],[Dt Venc:]]-TODAY())</f>
        <v>-</v>
      </c>
      <c r="G1021" s="3">
        <v>1</v>
      </c>
      <c r="H1021" s="3" t="str">
        <f>_xlfn.XLOOKUP(A1021,'Notas Faltantes'!A:A,'Notas Faltantes'!E:E,"",0)</f>
        <v/>
      </c>
    </row>
    <row r="1022" spans="1:8" ht="18" hidden="1">
      <c r="A1022" s="3">
        <v>28490</v>
      </c>
      <c r="B1022" s="7" t="s">
        <v>97</v>
      </c>
      <c r="C1022" s="42">
        <v>1875</v>
      </c>
      <c r="D1022" s="6">
        <v>45590</v>
      </c>
      <c r="E1022" s="3" t="str">
        <f ca="1">IF(Tabela2[[#This Row],[Dt Venc:]]&gt;TODAY(),"Em Aberto",IF(Tabela2[[#This Row],[D/venc]]="-","Enviado",IF(Tabela2[[#This Row],[Dt Venc:]]=TODAY(),"Vence Hoje","Vencida")))</f>
        <v>Enviado</v>
      </c>
      <c r="F1022" s="3" t="str">
        <f ca="1">IF(G1022=1,"-",Tabela2[[#This Row],[Dt Venc:]]-TODAY())</f>
        <v>-</v>
      </c>
      <c r="G1022" s="3">
        <v>1</v>
      </c>
      <c r="H1022" s="3" t="str">
        <f>_xlfn.XLOOKUP(A1022,'Notas Faltantes'!A:A,'Notas Faltantes'!E:E,"",0)</f>
        <v/>
      </c>
    </row>
    <row r="1023" spans="1:8" ht="18" hidden="1">
      <c r="A1023" s="3" t="s">
        <v>110</v>
      </c>
      <c r="B1023" s="7" t="s">
        <v>345</v>
      </c>
      <c r="C1023" s="42" t="s">
        <v>32</v>
      </c>
      <c r="D1023" s="6">
        <v>45590</v>
      </c>
      <c r="E1023" s="3" t="str">
        <f ca="1">IF(Tabela2[[#This Row],[Dt Venc:]]&gt;TODAY(),"Em Aberto",IF(Tabela2[[#This Row],[D/venc]]="-","Enviado",IF(Tabela2[[#This Row],[Dt Venc:]]=TODAY(),"Vence Hoje","Vencida")))</f>
        <v>Enviado</v>
      </c>
      <c r="F1023" s="3" t="str">
        <f ca="1">IF(G1023=1,"-",Tabela2[[#This Row],[Dt Venc:]]-TODAY())</f>
        <v>-</v>
      </c>
      <c r="G1023" s="3">
        <v>1</v>
      </c>
      <c r="H1023" s="3" t="str">
        <f>_xlfn.XLOOKUP(A1023,'Notas Faltantes'!A:A,'Notas Faltantes'!E:E,"",0)</f>
        <v/>
      </c>
    </row>
    <row r="1024" spans="1:8" ht="18" hidden="1">
      <c r="A1024" s="3">
        <v>5781</v>
      </c>
      <c r="B1024" s="7" t="s">
        <v>47</v>
      </c>
      <c r="C1024" s="41">
        <v>1298</v>
      </c>
      <c r="D1024" s="6">
        <v>45590</v>
      </c>
      <c r="E1024" s="3" t="str">
        <f ca="1">IF(Tabela2[[#This Row],[Dt Venc:]]&gt;TODAY(),"Em Aberto",IF(Tabela2[[#This Row],[D/venc]]="-","Enviado",IF(Tabela2[[#This Row],[Dt Venc:]]=TODAY(),"Vence Hoje","Vencida")))</f>
        <v>Enviado</v>
      </c>
      <c r="F1024" s="3" t="str">
        <f ca="1">IF(G1024=1,"-",Tabela2[[#This Row],[Dt Venc:]]-TODAY())</f>
        <v>-</v>
      </c>
      <c r="G1024" s="3">
        <v>1</v>
      </c>
      <c r="H1024" s="3" t="str">
        <f>_xlfn.XLOOKUP(A1024,'Notas Faltantes'!A:A,'Notas Faltantes'!E:E,"",0)</f>
        <v/>
      </c>
    </row>
    <row r="1025" spans="1:8" ht="18" hidden="1">
      <c r="A1025" s="3">
        <v>218575</v>
      </c>
      <c r="B1025" s="7" t="s">
        <v>127</v>
      </c>
      <c r="C1025" s="41">
        <v>718.43</v>
      </c>
      <c r="D1025" s="6">
        <v>45590</v>
      </c>
      <c r="E1025" s="3" t="str">
        <f ca="1">IF(Tabela2[[#This Row],[Dt Venc:]]&gt;TODAY(),"Em Aberto",IF(Tabela2[[#This Row],[D/venc]]="-","Enviado",IF(Tabela2[[#This Row],[Dt Venc:]]=TODAY(),"Vence Hoje","Vencida")))</f>
        <v>Enviado</v>
      </c>
      <c r="F1025" s="3" t="str">
        <f ca="1">IF(G1025=1,"-",Tabela2[[#This Row],[Dt Venc:]]-TODAY())</f>
        <v>-</v>
      </c>
      <c r="G1025" s="3">
        <v>1</v>
      </c>
      <c r="H1025" s="3" t="str">
        <f>_xlfn.XLOOKUP(A1025,'Notas Faltantes'!A:A,'Notas Faltantes'!E:E,"",0)</f>
        <v/>
      </c>
    </row>
    <row r="1026" spans="1:8" ht="18" hidden="1">
      <c r="A1026" s="3">
        <v>2694</v>
      </c>
      <c r="B1026" s="7" t="s">
        <v>58</v>
      </c>
      <c r="C1026" s="41">
        <v>644</v>
      </c>
      <c r="D1026" s="6">
        <v>45590</v>
      </c>
      <c r="E1026" s="3" t="str">
        <f ca="1">IF(Tabela2[[#This Row],[Dt Venc:]]&gt;TODAY(),"Em Aberto",IF(Tabela2[[#This Row],[D/venc]]="-","Enviado",IF(Tabela2[[#This Row],[Dt Venc:]]=TODAY(),"Vence Hoje","Vencida")))</f>
        <v>Enviado</v>
      </c>
      <c r="F1026" s="3" t="str">
        <f ca="1">IF(G1026=1,"-",Tabela2[[#This Row],[Dt Venc:]]-TODAY())</f>
        <v>-</v>
      </c>
      <c r="G1026" s="3">
        <v>1</v>
      </c>
      <c r="H1026" s="3" t="str">
        <f>_xlfn.XLOOKUP(A1026,'Notas Faltantes'!A:A,'Notas Faltantes'!E:E,"",0)</f>
        <v/>
      </c>
    </row>
    <row r="1027" spans="1:8" ht="18" hidden="1">
      <c r="A1027" s="3">
        <v>152398</v>
      </c>
      <c r="B1027" s="7" t="s">
        <v>77</v>
      </c>
      <c r="C1027" s="41">
        <v>450</v>
      </c>
      <c r="D1027" s="6">
        <v>45590</v>
      </c>
      <c r="E1027" s="3" t="str">
        <f ca="1">IF(Tabela2[[#This Row],[Dt Venc:]]&gt;TODAY(),"Em Aberto",IF(Tabela2[[#This Row],[D/venc]]="-","Enviado",IF(Tabela2[[#This Row],[Dt Venc:]]=TODAY(),"Vence Hoje","Vencida")))</f>
        <v>Enviado</v>
      </c>
      <c r="F1027" s="3" t="str">
        <f ca="1">IF(G1027=1,"-",Tabela2[[#This Row],[Dt Venc:]]-TODAY())</f>
        <v>-</v>
      </c>
      <c r="G1027" s="3">
        <v>1</v>
      </c>
      <c r="H1027" s="3" t="str">
        <f>_xlfn.XLOOKUP(A1027,'Notas Faltantes'!A:A,'Notas Faltantes'!E:E,"",0)</f>
        <v/>
      </c>
    </row>
    <row r="1028" spans="1:8" ht="18" hidden="1">
      <c r="A1028" s="3">
        <v>152375</v>
      </c>
      <c r="B1028" s="7" t="s">
        <v>77</v>
      </c>
      <c r="C1028" s="41">
        <v>450</v>
      </c>
      <c r="D1028" s="6">
        <v>45590</v>
      </c>
      <c r="E1028" s="3" t="str">
        <f ca="1">IF(Tabela2[[#This Row],[Dt Venc:]]&gt;TODAY(),"Em Aberto",IF(Tabela2[[#This Row],[D/venc]]="-","Enviado",IF(Tabela2[[#This Row],[Dt Venc:]]=TODAY(),"Vence Hoje","Vencida")))</f>
        <v>Enviado</v>
      </c>
      <c r="F1028" s="3" t="str">
        <f ca="1">IF(G1028=1,"-",Tabela2[[#This Row],[Dt Venc:]]-TODAY())</f>
        <v>-</v>
      </c>
      <c r="G1028" s="3">
        <v>1</v>
      </c>
      <c r="H1028" s="3" t="str">
        <f>_xlfn.XLOOKUP(A1028,'Notas Faltantes'!A:A,'Notas Faltantes'!E:E,"",0)</f>
        <v/>
      </c>
    </row>
    <row r="1029" spans="1:8" ht="18" hidden="1">
      <c r="A1029" s="3">
        <v>10233</v>
      </c>
      <c r="B1029" s="7" t="s">
        <v>72</v>
      </c>
      <c r="C1029" s="41">
        <v>526.66</v>
      </c>
      <c r="D1029" s="6">
        <v>45590</v>
      </c>
      <c r="E1029" s="3" t="str">
        <f ca="1">IF(Tabela2[[#This Row],[Dt Venc:]]&gt;TODAY(),"Em Aberto",IF(Tabela2[[#This Row],[D/venc]]="-","Enviado",IF(Tabela2[[#This Row],[Dt Venc:]]=TODAY(),"Vence Hoje","Vencida")))</f>
        <v>Enviado</v>
      </c>
      <c r="F1029" s="3" t="str">
        <f ca="1">IF(G1029=1,"-",Tabela2[[#This Row],[Dt Venc:]]-TODAY())</f>
        <v>-</v>
      </c>
      <c r="G1029" s="3">
        <v>1</v>
      </c>
      <c r="H1029" s="3" t="str">
        <f>_xlfn.XLOOKUP(A1029,'Notas Faltantes'!A:A,'Notas Faltantes'!E:E,"",0)</f>
        <v/>
      </c>
    </row>
    <row r="1030" spans="1:8" ht="18" hidden="1">
      <c r="A1030" s="3">
        <v>218550</v>
      </c>
      <c r="B1030" s="7" t="s">
        <v>127</v>
      </c>
      <c r="C1030" s="41">
        <v>770.72</v>
      </c>
      <c r="D1030" s="6">
        <v>45590</v>
      </c>
      <c r="E1030" s="3" t="str">
        <f ca="1">IF(Tabela2[[#This Row],[Dt Venc:]]&gt;TODAY(),"Em Aberto",IF(Tabela2[[#This Row],[D/venc]]="-","Enviado",IF(Tabela2[[#This Row],[Dt Venc:]]=TODAY(),"Vence Hoje","Vencida")))</f>
        <v>Enviado</v>
      </c>
      <c r="F1030" s="3" t="str">
        <f ca="1">IF(G1030=1,"-",Tabela2[[#This Row],[Dt Venc:]]-TODAY())</f>
        <v>-</v>
      </c>
      <c r="G1030" s="3">
        <v>1</v>
      </c>
      <c r="H1030" s="3" t="str">
        <f>_xlfn.XLOOKUP(A1030,'Notas Faltantes'!A:A,'Notas Faltantes'!E:E,"",0)</f>
        <v/>
      </c>
    </row>
    <row r="1031" spans="1:8" ht="18" hidden="1">
      <c r="A1031" s="3">
        <v>217979</v>
      </c>
      <c r="B1031" s="7" t="s">
        <v>43</v>
      </c>
      <c r="C1031" s="41">
        <v>665.26</v>
      </c>
      <c r="D1031" s="6">
        <v>45590</v>
      </c>
      <c r="E1031" s="3" t="str">
        <f ca="1">IF(Tabela2[[#This Row],[Dt Venc:]]&gt;TODAY(),"Em Aberto",IF(Tabela2[[#This Row],[D/venc]]="-","Enviado",IF(Tabela2[[#This Row],[Dt Venc:]]=TODAY(),"Vence Hoje","Vencida")))</f>
        <v>Enviado</v>
      </c>
      <c r="F1031" s="3" t="str">
        <f ca="1">IF(G1031=1,"-",Tabela2[[#This Row],[Dt Venc:]]-TODAY())</f>
        <v>-</v>
      </c>
      <c r="G1031" s="3">
        <v>1</v>
      </c>
      <c r="H1031" s="3" t="str">
        <f>_xlfn.XLOOKUP(A1031,'Notas Faltantes'!A:A,'Notas Faltantes'!E:E,"",0)</f>
        <v/>
      </c>
    </row>
    <row r="1032" spans="1:8" ht="18" hidden="1">
      <c r="A1032" s="3">
        <v>37051</v>
      </c>
      <c r="B1032" s="7" t="s">
        <v>200</v>
      </c>
      <c r="C1032" s="41">
        <v>3250</v>
      </c>
      <c r="D1032" s="6">
        <v>45590</v>
      </c>
      <c r="E1032" s="3" t="str">
        <f ca="1">IF(Tabela2[[#This Row],[Dt Venc:]]&gt;TODAY(),"Em Aberto",IF(Tabela2[[#This Row],[D/venc]]="-","Enviado",IF(Tabela2[[#This Row],[Dt Venc:]]=TODAY(),"Vence Hoje","Vencida")))</f>
        <v>Enviado</v>
      </c>
      <c r="F1032" s="3" t="str">
        <f ca="1">IF(G1032=1,"-",Tabela2[[#This Row],[Dt Venc:]]-TODAY())</f>
        <v>-</v>
      </c>
      <c r="G1032" s="3">
        <v>1</v>
      </c>
      <c r="H1032" s="3" t="str">
        <f>_xlfn.XLOOKUP(A1032,'Notas Faltantes'!A:A,'Notas Faltantes'!E:E,"",0)</f>
        <v/>
      </c>
    </row>
    <row r="1033" spans="1:8" ht="18" hidden="1">
      <c r="A1033" s="3">
        <v>255085</v>
      </c>
      <c r="B1033" s="7" t="s">
        <v>49</v>
      </c>
      <c r="C1033" s="41">
        <v>1393.34</v>
      </c>
      <c r="D1033" s="6">
        <v>45590</v>
      </c>
      <c r="E1033" s="3" t="str">
        <f ca="1">IF(Tabela2[[#This Row],[Dt Venc:]]&gt;TODAY(),"Em Aberto",IF(Tabela2[[#This Row],[D/venc]]="-","Enviado",IF(Tabela2[[#This Row],[Dt Venc:]]=TODAY(),"Vence Hoje","Vencida")))</f>
        <v>Enviado</v>
      </c>
      <c r="F1033" s="3" t="str">
        <f ca="1">IF(G1033=1,"-",Tabela2[[#This Row],[Dt Venc:]]-TODAY())</f>
        <v>-</v>
      </c>
      <c r="G1033" s="3">
        <v>1</v>
      </c>
      <c r="H1033" s="3" t="str">
        <f>_xlfn.XLOOKUP(A1033,'Notas Faltantes'!A:A,'Notas Faltantes'!E:E,"",0)</f>
        <v/>
      </c>
    </row>
    <row r="1034" spans="1:8" ht="18" hidden="1">
      <c r="A1034" s="3">
        <v>134182</v>
      </c>
      <c r="B1034" s="7" t="s">
        <v>197</v>
      </c>
      <c r="C1034" s="41">
        <v>433.66</v>
      </c>
      <c r="D1034" s="6">
        <v>45590</v>
      </c>
      <c r="E1034" s="3" t="str">
        <f ca="1">IF(Tabela2[[#This Row],[Dt Venc:]]&gt;TODAY(),"Em Aberto",IF(Tabela2[[#This Row],[D/venc]]="-","Enviado",IF(Tabela2[[#This Row],[Dt Venc:]]=TODAY(),"Vence Hoje","Vencida")))</f>
        <v>Enviado</v>
      </c>
      <c r="F1034" s="3" t="str">
        <f ca="1">IF(G1034=1,"-",Tabela2[[#This Row],[Dt Venc:]]-TODAY())</f>
        <v>-</v>
      </c>
      <c r="G1034" s="3">
        <v>1</v>
      </c>
      <c r="H1034" s="3" t="str">
        <f>_xlfn.XLOOKUP(A1034,'Notas Faltantes'!A:A,'Notas Faltantes'!E:E,"",0)</f>
        <v/>
      </c>
    </row>
    <row r="1035" spans="1:8" ht="18" hidden="1">
      <c r="A1035" s="3">
        <v>255380</v>
      </c>
      <c r="B1035" s="7" t="s">
        <v>37</v>
      </c>
      <c r="C1035" s="41">
        <v>1045</v>
      </c>
      <c r="D1035" s="6">
        <v>45590</v>
      </c>
      <c r="E1035" s="3" t="str">
        <f ca="1">IF(Tabela2[[#This Row],[Dt Venc:]]&gt;TODAY(),"Em Aberto",IF(Tabela2[[#This Row],[D/venc]]="-","Enviado",IF(Tabela2[[#This Row],[Dt Venc:]]=TODAY(),"Vence Hoje","Vencida")))</f>
        <v>Enviado</v>
      </c>
      <c r="F1035" s="3" t="str">
        <f ca="1">IF(G1035=1,"-",Tabela2[[#This Row],[Dt Venc:]]-TODAY())</f>
        <v>-</v>
      </c>
      <c r="G1035" s="3">
        <v>1</v>
      </c>
      <c r="H1035" s="3" t="str">
        <f>_xlfn.XLOOKUP(A1035,'Notas Faltantes'!A:A,'Notas Faltantes'!E:E,"",0)</f>
        <v/>
      </c>
    </row>
    <row r="1036" spans="1:8" ht="18" hidden="1">
      <c r="A1036" s="3">
        <v>368733</v>
      </c>
      <c r="B1036" s="7" t="s">
        <v>39</v>
      </c>
      <c r="C1036" s="41">
        <v>311.04000000000002</v>
      </c>
      <c r="D1036" s="6">
        <v>45590</v>
      </c>
      <c r="E1036" s="3" t="str">
        <f ca="1">IF(Tabela2[[#This Row],[Dt Venc:]]&gt;TODAY(),"Em Aberto",IF(Tabela2[[#This Row],[D/venc]]="-","Enviado",IF(Tabela2[[#This Row],[Dt Venc:]]=TODAY(),"Vence Hoje","Vencida")))</f>
        <v>Enviado</v>
      </c>
      <c r="F1036" s="3" t="str">
        <f ca="1">IF(G1036=1,"-",Tabela2[[#This Row],[Dt Venc:]]-TODAY())</f>
        <v>-</v>
      </c>
      <c r="G1036" s="3">
        <v>1</v>
      </c>
      <c r="H1036" s="3" t="str">
        <f>_xlfn.XLOOKUP(A1036,'Notas Faltantes'!A:A,'Notas Faltantes'!E:E,"",0)</f>
        <v/>
      </c>
    </row>
    <row r="1037" spans="1:8" ht="18" hidden="1">
      <c r="A1037" s="3">
        <v>368662</v>
      </c>
      <c r="B1037" s="7" t="s">
        <v>39</v>
      </c>
      <c r="C1037" s="41">
        <v>539.05999999999995</v>
      </c>
      <c r="D1037" s="6">
        <v>45590</v>
      </c>
      <c r="E1037" s="3" t="str">
        <f ca="1">IF(Tabela2[[#This Row],[Dt Venc:]]&gt;TODAY(),"Em Aberto",IF(Tabela2[[#This Row],[D/venc]]="-","Enviado",IF(Tabela2[[#This Row],[Dt Venc:]]=TODAY(),"Vence Hoje","Vencida")))</f>
        <v>Enviado</v>
      </c>
      <c r="F1037" s="3" t="str">
        <f ca="1">IF(G1037=1,"-",Tabela2[[#This Row],[Dt Venc:]]-TODAY())</f>
        <v>-</v>
      </c>
      <c r="G1037" s="3">
        <v>1</v>
      </c>
      <c r="H1037" s="3" t="str">
        <f>_xlfn.XLOOKUP(A1037,'Notas Faltantes'!A:A,'Notas Faltantes'!E:E,"",0)</f>
        <v/>
      </c>
    </row>
    <row r="1038" spans="1:8" ht="18" hidden="1">
      <c r="A1038" s="3">
        <v>221100</v>
      </c>
      <c r="B1038" s="7" t="s">
        <v>39</v>
      </c>
      <c r="C1038" s="41">
        <v>632.15</v>
      </c>
      <c r="D1038" s="6">
        <v>45590</v>
      </c>
      <c r="E1038" s="3" t="str">
        <f ca="1">IF(Tabela2[[#This Row],[Dt Venc:]]&gt;TODAY(),"Em Aberto",IF(Tabela2[[#This Row],[D/venc]]="-","Enviado",IF(Tabela2[[#This Row],[Dt Venc:]]=TODAY(),"Vence Hoje","Vencida")))</f>
        <v>Enviado</v>
      </c>
      <c r="F1038" s="3" t="str">
        <f ca="1">IF(G1038=1,"-",Tabela2[[#This Row],[Dt Venc:]]-TODAY())</f>
        <v>-</v>
      </c>
      <c r="G1038" s="3">
        <v>1</v>
      </c>
      <c r="H1038" s="3" t="str">
        <f>_xlfn.XLOOKUP(A1038,'Notas Faltantes'!A:A,'Notas Faltantes'!E:E,"",0)</f>
        <v/>
      </c>
    </row>
    <row r="1039" spans="1:8" ht="18" hidden="1">
      <c r="A1039" s="3">
        <v>5920</v>
      </c>
      <c r="B1039" s="7" t="s">
        <v>47</v>
      </c>
      <c r="C1039" s="41">
        <v>1472.26</v>
      </c>
      <c r="D1039" s="6">
        <v>45590</v>
      </c>
      <c r="E1039" s="3" t="str">
        <f ca="1">IF(Tabela2[[#This Row],[Dt Venc:]]&gt;TODAY(),"Em Aberto",IF(Tabela2[[#This Row],[D/venc]]="-","Enviado",IF(Tabela2[[#This Row],[Dt Venc:]]=TODAY(),"Vence Hoje","Vencida")))</f>
        <v>Enviado</v>
      </c>
      <c r="F1039" s="3" t="str">
        <f ca="1">IF(G1039=1,"-",Tabela2[[#This Row],[Dt Venc:]]-TODAY())</f>
        <v>-</v>
      </c>
      <c r="G1039" s="3">
        <v>1</v>
      </c>
      <c r="H1039" s="3" t="str">
        <f>_xlfn.XLOOKUP(A1039,'Notas Faltantes'!A:A,'Notas Faltantes'!E:E,"",0)</f>
        <v/>
      </c>
    </row>
    <row r="1040" spans="1:8" ht="18" hidden="1">
      <c r="A1040" s="3">
        <v>23029</v>
      </c>
      <c r="B1040" s="7" t="s">
        <v>38</v>
      </c>
      <c r="C1040" s="41">
        <v>157</v>
      </c>
      <c r="D1040" s="6">
        <v>45590</v>
      </c>
      <c r="E1040" s="3" t="str">
        <f ca="1">IF(Tabela2[[#This Row],[Dt Venc:]]&gt;TODAY(),"Em Aberto",IF(Tabela2[[#This Row],[D/venc]]="-","Enviado",IF(Tabela2[[#This Row],[Dt Venc:]]=TODAY(),"Vence Hoje","Vencida")))</f>
        <v>Enviado</v>
      </c>
      <c r="F1040" s="3" t="str">
        <f ca="1">IF(G1040=1,"-",Tabela2[[#This Row],[Dt Venc:]]-TODAY())</f>
        <v>-</v>
      </c>
      <c r="G1040" s="3">
        <v>1</v>
      </c>
      <c r="H1040" s="3" t="str">
        <f>_xlfn.XLOOKUP(A1040,'Notas Faltantes'!A:A,'Notas Faltantes'!E:E,"",0)</f>
        <v/>
      </c>
    </row>
    <row r="1041" spans="1:8" ht="18" hidden="1">
      <c r="A1041" s="3">
        <v>272411</v>
      </c>
      <c r="B1041" s="7" t="s">
        <v>346</v>
      </c>
      <c r="C1041" s="41">
        <v>9039.65</v>
      </c>
      <c r="D1041" s="6">
        <v>45590</v>
      </c>
      <c r="E1041" s="3" t="str">
        <f ca="1">IF(Tabela2[[#This Row],[Dt Venc:]]&gt;TODAY(),"Em Aberto",IF(Tabela2[[#This Row],[D/venc]]="-","Enviado",IF(Tabela2[[#This Row],[Dt Venc:]]=TODAY(),"Vence Hoje","Vencida")))</f>
        <v>Enviado</v>
      </c>
      <c r="F1041" s="3" t="str">
        <f ca="1">IF(G1041=1,"-",Tabela2[[#This Row],[Dt Venc:]]-TODAY())</f>
        <v>-</v>
      </c>
      <c r="G1041" s="3">
        <v>1</v>
      </c>
      <c r="H1041" s="3" t="str">
        <f>_xlfn.XLOOKUP(A1041,'Notas Faltantes'!A:A,'Notas Faltantes'!E:E,"",0)</f>
        <v/>
      </c>
    </row>
    <row r="1042" spans="1:8" ht="18" hidden="1">
      <c r="A1042" s="3">
        <v>1057337</v>
      </c>
      <c r="B1042" s="7" t="s">
        <v>141</v>
      </c>
      <c r="C1042" s="41">
        <v>1656.94</v>
      </c>
      <c r="D1042" s="6">
        <v>45590</v>
      </c>
      <c r="E1042" s="3" t="str">
        <f ca="1">IF(Tabela2[[#This Row],[Dt Venc:]]&gt;TODAY(),"Em Aberto",IF(Tabela2[[#This Row],[D/venc]]="-","Enviado",IF(Tabela2[[#This Row],[Dt Venc:]]=TODAY(),"Vence Hoje","Vencida")))</f>
        <v>Enviado</v>
      </c>
      <c r="F1042" s="3" t="str">
        <f ca="1">IF(G1042=1,"-",Tabela2[[#This Row],[Dt Venc:]]-TODAY())</f>
        <v>-</v>
      </c>
      <c r="G1042" s="3">
        <v>1</v>
      </c>
      <c r="H1042" s="3" t="str">
        <f>_xlfn.XLOOKUP(A1042,'Notas Faltantes'!A:A,'Notas Faltantes'!E:E,"",0)</f>
        <v/>
      </c>
    </row>
    <row r="1043" spans="1:8" ht="18" hidden="1">
      <c r="A1043" s="3">
        <v>1057341</v>
      </c>
      <c r="B1043" s="7" t="s">
        <v>141</v>
      </c>
      <c r="C1043" s="41">
        <v>1803.41</v>
      </c>
      <c r="D1043" s="6">
        <v>45590</v>
      </c>
      <c r="E1043" s="3" t="str">
        <f ca="1">IF(Tabela2[[#This Row],[Dt Venc:]]&gt;TODAY(),"Em Aberto",IF(Tabela2[[#This Row],[D/venc]]="-","Enviado",IF(Tabela2[[#This Row],[Dt Venc:]]=TODAY(),"Vence Hoje","Vencida")))</f>
        <v>Enviado</v>
      </c>
      <c r="F1043" s="3" t="str">
        <f ca="1">IF(G1043=1,"-",Tabela2[[#This Row],[Dt Venc:]]-TODAY())</f>
        <v>-</v>
      </c>
      <c r="G1043" s="3">
        <v>1</v>
      </c>
      <c r="H1043" s="3" t="str">
        <f>_xlfn.XLOOKUP(A1043,'Notas Faltantes'!A:A,'Notas Faltantes'!E:E,"",0)</f>
        <v/>
      </c>
    </row>
    <row r="1044" spans="1:8" ht="18" hidden="1">
      <c r="A1044" s="3">
        <v>1057344</v>
      </c>
      <c r="B1044" s="7" t="s">
        <v>141</v>
      </c>
      <c r="C1044" s="41">
        <v>1576.69</v>
      </c>
      <c r="D1044" s="6">
        <v>45590</v>
      </c>
      <c r="E1044" s="3" t="str">
        <f ca="1">IF(Tabela2[[#This Row],[Dt Venc:]]&gt;TODAY(),"Em Aberto",IF(Tabela2[[#This Row],[D/venc]]="-","Enviado",IF(Tabela2[[#This Row],[Dt Venc:]]=TODAY(),"Vence Hoje","Vencida")))</f>
        <v>Enviado</v>
      </c>
      <c r="F1044" s="3" t="str">
        <f ca="1">IF(G1044=1,"-",Tabela2[[#This Row],[Dt Venc:]]-TODAY())</f>
        <v>-</v>
      </c>
      <c r="G1044" s="3">
        <v>1</v>
      </c>
      <c r="H1044" s="3" t="str">
        <f>_xlfn.XLOOKUP(A1044,'Notas Faltantes'!A:A,'Notas Faltantes'!E:E,"",0)</f>
        <v/>
      </c>
    </row>
    <row r="1045" spans="1:8" ht="18" hidden="1">
      <c r="A1045" s="3">
        <v>1057345</v>
      </c>
      <c r="B1045" s="7" t="s">
        <v>141</v>
      </c>
      <c r="C1045" s="41">
        <v>1694.64</v>
      </c>
      <c r="D1045" s="6">
        <v>45590</v>
      </c>
      <c r="E1045" s="3" t="str">
        <f ca="1">IF(Tabela2[[#This Row],[Dt Venc:]]&gt;TODAY(),"Em Aberto",IF(Tabela2[[#This Row],[D/venc]]="-","Enviado",IF(Tabela2[[#This Row],[Dt Venc:]]=TODAY(),"Vence Hoje","Vencida")))</f>
        <v>Enviado</v>
      </c>
      <c r="F1045" s="3" t="str">
        <f ca="1">IF(G1045=1,"-",Tabela2[[#This Row],[Dt Venc:]]-TODAY())</f>
        <v>-</v>
      </c>
      <c r="G1045" s="3">
        <v>1</v>
      </c>
      <c r="H1045" s="3" t="str">
        <f>_xlfn.XLOOKUP(A1045,'Notas Faltantes'!A:A,'Notas Faltantes'!E:E,"",0)</f>
        <v/>
      </c>
    </row>
    <row r="1046" spans="1:8" ht="18" hidden="1">
      <c r="A1046" s="3">
        <v>1057346</v>
      </c>
      <c r="B1046" s="7" t="s">
        <v>141</v>
      </c>
      <c r="C1046" s="41">
        <v>1897.9</v>
      </c>
      <c r="D1046" s="6">
        <v>45590</v>
      </c>
      <c r="E1046" s="3" t="str">
        <f ca="1">IF(Tabela2[[#This Row],[Dt Venc:]]&gt;TODAY(),"Em Aberto",IF(Tabela2[[#This Row],[D/venc]]="-","Enviado",IF(Tabela2[[#This Row],[Dt Venc:]]=TODAY(),"Vence Hoje","Vencida")))</f>
        <v>Enviado</v>
      </c>
      <c r="F1046" s="3" t="str">
        <f ca="1">IF(G1046=1,"-",Tabela2[[#This Row],[Dt Venc:]]-TODAY())</f>
        <v>-</v>
      </c>
      <c r="G1046" s="3">
        <v>1</v>
      </c>
      <c r="H1046" s="3" t="str">
        <f>_xlfn.XLOOKUP(A1046,'Notas Faltantes'!A:A,'Notas Faltantes'!E:E,"",0)</f>
        <v/>
      </c>
    </row>
    <row r="1047" spans="1:8" ht="18" hidden="1">
      <c r="A1047" s="3">
        <v>1057347</v>
      </c>
      <c r="B1047" s="7" t="s">
        <v>141</v>
      </c>
      <c r="C1047" s="41">
        <v>1521.85</v>
      </c>
      <c r="D1047" s="6">
        <v>45590</v>
      </c>
      <c r="E1047" s="3" t="str">
        <f ca="1">IF(Tabela2[[#This Row],[Dt Venc:]]&gt;TODAY(),"Em Aberto",IF(Tabela2[[#This Row],[D/venc]]="-","Enviado",IF(Tabela2[[#This Row],[Dt Venc:]]=TODAY(),"Vence Hoje","Vencida")))</f>
        <v>Enviado</v>
      </c>
      <c r="F1047" s="3" t="str">
        <f ca="1">IF(G1047=1,"-",Tabela2[[#This Row],[Dt Venc:]]-TODAY())</f>
        <v>-</v>
      </c>
      <c r="G1047" s="3">
        <v>1</v>
      </c>
      <c r="H1047" s="3" t="str">
        <f>_xlfn.XLOOKUP(A1047,'Notas Faltantes'!A:A,'Notas Faltantes'!E:E,"",0)</f>
        <v/>
      </c>
    </row>
    <row r="1048" spans="1:8" ht="18" hidden="1">
      <c r="A1048" s="3">
        <v>1057348</v>
      </c>
      <c r="B1048" s="7" t="s">
        <v>141</v>
      </c>
      <c r="C1048" s="41">
        <v>1622.07</v>
      </c>
      <c r="D1048" s="6">
        <v>45590</v>
      </c>
      <c r="E1048" s="3" t="str">
        <f ca="1">IF(Tabela2[[#This Row],[Dt Venc:]]&gt;TODAY(),"Em Aberto",IF(Tabela2[[#This Row],[D/venc]]="-","Enviado",IF(Tabela2[[#This Row],[Dt Venc:]]=TODAY(),"Vence Hoje","Vencida")))</f>
        <v>Enviado</v>
      </c>
      <c r="F1048" s="3" t="str">
        <f ca="1">IF(G1048=1,"-",Tabela2[[#This Row],[Dt Venc:]]-TODAY())</f>
        <v>-</v>
      </c>
      <c r="G1048" s="3">
        <v>1</v>
      </c>
      <c r="H1048" s="3" t="str">
        <f>_xlfn.XLOOKUP(A1048,'Notas Faltantes'!A:A,'Notas Faltantes'!E:E,"",0)</f>
        <v/>
      </c>
    </row>
    <row r="1049" spans="1:8" ht="18" hidden="1">
      <c r="A1049" s="3">
        <v>1057349</v>
      </c>
      <c r="B1049" s="7" t="s">
        <v>141</v>
      </c>
      <c r="C1049" s="41">
        <v>1872.47</v>
      </c>
      <c r="D1049" s="6">
        <v>45590</v>
      </c>
      <c r="E1049" s="3" t="str">
        <f ca="1">IF(Tabela2[[#This Row],[Dt Venc:]]&gt;TODAY(),"Em Aberto",IF(Tabela2[[#This Row],[D/venc]]="-","Enviado",IF(Tabela2[[#This Row],[Dt Venc:]]=TODAY(),"Vence Hoje","Vencida")))</f>
        <v>Enviado</v>
      </c>
      <c r="F1049" s="3" t="str">
        <f ca="1">IF(G1049=1,"-",Tabela2[[#This Row],[Dt Venc:]]-TODAY())</f>
        <v>-</v>
      </c>
      <c r="G1049" s="3">
        <v>1</v>
      </c>
      <c r="H1049" s="3" t="str">
        <f>_xlfn.XLOOKUP(A1049,'Notas Faltantes'!A:A,'Notas Faltantes'!E:E,"",0)</f>
        <v/>
      </c>
    </row>
    <row r="1050" spans="1:8" ht="18" hidden="1">
      <c r="A1050" s="3">
        <v>1057350</v>
      </c>
      <c r="B1050" s="7" t="s">
        <v>141</v>
      </c>
      <c r="C1050" s="41">
        <v>1419.92</v>
      </c>
      <c r="D1050" s="6">
        <v>45590</v>
      </c>
      <c r="E1050" s="3" t="str">
        <f ca="1">IF(Tabela2[[#This Row],[Dt Venc:]]&gt;TODAY(),"Em Aberto",IF(Tabela2[[#This Row],[D/venc]]="-","Enviado",IF(Tabela2[[#This Row],[Dt Venc:]]=TODAY(),"Vence Hoje","Vencida")))</f>
        <v>Enviado</v>
      </c>
      <c r="F1050" s="3" t="str">
        <f ca="1">IF(G1050=1,"-",Tabela2[[#This Row],[Dt Venc:]]-TODAY())</f>
        <v>-</v>
      </c>
      <c r="G1050" s="3">
        <v>1</v>
      </c>
      <c r="H1050" s="3" t="str">
        <f>_xlfn.XLOOKUP(A1050,'Notas Faltantes'!A:A,'Notas Faltantes'!E:E,"",0)</f>
        <v/>
      </c>
    </row>
    <row r="1051" spans="1:8" ht="18" hidden="1">
      <c r="A1051" s="3">
        <v>1057351</v>
      </c>
      <c r="B1051" s="7" t="s">
        <v>141</v>
      </c>
      <c r="C1051" s="41">
        <v>1407.95</v>
      </c>
      <c r="D1051" s="6">
        <v>45590</v>
      </c>
      <c r="E1051" s="3" t="str">
        <f ca="1">IF(Tabela2[[#This Row],[Dt Venc:]]&gt;TODAY(),"Em Aberto",IF(Tabela2[[#This Row],[D/venc]]="-","Enviado",IF(Tabela2[[#This Row],[Dt Venc:]]=TODAY(),"Vence Hoje","Vencida")))</f>
        <v>Enviado</v>
      </c>
      <c r="F1051" s="3" t="str">
        <f ca="1">IF(G1051=1,"-",Tabela2[[#This Row],[Dt Venc:]]-TODAY())</f>
        <v>-</v>
      </c>
      <c r="G1051" s="3">
        <v>1</v>
      </c>
      <c r="H1051" s="3" t="str">
        <f>_xlfn.XLOOKUP(A1051,'Notas Faltantes'!A:A,'Notas Faltantes'!E:E,"",0)</f>
        <v/>
      </c>
    </row>
    <row r="1052" spans="1:8" ht="18" hidden="1">
      <c r="A1052" s="3">
        <v>1057352</v>
      </c>
      <c r="B1052" s="7" t="s">
        <v>141</v>
      </c>
      <c r="C1052" s="41">
        <v>1076</v>
      </c>
      <c r="D1052" s="6">
        <v>45590</v>
      </c>
      <c r="E1052" s="3" t="str">
        <f ca="1">IF(Tabela2[[#This Row],[Dt Venc:]]&gt;TODAY(),"Em Aberto",IF(Tabela2[[#This Row],[D/venc]]="-","Enviado",IF(Tabela2[[#This Row],[Dt Venc:]]=TODAY(),"Vence Hoje","Vencida")))</f>
        <v>Enviado</v>
      </c>
      <c r="F1052" s="3" t="str">
        <f ca="1">IF(G1052=1,"-",Tabela2[[#This Row],[Dt Venc:]]-TODAY())</f>
        <v>-</v>
      </c>
      <c r="G1052" s="3">
        <v>1</v>
      </c>
      <c r="H1052" s="3" t="str">
        <f>_xlfn.XLOOKUP(A1052,'Notas Faltantes'!A:A,'Notas Faltantes'!E:E,"",0)</f>
        <v/>
      </c>
    </row>
    <row r="1053" spans="1:8" ht="18" hidden="1">
      <c r="A1053" s="3">
        <v>1057353</v>
      </c>
      <c r="B1053" s="7" t="s">
        <v>141</v>
      </c>
      <c r="C1053" s="41">
        <v>1545.22</v>
      </c>
      <c r="D1053" s="6">
        <v>45590</v>
      </c>
      <c r="E1053" s="3" t="str">
        <f ca="1">IF(Tabela2[[#This Row],[Dt Venc:]]&gt;TODAY(),"Em Aberto",IF(Tabela2[[#This Row],[D/venc]]="-","Enviado",IF(Tabela2[[#This Row],[Dt Venc:]]=TODAY(),"Vence Hoje","Vencida")))</f>
        <v>Enviado</v>
      </c>
      <c r="F1053" s="3" t="str">
        <f ca="1">IF(G1053=1,"-",Tabela2[[#This Row],[Dt Venc:]]-TODAY())</f>
        <v>-</v>
      </c>
      <c r="G1053" s="3">
        <v>1</v>
      </c>
      <c r="H1053" s="3" t="str">
        <f>_xlfn.XLOOKUP(A1053,'Notas Faltantes'!A:A,'Notas Faltantes'!E:E,"",0)</f>
        <v/>
      </c>
    </row>
    <row r="1054" spans="1:8" ht="18" hidden="1">
      <c r="A1054" s="3">
        <v>1057354</v>
      </c>
      <c r="B1054" s="7" t="s">
        <v>141</v>
      </c>
      <c r="C1054" s="41">
        <v>1235.6500000000001</v>
      </c>
      <c r="D1054" s="6">
        <v>45590</v>
      </c>
      <c r="E1054" s="3" t="str">
        <f ca="1">IF(Tabela2[[#This Row],[Dt Venc:]]&gt;TODAY(),"Em Aberto",IF(Tabela2[[#This Row],[D/venc]]="-","Enviado",IF(Tabela2[[#This Row],[Dt Venc:]]=TODAY(),"Vence Hoje","Vencida")))</f>
        <v>Enviado</v>
      </c>
      <c r="F1054" s="3" t="str">
        <f ca="1">IF(G1054=1,"-",Tabela2[[#This Row],[Dt Venc:]]-TODAY())</f>
        <v>-</v>
      </c>
      <c r="G1054" s="3">
        <v>1</v>
      </c>
      <c r="H1054" s="3" t="str">
        <f>_xlfn.XLOOKUP(A1054,'Notas Faltantes'!A:A,'Notas Faltantes'!E:E,"",0)</f>
        <v/>
      </c>
    </row>
    <row r="1055" spans="1:8" ht="18" hidden="1">
      <c r="A1055" s="3">
        <v>1057355</v>
      </c>
      <c r="B1055" s="7" t="s">
        <v>141</v>
      </c>
      <c r="C1055" s="41">
        <v>1568.94</v>
      </c>
      <c r="D1055" s="6">
        <v>45590</v>
      </c>
      <c r="E1055" s="3" t="str">
        <f ca="1">IF(Tabela2[[#This Row],[Dt Venc:]]&gt;TODAY(),"Em Aberto",IF(Tabela2[[#This Row],[D/venc]]="-","Enviado",IF(Tabela2[[#This Row],[Dt Venc:]]=TODAY(),"Vence Hoje","Vencida")))</f>
        <v>Enviado</v>
      </c>
      <c r="F1055" s="3" t="str">
        <f ca="1">IF(G1055=1,"-",Tabela2[[#This Row],[Dt Venc:]]-TODAY())</f>
        <v>-</v>
      </c>
      <c r="G1055" s="3">
        <v>1</v>
      </c>
      <c r="H1055" s="3" t="str">
        <f>_xlfn.XLOOKUP(A1055,'Notas Faltantes'!A:A,'Notas Faltantes'!E:E,"",0)</f>
        <v/>
      </c>
    </row>
    <row r="1056" spans="1:8" ht="18" hidden="1">
      <c r="A1056" s="3">
        <v>1057356</v>
      </c>
      <c r="B1056" s="7" t="s">
        <v>141</v>
      </c>
      <c r="C1056" s="41">
        <v>1464.65</v>
      </c>
      <c r="D1056" s="6">
        <v>45590</v>
      </c>
      <c r="E1056" s="3" t="str">
        <f ca="1">IF(Tabela2[[#This Row],[Dt Venc:]]&gt;TODAY(),"Em Aberto",IF(Tabela2[[#This Row],[D/venc]]="-","Enviado",IF(Tabela2[[#This Row],[Dt Venc:]]=TODAY(),"Vence Hoje","Vencida")))</f>
        <v>Enviado</v>
      </c>
      <c r="F1056" s="3" t="str">
        <f ca="1">IF(G1056=1,"-",Tabela2[[#This Row],[Dt Venc:]]-TODAY())</f>
        <v>-</v>
      </c>
      <c r="G1056" s="3">
        <v>1</v>
      </c>
      <c r="H1056" s="3" t="str">
        <f>_xlfn.XLOOKUP(A1056,'Notas Faltantes'!A:A,'Notas Faltantes'!E:E,"",0)</f>
        <v/>
      </c>
    </row>
    <row r="1057" spans="1:8" ht="18" hidden="1">
      <c r="A1057" s="3">
        <v>1057357</v>
      </c>
      <c r="B1057" s="7" t="s">
        <v>141</v>
      </c>
      <c r="C1057" s="41">
        <v>1672.34</v>
      </c>
      <c r="D1057" s="6">
        <v>45590</v>
      </c>
      <c r="E1057" s="3" t="str">
        <f ca="1">IF(Tabela2[[#This Row],[Dt Venc:]]&gt;TODAY(),"Em Aberto",IF(Tabela2[[#This Row],[D/venc]]="-","Enviado",IF(Tabela2[[#This Row],[Dt Venc:]]=TODAY(),"Vence Hoje","Vencida")))</f>
        <v>Enviado</v>
      </c>
      <c r="F1057" s="3" t="str">
        <f ca="1">IF(G1057=1,"-",Tabela2[[#This Row],[Dt Venc:]]-TODAY())</f>
        <v>-</v>
      </c>
      <c r="G1057" s="3">
        <v>1</v>
      </c>
      <c r="H1057" s="3" t="str">
        <f>_xlfn.XLOOKUP(A1057,'Notas Faltantes'!A:A,'Notas Faltantes'!E:E,"",0)</f>
        <v/>
      </c>
    </row>
    <row r="1058" spans="1:8" ht="18" hidden="1">
      <c r="A1058" s="3">
        <v>1057362</v>
      </c>
      <c r="B1058" s="7" t="s">
        <v>141</v>
      </c>
      <c r="C1058" s="41">
        <v>1569.12</v>
      </c>
      <c r="D1058" s="6">
        <v>45590</v>
      </c>
      <c r="E1058" s="3" t="str">
        <f ca="1">IF(Tabela2[[#This Row],[Dt Venc:]]&gt;TODAY(),"Em Aberto",IF(Tabela2[[#This Row],[D/venc]]="-","Enviado",IF(Tabela2[[#This Row],[Dt Venc:]]=TODAY(),"Vence Hoje","Vencida")))</f>
        <v>Enviado</v>
      </c>
      <c r="F1058" s="3" t="str">
        <f ca="1">IF(G1058=1,"-",Tabela2[[#This Row],[Dt Venc:]]-TODAY())</f>
        <v>-</v>
      </c>
      <c r="G1058" s="3">
        <v>1</v>
      </c>
      <c r="H1058" s="3" t="str">
        <f>_xlfn.XLOOKUP(A1058,'Notas Faltantes'!A:A,'Notas Faltantes'!E:E,"",0)</f>
        <v/>
      </c>
    </row>
    <row r="1059" spans="1:8" ht="18" hidden="1">
      <c r="A1059" s="3">
        <v>1057370</v>
      </c>
      <c r="B1059" s="7" t="s">
        <v>141</v>
      </c>
      <c r="C1059" s="41">
        <v>1490.49</v>
      </c>
      <c r="D1059" s="6">
        <v>45590</v>
      </c>
      <c r="E1059" s="3" t="str">
        <f ca="1">IF(Tabela2[[#This Row],[Dt Venc:]]&gt;TODAY(),"Em Aberto",IF(Tabela2[[#This Row],[D/venc]]="-","Enviado",IF(Tabela2[[#This Row],[Dt Venc:]]=TODAY(),"Vence Hoje","Vencida")))</f>
        <v>Enviado</v>
      </c>
      <c r="F1059" s="3" t="str">
        <f ca="1">IF(G1059=1,"-",Tabela2[[#This Row],[Dt Venc:]]-TODAY())</f>
        <v>-</v>
      </c>
      <c r="G1059" s="3">
        <v>1</v>
      </c>
      <c r="H1059" s="3" t="str">
        <f>_xlfn.XLOOKUP(A1059,'Notas Faltantes'!A:A,'Notas Faltantes'!E:E,"",0)</f>
        <v/>
      </c>
    </row>
    <row r="1060" spans="1:8" ht="18" hidden="1">
      <c r="A1060" s="3">
        <v>1057372</v>
      </c>
      <c r="B1060" s="7" t="s">
        <v>141</v>
      </c>
      <c r="C1060" s="41">
        <v>1696.89</v>
      </c>
      <c r="D1060" s="6">
        <v>45590</v>
      </c>
      <c r="E1060" s="3" t="str">
        <f ca="1">IF(Tabela2[[#This Row],[Dt Venc:]]&gt;TODAY(),"Em Aberto",IF(Tabela2[[#This Row],[D/venc]]="-","Enviado",IF(Tabela2[[#This Row],[Dt Venc:]]=TODAY(),"Vence Hoje","Vencida")))</f>
        <v>Enviado</v>
      </c>
      <c r="F1060" s="3" t="str">
        <f ca="1">IF(G1060=1,"-",Tabela2[[#This Row],[Dt Venc:]]-TODAY())</f>
        <v>-</v>
      </c>
      <c r="G1060" s="3">
        <v>1</v>
      </c>
      <c r="H1060" s="3" t="str">
        <f>_xlfn.XLOOKUP(A1060,'Notas Faltantes'!A:A,'Notas Faltantes'!E:E,"",0)</f>
        <v/>
      </c>
    </row>
    <row r="1061" spans="1:8" ht="18" hidden="1">
      <c r="A1061" s="3">
        <v>1057374</v>
      </c>
      <c r="B1061" s="7" t="s">
        <v>141</v>
      </c>
      <c r="C1061" s="41">
        <v>1650.31</v>
      </c>
      <c r="D1061" s="6">
        <v>45590</v>
      </c>
      <c r="E1061" s="3" t="str">
        <f ca="1">IF(Tabela2[[#This Row],[Dt Venc:]]&gt;TODAY(),"Em Aberto",IF(Tabela2[[#This Row],[D/venc]]="-","Enviado",IF(Tabela2[[#This Row],[Dt Venc:]]=TODAY(),"Vence Hoje","Vencida")))</f>
        <v>Enviado</v>
      </c>
      <c r="F1061" s="3" t="str">
        <f ca="1">IF(G1061=1,"-",Tabela2[[#This Row],[Dt Venc:]]-TODAY())</f>
        <v>-</v>
      </c>
      <c r="G1061" s="3">
        <v>1</v>
      </c>
      <c r="H1061" s="3" t="str">
        <f>_xlfn.XLOOKUP(A1061,'Notas Faltantes'!A:A,'Notas Faltantes'!E:E,"",0)</f>
        <v/>
      </c>
    </row>
    <row r="1062" spans="1:8" ht="18" hidden="1">
      <c r="A1062" s="3">
        <v>1057377</v>
      </c>
      <c r="B1062" s="7" t="s">
        <v>141</v>
      </c>
      <c r="C1062" s="41">
        <v>1707.5</v>
      </c>
      <c r="D1062" s="6">
        <v>45590</v>
      </c>
      <c r="E1062" s="3" t="str">
        <f ca="1">IF(Tabela2[[#This Row],[Dt Venc:]]&gt;TODAY(),"Em Aberto",IF(Tabela2[[#This Row],[D/venc]]="-","Enviado",IF(Tabela2[[#This Row],[Dt Venc:]]=TODAY(),"Vence Hoje","Vencida")))</f>
        <v>Enviado</v>
      </c>
      <c r="F1062" s="3" t="str">
        <f ca="1">IF(G1062=1,"-",Tabela2[[#This Row],[Dt Venc:]]-TODAY())</f>
        <v>-</v>
      </c>
      <c r="G1062" s="3">
        <v>1</v>
      </c>
      <c r="H1062" s="3" t="str">
        <f>_xlfn.XLOOKUP(A1062,'Notas Faltantes'!A:A,'Notas Faltantes'!E:E,"",0)</f>
        <v/>
      </c>
    </row>
    <row r="1063" spans="1:8" ht="18" hidden="1">
      <c r="A1063" s="3">
        <v>1057379</v>
      </c>
      <c r="B1063" s="7" t="s">
        <v>141</v>
      </c>
      <c r="C1063" s="41">
        <v>1602.63</v>
      </c>
      <c r="D1063" s="6">
        <v>45590</v>
      </c>
      <c r="E1063" s="3" t="str">
        <f ca="1">IF(Tabela2[[#This Row],[Dt Venc:]]&gt;TODAY(),"Em Aberto",IF(Tabela2[[#This Row],[D/venc]]="-","Enviado",IF(Tabela2[[#This Row],[Dt Venc:]]=TODAY(),"Vence Hoje","Vencida")))</f>
        <v>Enviado</v>
      </c>
      <c r="F1063" s="3" t="str">
        <f ca="1">IF(G1063=1,"-",Tabela2[[#This Row],[Dt Venc:]]-TODAY())</f>
        <v>-</v>
      </c>
      <c r="G1063" s="3">
        <v>1</v>
      </c>
      <c r="H1063" s="3" t="str">
        <f>_xlfn.XLOOKUP(A1063,'Notas Faltantes'!A:A,'Notas Faltantes'!E:E,"",0)</f>
        <v/>
      </c>
    </row>
    <row r="1064" spans="1:8" ht="18" hidden="1">
      <c r="A1064" s="3">
        <v>1057380</v>
      </c>
      <c r="B1064" s="7" t="s">
        <v>141</v>
      </c>
      <c r="C1064" s="41">
        <v>1720.02</v>
      </c>
      <c r="D1064" s="6">
        <v>45590</v>
      </c>
      <c r="E1064" s="3" t="str">
        <f ca="1">IF(Tabela2[[#This Row],[Dt Venc:]]&gt;TODAY(),"Em Aberto",IF(Tabela2[[#This Row],[D/venc]]="-","Enviado",IF(Tabela2[[#This Row],[Dt Venc:]]=TODAY(),"Vence Hoje","Vencida")))</f>
        <v>Enviado</v>
      </c>
      <c r="F1064" s="3" t="str">
        <f ca="1">IF(G1064=1,"-",Tabela2[[#This Row],[Dt Venc:]]-TODAY())</f>
        <v>-</v>
      </c>
      <c r="G1064" s="3">
        <v>1</v>
      </c>
      <c r="H1064" s="3" t="str">
        <f>_xlfn.XLOOKUP(A1064,'Notas Faltantes'!A:A,'Notas Faltantes'!E:E,"",0)</f>
        <v/>
      </c>
    </row>
    <row r="1065" spans="1:8" ht="18" hidden="1">
      <c r="A1065" s="3">
        <v>1057382</v>
      </c>
      <c r="B1065" s="7" t="s">
        <v>141</v>
      </c>
      <c r="C1065" s="41">
        <v>1585.63</v>
      </c>
      <c r="D1065" s="6">
        <v>45590</v>
      </c>
      <c r="E1065" s="3" t="str">
        <f ca="1">IF(Tabela2[[#This Row],[Dt Venc:]]&gt;TODAY(),"Em Aberto",IF(Tabela2[[#This Row],[D/venc]]="-","Enviado",IF(Tabela2[[#This Row],[Dt Venc:]]=TODAY(),"Vence Hoje","Vencida")))</f>
        <v>Enviado</v>
      </c>
      <c r="F1065" s="3" t="str">
        <f ca="1">IF(G1065=1,"-",Tabela2[[#This Row],[Dt Venc:]]-TODAY())</f>
        <v>-</v>
      </c>
      <c r="G1065" s="3">
        <v>1</v>
      </c>
      <c r="H1065" s="3" t="str">
        <f>_xlfn.XLOOKUP(A1065,'Notas Faltantes'!A:A,'Notas Faltantes'!E:E,"",0)</f>
        <v/>
      </c>
    </row>
    <row r="1066" spans="1:8" ht="18" hidden="1">
      <c r="A1066" s="3">
        <v>14098</v>
      </c>
      <c r="B1066" s="7" t="s">
        <v>102</v>
      </c>
      <c r="C1066" s="41">
        <v>560</v>
      </c>
      <c r="D1066" s="6">
        <v>45590</v>
      </c>
      <c r="E1066" s="3" t="str">
        <f ca="1">IF(Tabela2[[#This Row],[Dt Venc:]]&gt;TODAY(),"Em Aberto",IF(Tabela2[[#This Row],[D/venc]]="-","Enviado",IF(Tabela2[[#This Row],[Dt Venc:]]=TODAY(),"Vence Hoje","Vencida")))</f>
        <v>Enviado</v>
      </c>
      <c r="F1066" s="3" t="str">
        <f ca="1">IF(G1066=1,"-",Tabela2[[#This Row],[Dt Venc:]]-TODAY())</f>
        <v>-</v>
      </c>
      <c r="G1066" s="3">
        <v>1</v>
      </c>
      <c r="H1066" s="3" t="str">
        <f>_xlfn.XLOOKUP(A1066,'Notas Faltantes'!A:A,'Notas Faltantes'!E:E,"",0)</f>
        <v/>
      </c>
    </row>
    <row r="1067" spans="1:8" ht="18" hidden="1">
      <c r="A1067" s="3">
        <v>5144</v>
      </c>
      <c r="B1067" s="7" t="s">
        <v>134</v>
      </c>
      <c r="C1067" s="41">
        <v>650</v>
      </c>
      <c r="D1067" s="6">
        <v>45590</v>
      </c>
      <c r="E1067" s="3" t="str">
        <f ca="1">IF(Tabela2[[#This Row],[Dt Venc:]]&gt;TODAY(),"Em Aberto",IF(Tabela2[[#This Row],[D/venc]]="-","Enviado",IF(Tabela2[[#This Row],[Dt Venc:]]=TODAY(),"Vence Hoje","Vencida")))</f>
        <v>Enviado</v>
      </c>
      <c r="F1067" s="3" t="str">
        <f ca="1">IF(G1067=1,"-",Tabela2[[#This Row],[Dt Venc:]]-TODAY())</f>
        <v>-</v>
      </c>
      <c r="G1067" s="3">
        <v>1</v>
      </c>
      <c r="H1067" s="3" t="str">
        <f>_xlfn.XLOOKUP(A1067,'Notas Faltantes'!A:A,'Notas Faltantes'!E:E,"",0)</f>
        <v/>
      </c>
    </row>
    <row r="1068" spans="1:8" ht="18" hidden="1">
      <c r="A1068" s="3">
        <v>3181</v>
      </c>
      <c r="B1068" s="7" t="s">
        <v>347</v>
      </c>
      <c r="C1068" s="41">
        <v>684</v>
      </c>
      <c r="D1068" s="6">
        <v>45590</v>
      </c>
      <c r="E1068" s="3" t="str">
        <f ca="1">IF(Tabela2[[#This Row],[Dt Venc:]]&gt;TODAY(),"Em Aberto",IF(Tabela2[[#This Row],[D/venc]]="-","Enviado",IF(Tabela2[[#This Row],[Dt Venc:]]=TODAY(),"Vence Hoje","Vencida")))</f>
        <v>Enviado</v>
      </c>
      <c r="F1068" s="3" t="str">
        <f ca="1">IF(G1068=1,"-",Tabela2[[#This Row],[Dt Venc:]]-TODAY())</f>
        <v>-</v>
      </c>
      <c r="G1068" s="3">
        <v>1</v>
      </c>
      <c r="H1068" s="3" t="str">
        <f>_xlfn.XLOOKUP(A1068,'Notas Faltantes'!A:A,'Notas Faltantes'!E:E,"",0)</f>
        <v/>
      </c>
    </row>
    <row r="1069" spans="1:8" ht="18" hidden="1">
      <c r="A1069" s="3">
        <v>326127</v>
      </c>
      <c r="B1069" s="7" t="s">
        <v>240</v>
      </c>
      <c r="C1069" s="41">
        <v>300</v>
      </c>
      <c r="D1069" s="6">
        <v>45590</v>
      </c>
      <c r="E1069" s="3" t="str">
        <f ca="1">IF(Tabela2[[#This Row],[Dt Venc:]]&gt;TODAY(),"Em Aberto",IF(Tabela2[[#This Row],[D/venc]]="-","Enviado",IF(Tabela2[[#This Row],[Dt Venc:]]=TODAY(),"Vence Hoje","Vencida")))</f>
        <v>Enviado</v>
      </c>
      <c r="F1069" s="3" t="str">
        <f ca="1">IF(G1069=1,"-",Tabela2[[#This Row],[Dt Venc:]]-TODAY())</f>
        <v>-</v>
      </c>
      <c r="G1069" s="3">
        <v>1</v>
      </c>
      <c r="H1069" s="3" t="str">
        <f>_xlfn.XLOOKUP(A1069,'Notas Faltantes'!A:A,'Notas Faltantes'!E:E,"",0)</f>
        <v/>
      </c>
    </row>
    <row r="1070" spans="1:8" ht="18" hidden="1">
      <c r="A1070" s="3">
        <v>301742</v>
      </c>
      <c r="B1070" s="7" t="s">
        <v>53</v>
      </c>
      <c r="C1070" s="41">
        <v>777.76</v>
      </c>
      <c r="D1070" s="6">
        <v>45590</v>
      </c>
      <c r="E1070" s="3" t="str">
        <f ca="1">IF(Tabela2[[#This Row],[Dt Venc:]]&gt;TODAY(),"Em Aberto",IF(Tabela2[[#This Row],[D/venc]]="-","Enviado",IF(Tabela2[[#This Row],[Dt Venc:]]=TODAY(),"Vence Hoje","Vencida")))</f>
        <v>Enviado</v>
      </c>
      <c r="F1070" s="3" t="str">
        <f ca="1">IF(G1070=1,"-",Tabela2[[#This Row],[Dt Venc:]]-TODAY())</f>
        <v>-</v>
      </c>
      <c r="G1070" s="3">
        <v>1</v>
      </c>
      <c r="H1070" s="3" t="str">
        <f>_xlfn.XLOOKUP(A1070,'Notas Faltantes'!A:A,'Notas Faltantes'!E:E,"",0)</f>
        <v/>
      </c>
    </row>
    <row r="1071" spans="1:8" ht="18" hidden="1">
      <c r="A1071" s="3">
        <v>71109</v>
      </c>
      <c r="B1071" s="7" t="s">
        <v>76</v>
      </c>
      <c r="C1071" s="41">
        <v>1716.65</v>
      </c>
      <c r="D1071" s="6">
        <v>45590</v>
      </c>
      <c r="E1071" s="3" t="str">
        <f ca="1">IF(Tabela2[[#This Row],[Dt Venc:]]&gt;TODAY(),"Em Aberto",IF(Tabela2[[#This Row],[D/venc]]="-","Enviado",IF(Tabela2[[#This Row],[Dt Venc:]]=TODAY(),"Vence Hoje","Vencida")))</f>
        <v>Enviado</v>
      </c>
      <c r="F1071" s="3" t="str">
        <f ca="1">IF(G1071=1,"-",Tabela2[[#This Row],[Dt Venc:]]-TODAY())</f>
        <v>-</v>
      </c>
      <c r="G1071" s="3">
        <v>1</v>
      </c>
      <c r="H1071" s="3" t="str">
        <f>_xlfn.XLOOKUP(A1071,'Notas Faltantes'!A:A,'Notas Faltantes'!E:E,"",0)</f>
        <v/>
      </c>
    </row>
    <row r="1072" spans="1:8" ht="18" hidden="1">
      <c r="A1072" s="3">
        <v>231693</v>
      </c>
      <c r="B1072" s="7" t="s">
        <v>43</v>
      </c>
      <c r="C1072" s="41">
        <v>711.34</v>
      </c>
      <c r="D1072" s="6">
        <v>45590</v>
      </c>
      <c r="E1072" s="3" t="str">
        <f ca="1">IF(Tabela2[[#This Row],[Dt Venc:]]&gt;TODAY(),"Em Aberto",IF(Tabela2[[#This Row],[D/venc]]="-","Enviado",IF(Tabela2[[#This Row],[Dt Venc:]]=TODAY(),"Vence Hoje","Vencida")))</f>
        <v>Enviado</v>
      </c>
      <c r="F1072" s="3" t="str">
        <f ca="1">IF(G1072=1,"-",Tabela2[[#This Row],[Dt Venc:]]-TODAY())</f>
        <v>-</v>
      </c>
      <c r="G1072" s="3">
        <v>1</v>
      </c>
      <c r="H1072" s="3" t="str">
        <f>_xlfn.XLOOKUP(A1072,'Notas Faltantes'!A:A,'Notas Faltantes'!E:E,"",0)</f>
        <v/>
      </c>
    </row>
    <row r="1073" spans="1:8" ht="18" hidden="1">
      <c r="A1073" s="3">
        <v>71134</v>
      </c>
      <c r="B1073" s="7" t="s">
        <v>76</v>
      </c>
      <c r="C1073" s="41">
        <v>381.54</v>
      </c>
      <c r="D1073" s="6">
        <v>45590</v>
      </c>
      <c r="E1073" s="3" t="str">
        <f ca="1">IF(Tabela2[[#This Row],[Dt Venc:]]&gt;TODAY(),"Em Aberto",IF(Tabela2[[#This Row],[D/venc]]="-","Enviado",IF(Tabela2[[#This Row],[Dt Venc:]]=TODAY(),"Vence Hoje","Vencida")))</f>
        <v>Enviado</v>
      </c>
      <c r="F1073" s="3" t="str">
        <f ca="1">IF(G1073=1,"-",Tabela2[[#This Row],[Dt Venc:]]-TODAY())</f>
        <v>-</v>
      </c>
      <c r="G1073" s="3">
        <v>1</v>
      </c>
      <c r="H1073" s="3" t="str">
        <f>_xlfn.XLOOKUP(A1073,'Notas Faltantes'!A:A,'Notas Faltantes'!E:E,"",0)</f>
        <v/>
      </c>
    </row>
    <row r="1074" spans="1:8" ht="18" hidden="1">
      <c r="A1074" s="3">
        <v>609712</v>
      </c>
      <c r="B1074" s="7" t="s">
        <v>66</v>
      </c>
      <c r="C1074" s="41">
        <v>1873.84</v>
      </c>
      <c r="D1074" s="6">
        <v>45590</v>
      </c>
      <c r="E1074" s="3" t="str">
        <f ca="1">IF(Tabela2[[#This Row],[Dt Venc:]]&gt;TODAY(),"Em Aberto",IF(Tabela2[[#This Row],[D/venc]]="-","Enviado",IF(Tabela2[[#This Row],[Dt Venc:]]=TODAY(),"Vence Hoje","Vencida")))</f>
        <v>Enviado</v>
      </c>
      <c r="F1074" s="3" t="str">
        <f ca="1">IF(G1074=1,"-",Tabela2[[#This Row],[Dt Venc:]]-TODAY())</f>
        <v>-</v>
      </c>
      <c r="G1074" s="3">
        <v>1</v>
      </c>
      <c r="H1074" s="3" t="str">
        <f>_xlfn.XLOOKUP(A1074,'Notas Faltantes'!A:A,'Notas Faltantes'!E:E,"",0)</f>
        <v/>
      </c>
    </row>
    <row r="1075" spans="1:8" ht="18" hidden="1">
      <c r="A1075" s="3">
        <v>326146</v>
      </c>
      <c r="B1075" s="7" t="s">
        <v>348</v>
      </c>
      <c r="C1075" s="41">
        <v>405</v>
      </c>
      <c r="D1075" s="6">
        <v>45590</v>
      </c>
      <c r="E1075" s="3" t="str">
        <f ca="1">IF(Tabela2[[#This Row],[Dt Venc:]]&gt;TODAY(),"Em Aberto",IF(Tabela2[[#This Row],[D/venc]]="-","Enviado",IF(Tabela2[[#This Row],[Dt Venc:]]=TODAY(),"Vence Hoje","Vencida")))</f>
        <v>Enviado</v>
      </c>
      <c r="F1075" s="3" t="str">
        <f ca="1">IF(G1075=1,"-",Tabela2[[#This Row],[Dt Venc:]]-TODAY())</f>
        <v>-</v>
      </c>
      <c r="G1075" s="3">
        <v>1</v>
      </c>
      <c r="H1075" s="3" t="str">
        <f>_xlfn.XLOOKUP(A1075,'Notas Faltantes'!A:A,'Notas Faltantes'!E:E,"",0)</f>
        <v/>
      </c>
    </row>
    <row r="1076" spans="1:8" ht="18" hidden="1">
      <c r="A1076" s="3">
        <v>153098</v>
      </c>
      <c r="B1076" s="7" t="s">
        <v>348</v>
      </c>
      <c r="C1076" s="41">
        <v>1233.33</v>
      </c>
      <c r="D1076" s="6">
        <v>45590</v>
      </c>
      <c r="E1076" s="3" t="str">
        <f ca="1">IF(Tabela2[[#This Row],[Dt Venc:]]&gt;TODAY(),"Em Aberto",IF(Tabela2[[#This Row],[D/venc]]="-","Enviado",IF(Tabela2[[#This Row],[Dt Venc:]]=TODAY(),"Vence Hoje","Vencida")))</f>
        <v>Enviado</v>
      </c>
      <c r="F1076" s="3" t="str">
        <f ca="1">IF(G1076=1,"-",Tabela2[[#This Row],[Dt Venc:]]-TODAY())</f>
        <v>-</v>
      </c>
      <c r="G1076" s="3">
        <v>1</v>
      </c>
      <c r="H1076" s="3" t="str">
        <f>_xlfn.XLOOKUP(A1076,'Notas Faltantes'!A:A,'Notas Faltantes'!E:E,"",0)</f>
        <v/>
      </c>
    </row>
    <row r="1077" spans="1:8" ht="18" hidden="1">
      <c r="A1077" s="3">
        <v>10940</v>
      </c>
      <c r="B1077" s="7" t="s">
        <v>174</v>
      </c>
      <c r="C1077" s="41">
        <v>440</v>
      </c>
      <c r="D1077" s="6">
        <v>45590</v>
      </c>
      <c r="E1077" s="3" t="str">
        <f ca="1">IF(Tabela2[[#This Row],[Dt Venc:]]&gt;TODAY(),"Em Aberto",IF(Tabela2[[#This Row],[D/venc]]="-","Enviado",IF(Tabela2[[#This Row],[Dt Venc:]]=TODAY(),"Vence Hoje","Vencida")))</f>
        <v>Enviado</v>
      </c>
      <c r="F1077" s="3" t="str">
        <f ca="1">IF(G1077=1,"-",Tabela2[[#This Row],[Dt Venc:]]-TODAY())</f>
        <v>-</v>
      </c>
      <c r="G1077" s="3">
        <v>1</v>
      </c>
      <c r="H1077" s="3" t="str">
        <f>_xlfn.XLOOKUP(A1077,'Notas Faltantes'!A:A,'Notas Faltantes'!E:E,"",0)</f>
        <v/>
      </c>
    </row>
    <row r="1078" spans="1:8" ht="18" hidden="1">
      <c r="A1078" s="3">
        <v>255674</v>
      </c>
      <c r="B1078" s="7" t="s">
        <v>49</v>
      </c>
      <c r="C1078" s="41">
        <v>1393.34</v>
      </c>
      <c r="D1078" s="6">
        <v>45590</v>
      </c>
      <c r="E1078" s="3" t="str">
        <f ca="1">IF(Tabela2[[#This Row],[Dt Venc:]]&gt;TODAY(),"Em Aberto",IF(Tabela2[[#This Row],[D/venc]]="-","Enviado",IF(Tabela2[[#This Row],[Dt Venc:]]=TODAY(),"Vence Hoje","Vencida")))</f>
        <v>Enviado</v>
      </c>
      <c r="F1078" s="3" t="str">
        <f ca="1">IF(G1078=1,"-",Tabela2[[#This Row],[Dt Venc:]]-TODAY())</f>
        <v>-</v>
      </c>
      <c r="G1078" s="3">
        <v>1</v>
      </c>
      <c r="H1078" s="3" t="str">
        <f>_xlfn.XLOOKUP(A1078,'Notas Faltantes'!A:A,'Notas Faltantes'!E:E,"",0)</f>
        <v/>
      </c>
    </row>
    <row r="1079" spans="1:8" ht="18" hidden="1">
      <c r="A1079" s="3">
        <v>368700</v>
      </c>
      <c r="B1079" s="7" t="s">
        <v>39</v>
      </c>
      <c r="C1079" s="41">
        <v>1287.3900000000001</v>
      </c>
      <c r="D1079" s="6">
        <v>45590</v>
      </c>
      <c r="E1079" s="3" t="str">
        <f ca="1">IF(Tabela2[[#This Row],[Dt Venc:]]&gt;TODAY(),"Em Aberto",IF(Tabela2[[#This Row],[D/venc]]="-","Enviado",IF(Tabela2[[#This Row],[Dt Venc:]]=TODAY(),"Vence Hoje","Vencida")))</f>
        <v>Enviado</v>
      </c>
      <c r="F1079" s="3" t="str">
        <f ca="1">IF(G1079=1,"-",Tabela2[[#This Row],[Dt Venc:]]-TODAY())</f>
        <v>-</v>
      </c>
      <c r="G1079" s="3">
        <v>1</v>
      </c>
      <c r="H1079" s="3" t="str">
        <f>_xlfn.XLOOKUP(A1079,'Notas Faltantes'!A:A,'Notas Faltantes'!E:E,"",0)</f>
        <v/>
      </c>
    </row>
    <row r="1080" spans="1:8" ht="18" hidden="1">
      <c r="A1080" s="3">
        <v>4932</v>
      </c>
      <c r="B1080" s="7" t="s">
        <v>349</v>
      </c>
      <c r="C1080" s="41">
        <v>1123.05</v>
      </c>
      <c r="D1080" s="6">
        <v>45590</v>
      </c>
      <c r="E1080" s="3" t="str">
        <f ca="1">IF(Tabela2[[#This Row],[Dt Venc:]]&gt;TODAY(),"Em Aberto",IF(Tabela2[[#This Row],[D/venc]]="-","Enviado",IF(Tabela2[[#This Row],[Dt Venc:]]=TODAY(),"Vence Hoje","Vencida")))</f>
        <v>Enviado</v>
      </c>
      <c r="F1080" s="3" t="str">
        <f ca="1">IF(G1080=1,"-",Tabela2[[#This Row],[Dt Venc:]]-TODAY())</f>
        <v>-</v>
      </c>
      <c r="G1080" s="3">
        <v>1</v>
      </c>
      <c r="H1080" s="3" t="str">
        <f>_xlfn.XLOOKUP(A1080,'Notas Faltantes'!A:A,'Notas Faltantes'!E:E,"",0)</f>
        <v/>
      </c>
    </row>
    <row r="1081" spans="1:8" ht="18" hidden="1">
      <c r="A1081" s="3">
        <v>611</v>
      </c>
      <c r="B1081" s="7" t="s">
        <v>294</v>
      </c>
      <c r="C1081" s="41">
        <v>6480</v>
      </c>
      <c r="D1081" s="6">
        <v>45590</v>
      </c>
      <c r="E1081" s="3" t="str">
        <f ca="1">IF(Tabela2[[#This Row],[Dt Venc:]]&gt;TODAY(),"Em Aberto",IF(Tabela2[[#This Row],[D/venc]]="-","Enviado",IF(Tabela2[[#This Row],[Dt Venc:]]=TODAY(),"Vence Hoje","Vencida")))</f>
        <v>Enviado</v>
      </c>
      <c r="F1081" s="3" t="str">
        <f ca="1">IF(G1081=1,"-",Tabela2[[#This Row],[Dt Venc:]]-TODAY())</f>
        <v>-</v>
      </c>
      <c r="G1081" s="3">
        <v>1</v>
      </c>
      <c r="H1081" s="3" t="str">
        <f>_xlfn.XLOOKUP(A1081,'Notas Faltantes'!A:A,'Notas Faltantes'!E:E,"",0)</f>
        <v/>
      </c>
    </row>
    <row r="1082" spans="1:8" ht="18" hidden="1">
      <c r="A1082" s="3">
        <v>70</v>
      </c>
      <c r="B1082" s="7" t="s">
        <v>95</v>
      </c>
      <c r="C1082" s="41">
        <v>1576.79</v>
      </c>
      <c r="D1082" s="6">
        <v>45590</v>
      </c>
      <c r="E1082" s="3" t="str">
        <f ca="1">IF(Tabela2[[#This Row],[Dt Venc:]]&gt;TODAY(),"Em Aberto",IF(Tabela2[[#This Row],[D/venc]]="-","Enviado",IF(Tabela2[[#This Row],[Dt Venc:]]=TODAY(),"Vence Hoje","Vencida")))</f>
        <v>Enviado</v>
      </c>
      <c r="F1082" s="3" t="str">
        <f ca="1">IF(G1082=1,"-",Tabela2[[#This Row],[Dt Venc:]]-TODAY())</f>
        <v>-</v>
      </c>
      <c r="G1082" s="3">
        <v>1</v>
      </c>
      <c r="H1082" s="3" t="str">
        <f>_xlfn.XLOOKUP(A1082,'Notas Faltantes'!A:A,'Notas Faltantes'!E:E,"",0)</f>
        <v/>
      </c>
    </row>
    <row r="1083" spans="1:8" ht="18" hidden="1">
      <c r="A1083" s="3">
        <v>159116</v>
      </c>
      <c r="B1083" s="7" t="s">
        <v>350</v>
      </c>
      <c r="C1083" s="41">
        <v>3384.15</v>
      </c>
      <c r="D1083" s="6">
        <v>45590</v>
      </c>
      <c r="E1083" s="3" t="str">
        <f ca="1">IF(Tabela2[[#This Row],[Dt Venc:]]&gt;TODAY(),"Em Aberto",IF(Tabela2[[#This Row],[D/venc]]="-","Enviado",IF(Tabela2[[#This Row],[Dt Venc:]]=TODAY(),"Vence Hoje","Vencida")))</f>
        <v>Enviado</v>
      </c>
      <c r="F1083" s="3" t="str">
        <f ca="1">IF(G1083=1,"-",Tabela2[[#This Row],[Dt Venc:]]-TODAY())</f>
        <v>-</v>
      </c>
      <c r="G1083" s="3">
        <v>1</v>
      </c>
      <c r="H1083" s="3" t="str">
        <f>_xlfn.XLOOKUP(A1083,'Notas Faltantes'!A:A,'Notas Faltantes'!E:E,"",0)</f>
        <v/>
      </c>
    </row>
    <row r="1084" spans="1:8" ht="18" hidden="1">
      <c r="A1084" s="3">
        <v>13255</v>
      </c>
      <c r="B1084" s="7" t="s">
        <v>204</v>
      </c>
      <c r="C1084" s="41">
        <v>583.33000000000004</v>
      </c>
      <c r="D1084" s="6">
        <v>45590</v>
      </c>
      <c r="E1084" s="3" t="str">
        <f ca="1">IF(Tabela2[[#This Row],[Dt Venc:]]&gt;TODAY(),"Em Aberto",IF(Tabela2[[#This Row],[D/venc]]="-","Enviado",IF(Tabela2[[#This Row],[Dt Venc:]]=TODAY(),"Vence Hoje","Vencida")))</f>
        <v>Enviado</v>
      </c>
      <c r="F1084" s="3" t="str">
        <f ca="1">IF(G1084=1,"-",Tabela2[[#This Row],[Dt Venc:]]-TODAY())</f>
        <v>-</v>
      </c>
      <c r="G1084" s="3">
        <v>1</v>
      </c>
      <c r="H1084" s="3" t="str">
        <f>_xlfn.XLOOKUP(A1084,'Notas Faltantes'!A:A,'Notas Faltantes'!E:E,"",0)</f>
        <v/>
      </c>
    </row>
    <row r="1085" spans="1:8" ht="18" hidden="1">
      <c r="A1085" s="3">
        <v>5857</v>
      </c>
      <c r="B1085" s="7" t="s">
        <v>140</v>
      </c>
      <c r="C1085" s="41">
        <v>270</v>
      </c>
      <c r="D1085" s="6">
        <v>45590</v>
      </c>
      <c r="E1085" s="3" t="str">
        <f ca="1">IF(Tabela2[[#This Row],[Dt Venc:]]&gt;TODAY(),"Em Aberto",IF(Tabela2[[#This Row],[D/venc]]="-","Enviado",IF(Tabela2[[#This Row],[Dt Venc:]]=TODAY(),"Vence Hoje","Vencida")))</f>
        <v>Enviado</v>
      </c>
      <c r="F1085" s="3" t="str">
        <f ca="1">IF(G1085=1,"-",Tabela2[[#This Row],[Dt Venc:]]-TODAY())</f>
        <v>-</v>
      </c>
      <c r="G1085" s="3">
        <v>1</v>
      </c>
      <c r="H1085" s="3" t="str">
        <f>_xlfn.XLOOKUP(A1085,'Notas Faltantes'!A:A,'Notas Faltantes'!E:E,"",0)</f>
        <v/>
      </c>
    </row>
    <row r="1086" spans="1:8" ht="18" hidden="1">
      <c r="A1086" s="3">
        <v>301742</v>
      </c>
      <c r="B1086" s="7" t="s">
        <v>63</v>
      </c>
      <c r="C1086" s="41">
        <v>777.76</v>
      </c>
      <c r="D1086" s="6">
        <v>45590</v>
      </c>
      <c r="E1086" s="3" t="str">
        <f ca="1">IF(Tabela2[[#This Row],[Dt Venc:]]&gt;TODAY(),"Em Aberto",IF(Tabela2[[#This Row],[D/venc]]="-","Enviado",IF(Tabela2[[#This Row],[Dt Venc:]]=TODAY(),"Vence Hoje","Vencida")))</f>
        <v>Enviado</v>
      </c>
      <c r="F1086" s="3" t="str">
        <f ca="1">IF(G1086=1,"-",Tabela2[[#This Row],[Dt Venc:]]-TODAY())</f>
        <v>-</v>
      </c>
      <c r="G1086" s="3">
        <v>1</v>
      </c>
      <c r="H1086" s="3" t="str">
        <f>_xlfn.XLOOKUP(A1086,'Notas Faltantes'!A:A,'Notas Faltantes'!E:E,"",0)</f>
        <v/>
      </c>
    </row>
    <row r="1087" spans="1:8" ht="18" hidden="1">
      <c r="A1087" s="3">
        <v>221087</v>
      </c>
      <c r="B1087" s="7" t="s">
        <v>127</v>
      </c>
      <c r="C1087" s="41">
        <v>481.26</v>
      </c>
      <c r="D1087" s="6">
        <v>45590</v>
      </c>
      <c r="E1087" s="3" t="str">
        <f ca="1">IF(Tabela2[[#This Row],[Dt Venc:]]&gt;TODAY(),"Em Aberto",IF(Tabela2[[#This Row],[D/venc]]="-","Enviado",IF(Tabela2[[#This Row],[Dt Venc:]]=TODAY(),"Vence Hoje","Vencida")))</f>
        <v>Enviado</v>
      </c>
      <c r="F1087" s="3" t="str">
        <f ca="1">IF(G1087=1,"-",Tabela2[[#This Row],[Dt Venc:]]-TODAY())</f>
        <v>-</v>
      </c>
      <c r="G1087" s="3">
        <v>1</v>
      </c>
      <c r="H1087" s="3" t="str">
        <f>_xlfn.XLOOKUP(A1087,'Notas Faltantes'!A:A,'Notas Faltantes'!E:E,"",0)</f>
        <v/>
      </c>
    </row>
    <row r="1088" spans="1:8" ht="18" hidden="1">
      <c r="A1088" s="3">
        <v>586</v>
      </c>
      <c r="B1088" s="7" t="s">
        <v>351</v>
      </c>
      <c r="C1088" s="41">
        <v>6686</v>
      </c>
      <c r="D1088" s="6">
        <v>45590</v>
      </c>
      <c r="E1088" s="3" t="str">
        <f ca="1">IF(Tabela2[[#This Row],[Dt Venc:]]&gt;TODAY(),"Em Aberto",IF(Tabela2[[#This Row],[D/venc]]="-","Enviado",IF(Tabela2[[#This Row],[Dt Venc:]]=TODAY(),"Vence Hoje","Vencida")))</f>
        <v>Enviado</v>
      </c>
      <c r="F1088" s="3" t="str">
        <f ca="1">IF(G1088=1,"-",Tabela2[[#This Row],[Dt Venc:]]-TODAY())</f>
        <v>-</v>
      </c>
      <c r="G1088" s="3">
        <v>1</v>
      </c>
      <c r="H1088" s="3" t="str">
        <f>_xlfn.XLOOKUP(A1088,'Notas Faltantes'!A:A,'Notas Faltantes'!E:E,"",0)</f>
        <v/>
      </c>
    </row>
    <row r="1089" spans="1:8" ht="18" hidden="1">
      <c r="A1089" s="3">
        <v>572</v>
      </c>
      <c r="B1089" s="7" t="s">
        <v>351</v>
      </c>
      <c r="C1089" s="41">
        <v>4025</v>
      </c>
      <c r="D1089" s="6">
        <v>45590</v>
      </c>
      <c r="E1089" s="3" t="str">
        <f ca="1">IF(Tabela2[[#This Row],[Dt Venc:]]&gt;TODAY(),"Em Aberto",IF(Tabela2[[#This Row],[D/venc]]="-","Enviado",IF(Tabela2[[#This Row],[Dt Venc:]]=TODAY(),"Vence Hoje","Vencida")))</f>
        <v>Enviado</v>
      </c>
      <c r="F1089" s="3" t="str">
        <f ca="1">IF(G1089=1,"-",Tabela2[[#This Row],[Dt Venc:]]-TODAY())</f>
        <v>-</v>
      </c>
      <c r="G1089" s="3">
        <v>1</v>
      </c>
      <c r="H1089" s="3" t="str">
        <f>_xlfn.XLOOKUP(A1089,'Notas Faltantes'!A:A,'Notas Faltantes'!E:E,"",0)</f>
        <v/>
      </c>
    </row>
    <row r="1090" spans="1:8" ht="18" hidden="1">
      <c r="A1090" s="3">
        <v>10588</v>
      </c>
      <c r="B1090" s="7" t="s">
        <v>351</v>
      </c>
      <c r="C1090" s="41">
        <v>21735</v>
      </c>
      <c r="D1090" s="6">
        <v>45590</v>
      </c>
      <c r="E1090" s="3" t="str">
        <f ca="1">IF(Tabela2[[#This Row],[Dt Venc:]]&gt;TODAY(),"Em Aberto",IF(Tabela2[[#This Row],[D/venc]]="-","Enviado",IF(Tabela2[[#This Row],[Dt Venc:]]=TODAY(),"Vence Hoje","Vencida")))</f>
        <v>Enviado</v>
      </c>
      <c r="F1090" s="3" t="str">
        <f ca="1">IF(G1090=1,"-",Tabela2[[#This Row],[Dt Venc:]]-TODAY())</f>
        <v>-</v>
      </c>
      <c r="G1090" s="3">
        <v>1</v>
      </c>
      <c r="H1090" s="3" t="str">
        <f>_xlfn.XLOOKUP(A1090,'Notas Faltantes'!A:A,'Notas Faltantes'!E:E,"",0)</f>
        <v/>
      </c>
    </row>
    <row r="1091" spans="1:8" ht="18" hidden="1">
      <c r="A1091" s="3">
        <v>301761</v>
      </c>
      <c r="B1091" s="7" t="s">
        <v>63</v>
      </c>
      <c r="C1091" s="41">
        <v>758.79</v>
      </c>
      <c r="D1091" s="6">
        <v>45590</v>
      </c>
      <c r="E1091" s="3" t="str">
        <f ca="1">IF(Tabela2[[#This Row],[Dt Venc:]]&gt;TODAY(),"Em Aberto",IF(Tabela2[[#This Row],[D/venc]]="-","Enviado",IF(Tabela2[[#This Row],[Dt Venc:]]=TODAY(),"Vence Hoje","Vencida")))</f>
        <v>Enviado</v>
      </c>
      <c r="F1091" s="3" t="str">
        <f ca="1">IF(G1091=1,"-",Tabela2[[#This Row],[Dt Venc:]]-TODAY())</f>
        <v>-</v>
      </c>
      <c r="G1091" s="3">
        <v>1</v>
      </c>
      <c r="H1091" s="3" t="str">
        <f>_xlfn.XLOOKUP(A1091,'Notas Faltantes'!A:A,'Notas Faltantes'!E:E,"",0)</f>
        <v/>
      </c>
    </row>
    <row r="1092" spans="1:8" ht="18" hidden="1">
      <c r="A1092" s="3">
        <v>1985746</v>
      </c>
      <c r="B1092" s="7" t="s">
        <v>59</v>
      </c>
      <c r="C1092" s="41">
        <v>135840</v>
      </c>
      <c r="D1092" s="6">
        <v>45590</v>
      </c>
      <c r="E1092" s="3" t="str">
        <f ca="1">IF(Tabela2[[#This Row],[Dt Venc:]]&gt;TODAY(),"Em Aberto",IF(Tabela2[[#This Row],[D/venc]]="-","Enviado",IF(Tabela2[[#This Row],[Dt Venc:]]=TODAY(),"Vence Hoje","Vencida")))</f>
        <v>Enviado</v>
      </c>
      <c r="F1092" s="3" t="str">
        <f ca="1">IF(G1092=1,"-",Tabela2[[#This Row],[Dt Venc:]]-TODAY())</f>
        <v>-</v>
      </c>
      <c r="G1092" s="3">
        <v>1</v>
      </c>
      <c r="H1092" s="3" t="str">
        <f>_xlfn.XLOOKUP(A1092,'Notas Faltantes'!A:A,'Notas Faltantes'!E:E,"",0)</f>
        <v/>
      </c>
    </row>
    <row r="1093" spans="1:8" ht="18" hidden="1">
      <c r="A1093" s="3">
        <v>2253894</v>
      </c>
      <c r="B1093" s="7" t="s">
        <v>59</v>
      </c>
      <c r="C1093" s="41">
        <v>27324.5</v>
      </c>
      <c r="D1093" s="6">
        <v>45590</v>
      </c>
      <c r="E1093" s="3" t="str">
        <f ca="1">IF(Tabela2[[#This Row],[Dt Venc:]]&gt;TODAY(),"Em Aberto",IF(Tabela2[[#This Row],[D/venc]]="-","Enviado",IF(Tabela2[[#This Row],[Dt Venc:]]=TODAY(),"Vence Hoje","Vencida")))</f>
        <v>Enviado</v>
      </c>
      <c r="F1093" s="3" t="str">
        <f ca="1">IF(G1093=1,"-",Tabela2[[#This Row],[Dt Venc:]]-TODAY())</f>
        <v>-</v>
      </c>
      <c r="G1093" s="3">
        <v>1</v>
      </c>
      <c r="H1093" s="3" t="str">
        <f>_xlfn.XLOOKUP(A1093,'Notas Faltantes'!A:A,'Notas Faltantes'!E:E,"",0)</f>
        <v/>
      </c>
    </row>
    <row r="1094" spans="1:8" ht="18" hidden="1">
      <c r="A1094" s="3">
        <v>1314</v>
      </c>
      <c r="B1094" s="7" t="s">
        <v>352</v>
      </c>
      <c r="C1094" s="41">
        <v>580</v>
      </c>
      <c r="D1094" s="6">
        <v>45590</v>
      </c>
      <c r="E1094" s="3" t="str">
        <f ca="1">IF(Tabela2[[#This Row],[Dt Venc:]]&gt;TODAY(),"Em Aberto",IF(Tabela2[[#This Row],[D/venc]]="-","Enviado",IF(Tabela2[[#This Row],[Dt Venc:]]=TODAY(),"Vence Hoje","Vencida")))</f>
        <v>Enviado</v>
      </c>
      <c r="F1094" s="3" t="str">
        <f ca="1">IF(G1094=1,"-",Tabela2[[#This Row],[Dt Venc:]]-TODAY())</f>
        <v>-</v>
      </c>
      <c r="G1094" s="3">
        <v>1</v>
      </c>
      <c r="H1094" s="3" t="str">
        <f>_xlfn.XLOOKUP(A1094,'Notas Faltantes'!A:A,'Notas Faltantes'!E:E,"",0)</f>
        <v/>
      </c>
    </row>
    <row r="1095" spans="1:8" ht="18" hidden="1">
      <c r="A1095" s="3" t="s">
        <v>110</v>
      </c>
      <c r="B1095" s="7" t="s">
        <v>353</v>
      </c>
      <c r="C1095" s="42" t="s">
        <v>32</v>
      </c>
      <c r="D1095" s="6">
        <v>45590</v>
      </c>
      <c r="E1095" s="3" t="str">
        <f ca="1">IF(Tabela2[[#This Row],[Dt Venc:]]&gt;TODAY(),"Em Aberto",IF(Tabela2[[#This Row],[D/venc]]="-","Enviado",IF(Tabela2[[#This Row],[Dt Venc:]]=TODAY(),"Vence Hoje","Vencida")))</f>
        <v>Enviado</v>
      </c>
      <c r="F1095" s="3" t="str">
        <f ca="1">IF(G1095=1,"-",Tabela2[[#This Row],[Dt Venc:]]-TODAY())</f>
        <v>-</v>
      </c>
      <c r="G1095" s="3">
        <v>1</v>
      </c>
      <c r="H1095" s="3"/>
    </row>
    <row r="1096" spans="1:8" ht="18" hidden="1">
      <c r="A1096" s="3" t="s">
        <v>110</v>
      </c>
      <c r="B1096" s="7" t="s">
        <v>111</v>
      </c>
      <c r="C1096" s="42" t="s">
        <v>32</v>
      </c>
      <c r="D1096" s="6">
        <v>45590</v>
      </c>
      <c r="E1096" s="3" t="str">
        <f ca="1">IF(Tabela2[[#This Row],[Dt Venc:]]&gt;TODAY(),"Em Aberto",IF(Tabela2[[#This Row],[D/venc]]="-","Enviado",IF(Tabela2[[#This Row],[Dt Venc:]]=TODAY(),"Vence Hoje","Vencida")))</f>
        <v>Enviado</v>
      </c>
      <c r="F1096" s="3" t="str">
        <f ca="1">IF(G1096=1,"-",Tabela2[[#This Row],[Dt Venc:]]-TODAY())</f>
        <v>-</v>
      </c>
      <c r="G1096" s="3">
        <v>1</v>
      </c>
      <c r="H1096" s="3"/>
    </row>
    <row r="1097" spans="1:8" ht="18" hidden="1">
      <c r="A1097" s="3">
        <v>2627</v>
      </c>
      <c r="B1097" s="7" t="s">
        <v>58</v>
      </c>
      <c r="C1097" s="42">
        <v>1410.67</v>
      </c>
      <c r="D1097" s="6">
        <v>45591</v>
      </c>
      <c r="E1097" s="3" t="str">
        <f ca="1">IF(Tabela2[[#This Row],[Dt Venc:]]&gt;TODAY(),"Em Aberto",IF(Tabela2[[#This Row],[D/venc]]="-","Enviado",IF(Tabela2[[#This Row],[Dt Venc:]]=TODAY(),"Vence Hoje","Vencida")))</f>
        <v>Enviado</v>
      </c>
      <c r="F1097" s="3" t="str">
        <f ca="1">IF(G1097=1,"-",Tabela2[[#This Row],[Dt Venc:]]-TODAY())</f>
        <v>-</v>
      </c>
      <c r="G1097" s="3">
        <v>1</v>
      </c>
      <c r="H1097" s="3"/>
    </row>
    <row r="1098" spans="1:8" ht="18" hidden="1">
      <c r="A1098" s="3">
        <v>28569</v>
      </c>
      <c r="B1098" s="7" t="s">
        <v>97</v>
      </c>
      <c r="C1098" s="42">
        <v>2511</v>
      </c>
      <c r="D1098" s="6">
        <v>45591</v>
      </c>
      <c r="E1098" s="3" t="str">
        <f ca="1">IF(Tabela2[[#This Row],[Dt Venc:]]&gt;TODAY(),"Em Aberto",IF(Tabela2[[#This Row],[D/venc]]="-","Enviado",IF(Tabela2[[#This Row],[Dt Venc:]]=TODAY(),"Vence Hoje","Vencida")))</f>
        <v>Enviado</v>
      </c>
      <c r="F1098" s="3" t="str">
        <f ca="1">IF(G1098=1,"-",Tabela2[[#This Row],[Dt Venc:]]-TODAY())</f>
        <v>-</v>
      </c>
      <c r="G1098" s="3">
        <v>1</v>
      </c>
      <c r="H1098" s="3"/>
    </row>
    <row r="1099" spans="1:8" ht="18" hidden="1">
      <c r="A1099" s="3">
        <v>2539</v>
      </c>
      <c r="B1099" s="7" t="s">
        <v>354</v>
      </c>
      <c r="C1099" s="42">
        <v>425</v>
      </c>
      <c r="D1099" s="6">
        <v>45591</v>
      </c>
      <c r="E1099" s="3" t="str">
        <f ca="1">IF(Tabela2[[#This Row],[Dt Venc:]]&gt;TODAY(),"Em Aberto",IF(Tabela2[[#This Row],[D/venc]]="-","Enviado",IF(Tabela2[[#This Row],[Dt Venc:]]=TODAY(),"Vence Hoje","Vencida")))</f>
        <v>Enviado</v>
      </c>
      <c r="F1099" s="3" t="str">
        <f ca="1">IF(G1099=1,"-",Tabela2[[#This Row],[Dt Venc:]]-TODAY())</f>
        <v>-</v>
      </c>
      <c r="G1099" s="3">
        <v>1</v>
      </c>
      <c r="H1099" s="3"/>
    </row>
    <row r="1100" spans="1:8" ht="18" hidden="1">
      <c r="A1100" s="3">
        <v>10286</v>
      </c>
      <c r="B1100" s="7" t="s">
        <v>72</v>
      </c>
      <c r="C1100" s="42">
        <v>460</v>
      </c>
      <c r="D1100" s="6">
        <v>45591</v>
      </c>
      <c r="E1100" s="3" t="str">
        <f ca="1">IF(Tabela2[[#This Row],[Dt Venc:]]&gt;TODAY(),"Em Aberto",IF(Tabela2[[#This Row],[D/venc]]="-","Enviado",IF(Tabela2[[#This Row],[Dt Venc:]]=TODAY(),"Vence Hoje","Vencida")))</f>
        <v>Enviado</v>
      </c>
      <c r="F1100" s="3" t="str">
        <f ca="1">IF(G1100=1,"-",Tabela2[[#This Row],[Dt Venc:]]-TODAY())</f>
        <v>-</v>
      </c>
      <c r="G1100" s="3">
        <v>1</v>
      </c>
      <c r="H1100" s="3"/>
    </row>
    <row r="1101" spans="1:8" ht="18" hidden="1">
      <c r="A1101" s="3">
        <v>1088</v>
      </c>
      <c r="B1101" s="7" t="s">
        <v>355</v>
      </c>
      <c r="C1101" s="42">
        <v>560</v>
      </c>
      <c r="D1101" s="6">
        <v>45591</v>
      </c>
      <c r="E1101" s="3" t="str">
        <f ca="1">IF(Tabela2[[#This Row],[Dt Venc:]]&gt;TODAY(),"Em Aberto",IF(Tabela2[[#This Row],[D/venc]]="-","Enviado",IF(Tabela2[[#This Row],[Dt Venc:]]=TODAY(),"Vence Hoje","Vencida")))</f>
        <v>Enviado</v>
      </c>
      <c r="F1101" s="3" t="str">
        <f ca="1">IF(G1101=1,"-",Tabela2[[#This Row],[Dt Venc:]]-TODAY())</f>
        <v>-</v>
      </c>
      <c r="G1101" s="3">
        <v>1</v>
      </c>
      <c r="H1101" s="3"/>
    </row>
    <row r="1102" spans="1:8" ht="18" hidden="1">
      <c r="A1102" s="3">
        <v>324353</v>
      </c>
      <c r="B1102" s="7" t="s">
        <v>77</v>
      </c>
      <c r="C1102" s="42">
        <v>408.67</v>
      </c>
      <c r="D1102" s="6">
        <v>45591</v>
      </c>
      <c r="E1102" s="3" t="str">
        <f ca="1">IF(Tabela2[[#This Row],[Dt Venc:]]&gt;TODAY(),"Em Aberto",IF(Tabela2[[#This Row],[D/venc]]="-","Enviado",IF(Tabela2[[#This Row],[Dt Venc:]]=TODAY(),"Vence Hoje","Vencida")))</f>
        <v>Enviado</v>
      </c>
      <c r="F1102" s="3" t="str">
        <f ca="1">IF(G1102=1,"-",Tabela2[[#This Row],[Dt Venc:]]-TODAY())</f>
        <v>-</v>
      </c>
      <c r="G1102" s="3">
        <v>1</v>
      </c>
      <c r="H1102" s="3"/>
    </row>
    <row r="1103" spans="1:8" ht="18" hidden="1">
      <c r="A1103" s="3">
        <v>14050</v>
      </c>
      <c r="B1103" s="7" t="s">
        <v>51</v>
      </c>
      <c r="C1103" s="42">
        <v>733.33</v>
      </c>
      <c r="D1103" s="6">
        <v>45591</v>
      </c>
      <c r="E1103" s="3" t="str">
        <f ca="1">IF(Tabela2[[#This Row],[Dt Venc:]]&gt;TODAY(),"Em Aberto",IF(Tabela2[[#This Row],[D/venc]]="-","Enviado",IF(Tabela2[[#This Row],[Dt Venc:]]=TODAY(),"Vence Hoje","Vencida")))</f>
        <v>Enviado</v>
      </c>
      <c r="F1103" s="3" t="str">
        <f ca="1">IF(G1103=1,"-",Tabela2[[#This Row],[Dt Venc:]]-TODAY())</f>
        <v>-</v>
      </c>
      <c r="G1103" s="3">
        <v>1</v>
      </c>
      <c r="H1103" s="3"/>
    </row>
    <row r="1104" spans="1:8" ht="18" hidden="1">
      <c r="A1104" s="3">
        <v>2696</v>
      </c>
      <c r="B1104" s="7" t="s">
        <v>58</v>
      </c>
      <c r="C1104" s="42">
        <v>1592</v>
      </c>
      <c r="D1104" s="6">
        <v>45591</v>
      </c>
      <c r="E1104" s="3" t="str">
        <f ca="1">IF(Tabela2[[#This Row],[Dt Venc:]]&gt;TODAY(),"Em Aberto",IF(Tabela2[[#This Row],[D/venc]]="-","Enviado",IF(Tabela2[[#This Row],[Dt Venc:]]=TODAY(),"Vence Hoje","Vencida")))</f>
        <v>Enviado</v>
      </c>
      <c r="F1104" s="3" t="str">
        <f ca="1">IF(G1104=1,"-",Tabela2[[#This Row],[Dt Venc:]]-TODAY())</f>
        <v>-</v>
      </c>
      <c r="G1104" s="3">
        <v>1</v>
      </c>
      <c r="H1104" s="3"/>
    </row>
    <row r="1105" spans="1:8" ht="18" hidden="1">
      <c r="A1105" s="3">
        <v>56583</v>
      </c>
      <c r="B1105" s="7" t="s">
        <v>327</v>
      </c>
      <c r="C1105" s="42">
        <v>497</v>
      </c>
      <c r="D1105" s="6">
        <v>45591</v>
      </c>
      <c r="E1105" s="3" t="str">
        <f ca="1">IF(Tabela2[[#This Row],[Dt Venc:]]&gt;TODAY(),"Em Aberto",IF(Tabela2[[#This Row],[D/venc]]="-","Enviado",IF(Tabela2[[#This Row],[Dt Venc:]]=TODAY(),"Vence Hoje","Vencida")))</f>
        <v>Enviado</v>
      </c>
      <c r="F1105" s="3" t="str">
        <f ca="1">IF(G1105=1,"-",Tabela2[[#This Row],[Dt Venc:]]-TODAY())</f>
        <v>-</v>
      </c>
      <c r="G1105" s="3">
        <v>1</v>
      </c>
      <c r="H1105" s="3"/>
    </row>
    <row r="1106" spans="1:8" ht="18" hidden="1">
      <c r="A1106" s="3">
        <v>425394</v>
      </c>
      <c r="B1106" s="7" t="s">
        <v>89</v>
      </c>
      <c r="C1106" s="42">
        <v>1260</v>
      </c>
      <c r="D1106" s="6">
        <v>45591</v>
      </c>
      <c r="E1106" s="3" t="str">
        <f ca="1">IF(Tabela2[[#This Row],[Dt Venc:]]&gt;TODAY(),"Em Aberto",IF(Tabela2[[#This Row],[D/venc]]="-","Enviado",IF(Tabela2[[#This Row],[Dt Venc:]]=TODAY(),"Vence Hoje","Vencida")))</f>
        <v>Enviado</v>
      </c>
      <c r="F1106" s="3" t="str">
        <f ca="1">IF(G1106=1,"-",Tabela2[[#This Row],[Dt Venc:]]-TODAY())</f>
        <v>-</v>
      </c>
      <c r="G1106" s="3">
        <v>1</v>
      </c>
      <c r="H1106" s="3"/>
    </row>
    <row r="1107" spans="1:8" ht="18" hidden="1">
      <c r="A1107" s="3">
        <v>5861</v>
      </c>
      <c r="B1107" s="7" t="s">
        <v>140</v>
      </c>
      <c r="C1107" s="42">
        <v>1039.33</v>
      </c>
      <c r="D1107" s="6">
        <v>45591</v>
      </c>
      <c r="E1107" s="3" t="str">
        <f ca="1">IF(Tabela2[[#This Row],[Dt Venc:]]&gt;TODAY(),"Em Aberto",IF(Tabela2[[#This Row],[D/venc]]="-","Enviado",IF(Tabela2[[#This Row],[Dt Venc:]]=TODAY(),"Vence Hoje","Vencida")))</f>
        <v>Enviado</v>
      </c>
      <c r="F1107" s="3" t="str">
        <f ca="1">IF(G1107=1,"-",Tabela2[[#This Row],[Dt Venc:]]-TODAY())</f>
        <v>-</v>
      </c>
      <c r="G1107" s="3">
        <v>1</v>
      </c>
      <c r="H1107" s="3"/>
    </row>
    <row r="1108" spans="1:8" ht="18" hidden="1">
      <c r="A1108" s="3">
        <v>10952</v>
      </c>
      <c r="B1108" s="7" t="s">
        <v>33</v>
      </c>
      <c r="C1108" s="42">
        <v>1330</v>
      </c>
      <c r="D1108" s="6">
        <v>45591</v>
      </c>
      <c r="E1108" s="3" t="str">
        <f ca="1">IF(Tabela2[[#This Row],[Dt Venc:]]&gt;TODAY(),"Em Aberto",IF(Tabela2[[#This Row],[D/venc]]="-","Enviado",IF(Tabela2[[#This Row],[Dt Venc:]]=TODAY(),"Vence Hoje","Vencida")))</f>
        <v>Enviado</v>
      </c>
      <c r="F1108" s="3" t="str">
        <f ca="1">IF(G1108=1,"-",Tabela2[[#This Row],[Dt Venc:]]-TODAY())</f>
        <v>-</v>
      </c>
      <c r="G1108" s="3">
        <v>1</v>
      </c>
      <c r="H1108" s="3"/>
    </row>
    <row r="1109" spans="1:8" ht="18" hidden="1">
      <c r="A1109" s="3">
        <v>10952</v>
      </c>
      <c r="B1109" s="7" t="s">
        <v>33</v>
      </c>
      <c r="C1109" s="42">
        <v>1330</v>
      </c>
      <c r="D1109" s="6">
        <v>45591</v>
      </c>
      <c r="E1109" s="3" t="str">
        <f ca="1">IF(Tabela2[[#This Row],[Dt Venc:]]&gt;TODAY(),"Em Aberto",IF(Tabela2[[#This Row],[D/venc]]="-","Enviado",IF(Tabela2[[#This Row],[Dt Venc:]]=TODAY(),"Vence Hoje","Vencida")))</f>
        <v>Enviado</v>
      </c>
      <c r="F1109" s="3" t="str">
        <f ca="1">IF(G1109=1,"-",Tabela2[[#This Row],[Dt Venc:]]-TODAY())</f>
        <v>-</v>
      </c>
      <c r="G1109" s="3">
        <v>1</v>
      </c>
      <c r="H1109" s="3"/>
    </row>
    <row r="1110" spans="1:8" ht="18" hidden="1">
      <c r="A1110" s="3">
        <v>57506</v>
      </c>
      <c r="B1110" s="7" t="s">
        <v>356</v>
      </c>
      <c r="C1110" s="42">
        <v>1713</v>
      </c>
      <c r="D1110" s="6">
        <v>45591</v>
      </c>
      <c r="E1110" s="3" t="str">
        <f ca="1">IF(Tabela2[[#This Row],[Dt Venc:]]&gt;TODAY(),"Em Aberto",IF(Tabela2[[#This Row],[D/venc]]="-","Enviado",IF(Tabela2[[#This Row],[Dt Venc:]]=TODAY(),"Vence Hoje","Vencida")))</f>
        <v>Enviado</v>
      </c>
      <c r="F1110" s="3" t="str">
        <f ca="1">IF(G1110=1,"-",Tabela2[[#This Row],[Dt Venc:]]-TODAY())</f>
        <v>-</v>
      </c>
      <c r="G1110" s="3">
        <v>1</v>
      </c>
      <c r="H1110" s="3"/>
    </row>
    <row r="1111" spans="1:8" ht="18" hidden="1">
      <c r="A1111" s="3">
        <v>3295284</v>
      </c>
      <c r="B1111" s="7" t="s">
        <v>71</v>
      </c>
      <c r="C1111" s="42">
        <v>81396</v>
      </c>
      <c r="D1111" s="6">
        <v>45591</v>
      </c>
      <c r="E1111" s="3" t="str">
        <f ca="1">IF(Tabela2[[#This Row],[Dt Venc:]]&gt;TODAY(),"Em Aberto",IF(Tabela2[[#This Row],[D/venc]]="-","Enviado",IF(Tabela2[[#This Row],[Dt Venc:]]=TODAY(),"Vence Hoje","Vencida")))</f>
        <v>Enviado</v>
      </c>
      <c r="F1111" s="3" t="str">
        <f ca="1">IF(G1111=1,"-",Tabela2[[#This Row],[Dt Venc:]]-TODAY())</f>
        <v>-</v>
      </c>
      <c r="G1111" s="3">
        <v>1</v>
      </c>
      <c r="H1111" s="3"/>
    </row>
    <row r="1112" spans="1:8" ht="18" hidden="1">
      <c r="A1112" s="3">
        <v>21</v>
      </c>
      <c r="B1112" s="7" t="s">
        <v>357</v>
      </c>
      <c r="C1112" s="42">
        <v>2200</v>
      </c>
      <c r="D1112" s="6">
        <v>45591</v>
      </c>
      <c r="E1112" s="3" t="str">
        <f ca="1">IF(Tabela2[[#This Row],[Dt Venc:]]&gt;TODAY(),"Em Aberto",IF(Tabela2[[#This Row],[D/venc]]="-","Enviado",IF(Tabela2[[#This Row],[Dt Venc:]]=TODAY(),"Vence Hoje","Vencida")))</f>
        <v>Enviado</v>
      </c>
      <c r="F1112" s="3" t="str">
        <f ca="1">IF(G1112=1,"-",Tabela2[[#This Row],[Dt Venc:]]-TODAY())</f>
        <v>-</v>
      </c>
      <c r="G1112" s="3">
        <v>1</v>
      </c>
      <c r="H1112" s="3"/>
    </row>
    <row r="1113" spans="1:8" ht="18" hidden="1">
      <c r="A1113" s="3">
        <v>255332</v>
      </c>
      <c r="B1113" s="7" t="s">
        <v>358</v>
      </c>
      <c r="C1113" s="42">
        <v>626.4</v>
      </c>
      <c r="D1113" s="6">
        <v>45592</v>
      </c>
      <c r="E1113" s="3" t="str">
        <f ca="1">IF(Tabela2[[#This Row],[Dt Venc:]]&gt;TODAY(),"Em Aberto",IF(Tabela2[[#This Row],[D/venc]]="-","Enviado",IF(Tabela2[[#This Row],[Dt Venc:]]=TODAY(),"Vence Hoje","Vencida")))</f>
        <v>Enviado</v>
      </c>
      <c r="F1113" s="3" t="str">
        <f ca="1">IF(G1113=1,"-",Tabela2[[#This Row],[Dt Venc:]]-TODAY())</f>
        <v>-</v>
      </c>
      <c r="G1113" s="3">
        <v>1</v>
      </c>
      <c r="H1113" s="3"/>
    </row>
    <row r="1114" spans="1:8" ht="18" hidden="1">
      <c r="A1114" s="3">
        <v>786</v>
      </c>
      <c r="B1114" s="7" t="s">
        <v>113</v>
      </c>
      <c r="C1114" s="42">
        <v>1310</v>
      </c>
      <c r="D1114" s="6">
        <v>45592</v>
      </c>
      <c r="E1114" s="3" t="str">
        <f ca="1">IF(Tabela2[[#This Row],[Dt Venc:]]&gt;TODAY(),"Em Aberto",IF(Tabela2[[#This Row],[D/venc]]="-","Enviado",IF(Tabela2[[#This Row],[Dt Venc:]]=TODAY(),"Vence Hoje","Vencida")))</f>
        <v>Enviado</v>
      </c>
      <c r="F1114" s="3" t="str">
        <f ca="1">IF(G1114=1,"-",Tabela2[[#This Row],[Dt Venc:]]-TODAY())</f>
        <v>-</v>
      </c>
      <c r="G1114" s="3">
        <v>1</v>
      </c>
      <c r="H1114" s="3"/>
    </row>
    <row r="1115" spans="1:8" ht="18" hidden="1">
      <c r="A1115" s="3">
        <v>151757</v>
      </c>
      <c r="B1115" s="7" t="s">
        <v>77</v>
      </c>
      <c r="C1115" s="42">
        <v>1233.33</v>
      </c>
      <c r="D1115" s="6">
        <v>45592</v>
      </c>
      <c r="E1115" s="3" t="str">
        <f ca="1">IF(Tabela2[[#This Row],[Dt Venc:]]&gt;TODAY(),"Em Aberto",IF(Tabela2[[#This Row],[D/venc]]="-","Enviado",IF(Tabela2[[#This Row],[Dt Venc:]]=TODAY(),"Vence Hoje","Vencida")))</f>
        <v>Enviado</v>
      </c>
      <c r="F1115" s="3" t="str">
        <f ca="1">IF(G1115=1,"-",Tabela2[[#This Row],[Dt Venc:]]-TODAY())</f>
        <v>-</v>
      </c>
      <c r="G1115" s="3">
        <v>1</v>
      </c>
      <c r="H1115" s="3"/>
    </row>
    <row r="1116" spans="1:8" ht="18" hidden="1">
      <c r="A1116" s="3">
        <v>322824</v>
      </c>
      <c r="B1116" s="7" t="s">
        <v>77</v>
      </c>
      <c r="C1116" s="42">
        <v>773.33</v>
      </c>
      <c r="D1116" s="6">
        <v>45592</v>
      </c>
      <c r="E1116" s="3" t="str">
        <f ca="1">IF(Tabela2[[#This Row],[Dt Venc:]]&gt;TODAY(),"Em Aberto",IF(Tabela2[[#This Row],[D/venc]]="-","Enviado",IF(Tabela2[[#This Row],[Dt Venc:]]=TODAY(),"Vence Hoje","Vencida")))</f>
        <v>Enviado</v>
      </c>
      <c r="F1116" s="3" t="str">
        <f ca="1">IF(G1116=1,"-",Tabela2[[#This Row],[Dt Venc:]]-TODAY())</f>
        <v>-</v>
      </c>
      <c r="G1116" s="3">
        <v>1</v>
      </c>
      <c r="H1116" s="3"/>
    </row>
    <row r="1117" spans="1:8" ht="18" hidden="1">
      <c r="A1117" s="3">
        <v>5665</v>
      </c>
      <c r="B1117" s="7" t="s">
        <v>47</v>
      </c>
      <c r="C1117" s="42">
        <v>2440</v>
      </c>
      <c r="D1117" s="6">
        <v>45592</v>
      </c>
      <c r="E1117" s="3" t="str">
        <f ca="1">IF(Tabela2[[#This Row],[Dt Venc:]]&gt;TODAY(),"Em Aberto",IF(Tabela2[[#This Row],[D/venc]]="-","Enviado",IF(Tabela2[[#This Row],[Dt Venc:]]=TODAY(),"Vence Hoje","Vencida")))</f>
        <v>Enviado</v>
      </c>
      <c r="F1117" s="3" t="str">
        <f ca="1">IF(G1117=1,"-",Tabela2[[#This Row],[Dt Venc:]]-TODAY())</f>
        <v>-</v>
      </c>
      <c r="G1117" s="3">
        <v>1</v>
      </c>
      <c r="H1117" s="3"/>
    </row>
    <row r="1118" spans="1:8" ht="18" hidden="1">
      <c r="A1118" s="3">
        <v>5006</v>
      </c>
      <c r="B1118" s="7" t="s">
        <v>359</v>
      </c>
      <c r="C1118" s="42">
        <v>1125</v>
      </c>
      <c r="D1118" s="6">
        <v>45592</v>
      </c>
      <c r="E1118" s="3" t="str">
        <f ca="1">IF(Tabela2[[#This Row],[Dt Venc:]]&gt;TODAY(),"Em Aberto",IF(Tabela2[[#This Row],[D/venc]]="-","Enviado",IF(Tabela2[[#This Row],[Dt Venc:]]=TODAY(),"Vence Hoje","Vencida")))</f>
        <v>Enviado</v>
      </c>
      <c r="F1118" s="3" t="str">
        <f ca="1">IF(G1118=1,"-",Tabela2[[#This Row],[Dt Venc:]]-TODAY())</f>
        <v>-</v>
      </c>
      <c r="G1118" s="3">
        <v>1</v>
      </c>
      <c r="H1118" s="3"/>
    </row>
    <row r="1119" spans="1:8" ht="18" hidden="1">
      <c r="A1119" s="3">
        <v>1095</v>
      </c>
      <c r="B1119" s="7" t="s">
        <v>360</v>
      </c>
      <c r="C1119" s="42">
        <v>370.5</v>
      </c>
      <c r="D1119" s="6">
        <v>45592</v>
      </c>
      <c r="E1119" s="3" t="str">
        <f ca="1">IF(Tabela2[[#This Row],[Dt Venc:]]&gt;TODAY(),"Em Aberto",IF(Tabela2[[#This Row],[D/venc]]="-","Enviado",IF(Tabela2[[#This Row],[Dt Venc:]]=TODAY(),"Vence Hoje","Vencida")))</f>
        <v>Enviado</v>
      </c>
      <c r="F1119" s="3" t="str">
        <f ca="1">IF(G1119=1,"-",Tabela2[[#This Row],[Dt Venc:]]-TODAY())</f>
        <v>-</v>
      </c>
      <c r="G1119" s="3">
        <v>1</v>
      </c>
      <c r="H1119" s="3"/>
    </row>
    <row r="1120" spans="1:8" ht="18" hidden="1">
      <c r="A1120" s="3">
        <v>86983</v>
      </c>
      <c r="B1120" s="7" t="s">
        <v>207</v>
      </c>
      <c r="C1120" s="42">
        <v>550</v>
      </c>
      <c r="D1120" s="6">
        <v>45592</v>
      </c>
      <c r="E1120" s="3" t="str">
        <f ca="1">IF(Tabela2[[#This Row],[Dt Venc:]]&gt;TODAY(),"Em Aberto",IF(Tabela2[[#This Row],[D/venc]]="-","Enviado",IF(Tabela2[[#This Row],[Dt Venc:]]=TODAY(),"Vence Hoje","Vencida")))</f>
        <v>Enviado</v>
      </c>
      <c r="F1120" s="3" t="str">
        <f ca="1">IF(G1120=1,"-",Tabela2[[#This Row],[Dt Venc:]]-TODAY())</f>
        <v>-</v>
      </c>
      <c r="G1120" s="3">
        <v>1</v>
      </c>
      <c r="H1120" s="3"/>
    </row>
    <row r="1121" spans="1:8" ht="18" hidden="1">
      <c r="A1121" s="3">
        <v>3324</v>
      </c>
      <c r="B1121" s="7" t="s">
        <v>361</v>
      </c>
      <c r="C1121" s="42">
        <v>604.88</v>
      </c>
      <c r="D1121" s="6">
        <v>45592</v>
      </c>
      <c r="E1121" s="3" t="str">
        <f ca="1">IF(Tabela2[[#This Row],[Dt Venc:]]&gt;TODAY(),"Em Aberto",IF(Tabela2[[#This Row],[D/venc]]="-","Enviado",IF(Tabela2[[#This Row],[Dt Venc:]]=TODAY(),"Vence Hoje","Vencida")))</f>
        <v>Enviado</v>
      </c>
      <c r="F1121" s="3" t="str">
        <f ca="1">IF(G1121=1,"-",Tabela2[[#This Row],[Dt Venc:]]-TODAY())</f>
        <v>-</v>
      </c>
      <c r="G1121" s="3">
        <v>1</v>
      </c>
      <c r="H1121" s="3"/>
    </row>
    <row r="1122" spans="1:8" ht="18" hidden="1">
      <c r="A1122" s="3">
        <v>5793</v>
      </c>
      <c r="B1122" s="7" t="s">
        <v>47</v>
      </c>
      <c r="C1122" s="42">
        <v>1298.67</v>
      </c>
      <c r="D1122" s="6">
        <v>45592</v>
      </c>
      <c r="E1122" s="3" t="str">
        <f ca="1">IF(Tabela2[[#This Row],[Dt Venc:]]&gt;TODAY(),"Em Aberto",IF(Tabela2[[#This Row],[D/venc]]="-","Enviado",IF(Tabela2[[#This Row],[Dt Venc:]]=TODAY(),"Vence Hoje","Vencida")))</f>
        <v>Enviado</v>
      </c>
      <c r="F1122" s="3" t="str">
        <f ca="1">IF(G1122=1,"-",Tabela2[[#This Row],[Dt Venc:]]-TODAY())</f>
        <v>-</v>
      </c>
      <c r="G1122" s="3">
        <v>1</v>
      </c>
      <c r="H1122" s="3"/>
    </row>
    <row r="1123" spans="1:8" ht="18" hidden="1">
      <c r="A1123" s="3">
        <v>10820</v>
      </c>
      <c r="B1123" s="7" t="s">
        <v>33</v>
      </c>
      <c r="C1123" s="42">
        <v>1651.66</v>
      </c>
      <c r="D1123" s="6">
        <v>45592</v>
      </c>
      <c r="E1123" s="3" t="str">
        <f ca="1">IF(Tabela2[[#This Row],[Dt Venc:]]&gt;TODAY(),"Em Aberto",IF(Tabela2[[#This Row],[D/venc]]="-","Enviado",IF(Tabela2[[#This Row],[Dt Venc:]]=TODAY(),"Vence Hoje","Vencida")))</f>
        <v>Enviado</v>
      </c>
      <c r="F1123" s="3" t="str">
        <f ca="1">IF(G1123=1,"-",Tabela2[[#This Row],[Dt Venc:]]-TODAY())</f>
        <v>-</v>
      </c>
      <c r="G1123" s="3">
        <v>1</v>
      </c>
      <c r="H1123" s="3"/>
    </row>
    <row r="1124" spans="1:8" ht="18" hidden="1">
      <c r="A1124" s="3">
        <v>5</v>
      </c>
      <c r="B1124" s="7" t="s">
        <v>103</v>
      </c>
      <c r="C1124" s="42">
        <v>550</v>
      </c>
      <c r="D1124" s="6">
        <v>45592</v>
      </c>
      <c r="E1124" s="3" t="str">
        <f ca="1">IF(Tabela2[[#This Row],[Dt Venc:]]&gt;TODAY(),"Em Aberto",IF(Tabela2[[#This Row],[D/venc]]="-","Enviado",IF(Tabela2[[#This Row],[Dt Venc:]]=TODAY(),"Vence Hoje","Vencida")))</f>
        <v>Enviado</v>
      </c>
      <c r="F1124" s="3" t="str">
        <f ca="1">IF(G1124=1,"-",Tabela2[[#This Row],[Dt Venc:]]-TODAY())</f>
        <v>-</v>
      </c>
      <c r="G1124" s="3">
        <v>1</v>
      </c>
      <c r="H1124" s="3"/>
    </row>
    <row r="1125" spans="1:8" ht="18" hidden="1">
      <c r="A1125" s="3">
        <v>152457</v>
      </c>
      <c r="B1125" s="7" t="s">
        <v>77</v>
      </c>
      <c r="C1125" s="42">
        <v>1233.33</v>
      </c>
      <c r="D1125" s="6">
        <v>45592</v>
      </c>
      <c r="E1125" s="3" t="str">
        <f ca="1">IF(Tabela2[[#This Row],[Dt Venc:]]&gt;TODAY(),"Em Aberto",IF(Tabela2[[#This Row],[D/venc]]="-","Enviado",IF(Tabela2[[#This Row],[Dt Venc:]]=TODAY(),"Vence Hoje","Vencida")))</f>
        <v>Enviado</v>
      </c>
      <c r="F1125" s="3" t="str">
        <f ca="1">IF(G1125=1,"-",Tabela2[[#This Row],[Dt Venc:]]-TODAY())</f>
        <v>-</v>
      </c>
      <c r="G1125" s="3">
        <v>1</v>
      </c>
      <c r="H1125" s="3"/>
    </row>
    <row r="1126" spans="1:8" ht="18" hidden="1">
      <c r="A1126" s="3">
        <v>22580</v>
      </c>
      <c r="B1126" s="7" t="s">
        <v>38</v>
      </c>
      <c r="C1126" s="42">
        <v>2596.67</v>
      </c>
      <c r="D1126" s="6">
        <v>45592</v>
      </c>
      <c r="E1126" s="3" t="str">
        <f ca="1">IF(Tabela2[[#This Row],[Dt Venc:]]&gt;TODAY(),"Em Aberto",IF(Tabela2[[#This Row],[D/venc]]="-","Enviado",IF(Tabela2[[#This Row],[Dt Venc:]]=TODAY(),"Vence Hoje","Vencida")))</f>
        <v>Enviado</v>
      </c>
      <c r="F1126" s="3" t="str">
        <f ca="1">IF(G1126=1,"-",Tabela2[[#This Row],[Dt Venc:]]-TODAY())</f>
        <v>-</v>
      </c>
      <c r="G1126" s="3">
        <v>1</v>
      </c>
      <c r="H1126" s="3"/>
    </row>
    <row r="1127" spans="1:8" ht="18" hidden="1">
      <c r="A1127" s="3">
        <v>5790</v>
      </c>
      <c r="B1127" s="7" t="s">
        <v>47</v>
      </c>
      <c r="C1127" s="42">
        <v>815.69</v>
      </c>
      <c r="D1127" s="6">
        <v>45592</v>
      </c>
      <c r="E1127" s="3" t="str">
        <f ca="1">IF(Tabela2[[#This Row],[Dt Venc:]]&gt;TODAY(),"Em Aberto",IF(Tabela2[[#This Row],[D/venc]]="-","Enviado",IF(Tabela2[[#This Row],[Dt Venc:]]=TODAY(),"Vence Hoje","Vencida")))</f>
        <v>Enviado</v>
      </c>
      <c r="F1127" s="3" t="str">
        <f ca="1">IF(G1127=1,"-",Tabela2[[#This Row],[Dt Venc:]]-TODAY())</f>
        <v>-</v>
      </c>
      <c r="G1127" s="3">
        <v>1</v>
      </c>
      <c r="H1127" s="3"/>
    </row>
    <row r="1128" spans="1:8" ht="18" hidden="1">
      <c r="A1128" s="3">
        <v>626372</v>
      </c>
      <c r="B1128" s="7" t="s">
        <v>77</v>
      </c>
      <c r="C1128" s="42">
        <v>810</v>
      </c>
      <c r="D1128" s="6">
        <v>45592</v>
      </c>
      <c r="E1128" s="3" t="str">
        <f ca="1">IF(Tabela2[[#This Row],[Dt Venc:]]&gt;TODAY(),"Em Aberto",IF(Tabela2[[#This Row],[D/venc]]="-","Enviado",IF(Tabela2[[#This Row],[Dt Venc:]]=TODAY(),"Vence Hoje","Vencida")))</f>
        <v>Enviado</v>
      </c>
      <c r="F1128" s="3" t="str">
        <f ca="1">IF(G1128=1,"-",Tabela2[[#This Row],[Dt Venc:]]-TODAY())</f>
        <v>-</v>
      </c>
      <c r="G1128" s="3">
        <v>1</v>
      </c>
      <c r="H1128" s="3"/>
    </row>
    <row r="1129" spans="1:8" ht="18" hidden="1">
      <c r="A1129" s="3">
        <v>94</v>
      </c>
      <c r="B1129" s="7" t="s">
        <v>339</v>
      </c>
      <c r="C1129" s="42">
        <v>33000</v>
      </c>
      <c r="D1129" s="6">
        <v>45592</v>
      </c>
      <c r="E1129" s="3" t="str">
        <f ca="1">IF(Tabela2[[#This Row],[Dt Venc:]]&gt;TODAY(),"Em Aberto",IF(Tabela2[[#This Row],[D/venc]]="-","Enviado",IF(Tabela2[[#This Row],[Dt Venc:]]=TODAY(),"Vence Hoje","Vencida")))</f>
        <v>Enviado</v>
      </c>
      <c r="F1129" s="3" t="str">
        <f ca="1">IF(G1129=1,"-",Tabela2[[#This Row],[Dt Venc:]]-TODAY())</f>
        <v>-</v>
      </c>
      <c r="G1129" s="3">
        <v>1</v>
      </c>
      <c r="H1129" s="3"/>
    </row>
    <row r="1130" spans="1:8" ht="18" hidden="1">
      <c r="A1130" s="3">
        <v>23081</v>
      </c>
      <c r="B1130" s="7" t="s">
        <v>38</v>
      </c>
      <c r="C1130" s="42">
        <v>1344</v>
      </c>
      <c r="D1130" s="6">
        <v>45592</v>
      </c>
      <c r="E1130" s="3" t="str">
        <f ca="1">IF(Tabela2[[#This Row],[Dt Venc:]]&gt;TODAY(),"Em Aberto",IF(Tabela2[[#This Row],[D/venc]]="-","Enviado",IF(Tabela2[[#This Row],[Dt Venc:]]=TODAY(),"Vence Hoje","Vencida")))</f>
        <v>Enviado</v>
      </c>
      <c r="F1130" s="3" t="str">
        <f ca="1">IF(G1130=1,"-",Tabela2[[#This Row],[Dt Venc:]]-TODAY())</f>
        <v>-</v>
      </c>
      <c r="G1130" s="3">
        <v>1</v>
      </c>
      <c r="H1130" s="3"/>
    </row>
    <row r="1131" spans="1:8" ht="18" hidden="1">
      <c r="A1131" s="3">
        <v>23082</v>
      </c>
      <c r="B1131" s="7" t="s">
        <v>38</v>
      </c>
      <c r="C1131" s="42">
        <v>1028.53</v>
      </c>
      <c r="D1131" s="6">
        <v>45592</v>
      </c>
      <c r="E1131" s="3" t="str">
        <f ca="1">IF(Tabela2[[#This Row],[Dt Venc:]]&gt;TODAY(),"Em Aberto",IF(Tabela2[[#This Row],[D/venc]]="-","Enviado",IF(Tabela2[[#This Row],[Dt Venc:]]=TODAY(),"Vence Hoje","Vencida")))</f>
        <v>Enviado</v>
      </c>
      <c r="F1131" s="3" t="str">
        <f ca="1">IF(G1131=1,"-",Tabela2[[#This Row],[Dt Venc:]]-TODAY())</f>
        <v>-</v>
      </c>
      <c r="G1131" s="3">
        <v>1</v>
      </c>
      <c r="H1131" s="3"/>
    </row>
    <row r="1132" spans="1:8" ht="18" hidden="1">
      <c r="A1132" s="3">
        <v>326279</v>
      </c>
      <c r="B1132" s="7" t="s">
        <v>240</v>
      </c>
      <c r="C1132" s="42">
        <v>625</v>
      </c>
      <c r="D1132" s="6">
        <v>45592</v>
      </c>
      <c r="E1132" s="3" t="str">
        <f ca="1">IF(Tabela2[[#This Row],[Dt Venc:]]&gt;TODAY(),"Em Aberto",IF(Tabela2[[#This Row],[D/venc]]="-","Enviado",IF(Tabela2[[#This Row],[Dt Venc:]]=TODAY(),"Vence Hoje","Vencida")))</f>
        <v>Enviado</v>
      </c>
      <c r="F1132" s="3" t="str">
        <f ca="1">IF(G1132=1,"-",Tabela2[[#This Row],[Dt Venc:]]-TODAY())</f>
        <v>-</v>
      </c>
      <c r="G1132" s="3">
        <v>1</v>
      </c>
      <c r="H1132" s="3"/>
    </row>
    <row r="1133" spans="1:8" ht="18" hidden="1">
      <c r="A1133" s="3">
        <v>23632</v>
      </c>
      <c r="B1133" s="7" t="s">
        <v>221</v>
      </c>
      <c r="C1133" s="42">
        <v>244</v>
      </c>
      <c r="D1133" s="6">
        <v>45592</v>
      </c>
      <c r="E1133" s="3" t="str">
        <f ca="1">IF(Tabela2[[#This Row],[Dt Venc:]]&gt;TODAY(),"Em Aberto",IF(Tabela2[[#This Row],[D/venc]]="-","Enviado",IF(Tabela2[[#This Row],[Dt Venc:]]=TODAY(),"Vence Hoje","Vencida")))</f>
        <v>Enviado</v>
      </c>
      <c r="F1133" s="3" t="str">
        <f ca="1">IF(G1133=1,"-",Tabela2[[#This Row],[Dt Venc:]]-TODAY())</f>
        <v>-</v>
      </c>
      <c r="G1133" s="3">
        <v>1</v>
      </c>
      <c r="H1133" s="3"/>
    </row>
    <row r="1134" spans="1:8" ht="18" hidden="1">
      <c r="A1134" s="3">
        <v>33980</v>
      </c>
      <c r="B1134" s="7" t="s">
        <v>362</v>
      </c>
      <c r="C1134" s="42">
        <v>600</v>
      </c>
      <c r="D1134" s="6">
        <v>45592</v>
      </c>
      <c r="E1134" s="3" t="str">
        <f ca="1">IF(Tabela2[[#This Row],[Dt Venc:]]&gt;TODAY(),"Em Aberto",IF(Tabela2[[#This Row],[D/venc]]="-","Enviado",IF(Tabela2[[#This Row],[Dt Venc:]]=TODAY(),"Vence Hoje","Vencida")))</f>
        <v>Enviado</v>
      </c>
      <c r="F1134" s="3" t="str">
        <f ca="1">IF(G1134=1,"-",Tabela2[[#This Row],[Dt Venc:]]-TODAY())</f>
        <v>-</v>
      </c>
      <c r="G1134" s="3">
        <v>1</v>
      </c>
      <c r="H1134" s="3"/>
    </row>
    <row r="1135" spans="1:8" ht="18" hidden="1">
      <c r="A1135" s="3">
        <v>326261</v>
      </c>
      <c r="B1135" s="7" t="s">
        <v>348</v>
      </c>
      <c r="C1135" s="42">
        <v>408.67</v>
      </c>
      <c r="D1135" s="6">
        <v>45592</v>
      </c>
      <c r="E1135" s="3" t="str">
        <f ca="1">IF(Tabela2[[#This Row],[Dt Venc:]]&gt;TODAY(),"Em Aberto",IF(Tabela2[[#This Row],[D/venc]]="-","Enviado",IF(Tabela2[[#This Row],[Dt Venc:]]=TODAY(),"Vence Hoje","Vencida")))</f>
        <v>Enviado</v>
      </c>
      <c r="F1135" s="3" t="str">
        <f ca="1">IF(G1135=1,"-",Tabela2[[#This Row],[Dt Venc:]]-TODAY())</f>
        <v>-</v>
      </c>
      <c r="G1135" s="3">
        <v>1</v>
      </c>
      <c r="H1135" s="3"/>
    </row>
    <row r="1136" spans="1:8" ht="18" hidden="1">
      <c r="A1136" s="3">
        <v>89390</v>
      </c>
      <c r="B1136" s="7" t="s">
        <v>212</v>
      </c>
      <c r="C1136" s="42">
        <v>912</v>
      </c>
      <c r="D1136" s="6">
        <v>45592</v>
      </c>
      <c r="E1136" s="3" t="str">
        <f ca="1">IF(Tabela2[[#This Row],[Dt Venc:]]&gt;TODAY(),"Em Aberto",IF(Tabela2[[#This Row],[D/venc]]="-","Enviado",IF(Tabela2[[#This Row],[Dt Venc:]]=TODAY(),"Vence Hoje","Vencida")))</f>
        <v>Enviado</v>
      </c>
      <c r="F1136" s="3" t="str">
        <f ca="1">IF(G1136=1,"-",Tabela2[[#This Row],[Dt Venc:]]-TODAY())</f>
        <v>-</v>
      </c>
      <c r="G1136" s="3">
        <v>1</v>
      </c>
      <c r="H1136" s="3"/>
    </row>
    <row r="1137" spans="1:8" ht="18" hidden="1">
      <c r="A1137" s="3">
        <v>25727</v>
      </c>
      <c r="B1137" s="7" t="s">
        <v>363</v>
      </c>
      <c r="C1137" s="42">
        <v>1266.6600000000001</v>
      </c>
      <c r="D1137" s="6">
        <v>45592</v>
      </c>
      <c r="E1137" s="3" t="str">
        <f ca="1">IF(Tabela2[[#This Row],[Dt Venc:]]&gt;TODAY(),"Em Aberto",IF(Tabela2[[#This Row],[D/venc]]="-","Enviado",IF(Tabela2[[#This Row],[Dt Venc:]]=TODAY(),"Vence Hoje","Vencida")))</f>
        <v>Enviado</v>
      </c>
      <c r="F1137" s="3" t="str">
        <f ca="1">IF(G1137=1,"-",Tabela2[[#This Row],[Dt Venc:]]-TODAY())</f>
        <v>-</v>
      </c>
      <c r="G1137" s="3">
        <v>1</v>
      </c>
      <c r="H1137" s="3"/>
    </row>
    <row r="1138" spans="1:8" ht="18" hidden="1">
      <c r="A1138" s="3">
        <v>153153</v>
      </c>
      <c r="B1138" s="7" t="s">
        <v>348</v>
      </c>
      <c r="C1138" s="42">
        <v>433.33</v>
      </c>
      <c r="D1138" s="6">
        <v>45592</v>
      </c>
      <c r="E1138" s="3" t="str">
        <f ca="1">IF(Tabela2[[#This Row],[Dt Venc:]]&gt;TODAY(),"Em Aberto",IF(Tabela2[[#This Row],[D/venc]]="-","Enviado",IF(Tabela2[[#This Row],[Dt Venc:]]=TODAY(),"Vence Hoje","Vencida")))</f>
        <v>Enviado</v>
      </c>
      <c r="F1138" s="3" t="str">
        <f ca="1">IF(G1138=1,"-",Tabela2[[#This Row],[Dt Venc:]]-TODAY())</f>
        <v>-</v>
      </c>
      <c r="G1138" s="3">
        <v>1</v>
      </c>
      <c r="H1138" s="3"/>
    </row>
    <row r="1139" spans="1:8" ht="18" hidden="1">
      <c r="A1139" s="3">
        <v>5863</v>
      </c>
      <c r="B1139" s="7" t="s">
        <v>140</v>
      </c>
      <c r="C1139" s="42">
        <v>480</v>
      </c>
      <c r="D1139" s="6">
        <v>45592</v>
      </c>
      <c r="E1139" s="3" t="str">
        <f ca="1">IF(Tabela2[[#This Row],[Dt Venc:]]&gt;TODAY(),"Em Aberto",IF(Tabela2[[#This Row],[D/venc]]="-","Enviado",IF(Tabela2[[#This Row],[Dt Venc:]]=TODAY(),"Vence Hoje","Vencida")))</f>
        <v>Enviado</v>
      </c>
      <c r="F1139" s="3" t="str">
        <f ca="1">IF(G1139=1,"-",Tabela2[[#This Row],[Dt Venc:]]-TODAY())</f>
        <v>-</v>
      </c>
      <c r="G1139" s="3">
        <v>1</v>
      </c>
      <c r="H1139" s="3"/>
    </row>
    <row r="1140" spans="1:8" ht="18" hidden="1">
      <c r="A1140" s="3">
        <v>5152</v>
      </c>
      <c r="B1140" s="7" t="s">
        <v>134</v>
      </c>
      <c r="C1140" s="42">
        <v>800</v>
      </c>
      <c r="D1140" s="6">
        <v>45592</v>
      </c>
      <c r="E1140" s="3" t="str">
        <f ca="1">IF(Tabela2[[#This Row],[Dt Venc:]]&gt;TODAY(),"Em Aberto",IF(Tabela2[[#This Row],[D/venc]]="-","Enviado",IF(Tabela2[[#This Row],[Dt Venc:]]=TODAY(),"Vence Hoje","Vencida")))</f>
        <v>Enviado</v>
      </c>
      <c r="F1140" s="3" t="str">
        <f ca="1">IF(G1140=1,"-",Tabela2[[#This Row],[Dt Venc:]]-TODAY())</f>
        <v>-</v>
      </c>
      <c r="G1140" s="3">
        <v>1</v>
      </c>
      <c r="H1140" s="3"/>
    </row>
    <row r="1141" spans="1:8" ht="18" hidden="1">
      <c r="A1141" s="3">
        <v>5864</v>
      </c>
      <c r="B1141" s="7" t="s">
        <v>140</v>
      </c>
      <c r="C1141" s="42">
        <v>562.33000000000004</v>
      </c>
      <c r="D1141" s="6">
        <v>45592</v>
      </c>
      <c r="E1141" s="3" t="str">
        <f ca="1">IF(Tabela2[[#This Row],[Dt Venc:]]&gt;TODAY(),"Em Aberto",IF(Tabela2[[#This Row],[D/venc]]="-","Enviado",IF(Tabela2[[#This Row],[Dt Venc:]]=TODAY(),"Vence Hoje","Vencida")))</f>
        <v>Enviado</v>
      </c>
      <c r="F1141" s="3" t="str">
        <f ca="1">IF(G1141=1,"-",Tabela2[[#This Row],[Dt Venc:]]-TODAY())</f>
        <v>-</v>
      </c>
      <c r="G1141" s="3">
        <v>1</v>
      </c>
      <c r="H1141" s="3"/>
    </row>
    <row r="1142" spans="1:8" ht="18" hidden="1">
      <c r="A1142" s="3">
        <v>5690</v>
      </c>
      <c r="B1142" s="7" t="s">
        <v>122</v>
      </c>
      <c r="C1142" s="84" t="s">
        <v>32</v>
      </c>
      <c r="D1142" s="6">
        <v>45592</v>
      </c>
      <c r="E1142" s="3" t="str">
        <f ca="1">IF(Tabela2[[#This Row],[Dt Venc:]]&gt;TODAY(),"Em Aberto",IF(Tabela2[[#This Row],[D/venc]]="-","Enviado",IF(Tabela2[[#This Row],[Dt Venc:]]=TODAY(),"Vence Hoje","Vencida")))</f>
        <v>Enviado</v>
      </c>
      <c r="F1142" s="3" t="str">
        <f ca="1">IF(G1142=1,"-",Tabela2[[#This Row],[Dt Venc:]]-TODAY())</f>
        <v>-</v>
      </c>
      <c r="G1142" s="3">
        <v>1</v>
      </c>
      <c r="H1142" s="3" t="str">
        <f>_xlfn.XLOOKUP(A1142,'Notas Faltantes'!A:A,'Notas Faltantes'!E:E,"",0)</f>
        <v/>
      </c>
    </row>
    <row r="1143" spans="1:8" ht="18" hidden="1">
      <c r="A1143" s="3">
        <v>5866</v>
      </c>
      <c r="B1143" s="7" t="s">
        <v>140</v>
      </c>
      <c r="C1143" s="42">
        <v>636.77</v>
      </c>
      <c r="D1143" s="6">
        <v>45592</v>
      </c>
      <c r="E1143" s="3" t="str">
        <f ca="1">IF(Tabela2[[#This Row],[Dt Venc:]]&gt;TODAY(),"Em Aberto",IF(Tabela2[[#This Row],[D/venc]]="-","Enviado",IF(Tabela2[[#This Row],[Dt Venc:]]=TODAY(),"Vence Hoje","Vencida")))</f>
        <v>Enviado</v>
      </c>
      <c r="F1143" s="3" t="str">
        <f ca="1">IF(G1143=1,"-",Tabela2[[#This Row],[Dt Venc:]]-TODAY())</f>
        <v>-</v>
      </c>
      <c r="G1143" s="3">
        <v>1</v>
      </c>
      <c r="H1143" s="3"/>
    </row>
    <row r="1144" spans="1:8" ht="18" hidden="1">
      <c r="A1144" s="3">
        <v>2709</v>
      </c>
      <c r="B1144" s="7" t="s">
        <v>301</v>
      </c>
      <c r="C1144" s="42">
        <v>1626.67</v>
      </c>
      <c r="D1144" s="6">
        <v>45593</v>
      </c>
      <c r="E1144" s="3" t="str">
        <f ca="1">IF(Tabela2[[#This Row],[Dt Venc:]]&gt;TODAY(),"Em Aberto",IF(Tabela2[[#This Row],[D/venc]]="-","Enviado",IF(Tabela2[[#This Row],[Dt Venc:]]=TODAY(),"Vence Hoje","Vencida")))</f>
        <v>Enviado</v>
      </c>
      <c r="F1144" s="3" t="str">
        <f ca="1">IF(G1144=1,"-",Tabela2[[#This Row],[Dt Venc:]]-TODAY())</f>
        <v>-</v>
      </c>
      <c r="G1144" s="3">
        <v>1</v>
      </c>
      <c r="H1144" s="3"/>
    </row>
    <row r="1145" spans="1:8" ht="18" hidden="1">
      <c r="A1145" s="3">
        <v>22106</v>
      </c>
      <c r="B1145" s="7" t="s">
        <v>38</v>
      </c>
      <c r="C1145" s="42">
        <v>2596.67</v>
      </c>
      <c r="D1145" s="6">
        <v>45593</v>
      </c>
      <c r="E1145" s="3" t="str">
        <f ca="1">IF(Tabela2[[#This Row],[Dt Venc:]]&gt;TODAY(),"Em Aberto",IF(Tabela2[[#This Row],[D/venc]]="-","Enviado",IF(Tabela2[[#This Row],[Dt Venc:]]=TODAY(),"Vence Hoje","Vencida")))</f>
        <v>Enviado</v>
      </c>
      <c r="F1145" s="3" t="str">
        <f ca="1">IF(G1145=1,"-",Tabela2[[#This Row],[Dt Venc:]]-TODAY())</f>
        <v>-</v>
      </c>
      <c r="G1145" s="3">
        <v>1</v>
      </c>
      <c r="H1145" s="3"/>
    </row>
    <row r="1146" spans="1:8" ht="18" hidden="1">
      <c r="A1146" s="3">
        <v>406779</v>
      </c>
      <c r="B1146" s="7" t="s">
        <v>364</v>
      </c>
      <c r="C1146" s="42">
        <v>2224.1999999999998</v>
      </c>
      <c r="D1146" s="6">
        <v>45593</v>
      </c>
      <c r="E1146" s="3" t="str">
        <f ca="1">IF(Tabela2[[#This Row],[Dt Venc:]]&gt;TODAY(),"Em Aberto",IF(Tabela2[[#This Row],[D/venc]]="-","Enviado",IF(Tabela2[[#This Row],[Dt Venc:]]=TODAY(),"Vence Hoje","Vencida")))</f>
        <v>Enviado</v>
      </c>
      <c r="F1146" s="3" t="str">
        <f ca="1">IF(G1146=1,"-",Tabela2[[#This Row],[Dt Venc:]]-TODAY())</f>
        <v>-</v>
      </c>
      <c r="G1146" s="3">
        <v>1</v>
      </c>
      <c r="H1146" s="3"/>
    </row>
    <row r="1147" spans="1:8" ht="18" hidden="1">
      <c r="A1147" s="3">
        <v>179264</v>
      </c>
      <c r="B1147" s="7" t="s">
        <v>42</v>
      </c>
      <c r="C1147" s="42">
        <v>2640</v>
      </c>
      <c r="D1147" s="6">
        <v>45593</v>
      </c>
      <c r="E1147" s="3" t="str">
        <f ca="1">IF(Tabela2[[#This Row],[Dt Venc:]]&gt;TODAY(),"Em Aberto",IF(Tabela2[[#This Row],[D/venc]]="-","Enviado",IF(Tabela2[[#This Row],[Dt Venc:]]=TODAY(),"Vence Hoje","Vencida")))</f>
        <v>Enviado</v>
      </c>
      <c r="F1147" s="3" t="str">
        <f ca="1">IF(G1147=1,"-",Tabela2[[#This Row],[Dt Venc:]]-TODAY())</f>
        <v>-</v>
      </c>
      <c r="G1147" s="3">
        <v>1</v>
      </c>
      <c r="H1147" s="3"/>
    </row>
    <row r="1148" spans="1:8" ht="18" hidden="1">
      <c r="A1148" s="3">
        <v>793</v>
      </c>
      <c r="B1148" s="7" t="s">
        <v>113</v>
      </c>
      <c r="C1148" s="42">
        <v>1310</v>
      </c>
      <c r="D1148" s="6">
        <v>45593</v>
      </c>
      <c r="E1148" s="3" t="str">
        <f ca="1">IF(Tabela2[[#This Row],[Dt Venc:]]&gt;TODAY(),"Em Aberto",IF(Tabela2[[#This Row],[D/venc]]="-","Enviado",IF(Tabela2[[#This Row],[Dt Venc:]]=TODAY(),"Vence Hoje","Vencida")))</f>
        <v>Enviado</v>
      </c>
      <c r="F1148" s="3" t="str">
        <f ca="1">IF(G1148=1,"-",Tabela2[[#This Row],[Dt Venc:]]-TODAY())</f>
        <v>-</v>
      </c>
      <c r="G1148" s="3">
        <v>1</v>
      </c>
      <c r="H1148" s="3"/>
    </row>
    <row r="1149" spans="1:8" ht="18" hidden="1">
      <c r="A1149" s="3">
        <v>151780</v>
      </c>
      <c r="B1149" s="7" t="s">
        <v>261</v>
      </c>
      <c r="C1149" s="42">
        <v>450</v>
      </c>
      <c r="D1149" s="6">
        <v>45593</v>
      </c>
      <c r="E1149" s="3" t="str">
        <f ca="1">IF(Tabela2[[#This Row],[Dt Venc:]]&gt;TODAY(),"Em Aberto",IF(Tabela2[[#This Row],[D/venc]]="-","Enviado",IF(Tabela2[[#This Row],[Dt Venc:]]=TODAY(),"Vence Hoje","Vencida")))</f>
        <v>Enviado</v>
      </c>
      <c r="F1149" s="3" t="str">
        <f ca="1">IF(G1149=1,"-",Tabela2[[#This Row],[Dt Venc:]]-TODAY())</f>
        <v>-</v>
      </c>
      <c r="G1149" s="3">
        <v>1</v>
      </c>
      <c r="H1149" s="3"/>
    </row>
    <row r="1150" spans="1:8" ht="18" hidden="1">
      <c r="A1150" s="3">
        <v>21756</v>
      </c>
      <c r="B1150" s="7" t="s">
        <v>70</v>
      </c>
      <c r="C1150" s="42">
        <v>1227</v>
      </c>
      <c r="D1150" s="6">
        <v>45593</v>
      </c>
      <c r="E1150" s="3" t="str">
        <f ca="1">IF(Tabela2[[#This Row],[Dt Venc:]]&gt;TODAY(),"Em Aberto",IF(Tabela2[[#This Row],[D/venc]]="-","Enviado",IF(Tabela2[[#This Row],[Dt Venc:]]=TODAY(),"Vence Hoje","Vencida")))</f>
        <v>Enviado</v>
      </c>
      <c r="F1150" s="3" t="str">
        <f ca="1">IF(G1150=1,"-",Tabela2[[#This Row],[Dt Venc:]]-TODAY())</f>
        <v>-</v>
      </c>
      <c r="G1150" s="3">
        <v>1</v>
      </c>
      <c r="H1150" s="3"/>
    </row>
    <row r="1151" spans="1:8" ht="18" hidden="1">
      <c r="A1151" s="3">
        <v>28308</v>
      </c>
      <c r="B1151" s="7" t="s">
        <v>70</v>
      </c>
      <c r="C1151" s="42">
        <v>713</v>
      </c>
      <c r="D1151" s="6">
        <v>45593</v>
      </c>
      <c r="E1151" s="3" t="str">
        <f ca="1">IF(Tabela2[[#This Row],[Dt Venc:]]&gt;TODAY(),"Em Aberto",IF(Tabela2[[#This Row],[D/venc]]="-","Enviado",IF(Tabela2[[#This Row],[Dt Venc:]]=TODAY(),"Vence Hoje","Vencida")))</f>
        <v>Enviado</v>
      </c>
      <c r="F1151" s="3" t="str">
        <f ca="1">IF(G1151=1,"-",Tabela2[[#This Row],[Dt Venc:]]-TODAY())</f>
        <v>-</v>
      </c>
      <c r="G1151" s="3">
        <v>1</v>
      </c>
      <c r="H1151" s="3"/>
    </row>
    <row r="1152" spans="1:8" ht="18" hidden="1">
      <c r="A1152" s="3">
        <v>5668</v>
      </c>
      <c r="B1152" s="7" t="s">
        <v>47</v>
      </c>
      <c r="C1152" s="42">
        <v>472.63</v>
      </c>
      <c r="D1152" s="6">
        <v>45593</v>
      </c>
      <c r="E1152" s="3" t="str">
        <f ca="1">IF(Tabela2[[#This Row],[Dt Venc:]]&gt;TODAY(),"Em Aberto",IF(Tabela2[[#This Row],[D/venc]]="-","Enviado",IF(Tabela2[[#This Row],[Dt Venc:]]=TODAY(),"Vence Hoje","Vencida")))</f>
        <v>Enviado</v>
      </c>
      <c r="F1152" s="3" t="str">
        <f ca="1">IF(G1152=1,"-",Tabela2[[#This Row],[Dt Venc:]]-TODAY())</f>
        <v>-</v>
      </c>
      <c r="G1152" s="3">
        <v>1</v>
      </c>
      <c r="H1152" s="3"/>
    </row>
    <row r="1153" spans="1:8" ht="18" hidden="1">
      <c r="A1153" s="3">
        <v>42216</v>
      </c>
      <c r="B1153" s="7" t="s">
        <v>365</v>
      </c>
      <c r="C1153" s="42">
        <v>1424.33</v>
      </c>
      <c r="D1153" s="6">
        <v>45593</v>
      </c>
      <c r="E1153" s="3" t="str">
        <f ca="1">IF(Tabela2[[#This Row],[Dt Venc:]]&gt;TODAY(),"Em Aberto",IF(Tabela2[[#This Row],[D/venc]]="-","Enviado",IF(Tabela2[[#This Row],[Dt Venc:]]=TODAY(),"Vence Hoje","Vencida")))</f>
        <v>Enviado</v>
      </c>
      <c r="F1153" s="3" t="str">
        <f ca="1">IF(G1153=1,"-",Tabela2[[#This Row],[Dt Venc:]]-TODAY())</f>
        <v>-</v>
      </c>
      <c r="G1153" s="3">
        <v>1</v>
      </c>
      <c r="H1153" s="3"/>
    </row>
    <row r="1154" spans="1:8" ht="18" hidden="1">
      <c r="A1154" s="3">
        <v>2976</v>
      </c>
      <c r="B1154" s="7" t="s">
        <v>129</v>
      </c>
      <c r="C1154" s="42">
        <v>1258</v>
      </c>
      <c r="D1154" s="6">
        <v>45593</v>
      </c>
      <c r="E1154" s="3" t="str">
        <f ca="1">IF(Tabela2[[#This Row],[Dt Venc:]]&gt;TODAY(),"Em Aberto",IF(Tabela2[[#This Row],[D/venc]]="-","Enviado",IF(Tabela2[[#This Row],[Dt Venc:]]=TODAY(),"Vence Hoje","Vencida")))</f>
        <v>Enviado</v>
      </c>
      <c r="F1154" s="3" t="str">
        <f ca="1">IF(G1154=1,"-",Tabela2[[#This Row],[Dt Venc:]]-TODAY())</f>
        <v>-</v>
      </c>
      <c r="G1154" s="3">
        <v>1</v>
      </c>
      <c r="H1154" s="3"/>
    </row>
    <row r="1155" spans="1:8" ht="18" hidden="1">
      <c r="A1155" s="3">
        <v>70099</v>
      </c>
      <c r="B1155" s="7" t="s">
        <v>76</v>
      </c>
      <c r="C1155" s="42">
        <v>531.04</v>
      </c>
      <c r="D1155" s="6">
        <v>45593</v>
      </c>
      <c r="E1155" s="3" t="str">
        <f ca="1">IF(Tabela2[[#This Row],[Dt Venc:]]&gt;TODAY(),"Em Aberto",IF(Tabela2[[#This Row],[D/venc]]="-","Enviado",IF(Tabela2[[#This Row],[Dt Venc:]]=TODAY(),"Vence Hoje","Vencida")))</f>
        <v>Enviado</v>
      </c>
      <c r="F1155" s="3" t="str">
        <f ca="1">IF(G1155=1,"-",Tabela2[[#This Row],[Dt Venc:]]-TODAY())</f>
        <v>-</v>
      </c>
      <c r="G1155" s="3">
        <v>1</v>
      </c>
      <c r="H1155" s="3"/>
    </row>
    <row r="1156" spans="1:8" ht="18" hidden="1">
      <c r="A1156" s="3">
        <v>10334</v>
      </c>
      <c r="B1156" s="7" t="s">
        <v>72</v>
      </c>
      <c r="C1156" s="42">
        <v>487.5</v>
      </c>
      <c r="D1156" s="6">
        <v>45593</v>
      </c>
      <c r="E1156" s="3" t="str">
        <f ca="1">IF(Tabela2[[#This Row],[Dt Venc:]]&gt;TODAY(),"Em Aberto",IF(Tabela2[[#This Row],[D/venc]]="-","Enviado",IF(Tabela2[[#This Row],[Dt Venc:]]=TODAY(),"Vence Hoje","Vencida")))</f>
        <v>Enviado</v>
      </c>
      <c r="F1156" s="3" t="str">
        <f ca="1">IF(G1156=1,"-",Tabela2[[#This Row],[Dt Venc:]]-TODAY())</f>
        <v>-</v>
      </c>
      <c r="G1156" s="3">
        <v>1</v>
      </c>
      <c r="H1156" s="3"/>
    </row>
    <row r="1157" spans="1:8" ht="18" hidden="1">
      <c r="A1157" s="3">
        <v>390905</v>
      </c>
      <c r="B1157" s="7" t="s">
        <v>136</v>
      </c>
      <c r="C1157" s="42">
        <v>1870</v>
      </c>
      <c r="D1157" s="6">
        <v>45593</v>
      </c>
      <c r="E1157" s="3" t="str">
        <f ca="1">IF(Tabela2[[#This Row],[Dt Venc:]]&gt;TODAY(),"Em Aberto",IF(Tabela2[[#This Row],[D/venc]]="-","Enviado",IF(Tabela2[[#This Row],[Dt Venc:]]=TODAY(),"Vence Hoje","Vencida")))</f>
        <v>Enviado</v>
      </c>
      <c r="F1157" s="3" t="str">
        <f ca="1">IF(G1157=1,"-",Tabela2[[#This Row],[Dt Venc:]]-TODAY())</f>
        <v>-</v>
      </c>
      <c r="G1157" s="3">
        <v>1</v>
      </c>
      <c r="H1157" s="3"/>
    </row>
    <row r="1158" spans="1:8" ht="18" hidden="1">
      <c r="A1158" s="3">
        <v>10828</v>
      </c>
      <c r="B1158" s="7" t="s">
        <v>33</v>
      </c>
      <c r="C1158" s="42">
        <v>800</v>
      </c>
      <c r="D1158" s="6">
        <v>45593</v>
      </c>
      <c r="E1158" s="3" t="str">
        <f ca="1">IF(Tabela2[[#This Row],[Dt Venc:]]&gt;TODAY(),"Em Aberto",IF(Tabela2[[#This Row],[D/venc]]="-","Enviado",IF(Tabela2[[#This Row],[Dt Venc:]]=TODAY(),"Vence Hoje","Vencida")))</f>
        <v>Enviado</v>
      </c>
      <c r="F1158" s="3" t="str">
        <f ca="1">IF(G1158=1,"-",Tabela2[[#This Row],[Dt Venc:]]-TODAY())</f>
        <v>-</v>
      </c>
      <c r="G1158" s="3">
        <v>1</v>
      </c>
      <c r="H1158" s="3"/>
    </row>
    <row r="1159" spans="1:8" ht="18" hidden="1">
      <c r="A1159" s="3">
        <v>87022</v>
      </c>
      <c r="B1159" s="7" t="s">
        <v>366</v>
      </c>
      <c r="C1159" s="42">
        <v>825</v>
      </c>
      <c r="D1159" s="6">
        <v>45593</v>
      </c>
      <c r="E1159" s="3" t="str">
        <f ca="1">IF(Tabela2[[#This Row],[Dt Venc:]]&gt;TODAY(),"Em Aberto",IF(Tabela2[[#This Row],[D/venc]]="-","Enviado",IF(Tabela2[[#This Row],[Dt Venc:]]=TODAY(),"Vence Hoje","Vencida")))</f>
        <v>Enviado</v>
      </c>
      <c r="F1159" s="3" t="str">
        <f ca="1">IF(G1159=1,"-",Tabela2[[#This Row],[Dt Venc:]]-TODAY())</f>
        <v>-</v>
      </c>
      <c r="G1159" s="3">
        <v>1</v>
      </c>
      <c r="H1159" s="3"/>
    </row>
    <row r="1160" spans="1:8" ht="18" hidden="1">
      <c r="A1160" s="3">
        <v>324548</v>
      </c>
      <c r="B1160" s="7" t="s">
        <v>77</v>
      </c>
      <c r="C1160" s="42">
        <v>408.67</v>
      </c>
      <c r="D1160" s="6">
        <v>45593</v>
      </c>
      <c r="E1160" s="3" t="str">
        <f ca="1">IF(Tabela2[[#This Row],[Dt Venc:]]&gt;TODAY(),"Em Aberto",IF(Tabela2[[#This Row],[D/venc]]="-","Enviado",IF(Tabela2[[#This Row],[Dt Venc:]]=TODAY(),"Vence Hoje","Vencida")))</f>
        <v>Enviado</v>
      </c>
      <c r="F1160" s="3" t="str">
        <f ca="1">IF(G1160=1,"-",Tabela2[[#This Row],[Dt Venc:]]-TODAY())</f>
        <v>-</v>
      </c>
      <c r="G1160" s="3">
        <v>1</v>
      </c>
      <c r="H1160" s="3"/>
    </row>
    <row r="1161" spans="1:8" ht="18" hidden="1">
      <c r="A1161" s="3">
        <v>171209</v>
      </c>
      <c r="B1161" s="7" t="s">
        <v>211</v>
      </c>
      <c r="C1161" s="42">
        <v>336.66</v>
      </c>
      <c r="D1161" s="6">
        <v>45593</v>
      </c>
      <c r="E1161" s="3" t="str">
        <f ca="1">IF(Tabela2[[#This Row],[Dt Venc:]]&gt;TODAY(),"Em Aberto",IF(Tabela2[[#This Row],[D/venc]]="-","Enviado",IF(Tabela2[[#This Row],[Dt Venc:]]=TODAY(),"Vence Hoje","Vencida")))</f>
        <v>Enviado</v>
      </c>
      <c r="F1161" s="3" t="str">
        <f ca="1">IF(G1161=1,"-",Tabela2[[#This Row],[Dt Venc:]]-TODAY())</f>
        <v>-</v>
      </c>
      <c r="G1161" s="3">
        <v>1</v>
      </c>
      <c r="H1161" s="3"/>
    </row>
    <row r="1162" spans="1:8" ht="18" hidden="1">
      <c r="A1162" s="3">
        <v>5766</v>
      </c>
      <c r="B1162" s="7" t="s">
        <v>140</v>
      </c>
      <c r="C1162" s="42">
        <v>1008</v>
      </c>
      <c r="D1162" s="6">
        <v>45593</v>
      </c>
      <c r="E1162" s="3" t="str">
        <f ca="1">IF(Tabela2[[#This Row],[Dt Venc:]]&gt;TODAY(),"Em Aberto",IF(Tabela2[[#This Row],[D/venc]]="-","Enviado",IF(Tabela2[[#This Row],[Dt Venc:]]=TODAY(),"Vence Hoje","Vencida")))</f>
        <v>Enviado</v>
      </c>
      <c r="F1162" s="3" t="str">
        <f ca="1">IF(G1162=1,"-",Tabela2[[#This Row],[Dt Venc:]]-TODAY())</f>
        <v>-</v>
      </c>
      <c r="G1162" s="3">
        <v>1</v>
      </c>
      <c r="H1162" s="3"/>
    </row>
    <row r="1163" spans="1:8" ht="18" hidden="1">
      <c r="A1163" s="3">
        <v>300476</v>
      </c>
      <c r="B1163" s="7" t="s">
        <v>53</v>
      </c>
      <c r="C1163" s="42">
        <v>1228.94</v>
      </c>
      <c r="D1163" s="6">
        <v>45593</v>
      </c>
      <c r="E1163" s="3" t="str">
        <f ca="1">IF(Tabela2[[#This Row],[Dt Venc:]]&gt;TODAY(),"Em Aberto",IF(Tabela2[[#This Row],[D/venc]]="-","Enviado",IF(Tabela2[[#This Row],[Dt Venc:]]=TODAY(),"Vence Hoje","Vencida")))</f>
        <v>Enviado</v>
      </c>
      <c r="F1163" s="3" t="str">
        <f ca="1">IF(G1163=1,"-",Tabela2[[#This Row],[Dt Venc:]]-TODAY())</f>
        <v>-</v>
      </c>
      <c r="G1163" s="3">
        <v>1</v>
      </c>
      <c r="H1163" s="3"/>
    </row>
    <row r="1164" spans="1:8" ht="18" hidden="1">
      <c r="A1164" s="3">
        <v>2519</v>
      </c>
      <c r="B1164" s="7" t="s">
        <v>91</v>
      </c>
      <c r="C1164" s="42">
        <v>264.33</v>
      </c>
      <c r="D1164" s="6">
        <v>45593</v>
      </c>
      <c r="E1164" s="3" t="str">
        <f ca="1">IF(Tabela2[[#This Row],[Dt Venc:]]&gt;TODAY(),"Em Aberto",IF(Tabela2[[#This Row],[D/venc]]="-","Enviado",IF(Tabela2[[#This Row],[Dt Venc:]]=TODAY(),"Vence Hoje","Vencida")))</f>
        <v>Enviado</v>
      </c>
      <c r="F1164" s="3" t="str">
        <f ca="1">IF(G1164=1,"-",Tabela2[[#This Row],[Dt Venc:]]-TODAY())</f>
        <v>-</v>
      </c>
      <c r="G1164" s="3">
        <v>1</v>
      </c>
      <c r="H1164" s="3"/>
    </row>
    <row r="1165" spans="1:8" ht="18" hidden="1">
      <c r="A1165" s="3">
        <v>694693</v>
      </c>
      <c r="B1165" s="7" t="s">
        <v>244</v>
      </c>
      <c r="C1165" s="42">
        <v>391.96</v>
      </c>
      <c r="D1165" s="6">
        <v>45593</v>
      </c>
      <c r="E1165" s="3" t="str">
        <f ca="1">IF(Tabela2[[#This Row],[Dt Venc:]]&gt;TODAY(),"Em Aberto",IF(Tabela2[[#This Row],[D/venc]]="-","Enviado",IF(Tabela2[[#This Row],[Dt Venc:]]=TODAY(),"Vence Hoje","Vencida")))</f>
        <v>Enviado</v>
      </c>
      <c r="F1165" s="3" t="str">
        <f ca="1">IF(G1165=1,"-",Tabela2[[#This Row],[Dt Venc:]]-TODAY())</f>
        <v>-</v>
      </c>
      <c r="G1165" s="3">
        <v>1</v>
      </c>
      <c r="H1165" s="3"/>
    </row>
    <row r="1166" spans="1:8" ht="18" hidden="1">
      <c r="A1166" s="3">
        <v>473268</v>
      </c>
      <c r="B1166" s="7" t="s">
        <v>108</v>
      </c>
      <c r="C1166" s="42">
        <v>390.57</v>
      </c>
      <c r="D1166" s="6">
        <v>45593</v>
      </c>
      <c r="E1166" s="3" t="str">
        <f ca="1">IF(Tabela2[[#This Row],[Dt Venc:]]&gt;TODAY(),"Em Aberto",IF(Tabela2[[#This Row],[D/venc]]="-","Enviado",IF(Tabela2[[#This Row],[Dt Venc:]]=TODAY(),"Vence Hoje","Vencida")))</f>
        <v>Enviado</v>
      </c>
      <c r="F1166" s="3" t="str">
        <f ca="1">IF(G1166=1,"-",Tabela2[[#This Row],[Dt Venc:]]-TODAY())</f>
        <v>-</v>
      </c>
      <c r="G1166" s="3">
        <v>1</v>
      </c>
      <c r="H1166" s="3"/>
    </row>
    <row r="1167" spans="1:8" ht="18" hidden="1">
      <c r="A1167" s="3">
        <v>19082</v>
      </c>
      <c r="B1167" s="7" t="s">
        <v>367</v>
      </c>
      <c r="C1167" s="42">
        <v>835</v>
      </c>
      <c r="D1167" s="6">
        <v>45593</v>
      </c>
      <c r="E1167" s="3" t="str">
        <f ca="1">IF(Tabela2[[#This Row],[Dt Venc:]]&gt;TODAY(),"Em Aberto",IF(Tabela2[[#This Row],[D/venc]]="-","Enviado",IF(Tabela2[[#This Row],[Dt Venc:]]=TODAY(),"Vence Hoje","Vencida")))</f>
        <v>Enviado</v>
      </c>
      <c r="F1167" s="3" t="str">
        <f ca="1">IF(G1167=1,"-",Tabela2[[#This Row],[Dt Venc:]]-TODAY())</f>
        <v>-</v>
      </c>
      <c r="G1167" s="3">
        <v>1</v>
      </c>
      <c r="H1167" s="3"/>
    </row>
    <row r="1168" spans="1:8" ht="18" hidden="1">
      <c r="A1168" s="3">
        <v>1039</v>
      </c>
      <c r="B1168" s="7" t="s">
        <v>155</v>
      </c>
      <c r="C1168" s="42">
        <v>18879</v>
      </c>
      <c r="D1168" s="6">
        <v>45593</v>
      </c>
      <c r="E1168" s="3" t="str">
        <f ca="1">IF(Tabela2[[#This Row],[Dt Venc:]]&gt;TODAY(),"Em Aberto",IF(Tabela2[[#This Row],[D/venc]]="-","Enviado",IF(Tabela2[[#This Row],[Dt Venc:]]=TODAY(),"Vence Hoje","Vencida")))</f>
        <v>Enviado</v>
      </c>
      <c r="F1168" s="3" t="str">
        <f ca="1">IF(G1168=1,"-",Tabela2[[#This Row],[Dt Venc:]]-TODAY())</f>
        <v>-</v>
      </c>
      <c r="G1168" s="3">
        <v>1</v>
      </c>
      <c r="H1168" s="3"/>
    </row>
    <row r="1169" spans="1:8" ht="18" hidden="1">
      <c r="A1169" s="3">
        <v>1401246</v>
      </c>
      <c r="B1169" s="7" t="s">
        <v>368</v>
      </c>
      <c r="C1169" s="42">
        <v>491.03</v>
      </c>
      <c r="D1169" s="6">
        <v>45593</v>
      </c>
      <c r="E1169" s="3" t="str">
        <f ca="1">IF(Tabela2[[#This Row],[Dt Venc:]]&gt;TODAY(),"Em Aberto",IF(Tabela2[[#This Row],[D/venc]]="-","Enviado",IF(Tabela2[[#This Row],[Dt Venc:]]=TODAY(),"Vence Hoje","Vencida")))</f>
        <v>Enviado</v>
      </c>
      <c r="F1169" s="3" t="str">
        <f ca="1">IF(G1169=1,"-",Tabela2[[#This Row],[Dt Venc:]]-TODAY())</f>
        <v>-</v>
      </c>
      <c r="G1169" s="3">
        <v>1</v>
      </c>
      <c r="H1169" s="3"/>
    </row>
    <row r="1170" spans="1:8" ht="18" hidden="1">
      <c r="A1170" s="3">
        <v>71192</v>
      </c>
      <c r="B1170" s="7" t="s">
        <v>76</v>
      </c>
      <c r="C1170" s="42">
        <v>781.27</v>
      </c>
      <c r="D1170" s="6">
        <v>45593</v>
      </c>
      <c r="E1170" s="3" t="str">
        <f ca="1">IF(Tabela2[[#This Row],[Dt Venc:]]&gt;TODAY(),"Em Aberto",IF(Tabela2[[#This Row],[D/venc]]="-","Enviado",IF(Tabela2[[#This Row],[Dt Venc:]]=TODAY(),"Vence Hoje","Vencida")))</f>
        <v>Enviado</v>
      </c>
      <c r="F1170" s="3" t="str">
        <f ca="1">IF(G1170=1,"-",Tabela2[[#This Row],[Dt Venc:]]-TODAY())</f>
        <v>-</v>
      </c>
      <c r="G1170" s="3">
        <v>1</v>
      </c>
      <c r="H1170" s="3"/>
    </row>
    <row r="1171" spans="1:8" ht="18" hidden="1">
      <c r="A1171" s="3">
        <v>71281</v>
      </c>
      <c r="B1171" s="7" t="s">
        <v>76</v>
      </c>
      <c r="C1171" s="42">
        <v>466.4</v>
      </c>
      <c r="D1171" s="6">
        <v>45593</v>
      </c>
      <c r="E1171" s="3" t="str">
        <f ca="1">IF(Tabela2[[#This Row],[Dt Venc:]]&gt;TODAY(),"Em Aberto",IF(Tabela2[[#This Row],[D/venc]]="-","Enviado",IF(Tabela2[[#This Row],[Dt Venc:]]=TODAY(),"Vence Hoje","Vencida")))</f>
        <v>Enviado</v>
      </c>
      <c r="F1171" s="3" t="str">
        <f ca="1">IF(G1171=1,"-",Tabela2[[#This Row],[Dt Venc:]]-TODAY())</f>
        <v>-</v>
      </c>
      <c r="G1171" s="3">
        <v>1</v>
      </c>
      <c r="H1171" s="3"/>
    </row>
    <row r="1172" spans="1:8" ht="18" hidden="1">
      <c r="A1172" s="3">
        <v>1452</v>
      </c>
      <c r="B1172" s="7" t="s">
        <v>369</v>
      </c>
      <c r="C1172" s="42">
        <v>630</v>
      </c>
      <c r="D1172" s="6">
        <v>45593</v>
      </c>
      <c r="E1172" s="3" t="str">
        <f ca="1">IF(Tabela2[[#This Row],[Dt Venc:]]&gt;TODAY(),"Em Aberto",IF(Tabela2[[#This Row],[D/venc]]="-","Enviado",IF(Tabela2[[#This Row],[Dt Venc:]]=TODAY(),"Vence Hoje","Vencida")))</f>
        <v>Enviado</v>
      </c>
      <c r="F1172" s="3" t="str">
        <f ca="1">IF(G1172=1,"-",Tabela2[[#This Row],[Dt Venc:]]-TODAY())</f>
        <v>-</v>
      </c>
      <c r="G1172" s="3">
        <v>1</v>
      </c>
      <c r="H1172" s="3"/>
    </row>
    <row r="1173" spans="1:8" ht="18" hidden="1">
      <c r="A1173" s="3">
        <v>553209</v>
      </c>
      <c r="B1173" s="7" t="s">
        <v>39</v>
      </c>
      <c r="C1173" s="42">
        <v>262.06</v>
      </c>
      <c r="D1173" s="6">
        <v>45593</v>
      </c>
      <c r="E1173" s="3" t="str">
        <f ca="1">IF(Tabela2[[#This Row],[Dt Venc:]]&gt;TODAY(),"Em Aberto",IF(Tabela2[[#This Row],[D/venc]]="-","Enviado",IF(Tabela2[[#This Row],[Dt Venc:]]=TODAY(),"Vence Hoje","Vencida")))</f>
        <v>Enviado</v>
      </c>
      <c r="F1173" s="3" t="str">
        <f ca="1">IF(G1173=1,"-",Tabela2[[#This Row],[Dt Venc:]]-TODAY())</f>
        <v>-</v>
      </c>
      <c r="G1173" s="3">
        <v>1</v>
      </c>
      <c r="H1173" s="3"/>
    </row>
    <row r="1174" spans="1:8" ht="18" hidden="1">
      <c r="A1174" s="3">
        <v>181388</v>
      </c>
      <c r="B1174" s="7" t="s">
        <v>84</v>
      </c>
      <c r="C1174" s="42">
        <v>685.11</v>
      </c>
      <c r="D1174" s="6">
        <v>45593</v>
      </c>
      <c r="E1174" s="3" t="str">
        <f ca="1">IF(Tabela2[[#This Row],[Dt Venc:]]&gt;TODAY(),"Em Aberto",IF(Tabela2[[#This Row],[D/venc]]="-","Enviado",IF(Tabela2[[#This Row],[Dt Venc:]]=TODAY(),"Vence Hoje","Vencida")))</f>
        <v>Enviado</v>
      </c>
      <c r="F1174" s="3" t="str">
        <f ca="1">IF(G1174=1,"-",Tabela2[[#This Row],[Dt Venc:]]-TODAY())</f>
        <v>-</v>
      </c>
      <c r="G1174" s="3">
        <v>1</v>
      </c>
      <c r="H1174" s="3"/>
    </row>
    <row r="1175" spans="1:8" ht="18" hidden="1">
      <c r="A1175" s="3">
        <v>7099</v>
      </c>
      <c r="B1175" s="7" t="s">
        <v>370</v>
      </c>
      <c r="C1175" s="42">
        <v>545</v>
      </c>
      <c r="D1175" s="6">
        <v>45593</v>
      </c>
      <c r="E1175" s="3" t="str">
        <f ca="1">IF(Tabela2[[#This Row],[Dt Venc:]]&gt;TODAY(),"Em Aberto",IF(Tabela2[[#This Row],[D/venc]]="-","Enviado",IF(Tabela2[[#This Row],[Dt Venc:]]=TODAY(),"Vence Hoje","Vencida")))</f>
        <v>Enviado</v>
      </c>
      <c r="F1175" s="3" t="str">
        <f ca="1">IF(G1175=1,"-",Tabela2[[#This Row],[Dt Venc:]]-TODAY())</f>
        <v>-</v>
      </c>
      <c r="G1175" s="3">
        <v>1</v>
      </c>
      <c r="H1175" s="3"/>
    </row>
    <row r="1176" spans="1:8" ht="18" hidden="1">
      <c r="A1176" s="3">
        <v>71283</v>
      </c>
      <c r="B1176" s="7" t="s">
        <v>76</v>
      </c>
      <c r="C1176" s="42">
        <v>846.58</v>
      </c>
      <c r="D1176" s="6">
        <v>45593</v>
      </c>
      <c r="E1176" s="3" t="str">
        <f ca="1">IF(Tabela2[[#This Row],[Dt Venc:]]&gt;TODAY(),"Em Aberto",IF(Tabela2[[#This Row],[D/venc]]="-","Enviado",IF(Tabela2[[#This Row],[Dt Venc:]]=TODAY(),"Vence Hoje","Vencida")))</f>
        <v>Enviado</v>
      </c>
      <c r="F1176" s="3" t="str">
        <f ca="1">IF(G1176=1,"-",Tabela2[[#This Row],[Dt Venc:]]-TODAY())</f>
        <v>-</v>
      </c>
      <c r="G1176" s="3">
        <v>1</v>
      </c>
      <c r="H1176" s="3"/>
    </row>
    <row r="1177" spans="1:8" ht="18" hidden="1">
      <c r="A1177" s="3">
        <v>232217</v>
      </c>
      <c r="B1177" s="7" t="s">
        <v>43</v>
      </c>
      <c r="C1177" s="42">
        <v>599.83000000000004</v>
      </c>
      <c r="D1177" s="6">
        <v>45593</v>
      </c>
      <c r="E1177" s="3" t="str">
        <f ca="1">IF(Tabela2[[#This Row],[Dt Venc:]]&gt;TODAY(),"Em Aberto",IF(Tabela2[[#This Row],[D/venc]]="-","Enviado",IF(Tabela2[[#This Row],[Dt Venc:]]=TODAY(),"Vence Hoje","Vencida")))</f>
        <v>Enviado</v>
      </c>
      <c r="F1177" s="3" t="str">
        <f ca="1">IF(G1177=1,"-",Tabela2[[#This Row],[Dt Venc:]]-TODAY())</f>
        <v>-</v>
      </c>
      <c r="G1177" s="3">
        <v>1</v>
      </c>
      <c r="H1177" s="3"/>
    </row>
    <row r="1178" spans="1:8" ht="18" hidden="1">
      <c r="A1178" s="3">
        <v>1540</v>
      </c>
      <c r="B1178" s="7" t="s">
        <v>78</v>
      </c>
      <c r="C1178" s="42">
        <v>644.79999999999995</v>
      </c>
      <c r="D1178" s="6">
        <v>45593</v>
      </c>
      <c r="E1178" s="3" t="str">
        <f ca="1">IF(Tabela2[[#This Row],[Dt Venc:]]&gt;TODAY(),"Em Aberto",IF(Tabela2[[#This Row],[D/venc]]="-","Enviado",IF(Tabela2[[#This Row],[Dt Venc:]]=TODAY(),"Vence Hoje","Vencida")))</f>
        <v>Enviado</v>
      </c>
      <c r="F1178" s="3" t="str">
        <f ca="1">IF(G1178=1,"-",Tabela2[[#This Row],[Dt Venc:]]-TODAY())</f>
        <v>-</v>
      </c>
      <c r="G1178" s="3">
        <v>1</v>
      </c>
      <c r="H1178" s="3"/>
    </row>
    <row r="1179" spans="1:8" ht="18" hidden="1">
      <c r="A1179" s="3">
        <v>232352</v>
      </c>
      <c r="B1179" s="7" t="s">
        <v>43</v>
      </c>
      <c r="C1179" s="42">
        <v>729.34</v>
      </c>
      <c r="D1179" s="6">
        <v>45593</v>
      </c>
      <c r="E1179" s="3" t="str">
        <f ca="1">IF(Tabela2[[#This Row],[Dt Venc:]]&gt;TODAY(),"Em Aberto",IF(Tabela2[[#This Row],[D/venc]]="-","Enviado",IF(Tabela2[[#This Row],[Dt Venc:]]=TODAY(),"Vence Hoje","Vencida")))</f>
        <v>Enviado</v>
      </c>
      <c r="F1179" s="3" t="str">
        <f ca="1">IF(G1179=1,"-",Tabela2[[#This Row],[Dt Venc:]]-TODAY())</f>
        <v>-</v>
      </c>
      <c r="G1179" s="3">
        <v>1</v>
      </c>
      <c r="H1179" s="3"/>
    </row>
    <row r="1180" spans="1:8" ht="18" hidden="1">
      <c r="A1180" s="3">
        <v>370239</v>
      </c>
      <c r="B1180" s="7" t="s">
        <v>371</v>
      </c>
      <c r="C1180" s="42">
        <v>611.33000000000004</v>
      </c>
      <c r="D1180" s="6">
        <v>45593</v>
      </c>
      <c r="E1180" s="3" t="str">
        <f ca="1">IF(Tabela2[[#This Row],[Dt Venc:]]&gt;TODAY(),"Em Aberto",IF(Tabela2[[#This Row],[D/venc]]="-","Enviado",IF(Tabela2[[#This Row],[Dt Venc:]]=TODAY(),"Vence Hoje","Vencida")))</f>
        <v>Enviado</v>
      </c>
      <c r="F1180" s="3" t="str">
        <f ca="1">IF(G1180=1,"-",Tabela2[[#This Row],[Dt Venc:]]-TODAY())</f>
        <v>-</v>
      </c>
      <c r="G1180" s="3">
        <v>1</v>
      </c>
      <c r="H1180" s="3"/>
    </row>
    <row r="1181" spans="1:8" ht="18" hidden="1">
      <c r="A1181" s="3">
        <v>232585</v>
      </c>
      <c r="B1181" s="7" t="s">
        <v>43</v>
      </c>
      <c r="C1181" s="42">
        <v>833.34</v>
      </c>
      <c r="D1181" s="6">
        <v>45593</v>
      </c>
      <c r="E1181" s="3" t="str">
        <f ca="1">IF(Tabela2[[#This Row],[Dt Venc:]]&gt;TODAY(),"Em Aberto",IF(Tabela2[[#This Row],[D/venc]]="-","Enviado",IF(Tabela2[[#This Row],[Dt Venc:]]=TODAY(),"Vence Hoje","Vencida")))</f>
        <v>Enviado</v>
      </c>
      <c r="F1181" s="3" t="str">
        <f ca="1">IF(G1181=1,"-",Tabela2[[#This Row],[Dt Venc:]]-TODAY())</f>
        <v>-</v>
      </c>
      <c r="G1181" s="3">
        <v>1</v>
      </c>
      <c r="H1181" s="3"/>
    </row>
    <row r="1182" spans="1:8" ht="18" hidden="1">
      <c r="A1182" s="3">
        <v>1790238</v>
      </c>
      <c r="B1182" s="7" t="s">
        <v>43</v>
      </c>
      <c r="C1182" s="42">
        <v>646.66</v>
      </c>
      <c r="D1182" s="6">
        <v>45593</v>
      </c>
      <c r="E1182" s="3" t="str">
        <f ca="1">IF(Tabela2[[#This Row],[Dt Venc:]]&gt;TODAY(),"Em Aberto",IF(Tabela2[[#This Row],[D/venc]]="-","Enviado",IF(Tabela2[[#This Row],[Dt Venc:]]=TODAY(),"Vence Hoje","Vencida")))</f>
        <v>Enviado</v>
      </c>
      <c r="F1182" s="3" t="str">
        <f ca="1">IF(G1182=1,"-",Tabela2[[#This Row],[Dt Venc:]]-TODAY())</f>
        <v>-</v>
      </c>
      <c r="G1182" s="3">
        <v>1</v>
      </c>
      <c r="H1182" s="3"/>
    </row>
    <row r="1183" spans="1:8" ht="18" hidden="1">
      <c r="A1183" s="3">
        <v>232210</v>
      </c>
      <c r="B1183" s="7" t="s">
        <v>43</v>
      </c>
      <c r="C1183" s="42">
        <v>1343.1</v>
      </c>
      <c r="D1183" s="6">
        <v>45593</v>
      </c>
      <c r="E1183" s="3" t="str">
        <f ca="1">IF(Tabela2[[#This Row],[Dt Venc:]]&gt;TODAY(),"Em Aberto",IF(Tabela2[[#This Row],[D/venc]]="-","Enviado",IF(Tabela2[[#This Row],[Dt Venc:]]=TODAY(),"Vence Hoje","Vencida")))</f>
        <v>Enviado</v>
      </c>
      <c r="F1183" s="3" t="str">
        <f ca="1">IF(G1183=1,"-",Tabela2[[#This Row],[Dt Venc:]]-TODAY())</f>
        <v>-</v>
      </c>
      <c r="G1183" s="3">
        <v>1</v>
      </c>
      <c r="H1183" s="3"/>
    </row>
    <row r="1184" spans="1:8" ht="18" hidden="1">
      <c r="A1184" s="3">
        <v>71283</v>
      </c>
      <c r="B1184" s="7" t="s">
        <v>76</v>
      </c>
      <c r="C1184" s="42">
        <v>846.58</v>
      </c>
      <c r="D1184" s="6">
        <v>45593</v>
      </c>
      <c r="E1184" s="3" t="str">
        <f ca="1">IF(Tabela2[[#This Row],[Dt Venc:]]&gt;TODAY(),"Em Aberto",IF(Tabela2[[#This Row],[D/venc]]="-","Enviado",IF(Tabela2[[#This Row],[Dt Venc:]]=TODAY(),"Vence Hoje","Vencida")))</f>
        <v>Enviado</v>
      </c>
      <c r="F1184" s="3" t="str">
        <f ca="1">IF(G1184=1,"-",Tabela2[[#This Row],[Dt Venc:]]-TODAY())</f>
        <v>-</v>
      </c>
      <c r="G1184" s="3">
        <v>1</v>
      </c>
      <c r="H1184" s="3"/>
    </row>
    <row r="1185" spans="1:8" ht="18" hidden="1">
      <c r="A1185" s="3">
        <v>368888</v>
      </c>
      <c r="B1185" s="7" t="s">
        <v>39</v>
      </c>
      <c r="C1185" s="42">
        <v>87.93</v>
      </c>
      <c r="D1185" s="6">
        <v>45593</v>
      </c>
      <c r="E1185" s="3" t="str">
        <f ca="1">IF(Tabela2[[#This Row],[Dt Venc:]]&gt;TODAY(),"Em Aberto",IF(Tabela2[[#This Row],[D/venc]]="-","Enviado",IF(Tabela2[[#This Row],[Dt Venc:]]=TODAY(),"Vence Hoje","Vencida")))</f>
        <v>Enviado</v>
      </c>
      <c r="F1185" s="3" t="str">
        <f ca="1">IF(G1185=1,"-",Tabela2[[#This Row],[Dt Venc:]]-TODAY())</f>
        <v>-</v>
      </c>
      <c r="G1185" s="3">
        <v>1</v>
      </c>
      <c r="H1185" s="3"/>
    </row>
    <row r="1186" spans="1:8" ht="18" hidden="1">
      <c r="A1186" s="3">
        <v>15231</v>
      </c>
      <c r="B1186" s="7" t="s">
        <v>99</v>
      </c>
      <c r="C1186" s="42">
        <v>566.66</v>
      </c>
      <c r="D1186" s="6">
        <v>45593</v>
      </c>
      <c r="E1186" s="3" t="str">
        <f ca="1">IF(Tabela2[[#This Row],[Dt Venc:]]&gt;TODAY(),"Em Aberto",IF(Tabela2[[#This Row],[D/venc]]="-","Enviado",IF(Tabela2[[#This Row],[Dt Venc:]]=TODAY(),"Vence Hoje","Vencida")))</f>
        <v>Enviado</v>
      </c>
      <c r="F1186" s="3" t="str">
        <f ca="1">IF(G1186=1,"-",Tabela2[[#This Row],[Dt Venc:]]-TODAY())</f>
        <v>-</v>
      </c>
      <c r="G1186" s="3">
        <v>1</v>
      </c>
      <c r="H1186" s="3"/>
    </row>
    <row r="1187" spans="1:8" ht="18" hidden="1">
      <c r="A1187" s="3">
        <v>9171</v>
      </c>
      <c r="B1187" s="7" t="s">
        <v>105</v>
      </c>
      <c r="C1187" s="42">
        <v>2500</v>
      </c>
      <c r="D1187" s="6">
        <v>45593</v>
      </c>
      <c r="E1187" s="3" t="str">
        <f ca="1">IF(Tabela2[[#This Row],[Dt Venc:]]&gt;TODAY(),"Em Aberto",IF(Tabela2[[#This Row],[D/venc]]="-","Enviado",IF(Tabela2[[#This Row],[Dt Venc:]]=TODAY(),"Vence Hoje","Vencida")))</f>
        <v>Enviado</v>
      </c>
      <c r="F1187" s="3" t="str">
        <f ca="1">IF(G1187=1,"-",Tabela2[[#This Row],[Dt Venc:]]-TODAY())</f>
        <v>-</v>
      </c>
      <c r="G1187" s="3">
        <v>1</v>
      </c>
      <c r="H1187" s="3"/>
    </row>
    <row r="1188" spans="1:8" ht="18" hidden="1">
      <c r="A1188" s="3">
        <v>210595</v>
      </c>
      <c r="B1188" s="7" t="s">
        <v>59</v>
      </c>
      <c r="C1188" s="42">
        <v>55253</v>
      </c>
      <c r="D1188" s="6">
        <v>45593</v>
      </c>
      <c r="E1188" s="3" t="str">
        <f ca="1">IF(Tabela2[[#This Row],[Dt Venc:]]&gt;TODAY(),"Em Aberto",IF(Tabela2[[#This Row],[D/venc]]="-","Enviado",IF(Tabela2[[#This Row],[Dt Venc:]]=TODAY(),"Vence Hoje","Vencida")))</f>
        <v>Enviado</v>
      </c>
      <c r="F1188" s="3" t="str">
        <f ca="1">IF(G1188=1,"-",Tabela2[[#This Row],[Dt Venc:]]-TODAY())</f>
        <v>-</v>
      </c>
      <c r="G1188" s="3">
        <v>1</v>
      </c>
      <c r="H1188" s="3"/>
    </row>
    <row r="1189" spans="1:8" ht="18" hidden="1">
      <c r="A1189" s="3">
        <v>1986341</v>
      </c>
      <c r="B1189" s="7" t="s">
        <v>59</v>
      </c>
      <c r="C1189" s="42">
        <v>54448</v>
      </c>
      <c r="D1189" s="6">
        <v>45593</v>
      </c>
      <c r="E1189" s="3" t="str">
        <f ca="1">IF(Tabela2[[#This Row],[Dt Venc:]]&gt;TODAY(),"Em Aberto",IF(Tabela2[[#This Row],[D/venc]]="-","Enviado",IF(Tabela2[[#This Row],[Dt Venc:]]=TODAY(),"Vence Hoje","Vencida")))</f>
        <v>Enviado</v>
      </c>
      <c r="F1189" s="3" t="str">
        <f ca="1">IF(G1189=1,"-",Tabela2[[#This Row],[Dt Venc:]]-TODAY())</f>
        <v>-</v>
      </c>
      <c r="G1189" s="3">
        <v>1</v>
      </c>
      <c r="H1189" s="3"/>
    </row>
    <row r="1190" spans="1:8" ht="18" hidden="1">
      <c r="A1190" s="3" t="s">
        <v>110</v>
      </c>
      <c r="B1190" s="7" t="s">
        <v>372</v>
      </c>
      <c r="C1190" s="42" t="s">
        <v>32</v>
      </c>
      <c r="D1190" s="6">
        <v>45593</v>
      </c>
      <c r="E1190" s="3" t="str">
        <f ca="1">IF(Tabela2[[#This Row],[Dt Venc:]]&gt;TODAY(),"Em Aberto",IF(Tabela2[[#This Row],[D/venc]]="-","Enviado",IF(Tabela2[[#This Row],[Dt Venc:]]=TODAY(),"Vence Hoje","Vencida")))</f>
        <v>Enviado</v>
      </c>
      <c r="F1190" s="3" t="str">
        <f ca="1">IF(G1190=1,"-",Tabela2[[#This Row],[Dt Venc:]]-TODAY())</f>
        <v>-</v>
      </c>
      <c r="G1190" s="3">
        <v>1</v>
      </c>
      <c r="H1190" s="3"/>
    </row>
    <row r="1191" spans="1:8" ht="18" hidden="1">
      <c r="A1191" s="3" t="s">
        <v>110</v>
      </c>
      <c r="B1191" s="7" t="s">
        <v>373</v>
      </c>
      <c r="C1191" s="42" t="s">
        <v>32</v>
      </c>
      <c r="D1191" s="6">
        <v>45593</v>
      </c>
      <c r="E1191" s="3" t="str">
        <f ca="1">IF(Tabela2[[#This Row],[Dt Venc:]]&gt;TODAY(),"Em Aberto",IF(Tabela2[[#This Row],[D/venc]]="-","Enviado",IF(Tabela2[[#This Row],[Dt Venc:]]=TODAY(),"Vence Hoje","Vencida")))</f>
        <v>Enviado</v>
      </c>
      <c r="F1191" s="3" t="str">
        <f ca="1">IF(G1191=1,"-",Tabela2[[#This Row],[Dt Venc:]]-TODAY())</f>
        <v>-</v>
      </c>
      <c r="G1191" s="3">
        <v>1</v>
      </c>
      <c r="H1191" s="3"/>
    </row>
    <row r="1192" spans="1:8" ht="18" hidden="1">
      <c r="A1192" s="3">
        <v>10052</v>
      </c>
      <c r="B1192" s="7" t="s">
        <v>374</v>
      </c>
      <c r="C1192" s="41">
        <v>390</v>
      </c>
      <c r="D1192" s="6">
        <v>45593</v>
      </c>
      <c r="E1192" s="3" t="str">
        <f ca="1">IF(Tabela2[[#This Row],[Dt Venc:]]&gt;TODAY(),"Em Aberto",IF(Tabela2[[#This Row],[D/venc]]="-","Enviado",IF(Tabela2[[#This Row],[Dt Venc:]]=TODAY(),"Vence Hoje","Vencida")))</f>
        <v>Enviado</v>
      </c>
      <c r="F1192" s="3" t="str">
        <f ca="1">IF(G1192=1,"-",Tabela2[[#This Row],[Dt Venc:]]-TODAY())</f>
        <v>-</v>
      </c>
      <c r="G1192" s="3">
        <v>1</v>
      </c>
      <c r="H1192" s="3"/>
    </row>
    <row r="1193" spans="1:8" hidden="1">
      <c r="A1193" s="3">
        <v>424619</v>
      </c>
      <c r="B1193" s="7" t="s">
        <v>89</v>
      </c>
      <c r="C1193" s="41">
        <v>170.54</v>
      </c>
      <c r="D1193" s="6">
        <v>45593</v>
      </c>
      <c r="E1193" s="3" t="str">
        <f ca="1">IF(Tabela2[[#This Row],[Dt Venc:]]&gt;TODAY(),"Em Aberto",IF(Tabela2[[#This Row],[D/venc]]="-","Enviado",IF(Tabela2[[#This Row],[Dt Venc:]]=TODAY(),"Vence Hoje","Vencida")))</f>
        <v>Enviado</v>
      </c>
      <c r="F1193" s="3" t="str">
        <f ca="1">IF(G1193=1,"-",Tabela2[[#This Row],[Dt Venc:]]-TODAY())</f>
        <v>-</v>
      </c>
      <c r="G1193" s="3">
        <v>1</v>
      </c>
      <c r="H1193" s="3"/>
    </row>
    <row r="1194" spans="1:8" hidden="1">
      <c r="A1194" s="3">
        <v>132551</v>
      </c>
      <c r="B1194" s="7" t="s">
        <v>89</v>
      </c>
      <c r="C1194" s="41">
        <v>569.47</v>
      </c>
      <c r="D1194" s="6">
        <v>45593</v>
      </c>
      <c r="E1194" s="3" t="str">
        <f ca="1">IF(Tabela2[[#This Row],[Dt Venc:]]&gt;TODAY(),"Em Aberto",IF(Tabela2[[#This Row],[D/venc]]="-","Enviado",IF(Tabela2[[#This Row],[Dt Venc:]]=TODAY(),"Vence Hoje","Vencida")))</f>
        <v>Enviado</v>
      </c>
      <c r="F1194" s="3" t="str">
        <f ca="1">IF(G1194=1,"-",Tabela2[[#This Row],[Dt Venc:]]-TODAY())</f>
        <v>-</v>
      </c>
      <c r="G1194" s="3">
        <v>1</v>
      </c>
      <c r="H1194" s="3"/>
    </row>
    <row r="1195" spans="1:8" hidden="1">
      <c r="A1195" s="3">
        <v>202760</v>
      </c>
      <c r="B1195" s="7" t="s">
        <v>200</v>
      </c>
      <c r="C1195" s="41">
        <v>246.69</v>
      </c>
      <c r="D1195" s="6">
        <v>45593</v>
      </c>
      <c r="E1195" s="3" t="str">
        <f ca="1">IF(Tabela2[[#This Row],[Dt Venc:]]&gt;TODAY(),"Em Aberto",IF(Tabela2[[#This Row],[D/venc]]="-","Enviado",IF(Tabela2[[#This Row],[Dt Venc:]]=TODAY(),"Vence Hoje","Vencida")))</f>
        <v>Enviado</v>
      </c>
      <c r="F1195" s="3" t="str">
        <f ca="1">IF(G1195=1,"-",Tabela2[[#This Row],[Dt Venc:]]-TODAY())</f>
        <v>-</v>
      </c>
      <c r="G1195" s="3">
        <v>1</v>
      </c>
      <c r="H1195" s="3"/>
    </row>
    <row r="1196" spans="1:8" hidden="1">
      <c r="A1196" s="3">
        <v>75356</v>
      </c>
      <c r="B1196" s="7" t="s">
        <v>200</v>
      </c>
      <c r="C1196" s="41">
        <v>159.97</v>
      </c>
      <c r="D1196" s="6">
        <v>45593</v>
      </c>
      <c r="E1196" s="3" t="str">
        <f ca="1">IF(Tabela2[[#This Row],[Dt Venc:]]&gt;TODAY(),"Em Aberto",IF(Tabela2[[#This Row],[D/venc]]="-","Enviado",IF(Tabela2[[#This Row],[Dt Venc:]]=TODAY(),"Vence Hoje","Vencida")))</f>
        <v>Enviado</v>
      </c>
      <c r="F1196" s="3" t="str">
        <f ca="1">IF(G1196=1,"-",Tabela2[[#This Row],[Dt Venc:]]-TODAY())</f>
        <v>-</v>
      </c>
      <c r="G1196" s="3">
        <v>1</v>
      </c>
      <c r="H1196" s="3"/>
    </row>
    <row r="1197" spans="1:8" hidden="1">
      <c r="A1197" s="3">
        <v>87</v>
      </c>
      <c r="B1197" s="7" t="s">
        <v>95</v>
      </c>
      <c r="C1197" s="41">
        <v>10093</v>
      </c>
      <c r="D1197" s="6">
        <v>45593</v>
      </c>
      <c r="E1197" s="3" t="str">
        <f ca="1">IF(Tabela2[[#This Row],[Dt Venc:]]&gt;TODAY(),"Em Aberto",IF(Tabela2[[#This Row],[D/venc]]="-","Enviado",IF(Tabela2[[#This Row],[Dt Venc:]]=TODAY(),"Vence Hoje","Vencida")))</f>
        <v>Enviado</v>
      </c>
      <c r="F1197" s="3" t="str">
        <f ca="1">IF(G1197=1,"-",Tabela2[[#This Row],[Dt Venc:]]-TODAY())</f>
        <v>-</v>
      </c>
      <c r="G1197" s="3">
        <v>1</v>
      </c>
      <c r="H1197" s="3"/>
    </row>
    <row r="1198" spans="1:8" hidden="1">
      <c r="A1198" s="3">
        <v>912180</v>
      </c>
      <c r="B1198" s="7" t="s">
        <v>375</v>
      </c>
      <c r="C1198" s="84" t="s">
        <v>32</v>
      </c>
      <c r="D1198" s="6">
        <v>45594</v>
      </c>
      <c r="E1198" s="3" t="str">
        <f ca="1">IF(Tabela2[[#This Row],[Dt Venc:]]&gt;TODAY(),"Em Aberto",IF(Tabela2[[#This Row],[D/venc]]="-","Enviado",IF(Tabela2[[#This Row],[Dt Venc:]]=TODAY(),"Vence Hoje","Vencida")))</f>
        <v>Enviado</v>
      </c>
      <c r="F1198" s="3" t="str">
        <f ca="1">IF(G1198=1,"-",Tabela2[[#This Row],[Dt Venc:]]-TODAY())</f>
        <v>-</v>
      </c>
      <c r="G1198" s="3">
        <v>1</v>
      </c>
      <c r="H1198" s="3" t="str">
        <f>_xlfn.XLOOKUP(A1198,'Notas Faltantes'!A:A,'Notas Faltantes'!E:E,"",0)</f>
        <v/>
      </c>
    </row>
    <row r="1199" spans="1:8" hidden="1">
      <c r="A1199" s="3">
        <v>10684</v>
      </c>
      <c r="B1199" s="7" t="s">
        <v>33</v>
      </c>
      <c r="C1199" s="42">
        <v>1600</v>
      </c>
      <c r="D1199" s="6">
        <v>45594</v>
      </c>
      <c r="E1199" s="3" t="str">
        <f ca="1">IF(Tabela2[[#This Row],[Dt Venc:]]&gt;TODAY(),"Em Aberto",IF(Tabela2[[#This Row],[D/venc]]="-","Enviado",IF(Tabela2[[#This Row],[Dt Venc:]]=TODAY(),"Vence Hoje","Vencida")))</f>
        <v>Enviado</v>
      </c>
      <c r="F1199" s="3" t="str">
        <f ca="1">IF(G1199=1,"-",Tabela2[[#This Row],[Dt Venc:]]-TODAY())</f>
        <v>-</v>
      </c>
      <c r="G1199" s="3">
        <v>1</v>
      </c>
      <c r="H1199" s="3"/>
    </row>
    <row r="1200" spans="1:8" hidden="1">
      <c r="A1200" s="3">
        <v>251228</v>
      </c>
      <c r="B1200" s="7" t="s">
        <v>36</v>
      </c>
      <c r="C1200" s="42">
        <v>366.67</v>
      </c>
      <c r="D1200" s="6">
        <v>45594</v>
      </c>
      <c r="E1200" s="3" t="str">
        <f ca="1">IF(Tabela2[[#This Row],[Dt Venc:]]&gt;TODAY(),"Em Aberto",IF(Tabela2[[#This Row],[D/venc]]="-","Enviado",IF(Tabela2[[#This Row],[Dt Venc:]]=TODAY(),"Vence Hoje","Vencida")))</f>
        <v>Enviado</v>
      </c>
      <c r="F1200" s="3" t="str">
        <f ca="1">IF(G1200=1,"-",Tabela2[[#This Row],[Dt Venc:]]-TODAY())</f>
        <v>-</v>
      </c>
      <c r="G1200" s="3">
        <v>1</v>
      </c>
      <c r="H1200" s="3"/>
    </row>
    <row r="1201" spans="1:8" hidden="1">
      <c r="A1201" s="3">
        <v>251169</v>
      </c>
      <c r="B1201" s="7" t="s">
        <v>229</v>
      </c>
      <c r="C1201" s="42">
        <v>446</v>
      </c>
      <c r="D1201" s="6">
        <v>45594</v>
      </c>
      <c r="E1201" s="3" t="str">
        <f ca="1">IF(Tabela2[[#This Row],[Dt Venc:]]&gt;TODAY(),"Em Aberto",IF(Tabela2[[#This Row],[D/venc]]="-","Enviado",IF(Tabela2[[#This Row],[Dt Venc:]]=TODAY(),"Vence Hoje","Vencida")))</f>
        <v>Enviado</v>
      </c>
      <c r="F1201" s="3" t="str">
        <f ca="1">IF(G1201=1,"-",Tabela2[[#This Row],[Dt Venc:]]-TODAY())</f>
        <v>-</v>
      </c>
      <c r="G1201" s="3">
        <v>1</v>
      </c>
      <c r="H1201" s="3"/>
    </row>
    <row r="1202" spans="1:8" hidden="1">
      <c r="A1202" s="3">
        <v>216457</v>
      </c>
      <c r="B1202" s="7" t="s">
        <v>127</v>
      </c>
      <c r="C1202" s="42">
        <v>377.58</v>
      </c>
      <c r="D1202" s="6">
        <v>45594</v>
      </c>
      <c r="E1202" s="3" t="str">
        <f ca="1">IF(Tabela2[[#This Row],[Dt Venc:]]&gt;TODAY(),"Em Aberto",IF(Tabela2[[#This Row],[D/venc]]="-","Enviado",IF(Tabela2[[#This Row],[Dt Venc:]]=TODAY(),"Vence Hoje","Vencida")))</f>
        <v>Enviado</v>
      </c>
      <c r="F1202" s="3" t="str">
        <f ca="1">IF(G1202=1,"-",Tabela2[[#This Row],[Dt Venc:]]-TODAY())</f>
        <v>-</v>
      </c>
      <c r="G1202" s="3">
        <v>1</v>
      </c>
      <c r="H1202" s="3"/>
    </row>
    <row r="1203" spans="1:8" hidden="1">
      <c r="A1203" s="3">
        <v>29343</v>
      </c>
      <c r="B1203" s="7" t="s">
        <v>97</v>
      </c>
      <c r="C1203" s="42">
        <v>3035</v>
      </c>
      <c r="D1203" s="6">
        <v>45594</v>
      </c>
      <c r="E1203" s="3" t="str">
        <f ca="1">IF(Tabela2[[#This Row],[Dt Venc:]]&gt;TODAY(),"Em Aberto",IF(Tabela2[[#This Row],[D/venc]]="-","Enviado",IF(Tabela2[[#This Row],[Dt Venc:]]=TODAY(),"Vence Hoje","Vencida")))</f>
        <v>Enviado</v>
      </c>
      <c r="F1203" s="3" t="str">
        <f ca="1">IF(G1203=1,"-",Tabela2[[#This Row],[Dt Venc:]]-TODAY())</f>
        <v>-</v>
      </c>
      <c r="G1203" s="3">
        <v>1</v>
      </c>
      <c r="H1203" s="3"/>
    </row>
    <row r="1204" spans="1:8" hidden="1">
      <c r="A1204" s="3">
        <v>199602</v>
      </c>
      <c r="B1204" s="7" t="s">
        <v>43</v>
      </c>
      <c r="C1204" s="42">
        <v>1564.38</v>
      </c>
      <c r="D1204" s="6">
        <v>45594</v>
      </c>
      <c r="E1204" s="3" t="str">
        <f ca="1">IF(Tabela2[[#This Row],[Dt Venc:]]&gt;TODAY(),"Em Aberto",IF(Tabela2[[#This Row],[D/venc]]="-","Enviado",IF(Tabela2[[#This Row],[Dt Venc:]]=TODAY(),"Vence Hoje","Vencida")))</f>
        <v>Enviado</v>
      </c>
      <c r="F1204" s="3" t="str">
        <f ca="1">IF(G1204=1,"-",Tabela2[[#This Row],[Dt Venc:]]-TODAY())</f>
        <v>-</v>
      </c>
      <c r="G1204" s="3">
        <v>1</v>
      </c>
      <c r="H1204" s="3"/>
    </row>
    <row r="1205" spans="1:8" hidden="1">
      <c r="A1205" s="3">
        <v>205472</v>
      </c>
      <c r="B1205" s="7" t="s">
        <v>43</v>
      </c>
      <c r="C1205" s="42">
        <v>751.44</v>
      </c>
      <c r="D1205" s="6">
        <v>45594</v>
      </c>
      <c r="E1205" s="3" t="str">
        <f ca="1">IF(Tabela2[[#This Row],[Dt Venc:]]&gt;TODAY(),"Em Aberto",IF(Tabela2[[#This Row],[D/venc]]="-","Enviado",IF(Tabela2[[#This Row],[Dt Venc:]]=TODAY(),"Vence Hoje","Vencida")))</f>
        <v>Enviado</v>
      </c>
      <c r="F1205" s="3" t="str">
        <f ca="1">IF(G1205=1,"-",Tabela2[[#This Row],[Dt Venc:]]-TODAY())</f>
        <v>-</v>
      </c>
      <c r="G1205" s="3">
        <v>1</v>
      </c>
      <c r="H1205" s="3"/>
    </row>
    <row r="1206" spans="1:8" hidden="1">
      <c r="A1206" s="3">
        <v>64494</v>
      </c>
      <c r="B1206" s="7" t="s">
        <v>376</v>
      </c>
      <c r="C1206" s="42">
        <v>630</v>
      </c>
      <c r="D1206" s="6">
        <v>45594</v>
      </c>
      <c r="E1206" s="3" t="str">
        <f ca="1">IF(Tabela2[[#This Row],[Dt Venc:]]&gt;TODAY(),"Em Aberto",IF(Tabela2[[#This Row],[D/venc]]="-","Enviado",IF(Tabela2[[#This Row],[Dt Venc:]]=TODAY(),"Vence Hoje","Vencida")))</f>
        <v>Enviado</v>
      </c>
      <c r="F1206" s="3" t="str">
        <f ca="1">IF(G1206=1,"-",Tabela2[[#This Row],[Dt Venc:]]-TODAY())</f>
        <v>-</v>
      </c>
      <c r="G1206" s="3">
        <v>1</v>
      </c>
      <c r="H1206" s="3"/>
    </row>
    <row r="1207" spans="1:8" hidden="1">
      <c r="A1207" s="3">
        <v>15119</v>
      </c>
      <c r="B1207" s="7" t="s">
        <v>44</v>
      </c>
      <c r="C1207" s="42">
        <v>850</v>
      </c>
      <c r="D1207" s="6">
        <v>45594</v>
      </c>
      <c r="E1207" s="3" t="str">
        <f ca="1">IF(Tabela2[[#This Row],[Dt Venc:]]&gt;TODAY(),"Em Aberto",IF(Tabela2[[#This Row],[D/venc]]="-","Enviado",IF(Tabela2[[#This Row],[Dt Venc:]]=TODAY(),"Vence Hoje","Vencida")))</f>
        <v>Enviado</v>
      </c>
      <c r="F1207" s="3" t="str">
        <f ca="1">IF(G1207=1,"-",Tabela2[[#This Row],[Dt Venc:]]-TODAY())</f>
        <v>-</v>
      </c>
      <c r="G1207" s="3">
        <v>1</v>
      </c>
      <c r="H1207" s="3"/>
    </row>
    <row r="1208" spans="1:8" hidden="1">
      <c r="A1208" s="3">
        <v>151796</v>
      </c>
      <c r="B1208" s="7" t="s">
        <v>77</v>
      </c>
      <c r="C1208" s="42">
        <v>433.33</v>
      </c>
      <c r="D1208" s="6">
        <v>45594</v>
      </c>
      <c r="E1208" s="3" t="str">
        <f ca="1">IF(Tabela2[[#This Row],[Dt Venc:]]&gt;TODAY(),"Em Aberto",IF(Tabela2[[#This Row],[D/venc]]="-","Enviado",IF(Tabela2[[#This Row],[Dt Venc:]]=TODAY(),"Vence Hoje","Vencida")))</f>
        <v>Enviado</v>
      </c>
      <c r="F1208" s="3" t="str">
        <f ca="1">IF(G1208=1,"-",Tabela2[[#This Row],[Dt Venc:]]-TODAY())</f>
        <v>-</v>
      </c>
      <c r="G1208" s="3">
        <v>1</v>
      </c>
      <c r="H1208" s="3"/>
    </row>
    <row r="1209" spans="1:8" hidden="1">
      <c r="A1209" s="3">
        <v>322956</v>
      </c>
      <c r="B1209" s="7" t="s">
        <v>77</v>
      </c>
      <c r="C1209" s="42">
        <v>311.67</v>
      </c>
      <c r="D1209" s="6">
        <v>45594</v>
      </c>
      <c r="E1209" s="3" t="str">
        <f ca="1">IF(Tabela2[[#This Row],[Dt Venc:]]&gt;TODAY(),"Em Aberto",IF(Tabela2[[#This Row],[D/venc]]="-","Enviado",IF(Tabela2[[#This Row],[Dt Venc:]]=TODAY(),"Vence Hoje","Vencida")))</f>
        <v>Enviado</v>
      </c>
      <c r="F1209" s="3" t="str">
        <f ca="1">IF(G1209=1,"-",Tabela2[[#This Row],[Dt Venc:]]-TODAY())</f>
        <v>-</v>
      </c>
      <c r="G1209" s="3">
        <v>1</v>
      </c>
      <c r="H1209" s="3"/>
    </row>
    <row r="1210" spans="1:8" hidden="1">
      <c r="A1210" s="28">
        <v>469852</v>
      </c>
      <c r="B1210" s="7" t="s">
        <v>377</v>
      </c>
      <c r="C1210" s="42">
        <v>999.5</v>
      </c>
      <c r="D1210" s="6">
        <v>45594</v>
      </c>
      <c r="E1210" s="3" t="str">
        <f ca="1">IF(Tabela2[[#This Row],[Dt Venc:]]&gt;TODAY(),"Em Aberto",IF(Tabela2[[#This Row],[D/venc]]="-","Enviado",IF(Tabela2[[#This Row],[Dt Venc:]]=TODAY(),"Vence Hoje","Vencida")))</f>
        <v>Enviado</v>
      </c>
      <c r="F1210" s="3" t="str">
        <f ca="1">IF(G1210=1,"-",Tabela2[[#This Row],[Dt Venc:]]-TODAY())</f>
        <v>-</v>
      </c>
      <c r="G1210" s="3">
        <v>1</v>
      </c>
      <c r="H1210" s="3"/>
    </row>
    <row r="1211" spans="1:8" hidden="1">
      <c r="A1211" s="3">
        <v>1444</v>
      </c>
      <c r="B1211" s="7" t="s">
        <v>52</v>
      </c>
      <c r="C1211" s="42">
        <v>852.52</v>
      </c>
      <c r="D1211" s="6">
        <v>45594</v>
      </c>
      <c r="E1211" s="3" t="str">
        <f ca="1">IF(Tabela2[[#This Row],[Dt Venc:]]&gt;TODAY(),"Em Aberto",IF(Tabela2[[#This Row],[D/venc]]="-","Enviado",IF(Tabela2[[#This Row],[Dt Venc:]]=TODAY(),"Vence Hoje","Vencida")))</f>
        <v>Enviado</v>
      </c>
      <c r="F1211" s="3" t="str">
        <f ca="1">IF(G1211=1,"-",Tabela2[[#This Row],[Dt Venc:]]-TODAY())</f>
        <v>-</v>
      </c>
      <c r="G1211" s="3">
        <v>1</v>
      </c>
      <c r="H1211" s="3"/>
    </row>
    <row r="1212" spans="1:8" hidden="1">
      <c r="A1212" s="3">
        <v>251061</v>
      </c>
      <c r="B1212" s="7" t="s">
        <v>36</v>
      </c>
      <c r="C1212" s="42">
        <v>446</v>
      </c>
      <c r="D1212" s="6">
        <v>45594</v>
      </c>
      <c r="E1212" s="3" t="str">
        <f ca="1">IF(Tabela2[[#This Row],[Dt Venc:]]&gt;TODAY(),"Em Aberto",IF(Tabela2[[#This Row],[D/venc]]="-","Enviado",IF(Tabela2[[#This Row],[Dt Venc:]]=TODAY(),"Vence Hoje","Vencida")))</f>
        <v>Enviado</v>
      </c>
      <c r="F1212" s="3" t="str">
        <f ca="1">IF(G1212=1,"-",Tabela2[[#This Row],[Dt Venc:]]-TODAY())</f>
        <v>-</v>
      </c>
      <c r="G1212" s="3">
        <v>1</v>
      </c>
      <c r="H1212" s="3"/>
    </row>
    <row r="1213" spans="1:8" hidden="1">
      <c r="A1213" s="3">
        <v>5768</v>
      </c>
      <c r="B1213" s="7" t="s">
        <v>140</v>
      </c>
      <c r="C1213" s="42">
        <v>405.27</v>
      </c>
      <c r="D1213" s="6">
        <v>45594</v>
      </c>
      <c r="E1213" s="3" t="str">
        <f ca="1">IF(Tabela2[[#This Row],[Dt Venc:]]&gt;TODAY(),"Em Aberto",IF(Tabela2[[#This Row],[D/venc]]="-","Enviado",IF(Tabela2[[#This Row],[Dt Venc:]]=TODAY(),"Vence Hoje","Vencida")))</f>
        <v>Enviado</v>
      </c>
      <c r="F1213" s="3" t="str">
        <f ca="1">IF(G1213=1,"-",Tabela2[[#This Row],[Dt Venc:]]-TODAY())</f>
        <v>-</v>
      </c>
      <c r="G1213" s="3">
        <v>1</v>
      </c>
      <c r="H1213" s="3"/>
    </row>
    <row r="1214" spans="1:8" hidden="1">
      <c r="A1214" s="3">
        <v>152528</v>
      </c>
      <c r="B1214" s="7" t="s">
        <v>77</v>
      </c>
      <c r="C1214" s="42">
        <v>1233.33</v>
      </c>
      <c r="D1214" s="6">
        <v>45594</v>
      </c>
      <c r="E1214" s="3" t="str">
        <f ca="1">IF(Tabela2[[#This Row],[Dt Venc:]]&gt;TODAY(),"Em Aberto",IF(Tabela2[[#This Row],[D/venc]]="-","Enviado",IF(Tabela2[[#This Row],[Dt Venc:]]=TODAY(),"Vence Hoje","Vencida")))</f>
        <v>Enviado</v>
      </c>
      <c r="F1214" s="3" t="str">
        <f ca="1">IF(G1214=1,"-",Tabela2[[#This Row],[Dt Venc:]]-TODAY())</f>
        <v>-</v>
      </c>
      <c r="G1214" s="3">
        <v>1</v>
      </c>
      <c r="H1214" s="3"/>
    </row>
    <row r="1215" spans="1:8" hidden="1">
      <c r="A1215" s="3">
        <v>227657</v>
      </c>
      <c r="B1215" s="7" t="s">
        <v>40</v>
      </c>
      <c r="C1215" s="42">
        <v>1100</v>
      </c>
      <c r="D1215" s="6">
        <v>45594</v>
      </c>
      <c r="E1215" s="3" t="str">
        <f ca="1">IF(Tabela2[[#This Row],[Dt Venc:]]&gt;TODAY(),"Em Aberto",IF(Tabela2[[#This Row],[D/venc]]="-","Enviado",IF(Tabela2[[#This Row],[Dt Venc:]]=TODAY(),"Vence Hoje","Vencida")))</f>
        <v>Enviado</v>
      </c>
      <c r="F1215" s="3" t="str">
        <f ca="1">IF(G1215=1,"-",Tabela2[[#This Row],[Dt Venc:]]-TODAY())</f>
        <v>-</v>
      </c>
      <c r="G1215" s="3">
        <v>1</v>
      </c>
      <c r="H1215" s="3"/>
    </row>
    <row r="1216" spans="1:8" hidden="1">
      <c r="A1216" s="3">
        <v>10830</v>
      </c>
      <c r="B1216" s="7" t="s">
        <v>33</v>
      </c>
      <c r="C1216" s="42">
        <v>1646.66</v>
      </c>
      <c r="D1216" s="6">
        <v>45594</v>
      </c>
      <c r="E1216" s="3" t="str">
        <f ca="1">IF(Tabela2[[#This Row],[Dt Venc:]]&gt;TODAY(),"Em Aberto",IF(Tabela2[[#This Row],[D/venc]]="-","Enviado",IF(Tabela2[[#This Row],[Dt Venc:]]=TODAY(),"Vence Hoje","Vencida")))</f>
        <v>Enviado</v>
      </c>
      <c r="F1216" s="3" t="str">
        <f ca="1">IF(G1216=1,"-",Tabela2[[#This Row],[Dt Venc:]]-TODAY())</f>
        <v>-</v>
      </c>
      <c r="G1216" s="3">
        <v>1</v>
      </c>
      <c r="H1216" s="3"/>
    </row>
    <row r="1217" spans="1:8" hidden="1">
      <c r="A1217" s="3">
        <v>256348</v>
      </c>
      <c r="B1217" s="7" t="s">
        <v>36</v>
      </c>
      <c r="C1217" s="42">
        <v>369.31</v>
      </c>
      <c r="D1217" s="6">
        <v>45594</v>
      </c>
      <c r="E1217" s="3" t="str">
        <f ca="1">IF(Tabela2[[#This Row],[Dt Venc:]]&gt;TODAY(),"Em Aberto",IF(Tabela2[[#This Row],[D/venc]]="-","Enviado",IF(Tabela2[[#This Row],[Dt Venc:]]=TODAY(),"Vence Hoje","Vencida")))</f>
        <v>Enviado</v>
      </c>
      <c r="F1217" s="3" t="str">
        <f ca="1">IF(G1217=1,"-",Tabela2[[#This Row],[Dt Venc:]]-TODAY())</f>
        <v>-</v>
      </c>
      <c r="G1217" s="3">
        <v>1</v>
      </c>
      <c r="H1217" s="3"/>
    </row>
    <row r="1218" spans="1:8" hidden="1">
      <c r="A1218" s="3">
        <v>469852</v>
      </c>
      <c r="B1218" s="7" t="s">
        <v>377</v>
      </c>
      <c r="C1218" s="42">
        <v>999.5</v>
      </c>
      <c r="D1218" s="6">
        <v>45594</v>
      </c>
      <c r="E1218" s="3" t="str">
        <f ca="1">IF(Tabela2[[#This Row],[Dt Venc:]]&gt;TODAY(),"Em Aberto",IF(Tabela2[[#This Row],[D/venc]]="-","Enviado",IF(Tabela2[[#This Row],[Dt Venc:]]=TODAY(),"Vence Hoje","Vencida")))</f>
        <v>Enviado</v>
      </c>
      <c r="F1218" s="3" t="str">
        <f ca="1">IF(G1218=1,"-",Tabela2[[#This Row],[Dt Venc:]]-TODAY())</f>
        <v>-</v>
      </c>
      <c r="G1218" s="3">
        <v>1</v>
      </c>
      <c r="H1218" s="3"/>
    </row>
    <row r="1219" spans="1:8" hidden="1">
      <c r="A1219" s="3">
        <v>229909</v>
      </c>
      <c r="B1219" s="7" t="s">
        <v>55</v>
      </c>
      <c r="C1219" s="42">
        <v>826.67</v>
      </c>
      <c r="D1219" s="6">
        <v>45594</v>
      </c>
      <c r="E1219" s="3" t="str">
        <f ca="1">IF(Tabela2[[#This Row],[Dt Venc:]]&gt;TODAY(),"Em Aberto",IF(Tabela2[[#This Row],[D/venc]]="-","Enviado",IF(Tabela2[[#This Row],[Dt Venc:]]=TODAY(),"Vence Hoje","Vencida")))</f>
        <v>Enviado</v>
      </c>
      <c r="F1219" s="3" t="str">
        <f ca="1">IF(G1219=1,"-",Tabela2[[#This Row],[Dt Venc:]]-TODAY())</f>
        <v>-</v>
      </c>
      <c r="G1219" s="3">
        <v>1</v>
      </c>
      <c r="H1219" s="3"/>
    </row>
    <row r="1220" spans="1:8" hidden="1">
      <c r="A1220" s="3">
        <v>606061</v>
      </c>
      <c r="B1220" s="7" t="s">
        <v>56</v>
      </c>
      <c r="C1220" s="42">
        <v>996.08</v>
      </c>
      <c r="D1220" s="6">
        <v>45594</v>
      </c>
      <c r="E1220" s="3" t="str">
        <f ca="1">IF(Tabela2[[#This Row],[Dt Venc:]]&gt;TODAY(),"Em Aberto",IF(Tabela2[[#This Row],[D/venc]]="-","Enviado",IF(Tabela2[[#This Row],[Dt Venc:]]=TODAY(),"Vence Hoje","Vencida")))</f>
        <v>Enviado</v>
      </c>
      <c r="F1220" s="3" t="str">
        <f ca="1">IF(G1220=1,"-",Tabela2[[#This Row],[Dt Venc:]]-TODAY())</f>
        <v>-</v>
      </c>
      <c r="G1220" s="3">
        <v>1</v>
      </c>
      <c r="H1220" s="3"/>
    </row>
    <row r="1221" spans="1:8" hidden="1">
      <c r="A1221" s="3">
        <v>255224</v>
      </c>
      <c r="B1221" s="7" t="s">
        <v>49</v>
      </c>
      <c r="C1221" s="42">
        <v>1393.33</v>
      </c>
      <c r="D1221" s="6">
        <v>45594</v>
      </c>
      <c r="E1221" s="3" t="str">
        <f ca="1">IF(Tabela2[[#This Row],[Dt Venc:]]&gt;TODAY(),"Em Aberto",IF(Tabela2[[#This Row],[D/venc]]="-","Enviado",IF(Tabela2[[#This Row],[Dt Venc:]]=TODAY(),"Vence Hoje","Vencida")))</f>
        <v>Enviado</v>
      </c>
      <c r="F1221" s="3" t="str">
        <f ca="1">IF(G1221=1,"-",Tabela2[[#This Row],[Dt Venc:]]-TODAY())</f>
        <v>-</v>
      </c>
      <c r="G1221" s="3">
        <v>1</v>
      </c>
      <c r="H1221" s="3"/>
    </row>
    <row r="1222" spans="1:8" hidden="1">
      <c r="A1222" s="3">
        <v>10830</v>
      </c>
      <c r="B1222" s="7" t="s">
        <v>33</v>
      </c>
      <c r="C1222" s="42">
        <v>1646.66</v>
      </c>
      <c r="D1222" s="6">
        <v>45594</v>
      </c>
      <c r="E1222" s="3" t="str">
        <f ca="1">IF(Tabela2[[#This Row],[Dt Venc:]]&gt;TODAY(),"Em Aberto",IF(Tabela2[[#This Row],[D/venc]]="-","Enviado",IF(Tabela2[[#This Row],[Dt Venc:]]=TODAY(),"Vence Hoje","Vencida")))</f>
        <v>Enviado</v>
      </c>
      <c r="F1222" s="3" t="str">
        <f ca="1">IF(G1222=1,"-",Tabela2[[#This Row],[Dt Venc:]]-TODAY())</f>
        <v>-</v>
      </c>
      <c r="G1222" s="3">
        <v>1</v>
      </c>
      <c r="H1222" s="3"/>
    </row>
    <row r="1223" spans="1:8" hidden="1">
      <c r="A1223" s="3">
        <v>2519</v>
      </c>
      <c r="B1223" s="7" t="s">
        <v>160</v>
      </c>
      <c r="C1223" s="42">
        <v>280</v>
      </c>
      <c r="D1223" s="6">
        <v>45594</v>
      </c>
      <c r="E1223" s="3" t="str">
        <f ca="1">IF(Tabela2[[#This Row],[Dt Venc:]]&gt;TODAY(),"Em Aberto",IF(Tabela2[[#This Row],[D/venc]]="-","Enviado",IF(Tabela2[[#This Row],[Dt Venc:]]=TODAY(),"Vence Hoje","Vencida")))</f>
        <v>Enviado</v>
      </c>
      <c r="F1223" s="3" t="str">
        <f ca="1">IF(G1223=1,"-",Tabela2[[#This Row],[Dt Venc:]]-TODAY())</f>
        <v>-</v>
      </c>
      <c r="G1223" s="3">
        <v>1</v>
      </c>
      <c r="H1223" s="3"/>
    </row>
    <row r="1224" spans="1:8" hidden="1">
      <c r="A1224" s="3">
        <v>255521</v>
      </c>
      <c r="B1224" s="7" t="s">
        <v>326</v>
      </c>
      <c r="C1224" s="42">
        <v>1393.33</v>
      </c>
      <c r="D1224" s="6">
        <v>45594</v>
      </c>
      <c r="E1224" s="3" t="str">
        <f ca="1">IF(Tabela2[[#This Row],[Dt Venc:]]&gt;TODAY(),"Em Aberto",IF(Tabela2[[#This Row],[D/venc]]="-","Enviado",IF(Tabela2[[#This Row],[Dt Venc:]]=TODAY(),"Vence Hoje","Vencida")))</f>
        <v>Enviado</v>
      </c>
      <c r="F1224" s="3" t="str">
        <f ca="1">IF(G1224=1,"-",Tabela2[[#This Row],[Dt Venc:]]-TODAY())</f>
        <v>-</v>
      </c>
      <c r="G1224" s="3">
        <v>1</v>
      </c>
      <c r="H1224" s="3"/>
    </row>
    <row r="1225" spans="1:8" hidden="1">
      <c r="A1225" s="3">
        <v>14155</v>
      </c>
      <c r="B1225" s="7" t="s">
        <v>303</v>
      </c>
      <c r="C1225" s="42">
        <v>200</v>
      </c>
      <c r="D1225" s="6">
        <v>45594</v>
      </c>
      <c r="E1225" s="3" t="str">
        <f ca="1">IF(Tabela2[[#This Row],[Dt Venc:]]&gt;TODAY(),"Em Aberto",IF(Tabela2[[#This Row],[D/venc]]="-","Enviado",IF(Tabela2[[#This Row],[Dt Venc:]]=TODAY(),"Vence Hoje","Vencida")))</f>
        <v>Enviado</v>
      </c>
      <c r="F1225" s="3" t="str">
        <f ca="1">IF(G1225=1,"-",Tabela2[[#This Row],[Dt Venc:]]-TODAY())</f>
        <v>-</v>
      </c>
      <c r="G1225" s="3">
        <v>1</v>
      </c>
      <c r="H1225" s="3"/>
    </row>
    <row r="1226" spans="1:8" hidden="1">
      <c r="A1226" s="3">
        <v>9186</v>
      </c>
      <c r="B1226" s="7" t="s">
        <v>378</v>
      </c>
      <c r="C1226" s="42">
        <v>675</v>
      </c>
      <c r="D1226" s="6">
        <v>45594</v>
      </c>
      <c r="E1226" s="3" t="str">
        <f ca="1">IF(Tabela2[[#This Row],[Dt Venc:]]&gt;TODAY(),"Em Aberto",IF(Tabela2[[#This Row],[D/venc]]="-","Enviado",IF(Tabela2[[#This Row],[Dt Venc:]]=TODAY(),"Vence Hoje","Vencida")))</f>
        <v>Enviado</v>
      </c>
      <c r="F1226" s="3" t="str">
        <f ca="1">IF(G1226=1,"-",Tabela2[[#This Row],[Dt Venc:]]-TODAY())</f>
        <v>-</v>
      </c>
      <c r="G1226" s="3">
        <v>1</v>
      </c>
      <c r="H1226" s="3"/>
    </row>
    <row r="1227" spans="1:8" hidden="1">
      <c r="A1227" s="3">
        <v>148636</v>
      </c>
      <c r="B1227" s="7" t="s">
        <v>148</v>
      </c>
      <c r="C1227" s="42">
        <v>642.35</v>
      </c>
      <c r="D1227" s="6">
        <v>45594</v>
      </c>
      <c r="E1227" s="3" t="str">
        <f ca="1">IF(Tabela2[[#This Row],[Dt Venc:]]&gt;TODAY(),"Em Aberto",IF(Tabela2[[#This Row],[D/venc]]="-","Enviado",IF(Tabela2[[#This Row],[Dt Venc:]]=TODAY(),"Vence Hoje","Vencida")))</f>
        <v>Enviado</v>
      </c>
      <c r="F1227" s="3" t="str">
        <f ca="1">IF(G1227=1,"-",Tabela2[[#This Row],[Dt Venc:]]-TODAY())</f>
        <v>-</v>
      </c>
      <c r="G1227" s="3">
        <v>1</v>
      </c>
      <c r="H1227" s="3"/>
    </row>
    <row r="1228" spans="1:8" hidden="1">
      <c r="A1228" s="3">
        <v>14131</v>
      </c>
      <c r="B1228" s="7" t="s">
        <v>51</v>
      </c>
      <c r="C1228" s="42">
        <v>290</v>
      </c>
      <c r="D1228" s="6">
        <v>45594</v>
      </c>
      <c r="E1228" s="3" t="str">
        <f ca="1">IF(Tabela2[[#This Row],[Dt Venc:]]&gt;TODAY(),"Em Aberto",IF(Tabela2[[#This Row],[D/venc]]="-","Enviado",IF(Tabela2[[#This Row],[Dt Venc:]]=TODAY(),"Vence Hoje","Vencida")))</f>
        <v>Enviado</v>
      </c>
      <c r="F1228" s="3" t="str">
        <f ca="1">IF(G1228=1,"-",Tabela2[[#This Row],[Dt Venc:]]-TODAY())</f>
        <v>-</v>
      </c>
      <c r="G1228" s="3">
        <v>1</v>
      </c>
      <c r="H1228" s="3"/>
    </row>
    <row r="1229" spans="1:8" hidden="1">
      <c r="A1229" s="3">
        <v>14127</v>
      </c>
      <c r="B1229" s="7" t="s">
        <v>51</v>
      </c>
      <c r="C1229" s="42">
        <v>600</v>
      </c>
      <c r="D1229" s="6">
        <v>45594</v>
      </c>
      <c r="E1229" s="3" t="str">
        <f ca="1">IF(Tabela2[[#This Row],[Dt Venc:]]&gt;TODAY(),"Em Aberto",IF(Tabela2[[#This Row],[D/venc]]="-","Enviado",IF(Tabela2[[#This Row],[Dt Venc:]]=TODAY(),"Vence Hoje","Vencida")))</f>
        <v>Enviado</v>
      </c>
      <c r="F1229" s="3" t="str">
        <f ca="1">IF(G1229=1,"-",Tabela2[[#This Row],[Dt Venc:]]-TODAY())</f>
        <v>-</v>
      </c>
      <c r="G1229" s="3">
        <v>1</v>
      </c>
      <c r="H1229" s="3"/>
    </row>
    <row r="1230" spans="1:8" hidden="1">
      <c r="A1230" s="3">
        <v>11085</v>
      </c>
      <c r="B1230" s="7" t="s">
        <v>72</v>
      </c>
      <c r="C1230" s="42">
        <v>300</v>
      </c>
      <c r="D1230" s="6">
        <v>45594</v>
      </c>
      <c r="E1230" s="3" t="str">
        <f ca="1">IF(Tabela2[[#This Row],[Dt Venc:]]&gt;TODAY(),"Em Aberto",IF(Tabela2[[#This Row],[D/venc]]="-","Enviado",IF(Tabela2[[#This Row],[Dt Venc:]]=TODAY(),"Vence Hoje","Vencida")))</f>
        <v>Enviado</v>
      </c>
      <c r="F1230" s="3" t="str">
        <f ca="1">IF(G1230=1,"-",Tabela2[[#This Row],[Dt Venc:]]-TODAY())</f>
        <v>-</v>
      </c>
      <c r="G1230" s="3">
        <v>1</v>
      </c>
      <c r="H1230" s="3"/>
    </row>
    <row r="1231" spans="1:8" hidden="1">
      <c r="A1231" s="3">
        <v>28083</v>
      </c>
      <c r="B1231" s="7" t="s">
        <v>142</v>
      </c>
      <c r="C1231" s="42">
        <v>430.26</v>
      </c>
      <c r="D1231" s="6">
        <v>45594</v>
      </c>
      <c r="E1231" s="3" t="str">
        <f ca="1">IF(Tabela2[[#This Row],[Dt Venc:]]&gt;TODAY(),"Em Aberto",IF(Tabela2[[#This Row],[D/venc]]="-","Enviado",IF(Tabela2[[#This Row],[Dt Venc:]]=TODAY(),"Vence Hoje","Vencida")))</f>
        <v>Enviado</v>
      </c>
      <c r="F1231" s="3" t="str">
        <f ca="1">IF(G1231=1,"-",Tabela2[[#This Row],[Dt Venc:]]-TODAY())</f>
        <v>-</v>
      </c>
      <c r="G1231" s="3">
        <v>1</v>
      </c>
      <c r="H1231" s="3"/>
    </row>
    <row r="1232" spans="1:8" hidden="1">
      <c r="A1232" s="3">
        <v>255795</v>
      </c>
      <c r="B1232" s="7" t="s">
        <v>49</v>
      </c>
      <c r="C1232" s="42">
        <v>1393.34</v>
      </c>
      <c r="D1232" s="6">
        <v>45594</v>
      </c>
      <c r="E1232" s="3" t="str">
        <f ca="1">IF(Tabela2[[#This Row],[Dt Venc:]]&gt;TODAY(),"Em Aberto",IF(Tabela2[[#This Row],[D/venc]]="-","Enviado",IF(Tabela2[[#This Row],[Dt Venc:]]=TODAY(),"Vence Hoje","Vencida")))</f>
        <v>Enviado</v>
      </c>
      <c r="F1232" s="3" t="str">
        <f ca="1">IF(G1232=1,"-",Tabela2[[#This Row],[Dt Venc:]]-TODAY())</f>
        <v>-</v>
      </c>
      <c r="G1232" s="3">
        <v>1</v>
      </c>
      <c r="H1232" s="3"/>
    </row>
    <row r="1233" spans="1:8" hidden="1">
      <c r="A1233" s="3">
        <v>64706</v>
      </c>
      <c r="B1233" s="7" t="s">
        <v>379</v>
      </c>
      <c r="C1233" s="42">
        <v>440</v>
      </c>
      <c r="D1233" s="6">
        <v>45594</v>
      </c>
      <c r="E1233" s="3" t="str">
        <f ca="1">IF(Tabela2[[#This Row],[Dt Venc:]]&gt;TODAY(),"Em Aberto",IF(Tabela2[[#This Row],[D/venc]]="-","Enviado",IF(Tabela2[[#This Row],[Dt Venc:]]=TODAY(),"Vence Hoje","Vencida")))</f>
        <v>Enviado</v>
      </c>
      <c r="F1233" s="3" t="str">
        <f ca="1">IF(G1233=1,"-",Tabela2[[#This Row],[Dt Venc:]]-TODAY())</f>
        <v>-</v>
      </c>
      <c r="G1233" s="3">
        <v>1</v>
      </c>
      <c r="H1233" s="3"/>
    </row>
    <row r="1234" spans="1:8" hidden="1">
      <c r="A1234" s="3">
        <v>2255050</v>
      </c>
      <c r="B1234" s="7" t="s">
        <v>59</v>
      </c>
      <c r="C1234" s="42">
        <v>54526</v>
      </c>
      <c r="D1234" s="6">
        <v>45594</v>
      </c>
      <c r="E1234" s="3" t="str">
        <f ca="1">IF(Tabela2[[#This Row],[Dt Venc:]]&gt;TODAY(),"Em Aberto",IF(Tabela2[[#This Row],[D/venc]]="-","Enviado",IF(Tabela2[[#This Row],[Dt Venc:]]=TODAY(),"Vence Hoje","Vencida")))</f>
        <v>Enviado</v>
      </c>
      <c r="F1234" s="3" t="str">
        <f ca="1">IF(G1234=1,"-",Tabela2[[#This Row],[Dt Venc:]]-TODAY())</f>
        <v>-</v>
      </c>
      <c r="G1234" s="3">
        <v>1</v>
      </c>
      <c r="H1234" s="3"/>
    </row>
    <row r="1235" spans="1:8" hidden="1">
      <c r="A1235" s="3">
        <v>1986559</v>
      </c>
      <c r="B1235" s="7" t="s">
        <v>59</v>
      </c>
      <c r="C1235" s="42">
        <v>108712</v>
      </c>
      <c r="D1235" s="6">
        <v>45594</v>
      </c>
      <c r="E1235" s="3" t="str">
        <f ca="1">IF(Tabela2[[#This Row],[Dt Venc:]]&gt;TODAY(),"Em Aberto",IF(Tabela2[[#This Row],[D/venc]]="-","Enviado",IF(Tabela2[[#This Row],[Dt Venc:]]=TODAY(),"Vence Hoje","Vencida")))</f>
        <v>Enviado</v>
      </c>
      <c r="F1235" s="3" t="str">
        <f ca="1">IF(G1235=1,"-",Tabela2[[#This Row],[Dt Venc:]]-TODAY())</f>
        <v>-</v>
      </c>
      <c r="G1235" s="3">
        <v>1</v>
      </c>
      <c r="H1235" s="3"/>
    </row>
    <row r="1236" spans="1:8" hidden="1">
      <c r="A1236" s="3">
        <v>4001408</v>
      </c>
      <c r="B1236" s="7" t="s">
        <v>380</v>
      </c>
      <c r="C1236" s="42">
        <v>1000</v>
      </c>
      <c r="D1236" s="6">
        <v>45594</v>
      </c>
      <c r="E1236" s="3" t="str">
        <f ca="1">IF(Tabela2[[#This Row],[Dt Venc:]]&gt;TODAY(),"Em Aberto",IF(Tabela2[[#This Row],[D/venc]]="-","Enviado",IF(Tabela2[[#This Row],[Dt Venc:]]=TODAY(),"Vence Hoje","Vencida")))</f>
        <v>Enviado</v>
      </c>
      <c r="F1236" s="3" t="str">
        <f ca="1">IF(G1236=1,"-",Tabela2[[#This Row],[Dt Venc:]]-TODAY())</f>
        <v>-</v>
      </c>
      <c r="G1236" s="3">
        <v>1</v>
      </c>
      <c r="H1236" s="3"/>
    </row>
    <row r="1237" spans="1:8" hidden="1">
      <c r="A1237" s="3">
        <v>4001407</v>
      </c>
      <c r="B1237" s="7" t="s">
        <v>380</v>
      </c>
      <c r="C1237" s="42">
        <v>1000</v>
      </c>
      <c r="D1237" s="6">
        <v>45594</v>
      </c>
      <c r="E1237" s="3" t="str">
        <f ca="1">IF(Tabela2[[#This Row],[Dt Venc:]]&gt;TODAY(),"Em Aberto",IF(Tabela2[[#This Row],[D/venc]]="-","Enviado",IF(Tabela2[[#This Row],[Dt Venc:]]=TODAY(),"Vence Hoje","Vencida")))</f>
        <v>Enviado</v>
      </c>
      <c r="F1237" s="3" t="str">
        <f ca="1">IF(G1237=1,"-",Tabela2[[#This Row],[Dt Venc:]]-TODAY())</f>
        <v>-</v>
      </c>
      <c r="G1237" s="3">
        <v>1</v>
      </c>
      <c r="H1237" s="3"/>
    </row>
    <row r="1238" spans="1:8" hidden="1">
      <c r="A1238" s="3">
        <v>3296634</v>
      </c>
      <c r="B1238" s="7" t="s">
        <v>71</v>
      </c>
      <c r="C1238" s="42">
        <v>81396</v>
      </c>
      <c r="D1238" s="6">
        <v>45594</v>
      </c>
      <c r="E1238" s="3" t="str">
        <f ca="1">IF(Tabela2[[#This Row],[Dt Venc:]]&gt;TODAY(),"Em Aberto",IF(Tabela2[[#This Row],[D/venc]]="-","Enviado",IF(Tabela2[[#This Row],[Dt Venc:]]=TODAY(),"Vence Hoje","Vencida")))</f>
        <v>Enviado</v>
      </c>
      <c r="F1238" s="3" t="str">
        <f ca="1">IF(G1238=1,"-",Tabela2[[#This Row],[Dt Venc:]]-TODAY())</f>
        <v>-</v>
      </c>
      <c r="G1238" s="3">
        <v>1</v>
      </c>
      <c r="H1238" s="3"/>
    </row>
    <row r="1239" spans="1:8" hidden="1">
      <c r="A1239" s="3">
        <v>1876</v>
      </c>
      <c r="B1239" s="7" t="s">
        <v>381</v>
      </c>
      <c r="C1239" s="41">
        <v>1450</v>
      </c>
      <c r="D1239" s="6">
        <v>45594</v>
      </c>
      <c r="E1239" s="3" t="str">
        <f ca="1">IF(Tabela2[[#This Row],[Dt Venc:]]&gt;TODAY(),"Em Aberto",IF(Tabela2[[#This Row],[D/venc]]="-","Enviado",IF(Tabela2[[#This Row],[Dt Venc:]]=TODAY(),"Vence Hoje","Vencida")))</f>
        <v>Enviado</v>
      </c>
      <c r="F1239" s="3" t="str">
        <f ca="1">IF(G1239=1,"-",Tabela2[[#This Row],[Dt Venc:]]-TODAY())</f>
        <v>-</v>
      </c>
      <c r="G1239" s="3">
        <v>1</v>
      </c>
      <c r="H1239" s="3"/>
    </row>
    <row r="1240" spans="1:8" hidden="1">
      <c r="A1240" s="3">
        <v>10690</v>
      </c>
      <c r="B1240" s="7" t="s">
        <v>33</v>
      </c>
      <c r="C1240" s="42">
        <v>800</v>
      </c>
      <c r="D1240" s="6">
        <v>45595</v>
      </c>
      <c r="E1240" s="3" t="str">
        <f ca="1">IF(Tabela2[[#This Row],[Dt Venc:]]&gt;TODAY(),"Em Aberto",IF(Tabela2[[#This Row],[D/venc]]="-","Enviado",IF(Tabela2[[#This Row],[Dt Venc:]]=TODAY(),"Vence Hoje","Vencida")))</f>
        <v>Enviado</v>
      </c>
      <c r="F1240" s="3" t="str">
        <f ca="1">IF(G1240=1,"-",Tabela2[[#This Row],[Dt Venc:]]-TODAY())</f>
        <v>-</v>
      </c>
      <c r="G1240" s="3">
        <v>1</v>
      </c>
      <c r="H1240" s="3"/>
    </row>
    <row r="1241" spans="1:8" hidden="1">
      <c r="A1241" s="3">
        <v>299349</v>
      </c>
      <c r="B1241" s="7" t="s">
        <v>63</v>
      </c>
      <c r="C1241" s="42">
        <v>887.3</v>
      </c>
      <c r="D1241" s="6">
        <v>45595</v>
      </c>
      <c r="E1241" s="3" t="str">
        <f ca="1">IF(Tabela2[[#This Row],[Dt Venc:]]&gt;TODAY(),"Em Aberto",IF(Tabela2[[#This Row],[D/venc]]="-","Enviado",IF(Tabela2[[#This Row],[Dt Venc:]]=TODAY(),"Vence Hoje","Vencida")))</f>
        <v>Enviado</v>
      </c>
      <c r="F1241" s="3" t="str">
        <f ca="1">IF(G1241=1,"-",Tabela2[[#This Row],[Dt Venc:]]-TODAY())</f>
        <v>-</v>
      </c>
      <c r="G1241" s="3">
        <v>1</v>
      </c>
      <c r="H1241" s="3"/>
    </row>
    <row r="1242" spans="1:8" hidden="1">
      <c r="A1242" s="3">
        <v>1225189</v>
      </c>
      <c r="B1242" s="7" t="s">
        <v>64</v>
      </c>
      <c r="C1242" s="42">
        <v>1505.34</v>
      </c>
      <c r="D1242" s="6">
        <v>45595</v>
      </c>
      <c r="E1242" s="3" t="str">
        <f ca="1">IF(Tabela2[[#This Row],[Dt Venc:]]&gt;TODAY(),"Em Aberto",IF(Tabela2[[#This Row],[D/venc]]="-","Enviado",IF(Tabela2[[#This Row],[Dt Venc:]]=TODAY(),"Vence Hoje","Vencida")))</f>
        <v>Enviado</v>
      </c>
      <c r="F1242" s="3" t="str">
        <f ca="1">IF(G1242=1,"-",Tabela2[[#This Row],[Dt Venc:]]-TODAY())</f>
        <v>-</v>
      </c>
      <c r="G1242" s="3">
        <v>1</v>
      </c>
      <c r="H1242" s="3"/>
    </row>
    <row r="1243" spans="1:8" hidden="1">
      <c r="A1243" s="3">
        <v>362003</v>
      </c>
      <c r="B1243" s="7" t="s">
        <v>65</v>
      </c>
      <c r="C1243" s="42">
        <v>1161.5</v>
      </c>
      <c r="D1243" s="6">
        <v>45595</v>
      </c>
      <c r="E1243" s="3" t="str">
        <f ca="1">IF(Tabela2[[#This Row],[Dt Venc:]]&gt;TODAY(),"Em Aberto",IF(Tabela2[[#This Row],[D/venc]]="-","Enviado",IF(Tabela2[[#This Row],[Dt Venc:]]=TODAY(),"Vence Hoje","Vencida")))</f>
        <v>Enviado</v>
      </c>
      <c r="F1243" s="3" t="str">
        <f ca="1">IF(G1243=1,"-",Tabela2[[#This Row],[Dt Venc:]]-TODAY())</f>
        <v>-</v>
      </c>
      <c r="G1243" s="3">
        <v>1</v>
      </c>
      <c r="H1243" s="3"/>
    </row>
    <row r="1244" spans="1:8" hidden="1">
      <c r="A1244" s="3">
        <v>364300</v>
      </c>
      <c r="B1244" s="7" t="s">
        <v>39</v>
      </c>
      <c r="C1244" s="42">
        <v>863.96</v>
      </c>
      <c r="D1244" s="6">
        <v>45595</v>
      </c>
      <c r="E1244" s="3" t="str">
        <f ca="1">IF(Tabela2[[#This Row],[Dt Venc:]]&gt;TODAY(),"Em Aberto",IF(Tabela2[[#This Row],[D/venc]]="-","Enviado",IF(Tabela2[[#This Row],[Dt Venc:]]=TODAY(),"Vence Hoje","Vencida")))</f>
        <v>Enviado</v>
      </c>
      <c r="F1244" s="3" t="str">
        <f ca="1">IF(G1244=1,"-",Tabela2[[#This Row],[Dt Venc:]]-TODAY())</f>
        <v>-</v>
      </c>
      <c r="G1244" s="3">
        <v>1</v>
      </c>
      <c r="H1244" s="3"/>
    </row>
    <row r="1245" spans="1:8" hidden="1">
      <c r="A1245" s="3">
        <v>216585</v>
      </c>
      <c r="B1245" s="7" t="s">
        <v>127</v>
      </c>
      <c r="C1245" s="42">
        <v>2218.62</v>
      </c>
      <c r="D1245" s="6">
        <v>45595</v>
      </c>
      <c r="E1245" s="3" t="str">
        <f ca="1">IF(Tabela2[[#This Row],[Dt Venc:]]&gt;TODAY(),"Em Aberto",IF(Tabela2[[#This Row],[D/venc]]="-","Enviado",IF(Tabela2[[#This Row],[Dt Venc:]]=TODAY(),"Vence Hoje","Vencida")))</f>
        <v>Enviado</v>
      </c>
      <c r="F1245" s="3" t="str">
        <f ca="1">IF(G1245=1,"-",Tabela2[[#This Row],[Dt Venc:]]-TODAY())</f>
        <v>-</v>
      </c>
      <c r="G1245" s="3">
        <v>1</v>
      </c>
      <c r="H1245" s="3"/>
    </row>
    <row r="1246" spans="1:8" hidden="1">
      <c r="A1246" s="3">
        <v>151834</v>
      </c>
      <c r="B1246" s="7" t="s">
        <v>77</v>
      </c>
      <c r="C1246" s="42">
        <v>1233.33</v>
      </c>
      <c r="D1246" s="6">
        <v>45595</v>
      </c>
      <c r="E1246" s="3" t="str">
        <f ca="1">IF(Tabela2[[#This Row],[Dt Venc:]]&gt;TODAY(),"Em Aberto",IF(Tabela2[[#This Row],[D/venc]]="-","Enviado",IF(Tabela2[[#This Row],[Dt Venc:]]=TODAY(),"Vence Hoje","Vencida")))</f>
        <v>Enviado</v>
      </c>
      <c r="F1246" s="3" t="str">
        <f ca="1">IF(G1246=1,"-",Tabela2[[#This Row],[Dt Venc:]]-TODAY())</f>
        <v>-</v>
      </c>
      <c r="G1246" s="3">
        <v>1</v>
      </c>
      <c r="H1246" s="3"/>
    </row>
    <row r="1247" spans="1:8" hidden="1">
      <c r="A1247" s="3">
        <v>28717</v>
      </c>
      <c r="B1247" s="7" t="s">
        <v>70</v>
      </c>
      <c r="C1247" s="42">
        <v>1653.36</v>
      </c>
      <c r="D1247" s="6">
        <v>45595</v>
      </c>
      <c r="E1247" s="3" t="str">
        <f ca="1">IF(Tabela2[[#This Row],[Dt Venc:]]&gt;TODAY(),"Em Aberto",IF(Tabela2[[#This Row],[D/venc]]="-","Enviado",IF(Tabela2[[#This Row],[Dt Venc:]]=TODAY(),"Vence Hoje","Vencida")))</f>
        <v>Enviado</v>
      </c>
      <c r="F1247" s="3" t="str">
        <f ca="1">IF(G1247=1,"-",Tabela2[[#This Row],[Dt Venc:]]-TODAY())</f>
        <v>-</v>
      </c>
      <c r="G1247" s="3">
        <v>1</v>
      </c>
      <c r="H1247" s="3"/>
    </row>
    <row r="1248" spans="1:8" hidden="1">
      <c r="A1248" s="3">
        <v>90</v>
      </c>
      <c r="B1248" s="7" t="s">
        <v>339</v>
      </c>
      <c r="C1248" s="42">
        <v>16500</v>
      </c>
      <c r="D1248" s="6">
        <v>45595</v>
      </c>
      <c r="E1248" s="3" t="str">
        <f ca="1">IF(Tabela2[[#This Row],[Dt Venc:]]&gt;TODAY(),"Em Aberto",IF(Tabela2[[#This Row],[D/venc]]="-","Enviado",IF(Tabela2[[#This Row],[Dt Venc:]]=TODAY(),"Vence Hoje","Vencida")))</f>
        <v>Enviado</v>
      </c>
      <c r="F1248" s="3" t="str">
        <f ca="1">IF(G1248=1,"-",Tabela2[[#This Row],[Dt Venc:]]-TODAY())</f>
        <v>-</v>
      </c>
      <c r="G1248" s="3">
        <v>1</v>
      </c>
      <c r="H1248" s="3"/>
    </row>
    <row r="1249" spans="1:8" hidden="1">
      <c r="A1249" s="3">
        <v>17</v>
      </c>
      <c r="B1249" s="7" t="s">
        <v>339</v>
      </c>
      <c r="C1249" s="42">
        <v>2217</v>
      </c>
      <c r="D1249" s="6">
        <v>45595</v>
      </c>
      <c r="E1249" s="3" t="str">
        <f ca="1">IF(Tabela2[[#This Row],[Dt Venc:]]&gt;TODAY(),"Em Aberto",IF(Tabela2[[#This Row],[D/venc]]="-","Enviado",IF(Tabela2[[#This Row],[Dt Venc:]]=TODAY(),"Vence Hoje","Vencida")))</f>
        <v>Enviado</v>
      </c>
      <c r="F1249" s="3" t="str">
        <f ca="1">IF(G1249=1,"-",Tabela2[[#This Row],[Dt Venc:]]-TODAY())</f>
        <v>-</v>
      </c>
      <c r="G1249" s="3">
        <v>1</v>
      </c>
      <c r="H1249" s="3"/>
    </row>
    <row r="1250" spans="1:8" hidden="1">
      <c r="A1250" s="3">
        <v>91</v>
      </c>
      <c r="B1250" s="7" t="s">
        <v>339</v>
      </c>
      <c r="C1250" s="42">
        <v>1854</v>
      </c>
      <c r="D1250" s="6">
        <v>45595</v>
      </c>
      <c r="E1250" s="3" t="str">
        <f ca="1">IF(Tabela2[[#This Row],[Dt Venc:]]&gt;TODAY(),"Em Aberto",IF(Tabela2[[#This Row],[D/venc]]="-","Enviado",IF(Tabela2[[#This Row],[Dt Venc:]]=TODAY(),"Vence Hoje","Vencida")))</f>
        <v>Enviado</v>
      </c>
      <c r="F1250" s="3" t="str">
        <f ca="1">IF(G1250=1,"-",Tabela2[[#This Row],[Dt Venc:]]-TODAY())</f>
        <v>-</v>
      </c>
      <c r="G1250" s="3">
        <v>1</v>
      </c>
      <c r="H1250" s="3"/>
    </row>
    <row r="1251" spans="1:8" hidden="1">
      <c r="A1251" s="3">
        <v>10389</v>
      </c>
      <c r="B1251" s="7" t="s">
        <v>72</v>
      </c>
      <c r="C1251" s="42">
        <v>733.34</v>
      </c>
      <c r="D1251" s="6">
        <v>45595</v>
      </c>
      <c r="E1251" s="3" t="str">
        <f ca="1">IF(Tabela2[[#This Row],[Dt Venc:]]&gt;TODAY(),"Em Aberto",IF(Tabela2[[#This Row],[D/venc]]="-","Enviado",IF(Tabela2[[#This Row],[Dt Venc:]]=TODAY(),"Vence Hoje","Vencida")))</f>
        <v>Enviado</v>
      </c>
      <c r="F1251" s="3" t="str">
        <f ca="1">IF(G1251=1,"-",Tabela2[[#This Row],[Dt Venc:]]-TODAY())</f>
        <v>-</v>
      </c>
      <c r="G1251" s="3">
        <v>1</v>
      </c>
      <c r="H1251" s="3"/>
    </row>
    <row r="1252" spans="1:8" hidden="1">
      <c r="A1252" s="3">
        <v>25192</v>
      </c>
      <c r="B1252" s="7" t="s">
        <v>70</v>
      </c>
      <c r="C1252" s="42">
        <v>1562.1</v>
      </c>
      <c r="D1252" s="6">
        <v>45595</v>
      </c>
      <c r="E1252" s="3" t="str">
        <f ca="1">IF(Tabela2[[#This Row],[Dt Venc:]]&gt;TODAY(),"Em Aberto",IF(Tabela2[[#This Row],[D/venc]]="-","Enviado",IF(Tabela2[[#This Row],[Dt Venc:]]=TODAY(),"Vence Hoje","Vencida")))</f>
        <v>Enviado</v>
      </c>
      <c r="F1252" s="3" t="str">
        <f ca="1">IF(G1252=1,"-",Tabela2[[#This Row],[Dt Venc:]]-TODAY())</f>
        <v>-</v>
      </c>
      <c r="G1252" s="3">
        <v>1</v>
      </c>
      <c r="H1252" s="3"/>
    </row>
    <row r="1253" spans="1:8" hidden="1">
      <c r="A1253" s="3">
        <v>1480</v>
      </c>
      <c r="B1253" s="7" t="s">
        <v>78</v>
      </c>
      <c r="C1253" s="42">
        <v>263</v>
      </c>
      <c r="D1253" s="6">
        <v>45595</v>
      </c>
      <c r="E1253" s="3" t="str">
        <f ca="1">IF(Tabela2[[#This Row],[Dt Venc:]]&gt;TODAY(),"Em Aberto",IF(Tabela2[[#This Row],[D/venc]]="-","Enviado",IF(Tabela2[[#This Row],[Dt Venc:]]=TODAY(),"Vence Hoje","Vencida")))</f>
        <v>Enviado</v>
      </c>
      <c r="F1253" s="3" t="str">
        <f ca="1">IF(G1253=1,"-",Tabela2[[#This Row],[Dt Venc:]]-TODAY())</f>
        <v>-</v>
      </c>
      <c r="G1253" s="3">
        <v>1</v>
      </c>
      <c r="H1253" s="3"/>
    </row>
    <row r="1254" spans="1:8" hidden="1">
      <c r="A1254" s="3">
        <v>762464</v>
      </c>
      <c r="B1254" s="7" t="s">
        <v>79</v>
      </c>
      <c r="C1254" s="42">
        <v>456.68</v>
      </c>
      <c r="D1254" s="6">
        <v>45595</v>
      </c>
      <c r="E1254" s="3" t="str">
        <f ca="1">IF(Tabela2[[#This Row],[Dt Venc:]]&gt;TODAY(),"Em Aberto",IF(Tabela2[[#This Row],[D/venc]]="-","Enviado",IF(Tabela2[[#This Row],[Dt Venc:]]=TODAY(),"Vence Hoje","Vencida")))</f>
        <v>Enviado</v>
      </c>
      <c r="F1254" s="3" t="str">
        <f ca="1">IF(G1254=1,"-",Tabela2[[#This Row],[Dt Venc:]]-TODAY())</f>
        <v>-</v>
      </c>
      <c r="G1254" s="3">
        <v>1</v>
      </c>
      <c r="H1254" s="3"/>
    </row>
    <row r="1255" spans="1:8" hidden="1">
      <c r="A1255" s="3">
        <v>219832</v>
      </c>
      <c r="B1255" s="7" t="s">
        <v>43</v>
      </c>
      <c r="C1255" s="42">
        <v>599.75</v>
      </c>
      <c r="D1255" s="6">
        <v>45595</v>
      </c>
      <c r="E1255" s="3" t="str">
        <f ca="1">IF(Tabela2[[#This Row],[Dt Venc:]]&gt;TODAY(),"Em Aberto",IF(Tabela2[[#This Row],[D/venc]]="-","Enviado",IF(Tabela2[[#This Row],[Dt Venc:]]=TODAY(),"Vence Hoje","Vencida")))</f>
        <v>Enviado</v>
      </c>
      <c r="F1255" s="3" t="str">
        <f ca="1">IF(G1255=1,"-",Tabela2[[#This Row],[Dt Venc:]]-TODAY())</f>
        <v>-</v>
      </c>
      <c r="G1255" s="3">
        <v>1</v>
      </c>
      <c r="H1255" s="3"/>
    </row>
    <row r="1256" spans="1:8" hidden="1">
      <c r="A1256" s="3">
        <v>606315</v>
      </c>
      <c r="B1256" s="7" t="s">
        <v>66</v>
      </c>
      <c r="C1256" s="42">
        <v>1153.3499999999999</v>
      </c>
      <c r="D1256" s="6">
        <v>45595</v>
      </c>
      <c r="E1256" s="3" t="str">
        <f ca="1">IF(Tabela2[[#This Row],[Dt Venc:]]&gt;TODAY(),"Em Aberto",IF(Tabela2[[#This Row],[D/venc]]="-","Enviado",IF(Tabela2[[#This Row],[Dt Venc:]]=TODAY(),"Vence Hoje","Vencida")))</f>
        <v>Enviado</v>
      </c>
      <c r="F1256" s="3" t="str">
        <f ca="1">IF(G1256=1,"-",Tabela2[[#This Row],[Dt Venc:]]-TODAY())</f>
        <v>-</v>
      </c>
      <c r="G1256" s="3">
        <v>1</v>
      </c>
      <c r="H1256" s="3"/>
    </row>
    <row r="1257" spans="1:8" hidden="1">
      <c r="A1257" s="3">
        <v>541</v>
      </c>
      <c r="B1257" s="7" t="s">
        <v>61</v>
      </c>
      <c r="C1257" s="42">
        <v>1642.85</v>
      </c>
      <c r="D1257" s="6">
        <v>45595</v>
      </c>
      <c r="E1257" s="3" t="str">
        <f ca="1">IF(Tabela2[[#This Row],[Dt Venc:]]&gt;TODAY(),"Em Aberto",IF(Tabela2[[#This Row],[D/venc]]="-","Enviado",IF(Tabela2[[#This Row],[Dt Venc:]]=TODAY(),"Vence Hoje","Vencida")))</f>
        <v>Enviado</v>
      </c>
      <c r="F1257" s="3" t="str">
        <f ca="1">IF(G1257=1,"-",Tabela2[[#This Row],[Dt Venc:]]-TODAY())</f>
        <v>-</v>
      </c>
      <c r="G1257" s="3">
        <v>1</v>
      </c>
      <c r="H1257" s="3"/>
    </row>
    <row r="1258" spans="1:8" hidden="1">
      <c r="A1258" s="3">
        <v>104149</v>
      </c>
      <c r="B1258" s="7" t="s">
        <v>274</v>
      </c>
      <c r="C1258" s="42">
        <v>535</v>
      </c>
      <c r="D1258" s="6">
        <v>45595</v>
      </c>
      <c r="E1258" s="3" t="str">
        <f ca="1">IF(Tabela2[[#This Row],[Dt Venc:]]&gt;TODAY(),"Em Aberto",IF(Tabela2[[#This Row],[D/venc]]="-","Enviado",IF(Tabela2[[#This Row],[Dt Venc:]]=TODAY(),"Vence Hoje","Vencida")))</f>
        <v>Enviado</v>
      </c>
      <c r="F1258" s="3" t="str">
        <f ca="1">IF(G1258=1,"-",Tabela2[[#This Row],[Dt Venc:]]-TODAY())</f>
        <v>-</v>
      </c>
      <c r="G1258" s="3">
        <v>1</v>
      </c>
      <c r="H1258" s="3"/>
    </row>
    <row r="1259" spans="1:8" hidden="1">
      <c r="A1259" s="3">
        <v>128834</v>
      </c>
      <c r="B1259" s="7" t="s">
        <v>157</v>
      </c>
      <c r="C1259" s="42">
        <v>670.98</v>
      </c>
      <c r="D1259" s="6">
        <v>45595</v>
      </c>
      <c r="E1259" s="3" t="str">
        <f ca="1">IF(Tabela2[[#This Row],[Dt Venc:]]&gt;TODAY(),"Em Aberto",IF(Tabela2[[#This Row],[D/venc]]="-","Enviado",IF(Tabela2[[#This Row],[Dt Venc:]]=TODAY(),"Vence Hoje","Vencida")))</f>
        <v>Enviado</v>
      </c>
      <c r="F1259" s="3" t="str">
        <f ca="1">IF(G1259=1,"-",Tabela2[[#This Row],[Dt Venc:]]-TODAY())</f>
        <v>-</v>
      </c>
      <c r="G1259" s="3">
        <v>1</v>
      </c>
      <c r="H1259" s="3"/>
    </row>
    <row r="1260" spans="1:8" hidden="1">
      <c r="A1260" s="3">
        <v>368984</v>
      </c>
      <c r="B1260" s="7" t="s">
        <v>39</v>
      </c>
      <c r="C1260" s="42">
        <v>504.94</v>
      </c>
      <c r="D1260" s="6">
        <v>45595</v>
      </c>
      <c r="E1260" s="3" t="str">
        <f ca="1">IF(Tabela2[[#This Row],[Dt Venc:]]&gt;TODAY(),"Em Aberto",IF(Tabela2[[#This Row],[D/venc]]="-","Enviado",IF(Tabela2[[#This Row],[Dt Venc:]]=TODAY(),"Vence Hoje","Vencida")))</f>
        <v>Enviado</v>
      </c>
      <c r="F1260" s="3" t="str">
        <f ca="1">IF(G1260=1,"-",Tabela2[[#This Row],[Dt Venc:]]-TODAY())</f>
        <v>-</v>
      </c>
      <c r="G1260" s="3">
        <v>1</v>
      </c>
      <c r="H1260" s="3"/>
    </row>
    <row r="1261" spans="1:8" hidden="1">
      <c r="A1261" s="3">
        <v>10</v>
      </c>
      <c r="B1261" s="7" t="s">
        <v>173</v>
      </c>
      <c r="C1261" s="42">
        <v>396.66</v>
      </c>
      <c r="D1261" s="6">
        <v>45595</v>
      </c>
      <c r="E1261" s="3" t="str">
        <f ca="1">IF(Tabela2[[#This Row],[Dt Venc:]]&gt;TODAY(),"Em Aberto",IF(Tabela2[[#This Row],[D/venc]]="-","Enviado",IF(Tabela2[[#This Row],[Dt Venc:]]=TODAY(),"Vence Hoje","Vencida")))</f>
        <v>Enviado</v>
      </c>
      <c r="F1261" s="3" t="str">
        <f ca="1">IF(G1261=1,"-",Tabela2[[#This Row],[Dt Venc:]]-TODAY())</f>
        <v>-</v>
      </c>
      <c r="G1261" s="3">
        <v>1</v>
      </c>
      <c r="H1261" s="3"/>
    </row>
    <row r="1262" spans="1:8" hidden="1">
      <c r="A1262" s="3">
        <v>23096</v>
      </c>
      <c r="B1262" s="7" t="s">
        <v>38</v>
      </c>
      <c r="C1262" s="42">
        <v>1471.33</v>
      </c>
      <c r="D1262" s="6">
        <v>45595</v>
      </c>
      <c r="E1262" s="3" t="str">
        <f ca="1">IF(Tabela2[[#This Row],[Dt Venc:]]&gt;TODAY(),"Em Aberto",IF(Tabela2[[#This Row],[D/venc]]="-","Enviado",IF(Tabela2[[#This Row],[Dt Venc:]]=TODAY(),"Vence Hoje","Vencida")))</f>
        <v>Enviado</v>
      </c>
      <c r="F1262" s="3" t="str">
        <f ca="1">IF(G1262=1,"-",Tabela2[[#This Row],[Dt Venc:]]-TODAY())</f>
        <v>-</v>
      </c>
      <c r="G1262" s="3">
        <v>1</v>
      </c>
      <c r="H1262" s="3"/>
    </row>
    <row r="1263" spans="1:8" hidden="1">
      <c r="A1263" s="3">
        <v>10960</v>
      </c>
      <c r="B1263" s="7" t="s">
        <v>33</v>
      </c>
      <c r="C1263" s="42">
        <v>1360</v>
      </c>
      <c r="D1263" s="6">
        <v>45595</v>
      </c>
      <c r="E1263" s="3" t="str">
        <f ca="1">IF(Tabela2[[#This Row],[Dt Venc:]]&gt;TODAY(),"Em Aberto",IF(Tabela2[[#This Row],[D/venc]]="-","Enviado",IF(Tabela2[[#This Row],[Dt Venc:]]=TODAY(),"Vence Hoje","Vencida")))</f>
        <v>Enviado</v>
      </c>
      <c r="F1263" s="3" t="str">
        <f ca="1">IF(G1263=1,"-",Tabela2[[#This Row],[Dt Venc:]]-TODAY())</f>
        <v>-</v>
      </c>
      <c r="G1263" s="3">
        <v>1</v>
      </c>
      <c r="H1263" s="3"/>
    </row>
    <row r="1264" spans="1:8" hidden="1">
      <c r="A1264" s="3">
        <v>230222</v>
      </c>
      <c r="B1264" s="7" t="s">
        <v>40</v>
      </c>
      <c r="C1264" s="42">
        <v>900</v>
      </c>
      <c r="D1264" s="6">
        <v>45595</v>
      </c>
      <c r="E1264" s="3" t="str">
        <f ca="1">IF(Tabela2[[#This Row],[Dt Venc:]]&gt;TODAY(),"Em Aberto",IF(Tabela2[[#This Row],[D/venc]]="-","Enviado",IF(Tabela2[[#This Row],[Dt Venc:]]=TODAY(),"Vence Hoje","Vencida")))</f>
        <v>Enviado</v>
      </c>
      <c r="F1264" s="3" t="str">
        <f ca="1">IF(G1264=1,"-",Tabela2[[#This Row],[Dt Venc:]]-TODAY())</f>
        <v>-</v>
      </c>
      <c r="G1264" s="3">
        <v>1</v>
      </c>
      <c r="H1264" s="3"/>
    </row>
    <row r="1265" spans="1:8" hidden="1">
      <c r="A1265" s="3">
        <v>25702</v>
      </c>
      <c r="B1265" s="7" t="s">
        <v>254</v>
      </c>
      <c r="C1265" s="42">
        <v>22764.74</v>
      </c>
      <c r="D1265" s="6">
        <v>45595</v>
      </c>
      <c r="E1265" s="3" t="str">
        <f ca="1">IF(Tabela2[[#This Row],[Dt Venc:]]&gt;TODAY(),"Em Aberto",IF(Tabela2[[#This Row],[D/venc]]="-","Enviado",IF(Tabela2[[#This Row],[Dt Venc:]]=TODAY(),"Vence Hoje","Vencida")))</f>
        <v>Enviado</v>
      </c>
      <c r="F1265" s="3" t="str">
        <f ca="1">IF(G1265=1,"-",Tabela2[[#This Row],[Dt Venc:]]-TODAY())</f>
        <v>-</v>
      </c>
      <c r="G1265" s="3">
        <v>1</v>
      </c>
      <c r="H1265" s="3"/>
    </row>
    <row r="1266" spans="1:8" hidden="1">
      <c r="A1266" s="3">
        <v>8462</v>
      </c>
      <c r="B1266" s="7" t="s">
        <v>278</v>
      </c>
      <c r="C1266" s="42">
        <v>181.1</v>
      </c>
      <c r="D1266" s="6">
        <v>45595</v>
      </c>
      <c r="E1266" s="3" t="str">
        <f ca="1">IF(Tabela2[[#This Row],[Dt Venc:]]&gt;TODAY(),"Em Aberto",IF(Tabela2[[#This Row],[D/venc]]="-","Enviado",IF(Tabela2[[#This Row],[Dt Venc:]]=TODAY(),"Vence Hoje","Vencida")))</f>
        <v>Enviado</v>
      </c>
      <c r="F1266" s="3" t="str">
        <f ca="1">IF(G1266=1,"-",Tabela2[[#This Row],[Dt Venc:]]-TODAY())</f>
        <v>-</v>
      </c>
      <c r="G1266" s="3">
        <v>1</v>
      </c>
      <c r="H1266" s="3"/>
    </row>
    <row r="1267" spans="1:8" hidden="1">
      <c r="A1267" s="3">
        <v>5164</v>
      </c>
      <c r="B1267" s="7" t="s">
        <v>134</v>
      </c>
      <c r="C1267" s="42">
        <v>950</v>
      </c>
      <c r="D1267" s="6">
        <v>45595</v>
      </c>
      <c r="E1267" s="3" t="str">
        <f ca="1">IF(Tabela2[[#This Row],[Dt Venc:]]&gt;TODAY(),"Em Aberto",IF(Tabela2[[#This Row],[D/venc]]="-","Enviado",IF(Tabela2[[#This Row],[Dt Venc:]]=TODAY(),"Vence Hoje","Vencida")))</f>
        <v>Enviado</v>
      </c>
      <c r="F1267" s="3" t="str">
        <f ca="1">IF(G1267=1,"-",Tabela2[[#This Row],[Dt Venc:]]-TODAY())</f>
        <v>-</v>
      </c>
      <c r="G1267" s="3">
        <v>1</v>
      </c>
      <c r="H1267" s="3"/>
    </row>
    <row r="1268" spans="1:8" hidden="1">
      <c r="A1268" s="3">
        <v>181488</v>
      </c>
      <c r="B1268" s="7" t="s">
        <v>84</v>
      </c>
      <c r="C1268" s="42">
        <v>659.68</v>
      </c>
      <c r="D1268" s="6">
        <v>45595</v>
      </c>
      <c r="E1268" s="3" t="str">
        <f ca="1">IF(Tabela2[[#This Row],[Dt Venc:]]&gt;TODAY(),"Em Aberto",IF(Tabela2[[#This Row],[D/venc]]="-","Enviado",IF(Tabela2[[#This Row],[Dt Venc:]]=TODAY(),"Vence Hoje","Vencida")))</f>
        <v>Enviado</v>
      </c>
      <c r="F1268" s="3" t="str">
        <f ca="1">IF(G1268=1,"-",Tabela2[[#This Row],[Dt Venc:]]-TODAY())</f>
        <v>-</v>
      </c>
      <c r="G1268" s="3">
        <v>1</v>
      </c>
      <c r="H1268" s="3"/>
    </row>
    <row r="1269" spans="1:8" hidden="1">
      <c r="A1269" s="3">
        <v>408082</v>
      </c>
      <c r="B1269" s="7" t="s">
        <v>79</v>
      </c>
      <c r="C1269" s="42">
        <v>1337.6</v>
      </c>
      <c r="D1269" s="6">
        <v>45595</v>
      </c>
      <c r="E1269" s="3" t="str">
        <f ca="1">IF(Tabela2[[#This Row],[Dt Venc:]]&gt;TODAY(),"Em Aberto",IF(Tabela2[[#This Row],[D/venc]]="-","Enviado",IF(Tabela2[[#This Row],[Dt Venc:]]=TODAY(),"Vence Hoje","Vencida")))</f>
        <v>Enviado</v>
      </c>
      <c r="F1269" s="3" t="str">
        <f ca="1">IF(G1269=1,"-",Tabela2[[#This Row],[Dt Venc:]]-TODAY())</f>
        <v>-</v>
      </c>
      <c r="G1269" s="3">
        <v>1</v>
      </c>
      <c r="H1269" s="3"/>
    </row>
    <row r="1270" spans="1:8" hidden="1">
      <c r="A1270" s="3">
        <v>28151</v>
      </c>
      <c r="B1270" s="7" t="s">
        <v>142</v>
      </c>
      <c r="C1270" s="42">
        <v>452</v>
      </c>
      <c r="D1270" s="6">
        <v>45595</v>
      </c>
      <c r="E1270" s="3" t="str">
        <f ca="1">IF(Tabela2[[#This Row],[Dt Venc:]]&gt;TODAY(),"Em Aberto",IF(Tabela2[[#This Row],[D/venc]]="-","Enviado",IF(Tabela2[[#This Row],[Dt Venc:]]=TODAY(),"Vence Hoje","Vencida")))</f>
        <v>Enviado</v>
      </c>
      <c r="F1270" s="3" t="str">
        <f ca="1">IF(G1270=1,"-",Tabela2[[#This Row],[Dt Venc:]]-TODAY())</f>
        <v>-</v>
      </c>
      <c r="G1270" s="3">
        <v>1</v>
      </c>
      <c r="H1270" s="3"/>
    </row>
    <row r="1271" spans="1:8" hidden="1">
      <c r="A1271" s="3">
        <v>14118</v>
      </c>
      <c r="B1271" s="7" t="s">
        <v>102</v>
      </c>
      <c r="C1271" s="42">
        <v>560</v>
      </c>
      <c r="D1271" s="6">
        <v>45595</v>
      </c>
      <c r="E1271" s="3" t="str">
        <f ca="1">IF(Tabela2[[#This Row],[Dt Venc:]]&gt;TODAY(),"Em Aberto",IF(Tabela2[[#This Row],[D/venc]]="-","Enviado",IF(Tabela2[[#This Row],[Dt Venc:]]=TODAY(),"Vence Hoje","Vencida")))</f>
        <v>Enviado</v>
      </c>
      <c r="F1271" s="3" t="str">
        <f ca="1">IF(G1271=1,"-",Tabela2[[#This Row],[Dt Venc:]]-TODAY())</f>
        <v>-</v>
      </c>
      <c r="G1271" s="3">
        <v>1</v>
      </c>
      <c r="H1271" s="3"/>
    </row>
    <row r="1272" spans="1:8" hidden="1">
      <c r="A1272" s="3">
        <v>30981</v>
      </c>
      <c r="B1272" s="7" t="s">
        <v>295</v>
      </c>
      <c r="C1272" s="42">
        <v>789.7</v>
      </c>
      <c r="D1272" s="6">
        <v>45595</v>
      </c>
      <c r="E1272" s="3" t="str">
        <f ca="1">IF(Tabela2[[#This Row],[Dt Venc:]]&gt;TODAY(),"Em Aberto",IF(Tabela2[[#This Row],[D/venc]]="-","Enviado",IF(Tabela2[[#This Row],[Dt Venc:]]=TODAY(),"Vence Hoje","Vencida")))</f>
        <v>Enviado</v>
      </c>
      <c r="F1272" s="3" t="str">
        <f ca="1">IF(G1272=1,"-",Tabela2[[#This Row],[Dt Venc:]]-TODAY())</f>
        <v>-</v>
      </c>
      <c r="G1272" s="3">
        <v>1</v>
      </c>
      <c r="H1272" s="3"/>
    </row>
    <row r="1273" spans="1:8" hidden="1">
      <c r="A1273" s="3">
        <v>71312</v>
      </c>
      <c r="B1273" s="7" t="s">
        <v>76</v>
      </c>
      <c r="C1273" s="42">
        <v>1000.91</v>
      </c>
      <c r="D1273" s="6">
        <v>45595</v>
      </c>
      <c r="E1273" s="3" t="str">
        <f ca="1">IF(Tabela2[[#This Row],[Dt Venc:]]&gt;TODAY(),"Em Aberto",IF(Tabela2[[#This Row],[D/venc]]="-","Enviado",IF(Tabela2[[#This Row],[Dt Venc:]]=TODAY(),"Vence Hoje","Vencida")))</f>
        <v>Enviado</v>
      </c>
      <c r="F1273" s="3" t="str">
        <f ca="1">IF(G1273=1,"-",Tabela2[[#This Row],[Dt Venc:]]-TODAY())</f>
        <v>-</v>
      </c>
      <c r="G1273" s="3">
        <v>1</v>
      </c>
      <c r="H1273" s="3"/>
    </row>
    <row r="1274" spans="1:8" hidden="1">
      <c r="A1274" s="3">
        <v>610348</v>
      </c>
      <c r="B1274" s="7" t="s">
        <v>66</v>
      </c>
      <c r="C1274" s="42">
        <v>596.58000000000004</v>
      </c>
      <c r="D1274" s="6">
        <v>45595</v>
      </c>
      <c r="E1274" s="3" t="str">
        <f ca="1">IF(Tabela2[[#This Row],[Dt Venc:]]&gt;TODAY(),"Em Aberto",IF(Tabela2[[#This Row],[D/venc]]="-","Enviado",IF(Tabela2[[#This Row],[Dt Venc:]]=TODAY(),"Vence Hoje","Vencida")))</f>
        <v>Enviado</v>
      </c>
      <c r="F1274" s="3" t="str">
        <f ca="1">IF(G1274=1,"-",Tabela2[[#This Row],[Dt Venc:]]-TODAY())</f>
        <v>-</v>
      </c>
      <c r="G1274" s="3">
        <v>1</v>
      </c>
      <c r="H1274" s="3"/>
    </row>
    <row r="1275" spans="1:8" hidden="1">
      <c r="A1275" s="3">
        <v>1570</v>
      </c>
      <c r="B1275" s="7" t="s">
        <v>382</v>
      </c>
      <c r="C1275" s="42">
        <v>1400</v>
      </c>
      <c r="D1275" s="6">
        <v>45595</v>
      </c>
      <c r="E1275" s="3" t="str">
        <f ca="1">IF(Tabela2[[#This Row],[Dt Venc:]]&gt;TODAY(),"Em Aberto",IF(Tabela2[[#This Row],[D/venc]]="-","Enviado",IF(Tabela2[[#This Row],[Dt Venc:]]=TODAY(),"Vence Hoje","Vencida")))</f>
        <v>Enviado</v>
      </c>
      <c r="F1275" s="3" t="str">
        <f ca="1">IF(G1275=1,"-",Tabela2[[#This Row],[Dt Venc:]]-TODAY())</f>
        <v>-</v>
      </c>
      <c r="G1275" s="3">
        <v>1</v>
      </c>
      <c r="H1275" s="3"/>
    </row>
    <row r="1276" spans="1:8" hidden="1">
      <c r="A1276" s="3">
        <v>4101</v>
      </c>
      <c r="B1276" s="7" t="s">
        <v>382</v>
      </c>
      <c r="C1276" s="42">
        <v>680</v>
      </c>
      <c r="D1276" s="6">
        <v>45595</v>
      </c>
      <c r="E1276" s="3" t="str">
        <f ca="1">IF(Tabela2[[#This Row],[Dt Venc:]]&gt;TODAY(),"Em Aberto",IF(Tabela2[[#This Row],[D/venc]]="-","Enviado",IF(Tabela2[[#This Row],[Dt Venc:]]=TODAY(),"Vence Hoje","Vencida")))</f>
        <v>Enviado</v>
      </c>
      <c r="F1276" s="3" t="str">
        <f ca="1">IF(G1276=1,"-",Tabela2[[#This Row],[Dt Venc:]]-TODAY())</f>
        <v>-</v>
      </c>
      <c r="G1276" s="3">
        <v>1</v>
      </c>
      <c r="H1276" s="3"/>
    </row>
    <row r="1277" spans="1:8" hidden="1">
      <c r="A1277" s="3">
        <v>234133</v>
      </c>
      <c r="B1277" s="7" t="s">
        <v>43</v>
      </c>
      <c r="C1277" s="42">
        <v>1410.36</v>
      </c>
      <c r="D1277" s="6">
        <v>45595</v>
      </c>
      <c r="E1277" s="3" t="str">
        <f ca="1">IF(Tabela2[[#This Row],[Dt Venc:]]&gt;TODAY(),"Em Aberto",IF(Tabela2[[#This Row],[D/venc]]="-","Enviado",IF(Tabela2[[#This Row],[Dt Venc:]]=TODAY(),"Vence Hoje","Vencida")))</f>
        <v>Enviado</v>
      </c>
      <c r="F1277" s="3" t="str">
        <f ca="1">IF(G1277=1,"-",Tabela2[[#This Row],[Dt Venc:]]-TODAY())</f>
        <v>-</v>
      </c>
      <c r="G1277" s="3">
        <v>1</v>
      </c>
      <c r="H1277" s="3"/>
    </row>
    <row r="1278" spans="1:8" hidden="1">
      <c r="A1278" s="3">
        <v>408082</v>
      </c>
      <c r="B1278" s="7" t="s">
        <v>79</v>
      </c>
      <c r="C1278" s="42">
        <v>1337.6</v>
      </c>
      <c r="D1278" s="6">
        <v>45595</v>
      </c>
      <c r="E1278" s="3" t="str">
        <f ca="1">IF(Tabela2[[#This Row],[Dt Venc:]]&gt;TODAY(),"Em Aberto",IF(Tabela2[[#This Row],[D/venc]]="-","Enviado",IF(Tabela2[[#This Row],[Dt Venc:]]=TODAY(),"Vence Hoje","Vencida")))</f>
        <v>Enviado</v>
      </c>
      <c r="F1278" s="3" t="str">
        <f ca="1">IF(G1278=1,"-",Tabela2[[#This Row],[Dt Venc:]]-TODAY())</f>
        <v>-</v>
      </c>
      <c r="G1278" s="3">
        <v>1</v>
      </c>
      <c r="H1278" s="3"/>
    </row>
    <row r="1279" spans="1:8" hidden="1">
      <c r="A1279" s="3">
        <v>221460</v>
      </c>
      <c r="B1279" s="7" t="s">
        <v>127</v>
      </c>
      <c r="C1279" s="42">
        <v>228.57</v>
      </c>
      <c r="D1279" s="6">
        <v>45595</v>
      </c>
      <c r="E1279" s="3" t="str">
        <f ca="1">IF(Tabela2[[#This Row],[Dt Venc:]]&gt;TODAY(),"Em Aberto",IF(Tabela2[[#This Row],[D/venc]]="-","Enviado",IF(Tabela2[[#This Row],[Dt Venc:]]=TODAY(),"Vence Hoje","Vencida")))</f>
        <v>Enviado</v>
      </c>
      <c r="F1279" s="3" t="str">
        <f ca="1">IF(G1279=1,"-",Tabela2[[#This Row],[Dt Venc:]]-TODAY())</f>
        <v>-</v>
      </c>
      <c r="G1279" s="3">
        <v>1</v>
      </c>
      <c r="H1279" s="3"/>
    </row>
    <row r="1280" spans="1:8" hidden="1">
      <c r="A1280" s="3">
        <v>148240</v>
      </c>
      <c r="B1280" s="7" t="s">
        <v>79</v>
      </c>
      <c r="C1280" s="42">
        <v>857.64</v>
      </c>
      <c r="D1280" s="6">
        <v>45595</v>
      </c>
      <c r="E1280" s="3" t="str">
        <f ca="1">IF(Tabela2[[#This Row],[Dt Venc:]]&gt;TODAY(),"Em Aberto",IF(Tabela2[[#This Row],[D/venc]]="-","Enviado",IF(Tabela2[[#This Row],[Dt Venc:]]=TODAY(),"Vence Hoje","Vencida")))</f>
        <v>Enviado</v>
      </c>
      <c r="F1280" s="3" t="str">
        <f ca="1">IF(G1280=1,"-",Tabela2[[#This Row],[Dt Venc:]]-TODAY())</f>
        <v>-</v>
      </c>
      <c r="G1280" s="3">
        <v>1</v>
      </c>
      <c r="H1280" s="3"/>
    </row>
    <row r="1281" spans="1:8" hidden="1">
      <c r="A1281" s="3">
        <v>10963</v>
      </c>
      <c r="B1281" s="7" t="s">
        <v>33</v>
      </c>
      <c r="C1281" s="42">
        <v>496.67</v>
      </c>
      <c r="D1281" s="6">
        <v>45595</v>
      </c>
      <c r="E1281" s="3" t="str">
        <f ca="1">IF(Tabela2[[#This Row],[Dt Venc:]]&gt;TODAY(),"Em Aberto",IF(Tabela2[[#This Row],[D/venc]]="-","Enviado",IF(Tabela2[[#This Row],[Dt Venc:]]=TODAY(),"Vence Hoje","Vencida")))</f>
        <v>Enviado</v>
      </c>
      <c r="F1281" s="3" t="str">
        <f ca="1">IF(G1281=1,"-",Tabela2[[#This Row],[Dt Venc:]]-TODAY())</f>
        <v>-</v>
      </c>
      <c r="G1281" s="3">
        <v>1</v>
      </c>
      <c r="H1281" s="3"/>
    </row>
    <row r="1282" spans="1:8" hidden="1">
      <c r="A1282" s="3">
        <v>36050</v>
      </c>
      <c r="B1282" s="7" t="s">
        <v>281</v>
      </c>
      <c r="C1282" s="42">
        <v>163.9</v>
      </c>
      <c r="D1282" s="6">
        <v>45595</v>
      </c>
      <c r="E1282" s="3" t="str">
        <f ca="1">IF(Tabela2[[#This Row],[Dt Venc:]]&gt;TODAY(),"Em Aberto",IF(Tabela2[[#This Row],[D/venc]]="-","Enviado",IF(Tabela2[[#This Row],[Dt Venc:]]=TODAY(),"Vence Hoje","Vencida")))</f>
        <v>Enviado</v>
      </c>
      <c r="F1282" s="3" t="str">
        <f ca="1">IF(G1282=1,"-",Tabela2[[#This Row],[Dt Venc:]]-TODAY())</f>
        <v>-</v>
      </c>
      <c r="G1282" s="3">
        <v>1</v>
      </c>
      <c r="H1282" s="3"/>
    </row>
    <row r="1283" spans="1:8" hidden="1">
      <c r="A1283" s="3">
        <v>7051</v>
      </c>
      <c r="B1283" s="7" t="s">
        <v>383</v>
      </c>
      <c r="C1283" s="42">
        <v>750</v>
      </c>
      <c r="D1283" s="6">
        <v>45595</v>
      </c>
      <c r="E1283" s="3" t="str">
        <f ca="1">IF(Tabela2[[#This Row],[Dt Venc:]]&gt;TODAY(),"Em Aberto",IF(Tabela2[[#This Row],[D/venc]]="-","Enviado",IF(Tabela2[[#This Row],[Dt Venc:]]=TODAY(),"Vence Hoje","Vencida")))</f>
        <v>Enviado</v>
      </c>
      <c r="F1283" s="3" t="str">
        <f ca="1">IF(G1283=1,"-",Tabela2[[#This Row],[Dt Venc:]]-TODAY())</f>
        <v>-</v>
      </c>
      <c r="G1283" s="3">
        <v>1</v>
      </c>
      <c r="H1283" s="3"/>
    </row>
    <row r="1284" spans="1:8" hidden="1">
      <c r="A1284" s="3">
        <v>1587</v>
      </c>
      <c r="B1284" s="7" t="s">
        <v>92</v>
      </c>
      <c r="C1284" s="42">
        <v>95</v>
      </c>
      <c r="D1284" s="6">
        <v>45595</v>
      </c>
      <c r="E1284" s="3" t="str">
        <f ca="1">IF(Tabela2[[#This Row],[Dt Venc:]]&gt;TODAY(),"Em Aberto",IF(Tabela2[[#This Row],[D/venc]]="-","Enviado",IF(Tabela2[[#This Row],[Dt Venc:]]=TODAY(),"Vence Hoje","Vencida")))</f>
        <v>Enviado</v>
      </c>
      <c r="F1284" s="3" t="str">
        <f ca="1">IF(G1284=1,"-",Tabela2[[#This Row],[Dt Venc:]]-TODAY())</f>
        <v>-</v>
      </c>
      <c r="G1284" s="3">
        <v>1</v>
      </c>
      <c r="H1284" s="3"/>
    </row>
    <row r="1285" spans="1:8" hidden="1">
      <c r="A1285" s="3">
        <v>15033</v>
      </c>
      <c r="B1285" s="7" t="s">
        <v>384</v>
      </c>
      <c r="C1285" s="42">
        <v>306</v>
      </c>
      <c r="D1285" s="6">
        <v>45595</v>
      </c>
      <c r="E1285" s="3" t="str">
        <f ca="1">IF(Tabela2[[#This Row],[Dt Venc:]]&gt;TODAY(),"Em Aberto",IF(Tabela2[[#This Row],[D/venc]]="-","Enviado",IF(Tabela2[[#This Row],[Dt Venc:]]=TODAY(),"Vence Hoje","Vencida")))</f>
        <v>Enviado</v>
      </c>
      <c r="F1285" s="3" t="str">
        <f ca="1">IF(G1285=1,"-",Tabela2[[#This Row],[Dt Venc:]]-TODAY())</f>
        <v>-</v>
      </c>
      <c r="G1285" s="3">
        <v>1</v>
      </c>
      <c r="H1285" s="3"/>
    </row>
    <row r="1286" spans="1:8" hidden="1">
      <c r="A1286" s="3">
        <v>1157</v>
      </c>
      <c r="B1286" s="7" t="s">
        <v>43</v>
      </c>
      <c r="C1286" s="42">
        <v>110</v>
      </c>
      <c r="D1286" s="6">
        <v>45595</v>
      </c>
      <c r="E1286" s="3" t="str">
        <f ca="1">IF(Tabela2[[#This Row],[Dt Venc:]]&gt;TODAY(),"Em Aberto",IF(Tabela2[[#This Row],[D/venc]]="-","Enviado",IF(Tabela2[[#This Row],[Dt Venc:]]=TODAY(),"Vence Hoje","Vencida")))</f>
        <v>Enviado</v>
      </c>
      <c r="F1286" s="3" t="str">
        <f ca="1">IF(G1286=1,"-",Tabela2[[#This Row],[Dt Venc:]]-TODAY())</f>
        <v>-</v>
      </c>
      <c r="G1286" s="3">
        <v>1</v>
      </c>
      <c r="H1286" s="3"/>
    </row>
    <row r="1287" spans="1:8" hidden="1">
      <c r="A1287" s="3">
        <v>26618</v>
      </c>
      <c r="B1287" s="7" t="s">
        <v>385</v>
      </c>
      <c r="C1287" s="42">
        <v>1040.2</v>
      </c>
      <c r="D1287" s="6">
        <v>45595</v>
      </c>
      <c r="E1287" s="3" t="str">
        <f ca="1">IF(Tabela2[[#This Row],[Dt Venc:]]&gt;TODAY(),"Em Aberto",IF(Tabela2[[#This Row],[D/venc]]="-","Enviado",IF(Tabela2[[#This Row],[Dt Venc:]]=TODAY(),"Vence Hoje","Vencida")))</f>
        <v>Enviado</v>
      </c>
      <c r="F1287" s="3" t="str">
        <f ca="1">IF(G1287=1,"-",Tabela2[[#This Row],[Dt Venc:]]-TODAY())</f>
        <v>-</v>
      </c>
      <c r="G1287" s="3">
        <v>1</v>
      </c>
      <c r="H1287" s="3"/>
    </row>
    <row r="1288" spans="1:8" hidden="1">
      <c r="A1288" s="3">
        <v>4001403</v>
      </c>
      <c r="B1288" s="7" t="s">
        <v>380</v>
      </c>
      <c r="C1288" s="42">
        <v>12000</v>
      </c>
      <c r="D1288" s="6">
        <v>45595</v>
      </c>
      <c r="E1288" s="3" t="str">
        <f ca="1">IF(Tabela2[[#This Row],[Dt Venc:]]&gt;TODAY(),"Em Aberto",IF(Tabela2[[#This Row],[D/venc]]="-","Enviado",IF(Tabela2[[#This Row],[Dt Venc:]]=TODAY(),"Vence Hoje","Vencida")))</f>
        <v>Enviado</v>
      </c>
      <c r="F1288" s="3" t="str">
        <f ca="1">IF(G1288=1,"-",Tabela2[[#This Row],[Dt Venc:]]-TODAY())</f>
        <v>-</v>
      </c>
      <c r="G1288" s="3">
        <v>1</v>
      </c>
      <c r="H1288" s="3"/>
    </row>
    <row r="1289" spans="1:8" hidden="1">
      <c r="A1289" s="3">
        <v>4001413</v>
      </c>
      <c r="B1289" s="7" t="s">
        <v>380</v>
      </c>
      <c r="C1289" s="42">
        <v>522.48</v>
      </c>
      <c r="D1289" s="6">
        <v>45595</v>
      </c>
      <c r="E1289" s="3" t="str">
        <f ca="1">IF(Tabela2[[#This Row],[Dt Venc:]]&gt;TODAY(),"Em Aberto",IF(Tabela2[[#This Row],[D/venc]]="-","Enviado",IF(Tabela2[[#This Row],[Dt Venc:]]=TODAY(),"Vence Hoje","Vencida")))</f>
        <v>Enviado</v>
      </c>
      <c r="F1289" s="3" t="str">
        <f ca="1">IF(G1289=1,"-",Tabela2[[#This Row],[Dt Venc:]]-TODAY())</f>
        <v>-</v>
      </c>
      <c r="G1289" s="3">
        <v>1</v>
      </c>
      <c r="H1289" s="3"/>
    </row>
    <row r="1290" spans="1:8" hidden="1">
      <c r="A1290" s="3">
        <v>3297042</v>
      </c>
      <c r="B1290" s="7" t="s">
        <v>71</v>
      </c>
      <c r="C1290" s="42">
        <v>109264</v>
      </c>
      <c r="D1290" s="6">
        <v>45595</v>
      </c>
      <c r="E1290" s="3" t="str">
        <f ca="1">IF(Tabela2[[#This Row],[Dt Venc:]]&gt;TODAY(),"Em Aberto",IF(Tabela2[[#This Row],[D/venc]]="-","Enviado",IF(Tabela2[[#This Row],[Dt Venc:]]=TODAY(),"Vence Hoje","Vencida")))</f>
        <v>Enviado</v>
      </c>
      <c r="F1290" s="3" t="str">
        <f ca="1">IF(G1290=1,"-",Tabela2[[#This Row],[Dt Venc:]]-TODAY())</f>
        <v>-</v>
      </c>
      <c r="G1290" s="3">
        <v>1</v>
      </c>
      <c r="H1290" s="3"/>
    </row>
    <row r="1291" spans="1:8" hidden="1">
      <c r="A1291" s="3" t="s">
        <v>123</v>
      </c>
      <c r="B1291" s="7" t="s">
        <v>386</v>
      </c>
      <c r="C1291" s="87" t="s">
        <v>32</v>
      </c>
      <c r="D1291" s="6">
        <v>45595</v>
      </c>
      <c r="E1291" s="3" t="str">
        <f ca="1">IF(Tabela2[[#This Row],[Dt Venc:]]&gt;TODAY(),"Em Aberto",IF(Tabela2[[#This Row],[D/venc]]="-","Enviado",IF(Tabela2[[#This Row],[Dt Venc:]]=TODAY(),"Vence Hoje","Vencida")))</f>
        <v>Enviado</v>
      </c>
      <c r="F1291" s="3" t="str">
        <f ca="1">IF(G1291=1,"-",Tabela2[[#This Row],[Dt Venc:]]-TODAY())</f>
        <v>-</v>
      </c>
      <c r="G1291" s="3">
        <v>1</v>
      </c>
      <c r="H1291" s="3"/>
    </row>
    <row r="1292" spans="1:8" hidden="1">
      <c r="A1292" s="3">
        <v>443246</v>
      </c>
      <c r="B1292" s="7" t="s">
        <v>59</v>
      </c>
      <c r="C1292" s="42">
        <v>27719</v>
      </c>
      <c r="D1292" s="6">
        <v>45595</v>
      </c>
      <c r="E1292" s="3" t="str">
        <f ca="1">IF(Tabela2[[#This Row],[Dt Venc:]]&gt;TODAY(),"Em Aberto",IF(Tabela2[[#This Row],[D/venc]]="-","Enviado",IF(Tabela2[[#This Row],[Dt Venc:]]=TODAY(),"Vence Hoje","Vencida")))</f>
        <v>Enviado</v>
      </c>
      <c r="F1292" s="3" t="str">
        <f ca="1">IF(G1292=1,"-",Tabela2[[#This Row],[Dt Venc:]]-TODAY())</f>
        <v>-</v>
      </c>
      <c r="G1292" s="3">
        <v>1</v>
      </c>
      <c r="H1292" s="3"/>
    </row>
    <row r="1293" spans="1:8" hidden="1">
      <c r="A1293" s="3">
        <v>7885</v>
      </c>
      <c r="B1293" s="7" t="s">
        <v>242</v>
      </c>
      <c r="C1293" s="42">
        <v>33</v>
      </c>
      <c r="D1293" s="6">
        <v>45595</v>
      </c>
      <c r="E1293" s="3" t="str">
        <f ca="1">IF(Tabela2[[#This Row],[Dt Venc:]]&gt;TODAY(),"Em Aberto",IF(Tabela2[[#This Row],[D/venc]]="-","Enviado",IF(Tabela2[[#This Row],[Dt Venc:]]=TODAY(),"Vence Hoje","Vencida")))</f>
        <v>Enviado</v>
      </c>
      <c r="F1293" s="3" t="str">
        <f ca="1">IF(G1293=1,"-",Tabela2[[#This Row],[Dt Venc:]]-TODAY())</f>
        <v>-</v>
      </c>
      <c r="G1293" s="3">
        <v>1</v>
      </c>
      <c r="H1293" s="3"/>
    </row>
    <row r="1294" spans="1:8" hidden="1">
      <c r="A1294" s="3">
        <v>6481</v>
      </c>
      <c r="B1294" s="7" t="s">
        <v>291</v>
      </c>
      <c r="C1294" s="41">
        <v>5872.5</v>
      </c>
      <c r="D1294" s="6">
        <v>45595</v>
      </c>
      <c r="E1294" s="3" t="str">
        <f ca="1">IF(Tabela2[[#This Row],[Dt Venc:]]&gt;TODAY(),"Em Aberto",IF(Tabela2[[#This Row],[D/venc]]="-","Enviado",IF(Tabela2[[#This Row],[Dt Venc:]]=TODAY(),"Vence Hoje","Vencida")))</f>
        <v>Enviado</v>
      </c>
      <c r="F1294" s="3" t="str">
        <f ca="1">IF(G1294=1,"-",Tabela2[[#This Row],[Dt Venc:]]-TODAY())</f>
        <v>-</v>
      </c>
      <c r="G1294" s="3">
        <v>1</v>
      </c>
      <c r="H1294" s="3"/>
    </row>
    <row r="1295" spans="1:8" hidden="1">
      <c r="A1295" s="3">
        <v>432</v>
      </c>
      <c r="B1295" s="7" t="s">
        <v>387</v>
      </c>
      <c r="C1295" s="41">
        <v>15000</v>
      </c>
      <c r="D1295" s="6">
        <v>45595</v>
      </c>
      <c r="E1295" s="3" t="str">
        <f ca="1">IF(Tabela2[[#This Row],[Dt Venc:]]&gt;TODAY(),"Em Aberto",IF(Tabela2[[#This Row],[D/venc]]="-","Enviado",IF(Tabela2[[#This Row],[Dt Venc:]]=TODAY(),"Vence Hoje","Vencida")))</f>
        <v>Enviado</v>
      </c>
      <c r="F1295" s="3" t="str">
        <f ca="1">IF(G1295=1,"-",Tabela2[[#This Row],[Dt Venc:]]-TODAY())</f>
        <v>-</v>
      </c>
      <c r="G1295" s="3">
        <v>1</v>
      </c>
      <c r="H1295" s="3"/>
    </row>
    <row r="1296" spans="1:8" hidden="1">
      <c r="A1296" s="3">
        <v>36910</v>
      </c>
      <c r="B1296" s="7" t="s">
        <v>167</v>
      </c>
      <c r="C1296" s="84" t="s">
        <v>32</v>
      </c>
      <c r="D1296" s="6">
        <v>45596</v>
      </c>
      <c r="E1296" s="3" t="str">
        <f ca="1">IF(Tabela2[[#This Row],[Dt Venc:]]&gt;TODAY(),"Em Aberto",IF(Tabela2[[#This Row],[D/venc]]="-","Enviado",IF(Tabela2[[#This Row],[Dt Venc:]]=TODAY(),"Vence Hoje","Vencida")))</f>
        <v>Enviado</v>
      </c>
      <c r="F1296" s="3" t="str">
        <f ca="1">IF(G1296=1,"-",Tabela2[[#This Row],[Dt Venc:]]-TODAY())</f>
        <v>-</v>
      </c>
      <c r="G1296" s="3">
        <v>1</v>
      </c>
      <c r="H1296" s="3" t="str">
        <f>_xlfn.XLOOKUP(A1296,'Notas Faltantes'!A:A,'Notas Faltantes'!E:E,"",0)</f>
        <v/>
      </c>
    </row>
    <row r="1297" spans="1:8" hidden="1">
      <c r="A1297" s="3">
        <v>2710</v>
      </c>
      <c r="B1297" s="7" t="s">
        <v>58</v>
      </c>
      <c r="C1297" s="42">
        <v>2509.6</v>
      </c>
      <c r="D1297" s="6">
        <v>45596</v>
      </c>
      <c r="E1297" s="3" t="str">
        <f ca="1">IF(Tabela2[[#This Row],[Dt Venc:]]&gt;TODAY(),"Em Aberto",IF(Tabela2[[#This Row],[D/venc]]="-","Enviado",IF(Tabela2[[#This Row],[Dt Venc:]]=TODAY(),"Vence Hoje","Vencida")))</f>
        <v>Enviado</v>
      </c>
      <c r="F1297" s="3" t="str">
        <f ca="1">IF(G1297=1,"-",Tabela2[[#This Row],[Dt Venc:]]-TODAY())</f>
        <v>-</v>
      </c>
      <c r="G1297" s="3">
        <v>1</v>
      </c>
      <c r="H1297" s="3"/>
    </row>
    <row r="1298" spans="1:8" hidden="1">
      <c r="A1298" s="3">
        <v>10702</v>
      </c>
      <c r="B1298" s="7" t="s">
        <v>33</v>
      </c>
      <c r="C1298" s="42">
        <v>1383.33</v>
      </c>
      <c r="D1298" s="6">
        <v>45596</v>
      </c>
      <c r="E1298" s="3" t="str">
        <f ca="1">IF(Tabela2[[#This Row],[Dt Venc:]]&gt;TODAY(),"Em Aberto",IF(Tabela2[[#This Row],[D/venc]]="-","Enviado",IF(Tabela2[[#This Row],[Dt Venc:]]=TODAY(),"Vence Hoje","Vencida")))</f>
        <v>Enviado</v>
      </c>
      <c r="F1298" s="3" t="str">
        <f ca="1">IF(G1298=1,"-",Tabela2[[#This Row],[Dt Venc:]]-TODAY())</f>
        <v>-</v>
      </c>
      <c r="G1298" s="3">
        <v>1</v>
      </c>
      <c r="H1298" s="3"/>
    </row>
    <row r="1299" spans="1:8" hidden="1">
      <c r="A1299" s="3">
        <v>299399</v>
      </c>
      <c r="B1299" s="7" t="s">
        <v>63</v>
      </c>
      <c r="C1299" s="42">
        <v>1228.8399999999999</v>
      </c>
      <c r="D1299" s="6">
        <v>45596</v>
      </c>
      <c r="E1299" s="3" t="str">
        <f ca="1">IF(Tabela2[[#This Row],[Dt Venc:]]&gt;TODAY(),"Em Aberto",IF(Tabela2[[#This Row],[D/venc]]="-","Enviado",IF(Tabela2[[#This Row],[Dt Venc:]]=TODAY(),"Vence Hoje","Vencida")))</f>
        <v>Enviado</v>
      </c>
      <c r="F1299" s="3" t="str">
        <f ca="1">IF(G1299=1,"-",Tabela2[[#This Row],[Dt Venc:]]-TODAY())</f>
        <v>-</v>
      </c>
      <c r="G1299" s="3">
        <v>1</v>
      </c>
      <c r="H1299" s="3"/>
    </row>
    <row r="1300" spans="1:8" hidden="1">
      <c r="A1300" s="3">
        <v>251679</v>
      </c>
      <c r="B1300" s="7" t="s">
        <v>36</v>
      </c>
      <c r="C1300" s="42">
        <v>2204.7800000000002</v>
      </c>
      <c r="D1300" s="6">
        <v>45596</v>
      </c>
      <c r="E1300" s="3" t="str">
        <f ca="1">IF(Tabela2[[#This Row],[Dt Venc:]]&gt;TODAY(),"Em Aberto",IF(Tabela2[[#This Row],[D/venc]]="-","Enviado",IF(Tabela2[[#This Row],[Dt Venc:]]=TODAY(),"Vence Hoje","Vencida")))</f>
        <v>Enviado</v>
      </c>
      <c r="F1300" s="3" t="str">
        <f ca="1">IF(G1300=1,"-",Tabela2[[#This Row],[Dt Venc:]]-TODAY())</f>
        <v>-</v>
      </c>
      <c r="G1300" s="3">
        <v>1</v>
      </c>
      <c r="H1300" s="3"/>
    </row>
    <row r="1301" spans="1:8" hidden="1">
      <c r="A1301" s="3">
        <v>21743</v>
      </c>
      <c r="B1301" s="7" t="s">
        <v>38</v>
      </c>
      <c r="C1301" s="42">
        <v>1554</v>
      </c>
      <c r="D1301" s="6">
        <v>45596</v>
      </c>
      <c r="E1301" s="3" t="str">
        <f ca="1">IF(Tabela2[[#This Row],[Dt Venc:]]&gt;TODAY(),"Em Aberto",IF(Tabela2[[#This Row],[D/venc]]="-","Enviado",IF(Tabela2[[#This Row],[Dt Venc:]]=TODAY(),"Vence Hoje","Vencida")))</f>
        <v>Enviado</v>
      </c>
      <c r="F1301" s="3" t="str">
        <f ca="1">IF(G1301=1,"-",Tabela2[[#This Row],[Dt Venc:]]-TODAY())</f>
        <v>-</v>
      </c>
      <c r="G1301" s="3">
        <v>1</v>
      </c>
      <c r="H1301" s="3"/>
    </row>
    <row r="1302" spans="1:8" hidden="1">
      <c r="A1302" s="3">
        <v>22177</v>
      </c>
      <c r="B1302" s="7" t="s">
        <v>38</v>
      </c>
      <c r="C1302" s="42">
        <v>1559.67</v>
      </c>
      <c r="D1302" s="6">
        <v>45596</v>
      </c>
      <c r="E1302" s="3" t="str">
        <f ca="1">IF(Tabela2[[#This Row],[Dt Venc:]]&gt;TODAY(),"Em Aberto",IF(Tabela2[[#This Row],[D/venc]]="-","Enviado",IF(Tabela2[[#This Row],[Dt Venc:]]=TODAY(),"Vence Hoje","Vencida")))</f>
        <v>Enviado</v>
      </c>
      <c r="F1302" s="3" t="str">
        <f ca="1">IF(G1302=1,"-",Tabela2[[#This Row],[Dt Venc:]]-TODAY())</f>
        <v>-</v>
      </c>
      <c r="G1302" s="3">
        <v>1</v>
      </c>
      <c r="H1302" s="3"/>
    </row>
    <row r="1303" spans="1:8" hidden="1">
      <c r="A1303" s="3">
        <v>80557</v>
      </c>
      <c r="B1303" s="7" t="s">
        <v>39</v>
      </c>
      <c r="C1303" s="42">
        <v>478.28</v>
      </c>
      <c r="D1303" s="6">
        <v>45596</v>
      </c>
      <c r="E1303" s="3" t="str">
        <f ca="1">IF(Tabela2[[#This Row],[Dt Venc:]]&gt;TODAY(),"Em Aberto",IF(Tabela2[[#This Row],[D/venc]]="-","Enviado",IF(Tabela2[[#This Row],[Dt Venc:]]=TODAY(),"Vence Hoje","Vencida")))</f>
        <v>Enviado</v>
      </c>
      <c r="F1303" s="3" t="str">
        <f ca="1">IF(G1303=1,"-",Tabela2[[#This Row],[Dt Venc:]]-TODAY())</f>
        <v>-</v>
      </c>
      <c r="G1303" s="3">
        <v>1</v>
      </c>
      <c r="H1303" s="3"/>
    </row>
    <row r="1304" spans="1:8" hidden="1">
      <c r="A1304" s="3">
        <v>80558</v>
      </c>
      <c r="B1304" s="7" t="s">
        <v>39</v>
      </c>
      <c r="C1304" s="42">
        <v>587.33000000000004</v>
      </c>
      <c r="D1304" s="6">
        <v>45596</v>
      </c>
      <c r="E1304" s="3" t="str">
        <f ca="1">IF(Tabela2[[#This Row],[Dt Venc:]]&gt;TODAY(),"Em Aberto",IF(Tabela2[[#This Row],[D/venc]]="-","Enviado",IF(Tabela2[[#This Row],[Dt Venc:]]=TODAY(),"Vence Hoje","Vencida")))</f>
        <v>Enviado</v>
      </c>
      <c r="F1304" s="3" t="str">
        <f ca="1">IF(G1304=1,"-",Tabela2[[#This Row],[Dt Venc:]]-TODAY())</f>
        <v>-</v>
      </c>
      <c r="G1304" s="3">
        <v>1</v>
      </c>
      <c r="H1304" s="3"/>
    </row>
    <row r="1305" spans="1:8" hidden="1">
      <c r="A1305" s="3">
        <v>364440</v>
      </c>
      <c r="B1305" s="7" t="s">
        <v>39</v>
      </c>
      <c r="C1305" s="42">
        <v>291.72000000000003</v>
      </c>
      <c r="D1305" s="6">
        <v>45596</v>
      </c>
      <c r="E1305" s="3" t="str">
        <f ca="1">IF(Tabela2[[#This Row],[Dt Venc:]]&gt;TODAY(),"Em Aberto",IF(Tabela2[[#This Row],[D/venc]]="-","Enviado",IF(Tabela2[[#This Row],[Dt Venc:]]=TODAY(),"Vence Hoje","Vencida")))</f>
        <v>Enviado</v>
      </c>
      <c r="F1305" s="3" t="str">
        <f ca="1">IF(G1305=1,"-",Tabela2[[#This Row],[Dt Venc:]]-TODAY())</f>
        <v>-</v>
      </c>
      <c r="G1305" s="3">
        <v>1</v>
      </c>
      <c r="H1305" s="3"/>
    </row>
    <row r="1306" spans="1:8" hidden="1">
      <c r="A1306" s="3">
        <v>364446</v>
      </c>
      <c r="B1306" s="7" t="s">
        <v>39</v>
      </c>
      <c r="C1306" s="42">
        <v>290.41000000000003</v>
      </c>
      <c r="D1306" s="6">
        <v>45596</v>
      </c>
      <c r="E1306" s="3" t="str">
        <f ca="1">IF(Tabela2[[#This Row],[Dt Venc:]]&gt;TODAY(),"Em Aberto",IF(Tabela2[[#This Row],[D/venc]]="-","Enviado",IF(Tabela2[[#This Row],[Dt Venc:]]=TODAY(),"Vence Hoje","Vencida")))</f>
        <v>Enviado</v>
      </c>
      <c r="F1306" s="3" t="str">
        <f ca="1">IF(G1306=1,"-",Tabela2[[#This Row],[Dt Venc:]]-TODAY())</f>
        <v>-</v>
      </c>
      <c r="G1306" s="3">
        <v>1</v>
      </c>
      <c r="H1306" s="3"/>
    </row>
    <row r="1307" spans="1:8" hidden="1">
      <c r="A1307" s="3">
        <v>602357</v>
      </c>
      <c r="B1307" s="7" t="s">
        <v>66</v>
      </c>
      <c r="C1307" s="42">
        <v>882.42</v>
      </c>
      <c r="D1307" s="6">
        <v>45596</v>
      </c>
      <c r="E1307" s="3" t="str">
        <f ca="1">IF(Tabela2[[#This Row],[Dt Venc:]]&gt;TODAY(),"Em Aberto",IF(Tabela2[[#This Row],[D/venc]]="-","Enviado",IF(Tabela2[[#This Row],[Dt Venc:]]=TODAY(),"Vence Hoje","Vencida")))</f>
        <v>Enviado</v>
      </c>
      <c r="F1307" s="3" t="str">
        <f ca="1">IF(G1307=1,"-",Tabela2[[#This Row],[Dt Venc:]]-TODAY())</f>
        <v>-</v>
      </c>
      <c r="G1307" s="3">
        <v>1</v>
      </c>
      <c r="H1307" s="3"/>
    </row>
    <row r="1308" spans="1:8" hidden="1">
      <c r="A1308" s="3">
        <v>107</v>
      </c>
      <c r="B1308" s="7" t="s">
        <v>83</v>
      </c>
      <c r="C1308" s="42">
        <v>6400</v>
      </c>
      <c r="D1308" s="6">
        <v>45596</v>
      </c>
      <c r="E1308" s="3" t="str">
        <f ca="1">IF(Tabela2[[#This Row],[Dt Venc:]]&gt;TODAY(),"Em Aberto",IF(Tabela2[[#This Row],[D/venc]]="-","Enviado",IF(Tabela2[[#This Row],[Dt Venc:]]=TODAY(),"Vence Hoje","Vencida")))</f>
        <v>Enviado</v>
      </c>
      <c r="F1308" s="3" t="str">
        <f ca="1">IF(G1308=1,"-",Tabela2[[#This Row],[Dt Venc:]]-TODAY())</f>
        <v>-</v>
      </c>
      <c r="G1308" s="3">
        <v>1</v>
      </c>
      <c r="H1308" s="3"/>
    </row>
    <row r="1309" spans="1:8" hidden="1">
      <c r="A1309" s="3">
        <v>21337</v>
      </c>
      <c r="B1309" s="7" t="s">
        <v>40</v>
      </c>
      <c r="C1309" s="42">
        <v>7933.34</v>
      </c>
      <c r="D1309" s="6">
        <v>45596</v>
      </c>
      <c r="E1309" s="3" t="str">
        <f ca="1">IF(Tabela2[[#This Row],[Dt Venc:]]&gt;TODAY(),"Em Aberto",IF(Tabela2[[#This Row],[D/venc]]="-","Enviado",IF(Tabela2[[#This Row],[Dt Venc:]]=TODAY(),"Vence Hoje","Vencida")))</f>
        <v>Enviado</v>
      </c>
      <c r="F1309" s="3" t="str">
        <f ca="1">IF(G1309=1,"-",Tabela2[[#This Row],[Dt Venc:]]-TODAY())</f>
        <v>-</v>
      </c>
      <c r="G1309" s="3">
        <v>1</v>
      </c>
      <c r="H1309" s="3"/>
    </row>
    <row r="1310" spans="1:8" hidden="1">
      <c r="A1310" s="3">
        <v>179438</v>
      </c>
      <c r="B1310" s="7" t="s">
        <v>84</v>
      </c>
      <c r="C1310" s="42">
        <v>863.22</v>
      </c>
      <c r="D1310" s="6">
        <v>45596</v>
      </c>
      <c r="E1310" s="3" t="str">
        <f ca="1">IF(Tabela2[[#This Row],[Dt Venc:]]&gt;TODAY(),"Em Aberto",IF(Tabela2[[#This Row],[D/venc]]="-","Enviado",IF(Tabela2[[#This Row],[Dt Venc:]]=TODAY(),"Vence Hoje","Vencida")))</f>
        <v>Enviado</v>
      </c>
      <c r="F1310" s="3" t="str">
        <f ca="1">IF(G1310=1,"-",Tabela2[[#This Row],[Dt Venc:]]-TODAY())</f>
        <v>-</v>
      </c>
      <c r="G1310" s="3">
        <v>1</v>
      </c>
      <c r="H1310" s="3"/>
    </row>
    <row r="1311" spans="1:8" hidden="1">
      <c r="A1311" s="3">
        <v>5687</v>
      </c>
      <c r="B1311" s="7" t="s">
        <v>47</v>
      </c>
      <c r="C1311" s="42">
        <v>1096.29</v>
      </c>
      <c r="D1311" s="6">
        <v>45596</v>
      </c>
      <c r="E1311" s="3" t="str">
        <f ca="1">IF(Tabela2[[#This Row],[Dt Venc:]]&gt;TODAY(),"Em Aberto",IF(Tabela2[[#This Row],[D/venc]]="-","Enviado",IF(Tabela2[[#This Row],[Dt Venc:]]=TODAY(),"Vence Hoje","Vencida")))</f>
        <v>Enviado</v>
      </c>
      <c r="F1311" s="3" t="str">
        <f ca="1">IF(G1311=1,"-",Tabela2[[#This Row],[Dt Venc:]]-TODAY())</f>
        <v>-</v>
      </c>
      <c r="G1311" s="3">
        <v>1</v>
      </c>
      <c r="H1311" s="3"/>
    </row>
    <row r="1312" spans="1:8" hidden="1">
      <c r="A1312" s="3">
        <v>180458</v>
      </c>
      <c r="B1312" s="7" t="s">
        <v>87</v>
      </c>
      <c r="C1312" s="42">
        <v>644.04</v>
      </c>
      <c r="D1312" s="6">
        <v>45596</v>
      </c>
      <c r="E1312" s="3" t="str">
        <f ca="1">IF(Tabela2[[#This Row],[Dt Venc:]]&gt;TODAY(),"Em Aberto",IF(Tabela2[[#This Row],[D/venc]]="-","Enviado",IF(Tabela2[[#This Row],[Dt Venc:]]=TODAY(),"Vence Hoje","Vencida")))</f>
        <v>Enviado</v>
      </c>
      <c r="F1312" s="3" t="str">
        <f ca="1">IF(G1312=1,"-",Tabela2[[#This Row],[Dt Venc:]]-TODAY())</f>
        <v>-</v>
      </c>
      <c r="G1312" s="3">
        <v>1</v>
      </c>
      <c r="H1312" s="3"/>
    </row>
    <row r="1313" spans="1:8" hidden="1">
      <c r="A1313" s="3">
        <v>220482</v>
      </c>
      <c r="B1313" s="7" t="s">
        <v>43</v>
      </c>
      <c r="C1313" s="42">
        <v>373.4</v>
      </c>
      <c r="D1313" s="6">
        <v>45596</v>
      </c>
      <c r="E1313" s="3" t="str">
        <f ca="1">IF(Tabela2[[#This Row],[Dt Venc:]]&gt;TODAY(),"Em Aberto",IF(Tabela2[[#This Row],[D/venc]]="-","Enviado",IF(Tabela2[[#This Row],[Dt Venc:]]=TODAY(),"Vence Hoje","Vencida")))</f>
        <v>Enviado</v>
      </c>
      <c r="F1313" s="3" t="str">
        <f ca="1">IF(G1313=1,"-",Tabela2[[#This Row],[Dt Venc:]]-TODAY())</f>
        <v>-</v>
      </c>
      <c r="G1313" s="3">
        <v>1</v>
      </c>
      <c r="H1313" s="3"/>
    </row>
    <row r="1314" spans="1:8" hidden="1">
      <c r="A1314" s="3">
        <v>220805</v>
      </c>
      <c r="B1314" s="7" t="s">
        <v>43</v>
      </c>
      <c r="C1314" s="42">
        <v>539.71</v>
      </c>
      <c r="D1314" s="6">
        <v>45596</v>
      </c>
      <c r="E1314" s="3" t="str">
        <f ca="1">IF(Tabela2[[#This Row],[Dt Venc:]]&gt;TODAY(),"Em Aberto",IF(Tabela2[[#This Row],[D/venc]]="-","Enviado",IF(Tabela2[[#This Row],[Dt Venc:]]=TODAY(),"Vence Hoje","Vencida")))</f>
        <v>Enviado</v>
      </c>
      <c r="F1314" s="3" t="str">
        <f ca="1">IF(G1314=1,"-",Tabela2[[#This Row],[Dt Venc:]]-TODAY())</f>
        <v>-</v>
      </c>
      <c r="G1314" s="3">
        <v>1</v>
      </c>
      <c r="H1314" s="3"/>
    </row>
    <row r="1315" spans="1:8" hidden="1">
      <c r="A1315" s="3">
        <v>2753</v>
      </c>
      <c r="B1315" s="7" t="s">
        <v>301</v>
      </c>
      <c r="C1315" s="42">
        <v>2440</v>
      </c>
      <c r="D1315" s="6">
        <v>45596</v>
      </c>
      <c r="E1315" s="3" t="str">
        <f ca="1">IF(Tabela2[[#This Row],[Dt Venc:]]&gt;TODAY(),"Em Aberto",IF(Tabela2[[#This Row],[D/venc]]="-","Enviado",IF(Tabela2[[#This Row],[Dt Venc:]]=TODAY(),"Vence Hoje","Vencida")))</f>
        <v>Enviado</v>
      </c>
      <c r="F1315" s="3" t="str">
        <f ca="1">IF(G1315=1,"-",Tabela2[[#This Row],[Dt Venc:]]-TODAY())</f>
        <v>-</v>
      </c>
      <c r="G1315" s="3">
        <v>1</v>
      </c>
      <c r="H1315" s="3"/>
    </row>
    <row r="1316" spans="1:8" hidden="1">
      <c r="A1316" s="3">
        <v>424559</v>
      </c>
      <c r="B1316" s="7" t="s">
        <v>222</v>
      </c>
      <c r="C1316" s="42">
        <v>111.9</v>
      </c>
      <c r="D1316" s="6">
        <v>45596</v>
      </c>
      <c r="E1316" s="3" t="str">
        <f ca="1">IF(Tabela2[[#This Row],[Dt Venc:]]&gt;TODAY(),"Em Aberto",IF(Tabela2[[#This Row],[D/venc]]="-","Enviado",IF(Tabela2[[#This Row],[Dt Venc:]]=TODAY(),"Vence Hoje","Vencida")))</f>
        <v>Enviado</v>
      </c>
      <c r="F1316" s="3" t="str">
        <f ca="1">IF(G1316=1,"-",Tabela2[[#This Row],[Dt Venc:]]-TODAY())</f>
        <v>-</v>
      </c>
      <c r="G1316" s="3">
        <v>1</v>
      </c>
      <c r="H1316" s="3"/>
    </row>
    <row r="1317" spans="1:8" hidden="1">
      <c r="A1317" s="3">
        <v>4482328</v>
      </c>
      <c r="B1317" s="7" t="s">
        <v>219</v>
      </c>
      <c r="C1317" s="42">
        <v>398.98</v>
      </c>
      <c r="D1317" s="6">
        <v>45596</v>
      </c>
      <c r="E1317" s="3" t="str">
        <f ca="1">IF(Tabela2[[#This Row],[Dt Venc:]]&gt;TODAY(),"Em Aberto",IF(Tabela2[[#This Row],[D/venc]]="-","Enviado",IF(Tabela2[[#This Row],[Dt Venc:]]=TODAY(),"Vence Hoje","Vencida")))</f>
        <v>Enviado</v>
      </c>
      <c r="F1317" s="3" t="str">
        <f ca="1">IF(G1317=1,"-",Tabela2[[#This Row],[Dt Venc:]]-TODAY())</f>
        <v>-</v>
      </c>
      <c r="G1317" s="3">
        <v>1</v>
      </c>
      <c r="H1317" s="3"/>
    </row>
    <row r="1318" spans="1:8" hidden="1">
      <c r="A1318" s="3">
        <v>4472072</v>
      </c>
      <c r="B1318" s="7" t="s">
        <v>219</v>
      </c>
      <c r="C1318" s="42">
        <v>133</v>
      </c>
      <c r="D1318" s="6">
        <v>45596</v>
      </c>
      <c r="E1318" s="3" t="str">
        <f ca="1">IF(Tabela2[[#This Row],[Dt Venc:]]&gt;TODAY(),"Em Aberto",IF(Tabela2[[#This Row],[D/venc]]="-","Enviado",IF(Tabela2[[#This Row],[Dt Venc:]]=TODAY(),"Vence Hoje","Vencida")))</f>
        <v>Enviado</v>
      </c>
      <c r="F1318" s="3" t="str">
        <f ca="1">IF(G1318=1,"-",Tabela2[[#This Row],[Dt Venc:]]-TODAY())</f>
        <v>-</v>
      </c>
      <c r="G1318" s="3">
        <v>1</v>
      </c>
      <c r="H1318" s="3"/>
    </row>
    <row r="1319" spans="1:8" hidden="1">
      <c r="A1319" s="3">
        <v>5003</v>
      </c>
      <c r="B1319" s="7" t="s">
        <v>349</v>
      </c>
      <c r="C1319" s="42">
        <v>412.6</v>
      </c>
      <c r="D1319" s="6">
        <v>45596</v>
      </c>
      <c r="E1319" s="3" t="str">
        <f ca="1">IF(Tabela2[[#This Row],[Dt Venc:]]&gt;TODAY(),"Em Aberto",IF(Tabela2[[#This Row],[D/venc]]="-","Enviado",IF(Tabela2[[#This Row],[Dt Venc:]]=TODAY(),"Vence Hoje","Vencida")))</f>
        <v>Enviado</v>
      </c>
      <c r="F1319" s="3" t="str">
        <f ca="1">IF(G1319=1,"-",Tabela2[[#This Row],[Dt Venc:]]-TODAY())</f>
        <v>-</v>
      </c>
      <c r="G1319" s="3">
        <v>1</v>
      </c>
      <c r="H1319" s="3"/>
    </row>
    <row r="1320" spans="1:8" hidden="1">
      <c r="A1320" s="3">
        <v>5003</v>
      </c>
      <c r="B1320" s="7" t="s">
        <v>349</v>
      </c>
      <c r="C1320" s="42">
        <v>412.6</v>
      </c>
      <c r="D1320" s="6">
        <v>45596</v>
      </c>
      <c r="E1320" s="3" t="str">
        <f ca="1">IF(Tabela2[[#This Row],[Dt Venc:]]&gt;TODAY(),"Em Aberto",IF(Tabela2[[#This Row],[D/venc]]="-","Enviado",IF(Tabela2[[#This Row],[Dt Venc:]]=TODAY(),"Vence Hoje","Vencida")))</f>
        <v>Enviado</v>
      </c>
      <c r="F1320" s="3" t="str">
        <f ca="1">IF(G1320=1,"-",Tabela2[[#This Row],[Dt Venc:]]-TODAY())</f>
        <v>-</v>
      </c>
      <c r="G1320" s="3">
        <v>1</v>
      </c>
      <c r="H1320" s="3"/>
    </row>
    <row r="1321" spans="1:8" hidden="1">
      <c r="A1321" s="3">
        <v>301991</v>
      </c>
      <c r="B1321" s="7" t="s">
        <v>63</v>
      </c>
      <c r="C1321" s="42">
        <v>1698.7</v>
      </c>
      <c r="D1321" s="6">
        <v>45596</v>
      </c>
      <c r="E1321" s="3" t="str">
        <f ca="1">IF(Tabela2[[#This Row],[Dt Venc:]]&gt;TODAY(),"Em Aberto",IF(Tabela2[[#This Row],[D/venc]]="-","Enviado",IF(Tabela2[[#This Row],[Dt Venc:]]=TODAY(),"Vence Hoje","Vencida")))</f>
        <v>Enviado</v>
      </c>
      <c r="F1321" s="3" t="str">
        <f ca="1">IF(G1321=1,"-",Tabela2[[#This Row],[Dt Venc:]]-TODAY())</f>
        <v>-</v>
      </c>
      <c r="G1321" s="3">
        <v>1</v>
      </c>
      <c r="H1321" s="3"/>
    </row>
    <row r="1322" spans="1:8" hidden="1">
      <c r="A1322" s="3">
        <v>25480</v>
      </c>
      <c r="B1322" s="7" t="s">
        <v>388</v>
      </c>
      <c r="C1322" s="42">
        <v>505</v>
      </c>
      <c r="D1322" s="6">
        <v>45596</v>
      </c>
      <c r="E1322" s="3" t="str">
        <f ca="1">IF(Tabela2[[#This Row],[Dt Venc:]]&gt;TODAY(),"Em Aberto",IF(Tabela2[[#This Row],[D/venc]]="-","Enviado",IF(Tabela2[[#This Row],[Dt Venc:]]=TODAY(),"Vence Hoje","Vencida")))</f>
        <v>Enviado</v>
      </c>
      <c r="F1322" s="3" t="str">
        <f ca="1">IF(G1322=1,"-",Tabela2[[#This Row],[Dt Venc:]]-TODAY())</f>
        <v>-</v>
      </c>
      <c r="G1322" s="3">
        <v>1</v>
      </c>
      <c r="H1322" s="3"/>
    </row>
    <row r="1323" spans="1:8" hidden="1">
      <c r="A1323" s="3">
        <v>5954</v>
      </c>
      <c r="B1323" s="7" t="s">
        <v>47</v>
      </c>
      <c r="C1323" s="42">
        <v>878</v>
      </c>
      <c r="D1323" s="6">
        <v>45596</v>
      </c>
      <c r="E1323" s="3" t="str">
        <f ca="1">IF(Tabela2[[#This Row],[Dt Venc:]]&gt;TODAY(),"Em Aberto",IF(Tabela2[[#This Row],[D/venc]]="-","Enviado",IF(Tabela2[[#This Row],[Dt Venc:]]=TODAY(),"Vence Hoje","Vencida")))</f>
        <v>Enviado</v>
      </c>
      <c r="F1323" s="3" t="str">
        <f ca="1">IF(G1323=1,"-",Tabela2[[#This Row],[Dt Venc:]]-TODAY())</f>
        <v>-</v>
      </c>
      <c r="G1323" s="3">
        <v>1</v>
      </c>
      <c r="H1323" s="3"/>
    </row>
    <row r="1324" spans="1:8" hidden="1">
      <c r="A1324" s="3">
        <v>153230</v>
      </c>
      <c r="B1324" s="7" t="s">
        <v>77</v>
      </c>
      <c r="C1324" s="42">
        <v>1233.33</v>
      </c>
      <c r="D1324" s="6">
        <v>45596</v>
      </c>
      <c r="E1324" s="3" t="str">
        <f ca="1">IF(Tabela2[[#This Row],[Dt Venc:]]&gt;TODAY(),"Em Aberto",IF(Tabela2[[#This Row],[D/venc]]="-","Enviado",IF(Tabela2[[#This Row],[Dt Venc:]]=TODAY(),"Vence Hoje","Vencida")))</f>
        <v>Enviado</v>
      </c>
      <c r="F1324" s="3" t="str">
        <f ca="1">IF(G1324=1,"-",Tabela2[[#This Row],[Dt Venc:]]-TODAY())</f>
        <v>-</v>
      </c>
      <c r="G1324" s="3">
        <v>1</v>
      </c>
      <c r="H1324" s="3"/>
    </row>
    <row r="1325" spans="1:8" hidden="1">
      <c r="A1325" s="3">
        <v>326432</v>
      </c>
      <c r="B1325" s="7" t="s">
        <v>77</v>
      </c>
      <c r="C1325" s="42">
        <v>405</v>
      </c>
      <c r="D1325" s="6">
        <v>45596</v>
      </c>
      <c r="E1325" s="3" t="str">
        <f ca="1">IF(Tabela2[[#This Row],[Dt Venc:]]&gt;TODAY(),"Em Aberto",IF(Tabela2[[#This Row],[D/venc]]="-","Enviado",IF(Tabela2[[#This Row],[Dt Venc:]]=TODAY(),"Vence Hoje","Vencida")))</f>
        <v>Enviado</v>
      </c>
      <c r="F1325" s="3" t="str">
        <f ca="1">IF(G1325=1,"-",Tabela2[[#This Row],[Dt Venc:]]-TODAY())</f>
        <v>-</v>
      </c>
      <c r="G1325" s="3">
        <v>1</v>
      </c>
      <c r="H1325" s="3"/>
    </row>
    <row r="1326" spans="1:8" hidden="1">
      <c r="A1326" s="3">
        <v>173253</v>
      </c>
      <c r="B1326" s="7" t="s">
        <v>211</v>
      </c>
      <c r="C1326" s="42">
        <v>960</v>
      </c>
      <c r="D1326" s="6">
        <v>45596</v>
      </c>
      <c r="E1326" s="3" t="str">
        <f ca="1">IF(Tabela2[[#This Row],[Dt Venc:]]&gt;TODAY(),"Em Aberto",IF(Tabela2[[#This Row],[D/venc]]="-","Enviado",IF(Tabela2[[#This Row],[Dt Venc:]]=TODAY(),"Vence Hoje","Vencida")))</f>
        <v>Enviado</v>
      </c>
      <c r="F1326" s="3" t="str">
        <f ca="1">IF(G1326=1,"-",Tabela2[[#This Row],[Dt Venc:]]-TODAY())</f>
        <v>-</v>
      </c>
      <c r="G1326" s="3">
        <v>1</v>
      </c>
      <c r="H1326" s="3"/>
    </row>
    <row r="1327" spans="1:8" hidden="1">
      <c r="A1327" s="3">
        <v>326422</v>
      </c>
      <c r="B1327" s="7" t="s">
        <v>77</v>
      </c>
      <c r="C1327" s="42">
        <v>563.33000000000004</v>
      </c>
      <c r="D1327" s="6">
        <v>45596</v>
      </c>
      <c r="E1327" s="3" t="str">
        <f ca="1">IF(Tabela2[[#This Row],[Dt Venc:]]&gt;TODAY(),"Em Aberto",IF(Tabela2[[#This Row],[D/venc]]="-","Enviado",IF(Tabela2[[#This Row],[Dt Venc:]]=TODAY(),"Vence Hoje","Vencida")))</f>
        <v>Enviado</v>
      </c>
      <c r="F1327" s="3" t="str">
        <f ca="1">IF(G1327=1,"-",Tabela2[[#This Row],[Dt Venc:]]-TODAY())</f>
        <v>-</v>
      </c>
      <c r="G1327" s="3">
        <v>1</v>
      </c>
      <c r="H1327" s="3"/>
    </row>
    <row r="1328" spans="1:8" hidden="1">
      <c r="A1328" s="3">
        <v>30152</v>
      </c>
      <c r="B1328" s="7" t="s">
        <v>97</v>
      </c>
      <c r="C1328" s="42">
        <v>3360</v>
      </c>
      <c r="D1328" s="6">
        <v>45596</v>
      </c>
      <c r="E1328" s="3" t="str">
        <f ca="1">IF(Tabela2[[#This Row],[Dt Venc:]]&gt;TODAY(),"Em Aberto",IF(Tabela2[[#This Row],[D/venc]]="-","Enviado",IF(Tabela2[[#This Row],[Dt Venc:]]=TODAY(),"Vence Hoje","Vencida")))</f>
        <v>Enviado</v>
      </c>
      <c r="F1328" s="3" t="str">
        <f ca="1">IF(G1328=1,"-",Tabela2[[#This Row],[Dt Venc:]]-TODAY())</f>
        <v>-</v>
      </c>
      <c r="G1328" s="3">
        <v>1</v>
      </c>
      <c r="H1328" s="3"/>
    </row>
    <row r="1329" spans="1:8" hidden="1">
      <c r="A1329" s="3">
        <v>129042</v>
      </c>
      <c r="B1329" s="7" t="s">
        <v>389</v>
      </c>
      <c r="C1329" s="42">
        <v>492.8</v>
      </c>
      <c r="D1329" s="6">
        <v>45596</v>
      </c>
      <c r="E1329" s="3" t="str">
        <f ca="1">IF(Tabela2[[#This Row],[Dt Venc:]]&gt;TODAY(),"Em Aberto",IF(Tabela2[[#This Row],[D/venc]]="-","Enviado",IF(Tabela2[[#This Row],[Dt Venc:]]=TODAY(),"Vence Hoje","Vencida")))</f>
        <v>Enviado</v>
      </c>
      <c r="F1329" s="3" t="str">
        <f ca="1">IF(G1329=1,"-",Tabela2[[#This Row],[Dt Venc:]]-TODAY())</f>
        <v>-</v>
      </c>
      <c r="G1329" s="3">
        <v>1</v>
      </c>
      <c r="H1329" s="3"/>
    </row>
    <row r="1330" spans="1:8" hidden="1">
      <c r="A1330" s="3">
        <v>23130</v>
      </c>
      <c r="B1330" s="7" t="s">
        <v>38</v>
      </c>
      <c r="C1330" s="42">
        <v>833.33</v>
      </c>
      <c r="D1330" s="6">
        <v>45596</v>
      </c>
      <c r="E1330" s="3" t="str">
        <f ca="1">IF(Tabela2[[#This Row],[Dt Venc:]]&gt;TODAY(),"Em Aberto",IF(Tabela2[[#This Row],[D/venc]]="-","Enviado",IF(Tabela2[[#This Row],[Dt Venc:]]=TODAY(),"Vence Hoje","Vencida")))</f>
        <v>Enviado</v>
      </c>
      <c r="F1330" s="3" t="str">
        <f ca="1">IF(G1330=1,"-",Tabela2[[#This Row],[Dt Venc:]]-TODAY())</f>
        <v>-</v>
      </c>
      <c r="G1330" s="3">
        <v>1</v>
      </c>
      <c r="H1330" s="3"/>
    </row>
    <row r="1331" spans="1:8" hidden="1">
      <c r="A1331" s="3">
        <v>2593</v>
      </c>
      <c r="B1331" s="7" t="s">
        <v>198</v>
      </c>
      <c r="C1331" s="42">
        <v>210</v>
      </c>
      <c r="D1331" s="6">
        <v>45596</v>
      </c>
      <c r="E1331" s="3" t="str">
        <f ca="1">IF(Tabela2[[#This Row],[Dt Venc:]]&gt;TODAY(),"Em Aberto",IF(Tabela2[[#This Row],[D/venc]]="-","Enviado",IF(Tabela2[[#This Row],[Dt Venc:]]=TODAY(),"Vence Hoje","Vencida")))</f>
        <v>Enviado</v>
      </c>
      <c r="F1331" s="3" t="str">
        <f ca="1">IF(G1331=1,"-",Tabela2[[#This Row],[Dt Venc:]]-TODAY())</f>
        <v>-</v>
      </c>
      <c r="G1331" s="3">
        <v>1</v>
      </c>
      <c r="H1331" s="3"/>
    </row>
    <row r="1332" spans="1:8" hidden="1">
      <c r="A1332" s="3">
        <v>586</v>
      </c>
      <c r="B1332" s="7" t="s">
        <v>390</v>
      </c>
      <c r="C1332" s="42">
        <v>2942.09</v>
      </c>
      <c r="D1332" s="6">
        <v>45596</v>
      </c>
      <c r="E1332" s="3" t="str">
        <f ca="1">IF(Tabela2[[#This Row],[Dt Venc:]]&gt;TODAY(),"Em Aberto",IF(Tabela2[[#This Row],[D/venc]]="-","Enviado",IF(Tabela2[[#This Row],[Dt Venc:]]=TODAY(),"Vence Hoje","Vencida")))</f>
        <v>Enviado</v>
      </c>
      <c r="F1332" s="3" t="str">
        <f ca="1">IF(G1332=1,"-",Tabela2[[#This Row],[Dt Venc:]]-TODAY())</f>
        <v>-</v>
      </c>
      <c r="G1332" s="3">
        <v>1</v>
      </c>
      <c r="H1332" s="3"/>
    </row>
    <row r="1333" spans="1:8" hidden="1">
      <c r="A1333" s="3">
        <v>234399</v>
      </c>
      <c r="B1333" s="7" t="s">
        <v>43</v>
      </c>
      <c r="C1333" s="42">
        <v>442.65</v>
      </c>
      <c r="D1333" s="6">
        <v>45596</v>
      </c>
      <c r="E1333" s="3" t="str">
        <f ca="1">IF(Tabela2[[#This Row],[Dt Venc:]]&gt;TODAY(),"Em Aberto",IF(Tabela2[[#This Row],[D/venc]]="-","Enviado",IF(Tabela2[[#This Row],[Dt Venc:]]=TODAY(),"Vence Hoje","Vencida")))</f>
        <v>Enviado</v>
      </c>
      <c r="F1333" s="3" t="str">
        <f ca="1">IF(G1333=1,"-",Tabela2[[#This Row],[Dt Venc:]]-TODAY())</f>
        <v>-</v>
      </c>
      <c r="G1333" s="3">
        <v>1</v>
      </c>
      <c r="H1333" s="3"/>
    </row>
    <row r="1334" spans="1:8" hidden="1">
      <c r="A1334" s="3">
        <v>356266</v>
      </c>
      <c r="B1334" s="7" t="s">
        <v>59</v>
      </c>
      <c r="C1334" s="41">
        <v>56037</v>
      </c>
      <c r="D1334" s="6">
        <v>45596</v>
      </c>
      <c r="E1334" s="3" t="str">
        <f ca="1">IF(Tabela2[[#This Row],[Dt Venc:]]&gt;TODAY(),"Em Aberto",IF(Tabela2[[#This Row],[D/venc]]="-","Enviado",IF(Tabela2[[#This Row],[Dt Venc:]]=TODAY(),"Vence Hoje","Vencida")))</f>
        <v>Enviado</v>
      </c>
      <c r="F1334" s="3" t="str">
        <f ca="1">IF(G1334=1,"-",Tabela2[[#This Row],[Dt Venc:]]-TODAY())</f>
        <v>-</v>
      </c>
      <c r="G1334" s="3">
        <v>1</v>
      </c>
      <c r="H1334" s="3"/>
    </row>
    <row r="1335" spans="1:8" hidden="1">
      <c r="A1335" s="3">
        <v>2015</v>
      </c>
      <c r="B1335" s="7" t="s">
        <v>342</v>
      </c>
      <c r="C1335" s="41">
        <v>740</v>
      </c>
      <c r="D1335" s="6">
        <v>45596</v>
      </c>
      <c r="E1335" s="3" t="str">
        <f ca="1">IF(Tabela2[[#This Row],[Dt Venc:]]&gt;TODAY(),"Em Aberto",IF(Tabela2[[#This Row],[D/venc]]="-","Enviado",IF(Tabela2[[#This Row],[Dt Venc:]]=TODAY(),"Vence Hoje","Vencida")))</f>
        <v>Enviado</v>
      </c>
      <c r="F1335" s="3" t="str">
        <f ca="1">IF(G1335=1,"-",Tabela2[[#This Row],[Dt Venc:]]-TODAY())</f>
        <v>-</v>
      </c>
      <c r="G1335" s="3">
        <v>1</v>
      </c>
      <c r="H1335" s="3"/>
    </row>
    <row r="1336" spans="1:8" hidden="1">
      <c r="A1336" s="3" t="s">
        <v>28</v>
      </c>
      <c r="B1336" s="7" t="s">
        <v>391</v>
      </c>
      <c r="C1336" s="85" t="s">
        <v>30</v>
      </c>
      <c r="D1336" s="6">
        <v>45596</v>
      </c>
      <c r="E1336" s="3" t="str">
        <f ca="1">IF(Tabela2[[#This Row],[Dt Venc:]]&gt;TODAY(),"Em Aberto",IF(Tabela2[[#This Row],[D/venc]]="-","Enviado",IF(Tabela2[[#This Row],[Dt Venc:]]=TODAY(),"Vence Hoje","Vencida")))</f>
        <v>Enviado</v>
      </c>
      <c r="F1336" s="3" t="str">
        <f ca="1">IF(G1336=1,"-",Tabela2[[#This Row],[Dt Venc:]]-TODAY())</f>
        <v>-</v>
      </c>
      <c r="G1336" s="3">
        <v>1</v>
      </c>
      <c r="H1336" s="3"/>
    </row>
    <row r="1337" spans="1:8" hidden="1">
      <c r="A1337" s="3" t="s">
        <v>110</v>
      </c>
      <c r="B1337" s="7" t="s">
        <v>392</v>
      </c>
      <c r="C1337" s="85" t="s">
        <v>32</v>
      </c>
      <c r="D1337" s="6">
        <v>45596</v>
      </c>
      <c r="E1337" s="3" t="str">
        <f ca="1">IF(Tabela2[[#This Row],[Dt Venc:]]&gt;TODAY(),"Em Aberto",IF(Tabela2[[#This Row],[D/venc]]="-","Enviado",IF(Tabela2[[#This Row],[Dt Venc:]]=TODAY(),"Vence Hoje","Vencida")))</f>
        <v>Enviado</v>
      </c>
      <c r="F1337" s="3" t="str">
        <f ca="1">IF(G1337=1,"-",Tabela2[[#This Row],[Dt Venc:]]-TODAY())</f>
        <v>-</v>
      </c>
      <c r="G1337" s="3">
        <v>1</v>
      </c>
      <c r="H1337" s="3"/>
    </row>
    <row r="1338" spans="1:8" hidden="1">
      <c r="A1338" s="3">
        <v>141112</v>
      </c>
      <c r="B1338" s="7" t="s">
        <v>60</v>
      </c>
      <c r="C1338" s="41">
        <v>390</v>
      </c>
      <c r="D1338" s="6">
        <v>45596</v>
      </c>
      <c r="E1338" s="3" t="str">
        <f ca="1">IF(Tabela2[[#This Row],[Dt Venc:]]&gt;TODAY(),"Em Aberto",IF(Tabela2[[#This Row],[D/venc]]="-","Enviado",IF(Tabela2[[#This Row],[Dt Venc:]]=TODAY(),"Vence Hoje","Vencida")))</f>
        <v>Enviado</v>
      </c>
      <c r="F1338" s="3" t="str">
        <f ca="1">IF(G1338=1,"-",Tabela2[[#This Row],[Dt Venc:]]-TODAY())</f>
        <v>-</v>
      </c>
      <c r="G1338" s="3">
        <v>1</v>
      </c>
      <c r="H1338" s="3"/>
    </row>
    <row r="1339" spans="1:8" hidden="1">
      <c r="A1339" s="3">
        <v>141139</v>
      </c>
      <c r="B1339" s="7" t="s">
        <v>60</v>
      </c>
      <c r="C1339" s="41">
        <v>390</v>
      </c>
      <c r="D1339" s="6">
        <v>45596</v>
      </c>
      <c r="E1339" s="3" t="str">
        <f ca="1">IF(Tabela2[[#This Row],[Dt Venc:]]&gt;TODAY(),"Em Aberto",IF(Tabela2[[#This Row],[D/venc]]="-","Enviado",IF(Tabela2[[#This Row],[Dt Venc:]]=TODAY(),"Vence Hoje","Vencida")))</f>
        <v>Enviado</v>
      </c>
      <c r="F1339" s="3" t="str">
        <f ca="1">IF(G1339=1,"-",Tabela2[[#This Row],[Dt Venc:]]-TODAY())</f>
        <v>-</v>
      </c>
      <c r="G1339" s="3">
        <v>1</v>
      </c>
      <c r="H1339" s="3"/>
    </row>
    <row r="1340" spans="1:8" hidden="1">
      <c r="A1340" s="3">
        <v>141109</v>
      </c>
      <c r="B1340" s="7" t="s">
        <v>60</v>
      </c>
      <c r="C1340" s="41">
        <v>390</v>
      </c>
      <c r="D1340" s="6">
        <v>45596</v>
      </c>
      <c r="E1340" s="3" t="str">
        <f ca="1">IF(Tabela2[[#This Row],[Dt Venc:]]&gt;TODAY(),"Em Aberto",IF(Tabela2[[#This Row],[D/venc]]="-","Enviado",IF(Tabela2[[#This Row],[Dt Venc:]]=TODAY(),"Vence Hoje","Vencida")))</f>
        <v>Enviado</v>
      </c>
      <c r="F1340" s="3" t="str">
        <f ca="1">IF(G1340=1,"-",Tabela2[[#This Row],[Dt Venc:]]-TODAY())</f>
        <v>-</v>
      </c>
      <c r="G1340" s="3">
        <v>1</v>
      </c>
      <c r="H1340" s="3"/>
    </row>
    <row r="1341" spans="1:8" hidden="1">
      <c r="A1341" s="3">
        <v>73056</v>
      </c>
      <c r="B1341" s="7" t="s">
        <v>43</v>
      </c>
      <c r="C1341" s="41">
        <v>1119.78</v>
      </c>
      <c r="D1341" s="6">
        <v>45596</v>
      </c>
      <c r="E1341" s="3" t="str">
        <f ca="1">IF(Tabela2[[#This Row],[Dt Venc:]]&gt;TODAY(),"Em Aberto",IF(Tabela2[[#This Row],[D/venc]]="-","Enviado",IF(Tabela2[[#This Row],[Dt Venc:]]=TODAY(),"Vence Hoje","Vencida")))</f>
        <v>Enviado</v>
      </c>
      <c r="F1341" s="3" t="str">
        <f ca="1">IF(G1341=1,"-",Tabela2[[#This Row],[Dt Venc:]]-TODAY())</f>
        <v>-</v>
      </c>
      <c r="G1341" s="3">
        <v>1</v>
      </c>
      <c r="H1341" s="3"/>
    </row>
    <row r="1342" spans="1:8" hidden="1">
      <c r="A1342" s="3">
        <v>141110</v>
      </c>
      <c r="B1342" s="7" t="s">
        <v>60</v>
      </c>
      <c r="C1342" s="41">
        <v>390</v>
      </c>
      <c r="D1342" s="6">
        <v>45596</v>
      </c>
      <c r="E1342" s="3" t="str">
        <f ca="1">IF(Tabela2[[#This Row],[Dt Venc:]]&gt;TODAY(),"Em Aberto",IF(Tabela2[[#This Row],[D/venc]]="-","Enviado",IF(Tabela2[[#This Row],[Dt Venc:]]=TODAY(),"Vence Hoje","Vencida")))</f>
        <v>Enviado</v>
      </c>
      <c r="F1342" s="3" t="str">
        <f ca="1">IF(G1342=1,"-",Tabela2[[#This Row],[Dt Venc:]]-TODAY())</f>
        <v>-</v>
      </c>
      <c r="G1342" s="3">
        <v>1</v>
      </c>
      <c r="H1342" s="3"/>
    </row>
    <row r="1343" spans="1:8" hidden="1">
      <c r="A1343" s="3" t="s">
        <v>123</v>
      </c>
      <c r="B1343" s="7" t="s">
        <v>29</v>
      </c>
      <c r="C1343" s="85" t="s">
        <v>393</v>
      </c>
      <c r="D1343" s="6">
        <v>45597</v>
      </c>
      <c r="E1343" s="3" t="str">
        <f ca="1">IF(Tabela2[[#This Row],[Dt Venc:]]&gt;TODAY(),"Em Aberto",IF(Tabela2[[#This Row],[D/venc]]="-","Enviado",IF(Tabela2[[#This Row],[Dt Venc:]]=TODAY(),"Vence Hoje","Vencida")))</f>
        <v>Enviado</v>
      </c>
      <c r="F1343" s="3" t="str">
        <f ca="1">IF(G1343=1,"-",Tabela2[[#This Row],[Dt Venc:]]-TODAY())</f>
        <v>-</v>
      </c>
      <c r="G1343" s="3">
        <v>1</v>
      </c>
      <c r="H1343" s="3" t="str">
        <f>_xlfn.XLOOKUP(A1343,'Notas Faltantes'!A:A,'Notas Faltantes'!E:E,"",0)</f>
        <v/>
      </c>
    </row>
    <row r="1344" spans="1:8" hidden="1">
      <c r="A1344" s="3" t="s">
        <v>123</v>
      </c>
      <c r="B1344" s="3" t="s">
        <v>31</v>
      </c>
      <c r="C1344" s="84" t="s">
        <v>32</v>
      </c>
      <c r="D1344" s="6">
        <v>45597</v>
      </c>
      <c r="E1344" s="3" t="str">
        <f ca="1">IF(Tabela2[[#This Row],[Dt Venc:]]&gt;TODAY(),"Em Aberto",IF(Tabela2[[#This Row],[D/venc]]="-","Enviado",IF(Tabela2[[#This Row],[Dt Venc:]]=TODAY(),"Vence Hoje","Vencida")))</f>
        <v>Enviado</v>
      </c>
      <c r="F1344" s="3" t="str">
        <f ca="1">IF(G1344=1,"-",Tabela2[[#This Row],[Dt Venc:]]-TODAY())</f>
        <v>-</v>
      </c>
      <c r="G1344" s="3">
        <v>1</v>
      </c>
      <c r="H1344" s="3" t="str">
        <f>_xlfn.XLOOKUP(A1344,'Notas Faltantes'!A:A,'Notas Faltantes'!E:E,"",0)</f>
        <v/>
      </c>
    </row>
    <row r="1345" spans="1:8" hidden="1">
      <c r="A1345" s="3">
        <v>80198</v>
      </c>
      <c r="B1345" s="7" t="s">
        <v>65</v>
      </c>
      <c r="C1345" s="42">
        <v>616.65</v>
      </c>
      <c r="D1345" s="6">
        <v>45597</v>
      </c>
      <c r="E1345" s="3" t="str">
        <f ca="1">IF(Tabela2[[#This Row],[Dt Venc:]]&gt;TODAY(),"Em Aberto",IF(Tabela2[[#This Row],[D/venc]]="-","Enviado",IF(Tabela2[[#This Row],[Dt Venc:]]=TODAY(),"Vence Hoje","Vencida")))</f>
        <v>Enviado</v>
      </c>
      <c r="F1345" s="3" t="str">
        <f ca="1">IF(G1345=1,"-",Tabela2[[#This Row],[Dt Venc:]]-TODAY())</f>
        <v>-</v>
      </c>
      <c r="G1345" s="3">
        <v>1</v>
      </c>
      <c r="H1345" s="3"/>
    </row>
    <row r="1346" spans="1:8" hidden="1">
      <c r="A1346" s="3">
        <v>80199</v>
      </c>
      <c r="B1346" s="7" t="s">
        <v>65</v>
      </c>
      <c r="C1346" s="42">
        <v>616.65</v>
      </c>
      <c r="D1346" s="6">
        <v>45597</v>
      </c>
      <c r="E1346" s="3" t="str">
        <f ca="1">IF(Tabela2[[#This Row],[Dt Venc:]]&gt;TODAY(),"Em Aberto",IF(Tabela2[[#This Row],[D/venc]]="-","Enviado",IF(Tabela2[[#This Row],[Dt Venc:]]=TODAY(),"Vence Hoje","Vencida")))</f>
        <v>Enviado</v>
      </c>
      <c r="F1346" s="3" t="str">
        <f ca="1">IF(G1346=1,"-",Tabela2[[#This Row],[Dt Venc:]]-TODAY())</f>
        <v>-</v>
      </c>
      <c r="G1346" s="3">
        <v>1</v>
      </c>
      <c r="H1346" s="3"/>
    </row>
    <row r="1347" spans="1:8" hidden="1">
      <c r="A1347" s="3">
        <v>362199</v>
      </c>
      <c r="B1347" s="7" t="s">
        <v>65</v>
      </c>
      <c r="C1347" s="42">
        <v>298.7</v>
      </c>
      <c r="D1347" s="6">
        <v>45597</v>
      </c>
      <c r="E1347" s="3" t="str">
        <f ca="1">IF(Tabela2[[#This Row],[Dt Venc:]]&gt;TODAY(),"Em Aberto",IF(Tabela2[[#This Row],[D/venc]]="-","Enviado",IF(Tabela2[[#This Row],[Dt Venc:]]=TODAY(),"Vence Hoje","Vencida")))</f>
        <v>Enviado</v>
      </c>
      <c r="F1347" s="3" t="str">
        <f ca="1">IF(G1347=1,"-",Tabela2[[#This Row],[Dt Venc:]]-TODAY())</f>
        <v>-</v>
      </c>
      <c r="G1347" s="3">
        <v>1</v>
      </c>
      <c r="H1347" s="3"/>
    </row>
    <row r="1348" spans="1:8" hidden="1">
      <c r="A1348" s="3">
        <v>362200</v>
      </c>
      <c r="B1348" s="7" t="s">
        <v>65</v>
      </c>
      <c r="C1348" s="42">
        <v>298.7</v>
      </c>
      <c r="D1348" s="6">
        <v>45597</v>
      </c>
      <c r="E1348" s="3" t="str">
        <f ca="1">IF(Tabela2[[#This Row],[Dt Venc:]]&gt;TODAY(),"Em Aberto",IF(Tabela2[[#This Row],[D/venc]]="-","Enviado",IF(Tabela2[[#This Row],[Dt Venc:]]=TODAY(),"Vence Hoje","Vencida")))</f>
        <v>Enviado</v>
      </c>
      <c r="F1348" s="3" t="str">
        <f ca="1">IF(G1348=1,"-",Tabela2[[#This Row],[Dt Venc:]]-TODAY())</f>
        <v>-</v>
      </c>
      <c r="G1348" s="3">
        <v>1</v>
      </c>
      <c r="H1348" s="3"/>
    </row>
    <row r="1349" spans="1:8" hidden="1">
      <c r="A1349" s="3">
        <v>79806</v>
      </c>
      <c r="B1349" s="7" t="s">
        <v>39</v>
      </c>
      <c r="C1349" s="42">
        <v>609.23</v>
      </c>
      <c r="D1349" s="6">
        <v>45597</v>
      </c>
      <c r="E1349" s="3" t="str">
        <f ca="1">IF(Tabela2[[#This Row],[Dt Venc:]]&gt;TODAY(),"Em Aberto",IF(Tabela2[[#This Row],[D/venc]]="-","Enviado",IF(Tabela2[[#This Row],[Dt Venc:]]=TODAY(),"Vence Hoje","Vencida")))</f>
        <v>Enviado</v>
      </c>
      <c r="F1349" s="3" t="str">
        <f ca="1">IF(G1349=1,"-",Tabela2[[#This Row],[Dt Venc:]]-TODAY())</f>
        <v>-</v>
      </c>
      <c r="G1349" s="3">
        <v>1</v>
      </c>
      <c r="H1349" s="3"/>
    </row>
    <row r="1350" spans="1:8" hidden="1">
      <c r="A1350" s="3">
        <v>79807</v>
      </c>
      <c r="B1350" s="7" t="s">
        <v>39</v>
      </c>
      <c r="C1350" s="42">
        <v>483.77</v>
      </c>
      <c r="D1350" s="6">
        <v>45597</v>
      </c>
      <c r="E1350" s="3" t="str">
        <f ca="1">IF(Tabela2[[#This Row],[Dt Venc:]]&gt;TODAY(),"Em Aberto",IF(Tabela2[[#This Row],[D/venc]]="-","Enviado",IF(Tabela2[[#This Row],[Dt Venc:]]=TODAY(),"Vence Hoje","Vencida")))</f>
        <v>Enviado</v>
      </c>
      <c r="F1350" s="3" t="str">
        <f ca="1">IF(G1350=1,"-",Tabela2[[#This Row],[Dt Venc:]]-TODAY())</f>
        <v>-</v>
      </c>
      <c r="G1350" s="3">
        <v>1</v>
      </c>
      <c r="H1350" s="3"/>
    </row>
    <row r="1351" spans="1:8" hidden="1">
      <c r="A1351" s="3">
        <v>359642</v>
      </c>
      <c r="B1351" s="7" t="s">
        <v>39</v>
      </c>
      <c r="C1351" s="42">
        <v>468.09</v>
      </c>
      <c r="D1351" s="6">
        <v>45597</v>
      </c>
      <c r="E1351" s="3" t="str">
        <f ca="1">IF(Tabela2[[#This Row],[Dt Venc:]]&gt;TODAY(),"Em Aberto",IF(Tabela2[[#This Row],[D/venc]]="-","Enviado",IF(Tabela2[[#This Row],[Dt Venc:]]=TODAY(),"Vence Hoje","Vencida")))</f>
        <v>Enviado</v>
      </c>
      <c r="F1351" s="3" t="str">
        <f ca="1">IF(G1351=1,"-",Tabela2[[#This Row],[Dt Venc:]]-TODAY())</f>
        <v>-</v>
      </c>
      <c r="G1351" s="3">
        <v>1</v>
      </c>
      <c r="H1351" s="3"/>
    </row>
    <row r="1352" spans="1:8" hidden="1">
      <c r="A1352" s="3">
        <v>359648</v>
      </c>
      <c r="B1352" s="7" t="s">
        <v>39</v>
      </c>
      <c r="C1352" s="42">
        <v>307.37</v>
      </c>
      <c r="D1352" s="6">
        <v>45597</v>
      </c>
      <c r="E1352" s="3" t="str">
        <f ca="1">IF(Tabela2[[#This Row],[Dt Venc:]]&gt;TODAY(),"Em Aberto",IF(Tabela2[[#This Row],[D/venc]]="-","Enviado",IF(Tabela2[[#This Row],[Dt Venc:]]=TODAY(),"Vence Hoje","Vencida")))</f>
        <v>Enviado</v>
      </c>
      <c r="F1352" s="3" t="str">
        <f ca="1">IF(G1352=1,"-",Tabela2[[#This Row],[Dt Venc:]]-TODAY())</f>
        <v>-</v>
      </c>
      <c r="G1352" s="3">
        <v>1</v>
      </c>
      <c r="H1352" s="3"/>
    </row>
    <row r="1353" spans="1:8" hidden="1">
      <c r="A1353" s="3">
        <v>207731</v>
      </c>
      <c r="B1353" s="7" t="s">
        <v>43</v>
      </c>
      <c r="C1353" s="42">
        <v>846.4</v>
      </c>
      <c r="D1353" s="6">
        <v>45597</v>
      </c>
      <c r="E1353" s="3" t="str">
        <f ca="1">IF(Tabela2[[#This Row],[Dt Venc:]]&gt;TODAY(),"Em Aberto",IF(Tabela2[[#This Row],[D/venc]]="-","Enviado",IF(Tabela2[[#This Row],[Dt Venc:]]=TODAY(),"Vence Hoje","Vencida")))</f>
        <v>Enviado</v>
      </c>
      <c r="F1353" s="3" t="str">
        <f ca="1">IF(G1353=1,"-",Tabela2[[#This Row],[Dt Venc:]]-TODAY())</f>
        <v>-</v>
      </c>
      <c r="G1353" s="3">
        <v>1</v>
      </c>
      <c r="H1353" s="3"/>
    </row>
    <row r="1354" spans="1:8" hidden="1">
      <c r="A1354" s="3">
        <v>2203</v>
      </c>
      <c r="B1354" s="7" t="s">
        <v>45</v>
      </c>
      <c r="C1354" s="42">
        <v>420</v>
      </c>
      <c r="D1354" s="6">
        <v>45597</v>
      </c>
      <c r="E1354" s="3" t="str">
        <f ca="1">IF(Tabela2[[#This Row],[Dt Venc:]]&gt;TODAY(),"Em Aberto",IF(Tabela2[[#This Row],[D/venc]]="-","Enviado",IF(Tabela2[[#This Row],[Dt Venc:]]=TODAY(),"Vence Hoje","Vencida")))</f>
        <v>Enviado</v>
      </c>
      <c r="F1354" s="3" t="str">
        <f ca="1">IF(G1354=1,"-",Tabela2[[#This Row],[Dt Venc:]]-TODAY())</f>
        <v>-</v>
      </c>
      <c r="G1354" s="3">
        <v>1</v>
      </c>
      <c r="H1354" s="3"/>
    </row>
    <row r="1355" spans="1:8" hidden="1">
      <c r="A1355" s="3">
        <v>9832</v>
      </c>
      <c r="B1355" s="7" t="s">
        <v>72</v>
      </c>
      <c r="C1355" s="42">
        <v>526.66</v>
      </c>
      <c r="D1355" s="6">
        <v>45597</v>
      </c>
      <c r="E1355" s="3" t="str">
        <f ca="1">IF(Tabela2[[#This Row],[Dt Venc:]]&gt;TODAY(),"Em Aberto",IF(Tabela2[[#This Row],[D/venc]]="-","Enviado",IF(Tabela2[[#This Row],[Dt Venc:]]=TODAY(),"Vence Hoje","Vencida")))</f>
        <v>Enviado</v>
      </c>
      <c r="F1355" s="3" t="str">
        <f ca="1">IF(G1355=1,"-",Tabela2[[#This Row],[Dt Venc:]]-TODAY())</f>
        <v>-</v>
      </c>
      <c r="G1355" s="3">
        <v>1</v>
      </c>
      <c r="H1355" s="3"/>
    </row>
    <row r="1356" spans="1:8" hidden="1">
      <c r="A1356" s="3">
        <v>297149</v>
      </c>
      <c r="B1356" s="7" t="s">
        <v>79</v>
      </c>
      <c r="C1356" s="42">
        <v>719.54</v>
      </c>
      <c r="D1356" s="6">
        <v>45597</v>
      </c>
      <c r="E1356" s="3" t="str">
        <f ca="1">IF(Tabela2[[#This Row],[Dt Venc:]]&gt;TODAY(),"Em Aberto",IF(Tabela2[[#This Row],[D/venc]]="-","Enviado",IF(Tabela2[[#This Row],[Dt Venc:]]=TODAY(),"Vence Hoje","Vencida")))</f>
        <v>Enviado</v>
      </c>
      <c r="F1356" s="3" t="str">
        <f ca="1">IF(G1356=1,"-",Tabela2[[#This Row],[Dt Venc:]]-TODAY())</f>
        <v>-</v>
      </c>
      <c r="G1356" s="3">
        <v>1</v>
      </c>
      <c r="H1356" s="3"/>
    </row>
    <row r="1357" spans="1:8" hidden="1">
      <c r="A1357" s="3">
        <v>5812</v>
      </c>
      <c r="B1357" s="7" t="s">
        <v>47</v>
      </c>
      <c r="C1357" s="42">
        <v>1216.67</v>
      </c>
      <c r="D1357" s="6">
        <v>45597</v>
      </c>
      <c r="E1357" s="3" t="str">
        <f ca="1">IF(Tabela2[[#This Row],[Dt Venc:]]&gt;TODAY(),"Em Aberto",IF(Tabela2[[#This Row],[D/venc]]="-","Enviado",IF(Tabela2[[#This Row],[Dt Venc:]]=TODAY(),"Vence Hoje","Vencida")))</f>
        <v>Enviado</v>
      </c>
      <c r="F1357" s="3" t="str">
        <f ca="1">IF(G1357=1,"-",Tabela2[[#This Row],[Dt Venc:]]-TODAY())</f>
        <v>-</v>
      </c>
      <c r="G1357" s="3">
        <v>1</v>
      </c>
      <c r="H1357" s="3"/>
    </row>
    <row r="1358" spans="1:8" hidden="1">
      <c r="A1358" s="3">
        <v>70278</v>
      </c>
      <c r="B1358" s="7" t="s">
        <v>76</v>
      </c>
      <c r="C1358" s="42">
        <v>716.87</v>
      </c>
      <c r="D1358" s="6">
        <v>45597</v>
      </c>
      <c r="E1358" s="3" t="str">
        <f ca="1">IF(Tabela2[[#This Row],[Dt Venc:]]&gt;TODAY(),"Em Aberto",IF(Tabela2[[#This Row],[D/venc]]="-","Enviado",IF(Tabela2[[#This Row],[Dt Venc:]]=TODAY(),"Vence Hoje","Vencida")))</f>
        <v>Enviado</v>
      </c>
      <c r="F1358" s="3" t="str">
        <f ca="1">IF(G1358=1,"-",Tabela2[[#This Row],[Dt Venc:]]-TODAY())</f>
        <v>-</v>
      </c>
      <c r="G1358" s="3">
        <v>1</v>
      </c>
      <c r="H1358" s="3"/>
    </row>
    <row r="1359" spans="1:8" hidden="1">
      <c r="A1359" s="3">
        <v>152553</v>
      </c>
      <c r="B1359" s="7" t="s">
        <v>77</v>
      </c>
      <c r="C1359" s="42">
        <v>1233.33</v>
      </c>
      <c r="D1359" s="6">
        <v>45597</v>
      </c>
      <c r="E1359" s="3" t="str">
        <f ca="1">IF(Tabela2[[#This Row],[Dt Venc:]]&gt;TODAY(),"Em Aberto",IF(Tabela2[[#This Row],[D/venc]]="-","Enviado",IF(Tabela2[[#This Row],[Dt Venc:]]=TODAY(),"Vence Hoje","Vencida")))</f>
        <v>Enviado</v>
      </c>
      <c r="F1359" s="3" t="str">
        <f ca="1">IF(G1359=1,"-",Tabela2[[#This Row],[Dt Venc:]]-TODAY())</f>
        <v>-</v>
      </c>
      <c r="G1359" s="3">
        <v>1</v>
      </c>
      <c r="H1359" s="3"/>
    </row>
    <row r="1360" spans="1:8" hidden="1">
      <c r="A1360" s="3">
        <v>324685</v>
      </c>
      <c r="B1360" s="7" t="s">
        <v>77</v>
      </c>
      <c r="C1360" s="42">
        <v>185.44</v>
      </c>
      <c r="D1360" s="6">
        <v>45597</v>
      </c>
      <c r="E1360" s="3" t="str">
        <f ca="1">IF(Tabela2[[#This Row],[Dt Venc:]]&gt;TODAY(),"Em Aberto",IF(Tabela2[[#This Row],[D/venc]]="-","Enviado",IF(Tabela2[[#This Row],[Dt Venc:]]=TODAY(),"Vence Hoje","Vencida")))</f>
        <v>Enviado</v>
      </c>
      <c r="F1360" s="3" t="str">
        <f ca="1">IF(G1360=1,"-",Tabela2[[#This Row],[Dt Venc:]]-TODAY())</f>
        <v>-</v>
      </c>
      <c r="G1360" s="3">
        <v>1</v>
      </c>
      <c r="H1360" s="3"/>
    </row>
    <row r="1361" spans="1:8" hidden="1">
      <c r="A1361" s="3">
        <v>219517</v>
      </c>
      <c r="B1361" s="7" t="s">
        <v>39</v>
      </c>
      <c r="C1361" s="42">
        <v>21465</v>
      </c>
      <c r="D1361" s="6">
        <v>45597</v>
      </c>
      <c r="E1361" s="3" t="str">
        <f ca="1">IF(Tabela2[[#This Row],[Dt Venc:]]&gt;TODAY(),"Em Aberto",IF(Tabela2[[#This Row],[D/venc]]="-","Enviado",IF(Tabela2[[#This Row],[Dt Venc:]]=TODAY(),"Vence Hoje","Vencida")))</f>
        <v>Enviado</v>
      </c>
      <c r="F1361" s="3" t="str">
        <f ca="1">IF(G1361=1,"-",Tabela2[[#This Row],[Dt Venc:]]-TODAY())</f>
        <v>-</v>
      </c>
      <c r="G1361" s="3">
        <v>1</v>
      </c>
      <c r="H1361" s="3"/>
    </row>
    <row r="1362" spans="1:8" hidden="1">
      <c r="A1362" s="3">
        <v>1483</v>
      </c>
      <c r="B1362" s="7" t="s">
        <v>78</v>
      </c>
      <c r="C1362" s="42">
        <v>924</v>
      </c>
      <c r="D1362" s="6">
        <v>45597</v>
      </c>
      <c r="E1362" s="3" t="str">
        <f ca="1">IF(Tabela2[[#This Row],[Dt Venc:]]&gt;TODAY(),"Em Aberto",IF(Tabela2[[#This Row],[D/venc]]="-","Enviado",IF(Tabela2[[#This Row],[Dt Venc:]]=TODAY(),"Vence Hoje","Vencida")))</f>
        <v>Enviado</v>
      </c>
      <c r="F1362" s="3" t="str">
        <f ca="1">IF(G1362=1,"-",Tabela2[[#This Row],[Dt Venc:]]-TODAY())</f>
        <v>-</v>
      </c>
      <c r="G1362" s="3">
        <v>1</v>
      </c>
      <c r="H1362" s="3"/>
    </row>
    <row r="1363" spans="1:8" hidden="1">
      <c r="A1363" s="3">
        <v>219517</v>
      </c>
      <c r="B1363" s="7" t="s">
        <v>80</v>
      </c>
      <c r="C1363" s="42">
        <v>21465</v>
      </c>
      <c r="D1363" s="6">
        <v>45597</v>
      </c>
      <c r="E1363" s="3" t="str">
        <f ca="1">IF(Tabela2[[#This Row],[Dt Venc:]]&gt;TODAY(),"Em Aberto",IF(Tabela2[[#This Row],[D/venc]]="-","Enviado",IF(Tabela2[[#This Row],[Dt Venc:]]=TODAY(),"Vence Hoje","Vencida")))</f>
        <v>Enviado</v>
      </c>
      <c r="F1363" s="3" t="str">
        <f ca="1">IF(G1363=1,"-",Tabela2[[#This Row],[Dt Venc:]]-TODAY())</f>
        <v>-</v>
      </c>
      <c r="G1363" s="3">
        <v>1</v>
      </c>
      <c r="H1363" s="3"/>
    </row>
    <row r="1364" spans="1:8" hidden="1">
      <c r="A1364" s="3">
        <v>255380</v>
      </c>
      <c r="B1364" s="7" t="s">
        <v>37</v>
      </c>
      <c r="C1364" s="42">
        <v>1045</v>
      </c>
      <c r="D1364" s="6">
        <v>45597</v>
      </c>
      <c r="E1364" s="3" t="str">
        <f ca="1">IF(Tabela2[[#This Row],[Dt Venc:]]&gt;TODAY(),"Em Aberto",IF(Tabela2[[#This Row],[D/venc]]="-","Enviado",IF(Tabela2[[#This Row],[Dt Venc:]]=TODAY(),"Vence Hoje","Vencida")))</f>
        <v>Enviado</v>
      </c>
      <c r="F1364" s="3" t="str">
        <f ca="1">IF(G1364=1,"-",Tabela2[[#This Row],[Dt Venc:]]-TODAY())</f>
        <v>-</v>
      </c>
      <c r="G1364" s="3">
        <v>1</v>
      </c>
      <c r="H1364" s="3"/>
    </row>
    <row r="1365" spans="1:8" hidden="1">
      <c r="A1365" s="3">
        <v>255674</v>
      </c>
      <c r="B1365" s="7" t="s">
        <v>49</v>
      </c>
      <c r="C1365" s="42">
        <v>1393.34</v>
      </c>
      <c r="D1365" s="6">
        <v>45597</v>
      </c>
      <c r="E1365" s="3" t="str">
        <f ca="1">IF(Tabela2[[#This Row],[Dt Venc:]]&gt;TODAY(),"Em Aberto",IF(Tabela2[[#This Row],[D/venc]]="-","Enviado",IF(Tabela2[[#This Row],[Dt Venc:]]=TODAY(),"Vence Hoje","Vencida")))</f>
        <v>Enviado</v>
      </c>
      <c r="F1365" s="3" t="str">
        <f ca="1">IF(G1365=1,"-",Tabela2[[#This Row],[Dt Venc:]]-TODAY())</f>
        <v>-</v>
      </c>
      <c r="G1365" s="3">
        <v>1</v>
      </c>
      <c r="H1365" s="3"/>
    </row>
    <row r="1366" spans="1:8" hidden="1">
      <c r="A1366" s="3">
        <v>16928</v>
      </c>
      <c r="B1366" s="7" t="s">
        <v>75</v>
      </c>
      <c r="C1366" s="42">
        <v>1911.98</v>
      </c>
      <c r="D1366" s="6">
        <v>45597</v>
      </c>
      <c r="E1366" s="3" t="str">
        <f ca="1">IF(Tabela2[[#This Row],[Dt Venc:]]&gt;TODAY(),"Em Aberto",IF(Tabela2[[#This Row],[D/venc]]="-","Enviado",IF(Tabela2[[#This Row],[Dt Venc:]]=TODAY(),"Vence Hoje","Vencida")))</f>
        <v>Enviado</v>
      </c>
      <c r="F1366" s="3" t="str">
        <f ca="1">IF(G1366=1,"-",Tabela2[[#This Row],[Dt Venc:]]-TODAY())</f>
        <v>-</v>
      </c>
      <c r="G1366" s="3">
        <v>1</v>
      </c>
      <c r="H1366" s="3"/>
    </row>
    <row r="1367" spans="1:8" hidden="1">
      <c r="A1367" s="3">
        <v>9214</v>
      </c>
      <c r="B1367" s="7" t="s">
        <v>378</v>
      </c>
      <c r="C1367" s="42">
        <v>1575</v>
      </c>
      <c r="D1367" s="6">
        <v>45597</v>
      </c>
      <c r="E1367" s="3" t="str">
        <f ca="1">IF(Tabela2[[#This Row],[Dt Venc:]]&gt;TODAY(),"Em Aberto",IF(Tabela2[[#This Row],[D/venc]]="-","Enviado",IF(Tabela2[[#This Row],[Dt Venc:]]=TODAY(),"Vence Hoje","Vencida")))</f>
        <v>Enviado</v>
      </c>
      <c r="F1367" s="3" t="str">
        <f ca="1">IF(G1367=1,"-",Tabela2[[#This Row],[Dt Venc:]]-TODAY())</f>
        <v>-</v>
      </c>
      <c r="G1367" s="3">
        <v>1</v>
      </c>
      <c r="H1367" s="3"/>
    </row>
    <row r="1368" spans="1:8" hidden="1">
      <c r="A1368" s="3">
        <v>29177</v>
      </c>
      <c r="B1368" s="7" t="s">
        <v>156</v>
      </c>
      <c r="C1368" s="42">
        <v>15150</v>
      </c>
      <c r="D1368" s="6">
        <v>45597</v>
      </c>
      <c r="E1368" s="3" t="str">
        <f ca="1">IF(Tabela2[[#This Row],[Dt Venc:]]&gt;TODAY(),"Em Aberto",IF(Tabela2[[#This Row],[D/venc]]="-","Enviado",IF(Tabela2[[#This Row],[Dt Venc:]]=TODAY(),"Vence Hoje","Vencida")))</f>
        <v>Enviado</v>
      </c>
      <c r="F1368" s="3" t="str">
        <f ca="1">IF(G1368=1,"-",Tabela2[[#This Row],[Dt Venc:]]-TODAY())</f>
        <v>-</v>
      </c>
      <c r="G1368" s="3">
        <v>1</v>
      </c>
      <c r="H1368" s="3"/>
    </row>
    <row r="1369" spans="1:8" hidden="1">
      <c r="A1369" s="3">
        <v>3693</v>
      </c>
      <c r="B1369" s="7" t="s">
        <v>328</v>
      </c>
      <c r="C1369" s="42">
        <v>367.62</v>
      </c>
      <c r="D1369" s="6">
        <v>45597</v>
      </c>
      <c r="E1369" s="3" t="str">
        <f ca="1">IF(Tabela2[[#This Row],[Dt Venc:]]&gt;TODAY(),"Em Aberto",IF(Tabela2[[#This Row],[D/venc]]="-","Enviado",IF(Tabela2[[#This Row],[Dt Venc:]]=TODAY(),"Vence Hoje","Vencida")))</f>
        <v>Enviado</v>
      </c>
      <c r="F1369" s="3" t="str">
        <f ca="1">IF(G1369=1,"-",Tabela2[[#This Row],[Dt Venc:]]-TODAY())</f>
        <v>-</v>
      </c>
      <c r="G1369" s="3">
        <v>1</v>
      </c>
      <c r="H1369" s="3"/>
    </row>
    <row r="1370" spans="1:8" hidden="1">
      <c r="A1370" s="3">
        <v>17160</v>
      </c>
      <c r="B1370" s="7" t="s">
        <v>203</v>
      </c>
      <c r="C1370" s="42">
        <v>800</v>
      </c>
      <c r="D1370" s="6">
        <v>45597</v>
      </c>
      <c r="E1370" s="3" t="str">
        <f ca="1">IF(Tabela2[[#This Row],[Dt Venc:]]&gt;TODAY(),"Em Aberto",IF(Tabela2[[#This Row],[D/venc]]="-","Enviado",IF(Tabela2[[#This Row],[Dt Venc:]]=TODAY(),"Vence Hoje","Vencida")))</f>
        <v>Enviado</v>
      </c>
      <c r="F1370" s="3" t="str">
        <f ca="1">IF(G1370=1,"-",Tabela2[[#This Row],[Dt Venc:]]-TODAY())</f>
        <v>-</v>
      </c>
      <c r="G1370" s="3">
        <v>1</v>
      </c>
      <c r="H1370" s="3"/>
    </row>
    <row r="1371" spans="1:8" hidden="1">
      <c r="A1371" s="3">
        <v>181567</v>
      </c>
      <c r="B1371" s="7" t="s">
        <v>84</v>
      </c>
      <c r="C1371" s="42">
        <v>580.69000000000005</v>
      </c>
      <c r="D1371" s="6">
        <v>45597</v>
      </c>
      <c r="E1371" s="3" t="str">
        <f ca="1">IF(Tabela2[[#This Row],[Dt Venc:]]&gt;TODAY(),"Em Aberto",IF(Tabela2[[#This Row],[D/venc]]="-","Enviado",IF(Tabela2[[#This Row],[Dt Venc:]]=TODAY(),"Vence Hoje","Vencida")))</f>
        <v>Enviado</v>
      </c>
      <c r="F1371" s="3" t="str">
        <f ca="1">IF(G1371=1,"-",Tabela2[[#This Row],[Dt Venc:]]-TODAY())</f>
        <v>-</v>
      </c>
      <c r="G1371" s="3">
        <v>1</v>
      </c>
      <c r="H1371" s="3"/>
    </row>
    <row r="1372" spans="1:8" hidden="1">
      <c r="A1372" s="3">
        <v>393909</v>
      </c>
      <c r="B1372" s="7" t="s">
        <v>136</v>
      </c>
      <c r="C1372" s="42">
        <v>1558.33</v>
      </c>
      <c r="D1372" s="6">
        <v>45597</v>
      </c>
      <c r="E1372" s="3" t="str">
        <f ca="1">IF(Tabela2[[#This Row],[Dt Venc:]]&gt;TODAY(),"Em Aberto",IF(Tabela2[[#This Row],[D/venc]]="-","Enviado",IF(Tabela2[[#This Row],[Dt Venc:]]=TODAY(),"Vence Hoje","Vencida")))</f>
        <v>Enviado</v>
      </c>
      <c r="F1372" s="3" t="str">
        <f ca="1">IF(G1372=1,"-",Tabela2[[#This Row],[Dt Venc:]]-TODAY())</f>
        <v>-</v>
      </c>
      <c r="G1372" s="3">
        <v>1</v>
      </c>
      <c r="H1372" s="3"/>
    </row>
    <row r="1373" spans="1:8" hidden="1">
      <c r="A1373" s="3">
        <v>153253</v>
      </c>
      <c r="B1373" s="7" t="s">
        <v>77</v>
      </c>
      <c r="C1373" s="42">
        <v>450</v>
      </c>
      <c r="D1373" s="6">
        <v>45597</v>
      </c>
      <c r="E1373" s="3" t="str">
        <f ca="1">IF(Tabela2[[#This Row],[Dt Venc:]]&gt;TODAY(),"Em Aberto",IF(Tabela2[[#This Row],[D/venc]]="-","Enviado",IF(Tabela2[[#This Row],[Dt Venc:]]=TODAY(),"Vence Hoje","Vencida")))</f>
        <v>Enviado</v>
      </c>
      <c r="F1373" s="3" t="str">
        <f ca="1">IF(G1373=1,"-",Tabela2[[#This Row],[Dt Venc:]]-TODAY())</f>
        <v>-</v>
      </c>
      <c r="G1373" s="3">
        <v>1</v>
      </c>
      <c r="H1373" s="3"/>
    </row>
    <row r="1374" spans="1:8" hidden="1">
      <c r="A1374" s="3">
        <v>153254</v>
      </c>
      <c r="B1374" s="7" t="s">
        <v>77</v>
      </c>
      <c r="C1374" s="42">
        <v>773.33</v>
      </c>
      <c r="D1374" s="6">
        <v>45597</v>
      </c>
      <c r="E1374" s="3" t="str">
        <f ca="1">IF(Tabela2[[#This Row],[Dt Venc:]]&gt;TODAY(),"Em Aberto",IF(Tabela2[[#This Row],[D/venc]]="-","Enviado",IF(Tabela2[[#This Row],[Dt Venc:]]=TODAY(),"Vence Hoje","Vencida")))</f>
        <v>Enviado</v>
      </c>
      <c r="F1374" s="3" t="str">
        <f ca="1">IF(G1374=1,"-",Tabela2[[#This Row],[Dt Venc:]]-TODAY())</f>
        <v>-</v>
      </c>
      <c r="G1374" s="3">
        <v>1</v>
      </c>
      <c r="H1374" s="3"/>
    </row>
    <row r="1375" spans="1:8" hidden="1">
      <c r="A1375" s="3">
        <v>71456</v>
      </c>
      <c r="B1375" s="7" t="s">
        <v>76</v>
      </c>
      <c r="C1375" s="42">
        <v>778.64</v>
      </c>
      <c r="D1375" s="6">
        <v>45597</v>
      </c>
      <c r="E1375" s="3" t="str">
        <f ca="1">IF(Tabela2[[#This Row],[Dt Venc:]]&gt;TODAY(),"Em Aberto",IF(Tabela2[[#This Row],[D/venc]]="-","Enviado",IF(Tabela2[[#This Row],[Dt Venc:]]=TODAY(),"Vence Hoje","Vencida")))</f>
        <v>Enviado</v>
      </c>
      <c r="F1375" s="3" t="str">
        <f ca="1">IF(G1375=1,"-",Tabela2[[#This Row],[Dt Venc:]]-TODAY())</f>
        <v>-</v>
      </c>
      <c r="G1375" s="3">
        <v>1</v>
      </c>
      <c r="H1375" s="3"/>
    </row>
    <row r="1376" spans="1:8" hidden="1">
      <c r="A1376" s="3">
        <v>71456</v>
      </c>
      <c r="B1376" s="7" t="s">
        <v>76</v>
      </c>
      <c r="C1376" s="42">
        <v>778.64</v>
      </c>
      <c r="D1376" s="6">
        <v>45597</v>
      </c>
      <c r="E1376" s="3" t="str">
        <f ca="1">IF(Tabela2[[#This Row],[Dt Venc:]]&gt;TODAY(),"Em Aberto",IF(Tabela2[[#This Row],[D/venc]]="-","Enviado",IF(Tabela2[[#This Row],[Dt Venc:]]=TODAY(),"Vence Hoje","Vencida")))</f>
        <v>Enviado</v>
      </c>
      <c r="F1376" s="3" t="str">
        <f ca="1">IF(G1376=1,"-",Tabela2[[#This Row],[Dt Venc:]]-TODAY())</f>
        <v>-</v>
      </c>
      <c r="G1376" s="3">
        <v>1</v>
      </c>
      <c r="H1376" s="3"/>
    </row>
    <row r="1377" spans="1:8" hidden="1">
      <c r="A1377" s="3">
        <v>25502</v>
      </c>
      <c r="B1377" s="7" t="s">
        <v>394</v>
      </c>
      <c r="C1377" s="42">
        <v>930</v>
      </c>
      <c r="D1377" s="6">
        <v>45597</v>
      </c>
      <c r="E1377" s="3" t="str">
        <f ca="1">IF(Tabela2[[#This Row],[Dt Venc:]]&gt;TODAY(),"Em Aberto",IF(Tabela2[[#This Row],[D/venc]]="-","Enviado",IF(Tabela2[[#This Row],[Dt Venc:]]=TODAY(),"Vence Hoje","Vencida")))</f>
        <v>Enviado</v>
      </c>
      <c r="F1377" s="3" t="str">
        <f ca="1">IF(G1377=1,"-",Tabela2[[#This Row],[Dt Venc:]]-TODAY())</f>
        <v>-</v>
      </c>
      <c r="G1377" s="3">
        <v>1</v>
      </c>
      <c r="H1377" s="3"/>
    </row>
    <row r="1378" spans="1:8" hidden="1">
      <c r="A1378" s="3">
        <v>7107</v>
      </c>
      <c r="B1378" s="7" t="s">
        <v>105</v>
      </c>
      <c r="C1378" s="42">
        <v>560</v>
      </c>
      <c r="D1378" s="6">
        <v>45597</v>
      </c>
      <c r="E1378" s="3" t="str">
        <f ca="1">IF(Tabela2[[#This Row],[Dt Venc:]]&gt;TODAY(),"Em Aberto",IF(Tabela2[[#This Row],[D/venc]]="-","Enviado",IF(Tabela2[[#This Row],[Dt Venc:]]=TODAY(),"Vence Hoje","Vencida")))</f>
        <v>Enviado</v>
      </c>
      <c r="F1378" s="3" t="str">
        <f ca="1">IF(G1378=1,"-",Tabela2[[#This Row],[Dt Venc:]]-TODAY())</f>
        <v>-</v>
      </c>
      <c r="G1378" s="3">
        <v>1</v>
      </c>
      <c r="H1378" s="3"/>
    </row>
    <row r="1379" spans="1:8" hidden="1">
      <c r="A1379" s="3">
        <v>235159</v>
      </c>
      <c r="B1379" s="7" t="s">
        <v>43</v>
      </c>
      <c r="C1379" s="42">
        <v>1235.27</v>
      </c>
      <c r="D1379" s="6">
        <v>45597</v>
      </c>
      <c r="E1379" s="3" t="str">
        <f ca="1">IF(Tabela2[[#This Row],[Dt Venc:]]&gt;TODAY(),"Em Aberto",IF(Tabela2[[#This Row],[D/venc]]="-","Enviado",IF(Tabela2[[#This Row],[Dt Venc:]]=TODAY(),"Vence Hoje","Vencida")))</f>
        <v>Enviado</v>
      </c>
      <c r="F1379" s="3" t="str">
        <f ca="1">IF(G1379=1,"-",Tabela2[[#This Row],[Dt Venc:]]-TODAY())</f>
        <v>-</v>
      </c>
      <c r="G1379" s="3">
        <v>1</v>
      </c>
      <c r="H1379" s="3"/>
    </row>
    <row r="1380" spans="1:8" hidden="1">
      <c r="A1380" s="3">
        <v>71417</v>
      </c>
      <c r="B1380" s="7" t="s">
        <v>76</v>
      </c>
      <c r="C1380" s="42">
        <v>1977.3</v>
      </c>
      <c r="D1380" s="6">
        <v>45597</v>
      </c>
      <c r="E1380" s="3" t="str">
        <f ca="1">IF(Tabela2[[#This Row],[Dt Venc:]]&gt;TODAY(),"Em Aberto",IF(Tabela2[[#This Row],[D/venc]]="-","Enviado",IF(Tabela2[[#This Row],[Dt Venc:]]=TODAY(),"Vence Hoje","Vencida")))</f>
        <v>Enviado</v>
      </c>
      <c r="F1380" s="3" t="str">
        <f ca="1">IF(G1380=1,"-",Tabela2[[#This Row],[Dt Venc:]]-TODAY())</f>
        <v>-</v>
      </c>
      <c r="G1380" s="3">
        <v>1</v>
      </c>
      <c r="H1380" s="3"/>
    </row>
    <row r="1381" spans="1:8" hidden="1">
      <c r="A1381" s="3">
        <v>255956</v>
      </c>
      <c r="B1381" s="7" t="s">
        <v>49</v>
      </c>
      <c r="C1381" s="42">
        <v>1393.34</v>
      </c>
      <c r="D1381" s="6">
        <v>45597</v>
      </c>
      <c r="E1381" s="3" t="str">
        <f ca="1">IF(Tabela2[[#This Row],[Dt Venc:]]&gt;TODAY(),"Em Aberto",IF(Tabela2[[#This Row],[D/venc]]="-","Enviado",IF(Tabela2[[#This Row],[Dt Venc:]]=TODAY(),"Vence Hoje","Vencida")))</f>
        <v>Enviado</v>
      </c>
      <c r="F1381" s="3" t="str">
        <f ca="1">IF(G1381=1,"-",Tabela2[[#This Row],[Dt Venc:]]-TODAY())</f>
        <v>-</v>
      </c>
      <c r="G1381" s="3">
        <v>1</v>
      </c>
      <c r="H1381" s="3"/>
    </row>
    <row r="1382" spans="1:8" hidden="1">
      <c r="A1382" s="3">
        <v>610668</v>
      </c>
      <c r="B1382" s="7" t="s">
        <v>66</v>
      </c>
      <c r="C1382" s="42">
        <v>2380.85</v>
      </c>
      <c r="D1382" s="6">
        <v>45597</v>
      </c>
      <c r="E1382" s="3" t="str">
        <f ca="1">IF(Tabela2[[#This Row],[Dt Venc:]]&gt;TODAY(),"Em Aberto",IF(Tabela2[[#This Row],[D/venc]]="-","Enviado",IF(Tabela2[[#This Row],[Dt Venc:]]=TODAY(),"Vence Hoje","Vencida")))</f>
        <v>Enviado</v>
      </c>
      <c r="F1382" s="3" t="str">
        <f ca="1">IF(G1382=1,"-",Tabela2[[#This Row],[Dt Venc:]]-TODAY())</f>
        <v>-</v>
      </c>
      <c r="G1382" s="3">
        <v>1</v>
      </c>
      <c r="H1382" s="3"/>
    </row>
    <row r="1383" spans="1:8" hidden="1">
      <c r="A1383" s="3">
        <v>9401</v>
      </c>
      <c r="B1383" s="7" t="s">
        <v>105</v>
      </c>
      <c r="C1383" s="42">
        <v>3500</v>
      </c>
      <c r="D1383" s="6">
        <v>45597</v>
      </c>
      <c r="E1383" s="3" t="str">
        <f ca="1">IF(Tabela2[[#This Row],[Dt Venc:]]&gt;TODAY(),"Em Aberto",IF(Tabela2[[#This Row],[D/venc]]="-","Enviado",IF(Tabela2[[#This Row],[Dt Venc:]]=TODAY(),"Vence Hoje","Vencida")))</f>
        <v>Enviado</v>
      </c>
      <c r="F1383" s="3" t="str">
        <f ca="1">IF(G1383=1,"-",Tabela2[[#This Row],[Dt Venc:]]-TODAY())</f>
        <v>-</v>
      </c>
      <c r="G1383" s="3">
        <v>1</v>
      </c>
      <c r="H1383" s="3"/>
    </row>
    <row r="1384" spans="1:8" hidden="1">
      <c r="A1384" s="3">
        <v>9872</v>
      </c>
      <c r="B1384" s="7" t="s">
        <v>76</v>
      </c>
      <c r="C1384" s="42">
        <v>96.36</v>
      </c>
      <c r="D1384" s="6">
        <v>45597</v>
      </c>
      <c r="E1384" s="3" t="str">
        <f ca="1">IF(Tabela2[[#This Row],[Dt Venc:]]&gt;TODAY(),"Em Aberto",IF(Tabela2[[#This Row],[D/venc]]="-","Enviado",IF(Tabela2[[#This Row],[Dt Venc:]]=TODAY(),"Vence Hoje","Vencida")))</f>
        <v>Enviado</v>
      </c>
      <c r="F1384" s="3" t="str">
        <f ca="1">IF(G1384=1,"-",Tabela2[[#This Row],[Dt Venc:]]-TODAY())</f>
        <v>-</v>
      </c>
      <c r="G1384" s="3">
        <v>1</v>
      </c>
      <c r="H1384" s="3"/>
    </row>
    <row r="1385" spans="1:8" hidden="1">
      <c r="A1385" s="3">
        <v>15043</v>
      </c>
      <c r="B1385" s="7" t="s">
        <v>384</v>
      </c>
      <c r="C1385" s="42">
        <v>120</v>
      </c>
      <c r="D1385" s="6">
        <v>45597</v>
      </c>
      <c r="E1385" s="3" t="str">
        <f ca="1">IF(Tabela2[[#This Row],[Dt Venc:]]&gt;TODAY(),"Em Aberto",IF(Tabela2[[#This Row],[D/venc]]="-","Enviado",IF(Tabela2[[#This Row],[Dt Venc:]]=TODAY(),"Vence Hoje","Vencida")))</f>
        <v>Enviado</v>
      </c>
      <c r="F1385" s="3" t="str">
        <f ca="1">IF(G1385=1,"-",Tabela2[[#This Row],[Dt Venc:]]-TODAY())</f>
        <v>-</v>
      </c>
      <c r="G1385" s="3">
        <v>1</v>
      </c>
      <c r="H1385" s="3"/>
    </row>
    <row r="1386" spans="1:8" hidden="1">
      <c r="A1386" s="3">
        <v>701711</v>
      </c>
      <c r="B1386" s="7" t="s">
        <v>79</v>
      </c>
      <c r="C1386" s="42">
        <v>2724.5</v>
      </c>
      <c r="D1386" s="6">
        <v>45597</v>
      </c>
      <c r="E1386" s="3" t="str">
        <f ca="1">IF(Tabela2[[#This Row],[Dt Venc:]]&gt;TODAY(),"Em Aberto",IF(Tabela2[[#This Row],[D/venc]]="-","Enviado",IF(Tabela2[[#This Row],[Dt Venc:]]=TODAY(),"Vence Hoje","Vencida")))</f>
        <v>Enviado</v>
      </c>
      <c r="F1386" s="3" t="str">
        <f ca="1">IF(G1386=1,"-",Tabela2[[#This Row],[Dt Venc:]]-TODAY())</f>
        <v>-</v>
      </c>
      <c r="G1386" s="3">
        <v>1</v>
      </c>
      <c r="H1386" s="3"/>
    </row>
    <row r="1387" spans="1:8" hidden="1">
      <c r="A1387" s="3">
        <v>2256508</v>
      </c>
      <c r="B1387" s="7" t="s">
        <v>59</v>
      </c>
      <c r="C1387" s="41">
        <v>27574.5</v>
      </c>
      <c r="D1387" s="6">
        <v>45597</v>
      </c>
      <c r="E1387" s="3" t="str">
        <f ca="1">IF(Tabela2[[#This Row],[Dt Venc:]]&gt;TODAY(),"Em Aberto",IF(Tabela2[[#This Row],[D/venc]]="-","Enviado",IF(Tabela2[[#This Row],[Dt Venc:]]=TODAY(),"Vence Hoje","Vencida")))</f>
        <v>Enviado</v>
      </c>
      <c r="F1387" s="3" t="str">
        <f ca="1">IF(G1387=1,"-",Tabela2[[#This Row],[Dt Venc:]]-TODAY())</f>
        <v>-</v>
      </c>
      <c r="G1387" s="3">
        <v>1</v>
      </c>
      <c r="H1387" s="3"/>
    </row>
    <row r="1388" spans="1:8" hidden="1">
      <c r="A1388" s="3">
        <v>1987535</v>
      </c>
      <c r="B1388" s="7" t="s">
        <v>59</v>
      </c>
      <c r="C1388" s="41">
        <v>137092.5</v>
      </c>
      <c r="D1388" s="6">
        <v>45597</v>
      </c>
      <c r="E1388" s="3" t="str">
        <f ca="1">IF(Tabela2[[#This Row],[Dt Venc:]]&gt;TODAY(),"Em Aberto",IF(Tabela2[[#This Row],[D/venc]]="-","Enviado",IF(Tabela2[[#This Row],[Dt Venc:]]=TODAY(),"Vence Hoje","Vencida")))</f>
        <v>Enviado</v>
      </c>
      <c r="F1388" s="3" t="str">
        <f ca="1">IF(G1388=1,"-",Tabela2[[#This Row],[Dt Venc:]]-TODAY())</f>
        <v>-</v>
      </c>
      <c r="G1388" s="3">
        <v>1</v>
      </c>
      <c r="H1388" s="3"/>
    </row>
    <row r="1389" spans="1:8" hidden="1">
      <c r="A1389" s="3">
        <v>3298132</v>
      </c>
      <c r="B1389" s="7" t="s">
        <v>71</v>
      </c>
      <c r="C1389" s="41">
        <v>81948</v>
      </c>
      <c r="D1389" s="6">
        <v>45597</v>
      </c>
      <c r="E1389" s="3" t="str">
        <f ca="1">IF(Tabela2[[#This Row],[Dt Venc:]]&gt;TODAY(),"Em Aberto",IF(Tabela2[[#This Row],[D/venc]]="-","Enviado",IF(Tabela2[[#This Row],[Dt Venc:]]=TODAY(),"Vence Hoje","Vencida")))</f>
        <v>Enviado</v>
      </c>
      <c r="F1389" s="3" t="str">
        <f ca="1">IF(G1389=1,"-",Tabela2[[#This Row],[Dt Venc:]]-TODAY())</f>
        <v>-</v>
      </c>
      <c r="G1389" s="3">
        <v>1</v>
      </c>
      <c r="H1389" s="3"/>
    </row>
    <row r="1390" spans="1:8" hidden="1">
      <c r="A1390" s="3" t="s">
        <v>110</v>
      </c>
      <c r="B1390" s="7" t="s">
        <v>395</v>
      </c>
      <c r="C1390" s="42" t="s">
        <v>32</v>
      </c>
      <c r="D1390" s="6">
        <v>45597</v>
      </c>
      <c r="E1390" s="3" t="str">
        <f ca="1">IF(Tabela2[[#This Row],[Dt Venc:]]&gt;TODAY(),"Em Aberto",IF(Tabela2[[#This Row],[D/venc]]="-","Enviado",IF(Tabela2[[#This Row],[Dt Venc:]]=TODAY(),"Vence Hoje","Vencida")))</f>
        <v>Enviado</v>
      </c>
      <c r="F1390" s="3" t="str">
        <f ca="1">IF(G1390=1,"-",Tabela2[[#This Row],[Dt Venc:]]-TODAY())</f>
        <v>-</v>
      </c>
      <c r="G1390" s="3">
        <v>1</v>
      </c>
      <c r="H1390" s="3"/>
    </row>
    <row r="1391" spans="1:8" hidden="1">
      <c r="A1391" s="3">
        <v>141159</v>
      </c>
      <c r="B1391" s="7" t="s">
        <v>60</v>
      </c>
      <c r="C1391" s="41">
        <v>390</v>
      </c>
      <c r="D1391" s="6">
        <v>45597</v>
      </c>
      <c r="E1391" s="3" t="str">
        <f ca="1">IF(Tabela2[[#This Row],[Dt Venc:]]&gt;TODAY(),"Em Aberto",IF(Tabela2[[#This Row],[D/venc]]="-","Enviado",IF(Tabela2[[#This Row],[Dt Venc:]]=TODAY(),"Vence Hoje","Vencida")))</f>
        <v>Enviado</v>
      </c>
      <c r="F1391" s="3" t="str">
        <f ca="1">IF(G1391=1,"-",Tabela2[[#This Row],[Dt Venc:]]-TODAY())</f>
        <v>-</v>
      </c>
      <c r="G1391" s="3">
        <v>1</v>
      </c>
      <c r="H1391" s="3"/>
    </row>
    <row r="1392" spans="1:8" hidden="1">
      <c r="A1392" s="3">
        <v>141167</v>
      </c>
      <c r="B1392" s="7" t="s">
        <v>60</v>
      </c>
      <c r="C1392" s="41">
        <v>390</v>
      </c>
      <c r="D1392" s="6">
        <v>45597</v>
      </c>
      <c r="E1392" s="3" t="str">
        <f ca="1">IF(Tabela2[[#This Row],[Dt Venc:]]&gt;TODAY(),"Em Aberto",IF(Tabela2[[#This Row],[D/venc]]="-","Enviado",IF(Tabela2[[#This Row],[Dt Venc:]]=TODAY(),"Vence Hoje","Vencida")))</f>
        <v>Enviado</v>
      </c>
      <c r="F1392" s="3" t="str">
        <f ca="1">IF(G1392=1,"-",Tabela2[[#This Row],[Dt Venc:]]-TODAY())</f>
        <v>-</v>
      </c>
      <c r="G1392" s="3">
        <v>1</v>
      </c>
      <c r="H1392" s="3"/>
    </row>
    <row r="1393" spans="1:8" hidden="1">
      <c r="A1393" s="3">
        <v>2277</v>
      </c>
      <c r="B1393" s="7" t="s">
        <v>46</v>
      </c>
      <c r="C1393" s="41">
        <v>770</v>
      </c>
      <c r="D1393" s="6">
        <v>45597</v>
      </c>
      <c r="E1393" s="3" t="str">
        <f ca="1">IF(Tabela2[[#This Row],[Dt Venc:]]&gt;TODAY(),"Em Aberto",IF(Tabela2[[#This Row],[D/venc]]="-","Enviado",IF(Tabela2[[#This Row],[Dt Venc:]]=TODAY(),"Vence Hoje","Vencida")))</f>
        <v>Enviado</v>
      </c>
      <c r="F1393" s="3" t="str">
        <f ca="1">IF(G1393=1,"-",Tabela2[[#This Row],[Dt Venc:]]-TODAY())</f>
        <v>-</v>
      </c>
      <c r="G1393" s="3">
        <v>1</v>
      </c>
      <c r="H1393" s="3"/>
    </row>
    <row r="1394" spans="1:8" hidden="1">
      <c r="A1394" s="3" t="s">
        <v>123</v>
      </c>
      <c r="B1394" s="7" t="s">
        <v>255</v>
      </c>
      <c r="C1394" s="84" t="s">
        <v>32</v>
      </c>
      <c r="D1394" s="6">
        <v>45597</v>
      </c>
      <c r="E1394" s="3" t="str">
        <f ca="1">IF(Tabela2[[#This Row],[Dt Venc:]]&gt;TODAY(),"Em Aberto",IF(Tabela2[[#This Row],[D/venc]]="-","Enviado",IF(Tabela2[[#This Row],[Dt Venc:]]=TODAY(),"Vence Hoje","Vencida")))</f>
        <v>Enviado</v>
      </c>
      <c r="F1394" s="3" t="str">
        <f ca="1">IF(G1394=1,"-",Tabela2[[#This Row],[Dt Venc:]]-TODAY())</f>
        <v>-</v>
      </c>
      <c r="G1394" s="3">
        <v>1</v>
      </c>
      <c r="H1394" s="3"/>
    </row>
    <row r="1395" spans="1:8" hidden="1">
      <c r="A1395" s="3">
        <v>141160</v>
      </c>
      <c r="B1395" s="7" t="s">
        <v>60</v>
      </c>
      <c r="C1395" s="41">
        <v>390</v>
      </c>
      <c r="D1395" s="6">
        <v>45597</v>
      </c>
      <c r="E1395" s="3" t="str">
        <f ca="1">IF(Tabela2[[#This Row],[Dt Venc:]]&gt;TODAY(),"Em Aberto",IF(Tabela2[[#This Row],[D/venc]]="-","Enviado",IF(Tabela2[[#This Row],[Dt Venc:]]=TODAY(),"Vence Hoje","Vencida")))</f>
        <v>Enviado</v>
      </c>
      <c r="F1395" s="3" t="str">
        <f ca="1">IF(G1395=1,"-",Tabela2[[#This Row],[Dt Venc:]]-TODAY())</f>
        <v>-</v>
      </c>
      <c r="G1395" s="3">
        <v>1</v>
      </c>
      <c r="H1395" s="3"/>
    </row>
    <row r="1396" spans="1:8" hidden="1">
      <c r="A1396" s="3">
        <v>10709</v>
      </c>
      <c r="B1396" s="7" t="s">
        <v>33</v>
      </c>
      <c r="C1396" s="42">
        <v>396.66</v>
      </c>
      <c r="D1396" s="6">
        <v>45598</v>
      </c>
      <c r="E1396" s="3" t="str">
        <f ca="1">IF(Tabela2[[#This Row],[Dt Venc:]]&gt;TODAY(),"Em Aberto",IF(Tabela2[[#This Row],[D/venc]]="-","Enviado",IF(Tabela2[[#This Row],[Dt Venc:]]=TODAY(),"Vence Hoje","Vencida")))</f>
        <v>Enviado</v>
      </c>
      <c r="F1396" s="3" t="str">
        <f ca="1">IF(G1396=1,"-",Tabela2[[#This Row],[Dt Venc:]]-TODAY())</f>
        <v>-</v>
      </c>
      <c r="G1396" s="3">
        <v>1</v>
      </c>
      <c r="H1396" s="3"/>
    </row>
    <row r="1397" spans="1:8" hidden="1">
      <c r="A1397" s="3">
        <v>152579</v>
      </c>
      <c r="B1397" s="7" t="s">
        <v>77</v>
      </c>
      <c r="C1397" s="42">
        <v>433.33</v>
      </c>
      <c r="D1397" s="6">
        <v>45598</v>
      </c>
      <c r="E1397" s="3" t="str">
        <f ca="1">IF(Tabela2[[#This Row],[Dt Venc:]]&gt;TODAY(),"Em Aberto",IF(Tabela2[[#This Row],[D/venc]]="-","Enviado",IF(Tabela2[[#This Row],[Dt Venc:]]=TODAY(),"Vence Hoje","Vencida")))</f>
        <v>Enviado</v>
      </c>
      <c r="F1397" s="3" t="str">
        <f ca="1">IF(G1397=1,"-",Tabela2[[#This Row],[Dt Venc:]]-TODAY())</f>
        <v>-</v>
      </c>
      <c r="G1397" s="3">
        <v>1</v>
      </c>
      <c r="H1397" s="3"/>
    </row>
    <row r="1398" spans="1:8" hidden="1">
      <c r="A1398" s="3">
        <v>423711</v>
      </c>
      <c r="B1398" s="7" t="s">
        <v>89</v>
      </c>
      <c r="C1398" s="42">
        <v>858</v>
      </c>
      <c r="D1398" s="6">
        <v>45598</v>
      </c>
      <c r="E1398" s="3" t="str">
        <f ca="1">IF(Tabela2[[#This Row],[Dt Venc:]]&gt;TODAY(),"Em Aberto",IF(Tabela2[[#This Row],[D/venc]]="-","Enviado",IF(Tabela2[[#This Row],[Dt Venc:]]=TODAY(),"Vence Hoje","Vencida")))</f>
        <v>Enviado</v>
      </c>
      <c r="F1398" s="3" t="str">
        <f ca="1">IF(G1398=1,"-",Tabela2[[#This Row],[Dt Venc:]]-TODAY())</f>
        <v>-</v>
      </c>
      <c r="G1398" s="3">
        <v>1</v>
      </c>
      <c r="H1398" s="3"/>
    </row>
    <row r="1399" spans="1:8" hidden="1">
      <c r="A1399" s="3">
        <v>4450995</v>
      </c>
      <c r="B1399" s="7" t="s">
        <v>90</v>
      </c>
      <c r="C1399" s="42">
        <v>2175.23</v>
      </c>
      <c r="D1399" s="6">
        <v>45598</v>
      </c>
      <c r="E1399" s="3" t="str">
        <f ca="1">IF(Tabela2[[#This Row],[Dt Venc:]]&gt;TODAY(),"Em Aberto",IF(Tabela2[[#This Row],[D/venc]]="-","Enviado",IF(Tabela2[[#This Row],[Dt Venc:]]=TODAY(),"Vence Hoje","Vencida")))</f>
        <v>Enviado</v>
      </c>
      <c r="F1399" s="3" t="str">
        <f ca="1">IF(G1399=1,"-",Tabela2[[#This Row],[Dt Venc:]]-TODAY())</f>
        <v>-</v>
      </c>
      <c r="G1399" s="3">
        <v>1</v>
      </c>
      <c r="H1399" s="3"/>
    </row>
    <row r="1400" spans="1:8" hidden="1">
      <c r="A1400" s="3">
        <v>56</v>
      </c>
      <c r="B1400" s="7" t="s">
        <v>95</v>
      </c>
      <c r="C1400" s="42">
        <v>3228</v>
      </c>
      <c r="D1400" s="6">
        <v>45598</v>
      </c>
      <c r="E1400" s="3" t="str">
        <f ca="1">IF(Tabela2[[#This Row],[Dt Venc:]]&gt;TODAY(),"Em Aberto",IF(Tabela2[[#This Row],[D/venc]]="-","Enviado",IF(Tabela2[[#This Row],[Dt Venc:]]=TODAY(),"Vence Hoje","Vencida")))</f>
        <v>Enviado</v>
      </c>
      <c r="F1400" s="3" t="str">
        <f ca="1">IF(G1400=1,"-",Tabela2[[#This Row],[Dt Venc:]]-TODAY())</f>
        <v>-</v>
      </c>
      <c r="G1400" s="3">
        <v>1</v>
      </c>
      <c r="H1400" s="3"/>
    </row>
    <row r="1401" spans="1:8" hidden="1">
      <c r="A1401" s="3">
        <v>2806</v>
      </c>
      <c r="B1401" s="7" t="s">
        <v>301</v>
      </c>
      <c r="C1401" s="42">
        <v>2440</v>
      </c>
      <c r="D1401" s="6">
        <v>45598</v>
      </c>
      <c r="E1401" s="3" t="str">
        <f ca="1">IF(Tabela2[[#This Row],[Dt Venc:]]&gt;TODAY(),"Em Aberto",IF(Tabela2[[#This Row],[D/venc]]="-","Enviado",IF(Tabela2[[#This Row],[Dt Venc:]]=TODAY(),"Vence Hoje","Vencida")))</f>
        <v>Enviado</v>
      </c>
      <c r="F1401" s="3" t="str">
        <f ca="1">IF(G1401=1,"-",Tabela2[[#This Row],[Dt Venc:]]-TODAY())</f>
        <v>-</v>
      </c>
      <c r="G1401" s="3">
        <v>1</v>
      </c>
      <c r="H1401" s="3"/>
    </row>
    <row r="1402" spans="1:8" hidden="1">
      <c r="A1402" s="3">
        <v>92</v>
      </c>
      <c r="B1402" s="7" t="s">
        <v>396</v>
      </c>
      <c r="C1402" s="42">
        <v>2784.34</v>
      </c>
      <c r="D1402" s="6">
        <v>45598</v>
      </c>
      <c r="E1402" s="3" t="str">
        <f ca="1">IF(Tabela2[[#This Row],[Dt Venc:]]&gt;TODAY(),"Em Aberto",IF(Tabela2[[#This Row],[D/venc]]="-","Enviado",IF(Tabela2[[#This Row],[Dt Venc:]]=TODAY(),"Vence Hoje","Vencida")))</f>
        <v>Enviado</v>
      </c>
      <c r="F1402" s="3" t="str">
        <f ca="1">IF(G1402=1,"-",Tabela2[[#This Row],[Dt Venc:]]-TODAY())</f>
        <v>-</v>
      </c>
      <c r="G1402" s="3">
        <v>1</v>
      </c>
      <c r="H1402" s="3"/>
    </row>
    <row r="1403" spans="1:8" hidden="1">
      <c r="A1403" s="3">
        <v>5189</v>
      </c>
      <c r="B1403" s="7" t="s">
        <v>134</v>
      </c>
      <c r="C1403" s="42">
        <v>400</v>
      </c>
      <c r="D1403" s="6">
        <v>45598</v>
      </c>
      <c r="E1403" s="3" t="str">
        <f ca="1">IF(Tabela2[[#This Row],[Dt Venc:]]&gt;TODAY(),"Em Aberto",IF(Tabela2[[#This Row],[D/venc]]="-","Enviado",IF(Tabela2[[#This Row],[Dt Venc:]]=TODAY(),"Vence Hoje","Vencida")))</f>
        <v>Enviado</v>
      </c>
      <c r="F1403" s="3" t="str">
        <f ca="1">IF(G1403=1,"-",Tabela2[[#This Row],[Dt Venc:]]-TODAY())</f>
        <v>-</v>
      </c>
      <c r="G1403" s="3">
        <v>1</v>
      </c>
      <c r="H1403" s="3"/>
    </row>
    <row r="1404" spans="1:8" hidden="1">
      <c r="A1404" s="3">
        <v>326594</v>
      </c>
      <c r="B1404" s="7" t="s">
        <v>77</v>
      </c>
      <c r="C1404" s="42">
        <v>529.98</v>
      </c>
      <c r="D1404" s="6">
        <v>45598</v>
      </c>
      <c r="E1404" s="3" t="str">
        <f ca="1">IF(Tabela2[[#This Row],[Dt Venc:]]&gt;TODAY(),"Em Aberto",IF(Tabela2[[#This Row],[D/venc]]="-","Enviado",IF(Tabela2[[#This Row],[Dt Venc:]]=TODAY(),"Vence Hoje","Vencida")))</f>
        <v>Enviado</v>
      </c>
      <c r="F1404" s="3" t="str">
        <f ca="1">IF(G1404=1,"-",Tabela2[[#This Row],[Dt Venc:]]-TODAY())</f>
        <v>-</v>
      </c>
      <c r="G1404" s="3">
        <v>1</v>
      </c>
      <c r="H1404" s="3"/>
    </row>
    <row r="1405" spans="1:8" hidden="1">
      <c r="A1405" s="3">
        <v>11</v>
      </c>
      <c r="B1405" s="7" t="s">
        <v>397</v>
      </c>
      <c r="C1405" s="42">
        <v>566.66</v>
      </c>
      <c r="D1405" s="6">
        <v>45598</v>
      </c>
      <c r="E1405" s="3" t="str">
        <f ca="1">IF(Tabela2[[#This Row],[Dt Venc:]]&gt;TODAY(),"Em Aberto",IF(Tabela2[[#This Row],[D/venc]]="-","Enviado",IF(Tabela2[[#This Row],[Dt Venc:]]=TODAY(),"Vence Hoje","Vencida")))</f>
        <v>Enviado</v>
      </c>
      <c r="F1405" s="3" t="str">
        <f ca="1">IF(G1405=1,"-",Tabela2[[#This Row],[Dt Venc:]]-TODAY())</f>
        <v>-</v>
      </c>
      <c r="G1405" s="3">
        <v>1</v>
      </c>
      <c r="H1405" s="3"/>
    </row>
    <row r="1406" spans="1:8" hidden="1">
      <c r="A1406" s="3">
        <v>1556</v>
      </c>
      <c r="B1406" s="7" t="s">
        <v>78</v>
      </c>
      <c r="C1406" s="42">
        <v>419</v>
      </c>
      <c r="D1406" s="6">
        <v>45598</v>
      </c>
      <c r="E1406" s="3" t="str">
        <f ca="1">IF(Tabela2[[#This Row],[Dt Venc:]]&gt;TODAY(),"Em Aberto",IF(Tabela2[[#This Row],[D/venc]]="-","Enviado",IF(Tabela2[[#This Row],[Dt Venc:]]=TODAY(),"Vence Hoje","Vencida")))</f>
        <v>Enviado</v>
      </c>
      <c r="F1406" s="3" t="str">
        <f ca="1">IF(G1406=1,"-",Tabela2[[#This Row],[Dt Venc:]]-TODAY())</f>
        <v>-</v>
      </c>
      <c r="G1406" s="3">
        <v>1</v>
      </c>
      <c r="H1406" s="3"/>
    </row>
    <row r="1407" spans="1:8" hidden="1">
      <c r="A1407" s="3">
        <v>5898</v>
      </c>
      <c r="B1407" s="7" t="s">
        <v>398</v>
      </c>
      <c r="C1407" s="42">
        <v>1031.8699999999999</v>
      </c>
      <c r="D1407" s="6">
        <v>45598</v>
      </c>
      <c r="E1407" s="3" t="str">
        <f ca="1">IF(Tabela2[[#This Row],[Dt Venc:]]&gt;TODAY(),"Em Aberto",IF(Tabela2[[#This Row],[D/venc]]="-","Enviado",IF(Tabela2[[#This Row],[Dt Venc:]]=TODAY(),"Vence Hoje","Vencida")))</f>
        <v>Enviado</v>
      </c>
      <c r="F1407" s="3" t="str">
        <f ca="1">IF(G1407=1,"-",Tabela2[[#This Row],[Dt Venc:]]-TODAY())</f>
        <v>-</v>
      </c>
      <c r="G1407" s="3">
        <v>1</v>
      </c>
      <c r="H1407" s="3"/>
    </row>
    <row r="1408" spans="1:8" hidden="1">
      <c r="A1408" s="3">
        <v>173417</v>
      </c>
      <c r="B1408" s="7" t="s">
        <v>174</v>
      </c>
      <c r="C1408" s="42">
        <v>1076.6600000000001</v>
      </c>
      <c r="D1408" s="6">
        <v>45598</v>
      </c>
      <c r="E1408" s="3" t="str">
        <f ca="1">IF(Tabela2[[#This Row],[Dt Venc:]]&gt;TODAY(),"Em Aberto",IF(Tabela2[[#This Row],[D/venc]]="-","Enviado",IF(Tabela2[[#This Row],[Dt Venc:]]=TODAY(),"Vence Hoje","Vencida")))</f>
        <v>Enviado</v>
      </c>
      <c r="F1408" s="3" t="str">
        <f ca="1">IF(G1408=1,"-",Tabela2[[#This Row],[Dt Venc:]]-TODAY())</f>
        <v>-</v>
      </c>
      <c r="G1408" s="3">
        <v>1</v>
      </c>
      <c r="H1408" s="3"/>
    </row>
    <row r="1409" spans="1:8" hidden="1">
      <c r="A1409" s="3">
        <v>153314</v>
      </c>
      <c r="B1409" s="7" t="s">
        <v>77</v>
      </c>
      <c r="C1409" s="42">
        <v>1233.33</v>
      </c>
      <c r="D1409" s="6">
        <v>45598</v>
      </c>
      <c r="E1409" s="3" t="str">
        <f ca="1">IF(Tabela2[[#This Row],[Dt Venc:]]&gt;TODAY(),"Em Aberto",IF(Tabela2[[#This Row],[D/venc]]="-","Enviado",IF(Tabela2[[#This Row],[Dt Venc:]]=TODAY(),"Vence Hoje","Vencida")))</f>
        <v>Enviado</v>
      </c>
      <c r="F1409" s="3" t="str">
        <f ca="1">IF(G1409=1,"-",Tabela2[[#This Row],[Dt Venc:]]-TODAY())</f>
        <v>-</v>
      </c>
      <c r="G1409" s="3">
        <v>1</v>
      </c>
      <c r="H1409" s="3"/>
    </row>
    <row r="1410" spans="1:8" hidden="1">
      <c r="A1410" s="3">
        <v>326615</v>
      </c>
      <c r="B1410" s="7" t="s">
        <v>77</v>
      </c>
      <c r="C1410" s="42">
        <v>405</v>
      </c>
      <c r="D1410" s="6">
        <v>45598</v>
      </c>
      <c r="E1410" s="3" t="str">
        <f ca="1">IF(Tabela2[[#This Row],[Dt Venc:]]&gt;TODAY(),"Em Aberto",IF(Tabela2[[#This Row],[D/venc]]="-","Enviado",IF(Tabela2[[#This Row],[Dt Venc:]]=TODAY(),"Vence Hoje","Vencida")))</f>
        <v>Enviado</v>
      </c>
      <c r="F1410" s="3" t="str">
        <f ca="1">IF(G1410=1,"-",Tabela2[[#This Row],[Dt Venc:]]-TODAY())</f>
        <v>-</v>
      </c>
      <c r="G1410" s="3">
        <v>1</v>
      </c>
      <c r="H1410" s="3"/>
    </row>
    <row r="1411" spans="1:8" hidden="1">
      <c r="A1411" s="3">
        <v>23164</v>
      </c>
      <c r="B1411" s="7" t="s">
        <v>38</v>
      </c>
      <c r="C1411" s="42">
        <v>574</v>
      </c>
      <c r="D1411" s="6">
        <v>45598</v>
      </c>
      <c r="E1411" s="3" t="str">
        <f ca="1">IF(Tabela2[[#This Row],[Dt Venc:]]&gt;TODAY(),"Em Aberto",IF(Tabela2[[#This Row],[D/venc]]="-","Enviado",IF(Tabela2[[#This Row],[Dt Venc:]]=TODAY(),"Vence Hoje","Vencida")))</f>
        <v>Enviado</v>
      </c>
      <c r="F1411" s="3" t="str">
        <f ca="1">IF(G1411=1,"-",Tabela2[[#This Row],[Dt Venc:]]-TODAY())</f>
        <v>-</v>
      </c>
      <c r="G1411" s="3">
        <v>1</v>
      </c>
      <c r="H1411" s="3"/>
    </row>
    <row r="1412" spans="1:8" hidden="1">
      <c r="A1412" s="3">
        <v>173541</v>
      </c>
      <c r="B1412" s="7" t="s">
        <v>211</v>
      </c>
      <c r="C1412" s="42">
        <v>555</v>
      </c>
      <c r="D1412" s="6">
        <v>45598</v>
      </c>
      <c r="E1412" s="3" t="str">
        <f ca="1">IF(Tabela2[[#This Row],[Dt Venc:]]&gt;TODAY(),"Em Aberto",IF(Tabela2[[#This Row],[D/venc]]="-","Enviado",IF(Tabela2[[#This Row],[Dt Venc:]]=TODAY(),"Vence Hoje","Vencida")))</f>
        <v>Enviado</v>
      </c>
      <c r="F1412" s="3" t="str">
        <f ca="1">IF(G1412=1,"-",Tabela2[[#This Row],[Dt Venc:]]-TODAY())</f>
        <v>-</v>
      </c>
      <c r="G1412" s="3">
        <v>1</v>
      </c>
      <c r="H1412" s="3"/>
    </row>
    <row r="1413" spans="1:8" hidden="1">
      <c r="A1413" s="3">
        <v>818909</v>
      </c>
      <c r="B1413" s="7" t="s">
        <v>81</v>
      </c>
      <c r="C1413" s="87" t="s">
        <v>32</v>
      </c>
      <c r="D1413" s="6">
        <v>45598</v>
      </c>
      <c r="E1413" s="3" t="str">
        <f ca="1">IF(Tabela2[[#This Row],[Dt Venc:]]&gt;TODAY(),"Em Aberto",IF(Tabela2[[#This Row],[D/venc]]="-","Enviado",IF(Tabela2[[#This Row],[Dt Venc:]]=TODAY(),"Vence Hoje","Vencida")))</f>
        <v>Enviado</v>
      </c>
      <c r="F1413" s="3" t="str">
        <f ca="1">IF(G1413=1,"-",Tabela2[[#This Row],[Dt Venc:]]-TODAY())</f>
        <v>-</v>
      </c>
      <c r="G1413" s="3">
        <v>1</v>
      </c>
      <c r="H1413" s="3"/>
    </row>
    <row r="1414" spans="1:8" hidden="1">
      <c r="A1414" s="3">
        <v>14146</v>
      </c>
      <c r="B1414" s="7" t="s">
        <v>51</v>
      </c>
      <c r="C1414" s="42">
        <v>560</v>
      </c>
      <c r="D1414" s="6">
        <v>45598</v>
      </c>
      <c r="E1414" s="3" t="str">
        <f ca="1">IF(Tabela2[[#This Row],[Dt Venc:]]&gt;TODAY(),"Em Aberto",IF(Tabela2[[#This Row],[D/venc]]="-","Enviado",IF(Tabela2[[#This Row],[Dt Venc:]]=TODAY(),"Vence Hoje","Vencida")))</f>
        <v>Enviado</v>
      </c>
      <c r="F1414" s="3" t="str">
        <f ca="1">IF(G1414=1,"-",Tabela2[[#This Row],[Dt Venc:]]-TODAY())</f>
        <v>-</v>
      </c>
      <c r="G1414" s="3">
        <v>1</v>
      </c>
      <c r="H1414" s="3"/>
    </row>
    <row r="1415" spans="1:8" hidden="1">
      <c r="A1415" s="3" t="s">
        <v>68</v>
      </c>
      <c r="B1415" s="7" t="s">
        <v>69</v>
      </c>
      <c r="C1415" s="86" t="s">
        <v>30</v>
      </c>
      <c r="D1415" s="6">
        <v>45598</v>
      </c>
      <c r="E1415" s="3" t="str">
        <f ca="1">IF(Tabela2[[#This Row],[Dt Venc:]]&gt;TODAY(),"Em Aberto",IF(Tabela2[[#This Row],[D/venc]]="-","Enviado",IF(Tabela2[[#This Row],[Dt Venc:]]=TODAY(),"Vence Hoje","Vencida")))</f>
        <v>Enviado</v>
      </c>
      <c r="F1415" s="3" t="str">
        <f ca="1">IF(G1415=1,"-",Tabela2[[#This Row],[Dt Venc:]]-TODAY())</f>
        <v>-</v>
      </c>
      <c r="G1415" s="3">
        <v>1</v>
      </c>
      <c r="H1415" s="3"/>
    </row>
    <row r="1416" spans="1:8" hidden="1">
      <c r="A1416" s="3">
        <v>10494</v>
      </c>
      <c r="B1416" s="7" t="s">
        <v>82</v>
      </c>
      <c r="C1416" s="88" t="s">
        <v>30</v>
      </c>
      <c r="D1416" s="6">
        <v>45599</v>
      </c>
      <c r="E1416" s="3" t="str">
        <f ca="1">IF(Tabela2[[#This Row],[Dt Venc:]]&gt;TODAY(),"Em Aberto",IF(Tabela2[[#This Row],[D/venc]]="-","Enviado",IF(Tabela2[[#This Row],[Dt Venc:]]=TODAY(),"Vence Hoje","Vencida")))</f>
        <v>Enviado</v>
      </c>
      <c r="F1416" s="3" t="str">
        <f ca="1">IF(G1416=1,"-",Tabela2[[#This Row],[Dt Venc:]]-TODAY())</f>
        <v>-</v>
      </c>
      <c r="G1416" s="3">
        <v>1</v>
      </c>
      <c r="H1416" s="3"/>
    </row>
    <row r="1417" spans="1:8" hidden="1">
      <c r="A1417" s="3">
        <v>10853</v>
      </c>
      <c r="B1417" s="7" t="s">
        <v>33</v>
      </c>
      <c r="C1417" s="42">
        <v>400</v>
      </c>
      <c r="D1417" s="6">
        <v>45599</v>
      </c>
      <c r="E1417" s="3" t="str">
        <f ca="1">IF(Tabela2[[#This Row],[Dt Venc:]]&gt;TODAY(),"Em Aberto",IF(Tabela2[[#This Row],[D/venc]]="-","Enviado",IF(Tabela2[[#This Row],[Dt Venc:]]=TODAY(),"Vence Hoje","Vencida")))</f>
        <v>Enviado</v>
      </c>
      <c r="F1417" s="3" t="str">
        <f ca="1">IF(G1417=1,"-",Tabela2[[#This Row],[Dt Venc:]]-TODAY())</f>
        <v>-</v>
      </c>
      <c r="G1417" s="3">
        <v>1</v>
      </c>
      <c r="H1417" s="3"/>
    </row>
    <row r="1418" spans="1:8" hidden="1">
      <c r="A1418" s="3">
        <v>324861</v>
      </c>
      <c r="B1418" s="7" t="s">
        <v>77</v>
      </c>
      <c r="C1418" s="42">
        <v>100</v>
      </c>
      <c r="D1418" s="6">
        <v>45599</v>
      </c>
      <c r="E1418" s="3" t="str">
        <f ca="1">IF(Tabela2[[#This Row],[Dt Venc:]]&gt;TODAY(),"Em Aberto",IF(Tabela2[[#This Row],[D/venc]]="-","Enviado",IF(Tabela2[[#This Row],[Dt Venc:]]=TODAY(),"Vence Hoje","Vencida")))</f>
        <v>Enviado</v>
      </c>
      <c r="F1418" s="3" t="str">
        <f ca="1">IF(G1418=1,"-",Tabela2[[#This Row],[Dt Venc:]]-TODAY())</f>
        <v>-</v>
      </c>
      <c r="G1418" s="3">
        <v>1</v>
      </c>
      <c r="H1418" s="3"/>
    </row>
    <row r="1419" spans="1:8" hidden="1">
      <c r="A1419" s="3">
        <v>10854</v>
      </c>
      <c r="B1419" s="7" t="s">
        <v>33</v>
      </c>
      <c r="C1419" s="42">
        <v>1625</v>
      </c>
      <c r="D1419" s="6">
        <v>45599</v>
      </c>
      <c r="E1419" s="3" t="str">
        <f ca="1">IF(Tabela2[[#This Row],[Dt Venc:]]&gt;TODAY(),"Em Aberto",IF(Tabela2[[#This Row],[D/venc]]="-","Enviado",IF(Tabela2[[#This Row],[Dt Venc:]]=TODAY(),"Vence Hoje","Vencida")))</f>
        <v>Enviado</v>
      </c>
      <c r="F1419" s="3" t="str">
        <f ca="1">IF(G1419=1,"-",Tabela2[[#This Row],[Dt Venc:]]-TODAY())</f>
        <v>-</v>
      </c>
      <c r="G1419" s="3">
        <v>1</v>
      </c>
      <c r="H1419" s="3"/>
    </row>
    <row r="1420" spans="1:8" hidden="1">
      <c r="A1420" s="3">
        <v>29805</v>
      </c>
      <c r="B1420" s="7" t="s">
        <v>107</v>
      </c>
      <c r="C1420" s="42">
        <v>2817</v>
      </c>
      <c r="D1420" s="6">
        <v>45599</v>
      </c>
      <c r="E1420" s="3" t="str">
        <f ca="1">IF(Tabela2[[#This Row],[Dt Venc:]]&gt;TODAY(),"Em Aberto",IF(Tabela2[[#This Row],[D/venc]]="-","Enviado",IF(Tabela2[[#This Row],[Dt Venc:]]=TODAY(),"Vence Hoje","Vencida")))</f>
        <v>Enviado</v>
      </c>
      <c r="F1420" s="3" t="str">
        <f ca="1">IF(G1420=1,"-",Tabela2[[#This Row],[Dt Venc:]]-TODAY())</f>
        <v>-</v>
      </c>
      <c r="G1420" s="3">
        <v>1</v>
      </c>
      <c r="H1420" s="3"/>
    </row>
    <row r="1421" spans="1:8" hidden="1">
      <c r="A1421" s="3">
        <v>10974</v>
      </c>
      <c r="B1421" s="7" t="s">
        <v>33</v>
      </c>
      <c r="C1421" s="42">
        <v>1615</v>
      </c>
      <c r="D1421" s="6">
        <v>45599</v>
      </c>
      <c r="E1421" s="3" t="str">
        <f ca="1">IF(Tabela2[[#This Row],[Dt Venc:]]&gt;TODAY(),"Em Aberto",IF(Tabela2[[#This Row],[D/venc]]="-","Enviado",IF(Tabela2[[#This Row],[Dt Venc:]]=TODAY(),"Vence Hoje","Vencida")))</f>
        <v>Enviado</v>
      </c>
      <c r="F1421" s="3" t="str">
        <f ca="1">IF(G1421=1,"-",Tabela2[[#This Row],[Dt Venc:]]-TODAY())</f>
        <v>-</v>
      </c>
      <c r="G1421" s="3">
        <v>1</v>
      </c>
      <c r="H1421" s="3"/>
    </row>
    <row r="1422" spans="1:8" hidden="1">
      <c r="A1422" s="3">
        <v>2769</v>
      </c>
      <c r="B1422" s="7" t="s">
        <v>58</v>
      </c>
      <c r="C1422" s="42">
        <v>1553.37</v>
      </c>
      <c r="D1422" s="6">
        <v>45599</v>
      </c>
      <c r="E1422" s="3" t="str">
        <f ca="1">IF(Tabela2[[#This Row],[Dt Venc:]]&gt;TODAY(),"Em Aberto",IF(Tabela2[[#This Row],[D/venc]]="-","Enviado",IF(Tabela2[[#This Row],[Dt Venc:]]=TODAY(),"Vence Hoje","Vencida")))</f>
        <v>Enviado</v>
      </c>
      <c r="F1422" s="3" t="str">
        <f ca="1">IF(G1422=1,"-",Tabela2[[#This Row],[Dt Venc:]]-TODAY())</f>
        <v>-</v>
      </c>
      <c r="G1422" s="3">
        <v>1</v>
      </c>
      <c r="H1422" s="3"/>
    </row>
    <row r="1423" spans="1:8" hidden="1">
      <c r="A1423" s="3">
        <v>10974</v>
      </c>
      <c r="B1423" s="7" t="s">
        <v>33</v>
      </c>
      <c r="C1423" s="42">
        <v>1615</v>
      </c>
      <c r="D1423" s="6">
        <v>45599</v>
      </c>
      <c r="E1423" s="3" t="str">
        <f ca="1">IF(Tabela2[[#This Row],[Dt Venc:]]&gt;TODAY(),"Em Aberto",IF(Tabela2[[#This Row],[D/venc]]="-","Enviado",IF(Tabela2[[#This Row],[Dt Venc:]]=TODAY(),"Vence Hoje","Vencida")))</f>
        <v>Enviado</v>
      </c>
      <c r="F1423" s="3" t="str">
        <f ca="1">IF(G1423=1,"-",Tabela2[[#This Row],[Dt Venc:]]-TODAY())</f>
        <v>-</v>
      </c>
      <c r="G1423" s="3">
        <v>1</v>
      </c>
      <c r="H1423" s="3"/>
    </row>
    <row r="1424" spans="1:8" hidden="1">
      <c r="A1424" s="3">
        <v>1268</v>
      </c>
      <c r="B1424" s="7" t="s">
        <v>399</v>
      </c>
      <c r="C1424" s="42">
        <v>14500</v>
      </c>
      <c r="D1424" s="6">
        <v>45599</v>
      </c>
      <c r="E1424" s="3" t="str">
        <f ca="1">IF(Tabela2[[#This Row],[Dt Venc:]]&gt;TODAY(),"Em Aberto",IF(Tabela2[[#This Row],[D/venc]]="-","Enviado",IF(Tabela2[[#This Row],[Dt Venc:]]=TODAY(),"Vence Hoje","Vencida")))</f>
        <v>Enviado</v>
      </c>
      <c r="F1424" s="3" t="str">
        <f ca="1">IF(G1424=1,"-",Tabela2[[#This Row],[Dt Venc:]]-TODAY())</f>
        <v>-</v>
      </c>
      <c r="G1424" s="3">
        <v>1</v>
      </c>
      <c r="H1424" s="3"/>
    </row>
    <row r="1425" spans="1:8" hidden="1">
      <c r="A1425" s="3">
        <v>10978</v>
      </c>
      <c r="B1425" s="7" t="s">
        <v>33</v>
      </c>
      <c r="C1425" s="42">
        <v>400</v>
      </c>
      <c r="D1425" s="6">
        <v>45599</v>
      </c>
      <c r="E1425" s="3" t="str">
        <f ca="1">IF(Tabela2[[#This Row],[Dt Venc:]]&gt;TODAY(),"Em Aberto",IF(Tabela2[[#This Row],[D/venc]]="-","Enviado",IF(Tabela2[[#This Row],[Dt Venc:]]=TODAY(),"Vence Hoje","Vencida")))</f>
        <v>Enviado</v>
      </c>
      <c r="F1425" s="3" t="str">
        <f ca="1">IF(G1425=1,"-",Tabela2[[#This Row],[Dt Venc:]]-TODAY())</f>
        <v>-</v>
      </c>
      <c r="G1425" s="3">
        <v>1</v>
      </c>
      <c r="H1425" s="3"/>
    </row>
    <row r="1426" spans="1:8" hidden="1">
      <c r="A1426" s="3">
        <v>226881</v>
      </c>
      <c r="B1426" s="7" t="s">
        <v>306</v>
      </c>
      <c r="C1426" s="42">
        <v>621.73</v>
      </c>
      <c r="D1426" s="6">
        <v>45599</v>
      </c>
      <c r="E1426" s="3" t="str">
        <f ca="1">IF(Tabela2[[#This Row],[Dt Venc:]]&gt;TODAY(),"Em Aberto",IF(Tabela2[[#This Row],[D/venc]]="-","Enviado",IF(Tabela2[[#This Row],[Dt Venc:]]=TODAY(),"Vence Hoje","Vencida")))</f>
        <v>Enviado</v>
      </c>
      <c r="F1426" s="3" t="str">
        <f ca="1">IF(G1426=1,"-",Tabela2[[#This Row],[Dt Venc:]]-TODAY())</f>
        <v>-</v>
      </c>
      <c r="G1426" s="3">
        <v>1</v>
      </c>
      <c r="H1426" s="3"/>
    </row>
    <row r="1427" spans="1:8" hidden="1">
      <c r="A1427" s="3">
        <v>326638</v>
      </c>
      <c r="B1427" s="7" t="s">
        <v>77</v>
      </c>
      <c r="C1427" s="42">
        <v>320</v>
      </c>
      <c r="D1427" s="6">
        <v>45599</v>
      </c>
      <c r="E1427" s="3" t="str">
        <f ca="1">IF(Tabela2[[#This Row],[Dt Venc:]]&gt;TODAY(),"Em Aberto",IF(Tabela2[[#This Row],[D/venc]]="-","Enviado",IF(Tabela2[[#This Row],[Dt Venc:]]=TODAY(),"Vence Hoje","Vencida")))</f>
        <v>Enviado</v>
      </c>
      <c r="F1427" s="3" t="str">
        <f ca="1">IF(G1427=1,"-",Tabela2[[#This Row],[Dt Venc:]]-TODAY())</f>
        <v>-</v>
      </c>
      <c r="G1427" s="3">
        <v>1</v>
      </c>
      <c r="H1427" s="3"/>
    </row>
    <row r="1428" spans="1:8" hidden="1">
      <c r="A1428" s="3">
        <v>173504</v>
      </c>
      <c r="B1428" s="7" t="s">
        <v>72</v>
      </c>
      <c r="C1428" s="42">
        <v>893.34</v>
      </c>
      <c r="D1428" s="6">
        <v>45599</v>
      </c>
      <c r="E1428" s="3" t="str">
        <f ca="1">IF(Tabela2[[#This Row],[Dt Venc:]]&gt;TODAY(),"Em Aberto",IF(Tabela2[[#This Row],[D/venc]]="-","Enviado",IF(Tabela2[[#This Row],[Dt Venc:]]=TODAY(),"Vence Hoje","Vencida")))</f>
        <v>Enviado</v>
      </c>
      <c r="F1428" s="3" t="str">
        <f ca="1">IF(G1428=1,"-",Tabela2[[#This Row],[Dt Venc:]]-TODAY())</f>
        <v>-</v>
      </c>
      <c r="G1428" s="3">
        <v>1</v>
      </c>
      <c r="H1428" s="3"/>
    </row>
    <row r="1429" spans="1:8" hidden="1">
      <c r="A1429" s="3">
        <v>3299270</v>
      </c>
      <c r="B1429" s="7" t="s">
        <v>71</v>
      </c>
      <c r="C1429" s="41">
        <v>81948</v>
      </c>
      <c r="D1429" s="6">
        <v>45599</v>
      </c>
      <c r="E1429" s="3" t="str">
        <f ca="1">IF(Tabela2[[#This Row],[Dt Venc:]]&gt;TODAY(),"Em Aberto",IF(Tabela2[[#This Row],[D/venc]]="-","Enviado",IF(Tabela2[[#This Row],[Dt Venc:]]=TODAY(),"Vence Hoje","Vencida")))</f>
        <v>Enviado</v>
      </c>
      <c r="F1429" s="3" t="str">
        <f ca="1">IF(G1429=1,"-",Tabela2[[#This Row],[Dt Venc:]]-TODAY())</f>
        <v>-</v>
      </c>
      <c r="G1429" s="3">
        <v>1</v>
      </c>
      <c r="H1429" s="3"/>
    </row>
    <row r="1430" spans="1:8" hidden="1">
      <c r="A1430" s="3">
        <v>22201</v>
      </c>
      <c r="B1430" s="7" t="s">
        <v>112</v>
      </c>
      <c r="C1430" s="42">
        <v>391.67</v>
      </c>
      <c r="D1430" s="6">
        <v>45600</v>
      </c>
      <c r="E1430" s="3" t="str">
        <f ca="1">IF(Tabela2[[#This Row],[Dt Venc:]]&gt;TODAY(),"Em Aberto",IF(Tabela2[[#This Row],[D/venc]]="-","Enviado",IF(Tabela2[[#This Row],[Dt Venc:]]=TODAY(),"Vence Hoje","Vencida")))</f>
        <v>Enviado</v>
      </c>
      <c r="F1430" s="3" t="str">
        <f ca="1">IF(G1430=1,"-",Tabela2[[#This Row],[Dt Venc:]]-TODAY())</f>
        <v>-</v>
      </c>
      <c r="G1430" s="3">
        <v>1</v>
      </c>
      <c r="H1430" s="3"/>
    </row>
    <row r="1431" spans="1:8" hidden="1">
      <c r="A1431" s="3">
        <v>79829</v>
      </c>
      <c r="B1431" s="7" t="s">
        <v>39</v>
      </c>
      <c r="C1431" s="42">
        <v>508.41</v>
      </c>
      <c r="D1431" s="6">
        <v>45600</v>
      </c>
      <c r="E1431" s="3" t="str">
        <f ca="1">IF(Tabela2[[#This Row],[Dt Venc:]]&gt;TODAY(),"Em Aberto",IF(Tabela2[[#This Row],[D/venc]]="-","Enviado",IF(Tabela2[[#This Row],[Dt Venc:]]=TODAY(),"Vence Hoje","Vencida")))</f>
        <v>Enviado</v>
      </c>
      <c r="F1431" s="3" t="str">
        <f ca="1">IF(G1431=1,"-",Tabela2[[#This Row],[Dt Venc:]]-TODAY())</f>
        <v>-</v>
      </c>
      <c r="G1431" s="3">
        <v>1</v>
      </c>
      <c r="H1431" s="3"/>
    </row>
    <row r="1432" spans="1:8" hidden="1">
      <c r="A1432" s="3">
        <v>79830</v>
      </c>
      <c r="B1432" s="7" t="s">
        <v>39</v>
      </c>
      <c r="C1432" s="42">
        <v>141.86000000000001</v>
      </c>
      <c r="D1432" s="6">
        <v>45600</v>
      </c>
      <c r="E1432" s="3" t="str">
        <f ca="1">IF(Tabela2[[#This Row],[Dt Venc:]]&gt;TODAY(),"Em Aberto",IF(Tabela2[[#This Row],[D/venc]]="-","Enviado",IF(Tabela2[[#This Row],[Dt Venc:]]=TODAY(),"Vence Hoje","Vencida")))</f>
        <v>Enviado</v>
      </c>
      <c r="F1432" s="3" t="str">
        <f ca="1">IF(G1432=1,"-",Tabela2[[#This Row],[Dt Venc:]]-TODAY())</f>
        <v>-</v>
      </c>
      <c r="G1432" s="3">
        <v>1</v>
      </c>
      <c r="H1432" s="3"/>
    </row>
    <row r="1433" spans="1:8" hidden="1">
      <c r="A1433" s="3">
        <v>79832</v>
      </c>
      <c r="B1433" s="7" t="s">
        <v>39</v>
      </c>
      <c r="C1433" s="42">
        <v>500.17</v>
      </c>
      <c r="D1433" s="6">
        <v>45600</v>
      </c>
      <c r="E1433" s="3" t="str">
        <f ca="1">IF(Tabela2[[#This Row],[Dt Venc:]]&gt;TODAY(),"Em Aberto",IF(Tabela2[[#This Row],[D/venc]]="-","Enviado",IF(Tabela2[[#This Row],[Dt Venc:]]=TODAY(),"Vence Hoje","Vencida")))</f>
        <v>Enviado</v>
      </c>
      <c r="F1433" s="3" t="str">
        <f ca="1">IF(G1433=1,"-",Tabela2[[#This Row],[Dt Venc:]]-TODAY())</f>
        <v>-</v>
      </c>
      <c r="G1433" s="3">
        <v>1</v>
      </c>
      <c r="H1433" s="3"/>
    </row>
    <row r="1434" spans="1:8" hidden="1">
      <c r="A1434" s="3">
        <v>359975</v>
      </c>
      <c r="B1434" s="7" t="s">
        <v>39</v>
      </c>
      <c r="C1434" s="42">
        <v>247.83</v>
      </c>
      <c r="D1434" s="6">
        <v>45600</v>
      </c>
      <c r="E1434" s="3" t="str">
        <f ca="1">IF(Tabela2[[#This Row],[Dt Venc:]]&gt;TODAY(),"Em Aberto",IF(Tabela2[[#This Row],[D/venc]]="-","Enviado",IF(Tabela2[[#This Row],[Dt Venc:]]=TODAY(),"Vence Hoje","Vencida")))</f>
        <v>Enviado</v>
      </c>
      <c r="F1434" s="3" t="str">
        <f ca="1">IF(G1434=1,"-",Tabela2[[#This Row],[Dt Venc:]]-TODAY())</f>
        <v>-</v>
      </c>
      <c r="G1434" s="3">
        <v>1</v>
      </c>
      <c r="H1434" s="3"/>
    </row>
    <row r="1435" spans="1:8" hidden="1">
      <c r="A1435" s="3">
        <v>359984</v>
      </c>
      <c r="B1435" s="7" t="s">
        <v>39</v>
      </c>
      <c r="C1435" s="42">
        <v>247.83</v>
      </c>
      <c r="D1435" s="6">
        <v>45600</v>
      </c>
      <c r="E1435" s="3" t="str">
        <f ca="1">IF(Tabela2[[#This Row],[Dt Venc:]]&gt;TODAY(),"Em Aberto",IF(Tabela2[[#This Row],[D/venc]]="-","Enviado",IF(Tabela2[[#This Row],[Dt Venc:]]=TODAY(),"Vence Hoje","Vencida")))</f>
        <v>Enviado</v>
      </c>
      <c r="F1435" s="3" t="str">
        <f ca="1">IF(G1435=1,"-",Tabela2[[#This Row],[Dt Venc:]]-TODAY())</f>
        <v>-</v>
      </c>
      <c r="G1435" s="3">
        <v>1</v>
      </c>
      <c r="H1435" s="3"/>
    </row>
    <row r="1436" spans="1:8" hidden="1">
      <c r="A1436" s="3">
        <v>360021</v>
      </c>
      <c r="B1436" s="7" t="s">
        <v>39</v>
      </c>
      <c r="C1436" s="42">
        <v>247.83</v>
      </c>
      <c r="D1436" s="6">
        <v>45600</v>
      </c>
      <c r="E1436" s="3" t="str">
        <f ca="1">IF(Tabela2[[#This Row],[Dt Venc:]]&gt;TODAY(),"Em Aberto",IF(Tabela2[[#This Row],[D/venc]]="-","Enviado",IF(Tabela2[[#This Row],[Dt Venc:]]=TODAY(),"Vence Hoje","Vencida")))</f>
        <v>Enviado</v>
      </c>
      <c r="F1436" s="3" t="str">
        <f ca="1">IF(G1436=1,"-",Tabela2[[#This Row],[Dt Venc:]]-TODAY())</f>
        <v>-</v>
      </c>
      <c r="G1436" s="3">
        <v>1</v>
      </c>
      <c r="H1436" s="3"/>
    </row>
    <row r="1437" spans="1:8" hidden="1">
      <c r="A1437" s="3">
        <v>362339</v>
      </c>
      <c r="B1437" s="7" t="s">
        <v>39</v>
      </c>
      <c r="C1437" s="42">
        <v>611.01</v>
      </c>
      <c r="D1437" s="6">
        <v>45600</v>
      </c>
      <c r="E1437" s="3" t="str">
        <f ca="1">IF(Tabela2[[#This Row],[Dt Venc:]]&gt;TODAY(),"Em Aberto",IF(Tabela2[[#This Row],[D/venc]]="-","Enviado",IF(Tabela2[[#This Row],[Dt Venc:]]=TODAY(),"Vence Hoje","Vencida")))</f>
        <v>Enviado</v>
      </c>
      <c r="F1437" s="3" t="str">
        <f ca="1">IF(G1437=1,"-",Tabela2[[#This Row],[Dt Venc:]]-TODAY())</f>
        <v>-</v>
      </c>
      <c r="G1437" s="3">
        <v>1</v>
      </c>
      <c r="H1437" s="3"/>
    </row>
    <row r="1438" spans="1:8" hidden="1">
      <c r="A1438" s="3">
        <v>2920</v>
      </c>
      <c r="B1438" s="7" t="s">
        <v>100</v>
      </c>
      <c r="C1438" s="42">
        <v>4219.67</v>
      </c>
      <c r="D1438" s="6">
        <v>45600</v>
      </c>
      <c r="E1438" s="3" t="str">
        <f ca="1">IF(Tabela2[[#This Row],[Dt Venc:]]&gt;TODAY(),"Em Aberto",IF(Tabela2[[#This Row],[D/venc]]="-","Enviado",IF(Tabela2[[#This Row],[Dt Venc:]]=TODAY(),"Vence Hoje","Vencida")))</f>
        <v>Enviado</v>
      </c>
      <c r="F1438" s="3" t="str">
        <f ca="1">IF(G1438=1,"-",Tabela2[[#This Row],[Dt Venc:]]-TODAY())</f>
        <v>-</v>
      </c>
      <c r="G1438" s="3">
        <v>1</v>
      </c>
      <c r="H1438" s="3"/>
    </row>
    <row r="1439" spans="1:8" hidden="1">
      <c r="A1439" s="3">
        <v>602866</v>
      </c>
      <c r="B1439" s="7" t="s">
        <v>137</v>
      </c>
      <c r="C1439" s="42">
        <v>755.93</v>
      </c>
      <c r="D1439" s="6">
        <v>45600</v>
      </c>
      <c r="E1439" s="3" t="str">
        <f ca="1">IF(Tabela2[[#This Row],[Dt Venc:]]&gt;TODAY(),"Em Aberto",IF(Tabela2[[#This Row],[D/venc]]="-","Enviado",IF(Tabela2[[#This Row],[Dt Venc:]]=TODAY(),"Vence Hoje","Vencida")))</f>
        <v>Enviado</v>
      </c>
      <c r="F1439" s="3" t="str">
        <f ca="1">IF(G1439=1,"-",Tabela2[[#This Row],[Dt Venc:]]-TODAY())</f>
        <v>-</v>
      </c>
      <c r="G1439" s="3">
        <v>1</v>
      </c>
      <c r="H1439" s="3"/>
    </row>
    <row r="1440" spans="1:8" hidden="1">
      <c r="A1440" s="3">
        <v>602861</v>
      </c>
      <c r="B1440" s="7" t="s">
        <v>138</v>
      </c>
      <c r="C1440" s="42">
        <v>939.26</v>
      </c>
      <c r="D1440" s="6">
        <v>45600</v>
      </c>
      <c r="E1440" s="3" t="str">
        <f ca="1">IF(Tabela2[[#This Row],[Dt Venc:]]&gt;TODAY(),"Em Aberto",IF(Tabela2[[#This Row],[D/venc]]="-","Enviado",IF(Tabela2[[#This Row],[Dt Venc:]]=TODAY(),"Vence Hoje","Vencida")))</f>
        <v>Enviado</v>
      </c>
      <c r="F1440" s="3" t="str">
        <f ca="1">IF(G1440=1,"-",Tabela2[[#This Row],[Dt Venc:]]-TODAY())</f>
        <v>-</v>
      </c>
      <c r="G1440" s="3">
        <v>1</v>
      </c>
      <c r="H1440" s="3"/>
    </row>
    <row r="1441" spans="1:8" hidden="1">
      <c r="A1441" s="3">
        <v>29042</v>
      </c>
      <c r="B1441" s="7" t="s">
        <v>97</v>
      </c>
      <c r="C1441" s="42">
        <v>3285</v>
      </c>
      <c r="D1441" s="6">
        <v>45600</v>
      </c>
      <c r="E1441" s="3" t="str">
        <f ca="1">IF(Tabela2[[#This Row],[Dt Venc:]]&gt;TODAY(),"Em Aberto",IF(Tabela2[[#This Row],[D/venc]]="-","Enviado",IF(Tabela2[[#This Row],[Dt Venc:]]=TODAY(),"Vence Hoje","Vencida")))</f>
        <v>Enviado</v>
      </c>
      <c r="F1441" s="3" t="str">
        <f ca="1">IF(G1441=1,"-",Tabela2[[#This Row],[Dt Venc:]]-TODAY())</f>
        <v>-</v>
      </c>
      <c r="G1441" s="3">
        <v>1</v>
      </c>
      <c r="H1441" s="3"/>
    </row>
    <row r="1442" spans="1:8" hidden="1">
      <c r="A1442" s="3">
        <v>69145</v>
      </c>
      <c r="B1442" s="7" t="s">
        <v>76</v>
      </c>
      <c r="C1442" s="42">
        <v>616.66</v>
      </c>
      <c r="D1442" s="6">
        <v>45600</v>
      </c>
      <c r="E1442" s="3" t="str">
        <f ca="1">IF(Tabela2[[#This Row],[Dt Venc:]]&gt;TODAY(),"Em Aberto",IF(Tabela2[[#This Row],[D/venc]]="-","Enviado",IF(Tabela2[[#This Row],[Dt Venc:]]=TODAY(),"Vence Hoje","Vencida")))</f>
        <v>Enviado</v>
      </c>
      <c r="F1442" s="3" t="str">
        <f ca="1">IF(G1442=1,"-",Tabela2[[#This Row],[Dt Venc:]]-TODAY())</f>
        <v>-</v>
      </c>
      <c r="G1442" s="3">
        <v>1</v>
      </c>
      <c r="H1442" s="3"/>
    </row>
    <row r="1443" spans="1:8" hidden="1">
      <c r="A1443" s="3">
        <v>811</v>
      </c>
      <c r="B1443" s="7" t="s">
        <v>113</v>
      </c>
      <c r="C1443" s="42">
        <v>2653.34</v>
      </c>
      <c r="D1443" s="6">
        <v>45600</v>
      </c>
      <c r="E1443" s="3" t="str">
        <f ca="1">IF(Tabela2[[#This Row],[Dt Venc:]]&gt;TODAY(),"Em Aberto",IF(Tabela2[[#This Row],[D/venc]]="-","Enviado",IF(Tabela2[[#This Row],[Dt Venc:]]=TODAY(),"Vence Hoje","Vencida")))</f>
        <v>Enviado</v>
      </c>
      <c r="F1443" s="3" t="str">
        <f ca="1">IF(G1443=1,"-",Tabela2[[#This Row],[Dt Venc:]]-TODAY())</f>
        <v>-</v>
      </c>
      <c r="G1443" s="3">
        <v>1</v>
      </c>
      <c r="H1443" s="3"/>
    </row>
    <row r="1444" spans="1:8" hidden="1">
      <c r="A1444" s="3">
        <v>5704</v>
      </c>
      <c r="B1444" s="7" t="s">
        <v>47</v>
      </c>
      <c r="C1444" s="42">
        <v>1308</v>
      </c>
      <c r="D1444" s="6">
        <v>45600</v>
      </c>
      <c r="E1444" s="3" t="str">
        <f ca="1">IF(Tabela2[[#This Row],[Dt Venc:]]&gt;TODAY(),"Em Aberto",IF(Tabela2[[#This Row],[D/venc]]="-","Enviado",IF(Tabela2[[#This Row],[Dt Venc:]]=TODAY(),"Vence Hoje","Vencida")))</f>
        <v>Enviado</v>
      </c>
      <c r="F1444" s="3" t="str">
        <f ca="1">IF(G1444=1,"-",Tabela2[[#This Row],[Dt Venc:]]-TODAY())</f>
        <v>-</v>
      </c>
      <c r="G1444" s="3">
        <v>1</v>
      </c>
      <c r="H1444" s="3"/>
    </row>
    <row r="1445" spans="1:8" hidden="1">
      <c r="A1445" s="3">
        <v>367026</v>
      </c>
      <c r="B1445" s="7" t="s">
        <v>65</v>
      </c>
      <c r="C1445" s="42">
        <v>1366.31</v>
      </c>
      <c r="D1445" s="6">
        <v>45600</v>
      </c>
      <c r="E1445" s="3" t="str">
        <f ca="1">IF(Tabela2[[#This Row],[Dt Venc:]]&gt;TODAY(),"Em Aberto",IF(Tabela2[[#This Row],[D/venc]]="-","Enviado",IF(Tabela2[[#This Row],[Dt Venc:]]=TODAY(),"Vence Hoje","Vencida")))</f>
        <v>Enviado</v>
      </c>
      <c r="F1445" s="3" t="str">
        <f ca="1">IF(G1445=1,"-",Tabela2[[#This Row],[Dt Venc:]]-TODAY())</f>
        <v>-</v>
      </c>
      <c r="G1445" s="3">
        <v>1</v>
      </c>
      <c r="H1445" s="3"/>
    </row>
    <row r="1446" spans="1:8" hidden="1">
      <c r="A1446" s="3">
        <v>5795</v>
      </c>
      <c r="B1446" s="7" t="s">
        <v>140</v>
      </c>
      <c r="C1446" s="42">
        <v>1101.5999999999999</v>
      </c>
      <c r="D1446" s="6">
        <v>45600</v>
      </c>
      <c r="E1446" s="3" t="str">
        <f ca="1">IF(Tabela2[[#This Row],[Dt Venc:]]&gt;TODAY(),"Em Aberto",IF(Tabela2[[#This Row],[D/venc]]="-","Enviado",IF(Tabela2[[#This Row],[Dt Venc:]]=TODAY(),"Vence Hoje","Vencida")))</f>
        <v>Enviado</v>
      </c>
      <c r="F1446" s="3" t="str">
        <f ca="1">IF(G1446=1,"-",Tabela2[[#This Row],[Dt Venc:]]-TODAY())</f>
        <v>-</v>
      </c>
      <c r="G1446" s="3">
        <v>1</v>
      </c>
      <c r="H1446" s="3"/>
    </row>
    <row r="1447" spans="1:8" hidden="1">
      <c r="A1447" s="3">
        <v>6</v>
      </c>
      <c r="B1447" s="7" t="s">
        <v>103</v>
      </c>
      <c r="C1447" s="42">
        <v>396.66</v>
      </c>
      <c r="D1447" s="6">
        <v>45600</v>
      </c>
      <c r="E1447" s="3" t="str">
        <f ca="1">IF(Tabela2[[#This Row],[Dt Venc:]]&gt;TODAY(),"Em Aberto",IF(Tabela2[[#This Row],[D/venc]]="-","Enviado",IF(Tabela2[[#This Row],[Dt Venc:]]=TODAY(),"Vence Hoje","Vencida")))</f>
        <v>Enviado</v>
      </c>
      <c r="F1447" s="3" t="str">
        <f ca="1">IF(G1447=1,"-",Tabela2[[#This Row],[Dt Venc:]]-TODAY())</f>
        <v>-</v>
      </c>
      <c r="G1447" s="3">
        <v>1</v>
      </c>
      <c r="H1447" s="3"/>
    </row>
    <row r="1448" spans="1:8" hidden="1">
      <c r="A1448" s="3">
        <v>18050</v>
      </c>
      <c r="B1448" s="7" t="s">
        <v>115</v>
      </c>
      <c r="C1448" s="42">
        <v>6081</v>
      </c>
      <c r="D1448" s="6">
        <v>45600</v>
      </c>
      <c r="E1448" s="3" t="str">
        <f ca="1">IF(Tabela2[[#This Row],[Dt Venc:]]&gt;TODAY(),"Em Aberto",IF(Tabela2[[#This Row],[D/venc]]="-","Enviado",IF(Tabela2[[#This Row],[Dt Venc:]]=TODAY(),"Vence Hoje","Vencida")))</f>
        <v>Enviado</v>
      </c>
      <c r="F1448" s="3" t="str">
        <f ca="1">IF(G1448=1,"-",Tabela2[[#This Row],[Dt Venc:]]-TODAY())</f>
        <v>-</v>
      </c>
      <c r="G1448" s="3">
        <v>1</v>
      </c>
      <c r="H1448" s="3"/>
    </row>
    <row r="1449" spans="1:8" hidden="1">
      <c r="A1449" s="3">
        <v>606775</v>
      </c>
      <c r="B1449" s="7" t="s">
        <v>66</v>
      </c>
      <c r="C1449" s="42">
        <v>495.16</v>
      </c>
      <c r="D1449" s="6">
        <v>45600</v>
      </c>
      <c r="E1449" s="3" t="str">
        <f ca="1">IF(Tabela2[[#This Row],[Dt Venc:]]&gt;TODAY(),"Em Aberto",IF(Tabela2[[#This Row],[D/venc]]="-","Enviado",IF(Tabela2[[#This Row],[Dt Venc:]]=TODAY(),"Vence Hoje","Vencida")))</f>
        <v>Enviado</v>
      </c>
      <c r="F1449" s="3" t="str">
        <f ca="1">IF(G1449=1,"-",Tabela2[[#This Row],[Dt Venc:]]-TODAY())</f>
        <v>-</v>
      </c>
      <c r="G1449" s="3">
        <v>1</v>
      </c>
      <c r="H1449" s="3"/>
    </row>
    <row r="1450" spans="1:8" hidden="1">
      <c r="A1450" s="3">
        <v>10725</v>
      </c>
      <c r="B1450" s="7" t="s">
        <v>33</v>
      </c>
      <c r="C1450" s="42">
        <v>3125</v>
      </c>
      <c r="D1450" s="6">
        <v>45600</v>
      </c>
      <c r="E1450" s="3" t="str">
        <f ca="1">IF(Tabela2[[#This Row],[Dt Venc:]]&gt;TODAY(),"Em Aberto",IF(Tabela2[[#This Row],[D/venc]]="-","Enviado",IF(Tabela2[[#This Row],[Dt Venc:]]=TODAY(),"Vence Hoje","Vencida")))</f>
        <v>Enviado</v>
      </c>
      <c r="F1450" s="3" t="str">
        <f ca="1">IF(G1450=1,"-",Tabela2[[#This Row],[Dt Venc:]]-TODAY())</f>
        <v>-</v>
      </c>
      <c r="G1450" s="3">
        <v>1</v>
      </c>
      <c r="H1450" s="3"/>
    </row>
    <row r="1451" spans="1:8" hidden="1">
      <c r="A1451" s="3">
        <v>473848</v>
      </c>
      <c r="B1451" s="7" t="s">
        <v>108</v>
      </c>
      <c r="C1451" s="42">
        <v>354.42</v>
      </c>
      <c r="D1451" s="6">
        <v>45600</v>
      </c>
      <c r="E1451" s="3" t="str">
        <f ca="1">IF(Tabela2[[#This Row],[Dt Venc:]]&gt;TODAY(),"Em Aberto",IF(Tabela2[[#This Row],[D/venc]]="-","Enviado",IF(Tabela2[[#This Row],[Dt Venc:]]=TODAY(),"Vence Hoje","Vencida")))</f>
        <v>Enviado</v>
      </c>
      <c r="F1451" s="3" t="str">
        <f ca="1">IF(G1451=1,"-",Tabela2[[#This Row],[Dt Venc:]]-TODAY())</f>
        <v>-</v>
      </c>
      <c r="G1451" s="3">
        <v>1</v>
      </c>
      <c r="H1451" s="3"/>
    </row>
    <row r="1452" spans="1:8" hidden="1">
      <c r="A1452" s="3">
        <v>21544</v>
      </c>
      <c r="B1452" s="7" t="s">
        <v>319</v>
      </c>
      <c r="C1452" s="42">
        <v>734.5</v>
      </c>
      <c r="D1452" s="6">
        <v>45600</v>
      </c>
      <c r="E1452" s="3" t="str">
        <f ca="1">IF(Tabela2[[#This Row],[Dt Venc:]]&gt;TODAY(),"Em Aberto",IF(Tabela2[[#This Row],[D/venc]]="-","Enviado",IF(Tabela2[[#This Row],[Dt Venc:]]=TODAY(),"Vence Hoje","Vencida")))</f>
        <v>Enviado</v>
      </c>
      <c r="F1452" s="3" t="str">
        <f ca="1">IF(G1452=1,"-",Tabela2[[#This Row],[Dt Venc:]]-TODAY())</f>
        <v>-</v>
      </c>
      <c r="G1452" s="3">
        <v>1</v>
      </c>
      <c r="H1452" s="3"/>
    </row>
    <row r="1453" spans="1:8" hidden="1">
      <c r="A1453" s="3">
        <v>1680</v>
      </c>
      <c r="B1453" s="7" t="s">
        <v>135</v>
      </c>
      <c r="C1453" s="42">
        <v>5542.35</v>
      </c>
      <c r="D1453" s="6">
        <v>45600</v>
      </c>
      <c r="E1453" s="3" t="str">
        <f ca="1">IF(Tabela2[[#This Row],[Dt Venc:]]&gt;TODAY(),"Em Aberto",IF(Tabela2[[#This Row],[D/venc]]="-","Enviado",IF(Tabela2[[#This Row],[Dt Venc:]]=TODAY(),"Vence Hoje","Vencida")))</f>
        <v>Enviado</v>
      </c>
      <c r="F1453" s="3" t="str">
        <f ca="1">IF(G1453=1,"-",Tabela2[[#This Row],[Dt Venc:]]-TODAY())</f>
        <v>-</v>
      </c>
      <c r="G1453" s="3">
        <v>1</v>
      </c>
      <c r="H1453" s="3"/>
    </row>
    <row r="1454" spans="1:8" hidden="1">
      <c r="A1454" s="3">
        <v>554208</v>
      </c>
      <c r="B1454" s="7" t="s">
        <v>39</v>
      </c>
      <c r="C1454" s="42">
        <v>599.42999999999995</v>
      </c>
      <c r="D1454" s="6">
        <v>45600</v>
      </c>
      <c r="E1454" s="3" t="str">
        <f ca="1">IF(Tabela2[[#This Row],[Dt Venc:]]&gt;TODAY(),"Em Aberto",IF(Tabela2[[#This Row],[D/venc]]="-","Enviado",IF(Tabela2[[#This Row],[Dt Venc:]]=TODAY(),"Vence Hoje","Vencida")))</f>
        <v>Enviado</v>
      </c>
      <c r="F1454" s="3" t="str">
        <f ca="1">IF(G1454=1,"-",Tabela2[[#This Row],[Dt Venc:]]-TODAY())</f>
        <v>-</v>
      </c>
      <c r="G1454" s="3">
        <v>1</v>
      </c>
      <c r="H1454" s="3"/>
    </row>
    <row r="1455" spans="1:8" hidden="1">
      <c r="A1455" s="3">
        <v>369355</v>
      </c>
      <c r="B1455" s="7" t="s">
        <v>39</v>
      </c>
      <c r="C1455" s="42">
        <v>1295.93</v>
      </c>
      <c r="D1455" s="6">
        <v>45600</v>
      </c>
      <c r="E1455" s="3" t="str">
        <f ca="1">IF(Tabela2[[#This Row],[Dt Venc:]]&gt;TODAY(),"Em Aberto",IF(Tabela2[[#This Row],[D/venc]]="-","Enviado",IF(Tabela2[[#This Row],[Dt Venc:]]=TODAY(),"Vence Hoje","Vencida")))</f>
        <v>Enviado</v>
      </c>
      <c r="F1455" s="3" t="str">
        <f ca="1">IF(G1455=1,"-",Tabela2[[#This Row],[Dt Venc:]]-TODAY())</f>
        <v>-</v>
      </c>
      <c r="G1455" s="3">
        <v>1</v>
      </c>
      <c r="H1455" s="3"/>
    </row>
    <row r="1456" spans="1:8" hidden="1">
      <c r="A1456" s="3">
        <v>369443</v>
      </c>
      <c r="B1456" s="7" t="s">
        <v>39</v>
      </c>
      <c r="C1456" s="42">
        <v>1134.26</v>
      </c>
      <c r="D1456" s="6">
        <v>45600</v>
      </c>
      <c r="E1456" s="3" t="str">
        <f ca="1">IF(Tabela2[[#This Row],[Dt Venc:]]&gt;TODAY(),"Em Aberto",IF(Tabela2[[#This Row],[D/venc]]="-","Enviado",IF(Tabela2[[#This Row],[Dt Venc:]]=TODAY(),"Vence Hoje","Vencida")))</f>
        <v>Enviado</v>
      </c>
      <c r="F1456" s="3" t="str">
        <f ca="1">IF(G1456=1,"-",Tabela2[[#This Row],[Dt Venc:]]-TODAY())</f>
        <v>-</v>
      </c>
      <c r="G1456" s="3">
        <v>1</v>
      </c>
      <c r="H1456" s="3"/>
    </row>
    <row r="1457" spans="1:8" hidden="1">
      <c r="A1457" s="3">
        <v>261488</v>
      </c>
      <c r="B1457" s="7" t="s">
        <v>36</v>
      </c>
      <c r="C1457" s="42">
        <v>328.58</v>
      </c>
      <c r="D1457" s="6">
        <v>45600</v>
      </c>
      <c r="E1457" s="3" t="str">
        <f ca="1">IF(Tabela2[[#This Row],[Dt Venc:]]&gt;TODAY(),"Em Aberto",IF(Tabela2[[#This Row],[D/venc]]="-","Enviado",IF(Tabela2[[#This Row],[Dt Venc:]]=TODAY(),"Vence Hoje","Vencida")))</f>
        <v>Enviado</v>
      </c>
      <c r="F1457" s="3" t="str">
        <f ca="1">IF(G1457=1,"-",Tabela2[[#This Row],[Dt Venc:]]-TODAY())</f>
        <v>-</v>
      </c>
      <c r="G1457" s="3">
        <v>1</v>
      </c>
      <c r="H1457" s="3"/>
    </row>
    <row r="1458" spans="1:8" hidden="1">
      <c r="A1458" s="3">
        <v>1402880</v>
      </c>
      <c r="B1458" s="7" t="s">
        <v>151</v>
      </c>
      <c r="C1458" s="42">
        <v>905.84</v>
      </c>
      <c r="D1458" s="6">
        <v>45600</v>
      </c>
      <c r="E1458" s="3" t="str">
        <f ca="1">IF(Tabela2[[#This Row],[Dt Venc:]]&gt;TODAY(),"Em Aberto",IF(Tabela2[[#This Row],[D/venc]]="-","Enviado",IF(Tabela2[[#This Row],[Dt Venc:]]=TODAY(),"Vence Hoje","Vencida")))</f>
        <v>Enviado</v>
      </c>
      <c r="F1458" s="3" t="str">
        <f ca="1">IF(G1458=1,"-",Tabela2[[#This Row],[Dt Venc:]]-TODAY())</f>
        <v>-</v>
      </c>
      <c r="G1458" s="3">
        <v>1</v>
      </c>
      <c r="H1458" s="3"/>
    </row>
    <row r="1459" spans="1:8" hidden="1">
      <c r="A1459" s="3">
        <v>71563</v>
      </c>
      <c r="B1459" s="7" t="s">
        <v>76</v>
      </c>
      <c r="C1459" s="42">
        <v>789.52</v>
      </c>
      <c r="D1459" s="6">
        <v>45600</v>
      </c>
      <c r="E1459" s="3" t="str">
        <f ca="1">IF(Tabela2[[#This Row],[Dt Venc:]]&gt;TODAY(),"Em Aberto",IF(Tabela2[[#This Row],[D/venc]]="-","Enviado",IF(Tabela2[[#This Row],[Dt Venc:]]=TODAY(),"Vence Hoje","Vencida")))</f>
        <v>Enviado</v>
      </c>
      <c r="F1459" s="3" t="str">
        <f ca="1">IF(G1459=1,"-",Tabela2[[#This Row],[Dt Venc:]]-TODAY())</f>
        <v>-</v>
      </c>
      <c r="G1459" s="3">
        <v>1</v>
      </c>
      <c r="H1459" s="3"/>
    </row>
    <row r="1460" spans="1:8" hidden="1">
      <c r="A1460" s="3">
        <v>369487</v>
      </c>
      <c r="B1460" s="7" t="s">
        <v>39</v>
      </c>
      <c r="C1460" s="42">
        <v>592.1</v>
      </c>
      <c r="D1460" s="6">
        <v>45600</v>
      </c>
      <c r="E1460" s="3" t="str">
        <f ca="1">IF(Tabela2[[#This Row],[Dt Venc:]]&gt;TODAY(),"Em Aberto",IF(Tabela2[[#This Row],[D/venc]]="-","Enviado",IF(Tabela2[[#This Row],[Dt Venc:]]=TODAY(),"Vence Hoje","Vencida")))</f>
        <v>Enviado</v>
      </c>
      <c r="F1460" s="3" t="str">
        <f ca="1">IF(G1460=1,"-",Tabela2[[#This Row],[Dt Venc:]]-TODAY())</f>
        <v>-</v>
      </c>
      <c r="G1460" s="3">
        <v>1</v>
      </c>
      <c r="H1460" s="3"/>
    </row>
    <row r="1461" spans="1:8" hidden="1">
      <c r="A1461" s="3">
        <v>12</v>
      </c>
      <c r="B1461" s="7" t="s">
        <v>103</v>
      </c>
      <c r="C1461" s="42">
        <v>930</v>
      </c>
      <c r="D1461" s="6">
        <v>45600</v>
      </c>
      <c r="E1461" s="3" t="str">
        <f ca="1">IF(Tabela2[[#This Row],[Dt Venc:]]&gt;TODAY(),"Em Aberto",IF(Tabela2[[#This Row],[D/venc]]="-","Enviado",IF(Tabela2[[#This Row],[Dt Venc:]]=TODAY(),"Vence Hoje","Vencida")))</f>
        <v>Enviado</v>
      </c>
      <c r="F1461" s="3" t="str">
        <f ca="1">IF(G1461=1,"-",Tabela2[[#This Row],[Dt Venc:]]-TODAY())</f>
        <v>-</v>
      </c>
      <c r="G1461" s="3">
        <v>1</v>
      </c>
      <c r="H1461" s="3"/>
    </row>
    <row r="1462" spans="1:8" hidden="1">
      <c r="A1462" s="3">
        <v>12999</v>
      </c>
      <c r="B1462" s="7" t="s">
        <v>400</v>
      </c>
      <c r="C1462" s="42">
        <v>260</v>
      </c>
      <c r="D1462" s="6">
        <v>45600</v>
      </c>
      <c r="E1462" s="3" t="str">
        <f ca="1">IF(Tabela2[[#This Row],[Dt Venc:]]&gt;TODAY(),"Em Aberto",IF(Tabela2[[#This Row],[D/venc]]="-","Enviado",IF(Tabela2[[#This Row],[Dt Venc:]]=TODAY(),"Vence Hoje","Vencida")))</f>
        <v>Enviado</v>
      </c>
      <c r="F1462" s="3" t="str">
        <f ca="1">IF(G1462=1,"-",Tabela2[[#This Row],[Dt Venc:]]-TODAY())</f>
        <v>-</v>
      </c>
      <c r="G1462" s="3">
        <v>1</v>
      </c>
      <c r="H1462" s="3"/>
    </row>
    <row r="1463" spans="1:8" hidden="1">
      <c r="A1463" s="3">
        <v>3266</v>
      </c>
      <c r="B1463" s="7" t="s">
        <v>347</v>
      </c>
      <c r="C1463" s="42">
        <v>289.89999999999998</v>
      </c>
      <c r="D1463" s="6">
        <v>45600</v>
      </c>
      <c r="E1463" s="3" t="str">
        <f ca="1">IF(Tabela2[[#This Row],[Dt Venc:]]&gt;TODAY(),"Em Aberto",IF(Tabela2[[#This Row],[D/venc]]="-","Enviado",IF(Tabela2[[#This Row],[Dt Venc:]]=TODAY(),"Vence Hoje","Vencida")))</f>
        <v>Enviado</v>
      </c>
      <c r="F1463" s="3" t="str">
        <f ca="1">IF(G1463=1,"-",Tabela2[[#This Row],[Dt Venc:]]-TODAY())</f>
        <v>-</v>
      </c>
      <c r="G1463" s="3">
        <v>1</v>
      </c>
      <c r="H1463" s="3"/>
    </row>
    <row r="1464" spans="1:8" hidden="1">
      <c r="A1464" s="3">
        <v>49772</v>
      </c>
      <c r="B1464" s="7" t="s">
        <v>117</v>
      </c>
      <c r="C1464" s="42">
        <v>630.65</v>
      </c>
      <c r="D1464" s="6">
        <v>45600</v>
      </c>
      <c r="E1464" s="3" t="str">
        <f ca="1">IF(Tabela2[[#This Row],[Dt Venc:]]&gt;TODAY(),"Em Aberto",IF(Tabela2[[#This Row],[D/venc]]="-","Enviado",IF(Tabela2[[#This Row],[Dt Venc:]]=TODAY(),"Vence Hoje","Vencida")))</f>
        <v>Enviado</v>
      </c>
      <c r="F1464" s="3" t="str">
        <f ca="1">IF(G1464=1,"-",Tabela2[[#This Row],[Dt Venc:]]-TODAY())</f>
        <v>-</v>
      </c>
      <c r="G1464" s="3">
        <v>1</v>
      </c>
      <c r="H1464" s="3"/>
    </row>
    <row r="1465" spans="1:8" hidden="1">
      <c r="A1465" s="3">
        <v>135535</v>
      </c>
      <c r="B1465" s="7" t="s">
        <v>197</v>
      </c>
      <c r="C1465" s="42">
        <v>158</v>
      </c>
      <c r="D1465" s="6">
        <v>45600</v>
      </c>
      <c r="E1465" s="3" t="str">
        <f ca="1">IF(Tabela2[[#This Row],[Dt Venc:]]&gt;TODAY(),"Em Aberto",IF(Tabela2[[#This Row],[D/venc]]="-","Enviado",IF(Tabela2[[#This Row],[Dt Venc:]]=TODAY(),"Vence Hoje","Vencida")))</f>
        <v>Enviado</v>
      </c>
      <c r="F1465" s="3" t="str">
        <f ca="1">IF(G1465=1,"-",Tabela2[[#This Row],[Dt Venc:]]-TODAY())</f>
        <v>-</v>
      </c>
      <c r="G1465" s="3">
        <v>1</v>
      </c>
      <c r="H1465" s="3"/>
    </row>
    <row r="1466" spans="1:8" hidden="1">
      <c r="A1466" s="3">
        <v>1454</v>
      </c>
      <c r="B1466" s="7" t="s">
        <v>369</v>
      </c>
      <c r="C1466" s="42">
        <v>420</v>
      </c>
      <c r="D1466" s="6">
        <v>45600</v>
      </c>
      <c r="E1466" s="3" t="str">
        <f ca="1">IF(Tabela2[[#This Row],[Dt Venc:]]&gt;TODAY(),"Em Aberto",IF(Tabela2[[#This Row],[D/venc]]="-","Enviado",IF(Tabela2[[#This Row],[Dt Venc:]]=TODAY(),"Vence Hoje","Vencida")))</f>
        <v>Enviado</v>
      </c>
      <c r="F1466" s="3" t="str">
        <f ca="1">IF(G1466=1,"-",Tabela2[[#This Row],[Dt Venc:]]-TODAY())</f>
        <v>-</v>
      </c>
      <c r="G1466" s="3">
        <v>1</v>
      </c>
      <c r="H1466" s="3"/>
    </row>
    <row r="1467" spans="1:8" hidden="1">
      <c r="A1467" s="3">
        <v>236156</v>
      </c>
      <c r="B1467" s="7" t="s">
        <v>43</v>
      </c>
      <c r="C1467" s="42">
        <v>726.45</v>
      </c>
      <c r="D1467" s="6">
        <v>45600</v>
      </c>
      <c r="E1467" s="3" t="str">
        <f ca="1">IF(Tabela2[[#This Row],[Dt Venc:]]&gt;TODAY(),"Em Aberto",IF(Tabela2[[#This Row],[D/venc]]="-","Enviado",IF(Tabela2[[#This Row],[Dt Venc:]]=TODAY(),"Vence Hoje","Vencida")))</f>
        <v>Enviado</v>
      </c>
      <c r="F1467" s="3" t="str">
        <f ca="1">IF(G1467=1,"-",Tabela2[[#This Row],[Dt Venc:]]-TODAY())</f>
        <v>-</v>
      </c>
      <c r="G1467" s="3">
        <v>1</v>
      </c>
      <c r="H1467" s="3"/>
    </row>
    <row r="1468" spans="1:8" hidden="1">
      <c r="A1468" s="3">
        <v>611038</v>
      </c>
      <c r="B1468" s="7" t="s">
        <v>66</v>
      </c>
      <c r="C1468" s="42">
        <v>678.27</v>
      </c>
      <c r="D1468" s="6">
        <v>45600</v>
      </c>
      <c r="E1468" s="3" t="str">
        <f ca="1">IF(Tabela2[[#This Row],[Dt Venc:]]&gt;TODAY(),"Em Aberto",IF(Tabela2[[#This Row],[D/venc]]="-","Enviado",IF(Tabela2[[#This Row],[Dt Venc:]]=TODAY(),"Vence Hoje","Vencida")))</f>
        <v>Enviado</v>
      </c>
      <c r="F1468" s="3" t="str">
        <f ca="1">IF(G1468=1,"-",Tabela2[[#This Row],[Dt Venc:]]-TODAY())</f>
        <v>-</v>
      </c>
      <c r="G1468" s="3">
        <v>1</v>
      </c>
      <c r="H1468" s="3"/>
    </row>
    <row r="1469" spans="1:8" hidden="1">
      <c r="A1469" s="3">
        <v>763926</v>
      </c>
      <c r="B1469" s="7" t="s">
        <v>79</v>
      </c>
      <c r="C1469" s="42">
        <v>1634.13</v>
      </c>
      <c r="D1469" s="6">
        <v>45600</v>
      </c>
      <c r="E1469" s="3" t="str">
        <f ca="1">IF(Tabela2[[#This Row],[Dt Venc:]]&gt;TODAY(),"Em Aberto",IF(Tabela2[[#This Row],[D/venc]]="-","Enviado",IF(Tabela2[[#This Row],[Dt Venc:]]=TODAY(),"Vence Hoje","Vencida")))</f>
        <v>Enviado</v>
      </c>
      <c r="F1469" s="3" t="str">
        <f ca="1">IF(G1469=1,"-",Tabela2[[#This Row],[Dt Venc:]]-TODAY())</f>
        <v>-</v>
      </c>
      <c r="G1469" s="3">
        <v>1</v>
      </c>
      <c r="H1469" s="3"/>
    </row>
    <row r="1470" spans="1:8" hidden="1">
      <c r="A1470" s="3">
        <v>44971</v>
      </c>
      <c r="B1470" s="7" t="s">
        <v>197</v>
      </c>
      <c r="C1470" s="42">
        <v>1233.3399999999999</v>
      </c>
      <c r="D1470" s="6">
        <v>45600</v>
      </c>
      <c r="E1470" s="3" t="str">
        <f ca="1">IF(Tabela2[[#This Row],[Dt Venc:]]&gt;TODAY(),"Em Aberto",IF(Tabela2[[#This Row],[D/venc]]="-","Enviado",IF(Tabela2[[#This Row],[Dt Venc:]]=TODAY(),"Vence Hoje","Vencida")))</f>
        <v>Enviado</v>
      </c>
      <c r="F1470" s="3" t="str">
        <f ca="1">IF(G1470=1,"-",Tabela2[[#This Row],[Dt Venc:]]-TODAY())</f>
        <v>-</v>
      </c>
      <c r="G1470" s="3">
        <v>1</v>
      </c>
      <c r="H1470" s="3"/>
    </row>
    <row r="1471" spans="1:8" hidden="1">
      <c r="A1471" s="3">
        <v>17190</v>
      </c>
      <c r="B1471" s="7" t="s">
        <v>203</v>
      </c>
      <c r="C1471" s="42">
        <v>877.5</v>
      </c>
      <c r="D1471" s="6">
        <v>45600</v>
      </c>
      <c r="E1471" s="3" t="str">
        <f ca="1">IF(Tabela2[[#This Row],[Dt Venc:]]&gt;TODAY(),"Em Aberto",IF(Tabela2[[#This Row],[D/venc]]="-","Enviado",IF(Tabela2[[#This Row],[Dt Venc:]]=TODAY(),"Vence Hoje","Vencida")))</f>
        <v>Enviado</v>
      </c>
      <c r="F1471" s="3" t="str">
        <f ca="1">IF(G1471=1,"-",Tabela2[[#This Row],[Dt Venc:]]-TODAY())</f>
        <v>-</v>
      </c>
      <c r="G1471" s="3">
        <v>1</v>
      </c>
      <c r="H1471" s="3"/>
    </row>
    <row r="1472" spans="1:8" hidden="1">
      <c r="A1472" s="3">
        <v>443312</v>
      </c>
      <c r="B1472" s="7" t="s">
        <v>59</v>
      </c>
      <c r="C1472" s="41">
        <v>55837</v>
      </c>
      <c r="D1472" s="6">
        <v>45600</v>
      </c>
      <c r="E1472" s="3" t="str">
        <f ca="1">IF(Tabela2[[#This Row],[Dt Venc:]]&gt;TODAY(),"Em Aberto",IF(Tabela2[[#This Row],[D/venc]]="-","Enviado",IF(Tabela2[[#This Row],[Dt Venc:]]=TODAY(),"Vence Hoje","Vencida")))</f>
        <v>Enviado</v>
      </c>
      <c r="F1472" s="3" t="str">
        <f ca="1">IF(G1472=1,"-",Tabela2[[#This Row],[Dt Venc:]]-TODAY())</f>
        <v>-</v>
      </c>
      <c r="G1472" s="3">
        <v>1</v>
      </c>
      <c r="H1472" s="3"/>
    </row>
    <row r="1473" spans="1:8" hidden="1">
      <c r="A1473" s="3">
        <v>9495</v>
      </c>
      <c r="B1473" s="7" t="s">
        <v>105</v>
      </c>
      <c r="C1473" s="41">
        <v>3750</v>
      </c>
      <c r="D1473" s="6">
        <v>45600</v>
      </c>
      <c r="E1473" s="3" t="str">
        <f ca="1">IF(Tabela2[[#This Row],[Dt Venc:]]&gt;TODAY(),"Em Aberto",IF(Tabela2[[#This Row],[D/venc]]="-","Enviado",IF(Tabela2[[#This Row],[Dt Venc:]]=TODAY(),"Vence Hoje","Vencida")))</f>
        <v>Enviado</v>
      </c>
      <c r="F1473" s="3" t="str">
        <f ca="1">IF(G1473=1,"-",Tabela2[[#This Row],[Dt Venc:]]-TODAY())</f>
        <v>-</v>
      </c>
      <c r="G1473" s="3">
        <v>1</v>
      </c>
      <c r="H1473" s="3"/>
    </row>
    <row r="1474" spans="1:8" hidden="1">
      <c r="A1474" s="3">
        <v>17191</v>
      </c>
      <c r="B1474" s="7" t="s">
        <v>401</v>
      </c>
      <c r="C1474" s="41">
        <v>800</v>
      </c>
      <c r="D1474" s="6">
        <v>45600</v>
      </c>
      <c r="E1474" s="3" t="str">
        <f ca="1">IF(Tabela2[[#This Row],[Dt Venc:]]&gt;TODAY(),"Em Aberto",IF(Tabela2[[#This Row],[D/venc]]="-","Enviado",IF(Tabela2[[#This Row],[Dt Venc:]]=TODAY(),"Vence Hoje","Vencida")))</f>
        <v>Enviado</v>
      </c>
      <c r="F1474" s="3" t="str">
        <f ca="1">IF(G1474=1,"-",Tabela2[[#This Row],[Dt Venc:]]-TODAY())</f>
        <v>-</v>
      </c>
      <c r="G1474" s="3">
        <v>1</v>
      </c>
      <c r="H1474" s="3"/>
    </row>
    <row r="1475" spans="1:8" hidden="1">
      <c r="A1475" s="3">
        <v>141203</v>
      </c>
      <c r="B1475" s="7" t="s">
        <v>60</v>
      </c>
      <c r="C1475" s="41">
        <v>390</v>
      </c>
      <c r="D1475" s="6">
        <v>45600</v>
      </c>
      <c r="E1475" s="3" t="str">
        <f ca="1">IF(Tabela2[[#This Row],[Dt Venc:]]&gt;TODAY(),"Em Aberto",IF(Tabela2[[#This Row],[D/venc]]="-","Enviado",IF(Tabela2[[#This Row],[Dt Venc:]]=TODAY(),"Vence Hoje","Vencida")))</f>
        <v>Enviado</v>
      </c>
      <c r="F1475" s="3" t="str">
        <f ca="1">IF(G1475=1,"-",Tabela2[[#This Row],[Dt Venc:]]-TODAY())</f>
        <v>-</v>
      </c>
      <c r="G1475" s="3">
        <v>1</v>
      </c>
      <c r="H1475" s="3"/>
    </row>
    <row r="1476" spans="1:8" hidden="1">
      <c r="A1476" s="3">
        <v>141204</v>
      </c>
      <c r="B1476" s="7" t="s">
        <v>60</v>
      </c>
      <c r="C1476" s="41">
        <v>390</v>
      </c>
      <c r="D1476" s="6">
        <v>45600</v>
      </c>
      <c r="E1476" s="3" t="str">
        <f ca="1">IF(Tabela2[[#This Row],[Dt Venc:]]&gt;TODAY(),"Em Aberto",IF(Tabela2[[#This Row],[D/venc]]="-","Enviado",IF(Tabela2[[#This Row],[Dt Venc:]]=TODAY(),"Vence Hoje","Vencida")))</f>
        <v>Enviado</v>
      </c>
      <c r="F1476" s="3" t="str">
        <f ca="1">IF(G1476=1,"-",Tabela2[[#This Row],[Dt Venc:]]-TODAY())</f>
        <v>-</v>
      </c>
      <c r="G1476" s="3">
        <v>1</v>
      </c>
      <c r="H1476" s="3"/>
    </row>
    <row r="1477" spans="1:8" hidden="1">
      <c r="A1477" s="3">
        <v>2805</v>
      </c>
      <c r="B1477" s="7" t="s">
        <v>301</v>
      </c>
      <c r="C1477" s="41">
        <v>1040</v>
      </c>
      <c r="D1477" s="6">
        <v>45600</v>
      </c>
      <c r="E1477" s="3" t="str">
        <f ca="1">IF(Tabela2[[#This Row],[Dt Venc:]]&gt;TODAY(),"Em Aberto",IF(Tabela2[[#This Row],[D/venc]]="-","Enviado",IF(Tabela2[[#This Row],[Dt Venc:]]=TODAY(),"Vence Hoje","Vencida")))</f>
        <v>Enviado</v>
      </c>
      <c r="F1477" s="3" t="str">
        <f ca="1">IF(G1477=1,"-",Tabela2[[#This Row],[Dt Venc:]]-TODAY())</f>
        <v>-</v>
      </c>
      <c r="G1477" s="3">
        <v>1</v>
      </c>
      <c r="H1477" s="3"/>
    </row>
    <row r="1478" spans="1:8" hidden="1">
      <c r="A1478" s="3">
        <v>12194</v>
      </c>
      <c r="B1478" s="7" t="s">
        <v>402</v>
      </c>
      <c r="C1478" s="41">
        <v>413.38</v>
      </c>
      <c r="D1478" s="6">
        <v>45600</v>
      </c>
      <c r="E1478" s="3" t="str">
        <f ca="1">IF(Tabela2[[#This Row],[Dt Venc:]]&gt;TODAY(),"Em Aberto",IF(Tabela2[[#This Row],[D/venc]]="-","Enviado",IF(Tabela2[[#This Row],[Dt Venc:]]=TODAY(),"Vence Hoje","Vencida")))</f>
        <v>Enviado</v>
      </c>
      <c r="F1478" s="3" t="str">
        <f ca="1">IF(G1478=1,"-",Tabela2[[#This Row],[Dt Venc:]]-TODAY())</f>
        <v>-</v>
      </c>
      <c r="G1478" s="3">
        <v>1</v>
      </c>
      <c r="H1478" s="3"/>
    </row>
    <row r="1479" spans="1:8" hidden="1">
      <c r="A1479" s="3">
        <v>10353</v>
      </c>
      <c r="B1479" s="7" t="s">
        <v>82</v>
      </c>
      <c r="C1479" s="84" t="s">
        <v>32</v>
      </c>
      <c r="D1479" s="6">
        <v>45601</v>
      </c>
      <c r="E1479" s="3" t="str">
        <f ca="1">IF(Tabela2[[#This Row],[Dt Venc:]]&gt;TODAY(),"Em Aberto",IF(Tabela2[[#This Row],[D/venc]]="-","Enviado",IF(Tabela2[[#This Row],[Dt Venc:]]=TODAY(),"Vence Hoje","Vencida")))</f>
        <v>Enviado</v>
      </c>
      <c r="F1479" s="3" t="str">
        <f ca="1">IF(G1479=1,"-",Tabela2[[#This Row],[Dt Venc:]]-TODAY())</f>
        <v>-</v>
      </c>
      <c r="G1479" s="3">
        <v>1</v>
      </c>
      <c r="H1479" s="3"/>
    </row>
    <row r="1480" spans="1:8" hidden="1">
      <c r="A1480" s="3">
        <v>5680</v>
      </c>
      <c r="B1480" s="7" t="s">
        <v>122</v>
      </c>
      <c r="C1480" s="84" t="s">
        <v>32</v>
      </c>
      <c r="D1480" s="6">
        <v>45601</v>
      </c>
      <c r="E1480" s="3" t="str">
        <f ca="1">IF(Tabela2[[#This Row],[Dt Venc:]]&gt;TODAY(),"Em Aberto",IF(Tabela2[[#This Row],[D/venc]]="-","Enviado",IF(Tabela2[[#This Row],[Dt Venc:]]=TODAY(),"Vence Hoje","Vencida")))</f>
        <v>Enviado</v>
      </c>
      <c r="F1480" s="3" t="str">
        <f ca="1">IF(G1480=1,"-",Tabela2[[#This Row],[Dt Venc:]]-TODAY())</f>
        <v>-</v>
      </c>
      <c r="G1480" s="3">
        <v>1</v>
      </c>
      <c r="H1480" s="3"/>
    </row>
    <row r="1481" spans="1:8" hidden="1">
      <c r="A1481" s="3">
        <v>10719</v>
      </c>
      <c r="B1481" s="7" t="s">
        <v>33</v>
      </c>
      <c r="C1481" s="42">
        <v>1293.33</v>
      </c>
      <c r="D1481" s="6">
        <v>45601</v>
      </c>
      <c r="E1481" s="3" t="str">
        <f ca="1">IF(Tabela2[[#This Row],[Dt Venc:]]&gt;TODAY(),"Em Aberto",IF(Tabela2[[#This Row],[D/venc]]="-","Enviado",IF(Tabela2[[#This Row],[Dt Venc:]]=TODAY(),"Vence Hoje","Vencida")))</f>
        <v>Enviado</v>
      </c>
      <c r="F1481" s="3" t="str">
        <f ca="1">IF(G1481=1,"-",Tabela2[[#This Row],[Dt Venc:]]-TODAY())</f>
        <v>-</v>
      </c>
      <c r="G1481" s="3">
        <v>1</v>
      </c>
      <c r="H1481" s="3"/>
    </row>
    <row r="1482" spans="1:8" hidden="1">
      <c r="A1482" s="3" t="s">
        <v>123</v>
      </c>
      <c r="B1482" s="7" t="s">
        <v>124</v>
      </c>
      <c r="C1482" s="84" t="s">
        <v>32</v>
      </c>
      <c r="D1482" s="6">
        <v>45601</v>
      </c>
      <c r="E1482" s="3" t="str">
        <f ca="1">IF(Tabela2[[#This Row],[Dt Venc:]]&gt;TODAY(),"Em Aberto",IF(Tabela2[[#This Row],[D/venc]]="-","Enviado",IF(Tabela2[[#This Row],[Dt Venc:]]=TODAY(),"Vence Hoje","Vencida")))</f>
        <v>Enviado</v>
      </c>
      <c r="F1482" s="3" t="str">
        <f ca="1">IF(G1482=1,"-",Tabela2[[#This Row],[Dt Venc:]]-TODAY())</f>
        <v>-</v>
      </c>
      <c r="G1482" s="3">
        <v>1</v>
      </c>
      <c r="H1482" s="3"/>
    </row>
    <row r="1483" spans="1:8" hidden="1">
      <c r="A1483" s="3">
        <v>389162</v>
      </c>
      <c r="B1483" s="7" t="s">
        <v>136</v>
      </c>
      <c r="C1483" s="42">
        <v>1870</v>
      </c>
      <c r="D1483" s="6">
        <v>45601</v>
      </c>
      <c r="E1483" s="3" t="str">
        <f ca="1">IF(Tabela2[[#This Row],[Dt Venc:]]&gt;TODAY(),"Em Aberto",IF(Tabela2[[#This Row],[D/venc]]="-","Enviado",IF(Tabela2[[#This Row],[Dt Venc:]]=TODAY(),"Vence Hoje","Vencida")))</f>
        <v>Enviado</v>
      </c>
      <c r="F1483" s="3" t="str">
        <f ca="1">IF(G1483=1,"-",Tabela2[[#This Row],[Dt Venc:]]-TODAY())</f>
        <v>-</v>
      </c>
      <c r="G1483" s="3">
        <v>1</v>
      </c>
      <c r="H1483" s="3"/>
    </row>
    <row r="1484" spans="1:8" hidden="1">
      <c r="A1484" s="3">
        <v>1411</v>
      </c>
      <c r="B1484" s="7" t="s">
        <v>78</v>
      </c>
      <c r="C1484" s="42">
        <v>326.60000000000002</v>
      </c>
      <c r="D1484" s="6">
        <v>45601</v>
      </c>
      <c r="E1484" s="3" t="str">
        <f ca="1">IF(Tabela2[[#This Row],[Dt Venc:]]&gt;TODAY(),"Em Aberto",IF(Tabela2[[#This Row],[D/venc]]="-","Enviado",IF(Tabela2[[#This Row],[Dt Venc:]]=TODAY(),"Vence Hoje","Vencida")))</f>
        <v>Enviado</v>
      </c>
      <c r="F1484" s="3" t="str">
        <f ca="1">IF(G1484=1,"-",Tabela2[[#This Row],[Dt Venc:]]-TODAY())</f>
        <v>-</v>
      </c>
      <c r="G1484" s="3">
        <v>1</v>
      </c>
      <c r="H1484" s="3"/>
    </row>
    <row r="1485" spans="1:8" hidden="1">
      <c r="A1485" s="3">
        <v>29426</v>
      </c>
      <c r="B1485" s="7" t="s">
        <v>97</v>
      </c>
      <c r="C1485" s="42">
        <v>3250</v>
      </c>
      <c r="D1485" s="6">
        <v>45601</v>
      </c>
      <c r="E1485" s="3" t="str">
        <f ca="1">IF(Tabela2[[#This Row],[Dt Venc:]]&gt;TODAY(),"Em Aberto",IF(Tabela2[[#This Row],[D/venc]]="-","Enviado",IF(Tabela2[[#This Row],[Dt Venc:]]=TODAY(),"Vence Hoje","Vencida")))</f>
        <v>Enviado</v>
      </c>
      <c r="F1485" s="3" t="str">
        <f ca="1">IF(G1485=1,"-",Tabela2[[#This Row],[Dt Venc:]]-TODAY())</f>
        <v>-</v>
      </c>
      <c r="G1485" s="3">
        <v>1</v>
      </c>
      <c r="H1485" s="3"/>
    </row>
    <row r="1486" spans="1:8" hidden="1">
      <c r="A1486" s="3">
        <v>69226</v>
      </c>
      <c r="B1486" s="7" t="s">
        <v>76</v>
      </c>
      <c r="C1486" s="42">
        <v>390.33</v>
      </c>
      <c r="D1486" s="6">
        <v>45601</v>
      </c>
      <c r="E1486" s="3" t="str">
        <f ca="1">IF(Tabela2[[#This Row],[Dt Venc:]]&gt;TODAY(),"Em Aberto",IF(Tabela2[[#This Row],[D/venc]]="-","Enviado",IF(Tabela2[[#This Row],[Dt Venc:]]=TODAY(),"Vence Hoje","Vencida")))</f>
        <v>Enviado</v>
      </c>
      <c r="F1486" s="3" t="str">
        <f ca="1">IF(G1486=1,"-",Tabela2[[#This Row],[Dt Venc:]]-TODAY())</f>
        <v>-</v>
      </c>
      <c r="G1486" s="3">
        <v>1</v>
      </c>
      <c r="H1486" s="3"/>
    </row>
    <row r="1487" spans="1:8" hidden="1">
      <c r="A1487" s="3">
        <v>179599</v>
      </c>
      <c r="B1487" s="7" t="s">
        <v>84</v>
      </c>
      <c r="C1487" s="42">
        <v>1253.72</v>
      </c>
      <c r="D1487" s="6">
        <v>45601</v>
      </c>
      <c r="E1487" s="3" t="str">
        <f ca="1">IF(Tabela2[[#This Row],[Dt Venc:]]&gt;TODAY(),"Em Aberto",IF(Tabela2[[#This Row],[D/venc]]="-","Enviado",IF(Tabela2[[#This Row],[Dt Venc:]]=TODAY(),"Vence Hoje","Vencida")))</f>
        <v>Enviado</v>
      </c>
      <c r="F1487" s="3" t="str">
        <f ca="1">IF(G1487=1,"-",Tabela2[[#This Row],[Dt Venc:]]-TODAY())</f>
        <v>-</v>
      </c>
      <c r="G1487" s="3">
        <v>1</v>
      </c>
      <c r="H1487" s="3"/>
    </row>
    <row r="1488" spans="1:8" hidden="1">
      <c r="A1488" s="3">
        <v>208910</v>
      </c>
      <c r="B1488" s="7" t="s">
        <v>43</v>
      </c>
      <c r="C1488" s="42">
        <v>987.12</v>
      </c>
      <c r="D1488" s="6">
        <v>45601</v>
      </c>
      <c r="E1488" s="3" t="str">
        <f ca="1">IF(Tabela2[[#This Row],[Dt Venc:]]&gt;TODAY(),"Em Aberto",IF(Tabela2[[#This Row],[D/venc]]="-","Enviado",IF(Tabela2[[#This Row],[Dt Venc:]]=TODAY(),"Vence Hoje","Vencida")))</f>
        <v>Enviado</v>
      </c>
      <c r="F1488" s="3" t="str">
        <f ca="1">IF(G1488=1,"-",Tabela2[[#This Row],[Dt Venc:]]-TODAY())</f>
        <v>-</v>
      </c>
      <c r="G1488" s="3">
        <v>1</v>
      </c>
      <c r="H1488" s="3"/>
    </row>
    <row r="1489" spans="1:8" hidden="1">
      <c r="A1489" s="3">
        <v>209020</v>
      </c>
      <c r="B1489" s="7" t="s">
        <v>43</v>
      </c>
      <c r="C1489" s="42">
        <v>813.4</v>
      </c>
      <c r="D1489" s="6">
        <v>45601</v>
      </c>
      <c r="E1489" s="3" t="str">
        <f ca="1">IF(Tabela2[[#This Row],[Dt Venc:]]&gt;TODAY(),"Em Aberto",IF(Tabela2[[#This Row],[D/venc]]="-","Enviado",IF(Tabela2[[#This Row],[Dt Venc:]]=TODAY(),"Vence Hoje","Vencida")))</f>
        <v>Enviado</v>
      </c>
      <c r="F1489" s="3" t="str">
        <f ca="1">IF(G1489=1,"-",Tabela2[[#This Row],[Dt Venc:]]-TODAY())</f>
        <v>-</v>
      </c>
      <c r="G1489" s="3">
        <v>1</v>
      </c>
      <c r="H1489" s="3"/>
    </row>
    <row r="1490" spans="1:8" hidden="1">
      <c r="A1490" s="3" t="s">
        <v>110</v>
      </c>
      <c r="B1490" s="7" t="s">
        <v>126</v>
      </c>
      <c r="C1490" s="42" t="s">
        <v>32</v>
      </c>
      <c r="D1490" s="6">
        <v>45601</v>
      </c>
      <c r="E1490" s="3" t="str">
        <f ca="1">IF(Tabela2[[#This Row],[Dt Venc:]]&gt;TODAY(),"Em Aberto",IF(Tabela2[[#This Row],[D/venc]]="-","Enviado",IF(Tabela2[[#This Row],[Dt Venc:]]=TODAY(),"Vence Hoje","Vencida")))</f>
        <v>Enviado</v>
      </c>
      <c r="F1490" s="3" t="str">
        <f ca="1">IF(G1490=1,"-",Tabela2[[#This Row],[Dt Venc:]]-TODAY())</f>
        <v>-</v>
      </c>
      <c r="G1490" s="3">
        <v>1</v>
      </c>
      <c r="H1490" s="3"/>
    </row>
    <row r="1491" spans="1:8" hidden="1">
      <c r="A1491" s="3">
        <v>187280</v>
      </c>
      <c r="B1491" s="7" t="s">
        <v>128</v>
      </c>
      <c r="C1491" s="42">
        <v>1244.06</v>
      </c>
      <c r="D1491" s="6">
        <v>45601</v>
      </c>
      <c r="E1491" s="3" t="str">
        <f ca="1">IF(Tabela2[[#This Row],[Dt Venc:]]&gt;TODAY(),"Em Aberto",IF(Tabela2[[#This Row],[D/venc]]="-","Enviado",IF(Tabela2[[#This Row],[Dt Venc:]]=TODAY(),"Vence Hoje","Vencida")))</f>
        <v>Enviado</v>
      </c>
      <c r="F1491" s="3" t="str">
        <f ca="1">IF(G1491=1,"-",Tabela2[[#This Row],[Dt Venc:]]-TODAY())</f>
        <v>-</v>
      </c>
      <c r="G1491" s="3">
        <v>1</v>
      </c>
      <c r="H1491" s="3"/>
    </row>
    <row r="1492" spans="1:8" hidden="1">
      <c r="A1492" s="3">
        <v>151960</v>
      </c>
      <c r="B1492" s="7" t="s">
        <v>77</v>
      </c>
      <c r="C1492" s="42">
        <v>433.33</v>
      </c>
      <c r="D1492" s="6">
        <v>45601</v>
      </c>
      <c r="E1492" s="3" t="str">
        <f ca="1">IF(Tabela2[[#This Row],[Dt Venc:]]&gt;TODAY(),"Em Aberto",IF(Tabela2[[#This Row],[D/venc]]="-","Enviado",IF(Tabela2[[#This Row],[Dt Venc:]]=TODAY(),"Vence Hoje","Vencida")))</f>
        <v>Enviado</v>
      </c>
      <c r="F1492" s="3" t="str">
        <f ca="1">IF(G1492=1,"-",Tabela2[[#This Row],[Dt Venc:]]-TODAY())</f>
        <v>-</v>
      </c>
      <c r="G1492" s="3">
        <v>1</v>
      </c>
      <c r="H1492" s="3"/>
    </row>
    <row r="1493" spans="1:8" hidden="1">
      <c r="A1493" s="3">
        <v>855</v>
      </c>
      <c r="B1493" s="7" t="s">
        <v>91</v>
      </c>
      <c r="C1493" s="42">
        <v>305</v>
      </c>
      <c r="D1493" s="6">
        <v>45601</v>
      </c>
      <c r="E1493" s="3" t="str">
        <f ca="1">IF(Tabela2[[#This Row],[Dt Venc:]]&gt;TODAY(),"Em Aberto",IF(Tabela2[[#This Row],[D/venc]]="-","Enviado",IF(Tabela2[[#This Row],[Dt Venc:]]=TODAY(),"Vence Hoje","Vencida")))</f>
        <v>Enviado</v>
      </c>
      <c r="F1493" s="3" t="str">
        <f ca="1">IF(G1493=1,"-",Tabela2[[#This Row],[Dt Venc:]]-TODAY())</f>
        <v>-</v>
      </c>
      <c r="G1493" s="3">
        <v>1</v>
      </c>
      <c r="H1493" s="3"/>
    </row>
    <row r="1494" spans="1:8" hidden="1">
      <c r="A1494" s="3">
        <v>2428</v>
      </c>
      <c r="B1494" s="7" t="s">
        <v>91</v>
      </c>
      <c r="C1494" s="42">
        <v>226.66</v>
      </c>
      <c r="D1494" s="6">
        <v>45601</v>
      </c>
      <c r="E1494" s="3" t="str">
        <f ca="1">IF(Tabela2[[#This Row],[Dt Venc:]]&gt;TODAY(),"Em Aberto",IF(Tabela2[[#This Row],[D/venc]]="-","Enviado",IF(Tabela2[[#This Row],[Dt Venc:]]=TODAY(),"Vence Hoje","Vencida")))</f>
        <v>Enviado</v>
      </c>
      <c r="F1494" s="3" t="str">
        <f ca="1">IF(G1494=1,"-",Tabela2[[#This Row],[Dt Venc:]]-TODAY())</f>
        <v>-</v>
      </c>
      <c r="G1494" s="3">
        <v>1</v>
      </c>
      <c r="H1494" s="3"/>
    </row>
    <row r="1495" spans="1:8" hidden="1">
      <c r="A1495" s="3">
        <v>3195</v>
      </c>
      <c r="B1495" s="7" t="s">
        <v>114</v>
      </c>
      <c r="C1495" s="42">
        <v>160</v>
      </c>
      <c r="D1495" s="6">
        <v>45601</v>
      </c>
      <c r="E1495" s="3" t="str">
        <f ca="1">IF(Tabela2[[#This Row],[Dt Venc:]]&gt;TODAY(),"Em Aberto",IF(Tabela2[[#This Row],[D/venc]]="-","Enviado",IF(Tabela2[[#This Row],[Dt Venc:]]=TODAY(),"Vence Hoje","Vencida")))</f>
        <v>Enviado</v>
      </c>
      <c r="F1495" s="3" t="str">
        <f ca="1">IF(G1495=1,"-",Tabela2[[#This Row],[Dt Venc:]]-TODAY())</f>
        <v>-</v>
      </c>
      <c r="G1495" s="3">
        <v>1</v>
      </c>
      <c r="H1495" s="3"/>
    </row>
    <row r="1496" spans="1:8" hidden="1">
      <c r="A1496" s="3">
        <v>9897</v>
      </c>
      <c r="B1496" s="7" t="s">
        <v>72</v>
      </c>
      <c r="C1496" s="42">
        <v>526.66999999999996</v>
      </c>
      <c r="D1496" s="6">
        <v>45601</v>
      </c>
      <c r="E1496" s="3" t="str">
        <f ca="1">IF(Tabela2[[#This Row],[Dt Venc:]]&gt;TODAY(),"Em Aberto",IF(Tabela2[[#This Row],[D/venc]]="-","Enviado",IF(Tabela2[[#This Row],[Dt Venc:]]=TODAY(),"Vence Hoje","Vencida")))</f>
        <v>Enviado</v>
      </c>
      <c r="F1496" s="3" t="str">
        <f ca="1">IF(G1496=1,"-",Tabela2[[#This Row],[Dt Venc:]]-TODAY())</f>
        <v>-</v>
      </c>
      <c r="G1496" s="3">
        <v>1</v>
      </c>
      <c r="H1496" s="3"/>
    </row>
    <row r="1497" spans="1:8" hidden="1">
      <c r="A1497" s="3">
        <v>3015</v>
      </c>
      <c r="B1497" s="7" t="s">
        <v>129</v>
      </c>
      <c r="C1497" s="42">
        <v>1054</v>
      </c>
      <c r="D1497" s="6">
        <v>45601</v>
      </c>
      <c r="E1497" s="3" t="str">
        <f ca="1">IF(Tabela2[[#This Row],[Dt Venc:]]&gt;TODAY(),"Em Aberto",IF(Tabela2[[#This Row],[D/venc]]="-","Enviado",IF(Tabela2[[#This Row],[Dt Venc:]]=TODAY(),"Vence Hoje","Vencida")))</f>
        <v>Enviado</v>
      </c>
      <c r="F1497" s="3" t="str">
        <f ca="1">IF(G1497=1,"-",Tabela2[[#This Row],[Dt Venc:]]-TODAY())</f>
        <v>-</v>
      </c>
      <c r="G1497" s="3">
        <v>1</v>
      </c>
      <c r="H1497" s="3"/>
    </row>
    <row r="1498" spans="1:8" hidden="1">
      <c r="A1498" s="3">
        <v>1132</v>
      </c>
      <c r="B1498" s="7" t="s">
        <v>130</v>
      </c>
      <c r="C1498" s="42">
        <v>2455</v>
      </c>
      <c r="D1498" s="6">
        <v>45601</v>
      </c>
      <c r="E1498" s="3" t="str">
        <f ca="1">IF(Tabela2[[#This Row],[Dt Venc:]]&gt;TODAY(),"Em Aberto",IF(Tabela2[[#This Row],[D/venc]]="-","Enviado",IF(Tabela2[[#This Row],[Dt Venc:]]=TODAY(),"Vence Hoje","Vencida")))</f>
        <v>Enviado</v>
      </c>
      <c r="F1498" s="3" t="str">
        <f ca="1">IF(G1498=1,"-",Tabela2[[#This Row],[Dt Venc:]]-TODAY())</f>
        <v>-</v>
      </c>
      <c r="G1498" s="3">
        <v>1</v>
      </c>
      <c r="H1498" s="3"/>
    </row>
    <row r="1499" spans="1:8" hidden="1">
      <c r="A1499" s="3">
        <v>151969</v>
      </c>
      <c r="B1499" s="7" t="s">
        <v>77</v>
      </c>
      <c r="C1499" s="42">
        <v>50</v>
      </c>
      <c r="D1499" s="6">
        <v>45601</v>
      </c>
      <c r="E1499" s="3" t="str">
        <f ca="1">IF(Tabela2[[#This Row],[Dt Venc:]]&gt;TODAY(),"Em Aberto",IF(Tabela2[[#This Row],[D/venc]]="-","Enviado",IF(Tabela2[[#This Row],[Dt Venc:]]=TODAY(),"Vence Hoje","Vencida")))</f>
        <v>Enviado</v>
      </c>
      <c r="F1499" s="3" t="str">
        <f ca="1">IF(G1499=1,"-",Tabela2[[#This Row],[Dt Venc:]]-TODAY())</f>
        <v>-</v>
      </c>
      <c r="G1499" s="3">
        <v>1</v>
      </c>
      <c r="H1499" s="3"/>
    </row>
    <row r="1500" spans="1:8" hidden="1">
      <c r="A1500" s="3">
        <v>151963</v>
      </c>
      <c r="B1500" s="7" t="s">
        <v>77</v>
      </c>
      <c r="C1500" s="42">
        <v>1383.33</v>
      </c>
      <c r="D1500" s="6">
        <v>45601</v>
      </c>
      <c r="E1500" s="3" t="str">
        <f ca="1">IF(Tabela2[[#This Row],[Dt Venc:]]&gt;TODAY(),"Em Aberto",IF(Tabela2[[#This Row],[D/venc]]="-","Enviado",IF(Tabela2[[#This Row],[Dt Venc:]]=TODAY(),"Vence Hoje","Vencida")))</f>
        <v>Enviado</v>
      </c>
      <c r="F1500" s="3" t="str">
        <f ca="1">IF(G1500=1,"-",Tabela2[[#This Row],[Dt Venc:]]-TODAY())</f>
        <v>-</v>
      </c>
      <c r="G1500" s="3">
        <v>1</v>
      </c>
      <c r="H1500" s="3"/>
    </row>
    <row r="1501" spans="1:8" hidden="1">
      <c r="A1501" s="3">
        <v>219553</v>
      </c>
      <c r="B1501" s="7" t="s">
        <v>127</v>
      </c>
      <c r="C1501" s="42">
        <v>372.58</v>
      </c>
      <c r="D1501" s="6">
        <v>45601</v>
      </c>
      <c r="E1501" s="3" t="str">
        <f ca="1">IF(Tabela2[[#This Row],[Dt Venc:]]&gt;TODAY(),"Em Aberto",IF(Tabela2[[#This Row],[D/venc]]="-","Enviado",IF(Tabela2[[#This Row],[Dt Venc:]]=TODAY(),"Vence Hoje","Vencida")))</f>
        <v>Enviado</v>
      </c>
      <c r="F1501" s="3" t="str">
        <f ca="1">IF(G1501=1,"-",Tabela2[[#This Row],[Dt Venc:]]-TODAY())</f>
        <v>-</v>
      </c>
      <c r="G1501" s="3">
        <v>1</v>
      </c>
      <c r="H1501" s="3"/>
    </row>
    <row r="1502" spans="1:8" hidden="1">
      <c r="A1502" s="3">
        <v>3143</v>
      </c>
      <c r="B1502" s="7" t="s">
        <v>129</v>
      </c>
      <c r="C1502" s="42">
        <v>1249.5</v>
      </c>
      <c r="D1502" s="6">
        <v>45601</v>
      </c>
      <c r="E1502" s="3" t="str">
        <f ca="1">IF(Tabela2[[#This Row],[Dt Venc:]]&gt;TODAY(),"Em Aberto",IF(Tabela2[[#This Row],[D/venc]]="-","Enviado",IF(Tabela2[[#This Row],[Dt Venc:]]=TODAY(),"Vence Hoje","Vencida")))</f>
        <v>Enviado</v>
      </c>
      <c r="F1502" s="3" t="str">
        <f ca="1">IF(G1502=1,"-",Tabela2[[#This Row],[Dt Venc:]]-TODAY())</f>
        <v>-</v>
      </c>
      <c r="G1502" s="3">
        <v>1</v>
      </c>
      <c r="H1502" s="3"/>
    </row>
    <row r="1503" spans="1:8" hidden="1">
      <c r="A1503" s="3">
        <v>10537</v>
      </c>
      <c r="B1503" s="7" t="s">
        <v>131</v>
      </c>
      <c r="C1503" s="42">
        <v>756.66</v>
      </c>
      <c r="D1503" s="6">
        <v>45601</v>
      </c>
      <c r="E1503" s="3" t="str">
        <f ca="1">IF(Tabela2[[#This Row],[Dt Venc:]]&gt;TODAY(),"Em Aberto",IF(Tabela2[[#This Row],[D/venc]]="-","Enviado",IF(Tabela2[[#This Row],[Dt Venc:]]=TODAY(),"Vence Hoje","Vencida")))</f>
        <v>Enviado</v>
      </c>
      <c r="F1503" s="3" t="str">
        <f ca="1">IF(G1503=1,"-",Tabela2[[#This Row],[Dt Venc:]]-TODAY())</f>
        <v>-</v>
      </c>
      <c r="G1503" s="3">
        <v>1</v>
      </c>
      <c r="H1503" s="3"/>
    </row>
    <row r="1504" spans="1:8" hidden="1">
      <c r="A1504" s="3">
        <v>152665</v>
      </c>
      <c r="B1504" s="7" t="s">
        <v>77</v>
      </c>
      <c r="C1504" s="42">
        <v>773.33</v>
      </c>
      <c r="D1504" s="6">
        <v>45601</v>
      </c>
      <c r="E1504" s="3" t="str">
        <f ca="1">IF(Tabela2[[#This Row],[Dt Venc:]]&gt;TODAY(),"Em Aberto",IF(Tabela2[[#This Row],[D/venc]]="-","Enviado",IF(Tabela2[[#This Row],[Dt Venc:]]=TODAY(),"Vence Hoje","Vencida")))</f>
        <v>Enviado</v>
      </c>
      <c r="F1504" s="3" t="str">
        <f ca="1">IF(G1504=1,"-",Tabela2[[#This Row],[Dt Venc:]]-TODAY())</f>
        <v>-</v>
      </c>
      <c r="G1504" s="3">
        <v>1</v>
      </c>
      <c r="H1504" s="3"/>
    </row>
    <row r="1505" spans="1:8" hidden="1">
      <c r="A1505" s="3">
        <v>180605</v>
      </c>
      <c r="B1505" s="7" t="s">
        <v>42</v>
      </c>
      <c r="C1505" s="42">
        <v>447.79</v>
      </c>
      <c r="D1505" s="6">
        <v>45601</v>
      </c>
      <c r="E1505" s="3" t="str">
        <f ca="1">IF(Tabela2[[#This Row],[Dt Venc:]]&gt;TODAY(),"Em Aberto",IF(Tabela2[[#This Row],[D/venc]]="-","Enviado",IF(Tabela2[[#This Row],[Dt Venc:]]=TODAY(),"Vence Hoje","Vencida")))</f>
        <v>Enviado</v>
      </c>
      <c r="F1505" s="3" t="str">
        <f ca="1">IF(G1505=1,"-",Tabela2[[#This Row],[Dt Venc:]]-TODAY())</f>
        <v>-</v>
      </c>
      <c r="G1505" s="3">
        <v>1</v>
      </c>
      <c r="H1505" s="3"/>
    </row>
    <row r="1506" spans="1:8" hidden="1">
      <c r="A1506" s="72">
        <v>222452</v>
      </c>
      <c r="B1506" s="7" t="s">
        <v>43</v>
      </c>
      <c r="C1506" s="42">
        <v>845.31</v>
      </c>
      <c r="D1506" s="6">
        <v>45601</v>
      </c>
      <c r="E1506" s="3" t="str">
        <f ca="1">IF(Tabela2[[#This Row],[Dt Venc:]]&gt;TODAY(),"Em Aberto",IF(Tabela2[[#This Row],[D/venc]]="-","Enviado",IF(Tabela2[[#This Row],[Dt Venc:]]=TODAY(),"Vence Hoje","Vencida")))</f>
        <v>Enviado</v>
      </c>
      <c r="F1506" s="3" t="str">
        <f ca="1">IF(G1506=1,"-",Tabela2[[#This Row],[Dt Venc:]]-TODAY())</f>
        <v>-</v>
      </c>
      <c r="G1506" s="3">
        <v>1</v>
      </c>
      <c r="H1506" s="3"/>
    </row>
    <row r="1507" spans="1:8" hidden="1">
      <c r="A1507" s="3">
        <v>147449</v>
      </c>
      <c r="B1507" s="7" t="s">
        <v>79</v>
      </c>
      <c r="C1507" s="42">
        <v>1611.84</v>
      </c>
      <c r="D1507" s="6">
        <v>45601</v>
      </c>
      <c r="E1507" s="3" t="str">
        <f ca="1">IF(Tabela2[[#This Row],[Dt Venc:]]&gt;TODAY(),"Em Aberto",IF(Tabela2[[#This Row],[D/venc]]="-","Enviado",IF(Tabela2[[#This Row],[Dt Venc:]]=TODAY(),"Vence Hoje","Vencida")))</f>
        <v>Enviado</v>
      </c>
      <c r="F1507" s="3" t="str">
        <f ca="1">IF(G1507=1,"-",Tabela2[[#This Row],[Dt Venc:]]-TODAY())</f>
        <v>-</v>
      </c>
      <c r="G1507" s="3">
        <v>1</v>
      </c>
      <c r="H1507" s="3"/>
    </row>
    <row r="1508" spans="1:8" hidden="1">
      <c r="A1508" s="3">
        <v>5839</v>
      </c>
      <c r="B1508" s="7" t="s">
        <v>133</v>
      </c>
      <c r="C1508" s="42">
        <v>1246.4000000000001</v>
      </c>
      <c r="D1508" s="6">
        <v>45601</v>
      </c>
      <c r="E1508" s="3" t="str">
        <f ca="1">IF(Tabela2[[#This Row],[Dt Venc:]]&gt;TODAY(),"Em Aberto",IF(Tabela2[[#This Row],[D/venc]]="-","Enviado",IF(Tabela2[[#This Row],[Dt Venc:]]=TODAY(),"Vence Hoje","Vencida")))</f>
        <v>Enviado</v>
      </c>
      <c r="F1508" s="3" t="str">
        <f ca="1">IF(G1508=1,"-",Tabela2[[#This Row],[Dt Venc:]]-TODAY())</f>
        <v>-</v>
      </c>
      <c r="G1508" s="3">
        <v>1</v>
      </c>
      <c r="H1508" s="3"/>
    </row>
    <row r="1509" spans="1:8" hidden="1">
      <c r="A1509" s="3">
        <v>228266</v>
      </c>
      <c r="B1509" s="7" t="s">
        <v>40</v>
      </c>
      <c r="C1509" s="42">
        <v>400</v>
      </c>
      <c r="D1509" s="6">
        <v>45601</v>
      </c>
      <c r="E1509" s="3" t="str">
        <f ca="1">IF(Tabela2[[#This Row],[Dt Venc:]]&gt;TODAY(),"Em Aberto",IF(Tabela2[[#This Row],[D/venc]]="-","Enviado",IF(Tabela2[[#This Row],[Dt Venc:]]=TODAY(),"Vence Hoje","Vencida")))</f>
        <v>Enviado</v>
      </c>
      <c r="F1509" s="3" t="str">
        <f ca="1">IF(G1509=1,"-",Tabela2[[#This Row],[Dt Venc:]]-TODAY())</f>
        <v>-</v>
      </c>
      <c r="G1509" s="3">
        <v>1</v>
      </c>
      <c r="H1509" s="3"/>
    </row>
    <row r="1510" spans="1:8" hidden="1">
      <c r="A1510" s="3">
        <v>3279209</v>
      </c>
      <c r="B1510" s="7" t="s">
        <v>71</v>
      </c>
      <c r="C1510" s="42">
        <v>2153.92</v>
      </c>
      <c r="D1510" s="6">
        <v>45601</v>
      </c>
      <c r="E1510" s="3" t="str">
        <f ca="1">IF(Tabela2[[#This Row],[Dt Venc:]]&gt;TODAY(),"Em Aberto",IF(Tabela2[[#This Row],[D/venc]]="-","Enviado",IF(Tabela2[[#This Row],[Dt Venc:]]=TODAY(),"Vence Hoje","Vencida")))</f>
        <v>Enviado</v>
      </c>
      <c r="F1510" s="3" t="str">
        <f ca="1">IF(G1510=1,"-",Tabela2[[#This Row],[Dt Venc:]]-TODAY())</f>
        <v>-</v>
      </c>
      <c r="G1510" s="3">
        <v>1</v>
      </c>
      <c r="H1510" s="3"/>
    </row>
    <row r="1511" spans="1:8" hidden="1">
      <c r="A1511" s="3">
        <v>5833</v>
      </c>
      <c r="B1511" s="7" t="s">
        <v>47</v>
      </c>
      <c r="C1511" s="42">
        <v>599.70000000000005</v>
      </c>
      <c r="D1511" s="6">
        <v>45601</v>
      </c>
      <c r="E1511" s="3" t="str">
        <f ca="1">IF(Tabela2[[#This Row],[Dt Venc:]]&gt;TODAY(),"Em Aberto",IF(Tabela2[[#This Row],[D/venc]]="-","Enviado",IF(Tabela2[[#This Row],[Dt Venc:]]=TODAY(),"Vence Hoje","Vencida")))</f>
        <v>Enviado</v>
      </c>
      <c r="F1511" s="3" t="str">
        <f ca="1">IF(G1511=1,"-",Tabela2[[#This Row],[Dt Venc:]]-TODAY())</f>
        <v>-</v>
      </c>
      <c r="G1511" s="3">
        <v>1</v>
      </c>
      <c r="H1511" s="3"/>
    </row>
    <row r="1512" spans="1:8" hidden="1">
      <c r="A1512" s="3">
        <v>5838</v>
      </c>
      <c r="B1512" s="7" t="s">
        <v>47</v>
      </c>
      <c r="C1512" s="42">
        <v>684.67</v>
      </c>
      <c r="D1512" s="6">
        <v>45601</v>
      </c>
      <c r="E1512" s="3" t="str">
        <f ca="1">IF(Tabela2[[#This Row],[Dt Venc:]]&gt;TODAY(),"Em Aberto",IF(Tabela2[[#This Row],[D/venc]]="-","Enviado",IF(Tabela2[[#This Row],[Dt Venc:]]=TODAY(),"Vence Hoje","Vencida")))</f>
        <v>Enviado</v>
      </c>
      <c r="F1512" s="3" t="str">
        <f ca="1">IF(G1512=1,"-",Tabela2[[#This Row],[Dt Venc:]]-TODAY())</f>
        <v>-</v>
      </c>
      <c r="G1512" s="3">
        <v>1</v>
      </c>
      <c r="H1512" s="3"/>
    </row>
    <row r="1513" spans="1:8" hidden="1">
      <c r="A1513" s="3">
        <v>10520</v>
      </c>
      <c r="B1513" s="7" t="s">
        <v>72</v>
      </c>
      <c r="C1513" s="42">
        <v>440</v>
      </c>
      <c r="D1513" s="6">
        <v>45601</v>
      </c>
      <c r="E1513" s="3" t="str">
        <f ca="1">IF(Tabela2[[#This Row],[Dt Venc:]]&gt;TODAY(),"Em Aberto",IF(Tabela2[[#This Row],[D/venc]]="-","Enviado",IF(Tabela2[[#This Row],[Dt Venc:]]=TODAY(),"Vence Hoje","Vencida")))</f>
        <v>Enviado</v>
      </c>
      <c r="F1513" s="3" t="str">
        <f ca="1">IF(G1513=1,"-",Tabela2[[#This Row],[Dt Venc:]]-TODAY())</f>
        <v>-</v>
      </c>
      <c r="G1513" s="3">
        <v>1</v>
      </c>
      <c r="H1513" s="3"/>
    </row>
    <row r="1514" spans="1:8" hidden="1">
      <c r="A1514" s="3">
        <v>42887</v>
      </c>
      <c r="B1514" s="7" t="s">
        <v>144</v>
      </c>
      <c r="C1514" s="42">
        <v>395</v>
      </c>
      <c r="D1514" s="6">
        <v>45601</v>
      </c>
      <c r="E1514" s="3" t="str">
        <f ca="1">IF(Tabela2[[#This Row],[Dt Venc:]]&gt;TODAY(),"Em Aberto",IF(Tabela2[[#This Row],[D/venc]]="-","Enviado",IF(Tabela2[[#This Row],[Dt Venc:]]=TODAY(),"Vence Hoje","Vencida")))</f>
        <v>Enviado</v>
      </c>
      <c r="F1514" s="3" t="str">
        <f ca="1">IF(G1514=1,"-",Tabela2[[#This Row],[Dt Venc:]]-TODAY())</f>
        <v>-</v>
      </c>
      <c r="G1514" s="3">
        <v>1</v>
      </c>
      <c r="H1514" s="3"/>
    </row>
    <row r="1515" spans="1:8" hidden="1">
      <c r="A1515" s="3">
        <v>384431</v>
      </c>
      <c r="B1515" s="7" t="s">
        <v>161</v>
      </c>
      <c r="C1515" s="42">
        <v>503.04</v>
      </c>
      <c r="D1515" s="6">
        <v>45601</v>
      </c>
      <c r="E1515" s="3" t="str">
        <f ca="1">IF(Tabela2[[#This Row],[Dt Venc:]]&gt;TODAY(),"Em Aberto",IF(Tabela2[[#This Row],[D/venc]]="-","Enviado",IF(Tabela2[[#This Row],[Dt Venc:]]=TODAY(),"Vence Hoje","Vencida")))</f>
        <v>Enviado</v>
      </c>
      <c r="F1515" s="3" t="str">
        <f ca="1">IF(G1515=1,"-",Tabela2[[#This Row],[Dt Venc:]]-TODAY())</f>
        <v>-</v>
      </c>
      <c r="G1515" s="3">
        <v>1</v>
      </c>
      <c r="H1515" s="3"/>
    </row>
    <row r="1516" spans="1:8" hidden="1">
      <c r="A1516" s="3">
        <v>255521</v>
      </c>
      <c r="B1516" s="7" t="s">
        <v>326</v>
      </c>
      <c r="C1516" s="42">
        <v>1393.33</v>
      </c>
      <c r="D1516" s="6">
        <v>45601</v>
      </c>
      <c r="E1516" s="3" t="str">
        <f ca="1">IF(Tabela2[[#This Row],[Dt Venc:]]&gt;TODAY(),"Em Aberto",IF(Tabela2[[#This Row],[D/venc]]="-","Enviado",IF(Tabela2[[#This Row],[Dt Venc:]]=TODAY(),"Vence Hoje","Vencida")))</f>
        <v>Enviado</v>
      </c>
      <c r="F1516" s="3" t="str">
        <f ca="1">IF(G1516=1,"-",Tabela2[[#This Row],[Dt Venc:]]-TODAY())</f>
        <v>-</v>
      </c>
      <c r="G1516" s="3">
        <v>1</v>
      </c>
      <c r="H1516" s="3"/>
    </row>
    <row r="1517" spans="1:8" hidden="1">
      <c r="A1517" s="3">
        <v>3049</v>
      </c>
      <c r="B1517" s="7" t="s">
        <v>100</v>
      </c>
      <c r="C1517" s="42">
        <v>633.33000000000004</v>
      </c>
      <c r="D1517" s="6">
        <v>45601</v>
      </c>
      <c r="E1517" s="3" t="str">
        <f ca="1">IF(Tabela2[[#This Row],[Dt Venc:]]&gt;TODAY(),"Em Aberto",IF(Tabela2[[#This Row],[D/venc]]="-","Enviado",IF(Tabela2[[#This Row],[Dt Venc:]]=TODAY(),"Vence Hoje","Vencida")))</f>
        <v>Enviado</v>
      </c>
      <c r="F1517" s="3" t="str">
        <f ca="1">IF(G1517=1,"-",Tabela2[[#This Row],[Dt Venc:]]-TODAY())</f>
        <v>-</v>
      </c>
      <c r="G1517" s="3">
        <v>1</v>
      </c>
      <c r="H1517" s="3"/>
    </row>
    <row r="1518" spans="1:8" hidden="1">
      <c r="A1518" s="3">
        <v>255795</v>
      </c>
      <c r="B1518" s="7" t="s">
        <v>49</v>
      </c>
      <c r="C1518" s="42">
        <v>1393.34</v>
      </c>
      <c r="D1518" s="6">
        <v>45601</v>
      </c>
      <c r="E1518" s="3" t="str">
        <f ca="1">IF(Tabela2[[#This Row],[Dt Venc:]]&gt;TODAY(),"Em Aberto",IF(Tabela2[[#This Row],[D/venc]]="-","Enviado",IF(Tabela2[[#This Row],[Dt Venc:]]=TODAY(),"Vence Hoje","Vencida")))</f>
        <v>Enviado</v>
      </c>
      <c r="F1518" s="3" t="str">
        <f ca="1">IF(G1518=1,"-",Tabela2[[#This Row],[Dt Venc:]]-TODAY())</f>
        <v>-</v>
      </c>
      <c r="G1518" s="3">
        <v>1</v>
      </c>
      <c r="H1518" s="3"/>
    </row>
    <row r="1519" spans="1:8" hidden="1">
      <c r="A1519" s="3">
        <v>7834</v>
      </c>
      <c r="B1519" s="7" t="s">
        <v>242</v>
      </c>
      <c r="C1519" s="42">
        <v>102</v>
      </c>
      <c r="D1519" s="6">
        <v>45601</v>
      </c>
      <c r="E1519" s="3" t="str">
        <f ca="1">IF(Tabela2[[#This Row],[Dt Venc:]]&gt;TODAY(),"Em Aberto",IF(Tabela2[[#This Row],[D/venc]]="-","Enviado",IF(Tabela2[[#This Row],[Dt Venc:]]=TODAY(),"Vence Hoje","Vencida")))</f>
        <v>Enviado</v>
      </c>
      <c r="F1519" s="3" t="str">
        <f ca="1">IF(G1519=1,"-",Tabela2[[#This Row],[Dt Venc:]]-TODAY())</f>
        <v>-</v>
      </c>
      <c r="G1519" s="3">
        <v>1</v>
      </c>
      <c r="H1519" s="3"/>
    </row>
    <row r="1520" spans="1:8" hidden="1">
      <c r="A1520" s="3">
        <v>1053</v>
      </c>
      <c r="B1520" s="7" t="s">
        <v>155</v>
      </c>
      <c r="C1520" s="42">
        <v>17260.8</v>
      </c>
      <c r="D1520" s="6">
        <v>45601</v>
      </c>
      <c r="E1520" s="3" t="str">
        <f ca="1">IF(Tabela2[[#This Row],[Dt Venc:]]&gt;TODAY(),"Em Aberto",IF(Tabela2[[#This Row],[D/venc]]="-","Enviado",IF(Tabela2[[#This Row],[Dt Venc:]]=TODAY(),"Vence Hoje","Vencida")))</f>
        <v>Enviado</v>
      </c>
      <c r="F1520" s="3" t="str">
        <f ca="1">IF(G1520=1,"-",Tabela2[[#This Row],[Dt Venc:]]-TODAY())</f>
        <v>-</v>
      </c>
      <c r="G1520" s="3">
        <v>1</v>
      </c>
      <c r="H1520" s="3"/>
    </row>
    <row r="1521" spans="1:8" hidden="1">
      <c r="A1521" s="3">
        <v>1055</v>
      </c>
      <c r="B1521" s="7" t="s">
        <v>155</v>
      </c>
      <c r="C1521" s="42">
        <v>7012.2</v>
      </c>
      <c r="D1521" s="6">
        <v>45601</v>
      </c>
      <c r="E1521" s="3" t="str">
        <f ca="1">IF(Tabela2[[#This Row],[Dt Venc:]]&gt;TODAY(),"Em Aberto",IF(Tabela2[[#This Row],[D/venc]]="-","Enviado",IF(Tabela2[[#This Row],[Dt Venc:]]=TODAY(),"Vence Hoje","Vencida")))</f>
        <v>Enviado</v>
      </c>
      <c r="F1521" s="3" t="str">
        <f ca="1">IF(G1521=1,"-",Tabela2[[#This Row],[Dt Venc:]]-TODAY())</f>
        <v>-</v>
      </c>
      <c r="G1521" s="3">
        <v>1</v>
      </c>
      <c r="H1521" s="3"/>
    </row>
    <row r="1522" spans="1:8" hidden="1">
      <c r="A1522" s="3">
        <v>1061082</v>
      </c>
      <c r="B1522" s="7" t="s">
        <v>141</v>
      </c>
      <c r="C1522" s="42">
        <v>1274.8900000000001</v>
      </c>
      <c r="D1522" s="6">
        <v>45601</v>
      </c>
      <c r="E1522" s="3" t="str">
        <f ca="1">IF(Tabela2[[#This Row],[Dt Venc:]]&gt;TODAY(),"Em Aberto",IF(Tabela2[[#This Row],[D/venc]]="-","Enviado",IF(Tabela2[[#This Row],[Dt Venc:]]=TODAY(),"Vence Hoje","Vencida")))</f>
        <v>Enviado</v>
      </c>
      <c r="F1522" s="3" t="str">
        <f ca="1">IF(G1522=1,"-",Tabela2[[#This Row],[Dt Venc:]]-TODAY())</f>
        <v>-</v>
      </c>
      <c r="G1522" s="3">
        <v>1</v>
      </c>
      <c r="H1522" s="3"/>
    </row>
    <row r="1523" spans="1:8" hidden="1">
      <c r="A1523" s="3">
        <v>1061093</v>
      </c>
      <c r="B1523" s="7" t="s">
        <v>141</v>
      </c>
      <c r="C1523" s="42">
        <v>1658</v>
      </c>
      <c r="D1523" s="6">
        <v>45601</v>
      </c>
      <c r="E1523" s="3" t="str">
        <f ca="1">IF(Tabela2[[#This Row],[Dt Venc:]]&gt;TODAY(),"Em Aberto",IF(Tabela2[[#This Row],[D/venc]]="-","Enviado",IF(Tabela2[[#This Row],[Dt Venc:]]=TODAY(),"Vence Hoje","Vencida")))</f>
        <v>Enviado</v>
      </c>
      <c r="F1523" s="3" t="str">
        <f ca="1">IF(G1523=1,"-",Tabela2[[#This Row],[Dt Venc:]]-TODAY())</f>
        <v>-</v>
      </c>
      <c r="G1523" s="3">
        <v>1</v>
      </c>
      <c r="H1523" s="3"/>
    </row>
    <row r="1524" spans="1:8" hidden="1">
      <c r="A1524" s="3">
        <v>1061081</v>
      </c>
      <c r="B1524" s="7" t="s">
        <v>141</v>
      </c>
      <c r="C1524" s="42">
        <v>1620.72</v>
      </c>
      <c r="D1524" s="6">
        <v>45601</v>
      </c>
      <c r="E1524" s="3" t="str">
        <f ca="1">IF(Tabela2[[#This Row],[Dt Venc:]]&gt;TODAY(),"Em Aberto",IF(Tabela2[[#This Row],[D/venc]]="-","Enviado",IF(Tabela2[[#This Row],[Dt Venc:]]=TODAY(),"Vence Hoje","Vencida")))</f>
        <v>Enviado</v>
      </c>
      <c r="F1524" s="3" t="str">
        <f ca="1">IF(G1524=1,"-",Tabela2[[#This Row],[Dt Venc:]]-TODAY())</f>
        <v>-</v>
      </c>
      <c r="G1524" s="3">
        <v>1</v>
      </c>
      <c r="H1524" s="3"/>
    </row>
    <row r="1525" spans="1:8" hidden="1">
      <c r="A1525" s="3">
        <v>1061078</v>
      </c>
      <c r="B1525" s="7" t="s">
        <v>141</v>
      </c>
      <c r="C1525" s="42">
        <v>1622.31</v>
      </c>
      <c r="D1525" s="6">
        <v>45601</v>
      </c>
      <c r="E1525" s="3" t="str">
        <f ca="1">IF(Tabela2[[#This Row],[Dt Venc:]]&gt;TODAY(),"Em Aberto",IF(Tabela2[[#This Row],[D/venc]]="-","Enviado",IF(Tabela2[[#This Row],[Dt Venc:]]=TODAY(),"Vence Hoje","Vencida")))</f>
        <v>Enviado</v>
      </c>
      <c r="F1525" s="3" t="str">
        <f ca="1">IF(G1525=1,"-",Tabela2[[#This Row],[Dt Venc:]]-TODAY())</f>
        <v>-</v>
      </c>
      <c r="G1525" s="3">
        <v>1</v>
      </c>
      <c r="H1525" s="3"/>
    </row>
    <row r="1526" spans="1:8" hidden="1">
      <c r="A1526" s="3">
        <v>3051</v>
      </c>
      <c r="B1526" s="7" t="s">
        <v>100</v>
      </c>
      <c r="C1526" s="42">
        <v>765.67</v>
      </c>
      <c r="D1526" s="6">
        <v>45601</v>
      </c>
      <c r="E1526" s="3" t="str">
        <f ca="1">IF(Tabela2[[#This Row],[Dt Venc:]]&gt;TODAY(),"Em Aberto",IF(Tabela2[[#This Row],[D/venc]]="-","Enviado",IF(Tabela2[[#This Row],[Dt Venc:]]=TODAY(),"Vence Hoje","Vencida")))</f>
        <v>Enviado</v>
      </c>
      <c r="F1526" s="3" t="str">
        <f ca="1">IF(G1526=1,"-",Tabela2[[#This Row],[Dt Venc:]]-TODAY())</f>
        <v>-</v>
      </c>
      <c r="G1526" s="3">
        <v>1</v>
      </c>
      <c r="H1526" s="3"/>
    </row>
    <row r="1527" spans="1:8" hidden="1">
      <c r="A1527" s="3">
        <v>3721</v>
      </c>
      <c r="B1527" s="7" t="s">
        <v>328</v>
      </c>
      <c r="C1527" s="42">
        <v>527.55999999999995</v>
      </c>
      <c r="D1527" s="6">
        <v>45601</v>
      </c>
      <c r="E1527" s="3" t="str">
        <f ca="1">IF(Tabela2[[#This Row],[Dt Venc:]]&gt;TODAY(),"Em Aberto",IF(Tabela2[[#This Row],[D/venc]]="-","Enviado",IF(Tabela2[[#This Row],[Dt Venc:]]=TODAY(),"Vence Hoje","Vencida")))</f>
        <v>Enviado</v>
      </c>
      <c r="F1527" s="3" t="str">
        <f ca="1">IF(G1527=1,"-",Tabela2[[#This Row],[Dt Venc:]]-TODAY())</f>
        <v>-</v>
      </c>
      <c r="G1527" s="3">
        <v>1</v>
      </c>
      <c r="H1527" s="3"/>
    </row>
    <row r="1528" spans="1:8" hidden="1">
      <c r="A1528" s="3">
        <v>15523</v>
      </c>
      <c r="B1528" s="7" t="s">
        <v>289</v>
      </c>
      <c r="C1528" s="42">
        <v>450</v>
      </c>
      <c r="D1528" s="6">
        <v>45601</v>
      </c>
      <c r="E1528" s="3" t="str">
        <f ca="1">IF(Tabela2[[#This Row],[Dt Venc:]]&gt;TODAY(),"Em Aberto",IF(Tabela2[[#This Row],[D/venc]]="-","Enviado",IF(Tabela2[[#This Row],[Dt Venc:]]=TODAY(),"Vence Hoje","Vencida")))</f>
        <v>Enviado</v>
      </c>
      <c r="F1528" s="3" t="str">
        <f ca="1">IF(G1528=1,"-",Tabela2[[#This Row],[Dt Venc:]]-TODAY())</f>
        <v>-</v>
      </c>
      <c r="G1528" s="3">
        <v>1</v>
      </c>
      <c r="H1528" s="3"/>
    </row>
    <row r="1529" spans="1:8" hidden="1">
      <c r="A1529" s="3">
        <v>15523</v>
      </c>
      <c r="B1529" s="7" t="s">
        <v>289</v>
      </c>
      <c r="C1529" s="42">
        <v>450</v>
      </c>
      <c r="D1529" s="6">
        <v>45601</v>
      </c>
      <c r="E1529" s="3" t="str">
        <f ca="1">IF(Tabela2[[#This Row],[Dt Venc:]]&gt;TODAY(),"Em Aberto",IF(Tabela2[[#This Row],[D/venc]]="-","Enviado",IF(Tabela2[[#This Row],[Dt Venc:]]=TODAY(),"Vence Hoje","Vencida")))</f>
        <v>Enviado</v>
      </c>
      <c r="F1529" s="3" t="str">
        <f ca="1">IF(G1529=1,"-",Tabela2[[#This Row],[Dt Venc:]]-TODAY())</f>
        <v>-</v>
      </c>
      <c r="G1529" s="3">
        <v>1</v>
      </c>
      <c r="H1529" s="3"/>
    </row>
    <row r="1530" spans="1:8" hidden="1">
      <c r="A1530" s="3">
        <v>256083</v>
      </c>
      <c r="B1530" s="7" t="s">
        <v>49</v>
      </c>
      <c r="C1530" s="42">
        <v>1741.66</v>
      </c>
      <c r="D1530" s="6">
        <v>45601</v>
      </c>
      <c r="E1530" s="3" t="str">
        <f ca="1">IF(Tabela2[[#This Row],[Dt Venc:]]&gt;TODAY(),"Em Aberto",IF(Tabela2[[#This Row],[D/venc]]="-","Enviado",IF(Tabela2[[#This Row],[Dt Venc:]]=TODAY(),"Vence Hoje","Vencida")))</f>
        <v>Enviado</v>
      </c>
      <c r="F1530" s="3" t="str">
        <f ca="1">IF(G1530=1,"-",Tabela2[[#This Row],[Dt Venc:]]-TODAY())</f>
        <v>-</v>
      </c>
      <c r="G1530" s="3">
        <v>1</v>
      </c>
      <c r="H1530" s="3"/>
    </row>
    <row r="1531" spans="1:8" hidden="1">
      <c r="A1531" s="3">
        <v>2773</v>
      </c>
      <c r="B1531" s="7" t="s">
        <v>58</v>
      </c>
      <c r="C1531" s="42">
        <v>749.07</v>
      </c>
      <c r="D1531" s="6">
        <v>45601</v>
      </c>
      <c r="E1531" s="3" t="str">
        <f ca="1">IF(Tabela2[[#This Row],[Dt Venc:]]&gt;TODAY(),"Em Aberto",IF(Tabela2[[#This Row],[D/venc]]="-","Enviado",IF(Tabela2[[#This Row],[Dt Venc:]]=TODAY(),"Vence Hoje","Vencida")))</f>
        <v>Enviado</v>
      </c>
      <c r="F1531" s="3" t="str">
        <f ca="1">IF(G1531=1,"-",Tabela2[[#This Row],[Dt Venc:]]-TODAY())</f>
        <v>-</v>
      </c>
      <c r="G1531" s="3">
        <v>1</v>
      </c>
      <c r="H1531" s="3"/>
    </row>
    <row r="1532" spans="1:8" hidden="1">
      <c r="A1532" s="3">
        <v>50118</v>
      </c>
      <c r="B1532" s="7" t="s">
        <v>117</v>
      </c>
      <c r="C1532" s="42">
        <v>1026.06</v>
      </c>
      <c r="D1532" s="6">
        <v>45601</v>
      </c>
      <c r="E1532" s="3" t="str">
        <f ca="1">IF(Tabela2[[#This Row],[Dt Venc:]]&gt;TODAY(),"Em Aberto",IF(Tabela2[[#This Row],[D/venc]]="-","Enviado",IF(Tabela2[[#This Row],[Dt Venc:]]=TODAY(),"Vence Hoje","Vencida")))</f>
        <v>Enviado</v>
      </c>
      <c r="F1532" s="3" t="str">
        <f ca="1">IF(G1532=1,"-",Tabela2[[#This Row],[Dt Venc:]]-TODAY())</f>
        <v>-</v>
      </c>
      <c r="G1532" s="3">
        <v>1</v>
      </c>
      <c r="H1532" s="3"/>
    </row>
    <row r="1533" spans="1:8" hidden="1">
      <c r="A1533" s="3">
        <v>237096</v>
      </c>
      <c r="B1533" s="7" t="s">
        <v>43</v>
      </c>
      <c r="C1533" s="42">
        <v>1678.78</v>
      </c>
      <c r="D1533" s="6">
        <v>45601</v>
      </c>
      <c r="E1533" s="3" t="str">
        <f ca="1">IF(Tabela2[[#This Row],[Dt Venc:]]&gt;TODAY(),"Em Aberto",IF(Tabela2[[#This Row],[D/venc]]="-","Enviado",IF(Tabela2[[#This Row],[Dt Venc:]]=TODAY(),"Vence Hoje","Vencida")))</f>
        <v>Enviado</v>
      </c>
      <c r="F1533" s="3" t="str">
        <f ca="1">IF(G1533=1,"-",Tabela2[[#This Row],[Dt Venc:]]-TODAY())</f>
        <v>-</v>
      </c>
      <c r="G1533" s="3">
        <v>1</v>
      </c>
      <c r="H1533" s="3"/>
    </row>
    <row r="1534" spans="1:8" hidden="1">
      <c r="A1534" s="3">
        <v>181718</v>
      </c>
      <c r="B1534" s="7" t="s">
        <v>42</v>
      </c>
      <c r="C1534" s="42">
        <v>1289.94</v>
      </c>
      <c r="D1534" s="6">
        <v>45601</v>
      </c>
      <c r="E1534" s="3" t="str">
        <f ca="1">IF(Tabela2[[#This Row],[Dt Venc:]]&gt;TODAY(),"Em Aberto",IF(Tabela2[[#This Row],[D/venc]]="-","Enviado",IF(Tabela2[[#This Row],[Dt Venc:]]=TODAY(),"Vence Hoje","Vencida")))</f>
        <v>Enviado</v>
      </c>
      <c r="F1534" s="3" t="str">
        <f ca="1">IF(G1534=1,"-",Tabela2[[#This Row],[Dt Venc:]]-TODAY())</f>
        <v>-</v>
      </c>
      <c r="G1534" s="3">
        <v>1</v>
      </c>
      <c r="H1534" s="3"/>
    </row>
    <row r="1535" spans="1:8" hidden="1">
      <c r="A1535" s="3">
        <v>2257956</v>
      </c>
      <c r="B1535" s="7" t="s">
        <v>59</v>
      </c>
      <c r="C1535" s="41">
        <v>55026</v>
      </c>
      <c r="D1535" s="6">
        <v>45601</v>
      </c>
      <c r="E1535" s="3" t="str">
        <f ca="1">IF(Tabela2[[#This Row],[Dt Venc:]]&gt;TODAY(),"Em Aberto",IF(Tabela2[[#This Row],[D/venc]]="-","Enviado",IF(Tabela2[[#This Row],[Dt Venc:]]=TODAY(),"Vence Hoje","Vencida")))</f>
        <v>Enviado</v>
      </c>
      <c r="F1535" s="3" t="str">
        <f ca="1">IF(G1535=1,"-",Tabela2[[#This Row],[Dt Venc:]]-TODAY())</f>
        <v>-</v>
      </c>
      <c r="G1535" s="3">
        <v>1</v>
      </c>
      <c r="H1535" s="3"/>
    </row>
    <row r="1536" spans="1:8" hidden="1">
      <c r="A1536" s="3">
        <v>1988641</v>
      </c>
      <c r="B1536" s="7" t="s">
        <v>59</v>
      </c>
      <c r="C1536" s="41">
        <v>109714</v>
      </c>
      <c r="D1536" s="6">
        <v>45601</v>
      </c>
      <c r="E1536" s="3" t="str">
        <f ca="1">IF(Tabela2[[#This Row],[Dt Venc:]]&gt;TODAY(),"Em Aberto",IF(Tabela2[[#This Row],[D/venc]]="-","Enviado",IF(Tabela2[[#This Row],[Dt Venc:]]=TODAY(),"Vence Hoje","Vencida")))</f>
        <v>Enviado</v>
      </c>
      <c r="F1536" s="3" t="str">
        <f ca="1">IF(G1536=1,"-",Tabela2[[#This Row],[Dt Venc:]]-TODAY())</f>
        <v>-</v>
      </c>
      <c r="G1536" s="3">
        <v>1</v>
      </c>
      <c r="H1536" s="3"/>
    </row>
    <row r="1537" spans="1:8" hidden="1">
      <c r="A1537" s="3">
        <v>387643</v>
      </c>
      <c r="B1537" s="7" t="s">
        <v>43</v>
      </c>
      <c r="C1537" s="41">
        <v>258.27999999999997</v>
      </c>
      <c r="D1537" s="6">
        <v>45601</v>
      </c>
      <c r="E1537" s="3" t="str">
        <f ca="1">IF(Tabela2[[#This Row],[Dt Venc:]]&gt;TODAY(),"Em Aberto",IF(Tabela2[[#This Row],[D/venc]]="-","Enviado",IF(Tabela2[[#This Row],[Dt Venc:]]=TODAY(),"Vence Hoje","Vencida")))</f>
        <v>Enviado</v>
      </c>
      <c r="F1537" s="3" t="str">
        <f ca="1">IF(G1537=1,"-",Tabela2[[#This Row],[Dt Venc:]]-TODAY())</f>
        <v>-</v>
      </c>
      <c r="G1537" s="3">
        <v>1</v>
      </c>
      <c r="H1537" s="3"/>
    </row>
    <row r="1538" spans="1:8" hidden="1">
      <c r="A1538" s="3">
        <v>7834</v>
      </c>
      <c r="B1538" s="7" t="s">
        <v>242</v>
      </c>
      <c r="C1538" s="41">
        <v>102</v>
      </c>
      <c r="D1538" s="6">
        <v>45601</v>
      </c>
      <c r="E1538" s="3" t="str">
        <f ca="1">IF(Tabela2[[#This Row],[Dt Venc:]]&gt;TODAY(),"Em Aberto",IF(Tabela2[[#This Row],[D/venc]]="-","Enviado",IF(Tabela2[[#This Row],[Dt Venc:]]=TODAY(),"Vence Hoje","Vencida")))</f>
        <v>Enviado</v>
      </c>
      <c r="F1538" s="3" t="str">
        <f ca="1">IF(G1538=1,"-",Tabela2[[#This Row],[Dt Venc:]]-TODAY())</f>
        <v>-</v>
      </c>
      <c r="G1538" s="3">
        <v>1</v>
      </c>
      <c r="H1538" s="3"/>
    </row>
    <row r="1539" spans="1:8" hidden="1">
      <c r="A1539" s="3">
        <v>66544</v>
      </c>
      <c r="B1539" s="7" t="s">
        <v>143</v>
      </c>
      <c r="C1539" s="41">
        <v>674.5</v>
      </c>
      <c r="D1539" s="6">
        <v>45601</v>
      </c>
      <c r="E1539" s="3" t="str">
        <f ca="1">IF(Tabela2[[#This Row],[Dt Venc:]]&gt;TODAY(),"Em Aberto",IF(Tabela2[[#This Row],[D/venc]]="-","Enviado",IF(Tabela2[[#This Row],[Dt Venc:]]=TODAY(),"Vence Hoje","Vencida")))</f>
        <v>Enviado</v>
      </c>
      <c r="F1539" s="3" t="str">
        <f ca="1">IF(G1539=1,"-",Tabela2[[#This Row],[Dt Venc:]]-TODAY())</f>
        <v>-</v>
      </c>
      <c r="G1539" s="3">
        <v>1</v>
      </c>
      <c r="H1539" s="3"/>
    </row>
    <row r="1540" spans="1:8" hidden="1">
      <c r="A1540" s="3">
        <v>141241</v>
      </c>
      <c r="B1540" s="7" t="s">
        <v>60</v>
      </c>
      <c r="C1540" s="41">
        <v>390</v>
      </c>
      <c r="D1540" s="6">
        <v>45601</v>
      </c>
      <c r="E1540" s="3" t="str">
        <f ca="1">IF(Tabela2[[#This Row],[Dt Venc:]]&gt;TODAY(),"Em Aberto",IF(Tabela2[[#This Row],[D/venc]]="-","Enviado",IF(Tabela2[[#This Row],[Dt Venc:]]=TODAY(),"Vence Hoje","Vencida")))</f>
        <v>Enviado</v>
      </c>
      <c r="F1540" s="3" t="str">
        <f ca="1">IF(G1540=1,"-",Tabela2[[#This Row],[Dt Venc:]]-TODAY())</f>
        <v>-</v>
      </c>
      <c r="G1540" s="3">
        <v>1</v>
      </c>
      <c r="H1540" s="3"/>
    </row>
    <row r="1541" spans="1:8" hidden="1">
      <c r="A1541" s="3">
        <v>3299726</v>
      </c>
      <c r="B1541" s="7" t="s">
        <v>71</v>
      </c>
      <c r="C1541" s="41">
        <v>81948</v>
      </c>
      <c r="D1541" s="6">
        <v>45601</v>
      </c>
      <c r="E1541" s="3" t="str">
        <f ca="1">IF(Tabela2[[#This Row],[Dt Venc:]]&gt;TODAY(),"Em Aberto",IF(Tabela2[[#This Row],[D/venc]]="-","Enviado",IF(Tabela2[[#This Row],[Dt Venc:]]=TODAY(),"Vence Hoje","Vencida")))</f>
        <v>Enviado</v>
      </c>
      <c r="F1541" s="3" t="str">
        <f ca="1">IF(G1541=1,"-",Tabela2[[#This Row],[Dt Venc:]]-TODAY())</f>
        <v>-</v>
      </c>
      <c r="G1541" s="3">
        <v>1</v>
      </c>
      <c r="H1541" s="3"/>
    </row>
    <row r="1542" spans="1:8" ht="37.5" hidden="1">
      <c r="A1542" s="3" t="s">
        <v>123</v>
      </c>
      <c r="B1542" s="7" t="s">
        <v>125</v>
      </c>
      <c r="C1542" s="85" t="s">
        <v>30</v>
      </c>
      <c r="D1542" s="6">
        <v>45601</v>
      </c>
      <c r="E1542" s="3" t="str">
        <f ca="1">IF(Tabela2[[#This Row],[Dt Venc:]]&gt;TODAY(),"Em Aberto",IF(Tabela2[[#This Row],[D/venc]]="-","Enviado",IF(Tabela2[[#This Row],[Dt Venc:]]=TODAY(),"Vence Hoje","Vencida")))</f>
        <v>Enviado</v>
      </c>
      <c r="F1542" s="3" t="str">
        <f ca="1">IF(G1542=1,"-",Tabela2[[#This Row],[Dt Venc:]]-TODAY())</f>
        <v>-</v>
      </c>
      <c r="G1542" s="3">
        <v>1</v>
      </c>
      <c r="H1542" s="3"/>
    </row>
    <row r="1543" spans="1:8" hidden="1">
      <c r="A1543" s="3" t="s">
        <v>110</v>
      </c>
      <c r="B1543" s="7" t="s">
        <v>121</v>
      </c>
      <c r="C1543" s="87" t="s">
        <v>30</v>
      </c>
      <c r="D1543" s="6">
        <v>45601</v>
      </c>
      <c r="E1543" s="3" t="str">
        <f ca="1">IF(Tabela2[[#This Row],[Dt Venc:]]&gt;TODAY(),"Em Aberto",IF(Tabela2[[#This Row],[D/venc]]="-","Enviado",IF(Tabela2[[#This Row],[Dt Venc:]]=TODAY(),"Vence Hoje","Vencida")))</f>
        <v>Enviado</v>
      </c>
      <c r="F1543" s="3" t="str">
        <f ca="1">IF(G1543=1,"-",Tabela2[[#This Row],[Dt Venc:]]-TODAY())</f>
        <v>-</v>
      </c>
      <c r="G1543" s="3">
        <v>1</v>
      </c>
      <c r="H1543" s="3"/>
    </row>
    <row r="1544" spans="1:8" hidden="1">
      <c r="A1544" s="3">
        <v>10721</v>
      </c>
      <c r="B1544" s="7" t="s">
        <v>33</v>
      </c>
      <c r="C1544" s="42">
        <v>800</v>
      </c>
      <c r="D1544" s="6">
        <v>45602</v>
      </c>
      <c r="E1544" s="3" t="str">
        <f ca="1">IF(Tabela2[[#This Row],[Dt Venc:]]&gt;TODAY(),"Em Aberto",IF(Tabela2[[#This Row],[D/venc]]="-","Enviado",IF(Tabela2[[#This Row],[Dt Venc:]]=TODAY(),"Vence Hoje","Vencida")))</f>
        <v>Enviado</v>
      </c>
      <c r="F1544" s="3" t="str">
        <f ca="1">IF(G1544=1,"-",Tabela2[[#This Row],[Dt Venc:]]-TODAY())</f>
        <v>-</v>
      </c>
      <c r="G1544" s="3">
        <v>1</v>
      </c>
      <c r="H1544" s="3"/>
    </row>
    <row r="1545" spans="1:8" hidden="1">
      <c r="A1545" s="3">
        <v>421829</v>
      </c>
      <c r="B1545" s="7" t="s">
        <v>89</v>
      </c>
      <c r="C1545" s="42">
        <v>426.67</v>
      </c>
      <c r="D1545" s="6">
        <v>45602</v>
      </c>
      <c r="E1545" s="3" t="str">
        <f ca="1">IF(Tabela2[[#This Row],[Dt Venc:]]&gt;TODAY(),"Em Aberto",IF(Tabela2[[#This Row],[D/venc]]="-","Enviado",IF(Tabela2[[#This Row],[Dt Venc:]]=TODAY(),"Vence Hoje","Vencida")))</f>
        <v>Enviado</v>
      </c>
      <c r="F1545" s="3" t="str">
        <f ca="1">IF(G1545=1,"-",Tabela2[[#This Row],[Dt Venc:]]-TODAY())</f>
        <v>-</v>
      </c>
      <c r="G1545" s="3">
        <v>1</v>
      </c>
      <c r="H1545" s="3"/>
    </row>
    <row r="1546" spans="1:8" hidden="1">
      <c r="A1546" s="3">
        <v>2653</v>
      </c>
      <c r="B1546" s="7" t="s">
        <v>58</v>
      </c>
      <c r="C1546" s="42">
        <v>1083.0999999999999</v>
      </c>
      <c r="D1546" s="6">
        <v>45602</v>
      </c>
      <c r="E1546" s="3" t="str">
        <f ca="1">IF(Tabela2[[#This Row],[Dt Venc:]]&gt;TODAY(),"Em Aberto",IF(Tabela2[[#This Row],[D/venc]]="-","Enviado",IF(Tabela2[[#This Row],[Dt Venc:]]=TODAY(),"Vence Hoje","Vencida")))</f>
        <v>Enviado</v>
      </c>
      <c r="F1546" s="3" t="str">
        <f ca="1">IF(G1546=1,"-",Tabela2[[#This Row],[Dt Venc:]]-TODAY())</f>
        <v>-</v>
      </c>
      <c r="G1546" s="3">
        <v>1</v>
      </c>
      <c r="H1546" s="3"/>
    </row>
    <row r="1547" spans="1:8" hidden="1">
      <c r="A1547" s="3">
        <v>217142</v>
      </c>
      <c r="B1547" s="7" t="s">
        <v>127</v>
      </c>
      <c r="C1547" s="42">
        <v>628.28</v>
      </c>
      <c r="D1547" s="6">
        <v>45602</v>
      </c>
      <c r="E1547" s="3" t="str">
        <f ca="1">IF(Tabela2[[#This Row],[Dt Venc:]]&gt;TODAY(),"Em Aberto",IF(Tabela2[[#This Row],[D/venc]]="-","Enviado",IF(Tabela2[[#This Row],[Dt Venc:]]=TODAY(),"Vence Hoje","Vencida")))</f>
        <v>Enviado</v>
      </c>
      <c r="F1547" s="3" t="str">
        <f ca="1">IF(G1547=1,"-",Tabela2[[#This Row],[Dt Venc:]]-TODAY())</f>
        <v>-</v>
      </c>
      <c r="G1547" s="3">
        <v>1</v>
      </c>
      <c r="H1547" s="3"/>
    </row>
    <row r="1548" spans="1:8" hidden="1">
      <c r="A1548" s="3">
        <v>603196</v>
      </c>
      <c r="B1548" s="7" t="s">
        <v>138</v>
      </c>
      <c r="C1548" s="42">
        <v>930.64</v>
      </c>
      <c r="D1548" s="6">
        <v>45602</v>
      </c>
      <c r="E1548" s="3" t="str">
        <f ca="1">IF(Tabela2[[#This Row],[Dt Venc:]]&gt;TODAY(),"Em Aberto",IF(Tabela2[[#This Row],[D/venc]]="-","Enviado",IF(Tabela2[[#This Row],[Dt Venc:]]=TODAY(),"Vence Hoje","Vencida")))</f>
        <v>Enviado</v>
      </c>
      <c r="F1548" s="3" t="str">
        <f ca="1">IF(G1548=1,"-",Tabela2[[#This Row],[Dt Venc:]]-TODAY())</f>
        <v>-</v>
      </c>
      <c r="G1548" s="3">
        <v>1</v>
      </c>
      <c r="H1548" s="3"/>
    </row>
    <row r="1549" spans="1:8" hidden="1">
      <c r="A1549" s="3">
        <v>203328</v>
      </c>
      <c r="B1549" s="7" t="s">
        <v>43</v>
      </c>
      <c r="C1549" s="42">
        <v>1296.9100000000001</v>
      </c>
      <c r="D1549" s="6">
        <v>45602</v>
      </c>
      <c r="E1549" s="3" t="str">
        <f ca="1">IF(Tabela2[[#This Row],[Dt Venc:]]&gt;TODAY(),"Em Aberto",IF(Tabela2[[#This Row],[D/venc]]="-","Enviado",IF(Tabela2[[#This Row],[Dt Venc:]]=TODAY(),"Vence Hoje","Vencida")))</f>
        <v>Enviado</v>
      </c>
      <c r="F1549" s="3" t="str">
        <f ca="1">IF(G1549=1,"-",Tabela2[[#This Row],[Dt Venc:]]-TODAY())</f>
        <v>-</v>
      </c>
      <c r="G1549" s="3">
        <v>1</v>
      </c>
      <c r="H1549" s="3"/>
    </row>
    <row r="1550" spans="1:8" hidden="1">
      <c r="A1550" s="3">
        <v>5711</v>
      </c>
      <c r="B1550" s="7" t="s">
        <v>47</v>
      </c>
      <c r="C1550" s="42">
        <v>1468.63</v>
      </c>
      <c r="D1550" s="6">
        <v>45602</v>
      </c>
      <c r="E1550" s="3" t="str">
        <f ca="1">IF(Tabela2[[#This Row],[Dt Venc:]]&gt;TODAY(),"Em Aberto",IF(Tabela2[[#This Row],[D/venc]]="-","Enviado",IF(Tabela2[[#This Row],[Dt Venc:]]=TODAY(),"Vence Hoje","Vencida")))</f>
        <v>Enviado</v>
      </c>
      <c r="F1550" s="3" t="str">
        <f ca="1">IF(G1550=1,"-",Tabela2[[#This Row],[Dt Venc:]]-TODAY())</f>
        <v>-</v>
      </c>
      <c r="G1550" s="3">
        <v>1</v>
      </c>
      <c r="H1550" s="3"/>
    </row>
    <row r="1551" spans="1:8" hidden="1">
      <c r="A1551" s="3">
        <v>53323</v>
      </c>
      <c r="B1551" s="7" t="s">
        <v>35</v>
      </c>
      <c r="C1551" s="42">
        <v>432.5</v>
      </c>
      <c r="D1551" s="6">
        <v>45602</v>
      </c>
      <c r="E1551" s="3" t="str">
        <f ca="1">IF(Tabela2[[#This Row],[Dt Venc:]]&gt;TODAY(),"Em Aberto",IF(Tabela2[[#This Row],[D/venc]]="-","Enviado",IF(Tabela2[[#This Row],[Dt Venc:]]=TODAY(),"Vence Hoje","Vencida")))</f>
        <v>Enviado</v>
      </c>
      <c r="F1551" s="3" t="str">
        <f ca="1">IF(G1551=1,"-",Tabela2[[#This Row],[Dt Venc:]]-TODAY())</f>
        <v>-</v>
      </c>
      <c r="G1551" s="3">
        <v>1</v>
      </c>
      <c r="H1551" s="3"/>
    </row>
    <row r="1552" spans="1:8" hidden="1">
      <c r="A1552" s="3">
        <v>26757</v>
      </c>
      <c r="B1552" s="7" t="s">
        <v>70</v>
      </c>
      <c r="C1552" s="42">
        <v>765.68</v>
      </c>
      <c r="D1552" s="6">
        <v>45602</v>
      </c>
      <c r="E1552" s="3" t="str">
        <f ca="1">IF(Tabela2[[#This Row],[Dt Venc:]]&gt;TODAY(),"Em Aberto",IF(Tabela2[[#This Row],[D/venc]]="-","Enviado",IF(Tabela2[[#This Row],[Dt Venc:]]=TODAY(),"Vence Hoje","Vencida")))</f>
        <v>Enviado</v>
      </c>
      <c r="F1552" s="3" t="str">
        <f ca="1">IF(G1552=1,"-",Tabela2[[#This Row],[Dt Venc:]]-TODAY())</f>
        <v>-</v>
      </c>
      <c r="G1552" s="3">
        <v>1</v>
      </c>
      <c r="H1552" s="3"/>
    </row>
    <row r="1553" spans="1:8" hidden="1">
      <c r="A1553" s="3">
        <v>25887</v>
      </c>
      <c r="B1553" s="7" t="s">
        <v>70</v>
      </c>
      <c r="C1553" s="42">
        <v>1745.15</v>
      </c>
      <c r="D1553" s="6">
        <v>45602</v>
      </c>
      <c r="E1553" s="3" t="str">
        <f ca="1">IF(Tabela2[[#This Row],[Dt Venc:]]&gt;TODAY(),"Em Aberto",IF(Tabela2[[#This Row],[D/venc]]="-","Enviado",IF(Tabela2[[#This Row],[Dt Venc:]]=TODAY(),"Vence Hoje","Vencida")))</f>
        <v>Enviado</v>
      </c>
      <c r="F1553" s="3" t="str">
        <f ca="1">IF(G1553=1,"-",Tabela2[[#This Row],[Dt Venc:]]-TODAY())</f>
        <v>-</v>
      </c>
      <c r="G1553" s="3">
        <v>1</v>
      </c>
      <c r="H1553" s="3"/>
    </row>
    <row r="1554" spans="1:8" hidden="1">
      <c r="A1554" s="3">
        <v>42</v>
      </c>
      <c r="B1554" s="7" t="s">
        <v>132</v>
      </c>
      <c r="C1554" s="42">
        <v>3873.33</v>
      </c>
      <c r="D1554" s="6">
        <v>45602</v>
      </c>
      <c r="E1554" s="3" t="str">
        <f ca="1">IF(Tabela2[[#This Row],[Dt Venc:]]&gt;TODAY(),"Em Aberto",IF(Tabela2[[#This Row],[D/venc]]="-","Enviado",IF(Tabela2[[#This Row],[Dt Venc:]]=TODAY(),"Vence Hoje","Vencida")))</f>
        <v>Enviado</v>
      </c>
      <c r="F1554" s="3" t="str">
        <f ca="1">IF(G1554=1,"-",Tabela2[[#This Row],[Dt Venc:]]-TODAY())</f>
        <v>-</v>
      </c>
      <c r="G1554" s="3">
        <v>1</v>
      </c>
      <c r="H1554" s="3"/>
    </row>
    <row r="1555" spans="1:8" hidden="1">
      <c r="A1555" s="3">
        <v>223198</v>
      </c>
      <c r="B1555" s="7" t="s">
        <v>43</v>
      </c>
      <c r="C1555" s="42">
        <v>827.9</v>
      </c>
      <c r="D1555" s="6">
        <v>45602</v>
      </c>
      <c r="E1555" s="3" t="str">
        <f ca="1">IF(Tabela2[[#This Row],[Dt Venc:]]&gt;TODAY(),"Em Aberto",IF(Tabela2[[#This Row],[D/venc]]="-","Enviado",IF(Tabela2[[#This Row],[Dt Venc:]]=TODAY(),"Vence Hoje","Vencida")))</f>
        <v>Enviado</v>
      </c>
      <c r="F1555" s="3" t="str">
        <f ca="1">IF(G1555=1,"-",Tabela2[[#This Row],[Dt Venc:]]-TODAY())</f>
        <v>-</v>
      </c>
      <c r="G1555" s="3">
        <v>1</v>
      </c>
      <c r="H1555" s="3"/>
    </row>
    <row r="1556" spans="1:8" hidden="1">
      <c r="A1556" s="3">
        <v>180654</v>
      </c>
      <c r="B1556" s="7" t="s">
        <v>42</v>
      </c>
      <c r="C1556" s="42">
        <v>742.61</v>
      </c>
      <c r="D1556" s="6">
        <v>45602</v>
      </c>
      <c r="E1556" s="3" t="str">
        <f ca="1">IF(Tabela2[[#This Row],[Dt Venc:]]&gt;TODAY(),"Em Aberto",IF(Tabela2[[#This Row],[D/venc]]="-","Enviado",IF(Tabela2[[#This Row],[Dt Venc:]]=TODAY(),"Vence Hoje","Vencida")))</f>
        <v>Enviado</v>
      </c>
      <c r="F1556" s="3" t="str">
        <f ca="1">IF(G1556=1,"-",Tabela2[[#This Row],[Dt Venc:]]-TODAY())</f>
        <v>-</v>
      </c>
      <c r="G1556" s="3">
        <v>1</v>
      </c>
      <c r="H1556" s="3"/>
    </row>
    <row r="1557" spans="1:8" hidden="1">
      <c r="A1557" s="3">
        <v>300931</v>
      </c>
      <c r="B1557" s="7" t="s">
        <v>63</v>
      </c>
      <c r="C1557" s="42">
        <v>1228.94</v>
      </c>
      <c r="D1557" s="6">
        <v>45602</v>
      </c>
      <c r="E1557" s="3" t="str">
        <f ca="1">IF(Tabela2[[#This Row],[Dt Venc:]]&gt;TODAY(),"Em Aberto",IF(Tabela2[[#This Row],[D/venc]]="-","Enviado",IF(Tabela2[[#This Row],[Dt Venc:]]=TODAY(),"Vence Hoje","Vencida")))</f>
        <v>Enviado</v>
      </c>
      <c r="F1557" s="3" t="str">
        <f ca="1">IF(G1557=1,"-",Tabela2[[#This Row],[Dt Venc:]]-TODAY())</f>
        <v>-</v>
      </c>
      <c r="G1557" s="3">
        <v>1</v>
      </c>
      <c r="H1557" s="3"/>
    </row>
    <row r="1558" spans="1:8" hidden="1">
      <c r="A1558" s="3">
        <v>10869</v>
      </c>
      <c r="B1558" s="7" t="s">
        <v>33</v>
      </c>
      <c r="C1558" s="42">
        <v>1760</v>
      </c>
      <c r="D1558" s="6">
        <v>45602</v>
      </c>
      <c r="E1558" s="3" t="str">
        <f ca="1">IF(Tabela2[[#This Row],[Dt Venc:]]&gt;TODAY(),"Em Aberto",IF(Tabela2[[#This Row],[D/venc]]="-","Enviado",IF(Tabela2[[#This Row],[Dt Venc:]]=TODAY(),"Vence Hoje","Vencida")))</f>
        <v>Enviado</v>
      </c>
      <c r="F1558" s="3" t="str">
        <f ca="1">IF(G1558=1,"-",Tabela2[[#This Row],[Dt Venc:]]-TODAY())</f>
        <v>-</v>
      </c>
      <c r="G1558" s="3">
        <v>1</v>
      </c>
      <c r="H1558" s="3"/>
    </row>
    <row r="1559" spans="1:8" hidden="1">
      <c r="A1559" s="3">
        <v>30202</v>
      </c>
      <c r="B1559" s="7" t="s">
        <v>97</v>
      </c>
      <c r="C1559" s="42">
        <v>3140</v>
      </c>
      <c r="D1559" s="6">
        <v>45602</v>
      </c>
      <c r="E1559" s="3" t="str">
        <f ca="1">IF(Tabela2[[#This Row],[Dt Venc:]]&gt;TODAY(),"Em Aberto",IF(Tabela2[[#This Row],[D/venc]]="-","Enviado",IF(Tabela2[[#This Row],[Dt Venc:]]=TODAY(),"Vence Hoje","Vencida")))</f>
        <v>Enviado</v>
      </c>
      <c r="F1559" s="3" t="str">
        <f ca="1">IF(G1559=1,"-",Tabela2[[#This Row],[Dt Venc:]]-TODAY())</f>
        <v>-</v>
      </c>
      <c r="G1559" s="3">
        <v>1</v>
      </c>
      <c r="H1559" s="3"/>
    </row>
    <row r="1560" spans="1:8" hidden="1">
      <c r="A1560" s="3">
        <v>71621</v>
      </c>
      <c r="B1560" s="7" t="s">
        <v>76</v>
      </c>
      <c r="C1560" s="42">
        <v>590.66999999999996</v>
      </c>
      <c r="D1560" s="6">
        <v>45602</v>
      </c>
      <c r="E1560" s="3" t="str">
        <f ca="1">IF(Tabela2[[#This Row],[Dt Venc:]]&gt;TODAY(),"Em Aberto",IF(Tabela2[[#This Row],[D/venc]]="-","Enviado",IF(Tabela2[[#This Row],[Dt Venc:]]=TODAY(),"Vence Hoje","Vencida")))</f>
        <v>Enviado</v>
      </c>
      <c r="F1560" s="3" t="str">
        <f ca="1">IF(G1560=1,"-",Tabela2[[#This Row],[Dt Venc:]]-TODAY())</f>
        <v>-</v>
      </c>
      <c r="G1560" s="3">
        <v>1</v>
      </c>
      <c r="H1560" s="3"/>
    </row>
    <row r="1561" spans="1:8" hidden="1">
      <c r="A1561" s="3">
        <v>9051</v>
      </c>
      <c r="B1561" s="7" t="s">
        <v>403</v>
      </c>
      <c r="C1561" s="42">
        <v>528</v>
      </c>
      <c r="D1561" s="6">
        <v>45602</v>
      </c>
      <c r="E1561" s="3" t="str">
        <f ca="1">IF(Tabela2[[#This Row],[Dt Venc:]]&gt;TODAY(),"Em Aberto",IF(Tabela2[[#This Row],[D/venc]]="-","Enviado",IF(Tabela2[[#This Row],[Dt Venc:]]=TODAY(),"Vence Hoje","Vencida")))</f>
        <v>Enviado</v>
      </c>
      <c r="F1561" s="3" t="str">
        <f ca="1">IF(G1561=1,"-",Tabela2[[#This Row],[Dt Venc:]]-TODAY())</f>
        <v>-</v>
      </c>
      <c r="G1561" s="3">
        <v>1</v>
      </c>
      <c r="H1561" s="3"/>
    </row>
    <row r="1562" spans="1:8" hidden="1">
      <c r="A1562" s="3">
        <v>237654</v>
      </c>
      <c r="B1562" s="7" t="s">
        <v>43</v>
      </c>
      <c r="C1562" s="42">
        <v>495.5</v>
      </c>
      <c r="D1562" s="6">
        <v>45602</v>
      </c>
      <c r="E1562" s="3" t="str">
        <f ca="1">IF(Tabela2[[#This Row],[Dt Venc:]]&gt;TODAY(),"Em Aberto",IF(Tabela2[[#This Row],[D/venc]]="-","Enviado",IF(Tabela2[[#This Row],[Dt Venc:]]=TODAY(),"Vence Hoje","Vencida")))</f>
        <v>Enviado</v>
      </c>
      <c r="F1562" s="3" t="str">
        <f ca="1">IF(G1562=1,"-",Tabela2[[#This Row],[Dt Venc:]]-TODAY())</f>
        <v>-</v>
      </c>
      <c r="G1562" s="3">
        <v>1</v>
      </c>
      <c r="H1562" s="3"/>
    </row>
    <row r="1563" spans="1:8" hidden="1">
      <c r="A1563" s="3">
        <v>326750</v>
      </c>
      <c r="B1563" s="7" t="s">
        <v>240</v>
      </c>
      <c r="C1563" s="42">
        <v>405</v>
      </c>
      <c r="D1563" s="6">
        <v>45602</v>
      </c>
      <c r="E1563" s="3" t="str">
        <f ca="1">IF(Tabela2[[#This Row],[Dt Venc:]]&gt;TODAY(),"Em Aberto",IF(Tabela2[[#This Row],[D/venc]]="-","Enviado",IF(Tabela2[[#This Row],[Dt Venc:]]=TODAY(),"Vence Hoje","Vencida")))</f>
        <v>Enviado</v>
      </c>
      <c r="F1563" s="3" t="str">
        <f ca="1">IF(G1563=1,"-",Tabela2[[#This Row],[Dt Venc:]]-TODAY())</f>
        <v>-</v>
      </c>
      <c r="G1563" s="3">
        <v>1</v>
      </c>
      <c r="H1563" s="3"/>
    </row>
    <row r="1564" spans="1:8" hidden="1">
      <c r="A1564" s="3">
        <v>153391</v>
      </c>
      <c r="B1564" s="7" t="s">
        <v>240</v>
      </c>
      <c r="C1564" s="42">
        <v>1233.33</v>
      </c>
      <c r="D1564" s="6">
        <v>45602</v>
      </c>
      <c r="E1564" s="3" t="str">
        <f ca="1">IF(Tabela2[[#This Row],[Dt Venc:]]&gt;TODAY(),"Em Aberto",IF(Tabela2[[#This Row],[D/venc]]="-","Enviado",IF(Tabela2[[#This Row],[Dt Venc:]]=TODAY(),"Vence Hoje","Vencida")))</f>
        <v>Enviado</v>
      </c>
      <c r="F1564" s="3" t="str">
        <f ca="1">IF(G1564=1,"-",Tabela2[[#This Row],[Dt Venc:]]-TODAY())</f>
        <v>-</v>
      </c>
      <c r="G1564" s="3">
        <v>1</v>
      </c>
      <c r="H1564" s="3"/>
    </row>
    <row r="1565" spans="1:8" hidden="1">
      <c r="A1565" s="3">
        <v>153373</v>
      </c>
      <c r="B1565" s="7" t="s">
        <v>240</v>
      </c>
      <c r="C1565" s="42">
        <v>433.33</v>
      </c>
      <c r="D1565" s="6">
        <v>45602</v>
      </c>
      <c r="E1565" s="3" t="str">
        <f ca="1">IF(Tabela2[[#This Row],[Dt Venc:]]&gt;TODAY(),"Em Aberto",IF(Tabela2[[#This Row],[D/venc]]="-","Enviado",IF(Tabela2[[#This Row],[Dt Venc:]]=TODAY(),"Vence Hoje","Vencida")))</f>
        <v>Enviado</v>
      </c>
      <c r="F1565" s="3" t="str">
        <f ca="1">IF(G1565=1,"-",Tabela2[[#This Row],[Dt Venc:]]-TODAY())</f>
        <v>-</v>
      </c>
      <c r="G1565" s="3">
        <v>1</v>
      </c>
      <c r="H1565" s="3"/>
    </row>
    <row r="1566" spans="1:8" hidden="1">
      <c r="A1566" s="3">
        <v>153375</v>
      </c>
      <c r="B1566" s="7" t="s">
        <v>240</v>
      </c>
      <c r="C1566" s="42">
        <v>433.33</v>
      </c>
      <c r="D1566" s="6">
        <v>45602</v>
      </c>
      <c r="E1566" s="3" t="str">
        <f ca="1">IF(Tabela2[[#This Row],[Dt Venc:]]&gt;TODAY(),"Em Aberto",IF(Tabela2[[#This Row],[D/venc]]="-","Enviado",IF(Tabela2[[#This Row],[Dt Venc:]]=TODAY(),"Vence Hoje","Vencida")))</f>
        <v>Enviado</v>
      </c>
      <c r="F1566" s="3" t="str">
        <f ca="1">IF(G1566=1,"-",Tabela2[[#This Row],[Dt Venc:]]-TODAY())</f>
        <v>-</v>
      </c>
      <c r="G1566" s="3">
        <v>1</v>
      </c>
      <c r="H1566" s="3"/>
    </row>
    <row r="1567" spans="1:8" hidden="1">
      <c r="A1567" s="3">
        <v>153374</v>
      </c>
      <c r="B1567" s="7" t="s">
        <v>240</v>
      </c>
      <c r="C1567" s="42">
        <v>773.33</v>
      </c>
      <c r="D1567" s="6">
        <v>45602</v>
      </c>
      <c r="E1567" s="3" t="str">
        <f ca="1">IF(Tabela2[[#This Row],[Dt Venc:]]&gt;TODAY(),"Em Aberto",IF(Tabela2[[#This Row],[D/venc]]="-","Enviado",IF(Tabela2[[#This Row],[Dt Venc:]]=TODAY(),"Vence Hoje","Vencida")))</f>
        <v>Enviado</v>
      </c>
      <c r="F1567" s="3" t="str">
        <f ca="1">IF(G1567=1,"-",Tabela2[[#This Row],[Dt Venc:]]-TODAY())</f>
        <v>-</v>
      </c>
      <c r="G1567" s="3">
        <v>1</v>
      </c>
      <c r="H1567" s="3"/>
    </row>
    <row r="1568" spans="1:8" hidden="1">
      <c r="A1568" s="3">
        <v>71619</v>
      </c>
      <c r="B1568" s="7" t="s">
        <v>76</v>
      </c>
      <c r="C1568" s="42">
        <v>1728.17</v>
      </c>
      <c r="D1568" s="6">
        <v>45602</v>
      </c>
      <c r="E1568" s="3" t="str">
        <f ca="1">IF(Tabela2[[#This Row],[Dt Venc:]]&gt;TODAY(),"Em Aberto",IF(Tabela2[[#This Row],[D/venc]]="-","Enviado",IF(Tabela2[[#This Row],[Dt Venc:]]=TODAY(),"Vence Hoje","Vencida")))</f>
        <v>Enviado</v>
      </c>
      <c r="F1568" s="3" t="str">
        <f ca="1">IF(G1568=1,"-",Tabela2[[#This Row],[Dt Venc:]]-TODAY())</f>
        <v>-</v>
      </c>
      <c r="G1568" s="3">
        <v>1</v>
      </c>
      <c r="H1568" s="3"/>
    </row>
    <row r="1569" spans="1:8" hidden="1">
      <c r="A1569" s="3">
        <v>71673</v>
      </c>
      <c r="B1569" s="7" t="s">
        <v>76</v>
      </c>
      <c r="C1569" s="42">
        <v>357.9</v>
      </c>
      <c r="D1569" s="6">
        <v>45602</v>
      </c>
      <c r="E1569" s="3" t="str">
        <f ca="1">IF(Tabela2[[#This Row],[Dt Venc:]]&gt;TODAY(),"Em Aberto",IF(Tabela2[[#This Row],[D/venc]]="-","Enviado",IF(Tabela2[[#This Row],[Dt Venc:]]=TODAY(),"Vence Hoje","Vencida")))</f>
        <v>Enviado</v>
      </c>
      <c r="F1569" s="3" t="str">
        <f ca="1">IF(G1569=1,"-",Tabela2[[#This Row],[Dt Venc:]]-TODAY())</f>
        <v>-</v>
      </c>
      <c r="G1569" s="3">
        <v>1</v>
      </c>
      <c r="H1569" s="3"/>
    </row>
    <row r="1570" spans="1:8" hidden="1">
      <c r="A1570" s="3">
        <v>26960</v>
      </c>
      <c r="B1570" s="7" t="s">
        <v>192</v>
      </c>
      <c r="C1570" s="42">
        <v>2128.7399999999998</v>
      </c>
      <c r="D1570" s="6">
        <v>45602</v>
      </c>
      <c r="E1570" s="3" t="str">
        <f ca="1">IF(Tabela2[[#This Row],[Dt Venc:]]&gt;TODAY(),"Em Aberto",IF(Tabela2[[#This Row],[D/venc]]="-","Enviado",IF(Tabela2[[#This Row],[Dt Venc:]]=TODAY(),"Vence Hoje","Vencida")))</f>
        <v>Enviado</v>
      </c>
      <c r="F1570" s="3" t="str">
        <f ca="1">IF(G1570=1,"-",Tabela2[[#This Row],[Dt Venc:]]-TODAY())</f>
        <v>-</v>
      </c>
      <c r="G1570" s="3">
        <v>1</v>
      </c>
      <c r="H1570" s="3"/>
    </row>
    <row r="1571" spans="1:8" hidden="1">
      <c r="A1571" s="3">
        <v>326718</v>
      </c>
      <c r="B1571" s="7" t="s">
        <v>240</v>
      </c>
      <c r="C1571" s="42">
        <v>405</v>
      </c>
      <c r="D1571" s="6">
        <v>45602</v>
      </c>
      <c r="E1571" s="3" t="str">
        <f ca="1">IF(Tabela2[[#This Row],[Dt Venc:]]&gt;TODAY(),"Em Aberto",IF(Tabela2[[#This Row],[D/venc]]="-","Enviado",IF(Tabela2[[#This Row],[Dt Venc:]]=TODAY(),"Vence Hoje","Vencida")))</f>
        <v>Enviado</v>
      </c>
      <c r="F1571" s="3" t="str">
        <f ca="1">IF(G1571=1,"-",Tabela2[[#This Row],[Dt Venc:]]-TODAY())</f>
        <v>-</v>
      </c>
      <c r="G1571" s="3">
        <v>1</v>
      </c>
      <c r="H1571" s="3"/>
    </row>
    <row r="1572" spans="1:8" hidden="1">
      <c r="A1572" s="3">
        <v>153378</v>
      </c>
      <c r="B1572" s="7" t="s">
        <v>240</v>
      </c>
      <c r="C1572" s="42">
        <v>1233.33</v>
      </c>
      <c r="D1572" s="6">
        <v>45602</v>
      </c>
      <c r="E1572" s="3" t="str">
        <f ca="1">IF(Tabela2[[#This Row],[Dt Venc:]]&gt;TODAY(),"Em Aberto",IF(Tabela2[[#This Row],[D/venc]]="-","Enviado",IF(Tabela2[[#This Row],[Dt Venc:]]=TODAY(),"Vence Hoje","Vencida")))</f>
        <v>Enviado</v>
      </c>
      <c r="F1572" s="3" t="str">
        <f ca="1">IF(G1572=1,"-",Tabela2[[#This Row],[Dt Venc:]]-TODAY())</f>
        <v>-</v>
      </c>
      <c r="G1572" s="3">
        <v>1</v>
      </c>
      <c r="H1572" s="3"/>
    </row>
    <row r="1573" spans="1:8" hidden="1">
      <c r="A1573" s="3">
        <v>237128</v>
      </c>
      <c r="B1573" s="7" t="s">
        <v>43</v>
      </c>
      <c r="C1573" s="42">
        <v>1374.3</v>
      </c>
      <c r="D1573" s="6">
        <v>45602</v>
      </c>
      <c r="E1573" s="3" t="str">
        <f ca="1">IF(Tabela2[[#This Row],[Dt Venc:]]&gt;TODAY(),"Em Aberto",IF(Tabela2[[#This Row],[D/venc]]="-","Enviado",IF(Tabela2[[#This Row],[Dt Venc:]]=TODAY(),"Vence Hoje","Vencida")))</f>
        <v>Enviado</v>
      </c>
      <c r="F1573" s="3" t="str">
        <f ca="1">IF(G1573=1,"-",Tabela2[[#This Row],[Dt Venc:]]-TODAY())</f>
        <v>-</v>
      </c>
      <c r="G1573" s="3">
        <v>1</v>
      </c>
      <c r="H1573" s="3"/>
    </row>
    <row r="1574" spans="1:8" hidden="1">
      <c r="A1574" s="3">
        <v>4527</v>
      </c>
      <c r="B1574" s="7" t="s">
        <v>404</v>
      </c>
      <c r="C1574" s="42">
        <v>534.5</v>
      </c>
      <c r="D1574" s="6">
        <v>45602</v>
      </c>
      <c r="E1574" s="3" t="str">
        <f ca="1">IF(Tabela2[[#This Row],[Dt Venc:]]&gt;TODAY(),"Em Aberto",IF(Tabela2[[#This Row],[D/venc]]="-","Enviado",IF(Tabela2[[#This Row],[Dt Venc:]]=TODAY(),"Vence Hoje","Vencida")))</f>
        <v>Enviado</v>
      </c>
      <c r="F1574" s="3" t="str">
        <f ca="1">IF(G1574=1,"-",Tabela2[[#This Row],[Dt Venc:]]-TODAY())</f>
        <v>-</v>
      </c>
      <c r="G1574" s="3">
        <v>1</v>
      </c>
      <c r="H1574" s="3"/>
    </row>
    <row r="1575" spans="1:8" hidden="1">
      <c r="A1575" s="3">
        <v>4929</v>
      </c>
      <c r="B1575" s="7" t="s">
        <v>62</v>
      </c>
      <c r="C1575" s="42">
        <v>1140</v>
      </c>
      <c r="D1575" s="6">
        <v>45602</v>
      </c>
      <c r="E1575" s="3" t="str">
        <f ca="1">IF(Tabela2[[#This Row],[Dt Venc:]]&gt;TODAY(),"Em Aberto",IF(Tabela2[[#This Row],[D/venc]]="-","Enviado",IF(Tabela2[[#This Row],[Dt Venc:]]=TODAY(),"Vence Hoje","Vencida")))</f>
        <v>Enviado</v>
      </c>
      <c r="F1575" s="3" t="str">
        <f ca="1">IF(G1575=1,"-",Tabela2[[#This Row],[Dt Venc:]]-TODAY())</f>
        <v>-</v>
      </c>
      <c r="G1575" s="3">
        <v>1</v>
      </c>
      <c r="H1575" s="3"/>
    </row>
    <row r="1576" spans="1:8" hidden="1">
      <c r="A1576" s="3">
        <v>1593</v>
      </c>
      <c r="B1576" s="7" t="s">
        <v>92</v>
      </c>
      <c r="C1576" s="41">
        <v>95</v>
      </c>
      <c r="D1576" s="6">
        <v>45602</v>
      </c>
      <c r="E1576" s="3" t="str">
        <f ca="1">IF(Tabela2[[#This Row],[Dt Venc:]]&gt;TODAY(),"Em Aberto",IF(Tabela2[[#This Row],[D/venc]]="-","Enviado",IF(Tabela2[[#This Row],[Dt Venc:]]=TODAY(),"Vence Hoje","Vencida")))</f>
        <v>Enviado</v>
      </c>
      <c r="F1576" s="3" t="str">
        <f ca="1">IF(G1576=1,"-",Tabela2[[#This Row],[Dt Venc:]]-TODAY())</f>
        <v>-</v>
      </c>
      <c r="G1576" s="3">
        <v>1</v>
      </c>
      <c r="H1576" s="3"/>
    </row>
    <row r="1577" spans="1:8" hidden="1">
      <c r="A1577" s="3">
        <v>9927</v>
      </c>
      <c r="B1577" s="7" t="s">
        <v>76</v>
      </c>
      <c r="C1577" s="41">
        <v>511.83</v>
      </c>
      <c r="D1577" s="6">
        <v>45602</v>
      </c>
      <c r="E1577" s="3" t="str">
        <f ca="1">IF(Tabela2[[#This Row],[Dt Venc:]]&gt;TODAY(),"Em Aberto",IF(Tabela2[[#This Row],[D/venc]]="-","Enviado",IF(Tabela2[[#This Row],[Dt Venc:]]=TODAY(),"Vence Hoje","Vencida")))</f>
        <v>Enviado</v>
      </c>
      <c r="F1577" s="3" t="str">
        <f ca="1">IF(G1577=1,"-",Tabela2[[#This Row],[Dt Venc:]]-TODAY())</f>
        <v>-</v>
      </c>
      <c r="G1577" s="3">
        <v>1</v>
      </c>
      <c r="H1577" s="3"/>
    </row>
    <row r="1578" spans="1:8" hidden="1">
      <c r="A1578" s="3">
        <v>443470</v>
      </c>
      <c r="B1578" s="7" t="s">
        <v>59</v>
      </c>
      <c r="C1578" s="41">
        <v>27676.5</v>
      </c>
      <c r="D1578" s="6">
        <v>45602</v>
      </c>
      <c r="E1578" s="3" t="str">
        <f ca="1">IF(Tabela2[[#This Row],[Dt Venc:]]&gt;TODAY(),"Em Aberto",IF(Tabela2[[#This Row],[D/venc]]="-","Enviado",IF(Tabela2[[#This Row],[Dt Venc:]]=TODAY(),"Vence Hoje","Vencida")))</f>
        <v>Enviado</v>
      </c>
      <c r="F1578" s="3" t="str">
        <f ca="1">IF(G1578=1,"-",Tabela2[[#This Row],[Dt Venc:]]-TODAY())</f>
        <v>-</v>
      </c>
      <c r="G1578" s="3">
        <v>1</v>
      </c>
      <c r="H1578" s="3"/>
    </row>
    <row r="1579" spans="1:8" hidden="1">
      <c r="A1579" s="3">
        <v>141272</v>
      </c>
      <c r="B1579" s="7" t="s">
        <v>60</v>
      </c>
      <c r="C1579" s="41">
        <v>390</v>
      </c>
      <c r="D1579" s="6">
        <v>45602</v>
      </c>
      <c r="E1579" s="3" t="str">
        <f ca="1">IF(Tabela2[[#This Row],[Dt Venc:]]&gt;TODAY(),"Em Aberto",IF(Tabela2[[#This Row],[D/venc]]="-","Enviado",IF(Tabela2[[#This Row],[Dt Venc:]]=TODAY(),"Vence Hoje","Vencida")))</f>
        <v>Enviado</v>
      </c>
      <c r="F1579" s="3" t="str">
        <f ca="1">IF(G1579=1,"-",Tabela2[[#This Row],[Dt Venc:]]-TODAY())</f>
        <v>-</v>
      </c>
      <c r="G1579" s="3">
        <v>1</v>
      </c>
      <c r="H1579" s="3"/>
    </row>
    <row r="1580" spans="1:8" hidden="1">
      <c r="A1580" s="3">
        <v>57332</v>
      </c>
      <c r="B1580" s="7" t="s">
        <v>327</v>
      </c>
      <c r="C1580" s="41">
        <v>1002.27</v>
      </c>
      <c r="D1580" s="6">
        <v>45602</v>
      </c>
      <c r="E1580" s="3" t="str">
        <f ca="1">IF(Tabela2[[#This Row],[Dt Venc:]]&gt;TODAY(),"Em Aberto",IF(Tabela2[[#This Row],[D/venc]]="-","Enviado",IF(Tabela2[[#This Row],[Dt Venc:]]=TODAY(),"Vence Hoje","Vencida")))</f>
        <v>Enviado</v>
      </c>
      <c r="F1580" s="3" t="str">
        <f ca="1">IF(G1580=1,"-",Tabela2[[#This Row],[Dt Venc:]]-TODAY())</f>
        <v>-</v>
      </c>
      <c r="G1580" s="3">
        <v>1</v>
      </c>
      <c r="H1580" s="3"/>
    </row>
    <row r="1581" spans="1:8" hidden="1">
      <c r="A1581" s="3">
        <v>3300455</v>
      </c>
      <c r="B1581" s="7" t="s">
        <v>405</v>
      </c>
      <c r="C1581" s="41">
        <v>81948</v>
      </c>
      <c r="D1581" s="6">
        <v>45602</v>
      </c>
      <c r="E1581" s="3" t="str">
        <f ca="1">IF(Tabela2[[#This Row],[Dt Venc:]]&gt;TODAY(),"Em Aberto",IF(Tabela2[[#This Row],[D/venc]]="-","Enviado",IF(Tabela2[[#This Row],[Dt Venc:]]=TODAY(),"Vence Hoje","Vencida")))</f>
        <v>Enviado</v>
      </c>
      <c r="F1581" s="3" t="str">
        <f ca="1">IF(G1581=1,"-",Tabela2[[#This Row],[Dt Venc:]]-TODAY())</f>
        <v>-</v>
      </c>
      <c r="G1581" s="3">
        <v>1</v>
      </c>
      <c r="H1581" s="3"/>
    </row>
    <row r="1582" spans="1:8" hidden="1">
      <c r="A1582" s="3">
        <v>10728</v>
      </c>
      <c r="B1582" s="7" t="s">
        <v>33</v>
      </c>
      <c r="C1582" s="42">
        <v>720</v>
      </c>
      <c r="D1582" s="6">
        <v>45603</v>
      </c>
      <c r="E1582" s="3" t="str">
        <f ca="1">IF(Tabela2[[#This Row],[Dt Venc:]]&gt;TODAY(),"Em Aberto",IF(Tabela2[[#This Row],[D/venc]]="-","Enviado",IF(Tabela2[[#This Row],[Dt Venc:]]=TODAY(),"Vence Hoje","Vencida")))</f>
        <v>Enviado</v>
      </c>
      <c r="F1582" s="3" t="str">
        <f ca="1">IF(G1582=1,"-",Tabela2[[#This Row],[Dt Venc:]]-TODAY())</f>
        <v>-</v>
      </c>
      <c r="G1582" s="3">
        <v>1</v>
      </c>
      <c r="H1582" s="3"/>
    </row>
    <row r="1583" spans="1:8" hidden="1">
      <c r="A1583" s="3">
        <v>299731</v>
      </c>
      <c r="B1583" s="7" t="s">
        <v>53</v>
      </c>
      <c r="C1583" s="42">
        <v>614.48</v>
      </c>
      <c r="D1583" s="6">
        <v>45603</v>
      </c>
      <c r="E1583" s="3" t="str">
        <f ca="1">IF(Tabela2[[#This Row],[Dt Venc:]]&gt;TODAY(),"Em Aberto",IF(Tabela2[[#This Row],[D/venc]]="-","Enviado",IF(Tabela2[[#This Row],[Dt Venc:]]=TODAY(),"Vence Hoje","Vencida")))</f>
        <v>Enviado</v>
      </c>
      <c r="F1583" s="3" t="str">
        <f ca="1">IF(G1583=1,"-",Tabela2[[#This Row],[Dt Venc:]]-TODAY())</f>
        <v>-</v>
      </c>
      <c r="G1583" s="3">
        <v>1</v>
      </c>
      <c r="H1583" s="3"/>
    </row>
    <row r="1584" spans="1:8" hidden="1">
      <c r="A1584" s="3">
        <v>252998</v>
      </c>
      <c r="B1584" s="7" t="s">
        <v>36</v>
      </c>
      <c r="C1584" s="42">
        <v>876.67</v>
      </c>
      <c r="D1584" s="6">
        <v>45603</v>
      </c>
      <c r="E1584" s="3" t="str">
        <f ca="1">IF(Tabela2[[#This Row],[Dt Venc:]]&gt;TODAY(),"Em Aberto",IF(Tabela2[[#This Row],[D/venc]]="-","Enviado",IF(Tabela2[[#This Row],[Dt Venc:]]=TODAY(),"Vence Hoje","Vencida")))</f>
        <v>Enviado</v>
      </c>
      <c r="F1584" s="3" t="str">
        <f ca="1">IF(G1584=1,"-",Tabela2[[#This Row],[Dt Venc:]]-TODAY())</f>
        <v>-</v>
      </c>
      <c r="G1584" s="3">
        <v>1</v>
      </c>
      <c r="H1584" s="3"/>
    </row>
    <row r="1585" spans="1:8" hidden="1">
      <c r="A1585" s="3">
        <v>144607</v>
      </c>
      <c r="B1585" s="7" t="s">
        <v>127</v>
      </c>
      <c r="C1585" s="42">
        <v>604.5</v>
      </c>
      <c r="D1585" s="6">
        <v>45603</v>
      </c>
      <c r="E1585" s="3" t="str">
        <f ca="1">IF(Tabela2[[#This Row],[Dt Venc:]]&gt;TODAY(),"Em Aberto",IF(Tabela2[[#This Row],[D/venc]]="-","Enviado",IF(Tabela2[[#This Row],[Dt Venc:]]=TODAY(),"Vence Hoje","Vencida")))</f>
        <v>Enviado</v>
      </c>
      <c r="F1585" s="3" t="str">
        <f ca="1">IF(G1585=1,"-",Tabela2[[#This Row],[Dt Venc:]]-TODAY())</f>
        <v>-</v>
      </c>
      <c r="G1585" s="3">
        <v>1</v>
      </c>
      <c r="H1585" s="3"/>
    </row>
    <row r="1586" spans="1:8" hidden="1">
      <c r="A1586" s="3">
        <v>144609</v>
      </c>
      <c r="B1586" s="7" t="s">
        <v>127</v>
      </c>
      <c r="C1586" s="42">
        <v>262.7</v>
      </c>
      <c r="D1586" s="6">
        <v>45603</v>
      </c>
      <c r="E1586" s="3" t="str">
        <f ca="1">IF(Tabela2[[#This Row],[Dt Venc:]]&gt;TODAY(),"Em Aberto",IF(Tabela2[[#This Row],[D/venc]]="-","Enviado",IF(Tabela2[[#This Row],[Dt Venc:]]=TODAY(),"Vence Hoje","Vencida")))</f>
        <v>Enviado</v>
      </c>
      <c r="F1586" s="3" t="str">
        <f ca="1">IF(G1586=1,"-",Tabela2[[#This Row],[Dt Venc:]]-TODAY())</f>
        <v>-</v>
      </c>
      <c r="G1586" s="3">
        <v>1</v>
      </c>
      <c r="H1586" s="3"/>
    </row>
    <row r="1587" spans="1:8" hidden="1">
      <c r="A1587" s="3">
        <v>750179</v>
      </c>
      <c r="B1587" s="7" t="s">
        <v>127</v>
      </c>
      <c r="C1587" s="42">
        <v>362.07</v>
      </c>
      <c r="D1587" s="6">
        <v>45603</v>
      </c>
      <c r="E1587" s="3" t="str">
        <f ca="1">IF(Tabela2[[#This Row],[Dt Venc:]]&gt;TODAY(),"Em Aberto",IF(Tabela2[[#This Row],[D/venc]]="-","Enviado",IF(Tabela2[[#This Row],[Dt Venc:]]=TODAY(),"Vence Hoje","Vencida")))</f>
        <v>Enviado</v>
      </c>
      <c r="F1587" s="3" t="str">
        <f ca="1">IF(G1587=1,"-",Tabela2[[#This Row],[Dt Venc:]]-TODAY())</f>
        <v>-</v>
      </c>
      <c r="G1587" s="3">
        <v>1</v>
      </c>
      <c r="H1587" s="3"/>
    </row>
    <row r="1588" spans="1:8" hidden="1">
      <c r="A1588" s="3">
        <v>750183</v>
      </c>
      <c r="B1588" s="7" t="s">
        <v>149</v>
      </c>
      <c r="C1588" s="42">
        <v>482.75</v>
      </c>
      <c r="D1588" s="6">
        <v>45603</v>
      </c>
      <c r="E1588" s="3" t="str">
        <f ca="1">IF(Tabela2[[#This Row],[Dt Venc:]]&gt;TODAY(),"Em Aberto",IF(Tabela2[[#This Row],[D/venc]]="-","Enviado",IF(Tabela2[[#This Row],[Dt Venc:]]=TODAY(),"Vence Hoje","Vencida")))</f>
        <v>Enviado</v>
      </c>
      <c r="F1588" s="3" t="str">
        <f ca="1">IF(G1588=1,"-",Tabela2[[#This Row],[Dt Venc:]]-TODAY())</f>
        <v>-</v>
      </c>
      <c r="G1588" s="3">
        <v>1</v>
      </c>
      <c r="H1588" s="3"/>
    </row>
    <row r="1589" spans="1:8" hidden="1">
      <c r="A1589" s="3">
        <v>39755</v>
      </c>
      <c r="B1589" s="7" t="s">
        <v>150</v>
      </c>
      <c r="C1589" s="42">
        <v>661.87</v>
      </c>
      <c r="D1589" s="6">
        <v>45603</v>
      </c>
      <c r="E1589" s="3" t="str">
        <f ca="1">IF(Tabela2[[#This Row],[Dt Venc:]]&gt;TODAY(),"Em Aberto",IF(Tabela2[[#This Row],[D/venc]]="-","Enviado",IF(Tabela2[[#This Row],[Dt Venc:]]=TODAY(),"Vence Hoje","Vencida")))</f>
        <v>Enviado</v>
      </c>
      <c r="F1589" s="3" t="str">
        <f ca="1">IF(G1589=1,"-",Tabela2[[#This Row],[Dt Venc:]]-TODAY())</f>
        <v>-</v>
      </c>
      <c r="G1589" s="3">
        <v>1</v>
      </c>
      <c r="H1589" s="3"/>
    </row>
    <row r="1590" spans="1:8" hidden="1">
      <c r="A1590" s="3">
        <v>761516</v>
      </c>
      <c r="B1590" s="7" t="s">
        <v>79</v>
      </c>
      <c r="C1590" s="42">
        <v>1776.28</v>
      </c>
      <c r="D1590" s="6">
        <v>45603</v>
      </c>
      <c r="E1590" s="3" t="str">
        <f ca="1">IF(Tabela2[[#This Row],[Dt Venc:]]&gt;TODAY(),"Em Aberto",IF(Tabela2[[#This Row],[D/venc]]="-","Enviado",IF(Tabela2[[#This Row],[Dt Venc:]]=TODAY(),"Vence Hoje","Vencida")))</f>
        <v>Enviado</v>
      </c>
      <c r="F1590" s="3" t="str">
        <f ca="1">IF(G1590=1,"-",Tabela2[[#This Row],[Dt Venc:]]-TODAY())</f>
        <v>-</v>
      </c>
      <c r="G1590" s="3">
        <v>1</v>
      </c>
      <c r="H1590" s="3"/>
    </row>
    <row r="1591" spans="1:8" hidden="1">
      <c r="A1591" s="3">
        <v>152019</v>
      </c>
      <c r="B1591" s="7" t="s">
        <v>77</v>
      </c>
      <c r="C1591" s="42">
        <v>450</v>
      </c>
      <c r="D1591" s="6">
        <v>45603</v>
      </c>
      <c r="E1591" s="3" t="str">
        <f ca="1">IF(Tabela2[[#This Row],[Dt Venc:]]&gt;TODAY(),"Em Aberto",IF(Tabela2[[#This Row],[D/venc]]="-","Enviado",IF(Tabela2[[#This Row],[Dt Venc:]]=TODAY(),"Vence Hoje","Vencida")))</f>
        <v>Enviado</v>
      </c>
      <c r="F1591" s="3" t="str">
        <f ca="1">IF(G1591=1,"-",Tabela2[[#This Row],[Dt Venc:]]-TODAY())</f>
        <v>-</v>
      </c>
      <c r="G1591" s="3">
        <v>1</v>
      </c>
      <c r="H1591" s="3"/>
    </row>
    <row r="1592" spans="1:8" hidden="1">
      <c r="A1592" s="3">
        <v>185551</v>
      </c>
      <c r="B1592" s="7" t="s">
        <v>325</v>
      </c>
      <c r="C1592" s="42">
        <v>1304.48</v>
      </c>
      <c r="D1592" s="6">
        <v>45603</v>
      </c>
      <c r="E1592" s="3" t="str">
        <f ca="1">IF(Tabela2[[#This Row],[Dt Venc:]]&gt;TODAY(),"Em Aberto",IF(Tabela2[[#This Row],[D/venc]]="-","Enviado",IF(Tabela2[[#This Row],[Dt Venc:]]=TODAY(),"Vence Hoje","Vencida")))</f>
        <v>Enviado</v>
      </c>
      <c r="F1592" s="3" t="str">
        <f ca="1">IF(G1592=1,"-",Tabela2[[#This Row],[Dt Venc:]]-TODAY())</f>
        <v>-</v>
      </c>
      <c r="G1592" s="3">
        <v>1</v>
      </c>
      <c r="H1592" s="3"/>
    </row>
    <row r="1593" spans="1:8" hidden="1">
      <c r="A1593" s="3">
        <v>1228020</v>
      </c>
      <c r="B1593" s="7" t="s">
        <v>64</v>
      </c>
      <c r="C1593" s="42">
        <v>1109</v>
      </c>
      <c r="D1593" s="6">
        <v>45603</v>
      </c>
      <c r="E1593" s="3" t="str">
        <f ca="1">IF(Tabela2[[#This Row],[Dt Venc:]]&gt;TODAY(),"Em Aberto",IF(Tabela2[[#This Row],[D/venc]]="-","Enviado",IF(Tabela2[[#This Row],[Dt Venc:]]=TODAY(),"Vence Hoje","Vencida")))</f>
        <v>Enviado</v>
      </c>
      <c r="F1593" s="3" t="str">
        <f ca="1">IF(G1593=1,"-",Tabela2[[#This Row],[Dt Venc:]]-TODAY())</f>
        <v>-</v>
      </c>
      <c r="G1593" s="3">
        <v>1</v>
      </c>
      <c r="H1593" s="3"/>
    </row>
    <row r="1594" spans="1:8" hidden="1">
      <c r="A1594" s="3">
        <v>2723</v>
      </c>
      <c r="B1594" s="7" t="s">
        <v>58</v>
      </c>
      <c r="C1594" s="42">
        <v>1607.67</v>
      </c>
      <c r="D1594" s="6">
        <v>45603</v>
      </c>
      <c r="E1594" s="3" t="str">
        <f ca="1">IF(Tabela2[[#This Row],[Dt Venc:]]&gt;TODAY(),"Em Aberto",IF(Tabela2[[#This Row],[D/venc]]="-","Enviado",IF(Tabela2[[#This Row],[Dt Venc:]]=TODAY(),"Vence Hoje","Vencida")))</f>
        <v>Enviado</v>
      </c>
      <c r="F1594" s="3" t="str">
        <f ca="1">IF(G1594=1,"-",Tabela2[[#This Row],[Dt Venc:]]-TODAY())</f>
        <v>-</v>
      </c>
      <c r="G1594" s="3">
        <v>1</v>
      </c>
      <c r="H1594" s="3"/>
    </row>
    <row r="1595" spans="1:8" hidden="1">
      <c r="A1595" s="3">
        <v>607423</v>
      </c>
      <c r="B1595" s="7" t="s">
        <v>196</v>
      </c>
      <c r="C1595" s="42">
        <v>410.98</v>
      </c>
      <c r="D1595" s="6">
        <v>45603</v>
      </c>
      <c r="E1595" s="3" t="str">
        <f ca="1">IF(Tabela2[[#This Row],[Dt Venc:]]&gt;TODAY(),"Em Aberto",IF(Tabela2[[#This Row],[D/venc]]="-","Enviado",IF(Tabela2[[#This Row],[Dt Venc:]]=TODAY(),"Vence Hoje","Vencida")))</f>
        <v>Enviado</v>
      </c>
      <c r="F1595" s="3" t="str">
        <f ca="1">IF(G1595=1,"-",Tabela2[[#This Row],[Dt Venc:]]-TODAY())</f>
        <v>-</v>
      </c>
      <c r="G1595" s="3">
        <v>1</v>
      </c>
      <c r="H1595" s="3"/>
    </row>
    <row r="1596" spans="1:8" hidden="1">
      <c r="A1596" s="3">
        <v>202108</v>
      </c>
      <c r="B1596" s="7" t="s">
        <v>200</v>
      </c>
      <c r="C1596" s="42">
        <v>800</v>
      </c>
      <c r="D1596" s="6">
        <v>45603</v>
      </c>
      <c r="E1596" s="3" t="str">
        <f ca="1">IF(Tabela2[[#This Row],[Dt Venc:]]&gt;TODAY(),"Em Aberto",IF(Tabela2[[#This Row],[D/venc]]="-","Enviado",IF(Tabela2[[#This Row],[Dt Venc:]]=TODAY(),"Vence Hoje","Vencida")))</f>
        <v>Enviado</v>
      </c>
      <c r="F1596" s="3" t="str">
        <f ca="1">IF(G1596=1,"-",Tabela2[[#This Row],[Dt Venc:]]-TODAY())</f>
        <v>-</v>
      </c>
      <c r="G1596" s="3">
        <v>1</v>
      </c>
      <c r="H1596" s="3"/>
    </row>
    <row r="1597" spans="1:8" hidden="1">
      <c r="A1597" s="3">
        <v>112067</v>
      </c>
      <c r="B1597" s="7" t="s">
        <v>336</v>
      </c>
      <c r="C1597" s="42">
        <v>518.33000000000004</v>
      </c>
      <c r="D1597" s="6">
        <v>45603</v>
      </c>
      <c r="E1597" s="3" t="str">
        <f ca="1">IF(Tabela2[[#This Row],[Dt Venc:]]&gt;TODAY(),"Em Aberto",IF(Tabela2[[#This Row],[D/venc]]="-","Enviado",IF(Tabela2[[#This Row],[Dt Venc:]]=TODAY(),"Vence Hoje","Vencida")))</f>
        <v>Enviado</v>
      </c>
      <c r="F1597" s="3" t="str">
        <f ca="1">IF(G1597=1,"-",Tabela2[[#This Row],[Dt Venc:]]-TODAY())</f>
        <v>-</v>
      </c>
      <c r="G1597" s="3">
        <v>1</v>
      </c>
      <c r="H1597" s="3"/>
    </row>
    <row r="1598" spans="1:8" hidden="1">
      <c r="A1598" s="3">
        <v>9457</v>
      </c>
      <c r="B1598" s="7" t="s">
        <v>88</v>
      </c>
      <c r="C1598" s="42">
        <v>292.2</v>
      </c>
      <c r="D1598" s="6">
        <v>45603</v>
      </c>
      <c r="E1598" s="3" t="str">
        <f ca="1">IF(Tabela2[[#This Row],[Dt Venc:]]&gt;TODAY(),"Em Aberto",IF(Tabela2[[#This Row],[D/venc]]="-","Enviado",IF(Tabela2[[#This Row],[Dt Venc:]]=TODAY(),"Vence Hoje","Vencida")))</f>
        <v>Enviado</v>
      </c>
      <c r="F1598" s="3" t="str">
        <f ca="1">IF(G1598=1,"-",Tabela2[[#This Row],[Dt Venc:]]-TODAY())</f>
        <v>-</v>
      </c>
      <c r="G1598" s="3">
        <v>1</v>
      </c>
      <c r="H1598" s="3"/>
    </row>
    <row r="1599" spans="1:8" hidden="1">
      <c r="A1599" s="3">
        <v>129042</v>
      </c>
      <c r="B1599" s="7" t="s">
        <v>389</v>
      </c>
      <c r="C1599" s="42">
        <v>492.8</v>
      </c>
      <c r="D1599" s="6">
        <v>45603</v>
      </c>
      <c r="E1599" s="3" t="str">
        <f ca="1">IF(Tabela2[[#This Row],[Dt Venc:]]&gt;TODAY(),"Em Aberto",IF(Tabela2[[#This Row],[D/venc]]="-","Enviado",IF(Tabela2[[#This Row],[Dt Venc:]]=TODAY(),"Vence Hoje","Vencida")))</f>
        <v>Enviado</v>
      </c>
      <c r="F1599" s="3" t="str">
        <f ca="1">IF(G1599=1,"-",Tabela2[[#This Row],[Dt Venc:]]-TODAY())</f>
        <v>-</v>
      </c>
      <c r="G1599" s="3">
        <v>1</v>
      </c>
      <c r="H1599" s="3"/>
    </row>
    <row r="1600" spans="1:8" hidden="1">
      <c r="A1600" s="3">
        <v>3312</v>
      </c>
      <c r="B1600" s="7" t="s">
        <v>406</v>
      </c>
      <c r="C1600" s="42">
        <v>509.85</v>
      </c>
      <c r="D1600" s="6">
        <v>45603</v>
      </c>
      <c r="E1600" s="3" t="str">
        <f ca="1">IF(Tabela2[[#This Row],[Dt Venc:]]&gt;TODAY(),"Em Aberto",IF(Tabela2[[#This Row],[D/venc]]="-","Enviado",IF(Tabela2[[#This Row],[Dt Venc:]]=TODAY(),"Vence Hoje","Vencida")))</f>
        <v>Enviado</v>
      </c>
      <c r="F1600" s="3" t="str">
        <f ca="1">IF(G1600=1,"-",Tabela2[[#This Row],[Dt Venc:]]-TODAY())</f>
        <v>-</v>
      </c>
      <c r="G1600" s="3">
        <v>1</v>
      </c>
      <c r="H1600" s="3"/>
    </row>
    <row r="1601" spans="1:8" hidden="1">
      <c r="A1601" s="3">
        <v>3312</v>
      </c>
      <c r="B1601" s="7" t="s">
        <v>347</v>
      </c>
      <c r="C1601" s="42">
        <v>509.85</v>
      </c>
      <c r="D1601" s="6">
        <v>45603</v>
      </c>
      <c r="E1601" s="3" t="str">
        <f ca="1">IF(Tabela2[[#This Row],[Dt Venc:]]&gt;TODAY(),"Em Aberto",IF(Tabela2[[#This Row],[D/venc]]="-","Enviado",IF(Tabela2[[#This Row],[Dt Venc:]]=TODAY(),"Vence Hoje","Vencida")))</f>
        <v>Enviado</v>
      </c>
      <c r="F1601" s="3" t="str">
        <f ca="1">IF(G1601=1,"-",Tabela2[[#This Row],[Dt Venc:]]-TODAY())</f>
        <v>-</v>
      </c>
      <c r="G1601" s="3">
        <v>1</v>
      </c>
      <c r="H1601" s="3"/>
    </row>
    <row r="1602" spans="1:8" hidden="1">
      <c r="A1602" s="3">
        <v>7123</v>
      </c>
      <c r="B1602" s="7" t="s">
        <v>370</v>
      </c>
      <c r="C1602" s="42">
        <v>406</v>
      </c>
      <c r="D1602" s="6">
        <v>45603</v>
      </c>
      <c r="E1602" s="3" t="str">
        <f ca="1">IF(Tabela2[[#This Row],[Dt Venc:]]&gt;TODAY(),"Em Aberto",IF(Tabela2[[#This Row],[D/venc]]="-","Enviado",IF(Tabela2[[#This Row],[Dt Venc:]]=TODAY(),"Vence Hoje","Vencida")))</f>
        <v>Enviado</v>
      </c>
      <c r="F1602" s="3" t="str">
        <f ca="1">IF(G1602=1,"-",Tabela2[[#This Row],[Dt Venc:]]-TODAY())</f>
        <v>-</v>
      </c>
      <c r="G1602" s="3">
        <v>1</v>
      </c>
      <c r="H1602" s="3"/>
    </row>
    <row r="1603" spans="1:8" hidden="1">
      <c r="A1603" s="3">
        <v>186495</v>
      </c>
      <c r="B1603" s="7" t="s">
        <v>172</v>
      </c>
      <c r="C1603" s="42">
        <v>3371.98</v>
      </c>
      <c r="D1603" s="6">
        <v>45603</v>
      </c>
      <c r="E1603" s="3" t="str">
        <f ca="1">IF(Tabela2[[#This Row],[Dt Venc:]]&gt;TODAY(),"Em Aberto",IF(Tabela2[[#This Row],[D/venc]]="-","Enviado",IF(Tabela2[[#This Row],[Dt Venc:]]=TODAY(),"Vence Hoje","Vencida")))</f>
        <v>Enviado</v>
      </c>
      <c r="F1603" s="3" t="str">
        <f ca="1">IF(G1603=1,"-",Tabela2[[#This Row],[Dt Venc:]]-TODAY())</f>
        <v>-</v>
      </c>
      <c r="G1603" s="3">
        <v>1</v>
      </c>
      <c r="H1603" s="3"/>
    </row>
    <row r="1604" spans="1:8" hidden="1">
      <c r="A1604" s="3">
        <v>238100</v>
      </c>
      <c r="B1604" s="7" t="s">
        <v>43</v>
      </c>
      <c r="C1604" s="42">
        <v>79</v>
      </c>
      <c r="D1604" s="6">
        <v>45603</v>
      </c>
      <c r="E1604" s="3" t="str">
        <f ca="1">IF(Tabela2[[#This Row],[Dt Venc:]]&gt;TODAY(),"Em Aberto",IF(Tabela2[[#This Row],[D/venc]]="-","Enviado",IF(Tabela2[[#This Row],[Dt Venc:]]=TODAY(),"Vence Hoje","Vencida")))</f>
        <v>Enviado</v>
      </c>
      <c r="F1604" s="3" t="str">
        <f ca="1">IF(G1604=1,"-",Tabela2[[#This Row],[Dt Venc:]]-TODAY())</f>
        <v>-</v>
      </c>
      <c r="G1604" s="3">
        <v>1</v>
      </c>
      <c r="H1604" s="3"/>
    </row>
    <row r="1605" spans="1:8" hidden="1">
      <c r="A1605" s="3">
        <v>15540</v>
      </c>
      <c r="B1605" s="7" t="s">
        <v>170</v>
      </c>
      <c r="C1605" s="42">
        <v>450</v>
      </c>
      <c r="D1605" s="6">
        <v>45603</v>
      </c>
      <c r="E1605" s="3" t="str">
        <f ca="1">IF(Tabela2[[#This Row],[Dt Venc:]]&gt;TODAY(),"Em Aberto",IF(Tabela2[[#This Row],[D/venc]]="-","Enviado",IF(Tabela2[[#This Row],[Dt Venc:]]=TODAY(),"Vence Hoje","Vencida")))</f>
        <v>Enviado</v>
      </c>
      <c r="F1605" s="3" t="str">
        <f ca="1">IF(G1605=1,"-",Tabela2[[#This Row],[Dt Venc:]]-TODAY())</f>
        <v>-</v>
      </c>
      <c r="G1605" s="3">
        <v>1</v>
      </c>
      <c r="H1605" s="3"/>
    </row>
    <row r="1606" spans="1:8" hidden="1">
      <c r="A1606" s="3">
        <v>237891</v>
      </c>
      <c r="B1606" s="7" t="s">
        <v>43</v>
      </c>
      <c r="C1606" s="42">
        <v>485</v>
      </c>
      <c r="D1606" s="6">
        <v>45603</v>
      </c>
      <c r="E1606" s="3" t="str">
        <f ca="1">IF(Tabela2[[#This Row],[Dt Venc:]]&gt;TODAY(),"Em Aberto",IF(Tabela2[[#This Row],[D/venc]]="-","Enviado",IF(Tabela2[[#This Row],[Dt Venc:]]=TODAY(),"Vence Hoje","Vencida")))</f>
        <v>Enviado</v>
      </c>
      <c r="F1606" s="3" t="str">
        <f ca="1">IF(G1606=1,"-",Tabela2[[#This Row],[Dt Venc:]]-TODAY())</f>
        <v>-</v>
      </c>
      <c r="G1606" s="3">
        <v>1</v>
      </c>
      <c r="H1606" s="3"/>
    </row>
    <row r="1607" spans="1:8" hidden="1">
      <c r="A1607" s="3">
        <v>611500</v>
      </c>
      <c r="B1607" s="7" t="s">
        <v>66</v>
      </c>
      <c r="C1607" s="42">
        <v>3759.36</v>
      </c>
      <c r="D1607" s="6">
        <v>45603</v>
      </c>
      <c r="E1607" s="3" t="str">
        <f ca="1">IF(Tabela2[[#This Row],[Dt Venc:]]&gt;TODAY(),"Em Aberto",IF(Tabela2[[#This Row],[D/venc]]="-","Enviado",IF(Tabela2[[#This Row],[Dt Venc:]]=TODAY(),"Vence Hoje","Vencida")))</f>
        <v>Enviado</v>
      </c>
      <c r="F1607" s="3" t="str">
        <f ca="1">IF(G1607=1,"-",Tabela2[[#This Row],[Dt Venc:]]-TODAY())</f>
        <v>-</v>
      </c>
      <c r="G1607" s="3">
        <v>1</v>
      </c>
      <c r="H1607" s="3"/>
    </row>
    <row r="1608" spans="1:8" hidden="1">
      <c r="A1608" s="3">
        <v>13070</v>
      </c>
      <c r="B1608" s="7" t="s">
        <v>400</v>
      </c>
      <c r="C1608" s="41">
        <v>597.20000000000005</v>
      </c>
      <c r="D1608" s="6">
        <v>45603</v>
      </c>
      <c r="E1608" s="3" t="str">
        <f ca="1">IF(Tabela2[[#This Row],[Dt Venc:]]&gt;TODAY(),"Em Aberto",IF(Tabela2[[#This Row],[D/venc]]="-","Enviado",IF(Tabela2[[#This Row],[Dt Venc:]]=TODAY(),"Vence Hoje","Vencida")))</f>
        <v>Enviado</v>
      </c>
      <c r="F1608" s="3" t="str">
        <f ca="1">IF(G1608=1,"-",Tabela2[[#This Row],[Dt Venc:]]-TODAY())</f>
        <v>-</v>
      </c>
      <c r="G1608" s="3">
        <v>1</v>
      </c>
      <c r="H1608" s="3"/>
    </row>
    <row r="1609" spans="1:8" hidden="1">
      <c r="A1609" s="3">
        <v>2821</v>
      </c>
      <c r="B1609" s="7" t="s">
        <v>301</v>
      </c>
      <c r="C1609" s="41">
        <v>2440</v>
      </c>
      <c r="D1609" s="6">
        <v>45603</v>
      </c>
      <c r="E1609" s="3" t="str">
        <f ca="1">IF(Tabela2[[#This Row],[Dt Venc:]]&gt;TODAY(),"Em Aberto",IF(Tabela2[[#This Row],[D/venc]]="-","Enviado",IF(Tabela2[[#This Row],[Dt Venc:]]=TODAY(),"Vence Hoje","Vencida")))</f>
        <v>Enviado</v>
      </c>
      <c r="F1609" s="3" t="str">
        <f ca="1">IF(G1609=1,"-",Tabela2[[#This Row],[Dt Venc:]]-TODAY())</f>
        <v>-</v>
      </c>
      <c r="G1609" s="3">
        <v>1</v>
      </c>
      <c r="H1609" s="3"/>
    </row>
    <row r="1610" spans="1:8" hidden="1">
      <c r="A1610" s="3">
        <v>9677</v>
      </c>
      <c r="B1610" s="7" t="s">
        <v>105</v>
      </c>
      <c r="C1610" s="41">
        <v>2375</v>
      </c>
      <c r="D1610" s="6">
        <v>45603</v>
      </c>
      <c r="E1610" s="3" t="str">
        <f ca="1">IF(Tabela2[[#This Row],[Dt Venc:]]&gt;TODAY(),"Em Aberto",IF(Tabela2[[#This Row],[D/venc]]="-","Enviado",IF(Tabela2[[#This Row],[Dt Venc:]]=TODAY(),"Vence Hoje","Vencida")))</f>
        <v>Enviado</v>
      </c>
      <c r="F1610" s="3" t="str">
        <f ca="1">IF(G1610=1,"-",Tabela2[[#This Row],[Dt Venc:]]-TODAY())</f>
        <v>-</v>
      </c>
      <c r="G1610" s="3">
        <v>1</v>
      </c>
      <c r="H1610" s="3"/>
    </row>
    <row r="1611" spans="1:8" hidden="1">
      <c r="A1611" s="3">
        <v>203173</v>
      </c>
      <c r="B1611" s="7" t="s">
        <v>200</v>
      </c>
      <c r="C1611" s="41">
        <v>398.33</v>
      </c>
      <c r="D1611" s="6">
        <v>45603</v>
      </c>
      <c r="E1611" s="3" t="str">
        <f ca="1">IF(Tabela2[[#This Row],[Dt Venc:]]&gt;TODAY(),"Em Aberto",IF(Tabela2[[#This Row],[D/venc]]="-","Enviado",IF(Tabela2[[#This Row],[Dt Venc:]]=TODAY(),"Vence Hoje","Vencida")))</f>
        <v>Enviado</v>
      </c>
      <c r="F1611" s="3" t="str">
        <f ca="1">IF(G1611=1,"-",Tabela2[[#This Row],[Dt Venc:]]-TODAY())</f>
        <v>-</v>
      </c>
      <c r="G1611" s="3">
        <v>1</v>
      </c>
      <c r="H1611" s="3"/>
    </row>
    <row r="1612" spans="1:8" hidden="1">
      <c r="A1612" s="3">
        <v>141320</v>
      </c>
      <c r="B1612" s="7" t="s">
        <v>60</v>
      </c>
      <c r="C1612" s="41">
        <v>390</v>
      </c>
      <c r="D1612" s="6">
        <v>45603</v>
      </c>
      <c r="E1612" s="3" t="str">
        <f ca="1">IF(Tabela2[[#This Row],[Dt Venc:]]&gt;TODAY(),"Em Aberto",IF(Tabela2[[#This Row],[D/venc]]="-","Enviado",IF(Tabela2[[#This Row],[Dt Venc:]]=TODAY(),"Vence Hoje","Vencida")))</f>
        <v>Enviado</v>
      </c>
      <c r="F1612" s="3" t="str">
        <f ca="1">IF(G1612=1,"-",Tabela2[[#This Row],[Dt Venc:]]-TODAY())</f>
        <v>-</v>
      </c>
      <c r="G1612" s="3">
        <v>1</v>
      </c>
      <c r="H1612" s="3"/>
    </row>
    <row r="1613" spans="1:8" hidden="1">
      <c r="A1613" s="3">
        <v>141306</v>
      </c>
      <c r="B1613" s="7" t="s">
        <v>60</v>
      </c>
      <c r="C1613" s="41">
        <v>390</v>
      </c>
      <c r="D1613" s="6">
        <v>45603</v>
      </c>
      <c r="E1613" s="3" t="str">
        <f ca="1">IF(Tabela2[[#This Row],[Dt Venc:]]&gt;TODAY(),"Em Aberto",IF(Tabela2[[#This Row],[D/venc]]="-","Enviado",IF(Tabela2[[#This Row],[Dt Venc:]]=TODAY(),"Vence Hoje","Vencida")))</f>
        <v>Enviado</v>
      </c>
      <c r="F1613" s="3" t="str">
        <f ca="1">IF(G1613=1,"-",Tabela2[[#This Row],[Dt Venc:]]-TODAY())</f>
        <v>-</v>
      </c>
      <c r="G1613" s="3">
        <v>1</v>
      </c>
      <c r="H1613" s="3"/>
    </row>
    <row r="1614" spans="1:8" hidden="1">
      <c r="A1614" s="3">
        <v>141307</v>
      </c>
      <c r="B1614" s="7" t="s">
        <v>60</v>
      </c>
      <c r="C1614" s="41">
        <v>390</v>
      </c>
      <c r="D1614" s="6">
        <v>45603</v>
      </c>
      <c r="E1614" s="3" t="str">
        <f ca="1">IF(Tabela2[[#This Row],[Dt Venc:]]&gt;TODAY(),"Em Aberto",IF(Tabela2[[#This Row],[D/venc]]="-","Enviado",IF(Tabela2[[#This Row],[Dt Venc:]]=TODAY(),"Vence Hoje","Vencida")))</f>
        <v>Enviado</v>
      </c>
      <c r="F1614" s="3" t="str">
        <f ca="1">IF(G1614=1,"-",Tabela2[[#This Row],[Dt Venc:]]-TODAY())</f>
        <v>-</v>
      </c>
      <c r="G1614" s="3">
        <v>1</v>
      </c>
      <c r="H1614" s="3"/>
    </row>
    <row r="1615" spans="1:8" hidden="1">
      <c r="A1615" s="3">
        <v>141304</v>
      </c>
      <c r="B1615" s="7" t="s">
        <v>60</v>
      </c>
      <c r="C1615" s="41">
        <v>390</v>
      </c>
      <c r="D1615" s="6">
        <v>45603</v>
      </c>
      <c r="E1615" s="3" t="str">
        <f ca="1">IF(Tabela2[[#This Row],[Dt Venc:]]&gt;TODAY(),"Em Aberto",IF(Tabela2[[#This Row],[D/venc]]="-","Enviado",IF(Tabela2[[#This Row],[Dt Venc:]]=TODAY(),"Vence Hoje","Vencida")))</f>
        <v>Enviado</v>
      </c>
      <c r="F1615" s="3" t="str">
        <f ca="1">IF(G1615=1,"-",Tabela2[[#This Row],[Dt Venc:]]-TODAY())</f>
        <v>-</v>
      </c>
      <c r="G1615" s="3">
        <v>1</v>
      </c>
      <c r="H1615" s="3"/>
    </row>
    <row r="1616" spans="1:8" hidden="1">
      <c r="A1616" s="3">
        <v>141321</v>
      </c>
      <c r="B1616" s="7" t="s">
        <v>60</v>
      </c>
      <c r="C1616" s="41">
        <v>390</v>
      </c>
      <c r="D1616" s="6">
        <v>45603</v>
      </c>
      <c r="E1616" s="3" t="str">
        <f ca="1">IF(Tabela2[[#This Row],[Dt Venc:]]&gt;TODAY(),"Em Aberto",IF(Tabela2[[#This Row],[D/venc]]="-","Enviado",IF(Tabela2[[#This Row],[Dt Venc:]]=TODAY(),"Vence Hoje","Vencida")))</f>
        <v>Enviado</v>
      </c>
      <c r="F1616" s="3" t="str">
        <f ca="1">IF(G1616=1,"-",Tabela2[[#This Row],[Dt Venc:]]-TODAY())</f>
        <v>-</v>
      </c>
      <c r="G1616" s="3">
        <v>1</v>
      </c>
      <c r="H1616" s="3"/>
    </row>
    <row r="1617" spans="1:8" hidden="1">
      <c r="A1617" s="3">
        <v>2017</v>
      </c>
      <c r="B1617" s="7" t="s">
        <v>342</v>
      </c>
      <c r="C1617" s="41">
        <v>820</v>
      </c>
      <c r="D1617" s="6">
        <v>45603</v>
      </c>
      <c r="E1617" s="3" t="str">
        <f ca="1">IF(Tabela2[[#This Row],[Dt Venc:]]&gt;TODAY(),"Em Aberto",IF(Tabela2[[#This Row],[D/venc]]="-","Enviado",IF(Tabela2[[#This Row],[Dt Venc:]]=TODAY(),"Vence Hoje","Vencida")))</f>
        <v>Enviado</v>
      </c>
      <c r="F1617" s="3" t="str">
        <f ca="1">IF(G1617=1,"-",Tabela2[[#This Row],[Dt Venc:]]-TODAY())</f>
        <v>-</v>
      </c>
      <c r="G1617" s="3">
        <v>1</v>
      </c>
      <c r="H1617" s="3"/>
    </row>
    <row r="1618" spans="1:8" hidden="1">
      <c r="A1618" s="3">
        <v>284620</v>
      </c>
      <c r="B1618" s="7" t="s">
        <v>153</v>
      </c>
      <c r="C1618" s="84" t="s">
        <v>32</v>
      </c>
      <c r="D1618" s="6">
        <v>45604</v>
      </c>
      <c r="E1618" s="3" t="str">
        <f ca="1">IF(Tabela2[[#This Row],[Dt Venc:]]&gt;TODAY(),"Em Aberto",IF(Tabela2[[#This Row],[D/venc]]="-","Enviado",IF(Tabela2[[#This Row],[Dt Venc:]]=TODAY(),"Vence Hoje","Vencida")))</f>
        <v>Enviado</v>
      </c>
      <c r="F1618" s="3" t="str">
        <f ca="1">IF(G1618=1,"-",Tabela2[[#This Row],[Dt Venc:]]-TODAY())</f>
        <v>-</v>
      </c>
      <c r="G1618" s="3">
        <v>1</v>
      </c>
      <c r="H1618" s="3"/>
    </row>
    <row r="1619" spans="1:8" hidden="1">
      <c r="A1619" s="3">
        <v>1</v>
      </c>
      <c r="B1619" s="7" t="s">
        <v>165</v>
      </c>
      <c r="C1619" s="85" t="s">
        <v>32</v>
      </c>
      <c r="D1619" s="6">
        <v>45604</v>
      </c>
      <c r="E1619" s="3" t="str">
        <f ca="1">IF(Tabela2[[#This Row],[Dt Venc:]]&gt;TODAY(),"Em Aberto",IF(Tabela2[[#This Row],[D/venc]]="-","Enviado",IF(Tabela2[[#This Row],[Dt Venc:]]=TODAY(),"Vence Hoje","Vencida")))</f>
        <v>Enviado</v>
      </c>
      <c r="F1619" s="3" t="str">
        <f ca="1">IF(G1619=1,"-",Tabela2[[#This Row],[Dt Venc:]]-TODAY())</f>
        <v>-</v>
      </c>
      <c r="G1619" s="3">
        <v>1</v>
      </c>
      <c r="H1619" s="3"/>
    </row>
    <row r="1620" spans="1:8" hidden="1">
      <c r="A1620" s="3" t="s">
        <v>110</v>
      </c>
      <c r="B1620" s="7" t="s">
        <v>164</v>
      </c>
      <c r="C1620" s="42" t="s">
        <v>32</v>
      </c>
      <c r="D1620" s="6">
        <v>45604</v>
      </c>
      <c r="E1620" s="3" t="str">
        <f ca="1">IF(Tabela2[[#This Row],[Dt Venc:]]&gt;TODAY(),"Em Aberto",IF(Tabela2[[#This Row],[D/venc]]="-","Enviado",IF(Tabela2[[#This Row],[Dt Venc:]]=TODAY(),"Vence Hoje","Vencida")))</f>
        <v>Enviado</v>
      </c>
      <c r="F1620" s="3" t="str">
        <f ca="1">IF(G1620=1,"-",Tabela2[[#This Row],[Dt Venc:]]-TODAY())</f>
        <v>-</v>
      </c>
      <c r="G1620" s="3">
        <v>1</v>
      </c>
      <c r="H1620" s="3"/>
    </row>
    <row r="1621" spans="1:8" hidden="1">
      <c r="A1621" s="3">
        <v>2216</v>
      </c>
      <c r="B1621" s="7" t="s">
        <v>46</v>
      </c>
      <c r="C1621" s="42">
        <v>965</v>
      </c>
      <c r="D1621" s="6">
        <v>45604</v>
      </c>
      <c r="E1621" s="3" t="str">
        <f ca="1">IF(Tabela2[[#This Row],[Dt Venc:]]&gt;TODAY(),"Em Aberto",IF(Tabela2[[#This Row],[D/venc]]="-","Enviado",IF(Tabela2[[#This Row],[Dt Venc:]]=TODAY(),"Vence Hoje","Vencida")))</f>
        <v>Enviado</v>
      </c>
      <c r="F1621" s="3" t="str">
        <f ca="1">IF(G1621=1,"-",Tabela2[[#This Row],[Dt Venc:]]-TODAY())</f>
        <v>-</v>
      </c>
      <c r="G1621" s="3">
        <v>1</v>
      </c>
      <c r="H1621" s="3"/>
    </row>
    <row r="1622" spans="1:8" hidden="1">
      <c r="A1622" s="3">
        <v>22941</v>
      </c>
      <c r="B1622" s="7" t="s">
        <v>70</v>
      </c>
      <c r="C1622" s="42">
        <v>1813.63</v>
      </c>
      <c r="D1622" s="6">
        <v>45604</v>
      </c>
      <c r="E1622" s="3" t="str">
        <f ca="1">IF(Tabela2[[#This Row],[Dt Venc:]]&gt;TODAY(),"Em Aberto",IF(Tabela2[[#This Row],[D/venc]]="-","Enviado",IF(Tabela2[[#This Row],[Dt Venc:]]=TODAY(),"Vence Hoje","Vencida")))</f>
        <v>Enviado</v>
      </c>
      <c r="F1622" s="3" t="str">
        <f ca="1">IF(G1622=1,"-",Tabela2[[#This Row],[Dt Venc:]]-TODAY())</f>
        <v>-</v>
      </c>
      <c r="G1622" s="3">
        <v>1</v>
      </c>
      <c r="H1622" s="3"/>
    </row>
    <row r="1623" spans="1:8" hidden="1">
      <c r="A1623" s="3">
        <v>30140</v>
      </c>
      <c r="B1623" s="7" t="s">
        <v>70</v>
      </c>
      <c r="C1623" s="42">
        <v>542.99</v>
      </c>
      <c r="D1623" s="6">
        <v>45604</v>
      </c>
      <c r="E1623" s="3" t="str">
        <f ca="1">IF(Tabela2[[#This Row],[Dt Venc:]]&gt;TODAY(),"Em Aberto",IF(Tabela2[[#This Row],[D/venc]]="-","Enviado",IF(Tabela2[[#This Row],[Dt Venc:]]=TODAY(),"Vence Hoje","Vencida")))</f>
        <v>Enviado</v>
      </c>
      <c r="F1623" s="3" t="str">
        <f ca="1">IF(G1623=1,"-",Tabela2[[#This Row],[Dt Venc:]]-TODAY())</f>
        <v>-</v>
      </c>
      <c r="G1623" s="3">
        <v>1</v>
      </c>
      <c r="H1623" s="3"/>
    </row>
    <row r="1624" spans="1:8" hidden="1">
      <c r="A1624" s="3">
        <v>134997</v>
      </c>
      <c r="B1624" s="7" t="s">
        <v>127</v>
      </c>
      <c r="C1624" s="42">
        <v>717.5</v>
      </c>
      <c r="D1624" s="6">
        <v>45604</v>
      </c>
      <c r="E1624" s="3" t="str">
        <f ca="1">IF(Tabela2[[#This Row],[Dt Venc:]]&gt;TODAY(),"Em Aberto",IF(Tabela2[[#This Row],[D/venc]]="-","Enviado",IF(Tabela2[[#This Row],[Dt Venc:]]=TODAY(),"Vence Hoje","Vencida")))</f>
        <v>Enviado</v>
      </c>
      <c r="F1624" s="3" t="str">
        <f ca="1">IF(G1624=1,"-",Tabela2[[#This Row],[Dt Venc:]]-TODAY())</f>
        <v>-</v>
      </c>
      <c r="G1624" s="3">
        <v>1</v>
      </c>
      <c r="H1624" s="3"/>
    </row>
    <row r="1625" spans="1:8" hidden="1">
      <c r="A1625" s="3">
        <v>753116</v>
      </c>
      <c r="B1625" s="7" t="s">
        <v>127</v>
      </c>
      <c r="C1625" s="42">
        <v>371.47</v>
      </c>
      <c r="D1625" s="6">
        <v>45604</v>
      </c>
      <c r="E1625" s="3" t="str">
        <f ca="1">IF(Tabela2[[#This Row],[Dt Venc:]]&gt;TODAY(),"Em Aberto",IF(Tabela2[[#This Row],[D/venc]]="-","Enviado",IF(Tabela2[[#This Row],[Dt Venc:]]=TODAY(),"Vence Hoje","Vencida")))</f>
        <v>Enviado</v>
      </c>
      <c r="F1625" s="3" t="str">
        <f ca="1">IF(G1625=1,"-",Tabela2[[#This Row],[Dt Venc:]]-TODAY())</f>
        <v>-</v>
      </c>
      <c r="G1625" s="3">
        <v>1</v>
      </c>
      <c r="H1625" s="3"/>
    </row>
    <row r="1626" spans="1:8" hidden="1">
      <c r="A1626" s="3">
        <v>134994</v>
      </c>
      <c r="B1626" s="7" t="s">
        <v>127</v>
      </c>
      <c r="C1626" s="42">
        <v>717.5</v>
      </c>
      <c r="D1626" s="6">
        <v>45604</v>
      </c>
      <c r="E1626" s="3" t="str">
        <f ca="1">IF(Tabela2[[#This Row],[Dt Venc:]]&gt;TODAY(),"Em Aberto",IF(Tabela2[[#This Row],[D/venc]]="-","Enviado",IF(Tabela2[[#This Row],[Dt Venc:]]=TODAY(),"Vence Hoje","Vencida")))</f>
        <v>Enviado</v>
      </c>
      <c r="F1626" s="3" t="str">
        <f ca="1">IF(G1626=1,"-",Tabela2[[#This Row],[Dt Venc:]]-TODAY())</f>
        <v>-</v>
      </c>
      <c r="G1626" s="3">
        <v>1</v>
      </c>
      <c r="H1626" s="3"/>
    </row>
    <row r="1627" spans="1:8" hidden="1">
      <c r="A1627" s="3">
        <v>753108</v>
      </c>
      <c r="B1627" s="7" t="s">
        <v>127</v>
      </c>
      <c r="C1627" s="42">
        <v>371.47</v>
      </c>
      <c r="D1627" s="6">
        <v>45604</v>
      </c>
      <c r="E1627" s="3" t="str">
        <f ca="1">IF(Tabela2[[#This Row],[Dt Venc:]]&gt;TODAY(),"Em Aberto",IF(Tabela2[[#This Row],[D/venc]]="-","Enviado",IF(Tabela2[[#This Row],[Dt Venc:]]=TODAY(),"Vence Hoje","Vencida")))</f>
        <v>Enviado</v>
      </c>
      <c r="F1627" s="3" t="str">
        <f ca="1">IF(G1627=1,"-",Tabela2[[#This Row],[Dt Venc:]]-TODAY())</f>
        <v>-</v>
      </c>
      <c r="G1627" s="3">
        <v>1</v>
      </c>
      <c r="H1627" s="3"/>
    </row>
    <row r="1628" spans="1:8" hidden="1">
      <c r="A1628" s="3">
        <v>134995</v>
      </c>
      <c r="B1628" s="7" t="s">
        <v>127</v>
      </c>
      <c r="C1628" s="42">
        <v>717.5</v>
      </c>
      <c r="D1628" s="6">
        <v>45604</v>
      </c>
      <c r="E1628" s="3" t="str">
        <f ca="1">IF(Tabela2[[#This Row],[Dt Venc:]]&gt;TODAY(),"Em Aberto",IF(Tabela2[[#This Row],[D/venc]]="-","Enviado",IF(Tabela2[[#This Row],[Dt Venc:]]=TODAY(),"Vence Hoje","Vencida")))</f>
        <v>Enviado</v>
      </c>
      <c r="F1628" s="3" t="str">
        <f ca="1">IF(G1628=1,"-",Tabela2[[#This Row],[Dt Venc:]]-TODAY())</f>
        <v>-</v>
      </c>
      <c r="G1628" s="3">
        <v>1</v>
      </c>
      <c r="H1628" s="3"/>
    </row>
    <row r="1629" spans="1:8" hidden="1">
      <c r="A1629" s="3">
        <v>753110</v>
      </c>
      <c r="B1629" s="7" t="s">
        <v>127</v>
      </c>
      <c r="C1629" s="42">
        <v>371.47</v>
      </c>
      <c r="D1629" s="6">
        <v>45604</v>
      </c>
      <c r="E1629" s="3" t="str">
        <f ca="1">IF(Tabela2[[#This Row],[Dt Venc:]]&gt;TODAY(),"Em Aberto",IF(Tabela2[[#This Row],[D/venc]]="-","Enviado",IF(Tabela2[[#This Row],[Dt Venc:]]=TODAY(),"Vence Hoje","Vencida")))</f>
        <v>Enviado</v>
      </c>
      <c r="F1629" s="3" t="str">
        <f ca="1">IF(G1629=1,"-",Tabela2[[#This Row],[Dt Venc:]]-TODAY())</f>
        <v>-</v>
      </c>
      <c r="G1629" s="3">
        <v>1</v>
      </c>
      <c r="H1629" s="3"/>
    </row>
    <row r="1630" spans="1:8" hidden="1">
      <c r="A1630" s="3">
        <v>10153</v>
      </c>
      <c r="B1630" s="7" t="s">
        <v>216</v>
      </c>
      <c r="C1630" s="42">
        <v>426.67</v>
      </c>
      <c r="D1630" s="6">
        <v>45604</v>
      </c>
      <c r="E1630" s="3" t="str">
        <f ca="1">IF(Tabela2[[#This Row],[Dt Venc:]]&gt;TODAY(),"Em Aberto",IF(Tabela2[[#This Row],[D/venc]]="-","Enviado",IF(Tabela2[[#This Row],[Dt Venc:]]=TODAY(),"Vence Hoje","Vencida")))</f>
        <v>Enviado</v>
      </c>
      <c r="F1630" s="3" t="str">
        <f ca="1">IF(G1630=1,"-",Tabela2[[#This Row],[Dt Venc:]]-TODAY())</f>
        <v>-</v>
      </c>
      <c r="G1630" s="3">
        <v>1</v>
      </c>
      <c r="H1630" s="3"/>
    </row>
    <row r="1631" spans="1:8" hidden="1">
      <c r="A1631" s="3">
        <v>607640</v>
      </c>
      <c r="B1631" s="7" t="s">
        <v>196</v>
      </c>
      <c r="C1631" s="42">
        <v>1898.27</v>
      </c>
      <c r="D1631" s="6">
        <v>45604</v>
      </c>
      <c r="E1631" s="3" t="str">
        <f ca="1">IF(Tabela2[[#This Row],[Dt Venc:]]&gt;TODAY(),"Em Aberto",IF(Tabela2[[#This Row],[D/venc]]="-","Enviado",IF(Tabela2[[#This Row],[Dt Venc:]]=TODAY(),"Vence Hoje","Vencida")))</f>
        <v>Enviado</v>
      </c>
      <c r="F1631" s="3" t="str">
        <f ca="1">IF(G1631=1,"-",Tabela2[[#This Row],[Dt Venc:]]-TODAY())</f>
        <v>-</v>
      </c>
      <c r="G1631" s="3">
        <v>1</v>
      </c>
      <c r="H1631" s="3"/>
    </row>
    <row r="1632" spans="1:8" hidden="1">
      <c r="A1632" s="3">
        <v>224860</v>
      </c>
      <c r="B1632" s="7" t="s">
        <v>43</v>
      </c>
      <c r="C1632" s="42">
        <v>954.52</v>
      </c>
      <c r="D1632" s="6">
        <v>45604</v>
      </c>
      <c r="E1632" s="3" t="str">
        <f ca="1">IF(Tabela2[[#This Row],[Dt Venc:]]&gt;TODAY(),"Em Aberto",IF(Tabela2[[#This Row],[D/venc]]="-","Enviado",IF(Tabela2[[#This Row],[Dt Venc:]]=TODAY(),"Vence Hoje","Vencida")))</f>
        <v>Enviado</v>
      </c>
      <c r="F1632" s="3" t="str">
        <f ca="1">IF(G1632=1,"-",Tabela2[[#This Row],[Dt Venc:]]-TODAY())</f>
        <v>-</v>
      </c>
      <c r="G1632" s="3">
        <v>1</v>
      </c>
      <c r="H1632" s="3"/>
    </row>
    <row r="1633" spans="1:8" hidden="1">
      <c r="A1633" s="3">
        <v>134996</v>
      </c>
      <c r="B1633" s="7" t="s">
        <v>127</v>
      </c>
      <c r="C1633" s="42">
        <v>717.5</v>
      </c>
      <c r="D1633" s="6">
        <v>45604</v>
      </c>
      <c r="E1633" s="3" t="str">
        <f ca="1">IF(Tabela2[[#This Row],[Dt Venc:]]&gt;TODAY(),"Em Aberto",IF(Tabela2[[#This Row],[D/venc]]="-","Enviado",IF(Tabela2[[#This Row],[Dt Venc:]]=TODAY(),"Vence Hoje","Vencida")))</f>
        <v>Enviado</v>
      </c>
      <c r="F1633" s="3" t="str">
        <f ca="1">IF(G1633=1,"-",Tabela2[[#This Row],[Dt Venc:]]-TODAY())</f>
        <v>-</v>
      </c>
      <c r="G1633" s="3">
        <v>1</v>
      </c>
      <c r="H1633" s="3"/>
    </row>
    <row r="1634" spans="1:8" hidden="1">
      <c r="A1634" s="3">
        <v>753112</v>
      </c>
      <c r="B1634" s="7" t="s">
        <v>127</v>
      </c>
      <c r="C1634" s="42">
        <v>371.47</v>
      </c>
      <c r="D1634" s="6">
        <v>45604</v>
      </c>
      <c r="E1634" s="3" t="str">
        <f ca="1">IF(Tabela2[[#This Row],[Dt Venc:]]&gt;TODAY(),"Em Aberto",IF(Tabela2[[#This Row],[D/venc]]="-","Enviado",IF(Tabela2[[#This Row],[Dt Venc:]]=TODAY(),"Vence Hoje","Vencida")))</f>
        <v>Enviado</v>
      </c>
      <c r="F1634" s="3" t="str">
        <f ca="1">IF(G1634=1,"-",Tabela2[[#This Row],[Dt Venc:]]-TODAY())</f>
        <v>-</v>
      </c>
      <c r="G1634" s="3">
        <v>1</v>
      </c>
      <c r="H1634" s="3"/>
    </row>
    <row r="1635" spans="1:8" hidden="1">
      <c r="A1635" s="3">
        <v>255674</v>
      </c>
      <c r="B1635" s="7" t="s">
        <v>49</v>
      </c>
      <c r="C1635" s="42">
        <v>1393.34</v>
      </c>
      <c r="D1635" s="6">
        <v>45604</v>
      </c>
      <c r="E1635" s="3" t="str">
        <f ca="1">IF(Tabela2[[#This Row],[Dt Venc:]]&gt;TODAY(),"Em Aberto",IF(Tabela2[[#This Row],[D/venc]]="-","Enviado",IF(Tabela2[[#This Row],[Dt Venc:]]=TODAY(),"Vence Hoje","Vencida")))</f>
        <v>Enviado</v>
      </c>
      <c r="F1635" s="3" t="str">
        <f ca="1">IF(G1635=1,"-",Tabela2[[#This Row],[Dt Venc:]]-TODAY())</f>
        <v>-</v>
      </c>
      <c r="G1635" s="3">
        <v>1</v>
      </c>
      <c r="H1635" s="3"/>
    </row>
    <row r="1636" spans="1:8" hidden="1">
      <c r="A1636" s="3">
        <v>255956</v>
      </c>
      <c r="B1636" s="7" t="s">
        <v>49</v>
      </c>
      <c r="C1636" s="42">
        <v>1393.34</v>
      </c>
      <c r="D1636" s="6">
        <v>45604</v>
      </c>
      <c r="E1636" s="3" t="str">
        <f ca="1">IF(Tabela2[[#This Row],[Dt Venc:]]&gt;TODAY(),"Em Aberto",IF(Tabela2[[#This Row],[D/venc]]="-","Enviado",IF(Tabela2[[#This Row],[Dt Venc:]]=TODAY(),"Vence Hoje","Vencida")))</f>
        <v>Enviado</v>
      </c>
      <c r="F1636" s="3" t="str">
        <f ca="1">IF(G1636=1,"-",Tabela2[[#This Row],[Dt Venc:]]-TODAY())</f>
        <v>-</v>
      </c>
      <c r="G1636" s="3">
        <v>1</v>
      </c>
      <c r="H1636" s="3"/>
    </row>
    <row r="1637" spans="1:8" hidden="1">
      <c r="A1637" s="3">
        <v>99165</v>
      </c>
      <c r="B1637" s="7" t="s">
        <v>407</v>
      </c>
      <c r="C1637" s="42">
        <v>1053.75</v>
      </c>
      <c r="D1637" s="6">
        <v>45604</v>
      </c>
      <c r="E1637" s="3" t="str">
        <f ca="1">IF(Tabela2[[#This Row],[Dt Venc:]]&gt;TODAY(),"Em Aberto",IF(Tabela2[[#This Row],[D/venc]]="-","Enviado",IF(Tabela2[[#This Row],[Dt Venc:]]=TODAY(),"Vence Hoje","Vencida")))</f>
        <v>Enviado</v>
      </c>
      <c r="F1637" s="3" t="str">
        <f ca="1">IF(G1637=1,"-",Tabela2[[#This Row],[Dt Venc:]]-TODAY())</f>
        <v>-</v>
      </c>
      <c r="G1637" s="3">
        <v>1</v>
      </c>
      <c r="H1637" s="3"/>
    </row>
    <row r="1638" spans="1:8" hidden="1">
      <c r="A1638" s="3">
        <v>43045</v>
      </c>
      <c r="B1638" s="7" t="s">
        <v>197</v>
      </c>
      <c r="C1638" s="42">
        <v>539.5</v>
      </c>
      <c r="D1638" s="6">
        <v>45604</v>
      </c>
      <c r="E1638" s="3" t="str">
        <f ca="1">IF(Tabela2[[#This Row],[Dt Venc:]]&gt;TODAY(),"Em Aberto",IF(Tabela2[[#This Row],[D/venc]]="-","Enviado",IF(Tabela2[[#This Row],[Dt Venc:]]=TODAY(),"Vence Hoje","Vencida")))</f>
        <v>Enviado</v>
      </c>
      <c r="F1638" s="3" t="str">
        <f ca="1">IF(G1638=1,"-",Tabela2[[#This Row],[Dt Venc:]]-TODAY())</f>
        <v>-</v>
      </c>
      <c r="G1638" s="3">
        <v>1</v>
      </c>
      <c r="H1638" s="3"/>
    </row>
    <row r="1639" spans="1:8" hidden="1">
      <c r="A1639" s="3">
        <v>9245</v>
      </c>
      <c r="B1639" s="7" t="s">
        <v>378</v>
      </c>
      <c r="C1639" s="42">
        <v>1350</v>
      </c>
      <c r="D1639" s="6">
        <v>45604</v>
      </c>
      <c r="E1639" s="3" t="str">
        <f ca="1">IF(Tabela2[[#This Row],[Dt Venc:]]&gt;TODAY(),"Em Aberto",IF(Tabela2[[#This Row],[D/venc]]="-","Enviado",IF(Tabela2[[#This Row],[Dt Venc:]]=TODAY(),"Vence Hoje","Vencida")))</f>
        <v>Enviado</v>
      </c>
      <c r="F1639" s="3" t="str">
        <f ca="1">IF(G1639=1,"-",Tabela2[[#This Row],[Dt Venc:]]-TODAY())</f>
        <v>-</v>
      </c>
      <c r="G1639" s="3">
        <v>1</v>
      </c>
      <c r="H1639" s="3"/>
    </row>
    <row r="1640" spans="1:8" hidden="1">
      <c r="A1640" s="3">
        <v>5981</v>
      </c>
      <c r="B1640" s="7" t="s">
        <v>47</v>
      </c>
      <c r="C1640" s="42">
        <v>2257.67</v>
      </c>
      <c r="D1640" s="6">
        <v>45604</v>
      </c>
      <c r="E1640" s="3" t="str">
        <f ca="1">IF(Tabela2[[#This Row],[Dt Venc:]]&gt;TODAY(),"Em Aberto",IF(Tabela2[[#This Row],[D/venc]]="-","Enviado",IF(Tabela2[[#This Row],[Dt Venc:]]=TODAY(),"Vence Hoje","Vencida")))</f>
        <v>Enviado</v>
      </c>
      <c r="F1640" s="3" t="str">
        <f ca="1">IF(G1640=1,"-",Tabela2[[#This Row],[Dt Venc:]]-TODAY())</f>
        <v>-</v>
      </c>
      <c r="G1640" s="3">
        <v>1</v>
      </c>
      <c r="H1640" s="3"/>
    </row>
    <row r="1641" spans="1:8" hidden="1">
      <c r="A1641" s="3">
        <v>10991</v>
      </c>
      <c r="B1641" s="7" t="s">
        <v>33</v>
      </c>
      <c r="C1641" s="42">
        <v>1920</v>
      </c>
      <c r="D1641" s="6">
        <v>45604</v>
      </c>
      <c r="E1641" s="3" t="str">
        <f ca="1">IF(Tabela2[[#This Row],[Dt Venc:]]&gt;TODAY(),"Em Aberto",IF(Tabela2[[#This Row],[D/venc]]="-","Enviado",IF(Tabela2[[#This Row],[Dt Venc:]]=TODAY(),"Vence Hoje","Vencida")))</f>
        <v>Enviado</v>
      </c>
      <c r="F1641" s="3" t="str">
        <f ca="1">IF(G1641=1,"-",Tabela2[[#This Row],[Dt Venc:]]-TODAY())</f>
        <v>-</v>
      </c>
      <c r="G1641" s="3">
        <v>1</v>
      </c>
      <c r="H1641" s="3"/>
    </row>
    <row r="1642" spans="1:8" hidden="1">
      <c r="A1642" s="3">
        <v>30551</v>
      </c>
      <c r="B1642" s="7" t="s">
        <v>70</v>
      </c>
      <c r="C1642" s="42">
        <v>1265.24</v>
      </c>
      <c r="D1642" s="6">
        <v>45604</v>
      </c>
      <c r="E1642" s="3" t="str">
        <f ca="1">IF(Tabela2[[#This Row],[Dt Venc:]]&gt;TODAY(),"Em Aberto",IF(Tabela2[[#This Row],[D/venc]]="-","Enviado",IF(Tabela2[[#This Row],[Dt Venc:]]=TODAY(),"Vence Hoje","Vencida")))</f>
        <v>Enviado</v>
      </c>
      <c r="F1642" s="3" t="str">
        <f ca="1">IF(G1642=1,"-",Tabela2[[#This Row],[Dt Venc:]]-TODAY())</f>
        <v>-</v>
      </c>
      <c r="G1642" s="3">
        <v>1</v>
      </c>
      <c r="H1642" s="3"/>
    </row>
    <row r="1643" spans="1:8" hidden="1">
      <c r="A1643" s="3">
        <v>7372</v>
      </c>
      <c r="B1643" s="7" t="s">
        <v>105</v>
      </c>
      <c r="C1643" s="42">
        <v>700</v>
      </c>
      <c r="D1643" s="6">
        <v>45604</v>
      </c>
      <c r="E1643" s="3" t="str">
        <f ca="1">IF(Tabela2[[#This Row],[Dt Venc:]]&gt;TODAY(),"Em Aberto",IF(Tabela2[[#This Row],[D/venc]]="-","Enviado",IF(Tabela2[[#This Row],[Dt Venc:]]=TODAY(),"Vence Hoje","Vencida")))</f>
        <v>Enviado</v>
      </c>
      <c r="F1643" s="3" t="str">
        <f ca="1">IF(G1643=1,"-",Tabela2[[#This Row],[Dt Venc:]]-TODAY())</f>
        <v>-</v>
      </c>
      <c r="G1643" s="3">
        <v>1</v>
      </c>
      <c r="H1643" s="3"/>
    </row>
    <row r="1644" spans="1:8" hidden="1">
      <c r="A1644" s="3">
        <v>39431</v>
      </c>
      <c r="B1644" s="7" t="s">
        <v>70</v>
      </c>
      <c r="C1644" s="42">
        <v>1740.48</v>
      </c>
      <c r="D1644" s="6">
        <v>45604</v>
      </c>
      <c r="E1644" s="3" t="str">
        <f ca="1">IF(Tabela2[[#This Row],[Dt Venc:]]&gt;TODAY(),"Em Aberto",IF(Tabela2[[#This Row],[D/venc]]="-","Enviado",IF(Tabela2[[#This Row],[Dt Venc:]]=TODAY(),"Vence Hoje","Vencida")))</f>
        <v>Enviado</v>
      </c>
      <c r="F1644" s="3" t="str">
        <f ca="1">IF(G1644=1,"-",Tabela2[[#This Row],[Dt Venc:]]-TODAY())</f>
        <v>-</v>
      </c>
      <c r="G1644" s="3">
        <v>1</v>
      </c>
      <c r="H1644" s="3"/>
    </row>
    <row r="1645" spans="1:8" hidden="1">
      <c r="A1645" s="3">
        <v>29116</v>
      </c>
      <c r="B1645" s="7" t="s">
        <v>70</v>
      </c>
      <c r="C1645" s="42">
        <v>1298.74</v>
      </c>
      <c r="D1645" s="6">
        <v>45604</v>
      </c>
      <c r="E1645" s="3" t="str">
        <f ca="1">IF(Tabela2[[#This Row],[Dt Venc:]]&gt;TODAY(),"Em Aberto",IF(Tabela2[[#This Row],[D/venc]]="-","Enviado",IF(Tabela2[[#This Row],[Dt Venc:]]=TODAY(),"Vence Hoje","Vencida")))</f>
        <v>Enviado</v>
      </c>
      <c r="F1645" s="3" t="str">
        <f ca="1">IF(G1645=1,"-",Tabela2[[#This Row],[Dt Venc:]]-TODAY())</f>
        <v>-</v>
      </c>
      <c r="G1645" s="3">
        <v>1</v>
      </c>
      <c r="H1645" s="3"/>
    </row>
    <row r="1646" spans="1:8" hidden="1">
      <c r="A1646" s="3">
        <v>256237</v>
      </c>
      <c r="B1646" s="7" t="s">
        <v>49</v>
      </c>
      <c r="C1646" s="42">
        <v>1393.34</v>
      </c>
      <c r="D1646" s="6">
        <v>45604</v>
      </c>
      <c r="E1646" s="3" t="str">
        <f ca="1">IF(Tabela2[[#This Row],[Dt Venc:]]&gt;TODAY(),"Em Aberto",IF(Tabela2[[#This Row],[D/venc]]="-","Enviado",IF(Tabela2[[#This Row],[Dt Venc:]]=TODAY(),"Vence Hoje","Vencida")))</f>
        <v>Enviado</v>
      </c>
      <c r="F1646" s="3" t="str">
        <f ca="1">IF(G1646=1,"-",Tabela2[[#This Row],[Dt Venc:]]-TODAY())</f>
        <v>-</v>
      </c>
      <c r="G1646" s="3">
        <v>1</v>
      </c>
      <c r="H1646" s="3"/>
    </row>
    <row r="1647" spans="1:8" hidden="1">
      <c r="A1647" s="3">
        <v>10682</v>
      </c>
      <c r="B1647" s="7" t="s">
        <v>175</v>
      </c>
      <c r="C1647" s="41">
        <v>257</v>
      </c>
      <c r="D1647" s="6">
        <v>45604</v>
      </c>
      <c r="E1647" s="3" t="str">
        <f ca="1">IF(Tabela2[[#This Row],[Dt Venc:]]&gt;TODAY(),"Em Aberto",IF(Tabela2[[#This Row],[D/venc]]="-","Enviado",IF(Tabela2[[#This Row],[Dt Venc:]]=TODAY(),"Vence Hoje","Vencida")))</f>
        <v>Enviado</v>
      </c>
      <c r="F1647" s="3" t="str">
        <f ca="1">IF(G1647=1,"-",Tabela2[[#This Row],[Dt Venc:]]-TODAY())</f>
        <v>-</v>
      </c>
      <c r="G1647" s="3">
        <v>1</v>
      </c>
      <c r="H1647" s="3"/>
    </row>
    <row r="1648" spans="1:8" hidden="1">
      <c r="A1648" s="3">
        <v>53975</v>
      </c>
      <c r="B1648" s="7" t="s">
        <v>35</v>
      </c>
      <c r="C1648" s="41">
        <v>384.07</v>
      </c>
      <c r="D1648" s="6">
        <v>45604</v>
      </c>
      <c r="E1648" s="3" t="str">
        <f ca="1">IF(Tabela2[[#This Row],[Dt Venc:]]&gt;TODAY(),"Em Aberto",IF(Tabela2[[#This Row],[D/venc]]="-","Enviado",IF(Tabela2[[#This Row],[Dt Venc:]]=TODAY(),"Vence Hoje","Vencida")))</f>
        <v>Enviado</v>
      </c>
      <c r="F1648" s="3" t="str">
        <f ca="1">IF(G1648=1,"-",Tabela2[[#This Row],[Dt Venc:]]-TODAY())</f>
        <v>-</v>
      </c>
      <c r="G1648" s="3">
        <v>1</v>
      </c>
      <c r="H1648" s="3"/>
    </row>
    <row r="1649" spans="1:8" hidden="1">
      <c r="A1649" s="3">
        <v>13088</v>
      </c>
      <c r="B1649" s="7" t="s">
        <v>408</v>
      </c>
      <c r="C1649" s="41">
        <v>627.17999999999995</v>
      </c>
      <c r="D1649" s="6">
        <v>45604</v>
      </c>
      <c r="E1649" s="3" t="str">
        <f ca="1">IF(Tabela2[[#This Row],[Dt Venc:]]&gt;TODAY(),"Em Aberto",IF(Tabela2[[#This Row],[D/venc]]="-","Enviado",IF(Tabela2[[#This Row],[Dt Venc:]]=TODAY(),"Vence Hoje","Vencida")))</f>
        <v>Enviado</v>
      </c>
      <c r="F1649" s="3" t="str">
        <f ca="1">IF(G1649=1,"-",Tabela2[[#This Row],[Dt Venc:]]-TODAY())</f>
        <v>-</v>
      </c>
      <c r="G1649" s="3">
        <v>1</v>
      </c>
      <c r="H1649" s="3"/>
    </row>
    <row r="1650" spans="1:8" hidden="1">
      <c r="A1650" s="3">
        <v>70489</v>
      </c>
      <c r="B1650" s="7" t="s">
        <v>333</v>
      </c>
      <c r="C1650" s="41">
        <v>536</v>
      </c>
      <c r="D1650" s="6">
        <v>45604</v>
      </c>
      <c r="E1650" s="3" t="str">
        <f ca="1">IF(Tabela2[[#This Row],[Dt Venc:]]&gt;TODAY(),"Em Aberto",IF(Tabela2[[#This Row],[D/venc]]="-","Enviado",IF(Tabela2[[#This Row],[Dt Venc:]]=TODAY(),"Vence Hoje","Vencida")))</f>
        <v>Enviado</v>
      </c>
      <c r="F1650" s="3" t="str">
        <f ca="1">IF(G1650=1,"-",Tabela2[[#This Row],[Dt Venc:]]-TODAY())</f>
        <v>-</v>
      </c>
      <c r="G1650" s="3">
        <v>1</v>
      </c>
      <c r="H1650" s="3"/>
    </row>
    <row r="1651" spans="1:8" hidden="1">
      <c r="A1651" s="3">
        <v>203204</v>
      </c>
      <c r="B1651" s="7" t="s">
        <v>200</v>
      </c>
      <c r="C1651" s="41">
        <v>310</v>
      </c>
      <c r="D1651" s="6">
        <v>45604</v>
      </c>
      <c r="E1651" s="3" t="str">
        <f ca="1">IF(Tabela2[[#This Row],[Dt Venc:]]&gt;TODAY(),"Em Aberto",IF(Tabela2[[#This Row],[D/venc]]="-","Enviado",IF(Tabela2[[#This Row],[Dt Venc:]]=TODAY(),"Vence Hoje","Vencida")))</f>
        <v>Enviado</v>
      </c>
      <c r="F1651" s="3" t="str">
        <f ca="1">IF(G1651=1,"-",Tabela2[[#This Row],[Dt Venc:]]-TODAY())</f>
        <v>-</v>
      </c>
      <c r="G1651" s="3">
        <v>1</v>
      </c>
      <c r="H1651" s="3"/>
    </row>
    <row r="1652" spans="1:8" hidden="1">
      <c r="A1652" s="3">
        <v>2259224</v>
      </c>
      <c r="B1652" s="7" t="s">
        <v>59</v>
      </c>
      <c r="C1652" s="41">
        <v>27362</v>
      </c>
      <c r="D1652" s="6">
        <v>45604</v>
      </c>
      <c r="E1652" s="3" t="str">
        <f ca="1">IF(Tabela2[[#This Row],[Dt Venc:]]&gt;TODAY(),"Em Aberto",IF(Tabela2[[#This Row],[D/venc]]="-","Enviado",IF(Tabela2[[#This Row],[Dt Venc:]]=TODAY(),"Vence Hoje","Vencida")))</f>
        <v>Enviado</v>
      </c>
      <c r="F1652" s="3" t="str">
        <f ca="1">IF(G1652=1,"-",Tabela2[[#This Row],[Dt Venc:]]-TODAY())</f>
        <v>-</v>
      </c>
      <c r="G1652" s="3">
        <v>1</v>
      </c>
      <c r="H1652" s="3"/>
    </row>
    <row r="1653" spans="1:8" hidden="1">
      <c r="A1653" s="3">
        <v>1989271</v>
      </c>
      <c r="B1653" s="7" t="s">
        <v>59</v>
      </c>
      <c r="C1653" s="41">
        <v>135937.5</v>
      </c>
      <c r="D1653" s="6">
        <v>45604</v>
      </c>
      <c r="E1653" s="3" t="str">
        <f ca="1">IF(Tabela2[[#This Row],[Dt Venc:]]&gt;TODAY(),"Em Aberto",IF(Tabela2[[#This Row],[D/venc]]="-","Enviado",IF(Tabela2[[#This Row],[Dt Venc:]]=TODAY(),"Vence Hoje","Vencida")))</f>
        <v>Enviado</v>
      </c>
      <c r="F1653" s="3" t="str">
        <f ca="1">IF(G1653=1,"-",Tabela2[[#This Row],[Dt Venc:]]-TODAY())</f>
        <v>-</v>
      </c>
      <c r="G1653" s="3">
        <v>1</v>
      </c>
      <c r="H1653" s="3"/>
    </row>
    <row r="1654" spans="1:8" hidden="1">
      <c r="A1654" s="3">
        <v>3301307</v>
      </c>
      <c r="B1654" s="7" t="s">
        <v>405</v>
      </c>
      <c r="C1654" s="41">
        <v>109522</v>
      </c>
      <c r="D1654" s="6">
        <v>45604</v>
      </c>
      <c r="E1654" s="3" t="str">
        <f ca="1">IF(Tabela2[[#This Row],[Dt Venc:]]&gt;TODAY(),"Em Aberto",IF(Tabela2[[#This Row],[D/venc]]="-","Enviado",IF(Tabela2[[#This Row],[Dt Venc:]]=TODAY(),"Vence Hoje","Vencida")))</f>
        <v>Enviado</v>
      </c>
      <c r="F1654" s="3" t="str">
        <f ca="1">IF(G1654=1,"-",Tabela2[[#This Row],[Dt Venc:]]-TODAY())</f>
        <v>-</v>
      </c>
      <c r="G1654" s="3">
        <v>1</v>
      </c>
      <c r="H1654" s="3"/>
    </row>
    <row r="1655" spans="1:8" hidden="1">
      <c r="A1655" s="3">
        <v>141350</v>
      </c>
      <c r="B1655" s="7" t="s">
        <v>60</v>
      </c>
      <c r="C1655" s="41">
        <v>390</v>
      </c>
      <c r="D1655" s="6">
        <v>45604</v>
      </c>
      <c r="E1655" s="3" t="str">
        <f ca="1">IF(Tabela2[[#This Row],[Dt Venc:]]&gt;TODAY(),"Em Aberto",IF(Tabela2[[#This Row],[D/venc]]="-","Enviado",IF(Tabela2[[#This Row],[Dt Venc:]]=TODAY(),"Vence Hoje","Vencida")))</f>
        <v>Enviado</v>
      </c>
      <c r="F1655" s="3" t="str">
        <f ca="1">IF(G1655=1,"-",Tabela2[[#This Row],[Dt Venc:]]-TODAY())</f>
        <v>-</v>
      </c>
      <c r="G1655" s="3">
        <v>1</v>
      </c>
      <c r="H1655" s="3"/>
    </row>
    <row r="1656" spans="1:8" hidden="1">
      <c r="A1656" s="3">
        <v>66699</v>
      </c>
      <c r="B1656" s="7" t="s">
        <v>143</v>
      </c>
      <c r="C1656" s="41">
        <v>653.25</v>
      </c>
      <c r="D1656" s="6">
        <v>45604</v>
      </c>
      <c r="E1656" s="3" t="str">
        <f ca="1">IF(Tabela2[[#This Row],[Dt Venc:]]&gt;TODAY(),"Em Aberto",IF(Tabela2[[#This Row],[D/venc]]="-","Enviado",IF(Tabela2[[#This Row],[Dt Venc:]]=TODAY(),"Vence Hoje","Vencida")))</f>
        <v>Enviado</v>
      </c>
      <c r="F1656" s="3" t="str">
        <f ca="1">IF(G1656=1,"-",Tabela2[[#This Row],[Dt Venc:]]-TODAY())</f>
        <v>-</v>
      </c>
      <c r="G1656" s="3">
        <v>1</v>
      </c>
      <c r="H1656" s="3"/>
    </row>
    <row r="1657" spans="1:8" hidden="1">
      <c r="A1657" s="3" t="s">
        <v>110</v>
      </c>
      <c r="B1657" s="7" t="s">
        <v>162</v>
      </c>
      <c r="C1657" s="42" t="s">
        <v>32</v>
      </c>
      <c r="D1657" s="6">
        <v>45604</v>
      </c>
      <c r="E1657" s="3" t="str">
        <f ca="1">IF(Tabela2[[#This Row],[Dt Venc:]]&gt;TODAY(),"Em Aberto",IF(Tabela2[[#This Row],[D/venc]]="-","Enviado",IF(Tabela2[[#This Row],[Dt Venc:]]=TODAY(),"Vence Hoje","Vencida")))</f>
        <v>Enviado</v>
      </c>
      <c r="F1657" s="3" t="str">
        <f ca="1">IF(G1657=1,"-",Tabela2[[#This Row],[Dt Venc:]]-TODAY())</f>
        <v>-</v>
      </c>
      <c r="G1657" s="3">
        <v>1</v>
      </c>
      <c r="H1657" s="3"/>
    </row>
    <row r="1658" spans="1:8" hidden="1">
      <c r="A1658" s="3">
        <v>42763</v>
      </c>
      <c r="B1658" s="7" t="s">
        <v>365</v>
      </c>
      <c r="C1658" s="41">
        <v>530</v>
      </c>
      <c r="D1658" s="6">
        <v>45604</v>
      </c>
      <c r="E1658" s="3" t="str">
        <f ca="1">IF(Tabela2[[#This Row],[Dt Venc:]]&gt;TODAY(),"Em Aberto",IF(Tabela2[[#This Row],[D/venc]]="-","Enviado",IF(Tabela2[[#This Row],[Dt Venc:]]=TODAY(),"Vence Hoje","Vencida")))</f>
        <v>Enviado</v>
      </c>
      <c r="F1658" s="3" t="str">
        <f ca="1">IF(G1658=1,"-",Tabela2[[#This Row],[Dt Venc:]]-TODAY())</f>
        <v>-</v>
      </c>
      <c r="G1658" s="3">
        <v>1</v>
      </c>
      <c r="H1658" s="3"/>
    </row>
    <row r="1659" spans="1:8" hidden="1">
      <c r="A1659" s="3">
        <v>5148</v>
      </c>
      <c r="B1659" s="7" t="s">
        <v>134</v>
      </c>
      <c r="C1659" s="41">
        <v>900</v>
      </c>
      <c r="D1659" s="6">
        <v>45604</v>
      </c>
      <c r="E1659" s="3" t="str">
        <f ca="1">IF(Tabela2[[#This Row],[Dt Venc:]]&gt;TODAY(),"Em Aberto",IF(Tabela2[[#This Row],[D/venc]]="-","Enviado",IF(Tabela2[[#This Row],[Dt Venc:]]=TODAY(),"Vence Hoje","Vencida")))</f>
        <v>Enviado</v>
      </c>
      <c r="F1659" s="3" t="str">
        <f ca="1">IF(G1659=1,"-",Tabela2[[#This Row],[Dt Venc:]]-TODAY())</f>
        <v>-</v>
      </c>
      <c r="G1659" s="3">
        <v>1</v>
      </c>
      <c r="H1659" s="3"/>
    </row>
    <row r="1660" spans="1:8" hidden="1">
      <c r="A1660" s="3" t="s">
        <v>110</v>
      </c>
      <c r="B1660" s="7" t="s">
        <v>168</v>
      </c>
      <c r="C1660" s="42" t="s">
        <v>32</v>
      </c>
      <c r="D1660" s="6">
        <v>45605</v>
      </c>
      <c r="E1660" s="3" t="str">
        <f ca="1">IF(Tabela2[[#This Row],[Dt Venc:]]&gt;TODAY(),"Em Aberto",IF(Tabela2[[#This Row],[D/venc]]="-","Enviado",IF(Tabela2[[#This Row],[Dt Venc:]]=TODAY(),"Vence Hoje","Vencida")))</f>
        <v>Enviado</v>
      </c>
      <c r="F1660" s="3" t="str">
        <f ca="1">IF(G1660=1,"-",Tabela2[[#This Row],[Dt Venc:]]-TODAY())</f>
        <v>-</v>
      </c>
      <c r="G1660" s="3">
        <v>1</v>
      </c>
      <c r="H1660" s="3"/>
    </row>
    <row r="1661" spans="1:8" hidden="1">
      <c r="A1661" s="3">
        <v>10739</v>
      </c>
      <c r="B1661" s="7" t="s">
        <v>33</v>
      </c>
      <c r="C1661" s="42">
        <v>1293.33</v>
      </c>
      <c r="D1661" s="6">
        <v>45605</v>
      </c>
      <c r="E1661" s="3" t="str">
        <f ca="1">IF(Tabela2[[#This Row],[Dt Venc:]]&gt;TODAY(),"Em Aberto",IF(Tabela2[[#This Row],[D/venc]]="-","Enviado",IF(Tabela2[[#This Row],[Dt Venc:]]=TODAY(),"Vence Hoje","Vencida")))</f>
        <v>Enviado</v>
      </c>
      <c r="F1661" s="3" t="str">
        <f ca="1">IF(G1661=1,"-",Tabela2[[#This Row],[Dt Venc:]]-TODAY())</f>
        <v>-</v>
      </c>
      <c r="G1661" s="3">
        <v>1</v>
      </c>
      <c r="H1661" s="3"/>
    </row>
    <row r="1662" spans="1:8" ht="19.5" hidden="1">
      <c r="A1662" s="3">
        <v>10741</v>
      </c>
      <c r="B1662" s="7" t="s">
        <v>33</v>
      </c>
      <c r="C1662" s="42">
        <v>658.33</v>
      </c>
      <c r="D1662" s="6">
        <v>45605</v>
      </c>
      <c r="E1662" s="3" t="str">
        <f ca="1">IF(Tabela2[[#This Row],[Dt Venc:]]&gt;TODAY(),"Em Aberto",IF(Tabela2[[#This Row],[D/venc]]="-","Enviado",IF(Tabela2[[#This Row],[Dt Venc:]]=TODAY(),"Vence Hoje","Vencida")))</f>
        <v>Enviado</v>
      </c>
      <c r="F1662" s="3" t="str">
        <f ca="1">IF(G1662=1,"-",Tabela2[[#This Row],[Dt Venc:]]-TODAY())</f>
        <v>-</v>
      </c>
      <c r="G1662" s="3">
        <v>1</v>
      </c>
      <c r="H1662" s="93"/>
    </row>
    <row r="1663" spans="1:8" hidden="1">
      <c r="A1663" s="3">
        <v>2659</v>
      </c>
      <c r="B1663" s="7" t="s">
        <v>58</v>
      </c>
      <c r="C1663" s="42">
        <v>1098.17</v>
      </c>
      <c r="D1663" s="6">
        <v>45605</v>
      </c>
      <c r="E1663" s="3" t="str">
        <f ca="1">IF(Tabela2[[#This Row],[Dt Venc:]]&gt;TODAY(),"Em Aberto",IF(Tabela2[[#This Row],[D/venc]]="-","Enviado",IF(Tabela2[[#This Row],[Dt Venc:]]=TODAY(),"Vence Hoje","Vencida")))</f>
        <v>Enviado</v>
      </c>
      <c r="F1663" s="3" t="str">
        <f ca="1">IF(G1663=1,"-",Tabela2[[#This Row],[Dt Venc:]]-TODAY())</f>
        <v>-</v>
      </c>
      <c r="G1663" s="3">
        <v>1</v>
      </c>
      <c r="H1663" s="3"/>
    </row>
    <row r="1664" spans="1:8" hidden="1">
      <c r="A1664" s="3">
        <v>3</v>
      </c>
      <c r="B1664" s="7" t="s">
        <v>173</v>
      </c>
      <c r="C1664" s="42">
        <v>793.33</v>
      </c>
      <c r="D1664" s="6">
        <v>45605</v>
      </c>
      <c r="E1664" s="3" t="str">
        <f ca="1">IF(Tabela2[[#This Row],[Dt Venc:]]&gt;TODAY(),"Em Aberto",IF(Tabela2[[#This Row],[D/venc]]="-","Enviado",IF(Tabela2[[#This Row],[Dt Venc:]]=TODAY(),"Vence Hoje","Vencida")))</f>
        <v>Enviado</v>
      </c>
      <c r="F1664" s="3" t="str">
        <f ca="1">IF(G1664=1,"-",Tabela2[[#This Row],[Dt Venc:]]-TODAY())</f>
        <v>-</v>
      </c>
      <c r="G1664" s="3">
        <v>1</v>
      </c>
      <c r="H1664" s="3"/>
    </row>
    <row r="1665" spans="1:8" hidden="1">
      <c r="A1665" s="3">
        <v>10874</v>
      </c>
      <c r="B1665" s="7" t="s">
        <v>33</v>
      </c>
      <c r="C1665" s="42">
        <v>831.66</v>
      </c>
      <c r="D1665" s="6">
        <v>45605</v>
      </c>
      <c r="E1665" s="3" t="str">
        <f ca="1">IF(Tabela2[[#This Row],[Dt Venc:]]&gt;TODAY(),"Em Aberto",IF(Tabela2[[#This Row],[D/venc]]="-","Enviado",IF(Tabela2[[#This Row],[Dt Venc:]]=TODAY(),"Vence Hoje","Vencida")))</f>
        <v>Enviado</v>
      </c>
      <c r="F1665" s="3" t="str">
        <f ca="1">IF(G1665=1,"-",Tabela2[[#This Row],[Dt Venc:]]-TODAY())</f>
        <v>-</v>
      </c>
      <c r="G1665" s="3">
        <v>1</v>
      </c>
      <c r="H1665" s="3"/>
    </row>
    <row r="1666" spans="1:8" hidden="1">
      <c r="A1666" s="3">
        <v>10599</v>
      </c>
      <c r="B1666" s="7" t="s">
        <v>72</v>
      </c>
      <c r="C1666" s="42">
        <v>440</v>
      </c>
      <c r="D1666" s="6">
        <v>45605</v>
      </c>
      <c r="E1666" s="3" t="str">
        <f ca="1">IF(Tabela2[[#This Row],[Dt Venc:]]&gt;TODAY(),"Em Aberto",IF(Tabela2[[#This Row],[D/venc]]="-","Enviado",IF(Tabela2[[#This Row],[Dt Venc:]]=TODAY(),"Vence Hoje","Vencida")))</f>
        <v>Enviado</v>
      </c>
      <c r="F1666" s="3" t="str">
        <f ca="1">IF(G1666=1,"-",Tabela2[[#This Row],[Dt Venc:]]-TODAY())</f>
        <v>-</v>
      </c>
      <c r="G1666" s="3">
        <v>1</v>
      </c>
      <c r="H1666" s="3"/>
    </row>
    <row r="1667" spans="1:8" hidden="1">
      <c r="A1667" s="3">
        <v>14098</v>
      </c>
      <c r="B1667" s="7" t="s">
        <v>102</v>
      </c>
      <c r="C1667" s="42">
        <v>560</v>
      </c>
      <c r="D1667" s="6">
        <v>45605</v>
      </c>
      <c r="E1667" s="3" t="str">
        <f ca="1">IF(Tabela2[[#This Row],[Dt Venc:]]&gt;TODAY(),"Em Aberto",IF(Tabela2[[#This Row],[D/venc]]="-","Enviado",IF(Tabela2[[#This Row],[Dt Venc:]]=TODAY(),"Vence Hoje","Vencida")))</f>
        <v>Enviado</v>
      </c>
      <c r="F1667" s="3" t="str">
        <f ca="1">IF(G1667=1,"-",Tabela2[[#This Row],[Dt Venc:]]-TODAY())</f>
        <v>-</v>
      </c>
      <c r="G1667" s="3">
        <v>1</v>
      </c>
      <c r="H1667" s="3"/>
    </row>
    <row r="1668" spans="1:8" hidden="1">
      <c r="A1668" s="3">
        <v>11305</v>
      </c>
      <c r="B1668" s="7" t="s">
        <v>72</v>
      </c>
      <c r="C1668" s="42">
        <v>475</v>
      </c>
      <c r="D1668" s="6">
        <v>45605</v>
      </c>
      <c r="E1668" s="3" t="str">
        <f ca="1">IF(Tabela2[[#This Row],[Dt Venc:]]&gt;TODAY(),"Em Aberto",IF(Tabela2[[#This Row],[D/venc]]="-","Enviado",IF(Tabela2[[#This Row],[Dt Venc:]]=TODAY(),"Vence Hoje","Vencida")))</f>
        <v>Enviado</v>
      </c>
      <c r="F1668" s="3" t="str">
        <f ca="1">IF(G1668=1,"-",Tabela2[[#This Row],[Dt Venc:]]-TODAY())</f>
        <v>-</v>
      </c>
      <c r="G1668" s="3">
        <v>1</v>
      </c>
      <c r="H1668" s="3"/>
    </row>
    <row r="1669" spans="1:8" hidden="1">
      <c r="A1669" s="3">
        <v>23265</v>
      </c>
      <c r="B1669" s="7" t="s">
        <v>38</v>
      </c>
      <c r="C1669" s="42">
        <v>384.67</v>
      </c>
      <c r="D1669" s="6">
        <v>45605</v>
      </c>
      <c r="E1669" s="3" t="str">
        <f ca="1">IF(Tabela2[[#This Row],[Dt Venc:]]&gt;TODAY(),"Em Aberto",IF(Tabela2[[#This Row],[D/venc]]="-","Enviado",IF(Tabela2[[#This Row],[Dt Venc:]]=TODAY(),"Vence Hoje","Vencida")))</f>
        <v>Enviado</v>
      </c>
      <c r="F1669" s="3" t="str">
        <f ca="1">IF(G1669=1,"-",Tabela2[[#This Row],[Dt Venc:]]-TODAY())</f>
        <v>-</v>
      </c>
      <c r="G1669" s="3">
        <v>1</v>
      </c>
      <c r="H1669" s="3"/>
    </row>
    <row r="1670" spans="1:8" hidden="1">
      <c r="A1670" s="3">
        <v>2781</v>
      </c>
      <c r="B1670" s="7" t="s">
        <v>58</v>
      </c>
      <c r="C1670" s="42">
        <v>3301.27</v>
      </c>
      <c r="D1670" s="6">
        <v>45605</v>
      </c>
      <c r="E1670" s="3" t="str">
        <f ca="1">IF(Tabela2[[#This Row],[Dt Venc:]]&gt;TODAY(),"Em Aberto",IF(Tabela2[[#This Row],[D/venc]]="-","Enviado",IF(Tabela2[[#This Row],[Dt Venc:]]=TODAY(),"Vence Hoje","Vencida")))</f>
        <v>Enviado</v>
      </c>
      <c r="F1670" s="3" t="str">
        <f ca="1">IF(G1670=1,"-",Tabela2[[#This Row],[Dt Venc:]]-TODAY())</f>
        <v>-</v>
      </c>
      <c r="G1670" s="3">
        <v>1</v>
      </c>
      <c r="H1670" s="3"/>
    </row>
    <row r="1671" spans="1:8" hidden="1">
      <c r="A1671" s="3">
        <v>23079</v>
      </c>
      <c r="B1671" s="7" t="s">
        <v>409</v>
      </c>
      <c r="C1671" s="42">
        <v>704</v>
      </c>
      <c r="D1671" s="6">
        <v>45605</v>
      </c>
      <c r="E1671" s="3" t="str">
        <f ca="1">IF(Tabela2[[#This Row],[Dt Venc:]]&gt;TODAY(),"Em Aberto",IF(Tabela2[[#This Row],[D/venc]]="-","Enviado",IF(Tabela2[[#This Row],[Dt Venc:]]=TODAY(),"Vence Hoje","Vencida")))</f>
        <v>Enviado</v>
      </c>
      <c r="F1671" s="3" t="str">
        <f ca="1">IF(G1671=1,"-",Tabela2[[#This Row],[Dt Venc:]]-TODAY())</f>
        <v>-</v>
      </c>
      <c r="G1671" s="3">
        <v>1</v>
      </c>
      <c r="H1671" s="3"/>
    </row>
    <row r="1672" spans="1:8" hidden="1">
      <c r="A1672" s="3">
        <v>326910</v>
      </c>
      <c r="B1672" s="7" t="s">
        <v>240</v>
      </c>
      <c r="C1672" s="42">
        <v>387.67</v>
      </c>
      <c r="D1672" s="6">
        <v>45605</v>
      </c>
      <c r="E1672" s="3" t="str">
        <f ca="1">IF(Tabela2[[#This Row],[Dt Venc:]]&gt;TODAY(),"Em Aberto",IF(Tabela2[[#This Row],[D/venc]]="-","Enviado",IF(Tabela2[[#This Row],[Dt Venc:]]=TODAY(),"Vence Hoje","Vencida")))</f>
        <v>Enviado</v>
      </c>
      <c r="F1672" s="3" t="str">
        <f ca="1">IF(G1672=1,"-",Tabela2[[#This Row],[Dt Venc:]]-TODAY())</f>
        <v>-</v>
      </c>
      <c r="G1672" s="3">
        <v>1</v>
      </c>
      <c r="H1672" s="3"/>
    </row>
    <row r="1673" spans="1:8" hidden="1">
      <c r="A1673" s="3">
        <v>263764</v>
      </c>
      <c r="B1673" s="7" t="s">
        <v>36</v>
      </c>
      <c r="C1673" s="41">
        <v>297.5</v>
      </c>
      <c r="D1673" s="6">
        <v>45605</v>
      </c>
      <c r="E1673" s="3" t="str">
        <f ca="1">IF(Tabela2[[#This Row],[Dt Venc:]]&gt;TODAY(),"Em Aberto",IF(Tabela2[[#This Row],[D/venc]]="-","Enviado",IF(Tabela2[[#This Row],[Dt Venc:]]=TODAY(),"Vence Hoje","Vencida")))</f>
        <v>Enviado</v>
      </c>
      <c r="F1673" s="3" t="str">
        <f ca="1">IF(G1673=1,"-",Tabela2[[#This Row],[Dt Venc:]]-TODAY())</f>
        <v>-</v>
      </c>
      <c r="G1673" s="3">
        <v>1</v>
      </c>
      <c r="H1673" s="3"/>
    </row>
    <row r="1674" spans="1:8" hidden="1">
      <c r="A1674" s="3">
        <v>33</v>
      </c>
      <c r="B1674" s="7" t="s">
        <v>410</v>
      </c>
      <c r="C1674" s="41">
        <v>1330</v>
      </c>
      <c r="D1674" s="6">
        <v>45605</v>
      </c>
      <c r="E1674" s="3" t="str">
        <f ca="1">IF(Tabela2[[#This Row],[Dt Venc:]]&gt;TODAY(),"Em Aberto",IF(Tabela2[[#This Row],[D/venc]]="-","Enviado",IF(Tabela2[[#This Row],[Dt Venc:]]=TODAY(),"Vence Hoje","Vencida")))</f>
        <v>Enviado</v>
      </c>
      <c r="F1674" s="3" t="str">
        <f ca="1">IF(G1674=1,"-",Tabela2[[#This Row],[Dt Venc:]]-TODAY())</f>
        <v>-</v>
      </c>
      <c r="G1674" s="3">
        <v>1</v>
      </c>
      <c r="H1674" s="3"/>
    </row>
    <row r="1675" spans="1:8" hidden="1">
      <c r="A1675" s="3">
        <v>54303</v>
      </c>
      <c r="B1675" s="7" t="s">
        <v>411</v>
      </c>
      <c r="C1675" s="41">
        <v>551</v>
      </c>
      <c r="D1675" s="6">
        <v>45605</v>
      </c>
      <c r="E1675" s="3" t="str">
        <f ca="1">IF(Tabela2[[#This Row],[Dt Venc:]]&gt;TODAY(),"Em Aberto",IF(Tabela2[[#This Row],[D/venc]]="-","Enviado",IF(Tabela2[[#This Row],[Dt Venc:]]=TODAY(),"Vence Hoje","Vencida")))</f>
        <v>Enviado</v>
      </c>
      <c r="F1675" s="3" t="str">
        <f ca="1">IF(G1675=1,"-",Tabela2[[#This Row],[Dt Venc:]]-TODAY())</f>
        <v>-</v>
      </c>
      <c r="G1675" s="3">
        <v>1</v>
      </c>
      <c r="H1675" s="3"/>
    </row>
    <row r="1676" spans="1:8" hidden="1">
      <c r="A1676" s="3">
        <v>756561</v>
      </c>
      <c r="B1676" s="7" t="s">
        <v>166</v>
      </c>
      <c r="C1676" s="84" t="s">
        <v>32</v>
      </c>
      <c r="D1676" s="6">
        <v>45605</v>
      </c>
      <c r="E1676" s="3" t="str">
        <f ca="1">IF(Tabela2[[#This Row],[Dt Venc:]]&gt;TODAY(),"Em Aberto",IF(Tabela2[[#This Row],[D/venc]]="-","Enviado",IF(Tabela2[[#This Row],[Dt Venc:]]=TODAY(),"Vence Hoje","Vencida")))</f>
        <v>Enviado</v>
      </c>
      <c r="F1676" s="3" t="str">
        <f ca="1">IF(G1676=1,"-",Tabela2[[#This Row],[Dt Venc:]]-TODAY())</f>
        <v>-</v>
      </c>
      <c r="G1676" s="3">
        <v>1</v>
      </c>
      <c r="H1676" s="3"/>
    </row>
    <row r="1677" spans="1:8" hidden="1">
      <c r="A1677" s="3">
        <v>36949</v>
      </c>
      <c r="B1677" s="7" t="s">
        <v>167</v>
      </c>
      <c r="C1677" s="84" t="s">
        <v>32</v>
      </c>
      <c r="D1677" s="6">
        <v>45605</v>
      </c>
      <c r="E1677" s="3" t="str">
        <f ca="1">IF(Tabela2[[#This Row],[Dt Venc:]]&gt;TODAY(),"Em Aberto",IF(Tabela2[[#This Row],[D/venc]]="-","Enviado",IF(Tabela2[[#This Row],[Dt Venc:]]=TODAY(),"Vence Hoje","Vencida")))</f>
        <v>Enviado</v>
      </c>
      <c r="F1677" s="3" t="str">
        <f ca="1">IF(G1677=1,"-",Tabela2[[#This Row],[Dt Venc:]]-TODAY())</f>
        <v>-</v>
      </c>
      <c r="G1677" s="3">
        <v>1</v>
      </c>
      <c r="H1677" s="3"/>
    </row>
    <row r="1678" spans="1:8" hidden="1">
      <c r="A1678" s="3" t="s">
        <v>412</v>
      </c>
      <c r="B1678" s="7" t="s">
        <v>180</v>
      </c>
      <c r="C1678" s="84" t="s">
        <v>32</v>
      </c>
      <c r="D1678" s="6">
        <v>45605</v>
      </c>
      <c r="E1678" s="3" t="str">
        <f ca="1">IF(Tabela2[[#This Row],[Dt Venc:]]&gt;TODAY(),"Em Aberto",IF(Tabela2[[#This Row],[D/venc]]="-","Enviado",IF(Tabela2[[#This Row],[Dt Venc:]]=TODAY(),"Vence Hoje","Vencida")))</f>
        <v>Enviado</v>
      </c>
      <c r="F1678" s="3" t="str">
        <f ca="1">IF(G1678=1,"-",Tabela2[[#This Row],[Dt Venc:]]-TODAY())</f>
        <v>-</v>
      </c>
      <c r="G1678" s="3">
        <v>1</v>
      </c>
      <c r="H1678" s="3"/>
    </row>
    <row r="1679" spans="1:8" hidden="1">
      <c r="A1679" s="3">
        <v>28629</v>
      </c>
      <c r="B1679" s="7" t="s">
        <v>182</v>
      </c>
      <c r="C1679" s="84" t="s">
        <v>32</v>
      </c>
      <c r="D1679" s="6">
        <v>45606</v>
      </c>
      <c r="E1679" s="3" t="str">
        <f ca="1">IF(Tabela2[[#This Row],[Dt Venc:]]&gt;TODAY(),"Em Aberto",IF(Tabela2[[#This Row],[D/venc]]="-","Enviado",IF(Tabela2[[#This Row],[Dt Venc:]]=TODAY(),"Vence Hoje","Vencida")))</f>
        <v>Enviado</v>
      </c>
      <c r="F1679" s="3" t="str">
        <f ca="1">IF(G1679=1,"-",Tabela2[[#This Row],[Dt Venc:]]-TODAY())</f>
        <v>-</v>
      </c>
      <c r="G1679" s="3">
        <v>1</v>
      </c>
      <c r="H1679" s="3"/>
    </row>
    <row r="1680" spans="1:8" hidden="1">
      <c r="A1680" s="3" t="s">
        <v>110</v>
      </c>
      <c r="B1680" s="7" t="s">
        <v>183</v>
      </c>
      <c r="C1680" s="42" t="s">
        <v>32</v>
      </c>
      <c r="D1680" s="6">
        <v>45606</v>
      </c>
      <c r="E1680" s="3" t="str">
        <f ca="1">IF(Tabela2[[#This Row],[Dt Venc:]]&gt;TODAY(),"Em Aberto",IF(Tabela2[[#This Row],[D/venc]]="-","Enviado",IF(Tabela2[[#This Row],[Dt Venc:]]=TODAY(),"Vence Hoje","Vencida")))</f>
        <v>Enviado</v>
      </c>
      <c r="F1680" s="3" t="str">
        <f ca="1">IF(G1680=1,"-",Tabela2[[#This Row],[Dt Venc:]]-TODAY())</f>
        <v>-</v>
      </c>
      <c r="G1680" s="3">
        <v>1</v>
      </c>
      <c r="H1680" s="3"/>
    </row>
    <row r="1681" spans="1:8" hidden="1">
      <c r="A1681" s="3">
        <v>28305</v>
      </c>
      <c r="B1681" s="7" t="s">
        <v>97</v>
      </c>
      <c r="C1681" s="42">
        <v>2165</v>
      </c>
      <c r="D1681" s="6">
        <v>45606</v>
      </c>
      <c r="E1681" s="3" t="str">
        <f ca="1">IF(Tabela2[[#This Row],[Dt Venc:]]&gt;TODAY(),"Em Aberto",IF(Tabela2[[#This Row],[D/venc]]="-","Enviado",IF(Tabela2[[#This Row],[Dt Venc:]]=TODAY(),"Vence Hoje","Vencida")))</f>
        <v>Enviado</v>
      </c>
      <c r="F1681" s="3" t="str">
        <f ca="1">IF(G1681=1,"-",Tabela2[[#This Row],[Dt Venc:]]-TODAY())</f>
        <v>-</v>
      </c>
      <c r="G1681" s="3">
        <v>1</v>
      </c>
      <c r="H1681" s="3"/>
    </row>
    <row r="1682" spans="1:8" hidden="1">
      <c r="A1682" s="3" t="s">
        <v>110</v>
      </c>
      <c r="B1682" s="7" t="s">
        <v>181</v>
      </c>
      <c r="C1682" s="42" t="s">
        <v>32</v>
      </c>
      <c r="D1682" s="6">
        <v>45606</v>
      </c>
      <c r="E1682" s="3" t="str">
        <f ca="1">IF(Tabela2[[#This Row],[Dt Venc:]]&gt;TODAY(),"Em Aberto",IF(Tabela2[[#This Row],[D/venc]]="-","Enviado",IF(Tabela2[[#This Row],[Dt Venc:]]=TODAY(),"Vence Hoje","Vencida")))</f>
        <v>Enviado</v>
      </c>
      <c r="F1682" s="3" t="str">
        <f ca="1">IF(G1682=1,"-",Tabela2[[#This Row],[Dt Venc:]]-TODAY())</f>
        <v>-</v>
      </c>
      <c r="G1682" s="3">
        <v>1</v>
      </c>
      <c r="H1682" s="3"/>
    </row>
    <row r="1683" spans="1:8" hidden="1">
      <c r="A1683" s="3">
        <v>217402</v>
      </c>
      <c r="B1683" s="7" t="s">
        <v>127</v>
      </c>
      <c r="C1683" s="42">
        <v>843.7</v>
      </c>
      <c r="D1683" s="6">
        <v>45606</v>
      </c>
      <c r="E1683" s="3" t="str">
        <f ca="1">IF(Tabela2[[#This Row],[Dt Venc:]]&gt;TODAY(),"Em Aberto",IF(Tabela2[[#This Row],[D/venc]]="-","Enviado",IF(Tabela2[[#This Row],[Dt Venc:]]=TODAY(),"Vence Hoje","Vencida")))</f>
        <v>Enviado</v>
      </c>
      <c r="F1683" s="3" t="str">
        <f ca="1">IF(G1683=1,"-",Tabela2[[#This Row],[Dt Venc:]]-TODAY())</f>
        <v>-</v>
      </c>
      <c r="G1683" s="3">
        <v>1</v>
      </c>
      <c r="H1683" s="3"/>
    </row>
    <row r="1684" spans="1:8" hidden="1">
      <c r="A1684" s="3">
        <v>86400</v>
      </c>
      <c r="B1684" s="7" t="s">
        <v>207</v>
      </c>
      <c r="C1684" s="42">
        <v>1100</v>
      </c>
      <c r="D1684" s="6">
        <v>45606</v>
      </c>
      <c r="E1684" s="3" t="str">
        <f ca="1">IF(Tabela2[[#This Row],[Dt Venc:]]&gt;TODAY(),"Em Aberto",IF(Tabela2[[#This Row],[D/venc]]="-","Enviado",IF(Tabela2[[#This Row],[Dt Venc:]]=TODAY(),"Vence Hoje","Vencida")))</f>
        <v>Enviado</v>
      </c>
      <c r="F1684" s="3" t="str">
        <f ca="1">IF(G1684=1,"-",Tabela2[[#This Row],[Dt Venc:]]-TODAY())</f>
        <v>-</v>
      </c>
      <c r="G1684" s="3">
        <v>1</v>
      </c>
      <c r="H1684" s="3"/>
    </row>
    <row r="1685" spans="1:8" hidden="1">
      <c r="A1685" s="3">
        <v>2218</v>
      </c>
      <c r="B1685" s="7" t="s">
        <v>45</v>
      </c>
      <c r="C1685" s="42">
        <v>664</v>
      </c>
      <c r="D1685" s="6">
        <v>45606</v>
      </c>
      <c r="E1685" s="3" t="str">
        <f ca="1">IF(Tabela2[[#This Row],[Dt Venc:]]&gt;TODAY(),"Em Aberto",IF(Tabela2[[#This Row],[D/venc]]="-","Enviado",IF(Tabela2[[#This Row],[Dt Venc:]]=TODAY(),"Vence Hoje","Vencida")))</f>
        <v>Enviado</v>
      </c>
      <c r="F1685" s="3" t="str">
        <f ca="1">IF(G1685=1,"-",Tabela2[[#This Row],[Dt Venc:]]-TODAY())</f>
        <v>-</v>
      </c>
      <c r="G1685" s="3">
        <v>1</v>
      </c>
      <c r="H1685" s="3"/>
    </row>
    <row r="1686" spans="1:8" hidden="1">
      <c r="A1686" s="3">
        <v>152051</v>
      </c>
      <c r="B1686" s="7" t="s">
        <v>77</v>
      </c>
      <c r="C1686" s="42">
        <v>296.33</v>
      </c>
      <c r="D1686" s="6">
        <v>45606</v>
      </c>
      <c r="E1686" s="3" t="str">
        <f ca="1">IF(Tabela2[[#This Row],[Dt Venc:]]&gt;TODAY(),"Em Aberto",IF(Tabela2[[#This Row],[D/venc]]="-","Enviado",IF(Tabela2[[#This Row],[Dt Venc:]]=TODAY(),"Vence Hoje","Vencida")))</f>
        <v>Enviado</v>
      </c>
      <c r="F1686" s="3" t="str">
        <f ca="1">IF(G1686=1,"-",Tabela2[[#This Row],[Dt Venc:]]-TODAY())</f>
        <v>-</v>
      </c>
      <c r="G1686" s="3">
        <v>1</v>
      </c>
      <c r="H1686" s="3"/>
    </row>
    <row r="1687" spans="1:8" hidden="1">
      <c r="A1687" s="3">
        <v>5722</v>
      </c>
      <c r="B1687" s="7" t="s">
        <v>47</v>
      </c>
      <c r="C1687" s="42">
        <v>1240</v>
      </c>
      <c r="D1687" s="6">
        <v>45606</v>
      </c>
      <c r="E1687" s="3" t="str">
        <f ca="1">IF(Tabela2[[#This Row],[Dt Venc:]]&gt;TODAY(),"Em Aberto",IF(Tabela2[[#This Row],[D/venc]]="-","Enviado",IF(Tabela2[[#This Row],[Dt Venc:]]=TODAY(),"Vence Hoje","Vencida")))</f>
        <v>Enviado</v>
      </c>
      <c r="F1687" s="3" t="str">
        <f ca="1">IF(G1687=1,"-",Tabela2[[#This Row],[Dt Venc:]]-TODAY())</f>
        <v>-</v>
      </c>
      <c r="G1687" s="3">
        <v>1</v>
      </c>
      <c r="H1687" s="3"/>
    </row>
    <row r="1688" spans="1:8" hidden="1">
      <c r="A1688" s="3">
        <v>170116</v>
      </c>
      <c r="B1688" s="7" t="s">
        <v>211</v>
      </c>
      <c r="C1688" s="42">
        <v>526.66</v>
      </c>
      <c r="D1688" s="6">
        <v>45606</v>
      </c>
      <c r="E1688" s="3" t="str">
        <f ca="1">IF(Tabela2[[#This Row],[Dt Venc:]]&gt;TODAY(),"Em Aberto",IF(Tabela2[[#This Row],[D/venc]]="-","Enviado",IF(Tabela2[[#This Row],[Dt Venc:]]=TODAY(),"Vence Hoje","Vencida")))</f>
        <v>Enviado</v>
      </c>
      <c r="F1688" s="3" t="str">
        <f ca="1">IF(G1688=1,"-",Tabela2[[#This Row],[Dt Venc:]]-TODAY())</f>
        <v>-</v>
      </c>
      <c r="G1688" s="3">
        <v>1</v>
      </c>
      <c r="H1688" s="3"/>
    </row>
    <row r="1689" spans="1:8" hidden="1">
      <c r="A1689" s="3">
        <v>87550</v>
      </c>
      <c r="B1689" s="7" t="s">
        <v>212</v>
      </c>
      <c r="C1689" s="42">
        <v>386.67</v>
      </c>
      <c r="D1689" s="6">
        <v>45606</v>
      </c>
      <c r="E1689" s="3" t="str">
        <f ca="1">IF(Tabela2[[#This Row],[Dt Venc:]]&gt;TODAY(),"Em Aberto",IF(Tabela2[[#This Row],[D/venc]]="-","Enviado",IF(Tabela2[[#This Row],[Dt Venc:]]=TODAY(),"Vence Hoje","Vencida")))</f>
        <v>Enviado</v>
      </c>
      <c r="F1689" s="3" t="str">
        <f ca="1">IF(G1689=1,"-",Tabela2[[#This Row],[Dt Venc:]]-TODAY())</f>
        <v>-</v>
      </c>
      <c r="G1689" s="3">
        <v>1</v>
      </c>
      <c r="H1689" s="3"/>
    </row>
    <row r="1690" spans="1:8" hidden="1">
      <c r="A1690" s="3">
        <v>152789</v>
      </c>
      <c r="B1690" s="7" t="s">
        <v>77</v>
      </c>
      <c r="C1690" s="42">
        <v>975.67</v>
      </c>
      <c r="D1690" s="6">
        <v>45606</v>
      </c>
      <c r="E1690" s="3" t="str">
        <f ca="1">IF(Tabela2[[#This Row],[Dt Venc:]]&gt;TODAY(),"Em Aberto",IF(Tabela2[[#This Row],[D/venc]]="-","Enviado",IF(Tabela2[[#This Row],[Dt Venc:]]=TODAY(),"Vence Hoje","Vencida")))</f>
        <v>Enviado</v>
      </c>
      <c r="F1690" s="3" t="str">
        <f ca="1">IF(G1690=1,"-",Tabela2[[#This Row],[Dt Venc:]]-TODAY())</f>
        <v>-</v>
      </c>
      <c r="G1690" s="3">
        <v>1</v>
      </c>
      <c r="H1690" s="3"/>
    </row>
    <row r="1691" spans="1:8" hidden="1">
      <c r="A1691" s="3">
        <v>10881</v>
      </c>
      <c r="B1691" s="7" t="s">
        <v>33</v>
      </c>
      <c r="C1691" s="42">
        <v>1593.33</v>
      </c>
      <c r="D1691" s="6">
        <v>45606</v>
      </c>
      <c r="E1691" s="3" t="str">
        <f ca="1">IF(Tabela2[[#This Row],[Dt Venc:]]&gt;TODAY(),"Em Aberto",IF(Tabela2[[#This Row],[D/venc]]="-","Enviado",IF(Tabela2[[#This Row],[Dt Venc:]]=TODAY(),"Vence Hoje","Vencida")))</f>
        <v>Enviado</v>
      </c>
      <c r="F1691" s="3" t="str">
        <f ca="1">IF(G1691=1,"-",Tabela2[[#This Row],[Dt Venc:]]-TODAY())</f>
        <v>-</v>
      </c>
      <c r="G1691" s="3">
        <v>1</v>
      </c>
      <c r="H1691" s="3"/>
    </row>
    <row r="1692" spans="1:8" hidden="1">
      <c r="A1692" s="3">
        <v>753416</v>
      </c>
      <c r="B1692" s="7" t="s">
        <v>127</v>
      </c>
      <c r="C1692" s="42">
        <v>495.29</v>
      </c>
      <c r="D1692" s="6">
        <v>45606</v>
      </c>
      <c r="E1692" s="3" t="str">
        <f ca="1">IF(Tabela2[[#This Row],[Dt Venc:]]&gt;TODAY(),"Em Aberto",IF(Tabela2[[#This Row],[D/venc]]="-","Enviado",IF(Tabela2[[#This Row],[Dt Venc:]]=TODAY(),"Vence Hoje","Vencida")))</f>
        <v>Enviado</v>
      </c>
      <c r="F1692" s="3" t="str">
        <f ca="1">IF(G1692=1,"-",Tabela2[[#This Row],[Dt Venc:]]-TODAY())</f>
        <v>-</v>
      </c>
      <c r="G1692" s="3">
        <v>1</v>
      </c>
      <c r="H1692" s="3"/>
    </row>
    <row r="1693" spans="1:8" hidden="1">
      <c r="A1693" s="3">
        <v>135094</v>
      </c>
      <c r="B1693" s="7" t="s">
        <v>127</v>
      </c>
      <c r="C1693" s="42">
        <v>956.66</v>
      </c>
      <c r="D1693" s="6">
        <v>45606</v>
      </c>
      <c r="E1693" s="3" t="str">
        <f ca="1">IF(Tabela2[[#This Row],[Dt Venc:]]&gt;TODAY(),"Em Aberto",IF(Tabela2[[#This Row],[D/venc]]="-","Enviado",IF(Tabela2[[#This Row],[Dt Venc:]]=TODAY(),"Vence Hoje","Vencida")))</f>
        <v>Enviado</v>
      </c>
      <c r="F1693" s="3" t="str">
        <f ca="1">IF(G1693=1,"-",Tabela2[[#This Row],[Dt Venc:]]-TODAY())</f>
        <v>-</v>
      </c>
      <c r="G1693" s="3">
        <v>1</v>
      </c>
      <c r="H1693" s="3"/>
    </row>
    <row r="1694" spans="1:8" hidden="1">
      <c r="A1694" s="3">
        <v>135096</v>
      </c>
      <c r="B1694" s="7" t="s">
        <v>127</v>
      </c>
      <c r="C1694" s="42">
        <v>956.66</v>
      </c>
      <c r="D1694" s="6">
        <v>45606</v>
      </c>
      <c r="E1694" s="3" t="str">
        <f ca="1">IF(Tabela2[[#This Row],[Dt Venc:]]&gt;TODAY(),"Em Aberto",IF(Tabela2[[#This Row],[D/venc]]="-","Enviado",IF(Tabela2[[#This Row],[Dt Venc:]]=TODAY(),"Vence Hoje","Vencida")))</f>
        <v>Enviado</v>
      </c>
      <c r="F1694" s="3" t="str">
        <f ca="1">IF(G1694=1,"-",Tabela2[[#This Row],[Dt Venc:]]-TODAY())</f>
        <v>-</v>
      </c>
      <c r="G1694" s="3">
        <v>1</v>
      </c>
      <c r="H1694" s="3"/>
    </row>
    <row r="1695" spans="1:8" hidden="1">
      <c r="A1695" s="3">
        <v>753418</v>
      </c>
      <c r="B1695" s="7" t="s">
        <v>127</v>
      </c>
      <c r="C1695" s="42">
        <v>495.29</v>
      </c>
      <c r="D1695" s="6">
        <v>45606</v>
      </c>
      <c r="E1695" s="3" t="str">
        <f ca="1">IF(Tabela2[[#This Row],[Dt Venc:]]&gt;TODAY(),"Em Aberto",IF(Tabela2[[#This Row],[D/venc]]="-","Enviado",IF(Tabela2[[#This Row],[Dt Venc:]]=TODAY(),"Vence Hoje","Vencida")))</f>
        <v>Enviado</v>
      </c>
      <c r="F1695" s="3" t="str">
        <f ca="1">IF(G1695=1,"-",Tabela2[[#This Row],[Dt Venc:]]-TODAY())</f>
        <v>-</v>
      </c>
      <c r="G1695" s="3">
        <v>1</v>
      </c>
      <c r="H1695" s="3"/>
    </row>
    <row r="1696" spans="1:8" hidden="1">
      <c r="A1696" s="3">
        <v>1494</v>
      </c>
      <c r="B1696" s="7" t="s">
        <v>215</v>
      </c>
      <c r="C1696" s="42">
        <v>598</v>
      </c>
      <c r="D1696" s="6">
        <v>45606</v>
      </c>
      <c r="E1696" s="3" t="str">
        <f ca="1">IF(Tabela2[[#This Row],[Dt Venc:]]&gt;TODAY(),"Em Aberto",IF(Tabela2[[#This Row],[D/venc]]="-","Enviado",IF(Tabela2[[#This Row],[Dt Venc:]]=TODAY(),"Vence Hoje","Vencida")))</f>
        <v>Enviado</v>
      </c>
      <c r="F1696" s="3" t="str">
        <f ca="1">IF(G1696=1,"-",Tabela2[[#This Row],[Dt Venc:]]-TODAY())</f>
        <v>-</v>
      </c>
      <c r="G1696" s="3">
        <v>1</v>
      </c>
      <c r="H1696" s="3"/>
    </row>
    <row r="1697" spans="1:8" hidden="1">
      <c r="A1697" s="3">
        <v>2727</v>
      </c>
      <c r="B1697" s="7" t="s">
        <v>58</v>
      </c>
      <c r="C1697" s="42">
        <v>1522.64</v>
      </c>
      <c r="D1697" s="6">
        <v>45606</v>
      </c>
      <c r="E1697" s="3" t="str">
        <f ca="1">IF(Tabela2[[#This Row],[Dt Venc:]]&gt;TODAY(),"Em Aberto",IF(Tabela2[[#This Row],[D/venc]]="-","Enviado",IF(Tabela2[[#This Row],[Dt Venc:]]=TODAY(),"Vence Hoje","Vencida")))</f>
        <v>Enviado</v>
      </c>
      <c r="F1697" s="3" t="str">
        <f ca="1">IF(G1697=1,"-",Tabela2[[#This Row],[Dt Venc:]]-TODAY())</f>
        <v>-</v>
      </c>
      <c r="G1697" s="3">
        <v>1</v>
      </c>
      <c r="H1697" s="3"/>
    </row>
    <row r="1698" spans="1:8" hidden="1">
      <c r="A1698" s="3">
        <v>5862</v>
      </c>
      <c r="B1698" s="7" t="s">
        <v>217</v>
      </c>
      <c r="C1698" s="42">
        <v>1206.67</v>
      </c>
      <c r="D1698" s="6">
        <v>45606</v>
      </c>
      <c r="E1698" s="3" t="str">
        <f ca="1">IF(Tabela2[[#This Row],[Dt Venc:]]&gt;TODAY(),"Em Aberto",IF(Tabela2[[#This Row],[D/venc]]="-","Enviado",IF(Tabela2[[#This Row],[Dt Venc:]]=TODAY(),"Vence Hoje","Vencida")))</f>
        <v>Enviado</v>
      </c>
      <c r="F1698" s="3" t="str">
        <f ca="1">IF(G1698=1,"-",Tabela2[[#This Row],[Dt Venc:]]-TODAY())</f>
        <v>-</v>
      </c>
      <c r="G1698" s="3">
        <v>1</v>
      </c>
      <c r="H1698" s="3"/>
    </row>
    <row r="1699" spans="1:8" hidden="1">
      <c r="A1699" s="3">
        <v>4472072</v>
      </c>
      <c r="B1699" s="7" t="s">
        <v>219</v>
      </c>
      <c r="C1699" s="42">
        <v>132.97999999999999</v>
      </c>
      <c r="D1699" s="6">
        <v>45606</v>
      </c>
      <c r="E1699" s="3" t="str">
        <f ca="1">IF(Tabela2[[#This Row],[Dt Venc:]]&gt;TODAY(),"Em Aberto",IF(Tabela2[[#This Row],[D/venc]]="-","Enviado",IF(Tabela2[[#This Row],[Dt Venc:]]=TODAY(),"Vence Hoje","Vencida")))</f>
        <v>Enviado</v>
      </c>
      <c r="F1699" s="3" t="str">
        <f ca="1">IF(G1699=1,"-",Tabela2[[#This Row],[Dt Venc:]]-TODAY())</f>
        <v>-</v>
      </c>
      <c r="G1699" s="3">
        <v>1</v>
      </c>
      <c r="H1699" s="3"/>
    </row>
    <row r="1700" spans="1:8" hidden="1">
      <c r="A1700" s="3">
        <v>2003</v>
      </c>
      <c r="B1700" s="7" t="s">
        <v>194</v>
      </c>
      <c r="C1700" s="42">
        <v>2100</v>
      </c>
      <c r="D1700" s="6">
        <v>45606</v>
      </c>
      <c r="E1700" s="3" t="str">
        <f ca="1">IF(Tabela2[[#This Row],[Dt Venc:]]&gt;TODAY(),"Em Aberto",IF(Tabela2[[#This Row],[D/venc]]="-","Enviado",IF(Tabela2[[#This Row],[Dt Venc:]]=TODAY(),"Vence Hoje","Vencida")))</f>
        <v>Enviado</v>
      </c>
      <c r="F1700" s="3" t="str">
        <f ca="1">IF(G1700=1,"-",Tabela2[[#This Row],[Dt Venc:]]-TODAY())</f>
        <v>-</v>
      </c>
      <c r="G1700" s="3">
        <v>1</v>
      </c>
      <c r="H1700" s="3"/>
    </row>
    <row r="1701" spans="1:8" hidden="1">
      <c r="A1701" s="3">
        <v>115</v>
      </c>
      <c r="B1701" s="7" t="s">
        <v>413</v>
      </c>
      <c r="C1701" s="42">
        <v>1050</v>
      </c>
      <c r="D1701" s="6">
        <v>45606</v>
      </c>
      <c r="E1701" s="3" t="str">
        <f ca="1">IF(Tabela2[[#This Row],[Dt Venc:]]&gt;TODAY(),"Em Aberto",IF(Tabela2[[#This Row],[D/venc]]="-","Enviado",IF(Tabela2[[#This Row],[Dt Venc:]]=TODAY(),"Vence Hoje","Vencida")))</f>
        <v>Enviado</v>
      </c>
      <c r="F1701" s="3" t="str">
        <f ca="1">IF(G1701=1,"-",Tabela2[[#This Row],[Dt Venc:]]-TODAY())</f>
        <v>-</v>
      </c>
      <c r="G1701" s="3">
        <v>1</v>
      </c>
      <c r="H1701" s="3"/>
    </row>
    <row r="1702" spans="1:8" hidden="1">
      <c r="A1702" s="3">
        <v>11010</v>
      </c>
      <c r="B1702" s="7" t="s">
        <v>33</v>
      </c>
      <c r="C1702" s="42">
        <v>400</v>
      </c>
      <c r="D1702" s="6">
        <v>45606</v>
      </c>
      <c r="E1702" s="3" t="str">
        <f ca="1">IF(Tabela2[[#This Row],[Dt Venc:]]&gt;TODAY(),"Em Aberto",IF(Tabela2[[#This Row],[D/venc]]="-","Enviado",IF(Tabela2[[#This Row],[Dt Venc:]]=TODAY(),"Vence Hoje","Vencida")))</f>
        <v>Enviado</v>
      </c>
      <c r="F1702" s="3" t="str">
        <f ca="1">IF(G1702=1,"-",Tabela2[[#This Row],[Dt Venc:]]-TODAY())</f>
        <v>-</v>
      </c>
      <c r="G1702" s="3">
        <v>1</v>
      </c>
      <c r="H1702" s="3"/>
    </row>
    <row r="1703" spans="1:8" hidden="1">
      <c r="A1703" s="3">
        <v>13</v>
      </c>
      <c r="B1703" s="7" t="s">
        <v>103</v>
      </c>
      <c r="C1703" s="42">
        <v>683.3</v>
      </c>
      <c r="D1703" s="6">
        <v>45606</v>
      </c>
      <c r="E1703" s="3" t="str">
        <f ca="1">IF(Tabela2[[#This Row],[Dt Venc:]]&gt;TODAY(),"Em Aberto",IF(Tabela2[[#This Row],[D/venc]]="-","Enviado",IF(Tabela2[[#This Row],[Dt Venc:]]=TODAY(),"Vence Hoje","Vencida")))</f>
        <v>Enviado</v>
      </c>
      <c r="F1703" s="3" t="str">
        <f ca="1">IF(G1703=1,"-",Tabela2[[#This Row],[Dt Venc:]]-TODAY())</f>
        <v>-</v>
      </c>
      <c r="G1703" s="3">
        <v>1</v>
      </c>
      <c r="H1703" s="3"/>
    </row>
    <row r="1704" spans="1:8" hidden="1">
      <c r="A1704" s="3">
        <v>426487</v>
      </c>
      <c r="B1704" s="7" t="s">
        <v>414</v>
      </c>
      <c r="C1704" s="42">
        <v>690.5</v>
      </c>
      <c r="D1704" s="6">
        <v>45606</v>
      </c>
      <c r="E1704" s="3" t="str">
        <f ca="1">IF(Tabela2[[#This Row],[Dt Venc:]]&gt;TODAY(),"Em Aberto",IF(Tabela2[[#This Row],[D/venc]]="-","Enviado",IF(Tabela2[[#This Row],[Dt Venc:]]=TODAY(),"Vence Hoje","Vencida")))</f>
        <v>Enviado</v>
      </c>
      <c r="F1704" s="3" t="str">
        <f ca="1">IF(G1704=1,"-",Tabela2[[#This Row],[Dt Venc:]]-TODAY())</f>
        <v>-</v>
      </c>
      <c r="G1704" s="3">
        <v>1</v>
      </c>
      <c r="H1704" s="3"/>
    </row>
    <row r="1705" spans="1:8" hidden="1">
      <c r="A1705" s="3">
        <v>11008</v>
      </c>
      <c r="B1705" s="7" t="s">
        <v>33</v>
      </c>
      <c r="C1705" s="42">
        <v>1608.3</v>
      </c>
      <c r="D1705" s="6">
        <v>45606</v>
      </c>
      <c r="E1705" s="3" t="str">
        <f ca="1">IF(Tabela2[[#This Row],[Dt Venc:]]&gt;TODAY(),"Em Aberto",IF(Tabela2[[#This Row],[D/venc]]="-","Enviado",IF(Tabela2[[#This Row],[Dt Venc:]]=TODAY(),"Vence Hoje","Vencida")))</f>
        <v>Enviado</v>
      </c>
      <c r="F1705" s="3" t="str">
        <f ca="1">IF(G1705=1,"-",Tabela2[[#This Row],[Dt Venc:]]-TODAY())</f>
        <v>-</v>
      </c>
      <c r="G1705" s="3">
        <v>1</v>
      </c>
      <c r="H1705" s="3"/>
    </row>
    <row r="1706" spans="1:8" hidden="1">
      <c r="A1706" s="3">
        <v>151983</v>
      </c>
      <c r="B1706" s="7" t="s">
        <v>415</v>
      </c>
      <c r="C1706" s="42">
        <v>1722</v>
      </c>
      <c r="D1706" s="6">
        <v>45606</v>
      </c>
      <c r="E1706" s="3" t="str">
        <f ca="1">IF(Tabela2[[#This Row],[Dt Venc:]]&gt;TODAY(),"Em Aberto",IF(Tabela2[[#This Row],[D/venc]]="-","Enviado",IF(Tabela2[[#This Row],[Dt Venc:]]=TODAY(),"Vence Hoje","Vencida")))</f>
        <v>Enviado</v>
      </c>
      <c r="F1706" s="3" t="str">
        <f ca="1">IF(G1706=1,"-",Tabela2[[#This Row],[Dt Venc:]]-TODAY())</f>
        <v>-</v>
      </c>
      <c r="G1706" s="3">
        <v>1</v>
      </c>
      <c r="H1706" s="3"/>
    </row>
    <row r="1707" spans="1:8" hidden="1">
      <c r="A1707" s="3">
        <v>11322</v>
      </c>
      <c r="B1707" s="7" t="s">
        <v>72</v>
      </c>
      <c r="C1707" s="42">
        <v>416.66</v>
      </c>
      <c r="D1707" s="6">
        <v>45606</v>
      </c>
      <c r="E1707" s="3" t="str">
        <f ca="1">IF(Tabela2[[#This Row],[Dt Venc:]]&gt;TODAY(),"Em Aberto",IF(Tabela2[[#This Row],[D/venc]]="-","Enviado",IF(Tabela2[[#This Row],[Dt Venc:]]=TODAY(),"Vence Hoje","Vencida")))</f>
        <v>Enviado</v>
      </c>
      <c r="F1707" s="3" t="str">
        <f ca="1">IF(G1707=1,"-",Tabela2[[#This Row],[Dt Venc:]]-TODAY())</f>
        <v>-</v>
      </c>
      <c r="G1707" s="3">
        <v>1</v>
      </c>
      <c r="H1707" s="3"/>
    </row>
    <row r="1708" spans="1:8" hidden="1">
      <c r="A1708" s="3">
        <v>5989</v>
      </c>
      <c r="B1708" s="7" t="s">
        <v>47</v>
      </c>
      <c r="C1708" s="41">
        <v>1580.86</v>
      </c>
      <c r="D1708" s="6">
        <v>45606</v>
      </c>
      <c r="E1708" s="3" t="str">
        <f ca="1">IF(Tabela2[[#This Row],[Dt Venc:]]&gt;TODAY(),"Em Aberto",IF(Tabela2[[#This Row],[D/venc]]="-","Enviado",IF(Tabela2[[#This Row],[Dt Venc:]]=TODAY(),"Vence Hoje","Vencida")))</f>
        <v>Enviado</v>
      </c>
      <c r="F1708" s="3" t="str">
        <f ca="1">IF(G1708=1,"-",Tabela2[[#This Row],[Dt Venc:]]-TODAY())</f>
        <v>-</v>
      </c>
      <c r="G1708" s="3">
        <v>1</v>
      </c>
      <c r="H1708" s="3"/>
    </row>
    <row r="1709" spans="1:8" hidden="1">
      <c r="A1709" s="3">
        <v>23267</v>
      </c>
      <c r="B1709" s="7" t="s">
        <v>38</v>
      </c>
      <c r="C1709" s="41">
        <v>747.67</v>
      </c>
      <c r="D1709" s="6">
        <v>45606</v>
      </c>
      <c r="E1709" s="3" t="str">
        <f ca="1">IF(Tabela2[[#This Row],[Dt Venc:]]&gt;TODAY(),"Em Aberto",IF(Tabela2[[#This Row],[D/venc]]="-","Enviado",IF(Tabela2[[#This Row],[Dt Venc:]]=TODAY(),"Vence Hoje","Vencida")))</f>
        <v>Enviado</v>
      </c>
      <c r="F1709" s="3" t="str">
        <f ca="1">IF(G1709=1,"-",Tabela2[[#This Row],[Dt Venc:]]-TODAY())</f>
        <v>-</v>
      </c>
      <c r="G1709" s="3">
        <v>1</v>
      </c>
      <c r="H1709" s="3"/>
    </row>
    <row r="1710" spans="1:8" hidden="1">
      <c r="A1710" s="3">
        <v>50807</v>
      </c>
      <c r="B1710" s="7" t="s">
        <v>117</v>
      </c>
      <c r="C1710" s="41">
        <v>110.25</v>
      </c>
      <c r="D1710" s="6">
        <v>45606</v>
      </c>
      <c r="E1710" s="3" t="str">
        <f ca="1">IF(Tabela2[[#This Row],[Dt Venc:]]&gt;TODAY(),"Em Aberto",IF(Tabela2[[#This Row],[D/venc]]="-","Enviado",IF(Tabela2[[#This Row],[Dt Venc:]]=TODAY(),"Vence Hoje","Vencida")))</f>
        <v>Enviado</v>
      </c>
      <c r="F1710" s="3" t="str">
        <f ca="1">IF(G1710=1,"-",Tabela2[[#This Row],[Dt Venc:]]-TODAY())</f>
        <v>-</v>
      </c>
      <c r="G1710" s="3">
        <v>1</v>
      </c>
      <c r="H1710" s="3"/>
    </row>
    <row r="1711" spans="1:8" hidden="1">
      <c r="A1711" s="3">
        <v>1165</v>
      </c>
      <c r="B1711" s="7" t="s">
        <v>416</v>
      </c>
      <c r="C1711" s="41">
        <v>1192.07</v>
      </c>
      <c r="D1711" s="6">
        <v>45606</v>
      </c>
      <c r="E1711" s="3" t="str">
        <f ca="1">IF(Tabela2[[#This Row],[Dt Venc:]]&gt;TODAY(),"Em Aberto",IF(Tabela2[[#This Row],[D/venc]]="-","Enviado",IF(Tabela2[[#This Row],[Dt Venc:]]=TODAY(),"Vence Hoje","Vencida")))</f>
        <v>Enviado</v>
      </c>
      <c r="F1711" s="3" t="str">
        <f ca="1">IF(G1711=1,"-",Tabela2[[#This Row],[Dt Venc:]]-TODAY())</f>
        <v>-</v>
      </c>
      <c r="G1711" s="3">
        <v>1</v>
      </c>
      <c r="H1711" s="3"/>
    </row>
    <row r="1712" spans="1:8" hidden="1">
      <c r="A1712" s="3">
        <v>834</v>
      </c>
      <c r="B1712" s="7" t="s">
        <v>416</v>
      </c>
      <c r="C1712" s="41">
        <v>400</v>
      </c>
      <c r="D1712" s="6">
        <v>45606</v>
      </c>
      <c r="E1712" s="3" t="str">
        <f ca="1">IF(Tabela2[[#This Row],[Dt Venc:]]&gt;TODAY(),"Em Aberto",IF(Tabela2[[#This Row],[D/venc]]="-","Enviado",IF(Tabela2[[#This Row],[Dt Venc:]]=TODAY(),"Vence Hoje","Vencida")))</f>
        <v>Enviado</v>
      </c>
      <c r="F1712" s="3" t="str">
        <f ca="1">IF(G1712=1,"-",Tabela2[[#This Row],[Dt Venc:]]-TODAY())</f>
        <v>-</v>
      </c>
      <c r="G1712" s="3">
        <v>1</v>
      </c>
      <c r="H1712" s="3"/>
    </row>
    <row r="1713" spans="1:8" hidden="1">
      <c r="A1713" s="3">
        <v>48</v>
      </c>
      <c r="B1713" s="7" t="s">
        <v>417</v>
      </c>
      <c r="C1713" s="41">
        <v>685</v>
      </c>
      <c r="D1713" s="6">
        <v>45606</v>
      </c>
      <c r="E1713" s="3" t="str">
        <f ca="1">IF(Tabela2[[#This Row],[Dt Venc:]]&gt;TODAY(),"Em Aberto",IF(Tabela2[[#This Row],[D/venc]]="-","Enviado",IF(Tabela2[[#This Row],[Dt Venc:]]=TODAY(),"Vence Hoje","Vencida")))</f>
        <v>Enviado</v>
      </c>
      <c r="F1713" s="3" t="str">
        <f ca="1">IF(G1713=1,"-",Tabela2[[#This Row],[Dt Venc:]]-TODAY())</f>
        <v>-</v>
      </c>
      <c r="G1713" s="3">
        <v>1</v>
      </c>
      <c r="H1713" s="3"/>
    </row>
    <row r="1714" spans="1:8" hidden="1">
      <c r="A1714" s="3">
        <v>3302345</v>
      </c>
      <c r="B1714" s="7" t="s">
        <v>71</v>
      </c>
      <c r="C1714" s="41">
        <v>109522</v>
      </c>
      <c r="D1714" s="6">
        <v>45606</v>
      </c>
      <c r="E1714" s="3" t="str">
        <f ca="1">IF(Tabela2[[#This Row],[Dt Venc:]]&gt;TODAY(),"Em Aberto",IF(Tabela2[[#This Row],[D/venc]]="-","Enviado",IF(Tabela2[[#This Row],[Dt Venc:]]=TODAY(),"Vence Hoje","Vencida")))</f>
        <v>Enviado</v>
      </c>
      <c r="F1714" s="3" t="str">
        <f ca="1">IF(G1714=1,"-",Tabela2[[#This Row],[Dt Venc:]]-TODAY())</f>
        <v>-</v>
      </c>
      <c r="G1714" s="3">
        <v>1</v>
      </c>
      <c r="H1714" s="3"/>
    </row>
    <row r="1715" spans="1:8" hidden="1">
      <c r="A1715" s="3">
        <v>368264</v>
      </c>
      <c r="B1715" s="7" t="s">
        <v>202</v>
      </c>
      <c r="C1715" s="41">
        <v>30</v>
      </c>
      <c r="D1715" s="6">
        <v>45606</v>
      </c>
      <c r="E1715" s="3" t="str">
        <f ca="1">IF(Tabela2[[#This Row],[Dt Venc:]]&gt;TODAY(),"Em Aberto",IF(Tabela2[[#This Row],[D/venc]]="-","Enviado",IF(Tabela2[[#This Row],[Dt Venc:]]=TODAY(),"Vence Hoje","Vencida")))</f>
        <v>Enviado</v>
      </c>
      <c r="F1715" s="3" t="str">
        <f ca="1">IF(G1715=1,"-",Tabela2[[#This Row],[Dt Venc:]]-TODAY())</f>
        <v>-</v>
      </c>
      <c r="G1715" s="3">
        <v>1</v>
      </c>
      <c r="H1715" s="3"/>
    </row>
    <row r="1716" spans="1:8" hidden="1">
      <c r="A1716" s="3">
        <v>304684</v>
      </c>
      <c r="B1716" s="7" t="s">
        <v>202</v>
      </c>
      <c r="C1716" s="41">
        <v>90</v>
      </c>
      <c r="D1716" s="6">
        <v>45606</v>
      </c>
      <c r="E1716" s="3" t="str">
        <f ca="1">IF(Tabela2[[#This Row],[Dt Venc:]]&gt;TODAY(),"Em Aberto",IF(Tabela2[[#This Row],[D/venc]]="-","Enviado",IF(Tabela2[[#This Row],[Dt Venc:]]=TODAY(),"Vence Hoje","Vencida")))</f>
        <v>Enviado</v>
      </c>
      <c r="F1716" s="3" t="str">
        <f ca="1">IF(G1716=1,"-",Tabela2[[#This Row],[Dt Venc:]]-TODAY())</f>
        <v>-</v>
      </c>
      <c r="G1716" s="3">
        <v>1</v>
      </c>
      <c r="H1716" s="3"/>
    </row>
    <row r="1717" spans="1:8" hidden="1">
      <c r="A1717" s="3">
        <v>969102</v>
      </c>
      <c r="B1717" s="7" t="s">
        <v>181</v>
      </c>
      <c r="C1717" s="41">
        <v>563</v>
      </c>
      <c r="D1717" s="6">
        <v>45606</v>
      </c>
      <c r="E1717" s="3" t="str">
        <f ca="1">IF(Tabela2[[#This Row],[Dt Venc:]]&gt;TODAY(),"Em Aberto",IF(Tabela2[[#This Row],[D/venc]]="-","Enviado",IF(Tabela2[[#This Row],[Dt Venc:]]=TODAY(),"Vence Hoje","Vencida")))</f>
        <v>Enviado</v>
      </c>
      <c r="F1717" s="3" t="str">
        <f ca="1">IF(G1717=1,"-",Tabela2[[#This Row],[Dt Venc:]]-TODAY())</f>
        <v>-</v>
      </c>
      <c r="G1717" s="3">
        <v>1</v>
      </c>
      <c r="H1717" s="3"/>
    </row>
    <row r="1718" spans="1:8" hidden="1">
      <c r="A1718" s="3">
        <v>9812791</v>
      </c>
      <c r="B1718" s="7" t="s">
        <v>181</v>
      </c>
      <c r="C1718" s="41">
        <v>1313.68</v>
      </c>
      <c r="D1718" s="6">
        <v>45606</v>
      </c>
      <c r="E1718" s="3" t="str">
        <f ca="1">IF(Tabela2[[#This Row],[Dt Venc:]]&gt;TODAY(),"Em Aberto",IF(Tabela2[[#This Row],[D/venc]]="-","Enviado",IF(Tabela2[[#This Row],[Dt Venc:]]=TODAY(),"Vence Hoje","Vencida")))</f>
        <v>Enviado</v>
      </c>
      <c r="F1718" s="3" t="str">
        <f ca="1">IF(G1718=1,"-",Tabela2[[#This Row],[Dt Venc:]]-TODAY())</f>
        <v>-</v>
      </c>
      <c r="G1718" s="3">
        <v>1</v>
      </c>
      <c r="H1718" s="3"/>
    </row>
    <row r="1719" spans="1:8" hidden="1">
      <c r="A1719" s="3">
        <v>968956</v>
      </c>
      <c r="B1719" s="7" t="s">
        <v>181</v>
      </c>
      <c r="C1719" s="41">
        <v>547.37</v>
      </c>
      <c r="D1719" s="6">
        <v>45606</v>
      </c>
      <c r="E1719" s="3" t="str">
        <f ca="1">IF(Tabela2[[#This Row],[Dt Venc:]]&gt;TODAY(),"Em Aberto",IF(Tabela2[[#This Row],[D/venc]]="-","Enviado",IF(Tabela2[[#This Row],[Dt Venc:]]=TODAY(),"Vence Hoje","Vencida")))</f>
        <v>Enviado</v>
      </c>
      <c r="F1719" s="3" t="str">
        <f ca="1">IF(G1719=1,"-",Tabela2[[#This Row],[Dt Venc:]]-TODAY())</f>
        <v>-</v>
      </c>
      <c r="G1719" s="3">
        <v>1</v>
      </c>
      <c r="H1719" s="3"/>
    </row>
    <row r="1720" spans="1:8" hidden="1">
      <c r="A1720" s="3">
        <v>9812477</v>
      </c>
      <c r="B1720" s="7" t="s">
        <v>181</v>
      </c>
      <c r="C1720" s="41">
        <v>1277.18</v>
      </c>
      <c r="D1720" s="6">
        <v>45606</v>
      </c>
      <c r="E1720" s="3" t="str">
        <f ca="1">IF(Tabela2[[#This Row],[Dt Venc:]]&gt;TODAY(),"Em Aberto",IF(Tabela2[[#This Row],[D/venc]]="-","Enviado",IF(Tabela2[[#This Row],[Dt Venc:]]=TODAY(),"Vence Hoje","Vencida")))</f>
        <v>Enviado</v>
      </c>
      <c r="F1720" s="3" t="str">
        <f ca="1">IF(G1720=1,"-",Tabela2[[#This Row],[Dt Venc:]]-TODAY())</f>
        <v>-</v>
      </c>
      <c r="G1720" s="3">
        <v>1</v>
      </c>
      <c r="H1720" s="3"/>
    </row>
    <row r="1721" spans="1:8" hidden="1">
      <c r="A1721" s="3" t="s">
        <v>123</v>
      </c>
      <c r="B1721" s="7" t="s">
        <v>418</v>
      </c>
      <c r="C1721" s="42" t="s">
        <v>32</v>
      </c>
      <c r="D1721" s="6">
        <v>45606</v>
      </c>
      <c r="E1721" s="3" t="str">
        <f ca="1">IF(Tabela2[[#This Row],[Dt Venc:]]&gt;TODAY(),"Em Aberto",IF(Tabela2[[#This Row],[D/venc]]="-","Enviado",IF(Tabela2[[#This Row],[Dt Venc:]]=TODAY(),"Vence Hoje","Vencida")))</f>
        <v>Enviado</v>
      </c>
      <c r="F1721" s="3" t="str">
        <f ca="1">IF(G1721=1,"-",Tabela2[[#This Row],[Dt Venc:]]-TODAY())</f>
        <v>-</v>
      </c>
      <c r="G1721" s="3">
        <v>1</v>
      </c>
      <c r="H1721" s="3"/>
    </row>
    <row r="1722" spans="1:8" hidden="1">
      <c r="A1722" s="3" t="s">
        <v>110</v>
      </c>
      <c r="B1722" s="7" t="s">
        <v>185</v>
      </c>
      <c r="C1722" s="42" t="s">
        <v>32</v>
      </c>
      <c r="D1722" s="6">
        <v>45606</v>
      </c>
      <c r="E1722" s="3" t="str">
        <f ca="1">IF(Tabela2[[#This Row],[Dt Venc:]]&gt;TODAY(),"Em Aberto",IF(Tabela2[[#This Row],[D/venc]]="-","Enviado",IF(Tabela2[[#This Row],[Dt Venc:]]=TODAY(),"Vence Hoje","Vencida")))</f>
        <v>Enviado</v>
      </c>
      <c r="F1722" s="3" t="str">
        <f ca="1">IF(G1722=1,"-",Tabela2[[#This Row],[Dt Venc:]]-TODAY())</f>
        <v>-</v>
      </c>
      <c r="G1722" s="3">
        <v>1</v>
      </c>
      <c r="H1722" s="3"/>
    </row>
    <row r="1723" spans="1:8" hidden="1">
      <c r="A1723" s="3" t="s">
        <v>110</v>
      </c>
      <c r="B1723" s="7" t="s">
        <v>184</v>
      </c>
      <c r="C1723" s="42" t="s">
        <v>32</v>
      </c>
      <c r="D1723" s="6">
        <v>45606</v>
      </c>
      <c r="E1723" s="3" t="str">
        <f ca="1">IF(Tabela2[[#This Row],[Dt Venc:]]&gt;TODAY(),"Em Aberto",IF(Tabela2[[#This Row],[D/venc]]="-","Enviado",IF(Tabela2[[#This Row],[Dt Venc:]]=TODAY(),"Vence Hoje","Vencida")))</f>
        <v>Enviado</v>
      </c>
      <c r="F1723" s="3" t="str">
        <f ca="1">IF(G1723=1,"-",Tabela2[[#This Row],[Dt Venc:]]-TODAY())</f>
        <v>-</v>
      </c>
      <c r="G1723" s="3">
        <v>1</v>
      </c>
      <c r="H1723" s="3"/>
    </row>
    <row r="1724" spans="1:8" hidden="1">
      <c r="A1724" s="3" t="s">
        <v>123</v>
      </c>
      <c r="B1724" s="7" t="s">
        <v>186</v>
      </c>
      <c r="C1724" s="84" t="s">
        <v>32</v>
      </c>
      <c r="D1724" s="6">
        <v>45606</v>
      </c>
      <c r="E1724" s="3" t="str">
        <f ca="1">IF(Tabela2[[#This Row],[Dt Venc:]]&gt;TODAY(),"Em Aberto",IF(Tabela2[[#This Row],[D/venc]]="-","Enviado",IF(Tabela2[[#This Row],[Dt Venc:]]=TODAY(),"Vence Hoje","Vencida")))</f>
        <v>Enviado</v>
      </c>
      <c r="F1724" s="3" t="str">
        <f ca="1">IF(G1724=1,"-",Tabela2[[#This Row],[Dt Venc:]]-TODAY())</f>
        <v>-</v>
      </c>
      <c r="G1724" s="3">
        <v>1</v>
      </c>
      <c r="H1724" s="3"/>
    </row>
    <row r="1725" spans="1:8" hidden="1">
      <c r="A1725" s="3" t="s">
        <v>412</v>
      </c>
      <c r="B1725" s="7" t="s">
        <v>190</v>
      </c>
      <c r="C1725" s="84" t="s">
        <v>32</v>
      </c>
      <c r="D1725" s="6">
        <v>45606</v>
      </c>
      <c r="E1725" s="3" t="str">
        <f ca="1">IF(Tabela2[[#This Row],[Dt Venc:]]&gt;TODAY(),"Em Aberto",IF(Tabela2[[#This Row],[D/venc]]="-","Enviado",IF(Tabela2[[#This Row],[Dt Venc:]]=TODAY(),"Vence Hoje","Vencida")))</f>
        <v>Enviado</v>
      </c>
      <c r="F1725" s="3" t="str">
        <f ca="1">IF(G1725=1,"-",Tabela2[[#This Row],[Dt Venc:]]-TODAY())</f>
        <v>-</v>
      </c>
      <c r="G1725" s="3">
        <v>1</v>
      </c>
      <c r="H1725" s="3"/>
    </row>
    <row r="1726" spans="1:8" hidden="1">
      <c r="A1726" s="3" t="s">
        <v>123</v>
      </c>
      <c r="B1726" s="7" t="s">
        <v>201</v>
      </c>
      <c r="C1726" s="87" t="s">
        <v>32</v>
      </c>
      <c r="D1726" s="6">
        <v>45606</v>
      </c>
      <c r="E1726" s="3" t="str">
        <f ca="1">IF(Tabela2[[#This Row],[Dt Venc:]]&gt;TODAY(),"Em Aberto",IF(Tabela2[[#This Row],[D/venc]]="-","Enviado",IF(Tabela2[[#This Row],[Dt Venc:]]=TODAY(),"Vence Hoje","Vencida")))</f>
        <v>Enviado</v>
      </c>
      <c r="F1726" s="3" t="str">
        <f ca="1">IF(G1726=1,"-",Tabela2[[#This Row],[Dt Venc:]]-TODAY())</f>
        <v>-</v>
      </c>
      <c r="G1726" s="3">
        <v>1</v>
      </c>
      <c r="H1726" s="3"/>
    </row>
    <row r="1727" spans="1:8" hidden="1">
      <c r="A1727" s="3">
        <v>2760</v>
      </c>
      <c r="B1727" s="7" t="s">
        <v>419</v>
      </c>
      <c r="C1727" s="41">
        <v>130</v>
      </c>
      <c r="D1727" s="6">
        <v>45606</v>
      </c>
      <c r="E1727" s="3" t="str">
        <f ca="1">IF(Tabela2[[#This Row],[Dt Venc:]]&gt;TODAY(),"Em Aberto",IF(Tabela2[[#This Row],[D/venc]]="-","Enviado",IF(Tabela2[[#This Row],[Dt Venc:]]=TODAY(),"Vence Hoje","Vencida")))</f>
        <v>Enviado</v>
      </c>
      <c r="F1727" s="3" t="str">
        <f ca="1">IF(G1727=1,"-",Tabela2[[#This Row],[Dt Venc:]]-TODAY())</f>
        <v>-</v>
      </c>
      <c r="G1727" s="3">
        <v>1</v>
      </c>
      <c r="H1727" s="3"/>
    </row>
    <row r="1728" spans="1:8" hidden="1">
      <c r="A1728" s="3">
        <v>37292</v>
      </c>
      <c r="B1728" s="7" t="s">
        <v>167</v>
      </c>
      <c r="C1728" s="83" t="s">
        <v>32</v>
      </c>
      <c r="D1728" s="6">
        <v>45607</v>
      </c>
      <c r="E1728" s="3" t="str">
        <f ca="1">IF(Tabela2[[#This Row],[Dt Venc:]]&gt;TODAY(),"Em Aberto",IF(Tabela2[[#This Row],[D/venc]]="-","Enviado",IF(Tabela2[[#This Row],[Dt Venc:]]=TODAY(),"Vence Hoje","Vencida")))</f>
        <v>Enviado</v>
      </c>
      <c r="F1728" s="3" t="str">
        <f ca="1">IF(G1728=1,"-",Tabela2[[#This Row],[Dt Venc:]]-TODAY())</f>
        <v>-</v>
      </c>
      <c r="G1728" s="3">
        <v>1</v>
      </c>
      <c r="H1728" s="3"/>
    </row>
    <row r="1729" spans="1:8" hidden="1">
      <c r="A1729" s="3">
        <v>37327</v>
      </c>
      <c r="B1729" s="7" t="s">
        <v>167</v>
      </c>
      <c r="C1729" s="83" t="s">
        <v>32</v>
      </c>
      <c r="D1729" s="6">
        <v>45607</v>
      </c>
      <c r="E1729" s="3" t="str">
        <f ca="1">IF(Tabela2[[#This Row],[Dt Venc:]]&gt;TODAY(),"Em Aberto",IF(Tabela2[[#This Row],[D/venc]]="-","Enviado",IF(Tabela2[[#This Row],[Dt Venc:]]=TODAY(),"Vence Hoje","Vencida")))</f>
        <v>Enviado</v>
      </c>
      <c r="F1729" s="3" t="str">
        <f ca="1">IF(G1729=1,"-",Tabela2[[#This Row],[Dt Venc:]]-TODAY())</f>
        <v>-</v>
      </c>
      <c r="G1729" s="3">
        <v>1</v>
      </c>
      <c r="H1729" s="3"/>
    </row>
    <row r="1730" spans="1:8" hidden="1">
      <c r="A1730" s="3">
        <v>23430</v>
      </c>
      <c r="B1730" s="7" t="s">
        <v>221</v>
      </c>
      <c r="C1730" s="42">
        <v>634.66999999999996</v>
      </c>
      <c r="D1730" s="6">
        <v>45607</v>
      </c>
      <c r="E1730" s="3" t="str">
        <f ca="1">IF(Tabela2[[#This Row],[Dt Venc:]]&gt;TODAY(),"Em Aberto",IF(Tabela2[[#This Row],[D/venc]]="-","Enviado",IF(Tabela2[[#This Row],[Dt Venc:]]=TODAY(),"Vence Hoje","Vencida")))</f>
        <v>Enviado</v>
      </c>
      <c r="F1730" s="3" t="str">
        <f ca="1">IF(G1730=1,"-",Tabela2[[#This Row],[Dt Venc:]]-TODAY())</f>
        <v>-</v>
      </c>
      <c r="G1730" s="3">
        <v>1</v>
      </c>
      <c r="H1730" s="3"/>
    </row>
    <row r="1731" spans="1:8" hidden="1">
      <c r="A1731" s="3">
        <v>79874</v>
      </c>
      <c r="B1731" s="7" t="s">
        <v>39</v>
      </c>
      <c r="C1731" s="42">
        <v>500.17</v>
      </c>
      <c r="D1731" s="6">
        <v>45607</v>
      </c>
      <c r="E1731" s="3" t="str">
        <f ca="1">IF(Tabela2[[#This Row],[Dt Venc:]]&gt;TODAY(),"Em Aberto",IF(Tabela2[[#This Row],[D/venc]]="-","Enviado",IF(Tabela2[[#This Row],[Dt Venc:]]=TODAY(),"Vence Hoje","Vencida")))</f>
        <v>Enviado</v>
      </c>
      <c r="F1731" s="3" t="str">
        <f ca="1">IF(G1731=1,"-",Tabela2[[#This Row],[Dt Venc:]]-TODAY())</f>
        <v>-</v>
      </c>
      <c r="G1731" s="3">
        <v>1</v>
      </c>
      <c r="H1731" s="3"/>
    </row>
    <row r="1732" spans="1:8" hidden="1">
      <c r="A1732" s="3">
        <v>79888</v>
      </c>
      <c r="B1732" s="7" t="s">
        <v>39</v>
      </c>
      <c r="C1732" s="42">
        <v>609.23</v>
      </c>
      <c r="D1732" s="6">
        <v>45607</v>
      </c>
      <c r="E1732" s="3" t="str">
        <f ca="1">IF(Tabela2[[#This Row],[Dt Venc:]]&gt;TODAY(),"Em Aberto",IF(Tabela2[[#This Row],[D/venc]]="-","Enviado",IF(Tabela2[[#This Row],[Dt Venc:]]=TODAY(),"Vence Hoje","Vencida")))</f>
        <v>Enviado</v>
      </c>
      <c r="F1732" s="3" t="str">
        <f ca="1">IF(G1732=1,"-",Tabela2[[#This Row],[Dt Venc:]]-TODAY())</f>
        <v>-</v>
      </c>
      <c r="G1732" s="3">
        <v>1</v>
      </c>
      <c r="H1732" s="3"/>
    </row>
    <row r="1733" spans="1:8" hidden="1">
      <c r="A1733" s="3">
        <v>80273</v>
      </c>
      <c r="B1733" s="7" t="s">
        <v>39</v>
      </c>
      <c r="C1733" s="42">
        <v>616.64</v>
      </c>
      <c r="D1733" s="6">
        <v>45607</v>
      </c>
      <c r="E1733" s="3" t="str">
        <f ca="1">IF(Tabela2[[#This Row],[Dt Venc:]]&gt;TODAY(),"Em Aberto",IF(Tabela2[[#This Row],[D/venc]]="-","Enviado",IF(Tabela2[[#This Row],[Dt Venc:]]=TODAY(),"Vence Hoje","Vencida")))</f>
        <v>Enviado</v>
      </c>
      <c r="F1733" s="3" t="str">
        <f ca="1">IF(G1733=1,"-",Tabela2[[#This Row],[Dt Venc:]]-TODAY())</f>
        <v>-</v>
      </c>
      <c r="G1733" s="3">
        <v>1</v>
      </c>
      <c r="H1733" s="3"/>
    </row>
    <row r="1734" spans="1:8" hidden="1">
      <c r="A1734" s="3">
        <v>360525</v>
      </c>
      <c r="B1734" s="7" t="s">
        <v>39</v>
      </c>
      <c r="C1734" s="42">
        <v>411.52</v>
      </c>
      <c r="D1734" s="6">
        <v>45607</v>
      </c>
      <c r="E1734" s="3" t="str">
        <f ca="1">IF(Tabela2[[#This Row],[Dt Venc:]]&gt;TODAY(),"Em Aberto",IF(Tabela2[[#This Row],[D/venc]]="-","Enviado",IF(Tabela2[[#This Row],[Dt Venc:]]=TODAY(),"Vence Hoje","Vencida")))</f>
        <v>Enviado</v>
      </c>
      <c r="F1734" s="3" t="str">
        <f ca="1">IF(G1734=1,"-",Tabela2[[#This Row],[Dt Venc:]]-TODAY())</f>
        <v>-</v>
      </c>
      <c r="G1734" s="3">
        <v>1</v>
      </c>
      <c r="H1734" s="3"/>
    </row>
    <row r="1735" spans="1:8" hidden="1">
      <c r="A1735" s="3">
        <v>360574</v>
      </c>
      <c r="B1735" s="7" t="s">
        <v>39</v>
      </c>
      <c r="C1735" s="42">
        <v>411.52</v>
      </c>
      <c r="D1735" s="6">
        <v>45607</v>
      </c>
      <c r="E1735" s="3" t="str">
        <f ca="1">IF(Tabela2[[#This Row],[Dt Venc:]]&gt;TODAY(),"Em Aberto",IF(Tabela2[[#This Row],[D/venc]]="-","Enviado",IF(Tabela2[[#This Row],[Dt Venc:]]=TODAY(),"Vence Hoje","Vencida")))</f>
        <v>Enviado</v>
      </c>
      <c r="F1735" s="3" t="str">
        <f ca="1">IF(G1735=1,"-",Tabela2[[#This Row],[Dt Venc:]]-TODAY())</f>
        <v>-</v>
      </c>
      <c r="G1735" s="3">
        <v>1</v>
      </c>
      <c r="H1735" s="3"/>
    </row>
    <row r="1736" spans="1:8" hidden="1">
      <c r="A1736" s="3">
        <v>80272</v>
      </c>
      <c r="B1736" s="7" t="s">
        <v>187</v>
      </c>
      <c r="C1736" s="42">
        <v>616.64</v>
      </c>
      <c r="D1736" s="6">
        <v>45607</v>
      </c>
      <c r="E1736" s="3" t="str">
        <f ca="1">IF(Tabela2[[#This Row],[Dt Venc:]]&gt;TODAY(),"Em Aberto",IF(Tabela2[[#This Row],[D/venc]]="-","Enviado",IF(Tabela2[[#This Row],[Dt Venc:]]=TODAY(),"Vence Hoje","Vencida")))</f>
        <v>Enviado</v>
      </c>
      <c r="F1736" s="3" t="str">
        <f ca="1">IF(G1736=1,"-",Tabela2[[#This Row],[Dt Venc:]]-TODAY())</f>
        <v>-</v>
      </c>
      <c r="G1736" s="3">
        <v>1</v>
      </c>
      <c r="H1736" s="3"/>
    </row>
    <row r="1737" spans="1:8" hidden="1">
      <c r="A1737" s="3">
        <v>362723</v>
      </c>
      <c r="B1737" s="7" t="s">
        <v>187</v>
      </c>
      <c r="C1737" s="42">
        <v>290.41000000000003</v>
      </c>
      <c r="D1737" s="6">
        <v>45607</v>
      </c>
      <c r="E1737" s="3" t="str">
        <f ca="1">IF(Tabela2[[#This Row],[Dt Venc:]]&gt;TODAY(),"Em Aberto",IF(Tabela2[[#This Row],[D/venc]]="-","Enviado",IF(Tabela2[[#This Row],[Dt Venc:]]=TODAY(),"Vence Hoje","Vencida")))</f>
        <v>Enviado</v>
      </c>
      <c r="F1737" s="3" t="str">
        <f ca="1">IF(G1737=1,"-",Tabela2[[#This Row],[Dt Venc:]]-TODAY())</f>
        <v>-</v>
      </c>
      <c r="G1737" s="3">
        <v>1</v>
      </c>
      <c r="H1737" s="3"/>
    </row>
    <row r="1738" spans="1:8" hidden="1">
      <c r="A1738" s="3">
        <v>362724</v>
      </c>
      <c r="B1738" s="7" t="s">
        <v>187</v>
      </c>
      <c r="C1738" s="42">
        <v>290.41000000000003</v>
      </c>
      <c r="D1738" s="6">
        <v>45607</v>
      </c>
      <c r="E1738" s="3" t="str">
        <f ca="1">IF(Tabela2[[#This Row],[Dt Venc:]]&gt;TODAY(),"Em Aberto",IF(Tabela2[[#This Row],[D/venc]]="-","Enviado",IF(Tabela2[[#This Row],[Dt Venc:]]=TODAY(),"Vence Hoje","Vencida")))</f>
        <v>Enviado</v>
      </c>
      <c r="F1738" s="3" t="str">
        <f ca="1">IF(G1738=1,"-",Tabela2[[#This Row],[Dt Venc:]]-TODAY())</f>
        <v>-</v>
      </c>
      <c r="G1738" s="3">
        <v>1</v>
      </c>
      <c r="H1738" s="3"/>
    </row>
    <row r="1739" spans="1:8" hidden="1">
      <c r="A1739" s="3">
        <v>217437</v>
      </c>
      <c r="B1739" s="7" t="s">
        <v>127</v>
      </c>
      <c r="C1739" s="42">
        <v>1195.43</v>
      </c>
      <c r="D1739" s="6">
        <v>45607</v>
      </c>
      <c r="E1739" s="3" t="str">
        <f ca="1">IF(Tabela2[[#This Row],[Dt Venc:]]&gt;TODAY(),"Em Aberto",IF(Tabela2[[#This Row],[D/venc]]="-","Enviado",IF(Tabela2[[#This Row],[Dt Venc:]]=TODAY(),"Vence Hoje","Vencida")))</f>
        <v>Enviado</v>
      </c>
      <c r="F1739" s="3" t="str">
        <f ca="1">IF(G1739=1,"-",Tabela2[[#This Row],[Dt Venc:]]-TODAY())</f>
        <v>-</v>
      </c>
      <c r="G1739" s="3">
        <v>1</v>
      </c>
      <c r="H1739" s="3"/>
    </row>
    <row r="1740" spans="1:8" hidden="1">
      <c r="A1740" s="3">
        <v>217444</v>
      </c>
      <c r="B1740" s="7" t="s">
        <v>127</v>
      </c>
      <c r="C1740" s="42">
        <v>574.78</v>
      </c>
      <c r="D1740" s="6">
        <v>45607</v>
      </c>
      <c r="E1740" s="3" t="str">
        <f ca="1">IF(Tabela2[[#This Row],[Dt Venc:]]&gt;TODAY(),"Em Aberto",IF(Tabela2[[#This Row],[D/venc]]="-","Enviado",IF(Tabela2[[#This Row],[Dt Venc:]]=TODAY(),"Vence Hoje","Vencida")))</f>
        <v>Enviado</v>
      </c>
      <c r="F1740" s="3" t="str">
        <f ca="1">IF(G1740=1,"-",Tabela2[[#This Row],[Dt Venc:]]-TODAY())</f>
        <v>-</v>
      </c>
      <c r="G1740" s="3">
        <v>1</v>
      </c>
      <c r="H1740" s="3"/>
    </row>
    <row r="1741" spans="1:8" hidden="1">
      <c r="A1741" s="3">
        <v>69519</v>
      </c>
      <c r="B1741" s="7" t="s">
        <v>76</v>
      </c>
      <c r="C1741" s="42">
        <v>3017.42</v>
      </c>
      <c r="D1741" s="6">
        <v>45607</v>
      </c>
      <c r="E1741" s="3" t="str">
        <f ca="1">IF(Tabela2[[#This Row],[Dt Venc:]]&gt;TODAY(),"Em Aberto",IF(Tabela2[[#This Row],[D/venc]]="-","Enviado",IF(Tabela2[[#This Row],[Dt Venc:]]=TODAY(),"Vence Hoje","Vencida")))</f>
        <v>Enviado</v>
      </c>
      <c r="F1741" s="3" t="str">
        <f ca="1">IF(G1741=1,"-",Tabela2[[#This Row],[Dt Venc:]]-TODAY())</f>
        <v>-</v>
      </c>
      <c r="G1741" s="3">
        <v>1</v>
      </c>
      <c r="H1741" s="3"/>
    </row>
    <row r="1742" spans="1:8" hidden="1">
      <c r="A1742" s="3">
        <v>179264</v>
      </c>
      <c r="B1742" s="7" t="s">
        <v>42</v>
      </c>
      <c r="C1742" s="42">
        <v>2640</v>
      </c>
      <c r="D1742" s="6">
        <v>45607</v>
      </c>
      <c r="E1742" s="3" t="str">
        <f ca="1">IF(Tabela2[[#This Row],[Dt Venc:]]&gt;TODAY(),"Em Aberto",IF(Tabela2[[#This Row],[D/venc]]="-","Enviado",IF(Tabela2[[#This Row],[Dt Venc:]]=TODAY(),"Vence Hoje","Vencida")))</f>
        <v>Enviado</v>
      </c>
      <c r="F1742" s="3" t="str">
        <f ca="1">IF(G1742=1,"-",Tabela2[[#This Row],[Dt Venc:]]-TODAY())</f>
        <v>-</v>
      </c>
      <c r="G1742" s="3">
        <v>1</v>
      </c>
      <c r="H1742" s="3"/>
    </row>
    <row r="1743" spans="1:8" hidden="1">
      <c r="A1743" s="3">
        <v>211550</v>
      </c>
      <c r="B1743" s="7" t="s">
        <v>43</v>
      </c>
      <c r="C1743" s="42">
        <v>1160.8</v>
      </c>
      <c r="D1743" s="6">
        <v>45607</v>
      </c>
      <c r="E1743" s="3" t="str">
        <f ca="1">IF(Tabela2[[#This Row],[Dt Venc:]]&gt;TODAY(),"Em Aberto",IF(Tabela2[[#This Row],[D/venc]]="-","Enviado",IF(Tabela2[[#This Row],[Dt Venc:]]=TODAY(),"Vence Hoje","Vencida")))</f>
        <v>Enviado</v>
      </c>
      <c r="F1743" s="3" t="str">
        <f ca="1">IF(G1743=1,"-",Tabela2[[#This Row],[Dt Venc:]]-TODAY())</f>
        <v>-</v>
      </c>
      <c r="G1743" s="3">
        <v>1</v>
      </c>
      <c r="H1743" s="3"/>
    </row>
    <row r="1744" spans="1:8" hidden="1">
      <c r="A1744" s="3">
        <v>211677</v>
      </c>
      <c r="B1744" s="7" t="s">
        <v>43</v>
      </c>
      <c r="C1744" s="42">
        <v>656</v>
      </c>
      <c r="D1744" s="6">
        <v>45607</v>
      </c>
      <c r="E1744" s="3" t="str">
        <f ca="1">IF(Tabela2[[#This Row],[Dt Venc:]]&gt;TODAY(),"Em Aberto",IF(Tabela2[[#This Row],[D/venc]]="-","Enviado",IF(Tabela2[[#This Row],[Dt Venc:]]=TODAY(),"Vence Hoje","Vencida")))</f>
        <v>Enviado</v>
      </c>
      <c r="F1744" s="3" t="str">
        <f ca="1">IF(G1744=1,"-",Tabela2[[#This Row],[Dt Venc:]]-TODAY())</f>
        <v>-</v>
      </c>
      <c r="G1744" s="3">
        <v>1</v>
      </c>
      <c r="H1744" s="3"/>
    </row>
    <row r="1745" spans="1:8" hidden="1">
      <c r="A1745" s="3">
        <v>392096</v>
      </c>
      <c r="B1745" s="7" t="s">
        <v>136</v>
      </c>
      <c r="C1745" s="42">
        <v>1870</v>
      </c>
      <c r="D1745" s="6">
        <v>45607</v>
      </c>
      <c r="E1745" s="3" t="str">
        <f ca="1">IF(Tabela2[[#This Row],[Dt Venc:]]&gt;TODAY(),"Em Aberto",IF(Tabela2[[#This Row],[D/venc]]="-","Enviado",IF(Tabela2[[#This Row],[Dt Venc:]]=TODAY(),"Vence Hoje","Vencida")))</f>
        <v>Enviado</v>
      </c>
      <c r="F1745" s="3" t="str">
        <f ca="1">IF(G1745=1,"-",Tabela2[[#This Row],[Dt Venc:]]-TODAY())</f>
        <v>-</v>
      </c>
      <c r="G1745" s="3">
        <v>1</v>
      </c>
      <c r="H1745" s="3"/>
    </row>
    <row r="1746" spans="1:8" hidden="1">
      <c r="A1746" s="3">
        <v>70630</v>
      </c>
      <c r="B1746" s="7" t="s">
        <v>76</v>
      </c>
      <c r="C1746" s="42">
        <v>1940.94</v>
      </c>
      <c r="D1746" s="6">
        <v>45607</v>
      </c>
      <c r="E1746" s="3" t="str">
        <f ca="1">IF(Tabela2[[#This Row],[Dt Venc:]]&gt;TODAY(),"Em Aberto",IF(Tabela2[[#This Row],[D/venc]]="-","Enviado",IF(Tabela2[[#This Row],[Dt Venc:]]=TODAY(),"Vence Hoje","Vencida")))</f>
        <v>Enviado</v>
      </c>
      <c r="F1746" s="3" t="str">
        <f ca="1">IF(G1746=1,"-",Tabela2[[#This Row],[Dt Venc:]]-TODAY())</f>
        <v>-</v>
      </c>
      <c r="G1746" s="3">
        <v>1</v>
      </c>
      <c r="H1746" s="3"/>
    </row>
    <row r="1747" spans="1:8" hidden="1">
      <c r="A1747" s="3">
        <v>367478</v>
      </c>
      <c r="B1747" s="7" t="s">
        <v>39</v>
      </c>
      <c r="C1747" s="42">
        <v>456.59</v>
      </c>
      <c r="D1747" s="6">
        <v>45607</v>
      </c>
      <c r="E1747" s="3" t="str">
        <f ca="1">IF(Tabela2[[#This Row],[Dt Venc:]]&gt;TODAY(),"Em Aberto",IF(Tabela2[[#This Row],[D/venc]]="-","Enviado",IF(Tabela2[[#This Row],[Dt Venc:]]=TODAY(),"Vence Hoje","Vencida")))</f>
        <v>Enviado</v>
      </c>
      <c r="F1747" s="3" t="str">
        <f ca="1">IF(G1747=1,"-",Tabela2[[#This Row],[Dt Venc:]]-TODAY())</f>
        <v>-</v>
      </c>
      <c r="G1747" s="3">
        <v>1</v>
      </c>
      <c r="H1747" s="3"/>
    </row>
    <row r="1748" spans="1:8" hidden="1">
      <c r="A1748" s="3">
        <v>21756</v>
      </c>
      <c r="B1748" s="7" t="s">
        <v>40</v>
      </c>
      <c r="C1748" s="42">
        <v>7933.34</v>
      </c>
      <c r="D1748" s="6">
        <v>45607</v>
      </c>
      <c r="E1748" s="3" t="str">
        <f ca="1">IF(Tabela2[[#This Row],[Dt Venc:]]&gt;TODAY(),"Em Aberto",IF(Tabela2[[#This Row],[D/venc]]="-","Enviado",IF(Tabela2[[#This Row],[Dt Venc:]]=TODAY(),"Vence Hoje","Vencida")))</f>
        <v>Enviado</v>
      </c>
      <c r="F1748" s="3" t="str">
        <f ca="1">IF(G1748=1,"-",Tabela2[[#This Row],[Dt Venc:]]-TODAY())</f>
        <v>-</v>
      </c>
      <c r="G1748" s="3">
        <v>1</v>
      </c>
      <c r="H1748" s="3"/>
    </row>
    <row r="1749" spans="1:8" hidden="1">
      <c r="A1749" s="3">
        <v>367368</v>
      </c>
      <c r="B1749" s="7" t="s">
        <v>39</v>
      </c>
      <c r="C1749" s="42">
        <v>1189.6300000000001</v>
      </c>
      <c r="D1749" s="6">
        <v>45607</v>
      </c>
      <c r="E1749" s="3" t="str">
        <f ca="1">IF(Tabela2[[#This Row],[Dt Venc:]]&gt;TODAY(),"Em Aberto",IF(Tabela2[[#This Row],[D/venc]]="-","Enviado",IF(Tabela2[[#This Row],[Dt Venc:]]=TODAY(),"Vence Hoje","Vencida")))</f>
        <v>Enviado</v>
      </c>
      <c r="F1749" s="3" t="str">
        <f ca="1">IF(G1749=1,"-",Tabela2[[#This Row],[Dt Venc:]]-TODAY())</f>
        <v>-</v>
      </c>
      <c r="G1749" s="3">
        <v>1</v>
      </c>
      <c r="H1749" s="3"/>
    </row>
    <row r="1750" spans="1:8" hidden="1">
      <c r="A1750" s="3">
        <v>424391</v>
      </c>
      <c r="B1750" s="7" t="s">
        <v>222</v>
      </c>
      <c r="C1750" s="42">
        <v>446.8</v>
      </c>
      <c r="D1750" s="6">
        <v>45607</v>
      </c>
      <c r="E1750" s="3" t="str">
        <f ca="1">IF(Tabela2[[#This Row],[Dt Venc:]]&gt;TODAY(),"Em Aberto",IF(Tabela2[[#This Row],[D/venc]]="-","Enviado",IF(Tabela2[[#This Row],[Dt Venc:]]=TODAY(),"Vence Hoje","Vencida")))</f>
        <v>Enviado</v>
      </c>
      <c r="F1750" s="3" t="str">
        <f ca="1">IF(G1750=1,"-",Tabela2[[#This Row],[Dt Venc:]]-TODAY())</f>
        <v>-</v>
      </c>
      <c r="G1750" s="3">
        <v>1</v>
      </c>
      <c r="H1750" s="3"/>
    </row>
    <row r="1751" spans="1:8" hidden="1">
      <c r="A1751" s="3">
        <v>424390</v>
      </c>
      <c r="B1751" s="7" t="s">
        <v>222</v>
      </c>
      <c r="C1751" s="42">
        <v>1072.5</v>
      </c>
      <c r="D1751" s="6">
        <v>45607</v>
      </c>
      <c r="E1751" s="3" t="str">
        <f ca="1">IF(Tabela2[[#This Row],[Dt Venc:]]&gt;TODAY(),"Em Aberto",IF(Tabela2[[#This Row],[D/venc]]="-","Enviado",IF(Tabela2[[#This Row],[Dt Venc:]]=TODAY(),"Vence Hoje","Vencida")))</f>
        <v>Enviado</v>
      </c>
      <c r="F1751" s="3" t="str">
        <f ca="1">IF(G1751=1,"-",Tabela2[[#This Row],[Dt Venc:]]-TODAY())</f>
        <v>-</v>
      </c>
      <c r="G1751" s="3">
        <v>1</v>
      </c>
      <c r="H1751" s="3"/>
    </row>
    <row r="1752" spans="1:8" hidden="1">
      <c r="A1752" s="3">
        <v>962</v>
      </c>
      <c r="B1752" s="7" t="s">
        <v>243</v>
      </c>
      <c r="C1752" s="42">
        <v>480.44</v>
      </c>
      <c r="D1752" s="6">
        <v>45607</v>
      </c>
      <c r="E1752" s="3" t="str">
        <f ca="1">IF(Tabela2[[#This Row],[Dt Venc:]]&gt;TODAY(),"Em Aberto",IF(Tabela2[[#This Row],[D/venc]]="-","Enviado",IF(Tabela2[[#This Row],[Dt Venc:]]=TODAY(),"Vence Hoje","Vencida")))</f>
        <v>Enviado</v>
      </c>
      <c r="F1752" s="3" t="str">
        <f ca="1">IF(G1752=1,"-",Tabela2[[#This Row],[Dt Venc:]]-TODAY())</f>
        <v>-</v>
      </c>
      <c r="G1752" s="3">
        <v>1</v>
      </c>
      <c r="H1752" s="3"/>
    </row>
    <row r="1753" spans="1:8" hidden="1">
      <c r="A1753" s="3">
        <v>228625</v>
      </c>
      <c r="B1753" s="7" t="s">
        <v>214</v>
      </c>
      <c r="C1753" s="42">
        <v>900</v>
      </c>
      <c r="D1753" s="6">
        <v>45607</v>
      </c>
      <c r="E1753" s="3" t="str">
        <f ca="1">IF(Tabela2[[#This Row],[Dt Venc:]]&gt;TODAY(),"Em Aberto",IF(Tabela2[[#This Row],[D/venc]]="-","Enviado",IF(Tabela2[[#This Row],[Dt Venc:]]=TODAY(),"Vence Hoje","Vencida")))</f>
        <v>Enviado</v>
      </c>
      <c r="F1753" s="3" t="str">
        <f ca="1">IF(G1753=1,"-",Tabela2[[#This Row],[Dt Venc:]]-TODAY())</f>
        <v>-</v>
      </c>
      <c r="G1753" s="3">
        <v>1</v>
      </c>
      <c r="H1753" s="3"/>
    </row>
    <row r="1754" spans="1:8" hidden="1">
      <c r="A1754" s="3">
        <v>152829</v>
      </c>
      <c r="B1754" s="7" t="s">
        <v>223</v>
      </c>
      <c r="C1754" s="42">
        <v>1823.33</v>
      </c>
      <c r="D1754" s="6">
        <v>45607</v>
      </c>
      <c r="E1754" s="3" t="str">
        <f ca="1">IF(Tabela2[[#This Row],[Dt Venc:]]&gt;TODAY(),"Em Aberto",IF(Tabela2[[#This Row],[D/venc]]="-","Enviado",IF(Tabela2[[#This Row],[Dt Venc:]]=TODAY(),"Vence Hoje","Vencida")))</f>
        <v>Enviado</v>
      </c>
      <c r="F1754" s="3" t="str">
        <f ca="1">IF(G1754=1,"-",Tabela2[[#This Row],[Dt Venc:]]-TODAY())</f>
        <v>-</v>
      </c>
      <c r="G1754" s="3">
        <v>1</v>
      </c>
      <c r="H1754" s="3"/>
    </row>
    <row r="1755" spans="1:8" hidden="1">
      <c r="A1755" s="3">
        <v>694693</v>
      </c>
      <c r="B1755" s="7" t="s">
        <v>244</v>
      </c>
      <c r="C1755" s="42">
        <v>391.96</v>
      </c>
      <c r="D1755" s="6">
        <v>45607</v>
      </c>
      <c r="E1755" s="3" t="str">
        <f ca="1">IF(Tabela2[[#This Row],[Dt Venc:]]&gt;TODAY(),"Em Aberto",IF(Tabela2[[#This Row],[D/venc]]="-","Enviado",IF(Tabela2[[#This Row],[Dt Venc:]]=TODAY(),"Vence Hoje","Vencida")))</f>
        <v>Enviado</v>
      </c>
      <c r="F1755" s="3" t="str">
        <f ca="1">IF(G1755=1,"-",Tabela2[[#This Row],[Dt Venc:]]-TODAY())</f>
        <v>-</v>
      </c>
      <c r="G1755" s="3">
        <v>1</v>
      </c>
      <c r="H1755" s="3"/>
    </row>
    <row r="1756" spans="1:8" hidden="1">
      <c r="A1756" s="3">
        <v>5810</v>
      </c>
      <c r="B1756" s="7" t="s">
        <v>224</v>
      </c>
      <c r="C1756" s="42">
        <v>936</v>
      </c>
      <c r="D1756" s="6">
        <v>45607</v>
      </c>
      <c r="E1756" s="3" t="str">
        <f ca="1">IF(Tabela2[[#This Row],[Dt Venc:]]&gt;TODAY(),"Em Aberto",IF(Tabela2[[#This Row],[D/venc]]="-","Enviado",IF(Tabela2[[#This Row],[Dt Venc:]]=TODAY(),"Vence Hoje","Vencida")))</f>
        <v>Enviado</v>
      </c>
      <c r="F1756" s="3" t="str">
        <f ca="1">IF(G1756=1,"-",Tabela2[[#This Row],[Dt Venc:]]-TODAY())</f>
        <v>-</v>
      </c>
      <c r="G1756" s="3">
        <v>1</v>
      </c>
      <c r="H1756" s="3"/>
    </row>
    <row r="1757" spans="1:8" hidden="1">
      <c r="A1757" s="3">
        <v>367224</v>
      </c>
      <c r="B1757" s="7" t="s">
        <v>225</v>
      </c>
      <c r="C1757" s="42">
        <v>326.66000000000003</v>
      </c>
      <c r="D1757" s="6">
        <v>45607</v>
      </c>
      <c r="E1757" s="3" t="str">
        <f ca="1">IF(Tabela2[[#This Row],[Dt Venc:]]&gt;TODAY(),"Em Aberto",IF(Tabela2[[#This Row],[D/venc]]="-","Enviado",IF(Tabela2[[#This Row],[Dt Venc:]]=TODAY(),"Vence Hoje","Vencida")))</f>
        <v>Enviado</v>
      </c>
      <c r="F1757" s="3" t="str">
        <f ca="1">IF(G1757=1,"-",Tabela2[[#This Row],[Dt Venc:]]-TODAY())</f>
        <v>-</v>
      </c>
      <c r="G1757" s="3">
        <v>1</v>
      </c>
      <c r="H1757" s="3"/>
    </row>
    <row r="1758" spans="1:8" hidden="1">
      <c r="A1758" s="3">
        <v>219942</v>
      </c>
      <c r="B1758" s="7" t="s">
        <v>80</v>
      </c>
      <c r="C1758" s="42">
        <v>21150</v>
      </c>
      <c r="D1758" s="6">
        <v>45607</v>
      </c>
      <c r="E1758" s="3" t="str">
        <f ca="1">IF(Tabela2[[#This Row],[Dt Venc:]]&gt;TODAY(),"Em Aberto",IF(Tabela2[[#This Row],[D/venc]]="-","Enviado",IF(Tabela2[[#This Row],[Dt Venc:]]=TODAY(),"Vence Hoje","Vencida")))</f>
        <v>Enviado</v>
      </c>
      <c r="F1758" s="3" t="str">
        <f ca="1">IF(G1758=1,"-",Tabela2[[#This Row],[Dt Venc:]]-TODAY())</f>
        <v>-</v>
      </c>
      <c r="G1758" s="3">
        <v>1</v>
      </c>
      <c r="H1758" s="3"/>
    </row>
    <row r="1759" spans="1:8" hidden="1">
      <c r="A1759" s="3">
        <v>57664</v>
      </c>
      <c r="B1759" s="7" t="s">
        <v>247</v>
      </c>
      <c r="C1759" s="42">
        <v>480</v>
      </c>
      <c r="D1759" s="6">
        <v>45607</v>
      </c>
      <c r="E1759" s="3" t="str">
        <f ca="1">IF(Tabela2[[#This Row],[Dt Venc:]]&gt;TODAY(),"Em Aberto",IF(Tabela2[[#This Row],[D/venc]]="-","Enviado",IF(Tabela2[[#This Row],[Dt Venc:]]=TODAY(),"Vence Hoje","Vencida")))</f>
        <v>Enviado</v>
      </c>
      <c r="F1759" s="3" t="str">
        <f ca="1">IF(G1759=1,"-",Tabela2[[#This Row],[Dt Venc:]]-TODAY())</f>
        <v>-</v>
      </c>
      <c r="G1759" s="3">
        <v>1</v>
      </c>
      <c r="H1759" s="3"/>
    </row>
    <row r="1760" spans="1:8" hidden="1">
      <c r="A1760" s="3">
        <v>27306</v>
      </c>
      <c r="B1760" s="7" t="s">
        <v>98</v>
      </c>
      <c r="C1760" s="42">
        <v>428.8</v>
      </c>
      <c r="D1760" s="6">
        <v>45607</v>
      </c>
      <c r="E1760" s="3" t="str">
        <f ca="1">IF(Tabela2[[#This Row],[Dt Venc:]]&gt;TODAY(),"Em Aberto",IF(Tabela2[[#This Row],[D/venc]]="-","Enviado",IF(Tabela2[[#This Row],[Dt Venc:]]=TODAY(),"Vence Hoje","Vencida")))</f>
        <v>Enviado</v>
      </c>
      <c r="F1760" s="3" t="str">
        <f ca="1">IF(G1760=1,"-",Tabela2[[#This Row],[Dt Venc:]]-TODAY())</f>
        <v>-</v>
      </c>
      <c r="G1760" s="3">
        <v>1</v>
      </c>
      <c r="H1760" s="3"/>
    </row>
    <row r="1761" spans="1:8" hidden="1">
      <c r="A1761" s="3">
        <v>607861</v>
      </c>
      <c r="B1761" s="7" t="s">
        <v>66</v>
      </c>
      <c r="C1761" s="42">
        <v>899.11</v>
      </c>
      <c r="D1761" s="6">
        <v>45607</v>
      </c>
      <c r="E1761" s="3" t="str">
        <f ca="1">IF(Tabela2[[#This Row],[Dt Venc:]]&gt;TODAY(),"Em Aberto",IF(Tabela2[[#This Row],[D/venc]]="-","Enviado",IF(Tabela2[[#This Row],[Dt Venc:]]=TODAY(),"Vence Hoje","Vencida")))</f>
        <v>Enviado</v>
      </c>
      <c r="F1761" s="3" t="str">
        <f ca="1">IF(G1761=1,"-",Tabela2[[#This Row],[Dt Venc:]]-TODAY())</f>
        <v>-</v>
      </c>
      <c r="G1761" s="3">
        <v>1</v>
      </c>
      <c r="H1761" s="3"/>
    </row>
    <row r="1762" spans="1:8" hidden="1">
      <c r="A1762" s="3">
        <v>9464</v>
      </c>
      <c r="B1762" s="7" t="s">
        <v>76</v>
      </c>
      <c r="C1762" s="42">
        <v>764.59</v>
      </c>
      <c r="D1762" s="6">
        <v>45607</v>
      </c>
      <c r="E1762" s="3" t="str">
        <f ca="1">IF(Tabela2[[#This Row],[Dt Venc:]]&gt;TODAY(),"Em Aberto",IF(Tabela2[[#This Row],[D/venc]]="-","Enviado",IF(Tabela2[[#This Row],[Dt Venc:]]=TODAY(),"Vence Hoje","Vencida")))</f>
        <v>Enviado</v>
      </c>
      <c r="F1762" s="3" t="str">
        <f ca="1">IF(G1762=1,"-",Tabela2[[#This Row],[Dt Venc:]]-TODAY())</f>
        <v>-</v>
      </c>
      <c r="G1762" s="3">
        <v>1</v>
      </c>
      <c r="H1762" s="3"/>
    </row>
    <row r="1763" spans="1:8" hidden="1">
      <c r="A1763" s="3">
        <v>43060</v>
      </c>
      <c r="B1763" s="7" t="s">
        <v>144</v>
      </c>
      <c r="C1763" s="42">
        <v>618</v>
      </c>
      <c r="D1763" s="6">
        <v>45607</v>
      </c>
      <c r="E1763" s="3" t="str">
        <f ca="1">IF(Tabela2[[#This Row],[Dt Venc:]]&gt;TODAY(),"Em Aberto",IF(Tabela2[[#This Row],[D/venc]]="-","Enviado",IF(Tabela2[[#This Row],[Dt Venc:]]=TODAY(),"Vence Hoje","Vencida")))</f>
        <v>Enviado</v>
      </c>
      <c r="F1763" s="3" t="str">
        <f ca="1">IF(G1763=1,"-",Tabela2[[#This Row],[Dt Venc:]]-TODAY())</f>
        <v>-</v>
      </c>
      <c r="G1763" s="3">
        <v>1</v>
      </c>
      <c r="H1763" s="3"/>
    </row>
    <row r="1764" spans="1:8" hidden="1">
      <c r="A1764" s="3">
        <v>23632</v>
      </c>
      <c r="B1764" s="7" t="s">
        <v>221</v>
      </c>
      <c r="C1764" s="42">
        <v>244</v>
      </c>
      <c r="D1764" s="6">
        <v>45607</v>
      </c>
      <c r="E1764" s="3" t="str">
        <f ca="1">IF(Tabela2[[#This Row],[Dt Venc:]]&gt;TODAY(),"Em Aberto",IF(Tabela2[[#This Row],[D/venc]]="-","Enviado",IF(Tabela2[[#This Row],[Dt Venc:]]=TODAY(),"Vence Hoje","Vencida")))</f>
        <v>Enviado</v>
      </c>
      <c r="F1764" s="3" t="str">
        <f ca="1">IF(G1764=1,"-",Tabela2[[#This Row],[Dt Venc:]]-TODAY())</f>
        <v>-</v>
      </c>
      <c r="G1764" s="3">
        <v>1</v>
      </c>
      <c r="H1764" s="3"/>
    </row>
    <row r="1765" spans="1:8" hidden="1">
      <c r="A1765" s="3">
        <v>33980</v>
      </c>
      <c r="B1765" s="7" t="s">
        <v>362</v>
      </c>
      <c r="C1765" s="42">
        <v>600</v>
      </c>
      <c r="D1765" s="6">
        <v>45607</v>
      </c>
      <c r="E1765" s="3" t="str">
        <f ca="1">IF(Tabela2[[#This Row],[Dt Venc:]]&gt;TODAY(),"Em Aberto",IF(Tabela2[[#This Row],[D/venc]]="-","Enviado",IF(Tabela2[[#This Row],[Dt Venc:]]=TODAY(),"Vence Hoje","Vencida")))</f>
        <v>Enviado</v>
      </c>
      <c r="F1765" s="3" t="str">
        <f ca="1">IF(G1765=1,"-",Tabela2[[#This Row],[Dt Venc:]]-TODAY())</f>
        <v>-</v>
      </c>
      <c r="G1765" s="3">
        <v>1</v>
      </c>
      <c r="H1765" s="3"/>
    </row>
    <row r="1766" spans="1:8" hidden="1">
      <c r="A1766" s="3">
        <v>43346</v>
      </c>
      <c r="B1766" s="7" t="s">
        <v>197</v>
      </c>
      <c r="C1766" s="42">
        <v>880</v>
      </c>
      <c r="D1766" s="6">
        <v>45607</v>
      </c>
      <c r="E1766" s="3" t="str">
        <f ca="1">IF(Tabela2[[#This Row],[Dt Venc:]]&gt;TODAY(),"Em Aberto",IF(Tabela2[[#This Row],[D/venc]]="-","Enviado",IF(Tabela2[[#This Row],[Dt Venc:]]=TODAY(),"Vence Hoje","Vencida")))</f>
        <v>Enviado</v>
      </c>
      <c r="F1766" s="3" t="str">
        <f ca="1">IF(G1766=1,"-",Tabela2[[#This Row],[Dt Venc:]]-TODAY())</f>
        <v>-</v>
      </c>
      <c r="G1766" s="3">
        <v>1</v>
      </c>
      <c r="H1766" s="3"/>
    </row>
    <row r="1767" spans="1:8" hidden="1">
      <c r="A1767" s="3">
        <v>239350</v>
      </c>
      <c r="B1767" s="7" t="s">
        <v>43</v>
      </c>
      <c r="C1767" s="42">
        <v>1249.54</v>
      </c>
      <c r="D1767" s="6">
        <v>45607</v>
      </c>
      <c r="E1767" s="3" t="str">
        <f ca="1">IF(Tabela2[[#This Row],[Dt Venc:]]&gt;TODAY(),"Em Aberto",IF(Tabela2[[#This Row],[D/venc]]="-","Enviado",IF(Tabela2[[#This Row],[Dt Venc:]]=TODAY(),"Vence Hoje","Vencida")))</f>
        <v>Enviado</v>
      </c>
      <c r="F1767" s="3" t="str">
        <f ca="1">IF(G1767=1,"-",Tabela2[[#This Row],[Dt Venc:]]-TODAY())</f>
        <v>-</v>
      </c>
      <c r="G1767" s="3">
        <v>1</v>
      </c>
      <c r="H1767" s="3"/>
    </row>
    <row r="1768" spans="1:8" hidden="1">
      <c r="A1768" s="3">
        <v>221405</v>
      </c>
      <c r="B1768" s="7" t="s">
        <v>80</v>
      </c>
      <c r="C1768" s="42">
        <v>35775</v>
      </c>
      <c r="D1768" s="6">
        <v>45607</v>
      </c>
      <c r="E1768" s="3" t="str">
        <f ca="1">IF(Tabela2[[#This Row],[Dt Venc:]]&gt;TODAY(),"Em Aberto",IF(Tabela2[[#This Row],[D/venc]]="-","Enviado",IF(Tabela2[[#This Row],[Dt Venc:]]=TODAY(),"Vence Hoje","Vencida")))</f>
        <v>Enviado</v>
      </c>
      <c r="F1768" s="3" t="str">
        <f ca="1">IF(G1768=1,"-",Tabela2[[#This Row],[Dt Venc:]]-TODAY())</f>
        <v>-</v>
      </c>
      <c r="G1768" s="3">
        <v>1</v>
      </c>
      <c r="H1768" s="3"/>
    </row>
    <row r="1769" spans="1:8" hidden="1">
      <c r="A1769" s="3">
        <v>1064288</v>
      </c>
      <c r="B1769" s="7" t="s">
        <v>141</v>
      </c>
      <c r="C1769" s="41">
        <v>1395.57</v>
      </c>
      <c r="D1769" s="6">
        <v>45607</v>
      </c>
      <c r="E1769" s="3" t="str">
        <f ca="1">IF(Tabela2[[#This Row],[Dt Venc:]]&gt;TODAY(),"Em Aberto",IF(Tabela2[[#This Row],[D/venc]]="-","Enviado",IF(Tabela2[[#This Row],[Dt Venc:]]=TODAY(),"Vence Hoje","Vencida")))</f>
        <v>Enviado</v>
      </c>
      <c r="F1769" s="3" t="str">
        <f ca="1">IF(G1769=1,"-",Tabela2[[#This Row],[Dt Venc:]]-TODAY())</f>
        <v>-</v>
      </c>
      <c r="G1769" s="3">
        <v>1</v>
      </c>
      <c r="H1769" s="3"/>
    </row>
    <row r="1770" spans="1:8" hidden="1">
      <c r="A1770" s="3">
        <v>1064282</v>
      </c>
      <c r="B1770" s="7" t="s">
        <v>141</v>
      </c>
      <c r="C1770" s="41">
        <v>1695.22</v>
      </c>
      <c r="D1770" s="6">
        <v>45607</v>
      </c>
      <c r="E1770" s="3" t="str">
        <f ca="1">IF(Tabela2[[#This Row],[Dt Venc:]]&gt;TODAY(),"Em Aberto",IF(Tabela2[[#This Row],[D/venc]]="-","Enviado",IF(Tabela2[[#This Row],[Dt Venc:]]=TODAY(),"Vence Hoje","Vencida")))</f>
        <v>Enviado</v>
      </c>
      <c r="F1770" s="3" t="str">
        <f ca="1">IF(G1770=1,"-",Tabela2[[#This Row],[Dt Venc:]]-TODAY())</f>
        <v>-</v>
      </c>
      <c r="G1770" s="3">
        <v>1</v>
      </c>
      <c r="H1770" s="3"/>
    </row>
    <row r="1771" spans="1:8" hidden="1">
      <c r="A1771" s="3">
        <v>1404986</v>
      </c>
      <c r="B1771" s="7" t="s">
        <v>151</v>
      </c>
      <c r="C1771" s="41">
        <v>573.01</v>
      </c>
      <c r="D1771" s="6">
        <v>45607</v>
      </c>
      <c r="E1771" s="3" t="str">
        <f ca="1">IF(Tabela2[[#This Row],[Dt Venc:]]&gt;TODAY(),"Em Aberto",IF(Tabela2[[#This Row],[D/venc]]="-","Enviado",IF(Tabela2[[#This Row],[Dt Venc:]]=TODAY(),"Vence Hoje","Vencida")))</f>
        <v>Enviado</v>
      </c>
      <c r="F1771" s="3" t="str">
        <f ca="1">IF(G1771=1,"-",Tabela2[[#This Row],[Dt Venc:]]-TODAY())</f>
        <v>-</v>
      </c>
      <c r="G1771" s="3">
        <v>1</v>
      </c>
      <c r="H1771" s="3"/>
    </row>
    <row r="1772" spans="1:8" hidden="1">
      <c r="A1772" s="3">
        <v>370067</v>
      </c>
      <c r="B1772" s="7" t="s">
        <v>39</v>
      </c>
      <c r="C1772" s="41">
        <v>99.13</v>
      </c>
      <c r="D1772" s="6">
        <v>45607</v>
      </c>
      <c r="E1772" s="3" t="str">
        <f ca="1">IF(Tabela2[[#This Row],[Dt Venc:]]&gt;TODAY(),"Em Aberto",IF(Tabela2[[#This Row],[D/venc]]="-","Enviado",IF(Tabela2[[#This Row],[Dt Venc:]]=TODAY(),"Vence Hoje","Vencida")))</f>
        <v>Enviado</v>
      </c>
      <c r="F1772" s="3" t="str">
        <f ca="1">IF(G1772=1,"-",Tabela2[[#This Row],[Dt Venc:]]-TODAY())</f>
        <v>-</v>
      </c>
      <c r="G1772" s="3">
        <v>1</v>
      </c>
      <c r="H1772" s="3"/>
    </row>
    <row r="1773" spans="1:8" hidden="1">
      <c r="A1773" s="3">
        <v>369905</v>
      </c>
      <c r="B1773" s="7" t="s">
        <v>420</v>
      </c>
      <c r="C1773" s="41">
        <v>1113.83</v>
      </c>
      <c r="D1773" s="6">
        <v>45607</v>
      </c>
      <c r="E1773" s="3" t="str">
        <f ca="1">IF(Tabela2[[#This Row],[Dt Venc:]]&gt;TODAY(),"Em Aberto",IF(Tabela2[[#This Row],[D/venc]]="-","Enviado",IF(Tabela2[[#This Row],[Dt Venc:]]=TODAY(),"Vence Hoje","Vencida")))</f>
        <v>Enviado</v>
      </c>
      <c r="F1773" s="3" t="str">
        <f ca="1">IF(G1773=1,"-",Tabela2[[#This Row],[Dt Venc:]]-TODAY())</f>
        <v>-</v>
      </c>
      <c r="G1773" s="3">
        <v>1</v>
      </c>
      <c r="H1773" s="3"/>
    </row>
    <row r="1774" spans="1:8" hidden="1">
      <c r="A1774" s="3">
        <v>181932</v>
      </c>
      <c r="B1774" s="7" t="s">
        <v>42</v>
      </c>
      <c r="C1774" s="41">
        <v>736.85</v>
      </c>
      <c r="D1774" s="6">
        <v>45607</v>
      </c>
      <c r="E1774" s="3" t="str">
        <f ca="1">IF(Tabela2[[#This Row],[Dt Venc:]]&gt;TODAY(),"Em Aberto",IF(Tabela2[[#This Row],[D/venc]]="-","Enviado",IF(Tabela2[[#This Row],[Dt Venc:]]=TODAY(),"Vence Hoje","Vencida")))</f>
        <v>Enviado</v>
      </c>
      <c r="F1774" s="3" t="str">
        <f ca="1">IF(G1774=1,"-",Tabela2[[#This Row],[Dt Venc:]]-TODAY())</f>
        <v>-</v>
      </c>
      <c r="G1774" s="3">
        <v>1</v>
      </c>
      <c r="H1774" s="3"/>
    </row>
    <row r="1775" spans="1:8" hidden="1">
      <c r="A1775" s="3">
        <v>14167</v>
      </c>
      <c r="B1775" s="7" t="s">
        <v>51</v>
      </c>
      <c r="C1775" s="41">
        <v>400</v>
      </c>
      <c r="D1775" s="6">
        <v>45607</v>
      </c>
      <c r="E1775" s="3" t="str">
        <f ca="1">IF(Tabela2[[#This Row],[Dt Venc:]]&gt;TODAY(),"Em Aberto",IF(Tabela2[[#This Row],[D/venc]]="-","Enviado",IF(Tabela2[[#This Row],[Dt Venc:]]=TODAY(),"Vence Hoje","Vencida")))</f>
        <v>Enviado</v>
      </c>
      <c r="F1775" s="3" t="str">
        <f ca="1">IF(G1775=1,"-",Tabela2[[#This Row],[Dt Venc:]]-TODAY())</f>
        <v>-</v>
      </c>
      <c r="G1775" s="3">
        <v>1</v>
      </c>
      <c r="H1775" s="3"/>
    </row>
    <row r="1776" spans="1:8" hidden="1">
      <c r="A1776" s="3">
        <v>31371</v>
      </c>
      <c r="B1776" s="7" t="s">
        <v>421</v>
      </c>
      <c r="C1776" s="41">
        <v>353.47</v>
      </c>
      <c r="D1776" s="6">
        <v>45607</v>
      </c>
      <c r="E1776" s="3" t="str">
        <f ca="1">IF(Tabela2[[#This Row],[Dt Venc:]]&gt;TODAY(),"Em Aberto",IF(Tabela2[[#This Row],[D/venc]]="-","Enviado",IF(Tabela2[[#This Row],[Dt Venc:]]=TODAY(),"Vence Hoje","Vencida")))</f>
        <v>Enviado</v>
      </c>
      <c r="F1776" s="3" t="str">
        <f ca="1">IF(G1776=1,"-",Tabela2[[#This Row],[Dt Venc:]]-TODAY())</f>
        <v>-</v>
      </c>
      <c r="G1776" s="3">
        <v>1</v>
      </c>
      <c r="H1776" s="3"/>
    </row>
    <row r="1777" spans="1:8" hidden="1">
      <c r="A1777" s="3">
        <v>612031</v>
      </c>
      <c r="B1777" s="7" t="s">
        <v>66</v>
      </c>
      <c r="C1777" s="41">
        <v>1306.8</v>
      </c>
      <c r="D1777" s="6">
        <v>45607</v>
      </c>
      <c r="E1777" s="3" t="str">
        <f ca="1">IF(Tabela2[[#This Row],[Dt Venc:]]&gt;TODAY(),"Em Aberto",IF(Tabela2[[#This Row],[D/venc]]="-","Enviado",IF(Tabela2[[#This Row],[Dt Venc:]]=TODAY(),"Vence Hoje","Vencida")))</f>
        <v>Enviado</v>
      </c>
      <c r="F1777" s="3" t="str">
        <f ca="1">IF(G1777=1,"-",Tabela2[[#This Row],[Dt Venc:]]-TODAY())</f>
        <v>-</v>
      </c>
      <c r="G1777" s="3">
        <v>1</v>
      </c>
      <c r="H1777" s="3"/>
    </row>
    <row r="1778" spans="1:8" hidden="1">
      <c r="A1778" s="3">
        <v>1243967</v>
      </c>
      <c r="B1778" s="7" t="s">
        <v>64</v>
      </c>
      <c r="C1778" s="41">
        <v>868.66</v>
      </c>
      <c r="D1778" s="6">
        <v>45607</v>
      </c>
      <c r="E1778" s="3" t="str">
        <f ca="1">IF(Tabela2[[#This Row],[Dt Venc:]]&gt;TODAY(),"Em Aberto",IF(Tabela2[[#This Row],[D/venc]]="-","Enviado",IF(Tabela2[[#This Row],[Dt Venc:]]=TODAY(),"Vence Hoje","Vencida")))</f>
        <v>Enviado</v>
      </c>
      <c r="F1778" s="3" t="str">
        <f ca="1">IF(G1778=1,"-",Tabela2[[#This Row],[Dt Venc:]]-TODAY())</f>
        <v>-</v>
      </c>
      <c r="G1778" s="3">
        <v>1</v>
      </c>
      <c r="H1778" s="3"/>
    </row>
    <row r="1779" spans="1:8" hidden="1">
      <c r="A1779" s="3">
        <v>704646</v>
      </c>
      <c r="B1779" s="7" t="s">
        <v>79</v>
      </c>
      <c r="C1779" s="41">
        <v>1378.47</v>
      </c>
      <c r="D1779" s="6">
        <v>45607</v>
      </c>
      <c r="E1779" s="3" t="str">
        <f ca="1">IF(Tabela2[[#This Row],[Dt Venc:]]&gt;TODAY(),"Em Aberto",IF(Tabela2[[#This Row],[D/venc]]="-","Enviado",IF(Tabela2[[#This Row],[Dt Venc:]]=TODAY(),"Vence Hoje","Vencida")))</f>
        <v>Enviado</v>
      </c>
      <c r="F1779" s="3" t="str">
        <f ca="1">IF(G1779=1,"-",Tabela2[[#This Row],[Dt Venc:]]-TODAY())</f>
        <v>-</v>
      </c>
      <c r="G1779" s="3">
        <v>1</v>
      </c>
      <c r="H1779" s="3"/>
    </row>
    <row r="1780" spans="1:8" hidden="1">
      <c r="A1780" s="3">
        <v>149961</v>
      </c>
      <c r="B1780" s="7" t="s">
        <v>148</v>
      </c>
      <c r="C1780" s="41">
        <v>393.33</v>
      </c>
      <c r="D1780" s="6">
        <v>45607</v>
      </c>
      <c r="E1780" s="3" t="str">
        <f ca="1">IF(Tabela2[[#This Row],[Dt Venc:]]&gt;TODAY(),"Em Aberto",IF(Tabela2[[#This Row],[D/venc]]="-","Enviado",IF(Tabela2[[#This Row],[Dt Venc:]]=TODAY(),"Vence Hoje","Vencida")))</f>
        <v>Enviado</v>
      </c>
      <c r="F1780" s="3" t="str">
        <f ca="1">IF(G1780=1,"-",Tabela2[[#This Row],[Dt Venc:]]-TODAY())</f>
        <v>-</v>
      </c>
      <c r="G1780" s="3">
        <v>1</v>
      </c>
      <c r="H1780" s="3"/>
    </row>
    <row r="1781" spans="1:8" hidden="1">
      <c r="A1781" s="3">
        <v>239660</v>
      </c>
      <c r="B1781" s="7" t="s">
        <v>43</v>
      </c>
      <c r="C1781" s="41">
        <v>3227.85</v>
      </c>
      <c r="D1781" s="6">
        <v>45607</v>
      </c>
      <c r="E1781" s="3" t="str">
        <f ca="1">IF(Tabela2[[#This Row],[Dt Venc:]]&gt;TODAY(),"Em Aberto",IF(Tabela2[[#This Row],[D/venc]]="-","Enviado",IF(Tabela2[[#This Row],[Dt Venc:]]=TODAY(),"Vence Hoje","Vencida")))</f>
        <v>Enviado</v>
      </c>
      <c r="F1781" s="3" t="str">
        <f ca="1">IF(G1781=1,"-",Tabela2[[#This Row],[Dt Venc:]]-TODAY())</f>
        <v>-</v>
      </c>
      <c r="G1781" s="3">
        <v>1</v>
      </c>
      <c r="H1781" s="3"/>
    </row>
    <row r="1782" spans="1:8" hidden="1">
      <c r="A1782" s="3">
        <v>9818</v>
      </c>
      <c r="B1782" s="7" t="s">
        <v>105</v>
      </c>
      <c r="C1782" s="41">
        <v>2500</v>
      </c>
      <c r="D1782" s="6">
        <v>45607</v>
      </c>
      <c r="E1782" s="3" t="str">
        <f ca="1">IF(Tabela2[[#This Row],[Dt Venc:]]&gt;TODAY(),"Em Aberto",IF(Tabela2[[#This Row],[D/venc]]="-","Enviado",IF(Tabela2[[#This Row],[Dt Venc:]]=TODAY(),"Vence Hoje","Vencida")))</f>
        <v>Enviado</v>
      </c>
      <c r="F1782" s="3" t="str">
        <f ca="1">IF(G1782=1,"-",Tabela2[[#This Row],[Dt Venc:]]-TODAY())</f>
        <v>-</v>
      </c>
      <c r="G1782" s="3">
        <v>1</v>
      </c>
      <c r="H1782" s="3"/>
    </row>
    <row r="1783" spans="1:8" hidden="1">
      <c r="A1783" s="3">
        <v>1882</v>
      </c>
      <c r="B1783" s="7" t="s">
        <v>422</v>
      </c>
      <c r="C1783" s="41">
        <v>2677.5</v>
      </c>
      <c r="D1783" s="6">
        <v>45607</v>
      </c>
      <c r="E1783" s="3" t="str">
        <f ca="1">IF(Tabela2[[#This Row],[Dt Venc:]]&gt;TODAY(),"Em Aberto",IF(Tabela2[[#This Row],[D/venc]]="-","Enviado",IF(Tabela2[[#This Row],[Dt Venc:]]=TODAY(),"Vence Hoje","Vencida")))</f>
        <v>Enviado</v>
      </c>
      <c r="F1783" s="3" t="str">
        <f ca="1">IF(G1783=1,"-",Tabela2[[#This Row],[Dt Venc:]]-TODAY())</f>
        <v>-</v>
      </c>
      <c r="G1783" s="3">
        <v>1</v>
      </c>
      <c r="H1783" s="3"/>
    </row>
    <row r="1784" spans="1:8" hidden="1">
      <c r="A1784" s="3">
        <v>2632</v>
      </c>
      <c r="B1784" s="7" t="s">
        <v>423</v>
      </c>
      <c r="C1784" s="41">
        <v>402.5</v>
      </c>
      <c r="D1784" s="6">
        <v>45607</v>
      </c>
      <c r="E1784" s="3" t="str">
        <f ca="1">IF(Tabela2[[#This Row],[Dt Venc:]]&gt;TODAY(),"Em Aberto",IF(Tabela2[[#This Row],[D/venc]]="-","Enviado",IF(Tabela2[[#This Row],[Dt Venc:]]=TODAY(),"Vence Hoje","Vencida")))</f>
        <v>Enviado</v>
      </c>
      <c r="F1784" s="3" t="str">
        <f ca="1">IF(G1784=1,"-",Tabela2[[#This Row],[Dt Venc:]]-TODAY())</f>
        <v>-</v>
      </c>
      <c r="G1784" s="3">
        <v>1</v>
      </c>
      <c r="H1784" s="3"/>
    </row>
    <row r="1785" spans="1:8" hidden="1">
      <c r="A1785" s="3">
        <v>554869</v>
      </c>
      <c r="B1785" s="7" t="s">
        <v>39</v>
      </c>
      <c r="C1785" s="41">
        <v>263.58</v>
      </c>
      <c r="D1785" s="6">
        <v>45607</v>
      </c>
      <c r="E1785" s="3" t="str">
        <f ca="1">IF(Tabela2[[#This Row],[Dt Venc:]]&gt;TODAY(),"Em Aberto",IF(Tabela2[[#This Row],[D/venc]]="-","Enviado",IF(Tabela2[[#This Row],[Dt Venc:]]=TODAY(),"Vence Hoje","Vencida")))</f>
        <v>Enviado</v>
      </c>
      <c r="F1785" s="3" t="str">
        <f ca="1">IF(G1785=1,"-",Tabela2[[#This Row],[Dt Venc:]]-TODAY())</f>
        <v>-</v>
      </c>
      <c r="G1785" s="3">
        <v>1</v>
      </c>
      <c r="H1785" s="3"/>
    </row>
    <row r="1786" spans="1:8" hidden="1">
      <c r="A1786" s="3">
        <v>2641</v>
      </c>
      <c r="B1786" s="7" t="s">
        <v>198</v>
      </c>
      <c r="C1786" s="41">
        <v>280</v>
      </c>
      <c r="D1786" s="6">
        <v>45607</v>
      </c>
      <c r="E1786" s="3" t="str">
        <f ca="1">IF(Tabela2[[#This Row],[Dt Venc:]]&gt;TODAY(),"Em Aberto",IF(Tabela2[[#This Row],[D/venc]]="-","Enviado",IF(Tabela2[[#This Row],[Dt Venc:]]=TODAY(),"Vence Hoje","Vencida")))</f>
        <v>Enviado</v>
      </c>
      <c r="F1786" s="3" t="str">
        <f ca="1">IF(G1786=1,"-",Tabela2[[#This Row],[Dt Venc:]]-TODAY())</f>
        <v>-</v>
      </c>
      <c r="G1786" s="3">
        <v>1</v>
      </c>
      <c r="H1786" s="3"/>
    </row>
    <row r="1787" spans="1:8" hidden="1">
      <c r="A1787" s="3">
        <v>357266</v>
      </c>
      <c r="B1787" s="7" t="s">
        <v>59</v>
      </c>
      <c r="C1787" s="41">
        <v>56190</v>
      </c>
      <c r="D1787" s="6">
        <v>45607</v>
      </c>
      <c r="E1787" s="3" t="str">
        <f ca="1">IF(Tabela2[[#This Row],[Dt Venc:]]&gt;TODAY(),"Em Aberto",IF(Tabela2[[#This Row],[D/venc]]="-","Enviado",IF(Tabela2[[#This Row],[Dt Venc:]]=TODAY(),"Vence Hoje","Vencida")))</f>
        <v>Enviado</v>
      </c>
      <c r="F1787" s="3" t="str">
        <f ca="1">IF(G1787=1,"-",Tabela2[[#This Row],[Dt Venc:]]-TODAY())</f>
        <v>-</v>
      </c>
      <c r="G1787" s="3">
        <v>1</v>
      </c>
      <c r="H1787" s="3"/>
    </row>
    <row r="1788" spans="1:8" hidden="1">
      <c r="A1788" s="3">
        <v>443616</v>
      </c>
      <c r="B1788" s="7" t="s">
        <v>59</v>
      </c>
      <c r="C1788" s="41">
        <v>55253</v>
      </c>
      <c r="D1788" s="6">
        <v>45607</v>
      </c>
      <c r="E1788" s="3" t="str">
        <f ca="1">IF(Tabela2[[#This Row],[Dt Venc:]]&gt;TODAY(),"Em Aberto",IF(Tabela2[[#This Row],[D/venc]]="-","Enviado",IF(Tabela2[[#This Row],[Dt Venc:]]=TODAY(),"Vence Hoje","Vencida")))</f>
        <v>Enviado</v>
      </c>
      <c r="F1788" s="3" t="str">
        <f ca="1">IF(G1788=1,"-",Tabela2[[#This Row],[Dt Venc:]]-TODAY())</f>
        <v>-</v>
      </c>
      <c r="G1788" s="3">
        <v>1</v>
      </c>
      <c r="H1788" s="3"/>
    </row>
    <row r="1789" spans="1:8" hidden="1">
      <c r="A1789" s="3">
        <v>443580</v>
      </c>
      <c r="B1789" s="7" t="s">
        <v>59</v>
      </c>
      <c r="C1789" s="41">
        <v>55253</v>
      </c>
      <c r="D1789" s="6">
        <v>45607</v>
      </c>
      <c r="E1789" s="3" t="str">
        <f ca="1">IF(Tabela2[[#This Row],[Dt Venc:]]&gt;TODAY(),"Em Aberto",IF(Tabela2[[#This Row],[D/venc]]="-","Enviado",IF(Tabela2[[#This Row],[Dt Venc:]]=TODAY(),"Vence Hoje","Vencida")))</f>
        <v>Enviado</v>
      </c>
      <c r="F1789" s="3" t="str">
        <f ca="1">IF(G1789=1,"-",Tabela2[[#This Row],[Dt Venc:]]-TODAY())</f>
        <v>-</v>
      </c>
      <c r="G1789" s="3">
        <v>1</v>
      </c>
      <c r="H1789" s="3"/>
    </row>
    <row r="1790" spans="1:8" hidden="1">
      <c r="A1790" s="3" t="s">
        <v>110</v>
      </c>
      <c r="B1790" s="7" t="s">
        <v>205</v>
      </c>
      <c r="C1790" s="42" t="s">
        <v>32</v>
      </c>
      <c r="D1790" s="6">
        <v>45607</v>
      </c>
      <c r="E1790" s="3" t="str">
        <f ca="1">IF(Tabela2[[#This Row],[Dt Venc:]]&gt;TODAY(),"Em Aberto",IF(Tabela2[[#This Row],[D/venc]]="-","Enviado",IF(Tabela2[[#This Row],[Dt Venc:]]=TODAY(),"Vence Hoje","Vencida")))</f>
        <v>Enviado</v>
      </c>
      <c r="F1790" s="3" t="str">
        <f ca="1">IF(G1790=1,"-",Tabela2[[#This Row],[Dt Venc:]]-TODAY())</f>
        <v>-</v>
      </c>
      <c r="G1790" s="3">
        <v>1</v>
      </c>
      <c r="H1790" s="3"/>
    </row>
    <row r="1791" spans="1:8" hidden="1">
      <c r="A1791" s="3">
        <v>422083</v>
      </c>
      <c r="B1791" s="7" t="s">
        <v>89</v>
      </c>
      <c r="C1791" s="42">
        <v>1266.67</v>
      </c>
      <c r="D1791" s="6">
        <v>45608</v>
      </c>
      <c r="E1791" s="3" t="str">
        <f ca="1">IF(Tabela2[[#This Row],[Dt Venc:]]&gt;TODAY(),"Em Aberto",IF(Tabela2[[#This Row],[D/venc]]="-","Enviado",IF(Tabela2[[#This Row],[Dt Venc:]]=TODAY(),"Vence Hoje","Vencida")))</f>
        <v>Enviado</v>
      </c>
      <c r="F1791" s="3" t="str">
        <f ca="1">IF(G1791=1,"-",Tabela2[[#This Row],[Dt Venc:]]-TODAY())</f>
        <v>-</v>
      </c>
      <c r="G1791" s="3">
        <v>1</v>
      </c>
      <c r="H1791" s="3"/>
    </row>
    <row r="1792" spans="1:8" hidden="1">
      <c r="A1792" s="3">
        <v>218528</v>
      </c>
      <c r="B1792" s="7" t="s">
        <v>39</v>
      </c>
      <c r="C1792" s="42">
        <v>21465</v>
      </c>
      <c r="D1792" s="6">
        <v>45608</v>
      </c>
      <c r="E1792" s="3" t="str">
        <f ca="1">IF(Tabela2[[#This Row],[Dt Venc:]]&gt;TODAY(),"Em Aberto",IF(Tabela2[[#This Row],[D/venc]]="-","Enviado",IF(Tabela2[[#This Row],[Dt Venc:]]=TODAY(),"Vence Hoje","Vencida")))</f>
        <v>Enviado</v>
      </c>
      <c r="F1792" s="3" t="str">
        <f ca="1">IF(G1792=1,"-",Tabela2[[#This Row],[Dt Venc:]]-TODAY())</f>
        <v>-</v>
      </c>
      <c r="G1792" s="3">
        <v>1</v>
      </c>
      <c r="H1792" s="3"/>
    </row>
    <row r="1793" spans="1:8" hidden="1">
      <c r="A1793" s="3">
        <v>362813</v>
      </c>
      <c r="B1793" s="7" t="s">
        <v>39</v>
      </c>
      <c r="C1793" s="42">
        <v>744.71</v>
      </c>
      <c r="D1793" s="6">
        <v>45608</v>
      </c>
      <c r="E1793" s="3" t="str">
        <f ca="1">IF(Tabela2[[#This Row],[Dt Venc:]]&gt;TODAY(),"Em Aberto",IF(Tabela2[[#This Row],[D/venc]]="-","Enviado",IF(Tabela2[[#This Row],[Dt Venc:]]=TODAY(),"Vence Hoje","Vencida")))</f>
        <v>Enviado</v>
      </c>
      <c r="F1793" s="3" t="str">
        <f ca="1">IF(G1793=1,"-",Tabela2[[#This Row],[Dt Venc:]]-TODAY())</f>
        <v>-</v>
      </c>
      <c r="G1793" s="3">
        <v>1</v>
      </c>
      <c r="H1793" s="3"/>
    </row>
    <row r="1794" spans="1:8" hidden="1">
      <c r="A1794" s="3">
        <v>217043</v>
      </c>
      <c r="B1794" s="7" t="s">
        <v>187</v>
      </c>
      <c r="C1794" s="42">
        <v>14250</v>
      </c>
      <c r="D1794" s="6">
        <v>45608</v>
      </c>
      <c r="E1794" s="3" t="str">
        <f ca="1">IF(Tabela2[[#This Row],[Dt Venc:]]&gt;TODAY(),"Em Aberto",IF(Tabela2[[#This Row],[D/venc]]="-","Enviado",IF(Tabela2[[#This Row],[Dt Venc:]]=TODAY(),"Vence Hoje","Vencida")))</f>
        <v>Enviado</v>
      </c>
      <c r="F1794" s="3" t="str">
        <f ca="1">IF(G1794=1,"-",Tabela2[[#This Row],[Dt Venc:]]-TODAY())</f>
        <v>-</v>
      </c>
      <c r="G1794" s="3">
        <v>1</v>
      </c>
      <c r="H1794" s="3"/>
    </row>
    <row r="1795" spans="1:8" hidden="1">
      <c r="A1795" s="3">
        <v>604071</v>
      </c>
      <c r="B1795" s="7" t="s">
        <v>138</v>
      </c>
      <c r="C1795" s="42">
        <v>1358.49</v>
      </c>
      <c r="D1795" s="6">
        <v>45608</v>
      </c>
      <c r="E1795" s="3" t="str">
        <f ca="1">IF(Tabela2[[#This Row],[Dt Venc:]]&gt;TODAY(),"Em Aberto",IF(Tabela2[[#This Row],[D/venc]]="-","Enviado",IF(Tabela2[[#This Row],[Dt Venc:]]=TODAY(),"Vence Hoje","Vencida")))</f>
        <v>Enviado</v>
      </c>
      <c r="F1795" s="3" t="str">
        <f ca="1">IF(G1795=1,"-",Tabela2[[#This Row],[Dt Venc:]]-TODAY())</f>
        <v>-</v>
      </c>
      <c r="G1795" s="3">
        <v>1</v>
      </c>
      <c r="H1795" s="3"/>
    </row>
    <row r="1796" spans="1:8" hidden="1">
      <c r="A1796" s="3">
        <v>69525</v>
      </c>
      <c r="B1796" s="7" t="s">
        <v>237</v>
      </c>
      <c r="C1796" s="42">
        <v>1154.8</v>
      </c>
      <c r="D1796" s="6">
        <v>45608</v>
      </c>
      <c r="E1796" s="3" t="str">
        <f ca="1">IF(Tabela2[[#This Row],[Dt Venc:]]&gt;TODAY(),"Em Aberto",IF(Tabela2[[#This Row],[D/venc]]="-","Enviado",IF(Tabela2[[#This Row],[Dt Venc:]]=TODAY(),"Vence Hoje","Vencida")))</f>
        <v>Enviado</v>
      </c>
      <c r="F1796" s="3" t="str">
        <f ca="1">IF(G1796=1,"-",Tabela2[[#This Row],[Dt Venc:]]-TODAY())</f>
        <v>-</v>
      </c>
      <c r="G1796" s="3">
        <v>1</v>
      </c>
      <c r="H1796" s="3"/>
    </row>
    <row r="1797" spans="1:8" hidden="1">
      <c r="A1797" s="3">
        <v>69548</v>
      </c>
      <c r="B1797" s="7" t="s">
        <v>237</v>
      </c>
      <c r="C1797" s="42">
        <v>336.62</v>
      </c>
      <c r="D1797" s="6">
        <v>45608</v>
      </c>
      <c r="E1797" s="3" t="str">
        <f ca="1">IF(Tabela2[[#This Row],[Dt Venc:]]&gt;TODAY(),"Em Aberto",IF(Tabela2[[#This Row],[D/venc]]="-","Enviado",IF(Tabela2[[#This Row],[Dt Venc:]]=TODAY(),"Vence Hoje","Vencida")))</f>
        <v>Enviado</v>
      </c>
      <c r="F1797" s="3" t="str">
        <f ca="1">IF(G1797=1,"-",Tabela2[[#This Row],[Dt Venc:]]-TODAY())</f>
        <v>-</v>
      </c>
      <c r="G1797" s="3">
        <v>1</v>
      </c>
      <c r="H1797" s="3"/>
    </row>
    <row r="1798" spans="1:8" hidden="1">
      <c r="A1798" s="3">
        <v>199602</v>
      </c>
      <c r="B1798" s="7" t="s">
        <v>43</v>
      </c>
      <c r="C1798" s="42">
        <v>1564.38</v>
      </c>
      <c r="D1798" s="6">
        <v>45608</v>
      </c>
      <c r="E1798" s="3" t="str">
        <f ca="1">IF(Tabela2[[#This Row],[Dt Venc:]]&gt;TODAY(),"Em Aberto",IF(Tabela2[[#This Row],[D/venc]]="-","Enviado",IF(Tabela2[[#This Row],[Dt Venc:]]=TODAY(),"Vence Hoje","Vencida")))</f>
        <v>Enviado</v>
      </c>
      <c r="F1798" s="3" t="str">
        <f ca="1">IF(G1798=1,"-",Tabela2[[#This Row],[Dt Venc:]]-TODAY())</f>
        <v>-</v>
      </c>
      <c r="G1798" s="3">
        <v>1</v>
      </c>
      <c r="H1798" s="3"/>
    </row>
    <row r="1799" spans="1:8" hidden="1">
      <c r="A1799" s="3">
        <v>205472</v>
      </c>
      <c r="B1799" s="7" t="s">
        <v>43</v>
      </c>
      <c r="C1799" s="42">
        <v>751.44</v>
      </c>
      <c r="D1799" s="6">
        <v>45608</v>
      </c>
      <c r="E1799" s="3" t="str">
        <f ca="1">IF(Tabela2[[#This Row],[Dt Venc:]]&gt;TODAY(),"Em Aberto",IF(Tabela2[[#This Row],[D/venc]]="-","Enviado",IF(Tabela2[[#This Row],[Dt Venc:]]=TODAY(),"Vence Hoje","Vencida")))</f>
        <v>Enviado</v>
      </c>
      <c r="F1799" s="3" t="str">
        <f ca="1">IF(G1799=1,"-",Tabela2[[#This Row],[Dt Venc:]]-TODAY())</f>
        <v>-</v>
      </c>
      <c r="G1799" s="3">
        <v>1</v>
      </c>
      <c r="H1799" s="3"/>
    </row>
    <row r="1800" spans="1:8" hidden="1">
      <c r="A1800" s="3">
        <v>5733</v>
      </c>
      <c r="B1800" s="7" t="s">
        <v>47</v>
      </c>
      <c r="C1800" s="42">
        <v>1042.3499999999999</v>
      </c>
      <c r="D1800" s="6">
        <v>45608</v>
      </c>
      <c r="E1800" s="3" t="str">
        <f ca="1">IF(Tabela2[[#This Row],[Dt Venc:]]&gt;TODAY(),"Em Aberto",IF(Tabela2[[#This Row],[D/venc]]="-","Enviado",IF(Tabela2[[#This Row],[Dt Venc:]]=TODAY(),"Vence Hoje","Vencida")))</f>
        <v>Enviado</v>
      </c>
      <c r="F1800" s="3" t="str">
        <f ca="1">IF(G1800=1,"-",Tabela2[[#This Row],[Dt Venc:]]-TODAY())</f>
        <v>-</v>
      </c>
      <c r="G1800" s="3">
        <v>1</v>
      </c>
      <c r="H1800" s="3"/>
    </row>
    <row r="1801" spans="1:8" hidden="1">
      <c r="A1801" s="3">
        <v>5736</v>
      </c>
      <c r="B1801" s="7" t="s">
        <v>47</v>
      </c>
      <c r="C1801" s="42">
        <v>1366.73</v>
      </c>
      <c r="D1801" s="6">
        <v>45608</v>
      </c>
      <c r="E1801" s="3" t="str">
        <f ca="1">IF(Tabela2[[#This Row],[Dt Venc:]]&gt;TODAY(),"Em Aberto",IF(Tabela2[[#This Row],[D/venc]]="-","Enviado",IF(Tabela2[[#This Row],[Dt Venc:]]=TODAY(),"Vence Hoje","Vencida")))</f>
        <v>Enviado</v>
      </c>
      <c r="F1801" s="3" t="str">
        <f ca="1">IF(G1801=1,"-",Tabela2[[#This Row],[Dt Venc:]]-TODAY())</f>
        <v>-</v>
      </c>
      <c r="G1801" s="3">
        <v>1</v>
      </c>
      <c r="H1801" s="3"/>
    </row>
    <row r="1802" spans="1:8" hidden="1">
      <c r="A1802" s="3">
        <v>10674</v>
      </c>
      <c r="B1802" s="7" t="s">
        <v>231</v>
      </c>
      <c r="C1802" s="42">
        <v>455</v>
      </c>
      <c r="D1802" s="6">
        <v>45608</v>
      </c>
      <c r="E1802" s="3" t="str">
        <f ca="1">IF(Tabela2[[#This Row],[Dt Venc:]]&gt;TODAY(),"Em Aberto",IF(Tabela2[[#This Row],[D/venc]]="-","Enviado",IF(Tabela2[[#This Row],[Dt Venc:]]=TODAY(),"Vence Hoje","Vencida")))</f>
        <v>Enviado</v>
      </c>
      <c r="F1802" s="3" t="str">
        <f ca="1">IF(G1802=1,"-",Tabela2[[#This Row],[Dt Venc:]]-TODAY())</f>
        <v>-</v>
      </c>
      <c r="G1802" s="3">
        <v>1</v>
      </c>
      <c r="H1802" s="3"/>
    </row>
    <row r="1803" spans="1:8" hidden="1">
      <c r="A1803" s="3">
        <v>952</v>
      </c>
      <c r="B1803" s="7" t="s">
        <v>232</v>
      </c>
      <c r="C1803" s="42">
        <v>1226.67</v>
      </c>
      <c r="D1803" s="6">
        <v>45608</v>
      </c>
      <c r="E1803" s="3" t="str">
        <f ca="1">IF(Tabela2[[#This Row],[Dt Venc:]]&gt;TODAY(),"Em Aberto",IF(Tabela2[[#This Row],[D/venc]]="-","Enviado",IF(Tabela2[[#This Row],[Dt Venc:]]=TODAY(),"Vence Hoje","Vencida")))</f>
        <v>Enviado</v>
      </c>
      <c r="F1803" s="3" t="str">
        <f ca="1">IF(G1803=1,"-",Tabela2[[#This Row],[Dt Venc:]]-TODAY())</f>
        <v>-</v>
      </c>
      <c r="G1803" s="3">
        <v>1</v>
      </c>
      <c r="H1803" s="3"/>
    </row>
    <row r="1804" spans="1:8" hidden="1">
      <c r="A1804" s="3">
        <v>608098</v>
      </c>
      <c r="B1804" s="7" t="s">
        <v>66</v>
      </c>
      <c r="C1804" s="42">
        <v>1974.68</v>
      </c>
      <c r="D1804" s="6">
        <v>45608</v>
      </c>
      <c r="E1804" s="3" t="str">
        <f ca="1">IF(Tabela2[[#This Row],[Dt Venc:]]&gt;TODAY(),"Em Aberto",IF(Tabela2[[#This Row],[D/venc]]="-","Enviado",IF(Tabela2[[#This Row],[Dt Venc:]]=TODAY(),"Vence Hoje","Vencida")))</f>
        <v>Enviado</v>
      </c>
      <c r="F1804" s="3" t="str">
        <f ca="1">IF(G1804=1,"-",Tabela2[[#This Row],[Dt Venc:]]-TODAY())</f>
        <v>-</v>
      </c>
      <c r="G1804" s="3">
        <v>1</v>
      </c>
      <c r="H1804" s="3"/>
    </row>
    <row r="1805" spans="1:8" hidden="1">
      <c r="A1805" s="3">
        <v>5871</v>
      </c>
      <c r="B1805" s="7" t="s">
        <v>47</v>
      </c>
      <c r="C1805" s="42">
        <v>1084.2</v>
      </c>
      <c r="D1805" s="6">
        <v>45608</v>
      </c>
      <c r="E1805" s="3" t="str">
        <f ca="1">IF(Tabela2[[#This Row],[Dt Venc:]]&gt;TODAY(),"Em Aberto",IF(Tabela2[[#This Row],[D/venc]]="-","Enviado",IF(Tabela2[[#This Row],[Dt Venc:]]=TODAY(),"Vence Hoje","Vencida")))</f>
        <v>Enviado</v>
      </c>
      <c r="F1805" s="3" t="str">
        <f ca="1">IF(G1805=1,"-",Tabela2[[#This Row],[Dt Venc:]]-TODAY())</f>
        <v>-</v>
      </c>
      <c r="G1805" s="3">
        <v>1</v>
      </c>
      <c r="H1805" s="3"/>
    </row>
    <row r="1806" spans="1:8" hidden="1">
      <c r="A1806" s="3">
        <v>5817</v>
      </c>
      <c r="B1806" s="7" t="s">
        <v>140</v>
      </c>
      <c r="C1806" s="42">
        <v>691.67</v>
      </c>
      <c r="D1806" s="6">
        <v>45608</v>
      </c>
      <c r="E1806" s="3" t="str">
        <f ca="1">IF(Tabela2[[#This Row],[Dt Venc:]]&gt;TODAY(),"Em Aberto",IF(Tabela2[[#This Row],[D/venc]]="-","Enviado",IF(Tabela2[[#This Row],[Dt Venc:]]=TODAY(),"Vence Hoje","Vencida")))</f>
        <v>Enviado</v>
      </c>
      <c r="F1806" s="3" t="str">
        <f ca="1">IF(G1806=1,"-",Tabela2[[#This Row],[Dt Venc:]]-TODAY())</f>
        <v>-</v>
      </c>
      <c r="G1806" s="3">
        <v>1</v>
      </c>
      <c r="H1806" s="3"/>
    </row>
    <row r="1807" spans="1:8" hidden="1">
      <c r="A1807" s="3">
        <v>29920</v>
      </c>
      <c r="B1807" s="7" t="s">
        <v>226</v>
      </c>
      <c r="C1807" s="42">
        <v>2925</v>
      </c>
      <c r="D1807" s="6">
        <v>45608</v>
      </c>
      <c r="E1807" s="3" t="str">
        <f ca="1">IF(Tabela2[[#This Row],[Dt Venc:]]&gt;TODAY(),"Em Aberto",IF(Tabela2[[#This Row],[D/venc]]="-","Enviado",IF(Tabela2[[#This Row],[Dt Venc:]]=TODAY(),"Vence Hoje","Vencida")))</f>
        <v>Enviado</v>
      </c>
      <c r="F1807" s="3" t="str">
        <f ca="1">IF(G1807=1,"-",Tabela2[[#This Row],[Dt Venc:]]-TODAY())</f>
        <v>-</v>
      </c>
      <c r="G1807" s="3">
        <v>1</v>
      </c>
      <c r="H1807" s="3"/>
    </row>
    <row r="1808" spans="1:8" hidden="1">
      <c r="A1808" s="3">
        <v>255795</v>
      </c>
      <c r="B1808" s="7" t="s">
        <v>49</v>
      </c>
      <c r="C1808" s="42">
        <v>1393.34</v>
      </c>
      <c r="D1808" s="6">
        <v>45608</v>
      </c>
      <c r="E1808" s="3" t="str">
        <f ca="1">IF(Tabela2[[#This Row],[Dt Venc:]]&gt;TODAY(),"Em Aberto",IF(Tabela2[[#This Row],[D/venc]]="-","Enviado",IF(Tabela2[[#This Row],[Dt Venc:]]=TODAY(),"Vence Hoje","Vencida")))</f>
        <v>Enviado</v>
      </c>
      <c r="F1808" s="3" t="str">
        <f ca="1">IF(G1808=1,"-",Tabela2[[#This Row],[Dt Venc:]]-TODAY())</f>
        <v>-</v>
      </c>
      <c r="G1808" s="3">
        <v>1</v>
      </c>
      <c r="H1808" s="3"/>
    </row>
    <row r="1809" spans="1:8" hidden="1">
      <c r="A1809" s="3">
        <v>256083</v>
      </c>
      <c r="B1809" s="7" t="s">
        <v>49</v>
      </c>
      <c r="C1809" s="42">
        <v>1741.66</v>
      </c>
      <c r="D1809" s="6">
        <v>45608</v>
      </c>
      <c r="E1809" s="3" t="str">
        <f ca="1">IF(Tabela2[[#This Row],[Dt Venc:]]&gt;TODAY(),"Em Aberto",IF(Tabela2[[#This Row],[D/venc]]="-","Enviado",IF(Tabela2[[#This Row],[Dt Venc:]]=TODAY(),"Vence Hoje","Vencida")))</f>
        <v>Enviado</v>
      </c>
      <c r="F1809" s="3" t="str">
        <f ca="1">IF(G1809=1,"-",Tabela2[[#This Row],[Dt Venc:]]-TODAY())</f>
        <v>-</v>
      </c>
      <c r="G1809" s="3">
        <v>1</v>
      </c>
      <c r="H1809" s="3"/>
    </row>
    <row r="1810" spans="1:8" hidden="1">
      <c r="A1810" s="3">
        <v>1067</v>
      </c>
      <c r="B1810" s="7" t="s">
        <v>155</v>
      </c>
      <c r="C1810" s="42">
        <v>24273</v>
      </c>
      <c r="D1810" s="6">
        <v>45608</v>
      </c>
      <c r="E1810" s="3" t="str">
        <f ca="1">IF(Tabela2[[#This Row],[Dt Venc:]]&gt;TODAY(),"Em Aberto",IF(Tabela2[[#This Row],[D/venc]]="-","Enviado",IF(Tabela2[[#This Row],[Dt Venc:]]=TODAY(),"Vence Hoje","Vencida")))</f>
        <v>Enviado</v>
      </c>
      <c r="F1810" s="3" t="str">
        <f ca="1">IF(G1810=1,"-",Tabela2[[#This Row],[Dt Venc:]]-TODAY())</f>
        <v>-</v>
      </c>
      <c r="G1810" s="3">
        <v>1</v>
      </c>
      <c r="H1810" s="3"/>
    </row>
    <row r="1811" spans="1:8" hidden="1">
      <c r="A1811" s="3">
        <v>256419</v>
      </c>
      <c r="B1811" s="7" t="s">
        <v>49</v>
      </c>
      <c r="C1811" s="42">
        <v>1393.34</v>
      </c>
      <c r="D1811" s="6">
        <v>45608</v>
      </c>
      <c r="E1811" s="3" t="str">
        <f ca="1">IF(Tabela2[[#This Row],[Dt Venc:]]&gt;TODAY(),"Em Aberto",IF(Tabela2[[#This Row],[D/venc]]="-","Enviado",IF(Tabela2[[#This Row],[Dt Venc:]]=TODAY(),"Vence Hoje","Vencida")))</f>
        <v>Enviado</v>
      </c>
      <c r="F1811" s="3" t="str">
        <f ca="1">IF(G1811=1,"-",Tabela2[[#This Row],[Dt Venc:]]-TODAY())</f>
        <v>-</v>
      </c>
      <c r="G1811" s="3">
        <v>1</v>
      </c>
      <c r="H1811" s="3"/>
    </row>
    <row r="1812" spans="1:8" hidden="1">
      <c r="A1812" s="3">
        <v>764298</v>
      </c>
      <c r="B1812" s="7" t="s">
        <v>79</v>
      </c>
      <c r="C1812" s="41">
        <v>1216.0999999999999</v>
      </c>
      <c r="D1812" s="6">
        <v>45608</v>
      </c>
      <c r="E1812" s="3" t="str">
        <f ca="1">IF(Tabela2[[#This Row],[Dt Venc:]]&gt;TODAY(),"Em Aberto",IF(Tabela2[[#This Row],[D/venc]]="-","Enviado",IF(Tabela2[[#This Row],[Dt Venc:]]=TODAY(),"Vence Hoje","Vencida")))</f>
        <v>Enviado</v>
      </c>
      <c r="F1812" s="3" t="str">
        <f ca="1">IF(G1812=1,"-",Tabela2[[#This Row],[Dt Venc:]]-TODAY())</f>
        <v>-</v>
      </c>
      <c r="G1812" s="3">
        <v>1</v>
      </c>
      <c r="H1812" s="3"/>
    </row>
    <row r="1813" spans="1:8" hidden="1">
      <c r="A1813" s="3">
        <v>612260</v>
      </c>
      <c r="B1813" s="7" t="s">
        <v>66</v>
      </c>
      <c r="C1813" s="41">
        <v>424.71</v>
      </c>
      <c r="D1813" s="6">
        <v>45608</v>
      </c>
      <c r="E1813" s="3" t="str">
        <f ca="1">IF(Tabela2[[#This Row],[Dt Venc:]]&gt;TODAY(),"Em Aberto",IF(Tabela2[[#This Row],[D/venc]]="-","Enviado",IF(Tabela2[[#This Row],[Dt Venc:]]=TODAY(),"Vence Hoje","Vencida")))</f>
        <v>Enviado</v>
      </c>
      <c r="F1813" s="3" t="str">
        <f ca="1">IF(G1813=1,"-",Tabela2[[#This Row],[Dt Venc:]]-TODAY())</f>
        <v>-</v>
      </c>
      <c r="G1813" s="3">
        <v>1</v>
      </c>
      <c r="H1813" s="3"/>
    </row>
    <row r="1814" spans="1:8" hidden="1">
      <c r="A1814" s="3">
        <v>302454</v>
      </c>
      <c r="B1814" s="7" t="s">
        <v>53</v>
      </c>
      <c r="C1814" s="41">
        <v>318.02</v>
      </c>
      <c r="D1814" s="6">
        <v>45608</v>
      </c>
      <c r="E1814" s="3" t="str">
        <f ca="1">IF(Tabela2[[#This Row],[Dt Venc:]]&gt;TODAY(),"Em Aberto",IF(Tabela2[[#This Row],[D/venc]]="-","Enviado",IF(Tabela2[[#This Row],[Dt Venc:]]=TODAY(),"Vence Hoje","Vencida")))</f>
        <v>Enviado</v>
      </c>
      <c r="F1814" s="3" t="str">
        <f ca="1">IF(G1814=1,"-",Tabela2[[#This Row],[Dt Venc:]]-TODAY())</f>
        <v>-</v>
      </c>
      <c r="G1814" s="3">
        <v>1</v>
      </c>
      <c r="H1814" s="3"/>
    </row>
    <row r="1815" spans="1:8" hidden="1">
      <c r="A1815" s="3">
        <v>240304</v>
      </c>
      <c r="B1815" s="7" t="s">
        <v>43</v>
      </c>
      <c r="C1815" s="41">
        <v>1295.55</v>
      </c>
      <c r="D1815" s="6">
        <v>45608</v>
      </c>
      <c r="E1815" s="3" t="str">
        <f ca="1">IF(Tabela2[[#This Row],[Dt Venc:]]&gt;TODAY(),"Em Aberto",IF(Tabela2[[#This Row],[D/venc]]="-","Enviado",IF(Tabela2[[#This Row],[Dt Venc:]]=TODAY(),"Vence Hoje","Vencida")))</f>
        <v>Enviado</v>
      </c>
      <c r="F1815" s="3" t="str">
        <f ca="1">IF(G1815=1,"-",Tabela2[[#This Row],[Dt Venc:]]-TODAY())</f>
        <v>-</v>
      </c>
      <c r="G1815" s="3">
        <v>1</v>
      </c>
      <c r="H1815" s="3"/>
    </row>
    <row r="1816" spans="1:8" hidden="1">
      <c r="A1816" s="3">
        <v>1600</v>
      </c>
      <c r="B1816" s="7" t="s">
        <v>92</v>
      </c>
      <c r="C1816" s="41">
        <v>95</v>
      </c>
      <c r="D1816" s="6">
        <v>45608</v>
      </c>
      <c r="E1816" s="3" t="str">
        <f ca="1">IF(Tabela2[[#This Row],[Dt Venc:]]&gt;TODAY(),"Em Aberto",IF(Tabela2[[#This Row],[D/venc]]="-","Enviado",IF(Tabela2[[#This Row],[Dt Venc:]]=TODAY(),"Vence Hoje","Vencida")))</f>
        <v>Enviado</v>
      </c>
      <c r="F1816" s="3" t="str">
        <f ca="1">IF(G1816=1,"-",Tabela2[[#This Row],[Dt Venc:]]-TODAY())</f>
        <v>-</v>
      </c>
      <c r="G1816" s="3">
        <v>1</v>
      </c>
      <c r="H1816" s="3"/>
    </row>
    <row r="1817" spans="1:8" hidden="1">
      <c r="A1817" s="3">
        <v>6484</v>
      </c>
      <c r="B1817" s="7" t="s">
        <v>291</v>
      </c>
      <c r="C1817" s="41">
        <v>5872.5</v>
      </c>
      <c r="D1817" s="6">
        <v>45608</v>
      </c>
      <c r="E1817" s="3" t="str">
        <f ca="1">IF(Tabela2[[#This Row],[Dt Venc:]]&gt;TODAY(),"Em Aberto",IF(Tabela2[[#This Row],[D/venc]]="-","Enviado",IF(Tabela2[[#This Row],[Dt Venc:]]=TODAY(),"Vence Hoje","Vencida")))</f>
        <v>Enviado</v>
      </c>
      <c r="F1817" s="3" t="str">
        <f ca="1">IF(G1817=1,"-",Tabela2[[#This Row],[Dt Venc:]]-TODAY())</f>
        <v>-</v>
      </c>
      <c r="G1817" s="3">
        <v>1</v>
      </c>
      <c r="H1817" s="3"/>
    </row>
    <row r="1818" spans="1:8" hidden="1">
      <c r="A1818" s="3">
        <v>15619</v>
      </c>
      <c r="B1818" s="7" t="s">
        <v>289</v>
      </c>
      <c r="C1818" s="41">
        <v>450</v>
      </c>
      <c r="D1818" s="6">
        <v>45608</v>
      </c>
      <c r="E1818" s="3" t="str">
        <f ca="1">IF(Tabela2[[#This Row],[Dt Venc:]]&gt;TODAY(),"Em Aberto",IF(Tabela2[[#This Row],[D/venc]]="-","Enviado",IF(Tabela2[[#This Row],[Dt Venc:]]=TODAY(),"Vence Hoje","Vencida")))</f>
        <v>Enviado</v>
      </c>
      <c r="F1818" s="3" t="str">
        <f ca="1">IF(G1818=1,"-",Tabela2[[#This Row],[Dt Venc:]]-TODAY())</f>
        <v>-</v>
      </c>
      <c r="G1818" s="3">
        <v>1</v>
      </c>
      <c r="H1818" s="3"/>
    </row>
    <row r="1819" spans="1:8" hidden="1">
      <c r="A1819" s="3">
        <v>15135</v>
      </c>
      <c r="B1819" s="7" t="s">
        <v>424</v>
      </c>
      <c r="C1819" s="41">
        <v>90.09</v>
      </c>
      <c r="D1819" s="6">
        <v>45608</v>
      </c>
      <c r="E1819" s="3" t="str">
        <f ca="1">IF(Tabela2[[#This Row],[Dt Venc:]]&gt;TODAY(),"Em Aberto",IF(Tabela2[[#This Row],[D/venc]]="-","Enviado",IF(Tabela2[[#This Row],[Dt Venc:]]=TODAY(),"Vence Hoje","Vencida")))</f>
        <v>Enviado</v>
      </c>
      <c r="F1819" s="3" t="str">
        <f ca="1">IF(G1819=1,"-",Tabela2[[#This Row],[Dt Venc:]]-TODAY())</f>
        <v>-</v>
      </c>
      <c r="G1819" s="3">
        <v>1</v>
      </c>
      <c r="H1819" s="3"/>
    </row>
    <row r="1820" spans="1:8" hidden="1">
      <c r="A1820" s="3">
        <v>15134</v>
      </c>
      <c r="B1820" s="7" t="s">
        <v>424</v>
      </c>
      <c r="C1820" s="41">
        <v>280.93</v>
      </c>
      <c r="D1820" s="6">
        <v>45608</v>
      </c>
      <c r="E1820" s="3" t="str">
        <f ca="1">IF(Tabela2[[#This Row],[Dt Venc:]]&gt;TODAY(),"Em Aberto",IF(Tabela2[[#This Row],[D/venc]]="-","Enviado",IF(Tabela2[[#This Row],[Dt Venc:]]=TODAY(),"Vence Hoje","Vencida")))</f>
        <v>Enviado</v>
      </c>
      <c r="F1820" s="3" t="str">
        <f ca="1">IF(G1820=1,"-",Tabela2[[#This Row],[Dt Venc:]]-TODAY())</f>
        <v>-</v>
      </c>
      <c r="G1820" s="3">
        <v>1</v>
      </c>
      <c r="H1820" s="3"/>
    </row>
    <row r="1821" spans="1:8" hidden="1">
      <c r="A1821" s="3">
        <v>4263</v>
      </c>
      <c r="B1821" s="7" t="s">
        <v>425</v>
      </c>
      <c r="C1821" s="41">
        <v>46</v>
      </c>
      <c r="D1821" s="6">
        <v>45608</v>
      </c>
      <c r="E1821" s="3" t="str">
        <f ca="1">IF(Tabela2[[#This Row],[Dt Venc:]]&gt;TODAY(),"Em Aberto",IF(Tabela2[[#This Row],[D/venc]]="-","Enviado",IF(Tabela2[[#This Row],[Dt Venc:]]=TODAY(),"Vence Hoje","Vencida")))</f>
        <v>Enviado</v>
      </c>
      <c r="F1821" s="3" t="str">
        <f ca="1">IF(G1821=1,"-",Tabela2[[#This Row],[Dt Venc:]]-TODAY())</f>
        <v>-</v>
      </c>
      <c r="G1821" s="3">
        <v>1</v>
      </c>
      <c r="H1821" s="3"/>
    </row>
    <row r="1822" spans="1:8" hidden="1">
      <c r="A1822" s="3">
        <v>2823</v>
      </c>
      <c r="B1822" s="7" t="s">
        <v>301</v>
      </c>
      <c r="C1822" s="41">
        <v>2033.33</v>
      </c>
      <c r="D1822" s="6">
        <v>45608</v>
      </c>
      <c r="E1822" s="3" t="str">
        <f ca="1">IF(Tabela2[[#This Row],[Dt Venc:]]&gt;TODAY(),"Em Aberto",IF(Tabela2[[#This Row],[D/venc]]="-","Enviado",IF(Tabela2[[#This Row],[Dt Venc:]]=TODAY(),"Vence Hoje","Vencida")))</f>
        <v>Enviado</v>
      </c>
      <c r="F1822" s="3" t="str">
        <f ca="1">IF(G1822=1,"-",Tabela2[[#This Row],[Dt Venc:]]-TODAY())</f>
        <v>-</v>
      </c>
      <c r="G1822" s="3">
        <v>1</v>
      </c>
      <c r="H1822" s="3"/>
    </row>
    <row r="1823" spans="1:8" hidden="1">
      <c r="A1823" s="3">
        <v>4534531</v>
      </c>
      <c r="B1823" s="7" t="s">
        <v>90</v>
      </c>
      <c r="C1823" s="41">
        <v>1356.36</v>
      </c>
      <c r="D1823" s="6">
        <v>45608</v>
      </c>
      <c r="E1823" s="3" t="str">
        <f ca="1">IF(Tabela2[[#This Row],[Dt Venc:]]&gt;TODAY(),"Em Aberto",IF(Tabela2[[#This Row],[D/venc]]="-","Enviado",IF(Tabela2[[#This Row],[Dt Venc:]]=TODAY(),"Vence Hoje","Vencida")))</f>
        <v>Enviado</v>
      </c>
      <c r="F1823" s="3" t="str">
        <f ca="1">IF(G1823=1,"-",Tabela2[[#This Row],[Dt Venc:]]-TODAY())</f>
        <v>-</v>
      </c>
      <c r="G1823" s="3">
        <v>1</v>
      </c>
      <c r="H1823" s="3"/>
    </row>
    <row r="1824" spans="1:8" hidden="1">
      <c r="A1824" s="3">
        <v>2260528</v>
      </c>
      <c r="B1824" s="7" t="s">
        <v>59</v>
      </c>
      <c r="C1824" s="41">
        <v>54812</v>
      </c>
      <c r="D1824" s="6">
        <v>45608</v>
      </c>
      <c r="E1824" s="3" t="str">
        <f ca="1">IF(Tabela2[[#This Row],[Dt Venc:]]&gt;TODAY(),"Em Aberto",IF(Tabela2[[#This Row],[D/venc]]="-","Enviado",IF(Tabela2[[#This Row],[Dt Venc:]]=TODAY(),"Vence Hoje","Vencida")))</f>
        <v>Enviado</v>
      </c>
      <c r="F1824" s="3" t="str">
        <f ca="1">IF(G1824=1,"-",Tabela2[[#This Row],[Dt Venc:]]-TODAY())</f>
        <v>-</v>
      </c>
      <c r="G1824" s="3">
        <v>1</v>
      </c>
      <c r="H1824" s="3"/>
    </row>
    <row r="1825" spans="1:8" hidden="1">
      <c r="A1825" s="3">
        <v>1990266</v>
      </c>
      <c r="B1825" s="7" t="s">
        <v>59</v>
      </c>
      <c r="C1825" s="41">
        <v>108790</v>
      </c>
      <c r="D1825" s="6">
        <v>45608</v>
      </c>
      <c r="E1825" s="3" t="str">
        <f ca="1">IF(Tabela2[[#This Row],[Dt Venc:]]&gt;TODAY(),"Em Aberto",IF(Tabela2[[#This Row],[D/venc]]="-","Enviado",IF(Tabela2[[#This Row],[Dt Venc:]]=TODAY(),"Vence Hoje","Vencida")))</f>
        <v>Enviado</v>
      </c>
      <c r="F1825" s="3" t="str">
        <f ca="1">IF(G1825=1,"-",Tabela2[[#This Row],[Dt Venc:]]-TODAY())</f>
        <v>-</v>
      </c>
      <c r="G1825" s="3">
        <v>1</v>
      </c>
      <c r="H1825" s="3"/>
    </row>
    <row r="1826" spans="1:8" hidden="1">
      <c r="A1826" s="3">
        <v>3302739</v>
      </c>
      <c r="B1826" s="7" t="s">
        <v>71</v>
      </c>
      <c r="C1826" s="41">
        <v>82141.5</v>
      </c>
      <c r="D1826" s="6">
        <v>45608</v>
      </c>
      <c r="E1826" s="3" t="str">
        <f ca="1">IF(Tabela2[[#This Row],[Dt Venc:]]&gt;TODAY(),"Em Aberto",IF(Tabela2[[#This Row],[D/venc]]="-","Enviado",IF(Tabela2[[#This Row],[Dt Venc:]]=TODAY(),"Vence Hoje","Vencida")))</f>
        <v>Enviado</v>
      </c>
      <c r="F1826" s="3" t="str">
        <f ca="1">IF(G1826=1,"-",Tabela2[[#This Row],[Dt Venc:]]-TODAY())</f>
        <v>-</v>
      </c>
      <c r="G1826" s="3">
        <v>1</v>
      </c>
      <c r="H1826" s="3"/>
    </row>
    <row r="1827" spans="1:8" hidden="1">
      <c r="A1827" s="3">
        <v>231587</v>
      </c>
      <c r="B1827" s="7" t="s">
        <v>43</v>
      </c>
      <c r="C1827" s="41">
        <v>1300</v>
      </c>
      <c r="D1827" s="6">
        <v>45608</v>
      </c>
      <c r="E1827" s="3" t="str">
        <f ca="1">IF(Tabela2[[#This Row],[Dt Venc:]]&gt;TODAY(),"Em Aberto",IF(Tabela2[[#This Row],[D/venc]]="-","Enviado",IF(Tabela2[[#This Row],[Dt Venc:]]=TODAY(),"Vence Hoje","Vencida")))</f>
        <v>Enviado</v>
      </c>
      <c r="F1827" s="3" t="str">
        <f ca="1">IF(G1827=1,"-",Tabela2[[#This Row],[Dt Venc:]]-TODAY())</f>
        <v>-</v>
      </c>
      <c r="G1827" s="3">
        <v>1</v>
      </c>
      <c r="H1827" s="3"/>
    </row>
    <row r="1828" spans="1:8" hidden="1">
      <c r="A1828" s="3">
        <v>2669</v>
      </c>
      <c r="B1828" s="7" t="s">
        <v>58</v>
      </c>
      <c r="C1828" s="42">
        <v>1624.14</v>
      </c>
      <c r="D1828" s="6">
        <v>45609</v>
      </c>
      <c r="E1828" s="3" t="str">
        <f ca="1">IF(Tabela2[[#This Row],[Dt Venc:]]&gt;TODAY(),"Em Aberto",IF(Tabela2[[#This Row],[D/venc]]="-","Enviado",IF(Tabela2[[#This Row],[Dt Venc:]]=TODAY(),"Vence Hoje","Vencida")))</f>
        <v>Enviado</v>
      </c>
      <c r="F1828" s="3" t="str">
        <f ca="1">IF(G1828=1,"-",Tabela2[[#This Row],[Dt Venc:]]-TODAY())</f>
        <v>-</v>
      </c>
      <c r="G1828" s="3">
        <v>1</v>
      </c>
      <c r="H1828" s="3"/>
    </row>
    <row r="1829" spans="1:8" hidden="1">
      <c r="A1829" s="3">
        <v>144781</v>
      </c>
      <c r="B1829" s="7" t="s">
        <v>127</v>
      </c>
      <c r="C1829" s="42">
        <v>953.32</v>
      </c>
      <c r="D1829" s="6">
        <v>45609</v>
      </c>
      <c r="E1829" s="3" t="str">
        <f ca="1">IF(Tabela2[[#This Row],[Dt Venc:]]&gt;TODAY(),"Em Aberto",IF(Tabela2[[#This Row],[D/venc]]="-","Enviado",IF(Tabela2[[#This Row],[Dt Venc:]]=TODAY(),"Vence Hoje","Vencida")))</f>
        <v>Enviado</v>
      </c>
      <c r="F1829" s="3" t="str">
        <f ca="1">IF(G1829=1,"-",Tabela2[[#This Row],[Dt Venc:]]-TODAY())</f>
        <v>-</v>
      </c>
      <c r="G1829" s="3">
        <v>1</v>
      </c>
      <c r="H1829" s="3"/>
    </row>
    <row r="1830" spans="1:8" hidden="1">
      <c r="A1830" s="3">
        <v>750813</v>
      </c>
      <c r="B1830" s="7" t="s">
        <v>127</v>
      </c>
      <c r="C1830" s="42">
        <v>501.56</v>
      </c>
      <c r="D1830" s="6">
        <v>45609</v>
      </c>
      <c r="E1830" s="3" t="str">
        <f ca="1">IF(Tabela2[[#This Row],[Dt Venc:]]&gt;TODAY(),"Em Aberto",IF(Tabela2[[#This Row],[D/venc]]="-","Enviado",IF(Tabela2[[#This Row],[Dt Venc:]]=TODAY(),"Vence Hoje","Vencida")))</f>
        <v>Enviado</v>
      </c>
      <c r="F1830" s="3" t="str">
        <f ca="1">IF(G1830=1,"-",Tabela2[[#This Row],[Dt Venc:]]-TODAY())</f>
        <v>-</v>
      </c>
      <c r="G1830" s="3">
        <v>1</v>
      </c>
      <c r="H1830" s="3"/>
    </row>
    <row r="1831" spans="1:8" hidden="1">
      <c r="A1831" s="3">
        <v>603935</v>
      </c>
      <c r="B1831" s="7" t="s">
        <v>66</v>
      </c>
      <c r="C1831" s="42">
        <v>586.66</v>
      </c>
      <c r="D1831" s="6">
        <v>45609</v>
      </c>
      <c r="E1831" s="3" t="str">
        <f ca="1">IF(Tabela2[[#This Row],[Dt Venc:]]&gt;TODAY(),"Em Aberto",IF(Tabela2[[#This Row],[D/venc]]="-","Enviado",IF(Tabela2[[#This Row],[Dt Venc:]]=TODAY(),"Vence Hoje","Vencida")))</f>
        <v>Enviado</v>
      </c>
      <c r="F1831" s="3" t="str">
        <f ca="1">IF(G1831=1,"-",Tabela2[[#This Row],[Dt Venc:]]-TODAY())</f>
        <v>-</v>
      </c>
      <c r="G1831" s="3">
        <v>1</v>
      </c>
      <c r="H1831" s="3"/>
    </row>
    <row r="1832" spans="1:8" hidden="1">
      <c r="A1832" s="3">
        <v>604293</v>
      </c>
      <c r="B1832" s="7" t="s">
        <v>138</v>
      </c>
      <c r="C1832" s="42">
        <v>789.36</v>
      </c>
      <c r="D1832" s="6">
        <v>45609</v>
      </c>
      <c r="E1832" s="3" t="str">
        <f ca="1">IF(Tabela2[[#This Row],[Dt Venc:]]&gt;TODAY(),"Em Aberto",IF(Tabela2[[#This Row],[D/venc]]="-","Enviado",IF(Tabela2[[#This Row],[Dt Venc:]]=TODAY(),"Vence Hoje","Vencida")))</f>
        <v>Enviado</v>
      </c>
      <c r="F1832" s="3" t="str">
        <f ca="1">IF(G1832=1,"-",Tabela2[[#This Row],[Dt Venc:]]-TODAY())</f>
        <v>-</v>
      </c>
      <c r="G1832" s="3">
        <v>1</v>
      </c>
      <c r="H1832" s="3"/>
    </row>
    <row r="1833" spans="1:8" hidden="1">
      <c r="A1833" s="3">
        <v>84632</v>
      </c>
      <c r="B1833" s="7" t="s">
        <v>212</v>
      </c>
      <c r="C1833" s="42">
        <v>774</v>
      </c>
      <c r="D1833" s="6">
        <v>45609</v>
      </c>
      <c r="E1833" s="3" t="str">
        <f ca="1">IF(Tabela2[[#This Row],[Dt Venc:]]&gt;TODAY(),"Em Aberto",IF(Tabela2[[#This Row],[D/venc]]="-","Enviado",IF(Tabela2[[#This Row],[Dt Venc:]]=TODAY(),"Vence Hoje","Vencida")))</f>
        <v>Enviado</v>
      </c>
      <c r="F1833" s="3" t="str">
        <f ca="1">IF(G1833=1,"-",Tabela2[[#This Row],[Dt Venc:]]-TODAY())</f>
        <v>-</v>
      </c>
      <c r="G1833" s="3">
        <v>1</v>
      </c>
      <c r="H1833" s="3"/>
    </row>
    <row r="1834" spans="1:8" hidden="1">
      <c r="A1834" s="3">
        <v>36394</v>
      </c>
      <c r="B1834" s="7" t="s">
        <v>238</v>
      </c>
      <c r="C1834" s="42">
        <v>1979.51</v>
      </c>
      <c r="D1834" s="6">
        <v>45609</v>
      </c>
      <c r="E1834" s="3" t="str">
        <f ca="1">IF(Tabela2[[#This Row],[Dt Venc:]]&gt;TODAY(),"Em Aberto",IF(Tabela2[[#This Row],[D/venc]]="-","Enviado",IF(Tabela2[[#This Row],[Dt Venc:]]=TODAY(),"Vence Hoje","Vencida")))</f>
        <v>Enviado</v>
      </c>
      <c r="F1834" s="3" t="str">
        <f ca="1">IF(G1834=1,"-",Tabela2[[#This Row],[Dt Venc:]]-TODAY())</f>
        <v>-</v>
      </c>
      <c r="G1834" s="3">
        <v>1</v>
      </c>
      <c r="H1834" s="3"/>
    </row>
    <row r="1835" spans="1:8" hidden="1">
      <c r="A1835" s="3">
        <v>15150</v>
      </c>
      <c r="B1835" s="7" t="s">
        <v>44</v>
      </c>
      <c r="C1835" s="42">
        <v>850</v>
      </c>
      <c r="D1835" s="6">
        <v>45609</v>
      </c>
      <c r="E1835" s="3" t="str">
        <f ca="1">IF(Tabela2[[#This Row],[Dt Venc:]]&gt;TODAY(),"Em Aberto",IF(Tabela2[[#This Row],[D/venc]]="-","Enviado",IF(Tabela2[[#This Row],[Dt Venc:]]=TODAY(),"Vence Hoje","Vencida")))</f>
        <v>Enviado</v>
      </c>
      <c r="F1835" s="3" t="str">
        <f ca="1">IF(G1835=1,"-",Tabela2[[#This Row],[Dt Venc:]]-TODAY())</f>
        <v>-</v>
      </c>
      <c r="G1835" s="3">
        <v>1</v>
      </c>
      <c r="H1835" s="3"/>
    </row>
    <row r="1836" spans="1:8" hidden="1">
      <c r="A1836" s="3">
        <v>323805</v>
      </c>
      <c r="B1836" s="7" t="s">
        <v>240</v>
      </c>
      <c r="C1836" s="42">
        <v>446.67</v>
      </c>
      <c r="D1836" s="6">
        <v>45609</v>
      </c>
      <c r="E1836" s="3" t="str">
        <f ca="1">IF(Tabela2[[#This Row],[Dt Venc:]]&gt;TODAY(),"Em Aberto",IF(Tabela2[[#This Row],[D/venc]]="-","Enviado",IF(Tabela2[[#This Row],[Dt Venc:]]=TODAY(),"Vence Hoje","Vencida")))</f>
        <v>Enviado</v>
      </c>
      <c r="F1836" s="3" t="str">
        <f ca="1">IF(G1836=1,"-",Tabela2[[#This Row],[Dt Venc:]]-TODAY())</f>
        <v>-</v>
      </c>
      <c r="G1836" s="3">
        <v>1</v>
      </c>
      <c r="H1836" s="3"/>
    </row>
    <row r="1837" spans="1:8" hidden="1">
      <c r="A1837" s="3">
        <v>23473</v>
      </c>
      <c r="B1837" s="7" t="s">
        <v>70</v>
      </c>
      <c r="C1837" s="42">
        <v>657.54</v>
      </c>
      <c r="D1837" s="6">
        <v>45609</v>
      </c>
      <c r="E1837" s="3" t="str">
        <f ca="1">IF(Tabela2[[#This Row],[Dt Venc:]]&gt;TODAY(),"Em Aberto",IF(Tabela2[[#This Row],[D/venc]]="-","Enviado",IF(Tabela2[[#This Row],[Dt Venc:]]=TODAY(),"Vence Hoje","Vencida")))</f>
        <v>Enviado</v>
      </c>
      <c r="F1837" s="3" t="str">
        <f ca="1">IF(G1837=1,"-",Tabela2[[#This Row],[Dt Venc:]]-TODAY())</f>
        <v>-</v>
      </c>
      <c r="G1837" s="3">
        <v>1</v>
      </c>
      <c r="H1837" s="3"/>
    </row>
    <row r="1838" spans="1:8" hidden="1">
      <c r="A1838" s="3">
        <v>10049</v>
      </c>
      <c r="B1838" s="7" t="s">
        <v>72</v>
      </c>
      <c r="C1838" s="42">
        <v>420</v>
      </c>
      <c r="D1838" s="6">
        <v>45609</v>
      </c>
      <c r="E1838" s="3" t="str">
        <f ca="1">IF(Tabela2[[#This Row],[Dt Venc:]]&gt;TODAY(),"Em Aberto",IF(Tabela2[[#This Row],[D/venc]]="-","Enviado",IF(Tabela2[[#This Row],[Dt Venc:]]=TODAY(),"Vence Hoje","Vencida")))</f>
        <v>Enviado</v>
      </c>
      <c r="F1838" s="3" t="str">
        <f ca="1">IF(G1838=1,"-",Tabela2[[#This Row],[Dt Venc:]]-TODAY())</f>
        <v>-</v>
      </c>
      <c r="G1838" s="3">
        <v>1</v>
      </c>
      <c r="H1838" s="3"/>
    </row>
    <row r="1839" spans="1:8" hidden="1">
      <c r="A1839" s="3">
        <v>53234</v>
      </c>
      <c r="B1839" s="7" t="s">
        <v>35</v>
      </c>
      <c r="C1839" s="42">
        <v>993.51</v>
      </c>
      <c r="D1839" s="6">
        <v>45609</v>
      </c>
      <c r="E1839" s="3" t="str">
        <f ca="1">IF(Tabela2[[#This Row],[Dt Venc:]]&gt;TODAY(),"Em Aberto",IF(Tabela2[[#This Row],[D/venc]]="-","Enviado",IF(Tabela2[[#This Row],[Dt Venc:]]=TODAY(),"Vence Hoje","Vencida")))</f>
        <v>Enviado</v>
      </c>
      <c r="F1839" s="3" t="str">
        <f ca="1">IF(G1839=1,"-",Tabela2[[#This Row],[Dt Venc:]]-TODAY())</f>
        <v>-</v>
      </c>
      <c r="G1839" s="3">
        <v>1</v>
      </c>
      <c r="H1839" s="3"/>
    </row>
    <row r="1840" spans="1:8" hidden="1">
      <c r="A1840" s="3">
        <v>26641</v>
      </c>
      <c r="B1840" s="7" t="s">
        <v>245</v>
      </c>
      <c r="C1840" s="42">
        <v>1517.66</v>
      </c>
      <c r="D1840" s="6">
        <v>45609</v>
      </c>
      <c r="E1840" s="3" t="str">
        <f ca="1">IF(Tabela2[[#This Row],[Dt Venc:]]&gt;TODAY(),"Em Aberto",IF(Tabela2[[#This Row],[D/venc]]="-","Enviado",IF(Tabela2[[#This Row],[Dt Venc:]]=TODAY(),"Vence Hoje","Vencida")))</f>
        <v>Enviado</v>
      </c>
      <c r="F1840" s="3" t="str">
        <f ca="1">IF(G1840=1,"-",Tabela2[[#This Row],[Dt Venc:]]-TODAY())</f>
        <v>-</v>
      </c>
      <c r="G1840" s="3">
        <v>1</v>
      </c>
      <c r="H1840" s="3"/>
    </row>
    <row r="1841" spans="1:8" hidden="1">
      <c r="A1841" s="3">
        <v>19660</v>
      </c>
      <c r="B1841" s="7" t="s">
        <v>233</v>
      </c>
      <c r="C1841" s="42">
        <v>1083.33</v>
      </c>
      <c r="D1841" s="6">
        <v>45609</v>
      </c>
      <c r="E1841" s="3" t="str">
        <f ca="1">IF(Tabela2[[#This Row],[Dt Venc:]]&gt;TODAY(),"Em Aberto",IF(Tabela2[[#This Row],[D/venc]]="-","Enviado",IF(Tabela2[[#This Row],[Dt Venc:]]=TODAY(),"Vence Hoje","Vencida")))</f>
        <v>Enviado</v>
      </c>
      <c r="F1841" s="3" t="str">
        <f ca="1">IF(G1841=1,"-",Tabela2[[#This Row],[Dt Venc:]]-TODAY())</f>
        <v>-</v>
      </c>
      <c r="G1841" s="3">
        <v>1</v>
      </c>
      <c r="H1841" s="3"/>
    </row>
    <row r="1842" spans="1:8" hidden="1">
      <c r="A1842" s="3">
        <v>69423</v>
      </c>
      <c r="B1842" s="7" t="s">
        <v>275</v>
      </c>
      <c r="C1842" s="42">
        <v>608.66999999999996</v>
      </c>
      <c r="D1842" s="6">
        <v>45609</v>
      </c>
      <c r="E1842" s="3" t="str">
        <f ca="1">IF(Tabela2[[#This Row],[Dt Venc:]]&gt;TODAY(),"Em Aberto",IF(Tabela2[[#This Row],[D/venc]]="-","Enviado",IF(Tabela2[[#This Row],[Dt Venc:]]=TODAY(),"Vence Hoje","Vencida")))</f>
        <v>Enviado</v>
      </c>
      <c r="F1842" s="3" t="str">
        <f ca="1">IF(G1842=1,"-",Tabela2[[#This Row],[Dt Venc:]]-TODAY())</f>
        <v>-</v>
      </c>
      <c r="G1842" s="3">
        <v>1</v>
      </c>
      <c r="H1842" s="3"/>
    </row>
    <row r="1843" spans="1:8" hidden="1">
      <c r="A1843" s="3">
        <v>10898</v>
      </c>
      <c r="B1843" s="7" t="s">
        <v>33</v>
      </c>
      <c r="C1843" s="42">
        <v>1665</v>
      </c>
      <c r="D1843" s="6">
        <v>45609</v>
      </c>
      <c r="E1843" s="3" t="str">
        <f ca="1">IF(Tabela2[[#This Row],[Dt Venc:]]&gt;TODAY(),"Em Aberto",IF(Tabela2[[#This Row],[D/venc]]="-","Enviado",IF(Tabela2[[#This Row],[Dt Venc:]]=TODAY(),"Vence Hoje","Vencida")))</f>
        <v>Enviado</v>
      </c>
      <c r="F1843" s="3" t="str">
        <f ca="1">IF(G1843=1,"-",Tabela2[[#This Row],[Dt Venc:]]-TODAY())</f>
        <v>-</v>
      </c>
      <c r="G1843" s="3">
        <v>1</v>
      </c>
      <c r="H1843" s="3"/>
    </row>
    <row r="1844" spans="1:8" hidden="1">
      <c r="A1844" s="3">
        <v>14118</v>
      </c>
      <c r="B1844" s="7" t="s">
        <v>102</v>
      </c>
      <c r="C1844" s="42">
        <v>560</v>
      </c>
      <c r="D1844" s="6">
        <v>45609</v>
      </c>
      <c r="E1844" s="3" t="str">
        <f ca="1">IF(Tabela2[[#This Row],[Dt Venc:]]&gt;TODAY(),"Em Aberto",IF(Tabela2[[#This Row],[D/venc]]="-","Enviado",IF(Tabela2[[#This Row],[Dt Venc:]]=TODAY(),"Vence Hoje","Vencida")))</f>
        <v>Enviado</v>
      </c>
      <c r="F1844" s="3" t="str">
        <f ca="1">IF(G1844=1,"-",Tabela2[[#This Row],[Dt Venc:]]-TODAY())</f>
        <v>-</v>
      </c>
      <c r="G1844" s="3">
        <v>1</v>
      </c>
      <c r="H1844" s="3"/>
    </row>
    <row r="1845" spans="1:8" hidden="1">
      <c r="A1845" s="3">
        <v>1570</v>
      </c>
      <c r="B1845" s="7" t="s">
        <v>382</v>
      </c>
      <c r="C1845" s="42">
        <v>1400</v>
      </c>
      <c r="D1845" s="6">
        <v>45609</v>
      </c>
      <c r="E1845" s="3" t="str">
        <f ca="1">IF(Tabela2[[#This Row],[Dt Venc:]]&gt;TODAY(),"Em Aberto",IF(Tabela2[[#This Row],[D/venc]]="-","Enviado",IF(Tabela2[[#This Row],[Dt Venc:]]=TODAY(),"Vence Hoje","Vencida")))</f>
        <v>Enviado</v>
      </c>
      <c r="F1845" s="3" t="str">
        <f ca="1">IF(G1845=1,"-",Tabela2[[#This Row],[Dt Venc:]]-TODAY())</f>
        <v>-</v>
      </c>
      <c r="G1845" s="3">
        <v>1</v>
      </c>
      <c r="H1845" s="3"/>
    </row>
    <row r="1846" spans="1:8" hidden="1">
      <c r="A1846" s="3">
        <v>4101</v>
      </c>
      <c r="B1846" s="7" t="s">
        <v>382</v>
      </c>
      <c r="C1846" s="42">
        <v>680</v>
      </c>
      <c r="D1846" s="6">
        <v>45609</v>
      </c>
      <c r="E1846" s="3" t="str">
        <f ca="1">IF(Tabela2[[#This Row],[Dt Venc:]]&gt;TODAY(),"Em Aberto",IF(Tabela2[[#This Row],[D/venc]]="-","Enviado",IF(Tabela2[[#This Row],[Dt Venc:]]=TODAY(),"Vence Hoje","Vencida")))</f>
        <v>Enviado</v>
      </c>
      <c r="F1846" s="3" t="str">
        <f ca="1">IF(G1846=1,"-",Tabela2[[#This Row],[Dt Venc:]]-TODAY())</f>
        <v>-</v>
      </c>
      <c r="G1846" s="3">
        <v>1</v>
      </c>
      <c r="H1846" s="3"/>
    </row>
    <row r="1847" spans="1:8" hidden="1">
      <c r="A1847" s="3">
        <v>42</v>
      </c>
      <c r="B1847" s="7" t="s">
        <v>426</v>
      </c>
      <c r="C1847" s="41">
        <v>440</v>
      </c>
      <c r="D1847" s="6">
        <v>45609</v>
      </c>
      <c r="E1847" s="3" t="str">
        <f ca="1">IF(Tabela2[[#This Row],[Dt Venc:]]&gt;TODAY(),"Em Aberto",IF(Tabela2[[#This Row],[D/venc]]="-","Enviado",IF(Tabela2[[#This Row],[Dt Venc:]]=TODAY(),"Vence Hoje","Vencida")))</f>
        <v>Enviado</v>
      </c>
      <c r="F1847" s="3" t="str">
        <f ca="1">IF(G1847=1,"-",Tabela2[[#This Row],[Dt Venc:]]-TODAY())</f>
        <v>-</v>
      </c>
      <c r="G1847" s="3">
        <v>1</v>
      </c>
      <c r="H1847" s="3"/>
    </row>
    <row r="1848" spans="1:8" hidden="1">
      <c r="A1848" s="3">
        <v>237378</v>
      </c>
      <c r="B1848" s="7" t="s">
        <v>139</v>
      </c>
      <c r="C1848" s="41">
        <v>722</v>
      </c>
      <c r="D1848" s="6">
        <v>45609</v>
      </c>
      <c r="E1848" s="3" t="str">
        <f ca="1">IF(Tabela2[[#This Row],[Dt Venc:]]&gt;TODAY(),"Em Aberto",IF(Tabela2[[#This Row],[D/venc]]="-","Enviado",IF(Tabela2[[#This Row],[Dt Venc:]]=TODAY(),"Vence Hoje","Vencida")))</f>
        <v>Enviado</v>
      </c>
      <c r="F1848" s="3" t="str">
        <f ca="1">IF(G1848=1,"-",Tabela2[[#This Row],[Dt Venc:]]-TODAY())</f>
        <v>-</v>
      </c>
      <c r="G1848" s="3">
        <v>1</v>
      </c>
      <c r="H1848" s="3"/>
    </row>
    <row r="1849" spans="1:8" hidden="1">
      <c r="A1849" s="3">
        <v>11353</v>
      </c>
      <c r="B1849" s="7" t="s">
        <v>174</v>
      </c>
      <c r="C1849" s="41">
        <v>425</v>
      </c>
      <c r="D1849" s="6">
        <v>45609</v>
      </c>
      <c r="E1849" s="3" t="str">
        <f ca="1">IF(Tabela2[[#This Row],[Dt Venc:]]&gt;TODAY(),"Em Aberto",IF(Tabela2[[#This Row],[D/venc]]="-","Enviado",IF(Tabela2[[#This Row],[Dt Venc:]]=TODAY(),"Vence Hoje","Vencida")))</f>
        <v>Enviado</v>
      </c>
      <c r="F1849" s="3" t="str">
        <f ca="1">IF(G1849=1,"-",Tabela2[[#This Row],[Dt Venc:]]-TODAY())</f>
        <v>-</v>
      </c>
      <c r="G1849" s="3">
        <v>1</v>
      </c>
      <c r="H1849" s="3"/>
    </row>
    <row r="1850" spans="1:8" hidden="1">
      <c r="A1850" s="3">
        <v>174075</v>
      </c>
      <c r="B1850" s="7" t="s">
        <v>211</v>
      </c>
      <c r="C1850" s="41">
        <v>4020.66</v>
      </c>
      <c r="D1850" s="6">
        <v>45609</v>
      </c>
      <c r="E1850" s="3" t="str">
        <f ca="1">IF(Tabela2[[#This Row],[Dt Venc:]]&gt;TODAY(),"Em Aberto",IF(Tabela2[[#This Row],[D/venc]]="-","Enviado",IF(Tabela2[[#This Row],[Dt Venc:]]=TODAY(),"Vence Hoje","Vencida")))</f>
        <v>Enviado</v>
      </c>
      <c r="F1850" s="3" t="str">
        <f ca="1">IF(G1850=1,"-",Tabela2[[#This Row],[Dt Venc:]]-TODAY())</f>
        <v>-</v>
      </c>
      <c r="G1850" s="3">
        <v>1</v>
      </c>
      <c r="H1850" s="3"/>
    </row>
    <row r="1851" spans="1:8" hidden="1">
      <c r="A1851" s="3">
        <v>222671</v>
      </c>
      <c r="B1851" s="7" t="s">
        <v>127</v>
      </c>
      <c r="C1851" s="41">
        <v>498.13</v>
      </c>
      <c r="D1851" s="6">
        <v>45609</v>
      </c>
      <c r="E1851" s="3" t="str">
        <f ca="1">IF(Tabela2[[#This Row],[Dt Venc:]]&gt;TODAY(),"Em Aberto",IF(Tabela2[[#This Row],[D/venc]]="-","Enviado",IF(Tabela2[[#This Row],[Dt Venc:]]=TODAY(),"Vence Hoje","Vencida")))</f>
        <v>Enviado</v>
      </c>
      <c r="F1851" s="3" t="str">
        <f ca="1">IF(G1851=1,"-",Tabela2[[#This Row],[Dt Venc:]]-TODAY())</f>
        <v>-</v>
      </c>
      <c r="G1851" s="3">
        <v>1</v>
      </c>
      <c r="H1851" s="3"/>
    </row>
    <row r="1852" spans="1:8" hidden="1">
      <c r="A1852" s="3">
        <v>11349</v>
      </c>
      <c r="B1852" s="7" t="s">
        <v>174</v>
      </c>
      <c r="C1852" s="41">
        <v>440</v>
      </c>
      <c r="D1852" s="6">
        <v>45609</v>
      </c>
      <c r="E1852" s="3" t="str">
        <f ca="1">IF(Tabela2[[#This Row],[Dt Venc:]]&gt;TODAY(),"Em Aberto",IF(Tabela2[[#This Row],[D/venc]]="-","Enviado",IF(Tabela2[[#This Row],[Dt Venc:]]=TODAY(),"Vence Hoje","Vencida")))</f>
        <v>Enviado</v>
      </c>
      <c r="F1852" s="3" t="str">
        <f ca="1">IF(G1852=1,"-",Tabela2[[#This Row],[Dt Venc:]]-TODAY())</f>
        <v>-</v>
      </c>
      <c r="G1852" s="3">
        <v>1</v>
      </c>
      <c r="H1852" s="3"/>
    </row>
    <row r="1853" spans="1:8" hidden="1">
      <c r="A1853" s="3">
        <v>327056</v>
      </c>
      <c r="B1853" s="7" t="s">
        <v>240</v>
      </c>
      <c r="C1853" s="41">
        <v>286.67</v>
      </c>
      <c r="D1853" s="6">
        <v>45609</v>
      </c>
      <c r="E1853" s="3" t="str">
        <f ca="1">IF(Tabela2[[#This Row],[Dt Venc:]]&gt;TODAY(),"Em Aberto",IF(Tabela2[[#This Row],[D/venc]]="-","Enviado",IF(Tabela2[[#This Row],[Dt Venc:]]=TODAY(),"Vence Hoje","Vencida")))</f>
        <v>Enviado</v>
      </c>
      <c r="F1853" s="3" t="str">
        <f ca="1">IF(G1853=1,"-",Tabela2[[#This Row],[Dt Venc:]]-TODAY())</f>
        <v>-</v>
      </c>
      <c r="G1853" s="3">
        <v>1</v>
      </c>
      <c r="H1853" s="3"/>
    </row>
    <row r="1854" spans="1:8" hidden="1">
      <c r="A1854" s="3">
        <v>240774</v>
      </c>
      <c r="B1854" s="7" t="s">
        <v>43</v>
      </c>
      <c r="C1854" s="41">
        <v>616.5</v>
      </c>
      <c r="D1854" s="6">
        <v>45609</v>
      </c>
      <c r="E1854" s="3" t="str">
        <f ca="1">IF(Tabela2[[#This Row],[Dt Venc:]]&gt;TODAY(),"Em Aberto",IF(Tabela2[[#This Row],[D/venc]]="-","Enviado",IF(Tabela2[[#This Row],[Dt Venc:]]=TODAY(),"Vence Hoje","Vencida")))</f>
        <v>Enviado</v>
      </c>
      <c r="F1854" s="3" t="str">
        <f ca="1">IF(G1854=1,"-",Tabela2[[#This Row],[Dt Venc:]]-TODAY())</f>
        <v>-</v>
      </c>
      <c r="G1854" s="3">
        <v>1</v>
      </c>
      <c r="H1854" s="3"/>
    </row>
    <row r="1855" spans="1:8" hidden="1">
      <c r="A1855" s="3">
        <v>10015</v>
      </c>
      <c r="B1855" s="7" t="s">
        <v>76</v>
      </c>
      <c r="C1855" s="41">
        <v>509.44</v>
      </c>
      <c r="D1855" s="6">
        <v>45609</v>
      </c>
      <c r="E1855" s="3" t="str">
        <f ca="1">IF(Tabela2[[#This Row],[Dt Venc:]]&gt;TODAY(),"Em Aberto",IF(Tabela2[[#This Row],[D/venc]]="-","Enviado",IF(Tabela2[[#This Row],[Dt Venc:]]=TODAY(),"Vence Hoje","Vencida")))</f>
        <v>Enviado</v>
      </c>
      <c r="F1855" s="3" t="str">
        <f ca="1">IF(G1855=1,"-",Tabela2[[#This Row],[Dt Venc:]]-TODAY())</f>
        <v>-</v>
      </c>
      <c r="G1855" s="3">
        <v>1</v>
      </c>
      <c r="H1855" s="3"/>
    </row>
    <row r="1856" spans="1:8" hidden="1">
      <c r="A1856" s="3">
        <v>19951</v>
      </c>
      <c r="B1856" s="7" t="s">
        <v>233</v>
      </c>
      <c r="C1856" s="41">
        <v>1040</v>
      </c>
      <c r="D1856" s="6">
        <v>45609</v>
      </c>
      <c r="E1856" s="3" t="str">
        <f ca="1">IF(Tabela2[[#This Row],[Dt Venc:]]&gt;TODAY(),"Em Aberto",IF(Tabela2[[#This Row],[D/venc]]="-","Enviado",IF(Tabela2[[#This Row],[Dt Venc:]]=TODAY(),"Vence Hoje","Vencida")))</f>
        <v>Enviado</v>
      </c>
      <c r="F1856" s="3" t="str">
        <f ca="1">IF(G1856=1,"-",Tabela2[[#This Row],[Dt Venc:]]-TODAY())</f>
        <v>-</v>
      </c>
      <c r="G1856" s="3">
        <v>1</v>
      </c>
      <c r="H1856" s="3"/>
    </row>
    <row r="1857" spans="1:8" hidden="1">
      <c r="A1857" s="3">
        <v>267379</v>
      </c>
      <c r="B1857" s="7" t="s">
        <v>427</v>
      </c>
      <c r="C1857" s="41">
        <v>1438.15</v>
      </c>
      <c r="D1857" s="6">
        <v>45609</v>
      </c>
      <c r="E1857" s="3" t="str">
        <f ca="1">IF(Tabela2[[#This Row],[Dt Venc:]]&gt;TODAY(),"Em Aberto",IF(Tabela2[[#This Row],[D/venc]]="-","Enviado",IF(Tabela2[[#This Row],[Dt Venc:]]=TODAY(),"Vence Hoje","Vencida")))</f>
        <v>Enviado</v>
      </c>
      <c r="F1857" s="3" t="str">
        <f ca="1">IF(G1857=1,"-",Tabela2[[#This Row],[Dt Venc:]]-TODAY())</f>
        <v>-</v>
      </c>
      <c r="G1857" s="3">
        <v>1</v>
      </c>
      <c r="H1857" s="3"/>
    </row>
    <row r="1858" spans="1:8" hidden="1">
      <c r="A1858" s="3">
        <v>267404</v>
      </c>
      <c r="B1858" s="7" t="s">
        <v>427</v>
      </c>
      <c r="C1858" s="41">
        <v>182.81</v>
      </c>
      <c r="D1858" s="6">
        <v>45609</v>
      </c>
      <c r="E1858" s="3" t="str">
        <f ca="1">IF(Tabela2[[#This Row],[Dt Venc:]]&gt;TODAY(),"Em Aberto",IF(Tabela2[[#This Row],[D/venc]]="-","Enviado",IF(Tabela2[[#This Row],[Dt Venc:]]=TODAY(),"Vence Hoje","Vencida")))</f>
        <v>Enviado</v>
      </c>
      <c r="F1858" s="3" t="str">
        <f ca="1">IF(G1858=1,"-",Tabela2[[#This Row],[Dt Venc:]]-TODAY())</f>
        <v>-</v>
      </c>
      <c r="G1858" s="3">
        <v>1</v>
      </c>
      <c r="H1858" s="3"/>
    </row>
    <row r="1859" spans="1:8" hidden="1">
      <c r="A1859" s="3">
        <v>267517</v>
      </c>
      <c r="B1859" s="7" t="s">
        <v>427</v>
      </c>
      <c r="C1859" s="41">
        <v>17.690000000000001</v>
      </c>
      <c r="D1859" s="6">
        <v>45609</v>
      </c>
      <c r="E1859" s="3" t="str">
        <f ca="1">IF(Tabela2[[#This Row],[Dt Venc:]]&gt;TODAY(),"Em Aberto",IF(Tabela2[[#This Row],[D/venc]]="-","Enviado",IF(Tabela2[[#This Row],[Dt Venc:]]=TODAY(),"Vence Hoje","Vencida")))</f>
        <v>Enviado</v>
      </c>
      <c r="F1859" s="3" t="str">
        <f ca="1">IF(G1859=1,"-",Tabela2[[#This Row],[Dt Venc:]]-TODAY())</f>
        <v>-</v>
      </c>
      <c r="G1859" s="3">
        <v>1</v>
      </c>
      <c r="H1859" s="3"/>
    </row>
    <row r="1860" spans="1:8" hidden="1">
      <c r="A1860" s="3">
        <v>443680</v>
      </c>
      <c r="B1860" s="7" t="s">
        <v>428</v>
      </c>
      <c r="C1860" s="41">
        <v>27676.5</v>
      </c>
      <c r="D1860" s="6">
        <v>45609</v>
      </c>
      <c r="E1860" s="3" t="str">
        <f ca="1">IF(Tabela2[[#This Row],[Dt Venc:]]&gt;TODAY(),"Em Aberto",IF(Tabela2[[#This Row],[D/venc]]="-","Enviado",IF(Tabela2[[#This Row],[Dt Venc:]]=TODAY(),"Vence Hoje","Vencida")))</f>
        <v>Enviado</v>
      </c>
      <c r="F1860" s="3" t="str">
        <f ca="1">IF(G1860=1,"-",Tabela2[[#This Row],[Dt Venc:]]-TODAY())</f>
        <v>-</v>
      </c>
      <c r="G1860" s="3">
        <v>1</v>
      </c>
      <c r="H1860" s="3"/>
    </row>
    <row r="1861" spans="1:8" hidden="1">
      <c r="A1861" s="3">
        <v>228</v>
      </c>
      <c r="B1861" s="7" t="s">
        <v>163</v>
      </c>
      <c r="C1861" s="41">
        <v>2890</v>
      </c>
      <c r="D1861" s="6">
        <v>45609</v>
      </c>
      <c r="E1861" s="3" t="str">
        <f ca="1">IF(Tabela2[[#This Row],[Dt Venc:]]&gt;TODAY(),"Em Aberto",IF(Tabela2[[#This Row],[D/venc]]="-","Enviado",IF(Tabela2[[#This Row],[Dt Venc:]]=TODAY(),"Vence Hoje","Vencida")))</f>
        <v>Enviado</v>
      </c>
      <c r="F1861" s="3" t="str">
        <f ca="1">IF(G1861=1,"-",Tabela2[[#This Row],[Dt Venc:]]-TODAY())</f>
        <v>-</v>
      </c>
      <c r="G1861" s="3">
        <v>1</v>
      </c>
      <c r="H1861" s="3"/>
    </row>
    <row r="1862" spans="1:8" hidden="1">
      <c r="A1862" s="3">
        <v>15173</v>
      </c>
      <c r="B1862" s="7" t="s">
        <v>170</v>
      </c>
      <c r="C1862" s="42">
        <v>386.66</v>
      </c>
      <c r="D1862" s="6">
        <v>45610</v>
      </c>
      <c r="E1862" s="3" t="str">
        <f ca="1">IF(Tabela2[[#This Row],[Dt Venc:]]&gt;TODAY(),"Em Aberto",IF(Tabela2[[#This Row],[D/venc]]="-","Enviado",IF(Tabela2[[#This Row],[Dt Venc:]]=TODAY(),"Vence Hoje","Vencida")))</f>
        <v>Enviado</v>
      </c>
      <c r="F1862" s="3" t="str">
        <f ca="1">IF(G1862=1,"-",Tabela2[[#This Row],[Dt Venc:]]-TODAY())</f>
        <v>-</v>
      </c>
      <c r="G1862" s="3">
        <v>1</v>
      </c>
      <c r="H1862" s="3"/>
    </row>
    <row r="1863" spans="1:8" hidden="1">
      <c r="A1863" s="3">
        <v>15175</v>
      </c>
      <c r="B1863" s="7" t="s">
        <v>170</v>
      </c>
      <c r="C1863" s="42">
        <v>450</v>
      </c>
      <c r="D1863" s="6">
        <v>45610</v>
      </c>
      <c r="E1863" s="3" t="str">
        <f ca="1">IF(Tabela2[[#This Row],[Dt Venc:]]&gt;TODAY(),"Em Aberto",IF(Tabela2[[#This Row],[D/venc]]="-","Enviado",IF(Tabela2[[#This Row],[Dt Venc:]]=TODAY(),"Vence Hoje","Vencida")))</f>
        <v>Enviado</v>
      </c>
      <c r="F1863" s="3" t="str">
        <f ca="1">IF(G1863=1,"-",Tabela2[[#This Row],[Dt Venc:]]-TODAY())</f>
        <v>-</v>
      </c>
      <c r="G1863" s="3">
        <v>1</v>
      </c>
      <c r="H1863" s="3"/>
    </row>
    <row r="1864" spans="1:8" hidden="1">
      <c r="A1864" s="3">
        <v>144788</v>
      </c>
      <c r="B1864" s="7" t="s">
        <v>127</v>
      </c>
      <c r="C1864" s="42">
        <v>717.5</v>
      </c>
      <c r="D1864" s="6">
        <v>45610</v>
      </c>
      <c r="E1864" s="3" t="str">
        <f ca="1">IF(Tabela2[[#This Row],[Dt Venc:]]&gt;TODAY(),"Em Aberto",IF(Tabela2[[#This Row],[D/venc]]="-","Enviado",IF(Tabela2[[#This Row],[Dt Venc:]]=TODAY(),"Vence Hoje","Vencida")))</f>
        <v>Enviado</v>
      </c>
      <c r="F1864" s="3" t="str">
        <f ca="1">IF(G1864=1,"-",Tabela2[[#This Row],[Dt Venc:]]-TODAY())</f>
        <v>-</v>
      </c>
      <c r="G1864" s="3">
        <v>1</v>
      </c>
      <c r="H1864" s="3"/>
    </row>
    <row r="1865" spans="1:8" hidden="1">
      <c r="A1865" s="3">
        <v>750868</v>
      </c>
      <c r="B1865" s="7" t="s">
        <v>127</v>
      </c>
      <c r="C1865" s="42">
        <v>625.48</v>
      </c>
      <c r="D1865" s="6">
        <v>45610</v>
      </c>
      <c r="E1865" s="3" t="str">
        <f ca="1">IF(Tabela2[[#This Row],[Dt Venc:]]&gt;TODAY(),"Em Aberto",IF(Tabela2[[#This Row],[D/venc]]="-","Enviado",IF(Tabela2[[#This Row],[Dt Venc:]]=TODAY(),"Vence Hoje","Vencida")))</f>
        <v>Enviado</v>
      </c>
      <c r="F1865" s="3" t="str">
        <f ca="1">IF(G1865=1,"-",Tabela2[[#This Row],[Dt Venc:]]-TODAY())</f>
        <v>-</v>
      </c>
      <c r="G1865" s="3">
        <v>1</v>
      </c>
      <c r="H1865" s="3"/>
    </row>
    <row r="1866" spans="1:8" hidden="1">
      <c r="A1866" s="3">
        <v>1420</v>
      </c>
      <c r="B1866" s="7" t="s">
        <v>78</v>
      </c>
      <c r="C1866" s="42">
        <v>1003</v>
      </c>
      <c r="D1866" s="6">
        <v>45610</v>
      </c>
      <c r="E1866" s="3" t="str">
        <f ca="1">IF(Tabela2[[#This Row],[Dt Venc:]]&gt;TODAY(),"Em Aberto",IF(Tabela2[[#This Row],[D/venc]]="-","Enviado",IF(Tabela2[[#This Row],[Dt Venc:]]=TODAY(),"Vence Hoje","Vencida")))</f>
        <v>Enviado</v>
      </c>
      <c r="F1866" s="3" t="str">
        <f ca="1">IF(G1866=1,"-",Tabela2[[#This Row],[Dt Venc:]]-TODAY())</f>
        <v>-</v>
      </c>
      <c r="G1866" s="3">
        <v>1</v>
      </c>
      <c r="H1866" s="3"/>
    </row>
    <row r="1867" spans="1:8" hidden="1">
      <c r="A1867" s="3">
        <v>604476</v>
      </c>
      <c r="B1867" s="7" t="s">
        <v>138</v>
      </c>
      <c r="C1867" s="42">
        <v>2499.58</v>
      </c>
      <c r="D1867" s="6">
        <v>45610</v>
      </c>
      <c r="E1867" s="3" t="str">
        <f ca="1">IF(Tabela2[[#This Row],[Dt Venc:]]&gt;TODAY(),"Em Aberto",IF(Tabela2[[#This Row],[D/venc]]="-","Enviado",IF(Tabela2[[#This Row],[Dt Venc:]]=TODAY(),"Vence Hoje","Vencida")))</f>
        <v>Enviado</v>
      </c>
      <c r="F1867" s="3" t="str">
        <f ca="1">IF(G1867=1,"-",Tabela2[[#This Row],[Dt Venc:]]-TODAY())</f>
        <v>-</v>
      </c>
      <c r="G1867" s="3">
        <v>1</v>
      </c>
      <c r="H1867" s="3"/>
    </row>
    <row r="1868" spans="1:8" hidden="1">
      <c r="A1868" s="3">
        <v>107</v>
      </c>
      <c r="B1868" s="7" t="s">
        <v>83</v>
      </c>
      <c r="C1868" s="42">
        <v>6400</v>
      </c>
      <c r="D1868" s="6">
        <v>45610</v>
      </c>
      <c r="E1868" s="3" t="str">
        <f ca="1">IF(Tabela2[[#This Row],[Dt Venc:]]&gt;TODAY(),"Em Aberto",IF(Tabela2[[#This Row],[D/venc]]="-","Enviado",IF(Tabela2[[#This Row],[Dt Venc:]]=TODAY(),"Vence Hoje","Vencida")))</f>
        <v>Enviado</v>
      </c>
      <c r="F1868" s="3" t="str">
        <f ca="1">IF(G1868=1,"-",Tabela2[[#This Row],[Dt Venc:]]-TODAY())</f>
        <v>-</v>
      </c>
      <c r="G1868" s="3">
        <v>1</v>
      </c>
      <c r="H1868" s="3"/>
    </row>
    <row r="1869" spans="1:8" hidden="1">
      <c r="A1869" s="3">
        <v>49287</v>
      </c>
      <c r="B1869" s="7" t="s">
        <v>257</v>
      </c>
      <c r="C1869" s="42">
        <v>922.27</v>
      </c>
      <c r="D1869" s="6">
        <v>45610</v>
      </c>
      <c r="E1869" s="3" t="str">
        <f ca="1">IF(Tabela2[[#This Row],[Dt Venc:]]&gt;TODAY(),"Em Aberto",IF(Tabela2[[#This Row],[D/venc]]="-","Enviado",IF(Tabela2[[#This Row],[Dt Venc:]]=TODAY(),"Vence Hoje","Vencida")))</f>
        <v>Enviado</v>
      </c>
      <c r="F1869" s="3" t="str">
        <f ca="1">IF(G1869=1,"-",Tabela2[[#This Row],[Dt Venc:]]-TODAY())</f>
        <v>-</v>
      </c>
      <c r="G1869" s="3">
        <v>1</v>
      </c>
      <c r="H1869" s="3"/>
    </row>
    <row r="1870" spans="1:8" hidden="1">
      <c r="A1870" s="3">
        <v>49288</v>
      </c>
      <c r="B1870" s="7" t="s">
        <v>257</v>
      </c>
      <c r="C1870" s="42">
        <v>669.71</v>
      </c>
      <c r="D1870" s="6">
        <v>45610</v>
      </c>
      <c r="E1870" s="3" t="str">
        <f ca="1">IF(Tabela2[[#This Row],[Dt Venc:]]&gt;TODAY(),"Em Aberto",IF(Tabela2[[#This Row],[D/venc]]="-","Enviado",IF(Tabela2[[#This Row],[Dt Venc:]]=TODAY(),"Vence Hoje","Vencida")))</f>
        <v>Enviado</v>
      </c>
      <c r="F1870" s="3" t="str">
        <f ca="1">IF(G1870=1,"-",Tabela2[[#This Row],[Dt Venc:]]-TODAY())</f>
        <v>-</v>
      </c>
      <c r="G1870" s="3">
        <v>1</v>
      </c>
      <c r="H1870" s="3"/>
    </row>
    <row r="1871" spans="1:8" hidden="1">
      <c r="A1871" s="3">
        <v>49289</v>
      </c>
      <c r="B1871" s="7" t="s">
        <v>257</v>
      </c>
      <c r="C1871" s="42">
        <v>976.06</v>
      </c>
      <c r="D1871" s="6">
        <v>45610</v>
      </c>
      <c r="E1871" s="3" t="str">
        <f ca="1">IF(Tabela2[[#This Row],[Dt Venc:]]&gt;TODAY(),"Em Aberto",IF(Tabela2[[#This Row],[D/venc]]="-","Enviado",IF(Tabela2[[#This Row],[Dt Venc:]]=TODAY(),"Vence Hoje","Vencida")))</f>
        <v>Enviado</v>
      </c>
      <c r="F1871" s="3" t="str">
        <f ca="1">IF(G1871=1,"-",Tabela2[[#This Row],[Dt Venc:]]-TODAY())</f>
        <v>-</v>
      </c>
      <c r="G1871" s="3">
        <v>1</v>
      </c>
      <c r="H1871" s="3"/>
    </row>
    <row r="1872" spans="1:8" hidden="1">
      <c r="A1872" s="3">
        <v>69642</v>
      </c>
      <c r="B1872" s="7" t="s">
        <v>76</v>
      </c>
      <c r="C1872" s="42">
        <v>1650.78</v>
      </c>
      <c r="D1872" s="6">
        <v>45610</v>
      </c>
      <c r="E1872" s="3" t="str">
        <f ca="1">IF(Tabela2[[#This Row],[Dt Venc:]]&gt;TODAY(),"Em Aberto",IF(Tabela2[[#This Row],[D/venc]]="-","Enviado",IF(Tabela2[[#This Row],[Dt Venc:]]=TODAY(),"Vence Hoje","Vencida")))</f>
        <v>Enviado</v>
      </c>
      <c r="F1872" s="3" t="str">
        <f ca="1">IF(G1872=1,"-",Tabela2[[#This Row],[Dt Venc:]]-TODAY())</f>
        <v>-</v>
      </c>
      <c r="G1872" s="3">
        <v>1</v>
      </c>
      <c r="H1872" s="3"/>
    </row>
    <row r="1873" spans="1:8" hidden="1">
      <c r="A1873" s="3">
        <v>213890</v>
      </c>
      <c r="B1873" s="7" t="s">
        <v>43</v>
      </c>
      <c r="C1873" s="42">
        <v>765.14</v>
      </c>
      <c r="D1873" s="6">
        <v>45610</v>
      </c>
      <c r="E1873" s="3" t="str">
        <f ca="1">IF(Tabela2[[#This Row],[Dt Venc:]]&gt;TODAY(),"Em Aberto",IF(Tabela2[[#This Row],[D/venc]]="-","Enviado",IF(Tabela2[[#This Row],[Dt Venc:]]=TODAY(),"Vence Hoje","Vencida")))</f>
        <v>Enviado</v>
      </c>
      <c r="F1873" s="3" t="str">
        <f ca="1">IF(G1873=1,"-",Tabela2[[#This Row],[Dt Venc:]]-TODAY())</f>
        <v>-</v>
      </c>
      <c r="G1873" s="3">
        <v>1</v>
      </c>
      <c r="H1873" s="3"/>
    </row>
    <row r="1874" spans="1:8" hidden="1">
      <c r="A1874" s="3">
        <v>152208</v>
      </c>
      <c r="B1874" s="7" t="s">
        <v>261</v>
      </c>
      <c r="C1874" s="42">
        <v>1100</v>
      </c>
      <c r="D1874" s="6">
        <v>45610</v>
      </c>
      <c r="E1874" s="3" t="str">
        <f ca="1">IF(Tabela2[[#This Row],[Dt Venc:]]&gt;TODAY(),"Em Aberto",IF(Tabela2[[#This Row],[D/venc]]="-","Enviado",IF(Tabela2[[#This Row],[Dt Venc:]]=TODAY(),"Vence Hoje","Vencida")))</f>
        <v>Enviado</v>
      </c>
      <c r="F1874" s="3" t="str">
        <f ca="1">IF(G1874=1,"-",Tabela2[[#This Row],[Dt Venc:]]-TODAY())</f>
        <v>-</v>
      </c>
      <c r="G1874" s="3">
        <v>1</v>
      </c>
      <c r="H1874" s="3"/>
    </row>
    <row r="1875" spans="1:8" hidden="1">
      <c r="A1875" s="3">
        <v>170441</v>
      </c>
      <c r="B1875" s="7" t="s">
        <v>211</v>
      </c>
      <c r="C1875" s="42">
        <v>177.34</v>
      </c>
      <c r="D1875" s="6">
        <v>45610</v>
      </c>
      <c r="E1875" s="3" t="str">
        <f ca="1">IF(Tabela2[[#This Row],[Dt Venc:]]&gt;TODAY(),"Em Aberto",IF(Tabela2[[#This Row],[D/venc]]="-","Enviado",IF(Tabela2[[#This Row],[Dt Venc:]]=TODAY(),"Vence Hoje","Vencida")))</f>
        <v>Enviado</v>
      </c>
      <c r="F1875" s="3" t="str">
        <f ca="1">IF(G1875=1,"-",Tabela2[[#This Row],[Dt Venc:]]-TODAY())</f>
        <v>-</v>
      </c>
      <c r="G1875" s="3">
        <v>1</v>
      </c>
      <c r="H1875" s="3"/>
    </row>
    <row r="1876" spans="1:8" hidden="1">
      <c r="A1876" s="3">
        <v>214019</v>
      </c>
      <c r="B1876" s="7" t="s">
        <v>43</v>
      </c>
      <c r="C1876" s="42">
        <v>1598.37</v>
      </c>
      <c r="D1876" s="6">
        <v>45610</v>
      </c>
      <c r="E1876" s="3" t="str">
        <f ca="1">IF(Tabela2[[#This Row],[Dt Venc:]]&gt;TODAY(),"Em Aberto",IF(Tabela2[[#This Row],[D/venc]]="-","Enviado",IF(Tabela2[[#This Row],[Dt Venc:]]=TODAY(),"Vence Hoje","Vencida")))</f>
        <v>Enviado</v>
      </c>
      <c r="F1876" s="3" t="str">
        <f ca="1">IF(G1876=1,"-",Tabela2[[#This Row],[Dt Venc:]]-TODAY())</f>
        <v>-</v>
      </c>
      <c r="G1876" s="3">
        <v>1</v>
      </c>
      <c r="H1876" s="3"/>
    </row>
    <row r="1877" spans="1:8" hidden="1">
      <c r="A1877" s="3">
        <v>15173</v>
      </c>
      <c r="B1877" s="7" t="s">
        <v>170</v>
      </c>
      <c r="C1877" s="42">
        <v>386.66</v>
      </c>
      <c r="D1877" s="6">
        <v>45610</v>
      </c>
      <c r="E1877" s="3" t="str">
        <f ca="1">IF(Tabela2[[#This Row],[Dt Venc:]]&gt;TODAY(),"Em Aberto",IF(Tabela2[[#This Row],[D/venc]]="-","Enviado",IF(Tabela2[[#This Row],[Dt Venc:]]=TODAY(),"Vence Hoje","Vencida")))</f>
        <v>Enviado</v>
      </c>
      <c r="F1877" s="3" t="str">
        <f ca="1">IF(G1877=1,"-",Tabela2[[#This Row],[Dt Venc:]]-TODAY())</f>
        <v>-</v>
      </c>
      <c r="G1877" s="3">
        <v>1</v>
      </c>
      <c r="H1877" s="3"/>
    </row>
    <row r="1878" spans="1:8" hidden="1">
      <c r="A1878" s="3">
        <v>608413</v>
      </c>
      <c r="B1878" s="7" t="s">
        <v>287</v>
      </c>
      <c r="C1878" s="42">
        <v>1910.75</v>
      </c>
      <c r="D1878" s="6">
        <v>45610</v>
      </c>
      <c r="E1878" s="3" t="str">
        <f ca="1">IF(Tabela2[[#This Row],[Dt Venc:]]&gt;TODAY(),"Em Aberto",IF(Tabela2[[#This Row],[D/venc]]="-","Enviado",IF(Tabela2[[#This Row],[Dt Venc:]]=TODAY(),"Vence Hoje","Vencida")))</f>
        <v>Enviado</v>
      </c>
      <c r="F1878" s="3" t="str">
        <f ca="1">IF(G1878=1,"-",Tabela2[[#This Row],[Dt Venc:]]-TODAY())</f>
        <v>-</v>
      </c>
      <c r="G1878" s="3">
        <v>1</v>
      </c>
      <c r="H1878" s="3"/>
    </row>
    <row r="1879" spans="1:8" hidden="1">
      <c r="A1879" s="3">
        <v>608438</v>
      </c>
      <c r="B1879" s="7" t="s">
        <v>287</v>
      </c>
      <c r="C1879" s="42">
        <v>473.29</v>
      </c>
      <c r="D1879" s="6">
        <v>45610</v>
      </c>
      <c r="E1879" s="3" t="str">
        <f ca="1">IF(Tabela2[[#This Row],[Dt Venc:]]&gt;TODAY(),"Em Aberto",IF(Tabela2[[#This Row],[D/venc]]="-","Enviado",IF(Tabela2[[#This Row],[Dt Venc:]]=TODAY(),"Vence Hoje","Vencida")))</f>
        <v>Enviado</v>
      </c>
      <c r="F1879" s="3" t="str">
        <f ca="1">IF(G1879=1,"-",Tabela2[[#This Row],[Dt Venc:]]-TODAY())</f>
        <v>-</v>
      </c>
      <c r="G1879" s="3">
        <v>1</v>
      </c>
      <c r="H1879" s="3"/>
    </row>
    <row r="1880" spans="1:8" hidden="1">
      <c r="A1880" s="3">
        <v>181044</v>
      </c>
      <c r="B1880" s="7" t="s">
        <v>42</v>
      </c>
      <c r="C1880" s="42">
        <v>1781.25</v>
      </c>
      <c r="D1880" s="6">
        <v>45610</v>
      </c>
      <c r="E1880" s="3" t="str">
        <f ca="1">IF(Tabela2[[#This Row],[Dt Venc:]]&gt;TODAY(),"Em Aberto",IF(Tabela2[[#This Row],[D/venc]]="-","Enviado",IF(Tabela2[[#This Row],[Dt Venc:]]=TODAY(),"Vence Hoje","Vencida")))</f>
        <v>Enviado</v>
      </c>
      <c r="F1880" s="3" t="str">
        <f ca="1">IF(G1880=1,"-",Tabela2[[#This Row],[Dt Venc:]]-TODAY())</f>
        <v>-</v>
      </c>
      <c r="G1880" s="3">
        <v>1</v>
      </c>
      <c r="H1880" s="3"/>
    </row>
    <row r="1881" spans="1:8" hidden="1">
      <c r="A1881" s="3">
        <v>370268</v>
      </c>
      <c r="B1881" s="7" t="s">
        <v>39</v>
      </c>
      <c r="C1881" s="41">
        <v>106.86</v>
      </c>
      <c r="D1881" s="6">
        <v>45610</v>
      </c>
      <c r="E1881" s="3" t="str">
        <f ca="1">IF(Tabela2[[#This Row],[Dt Venc:]]&gt;TODAY(),"Em Aberto",IF(Tabela2[[#This Row],[D/venc]]="-","Enviado",IF(Tabela2[[#This Row],[Dt Venc:]]=TODAY(),"Vence Hoje","Vencida")))</f>
        <v>Enviado</v>
      </c>
      <c r="F1881" s="3" t="str">
        <f ca="1">IF(G1881=1,"-",Tabela2[[#This Row],[Dt Venc:]]-TODAY())</f>
        <v>-</v>
      </c>
      <c r="G1881" s="3">
        <v>1</v>
      </c>
      <c r="H1881" s="3"/>
    </row>
    <row r="1882" spans="1:8" hidden="1">
      <c r="A1882" s="3">
        <v>5951</v>
      </c>
      <c r="B1882" s="7" t="s">
        <v>140</v>
      </c>
      <c r="C1882" s="41">
        <v>252</v>
      </c>
      <c r="D1882" s="6">
        <v>45610</v>
      </c>
      <c r="E1882" s="3" t="str">
        <f ca="1">IF(Tabela2[[#This Row],[Dt Venc:]]&gt;TODAY(),"Em Aberto",IF(Tabela2[[#This Row],[D/venc]]="-","Enviado",IF(Tabela2[[#This Row],[Dt Venc:]]=TODAY(),"Vence Hoje","Vencida")))</f>
        <v>Enviado</v>
      </c>
      <c r="F1882" s="3" t="str">
        <f ca="1">IF(G1882=1,"-",Tabela2[[#This Row],[Dt Venc:]]-TODAY())</f>
        <v>-</v>
      </c>
      <c r="G1882" s="3">
        <v>1</v>
      </c>
      <c r="H1882" s="3"/>
    </row>
    <row r="1883" spans="1:8" hidden="1">
      <c r="A1883" s="3">
        <v>23309</v>
      </c>
      <c r="B1883" s="7" t="s">
        <v>38</v>
      </c>
      <c r="C1883" s="41">
        <v>1500</v>
      </c>
      <c r="D1883" s="6">
        <v>45610</v>
      </c>
      <c r="E1883" s="3" t="str">
        <f ca="1">IF(Tabela2[[#This Row],[Dt Venc:]]&gt;TODAY(),"Em Aberto",IF(Tabela2[[#This Row],[D/venc]]="-","Enviado",IF(Tabela2[[#This Row],[Dt Venc:]]=TODAY(),"Vence Hoje","Vencida")))</f>
        <v>Enviado</v>
      </c>
      <c r="F1883" s="3" t="str">
        <f ca="1">IF(G1883=1,"-",Tabela2[[#This Row],[Dt Venc:]]-TODAY())</f>
        <v>-</v>
      </c>
      <c r="G1883" s="3">
        <v>1</v>
      </c>
      <c r="H1883" s="3"/>
    </row>
    <row r="1884" spans="1:8" hidden="1">
      <c r="A1884" s="3">
        <v>88409</v>
      </c>
      <c r="B1884" s="7" t="s">
        <v>429</v>
      </c>
      <c r="C1884" s="41">
        <v>480</v>
      </c>
      <c r="D1884" s="6">
        <v>45610</v>
      </c>
      <c r="E1884" s="3" t="str">
        <f ca="1">IF(Tabela2[[#This Row],[Dt Venc:]]&gt;TODAY(),"Em Aberto",IF(Tabela2[[#This Row],[D/venc]]="-","Enviado",IF(Tabela2[[#This Row],[Dt Venc:]]=TODAY(),"Vence Hoje","Vencida")))</f>
        <v>Enviado</v>
      </c>
      <c r="F1884" s="3" t="str">
        <f ca="1">IF(G1884=1,"-",Tabela2[[#This Row],[Dt Venc:]]-TODAY())</f>
        <v>-</v>
      </c>
      <c r="G1884" s="3">
        <v>1</v>
      </c>
      <c r="H1884" s="3"/>
    </row>
    <row r="1885" spans="1:8" hidden="1">
      <c r="A1885" s="3">
        <v>72019</v>
      </c>
      <c r="B1885" s="7" t="s">
        <v>76</v>
      </c>
      <c r="C1885" s="41">
        <v>532.05999999999995</v>
      </c>
      <c r="D1885" s="6">
        <v>45610</v>
      </c>
      <c r="E1885" s="3" t="str">
        <f ca="1">IF(Tabela2[[#This Row],[Dt Venc:]]&gt;TODAY(),"Em Aberto",IF(Tabela2[[#This Row],[D/venc]]="-","Enviado",IF(Tabela2[[#This Row],[Dt Venc:]]=TODAY(),"Vence Hoje","Vencida")))</f>
        <v>Enviado</v>
      </c>
      <c r="F1885" s="3" t="str">
        <f ca="1">IF(G1885=1,"-",Tabela2[[#This Row],[Dt Venc:]]-TODAY())</f>
        <v>-</v>
      </c>
      <c r="G1885" s="3">
        <v>1</v>
      </c>
      <c r="H1885" s="3"/>
    </row>
    <row r="1886" spans="1:8" hidden="1">
      <c r="A1886" s="3">
        <v>153616</v>
      </c>
      <c r="B1886" s="7" t="s">
        <v>240</v>
      </c>
      <c r="C1886" s="41">
        <v>447</v>
      </c>
      <c r="D1886" s="6">
        <v>45610</v>
      </c>
      <c r="E1886" s="3" t="str">
        <f ca="1">IF(Tabela2[[#This Row],[Dt Venc:]]&gt;TODAY(),"Em Aberto",IF(Tabela2[[#This Row],[D/venc]]="-","Enviado",IF(Tabela2[[#This Row],[Dt Venc:]]=TODAY(),"Vence Hoje","Vencida")))</f>
        <v>Enviado</v>
      </c>
      <c r="F1886" s="3" t="str">
        <f ca="1">IF(G1886=1,"-",Tabela2[[#This Row],[Dt Venc:]]-TODAY())</f>
        <v>-</v>
      </c>
      <c r="G1886" s="3">
        <v>1</v>
      </c>
      <c r="H1886" s="3"/>
    </row>
    <row r="1887" spans="1:8" hidden="1">
      <c r="A1887" s="3">
        <v>73056</v>
      </c>
      <c r="B1887" s="7" t="s">
        <v>43</v>
      </c>
      <c r="C1887" s="41">
        <v>1119.78</v>
      </c>
      <c r="D1887" s="6">
        <v>45610</v>
      </c>
      <c r="E1887" s="3" t="str">
        <f ca="1">IF(Tabela2[[#This Row],[Dt Venc:]]&gt;TODAY(),"Em Aberto",IF(Tabela2[[#This Row],[D/venc]]="-","Enviado",IF(Tabela2[[#This Row],[Dt Venc:]]=TODAY(),"Vence Hoje","Vencida")))</f>
        <v>Enviado</v>
      </c>
      <c r="F1887" s="3" t="str">
        <f ca="1">IF(G1887=1,"-",Tabela2[[#This Row],[Dt Venc:]]-TODAY())</f>
        <v>-</v>
      </c>
      <c r="G1887" s="3">
        <v>1</v>
      </c>
      <c r="H1887" s="3"/>
    </row>
    <row r="1888" spans="1:8" hidden="1">
      <c r="A1888" s="3">
        <v>9951</v>
      </c>
      <c r="B1888" s="7" t="s">
        <v>105</v>
      </c>
      <c r="C1888" s="41">
        <v>2050</v>
      </c>
      <c r="D1888" s="6">
        <v>45610</v>
      </c>
      <c r="E1888" s="3" t="str">
        <f ca="1">IF(Tabela2[[#This Row],[Dt Venc:]]&gt;TODAY(),"Em Aberto",IF(Tabela2[[#This Row],[D/venc]]="-","Enviado",IF(Tabela2[[#This Row],[Dt Venc:]]=TODAY(),"Vence Hoje","Vencida")))</f>
        <v>Enviado</v>
      </c>
      <c r="F1888" s="3" t="str">
        <f ca="1">IF(G1888=1,"-",Tabela2[[#This Row],[Dt Venc:]]-TODAY())</f>
        <v>-</v>
      </c>
      <c r="G1888" s="3">
        <v>1</v>
      </c>
      <c r="H1888" s="3"/>
    </row>
    <row r="1889" spans="1:8" hidden="1">
      <c r="A1889" s="3">
        <v>203425</v>
      </c>
      <c r="B1889" s="7" t="s">
        <v>200</v>
      </c>
      <c r="C1889" s="41">
        <v>250</v>
      </c>
      <c r="D1889" s="6">
        <v>45610</v>
      </c>
      <c r="E1889" s="3" t="str">
        <f ca="1">IF(Tabela2[[#This Row],[Dt Venc:]]&gt;TODAY(),"Em Aberto",IF(Tabela2[[#This Row],[D/venc]]="-","Enviado",IF(Tabela2[[#This Row],[Dt Venc:]]=TODAY(),"Vence Hoje","Vencida")))</f>
        <v>Enviado</v>
      </c>
      <c r="F1889" s="3" t="str">
        <f ca="1">IF(G1889=1,"-",Tabela2[[#This Row],[Dt Venc:]]-TODAY())</f>
        <v>-</v>
      </c>
      <c r="G1889" s="3">
        <v>1</v>
      </c>
      <c r="H1889" s="3"/>
    </row>
    <row r="1890" spans="1:8" hidden="1">
      <c r="A1890" s="3">
        <v>1524</v>
      </c>
      <c r="B1890" s="7" t="s">
        <v>430</v>
      </c>
      <c r="C1890" s="41">
        <v>600</v>
      </c>
      <c r="D1890" s="6">
        <v>45610</v>
      </c>
      <c r="E1890" s="3" t="str">
        <f ca="1">IF(Tabela2[[#This Row],[Dt Venc:]]&gt;TODAY(),"Em Aberto",IF(Tabela2[[#This Row],[D/venc]]="-","Enviado",IF(Tabela2[[#This Row],[Dt Venc:]]=TODAY(),"Vence Hoje","Vencida")))</f>
        <v>Enviado</v>
      </c>
      <c r="F1890" s="3" t="str">
        <f ca="1">IF(G1890=1,"-",Tabela2[[#This Row],[Dt Venc:]]-TODAY())</f>
        <v>-</v>
      </c>
      <c r="G1890" s="3">
        <v>1</v>
      </c>
      <c r="H1890" s="3"/>
    </row>
    <row r="1891" spans="1:8" hidden="1">
      <c r="A1891" s="3">
        <v>3303938</v>
      </c>
      <c r="B1891" s="7" t="s">
        <v>71</v>
      </c>
      <c r="C1891" s="41">
        <v>109648</v>
      </c>
      <c r="D1891" s="6">
        <v>45610</v>
      </c>
      <c r="E1891" s="3" t="str">
        <f ca="1">IF(Tabela2[[#This Row],[Dt Venc:]]&gt;TODAY(),"Em Aberto",IF(Tabela2[[#This Row],[D/venc]]="-","Enviado",IF(Tabela2[[#This Row],[Dt Venc:]]=TODAY(),"Vence Hoje","Vencida")))</f>
        <v>Enviado</v>
      </c>
      <c r="F1891" s="3" t="str">
        <f ca="1">IF(G1891=1,"-",Tabela2[[#This Row],[Dt Venc:]]-TODAY())</f>
        <v>-</v>
      </c>
      <c r="G1891" s="3">
        <v>1</v>
      </c>
      <c r="H1891" s="3"/>
    </row>
    <row r="1892" spans="1:8" hidden="1">
      <c r="A1892" s="3">
        <v>36846</v>
      </c>
      <c r="B1892" s="7" t="s">
        <v>167</v>
      </c>
      <c r="C1892" s="83" t="s">
        <v>32</v>
      </c>
      <c r="D1892" s="6">
        <v>45611</v>
      </c>
      <c r="E1892" s="3" t="str">
        <f ca="1">IF(Tabela2[[#This Row],[Dt Venc:]]&gt;TODAY(),"Em Aberto",IF(Tabela2[[#This Row],[D/venc]]="-","Enviado",IF(Tabela2[[#This Row],[Dt Venc:]]=TODAY(),"Vence Hoje","Vencida")))</f>
        <v>Enviado</v>
      </c>
      <c r="F1892" s="3" t="str">
        <f ca="1">IF(G1892=1,"-",Tabela2[[#This Row],[Dt Venc:]]-TODAY())</f>
        <v>-</v>
      </c>
      <c r="G1892" s="3">
        <v>1</v>
      </c>
      <c r="H1892" s="3"/>
    </row>
    <row r="1893" spans="1:8" hidden="1">
      <c r="A1893" s="3">
        <v>361229</v>
      </c>
      <c r="B1893" s="7" t="s">
        <v>250</v>
      </c>
      <c r="C1893" s="84" t="s">
        <v>32</v>
      </c>
      <c r="D1893" s="6">
        <v>45611</v>
      </c>
      <c r="E1893" s="3" t="str">
        <f ca="1">IF(Tabela2[[#This Row],[Dt Venc:]]&gt;TODAY(),"Em Aberto",IF(Tabela2[[#This Row],[D/venc]]="-","Enviado",IF(Tabela2[[#This Row],[Dt Venc:]]=TODAY(),"Vence Hoje","Vencida")))</f>
        <v>Enviado</v>
      </c>
      <c r="F1893" s="3" t="str">
        <f ca="1">IF(G1893=1,"-",Tabela2[[#This Row],[Dt Venc:]]-TODAY())</f>
        <v>-</v>
      </c>
      <c r="G1893" s="3">
        <v>1</v>
      </c>
      <c r="H1893" s="3"/>
    </row>
    <row r="1894" spans="1:8" hidden="1">
      <c r="A1894" s="3">
        <v>361237</v>
      </c>
      <c r="B1894" s="7" t="s">
        <v>250</v>
      </c>
      <c r="C1894" s="84" t="s">
        <v>32</v>
      </c>
      <c r="D1894" s="6">
        <v>45611</v>
      </c>
      <c r="E1894" s="3" t="str">
        <f ca="1">IF(Tabela2[[#This Row],[Dt Venc:]]&gt;TODAY(),"Em Aberto",IF(Tabela2[[#This Row],[D/venc]]="-","Enviado",IF(Tabela2[[#This Row],[Dt Venc:]]=TODAY(),"Vence Hoje","Vencida")))</f>
        <v>Enviado</v>
      </c>
      <c r="F1894" s="3" t="str">
        <f ca="1">IF(G1894=1,"-",Tabela2[[#This Row],[Dt Venc:]]-TODAY())</f>
        <v>-</v>
      </c>
      <c r="G1894" s="3">
        <v>1</v>
      </c>
      <c r="H1894" s="3"/>
    </row>
    <row r="1895" spans="1:8" hidden="1">
      <c r="A1895" s="3">
        <v>365658</v>
      </c>
      <c r="B1895" s="7" t="s">
        <v>250</v>
      </c>
      <c r="C1895" s="84" t="s">
        <v>32</v>
      </c>
      <c r="D1895" s="6">
        <v>45611</v>
      </c>
      <c r="E1895" s="3" t="str">
        <f ca="1">IF(Tabela2[[#This Row],[Dt Venc:]]&gt;TODAY(),"Em Aberto",IF(Tabela2[[#This Row],[D/venc]]="-","Enviado",IF(Tabela2[[#This Row],[Dt Venc:]]=TODAY(),"Vence Hoje","Vencida")))</f>
        <v>Enviado</v>
      </c>
      <c r="F1895" s="3" t="str">
        <f ca="1">IF(G1895=1,"-",Tabela2[[#This Row],[Dt Venc:]]-TODAY())</f>
        <v>-</v>
      </c>
      <c r="G1895" s="3">
        <v>1</v>
      </c>
      <c r="H1895" s="3"/>
    </row>
    <row r="1896" spans="1:8" hidden="1">
      <c r="A1896" s="3">
        <v>365666</v>
      </c>
      <c r="B1896" s="7" t="s">
        <v>250</v>
      </c>
      <c r="C1896" s="84" t="s">
        <v>32</v>
      </c>
      <c r="D1896" s="6">
        <v>45611</v>
      </c>
      <c r="E1896" s="3" t="str">
        <f ca="1">IF(Tabela2[[#This Row],[Dt Venc:]]&gt;TODAY(),"Em Aberto",IF(Tabela2[[#This Row],[D/venc]]="-","Enviado",IF(Tabela2[[#This Row],[Dt Venc:]]=TODAY(),"Vence Hoje","Vencida")))</f>
        <v>Enviado</v>
      </c>
      <c r="F1896" s="3" t="str">
        <f ca="1">IF(G1896=1,"-",Tabela2[[#This Row],[Dt Venc:]]-TODAY())</f>
        <v>-</v>
      </c>
      <c r="G1896" s="3">
        <v>1</v>
      </c>
      <c r="H1896" s="3"/>
    </row>
    <row r="1897" spans="1:8" hidden="1">
      <c r="A1897" s="3">
        <v>434</v>
      </c>
      <c r="B1897" s="7" t="s">
        <v>431</v>
      </c>
      <c r="C1897" s="41">
        <v>15000</v>
      </c>
      <c r="D1897" s="6">
        <v>45611</v>
      </c>
      <c r="E1897" s="3" t="str">
        <f ca="1">IF(Tabela2[[#This Row],[Dt Venc:]]&gt;TODAY(),"Em Aberto",IF(Tabela2[[#This Row],[D/venc]]="-","Enviado",IF(Tabela2[[#This Row],[Dt Venc:]]=TODAY(),"Vence Hoje","Vencida")))</f>
        <v>Enviado</v>
      </c>
      <c r="F1897" s="3" t="str">
        <f ca="1">IF(G1897=1,"-",Tabela2[[#This Row],[Dt Venc:]]-TODAY())</f>
        <v>-</v>
      </c>
      <c r="G1897" s="3">
        <v>1</v>
      </c>
      <c r="H1897" s="3"/>
    </row>
    <row r="1898" spans="1:8" hidden="1">
      <c r="A1898" s="3">
        <v>365674</v>
      </c>
      <c r="B1898" s="7" t="s">
        <v>250</v>
      </c>
      <c r="C1898" s="84" t="s">
        <v>32</v>
      </c>
      <c r="D1898" s="6">
        <v>45611</v>
      </c>
      <c r="E1898" s="3" t="str">
        <f ca="1">IF(Tabela2[[#This Row],[Dt Venc:]]&gt;TODAY(),"Em Aberto",IF(Tabela2[[#This Row],[D/venc]]="-","Enviado",IF(Tabela2[[#This Row],[Dt Venc:]]=TODAY(),"Vence Hoje","Vencida")))</f>
        <v>Enviado</v>
      </c>
      <c r="F1898" s="3" t="str">
        <f ca="1">IF(G1898=1,"-",Tabela2[[#This Row],[Dt Venc:]]-TODAY())</f>
        <v>-</v>
      </c>
      <c r="G1898" s="3">
        <v>1</v>
      </c>
      <c r="H1898" s="3"/>
    </row>
    <row r="1899" spans="1:8" hidden="1">
      <c r="A1899" s="3">
        <v>365682</v>
      </c>
      <c r="B1899" s="7" t="s">
        <v>250</v>
      </c>
      <c r="C1899" s="84" t="s">
        <v>32</v>
      </c>
      <c r="D1899" s="6">
        <v>45611</v>
      </c>
      <c r="E1899" s="3" t="str">
        <f ca="1">IF(Tabela2[[#This Row],[Dt Venc:]]&gt;TODAY(),"Em Aberto",IF(Tabela2[[#This Row],[D/venc]]="-","Enviado",IF(Tabela2[[#This Row],[Dt Venc:]]=TODAY(),"Vence Hoje","Vencida")))</f>
        <v>Enviado</v>
      </c>
      <c r="F1899" s="3" t="str">
        <f ca="1">IF(G1899=1,"-",Tabela2[[#This Row],[Dt Venc:]]-TODAY())</f>
        <v>-</v>
      </c>
      <c r="G1899" s="3">
        <v>1</v>
      </c>
      <c r="H1899" s="3"/>
    </row>
    <row r="1900" spans="1:8" hidden="1">
      <c r="A1900" s="3">
        <v>748099</v>
      </c>
      <c r="B1900" s="7" t="s">
        <v>81</v>
      </c>
      <c r="C1900" s="84" t="s">
        <v>32</v>
      </c>
      <c r="D1900" s="6">
        <v>45611</v>
      </c>
      <c r="E1900" s="3" t="str">
        <f ca="1">IF(Tabela2[[#This Row],[Dt Venc:]]&gt;TODAY(),"Em Aberto",IF(Tabela2[[#This Row],[D/venc]]="-","Enviado",IF(Tabela2[[#This Row],[Dt Venc:]]=TODAY(),"Vence Hoje","Vencida")))</f>
        <v>Enviado</v>
      </c>
      <c r="F1900" s="3" t="str">
        <f ca="1">IF(G1900=1,"-",Tabela2[[#This Row],[Dt Venc:]]-TODAY())</f>
        <v>-</v>
      </c>
      <c r="G1900" s="3">
        <v>1</v>
      </c>
      <c r="H1900" s="3"/>
    </row>
    <row r="1901" spans="1:8" hidden="1">
      <c r="A1901" s="3">
        <v>28388</v>
      </c>
      <c r="B1901" s="7" t="s">
        <v>97</v>
      </c>
      <c r="C1901" s="42">
        <v>1950</v>
      </c>
      <c r="D1901" s="6">
        <v>45611</v>
      </c>
      <c r="E1901" s="3" t="str">
        <f ca="1">IF(Tabela2[[#This Row],[Dt Venc:]]&gt;TODAY(),"Em Aberto",IF(Tabela2[[#This Row],[D/venc]]="-","Enviado",IF(Tabela2[[#This Row],[Dt Venc:]]=TODAY(),"Vence Hoje","Vencida")))</f>
        <v>Enviado</v>
      </c>
      <c r="F1901" s="3" t="str">
        <f ca="1">IF(G1901=1,"-",Tabela2[[#This Row],[Dt Venc:]]-TODAY())</f>
        <v>-</v>
      </c>
      <c r="G1901" s="3">
        <v>1</v>
      </c>
      <c r="H1901" s="3"/>
    </row>
    <row r="1902" spans="1:8" hidden="1">
      <c r="A1902" s="3">
        <v>562</v>
      </c>
      <c r="B1902" s="7" t="s">
        <v>251</v>
      </c>
      <c r="C1902" s="83" t="s">
        <v>32</v>
      </c>
      <c r="D1902" s="6">
        <v>45611</v>
      </c>
      <c r="E1902" s="3" t="str">
        <f ca="1">IF(Tabela2[[#This Row],[Dt Venc:]]&gt;TODAY(),"Em Aberto",IF(Tabela2[[#This Row],[D/venc]]="-","Enviado",IF(Tabela2[[#This Row],[Dt Venc:]]=TODAY(),"Vence Hoje","Vencida")))</f>
        <v>Enviado</v>
      </c>
      <c r="F1902" s="3" t="str">
        <f ca="1">IF(G1902=1,"-",Tabela2[[#This Row],[Dt Venc:]]-TODAY())</f>
        <v>-</v>
      </c>
      <c r="G1902" s="3">
        <v>1</v>
      </c>
      <c r="H1902" s="3"/>
    </row>
    <row r="1903" spans="1:8" hidden="1">
      <c r="A1903" s="3">
        <v>103015</v>
      </c>
      <c r="B1903" s="7" t="s">
        <v>252</v>
      </c>
      <c r="C1903" s="83" t="s">
        <v>32</v>
      </c>
      <c r="D1903" s="6">
        <v>45611</v>
      </c>
      <c r="E1903" s="3" t="str">
        <f ca="1">IF(Tabela2[[#This Row],[Dt Venc:]]&gt;TODAY(),"Em Aberto",IF(Tabela2[[#This Row],[D/venc]]="-","Enviado",IF(Tabela2[[#This Row],[Dt Venc:]]=TODAY(),"Vence Hoje","Vencida")))</f>
        <v>Enviado</v>
      </c>
      <c r="F1903" s="3" t="str">
        <f ca="1">IF(G1903=1,"-",Tabela2[[#This Row],[Dt Venc:]]-TODAY())</f>
        <v>-</v>
      </c>
      <c r="G1903" s="3">
        <v>1</v>
      </c>
      <c r="H1903" s="3"/>
    </row>
    <row r="1904" spans="1:8" hidden="1">
      <c r="A1904" s="3">
        <v>103077</v>
      </c>
      <c r="B1904" s="7" t="s">
        <v>252</v>
      </c>
      <c r="C1904" s="83" t="s">
        <v>32</v>
      </c>
      <c r="D1904" s="6">
        <v>45611</v>
      </c>
      <c r="E1904" s="3" t="str">
        <f ca="1">IF(Tabela2[[#This Row],[Dt Venc:]]&gt;TODAY(),"Em Aberto",IF(Tabela2[[#This Row],[D/venc]]="-","Enviado",IF(Tabela2[[#This Row],[Dt Venc:]]=TODAY(),"Vence Hoje","Vencida")))</f>
        <v>Enviado</v>
      </c>
      <c r="F1904" s="3" t="str">
        <f ca="1">IF(G1904=1,"-",Tabela2[[#This Row],[Dt Venc:]]-TODAY())</f>
        <v>-</v>
      </c>
      <c r="G1904" s="3">
        <v>1</v>
      </c>
      <c r="H1904" s="3"/>
    </row>
    <row r="1905" spans="1:8" hidden="1">
      <c r="A1905" s="3">
        <v>103153</v>
      </c>
      <c r="B1905" s="7" t="s">
        <v>252</v>
      </c>
      <c r="C1905" s="87" t="s">
        <v>32</v>
      </c>
      <c r="D1905" s="6">
        <v>45611</v>
      </c>
      <c r="E1905" s="3" t="str">
        <f ca="1">IF(Tabela2[[#This Row],[Dt Venc:]]&gt;TODAY(),"Em Aberto",IF(Tabela2[[#This Row],[D/venc]]="-","Enviado",IF(Tabela2[[#This Row],[Dt Venc:]]=TODAY(),"Vence Hoje","Vencida")))</f>
        <v>Enviado</v>
      </c>
      <c r="F1905" s="3" t="str">
        <f ca="1">IF(G1905=1,"-",Tabela2[[#This Row],[Dt Venc:]]-TODAY())</f>
        <v>-</v>
      </c>
      <c r="G1905" s="3">
        <v>1</v>
      </c>
      <c r="H1905" s="3"/>
    </row>
    <row r="1906" spans="1:8" hidden="1">
      <c r="A1906" s="3">
        <v>103154</v>
      </c>
      <c r="B1906" s="7" t="s">
        <v>252</v>
      </c>
      <c r="C1906" s="83" t="s">
        <v>32</v>
      </c>
      <c r="D1906" s="6">
        <v>45611</v>
      </c>
      <c r="E1906" s="3" t="str">
        <f ca="1">IF(Tabela2[[#This Row],[Dt Venc:]]&gt;TODAY(),"Em Aberto",IF(Tabela2[[#This Row],[D/venc]]="-","Enviado",IF(Tabela2[[#This Row],[Dt Venc:]]=TODAY(),"Vence Hoje","Vencida")))</f>
        <v>Enviado</v>
      </c>
      <c r="F1906" s="3" t="str">
        <f ca="1">IF(G1906=1,"-",Tabela2[[#This Row],[Dt Venc:]]-TODAY())</f>
        <v>-</v>
      </c>
      <c r="G1906" s="3">
        <v>1</v>
      </c>
      <c r="H1906" s="3"/>
    </row>
    <row r="1907" spans="1:8" hidden="1">
      <c r="A1907" s="3">
        <v>106007</v>
      </c>
      <c r="B1907" s="7" t="s">
        <v>252</v>
      </c>
      <c r="C1907" s="83" t="s">
        <v>32</v>
      </c>
      <c r="D1907" s="6">
        <v>45611</v>
      </c>
      <c r="E1907" s="3" t="str">
        <f ca="1">IF(Tabela2[[#This Row],[Dt Venc:]]&gt;TODAY(),"Em Aberto",IF(Tabela2[[#This Row],[D/venc]]="-","Enviado",IF(Tabela2[[#This Row],[Dt Venc:]]=TODAY(),"Vence Hoje","Vencida")))</f>
        <v>Enviado</v>
      </c>
      <c r="F1907" s="3" t="str">
        <f ca="1">IF(G1907=1,"-",Tabela2[[#This Row],[Dt Venc:]]-TODAY())</f>
        <v>-</v>
      </c>
      <c r="G1907" s="3">
        <v>1</v>
      </c>
      <c r="H1907" s="3"/>
    </row>
    <row r="1908" spans="1:8" hidden="1">
      <c r="A1908" s="3">
        <v>106043</v>
      </c>
      <c r="B1908" s="7" t="s">
        <v>252</v>
      </c>
      <c r="C1908" s="84" t="s">
        <v>32</v>
      </c>
      <c r="D1908" s="6">
        <v>45611</v>
      </c>
      <c r="E1908" s="3" t="str">
        <f ca="1">IF(Tabela2[[#This Row],[Dt Venc:]]&gt;TODAY(),"Em Aberto",IF(Tabela2[[#This Row],[D/venc]]="-","Enviado",IF(Tabela2[[#This Row],[Dt Venc:]]=TODAY(),"Vence Hoje","Vencida")))</f>
        <v>Enviado</v>
      </c>
      <c r="F1908" s="3" t="str">
        <f ca="1">IF(G1908=1,"-",Tabela2[[#This Row],[Dt Venc:]]-TODAY())</f>
        <v>-</v>
      </c>
      <c r="G1908" s="3">
        <v>1</v>
      </c>
      <c r="H1908" s="3"/>
    </row>
    <row r="1909" spans="1:8" hidden="1">
      <c r="A1909" s="3">
        <v>107829</v>
      </c>
      <c r="B1909" s="7" t="s">
        <v>252</v>
      </c>
      <c r="C1909" s="84" t="s">
        <v>32</v>
      </c>
      <c r="D1909" s="6">
        <v>45611</v>
      </c>
      <c r="E1909" s="3" t="str">
        <f ca="1">IF(Tabela2[[#This Row],[Dt Venc:]]&gt;TODAY(),"Em Aberto",IF(Tabela2[[#This Row],[D/venc]]="-","Enviado",IF(Tabela2[[#This Row],[Dt Venc:]]=TODAY(),"Vence Hoje","Vencida")))</f>
        <v>Enviado</v>
      </c>
      <c r="F1909" s="3" t="str">
        <f ca="1">IF(G1909=1,"-",Tabela2[[#This Row],[Dt Venc:]]-TODAY())</f>
        <v>-</v>
      </c>
      <c r="G1909" s="3">
        <v>1</v>
      </c>
      <c r="H1909" s="3"/>
    </row>
    <row r="1910" spans="1:8" hidden="1">
      <c r="A1910" s="3">
        <v>107830</v>
      </c>
      <c r="B1910" s="7" t="s">
        <v>252</v>
      </c>
      <c r="C1910" s="85" t="s">
        <v>32</v>
      </c>
      <c r="D1910" s="6">
        <v>45611</v>
      </c>
      <c r="E1910" s="3" t="str">
        <f ca="1">IF(Tabela2[[#This Row],[Dt Venc:]]&gt;TODAY(),"Em Aberto",IF(Tabela2[[#This Row],[D/venc]]="-","Enviado",IF(Tabela2[[#This Row],[Dt Venc:]]=TODAY(),"Vence Hoje","Vencida")))</f>
        <v>Enviado</v>
      </c>
      <c r="F1910" s="3" t="str">
        <f ca="1">IF(G1910=1,"-",Tabela2[[#This Row],[Dt Venc:]]-TODAY())</f>
        <v>-</v>
      </c>
      <c r="G1910" s="3">
        <v>1</v>
      </c>
      <c r="H1910" s="3"/>
    </row>
    <row r="1911" spans="1:8" hidden="1">
      <c r="A1911" s="3">
        <v>107831</v>
      </c>
      <c r="B1911" s="7" t="s">
        <v>252</v>
      </c>
      <c r="C1911" s="84" t="s">
        <v>32</v>
      </c>
      <c r="D1911" s="6">
        <v>45611</v>
      </c>
      <c r="E1911" s="3" t="str">
        <f ca="1">IF(Tabela2[[#This Row],[Dt Venc:]]&gt;TODAY(),"Em Aberto",IF(Tabela2[[#This Row],[D/venc]]="-","Enviado",IF(Tabela2[[#This Row],[Dt Venc:]]=TODAY(),"Vence Hoje","Vencida")))</f>
        <v>Enviado</v>
      </c>
      <c r="F1911" s="3" t="str">
        <f ca="1">IF(G1911=1,"-",Tabela2[[#This Row],[Dt Venc:]]-TODAY())</f>
        <v>-</v>
      </c>
      <c r="G1911" s="3">
        <v>1</v>
      </c>
      <c r="H1911" s="3"/>
    </row>
    <row r="1912" spans="1:8" hidden="1">
      <c r="A1912" s="3">
        <v>107832</v>
      </c>
      <c r="B1912" s="7" t="s">
        <v>252</v>
      </c>
      <c r="C1912" s="83" t="s">
        <v>32</v>
      </c>
      <c r="D1912" s="6">
        <v>45611</v>
      </c>
      <c r="E1912" s="3" t="str">
        <f ca="1">IF(Tabela2[[#This Row],[Dt Venc:]]&gt;TODAY(),"Em Aberto",IF(Tabela2[[#This Row],[D/venc]]="-","Enviado",IF(Tabela2[[#This Row],[Dt Venc:]]=TODAY(),"Vence Hoje","Vencida")))</f>
        <v>Enviado</v>
      </c>
      <c r="F1912" s="3" t="str">
        <f ca="1">IF(G1912=1,"-",Tabela2[[#This Row],[Dt Venc:]]-TODAY())</f>
        <v>-</v>
      </c>
      <c r="G1912" s="3">
        <v>1</v>
      </c>
      <c r="H1912" s="3"/>
    </row>
    <row r="1913" spans="1:8" hidden="1">
      <c r="A1913" s="3">
        <v>892178</v>
      </c>
      <c r="B1913" s="7" t="s">
        <v>253</v>
      </c>
      <c r="C1913" s="84" t="s">
        <v>32</v>
      </c>
      <c r="D1913" s="6">
        <v>45611</v>
      </c>
      <c r="E1913" s="3" t="str">
        <f ca="1">IF(Tabela2[[#This Row],[Dt Venc:]]&gt;TODAY(),"Em Aberto",IF(Tabela2[[#This Row],[D/venc]]="-","Enviado",IF(Tabela2[[#This Row],[Dt Venc:]]=TODAY(),"Vence Hoje","Vencida")))</f>
        <v>Enviado</v>
      </c>
      <c r="F1913" s="3" t="str">
        <f ca="1">IF(G1913=1,"-",Tabela2[[#This Row],[Dt Venc:]]-TODAY())</f>
        <v>-</v>
      </c>
      <c r="G1913" s="3">
        <v>1</v>
      </c>
      <c r="H1913" s="3"/>
    </row>
    <row r="1914" spans="1:8" hidden="1">
      <c r="A1914" s="3">
        <v>894135</v>
      </c>
      <c r="B1914" s="7" t="s">
        <v>253</v>
      </c>
      <c r="C1914" s="84" t="s">
        <v>32</v>
      </c>
      <c r="D1914" s="6">
        <v>45611</v>
      </c>
      <c r="E1914" s="3" t="str">
        <f ca="1">IF(Tabela2[[#This Row],[Dt Venc:]]&gt;TODAY(),"Em Aberto",IF(Tabela2[[#This Row],[D/venc]]="-","Enviado",IF(Tabela2[[#This Row],[Dt Venc:]]=TODAY(),"Vence Hoje","Vencida")))</f>
        <v>Enviado</v>
      </c>
      <c r="F1914" s="3" t="str">
        <f ca="1">IF(G1914=1,"-",Tabela2[[#This Row],[Dt Venc:]]-TODAY())</f>
        <v>-</v>
      </c>
      <c r="G1914" s="3">
        <v>1</v>
      </c>
      <c r="H1914" s="3"/>
    </row>
    <row r="1915" spans="1:8" hidden="1">
      <c r="A1915" s="3">
        <v>896565</v>
      </c>
      <c r="B1915" s="7" t="s">
        <v>253</v>
      </c>
      <c r="C1915" s="84" t="s">
        <v>32</v>
      </c>
      <c r="D1915" s="6">
        <v>45611</v>
      </c>
      <c r="E1915" s="3" t="str">
        <f ca="1">IF(Tabela2[[#This Row],[Dt Venc:]]&gt;TODAY(),"Em Aberto",IF(Tabela2[[#This Row],[D/venc]]="-","Enviado",IF(Tabela2[[#This Row],[Dt Venc:]]=TODAY(),"Vence Hoje","Vencida")))</f>
        <v>Enviado</v>
      </c>
      <c r="F1915" s="3" t="str">
        <f ca="1">IF(G1915=1,"-",Tabela2[[#This Row],[Dt Venc:]]-TODAY())</f>
        <v>-</v>
      </c>
      <c r="G1915" s="3">
        <v>1</v>
      </c>
      <c r="H1915" s="3"/>
    </row>
    <row r="1916" spans="1:8" hidden="1">
      <c r="A1916" s="3">
        <v>900386</v>
      </c>
      <c r="B1916" s="7" t="s">
        <v>253</v>
      </c>
      <c r="C1916" s="84" t="s">
        <v>32</v>
      </c>
      <c r="D1916" s="6">
        <v>45611</v>
      </c>
      <c r="E1916" s="3" t="str">
        <f ca="1">IF(Tabela2[[#This Row],[Dt Venc:]]&gt;TODAY(),"Em Aberto",IF(Tabela2[[#This Row],[D/venc]]="-","Enviado",IF(Tabela2[[#This Row],[Dt Venc:]]=TODAY(),"Vence Hoje","Vencida")))</f>
        <v>Enviado</v>
      </c>
      <c r="F1916" s="3" t="str">
        <f ca="1">IF(G1916=1,"-",Tabela2[[#This Row],[Dt Venc:]]-TODAY())</f>
        <v>-</v>
      </c>
      <c r="G1916" s="3">
        <v>1</v>
      </c>
      <c r="H1916" s="3"/>
    </row>
    <row r="1917" spans="1:8" hidden="1">
      <c r="A1917" s="3">
        <v>901787</v>
      </c>
      <c r="B1917" s="7" t="s">
        <v>253</v>
      </c>
      <c r="C1917" s="84" t="s">
        <v>32</v>
      </c>
      <c r="D1917" s="6">
        <v>45611</v>
      </c>
      <c r="E1917" s="3" t="str">
        <f ca="1">IF(Tabela2[[#This Row],[Dt Venc:]]&gt;TODAY(),"Em Aberto",IF(Tabela2[[#This Row],[D/venc]]="-","Enviado",IF(Tabela2[[#This Row],[Dt Venc:]]=TODAY(),"Vence Hoje","Vencida")))</f>
        <v>Enviado</v>
      </c>
      <c r="F1917" s="3" t="str">
        <f ca="1">IF(G1917=1,"-",Tabela2[[#This Row],[Dt Venc:]]-TODAY())</f>
        <v>-</v>
      </c>
      <c r="G1917" s="3">
        <v>1</v>
      </c>
      <c r="H1917" s="3"/>
    </row>
    <row r="1918" spans="1:8" hidden="1">
      <c r="A1918" s="3">
        <v>901788</v>
      </c>
      <c r="B1918" s="7" t="s">
        <v>253</v>
      </c>
      <c r="C1918" s="84" t="s">
        <v>32</v>
      </c>
      <c r="D1918" s="6">
        <v>45611</v>
      </c>
      <c r="E1918" s="3" t="str">
        <f ca="1">IF(Tabela2[[#This Row],[Dt Venc:]]&gt;TODAY(),"Em Aberto",IF(Tabela2[[#This Row],[D/venc]]="-","Enviado",IF(Tabela2[[#This Row],[Dt Venc:]]=TODAY(),"Vence Hoje","Vencida")))</f>
        <v>Enviado</v>
      </c>
      <c r="F1918" s="3" t="str">
        <f ca="1">IF(G1918=1,"-",Tabela2[[#This Row],[Dt Venc:]]-TODAY())</f>
        <v>-</v>
      </c>
      <c r="G1918" s="3">
        <v>1</v>
      </c>
      <c r="H1918" s="3"/>
    </row>
    <row r="1919" spans="1:8" hidden="1">
      <c r="A1919" s="3">
        <v>901789</v>
      </c>
      <c r="B1919" s="7" t="s">
        <v>253</v>
      </c>
      <c r="C1919" s="84" t="s">
        <v>32</v>
      </c>
      <c r="D1919" s="6">
        <v>45611</v>
      </c>
      <c r="E1919" s="3" t="str">
        <f ca="1">IF(Tabela2[[#This Row],[Dt Venc:]]&gt;TODAY(),"Em Aberto",IF(Tabela2[[#This Row],[D/venc]]="-","Enviado",IF(Tabela2[[#This Row],[Dt Venc:]]=TODAY(),"Vence Hoje","Vencida")))</f>
        <v>Enviado</v>
      </c>
      <c r="F1919" s="3" t="str">
        <f ca="1">IF(G1919=1,"-",Tabela2[[#This Row],[Dt Venc:]]-TODAY())</f>
        <v>-</v>
      </c>
      <c r="G1919" s="3">
        <v>1</v>
      </c>
      <c r="H1919" s="3"/>
    </row>
    <row r="1920" spans="1:8" hidden="1">
      <c r="A1920" s="3">
        <v>912703</v>
      </c>
      <c r="B1920" s="7" t="s">
        <v>253</v>
      </c>
      <c r="C1920" s="84" t="s">
        <v>32</v>
      </c>
      <c r="D1920" s="6">
        <v>45611</v>
      </c>
      <c r="E1920" s="3" t="str">
        <f ca="1">IF(Tabela2[[#This Row],[Dt Venc:]]&gt;TODAY(),"Em Aberto",IF(Tabela2[[#This Row],[D/venc]]="-","Enviado",IF(Tabela2[[#This Row],[Dt Venc:]]=TODAY(),"Vence Hoje","Vencida")))</f>
        <v>Enviado</v>
      </c>
      <c r="F1920" s="3" t="str">
        <f ca="1">IF(G1920=1,"-",Tabela2[[#This Row],[Dt Venc:]]-TODAY())</f>
        <v>-</v>
      </c>
      <c r="G1920" s="3">
        <v>1</v>
      </c>
      <c r="H1920" s="3"/>
    </row>
    <row r="1921" spans="1:8" hidden="1">
      <c r="A1921" s="3">
        <v>912704</v>
      </c>
      <c r="B1921" s="7" t="s">
        <v>253</v>
      </c>
      <c r="C1921" s="84" t="s">
        <v>32</v>
      </c>
      <c r="D1921" s="6">
        <v>45611</v>
      </c>
      <c r="E1921" s="3" t="str">
        <f ca="1">IF(Tabela2[[#This Row],[Dt Venc:]]&gt;TODAY(),"Em Aberto",IF(Tabela2[[#This Row],[D/venc]]="-","Enviado",IF(Tabela2[[#This Row],[Dt Venc:]]=TODAY(),"Vence Hoje","Vencida")))</f>
        <v>Enviado</v>
      </c>
      <c r="F1921" s="3" t="str">
        <f ca="1">IF(G1921=1,"-",Tabela2[[#This Row],[Dt Venc:]]-TODAY())</f>
        <v>-</v>
      </c>
      <c r="G1921" s="3">
        <v>1</v>
      </c>
      <c r="H1921" s="3"/>
    </row>
    <row r="1922" spans="1:8" hidden="1">
      <c r="A1922" s="3">
        <v>880609</v>
      </c>
      <c r="B1922" s="7" t="s">
        <v>254</v>
      </c>
      <c r="C1922" s="42">
        <v>450</v>
      </c>
      <c r="D1922" s="6">
        <v>45611</v>
      </c>
      <c r="E1922" s="3" t="str">
        <f ca="1">IF(Tabela2[[#This Row],[Dt Venc:]]&gt;TODAY(),"Em Aberto",IF(Tabela2[[#This Row],[D/venc]]="-","Enviado",IF(Tabela2[[#This Row],[Dt Venc:]]=TODAY(),"Vence Hoje","Vencida")))</f>
        <v>Enviado</v>
      </c>
      <c r="F1922" s="3" t="str">
        <f ca="1">IF(G1922=1,"-",Tabela2[[#This Row],[Dt Venc:]]-TODAY())</f>
        <v>-</v>
      </c>
      <c r="G1922" s="3">
        <v>1</v>
      </c>
      <c r="H1922" s="3"/>
    </row>
    <row r="1923" spans="1:8" hidden="1">
      <c r="A1923" s="3" t="s">
        <v>412</v>
      </c>
      <c r="B1923" s="7" t="s">
        <v>265</v>
      </c>
      <c r="C1923" s="84" t="s">
        <v>32</v>
      </c>
      <c r="D1923" s="6">
        <v>45611</v>
      </c>
      <c r="E1923" s="3" t="str">
        <f ca="1">IF(Tabela2[[#This Row],[Dt Venc:]]&gt;TODAY(),"Em Aberto",IF(Tabela2[[#This Row],[D/venc]]="-","Enviado",IF(Tabela2[[#This Row],[Dt Venc:]]=TODAY(),"Vence Hoje","Vencida")))</f>
        <v>Enviado</v>
      </c>
      <c r="F1923" s="3" t="str">
        <f ca="1">IF(G1923=1,"-",Tabela2[[#This Row],[Dt Venc:]]-TODAY())</f>
        <v>-</v>
      </c>
      <c r="G1923" s="3">
        <v>1</v>
      </c>
      <c r="H1923" s="3"/>
    </row>
    <row r="1924" spans="1:8" hidden="1">
      <c r="A1924" s="3" t="s">
        <v>110</v>
      </c>
      <c r="B1924" s="7" t="s">
        <v>256</v>
      </c>
      <c r="C1924" s="42" t="s">
        <v>32</v>
      </c>
      <c r="D1924" s="6">
        <v>45611</v>
      </c>
      <c r="E1924" s="3" t="str">
        <f ca="1">IF(Tabela2[[#This Row],[Dt Venc:]]&gt;TODAY(),"Em Aberto",IF(Tabela2[[#This Row],[D/venc]]="-","Enviado",IF(Tabela2[[#This Row],[Dt Venc:]]=TODAY(),"Vence Hoje","Vencida")))</f>
        <v>Enviado</v>
      </c>
      <c r="F1924" s="3" t="str">
        <f ca="1">IF(G1924=1,"-",Tabela2[[#This Row],[Dt Venc:]]-TODAY())</f>
        <v>-</v>
      </c>
      <c r="G1924" s="3">
        <v>1</v>
      </c>
      <c r="H1924" s="3"/>
    </row>
    <row r="1925" spans="1:8" hidden="1">
      <c r="A1925" s="3">
        <v>10073</v>
      </c>
      <c r="B1925" s="7" t="s">
        <v>72</v>
      </c>
      <c r="C1925" s="42">
        <v>697.34</v>
      </c>
      <c r="D1925" s="6">
        <v>45611</v>
      </c>
      <c r="E1925" s="3" t="str">
        <f ca="1">IF(Tabela2[[#This Row],[Dt Venc:]]&gt;TODAY(),"Em Aberto",IF(Tabela2[[#This Row],[D/venc]]="-","Enviado",IF(Tabela2[[#This Row],[Dt Venc:]]=TODAY(),"Vence Hoje","Vencida")))</f>
        <v>Enviado</v>
      </c>
      <c r="F1925" s="3" t="str">
        <f ca="1">IF(G1925=1,"-",Tabela2[[#This Row],[Dt Venc:]]-TODAY())</f>
        <v>-</v>
      </c>
      <c r="G1925" s="3">
        <v>1</v>
      </c>
      <c r="H1925" s="3"/>
    </row>
    <row r="1926" spans="1:8" hidden="1">
      <c r="A1926" s="3" t="s">
        <v>110</v>
      </c>
      <c r="B1926" s="7" t="s">
        <v>259</v>
      </c>
      <c r="C1926" s="42" t="s">
        <v>32</v>
      </c>
      <c r="D1926" s="6">
        <v>45611</v>
      </c>
      <c r="E1926" s="3" t="str">
        <f ca="1">IF(Tabela2[[#This Row],[Dt Venc:]]&gt;TODAY(),"Em Aberto",IF(Tabela2[[#This Row],[D/venc]]="-","Enviado",IF(Tabela2[[#This Row],[Dt Venc:]]=TODAY(),"Vence Hoje","Vencida")))</f>
        <v>Enviado</v>
      </c>
      <c r="F1926" s="3" t="str">
        <f ca="1">IF(G1926=1,"-",Tabela2[[#This Row],[Dt Venc:]]-TODAY())</f>
        <v>-</v>
      </c>
      <c r="G1926" s="3">
        <v>1</v>
      </c>
      <c r="H1926" s="3"/>
    </row>
    <row r="1927" spans="1:8" hidden="1">
      <c r="A1927" s="3">
        <v>214629</v>
      </c>
      <c r="B1927" s="7" t="s">
        <v>43</v>
      </c>
      <c r="C1927" s="42">
        <v>1113.6500000000001</v>
      </c>
      <c r="D1927" s="6">
        <v>45611</v>
      </c>
      <c r="E1927" s="3" t="str">
        <f ca="1">IF(Tabela2[[#This Row],[Dt Venc:]]&gt;TODAY(),"Em Aberto",IF(Tabela2[[#This Row],[D/venc]]="-","Enviado",IF(Tabela2[[#This Row],[Dt Venc:]]=TODAY(),"Vence Hoje","Vencida")))</f>
        <v>Enviado</v>
      </c>
      <c r="F1927" s="3" t="str">
        <f ca="1">IF(G1927=1,"-",Tabela2[[#This Row],[Dt Venc:]]-TODAY())</f>
        <v>-</v>
      </c>
      <c r="G1927" s="3">
        <v>1</v>
      </c>
      <c r="H1927" s="3"/>
    </row>
    <row r="1928" spans="1:8" hidden="1">
      <c r="A1928" s="3">
        <v>385764</v>
      </c>
      <c r="B1928" s="7" t="s">
        <v>299</v>
      </c>
      <c r="C1928" s="42">
        <v>425.05</v>
      </c>
      <c r="D1928" s="6">
        <v>45611</v>
      </c>
      <c r="E1928" s="3" t="str">
        <f ca="1">IF(Tabela2[[#This Row],[Dt Venc:]]&gt;TODAY(),"Em Aberto",IF(Tabela2[[#This Row],[D/venc]]="-","Enviado",IF(Tabela2[[#This Row],[Dt Venc:]]=TODAY(),"Vence Hoje","Vencida")))</f>
        <v>Enviado</v>
      </c>
      <c r="F1928" s="3" t="str">
        <f ca="1">IF(G1928=1,"-",Tabela2[[#This Row],[Dt Venc:]]-TODAY())</f>
        <v>-</v>
      </c>
      <c r="G1928" s="3">
        <v>1</v>
      </c>
      <c r="H1928" s="3"/>
    </row>
    <row r="1929" spans="1:8" hidden="1">
      <c r="A1929" s="3">
        <v>228335</v>
      </c>
      <c r="B1929" s="7" t="s">
        <v>300</v>
      </c>
      <c r="C1929" s="42">
        <v>970.5</v>
      </c>
      <c r="D1929" s="6">
        <v>45611</v>
      </c>
      <c r="E1929" s="3" t="str">
        <f ca="1">IF(Tabela2[[#This Row],[Dt Venc:]]&gt;TODAY(),"Em Aberto",IF(Tabela2[[#This Row],[D/venc]]="-","Enviado",IF(Tabela2[[#This Row],[Dt Venc:]]=TODAY(),"Vence Hoje","Vencida")))</f>
        <v>Enviado</v>
      </c>
      <c r="F1929" s="3" t="str">
        <f ca="1">IF(G1929=1,"-",Tabela2[[#This Row],[Dt Venc:]]-TODAY())</f>
        <v>-</v>
      </c>
      <c r="G1929" s="3">
        <v>1</v>
      </c>
      <c r="H1929" s="3"/>
    </row>
    <row r="1930" spans="1:8" hidden="1">
      <c r="A1930" s="3">
        <v>14182</v>
      </c>
      <c r="B1930" s="7" t="s">
        <v>432</v>
      </c>
      <c r="C1930" s="42">
        <v>637</v>
      </c>
      <c r="D1930" s="6">
        <v>45611</v>
      </c>
      <c r="E1930" s="3" t="str">
        <f ca="1">IF(Tabela2[[#This Row],[Dt Venc:]]&gt;TODAY(),"Em Aberto",IF(Tabela2[[#This Row],[D/venc]]="-","Enviado",IF(Tabela2[[#This Row],[Dt Venc:]]=TODAY(),"Vence Hoje","Vencida")))</f>
        <v>Enviado</v>
      </c>
      <c r="F1930" s="3" t="str">
        <f ca="1">IF(G1930=1,"-",Tabela2[[#This Row],[Dt Venc:]]-TODAY())</f>
        <v>-</v>
      </c>
      <c r="G1930" s="3">
        <v>1</v>
      </c>
      <c r="H1930" s="3"/>
    </row>
    <row r="1931" spans="1:8" hidden="1">
      <c r="A1931" s="3">
        <v>23331</v>
      </c>
      <c r="B1931" s="7" t="s">
        <v>38</v>
      </c>
      <c r="C1931" s="41">
        <v>560</v>
      </c>
      <c r="D1931" s="6">
        <v>45611</v>
      </c>
      <c r="E1931" s="3" t="str">
        <f ca="1">IF(Tabela2[[#This Row],[Dt Venc:]]&gt;TODAY(),"Em Aberto",IF(Tabela2[[#This Row],[D/venc]]="-","Enviado",IF(Tabela2[[#This Row],[Dt Venc:]]=TODAY(),"Vence Hoje","Vencida")))</f>
        <v>Enviado</v>
      </c>
      <c r="F1931" s="3" t="str">
        <f ca="1">IF(G1931=1,"-",Tabela2[[#This Row],[Dt Venc:]]-TODAY())</f>
        <v>-</v>
      </c>
      <c r="G1931" s="3">
        <v>1</v>
      </c>
      <c r="H1931" s="3"/>
    </row>
    <row r="1932" spans="1:8" hidden="1">
      <c r="A1932" s="3">
        <v>23326</v>
      </c>
      <c r="B1932" s="7" t="s">
        <v>38</v>
      </c>
      <c r="C1932" s="41">
        <v>640</v>
      </c>
      <c r="D1932" s="6">
        <v>45611</v>
      </c>
      <c r="E1932" s="3" t="str">
        <f ca="1">IF(Tabela2[[#This Row],[Dt Venc:]]&gt;TODAY(),"Em Aberto",IF(Tabela2[[#This Row],[D/venc]]="-","Enviado",IF(Tabela2[[#This Row],[Dt Venc:]]=TODAY(),"Vence Hoje","Vencida")))</f>
        <v>Enviado</v>
      </c>
      <c r="F1932" s="3" t="str">
        <f ca="1">IF(G1932=1,"-",Tabela2[[#This Row],[Dt Venc:]]-TODAY())</f>
        <v>-</v>
      </c>
      <c r="G1932" s="3">
        <v>1</v>
      </c>
      <c r="H1932" s="3"/>
    </row>
    <row r="1933" spans="1:8" hidden="1">
      <c r="A1933" s="3">
        <v>36124</v>
      </c>
      <c r="B1933" s="7" t="s">
        <v>281</v>
      </c>
      <c r="C1933" s="41">
        <v>257</v>
      </c>
      <c r="D1933" s="6">
        <v>45611</v>
      </c>
      <c r="E1933" s="3" t="str">
        <f ca="1">IF(Tabela2[[#This Row],[Dt Venc:]]&gt;TODAY(),"Em Aberto",IF(Tabela2[[#This Row],[D/venc]]="-","Enviado",IF(Tabela2[[#This Row],[Dt Venc:]]=TODAY(),"Vence Hoje","Vencida")))</f>
        <v>Enviado</v>
      </c>
      <c r="F1933" s="3" t="str">
        <f ca="1">IF(G1933=1,"-",Tabela2[[#This Row],[Dt Venc:]]-TODAY())</f>
        <v>-</v>
      </c>
      <c r="G1933" s="3">
        <v>1</v>
      </c>
      <c r="H1933" s="3"/>
    </row>
    <row r="1934" spans="1:8" hidden="1">
      <c r="A1934" s="3">
        <v>13392</v>
      </c>
      <c r="B1934" s="7" t="s">
        <v>228</v>
      </c>
      <c r="C1934" s="41">
        <v>332</v>
      </c>
      <c r="D1934" s="6">
        <v>45611</v>
      </c>
      <c r="E1934" s="3" t="str">
        <f ca="1">IF(Tabela2[[#This Row],[Dt Venc:]]&gt;TODAY(),"Em Aberto",IF(Tabela2[[#This Row],[D/venc]]="-","Enviado",IF(Tabela2[[#This Row],[Dt Venc:]]=TODAY(),"Vence Hoje","Vencida")))</f>
        <v>Enviado</v>
      </c>
      <c r="F1934" s="3" t="str">
        <f ca="1">IF(G1934=1,"-",Tabela2[[#This Row],[Dt Venc:]]-TODAY())</f>
        <v>-</v>
      </c>
      <c r="G1934" s="3">
        <v>1</v>
      </c>
      <c r="H1934" s="3"/>
    </row>
    <row r="1935" spans="1:8" hidden="1">
      <c r="A1935" s="3">
        <v>1113</v>
      </c>
      <c r="B1935" s="7" t="s">
        <v>433</v>
      </c>
      <c r="C1935" s="41">
        <v>4296.66</v>
      </c>
      <c r="D1935" s="6">
        <v>45611</v>
      </c>
      <c r="E1935" s="3" t="str">
        <f ca="1">IF(Tabela2[[#This Row],[Dt Venc:]]&gt;TODAY(),"Em Aberto",IF(Tabela2[[#This Row],[D/venc]]="-","Enviado",IF(Tabela2[[#This Row],[Dt Venc:]]=TODAY(),"Vence Hoje","Vencida")))</f>
        <v>Enviado</v>
      </c>
      <c r="F1935" s="3" t="str">
        <f ca="1">IF(G1935=1,"-",Tabela2[[#This Row],[Dt Venc:]]-TODAY())</f>
        <v>-</v>
      </c>
      <c r="G1935" s="3">
        <v>1</v>
      </c>
      <c r="H1935" s="3"/>
    </row>
    <row r="1936" spans="1:8" hidden="1">
      <c r="A1936" s="3">
        <v>11028</v>
      </c>
      <c r="B1936" s="7" t="s">
        <v>33</v>
      </c>
      <c r="C1936" s="41">
        <v>1576.8</v>
      </c>
      <c r="D1936" s="6">
        <v>45611</v>
      </c>
      <c r="E1936" s="3" t="str">
        <f ca="1">IF(Tabela2[[#This Row],[Dt Venc:]]&gt;TODAY(),"Em Aberto",IF(Tabela2[[#This Row],[D/venc]]="-","Enviado",IF(Tabela2[[#This Row],[Dt Venc:]]=TODAY(),"Vence Hoje","Vencida")))</f>
        <v>Enviado</v>
      </c>
      <c r="F1936" s="3" t="str">
        <f ca="1">IF(G1936=1,"-",Tabela2[[#This Row],[Dt Venc:]]-TODAY())</f>
        <v>-</v>
      </c>
      <c r="G1936" s="3">
        <v>1</v>
      </c>
      <c r="H1936" s="3"/>
    </row>
    <row r="1937" spans="1:8" hidden="1">
      <c r="A1937" s="3">
        <v>48</v>
      </c>
      <c r="B1937" s="7" t="s">
        <v>132</v>
      </c>
      <c r="C1937" s="41">
        <v>3416.67</v>
      </c>
      <c r="D1937" s="6">
        <v>45611</v>
      </c>
      <c r="E1937" s="3" t="str">
        <f ca="1">IF(Tabela2[[#This Row],[Dt Venc:]]&gt;TODAY(),"Em Aberto",IF(Tabela2[[#This Row],[D/venc]]="-","Enviado",IF(Tabela2[[#This Row],[Dt Venc:]]=TODAY(),"Vence Hoje","Vencida")))</f>
        <v>Enviado</v>
      </c>
      <c r="F1937" s="3" t="str">
        <f ca="1">IF(G1937=1,"-",Tabela2[[#This Row],[Dt Venc:]]-TODAY())</f>
        <v>-</v>
      </c>
      <c r="G1937" s="3">
        <v>1</v>
      </c>
      <c r="H1937" s="3"/>
    </row>
    <row r="1938" spans="1:8" hidden="1">
      <c r="A1938" s="3">
        <v>30317</v>
      </c>
      <c r="B1938" s="7" t="s">
        <v>107</v>
      </c>
      <c r="C1938" s="41">
        <v>1950</v>
      </c>
      <c r="D1938" s="6">
        <v>45611</v>
      </c>
      <c r="E1938" s="3" t="str">
        <f ca="1">IF(Tabela2[[#This Row],[Dt Venc:]]&gt;TODAY(),"Em Aberto",IF(Tabela2[[#This Row],[D/venc]]="-","Enviado",IF(Tabela2[[#This Row],[Dt Venc:]]=TODAY(),"Vence Hoje","Vencida")))</f>
        <v>Enviado</v>
      </c>
      <c r="F1938" s="3" t="str">
        <f ca="1">IF(G1938=1,"-",Tabela2[[#This Row],[Dt Venc:]]-TODAY())</f>
        <v>-</v>
      </c>
      <c r="G1938" s="3">
        <v>1</v>
      </c>
      <c r="H1938" s="3"/>
    </row>
    <row r="1939" spans="1:8" hidden="1">
      <c r="A1939" s="3">
        <v>424619</v>
      </c>
      <c r="B1939" s="7" t="s">
        <v>89</v>
      </c>
      <c r="C1939" s="41">
        <v>170.54</v>
      </c>
      <c r="D1939" s="6">
        <v>45611</v>
      </c>
      <c r="E1939" s="3" t="str">
        <f ca="1">IF(Tabela2[[#This Row],[Dt Venc:]]&gt;TODAY(),"Em Aberto",IF(Tabela2[[#This Row],[D/venc]]="-","Enviado",IF(Tabela2[[#This Row],[Dt Venc:]]=TODAY(),"Vence Hoje","Vencida")))</f>
        <v>Enviado</v>
      </c>
      <c r="F1939" s="3" t="str">
        <f ca="1">IF(G1939=1,"-",Tabela2[[#This Row],[Dt Venc:]]-TODAY())</f>
        <v>-</v>
      </c>
      <c r="G1939" s="3">
        <v>1</v>
      </c>
      <c r="H1939" s="3"/>
    </row>
    <row r="1940" spans="1:8" hidden="1">
      <c r="A1940" s="3">
        <v>132551</v>
      </c>
      <c r="B1940" s="7" t="s">
        <v>89</v>
      </c>
      <c r="C1940" s="41">
        <v>569.47</v>
      </c>
      <c r="D1940" s="6">
        <v>45611</v>
      </c>
      <c r="E1940" s="3" t="str">
        <f ca="1">IF(Tabela2[[#This Row],[Dt Venc:]]&gt;TODAY(),"Em Aberto",IF(Tabela2[[#This Row],[D/venc]]="-","Enviado",IF(Tabela2[[#This Row],[Dt Venc:]]=TODAY(),"Vence Hoje","Vencida")))</f>
        <v>Enviado</v>
      </c>
      <c r="F1940" s="3" t="str">
        <f ca="1">IF(G1940=1,"-",Tabela2[[#This Row],[Dt Venc:]]-TODAY())</f>
        <v>-</v>
      </c>
      <c r="G1940" s="3">
        <v>1</v>
      </c>
      <c r="H1940" s="3"/>
    </row>
    <row r="1941" spans="1:8" hidden="1">
      <c r="A1941" s="3">
        <v>1599</v>
      </c>
      <c r="B1941" s="7" t="s">
        <v>215</v>
      </c>
      <c r="C1941" s="41">
        <v>492.95</v>
      </c>
      <c r="D1941" s="6">
        <v>45611</v>
      </c>
      <c r="E1941" s="3" t="str">
        <f ca="1">IF(Tabela2[[#This Row],[Dt Venc:]]&gt;TODAY(),"Em Aberto",IF(Tabela2[[#This Row],[D/venc]]="-","Enviado",IF(Tabela2[[#This Row],[Dt Venc:]]=TODAY(),"Vence Hoje","Vencida")))</f>
        <v>Enviado</v>
      </c>
      <c r="F1941" s="3" t="str">
        <f ca="1">IF(G1941=1,"-",Tabela2[[#This Row],[Dt Venc:]]-TODAY())</f>
        <v>-</v>
      </c>
      <c r="G1941" s="3">
        <v>1</v>
      </c>
      <c r="H1941" s="3"/>
    </row>
    <row r="1942" spans="1:8" hidden="1">
      <c r="A1942" s="3">
        <v>1596</v>
      </c>
      <c r="B1942" s="7" t="s">
        <v>215</v>
      </c>
      <c r="C1942" s="41">
        <v>288.5</v>
      </c>
      <c r="D1942" s="6">
        <v>45611</v>
      </c>
      <c r="E1942" s="3" t="str">
        <f ca="1">IF(Tabela2[[#This Row],[Dt Venc:]]&gt;TODAY(),"Em Aberto",IF(Tabela2[[#This Row],[D/venc]]="-","Enviado",IF(Tabela2[[#This Row],[Dt Venc:]]=TODAY(),"Vence Hoje","Vencida")))</f>
        <v>Enviado</v>
      </c>
      <c r="F1942" s="3" t="str">
        <f ca="1">IF(G1942=1,"-",Tabela2[[#This Row],[Dt Venc:]]-TODAY())</f>
        <v>-</v>
      </c>
      <c r="G1942" s="3">
        <v>1</v>
      </c>
      <c r="H1942" s="3"/>
    </row>
    <row r="1943" spans="1:8" hidden="1">
      <c r="A1943" s="3">
        <v>2289</v>
      </c>
      <c r="B1943" s="7" t="s">
        <v>45</v>
      </c>
      <c r="C1943" s="41">
        <v>1439</v>
      </c>
      <c r="D1943" s="6">
        <v>45611</v>
      </c>
      <c r="E1943" s="3" t="str">
        <f ca="1">IF(Tabela2[[#This Row],[Dt Venc:]]&gt;TODAY(),"Em Aberto",IF(Tabela2[[#This Row],[D/venc]]="-","Enviado",IF(Tabela2[[#This Row],[Dt Venc:]]=TODAY(),"Vence Hoje","Vencida")))</f>
        <v>Enviado</v>
      </c>
      <c r="F1943" s="3" t="str">
        <f ca="1">IF(G1943=1,"-",Tabela2[[#This Row],[Dt Venc:]]-TODAY())</f>
        <v>-</v>
      </c>
      <c r="G1943" s="3">
        <v>1</v>
      </c>
      <c r="H1943" s="3"/>
    </row>
    <row r="1944" spans="1:8" hidden="1">
      <c r="A1944" s="3">
        <v>153638</v>
      </c>
      <c r="B1944" s="7" t="s">
        <v>240</v>
      </c>
      <c r="C1944" s="41">
        <v>433.33</v>
      </c>
      <c r="D1944" s="6">
        <v>45611</v>
      </c>
      <c r="E1944" s="3" t="str">
        <f ca="1">IF(Tabela2[[#This Row],[Dt Venc:]]&gt;TODAY(),"Em Aberto",IF(Tabela2[[#This Row],[D/venc]]="-","Enviado",IF(Tabela2[[#This Row],[Dt Venc:]]=TODAY(),"Vence Hoje","Vencida")))</f>
        <v>Enviado</v>
      </c>
      <c r="F1944" s="3" t="str">
        <f ca="1">IF(G1944=1,"-",Tabela2[[#This Row],[Dt Venc:]]-TODAY())</f>
        <v>-</v>
      </c>
      <c r="G1944" s="3">
        <v>1</v>
      </c>
      <c r="H1944" s="3"/>
    </row>
    <row r="1945" spans="1:8" hidden="1">
      <c r="A1945" s="3">
        <v>11421</v>
      </c>
      <c r="B1945" s="7" t="s">
        <v>434</v>
      </c>
      <c r="C1945" s="41">
        <v>1033.3399999999999</v>
      </c>
      <c r="D1945" s="6">
        <v>45611</v>
      </c>
      <c r="E1945" s="3" t="str">
        <f ca="1">IF(Tabela2[[#This Row],[Dt Venc:]]&gt;TODAY(),"Em Aberto",IF(Tabela2[[#This Row],[D/venc]]="-","Enviado",IF(Tabela2[[#This Row],[Dt Venc:]]=TODAY(),"Vence Hoje","Vencida")))</f>
        <v>Enviado</v>
      </c>
      <c r="F1945" s="3" t="str">
        <f ca="1">IF(G1945=1,"-",Tabela2[[#This Row],[Dt Venc:]]-TODAY())</f>
        <v>-</v>
      </c>
      <c r="G1945" s="3">
        <v>1</v>
      </c>
      <c r="H1945" s="3"/>
    </row>
    <row r="1946" spans="1:8" hidden="1">
      <c r="A1946" s="3">
        <v>87</v>
      </c>
      <c r="B1946" s="7" t="s">
        <v>95</v>
      </c>
      <c r="C1946" s="41">
        <v>10093</v>
      </c>
      <c r="D1946" s="6">
        <v>45611</v>
      </c>
      <c r="E1946" s="3" t="str">
        <f ca="1">IF(Tabela2[[#This Row],[Dt Venc:]]&gt;TODAY(),"Em Aberto",IF(Tabela2[[#This Row],[D/venc]]="-","Enviado",IF(Tabela2[[#This Row],[Dt Venc:]]=TODAY(),"Vence Hoje","Vencida")))</f>
        <v>Enviado</v>
      </c>
      <c r="F1946" s="3" t="str">
        <f ca="1">IF(G1946=1,"-",Tabela2[[#This Row],[Dt Venc:]]-TODAY())</f>
        <v>-</v>
      </c>
      <c r="G1946" s="3">
        <v>1</v>
      </c>
      <c r="H1946" s="3"/>
    </row>
    <row r="1947" spans="1:8" hidden="1">
      <c r="A1947" s="3">
        <v>388786</v>
      </c>
      <c r="B1947" s="7" t="s">
        <v>43</v>
      </c>
      <c r="C1947" s="41">
        <v>518</v>
      </c>
      <c r="D1947" s="6">
        <v>45611</v>
      </c>
      <c r="E1947" s="3" t="str">
        <f ca="1">IF(Tabela2[[#This Row],[Dt Venc:]]&gt;TODAY(),"Em Aberto",IF(Tabela2[[#This Row],[D/venc]]="-","Enviado",IF(Tabela2[[#This Row],[Dt Venc:]]=TODAY(),"Vence Hoje","Vencida")))</f>
        <v>Enviado</v>
      </c>
      <c r="F1947" s="3" t="str">
        <f ca="1">IF(G1947=1,"-",Tabela2[[#This Row],[Dt Venc:]]-TODAY())</f>
        <v>-</v>
      </c>
      <c r="G1947" s="3">
        <v>1</v>
      </c>
      <c r="H1947" s="3"/>
    </row>
    <row r="1948" spans="1:8" hidden="1">
      <c r="A1948" s="3">
        <v>1924</v>
      </c>
      <c r="B1948" s="7" t="s">
        <v>43</v>
      </c>
      <c r="C1948" s="41">
        <v>100</v>
      </c>
      <c r="D1948" s="6">
        <v>45611</v>
      </c>
      <c r="E1948" s="3" t="str">
        <f ca="1">IF(Tabela2[[#This Row],[Dt Venc:]]&gt;TODAY(),"Em Aberto",IF(Tabela2[[#This Row],[D/venc]]="-","Enviado",IF(Tabela2[[#This Row],[Dt Venc:]]=TODAY(),"Vence Hoje","Vencida")))</f>
        <v>Enviado</v>
      </c>
      <c r="F1948" s="3" t="str">
        <f ca="1">IF(G1948=1,"-",Tabela2[[#This Row],[Dt Venc:]]-TODAY())</f>
        <v>-</v>
      </c>
      <c r="G1948" s="3">
        <v>1</v>
      </c>
      <c r="H1948" s="3"/>
    </row>
    <row r="1949" spans="1:8" hidden="1">
      <c r="A1949" s="3">
        <v>58304</v>
      </c>
      <c r="B1949" s="7" t="s">
        <v>435</v>
      </c>
      <c r="C1949" s="41">
        <v>165</v>
      </c>
      <c r="D1949" s="6">
        <v>45611</v>
      </c>
      <c r="E1949" s="3" t="str">
        <f ca="1">IF(Tabela2[[#This Row],[Dt Venc:]]&gt;TODAY(),"Em Aberto",IF(Tabela2[[#This Row],[D/venc]]="-","Enviado",IF(Tabela2[[#This Row],[Dt Venc:]]=TODAY(),"Vence Hoje","Vencida")))</f>
        <v>Enviado</v>
      </c>
      <c r="F1949" s="3" t="str">
        <f ca="1">IF(G1949=1,"-",Tabela2[[#This Row],[Dt Venc:]]-TODAY())</f>
        <v>-</v>
      </c>
      <c r="G1949" s="3">
        <v>1</v>
      </c>
      <c r="H1949" s="3"/>
    </row>
    <row r="1950" spans="1:8" hidden="1">
      <c r="A1950" s="3">
        <v>8258</v>
      </c>
      <c r="B1950" s="7" t="s">
        <v>436</v>
      </c>
      <c r="C1950" s="41">
        <v>321</v>
      </c>
      <c r="D1950" s="6">
        <v>45611</v>
      </c>
      <c r="E1950" s="3" t="str">
        <f ca="1">IF(Tabela2[[#This Row],[Dt Venc:]]&gt;TODAY(),"Em Aberto",IF(Tabela2[[#This Row],[D/venc]]="-","Enviado",IF(Tabela2[[#This Row],[Dt Venc:]]=TODAY(),"Vence Hoje","Vencida")))</f>
        <v>Enviado</v>
      </c>
      <c r="F1950" s="3" t="str">
        <f ca="1">IF(G1950=1,"-",Tabela2[[#This Row],[Dt Venc:]]-TODAY())</f>
        <v>-</v>
      </c>
      <c r="G1950" s="3">
        <v>1</v>
      </c>
      <c r="H1950" s="3"/>
    </row>
    <row r="1951" spans="1:8" hidden="1">
      <c r="A1951" s="3">
        <v>2789</v>
      </c>
      <c r="B1951" s="7" t="s">
        <v>58</v>
      </c>
      <c r="C1951" s="41">
        <v>2140.6</v>
      </c>
      <c r="D1951" s="6">
        <v>45611</v>
      </c>
      <c r="E1951" s="3" t="str">
        <f ca="1">IF(Tabela2[[#This Row],[Dt Venc:]]&gt;TODAY(),"Em Aberto",IF(Tabela2[[#This Row],[D/venc]]="-","Enviado",IF(Tabela2[[#This Row],[Dt Venc:]]=TODAY(),"Vence Hoje","Vencida")))</f>
        <v>Enviado</v>
      </c>
      <c r="F1951" s="3" t="str">
        <f ca="1">IF(G1951=1,"-",Tabela2[[#This Row],[Dt Venc:]]-TODAY())</f>
        <v>-</v>
      </c>
      <c r="G1951" s="3">
        <v>1</v>
      </c>
      <c r="H1951" s="3"/>
    </row>
    <row r="1952" spans="1:8" hidden="1">
      <c r="A1952" s="3">
        <v>2598559</v>
      </c>
      <c r="B1952" s="7" t="s">
        <v>263</v>
      </c>
      <c r="C1952" s="41">
        <v>1796.3</v>
      </c>
      <c r="D1952" s="6">
        <v>45611</v>
      </c>
      <c r="E1952" s="3" t="str">
        <f ca="1">IF(Tabela2[[#This Row],[Dt Venc:]]&gt;TODAY(),"Em Aberto",IF(Tabela2[[#This Row],[D/venc]]="-","Enviado",IF(Tabela2[[#This Row],[Dt Venc:]]=TODAY(),"Vence Hoje","Vencida")))</f>
        <v>Enviado</v>
      </c>
      <c r="F1952" s="3" t="str">
        <f ca="1">IF(G1952=1,"-",Tabela2[[#This Row],[Dt Venc:]]-TODAY())</f>
        <v>-</v>
      </c>
      <c r="G1952" s="3">
        <v>1</v>
      </c>
      <c r="H1952" s="3"/>
    </row>
    <row r="1953" spans="1:8" hidden="1">
      <c r="A1953" s="3">
        <v>2598128</v>
      </c>
      <c r="B1953" s="7" t="s">
        <v>263</v>
      </c>
      <c r="C1953" s="41">
        <v>1796.3</v>
      </c>
      <c r="D1953" s="6">
        <v>45611</v>
      </c>
      <c r="E1953" s="3" t="str">
        <f ca="1">IF(Tabela2[[#This Row],[Dt Venc:]]&gt;TODAY(),"Em Aberto",IF(Tabela2[[#This Row],[D/venc]]="-","Enviado",IF(Tabela2[[#This Row],[Dt Venc:]]=TODAY(),"Vence Hoje","Vencida")))</f>
        <v>Enviado</v>
      </c>
      <c r="F1953" s="3" t="str">
        <f ca="1">IF(G1953=1,"-",Tabela2[[#This Row],[Dt Venc:]]-TODAY())</f>
        <v>-</v>
      </c>
      <c r="G1953" s="3">
        <v>1</v>
      </c>
      <c r="H1953" s="3"/>
    </row>
    <row r="1954" spans="1:8" hidden="1">
      <c r="A1954" s="3">
        <v>2598119</v>
      </c>
      <c r="B1954" s="7" t="s">
        <v>263</v>
      </c>
      <c r="C1954" s="41">
        <v>1796.3</v>
      </c>
      <c r="D1954" s="6">
        <v>45611</v>
      </c>
      <c r="E1954" s="3" t="str">
        <f ca="1">IF(Tabela2[[#This Row],[Dt Venc:]]&gt;TODAY(),"Em Aberto",IF(Tabela2[[#This Row],[D/venc]]="-","Enviado",IF(Tabela2[[#This Row],[Dt Venc:]]=TODAY(),"Vence Hoje","Vencida")))</f>
        <v>Enviado</v>
      </c>
      <c r="F1954" s="3" t="str">
        <f ca="1">IF(G1954=1,"-",Tabela2[[#This Row],[Dt Venc:]]-TODAY())</f>
        <v>-</v>
      </c>
      <c r="G1954" s="3">
        <v>1</v>
      </c>
      <c r="H1954" s="3"/>
    </row>
    <row r="1955" spans="1:8" hidden="1">
      <c r="A1955" s="3">
        <v>2597887</v>
      </c>
      <c r="B1955" s="7" t="s">
        <v>263</v>
      </c>
      <c r="C1955" s="41">
        <v>1796.3</v>
      </c>
      <c r="D1955" s="6">
        <v>45611</v>
      </c>
      <c r="E1955" s="3" t="str">
        <f ca="1">IF(Tabela2[[#This Row],[Dt Venc:]]&gt;TODAY(),"Em Aberto",IF(Tabela2[[#This Row],[D/venc]]="-","Enviado",IF(Tabela2[[#This Row],[Dt Venc:]]=TODAY(),"Vence Hoje","Vencida")))</f>
        <v>Enviado</v>
      </c>
      <c r="F1955" s="3" t="str">
        <f ca="1">IF(G1955=1,"-",Tabela2[[#This Row],[Dt Venc:]]-TODAY())</f>
        <v>-</v>
      </c>
      <c r="G1955" s="3">
        <v>1</v>
      </c>
      <c r="H1955" s="3"/>
    </row>
    <row r="1956" spans="1:8" hidden="1">
      <c r="A1956" s="3">
        <v>2594752</v>
      </c>
      <c r="B1956" s="7" t="s">
        <v>263</v>
      </c>
      <c r="C1956" s="41">
        <v>1796.3</v>
      </c>
      <c r="D1956" s="6">
        <v>45611</v>
      </c>
      <c r="E1956" s="3" t="str">
        <f ca="1">IF(Tabela2[[#This Row],[Dt Venc:]]&gt;TODAY(),"Em Aberto",IF(Tabela2[[#This Row],[D/venc]]="-","Enviado",IF(Tabela2[[#This Row],[Dt Venc:]]=TODAY(),"Vence Hoje","Vencida")))</f>
        <v>Enviado</v>
      </c>
      <c r="F1956" s="3" t="str">
        <f ca="1">IF(G1956=1,"-",Tabela2[[#This Row],[Dt Venc:]]-TODAY())</f>
        <v>-</v>
      </c>
      <c r="G1956" s="3">
        <v>1</v>
      </c>
      <c r="H1956" s="3"/>
    </row>
    <row r="1957" spans="1:8" hidden="1">
      <c r="A1957" s="3">
        <v>2594748</v>
      </c>
      <c r="B1957" s="7" t="s">
        <v>263</v>
      </c>
      <c r="C1957" s="41">
        <v>1796.3</v>
      </c>
      <c r="D1957" s="6">
        <v>45611</v>
      </c>
      <c r="E1957" s="3" t="str">
        <f ca="1">IF(Tabela2[[#This Row],[Dt Venc:]]&gt;TODAY(),"Em Aberto",IF(Tabela2[[#This Row],[D/venc]]="-","Enviado",IF(Tabela2[[#This Row],[Dt Venc:]]=TODAY(),"Vence Hoje","Vencida")))</f>
        <v>Enviado</v>
      </c>
      <c r="F1957" s="3" t="str">
        <f ca="1">IF(G1957=1,"-",Tabela2[[#This Row],[Dt Venc:]]-TODAY())</f>
        <v>-</v>
      </c>
      <c r="G1957" s="3">
        <v>1</v>
      </c>
      <c r="H1957" s="3"/>
    </row>
    <row r="1958" spans="1:8" hidden="1">
      <c r="A1958" s="3">
        <v>2594620</v>
      </c>
      <c r="B1958" s="7" t="s">
        <v>263</v>
      </c>
      <c r="C1958" s="41">
        <v>1796.3</v>
      </c>
      <c r="D1958" s="6">
        <v>45611</v>
      </c>
      <c r="E1958" s="3" t="str">
        <f ca="1">IF(Tabela2[[#This Row],[Dt Venc:]]&gt;TODAY(),"Em Aberto",IF(Tabela2[[#This Row],[D/venc]]="-","Enviado",IF(Tabela2[[#This Row],[Dt Venc:]]=TODAY(),"Vence Hoje","Vencida")))</f>
        <v>Enviado</v>
      </c>
      <c r="F1958" s="3" t="str">
        <f ca="1">IF(G1958=1,"-",Tabela2[[#This Row],[Dt Venc:]]-TODAY())</f>
        <v>-</v>
      </c>
      <c r="G1958" s="3">
        <v>1</v>
      </c>
      <c r="H1958" s="3"/>
    </row>
    <row r="1959" spans="1:8" hidden="1">
      <c r="A1959" s="3">
        <v>2597889</v>
      </c>
      <c r="B1959" s="7" t="s">
        <v>263</v>
      </c>
      <c r="C1959" s="41">
        <v>1796.3</v>
      </c>
      <c r="D1959" s="6">
        <v>45611</v>
      </c>
      <c r="E1959" s="3" t="str">
        <f ca="1">IF(Tabela2[[#This Row],[Dt Venc:]]&gt;TODAY(),"Em Aberto",IF(Tabela2[[#This Row],[D/venc]]="-","Enviado",IF(Tabela2[[#This Row],[Dt Venc:]]=TODAY(),"Vence Hoje","Vencida")))</f>
        <v>Enviado</v>
      </c>
      <c r="F1959" s="3" t="str">
        <f ca="1">IF(G1959=1,"-",Tabela2[[#This Row],[Dt Venc:]]-TODAY())</f>
        <v>-</v>
      </c>
      <c r="G1959" s="3">
        <v>1</v>
      </c>
      <c r="H1959" s="3"/>
    </row>
    <row r="1960" spans="1:8" hidden="1">
      <c r="A1960" s="3">
        <v>2596758</v>
      </c>
      <c r="B1960" s="7" t="s">
        <v>263</v>
      </c>
      <c r="C1960" s="41">
        <v>1796.3</v>
      </c>
      <c r="D1960" s="6">
        <v>45611</v>
      </c>
      <c r="E1960" s="3" t="str">
        <f ca="1">IF(Tabela2[[#This Row],[Dt Venc:]]&gt;TODAY(),"Em Aberto",IF(Tabela2[[#This Row],[D/venc]]="-","Enviado",IF(Tabela2[[#This Row],[Dt Venc:]]=TODAY(),"Vence Hoje","Vencida")))</f>
        <v>Enviado</v>
      </c>
      <c r="F1960" s="3" t="str">
        <f ca="1">IF(G1960=1,"-",Tabela2[[#This Row],[Dt Venc:]]-TODAY())</f>
        <v>-</v>
      </c>
      <c r="G1960" s="3">
        <v>1</v>
      </c>
      <c r="H1960" s="3"/>
    </row>
    <row r="1961" spans="1:8" hidden="1">
      <c r="A1961" s="3">
        <v>2596586</v>
      </c>
      <c r="B1961" s="7" t="s">
        <v>263</v>
      </c>
      <c r="C1961" s="41">
        <v>1796.3</v>
      </c>
      <c r="D1961" s="6">
        <v>45611</v>
      </c>
      <c r="E1961" s="3" t="str">
        <f ca="1">IF(Tabela2[[#This Row],[Dt Venc:]]&gt;TODAY(),"Em Aberto",IF(Tabela2[[#This Row],[D/venc]]="-","Enviado",IF(Tabela2[[#This Row],[Dt Venc:]]=TODAY(),"Vence Hoje","Vencida")))</f>
        <v>Enviado</v>
      </c>
      <c r="F1961" s="3" t="str">
        <f ca="1">IF(G1961=1,"-",Tabela2[[#This Row],[Dt Venc:]]-TODAY())</f>
        <v>-</v>
      </c>
      <c r="G1961" s="3">
        <v>1</v>
      </c>
      <c r="H1961" s="3"/>
    </row>
    <row r="1962" spans="1:8" hidden="1">
      <c r="A1962" s="3">
        <v>2596141</v>
      </c>
      <c r="B1962" s="7" t="s">
        <v>263</v>
      </c>
      <c r="C1962" s="41">
        <v>1796.3</v>
      </c>
      <c r="D1962" s="6">
        <v>45611</v>
      </c>
      <c r="E1962" s="3" t="str">
        <f ca="1">IF(Tabela2[[#This Row],[Dt Venc:]]&gt;TODAY(),"Em Aberto",IF(Tabela2[[#This Row],[D/venc]]="-","Enviado",IF(Tabela2[[#This Row],[Dt Venc:]]=TODAY(),"Vence Hoje","Vencida")))</f>
        <v>Enviado</v>
      </c>
      <c r="F1962" s="3" t="str">
        <f ca="1">IF(G1962=1,"-",Tabela2[[#This Row],[Dt Venc:]]-TODAY())</f>
        <v>-</v>
      </c>
      <c r="G1962" s="3">
        <v>1</v>
      </c>
      <c r="H1962" s="3"/>
    </row>
    <row r="1963" spans="1:8" hidden="1">
      <c r="A1963" s="3">
        <v>2596063</v>
      </c>
      <c r="B1963" s="7" t="s">
        <v>263</v>
      </c>
      <c r="C1963" s="41">
        <v>1796.3</v>
      </c>
      <c r="D1963" s="6">
        <v>45611</v>
      </c>
      <c r="E1963" s="3" t="str">
        <f ca="1">IF(Tabela2[[#This Row],[Dt Venc:]]&gt;TODAY(),"Em Aberto",IF(Tabela2[[#This Row],[D/venc]]="-","Enviado",IF(Tabela2[[#This Row],[Dt Venc:]]=TODAY(),"Vence Hoje","Vencida")))</f>
        <v>Enviado</v>
      </c>
      <c r="F1963" s="3" t="str">
        <f ca="1">IF(G1963=1,"-",Tabela2[[#This Row],[Dt Venc:]]-TODAY())</f>
        <v>-</v>
      </c>
      <c r="G1963" s="3">
        <v>1</v>
      </c>
      <c r="H1963" s="3"/>
    </row>
    <row r="1964" spans="1:8" hidden="1">
      <c r="A1964" s="3">
        <v>2595503</v>
      </c>
      <c r="B1964" s="7" t="s">
        <v>263</v>
      </c>
      <c r="C1964" s="41">
        <v>1796.3</v>
      </c>
      <c r="D1964" s="6">
        <v>45611</v>
      </c>
      <c r="E1964" s="3" t="str">
        <f ca="1">IF(Tabela2[[#This Row],[Dt Venc:]]&gt;TODAY(),"Em Aberto",IF(Tabela2[[#This Row],[D/venc]]="-","Enviado",IF(Tabela2[[#This Row],[Dt Venc:]]=TODAY(),"Vence Hoje","Vencida")))</f>
        <v>Enviado</v>
      </c>
      <c r="F1964" s="3" t="str">
        <f ca="1">IF(G1964=1,"-",Tabela2[[#This Row],[Dt Venc:]]-TODAY())</f>
        <v>-</v>
      </c>
      <c r="G1964" s="3">
        <v>1</v>
      </c>
      <c r="H1964" s="3"/>
    </row>
    <row r="1965" spans="1:8" hidden="1">
      <c r="A1965" s="3">
        <v>2595846</v>
      </c>
      <c r="B1965" s="7" t="s">
        <v>263</v>
      </c>
      <c r="C1965" s="41">
        <v>1796.3</v>
      </c>
      <c r="D1965" s="6">
        <v>45611</v>
      </c>
      <c r="E1965" s="3" t="str">
        <f ca="1">IF(Tabela2[[#This Row],[Dt Venc:]]&gt;TODAY(),"Em Aberto",IF(Tabela2[[#This Row],[D/venc]]="-","Enviado",IF(Tabela2[[#This Row],[Dt Venc:]]=TODAY(),"Vence Hoje","Vencida")))</f>
        <v>Enviado</v>
      </c>
      <c r="F1965" s="3" t="str">
        <f ca="1">IF(G1965=1,"-",Tabela2[[#This Row],[Dt Venc:]]-TODAY())</f>
        <v>-</v>
      </c>
      <c r="G1965" s="3">
        <v>1</v>
      </c>
      <c r="H1965" s="3"/>
    </row>
    <row r="1966" spans="1:8" hidden="1">
      <c r="A1966" s="3">
        <v>2594917</v>
      </c>
      <c r="B1966" s="7" t="s">
        <v>263</v>
      </c>
      <c r="C1966" s="41">
        <v>1796.3</v>
      </c>
      <c r="D1966" s="6">
        <v>45611</v>
      </c>
      <c r="E1966" s="3" t="str">
        <f ca="1">IF(Tabela2[[#This Row],[Dt Venc:]]&gt;TODAY(),"Em Aberto",IF(Tabela2[[#This Row],[D/venc]]="-","Enviado",IF(Tabela2[[#This Row],[Dt Venc:]]=TODAY(),"Vence Hoje","Vencida")))</f>
        <v>Enviado</v>
      </c>
      <c r="F1966" s="3" t="str">
        <f ca="1">IF(G1966=1,"-",Tabela2[[#This Row],[Dt Venc:]]-TODAY())</f>
        <v>-</v>
      </c>
      <c r="G1966" s="3">
        <v>1</v>
      </c>
      <c r="H1966" s="3"/>
    </row>
    <row r="1967" spans="1:8" hidden="1">
      <c r="A1967" s="3">
        <v>2599135</v>
      </c>
      <c r="B1967" s="7" t="s">
        <v>263</v>
      </c>
      <c r="C1967" s="41">
        <v>1796.3</v>
      </c>
      <c r="D1967" s="6">
        <v>45611</v>
      </c>
      <c r="E1967" s="3" t="str">
        <f ca="1">IF(Tabela2[[#This Row],[Dt Venc:]]&gt;TODAY(),"Em Aberto",IF(Tabela2[[#This Row],[D/venc]]="-","Enviado",IF(Tabela2[[#This Row],[Dt Venc:]]=TODAY(),"Vence Hoje","Vencida")))</f>
        <v>Enviado</v>
      </c>
      <c r="F1967" s="3" t="str">
        <f ca="1">IF(G1967=1,"-",Tabela2[[#This Row],[Dt Venc:]]-TODAY())</f>
        <v>-</v>
      </c>
      <c r="G1967" s="3">
        <v>1</v>
      </c>
      <c r="H1967" s="3"/>
    </row>
    <row r="1968" spans="1:8" hidden="1">
      <c r="A1968" s="3">
        <v>2598892</v>
      </c>
      <c r="B1968" s="7" t="s">
        <v>263</v>
      </c>
      <c r="C1968" s="41">
        <v>1796.3</v>
      </c>
      <c r="D1968" s="6">
        <v>45611</v>
      </c>
      <c r="E1968" s="3" t="str">
        <f ca="1">IF(Tabela2[[#This Row],[Dt Venc:]]&gt;TODAY(),"Em Aberto",IF(Tabela2[[#This Row],[D/venc]]="-","Enviado",IF(Tabela2[[#This Row],[Dt Venc:]]=TODAY(),"Vence Hoje","Vencida")))</f>
        <v>Enviado</v>
      </c>
      <c r="F1968" s="3" t="str">
        <f ca="1">IF(G1968=1,"-",Tabela2[[#This Row],[Dt Venc:]]-TODAY())</f>
        <v>-</v>
      </c>
      <c r="G1968" s="3">
        <v>1</v>
      </c>
      <c r="H1968" s="3"/>
    </row>
    <row r="1969" spans="1:8" hidden="1">
      <c r="A1969" s="3">
        <v>2598725</v>
      </c>
      <c r="B1969" s="7" t="s">
        <v>263</v>
      </c>
      <c r="C1969" s="41">
        <v>1796.3</v>
      </c>
      <c r="D1969" s="6">
        <v>45611</v>
      </c>
      <c r="E1969" s="3" t="str">
        <f ca="1">IF(Tabela2[[#This Row],[Dt Venc:]]&gt;TODAY(),"Em Aberto",IF(Tabela2[[#This Row],[D/venc]]="-","Enviado",IF(Tabela2[[#This Row],[Dt Venc:]]=TODAY(),"Vence Hoje","Vencida")))</f>
        <v>Enviado</v>
      </c>
      <c r="F1969" s="3" t="str">
        <f ca="1">IF(G1969=1,"-",Tabela2[[#This Row],[Dt Venc:]]-TODAY())</f>
        <v>-</v>
      </c>
      <c r="G1969" s="3">
        <v>1</v>
      </c>
      <c r="H1969" s="3"/>
    </row>
    <row r="1970" spans="1:8" hidden="1">
      <c r="A1970" s="3">
        <v>2598716</v>
      </c>
      <c r="B1970" s="7" t="s">
        <v>263</v>
      </c>
      <c r="C1970" s="41">
        <v>1796.3</v>
      </c>
      <c r="D1970" s="6">
        <v>45611</v>
      </c>
      <c r="E1970" s="3" t="str">
        <f ca="1">IF(Tabela2[[#This Row],[Dt Venc:]]&gt;TODAY(),"Em Aberto",IF(Tabela2[[#This Row],[D/venc]]="-","Enviado",IF(Tabela2[[#This Row],[Dt Venc:]]=TODAY(),"Vence Hoje","Vencida")))</f>
        <v>Enviado</v>
      </c>
      <c r="F1970" s="3" t="str">
        <f ca="1">IF(G1970=1,"-",Tabela2[[#This Row],[Dt Venc:]]-TODAY())</f>
        <v>-</v>
      </c>
      <c r="G1970" s="3">
        <v>1</v>
      </c>
      <c r="H1970" s="3"/>
    </row>
    <row r="1971" spans="1:8" hidden="1">
      <c r="A1971" s="3">
        <v>2598702</v>
      </c>
      <c r="B1971" s="7" t="s">
        <v>263</v>
      </c>
      <c r="C1971" s="41">
        <v>1796.3</v>
      </c>
      <c r="D1971" s="6">
        <v>45611</v>
      </c>
      <c r="E1971" s="3" t="str">
        <f ca="1">IF(Tabela2[[#This Row],[Dt Venc:]]&gt;TODAY(),"Em Aberto",IF(Tabela2[[#This Row],[D/venc]]="-","Enviado",IF(Tabela2[[#This Row],[Dt Venc:]]=TODAY(),"Vence Hoje","Vencida")))</f>
        <v>Enviado</v>
      </c>
      <c r="F1971" s="3" t="str">
        <f ca="1">IF(G1971=1,"-",Tabela2[[#This Row],[Dt Venc:]]-TODAY())</f>
        <v>-</v>
      </c>
      <c r="G1971" s="3">
        <v>1</v>
      </c>
      <c r="H1971" s="3"/>
    </row>
    <row r="1972" spans="1:8" hidden="1">
      <c r="A1972" s="3">
        <v>159</v>
      </c>
      <c r="B1972" s="7" t="s">
        <v>437</v>
      </c>
      <c r="C1972" s="41">
        <v>7974</v>
      </c>
      <c r="D1972" s="6">
        <v>45611</v>
      </c>
      <c r="E1972" s="3" t="str">
        <f ca="1">IF(Tabela2[[#This Row],[Dt Venc:]]&gt;TODAY(),"Em Aberto",IF(Tabela2[[#This Row],[D/venc]]="-","Enviado",IF(Tabela2[[#This Row],[Dt Venc:]]=TODAY(),"Vence Hoje","Vencida")))</f>
        <v>Enviado</v>
      </c>
      <c r="F1972" s="3" t="str">
        <f ca="1">IF(G1972=1,"-",Tabela2[[#This Row],[Dt Venc:]]-TODAY())</f>
        <v>-</v>
      </c>
      <c r="G1972" s="3">
        <v>1</v>
      </c>
      <c r="H1972" s="3"/>
    </row>
    <row r="1973" spans="1:8" hidden="1">
      <c r="A1973" s="3">
        <v>3981</v>
      </c>
      <c r="B1973" s="7" t="s">
        <v>438</v>
      </c>
      <c r="C1973" s="41">
        <v>137.6</v>
      </c>
      <c r="D1973" s="6">
        <v>45611</v>
      </c>
      <c r="E1973" s="3" t="str">
        <f ca="1">IF(Tabela2[[#This Row],[Dt Venc:]]&gt;TODAY(),"Em Aberto",IF(Tabela2[[#This Row],[D/venc]]="-","Enviado",IF(Tabela2[[#This Row],[Dt Venc:]]=TODAY(),"Vence Hoje","Vencida")))</f>
        <v>Enviado</v>
      </c>
      <c r="F1973" s="3" t="str">
        <f ca="1">IF(G1973=1,"-",Tabela2[[#This Row],[Dt Venc:]]-TODAY())</f>
        <v>-</v>
      </c>
      <c r="G1973" s="3">
        <v>1</v>
      </c>
      <c r="H1973" s="3"/>
    </row>
    <row r="1974" spans="1:8" hidden="1">
      <c r="A1974" s="3">
        <v>44248</v>
      </c>
      <c r="B1974" s="7" t="s">
        <v>439</v>
      </c>
      <c r="C1974" s="41">
        <v>746.63</v>
      </c>
      <c r="D1974" s="6">
        <v>45611</v>
      </c>
      <c r="E1974" s="3" t="str">
        <f ca="1">IF(Tabela2[[#This Row],[Dt Venc:]]&gt;TODAY(),"Em Aberto",IF(Tabela2[[#This Row],[D/venc]]="-","Enviado",IF(Tabela2[[#This Row],[Dt Venc:]]=TODAY(),"Vence Hoje","Vencida")))</f>
        <v>Enviado</v>
      </c>
      <c r="F1974" s="3" t="str">
        <f ca="1">IF(G1974=1,"-",Tabela2[[#This Row],[Dt Venc:]]-TODAY())</f>
        <v>-</v>
      </c>
      <c r="G1974" s="3">
        <v>1</v>
      </c>
      <c r="H1974" s="3"/>
    </row>
    <row r="1975" spans="1:8" hidden="1">
      <c r="A1975" s="3">
        <v>44486</v>
      </c>
      <c r="B1975" s="7" t="s">
        <v>439</v>
      </c>
      <c r="C1975" s="41">
        <v>598.03</v>
      </c>
      <c r="D1975" s="6">
        <v>45611</v>
      </c>
      <c r="E1975" s="3" t="str">
        <f ca="1">IF(Tabela2[[#This Row],[Dt Venc:]]&gt;TODAY(),"Em Aberto",IF(Tabela2[[#This Row],[D/venc]]="-","Enviado",IF(Tabela2[[#This Row],[Dt Venc:]]=TODAY(),"Vence Hoje","Vencida")))</f>
        <v>Enviado</v>
      </c>
      <c r="F1975" s="3" t="str">
        <f ca="1">IF(G1975=1,"-",Tabela2[[#This Row],[Dt Venc:]]-TODAY())</f>
        <v>-</v>
      </c>
      <c r="G1975" s="3">
        <v>1</v>
      </c>
      <c r="H1975" s="3"/>
    </row>
    <row r="1976" spans="1:8" hidden="1">
      <c r="A1976" s="3">
        <v>10774</v>
      </c>
      <c r="B1976" s="7" t="s">
        <v>33</v>
      </c>
      <c r="C1976" s="42">
        <v>1511.66</v>
      </c>
      <c r="D1976" s="6">
        <v>45612</v>
      </c>
      <c r="E1976" s="3" t="str">
        <f ca="1">IF(Tabela2[[#This Row],[Dt Venc:]]&gt;TODAY(),"Em Aberto",IF(Tabela2[[#This Row],[D/venc]]="-","Enviado",IF(Tabela2[[#This Row],[Dt Venc:]]=TODAY(),"Vence Hoje","Vencida")))</f>
        <v>Enviado</v>
      </c>
      <c r="F1976" s="3" t="str">
        <f ca="1">IF(G1976=1,"-",Tabela2[[#This Row],[Dt Venc:]]-TODAY())</f>
        <v>-</v>
      </c>
      <c r="G1976" s="3">
        <v>1</v>
      </c>
      <c r="H1976" s="3"/>
    </row>
    <row r="1977" spans="1:8" hidden="1">
      <c r="A1977" s="3">
        <v>29564</v>
      </c>
      <c r="B1977" s="7" t="s">
        <v>97</v>
      </c>
      <c r="C1977" s="42">
        <v>2710</v>
      </c>
      <c r="D1977" s="6">
        <v>45612</v>
      </c>
      <c r="E1977" s="3" t="str">
        <f ca="1">IF(Tabela2[[#This Row],[Dt Venc:]]&gt;TODAY(),"Em Aberto",IF(Tabela2[[#This Row],[D/venc]]="-","Enviado",IF(Tabela2[[#This Row],[Dt Venc:]]=TODAY(),"Vence Hoje","Vencida")))</f>
        <v>Enviado</v>
      </c>
      <c r="F1977" s="3" t="str">
        <f ca="1">IF(G1977=1,"-",Tabela2[[#This Row],[Dt Venc:]]-TODAY())</f>
        <v>-</v>
      </c>
      <c r="G1977" s="3">
        <v>1</v>
      </c>
      <c r="H1977" s="3"/>
    </row>
    <row r="1978" spans="1:8" hidden="1">
      <c r="A1978" s="3">
        <v>10735</v>
      </c>
      <c r="B1978" s="7" t="s">
        <v>231</v>
      </c>
      <c r="C1978" s="42">
        <v>466.67</v>
      </c>
      <c r="D1978" s="6">
        <v>45612</v>
      </c>
      <c r="E1978" s="3" t="str">
        <f ca="1">IF(Tabela2[[#This Row],[Dt Venc:]]&gt;TODAY(),"Em Aberto",IF(Tabela2[[#This Row],[D/venc]]="-","Enviado",IF(Tabela2[[#This Row],[Dt Venc:]]=TODAY(),"Vence Hoje","Vencida")))</f>
        <v>Enviado</v>
      </c>
      <c r="F1978" s="3" t="str">
        <f ca="1">IF(G1978=1,"-",Tabela2[[#This Row],[Dt Venc:]]-TODAY())</f>
        <v>-</v>
      </c>
      <c r="G1978" s="3">
        <v>1</v>
      </c>
      <c r="H1978" s="3"/>
    </row>
    <row r="1979" spans="1:8" hidden="1">
      <c r="A1979" s="3">
        <v>8098</v>
      </c>
      <c r="B1979" s="7" t="s">
        <v>283</v>
      </c>
      <c r="C1979" s="42">
        <v>7590.13</v>
      </c>
      <c r="D1979" s="6">
        <v>45612</v>
      </c>
      <c r="E1979" s="3" t="str">
        <f ca="1">IF(Tabela2[[#This Row],[Dt Venc:]]&gt;TODAY(),"Em Aberto",IF(Tabela2[[#This Row],[D/venc]]="-","Enviado",IF(Tabela2[[#This Row],[Dt Venc:]]=TODAY(),"Vence Hoje","Vencida")))</f>
        <v>Enviado</v>
      </c>
      <c r="F1979" s="3" t="str">
        <f ca="1">IF(G1979=1,"-",Tabela2[[#This Row],[Dt Venc:]]-TODAY())</f>
        <v>-</v>
      </c>
      <c r="G1979" s="3">
        <v>1</v>
      </c>
      <c r="H1979" s="3"/>
    </row>
    <row r="1980" spans="1:8" hidden="1">
      <c r="A1980" s="3">
        <v>424632</v>
      </c>
      <c r="B1980" s="7" t="s">
        <v>89</v>
      </c>
      <c r="C1980" s="42">
        <v>758</v>
      </c>
      <c r="D1980" s="6">
        <v>45612</v>
      </c>
      <c r="E1980" s="3" t="str">
        <f ca="1">IF(Tabela2[[#This Row],[Dt Venc:]]&gt;TODAY(),"Em Aberto",IF(Tabela2[[#This Row],[D/venc]]="-","Enviado",IF(Tabela2[[#This Row],[Dt Venc:]]=TODAY(),"Vence Hoje","Vencida")))</f>
        <v>Enviado</v>
      </c>
      <c r="F1980" s="3" t="str">
        <f ca="1">IF(G1980=1,"-",Tabela2[[#This Row],[Dt Venc:]]-TODAY())</f>
        <v>-</v>
      </c>
      <c r="G1980" s="3">
        <v>1</v>
      </c>
      <c r="H1980" s="3"/>
    </row>
    <row r="1981" spans="1:8" hidden="1">
      <c r="A1981" s="3">
        <v>172383</v>
      </c>
      <c r="B1981" s="7" t="s">
        <v>174</v>
      </c>
      <c r="C1981" s="42">
        <v>453.34</v>
      </c>
      <c r="D1981" s="6">
        <v>45612</v>
      </c>
      <c r="E1981" s="3" t="str">
        <f ca="1">IF(Tabela2[[#This Row],[Dt Venc:]]&gt;TODAY(),"Em Aberto",IF(Tabela2[[#This Row],[D/venc]]="-","Enviado",IF(Tabela2[[#This Row],[Dt Venc:]]=TODAY(),"Vence Hoje","Vencida")))</f>
        <v>Enviado</v>
      </c>
      <c r="F1981" s="3" t="str">
        <f ca="1">IF(G1981=1,"-",Tabela2[[#This Row],[Dt Venc:]]-TODAY())</f>
        <v>-</v>
      </c>
      <c r="G1981" s="3">
        <v>1</v>
      </c>
      <c r="H1981" s="3"/>
    </row>
    <row r="1982" spans="1:8" hidden="1">
      <c r="A1982" s="3">
        <v>1427</v>
      </c>
      <c r="B1982" s="7" t="s">
        <v>284</v>
      </c>
      <c r="C1982" s="42">
        <v>897</v>
      </c>
      <c r="D1982" s="6">
        <v>45612</v>
      </c>
      <c r="E1982" s="3" t="str">
        <f ca="1">IF(Tabela2[[#This Row],[Dt Venc:]]&gt;TODAY(),"Em Aberto",IF(Tabela2[[#This Row],[D/venc]]="-","Enviado",IF(Tabela2[[#This Row],[Dt Venc:]]=TODAY(),"Vence Hoje","Vencida")))</f>
        <v>Enviado</v>
      </c>
      <c r="F1982" s="3" t="str">
        <f ca="1">IF(G1982=1,"-",Tabela2[[#This Row],[Dt Venc:]]-TODAY())</f>
        <v>-</v>
      </c>
      <c r="G1982" s="3">
        <v>1</v>
      </c>
      <c r="H1982" s="3"/>
    </row>
    <row r="1983" spans="1:8" hidden="1">
      <c r="A1983" s="3">
        <v>2739</v>
      </c>
      <c r="B1983" s="7" t="s">
        <v>58</v>
      </c>
      <c r="C1983" s="42">
        <v>1965.34</v>
      </c>
      <c r="D1983" s="6">
        <v>45612</v>
      </c>
      <c r="E1983" s="3" t="str">
        <f ca="1">IF(Tabela2[[#This Row],[Dt Venc:]]&gt;TODAY(),"Em Aberto",IF(Tabela2[[#This Row],[D/venc]]="-","Enviado",IF(Tabela2[[#This Row],[Dt Venc:]]=TODAY(),"Vence Hoje","Vencida")))</f>
        <v>Enviado</v>
      </c>
      <c r="F1983" s="3" t="str">
        <f ca="1">IF(G1983=1,"-",Tabela2[[#This Row],[Dt Venc:]]-TODAY())</f>
        <v>-</v>
      </c>
      <c r="G1983" s="3">
        <v>1</v>
      </c>
      <c r="H1983" s="3"/>
    </row>
    <row r="1984" spans="1:8" hidden="1">
      <c r="A1984" s="3">
        <v>3883</v>
      </c>
      <c r="B1984" s="7" t="s">
        <v>293</v>
      </c>
      <c r="C1984" s="42">
        <v>1760</v>
      </c>
      <c r="D1984" s="6">
        <v>45612</v>
      </c>
      <c r="E1984" s="3" t="str">
        <f ca="1">IF(Tabela2[[#This Row],[Dt Venc:]]&gt;TODAY(),"Em Aberto",IF(Tabela2[[#This Row],[D/venc]]="-","Enviado",IF(Tabela2[[#This Row],[Dt Venc:]]=TODAY(),"Vence Hoje","Vencida")))</f>
        <v>Enviado</v>
      </c>
      <c r="F1984" s="3" t="str">
        <f ca="1">IF(G1984=1,"-",Tabela2[[#This Row],[Dt Venc:]]-TODAY())</f>
        <v>-</v>
      </c>
      <c r="G1984" s="3">
        <v>1</v>
      </c>
      <c r="H1984" s="3"/>
    </row>
    <row r="1985" spans="1:8" hidden="1">
      <c r="A1985" s="3">
        <v>1273</v>
      </c>
      <c r="B1985" s="7" t="s">
        <v>440</v>
      </c>
      <c r="C1985" s="41">
        <v>14500</v>
      </c>
      <c r="D1985" s="6">
        <v>45612</v>
      </c>
      <c r="E1985" s="3" t="str">
        <f ca="1">IF(Tabela2[[#This Row],[Dt Venc:]]&gt;TODAY(),"Em Aberto",IF(Tabela2[[#This Row],[D/venc]]="-","Enviado",IF(Tabela2[[#This Row],[Dt Venc:]]=TODAY(),"Vence Hoje","Vencida")))</f>
        <v>Enviado</v>
      </c>
      <c r="F1985" s="3" t="str">
        <f ca="1">IF(G1985=1,"-",Tabela2[[#This Row],[Dt Venc:]]-TODAY())</f>
        <v>-</v>
      </c>
      <c r="G1985" s="3">
        <v>1</v>
      </c>
      <c r="H1985" s="3"/>
    </row>
    <row r="1986" spans="1:8" hidden="1">
      <c r="A1986" s="3">
        <v>17082</v>
      </c>
      <c r="B1986" s="7" t="s">
        <v>75</v>
      </c>
      <c r="C1986" s="41">
        <v>288.95</v>
      </c>
      <c r="D1986" s="6">
        <v>45612</v>
      </c>
      <c r="E1986" s="3" t="str">
        <f ca="1">IF(Tabela2[[#This Row],[Dt Venc:]]&gt;TODAY(),"Em Aberto",IF(Tabela2[[#This Row],[D/venc]]="-","Enviado",IF(Tabela2[[#This Row],[Dt Venc:]]=TODAY(),"Vence Hoje","Vencida")))</f>
        <v>Enviado</v>
      </c>
      <c r="F1986" s="3" t="str">
        <f ca="1">IF(G1986=1,"-",Tabela2[[#This Row],[Dt Venc:]]-TODAY())</f>
        <v>-</v>
      </c>
      <c r="G1986" s="3">
        <v>1</v>
      </c>
      <c r="H1986" s="3"/>
    </row>
    <row r="1987" spans="1:8" hidden="1">
      <c r="A1987" s="3">
        <v>1273</v>
      </c>
      <c r="B1987" s="7" t="s">
        <v>399</v>
      </c>
      <c r="C1987" s="41">
        <v>14500</v>
      </c>
      <c r="D1987" s="6">
        <v>45612</v>
      </c>
      <c r="E1987" s="3" t="str">
        <f ca="1">IF(Tabela2[[#This Row],[Dt Venc:]]&gt;TODAY(),"Em Aberto",IF(Tabela2[[#This Row],[D/venc]]="-","Enviado",IF(Tabela2[[#This Row],[Dt Venc:]]=TODAY(),"Vence Hoje","Vencida")))</f>
        <v>Enviado</v>
      </c>
      <c r="F1987" s="3" t="str">
        <f ca="1">IF(G1987=1,"-",Tabela2[[#This Row],[Dt Venc:]]-TODAY())</f>
        <v>-</v>
      </c>
      <c r="G1987" s="3">
        <v>1</v>
      </c>
      <c r="H1987" s="3"/>
    </row>
    <row r="1988" spans="1:8" hidden="1">
      <c r="A1988" s="3">
        <v>133659</v>
      </c>
      <c r="B1988" s="7" t="s">
        <v>89</v>
      </c>
      <c r="C1988" s="41">
        <v>520</v>
      </c>
      <c r="D1988" s="6">
        <v>45612</v>
      </c>
      <c r="E1988" s="3" t="str">
        <f ca="1">IF(Tabela2[[#This Row],[Dt Venc:]]&gt;TODAY(),"Em Aberto",IF(Tabela2[[#This Row],[D/venc]]="-","Enviado",IF(Tabela2[[#This Row],[Dt Venc:]]=TODAY(),"Vence Hoje","Vencida")))</f>
        <v>Enviado</v>
      </c>
      <c r="F1988" s="3" t="str">
        <f ca="1">IF(G1988=1,"-",Tabela2[[#This Row],[Dt Venc:]]-TODAY())</f>
        <v>-</v>
      </c>
      <c r="G1988" s="3">
        <v>1</v>
      </c>
      <c r="H1988" s="3"/>
    </row>
    <row r="1989" spans="1:8" hidden="1">
      <c r="A1989" s="3">
        <v>5952</v>
      </c>
      <c r="B1989" s="7" t="s">
        <v>140</v>
      </c>
      <c r="C1989" s="41">
        <v>1654.67</v>
      </c>
      <c r="D1989" s="6">
        <v>45612</v>
      </c>
      <c r="E1989" s="3" t="str">
        <f ca="1">IF(Tabela2[[#This Row],[Dt Venc:]]&gt;TODAY(),"Em Aberto",IF(Tabela2[[#This Row],[D/venc]]="-","Enviado",IF(Tabela2[[#This Row],[Dt Venc:]]=TODAY(),"Vence Hoje","Vencida")))</f>
        <v>Enviado</v>
      </c>
      <c r="F1989" s="3" t="str">
        <f ca="1">IF(G1989=1,"-",Tabela2[[#This Row],[Dt Venc:]]-TODAY())</f>
        <v>-</v>
      </c>
      <c r="G1989" s="3">
        <v>1</v>
      </c>
      <c r="H1989" s="3"/>
    </row>
    <row r="1990" spans="1:8" hidden="1">
      <c r="A1990" s="3">
        <v>5945</v>
      </c>
      <c r="B1990" s="7" t="s">
        <v>140</v>
      </c>
      <c r="C1990" s="41">
        <v>1220.03</v>
      </c>
      <c r="D1990" s="6">
        <v>45612</v>
      </c>
      <c r="E1990" s="3" t="str">
        <f ca="1">IF(Tabela2[[#This Row],[Dt Venc:]]&gt;TODAY(),"Em Aberto",IF(Tabela2[[#This Row],[D/venc]]="-","Enviado",IF(Tabela2[[#This Row],[Dt Venc:]]=TODAY(),"Vence Hoje","Vencida")))</f>
        <v>Enviado</v>
      </c>
      <c r="F1990" s="3" t="str">
        <f ca="1">IF(G1990=1,"-",Tabela2[[#This Row],[Dt Venc:]]-TODAY())</f>
        <v>-</v>
      </c>
      <c r="G1990" s="3">
        <v>1</v>
      </c>
      <c r="H1990" s="3"/>
    </row>
    <row r="1991" spans="1:8" hidden="1">
      <c r="A1991" s="3">
        <v>3304968</v>
      </c>
      <c r="B1991" s="7" t="s">
        <v>71</v>
      </c>
      <c r="C1991" s="41">
        <v>82236</v>
      </c>
      <c r="D1991" s="6">
        <v>45612</v>
      </c>
      <c r="E1991" s="3" t="str">
        <f ca="1">IF(Tabela2[[#This Row],[Dt Venc:]]&gt;TODAY(),"Em Aberto",IF(Tabela2[[#This Row],[D/venc]]="-","Enviado",IF(Tabela2[[#This Row],[Dt Venc:]]=TODAY(),"Vence Hoje","Vencida")))</f>
        <v>Enviado</v>
      </c>
      <c r="F1991" s="3" t="str">
        <f ca="1">IF(G1991=1,"-",Tabela2[[#This Row],[Dt Venc:]]-TODAY())</f>
        <v>-</v>
      </c>
      <c r="G1991" s="3">
        <v>1</v>
      </c>
      <c r="H1991" s="3"/>
    </row>
    <row r="1992" spans="1:8" hidden="1">
      <c r="A1992" s="3" t="s">
        <v>110</v>
      </c>
      <c r="B1992" s="7" t="s">
        <v>272</v>
      </c>
      <c r="C1992" s="42" t="s">
        <v>32</v>
      </c>
      <c r="D1992" s="6">
        <v>45612</v>
      </c>
      <c r="E1992" s="3" t="str">
        <f ca="1">IF(Tabela2[[#This Row],[Dt Venc:]]&gt;TODAY(),"Em Aberto",IF(Tabela2[[#This Row],[D/venc]]="-","Enviado",IF(Tabela2[[#This Row],[Dt Venc:]]=TODAY(),"Vence Hoje","Vencida")))</f>
        <v>Enviado</v>
      </c>
      <c r="F1992" s="3" t="str">
        <f ca="1">IF(G1992=1,"-",Tabela2[[#This Row],[Dt Venc:]]-TODAY())</f>
        <v>-</v>
      </c>
      <c r="G1992" s="3">
        <v>1</v>
      </c>
      <c r="H1992" s="3"/>
    </row>
    <row r="1993" spans="1:8" hidden="1">
      <c r="A1993" s="3">
        <v>37196</v>
      </c>
      <c r="B1993" s="7" t="s">
        <v>167</v>
      </c>
      <c r="C1993" s="85" t="s">
        <v>32</v>
      </c>
      <c r="D1993" s="6">
        <v>45613</v>
      </c>
      <c r="E1993" s="3" t="str">
        <f ca="1">IF(Tabela2[[#This Row],[Dt Venc:]]&gt;TODAY(),"Em Aberto",IF(Tabela2[[#This Row],[D/venc]]="-","Enviado",IF(Tabela2[[#This Row],[Dt Venc:]]=TODAY(),"Vence Hoje","Vencida")))</f>
        <v>Enviado</v>
      </c>
      <c r="F1993" s="3" t="str">
        <f ca="1">IF(G1993=1,"-",Tabela2[[#This Row],[Dt Venc:]]-TODAY())</f>
        <v>-</v>
      </c>
      <c r="G1993" s="3">
        <v>1</v>
      </c>
      <c r="H1993" s="3"/>
    </row>
    <row r="1994" spans="1:8" hidden="1">
      <c r="A1994" s="3">
        <v>211108</v>
      </c>
      <c r="B1994" s="7" t="s">
        <v>127</v>
      </c>
      <c r="C1994" s="42">
        <v>951.93</v>
      </c>
      <c r="D1994" s="6">
        <v>45613</v>
      </c>
      <c r="E1994" s="3" t="str">
        <f ca="1">IF(Tabela2[[#This Row],[Dt Venc:]]&gt;TODAY(),"Em Aberto",IF(Tabela2[[#This Row],[D/venc]]="-","Enviado",IF(Tabela2[[#This Row],[Dt Venc:]]=TODAY(),"Vence Hoje","Vencida")))</f>
        <v>Enviado</v>
      </c>
      <c r="F1994" s="3" t="str">
        <f ca="1">IF(G1994=1,"-",Tabela2[[#This Row],[Dt Venc:]]-TODAY())</f>
        <v>-</v>
      </c>
      <c r="G1994" s="3">
        <v>1</v>
      </c>
      <c r="H1994" s="3"/>
    </row>
    <row r="1995" spans="1:8" hidden="1">
      <c r="A1995" s="3">
        <v>5750</v>
      </c>
      <c r="B1995" s="7" t="s">
        <v>47</v>
      </c>
      <c r="C1995" s="42">
        <v>656.5</v>
      </c>
      <c r="D1995" s="6">
        <v>45613</v>
      </c>
      <c r="E1995" s="3" t="str">
        <f ca="1">IF(Tabela2[[#This Row],[Dt Venc:]]&gt;TODAY(),"Em Aberto",IF(Tabela2[[#This Row],[D/venc]]="-","Enviado",IF(Tabela2[[#This Row],[Dt Venc:]]=TODAY(),"Vence Hoje","Vencida")))</f>
        <v>Enviado</v>
      </c>
      <c r="F1995" s="3" t="str">
        <f ca="1">IF(G1995=1,"-",Tabela2[[#This Row],[Dt Venc:]]-TODAY())</f>
        <v>-</v>
      </c>
      <c r="G1995" s="3">
        <v>1</v>
      </c>
      <c r="H1995" s="3"/>
    </row>
    <row r="1996" spans="1:8" hidden="1">
      <c r="A1996" s="3">
        <v>17982</v>
      </c>
      <c r="B1996" s="7" t="s">
        <v>292</v>
      </c>
      <c r="C1996" s="42">
        <v>1526</v>
      </c>
      <c r="D1996" s="6">
        <v>45613</v>
      </c>
      <c r="E1996" s="3" t="str">
        <f ca="1">IF(Tabela2[[#This Row],[Dt Venc:]]&gt;TODAY(),"Em Aberto",IF(Tabela2[[#This Row],[D/venc]]="-","Enviado",IF(Tabela2[[#This Row],[Dt Venc:]]=TODAY(),"Vence Hoje","Vencida")))</f>
        <v>Enviado</v>
      </c>
      <c r="F1996" s="3" t="str">
        <f ca="1">IF(G1996=1,"-",Tabela2[[#This Row],[Dt Venc:]]-TODAY())</f>
        <v>-</v>
      </c>
      <c r="G1996" s="3">
        <v>1</v>
      </c>
      <c r="H1996" s="3"/>
    </row>
    <row r="1997" spans="1:8" hidden="1">
      <c r="A1997" s="3">
        <v>7</v>
      </c>
      <c r="B1997" s="7" t="s">
        <v>173</v>
      </c>
      <c r="C1997" s="42">
        <v>465</v>
      </c>
      <c r="D1997" s="6">
        <v>45613</v>
      </c>
      <c r="E1997" s="3" t="str">
        <f ca="1">IF(Tabela2[[#This Row],[Dt Venc:]]&gt;TODAY(),"Em Aberto",IF(Tabela2[[#This Row],[D/venc]]="-","Enviado",IF(Tabela2[[#This Row],[Dt Venc:]]=TODAY(),"Vence Hoje","Vencida")))</f>
        <v>Enviado</v>
      </c>
      <c r="F1997" s="3" t="str">
        <f ca="1">IF(G1997=1,"-",Tabela2[[#This Row],[Dt Venc:]]-TODAY())</f>
        <v>-</v>
      </c>
      <c r="G1997" s="3">
        <v>1</v>
      </c>
      <c r="H1997" s="3"/>
    </row>
    <row r="1998" spans="1:8" hidden="1">
      <c r="A1998" s="3">
        <v>10904</v>
      </c>
      <c r="B1998" s="7" t="s">
        <v>33</v>
      </c>
      <c r="C1998" s="42">
        <v>1543.33</v>
      </c>
      <c r="D1998" s="6">
        <v>45613</v>
      </c>
      <c r="E1998" s="3" t="str">
        <f ca="1">IF(Tabela2[[#This Row],[Dt Venc:]]&gt;TODAY(),"Em Aberto",IF(Tabela2[[#This Row],[D/venc]]="-","Enviado",IF(Tabela2[[#This Row],[Dt Venc:]]=TODAY(),"Vence Hoje","Vencida")))</f>
        <v>Enviado</v>
      </c>
      <c r="F1998" s="3" t="str">
        <f ca="1">IF(G1998=1,"-",Tabela2[[#This Row],[Dt Venc:]]-TODAY())</f>
        <v>-</v>
      </c>
      <c r="G1998" s="3">
        <v>1</v>
      </c>
      <c r="H1998" s="3"/>
    </row>
    <row r="1999" spans="1:8" hidden="1">
      <c r="A1999" s="3">
        <v>2801</v>
      </c>
      <c r="B1999" s="7" t="s">
        <v>301</v>
      </c>
      <c r="C1999" s="42">
        <v>406.67</v>
      </c>
      <c r="D1999" s="6">
        <v>45613</v>
      </c>
      <c r="E1999" s="3" t="str">
        <f ca="1">IF(Tabela2[[#This Row],[Dt Venc:]]&gt;TODAY(),"Em Aberto",IF(Tabela2[[#This Row],[D/venc]]="-","Enviado",IF(Tabela2[[#This Row],[Dt Venc:]]=TODAY(),"Vence Hoje","Vencida")))</f>
        <v>Enviado</v>
      </c>
      <c r="F1999" s="3" t="str">
        <f ca="1">IF(G1999=1,"-",Tabela2[[#This Row],[Dt Venc:]]-TODAY())</f>
        <v>-</v>
      </c>
      <c r="G1999" s="3">
        <v>1</v>
      </c>
      <c r="H1999" s="3"/>
    </row>
    <row r="2000" spans="1:8" hidden="1">
      <c r="A2000" s="3">
        <v>92</v>
      </c>
      <c r="B2000" s="7" t="s">
        <v>396</v>
      </c>
      <c r="C2000" s="42">
        <v>2784.34</v>
      </c>
      <c r="D2000" s="6">
        <v>45613</v>
      </c>
      <c r="E2000" s="3" t="str">
        <f ca="1">IF(Tabela2[[#This Row],[Dt Venc:]]&gt;TODAY(),"Em Aberto",IF(Tabela2[[#This Row],[D/venc]]="-","Enviado",IF(Tabela2[[#This Row],[Dt Venc:]]=TODAY(),"Vence Hoje","Vencida")))</f>
        <v>Enviado</v>
      </c>
      <c r="F2000" s="3" t="str">
        <f ca="1">IF(G2000=1,"-",Tabela2[[#This Row],[Dt Venc:]]-TODAY())</f>
        <v>-</v>
      </c>
      <c r="G2000" s="3">
        <v>1</v>
      </c>
      <c r="H2000" s="3"/>
    </row>
    <row r="2001" spans="1:8" hidden="1">
      <c r="A2001" s="3">
        <v>327391</v>
      </c>
      <c r="B2001" s="7" t="s">
        <v>240</v>
      </c>
      <c r="C2001" s="41">
        <v>360</v>
      </c>
      <c r="D2001" s="6">
        <v>45613</v>
      </c>
      <c r="E2001" s="3" t="str">
        <f ca="1">IF(Tabela2[[#This Row],[Dt Venc:]]&gt;TODAY(),"Em Aberto",IF(Tabela2[[#This Row],[D/venc]]="-","Enviado",IF(Tabela2[[#This Row],[Dt Venc:]]=TODAY(),"Vence Hoje","Vencida")))</f>
        <v>Enviado</v>
      </c>
      <c r="F2001" s="3" t="str">
        <f ca="1">IF(G2001=1,"-",Tabela2[[#This Row],[Dt Venc:]]-TODAY())</f>
        <v>-</v>
      </c>
      <c r="G2001" s="3">
        <v>1</v>
      </c>
      <c r="H2001" s="3"/>
    </row>
    <row r="2002" spans="1:8" hidden="1">
      <c r="A2002" s="3">
        <v>327387</v>
      </c>
      <c r="B2002" s="7" t="s">
        <v>240</v>
      </c>
      <c r="C2002" s="41">
        <v>360</v>
      </c>
      <c r="D2002" s="6">
        <v>45613</v>
      </c>
      <c r="E2002" s="3" t="str">
        <f ca="1">IF(Tabela2[[#This Row],[Dt Venc:]]&gt;TODAY(),"Em Aberto",IF(Tabela2[[#This Row],[D/venc]]="-","Enviado",IF(Tabela2[[#This Row],[Dt Venc:]]=TODAY(),"Vence Hoje","Vencida")))</f>
        <v>Enviado</v>
      </c>
      <c r="F2002" s="3" t="str">
        <f ca="1">IF(G2002=1,"-",Tabela2[[#This Row],[Dt Venc:]]-TODAY())</f>
        <v>-</v>
      </c>
      <c r="G2002" s="3">
        <v>1</v>
      </c>
      <c r="H2002" s="3"/>
    </row>
    <row r="2003" spans="1:8" hidden="1">
      <c r="A2003" s="3">
        <v>88535</v>
      </c>
      <c r="B2003" s="7" t="s">
        <v>207</v>
      </c>
      <c r="C2003" s="41">
        <v>582.5</v>
      </c>
      <c r="D2003" s="6">
        <v>45613</v>
      </c>
      <c r="E2003" s="3" t="str">
        <f ca="1">IF(Tabela2[[#This Row],[Dt Venc:]]&gt;TODAY(),"Em Aberto",IF(Tabela2[[#This Row],[D/venc]]="-","Enviado",IF(Tabela2[[#This Row],[Dt Venc:]]=TODAY(),"Vence Hoje","Vencida")))</f>
        <v>Enviado</v>
      </c>
      <c r="F2003" s="3" t="str">
        <f ca="1">IF(G2003=1,"-",Tabela2[[#This Row],[Dt Venc:]]-TODAY())</f>
        <v>-</v>
      </c>
      <c r="G2003" s="3">
        <v>1</v>
      </c>
      <c r="H2003" s="3"/>
    </row>
    <row r="2004" spans="1:8" hidden="1">
      <c r="A2004" s="3">
        <v>11039</v>
      </c>
      <c r="B2004" s="7" t="s">
        <v>33</v>
      </c>
      <c r="C2004" s="41">
        <v>1653.4</v>
      </c>
      <c r="D2004" s="6">
        <v>45613</v>
      </c>
      <c r="E2004" s="3" t="str">
        <f ca="1">IF(Tabela2[[#This Row],[Dt Venc:]]&gt;TODAY(),"Em Aberto",IF(Tabela2[[#This Row],[D/venc]]="-","Enviado",IF(Tabela2[[#This Row],[Dt Venc:]]=TODAY(),"Vence Hoje","Vencida")))</f>
        <v>Enviado</v>
      </c>
      <c r="F2004" s="3" t="str">
        <f ca="1">IF(G2004=1,"-",Tabela2[[#This Row],[Dt Venc:]]-TODAY())</f>
        <v>-</v>
      </c>
      <c r="G2004" s="3">
        <v>1</v>
      </c>
      <c r="H2004" s="3"/>
    </row>
    <row r="2005" spans="1:8" hidden="1">
      <c r="A2005" s="3">
        <v>174362</v>
      </c>
      <c r="B2005" s="7" t="s">
        <v>434</v>
      </c>
      <c r="C2005" s="41">
        <v>1333.34</v>
      </c>
      <c r="D2005" s="6">
        <v>45613</v>
      </c>
      <c r="E2005" s="3" t="str">
        <f ca="1">IF(Tabela2[[#This Row],[Dt Venc:]]&gt;TODAY(),"Em Aberto",IF(Tabela2[[#This Row],[D/venc]]="-","Enviado",IF(Tabela2[[#This Row],[Dt Venc:]]=TODAY(),"Vence Hoje","Vencida")))</f>
        <v>Enviado</v>
      </c>
      <c r="F2005" s="3" t="str">
        <f ca="1">IF(G2005=1,"-",Tabela2[[#This Row],[Dt Venc:]]-TODAY())</f>
        <v>-</v>
      </c>
      <c r="G2005" s="3">
        <v>1</v>
      </c>
      <c r="H2005" s="3"/>
    </row>
    <row r="2006" spans="1:8" hidden="1">
      <c r="A2006" s="3">
        <v>153715</v>
      </c>
      <c r="B2006" s="7" t="s">
        <v>240</v>
      </c>
      <c r="C2006" s="41">
        <v>450</v>
      </c>
      <c r="D2006" s="6">
        <v>45613</v>
      </c>
      <c r="E2006" s="3" t="str">
        <f ca="1">IF(Tabela2[[#This Row],[Dt Venc:]]&gt;TODAY(),"Em Aberto",IF(Tabela2[[#This Row],[D/venc]]="-","Enviado",IF(Tabela2[[#This Row],[Dt Venc:]]=TODAY(),"Vence Hoje","Vencida")))</f>
        <v>Enviado</v>
      </c>
      <c r="F2006" s="3" t="str">
        <f ca="1">IF(G2006=1,"-",Tabela2[[#This Row],[Dt Venc:]]-TODAY())</f>
        <v>-</v>
      </c>
      <c r="G2006" s="3">
        <v>1</v>
      </c>
      <c r="H2006" s="3"/>
    </row>
    <row r="2007" spans="1:8" hidden="1">
      <c r="A2007" s="3">
        <v>30374</v>
      </c>
      <c r="B2007" s="7" t="s">
        <v>226</v>
      </c>
      <c r="C2007" s="41">
        <v>2730</v>
      </c>
      <c r="D2007" s="6">
        <v>45613</v>
      </c>
      <c r="E2007" s="3" t="str">
        <f ca="1">IF(Tabela2[[#This Row],[Dt Venc:]]&gt;TODAY(),"Em Aberto",IF(Tabela2[[#This Row],[D/venc]]="-","Enviado",IF(Tabela2[[#This Row],[Dt Venc:]]=TODAY(),"Vence Hoje","Vencida")))</f>
        <v>Enviado</v>
      </c>
      <c r="F2007" s="3" t="str">
        <f ca="1">IF(G2007=1,"-",Tabela2[[#This Row],[Dt Venc:]]-TODAY())</f>
        <v>-</v>
      </c>
      <c r="G2007" s="3">
        <v>1</v>
      </c>
      <c r="H2007" s="3"/>
    </row>
    <row r="2008" spans="1:8" hidden="1">
      <c r="A2008" s="3">
        <v>5268</v>
      </c>
      <c r="B2008" s="7" t="s">
        <v>134</v>
      </c>
      <c r="C2008" s="41">
        <v>500</v>
      </c>
      <c r="D2008" s="6">
        <v>45613</v>
      </c>
      <c r="E2008" s="3" t="str">
        <f ca="1">IF(Tabela2[[#This Row],[Dt Venc:]]&gt;TODAY(),"Em Aberto",IF(Tabela2[[#This Row],[D/venc]]="-","Enviado",IF(Tabela2[[#This Row],[Dt Venc:]]=TODAY(),"Vence Hoje","Vencida")))</f>
        <v>Enviado</v>
      </c>
      <c r="F2008" s="3" t="str">
        <f ca="1">IF(G2008=1,"-",Tabela2[[#This Row],[Dt Venc:]]-TODAY())</f>
        <v>-</v>
      </c>
      <c r="G2008" s="3">
        <v>1</v>
      </c>
      <c r="H2008" s="3"/>
    </row>
    <row r="2009" spans="1:8" hidden="1">
      <c r="A2009" s="3">
        <v>376215</v>
      </c>
      <c r="B2009" s="7" t="s">
        <v>441</v>
      </c>
      <c r="C2009" s="41">
        <v>471.1</v>
      </c>
      <c r="D2009" s="6">
        <v>45613</v>
      </c>
      <c r="E2009" s="3" t="str">
        <f ca="1">IF(Tabela2[[#This Row],[Dt Venc:]]&gt;TODAY(),"Em Aberto",IF(Tabela2[[#This Row],[D/venc]]="-","Enviado",IF(Tabela2[[#This Row],[Dt Venc:]]=TODAY(),"Vence Hoje","Vencida")))</f>
        <v>Enviado</v>
      </c>
      <c r="F2009" s="3" t="str">
        <f ca="1">IF(G2009=1,"-",Tabela2[[#This Row],[Dt Venc:]]-TODAY())</f>
        <v>-</v>
      </c>
      <c r="G2009" s="3">
        <v>1</v>
      </c>
      <c r="H2009" s="3"/>
    </row>
    <row r="2010" spans="1:8" hidden="1">
      <c r="A2010" s="3">
        <v>2831</v>
      </c>
      <c r="B2010" s="7" t="s">
        <v>301</v>
      </c>
      <c r="C2010" s="41">
        <v>2440</v>
      </c>
      <c r="D2010" s="6">
        <v>45613</v>
      </c>
      <c r="E2010" s="3" t="str">
        <f ca="1">IF(Tabela2[[#This Row],[Dt Venc:]]&gt;TODAY(),"Em Aberto",IF(Tabela2[[#This Row],[D/venc]]="-","Enviado",IF(Tabela2[[#This Row],[Dt Venc:]]=TODAY(),"Vence Hoje","Vencida")))</f>
        <v>Enviado</v>
      </c>
      <c r="F2010" s="3" t="str">
        <f ca="1">IF(G2010=1,"-",Tabela2[[#This Row],[Dt Venc:]]-TODAY())</f>
        <v>-</v>
      </c>
      <c r="G2010" s="3">
        <v>1</v>
      </c>
      <c r="H2010" s="3"/>
    </row>
    <row r="2011" spans="1:8" hidden="1">
      <c r="A2011" s="3">
        <v>3305576</v>
      </c>
      <c r="B2011" s="7" t="s">
        <v>71</v>
      </c>
      <c r="C2011" s="41">
        <v>82236</v>
      </c>
      <c r="D2011" s="6">
        <v>45613</v>
      </c>
      <c r="E2011" s="3" t="str">
        <f ca="1">IF(Tabela2[[#This Row],[Dt Venc:]]&gt;TODAY(),"Em Aberto",IF(Tabela2[[#This Row],[D/venc]]="-","Enviado",IF(Tabela2[[#This Row],[Dt Venc:]]=TODAY(),"Vence Hoje","Vencida")))</f>
        <v>Enviado</v>
      </c>
      <c r="F2011" s="3" t="str">
        <f ca="1">IF(G2011=1,"-",Tabela2[[#This Row],[Dt Venc:]]-TODAY())</f>
        <v>-</v>
      </c>
      <c r="G2011" s="3">
        <v>1</v>
      </c>
      <c r="H2011" s="3"/>
    </row>
    <row r="2012" spans="1:8" hidden="1">
      <c r="A2012" s="3">
        <v>37300</v>
      </c>
      <c r="B2012" s="7" t="s">
        <v>167</v>
      </c>
      <c r="C2012" s="84" t="s">
        <v>32</v>
      </c>
      <c r="D2012" s="6">
        <v>45614</v>
      </c>
      <c r="E2012" s="3" t="str">
        <f ca="1">IF(Tabela2[[#This Row],[Dt Venc:]]&gt;TODAY(),"Em Aberto",IF(Tabela2[[#This Row],[D/venc]]="-","Enviado",IF(Tabela2[[#This Row],[Dt Venc:]]=TODAY(),"Vence Hoje","Vencida")))</f>
        <v>Enviado</v>
      </c>
      <c r="F2012" s="3" t="str">
        <f ca="1">IF(G2012=1,"-",Tabela2[[#This Row],[Dt Venc:]]-TODAY())</f>
        <v>-</v>
      </c>
      <c r="G2012" s="3">
        <v>1</v>
      </c>
      <c r="H2012" s="3"/>
    </row>
    <row r="2013" spans="1:8" hidden="1">
      <c r="A2013" s="3">
        <v>80032</v>
      </c>
      <c r="B2013" s="7" t="s">
        <v>39</v>
      </c>
      <c r="C2013" s="42">
        <v>475.6</v>
      </c>
      <c r="D2013" s="6">
        <v>45614</v>
      </c>
      <c r="E2013" s="3" t="str">
        <f ca="1">IF(Tabela2[[#This Row],[Dt Venc:]]&gt;TODAY(),"Em Aberto",IF(Tabela2[[#This Row],[D/venc]]="-","Enviado",IF(Tabela2[[#This Row],[Dt Venc:]]=TODAY(),"Vence Hoje","Vencida")))</f>
        <v>Enviado</v>
      </c>
      <c r="F2013" s="3" t="str">
        <f ca="1">IF(G2013=1,"-",Tabela2[[#This Row],[Dt Venc:]]-TODAY())</f>
        <v>-</v>
      </c>
      <c r="G2013" s="3">
        <v>1</v>
      </c>
      <c r="H2013" s="3"/>
    </row>
    <row r="2014" spans="1:8" hidden="1">
      <c r="A2014" s="3">
        <v>80333</v>
      </c>
      <c r="B2014" s="7" t="s">
        <v>39</v>
      </c>
      <c r="C2014" s="42">
        <v>616.64</v>
      </c>
      <c r="D2014" s="6">
        <v>45614</v>
      </c>
      <c r="E2014" s="3" t="str">
        <f ca="1">IF(Tabela2[[#This Row],[Dt Venc:]]&gt;TODAY(),"Em Aberto",IF(Tabela2[[#This Row],[D/venc]]="-","Enviado",IF(Tabela2[[#This Row],[Dt Venc:]]=TODAY(),"Vence Hoje","Vencida")))</f>
        <v>Enviado</v>
      </c>
      <c r="F2014" s="3" t="str">
        <f ca="1">IF(G2014=1,"-",Tabela2[[#This Row],[Dt Venc:]]-TODAY())</f>
        <v>-</v>
      </c>
      <c r="G2014" s="3">
        <v>1</v>
      </c>
      <c r="H2014" s="3"/>
    </row>
    <row r="2015" spans="1:8" hidden="1">
      <c r="A2015" s="3">
        <v>80336</v>
      </c>
      <c r="B2015" s="7" t="s">
        <v>39</v>
      </c>
      <c r="C2015" s="42">
        <v>646.72</v>
      </c>
      <c r="D2015" s="6">
        <v>45614</v>
      </c>
      <c r="E2015" s="3" t="str">
        <f ca="1">IF(Tabela2[[#This Row],[Dt Venc:]]&gt;TODAY(),"Em Aberto",IF(Tabela2[[#This Row],[D/venc]]="-","Enviado",IF(Tabela2[[#This Row],[Dt Venc:]]=TODAY(),"Vence Hoje","Vencida")))</f>
        <v>Enviado</v>
      </c>
      <c r="F2015" s="3" t="str">
        <f ca="1">IF(G2015=1,"-",Tabela2[[#This Row],[Dt Venc:]]-TODAY())</f>
        <v>-</v>
      </c>
      <c r="G2015" s="3">
        <v>1</v>
      </c>
      <c r="H2015" s="3"/>
    </row>
    <row r="2016" spans="1:8" hidden="1">
      <c r="A2016" s="3">
        <v>361193</v>
      </c>
      <c r="B2016" s="7" t="s">
        <v>39</v>
      </c>
      <c r="C2016" s="42">
        <v>290.41000000000003</v>
      </c>
      <c r="D2016" s="6">
        <v>45614</v>
      </c>
      <c r="E2016" s="3" t="str">
        <f ca="1">IF(Tabela2[[#This Row],[Dt Venc:]]&gt;TODAY(),"Em Aberto",IF(Tabela2[[#This Row],[D/venc]]="-","Enviado",IF(Tabela2[[#This Row],[Dt Venc:]]=TODAY(),"Vence Hoje","Vencida")))</f>
        <v>Enviado</v>
      </c>
      <c r="F2016" s="3" t="str">
        <f ca="1">IF(G2016=1,"-",Tabela2[[#This Row],[Dt Venc:]]-TODAY())</f>
        <v>-</v>
      </c>
      <c r="G2016" s="3">
        <v>1</v>
      </c>
      <c r="H2016" s="3"/>
    </row>
    <row r="2017" spans="1:8" hidden="1">
      <c r="A2017" s="3">
        <v>363133</v>
      </c>
      <c r="B2017" s="7" t="s">
        <v>39</v>
      </c>
      <c r="C2017" s="42">
        <v>290.41000000000003</v>
      </c>
      <c r="D2017" s="6">
        <v>45614</v>
      </c>
      <c r="E2017" s="3" t="str">
        <f ca="1">IF(Tabela2[[#This Row],[Dt Venc:]]&gt;TODAY(),"Em Aberto",IF(Tabela2[[#This Row],[D/venc]]="-","Enviado",IF(Tabela2[[#This Row],[Dt Venc:]]=TODAY(),"Vence Hoje","Vencida")))</f>
        <v>Enviado</v>
      </c>
      <c r="F2017" s="3" t="str">
        <f ca="1">IF(G2017=1,"-",Tabela2[[#This Row],[Dt Venc:]]-TODAY())</f>
        <v>-</v>
      </c>
      <c r="G2017" s="3">
        <v>1</v>
      </c>
      <c r="H2017" s="3"/>
    </row>
    <row r="2018" spans="1:8" hidden="1">
      <c r="A2018" s="3">
        <v>363177</v>
      </c>
      <c r="B2018" s="7" t="s">
        <v>39</v>
      </c>
      <c r="C2018" s="42">
        <v>383.76</v>
      </c>
      <c r="D2018" s="6">
        <v>45614</v>
      </c>
      <c r="E2018" s="3" t="str">
        <f ca="1">IF(Tabela2[[#This Row],[Dt Venc:]]&gt;TODAY(),"Em Aberto",IF(Tabela2[[#This Row],[D/venc]]="-","Enviado",IF(Tabela2[[#This Row],[Dt Venc:]]=TODAY(),"Vence Hoje","Vencida")))</f>
        <v>Enviado</v>
      </c>
      <c r="F2018" s="3" t="str">
        <f ca="1">IF(G2018=1,"-",Tabela2[[#This Row],[Dt Venc:]]-TODAY())</f>
        <v>-</v>
      </c>
      <c r="G2018" s="3">
        <v>1</v>
      </c>
      <c r="H2018" s="3"/>
    </row>
    <row r="2019" spans="1:8" hidden="1">
      <c r="A2019" s="3">
        <v>365638</v>
      </c>
      <c r="B2019" s="7" t="s">
        <v>39</v>
      </c>
      <c r="C2019" s="42">
        <v>1094.98</v>
      </c>
      <c r="D2019" s="6">
        <v>45614</v>
      </c>
      <c r="E2019" s="3" t="str">
        <f ca="1">IF(Tabela2[[#This Row],[Dt Venc:]]&gt;TODAY(),"Em Aberto",IF(Tabela2[[#This Row],[D/venc]]="-","Enviado",IF(Tabela2[[#This Row],[Dt Venc:]]=TODAY(),"Vence Hoje","Vencida")))</f>
        <v>Enviado</v>
      </c>
      <c r="F2019" s="3" t="str">
        <f ca="1">IF(G2019=1,"-",Tabela2[[#This Row],[Dt Venc:]]-TODAY())</f>
        <v>-</v>
      </c>
      <c r="G2019" s="3">
        <v>1</v>
      </c>
      <c r="H2019" s="3"/>
    </row>
    <row r="2020" spans="1:8" hidden="1">
      <c r="A2020" s="3">
        <v>144842</v>
      </c>
      <c r="B2020" s="7" t="s">
        <v>127</v>
      </c>
      <c r="C2020" s="42">
        <v>717.5</v>
      </c>
      <c r="D2020" s="6">
        <v>45614</v>
      </c>
      <c r="E2020" s="3" t="str">
        <f ca="1">IF(Tabela2[[#This Row],[Dt Venc:]]&gt;TODAY(),"Em Aberto",IF(Tabela2[[#This Row],[D/venc]]="-","Enviado",IF(Tabela2[[#This Row],[Dt Venc:]]=TODAY(),"Vence Hoje","Vencida")))</f>
        <v>Enviado</v>
      </c>
      <c r="F2020" s="3" t="str">
        <f ca="1">IF(G2020=1,"-",Tabela2[[#This Row],[Dt Venc:]]-TODAY())</f>
        <v>-</v>
      </c>
      <c r="G2020" s="3">
        <v>1</v>
      </c>
      <c r="H2020" s="3"/>
    </row>
    <row r="2021" spans="1:8" hidden="1">
      <c r="A2021" s="3">
        <v>751107</v>
      </c>
      <c r="B2021" s="7" t="s">
        <v>127</v>
      </c>
      <c r="C2021" s="42">
        <v>376.17</v>
      </c>
      <c r="D2021" s="6">
        <v>45614</v>
      </c>
      <c r="E2021" s="3" t="str">
        <f ca="1">IF(Tabela2[[#This Row],[Dt Venc:]]&gt;TODAY(),"Em Aberto",IF(Tabela2[[#This Row],[D/venc]]="-","Enviado",IF(Tabela2[[#This Row],[Dt Venc:]]=TODAY(),"Vence Hoje","Vencida")))</f>
        <v>Enviado</v>
      </c>
      <c r="F2021" s="3" t="str">
        <f ca="1">IF(G2021=1,"-",Tabela2[[#This Row],[Dt Venc:]]-TODAY())</f>
        <v>-</v>
      </c>
      <c r="G2021" s="3">
        <v>1</v>
      </c>
      <c r="H2021" s="3"/>
    </row>
    <row r="2022" spans="1:8" hidden="1">
      <c r="A2022" s="3">
        <v>252700</v>
      </c>
      <c r="B2022" s="7" t="s">
        <v>313</v>
      </c>
      <c r="C2022" s="42">
        <v>2493</v>
      </c>
      <c r="D2022" s="6">
        <v>45614</v>
      </c>
      <c r="E2022" s="3" t="str">
        <f ca="1">IF(Tabela2[[#This Row],[Dt Venc:]]&gt;TODAY(),"Em Aberto",IF(Tabela2[[#This Row],[D/venc]]="-","Enviado",IF(Tabela2[[#This Row],[Dt Venc:]]=TODAY(),"Vence Hoje","Vencida")))</f>
        <v>Enviado</v>
      </c>
      <c r="F2022" s="3" t="str">
        <f ca="1">IF(G2022=1,"-",Tabela2[[#This Row],[Dt Venc:]]-TODAY())</f>
        <v>-</v>
      </c>
      <c r="G2022" s="3">
        <v>1</v>
      </c>
      <c r="H2022" s="3"/>
    </row>
    <row r="2023" spans="1:8" hidden="1">
      <c r="A2023" s="3">
        <v>598</v>
      </c>
      <c r="B2023" s="7" t="s">
        <v>294</v>
      </c>
      <c r="C2023" s="42">
        <v>11000</v>
      </c>
      <c r="D2023" s="6">
        <v>45614</v>
      </c>
      <c r="E2023" s="3" t="str">
        <f ca="1">IF(Tabela2[[#This Row],[Dt Venc:]]&gt;TODAY(),"Em Aberto",IF(Tabela2[[#This Row],[D/venc]]="-","Enviado",IF(Tabela2[[#This Row],[Dt Venc:]]=TODAY(),"Vence Hoje","Vencida")))</f>
        <v>Enviado</v>
      </c>
      <c r="F2023" s="3" t="str">
        <f ca="1">IF(G2023=1,"-",Tabela2[[#This Row],[Dt Venc:]]-TODAY())</f>
        <v>-</v>
      </c>
      <c r="G2023" s="3">
        <v>1</v>
      </c>
      <c r="H2023" s="3"/>
    </row>
    <row r="2024" spans="1:8" hidden="1">
      <c r="A2024" s="3">
        <v>188532</v>
      </c>
      <c r="B2024" s="7" t="s">
        <v>304</v>
      </c>
      <c r="C2024" s="42">
        <v>1405.39</v>
      </c>
      <c r="D2024" s="6">
        <v>45614</v>
      </c>
      <c r="E2024" s="3" t="str">
        <f ca="1">IF(Tabela2[[#This Row],[Dt Venc:]]&gt;TODAY(),"Em Aberto",IF(Tabela2[[#This Row],[D/venc]]="-","Enviado",IF(Tabela2[[#This Row],[Dt Venc:]]=TODAY(),"Vence Hoje","Vencida")))</f>
        <v>Enviado</v>
      </c>
      <c r="F2024" s="3" t="str">
        <f ca="1">IF(G2024=1,"-",Tabela2[[#This Row],[Dt Venc:]]-TODAY())</f>
        <v>-</v>
      </c>
      <c r="G2024" s="3">
        <v>1</v>
      </c>
      <c r="H2024" s="3"/>
    </row>
    <row r="2025" spans="1:8" hidden="1">
      <c r="A2025" s="3">
        <v>70891</v>
      </c>
      <c r="B2025" s="7" t="s">
        <v>76</v>
      </c>
      <c r="C2025" s="42">
        <v>579.95000000000005</v>
      </c>
      <c r="D2025" s="6">
        <v>45614</v>
      </c>
      <c r="E2025" s="3" t="str">
        <f ca="1">IF(Tabela2[[#This Row],[Dt Venc:]]&gt;TODAY(),"Em Aberto",IF(Tabela2[[#This Row],[D/venc]]="-","Enviado",IF(Tabela2[[#This Row],[Dt Venc:]]=TODAY(),"Vence Hoje","Vencida")))</f>
        <v>Enviado</v>
      </c>
      <c r="F2025" s="3" t="str">
        <f ca="1">IF(G2025=1,"-",Tabela2[[#This Row],[Dt Venc:]]-TODAY())</f>
        <v>-</v>
      </c>
      <c r="G2025" s="3">
        <v>1</v>
      </c>
      <c r="H2025" s="3"/>
    </row>
    <row r="2026" spans="1:8" hidden="1">
      <c r="A2026" s="3">
        <v>1517</v>
      </c>
      <c r="B2026" s="7" t="s">
        <v>78</v>
      </c>
      <c r="C2026" s="42">
        <v>587</v>
      </c>
      <c r="D2026" s="6">
        <v>45614</v>
      </c>
      <c r="E2026" s="3" t="str">
        <f ca="1">IF(Tabela2[[#This Row],[Dt Venc:]]&gt;TODAY(),"Em Aberto",IF(Tabela2[[#This Row],[D/venc]]="-","Enviado",IF(Tabela2[[#This Row],[Dt Venc:]]=TODAY(),"Vence Hoje","Vencida")))</f>
        <v>Enviado</v>
      </c>
      <c r="F2026" s="3" t="str">
        <f ca="1">IF(G2026=1,"-",Tabela2[[#This Row],[Dt Venc:]]-TODAY())</f>
        <v>-</v>
      </c>
      <c r="G2026" s="3">
        <v>1</v>
      </c>
      <c r="H2026" s="3"/>
    </row>
    <row r="2027" spans="1:8" hidden="1">
      <c r="A2027" s="3">
        <v>392494</v>
      </c>
      <c r="B2027" s="7" t="s">
        <v>285</v>
      </c>
      <c r="C2027" s="42">
        <v>1558.33</v>
      </c>
      <c r="D2027" s="6">
        <v>45614</v>
      </c>
      <c r="E2027" s="3" t="str">
        <f ca="1">IF(Tabela2[[#This Row],[Dt Venc:]]&gt;TODAY(),"Em Aberto",IF(Tabela2[[#This Row],[D/venc]]="-","Enviado",IF(Tabela2[[#This Row],[Dt Venc:]]=TODAY(),"Vence Hoje","Vencida")))</f>
        <v>Enviado</v>
      </c>
      <c r="F2027" s="3" t="str">
        <f ca="1">IF(G2027=1,"-",Tabela2[[#This Row],[Dt Venc:]]-TODAY())</f>
        <v>-</v>
      </c>
      <c r="G2027" s="3">
        <v>1</v>
      </c>
      <c r="H2027" s="3"/>
    </row>
    <row r="2028" spans="1:8" hidden="1">
      <c r="A2028" s="3">
        <v>70800</v>
      </c>
      <c r="B2028" s="7" t="s">
        <v>76</v>
      </c>
      <c r="C2028" s="42">
        <v>1796.57</v>
      </c>
      <c r="D2028" s="6">
        <v>45614</v>
      </c>
      <c r="E2028" s="3" t="str">
        <f ca="1">IF(Tabela2[[#This Row],[Dt Venc:]]&gt;TODAY(),"Em Aberto",IF(Tabela2[[#This Row],[D/venc]]="-","Enviado",IF(Tabela2[[#This Row],[Dt Venc:]]=TODAY(),"Vence Hoje","Vencida")))</f>
        <v>Enviado</v>
      </c>
      <c r="F2028" s="3" t="str">
        <f ca="1">IF(G2028=1,"-",Tabela2[[#This Row],[Dt Venc:]]-TODAY())</f>
        <v>-</v>
      </c>
      <c r="G2028" s="3">
        <v>1</v>
      </c>
      <c r="H2028" s="3"/>
    </row>
    <row r="2029" spans="1:8" hidden="1">
      <c r="A2029" s="3">
        <v>36045</v>
      </c>
      <c r="B2029" s="7" t="s">
        <v>70</v>
      </c>
      <c r="C2029" s="42">
        <v>962.84</v>
      </c>
      <c r="D2029" s="6">
        <v>45614</v>
      </c>
      <c r="E2029" s="3" t="str">
        <f ca="1">IF(Tabela2[[#This Row],[Dt Venc:]]&gt;TODAY(),"Em Aberto",IF(Tabela2[[#This Row],[D/venc]]="-","Enviado",IF(Tabela2[[#This Row],[Dt Venc:]]=TODAY(),"Vence Hoje","Vencida")))</f>
        <v>Enviado</v>
      </c>
      <c r="F2029" s="3" t="str">
        <f ca="1">IF(G2029=1,"-",Tabela2[[#This Row],[Dt Venc:]]-TODAY())</f>
        <v>-</v>
      </c>
      <c r="G2029" s="3">
        <v>1</v>
      </c>
      <c r="H2029" s="3"/>
    </row>
    <row r="2030" spans="1:8" hidden="1">
      <c r="A2030" s="3">
        <v>26945</v>
      </c>
      <c r="B2030" s="7" t="s">
        <v>70</v>
      </c>
      <c r="C2030" s="42">
        <v>1935.61</v>
      </c>
      <c r="D2030" s="6">
        <v>45614</v>
      </c>
      <c r="E2030" s="3" t="str">
        <f ca="1">IF(Tabela2[[#This Row],[Dt Venc:]]&gt;TODAY(),"Em Aberto",IF(Tabela2[[#This Row],[D/venc]]="-","Enviado",IF(Tabela2[[#This Row],[Dt Venc:]]=TODAY(),"Vence Hoje","Vencida")))</f>
        <v>Enviado</v>
      </c>
      <c r="F2030" s="3" t="str">
        <f ca="1">IF(G2030=1,"-",Tabela2[[#This Row],[Dt Venc:]]-TODAY())</f>
        <v>-</v>
      </c>
      <c r="G2030" s="3">
        <v>1</v>
      </c>
      <c r="H2030" s="3"/>
    </row>
    <row r="2031" spans="1:8" hidden="1">
      <c r="A2031" s="3">
        <v>228692</v>
      </c>
      <c r="B2031" s="7" t="s">
        <v>300</v>
      </c>
      <c r="C2031" s="42">
        <v>941.85</v>
      </c>
      <c r="D2031" s="6">
        <v>45614</v>
      </c>
      <c r="E2031" s="3" t="str">
        <f ca="1">IF(Tabela2[[#This Row],[Dt Venc:]]&gt;TODAY(),"Em Aberto",IF(Tabela2[[#This Row],[D/venc]]="-","Enviado",IF(Tabela2[[#This Row],[Dt Venc:]]=TODAY(),"Vence Hoje","Vencida")))</f>
        <v>Enviado</v>
      </c>
      <c r="F2031" s="3" t="str">
        <f ca="1">IF(G2031=1,"-",Tabela2[[#This Row],[Dt Venc:]]-TODAY())</f>
        <v>-</v>
      </c>
      <c r="G2031" s="3">
        <v>1</v>
      </c>
      <c r="H2031" s="3"/>
    </row>
    <row r="2032" spans="1:8" hidden="1">
      <c r="A2032" s="3">
        <v>43730</v>
      </c>
      <c r="B2032" s="7" t="s">
        <v>144</v>
      </c>
      <c r="C2032" s="42">
        <v>533.33000000000004</v>
      </c>
      <c r="D2032" s="6">
        <v>45614</v>
      </c>
      <c r="E2032" s="3" t="str">
        <f ca="1">IF(Tabela2[[#This Row],[Dt Venc:]]&gt;TODAY(),"Em Aberto",IF(Tabela2[[#This Row],[D/venc]]="-","Enviado",IF(Tabela2[[#This Row],[Dt Venc:]]=TODAY(),"Vence Hoje","Vencida")))</f>
        <v>Enviado</v>
      </c>
      <c r="F2032" s="3" t="str">
        <f ca="1">IF(G2032=1,"-",Tabela2[[#This Row],[Dt Venc:]]-TODAY())</f>
        <v>-</v>
      </c>
      <c r="G2032" s="3">
        <v>1</v>
      </c>
      <c r="H2032" s="3"/>
    </row>
    <row r="2033" spans="1:8" hidden="1">
      <c r="A2033" s="3">
        <v>608912</v>
      </c>
      <c r="B2033" s="7" t="s">
        <v>287</v>
      </c>
      <c r="C2033" s="42">
        <v>2258.0300000000002</v>
      </c>
      <c r="D2033" s="6">
        <v>45614</v>
      </c>
      <c r="E2033" s="3" t="str">
        <f ca="1">IF(Tabela2[[#This Row],[Dt Venc:]]&gt;TODAY(),"Em Aberto",IF(Tabela2[[#This Row],[D/venc]]="-","Enviado",IF(Tabela2[[#This Row],[Dt Venc:]]=TODAY(),"Vence Hoje","Vencida")))</f>
        <v>Enviado</v>
      </c>
      <c r="F2033" s="3" t="str">
        <f ca="1">IF(G2033=1,"-",Tabela2[[#This Row],[Dt Venc:]]-TODAY())</f>
        <v>-</v>
      </c>
      <c r="G2033" s="3">
        <v>1</v>
      </c>
      <c r="H2033" s="3"/>
    </row>
    <row r="2034" spans="1:8" hidden="1">
      <c r="A2034" s="3">
        <v>228677</v>
      </c>
      <c r="B2034" s="7" t="s">
        <v>300</v>
      </c>
      <c r="C2034" s="42">
        <v>1295.3900000000001</v>
      </c>
      <c r="D2034" s="6">
        <v>45614</v>
      </c>
      <c r="E2034" s="3" t="str">
        <f ca="1">IF(Tabela2[[#This Row],[Dt Venc:]]&gt;TODAY(),"Em Aberto",IF(Tabela2[[#This Row],[D/venc]]="-","Enviado",IF(Tabela2[[#This Row],[Dt Venc:]]=TODAY(),"Vence Hoje","Vencida")))</f>
        <v>Enviado</v>
      </c>
      <c r="F2034" s="3" t="str">
        <f ca="1">IF(G2034=1,"-",Tabela2[[#This Row],[Dt Venc:]]-TODAY())</f>
        <v>-</v>
      </c>
      <c r="G2034" s="3">
        <v>1</v>
      </c>
      <c r="H2034" s="3"/>
    </row>
    <row r="2035" spans="1:8" hidden="1">
      <c r="A2035" s="3">
        <v>5887</v>
      </c>
      <c r="B2035" s="7" t="s">
        <v>47</v>
      </c>
      <c r="C2035" s="42">
        <v>813.08</v>
      </c>
      <c r="D2035" s="6">
        <v>45614</v>
      </c>
      <c r="E2035" s="3" t="str">
        <f ca="1">IF(Tabela2[[#This Row],[Dt Venc:]]&gt;TODAY(),"Em Aberto",IF(Tabela2[[#This Row],[D/venc]]="-","Enviado",IF(Tabela2[[#This Row],[Dt Venc:]]=TODAY(),"Vence Hoje","Vencida")))</f>
        <v>Enviado</v>
      </c>
      <c r="F2035" s="3" t="str">
        <f ca="1">IF(G2035=1,"-",Tabela2[[#This Row],[Dt Venc:]]-TODAY())</f>
        <v>-</v>
      </c>
      <c r="G2035" s="3">
        <v>1</v>
      </c>
      <c r="H2035" s="3"/>
    </row>
    <row r="2036" spans="1:8" hidden="1">
      <c r="A2036" s="3">
        <v>152970</v>
      </c>
      <c r="B2036" s="7" t="s">
        <v>77</v>
      </c>
      <c r="C2036" s="42">
        <v>433.33</v>
      </c>
      <c r="D2036" s="6">
        <v>45614</v>
      </c>
      <c r="E2036" s="3" t="str">
        <f ca="1">IF(Tabela2[[#This Row],[Dt Venc:]]&gt;TODAY(),"Em Aberto",IF(Tabela2[[#This Row],[D/venc]]="-","Enviado",IF(Tabela2[[#This Row],[Dt Venc:]]=TODAY(),"Vence Hoje","Vencida")))</f>
        <v>Enviado</v>
      </c>
      <c r="F2036" s="3" t="str">
        <f ca="1">IF(G2036=1,"-",Tabela2[[#This Row],[Dt Venc:]]-TODAY())</f>
        <v>-</v>
      </c>
      <c r="G2036" s="3">
        <v>1</v>
      </c>
      <c r="H2036" s="3"/>
    </row>
    <row r="2037" spans="1:8" hidden="1">
      <c r="A2037" s="3">
        <v>220574</v>
      </c>
      <c r="B2037" s="7" t="s">
        <v>127</v>
      </c>
      <c r="C2037" s="42">
        <v>2056.2199999999998</v>
      </c>
      <c r="D2037" s="6">
        <v>45614</v>
      </c>
      <c r="E2037" s="3" t="str">
        <f ca="1">IF(Tabela2[[#This Row],[Dt Venc:]]&gt;TODAY(),"Em Aberto",IF(Tabela2[[#This Row],[D/venc]]="-","Enviado",IF(Tabela2[[#This Row],[Dt Venc:]]=TODAY(),"Vence Hoje","Vencida")))</f>
        <v>Enviado</v>
      </c>
      <c r="F2037" s="3" t="str">
        <f ca="1">IF(G2037=1,"-",Tabela2[[#This Row],[Dt Venc:]]-TODAY())</f>
        <v>-</v>
      </c>
      <c r="G2037" s="3">
        <v>1</v>
      </c>
      <c r="H2037" s="3"/>
    </row>
    <row r="2038" spans="1:8" hidden="1">
      <c r="A2038" s="3">
        <v>368077</v>
      </c>
      <c r="B2038" s="7" t="s">
        <v>302</v>
      </c>
      <c r="C2038" s="42">
        <v>350.15</v>
      </c>
      <c r="D2038" s="6">
        <v>45614</v>
      </c>
      <c r="E2038" s="3" t="str">
        <f ca="1">IF(Tabela2[[#This Row],[Dt Venc:]]&gt;TODAY(),"Em Aberto",IF(Tabela2[[#This Row],[D/venc]]="-","Enviado",IF(Tabela2[[#This Row],[Dt Venc:]]=TODAY(),"Vence Hoje","Vencida")))</f>
        <v>Enviado</v>
      </c>
      <c r="F2038" s="3" t="str">
        <f ca="1">IF(G2038=1,"-",Tabela2[[#This Row],[Dt Venc:]]-TODAY())</f>
        <v>-</v>
      </c>
      <c r="G2038" s="3">
        <v>1</v>
      </c>
      <c r="H2038" s="3"/>
    </row>
    <row r="2039" spans="1:8" hidden="1">
      <c r="A2039" s="3">
        <v>81213</v>
      </c>
      <c r="B2039" s="7" t="s">
        <v>302</v>
      </c>
      <c r="C2039" s="42">
        <v>150.32</v>
      </c>
      <c r="D2039" s="6">
        <v>45614</v>
      </c>
      <c r="E2039" s="3" t="str">
        <f ca="1">IF(Tabela2[[#This Row],[Dt Venc:]]&gt;TODAY(),"Em Aberto",IF(Tabela2[[#This Row],[D/venc]]="-","Enviado",IF(Tabela2[[#This Row],[Dt Venc:]]=TODAY(),"Vence Hoje","Vencida")))</f>
        <v>Enviado</v>
      </c>
      <c r="F2039" s="3" t="str">
        <f ca="1">IF(G2039=1,"-",Tabela2[[#This Row],[Dt Venc:]]-TODAY())</f>
        <v>-</v>
      </c>
      <c r="G2039" s="3">
        <v>1</v>
      </c>
      <c r="H2039" s="3"/>
    </row>
    <row r="2040" spans="1:8" hidden="1">
      <c r="A2040" s="3">
        <v>81215</v>
      </c>
      <c r="B2040" s="7" t="s">
        <v>302</v>
      </c>
      <c r="C2040" s="42">
        <v>690</v>
      </c>
      <c r="D2040" s="6">
        <v>45614</v>
      </c>
      <c r="E2040" s="3" t="str">
        <f ca="1">IF(Tabela2[[#This Row],[Dt Venc:]]&gt;TODAY(),"Em Aberto",IF(Tabela2[[#This Row],[D/venc]]="-","Enviado",IF(Tabela2[[#This Row],[Dt Venc:]]=TODAY(),"Vence Hoje","Vencida")))</f>
        <v>Enviado</v>
      </c>
      <c r="F2040" s="3" t="str">
        <f ca="1">IF(G2040=1,"-",Tabela2[[#This Row],[Dt Venc:]]-TODAY())</f>
        <v>-</v>
      </c>
      <c r="G2040" s="3">
        <v>1</v>
      </c>
      <c r="H2040" s="3"/>
    </row>
    <row r="2041" spans="1:8" hidden="1">
      <c r="A2041" s="3">
        <v>368073</v>
      </c>
      <c r="B2041" s="7" t="s">
        <v>302</v>
      </c>
      <c r="C2041" s="42">
        <v>350.15</v>
      </c>
      <c r="D2041" s="6">
        <v>45614</v>
      </c>
      <c r="E2041" s="3" t="str">
        <f ca="1">IF(Tabela2[[#This Row],[Dt Venc:]]&gt;TODAY(),"Em Aberto",IF(Tabela2[[#This Row],[D/venc]]="-","Enviado",IF(Tabela2[[#This Row],[Dt Venc:]]=TODAY(),"Vence Hoje","Vencida")))</f>
        <v>Enviado</v>
      </c>
      <c r="F2041" s="3" t="str">
        <f ca="1">IF(G2041=1,"-",Tabela2[[#This Row],[Dt Venc:]]-TODAY())</f>
        <v>-</v>
      </c>
      <c r="G2041" s="3">
        <v>1</v>
      </c>
      <c r="H2041" s="3"/>
    </row>
    <row r="2042" spans="1:8" hidden="1">
      <c r="A2042" s="3">
        <v>30001</v>
      </c>
      <c r="B2042" s="7" t="s">
        <v>107</v>
      </c>
      <c r="C2042" s="42">
        <v>3358</v>
      </c>
      <c r="D2042" s="6">
        <v>45614</v>
      </c>
      <c r="E2042" s="3" t="str">
        <f ca="1">IF(Tabela2[[#This Row],[Dt Venc:]]&gt;TODAY(),"Em Aberto",IF(Tabela2[[#This Row],[D/venc]]="-","Enviado",IF(Tabela2[[#This Row],[Dt Venc:]]=TODAY(),"Vence Hoje","Vencida")))</f>
        <v>Enviado</v>
      </c>
      <c r="F2042" s="3" t="str">
        <f ca="1">IF(G2042=1,"-",Tabela2[[#This Row],[Dt Venc:]]-TODAY())</f>
        <v>-</v>
      </c>
      <c r="G2042" s="3">
        <v>1</v>
      </c>
      <c r="H2042" s="3"/>
    </row>
    <row r="2043" spans="1:8" hidden="1">
      <c r="A2043" s="3">
        <v>608946</v>
      </c>
      <c r="B2043" s="7" t="s">
        <v>66</v>
      </c>
      <c r="C2043" s="42">
        <v>815.59</v>
      </c>
      <c r="D2043" s="6">
        <v>45614</v>
      </c>
      <c r="E2043" s="3" t="str">
        <f ca="1">IF(Tabela2[[#This Row],[Dt Venc:]]&gt;TODAY(),"Em Aberto",IF(Tabela2[[#This Row],[D/venc]]="-","Enviado",IF(Tabela2[[#This Row],[Dt Venc:]]=TODAY(),"Vence Hoje","Vencida")))</f>
        <v>Enviado</v>
      </c>
      <c r="F2043" s="3" t="str">
        <f ca="1">IF(G2043=1,"-",Tabela2[[#This Row],[Dt Venc:]]-TODAY())</f>
        <v>-</v>
      </c>
      <c r="G2043" s="3">
        <v>1</v>
      </c>
      <c r="H2043" s="3"/>
    </row>
    <row r="2044" spans="1:8" hidden="1">
      <c r="A2044" s="3">
        <v>14118</v>
      </c>
      <c r="B2044" s="7" t="s">
        <v>303</v>
      </c>
      <c r="C2044" s="42">
        <v>793.34</v>
      </c>
      <c r="D2044" s="6">
        <v>45614</v>
      </c>
      <c r="E2044" s="3" t="str">
        <f ca="1">IF(Tabela2[[#This Row],[Dt Venc:]]&gt;TODAY(),"Em Aberto",IF(Tabela2[[#This Row],[D/venc]]="-","Enviado",IF(Tabela2[[#This Row],[Dt Venc:]]=TODAY(),"Vence Hoje","Vencida")))</f>
        <v>Enviado</v>
      </c>
      <c r="F2044" s="3" t="str">
        <f ca="1">IF(G2044=1,"-",Tabela2[[#This Row],[Dt Venc:]]-TODAY())</f>
        <v>-</v>
      </c>
      <c r="G2044" s="3">
        <v>1</v>
      </c>
      <c r="H2044" s="3"/>
    </row>
    <row r="2045" spans="1:8" hidden="1">
      <c r="A2045" s="3">
        <v>229007</v>
      </c>
      <c r="B2045" s="7" t="s">
        <v>43</v>
      </c>
      <c r="C2045" s="42">
        <v>497.63</v>
      </c>
      <c r="D2045" s="6">
        <v>45614</v>
      </c>
      <c r="E2045" s="3" t="str">
        <f ca="1">IF(Tabela2[[#This Row],[Dt Venc:]]&gt;TODAY(),"Em Aberto",IF(Tabela2[[#This Row],[D/venc]]="-","Enviado",IF(Tabela2[[#This Row],[Dt Venc:]]=TODAY(),"Vence Hoje","Vencida")))</f>
        <v>Enviado</v>
      </c>
      <c r="F2045" s="3" t="str">
        <f ca="1">IF(G2045=1,"-",Tabela2[[#This Row],[Dt Venc:]]-TODAY())</f>
        <v>-</v>
      </c>
      <c r="G2045" s="3">
        <v>1</v>
      </c>
      <c r="H2045" s="3"/>
    </row>
    <row r="2046" spans="1:8" hidden="1">
      <c r="A2046" s="3">
        <v>255956</v>
      </c>
      <c r="B2046" s="7" t="s">
        <v>49</v>
      </c>
      <c r="C2046" s="42">
        <v>1393.34</v>
      </c>
      <c r="D2046" s="6">
        <v>45614</v>
      </c>
      <c r="E2046" s="3" t="str">
        <f ca="1">IF(Tabela2[[#This Row],[Dt Venc:]]&gt;TODAY(),"Em Aberto",IF(Tabela2[[#This Row],[D/venc]]="-","Enviado",IF(Tabela2[[#This Row],[Dt Venc:]]=TODAY(),"Vence Hoje","Vencida")))</f>
        <v>Enviado</v>
      </c>
      <c r="F2046" s="3" t="str">
        <f ca="1">IF(G2046=1,"-",Tabela2[[#This Row],[Dt Venc:]]-TODAY())</f>
        <v>-</v>
      </c>
      <c r="G2046" s="3">
        <v>1</v>
      </c>
      <c r="H2046" s="3"/>
    </row>
    <row r="2047" spans="1:8" hidden="1">
      <c r="A2047" s="3">
        <v>64706</v>
      </c>
      <c r="B2047" s="7" t="s">
        <v>379</v>
      </c>
      <c r="C2047" s="42">
        <v>440</v>
      </c>
      <c r="D2047" s="6">
        <v>45614</v>
      </c>
      <c r="E2047" s="3" t="str">
        <f ca="1">IF(Tabela2[[#This Row],[Dt Venc:]]&gt;TODAY(),"Em Aberto",IF(Tabela2[[#This Row],[D/venc]]="-","Enviado",IF(Tabela2[[#This Row],[Dt Venc:]]=TODAY(),"Vence Hoje","Vencida")))</f>
        <v>Enviado</v>
      </c>
      <c r="F2047" s="3" t="str">
        <f ca="1">IF(G2047=1,"-",Tabela2[[#This Row],[Dt Venc:]]-TODAY())</f>
        <v>-</v>
      </c>
      <c r="G2047" s="3">
        <v>1</v>
      </c>
      <c r="H2047" s="3"/>
    </row>
    <row r="2048" spans="1:8" hidden="1">
      <c r="B2048" s="7" t="s">
        <v>442</v>
      </c>
      <c r="C2048" s="42">
        <v>6050</v>
      </c>
      <c r="D2048" s="6">
        <v>45614</v>
      </c>
      <c r="E2048" s="3" t="str">
        <f ca="1">IF(Tabela2[[#This Row],[Dt Venc:]]&gt;TODAY(),"Em Aberto",IF(Tabela2[[#This Row],[D/venc]]="-","Enviado",IF(Tabela2[[#This Row],[Dt Venc:]]=TODAY(),"Vence Hoje","Vencida")))</f>
        <v>Enviado</v>
      </c>
      <c r="F2048" s="3" t="str">
        <f ca="1">IF(G2048=1,"-",Tabela2[[#This Row],[Dt Venc:]]-TODAY())</f>
        <v>-</v>
      </c>
      <c r="G2048" s="3">
        <v>1</v>
      </c>
      <c r="H2048" s="3"/>
    </row>
    <row r="2049" spans="1:8" hidden="1">
      <c r="A2049" s="3">
        <v>256237</v>
      </c>
      <c r="B2049" s="7" t="s">
        <v>49</v>
      </c>
      <c r="C2049" s="42">
        <v>1393.34</v>
      </c>
      <c r="D2049" s="6">
        <v>45614</v>
      </c>
      <c r="E2049" s="3" t="str">
        <f ca="1">IF(Tabela2[[#This Row],[Dt Venc:]]&gt;TODAY(),"Em Aberto",IF(Tabela2[[#This Row],[D/venc]]="-","Enviado",IF(Tabela2[[#This Row],[Dt Venc:]]=TODAY(),"Vence Hoje","Vencida")))</f>
        <v>Enviado</v>
      </c>
      <c r="F2049" s="3" t="str">
        <f ca="1">IF(G2049=1,"-",Tabela2[[#This Row],[Dt Venc:]]-TODAY())</f>
        <v>-</v>
      </c>
      <c r="G2049" s="3">
        <v>1</v>
      </c>
      <c r="H2049" s="3"/>
    </row>
    <row r="2050" spans="1:8" hidden="1">
      <c r="A2050" s="3">
        <v>11045</v>
      </c>
      <c r="B2050" s="7" t="s">
        <v>33</v>
      </c>
      <c r="C2050" s="41">
        <v>400</v>
      </c>
      <c r="D2050" s="6">
        <v>45614</v>
      </c>
      <c r="E2050" s="3" t="str">
        <f ca="1">IF(Tabela2[[#This Row],[Dt Venc:]]&gt;TODAY(),"Em Aberto",IF(Tabela2[[#This Row],[D/venc]]="-","Enviado",IF(Tabela2[[#This Row],[Dt Venc:]]=TODAY(),"Vence Hoje","Vencida")))</f>
        <v>Enviado</v>
      </c>
      <c r="F2050" s="3" t="str">
        <f ca="1">IF(G2050=1,"-",Tabela2[[#This Row],[Dt Venc:]]-TODAY())</f>
        <v>-</v>
      </c>
      <c r="G2050" s="3">
        <v>1</v>
      </c>
      <c r="H2050" s="3"/>
    </row>
    <row r="2051" spans="1:8" hidden="1">
      <c r="A2051" s="3">
        <v>17191</v>
      </c>
      <c r="B2051" s="7" t="s">
        <v>401</v>
      </c>
      <c r="C2051" s="41">
        <v>800</v>
      </c>
      <c r="D2051" s="6">
        <v>45614</v>
      </c>
      <c r="E2051" s="3" t="str">
        <f ca="1">IF(Tabela2[[#This Row],[Dt Venc:]]&gt;TODAY(),"Em Aberto",IF(Tabela2[[#This Row],[D/venc]]="-","Enviado",IF(Tabela2[[#This Row],[Dt Venc:]]=TODAY(),"Vence Hoje","Vencida")))</f>
        <v>Enviado</v>
      </c>
      <c r="F2051" s="3" t="str">
        <f ca="1">IF(G2051=1,"-",Tabela2[[#This Row],[Dt Venc:]]-TODAY())</f>
        <v>-</v>
      </c>
      <c r="G2051" s="3">
        <v>1</v>
      </c>
      <c r="H2051" s="3"/>
    </row>
    <row r="2052" spans="1:8" hidden="1">
      <c r="A2052" s="3">
        <v>14167</v>
      </c>
      <c r="B2052" s="7" t="s">
        <v>51</v>
      </c>
      <c r="C2052" s="41">
        <v>400</v>
      </c>
      <c r="D2052" s="6">
        <v>45614</v>
      </c>
      <c r="E2052" s="3" t="str">
        <f ca="1">IF(Tabela2[[#This Row],[Dt Venc:]]&gt;TODAY(),"Em Aberto",IF(Tabela2[[#This Row],[D/venc]]="-","Enviado",IF(Tabela2[[#This Row],[Dt Venc:]]=TODAY(),"Vence Hoje","Vencida")))</f>
        <v>Enviado</v>
      </c>
      <c r="F2052" s="3" t="str">
        <f ca="1">IF(G2052=1,"-",Tabela2[[#This Row],[Dt Venc:]]-TODAY())</f>
        <v>-</v>
      </c>
      <c r="G2052" s="3">
        <v>1</v>
      </c>
      <c r="H2052" s="3"/>
    </row>
    <row r="2053" spans="1:8" hidden="1">
      <c r="A2053" s="3">
        <v>31371</v>
      </c>
      <c r="B2053" s="7" t="s">
        <v>421</v>
      </c>
      <c r="C2053" s="41">
        <v>353.47</v>
      </c>
      <c r="D2053" s="6">
        <v>45614</v>
      </c>
      <c r="E2053" s="3" t="str">
        <f ca="1">IF(Tabela2[[#This Row],[Dt Venc:]]&gt;TODAY(),"Em Aberto",IF(Tabela2[[#This Row],[D/venc]]="-","Enviado",IF(Tabela2[[#This Row],[Dt Venc:]]=TODAY(),"Vence Hoje","Vencida")))</f>
        <v>Enviado</v>
      </c>
      <c r="F2053" s="3" t="str">
        <f ca="1">IF(G2053=1,"-",Tabela2[[#This Row],[Dt Venc:]]-TODAY())</f>
        <v>-</v>
      </c>
      <c r="G2053" s="3">
        <v>1</v>
      </c>
      <c r="H2053" s="3"/>
    </row>
    <row r="2054" spans="1:8" hidden="1">
      <c r="A2054" s="3">
        <v>3933</v>
      </c>
      <c r="B2054" s="7" t="s">
        <v>443</v>
      </c>
      <c r="C2054" s="41">
        <v>2803.2</v>
      </c>
      <c r="D2054" s="6">
        <v>45614</v>
      </c>
      <c r="E2054" s="3" t="str">
        <f ca="1">IF(Tabela2[[#This Row],[Dt Venc:]]&gt;TODAY(),"Em Aberto",IF(Tabela2[[#This Row],[D/venc]]="-","Enviado",IF(Tabela2[[#This Row],[Dt Venc:]]=TODAY(),"Vence Hoje","Vencida")))</f>
        <v>Enviado</v>
      </c>
      <c r="F2054" s="3" t="str">
        <f ca="1">IF(G2054=1,"-",Tabela2[[#This Row],[Dt Venc:]]-TODAY())</f>
        <v>-</v>
      </c>
      <c r="G2054" s="3">
        <v>1</v>
      </c>
      <c r="H2054" s="3"/>
    </row>
    <row r="2055" spans="1:8" hidden="1">
      <c r="A2055" s="3">
        <v>72136</v>
      </c>
      <c r="B2055" s="7" t="s">
        <v>76</v>
      </c>
      <c r="C2055" s="41">
        <v>670.12</v>
      </c>
      <c r="D2055" s="6">
        <v>45614</v>
      </c>
      <c r="E2055" s="3" t="str">
        <f ca="1">IF(Tabela2[[#This Row],[Dt Venc:]]&gt;TODAY(),"Em Aberto",IF(Tabela2[[#This Row],[D/venc]]="-","Enviado",IF(Tabela2[[#This Row],[Dt Venc:]]=TODAY(),"Vence Hoje","Vencida")))</f>
        <v>Enviado</v>
      </c>
      <c r="F2055" s="3" t="str">
        <f ca="1">IF(G2055=1,"-",Tabela2[[#This Row],[Dt Venc:]]-TODAY())</f>
        <v>-</v>
      </c>
      <c r="G2055" s="3">
        <v>1</v>
      </c>
      <c r="H2055" s="3"/>
    </row>
    <row r="2056" spans="1:8" hidden="1">
      <c r="A2056" s="3">
        <v>88836</v>
      </c>
      <c r="B2056" s="7" t="s">
        <v>444</v>
      </c>
      <c r="C2056" s="41">
        <v>350</v>
      </c>
      <c r="D2056" s="6">
        <v>45614</v>
      </c>
      <c r="E2056" s="3" t="str">
        <f ca="1">IF(Tabela2[[#This Row],[Dt Venc:]]&gt;TODAY(),"Em Aberto",IF(Tabela2[[#This Row],[D/venc]]="-","Enviado",IF(Tabela2[[#This Row],[Dt Venc:]]=TODAY(),"Vence Hoje","Vencida")))</f>
        <v>Enviado</v>
      </c>
      <c r="F2056" s="3" t="str">
        <f ca="1">IF(G2056=1,"-",Tabela2[[#This Row],[Dt Venc:]]-TODAY())</f>
        <v>-</v>
      </c>
      <c r="G2056" s="3">
        <v>1</v>
      </c>
      <c r="H2056" s="3"/>
    </row>
    <row r="2057" spans="1:8" hidden="1">
      <c r="A2057" s="3">
        <v>394952</v>
      </c>
      <c r="B2057" s="7" t="s">
        <v>445</v>
      </c>
      <c r="C2057" s="41">
        <v>1870</v>
      </c>
      <c r="D2057" s="6">
        <v>45614</v>
      </c>
      <c r="E2057" s="3" t="str">
        <f ca="1">IF(Tabela2[[#This Row],[Dt Venc:]]&gt;TODAY(),"Em Aberto",IF(Tabela2[[#This Row],[D/venc]]="-","Enviado",IF(Tabela2[[#This Row],[Dt Venc:]]=TODAY(),"Vence Hoje","Vencida")))</f>
        <v>Enviado</v>
      </c>
      <c r="F2057" s="3" t="str">
        <f ca="1">IF(G2057=1,"-",Tabela2[[#This Row],[Dt Venc:]]-TODAY())</f>
        <v>-</v>
      </c>
      <c r="G2057" s="3">
        <v>1</v>
      </c>
      <c r="H2057" s="3"/>
    </row>
    <row r="2058" spans="1:8" hidden="1">
      <c r="A2058" s="3">
        <v>231961</v>
      </c>
      <c r="B2058" s="7" t="s">
        <v>40</v>
      </c>
      <c r="C2058" s="41">
        <v>816.68</v>
      </c>
      <c r="D2058" s="6">
        <v>45614</v>
      </c>
      <c r="E2058" s="3" t="str">
        <f ca="1">IF(Tabela2[[#This Row],[Dt Venc:]]&gt;TODAY(),"Em Aberto",IF(Tabela2[[#This Row],[D/venc]]="-","Enviado",IF(Tabela2[[#This Row],[Dt Venc:]]=TODAY(),"Vence Hoje","Vencida")))</f>
        <v>Enviado</v>
      </c>
      <c r="F2058" s="3" t="str">
        <f ca="1">IF(G2058=1,"-",Tabela2[[#This Row],[Dt Venc:]]-TODAY())</f>
        <v>-</v>
      </c>
      <c r="G2058" s="3">
        <v>1</v>
      </c>
      <c r="H2058" s="3"/>
    </row>
    <row r="2059" spans="1:8" hidden="1">
      <c r="A2059" s="3">
        <v>231963</v>
      </c>
      <c r="B2059" s="7" t="s">
        <v>40</v>
      </c>
      <c r="C2059" s="41">
        <v>1100</v>
      </c>
      <c r="D2059" s="6">
        <v>45614</v>
      </c>
      <c r="E2059" s="3" t="str">
        <f ca="1">IF(Tabela2[[#This Row],[Dt Venc:]]&gt;TODAY(),"Em Aberto",IF(Tabela2[[#This Row],[D/venc]]="-","Enviado",IF(Tabela2[[#This Row],[Dt Venc:]]=TODAY(),"Vence Hoje","Vencida")))</f>
        <v>Enviado</v>
      </c>
      <c r="F2059" s="3" t="str">
        <f ca="1">IF(G2059=1,"-",Tabela2[[#This Row],[Dt Venc:]]-TODAY())</f>
        <v>-</v>
      </c>
      <c r="G2059" s="3">
        <v>1</v>
      </c>
      <c r="H2059" s="3"/>
    </row>
    <row r="2060" spans="1:8" hidden="1">
      <c r="A2060" s="3">
        <v>231962</v>
      </c>
      <c r="B2060" s="7" t="s">
        <v>40</v>
      </c>
      <c r="C2060" s="41">
        <v>1633.34</v>
      </c>
      <c r="D2060" s="6">
        <v>45614</v>
      </c>
      <c r="E2060" s="3" t="str">
        <f ca="1">IF(Tabela2[[#This Row],[Dt Venc:]]&gt;TODAY(),"Em Aberto",IF(Tabela2[[#This Row],[D/venc]]="-","Enviado",IF(Tabela2[[#This Row],[Dt Venc:]]=TODAY(),"Vence Hoje","Vencida")))</f>
        <v>Enviado</v>
      </c>
      <c r="F2060" s="3" t="str">
        <f ca="1">IF(G2060=1,"-",Tabela2[[#This Row],[Dt Venc:]]-TODAY())</f>
        <v>-</v>
      </c>
      <c r="G2060" s="3">
        <v>1</v>
      </c>
      <c r="H2060" s="3"/>
    </row>
    <row r="2061" spans="1:8" hidden="1">
      <c r="A2061" s="3">
        <v>256620</v>
      </c>
      <c r="B2061" s="7" t="s">
        <v>49</v>
      </c>
      <c r="C2061" s="41">
        <v>1045</v>
      </c>
      <c r="D2061" s="6">
        <v>45614</v>
      </c>
      <c r="E2061" s="3" t="str">
        <f ca="1">IF(Tabela2[[#This Row],[Dt Venc:]]&gt;TODAY(),"Em Aberto",IF(Tabela2[[#This Row],[D/venc]]="-","Enviado",IF(Tabela2[[#This Row],[Dt Venc:]]=TODAY(),"Vence Hoje","Vencida")))</f>
        <v>Enviado</v>
      </c>
      <c r="F2061" s="3" t="str">
        <f ca="1">IF(G2061=1,"-",Tabela2[[#This Row],[Dt Venc:]]-TODAY())</f>
        <v>-</v>
      </c>
      <c r="G2061" s="3">
        <v>1</v>
      </c>
      <c r="H2061" s="3"/>
    </row>
    <row r="2062" spans="1:8" hidden="1">
      <c r="A2062" s="3">
        <v>370551</v>
      </c>
      <c r="B2062" s="7" t="s">
        <v>39</v>
      </c>
      <c r="C2062" s="41">
        <v>238.11</v>
      </c>
      <c r="D2062" s="6">
        <v>45614</v>
      </c>
      <c r="E2062" s="3" t="str">
        <f ca="1">IF(Tabela2[[#This Row],[Dt Venc:]]&gt;TODAY(),"Em Aberto",IF(Tabela2[[#This Row],[D/venc]]="-","Enviado",IF(Tabela2[[#This Row],[Dt Venc:]]=TODAY(),"Vence Hoje","Vencida")))</f>
        <v>Enviado</v>
      </c>
      <c r="F2062" s="3" t="str">
        <f ca="1">IF(G2062=1,"-",Tabela2[[#This Row],[Dt Venc:]]-TODAY())</f>
        <v>-</v>
      </c>
      <c r="G2062" s="3">
        <v>1</v>
      </c>
      <c r="H2062" s="3"/>
    </row>
    <row r="2063" spans="1:8" hidden="1">
      <c r="A2063" s="3">
        <v>81740</v>
      </c>
      <c r="B2063" s="7" t="s">
        <v>39</v>
      </c>
      <c r="C2063" s="41">
        <v>795.98</v>
      </c>
      <c r="D2063" s="6">
        <v>45614</v>
      </c>
      <c r="E2063" s="3" t="str">
        <f ca="1">IF(Tabela2[[#This Row],[Dt Venc:]]&gt;TODAY(),"Em Aberto",IF(Tabela2[[#This Row],[D/venc]]="-","Enviado",IF(Tabela2[[#This Row],[Dt Venc:]]=TODAY(),"Vence Hoje","Vencida")))</f>
        <v>Enviado</v>
      </c>
      <c r="F2063" s="3" t="str">
        <f ca="1">IF(G2063=1,"-",Tabela2[[#This Row],[Dt Venc:]]-TODAY())</f>
        <v>-</v>
      </c>
      <c r="G2063" s="3">
        <v>1</v>
      </c>
      <c r="H2063" s="3"/>
    </row>
    <row r="2064" spans="1:8" hidden="1">
      <c r="A2064" s="3">
        <v>304145</v>
      </c>
      <c r="B2064" s="7" t="s">
        <v>189</v>
      </c>
      <c r="C2064" s="41">
        <v>15565</v>
      </c>
      <c r="D2064" s="6">
        <v>45614</v>
      </c>
      <c r="E2064" s="3" t="str">
        <f ca="1">IF(Tabela2[[#This Row],[Dt Venc:]]&gt;TODAY(),"Em Aberto",IF(Tabela2[[#This Row],[D/venc]]="-","Enviado",IF(Tabela2[[#This Row],[Dt Venc:]]=TODAY(),"Vence Hoje","Vencida")))</f>
        <v>Enviado</v>
      </c>
      <c r="F2064" s="3" t="str">
        <f ca="1">IF(G2064=1,"-",Tabela2[[#This Row],[Dt Venc:]]-TODAY())</f>
        <v>-</v>
      </c>
      <c r="G2064" s="3">
        <v>1</v>
      </c>
      <c r="H2064" s="3"/>
    </row>
    <row r="2065" spans="1:8" hidden="1">
      <c r="A2065" s="3">
        <v>304143</v>
      </c>
      <c r="B2065" s="7" t="s">
        <v>189</v>
      </c>
      <c r="C2065" s="41">
        <v>15565</v>
      </c>
      <c r="D2065" s="6">
        <v>45614</v>
      </c>
      <c r="E2065" s="3" t="str">
        <f ca="1">IF(Tabela2[[#This Row],[Dt Venc:]]&gt;TODAY(),"Em Aberto",IF(Tabela2[[#This Row],[D/venc]]="-","Enviado",IF(Tabela2[[#This Row],[Dt Venc:]]=TODAY(),"Vence Hoje","Vencida")))</f>
        <v>Enviado</v>
      </c>
      <c r="F2065" s="3" t="str">
        <f ca="1">IF(G2065=1,"-",Tabela2[[#This Row],[Dt Venc:]]-TODAY())</f>
        <v>-</v>
      </c>
      <c r="G2065" s="3">
        <v>1</v>
      </c>
      <c r="H2065" s="3"/>
    </row>
    <row r="2066" spans="1:8" hidden="1">
      <c r="A2066" s="3">
        <v>304144</v>
      </c>
      <c r="B2066" s="7" t="s">
        <v>189</v>
      </c>
      <c r="C2066" s="41">
        <v>16036.67</v>
      </c>
      <c r="D2066" s="6">
        <v>45614</v>
      </c>
      <c r="E2066" s="3" t="str">
        <f ca="1">IF(Tabela2[[#This Row],[Dt Venc:]]&gt;TODAY(),"Em Aberto",IF(Tabela2[[#This Row],[D/venc]]="-","Enviado",IF(Tabela2[[#This Row],[Dt Venc:]]=TODAY(),"Vence Hoje","Vencida")))</f>
        <v>Enviado</v>
      </c>
      <c r="F2066" s="3" t="str">
        <f ca="1">IF(G2066=1,"-",Tabela2[[#This Row],[Dt Venc:]]-TODAY())</f>
        <v>-</v>
      </c>
      <c r="G2066" s="3">
        <v>1</v>
      </c>
      <c r="H2066" s="3"/>
    </row>
    <row r="2067" spans="1:8" hidden="1">
      <c r="A2067" s="3">
        <v>19297</v>
      </c>
      <c r="B2067" s="7" t="s">
        <v>367</v>
      </c>
      <c r="C2067" s="41">
        <v>1660</v>
      </c>
      <c r="D2067" s="6">
        <v>45614</v>
      </c>
      <c r="E2067" s="3" t="str">
        <f ca="1">IF(Tabela2[[#This Row],[Dt Venc:]]&gt;TODAY(),"Em Aberto",IF(Tabela2[[#This Row],[D/venc]]="-","Enviado",IF(Tabela2[[#This Row],[Dt Venc:]]=TODAY(),"Vence Hoje","Vencida")))</f>
        <v>Enviado</v>
      </c>
      <c r="F2067" s="3" t="str">
        <f ca="1">IF(G2067=1,"-",Tabela2[[#This Row],[Dt Venc:]]-TODAY())</f>
        <v>-</v>
      </c>
      <c r="G2067" s="3">
        <v>1</v>
      </c>
      <c r="H2067" s="3"/>
    </row>
    <row r="2068" spans="1:8" hidden="1">
      <c r="A2068" s="3">
        <v>3908</v>
      </c>
      <c r="B2068" s="7" t="s">
        <v>361</v>
      </c>
      <c r="C2068" s="41">
        <v>136.16999999999999</v>
      </c>
      <c r="D2068" s="6">
        <v>45614</v>
      </c>
      <c r="E2068" s="3" t="str">
        <f ca="1">IF(Tabela2[[#This Row],[Dt Venc:]]&gt;TODAY(),"Em Aberto",IF(Tabela2[[#This Row],[D/venc]]="-","Enviado",IF(Tabela2[[#This Row],[Dt Venc:]]=TODAY(),"Vence Hoje","Vencida")))</f>
        <v>Enviado</v>
      </c>
      <c r="F2068" s="3" t="str">
        <f ca="1">IF(G2068=1,"-",Tabela2[[#This Row],[Dt Venc:]]-TODAY())</f>
        <v>-</v>
      </c>
      <c r="G2068" s="3">
        <v>1</v>
      </c>
      <c r="H2068" s="3"/>
    </row>
    <row r="2069" spans="1:8" hidden="1">
      <c r="A2069" s="3">
        <v>2646</v>
      </c>
      <c r="B2069" s="7" t="s">
        <v>423</v>
      </c>
      <c r="C2069" s="41">
        <v>550</v>
      </c>
      <c r="D2069" s="6">
        <v>45614</v>
      </c>
      <c r="E2069" s="3" t="str">
        <f ca="1">IF(Tabela2[[#This Row],[Dt Venc:]]&gt;TODAY(),"Em Aberto",IF(Tabela2[[#This Row],[D/venc]]="-","Enviado",IF(Tabela2[[#This Row],[Dt Venc:]]=TODAY(),"Vence Hoje","Vencida")))</f>
        <v>Enviado</v>
      </c>
      <c r="F2069" s="3" t="str">
        <f ca="1">IF(G2069=1,"-",Tabela2[[#This Row],[Dt Venc:]]-TODAY())</f>
        <v>-</v>
      </c>
      <c r="G2069" s="3">
        <v>1</v>
      </c>
      <c r="H2069" s="3"/>
    </row>
    <row r="2070" spans="1:8" hidden="1">
      <c r="A2070" s="3">
        <v>10094</v>
      </c>
      <c r="B2070" s="7" t="s">
        <v>76</v>
      </c>
      <c r="C2070" s="41">
        <v>65.42</v>
      </c>
      <c r="D2070" s="6">
        <v>45614</v>
      </c>
      <c r="E2070" s="3" t="str">
        <f ca="1">IF(Tabela2[[#This Row],[Dt Venc:]]&gt;TODAY(),"Em Aberto",IF(Tabela2[[#This Row],[D/venc]]="-","Enviado",IF(Tabela2[[#This Row],[Dt Venc:]]=TODAY(),"Vence Hoje","Vencida")))</f>
        <v>Enviado</v>
      </c>
      <c r="F2070" s="3" t="str">
        <f ca="1">IF(G2070=1,"-",Tabela2[[#This Row],[Dt Venc:]]-TODAY())</f>
        <v>-</v>
      </c>
      <c r="G2070" s="3">
        <v>1</v>
      </c>
      <c r="H2070" s="3"/>
    </row>
    <row r="2071" spans="1:8" hidden="1">
      <c r="A2071" s="3">
        <v>9294</v>
      </c>
      <c r="B2071" s="7" t="s">
        <v>378</v>
      </c>
      <c r="C2071" s="41">
        <v>225</v>
      </c>
      <c r="D2071" s="6">
        <v>45614</v>
      </c>
      <c r="E2071" s="3" t="str">
        <f ca="1">IF(Tabela2[[#This Row],[Dt Venc:]]&gt;TODAY(),"Em Aberto",IF(Tabela2[[#This Row],[D/venc]]="-","Enviado",IF(Tabela2[[#This Row],[Dt Venc:]]=TODAY(),"Vence Hoje","Vencida")))</f>
        <v>Enviado</v>
      </c>
      <c r="F2071" s="3" t="str">
        <f ca="1">IF(G2071=1,"-",Tabela2[[#This Row],[Dt Venc:]]-TODAY())</f>
        <v>-</v>
      </c>
      <c r="G2071" s="3">
        <v>1</v>
      </c>
      <c r="H2071" s="3"/>
    </row>
    <row r="2072" spans="1:8" hidden="1">
      <c r="A2072" s="3">
        <v>7664</v>
      </c>
      <c r="B2072" s="7" t="s">
        <v>105</v>
      </c>
      <c r="C2072" s="41">
        <v>1218</v>
      </c>
      <c r="D2072" s="6">
        <v>45614</v>
      </c>
      <c r="E2072" s="3" t="str">
        <f ca="1">IF(Tabela2[[#This Row],[Dt Venc:]]&gt;TODAY(),"Em Aberto",IF(Tabela2[[#This Row],[D/venc]]="-","Enviado",IF(Tabela2[[#This Row],[Dt Venc:]]=TODAY(),"Vence Hoje","Vencida")))</f>
        <v>Enviado</v>
      </c>
      <c r="F2072" s="3" t="str">
        <f ca="1">IF(G2072=1,"-",Tabela2[[#This Row],[Dt Venc:]]-TODAY())</f>
        <v>-</v>
      </c>
      <c r="G2072" s="3">
        <v>1</v>
      </c>
      <c r="H2072" s="3"/>
    </row>
    <row r="2073" spans="1:8" hidden="1">
      <c r="A2073" s="3">
        <v>7407</v>
      </c>
      <c r="B2073" s="7" t="s">
        <v>446</v>
      </c>
      <c r="C2073" s="41">
        <v>540</v>
      </c>
      <c r="D2073" s="6">
        <v>45614</v>
      </c>
      <c r="E2073" s="3" t="str">
        <f ca="1">IF(Tabela2[[#This Row],[Dt Venc:]]&gt;TODAY(),"Em Aberto",IF(Tabela2[[#This Row],[D/venc]]="-","Enviado",IF(Tabela2[[#This Row],[Dt Venc:]]=TODAY(),"Vence Hoje","Vencida")))</f>
        <v>Enviado</v>
      </c>
      <c r="F2073" s="3" t="str">
        <f ca="1">IF(G2073=1,"-",Tabela2[[#This Row],[Dt Venc:]]-TODAY())</f>
        <v>-</v>
      </c>
      <c r="G2073" s="3">
        <v>1</v>
      </c>
      <c r="H2073" s="3"/>
    </row>
    <row r="2074" spans="1:8" hidden="1">
      <c r="A2074" s="3">
        <v>25604</v>
      </c>
      <c r="B2074" s="7" t="s">
        <v>394</v>
      </c>
      <c r="C2074" s="41">
        <v>370.33</v>
      </c>
      <c r="D2074" s="6">
        <v>45614</v>
      </c>
      <c r="E2074" s="3" t="str">
        <f ca="1">IF(Tabela2[[#This Row],[Dt Venc:]]&gt;TODAY(),"Em Aberto",IF(Tabela2[[#This Row],[D/venc]]="-","Enviado",IF(Tabela2[[#This Row],[Dt Venc:]]=TODAY(),"Vence Hoje","Vencida")))</f>
        <v>Enviado</v>
      </c>
      <c r="F2074" s="3" t="str">
        <f ca="1">IF(G2074=1,"-",Tabela2[[#This Row],[Dt Venc:]]-TODAY())</f>
        <v>-</v>
      </c>
      <c r="G2074" s="3">
        <v>1</v>
      </c>
      <c r="H2074" s="3"/>
    </row>
    <row r="2075" spans="1:8" hidden="1">
      <c r="A2075" s="3">
        <v>15650</v>
      </c>
      <c r="B2075" s="7" t="s">
        <v>170</v>
      </c>
      <c r="C2075" s="41">
        <v>450</v>
      </c>
      <c r="D2075" s="6">
        <v>45614</v>
      </c>
      <c r="E2075" s="3" t="str">
        <f ca="1">IF(Tabela2[[#This Row],[Dt Venc:]]&gt;TODAY(),"Em Aberto",IF(Tabela2[[#This Row],[D/venc]]="-","Enviado",IF(Tabela2[[#This Row],[Dt Venc:]]=TODAY(),"Vence Hoje","Vencida")))</f>
        <v>Enviado</v>
      </c>
      <c r="F2075" s="3" t="str">
        <f ca="1">IF(G2075=1,"-",Tabela2[[#This Row],[Dt Venc:]]-TODAY())</f>
        <v>-</v>
      </c>
      <c r="G2075" s="3">
        <v>1</v>
      </c>
      <c r="H2075" s="3"/>
    </row>
    <row r="2076" spans="1:8" hidden="1">
      <c r="A2076" s="3">
        <v>10110</v>
      </c>
      <c r="B2076" s="7" t="s">
        <v>105</v>
      </c>
      <c r="C2076" s="41">
        <v>3000</v>
      </c>
      <c r="D2076" s="6">
        <v>45614</v>
      </c>
      <c r="E2076" s="3" t="str">
        <f ca="1">IF(Tabela2[[#This Row],[Dt Venc:]]&gt;TODAY(),"Em Aberto",IF(Tabela2[[#This Row],[D/venc]]="-","Enviado",IF(Tabela2[[#This Row],[Dt Venc:]]=TODAY(),"Vence Hoje","Vencida")))</f>
        <v>Enviado</v>
      </c>
      <c r="F2076" s="3" t="str">
        <f ca="1">IF(G2076=1,"-",Tabela2[[#This Row],[Dt Venc:]]-TODAY())</f>
        <v>-</v>
      </c>
      <c r="G2076" s="3">
        <v>1</v>
      </c>
      <c r="H2076" s="3"/>
    </row>
    <row r="2077" spans="1:8" hidden="1">
      <c r="A2077" s="3">
        <v>72105</v>
      </c>
      <c r="B2077" s="7" t="s">
        <v>76</v>
      </c>
      <c r="C2077" s="41">
        <v>758.84</v>
      </c>
      <c r="D2077" s="6">
        <v>45614</v>
      </c>
      <c r="E2077" s="3" t="str">
        <f ca="1">IF(Tabela2[[#This Row],[Dt Venc:]]&gt;TODAY(),"Em Aberto",IF(Tabela2[[#This Row],[D/venc]]="-","Enviado",IF(Tabela2[[#This Row],[Dt Venc:]]=TODAY(),"Vence Hoje","Vencida")))</f>
        <v>Enviado</v>
      </c>
      <c r="F2077" s="3" t="str">
        <f ca="1">IF(G2077=1,"-",Tabela2[[#This Row],[Dt Venc:]]-TODAY())</f>
        <v>-</v>
      </c>
      <c r="G2077" s="3">
        <v>1</v>
      </c>
      <c r="H2077" s="3"/>
    </row>
    <row r="2078" spans="1:8" hidden="1">
      <c r="A2078" s="3">
        <v>7404</v>
      </c>
      <c r="B2078" s="7" t="s">
        <v>446</v>
      </c>
      <c r="C2078" s="41">
        <v>360</v>
      </c>
      <c r="D2078" s="6">
        <v>45614</v>
      </c>
      <c r="E2078" s="3" t="str">
        <f ca="1">IF(Tabela2[[#This Row],[Dt Venc:]]&gt;TODAY(),"Em Aberto",IF(Tabela2[[#This Row],[D/venc]]="-","Enviado",IF(Tabela2[[#This Row],[Dt Venc:]]=TODAY(),"Vence Hoje","Vencida")))</f>
        <v>Enviado</v>
      </c>
      <c r="F2078" s="3" t="str">
        <f ca="1">IF(G2078=1,"-",Tabela2[[#This Row],[Dt Venc:]]-TODAY())</f>
        <v>-</v>
      </c>
      <c r="G2078" s="3">
        <v>1</v>
      </c>
      <c r="H2078" s="3"/>
    </row>
    <row r="2079" spans="1:8" hidden="1">
      <c r="A2079" s="3">
        <v>3958</v>
      </c>
      <c r="B2079" s="7" t="s">
        <v>293</v>
      </c>
      <c r="C2079" s="41">
        <v>1875</v>
      </c>
      <c r="D2079" s="6">
        <v>45614</v>
      </c>
      <c r="E2079" s="3" t="str">
        <f ca="1">IF(Tabela2[[#This Row],[Dt Venc:]]&gt;TODAY(),"Em Aberto",IF(Tabela2[[#This Row],[D/venc]]="-","Enviado",IF(Tabela2[[#This Row],[Dt Venc:]]=TODAY(),"Vence Hoje","Vencida")))</f>
        <v>Enviado</v>
      </c>
      <c r="F2079" s="3" t="str">
        <f ca="1">IF(G2079=1,"-",Tabela2[[#This Row],[Dt Venc:]]-TODAY())</f>
        <v>-</v>
      </c>
      <c r="G2079" s="3">
        <v>1</v>
      </c>
      <c r="H2079" s="3"/>
    </row>
    <row r="2080" spans="1:8" hidden="1">
      <c r="A2080" s="3">
        <v>1991230</v>
      </c>
      <c r="B2080" s="7" t="s">
        <v>59</v>
      </c>
      <c r="C2080" s="41">
        <v>136687.5</v>
      </c>
      <c r="D2080" s="6">
        <v>45614</v>
      </c>
      <c r="E2080" s="3" t="str">
        <f ca="1">IF(Tabela2[[#This Row],[Dt Venc:]]&gt;TODAY(),"Em Aberto",IF(Tabela2[[#This Row],[D/venc]]="-","Enviado",IF(Tabela2[[#This Row],[Dt Venc:]]=TODAY(),"Vence Hoje","Vencida")))</f>
        <v>Enviado</v>
      </c>
      <c r="F2080" s="3" t="str">
        <f ca="1">IF(G2080=1,"-",Tabela2[[#This Row],[Dt Venc:]]-TODAY())</f>
        <v>-</v>
      </c>
      <c r="G2080" s="3">
        <v>1</v>
      </c>
      <c r="H2080" s="3"/>
    </row>
    <row r="2081" spans="1:8" hidden="1">
      <c r="A2081" s="3">
        <v>2261917</v>
      </c>
      <c r="B2081" s="7" t="s">
        <v>59</v>
      </c>
      <c r="C2081" s="41">
        <v>27642.5</v>
      </c>
      <c r="D2081" s="6">
        <v>45614</v>
      </c>
      <c r="E2081" s="3" t="str">
        <f ca="1">IF(Tabela2[[#This Row],[Dt Venc:]]&gt;TODAY(),"Em Aberto",IF(Tabela2[[#This Row],[D/venc]]="-","Enviado",IF(Tabela2[[#This Row],[Dt Venc:]]=TODAY(),"Vence Hoje","Vencida")))</f>
        <v>Enviado</v>
      </c>
      <c r="F2081" s="3" t="str">
        <f ca="1">IF(G2081=1,"-",Tabela2[[#This Row],[Dt Venc:]]-TODAY())</f>
        <v>-</v>
      </c>
      <c r="G2081" s="3">
        <v>1</v>
      </c>
      <c r="H2081" s="3"/>
    </row>
    <row r="2082" spans="1:8" hidden="1">
      <c r="A2082" s="3">
        <v>561</v>
      </c>
      <c r="B2082" s="7" t="s">
        <v>280</v>
      </c>
      <c r="C2082" s="41">
        <v>34304.120000000003</v>
      </c>
      <c r="D2082" s="6">
        <v>45614</v>
      </c>
      <c r="E2082" s="3" t="str">
        <f ca="1">IF(Tabela2[[#This Row],[Dt Venc:]]&gt;TODAY(),"Em Aberto",IF(Tabela2[[#This Row],[D/venc]]="-","Enviado",IF(Tabela2[[#This Row],[Dt Venc:]]=TODAY(),"Vence Hoje","Vencida")))</f>
        <v>Enviado</v>
      </c>
      <c r="F2082" s="3" t="str">
        <f ca="1">IF(G2082=1,"-",Tabela2[[#This Row],[Dt Venc:]]-TODAY())</f>
        <v>-</v>
      </c>
      <c r="G2082" s="3">
        <v>1</v>
      </c>
      <c r="H2082" s="3"/>
    </row>
    <row r="2083" spans="1:8" hidden="1">
      <c r="A2083" s="3">
        <v>212339</v>
      </c>
      <c r="B2083" s="7" t="s">
        <v>59</v>
      </c>
      <c r="C2083" s="41">
        <v>55349</v>
      </c>
      <c r="D2083" s="6">
        <v>45614</v>
      </c>
      <c r="E2083" s="3" t="str">
        <f ca="1">IF(Tabela2[[#This Row],[Dt Venc:]]&gt;TODAY(),"Em Aberto",IF(Tabela2[[#This Row],[D/venc]]="-","Enviado",IF(Tabela2[[#This Row],[Dt Venc:]]=TODAY(),"Vence Hoje","Vencida")))</f>
        <v>Enviado</v>
      </c>
      <c r="F2083" s="3" t="str">
        <f ca="1">IF(G2083=1,"-",Tabela2[[#This Row],[Dt Venc:]]-TODAY())</f>
        <v>-</v>
      </c>
      <c r="G2083" s="3">
        <v>1</v>
      </c>
      <c r="H2083" s="3"/>
    </row>
    <row r="2084" spans="1:8" hidden="1">
      <c r="A2084" s="3">
        <v>2652</v>
      </c>
      <c r="B2084" s="7" t="s">
        <v>198</v>
      </c>
      <c r="C2084" s="41">
        <v>230</v>
      </c>
      <c r="D2084" s="6">
        <v>45614</v>
      </c>
      <c r="E2084" s="3" t="str">
        <f ca="1">IF(Tabela2[[#This Row],[Dt Venc:]]&gt;TODAY(),"Em Aberto",IF(Tabela2[[#This Row],[D/venc]]="-","Enviado",IF(Tabela2[[#This Row],[Dt Venc:]]=TODAY(),"Vence Hoje","Vencida")))</f>
        <v>Enviado</v>
      </c>
      <c r="F2084" s="3" t="str">
        <f ca="1">IF(G2084=1,"-",Tabela2[[#This Row],[Dt Venc:]]-TODAY())</f>
        <v>-</v>
      </c>
      <c r="G2084" s="3">
        <v>1</v>
      </c>
      <c r="H2084" s="3"/>
    </row>
    <row r="2085" spans="1:8" hidden="1">
      <c r="A2085" s="3">
        <v>15650</v>
      </c>
      <c r="B2085" s="7" t="s">
        <v>289</v>
      </c>
      <c r="C2085" s="41">
        <v>450</v>
      </c>
      <c r="D2085" s="6">
        <v>45614</v>
      </c>
      <c r="E2085" s="3" t="str">
        <f ca="1">IF(Tabela2[[#This Row],[Dt Venc:]]&gt;TODAY(),"Em Aberto",IF(Tabela2[[#This Row],[D/venc]]="-","Enviado",IF(Tabela2[[#This Row],[Dt Venc:]]=TODAY(),"Vence Hoje","Vencida")))</f>
        <v>Enviado</v>
      </c>
      <c r="F2085" s="3" t="str">
        <f ca="1">IF(G2085=1,"-",Tabela2[[#This Row],[Dt Venc:]]-TODAY())</f>
        <v>-</v>
      </c>
      <c r="G2085" s="3">
        <v>1</v>
      </c>
      <c r="H2085" s="3"/>
    </row>
    <row r="2086" spans="1:8" hidden="1">
      <c r="A2086" s="3">
        <v>141518</v>
      </c>
      <c r="B2086" s="7" t="s">
        <v>60</v>
      </c>
      <c r="C2086" s="41">
        <v>390</v>
      </c>
      <c r="D2086" s="6">
        <v>45614</v>
      </c>
      <c r="E2086" s="3" t="str">
        <f ca="1">IF(Tabela2[[#This Row],[Dt Venc:]]&gt;TODAY(),"Em Aberto",IF(Tabela2[[#This Row],[D/venc]]="-","Enviado",IF(Tabela2[[#This Row],[Dt Venc:]]=TODAY(),"Vence Hoje","Vencida")))</f>
        <v>Enviado</v>
      </c>
      <c r="F2086" s="3" t="str">
        <f ca="1">IF(G2086=1,"-",Tabela2[[#This Row],[Dt Venc:]]-TODAY())</f>
        <v>-</v>
      </c>
      <c r="G2086" s="3">
        <v>1</v>
      </c>
      <c r="H2086" s="3"/>
    </row>
    <row r="2087" spans="1:8" hidden="1">
      <c r="A2087" s="3">
        <v>1876</v>
      </c>
      <c r="B2087" s="7" t="s">
        <v>447</v>
      </c>
      <c r="C2087" s="41">
        <v>1450</v>
      </c>
      <c r="D2087" s="6">
        <v>45614</v>
      </c>
      <c r="E2087" s="3" t="str">
        <f ca="1">IF(Tabela2[[#This Row],[Dt Venc:]]&gt;TODAY(),"Em Aberto",IF(Tabela2[[#This Row],[D/venc]]="-","Enviado",IF(Tabela2[[#This Row],[Dt Venc:]]=TODAY(),"Vence Hoje","Vencida")))</f>
        <v>Enviado</v>
      </c>
      <c r="F2087" s="3" t="str">
        <f ca="1">IF(G2087=1,"-",Tabela2[[#This Row],[Dt Venc:]]-TODAY())</f>
        <v>-</v>
      </c>
      <c r="G2087" s="3">
        <v>1</v>
      </c>
      <c r="H2087" s="3"/>
    </row>
    <row r="2088" spans="1:8" hidden="1">
      <c r="A2088" s="3">
        <v>5763</v>
      </c>
      <c r="B2088" s="7" t="s">
        <v>47</v>
      </c>
      <c r="C2088" s="42">
        <v>1326.6</v>
      </c>
      <c r="D2088" s="6">
        <v>45615</v>
      </c>
      <c r="E2088" s="3" t="str">
        <f ca="1">IF(Tabela2[[#This Row],[Dt Venc:]]&gt;TODAY(),"Em Aberto",IF(Tabela2[[#This Row],[D/venc]]="-","Enviado",IF(Tabela2[[#This Row],[Dt Venc:]]=TODAY(),"Vence Hoje","Vencida")))</f>
        <v>Enviado</v>
      </c>
      <c r="F2088" s="3" t="str">
        <f ca="1">IF(G2088=1,"-",Tabela2[[#This Row],[Dt Venc:]]-TODAY())</f>
        <v>-</v>
      </c>
      <c r="G2088" s="3">
        <v>1</v>
      </c>
      <c r="H2088" s="3"/>
    </row>
    <row r="2089" spans="1:8" hidden="1">
      <c r="A2089" s="3">
        <v>3073</v>
      </c>
      <c r="B2089" s="7" t="s">
        <v>129</v>
      </c>
      <c r="C2089" s="42">
        <v>1054</v>
      </c>
      <c r="D2089" s="6">
        <v>45615</v>
      </c>
      <c r="E2089" s="3" t="str">
        <f ca="1">IF(Tabela2[[#This Row],[Dt Venc:]]&gt;TODAY(),"Em Aberto",IF(Tabela2[[#This Row],[D/venc]]="-","Enviado",IF(Tabela2[[#This Row],[Dt Venc:]]=TODAY(),"Vence Hoje","Vencida")))</f>
        <v>Enviado</v>
      </c>
      <c r="F2089" s="3" t="str">
        <f ca="1">IF(G2089=1,"-",Tabela2[[#This Row],[Dt Venc:]]-TODAY())</f>
        <v>-</v>
      </c>
      <c r="G2089" s="3">
        <v>1</v>
      </c>
      <c r="H2089" s="3"/>
    </row>
    <row r="2090" spans="1:8" hidden="1">
      <c r="A2090" s="3">
        <v>1312</v>
      </c>
      <c r="B2090" s="7" t="s">
        <v>258</v>
      </c>
      <c r="C2090" s="42">
        <v>665.83</v>
      </c>
      <c r="D2090" s="6">
        <v>45615</v>
      </c>
      <c r="E2090" s="3" t="str">
        <f ca="1">IF(Tabela2[[#This Row],[Dt Venc:]]&gt;TODAY(),"Em Aberto",IF(Tabela2[[#This Row],[D/venc]]="-","Enviado",IF(Tabela2[[#This Row],[Dt Venc:]]=TODAY(),"Vence Hoje","Vencida")))</f>
        <v>Enviado</v>
      </c>
      <c r="F2090" s="3" t="str">
        <f ca="1">IF(G2090=1,"-",Tabela2[[#This Row],[Dt Venc:]]-TODAY())</f>
        <v>-</v>
      </c>
      <c r="G2090" s="3">
        <v>1</v>
      </c>
      <c r="H2090" s="3"/>
    </row>
    <row r="2091" spans="1:8" hidden="1">
      <c r="A2091" s="3">
        <v>2682</v>
      </c>
      <c r="B2091" s="7" t="s">
        <v>58</v>
      </c>
      <c r="C2091" s="42">
        <v>1807.27</v>
      </c>
      <c r="D2091" s="6">
        <v>45615</v>
      </c>
      <c r="E2091" s="3" t="str">
        <f ca="1">IF(Tabela2[[#This Row],[Dt Venc:]]&gt;TODAY(),"Em Aberto",IF(Tabela2[[#This Row],[D/venc]]="-","Enviado",IF(Tabela2[[#This Row],[Dt Venc:]]=TODAY(),"Vence Hoje","Vencida")))</f>
        <v>Enviado</v>
      </c>
      <c r="F2091" s="3" t="str">
        <f ca="1">IF(G2091=1,"-",Tabela2[[#This Row],[Dt Venc:]]-TODAY())</f>
        <v>-</v>
      </c>
      <c r="G2091" s="3">
        <v>1</v>
      </c>
      <c r="H2091" s="3"/>
    </row>
    <row r="2092" spans="1:8" hidden="1">
      <c r="A2092" s="3">
        <v>144912</v>
      </c>
      <c r="B2092" s="7" t="s">
        <v>127</v>
      </c>
      <c r="C2092" s="42">
        <v>717.5</v>
      </c>
      <c r="D2092" s="6">
        <v>45615</v>
      </c>
      <c r="E2092" s="3" t="str">
        <f ca="1">IF(Tabela2[[#This Row],[Dt Venc:]]&gt;TODAY(),"Em Aberto",IF(Tabela2[[#This Row],[D/venc]]="-","Enviado",IF(Tabela2[[#This Row],[Dt Venc:]]=TODAY(),"Vence Hoje","Vencida")))</f>
        <v>Enviado</v>
      </c>
      <c r="F2092" s="3" t="str">
        <f ca="1">IF(G2092=1,"-",Tabela2[[#This Row],[Dt Venc:]]-TODAY())</f>
        <v>-</v>
      </c>
      <c r="G2092" s="3">
        <v>1</v>
      </c>
      <c r="H2092" s="3"/>
    </row>
    <row r="2093" spans="1:8" hidden="1">
      <c r="A2093" s="3">
        <v>144910</v>
      </c>
      <c r="B2093" s="7" t="s">
        <v>127</v>
      </c>
      <c r="C2093" s="42">
        <v>717.5</v>
      </c>
      <c r="D2093" s="6">
        <v>45615</v>
      </c>
      <c r="E2093" s="3" t="str">
        <f ca="1">IF(Tabela2[[#This Row],[Dt Venc:]]&gt;TODAY(),"Em Aberto",IF(Tabela2[[#This Row],[D/venc]]="-","Enviado",IF(Tabela2[[#This Row],[Dt Venc:]]=TODAY(),"Vence Hoje","Vencida")))</f>
        <v>Enviado</v>
      </c>
      <c r="F2093" s="3" t="str">
        <f ca="1">IF(G2093=1,"-",Tabela2[[#This Row],[Dt Venc:]]-TODAY())</f>
        <v>-</v>
      </c>
      <c r="G2093" s="3">
        <v>1</v>
      </c>
      <c r="H2093" s="3"/>
    </row>
    <row r="2094" spans="1:8" hidden="1">
      <c r="A2094" s="3">
        <v>751342</v>
      </c>
      <c r="B2094" s="7" t="s">
        <v>127</v>
      </c>
      <c r="C2094" s="42">
        <v>376.17</v>
      </c>
      <c r="D2094" s="6">
        <v>45615</v>
      </c>
      <c r="E2094" s="3" t="str">
        <f ca="1">IF(Tabela2[[#This Row],[Dt Venc:]]&gt;TODAY(),"Em Aberto",IF(Tabela2[[#This Row],[D/venc]]="-","Enviado",IF(Tabela2[[#This Row],[Dt Venc:]]=TODAY(),"Vence Hoje","Vencida")))</f>
        <v>Enviado</v>
      </c>
      <c r="F2094" s="3" t="str">
        <f ca="1">IF(G2094=1,"-",Tabela2[[#This Row],[Dt Venc:]]-TODAY())</f>
        <v>-</v>
      </c>
      <c r="G2094" s="3">
        <v>1</v>
      </c>
      <c r="H2094" s="3"/>
    </row>
    <row r="2095" spans="1:8" hidden="1">
      <c r="A2095" s="3">
        <v>751339</v>
      </c>
      <c r="B2095" s="7" t="s">
        <v>127</v>
      </c>
      <c r="C2095" s="42">
        <v>376.17</v>
      </c>
      <c r="D2095" s="6">
        <v>45615</v>
      </c>
      <c r="E2095" s="3" t="str">
        <f ca="1">IF(Tabela2[[#This Row],[Dt Venc:]]&gt;TODAY(),"Em Aberto",IF(Tabela2[[#This Row],[D/venc]]="-","Enviado",IF(Tabela2[[#This Row],[Dt Venc:]]=TODAY(),"Vence Hoje","Vencida")))</f>
        <v>Enviado</v>
      </c>
      <c r="F2095" s="3" t="str">
        <f ca="1">IF(G2095=1,"-",Tabela2[[#This Row],[Dt Venc:]]-TODAY())</f>
        <v>-</v>
      </c>
      <c r="G2095" s="3">
        <v>1</v>
      </c>
      <c r="H2095" s="3"/>
    </row>
    <row r="2096" spans="1:8" hidden="1">
      <c r="A2096" s="3">
        <v>215720</v>
      </c>
      <c r="B2096" s="7" t="s">
        <v>43</v>
      </c>
      <c r="C2096" s="42">
        <v>597.79999999999995</v>
      </c>
      <c r="D2096" s="6">
        <v>45615</v>
      </c>
      <c r="E2096" s="3" t="str">
        <f ca="1">IF(Tabela2[[#This Row],[Dt Venc:]]&gt;TODAY(),"Em Aberto",IF(Tabela2[[#This Row],[D/venc]]="-","Enviado",IF(Tabela2[[#This Row],[Dt Venc:]]=TODAY(),"Vence Hoje","Vencida")))</f>
        <v>Enviado</v>
      </c>
      <c r="F2096" s="3" t="str">
        <f ca="1">IF(G2096=1,"-",Tabela2[[#This Row],[Dt Venc:]]-TODAY())</f>
        <v>-</v>
      </c>
      <c r="G2096" s="3">
        <v>1</v>
      </c>
      <c r="H2096" s="3"/>
    </row>
    <row r="2097" spans="1:8" hidden="1">
      <c r="A2097" s="3">
        <v>604986</v>
      </c>
      <c r="B2097" s="7" t="s">
        <v>324</v>
      </c>
      <c r="C2097" s="42">
        <v>1199.1199999999999</v>
      </c>
      <c r="D2097" s="6">
        <v>45615</v>
      </c>
      <c r="E2097" s="3" t="str">
        <f ca="1">IF(Tabela2[[#This Row],[Dt Venc:]]&gt;TODAY(),"Em Aberto",IF(Tabela2[[#This Row],[D/venc]]="-","Enviado",IF(Tabela2[[#This Row],[Dt Venc:]]=TODAY(),"Vence Hoje","Vencida")))</f>
        <v>Enviado</v>
      </c>
      <c r="F2097" s="3" t="str">
        <f ca="1">IF(G2097=1,"-",Tabela2[[#This Row],[Dt Venc:]]-TODAY())</f>
        <v>-</v>
      </c>
      <c r="G2097" s="3">
        <v>1</v>
      </c>
      <c r="H2097" s="3"/>
    </row>
    <row r="2098" spans="1:8" hidden="1">
      <c r="A2098" s="3">
        <v>604969</v>
      </c>
      <c r="B2098" s="7" t="s">
        <v>138</v>
      </c>
      <c r="C2098" s="42">
        <v>751.08</v>
      </c>
      <c r="D2098" s="6">
        <v>45615</v>
      </c>
      <c r="E2098" s="3" t="str">
        <f ca="1">IF(Tabela2[[#This Row],[Dt Venc:]]&gt;TODAY(),"Em Aberto",IF(Tabela2[[#This Row],[D/venc]]="-","Enviado",IF(Tabela2[[#This Row],[Dt Venc:]]=TODAY(),"Vence Hoje","Vencida")))</f>
        <v>Enviado</v>
      </c>
      <c r="F2098" s="3" t="str">
        <f ca="1">IF(G2098=1,"-",Tabela2[[#This Row],[Dt Venc:]]-TODAY())</f>
        <v>-</v>
      </c>
      <c r="G2098" s="3">
        <v>1</v>
      </c>
      <c r="H2098" s="3"/>
    </row>
    <row r="2099" spans="1:8" hidden="1">
      <c r="A2099" s="3">
        <v>22463</v>
      </c>
      <c r="B2099" s="7" t="s">
        <v>38</v>
      </c>
      <c r="C2099" s="42">
        <v>2596.67</v>
      </c>
      <c r="D2099" s="6">
        <v>45615</v>
      </c>
      <c r="E2099" s="3" t="str">
        <f ca="1">IF(Tabela2[[#This Row],[Dt Venc:]]&gt;TODAY(),"Em Aberto",IF(Tabela2[[#This Row],[D/venc]]="-","Enviado",IF(Tabela2[[#This Row],[Dt Venc:]]=TODAY(),"Vence Hoje","Vencida")))</f>
        <v>Enviado</v>
      </c>
      <c r="F2099" s="3" t="str">
        <f ca="1">IF(G2099=1,"-",Tabela2[[#This Row],[Dt Venc:]]-TODAY())</f>
        <v>-</v>
      </c>
      <c r="G2099" s="3">
        <v>1</v>
      </c>
      <c r="H2099" s="3"/>
    </row>
    <row r="2100" spans="1:8" hidden="1">
      <c r="A2100" s="3">
        <v>9</v>
      </c>
      <c r="B2100" s="7" t="s">
        <v>173</v>
      </c>
      <c r="C2100" s="42">
        <v>808.33</v>
      </c>
      <c r="D2100" s="6">
        <v>45615</v>
      </c>
      <c r="E2100" s="3" t="str">
        <f ca="1">IF(Tabela2[[#This Row],[Dt Venc:]]&gt;TODAY(),"Em Aberto",IF(Tabela2[[#This Row],[D/venc]]="-","Enviado",IF(Tabela2[[#This Row],[Dt Venc:]]=TODAY(),"Vence Hoje","Vencida")))</f>
        <v>Enviado</v>
      </c>
      <c r="F2100" s="3" t="str">
        <f ca="1">IF(G2100=1,"-",Tabela2[[#This Row],[Dt Venc:]]-TODAY())</f>
        <v>-</v>
      </c>
      <c r="G2100" s="3">
        <v>1</v>
      </c>
      <c r="H2100" s="3"/>
    </row>
    <row r="2101" spans="1:8" hidden="1">
      <c r="A2101" s="3">
        <v>5897</v>
      </c>
      <c r="B2101" s="7" t="s">
        <v>47</v>
      </c>
      <c r="C2101" s="42">
        <v>859.4</v>
      </c>
      <c r="D2101" s="6">
        <v>45615</v>
      </c>
      <c r="E2101" s="3" t="str">
        <f ca="1">IF(Tabela2[[#This Row],[Dt Venc:]]&gt;TODAY(),"Em Aberto",IF(Tabela2[[#This Row],[D/venc]]="-","Enviado",IF(Tabela2[[#This Row],[Dt Venc:]]=TODAY(),"Vence Hoje","Vencida")))</f>
        <v>Enviado</v>
      </c>
      <c r="F2101" s="3" t="str">
        <f ca="1">IF(G2101=1,"-",Tabela2[[#This Row],[Dt Venc:]]-TODAY())</f>
        <v>-</v>
      </c>
      <c r="G2101" s="3">
        <v>1</v>
      </c>
      <c r="H2101" s="3"/>
    </row>
    <row r="2102" spans="1:8" hidden="1">
      <c r="A2102" s="3">
        <v>220671</v>
      </c>
      <c r="B2102" s="7" t="s">
        <v>127</v>
      </c>
      <c r="C2102" s="42">
        <v>1476.48</v>
      </c>
      <c r="D2102" s="6">
        <v>45615</v>
      </c>
      <c r="E2102" s="3" t="str">
        <f ca="1">IF(Tabela2[[#This Row],[Dt Venc:]]&gt;TODAY(),"Em Aberto",IF(Tabela2[[#This Row],[D/venc]]="-","Enviado",IF(Tabela2[[#This Row],[Dt Venc:]]=TODAY(),"Vence Hoje","Vencida")))</f>
        <v>Enviado</v>
      </c>
      <c r="F2102" s="3" t="str">
        <f ca="1">IF(G2102=1,"-",Tabela2[[#This Row],[Dt Venc:]]-TODAY())</f>
        <v>-</v>
      </c>
      <c r="G2102" s="3">
        <v>1</v>
      </c>
      <c r="H2102" s="3"/>
    </row>
    <row r="2103" spans="1:8" hidden="1">
      <c r="A2103" s="3">
        <v>10921</v>
      </c>
      <c r="B2103" s="7" t="s">
        <v>305</v>
      </c>
      <c r="C2103" s="42">
        <v>1568.33</v>
      </c>
      <c r="D2103" s="6">
        <v>45615</v>
      </c>
      <c r="E2103" s="3" t="str">
        <f ca="1">IF(Tabela2[[#This Row],[Dt Venc:]]&gt;TODAY(),"Em Aberto",IF(Tabela2[[#This Row],[D/venc]]="-","Enviado",IF(Tabela2[[#This Row],[Dt Venc:]]=TODAY(),"Vence Hoje","Vencida")))</f>
        <v>Enviado</v>
      </c>
      <c r="F2103" s="3" t="str">
        <f ca="1">IF(G2103=1,"-",Tabela2[[#This Row],[Dt Venc:]]-TODAY())</f>
        <v>-</v>
      </c>
      <c r="G2103" s="3">
        <v>1</v>
      </c>
      <c r="H2103" s="3"/>
    </row>
    <row r="2104" spans="1:8" hidden="1">
      <c r="A2104" s="28">
        <v>110272</v>
      </c>
      <c r="B2104" s="7" t="s">
        <v>309</v>
      </c>
      <c r="C2104" s="42">
        <v>391.67</v>
      </c>
      <c r="D2104" s="6">
        <v>45615</v>
      </c>
      <c r="E2104" s="3" t="str">
        <f ca="1">IF(Tabela2[[#This Row],[Dt Venc:]]&gt;TODAY(),"Em Aberto",IF(Tabela2[[#This Row],[D/venc]]="-","Enviado",IF(Tabela2[[#This Row],[Dt Venc:]]=TODAY(),"Vence Hoje","Vencida")))</f>
        <v>Enviado</v>
      </c>
      <c r="F2104" s="3" t="str">
        <f ca="1">IF(G2104=1,"-",Tabela2[[#This Row],[Dt Venc:]]-TODAY())</f>
        <v>-</v>
      </c>
      <c r="G2104" s="3">
        <v>1</v>
      </c>
      <c r="H2104" s="3"/>
    </row>
    <row r="2105" spans="1:8" hidden="1">
      <c r="A2105" s="3">
        <v>299581</v>
      </c>
      <c r="B2105" s="7" t="s">
        <v>43</v>
      </c>
      <c r="C2105" s="42">
        <v>661.34</v>
      </c>
      <c r="D2105" s="6">
        <v>45615</v>
      </c>
      <c r="E2105" s="3" t="str">
        <f ca="1">IF(Tabela2[[#This Row],[Dt Venc:]]&gt;TODAY(),"Em Aberto",IF(Tabela2[[#This Row],[D/venc]]="-","Enviado",IF(Tabela2[[#This Row],[Dt Venc:]]=TODAY(),"Vence Hoje","Vencida")))</f>
        <v>Enviado</v>
      </c>
      <c r="F2105" s="3" t="str">
        <f ca="1">IF(G2105=1,"-",Tabela2[[#This Row],[Dt Venc:]]-TODAY())</f>
        <v>-</v>
      </c>
      <c r="G2105" s="3">
        <v>1</v>
      </c>
      <c r="H2105" s="3"/>
    </row>
    <row r="2106" spans="1:8" hidden="1">
      <c r="A2106" s="3">
        <v>229888</v>
      </c>
      <c r="B2106" s="7" t="s">
        <v>43</v>
      </c>
      <c r="C2106" s="42">
        <v>741.65</v>
      </c>
      <c r="D2106" s="6">
        <v>45615</v>
      </c>
      <c r="E2106" s="3" t="str">
        <f ca="1">IF(Tabela2[[#This Row],[Dt Venc:]]&gt;TODAY(),"Em Aberto",IF(Tabela2[[#This Row],[D/venc]]="-","Enviado",IF(Tabela2[[#This Row],[Dt Venc:]]=TODAY(),"Vence Hoje","Vencida")))</f>
        <v>Enviado</v>
      </c>
      <c r="F2106" s="3" t="str">
        <f ca="1">IF(G2106=1,"-",Tabela2[[#This Row],[Dt Venc:]]-TODAY())</f>
        <v>-</v>
      </c>
      <c r="G2106" s="3">
        <v>1</v>
      </c>
      <c r="H2106" s="3"/>
    </row>
    <row r="2107" spans="1:8" hidden="1">
      <c r="A2107" s="3">
        <v>2742</v>
      </c>
      <c r="B2107" s="7" t="s">
        <v>58</v>
      </c>
      <c r="C2107" s="42">
        <v>1516.34</v>
      </c>
      <c r="D2107" s="6">
        <v>45615</v>
      </c>
      <c r="E2107" s="3" t="str">
        <f ca="1">IF(Tabela2[[#This Row],[Dt Venc:]]&gt;TODAY(),"Em Aberto",IF(Tabela2[[#This Row],[D/venc]]="-","Enviado",IF(Tabela2[[#This Row],[Dt Venc:]]=TODAY(),"Vence Hoje","Vencida")))</f>
        <v>Enviado</v>
      </c>
      <c r="F2107" s="3" t="str">
        <f ca="1">IF(G2107=1,"-",Tabela2[[#This Row],[Dt Venc:]]-TODAY())</f>
        <v>-</v>
      </c>
      <c r="G2107" s="3">
        <v>1</v>
      </c>
      <c r="H2107" s="3"/>
    </row>
    <row r="2108" spans="1:8" hidden="1">
      <c r="A2108" s="3">
        <v>186182</v>
      </c>
      <c r="B2108" s="7" t="s">
        <v>172</v>
      </c>
      <c r="C2108" s="42">
        <v>1685.99</v>
      </c>
      <c r="D2108" s="6">
        <v>45615</v>
      </c>
      <c r="E2108" s="3" t="str">
        <f ca="1">IF(Tabela2[[#This Row],[Dt Venc:]]&gt;TODAY(),"Em Aberto",IF(Tabela2[[#This Row],[D/venc]]="-","Enviado",IF(Tabela2[[#This Row],[Dt Venc:]]=TODAY(),"Vence Hoje","Vencida")))</f>
        <v>Enviado</v>
      </c>
      <c r="F2108" s="3" t="str">
        <f ca="1">IF(G2108=1,"-",Tabela2[[#This Row],[Dt Venc:]]-TODAY())</f>
        <v>-</v>
      </c>
      <c r="G2108" s="3">
        <v>1</v>
      </c>
      <c r="H2108" s="3"/>
    </row>
    <row r="2109" spans="1:8" hidden="1">
      <c r="A2109" s="3">
        <v>256083</v>
      </c>
      <c r="B2109" s="7" t="s">
        <v>49</v>
      </c>
      <c r="C2109" s="42">
        <v>1741.66</v>
      </c>
      <c r="D2109" s="6">
        <v>45615</v>
      </c>
      <c r="E2109" s="3" t="str">
        <f ca="1">IF(Tabela2[[#This Row],[Dt Venc:]]&gt;TODAY(),"Em Aberto",IF(Tabela2[[#This Row],[D/venc]]="-","Enviado",IF(Tabela2[[#This Row],[Dt Venc:]]=TODAY(),"Vence Hoje","Vencida")))</f>
        <v>Enviado</v>
      </c>
      <c r="F2109" s="3" t="str">
        <f ca="1">IF(G2109=1,"-",Tabela2[[#This Row],[Dt Venc:]]-TODAY())</f>
        <v>-</v>
      </c>
      <c r="G2109" s="3">
        <v>1</v>
      </c>
      <c r="H2109" s="3"/>
    </row>
    <row r="2110" spans="1:8" hidden="1">
      <c r="A2110" s="3">
        <v>256419</v>
      </c>
      <c r="B2110" s="7" t="s">
        <v>49</v>
      </c>
      <c r="C2110" s="42">
        <v>1393.34</v>
      </c>
      <c r="D2110" s="6">
        <v>45615</v>
      </c>
      <c r="E2110" s="3" t="str">
        <f ca="1">IF(Tabela2[[#This Row],[Dt Venc:]]&gt;TODAY(),"Em Aberto",IF(Tabela2[[#This Row],[D/venc]]="-","Enviado",IF(Tabela2[[#This Row],[Dt Venc:]]=TODAY(),"Vence Hoje","Vencida")))</f>
        <v>Enviado</v>
      </c>
      <c r="F2110" s="3" t="str">
        <f ca="1">IF(G2110=1,"-",Tabela2[[#This Row],[Dt Venc:]]-TODAY())</f>
        <v>-</v>
      </c>
      <c r="G2110" s="3">
        <v>1</v>
      </c>
      <c r="H2110" s="3"/>
    </row>
    <row r="2111" spans="1:8" hidden="1">
      <c r="A2111" s="3">
        <v>1078</v>
      </c>
      <c r="B2111" s="7" t="s">
        <v>155</v>
      </c>
      <c r="C2111" s="41">
        <v>24273</v>
      </c>
      <c r="D2111" s="6">
        <v>45615</v>
      </c>
      <c r="E2111" s="3" t="str">
        <f ca="1">IF(Tabela2[[#This Row],[Dt Venc:]]&gt;TODAY(),"Em Aberto",IF(Tabela2[[#This Row],[D/venc]]="-","Enviado",IF(Tabela2[[#This Row],[Dt Venc:]]=TODAY(),"Vence Hoje","Vencida")))</f>
        <v>Enviado</v>
      </c>
      <c r="F2111" s="3" t="str">
        <f ca="1">IF(G2111=1,"-",Tabela2[[#This Row],[Dt Venc:]]-TODAY())</f>
        <v>-</v>
      </c>
      <c r="G2111" s="3">
        <v>1</v>
      </c>
      <c r="H2111" s="3"/>
    </row>
    <row r="2112" spans="1:8" hidden="1">
      <c r="A2112" s="3">
        <v>256781</v>
      </c>
      <c r="B2112" s="7" t="s">
        <v>49</v>
      </c>
      <c r="C2112" s="41">
        <v>1741.66</v>
      </c>
      <c r="D2112" s="6">
        <v>45615</v>
      </c>
      <c r="E2112" s="3" t="str">
        <f ca="1">IF(Tabela2[[#This Row],[Dt Venc:]]&gt;TODAY(),"Em Aberto",IF(Tabela2[[#This Row],[D/venc]]="-","Enviado",IF(Tabela2[[#This Row],[Dt Venc:]]=TODAY(),"Vence Hoje","Vencida")))</f>
        <v>Enviado</v>
      </c>
      <c r="F2112" s="3" t="str">
        <f ca="1">IF(G2112=1,"-",Tabela2[[#This Row],[Dt Venc:]]-TODAY())</f>
        <v>-</v>
      </c>
      <c r="G2112" s="3">
        <v>1</v>
      </c>
      <c r="H2112" s="3"/>
    </row>
    <row r="2113" spans="1:8" hidden="1">
      <c r="A2113" s="3">
        <v>9306</v>
      </c>
      <c r="B2113" s="7" t="s">
        <v>378</v>
      </c>
      <c r="C2113" s="41">
        <v>225</v>
      </c>
      <c r="D2113" s="6">
        <v>45615</v>
      </c>
      <c r="E2113" s="3" t="str">
        <f ca="1">IF(Tabela2[[#This Row],[Dt Venc:]]&gt;TODAY(),"Em Aberto",IF(Tabela2[[#This Row],[D/venc]]="-","Enviado",IF(Tabela2[[#This Row],[Dt Venc:]]=TODAY(),"Vence Hoje","Vencida")))</f>
        <v>Enviado</v>
      </c>
      <c r="F2113" s="3" t="str">
        <f ca="1">IF(G2113=1,"-",Tabela2[[#This Row],[Dt Venc:]]-TODAY())</f>
        <v>-</v>
      </c>
      <c r="G2113" s="3">
        <v>1</v>
      </c>
      <c r="H2113" s="3"/>
    </row>
    <row r="2114" spans="1:8" hidden="1">
      <c r="A2114" s="3">
        <v>2805</v>
      </c>
      <c r="B2114" s="7" t="s">
        <v>301</v>
      </c>
      <c r="C2114" s="41">
        <v>1040</v>
      </c>
      <c r="D2114" s="6">
        <v>45615</v>
      </c>
      <c r="E2114" s="3" t="str">
        <f ca="1">IF(Tabela2[[#This Row],[Dt Venc:]]&gt;TODAY(),"Em Aberto",IF(Tabela2[[#This Row],[D/venc]]="-","Enviado",IF(Tabela2[[#This Row],[Dt Venc:]]=TODAY(),"Vence Hoje","Vencida")))</f>
        <v>Enviado</v>
      </c>
      <c r="F2114" s="3" t="str">
        <f ca="1">IF(G2114=1,"-",Tabela2[[#This Row],[Dt Venc:]]-TODAY())</f>
        <v>-</v>
      </c>
      <c r="G2114" s="3">
        <v>1</v>
      </c>
      <c r="H2114" s="3"/>
    </row>
    <row r="2115" spans="1:8" hidden="1">
      <c r="A2115" s="3">
        <v>2263204</v>
      </c>
      <c r="B2115" s="7" t="s">
        <v>59</v>
      </c>
      <c r="C2115" s="41">
        <v>54797</v>
      </c>
      <c r="D2115" s="6">
        <v>45615</v>
      </c>
      <c r="E2115" s="3" t="str">
        <f ca="1">IF(Tabela2[[#This Row],[Dt Venc:]]&gt;TODAY(),"Em Aberto",IF(Tabela2[[#This Row],[D/venc]]="-","Enviado",IF(Tabela2[[#This Row],[Dt Venc:]]=TODAY(),"Vence Hoje","Vencida")))</f>
        <v>Enviado</v>
      </c>
      <c r="F2115" s="3" t="str">
        <f ca="1">IF(G2115=1,"-",Tabela2[[#This Row],[Dt Venc:]]-TODAY())</f>
        <v>-</v>
      </c>
      <c r="G2115" s="3">
        <v>1</v>
      </c>
      <c r="H2115" s="3"/>
    </row>
    <row r="2116" spans="1:8" hidden="1">
      <c r="A2116" s="3">
        <v>3306067</v>
      </c>
      <c r="B2116" s="7" t="s">
        <v>71</v>
      </c>
      <c r="C2116" s="41">
        <v>82236</v>
      </c>
      <c r="D2116" s="6">
        <v>45615</v>
      </c>
      <c r="E2116" s="3" t="str">
        <f ca="1">IF(Tabela2[[#This Row],[Dt Venc:]]&gt;TODAY(),"Em Aberto",IF(Tabela2[[#This Row],[D/venc]]="-","Enviado",IF(Tabela2[[#This Row],[Dt Venc:]]=TODAY(),"Vence Hoje","Vencida")))</f>
        <v>Enviado</v>
      </c>
      <c r="F2116" s="3" t="str">
        <f ca="1">IF(G2116=1,"-",Tabela2[[#This Row],[Dt Venc:]]-TODAY())</f>
        <v>-</v>
      </c>
      <c r="G2116" s="3">
        <v>1</v>
      </c>
      <c r="H2116" s="3"/>
    </row>
    <row r="2117" spans="1:8" hidden="1">
      <c r="A2117" s="3">
        <v>243185</v>
      </c>
      <c r="B2117" s="7" t="s">
        <v>43</v>
      </c>
      <c r="C2117" s="41">
        <v>690</v>
      </c>
      <c r="D2117" s="6">
        <v>45615</v>
      </c>
      <c r="E2117" s="3" t="str">
        <f ca="1">IF(Tabela2[[#This Row],[Dt Venc:]]&gt;TODAY(),"Em Aberto",IF(Tabela2[[#This Row],[D/venc]]="-","Enviado",IF(Tabela2[[#This Row],[Dt Venc:]]=TODAY(),"Vence Hoje","Vencida")))</f>
        <v>Enviado</v>
      </c>
      <c r="F2117" s="3" t="str">
        <f ca="1">IF(G2117=1,"-",Tabela2[[#This Row],[Dt Venc:]]-TODAY())</f>
        <v>-</v>
      </c>
      <c r="G2117" s="3">
        <v>1</v>
      </c>
      <c r="H2117" s="3"/>
    </row>
    <row r="2118" spans="1:8" hidden="1">
      <c r="A2118" s="3">
        <v>54098</v>
      </c>
      <c r="B2118" s="7" t="s">
        <v>35</v>
      </c>
      <c r="C2118" s="41">
        <v>439.96</v>
      </c>
      <c r="D2118" s="6">
        <v>45615</v>
      </c>
      <c r="E2118" s="3" t="str">
        <f ca="1">IF(Tabela2[[#This Row],[Dt Venc:]]&gt;TODAY(),"Em Aberto",IF(Tabela2[[#This Row],[D/venc]]="-","Enviado",IF(Tabela2[[#This Row],[Dt Venc:]]=TODAY(),"Vence Hoje","Vencida")))</f>
        <v>Enviado</v>
      </c>
      <c r="F2118" s="3" t="str">
        <f ca="1">IF(G2118=1,"-",Tabela2[[#This Row],[Dt Venc:]]-TODAY())</f>
        <v>-</v>
      </c>
      <c r="G2118" s="3">
        <v>1</v>
      </c>
      <c r="H2118" s="3"/>
    </row>
    <row r="2119" spans="1:8" hidden="1">
      <c r="A2119" s="3">
        <v>54170</v>
      </c>
      <c r="B2119" s="7" t="s">
        <v>448</v>
      </c>
      <c r="C2119" s="41">
        <v>178</v>
      </c>
      <c r="D2119" s="6">
        <v>45615</v>
      </c>
      <c r="E2119" s="3" t="str">
        <f ca="1">IF(Tabela2[[#This Row],[Dt Venc:]]&gt;TODAY(),"Em Aberto",IF(Tabela2[[#This Row],[D/venc]]="-","Enviado",IF(Tabela2[[#This Row],[Dt Venc:]]=TODAY(),"Vence Hoje","Vencida")))</f>
        <v>Enviado</v>
      </c>
      <c r="F2119" s="3" t="str">
        <f ca="1">IF(G2119=1,"-",Tabela2[[#This Row],[Dt Venc:]]-TODAY())</f>
        <v>-</v>
      </c>
      <c r="G2119" s="3">
        <v>1</v>
      </c>
      <c r="H2119" s="3"/>
    </row>
    <row r="2120" spans="1:8" hidden="1">
      <c r="A2120" s="3">
        <v>599</v>
      </c>
      <c r="B2120" s="7" t="s">
        <v>449</v>
      </c>
      <c r="C2120" s="41">
        <v>952</v>
      </c>
      <c r="D2120" s="6">
        <v>45615</v>
      </c>
      <c r="E2120" s="3" t="str">
        <f ca="1">IF(Tabela2[[#This Row],[Dt Venc:]]&gt;TODAY(),"Em Aberto",IF(Tabela2[[#This Row],[D/venc]]="-","Enviado",IF(Tabela2[[#This Row],[Dt Venc:]]=TODAY(),"Vence Hoje","Vencida")))</f>
        <v>Enviado</v>
      </c>
      <c r="F2120" s="3" t="str">
        <f ca="1">IF(G2120=1,"-",Tabela2[[#This Row],[Dt Venc:]]-TODAY())</f>
        <v>-</v>
      </c>
      <c r="G2120" s="3">
        <v>1</v>
      </c>
      <c r="H2120" s="3"/>
    </row>
    <row r="2121" spans="1:8" hidden="1">
      <c r="A2121" s="3">
        <v>10788</v>
      </c>
      <c r="B2121" s="7" t="s">
        <v>33</v>
      </c>
      <c r="C2121" s="42">
        <v>1600</v>
      </c>
      <c r="D2121" s="6">
        <v>45616</v>
      </c>
      <c r="E2121" s="3" t="str">
        <f ca="1">IF(Tabela2[[#This Row],[Dt Venc:]]&gt;TODAY(),"Em Aberto",IF(Tabela2[[#This Row],[D/venc]]="-","Enviado",IF(Tabela2[[#This Row],[Dt Venc:]]=TODAY(),"Vence Hoje","Vencida")))</f>
        <v>Enviado</v>
      </c>
      <c r="F2121" s="3" t="str">
        <f ca="1">IF(G2121=1,"-",Tabela2[[#This Row],[Dt Venc:]]-TODAY())</f>
        <v>-</v>
      </c>
      <c r="G2121" s="3">
        <v>1</v>
      </c>
      <c r="H2121" s="3"/>
    </row>
    <row r="2122" spans="1:8" hidden="1">
      <c r="A2122" s="3">
        <v>5749</v>
      </c>
      <c r="B2122" s="7" t="s">
        <v>314</v>
      </c>
      <c r="C2122" s="42">
        <v>961.33</v>
      </c>
      <c r="D2122" s="6">
        <v>45616</v>
      </c>
      <c r="E2122" s="3" t="str">
        <f ca="1">IF(Tabela2[[#This Row],[Dt Venc:]]&gt;TODAY(),"Em Aberto",IF(Tabela2[[#This Row],[D/venc]]="-","Enviado",IF(Tabela2[[#This Row],[Dt Venc:]]=TODAY(),"Vence Hoje","Vencida")))</f>
        <v>Enviado</v>
      </c>
      <c r="F2122" s="3" t="str">
        <f ca="1">IF(G2122=1,"-",Tabela2[[#This Row],[Dt Venc:]]-TODAY())</f>
        <v>-</v>
      </c>
      <c r="G2122" s="3">
        <v>1</v>
      </c>
      <c r="H2122" s="3"/>
    </row>
    <row r="2123" spans="1:8" hidden="1">
      <c r="A2123" s="3">
        <v>29251</v>
      </c>
      <c r="B2123" s="7" t="s">
        <v>18</v>
      </c>
      <c r="C2123" s="42">
        <v>2925</v>
      </c>
      <c r="D2123" s="6">
        <v>45616</v>
      </c>
      <c r="E2123" s="3" t="str">
        <f ca="1">IF(Tabela2[[#This Row],[Dt Venc:]]&gt;TODAY(),"Em Aberto",IF(Tabela2[[#This Row],[D/venc]]="-","Enviado",IF(Tabela2[[#This Row],[Dt Venc:]]=TODAY(),"Vence Hoje","Vencida")))</f>
        <v>Enviado</v>
      </c>
      <c r="F2123" s="3" t="str">
        <f ca="1">IF(G2123=1,"-",Tabela2[[#This Row],[Dt Venc:]]-TODAY())</f>
        <v>-</v>
      </c>
      <c r="G2123" s="3">
        <v>1</v>
      </c>
      <c r="H2123" s="3"/>
    </row>
    <row r="2124" spans="1:8" hidden="1">
      <c r="A2124" s="3">
        <v>24049</v>
      </c>
      <c r="B2124" s="7" t="s">
        <v>70</v>
      </c>
      <c r="C2124" s="42">
        <v>2809.74</v>
      </c>
      <c r="D2124" s="6">
        <v>45616</v>
      </c>
      <c r="E2124" s="3" t="str">
        <f ca="1">IF(Tabela2[[#This Row],[Dt Venc:]]&gt;TODAY(),"Em Aberto",IF(Tabela2[[#This Row],[D/venc]]="-","Enviado",IF(Tabela2[[#This Row],[Dt Venc:]]=TODAY(),"Vence Hoje","Vencida")))</f>
        <v>Enviado</v>
      </c>
      <c r="F2124" s="3" t="str">
        <f ca="1">IF(G2124=1,"-",Tabela2[[#This Row],[Dt Venc:]]-TODAY())</f>
        <v>-</v>
      </c>
      <c r="G2124" s="3">
        <v>1</v>
      </c>
      <c r="H2124" s="3"/>
    </row>
    <row r="2125" spans="1:8" hidden="1">
      <c r="A2125" s="3">
        <v>24734</v>
      </c>
      <c r="B2125" s="7" t="s">
        <v>70</v>
      </c>
      <c r="C2125" s="42">
        <v>579.46</v>
      </c>
      <c r="D2125" s="6">
        <v>45616</v>
      </c>
      <c r="E2125" s="3" t="str">
        <f ca="1">IF(Tabela2[[#This Row],[Dt Venc:]]&gt;TODAY(),"Em Aberto",IF(Tabela2[[#This Row],[D/venc]]="-","Enviado",IF(Tabela2[[#This Row],[Dt Venc:]]=TODAY(),"Vence Hoje","Vencida")))</f>
        <v>Enviado</v>
      </c>
      <c r="F2125" s="3" t="str">
        <f ca="1">IF(G2125=1,"-",Tabela2[[#This Row],[Dt Venc:]]-TODAY())</f>
        <v>-</v>
      </c>
      <c r="G2125" s="3">
        <v>1</v>
      </c>
      <c r="H2125" s="3"/>
    </row>
    <row r="2126" spans="1:8" hidden="1">
      <c r="A2126" s="3">
        <v>605263</v>
      </c>
      <c r="B2126" s="7" t="s">
        <v>138</v>
      </c>
      <c r="C2126" s="42">
        <v>579.87</v>
      </c>
      <c r="D2126" s="6">
        <v>45616</v>
      </c>
      <c r="E2126" s="3" t="str">
        <f ca="1">IF(Tabela2[[#This Row],[Dt Venc:]]&gt;TODAY(),"Em Aberto",IF(Tabela2[[#This Row],[D/venc]]="-","Enviado",IF(Tabela2[[#This Row],[Dt Venc:]]=TODAY(),"Vence Hoje","Vencida")))</f>
        <v>Enviado</v>
      </c>
      <c r="F2126" s="3" t="str">
        <f ca="1">IF(G2126=1,"-",Tabela2[[#This Row],[Dt Venc:]]-TODAY())</f>
        <v>-</v>
      </c>
      <c r="G2126" s="3">
        <v>1</v>
      </c>
      <c r="H2126" s="3"/>
    </row>
    <row r="2127" spans="1:8" hidden="1">
      <c r="A2127" s="3">
        <v>216543</v>
      </c>
      <c r="B2127" s="7" t="s">
        <v>43</v>
      </c>
      <c r="C2127" s="42">
        <v>672.46</v>
      </c>
      <c r="D2127" s="6">
        <v>45616</v>
      </c>
      <c r="E2127" s="3" t="str">
        <f ca="1">IF(Tabela2[[#This Row],[Dt Venc:]]&gt;TODAY(),"Em Aberto",IF(Tabela2[[#This Row],[D/venc]]="-","Enviado",IF(Tabela2[[#This Row],[Dt Venc:]]=TODAY(),"Vence Hoje","Vencida")))</f>
        <v>Enviado</v>
      </c>
      <c r="F2127" s="3" t="str">
        <f ca="1">IF(G2127=1,"-",Tabela2[[#This Row],[Dt Venc:]]-TODAY())</f>
        <v>-</v>
      </c>
      <c r="G2127" s="3">
        <v>1</v>
      </c>
      <c r="H2127" s="3"/>
    </row>
    <row r="2128" spans="1:8" hidden="1">
      <c r="A2128" s="3">
        <v>4843</v>
      </c>
      <c r="B2128" s="7" t="s">
        <v>307</v>
      </c>
      <c r="C2128" s="42">
        <v>9150</v>
      </c>
      <c r="D2128" s="6">
        <v>45616</v>
      </c>
      <c r="E2128" s="3" t="str">
        <f ca="1">IF(Tabela2[[#This Row],[Dt Venc:]]&gt;TODAY(),"Em Aberto",IF(Tabela2[[#This Row],[D/venc]]="-","Enviado",IF(Tabela2[[#This Row],[Dt Venc:]]=TODAY(),"Vence Hoje","Vencida")))</f>
        <v>Enviado</v>
      </c>
      <c r="F2128" s="3" t="str">
        <f ca="1">IF(G2128=1,"-",Tabela2[[#This Row],[Dt Venc:]]-TODAY())</f>
        <v>-</v>
      </c>
      <c r="G2128" s="3">
        <v>1</v>
      </c>
      <c r="H2128" s="3"/>
    </row>
    <row r="2129" spans="1:8" hidden="1">
      <c r="A2129" s="3">
        <v>216382</v>
      </c>
      <c r="B2129" s="7" t="s">
        <v>43</v>
      </c>
      <c r="C2129" s="42">
        <v>1083.96</v>
      </c>
      <c r="D2129" s="6">
        <v>45616</v>
      </c>
      <c r="E2129" s="3" t="str">
        <f ca="1">IF(Tabela2[[#This Row],[Dt Venc:]]&gt;TODAY(),"Em Aberto",IF(Tabela2[[#This Row],[D/venc]]="-","Enviado",IF(Tabela2[[#This Row],[Dt Venc:]]=TODAY(),"Vence Hoje","Vencida")))</f>
        <v>Enviado</v>
      </c>
      <c r="F2129" s="3" t="str">
        <f ca="1">IF(G2129=1,"-",Tabela2[[#This Row],[Dt Venc:]]-TODAY())</f>
        <v>-</v>
      </c>
      <c r="G2129" s="3">
        <v>1</v>
      </c>
      <c r="H2129" s="3"/>
    </row>
    <row r="2130" spans="1:8" hidden="1">
      <c r="A2130" s="3">
        <v>15166</v>
      </c>
      <c r="B2130" s="7" t="s">
        <v>44</v>
      </c>
      <c r="C2130" s="42">
        <v>850</v>
      </c>
      <c r="D2130" s="6">
        <v>45616</v>
      </c>
      <c r="E2130" s="3" t="str">
        <f ca="1">IF(Tabela2[[#This Row],[Dt Venc:]]&gt;TODAY(),"Em Aberto",IF(Tabela2[[#This Row],[D/venc]]="-","Enviado",IF(Tabela2[[#This Row],[Dt Venc:]]=TODAY(),"Vence Hoje","Vencida")))</f>
        <v>Enviado</v>
      </c>
      <c r="F2130" s="3" t="str">
        <f ca="1">IF(G2130=1,"-",Tabela2[[#This Row],[Dt Venc:]]-TODAY())</f>
        <v>-</v>
      </c>
      <c r="G2130" s="3">
        <v>1</v>
      </c>
      <c r="H2130" s="3"/>
    </row>
    <row r="2131" spans="1:8" hidden="1">
      <c r="A2131" s="3">
        <v>53728</v>
      </c>
      <c r="B2131" s="7" t="s">
        <v>169</v>
      </c>
      <c r="C2131" s="42">
        <v>1104.42</v>
      </c>
      <c r="D2131" s="6">
        <v>45616</v>
      </c>
      <c r="E2131" s="3" t="str">
        <f ca="1">IF(Tabela2[[#This Row],[Dt Venc:]]&gt;TODAY(),"Em Aberto",IF(Tabela2[[#This Row],[D/venc]]="-","Enviado",IF(Tabela2[[#This Row],[Dt Venc:]]=TODAY(),"Vence Hoje","Vencida")))</f>
        <v>Enviado</v>
      </c>
      <c r="F2131" s="3" t="str">
        <f ca="1">IF(G2131=1,"-",Tabela2[[#This Row],[Dt Venc:]]-TODAY())</f>
        <v>-</v>
      </c>
      <c r="G2131" s="3">
        <v>1</v>
      </c>
      <c r="H2131" s="3"/>
    </row>
    <row r="2132" spans="1:8" hidden="1">
      <c r="A2132" s="3">
        <v>609329</v>
      </c>
      <c r="B2132" s="7" t="s">
        <v>66</v>
      </c>
      <c r="C2132" s="42">
        <v>3634.7</v>
      </c>
      <c r="D2132" s="6">
        <v>45616</v>
      </c>
      <c r="E2132" s="3" t="str">
        <f ca="1">IF(Tabela2[[#This Row],[Dt Venc:]]&gt;TODAY(),"Em Aberto",IF(Tabela2[[#This Row],[D/venc]]="-","Enviado",IF(Tabela2[[#This Row],[Dt Venc:]]=TODAY(),"Vence Hoje","Vencida")))</f>
        <v>Enviado</v>
      </c>
      <c r="F2132" s="3" t="str">
        <f ca="1">IF(G2132=1,"-",Tabela2[[#This Row],[Dt Venc:]]-TODAY())</f>
        <v>-</v>
      </c>
      <c r="G2132" s="3">
        <v>1</v>
      </c>
      <c r="H2132" s="3"/>
    </row>
    <row r="2133" spans="1:8" hidden="1">
      <c r="A2133" s="3">
        <v>69789</v>
      </c>
      <c r="B2133" s="7" t="s">
        <v>333</v>
      </c>
      <c r="C2133" s="42">
        <v>536.5</v>
      </c>
      <c r="D2133" s="6">
        <v>45616</v>
      </c>
      <c r="E2133" s="3" t="str">
        <f ca="1">IF(Tabela2[[#This Row],[Dt Venc:]]&gt;TODAY(),"Em Aberto",IF(Tabela2[[#This Row],[D/venc]]="-","Enviado",IF(Tabela2[[#This Row],[Dt Venc:]]=TODAY(),"Vence Hoje","Vencida")))</f>
        <v>Enviado</v>
      </c>
      <c r="F2133" s="3" t="str">
        <f ca="1">IF(G2133=1,"-",Tabela2[[#This Row],[Dt Venc:]]-TODAY())</f>
        <v>-</v>
      </c>
      <c r="G2133" s="3">
        <v>1</v>
      </c>
      <c r="H2133" s="3"/>
    </row>
    <row r="2134" spans="1:8" hidden="1">
      <c r="A2134" s="3">
        <v>933</v>
      </c>
      <c r="B2134" s="7" t="s">
        <v>43</v>
      </c>
      <c r="C2134" s="42">
        <v>723.34</v>
      </c>
      <c r="D2134" s="6">
        <v>45616</v>
      </c>
      <c r="E2134" s="3" t="str">
        <f ca="1">IF(Tabela2[[#This Row],[Dt Venc:]]&gt;TODAY(),"Em Aberto",IF(Tabela2[[#This Row],[D/venc]]="-","Enviado",IF(Tabela2[[#This Row],[Dt Venc:]]=TODAY(),"Vence Hoje","Vencida")))</f>
        <v>Enviado</v>
      </c>
      <c r="F2134" s="3" t="str">
        <f ca="1">IF(G2134=1,"-",Tabela2[[#This Row],[Dt Venc:]]-TODAY())</f>
        <v>-</v>
      </c>
      <c r="G2134" s="3">
        <v>1</v>
      </c>
      <c r="H2134" s="3"/>
    </row>
    <row r="2135" spans="1:8" hidden="1">
      <c r="A2135" s="3">
        <v>763387</v>
      </c>
      <c r="B2135" s="7" t="s">
        <v>79</v>
      </c>
      <c r="C2135" s="42">
        <v>1855.38</v>
      </c>
      <c r="D2135" s="6">
        <v>45616</v>
      </c>
      <c r="E2135" s="3" t="str">
        <f ca="1">IF(Tabela2[[#This Row],[Dt Venc:]]&gt;TODAY(),"Em Aberto",IF(Tabela2[[#This Row],[D/venc]]="-","Enviado",IF(Tabela2[[#This Row],[Dt Venc:]]=TODAY(),"Vence Hoje","Vencida")))</f>
        <v>Enviado</v>
      </c>
      <c r="F2135" s="3" t="str">
        <f ca="1">IF(G2135=1,"-",Tabela2[[#This Row],[Dt Venc:]]-TODAY())</f>
        <v>-</v>
      </c>
      <c r="G2135" s="3">
        <v>1</v>
      </c>
      <c r="H2135" s="3"/>
    </row>
    <row r="2136" spans="1:8" hidden="1">
      <c r="A2136" s="3">
        <v>1526</v>
      </c>
      <c r="B2136" s="7" t="s">
        <v>78</v>
      </c>
      <c r="C2136" s="42">
        <v>392</v>
      </c>
      <c r="D2136" s="6">
        <v>45616</v>
      </c>
      <c r="E2136" s="3" t="str">
        <f ca="1">IF(Tabela2[[#This Row],[Dt Venc:]]&gt;TODAY(),"Em Aberto",IF(Tabela2[[#This Row],[D/venc]]="-","Enviado",IF(Tabela2[[#This Row],[Dt Venc:]]=TODAY(),"Vence Hoje","Vencida")))</f>
        <v>Enviado</v>
      </c>
      <c r="F2136" s="3" t="str">
        <f ca="1">IF(G2136=1,"-",Tabela2[[#This Row],[Dt Venc:]]-TODAY())</f>
        <v>-</v>
      </c>
      <c r="G2136" s="3">
        <v>1</v>
      </c>
      <c r="H2136" s="3"/>
    </row>
    <row r="2137" spans="1:8" hidden="1">
      <c r="A2137" s="3">
        <v>230618</v>
      </c>
      <c r="B2137" s="7" t="s">
        <v>43</v>
      </c>
      <c r="C2137" s="42">
        <v>689.43</v>
      </c>
      <c r="D2137" s="6">
        <v>45616</v>
      </c>
      <c r="E2137" s="3" t="str">
        <f ca="1">IF(Tabela2[[#This Row],[Dt Venc:]]&gt;TODAY(),"Em Aberto",IF(Tabela2[[#This Row],[D/venc]]="-","Enviado",IF(Tabela2[[#This Row],[Dt Venc:]]=TODAY(),"Vence Hoje","Vencida")))</f>
        <v>Enviado</v>
      </c>
      <c r="F2137" s="3" t="str">
        <f ca="1">IF(G2137=1,"-",Tabela2[[#This Row],[Dt Venc:]]-TODAY())</f>
        <v>-</v>
      </c>
      <c r="G2137" s="3">
        <v>1</v>
      </c>
      <c r="H2137" s="3"/>
    </row>
    <row r="2138" spans="1:8" hidden="1">
      <c r="A2138" s="3">
        <v>181253</v>
      </c>
      <c r="B2138" s="7" t="s">
        <v>84</v>
      </c>
      <c r="C2138" s="42">
        <v>802.32</v>
      </c>
      <c r="D2138" s="6">
        <v>45616</v>
      </c>
      <c r="E2138" s="3" t="str">
        <f ca="1">IF(Tabela2[[#This Row],[Dt Venc:]]&gt;TODAY(),"Em Aberto",IF(Tabela2[[#This Row],[D/venc]]="-","Enviado",IF(Tabela2[[#This Row],[Dt Venc:]]=TODAY(),"Vence Hoje","Vencida")))</f>
        <v>Enviado</v>
      </c>
      <c r="F2138" s="3" t="str">
        <f ca="1">IF(G2138=1,"-",Tabela2[[#This Row],[Dt Venc:]]-TODAY())</f>
        <v>-</v>
      </c>
      <c r="G2138" s="3">
        <v>1</v>
      </c>
      <c r="H2138" s="3"/>
    </row>
    <row r="2139" spans="1:8" hidden="1">
      <c r="A2139" s="3">
        <v>7196</v>
      </c>
      <c r="B2139" s="7" t="s">
        <v>318</v>
      </c>
      <c r="C2139" s="42">
        <v>931</v>
      </c>
      <c r="D2139" s="6">
        <v>45616</v>
      </c>
      <c r="E2139" s="3" t="str">
        <f ca="1">IF(Tabela2[[#This Row],[Dt Venc:]]&gt;TODAY(),"Em Aberto",IF(Tabela2[[#This Row],[D/venc]]="-","Enviado",IF(Tabela2[[#This Row],[Dt Venc:]]=TODAY(),"Vence Hoje","Vencida")))</f>
        <v>Enviado</v>
      </c>
      <c r="F2139" s="3" t="str">
        <f ca="1">IF(G2139=1,"-",Tabela2[[#This Row],[Dt Venc:]]-TODAY())</f>
        <v>-</v>
      </c>
      <c r="G2139" s="3">
        <v>1</v>
      </c>
      <c r="H2139" s="3"/>
    </row>
    <row r="2140" spans="1:8" hidden="1">
      <c r="A2140" s="3">
        <v>148240</v>
      </c>
      <c r="B2140" s="7" t="s">
        <v>79</v>
      </c>
      <c r="C2140" s="42">
        <v>857.64</v>
      </c>
      <c r="D2140" s="6">
        <v>45616</v>
      </c>
      <c r="E2140" s="3" t="str">
        <f ca="1">IF(Tabela2[[#This Row],[Dt Venc:]]&gt;TODAY(),"Em Aberto",IF(Tabela2[[#This Row],[D/venc]]="-","Enviado",IF(Tabela2[[#This Row],[Dt Venc:]]=TODAY(),"Vence Hoje","Vencida")))</f>
        <v>Enviado</v>
      </c>
      <c r="F2140" s="3" t="str">
        <f ca="1">IF(G2140=1,"-",Tabela2[[#This Row],[Dt Venc:]]-TODAY())</f>
        <v>-</v>
      </c>
      <c r="G2140" s="3">
        <v>1</v>
      </c>
      <c r="H2140" s="3"/>
    </row>
    <row r="2141" spans="1:8" hidden="1">
      <c r="A2141" s="3">
        <v>23722</v>
      </c>
      <c r="B2141" s="7" t="s">
        <v>308</v>
      </c>
      <c r="C2141" s="42">
        <v>5349.45</v>
      </c>
      <c r="D2141" s="6">
        <v>45616</v>
      </c>
      <c r="E2141" s="3" t="str">
        <f ca="1">IF(Tabela2[[#This Row],[Dt Venc:]]&gt;TODAY(),"Em Aberto",IF(Tabela2[[#This Row],[D/venc]]="-","Enviado",IF(Tabela2[[#This Row],[Dt Venc:]]=TODAY(),"Vence Hoje","Vencida")))</f>
        <v>Enviado</v>
      </c>
      <c r="F2141" s="3" t="str">
        <f ca="1">IF(G2141=1,"-",Tabela2[[#This Row],[Dt Venc:]]-TODAY())</f>
        <v>-</v>
      </c>
      <c r="G2141" s="3">
        <v>1</v>
      </c>
      <c r="H2141" s="3"/>
    </row>
    <row r="2142" spans="1:8" hidden="1">
      <c r="A2142" s="3">
        <v>1709</v>
      </c>
      <c r="B2142" s="7" t="s">
        <v>135</v>
      </c>
      <c r="C2142" s="41">
        <v>13030.6</v>
      </c>
      <c r="D2142" s="6">
        <v>45616</v>
      </c>
      <c r="E2142" s="3" t="str">
        <f ca="1">IF(Tabela2[[#This Row],[Dt Venc:]]&gt;TODAY(),"Em Aberto",IF(Tabela2[[#This Row],[D/venc]]="-","Enviado",IF(Tabela2[[#This Row],[Dt Venc:]]=TODAY(),"Vence Hoje","Vencida")))</f>
        <v>Enviado</v>
      </c>
      <c r="F2142" s="3" t="str">
        <f ca="1">IF(G2142=1,"-",Tabela2[[#This Row],[Dt Venc:]]-TODAY())</f>
        <v>-</v>
      </c>
      <c r="G2142" s="3">
        <v>1</v>
      </c>
      <c r="H2142" s="3"/>
    </row>
    <row r="2143" spans="1:8" hidden="1">
      <c r="A2143" s="3">
        <v>426980</v>
      </c>
      <c r="B2143" s="7" t="s">
        <v>89</v>
      </c>
      <c r="C2143" s="41">
        <v>1072.5</v>
      </c>
      <c r="D2143" s="6">
        <v>45616</v>
      </c>
      <c r="E2143" s="3" t="str">
        <f ca="1">IF(Tabela2[[#This Row],[Dt Venc:]]&gt;TODAY(),"Em Aberto",IF(Tabela2[[#This Row],[D/venc]]="-","Enviado",IF(Tabela2[[#This Row],[Dt Venc:]]=TODAY(),"Vence Hoje","Vencida")))</f>
        <v>Enviado</v>
      </c>
      <c r="F2143" s="3" t="str">
        <f ca="1">IF(G2143=1,"-",Tabela2[[#This Row],[Dt Venc:]]-TODAY())</f>
        <v>-</v>
      </c>
      <c r="G2143" s="3">
        <v>1</v>
      </c>
      <c r="H2143" s="3"/>
    </row>
    <row r="2144" spans="1:8" hidden="1">
      <c r="A2144" s="3">
        <v>153745</v>
      </c>
      <c r="B2144" s="7" t="s">
        <v>240</v>
      </c>
      <c r="C2144" s="41">
        <v>1353.33</v>
      </c>
      <c r="D2144" s="6">
        <v>45616</v>
      </c>
      <c r="E2144" s="3" t="str">
        <f ca="1">IF(Tabela2[[#This Row],[Dt Venc:]]&gt;TODAY(),"Em Aberto",IF(Tabela2[[#This Row],[D/venc]]="-","Enviado",IF(Tabela2[[#This Row],[Dt Venc:]]=TODAY(),"Vence Hoje","Vencida")))</f>
        <v>Enviado</v>
      </c>
      <c r="F2144" s="3" t="str">
        <f ca="1">IF(G2144=1,"-",Tabela2[[#This Row],[Dt Venc:]]-TODAY())</f>
        <v>-</v>
      </c>
      <c r="G2144" s="3">
        <v>1</v>
      </c>
      <c r="H2144" s="3"/>
    </row>
    <row r="2145" spans="1:8" hidden="1">
      <c r="A2145" s="3">
        <v>265238</v>
      </c>
      <c r="B2145" s="7" t="s">
        <v>450</v>
      </c>
      <c r="C2145" s="41">
        <v>366.67</v>
      </c>
      <c r="D2145" s="6">
        <v>45616</v>
      </c>
      <c r="E2145" s="3" t="str">
        <f ca="1">IF(Tabela2[[#This Row],[Dt Venc:]]&gt;TODAY(),"Em Aberto",IF(Tabela2[[#This Row],[D/venc]]="-","Enviado",IF(Tabela2[[#This Row],[Dt Venc:]]=TODAY(),"Vence Hoje","Vencida")))</f>
        <v>Enviado</v>
      </c>
      <c r="F2145" s="3" t="str">
        <f ca="1">IF(G2145=1,"-",Tabela2[[#This Row],[Dt Venc:]]-TODAY())</f>
        <v>-</v>
      </c>
      <c r="G2145" s="3">
        <v>1</v>
      </c>
      <c r="H2145" s="3"/>
    </row>
    <row r="2146" spans="1:8" hidden="1">
      <c r="A2146" s="3">
        <v>15275</v>
      </c>
      <c r="B2146" s="7" t="s">
        <v>99</v>
      </c>
      <c r="C2146" s="41">
        <v>1275</v>
      </c>
      <c r="D2146" s="6">
        <v>45616</v>
      </c>
      <c r="E2146" s="3" t="str">
        <f ca="1">IF(Tabela2[[#This Row],[Dt Venc:]]&gt;TODAY(),"Em Aberto",IF(Tabela2[[#This Row],[D/venc]]="-","Enviado",IF(Tabela2[[#This Row],[Dt Venc:]]=TODAY(),"Vence Hoje","Vencida")))</f>
        <v>Enviado</v>
      </c>
      <c r="F2146" s="3" t="str">
        <f ca="1">IF(G2146=1,"-",Tabela2[[#This Row],[Dt Venc:]]-TODAY())</f>
        <v>-</v>
      </c>
      <c r="G2146" s="3">
        <v>1</v>
      </c>
      <c r="H2146" s="3"/>
    </row>
    <row r="2147" spans="1:8" hidden="1">
      <c r="A2147" s="3">
        <v>374375</v>
      </c>
      <c r="B2147" s="7" t="s">
        <v>171</v>
      </c>
      <c r="C2147" s="41">
        <v>590.03</v>
      </c>
      <c r="D2147" s="6">
        <v>45616</v>
      </c>
      <c r="E2147" s="3" t="str">
        <f ca="1">IF(Tabela2[[#This Row],[Dt Venc:]]&gt;TODAY(),"Em Aberto",IF(Tabela2[[#This Row],[D/venc]]="-","Enviado",IF(Tabela2[[#This Row],[Dt Venc:]]=TODAY(),"Vence Hoje","Vencida")))</f>
        <v>Enviado</v>
      </c>
      <c r="F2147" s="3" t="str">
        <f ca="1">IF(G2147=1,"-",Tabela2[[#This Row],[Dt Venc:]]-TODAY())</f>
        <v>-</v>
      </c>
      <c r="G2147" s="3">
        <v>1</v>
      </c>
      <c r="H2147" s="3"/>
    </row>
    <row r="2148" spans="1:8" hidden="1">
      <c r="A2148" s="3">
        <v>7424</v>
      </c>
      <c r="B2148" s="7" t="s">
        <v>54</v>
      </c>
      <c r="C2148" s="41">
        <v>420</v>
      </c>
      <c r="D2148" s="6">
        <v>45616</v>
      </c>
      <c r="E2148" s="3" t="str">
        <f ca="1">IF(Tabela2[[#This Row],[Dt Venc:]]&gt;TODAY(),"Em Aberto",IF(Tabela2[[#This Row],[D/venc]]="-","Enviado",IF(Tabela2[[#This Row],[Dt Venc:]]=TODAY(),"Vence Hoje","Vencida")))</f>
        <v>Enviado</v>
      </c>
      <c r="F2148" s="3" t="str">
        <f ca="1">IF(G2148=1,"-",Tabela2[[#This Row],[Dt Venc:]]-TODAY())</f>
        <v>-</v>
      </c>
      <c r="G2148" s="3">
        <v>1</v>
      </c>
      <c r="H2148" s="3"/>
    </row>
    <row r="2149" spans="1:8" hidden="1">
      <c r="A2149" s="3">
        <v>67</v>
      </c>
      <c r="B2149" s="7" t="s">
        <v>451</v>
      </c>
      <c r="C2149" s="41">
        <v>440</v>
      </c>
      <c r="D2149" s="6">
        <v>45616</v>
      </c>
      <c r="E2149" s="3" t="str">
        <f ca="1">IF(Tabela2[[#This Row],[Dt Venc:]]&gt;TODAY(),"Em Aberto",IF(Tabela2[[#This Row],[D/venc]]="-","Enviado",IF(Tabela2[[#This Row],[Dt Venc:]]=TODAY(),"Vence Hoje","Vencida")))</f>
        <v>Enviado</v>
      </c>
      <c r="F2149" s="3" t="str">
        <f ca="1">IF(G2149=1,"-",Tabela2[[#This Row],[Dt Venc:]]-TODAY())</f>
        <v>-</v>
      </c>
      <c r="G2149" s="3">
        <v>1</v>
      </c>
      <c r="H2149" s="3"/>
    </row>
    <row r="2150" spans="1:8" hidden="1">
      <c r="A2150" s="3">
        <v>2102</v>
      </c>
      <c r="B2150" s="7" t="s">
        <v>43</v>
      </c>
      <c r="C2150" s="41">
        <v>134.1</v>
      </c>
      <c r="D2150" s="6">
        <v>45616</v>
      </c>
      <c r="E2150" s="3" t="str">
        <f ca="1">IF(Tabela2[[#This Row],[Dt Venc:]]&gt;TODAY(),"Em Aberto",IF(Tabela2[[#This Row],[D/venc]]="-","Enviado",IF(Tabela2[[#This Row],[Dt Venc:]]=TODAY(),"Vence Hoje","Vencida")))</f>
        <v>Enviado</v>
      </c>
      <c r="F2150" s="3" t="str">
        <f ca="1">IF(G2150=1,"-",Tabela2[[#This Row],[Dt Venc:]]-TODAY())</f>
        <v>-</v>
      </c>
      <c r="G2150" s="3">
        <v>1</v>
      </c>
      <c r="H2150" s="3"/>
    </row>
    <row r="2151" spans="1:8" hidden="1">
      <c r="A2151" s="3">
        <v>389090</v>
      </c>
      <c r="B2151" s="7" t="s">
        <v>43</v>
      </c>
      <c r="C2151" s="41">
        <v>360</v>
      </c>
      <c r="D2151" s="6">
        <v>45616</v>
      </c>
      <c r="E2151" s="3" t="str">
        <f ca="1">IF(Tabela2[[#This Row],[Dt Venc:]]&gt;TODAY(),"Em Aberto",IF(Tabela2[[#This Row],[D/venc]]="-","Enviado",IF(Tabela2[[#This Row],[Dt Venc:]]=TODAY(),"Vence Hoje","Vencida")))</f>
        <v>Enviado</v>
      </c>
      <c r="F2151" s="3" t="str">
        <f ca="1">IF(G2151=1,"-",Tabela2[[#This Row],[Dt Venc:]]-TODAY())</f>
        <v>-</v>
      </c>
      <c r="G2151" s="3">
        <v>1</v>
      </c>
      <c r="H2151" s="3"/>
    </row>
    <row r="2152" spans="1:8" hidden="1">
      <c r="A2152" s="3">
        <v>327443</v>
      </c>
      <c r="B2152" s="7" t="s">
        <v>240</v>
      </c>
      <c r="C2152" s="41">
        <v>613</v>
      </c>
      <c r="D2152" s="6">
        <v>45616</v>
      </c>
      <c r="E2152" s="3" t="str">
        <f ca="1">IF(Tabela2[[#This Row],[Dt Venc:]]&gt;TODAY(),"Em Aberto",IF(Tabela2[[#This Row],[D/venc]]="-","Enviado",IF(Tabela2[[#This Row],[Dt Venc:]]=TODAY(),"Vence Hoje","Vencida")))</f>
        <v>Enviado</v>
      </c>
      <c r="F2152" s="3" t="str">
        <f ca="1">IF(G2152=1,"-",Tabela2[[#This Row],[Dt Venc:]]-TODAY())</f>
        <v>-</v>
      </c>
      <c r="G2152" s="3">
        <v>1</v>
      </c>
      <c r="H2152" s="3"/>
    </row>
    <row r="2153" spans="1:8" hidden="1">
      <c r="A2153" s="3">
        <v>88546</v>
      </c>
      <c r="B2153" s="7" t="s">
        <v>207</v>
      </c>
      <c r="C2153" s="41">
        <v>400</v>
      </c>
      <c r="D2153" s="6">
        <v>45616</v>
      </c>
      <c r="E2153" s="3" t="str">
        <f ca="1">IF(Tabela2[[#This Row],[Dt Venc:]]&gt;TODAY(),"Em Aberto",IF(Tabela2[[#This Row],[D/venc]]="-","Enviado",IF(Tabela2[[#This Row],[Dt Venc:]]=TODAY(),"Vence Hoje","Vencida")))</f>
        <v>Enviado</v>
      </c>
      <c r="F2153" s="3" t="str">
        <f ca="1">IF(G2153=1,"-",Tabela2[[#This Row],[Dt Venc:]]-TODAY())</f>
        <v>-</v>
      </c>
      <c r="G2153" s="3">
        <v>1</v>
      </c>
      <c r="H2153" s="3"/>
    </row>
    <row r="2154" spans="1:8" hidden="1">
      <c r="A2154" s="3">
        <v>223237</v>
      </c>
      <c r="B2154" s="7" t="s">
        <v>127</v>
      </c>
      <c r="C2154" s="41">
        <v>510.53</v>
      </c>
      <c r="D2154" s="6">
        <v>45616</v>
      </c>
      <c r="E2154" s="3" t="str">
        <f ca="1">IF(Tabela2[[#This Row],[Dt Venc:]]&gt;TODAY(),"Em Aberto",IF(Tabela2[[#This Row],[D/venc]]="-","Enviado",IF(Tabela2[[#This Row],[Dt Venc:]]=TODAY(),"Vence Hoje","Vencida")))</f>
        <v>Enviado</v>
      </c>
      <c r="F2154" s="3" t="str">
        <f ca="1">IF(G2154=1,"-",Tabela2[[#This Row],[Dt Venc:]]-TODAY())</f>
        <v>-</v>
      </c>
      <c r="G2154" s="3">
        <v>1</v>
      </c>
      <c r="H2154" s="3"/>
    </row>
    <row r="2155" spans="1:8" hidden="1">
      <c r="A2155" s="3">
        <v>223203</v>
      </c>
      <c r="B2155" s="7" t="s">
        <v>127</v>
      </c>
      <c r="C2155" s="41">
        <v>759.53</v>
      </c>
      <c r="D2155" s="6">
        <v>45616</v>
      </c>
      <c r="E2155" s="3" t="str">
        <f ca="1">IF(Tabela2[[#This Row],[Dt Venc:]]&gt;TODAY(),"Em Aberto",IF(Tabela2[[#This Row],[D/venc]]="-","Enviado",IF(Tabela2[[#This Row],[Dt Venc:]]=TODAY(),"Vence Hoje","Vencida")))</f>
        <v>Enviado</v>
      </c>
      <c r="F2155" s="3" t="str">
        <f ca="1">IF(G2155=1,"-",Tabela2[[#This Row],[Dt Venc:]]-TODAY())</f>
        <v>-</v>
      </c>
      <c r="G2155" s="3">
        <v>1</v>
      </c>
      <c r="H2155" s="3"/>
    </row>
    <row r="2156" spans="1:8" hidden="1">
      <c r="A2156" s="3">
        <v>2641</v>
      </c>
      <c r="B2156" s="7" t="s">
        <v>198</v>
      </c>
      <c r="C2156" s="41">
        <v>280</v>
      </c>
      <c r="D2156" s="6">
        <v>45616</v>
      </c>
      <c r="E2156" s="3" t="str">
        <f ca="1">IF(Tabela2[[#This Row],[Dt Venc:]]&gt;TODAY(),"Em Aberto",IF(Tabela2[[#This Row],[D/venc]]="-","Enviado",IF(Tabela2[[#This Row],[Dt Venc:]]=TODAY(),"Vence Hoje","Vencida")))</f>
        <v>Enviado</v>
      </c>
      <c r="F2156" s="3" t="str">
        <f ca="1">IF(G2156=1,"-",Tabela2[[#This Row],[Dt Venc:]]-TODAY())</f>
        <v>-</v>
      </c>
      <c r="G2156" s="3">
        <v>1</v>
      </c>
      <c r="H2156" s="3"/>
    </row>
    <row r="2157" spans="1:8" hidden="1">
      <c r="A2157" s="3">
        <v>3744</v>
      </c>
      <c r="B2157" s="7" t="s">
        <v>452</v>
      </c>
      <c r="C2157" s="41">
        <v>1003.33</v>
      </c>
      <c r="D2157" s="6">
        <v>45616</v>
      </c>
      <c r="E2157" s="3" t="str">
        <f ca="1">IF(Tabela2[[#This Row],[Dt Venc:]]&gt;TODAY(),"Em Aberto",IF(Tabela2[[#This Row],[D/venc]]="-","Enviado",IF(Tabela2[[#This Row],[Dt Venc:]]=TODAY(),"Vence Hoje","Vencida")))</f>
        <v>Enviado</v>
      </c>
      <c r="F2157" s="3" t="str">
        <f ca="1">IF(G2157=1,"-",Tabela2[[#This Row],[Dt Venc:]]-TODAY())</f>
        <v>-</v>
      </c>
      <c r="G2157" s="3">
        <v>1</v>
      </c>
      <c r="H2157" s="3"/>
    </row>
    <row r="2158" spans="1:8" hidden="1">
      <c r="A2158" s="3">
        <v>6030</v>
      </c>
      <c r="B2158" s="7" t="s">
        <v>47</v>
      </c>
      <c r="C2158" s="41">
        <v>2411.9299999999998</v>
      </c>
      <c r="D2158" s="6">
        <v>45616</v>
      </c>
      <c r="E2158" s="3" t="str">
        <f ca="1">IF(Tabela2[[#This Row],[Dt Venc:]]&gt;TODAY(),"Em Aberto",IF(Tabela2[[#This Row],[D/venc]]="-","Enviado",IF(Tabela2[[#This Row],[Dt Venc:]]=TODAY(),"Vence Hoje","Vencida")))</f>
        <v>Enviado</v>
      </c>
      <c r="F2158" s="3" t="str">
        <f ca="1">IF(G2158=1,"-",Tabela2[[#This Row],[Dt Venc:]]-TODAY())</f>
        <v>-</v>
      </c>
      <c r="G2158" s="3">
        <v>1</v>
      </c>
      <c r="H2158" s="3"/>
    </row>
    <row r="2159" spans="1:8" hidden="1">
      <c r="A2159" s="3">
        <v>4550087</v>
      </c>
      <c r="B2159" s="7" t="s">
        <v>219</v>
      </c>
      <c r="C2159" s="41">
        <v>970.3</v>
      </c>
      <c r="D2159" s="6">
        <v>45616</v>
      </c>
      <c r="E2159" s="3" t="str">
        <f ca="1">IF(Tabela2[[#This Row],[Dt Venc:]]&gt;TODAY(),"Em Aberto",IF(Tabela2[[#This Row],[D/venc]]="-","Enviado",IF(Tabela2[[#This Row],[Dt Venc:]]=TODAY(),"Vence Hoje","Vencida")))</f>
        <v>Enviado</v>
      </c>
      <c r="F2159" s="3" t="str">
        <f ca="1">IF(G2159=1,"-",Tabela2[[#This Row],[Dt Venc:]]-TODAY())</f>
        <v>-</v>
      </c>
      <c r="G2159" s="3">
        <v>1</v>
      </c>
      <c r="H2159" s="3"/>
    </row>
    <row r="2160" spans="1:8" hidden="1">
      <c r="A2160" s="3">
        <v>11473</v>
      </c>
      <c r="B2160" s="7" t="s">
        <v>174</v>
      </c>
      <c r="C2160" s="41">
        <v>1560</v>
      </c>
      <c r="D2160" s="6">
        <v>45616</v>
      </c>
      <c r="E2160" s="3" t="str">
        <f ca="1">IF(Tabela2[[#This Row],[Dt Venc:]]&gt;TODAY(),"Em Aberto",IF(Tabela2[[#This Row],[D/venc]]="-","Enviado",IF(Tabela2[[#This Row],[Dt Venc:]]=TODAY(),"Vence Hoje","Vencida")))</f>
        <v>Enviado</v>
      </c>
      <c r="F2160" s="3" t="str">
        <f ca="1">IF(G2160=1,"-",Tabela2[[#This Row],[Dt Venc:]]-TODAY())</f>
        <v>-</v>
      </c>
      <c r="G2160" s="3">
        <v>1</v>
      </c>
      <c r="H2160" s="3"/>
    </row>
    <row r="2161" spans="1:8" hidden="1">
      <c r="A2161" s="3">
        <v>11477</v>
      </c>
      <c r="B2161" s="7" t="s">
        <v>174</v>
      </c>
      <c r="C2161" s="41">
        <v>1560</v>
      </c>
      <c r="D2161" s="6">
        <v>45616</v>
      </c>
      <c r="E2161" s="3" t="str">
        <f ca="1">IF(Tabela2[[#This Row],[Dt Venc:]]&gt;TODAY(),"Em Aberto",IF(Tabela2[[#This Row],[D/venc]]="-","Enviado",IF(Tabela2[[#This Row],[Dt Venc:]]=TODAY(),"Vence Hoje","Vencida")))</f>
        <v>Enviado</v>
      </c>
      <c r="F2161" s="3" t="str">
        <f ca="1">IF(G2161=1,"-",Tabela2[[#This Row],[Dt Venc:]]-TODAY())</f>
        <v>-</v>
      </c>
      <c r="G2161" s="3">
        <v>1</v>
      </c>
      <c r="H2161" s="3"/>
    </row>
    <row r="2162" spans="1:8" hidden="1">
      <c r="A2162" s="3">
        <v>11473</v>
      </c>
      <c r="B2162" s="7" t="s">
        <v>174</v>
      </c>
      <c r="C2162" s="41">
        <v>1560</v>
      </c>
      <c r="D2162" s="6">
        <v>45616</v>
      </c>
      <c r="E2162" s="3" t="str">
        <f ca="1">IF(Tabela2[[#This Row],[Dt Venc:]]&gt;TODAY(),"Em Aberto",IF(Tabela2[[#This Row],[D/venc]]="-","Enviado",IF(Tabela2[[#This Row],[Dt Venc:]]=TODAY(),"Vence Hoje","Vencida")))</f>
        <v>Enviado</v>
      </c>
      <c r="F2162" s="3" t="str">
        <f ca="1">IF(G2162=1,"-",Tabela2[[#This Row],[Dt Venc:]]-TODAY())</f>
        <v>-</v>
      </c>
      <c r="G2162" s="3">
        <v>1</v>
      </c>
      <c r="H2162" s="3"/>
    </row>
    <row r="2163" spans="1:8" hidden="1">
      <c r="A2163" s="3">
        <v>14214</v>
      </c>
      <c r="B2163" s="7" t="s">
        <v>303</v>
      </c>
      <c r="C2163" s="41">
        <v>1015</v>
      </c>
      <c r="D2163" s="6">
        <v>45616</v>
      </c>
      <c r="E2163" s="3" t="str">
        <f ca="1">IF(Tabela2[[#This Row],[Dt Venc:]]&gt;TODAY(),"Em Aberto",IF(Tabela2[[#This Row],[D/venc]]="-","Enviado",IF(Tabela2[[#This Row],[Dt Venc:]]=TODAY(),"Vence Hoje","Vencida")))</f>
        <v>Enviado</v>
      </c>
      <c r="F2163" s="3" t="str">
        <f ca="1">IF(G2163=1,"-",Tabela2[[#This Row],[Dt Venc:]]-TODAY())</f>
        <v>-</v>
      </c>
      <c r="G2163" s="3">
        <v>1</v>
      </c>
      <c r="H2163" s="3"/>
    </row>
    <row r="2164" spans="1:8" hidden="1">
      <c r="A2164" s="3">
        <v>223144</v>
      </c>
      <c r="B2164" s="7" t="s">
        <v>127</v>
      </c>
      <c r="C2164" s="41">
        <v>725</v>
      </c>
      <c r="D2164" s="6">
        <v>45616</v>
      </c>
      <c r="E2164" s="3" t="str">
        <f ca="1">IF(Tabela2[[#This Row],[Dt Venc:]]&gt;TODAY(),"Em Aberto",IF(Tabela2[[#This Row],[D/venc]]="-","Enviado",IF(Tabela2[[#This Row],[Dt Venc:]]=TODAY(),"Vence Hoje","Vencida")))</f>
        <v>Enviado</v>
      </c>
      <c r="F2164" s="3" t="str">
        <f ca="1">IF(G2164=1,"-",Tabela2[[#This Row],[Dt Venc:]]-TODAY())</f>
        <v>-</v>
      </c>
      <c r="G2164" s="3">
        <v>1</v>
      </c>
      <c r="H2164" s="3"/>
    </row>
    <row r="2165" spans="1:8" hidden="1">
      <c r="A2165" s="3">
        <v>232023</v>
      </c>
      <c r="B2165" s="7" t="s">
        <v>40</v>
      </c>
      <c r="C2165" s="41">
        <v>1233.3399999999999</v>
      </c>
      <c r="D2165" s="6">
        <v>45616</v>
      </c>
      <c r="E2165" s="3" t="str">
        <f ca="1">IF(Tabela2[[#This Row],[Dt Venc:]]&gt;TODAY(),"Em Aberto",IF(Tabela2[[#This Row],[D/venc]]="-","Enviado",IF(Tabela2[[#This Row],[Dt Venc:]]=TODAY(),"Vence Hoje","Vencida")))</f>
        <v>Enviado</v>
      </c>
      <c r="F2165" s="3" t="str">
        <f ca="1">IF(G2165=1,"-",Tabela2[[#This Row],[Dt Venc:]]-TODAY())</f>
        <v>-</v>
      </c>
      <c r="G2165" s="3">
        <v>1</v>
      </c>
      <c r="H2165" s="3"/>
    </row>
    <row r="2166" spans="1:8" hidden="1">
      <c r="A2166" s="3">
        <v>22207</v>
      </c>
      <c r="B2166" s="7" t="s">
        <v>40</v>
      </c>
      <c r="C2166" s="41">
        <v>7933.34</v>
      </c>
      <c r="D2166" s="6">
        <v>45616</v>
      </c>
      <c r="E2166" s="3" t="str">
        <f ca="1">IF(Tabela2[[#This Row],[Dt Venc:]]&gt;TODAY(),"Em Aberto",IF(Tabela2[[#This Row],[D/venc]]="-","Enviado",IF(Tabela2[[#This Row],[Dt Venc:]]=TODAY(),"Vence Hoje","Vencida")))</f>
        <v>Enviado</v>
      </c>
      <c r="F2166" s="3" t="str">
        <f ca="1">IF(G2166=1,"-",Tabela2[[#This Row],[Dt Venc:]]-TODAY())</f>
        <v>-</v>
      </c>
      <c r="G2166" s="3">
        <v>1</v>
      </c>
      <c r="H2166" s="3"/>
    </row>
    <row r="2167" spans="1:8" hidden="1">
      <c r="A2167" s="3">
        <v>613469</v>
      </c>
      <c r="B2167" s="7" t="s">
        <v>66</v>
      </c>
      <c r="C2167" s="41">
        <v>2978.21</v>
      </c>
      <c r="D2167" s="6">
        <v>45616</v>
      </c>
      <c r="E2167" s="3" t="str">
        <f ca="1">IF(Tabela2[[#This Row],[Dt Venc:]]&gt;TODAY(),"Em Aberto",IF(Tabela2[[#This Row],[D/venc]]="-","Enviado",IF(Tabela2[[#This Row],[Dt Venc:]]=TODAY(),"Vence Hoje","Vencida")))</f>
        <v>Enviado</v>
      </c>
      <c r="F2167" s="3" t="str">
        <f ca="1">IF(G2167=1,"-",Tabela2[[#This Row],[Dt Venc:]]-TODAY())</f>
        <v>-</v>
      </c>
      <c r="G2167" s="3">
        <v>1</v>
      </c>
      <c r="H2167" s="3"/>
    </row>
    <row r="2168" spans="1:8" hidden="1">
      <c r="A2168" s="3">
        <v>72232</v>
      </c>
      <c r="B2168" s="7" t="s">
        <v>76</v>
      </c>
      <c r="C2168" s="41">
        <v>15.85</v>
      </c>
      <c r="D2168" s="6">
        <v>45616</v>
      </c>
      <c r="E2168" s="3" t="str">
        <f ca="1">IF(Tabela2[[#This Row],[Dt Venc:]]&gt;TODAY(),"Em Aberto",IF(Tabela2[[#This Row],[D/venc]]="-","Enviado",IF(Tabela2[[#This Row],[Dt Venc:]]=TODAY(),"Vence Hoje","Vencida")))</f>
        <v>Enviado</v>
      </c>
      <c r="F2168" s="3" t="str">
        <f ca="1">IF(G2168=1,"-",Tabela2[[#This Row],[Dt Venc:]]-TODAY())</f>
        <v>-</v>
      </c>
      <c r="G2168" s="3">
        <v>1</v>
      </c>
      <c r="H2168" s="3"/>
    </row>
    <row r="2169" spans="1:8" hidden="1">
      <c r="A2169" s="3">
        <v>374375</v>
      </c>
      <c r="B2169" s="7" t="s">
        <v>453</v>
      </c>
      <c r="C2169" s="41">
        <v>590.03</v>
      </c>
      <c r="D2169" s="6">
        <v>45616</v>
      </c>
      <c r="E2169" s="3" t="str">
        <f ca="1">IF(Tabela2[[#This Row],[Dt Venc:]]&gt;TODAY(),"Em Aberto",IF(Tabela2[[#This Row],[D/venc]]="-","Enviado",IF(Tabela2[[#This Row],[Dt Venc:]]=TODAY(),"Vence Hoje","Vencida")))</f>
        <v>Enviado</v>
      </c>
      <c r="F2169" s="3" t="str">
        <f ca="1">IF(G2169=1,"-",Tabela2[[#This Row],[Dt Venc:]]-TODAY())</f>
        <v>-</v>
      </c>
      <c r="G2169" s="3">
        <v>1</v>
      </c>
      <c r="H2169" s="3"/>
    </row>
    <row r="2170" spans="1:8" hidden="1">
      <c r="A2170" s="3">
        <v>2024</v>
      </c>
      <c r="B2170" s="7" t="s">
        <v>454</v>
      </c>
      <c r="C2170" s="41">
        <v>1766.67</v>
      </c>
      <c r="D2170" s="6">
        <v>45616</v>
      </c>
      <c r="E2170" s="3" t="str">
        <f ca="1">IF(Tabela2[[#This Row],[Dt Venc:]]&gt;TODAY(),"Em Aberto",IF(Tabela2[[#This Row],[D/venc]]="-","Enviado",IF(Tabela2[[#This Row],[Dt Venc:]]=TODAY(),"Vence Hoje","Vencida")))</f>
        <v>Enviado</v>
      </c>
      <c r="F2170" s="3" t="str">
        <f ca="1">IF(G2170=1,"-",Tabela2[[#This Row],[Dt Venc:]]-TODAY())</f>
        <v>-</v>
      </c>
      <c r="G2170" s="3">
        <v>1</v>
      </c>
      <c r="H2170" s="3"/>
    </row>
    <row r="2171" spans="1:8" hidden="1">
      <c r="A2171" s="3">
        <v>2653</v>
      </c>
      <c r="B2171" s="7" t="s">
        <v>198</v>
      </c>
      <c r="C2171" s="41">
        <v>490</v>
      </c>
      <c r="D2171" s="6">
        <v>45616</v>
      </c>
      <c r="E2171" s="3" t="str">
        <f ca="1">IF(Tabela2[[#This Row],[Dt Venc:]]&gt;TODAY(),"Em Aberto",IF(Tabela2[[#This Row],[D/venc]]="-","Enviado",IF(Tabela2[[#This Row],[Dt Venc:]]=TODAY(),"Vence Hoje","Vencida")))</f>
        <v>Enviado</v>
      </c>
      <c r="F2171" s="3" t="str">
        <f ca="1">IF(G2171=1,"-",Tabela2[[#This Row],[Dt Venc:]]-TODAY())</f>
        <v>-</v>
      </c>
      <c r="G2171" s="3">
        <v>1</v>
      </c>
      <c r="H2171" s="3"/>
    </row>
    <row r="2172" spans="1:8" hidden="1">
      <c r="A2172" s="3">
        <v>1608</v>
      </c>
      <c r="B2172" s="7" t="s">
        <v>154</v>
      </c>
      <c r="C2172" s="41">
        <v>600</v>
      </c>
      <c r="D2172" s="6">
        <v>45616</v>
      </c>
      <c r="E2172" s="3" t="str">
        <f ca="1">IF(Tabela2[[#This Row],[Dt Venc:]]&gt;TODAY(),"Em Aberto",IF(Tabela2[[#This Row],[D/venc]]="-","Enviado",IF(Tabela2[[#This Row],[Dt Venc:]]=TODAY(),"Vence Hoje","Vencida")))</f>
        <v>Enviado</v>
      </c>
      <c r="F2172" s="3" t="str">
        <f ca="1">IF(G2172=1,"-",Tabela2[[#This Row],[Dt Venc:]]-TODAY())</f>
        <v>-</v>
      </c>
      <c r="G2172" s="3">
        <v>1</v>
      </c>
      <c r="H2172" s="3"/>
    </row>
    <row r="2173" spans="1:8" hidden="1">
      <c r="A2173" s="3">
        <v>8983</v>
      </c>
      <c r="B2173" s="7" t="s">
        <v>248</v>
      </c>
      <c r="C2173" s="41">
        <v>8249.89</v>
      </c>
      <c r="D2173" s="6">
        <v>45616</v>
      </c>
      <c r="E2173" s="3" t="str">
        <f ca="1">IF(Tabela2[[#This Row],[Dt Venc:]]&gt;TODAY(),"Em Aberto",IF(Tabela2[[#This Row],[D/venc]]="-","Enviado",IF(Tabela2[[#This Row],[Dt Venc:]]=TODAY(),"Vence Hoje","Vencida")))</f>
        <v>Enviado</v>
      </c>
      <c r="F2173" s="3" t="str">
        <f ca="1">IF(G2173=1,"-",Tabela2[[#This Row],[Dt Venc:]]-TODAY())</f>
        <v>-</v>
      </c>
      <c r="G2173" s="3">
        <v>1</v>
      </c>
      <c r="H2173" s="3"/>
    </row>
    <row r="2174" spans="1:8" hidden="1">
      <c r="A2174" s="3">
        <v>9062</v>
      </c>
      <c r="B2174" s="7" t="s">
        <v>248</v>
      </c>
      <c r="C2174" s="41">
        <v>4317.1000000000004</v>
      </c>
      <c r="D2174" s="6">
        <v>45616</v>
      </c>
      <c r="E2174" s="3" t="str">
        <f ca="1">IF(Tabela2[[#This Row],[Dt Venc:]]&gt;TODAY(),"Em Aberto",IF(Tabela2[[#This Row],[D/venc]]="-","Enviado",IF(Tabela2[[#This Row],[Dt Venc:]]=TODAY(),"Vence Hoje","Vencida")))</f>
        <v>Enviado</v>
      </c>
      <c r="F2174" s="3" t="str">
        <f ca="1">IF(G2174=1,"-",Tabela2[[#This Row],[Dt Venc:]]-TODAY())</f>
        <v>-</v>
      </c>
      <c r="G2174" s="3">
        <v>1</v>
      </c>
      <c r="H2174" s="3"/>
    </row>
    <row r="2175" spans="1:8" hidden="1">
      <c r="A2175" s="3" t="s">
        <v>110</v>
      </c>
      <c r="B2175" s="7" t="s">
        <v>310</v>
      </c>
      <c r="C2175" s="42" t="s">
        <v>32</v>
      </c>
      <c r="D2175" s="6">
        <v>45616</v>
      </c>
      <c r="E2175" s="3" t="str">
        <f ca="1">IF(Tabela2[[#This Row],[Dt Venc:]]&gt;TODAY(),"Em Aberto",IF(Tabela2[[#This Row],[D/venc]]="-","Enviado",IF(Tabela2[[#This Row],[Dt Venc:]]=TODAY(),"Vence Hoje","Vencida")))</f>
        <v>Enviado</v>
      </c>
      <c r="F2175" s="3" t="str">
        <f ca="1">IF(G2175=1,"-",Tabela2[[#This Row],[Dt Venc:]]-TODAY())</f>
        <v>-</v>
      </c>
      <c r="G2175" s="3">
        <v>1</v>
      </c>
      <c r="H2175" s="3"/>
    </row>
    <row r="2176" spans="1:8" hidden="1">
      <c r="A2176" s="3" t="s">
        <v>110</v>
      </c>
      <c r="B2176" s="7" t="s">
        <v>311</v>
      </c>
      <c r="C2176" s="42" t="s">
        <v>32</v>
      </c>
      <c r="D2176" s="6">
        <v>45616</v>
      </c>
      <c r="E2176" s="3" t="str">
        <f ca="1">IF(Tabela2[[#This Row],[Dt Venc:]]&gt;TODAY(),"Em Aberto",IF(Tabela2[[#This Row],[D/venc]]="-","Enviado",IF(Tabela2[[#This Row],[Dt Venc:]]=TODAY(),"Vence Hoje","Vencida")))</f>
        <v>Enviado</v>
      </c>
      <c r="F2176" s="3" t="str">
        <f ca="1">IF(G2176=1,"-",Tabela2[[#This Row],[Dt Venc:]]-TODAY())</f>
        <v>-</v>
      </c>
      <c r="G2176" s="3">
        <v>1</v>
      </c>
      <c r="H2176" s="3"/>
    </row>
    <row r="2177" spans="1:8" hidden="1">
      <c r="A2177" s="3" t="s">
        <v>110</v>
      </c>
      <c r="B2177" s="7" t="s">
        <v>312</v>
      </c>
      <c r="C2177" s="42" t="s">
        <v>32</v>
      </c>
      <c r="D2177" s="6">
        <v>45616</v>
      </c>
      <c r="E2177" s="3" t="str">
        <f ca="1">IF(Tabela2[[#This Row],[Dt Venc:]]&gt;TODAY(),"Em Aberto",IF(Tabela2[[#This Row],[D/venc]]="-","Enviado",IF(Tabela2[[#This Row],[Dt Venc:]]=TODAY(),"Vence Hoje","Vencida")))</f>
        <v>Enviado</v>
      </c>
      <c r="F2177" s="3" t="str">
        <f ca="1">IF(G2177=1,"-",Tabela2[[#This Row],[Dt Venc:]]-TODAY())</f>
        <v>-</v>
      </c>
      <c r="G2177" s="3">
        <v>1</v>
      </c>
      <c r="H2177" s="3"/>
    </row>
    <row r="2178" spans="1:8" hidden="1">
      <c r="A2178" s="3">
        <v>45102</v>
      </c>
      <c r="B2178" s="7" t="s">
        <v>89</v>
      </c>
      <c r="C2178" s="41">
        <v>1799.66</v>
      </c>
      <c r="D2178" s="6">
        <v>45616</v>
      </c>
      <c r="E2178" s="3" t="str">
        <f ca="1">IF(Tabela2[[#This Row],[Dt Venc:]]&gt;TODAY(),"Em Aberto",IF(Tabela2[[#This Row],[D/venc]]="-","Enviado",IF(Tabela2[[#This Row],[Dt Venc:]]=TODAY(),"Vence Hoje","Vencida")))</f>
        <v>Enviado</v>
      </c>
      <c r="F2178" s="3" t="str">
        <f ca="1">IF(G2178=1,"-",Tabela2[[#This Row],[Dt Venc:]]-TODAY())</f>
        <v>-</v>
      </c>
      <c r="G2178" s="3">
        <v>1</v>
      </c>
      <c r="H2178" s="3"/>
    </row>
    <row r="2179" spans="1:8" hidden="1">
      <c r="A2179" s="3">
        <v>16304</v>
      </c>
      <c r="B2179" s="7" t="s">
        <v>322</v>
      </c>
      <c r="C2179" s="41">
        <v>848.5</v>
      </c>
      <c r="D2179" s="6">
        <v>45617</v>
      </c>
      <c r="E2179" s="3" t="str">
        <f ca="1">IF(Tabela2[[#This Row],[Dt Venc:]]&gt;TODAY(),"Em Aberto",IF(Tabela2[[#This Row],[D/venc]]="-","Enviado",IF(Tabela2[[#This Row],[Dt Venc:]]=TODAY(),"Vence Hoje","Vencida")))</f>
        <v>Enviado</v>
      </c>
      <c r="F2179" s="3" t="str">
        <f ca="1">IF(G2179=1,"-",Tabela2[[#This Row],[Dt Venc:]]-TODAY())</f>
        <v>-</v>
      </c>
      <c r="G2179" s="3">
        <v>1</v>
      </c>
      <c r="H2179" s="3"/>
    </row>
    <row r="2180" spans="1:8" hidden="1">
      <c r="A2180" s="3">
        <v>80382</v>
      </c>
      <c r="B2180" s="7" t="s">
        <v>39</v>
      </c>
      <c r="C2180" s="42">
        <v>616.64</v>
      </c>
      <c r="D2180" s="6">
        <v>45617</v>
      </c>
      <c r="E2180" s="3" t="str">
        <f ca="1">IF(Tabela2[[#This Row],[Dt Venc:]]&gt;TODAY(),"Em Aberto",IF(Tabela2[[#This Row],[D/venc]]="-","Enviado",IF(Tabela2[[#This Row],[Dt Venc:]]=TODAY(),"Vence Hoje","Vencida")))</f>
        <v>Enviado</v>
      </c>
      <c r="F2180" s="3" t="str">
        <f ca="1">IF(G2180=1,"-",Tabela2[[#This Row],[Dt Venc:]]-TODAY())</f>
        <v>-</v>
      </c>
      <c r="G2180" s="3">
        <v>1</v>
      </c>
      <c r="H2180" s="3"/>
    </row>
    <row r="2181" spans="1:8" hidden="1">
      <c r="A2181" s="3">
        <v>80386</v>
      </c>
      <c r="B2181" s="7" t="s">
        <v>39</v>
      </c>
      <c r="C2181" s="42">
        <v>616.64</v>
      </c>
      <c r="D2181" s="6">
        <v>45617</v>
      </c>
      <c r="E2181" s="3" t="str">
        <f ca="1">IF(Tabela2[[#This Row],[Dt Venc:]]&gt;TODAY(),"Em Aberto",IF(Tabela2[[#This Row],[D/venc]]="-","Enviado",IF(Tabela2[[#This Row],[Dt Venc:]]=TODAY(),"Vence Hoje","Vencida")))</f>
        <v>Enviado</v>
      </c>
      <c r="F2181" s="3" t="str">
        <f ca="1">IF(G2181=1,"-",Tabela2[[#This Row],[Dt Venc:]]-TODAY())</f>
        <v>-</v>
      </c>
      <c r="G2181" s="3">
        <v>1</v>
      </c>
      <c r="H2181" s="3"/>
    </row>
    <row r="2182" spans="1:8" hidden="1">
      <c r="A2182" s="3">
        <v>217368</v>
      </c>
      <c r="B2182" s="7" t="s">
        <v>39</v>
      </c>
      <c r="C2182" s="42">
        <v>20490</v>
      </c>
      <c r="D2182" s="6">
        <v>45617</v>
      </c>
      <c r="E2182" s="3" t="str">
        <f ca="1">IF(Tabela2[[#This Row],[Dt Venc:]]&gt;TODAY(),"Em Aberto",IF(Tabela2[[#This Row],[D/venc]]="-","Enviado",IF(Tabela2[[#This Row],[Dt Venc:]]=TODAY(),"Vence Hoje","Vencida")))</f>
        <v>Enviado</v>
      </c>
      <c r="F2182" s="3" t="str">
        <f ca="1">IF(G2182=1,"-",Tabela2[[#This Row],[Dt Venc:]]-TODAY())</f>
        <v>-</v>
      </c>
      <c r="G2182" s="3">
        <v>1</v>
      </c>
      <c r="H2182" s="3"/>
    </row>
    <row r="2183" spans="1:8" hidden="1">
      <c r="A2183" s="3">
        <v>219019</v>
      </c>
      <c r="B2183" s="7" t="s">
        <v>39</v>
      </c>
      <c r="C2183" s="42">
        <v>21465</v>
      </c>
      <c r="D2183" s="6">
        <v>45617</v>
      </c>
      <c r="E2183" s="3" t="str">
        <f ca="1">IF(Tabela2[[#This Row],[Dt Venc:]]&gt;TODAY(),"Em Aberto",IF(Tabela2[[#This Row],[D/venc]]="-","Enviado",IF(Tabela2[[#This Row],[Dt Venc:]]=TODAY(),"Vence Hoje","Vencida")))</f>
        <v>Enviado</v>
      </c>
      <c r="F2183" s="3" t="str">
        <f ca="1">IF(G2183=1,"-",Tabela2[[#This Row],[Dt Venc:]]-TODAY())</f>
        <v>-</v>
      </c>
      <c r="G2183" s="3">
        <v>1</v>
      </c>
      <c r="H2183" s="3"/>
    </row>
    <row r="2184" spans="1:8" hidden="1">
      <c r="A2184" s="3">
        <v>363514</v>
      </c>
      <c r="B2184" s="7" t="s">
        <v>39</v>
      </c>
      <c r="C2184" s="42">
        <v>290.41000000000003</v>
      </c>
      <c r="D2184" s="6">
        <v>45617</v>
      </c>
      <c r="E2184" s="3" t="str">
        <f ca="1">IF(Tabela2[[#This Row],[Dt Venc:]]&gt;TODAY(),"Em Aberto",IF(Tabela2[[#This Row],[D/venc]]="-","Enviado",IF(Tabela2[[#This Row],[Dt Venc:]]=TODAY(),"Vence Hoje","Vencida")))</f>
        <v>Enviado</v>
      </c>
      <c r="F2184" s="3" t="str">
        <f ca="1">IF(G2184=1,"-",Tabela2[[#This Row],[Dt Venc:]]-TODAY())</f>
        <v>-</v>
      </c>
      <c r="G2184" s="3">
        <v>1</v>
      </c>
      <c r="H2184" s="3"/>
    </row>
    <row r="2185" spans="1:8" hidden="1">
      <c r="A2185" s="3">
        <v>363543</v>
      </c>
      <c r="B2185" s="7" t="s">
        <v>39</v>
      </c>
      <c r="C2185" s="42">
        <v>290.41000000000003</v>
      </c>
      <c r="D2185" s="6">
        <v>45617</v>
      </c>
      <c r="E2185" s="3" t="str">
        <f ca="1">IF(Tabela2[[#This Row],[Dt Venc:]]&gt;TODAY(),"Em Aberto",IF(Tabela2[[#This Row],[D/venc]]="-","Enviado",IF(Tabela2[[#This Row],[Dt Venc:]]=TODAY(),"Vence Hoje","Vencida")))</f>
        <v>Enviado</v>
      </c>
      <c r="F2185" s="3" t="str">
        <f ca="1">IF(G2185=1,"-",Tabela2[[#This Row],[Dt Venc:]]-TODAY())</f>
        <v>-</v>
      </c>
      <c r="G2185" s="3">
        <v>1</v>
      </c>
      <c r="H2185" s="3"/>
    </row>
    <row r="2186" spans="1:8" hidden="1">
      <c r="A2186" s="3">
        <v>213632</v>
      </c>
      <c r="B2186" s="7" t="s">
        <v>127</v>
      </c>
      <c r="C2186" s="42">
        <v>903.72</v>
      </c>
      <c r="D2186" s="6">
        <v>45617</v>
      </c>
      <c r="E2186" s="3" t="str">
        <f ca="1">IF(Tabela2[[#This Row],[Dt Venc:]]&gt;TODAY(),"Em Aberto",IF(Tabela2[[#This Row],[D/venc]]="-","Enviado",IF(Tabela2[[#This Row],[Dt Venc:]]=TODAY(),"Vence Hoje","Vencida")))</f>
        <v>Enviado</v>
      </c>
      <c r="F2186" s="3" t="str">
        <f ca="1">IF(G2186=1,"-",Tabela2[[#This Row],[Dt Venc:]]-TODAY())</f>
        <v>-</v>
      </c>
      <c r="G2186" s="3">
        <v>1</v>
      </c>
      <c r="H2186" s="3"/>
    </row>
    <row r="2187" spans="1:8" hidden="1">
      <c r="A2187" s="3">
        <v>216032</v>
      </c>
      <c r="B2187" s="7" t="s">
        <v>127</v>
      </c>
      <c r="C2187" s="42">
        <v>1149.07</v>
      </c>
      <c r="D2187" s="6">
        <v>45617</v>
      </c>
      <c r="E2187" s="3" t="str">
        <f ca="1">IF(Tabela2[[#This Row],[Dt Venc:]]&gt;TODAY(),"Em Aberto",IF(Tabela2[[#This Row],[D/venc]]="-","Enviado",IF(Tabela2[[#This Row],[Dt Venc:]]=TODAY(),"Vence Hoje","Vencida")))</f>
        <v>Enviado</v>
      </c>
      <c r="F2187" s="3" t="str">
        <f ca="1">IF(G2187=1,"-",Tabela2[[#This Row],[Dt Venc:]]-TODAY())</f>
        <v>-</v>
      </c>
      <c r="G2187" s="3">
        <v>1</v>
      </c>
      <c r="H2187" s="3"/>
    </row>
    <row r="2188" spans="1:8" hidden="1">
      <c r="A2188" s="3">
        <v>605452</v>
      </c>
      <c r="B2188" s="7" t="s">
        <v>324</v>
      </c>
      <c r="C2188" s="42">
        <v>868.14</v>
      </c>
      <c r="D2188" s="6">
        <v>45617</v>
      </c>
      <c r="E2188" s="3" t="str">
        <f ca="1">IF(Tabela2[[#This Row],[Dt Venc:]]&gt;TODAY(),"Em Aberto",IF(Tabela2[[#This Row],[D/venc]]="-","Enviado",IF(Tabela2[[#This Row],[Dt Venc:]]=TODAY(),"Vence Hoje","Vencida")))</f>
        <v>Enviado</v>
      </c>
      <c r="F2188" s="3" t="str">
        <f ca="1">IF(G2188=1,"-",Tabela2[[#This Row],[Dt Venc:]]-TODAY())</f>
        <v>-</v>
      </c>
      <c r="G2188" s="3">
        <v>1</v>
      </c>
      <c r="H2188" s="3"/>
    </row>
    <row r="2189" spans="1:8" hidden="1">
      <c r="A2189" s="3">
        <v>605339</v>
      </c>
      <c r="B2189" s="7" t="s">
        <v>138</v>
      </c>
      <c r="C2189" s="42">
        <v>422.85</v>
      </c>
      <c r="D2189" s="6">
        <v>45617</v>
      </c>
      <c r="E2189" s="3" t="str">
        <f ca="1">IF(Tabela2[[#This Row],[Dt Venc:]]&gt;TODAY(),"Em Aberto",IF(Tabela2[[#This Row],[D/venc]]="-","Enviado",IF(Tabela2[[#This Row],[Dt Venc:]]=TODAY(),"Vence Hoje","Vencida")))</f>
        <v>Enviado</v>
      </c>
      <c r="F2189" s="3" t="str">
        <f ca="1">IF(G2189=1,"-",Tabela2[[#This Row],[Dt Venc:]]-TODAY())</f>
        <v>-</v>
      </c>
      <c r="G2189" s="3">
        <v>1</v>
      </c>
      <c r="H2189" s="3"/>
    </row>
    <row r="2190" spans="1:8" hidden="1">
      <c r="A2190" s="3">
        <v>37</v>
      </c>
      <c r="B2190" s="7" t="s">
        <v>132</v>
      </c>
      <c r="C2190" s="42">
        <v>1150</v>
      </c>
      <c r="D2190" s="6">
        <v>45617</v>
      </c>
      <c r="E2190" s="3" t="str">
        <f ca="1">IF(Tabela2[[#This Row],[Dt Venc:]]&gt;TODAY(),"Em Aberto",IF(Tabela2[[#This Row],[D/venc]]="-","Enviado",IF(Tabela2[[#This Row],[Dt Venc:]]=TODAY(),"Vence Hoje","Vencida")))</f>
        <v>Enviado</v>
      </c>
      <c r="F2190" s="3" t="str">
        <f ca="1">IF(G2190=1,"-",Tabela2[[#This Row],[Dt Venc:]]-TODAY())</f>
        <v>-</v>
      </c>
      <c r="G2190" s="3">
        <v>1</v>
      </c>
      <c r="H2190" s="3"/>
    </row>
    <row r="2191" spans="1:8" hidden="1">
      <c r="A2191" s="3">
        <v>365864</v>
      </c>
      <c r="B2191" s="7" t="s">
        <v>187</v>
      </c>
      <c r="C2191" s="42">
        <v>436.07</v>
      </c>
      <c r="D2191" s="6">
        <v>45617</v>
      </c>
      <c r="E2191" s="3" t="str">
        <f ca="1">IF(Tabela2[[#This Row],[Dt Venc:]]&gt;TODAY(),"Em Aberto",IF(Tabela2[[#This Row],[D/venc]]="-","Enviado",IF(Tabela2[[#This Row],[Dt Venc:]]=TODAY(),"Vence Hoje","Vencida")))</f>
        <v>Enviado</v>
      </c>
      <c r="F2191" s="3" t="str">
        <f ca="1">IF(G2191=1,"-",Tabela2[[#This Row],[Dt Venc:]]-TODAY())</f>
        <v>-</v>
      </c>
      <c r="G2191" s="3">
        <v>1</v>
      </c>
      <c r="H2191" s="3"/>
    </row>
    <row r="2192" spans="1:8" hidden="1">
      <c r="A2192" s="3">
        <v>10791</v>
      </c>
      <c r="B2192" s="7" t="s">
        <v>33</v>
      </c>
      <c r="C2192" s="42">
        <v>400</v>
      </c>
      <c r="D2192" s="6">
        <v>45617</v>
      </c>
      <c r="E2192" s="3" t="str">
        <f ca="1">IF(Tabela2[[#This Row],[Dt Venc:]]&gt;TODAY(),"Em Aberto",IF(Tabela2[[#This Row],[D/venc]]="-","Enviado",IF(Tabela2[[#This Row],[Dt Venc:]]=TODAY(),"Vence Hoje","Vencida")))</f>
        <v>Enviado</v>
      </c>
      <c r="F2192" s="3" t="str">
        <f ca="1">IF(G2192=1,"-",Tabela2[[#This Row],[Dt Venc:]]-TODAY())</f>
        <v>-</v>
      </c>
      <c r="G2192" s="3">
        <v>1</v>
      </c>
      <c r="H2192" s="3"/>
    </row>
    <row r="2193" spans="1:8" hidden="1">
      <c r="A2193" s="3">
        <v>51</v>
      </c>
      <c r="B2193" s="7" t="s">
        <v>317</v>
      </c>
      <c r="C2193" s="42">
        <v>42917</v>
      </c>
      <c r="D2193" s="6">
        <v>45617</v>
      </c>
      <c r="E2193" s="3" t="str">
        <f ca="1">IF(Tabela2[[#This Row],[Dt Venc:]]&gt;TODAY(),"Em Aberto",IF(Tabela2[[#This Row],[D/venc]]="-","Enviado",IF(Tabela2[[#This Row],[Dt Venc:]]=TODAY(),"Vence Hoje","Vencida")))</f>
        <v>Enviado</v>
      </c>
      <c r="F2193" s="3" t="str">
        <f ca="1">IF(G2193=1,"-",Tabela2[[#This Row],[Dt Venc:]]-TODAY())</f>
        <v>-</v>
      </c>
      <c r="G2193" s="3">
        <v>1</v>
      </c>
      <c r="H2193" s="3"/>
    </row>
    <row r="2194" spans="1:8" hidden="1">
      <c r="A2194" s="3">
        <v>231000</v>
      </c>
      <c r="B2194" s="7" t="s">
        <v>43</v>
      </c>
      <c r="C2194" s="42">
        <v>1272.07</v>
      </c>
      <c r="D2194" s="6">
        <v>45617</v>
      </c>
      <c r="E2194" s="3" t="str">
        <f ca="1">IF(Tabela2[[#This Row],[Dt Venc:]]&gt;TODAY(),"Em Aberto",IF(Tabela2[[#This Row],[D/venc]]="-","Enviado",IF(Tabela2[[#This Row],[Dt Venc:]]=TODAY(),"Vence Hoje","Vencida")))</f>
        <v>Enviado</v>
      </c>
      <c r="F2194" s="3" t="str">
        <f ca="1">IF(G2194=1,"-",Tabela2[[#This Row],[Dt Venc:]]-TODAY())</f>
        <v>-</v>
      </c>
      <c r="G2194" s="3">
        <v>1</v>
      </c>
      <c r="H2194" s="3"/>
    </row>
    <row r="2195" spans="1:8" hidden="1">
      <c r="A2195" s="3">
        <v>53746</v>
      </c>
      <c r="B2195" s="7" t="s">
        <v>35</v>
      </c>
      <c r="C2195" s="42">
        <v>329.03</v>
      </c>
      <c r="D2195" s="6">
        <v>45617</v>
      </c>
      <c r="E2195" s="3" t="str">
        <f ca="1">IF(Tabela2[[#This Row],[Dt Venc:]]&gt;TODAY(),"Em Aberto",IF(Tabela2[[#This Row],[D/venc]]="-","Enviado",IF(Tabela2[[#This Row],[Dt Venc:]]=TODAY(),"Vence Hoje","Vencida")))</f>
        <v>Enviado</v>
      </c>
      <c r="F2195" s="3" t="str">
        <f ca="1">IF(G2195=1,"-",Tabela2[[#This Row],[Dt Venc:]]-TODAY())</f>
        <v>-</v>
      </c>
      <c r="G2195" s="3">
        <v>1</v>
      </c>
      <c r="H2195" s="3"/>
    </row>
    <row r="2196" spans="1:8" hidden="1">
      <c r="A2196" s="3">
        <v>57332</v>
      </c>
      <c r="B2196" s="7" t="s">
        <v>327</v>
      </c>
      <c r="C2196" s="41">
        <v>1002.27</v>
      </c>
      <c r="D2196" s="6">
        <v>45617</v>
      </c>
      <c r="E2196" s="3" t="str">
        <f ca="1">IF(Tabela2[[#This Row],[Dt Venc:]]&gt;TODAY(),"Em Aberto",IF(Tabela2[[#This Row],[D/venc]]="-","Enviado",IF(Tabela2[[#This Row],[Dt Venc:]]=TODAY(),"Vence Hoje","Vencida")))</f>
        <v>Enviado</v>
      </c>
      <c r="F2196" s="3" t="str">
        <f ca="1">IF(G2196=1,"-",Tabela2[[#This Row],[Dt Venc:]]-TODAY())</f>
        <v>-</v>
      </c>
      <c r="G2196" s="3">
        <v>1</v>
      </c>
      <c r="H2196" s="3"/>
    </row>
    <row r="2197" spans="1:8" hidden="1">
      <c r="A2197" s="3">
        <v>5744</v>
      </c>
      <c r="B2197" s="7" t="s">
        <v>455</v>
      </c>
      <c r="C2197" s="41">
        <v>800</v>
      </c>
      <c r="D2197" s="6">
        <v>45617</v>
      </c>
      <c r="E2197" s="3" t="str">
        <f ca="1">IF(Tabela2[[#This Row],[Dt Venc:]]&gt;TODAY(),"Em Aberto",IF(Tabela2[[#This Row],[D/venc]]="-","Enviado",IF(Tabela2[[#This Row],[Dt Venc:]]=TODAY(),"Vence Hoje","Vencida")))</f>
        <v>Enviado</v>
      </c>
      <c r="F2197" s="3" t="str">
        <f ca="1">IF(G2197=1,"-",Tabela2[[#This Row],[Dt Venc:]]-TODAY())</f>
        <v>-</v>
      </c>
      <c r="G2197" s="3">
        <v>1</v>
      </c>
      <c r="H2197" s="3"/>
    </row>
    <row r="2198" spans="1:8" hidden="1">
      <c r="A2198" s="3">
        <v>153734</v>
      </c>
      <c r="B2198" s="7" t="s">
        <v>456</v>
      </c>
      <c r="C2198" s="41">
        <v>1056.67</v>
      </c>
      <c r="D2198" s="6">
        <v>45617</v>
      </c>
      <c r="E2198" s="3" t="str">
        <f ca="1">IF(Tabela2[[#This Row],[Dt Venc:]]&gt;TODAY(),"Em Aberto",IF(Tabela2[[#This Row],[D/venc]]="-","Enviado",IF(Tabela2[[#This Row],[Dt Venc:]]=TODAY(),"Vence Hoje","Vencida")))</f>
        <v>Enviado</v>
      </c>
      <c r="F2198" s="3" t="str">
        <f ca="1">IF(G2198=1,"-",Tabela2[[#This Row],[Dt Venc:]]-TODAY())</f>
        <v>-</v>
      </c>
      <c r="G2198" s="3">
        <v>1</v>
      </c>
      <c r="H2198" s="3"/>
    </row>
    <row r="2199" spans="1:8" hidden="1">
      <c r="A2199" s="3">
        <v>2632</v>
      </c>
      <c r="B2199" s="7" t="s">
        <v>423</v>
      </c>
      <c r="C2199" s="41">
        <v>402.5</v>
      </c>
      <c r="D2199" s="6">
        <v>45617</v>
      </c>
      <c r="E2199" s="3" t="str">
        <f ca="1">IF(Tabela2[[#This Row],[Dt Venc:]]&gt;TODAY(),"Em Aberto",IF(Tabela2[[#This Row],[D/venc]]="-","Enviado",IF(Tabela2[[#This Row],[Dt Venc:]]=TODAY(),"Vence Hoje","Vencida")))</f>
        <v>Enviado</v>
      </c>
      <c r="F2199" s="3" t="str">
        <f ca="1">IF(G2199=1,"-",Tabela2[[#This Row],[Dt Venc:]]-TODAY())</f>
        <v>-</v>
      </c>
      <c r="G2199" s="3">
        <v>1</v>
      </c>
      <c r="H2199" s="3"/>
    </row>
    <row r="2200" spans="1:8" hidden="1">
      <c r="A2200" s="3">
        <v>5148</v>
      </c>
      <c r="B2200" s="7" t="s">
        <v>134</v>
      </c>
      <c r="C2200" s="41">
        <v>900</v>
      </c>
      <c r="D2200" s="6">
        <v>45617</v>
      </c>
      <c r="E2200" s="3" t="str">
        <f ca="1">IF(Tabela2[[#This Row],[Dt Venc:]]&gt;TODAY(),"Em Aberto",IF(Tabela2[[#This Row],[D/venc]]="-","Enviado",IF(Tabela2[[#This Row],[Dt Venc:]]=TODAY(),"Vence Hoje","Vencida")))</f>
        <v>Enviado</v>
      </c>
      <c r="F2200" s="3" t="str">
        <f ca="1">IF(G2200=1,"-",Tabela2[[#This Row],[Dt Venc:]]-TODAY())</f>
        <v>-</v>
      </c>
      <c r="G2200" s="3">
        <v>1</v>
      </c>
      <c r="H2200" s="3"/>
    </row>
    <row r="2201" spans="1:8" hidden="1">
      <c r="A2201" s="3">
        <v>160889</v>
      </c>
      <c r="B2201" s="7" t="s">
        <v>457</v>
      </c>
      <c r="C2201" s="41">
        <v>720.16</v>
      </c>
      <c r="D2201" s="6">
        <v>45617</v>
      </c>
      <c r="E2201" s="3" t="str">
        <f ca="1">IF(Tabela2[[#This Row],[Dt Venc:]]&gt;TODAY(),"Em Aberto",IF(Tabela2[[#This Row],[D/venc]]="-","Enviado",IF(Tabela2[[#This Row],[Dt Venc:]]=TODAY(),"Vence Hoje","Vencida")))</f>
        <v>Enviado</v>
      </c>
      <c r="F2201" s="3" t="str">
        <f ca="1">IF(G2201=1,"-",Tabela2[[#This Row],[Dt Venc:]]-TODAY())</f>
        <v>-</v>
      </c>
      <c r="G2201" s="3">
        <v>1</v>
      </c>
      <c r="H2201" s="3"/>
    </row>
    <row r="2202" spans="1:8" hidden="1">
      <c r="A2202" s="3">
        <v>302897</v>
      </c>
      <c r="B2202" s="7" t="s">
        <v>63</v>
      </c>
      <c r="C2202" s="41">
        <v>1751.23</v>
      </c>
      <c r="D2202" s="6">
        <v>45617</v>
      </c>
      <c r="E2202" s="3" t="str">
        <f ca="1">IF(Tabela2[[#This Row],[Dt Venc:]]&gt;TODAY(),"Em Aberto",IF(Tabela2[[#This Row],[D/venc]]="-","Enviado",IF(Tabela2[[#This Row],[Dt Venc:]]=TODAY(),"Vence Hoje","Vencida")))</f>
        <v>Enviado</v>
      </c>
      <c r="F2202" s="3" t="str">
        <f ca="1">IF(G2202=1,"-",Tabela2[[#This Row],[Dt Venc:]]-TODAY())</f>
        <v>-</v>
      </c>
      <c r="G2202" s="3">
        <v>1</v>
      </c>
      <c r="H2202" s="3"/>
    </row>
    <row r="2203" spans="1:8" hidden="1">
      <c r="A2203" s="3">
        <v>589</v>
      </c>
      <c r="B2203" s="7" t="s">
        <v>458</v>
      </c>
      <c r="C2203" s="41">
        <v>1675.5</v>
      </c>
      <c r="D2203" s="6">
        <v>45617</v>
      </c>
      <c r="E2203" s="3" t="str">
        <f ca="1">IF(Tabela2[[#This Row],[Dt Venc:]]&gt;TODAY(),"Em Aberto",IF(Tabela2[[#This Row],[D/venc]]="-","Enviado",IF(Tabela2[[#This Row],[Dt Venc:]]=TODAY(),"Vence Hoje","Vencida")))</f>
        <v>Enviado</v>
      </c>
      <c r="F2203" s="3" t="str">
        <f ca="1">IF(G2203=1,"-",Tabela2[[#This Row],[Dt Venc:]]-TODAY())</f>
        <v>-</v>
      </c>
      <c r="G2203" s="3">
        <v>1</v>
      </c>
      <c r="H2203" s="3"/>
    </row>
    <row r="2204" spans="1:8" hidden="1">
      <c r="A2204" s="3">
        <v>189458</v>
      </c>
      <c r="B2204" s="7" t="s">
        <v>128</v>
      </c>
      <c r="C2204" s="41">
        <v>1774.93</v>
      </c>
      <c r="D2204" s="6">
        <v>45617</v>
      </c>
      <c r="E2204" s="3" t="str">
        <f ca="1">IF(Tabela2[[#This Row],[Dt Venc:]]&gt;TODAY(),"Em Aberto",IF(Tabela2[[#This Row],[D/venc]]="-","Enviado",IF(Tabela2[[#This Row],[Dt Venc:]]=TODAY(),"Vence Hoje","Vencida")))</f>
        <v>Enviado</v>
      </c>
      <c r="F2204" s="3" t="str">
        <f ca="1">IF(G2204=1,"-",Tabela2[[#This Row],[Dt Venc:]]-TODAY())</f>
        <v>-</v>
      </c>
      <c r="G2204" s="3">
        <v>1</v>
      </c>
      <c r="H2204" s="3"/>
    </row>
    <row r="2205" spans="1:8" hidden="1">
      <c r="A2205" s="3">
        <v>1992466</v>
      </c>
      <c r="B2205" s="7" t="s">
        <v>59</v>
      </c>
      <c r="C2205" s="41">
        <v>109100</v>
      </c>
      <c r="D2205" s="6">
        <v>45617</v>
      </c>
      <c r="E2205" s="3" t="str">
        <f ca="1">IF(Tabela2[[#This Row],[Dt Venc:]]&gt;TODAY(),"Em Aberto",IF(Tabela2[[#This Row],[D/venc]]="-","Enviado",IF(Tabela2[[#This Row],[Dt Venc:]]=TODAY(),"Vence Hoje","Vencida")))</f>
        <v>Enviado</v>
      </c>
      <c r="F2205" s="3" t="str">
        <f ca="1">IF(G2205=1,"-",Tabela2[[#This Row],[Dt Venc:]]-TODAY())</f>
        <v>-</v>
      </c>
      <c r="G2205" s="3">
        <v>1</v>
      </c>
      <c r="H2205" s="3"/>
    </row>
    <row r="2206" spans="1:8" hidden="1">
      <c r="A2206" s="3">
        <v>5284</v>
      </c>
      <c r="B2206" s="7" t="s">
        <v>134</v>
      </c>
      <c r="C2206" s="41">
        <v>1050</v>
      </c>
      <c r="D2206" s="6">
        <v>45617</v>
      </c>
      <c r="E2206" s="3" t="str">
        <f ca="1">IF(Tabela2[[#This Row],[Dt Venc:]]&gt;TODAY(),"Em Aberto",IF(Tabela2[[#This Row],[D/venc]]="-","Enviado",IF(Tabela2[[#This Row],[Dt Venc:]]=TODAY(),"Vence Hoje","Vencida")))</f>
        <v>Enviado</v>
      </c>
      <c r="F2206" s="3" t="str">
        <f ca="1">IF(G2206=1,"-",Tabela2[[#This Row],[Dt Venc:]]-TODAY())</f>
        <v>-</v>
      </c>
      <c r="G2206" s="3">
        <v>1</v>
      </c>
      <c r="H2206" s="3"/>
    </row>
    <row r="2207" spans="1:8" hidden="1">
      <c r="A2207" s="3">
        <v>443917</v>
      </c>
      <c r="B2207" s="7" t="s">
        <v>59</v>
      </c>
      <c r="C2207" s="41">
        <v>27916</v>
      </c>
      <c r="D2207" s="6">
        <v>45617</v>
      </c>
      <c r="E2207" s="3" t="str">
        <f ca="1">IF(Tabela2[[#This Row],[Dt Venc:]]&gt;TODAY(),"Em Aberto",IF(Tabela2[[#This Row],[D/venc]]="-","Enviado",IF(Tabela2[[#This Row],[Dt Venc:]]=TODAY(),"Vence Hoje","Vencida")))</f>
        <v>Enviado</v>
      </c>
      <c r="F2207" s="3" t="str">
        <f ca="1">IF(G2207=1,"-",Tabela2[[#This Row],[Dt Venc:]]-TODAY())</f>
        <v>-</v>
      </c>
      <c r="G2207" s="3">
        <v>1</v>
      </c>
      <c r="H2207" s="3"/>
    </row>
    <row r="2208" spans="1:8" hidden="1">
      <c r="A2208" s="3">
        <v>30207</v>
      </c>
      <c r="B2208" s="7" t="s">
        <v>459</v>
      </c>
      <c r="C2208" s="41">
        <v>339.84</v>
      </c>
      <c r="D2208" s="6">
        <v>45617</v>
      </c>
      <c r="E2208" s="3" t="str">
        <f ca="1">IF(Tabela2[[#This Row],[Dt Venc:]]&gt;TODAY(),"Em Aberto",IF(Tabela2[[#This Row],[D/venc]]="-","Enviado",IF(Tabela2[[#This Row],[Dt Venc:]]=TODAY(),"Vence Hoje","Vencida")))</f>
        <v>Enviado</v>
      </c>
      <c r="F2208" s="3" t="str">
        <f ca="1">IF(G2208=1,"-",Tabela2[[#This Row],[Dt Venc:]]-TODAY())</f>
        <v>-</v>
      </c>
      <c r="G2208" s="3">
        <v>1</v>
      </c>
      <c r="H2208" s="3"/>
    </row>
    <row r="2209" spans="1:8" hidden="1">
      <c r="A2209" s="3">
        <v>3307170</v>
      </c>
      <c r="B2209" s="7" t="s">
        <v>71</v>
      </c>
      <c r="C2209" s="41">
        <v>26945</v>
      </c>
      <c r="D2209" s="6">
        <v>45617</v>
      </c>
      <c r="E2209" s="3" t="str">
        <f ca="1">IF(Tabela2[[#This Row],[Dt Venc:]]&gt;TODAY(),"Em Aberto",IF(Tabela2[[#This Row],[D/venc]]="-","Enviado",IF(Tabela2[[#This Row],[Dt Venc:]]=TODAY(),"Vence Hoje","Vencida")))</f>
        <v>Enviado</v>
      </c>
      <c r="F2209" s="3" t="str">
        <f ca="1">IF(G2209=1,"-",Tabela2[[#This Row],[Dt Venc:]]-TODAY())</f>
        <v>-</v>
      </c>
      <c r="G2209" s="3">
        <v>1</v>
      </c>
      <c r="H2209" s="3"/>
    </row>
    <row r="2210" spans="1:8" hidden="1">
      <c r="A2210" s="3">
        <v>3307169</v>
      </c>
      <c r="B2210" s="7" t="s">
        <v>71</v>
      </c>
      <c r="C2210" s="41">
        <v>80835</v>
      </c>
      <c r="D2210" s="6">
        <v>45617</v>
      </c>
      <c r="E2210" s="3" t="str">
        <f ca="1">IF(Tabela2[[#This Row],[Dt Venc:]]&gt;TODAY(),"Em Aberto",IF(Tabela2[[#This Row],[D/venc]]="-","Enviado",IF(Tabela2[[#This Row],[Dt Venc:]]=TODAY(),"Vence Hoje","Vencida")))</f>
        <v>Enviado</v>
      </c>
      <c r="F2210" s="3" t="str">
        <f ca="1">IF(G2210=1,"-",Tabela2[[#This Row],[Dt Venc:]]-TODAY())</f>
        <v>-</v>
      </c>
      <c r="G2210" s="3">
        <v>1</v>
      </c>
      <c r="H2210" s="3"/>
    </row>
    <row r="2211" spans="1:8" hidden="1">
      <c r="A2211" s="3">
        <v>141636</v>
      </c>
      <c r="B2211" s="7" t="s">
        <v>60</v>
      </c>
      <c r="C2211" s="41">
        <v>390</v>
      </c>
      <c r="D2211" s="6">
        <v>45617</v>
      </c>
      <c r="E2211" s="3" t="str">
        <f ca="1">IF(Tabela2[[#This Row],[Dt Venc:]]&gt;TODAY(),"Em Aberto",IF(Tabela2[[#This Row],[D/venc]]="-","Enviado",IF(Tabela2[[#This Row],[Dt Venc:]]=TODAY(),"Vence Hoje","Vencida")))</f>
        <v>Enviado</v>
      </c>
      <c r="F2211" s="3" t="str">
        <f ca="1">IF(G2211=1,"-",Tabela2[[#This Row],[Dt Venc:]]-TODAY())</f>
        <v>-</v>
      </c>
      <c r="G2211" s="3">
        <v>1</v>
      </c>
      <c r="H2211" s="3"/>
    </row>
    <row r="2212" spans="1:8" hidden="1">
      <c r="A2212" s="3">
        <v>141635</v>
      </c>
      <c r="B2212" s="7" t="s">
        <v>60</v>
      </c>
      <c r="C2212" s="41">
        <v>390</v>
      </c>
      <c r="D2212" s="6">
        <v>45617</v>
      </c>
      <c r="E2212" s="3" t="str">
        <f ca="1">IF(Tabela2[[#This Row],[Dt Venc:]]&gt;TODAY(),"Em Aberto",IF(Tabela2[[#This Row],[D/venc]]="-","Enviado",IF(Tabela2[[#This Row],[Dt Venc:]]=TODAY(),"Vence Hoje","Vencida")))</f>
        <v>Enviado</v>
      </c>
      <c r="F2212" s="3" t="str">
        <f ca="1">IF(G2212=1,"-",Tabela2[[#This Row],[Dt Venc:]]-TODAY())</f>
        <v>-</v>
      </c>
      <c r="G2212" s="3">
        <v>1</v>
      </c>
      <c r="H2212" s="3"/>
    </row>
    <row r="2213" spans="1:8" hidden="1">
      <c r="A2213" s="3">
        <v>141629</v>
      </c>
      <c r="B2213" s="7" t="s">
        <v>60</v>
      </c>
      <c r="C2213" s="41">
        <v>390</v>
      </c>
      <c r="D2213" s="6">
        <v>45617</v>
      </c>
      <c r="E2213" s="3" t="str">
        <f ca="1">IF(Tabela2[[#This Row],[Dt Venc:]]&gt;TODAY(),"Em Aberto",IF(Tabela2[[#This Row],[D/venc]]="-","Enviado",IF(Tabela2[[#This Row],[Dt Venc:]]=TODAY(),"Vence Hoje","Vencida")))</f>
        <v>Enviado</v>
      </c>
      <c r="F2213" s="3" t="str">
        <f ca="1">IF(G2213=1,"-",Tabela2[[#This Row],[Dt Venc:]]-TODAY())</f>
        <v>-</v>
      </c>
      <c r="G2213" s="3">
        <v>1</v>
      </c>
      <c r="H2213" s="3"/>
    </row>
    <row r="2214" spans="1:8" hidden="1">
      <c r="A2214" s="3">
        <v>14188</v>
      </c>
      <c r="B2214" s="7" t="s">
        <v>102</v>
      </c>
      <c r="C2214" s="41">
        <v>466.66</v>
      </c>
      <c r="D2214" s="6">
        <v>45617</v>
      </c>
      <c r="E2214" s="3" t="str">
        <f ca="1">IF(Tabela2[[#This Row],[Dt Venc:]]&gt;TODAY(),"Em Aberto",IF(Tabela2[[#This Row],[D/venc]]="-","Enviado",IF(Tabela2[[#This Row],[Dt Venc:]]=TODAY(),"Vence Hoje","Vencida")))</f>
        <v>Enviado</v>
      </c>
      <c r="F2214" s="3" t="str">
        <f ca="1">IF(G2214=1,"-",Tabela2[[#This Row],[Dt Venc:]]-TODAY())</f>
        <v>-</v>
      </c>
      <c r="G2214" s="3">
        <v>1</v>
      </c>
      <c r="H2214" s="3"/>
    </row>
    <row r="2215" spans="1:8" hidden="1">
      <c r="A2215" s="3">
        <v>28389</v>
      </c>
      <c r="B2215" s="7" t="s">
        <v>97</v>
      </c>
      <c r="C2215" s="42">
        <v>1840</v>
      </c>
      <c r="D2215" s="6">
        <v>45618</v>
      </c>
      <c r="E2215" s="3" t="str">
        <f ca="1">IF(Tabela2[[#This Row],[Dt Venc:]]&gt;TODAY(),"Em Aberto",IF(Tabela2[[#This Row],[D/venc]]="-","Enviado",IF(Tabela2[[#This Row],[Dt Venc:]]=TODAY(),"Vence Hoje","Vencida")))</f>
        <v>Enviado</v>
      </c>
      <c r="F2215" s="3" t="str">
        <f ca="1">IF(G2215=1,"-",Tabela2[[#This Row],[Dt Venc:]]-TODAY())</f>
        <v>-</v>
      </c>
      <c r="G2215" s="3">
        <v>1</v>
      </c>
      <c r="H2215" s="3"/>
    </row>
    <row r="2216" spans="1:8" hidden="1">
      <c r="A2216" s="3" t="s">
        <v>110</v>
      </c>
      <c r="B2216" s="7" t="s">
        <v>323</v>
      </c>
      <c r="C2216" s="42" t="s">
        <v>32</v>
      </c>
      <c r="D2216" s="6">
        <v>45618</v>
      </c>
      <c r="E2216" s="3" t="str">
        <f ca="1">IF(Tabela2[[#This Row],[Dt Venc:]]&gt;TODAY(),"Em Aberto",IF(Tabela2[[#This Row],[D/venc]]="-","Enviado",IF(Tabela2[[#This Row],[Dt Venc:]]=TODAY(),"Vence Hoje","Vencida")))</f>
        <v>Enviado</v>
      </c>
      <c r="F2216" s="3" t="str">
        <f ca="1">IF(G2216=1,"-",Tabela2[[#This Row],[Dt Venc:]]-TODAY())</f>
        <v>-</v>
      </c>
      <c r="G2216" s="3">
        <v>1</v>
      </c>
      <c r="H2216" s="3"/>
    </row>
    <row r="2217" spans="1:8" hidden="1">
      <c r="A2217" s="3">
        <v>37348</v>
      </c>
      <c r="B2217" s="7" t="s">
        <v>167</v>
      </c>
      <c r="C2217" s="84" t="s">
        <v>32</v>
      </c>
      <c r="D2217" s="6">
        <v>45618</v>
      </c>
      <c r="E2217" s="3" t="str">
        <f ca="1">IF(Tabela2[[#This Row],[Dt Venc:]]&gt;TODAY(),"Em Aberto",IF(Tabela2[[#This Row],[D/venc]]="-","Enviado",IF(Tabela2[[#This Row],[Dt Venc:]]=TODAY(),"Vence Hoje","Vencida")))</f>
        <v>Enviado</v>
      </c>
      <c r="F2217" s="3" t="str">
        <f ca="1">IF(G2217=1,"-",Tabela2[[#This Row],[Dt Venc:]]-TODAY())</f>
        <v>-</v>
      </c>
      <c r="G2217" s="3">
        <v>1</v>
      </c>
      <c r="H2217" s="3"/>
    </row>
    <row r="2218" spans="1:8" hidden="1">
      <c r="A2218" s="3" t="s">
        <v>110</v>
      </c>
      <c r="B2218" s="7" t="s">
        <v>330</v>
      </c>
      <c r="C2218" s="42" t="s">
        <v>32</v>
      </c>
      <c r="D2218" s="6">
        <v>45618</v>
      </c>
      <c r="E2218" s="3" t="str">
        <f ca="1">IF(Tabela2[[#This Row],[Dt Venc:]]&gt;TODAY(),"Em Aberto",IF(Tabela2[[#This Row],[D/venc]]="-","Enviado",IF(Tabela2[[#This Row],[Dt Venc:]]=TODAY(),"Vence Hoje","Vencida")))</f>
        <v>Enviado</v>
      </c>
      <c r="F2218" s="3" t="str">
        <f ca="1">IF(G2218=1,"-",Tabela2[[#This Row],[Dt Venc:]]-TODAY())</f>
        <v>-</v>
      </c>
      <c r="G2218" s="3">
        <v>1</v>
      </c>
      <c r="H2218" s="3"/>
    </row>
    <row r="2219" spans="1:8" hidden="1">
      <c r="A2219" s="3">
        <v>29640</v>
      </c>
      <c r="B2219" s="7" t="s">
        <v>97</v>
      </c>
      <c r="C2219" s="42">
        <v>4585</v>
      </c>
      <c r="D2219" s="6">
        <v>45618</v>
      </c>
      <c r="E2219" s="3" t="str">
        <f ca="1">IF(Tabela2[[#This Row],[Dt Venc:]]&gt;TODAY(),"Em Aberto",IF(Tabela2[[#This Row],[D/venc]]="-","Enviado",IF(Tabela2[[#This Row],[Dt Venc:]]=TODAY(),"Vence Hoje","Vencida")))</f>
        <v>Enviado</v>
      </c>
      <c r="F2219" s="3" t="str">
        <f ca="1">IF(G2219=1,"-",Tabela2[[#This Row],[Dt Venc:]]-TODAY())</f>
        <v>-</v>
      </c>
      <c r="G2219" s="3">
        <v>1</v>
      </c>
      <c r="H2219" s="3"/>
    </row>
    <row r="2220" spans="1:8" hidden="1">
      <c r="A2220" s="3">
        <v>10228</v>
      </c>
      <c r="B2220" s="7" t="s">
        <v>72</v>
      </c>
      <c r="C2220" s="42">
        <v>876.66</v>
      </c>
      <c r="D2220" s="6">
        <v>45618</v>
      </c>
      <c r="E2220" s="3" t="str">
        <f ca="1">IF(Tabela2[[#This Row],[Dt Venc:]]&gt;TODAY(),"Em Aberto",IF(Tabela2[[#This Row],[D/venc]]="-","Enviado",IF(Tabela2[[#This Row],[Dt Venc:]]=TODAY(),"Vence Hoje","Vencida")))</f>
        <v>Enviado</v>
      </c>
      <c r="F2220" s="3" t="str">
        <f ca="1">IF(G2220=1,"-",Tabela2[[#This Row],[Dt Venc:]]-TODAY())</f>
        <v>-</v>
      </c>
      <c r="G2220" s="3">
        <v>1</v>
      </c>
      <c r="H2220" s="3"/>
    </row>
    <row r="2221" spans="1:8" hidden="1">
      <c r="A2221" s="3">
        <v>10226</v>
      </c>
      <c r="B2221" s="7" t="s">
        <v>72</v>
      </c>
      <c r="C2221" s="42">
        <v>610</v>
      </c>
      <c r="D2221" s="6">
        <v>45618</v>
      </c>
      <c r="E2221" s="3" t="str">
        <f ca="1">IF(Tabela2[[#This Row],[Dt Venc:]]&gt;TODAY(),"Em Aberto",IF(Tabela2[[#This Row],[D/venc]]="-","Enviado",IF(Tabela2[[#This Row],[Dt Venc:]]=TODAY(),"Vence Hoje","Vencida")))</f>
        <v>Enviado</v>
      </c>
      <c r="F2221" s="3" t="str">
        <f ca="1">IF(G2221=1,"-",Tabela2[[#This Row],[Dt Venc:]]-TODAY())</f>
        <v>-</v>
      </c>
      <c r="G2221" s="3">
        <v>1</v>
      </c>
      <c r="H2221" s="3"/>
    </row>
    <row r="2222" spans="1:8" hidden="1">
      <c r="A2222" s="3">
        <v>37051</v>
      </c>
      <c r="B2222" s="7" t="s">
        <v>200</v>
      </c>
      <c r="C2222" s="42">
        <v>3250</v>
      </c>
      <c r="D2222" s="6">
        <v>45618</v>
      </c>
      <c r="E2222" s="3" t="str">
        <f ca="1">IF(Tabela2[[#This Row],[Dt Venc:]]&gt;TODAY(),"Em Aberto",IF(Tabela2[[#This Row],[D/venc]]="-","Enviado",IF(Tabela2[[#This Row],[Dt Venc:]]=TODAY(),"Vence Hoje","Vencida")))</f>
        <v>Enviado</v>
      </c>
      <c r="F2222" s="3" t="str">
        <f ca="1">IF(G2222=1,"-",Tabela2[[#This Row],[Dt Venc:]]-TODAY())</f>
        <v>-</v>
      </c>
      <c r="G2222" s="3">
        <v>1</v>
      </c>
      <c r="H2222" s="3"/>
    </row>
    <row r="2223" spans="1:8" hidden="1">
      <c r="A2223" s="3">
        <v>188598</v>
      </c>
      <c r="B2223" s="7" t="s">
        <v>128</v>
      </c>
      <c r="C2223" s="42">
        <v>223.75</v>
      </c>
      <c r="D2223" s="6">
        <v>45618</v>
      </c>
      <c r="E2223" s="3" t="str">
        <f ca="1">IF(Tabela2[[#This Row],[Dt Venc:]]&gt;TODAY(),"Em Aberto",IF(Tabela2[[#This Row],[D/venc]]="-","Enviado",IF(Tabela2[[#This Row],[Dt Venc:]]=TODAY(),"Vence Hoje","Vencida")))</f>
        <v>Enviado</v>
      </c>
      <c r="F2223" s="3" t="str">
        <f ca="1">IF(G2223=1,"-",Tabela2[[#This Row],[Dt Venc:]]-TODAY())</f>
        <v>-</v>
      </c>
      <c r="G2223" s="3">
        <v>1</v>
      </c>
      <c r="H2223" s="3"/>
    </row>
    <row r="2224" spans="1:8" hidden="1">
      <c r="A2224" s="3">
        <v>18118</v>
      </c>
      <c r="B2224" s="7" t="s">
        <v>334</v>
      </c>
      <c r="C2224" s="42">
        <v>7962</v>
      </c>
      <c r="D2224" s="6">
        <v>45618</v>
      </c>
      <c r="E2224" s="3" t="str">
        <f ca="1">IF(Tabela2[[#This Row],[Dt Venc:]]&gt;TODAY(),"Em Aberto",IF(Tabela2[[#This Row],[D/venc]]="-","Enviado",IF(Tabela2[[#This Row],[Dt Venc:]]=TODAY(),"Vence Hoje","Vencida")))</f>
        <v>Enviado</v>
      </c>
      <c r="F2224" s="3" t="str">
        <f ca="1">IF(G2224=1,"-",Tabela2[[#This Row],[Dt Venc:]]-TODAY())</f>
        <v>-</v>
      </c>
      <c r="G2224" s="3">
        <v>1</v>
      </c>
      <c r="H2224" s="3"/>
    </row>
    <row r="2225" spans="1:8" hidden="1">
      <c r="A2225" s="3">
        <v>153032</v>
      </c>
      <c r="B2225" s="7" t="s">
        <v>77</v>
      </c>
      <c r="C2225" s="42">
        <v>773.33</v>
      </c>
      <c r="D2225" s="6">
        <v>45618</v>
      </c>
      <c r="E2225" s="3" t="str">
        <f ca="1">IF(Tabela2[[#This Row],[Dt Venc:]]&gt;TODAY(),"Em Aberto",IF(Tabela2[[#This Row],[D/venc]]="-","Enviado",IF(Tabela2[[#This Row],[Dt Venc:]]=TODAY(),"Vence Hoje","Vencida")))</f>
        <v>Enviado</v>
      </c>
      <c r="F2225" s="3" t="str">
        <f ca="1">IF(G2225=1,"-",Tabela2[[#This Row],[Dt Venc:]]-TODAY())</f>
        <v>-</v>
      </c>
      <c r="G2225" s="3">
        <v>1</v>
      </c>
      <c r="H2225" s="3"/>
    </row>
    <row r="2226" spans="1:8" hidden="1">
      <c r="A2226" s="3">
        <v>112067</v>
      </c>
      <c r="B2226" s="7" t="s">
        <v>336</v>
      </c>
      <c r="C2226" s="42">
        <v>518.34</v>
      </c>
      <c r="D2226" s="6">
        <v>45618</v>
      </c>
      <c r="E2226" s="3" t="str">
        <f ca="1">IF(Tabela2[[#This Row],[Dt Venc:]]&gt;TODAY(),"Em Aberto",IF(Tabela2[[#This Row],[D/venc]]="-","Enviado",IF(Tabela2[[#This Row],[Dt Venc:]]=TODAY(),"Vence Hoje","Vencida")))</f>
        <v>Enviado</v>
      </c>
      <c r="F2226" s="3" t="str">
        <f ca="1">IF(G2226=1,"-",Tabela2[[#This Row],[Dt Venc:]]-TODAY())</f>
        <v>-</v>
      </c>
      <c r="G2226" s="3">
        <v>1</v>
      </c>
      <c r="H2226" s="3"/>
    </row>
    <row r="2227" spans="1:8" hidden="1">
      <c r="A2227" s="3">
        <v>220505</v>
      </c>
      <c r="B2227" s="7" t="s">
        <v>80</v>
      </c>
      <c r="C2227" s="42">
        <v>21465</v>
      </c>
      <c r="D2227" s="6">
        <v>45618</v>
      </c>
      <c r="E2227" s="3" t="str">
        <f ca="1">IF(Tabela2[[#This Row],[Dt Venc:]]&gt;TODAY(),"Em Aberto",IF(Tabela2[[#This Row],[D/venc]]="-","Enviado",IF(Tabela2[[#This Row],[Dt Venc:]]=TODAY(),"Vence Hoje","Vencida")))</f>
        <v>Enviado</v>
      </c>
      <c r="F2227" s="3" t="str">
        <f ca="1">IF(G2227=1,"-",Tabela2[[#This Row],[Dt Venc:]]-TODAY())</f>
        <v>-</v>
      </c>
      <c r="G2227" s="3">
        <v>1</v>
      </c>
      <c r="H2227" s="3"/>
    </row>
    <row r="2228" spans="1:8" hidden="1">
      <c r="A2228" s="3">
        <v>2747</v>
      </c>
      <c r="B2228" s="7" t="s">
        <v>58</v>
      </c>
      <c r="C2228" s="42">
        <v>660</v>
      </c>
      <c r="D2228" s="6">
        <v>45618</v>
      </c>
      <c r="E2228" s="3" t="str">
        <f ca="1">IF(Tabela2[[#This Row],[Dt Venc:]]&gt;TODAY(),"Em Aberto",IF(Tabela2[[#This Row],[D/venc]]="-","Enviado",IF(Tabela2[[#This Row],[Dt Venc:]]=TODAY(),"Vence Hoje","Vencida")))</f>
        <v>Enviado</v>
      </c>
      <c r="F2228" s="3" t="str">
        <f ca="1">IF(G2228=1,"-",Tabela2[[#This Row],[Dt Venc:]]-TODAY())</f>
        <v>-</v>
      </c>
      <c r="G2228" s="3">
        <v>1</v>
      </c>
      <c r="H2228" s="3"/>
    </row>
    <row r="2229" spans="1:8" hidden="1">
      <c r="A2229" s="3">
        <v>231693</v>
      </c>
      <c r="B2229" s="7" t="s">
        <v>43</v>
      </c>
      <c r="C2229" s="42">
        <v>711.34</v>
      </c>
      <c r="D2229" s="6">
        <v>45618</v>
      </c>
      <c r="E2229" s="3" t="str">
        <f ca="1">IF(Tabela2[[#This Row],[Dt Venc:]]&gt;TODAY(),"Em Aberto",IF(Tabela2[[#This Row],[D/venc]]="-","Enviado",IF(Tabela2[[#This Row],[Dt Venc:]]=TODAY(),"Vence Hoje","Vencida")))</f>
        <v>Enviado</v>
      </c>
      <c r="F2229" s="3" t="str">
        <f ca="1">IF(G2229=1,"-",Tabela2[[#This Row],[Dt Venc:]]-TODAY())</f>
        <v>-</v>
      </c>
      <c r="G2229" s="3">
        <v>1</v>
      </c>
      <c r="H2229" s="3"/>
    </row>
    <row r="2230" spans="1:8" hidden="1">
      <c r="A2230" s="3">
        <v>609712</v>
      </c>
      <c r="B2230" s="7" t="s">
        <v>66</v>
      </c>
      <c r="C2230" s="42">
        <v>1873.84</v>
      </c>
      <c r="D2230" s="6">
        <v>45618</v>
      </c>
      <c r="E2230" s="3" t="str">
        <f ca="1">IF(Tabela2[[#This Row],[Dt Venc:]]&gt;TODAY(),"Em Aberto",IF(Tabela2[[#This Row],[D/venc]]="-","Enviado",IF(Tabela2[[#This Row],[Dt Venc:]]=TODAY(),"Vence Hoje","Vencida")))</f>
        <v>Enviado</v>
      </c>
      <c r="F2230" s="3" t="str">
        <f ca="1">IF(G2230=1,"-",Tabela2[[#This Row],[Dt Venc:]]-TODAY())</f>
        <v>-</v>
      </c>
      <c r="G2230" s="3">
        <v>1</v>
      </c>
      <c r="H2230" s="3"/>
    </row>
    <row r="2231" spans="1:8" hidden="1">
      <c r="A2231" s="3">
        <v>301761</v>
      </c>
      <c r="B2231" s="7" t="s">
        <v>63</v>
      </c>
      <c r="C2231" s="42">
        <v>758.79</v>
      </c>
      <c r="D2231" s="6">
        <v>45618</v>
      </c>
      <c r="E2231" s="3" t="str">
        <f ca="1">IF(Tabela2[[#This Row],[Dt Venc:]]&gt;TODAY(),"Em Aberto",IF(Tabela2[[#This Row],[D/venc]]="-","Enviado",IF(Tabela2[[#This Row],[Dt Venc:]]=TODAY(),"Vence Hoje","Vencida")))</f>
        <v>Enviado</v>
      </c>
      <c r="F2231" s="3" t="str">
        <f ca="1">IF(G2231=1,"-",Tabela2[[#This Row],[Dt Venc:]]-TODAY())</f>
        <v>-</v>
      </c>
      <c r="G2231" s="3">
        <v>1</v>
      </c>
      <c r="H2231" s="3"/>
    </row>
    <row r="2232" spans="1:8" hidden="1">
      <c r="A2232" s="3">
        <v>10682</v>
      </c>
      <c r="B2232" s="7" t="s">
        <v>175</v>
      </c>
      <c r="C2232" s="41">
        <v>257</v>
      </c>
      <c r="D2232" s="6">
        <v>45618</v>
      </c>
      <c r="E2232" s="3" t="str">
        <f ca="1">IF(Tabela2[[#This Row],[Dt Venc:]]&gt;TODAY(),"Em Aberto",IF(Tabela2[[#This Row],[D/venc]]="-","Enviado",IF(Tabela2[[#This Row],[Dt Venc:]]=TODAY(),"Vence Hoje","Vencida")))</f>
        <v>Enviado</v>
      </c>
      <c r="F2232" s="3" t="str">
        <f ca="1">IF(G2232=1,"-",Tabela2[[#This Row],[Dt Venc:]]-TODAY())</f>
        <v>-</v>
      </c>
      <c r="G2232" s="3">
        <v>1</v>
      </c>
      <c r="H2232" s="3"/>
    </row>
    <row r="2233" spans="1:8" hidden="1">
      <c r="A2233" s="3">
        <v>256237</v>
      </c>
      <c r="B2233" s="7" t="s">
        <v>49</v>
      </c>
      <c r="C2233" s="42">
        <v>1393.34</v>
      </c>
      <c r="D2233" s="6">
        <v>45618</v>
      </c>
      <c r="E2233" s="3" t="str">
        <f ca="1">IF(Tabela2[[#This Row],[Dt Venc:]]&gt;TODAY(),"Em Aberto",IF(Tabela2[[#This Row],[D/venc]]="-","Enviado",IF(Tabela2[[#This Row],[Dt Venc:]]=TODAY(),"Vence Hoje","Vencida")))</f>
        <v>Enviado</v>
      </c>
      <c r="F2233" s="3" t="str">
        <f ca="1">IF(G2233=1,"-",Tabela2[[#This Row],[Dt Venc:]]-TODAY())</f>
        <v>-</v>
      </c>
      <c r="G2233" s="3">
        <v>1</v>
      </c>
      <c r="H2233" s="3"/>
    </row>
    <row r="2234" spans="1:8" hidden="1">
      <c r="A2234" s="3">
        <v>256620</v>
      </c>
      <c r="B2234" s="7" t="s">
        <v>49</v>
      </c>
      <c r="C2234" s="41">
        <v>1045</v>
      </c>
      <c r="D2234" s="6">
        <v>45618</v>
      </c>
      <c r="E2234" s="3" t="str">
        <f ca="1">IF(Tabela2[[#This Row],[Dt Venc:]]&gt;TODAY(),"Em Aberto",IF(Tabela2[[#This Row],[D/venc]]="-","Enviado",IF(Tabela2[[#This Row],[Dt Venc:]]=TODAY(),"Vence Hoje","Vencida")))</f>
        <v>Enviado</v>
      </c>
      <c r="F2234" s="3" t="str">
        <f ca="1">IF(G2234=1,"-",Tabela2[[#This Row],[Dt Venc:]]-TODAY())</f>
        <v>-</v>
      </c>
      <c r="G2234" s="3">
        <v>1</v>
      </c>
      <c r="H2234" s="3"/>
    </row>
    <row r="2235" spans="1:8" hidden="1">
      <c r="A2235" s="3">
        <v>40120</v>
      </c>
      <c r="B2235" s="7" t="s">
        <v>460</v>
      </c>
      <c r="C2235" s="41">
        <v>402.97</v>
      </c>
      <c r="D2235" s="6">
        <v>45618</v>
      </c>
      <c r="E2235" s="3" t="str">
        <f ca="1">IF(Tabela2[[#This Row],[Dt Venc:]]&gt;TODAY(),"Em Aberto",IF(Tabela2[[#This Row],[D/venc]]="-","Enviado",IF(Tabela2[[#This Row],[Dt Venc:]]=TODAY(),"Vence Hoje","Vencida")))</f>
        <v>Enviado</v>
      </c>
      <c r="F2235" s="3" t="str">
        <f ca="1">IF(G2235=1,"-",Tabela2[[#This Row],[Dt Venc:]]-TODAY())</f>
        <v>-</v>
      </c>
      <c r="G2235" s="3">
        <v>1</v>
      </c>
      <c r="H2235" s="3"/>
    </row>
    <row r="2236" spans="1:8" hidden="1">
      <c r="A2236" s="3">
        <v>23435</v>
      </c>
      <c r="B2236" s="7" t="s">
        <v>461</v>
      </c>
      <c r="C2236" s="41">
        <v>400</v>
      </c>
      <c r="D2236" s="6">
        <v>45618</v>
      </c>
      <c r="E2236" s="3" t="str">
        <f ca="1">IF(Tabela2[[#This Row],[Dt Venc:]]&gt;TODAY(),"Em Aberto",IF(Tabela2[[#This Row],[D/venc]]="-","Enviado",IF(Tabela2[[#This Row],[Dt Venc:]]=TODAY(),"Vence Hoje","Vencida")))</f>
        <v>Enviado</v>
      </c>
      <c r="F2236" s="3" t="str">
        <f ca="1">IF(G2236=1,"-",Tabela2[[#This Row],[Dt Venc:]]-TODAY())</f>
        <v>-</v>
      </c>
      <c r="G2236" s="3">
        <v>1</v>
      </c>
      <c r="H2236" s="3"/>
    </row>
    <row r="2237" spans="1:8" hidden="1">
      <c r="A2237" s="3">
        <v>19679</v>
      </c>
      <c r="B2237" s="7" t="s">
        <v>41</v>
      </c>
      <c r="C2237" s="41">
        <v>573.34</v>
      </c>
      <c r="D2237" s="6">
        <v>45618</v>
      </c>
      <c r="E2237" s="3" t="str">
        <f ca="1">IF(Tabela2[[#This Row],[Dt Venc:]]&gt;TODAY(),"Em Aberto",IF(Tabela2[[#This Row],[D/venc]]="-","Enviado",IF(Tabela2[[#This Row],[Dt Venc:]]=TODAY(),"Vence Hoje","Vencida")))</f>
        <v>Enviado</v>
      </c>
      <c r="F2237" s="3" t="str">
        <f ca="1">IF(G2237=1,"-",Tabela2[[#This Row],[Dt Venc:]]-TODAY())</f>
        <v>-</v>
      </c>
      <c r="G2237" s="3">
        <v>1</v>
      </c>
      <c r="H2237" s="3"/>
    </row>
    <row r="2238" spans="1:8" hidden="1">
      <c r="A2238" s="3">
        <v>6047</v>
      </c>
      <c r="B2238" s="7" t="s">
        <v>47</v>
      </c>
      <c r="C2238" s="41">
        <v>772.67</v>
      </c>
      <c r="D2238" s="6">
        <v>45618</v>
      </c>
      <c r="E2238" s="3" t="str">
        <f ca="1">IF(Tabela2[[#This Row],[Dt Venc:]]&gt;TODAY(),"Em Aberto",IF(Tabela2[[#This Row],[D/venc]]="-","Enviado",IF(Tabela2[[#This Row],[Dt Venc:]]=TODAY(),"Vence Hoje","Vencida")))</f>
        <v>Enviado</v>
      </c>
      <c r="F2238" s="3" t="str">
        <f ca="1">IF(G2238=1,"-",Tabela2[[#This Row],[Dt Venc:]]-TODAY())</f>
        <v>-</v>
      </c>
      <c r="G2238" s="3">
        <v>1</v>
      </c>
      <c r="H2238" s="3"/>
    </row>
    <row r="2239" spans="1:8" hidden="1">
      <c r="A2239" s="3">
        <v>223432</v>
      </c>
      <c r="B2239" s="7" t="s">
        <v>127</v>
      </c>
      <c r="C2239" s="41">
        <v>558.76</v>
      </c>
      <c r="D2239" s="6">
        <v>45618</v>
      </c>
      <c r="E2239" s="3" t="str">
        <f ca="1">IF(Tabela2[[#This Row],[Dt Venc:]]&gt;TODAY(),"Em Aberto",IF(Tabela2[[#This Row],[D/venc]]="-","Enviado",IF(Tabela2[[#This Row],[Dt Venc:]]=TODAY(),"Vence Hoje","Vencida")))</f>
        <v>Enviado</v>
      </c>
      <c r="F2239" s="3" t="str">
        <f ca="1">IF(G2239=1,"-",Tabela2[[#This Row],[Dt Venc:]]-TODAY())</f>
        <v>-</v>
      </c>
      <c r="G2239" s="3">
        <v>1</v>
      </c>
      <c r="H2239" s="3"/>
    </row>
    <row r="2240" spans="1:8" hidden="1">
      <c r="A2240" s="3">
        <v>66699</v>
      </c>
      <c r="B2240" s="7" t="s">
        <v>143</v>
      </c>
      <c r="C2240" s="41">
        <v>653.25</v>
      </c>
      <c r="D2240" s="6">
        <v>45618</v>
      </c>
      <c r="E2240" s="3" t="str">
        <f ca="1">IF(Tabela2[[#This Row],[Dt Venc:]]&gt;TODAY(),"Em Aberto",IF(Tabela2[[#This Row],[D/venc]]="-","Enviado",IF(Tabela2[[#This Row],[Dt Venc:]]=TODAY(),"Vence Hoje","Vencida")))</f>
        <v>Enviado</v>
      </c>
      <c r="F2240" s="3" t="str">
        <f ca="1">IF(G2240=1,"-",Tabela2[[#This Row],[Dt Venc:]]-TODAY())</f>
        <v>-</v>
      </c>
      <c r="G2240" s="3">
        <v>1</v>
      </c>
      <c r="H2240" s="3"/>
    </row>
    <row r="2241" spans="1:8" hidden="1">
      <c r="A2241" s="3">
        <v>11055</v>
      </c>
      <c r="B2241" s="7" t="s">
        <v>33</v>
      </c>
      <c r="C2241" s="41">
        <v>1656.6</v>
      </c>
      <c r="D2241" s="6">
        <v>45618</v>
      </c>
      <c r="E2241" s="3" t="str">
        <f ca="1">IF(Tabela2[[#This Row],[Dt Venc:]]&gt;TODAY(),"Em Aberto",IF(Tabela2[[#This Row],[D/venc]]="-","Enviado",IF(Tabela2[[#This Row],[Dt Venc:]]=TODAY(),"Vence Hoje","Vencida")))</f>
        <v>Enviado</v>
      </c>
      <c r="F2241" s="3" t="str">
        <f ca="1">IF(G2241=1,"-",Tabela2[[#This Row],[Dt Venc:]]-TODAY())</f>
        <v>-</v>
      </c>
      <c r="G2241" s="3">
        <v>1</v>
      </c>
      <c r="H2241" s="3"/>
    </row>
    <row r="2242" spans="1:8" hidden="1">
      <c r="A2242" s="3">
        <v>11546</v>
      </c>
      <c r="B2242" s="7" t="s">
        <v>174</v>
      </c>
      <c r="C2242" s="41">
        <v>1266.6600000000001</v>
      </c>
      <c r="D2242" s="6">
        <v>45618</v>
      </c>
      <c r="E2242" s="3" t="str">
        <f ca="1">IF(Tabela2[[#This Row],[Dt Venc:]]&gt;TODAY(),"Em Aberto",IF(Tabela2[[#This Row],[D/venc]]="-","Enviado",IF(Tabela2[[#This Row],[Dt Venc:]]=TODAY(),"Vence Hoje","Vencida")))</f>
        <v>Enviado</v>
      </c>
      <c r="F2242" s="3" t="str">
        <f ca="1">IF(G2242=1,"-",Tabela2[[#This Row],[Dt Venc:]]-TODAY())</f>
        <v>-</v>
      </c>
      <c r="G2242" s="3">
        <v>1</v>
      </c>
      <c r="H2242" s="3"/>
    </row>
    <row r="2243" spans="1:8" hidden="1">
      <c r="A2243" s="3">
        <v>30420</v>
      </c>
      <c r="B2243" s="7" t="s">
        <v>18</v>
      </c>
      <c r="C2243" s="41">
        <v>2925</v>
      </c>
      <c r="D2243" s="6">
        <v>45618</v>
      </c>
      <c r="E2243" s="3" t="str">
        <f ca="1">IF(Tabela2[[#This Row],[Dt Venc:]]&gt;TODAY(),"Em Aberto",IF(Tabela2[[#This Row],[D/venc]]="-","Enviado",IF(Tabela2[[#This Row],[Dt Venc:]]=TODAY(),"Vence Hoje","Vencida")))</f>
        <v>Enviado</v>
      </c>
      <c r="F2243" s="3" t="str">
        <f ca="1">IF(G2243=1,"-",Tabela2[[#This Row],[Dt Venc:]]-TODAY())</f>
        <v>-</v>
      </c>
      <c r="G2243" s="3">
        <v>1</v>
      </c>
      <c r="H2243" s="3"/>
    </row>
    <row r="2244" spans="1:8" hidden="1">
      <c r="A2244" s="3">
        <v>72361</v>
      </c>
      <c r="B2244" s="7" t="s">
        <v>76</v>
      </c>
      <c r="C2244" s="41">
        <v>628.73</v>
      </c>
      <c r="D2244" s="6">
        <v>45618</v>
      </c>
      <c r="E2244" s="3" t="str">
        <f ca="1">IF(Tabela2[[#This Row],[Dt Venc:]]&gt;TODAY(),"Em Aberto",IF(Tabela2[[#This Row],[D/venc]]="-","Enviado",IF(Tabela2[[#This Row],[Dt Venc:]]=TODAY(),"Vence Hoje","Vencida")))</f>
        <v>Enviado</v>
      </c>
      <c r="F2244" s="3" t="str">
        <f ca="1">IF(G2244=1,"-",Tabela2[[#This Row],[Dt Venc:]]-TODAY())</f>
        <v>-</v>
      </c>
      <c r="G2244" s="3">
        <v>1</v>
      </c>
      <c r="H2244" s="3"/>
    </row>
    <row r="2245" spans="1:8" hidden="1">
      <c r="A2245" s="3">
        <v>14204</v>
      </c>
      <c r="B2245" s="7" t="s">
        <v>51</v>
      </c>
      <c r="C2245" s="41">
        <v>976.67</v>
      </c>
      <c r="D2245" s="6">
        <v>45618</v>
      </c>
      <c r="E2245" s="3" t="str">
        <f ca="1">IF(Tabela2[[#This Row],[Dt Venc:]]&gt;TODAY(),"Em Aberto",IF(Tabela2[[#This Row],[D/venc]]="-","Enviado",IF(Tabela2[[#This Row],[Dt Venc:]]=TODAY(),"Vence Hoje","Vencida")))</f>
        <v>Enviado</v>
      </c>
      <c r="F2245" s="3" t="str">
        <f ca="1">IF(G2245=1,"-",Tabela2[[#This Row],[Dt Venc:]]-TODAY())</f>
        <v>-</v>
      </c>
      <c r="G2245" s="3">
        <v>1</v>
      </c>
      <c r="H2245" s="3"/>
    </row>
    <row r="2246" spans="1:8" hidden="1">
      <c r="A2246" s="3">
        <v>186906</v>
      </c>
      <c r="B2246" s="7" t="s">
        <v>462</v>
      </c>
      <c r="C2246" s="41">
        <v>3383.44</v>
      </c>
      <c r="D2246" s="6">
        <v>45618</v>
      </c>
      <c r="E2246" s="3" t="str">
        <f ca="1">IF(Tabela2[[#This Row],[Dt Venc:]]&gt;TODAY(),"Em Aberto",IF(Tabela2[[#This Row],[D/venc]]="-","Enviado",IF(Tabela2[[#This Row],[Dt Venc:]]=TODAY(),"Vence Hoje","Vencida")))</f>
        <v>Enviado</v>
      </c>
      <c r="F2246" s="3" t="str">
        <f ca="1">IF(G2246=1,"-",Tabela2[[#This Row],[Dt Venc:]]-TODAY())</f>
        <v>-</v>
      </c>
      <c r="G2246" s="3">
        <v>1</v>
      </c>
      <c r="H2246" s="3"/>
    </row>
    <row r="2247" spans="1:8" hidden="1">
      <c r="A2247" s="3">
        <v>46527</v>
      </c>
      <c r="B2247" s="7" t="s">
        <v>144</v>
      </c>
      <c r="C2247" s="41">
        <v>1860</v>
      </c>
      <c r="D2247" s="6">
        <v>45618</v>
      </c>
      <c r="E2247" s="3" t="str">
        <f ca="1">IF(Tabela2[[#This Row],[Dt Venc:]]&gt;TODAY(),"Em Aberto",IF(Tabela2[[#This Row],[D/venc]]="-","Enviado",IF(Tabela2[[#This Row],[Dt Venc:]]=TODAY(),"Vence Hoje","Vencida")))</f>
        <v>Enviado</v>
      </c>
      <c r="F2247" s="3" t="str">
        <f ca="1">IF(G2247=1,"-",Tabela2[[#This Row],[Dt Venc:]]-TODAY())</f>
        <v>-</v>
      </c>
      <c r="G2247" s="3">
        <v>1</v>
      </c>
      <c r="H2247" s="3"/>
    </row>
    <row r="2248" spans="1:8" hidden="1">
      <c r="A2248" s="3">
        <v>256984</v>
      </c>
      <c r="B2248" s="7" t="s">
        <v>49</v>
      </c>
      <c r="C2248" s="41">
        <v>1393.34</v>
      </c>
      <c r="D2248" s="6">
        <v>45618</v>
      </c>
      <c r="E2248" s="3" t="str">
        <f ca="1">IF(Tabela2[[#This Row],[Dt Venc:]]&gt;TODAY(),"Em Aberto",IF(Tabela2[[#This Row],[D/venc]]="-","Enviado",IF(Tabela2[[#This Row],[Dt Venc:]]=TODAY(),"Vence Hoje","Vencida")))</f>
        <v>Enviado</v>
      </c>
      <c r="F2248" s="3" t="str">
        <f ca="1">IF(G2248=1,"-",Tabela2[[#This Row],[Dt Venc:]]-TODAY())</f>
        <v>-</v>
      </c>
      <c r="G2248" s="3">
        <v>1</v>
      </c>
      <c r="H2248" s="3"/>
    </row>
    <row r="2249" spans="1:8" hidden="1">
      <c r="A2249" s="3">
        <v>231587</v>
      </c>
      <c r="B2249" s="7" t="s">
        <v>43</v>
      </c>
      <c r="C2249" s="41">
        <v>1300</v>
      </c>
      <c r="D2249" s="6">
        <v>45618</v>
      </c>
      <c r="E2249" s="3" t="str">
        <f ca="1">IF(Tabela2[[#This Row],[Dt Venc:]]&gt;TODAY(),"Em Aberto",IF(Tabela2[[#This Row],[D/venc]]="-","Enviado",IF(Tabela2[[#This Row],[Dt Venc:]]=TODAY(),"Vence Hoje","Vencida")))</f>
        <v>Enviado</v>
      </c>
      <c r="F2249" s="3" t="str">
        <f ca="1">IF(G2249=1,"-",Tabela2[[#This Row],[Dt Venc:]]-TODAY())</f>
        <v>-</v>
      </c>
      <c r="G2249" s="3">
        <v>1</v>
      </c>
      <c r="H2249" s="3"/>
    </row>
    <row r="2250" spans="1:8" hidden="1">
      <c r="A2250" s="3">
        <v>231587</v>
      </c>
      <c r="B2250" s="7" t="s">
        <v>43</v>
      </c>
      <c r="C2250" s="41">
        <v>1300</v>
      </c>
      <c r="D2250" s="6">
        <v>45618</v>
      </c>
      <c r="E2250" s="3" t="str">
        <f ca="1">IF(Tabela2[[#This Row],[Dt Venc:]]&gt;TODAY(),"Em Aberto",IF(Tabela2[[#This Row],[D/venc]]="-","Enviado",IF(Tabela2[[#This Row],[Dt Venc:]]=TODAY(),"Vence Hoje","Vencida")))</f>
        <v>Enviado</v>
      </c>
      <c r="F2250" s="3" t="str">
        <f ca="1">IF(G2250=1,"-",Tabela2[[#This Row],[Dt Venc:]]-TODAY())</f>
        <v>-</v>
      </c>
      <c r="G2250" s="3">
        <v>1</v>
      </c>
      <c r="H2250" s="3"/>
    </row>
    <row r="2251" spans="1:8" hidden="1">
      <c r="A2251" s="3">
        <v>2651</v>
      </c>
      <c r="B2251" s="7" t="s">
        <v>198</v>
      </c>
      <c r="C2251" s="41">
        <v>445</v>
      </c>
      <c r="D2251" s="6">
        <v>45618</v>
      </c>
      <c r="E2251" s="3" t="str">
        <f ca="1">IF(Tabela2[[#This Row],[Dt Venc:]]&gt;TODAY(),"Em Aberto",IF(Tabela2[[#This Row],[D/venc]]="-","Enviado",IF(Tabela2[[#This Row],[Dt Venc:]]=TODAY(),"Vence Hoje","Vencida")))</f>
        <v>Enviado</v>
      </c>
      <c r="F2251" s="3" t="str">
        <f ca="1">IF(G2251=1,"-",Tabela2[[#This Row],[Dt Venc:]]-TODAY())</f>
        <v>-</v>
      </c>
      <c r="G2251" s="3">
        <v>1</v>
      </c>
      <c r="H2251" s="3"/>
    </row>
    <row r="2252" spans="1:8" hidden="1">
      <c r="A2252" s="3">
        <v>245167</v>
      </c>
      <c r="B2252" s="7" t="s">
        <v>43</v>
      </c>
      <c r="C2252" s="41">
        <v>472</v>
      </c>
      <c r="D2252" s="6">
        <v>45618</v>
      </c>
      <c r="E2252" s="3" t="str">
        <f ca="1">IF(Tabela2[[#This Row],[Dt Venc:]]&gt;TODAY(),"Em Aberto",IF(Tabela2[[#This Row],[D/venc]]="-","Enviado",IF(Tabela2[[#This Row],[Dt Venc:]]=TODAY(),"Vence Hoje","Vencida")))</f>
        <v>Enviado</v>
      </c>
      <c r="F2252" s="3" t="str">
        <f ca="1">IF(G2252=1,"-",Tabela2[[#This Row],[Dt Venc:]]-TODAY())</f>
        <v>-</v>
      </c>
      <c r="G2252" s="3">
        <v>1</v>
      </c>
      <c r="H2252" s="3"/>
    </row>
    <row r="2253" spans="1:8" hidden="1">
      <c r="A2253" s="3">
        <v>139947</v>
      </c>
      <c r="B2253" s="7" t="s">
        <v>53</v>
      </c>
      <c r="C2253" s="41">
        <v>282.19</v>
      </c>
      <c r="D2253" s="6">
        <v>45618</v>
      </c>
      <c r="E2253" s="3" t="str">
        <f ca="1">IF(Tabela2[[#This Row],[Dt Venc:]]&gt;TODAY(),"Em Aberto",IF(Tabela2[[#This Row],[D/venc]]="-","Enviado",IF(Tabela2[[#This Row],[Dt Venc:]]=TODAY(),"Vence Hoje","Vencida")))</f>
        <v>Enviado</v>
      </c>
      <c r="F2253" s="3" t="str">
        <f ca="1">IF(G2253=1,"-",Tabela2[[#This Row],[Dt Venc:]]-TODAY())</f>
        <v>-</v>
      </c>
      <c r="G2253" s="3">
        <v>1</v>
      </c>
      <c r="H2253" s="3"/>
    </row>
    <row r="2254" spans="1:8" hidden="1">
      <c r="A2254" s="3">
        <v>1993135</v>
      </c>
      <c r="B2254" s="7" t="s">
        <v>59</v>
      </c>
      <c r="C2254" s="41">
        <v>137062.5</v>
      </c>
      <c r="D2254" s="6">
        <v>45618</v>
      </c>
      <c r="E2254" s="3" t="str">
        <f ca="1">IF(Tabela2[[#This Row],[Dt Venc:]]&gt;TODAY(),"Em Aberto",IF(Tabela2[[#This Row],[D/venc]]="-","Enviado",IF(Tabela2[[#This Row],[Dt Venc:]]=TODAY(),"Vence Hoje","Vencida")))</f>
        <v>Enviado</v>
      </c>
      <c r="F2254" s="3" t="str">
        <f ca="1">IF(G2254=1,"-",Tabela2[[#This Row],[Dt Venc:]]-TODAY())</f>
        <v>-</v>
      </c>
      <c r="G2254" s="3">
        <v>1</v>
      </c>
      <c r="H2254" s="3"/>
    </row>
    <row r="2255" spans="1:8" hidden="1">
      <c r="A2255" s="3">
        <v>2264410</v>
      </c>
      <c r="B2255" s="7" t="s">
        <v>59</v>
      </c>
      <c r="C2255" s="41">
        <v>27625.5</v>
      </c>
      <c r="D2255" s="6">
        <v>45618</v>
      </c>
      <c r="E2255" s="3" t="str">
        <f ca="1">IF(Tabela2[[#This Row],[Dt Venc:]]&gt;TODAY(),"Em Aberto",IF(Tabela2[[#This Row],[D/venc]]="-","Enviado",IF(Tabela2[[#This Row],[Dt Venc:]]=TODAY(),"Vence Hoje","Vencida")))</f>
        <v>Enviado</v>
      </c>
      <c r="F2255" s="3" t="str">
        <f ca="1">IF(G2255=1,"-",Tabela2[[#This Row],[Dt Venc:]]-TODAY())</f>
        <v>-</v>
      </c>
      <c r="G2255" s="3">
        <v>1</v>
      </c>
      <c r="H2255" s="3"/>
    </row>
    <row r="2256" spans="1:8" hidden="1">
      <c r="A2256" s="3">
        <v>1880</v>
      </c>
      <c r="B2256" s="7" t="s">
        <v>277</v>
      </c>
      <c r="C2256" s="41">
        <v>29442.65</v>
      </c>
      <c r="D2256" s="6">
        <v>45618</v>
      </c>
      <c r="E2256" s="3" t="str">
        <f ca="1">IF(Tabela2[[#This Row],[Dt Venc:]]&gt;TODAY(),"Em Aberto",IF(Tabela2[[#This Row],[D/venc]]="-","Enviado",IF(Tabela2[[#This Row],[Dt Venc:]]=TODAY(),"Vence Hoje","Vencida")))</f>
        <v>Enviado</v>
      </c>
      <c r="F2256" s="3" t="str">
        <f ca="1">IF(G2256=1,"-",Tabela2[[#This Row],[Dt Venc:]]-TODAY())</f>
        <v>-</v>
      </c>
      <c r="G2256" s="3">
        <v>1</v>
      </c>
      <c r="H2256" s="3"/>
    </row>
    <row r="2257" spans="1:8" hidden="1">
      <c r="A2257" s="3">
        <v>5988</v>
      </c>
      <c r="B2257" s="7" t="s">
        <v>140</v>
      </c>
      <c r="C2257" s="41">
        <v>156</v>
      </c>
      <c r="D2257" s="6">
        <v>45618</v>
      </c>
      <c r="E2257" s="3" t="str">
        <f ca="1">IF(Tabela2[[#This Row],[Dt Venc:]]&gt;TODAY(),"Em Aberto",IF(Tabela2[[#This Row],[D/venc]]="-","Enviado",IF(Tabela2[[#This Row],[Dt Venc:]]=TODAY(),"Vence Hoje","Vencida")))</f>
        <v>Enviado</v>
      </c>
      <c r="F2257" s="3" t="str">
        <f ca="1">IF(G2257=1,"-",Tabela2[[#This Row],[Dt Venc:]]-TODAY())</f>
        <v>-</v>
      </c>
      <c r="G2257" s="3">
        <v>1</v>
      </c>
      <c r="H2257" s="3"/>
    </row>
    <row r="2258" spans="1:8" hidden="1">
      <c r="A2258" s="3">
        <v>5982</v>
      </c>
      <c r="B2258" s="7" t="s">
        <v>140</v>
      </c>
      <c r="C2258" s="41">
        <v>144</v>
      </c>
      <c r="D2258" s="6">
        <v>45618</v>
      </c>
      <c r="E2258" s="3" t="str">
        <f ca="1">IF(Tabela2[[#This Row],[Dt Venc:]]&gt;TODAY(),"Em Aberto",IF(Tabela2[[#This Row],[D/venc]]="-","Enviado",IF(Tabela2[[#This Row],[Dt Venc:]]=TODAY(),"Vence Hoje","Vencida")))</f>
        <v>Enviado</v>
      </c>
      <c r="F2258" s="3" t="str">
        <f ca="1">IF(G2258=1,"-",Tabela2[[#This Row],[Dt Venc:]]-TODAY())</f>
        <v>-</v>
      </c>
      <c r="G2258" s="3">
        <v>1</v>
      </c>
      <c r="H2258" s="3"/>
    </row>
    <row r="2259" spans="1:8" hidden="1">
      <c r="A2259" s="3">
        <v>6049</v>
      </c>
      <c r="B2259" s="7" t="s">
        <v>47</v>
      </c>
      <c r="C2259" s="41">
        <v>1414.67</v>
      </c>
      <c r="D2259" s="6">
        <v>45618</v>
      </c>
      <c r="E2259" s="3" t="str">
        <f ca="1">IF(Tabela2[[#This Row],[Dt Venc:]]&gt;TODAY(),"Em Aberto",IF(Tabela2[[#This Row],[D/venc]]="-","Enviado",IF(Tabela2[[#This Row],[Dt Venc:]]=TODAY(),"Vence Hoje","Vencida")))</f>
        <v>Enviado</v>
      </c>
      <c r="F2259" s="3" t="str">
        <f ca="1">IF(G2259=1,"-",Tabela2[[#This Row],[Dt Venc:]]-TODAY())</f>
        <v>-</v>
      </c>
      <c r="G2259" s="3">
        <v>1</v>
      </c>
      <c r="H2259" s="3"/>
    </row>
    <row r="2260" spans="1:8" hidden="1">
      <c r="A2260" s="3">
        <v>2691</v>
      </c>
      <c r="B2260" s="7" t="s">
        <v>198</v>
      </c>
      <c r="C2260" s="41">
        <v>400</v>
      </c>
      <c r="D2260" s="6">
        <v>45618</v>
      </c>
      <c r="E2260" s="3" t="str">
        <f ca="1">IF(Tabela2[[#This Row],[Dt Venc:]]&gt;TODAY(),"Em Aberto",IF(Tabela2[[#This Row],[D/venc]]="-","Enviado",IF(Tabela2[[#This Row],[Dt Venc:]]=TODAY(),"Vence Hoje","Vencida")))</f>
        <v>Enviado</v>
      </c>
      <c r="F2260" s="3" t="str">
        <f ca="1">IF(G2260=1,"-",Tabela2[[#This Row],[Dt Venc:]]-TODAY())</f>
        <v>-</v>
      </c>
      <c r="G2260" s="3">
        <v>1</v>
      </c>
      <c r="H2260" s="3"/>
    </row>
    <row r="2261" spans="1:8" hidden="1">
      <c r="A2261" s="3" t="s">
        <v>110</v>
      </c>
      <c r="B2261" s="7" t="s">
        <v>337</v>
      </c>
      <c r="C2261" s="42" t="s">
        <v>32</v>
      </c>
      <c r="D2261" s="6">
        <v>45619</v>
      </c>
      <c r="E2261" s="3" t="str">
        <f ca="1">IF(Tabela2[[#This Row],[Dt Venc:]]&gt;TODAY(),"Em Aberto",IF(Tabela2[[#This Row],[D/venc]]="-","Enviado",IF(Tabela2[[#This Row],[Dt Venc:]]=TODAY(),"Vence Hoje","Vencida")))</f>
        <v>Enviado</v>
      </c>
      <c r="F2261" s="3" t="str">
        <f ca="1">IF(G2261=1,"-",Tabela2[[#This Row],[Dt Venc:]]-TODAY())</f>
        <v>-</v>
      </c>
      <c r="G2261" s="3">
        <v>1</v>
      </c>
      <c r="H2261" s="3"/>
    </row>
    <row r="2262" spans="1:8" hidden="1">
      <c r="A2262" s="3">
        <v>251527</v>
      </c>
      <c r="B2262" s="7" t="s">
        <v>313</v>
      </c>
      <c r="C2262" s="42">
        <v>5541.1</v>
      </c>
      <c r="D2262" s="6">
        <v>45619</v>
      </c>
      <c r="E2262" s="3" t="str">
        <f ca="1">IF(Tabela2[[#This Row],[Dt Venc:]]&gt;TODAY(),"Em Aberto",IF(Tabela2[[#This Row],[D/venc]]="-","Enviado",IF(Tabela2[[#This Row],[Dt Venc:]]=TODAY(),"Vence Hoje","Vencida")))</f>
        <v>Enviado</v>
      </c>
      <c r="F2262" s="3" t="str">
        <f ca="1">IF(G2262=1,"-",Tabela2[[#This Row],[Dt Venc:]]-TODAY())</f>
        <v>-</v>
      </c>
      <c r="G2262" s="3">
        <v>1</v>
      </c>
      <c r="H2262" s="3"/>
    </row>
    <row r="2263" spans="1:8" hidden="1">
      <c r="A2263" s="3">
        <v>10802</v>
      </c>
      <c r="B2263" s="7" t="s">
        <v>33</v>
      </c>
      <c r="C2263" s="42">
        <v>1600</v>
      </c>
      <c r="D2263" s="6">
        <v>45619</v>
      </c>
      <c r="E2263" s="3" t="str">
        <f ca="1">IF(Tabela2[[#This Row],[Dt Venc:]]&gt;TODAY(),"Em Aberto",IF(Tabela2[[#This Row],[D/venc]]="-","Enviado",IF(Tabela2[[#This Row],[Dt Venc:]]=TODAY(),"Vence Hoje","Vencida")))</f>
        <v>Enviado</v>
      </c>
      <c r="F2263" s="3" t="str">
        <f ca="1">IF(G2263=1,"-",Tabela2[[#This Row],[Dt Venc:]]-TODAY())</f>
        <v>-</v>
      </c>
      <c r="G2263" s="3">
        <v>1</v>
      </c>
      <c r="H2263" s="3"/>
    </row>
    <row r="2264" spans="1:8" hidden="1">
      <c r="A2264" s="3">
        <v>10935</v>
      </c>
      <c r="B2264" s="7" t="s">
        <v>33</v>
      </c>
      <c r="C2264" s="42">
        <v>1651.66</v>
      </c>
      <c r="D2264" s="6">
        <v>45619</v>
      </c>
      <c r="E2264" s="3" t="str">
        <f ca="1">IF(Tabela2[[#This Row],[Dt Venc:]]&gt;TODAY(),"Em Aberto",IF(Tabela2[[#This Row],[D/venc]]="-","Enviado",IF(Tabela2[[#This Row],[Dt Venc:]]=TODAY(),"Vence Hoje","Vencida")))</f>
        <v>Enviado</v>
      </c>
      <c r="F2264" s="3" t="str">
        <f ca="1">IF(G2264=1,"-",Tabela2[[#This Row],[Dt Venc:]]-TODAY())</f>
        <v>-</v>
      </c>
      <c r="G2264" s="3">
        <v>1</v>
      </c>
      <c r="H2264" s="3"/>
    </row>
    <row r="2265" spans="1:8" hidden="1">
      <c r="A2265" s="3">
        <v>43</v>
      </c>
      <c r="B2265" s="7" t="s">
        <v>132</v>
      </c>
      <c r="C2265" s="42">
        <v>3983.33</v>
      </c>
      <c r="D2265" s="6">
        <v>45619</v>
      </c>
      <c r="E2265" s="3" t="str">
        <f ca="1">IF(Tabela2[[#This Row],[Dt Venc:]]&gt;TODAY(),"Em Aberto",IF(Tabela2[[#This Row],[D/venc]]="-","Enviado",IF(Tabela2[[#This Row],[Dt Venc:]]=TODAY(),"Vence Hoje","Vencida")))</f>
        <v>Enviado</v>
      </c>
      <c r="F2265" s="3" t="str">
        <f ca="1">IF(G2265=1,"-",Tabela2[[#This Row],[Dt Venc:]]-TODAY())</f>
        <v>-</v>
      </c>
      <c r="G2265" s="3">
        <v>1</v>
      </c>
      <c r="H2265" s="3"/>
    </row>
    <row r="2266" spans="1:8" hidden="1">
      <c r="A2266" s="3">
        <v>5915</v>
      </c>
      <c r="B2266" s="7" t="s">
        <v>47</v>
      </c>
      <c r="C2266" s="42">
        <v>1274.0999999999999</v>
      </c>
      <c r="D2266" s="6">
        <v>45619</v>
      </c>
      <c r="E2266" s="3" t="str">
        <f ca="1">IF(Tabela2[[#This Row],[Dt Venc:]]&gt;TODAY(),"Em Aberto",IF(Tabela2[[#This Row],[D/venc]]="-","Enviado",IF(Tabela2[[#This Row],[Dt Venc:]]=TODAY(),"Vence Hoje","Vencida")))</f>
        <v>Enviado</v>
      </c>
      <c r="F2266" s="3" t="str">
        <f ca="1">IF(G2266=1,"-",Tabela2[[#This Row],[Dt Venc:]]-TODAY())</f>
        <v>-</v>
      </c>
      <c r="G2266" s="3">
        <v>1</v>
      </c>
      <c r="H2266" s="3"/>
    </row>
    <row r="2267" spans="1:8" hidden="1">
      <c r="A2267" s="3">
        <v>87823</v>
      </c>
      <c r="B2267" s="7" t="s">
        <v>207</v>
      </c>
      <c r="C2267" s="42">
        <v>733.33</v>
      </c>
      <c r="D2267" s="6">
        <v>45619</v>
      </c>
      <c r="E2267" s="3" t="str">
        <f ca="1">IF(Tabela2[[#This Row],[Dt Venc:]]&gt;TODAY(),"Em Aberto",IF(Tabela2[[#This Row],[D/venc]]="-","Enviado",IF(Tabela2[[#This Row],[Dt Venc:]]=TODAY(),"Vence Hoje","Vencida")))</f>
        <v>Enviado</v>
      </c>
      <c r="F2267" s="3" t="str">
        <f ca="1">IF(G2267=1,"-",Tabela2[[#This Row],[Dt Venc:]]-TODAY())</f>
        <v>-</v>
      </c>
      <c r="G2267" s="3">
        <v>1</v>
      </c>
      <c r="H2267" s="3"/>
    </row>
    <row r="2268" spans="1:8" hidden="1">
      <c r="A2268" s="3">
        <v>2750</v>
      </c>
      <c r="B2268" s="7" t="s">
        <v>58</v>
      </c>
      <c r="C2268" s="42">
        <v>616.66999999999996</v>
      </c>
      <c r="D2268" s="6">
        <v>45619</v>
      </c>
      <c r="E2268" s="3" t="str">
        <f ca="1">IF(Tabela2[[#This Row],[Dt Venc:]]&gt;TODAY(),"Em Aberto",IF(Tabela2[[#This Row],[D/venc]]="-","Enviado",IF(Tabela2[[#This Row],[Dt Venc:]]=TODAY(),"Vence Hoje","Vencida")))</f>
        <v>Enviado</v>
      </c>
      <c r="F2268" s="3" t="str">
        <f ca="1">IF(G2268=1,"-",Tabela2[[#This Row],[Dt Venc:]]-TODAY())</f>
        <v>-</v>
      </c>
      <c r="G2268" s="3">
        <v>1</v>
      </c>
      <c r="H2268" s="3"/>
    </row>
    <row r="2269" spans="1:8" hidden="1">
      <c r="A2269" s="3">
        <v>135427</v>
      </c>
      <c r="B2269" s="7" t="s">
        <v>127</v>
      </c>
      <c r="C2269" s="42">
        <v>956.67</v>
      </c>
      <c r="D2269" s="6">
        <v>45619</v>
      </c>
      <c r="E2269" s="3" t="str">
        <f ca="1">IF(Tabela2[[#This Row],[Dt Venc:]]&gt;TODAY(),"Em Aberto",IF(Tabela2[[#This Row],[D/venc]]="-","Enviado",IF(Tabela2[[#This Row],[Dt Venc:]]=TODAY(),"Vence Hoje","Vencida")))</f>
        <v>Enviado</v>
      </c>
      <c r="F2269" s="3" t="str">
        <f ca="1">IF(G2269=1,"-",Tabela2[[#This Row],[Dt Venc:]]-TODAY())</f>
        <v>-</v>
      </c>
      <c r="G2269" s="3">
        <v>1</v>
      </c>
      <c r="H2269" s="3"/>
    </row>
    <row r="2270" spans="1:8" hidden="1">
      <c r="A2270" s="3">
        <v>754751</v>
      </c>
      <c r="B2270" s="7" t="s">
        <v>127</v>
      </c>
      <c r="C2270" s="42">
        <v>482.75</v>
      </c>
      <c r="D2270" s="6">
        <v>45619</v>
      </c>
      <c r="E2270" s="3" t="str">
        <f ca="1">IF(Tabela2[[#This Row],[Dt Venc:]]&gt;TODAY(),"Em Aberto",IF(Tabela2[[#This Row],[D/venc]]="-","Enviado",IF(Tabela2[[#This Row],[Dt Venc:]]=TODAY(),"Vence Hoje","Vencida")))</f>
        <v>Enviado</v>
      </c>
      <c r="F2270" s="3" t="str">
        <f ca="1">IF(G2270=1,"-",Tabela2[[#This Row],[Dt Venc:]]-TODAY())</f>
        <v>-</v>
      </c>
      <c r="G2270" s="3">
        <v>1</v>
      </c>
      <c r="H2270" s="3"/>
    </row>
    <row r="2271" spans="1:8" hidden="1">
      <c r="A2271" s="3">
        <v>135426</v>
      </c>
      <c r="B2271" s="7" t="s">
        <v>127</v>
      </c>
      <c r="C2271" s="42">
        <v>956.67</v>
      </c>
      <c r="D2271" s="6">
        <v>45619</v>
      </c>
      <c r="E2271" s="3" t="str">
        <f ca="1">IF(Tabela2[[#This Row],[Dt Venc:]]&gt;TODAY(),"Em Aberto",IF(Tabela2[[#This Row],[D/venc]]="-","Enviado",IF(Tabela2[[#This Row],[Dt Venc:]]=TODAY(),"Vence Hoje","Vencida")))</f>
        <v>Enviado</v>
      </c>
      <c r="F2271" s="3" t="str">
        <f ca="1">IF(G2271=1,"-",Tabela2[[#This Row],[Dt Venc:]]-TODAY())</f>
        <v>-</v>
      </c>
      <c r="G2271" s="3">
        <v>1</v>
      </c>
      <c r="H2271" s="3"/>
    </row>
    <row r="2272" spans="1:8" hidden="1">
      <c r="A2272" s="3">
        <v>754749</v>
      </c>
      <c r="B2272" s="7" t="s">
        <v>127</v>
      </c>
      <c r="C2272" s="42">
        <v>482.72</v>
      </c>
      <c r="D2272" s="6">
        <v>45619</v>
      </c>
      <c r="E2272" s="3" t="str">
        <f ca="1">IF(Tabela2[[#This Row],[Dt Venc:]]&gt;TODAY(),"Em Aberto",IF(Tabela2[[#This Row],[D/venc]]="-","Enviado",IF(Tabela2[[#This Row],[Dt Venc:]]=TODAY(),"Vence Hoje","Vencida")))</f>
        <v>Enviado</v>
      </c>
      <c r="F2272" s="3" t="str">
        <f ca="1">IF(G2272=1,"-",Tabela2[[#This Row],[Dt Venc:]]-TODAY())</f>
        <v>-</v>
      </c>
      <c r="G2272" s="3">
        <v>1</v>
      </c>
      <c r="H2272" s="3"/>
    </row>
    <row r="2273" spans="1:8" hidden="1">
      <c r="A2273" s="3">
        <v>13255</v>
      </c>
      <c r="B2273" s="7" t="s">
        <v>204</v>
      </c>
      <c r="C2273" s="42">
        <v>583.33000000000004</v>
      </c>
      <c r="D2273" s="6">
        <v>45619</v>
      </c>
      <c r="E2273" s="3" t="str">
        <f ca="1">IF(Tabela2[[#This Row],[Dt Venc:]]&gt;TODAY(),"Em Aberto",IF(Tabela2[[#This Row],[D/venc]]="-","Enviado",IF(Tabela2[[#This Row],[Dt Venc:]]=TODAY(),"Vence Hoje","Vencida")))</f>
        <v>Enviado</v>
      </c>
      <c r="F2273" s="3" t="str">
        <f ca="1">IF(G2273=1,"-",Tabela2[[#This Row],[Dt Venc:]]-TODAY())</f>
        <v>-</v>
      </c>
      <c r="G2273" s="3">
        <v>1</v>
      </c>
      <c r="H2273" s="3"/>
    </row>
    <row r="2274" spans="1:8" hidden="1">
      <c r="A2274" s="3">
        <v>30058</v>
      </c>
      <c r="B2274" s="7" t="s">
        <v>97</v>
      </c>
      <c r="C2274" s="42">
        <v>4765</v>
      </c>
      <c r="D2274" s="6">
        <v>45619</v>
      </c>
      <c r="E2274" s="3" t="str">
        <f ca="1">IF(Tabela2[[#This Row],[Dt Venc:]]&gt;TODAY(),"Em Aberto",IF(Tabela2[[#This Row],[D/venc]]="-","Enviado",IF(Tabela2[[#This Row],[Dt Venc:]]=TODAY(),"Vence Hoje","Vencida")))</f>
        <v>Enviado</v>
      </c>
      <c r="F2274" s="3" t="str">
        <f ca="1">IF(G2274=1,"-",Tabela2[[#This Row],[Dt Venc:]]-TODAY())</f>
        <v>-</v>
      </c>
      <c r="G2274" s="3">
        <v>1</v>
      </c>
      <c r="H2274" s="3"/>
    </row>
    <row r="2275" spans="1:8" hidden="1">
      <c r="A2275" s="3">
        <v>11062</v>
      </c>
      <c r="B2275" s="7" t="s">
        <v>33</v>
      </c>
      <c r="C2275" s="41">
        <v>800</v>
      </c>
      <c r="D2275" s="6">
        <v>45619</v>
      </c>
      <c r="E2275" s="3" t="str">
        <f ca="1">IF(Tabela2[[#This Row],[Dt Venc:]]&gt;TODAY(),"Em Aberto",IF(Tabela2[[#This Row],[D/venc]]="-","Enviado",IF(Tabela2[[#This Row],[Dt Venc:]]=TODAY(),"Vence Hoje","Vencida")))</f>
        <v>Enviado</v>
      </c>
      <c r="F2275" s="3" t="str">
        <f ca="1">IF(G2275=1,"-",Tabela2[[#This Row],[Dt Venc:]]-TODAY())</f>
        <v>-</v>
      </c>
      <c r="G2275" s="3">
        <v>1</v>
      </c>
      <c r="H2275" s="3"/>
    </row>
    <row r="2276" spans="1:8" hidden="1">
      <c r="A2276" s="3">
        <v>4555647</v>
      </c>
      <c r="B2276" s="7" t="s">
        <v>90</v>
      </c>
      <c r="C2276" s="41">
        <v>642.5</v>
      </c>
      <c r="D2276" s="6">
        <v>45619</v>
      </c>
      <c r="E2276" s="3" t="str">
        <f ca="1">IF(Tabela2[[#This Row],[Dt Venc:]]&gt;TODAY(),"Em Aberto",IF(Tabela2[[#This Row],[D/venc]]="-","Enviado",IF(Tabela2[[#This Row],[Dt Venc:]]=TODAY(),"Vence Hoje","Vencida")))</f>
        <v>Enviado</v>
      </c>
      <c r="F2276" s="3" t="str">
        <f ca="1">IF(G2276=1,"-",Tabela2[[#This Row],[Dt Venc:]]-TODAY())</f>
        <v>-</v>
      </c>
      <c r="G2276" s="3">
        <v>1</v>
      </c>
      <c r="H2276" s="3"/>
    </row>
    <row r="2277" spans="1:8" hidden="1">
      <c r="A2277" s="3">
        <v>5048</v>
      </c>
      <c r="B2277" s="7" t="s">
        <v>463</v>
      </c>
      <c r="C2277" s="41">
        <v>1812.4</v>
      </c>
      <c r="D2277" s="6">
        <v>45619</v>
      </c>
      <c r="E2277" s="3" t="str">
        <f ca="1">IF(Tabela2[[#This Row],[Dt Venc:]]&gt;TODAY(),"Em Aberto",IF(Tabela2[[#This Row],[D/venc]]="-","Enviado",IF(Tabela2[[#This Row],[Dt Venc:]]=TODAY(),"Vence Hoje","Vencida")))</f>
        <v>Enviado</v>
      </c>
      <c r="F2277" s="3" t="str">
        <f ca="1">IF(G2277=1,"-",Tabela2[[#This Row],[Dt Venc:]]-TODAY())</f>
        <v>-</v>
      </c>
      <c r="G2277" s="3">
        <v>1</v>
      </c>
      <c r="H2277" s="3"/>
    </row>
    <row r="2278" spans="1:8" hidden="1">
      <c r="A2278" s="3">
        <v>2801</v>
      </c>
      <c r="B2278" s="7" t="s">
        <v>58</v>
      </c>
      <c r="C2278" s="41">
        <v>3067.8</v>
      </c>
      <c r="D2278" s="6">
        <v>45619</v>
      </c>
      <c r="E2278" s="3" t="str">
        <f ca="1">IF(Tabela2[[#This Row],[Dt Venc:]]&gt;TODAY(),"Em Aberto",IF(Tabela2[[#This Row],[D/venc]]="-","Enviado",IF(Tabela2[[#This Row],[Dt Venc:]]=TODAY(),"Vence Hoje","Vencida")))</f>
        <v>Enviado</v>
      </c>
      <c r="F2278" s="3" t="str">
        <f ca="1">IF(G2278=1,"-",Tabela2[[#This Row],[Dt Venc:]]-TODAY())</f>
        <v>-</v>
      </c>
      <c r="G2278" s="3">
        <v>1</v>
      </c>
      <c r="H2278" s="3"/>
    </row>
    <row r="2279" spans="1:8" hidden="1">
      <c r="A2279" s="3">
        <v>153853</v>
      </c>
      <c r="B2279" s="7" t="s">
        <v>77</v>
      </c>
      <c r="C2279" s="41">
        <v>866.67</v>
      </c>
      <c r="D2279" s="6">
        <v>45619</v>
      </c>
      <c r="E2279" s="3" t="str">
        <f ca="1">IF(Tabela2[[#This Row],[Dt Venc:]]&gt;TODAY(),"Em Aberto",IF(Tabela2[[#This Row],[D/venc]]="-","Enviado",IF(Tabela2[[#This Row],[Dt Venc:]]=TODAY(),"Vence Hoje","Vencida")))</f>
        <v>Enviado</v>
      </c>
      <c r="F2279" s="3" t="str">
        <f ca="1">IF(G2279=1,"-",Tabela2[[#This Row],[Dt Venc:]]-TODAY())</f>
        <v>-</v>
      </c>
      <c r="G2279" s="3">
        <v>1</v>
      </c>
      <c r="H2279" s="3"/>
    </row>
    <row r="2280" spans="1:8" hidden="1">
      <c r="A2280" s="3">
        <v>3308305</v>
      </c>
      <c r="B2280" s="7" t="s">
        <v>71</v>
      </c>
      <c r="C2280" s="41">
        <v>81063</v>
      </c>
      <c r="D2280" s="6">
        <v>45619</v>
      </c>
      <c r="E2280" s="3" t="str">
        <f ca="1">IF(Tabela2[[#This Row],[Dt Venc:]]&gt;TODAY(),"Em Aberto",IF(Tabela2[[#This Row],[D/venc]]="-","Enviado",IF(Tabela2[[#This Row],[Dt Venc:]]=TODAY(),"Vence Hoje","Vencida")))</f>
        <v>Enviado</v>
      </c>
      <c r="F2280" s="3" t="str">
        <f ca="1">IF(G2280=1,"-",Tabela2[[#This Row],[Dt Venc:]]-TODAY())</f>
        <v>-</v>
      </c>
      <c r="G2280" s="3">
        <v>1</v>
      </c>
      <c r="H2280" s="3"/>
    </row>
    <row r="2281" spans="1:8" hidden="1">
      <c r="A2281" s="3">
        <v>5781</v>
      </c>
      <c r="B2281" s="7" t="s">
        <v>47</v>
      </c>
      <c r="C2281" s="42">
        <v>1298</v>
      </c>
      <c r="D2281" s="6">
        <v>45620</v>
      </c>
      <c r="E2281" s="3" t="str">
        <f ca="1">IF(Tabela2[[#This Row],[Dt Venc:]]&gt;TODAY(),"Em Aberto",IF(Tabela2[[#This Row],[D/venc]]="-","Enviado",IF(Tabela2[[#This Row],[Dt Venc:]]=TODAY(),"Vence Hoje","Vencida")))</f>
        <v>Enviado</v>
      </c>
      <c r="F2281" s="3" t="str">
        <f ca="1">IF(G2281=1,"-",Tabela2[[#This Row],[Dt Venc:]]-TODAY())</f>
        <v>-</v>
      </c>
      <c r="G2281" s="3">
        <v>1</v>
      </c>
      <c r="H2281" s="3"/>
    </row>
    <row r="2282" spans="1:8" hidden="1">
      <c r="A2282" s="3">
        <v>2694</v>
      </c>
      <c r="B2282" s="7" t="s">
        <v>58</v>
      </c>
      <c r="C2282" s="42">
        <v>644</v>
      </c>
      <c r="D2282" s="6">
        <v>45620</v>
      </c>
      <c r="E2282" s="3" t="str">
        <f ca="1">IF(Tabela2[[#This Row],[Dt Venc:]]&gt;TODAY(),"Em Aberto",IF(Tabela2[[#This Row],[D/venc]]="-","Enviado",IF(Tabela2[[#This Row],[Dt Venc:]]=TODAY(),"Vence Hoje","Vencida")))</f>
        <v>Enviado</v>
      </c>
      <c r="F2282" s="3" t="str">
        <f ca="1">IF(G2282=1,"-",Tabela2[[#This Row],[Dt Venc:]]-TODAY())</f>
        <v>-</v>
      </c>
      <c r="G2282" s="3">
        <v>1</v>
      </c>
      <c r="H2282" s="3"/>
    </row>
    <row r="2283" spans="1:8" hidden="1">
      <c r="A2283" s="3">
        <v>152398</v>
      </c>
      <c r="B2283" s="7" t="s">
        <v>77</v>
      </c>
      <c r="C2283" s="42">
        <v>450</v>
      </c>
      <c r="D2283" s="6">
        <v>45620</v>
      </c>
      <c r="E2283" s="3" t="str">
        <f ca="1">IF(Tabela2[[#This Row],[Dt Venc:]]&gt;TODAY(),"Em Aberto",IF(Tabela2[[#This Row],[D/venc]]="-","Enviado",IF(Tabela2[[#This Row],[Dt Venc:]]=TODAY(),"Vence Hoje","Vencida")))</f>
        <v>Enviado</v>
      </c>
      <c r="F2283" s="3" t="str">
        <f ca="1">IF(G2283=1,"-",Tabela2[[#This Row],[Dt Venc:]]-TODAY())</f>
        <v>-</v>
      </c>
      <c r="G2283" s="3">
        <v>1</v>
      </c>
      <c r="H2283" s="3"/>
    </row>
    <row r="2284" spans="1:8" hidden="1">
      <c r="A2284" s="3">
        <v>152375</v>
      </c>
      <c r="B2284" s="7" t="s">
        <v>77</v>
      </c>
      <c r="C2284" s="42">
        <v>450</v>
      </c>
      <c r="D2284" s="6">
        <v>45620</v>
      </c>
      <c r="E2284" s="3" t="str">
        <f ca="1">IF(Tabela2[[#This Row],[Dt Venc:]]&gt;TODAY(),"Em Aberto",IF(Tabela2[[#This Row],[D/venc]]="-","Enviado",IF(Tabela2[[#This Row],[Dt Venc:]]=TODAY(),"Vence Hoje","Vencida")))</f>
        <v>Enviado</v>
      </c>
      <c r="F2284" s="3" t="str">
        <f ca="1">IF(G2284=1,"-",Tabela2[[#This Row],[Dt Venc:]]-TODAY())</f>
        <v>-</v>
      </c>
      <c r="G2284" s="3">
        <v>1</v>
      </c>
      <c r="H2284" s="3"/>
    </row>
    <row r="2285" spans="1:8" hidden="1">
      <c r="A2285" s="3">
        <v>10233</v>
      </c>
      <c r="B2285" s="7" t="s">
        <v>72</v>
      </c>
      <c r="C2285" s="42">
        <v>526.66</v>
      </c>
      <c r="D2285" s="6">
        <v>45620</v>
      </c>
      <c r="E2285" s="3" t="str">
        <f ca="1">IF(Tabela2[[#This Row],[Dt Venc:]]&gt;TODAY(),"Em Aberto",IF(Tabela2[[#This Row],[D/venc]]="-","Enviado",IF(Tabela2[[#This Row],[Dt Venc:]]=TODAY(),"Vence Hoje","Vencida")))</f>
        <v>Enviado</v>
      </c>
      <c r="F2285" s="3" t="str">
        <f ca="1">IF(G2285=1,"-",Tabela2[[#This Row],[Dt Venc:]]-TODAY())</f>
        <v>-</v>
      </c>
      <c r="G2285" s="3">
        <v>1</v>
      </c>
      <c r="H2285" s="3"/>
    </row>
    <row r="2286" spans="1:8" hidden="1">
      <c r="A2286" s="3">
        <v>218550</v>
      </c>
      <c r="B2286" s="7" t="s">
        <v>127</v>
      </c>
      <c r="C2286" s="42">
        <v>770.72</v>
      </c>
      <c r="D2286" s="6">
        <v>45620</v>
      </c>
      <c r="E2286" s="3" t="str">
        <f ca="1">IF(Tabela2[[#This Row],[Dt Venc:]]&gt;TODAY(),"Em Aberto",IF(Tabela2[[#This Row],[D/venc]]="-","Enviado",IF(Tabela2[[#This Row],[Dt Venc:]]=TODAY(),"Vence Hoje","Vencida")))</f>
        <v>Enviado</v>
      </c>
      <c r="F2286" s="3" t="str">
        <f ca="1">IF(G2286=1,"-",Tabela2[[#This Row],[Dt Venc:]]-TODAY())</f>
        <v>-</v>
      </c>
      <c r="G2286" s="3">
        <v>1</v>
      </c>
      <c r="H2286" s="3"/>
    </row>
    <row r="2287" spans="1:8" hidden="1">
      <c r="A2287" s="3">
        <v>96</v>
      </c>
      <c r="B2287" s="7" t="s">
        <v>339</v>
      </c>
      <c r="C2287" s="42">
        <v>7413.34</v>
      </c>
      <c r="D2287" s="6">
        <v>45620</v>
      </c>
      <c r="E2287" s="3" t="str">
        <f ca="1">IF(Tabela2[[#This Row],[Dt Venc:]]&gt;TODAY(),"Em Aberto",IF(Tabela2[[#This Row],[D/venc]]="-","Enviado",IF(Tabela2[[#This Row],[Dt Venc:]]=TODAY(),"Vence Hoje","Vencida")))</f>
        <v>Enviado</v>
      </c>
      <c r="F2287" s="3" t="str">
        <f ca="1">IF(G2287=1,"-",Tabela2[[#This Row],[Dt Venc:]]-TODAY())</f>
        <v>-</v>
      </c>
      <c r="G2287" s="3">
        <v>1</v>
      </c>
      <c r="H2287" s="3"/>
    </row>
    <row r="2288" spans="1:8" hidden="1">
      <c r="A2288" s="3">
        <v>1528</v>
      </c>
      <c r="B2288" s="7" t="s">
        <v>92</v>
      </c>
      <c r="C2288" s="42">
        <v>8866.67</v>
      </c>
      <c r="D2288" s="6">
        <v>45620</v>
      </c>
      <c r="E2288" s="3" t="str">
        <f ca="1">IF(Tabela2[[#This Row],[Dt Venc:]]&gt;TODAY(),"Em Aberto",IF(Tabela2[[#This Row],[D/venc]]="-","Enviado",IF(Tabela2[[#This Row],[Dt Venc:]]=TODAY(),"Vence Hoje","Vencida")))</f>
        <v>Enviado</v>
      </c>
      <c r="F2288" s="3" t="str">
        <f ca="1">IF(G2288=1,"-",Tabela2[[#This Row],[Dt Venc:]]-TODAY())</f>
        <v>-</v>
      </c>
      <c r="G2288" s="3">
        <v>1</v>
      </c>
      <c r="H2288" s="3"/>
    </row>
    <row r="2289" spans="1:8" hidden="1">
      <c r="A2289" s="3">
        <v>221100</v>
      </c>
      <c r="B2289" s="7" t="s">
        <v>39</v>
      </c>
      <c r="C2289" s="42">
        <v>632.15</v>
      </c>
      <c r="D2289" s="6">
        <v>45620</v>
      </c>
      <c r="E2289" s="3" t="str">
        <f ca="1">IF(Tabela2[[#This Row],[Dt Venc:]]&gt;TODAY(),"Em Aberto",IF(Tabela2[[#This Row],[D/venc]]="-","Enviado",IF(Tabela2[[#This Row],[Dt Venc:]]=TODAY(),"Vence Hoje","Vencida")))</f>
        <v>Enviado</v>
      </c>
      <c r="F2289" s="3" t="str">
        <f ca="1">IF(G2289=1,"-",Tabela2[[#This Row],[Dt Venc:]]-TODAY())</f>
        <v>-</v>
      </c>
      <c r="G2289" s="3">
        <v>1</v>
      </c>
      <c r="H2289" s="3"/>
    </row>
    <row r="2290" spans="1:8" hidden="1">
      <c r="A2290" s="3">
        <v>5920</v>
      </c>
      <c r="B2290" s="7" t="s">
        <v>47</v>
      </c>
      <c r="C2290" s="42">
        <v>1472.26</v>
      </c>
      <c r="D2290" s="6">
        <v>45620</v>
      </c>
      <c r="E2290" s="3" t="str">
        <f ca="1">IF(Tabela2[[#This Row],[Dt Venc:]]&gt;TODAY(),"Em Aberto",IF(Tabela2[[#This Row],[D/venc]]="-","Enviado",IF(Tabela2[[#This Row],[Dt Venc:]]=TODAY(),"Vence Hoje","Vencida")))</f>
        <v>Enviado</v>
      </c>
      <c r="F2290" s="3" t="str">
        <f ca="1">IF(G2290=1,"-",Tabela2[[#This Row],[Dt Venc:]]-TODAY())</f>
        <v>-</v>
      </c>
      <c r="G2290" s="3">
        <v>1</v>
      </c>
      <c r="H2290" s="3"/>
    </row>
    <row r="2291" spans="1:8" hidden="1">
      <c r="A2291" s="3">
        <v>10941</v>
      </c>
      <c r="B2291" s="7" t="s">
        <v>33</v>
      </c>
      <c r="C2291" s="42">
        <v>800</v>
      </c>
      <c r="D2291" s="6">
        <v>45620</v>
      </c>
      <c r="E2291" s="3" t="str">
        <f ca="1">IF(Tabela2[[#This Row],[Dt Venc:]]&gt;TODAY(),"Em Aberto",IF(Tabela2[[#This Row],[D/venc]]="-","Enviado",IF(Tabela2[[#This Row],[Dt Venc:]]=TODAY(),"Vence Hoje","Vencida")))</f>
        <v>Enviado</v>
      </c>
      <c r="F2291" s="3" t="str">
        <f ca="1">IF(G2291=1,"-",Tabela2[[#This Row],[Dt Venc:]]-TODAY())</f>
        <v>-</v>
      </c>
      <c r="G2291" s="3">
        <v>1</v>
      </c>
      <c r="H2291" s="3"/>
    </row>
    <row r="2292" spans="1:8" hidden="1">
      <c r="A2292" s="3">
        <v>326146</v>
      </c>
      <c r="B2292" s="7" t="s">
        <v>348</v>
      </c>
      <c r="C2292" s="42">
        <v>405</v>
      </c>
      <c r="D2292" s="6">
        <v>45620</v>
      </c>
      <c r="E2292" s="3" t="str">
        <f ca="1">IF(Tabela2[[#This Row],[Dt Venc:]]&gt;TODAY(),"Em Aberto",IF(Tabela2[[#This Row],[D/venc]]="-","Enviado",IF(Tabela2[[#This Row],[Dt Venc:]]=TODAY(),"Vence Hoje","Vencida")))</f>
        <v>Enviado</v>
      </c>
      <c r="F2292" s="3" t="str">
        <f ca="1">IF(G2292=1,"-",Tabela2[[#This Row],[Dt Venc:]]-TODAY())</f>
        <v>-</v>
      </c>
      <c r="G2292" s="3">
        <v>1</v>
      </c>
      <c r="H2292" s="3"/>
    </row>
    <row r="2293" spans="1:8" hidden="1">
      <c r="A2293" s="3">
        <v>153098</v>
      </c>
      <c r="B2293" s="7" t="s">
        <v>348</v>
      </c>
      <c r="C2293" s="42">
        <v>1233.33</v>
      </c>
      <c r="D2293" s="6">
        <v>45620</v>
      </c>
      <c r="E2293" s="3" t="str">
        <f ca="1">IF(Tabela2[[#This Row],[Dt Venc:]]&gt;TODAY(),"Em Aberto",IF(Tabela2[[#This Row],[D/venc]]="-","Enviado",IF(Tabela2[[#This Row],[Dt Venc:]]=TODAY(),"Vence Hoje","Vencida")))</f>
        <v>Enviado</v>
      </c>
      <c r="F2293" s="3" t="str">
        <f ca="1">IF(G2293=1,"-",Tabela2[[#This Row],[Dt Venc:]]-TODAY())</f>
        <v>-</v>
      </c>
      <c r="G2293" s="3">
        <v>1</v>
      </c>
      <c r="H2293" s="3"/>
    </row>
    <row r="2294" spans="1:8" hidden="1">
      <c r="A2294" s="3">
        <v>10940</v>
      </c>
      <c r="B2294" s="7" t="s">
        <v>174</v>
      </c>
      <c r="C2294" s="42">
        <v>440</v>
      </c>
      <c r="D2294" s="6">
        <v>45620</v>
      </c>
      <c r="E2294" s="3" t="str">
        <f ca="1">IF(Tabela2[[#This Row],[Dt Venc:]]&gt;TODAY(),"Em Aberto",IF(Tabela2[[#This Row],[D/venc]]="-","Enviado",IF(Tabela2[[#This Row],[Dt Venc:]]=TODAY(),"Vence Hoje","Vencida")))</f>
        <v>Enviado</v>
      </c>
      <c r="F2294" s="3" t="str">
        <f ca="1">IF(G2294=1,"-",Tabela2[[#This Row],[Dt Venc:]]-TODAY())</f>
        <v>-</v>
      </c>
      <c r="G2294" s="3">
        <v>1</v>
      </c>
      <c r="H2294" s="3"/>
    </row>
    <row r="2295" spans="1:8" hidden="1">
      <c r="A2295" s="3">
        <v>427355</v>
      </c>
      <c r="B2295" s="7" t="s">
        <v>89</v>
      </c>
      <c r="C2295" s="41">
        <v>3062</v>
      </c>
      <c r="D2295" s="6">
        <v>45620</v>
      </c>
      <c r="E2295" s="3" t="str">
        <f ca="1">IF(Tabela2[[#This Row],[Dt Venc:]]&gt;TODAY(),"Em Aberto",IF(Tabela2[[#This Row],[D/venc]]="-","Enviado",IF(Tabela2[[#This Row],[Dt Venc:]]=TODAY(),"Vence Hoje","Vencida")))</f>
        <v>Enviado</v>
      </c>
      <c r="F2295" s="3" t="str">
        <f ca="1">IF(G2295=1,"-",Tabela2[[#This Row],[Dt Venc:]]-TODAY())</f>
        <v>-</v>
      </c>
      <c r="G2295" s="3">
        <v>1</v>
      </c>
      <c r="H2295" s="3"/>
    </row>
    <row r="2296" spans="1:8" hidden="1">
      <c r="A2296" s="3">
        <v>1531</v>
      </c>
      <c r="B2296" s="7" t="s">
        <v>258</v>
      </c>
      <c r="C2296" s="41">
        <v>983.33</v>
      </c>
      <c r="D2296" s="6">
        <v>45620</v>
      </c>
      <c r="E2296" s="3" t="str">
        <f ca="1">IF(Tabela2[[#This Row],[Dt Venc:]]&gt;TODAY(),"Em Aberto",IF(Tabela2[[#This Row],[D/venc]]="-","Enviado",IF(Tabela2[[#This Row],[Dt Venc:]]=TODAY(),"Vence Hoje","Vencida")))</f>
        <v>Enviado</v>
      </c>
      <c r="F2296" s="3" t="str">
        <f ca="1">IF(G2296=1,"-",Tabela2[[#This Row],[Dt Venc:]]-TODAY())</f>
        <v>-</v>
      </c>
      <c r="G2296" s="3">
        <v>1</v>
      </c>
      <c r="H2296" s="3"/>
    </row>
    <row r="2297" spans="1:8" hidden="1">
      <c r="A2297" s="3">
        <v>239071</v>
      </c>
      <c r="B2297" s="7" t="s">
        <v>464</v>
      </c>
      <c r="C2297" s="41">
        <v>13290.42</v>
      </c>
      <c r="D2297" s="6">
        <v>45620</v>
      </c>
      <c r="E2297" s="3" t="str">
        <f ca="1">IF(Tabela2[[#This Row],[Dt Venc:]]&gt;TODAY(),"Em Aberto",IF(Tabela2[[#This Row],[D/venc]]="-","Enviado",IF(Tabela2[[#This Row],[Dt Venc:]]=TODAY(),"Vence Hoje","Vencida")))</f>
        <v>Enviado</v>
      </c>
      <c r="F2297" s="3" t="str">
        <f ca="1">IF(G2297=1,"-",Tabela2[[#This Row],[Dt Venc:]]-TODAY())</f>
        <v>-</v>
      </c>
      <c r="G2297" s="3">
        <v>1</v>
      </c>
      <c r="H2297" s="3"/>
    </row>
    <row r="2298" spans="1:8" hidden="1">
      <c r="A2298" s="3">
        <v>61453</v>
      </c>
      <c r="B2298" s="7" t="s">
        <v>465</v>
      </c>
      <c r="C2298" s="41">
        <v>2139.75</v>
      </c>
      <c r="D2298" s="6">
        <v>45620</v>
      </c>
      <c r="E2298" s="3" t="str">
        <f ca="1">IF(Tabela2[[#This Row],[Dt Venc:]]&gt;TODAY(),"Em Aberto",IF(Tabela2[[#This Row],[D/venc]]="-","Enviado",IF(Tabela2[[#This Row],[Dt Venc:]]=TODAY(),"Vence Hoje","Vencida")))</f>
        <v>Enviado</v>
      </c>
      <c r="F2298" s="3" t="str">
        <f ca="1">IF(G2298=1,"-",Tabela2[[#This Row],[Dt Venc:]]-TODAY())</f>
        <v>-</v>
      </c>
      <c r="G2298" s="3">
        <v>1</v>
      </c>
      <c r="H2298" s="3"/>
    </row>
    <row r="2299" spans="1:8" hidden="1">
      <c r="A2299" s="3">
        <v>2854</v>
      </c>
      <c r="B2299" s="7" t="s">
        <v>301</v>
      </c>
      <c r="C2299" s="41">
        <v>1300</v>
      </c>
      <c r="D2299" s="6">
        <v>45620</v>
      </c>
      <c r="E2299" s="3" t="str">
        <f ca="1">IF(Tabela2[[#This Row],[Dt Venc:]]&gt;TODAY(),"Em Aberto",IF(Tabela2[[#This Row],[D/venc]]="-","Enviado",IF(Tabela2[[#This Row],[Dt Venc:]]=TODAY(),"Vence Hoje","Vencida")))</f>
        <v>Enviado</v>
      </c>
      <c r="F2299" s="3" t="str">
        <f ca="1">IF(G2299=1,"-",Tabela2[[#This Row],[Dt Venc:]]-TODAY())</f>
        <v>-</v>
      </c>
      <c r="G2299" s="3">
        <v>1</v>
      </c>
      <c r="H2299" s="3"/>
    </row>
    <row r="2300" spans="1:8" hidden="1">
      <c r="A2300" s="3">
        <v>44248</v>
      </c>
      <c r="B2300" s="7" t="s">
        <v>439</v>
      </c>
      <c r="C2300" s="41">
        <v>746.63</v>
      </c>
      <c r="D2300" s="6">
        <v>45620</v>
      </c>
      <c r="E2300" s="3" t="str">
        <f ca="1">IF(Tabela2[[#This Row],[Dt Venc:]]&gt;TODAY(),"Em Aberto",IF(Tabela2[[#This Row],[D/venc]]="-","Enviado",IF(Tabela2[[#This Row],[Dt Venc:]]=TODAY(),"Vence Hoje","Vencida")))</f>
        <v>Enviado</v>
      </c>
      <c r="F2300" s="3" t="str">
        <f ca="1">IF(G2300=1,"-",Tabela2[[#This Row],[Dt Venc:]]-TODAY())</f>
        <v>-</v>
      </c>
      <c r="G2300" s="3">
        <v>1</v>
      </c>
      <c r="H2300" s="3"/>
    </row>
    <row r="2301" spans="1:8" hidden="1">
      <c r="A2301" s="3">
        <v>1218</v>
      </c>
      <c r="B2301" s="7" t="s">
        <v>466</v>
      </c>
      <c r="C2301" s="41">
        <v>2990</v>
      </c>
      <c r="D2301" s="6">
        <v>45620</v>
      </c>
      <c r="E2301" s="3" t="str">
        <f ca="1">IF(Tabela2[[#This Row],[Dt Venc:]]&gt;TODAY(),"Em Aberto",IF(Tabela2[[#This Row],[D/venc]]="-","Enviado",IF(Tabela2[[#This Row],[Dt Venc:]]=TODAY(),"Vence Hoje","Vencida")))</f>
        <v>Enviado</v>
      </c>
      <c r="F2301" s="3" t="str">
        <f ca="1">IF(G2301=1,"-",Tabela2[[#This Row],[Dt Venc:]]-TODAY())</f>
        <v>-</v>
      </c>
      <c r="G2301" s="3">
        <v>1</v>
      </c>
      <c r="H2301" s="3"/>
    </row>
    <row r="2302" spans="1:8" hidden="1">
      <c r="A2302" s="3">
        <v>677</v>
      </c>
      <c r="B2302" s="7" t="s">
        <v>466</v>
      </c>
      <c r="C2302" s="41">
        <v>2965</v>
      </c>
      <c r="D2302" s="6">
        <v>45620</v>
      </c>
      <c r="E2302" s="3" t="str">
        <f ca="1">IF(Tabela2[[#This Row],[Dt Venc:]]&gt;TODAY(),"Em Aberto",IF(Tabela2[[#This Row],[D/venc]]="-","Enviado",IF(Tabela2[[#This Row],[Dt Venc:]]=TODAY(),"Vence Hoje","Vencida")))</f>
        <v>Enviado</v>
      </c>
      <c r="F2302" s="3" t="str">
        <f ca="1">IF(G2302=1,"-",Tabela2[[#This Row],[Dt Venc:]]-TODAY())</f>
        <v>-</v>
      </c>
      <c r="G2302" s="3">
        <v>1</v>
      </c>
      <c r="H2302" s="3"/>
    </row>
    <row r="2303" spans="1:8" hidden="1">
      <c r="A2303" s="3">
        <v>3308859</v>
      </c>
      <c r="B2303" s="7" t="s">
        <v>71</v>
      </c>
      <c r="C2303" s="41">
        <v>54042</v>
      </c>
      <c r="D2303" s="6">
        <v>45620</v>
      </c>
      <c r="E2303" s="3" t="str">
        <f ca="1">IF(Tabela2[[#This Row],[Dt Venc:]]&gt;TODAY(),"Em Aberto",IF(Tabela2[[#This Row],[D/venc]]="-","Enviado",IF(Tabela2[[#This Row],[Dt Venc:]]=TODAY(),"Vence Hoje","Vencida")))</f>
        <v>Enviado</v>
      </c>
      <c r="F2303" s="3" t="str">
        <f ca="1">IF(G2303=1,"-",Tabela2[[#This Row],[Dt Venc:]]-TODAY())</f>
        <v>-</v>
      </c>
      <c r="G2303" s="3">
        <v>1</v>
      </c>
      <c r="H2303" s="3"/>
    </row>
    <row r="2304" spans="1:8" hidden="1">
      <c r="A2304" s="3">
        <v>80447</v>
      </c>
      <c r="B2304" s="7" t="s">
        <v>39</v>
      </c>
      <c r="C2304" s="42">
        <v>579.16999999999996</v>
      </c>
      <c r="D2304" s="6">
        <v>45621</v>
      </c>
      <c r="E2304" s="3" t="str">
        <f ca="1">IF(Tabela2[[#This Row],[Dt Venc:]]&gt;TODAY(),"Em Aberto",IF(Tabela2[[#This Row],[D/venc]]="-","Enviado",IF(Tabela2[[#This Row],[Dt Venc:]]=TODAY(),"Vence Hoje","Vencida")))</f>
        <v>Enviado</v>
      </c>
      <c r="F2304" s="3" t="str">
        <f ca="1">IF(G2304=1,"-",Tabela2[[#This Row],[Dt Venc:]]-TODAY())</f>
        <v>-</v>
      </c>
      <c r="G2304" s="3">
        <v>1</v>
      </c>
      <c r="H2304" s="3"/>
    </row>
    <row r="2305" spans="1:8" hidden="1">
      <c r="A2305" s="3">
        <v>80449</v>
      </c>
      <c r="B2305" s="7" t="s">
        <v>39</v>
      </c>
      <c r="C2305" s="42">
        <v>656.01</v>
      </c>
      <c r="D2305" s="6">
        <v>45621</v>
      </c>
      <c r="E2305" s="3" t="str">
        <f ca="1">IF(Tabela2[[#This Row],[Dt Venc:]]&gt;TODAY(),"Em Aberto",IF(Tabela2[[#This Row],[D/venc]]="-","Enviado",IF(Tabela2[[#This Row],[Dt Venc:]]=TODAY(),"Vence Hoje","Vencida")))</f>
        <v>Enviado</v>
      </c>
      <c r="F2305" s="3" t="str">
        <f ca="1">IF(G2305=1,"-",Tabela2[[#This Row],[Dt Venc:]]-TODAY())</f>
        <v>-</v>
      </c>
      <c r="G2305" s="3">
        <v>1</v>
      </c>
      <c r="H2305" s="3"/>
    </row>
    <row r="2306" spans="1:8" hidden="1">
      <c r="A2306" s="3">
        <v>363856</v>
      </c>
      <c r="B2306" s="7" t="s">
        <v>39</v>
      </c>
      <c r="C2306" s="42">
        <v>290.41000000000003</v>
      </c>
      <c r="D2306" s="6">
        <v>45621</v>
      </c>
      <c r="E2306" s="3" t="str">
        <f ca="1">IF(Tabela2[[#This Row],[Dt Venc:]]&gt;TODAY(),"Em Aberto",IF(Tabela2[[#This Row],[D/venc]]="-","Enviado",IF(Tabela2[[#This Row],[Dt Venc:]]=TODAY(),"Vence Hoje","Vencida")))</f>
        <v>Enviado</v>
      </c>
      <c r="F2306" s="3" t="str">
        <f ca="1">IF(G2306=1,"-",Tabela2[[#This Row],[Dt Venc:]]-TODAY())</f>
        <v>-</v>
      </c>
      <c r="G2306" s="3">
        <v>1</v>
      </c>
      <c r="H2306" s="3"/>
    </row>
    <row r="2307" spans="1:8" hidden="1">
      <c r="A2307" s="3">
        <v>363861</v>
      </c>
      <c r="B2307" s="7" t="s">
        <v>39</v>
      </c>
      <c r="C2307" s="42">
        <v>361.07</v>
      </c>
      <c r="D2307" s="6">
        <v>45621</v>
      </c>
      <c r="E2307" s="3" t="str">
        <f ca="1">IF(Tabela2[[#This Row],[Dt Venc:]]&gt;TODAY(),"Em Aberto",IF(Tabela2[[#This Row],[D/venc]]="-","Enviado",IF(Tabela2[[#This Row],[Dt Venc:]]=TODAY(),"Vence Hoje","Vencida")))</f>
        <v>Enviado</v>
      </c>
      <c r="F2307" s="3" t="str">
        <f ca="1">IF(G2307=1,"-",Tabela2[[#This Row],[Dt Venc:]]-TODAY())</f>
        <v>-</v>
      </c>
      <c r="G2307" s="3">
        <v>1</v>
      </c>
      <c r="H2307" s="3"/>
    </row>
    <row r="2308" spans="1:8" hidden="1">
      <c r="A2308" s="3">
        <v>28490</v>
      </c>
      <c r="B2308" s="7" t="s">
        <v>97</v>
      </c>
      <c r="C2308" s="42">
        <v>1875</v>
      </c>
      <c r="D2308" s="6">
        <v>45621</v>
      </c>
      <c r="E2308" s="3" t="str">
        <f ca="1">IF(Tabela2[[#This Row],[Dt Venc:]]&gt;TODAY(),"Em Aberto",IF(Tabela2[[#This Row],[D/venc]]="-","Enviado",IF(Tabela2[[#This Row],[Dt Venc:]]=TODAY(),"Vence Hoje","Vencida")))</f>
        <v>Enviado</v>
      </c>
      <c r="F2308" s="3" t="str">
        <f ca="1">IF(G2308=1,"-",Tabela2[[#This Row],[Dt Venc:]]-TODAY())</f>
        <v>-</v>
      </c>
      <c r="G2308" s="3">
        <v>1</v>
      </c>
      <c r="H2308" s="3"/>
    </row>
    <row r="2309" spans="1:8" hidden="1">
      <c r="A2309" s="3">
        <v>179264</v>
      </c>
      <c r="B2309" s="7" t="s">
        <v>42</v>
      </c>
      <c r="C2309" s="42">
        <v>2640</v>
      </c>
      <c r="D2309" s="6">
        <v>45621</v>
      </c>
      <c r="E2309" s="3" t="str">
        <f ca="1">IF(Tabela2[[#This Row],[Dt Venc:]]&gt;TODAY(),"Em Aberto",IF(Tabela2[[#This Row],[D/venc]]="-","Enviado",IF(Tabela2[[#This Row],[Dt Venc:]]=TODAY(),"Vence Hoje","Vencida")))</f>
        <v>Enviado</v>
      </c>
      <c r="F2309" s="3" t="str">
        <f ca="1">IF(G2309=1,"-",Tabela2[[#This Row],[Dt Venc:]]-TODAY())</f>
        <v>-</v>
      </c>
      <c r="G2309" s="3">
        <v>1</v>
      </c>
      <c r="H2309" s="3"/>
    </row>
    <row r="2310" spans="1:8" hidden="1">
      <c r="A2310" s="3">
        <v>1088</v>
      </c>
      <c r="B2310" s="7" t="s">
        <v>355</v>
      </c>
      <c r="C2310" s="42">
        <v>560</v>
      </c>
      <c r="D2310" s="6">
        <v>45621</v>
      </c>
      <c r="E2310" s="3" t="str">
        <f ca="1">IF(Tabela2[[#This Row],[Dt Venc:]]&gt;TODAY(),"Em Aberto",IF(Tabela2[[#This Row],[D/venc]]="-","Enviado",IF(Tabela2[[#This Row],[Dt Venc:]]=TODAY(),"Vence Hoje","Vencida")))</f>
        <v>Enviado</v>
      </c>
      <c r="F2310" s="3" t="str">
        <f ca="1">IF(G2310=1,"-",Tabela2[[#This Row],[Dt Venc:]]-TODAY())</f>
        <v>-</v>
      </c>
      <c r="G2310" s="3">
        <v>1</v>
      </c>
      <c r="H2310" s="3"/>
    </row>
    <row r="2311" spans="1:8" hidden="1">
      <c r="A2311" s="3">
        <v>324353</v>
      </c>
      <c r="B2311" s="7" t="s">
        <v>77</v>
      </c>
      <c r="C2311" s="42">
        <v>408.67</v>
      </c>
      <c r="D2311" s="6">
        <v>45621</v>
      </c>
      <c r="E2311" s="3" t="str">
        <f ca="1">IF(Tabela2[[#This Row],[Dt Venc:]]&gt;TODAY(),"Em Aberto",IF(Tabela2[[#This Row],[D/venc]]="-","Enviado",IF(Tabela2[[#This Row],[Dt Venc:]]=TODAY(),"Vence Hoje","Vencida")))</f>
        <v>Enviado</v>
      </c>
      <c r="F2311" s="3" t="str">
        <f ca="1">IF(G2311=1,"-",Tabela2[[#This Row],[Dt Venc:]]-TODAY())</f>
        <v>-</v>
      </c>
      <c r="G2311" s="3">
        <v>1</v>
      </c>
      <c r="H2311" s="3"/>
    </row>
    <row r="2312" spans="1:8" hidden="1">
      <c r="A2312" s="3">
        <v>2696</v>
      </c>
      <c r="B2312" s="7" t="s">
        <v>58</v>
      </c>
      <c r="C2312" s="42">
        <v>1592</v>
      </c>
      <c r="D2312" s="6">
        <v>45621</v>
      </c>
      <c r="E2312" s="3" t="str">
        <f ca="1">IF(Tabela2[[#This Row],[Dt Venc:]]&gt;TODAY(),"Em Aberto",IF(Tabela2[[#This Row],[D/venc]]="-","Enviado",IF(Tabela2[[#This Row],[Dt Venc:]]=TODAY(),"Vence Hoje","Vencida")))</f>
        <v>Enviado</v>
      </c>
      <c r="F2312" s="3" t="str">
        <f ca="1">IF(G2312=1,"-",Tabela2[[#This Row],[Dt Venc:]]-TODAY())</f>
        <v>-</v>
      </c>
      <c r="G2312" s="3">
        <v>1</v>
      </c>
      <c r="H2312" s="3"/>
    </row>
    <row r="2313" spans="1:8" hidden="1">
      <c r="A2313" s="3">
        <v>300476</v>
      </c>
      <c r="B2313" s="7" t="s">
        <v>53</v>
      </c>
      <c r="C2313" s="42">
        <v>1228.94</v>
      </c>
      <c r="D2313" s="6">
        <v>45621</v>
      </c>
      <c r="E2313" s="3" t="str">
        <f ca="1">IF(Tabela2[[#This Row],[Dt Venc:]]&gt;TODAY(),"Em Aberto",IF(Tabela2[[#This Row],[D/venc]]="-","Enviado",IF(Tabela2[[#This Row],[Dt Venc:]]=TODAY(),"Vence Hoje","Vencida")))</f>
        <v>Enviado</v>
      </c>
      <c r="F2313" s="3" t="str">
        <f ca="1">IF(G2313=1,"-",Tabela2[[#This Row],[Dt Venc:]]-TODAY())</f>
        <v>-</v>
      </c>
      <c r="G2313" s="3">
        <v>1</v>
      </c>
      <c r="H2313" s="3"/>
    </row>
    <row r="2314" spans="1:8" hidden="1">
      <c r="A2314" s="3">
        <v>368733</v>
      </c>
      <c r="B2314" s="7" t="s">
        <v>39</v>
      </c>
      <c r="C2314" s="42">
        <v>311.04000000000002</v>
      </c>
      <c r="D2314" s="6">
        <v>45621</v>
      </c>
      <c r="E2314" s="3" t="str">
        <f ca="1">IF(Tabela2[[#This Row],[Dt Venc:]]&gt;TODAY(),"Em Aberto",IF(Tabela2[[#This Row],[D/venc]]="-","Enviado",IF(Tabela2[[#This Row],[Dt Venc:]]=TODAY(),"Vence Hoje","Vencida")))</f>
        <v>Enviado</v>
      </c>
      <c r="F2314" s="3" t="str">
        <f ca="1">IF(G2314=1,"-",Tabela2[[#This Row],[Dt Venc:]]-TODAY())</f>
        <v>-</v>
      </c>
      <c r="G2314" s="3">
        <v>1</v>
      </c>
      <c r="H2314" s="3"/>
    </row>
    <row r="2315" spans="1:8" hidden="1">
      <c r="A2315" s="3">
        <v>368662</v>
      </c>
      <c r="B2315" s="7" t="s">
        <v>39</v>
      </c>
      <c r="C2315" s="42">
        <v>539.05999999999995</v>
      </c>
      <c r="D2315" s="6">
        <v>45621</v>
      </c>
      <c r="E2315" s="3" t="str">
        <f ca="1">IF(Tabela2[[#This Row],[Dt Venc:]]&gt;TODAY(),"Em Aberto",IF(Tabela2[[#This Row],[D/venc]]="-","Enviado",IF(Tabela2[[#This Row],[Dt Venc:]]=TODAY(),"Vence Hoje","Vencida")))</f>
        <v>Enviado</v>
      </c>
      <c r="F2315" s="3" t="str">
        <f ca="1">IF(G2315=1,"-",Tabela2[[#This Row],[Dt Venc:]]-TODAY())</f>
        <v>-</v>
      </c>
      <c r="G2315" s="3">
        <v>1</v>
      </c>
      <c r="H2315" s="3"/>
    </row>
    <row r="2316" spans="1:8" hidden="1">
      <c r="A2316" s="3">
        <v>19082</v>
      </c>
      <c r="B2316" s="7" t="s">
        <v>367</v>
      </c>
      <c r="C2316" s="42">
        <v>835</v>
      </c>
      <c r="D2316" s="6">
        <v>45621</v>
      </c>
      <c r="E2316" s="3" t="str">
        <f ca="1">IF(Tabela2[[#This Row],[Dt Venc:]]&gt;TODAY(),"Em Aberto",IF(Tabela2[[#This Row],[D/venc]]="-","Enviado",IF(Tabela2[[#This Row],[Dt Venc:]]=TODAY(),"Vence Hoje","Vencida")))</f>
        <v>Enviado</v>
      </c>
      <c r="F2316" s="3" t="str">
        <f ca="1">IF(G2316=1,"-",Tabela2[[#This Row],[Dt Venc:]]-TODAY())</f>
        <v>-</v>
      </c>
      <c r="G2316" s="3">
        <v>1</v>
      </c>
      <c r="H2316" s="3"/>
    </row>
    <row r="2317" spans="1:8" hidden="1">
      <c r="A2317" s="3">
        <v>56583</v>
      </c>
      <c r="B2317" s="7" t="s">
        <v>327</v>
      </c>
      <c r="C2317" s="42">
        <v>497</v>
      </c>
      <c r="D2317" s="6">
        <v>45621</v>
      </c>
      <c r="E2317" s="3" t="str">
        <f ca="1">IF(Tabela2[[#This Row],[Dt Venc:]]&gt;TODAY(),"Em Aberto",IF(Tabela2[[#This Row],[D/venc]]="-","Enviado",IF(Tabela2[[#This Row],[Dt Venc:]]=TODAY(),"Vence Hoje","Vencida")))</f>
        <v>Enviado</v>
      </c>
      <c r="F2317" s="3" t="str">
        <f ca="1">IF(G2317=1,"-",Tabela2[[#This Row],[Dt Venc:]]-TODAY())</f>
        <v>-</v>
      </c>
      <c r="G2317" s="3">
        <v>1</v>
      </c>
      <c r="H2317" s="3"/>
    </row>
    <row r="2318" spans="1:8" hidden="1">
      <c r="A2318" s="3">
        <v>181388</v>
      </c>
      <c r="B2318" s="7" t="s">
        <v>84</v>
      </c>
      <c r="C2318" s="42">
        <v>685.11</v>
      </c>
      <c r="D2318" s="6">
        <v>45621</v>
      </c>
      <c r="E2318" s="3" t="str">
        <f ca="1">IF(Tabela2[[#This Row],[Dt Venc:]]&gt;TODAY(),"Em Aberto",IF(Tabela2[[#This Row],[D/venc]]="-","Enviado",IF(Tabela2[[#This Row],[Dt Venc:]]=TODAY(),"Vence Hoje","Vencida")))</f>
        <v>Enviado</v>
      </c>
      <c r="F2318" s="3" t="str">
        <f ca="1">IF(G2318=1,"-",Tabela2[[#This Row],[Dt Venc:]]-TODAY())</f>
        <v>-</v>
      </c>
      <c r="G2318" s="3">
        <v>1</v>
      </c>
      <c r="H2318" s="3"/>
    </row>
    <row r="2319" spans="1:8" hidden="1">
      <c r="A2319" s="3">
        <v>425394</v>
      </c>
      <c r="B2319" s="7" t="s">
        <v>89</v>
      </c>
      <c r="C2319" s="42">
        <v>1260</v>
      </c>
      <c r="D2319" s="6">
        <v>45621</v>
      </c>
      <c r="E2319" s="3" t="str">
        <f ca="1">IF(Tabela2[[#This Row],[Dt Venc:]]&gt;TODAY(),"Em Aberto",IF(Tabela2[[#This Row],[D/venc]]="-","Enviado",IF(Tabela2[[#This Row],[Dt Venc:]]=TODAY(),"Vence Hoje","Vencida")))</f>
        <v>Enviado</v>
      </c>
      <c r="F2319" s="3" t="str">
        <f ca="1">IF(G2319=1,"-",Tabela2[[#This Row],[Dt Venc:]]-TODAY())</f>
        <v>-</v>
      </c>
      <c r="G2319" s="3">
        <v>1</v>
      </c>
      <c r="H2319" s="3"/>
    </row>
    <row r="2320" spans="1:8" hidden="1">
      <c r="A2320" s="3">
        <v>71109</v>
      </c>
      <c r="B2320" s="7" t="s">
        <v>76</v>
      </c>
      <c r="C2320" s="42">
        <v>1716.65</v>
      </c>
      <c r="D2320" s="6">
        <v>45621</v>
      </c>
      <c r="E2320" s="3" t="str">
        <f ca="1">IF(Tabela2[[#This Row],[Dt Venc:]]&gt;TODAY(),"Em Aberto",IF(Tabela2[[#This Row],[D/venc]]="-","Enviado",IF(Tabela2[[#This Row],[Dt Venc:]]=TODAY(),"Vence Hoje","Vencida")))</f>
        <v>Enviado</v>
      </c>
      <c r="F2320" s="3" t="str">
        <f ca="1">IF(G2320=1,"-",Tabela2[[#This Row],[Dt Venc:]]-TODAY())</f>
        <v>-</v>
      </c>
      <c r="G2320" s="3">
        <v>1</v>
      </c>
      <c r="H2320" s="3"/>
    </row>
    <row r="2321" spans="1:8" hidden="1">
      <c r="A2321" s="3">
        <v>37198</v>
      </c>
      <c r="B2321" s="7" t="s">
        <v>70</v>
      </c>
      <c r="C2321" s="42">
        <v>170.5</v>
      </c>
      <c r="D2321" s="6">
        <v>45621</v>
      </c>
      <c r="E2321" s="3" t="str">
        <f ca="1">IF(Tabela2[[#This Row],[Dt Venc:]]&gt;TODAY(),"Em Aberto",IF(Tabela2[[#This Row],[D/venc]]="-","Enviado",IF(Tabela2[[#This Row],[Dt Venc:]]=TODAY(),"Vence Hoje","Vencida")))</f>
        <v>Enviado</v>
      </c>
      <c r="F2321" s="3" t="str">
        <f ca="1">IF(G2321=1,"-",Tabela2[[#This Row],[Dt Venc:]]-TODAY())</f>
        <v>-</v>
      </c>
      <c r="G2321" s="3">
        <v>1</v>
      </c>
      <c r="H2321" s="3"/>
    </row>
    <row r="2322" spans="1:8" hidden="1">
      <c r="A2322" s="3">
        <v>28842</v>
      </c>
      <c r="B2322" s="7" t="s">
        <v>70</v>
      </c>
      <c r="C2322" s="42">
        <v>187.4</v>
      </c>
      <c r="D2322" s="6">
        <v>45621</v>
      </c>
      <c r="E2322" s="3" t="str">
        <f ca="1">IF(Tabela2[[#This Row],[Dt Venc:]]&gt;TODAY(),"Em Aberto",IF(Tabela2[[#This Row],[D/venc]]="-","Enviado",IF(Tabela2[[#This Row],[Dt Venc:]]=TODAY(),"Vence Hoje","Vencida")))</f>
        <v>Enviado</v>
      </c>
      <c r="F2322" s="3" t="str">
        <f ca="1">IF(G2322=1,"-",Tabela2[[#This Row],[Dt Venc:]]-TODAY())</f>
        <v>-</v>
      </c>
      <c r="G2322" s="3">
        <v>1</v>
      </c>
      <c r="H2322" s="3"/>
    </row>
    <row r="2323" spans="1:8" hidden="1">
      <c r="A2323" s="3">
        <v>71134</v>
      </c>
      <c r="B2323" s="7" t="s">
        <v>76</v>
      </c>
      <c r="C2323" s="42">
        <v>381.54</v>
      </c>
      <c r="D2323" s="6">
        <v>45621</v>
      </c>
      <c r="E2323" s="3" t="str">
        <f ca="1">IF(Tabela2[[#This Row],[Dt Venc:]]&gt;TODAY(),"Em Aberto",IF(Tabela2[[#This Row],[D/venc]]="-","Enviado",IF(Tabela2[[#This Row],[Dt Venc:]]=TODAY(),"Vence Hoje","Vencida")))</f>
        <v>Enviado</v>
      </c>
      <c r="F2323" s="3" t="str">
        <f ca="1">IF(G2323=1,"-",Tabela2[[#This Row],[Dt Venc:]]-TODAY())</f>
        <v>-</v>
      </c>
      <c r="G2323" s="3">
        <v>1</v>
      </c>
      <c r="H2323" s="3"/>
    </row>
    <row r="2324" spans="1:8" hidden="1">
      <c r="A2324" s="3">
        <v>5861</v>
      </c>
      <c r="B2324" s="7" t="s">
        <v>140</v>
      </c>
      <c r="C2324" s="42">
        <v>1039.33</v>
      </c>
      <c r="D2324" s="6">
        <v>45621</v>
      </c>
      <c r="E2324" s="3" t="str">
        <f ca="1">IF(Tabela2[[#This Row],[Dt Venc:]]&gt;TODAY(),"Em Aberto",IF(Tabela2[[#This Row],[D/venc]]="-","Enviado",IF(Tabela2[[#This Row],[Dt Venc:]]=TODAY(),"Vence Hoje","Vencida")))</f>
        <v>Enviado</v>
      </c>
      <c r="F2324" s="3" t="str">
        <f ca="1">IF(G2324=1,"-",Tabela2[[#This Row],[Dt Venc:]]-TODAY())</f>
        <v>-</v>
      </c>
      <c r="G2324" s="3">
        <v>1</v>
      </c>
      <c r="H2324" s="3"/>
    </row>
    <row r="2325" spans="1:8" hidden="1">
      <c r="A2325" s="3">
        <v>27695</v>
      </c>
      <c r="B2325" s="7" t="s">
        <v>70</v>
      </c>
      <c r="C2325" s="42">
        <v>1066.4000000000001</v>
      </c>
      <c r="D2325" s="6">
        <v>45621</v>
      </c>
      <c r="E2325" s="3" t="str">
        <f ca="1">IF(Tabela2[[#This Row],[Dt Venc:]]&gt;TODAY(),"Em Aberto",IF(Tabela2[[#This Row],[D/venc]]="-","Enviado",IF(Tabela2[[#This Row],[Dt Venc:]]=TODAY(),"Vence Hoje","Vencida")))</f>
        <v>Enviado</v>
      </c>
      <c r="F2325" s="3" t="str">
        <f ca="1">IF(G2325=1,"-",Tabela2[[#This Row],[Dt Venc:]]-TODAY())</f>
        <v>-</v>
      </c>
      <c r="G2325" s="3">
        <v>1</v>
      </c>
      <c r="H2325" s="3"/>
    </row>
    <row r="2326" spans="1:8" hidden="1">
      <c r="A2326" s="3">
        <v>368700</v>
      </c>
      <c r="B2326" s="7" t="s">
        <v>39</v>
      </c>
      <c r="C2326" s="42">
        <v>1287.3900000000001</v>
      </c>
      <c r="D2326" s="6">
        <v>45621</v>
      </c>
      <c r="E2326" s="3" t="str">
        <f ca="1">IF(Tabela2[[#This Row],[Dt Venc:]]&gt;TODAY(),"Em Aberto",IF(Tabela2[[#This Row],[D/venc]]="-","Enviado",IF(Tabela2[[#This Row],[Dt Venc:]]=TODAY(),"Vence Hoje","Vencida")))</f>
        <v>Enviado</v>
      </c>
      <c r="F2326" s="3" t="str">
        <f ca="1">IF(G2326=1,"-",Tabela2[[#This Row],[Dt Venc:]]-TODAY())</f>
        <v>-</v>
      </c>
      <c r="G2326" s="3">
        <v>1</v>
      </c>
      <c r="H2326" s="3"/>
    </row>
    <row r="2327" spans="1:8" hidden="1">
      <c r="A2327" s="3">
        <v>232217</v>
      </c>
      <c r="B2327" s="7" t="s">
        <v>43</v>
      </c>
      <c r="C2327" s="42">
        <v>599.83000000000004</v>
      </c>
      <c r="D2327" s="6">
        <v>45621</v>
      </c>
      <c r="E2327" s="3" t="str">
        <f ca="1">IF(Tabela2[[#This Row],[Dt Venc:]]&gt;TODAY(),"Em Aberto",IF(Tabela2[[#This Row],[D/venc]]="-","Enviado",IF(Tabela2[[#This Row],[Dt Venc:]]=TODAY(),"Vence Hoje","Vencida")))</f>
        <v>Enviado</v>
      </c>
      <c r="F2327" s="3" t="str">
        <f ca="1">IF(G2327=1,"-",Tabela2[[#This Row],[Dt Venc:]]-TODAY())</f>
        <v>-</v>
      </c>
      <c r="G2327" s="3">
        <v>1</v>
      </c>
      <c r="H2327" s="3"/>
    </row>
    <row r="2328" spans="1:8" hidden="1">
      <c r="A2328" s="3">
        <v>1540</v>
      </c>
      <c r="B2328" s="7" t="s">
        <v>78</v>
      </c>
      <c r="C2328" s="42">
        <v>644.79999999999995</v>
      </c>
      <c r="D2328" s="6">
        <v>45621</v>
      </c>
      <c r="E2328" s="3" t="str">
        <f ca="1">IF(Tabela2[[#This Row],[Dt Venc:]]&gt;TODAY(),"Em Aberto",IF(Tabela2[[#This Row],[D/venc]]="-","Enviado",IF(Tabela2[[#This Row],[Dt Venc:]]=TODAY(),"Vence Hoje","Vencida")))</f>
        <v>Enviado</v>
      </c>
      <c r="F2328" s="3" t="str">
        <f ca="1">IF(G2328=1,"-",Tabela2[[#This Row],[Dt Venc:]]-TODAY())</f>
        <v>-</v>
      </c>
      <c r="G2328" s="3">
        <v>1</v>
      </c>
      <c r="H2328" s="3"/>
    </row>
    <row r="2329" spans="1:8" hidden="1">
      <c r="A2329" s="3">
        <v>232352</v>
      </c>
      <c r="B2329" s="7" t="s">
        <v>43</v>
      </c>
      <c r="C2329" s="42">
        <v>729.34</v>
      </c>
      <c r="D2329" s="6">
        <v>45621</v>
      </c>
      <c r="E2329" s="3" t="str">
        <f ca="1">IF(Tabela2[[#This Row],[Dt Venc:]]&gt;TODAY(),"Em Aberto",IF(Tabela2[[#This Row],[D/venc]]="-","Enviado",IF(Tabela2[[#This Row],[Dt Venc:]]=TODAY(),"Vence Hoje","Vencida")))</f>
        <v>Enviado</v>
      </c>
      <c r="F2329" s="3" t="str">
        <f ca="1">IF(G2329=1,"-",Tabela2[[#This Row],[Dt Venc:]]-TODAY())</f>
        <v>-</v>
      </c>
      <c r="G2329" s="3">
        <v>1</v>
      </c>
      <c r="H2329" s="3"/>
    </row>
    <row r="2330" spans="1:8" hidden="1">
      <c r="A2330" s="3">
        <v>370239</v>
      </c>
      <c r="B2330" s="7" t="s">
        <v>371</v>
      </c>
      <c r="C2330" s="42">
        <v>611.33000000000004</v>
      </c>
      <c r="D2330" s="6">
        <v>45621</v>
      </c>
      <c r="E2330" s="3" t="str">
        <f ca="1">IF(Tabela2[[#This Row],[Dt Venc:]]&gt;TODAY(),"Em Aberto",IF(Tabela2[[#This Row],[D/venc]]="-","Enviado",IF(Tabela2[[#This Row],[Dt Venc:]]=TODAY(),"Vence Hoje","Vencida")))</f>
        <v>Enviado</v>
      </c>
      <c r="F2330" s="3" t="str">
        <f ca="1">IF(G2330=1,"-",Tabela2[[#This Row],[Dt Venc:]]-TODAY())</f>
        <v>-</v>
      </c>
      <c r="G2330" s="3">
        <v>1</v>
      </c>
      <c r="H2330" s="3"/>
    </row>
    <row r="2331" spans="1:8" hidden="1">
      <c r="A2331" s="3">
        <v>232585</v>
      </c>
      <c r="B2331" s="7" t="s">
        <v>43</v>
      </c>
      <c r="C2331" s="42">
        <v>833.34</v>
      </c>
      <c r="D2331" s="6">
        <v>45621</v>
      </c>
      <c r="E2331" s="3" t="str">
        <f ca="1">IF(Tabela2[[#This Row],[Dt Venc:]]&gt;TODAY(),"Em Aberto",IF(Tabela2[[#This Row],[D/venc]]="-","Enviado",IF(Tabela2[[#This Row],[Dt Venc:]]=TODAY(),"Vence Hoje","Vencida")))</f>
        <v>Enviado</v>
      </c>
      <c r="F2331" s="3" t="str">
        <f ca="1">IF(G2331=1,"-",Tabela2[[#This Row],[Dt Venc:]]-TODAY())</f>
        <v>-</v>
      </c>
      <c r="G2331" s="3">
        <v>1</v>
      </c>
      <c r="H2331" s="3"/>
    </row>
    <row r="2332" spans="1:8" hidden="1">
      <c r="A2332" s="3">
        <v>1790238</v>
      </c>
      <c r="B2332" s="7" t="s">
        <v>43</v>
      </c>
      <c r="C2332" s="42">
        <v>646.66</v>
      </c>
      <c r="D2332" s="6">
        <v>45621</v>
      </c>
      <c r="E2332" s="3" t="str">
        <f ca="1">IF(Tabela2[[#This Row],[Dt Venc:]]&gt;TODAY(),"Em Aberto",IF(Tabela2[[#This Row],[D/venc]]="-","Enviado",IF(Tabela2[[#This Row],[Dt Venc:]]=TODAY(),"Vence Hoje","Vencida")))</f>
        <v>Enviado</v>
      </c>
      <c r="F2332" s="3" t="str">
        <f ca="1">IF(G2332=1,"-",Tabela2[[#This Row],[Dt Venc:]]-TODAY())</f>
        <v>-</v>
      </c>
      <c r="G2332" s="3">
        <v>1</v>
      </c>
      <c r="H2332" s="3"/>
    </row>
    <row r="2333" spans="1:8" hidden="1">
      <c r="A2333" s="3">
        <v>232210</v>
      </c>
      <c r="B2333" s="7" t="s">
        <v>43</v>
      </c>
      <c r="C2333" s="42">
        <v>1343.1</v>
      </c>
      <c r="D2333" s="6">
        <v>45621</v>
      </c>
      <c r="E2333" s="3" t="str">
        <f ca="1">IF(Tabela2[[#This Row],[Dt Venc:]]&gt;TODAY(),"Em Aberto",IF(Tabela2[[#This Row],[D/venc]]="-","Enviado",IF(Tabela2[[#This Row],[Dt Venc:]]=TODAY(),"Vence Hoje","Vencida")))</f>
        <v>Enviado</v>
      </c>
      <c r="F2333" s="3" t="str">
        <f ca="1">IF(G2333=1,"-",Tabela2[[#This Row],[Dt Venc:]]-TODAY())</f>
        <v>-</v>
      </c>
      <c r="G2333" s="3">
        <v>1</v>
      </c>
      <c r="H2333" s="3"/>
    </row>
    <row r="2334" spans="1:8" hidden="1">
      <c r="A2334" s="3">
        <v>15231</v>
      </c>
      <c r="B2334" s="7" t="s">
        <v>99</v>
      </c>
      <c r="C2334" s="42">
        <v>566.66</v>
      </c>
      <c r="D2334" s="6">
        <v>45621</v>
      </c>
      <c r="E2334" s="3" t="str">
        <f ca="1">IF(Tabela2[[#This Row],[Dt Venc:]]&gt;TODAY(),"Em Aberto",IF(Tabela2[[#This Row],[D/venc]]="-","Enviado",IF(Tabela2[[#This Row],[Dt Venc:]]=TODAY(),"Vence Hoje","Vencida")))</f>
        <v>Enviado</v>
      </c>
      <c r="F2334" s="3" t="str">
        <f ca="1">IF(G2334=1,"-",Tabela2[[#This Row],[Dt Venc:]]-TODAY())</f>
        <v>-</v>
      </c>
      <c r="G2334" s="3">
        <v>1</v>
      </c>
      <c r="H2334" s="3"/>
    </row>
    <row r="2335" spans="1:8" hidden="1">
      <c r="A2335" s="3">
        <v>57506</v>
      </c>
      <c r="B2335" s="7" t="s">
        <v>356</v>
      </c>
      <c r="C2335" s="42">
        <v>1713</v>
      </c>
      <c r="D2335" s="6">
        <v>45621</v>
      </c>
      <c r="E2335" s="3" t="str">
        <f ca="1">IF(Tabela2[[#This Row],[Dt Venc:]]&gt;TODAY(),"Em Aberto",IF(Tabela2[[#This Row],[D/venc]]="-","Enviado",IF(Tabela2[[#This Row],[Dt Venc:]]=TODAY(),"Vence Hoje","Vencida")))</f>
        <v>Enviado</v>
      </c>
      <c r="F2335" s="3" t="str">
        <f ca="1">IF(G2335=1,"-",Tabela2[[#This Row],[Dt Venc:]]-TODAY())</f>
        <v>-</v>
      </c>
      <c r="G2335" s="3">
        <v>1</v>
      </c>
      <c r="H2335" s="3"/>
    </row>
    <row r="2336" spans="1:8" hidden="1">
      <c r="A2336" s="3">
        <v>14167</v>
      </c>
      <c r="B2336" s="7" t="s">
        <v>51</v>
      </c>
      <c r="C2336" s="41">
        <v>400</v>
      </c>
      <c r="D2336" s="6">
        <v>45621</v>
      </c>
      <c r="E2336" s="3" t="str">
        <f ca="1">IF(Tabela2[[#This Row],[Dt Venc:]]&gt;TODAY(),"Em Aberto",IF(Tabela2[[#This Row],[D/venc]]="-","Enviado",IF(Tabela2[[#This Row],[Dt Venc:]]=TODAY(),"Vence Hoje","Vencida")))</f>
        <v>Enviado</v>
      </c>
      <c r="F2336" s="3" t="str">
        <f ca="1">IF(G2336=1,"-",Tabela2[[#This Row],[Dt Venc:]]-TODAY())</f>
        <v>-</v>
      </c>
      <c r="G2336" s="3">
        <v>1</v>
      </c>
      <c r="H2336" s="3"/>
    </row>
    <row r="2337" spans="1:8" hidden="1">
      <c r="A2337" s="3">
        <v>31371</v>
      </c>
      <c r="B2337" s="7" t="s">
        <v>421</v>
      </c>
      <c r="C2337" s="41">
        <v>353.47</v>
      </c>
      <c r="D2337" s="6">
        <v>45621</v>
      </c>
      <c r="E2337" s="3" t="str">
        <f ca="1">IF(Tabela2[[#This Row],[Dt Venc:]]&gt;TODAY(),"Em Aberto",IF(Tabela2[[#This Row],[D/venc]]="-","Enviado",IF(Tabela2[[#This Row],[Dt Venc:]]=TODAY(),"Vence Hoje","Vencida")))</f>
        <v>Enviado</v>
      </c>
      <c r="F2337" s="3" t="str">
        <f ca="1">IF(G2337=1,"-",Tabela2[[#This Row],[Dt Venc:]]-TODAY())</f>
        <v>-</v>
      </c>
      <c r="G2337" s="3">
        <v>1</v>
      </c>
      <c r="H2337" s="3"/>
    </row>
    <row r="2338" spans="1:8" hidden="1">
      <c r="A2338" s="3">
        <v>202760</v>
      </c>
      <c r="B2338" s="7" t="s">
        <v>200</v>
      </c>
      <c r="C2338" s="41">
        <v>246.69</v>
      </c>
      <c r="D2338" s="6">
        <v>45621</v>
      </c>
      <c r="E2338" s="3" t="str">
        <f ca="1">IF(Tabela2[[#This Row],[Dt Venc:]]&gt;TODAY(),"Em Aberto",IF(Tabela2[[#This Row],[D/venc]]="-","Enviado",IF(Tabela2[[#This Row],[Dt Venc:]]=TODAY(),"Vence Hoje","Vencida")))</f>
        <v>Enviado</v>
      </c>
      <c r="F2338" s="3" t="str">
        <f ca="1">IF(G2338=1,"-",Tabela2[[#This Row],[Dt Venc:]]-TODAY())</f>
        <v>-</v>
      </c>
      <c r="G2338" s="3">
        <v>1</v>
      </c>
      <c r="H2338" s="3"/>
    </row>
    <row r="2339" spans="1:8" hidden="1">
      <c r="A2339" s="3">
        <v>75356</v>
      </c>
      <c r="B2339" s="7" t="s">
        <v>200</v>
      </c>
      <c r="C2339" s="41">
        <v>159.97</v>
      </c>
      <c r="D2339" s="6">
        <v>45621</v>
      </c>
      <c r="E2339" s="3" t="str">
        <f ca="1">IF(Tabela2[[#This Row],[Dt Venc:]]&gt;TODAY(),"Em Aberto",IF(Tabela2[[#This Row],[D/venc]]="-","Enviado",IF(Tabela2[[#This Row],[Dt Venc:]]=TODAY(),"Vence Hoje","Vencida")))</f>
        <v>Enviado</v>
      </c>
      <c r="F2339" s="3" t="str">
        <f ca="1">IF(G2339=1,"-",Tabela2[[#This Row],[Dt Venc:]]-TODAY())</f>
        <v>-</v>
      </c>
      <c r="G2339" s="3">
        <v>1</v>
      </c>
      <c r="H2339" s="3"/>
    </row>
    <row r="2340" spans="1:8" hidden="1">
      <c r="A2340" s="3">
        <v>25604</v>
      </c>
      <c r="B2340" s="7" t="s">
        <v>394</v>
      </c>
      <c r="C2340" s="41">
        <v>370.33</v>
      </c>
      <c r="D2340" s="6">
        <v>45621</v>
      </c>
      <c r="E2340" s="3" t="str">
        <f ca="1">IF(Tabela2[[#This Row],[Dt Venc:]]&gt;TODAY(),"Em Aberto",IF(Tabela2[[#This Row],[D/venc]]="-","Enviado",IF(Tabela2[[#This Row],[Dt Venc:]]=TODAY(),"Vence Hoje","Vencida")))</f>
        <v>Enviado</v>
      </c>
      <c r="F2340" s="3" t="str">
        <f ca="1">IF(G2340=1,"-",Tabela2[[#This Row],[Dt Venc:]]-TODAY())</f>
        <v>-</v>
      </c>
      <c r="G2340" s="3">
        <v>1</v>
      </c>
      <c r="H2340" s="3"/>
    </row>
    <row r="2341" spans="1:8" hidden="1">
      <c r="A2341" s="3">
        <v>30421</v>
      </c>
      <c r="B2341" s="7" t="s">
        <v>18</v>
      </c>
      <c r="C2341" s="41">
        <v>975</v>
      </c>
      <c r="D2341" s="6">
        <v>45621</v>
      </c>
      <c r="E2341" s="3" t="str">
        <f ca="1">IF(Tabela2[[#This Row],[Dt Venc:]]&gt;TODAY(),"Em Aberto",IF(Tabela2[[#This Row],[D/venc]]="-","Enviado",IF(Tabela2[[#This Row],[Dt Venc:]]=TODAY(),"Vence Hoje","Vencida")))</f>
        <v>Enviado</v>
      </c>
      <c r="F2341" s="3" t="str">
        <f ca="1">IF(G2341=1,"-",Tabela2[[#This Row],[Dt Venc:]]-TODAY())</f>
        <v>-</v>
      </c>
      <c r="G2341" s="3">
        <v>1</v>
      </c>
      <c r="H2341" s="3"/>
    </row>
    <row r="2342" spans="1:8" hidden="1">
      <c r="A2342" s="3">
        <v>12194</v>
      </c>
      <c r="B2342" s="7" t="s">
        <v>402</v>
      </c>
      <c r="C2342" s="41">
        <v>1883.22</v>
      </c>
      <c r="D2342" s="6">
        <v>45621</v>
      </c>
      <c r="E2342" s="3" t="str">
        <f ca="1">IF(Tabela2[[#This Row],[Dt Venc:]]&gt;TODAY(),"Em Aberto",IF(Tabela2[[#This Row],[D/venc]]="-","Enviado",IF(Tabela2[[#This Row],[Dt Venc:]]=TODAY(),"Vence Hoje","Vencida")))</f>
        <v>Enviado</v>
      </c>
      <c r="F2342" s="3" t="str">
        <f ca="1">IF(G2342=1,"-",Tabela2[[#This Row],[Dt Venc:]]-TODAY())</f>
        <v>-</v>
      </c>
      <c r="G2342" s="3">
        <v>1</v>
      </c>
      <c r="H2342" s="3"/>
    </row>
    <row r="2343" spans="1:8" hidden="1">
      <c r="A2343" s="3">
        <v>72362</v>
      </c>
      <c r="B2343" s="7" t="s">
        <v>76</v>
      </c>
      <c r="C2343" s="41">
        <v>681.28</v>
      </c>
      <c r="D2343" s="6">
        <v>45621</v>
      </c>
      <c r="E2343" s="3" t="str">
        <f ca="1">IF(Tabela2[[#This Row],[Dt Venc:]]&gt;TODAY(),"Em Aberto",IF(Tabela2[[#This Row],[D/venc]]="-","Enviado",IF(Tabela2[[#This Row],[Dt Venc:]]=TODAY(),"Vence Hoje","Vencida")))</f>
        <v>Enviado</v>
      </c>
      <c r="F2343" s="3" t="str">
        <f ca="1">IF(G2343=1,"-",Tabela2[[#This Row],[Dt Venc:]]-TODAY())</f>
        <v>-</v>
      </c>
      <c r="G2343" s="3">
        <v>1</v>
      </c>
      <c r="H2343" s="3"/>
    </row>
    <row r="2344" spans="1:8" hidden="1">
      <c r="A2344" s="3">
        <v>7945</v>
      </c>
      <c r="B2344" s="7" t="s">
        <v>105</v>
      </c>
      <c r="C2344" s="41">
        <v>770</v>
      </c>
      <c r="D2344" s="6">
        <v>45621</v>
      </c>
      <c r="E2344" s="3" t="str">
        <f ca="1">IF(Tabela2[[#This Row],[Dt Venc:]]&gt;TODAY(),"Em Aberto",IF(Tabela2[[#This Row],[D/venc]]="-","Enviado",IF(Tabela2[[#This Row],[Dt Venc:]]=TODAY(),"Vence Hoje","Vencida")))</f>
        <v>Enviado</v>
      </c>
      <c r="F2344" s="3" t="str">
        <f ca="1">IF(G2344=1,"-",Tabela2[[#This Row],[Dt Venc:]]-TODAY())</f>
        <v>-</v>
      </c>
      <c r="G2344" s="3">
        <v>1</v>
      </c>
      <c r="H2344" s="3"/>
    </row>
    <row r="2345" spans="1:8" hidden="1">
      <c r="A2345" s="3">
        <v>174847</v>
      </c>
      <c r="B2345" s="7" t="s">
        <v>211</v>
      </c>
      <c r="C2345" s="41">
        <v>526.66</v>
      </c>
      <c r="D2345" s="6">
        <v>45621</v>
      </c>
      <c r="E2345" s="3" t="str">
        <f ca="1">IF(Tabela2[[#This Row],[Dt Venc:]]&gt;TODAY(),"Em Aberto",IF(Tabela2[[#This Row],[D/venc]]="-","Enviado",IF(Tabela2[[#This Row],[Dt Venc:]]=TODAY(),"Vence Hoje","Vencida")))</f>
        <v>Enviado</v>
      </c>
      <c r="F2345" s="3" t="str">
        <f ca="1">IF(G2345=1,"-",Tabela2[[#This Row],[Dt Venc:]]-TODAY())</f>
        <v>-</v>
      </c>
      <c r="G2345" s="3">
        <v>1</v>
      </c>
      <c r="H2345" s="3"/>
    </row>
    <row r="2346" spans="1:8" hidden="1">
      <c r="A2346" s="3">
        <v>395409</v>
      </c>
      <c r="B2346" s="7" t="s">
        <v>136</v>
      </c>
      <c r="C2346" s="41">
        <v>1870</v>
      </c>
      <c r="D2346" s="6">
        <v>45621</v>
      </c>
      <c r="E2346" s="3" t="str">
        <f ca="1">IF(Tabela2[[#This Row],[Dt Venc:]]&gt;TODAY(),"Em Aberto",IF(Tabela2[[#This Row],[D/venc]]="-","Enviado",IF(Tabela2[[#This Row],[Dt Venc:]]=TODAY(),"Vence Hoje","Vencida")))</f>
        <v>Enviado</v>
      </c>
      <c r="F2346" s="3" t="str">
        <f ca="1">IF(G2346=1,"-",Tabela2[[#This Row],[Dt Venc:]]-TODAY())</f>
        <v>-</v>
      </c>
      <c r="G2346" s="3">
        <v>1</v>
      </c>
      <c r="H2346" s="3"/>
    </row>
    <row r="2347" spans="1:8" hidden="1">
      <c r="A2347" s="3">
        <v>371022</v>
      </c>
      <c r="B2347" s="7" t="s">
        <v>39</v>
      </c>
      <c r="C2347" s="41">
        <v>1295.69</v>
      </c>
      <c r="D2347" s="6">
        <v>45621</v>
      </c>
      <c r="E2347" s="3" t="str">
        <f ca="1">IF(Tabela2[[#This Row],[Dt Venc:]]&gt;TODAY(),"Em Aberto",IF(Tabela2[[#This Row],[D/venc]]="-","Enviado",IF(Tabela2[[#This Row],[Dt Venc:]]=TODAY(),"Vence Hoje","Vencida")))</f>
        <v>Enviado</v>
      </c>
      <c r="F2347" s="3" t="str">
        <f ca="1">IF(G2347=1,"-",Tabela2[[#This Row],[Dt Venc:]]-TODAY())</f>
        <v>-</v>
      </c>
      <c r="G2347" s="3">
        <v>1</v>
      </c>
      <c r="H2347" s="3"/>
    </row>
    <row r="2348" spans="1:8" hidden="1">
      <c r="A2348" s="3">
        <v>1075049</v>
      </c>
      <c r="B2348" s="7" t="s">
        <v>141</v>
      </c>
      <c r="C2348" s="41">
        <v>1535.49</v>
      </c>
      <c r="D2348" s="6">
        <v>45621</v>
      </c>
      <c r="E2348" s="3" t="str">
        <f ca="1">IF(Tabela2[[#This Row],[Dt Venc:]]&gt;TODAY(),"Em Aberto",IF(Tabela2[[#This Row],[D/venc]]="-","Enviado",IF(Tabela2[[#This Row],[Dt Venc:]]=TODAY(),"Vence Hoje","Vencida")))</f>
        <v>Enviado</v>
      </c>
      <c r="F2348" s="3" t="str">
        <f ca="1">IF(G2348=1,"-",Tabela2[[#This Row],[Dt Venc:]]-TODAY())</f>
        <v>-</v>
      </c>
      <c r="G2348" s="3">
        <v>1</v>
      </c>
      <c r="H2348" s="3"/>
    </row>
    <row r="2349" spans="1:8" hidden="1">
      <c r="A2349" s="3">
        <v>1075056</v>
      </c>
      <c r="B2349" s="7" t="s">
        <v>141</v>
      </c>
      <c r="C2349" s="41">
        <v>1773.93</v>
      </c>
      <c r="D2349" s="6">
        <v>45621</v>
      </c>
      <c r="E2349" s="3" t="str">
        <f ca="1">IF(Tabela2[[#This Row],[Dt Venc:]]&gt;TODAY(),"Em Aberto",IF(Tabela2[[#This Row],[D/venc]]="-","Enviado",IF(Tabela2[[#This Row],[Dt Venc:]]=TODAY(),"Vence Hoje","Vencida")))</f>
        <v>Enviado</v>
      </c>
      <c r="F2349" s="3" t="str">
        <f ca="1">IF(G2349=1,"-",Tabela2[[#This Row],[Dt Venc:]]-TODAY())</f>
        <v>-</v>
      </c>
      <c r="G2349" s="3">
        <v>1</v>
      </c>
      <c r="H2349" s="3"/>
    </row>
    <row r="2350" spans="1:8" hidden="1">
      <c r="A2350" s="3">
        <v>1075050</v>
      </c>
      <c r="B2350" s="7" t="s">
        <v>141</v>
      </c>
      <c r="C2350" s="41">
        <v>1039.9100000000001</v>
      </c>
      <c r="D2350" s="6">
        <v>45621</v>
      </c>
      <c r="E2350" s="3" t="str">
        <f ca="1">IF(Tabela2[[#This Row],[Dt Venc:]]&gt;TODAY(),"Em Aberto",IF(Tabela2[[#This Row],[D/venc]]="-","Enviado",IF(Tabela2[[#This Row],[Dt Venc:]]=TODAY(),"Vence Hoje","Vencida")))</f>
        <v>Enviado</v>
      </c>
      <c r="F2350" s="3" t="str">
        <f ca="1">IF(G2350=1,"-",Tabela2[[#This Row],[Dt Venc:]]-TODAY())</f>
        <v>-</v>
      </c>
      <c r="G2350" s="3">
        <v>1</v>
      </c>
      <c r="H2350" s="3"/>
    </row>
    <row r="2351" spans="1:8" hidden="1">
      <c r="A2351" s="3">
        <v>1075044</v>
      </c>
      <c r="B2351" s="7" t="s">
        <v>141</v>
      </c>
      <c r="C2351" s="41">
        <v>1435.37</v>
      </c>
      <c r="D2351" s="6">
        <v>45621</v>
      </c>
      <c r="E2351" s="3" t="str">
        <f ca="1">IF(Tabela2[[#This Row],[Dt Venc:]]&gt;TODAY(),"Em Aberto",IF(Tabela2[[#This Row],[D/venc]]="-","Enviado",IF(Tabela2[[#This Row],[Dt Venc:]]=TODAY(),"Vence Hoje","Vencida")))</f>
        <v>Enviado</v>
      </c>
      <c r="F2351" s="3" t="str">
        <f ca="1">IF(G2351=1,"-",Tabela2[[#This Row],[Dt Venc:]]-TODAY())</f>
        <v>-</v>
      </c>
      <c r="G2351" s="3">
        <v>1</v>
      </c>
      <c r="H2351" s="3"/>
    </row>
    <row r="2352" spans="1:8" hidden="1">
      <c r="A2352" s="3">
        <v>1075038</v>
      </c>
      <c r="B2352" s="7" t="s">
        <v>141</v>
      </c>
      <c r="C2352" s="41">
        <v>1283.1500000000001</v>
      </c>
      <c r="D2352" s="6">
        <v>45621</v>
      </c>
      <c r="E2352" s="3" t="str">
        <f ca="1">IF(Tabela2[[#This Row],[Dt Venc:]]&gt;TODAY(),"Em Aberto",IF(Tabela2[[#This Row],[D/venc]]="-","Enviado",IF(Tabela2[[#This Row],[Dt Venc:]]=TODAY(),"Vence Hoje","Vencida")))</f>
        <v>Enviado</v>
      </c>
      <c r="F2352" s="3" t="str">
        <f ca="1">IF(G2352=1,"-",Tabela2[[#This Row],[Dt Venc:]]-TODAY())</f>
        <v>-</v>
      </c>
      <c r="G2352" s="3">
        <v>1</v>
      </c>
      <c r="H2352" s="3"/>
    </row>
    <row r="2353" spans="1:8" hidden="1">
      <c r="A2353" s="3">
        <v>1075039</v>
      </c>
      <c r="B2353" s="7" t="s">
        <v>141</v>
      </c>
      <c r="C2353" s="41">
        <v>1540.94</v>
      </c>
      <c r="D2353" s="6">
        <v>45621</v>
      </c>
      <c r="E2353" s="3" t="str">
        <f ca="1">IF(Tabela2[[#This Row],[Dt Venc:]]&gt;TODAY(),"Em Aberto",IF(Tabela2[[#This Row],[D/venc]]="-","Enviado",IF(Tabela2[[#This Row],[Dt Venc:]]=TODAY(),"Vence Hoje","Vencida")))</f>
        <v>Enviado</v>
      </c>
      <c r="F2353" s="3" t="str">
        <f ca="1">IF(G2353=1,"-",Tabela2[[#This Row],[Dt Venc:]]-TODAY())</f>
        <v>-</v>
      </c>
      <c r="G2353" s="3">
        <v>1</v>
      </c>
      <c r="H2353" s="3"/>
    </row>
    <row r="2354" spans="1:8" hidden="1">
      <c r="A2354" s="3">
        <v>1075053</v>
      </c>
      <c r="B2354" s="7" t="s">
        <v>141</v>
      </c>
      <c r="C2354" s="41">
        <v>1493.65</v>
      </c>
      <c r="D2354" s="6">
        <v>45621</v>
      </c>
      <c r="E2354" s="3" t="str">
        <f ca="1">IF(Tabela2[[#This Row],[Dt Venc:]]&gt;TODAY(),"Em Aberto",IF(Tabela2[[#This Row],[D/venc]]="-","Enviado",IF(Tabela2[[#This Row],[Dt Venc:]]=TODAY(),"Vence Hoje","Vencida")))</f>
        <v>Enviado</v>
      </c>
      <c r="F2354" s="3" t="str">
        <f ca="1">IF(G2354=1,"-",Tabela2[[#This Row],[Dt Venc:]]-TODAY())</f>
        <v>-</v>
      </c>
      <c r="G2354" s="3">
        <v>1</v>
      </c>
      <c r="H2354" s="3"/>
    </row>
    <row r="2355" spans="1:8" hidden="1">
      <c r="A2355" s="3">
        <v>1075047</v>
      </c>
      <c r="B2355" s="7" t="s">
        <v>141</v>
      </c>
      <c r="C2355" s="41">
        <v>1371.56</v>
      </c>
      <c r="D2355" s="6">
        <v>45621</v>
      </c>
      <c r="E2355" s="3" t="str">
        <f ca="1">IF(Tabela2[[#This Row],[Dt Venc:]]&gt;TODAY(),"Em Aberto",IF(Tabela2[[#This Row],[D/venc]]="-","Enviado",IF(Tabela2[[#This Row],[Dt Venc:]]=TODAY(),"Vence Hoje","Vencida")))</f>
        <v>Enviado</v>
      </c>
      <c r="F2355" s="3" t="str">
        <f ca="1">IF(G2355=1,"-",Tabela2[[#This Row],[Dt Venc:]]-TODAY())</f>
        <v>-</v>
      </c>
      <c r="G2355" s="3">
        <v>1</v>
      </c>
      <c r="H2355" s="3"/>
    </row>
    <row r="2356" spans="1:8" hidden="1">
      <c r="A2356" s="3">
        <v>1075057</v>
      </c>
      <c r="B2356" s="7" t="s">
        <v>141</v>
      </c>
      <c r="C2356" s="41">
        <v>1464.65</v>
      </c>
      <c r="D2356" s="6">
        <v>45621</v>
      </c>
      <c r="E2356" s="3" t="str">
        <f ca="1">IF(Tabela2[[#This Row],[Dt Venc:]]&gt;TODAY(),"Em Aberto",IF(Tabela2[[#This Row],[D/venc]]="-","Enviado",IF(Tabela2[[#This Row],[Dt Venc:]]=TODAY(),"Vence Hoje","Vencida")))</f>
        <v>Enviado</v>
      </c>
      <c r="F2356" s="3" t="str">
        <f ca="1">IF(G2356=1,"-",Tabela2[[#This Row],[Dt Venc:]]-TODAY())</f>
        <v>-</v>
      </c>
      <c r="G2356" s="3">
        <v>1</v>
      </c>
      <c r="H2356" s="3"/>
    </row>
    <row r="2357" spans="1:8" hidden="1">
      <c r="A2357" s="3">
        <v>1075040</v>
      </c>
      <c r="B2357" s="7" t="s">
        <v>141</v>
      </c>
      <c r="C2357" s="41">
        <v>1464.65</v>
      </c>
      <c r="D2357" s="6">
        <v>45621</v>
      </c>
      <c r="E2357" s="3" t="str">
        <f ca="1">IF(Tabela2[[#This Row],[Dt Venc:]]&gt;TODAY(),"Em Aberto",IF(Tabela2[[#This Row],[D/venc]]="-","Enviado",IF(Tabela2[[#This Row],[Dt Venc:]]=TODAY(),"Vence Hoje","Vencida")))</f>
        <v>Enviado</v>
      </c>
      <c r="F2357" s="3" t="str">
        <f ca="1">IF(G2357=1,"-",Tabela2[[#This Row],[Dt Venc:]]-TODAY())</f>
        <v>-</v>
      </c>
      <c r="G2357" s="3">
        <v>1</v>
      </c>
      <c r="H2357" s="3"/>
    </row>
    <row r="2358" spans="1:8" hidden="1">
      <c r="A2358" s="3">
        <v>1075041</v>
      </c>
      <c r="B2358" s="7" t="s">
        <v>141</v>
      </c>
      <c r="C2358" s="41">
        <v>1259.3699999999999</v>
      </c>
      <c r="D2358" s="6">
        <v>45621</v>
      </c>
      <c r="E2358" s="3" t="str">
        <f ca="1">IF(Tabela2[[#This Row],[Dt Venc:]]&gt;TODAY(),"Em Aberto",IF(Tabela2[[#This Row],[D/venc]]="-","Enviado",IF(Tabela2[[#This Row],[Dt Venc:]]=TODAY(),"Vence Hoje","Vencida")))</f>
        <v>Enviado</v>
      </c>
      <c r="F2358" s="3" t="str">
        <f ca="1">IF(G2358=1,"-",Tabela2[[#This Row],[Dt Venc:]]-TODAY())</f>
        <v>-</v>
      </c>
      <c r="G2358" s="3">
        <v>1</v>
      </c>
      <c r="H2358" s="3"/>
    </row>
    <row r="2359" spans="1:8" hidden="1">
      <c r="A2359" s="3">
        <v>1075042</v>
      </c>
      <c r="B2359" s="7" t="s">
        <v>141</v>
      </c>
      <c r="C2359" s="41">
        <v>1610.95</v>
      </c>
      <c r="D2359" s="6">
        <v>45621</v>
      </c>
      <c r="E2359" s="3" t="str">
        <f ca="1">IF(Tabela2[[#This Row],[Dt Venc:]]&gt;TODAY(),"Em Aberto",IF(Tabela2[[#This Row],[D/venc]]="-","Enviado",IF(Tabela2[[#This Row],[Dt Venc:]]=TODAY(),"Vence Hoje","Vencida")))</f>
        <v>Enviado</v>
      </c>
      <c r="F2359" s="3" t="str">
        <f ca="1">IF(G2359=1,"-",Tabela2[[#This Row],[Dt Venc:]]-TODAY())</f>
        <v>-</v>
      </c>
      <c r="G2359" s="3">
        <v>1</v>
      </c>
      <c r="H2359" s="3"/>
    </row>
    <row r="2360" spans="1:8" hidden="1">
      <c r="A2360" s="3">
        <v>1075045</v>
      </c>
      <c r="B2360" s="7" t="s">
        <v>141</v>
      </c>
      <c r="C2360" s="41">
        <v>1347.67</v>
      </c>
      <c r="D2360" s="6">
        <v>45621</v>
      </c>
      <c r="E2360" s="3" t="str">
        <f ca="1">IF(Tabela2[[#This Row],[Dt Venc:]]&gt;TODAY(),"Em Aberto",IF(Tabela2[[#This Row],[D/venc]]="-","Enviado",IF(Tabela2[[#This Row],[Dt Venc:]]=TODAY(),"Vence Hoje","Vencida")))</f>
        <v>Enviado</v>
      </c>
      <c r="F2360" s="3" t="str">
        <f ca="1">IF(G2360=1,"-",Tabela2[[#This Row],[Dt Venc:]]-TODAY())</f>
        <v>-</v>
      </c>
      <c r="G2360" s="3">
        <v>1</v>
      </c>
      <c r="H2360" s="3"/>
    </row>
    <row r="2361" spans="1:8" hidden="1">
      <c r="A2361" s="3">
        <v>1075046</v>
      </c>
      <c r="B2361" s="7" t="s">
        <v>141</v>
      </c>
      <c r="C2361" s="41">
        <v>1545.28</v>
      </c>
      <c r="D2361" s="6">
        <v>45621</v>
      </c>
      <c r="E2361" s="3" t="str">
        <f ca="1">IF(Tabela2[[#This Row],[Dt Venc:]]&gt;TODAY(),"Em Aberto",IF(Tabela2[[#This Row],[D/venc]]="-","Enviado",IF(Tabela2[[#This Row],[Dt Venc:]]=TODAY(),"Vence Hoje","Vencida")))</f>
        <v>Enviado</v>
      </c>
      <c r="F2361" s="3" t="str">
        <f ca="1">IF(G2361=1,"-",Tabela2[[#This Row],[Dt Venc:]]-TODAY())</f>
        <v>-</v>
      </c>
      <c r="G2361" s="3">
        <v>1</v>
      </c>
      <c r="H2361" s="3"/>
    </row>
    <row r="2362" spans="1:8" hidden="1">
      <c r="A2362" s="3">
        <v>1075043</v>
      </c>
      <c r="B2362" s="7" t="s">
        <v>141</v>
      </c>
      <c r="C2362" s="41">
        <v>1365.82</v>
      </c>
      <c r="D2362" s="6">
        <v>45621</v>
      </c>
      <c r="E2362" s="3" t="str">
        <f ca="1">IF(Tabela2[[#This Row],[Dt Venc:]]&gt;TODAY(),"Em Aberto",IF(Tabela2[[#This Row],[D/venc]]="-","Enviado",IF(Tabela2[[#This Row],[Dt Venc:]]=TODAY(),"Vence Hoje","Vencida")))</f>
        <v>Enviado</v>
      </c>
      <c r="F2362" s="3" t="str">
        <f ca="1">IF(G2362=1,"-",Tabela2[[#This Row],[Dt Venc:]]-TODAY())</f>
        <v>-</v>
      </c>
      <c r="G2362" s="3">
        <v>1</v>
      </c>
      <c r="H2362" s="3"/>
    </row>
    <row r="2363" spans="1:8" hidden="1">
      <c r="A2363" s="3">
        <v>1075031</v>
      </c>
      <c r="B2363" s="7" t="s">
        <v>141</v>
      </c>
      <c r="C2363" s="41">
        <v>1186.25</v>
      </c>
      <c r="D2363" s="6">
        <v>45621</v>
      </c>
      <c r="E2363" s="3" t="str">
        <f ca="1">IF(Tabela2[[#This Row],[Dt Venc:]]&gt;TODAY(),"Em Aberto",IF(Tabela2[[#This Row],[D/venc]]="-","Enviado",IF(Tabela2[[#This Row],[Dt Venc:]]=TODAY(),"Vence Hoje","Vencida")))</f>
        <v>Enviado</v>
      </c>
      <c r="F2363" s="3" t="str">
        <f ca="1">IF(G2363=1,"-",Tabela2[[#This Row],[Dt Venc:]]-TODAY())</f>
        <v>-</v>
      </c>
      <c r="G2363" s="3">
        <v>1</v>
      </c>
      <c r="H2363" s="3"/>
    </row>
    <row r="2364" spans="1:8" hidden="1">
      <c r="A2364" s="3">
        <v>1075032</v>
      </c>
      <c r="B2364" s="7" t="s">
        <v>141</v>
      </c>
      <c r="C2364" s="41">
        <v>1010.97</v>
      </c>
      <c r="D2364" s="6">
        <v>45621</v>
      </c>
      <c r="E2364" s="3" t="str">
        <f ca="1">IF(Tabela2[[#This Row],[Dt Venc:]]&gt;TODAY(),"Em Aberto",IF(Tabela2[[#This Row],[D/venc]]="-","Enviado",IF(Tabela2[[#This Row],[Dt Venc:]]=TODAY(),"Vence Hoje","Vencida")))</f>
        <v>Enviado</v>
      </c>
      <c r="F2364" s="3" t="str">
        <f ca="1">IF(G2364=1,"-",Tabela2[[#This Row],[Dt Venc:]]-TODAY())</f>
        <v>-</v>
      </c>
      <c r="G2364" s="3">
        <v>1</v>
      </c>
      <c r="H2364" s="3"/>
    </row>
    <row r="2365" spans="1:8" hidden="1">
      <c r="A2365" s="3">
        <v>1075036</v>
      </c>
      <c r="B2365" s="7" t="s">
        <v>141</v>
      </c>
      <c r="C2365" s="41">
        <v>1345.15</v>
      </c>
      <c r="D2365" s="6">
        <v>45621</v>
      </c>
      <c r="E2365" s="3" t="str">
        <f ca="1">IF(Tabela2[[#This Row],[Dt Venc:]]&gt;TODAY(),"Em Aberto",IF(Tabela2[[#This Row],[D/venc]]="-","Enviado",IF(Tabela2[[#This Row],[Dt Venc:]]=TODAY(),"Vence Hoje","Vencida")))</f>
        <v>Enviado</v>
      </c>
      <c r="F2365" s="3" t="str">
        <f ca="1">IF(G2365=1,"-",Tabela2[[#This Row],[Dt Venc:]]-TODAY())</f>
        <v>-</v>
      </c>
      <c r="G2365" s="3">
        <v>1</v>
      </c>
      <c r="H2365" s="3"/>
    </row>
    <row r="2366" spans="1:8" hidden="1">
      <c r="A2366" s="3">
        <v>1075035</v>
      </c>
      <c r="B2366" s="7" t="s">
        <v>141</v>
      </c>
      <c r="C2366" s="41">
        <v>1491.63</v>
      </c>
      <c r="D2366" s="6">
        <v>45621</v>
      </c>
      <c r="E2366" s="3" t="str">
        <f ca="1">IF(Tabela2[[#This Row],[Dt Venc:]]&gt;TODAY(),"Em Aberto",IF(Tabela2[[#This Row],[D/venc]]="-","Enviado",IF(Tabela2[[#This Row],[Dt Venc:]]=TODAY(),"Vence Hoje","Vencida")))</f>
        <v>Enviado</v>
      </c>
      <c r="F2366" s="3" t="str">
        <f ca="1">IF(G2366=1,"-",Tabela2[[#This Row],[Dt Venc:]]-TODAY())</f>
        <v>-</v>
      </c>
      <c r="G2366" s="3">
        <v>1</v>
      </c>
      <c r="H2366" s="3"/>
    </row>
    <row r="2367" spans="1:8" hidden="1">
      <c r="A2367" s="3">
        <v>1075037</v>
      </c>
      <c r="B2367" s="7" t="s">
        <v>141</v>
      </c>
      <c r="C2367" s="41">
        <v>1435.4</v>
      </c>
      <c r="D2367" s="6">
        <v>45621</v>
      </c>
      <c r="E2367" s="3" t="str">
        <f ca="1">IF(Tabela2[[#This Row],[Dt Venc:]]&gt;TODAY(),"Em Aberto",IF(Tabela2[[#This Row],[D/venc]]="-","Enviado",IF(Tabela2[[#This Row],[Dt Venc:]]=TODAY(),"Vence Hoje","Vencida")))</f>
        <v>Enviado</v>
      </c>
      <c r="F2367" s="3" t="str">
        <f ca="1">IF(G2367=1,"-",Tabela2[[#This Row],[Dt Venc:]]-TODAY())</f>
        <v>-</v>
      </c>
      <c r="G2367" s="3">
        <v>1</v>
      </c>
      <c r="H2367" s="3"/>
    </row>
    <row r="2368" spans="1:8" hidden="1">
      <c r="A2368" s="3">
        <v>1075033</v>
      </c>
      <c r="B2368" s="7" t="s">
        <v>141</v>
      </c>
      <c r="C2368" s="41">
        <v>1574.37</v>
      </c>
      <c r="D2368" s="6">
        <v>45621</v>
      </c>
      <c r="E2368" s="3" t="str">
        <f ca="1">IF(Tabela2[[#This Row],[Dt Venc:]]&gt;TODAY(),"Em Aberto",IF(Tabela2[[#This Row],[D/venc]]="-","Enviado",IF(Tabela2[[#This Row],[Dt Venc:]]=TODAY(),"Vence Hoje","Vencida")))</f>
        <v>Enviado</v>
      </c>
      <c r="F2368" s="3" t="str">
        <f ca="1">IF(G2368=1,"-",Tabela2[[#This Row],[Dt Venc:]]-TODAY())</f>
        <v>-</v>
      </c>
      <c r="G2368" s="3">
        <v>1</v>
      </c>
      <c r="H2368" s="3"/>
    </row>
    <row r="2369" spans="1:8" hidden="1">
      <c r="A2369" s="3">
        <v>1075034</v>
      </c>
      <c r="B2369" s="7" t="s">
        <v>141</v>
      </c>
      <c r="C2369" s="41">
        <v>1684.32</v>
      </c>
      <c r="D2369" s="6">
        <v>45621</v>
      </c>
      <c r="E2369" s="3" t="str">
        <f ca="1">IF(Tabela2[[#This Row],[Dt Venc:]]&gt;TODAY(),"Em Aberto",IF(Tabela2[[#This Row],[D/venc]]="-","Enviado",IF(Tabela2[[#This Row],[Dt Venc:]]=TODAY(),"Vence Hoje","Vencida")))</f>
        <v>Enviado</v>
      </c>
      <c r="F2369" s="3" t="str">
        <f ca="1">IF(G2369=1,"-",Tabela2[[#This Row],[Dt Venc:]]-TODAY())</f>
        <v>-</v>
      </c>
      <c r="G2369" s="3">
        <v>1</v>
      </c>
      <c r="H2369" s="3"/>
    </row>
    <row r="2370" spans="1:8" hidden="1">
      <c r="A2370" s="3">
        <v>1075023</v>
      </c>
      <c r="B2370" s="7" t="s">
        <v>141</v>
      </c>
      <c r="C2370" s="41">
        <v>1507.16</v>
      </c>
      <c r="D2370" s="6">
        <v>45621</v>
      </c>
      <c r="E2370" s="3" t="str">
        <f ca="1">IF(Tabela2[[#This Row],[Dt Venc:]]&gt;TODAY(),"Em Aberto",IF(Tabela2[[#This Row],[D/venc]]="-","Enviado",IF(Tabela2[[#This Row],[Dt Venc:]]=TODAY(),"Vence Hoje","Vencida")))</f>
        <v>Enviado</v>
      </c>
      <c r="F2370" s="3" t="str">
        <f ca="1">IF(G2370=1,"-",Tabela2[[#This Row],[Dt Venc:]]-TODAY())</f>
        <v>-</v>
      </c>
      <c r="G2370" s="3">
        <v>1</v>
      </c>
      <c r="H2370" s="3"/>
    </row>
    <row r="2371" spans="1:8" hidden="1">
      <c r="A2371" s="3">
        <v>1075026</v>
      </c>
      <c r="B2371" s="7" t="s">
        <v>141</v>
      </c>
      <c r="C2371" s="41">
        <v>1546.8</v>
      </c>
      <c r="D2371" s="6">
        <v>45621</v>
      </c>
      <c r="E2371" s="3" t="str">
        <f ca="1">IF(Tabela2[[#This Row],[Dt Venc:]]&gt;TODAY(),"Em Aberto",IF(Tabela2[[#This Row],[D/venc]]="-","Enviado",IF(Tabela2[[#This Row],[Dt Venc:]]=TODAY(),"Vence Hoje","Vencida")))</f>
        <v>Enviado</v>
      </c>
      <c r="F2371" s="3" t="str">
        <f ca="1">IF(G2371=1,"-",Tabela2[[#This Row],[Dt Venc:]]-TODAY())</f>
        <v>-</v>
      </c>
      <c r="G2371" s="3">
        <v>1</v>
      </c>
      <c r="H2371" s="3"/>
    </row>
    <row r="2372" spans="1:8" hidden="1">
      <c r="A2372" s="3">
        <v>7985</v>
      </c>
      <c r="B2372" s="7" t="s">
        <v>242</v>
      </c>
      <c r="C2372" s="41">
        <v>109.9</v>
      </c>
      <c r="D2372" s="6">
        <v>45621</v>
      </c>
      <c r="E2372" s="3" t="str">
        <f ca="1">IF(Tabela2[[#This Row],[Dt Venc:]]&gt;TODAY(),"Em Aberto",IF(Tabela2[[#This Row],[D/venc]]="-","Enviado",IF(Tabela2[[#This Row],[Dt Venc:]]=TODAY(),"Vence Hoje","Vencida")))</f>
        <v>Enviado</v>
      </c>
      <c r="F2372" s="3" t="str">
        <f ca="1">IF(G2372=1,"-",Tabela2[[#This Row],[Dt Venc:]]-TODAY())</f>
        <v>-</v>
      </c>
      <c r="G2372" s="3">
        <v>1</v>
      </c>
      <c r="H2372" s="3"/>
    </row>
    <row r="2373" spans="1:8" hidden="1">
      <c r="A2373" s="3">
        <v>303015</v>
      </c>
      <c r="B2373" s="7" t="s">
        <v>467</v>
      </c>
      <c r="C2373" s="41">
        <v>1117.45</v>
      </c>
      <c r="D2373" s="6">
        <v>45621</v>
      </c>
      <c r="E2373" s="3" t="str">
        <f ca="1">IF(Tabela2[[#This Row],[Dt Venc:]]&gt;TODAY(),"Em Aberto",IF(Tabela2[[#This Row],[D/venc]]="-","Enviado",IF(Tabela2[[#This Row],[Dt Venc:]]=TODAY(),"Vence Hoje","Vencida")))</f>
        <v>Enviado</v>
      </c>
      <c r="F2373" s="3" t="str">
        <f ca="1">IF(G2373=1,"-",Tabela2[[#This Row],[Dt Venc:]]-TODAY())</f>
        <v>-</v>
      </c>
      <c r="G2373" s="3">
        <v>1</v>
      </c>
      <c r="H2373" s="3"/>
    </row>
    <row r="2374" spans="1:8" hidden="1">
      <c r="A2374" s="3">
        <v>303023</v>
      </c>
      <c r="B2374" s="7" t="s">
        <v>467</v>
      </c>
      <c r="C2374" s="41">
        <v>576.25</v>
      </c>
      <c r="D2374" s="6">
        <v>45621</v>
      </c>
      <c r="E2374" s="3" t="str">
        <f ca="1">IF(Tabela2[[#This Row],[Dt Venc:]]&gt;TODAY(),"Em Aberto",IF(Tabela2[[#This Row],[D/venc]]="-","Enviado",IF(Tabela2[[#This Row],[Dt Venc:]]=TODAY(),"Vence Hoje","Vencida")))</f>
        <v>Enviado</v>
      </c>
      <c r="F2374" s="3" t="str">
        <f ca="1">IF(G2374=1,"-",Tabela2[[#This Row],[Dt Venc:]]-TODAY())</f>
        <v>-</v>
      </c>
      <c r="G2374" s="3">
        <v>1</v>
      </c>
      <c r="H2374" s="3"/>
    </row>
    <row r="2375" spans="1:8" hidden="1">
      <c r="A2375" s="3">
        <v>245715</v>
      </c>
      <c r="B2375" s="7" t="s">
        <v>43</v>
      </c>
      <c r="C2375" s="41">
        <v>1452.52</v>
      </c>
      <c r="D2375" s="6">
        <v>45621</v>
      </c>
      <c r="E2375" s="3" t="str">
        <f ca="1">IF(Tabela2[[#This Row],[Dt Venc:]]&gt;TODAY(),"Em Aberto",IF(Tabela2[[#This Row],[D/venc]]="-","Enviado",IF(Tabela2[[#This Row],[Dt Venc:]]=TODAY(),"Vence Hoje","Vencida")))</f>
        <v>Enviado</v>
      </c>
      <c r="F2375" s="3" t="str">
        <f ca="1">IF(G2375=1,"-",Tabela2[[#This Row],[Dt Venc:]]-TODAY())</f>
        <v>-</v>
      </c>
      <c r="G2375" s="3">
        <v>1</v>
      </c>
      <c r="H2375" s="3"/>
    </row>
    <row r="2376" spans="1:8" hidden="1">
      <c r="A2376" s="3">
        <v>72408</v>
      </c>
      <c r="B2376" s="7" t="s">
        <v>76</v>
      </c>
      <c r="C2376" s="41">
        <v>2543.92</v>
      </c>
      <c r="D2376" s="6">
        <v>45621</v>
      </c>
      <c r="E2376" s="3" t="str">
        <f ca="1">IF(Tabela2[[#This Row],[Dt Venc:]]&gt;TODAY(),"Em Aberto",IF(Tabela2[[#This Row],[D/venc]]="-","Enviado",IF(Tabela2[[#This Row],[Dt Venc:]]=TODAY(),"Vence Hoje","Vencida")))</f>
        <v>Enviado</v>
      </c>
      <c r="F2376" s="3" t="str">
        <f ca="1">IF(G2376=1,"-",Tabela2[[#This Row],[Dt Venc:]]-TODAY())</f>
        <v>-</v>
      </c>
      <c r="G2376" s="3">
        <v>1</v>
      </c>
      <c r="H2376" s="3"/>
    </row>
    <row r="2377" spans="1:8" hidden="1">
      <c r="A2377" s="3">
        <v>3985</v>
      </c>
      <c r="B2377" s="7" t="s">
        <v>328</v>
      </c>
      <c r="C2377" s="41">
        <v>472.75</v>
      </c>
      <c r="D2377" s="6">
        <v>45621</v>
      </c>
      <c r="E2377" s="3" t="str">
        <f ca="1">IF(Tabela2[[#This Row],[Dt Venc:]]&gt;TODAY(),"Em Aberto",IF(Tabela2[[#This Row],[D/venc]]="-","Enviado",IF(Tabela2[[#This Row],[Dt Venc:]]=TODAY(),"Vence Hoje","Vencida")))</f>
        <v>Enviado</v>
      </c>
      <c r="F2377" s="3" t="str">
        <f ca="1">IF(G2377=1,"-",Tabela2[[#This Row],[Dt Venc:]]-TODAY())</f>
        <v>-</v>
      </c>
      <c r="G2377" s="3">
        <v>1</v>
      </c>
      <c r="H2377" s="3"/>
    </row>
    <row r="2378" spans="1:8" hidden="1">
      <c r="A2378" s="3">
        <v>9319</v>
      </c>
      <c r="B2378" s="7" t="s">
        <v>378</v>
      </c>
      <c r="C2378" s="41">
        <v>1575</v>
      </c>
      <c r="D2378" s="6">
        <v>45621</v>
      </c>
      <c r="E2378" s="3" t="str">
        <f ca="1">IF(Tabela2[[#This Row],[Dt Venc:]]&gt;TODAY(),"Em Aberto",IF(Tabela2[[#This Row],[D/venc]]="-","Enviado",IF(Tabela2[[#This Row],[Dt Venc:]]=TODAY(),"Vence Hoje","Vencida")))</f>
        <v>Enviado</v>
      </c>
      <c r="F2378" s="3" t="str">
        <f ca="1">IF(G2378=1,"-",Tabela2[[#This Row],[Dt Venc:]]-TODAY())</f>
        <v>-</v>
      </c>
      <c r="G2378" s="3">
        <v>1</v>
      </c>
      <c r="H2378" s="3"/>
    </row>
    <row r="2379" spans="1:8" hidden="1">
      <c r="A2379" s="3">
        <v>10622</v>
      </c>
      <c r="B2379" s="7" t="s">
        <v>351</v>
      </c>
      <c r="C2379" s="41">
        <v>27000</v>
      </c>
      <c r="D2379" s="6">
        <v>45621</v>
      </c>
      <c r="E2379" s="3" t="str">
        <f ca="1">IF(Tabela2[[#This Row],[Dt Venc:]]&gt;TODAY(),"Em Aberto",IF(Tabela2[[#This Row],[D/venc]]="-","Enviado",IF(Tabela2[[#This Row],[Dt Venc:]]=TODAY(),"Vence Hoje","Vencida")))</f>
        <v>Enviado</v>
      </c>
      <c r="F2379" s="3" t="str">
        <f ca="1">IF(G2379=1,"-",Tabela2[[#This Row],[Dt Venc:]]-TODAY())</f>
        <v>-</v>
      </c>
      <c r="G2379" s="3">
        <v>1</v>
      </c>
      <c r="H2379" s="3"/>
    </row>
    <row r="2380" spans="1:8" hidden="1">
      <c r="A2380" s="3">
        <v>660</v>
      </c>
      <c r="B2380" s="7" t="s">
        <v>351</v>
      </c>
      <c r="C2380" s="41">
        <v>3777.46</v>
      </c>
      <c r="D2380" s="6">
        <v>45621</v>
      </c>
      <c r="E2380" s="3" t="str">
        <f ca="1">IF(Tabela2[[#This Row],[Dt Venc:]]&gt;TODAY(),"Em Aberto",IF(Tabela2[[#This Row],[D/venc]]="-","Enviado",IF(Tabela2[[#This Row],[Dt Venc:]]=TODAY(),"Vence Hoje","Vencida")))</f>
        <v>Enviado</v>
      </c>
      <c r="F2380" s="3" t="str">
        <f ca="1">IF(G2380=1,"-",Tabela2[[#This Row],[Dt Venc:]]-TODAY())</f>
        <v>-</v>
      </c>
      <c r="G2380" s="3">
        <v>1</v>
      </c>
      <c r="H2380" s="3"/>
    </row>
    <row r="2381" spans="1:8" hidden="1">
      <c r="A2381" s="3">
        <v>160353</v>
      </c>
      <c r="B2381" s="7" t="s">
        <v>468</v>
      </c>
      <c r="C2381" s="41">
        <v>3384.15</v>
      </c>
      <c r="D2381" s="6">
        <v>45621</v>
      </c>
      <c r="E2381" s="3" t="str">
        <f ca="1">IF(Tabela2[[#This Row],[Dt Venc:]]&gt;TODAY(),"Em Aberto",IF(Tabela2[[#This Row],[D/venc]]="-","Enviado",IF(Tabela2[[#This Row],[Dt Venc:]]=TODAY(),"Vence Hoje","Vencida")))</f>
        <v>Enviado</v>
      </c>
      <c r="F2381" s="3" t="str">
        <f ca="1">IF(G2381=1,"-",Tabela2[[#This Row],[Dt Venc:]]-TODAY())</f>
        <v>-</v>
      </c>
      <c r="G2381" s="3">
        <v>1</v>
      </c>
      <c r="H2381" s="3"/>
    </row>
    <row r="2382" spans="1:8" hidden="1">
      <c r="A2382" s="3">
        <v>630</v>
      </c>
      <c r="B2382" s="7" t="s">
        <v>294</v>
      </c>
      <c r="C2382" s="41">
        <v>7280</v>
      </c>
      <c r="D2382" s="6">
        <v>45621</v>
      </c>
      <c r="E2382" s="3" t="str">
        <f ca="1">IF(Tabela2[[#This Row],[Dt Venc:]]&gt;TODAY(),"Em Aberto",IF(Tabela2[[#This Row],[D/venc]]="-","Enviado",IF(Tabela2[[#This Row],[Dt Venc:]]=TODAY(),"Vence Hoje","Vencida")))</f>
        <v>Enviado</v>
      </c>
      <c r="F2382" s="3" t="str">
        <f ca="1">IF(G2382=1,"-",Tabela2[[#This Row],[Dt Venc:]]-TODAY())</f>
        <v>-</v>
      </c>
      <c r="G2382" s="3">
        <v>1</v>
      </c>
      <c r="H2382" s="3"/>
    </row>
    <row r="2383" spans="1:8" hidden="1">
      <c r="A2383" s="3">
        <v>5991</v>
      </c>
      <c r="B2383" s="7" t="s">
        <v>140</v>
      </c>
      <c r="C2383" s="41">
        <v>190</v>
      </c>
      <c r="D2383" s="6">
        <v>45621</v>
      </c>
      <c r="E2383" s="3" t="str">
        <f ca="1">IF(Tabela2[[#This Row],[Dt Venc:]]&gt;TODAY(),"Em Aberto",IF(Tabela2[[#This Row],[D/venc]]="-","Enviado",IF(Tabela2[[#This Row],[Dt Venc:]]=TODAY(),"Vence Hoje","Vencida")))</f>
        <v>Enviado</v>
      </c>
      <c r="F2383" s="3" t="str">
        <f ca="1">IF(G2383=1,"-",Tabela2[[#This Row],[Dt Venc:]]-TODAY())</f>
        <v>-</v>
      </c>
      <c r="G2383" s="3">
        <v>1</v>
      </c>
      <c r="H2383" s="3"/>
    </row>
    <row r="2384" spans="1:8" hidden="1">
      <c r="A2384" s="3">
        <v>212801</v>
      </c>
      <c r="B2384" s="7" t="s">
        <v>59</v>
      </c>
      <c r="C2384" s="41">
        <v>55663</v>
      </c>
      <c r="D2384" s="6">
        <v>45621</v>
      </c>
      <c r="E2384" s="3" t="str">
        <f ca="1">IF(Tabela2[[#This Row],[Dt Venc:]]&gt;TODAY(),"Em Aberto",IF(Tabela2[[#This Row],[D/venc]]="-","Enviado",IF(Tabela2[[#This Row],[Dt Venc:]]=TODAY(),"Vence Hoje","Vencida")))</f>
        <v>Enviado</v>
      </c>
      <c r="F2384" s="3" t="str">
        <f ca="1">IF(G2384=1,"-",Tabela2[[#This Row],[Dt Venc:]]-TODAY())</f>
        <v>-</v>
      </c>
      <c r="G2384" s="3">
        <v>1</v>
      </c>
      <c r="H2384" s="3"/>
    </row>
    <row r="2385" spans="1:8" hidden="1">
      <c r="A2385" s="3">
        <v>358684</v>
      </c>
      <c r="B2385" s="7" t="s">
        <v>59</v>
      </c>
      <c r="C2385" s="41">
        <v>56245</v>
      </c>
      <c r="D2385" s="6">
        <v>45621</v>
      </c>
      <c r="E2385" s="3" t="str">
        <f ca="1">IF(Tabela2[[#This Row],[Dt Venc:]]&gt;TODAY(),"Em Aberto",IF(Tabela2[[#This Row],[D/venc]]="-","Enviado",IF(Tabela2[[#This Row],[Dt Venc:]]=TODAY(),"Vence Hoje","Vencida")))</f>
        <v>Enviado</v>
      </c>
      <c r="F2385" s="3" t="str">
        <f ca="1">IF(G2385=1,"-",Tabela2[[#This Row],[Dt Venc:]]-TODAY())</f>
        <v>-</v>
      </c>
      <c r="G2385" s="3">
        <v>1</v>
      </c>
      <c r="H2385" s="3"/>
    </row>
    <row r="2386" spans="1:8" hidden="1">
      <c r="A2386" s="3">
        <v>141711</v>
      </c>
      <c r="B2386" s="7" t="s">
        <v>60</v>
      </c>
      <c r="C2386" s="41">
        <v>390</v>
      </c>
      <c r="D2386" s="6">
        <v>45621</v>
      </c>
      <c r="E2386" s="3" t="str">
        <f ca="1">IF(Tabela2[[#This Row],[Dt Venc:]]&gt;TODAY(),"Em Aberto",IF(Tabela2[[#This Row],[D/venc]]="-","Enviado",IF(Tabela2[[#This Row],[Dt Venc:]]=TODAY(),"Vence Hoje","Vencida")))</f>
        <v>Enviado</v>
      </c>
      <c r="F2386" s="3" t="str">
        <f ca="1">IF(G2386=1,"-",Tabela2[[#This Row],[Dt Venc:]]-TODAY())</f>
        <v>-</v>
      </c>
      <c r="G2386" s="3">
        <v>1</v>
      </c>
      <c r="H2386" s="3"/>
    </row>
    <row r="2387" spans="1:8" hidden="1">
      <c r="A2387" s="3">
        <v>10450</v>
      </c>
      <c r="B2387" s="7" t="s">
        <v>105</v>
      </c>
      <c r="C2387" s="41">
        <v>4250</v>
      </c>
      <c r="D2387" s="6">
        <v>45621</v>
      </c>
      <c r="E2387" s="3" t="str">
        <f ca="1">IF(Tabela2[[#This Row],[Dt Venc:]]&gt;TODAY(),"Em Aberto",IF(Tabela2[[#This Row],[D/venc]]="-","Enviado",IF(Tabela2[[#This Row],[Dt Venc:]]=TODAY(),"Vence Hoje","Vencida")))</f>
        <v>Enviado</v>
      </c>
      <c r="F2387" s="3" t="str">
        <f ca="1">IF(G2387=1,"-",Tabela2[[#This Row],[Dt Venc:]]-TODAY())</f>
        <v>-</v>
      </c>
      <c r="G2387" s="3">
        <v>1</v>
      </c>
      <c r="H2387" s="3"/>
    </row>
    <row r="2388" spans="1:8" hidden="1">
      <c r="A2388" s="3">
        <v>1782</v>
      </c>
      <c r="B2388" s="7" t="s">
        <v>469</v>
      </c>
      <c r="C2388" s="41">
        <v>37500</v>
      </c>
      <c r="D2388" s="6">
        <v>45621</v>
      </c>
      <c r="E2388" s="3" t="str">
        <f ca="1">IF(Tabela2[[#This Row],[Dt Venc:]]&gt;TODAY(),"Em Aberto",IF(Tabela2[[#This Row],[D/venc]]="-","Enviado",IF(Tabela2[[#This Row],[Dt Venc:]]=TODAY(),"Vence Hoje","Vencida")))</f>
        <v>Enviado</v>
      </c>
      <c r="F2388" s="3" t="str">
        <f ca="1">IF(G2388=1,"-",Tabela2[[#This Row],[Dt Venc:]]-TODAY())</f>
        <v>-</v>
      </c>
      <c r="G2388" s="3">
        <v>1</v>
      </c>
      <c r="H2388" s="3"/>
    </row>
    <row r="2389" spans="1:8" hidden="1">
      <c r="A2389" s="3">
        <v>495914</v>
      </c>
      <c r="B2389" s="7" t="s">
        <v>153</v>
      </c>
      <c r="C2389" s="84" t="s">
        <v>32</v>
      </c>
      <c r="D2389" s="6">
        <v>45621</v>
      </c>
      <c r="E2389" s="3" t="str">
        <f ca="1">IF(Tabela2[[#This Row],[Dt Venc:]]&gt;TODAY(),"Em Aberto",IF(Tabela2[[#This Row],[D/venc]]="-","Enviado",IF(Tabela2[[#This Row],[Dt Venc:]]=TODAY(),"Vence Hoje","Vencida")))</f>
        <v>Enviado</v>
      </c>
      <c r="F2389" s="3" t="str">
        <f ca="1">IF(G2389=1,"-",Tabela2[[#This Row],[Dt Venc:]]-TODAY())</f>
        <v>-</v>
      </c>
      <c r="G2389" s="3">
        <v>1</v>
      </c>
      <c r="H2389" s="3"/>
    </row>
    <row r="2390" spans="1:8" hidden="1">
      <c r="A2390" s="3" t="s">
        <v>110</v>
      </c>
      <c r="B2390" s="7" t="s">
        <v>344</v>
      </c>
      <c r="C2390" s="42" t="s">
        <v>32</v>
      </c>
      <c r="D2390" s="6">
        <v>45621</v>
      </c>
      <c r="E2390" s="3" t="str">
        <f ca="1">IF(Tabela2[[#This Row],[Dt Venc:]]&gt;TODAY(),"Em Aberto",IF(Tabela2[[#This Row],[D/venc]]="-","Enviado",IF(Tabela2[[#This Row],[Dt Venc:]]=TODAY(),"Vence Hoje","Vencida")))</f>
        <v>Enviado</v>
      </c>
      <c r="F2390" s="3" t="str">
        <f ca="1">IF(G2390=1,"-",Tabela2[[#This Row],[Dt Venc:]]-TODAY())</f>
        <v>-</v>
      </c>
      <c r="G2390" s="3">
        <v>1</v>
      </c>
      <c r="H2390" s="3"/>
    </row>
    <row r="2391" spans="1:8" hidden="1">
      <c r="A2391" s="3" t="s">
        <v>110</v>
      </c>
      <c r="B2391" s="7" t="s">
        <v>470</v>
      </c>
      <c r="C2391" s="42" t="s">
        <v>32</v>
      </c>
      <c r="D2391" s="6">
        <v>45621</v>
      </c>
      <c r="E2391" s="3" t="str">
        <f ca="1">IF(Tabela2[[#This Row],[Dt Venc:]]&gt;TODAY(),"Em Aberto",IF(Tabela2[[#This Row],[D/venc]]="-","Enviado",IF(Tabela2[[#This Row],[Dt Venc:]]=TODAY(),"Vence Hoje","Vencida")))</f>
        <v>Enviado</v>
      </c>
      <c r="F2391" s="3" t="str">
        <f ca="1">IF(G2391=1,"-",Tabela2[[#This Row],[Dt Venc:]]-TODAY())</f>
        <v>-</v>
      </c>
      <c r="G2391" s="3">
        <v>1</v>
      </c>
      <c r="H2391" s="3"/>
    </row>
    <row r="2392" spans="1:8" hidden="1">
      <c r="A2392" s="3" t="s">
        <v>110</v>
      </c>
      <c r="B2392" s="7" t="s">
        <v>353</v>
      </c>
      <c r="C2392" s="42" t="s">
        <v>32</v>
      </c>
      <c r="D2392" s="6">
        <v>45621</v>
      </c>
      <c r="E2392" s="3" t="str">
        <f ca="1">IF(Tabela2[[#This Row],[Dt Venc:]]&gt;TODAY(),"Em Aberto",IF(Tabela2[[#This Row],[D/venc]]="-","Enviado",IF(Tabela2[[#This Row],[Dt Venc:]]=TODAY(),"Vence Hoje","Vencida")))</f>
        <v>Enviado</v>
      </c>
      <c r="F2392" s="3" t="str">
        <f ca="1">IF(G2392=1,"-",Tabela2[[#This Row],[Dt Venc:]]-TODAY())</f>
        <v>-</v>
      </c>
      <c r="G2392" s="3">
        <v>1</v>
      </c>
      <c r="H2392" s="3"/>
    </row>
    <row r="2393" spans="1:8" hidden="1">
      <c r="A2393" s="3" t="s">
        <v>110</v>
      </c>
      <c r="B2393" s="7" t="s">
        <v>111</v>
      </c>
      <c r="C2393" s="42" t="s">
        <v>32</v>
      </c>
      <c r="D2393" s="6">
        <v>45621</v>
      </c>
      <c r="E2393" s="3" t="str">
        <f ca="1">IF(Tabela2[[#This Row],[Dt Venc:]]&gt;TODAY(),"Em Aberto",IF(Tabela2[[#This Row],[D/venc]]="-","Enviado",IF(Tabela2[[#This Row],[Dt Venc:]]=TODAY(),"Vence Hoje","Vencida")))</f>
        <v>Enviado</v>
      </c>
      <c r="F2393" s="3" t="str">
        <f ca="1">IF(G2393=1,"-",Tabela2[[#This Row],[Dt Venc:]]-TODAY())</f>
        <v>-</v>
      </c>
      <c r="G2393" s="3">
        <v>1</v>
      </c>
      <c r="H2393" s="3"/>
    </row>
    <row r="2394" spans="1:8" hidden="1">
      <c r="A2394" s="3">
        <v>232</v>
      </c>
      <c r="B2394" s="7" t="s">
        <v>471</v>
      </c>
      <c r="C2394" s="41">
        <v>1200</v>
      </c>
      <c r="D2394" s="6">
        <v>45621</v>
      </c>
      <c r="E2394" s="3" t="str">
        <f ca="1">IF(Tabela2[[#This Row],[Dt Venc:]]&gt;TODAY(),"Em Aberto",IF(Tabela2[[#This Row],[D/venc]]="-","Enviado",IF(Tabela2[[#This Row],[Dt Venc:]]=TODAY(),"Vence Hoje","Vencida")))</f>
        <v>Enviado</v>
      </c>
      <c r="F2394" s="3" t="str">
        <f ca="1">IF(G2394=1,"-",Tabela2[[#This Row],[Dt Venc:]]-TODAY())</f>
        <v>-</v>
      </c>
      <c r="G2394" s="3">
        <v>1</v>
      </c>
      <c r="H2394" s="3"/>
    </row>
    <row r="2395" spans="1:8" hidden="1">
      <c r="A2395" s="3" t="s">
        <v>110</v>
      </c>
      <c r="B2395" s="7" t="s">
        <v>271</v>
      </c>
      <c r="C2395" s="87" t="s">
        <v>30</v>
      </c>
      <c r="D2395" s="6">
        <v>45621</v>
      </c>
      <c r="E2395" s="3" t="str">
        <f ca="1">IF(Tabela2[[#This Row],[Dt Venc:]]&gt;TODAY(),"Em Aberto",IF(Tabela2[[#This Row],[D/venc]]="-","Enviado",IF(Tabela2[[#This Row],[Dt Venc:]]=TODAY(),"Vence Hoje","Vencida")))</f>
        <v>Enviado</v>
      </c>
      <c r="F2395" s="3" t="str">
        <f ca="1">IF(G2395=1,"-",Tabela2[[#This Row],[Dt Venc:]]-TODAY())</f>
        <v>-</v>
      </c>
      <c r="G2395" s="3">
        <v>1</v>
      </c>
      <c r="H2395" s="3"/>
    </row>
    <row r="2396" spans="1:8" hidden="1">
      <c r="A2396" s="3" t="s">
        <v>110</v>
      </c>
      <c r="B2396" s="7" t="s">
        <v>345</v>
      </c>
      <c r="C2396" s="42" t="s">
        <v>32</v>
      </c>
      <c r="D2396" s="6">
        <v>45621</v>
      </c>
      <c r="E2396" s="3" t="str">
        <f ca="1">IF(Tabela2[[#This Row],[Dt Venc:]]&gt;TODAY(),"Em Aberto",IF(Tabela2[[#This Row],[D/venc]]="-","Enviado",IF(Tabela2[[#This Row],[Dt Venc:]]=TODAY(),"Vence Hoje","Vencida")))</f>
        <v>Enviado</v>
      </c>
      <c r="F2396" s="3" t="str">
        <f ca="1">IF(G2396=1,"-",Tabela2[[#This Row],[Dt Venc:]]-TODAY())</f>
        <v>-</v>
      </c>
      <c r="G2396" s="3">
        <v>1</v>
      </c>
      <c r="H2396" s="3"/>
    </row>
    <row r="2397" spans="1:8" hidden="1">
      <c r="A2397" s="3">
        <v>5793</v>
      </c>
      <c r="B2397" s="7" t="s">
        <v>47</v>
      </c>
      <c r="C2397" s="42">
        <v>1298.67</v>
      </c>
      <c r="D2397" s="6">
        <v>45622</v>
      </c>
      <c r="E2397" s="3" t="str">
        <f ca="1">IF(Tabela2[[#This Row],[Dt Venc:]]&gt;TODAY(),"Em Aberto",IF(Tabela2[[#This Row],[D/venc]]="-","Enviado",IF(Tabela2[[#This Row],[Dt Venc:]]=TODAY(),"Vence Hoje","Vencida")))</f>
        <v>Enviado</v>
      </c>
      <c r="F2397" s="3" t="str">
        <f ca="1">IF(G2397=1,"-",Tabela2[[#This Row],[Dt Venc:]]-TODAY())</f>
        <v>-</v>
      </c>
      <c r="G2397" s="3">
        <v>1</v>
      </c>
      <c r="H2397" s="3"/>
    </row>
    <row r="2398" spans="1:8" hidden="1">
      <c r="A2398" s="3">
        <v>390905</v>
      </c>
      <c r="B2398" s="7" t="s">
        <v>136</v>
      </c>
      <c r="C2398" s="42">
        <v>1870</v>
      </c>
      <c r="D2398" s="6">
        <v>45622</v>
      </c>
      <c r="E2398" s="3" t="str">
        <f ca="1">IF(Tabela2[[#This Row],[Dt Venc:]]&gt;TODAY(),"Em Aberto",IF(Tabela2[[#This Row],[D/venc]]="-","Enviado",IF(Tabela2[[#This Row],[Dt Venc:]]=TODAY(),"Vence Hoje","Vencida")))</f>
        <v>Enviado</v>
      </c>
      <c r="F2398" s="3" t="str">
        <f ca="1">IF(G2398=1,"-",Tabela2[[#This Row],[Dt Venc:]]-TODAY())</f>
        <v>-</v>
      </c>
      <c r="G2398" s="3">
        <v>1</v>
      </c>
      <c r="H2398" s="3"/>
    </row>
    <row r="2399" spans="1:8" hidden="1">
      <c r="A2399" s="3">
        <v>152457</v>
      </c>
      <c r="B2399" s="7" t="s">
        <v>77</v>
      </c>
      <c r="C2399" s="42">
        <v>1233.33</v>
      </c>
      <c r="D2399" s="6">
        <v>45622</v>
      </c>
      <c r="E2399" s="3" t="str">
        <f ca="1">IF(Tabela2[[#This Row],[Dt Venc:]]&gt;TODAY(),"Em Aberto",IF(Tabela2[[#This Row],[D/venc]]="-","Enviado",IF(Tabela2[[#This Row],[Dt Venc:]]=TODAY(),"Vence Hoje","Vencida")))</f>
        <v>Enviado</v>
      </c>
      <c r="F2399" s="3" t="str">
        <f ca="1">IF(G2399=1,"-",Tabela2[[#This Row],[Dt Venc:]]-TODAY())</f>
        <v>-</v>
      </c>
      <c r="G2399" s="3">
        <v>1</v>
      </c>
      <c r="H2399" s="3"/>
    </row>
    <row r="2400" spans="1:8" hidden="1">
      <c r="A2400" s="3">
        <v>22580</v>
      </c>
      <c r="B2400" s="7" t="s">
        <v>38</v>
      </c>
      <c r="C2400" s="42">
        <v>2596.67</v>
      </c>
      <c r="D2400" s="6">
        <v>45622</v>
      </c>
      <c r="E2400" s="3" t="str">
        <f ca="1">IF(Tabela2[[#This Row],[Dt Venc:]]&gt;TODAY(),"Em Aberto",IF(Tabela2[[#This Row],[D/venc]]="-","Enviado",IF(Tabela2[[#This Row],[Dt Venc:]]=TODAY(),"Vence Hoje","Vencida")))</f>
        <v>Enviado</v>
      </c>
      <c r="F2400" s="3" t="str">
        <f ca="1">IF(G2400=1,"-",Tabela2[[#This Row],[Dt Venc:]]-TODAY())</f>
        <v>-</v>
      </c>
      <c r="G2400" s="3">
        <v>1</v>
      </c>
      <c r="H2400" s="3"/>
    </row>
    <row r="2401" spans="1:8" hidden="1">
      <c r="A2401" s="3">
        <v>5790</v>
      </c>
      <c r="B2401" s="7" t="s">
        <v>47</v>
      </c>
      <c r="C2401" s="42">
        <v>815.69</v>
      </c>
      <c r="D2401" s="6">
        <v>45622</v>
      </c>
      <c r="E2401" s="3" t="str">
        <f ca="1">IF(Tabela2[[#This Row],[Dt Venc:]]&gt;TODAY(),"Em Aberto",IF(Tabela2[[#This Row],[D/venc]]="-","Enviado",IF(Tabela2[[#This Row],[Dt Venc:]]=TODAY(),"Vence Hoje","Vencida")))</f>
        <v>Enviado</v>
      </c>
      <c r="F2401" s="3" t="str">
        <f ca="1">IF(G2401=1,"-",Tabela2[[#This Row],[Dt Venc:]]-TODAY())</f>
        <v>-</v>
      </c>
      <c r="G2401" s="3">
        <v>1</v>
      </c>
      <c r="H2401" s="3"/>
    </row>
    <row r="2402" spans="1:8" hidden="1">
      <c r="A2402" s="3">
        <v>606061</v>
      </c>
      <c r="B2402" s="7" t="s">
        <v>56</v>
      </c>
      <c r="C2402" s="42">
        <v>996.08</v>
      </c>
      <c r="D2402" s="6">
        <v>45622</v>
      </c>
      <c r="E2402" s="3" t="str">
        <f ca="1">IF(Tabela2[[#This Row],[Dt Venc:]]&gt;TODAY(),"Em Aberto",IF(Tabela2[[#This Row],[D/venc]]="-","Enviado",IF(Tabela2[[#This Row],[Dt Venc:]]=TODAY(),"Vence Hoje","Vencida")))</f>
        <v>Enviado</v>
      </c>
      <c r="F2402" s="3" t="str">
        <f ca="1">IF(G2402=1,"-",Tabela2[[#This Row],[Dt Venc:]]-TODAY())</f>
        <v>-</v>
      </c>
      <c r="G2402" s="3">
        <v>1</v>
      </c>
      <c r="H2402" s="3"/>
    </row>
    <row r="2403" spans="1:8" hidden="1">
      <c r="A2403" s="3">
        <v>626372</v>
      </c>
      <c r="B2403" s="7" t="s">
        <v>77</v>
      </c>
      <c r="C2403" s="42">
        <v>810</v>
      </c>
      <c r="D2403" s="6">
        <v>45622</v>
      </c>
      <c r="E2403" s="3" t="str">
        <f ca="1">IF(Tabela2[[#This Row],[Dt Venc:]]&gt;TODAY(),"Em Aberto",IF(Tabela2[[#This Row],[D/venc]]="-","Enviado",IF(Tabela2[[#This Row],[Dt Venc:]]=TODAY(),"Vence Hoje","Vencida")))</f>
        <v>Enviado</v>
      </c>
      <c r="F2403" s="3" t="str">
        <f ca="1">IF(G2403=1,"-",Tabela2[[#This Row],[Dt Venc:]]-TODAY())</f>
        <v>-</v>
      </c>
      <c r="G2403" s="3">
        <v>1</v>
      </c>
      <c r="H2403" s="3"/>
    </row>
    <row r="2404" spans="1:8" hidden="1">
      <c r="A2404" s="3">
        <v>473268</v>
      </c>
      <c r="B2404" s="7" t="s">
        <v>108</v>
      </c>
      <c r="C2404" s="42">
        <v>390.57</v>
      </c>
      <c r="D2404" s="6">
        <v>45622</v>
      </c>
      <c r="E2404" s="3" t="str">
        <f ca="1">IF(Tabela2[[#This Row],[Dt Venc:]]&gt;TODAY(),"Em Aberto",IF(Tabela2[[#This Row],[D/venc]]="-","Enviado",IF(Tabela2[[#This Row],[Dt Venc:]]=TODAY(),"Vence Hoje","Vencida")))</f>
        <v>Enviado</v>
      </c>
      <c r="F2404" s="3" t="str">
        <f ca="1">IF(G2404=1,"-",Tabela2[[#This Row],[Dt Venc:]]-TODAY())</f>
        <v>-</v>
      </c>
      <c r="G2404" s="3">
        <v>1</v>
      </c>
      <c r="H2404" s="3"/>
    </row>
    <row r="2405" spans="1:8" hidden="1">
      <c r="A2405" s="3">
        <v>1401246</v>
      </c>
      <c r="B2405" s="7" t="s">
        <v>368</v>
      </c>
      <c r="C2405" s="42">
        <v>491.03</v>
      </c>
      <c r="D2405" s="6">
        <v>45622</v>
      </c>
      <c r="E2405" s="3" t="str">
        <f ca="1">IF(Tabela2[[#This Row],[Dt Venc:]]&gt;TODAY(),"Em Aberto",IF(Tabela2[[#This Row],[D/venc]]="-","Enviado",IF(Tabela2[[#This Row],[Dt Venc:]]=TODAY(),"Vence Hoje","Vencida")))</f>
        <v>Enviado</v>
      </c>
      <c r="F2405" s="3" t="str">
        <f ca="1">IF(G2405=1,"-",Tabela2[[#This Row],[Dt Venc:]]-TODAY())</f>
        <v>-</v>
      </c>
      <c r="G2405" s="3">
        <v>1</v>
      </c>
      <c r="H2405" s="3"/>
    </row>
    <row r="2406" spans="1:8" hidden="1">
      <c r="A2406" s="3">
        <v>23081</v>
      </c>
      <c r="B2406" s="7" t="s">
        <v>38</v>
      </c>
      <c r="C2406" s="42">
        <v>1344</v>
      </c>
      <c r="D2406" s="6">
        <v>45622</v>
      </c>
      <c r="E2406" s="3" t="str">
        <f ca="1">IF(Tabela2[[#This Row],[Dt Venc:]]&gt;TODAY(),"Em Aberto",IF(Tabela2[[#This Row],[D/venc]]="-","Enviado",IF(Tabela2[[#This Row],[Dt Venc:]]=TODAY(),"Vence Hoje","Vencida")))</f>
        <v>Enviado</v>
      </c>
      <c r="F2406" s="3" t="str">
        <f ca="1">IF(G2406=1,"-",Tabela2[[#This Row],[Dt Venc:]]-TODAY())</f>
        <v>-</v>
      </c>
      <c r="G2406" s="3">
        <v>1</v>
      </c>
      <c r="H2406" s="3"/>
    </row>
    <row r="2407" spans="1:8" hidden="1">
      <c r="A2407" s="3">
        <v>23082</v>
      </c>
      <c r="B2407" s="7" t="s">
        <v>38</v>
      </c>
      <c r="C2407" s="42">
        <v>1028.53</v>
      </c>
      <c r="D2407" s="6">
        <v>45622</v>
      </c>
      <c r="E2407" s="3" t="str">
        <f ca="1">IF(Tabela2[[#This Row],[Dt Venc:]]&gt;TODAY(),"Em Aberto",IF(Tabela2[[#This Row],[D/venc]]="-","Enviado",IF(Tabela2[[#This Row],[Dt Venc:]]=TODAY(),"Vence Hoje","Vencida")))</f>
        <v>Enviado</v>
      </c>
      <c r="F2407" s="3" t="str">
        <f ca="1">IF(G2407=1,"-",Tabela2[[#This Row],[Dt Venc:]]-TODAY())</f>
        <v>-</v>
      </c>
      <c r="G2407" s="3">
        <v>1</v>
      </c>
      <c r="H2407" s="3"/>
    </row>
    <row r="2408" spans="1:8" hidden="1">
      <c r="A2408" s="3">
        <v>326261</v>
      </c>
      <c r="B2408" s="7" t="s">
        <v>348</v>
      </c>
      <c r="C2408" s="42">
        <v>408.67</v>
      </c>
      <c r="D2408" s="6">
        <v>45622</v>
      </c>
      <c r="E2408" s="3" t="str">
        <f ca="1">IF(Tabela2[[#This Row],[Dt Venc:]]&gt;TODAY(),"Em Aberto",IF(Tabela2[[#This Row],[D/venc]]="-","Enviado",IF(Tabela2[[#This Row],[Dt Venc:]]=TODAY(),"Vence Hoje","Vencida")))</f>
        <v>Enviado</v>
      </c>
      <c r="F2408" s="3" t="str">
        <f ca="1">IF(G2408=1,"-",Tabela2[[#This Row],[Dt Venc:]]-TODAY())</f>
        <v>-</v>
      </c>
      <c r="G2408" s="3">
        <v>1</v>
      </c>
      <c r="H2408" s="3"/>
    </row>
    <row r="2409" spans="1:8" hidden="1">
      <c r="A2409" s="3">
        <v>89390</v>
      </c>
      <c r="B2409" s="7" t="s">
        <v>212</v>
      </c>
      <c r="C2409" s="42">
        <v>912</v>
      </c>
      <c r="D2409" s="6">
        <v>45622</v>
      </c>
      <c r="E2409" s="3" t="str">
        <f ca="1">IF(Tabela2[[#This Row],[Dt Venc:]]&gt;TODAY(),"Em Aberto",IF(Tabela2[[#This Row],[D/venc]]="-","Enviado",IF(Tabela2[[#This Row],[Dt Venc:]]=TODAY(),"Vence Hoje","Vencida")))</f>
        <v>Enviado</v>
      </c>
      <c r="F2409" s="3" t="str">
        <f ca="1">IF(G2409=1,"-",Tabela2[[#This Row],[Dt Venc:]]-TODAY())</f>
        <v>-</v>
      </c>
      <c r="G2409" s="3">
        <v>1</v>
      </c>
      <c r="H2409" s="3"/>
    </row>
    <row r="2410" spans="1:8" hidden="1">
      <c r="A2410" s="3">
        <v>25727</v>
      </c>
      <c r="B2410" s="7" t="s">
        <v>363</v>
      </c>
      <c r="C2410" s="42">
        <v>1266.6600000000001</v>
      </c>
      <c r="D2410" s="6">
        <v>45622</v>
      </c>
      <c r="E2410" s="3" t="str">
        <f ca="1">IF(Tabela2[[#This Row],[Dt Venc:]]&gt;TODAY(),"Em Aberto",IF(Tabela2[[#This Row],[D/venc]]="-","Enviado",IF(Tabela2[[#This Row],[Dt Venc:]]=TODAY(),"Vence Hoje","Vencida")))</f>
        <v>Enviado</v>
      </c>
      <c r="F2410" s="3" t="str">
        <f ca="1">IF(G2410=1,"-",Tabela2[[#This Row],[Dt Venc:]]-TODAY())</f>
        <v>-</v>
      </c>
      <c r="G2410" s="3">
        <v>1</v>
      </c>
      <c r="H2410" s="3"/>
    </row>
    <row r="2411" spans="1:8" hidden="1">
      <c r="A2411" s="3">
        <v>153153</v>
      </c>
      <c r="B2411" s="7" t="s">
        <v>348</v>
      </c>
      <c r="C2411" s="42">
        <v>433.33</v>
      </c>
      <c r="D2411" s="6">
        <v>45622</v>
      </c>
      <c r="E2411" s="3" t="str">
        <f ca="1">IF(Tabela2[[#This Row],[Dt Venc:]]&gt;TODAY(),"Em Aberto",IF(Tabela2[[#This Row],[D/venc]]="-","Enviado",IF(Tabela2[[#This Row],[Dt Venc:]]=TODAY(),"Vence Hoje","Vencida")))</f>
        <v>Enviado</v>
      </c>
      <c r="F2411" s="3" t="str">
        <f ca="1">IF(G2411=1,"-",Tabela2[[#This Row],[Dt Venc:]]-TODAY())</f>
        <v>-</v>
      </c>
      <c r="G2411" s="3">
        <v>1</v>
      </c>
      <c r="H2411" s="3"/>
    </row>
    <row r="2412" spans="1:8" hidden="1">
      <c r="A2412" s="3">
        <v>28083</v>
      </c>
      <c r="B2412" s="7" t="s">
        <v>142</v>
      </c>
      <c r="C2412" s="42">
        <v>430.26</v>
      </c>
      <c r="D2412" s="6">
        <v>45622</v>
      </c>
      <c r="E2412" s="3" t="str">
        <f ca="1">IF(Tabela2[[#This Row],[Dt Venc:]]&gt;TODAY(),"Em Aberto",IF(Tabela2[[#This Row],[D/venc]]="-","Enviado",IF(Tabela2[[#This Row],[Dt Venc:]]=TODAY(),"Vence Hoje","Vencida")))</f>
        <v>Enviado</v>
      </c>
      <c r="F2412" s="3" t="str">
        <f ca="1">IF(G2412=1,"-",Tabela2[[#This Row],[Dt Venc:]]-TODAY())</f>
        <v>-</v>
      </c>
      <c r="G2412" s="3">
        <v>1</v>
      </c>
      <c r="H2412" s="3"/>
    </row>
    <row r="2413" spans="1:8" hidden="1">
      <c r="A2413" s="3">
        <v>5864</v>
      </c>
      <c r="B2413" s="7" t="s">
        <v>140</v>
      </c>
      <c r="C2413" s="42">
        <v>562.33000000000004</v>
      </c>
      <c r="D2413" s="6">
        <v>45622</v>
      </c>
      <c r="E2413" s="3" t="str">
        <f ca="1">IF(Tabela2[[#This Row],[Dt Venc:]]&gt;TODAY(),"Em Aberto",IF(Tabela2[[#This Row],[D/venc]]="-","Enviado",IF(Tabela2[[#This Row],[Dt Venc:]]=TODAY(),"Vence Hoje","Vencida")))</f>
        <v>Enviado</v>
      </c>
      <c r="F2413" s="3" t="str">
        <f ca="1">IF(G2413=1,"-",Tabela2[[#This Row],[Dt Venc:]]-TODAY())</f>
        <v>-</v>
      </c>
      <c r="G2413" s="3">
        <v>1</v>
      </c>
      <c r="H2413" s="3"/>
    </row>
    <row r="2414" spans="1:8" hidden="1">
      <c r="A2414" s="3">
        <v>10952</v>
      </c>
      <c r="B2414" s="7" t="s">
        <v>33</v>
      </c>
      <c r="C2414" s="42">
        <v>1330</v>
      </c>
      <c r="D2414" s="6">
        <v>45622</v>
      </c>
      <c r="E2414" s="3" t="str">
        <f ca="1">IF(Tabela2[[#This Row],[Dt Venc:]]&gt;TODAY(),"Em Aberto",IF(Tabela2[[#This Row],[D/venc]]="-","Enviado",IF(Tabela2[[#This Row],[Dt Venc:]]=TODAY(),"Vence Hoje","Vencida")))</f>
        <v>Enviado</v>
      </c>
      <c r="F2414" s="3" t="str">
        <f ca="1">IF(G2414=1,"-",Tabela2[[#This Row],[Dt Venc:]]-TODAY())</f>
        <v>-</v>
      </c>
      <c r="G2414" s="3">
        <v>1</v>
      </c>
      <c r="H2414" s="3"/>
    </row>
    <row r="2415" spans="1:8" hidden="1">
      <c r="A2415" s="3">
        <v>5866</v>
      </c>
      <c r="B2415" s="7" t="s">
        <v>140</v>
      </c>
      <c r="C2415" s="42">
        <v>636.77</v>
      </c>
      <c r="D2415" s="6">
        <v>45622</v>
      </c>
      <c r="E2415" s="3" t="str">
        <f ca="1">IF(Tabela2[[#This Row],[Dt Venc:]]&gt;TODAY(),"Em Aberto",IF(Tabela2[[#This Row],[D/venc]]="-","Enviado",IF(Tabela2[[#This Row],[Dt Venc:]]=TODAY(),"Vence Hoje","Vencida")))</f>
        <v>Enviado</v>
      </c>
      <c r="F2415" s="3" t="str">
        <f ca="1">IF(G2415=1,"-",Tabela2[[#This Row],[Dt Venc:]]-TODAY())</f>
        <v>-</v>
      </c>
      <c r="G2415" s="3">
        <v>1</v>
      </c>
      <c r="H2415" s="3"/>
    </row>
    <row r="2416" spans="1:8" hidden="1">
      <c r="A2416" s="3">
        <v>10952</v>
      </c>
      <c r="B2416" s="7" t="s">
        <v>33</v>
      </c>
      <c r="C2416" s="42">
        <v>1330</v>
      </c>
      <c r="D2416" s="6">
        <v>45622</v>
      </c>
      <c r="E2416" s="3" t="str">
        <f ca="1">IF(Tabela2[[#This Row],[Dt Venc:]]&gt;TODAY(),"Em Aberto",IF(Tabela2[[#This Row],[D/venc]]="-","Enviado",IF(Tabela2[[#This Row],[Dt Venc:]]=TODAY(),"Vence Hoje","Vencida")))</f>
        <v>Enviado</v>
      </c>
      <c r="F2416" s="3" t="str">
        <f ca="1">IF(G2416=1,"-",Tabela2[[#This Row],[Dt Venc:]]-TODAY())</f>
        <v>-</v>
      </c>
      <c r="G2416" s="3">
        <v>1</v>
      </c>
      <c r="H2416" s="3"/>
    </row>
    <row r="2417" spans="1:8" hidden="1">
      <c r="A2417" s="3">
        <v>256419</v>
      </c>
      <c r="B2417" s="7" t="s">
        <v>49</v>
      </c>
      <c r="C2417" s="42">
        <v>1393.34</v>
      </c>
      <c r="D2417" s="6">
        <v>45622</v>
      </c>
      <c r="E2417" s="3" t="str">
        <f ca="1">IF(Tabela2[[#This Row],[Dt Venc:]]&gt;TODAY(),"Em Aberto",IF(Tabela2[[#This Row],[D/venc]]="-","Enviado",IF(Tabela2[[#This Row],[Dt Venc:]]=TODAY(),"Vence Hoje","Vencida")))</f>
        <v>Enviado</v>
      </c>
      <c r="F2417" s="3" t="str">
        <f ca="1">IF(G2417=1,"-",Tabela2[[#This Row],[Dt Venc:]]-TODAY())</f>
        <v>-</v>
      </c>
      <c r="G2417" s="3">
        <v>1</v>
      </c>
      <c r="H2417" s="3"/>
    </row>
    <row r="2418" spans="1:8" hidden="1">
      <c r="A2418" s="3">
        <v>256781</v>
      </c>
      <c r="B2418" s="7" t="s">
        <v>49</v>
      </c>
      <c r="C2418" s="41">
        <v>1741.66</v>
      </c>
      <c r="D2418" s="6">
        <v>45622</v>
      </c>
      <c r="E2418" s="3" t="str">
        <f ca="1">IF(Tabela2[[#This Row],[Dt Venc:]]&gt;TODAY(),"Em Aberto",IF(Tabela2[[#This Row],[D/venc]]="-","Enviado",IF(Tabela2[[#This Row],[Dt Venc:]]=TODAY(),"Vence Hoje","Vencida")))</f>
        <v>Enviado</v>
      </c>
      <c r="F2418" s="3" t="str">
        <f ca="1">IF(G2418=1,"-",Tabela2[[#This Row],[Dt Venc:]]-TODAY())</f>
        <v>-</v>
      </c>
      <c r="G2418" s="3">
        <v>1</v>
      </c>
      <c r="H2418" s="3"/>
    </row>
    <row r="2419" spans="1:8" hidden="1">
      <c r="A2419" s="3">
        <v>19297</v>
      </c>
      <c r="B2419" s="7" t="s">
        <v>367</v>
      </c>
      <c r="C2419" s="41">
        <v>1660</v>
      </c>
      <c r="D2419" s="6">
        <v>45622</v>
      </c>
      <c r="E2419" s="3" t="str">
        <f ca="1">IF(Tabela2[[#This Row],[Dt Venc:]]&gt;TODAY(),"Em Aberto",IF(Tabela2[[#This Row],[D/venc]]="-","Enviado",IF(Tabela2[[#This Row],[Dt Venc:]]=TODAY(),"Vence Hoje","Vencida")))</f>
        <v>Enviado</v>
      </c>
      <c r="F2419" s="3" t="str">
        <f ca="1">IF(G2419=1,"-",Tabela2[[#This Row],[Dt Venc:]]-TODAY())</f>
        <v>-</v>
      </c>
      <c r="G2419" s="3">
        <v>1</v>
      </c>
      <c r="H2419" s="3"/>
    </row>
    <row r="2420" spans="1:8" hidden="1">
      <c r="A2420" s="3">
        <v>257076</v>
      </c>
      <c r="B2420" s="7" t="s">
        <v>49</v>
      </c>
      <c r="C2420" s="41">
        <v>1393.34</v>
      </c>
      <c r="D2420" s="6">
        <v>45622</v>
      </c>
      <c r="E2420" s="3" t="str">
        <f ca="1">IF(Tabela2[[#This Row],[Dt Venc:]]&gt;TODAY(),"Em Aberto",IF(Tabela2[[#This Row],[D/venc]]="-","Enviado",IF(Tabela2[[#This Row],[Dt Venc:]]=TODAY(),"Vence Hoje","Vencida")))</f>
        <v>Enviado</v>
      </c>
      <c r="F2420" s="3" t="str">
        <f ca="1">IF(G2420=1,"-",Tabela2[[#This Row],[Dt Venc:]]-TODAY())</f>
        <v>-</v>
      </c>
      <c r="G2420" s="3">
        <v>1</v>
      </c>
      <c r="H2420" s="3"/>
    </row>
    <row r="2421" spans="1:8" hidden="1">
      <c r="A2421" s="3">
        <v>1091</v>
      </c>
      <c r="B2421" s="7" t="s">
        <v>155</v>
      </c>
      <c r="C2421" s="41">
        <v>24273</v>
      </c>
      <c r="D2421" s="6">
        <v>45622</v>
      </c>
      <c r="E2421" s="3" t="str">
        <f ca="1">IF(Tabela2[[#This Row],[Dt Venc:]]&gt;TODAY(),"Em Aberto",IF(Tabela2[[#This Row],[D/venc]]="-","Enviado",IF(Tabela2[[#This Row],[Dt Venc:]]=TODAY(),"Vence Hoje","Vencida")))</f>
        <v>Enviado</v>
      </c>
      <c r="F2421" s="3" t="str">
        <f ca="1">IF(G2421=1,"-",Tabela2[[#This Row],[Dt Venc:]]-TODAY())</f>
        <v>-</v>
      </c>
      <c r="G2421" s="3">
        <v>1</v>
      </c>
      <c r="H2421" s="3"/>
    </row>
    <row r="2422" spans="1:8" hidden="1">
      <c r="A2422" s="3">
        <v>19709</v>
      </c>
      <c r="B2422" s="7" t="s">
        <v>41</v>
      </c>
      <c r="C2422" s="41">
        <v>700</v>
      </c>
      <c r="D2422" s="6">
        <v>45622</v>
      </c>
      <c r="E2422" s="3" t="str">
        <f ca="1">IF(Tabela2[[#This Row],[Dt Venc:]]&gt;TODAY(),"Em Aberto",IF(Tabela2[[#This Row],[D/venc]]="-","Enviado",IF(Tabela2[[#This Row],[Dt Venc:]]=TODAY(),"Vence Hoje","Vencida")))</f>
        <v>Enviado</v>
      </c>
      <c r="F2422" s="3" t="str">
        <f ca="1">IF(G2422=1,"-",Tabela2[[#This Row],[Dt Venc:]]-TODAY())</f>
        <v>-</v>
      </c>
      <c r="G2422" s="3">
        <v>1</v>
      </c>
      <c r="H2422" s="3"/>
    </row>
    <row r="2423" spans="1:8" hidden="1">
      <c r="A2423" s="3">
        <v>246353</v>
      </c>
      <c r="B2423" s="7" t="s">
        <v>43</v>
      </c>
      <c r="C2423" s="41">
        <v>773.34</v>
      </c>
      <c r="D2423" s="6">
        <v>45622</v>
      </c>
      <c r="E2423" s="3" t="str">
        <f ca="1">IF(Tabela2[[#This Row],[Dt Venc:]]&gt;TODAY(),"Em Aberto",IF(Tabela2[[#This Row],[D/venc]]="-","Enviado",IF(Tabela2[[#This Row],[Dt Venc:]]=TODAY(),"Vence Hoje","Vencida")))</f>
        <v>Enviado</v>
      </c>
      <c r="F2423" s="3" t="str">
        <f ca="1">IF(G2423=1,"-",Tabela2[[#This Row],[Dt Venc:]]-TODAY())</f>
        <v>-</v>
      </c>
      <c r="G2423" s="3">
        <v>1</v>
      </c>
      <c r="H2423" s="3"/>
    </row>
    <row r="2424" spans="1:8" hidden="1">
      <c r="A2424" s="3">
        <v>129738</v>
      </c>
      <c r="B2424" s="7" t="s">
        <v>472</v>
      </c>
      <c r="C2424" s="41">
        <v>370.94</v>
      </c>
      <c r="D2424" s="6">
        <v>45622</v>
      </c>
      <c r="E2424" s="3" t="str">
        <f ca="1">IF(Tabela2[[#This Row],[Dt Venc:]]&gt;TODAY(),"Em Aberto",IF(Tabela2[[#This Row],[D/venc]]="-","Enviado",IF(Tabela2[[#This Row],[Dt Venc:]]=TODAY(),"Vence Hoje","Vencida")))</f>
        <v>Enviado</v>
      </c>
      <c r="F2424" s="3" t="str">
        <f ca="1">IF(G2424=1,"-",Tabela2[[#This Row],[Dt Venc:]]-TODAY())</f>
        <v>-</v>
      </c>
      <c r="G2424" s="3">
        <v>1</v>
      </c>
      <c r="H2424" s="3"/>
    </row>
    <row r="2425" spans="1:8" hidden="1">
      <c r="A2425" s="3">
        <v>614292</v>
      </c>
      <c r="B2425" s="7" t="s">
        <v>66</v>
      </c>
      <c r="C2425" s="41">
        <v>676.37</v>
      </c>
      <c r="D2425" s="6">
        <v>45622</v>
      </c>
      <c r="E2425" s="3" t="str">
        <f ca="1">IF(Tabela2[[#This Row],[Dt Venc:]]&gt;TODAY(),"Em Aberto",IF(Tabela2[[#This Row],[D/venc]]="-","Enviado",IF(Tabela2[[#This Row],[Dt Venc:]]=TODAY(),"Vence Hoje","Vencida")))</f>
        <v>Enviado</v>
      </c>
      <c r="F2425" s="3" t="str">
        <f ca="1">IF(G2425=1,"-",Tabela2[[#This Row],[Dt Venc:]]-TODAY())</f>
        <v>-</v>
      </c>
      <c r="G2425" s="3">
        <v>1</v>
      </c>
      <c r="H2425" s="3"/>
    </row>
    <row r="2426" spans="1:8" hidden="1">
      <c r="A2426" s="3">
        <v>246104</v>
      </c>
      <c r="B2426" s="7" t="s">
        <v>43</v>
      </c>
      <c r="C2426" s="41">
        <v>150</v>
      </c>
      <c r="D2426" s="6">
        <v>45622</v>
      </c>
      <c r="E2426" s="3" t="str">
        <f ca="1">IF(Tabela2[[#This Row],[Dt Venc:]]&gt;TODAY(),"Em Aberto",IF(Tabela2[[#This Row],[D/venc]]="-","Enviado",IF(Tabela2[[#This Row],[Dt Venc:]]=TODAY(),"Vence Hoje","Vencida")))</f>
        <v>Enviado</v>
      </c>
      <c r="F2426" s="3" t="str">
        <f ca="1">IF(G2426=1,"-",Tabela2[[#This Row],[Dt Venc:]]-TODAY())</f>
        <v>-</v>
      </c>
      <c r="G2426" s="3">
        <v>1</v>
      </c>
      <c r="H2426" s="3"/>
    </row>
    <row r="2427" spans="1:8" hidden="1">
      <c r="A2427" s="3">
        <v>2802</v>
      </c>
      <c r="B2427" s="7" t="s">
        <v>473</v>
      </c>
      <c r="C2427" s="41">
        <v>761.3</v>
      </c>
      <c r="D2427" s="6">
        <v>45622</v>
      </c>
      <c r="E2427" s="3" t="str">
        <f ca="1">IF(Tabela2[[#This Row],[Dt Venc:]]&gt;TODAY(),"Em Aberto",IF(Tabela2[[#This Row],[D/venc]]="-","Enviado",IF(Tabela2[[#This Row],[Dt Venc:]]=TODAY(),"Vence Hoje","Vencida")))</f>
        <v>Enviado</v>
      </c>
      <c r="F2427" s="3" t="str">
        <f ca="1">IF(G2427=1,"-",Tabela2[[#This Row],[Dt Venc:]]-TODAY())</f>
        <v>-</v>
      </c>
      <c r="G2427" s="3">
        <v>1</v>
      </c>
      <c r="H2427" s="3"/>
    </row>
    <row r="2428" spans="1:8" hidden="1">
      <c r="A2428" s="3">
        <v>5993</v>
      </c>
      <c r="B2428" s="7" t="s">
        <v>140</v>
      </c>
      <c r="C2428" s="41">
        <v>210</v>
      </c>
      <c r="D2428" s="6">
        <v>45622</v>
      </c>
      <c r="E2428" s="3" t="str">
        <f ca="1">IF(Tabela2[[#This Row],[Dt Venc:]]&gt;TODAY(),"Em Aberto",IF(Tabela2[[#This Row],[D/venc]]="-","Enviado",IF(Tabela2[[#This Row],[Dt Venc:]]=TODAY(),"Vence Hoje","Vencida")))</f>
        <v>Enviado</v>
      </c>
      <c r="F2428" s="3" t="str">
        <f ca="1">IF(G2428=1,"-",Tabela2[[#This Row],[Dt Venc:]]-TODAY())</f>
        <v>-</v>
      </c>
      <c r="G2428" s="3">
        <v>1</v>
      </c>
      <c r="H2428" s="3"/>
    </row>
    <row r="2429" spans="1:8" hidden="1">
      <c r="A2429" s="3">
        <v>209014</v>
      </c>
      <c r="B2429" s="7" t="s">
        <v>329</v>
      </c>
      <c r="C2429" s="41">
        <v>9030</v>
      </c>
      <c r="D2429" s="6">
        <v>45622</v>
      </c>
      <c r="E2429" s="3" t="str">
        <f ca="1">IF(Tabela2[[#This Row],[Dt Venc:]]&gt;TODAY(),"Em Aberto",IF(Tabela2[[#This Row],[D/venc]]="-","Enviado",IF(Tabela2[[#This Row],[Dt Venc:]]=TODAY(),"Vence Hoje","Vencida")))</f>
        <v>Enviado</v>
      </c>
      <c r="F2429" s="3" t="str">
        <f ca="1">IF(G2429=1,"-",Tabela2[[#This Row],[Dt Venc:]]-TODAY())</f>
        <v>-</v>
      </c>
      <c r="G2429" s="3">
        <v>1</v>
      </c>
      <c r="H2429" s="3"/>
    </row>
    <row r="2430" spans="1:8" hidden="1">
      <c r="A2430" s="3">
        <v>1994200</v>
      </c>
      <c r="B2430" s="7" t="s">
        <v>59</v>
      </c>
      <c r="C2430" s="41">
        <v>109690</v>
      </c>
      <c r="D2430" s="6">
        <v>45622</v>
      </c>
      <c r="E2430" s="3" t="str">
        <f ca="1">IF(Tabela2[[#This Row],[Dt Venc:]]&gt;TODAY(),"Em Aberto",IF(Tabela2[[#This Row],[D/venc]]="-","Enviado",IF(Tabela2[[#This Row],[Dt Venc:]]=TODAY(),"Vence Hoje","Vencida")))</f>
        <v>Enviado</v>
      </c>
      <c r="F2430" s="3" t="str">
        <f ca="1">IF(G2430=1,"-",Tabela2[[#This Row],[Dt Venc:]]-TODAY())</f>
        <v>-</v>
      </c>
      <c r="G2430" s="3">
        <v>1</v>
      </c>
      <c r="H2430" s="3"/>
    </row>
    <row r="2431" spans="1:8" hidden="1">
      <c r="A2431" s="3">
        <v>2265926</v>
      </c>
      <c r="B2431" s="7" t="s">
        <v>59</v>
      </c>
      <c r="C2431" s="41">
        <v>27556</v>
      </c>
      <c r="D2431" s="6">
        <v>45622</v>
      </c>
      <c r="E2431" s="3" t="str">
        <f ca="1">IF(Tabela2[[#This Row],[Dt Venc:]]&gt;TODAY(),"Em Aberto",IF(Tabela2[[#This Row],[D/venc]]="-","Enviado",IF(Tabela2[[#This Row],[Dt Venc:]]=TODAY(),"Vence Hoje","Vencida")))</f>
        <v>Enviado</v>
      </c>
      <c r="F2431" s="3" t="str">
        <f ca="1">IF(G2431=1,"-",Tabela2[[#This Row],[Dt Venc:]]-TODAY())</f>
        <v>-</v>
      </c>
      <c r="G2431" s="3">
        <v>1</v>
      </c>
      <c r="H2431" s="3"/>
    </row>
    <row r="2432" spans="1:8" hidden="1">
      <c r="A2432" s="3">
        <v>2265927</v>
      </c>
      <c r="B2432" s="7" t="s">
        <v>59</v>
      </c>
      <c r="C2432" s="41">
        <v>27556</v>
      </c>
      <c r="D2432" s="6">
        <v>45622</v>
      </c>
      <c r="E2432" s="3" t="str">
        <f ca="1">IF(Tabela2[[#This Row],[Dt Venc:]]&gt;TODAY(),"Em Aberto",IF(Tabela2[[#This Row],[D/venc]]="-","Enviado",IF(Tabela2[[#This Row],[Dt Venc:]]=TODAY(),"Vence Hoje","Vencida")))</f>
        <v>Enviado</v>
      </c>
      <c r="F2432" s="3" t="str">
        <f ca="1">IF(G2432=1,"-",Tabela2[[#This Row],[Dt Venc:]]-TODAY())</f>
        <v>-</v>
      </c>
      <c r="G2432" s="3">
        <v>1</v>
      </c>
      <c r="H2432" s="3"/>
    </row>
    <row r="2433" spans="1:8" hidden="1">
      <c r="A2433" s="3">
        <v>6491</v>
      </c>
      <c r="B2433" s="7" t="s">
        <v>291</v>
      </c>
      <c r="C2433" s="41">
        <v>5872.5</v>
      </c>
      <c r="D2433" s="6">
        <v>45622</v>
      </c>
      <c r="E2433" s="3" t="str">
        <f ca="1">IF(Tabela2[[#This Row],[Dt Venc:]]&gt;TODAY(),"Em Aberto",IF(Tabela2[[#This Row],[D/venc]]="-","Enviado",IF(Tabela2[[#This Row],[Dt Venc:]]=TODAY(),"Vence Hoje","Vencida")))</f>
        <v>Enviado</v>
      </c>
      <c r="F2433" s="3" t="str">
        <f ca="1">IF(G2433=1,"-",Tabela2[[#This Row],[Dt Venc:]]-TODAY())</f>
        <v>-</v>
      </c>
      <c r="G2433" s="3">
        <v>1</v>
      </c>
      <c r="H2433" s="3"/>
    </row>
    <row r="2434" spans="1:8" hidden="1">
      <c r="A2434" s="3">
        <v>3309334</v>
      </c>
      <c r="B2434" s="7" t="s">
        <v>71</v>
      </c>
      <c r="C2434" s="41">
        <v>81063</v>
      </c>
      <c r="D2434" s="6">
        <v>45622</v>
      </c>
      <c r="E2434" s="3" t="str">
        <f ca="1">IF(Tabela2[[#This Row],[Dt Venc:]]&gt;TODAY(),"Em Aberto",IF(Tabela2[[#This Row],[D/venc]]="-","Enviado",IF(Tabela2[[#This Row],[Dt Venc:]]=TODAY(),"Vence Hoje","Vencida")))</f>
        <v>Enviado</v>
      </c>
      <c r="F2434" s="3" t="str">
        <f ca="1">IF(G2434=1,"-",Tabela2[[#This Row],[Dt Venc:]]-TODAY())</f>
        <v>-</v>
      </c>
      <c r="G2434" s="3">
        <v>1</v>
      </c>
      <c r="H2434" s="3"/>
    </row>
    <row r="2435" spans="1:8" hidden="1">
      <c r="A2435" s="3">
        <v>53</v>
      </c>
      <c r="B2435" s="7" t="s">
        <v>417</v>
      </c>
      <c r="C2435" s="41">
        <v>1110</v>
      </c>
      <c r="D2435" s="6">
        <v>45622</v>
      </c>
      <c r="E2435" s="3" t="str">
        <f ca="1">IF(Tabela2[[#This Row],[Dt Venc:]]&gt;TODAY(),"Em Aberto",IF(Tabela2[[#This Row],[D/venc]]="-","Enviado",IF(Tabela2[[#This Row],[Dt Venc:]]=TODAY(),"Vence Hoje","Vencida")))</f>
        <v>Enviado</v>
      </c>
      <c r="F2435" s="3" t="str">
        <f ca="1">IF(G2435=1,"-",Tabela2[[#This Row],[Dt Venc:]]-TODAY())</f>
        <v>-</v>
      </c>
      <c r="G2435" s="3">
        <v>1</v>
      </c>
      <c r="H2435" s="3"/>
    </row>
    <row r="2436" spans="1:8" hidden="1">
      <c r="A2436" s="3">
        <v>5690</v>
      </c>
      <c r="B2436" s="7" t="s">
        <v>122</v>
      </c>
      <c r="C2436" s="84" t="s">
        <v>32</v>
      </c>
      <c r="D2436" s="6">
        <v>45623</v>
      </c>
      <c r="E2436" s="3" t="str">
        <f ca="1">IF(Tabela2[[#This Row],[Dt Venc:]]&gt;TODAY(),"Em Aberto",IF(Tabela2[[#This Row],[D/venc]]="-","Enviado",IF(Tabela2[[#This Row],[Dt Venc:]]=TODAY(),"Vence Hoje","Vencida")))</f>
        <v>Enviado</v>
      </c>
      <c r="F2436" s="3" t="str">
        <f ca="1">IF(G2436=1,"-",Tabela2[[#This Row],[Dt Venc:]]-TODAY())</f>
        <v>-</v>
      </c>
      <c r="G2436" s="3">
        <v>1</v>
      </c>
      <c r="H2436" s="3"/>
    </row>
    <row r="2437" spans="1:8" hidden="1">
      <c r="A2437" s="3">
        <v>10820</v>
      </c>
      <c r="B2437" s="7" t="s">
        <v>33</v>
      </c>
      <c r="C2437" s="42">
        <v>1651.66</v>
      </c>
      <c r="D2437" s="6">
        <v>45623</v>
      </c>
      <c r="E2437" s="3" t="str">
        <f ca="1">IF(Tabela2[[#This Row],[Dt Venc:]]&gt;TODAY(),"Em Aberto",IF(Tabela2[[#This Row],[D/venc]]="-","Enviado",IF(Tabela2[[#This Row],[Dt Venc:]]=TODAY(),"Vence Hoje","Vencida")))</f>
        <v>Enviado</v>
      </c>
      <c r="F2437" s="3" t="str">
        <f ca="1">IF(G2437=1,"-",Tabela2[[#This Row],[Dt Venc:]]-TODAY())</f>
        <v>-</v>
      </c>
      <c r="G2437" s="3">
        <v>1</v>
      </c>
      <c r="H2437" s="3"/>
    </row>
    <row r="2438" spans="1:8" hidden="1">
      <c r="A2438" s="3">
        <v>5</v>
      </c>
      <c r="B2438" s="7" t="s">
        <v>103</v>
      </c>
      <c r="C2438" s="42">
        <v>550</v>
      </c>
      <c r="D2438" s="6">
        <v>45623</v>
      </c>
      <c r="E2438" s="3" t="str">
        <f ca="1">IF(Tabela2[[#This Row],[Dt Venc:]]&gt;TODAY(),"Em Aberto",IF(Tabela2[[#This Row],[D/venc]]="-","Enviado",IF(Tabela2[[#This Row],[Dt Venc:]]=TODAY(),"Vence Hoje","Vencida")))</f>
        <v>Enviado</v>
      </c>
      <c r="F2438" s="3" t="str">
        <f ca="1">IF(G2438=1,"-",Tabela2[[#This Row],[Dt Venc:]]-TODAY())</f>
        <v>-</v>
      </c>
      <c r="G2438" s="3">
        <v>1</v>
      </c>
      <c r="H2438" s="3"/>
    </row>
    <row r="2439" spans="1:8" hidden="1">
      <c r="A2439" s="3">
        <v>324548</v>
      </c>
      <c r="B2439" s="7" t="s">
        <v>77</v>
      </c>
      <c r="C2439" s="42">
        <v>408.67</v>
      </c>
      <c r="D2439" s="6">
        <v>45623</v>
      </c>
      <c r="E2439" s="3" t="str">
        <f ca="1">IF(Tabela2[[#This Row],[Dt Venc:]]&gt;TODAY(),"Em Aberto",IF(Tabela2[[#This Row],[D/venc]]="-","Enviado",IF(Tabela2[[#This Row],[Dt Venc:]]=TODAY(),"Vence Hoje","Vencida")))</f>
        <v>Enviado</v>
      </c>
      <c r="F2439" s="3" t="str">
        <f ca="1">IF(G2439=1,"-",Tabela2[[#This Row],[Dt Venc:]]-TODAY())</f>
        <v>-</v>
      </c>
      <c r="G2439" s="3">
        <v>1</v>
      </c>
      <c r="H2439" s="3"/>
    </row>
    <row r="2440" spans="1:8" hidden="1">
      <c r="A2440" s="3">
        <v>171209</v>
      </c>
      <c r="B2440" s="7" t="s">
        <v>211</v>
      </c>
      <c r="C2440" s="42">
        <v>336.66</v>
      </c>
      <c r="D2440" s="6">
        <v>45623</v>
      </c>
      <c r="E2440" s="3" t="str">
        <f ca="1">IF(Tabela2[[#This Row],[Dt Venc:]]&gt;TODAY(),"Em Aberto",IF(Tabela2[[#This Row],[D/venc]]="-","Enviado",IF(Tabela2[[#This Row],[Dt Venc:]]=TODAY(),"Vence Hoje","Vencida")))</f>
        <v>Enviado</v>
      </c>
      <c r="F2440" s="3" t="str">
        <f ca="1">IF(G2440=1,"-",Tabela2[[#This Row],[Dt Venc:]]-TODAY())</f>
        <v>-</v>
      </c>
      <c r="G2440" s="3">
        <v>1</v>
      </c>
      <c r="H2440" s="3"/>
    </row>
    <row r="2441" spans="1:8" hidden="1">
      <c r="A2441" s="3">
        <v>5766</v>
      </c>
      <c r="B2441" s="7" t="s">
        <v>140</v>
      </c>
      <c r="C2441" s="42">
        <v>1008</v>
      </c>
      <c r="D2441" s="6">
        <v>45623</v>
      </c>
      <c r="E2441" s="3" t="str">
        <f ca="1">IF(Tabela2[[#This Row],[Dt Venc:]]&gt;TODAY(),"Em Aberto",IF(Tabela2[[#This Row],[D/venc]]="-","Enviado",IF(Tabela2[[#This Row],[Dt Venc:]]=TODAY(),"Vence Hoje","Vencida")))</f>
        <v>Enviado</v>
      </c>
      <c r="F2441" s="3" t="str">
        <f ca="1">IF(G2441=1,"-",Tabela2[[#This Row],[Dt Venc:]]-TODAY())</f>
        <v>-</v>
      </c>
      <c r="G2441" s="3">
        <v>1</v>
      </c>
      <c r="H2441" s="3"/>
    </row>
    <row r="2442" spans="1:8" hidden="1">
      <c r="A2442" s="3">
        <v>219832</v>
      </c>
      <c r="B2442" s="7" t="s">
        <v>43</v>
      </c>
      <c r="C2442" s="42">
        <v>599.75</v>
      </c>
      <c r="D2442" s="6">
        <v>45623</v>
      </c>
      <c r="E2442" s="3" t="str">
        <f ca="1">IF(Tabela2[[#This Row],[Dt Venc:]]&gt;TODAY(),"Em Aberto",IF(Tabela2[[#This Row],[D/venc]]="-","Enviado",IF(Tabela2[[#This Row],[Dt Venc:]]=TODAY(),"Vence Hoje","Vencida")))</f>
        <v>Enviado</v>
      </c>
      <c r="F2442" s="3" t="str">
        <f ca="1">IF(G2442=1,"-",Tabela2[[#This Row],[Dt Venc:]]-TODAY())</f>
        <v>-</v>
      </c>
      <c r="G2442" s="3">
        <v>1</v>
      </c>
      <c r="H2442" s="3"/>
    </row>
    <row r="2443" spans="1:8" hidden="1">
      <c r="A2443" s="3">
        <v>606315</v>
      </c>
      <c r="B2443" s="7" t="s">
        <v>66</v>
      </c>
      <c r="C2443" s="42">
        <v>1153.3499999999999</v>
      </c>
      <c r="D2443" s="6">
        <v>45623</v>
      </c>
      <c r="E2443" s="3" t="str">
        <f ca="1">IF(Tabela2[[#This Row],[Dt Venc:]]&gt;TODAY(),"Em Aberto",IF(Tabela2[[#This Row],[D/venc]]="-","Enviado",IF(Tabela2[[#This Row],[Dt Venc:]]=TODAY(),"Vence Hoje","Vencida")))</f>
        <v>Enviado</v>
      </c>
      <c r="F2443" s="3" t="str">
        <f ca="1">IF(G2443=1,"-",Tabela2[[#This Row],[Dt Venc:]]-TODAY())</f>
        <v>-</v>
      </c>
      <c r="G2443" s="3">
        <v>1</v>
      </c>
      <c r="H2443" s="3"/>
    </row>
    <row r="2444" spans="1:8" hidden="1">
      <c r="A2444" s="3">
        <v>94</v>
      </c>
      <c r="B2444" s="7" t="s">
        <v>339</v>
      </c>
      <c r="C2444" s="42">
        <v>33000</v>
      </c>
      <c r="D2444" s="6">
        <v>45623</v>
      </c>
      <c r="E2444" s="3" t="str">
        <f ca="1">IF(Tabela2[[#This Row],[Dt Venc:]]&gt;TODAY(),"Em Aberto",IF(Tabela2[[#This Row],[D/venc]]="-","Enviado",IF(Tabela2[[#This Row],[Dt Venc:]]=TODAY(),"Vence Hoje","Vencida")))</f>
        <v>Enviado</v>
      </c>
      <c r="F2444" s="3" t="str">
        <f ca="1">IF(G2444=1,"-",Tabela2[[#This Row],[Dt Venc:]]-TODAY())</f>
        <v>-</v>
      </c>
      <c r="G2444" s="3">
        <v>1</v>
      </c>
      <c r="H2444" s="3"/>
    </row>
    <row r="2445" spans="1:8" hidden="1">
      <c r="A2445" s="3">
        <v>28151</v>
      </c>
      <c r="B2445" s="7" t="s">
        <v>142</v>
      </c>
      <c r="C2445" s="42">
        <v>452</v>
      </c>
      <c r="D2445" s="6">
        <v>45623</v>
      </c>
      <c r="E2445" s="3" t="str">
        <f ca="1">IF(Tabela2[[#This Row],[Dt Venc:]]&gt;TODAY(),"Em Aberto",IF(Tabela2[[#This Row],[D/venc]]="-","Enviado",IF(Tabela2[[#This Row],[Dt Venc:]]=TODAY(),"Vence Hoje","Vencida")))</f>
        <v>Enviado</v>
      </c>
      <c r="F2445" s="3" t="str">
        <f ca="1">IF(G2445=1,"-",Tabela2[[#This Row],[Dt Venc:]]-TODAY())</f>
        <v>-</v>
      </c>
      <c r="G2445" s="3">
        <v>1</v>
      </c>
      <c r="H2445" s="3"/>
    </row>
    <row r="2446" spans="1:8" hidden="1">
      <c r="A2446" s="3">
        <v>30981</v>
      </c>
      <c r="B2446" s="7" t="s">
        <v>295</v>
      </c>
      <c r="C2446" s="42">
        <v>789.7</v>
      </c>
      <c r="D2446" s="6">
        <v>45623</v>
      </c>
      <c r="E2446" s="3" t="str">
        <f ca="1">IF(Tabela2[[#This Row],[Dt Venc:]]&gt;TODAY(),"Em Aberto",IF(Tabela2[[#This Row],[D/venc]]="-","Enviado",IF(Tabela2[[#This Row],[Dt Venc:]]=TODAY(),"Vence Hoje","Vencida")))</f>
        <v>Enviado</v>
      </c>
      <c r="F2446" s="3" t="str">
        <f ca="1">IF(G2446=1,"-",Tabela2[[#This Row],[Dt Venc:]]-TODAY())</f>
        <v>-</v>
      </c>
      <c r="G2446" s="3">
        <v>1</v>
      </c>
      <c r="H2446" s="3"/>
    </row>
    <row r="2447" spans="1:8" hidden="1">
      <c r="A2447" s="3">
        <v>610348</v>
      </c>
      <c r="B2447" s="7" t="s">
        <v>66</v>
      </c>
      <c r="C2447" s="42">
        <v>596.58000000000004</v>
      </c>
      <c r="D2447" s="6">
        <v>45623</v>
      </c>
      <c r="E2447" s="3" t="str">
        <f ca="1">IF(Tabela2[[#This Row],[Dt Venc:]]&gt;TODAY(),"Em Aberto",IF(Tabela2[[#This Row],[D/venc]]="-","Enviado",IF(Tabela2[[#This Row],[Dt Venc:]]=TODAY(),"Vence Hoje","Vencida")))</f>
        <v>Enviado</v>
      </c>
      <c r="F2447" s="3" t="str">
        <f ca="1">IF(G2447=1,"-",Tabela2[[#This Row],[Dt Venc:]]-TODAY())</f>
        <v>-</v>
      </c>
      <c r="G2447" s="3">
        <v>1</v>
      </c>
      <c r="H2447" s="3"/>
    </row>
    <row r="2448" spans="1:8" hidden="1">
      <c r="A2448" s="3">
        <v>1570</v>
      </c>
      <c r="B2448" s="7" t="s">
        <v>382</v>
      </c>
      <c r="C2448" s="42">
        <v>1400</v>
      </c>
      <c r="D2448" s="6">
        <v>45623</v>
      </c>
      <c r="E2448" s="3" t="str">
        <f ca="1">IF(Tabela2[[#This Row],[Dt Venc:]]&gt;TODAY(),"Em Aberto",IF(Tabela2[[#This Row],[D/venc]]="-","Enviado",IF(Tabela2[[#This Row],[Dt Venc:]]=TODAY(),"Vence Hoje","Vencida")))</f>
        <v>Enviado</v>
      </c>
      <c r="F2448" s="3" t="str">
        <f ca="1">IF(G2448=1,"-",Tabela2[[#This Row],[Dt Venc:]]-TODAY())</f>
        <v>-</v>
      </c>
      <c r="G2448" s="3">
        <v>1</v>
      </c>
      <c r="H2448" s="3"/>
    </row>
    <row r="2449" spans="1:8" hidden="1">
      <c r="A2449" s="3">
        <v>4101</v>
      </c>
      <c r="B2449" s="7" t="s">
        <v>382</v>
      </c>
      <c r="C2449" s="42">
        <v>680</v>
      </c>
      <c r="D2449" s="6">
        <v>45623</v>
      </c>
      <c r="E2449" s="3" t="str">
        <f ca="1">IF(Tabela2[[#This Row],[Dt Venc:]]&gt;TODAY(),"Em Aberto",IF(Tabela2[[#This Row],[D/venc]]="-","Enviado",IF(Tabela2[[#This Row],[Dt Venc:]]=TODAY(),"Vence Hoje","Vencida")))</f>
        <v>Enviado</v>
      </c>
      <c r="F2449" s="3" t="str">
        <f ca="1">IF(G2449=1,"-",Tabela2[[#This Row],[Dt Venc:]]-TODAY())</f>
        <v>-</v>
      </c>
      <c r="G2449" s="3">
        <v>1</v>
      </c>
      <c r="H2449" s="3"/>
    </row>
    <row r="2450" spans="1:8" hidden="1">
      <c r="A2450" s="3">
        <v>234133</v>
      </c>
      <c r="B2450" s="7" t="s">
        <v>43</v>
      </c>
      <c r="C2450" s="42">
        <v>1410.36</v>
      </c>
      <c r="D2450" s="6">
        <v>45623</v>
      </c>
      <c r="E2450" s="3" t="str">
        <f ca="1">IF(Tabela2[[#This Row],[Dt Venc:]]&gt;TODAY(),"Em Aberto",IF(Tabela2[[#This Row],[D/venc]]="-","Enviado",IF(Tabela2[[#This Row],[Dt Venc:]]=TODAY(),"Vence Hoje","Vencida")))</f>
        <v>Enviado</v>
      </c>
      <c r="F2450" s="3" t="str">
        <f ca="1">IF(G2450=1,"-",Tabela2[[#This Row],[Dt Venc:]]-TODAY())</f>
        <v>-</v>
      </c>
      <c r="G2450" s="3">
        <v>1</v>
      </c>
      <c r="H2450" s="3"/>
    </row>
    <row r="2451" spans="1:8" hidden="1">
      <c r="A2451" s="3">
        <v>26618</v>
      </c>
      <c r="B2451" s="7" t="s">
        <v>385</v>
      </c>
      <c r="C2451" s="42">
        <v>1040.2</v>
      </c>
      <c r="D2451" s="6">
        <v>45623</v>
      </c>
      <c r="E2451" s="3" t="str">
        <f ca="1">IF(Tabela2[[#This Row],[Dt Venc:]]&gt;TODAY(),"Em Aberto",IF(Tabela2[[#This Row],[D/venc]]="-","Enviado",IF(Tabela2[[#This Row],[Dt Venc:]]=TODAY(),"Vence Hoje","Vencida")))</f>
        <v>Enviado</v>
      </c>
      <c r="F2451" s="3" t="str">
        <f ca="1">IF(G2451=1,"-",Tabela2[[#This Row],[Dt Venc:]]-TODAY())</f>
        <v>-</v>
      </c>
      <c r="G2451" s="3">
        <v>1</v>
      </c>
      <c r="H2451" s="3"/>
    </row>
    <row r="2452" spans="1:8" hidden="1">
      <c r="A2452" s="3">
        <v>42</v>
      </c>
      <c r="B2452" s="7" t="s">
        <v>426</v>
      </c>
      <c r="C2452" s="41">
        <v>440</v>
      </c>
      <c r="D2452" s="6">
        <v>45623</v>
      </c>
      <c r="E2452" s="3" t="str">
        <f ca="1">IF(Tabela2[[#This Row],[Dt Venc:]]&gt;TODAY(),"Em Aberto",IF(Tabela2[[#This Row],[D/venc]]="-","Enviado",IF(Tabela2[[#This Row],[Dt Venc:]]=TODAY(),"Vence Hoje","Vencida")))</f>
        <v>Enviado</v>
      </c>
      <c r="F2452" s="3" t="str">
        <f ca="1">IF(G2452=1,"-",Tabela2[[#This Row],[Dt Venc:]]-TODAY())</f>
        <v>-</v>
      </c>
      <c r="G2452" s="3">
        <v>1</v>
      </c>
      <c r="H2452" s="3"/>
    </row>
    <row r="2453" spans="1:8" hidden="1">
      <c r="A2453" s="3">
        <v>23221</v>
      </c>
      <c r="B2453" s="7" t="s">
        <v>409</v>
      </c>
      <c r="C2453" s="41">
        <v>1110.67</v>
      </c>
      <c r="D2453" s="6">
        <v>45623</v>
      </c>
      <c r="E2453" s="3" t="str">
        <f ca="1">IF(Tabela2[[#This Row],[Dt Venc:]]&gt;TODAY(),"Em Aberto",IF(Tabela2[[#This Row],[D/venc]]="-","Enviado",IF(Tabela2[[#This Row],[Dt Venc:]]=TODAY(),"Vence Hoje","Vencida")))</f>
        <v>Enviado</v>
      </c>
      <c r="F2453" s="3" t="str">
        <f ca="1">IF(G2453=1,"-",Tabela2[[#This Row],[Dt Venc:]]-TODAY())</f>
        <v>-</v>
      </c>
      <c r="G2453" s="3">
        <v>1</v>
      </c>
      <c r="H2453" s="3"/>
    </row>
    <row r="2454" spans="1:8" hidden="1">
      <c r="A2454" s="3">
        <v>1281</v>
      </c>
      <c r="B2454" s="7" t="s">
        <v>474</v>
      </c>
      <c r="C2454" s="41">
        <v>2300</v>
      </c>
      <c r="D2454" s="6">
        <v>45623</v>
      </c>
      <c r="E2454" s="3" t="str">
        <f ca="1">IF(Tabela2[[#This Row],[Dt Venc:]]&gt;TODAY(),"Em Aberto",IF(Tabela2[[#This Row],[D/venc]]="-","Enviado",IF(Tabela2[[#This Row],[Dt Venc:]]=TODAY(),"Vence Hoje","Vencida")))</f>
        <v>Enviado</v>
      </c>
      <c r="F2454" s="3" t="str">
        <f ca="1">IF(G2454=1,"-",Tabela2[[#This Row],[Dt Venc:]]-TODAY())</f>
        <v>-</v>
      </c>
      <c r="G2454" s="3">
        <v>1</v>
      </c>
      <c r="H2454" s="3"/>
    </row>
    <row r="2455" spans="1:8" hidden="1">
      <c r="A2455" s="3">
        <v>223792</v>
      </c>
      <c r="B2455" s="7" t="s">
        <v>127</v>
      </c>
      <c r="C2455" s="41">
        <v>1165.5999999999999</v>
      </c>
      <c r="D2455" s="6">
        <v>45623</v>
      </c>
      <c r="E2455" s="3" t="str">
        <f ca="1">IF(Tabela2[[#This Row],[Dt Venc:]]&gt;TODAY(),"Em Aberto",IF(Tabela2[[#This Row],[D/venc]]="-","Enviado",IF(Tabela2[[#This Row],[Dt Venc:]]=TODAY(),"Vence Hoje","Vencida")))</f>
        <v>Enviado</v>
      </c>
      <c r="F2455" s="3" t="str">
        <f ca="1">IF(G2455=1,"-",Tabela2[[#This Row],[Dt Venc:]]-TODAY())</f>
        <v>-</v>
      </c>
      <c r="G2455" s="3">
        <v>1</v>
      </c>
      <c r="H2455" s="3"/>
    </row>
    <row r="2456" spans="1:8" hidden="1">
      <c r="A2456" s="3">
        <v>153965</v>
      </c>
      <c r="B2456" s="7" t="s">
        <v>148</v>
      </c>
      <c r="C2456" s="41">
        <v>280</v>
      </c>
      <c r="D2456" s="6">
        <v>45623</v>
      </c>
      <c r="E2456" s="3" t="str">
        <f ca="1">IF(Tabela2[[#This Row],[Dt Venc:]]&gt;TODAY(),"Em Aberto",IF(Tabela2[[#This Row],[D/venc]]="-","Enviado",IF(Tabela2[[#This Row],[Dt Venc:]]=TODAY(),"Vence Hoje","Vencida")))</f>
        <v>Enviado</v>
      </c>
      <c r="F2456" s="3" t="str">
        <f ca="1">IF(G2456=1,"-",Tabela2[[#This Row],[Dt Venc:]]-TODAY())</f>
        <v>-</v>
      </c>
      <c r="G2456" s="3">
        <v>1</v>
      </c>
      <c r="H2456" s="3"/>
    </row>
    <row r="2457" spans="1:8" hidden="1">
      <c r="A2457" s="3">
        <v>72502</v>
      </c>
      <c r="B2457" s="7" t="s">
        <v>76</v>
      </c>
      <c r="C2457" s="41">
        <v>158.16999999999999</v>
      </c>
      <c r="D2457" s="6">
        <v>45623</v>
      </c>
      <c r="E2457" s="3" t="str">
        <f ca="1">IF(Tabela2[[#This Row],[Dt Venc:]]&gt;TODAY(),"Em Aberto",IF(Tabela2[[#This Row],[D/venc]]="-","Enviado",IF(Tabela2[[#This Row],[Dt Venc:]]=TODAY(),"Vence Hoje","Vencida")))</f>
        <v>Enviado</v>
      </c>
      <c r="F2457" s="3" t="str">
        <f ca="1">IF(G2457=1,"-",Tabela2[[#This Row],[Dt Venc:]]-TODAY())</f>
        <v>-</v>
      </c>
      <c r="G2457" s="3">
        <v>1</v>
      </c>
      <c r="H2457" s="3"/>
    </row>
    <row r="2458" spans="1:8" hidden="1">
      <c r="A2458" s="3">
        <v>223832</v>
      </c>
      <c r="B2458" s="7" t="s">
        <v>127</v>
      </c>
      <c r="C2458" s="41">
        <v>381.52</v>
      </c>
      <c r="D2458" s="6">
        <v>45623</v>
      </c>
      <c r="E2458" s="3" t="str">
        <f ca="1">IF(Tabela2[[#This Row],[Dt Venc:]]&gt;TODAY(),"Em Aberto",IF(Tabela2[[#This Row],[D/venc]]="-","Enviado",IF(Tabela2[[#This Row],[Dt Venc:]]=TODAY(),"Vence Hoje","Vencida")))</f>
        <v>Enviado</v>
      </c>
      <c r="F2458" s="3" t="str">
        <f ca="1">IF(G2458=1,"-",Tabela2[[#This Row],[Dt Venc:]]-TODAY())</f>
        <v>-</v>
      </c>
      <c r="G2458" s="3">
        <v>1</v>
      </c>
      <c r="H2458" s="3"/>
    </row>
    <row r="2459" spans="1:8" hidden="1">
      <c r="A2459" s="3">
        <v>153917</v>
      </c>
      <c r="B2459" s="7" t="s">
        <v>77</v>
      </c>
      <c r="C2459" s="41">
        <v>450</v>
      </c>
      <c r="D2459" s="6">
        <v>45623</v>
      </c>
      <c r="E2459" s="3" t="str">
        <f ca="1">IF(Tabela2[[#This Row],[Dt Venc:]]&gt;TODAY(),"Em Aberto",IF(Tabela2[[#This Row],[D/venc]]="-","Enviado",IF(Tabela2[[#This Row],[Dt Venc:]]=TODAY(),"Vence Hoje","Vencida")))</f>
        <v>Enviado</v>
      </c>
      <c r="F2459" s="3" t="str">
        <f ca="1">IF(G2459=1,"-",Tabela2[[#This Row],[Dt Venc:]]-TODAY())</f>
        <v>-</v>
      </c>
      <c r="G2459" s="3">
        <v>1</v>
      </c>
      <c r="H2459" s="3"/>
    </row>
    <row r="2460" spans="1:8" hidden="1">
      <c r="A2460" s="3">
        <v>94</v>
      </c>
      <c r="B2460" s="7" t="s">
        <v>451</v>
      </c>
      <c r="C2460" s="41">
        <v>580</v>
      </c>
      <c r="D2460" s="6">
        <v>45623</v>
      </c>
      <c r="E2460" s="3" t="str">
        <f ca="1">IF(Tabela2[[#This Row],[Dt Venc:]]&gt;TODAY(),"Em Aberto",IF(Tabela2[[#This Row],[D/venc]]="-","Enviado",IF(Tabela2[[#This Row],[Dt Venc:]]=TODAY(),"Vence Hoje","Vencida")))</f>
        <v>Enviado</v>
      </c>
      <c r="F2460" s="3" t="str">
        <f ca="1">IF(G2460=1,"-",Tabela2[[#This Row],[Dt Venc:]]-TODAY())</f>
        <v>-</v>
      </c>
      <c r="G2460" s="3">
        <v>1</v>
      </c>
      <c r="H2460" s="3"/>
    </row>
    <row r="2461" spans="1:8" hidden="1">
      <c r="A2461" s="3">
        <v>23487</v>
      </c>
      <c r="B2461" s="7" t="s">
        <v>38</v>
      </c>
      <c r="C2461" s="41">
        <v>606.66999999999996</v>
      </c>
      <c r="D2461" s="6">
        <v>45623</v>
      </c>
      <c r="E2461" s="3" t="str">
        <f ca="1">IF(Tabela2[[#This Row],[Dt Venc:]]&gt;TODAY(),"Em Aberto",IF(Tabela2[[#This Row],[D/venc]]="-","Enviado",IF(Tabela2[[#This Row],[Dt Venc:]]=TODAY(),"Vence Hoje","Vencida")))</f>
        <v>Enviado</v>
      </c>
      <c r="F2461" s="3" t="str">
        <f ca="1">IF(G2461=1,"-",Tabela2[[#This Row],[Dt Venc:]]-TODAY())</f>
        <v>-</v>
      </c>
      <c r="G2461" s="3">
        <v>1</v>
      </c>
      <c r="H2461" s="3"/>
    </row>
    <row r="2462" spans="1:8" hidden="1">
      <c r="A2462" s="3">
        <v>23488</v>
      </c>
      <c r="B2462" s="7" t="s">
        <v>38</v>
      </c>
      <c r="C2462" s="41">
        <v>761.33</v>
      </c>
      <c r="D2462" s="6">
        <v>45623</v>
      </c>
      <c r="E2462" s="3" t="str">
        <f ca="1">IF(Tabela2[[#This Row],[Dt Venc:]]&gt;TODAY(),"Em Aberto",IF(Tabela2[[#This Row],[D/venc]]="-","Enviado",IF(Tabela2[[#This Row],[Dt Venc:]]=TODAY(),"Vence Hoje","Vencida")))</f>
        <v>Enviado</v>
      </c>
      <c r="F2462" s="3" t="str">
        <f ca="1">IF(G2462=1,"-",Tabela2[[#This Row],[Dt Venc:]]-TODAY())</f>
        <v>-</v>
      </c>
      <c r="G2462" s="3">
        <v>1</v>
      </c>
      <c r="H2462" s="3"/>
    </row>
    <row r="2463" spans="1:8" hidden="1">
      <c r="A2463" s="3">
        <v>1627</v>
      </c>
      <c r="B2463" s="7" t="s">
        <v>78</v>
      </c>
      <c r="C2463" s="41">
        <v>805.67</v>
      </c>
      <c r="D2463" s="6">
        <v>45623</v>
      </c>
      <c r="E2463" s="3" t="str">
        <f ca="1">IF(Tabela2[[#This Row],[Dt Venc:]]&gt;TODAY(),"Em Aberto",IF(Tabela2[[#This Row],[D/venc]]="-","Enviado",IF(Tabela2[[#This Row],[Dt Venc:]]=TODAY(),"Vence Hoje","Vencida")))</f>
        <v>Enviado</v>
      </c>
      <c r="F2463" s="3" t="str">
        <f ca="1">IF(G2463=1,"-",Tabela2[[#This Row],[Dt Venc:]]-TODAY())</f>
        <v>-</v>
      </c>
      <c r="G2463" s="3">
        <v>1</v>
      </c>
      <c r="H2463" s="3"/>
    </row>
    <row r="2464" spans="1:8" hidden="1">
      <c r="A2464" s="3">
        <v>72461</v>
      </c>
      <c r="B2464" s="7" t="s">
        <v>76</v>
      </c>
      <c r="C2464" s="41">
        <v>346.76</v>
      </c>
      <c r="D2464" s="6">
        <v>45623</v>
      </c>
      <c r="E2464" s="3" t="str">
        <f ca="1">IF(Tabela2[[#This Row],[Dt Venc:]]&gt;TODAY(),"Em Aberto",IF(Tabela2[[#This Row],[D/venc]]="-","Enviado",IF(Tabela2[[#This Row],[Dt Venc:]]=TODAY(),"Vence Hoje","Vencida")))</f>
        <v>Enviado</v>
      </c>
      <c r="F2464" s="3" t="str">
        <f ca="1">IF(G2464=1,"-",Tabela2[[#This Row],[Dt Venc:]]-TODAY())</f>
        <v>-</v>
      </c>
      <c r="G2464" s="3">
        <v>1</v>
      </c>
      <c r="H2464" s="3"/>
    </row>
    <row r="2465" spans="1:8" hidden="1">
      <c r="A2465" s="3">
        <v>2000</v>
      </c>
      <c r="B2465" s="7" t="s">
        <v>475</v>
      </c>
      <c r="C2465" s="41">
        <v>1134</v>
      </c>
      <c r="D2465" s="6">
        <v>45623</v>
      </c>
      <c r="E2465" s="3" t="str">
        <f ca="1">IF(Tabela2[[#This Row],[Dt Venc:]]&gt;TODAY(),"Em Aberto",IF(Tabela2[[#This Row],[D/venc]]="-","Enviado",IF(Tabela2[[#This Row],[Dt Venc:]]=TODAY(),"Vence Hoje","Vencida")))</f>
        <v>Enviado</v>
      </c>
      <c r="F2465" s="3" t="str">
        <f ca="1">IF(G2465=1,"-",Tabela2[[#This Row],[Dt Venc:]]-TODAY())</f>
        <v>-</v>
      </c>
      <c r="G2465" s="3">
        <v>1</v>
      </c>
      <c r="H2465" s="3"/>
    </row>
    <row r="2466" spans="1:8" hidden="1">
      <c r="A2466" s="3">
        <v>444165</v>
      </c>
      <c r="B2466" s="7" t="s">
        <v>59</v>
      </c>
      <c r="C2466" s="41">
        <v>28098</v>
      </c>
      <c r="D2466" s="6">
        <v>45623</v>
      </c>
      <c r="E2466" s="3" t="str">
        <f ca="1">IF(Tabela2[[#This Row],[Dt Venc:]]&gt;TODAY(),"Em Aberto",IF(Tabela2[[#This Row],[D/venc]]="-","Enviado",IF(Tabela2[[#This Row],[Dt Venc:]]=TODAY(),"Vence Hoje","Vencida")))</f>
        <v>Enviado</v>
      </c>
      <c r="F2466" s="3" t="str">
        <f ca="1">IF(G2466=1,"-",Tabela2[[#This Row],[Dt Venc:]]-TODAY())</f>
        <v>-</v>
      </c>
      <c r="G2466" s="3">
        <v>1</v>
      </c>
      <c r="H2466" s="3"/>
    </row>
    <row r="2467" spans="1:8" hidden="1">
      <c r="A2467" s="3">
        <v>3309941</v>
      </c>
      <c r="B2467" s="7" t="s">
        <v>71</v>
      </c>
      <c r="C2467" s="41">
        <v>82623</v>
      </c>
      <c r="D2467" s="6">
        <v>45623</v>
      </c>
      <c r="E2467" s="3" t="str">
        <f ca="1">IF(Tabela2[[#This Row],[Dt Venc:]]&gt;TODAY(),"Em Aberto",IF(Tabela2[[#This Row],[D/venc]]="-","Enviado",IF(Tabela2[[#This Row],[Dt Venc:]]=TODAY(),"Vence Hoje","Vencida")))</f>
        <v>Enviado</v>
      </c>
      <c r="F2467" s="3" t="str">
        <f ca="1">IF(G2467=1,"-",Tabela2[[#This Row],[Dt Venc:]]-TODAY())</f>
        <v>-</v>
      </c>
      <c r="G2467" s="3">
        <v>1</v>
      </c>
      <c r="H2467" s="3"/>
    </row>
    <row r="2468" spans="1:8" hidden="1">
      <c r="A2468" s="3">
        <v>10989</v>
      </c>
      <c r="B2468" s="7" t="s">
        <v>33</v>
      </c>
      <c r="C2468" s="41">
        <v>1658.3</v>
      </c>
      <c r="D2468" s="6">
        <v>45623</v>
      </c>
      <c r="E2468" s="3" t="str">
        <f ca="1">IF(Tabela2[[#This Row],[Dt Venc:]]&gt;TODAY(),"Em Aberto",IF(Tabela2[[#This Row],[D/venc]]="-","Enviado",IF(Tabela2[[#This Row],[Dt Venc:]]=TODAY(),"Vence Hoje","Vencida")))</f>
        <v>Enviado</v>
      </c>
      <c r="F2468" s="3" t="str">
        <f ca="1">IF(G2468=1,"-",Tabela2[[#This Row],[Dt Venc:]]-TODAY())</f>
        <v>-</v>
      </c>
      <c r="G2468" s="3">
        <v>1</v>
      </c>
      <c r="H2468" s="3"/>
    </row>
    <row r="2469" spans="1:8" hidden="1">
      <c r="A2469" s="3">
        <v>237378</v>
      </c>
      <c r="B2469" s="7" t="s">
        <v>139</v>
      </c>
      <c r="C2469" s="41">
        <v>722</v>
      </c>
      <c r="D2469" s="6">
        <v>45623</v>
      </c>
      <c r="E2469" s="3" t="str">
        <f ca="1">IF(Tabela2[[#This Row],[Dt Venc:]]&gt;TODAY(),"Em Aberto",IF(Tabela2[[#This Row],[D/venc]]="-","Enviado",IF(Tabela2[[#This Row],[Dt Venc:]]=TODAY(),"Vence Hoje","Vencida")))</f>
        <v>Enviado</v>
      </c>
      <c r="F2469" s="3" t="str">
        <f ca="1">IF(G2469=1,"-",Tabela2[[#This Row],[Dt Venc:]]-TODAY())</f>
        <v>-</v>
      </c>
      <c r="G2469" s="3">
        <v>1</v>
      </c>
      <c r="H2469" s="3"/>
    </row>
    <row r="2470" spans="1:8" hidden="1">
      <c r="A2470" s="3">
        <v>216457</v>
      </c>
      <c r="B2470" s="7" t="s">
        <v>127</v>
      </c>
      <c r="C2470" s="42">
        <v>377.58</v>
      </c>
      <c r="D2470" s="6">
        <v>45624</v>
      </c>
      <c r="E2470" s="3" t="str">
        <f ca="1">IF(Tabela2[[#This Row],[Dt Venc:]]&gt;TODAY(),"Em Aberto",IF(Tabela2[[#This Row],[D/venc]]="-","Enviado",IF(Tabela2[[#This Row],[Dt Venc:]]=TODAY(),"Vence Hoje","Vencida")))</f>
        <v>Enviado</v>
      </c>
      <c r="F2470" s="3" t="str">
        <f ca="1">IF(G2470=1,"-",Tabela2[[#This Row],[Dt Venc:]]-TODAY())</f>
        <v>-</v>
      </c>
      <c r="G2470" s="3">
        <v>1</v>
      </c>
      <c r="H2470" s="3"/>
    </row>
    <row r="2471" spans="1:8" hidden="1">
      <c r="A2471" s="3">
        <v>107</v>
      </c>
      <c r="B2471" s="7" t="s">
        <v>83</v>
      </c>
      <c r="C2471" s="42">
        <v>6400</v>
      </c>
      <c r="D2471" s="6">
        <v>45624</v>
      </c>
      <c r="E2471" s="3" t="str">
        <f ca="1">IF(Tabela2[[#This Row],[Dt Venc:]]&gt;TODAY(),"Em Aberto",IF(Tabela2[[#This Row],[D/venc]]="-","Enviado",IF(Tabela2[[#This Row],[Dt Venc:]]=TODAY(),"Vence Hoje","Vencida")))</f>
        <v>Enviado</v>
      </c>
      <c r="F2471" s="3" t="str">
        <f ca="1">IF(G2471=1,"-",Tabela2[[#This Row],[Dt Venc:]]-TODAY())</f>
        <v>-</v>
      </c>
      <c r="G2471" s="3">
        <v>1</v>
      </c>
      <c r="H2471" s="3"/>
    </row>
    <row r="2472" spans="1:8" hidden="1">
      <c r="A2472" s="3">
        <v>10828</v>
      </c>
      <c r="B2472" s="7" t="s">
        <v>33</v>
      </c>
      <c r="C2472" s="42">
        <v>800</v>
      </c>
      <c r="D2472" s="6">
        <v>45624</v>
      </c>
      <c r="E2472" s="3" t="str">
        <f ca="1">IF(Tabela2[[#This Row],[Dt Venc:]]&gt;TODAY(),"Em Aberto",IF(Tabela2[[#This Row],[D/venc]]="-","Enviado",IF(Tabela2[[#This Row],[Dt Venc:]]=TODAY(),"Vence Hoje","Vencida")))</f>
        <v>Enviado</v>
      </c>
      <c r="F2472" s="3" t="str">
        <f ca="1">IF(G2472=1,"-",Tabela2[[#This Row],[Dt Venc:]]-TODAY())</f>
        <v>-</v>
      </c>
      <c r="G2472" s="3">
        <v>1</v>
      </c>
      <c r="H2472" s="3"/>
    </row>
    <row r="2473" spans="1:8" hidden="1">
      <c r="A2473" s="3">
        <v>5768</v>
      </c>
      <c r="B2473" s="7" t="s">
        <v>140</v>
      </c>
      <c r="C2473" s="42">
        <v>405.27</v>
      </c>
      <c r="D2473" s="6">
        <v>45624</v>
      </c>
      <c r="E2473" s="3" t="str">
        <f ca="1">IF(Tabela2[[#This Row],[Dt Venc:]]&gt;TODAY(),"Em Aberto",IF(Tabela2[[#This Row],[D/venc]]="-","Enviado",IF(Tabela2[[#This Row],[Dt Venc:]]=TODAY(),"Vence Hoje","Vencida")))</f>
        <v>Enviado</v>
      </c>
      <c r="F2473" s="3" t="str">
        <f ca="1">IF(G2473=1,"-",Tabela2[[#This Row],[Dt Venc:]]-TODAY())</f>
        <v>-</v>
      </c>
      <c r="G2473" s="3">
        <v>1</v>
      </c>
      <c r="H2473" s="3"/>
    </row>
    <row r="2474" spans="1:8" hidden="1">
      <c r="A2474" s="3">
        <v>152528</v>
      </c>
      <c r="B2474" s="7" t="s">
        <v>77</v>
      </c>
      <c r="C2474" s="42">
        <v>1233.33</v>
      </c>
      <c r="D2474" s="6">
        <v>45624</v>
      </c>
      <c r="E2474" s="3" t="str">
        <f ca="1">IF(Tabela2[[#This Row],[Dt Venc:]]&gt;TODAY(),"Em Aberto",IF(Tabela2[[#This Row],[D/venc]]="-","Enviado",IF(Tabela2[[#This Row],[Dt Venc:]]=TODAY(),"Vence Hoje","Vencida")))</f>
        <v>Enviado</v>
      </c>
      <c r="F2474" s="3" t="str">
        <f ca="1">IF(G2474=1,"-",Tabela2[[#This Row],[Dt Venc:]]-TODAY())</f>
        <v>-</v>
      </c>
      <c r="G2474" s="3">
        <v>1</v>
      </c>
      <c r="H2474" s="3"/>
    </row>
    <row r="2475" spans="1:8" hidden="1">
      <c r="A2475" s="3">
        <v>227657</v>
      </c>
      <c r="B2475" s="7" t="s">
        <v>40</v>
      </c>
      <c r="C2475" s="42">
        <v>1100</v>
      </c>
      <c r="D2475" s="6">
        <v>45624</v>
      </c>
      <c r="E2475" s="3" t="str">
        <f ca="1">IF(Tabela2[[#This Row],[Dt Venc:]]&gt;TODAY(),"Em Aberto",IF(Tabela2[[#This Row],[D/venc]]="-","Enviado",IF(Tabela2[[#This Row],[Dt Venc:]]=TODAY(),"Vence Hoje","Vencida")))</f>
        <v>Enviado</v>
      </c>
      <c r="F2475" s="3" t="str">
        <f ca="1">IF(G2475=1,"-",Tabela2[[#This Row],[Dt Venc:]]-TODAY())</f>
        <v>-</v>
      </c>
      <c r="G2475" s="3">
        <v>1</v>
      </c>
      <c r="H2475" s="3"/>
    </row>
    <row r="2476" spans="1:8" hidden="1">
      <c r="A2476" s="3">
        <v>256348</v>
      </c>
      <c r="B2476" s="7" t="s">
        <v>36</v>
      </c>
      <c r="C2476" s="42">
        <v>369.31</v>
      </c>
      <c r="D2476" s="6">
        <v>45624</v>
      </c>
      <c r="E2476" s="3" t="str">
        <f ca="1">IF(Tabela2[[#This Row],[Dt Venc:]]&gt;TODAY(),"Em Aberto",IF(Tabela2[[#This Row],[D/venc]]="-","Enviado",IF(Tabela2[[#This Row],[Dt Venc:]]=TODAY(),"Vence Hoje","Vencida")))</f>
        <v>Enviado</v>
      </c>
      <c r="F2476" s="3" t="str">
        <f ca="1">IF(G2476=1,"-",Tabela2[[#This Row],[Dt Venc:]]-TODAY())</f>
        <v>-</v>
      </c>
      <c r="G2476" s="3">
        <v>1</v>
      </c>
      <c r="H2476" s="3"/>
    </row>
    <row r="2477" spans="1:8" hidden="1">
      <c r="A2477" s="3">
        <v>148636</v>
      </c>
      <c r="B2477" s="7" t="s">
        <v>148</v>
      </c>
      <c r="C2477" s="42">
        <v>642.35</v>
      </c>
      <c r="D2477" s="6">
        <v>45624</v>
      </c>
      <c r="E2477" s="3" t="str">
        <f ca="1">IF(Tabela2[[#This Row],[Dt Venc:]]&gt;TODAY(),"Em Aberto",IF(Tabela2[[#This Row],[D/venc]]="-","Enviado",IF(Tabela2[[#This Row],[Dt Venc:]]=TODAY(),"Vence Hoje","Vencida")))</f>
        <v>Enviado</v>
      </c>
      <c r="F2477" s="3" t="str">
        <f ca="1">IF(G2477=1,"-",Tabela2[[#This Row],[Dt Venc:]]-TODAY())</f>
        <v>-</v>
      </c>
      <c r="G2477" s="3">
        <v>1</v>
      </c>
      <c r="H2477" s="3"/>
    </row>
    <row r="2478" spans="1:8" hidden="1">
      <c r="A2478" s="28">
        <v>25480</v>
      </c>
      <c r="B2478" s="7" t="s">
        <v>388</v>
      </c>
      <c r="C2478" s="42">
        <v>505</v>
      </c>
      <c r="D2478" s="6">
        <v>45624</v>
      </c>
      <c r="E2478" s="3" t="str">
        <f ca="1">IF(Tabela2[[#This Row],[Dt Venc:]]&gt;TODAY(),"Em Aberto",IF(Tabela2[[#This Row],[D/venc]]="-","Enviado",IF(Tabela2[[#This Row],[Dt Venc:]]=TODAY(),"Vence Hoje","Vencida")))</f>
        <v>Enviado</v>
      </c>
      <c r="F2478" s="3" t="str">
        <f ca="1">IF(G2478=1,"-",Tabela2[[#This Row],[Dt Venc:]]-TODAY())</f>
        <v>-</v>
      </c>
      <c r="G2478" s="3">
        <v>1</v>
      </c>
      <c r="H2478" s="3"/>
    </row>
    <row r="2479" spans="1:8" hidden="1">
      <c r="A2479" s="3">
        <v>234399</v>
      </c>
      <c r="B2479" s="7" t="s">
        <v>43</v>
      </c>
      <c r="C2479" s="42">
        <v>442.65</v>
      </c>
      <c r="D2479" s="6">
        <v>45624</v>
      </c>
      <c r="E2479" s="3" t="str">
        <f ca="1">IF(Tabela2[[#This Row],[Dt Venc:]]&gt;TODAY(),"Em Aberto",IF(Tabela2[[#This Row],[D/venc]]="-","Enviado",IF(Tabela2[[#This Row],[Dt Venc:]]=TODAY(),"Vence Hoje","Vencida")))</f>
        <v>Enviado</v>
      </c>
      <c r="F2479" s="3" t="str">
        <f ca="1">IF(G2479=1,"-",Tabela2[[#This Row],[Dt Venc:]]-TODAY())</f>
        <v>-</v>
      </c>
      <c r="G2479" s="3">
        <v>1</v>
      </c>
      <c r="H2479" s="3"/>
    </row>
    <row r="2480" spans="1:8" hidden="1">
      <c r="A2480" s="3">
        <v>266694</v>
      </c>
      <c r="B2480" s="7" t="s">
        <v>36</v>
      </c>
      <c r="C2480" s="41">
        <v>326</v>
      </c>
      <c r="D2480" s="6">
        <v>45624</v>
      </c>
      <c r="E2480" s="3" t="str">
        <f ca="1">IF(Tabela2[[#This Row],[Dt Venc:]]&gt;TODAY(),"Em Aberto",IF(Tabela2[[#This Row],[D/venc]]="-","Enviado",IF(Tabela2[[#This Row],[Dt Venc:]]=TODAY(),"Vence Hoje","Vencida")))</f>
        <v>Enviado</v>
      </c>
      <c r="F2480" s="3" t="str">
        <f ca="1">IF(G2480=1,"-",Tabela2[[#This Row],[Dt Venc:]]-TODAY())</f>
        <v>-</v>
      </c>
      <c r="G2480" s="3">
        <v>1</v>
      </c>
      <c r="H2480" s="3"/>
    </row>
    <row r="2481" spans="1:8" hidden="1">
      <c r="A2481" s="3">
        <v>32629</v>
      </c>
      <c r="B2481" s="7" t="s">
        <v>70</v>
      </c>
      <c r="C2481" s="41">
        <v>363.68</v>
      </c>
      <c r="D2481" s="6">
        <v>45624</v>
      </c>
      <c r="E2481" s="3" t="str">
        <f ca="1">IF(Tabela2[[#This Row],[Dt Venc:]]&gt;TODAY(),"Em Aberto",IF(Tabela2[[#This Row],[D/venc]]="-","Enviado",IF(Tabela2[[#This Row],[Dt Venc:]]=TODAY(),"Vence Hoje","Vencida")))</f>
        <v>Enviado</v>
      </c>
      <c r="F2481" s="3" t="str">
        <f ca="1">IF(G2481=1,"-",Tabela2[[#This Row],[Dt Venc:]]-TODAY())</f>
        <v>-</v>
      </c>
      <c r="G2481" s="3">
        <v>1</v>
      </c>
      <c r="H2481" s="3"/>
    </row>
    <row r="2482" spans="1:8" hidden="1">
      <c r="A2482" s="3">
        <v>1282</v>
      </c>
      <c r="B2482" s="7" t="s">
        <v>130</v>
      </c>
      <c r="C2482" s="41">
        <v>562.66999999999996</v>
      </c>
      <c r="D2482" s="6">
        <v>45624</v>
      </c>
      <c r="E2482" s="3" t="str">
        <f ca="1">IF(Tabela2[[#This Row],[Dt Venc:]]&gt;TODAY(),"Em Aberto",IF(Tabela2[[#This Row],[D/venc]]="-","Enviado",IF(Tabela2[[#This Row],[Dt Venc:]]=TODAY(),"Vence Hoje","Vencida")))</f>
        <v>Enviado</v>
      </c>
      <c r="F2482" s="3" t="str">
        <f ca="1">IF(G2482=1,"-",Tabela2[[#This Row],[Dt Venc:]]-TODAY())</f>
        <v>-</v>
      </c>
      <c r="G2482" s="3">
        <v>1</v>
      </c>
      <c r="H2482" s="3"/>
    </row>
    <row r="2483" spans="1:8" hidden="1">
      <c r="A2483" s="3">
        <v>371402</v>
      </c>
      <c r="B2483" s="7" t="s">
        <v>39</v>
      </c>
      <c r="C2483" s="41">
        <v>456.2</v>
      </c>
      <c r="D2483" s="6">
        <v>45624</v>
      </c>
      <c r="E2483" s="3" t="str">
        <f ca="1">IF(Tabela2[[#This Row],[Dt Venc:]]&gt;TODAY(),"Em Aberto",IF(Tabela2[[#This Row],[D/venc]]="-","Enviado",IF(Tabela2[[#This Row],[Dt Venc:]]=TODAY(),"Vence Hoje","Vencida")))</f>
        <v>Enviado</v>
      </c>
      <c r="F2483" s="3" t="str">
        <f ca="1">IF(G2483=1,"-",Tabela2[[#This Row],[Dt Venc:]]-TODAY())</f>
        <v>-</v>
      </c>
      <c r="G2483" s="3">
        <v>1</v>
      </c>
      <c r="H2483" s="3"/>
    </row>
    <row r="2484" spans="1:8" hidden="1">
      <c r="A2484" s="3">
        <v>4997</v>
      </c>
      <c r="B2484" s="7" t="s">
        <v>476</v>
      </c>
      <c r="C2484" s="41">
        <v>680</v>
      </c>
      <c r="D2484" s="6">
        <v>45624</v>
      </c>
      <c r="E2484" s="3" t="str">
        <f ca="1">IF(Tabela2[[#This Row],[Dt Venc:]]&gt;TODAY(),"Em Aberto",IF(Tabela2[[#This Row],[D/venc]]="-","Enviado",IF(Tabela2[[#This Row],[Dt Venc:]]=TODAY(),"Vence Hoje","Vencida")))</f>
        <v>Enviado</v>
      </c>
      <c r="F2484" s="3" t="str">
        <f ca="1">IF(G2484=1,"-",Tabela2[[#This Row],[Dt Venc:]]-TODAY())</f>
        <v>-</v>
      </c>
      <c r="G2484" s="3">
        <v>1</v>
      </c>
      <c r="H2484" s="3"/>
    </row>
    <row r="2485" spans="1:8" hidden="1">
      <c r="A2485" s="3">
        <v>26</v>
      </c>
      <c r="B2485" s="7" t="s">
        <v>173</v>
      </c>
      <c r="C2485" s="41">
        <v>925</v>
      </c>
      <c r="D2485" s="6">
        <v>45624</v>
      </c>
      <c r="E2485" s="3" t="str">
        <f ca="1">IF(Tabela2[[#This Row],[Dt Venc:]]&gt;TODAY(),"Em Aberto",IF(Tabela2[[#This Row],[D/venc]]="-","Enviado",IF(Tabela2[[#This Row],[Dt Venc:]]=TODAY(),"Vence Hoje","Vencida")))</f>
        <v>Enviado</v>
      </c>
      <c r="F2485" s="3" t="str">
        <f ca="1">IF(G2485=1,"-",Tabela2[[#This Row],[Dt Venc:]]-TODAY())</f>
        <v>-</v>
      </c>
      <c r="G2485" s="3">
        <v>1</v>
      </c>
      <c r="H2485" s="3"/>
    </row>
    <row r="2486" spans="1:8" hidden="1">
      <c r="A2486" s="3">
        <v>11079</v>
      </c>
      <c r="B2486" s="7" t="s">
        <v>33</v>
      </c>
      <c r="C2486" s="41">
        <v>1625</v>
      </c>
      <c r="D2486" s="6">
        <v>45624</v>
      </c>
      <c r="E2486" s="3" t="str">
        <f ca="1">IF(Tabela2[[#This Row],[Dt Venc:]]&gt;TODAY(),"Em Aberto",IF(Tabela2[[#This Row],[D/venc]]="-","Enviado",IF(Tabela2[[#This Row],[Dt Venc:]]=TODAY(),"Vence Hoje","Vencida")))</f>
        <v>Enviado</v>
      </c>
      <c r="F2486" s="3" t="str">
        <f ca="1">IF(G2486=1,"-",Tabela2[[#This Row],[Dt Venc:]]-TODAY())</f>
        <v>-</v>
      </c>
      <c r="G2486" s="3">
        <v>1</v>
      </c>
      <c r="H2486" s="3"/>
    </row>
    <row r="2487" spans="1:8" hidden="1">
      <c r="A2487" s="3">
        <v>758538</v>
      </c>
      <c r="B2487" s="7" t="s">
        <v>127</v>
      </c>
      <c r="C2487" s="41">
        <v>256.92</v>
      </c>
      <c r="D2487" s="6">
        <v>45624</v>
      </c>
      <c r="E2487" s="3" t="str">
        <f ca="1">IF(Tabela2[[#This Row],[Dt Venc:]]&gt;TODAY(),"Em Aberto",IF(Tabela2[[#This Row],[D/venc]]="-","Enviado",IF(Tabela2[[#This Row],[Dt Venc:]]=TODAY(),"Vence Hoje","Vencida")))</f>
        <v>Enviado</v>
      </c>
      <c r="F2487" s="3" t="str">
        <f ca="1">IF(G2487=1,"-",Tabela2[[#This Row],[Dt Venc:]]-TODAY())</f>
        <v>-</v>
      </c>
      <c r="G2487" s="3">
        <v>1</v>
      </c>
      <c r="H2487" s="3"/>
    </row>
    <row r="2488" spans="1:8" hidden="1">
      <c r="A2488" s="3">
        <v>146691</v>
      </c>
      <c r="B2488" s="7" t="s">
        <v>127</v>
      </c>
      <c r="C2488" s="41">
        <v>602</v>
      </c>
      <c r="D2488" s="6">
        <v>45624</v>
      </c>
      <c r="E2488" s="3" t="str">
        <f ca="1">IF(Tabela2[[#This Row],[Dt Venc:]]&gt;TODAY(),"Em Aberto",IF(Tabela2[[#This Row],[D/venc]]="-","Enviado",IF(Tabela2[[#This Row],[Dt Venc:]]=TODAY(),"Vence Hoje","Vencida")))</f>
        <v>Enviado</v>
      </c>
      <c r="F2488" s="3" t="str">
        <f ca="1">IF(G2488=1,"-",Tabela2[[#This Row],[Dt Venc:]]-TODAY())</f>
        <v>-</v>
      </c>
      <c r="G2488" s="3">
        <v>1</v>
      </c>
      <c r="H2488" s="3"/>
    </row>
    <row r="2489" spans="1:8" hidden="1">
      <c r="A2489" s="3">
        <v>371387</v>
      </c>
      <c r="B2489" s="7" t="s">
        <v>39</v>
      </c>
      <c r="C2489" s="41">
        <v>1690.68</v>
      </c>
      <c r="D2489" s="6">
        <v>45624</v>
      </c>
      <c r="E2489" s="3" t="str">
        <f ca="1">IF(Tabela2[[#This Row],[Dt Venc:]]&gt;TODAY(),"Em Aberto",IF(Tabela2[[#This Row],[D/venc]]="-","Enviado",IF(Tabela2[[#This Row],[Dt Venc:]]=TODAY(),"Vence Hoje","Vencida")))</f>
        <v>Enviado</v>
      </c>
      <c r="F2489" s="3" t="str">
        <f ca="1">IF(G2489=1,"-",Tabela2[[#This Row],[Dt Venc:]]-TODAY())</f>
        <v>-</v>
      </c>
      <c r="G2489" s="3">
        <v>1</v>
      </c>
      <c r="H2489" s="3"/>
    </row>
    <row r="2490" spans="1:8" hidden="1">
      <c r="A2490" s="3">
        <v>3303524</v>
      </c>
      <c r="B2490" s="7" t="s">
        <v>71</v>
      </c>
      <c r="C2490" s="41">
        <v>1183.6400000000001</v>
      </c>
      <c r="D2490" s="6">
        <v>45624</v>
      </c>
      <c r="E2490" s="3" t="str">
        <f ca="1">IF(Tabela2[[#This Row],[Dt Venc:]]&gt;TODAY(),"Em Aberto",IF(Tabela2[[#This Row],[D/venc]]="-","Enviado",IF(Tabela2[[#This Row],[Dt Venc:]]=TODAY(),"Vence Hoje","Vencida")))</f>
        <v>Enviado</v>
      </c>
      <c r="F2490" s="3" t="str">
        <f ca="1">IF(G2490=1,"-",Tabela2[[#This Row],[Dt Venc:]]-TODAY())</f>
        <v>-</v>
      </c>
      <c r="G2490" s="3">
        <v>1</v>
      </c>
      <c r="H2490" s="3"/>
    </row>
    <row r="2491" spans="1:8" hidden="1">
      <c r="A2491" s="3">
        <v>2684</v>
      </c>
      <c r="B2491" s="7" t="s">
        <v>198</v>
      </c>
      <c r="C2491" s="41">
        <v>480</v>
      </c>
      <c r="D2491" s="6">
        <v>45624</v>
      </c>
      <c r="E2491" s="3" t="str">
        <f ca="1">IF(Tabela2[[#This Row],[Dt Venc:]]&gt;TODAY(),"Em Aberto",IF(Tabela2[[#This Row],[D/venc]]="-","Enviado",IF(Tabela2[[#This Row],[Dt Venc:]]=TODAY(),"Vence Hoje","Vencida")))</f>
        <v>Enviado</v>
      </c>
      <c r="F2491" s="3" t="str">
        <f ca="1">IF(G2491=1,"-",Tabela2[[#This Row],[Dt Venc:]]-TODAY())</f>
        <v>-</v>
      </c>
      <c r="G2491" s="3">
        <v>1</v>
      </c>
      <c r="H2491" s="3"/>
    </row>
    <row r="2492" spans="1:8" hidden="1">
      <c r="A2492" s="3">
        <v>2686</v>
      </c>
      <c r="B2492" s="7" t="s">
        <v>198</v>
      </c>
      <c r="C2492" s="41">
        <v>400</v>
      </c>
      <c r="D2492" s="6">
        <v>45624</v>
      </c>
      <c r="E2492" s="3" t="str">
        <f ca="1">IF(Tabela2[[#This Row],[Dt Venc:]]&gt;TODAY(),"Em Aberto",IF(Tabela2[[#This Row],[D/venc]]="-","Enviado",IF(Tabela2[[#This Row],[Dt Venc:]]=TODAY(),"Vence Hoje","Vencida")))</f>
        <v>Enviado</v>
      </c>
      <c r="F2492" s="3" t="str">
        <f ca="1">IF(G2492=1,"-",Tabela2[[#This Row],[Dt Venc:]]-TODAY())</f>
        <v>-</v>
      </c>
      <c r="G2492" s="3">
        <v>1</v>
      </c>
      <c r="H2492" s="3"/>
    </row>
    <row r="2493" spans="1:8" hidden="1">
      <c r="A2493" s="3">
        <v>1516</v>
      </c>
      <c r="B2493" s="7" t="s">
        <v>477</v>
      </c>
      <c r="C2493" s="41">
        <v>658.48</v>
      </c>
      <c r="D2493" s="6">
        <v>45624</v>
      </c>
      <c r="E2493" s="3" t="str">
        <f ca="1">IF(Tabela2[[#This Row],[Dt Venc:]]&gt;TODAY(),"Em Aberto",IF(Tabela2[[#This Row],[D/venc]]="-","Enviado",IF(Tabela2[[#This Row],[Dt Venc:]]=TODAY(),"Vence Hoje","Vencida")))</f>
        <v>Enviado</v>
      </c>
      <c r="F2493" s="3" t="str">
        <f ca="1">IF(G2493=1,"-",Tabela2[[#This Row],[Dt Venc:]]-TODAY())</f>
        <v>-</v>
      </c>
      <c r="G2493" s="3">
        <v>1</v>
      </c>
      <c r="H2493" s="3"/>
    </row>
    <row r="2494" spans="1:8" hidden="1">
      <c r="A2494" s="3">
        <v>6074</v>
      </c>
      <c r="B2494" s="7" t="s">
        <v>47</v>
      </c>
      <c r="C2494" s="41">
        <v>430</v>
      </c>
      <c r="D2494" s="6">
        <v>45624</v>
      </c>
      <c r="E2494" s="3" t="str">
        <f ca="1">IF(Tabela2[[#This Row],[Dt Venc:]]&gt;TODAY(),"Em Aberto",IF(Tabela2[[#This Row],[D/venc]]="-","Enviado",IF(Tabela2[[#This Row],[Dt Venc:]]=TODAY(),"Vence Hoje","Vencida")))</f>
        <v>Enviado</v>
      </c>
      <c r="F2494" s="3" t="str">
        <f ca="1">IF(G2494=1,"-",Tabela2[[#This Row],[Dt Venc:]]-TODAY())</f>
        <v>-</v>
      </c>
      <c r="G2494" s="3">
        <v>1</v>
      </c>
      <c r="H2494" s="3"/>
    </row>
    <row r="2495" spans="1:8" hidden="1">
      <c r="A2495" s="3">
        <v>18445</v>
      </c>
      <c r="B2495" s="7" t="s">
        <v>478</v>
      </c>
      <c r="C2495" s="41">
        <v>900</v>
      </c>
      <c r="D2495" s="6">
        <v>45624</v>
      </c>
      <c r="E2495" s="3" t="str">
        <f ca="1">IF(Tabela2[[#This Row],[Dt Venc:]]&gt;TODAY(),"Em Aberto",IF(Tabela2[[#This Row],[D/venc]]="-","Enviado",IF(Tabela2[[#This Row],[Dt Venc:]]=TODAY(),"Vence Hoje","Vencida")))</f>
        <v>Enviado</v>
      </c>
      <c r="F2495" s="3" t="str">
        <f ca="1">IF(G2495=1,"-",Tabela2[[#This Row],[Dt Venc:]]-TODAY())</f>
        <v>-</v>
      </c>
      <c r="G2495" s="3">
        <v>1</v>
      </c>
      <c r="H2495" s="3"/>
    </row>
    <row r="2496" spans="1:8" hidden="1">
      <c r="A2496" s="3" t="s">
        <v>110</v>
      </c>
      <c r="B2496" s="7" t="s">
        <v>372</v>
      </c>
      <c r="C2496" s="42" t="s">
        <v>32</v>
      </c>
      <c r="D2496" s="6">
        <v>45624</v>
      </c>
      <c r="E2496" s="3" t="str">
        <f ca="1">IF(Tabela2[[#This Row],[Dt Venc:]]&gt;TODAY(),"Em Aberto",IF(Tabela2[[#This Row],[D/venc]]="-","Enviado",IF(Tabela2[[#This Row],[Dt Venc:]]=TODAY(),"Vence Hoje","Vencida")))</f>
        <v>Enviado</v>
      </c>
      <c r="F2496" s="3" t="str">
        <f ca="1">IF(G2496=1,"-",Tabela2[[#This Row],[Dt Venc:]]-TODAY())</f>
        <v>-</v>
      </c>
      <c r="G2496" s="3">
        <v>1</v>
      </c>
      <c r="H2496" s="3"/>
    </row>
    <row r="2497" spans="1:8" hidden="1">
      <c r="A2497" s="3">
        <v>49934</v>
      </c>
      <c r="B2497" s="7" t="s">
        <v>372</v>
      </c>
      <c r="C2497" s="41">
        <v>159.80000000000001</v>
      </c>
      <c r="D2497" s="6">
        <v>45624</v>
      </c>
      <c r="E2497" s="3" t="str">
        <f ca="1">IF(Tabela2[[#This Row],[Dt Venc:]]&gt;TODAY(),"Em Aberto",IF(Tabela2[[#This Row],[D/venc]]="-","Enviado",IF(Tabela2[[#This Row],[Dt Venc:]]=TODAY(),"Vence Hoje","Vencida")))</f>
        <v>Enviado</v>
      </c>
      <c r="F2497" s="3" t="str">
        <f ca="1">IF(G2497=1,"-",Tabela2[[#This Row],[Dt Venc:]]-TODAY())</f>
        <v>-</v>
      </c>
      <c r="G2497" s="3">
        <v>1</v>
      </c>
      <c r="H2497" s="3"/>
    </row>
    <row r="2498" spans="1:8" hidden="1">
      <c r="A2498" s="3">
        <v>8147</v>
      </c>
      <c r="B2498" s="7" t="s">
        <v>283</v>
      </c>
      <c r="C2498" s="41">
        <v>6629.04</v>
      </c>
      <c r="D2498" s="6">
        <v>45624</v>
      </c>
      <c r="E2498" s="3" t="str">
        <f ca="1">IF(Tabela2[[#This Row],[Dt Venc:]]&gt;TODAY(),"Em Aberto",IF(Tabela2[[#This Row],[D/venc]]="-","Enviado",IF(Tabela2[[#This Row],[Dt Venc:]]=TODAY(),"Vence Hoje","Vencida")))</f>
        <v>Enviado</v>
      </c>
      <c r="F2498" s="3" t="str">
        <f ca="1">IF(G2498=1,"-",Tabela2[[#This Row],[Dt Venc:]]-TODAY())</f>
        <v>-</v>
      </c>
      <c r="G2498" s="3">
        <v>1</v>
      </c>
      <c r="H2498" s="3"/>
    </row>
    <row r="2499" spans="1:8" hidden="1">
      <c r="A2499" s="3" t="s">
        <v>110</v>
      </c>
      <c r="B2499" s="7" t="s">
        <v>373</v>
      </c>
      <c r="C2499" s="42" t="s">
        <v>32</v>
      </c>
      <c r="D2499" s="6">
        <v>45624</v>
      </c>
      <c r="E2499" s="3" t="str">
        <f ca="1">IF(Tabela2[[#This Row],[Dt Venc:]]&gt;TODAY(),"Em Aberto",IF(Tabela2[[#This Row],[D/venc]]="-","Enviado",IF(Tabela2[[#This Row],[Dt Venc:]]=TODAY(),"Vence Hoje","Vencida")))</f>
        <v>Enviado</v>
      </c>
      <c r="F2499" s="3" t="str">
        <f ca="1">IF(G2499=1,"-",Tabela2[[#This Row],[Dt Venc:]]-TODAY())</f>
        <v>-</v>
      </c>
      <c r="G2499" s="3">
        <v>1</v>
      </c>
      <c r="H2499" s="3"/>
    </row>
    <row r="2500" spans="1:8" hidden="1">
      <c r="A2500" s="3">
        <v>2022</v>
      </c>
      <c r="B2500" s="7" t="s">
        <v>96</v>
      </c>
      <c r="C2500" s="41">
        <v>860</v>
      </c>
      <c r="D2500" s="6">
        <v>45624</v>
      </c>
      <c r="E2500" s="3" t="str">
        <f ca="1">IF(Tabela2[[#This Row],[Dt Venc:]]&gt;TODAY(),"Em Aberto",IF(Tabela2[[#This Row],[D/venc]]="-","Enviado",IF(Tabela2[[#This Row],[Dt Venc:]]=TODAY(),"Vence Hoje","Vencida")))</f>
        <v>Enviado</v>
      </c>
      <c r="F2500" s="3" t="str">
        <f ca="1">IF(G2500=1,"-",Tabela2[[#This Row],[Dt Venc:]]-TODAY())</f>
        <v>-</v>
      </c>
      <c r="G2500" s="3">
        <v>1</v>
      </c>
      <c r="H2500" s="3"/>
    </row>
    <row r="2501" spans="1:8" hidden="1">
      <c r="A2501" s="3">
        <v>912180</v>
      </c>
      <c r="B2501" s="7" t="s">
        <v>375</v>
      </c>
      <c r="C2501" s="83" t="s">
        <v>32</v>
      </c>
      <c r="D2501" s="6">
        <v>45625</v>
      </c>
      <c r="E2501" s="3" t="str">
        <f ca="1">IF(Tabela2[[#This Row],[Dt Venc:]]&gt;TODAY(),"Em Aberto",IF(Tabela2[[#This Row],[D/venc]]="-","Enviado",IF(Tabela2[[#This Row],[Dt Venc:]]=TODAY(),"Vence Hoje","Vencida")))</f>
        <v>Enviado</v>
      </c>
      <c r="F2501" s="3" t="str">
        <f ca="1">IF(G2501=1,"-",Tabela2[[#This Row],[Dt Venc:]]-TODAY())</f>
        <v>-</v>
      </c>
      <c r="G2501" s="3">
        <v>1</v>
      </c>
      <c r="H2501" s="3"/>
    </row>
    <row r="2502" spans="1:8" hidden="1">
      <c r="A2502" s="3">
        <v>364300</v>
      </c>
      <c r="B2502" s="7" t="s">
        <v>39</v>
      </c>
      <c r="C2502" s="42">
        <v>863.96</v>
      </c>
      <c r="D2502" s="6">
        <v>45625</v>
      </c>
      <c r="E2502" s="3" t="str">
        <f ca="1">IF(Tabela2[[#This Row],[Dt Venc:]]&gt;TODAY(),"Em Aberto",IF(Tabela2[[#This Row],[D/venc]]="-","Enviado",IF(Tabela2[[#This Row],[Dt Venc:]]=TODAY(),"Vence Hoje","Vencida")))</f>
        <v>Enviado</v>
      </c>
      <c r="F2502" s="3" t="str">
        <f ca="1">IF(G2502=1,"-",Tabela2[[#This Row],[Dt Venc:]]-TODAY())</f>
        <v>-</v>
      </c>
      <c r="G2502" s="3">
        <v>1</v>
      </c>
      <c r="H2502" s="3"/>
    </row>
    <row r="2503" spans="1:8" hidden="1">
      <c r="A2503" s="3">
        <v>216585</v>
      </c>
      <c r="B2503" s="7" t="s">
        <v>127</v>
      </c>
      <c r="C2503" s="42">
        <v>2218.62</v>
      </c>
      <c r="D2503" s="6">
        <v>45625</v>
      </c>
      <c r="E2503" s="3" t="str">
        <f ca="1">IF(Tabela2[[#This Row],[Dt Venc:]]&gt;TODAY(),"Em Aberto",IF(Tabela2[[#This Row],[D/venc]]="-","Enviado",IF(Tabela2[[#This Row],[Dt Venc:]]=TODAY(),"Vence Hoje","Vencida")))</f>
        <v>Enviado</v>
      </c>
      <c r="F2503" s="3" t="str">
        <f ca="1">IF(G2503=1,"-",Tabela2[[#This Row],[Dt Venc:]]-TODAY())</f>
        <v>-</v>
      </c>
      <c r="G2503" s="3">
        <v>1</v>
      </c>
      <c r="H2503" s="3"/>
    </row>
    <row r="2504" spans="1:8" hidden="1">
      <c r="A2504" s="3">
        <v>29343</v>
      </c>
      <c r="B2504" s="7" t="s">
        <v>97</v>
      </c>
      <c r="C2504" s="42">
        <v>3035</v>
      </c>
      <c r="D2504" s="6">
        <v>45625</v>
      </c>
      <c r="E2504" s="3" t="str">
        <f ca="1">IF(Tabela2[[#This Row],[Dt Venc:]]&gt;TODAY(),"Em Aberto",IF(Tabela2[[#This Row],[D/venc]]="-","Enviado",IF(Tabela2[[#This Row],[Dt Venc:]]=TODAY(),"Vence Hoje","Vencida")))</f>
        <v>Enviado</v>
      </c>
      <c r="F2504" s="3" t="str">
        <f ca="1">IF(G2504=1,"-",Tabela2[[#This Row],[Dt Venc:]]-TODAY())</f>
        <v>-</v>
      </c>
      <c r="G2504" s="3">
        <v>1</v>
      </c>
      <c r="H2504" s="3"/>
    </row>
    <row r="2505" spans="1:8" hidden="1">
      <c r="A2505" s="3">
        <v>10389</v>
      </c>
      <c r="B2505" s="7" t="s">
        <v>72</v>
      </c>
      <c r="C2505" s="42">
        <v>733.34</v>
      </c>
      <c r="D2505" s="6">
        <v>45625</v>
      </c>
      <c r="E2505" s="3" t="str">
        <f ca="1">IF(Tabela2[[#This Row],[Dt Venc:]]&gt;TODAY(),"Em Aberto",IF(Tabela2[[#This Row],[D/venc]]="-","Enviado",IF(Tabela2[[#This Row],[Dt Venc:]]=TODAY(),"Vence Hoje","Vencida")))</f>
        <v>Enviado</v>
      </c>
      <c r="F2505" s="3" t="str">
        <f ca="1">IF(G2505=1,"-",Tabela2[[#This Row],[Dt Venc:]]-TODAY())</f>
        <v>-</v>
      </c>
      <c r="G2505" s="3">
        <v>1</v>
      </c>
      <c r="H2505" s="3"/>
    </row>
    <row r="2506" spans="1:8" hidden="1">
      <c r="A2506" s="3">
        <v>10830</v>
      </c>
      <c r="B2506" s="7" t="s">
        <v>33</v>
      </c>
      <c r="C2506" s="42">
        <v>1646.66</v>
      </c>
      <c r="D2506" s="6">
        <v>45625</v>
      </c>
      <c r="E2506" s="3" t="str">
        <f ca="1">IF(Tabela2[[#This Row],[Dt Venc:]]&gt;TODAY(),"Em Aberto",IF(Tabela2[[#This Row],[D/venc]]="-","Enviado",IF(Tabela2[[#This Row],[Dt Venc:]]=TODAY(),"Vence Hoje","Vencida")))</f>
        <v>Enviado</v>
      </c>
      <c r="F2506" s="3" t="str">
        <f ca="1">IF(G2506=1,"-",Tabela2[[#This Row],[Dt Venc:]]-TODAY())</f>
        <v>-</v>
      </c>
      <c r="G2506" s="3">
        <v>1</v>
      </c>
      <c r="H2506" s="3"/>
    </row>
    <row r="2507" spans="1:8" hidden="1">
      <c r="A2507" s="3">
        <v>25192</v>
      </c>
      <c r="B2507" s="7" t="s">
        <v>70</v>
      </c>
      <c r="C2507" s="42">
        <v>1562.1</v>
      </c>
      <c r="D2507" s="6">
        <v>45625</v>
      </c>
      <c r="E2507" s="3" t="str">
        <f ca="1">IF(Tabela2[[#This Row],[Dt Venc:]]&gt;TODAY(),"Em Aberto",IF(Tabela2[[#This Row],[D/venc]]="-","Enviado",IF(Tabela2[[#This Row],[Dt Venc:]]=TODAY(),"Vence Hoje","Vencida")))</f>
        <v>Enviado</v>
      </c>
      <c r="F2507" s="3" t="str">
        <f ca="1">IF(G2507=1,"-",Tabela2[[#This Row],[Dt Venc:]]-TODAY())</f>
        <v>-</v>
      </c>
      <c r="G2507" s="3">
        <v>1</v>
      </c>
      <c r="H2507" s="3"/>
    </row>
    <row r="2508" spans="1:8" hidden="1">
      <c r="A2508" s="3">
        <v>1483</v>
      </c>
      <c r="B2508" s="7" t="s">
        <v>78</v>
      </c>
      <c r="C2508" s="42">
        <v>924</v>
      </c>
      <c r="D2508" s="6">
        <v>45625</v>
      </c>
      <c r="E2508" s="3" t="str">
        <f ca="1">IF(Tabela2[[#This Row],[Dt Venc:]]&gt;TODAY(),"Em Aberto",IF(Tabela2[[#This Row],[D/venc]]="-","Enviado",IF(Tabela2[[#This Row],[Dt Venc:]]=TODAY(),"Vence Hoje","Vencida")))</f>
        <v>Enviado</v>
      </c>
      <c r="F2508" s="3" t="str">
        <f ca="1">IF(G2508=1,"-",Tabela2[[#This Row],[Dt Venc:]]-TODAY())</f>
        <v>-</v>
      </c>
      <c r="G2508" s="3">
        <v>1</v>
      </c>
      <c r="H2508" s="3"/>
    </row>
    <row r="2509" spans="1:8" hidden="1">
      <c r="A2509" s="3">
        <v>10830</v>
      </c>
      <c r="B2509" s="7" t="s">
        <v>33</v>
      </c>
      <c r="C2509" s="42">
        <v>1646.68</v>
      </c>
      <c r="D2509" s="6">
        <v>45625</v>
      </c>
      <c r="E2509" s="3" t="str">
        <f ca="1">IF(Tabela2[[#This Row],[Dt Venc:]]&gt;TODAY(),"Em Aberto",IF(Tabela2[[#This Row],[D/venc]]="-","Enviado",IF(Tabela2[[#This Row],[Dt Venc:]]=TODAY(),"Vence Hoje","Vencida")))</f>
        <v>Enviado</v>
      </c>
      <c r="F2509" s="3" t="str">
        <f ca="1">IF(G2509=1,"-",Tabela2[[#This Row],[Dt Venc:]]-TODAY())</f>
        <v>-</v>
      </c>
      <c r="G2509" s="3">
        <v>1</v>
      </c>
      <c r="H2509" s="3"/>
    </row>
    <row r="2510" spans="1:8" hidden="1">
      <c r="A2510" s="3">
        <v>368984</v>
      </c>
      <c r="B2510" s="7" t="s">
        <v>39</v>
      </c>
      <c r="C2510" s="42">
        <v>504.94</v>
      </c>
      <c r="D2510" s="6">
        <v>45625</v>
      </c>
      <c r="E2510" s="3" t="str">
        <f ca="1">IF(Tabela2[[#This Row],[Dt Venc:]]&gt;TODAY(),"Em Aberto",IF(Tabela2[[#This Row],[D/venc]]="-","Enviado",IF(Tabela2[[#This Row],[Dt Venc:]]=TODAY(),"Vence Hoje","Vencida")))</f>
        <v>Enviado</v>
      </c>
      <c r="F2510" s="3" t="str">
        <f ca="1">IF(G2510=1,"-",Tabela2[[#This Row],[Dt Venc:]]-TODAY())</f>
        <v>-</v>
      </c>
      <c r="G2510" s="3">
        <v>1</v>
      </c>
      <c r="H2510" s="3"/>
    </row>
    <row r="2511" spans="1:8" hidden="1">
      <c r="A2511" s="3">
        <v>23096</v>
      </c>
      <c r="B2511" s="7" t="s">
        <v>38</v>
      </c>
      <c r="C2511" s="42">
        <v>1471.33</v>
      </c>
      <c r="D2511" s="6">
        <v>45625</v>
      </c>
      <c r="E2511" s="3" t="str">
        <f ca="1">IF(Tabela2[[#This Row],[Dt Venc:]]&gt;TODAY(),"Em Aberto",IF(Tabela2[[#This Row],[D/venc]]="-","Enviado",IF(Tabela2[[#This Row],[Dt Venc:]]=TODAY(),"Vence Hoje","Vencida")))</f>
        <v>Enviado</v>
      </c>
      <c r="F2511" s="3" t="str">
        <f ca="1">IF(G2511=1,"-",Tabela2[[#This Row],[Dt Venc:]]-TODAY())</f>
        <v>-</v>
      </c>
      <c r="G2511" s="3">
        <v>1</v>
      </c>
      <c r="H2511" s="3"/>
    </row>
    <row r="2512" spans="1:8" hidden="1">
      <c r="A2512" s="3">
        <v>230222</v>
      </c>
      <c r="B2512" s="7" t="s">
        <v>40</v>
      </c>
      <c r="C2512" s="42">
        <v>900</v>
      </c>
      <c r="D2512" s="6">
        <v>45625</v>
      </c>
      <c r="E2512" s="3" t="str">
        <f ca="1">IF(Tabela2[[#This Row],[Dt Venc:]]&gt;TODAY(),"Em Aberto",IF(Tabela2[[#This Row],[D/venc]]="-","Enviado",IF(Tabela2[[#This Row],[Dt Venc:]]=TODAY(),"Vence Hoje","Vencida")))</f>
        <v>Enviado</v>
      </c>
      <c r="F2512" s="3" t="str">
        <f ca="1">IF(G2512=1,"-",Tabela2[[#This Row],[Dt Venc:]]-TODAY())</f>
        <v>-</v>
      </c>
      <c r="G2512" s="3">
        <v>1</v>
      </c>
      <c r="H2512" s="3"/>
    </row>
    <row r="2513" spans="1:8" hidden="1">
      <c r="A2513" s="3">
        <v>181567</v>
      </c>
      <c r="B2513" s="7" t="s">
        <v>84</v>
      </c>
      <c r="C2513" s="42">
        <v>580.69000000000005</v>
      </c>
      <c r="D2513" s="6">
        <v>45625</v>
      </c>
      <c r="E2513" s="3" t="str">
        <f ca="1">IF(Tabela2[[#This Row],[Dt Venc:]]&gt;TODAY(),"Em Aberto",IF(Tabela2[[#This Row],[D/venc]]="-","Enviado",IF(Tabela2[[#This Row],[Dt Venc:]]=TODAY(),"Vence Hoje","Vencida")))</f>
        <v>Enviado</v>
      </c>
      <c r="F2513" s="3" t="str">
        <f ca="1">IF(G2513=1,"-",Tabela2[[#This Row],[Dt Venc:]]-TODAY())</f>
        <v>-</v>
      </c>
      <c r="G2513" s="3">
        <v>1</v>
      </c>
      <c r="H2513" s="3"/>
    </row>
    <row r="2514" spans="1:8" hidden="1">
      <c r="A2514" s="3">
        <v>71312</v>
      </c>
      <c r="B2514" s="7" t="s">
        <v>76</v>
      </c>
      <c r="C2514" s="42">
        <v>1000.91</v>
      </c>
      <c r="D2514" s="6">
        <v>45625</v>
      </c>
      <c r="E2514" s="3" t="str">
        <f ca="1">IF(Tabela2[[#This Row],[Dt Venc:]]&gt;TODAY(),"Em Aberto",IF(Tabela2[[#This Row],[D/venc]]="-","Enviado",IF(Tabela2[[#This Row],[Dt Venc:]]=TODAY(),"Vence Hoje","Vencida")))</f>
        <v>Enviado</v>
      </c>
      <c r="F2514" s="3" t="str">
        <f ca="1">IF(G2514=1,"-",Tabela2[[#This Row],[Dt Venc:]]-TODAY())</f>
        <v>-</v>
      </c>
      <c r="G2514" s="3">
        <v>1</v>
      </c>
      <c r="H2514" s="3"/>
    </row>
    <row r="2515" spans="1:8" hidden="1">
      <c r="A2515" s="3">
        <v>235159</v>
      </c>
      <c r="B2515" s="7" t="s">
        <v>43</v>
      </c>
      <c r="C2515" s="42">
        <v>1235.27</v>
      </c>
      <c r="D2515" s="6">
        <v>45625</v>
      </c>
      <c r="E2515" s="3" t="str">
        <f ca="1">IF(Tabela2[[#This Row],[Dt Venc:]]&gt;TODAY(),"Em Aberto",IF(Tabela2[[#This Row],[D/venc]]="-","Enviado",IF(Tabela2[[#This Row],[Dt Venc:]]=TODAY(),"Vence Hoje","Vencida")))</f>
        <v>Enviado</v>
      </c>
      <c r="F2515" s="3" t="str">
        <f ca="1">IF(G2515=1,"-",Tabela2[[#This Row],[Dt Venc:]]-TODAY())</f>
        <v>-</v>
      </c>
      <c r="G2515" s="3">
        <v>1</v>
      </c>
      <c r="H2515" s="3"/>
    </row>
    <row r="2516" spans="1:8" hidden="1">
      <c r="A2516" s="3">
        <v>610668</v>
      </c>
      <c r="B2516" s="7" t="s">
        <v>66</v>
      </c>
      <c r="C2516" s="42">
        <v>2380.85</v>
      </c>
      <c r="D2516" s="6">
        <v>45625</v>
      </c>
      <c r="E2516" s="3" t="str">
        <f ca="1">IF(Tabela2[[#This Row],[Dt Venc:]]&gt;TODAY(),"Em Aberto",IF(Tabela2[[#This Row],[D/venc]]="-","Enviado",IF(Tabela2[[#This Row],[Dt Venc:]]=TODAY(),"Vence Hoje","Vencida")))</f>
        <v>Enviado</v>
      </c>
      <c r="F2516" s="3" t="str">
        <f ca="1">IF(G2516=1,"-",Tabela2[[#This Row],[Dt Venc:]]-TODAY())</f>
        <v>-</v>
      </c>
      <c r="G2516" s="3">
        <v>1</v>
      </c>
      <c r="H2516" s="3"/>
    </row>
    <row r="2517" spans="1:8" hidden="1">
      <c r="A2517" s="3">
        <v>701711</v>
      </c>
      <c r="B2517" s="7" t="s">
        <v>79</v>
      </c>
      <c r="C2517" s="42">
        <v>2724.5</v>
      </c>
      <c r="D2517" s="6">
        <v>45625</v>
      </c>
      <c r="E2517" s="3" t="str">
        <f ca="1">IF(Tabela2[[#This Row],[Dt Venc:]]&gt;TODAY(),"Em Aberto",IF(Tabela2[[#This Row],[D/venc]]="-","Enviado",IF(Tabela2[[#This Row],[Dt Venc:]]=TODAY(),"Vence Hoje","Vencida")))</f>
        <v>Enviado</v>
      </c>
      <c r="F2517" s="3" t="str">
        <f ca="1">IF(G2517=1,"-",Tabela2[[#This Row],[Dt Venc:]]-TODAY())</f>
        <v>-</v>
      </c>
      <c r="G2517" s="3">
        <v>1</v>
      </c>
      <c r="H2517" s="3"/>
    </row>
    <row r="2518" spans="1:8" hidden="1">
      <c r="A2518" s="3">
        <v>256620</v>
      </c>
      <c r="B2518" s="7" t="s">
        <v>49</v>
      </c>
      <c r="C2518" s="41">
        <v>1045</v>
      </c>
      <c r="D2518" s="6">
        <v>45625</v>
      </c>
      <c r="E2518" s="3" t="str">
        <f ca="1">IF(Tabela2[[#This Row],[Dt Venc:]]&gt;TODAY(),"Em Aberto",IF(Tabela2[[#This Row],[D/venc]]="-","Enviado",IF(Tabela2[[#This Row],[Dt Venc:]]=TODAY(),"Vence Hoje","Vencida")))</f>
        <v>Enviado</v>
      </c>
      <c r="F2518" s="3" t="str">
        <f ca="1">IF(G2518=1,"-",Tabela2[[#This Row],[Dt Venc:]]-TODAY())</f>
        <v>-</v>
      </c>
      <c r="G2518" s="3">
        <v>1</v>
      </c>
      <c r="H2518" s="3"/>
    </row>
    <row r="2519" spans="1:8" hidden="1">
      <c r="A2519" s="3">
        <v>2641</v>
      </c>
      <c r="B2519" s="7" t="s">
        <v>198</v>
      </c>
      <c r="C2519" s="41">
        <v>280</v>
      </c>
      <c r="D2519" s="6">
        <v>45625</v>
      </c>
      <c r="E2519" s="3" t="str">
        <f ca="1">IF(Tabela2[[#This Row],[Dt Venc:]]&gt;TODAY(),"Em Aberto",IF(Tabela2[[#This Row],[D/venc]]="-","Enviado",IF(Tabela2[[#This Row],[Dt Venc:]]=TODAY(),"Vence Hoje","Vencida")))</f>
        <v>Enviado</v>
      </c>
      <c r="F2519" s="3" t="str">
        <f ca="1">IF(G2519=1,"-",Tabela2[[#This Row],[Dt Venc:]]-TODAY())</f>
        <v>-</v>
      </c>
      <c r="G2519" s="3">
        <v>1</v>
      </c>
      <c r="H2519" s="3"/>
    </row>
    <row r="2520" spans="1:8" hidden="1">
      <c r="A2520" s="3">
        <v>256984</v>
      </c>
      <c r="B2520" s="7" t="s">
        <v>49</v>
      </c>
      <c r="C2520" s="41">
        <v>1393.34</v>
      </c>
      <c r="D2520" s="6">
        <v>45625</v>
      </c>
      <c r="E2520" s="3" t="str">
        <f ca="1">IF(Tabela2[[#This Row],[Dt Venc:]]&gt;TODAY(),"Em Aberto",IF(Tabela2[[#This Row],[D/venc]]="-","Enviado",IF(Tabela2[[#This Row],[Dt Venc:]]=TODAY(),"Vence Hoje","Vencida")))</f>
        <v>Enviado</v>
      </c>
      <c r="F2520" s="3" t="str">
        <f ca="1">IF(G2520=1,"-",Tabela2[[#This Row],[Dt Venc:]]-TODAY())</f>
        <v>-</v>
      </c>
      <c r="G2520" s="3">
        <v>1</v>
      </c>
      <c r="H2520" s="3"/>
    </row>
    <row r="2521" spans="1:8" hidden="1">
      <c r="A2521" s="3">
        <v>11083</v>
      </c>
      <c r="B2521" s="7" t="s">
        <v>33</v>
      </c>
      <c r="C2521" s="41">
        <v>400</v>
      </c>
      <c r="D2521" s="6">
        <v>45625</v>
      </c>
      <c r="E2521" s="3" t="str">
        <f ca="1">IF(Tabela2[[#This Row],[Dt Venc:]]&gt;TODAY(),"Em Aberto",IF(Tabela2[[#This Row],[D/venc]]="-","Enviado",IF(Tabela2[[#This Row],[Dt Venc:]]=TODAY(),"Vence Hoje","Vencida")))</f>
        <v>Enviado</v>
      </c>
      <c r="F2521" s="3" t="str">
        <f ca="1">IF(G2521=1,"-",Tabela2[[#This Row],[Dt Venc:]]-TODAY())</f>
        <v>-</v>
      </c>
      <c r="G2521" s="3">
        <v>1</v>
      </c>
      <c r="H2521" s="3"/>
    </row>
    <row r="2522" spans="1:8" hidden="1">
      <c r="A2522" s="3">
        <v>2855</v>
      </c>
      <c r="B2522" s="7" t="s">
        <v>301</v>
      </c>
      <c r="C2522" s="41">
        <v>2033.33</v>
      </c>
      <c r="D2522" s="6">
        <v>45625</v>
      </c>
      <c r="E2522" s="3" t="str">
        <f ca="1">IF(Tabela2[[#This Row],[Dt Venc:]]&gt;TODAY(),"Em Aberto",IF(Tabela2[[#This Row],[D/venc]]="-","Enviado",IF(Tabela2[[#This Row],[Dt Venc:]]=TODAY(),"Vence Hoje","Vencida")))</f>
        <v>Enviado</v>
      </c>
      <c r="F2522" s="3" t="str">
        <f ca="1">IF(G2522=1,"-",Tabela2[[#This Row],[Dt Venc:]]-TODAY())</f>
        <v>-</v>
      </c>
      <c r="G2522" s="3">
        <v>1</v>
      </c>
      <c r="H2522" s="3"/>
    </row>
    <row r="2523" spans="1:8" hidden="1">
      <c r="A2523" s="3">
        <v>153989</v>
      </c>
      <c r="B2523" s="7" t="s">
        <v>77</v>
      </c>
      <c r="C2523" s="41">
        <v>450</v>
      </c>
      <c r="D2523" s="6">
        <v>45625</v>
      </c>
      <c r="E2523" s="3" t="str">
        <f ca="1">IF(Tabela2[[#This Row],[Dt Venc:]]&gt;TODAY(),"Em Aberto",IF(Tabela2[[#This Row],[D/venc]]="-","Enviado",IF(Tabela2[[#This Row],[Dt Venc:]]=TODAY(),"Vence Hoje","Vencida")))</f>
        <v>Enviado</v>
      </c>
      <c r="F2523" s="3" t="str">
        <f ca="1">IF(G2523=1,"-",Tabela2[[#This Row],[Dt Venc:]]-TODAY())</f>
        <v>-</v>
      </c>
      <c r="G2523" s="3">
        <v>1</v>
      </c>
      <c r="H2523" s="3"/>
    </row>
    <row r="2524" spans="1:8" hidden="1">
      <c r="A2524" s="3">
        <v>153990</v>
      </c>
      <c r="B2524" s="7" t="s">
        <v>77</v>
      </c>
      <c r="C2524" s="41">
        <v>1233.3</v>
      </c>
      <c r="D2524" s="6">
        <v>45625</v>
      </c>
      <c r="E2524" s="3" t="str">
        <f ca="1">IF(Tabela2[[#This Row],[Dt Venc:]]&gt;TODAY(),"Em Aberto",IF(Tabela2[[#This Row],[D/venc]]="-","Enviado",IF(Tabela2[[#This Row],[Dt Venc:]]=TODAY(),"Vence Hoje","Vencida")))</f>
        <v>Enviado</v>
      </c>
      <c r="F2524" s="3" t="str">
        <f ca="1">IF(G2524=1,"-",Tabela2[[#This Row],[Dt Venc:]]-TODAY())</f>
        <v>-</v>
      </c>
      <c r="G2524" s="3">
        <v>1</v>
      </c>
      <c r="H2524" s="3"/>
    </row>
    <row r="2525" spans="1:8" hidden="1">
      <c r="A2525" s="3">
        <v>146728</v>
      </c>
      <c r="B2525" s="7" t="s">
        <v>127</v>
      </c>
      <c r="C2525" s="41">
        <v>602</v>
      </c>
      <c r="D2525" s="6">
        <v>45625</v>
      </c>
      <c r="E2525" s="3" t="str">
        <f ca="1">IF(Tabela2[[#This Row],[Dt Venc:]]&gt;TODAY(),"Em Aberto",IF(Tabela2[[#This Row],[D/venc]]="-","Enviado",IF(Tabela2[[#This Row],[Dt Venc:]]=TODAY(),"Vence Hoje","Vencida")))</f>
        <v>Enviado</v>
      </c>
      <c r="F2525" s="3" t="str">
        <f ca="1">IF(G2525=1,"-",Tabela2[[#This Row],[Dt Venc:]]-TODAY())</f>
        <v>-</v>
      </c>
      <c r="G2525" s="3">
        <v>1</v>
      </c>
      <c r="H2525" s="3"/>
    </row>
    <row r="2526" spans="1:8" hidden="1">
      <c r="A2526" s="3">
        <v>758635</v>
      </c>
      <c r="B2526" s="7" t="s">
        <v>127</v>
      </c>
      <c r="C2526" s="41">
        <v>256.92</v>
      </c>
      <c r="D2526" s="6">
        <v>45625</v>
      </c>
      <c r="E2526" s="3" t="str">
        <f ca="1">IF(Tabela2[[#This Row],[Dt Venc:]]&gt;TODAY(),"Em Aberto",IF(Tabela2[[#This Row],[D/venc]]="-","Enviado",IF(Tabela2[[#This Row],[Dt Venc:]]=TODAY(),"Vence Hoje","Vencida")))</f>
        <v>Enviado</v>
      </c>
      <c r="F2526" s="3" t="str">
        <f ca="1">IF(G2526=1,"-",Tabela2[[#This Row],[Dt Venc:]]-TODAY())</f>
        <v>-</v>
      </c>
      <c r="G2526" s="3">
        <v>1</v>
      </c>
      <c r="H2526" s="3"/>
    </row>
    <row r="2527" spans="1:8" hidden="1">
      <c r="A2527" s="3">
        <v>30511</v>
      </c>
      <c r="B2527" s="7" t="s">
        <v>226</v>
      </c>
      <c r="C2527" s="41">
        <v>1690</v>
      </c>
      <c r="D2527" s="6">
        <v>45625</v>
      </c>
      <c r="E2527" s="3" t="str">
        <f ca="1">IF(Tabela2[[#This Row],[Dt Venc:]]&gt;TODAY(),"Em Aberto",IF(Tabela2[[#This Row],[D/venc]]="-","Enviado",IF(Tabela2[[#This Row],[Dt Venc:]]=TODAY(),"Vence Hoje","Vencida")))</f>
        <v>Enviado</v>
      </c>
      <c r="F2527" s="3" t="str">
        <f ca="1">IF(G2527=1,"-",Tabela2[[#This Row],[Dt Venc:]]-TODAY())</f>
        <v>-</v>
      </c>
      <c r="G2527" s="3">
        <v>1</v>
      </c>
      <c r="H2527" s="3"/>
    </row>
    <row r="2528" spans="1:8" hidden="1">
      <c r="A2528" s="3">
        <v>758688</v>
      </c>
      <c r="B2528" s="7" t="s">
        <v>127</v>
      </c>
      <c r="C2528" s="41">
        <v>651.37</v>
      </c>
      <c r="D2528" s="6">
        <v>45625</v>
      </c>
      <c r="E2528" s="3" t="str">
        <f ca="1">IF(Tabela2[[#This Row],[Dt Venc:]]&gt;TODAY(),"Em Aberto",IF(Tabela2[[#This Row],[D/venc]]="-","Enviado",IF(Tabela2[[#This Row],[Dt Venc:]]=TODAY(),"Vence Hoje","Vencida")))</f>
        <v>Enviado</v>
      </c>
      <c r="F2528" s="3" t="str">
        <f ca="1">IF(G2528=1,"-",Tabela2[[#This Row],[Dt Venc:]]-TODAY())</f>
        <v>-</v>
      </c>
      <c r="G2528" s="3">
        <v>1</v>
      </c>
      <c r="H2528" s="3"/>
    </row>
    <row r="2529" spans="1:8" hidden="1">
      <c r="A2529" s="3">
        <v>5997</v>
      </c>
      <c r="B2529" s="7" t="s">
        <v>140</v>
      </c>
      <c r="C2529" s="41">
        <v>1527.47</v>
      </c>
      <c r="D2529" s="6">
        <v>45625</v>
      </c>
      <c r="E2529" s="3" t="str">
        <f ca="1">IF(Tabela2[[#This Row],[Dt Venc:]]&gt;TODAY(),"Em Aberto",IF(Tabela2[[#This Row],[D/venc]]="-","Enviado",IF(Tabela2[[#This Row],[Dt Venc:]]=TODAY(),"Vence Hoje","Vencida")))</f>
        <v>Enviado</v>
      </c>
      <c r="F2529" s="3" t="str">
        <f ca="1">IF(G2529=1,"-",Tabela2[[#This Row],[Dt Venc:]]-TODAY())</f>
        <v>-</v>
      </c>
      <c r="G2529" s="3">
        <v>1</v>
      </c>
      <c r="H2529" s="3"/>
    </row>
    <row r="2530" spans="1:8" hidden="1">
      <c r="A2530" s="3">
        <v>765146</v>
      </c>
      <c r="B2530" s="7" t="s">
        <v>79</v>
      </c>
      <c r="C2530" s="41">
        <v>6645.14</v>
      </c>
      <c r="D2530" s="6">
        <v>45625</v>
      </c>
      <c r="E2530" s="3" t="str">
        <f ca="1">IF(Tabela2[[#This Row],[Dt Venc:]]&gt;TODAY(),"Em Aberto",IF(Tabela2[[#This Row],[D/venc]]="-","Enviado",IF(Tabela2[[#This Row],[Dt Venc:]]=TODAY(),"Vence Hoje","Vencida")))</f>
        <v>Enviado</v>
      </c>
      <c r="F2530" s="3" t="str">
        <f ca="1">IF(G2530=1,"-",Tabela2[[#This Row],[Dt Venc:]]-TODAY())</f>
        <v>-</v>
      </c>
      <c r="G2530" s="3">
        <v>1</v>
      </c>
      <c r="H2530" s="3"/>
    </row>
    <row r="2531" spans="1:8" hidden="1">
      <c r="A2531" s="3">
        <v>257233</v>
      </c>
      <c r="B2531" s="7" t="s">
        <v>49</v>
      </c>
      <c r="C2531" s="41">
        <v>1393.34</v>
      </c>
      <c r="D2531" s="6">
        <v>45625</v>
      </c>
      <c r="E2531" s="3" t="str">
        <f ca="1">IF(Tabela2[[#This Row],[Dt Venc:]]&gt;TODAY(),"Em Aberto",IF(Tabela2[[#This Row],[D/venc]]="-","Enviado",IF(Tabela2[[#This Row],[Dt Venc:]]=TODAY(),"Vence Hoje","Vencida")))</f>
        <v>Enviado</v>
      </c>
      <c r="F2531" s="3" t="str">
        <f ca="1">IF(G2531=1,"-",Tabela2[[#This Row],[Dt Venc:]]-TODAY())</f>
        <v>-</v>
      </c>
      <c r="G2531" s="3">
        <v>1</v>
      </c>
      <c r="H2531" s="3"/>
    </row>
    <row r="2532" spans="1:8" hidden="1">
      <c r="A2532" s="3">
        <v>6091</v>
      </c>
      <c r="B2532" s="7" t="s">
        <v>47</v>
      </c>
      <c r="C2532" s="41">
        <v>2723.31</v>
      </c>
      <c r="D2532" s="6">
        <v>45625</v>
      </c>
      <c r="E2532" s="3" t="str">
        <f ca="1">IF(Tabela2[[#This Row],[Dt Venc:]]&gt;TODAY(),"Em Aberto",IF(Tabela2[[#This Row],[D/venc]]="-","Enviado",IF(Tabela2[[#This Row],[Dt Venc:]]=TODAY(),"Vence Hoje","Vencida")))</f>
        <v>Enviado</v>
      </c>
      <c r="F2532" s="3" t="str">
        <f ca="1">IF(G2532=1,"-",Tabela2[[#This Row],[Dt Venc:]]-TODAY())</f>
        <v>-</v>
      </c>
      <c r="G2532" s="3">
        <v>1</v>
      </c>
      <c r="H2532" s="3"/>
    </row>
    <row r="2533" spans="1:8" hidden="1">
      <c r="A2533" s="3">
        <v>4166</v>
      </c>
      <c r="B2533" s="7" t="s">
        <v>479</v>
      </c>
      <c r="C2533" s="41">
        <v>1993.15</v>
      </c>
      <c r="D2533" s="6">
        <v>45625</v>
      </c>
      <c r="E2533" s="3" t="str">
        <f ca="1">IF(Tabela2[[#This Row],[Dt Venc:]]&gt;TODAY(),"Em Aberto",IF(Tabela2[[#This Row],[D/venc]]="-","Enviado",IF(Tabela2[[#This Row],[Dt Venc:]]=TODAY(),"Vence Hoje","Vencida")))</f>
        <v>Enviado</v>
      </c>
      <c r="F2533" s="3" t="str">
        <f ca="1">IF(G2533=1,"-",Tabela2[[#This Row],[Dt Venc:]]-TODAY())</f>
        <v>-</v>
      </c>
      <c r="G2533" s="3">
        <v>1</v>
      </c>
      <c r="H2533" s="3"/>
    </row>
    <row r="2534" spans="1:8" hidden="1">
      <c r="A2534" s="3">
        <v>114105</v>
      </c>
      <c r="B2534" s="7" t="s">
        <v>480</v>
      </c>
      <c r="C2534" s="41">
        <v>2206.46</v>
      </c>
      <c r="D2534" s="6">
        <v>45625</v>
      </c>
      <c r="E2534" s="3" t="str">
        <f ca="1">IF(Tabela2[[#This Row],[Dt Venc:]]&gt;TODAY(),"Em Aberto",IF(Tabela2[[#This Row],[D/venc]]="-","Enviado",IF(Tabela2[[#This Row],[Dt Venc:]]=TODAY(),"Vence Hoje","Vencida")))</f>
        <v>Enviado</v>
      </c>
      <c r="F2534" s="3" t="str">
        <f ca="1">IF(G2534=1,"-",Tabela2[[#This Row],[Dt Venc:]]-TODAY())</f>
        <v>-</v>
      </c>
      <c r="G2534" s="3">
        <v>1</v>
      </c>
      <c r="H2534" s="3"/>
    </row>
    <row r="2535" spans="1:8" hidden="1">
      <c r="A2535" s="3">
        <v>248099</v>
      </c>
      <c r="B2535" s="7" t="s">
        <v>43</v>
      </c>
      <c r="C2535" s="41">
        <v>1369.24</v>
      </c>
      <c r="D2535" s="6">
        <v>45625</v>
      </c>
      <c r="E2535" s="3" t="str">
        <f ca="1">IF(Tabela2[[#This Row],[Dt Venc:]]&gt;TODAY(),"Em Aberto",IF(Tabela2[[#This Row],[D/venc]]="-","Enviado",IF(Tabela2[[#This Row],[Dt Venc:]]=TODAY(),"Vence Hoje","Vencida")))</f>
        <v>Enviado</v>
      </c>
      <c r="F2535" s="3" t="str">
        <f ca="1">IF(G2535=1,"-",Tabela2[[#This Row],[Dt Venc:]]-TODAY())</f>
        <v>-</v>
      </c>
      <c r="G2535" s="3">
        <v>1</v>
      </c>
      <c r="H2535" s="3"/>
    </row>
    <row r="2536" spans="1:8" hidden="1">
      <c r="A2536" s="3">
        <v>22232</v>
      </c>
      <c r="B2536" s="7" t="s">
        <v>481</v>
      </c>
      <c r="C2536" s="41">
        <v>16685.52</v>
      </c>
      <c r="D2536" s="6">
        <v>45625</v>
      </c>
      <c r="E2536" s="3" t="str">
        <f ca="1">IF(Tabela2[[#This Row],[Dt Venc:]]&gt;TODAY(),"Em Aberto",IF(Tabela2[[#This Row],[D/venc]]="-","Enviado",IF(Tabela2[[#This Row],[Dt Venc:]]=TODAY(),"Vence Hoje","Vencida")))</f>
        <v>Enviado</v>
      </c>
      <c r="F2536" s="3" t="str">
        <f ca="1">IF(G2536=1,"-",Tabela2[[#This Row],[Dt Venc:]]-TODAY())</f>
        <v>-</v>
      </c>
      <c r="G2536" s="3">
        <v>1</v>
      </c>
      <c r="H2536" s="3"/>
    </row>
    <row r="2537" spans="1:8" hidden="1">
      <c r="A2537" s="3">
        <v>19730</v>
      </c>
      <c r="B2537" s="7" t="s">
        <v>41</v>
      </c>
      <c r="C2537" s="41">
        <v>700</v>
      </c>
      <c r="D2537" s="6">
        <v>45625</v>
      </c>
      <c r="E2537" s="3" t="str">
        <f ca="1">IF(Tabela2[[#This Row],[Dt Venc:]]&gt;TODAY(),"Em Aberto",IF(Tabela2[[#This Row],[D/venc]]="-","Enviado",IF(Tabela2[[#This Row],[Dt Venc:]]=TODAY(),"Vence Hoje","Vencida")))</f>
        <v>Enviado</v>
      </c>
      <c r="F2537" s="3" t="str">
        <f ca="1">IF(G2537=1,"-",Tabela2[[#This Row],[Dt Venc:]]-TODAY())</f>
        <v>-</v>
      </c>
      <c r="G2537" s="3">
        <v>1</v>
      </c>
      <c r="H2537" s="3"/>
    </row>
    <row r="2538" spans="1:8" hidden="1">
      <c r="A2538" s="3">
        <v>15291</v>
      </c>
      <c r="B2538" s="7" t="s">
        <v>44</v>
      </c>
      <c r="C2538" s="41">
        <v>708.33</v>
      </c>
      <c r="D2538" s="6">
        <v>45625</v>
      </c>
      <c r="E2538" s="3" t="str">
        <f ca="1">IF(Tabela2[[#This Row],[Dt Venc:]]&gt;TODAY(),"Em Aberto",IF(Tabela2[[#This Row],[D/venc]]="-","Enviado",IF(Tabela2[[#This Row],[Dt Venc:]]=TODAY(),"Vence Hoje","Vencida")))</f>
        <v>Enviado</v>
      </c>
      <c r="F2538" s="3" t="str">
        <f ca="1">IF(G2538=1,"-",Tabela2[[#This Row],[Dt Venc:]]-TODAY())</f>
        <v>-</v>
      </c>
      <c r="G2538" s="3">
        <v>1</v>
      </c>
      <c r="H2538" s="3"/>
    </row>
    <row r="2539" spans="1:8" hidden="1">
      <c r="A2539" s="3">
        <v>266941</v>
      </c>
      <c r="B2539" s="7" t="s">
        <v>36</v>
      </c>
      <c r="C2539" s="41">
        <v>423.3</v>
      </c>
      <c r="D2539" s="6">
        <v>45625</v>
      </c>
      <c r="E2539" s="3" t="str">
        <f ca="1">IF(Tabela2[[#This Row],[Dt Venc:]]&gt;TODAY(),"Em Aberto",IF(Tabela2[[#This Row],[D/venc]]="-","Enviado",IF(Tabela2[[#This Row],[Dt Venc:]]=TODAY(),"Vence Hoje","Vencida")))</f>
        <v>Enviado</v>
      </c>
      <c r="F2539" s="3" t="str">
        <f ca="1">IF(G2539=1,"-",Tabela2[[#This Row],[Dt Venc:]]-TODAY())</f>
        <v>-</v>
      </c>
      <c r="G2539" s="3">
        <v>1</v>
      </c>
      <c r="H2539" s="3"/>
    </row>
    <row r="2540" spans="1:8" hidden="1">
      <c r="A2540" s="3">
        <v>3561740</v>
      </c>
      <c r="B2540" s="7" t="s">
        <v>482</v>
      </c>
      <c r="C2540" s="41">
        <v>1240</v>
      </c>
      <c r="D2540" s="6">
        <v>45625</v>
      </c>
      <c r="E2540" s="3" t="str">
        <f ca="1">IF(Tabela2[[#This Row],[Dt Venc:]]&gt;TODAY(),"Em Aberto",IF(Tabela2[[#This Row],[D/venc]]="-","Enviado",IF(Tabela2[[#This Row],[Dt Venc:]]=TODAY(),"Vence Hoje","Vencida")))</f>
        <v>Enviado</v>
      </c>
      <c r="F2540" s="3" t="str">
        <f ca="1">IF(G2540=1,"-",Tabela2[[#This Row],[Dt Venc:]]-TODAY())</f>
        <v>-</v>
      </c>
      <c r="G2540" s="3">
        <v>1</v>
      </c>
      <c r="H2540" s="3"/>
    </row>
    <row r="2541" spans="1:8" hidden="1">
      <c r="A2541" s="3">
        <v>704796</v>
      </c>
      <c r="B2541" s="7" t="s">
        <v>483</v>
      </c>
      <c r="C2541" s="41">
        <v>731.87</v>
      </c>
      <c r="D2541" s="6">
        <v>45625</v>
      </c>
      <c r="E2541" s="3" t="str">
        <f ca="1">IF(Tabela2[[#This Row],[Dt Venc:]]&gt;TODAY(),"Em Aberto",IF(Tabela2[[#This Row],[D/venc]]="-","Enviado",IF(Tabela2[[#This Row],[Dt Venc:]]=TODAY(),"Vence Hoje","Vencida")))</f>
        <v>Enviado</v>
      </c>
      <c r="F2541" s="3" t="str">
        <f ca="1">IF(G2541=1,"-",Tabela2[[#This Row],[Dt Venc:]]-TODAY())</f>
        <v>-</v>
      </c>
      <c r="G2541" s="3">
        <v>1</v>
      </c>
      <c r="H2541" s="3"/>
    </row>
    <row r="2542" spans="1:8" hidden="1">
      <c r="A2542" s="3">
        <v>2267206</v>
      </c>
      <c r="B2542" s="7" t="s">
        <v>59</v>
      </c>
      <c r="C2542" s="41">
        <v>27850.5</v>
      </c>
      <c r="D2542" s="6">
        <v>45625</v>
      </c>
      <c r="E2542" s="3" t="str">
        <f ca="1">IF(Tabela2[[#This Row],[Dt Venc:]]&gt;TODAY(),"Em Aberto",IF(Tabela2[[#This Row],[D/venc]]="-","Enviado",IF(Tabela2[[#This Row],[Dt Venc:]]=TODAY(),"Vence Hoje","Vencida")))</f>
        <v>Enviado</v>
      </c>
      <c r="F2542" s="3" t="str">
        <f ca="1">IF(G2542=1,"-",Tabela2[[#This Row],[Dt Venc:]]-TODAY())</f>
        <v>-</v>
      </c>
      <c r="G2542" s="3">
        <v>1</v>
      </c>
      <c r="H2542" s="3"/>
    </row>
    <row r="2543" spans="1:8" hidden="1">
      <c r="A2543" s="3">
        <v>1995423</v>
      </c>
      <c r="B2543" s="7" t="s">
        <v>59</v>
      </c>
      <c r="C2543" s="41">
        <v>137062.5</v>
      </c>
      <c r="D2543" s="6">
        <v>45625</v>
      </c>
      <c r="E2543" s="3" t="str">
        <f ca="1">IF(Tabela2[[#This Row],[Dt Venc:]]&gt;TODAY(),"Em Aberto",IF(Tabela2[[#This Row],[D/venc]]="-","Enviado",IF(Tabela2[[#This Row],[Dt Venc:]]=TODAY(),"Vence Hoje","Vencida")))</f>
        <v>Enviado</v>
      </c>
      <c r="F2543" s="3" t="str">
        <f ca="1">IF(G2543=1,"-",Tabela2[[#This Row],[Dt Venc:]]-TODAY())</f>
        <v>-</v>
      </c>
      <c r="G2543" s="3">
        <v>1</v>
      </c>
      <c r="H2543" s="3"/>
    </row>
    <row r="2544" spans="1:8" hidden="1">
      <c r="A2544" s="3">
        <v>3311241</v>
      </c>
      <c r="B2544" s="7" t="s">
        <v>71</v>
      </c>
      <c r="C2544" s="41">
        <v>82623</v>
      </c>
      <c r="D2544" s="6">
        <v>45625</v>
      </c>
      <c r="E2544" s="3" t="str">
        <f ca="1">IF(Tabela2[[#This Row],[Dt Venc:]]&gt;TODAY(),"Em Aberto",IF(Tabela2[[#This Row],[D/venc]]="-","Enviado",IF(Tabela2[[#This Row],[Dt Venc:]]=TODAY(),"Vence Hoje","Vencida")))</f>
        <v>Enviado</v>
      </c>
      <c r="F2544" s="3" t="str">
        <f ca="1">IF(G2544=1,"-",Tabela2[[#This Row],[Dt Venc:]]-TODAY())</f>
        <v>-</v>
      </c>
      <c r="G2544" s="3">
        <v>1</v>
      </c>
      <c r="H2544" s="3"/>
    </row>
    <row r="2545" spans="1:8" hidden="1">
      <c r="A2545" s="3">
        <v>141842</v>
      </c>
      <c r="B2545" s="7" t="s">
        <v>484</v>
      </c>
      <c r="C2545" s="41">
        <v>390</v>
      </c>
      <c r="D2545" s="6">
        <v>45625</v>
      </c>
      <c r="E2545" s="3" t="str">
        <f ca="1">IF(Tabela2[[#This Row],[Dt Venc:]]&gt;TODAY(),"Em Aberto",IF(Tabela2[[#This Row],[D/venc]]="-","Enviado",IF(Tabela2[[#This Row],[Dt Venc:]]=TODAY(),"Vence Hoje","Vencida")))</f>
        <v>Enviado</v>
      </c>
      <c r="F2545" s="3" t="str">
        <f ca="1">IF(G2545=1,"-",Tabela2[[#This Row],[Dt Venc:]]-TODAY())</f>
        <v>-</v>
      </c>
      <c r="G2545" s="3">
        <v>1</v>
      </c>
      <c r="H2545" s="3"/>
    </row>
    <row r="2546" spans="1:8" hidden="1">
      <c r="A2546" s="3">
        <v>141825</v>
      </c>
      <c r="B2546" s="7" t="s">
        <v>484</v>
      </c>
      <c r="C2546" s="41">
        <v>390</v>
      </c>
      <c r="D2546" s="6">
        <v>45625</v>
      </c>
      <c r="E2546" s="3" t="str">
        <f ca="1">IF(Tabela2[[#This Row],[Dt Venc:]]&gt;TODAY(),"Em Aberto",IF(Tabela2[[#This Row],[D/venc]]="-","Enviado",IF(Tabela2[[#This Row],[Dt Venc:]]=TODAY(),"Vence Hoje","Vencida")))</f>
        <v>Enviado</v>
      </c>
      <c r="F2546" s="3" t="str">
        <f ca="1">IF(G2546=1,"-",Tabela2[[#This Row],[Dt Venc:]]-TODAY())</f>
        <v>-</v>
      </c>
      <c r="G2546" s="3">
        <v>1</v>
      </c>
      <c r="H2546" s="3"/>
    </row>
    <row r="2547" spans="1:8" hidden="1">
      <c r="A2547" s="3">
        <v>141843</v>
      </c>
      <c r="B2547" s="7" t="s">
        <v>484</v>
      </c>
      <c r="C2547" s="41">
        <v>390</v>
      </c>
      <c r="D2547" s="6">
        <v>45625</v>
      </c>
      <c r="E2547" s="3" t="str">
        <f ca="1">IF(Tabela2[[#This Row],[Dt Venc:]]&gt;TODAY(),"Em Aberto",IF(Tabela2[[#This Row],[D/venc]]="-","Enviado",IF(Tabela2[[#This Row],[Dt Venc:]]=TODAY(),"Vence Hoje","Vencida")))</f>
        <v>Enviado</v>
      </c>
      <c r="F2547" s="3" t="str">
        <f ca="1">IF(G2547=1,"-",Tabela2[[#This Row],[Dt Venc:]]-TODAY())</f>
        <v>-</v>
      </c>
      <c r="G2547" s="3">
        <v>1</v>
      </c>
      <c r="H2547" s="3"/>
    </row>
    <row r="2548" spans="1:8" hidden="1">
      <c r="A2548" s="3">
        <v>141826</v>
      </c>
      <c r="B2548" s="7" t="s">
        <v>484</v>
      </c>
      <c r="C2548" s="41">
        <v>390</v>
      </c>
      <c r="D2548" s="6">
        <v>45625</v>
      </c>
      <c r="E2548" s="3" t="str">
        <f ca="1">IF(Tabela2[[#This Row],[Dt Venc:]]&gt;TODAY(),"Em Aberto",IF(Tabela2[[#This Row],[D/venc]]="-","Enviado",IF(Tabela2[[#This Row],[Dt Venc:]]=TODAY(),"Vence Hoje","Vencida")))</f>
        <v>Enviado</v>
      </c>
      <c r="F2548" s="3" t="str">
        <f ca="1">IF(G2548=1,"-",Tabela2[[#This Row],[Dt Venc:]]-TODAY())</f>
        <v>-</v>
      </c>
      <c r="G2548" s="3">
        <v>1</v>
      </c>
      <c r="H2548" s="3"/>
    </row>
    <row r="2549" spans="1:8" hidden="1">
      <c r="A2549" s="3">
        <v>2710</v>
      </c>
      <c r="B2549" s="7" t="s">
        <v>58</v>
      </c>
      <c r="C2549" s="42">
        <v>2509.6</v>
      </c>
      <c r="D2549" s="6">
        <v>45626</v>
      </c>
      <c r="E2549" s="3" t="str">
        <f ca="1">IF(Tabela2[[#This Row],[Dt Venc:]]&gt;TODAY(),"Em Aberto",IF(Tabela2[[#This Row],[D/venc]]="-","Enviado",IF(Tabela2[[#This Row],[Dt Venc:]]=TODAY(),"Vence Hoje","Vencida")))</f>
        <v>Enviado</v>
      </c>
      <c r="F2549" s="3" t="str">
        <f ca="1">IF(G2549=1,"-",Tabela2[[#This Row],[Dt Venc:]]-TODAY())</f>
        <v>-</v>
      </c>
      <c r="G2549" s="3">
        <v>1</v>
      </c>
      <c r="H2549" s="3"/>
    </row>
    <row r="2550" spans="1:8" hidden="1">
      <c r="A2550" s="3">
        <v>90</v>
      </c>
      <c r="B2550" s="7" t="s">
        <v>339</v>
      </c>
      <c r="C2550" s="42">
        <v>16500</v>
      </c>
      <c r="D2550" s="6">
        <v>45626</v>
      </c>
      <c r="E2550" s="3" t="str">
        <f ca="1">IF(Tabela2[[#This Row],[Dt Venc:]]&gt;TODAY(),"Em Aberto",IF(Tabela2[[#This Row],[D/venc]]="-","Enviado",IF(Tabela2[[#This Row],[Dt Venc:]]=TODAY(),"Vence Hoje","Vencida")))</f>
        <v>Enviado</v>
      </c>
      <c r="F2550" s="3" t="str">
        <f ca="1">IF(G2550=1,"-",Tabela2[[#This Row],[Dt Venc:]]-TODAY())</f>
        <v>-</v>
      </c>
      <c r="G2550" s="3">
        <v>1</v>
      </c>
      <c r="H2550" s="3"/>
    </row>
    <row r="2551" spans="1:8" hidden="1">
      <c r="A2551" s="3">
        <v>17</v>
      </c>
      <c r="B2551" s="7" t="s">
        <v>339</v>
      </c>
      <c r="C2551" s="42">
        <v>2216</v>
      </c>
      <c r="D2551" s="6">
        <v>45626</v>
      </c>
      <c r="E2551" s="3" t="str">
        <f ca="1">IF(Tabela2[[#This Row],[Dt Venc:]]&gt;TODAY(),"Em Aberto",IF(Tabela2[[#This Row],[D/venc]]="-","Enviado",IF(Tabela2[[#This Row],[Dt Venc:]]=TODAY(),"Vence Hoje","Vencida")))</f>
        <v>Enviado</v>
      </c>
      <c r="F2551" s="3" t="str">
        <f ca="1">IF(G2551=1,"-",Tabela2[[#This Row],[Dt Venc:]]-TODAY())</f>
        <v>-</v>
      </c>
      <c r="G2551" s="3">
        <v>1</v>
      </c>
      <c r="H2551" s="3"/>
    </row>
    <row r="2552" spans="1:8" hidden="1">
      <c r="A2552" s="3">
        <v>91</v>
      </c>
      <c r="B2552" s="7" t="s">
        <v>339</v>
      </c>
      <c r="C2552" s="42">
        <v>1854</v>
      </c>
      <c r="D2552" s="6">
        <v>45626</v>
      </c>
      <c r="E2552" s="3" t="str">
        <f ca="1">IF(Tabela2[[#This Row],[Dt Venc:]]&gt;TODAY(),"Em Aberto",IF(Tabela2[[#This Row],[D/venc]]="-","Enviado",IF(Tabela2[[#This Row],[Dt Venc:]]=TODAY(),"Vence Hoje","Vencida")))</f>
        <v>Enviado</v>
      </c>
      <c r="F2552" s="3" t="str">
        <f ca="1">IF(G2552=1,"-",Tabela2[[#This Row],[Dt Venc:]]-TODAY())</f>
        <v>-</v>
      </c>
      <c r="G2552" s="3">
        <v>1</v>
      </c>
      <c r="H2552" s="3"/>
    </row>
    <row r="2553" spans="1:8" hidden="1">
      <c r="A2553" s="3">
        <v>2753</v>
      </c>
      <c r="B2553" s="7" t="s">
        <v>301</v>
      </c>
      <c r="C2553" s="42">
        <v>2440</v>
      </c>
      <c r="D2553" s="6">
        <v>45626</v>
      </c>
      <c r="E2553" s="3" t="str">
        <f ca="1">IF(Tabela2[[#This Row],[Dt Venc:]]&gt;TODAY(),"Em Aberto",IF(Tabela2[[#This Row],[D/venc]]="-","Enviado",IF(Tabela2[[#This Row],[Dt Venc:]]=TODAY(),"Vence Hoje","Vencida")))</f>
        <v>Enviado</v>
      </c>
      <c r="F2553" s="3" t="str">
        <f ca="1">IF(G2553=1,"-",Tabela2[[#This Row],[Dt Venc:]]-TODAY())</f>
        <v>-</v>
      </c>
      <c r="G2553" s="3">
        <v>1</v>
      </c>
      <c r="H2553" s="3"/>
    </row>
    <row r="2554" spans="1:8" hidden="1">
      <c r="A2554" s="3">
        <v>10</v>
      </c>
      <c r="B2554" s="7" t="s">
        <v>173</v>
      </c>
      <c r="C2554" s="42">
        <v>396.66</v>
      </c>
      <c r="D2554" s="6">
        <v>45626</v>
      </c>
      <c r="E2554" s="3" t="str">
        <f ca="1">IF(Tabela2[[#This Row],[Dt Venc:]]&gt;TODAY(),"Em Aberto",IF(Tabela2[[#This Row],[D/venc]]="-","Enviado",IF(Tabela2[[#This Row],[Dt Venc:]]=TODAY(),"Vence Hoje","Vencida")))</f>
        <v>Enviado</v>
      </c>
      <c r="F2554" s="3" t="str">
        <f ca="1">IF(G2554=1,"-",Tabela2[[#This Row],[Dt Venc:]]-TODAY())</f>
        <v>-</v>
      </c>
      <c r="G2554" s="3">
        <v>1</v>
      </c>
      <c r="H2554" s="3"/>
    </row>
    <row r="2555" spans="1:8" hidden="1">
      <c r="A2555" s="3">
        <v>10960</v>
      </c>
      <c r="B2555" s="7" t="s">
        <v>33</v>
      </c>
      <c r="C2555" s="42">
        <v>1360</v>
      </c>
      <c r="D2555" s="6">
        <v>45626</v>
      </c>
      <c r="E2555" s="3" t="str">
        <f ca="1">IF(Tabela2[[#This Row],[Dt Venc:]]&gt;TODAY(),"Em Aberto",IF(Tabela2[[#This Row],[D/venc]]="-","Enviado",IF(Tabela2[[#This Row],[Dt Venc:]]=TODAY(),"Vence Hoje","Vencida")))</f>
        <v>Enviado</v>
      </c>
      <c r="F2555" s="3" t="str">
        <f ca="1">IF(G2555=1,"-",Tabela2[[#This Row],[Dt Venc:]]-TODAY())</f>
        <v>-</v>
      </c>
      <c r="G2555" s="3">
        <v>1</v>
      </c>
      <c r="H2555" s="3"/>
    </row>
    <row r="2556" spans="1:8" hidden="1">
      <c r="A2556" s="3">
        <v>5954</v>
      </c>
      <c r="B2556" s="7" t="s">
        <v>47</v>
      </c>
      <c r="C2556" s="42">
        <v>878</v>
      </c>
      <c r="D2556" s="6">
        <v>45626</v>
      </c>
      <c r="E2556" s="3" t="str">
        <f ca="1">IF(Tabela2[[#This Row],[Dt Venc:]]&gt;TODAY(),"Em Aberto",IF(Tabela2[[#This Row],[D/venc]]="-","Enviado",IF(Tabela2[[#This Row],[Dt Venc:]]=TODAY(),"Vence Hoje","Vencida")))</f>
        <v>Enviado</v>
      </c>
      <c r="F2556" s="3" t="str">
        <f ca="1">IF(G2556=1,"-",Tabela2[[#This Row],[Dt Venc:]]-TODAY())</f>
        <v>-</v>
      </c>
      <c r="G2556" s="3">
        <v>1</v>
      </c>
      <c r="H2556" s="3"/>
    </row>
    <row r="2557" spans="1:8" hidden="1">
      <c r="A2557" s="3">
        <v>153230</v>
      </c>
      <c r="B2557" s="7" t="s">
        <v>77</v>
      </c>
      <c r="C2557" s="42">
        <v>1233.33</v>
      </c>
      <c r="D2557" s="6">
        <v>45626</v>
      </c>
      <c r="E2557" s="3" t="str">
        <f ca="1">IF(Tabela2[[#This Row],[Dt Venc:]]&gt;TODAY(),"Em Aberto",IF(Tabela2[[#This Row],[D/venc]]="-","Enviado",IF(Tabela2[[#This Row],[Dt Venc:]]=TODAY(),"Vence Hoje","Vencida")))</f>
        <v>Enviado</v>
      </c>
      <c r="F2557" s="3" t="str">
        <f ca="1">IF(G2557=1,"-",Tabela2[[#This Row],[Dt Venc:]]-TODAY())</f>
        <v>-</v>
      </c>
      <c r="G2557" s="3">
        <v>1</v>
      </c>
      <c r="H2557" s="3"/>
    </row>
    <row r="2558" spans="1:8" hidden="1">
      <c r="A2558" s="3">
        <v>326432</v>
      </c>
      <c r="B2558" s="7" t="s">
        <v>77</v>
      </c>
      <c r="C2558" s="42">
        <v>405</v>
      </c>
      <c r="D2558" s="6">
        <v>45626</v>
      </c>
      <c r="E2558" s="3" t="str">
        <f ca="1">IF(Tabela2[[#This Row],[Dt Venc:]]&gt;TODAY(),"Em Aberto",IF(Tabela2[[#This Row],[D/venc]]="-","Enviado",IF(Tabela2[[#This Row],[Dt Venc:]]=TODAY(),"Vence Hoje","Vencida")))</f>
        <v>Enviado</v>
      </c>
      <c r="F2558" s="3" t="str">
        <f ca="1">IF(G2558=1,"-",Tabela2[[#This Row],[Dt Venc:]]-TODAY())</f>
        <v>-</v>
      </c>
      <c r="G2558" s="3">
        <v>1</v>
      </c>
      <c r="H2558" s="3"/>
    </row>
    <row r="2559" spans="1:8" hidden="1">
      <c r="A2559" s="3">
        <v>173253</v>
      </c>
      <c r="B2559" s="7" t="s">
        <v>211</v>
      </c>
      <c r="C2559" s="42">
        <v>960</v>
      </c>
      <c r="D2559" s="6">
        <v>45626</v>
      </c>
      <c r="E2559" s="3" t="str">
        <f ca="1">IF(Tabela2[[#This Row],[Dt Venc:]]&gt;TODAY(),"Em Aberto",IF(Tabela2[[#This Row],[D/venc]]="-","Enviado",IF(Tabela2[[#This Row],[Dt Venc:]]=TODAY(),"Vence Hoje","Vencida")))</f>
        <v>Enviado</v>
      </c>
      <c r="F2559" s="3" t="str">
        <f ca="1">IF(G2559=1,"-",Tabela2[[#This Row],[Dt Venc:]]-TODAY())</f>
        <v>-</v>
      </c>
      <c r="G2559" s="3">
        <v>1</v>
      </c>
      <c r="H2559" s="3"/>
    </row>
    <row r="2560" spans="1:8" hidden="1">
      <c r="A2560" s="3">
        <v>326422</v>
      </c>
      <c r="B2560" s="7" t="s">
        <v>77</v>
      </c>
      <c r="C2560" s="42">
        <v>563.33000000000004</v>
      </c>
      <c r="D2560" s="6">
        <v>45626</v>
      </c>
      <c r="E2560" s="3" t="str">
        <f ca="1">IF(Tabela2[[#This Row],[Dt Venc:]]&gt;TODAY(),"Em Aberto",IF(Tabela2[[#This Row],[D/venc]]="-","Enviado",IF(Tabela2[[#This Row],[Dt Venc:]]=TODAY(),"Vence Hoje","Vencida")))</f>
        <v>Enviado</v>
      </c>
      <c r="F2560" s="3" t="str">
        <f ca="1">IF(G2560=1,"-",Tabela2[[#This Row],[Dt Venc:]]-TODAY())</f>
        <v>-</v>
      </c>
      <c r="G2560" s="3">
        <v>1</v>
      </c>
      <c r="H2560" s="3"/>
    </row>
    <row r="2561" spans="1:8" hidden="1">
      <c r="A2561" s="3">
        <v>30152</v>
      </c>
      <c r="B2561" s="7" t="s">
        <v>97</v>
      </c>
      <c r="C2561" s="42">
        <v>3360</v>
      </c>
      <c r="D2561" s="6">
        <v>45626</v>
      </c>
      <c r="E2561" s="3" t="str">
        <f ca="1">IF(Tabela2[[#This Row],[Dt Venc:]]&gt;TODAY(),"Em Aberto",IF(Tabela2[[#This Row],[D/venc]]="-","Enviado",IF(Tabela2[[#This Row],[Dt Venc:]]=TODAY(),"Vence Hoje","Vencida")))</f>
        <v>Enviado</v>
      </c>
      <c r="F2561" s="3" t="str">
        <f ca="1">IF(G2561=1,"-",Tabela2[[#This Row],[Dt Venc:]]-TODAY())</f>
        <v>-</v>
      </c>
      <c r="G2561" s="3">
        <v>1</v>
      </c>
      <c r="H2561" s="3"/>
    </row>
    <row r="2562" spans="1:8" hidden="1">
      <c r="A2562" s="3">
        <v>10963</v>
      </c>
      <c r="B2562" s="7" t="s">
        <v>33</v>
      </c>
      <c r="C2562" s="42">
        <v>496.67</v>
      </c>
      <c r="D2562" s="6">
        <v>45626</v>
      </c>
      <c r="E2562" s="3" t="str">
        <f ca="1">IF(Tabela2[[#This Row],[Dt Venc:]]&gt;TODAY(),"Em Aberto",IF(Tabela2[[#This Row],[D/venc]]="-","Enviado",IF(Tabela2[[#This Row],[Dt Venc:]]=TODAY(),"Vence Hoje","Vencida")))</f>
        <v>Enviado</v>
      </c>
      <c r="F2562" s="3" t="str">
        <f ca="1">IF(G2562=1,"-",Tabela2[[#This Row],[Dt Venc:]]-TODAY())</f>
        <v>-</v>
      </c>
      <c r="G2562" s="3">
        <v>1</v>
      </c>
      <c r="H2562" s="3"/>
    </row>
    <row r="2563" spans="1:8" hidden="1">
      <c r="A2563" s="3">
        <v>23130</v>
      </c>
      <c r="B2563" s="7" t="s">
        <v>38</v>
      </c>
      <c r="C2563" s="42">
        <v>833.33</v>
      </c>
      <c r="D2563" s="6">
        <v>45626</v>
      </c>
      <c r="E2563" s="3" t="str">
        <f ca="1">IF(Tabela2[[#This Row],[Dt Venc:]]&gt;TODAY(),"Em Aberto",IF(Tabela2[[#This Row],[D/venc]]="-","Enviado",IF(Tabela2[[#This Row],[Dt Venc:]]=TODAY(),"Vence Hoje","Vencida")))</f>
        <v>Enviado</v>
      </c>
      <c r="F2563" s="3" t="str">
        <f ca="1">IF(G2563=1,"-",Tabela2[[#This Row],[Dt Venc:]]-TODAY())</f>
        <v>-</v>
      </c>
      <c r="G2563" s="3">
        <v>1</v>
      </c>
      <c r="H2563" s="3"/>
    </row>
    <row r="2564" spans="1:8" hidden="1">
      <c r="A2564" s="3">
        <v>586</v>
      </c>
      <c r="B2564" s="7" t="s">
        <v>390</v>
      </c>
      <c r="C2564" s="42">
        <v>2942.09</v>
      </c>
      <c r="D2564" s="6">
        <v>45626</v>
      </c>
      <c r="E2564" s="3" t="str">
        <f ca="1">IF(Tabela2[[#This Row],[Dt Venc:]]&gt;TODAY(),"Em Aberto",IF(Tabela2[[#This Row],[D/venc]]="-","Enviado",IF(Tabela2[[#This Row],[Dt Venc:]]=TODAY(),"Vence Hoje","Vencida")))</f>
        <v>Enviado</v>
      </c>
      <c r="F2564" s="3" t="str">
        <f ca="1">IF(G2564=1,"-",Tabela2[[#This Row],[Dt Venc:]]-TODAY())</f>
        <v>-</v>
      </c>
      <c r="G2564" s="3">
        <v>1</v>
      </c>
      <c r="H2564" s="3"/>
    </row>
    <row r="2565" spans="1:8" hidden="1">
      <c r="A2565" s="3">
        <v>6093</v>
      </c>
      <c r="B2565" s="7" t="s">
        <v>47</v>
      </c>
      <c r="C2565" s="41">
        <v>1268.55</v>
      </c>
      <c r="D2565" s="6">
        <v>45626</v>
      </c>
      <c r="E2565" s="3" t="str">
        <f ca="1">IF(Tabela2[[#This Row],[Dt Venc:]]&gt;TODAY(),"Em Aberto",IF(Tabela2[[#This Row],[D/venc]]="-","Enviado",IF(Tabela2[[#This Row],[Dt Venc:]]=TODAY(),"Vence Hoje","Vencida")))</f>
        <v>Enviado</v>
      </c>
      <c r="F2565" s="3" t="str">
        <f ca="1">IF(G2565=1,"-",Tabela2[[#This Row],[Dt Venc:]]-TODAY())</f>
        <v>-</v>
      </c>
      <c r="G2565" s="3">
        <v>1</v>
      </c>
      <c r="H2565" s="3"/>
    </row>
    <row r="2566" spans="1:8" hidden="1">
      <c r="A2566" s="3">
        <v>5326</v>
      </c>
      <c r="B2566" s="7" t="s">
        <v>134</v>
      </c>
      <c r="C2566" s="41">
        <v>400</v>
      </c>
      <c r="D2566" s="6">
        <v>45626</v>
      </c>
      <c r="E2566" s="3" t="str">
        <f ca="1">IF(Tabela2[[#This Row],[Dt Venc:]]&gt;TODAY(),"Em Aberto",IF(Tabela2[[#This Row],[D/venc]]="-","Enviado",IF(Tabela2[[#This Row],[Dt Venc:]]=TODAY(),"Vence Hoje","Vencida")))</f>
        <v>Enviado</v>
      </c>
      <c r="F2566" s="3" t="str">
        <f ca="1">IF(G2566=1,"-",Tabela2[[#This Row],[Dt Venc:]]-TODAY())</f>
        <v>-</v>
      </c>
      <c r="G2566" s="3">
        <v>1</v>
      </c>
      <c r="H2566" s="3"/>
    </row>
    <row r="2567" spans="1:8" hidden="1">
      <c r="A2567" s="3">
        <v>11145</v>
      </c>
      <c r="B2567" s="7" t="s">
        <v>485</v>
      </c>
      <c r="C2567" s="41">
        <v>825</v>
      </c>
      <c r="D2567" s="6">
        <v>45626</v>
      </c>
      <c r="E2567" s="3" t="str">
        <f ca="1">IF(Tabela2[[#This Row],[Dt Venc:]]&gt;TODAY(),"Em Aberto",IF(Tabela2[[#This Row],[D/venc]]="-","Enviado",IF(Tabela2[[#This Row],[Dt Venc:]]=TODAY(),"Vence Hoje","Vencida")))</f>
        <v>Enviado</v>
      </c>
      <c r="F2567" s="3" t="str">
        <f ca="1">IF(G2567=1,"-",Tabela2[[#This Row],[Dt Venc:]]-TODAY())</f>
        <v>-</v>
      </c>
      <c r="G2567" s="3">
        <v>1</v>
      </c>
      <c r="H2567" s="3"/>
    </row>
    <row r="2568" spans="1:8" hidden="1">
      <c r="A2568" s="3">
        <v>758815</v>
      </c>
      <c r="B2568" s="7" t="s">
        <v>127</v>
      </c>
      <c r="C2568" s="41">
        <v>513.83000000000004</v>
      </c>
      <c r="D2568" s="6">
        <v>45626</v>
      </c>
      <c r="E2568" s="3" t="str">
        <f ca="1">IF(Tabela2[[#This Row],[Dt Venc:]]&gt;TODAY(),"Em Aberto",IF(Tabela2[[#This Row],[D/venc]]="-","Enviado",IF(Tabela2[[#This Row],[Dt Venc:]]=TODAY(),"Vence Hoje","Vencida")))</f>
        <v>Enviado</v>
      </c>
      <c r="F2568" s="3" t="str">
        <f ca="1">IF(G2568=1,"-",Tabela2[[#This Row],[Dt Venc:]]-TODAY())</f>
        <v>-</v>
      </c>
      <c r="G2568" s="3">
        <v>1</v>
      </c>
      <c r="H2568" s="3"/>
    </row>
    <row r="2569" spans="1:8" hidden="1">
      <c r="A2569" s="3">
        <v>758816</v>
      </c>
      <c r="B2569" s="7" t="s">
        <v>127</v>
      </c>
      <c r="C2569" s="41">
        <v>513.83000000000004</v>
      </c>
      <c r="D2569" s="6">
        <v>45626</v>
      </c>
      <c r="E2569" s="3" t="str">
        <f ca="1">IF(Tabela2[[#This Row],[Dt Venc:]]&gt;TODAY(),"Em Aberto",IF(Tabela2[[#This Row],[D/venc]]="-","Enviado",IF(Tabela2[[#This Row],[Dt Venc:]]=TODAY(),"Vence Hoje","Vencida")))</f>
        <v>Enviado</v>
      </c>
      <c r="F2569" s="3" t="str">
        <f ca="1">IF(G2569=1,"-",Tabela2[[#This Row],[Dt Venc:]]-TODAY())</f>
        <v>-</v>
      </c>
      <c r="G2569" s="3">
        <v>1</v>
      </c>
      <c r="H2569" s="3"/>
    </row>
    <row r="2570" spans="1:8" hidden="1">
      <c r="A2570" s="3">
        <v>224173</v>
      </c>
      <c r="B2570" s="7" t="s">
        <v>127</v>
      </c>
      <c r="C2570" s="41">
        <v>2535.5700000000002</v>
      </c>
      <c r="D2570" s="6">
        <v>45626</v>
      </c>
      <c r="E2570" s="3" t="str">
        <f ca="1">IF(Tabela2[[#This Row],[Dt Venc:]]&gt;TODAY(),"Em Aberto",IF(Tabela2[[#This Row],[D/venc]]="-","Enviado",IF(Tabela2[[#This Row],[Dt Venc:]]=TODAY(),"Vence Hoje","Vencida")))</f>
        <v>Enviado</v>
      </c>
      <c r="F2570" s="3" t="str">
        <f ca="1">IF(G2570=1,"-",Tabela2[[#This Row],[Dt Venc:]]-TODAY())</f>
        <v>-</v>
      </c>
      <c r="G2570" s="3">
        <v>1</v>
      </c>
      <c r="H2570" s="3"/>
    </row>
    <row r="2571" spans="1:8" hidden="1">
      <c r="A2571" s="3">
        <v>328058</v>
      </c>
      <c r="B2571" s="7" t="s">
        <v>77</v>
      </c>
      <c r="C2571" s="41">
        <v>353.33</v>
      </c>
      <c r="D2571" s="6">
        <v>45626</v>
      </c>
      <c r="E2571" s="3" t="str">
        <f ca="1">IF(Tabela2[[#This Row],[Dt Venc:]]&gt;TODAY(),"Em Aberto",IF(Tabela2[[#This Row],[D/venc]]="-","Enviado",IF(Tabela2[[#This Row],[Dt Venc:]]=TODAY(),"Vence Hoje","Vencida")))</f>
        <v>Enviado</v>
      </c>
      <c r="F2571" s="3" t="str">
        <f ca="1">IF(G2571=1,"-",Tabela2[[#This Row],[Dt Venc:]]-TODAY())</f>
        <v>-</v>
      </c>
      <c r="G2571" s="3">
        <v>1</v>
      </c>
      <c r="H2571" s="3"/>
    </row>
    <row r="2572" spans="1:8" hidden="1">
      <c r="A2572" s="3">
        <v>224188</v>
      </c>
      <c r="B2572" s="7" t="s">
        <v>127</v>
      </c>
      <c r="C2572" s="41">
        <v>2201.34</v>
      </c>
      <c r="D2572" s="6">
        <v>45626</v>
      </c>
      <c r="E2572" s="3" t="str">
        <f ca="1">IF(Tabela2[[#This Row],[Dt Venc:]]&gt;TODAY(),"Em Aberto",IF(Tabela2[[#This Row],[D/venc]]="-","Enviado",IF(Tabela2[[#This Row],[Dt Venc:]]=TODAY(),"Vence Hoje","Vencida")))</f>
        <v>Enviado</v>
      </c>
      <c r="F2572" s="3" t="str">
        <f ca="1">IF(G2572=1,"-",Tabela2[[#This Row],[Dt Venc:]]-TODAY())</f>
        <v>-</v>
      </c>
      <c r="G2572" s="3">
        <v>1</v>
      </c>
      <c r="H2572" s="3"/>
    </row>
    <row r="2573" spans="1:8" hidden="1">
      <c r="A2573" s="3">
        <v>154041</v>
      </c>
      <c r="B2573" s="7" t="s">
        <v>77</v>
      </c>
      <c r="C2573" s="41">
        <v>420</v>
      </c>
      <c r="D2573" s="6">
        <v>45626</v>
      </c>
      <c r="E2573" s="3" t="str">
        <f ca="1">IF(Tabela2[[#This Row],[Dt Venc:]]&gt;TODAY(),"Em Aberto",IF(Tabela2[[#This Row],[D/venc]]="-","Enviado",IF(Tabela2[[#This Row],[Dt Venc:]]=TODAY(),"Vence Hoje","Vencida")))</f>
        <v>Enviado</v>
      </c>
      <c r="F2573" s="3" t="str">
        <f ca="1">IF(G2573=1,"-",Tabela2[[#This Row],[Dt Venc:]]-TODAY())</f>
        <v>-</v>
      </c>
      <c r="G2573" s="3">
        <v>1</v>
      </c>
      <c r="H2573" s="3"/>
    </row>
    <row r="2574" spans="1:8" hidden="1">
      <c r="A2574" s="3">
        <v>88892</v>
      </c>
      <c r="B2574" s="7" t="s">
        <v>444</v>
      </c>
      <c r="C2574" s="41">
        <v>350</v>
      </c>
      <c r="D2574" s="6">
        <v>45626</v>
      </c>
      <c r="E2574" s="3" t="str">
        <f ca="1">IF(Tabela2[[#This Row],[Dt Venc:]]&gt;TODAY(),"Em Aberto",IF(Tabela2[[#This Row],[D/venc]]="-","Enviado",IF(Tabela2[[#This Row],[Dt Venc:]]=TODAY(),"Vence Hoje","Vencida")))</f>
        <v>Enviado</v>
      </c>
      <c r="F2574" s="3" t="str">
        <f ca="1">IF(G2574=1,"-",Tabela2[[#This Row],[Dt Venc:]]-TODAY())</f>
        <v>-</v>
      </c>
      <c r="G2574" s="3">
        <v>1</v>
      </c>
      <c r="H2574" s="3"/>
    </row>
    <row r="2575" spans="1:8" hidden="1">
      <c r="A2575" s="3">
        <v>153183</v>
      </c>
      <c r="B2575" s="7" t="s">
        <v>486</v>
      </c>
      <c r="C2575" s="41">
        <v>1861.96</v>
      </c>
      <c r="D2575" s="6">
        <v>45626</v>
      </c>
      <c r="E2575" s="3" t="str">
        <f ca="1">IF(Tabela2[[#This Row],[Dt Venc:]]&gt;TODAY(),"Em Aberto",IF(Tabela2[[#This Row],[D/venc]]="-","Enviado",IF(Tabela2[[#This Row],[Dt Venc:]]=TODAY(),"Vence Hoje","Vencida")))</f>
        <v>Enviado</v>
      </c>
      <c r="F2575" s="3" t="str">
        <f ca="1">IF(G2575=1,"-",Tabela2[[#This Row],[Dt Venc:]]-TODAY())</f>
        <v>-</v>
      </c>
      <c r="G2575" s="3">
        <v>1</v>
      </c>
      <c r="H2575" s="3"/>
    </row>
    <row r="2576" spans="1:8" hidden="1">
      <c r="A2576" s="3">
        <v>2812</v>
      </c>
      <c r="B2576" s="7" t="s">
        <v>58</v>
      </c>
      <c r="C2576" s="41">
        <f>4513/3</f>
        <v>1504.3333333333333</v>
      </c>
      <c r="D2576" s="6">
        <v>45626</v>
      </c>
      <c r="E2576" s="3" t="str">
        <f ca="1">IF(Tabela2[[#This Row],[Dt Venc:]]&gt;TODAY(),"Em Aberto",IF(Tabela2[[#This Row],[D/venc]]="-","Enviado",IF(Tabela2[[#This Row],[Dt Venc:]]=TODAY(),"Vence Hoje","Vencida")))</f>
        <v>Enviado</v>
      </c>
      <c r="F2576" s="3" t="str">
        <f ca="1">IF(G2576=1,"-",Tabela2[[#This Row],[Dt Venc:]]-TODAY())</f>
        <v>-</v>
      </c>
      <c r="G2576" s="3">
        <v>1</v>
      </c>
      <c r="H2576" s="3"/>
    </row>
    <row r="2577" spans="1:8" hidden="1">
      <c r="A2577" s="3">
        <v>5065</v>
      </c>
      <c r="B2577" s="7" t="s">
        <v>463</v>
      </c>
      <c r="C2577" s="41">
        <v>1812.4</v>
      </c>
      <c r="D2577" s="6">
        <v>45626</v>
      </c>
      <c r="E2577" s="3" t="str">
        <f ca="1">IF(Tabela2[[#This Row],[Dt Venc:]]&gt;TODAY(),"Em Aberto",IF(Tabela2[[#This Row],[D/venc]]="-","Enviado",IF(Tabela2[[#This Row],[Dt Venc:]]=TODAY(),"Vence Hoje","Vencida")))</f>
        <v>Enviado</v>
      </c>
      <c r="F2577" s="3" t="str">
        <f ca="1">IF(G2577=1,"-",Tabela2[[#This Row],[Dt Venc:]]-TODAY())</f>
        <v>-</v>
      </c>
      <c r="G2577" s="3">
        <v>1</v>
      </c>
      <c r="H2577" s="3"/>
    </row>
    <row r="2578" spans="1:8" hidden="1">
      <c r="A2578" s="3">
        <v>11096</v>
      </c>
      <c r="B2578" s="7" t="s">
        <v>33</v>
      </c>
      <c r="C2578" s="41">
        <v>1971.6</v>
      </c>
      <c r="D2578" s="6">
        <v>45626</v>
      </c>
      <c r="E2578" s="3" t="str">
        <f ca="1">IF(Tabela2[[#This Row],[Dt Venc:]]&gt;TODAY(),"Em Aberto",IF(Tabela2[[#This Row],[D/venc]]="-","Enviado",IF(Tabela2[[#This Row],[Dt Venc:]]=TODAY(),"Vence Hoje","Vencida")))</f>
        <v>Enviado</v>
      </c>
      <c r="F2578" s="3" t="str">
        <f ca="1">IF(G2578=1,"-",Tabela2[[#This Row],[Dt Venc:]]-TODAY())</f>
        <v>-</v>
      </c>
      <c r="G2578" s="3">
        <v>1</v>
      </c>
      <c r="H2578" s="3"/>
    </row>
    <row r="2579" spans="1:8" hidden="1">
      <c r="A2579" s="3">
        <v>27</v>
      </c>
      <c r="B2579" s="7" t="s">
        <v>173</v>
      </c>
      <c r="C2579" s="41">
        <v>1676.6</v>
      </c>
      <c r="D2579" s="6">
        <v>45626</v>
      </c>
      <c r="E2579" s="3" t="str">
        <f ca="1">IF(Tabela2[[#This Row],[Dt Venc:]]&gt;TODAY(),"Em Aberto",IF(Tabela2[[#This Row],[D/venc]]="-","Enviado",IF(Tabela2[[#This Row],[Dt Venc:]]=TODAY(),"Vence Hoje","Vencida")))</f>
        <v>Enviado</v>
      </c>
      <c r="F2579" s="3" t="str">
        <f ca="1">IF(G2579=1,"-",Tabela2[[#This Row],[Dt Venc:]]-TODAY())</f>
        <v>-</v>
      </c>
      <c r="G2579" s="3">
        <v>1</v>
      </c>
      <c r="H2579" s="3"/>
    </row>
    <row r="2580" spans="1:8" hidden="1">
      <c r="A2580" s="3">
        <v>3304649</v>
      </c>
      <c r="B2580" s="7" t="s">
        <v>71</v>
      </c>
      <c r="C2580" s="41">
        <v>1113.26</v>
      </c>
      <c r="D2580" s="6">
        <v>45626</v>
      </c>
      <c r="E2580" s="3" t="str">
        <f ca="1">IF(Tabela2[[#This Row],[Dt Venc:]]&gt;TODAY(),"Em Aberto",IF(Tabela2[[#This Row],[D/venc]]="-","Enviado",IF(Tabela2[[#This Row],[Dt Venc:]]=TODAY(),"Vence Hoje","Vencida")))</f>
        <v>Enviado</v>
      </c>
      <c r="F2580" s="3" t="str">
        <f ca="1">IF(G2580=1,"-",Tabela2[[#This Row],[Dt Venc:]]-TODAY())</f>
        <v>-</v>
      </c>
      <c r="G2580" s="3">
        <v>1</v>
      </c>
      <c r="H2580" s="3"/>
    </row>
    <row r="2581" spans="1:8" hidden="1">
      <c r="A2581" s="3">
        <v>26061</v>
      </c>
      <c r="B2581" s="7" t="s">
        <v>254</v>
      </c>
      <c r="C2581" s="41">
        <v>51493.99</v>
      </c>
      <c r="D2581" s="6">
        <v>45626</v>
      </c>
      <c r="E2581" s="3" t="str">
        <f ca="1">IF(Tabela2[[#This Row],[Dt Venc:]]&gt;TODAY(),"Em Aberto",IF(Tabela2[[#This Row],[D/venc]]="-","Enviado",IF(Tabela2[[#This Row],[Dt Venc:]]=TODAY(),"Vence Hoje","Vencida")))</f>
        <v>Enviado</v>
      </c>
      <c r="F2581" s="3" t="str">
        <f ca="1">IF(G2581=1,"-",Tabela2[[#This Row],[Dt Venc:]]-TODAY())</f>
        <v>-</v>
      </c>
      <c r="G2581" s="3">
        <v>1</v>
      </c>
      <c r="H2581" s="3"/>
    </row>
    <row r="2582" spans="1:8" hidden="1">
      <c r="A2582" s="3">
        <v>1289</v>
      </c>
      <c r="B2582" s="7" t="s">
        <v>474</v>
      </c>
      <c r="C2582" s="41">
        <v>1340</v>
      </c>
      <c r="D2582" s="6">
        <v>45626</v>
      </c>
      <c r="E2582" s="3" t="str">
        <f ca="1">IF(Tabela2[[#This Row],[Dt Venc:]]&gt;TODAY(),"Em Aberto",IF(Tabela2[[#This Row],[D/venc]]="-","Enviado",IF(Tabela2[[#This Row],[Dt Venc:]]=TODAY(),"Vence Hoje","Vencida")))</f>
        <v>Enviado</v>
      </c>
      <c r="F2582" s="3" t="str">
        <f ca="1">IF(G2582=1,"-",Tabela2[[#This Row],[Dt Venc:]]-TODAY())</f>
        <v>-</v>
      </c>
      <c r="G2582" s="3">
        <v>1</v>
      </c>
      <c r="H2582" s="3"/>
    </row>
    <row r="2583" spans="1:8" hidden="1">
      <c r="A2583" s="3">
        <v>50</v>
      </c>
      <c r="B2583" s="7" t="s">
        <v>132</v>
      </c>
      <c r="C2583" s="41">
        <v>3266.67</v>
      </c>
      <c r="D2583" s="6">
        <v>45626</v>
      </c>
      <c r="E2583" s="3" t="str">
        <f ca="1">IF(Tabela2[[#This Row],[Dt Venc:]]&gt;TODAY(),"Em Aberto",IF(Tabela2[[#This Row],[D/venc]]="-","Enviado",IF(Tabela2[[#This Row],[Dt Venc:]]=TODAY(),"Vence Hoje","Vencida")))</f>
        <v>Enviado</v>
      </c>
      <c r="F2583" s="3" t="str">
        <f ca="1">IF(G2583=1,"-",Tabela2[[#This Row],[Dt Venc:]]-TODAY())</f>
        <v>-</v>
      </c>
      <c r="G2583" s="3">
        <v>1</v>
      </c>
      <c r="H2583" s="3"/>
    </row>
    <row r="2584" spans="1:8" hidden="1">
      <c r="A2584" s="3">
        <v>7160</v>
      </c>
      <c r="B2584" s="7" t="s">
        <v>487</v>
      </c>
      <c r="C2584" s="41">
        <v>750</v>
      </c>
      <c r="D2584" s="6">
        <v>45626</v>
      </c>
      <c r="E2584" s="3" t="str">
        <f ca="1">IF(Tabela2[[#This Row],[Dt Venc:]]&gt;TODAY(),"Em Aberto",IF(Tabela2[[#This Row],[D/venc]]="-","Enviado",IF(Tabela2[[#This Row],[Dt Venc:]]=TODAY(),"Vence Hoje","Vencida")))</f>
        <v>Enviado</v>
      </c>
      <c r="F2584" s="3" t="str">
        <f ca="1">IF(G2584=1,"-",Tabela2[[#This Row],[Dt Venc:]]-TODAY())</f>
        <v>-</v>
      </c>
      <c r="G2584" s="3">
        <v>1</v>
      </c>
      <c r="H2584" s="3"/>
    </row>
    <row r="2585" spans="1:8" hidden="1">
      <c r="A2585" s="3">
        <v>961715</v>
      </c>
      <c r="B2585" s="7" t="s">
        <v>488</v>
      </c>
      <c r="C2585" s="41">
        <v>3119.82</v>
      </c>
      <c r="D2585" s="6">
        <v>45626</v>
      </c>
      <c r="E2585" s="3" t="str">
        <f ca="1">IF(Tabela2[[#This Row],[Dt Venc:]]&gt;TODAY(),"Em Aberto",IF(Tabela2[[#This Row],[D/venc]]="-","Enviado",IF(Tabela2[[#This Row],[Dt Venc:]]=TODAY(),"Vence Hoje","Vencida")))</f>
        <v>Enviado</v>
      </c>
      <c r="F2585" s="3" t="str">
        <f ca="1">IF(G2585=1,"-",Tabela2[[#This Row],[Dt Venc:]]-TODAY())</f>
        <v>-</v>
      </c>
      <c r="G2585" s="3">
        <v>1</v>
      </c>
      <c r="H2585" s="3"/>
    </row>
    <row r="2586" spans="1:8" hidden="1">
      <c r="A2586" s="3" t="s">
        <v>123</v>
      </c>
      <c r="B2586" s="7" t="s">
        <v>391</v>
      </c>
      <c r="C2586" s="85" t="s">
        <v>30</v>
      </c>
      <c r="D2586" s="6">
        <v>45626</v>
      </c>
      <c r="E2586" s="3" t="str">
        <f ca="1">IF(Tabela2[[#This Row],[Dt Venc:]]&gt;TODAY(),"Em Aberto",IF(Tabela2[[#This Row],[D/venc]]="-","Enviado",IF(Tabela2[[#This Row],[Dt Venc:]]=TODAY(),"Vence Hoje","Vencida")))</f>
        <v>Enviado</v>
      </c>
      <c r="F2586" s="3" t="str">
        <f ca="1">IF(G2586=1,"-",Tabela2[[#This Row],[Dt Venc:]]-TODAY())</f>
        <v>-</v>
      </c>
      <c r="G2586" s="3">
        <v>1</v>
      </c>
      <c r="H2586" s="3"/>
    </row>
    <row r="2587" spans="1:8" hidden="1">
      <c r="A2587" s="3" t="s">
        <v>123</v>
      </c>
      <c r="B2587" s="7" t="s">
        <v>386</v>
      </c>
      <c r="C2587" s="87" t="s">
        <v>30</v>
      </c>
      <c r="D2587" s="6">
        <v>45626</v>
      </c>
      <c r="E2587" s="3" t="str">
        <f ca="1">IF(Tabela2[[#This Row],[Dt Venc:]]&gt;TODAY(),"Em Aberto",IF(Tabela2[[#This Row],[D/venc]]="-","Enviado",IF(Tabela2[[#This Row],[Dt Venc:]]=TODAY(),"Vence Hoje","Vencida")))</f>
        <v>Enviado</v>
      </c>
      <c r="F2587" s="3" t="str">
        <f ca="1">IF(G2587=1,"-",Tabela2[[#This Row],[Dt Venc:]]-TODAY())</f>
        <v>-</v>
      </c>
      <c r="G2587" s="3">
        <v>1</v>
      </c>
      <c r="H2587" s="3"/>
    </row>
    <row r="2588" spans="1:8" hidden="1">
      <c r="A2588" s="3">
        <v>435</v>
      </c>
      <c r="B2588" s="7" t="s">
        <v>489</v>
      </c>
      <c r="C2588" s="41">
        <v>15000</v>
      </c>
      <c r="D2588" s="6">
        <v>45626</v>
      </c>
      <c r="E2588" s="3" t="str">
        <f ca="1">IF(Tabela2[[#This Row],[Dt Venc:]]&gt;TODAY(),"Em Aberto",IF(Tabela2[[#This Row],[D/venc]]="-","Enviado",IF(Tabela2[[#This Row],[Dt Venc:]]=TODAY(),"Vence Hoje","Vencida")))</f>
        <v>Enviado</v>
      </c>
      <c r="F2588" s="3" t="str">
        <f ca="1">IF(G2588=1,"-",Tabela2[[#This Row],[Dt Venc:]]-TODAY())</f>
        <v>-</v>
      </c>
      <c r="G2588" s="3">
        <v>1</v>
      </c>
      <c r="H2588" s="3"/>
    </row>
    <row r="2589" spans="1:8" hidden="1">
      <c r="A2589" s="3">
        <v>267132</v>
      </c>
      <c r="B2589" s="7" t="s">
        <v>36</v>
      </c>
      <c r="C2589" s="41">
        <v>423.33</v>
      </c>
      <c r="D2589" s="6">
        <v>45626</v>
      </c>
      <c r="E2589" s="3" t="str">
        <f ca="1">IF(Tabela2[[#This Row],[Dt Venc:]]&gt;TODAY(),"Em Aberto",IF(Tabela2[[#This Row],[D/venc]]="-","Enviado",IF(Tabela2[[#This Row],[Dt Venc:]]=TODAY(),"Vence Hoje","Vencida")))</f>
        <v>Enviado</v>
      </c>
      <c r="F2589" s="3" t="str">
        <f ca="1">IF(G2589=1,"-",Tabela2[[#This Row],[Dt Venc:]]-TODAY())</f>
        <v>-</v>
      </c>
      <c r="G2589" s="3">
        <v>1</v>
      </c>
      <c r="H2589" s="3"/>
    </row>
    <row r="2590" spans="1:8" hidden="1">
      <c r="A2590" s="3">
        <v>5812</v>
      </c>
      <c r="B2590" s="7" t="s">
        <v>47</v>
      </c>
      <c r="C2590" s="42">
        <v>1216.67</v>
      </c>
      <c r="D2590" s="6">
        <v>45627</v>
      </c>
      <c r="E2590" s="3" t="str">
        <f ca="1">IF(Tabela2[[#This Row],[Dt Venc:]]&gt;TODAY(),"Em Aberto",IF(Tabela2[[#This Row],[D/venc]]="-","Enviado",IF(Tabela2[[#This Row],[Dt Venc:]]=TODAY(),"Vence Hoje","Vencida")))</f>
        <v>Enviado</v>
      </c>
      <c r="F2590" s="3" t="str">
        <f ca="1">IF(G2590=1,"-",Tabela2[[#This Row],[Dt Venc:]]-TODAY())</f>
        <v>-</v>
      </c>
      <c r="G2590" s="3">
        <v>1</v>
      </c>
      <c r="H2590" s="3"/>
    </row>
    <row r="2591" spans="1:8" hidden="1">
      <c r="A2591" s="3">
        <v>152553</v>
      </c>
      <c r="B2591" s="7" t="s">
        <v>77</v>
      </c>
      <c r="C2591" s="42">
        <v>1233.33</v>
      </c>
      <c r="D2591" s="6">
        <v>45627</v>
      </c>
      <c r="E2591" s="3" t="str">
        <f ca="1">IF(Tabela2[[#This Row],[Dt Venc:]]&gt;TODAY(),"Em Aberto",IF(Tabela2[[#This Row],[D/venc]]="-","Enviado",IF(Tabela2[[#This Row],[Dt Venc:]]=TODAY(),"Vence Hoje","Vencida")))</f>
        <v>Enviado</v>
      </c>
      <c r="F2591" s="3" t="str">
        <f ca="1">IF(G2591=1,"-",Tabela2[[#This Row],[Dt Venc:]]-TODAY())</f>
        <v>-</v>
      </c>
      <c r="G2591" s="3">
        <v>1</v>
      </c>
      <c r="H2591" s="3"/>
    </row>
    <row r="2592" spans="1:8" hidden="1">
      <c r="A2592" s="3">
        <v>324685</v>
      </c>
      <c r="B2592" s="7" t="s">
        <v>77</v>
      </c>
      <c r="C2592" s="42">
        <v>185.44</v>
      </c>
      <c r="D2592" s="6">
        <v>45627</v>
      </c>
      <c r="E2592" s="3" t="str">
        <f ca="1">IF(Tabela2[[#This Row],[Dt Venc:]]&gt;TODAY(),"Em Aberto",IF(Tabela2[[#This Row],[D/venc]]="-","Enviado",IF(Tabela2[[#This Row],[Dt Venc:]]=TODAY(),"Vence Hoje","Vencida")))</f>
        <v>Enviado</v>
      </c>
      <c r="F2592" s="3" t="str">
        <f ca="1">IF(G2592=1,"-",Tabela2[[#This Row],[Dt Venc:]]-TODAY())</f>
        <v>-</v>
      </c>
      <c r="G2592" s="3">
        <v>1</v>
      </c>
      <c r="H2592" s="3"/>
    </row>
    <row r="2593" spans="1:8" hidden="1">
      <c r="A2593" s="3">
        <v>153253</v>
      </c>
      <c r="B2593" s="7" t="s">
        <v>77</v>
      </c>
      <c r="C2593" s="42">
        <v>450</v>
      </c>
      <c r="D2593" s="6">
        <v>45627</v>
      </c>
      <c r="E2593" s="3" t="str">
        <f ca="1">IF(Tabela2[[#This Row],[Dt Venc:]]&gt;TODAY(),"Em Aberto",IF(Tabela2[[#This Row],[D/venc]]="-","Enviado",IF(Tabela2[[#This Row],[Dt Venc:]]=TODAY(),"Vence Hoje","Vencida")))</f>
        <v>Enviado</v>
      </c>
      <c r="F2593" s="3" t="str">
        <f ca="1">IF(G2593=1,"-",Tabela2[[#This Row],[Dt Venc:]]-TODAY())</f>
        <v>-</v>
      </c>
      <c r="G2593" s="3">
        <v>1</v>
      </c>
      <c r="H2593" s="3"/>
    </row>
    <row r="2594" spans="1:8" hidden="1">
      <c r="A2594" s="3">
        <v>153254</v>
      </c>
      <c r="B2594" s="7" t="s">
        <v>77</v>
      </c>
      <c r="C2594" s="42">
        <v>773.33</v>
      </c>
      <c r="D2594" s="6">
        <v>45627</v>
      </c>
      <c r="E2594" s="3" t="str">
        <f ca="1">IF(Tabela2[[#This Row],[Dt Venc:]]&gt;TODAY(),"Em Aberto",IF(Tabela2[[#This Row],[D/venc]]="-","Enviado",IF(Tabela2[[#This Row],[Dt Venc:]]=TODAY(),"Vence Hoje","Vencida")))</f>
        <v>Enviado</v>
      </c>
      <c r="F2594" s="3" t="str">
        <f ca="1">IF(G2594=1,"-",Tabela2[[#This Row],[Dt Venc:]]-TODAY())</f>
        <v>-</v>
      </c>
      <c r="G2594" s="3">
        <v>1</v>
      </c>
      <c r="H2594" s="3"/>
    </row>
    <row r="2595" spans="1:8" hidden="1">
      <c r="A2595" s="3">
        <v>88951</v>
      </c>
      <c r="B2595" s="7" t="s">
        <v>207</v>
      </c>
      <c r="C2595" s="41">
        <v>960</v>
      </c>
      <c r="D2595" s="6">
        <v>45627</v>
      </c>
      <c r="E2595" s="3" t="str">
        <f ca="1">IF(Tabela2[[#This Row],[Dt Venc:]]&gt;TODAY(),"Em Aberto",IF(Tabela2[[#This Row],[D/venc]]="-","Enviado",IF(Tabela2[[#This Row],[Dt Venc:]]=TODAY(),"Vence Hoje","Vencida")))</f>
        <v>Enviado</v>
      </c>
      <c r="F2595" s="3" t="str">
        <f ca="1">IF(G2595=1,"-",Tabela2[[#This Row],[Dt Venc:]]-TODAY())</f>
        <v>-</v>
      </c>
      <c r="G2595" s="3">
        <v>1</v>
      </c>
      <c r="H2595" s="3"/>
    </row>
    <row r="2596" spans="1:8" hidden="1">
      <c r="A2596" s="3">
        <v>267429</v>
      </c>
      <c r="B2596" s="7" t="s">
        <v>36</v>
      </c>
      <c r="C2596" s="41">
        <v>5703.75</v>
      </c>
      <c r="D2596" s="6">
        <v>45627</v>
      </c>
      <c r="E2596" s="3" t="str">
        <f ca="1">IF(Tabela2[[#This Row],[Dt Venc:]]&gt;TODAY(),"Em Aberto",IF(Tabela2[[#This Row],[D/venc]]="-","Enviado",IF(Tabela2[[#This Row],[Dt Venc:]]=TODAY(),"Vence Hoje","Vencida")))</f>
        <v>Enviado</v>
      </c>
      <c r="F2596" s="3" t="str">
        <f ca="1">IF(G2596=1,"-",Tabela2[[#This Row],[Dt Venc:]]-TODAY())</f>
        <v>-</v>
      </c>
      <c r="G2596" s="3">
        <v>1</v>
      </c>
      <c r="H2596" s="3"/>
    </row>
    <row r="2597" spans="1:8" hidden="1">
      <c r="A2597" s="3">
        <v>154062</v>
      </c>
      <c r="B2597" s="7" t="s">
        <v>261</v>
      </c>
      <c r="C2597" s="41">
        <v>450</v>
      </c>
      <c r="D2597" s="6">
        <v>45627</v>
      </c>
      <c r="E2597" s="3" t="str">
        <f ca="1">IF(Tabela2[[#This Row],[Dt Venc:]]&gt;TODAY(),"Em Aberto",IF(Tabela2[[#This Row],[D/venc]]="-","Enviado",IF(Tabela2[[#This Row],[Dt Venc:]]=TODAY(),"Vence Hoje","Vencida")))</f>
        <v>Enviado</v>
      </c>
      <c r="F2597" s="3" t="str">
        <f ca="1">IF(G2597=1,"-",Tabela2[[#This Row],[Dt Venc:]]-TODAY())</f>
        <v>-</v>
      </c>
      <c r="G2597" s="3">
        <v>1</v>
      </c>
      <c r="H2597" s="3"/>
    </row>
    <row r="2598" spans="1:8" hidden="1">
      <c r="A2598" s="3">
        <v>88950</v>
      </c>
      <c r="B2598" s="7" t="s">
        <v>207</v>
      </c>
      <c r="C2598" s="41">
        <v>1816.67</v>
      </c>
      <c r="D2598" s="6">
        <v>45627</v>
      </c>
      <c r="E2598" s="3" t="str">
        <f ca="1">IF(Tabela2[[#This Row],[Dt Venc:]]&gt;TODAY(),"Em Aberto",IF(Tabela2[[#This Row],[D/venc]]="-","Enviado",IF(Tabela2[[#This Row],[Dt Venc:]]=TODAY(),"Vence Hoje","Vencida")))</f>
        <v>Enviado</v>
      </c>
      <c r="F2598" s="3" t="str">
        <f ca="1">IF(G2598=1,"-",Tabela2[[#This Row],[Dt Venc:]]-TODAY())</f>
        <v>-</v>
      </c>
      <c r="G2598" s="3">
        <v>1</v>
      </c>
      <c r="H2598" s="3"/>
    </row>
    <row r="2599" spans="1:8" hidden="1">
      <c r="A2599" s="3">
        <v>175260</v>
      </c>
      <c r="B2599" s="7" t="s">
        <v>211</v>
      </c>
      <c r="C2599" s="41">
        <v>526.66</v>
      </c>
      <c r="D2599" s="6">
        <v>45627</v>
      </c>
      <c r="E2599" s="3" t="str">
        <f ca="1">IF(Tabela2[[#This Row],[Dt Venc:]]&gt;TODAY(),"Em Aberto",IF(Tabela2[[#This Row],[D/venc]]="-","Enviado",IF(Tabela2[[#This Row],[Dt Venc:]]=TODAY(),"Vence Hoje","Vencida")))</f>
        <v>Enviado</v>
      </c>
      <c r="F2599" s="3" t="str">
        <f ca="1">IF(G2599=1,"-",Tabela2[[#This Row],[Dt Venc:]]-TODAY())</f>
        <v>-</v>
      </c>
      <c r="G2599" s="3">
        <v>1</v>
      </c>
      <c r="H2599" s="3"/>
    </row>
    <row r="2600" spans="1:8" hidden="1">
      <c r="A2600" s="3">
        <v>171</v>
      </c>
      <c r="B2600" s="7" t="s">
        <v>490</v>
      </c>
      <c r="C2600" s="41">
        <v>2500</v>
      </c>
      <c r="D2600" s="6">
        <v>45627</v>
      </c>
      <c r="E2600" s="3" t="str">
        <f ca="1">IF(Tabela2[[#This Row],[Dt Venc:]]&gt;TODAY(),"Em Aberto",IF(Tabela2[[#This Row],[D/venc]]="-","Enviado",IF(Tabela2[[#This Row],[Dt Venc:]]=TODAY(),"Vence Hoje","Vencida")))</f>
        <v>Enviado</v>
      </c>
      <c r="F2600" s="3" t="str">
        <f ca="1">IF(G2600=1,"-",Tabela2[[#This Row],[Dt Venc:]]-TODAY())</f>
        <v>-</v>
      </c>
      <c r="G2600" s="3">
        <v>1</v>
      </c>
      <c r="H2600" s="3"/>
    </row>
    <row r="2601" spans="1:8" hidden="1">
      <c r="A2601" s="3">
        <v>267427</v>
      </c>
      <c r="B2601" s="7" t="s">
        <v>36</v>
      </c>
      <c r="C2601" s="41">
        <v>1087.23</v>
      </c>
      <c r="D2601" s="6">
        <v>45627</v>
      </c>
      <c r="E2601" s="3" t="str">
        <f ca="1">IF(Tabela2[[#This Row],[Dt Venc:]]&gt;TODAY(),"Em Aberto",IF(Tabela2[[#This Row],[D/venc]]="-","Enviado",IF(Tabela2[[#This Row],[Dt Venc:]]=TODAY(),"Vence Hoje","Vencida")))</f>
        <v>Enviado</v>
      </c>
      <c r="F2601" s="3" t="str">
        <f ca="1">IF(G2601=1,"-",Tabela2[[#This Row],[Dt Venc:]]-TODAY())</f>
        <v>-</v>
      </c>
      <c r="G2601" s="3">
        <v>1</v>
      </c>
      <c r="H2601" s="3"/>
    </row>
    <row r="2602" spans="1:8" hidden="1">
      <c r="A2602" s="3">
        <v>281075</v>
      </c>
      <c r="B2602" s="7" t="s">
        <v>346</v>
      </c>
      <c r="C2602" s="41">
        <v>215006.2</v>
      </c>
      <c r="D2602" s="6">
        <v>45627</v>
      </c>
      <c r="E2602" s="3" t="str">
        <f ca="1">IF(Tabela2[[#This Row],[Dt Venc:]]&gt;TODAY(),"Em Aberto",IF(Tabela2[[#This Row],[D/venc]]="-","Enviado",IF(Tabela2[[#This Row],[Dt Venc:]]=TODAY(),"Vence Hoje","Vencida")))</f>
        <v>Enviado</v>
      </c>
      <c r="F2602" s="3" t="str">
        <f ca="1">IF(G2602=1,"-",Tabela2[[#This Row],[Dt Venc:]]-TODAY())</f>
        <v>-</v>
      </c>
      <c r="G2602" s="3">
        <v>1</v>
      </c>
      <c r="H2602" s="3"/>
    </row>
    <row r="2603" spans="1:8" hidden="1">
      <c r="A2603" s="3">
        <v>277838</v>
      </c>
      <c r="B2603" s="7" t="s">
        <v>346</v>
      </c>
      <c r="C2603" s="41">
        <v>568606.03</v>
      </c>
      <c r="D2603" s="6">
        <v>45627</v>
      </c>
      <c r="E2603" s="3" t="str">
        <f ca="1">IF(Tabela2[[#This Row],[Dt Venc:]]&gt;TODAY(),"Em Aberto",IF(Tabela2[[#This Row],[D/venc]]="-","Enviado",IF(Tabela2[[#This Row],[Dt Venc:]]=TODAY(),"Vence Hoje","Vencida")))</f>
        <v>Enviado</v>
      </c>
      <c r="F2603" s="3" t="str">
        <f ca="1">IF(G2603=1,"-",Tabela2[[#This Row],[Dt Venc:]]-TODAY())</f>
        <v>-</v>
      </c>
      <c r="G2603" s="3">
        <v>1</v>
      </c>
      <c r="H2603" s="3"/>
    </row>
    <row r="2604" spans="1:8" hidden="1">
      <c r="A2604" s="3">
        <v>3312117</v>
      </c>
      <c r="B2604" s="7" t="s">
        <v>71</v>
      </c>
      <c r="C2604" s="41">
        <v>110164</v>
      </c>
      <c r="D2604" s="6">
        <v>45627</v>
      </c>
      <c r="E2604" s="3" t="str">
        <f ca="1">IF(Tabela2[[#This Row],[Dt Venc:]]&gt;TODAY(),"Em Aberto",IF(Tabela2[[#This Row],[D/venc]]="-","Enviado",IF(Tabela2[[#This Row],[Dt Venc:]]=TODAY(),"Vence Hoje","Vencida")))</f>
        <v>Enviado</v>
      </c>
      <c r="F2604" s="3" t="str">
        <f ca="1">IF(G2604=1,"-",Tabela2[[#This Row],[Dt Venc:]]-TODAY())</f>
        <v>-</v>
      </c>
      <c r="G2604" s="3">
        <v>1</v>
      </c>
      <c r="H2604" s="3"/>
    </row>
    <row r="2605" spans="1:8" hidden="1">
      <c r="A2605" s="3" t="s">
        <v>110</v>
      </c>
      <c r="B2605" s="7" t="s">
        <v>395</v>
      </c>
      <c r="C2605" s="42" t="s">
        <v>32</v>
      </c>
      <c r="D2605" s="6">
        <v>45627</v>
      </c>
      <c r="E2605" s="3" t="str">
        <f ca="1">IF(Tabela2[[#This Row],[Dt Venc:]]&gt;TODAY(),"Em Aberto",IF(Tabela2[[#This Row],[D/venc]]="-","Enviado",IF(Tabela2[[#This Row],[Dt Venc:]]=TODAY(),"Vence Hoje","Vencida")))</f>
        <v>Enviado</v>
      </c>
      <c r="F2605" s="3" t="str">
        <f ca="1">IF(G2605=1,"-",Tabela2[[#This Row],[Dt Venc:]]-TODAY())</f>
        <v>-</v>
      </c>
      <c r="G2605" s="3">
        <v>1</v>
      </c>
      <c r="H2605" s="3"/>
    </row>
    <row r="2606" spans="1:8" hidden="1">
      <c r="A2606" s="3" t="s">
        <v>28</v>
      </c>
      <c r="B2606" s="7" t="s">
        <v>29</v>
      </c>
      <c r="C2606" s="87" t="s">
        <v>30</v>
      </c>
      <c r="D2606" s="6">
        <v>45627</v>
      </c>
      <c r="E2606" s="3" t="str">
        <f ca="1">IF(Tabela2[[#This Row],[Dt Venc:]]&gt;TODAY(),"Em Aberto",IF(Tabela2[[#This Row],[D/venc]]="-","Enviado",IF(Tabela2[[#This Row],[Dt Venc:]]=TODAY(),"Vence Hoje","Vencida")))</f>
        <v>Enviado</v>
      </c>
      <c r="F2606" s="3" t="str">
        <f ca="1">IF(G2606=1,"-",Tabela2[[#This Row],[Dt Venc:]]-TODAY())</f>
        <v>-</v>
      </c>
      <c r="G2606" s="3">
        <v>1</v>
      </c>
      <c r="H2606" s="3"/>
    </row>
    <row r="2607" spans="1:8" hidden="1">
      <c r="A2607" s="3" t="s">
        <v>28</v>
      </c>
      <c r="B2607" s="3" t="s">
        <v>31</v>
      </c>
      <c r="C2607" s="83" t="s">
        <v>32</v>
      </c>
      <c r="D2607" s="6">
        <v>45627</v>
      </c>
      <c r="E2607" s="3" t="str">
        <f ca="1">IF(Tabela2[[#This Row],[Dt Venc:]]&gt;TODAY(),"Em Aberto",IF(Tabela2[[#This Row],[D/venc]]="-","Enviado",IF(Tabela2[[#This Row],[Dt Venc:]]=TODAY(),"Vence Hoje","Vencida")))</f>
        <v>Enviado</v>
      </c>
      <c r="F2607" s="3" t="str">
        <f ca="1">IF(G2607=1,"-",Tabela2[[#This Row],[Dt Venc:]]-TODAY())</f>
        <v>-</v>
      </c>
      <c r="G2607" s="3">
        <v>1</v>
      </c>
      <c r="H2607" s="3"/>
    </row>
    <row r="2608" spans="1:8" hidden="1">
      <c r="A2608" s="3" t="s">
        <v>28</v>
      </c>
      <c r="B2608" s="7" t="s">
        <v>255</v>
      </c>
      <c r="C2608" s="83" t="s">
        <v>32</v>
      </c>
      <c r="D2608" s="6">
        <v>45627</v>
      </c>
      <c r="E2608" s="3" t="str">
        <f ca="1">IF(Tabela2[[#This Row],[Dt Venc:]]&gt;TODAY(),"Em Aberto",IF(Tabela2[[#This Row],[D/venc]]="-","Enviado",IF(Tabela2[[#This Row],[Dt Venc:]]=TODAY(),"Vence Hoje","Vencida")))</f>
        <v>Enviado</v>
      </c>
      <c r="F2608" s="3" t="str">
        <f ca="1">IF(G2608=1,"-",Tabela2[[#This Row],[Dt Venc:]]-TODAY())</f>
        <v>-</v>
      </c>
      <c r="G2608" s="3">
        <v>1</v>
      </c>
      <c r="H2608" s="3"/>
    </row>
    <row r="2609" spans="1:8" hidden="1">
      <c r="A2609" s="3">
        <v>267443</v>
      </c>
      <c r="B2609" s="7" t="s">
        <v>36</v>
      </c>
      <c r="C2609" s="41">
        <v>430</v>
      </c>
      <c r="D2609" s="6">
        <v>45627</v>
      </c>
      <c r="E2609" s="3" t="str">
        <f ca="1">IF(Tabela2[[#This Row],[Dt Venc:]]&gt;TODAY(),"Em Aberto",IF(Tabela2[[#This Row],[D/venc]]="-","Enviado",IF(Tabela2[[#This Row],[Dt Venc:]]=TODAY(),"Vence Hoje","Vencida")))</f>
        <v>Enviado</v>
      </c>
      <c r="F2609" s="3" t="str">
        <f ca="1">IF(G2609=1,"-",Tabela2[[#This Row],[Dt Venc:]]-TODAY())</f>
        <v>-</v>
      </c>
      <c r="G2609" s="3">
        <v>1</v>
      </c>
      <c r="H2609" s="3"/>
    </row>
    <row r="2610" spans="1:8" hidden="1">
      <c r="A2610" s="3">
        <v>36910</v>
      </c>
      <c r="B2610" s="7" t="s">
        <v>167</v>
      </c>
      <c r="C2610" s="83" t="s">
        <v>32</v>
      </c>
      <c r="D2610" s="6">
        <v>45628</v>
      </c>
      <c r="E2610" s="3" t="str">
        <f ca="1">IF(Tabela2[[#This Row],[Dt Venc:]]&gt;TODAY(),"Em Aberto",IF(Tabela2[[#This Row],[D/venc]]="-","Enviado",IF(Tabela2[[#This Row],[Dt Venc:]]=TODAY(),"Vence Hoje","Vencida")))</f>
        <v>Enviado</v>
      </c>
      <c r="F2610" s="3" t="str">
        <f ca="1">IF(G2610=1,"-",Tabela2[[#This Row],[Dt Venc:]]-TODAY())</f>
        <v>-</v>
      </c>
      <c r="G2610" s="3">
        <v>1</v>
      </c>
      <c r="H2610" s="3"/>
    </row>
    <row r="2611" spans="1:8" hidden="1">
      <c r="A2611" s="3">
        <v>818909</v>
      </c>
      <c r="B2611" s="7" t="s">
        <v>81</v>
      </c>
      <c r="C2611" s="87" t="s">
        <v>32</v>
      </c>
      <c r="D2611" s="6">
        <v>45628</v>
      </c>
      <c r="E2611" s="3" t="str">
        <f ca="1">IF(Tabela2[[#This Row],[Dt Venc:]]&gt;TODAY(),"Em Aberto",IF(Tabela2[[#This Row],[D/venc]]="-","Enviado",IF(Tabela2[[#This Row],[Dt Venc:]]=TODAY(),"Vence Hoje","Vencida")))</f>
        <v>Enviado</v>
      </c>
      <c r="F2611" s="3" t="str">
        <f ca="1">IF(G2611=1,"-",Tabela2[[#This Row],[Dt Venc:]]-TODAY())</f>
        <v>-</v>
      </c>
      <c r="G2611" s="3">
        <v>1</v>
      </c>
      <c r="H2611" s="3"/>
    </row>
    <row r="2612" spans="1:8" hidden="1">
      <c r="A2612" s="3">
        <v>80198</v>
      </c>
      <c r="B2612" s="7" t="s">
        <v>65</v>
      </c>
      <c r="C2612" s="42">
        <v>616.65</v>
      </c>
      <c r="D2612" s="6">
        <v>45628</v>
      </c>
      <c r="E2612" s="3" t="str">
        <f ca="1">IF(Tabela2[[#This Row],[Dt Venc:]]&gt;TODAY(),"Em Aberto",IF(Tabela2[[#This Row],[D/venc]]="-","Enviado",IF(Tabela2[[#This Row],[Dt Venc:]]=TODAY(),"Vence Hoje","Vencida")))</f>
        <v>Enviado</v>
      </c>
      <c r="F2612" s="3" t="str">
        <f ca="1">IF(G2612=1,"-",Tabela2[[#This Row],[Dt Venc:]]-TODAY())</f>
        <v>-</v>
      </c>
      <c r="G2612" s="3">
        <v>1</v>
      </c>
      <c r="H2612" s="3"/>
    </row>
    <row r="2613" spans="1:8" hidden="1">
      <c r="A2613" s="3">
        <v>80199</v>
      </c>
      <c r="B2613" s="7" t="s">
        <v>65</v>
      </c>
      <c r="C2613" s="42">
        <v>616.65</v>
      </c>
      <c r="D2613" s="6">
        <v>45628</v>
      </c>
      <c r="E2613" s="3" t="str">
        <f ca="1">IF(Tabela2[[#This Row],[Dt Venc:]]&gt;TODAY(),"Em Aberto",IF(Tabela2[[#This Row],[D/venc]]="-","Enviado",IF(Tabela2[[#This Row],[Dt Venc:]]=TODAY(),"Vence Hoje","Vencida")))</f>
        <v>Enviado</v>
      </c>
      <c r="F2613" s="3" t="str">
        <f ca="1">IF(G2613=1,"-",Tabela2[[#This Row],[Dt Venc:]]-TODAY())</f>
        <v>-</v>
      </c>
      <c r="G2613" s="3">
        <v>1</v>
      </c>
      <c r="H2613" s="3"/>
    </row>
    <row r="2614" spans="1:8" hidden="1">
      <c r="A2614" s="3">
        <v>362199</v>
      </c>
      <c r="B2614" s="7" t="s">
        <v>65</v>
      </c>
      <c r="C2614" s="42">
        <v>298.7</v>
      </c>
      <c r="D2614" s="6">
        <v>45628</v>
      </c>
      <c r="E2614" s="3" t="str">
        <f ca="1">IF(Tabela2[[#This Row],[Dt Venc:]]&gt;TODAY(),"Em Aberto",IF(Tabela2[[#This Row],[D/venc]]="-","Enviado",IF(Tabela2[[#This Row],[Dt Venc:]]=TODAY(),"Vence Hoje","Vencida")))</f>
        <v>Enviado</v>
      </c>
      <c r="F2614" s="3" t="str">
        <f ca="1">IF(G2614=1,"-",Tabela2[[#This Row],[Dt Venc:]]-TODAY())</f>
        <v>-</v>
      </c>
      <c r="G2614" s="3">
        <v>1</v>
      </c>
      <c r="H2614" s="3"/>
    </row>
    <row r="2615" spans="1:8" hidden="1">
      <c r="A2615" s="3">
        <v>362200</v>
      </c>
      <c r="B2615" s="7" t="s">
        <v>65</v>
      </c>
      <c r="C2615" s="42">
        <v>298.7</v>
      </c>
      <c r="D2615" s="6">
        <v>45628</v>
      </c>
      <c r="E2615" s="3" t="str">
        <f ca="1">IF(Tabela2[[#This Row],[Dt Venc:]]&gt;TODAY(),"Em Aberto",IF(Tabela2[[#This Row],[D/venc]]="-","Enviado",IF(Tabela2[[#This Row],[Dt Venc:]]=TODAY(),"Vence Hoje","Vencida")))</f>
        <v>Enviado</v>
      </c>
      <c r="F2615" s="3" t="str">
        <f ca="1">IF(G2615=1,"-",Tabela2[[#This Row],[Dt Venc:]]-TODAY())</f>
        <v>-</v>
      </c>
      <c r="G2615" s="3">
        <v>1</v>
      </c>
      <c r="H2615" s="3"/>
    </row>
    <row r="2616" spans="1:8" hidden="1">
      <c r="A2616" s="3">
        <v>80557</v>
      </c>
      <c r="B2616" s="7" t="s">
        <v>39</v>
      </c>
      <c r="C2616" s="42">
        <v>478.28</v>
      </c>
      <c r="D2616" s="6">
        <v>45628</v>
      </c>
      <c r="E2616" s="3" t="str">
        <f ca="1">IF(Tabela2[[#This Row],[Dt Venc:]]&gt;TODAY(),"Em Aberto",IF(Tabela2[[#This Row],[D/venc]]="-","Enviado",IF(Tabela2[[#This Row],[Dt Venc:]]=TODAY(),"Vence Hoje","Vencida")))</f>
        <v>Enviado</v>
      </c>
      <c r="F2616" s="3" t="str">
        <f ca="1">IF(G2616=1,"-",Tabela2[[#This Row],[Dt Venc:]]-TODAY())</f>
        <v>-</v>
      </c>
      <c r="G2616" s="3">
        <v>1</v>
      </c>
      <c r="H2616" s="3"/>
    </row>
    <row r="2617" spans="1:8" hidden="1">
      <c r="A2617" s="3">
        <v>80558</v>
      </c>
      <c r="B2617" s="7" t="s">
        <v>39</v>
      </c>
      <c r="C2617" s="42">
        <v>587.33000000000004</v>
      </c>
      <c r="D2617" s="6">
        <v>45628</v>
      </c>
      <c r="E2617" s="3" t="str">
        <f ca="1">IF(Tabela2[[#This Row],[Dt Venc:]]&gt;TODAY(),"Em Aberto",IF(Tabela2[[#This Row],[D/venc]]="-","Enviado",IF(Tabela2[[#This Row],[Dt Venc:]]=TODAY(),"Vence Hoje","Vencida")))</f>
        <v>Enviado</v>
      </c>
      <c r="F2617" s="3" t="str">
        <f ca="1">IF(G2617=1,"-",Tabela2[[#This Row],[Dt Venc:]]-TODAY())</f>
        <v>-</v>
      </c>
      <c r="G2617" s="3">
        <v>1</v>
      </c>
      <c r="H2617" s="3"/>
    </row>
    <row r="2618" spans="1:8" hidden="1">
      <c r="A2618" s="3">
        <v>364440</v>
      </c>
      <c r="B2618" s="7" t="s">
        <v>39</v>
      </c>
      <c r="C2618" s="42">
        <v>291.72000000000003</v>
      </c>
      <c r="D2618" s="6">
        <v>45628</v>
      </c>
      <c r="E2618" s="3" t="str">
        <f ca="1">IF(Tabela2[[#This Row],[Dt Venc:]]&gt;TODAY(),"Em Aberto",IF(Tabela2[[#This Row],[D/venc]]="-","Enviado",IF(Tabela2[[#This Row],[Dt Venc:]]=TODAY(),"Vence Hoje","Vencida")))</f>
        <v>Enviado</v>
      </c>
      <c r="F2618" s="3" t="str">
        <f ca="1">IF(G2618=1,"-",Tabela2[[#This Row],[Dt Venc:]]-TODAY())</f>
        <v>-</v>
      </c>
      <c r="G2618" s="3">
        <v>1</v>
      </c>
      <c r="H2618" s="3"/>
    </row>
    <row r="2619" spans="1:8" hidden="1">
      <c r="A2619" s="3">
        <v>364446</v>
      </c>
      <c r="B2619" s="7" t="s">
        <v>39</v>
      </c>
      <c r="C2619" s="42">
        <v>290.41000000000003</v>
      </c>
      <c r="D2619" s="6">
        <v>45628</v>
      </c>
      <c r="E2619" s="3" t="str">
        <f ca="1">IF(Tabela2[[#This Row],[Dt Venc:]]&gt;TODAY(),"Em Aberto",IF(Tabela2[[#This Row],[D/venc]]="-","Enviado",IF(Tabela2[[#This Row],[Dt Venc:]]=TODAY(),"Vence Hoje","Vencida")))</f>
        <v>Enviado</v>
      </c>
      <c r="F2619" s="3" t="str">
        <f ca="1">IF(G2619=1,"-",Tabela2[[#This Row],[Dt Venc:]]-TODAY())</f>
        <v>-</v>
      </c>
      <c r="G2619" s="3">
        <v>1</v>
      </c>
      <c r="H2619" s="3"/>
    </row>
    <row r="2620" spans="1:8" hidden="1">
      <c r="A2620" s="3">
        <v>70278</v>
      </c>
      <c r="B2620" s="7" t="s">
        <v>76</v>
      </c>
      <c r="C2620" s="42">
        <v>716.87</v>
      </c>
      <c r="D2620" s="6">
        <v>45628</v>
      </c>
      <c r="E2620" s="3" t="str">
        <f ca="1">IF(Tabela2[[#This Row],[Dt Venc:]]&gt;TODAY(),"Em Aberto",IF(Tabela2[[#This Row],[D/venc]]="-","Enviado",IF(Tabela2[[#This Row],[Dt Venc:]]=TODAY(),"Vence Hoje","Vencida")))</f>
        <v>Enviado</v>
      </c>
      <c r="F2620" s="3" t="str">
        <f ca="1">IF(G2620=1,"-",Tabela2[[#This Row],[Dt Venc:]]-TODAY())</f>
        <v>-</v>
      </c>
      <c r="G2620" s="3">
        <v>1</v>
      </c>
      <c r="H2620" s="3"/>
    </row>
    <row r="2621" spans="1:8" hidden="1">
      <c r="A2621" s="3">
        <v>152579</v>
      </c>
      <c r="B2621" s="7" t="s">
        <v>77</v>
      </c>
      <c r="C2621" s="42">
        <v>433.33</v>
      </c>
      <c r="D2621" s="6">
        <v>45628</v>
      </c>
      <c r="E2621" s="3" t="str">
        <f ca="1">IF(Tabela2[[#This Row],[Dt Venc:]]&gt;TODAY(),"Em Aberto",IF(Tabela2[[#This Row],[D/venc]]="-","Enviado",IF(Tabela2[[#This Row],[Dt Venc:]]=TODAY(),"Vence Hoje","Vencida")))</f>
        <v>Enviado</v>
      </c>
      <c r="F2621" s="3" t="str">
        <f ca="1">IF(G2621=1,"-",Tabela2[[#This Row],[Dt Venc:]]-TODAY())</f>
        <v>-</v>
      </c>
      <c r="G2621" s="3">
        <v>1</v>
      </c>
      <c r="H2621" s="3"/>
    </row>
    <row r="2622" spans="1:8" hidden="1">
      <c r="A2622" s="3">
        <v>219517</v>
      </c>
      <c r="B2622" s="7" t="s">
        <v>39</v>
      </c>
      <c r="C2622" s="42">
        <v>21465</v>
      </c>
      <c r="D2622" s="6">
        <v>45628</v>
      </c>
      <c r="E2622" s="3" t="str">
        <f ca="1">IF(Tabela2[[#This Row],[Dt Venc:]]&gt;TODAY(),"Em Aberto",IF(Tabela2[[#This Row],[D/venc]]="-","Enviado",IF(Tabela2[[#This Row],[Dt Venc:]]=TODAY(),"Vence Hoje","Vencida")))</f>
        <v>Enviado</v>
      </c>
      <c r="F2622" s="3" t="str">
        <f ca="1">IF(G2622=1,"-",Tabela2[[#This Row],[Dt Venc:]]-TODAY())</f>
        <v>-</v>
      </c>
      <c r="G2622" s="3">
        <v>1</v>
      </c>
      <c r="H2622" s="3"/>
    </row>
    <row r="2623" spans="1:8" hidden="1">
      <c r="A2623" s="3">
        <v>4450995</v>
      </c>
      <c r="B2623" s="7" t="s">
        <v>90</v>
      </c>
      <c r="C2623" s="42">
        <v>2175.23</v>
      </c>
      <c r="D2623" s="6">
        <v>45628</v>
      </c>
      <c r="E2623" s="3" t="str">
        <f ca="1">IF(Tabela2[[#This Row],[Dt Venc:]]&gt;TODAY(),"Em Aberto",IF(Tabela2[[#This Row],[D/venc]]="-","Enviado",IF(Tabela2[[#This Row],[Dt Venc:]]=TODAY(),"Vence Hoje","Vencida")))</f>
        <v>Enviado</v>
      </c>
      <c r="F2623" s="3" t="str">
        <f ca="1">IF(G2623=1,"-",Tabela2[[#This Row],[Dt Venc:]]-TODAY())</f>
        <v>-</v>
      </c>
      <c r="G2623" s="3">
        <v>1</v>
      </c>
      <c r="H2623" s="3"/>
    </row>
    <row r="2624" spans="1:8" hidden="1">
      <c r="A2624" s="3">
        <v>606775</v>
      </c>
      <c r="B2624" s="7" t="s">
        <v>66</v>
      </c>
      <c r="C2624" s="42">
        <v>495.16</v>
      </c>
      <c r="D2624" s="6">
        <v>45628</v>
      </c>
      <c r="E2624" s="3" t="str">
        <f ca="1">IF(Tabela2[[#This Row],[Dt Venc:]]&gt;TODAY(),"Em Aberto",IF(Tabela2[[#This Row],[D/venc]]="-","Enviado",IF(Tabela2[[#This Row],[Dt Venc:]]=TODAY(),"Vence Hoje","Vencida")))</f>
        <v>Enviado</v>
      </c>
      <c r="F2624" s="3" t="str">
        <f ca="1">IF(G2624=1,"-",Tabela2[[#This Row],[Dt Venc:]]-TODAY())</f>
        <v>-</v>
      </c>
      <c r="G2624" s="3">
        <v>1</v>
      </c>
      <c r="H2624" s="3"/>
    </row>
    <row r="2625" spans="1:8" hidden="1">
      <c r="A2625" s="3">
        <v>219517</v>
      </c>
      <c r="B2625" s="7" t="s">
        <v>80</v>
      </c>
      <c r="C2625" s="42">
        <v>21465</v>
      </c>
      <c r="D2625" s="6">
        <v>45628</v>
      </c>
      <c r="E2625" s="3" t="str">
        <f ca="1">IF(Tabela2[[#This Row],[Dt Venc:]]&gt;TODAY(),"Em Aberto",IF(Tabela2[[#This Row],[D/venc]]="-","Enviado",IF(Tabela2[[#This Row],[Dt Venc:]]=TODAY(),"Vence Hoje","Vencida")))</f>
        <v>Enviado</v>
      </c>
      <c r="F2625" s="3" t="str">
        <f ca="1">IF(G2625=1,"-",Tabela2[[#This Row],[Dt Venc:]]-TODAY())</f>
        <v>-</v>
      </c>
      <c r="G2625" s="3">
        <v>1</v>
      </c>
      <c r="H2625" s="3"/>
    </row>
    <row r="2626" spans="1:8" hidden="1">
      <c r="A2626" s="3">
        <v>2806</v>
      </c>
      <c r="B2626" s="7" t="s">
        <v>301</v>
      </c>
      <c r="C2626" s="42">
        <v>2440</v>
      </c>
      <c r="D2626" s="6">
        <v>45628</v>
      </c>
      <c r="E2626" s="3" t="str">
        <f ca="1">IF(Tabela2[[#This Row],[Dt Venc:]]&gt;TODAY(),"Em Aberto",IF(Tabela2[[#This Row],[D/venc]]="-","Enviado",IF(Tabela2[[#This Row],[Dt Venc:]]=TODAY(),"Vence Hoje","Vencida")))</f>
        <v>Enviado</v>
      </c>
      <c r="F2626" s="3" t="str">
        <f ca="1">IF(G2626=1,"-",Tabela2[[#This Row],[Dt Venc:]]-TODAY())</f>
        <v>-</v>
      </c>
      <c r="G2626" s="3">
        <v>1</v>
      </c>
      <c r="H2626" s="3"/>
    </row>
    <row r="2627" spans="1:8" hidden="1">
      <c r="A2627" s="3">
        <v>92</v>
      </c>
      <c r="B2627" s="7" t="s">
        <v>396</v>
      </c>
      <c r="C2627" s="42">
        <v>2784.34</v>
      </c>
      <c r="D2627" s="6">
        <v>45628</v>
      </c>
      <c r="E2627" s="3" t="str">
        <f ca="1">IF(Tabela2[[#This Row],[Dt Venc:]]&gt;TODAY(),"Em Aberto",IF(Tabela2[[#This Row],[D/venc]]="-","Enviado",IF(Tabela2[[#This Row],[Dt Venc:]]=TODAY(),"Vence Hoje","Vencida")))</f>
        <v>Enviado</v>
      </c>
      <c r="F2627" s="3" t="str">
        <f ca="1">IF(G2627=1,"-",Tabela2[[#This Row],[Dt Venc:]]-TODAY())</f>
        <v>-</v>
      </c>
      <c r="G2627" s="3">
        <v>1</v>
      </c>
      <c r="H2627" s="3"/>
    </row>
    <row r="2628" spans="1:8" hidden="1">
      <c r="A2628" s="3">
        <v>17160</v>
      </c>
      <c r="B2628" s="7" t="s">
        <v>203</v>
      </c>
      <c r="C2628" s="42">
        <v>800</v>
      </c>
      <c r="D2628" s="6">
        <v>45628</v>
      </c>
      <c r="E2628" s="3" t="str">
        <f ca="1">IF(Tabela2[[#This Row],[Dt Venc:]]&gt;TODAY(),"Em Aberto",IF(Tabela2[[#This Row],[D/venc]]="-","Enviado",IF(Tabela2[[#This Row],[Dt Venc:]]=TODAY(),"Vence Hoje","Vencida")))</f>
        <v>Enviado</v>
      </c>
      <c r="F2628" s="3" t="str">
        <f ca="1">IF(G2628=1,"-",Tabela2[[#This Row],[Dt Venc:]]-TODAY())</f>
        <v>-</v>
      </c>
      <c r="G2628" s="3">
        <v>1</v>
      </c>
      <c r="H2628" s="3"/>
    </row>
    <row r="2629" spans="1:8" hidden="1">
      <c r="A2629" s="3">
        <v>11</v>
      </c>
      <c r="B2629" s="7" t="s">
        <v>397</v>
      </c>
      <c r="C2629" s="42">
        <v>566.66</v>
      </c>
      <c r="D2629" s="6">
        <v>45628</v>
      </c>
      <c r="E2629" s="3" t="str">
        <f ca="1">IF(Tabela2[[#This Row],[Dt Venc:]]&gt;TODAY(),"Em Aberto",IF(Tabela2[[#This Row],[D/venc]]="-","Enviado",IF(Tabela2[[#This Row],[Dt Venc:]]=TODAY(),"Vence Hoje","Vencida")))</f>
        <v>Enviado</v>
      </c>
      <c r="F2629" s="3" t="str">
        <f ca="1">IF(G2629=1,"-",Tabela2[[#This Row],[Dt Venc:]]-TODAY())</f>
        <v>-</v>
      </c>
      <c r="G2629" s="3">
        <v>1</v>
      </c>
      <c r="H2629" s="3"/>
    </row>
    <row r="2630" spans="1:8" hidden="1">
      <c r="A2630" s="3">
        <v>1556</v>
      </c>
      <c r="B2630" s="7" t="s">
        <v>78</v>
      </c>
      <c r="C2630" s="42">
        <v>419</v>
      </c>
      <c r="D2630" s="6">
        <v>45628</v>
      </c>
      <c r="E2630" s="3" t="str">
        <f ca="1">IF(Tabela2[[#This Row],[Dt Venc:]]&gt;TODAY(),"Em Aberto",IF(Tabela2[[#This Row],[D/venc]]="-","Enviado",IF(Tabela2[[#This Row],[Dt Venc:]]=TODAY(),"Vence Hoje","Vencida")))</f>
        <v>Enviado</v>
      </c>
      <c r="F2630" s="3" t="str">
        <f ca="1">IF(G2630=1,"-",Tabela2[[#This Row],[Dt Venc:]]-TODAY())</f>
        <v>-</v>
      </c>
      <c r="G2630" s="3">
        <v>1</v>
      </c>
      <c r="H2630" s="3"/>
    </row>
    <row r="2631" spans="1:8" hidden="1">
      <c r="A2631" s="3">
        <v>5898</v>
      </c>
      <c r="B2631" s="7" t="s">
        <v>398</v>
      </c>
      <c r="C2631" s="42">
        <v>1031.8699999999999</v>
      </c>
      <c r="D2631" s="6">
        <v>45628</v>
      </c>
      <c r="E2631" s="3" t="str">
        <f ca="1">IF(Tabela2[[#This Row],[Dt Venc:]]&gt;TODAY(),"Em Aberto",IF(Tabela2[[#This Row],[D/venc]]="-","Enviado",IF(Tabela2[[#This Row],[Dt Venc:]]=TODAY(),"Vence Hoje","Vencida")))</f>
        <v>Enviado</v>
      </c>
      <c r="F2631" s="3" t="str">
        <f ca="1">IF(G2631=1,"-",Tabela2[[#This Row],[Dt Venc:]]-TODAY())</f>
        <v>-</v>
      </c>
      <c r="G2631" s="3">
        <v>1</v>
      </c>
      <c r="H2631" s="3"/>
    </row>
    <row r="2632" spans="1:8" hidden="1">
      <c r="A2632" s="3">
        <v>393909</v>
      </c>
      <c r="B2632" s="7" t="s">
        <v>136</v>
      </c>
      <c r="C2632" s="42">
        <v>1558.33</v>
      </c>
      <c r="D2632" s="6">
        <v>45628</v>
      </c>
      <c r="E2632" s="3" t="str">
        <f ca="1">IF(Tabela2[[#This Row],[Dt Venc:]]&gt;TODAY(),"Em Aberto",IF(Tabela2[[#This Row],[D/venc]]="-","Enviado",IF(Tabela2[[#This Row],[Dt Venc:]]=TODAY(),"Vence Hoje","Vencida")))</f>
        <v>Enviado</v>
      </c>
      <c r="F2632" s="3" t="str">
        <f ca="1">IF(G2632=1,"-",Tabela2[[#This Row],[Dt Venc:]]-TODAY())</f>
        <v>-</v>
      </c>
      <c r="G2632" s="3">
        <v>1</v>
      </c>
      <c r="H2632" s="3"/>
    </row>
    <row r="2633" spans="1:8" hidden="1">
      <c r="A2633" s="3">
        <v>71456</v>
      </c>
      <c r="B2633" s="7" t="s">
        <v>76</v>
      </c>
      <c r="C2633" s="42">
        <v>778.64</v>
      </c>
      <c r="D2633" s="6">
        <v>45628</v>
      </c>
      <c r="E2633" s="3" t="str">
        <f ca="1">IF(Tabela2[[#This Row],[Dt Venc:]]&gt;TODAY(),"Em Aberto",IF(Tabela2[[#This Row],[D/venc]]="-","Enviado",IF(Tabela2[[#This Row],[Dt Venc:]]=TODAY(),"Vence Hoje","Vencida")))</f>
        <v>Enviado</v>
      </c>
      <c r="F2633" s="3" t="str">
        <f ca="1">IF(G2633=1,"-",Tabela2[[#This Row],[Dt Venc:]]-TODAY())</f>
        <v>-</v>
      </c>
      <c r="G2633" s="3">
        <v>1</v>
      </c>
      <c r="H2633" s="3"/>
    </row>
    <row r="2634" spans="1:8" hidden="1">
      <c r="A2634" s="3">
        <v>173417</v>
      </c>
      <c r="B2634" s="7" t="s">
        <v>174</v>
      </c>
      <c r="C2634" s="42">
        <v>1076.6600000000001</v>
      </c>
      <c r="D2634" s="6">
        <v>45628</v>
      </c>
      <c r="E2634" s="3" t="str">
        <f ca="1">IF(Tabela2[[#This Row],[Dt Venc:]]&gt;TODAY(),"Em Aberto",IF(Tabela2[[#This Row],[D/venc]]="-","Enviado",IF(Tabela2[[#This Row],[Dt Venc:]]=TODAY(),"Vence Hoje","Vencida")))</f>
        <v>Enviado</v>
      </c>
      <c r="F2634" s="3" t="str">
        <f ca="1">IF(G2634=1,"-",Tabela2[[#This Row],[Dt Venc:]]-TODAY())</f>
        <v>-</v>
      </c>
      <c r="G2634" s="3">
        <v>1</v>
      </c>
      <c r="H2634" s="3"/>
    </row>
    <row r="2635" spans="1:8" hidden="1">
      <c r="A2635" s="3">
        <v>153314</v>
      </c>
      <c r="B2635" s="7" t="s">
        <v>77</v>
      </c>
      <c r="C2635" s="42">
        <v>1233.33</v>
      </c>
      <c r="D2635" s="6">
        <v>45628</v>
      </c>
      <c r="E2635" s="3" t="str">
        <f ca="1">IF(Tabela2[[#This Row],[Dt Venc:]]&gt;TODAY(),"Em Aberto",IF(Tabela2[[#This Row],[D/venc]]="-","Enviado",IF(Tabela2[[#This Row],[Dt Venc:]]=TODAY(),"Vence Hoje","Vencida")))</f>
        <v>Enviado</v>
      </c>
      <c r="F2635" s="3" t="str">
        <f ca="1">IF(G2635=1,"-",Tabela2[[#This Row],[Dt Venc:]]-TODAY())</f>
        <v>-</v>
      </c>
      <c r="G2635" s="3">
        <v>1</v>
      </c>
      <c r="H2635" s="3"/>
    </row>
    <row r="2636" spans="1:8" hidden="1">
      <c r="A2636" s="3">
        <v>326615</v>
      </c>
      <c r="B2636" s="7" t="s">
        <v>77</v>
      </c>
      <c r="C2636" s="42">
        <v>405</v>
      </c>
      <c r="D2636" s="6">
        <v>45628</v>
      </c>
      <c r="E2636" s="3" t="str">
        <f ca="1">IF(Tabela2[[#This Row],[Dt Venc:]]&gt;TODAY(),"Em Aberto",IF(Tabela2[[#This Row],[D/venc]]="-","Enviado",IF(Tabela2[[#This Row],[Dt Venc:]]=TODAY(),"Vence Hoje","Vencida")))</f>
        <v>Enviado</v>
      </c>
      <c r="F2636" s="3" t="str">
        <f ca="1">IF(G2636=1,"-",Tabela2[[#This Row],[Dt Venc:]]-TODAY())</f>
        <v>-</v>
      </c>
      <c r="G2636" s="3">
        <v>1</v>
      </c>
      <c r="H2636" s="3"/>
    </row>
    <row r="2637" spans="1:8" hidden="1">
      <c r="A2637" s="3">
        <v>554208</v>
      </c>
      <c r="B2637" s="7" t="s">
        <v>39</v>
      </c>
      <c r="C2637" s="42">
        <v>599.42999999999995</v>
      </c>
      <c r="D2637" s="6">
        <v>45628</v>
      </c>
      <c r="E2637" s="3" t="str">
        <f ca="1">IF(Tabela2[[#This Row],[Dt Venc:]]&gt;TODAY(),"Em Aberto",IF(Tabela2[[#This Row],[D/venc]]="-","Enviado",IF(Tabela2[[#This Row],[Dt Venc:]]=TODAY(),"Vence Hoje","Vencida")))</f>
        <v>Enviado</v>
      </c>
      <c r="F2637" s="3" t="str">
        <f ca="1">IF(G2637=1,"-",Tabela2[[#This Row],[Dt Venc:]]-TODAY())</f>
        <v>-</v>
      </c>
      <c r="G2637" s="3">
        <v>1</v>
      </c>
      <c r="H2637" s="3"/>
    </row>
    <row r="2638" spans="1:8" hidden="1">
      <c r="A2638" s="3">
        <v>369355</v>
      </c>
      <c r="B2638" s="7" t="s">
        <v>39</v>
      </c>
      <c r="C2638" s="42">
        <v>1295.93</v>
      </c>
      <c r="D2638" s="6">
        <v>45628</v>
      </c>
      <c r="E2638" s="3" t="str">
        <f ca="1">IF(Tabela2[[#This Row],[Dt Venc:]]&gt;TODAY(),"Em Aberto",IF(Tabela2[[#This Row],[D/venc]]="-","Enviado",IF(Tabela2[[#This Row],[Dt Venc:]]=TODAY(),"Vence Hoje","Vencida")))</f>
        <v>Enviado</v>
      </c>
      <c r="F2638" s="3" t="str">
        <f ca="1">IF(G2638=1,"-",Tabela2[[#This Row],[Dt Venc:]]-TODAY())</f>
        <v>-</v>
      </c>
      <c r="G2638" s="3">
        <v>1</v>
      </c>
      <c r="H2638" s="3"/>
    </row>
    <row r="2639" spans="1:8" hidden="1">
      <c r="A2639" s="3">
        <v>71456</v>
      </c>
      <c r="B2639" s="7" t="s">
        <v>76</v>
      </c>
      <c r="C2639" s="42">
        <v>778.64</v>
      </c>
      <c r="D2639" s="6">
        <v>45628</v>
      </c>
      <c r="E2639" s="3" t="str">
        <f ca="1">IF(Tabela2[[#This Row],[Dt Venc:]]&gt;TODAY(),"Em Aberto",IF(Tabela2[[#This Row],[D/venc]]="-","Enviado",IF(Tabela2[[#This Row],[Dt Venc:]]=TODAY(),"Vence Hoje","Vencida")))</f>
        <v>Enviado</v>
      </c>
      <c r="F2639" s="3" t="str">
        <f ca="1">IF(G2639=1,"-",Tabela2[[#This Row],[Dt Venc:]]-TODAY())</f>
        <v>-</v>
      </c>
      <c r="G2639" s="3">
        <v>1</v>
      </c>
      <c r="H2639" s="3"/>
    </row>
    <row r="2640" spans="1:8" hidden="1">
      <c r="A2640" s="3">
        <v>1402880</v>
      </c>
      <c r="B2640" s="7" t="s">
        <v>151</v>
      </c>
      <c r="C2640" s="42">
        <v>905.84</v>
      </c>
      <c r="D2640" s="6">
        <v>45628</v>
      </c>
      <c r="E2640" s="3" t="str">
        <f ca="1">IF(Tabela2[[#This Row],[Dt Venc:]]&gt;TODAY(),"Em Aberto",IF(Tabela2[[#This Row],[D/venc]]="-","Enviado",IF(Tabela2[[#This Row],[Dt Venc:]]=TODAY(),"Vence Hoje","Vencida")))</f>
        <v>Enviado</v>
      </c>
      <c r="F2640" s="3" t="str">
        <f ca="1">IF(G2640=1,"-",Tabela2[[#This Row],[Dt Venc:]]-TODAY())</f>
        <v>-</v>
      </c>
      <c r="G2640" s="3">
        <v>1</v>
      </c>
      <c r="H2640" s="3"/>
    </row>
    <row r="2641" spans="1:8" hidden="1">
      <c r="A2641" s="3">
        <v>71417</v>
      </c>
      <c r="B2641" s="7" t="s">
        <v>76</v>
      </c>
      <c r="C2641" s="42">
        <v>1977.3</v>
      </c>
      <c r="D2641" s="6">
        <v>45628</v>
      </c>
      <c r="E2641" s="3" t="str">
        <f ca="1">IF(Tabela2[[#This Row],[Dt Venc:]]&gt;TODAY(),"Em Aberto",IF(Tabela2[[#This Row],[D/venc]]="-","Enviado",IF(Tabela2[[#This Row],[Dt Venc:]]=TODAY(),"Vence Hoje","Vencida")))</f>
        <v>Enviado</v>
      </c>
      <c r="F2641" s="3" t="str">
        <f ca="1">IF(G2641=1,"-",Tabela2[[#This Row],[Dt Venc:]]-TODAY())</f>
        <v>-</v>
      </c>
      <c r="G2641" s="3">
        <v>1</v>
      </c>
      <c r="H2641" s="3"/>
    </row>
    <row r="2642" spans="1:8" hidden="1">
      <c r="A2642" s="3">
        <v>236156</v>
      </c>
      <c r="B2642" s="7" t="s">
        <v>43</v>
      </c>
      <c r="C2642" s="42">
        <v>726.45</v>
      </c>
      <c r="D2642" s="6">
        <v>45628</v>
      </c>
      <c r="E2642" s="3" t="str">
        <f ca="1">IF(Tabela2[[#This Row],[Dt Venc:]]&gt;TODAY(),"Em Aberto",IF(Tabela2[[#This Row],[D/venc]]="-","Enviado",IF(Tabela2[[#This Row],[Dt Venc:]]=TODAY(),"Vence Hoje","Vencida")))</f>
        <v>Enviado</v>
      </c>
      <c r="F2642" s="3" t="str">
        <f ca="1">IF(G2642=1,"-",Tabela2[[#This Row],[Dt Venc:]]-TODAY())</f>
        <v>-</v>
      </c>
      <c r="G2642" s="3">
        <v>1</v>
      </c>
      <c r="H2642" s="3"/>
    </row>
    <row r="2643" spans="1:8" hidden="1">
      <c r="A2643" s="3">
        <v>611038</v>
      </c>
      <c r="B2643" s="7" t="s">
        <v>66</v>
      </c>
      <c r="C2643" s="42">
        <v>678.27</v>
      </c>
      <c r="D2643" s="6">
        <v>45628</v>
      </c>
      <c r="E2643" s="3" t="str">
        <f ca="1">IF(Tabela2[[#This Row],[Dt Venc:]]&gt;TODAY(),"Em Aberto",IF(Tabela2[[#This Row],[D/venc]]="-","Enviado",IF(Tabela2[[#This Row],[Dt Venc:]]=TODAY(),"Vence Hoje","Vencida")))</f>
        <v>Enviado</v>
      </c>
      <c r="F2643" s="3" t="str">
        <f ca="1">IF(G2643=1,"-",Tabela2[[#This Row],[Dt Venc:]]-TODAY())</f>
        <v>-</v>
      </c>
      <c r="G2643" s="3">
        <v>1</v>
      </c>
      <c r="H2643" s="3"/>
    </row>
    <row r="2644" spans="1:8" hidden="1">
      <c r="A2644" s="3">
        <v>763926</v>
      </c>
      <c r="B2644" s="7" t="s">
        <v>79</v>
      </c>
      <c r="C2644" s="42">
        <v>1634.13</v>
      </c>
      <c r="D2644" s="6">
        <v>45628</v>
      </c>
      <c r="E2644" s="3" t="str">
        <f ca="1">IF(Tabela2[[#This Row],[Dt Venc:]]&gt;TODAY(),"Em Aberto",IF(Tabela2[[#This Row],[D/venc]]="-","Enviado",IF(Tabela2[[#This Row],[Dt Venc:]]=TODAY(),"Vence Hoje","Vencida")))</f>
        <v>Enviado</v>
      </c>
      <c r="F2644" s="3" t="str">
        <f ca="1">IF(G2644=1,"-",Tabela2[[#This Row],[Dt Venc:]]-TODAY())</f>
        <v>-</v>
      </c>
      <c r="G2644" s="3">
        <v>1</v>
      </c>
      <c r="H2644" s="3"/>
    </row>
    <row r="2645" spans="1:8" hidden="1">
      <c r="A2645" s="3">
        <v>44971</v>
      </c>
      <c r="B2645" s="7" t="s">
        <v>197</v>
      </c>
      <c r="C2645" s="42">
        <v>1233.3399999999999</v>
      </c>
      <c r="D2645" s="6">
        <v>45628</v>
      </c>
      <c r="E2645" s="3" t="str">
        <f ca="1">IF(Tabela2[[#This Row],[Dt Venc:]]&gt;TODAY(),"Em Aberto",IF(Tabela2[[#This Row],[D/venc]]="-","Enviado",IF(Tabela2[[#This Row],[Dt Venc:]]=TODAY(),"Vence Hoje","Vencida")))</f>
        <v>Enviado</v>
      </c>
      <c r="F2645" s="3" t="str">
        <f ca="1">IF(G2645=1,"-",Tabela2[[#This Row],[Dt Venc:]]-TODAY())</f>
        <v>-</v>
      </c>
      <c r="G2645" s="3">
        <v>1</v>
      </c>
      <c r="H2645" s="3"/>
    </row>
    <row r="2646" spans="1:8" hidden="1">
      <c r="A2646" s="3">
        <v>7407</v>
      </c>
      <c r="B2646" s="7" t="s">
        <v>446</v>
      </c>
      <c r="C2646" s="41">
        <v>540</v>
      </c>
      <c r="D2646" s="6">
        <v>45628</v>
      </c>
      <c r="E2646" s="3" t="str">
        <f ca="1">IF(Tabela2[[#This Row],[Dt Venc:]]&gt;TODAY(),"Em Aberto",IF(Tabela2[[#This Row],[D/venc]]="-","Enviado",IF(Tabela2[[#This Row],[Dt Venc:]]=TODAY(),"Vence Hoje","Vencida")))</f>
        <v>Enviado</v>
      </c>
      <c r="F2646" s="3" t="str">
        <f ca="1">IF(G2646=1,"-",Tabela2[[#This Row],[Dt Venc:]]-TODAY())</f>
        <v>-</v>
      </c>
      <c r="G2646" s="3">
        <v>1</v>
      </c>
      <c r="H2646" s="3"/>
    </row>
    <row r="2647" spans="1:8" hidden="1">
      <c r="A2647" s="3">
        <v>25604</v>
      </c>
      <c r="B2647" s="7" t="s">
        <v>394</v>
      </c>
      <c r="C2647" s="41">
        <v>370.33</v>
      </c>
      <c r="D2647" s="6">
        <v>45628</v>
      </c>
      <c r="E2647" s="3" t="str">
        <f ca="1">IF(Tabela2[[#This Row],[Dt Venc:]]&gt;TODAY(),"Em Aberto",IF(Tabela2[[#This Row],[D/venc]]="-","Enviado",IF(Tabela2[[#This Row],[Dt Venc:]]=TODAY(),"Vence Hoje","Vencida")))</f>
        <v>Enviado</v>
      </c>
      <c r="F2647" s="3" t="str">
        <f ca="1">IF(G2647=1,"-",Tabela2[[#This Row],[Dt Venc:]]-TODAY())</f>
        <v>-</v>
      </c>
      <c r="G2647" s="3">
        <v>1</v>
      </c>
      <c r="H2647" s="3"/>
    </row>
    <row r="2648" spans="1:8" hidden="1">
      <c r="A2648" s="3">
        <v>7404</v>
      </c>
      <c r="B2648" s="7" t="s">
        <v>446</v>
      </c>
      <c r="C2648" s="41">
        <v>360</v>
      </c>
      <c r="D2648" s="6">
        <v>45628</v>
      </c>
      <c r="E2648" s="3" t="str">
        <f ca="1">IF(Tabela2[[#This Row],[Dt Venc:]]&gt;TODAY(),"Em Aberto",IF(Tabela2[[#This Row],[D/venc]]="-","Enviado",IF(Tabela2[[#This Row],[Dt Venc:]]=TODAY(),"Vence Hoje","Vencida")))</f>
        <v>Enviado</v>
      </c>
      <c r="F2648" s="3" t="str">
        <f ca="1">IF(G2648=1,"-",Tabela2[[#This Row],[Dt Venc:]]-TODAY())</f>
        <v>-</v>
      </c>
      <c r="G2648" s="3">
        <v>1</v>
      </c>
      <c r="H2648" s="3"/>
    </row>
    <row r="2649" spans="1:8" hidden="1">
      <c r="A2649" s="3">
        <v>8053</v>
      </c>
      <c r="B2649" s="7" t="s">
        <v>242</v>
      </c>
      <c r="C2649" s="41">
        <v>179.7</v>
      </c>
      <c r="D2649" s="6">
        <v>45628</v>
      </c>
      <c r="E2649" s="3" t="str">
        <f ca="1">IF(Tabela2[[#This Row],[Dt Venc:]]&gt;TODAY(),"Em Aberto",IF(Tabela2[[#This Row],[D/venc]]="-","Enviado",IF(Tabela2[[#This Row],[Dt Venc:]]=TODAY(),"Vence Hoje","Vencida")))</f>
        <v>Enviado</v>
      </c>
      <c r="F2649" s="3" t="str">
        <f ca="1">IF(G2649=1,"-",Tabela2[[#This Row],[Dt Venc:]]-TODAY())</f>
        <v>-</v>
      </c>
      <c r="G2649" s="3">
        <v>1</v>
      </c>
      <c r="H2649" s="3"/>
    </row>
    <row r="2650" spans="1:8" hidden="1">
      <c r="A2650" s="3">
        <v>1103</v>
      </c>
      <c r="B2650" s="7" t="s">
        <v>155</v>
      </c>
      <c r="C2650" s="41">
        <v>16182</v>
      </c>
      <c r="D2650" s="6">
        <v>45628</v>
      </c>
      <c r="E2650" s="3" t="str">
        <f ca="1">IF(Tabela2[[#This Row],[Dt Venc:]]&gt;TODAY(),"Em Aberto",IF(Tabela2[[#This Row],[D/venc]]="-","Enviado",IF(Tabela2[[#This Row],[Dt Venc:]]=TODAY(),"Vence Hoje","Vencida")))</f>
        <v>Enviado</v>
      </c>
      <c r="F2650" s="3" t="str">
        <f ca="1">IF(G2650=1,"-",Tabela2[[#This Row],[Dt Venc:]]-TODAY())</f>
        <v>-</v>
      </c>
      <c r="G2650" s="3">
        <v>1</v>
      </c>
      <c r="H2650" s="3"/>
    </row>
    <row r="2651" spans="1:8" hidden="1">
      <c r="A2651" s="3">
        <v>1104</v>
      </c>
      <c r="B2651" s="7" t="s">
        <v>155</v>
      </c>
      <c r="C2651" s="41">
        <v>8091</v>
      </c>
      <c r="D2651" s="6">
        <v>45628</v>
      </c>
      <c r="E2651" s="3" t="str">
        <f ca="1">IF(Tabela2[[#This Row],[Dt Venc:]]&gt;TODAY(),"Em Aberto",IF(Tabela2[[#This Row],[D/venc]]="-","Enviado",IF(Tabela2[[#This Row],[Dt Venc:]]=TODAY(),"Vence Hoje","Vencida")))</f>
        <v>Enviado</v>
      </c>
      <c r="F2651" s="3" t="str">
        <f ca="1">IF(G2651=1,"-",Tabela2[[#This Row],[Dt Venc:]]-TODAY())</f>
        <v>-</v>
      </c>
      <c r="G2651" s="3">
        <v>1</v>
      </c>
      <c r="H2651" s="3"/>
    </row>
    <row r="2652" spans="1:8" hidden="1">
      <c r="A2652" s="3">
        <v>12807</v>
      </c>
      <c r="B2652" s="7" t="s">
        <v>491</v>
      </c>
      <c r="C2652" s="41">
        <v>170</v>
      </c>
      <c r="D2652" s="6">
        <v>45628</v>
      </c>
      <c r="E2652" s="3" t="str">
        <f ca="1">IF(Tabela2[[#This Row],[Dt Venc:]]&gt;TODAY(),"Em Aberto",IF(Tabela2[[#This Row],[D/venc]]="-","Enviado",IF(Tabela2[[#This Row],[Dt Venc:]]=TODAY(),"Vence Hoje","Vencida")))</f>
        <v>Enviado</v>
      </c>
      <c r="F2652" s="3" t="str">
        <f ca="1">IF(G2652=1,"-",Tabela2[[#This Row],[Dt Venc:]]-TODAY())</f>
        <v>-</v>
      </c>
      <c r="G2652" s="3">
        <v>1</v>
      </c>
      <c r="H2652" s="3"/>
    </row>
    <row r="2653" spans="1:8" hidden="1">
      <c r="A2653" s="3">
        <v>72687</v>
      </c>
      <c r="B2653" s="7" t="s">
        <v>76</v>
      </c>
      <c r="C2653" s="41">
        <v>401.22</v>
      </c>
      <c r="D2653" s="6">
        <v>45628</v>
      </c>
      <c r="E2653" s="3" t="str">
        <f ca="1">IF(Tabela2[[#This Row],[Dt Venc:]]&gt;TODAY(),"Em Aberto",IF(Tabela2[[#This Row],[D/venc]]="-","Enviado",IF(Tabela2[[#This Row],[Dt Venc:]]=TODAY(),"Vence Hoje","Vencida")))</f>
        <v>Enviado</v>
      </c>
      <c r="F2653" s="3" t="str">
        <f ca="1">IF(G2653=1,"-",Tabela2[[#This Row],[Dt Venc:]]-TODAY())</f>
        <v>-</v>
      </c>
      <c r="G2653" s="3">
        <v>1</v>
      </c>
      <c r="H2653" s="3"/>
    </row>
    <row r="2654" spans="1:8" hidden="1">
      <c r="A2654" s="3">
        <v>72716</v>
      </c>
      <c r="B2654" s="7" t="s">
        <v>76</v>
      </c>
      <c r="C2654" s="41">
        <v>898.83</v>
      </c>
      <c r="D2654" s="6">
        <v>45628</v>
      </c>
      <c r="E2654" s="3" t="str">
        <f ca="1">IF(Tabela2[[#This Row],[Dt Venc:]]&gt;TODAY(),"Em Aberto",IF(Tabela2[[#This Row],[D/venc]]="-","Enviado",IF(Tabela2[[#This Row],[Dt Venc:]]=TODAY(),"Vence Hoje","Vencida")))</f>
        <v>Enviado</v>
      </c>
      <c r="F2654" s="3" t="str">
        <f ca="1">IF(G2654=1,"-",Tabela2[[#This Row],[Dt Venc:]]-TODAY())</f>
        <v>-</v>
      </c>
      <c r="G2654" s="3">
        <v>1</v>
      </c>
      <c r="H2654" s="3"/>
    </row>
    <row r="2655" spans="1:8" hidden="1">
      <c r="A2655" s="3">
        <v>371856</v>
      </c>
      <c r="B2655" s="7" t="s">
        <v>39</v>
      </c>
      <c r="C2655" s="41">
        <v>278.60000000000002</v>
      </c>
      <c r="D2655" s="6">
        <v>45628</v>
      </c>
      <c r="E2655" s="3" t="str">
        <f ca="1">IF(Tabela2[[#This Row],[Dt Venc:]]&gt;TODAY(),"Em Aberto",IF(Tabela2[[#This Row],[D/venc]]="-","Enviado",IF(Tabela2[[#This Row],[Dt Venc:]]=TODAY(),"Vence Hoje","Vencida")))</f>
        <v>Enviado</v>
      </c>
      <c r="F2655" s="3" t="str">
        <f ca="1">IF(G2655=1,"-",Tabela2[[#This Row],[Dt Venc:]]-TODAY())</f>
        <v>-</v>
      </c>
      <c r="G2655" s="3">
        <v>1</v>
      </c>
      <c r="H2655" s="3"/>
    </row>
    <row r="2656" spans="1:8" hidden="1">
      <c r="A2656" s="3">
        <v>51</v>
      </c>
      <c r="B2656" s="7" t="s">
        <v>132</v>
      </c>
      <c r="C2656" s="41">
        <v>3331.67</v>
      </c>
      <c r="D2656" s="6">
        <v>45628</v>
      </c>
      <c r="E2656" s="3" t="str">
        <f ca="1">IF(Tabela2[[#This Row],[Dt Venc:]]&gt;TODAY(),"Em Aberto",IF(Tabela2[[#This Row],[D/venc]]="-","Enviado",IF(Tabela2[[#This Row],[Dt Venc:]]=TODAY(),"Vence Hoje","Vencida")))</f>
        <v>Enviado</v>
      </c>
      <c r="F2656" s="3" t="str">
        <f ca="1">IF(G2656=1,"-",Tabela2[[#This Row],[Dt Venc:]]-TODAY())</f>
        <v>-</v>
      </c>
      <c r="G2656" s="3">
        <v>1</v>
      </c>
      <c r="H2656" s="3"/>
    </row>
    <row r="2657" spans="1:8" hidden="1">
      <c r="A2657" s="3">
        <v>44486</v>
      </c>
      <c r="B2657" s="7" t="s">
        <v>439</v>
      </c>
      <c r="C2657" s="41">
        <v>598.03</v>
      </c>
      <c r="D2657" s="6">
        <v>45628</v>
      </c>
      <c r="E2657" s="3" t="str">
        <f ca="1">IF(Tabela2[[#This Row],[Dt Venc:]]&gt;TODAY(),"Em Aberto",IF(Tabela2[[#This Row],[D/venc]]="-","Enviado",IF(Tabela2[[#This Row],[Dt Venc:]]=TODAY(),"Vence Hoje","Vencida")))</f>
        <v>Enviado</v>
      </c>
      <c r="F2657" s="3" t="str">
        <f ca="1">IF(G2657=1,"-",Tabela2[[#This Row],[Dt Venc:]]-TODAY())</f>
        <v>-</v>
      </c>
      <c r="G2657" s="3">
        <v>1</v>
      </c>
      <c r="H2657" s="3"/>
    </row>
    <row r="2658" spans="1:8" hidden="1">
      <c r="A2658" s="3">
        <v>9362</v>
      </c>
      <c r="B2658" s="7" t="s">
        <v>378</v>
      </c>
      <c r="C2658" s="41">
        <v>675</v>
      </c>
      <c r="D2658" s="6">
        <v>45628</v>
      </c>
      <c r="E2658" s="3" t="str">
        <f ca="1">IF(Tabela2[[#This Row],[Dt Venc:]]&gt;TODAY(),"Em Aberto",IF(Tabela2[[#This Row],[D/venc]]="-","Enviado",IF(Tabela2[[#This Row],[Dt Venc:]]=TODAY(),"Vence Hoje","Vencida")))</f>
        <v>Enviado</v>
      </c>
      <c r="F2658" s="3" t="str">
        <f ca="1">IF(G2658=1,"-",Tabela2[[#This Row],[Dt Venc:]]-TODAY())</f>
        <v>-</v>
      </c>
      <c r="G2658" s="3">
        <v>1</v>
      </c>
      <c r="H2658" s="3"/>
    </row>
    <row r="2659" spans="1:8" hidden="1">
      <c r="A2659" s="3">
        <v>7179</v>
      </c>
      <c r="B2659" s="7" t="s">
        <v>370</v>
      </c>
      <c r="C2659" s="41">
        <v>279</v>
      </c>
      <c r="D2659" s="6">
        <v>45628</v>
      </c>
      <c r="E2659" s="3" t="str">
        <f ca="1">IF(Tabela2[[#This Row],[Dt Venc:]]&gt;TODAY(),"Em Aberto",IF(Tabela2[[#This Row],[D/venc]]="-","Enviado",IF(Tabela2[[#This Row],[Dt Venc:]]=TODAY(),"Vence Hoje","Vencida")))</f>
        <v>Enviado</v>
      </c>
      <c r="F2659" s="3" t="str">
        <f ca="1">IF(G2659=1,"-",Tabela2[[#This Row],[Dt Venc:]]-TODAY())</f>
        <v>-</v>
      </c>
      <c r="G2659" s="3">
        <v>1</v>
      </c>
      <c r="H2659" s="3"/>
    </row>
    <row r="2660" spans="1:8" hidden="1">
      <c r="A2660" s="3">
        <v>72766</v>
      </c>
      <c r="B2660" s="7" t="s">
        <v>76</v>
      </c>
      <c r="C2660" s="41">
        <v>397.23</v>
      </c>
      <c r="D2660" s="6">
        <v>45628</v>
      </c>
      <c r="E2660" s="3" t="str">
        <f ca="1">IF(Tabela2[[#This Row],[Dt Venc:]]&gt;TODAY(),"Em Aberto",IF(Tabela2[[#This Row],[D/venc]]="-","Enviado",IF(Tabela2[[#This Row],[Dt Venc:]]=TODAY(),"Vence Hoje","Vencida")))</f>
        <v>Enviado</v>
      </c>
      <c r="F2660" s="3" t="str">
        <f ca="1">IF(G2660=1,"-",Tabela2[[#This Row],[Dt Venc:]]-TODAY())</f>
        <v>-</v>
      </c>
      <c r="G2660" s="3">
        <v>1</v>
      </c>
      <c r="H2660" s="3"/>
    </row>
    <row r="2661" spans="1:8" hidden="1">
      <c r="A2661" s="3">
        <v>233020</v>
      </c>
      <c r="B2661" s="7" t="s">
        <v>40</v>
      </c>
      <c r="C2661" s="41">
        <v>1033.3399999999999</v>
      </c>
      <c r="D2661" s="6">
        <v>45628</v>
      </c>
      <c r="E2661" s="3" t="str">
        <f ca="1">IF(Tabela2[[#This Row],[Dt Venc:]]&gt;TODAY(),"Em Aberto",IF(Tabela2[[#This Row],[D/venc]]="-","Enviado",IF(Tabela2[[#This Row],[Dt Venc:]]=TODAY(),"Vence Hoje","Vencida")))</f>
        <v>Enviado</v>
      </c>
      <c r="F2661" s="3" t="str">
        <f ca="1">IF(G2661=1,"-",Tabela2[[#This Row],[Dt Venc:]]-TODAY())</f>
        <v>-</v>
      </c>
      <c r="G2661" s="3">
        <v>1</v>
      </c>
      <c r="H2661" s="3"/>
    </row>
    <row r="2662" spans="1:8" hidden="1">
      <c r="A2662" s="3">
        <v>615163</v>
      </c>
      <c r="B2662" s="7" t="s">
        <v>66</v>
      </c>
      <c r="C2662" s="41">
        <v>6654.92</v>
      </c>
      <c r="D2662" s="6">
        <v>45628</v>
      </c>
      <c r="E2662" s="3" t="str">
        <f ca="1">IF(Tabela2[[#This Row],[Dt Venc:]]&gt;TODAY(),"Em Aberto",IF(Tabela2[[#This Row],[D/venc]]="-","Enviado",IF(Tabela2[[#This Row],[Dt Venc:]]=TODAY(),"Vence Hoje","Vencida")))</f>
        <v>Enviado</v>
      </c>
      <c r="F2662" s="3" t="str">
        <f ca="1">IF(G2662=1,"-",Tabela2[[#This Row],[Dt Venc:]]-TODAY())</f>
        <v>-</v>
      </c>
      <c r="G2662" s="3">
        <v>1</v>
      </c>
      <c r="H2662" s="3"/>
    </row>
    <row r="2663" spans="1:8" hidden="1">
      <c r="A2663" s="3">
        <v>182645</v>
      </c>
      <c r="B2663" s="7" t="s">
        <v>84</v>
      </c>
      <c r="C2663" s="41">
        <v>832.74</v>
      </c>
      <c r="D2663" s="6">
        <v>45628</v>
      </c>
      <c r="E2663" s="3" t="str">
        <f ca="1">IF(Tabela2[[#This Row],[Dt Venc:]]&gt;TODAY(),"Em Aberto",IF(Tabela2[[#This Row],[D/venc]]="-","Enviado",IF(Tabela2[[#This Row],[Dt Venc:]]=TODAY(),"Vence Hoje","Vencida")))</f>
        <v>Enviado</v>
      </c>
      <c r="F2663" s="3" t="str">
        <f ca="1">IF(G2663=1,"-",Tabela2[[#This Row],[Dt Venc:]]-TODAY())</f>
        <v>-</v>
      </c>
      <c r="G2663" s="3">
        <v>1</v>
      </c>
      <c r="H2663" s="3"/>
    </row>
    <row r="2664" spans="1:8" hidden="1">
      <c r="A2664" s="3">
        <v>248756</v>
      </c>
      <c r="B2664" s="7" t="s">
        <v>43</v>
      </c>
      <c r="C2664" s="41">
        <v>2091.5300000000002</v>
      </c>
      <c r="D2664" s="6">
        <v>45628</v>
      </c>
      <c r="E2664" s="3" t="str">
        <f ca="1">IF(Tabela2[[#This Row],[Dt Venc:]]&gt;TODAY(),"Em Aberto",IF(Tabela2[[#This Row],[D/venc]]="-","Enviado",IF(Tabela2[[#This Row],[Dt Venc:]]=TODAY(),"Vence Hoje","Vencida")))</f>
        <v>Enviado</v>
      </c>
      <c r="F2664" s="3" t="str">
        <f ca="1">IF(G2664=1,"-",Tabela2[[#This Row],[Dt Venc:]]-TODAY())</f>
        <v>-</v>
      </c>
      <c r="G2664" s="3">
        <v>1</v>
      </c>
      <c r="H2664" s="3"/>
    </row>
    <row r="2665" spans="1:8" hidden="1">
      <c r="A2665" s="3">
        <v>10800</v>
      </c>
      <c r="B2665" s="7" t="s">
        <v>105</v>
      </c>
      <c r="C2665" s="41">
        <v>3500</v>
      </c>
      <c r="D2665" s="6">
        <v>45628</v>
      </c>
      <c r="E2665" s="3" t="str">
        <f ca="1">IF(Tabela2[[#This Row],[Dt Venc:]]&gt;TODAY(),"Em Aberto",IF(Tabela2[[#This Row],[D/venc]]="-","Enviado",IF(Tabela2[[#This Row],[Dt Venc:]]=TODAY(),"Vence Hoje","Vencida")))</f>
        <v>Enviado</v>
      </c>
      <c r="F2665" s="3" t="str">
        <f ca="1">IF(G2665=1,"-",Tabela2[[#This Row],[Dt Venc:]]-TODAY())</f>
        <v>-</v>
      </c>
      <c r="G2665" s="3">
        <v>1</v>
      </c>
      <c r="H2665" s="3"/>
    </row>
    <row r="2666" spans="1:8" hidden="1">
      <c r="A2666" s="3">
        <v>9839</v>
      </c>
      <c r="B2666" s="7" t="s">
        <v>88</v>
      </c>
      <c r="C2666" s="41">
        <v>649.1</v>
      </c>
      <c r="D2666" s="6">
        <v>45628</v>
      </c>
      <c r="E2666" s="3" t="str">
        <f ca="1">IF(Tabela2[[#This Row],[Dt Venc:]]&gt;TODAY(),"Em Aberto",IF(Tabela2[[#This Row],[D/venc]]="-","Enviado",IF(Tabela2[[#This Row],[Dt Venc:]]=TODAY(),"Vence Hoje","Vencida")))</f>
        <v>Enviado</v>
      </c>
      <c r="F2666" s="3" t="str">
        <f ca="1">IF(G2666=1,"-",Tabela2[[#This Row],[Dt Venc:]]-TODAY())</f>
        <v>-</v>
      </c>
      <c r="G2666" s="3">
        <v>1</v>
      </c>
      <c r="H2666" s="3"/>
    </row>
    <row r="2667" spans="1:8" hidden="1">
      <c r="A2667" s="3">
        <v>359363</v>
      </c>
      <c r="B2667" s="7" t="s">
        <v>59</v>
      </c>
      <c r="C2667" s="41">
        <v>56565</v>
      </c>
      <c r="D2667" s="6">
        <v>45628</v>
      </c>
      <c r="E2667" s="3" t="str">
        <f ca="1">IF(Tabela2[[#This Row],[Dt Venc:]]&gt;TODAY(),"Em Aberto",IF(Tabela2[[#This Row],[D/venc]]="-","Enviado",IF(Tabela2[[#This Row],[Dt Venc:]]=TODAY(),"Vence Hoje","Vencida")))</f>
        <v>Enviado</v>
      </c>
      <c r="F2667" s="3" t="str">
        <f ca="1">IF(G2667=1,"-",Tabela2[[#This Row],[Dt Venc:]]-TODAY())</f>
        <v>-</v>
      </c>
      <c r="G2667" s="3">
        <v>1</v>
      </c>
      <c r="H2667" s="3"/>
    </row>
    <row r="2668" spans="1:8" hidden="1">
      <c r="A2668" s="3">
        <v>213353</v>
      </c>
      <c r="B2668" s="7" t="s">
        <v>59</v>
      </c>
      <c r="C2668" s="41">
        <v>56013</v>
      </c>
      <c r="D2668" s="6">
        <v>45628</v>
      </c>
      <c r="E2668" s="3" t="str">
        <f ca="1">IF(Tabela2[[#This Row],[Dt Venc:]]&gt;TODAY(),"Em Aberto",IF(Tabela2[[#This Row],[D/venc]]="-","Enviado",IF(Tabela2[[#This Row],[Dt Venc:]]=TODAY(),"Vence Hoje","Vencida")))</f>
        <v>Enviado</v>
      </c>
      <c r="F2668" s="3" t="str">
        <f ca="1">IF(G2668=1,"-",Tabela2[[#This Row],[Dt Venc:]]-TODAY())</f>
        <v>-</v>
      </c>
      <c r="G2668" s="3">
        <v>1</v>
      </c>
      <c r="H2668" s="3"/>
    </row>
    <row r="2669" spans="1:8" hidden="1">
      <c r="A2669" s="3">
        <v>2081</v>
      </c>
      <c r="B2669" s="7" t="s">
        <v>492</v>
      </c>
      <c r="C2669" s="41">
        <v>18993.7</v>
      </c>
      <c r="D2669" s="6">
        <v>45628</v>
      </c>
      <c r="E2669" s="3" t="str">
        <f ca="1">IF(Tabela2[[#This Row],[Dt Venc:]]&gt;TODAY(),"Em Aberto",IF(Tabela2[[#This Row],[D/venc]]="-","Enviado",IF(Tabela2[[#This Row],[Dt Venc:]]=TODAY(),"Vence Hoje","Vencida")))</f>
        <v>Enviado</v>
      </c>
      <c r="F2669" s="3" t="str">
        <f ca="1">IF(G2669=1,"-",Tabela2[[#This Row],[Dt Venc:]]-TODAY())</f>
        <v>-</v>
      </c>
      <c r="G2669" s="3">
        <v>1</v>
      </c>
      <c r="H2669" s="3"/>
    </row>
    <row r="2670" spans="1:8" hidden="1">
      <c r="A2670" s="3">
        <v>563</v>
      </c>
      <c r="B2670" s="7" t="s">
        <v>280</v>
      </c>
      <c r="C2670" s="41">
        <v>43350.07</v>
      </c>
      <c r="D2670" s="6">
        <v>45628</v>
      </c>
      <c r="E2670" s="3" t="str">
        <f ca="1">IF(Tabela2[[#This Row],[Dt Venc:]]&gt;TODAY(),"Em Aberto",IF(Tabela2[[#This Row],[D/venc]]="-","Enviado",IF(Tabela2[[#This Row],[Dt Venc:]]=TODAY(),"Vence Hoje","Vencida")))</f>
        <v>Enviado</v>
      </c>
      <c r="F2670" s="3" t="str">
        <f ca="1">IF(G2670=1,"-",Tabela2[[#This Row],[Dt Venc:]]-TODAY())</f>
        <v>-</v>
      </c>
      <c r="G2670" s="3">
        <v>1</v>
      </c>
      <c r="H2670" s="3"/>
    </row>
    <row r="2671" spans="1:8" hidden="1">
      <c r="A2671" s="3">
        <v>562</v>
      </c>
      <c r="B2671" s="7" t="s">
        <v>280</v>
      </c>
      <c r="C2671" s="41">
        <v>2912.78</v>
      </c>
      <c r="D2671" s="6">
        <v>45628</v>
      </c>
      <c r="E2671" s="3" t="str">
        <f ca="1">IF(Tabela2[[#This Row],[Dt Venc:]]&gt;TODAY(),"Em Aberto",IF(Tabela2[[#This Row],[D/venc]]="-","Enviado",IF(Tabela2[[#This Row],[Dt Venc:]]=TODAY(),"Vence Hoje","Vencida")))</f>
        <v>Enviado</v>
      </c>
      <c r="F2671" s="3" t="str">
        <f ca="1">IF(G2671=1,"-",Tabela2[[#This Row],[Dt Venc:]]-TODAY())</f>
        <v>-</v>
      </c>
      <c r="G2671" s="3">
        <v>1</v>
      </c>
      <c r="H2671" s="3"/>
    </row>
    <row r="2672" spans="1:8" hidden="1">
      <c r="A2672" s="3">
        <v>161</v>
      </c>
      <c r="B2672" s="7" t="s">
        <v>493</v>
      </c>
      <c r="C2672" s="41">
        <v>7974</v>
      </c>
      <c r="D2672" s="6">
        <v>45628</v>
      </c>
      <c r="E2672" s="3" t="str">
        <f ca="1">IF(Tabela2[[#This Row],[Dt Venc:]]&gt;TODAY(),"Em Aberto",IF(Tabela2[[#This Row],[D/venc]]="-","Enviado",IF(Tabela2[[#This Row],[Dt Venc:]]=TODAY(),"Vence Hoje","Vencida")))</f>
        <v>Enviado</v>
      </c>
      <c r="F2672" s="3" t="str">
        <f ca="1">IF(G2672=1,"-",Tabela2[[#This Row],[Dt Venc:]]-TODAY())</f>
        <v>-</v>
      </c>
      <c r="G2672" s="3">
        <v>1</v>
      </c>
      <c r="H2672" s="3"/>
    </row>
    <row r="2673" spans="1:8" hidden="1">
      <c r="A2673" s="3" t="s">
        <v>68</v>
      </c>
      <c r="B2673" s="7" t="s">
        <v>69</v>
      </c>
      <c r="C2673" s="88" t="s">
        <v>30</v>
      </c>
      <c r="D2673" s="6">
        <v>45628</v>
      </c>
      <c r="E2673" s="3" t="str">
        <f ca="1">IF(Tabela2[[#This Row],[Dt Venc:]]&gt;TODAY(),"Em Aberto",IF(Tabela2[[#This Row],[D/venc]]="-","Enviado",IF(Tabela2[[#This Row],[Dt Venc:]]=TODAY(),"Vence Hoje","Vencida")))</f>
        <v>Enviado</v>
      </c>
      <c r="F2673" s="3" t="str">
        <f ca="1">IF(G2673=1,"-",Tabela2[[#This Row],[Dt Venc:]]-TODAY())</f>
        <v>-</v>
      </c>
      <c r="G2673" s="3">
        <v>1</v>
      </c>
      <c r="H2673" s="3"/>
    </row>
    <row r="2674" spans="1:8" hidden="1">
      <c r="A2674" s="3">
        <v>1162</v>
      </c>
      <c r="B2674" s="7" t="s">
        <v>494</v>
      </c>
      <c r="C2674" s="41">
        <v>5579.94</v>
      </c>
      <c r="D2674" s="6">
        <v>45628</v>
      </c>
      <c r="E2674" s="3" t="str">
        <f ca="1">IF(Tabela2[[#This Row],[Dt Venc:]]&gt;TODAY(),"Em Aberto",IF(Tabela2[[#This Row],[D/venc]]="-","Enviado",IF(Tabela2[[#This Row],[Dt Venc:]]=TODAY(),"Vence Hoje","Vencida")))</f>
        <v>Enviado</v>
      </c>
      <c r="F2674" s="3" t="str">
        <f ca="1">IF(G2674=1,"-",Tabela2[[#This Row],[Dt Venc:]]-TODAY())</f>
        <v>-</v>
      </c>
      <c r="G2674" s="3">
        <v>1</v>
      </c>
      <c r="H2674" s="3"/>
    </row>
    <row r="2675" spans="1:8" hidden="1">
      <c r="A2675" s="3">
        <v>7179</v>
      </c>
      <c r="B2675" s="7" t="s">
        <v>495</v>
      </c>
      <c r="C2675" s="41">
        <v>279</v>
      </c>
      <c r="D2675" s="6">
        <v>45628</v>
      </c>
      <c r="E2675" s="3" t="str">
        <f ca="1">IF(Tabela2[[#This Row],[Dt Venc:]]&gt;TODAY(),"Em Aberto",IF(Tabela2[[#This Row],[D/venc]]="-","Enviado",IF(Tabela2[[#This Row],[Dt Venc:]]=TODAY(),"Vence Hoje","Vencida")))</f>
        <v>Enviado</v>
      </c>
      <c r="F2675" s="3" t="str">
        <f ca="1">IF(G2675=1,"-",Tabela2[[#This Row],[Dt Venc:]]-TODAY())</f>
        <v>-</v>
      </c>
      <c r="G2675" s="3">
        <v>1</v>
      </c>
      <c r="H2675" s="3"/>
    </row>
    <row r="2676" spans="1:8" hidden="1">
      <c r="A2676" s="3">
        <v>363145</v>
      </c>
      <c r="B2676" s="7" t="s">
        <v>333</v>
      </c>
      <c r="C2676" s="41">
        <v>518.29999999999995</v>
      </c>
      <c r="D2676" s="6">
        <v>45628</v>
      </c>
      <c r="E2676" s="3" t="str">
        <f ca="1">IF(Tabela2[[#This Row],[Dt Venc:]]&gt;TODAY(),"Em Aberto",IF(Tabela2[[#This Row],[D/venc]]="-","Enviado",IF(Tabela2[[#This Row],[Dt Venc:]]=TODAY(),"Vence Hoje","Vencida")))</f>
        <v>Enviado</v>
      </c>
      <c r="F2676" s="3" t="str">
        <f ca="1">IF(G2676=1,"-",Tabela2[[#This Row],[Dt Venc:]]-TODAY())</f>
        <v>-</v>
      </c>
      <c r="G2676" s="3">
        <v>1</v>
      </c>
      <c r="H2676" s="3"/>
    </row>
    <row r="2677" spans="1:8" hidden="1">
      <c r="A2677" s="3">
        <v>10494</v>
      </c>
      <c r="B2677" s="7" t="s">
        <v>82</v>
      </c>
      <c r="C2677" s="88" t="s">
        <v>30</v>
      </c>
      <c r="D2677" s="6">
        <v>45629</v>
      </c>
      <c r="E2677" s="3" t="str">
        <f ca="1">IF(Tabela2[[#This Row],[Dt Venc:]]&gt;TODAY(),"Em Aberto",IF(Tabela2[[#This Row],[D/venc]]="-","Enviado",IF(Tabela2[[#This Row],[Dt Venc:]]=TODAY(),"Vence Hoje","Vencida")))</f>
        <v>Enviado</v>
      </c>
      <c r="F2677" s="3" t="str">
        <f ca="1">IF(G2677=1,"-",Tabela2[[#This Row],[Dt Venc:]]-TODAY())</f>
        <v>-</v>
      </c>
      <c r="G2677" s="3">
        <v>1</v>
      </c>
      <c r="H2677" s="3"/>
    </row>
    <row r="2678" spans="1:8" hidden="1">
      <c r="A2678" s="3">
        <v>10853</v>
      </c>
      <c r="B2678" s="7" t="s">
        <v>33</v>
      </c>
      <c r="C2678" s="42">
        <v>400</v>
      </c>
      <c r="D2678" s="6">
        <v>45629</v>
      </c>
      <c r="E2678" s="3" t="str">
        <f ca="1">IF(Tabela2[[#This Row],[Dt Venc:]]&gt;TODAY(),"Em Aberto",IF(Tabela2[[#This Row],[D/venc]]="-","Enviado",IF(Tabela2[[#This Row],[Dt Venc:]]=TODAY(),"Vence Hoje","Vencida")))</f>
        <v>Enviado</v>
      </c>
      <c r="F2678" s="3" t="str">
        <f ca="1">IF(G2678=1,"-",Tabela2[[#This Row],[Dt Venc:]]-TODAY())</f>
        <v>-</v>
      </c>
      <c r="G2678" s="3">
        <v>1</v>
      </c>
      <c r="H2678" s="3"/>
    </row>
    <row r="2679" spans="1:8" hidden="1">
      <c r="A2679" s="3">
        <v>324861</v>
      </c>
      <c r="B2679" s="7" t="s">
        <v>77</v>
      </c>
      <c r="C2679" s="42">
        <v>100</v>
      </c>
      <c r="D2679" s="6">
        <v>45629</v>
      </c>
      <c r="E2679" s="3" t="str">
        <f ca="1">IF(Tabela2[[#This Row],[Dt Venc:]]&gt;TODAY(),"Em Aberto",IF(Tabela2[[#This Row],[D/venc]]="-","Enviado",IF(Tabela2[[#This Row],[Dt Venc:]]=TODAY(),"Vence Hoje","Vencida")))</f>
        <v>Enviado</v>
      </c>
      <c r="F2679" s="3" t="str">
        <f ca="1">IF(G2679=1,"-",Tabela2[[#This Row],[Dt Venc:]]-TODAY())</f>
        <v>-</v>
      </c>
      <c r="G2679" s="3">
        <v>1</v>
      </c>
      <c r="H2679" s="3"/>
    </row>
    <row r="2680" spans="1:8" hidden="1">
      <c r="A2680" s="3">
        <v>10854</v>
      </c>
      <c r="B2680" s="7" t="s">
        <v>33</v>
      </c>
      <c r="C2680" s="42">
        <v>1625</v>
      </c>
      <c r="D2680" s="6">
        <v>45629</v>
      </c>
      <c r="E2680" s="3" t="str">
        <f ca="1">IF(Tabela2[[#This Row],[Dt Venc:]]&gt;TODAY(),"Em Aberto",IF(Tabela2[[#This Row],[D/venc]]="-","Enviado",IF(Tabela2[[#This Row],[Dt Venc:]]=TODAY(),"Vence Hoje","Vencida")))</f>
        <v>Enviado</v>
      </c>
      <c r="F2680" s="3" t="str">
        <f ca="1">IF(G2680=1,"-",Tabela2[[#This Row],[Dt Venc:]]-TODAY())</f>
        <v>-</v>
      </c>
      <c r="G2680" s="3">
        <v>1</v>
      </c>
      <c r="H2680" s="3"/>
    </row>
    <row r="2681" spans="1:8" hidden="1">
      <c r="A2681" s="3">
        <v>147449</v>
      </c>
      <c r="B2681" s="7" t="s">
        <v>79</v>
      </c>
      <c r="C2681" s="42">
        <v>1611.84</v>
      </c>
      <c r="D2681" s="6">
        <v>45629</v>
      </c>
      <c r="E2681" s="3" t="str">
        <f ca="1">IF(Tabela2[[#This Row],[Dt Venc:]]&gt;TODAY(),"Em Aberto",IF(Tabela2[[#This Row],[D/venc]]="-","Enviado",IF(Tabela2[[#This Row],[Dt Venc:]]=TODAY(),"Vence Hoje","Vencida")))</f>
        <v>Enviado</v>
      </c>
      <c r="F2681" s="3" t="str">
        <f ca="1">IF(G2681=1,"-",Tabela2[[#This Row],[Dt Venc:]]-TODAY())</f>
        <v>-</v>
      </c>
      <c r="G2681" s="3">
        <v>1</v>
      </c>
      <c r="H2681" s="3"/>
    </row>
    <row r="2682" spans="1:8" hidden="1">
      <c r="A2682" s="3">
        <v>29805</v>
      </c>
      <c r="B2682" s="7" t="s">
        <v>107</v>
      </c>
      <c r="C2682" s="42">
        <v>2817</v>
      </c>
      <c r="D2682" s="6">
        <v>45629</v>
      </c>
      <c r="E2682" s="3" t="str">
        <f ca="1">IF(Tabela2[[#This Row],[Dt Venc:]]&gt;TODAY(),"Em Aberto",IF(Tabela2[[#This Row],[D/venc]]="-","Enviado",IF(Tabela2[[#This Row],[Dt Venc:]]=TODAY(),"Vence Hoje","Vencida")))</f>
        <v>Enviado</v>
      </c>
      <c r="F2682" s="3" t="str">
        <f ca="1">IF(G2682=1,"-",Tabela2[[#This Row],[Dt Venc:]]-TODAY())</f>
        <v>-</v>
      </c>
      <c r="G2682" s="3">
        <v>1</v>
      </c>
      <c r="H2682" s="3"/>
    </row>
    <row r="2683" spans="1:8" hidden="1">
      <c r="A2683" s="3">
        <v>473848</v>
      </c>
      <c r="B2683" s="7" t="s">
        <v>108</v>
      </c>
      <c r="C2683" s="42">
        <v>354.42</v>
      </c>
      <c r="D2683" s="6">
        <v>45629</v>
      </c>
      <c r="E2683" s="3" t="str">
        <f ca="1">IF(Tabela2[[#This Row],[Dt Venc:]]&gt;TODAY(),"Em Aberto",IF(Tabela2[[#This Row],[D/venc]]="-","Enviado",IF(Tabela2[[#This Row],[Dt Venc:]]=TODAY(),"Vence Hoje","Vencida")))</f>
        <v>Enviado</v>
      </c>
      <c r="F2683" s="3" t="str">
        <f ca="1">IF(G2683=1,"-",Tabela2[[#This Row],[Dt Venc:]]-TODAY())</f>
        <v>-</v>
      </c>
      <c r="G2683" s="3">
        <v>1</v>
      </c>
      <c r="H2683" s="3"/>
    </row>
    <row r="2684" spans="1:8" hidden="1">
      <c r="A2684" s="3">
        <v>384431</v>
      </c>
      <c r="B2684" s="7" t="s">
        <v>161</v>
      </c>
      <c r="C2684" s="42">
        <v>503.04</v>
      </c>
      <c r="D2684" s="6">
        <v>45629</v>
      </c>
      <c r="E2684" s="3" t="str">
        <f ca="1">IF(Tabela2[[#This Row],[Dt Venc:]]&gt;TODAY(),"Em Aberto",IF(Tabela2[[#This Row],[D/venc]]="-","Enviado",IF(Tabela2[[#This Row],[Dt Venc:]]=TODAY(),"Vence Hoje","Vencida")))</f>
        <v>Enviado</v>
      </c>
      <c r="F2684" s="3" t="str">
        <f ca="1">IF(G2684=1,"-",Tabela2[[#This Row],[Dt Venc:]]-TODAY())</f>
        <v>-</v>
      </c>
      <c r="G2684" s="3">
        <v>1</v>
      </c>
      <c r="H2684" s="3"/>
    </row>
    <row r="2685" spans="1:8" hidden="1">
      <c r="A2685" s="3">
        <v>10974</v>
      </c>
      <c r="B2685" s="7" t="s">
        <v>33</v>
      </c>
      <c r="C2685" s="42">
        <v>1615</v>
      </c>
      <c r="D2685" s="6">
        <v>45629</v>
      </c>
      <c r="E2685" s="3" t="str">
        <f ca="1">IF(Tabela2[[#This Row],[Dt Venc:]]&gt;TODAY(),"Em Aberto",IF(Tabela2[[#This Row],[D/venc]]="-","Enviado",IF(Tabela2[[#This Row],[Dt Venc:]]=TODAY(),"Vence Hoje","Vencida")))</f>
        <v>Enviado</v>
      </c>
      <c r="F2685" s="3" t="str">
        <f ca="1">IF(G2685=1,"-",Tabela2[[#This Row],[Dt Venc:]]-TODAY())</f>
        <v>-</v>
      </c>
      <c r="G2685" s="3">
        <v>1</v>
      </c>
      <c r="H2685" s="3"/>
    </row>
    <row r="2686" spans="1:8" hidden="1">
      <c r="A2686" s="3">
        <v>2769</v>
      </c>
      <c r="B2686" s="7" t="s">
        <v>58</v>
      </c>
      <c r="C2686" s="42">
        <v>1553.37</v>
      </c>
      <c r="D2686" s="6">
        <v>45629</v>
      </c>
      <c r="E2686" s="3" t="str">
        <f ca="1">IF(Tabela2[[#This Row],[Dt Venc:]]&gt;TODAY(),"Em Aberto",IF(Tabela2[[#This Row],[D/venc]]="-","Enviado",IF(Tabela2[[#This Row],[Dt Venc:]]=TODAY(),"Vence Hoje","Vencida")))</f>
        <v>Enviado</v>
      </c>
      <c r="F2686" s="3" t="str">
        <f ca="1">IF(G2686=1,"-",Tabela2[[#This Row],[Dt Venc:]]-TODAY())</f>
        <v>-</v>
      </c>
      <c r="G2686" s="3">
        <v>1</v>
      </c>
      <c r="H2686" s="3"/>
    </row>
    <row r="2687" spans="1:8" hidden="1">
      <c r="A2687" s="3">
        <v>10974</v>
      </c>
      <c r="B2687" s="7" t="s">
        <v>33</v>
      </c>
      <c r="C2687" s="42">
        <v>1615</v>
      </c>
      <c r="D2687" s="6">
        <v>45629</v>
      </c>
      <c r="E2687" s="3" t="str">
        <f ca="1">IF(Tabela2[[#This Row],[Dt Venc:]]&gt;TODAY(),"Em Aberto",IF(Tabela2[[#This Row],[D/venc]]="-","Enviado",IF(Tabela2[[#This Row],[Dt Venc:]]=TODAY(),"Vence Hoje","Vencida")))</f>
        <v>Enviado</v>
      </c>
      <c r="F2687" s="3" t="str">
        <f ca="1">IF(G2687=1,"-",Tabela2[[#This Row],[Dt Venc:]]-TODAY())</f>
        <v>-</v>
      </c>
      <c r="G2687" s="3">
        <v>1</v>
      </c>
      <c r="H2687" s="3"/>
    </row>
    <row r="2688" spans="1:8" hidden="1">
      <c r="A2688" s="3">
        <v>10978</v>
      </c>
      <c r="B2688" s="7" t="s">
        <v>33</v>
      </c>
      <c r="C2688" s="42">
        <v>400</v>
      </c>
      <c r="D2688" s="6">
        <v>45629</v>
      </c>
      <c r="E2688" s="3" t="str">
        <f ca="1">IF(Tabela2[[#This Row],[Dt Venc:]]&gt;TODAY(),"Em Aberto",IF(Tabela2[[#This Row],[D/venc]]="-","Enviado",IF(Tabela2[[#This Row],[Dt Venc:]]=TODAY(),"Vence Hoje","Vencida")))</f>
        <v>Enviado</v>
      </c>
      <c r="F2688" s="3" t="str">
        <f ca="1">IF(G2688=1,"-",Tabela2[[#This Row],[Dt Venc:]]-TODAY())</f>
        <v>-</v>
      </c>
      <c r="G2688" s="3">
        <v>1</v>
      </c>
      <c r="H2688" s="3"/>
    </row>
    <row r="2689" spans="1:8" hidden="1">
      <c r="A2689" s="3">
        <v>226881</v>
      </c>
      <c r="B2689" s="7" t="s">
        <v>306</v>
      </c>
      <c r="C2689" s="42">
        <v>621.73</v>
      </c>
      <c r="D2689" s="6">
        <v>45629</v>
      </c>
      <c r="E2689" s="3" t="str">
        <f ca="1">IF(Tabela2[[#This Row],[Dt Venc:]]&gt;TODAY(),"Em Aberto",IF(Tabela2[[#This Row],[D/venc]]="-","Enviado",IF(Tabela2[[#This Row],[Dt Venc:]]=TODAY(),"Vence Hoje","Vencida")))</f>
        <v>Enviado</v>
      </c>
      <c r="F2689" s="3" t="str">
        <f ca="1">IF(G2689=1,"-",Tabela2[[#This Row],[Dt Venc:]]-TODAY())</f>
        <v>-</v>
      </c>
      <c r="G2689" s="3">
        <v>1</v>
      </c>
      <c r="H2689" s="3"/>
    </row>
    <row r="2690" spans="1:8" hidden="1">
      <c r="A2690" s="3">
        <v>326638</v>
      </c>
      <c r="B2690" s="7" t="s">
        <v>77</v>
      </c>
      <c r="C2690" s="42">
        <v>320</v>
      </c>
      <c r="D2690" s="6">
        <v>45629</v>
      </c>
      <c r="E2690" s="3" t="str">
        <f ca="1">IF(Tabela2[[#This Row],[Dt Venc:]]&gt;TODAY(),"Em Aberto",IF(Tabela2[[#This Row],[D/venc]]="-","Enviado",IF(Tabela2[[#This Row],[Dt Venc:]]=TODAY(),"Vence Hoje","Vencida")))</f>
        <v>Enviado</v>
      </c>
      <c r="F2690" s="3" t="str">
        <f ca="1">IF(G2690=1,"-",Tabela2[[#This Row],[Dt Venc:]]-TODAY())</f>
        <v>-</v>
      </c>
      <c r="G2690" s="3">
        <v>1</v>
      </c>
      <c r="H2690" s="3"/>
    </row>
    <row r="2691" spans="1:8" hidden="1">
      <c r="A2691" s="3">
        <v>15523</v>
      </c>
      <c r="B2691" s="7" t="s">
        <v>289</v>
      </c>
      <c r="C2691" s="42">
        <v>450</v>
      </c>
      <c r="D2691" s="6">
        <v>45629</v>
      </c>
      <c r="E2691" s="3" t="str">
        <f ca="1">IF(Tabela2[[#This Row],[Dt Venc:]]&gt;TODAY(),"Em Aberto",IF(Tabela2[[#This Row],[D/venc]]="-","Enviado",IF(Tabela2[[#This Row],[Dt Venc:]]=TODAY(),"Vence Hoje","Vencida")))</f>
        <v>Enviado</v>
      </c>
      <c r="F2691" s="3" t="str">
        <f ca="1">IF(G2691=1,"-",Tabela2[[#This Row],[Dt Venc:]]-TODAY())</f>
        <v>-</v>
      </c>
      <c r="G2691" s="3">
        <v>1</v>
      </c>
      <c r="H2691" s="3"/>
    </row>
    <row r="2692" spans="1:8" hidden="1">
      <c r="A2692" s="3">
        <v>15523</v>
      </c>
      <c r="B2692" s="7" t="s">
        <v>289</v>
      </c>
      <c r="C2692" s="42">
        <v>450</v>
      </c>
      <c r="D2692" s="6">
        <v>45629</v>
      </c>
      <c r="E2692" s="3" t="str">
        <f ca="1">IF(Tabela2[[#This Row],[Dt Venc:]]&gt;TODAY(),"Em Aberto",IF(Tabela2[[#This Row],[D/venc]]="-","Enviado",IF(Tabela2[[#This Row],[Dt Venc:]]=TODAY(),"Vence Hoje","Vencida")))</f>
        <v>Enviado</v>
      </c>
      <c r="F2692" s="3" t="str">
        <f ca="1">IF(G2692=1,"-",Tabela2[[#This Row],[Dt Venc:]]-TODAY())</f>
        <v>-</v>
      </c>
      <c r="G2692" s="3">
        <v>1</v>
      </c>
      <c r="H2692" s="3"/>
    </row>
    <row r="2693" spans="1:8" hidden="1">
      <c r="A2693" s="3">
        <v>173504</v>
      </c>
      <c r="B2693" s="7" t="s">
        <v>72</v>
      </c>
      <c r="C2693" s="42">
        <v>893.34</v>
      </c>
      <c r="D2693" s="6">
        <v>45629</v>
      </c>
      <c r="E2693" s="3" t="str">
        <f ca="1">IF(Tabela2[[#This Row],[Dt Venc:]]&gt;TODAY(),"Em Aberto",IF(Tabela2[[#This Row],[D/venc]]="-","Enviado",IF(Tabela2[[#This Row],[Dt Venc:]]=TODAY(),"Vence Hoje","Vencida")))</f>
        <v>Enviado</v>
      </c>
      <c r="F2693" s="3" t="str">
        <f ca="1">IF(G2693=1,"-",Tabela2[[#This Row],[Dt Venc:]]-TODAY())</f>
        <v>-</v>
      </c>
      <c r="G2693" s="3">
        <v>1</v>
      </c>
      <c r="H2693" s="3"/>
    </row>
    <row r="2694" spans="1:8" hidden="1">
      <c r="A2694" s="3">
        <v>237096</v>
      </c>
      <c r="B2694" s="7" t="s">
        <v>43</v>
      </c>
      <c r="C2694" s="42">
        <v>1678.78</v>
      </c>
      <c r="D2694" s="6">
        <v>45629</v>
      </c>
      <c r="E2694" s="3" t="str">
        <f ca="1">IF(Tabela2[[#This Row],[Dt Venc:]]&gt;TODAY(),"Em Aberto",IF(Tabela2[[#This Row],[D/venc]]="-","Enviado",IF(Tabela2[[#This Row],[Dt Venc:]]=TODAY(),"Vence Hoje","Vencida")))</f>
        <v>Enviado</v>
      </c>
      <c r="F2694" s="3" t="str">
        <f ca="1">IF(G2694=1,"-",Tabela2[[#This Row],[Dt Venc:]]-TODAY())</f>
        <v>-</v>
      </c>
      <c r="G2694" s="3">
        <v>1</v>
      </c>
      <c r="H2694" s="3"/>
    </row>
    <row r="2695" spans="1:8" hidden="1">
      <c r="A2695" s="3">
        <v>181718</v>
      </c>
      <c r="B2695" s="7" t="s">
        <v>42</v>
      </c>
      <c r="C2695" s="42">
        <v>1289.94</v>
      </c>
      <c r="D2695" s="6">
        <v>45629</v>
      </c>
      <c r="E2695" s="3" t="str">
        <f ca="1">IF(Tabela2[[#This Row],[Dt Venc:]]&gt;TODAY(),"Em Aberto",IF(Tabela2[[#This Row],[D/venc]]="-","Enviado",IF(Tabela2[[#This Row],[Dt Venc:]]=TODAY(),"Vence Hoje","Vencida")))</f>
        <v>Enviado</v>
      </c>
      <c r="F2695" s="3" t="str">
        <f ca="1">IF(G2695=1,"-",Tabela2[[#This Row],[Dt Venc:]]-TODAY())</f>
        <v>-</v>
      </c>
      <c r="G2695" s="3">
        <v>1</v>
      </c>
      <c r="H2695" s="3"/>
    </row>
    <row r="2696" spans="1:8" hidden="1">
      <c r="A2696" s="3">
        <v>256781</v>
      </c>
      <c r="B2696" s="7" t="s">
        <v>49</v>
      </c>
      <c r="C2696" s="41">
        <v>1741.66</v>
      </c>
      <c r="D2696" s="6">
        <v>45629</v>
      </c>
      <c r="E2696" s="3" t="str">
        <f ca="1">IF(Tabela2[[#This Row],[Dt Venc:]]&gt;TODAY(),"Em Aberto",IF(Tabela2[[#This Row],[D/venc]]="-","Enviado",IF(Tabela2[[#This Row],[Dt Venc:]]=TODAY(),"Vence Hoje","Vencida")))</f>
        <v>Enviado</v>
      </c>
      <c r="F2696" s="3" t="str">
        <f ca="1">IF(G2696=1,"-",Tabela2[[#This Row],[Dt Venc:]]-TODAY())</f>
        <v>-</v>
      </c>
      <c r="G2696" s="3">
        <v>1</v>
      </c>
      <c r="H2696" s="3"/>
    </row>
    <row r="2697" spans="1:8" hidden="1">
      <c r="A2697" s="3">
        <v>257076</v>
      </c>
      <c r="B2697" s="7" t="s">
        <v>49</v>
      </c>
      <c r="C2697" s="41">
        <v>1393.34</v>
      </c>
      <c r="D2697" s="6">
        <v>45629</v>
      </c>
      <c r="E2697" s="3" t="str">
        <f ca="1">IF(Tabela2[[#This Row],[Dt Venc:]]&gt;TODAY(),"Em Aberto",IF(Tabela2[[#This Row],[D/venc]]="-","Enviado",IF(Tabela2[[#This Row],[Dt Venc:]]=TODAY(),"Vence Hoje","Vencida")))</f>
        <v>Enviado</v>
      </c>
      <c r="F2697" s="3" t="str">
        <f ca="1">IF(G2697=1,"-",Tabela2[[#This Row],[Dt Venc:]]-TODAY())</f>
        <v>-</v>
      </c>
      <c r="G2697" s="3">
        <v>1</v>
      </c>
      <c r="H2697" s="3"/>
    </row>
    <row r="2698" spans="1:8" hidden="1">
      <c r="A2698" s="3">
        <v>129738</v>
      </c>
      <c r="B2698" s="7" t="s">
        <v>472</v>
      </c>
      <c r="C2698" s="41">
        <v>370.94</v>
      </c>
      <c r="D2698" s="6">
        <v>45629</v>
      </c>
      <c r="E2698" s="3" t="str">
        <f ca="1">IF(Tabela2[[#This Row],[Dt Venc:]]&gt;TODAY(),"Em Aberto",IF(Tabela2[[#This Row],[D/venc]]="-","Enviado",IF(Tabela2[[#This Row],[Dt Venc:]]=TODAY(),"Vence Hoje","Vencida")))</f>
        <v>Enviado</v>
      </c>
      <c r="F2698" s="3" t="str">
        <f ca="1">IF(G2698=1,"-",Tabela2[[#This Row],[Dt Venc:]]-TODAY())</f>
        <v>-</v>
      </c>
      <c r="G2698" s="3">
        <v>1</v>
      </c>
      <c r="H2698" s="3"/>
    </row>
    <row r="2699" spans="1:8" hidden="1">
      <c r="A2699" s="3">
        <v>257347</v>
      </c>
      <c r="B2699" s="7" t="s">
        <v>49</v>
      </c>
      <c r="C2699" s="41">
        <v>1393.34</v>
      </c>
      <c r="D2699" s="6">
        <v>45629</v>
      </c>
      <c r="E2699" s="3" t="str">
        <f ca="1">IF(Tabela2[[#This Row],[Dt Venc:]]&gt;TODAY(),"Em Aberto",IF(Tabela2[[#This Row],[D/venc]]="-","Enviado",IF(Tabela2[[#This Row],[Dt Venc:]]=TODAY(),"Vence Hoje","Vencida")))</f>
        <v>Enviado</v>
      </c>
      <c r="F2699" s="3" t="str">
        <f ca="1">IF(G2699=1,"-",Tabela2[[#This Row],[Dt Venc:]]-TODAY())</f>
        <v>-</v>
      </c>
      <c r="G2699" s="3">
        <v>1</v>
      </c>
      <c r="H2699" s="3"/>
    </row>
    <row r="2700" spans="1:8" hidden="1">
      <c r="A2700" s="3">
        <v>29298</v>
      </c>
      <c r="B2700" s="7" t="s">
        <v>156</v>
      </c>
      <c r="C2700" s="41">
        <v>1090</v>
      </c>
      <c r="D2700" s="6">
        <v>45629</v>
      </c>
      <c r="E2700" s="3" t="str">
        <f ca="1">IF(Tabela2[[#This Row],[Dt Venc:]]&gt;TODAY(),"Em Aberto",IF(Tabela2[[#This Row],[D/venc]]="-","Enviado",IF(Tabela2[[#This Row],[Dt Venc:]]=TODAY(),"Vence Hoje","Vencida")))</f>
        <v>Enviado</v>
      </c>
      <c r="F2700" s="3" t="str">
        <f ca="1">IF(G2700=1,"-",Tabela2[[#This Row],[Dt Venc:]]-TODAY())</f>
        <v>-</v>
      </c>
      <c r="G2700" s="3">
        <v>1</v>
      </c>
      <c r="H2700" s="3"/>
    </row>
    <row r="2701" spans="1:8" hidden="1">
      <c r="A2701" s="3">
        <v>2691</v>
      </c>
      <c r="B2701" s="7" t="s">
        <v>198</v>
      </c>
      <c r="C2701" s="41">
        <v>400</v>
      </c>
      <c r="D2701" s="6">
        <v>45629</v>
      </c>
      <c r="E2701" s="3" t="str">
        <f ca="1">IF(Tabela2[[#This Row],[Dt Venc:]]&gt;TODAY(),"Em Aberto",IF(Tabela2[[#This Row],[D/venc]]="-","Enviado",IF(Tabela2[[#This Row],[Dt Venc:]]=TODAY(),"Vence Hoje","Vencida")))</f>
        <v>Enviado</v>
      </c>
      <c r="F2701" s="3" t="str">
        <f ca="1">IF(G2701=1,"-",Tabela2[[#This Row],[Dt Venc:]]-TODAY())</f>
        <v>-</v>
      </c>
      <c r="G2701" s="3">
        <v>1</v>
      </c>
      <c r="H2701" s="3"/>
    </row>
    <row r="2702" spans="1:8" hidden="1">
      <c r="A2702" s="3">
        <v>57380</v>
      </c>
      <c r="B2702" s="7" t="s">
        <v>496</v>
      </c>
      <c r="C2702" s="41">
        <v>462</v>
      </c>
      <c r="D2702" s="6">
        <v>45629</v>
      </c>
      <c r="E2702" s="3" t="str">
        <f ca="1">IF(Tabela2[[#This Row],[Dt Venc:]]&gt;TODAY(),"Em Aberto",IF(Tabela2[[#This Row],[D/venc]]="-","Enviado",IF(Tabela2[[#This Row],[Dt Venc:]]=TODAY(),"Vence Hoje","Vencida")))</f>
        <v>Enviado</v>
      </c>
      <c r="F2702" s="3" t="str">
        <f ca="1">IF(G2702=1,"-",Tabela2[[#This Row],[Dt Venc:]]-TODAY())</f>
        <v>-</v>
      </c>
      <c r="G2702" s="3">
        <v>1</v>
      </c>
      <c r="H2702" s="3"/>
    </row>
    <row r="2703" spans="1:8" hidden="1">
      <c r="A2703" s="3">
        <v>5339</v>
      </c>
      <c r="B2703" s="7" t="s">
        <v>134</v>
      </c>
      <c r="C2703" s="41">
        <v>850</v>
      </c>
      <c r="D2703" s="6">
        <v>45629</v>
      </c>
      <c r="E2703" s="3" t="str">
        <f ca="1">IF(Tabela2[[#This Row],[Dt Venc:]]&gt;TODAY(),"Em Aberto",IF(Tabela2[[#This Row],[D/venc]]="-","Enviado",IF(Tabela2[[#This Row],[Dt Venc:]]=TODAY(),"Vence Hoje","Vencida")))</f>
        <v>Enviado</v>
      </c>
      <c r="F2703" s="3" t="str">
        <f ca="1">IF(G2703=1,"-",Tabela2[[#This Row],[Dt Venc:]]-TODAY())</f>
        <v>-</v>
      </c>
      <c r="G2703" s="3">
        <v>1</v>
      </c>
      <c r="H2703" s="3"/>
    </row>
    <row r="2704" spans="1:8" hidden="1">
      <c r="A2704" s="3">
        <v>2268399</v>
      </c>
      <c r="B2704" s="7" t="s">
        <v>59</v>
      </c>
      <c r="C2704" s="41">
        <v>55562</v>
      </c>
      <c r="D2704" s="6">
        <v>45629</v>
      </c>
      <c r="E2704" s="3" t="str">
        <f ca="1">IF(Tabela2[[#This Row],[Dt Venc:]]&gt;TODAY(),"Em Aberto",IF(Tabela2[[#This Row],[D/venc]]="-","Enviado",IF(Tabela2[[#This Row],[Dt Venc:]]=TODAY(),"Vence Hoje","Vencida")))</f>
        <v>Enviado</v>
      </c>
      <c r="F2704" s="3" t="str">
        <f ca="1">IF(G2704=1,"-",Tabela2[[#This Row],[Dt Venc:]]-TODAY())</f>
        <v>-</v>
      </c>
      <c r="G2704" s="3">
        <v>1</v>
      </c>
      <c r="H2704" s="3"/>
    </row>
    <row r="2705" spans="1:8" hidden="1">
      <c r="A2705" s="3">
        <v>1996083</v>
      </c>
      <c r="B2705" s="7" t="s">
        <v>59</v>
      </c>
      <c r="C2705" s="41">
        <v>109690</v>
      </c>
      <c r="D2705" s="6">
        <v>45629</v>
      </c>
      <c r="E2705" s="3" t="str">
        <f ca="1">IF(Tabela2[[#This Row],[Dt Venc:]]&gt;TODAY(),"Em Aberto",IF(Tabela2[[#This Row],[D/venc]]="-","Enviado",IF(Tabela2[[#This Row],[Dt Venc:]]=TODAY(),"Vence Hoje","Vencida")))</f>
        <v>Enviado</v>
      </c>
      <c r="F2705" s="3" t="str">
        <f ca="1">IF(G2705=1,"-",Tabela2[[#This Row],[Dt Venc:]]-TODAY())</f>
        <v>-</v>
      </c>
      <c r="G2705" s="3">
        <v>1</v>
      </c>
      <c r="H2705" s="3"/>
    </row>
    <row r="2706" spans="1:8" hidden="1">
      <c r="A2706" s="3">
        <v>6492</v>
      </c>
      <c r="B2706" s="7" t="s">
        <v>291</v>
      </c>
      <c r="C2706" s="41">
        <v>5872.5</v>
      </c>
      <c r="D2706" s="6">
        <v>45629</v>
      </c>
      <c r="E2706" s="3" t="str">
        <f ca="1">IF(Tabela2[[#This Row],[Dt Venc:]]&gt;TODAY(),"Em Aberto",IF(Tabela2[[#This Row],[D/venc]]="-","Enviado",IF(Tabela2[[#This Row],[Dt Venc:]]=TODAY(),"Vence Hoje","Vencida")))</f>
        <v>Enviado</v>
      </c>
      <c r="F2706" s="3" t="str">
        <f ca="1">IF(G2706=1,"-",Tabela2[[#This Row],[Dt Venc:]]-TODAY())</f>
        <v>-</v>
      </c>
      <c r="G2706" s="3">
        <v>1</v>
      </c>
      <c r="H2706" s="3"/>
    </row>
    <row r="2707" spans="1:8" hidden="1">
      <c r="A2707" s="3">
        <v>3312467</v>
      </c>
      <c r="B2707" s="7" t="s">
        <v>71</v>
      </c>
      <c r="C2707" s="41">
        <v>82623</v>
      </c>
      <c r="D2707" s="6">
        <v>45629</v>
      </c>
      <c r="E2707" s="3" t="str">
        <f ca="1">IF(Tabela2[[#This Row],[Dt Venc:]]&gt;TODAY(),"Em Aberto",IF(Tabela2[[#This Row],[D/venc]]="-","Enviado",IF(Tabela2[[#This Row],[Dt Venc:]]=TODAY(),"Vence Hoje","Vencida")))</f>
        <v>Enviado</v>
      </c>
      <c r="F2707" s="3" t="str">
        <f ca="1">IF(G2707=1,"-",Tabela2[[#This Row],[Dt Venc:]]-TODAY())</f>
        <v>-</v>
      </c>
      <c r="G2707" s="3">
        <v>1</v>
      </c>
      <c r="H2707" s="3"/>
    </row>
    <row r="2708" spans="1:8" hidden="1">
      <c r="A2708" s="3">
        <v>141867</v>
      </c>
      <c r="B2708" s="7" t="s">
        <v>60</v>
      </c>
      <c r="C2708" s="41">
        <v>390</v>
      </c>
      <c r="D2708" s="6">
        <v>45629</v>
      </c>
      <c r="E2708" s="3" t="str">
        <f ca="1">IF(Tabela2[[#This Row],[Dt Venc:]]&gt;TODAY(),"Em Aberto",IF(Tabela2[[#This Row],[D/venc]]="-","Enviado",IF(Tabela2[[#This Row],[Dt Venc:]]=TODAY(),"Vence Hoje","Vencida")))</f>
        <v>Enviado</v>
      </c>
      <c r="F2708" s="3" t="str">
        <f ca="1">IF(G2708=1,"-",Tabela2[[#This Row],[Dt Venc:]]-TODAY())</f>
        <v>-</v>
      </c>
      <c r="G2708" s="3">
        <v>1</v>
      </c>
      <c r="H2708" s="3"/>
    </row>
    <row r="2709" spans="1:8" hidden="1">
      <c r="A2709" s="3">
        <v>141866</v>
      </c>
      <c r="B2709" s="7" t="s">
        <v>60</v>
      </c>
      <c r="C2709" s="41">
        <v>390</v>
      </c>
      <c r="D2709" s="6">
        <v>45629</v>
      </c>
      <c r="E2709" s="3" t="str">
        <f ca="1">IF(Tabela2[[#This Row],[Dt Venc:]]&gt;TODAY(),"Em Aberto",IF(Tabela2[[#This Row],[D/venc]]="-","Enviado",IF(Tabela2[[#This Row],[Dt Venc:]]=TODAY(),"Vence Hoje","Vencida")))</f>
        <v>Enviado</v>
      </c>
      <c r="F2709" s="3" t="str">
        <f ca="1">IF(G2709=1,"-",Tabela2[[#This Row],[Dt Venc:]]-TODAY())</f>
        <v>-</v>
      </c>
      <c r="G2709" s="3">
        <v>1</v>
      </c>
      <c r="H2709" s="3"/>
    </row>
    <row r="2710" spans="1:8" hidden="1">
      <c r="A2710" s="3">
        <v>6</v>
      </c>
      <c r="B2710" s="7" t="s">
        <v>497</v>
      </c>
      <c r="C2710" s="41">
        <v>2863.18</v>
      </c>
      <c r="D2710" s="6">
        <v>45629</v>
      </c>
      <c r="E2710" s="3" t="str">
        <f ca="1">IF(Tabela2[[#This Row],[Dt Venc:]]&gt;TODAY(),"Em Aberto",IF(Tabela2[[#This Row],[D/venc]]="-","Enviado",IF(Tabela2[[#This Row],[Dt Venc:]]=TODAY(),"Vence Hoje","Vencida")))</f>
        <v>Enviado</v>
      </c>
      <c r="F2710" s="3" t="str">
        <f ca="1">IF(G2710=1,"-",Tabela2[[#This Row],[Dt Venc:]]-TODAY())</f>
        <v>-</v>
      </c>
      <c r="G2710" s="3">
        <v>1</v>
      </c>
      <c r="H2710" s="3"/>
    </row>
    <row r="2711" spans="1:8" hidden="1">
      <c r="A2711" s="3">
        <v>29042</v>
      </c>
      <c r="B2711" s="7" t="s">
        <v>97</v>
      </c>
      <c r="C2711" s="42">
        <v>3285</v>
      </c>
      <c r="D2711" s="6">
        <v>45630</v>
      </c>
      <c r="E2711" s="3" t="str">
        <f ca="1">IF(Tabela2[[#This Row],[Dt Venc:]]&gt;TODAY(),"Em Aberto",IF(Tabela2[[#This Row],[D/venc]]="-","Enviado",IF(Tabela2[[#This Row],[Dt Venc:]]=TODAY(),"Vence Hoje","Vencida")))</f>
        <v>Enviado</v>
      </c>
      <c r="F2711" s="3" t="str">
        <f ca="1">IF(G2711=1,"-",Tabela2[[#This Row],[Dt Venc:]]-TODAY())</f>
        <v>-</v>
      </c>
      <c r="G2711" s="3">
        <v>1</v>
      </c>
      <c r="H2711" s="3"/>
    </row>
    <row r="2712" spans="1:8" hidden="1">
      <c r="A2712" s="3">
        <v>367026</v>
      </c>
      <c r="B2712" s="7" t="s">
        <v>65</v>
      </c>
      <c r="C2712" s="42">
        <v>1366.31</v>
      </c>
      <c r="D2712" s="6">
        <v>45630</v>
      </c>
      <c r="E2712" s="3" t="str">
        <f ca="1">IF(Tabela2[[#This Row],[Dt Venc:]]&gt;TODAY(),"Em Aberto",IF(Tabela2[[#This Row],[D/venc]]="-","Enviado",IF(Tabela2[[#This Row],[Dt Venc:]]=TODAY(),"Vence Hoje","Vencida")))</f>
        <v>Enviado</v>
      </c>
      <c r="F2712" s="3" t="str">
        <f ca="1">IF(G2712=1,"-",Tabela2[[#This Row],[Dt Venc:]]-TODAY())</f>
        <v>-</v>
      </c>
      <c r="G2712" s="3">
        <v>1</v>
      </c>
      <c r="H2712" s="3"/>
    </row>
    <row r="2713" spans="1:8" hidden="1">
      <c r="A2713" s="3">
        <v>5795</v>
      </c>
      <c r="B2713" s="7" t="s">
        <v>140</v>
      </c>
      <c r="C2713" s="42">
        <v>1101.5999999999999</v>
      </c>
      <c r="D2713" s="6">
        <v>45630</v>
      </c>
      <c r="E2713" s="3" t="str">
        <f ca="1">IF(Tabela2[[#This Row],[Dt Venc:]]&gt;TODAY(),"Em Aberto",IF(Tabela2[[#This Row],[D/venc]]="-","Enviado",IF(Tabela2[[#This Row],[Dt Venc:]]=TODAY(),"Vence Hoje","Vencida")))</f>
        <v>Enviado</v>
      </c>
      <c r="F2713" s="3" t="str">
        <f ca="1">IF(G2713=1,"-",Tabela2[[#This Row],[Dt Venc:]]-TODAY())</f>
        <v>-</v>
      </c>
      <c r="G2713" s="3">
        <v>1</v>
      </c>
      <c r="H2713" s="3"/>
    </row>
    <row r="2714" spans="1:8" hidden="1">
      <c r="A2714" s="3">
        <v>6</v>
      </c>
      <c r="B2714" s="7" t="s">
        <v>103</v>
      </c>
      <c r="C2714" s="42">
        <v>396.66</v>
      </c>
      <c r="D2714" s="6">
        <v>45630</v>
      </c>
      <c r="E2714" s="3" t="str">
        <f ca="1">IF(Tabela2[[#This Row],[Dt Venc:]]&gt;TODAY(),"Em Aberto",IF(Tabela2[[#This Row],[D/venc]]="-","Enviado",IF(Tabela2[[#This Row],[Dt Venc:]]=TODAY(),"Vence Hoje","Vencida")))</f>
        <v>Enviado</v>
      </c>
      <c r="F2714" s="3" t="str">
        <f ca="1">IF(G2714=1,"-",Tabela2[[#This Row],[Dt Venc:]]-TODAY())</f>
        <v>-</v>
      </c>
      <c r="G2714" s="3">
        <v>1</v>
      </c>
      <c r="H2714" s="3"/>
    </row>
    <row r="2715" spans="1:8" hidden="1">
      <c r="A2715" s="3">
        <v>18050</v>
      </c>
      <c r="B2715" s="7" t="s">
        <v>115</v>
      </c>
      <c r="C2715" s="42">
        <v>6080</v>
      </c>
      <c r="D2715" s="6">
        <v>45630</v>
      </c>
      <c r="E2715" s="3" t="str">
        <f ca="1">IF(Tabela2[[#This Row],[Dt Venc:]]&gt;TODAY(),"Em Aberto",IF(Tabela2[[#This Row],[D/venc]]="-","Enviado",IF(Tabela2[[#This Row],[Dt Venc:]]=TODAY(),"Vence Hoje","Vencida")))</f>
        <v>Enviado</v>
      </c>
      <c r="F2715" s="3" t="str">
        <f ca="1">IF(G2715=1,"-",Tabela2[[#This Row],[Dt Venc:]]-TODAY())</f>
        <v>-</v>
      </c>
      <c r="G2715" s="3">
        <v>1</v>
      </c>
      <c r="H2715" s="3"/>
    </row>
    <row r="2716" spans="1:8" hidden="1">
      <c r="A2716" s="3">
        <v>300931</v>
      </c>
      <c r="B2716" s="7" t="s">
        <v>63</v>
      </c>
      <c r="C2716" s="42">
        <v>1228.94</v>
      </c>
      <c r="D2716" s="6">
        <v>45630</v>
      </c>
      <c r="E2716" s="3" t="str">
        <f ca="1">IF(Tabela2[[#This Row],[Dt Venc:]]&gt;TODAY(),"Em Aberto",IF(Tabela2[[#This Row],[D/venc]]="-","Enviado",IF(Tabela2[[#This Row],[Dt Venc:]]=TODAY(),"Vence Hoje","Vencida")))</f>
        <v>Enviado</v>
      </c>
      <c r="F2716" s="3" t="str">
        <f ca="1">IF(G2716=1,"-",Tabela2[[#This Row],[Dt Venc:]]-TODAY())</f>
        <v>-</v>
      </c>
      <c r="G2716" s="3">
        <v>1</v>
      </c>
      <c r="H2716" s="3"/>
    </row>
    <row r="2717" spans="1:8" hidden="1">
      <c r="A2717" s="3">
        <v>10725</v>
      </c>
      <c r="B2717" s="7" t="s">
        <v>33</v>
      </c>
      <c r="C2717" s="42">
        <v>3125</v>
      </c>
      <c r="D2717" s="6">
        <v>45630</v>
      </c>
      <c r="E2717" s="3" t="str">
        <f ca="1">IF(Tabela2[[#This Row],[Dt Venc:]]&gt;TODAY(),"Em Aberto",IF(Tabela2[[#This Row],[D/venc]]="-","Enviado",IF(Tabela2[[#This Row],[Dt Venc:]]=TODAY(),"Vence Hoje","Vencida")))</f>
        <v>Enviado</v>
      </c>
      <c r="F2717" s="3" t="str">
        <f ca="1">IF(G2717=1,"-",Tabela2[[#This Row],[Dt Venc:]]-TODAY())</f>
        <v>-</v>
      </c>
      <c r="G2717" s="3">
        <v>1</v>
      </c>
      <c r="H2717" s="3"/>
    </row>
    <row r="2718" spans="1:8" hidden="1">
      <c r="A2718" s="3">
        <v>12</v>
      </c>
      <c r="B2718" s="7" t="s">
        <v>103</v>
      </c>
      <c r="C2718" s="42">
        <v>930</v>
      </c>
      <c r="D2718" s="6">
        <v>45630</v>
      </c>
      <c r="E2718" s="3" t="str">
        <f ca="1">IF(Tabela2[[#This Row],[Dt Venc:]]&gt;TODAY(),"Em Aberto",IF(Tabela2[[#This Row],[D/venc]]="-","Enviado",IF(Tabela2[[#This Row],[Dt Venc:]]=TODAY(),"Vence Hoje","Vencida")))</f>
        <v>Enviado</v>
      </c>
      <c r="F2718" s="3" t="str">
        <f ca="1">IF(G2718=1,"-",Tabela2[[#This Row],[Dt Venc:]]-TODAY())</f>
        <v>-</v>
      </c>
      <c r="G2718" s="3">
        <v>1</v>
      </c>
      <c r="H2718" s="3"/>
    </row>
    <row r="2719" spans="1:8" hidden="1">
      <c r="A2719" s="3">
        <v>237654</v>
      </c>
      <c r="B2719" s="7" t="s">
        <v>43</v>
      </c>
      <c r="C2719" s="42">
        <v>495.5</v>
      </c>
      <c r="D2719" s="6">
        <v>45630</v>
      </c>
      <c r="E2719" s="3" t="str">
        <f ca="1">IF(Tabela2[[#This Row],[Dt Venc:]]&gt;TODAY(),"Em Aberto",IF(Tabela2[[#This Row],[D/venc]]="-","Enviado",IF(Tabela2[[#This Row],[Dt Venc:]]=TODAY(),"Vence Hoje","Vencida")))</f>
        <v>Enviado</v>
      </c>
      <c r="F2719" s="3" t="str">
        <f ca="1">IF(G2719=1,"-",Tabela2[[#This Row],[Dt Venc:]]-TODAY())</f>
        <v>-</v>
      </c>
      <c r="G2719" s="3">
        <v>1</v>
      </c>
      <c r="H2719" s="3"/>
    </row>
    <row r="2720" spans="1:8" hidden="1">
      <c r="A2720" s="3">
        <v>2773</v>
      </c>
      <c r="B2720" s="7" t="s">
        <v>58</v>
      </c>
      <c r="C2720" s="42">
        <v>749.07</v>
      </c>
      <c r="D2720" s="6">
        <v>45630</v>
      </c>
      <c r="E2720" s="3" t="str">
        <f ca="1">IF(Tabela2[[#This Row],[Dt Venc:]]&gt;TODAY(),"Em Aberto",IF(Tabela2[[#This Row],[D/venc]]="-","Enviado",IF(Tabela2[[#This Row],[Dt Venc:]]=TODAY(),"Vence Hoje","Vencida")))</f>
        <v>Enviado</v>
      </c>
      <c r="F2720" s="3" t="str">
        <f ca="1">IF(G2720=1,"-",Tabela2[[#This Row],[Dt Venc:]]-TODAY())</f>
        <v>-</v>
      </c>
      <c r="G2720" s="3">
        <v>1</v>
      </c>
      <c r="H2720" s="3"/>
    </row>
    <row r="2721" spans="1:8" hidden="1">
      <c r="A2721" s="3">
        <v>237128</v>
      </c>
      <c r="B2721" s="7" t="s">
        <v>43</v>
      </c>
      <c r="C2721" s="42">
        <v>1374.3</v>
      </c>
      <c r="D2721" s="6">
        <v>45630</v>
      </c>
      <c r="E2721" s="3" t="str">
        <f ca="1">IF(Tabela2[[#This Row],[Dt Venc:]]&gt;TODAY(),"Em Aberto",IF(Tabela2[[#This Row],[D/venc]]="-","Enviado",IF(Tabela2[[#This Row],[Dt Venc:]]=TODAY(),"Vence Hoje","Vencida")))</f>
        <v>Enviado</v>
      </c>
      <c r="F2721" s="3" t="str">
        <f ca="1">IF(G2721=1,"-",Tabela2[[#This Row],[Dt Venc:]]-TODAY())</f>
        <v>-</v>
      </c>
      <c r="G2721" s="3">
        <v>1</v>
      </c>
      <c r="H2721" s="3"/>
    </row>
    <row r="2722" spans="1:8" hidden="1">
      <c r="A2722" s="3">
        <v>4527</v>
      </c>
      <c r="B2722" s="7" t="s">
        <v>404</v>
      </c>
      <c r="C2722" s="42">
        <v>534.5</v>
      </c>
      <c r="D2722" s="6">
        <v>45630</v>
      </c>
      <c r="E2722" s="3" t="str">
        <f ca="1">IF(Tabela2[[#This Row],[Dt Venc:]]&gt;TODAY(),"Em Aberto",IF(Tabela2[[#This Row],[D/venc]]="-","Enviado",IF(Tabela2[[#This Row],[Dt Venc:]]=TODAY(),"Vence Hoje","Vencida")))</f>
        <v>Enviado</v>
      </c>
      <c r="F2722" s="3" t="str">
        <f ca="1">IF(G2722=1,"-",Tabela2[[#This Row],[Dt Venc:]]-TODAY())</f>
        <v>-</v>
      </c>
      <c r="G2722" s="3">
        <v>1</v>
      </c>
      <c r="H2722" s="3"/>
    </row>
    <row r="2723" spans="1:8" hidden="1">
      <c r="A2723" s="3">
        <v>4929</v>
      </c>
      <c r="B2723" s="7" t="s">
        <v>62</v>
      </c>
      <c r="C2723" s="42">
        <v>1140</v>
      </c>
      <c r="D2723" s="6">
        <v>45630</v>
      </c>
      <c r="E2723" s="3" t="str">
        <f ca="1">IF(Tabela2[[#This Row],[Dt Venc:]]&gt;TODAY(),"Em Aberto",IF(Tabela2[[#This Row],[D/venc]]="-","Enviado",IF(Tabela2[[#This Row],[Dt Venc:]]=TODAY(),"Vence Hoje","Vencida")))</f>
        <v>Enviado</v>
      </c>
      <c r="F2723" s="3" t="str">
        <f ca="1">IF(G2723=1,"-",Tabela2[[#This Row],[Dt Venc:]]-TODAY())</f>
        <v>-</v>
      </c>
      <c r="G2723" s="3">
        <v>1</v>
      </c>
      <c r="H2723" s="3"/>
    </row>
    <row r="2724" spans="1:8" hidden="1">
      <c r="A2724" s="3">
        <v>67</v>
      </c>
      <c r="B2724" s="7" t="s">
        <v>451</v>
      </c>
      <c r="C2724" s="41">
        <v>44</v>
      </c>
      <c r="D2724" s="6">
        <v>45630</v>
      </c>
      <c r="E2724" s="3" t="str">
        <f ca="1">IF(Tabela2[[#This Row],[Dt Venc:]]&gt;TODAY(),"Em Aberto",IF(Tabela2[[#This Row],[D/venc]]="-","Enviado",IF(Tabela2[[#This Row],[Dt Venc:]]=TODAY(),"Vence Hoje","Vencida")))</f>
        <v>Enviado</v>
      </c>
      <c r="F2724" s="3" t="str">
        <f ca="1">IF(G2724=1,"-",Tabela2[[#This Row],[Dt Venc:]]-TODAY())</f>
        <v>-</v>
      </c>
      <c r="G2724" s="3">
        <v>1</v>
      </c>
      <c r="H2724" s="3"/>
    </row>
    <row r="2725" spans="1:8" hidden="1">
      <c r="A2725" s="3">
        <v>154106</v>
      </c>
      <c r="B2725" s="7" t="s">
        <v>77</v>
      </c>
      <c r="C2725" s="41">
        <v>773.33</v>
      </c>
      <c r="D2725" s="6">
        <v>45630</v>
      </c>
      <c r="E2725" s="3" t="str">
        <f ca="1">IF(Tabela2[[#This Row],[Dt Venc:]]&gt;TODAY(),"Em Aberto",IF(Tabela2[[#This Row],[D/venc]]="-","Enviado",IF(Tabela2[[#This Row],[Dt Venc:]]=TODAY(),"Vence Hoje","Vencida")))</f>
        <v>Enviado</v>
      </c>
      <c r="F2725" s="3" t="str">
        <f ca="1">IF(G2725=1,"-",Tabela2[[#This Row],[Dt Venc:]]-TODAY())</f>
        <v>-</v>
      </c>
      <c r="G2725" s="3">
        <v>1</v>
      </c>
      <c r="H2725" s="3"/>
    </row>
    <row r="2726" spans="1:8" hidden="1">
      <c r="A2726" s="3">
        <v>154104</v>
      </c>
      <c r="B2726" s="7" t="s">
        <v>77</v>
      </c>
      <c r="C2726" s="41">
        <v>433.33</v>
      </c>
      <c r="D2726" s="6">
        <v>45630</v>
      </c>
      <c r="E2726" s="3" t="str">
        <f ca="1">IF(Tabela2[[#This Row],[Dt Venc:]]&gt;TODAY(),"Em Aberto",IF(Tabela2[[#This Row],[D/venc]]="-","Enviado",IF(Tabela2[[#This Row],[Dt Venc:]]=TODAY(),"Vence Hoje","Vencida")))</f>
        <v>Enviado</v>
      </c>
      <c r="F2726" s="3" t="str">
        <f ca="1">IF(G2726=1,"-",Tabela2[[#This Row],[Dt Venc:]]-TODAY())</f>
        <v>-</v>
      </c>
      <c r="G2726" s="3">
        <v>1</v>
      </c>
      <c r="H2726" s="3"/>
    </row>
    <row r="2727" spans="1:8" hidden="1">
      <c r="A2727" s="3">
        <v>6296</v>
      </c>
      <c r="B2727" s="7" t="s">
        <v>498</v>
      </c>
      <c r="C2727" s="41">
        <v>7755</v>
      </c>
      <c r="D2727" s="6">
        <v>45630</v>
      </c>
      <c r="E2727" s="3" t="str">
        <f ca="1">IF(Tabela2[[#This Row],[Dt Venc:]]&gt;TODAY(),"Em Aberto",IF(Tabela2[[#This Row],[D/venc]]="-","Enviado",IF(Tabela2[[#This Row],[Dt Venc:]]=TODAY(),"Vence Hoje","Vencida")))</f>
        <v>Enviado</v>
      </c>
      <c r="F2727" s="3" t="str">
        <f ca="1">IF(G2727=1,"-",Tabela2[[#This Row],[Dt Venc:]]-TODAY())</f>
        <v>-</v>
      </c>
      <c r="G2727" s="3">
        <v>1</v>
      </c>
      <c r="H2727" s="3"/>
    </row>
    <row r="2728" spans="1:8" hidden="1">
      <c r="A2728" s="3">
        <v>17207</v>
      </c>
      <c r="B2728" s="7" t="s">
        <v>499</v>
      </c>
      <c r="C2728" s="41">
        <v>2126.89</v>
      </c>
      <c r="D2728" s="6">
        <v>45630</v>
      </c>
      <c r="E2728" s="3" t="str">
        <f ca="1">IF(Tabela2[[#This Row],[Dt Venc:]]&gt;TODAY(),"Em Aberto",IF(Tabela2[[#This Row],[D/venc]]="-","Enviado",IF(Tabela2[[#This Row],[Dt Venc:]]=TODAY(),"Vence Hoje","Vencida")))</f>
        <v>Enviado</v>
      </c>
      <c r="F2728" s="3" t="str">
        <f ca="1">IF(G2728=1,"-",Tabela2[[#This Row],[Dt Venc:]]-TODAY())</f>
        <v>-</v>
      </c>
      <c r="G2728" s="3">
        <v>1</v>
      </c>
      <c r="H2728" s="3"/>
    </row>
    <row r="2729" spans="1:8" hidden="1">
      <c r="A2729" s="3">
        <v>485137</v>
      </c>
      <c r="B2729" s="7" t="s">
        <v>500</v>
      </c>
      <c r="C2729" s="41">
        <v>2165</v>
      </c>
      <c r="D2729" s="6">
        <v>45630</v>
      </c>
      <c r="E2729" s="3" t="str">
        <f ca="1">IF(Tabela2[[#This Row],[Dt Venc:]]&gt;TODAY(),"Em Aberto",IF(Tabela2[[#This Row],[D/venc]]="-","Enviado",IF(Tabela2[[#This Row],[Dt Venc:]]=TODAY(),"Vence Hoje","Vencida")))</f>
        <v>Enviado</v>
      </c>
      <c r="F2729" s="3" t="str">
        <f ca="1">IF(G2729=1,"-",Tabela2[[#This Row],[Dt Venc:]]-TODAY())</f>
        <v>-</v>
      </c>
      <c r="G2729" s="3">
        <v>1</v>
      </c>
      <c r="H2729" s="3"/>
    </row>
    <row r="2730" spans="1:8" hidden="1">
      <c r="A2730" s="3">
        <v>19756</v>
      </c>
      <c r="B2730" s="7" t="s">
        <v>41</v>
      </c>
      <c r="C2730" s="41">
        <v>700</v>
      </c>
      <c r="D2730" s="6">
        <v>45630</v>
      </c>
      <c r="E2730" s="3" t="str">
        <f ca="1">IF(Tabela2[[#This Row],[Dt Venc:]]&gt;TODAY(),"Em Aberto",IF(Tabela2[[#This Row],[D/venc]]="-","Enviado",IF(Tabela2[[#This Row],[Dt Venc:]]=TODAY(),"Vence Hoje","Vencida")))</f>
        <v>Enviado</v>
      </c>
      <c r="F2730" s="3" t="str">
        <f ca="1">IF(G2730=1,"-",Tabela2[[#This Row],[Dt Venc:]]-TODAY())</f>
        <v>-</v>
      </c>
      <c r="G2730" s="3">
        <v>1</v>
      </c>
      <c r="H2730" s="3"/>
    </row>
    <row r="2731" spans="1:8" hidden="1">
      <c r="A2731" s="3">
        <v>6101</v>
      </c>
      <c r="B2731" s="7" t="s">
        <v>47</v>
      </c>
      <c r="C2731" s="41">
        <v>577.87</v>
      </c>
      <c r="D2731" s="6">
        <v>45630</v>
      </c>
      <c r="E2731" s="3" t="str">
        <f ca="1">IF(Tabela2[[#This Row],[Dt Venc:]]&gt;TODAY(),"Em Aberto",IF(Tabela2[[#This Row],[D/venc]]="-","Enviado",IF(Tabela2[[#This Row],[Dt Venc:]]=TODAY(),"Vence Hoje","Vencida")))</f>
        <v>Enviado</v>
      </c>
      <c r="F2731" s="3" t="str">
        <f ca="1">IF(G2731=1,"-",Tabela2[[#This Row],[Dt Venc:]]-TODAY())</f>
        <v>-</v>
      </c>
      <c r="G2731" s="3">
        <v>1</v>
      </c>
      <c r="H2731" s="3"/>
    </row>
    <row r="2732" spans="1:8" hidden="1">
      <c r="A2732" s="3">
        <v>6013</v>
      </c>
      <c r="B2732" s="7" t="s">
        <v>140</v>
      </c>
      <c r="C2732" s="41">
        <v>533</v>
      </c>
      <c r="D2732" s="6">
        <v>45630</v>
      </c>
      <c r="E2732" s="3" t="str">
        <f ca="1">IF(Tabela2[[#This Row],[Dt Venc:]]&gt;TODAY(),"Em Aberto",IF(Tabela2[[#This Row],[D/venc]]="-","Enviado",IF(Tabela2[[#This Row],[Dt Venc:]]=TODAY(),"Vence Hoje","Vencida")))</f>
        <v>Enviado</v>
      </c>
      <c r="F2732" s="3" t="str">
        <f ca="1">IF(G2732=1,"-",Tabela2[[#This Row],[Dt Venc:]]-TODAY())</f>
        <v>-</v>
      </c>
      <c r="G2732" s="3">
        <v>1</v>
      </c>
      <c r="H2732" s="3"/>
    </row>
    <row r="2733" spans="1:8" hidden="1">
      <c r="A2733" s="3">
        <v>15697</v>
      </c>
      <c r="B2733" s="7" t="s">
        <v>289</v>
      </c>
      <c r="C2733" s="41">
        <v>450</v>
      </c>
      <c r="D2733" s="6">
        <v>45630</v>
      </c>
      <c r="E2733" s="3" t="str">
        <f ca="1">IF(Tabela2[[#This Row],[Dt Venc:]]&gt;TODAY(),"Em Aberto",IF(Tabela2[[#This Row],[D/venc]]="-","Enviado",IF(Tabela2[[#This Row],[Dt Venc:]]=TODAY(),"Vence Hoje","Vencida")))</f>
        <v>Enviado</v>
      </c>
      <c r="F2733" s="3" t="str">
        <f ca="1">IF(G2733=1,"-",Tabela2[[#This Row],[Dt Venc:]]-TODAY())</f>
        <v>-</v>
      </c>
      <c r="G2733" s="3">
        <v>1</v>
      </c>
      <c r="H2733" s="3"/>
    </row>
    <row r="2734" spans="1:8" hidden="1">
      <c r="A2734" s="3">
        <v>38191</v>
      </c>
      <c r="B2734" s="7" t="s">
        <v>70</v>
      </c>
      <c r="C2734" s="41">
        <v>745.44</v>
      </c>
      <c r="D2734" s="6">
        <v>45630</v>
      </c>
      <c r="E2734" s="3" t="str">
        <f ca="1">IF(Tabela2[[#This Row],[Dt Venc:]]&gt;TODAY(),"Em Aberto",IF(Tabela2[[#This Row],[D/venc]]="-","Enviado",IF(Tabela2[[#This Row],[Dt Venc:]]=TODAY(),"Vence Hoje","Vencida")))</f>
        <v>Enviado</v>
      </c>
      <c r="F2734" s="3" t="str">
        <f ca="1">IF(G2734=1,"-",Tabela2[[#This Row],[Dt Venc:]]-TODAY())</f>
        <v>-</v>
      </c>
      <c r="G2734" s="3">
        <v>1</v>
      </c>
      <c r="H2734" s="3"/>
    </row>
    <row r="2735" spans="1:8" hidden="1">
      <c r="A2735" s="3">
        <v>72804</v>
      </c>
      <c r="B2735" s="7" t="s">
        <v>76</v>
      </c>
      <c r="C2735" s="41">
        <v>1513.48</v>
      </c>
      <c r="D2735" s="6">
        <v>45630</v>
      </c>
      <c r="E2735" s="3" t="str">
        <f ca="1">IF(Tabela2[[#This Row],[Dt Venc:]]&gt;TODAY(),"Em Aberto",IF(Tabela2[[#This Row],[D/venc]]="-","Enviado",IF(Tabela2[[#This Row],[Dt Venc:]]=TODAY(),"Vence Hoje","Vencida")))</f>
        <v>Enviado</v>
      </c>
      <c r="F2735" s="3" t="str">
        <f ca="1">IF(G2735=1,"-",Tabela2[[#This Row],[Dt Venc:]]-TODAY())</f>
        <v>-</v>
      </c>
      <c r="G2735" s="3">
        <v>1</v>
      </c>
      <c r="H2735" s="3"/>
    </row>
    <row r="2736" spans="1:8" hidden="1">
      <c r="A2736" s="3">
        <v>92796</v>
      </c>
      <c r="B2736" s="7" t="s">
        <v>212</v>
      </c>
      <c r="C2736" s="41">
        <v>998</v>
      </c>
      <c r="D2736" s="6">
        <v>45630</v>
      </c>
      <c r="E2736" s="3" t="str">
        <f ca="1">IF(Tabela2[[#This Row],[Dt Venc:]]&gt;TODAY(),"Em Aberto",IF(Tabela2[[#This Row],[D/venc]]="-","Enviado",IF(Tabela2[[#This Row],[Dt Venc:]]=TODAY(),"Vence Hoje","Vencida")))</f>
        <v>Enviado</v>
      </c>
      <c r="F2736" s="3" t="str">
        <f ca="1">IF(G2736=1,"-",Tabela2[[#This Row],[Dt Venc:]]-TODAY())</f>
        <v>-</v>
      </c>
      <c r="G2736" s="3">
        <v>1</v>
      </c>
      <c r="H2736" s="3"/>
    </row>
    <row r="2737" spans="1:8" hidden="1">
      <c r="A2737" s="3">
        <v>11108</v>
      </c>
      <c r="B2737" s="7" t="s">
        <v>305</v>
      </c>
      <c r="C2737" s="41">
        <v>1976.6</v>
      </c>
      <c r="D2737" s="6">
        <v>45630</v>
      </c>
      <c r="E2737" s="3" t="str">
        <f ca="1">IF(Tabela2[[#This Row],[Dt Venc:]]&gt;TODAY(),"Em Aberto",IF(Tabela2[[#This Row],[D/venc]]="-","Enviado",IF(Tabela2[[#This Row],[Dt Venc:]]=TODAY(),"Vence Hoje","Vencida")))</f>
        <v>Enviado</v>
      </c>
      <c r="F2737" s="3" t="str">
        <f ca="1">IF(G2737=1,"-",Tabela2[[#This Row],[Dt Venc:]]-TODAY())</f>
        <v>-</v>
      </c>
      <c r="G2737" s="3">
        <v>1</v>
      </c>
      <c r="H2737" s="3"/>
    </row>
    <row r="2738" spans="1:8" hidden="1">
      <c r="A2738" s="3">
        <v>28</v>
      </c>
      <c r="B2738" s="7" t="s">
        <v>103</v>
      </c>
      <c r="C2738" s="41">
        <v>1400</v>
      </c>
      <c r="D2738" s="6">
        <v>45630</v>
      </c>
      <c r="E2738" s="3" t="str">
        <f ca="1">IF(Tabela2[[#This Row],[Dt Venc:]]&gt;TODAY(),"Em Aberto",IF(Tabela2[[#This Row],[D/venc]]="-","Enviado",IF(Tabela2[[#This Row],[Dt Venc:]]=TODAY(),"Vence Hoje","Vencida")))</f>
        <v>Enviado</v>
      </c>
      <c r="F2738" s="3" t="str">
        <f ca="1">IF(G2738=1,"-",Tabela2[[#This Row],[Dt Venc:]]-TODAY())</f>
        <v>-</v>
      </c>
      <c r="G2738" s="3">
        <v>1</v>
      </c>
      <c r="H2738" s="3"/>
    </row>
    <row r="2739" spans="1:8" hidden="1">
      <c r="A2739" s="3">
        <v>765348</v>
      </c>
      <c r="B2739" s="7" t="s">
        <v>79</v>
      </c>
      <c r="C2739" s="41">
        <v>2129.36</v>
      </c>
      <c r="D2739" s="6">
        <v>45630</v>
      </c>
      <c r="E2739" s="3" t="str">
        <f ca="1">IF(Tabela2[[#This Row],[Dt Venc:]]&gt;TODAY(),"Em Aberto",IF(Tabela2[[#This Row],[D/venc]]="-","Enviado",IF(Tabela2[[#This Row],[Dt Venc:]]=TODAY(),"Vence Hoje","Vencida")))</f>
        <v>Enviado</v>
      </c>
      <c r="F2739" s="3" t="str">
        <f ca="1">IF(G2739=1,"-",Tabela2[[#This Row],[Dt Venc:]]-TODAY())</f>
        <v>-</v>
      </c>
      <c r="G2739" s="3">
        <v>1</v>
      </c>
      <c r="H2739" s="3"/>
    </row>
    <row r="2740" spans="1:8" hidden="1">
      <c r="A2740" s="3">
        <v>224398</v>
      </c>
      <c r="B2740" s="7" t="s">
        <v>127</v>
      </c>
      <c r="C2740" s="41">
        <v>1901.68</v>
      </c>
      <c r="D2740" s="6">
        <v>45630</v>
      </c>
      <c r="E2740" s="3" t="str">
        <f ca="1">IF(Tabela2[[#This Row],[Dt Venc:]]&gt;TODAY(),"Em Aberto",IF(Tabela2[[#This Row],[D/venc]]="-","Enviado",IF(Tabela2[[#This Row],[Dt Venc:]]=TODAY(),"Vence Hoje","Vencida")))</f>
        <v>Enviado</v>
      </c>
      <c r="F2740" s="3" t="str">
        <f ca="1">IF(G2740=1,"-",Tabela2[[#This Row],[Dt Venc:]]-TODAY())</f>
        <v>-</v>
      </c>
      <c r="G2740" s="3">
        <v>1</v>
      </c>
      <c r="H2740" s="3"/>
    </row>
    <row r="2741" spans="1:8" hidden="1">
      <c r="A2741" s="3">
        <v>72836</v>
      </c>
      <c r="B2741" s="7" t="s">
        <v>76</v>
      </c>
      <c r="C2741" s="41">
        <v>451.11</v>
      </c>
      <c r="D2741" s="6">
        <v>45630</v>
      </c>
      <c r="E2741" s="3" t="str">
        <f ca="1">IF(Tabela2[[#This Row],[Dt Venc:]]&gt;TODAY(),"Em Aberto",IF(Tabela2[[#This Row],[D/venc]]="-","Enviado",IF(Tabela2[[#This Row],[Dt Venc:]]=TODAY(),"Vence Hoje","Vencida")))</f>
        <v>Enviado</v>
      </c>
      <c r="F2741" s="3" t="str">
        <f ca="1">IF(G2741=1,"-",Tabela2[[#This Row],[Dt Venc:]]-TODAY())</f>
        <v>-</v>
      </c>
      <c r="G2741" s="3">
        <v>1</v>
      </c>
      <c r="H2741" s="3"/>
    </row>
    <row r="2742" spans="1:8" hidden="1">
      <c r="A2742" s="3">
        <v>1182</v>
      </c>
      <c r="B2742" s="7" t="s">
        <v>416</v>
      </c>
      <c r="C2742" s="41">
        <v>1093.33</v>
      </c>
      <c r="D2742" s="6">
        <v>45630</v>
      </c>
      <c r="E2742" s="3" t="str">
        <f ca="1">IF(Tabela2[[#This Row],[Dt Venc:]]&gt;TODAY(),"Em Aberto",IF(Tabela2[[#This Row],[D/venc]]="-","Enviado",IF(Tabela2[[#This Row],[Dt Venc:]]=TODAY(),"Vence Hoje","Vencida")))</f>
        <v>Enviado</v>
      </c>
      <c r="F2742" s="3" t="str">
        <f ca="1">IF(G2742=1,"-",Tabela2[[#This Row],[Dt Venc:]]-TODAY())</f>
        <v>-</v>
      </c>
      <c r="G2742" s="3">
        <v>1</v>
      </c>
      <c r="H2742" s="3"/>
    </row>
    <row r="2743" spans="1:8" hidden="1">
      <c r="A2743" s="3">
        <v>43147</v>
      </c>
      <c r="B2743" s="7" t="s">
        <v>70</v>
      </c>
      <c r="C2743" s="41">
        <v>4878.5600000000004</v>
      </c>
      <c r="D2743" s="6">
        <v>45630</v>
      </c>
      <c r="E2743" s="3" t="str">
        <f ca="1">IF(Tabela2[[#This Row],[Dt Venc:]]&gt;TODAY(),"Em Aberto",IF(Tabela2[[#This Row],[D/venc]]="-","Enviado",IF(Tabela2[[#This Row],[Dt Venc:]]=TODAY(),"Vence Hoje","Vencida")))</f>
        <v>Enviado</v>
      </c>
      <c r="F2743" s="3" t="str">
        <f ca="1">IF(G2743=1,"-",Tabela2[[#This Row],[Dt Venc:]]-TODAY())</f>
        <v>-</v>
      </c>
      <c r="G2743" s="3">
        <v>1</v>
      </c>
      <c r="H2743" s="3"/>
    </row>
    <row r="2744" spans="1:8" hidden="1">
      <c r="A2744" s="3">
        <v>15300</v>
      </c>
      <c r="B2744" s="7" t="s">
        <v>44</v>
      </c>
      <c r="C2744" s="41">
        <v>850</v>
      </c>
      <c r="D2744" s="6">
        <v>45630</v>
      </c>
      <c r="E2744" s="3" t="str">
        <f ca="1">IF(Tabela2[[#This Row],[Dt Venc:]]&gt;TODAY(),"Em Aberto",IF(Tabela2[[#This Row],[D/venc]]="-","Enviado",IF(Tabela2[[#This Row],[Dt Venc:]]=TODAY(),"Vence Hoje","Vencida")))</f>
        <v>Enviado</v>
      </c>
      <c r="F2744" s="3" t="str">
        <f ca="1">IF(G2744=1,"-",Tabela2[[#This Row],[Dt Venc:]]-TODAY())</f>
        <v>-</v>
      </c>
      <c r="G2744" s="3">
        <v>1</v>
      </c>
      <c r="H2744" s="3"/>
    </row>
    <row r="2745" spans="1:8" hidden="1">
      <c r="A2745" s="3">
        <v>444411</v>
      </c>
      <c r="B2745" s="7" t="s">
        <v>59</v>
      </c>
      <c r="C2745" s="41">
        <v>28097.5</v>
      </c>
      <c r="D2745" s="6">
        <v>45630</v>
      </c>
      <c r="E2745" s="3" t="str">
        <f ca="1">IF(Tabela2[[#This Row],[Dt Venc:]]&gt;TODAY(),"Em Aberto",IF(Tabela2[[#This Row],[D/venc]]="-","Enviado",IF(Tabela2[[#This Row],[Dt Venc:]]=TODAY(),"Vence Hoje","Vencida")))</f>
        <v>Enviado</v>
      </c>
      <c r="F2745" s="3" t="str">
        <f ca="1">IF(G2745=1,"-",Tabela2[[#This Row],[Dt Venc:]]-TODAY())</f>
        <v>-</v>
      </c>
      <c r="G2745" s="3">
        <v>1</v>
      </c>
      <c r="H2745" s="3"/>
    </row>
    <row r="2746" spans="1:8" hidden="1">
      <c r="A2746" s="3">
        <v>3313219</v>
      </c>
      <c r="B2746" s="7" t="s">
        <v>71</v>
      </c>
      <c r="C2746" s="41">
        <v>110164</v>
      </c>
      <c r="D2746" s="6">
        <v>45630</v>
      </c>
      <c r="E2746" s="3" t="str">
        <f ca="1">IF(Tabela2[[#This Row],[Dt Venc:]]&gt;TODAY(),"Em Aberto",IF(Tabela2[[#This Row],[D/venc]]="-","Enviado",IF(Tabela2[[#This Row],[Dt Venc:]]=TODAY(),"Vence Hoje","Vencida")))</f>
        <v>Enviado</v>
      </c>
      <c r="F2746" s="3" t="str">
        <f ca="1">IF(G2746=1,"-",Tabela2[[#This Row],[Dt Venc:]]-TODAY())</f>
        <v>-</v>
      </c>
      <c r="G2746" s="3">
        <v>1</v>
      </c>
      <c r="H2746" s="3"/>
    </row>
    <row r="2747" spans="1:8" hidden="1">
      <c r="A2747" s="3">
        <v>10353</v>
      </c>
      <c r="B2747" s="7" t="s">
        <v>82</v>
      </c>
      <c r="C2747" s="83" t="s">
        <v>32</v>
      </c>
      <c r="D2747" s="6">
        <v>45631</v>
      </c>
      <c r="E2747" s="3" t="str">
        <f ca="1">IF(Tabela2[[#This Row],[Dt Venc:]]&gt;TODAY(),"Em Aberto",IF(Tabela2[[#This Row],[D/venc]]="-","Enviado",IF(Tabela2[[#This Row],[Dt Venc:]]=TODAY(),"Vence Hoje","Vencida")))</f>
        <v>Enviado</v>
      </c>
      <c r="F2747" s="3" t="str">
        <f ca="1">IF(G2747=1,"-",Tabela2[[#This Row],[Dt Venc:]]-TODAY())</f>
        <v>-</v>
      </c>
      <c r="G2747" s="3">
        <v>1</v>
      </c>
      <c r="H2747" s="3"/>
    </row>
    <row r="2748" spans="1:8" hidden="1">
      <c r="A2748" s="3">
        <v>5680</v>
      </c>
      <c r="B2748" s="7" t="s">
        <v>122</v>
      </c>
      <c r="C2748" s="84" t="s">
        <v>32</v>
      </c>
      <c r="D2748" s="6">
        <v>45631</v>
      </c>
      <c r="E2748" s="3" t="str">
        <f ca="1">IF(Tabela2[[#This Row],[Dt Venc:]]&gt;TODAY(),"Em Aberto",IF(Tabela2[[#This Row],[D/venc]]="-","Enviado",IF(Tabela2[[#This Row],[Dt Venc:]]=TODAY(),"Vence Hoje","Vencida")))</f>
        <v>Enviado</v>
      </c>
      <c r="F2748" s="3" t="str">
        <f ca="1">IF(G2748=1,"-",Tabela2[[#This Row],[Dt Venc:]]-TODAY())</f>
        <v>-</v>
      </c>
      <c r="G2748" s="3">
        <v>1</v>
      </c>
      <c r="H2748" s="3"/>
    </row>
    <row r="2749" spans="1:8" hidden="1">
      <c r="A2749" s="3" t="s">
        <v>28</v>
      </c>
      <c r="B2749" s="7" t="s">
        <v>124</v>
      </c>
      <c r="C2749" s="83" t="s">
        <v>32</v>
      </c>
      <c r="D2749" s="6">
        <v>45631</v>
      </c>
      <c r="E2749" s="3" t="str">
        <f ca="1">IF(Tabela2[[#This Row],[Dt Venc:]]&gt;TODAY(),"Em Aberto",IF(Tabela2[[#This Row],[D/venc]]="-","Enviado",IF(Tabela2[[#This Row],[Dt Venc:]]=TODAY(),"Vence Hoje","Vencida")))</f>
        <v>Enviado</v>
      </c>
      <c r="F2749" s="3" t="str">
        <f ca="1">IF(G2749=1,"-",Tabela2[[#This Row],[Dt Venc:]]-TODAY())</f>
        <v>-</v>
      </c>
      <c r="G2749" s="3">
        <v>1</v>
      </c>
      <c r="H2749" s="3"/>
    </row>
    <row r="2750" spans="1:8" ht="37.5" hidden="1">
      <c r="A2750" s="3" t="s">
        <v>123</v>
      </c>
      <c r="B2750" s="7" t="s">
        <v>125</v>
      </c>
      <c r="C2750" s="85" t="s">
        <v>30</v>
      </c>
      <c r="D2750" s="6">
        <v>45631</v>
      </c>
      <c r="E2750" s="3" t="str">
        <f ca="1">IF(Tabela2[[#This Row],[Dt Venc:]]&gt;TODAY(),"Em Aberto",IF(Tabela2[[#This Row],[D/venc]]="-","Enviado",IF(Tabela2[[#This Row],[Dt Venc:]]=TODAY(),"Vence Hoje","Vencida")))</f>
        <v>Enviado</v>
      </c>
      <c r="F2750" s="3" t="str">
        <f ca="1">IF(G2750=1,"-",Tabela2[[#This Row],[Dt Venc:]]-TODAY())</f>
        <v>-</v>
      </c>
      <c r="G2750" s="3">
        <v>1</v>
      </c>
      <c r="H2750" s="3"/>
    </row>
    <row r="2751" spans="1:8" hidden="1">
      <c r="A2751" s="3">
        <v>29426</v>
      </c>
      <c r="B2751" s="7" t="s">
        <v>97</v>
      </c>
      <c r="C2751" s="42">
        <v>3250</v>
      </c>
      <c r="D2751" s="6">
        <v>45631</v>
      </c>
      <c r="E2751" s="3" t="str">
        <f ca="1">IF(Tabela2[[#This Row],[Dt Venc:]]&gt;TODAY(),"Em Aberto",IF(Tabela2[[#This Row],[D/venc]]="-","Enviado",IF(Tabela2[[#This Row],[Dt Venc:]]=TODAY(),"Vence Hoje","Vencida")))</f>
        <v>Enviado</v>
      </c>
      <c r="F2751" s="3" t="str">
        <f ca="1">IF(G2751=1,"-",Tabela2[[#This Row],[Dt Venc:]]-TODAY())</f>
        <v>-</v>
      </c>
      <c r="G2751" s="3">
        <v>1</v>
      </c>
      <c r="H2751" s="3"/>
    </row>
    <row r="2752" spans="1:8" hidden="1">
      <c r="A2752" s="3">
        <v>3195</v>
      </c>
      <c r="B2752" s="7" t="s">
        <v>114</v>
      </c>
      <c r="C2752" s="42">
        <v>160</v>
      </c>
      <c r="D2752" s="6">
        <v>45631</v>
      </c>
      <c r="E2752" s="3" t="str">
        <f ca="1">IF(Tabela2[[#This Row],[Dt Venc:]]&gt;TODAY(),"Em Aberto",IF(Tabela2[[#This Row],[D/venc]]="-","Enviado",IF(Tabela2[[#This Row],[Dt Venc:]]=TODAY(),"Vence Hoje","Vencida")))</f>
        <v>Enviado</v>
      </c>
      <c r="F2752" s="3" t="str">
        <f ca="1">IF(G2752=1,"-",Tabela2[[#This Row],[Dt Venc:]]-TODAY())</f>
        <v>-</v>
      </c>
      <c r="G2752" s="3">
        <v>1</v>
      </c>
      <c r="H2752" s="3"/>
    </row>
    <row r="2753" spans="1:8" hidden="1">
      <c r="A2753" s="3">
        <v>3143</v>
      </c>
      <c r="B2753" s="7" t="s">
        <v>129</v>
      </c>
      <c r="C2753" s="42">
        <v>1249.5</v>
      </c>
      <c r="D2753" s="6">
        <v>45631</v>
      </c>
      <c r="E2753" s="3" t="str">
        <f ca="1">IF(Tabela2[[#This Row],[Dt Venc:]]&gt;TODAY(),"Em Aberto",IF(Tabela2[[#This Row],[D/venc]]="-","Enviado",IF(Tabela2[[#This Row],[Dt Venc:]]=TODAY(),"Vence Hoje","Vencida")))</f>
        <v>Enviado</v>
      </c>
      <c r="F2753" s="3" t="str">
        <f ca="1">IF(G2753=1,"-",Tabela2[[#This Row],[Dt Venc:]]-TODAY())</f>
        <v>-</v>
      </c>
      <c r="G2753" s="3">
        <v>1</v>
      </c>
      <c r="H2753" s="3"/>
    </row>
    <row r="2754" spans="1:8" hidden="1">
      <c r="A2754" s="3">
        <v>10537</v>
      </c>
      <c r="B2754" s="7" t="s">
        <v>131</v>
      </c>
      <c r="C2754" s="42">
        <v>756.66</v>
      </c>
      <c r="D2754" s="6">
        <v>45631</v>
      </c>
      <c r="E2754" s="3" t="str">
        <f ca="1">IF(Tabela2[[#This Row],[Dt Venc:]]&gt;TODAY(),"Em Aberto",IF(Tabela2[[#This Row],[D/venc]]="-","Enviado",IF(Tabela2[[#This Row],[Dt Venc:]]=TODAY(),"Vence Hoje","Vencida")))</f>
        <v>Enviado</v>
      </c>
      <c r="F2754" s="3" t="str">
        <f ca="1">IF(G2754=1,"-",Tabela2[[#This Row],[Dt Venc:]]-TODAY())</f>
        <v>-</v>
      </c>
      <c r="G2754" s="3">
        <v>1</v>
      </c>
      <c r="H2754" s="3"/>
    </row>
    <row r="2755" spans="1:8" hidden="1">
      <c r="A2755" s="3">
        <v>152665</v>
      </c>
      <c r="B2755" s="7" t="s">
        <v>77</v>
      </c>
      <c r="C2755" s="42">
        <v>773.33</v>
      </c>
      <c r="D2755" s="6">
        <v>45631</v>
      </c>
      <c r="E2755" s="3" t="str">
        <f ca="1">IF(Tabela2[[#This Row],[Dt Venc:]]&gt;TODAY(),"Em Aberto",IF(Tabela2[[#This Row],[D/venc]]="-","Enviado",IF(Tabela2[[#This Row],[Dt Venc:]]=TODAY(),"Vence Hoje","Vencida")))</f>
        <v>Enviado</v>
      </c>
      <c r="F2755" s="3" t="str">
        <f ca="1">IF(G2755=1,"-",Tabela2[[#This Row],[Dt Venc:]]-TODAY())</f>
        <v>-</v>
      </c>
      <c r="G2755" s="3">
        <v>1</v>
      </c>
      <c r="H2755" s="3"/>
    </row>
    <row r="2756" spans="1:8" hidden="1">
      <c r="A2756" s="3">
        <v>5839</v>
      </c>
      <c r="B2756" s="7" t="s">
        <v>133</v>
      </c>
      <c r="C2756" s="42">
        <v>1246.4000000000001</v>
      </c>
      <c r="D2756" s="6">
        <v>45631</v>
      </c>
      <c r="E2756" s="3" t="str">
        <f ca="1">IF(Tabela2[[#This Row],[Dt Venc:]]&gt;TODAY(),"Em Aberto",IF(Tabela2[[#This Row],[D/venc]]="-","Enviado",IF(Tabela2[[#This Row],[Dt Venc:]]=TODAY(),"Vence Hoje","Vencida")))</f>
        <v>Enviado</v>
      </c>
      <c r="F2756" s="3" t="str">
        <f ca="1">IF(G2756=1,"-",Tabela2[[#This Row],[Dt Venc:]]-TODAY())</f>
        <v>-</v>
      </c>
      <c r="G2756" s="3">
        <v>1</v>
      </c>
      <c r="H2756" s="3"/>
    </row>
    <row r="2757" spans="1:8" hidden="1">
      <c r="A2757" s="3">
        <v>228266</v>
      </c>
      <c r="B2757" s="7" t="s">
        <v>40</v>
      </c>
      <c r="C2757" s="42">
        <v>400</v>
      </c>
      <c r="D2757" s="6">
        <v>45631</v>
      </c>
      <c r="E2757" s="3" t="str">
        <f ca="1">IF(Tabela2[[#This Row],[Dt Venc:]]&gt;TODAY(),"Em Aberto",IF(Tabela2[[#This Row],[D/venc]]="-","Enviado",IF(Tabela2[[#This Row],[Dt Venc:]]=TODAY(),"Vence Hoje","Vencida")))</f>
        <v>Enviado</v>
      </c>
      <c r="F2757" s="3" t="str">
        <f ca="1">IF(G2757=1,"-",Tabela2[[#This Row],[Dt Venc:]]-TODAY())</f>
        <v>-</v>
      </c>
      <c r="G2757" s="3">
        <v>1</v>
      </c>
      <c r="H2757" s="3"/>
    </row>
    <row r="2758" spans="1:8" hidden="1">
      <c r="A2758" s="3">
        <v>3279209</v>
      </c>
      <c r="B2758" s="7" t="s">
        <v>71</v>
      </c>
      <c r="C2758" s="42">
        <v>2153.92</v>
      </c>
      <c r="D2758" s="6">
        <v>45631</v>
      </c>
      <c r="E2758" s="3" t="str">
        <f ca="1">IF(Tabela2[[#This Row],[Dt Venc:]]&gt;TODAY(),"Em Aberto",IF(Tabela2[[#This Row],[D/venc]]="-","Enviado",IF(Tabela2[[#This Row],[Dt Venc:]]=TODAY(),"Vence Hoje","Vencida")))</f>
        <v>Enviado</v>
      </c>
      <c r="F2758" s="3" t="str">
        <f ca="1">IF(G2758=1,"-",Tabela2[[#This Row],[Dt Venc:]]-TODAY())</f>
        <v>-</v>
      </c>
      <c r="G2758" s="3">
        <v>1</v>
      </c>
      <c r="H2758" s="3"/>
    </row>
    <row r="2759" spans="1:8" hidden="1">
      <c r="A2759" s="3">
        <v>5833</v>
      </c>
      <c r="B2759" s="7" t="s">
        <v>47</v>
      </c>
      <c r="C2759" s="42">
        <v>599.70000000000005</v>
      </c>
      <c r="D2759" s="6">
        <v>45631</v>
      </c>
      <c r="E2759" s="3" t="str">
        <f ca="1">IF(Tabela2[[#This Row],[Dt Venc:]]&gt;TODAY(),"Em Aberto",IF(Tabela2[[#This Row],[D/venc]]="-","Enviado",IF(Tabela2[[#This Row],[Dt Venc:]]=TODAY(),"Vence Hoje","Vencida")))</f>
        <v>Enviado</v>
      </c>
      <c r="F2759" s="3" t="str">
        <f ca="1">IF(G2759=1,"-",Tabela2[[#This Row],[Dt Venc:]]-TODAY())</f>
        <v>-</v>
      </c>
      <c r="G2759" s="3">
        <v>1</v>
      </c>
      <c r="H2759" s="3"/>
    </row>
    <row r="2760" spans="1:8" hidden="1">
      <c r="A2760" s="3">
        <v>5838</v>
      </c>
      <c r="B2760" s="7" t="s">
        <v>47</v>
      </c>
      <c r="C2760" s="42">
        <v>684.67</v>
      </c>
      <c r="D2760" s="6">
        <v>45631</v>
      </c>
      <c r="E2760" s="3" t="str">
        <f ca="1">IF(Tabela2[[#This Row],[Dt Venc:]]&gt;TODAY(),"Em Aberto",IF(Tabela2[[#This Row],[D/venc]]="-","Enviado",IF(Tabela2[[#This Row],[Dt Venc:]]=TODAY(),"Vence Hoje","Vencida")))</f>
        <v>Enviado</v>
      </c>
      <c r="F2760" s="3" t="str">
        <f ca="1">IF(G2760=1,"-",Tabela2[[#This Row],[Dt Venc:]]-TODAY())</f>
        <v>-</v>
      </c>
      <c r="G2760" s="3">
        <v>1</v>
      </c>
      <c r="H2760" s="3"/>
    </row>
    <row r="2761" spans="1:8" hidden="1">
      <c r="A2761" s="3">
        <v>607423</v>
      </c>
      <c r="B2761" s="7" t="s">
        <v>196</v>
      </c>
      <c r="C2761" s="42">
        <v>423.44</v>
      </c>
      <c r="D2761" s="6">
        <v>45631</v>
      </c>
      <c r="E2761" s="3" t="str">
        <f ca="1">IF(Tabela2[[#This Row],[Dt Venc:]]&gt;TODAY(),"Em Aberto",IF(Tabela2[[#This Row],[D/venc]]="-","Enviado",IF(Tabela2[[#This Row],[Dt Venc:]]=TODAY(),"Vence Hoje","Vencida")))</f>
        <v>Enviado</v>
      </c>
      <c r="F2761" s="3" t="str">
        <f ca="1">IF(G2761=1,"-",Tabela2[[#This Row],[Dt Venc:]]-TODAY())</f>
        <v>-</v>
      </c>
      <c r="G2761" s="3">
        <v>1</v>
      </c>
      <c r="H2761" s="3"/>
    </row>
    <row r="2762" spans="1:8" hidden="1">
      <c r="A2762" s="3">
        <v>10520</v>
      </c>
      <c r="B2762" s="7" t="s">
        <v>72</v>
      </c>
      <c r="C2762" s="42">
        <v>440</v>
      </c>
      <c r="D2762" s="6">
        <v>45631</v>
      </c>
      <c r="E2762" s="3" t="str">
        <f ca="1">IF(Tabela2[[#This Row],[Dt Venc:]]&gt;TODAY(),"Em Aberto",IF(Tabela2[[#This Row],[D/venc]]="-","Enviado",IF(Tabela2[[#This Row],[Dt Venc:]]=TODAY(),"Vence Hoje","Vencida")))</f>
        <v>Enviado</v>
      </c>
      <c r="F2762" s="3" t="str">
        <f ca="1">IF(G2762=1,"-",Tabela2[[#This Row],[Dt Venc:]]-TODAY())</f>
        <v>-</v>
      </c>
      <c r="G2762" s="3">
        <v>1</v>
      </c>
      <c r="H2762" s="3"/>
    </row>
    <row r="2763" spans="1:8" hidden="1">
      <c r="A2763" s="3">
        <v>15540</v>
      </c>
      <c r="B2763" s="7" t="s">
        <v>170</v>
      </c>
      <c r="C2763" s="42">
        <v>450</v>
      </c>
      <c r="D2763" s="6">
        <v>45631</v>
      </c>
      <c r="E2763" s="3" t="str">
        <f ca="1">IF(Tabela2[[#This Row],[Dt Venc:]]&gt;TODAY(),"Em Aberto",IF(Tabela2[[#This Row],[D/venc]]="-","Enviado",IF(Tabela2[[#This Row],[Dt Venc:]]=TODAY(),"Vence Hoje","Vencida")))</f>
        <v>Enviado</v>
      </c>
      <c r="F2763" s="3" t="str">
        <f ca="1">IF(G2763=1,"-",Tabela2[[#This Row],[Dt Venc:]]-TODAY())</f>
        <v>-</v>
      </c>
      <c r="G2763" s="3">
        <v>1</v>
      </c>
      <c r="H2763" s="3"/>
    </row>
    <row r="2764" spans="1:8" hidden="1">
      <c r="A2764" s="3">
        <v>237891</v>
      </c>
      <c r="B2764" s="7" t="s">
        <v>43</v>
      </c>
      <c r="C2764" s="42">
        <v>485</v>
      </c>
      <c r="D2764" s="6">
        <v>45631</v>
      </c>
      <c r="E2764" s="3" t="str">
        <f ca="1">IF(Tabela2[[#This Row],[Dt Venc:]]&gt;TODAY(),"Em Aberto",IF(Tabela2[[#This Row],[D/venc]]="-","Enviado",IF(Tabela2[[#This Row],[Dt Venc:]]=TODAY(),"Vence Hoje","Vencida")))</f>
        <v>Enviado</v>
      </c>
      <c r="F2764" s="3" t="str">
        <f ca="1">IF(G2764=1,"-",Tabela2[[#This Row],[Dt Venc:]]-TODAY())</f>
        <v>-</v>
      </c>
      <c r="G2764" s="3">
        <v>1</v>
      </c>
      <c r="H2764" s="3"/>
    </row>
    <row r="2765" spans="1:8" hidden="1">
      <c r="A2765" s="3">
        <v>611500</v>
      </c>
      <c r="B2765" s="7" t="s">
        <v>66</v>
      </c>
      <c r="C2765" s="42">
        <v>3759.36</v>
      </c>
      <c r="D2765" s="6">
        <v>45631</v>
      </c>
      <c r="E2765" s="3" t="str">
        <f ca="1">IF(Tabela2[[#This Row],[Dt Venc:]]&gt;TODAY(),"Em Aberto",IF(Tabela2[[#This Row],[D/venc]]="-","Enviado",IF(Tabela2[[#This Row],[Dt Venc:]]=TODAY(),"Vence Hoje","Vencida")))</f>
        <v>Enviado</v>
      </c>
      <c r="F2765" s="3" t="str">
        <f ca="1">IF(G2765=1,"-",Tabela2[[#This Row],[Dt Venc:]]-TODAY())</f>
        <v>-</v>
      </c>
      <c r="G2765" s="3">
        <v>1</v>
      </c>
      <c r="H2765" s="3"/>
    </row>
    <row r="2766" spans="1:8" hidden="1">
      <c r="A2766" s="3">
        <v>203173</v>
      </c>
      <c r="B2766" s="7" t="s">
        <v>200</v>
      </c>
      <c r="C2766" s="41">
        <v>398.33</v>
      </c>
      <c r="D2766" s="6">
        <v>45631</v>
      </c>
      <c r="E2766" s="3" t="str">
        <f ca="1">IF(Tabela2[[#This Row],[Dt Venc:]]&gt;TODAY(),"Em Aberto",IF(Tabela2[[#This Row],[D/venc]]="-","Enviado",IF(Tabela2[[#This Row],[Dt Venc:]]=TODAY(),"Vence Hoje","Vencida")))</f>
        <v>Enviado</v>
      </c>
      <c r="F2766" s="3" t="str">
        <f ca="1">IF(G2766=1,"-",Tabela2[[#This Row],[Dt Venc:]]-TODAY())</f>
        <v>-</v>
      </c>
      <c r="G2766" s="3">
        <v>1</v>
      </c>
      <c r="H2766" s="3"/>
    </row>
    <row r="2767" spans="1:8" hidden="1">
      <c r="A2767" s="3">
        <v>3744</v>
      </c>
      <c r="B2767" s="7" t="s">
        <v>452</v>
      </c>
      <c r="C2767" s="41">
        <v>1003.33</v>
      </c>
      <c r="D2767" s="6">
        <v>45631</v>
      </c>
      <c r="E2767" s="3" t="str">
        <f ca="1">IF(Tabela2[[#This Row],[Dt Venc:]]&gt;TODAY(),"Em Aberto",IF(Tabela2[[#This Row],[D/venc]]="-","Enviado",IF(Tabela2[[#This Row],[Dt Venc:]]=TODAY(),"Vence Hoje","Vencida")))</f>
        <v>Enviado</v>
      </c>
      <c r="F2767" s="3" t="str">
        <f ca="1">IF(G2767=1,"-",Tabela2[[#This Row],[Dt Venc:]]-TODAY())</f>
        <v>-</v>
      </c>
      <c r="G2767" s="3">
        <v>1</v>
      </c>
      <c r="H2767" s="3"/>
    </row>
    <row r="2768" spans="1:8" hidden="1">
      <c r="A2768" s="3">
        <v>589</v>
      </c>
      <c r="B2768" s="7" t="s">
        <v>458</v>
      </c>
      <c r="C2768" s="41">
        <v>1675.5</v>
      </c>
      <c r="D2768" s="6">
        <v>45631</v>
      </c>
      <c r="E2768" s="3" t="str">
        <f ca="1">IF(Tabela2[[#This Row],[Dt Venc:]]&gt;TODAY(),"Em Aberto",IF(Tabela2[[#This Row],[D/venc]]="-","Enviado",IF(Tabela2[[#This Row],[Dt Venc:]]=TODAY(),"Vence Hoje","Vencida")))</f>
        <v>Enviado</v>
      </c>
      <c r="F2768" s="3" t="str">
        <f ca="1">IF(G2768=1,"-",Tabela2[[#This Row],[Dt Venc:]]-TODAY())</f>
        <v>-</v>
      </c>
      <c r="G2768" s="3">
        <v>1</v>
      </c>
      <c r="H2768" s="3"/>
    </row>
    <row r="2769" spans="1:8" hidden="1">
      <c r="A2769" s="3">
        <v>30512</v>
      </c>
      <c r="B2769" s="7" t="s">
        <v>501</v>
      </c>
      <c r="C2769" s="41">
        <v>1560</v>
      </c>
      <c r="D2769" s="6">
        <v>45631</v>
      </c>
      <c r="E2769" s="3" t="str">
        <f ca="1">IF(Tabela2[[#This Row],[Dt Venc:]]&gt;TODAY(),"Em Aberto",IF(Tabela2[[#This Row],[D/venc]]="-","Enviado",IF(Tabela2[[#This Row],[Dt Venc:]]=TODAY(),"Vence Hoje","Vencida")))</f>
        <v>Enviado</v>
      </c>
      <c r="F2769" s="3" t="str">
        <f ca="1">IF(G2769=1,"-",Tabela2[[#This Row],[Dt Venc:]]-TODAY())</f>
        <v>-</v>
      </c>
      <c r="G2769" s="3">
        <v>1</v>
      </c>
      <c r="H2769" s="3"/>
    </row>
    <row r="2770" spans="1:8" hidden="1">
      <c r="A2770" s="3">
        <v>1731</v>
      </c>
      <c r="B2770" s="7" t="s">
        <v>135</v>
      </c>
      <c r="C2770" s="41">
        <v>9271.56</v>
      </c>
      <c r="D2770" s="6">
        <v>45631</v>
      </c>
      <c r="E2770" s="3" t="str">
        <f ca="1">IF(Tabela2[[#This Row],[Dt Venc:]]&gt;TODAY(),"Em Aberto",IF(Tabela2[[#This Row],[D/venc]]="-","Enviado",IF(Tabela2[[#This Row],[Dt Venc:]]=TODAY(),"Vence Hoje","Vencida")))</f>
        <v>Enviado</v>
      </c>
      <c r="F2770" s="3" t="str">
        <f ca="1">IF(G2770=1,"-",Tabela2[[#This Row],[Dt Venc:]]-TODAY())</f>
        <v>-</v>
      </c>
      <c r="G2770" s="3">
        <v>1</v>
      </c>
      <c r="H2770" s="3"/>
    </row>
    <row r="2771" spans="1:8" hidden="1">
      <c r="A2771" s="3">
        <v>1234</v>
      </c>
      <c r="B2771" s="7" t="s">
        <v>502</v>
      </c>
      <c r="C2771" s="41">
        <v>14588</v>
      </c>
      <c r="D2771" s="6">
        <v>45631</v>
      </c>
      <c r="E2771" s="3" t="str">
        <f ca="1">IF(Tabela2[[#This Row],[Dt Venc:]]&gt;TODAY(),"Em Aberto",IF(Tabela2[[#This Row],[D/venc]]="-","Enviado",IF(Tabela2[[#This Row],[Dt Venc:]]=TODAY(),"Vence Hoje","Vencida")))</f>
        <v>Enviado</v>
      </c>
      <c r="F2771" s="3" t="str">
        <f ca="1">IF(G2771=1,"-",Tabela2[[#This Row],[Dt Venc:]]-TODAY())</f>
        <v>-</v>
      </c>
      <c r="G2771" s="3">
        <v>1</v>
      </c>
      <c r="H2771" s="3"/>
    </row>
    <row r="2772" spans="1:8" hidden="1">
      <c r="A2772" s="3">
        <v>1078773</v>
      </c>
      <c r="B2772" s="7" t="s">
        <v>141</v>
      </c>
      <c r="C2772" s="41">
        <v>1726.16</v>
      </c>
      <c r="D2772" s="6">
        <v>45631</v>
      </c>
      <c r="E2772" s="3" t="str">
        <f ca="1">IF(Tabela2[[#This Row],[Dt Venc:]]&gt;TODAY(),"Em Aberto",IF(Tabela2[[#This Row],[D/venc]]="-","Enviado",IF(Tabela2[[#This Row],[Dt Venc:]]=TODAY(),"Vence Hoje","Vencida")))</f>
        <v>Enviado</v>
      </c>
      <c r="F2772" s="3" t="str">
        <f ca="1">IF(G2772=1,"-",Tabela2[[#This Row],[Dt Venc:]]-TODAY())</f>
        <v>-</v>
      </c>
      <c r="G2772" s="3">
        <v>1</v>
      </c>
      <c r="H2772" s="3"/>
    </row>
    <row r="2773" spans="1:8" hidden="1">
      <c r="A2773" s="3">
        <v>1078769</v>
      </c>
      <c r="B2773" s="7" t="s">
        <v>141</v>
      </c>
      <c r="C2773" s="41">
        <v>1683.25</v>
      </c>
      <c r="D2773" s="6">
        <v>45631</v>
      </c>
      <c r="E2773" s="3" t="str">
        <f ca="1">IF(Tabela2[[#This Row],[Dt Venc:]]&gt;TODAY(),"Em Aberto",IF(Tabela2[[#This Row],[D/venc]]="-","Enviado",IF(Tabela2[[#This Row],[Dt Venc:]]=TODAY(),"Vence Hoje","Vencida")))</f>
        <v>Enviado</v>
      </c>
      <c r="F2773" s="3" t="str">
        <f ca="1">IF(G2773=1,"-",Tabela2[[#This Row],[Dt Venc:]]-TODAY())</f>
        <v>-</v>
      </c>
      <c r="G2773" s="3">
        <v>1</v>
      </c>
      <c r="H2773" s="3"/>
    </row>
    <row r="2774" spans="1:8" hidden="1">
      <c r="A2774" s="3">
        <v>1078766</v>
      </c>
      <c r="B2774" s="7" t="s">
        <v>141</v>
      </c>
      <c r="C2774" s="41">
        <v>1574</v>
      </c>
      <c r="D2774" s="6">
        <v>45631</v>
      </c>
      <c r="E2774" s="3" t="str">
        <f ca="1">IF(Tabela2[[#This Row],[Dt Venc:]]&gt;TODAY(),"Em Aberto",IF(Tabela2[[#This Row],[D/venc]]="-","Enviado",IF(Tabela2[[#This Row],[Dt Venc:]]=TODAY(),"Vence Hoje","Vencida")))</f>
        <v>Enviado</v>
      </c>
      <c r="F2774" s="3" t="str">
        <f ca="1">IF(G2774=1,"-",Tabela2[[#This Row],[Dt Venc:]]-TODAY())</f>
        <v>-</v>
      </c>
      <c r="G2774" s="3">
        <v>1</v>
      </c>
      <c r="H2774" s="3"/>
    </row>
    <row r="2775" spans="1:8" hidden="1">
      <c r="A2775" s="3">
        <v>1078781</v>
      </c>
      <c r="B2775" s="7" t="s">
        <v>141</v>
      </c>
      <c r="C2775" s="41">
        <v>932.55</v>
      </c>
      <c r="D2775" s="6">
        <v>45631</v>
      </c>
      <c r="E2775" s="3" t="str">
        <f ca="1">IF(Tabela2[[#This Row],[Dt Venc:]]&gt;TODAY(),"Em Aberto",IF(Tabela2[[#This Row],[D/venc]]="-","Enviado",IF(Tabela2[[#This Row],[Dt Venc:]]=TODAY(),"Vence Hoje","Vencida")))</f>
        <v>Enviado</v>
      </c>
      <c r="F2775" s="3" t="str">
        <f ca="1">IF(G2775=1,"-",Tabela2[[#This Row],[Dt Venc:]]-TODAY())</f>
        <v>-</v>
      </c>
      <c r="G2775" s="3">
        <v>1</v>
      </c>
      <c r="H2775" s="3"/>
    </row>
    <row r="2776" spans="1:8" hidden="1">
      <c r="A2776" s="3">
        <v>615760</v>
      </c>
      <c r="B2776" s="7" t="s">
        <v>66</v>
      </c>
      <c r="C2776" s="41">
        <v>848.11</v>
      </c>
      <c r="D2776" s="6">
        <v>45631</v>
      </c>
      <c r="E2776" s="3" t="str">
        <f ca="1">IF(Tabela2[[#This Row],[Dt Venc:]]&gt;TODAY(),"Em Aberto",IF(Tabela2[[#This Row],[D/venc]]="-","Enviado",IF(Tabela2[[#This Row],[Dt Venc:]]=TODAY(),"Vence Hoje","Vencida")))</f>
        <v>Enviado</v>
      </c>
      <c r="F2776" s="3" t="str">
        <f ca="1">IF(G2776=1,"-",Tabela2[[#This Row],[Dt Venc:]]-TODAY())</f>
        <v>-</v>
      </c>
      <c r="G2776" s="3">
        <v>1</v>
      </c>
      <c r="H2776" s="3"/>
    </row>
    <row r="2777" spans="1:8" hidden="1">
      <c r="A2777" s="3">
        <v>328325</v>
      </c>
      <c r="B2777" s="7" t="s">
        <v>240</v>
      </c>
      <c r="C2777" s="41">
        <v>300</v>
      </c>
      <c r="D2777" s="6">
        <v>45631</v>
      </c>
      <c r="E2777" s="3" t="str">
        <f ca="1">IF(Tabela2[[#This Row],[Dt Venc:]]&gt;TODAY(),"Em Aberto",IF(Tabela2[[#This Row],[D/venc]]="-","Enviado",IF(Tabela2[[#This Row],[Dt Venc:]]=TODAY(),"Vence Hoje","Vencida")))</f>
        <v>Enviado</v>
      </c>
      <c r="F2777" s="3" t="str">
        <f ca="1">IF(G2777=1,"-",Tabela2[[#This Row],[Dt Venc:]]-TODAY())</f>
        <v>-</v>
      </c>
      <c r="G2777" s="3">
        <v>1</v>
      </c>
      <c r="H2777" s="3"/>
    </row>
    <row r="2778" spans="1:8" hidden="1">
      <c r="A2778" s="3">
        <v>30582</v>
      </c>
      <c r="B2778" s="7" t="s">
        <v>97</v>
      </c>
      <c r="C2778" s="41">
        <v>1711</v>
      </c>
      <c r="D2778" s="6">
        <v>45631</v>
      </c>
      <c r="E2778" s="3" t="str">
        <f ca="1">IF(Tabela2[[#This Row],[Dt Venc:]]&gt;TODAY(),"Em Aberto",IF(Tabela2[[#This Row],[D/venc]]="-","Enviado",IF(Tabela2[[#This Row],[Dt Venc:]]=TODAY(),"Vence Hoje","Vencida")))</f>
        <v>Enviado</v>
      </c>
      <c r="F2778" s="3" t="str">
        <f ca="1">IF(G2778=1,"-",Tabela2[[#This Row],[Dt Venc:]]-TODAY())</f>
        <v>-</v>
      </c>
      <c r="G2778" s="3">
        <v>1</v>
      </c>
      <c r="H2778" s="3"/>
    </row>
    <row r="2779" spans="1:8" hidden="1">
      <c r="A2779" s="3" t="s">
        <v>123</v>
      </c>
      <c r="B2779" s="7" t="s">
        <v>503</v>
      </c>
      <c r="C2779" s="87" t="s">
        <v>32</v>
      </c>
      <c r="D2779" s="6">
        <v>45631</v>
      </c>
      <c r="E2779" s="3" t="str">
        <f ca="1">IF(Tabela2[[#This Row],[Dt Venc:]]&gt;TODAY(),"Em Aberto",IF(Tabela2[[#This Row],[D/venc]]="-","Enviado",IF(Tabela2[[#This Row],[Dt Venc:]]=TODAY(),"Vence Hoje","Vencida")))</f>
        <v>Enviado</v>
      </c>
      <c r="F2779" s="3" t="str">
        <f ca="1">IF(G2779=1,"-",Tabela2[[#This Row],[Dt Venc:]]-TODAY())</f>
        <v>-</v>
      </c>
      <c r="G2779" s="3">
        <v>1</v>
      </c>
      <c r="H2779" s="3"/>
    </row>
    <row r="2780" spans="1:8" hidden="1">
      <c r="A2780" s="3">
        <v>51720</v>
      </c>
      <c r="B2780" s="7" t="s">
        <v>117</v>
      </c>
      <c r="C2780" s="41">
        <v>1026.06</v>
      </c>
      <c r="D2780" s="6">
        <v>45631</v>
      </c>
      <c r="E2780" s="3" t="str">
        <f ca="1">IF(Tabela2[[#This Row],[Dt Venc:]]&gt;TODAY(),"Em Aberto",IF(Tabela2[[#This Row],[D/venc]]="-","Enviado",IF(Tabela2[[#This Row],[Dt Venc:]]=TODAY(),"Vence Hoje","Vencida")))</f>
        <v>Enviado</v>
      </c>
      <c r="F2780" s="3" t="str">
        <f ca="1">IF(G2780=1,"-",Tabela2[[#This Row],[Dt Venc:]]-TODAY())</f>
        <v>-</v>
      </c>
      <c r="G2780" s="3">
        <v>1</v>
      </c>
      <c r="H2780" s="3"/>
    </row>
    <row r="2781" spans="1:8" hidden="1">
      <c r="A2781" s="3">
        <v>328371</v>
      </c>
      <c r="B2781" s="7" t="s">
        <v>77</v>
      </c>
      <c r="C2781" s="41">
        <v>180</v>
      </c>
      <c r="D2781" s="6">
        <v>45631</v>
      </c>
      <c r="E2781" s="3" t="str">
        <f ca="1">IF(Tabela2[[#This Row],[Dt Venc:]]&gt;TODAY(),"Em Aberto",IF(Tabela2[[#This Row],[D/venc]]="-","Enviado",IF(Tabela2[[#This Row],[Dt Venc:]]=TODAY(),"Vence Hoje","Vencida")))</f>
        <v>Enviado</v>
      </c>
      <c r="F2781" s="3" t="str">
        <f ca="1">IF(G2781=1,"-",Tabela2[[#This Row],[Dt Venc:]]-TODAY())</f>
        <v>-</v>
      </c>
      <c r="G2781" s="3">
        <v>1</v>
      </c>
      <c r="H2781" s="3"/>
    </row>
    <row r="2782" spans="1:8" hidden="1">
      <c r="A2782" s="3">
        <v>633412</v>
      </c>
      <c r="B2782" s="7" t="s">
        <v>77</v>
      </c>
      <c r="C2782" s="41">
        <v>67.760000000000005</v>
      </c>
      <c r="D2782" s="6">
        <v>45631</v>
      </c>
      <c r="E2782" s="3" t="str">
        <f ca="1">IF(Tabela2[[#This Row],[Dt Venc:]]&gt;TODAY(),"Em Aberto",IF(Tabela2[[#This Row],[D/venc]]="-","Enviado",IF(Tabela2[[#This Row],[Dt Venc:]]=TODAY(),"Vence Hoje","Vencida")))</f>
        <v>Enviado</v>
      </c>
      <c r="F2782" s="3" t="str">
        <f ca="1">IF(G2782=1,"-",Tabela2[[#This Row],[Dt Venc:]]-TODAY())</f>
        <v>-</v>
      </c>
      <c r="G2782" s="3">
        <v>1</v>
      </c>
      <c r="H2782" s="3"/>
    </row>
    <row r="2783" spans="1:8" hidden="1">
      <c r="A2783" s="3">
        <v>2822</v>
      </c>
      <c r="B2783" s="7" t="s">
        <v>58</v>
      </c>
      <c r="C2783" s="41">
        <v>3607.6</v>
      </c>
      <c r="D2783" s="6">
        <v>45631</v>
      </c>
      <c r="E2783" s="3" t="str">
        <f ca="1">IF(Tabela2[[#This Row],[Dt Venc:]]&gt;TODAY(),"Em Aberto",IF(Tabela2[[#This Row],[D/venc]]="-","Enviado",IF(Tabela2[[#This Row],[Dt Venc:]]=TODAY(),"Vence Hoje","Vencida")))</f>
        <v>Enviado</v>
      </c>
      <c r="F2783" s="3" t="str">
        <f ca="1">IF(G2783=1,"-",Tabela2[[#This Row],[Dt Venc:]]-TODAY())</f>
        <v>-</v>
      </c>
      <c r="G2783" s="3">
        <v>1</v>
      </c>
      <c r="H2783" s="3"/>
    </row>
    <row r="2784" spans="1:8" hidden="1">
      <c r="A2784" s="3">
        <v>154162</v>
      </c>
      <c r="B2784" s="7" t="s">
        <v>77</v>
      </c>
      <c r="C2784" s="41">
        <v>433.33</v>
      </c>
      <c r="D2784" s="6">
        <v>45631</v>
      </c>
      <c r="E2784" s="3" t="str">
        <f ca="1">IF(Tabela2[[#This Row],[Dt Venc:]]&gt;TODAY(),"Em Aberto",IF(Tabela2[[#This Row],[D/venc]]="-","Enviado",IF(Tabela2[[#This Row],[Dt Venc:]]=TODAY(),"Vence Hoje","Vencida")))</f>
        <v>Enviado</v>
      </c>
      <c r="F2784" s="3" t="str">
        <f ca="1">IF(G2784=1,"-",Tabela2[[#This Row],[Dt Venc:]]-TODAY())</f>
        <v>-</v>
      </c>
      <c r="G2784" s="3">
        <v>1</v>
      </c>
      <c r="H2784" s="3"/>
    </row>
    <row r="2785" spans="1:8" hidden="1">
      <c r="A2785" s="3" t="s">
        <v>110</v>
      </c>
      <c r="B2785" s="7" t="s">
        <v>121</v>
      </c>
      <c r="C2785" s="87" t="s">
        <v>30</v>
      </c>
      <c r="D2785" s="6">
        <v>45631</v>
      </c>
      <c r="E2785" s="3" t="str">
        <f ca="1">IF(Tabela2[[#This Row],[Dt Venc:]]&gt;TODAY(),"Em Aberto",IF(Tabela2[[#This Row],[D/venc]]="-","Enviado",IF(Tabela2[[#This Row],[Dt Venc:]]=TODAY(),"Vence Hoje","Vencida")))</f>
        <v>Enviado</v>
      </c>
      <c r="F2785" s="3" t="str">
        <f ca="1">IF(G2785=1,"-",Tabela2[[#This Row],[Dt Venc:]]-TODAY())</f>
        <v>-</v>
      </c>
      <c r="G2785" s="3">
        <v>1</v>
      </c>
      <c r="H2785" s="3"/>
    </row>
    <row r="2786" spans="1:8" hidden="1">
      <c r="A2786" s="3">
        <v>1554</v>
      </c>
      <c r="B2786" s="7" t="s">
        <v>430</v>
      </c>
      <c r="C2786" s="41">
        <v>480</v>
      </c>
      <c r="D2786" s="6">
        <v>45631</v>
      </c>
      <c r="E2786" s="3" t="str">
        <f ca="1">IF(Tabela2[[#This Row],[Dt Venc:]]&gt;TODAY(),"Em Aberto",IF(Tabela2[[#This Row],[D/venc]]="-","Enviado",IF(Tabela2[[#This Row],[Dt Venc:]]=TODAY(),"Vence Hoje","Vencida")))</f>
        <v>Enviado</v>
      </c>
      <c r="F2786" s="3" t="str">
        <f ca="1">IF(G2786=1,"-",Tabela2[[#This Row],[Dt Venc:]]-TODAY())</f>
        <v>-</v>
      </c>
      <c r="G2786" s="3">
        <v>1</v>
      </c>
      <c r="H2786" s="3"/>
    </row>
    <row r="2787" spans="1:8" hidden="1">
      <c r="A2787" s="3">
        <v>42878</v>
      </c>
      <c r="B2787" s="7" t="s">
        <v>144</v>
      </c>
      <c r="C2787" s="42">
        <v>1013.34</v>
      </c>
      <c r="D2787" s="6">
        <v>45632</v>
      </c>
      <c r="E2787" s="3" t="str">
        <f ca="1">IF(Tabela2[[#This Row],[Dt Venc:]]&gt;TODAY(),"Em Aberto",IF(Tabela2[[#This Row],[D/venc]]="-","Enviado",IF(Tabela2[[#This Row],[Dt Venc:]]=TODAY(),"Vence Hoje","Vencida")))</f>
        <v>Enviado</v>
      </c>
      <c r="F2787" s="3" t="str">
        <f ca="1">IF(G2787=1,"-",Tabela2[[#This Row],[Dt Venc:]]-TODAY())</f>
        <v>-</v>
      </c>
      <c r="G2787" s="3">
        <v>1</v>
      </c>
      <c r="H2787" s="3"/>
    </row>
    <row r="2788" spans="1:8" hidden="1">
      <c r="A2788" s="3">
        <v>217142</v>
      </c>
      <c r="B2788" s="7" t="s">
        <v>127</v>
      </c>
      <c r="C2788" s="42">
        <v>628.28</v>
      </c>
      <c r="D2788" s="6">
        <v>45632</v>
      </c>
      <c r="E2788" s="3" t="str">
        <f ca="1">IF(Tabela2[[#This Row],[Dt Venc:]]&gt;TODAY(),"Em Aberto",IF(Tabela2[[#This Row],[D/venc]]="-","Enviado",IF(Tabela2[[#This Row],[Dt Venc:]]=TODAY(),"Vence Hoje","Vencida")))</f>
        <v>Enviado</v>
      </c>
      <c r="F2788" s="3" t="str">
        <f ca="1">IF(G2788=1,"-",Tabela2[[#This Row],[Dt Venc:]]-TODAY())</f>
        <v>-</v>
      </c>
      <c r="G2788" s="3">
        <v>1</v>
      </c>
      <c r="H2788" s="3"/>
    </row>
    <row r="2789" spans="1:8" hidden="1">
      <c r="A2789" s="3">
        <v>26757</v>
      </c>
      <c r="B2789" s="7" t="s">
        <v>70</v>
      </c>
      <c r="C2789" s="42">
        <v>765.68</v>
      </c>
      <c r="D2789" s="6">
        <v>45632</v>
      </c>
      <c r="E2789" s="3" t="str">
        <f ca="1">IF(Tabela2[[#This Row],[Dt Venc:]]&gt;TODAY(),"Em Aberto",IF(Tabela2[[#This Row],[D/venc]]="-","Enviado",IF(Tabela2[[#This Row],[Dt Venc:]]=TODAY(),"Vence Hoje","Vencida")))</f>
        <v>Enviado</v>
      </c>
      <c r="F2789" s="3" t="str">
        <f ca="1">IF(G2789=1,"-",Tabela2[[#This Row],[Dt Venc:]]-TODAY())</f>
        <v>-</v>
      </c>
      <c r="G2789" s="3">
        <v>1</v>
      </c>
      <c r="H2789" s="3"/>
    </row>
    <row r="2790" spans="1:8" hidden="1">
      <c r="A2790" s="3">
        <v>25887</v>
      </c>
      <c r="B2790" s="7" t="s">
        <v>70</v>
      </c>
      <c r="C2790" s="42">
        <v>1745.15</v>
      </c>
      <c r="D2790" s="6">
        <v>45632</v>
      </c>
      <c r="E2790" s="3" t="str">
        <f ca="1">IF(Tabela2[[#This Row],[Dt Venc:]]&gt;TODAY(),"Em Aberto",IF(Tabela2[[#This Row],[D/venc]]="-","Enviado",IF(Tabela2[[#This Row],[Dt Venc:]]=TODAY(),"Vence Hoje","Vencida")))</f>
        <v>Enviado</v>
      </c>
      <c r="F2790" s="3" t="str">
        <f ca="1">IF(G2790=1,"-",Tabela2[[#This Row],[Dt Venc:]]-TODAY())</f>
        <v>-</v>
      </c>
      <c r="G2790" s="3">
        <v>1</v>
      </c>
      <c r="H2790" s="3"/>
    </row>
    <row r="2791" spans="1:8" hidden="1">
      <c r="A2791" s="3">
        <v>42</v>
      </c>
      <c r="B2791" s="7" t="s">
        <v>132</v>
      </c>
      <c r="C2791" s="42">
        <v>3873.33</v>
      </c>
      <c r="D2791" s="6">
        <v>45632</v>
      </c>
      <c r="E2791" s="3" t="str">
        <f ca="1">IF(Tabela2[[#This Row],[Dt Venc:]]&gt;TODAY(),"Em Aberto",IF(Tabela2[[#This Row],[D/venc]]="-","Enviado",IF(Tabela2[[#This Row],[Dt Venc:]]=TODAY(),"Vence Hoje","Vencida")))</f>
        <v>Enviado</v>
      </c>
      <c r="F2791" s="3" t="str">
        <f ca="1">IF(G2791=1,"-",Tabela2[[#This Row],[Dt Venc:]]-TODAY())</f>
        <v>-</v>
      </c>
      <c r="G2791" s="3">
        <v>1</v>
      </c>
      <c r="H2791" s="3"/>
    </row>
    <row r="2792" spans="1:8" hidden="1">
      <c r="A2792" s="3">
        <v>10153</v>
      </c>
      <c r="B2792" s="7" t="s">
        <v>216</v>
      </c>
      <c r="C2792" s="42">
        <v>426.66</v>
      </c>
      <c r="D2792" s="6">
        <v>45632</v>
      </c>
      <c r="E2792" s="3" t="str">
        <f ca="1">IF(Tabela2[[#This Row],[Dt Venc:]]&gt;TODAY(),"Em Aberto",IF(Tabela2[[#This Row],[D/venc]]="-","Enviado",IF(Tabela2[[#This Row],[Dt Venc:]]=TODAY(),"Vence Hoje","Vencida")))</f>
        <v>Enviado</v>
      </c>
      <c r="F2792" s="3" t="str">
        <f ca="1">IF(G2792=1,"-",Tabela2[[#This Row],[Dt Venc:]]-TODAY())</f>
        <v>-</v>
      </c>
      <c r="G2792" s="3">
        <v>1</v>
      </c>
      <c r="H2792" s="3"/>
    </row>
    <row r="2793" spans="1:8" hidden="1">
      <c r="A2793" s="3">
        <v>607640</v>
      </c>
      <c r="B2793" s="7" t="s">
        <v>196</v>
      </c>
      <c r="C2793" s="42">
        <v>1955.79</v>
      </c>
      <c r="D2793" s="6">
        <v>45632</v>
      </c>
      <c r="E2793" s="3" t="str">
        <f ca="1">IF(Tabela2[[#This Row],[Dt Venc:]]&gt;TODAY(),"Em Aberto",IF(Tabela2[[#This Row],[D/venc]]="-","Enviado",IF(Tabela2[[#This Row],[Dt Venc:]]=TODAY(),"Vence Hoje","Vencida")))</f>
        <v>Enviado</v>
      </c>
      <c r="F2793" s="3" t="str">
        <f ca="1">IF(G2793=1,"-",Tabela2[[#This Row],[Dt Venc:]]-TODAY())</f>
        <v>-</v>
      </c>
      <c r="G2793" s="3">
        <v>1</v>
      </c>
      <c r="H2793" s="3"/>
    </row>
    <row r="2794" spans="1:8" hidden="1">
      <c r="A2794" s="3">
        <v>224860</v>
      </c>
      <c r="B2794" s="7" t="s">
        <v>43</v>
      </c>
      <c r="C2794" s="42">
        <v>954.52</v>
      </c>
      <c r="D2794" s="6">
        <v>45632</v>
      </c>
      <c r="E2794" s="3" t="str">
        <f ca="1">IF(Tabela2[[#This Row],[Dt Venc:]]&gt;TODAY(),"Em Aberto",IF(Tabela2[[#This Row],[D/venc]]="-","Enviado",IF(Tabela2[[#This Row],[Dt Venc:]]=TODAY(),"Vence Hoje","Vencida")))</f>
        <v>Enviado</v>
      </c>
      <c r="F2794" s="3" t="str">
        <f ca="1">IF(G2794=1,"-",Tabela2[[#This Row],[Dt Venc:]]-TODAY())</f>
        <v>-</v>
      </c>
      <c r="G2794" s="3">
        <v>1</v>
      </c>
      <c r="H2794" s="3"/>
    </row>
    <row r="2795" spans="1:8" hidden="1">
      <c r="A2795" s="3">
        <v>30202</v>
      </c>
      <c r="B2795" s="7" t="s">
        <v>97</v>
      </c>
      <c r="C2795" s="42">
        <v>3140</v>
      </c>
      <c r="D2795" s="6">
        <v>45632</v>
      </c>
      <c r="E2795" s="3" t="str">
        <f ca="1">IF(Tabela2[[#This Row],[Dt Venc:]]&gt;TODAY(),"Em Aberto",IF(Tabela2[[#This Row],[D/venc]]="-","Enviado",IF(Tabela2[[#This Row],[Dt Venc:]]=TODAY(),"Vence Hoje","Vencida")))</f>
        <v>Enviado</v>
      </c>
      <c r="F2795" s="3" t="str">
        <f ca="1">IF(G2795=1,"-",Tabela2[[#This Row],[Dt Venc:]]-TODAY())</f>
        <v>-</v>
      </c>
      <c r="G2795" s="3">
        <v>1</v>
      </c>
      <c r="H2795" s="3"/>
    </row>
    <row r="2796" spans="1:8" hidden="1">
      <c r="A2796" s="3">
        <v>326750</v>
      </c>
      <c r="B2796" s="7" t="s">
        <v>240</v>
      </c>
      <c r="C2796" s="42">
        <v>405</v>
      </c>
      <c r="D2796" s="6">
        <v>45632</v>
      </c>
      <c r="E2796" s="3" t="str">
        <f ca="1">IF(Tabela2[[#This Row],[Dt Venc:]]&gt;TODAY(),"Em Aberto",IF(Tabela2[[#This Row],[D/venc]]="-","Enviado",IF(Tabela2[[#This Row],[Dt Venc:]]=TODAY(),"Vence Hoje","Vencida")))</f>
        <v>Enviado</v>
      </c>
      <c r="F2796" s="3" t="str">
        <f ca="1">IF(G2796=1,"-",Tabela2[[#This Row],[Dt Venc:]]-TODAY())</f>
        <v>-</v>
      </c>
      <c r="G2796" s="3">
        <v>1</v>
      </c>
      <c r="H2796" s="3"/>
    </row>
    <row r="2797" spans="1:8" hidden="1">
      <c r="A2797" s="3">
        <v>153391</v>
      </c>
      <c r="B2797" s="7" t="s">
        <v>240</v>
      </c>
      <c r="C2797" s="42">
        <v>1233.33</v>
      </c>
      <c r="D2797" s="6">
        <v>45632</v>
      </c>
      <c r="E2797" s="3" t="str">
        <f ca="1">IF(Tabela2[[#This Row],[Dt Venc:]]&gt;TODAY(),"Em Aberto",IF(Tabela2[[#This Row],[D/venc]]="-","Enviado",IF(Tabela2[[#This Row],[Dt Venc:]]=TODAY(),"Vence Hoje","Vencida")))</f>
        <v>Enviado</v>
      </c>
      <c r="F2797" s="3" t="str">
        <f ca="1">IF(G2797=1,"-",Tabela2[[#This Row],[Dt Venc:]]-TODAY())</f>
        <v>-</v>
      </c>
      <c r="G2797" s="3">
        <v>1</v>
      </c>
      <c r="H2797" s="3"/>
    </row>
    <row r="2798" spans="1:8" hidden="1">
      <c r="A2798" s="3">
        <v>153373</v>
      </c>
      <c r="B2798" s="7" t="s">
        <v>240</v>
      </c>
      <c r="C2798" s="42">
        <v>433.33</v>
      </c>
      <c r="D2798" s="6">
        <v>45632</v>
      </c>
      <c r="E2798" s="3" t="str">
        <f ca="1">IF(Tabela2[[#This Row],[Dt Venc:]]&gt;TODAY(),"Em Aberto",IF(Tabela2[[#This Row],[D/venc]]="-","Enviado",IF(Tabela2[[#This Row],[Dt Venc:]]=TODAY(),"Vence Hoje","Vencida")))</f>
        <v>Enviado</v>
      </c>
      <c r="F2798" s="3" t="str">
        <f ca="1">IF(G2798=1,"-",Tabela2[[#This Row],[Dt Venc:]]-TODAY())</f>
        <v>-</v>
      </c>
      <c r="G2798" s="3">
        <v>1</v>
      </c>
      <c r="H2798" s="3"/>
    </row>
    <row r="2799" spans="1:8" hidden="1">
      <c r="A2799" s="3">
        <v>153375</v>
      </c>
      <c r="B2799" s="7" t="s">
        <v>240</v>
      </c>
      <c r="C2799" s="42">
        <v>433.33</v>
      </c>
      <c r="D2799" s="6">
        <v>45632</v>
      </c>
      <c r="E2799" s="3" t="str">
        <f ca="1">IF(Tabela2[[#This Row],[Dt Venc:]]&gt;TODAY(),"Em Aberto",IF(Tabela2[[#This Row],[D/venc]]="-","Enviado",IF(Tabela2[[#This Row],[Dt Venc:]]=TODAY(),"Vence Hoje","Vencida")))</f>
        <v>Enviado</v>
      </c>
      <c r="F2799" s="3" t="str">
        <f ca="1">IF(G2799=1,"-",Tabela2[[#This Row],[Dt Venc:]]-TODAY())</f>
        <v>-</v>
      </c>
      <c r="G2799" s="3">
        <v>1</v>
      </c>
      <c r="H2799" s="3"/>
    </row>
    <row r="2800" spans="1:8" hidden="1">
      <c r="A2800" s="3">
        <v>153374</v>
      </c>
      <c r="B2800" s="7" t="s">
        <v>240</v>
      </c>
      <c r="C2800" s="42">
        <v>773.33</v>
      </c>
      <c r="D2800" s="6">
        <v>45632</v>
      </c>
      <c r="E2800" s="3" t="str">
        <f ca="1">IF(Tabela2[[#This Row],[Dt Venc:]]&gt;TODAY(),"Em Aberto",IF(Tabela2[[#This Row],[D/venc]]="-","Enviado",IF(Tabela2[[#This Row],[Dt Venc:]]=TODAY(),"Vence Hoje","Vencida")))</f>
        <v>Enviado</v>
      </c>
      <c r="F2800" s="3" t="str">
        <f ca="1">IF(G2800=1,"-",Tabela2[[#This Row],[Dt Venc:]]-TODAY())</f>
        <v>-</v>
      </c>
      <c r="G2800" s="3">
        <v>1</v>
      </c>
      <c r="H2800" s="3"/>
    </row>
    <row r="2801" spans="1:8" hidden="1">
      <c r="A2801" s="3">
        <v>71619</v>
      </c>
      <c r="B2801" s="7" t="s">
        <v>76</v>
      </c>
      <c r="C2801" s="42">
        <v>1728.17</v>
      </c>
      <c r="D2801" s="6">
        <v>45632</v>
      </c>
      <c r="E2801" s="3" t="str">
        <f ca="1">IF(Tabela2[[#This Row],[Dt Venc:]]&gt;TODAY(),"Em Aberto",IF(Tabela2[[#This Row],[D/venc]]="-","Enviado",IF(Tabela2[[#This Row],[Dt Venc:]]=TODAY(),"Vence Hoje","Vencida")))</f>
        <v>Enviado</v>
      </c>
      <c r="F2801" s="3" t="str">
        <f ca="1">IF(G2801=1,"-",Tabela2[[#This Row],[Dt Venc:]]-TODAY())</f>
        <v>-</v>
      </c>
      <c r="G2801" s="3">
        <v>1</v>
      </c>
      <c r="H2801" s="3"/>
    </row>
    <row r="2802" spans="1:8" hidden="1">
      <c r="A2802" s="3">
        <v>71673</v>
      </c>
      <c r="B2802" s="7" t="s">
        <v>76</v>
      </c>
      <c r="C2802" s="42">
        <v>357.9</v>
      </c>
      <c r="D2802" s="6">
        <v>45632</v>
      </c>
      <c r="E2802" s="3" t="str">
        <f ca="1">IF(Tabela2[[#This Row],[Dt Venc:]]&gt;TODAY(),"Em Aberto",IF(Tabela2[[#This Row],[D/venc]]="-","Enviado",IF(Tabela2[[#This Row],[Dt Venc:]]=TODAY(),"Vence Hoje","Vencida")))</f>
        <v>Enviado</v>
      </c>
      <c r="F2802" s="3" t="str">
        <f ca="1">IF(G2802=1,"-",Tabela2[[#This Row],[Dt Venc:]]-TODAY())</f>
        <v>-</v>
      </c>
      <c r="G2802" s="3">
        <v>1</v>
      </c>
      <c r="H2802" s="3"/>
    </row>
    <row r="2803" spans="1:8" hidden="1">
      <c r="A2803" s="3">
        <v>26960</v>
      </c>
      <c r="B2803" s="7" t="s">
        <v>192</v>
      </c>
      <c r="C2803" s="42">
        <v>2128.7399999999998</v>
      </c>
      <c r="D2803" s="6">
        <v>45632</v>
      </c>
      <c r="E2803" s="3" t="str">
        <f ca="1">IF(Tabela2[[#This Row],[Dt Venc:]]&gt;TODAY(),"Em Aberto",IF(Tabela2[[#This Row],[D/venc]]="-","Enviado",IF(Tabela2[[#This Row],[Dt Venc:]]=TODAY(),"Vence Hoje","Vencida")))</f>
        <v>Enviado</v>
      </c>
      <c r="F2803" s="3" t="str">
        <f ca="1">IF(G2803=1,"-",Tabela2[[#This Row],[Dt Venc:]]-TODAY())</f>
        <v>-</v>
      </c>
      <c r="G2803" s="3">
        <v>1</v>
      </c>
      <c r="H2803" s="3"/>
    </row>
    <row r="2804" spans="1:8" hidden="1">
      <c r="A2804" s="3">
        <v>326718</v>
      </c>
      <c r="B2804" s="7" t="s">
        <v>240</v>
      </c>
      <c r="C2804" s="42">
        <v>405</v>
      </c>
      <c r="D2804" s="6">
        <v>45632</v>
      </c>
      <c r="E2804" s="3" t="str">
        <f ca="1">IF(Tabela2[[#This Row],[Dt Venc:]]&gt;TODAY(),"Em Aberto",IF(Tabela2[[#This Row],[D/venc]]="-","Enviado",IF(Tabela2[[#This Row],[Dt Venc:]]=TODAY(),"Vence Hoje","Vencida")))</f>
        <v>Enviado</v>
      </c>
      <c r="F2804" s="3" t="str">
        <f ca="1">IF(G2804=1,"-",Tabela2[[#This Row],[Dt Venc:]]-TODAY())</f>
        <v>-</v>
      </c>
      <c r="G2804" s="3">
        <v>1</v>
      </c>
      <c r="H2804" s="3"/>
    </row>
    <row r="2805" spans="1:8" hidden="1">
      <c r="A2805" s="3">
        <v>153378</v>
      </c>
      <c r="B2805" s="7" t="s">
        <v>240</v>
      </c>
      <c r="C2805" s="42">
        <v>1233.33</v>
      </c>
      <c r="D2805" s="6">
        <v>45632</v>
      </c>
      <c r="E2805" s="3" t="str">
        <f ca="1">IF(Tabela2[[#This Row],[Dt Venc:]]&gt;TODAY(),"Em Aberto",IF(Tabela2[[#This Row],[D/venc]]="-","Enviado",IF(Tabela2[[#This Row],[Dt Venc:]]=TODAY(),"Vence Hoje","Vencida")))</f>
        <v>Enviado</v>
      </c>
      <c r="F2805" s="3" t="str">
        <f ca="1">IF(G2805=1,"-",Tabela2[[#This Row],[Dt Venc:]]-TODAY())</f>
        <v>-</v>
      </c>
      <c r="G2805" s="3">
        <v>1</v>
      </c>
      <c r="H2805" s="3"/>
    </row>
    <row r="2806" spans="1:8" hidden="1">
      <c r="A2806" s="3">
        <v>53975</v>
      </c>
      <c r="B2806" s="7" t="s">
        <v>35</v>
      </c>
      <c r="C2806" s="41">
        <v>384.07</v>
      </c>
      <c r="D2806" s="6">
        <v>45632</v>
      </c>
      <c r="E2806" s="3" t="str">
        <f ca="1">IF(Tabela2[[#This Row],[Dt Venc:]]&gt;TODAY(),"Em Aberto",IF(Tabela2[[#This Row],[D/venc]]="-","Enviado",IF(Tabela2[[#This Row],[Dt Venc:]]=TODAY(),"Vence Hoje","Vencida")))</f>
        <v>Enviado</v>
      </c>
      <c r="F2806" s="3" t="str">
        <f ca="1">IF(G2806=1,"-",Tabela2[[#This Row],[Dt Venc:]]-TODAY())</f>
        <v>-</v>
      </c>
      <c r="G2806" s="3">
        <v>1</v>
      </c>
      <c r="H2806" s="3"/>
    </row>
    <row r="2807" spans="1:8" hidden="1">
      <c r="A2807" s="3">
        <v>13088</v>
      </c>
      <c r="B2807" s="7" t="s">
        <v>408</v>
      </c>
      <c r="C2807" s="41">
        <v>627.17999999999995</v>
      </c>
      <c r="D2807" s="6">
        <v>45632</v>
      </c>
      <c r="E2807" s="3" t="str">
        <f ca="1">IF(Tabela2[[#This Row],[Dt Venc:]]&gt;TODAY(),"Em Aberto",IF(Tabela2[[#This Row],[D/venc]]="-","Enviado",IF(Tabela2[[#This Row],[Dt Venc:]]=TODAY(),"Vence Hoje","Vencida")))</f>
        <v>Enviado</v>
      </c>
      <c r="F2807" s="3" t="str">
        <f ca="1">IF(G2807=1,"-",Tabela2[[#This Row],[Dt Venc:]]-TODAY())</f>
        <v>-</v>
      </c>
      <c r="G2807" s="3">
        <v>1</v>
      </c>
      <c r="H2807" s="3"/>
    </row>
    <row r="2808" spans="1:8" hidden="1">
      <c r="A2808" s="3">
        <v>2821</v>
      </c>
      <c r="B2808" s="7" t="s">
        <v>301</v>
      </c>
      <c r="C2808" s="41">
        <v>2440</v>
      </c>
      <c r="D2808" s="6">
        <v>45632</v>
      </c>
      <c r="E2808" s="3" t="str">
        <f ca="1">IF(Tabela2[[#This Row],[Dt Venc:]]&gt;TODAY(),"Em Aberto",IF(Tabela2[[#This Row],[D/venc]]="-","Enviado",IF(Tabela2[[#This Row],[Dt Venc:]]=TODAY(),"Vence Hoje","Vencida")))</f>
        <v>Enviado</v>
      </c>
      <c r="F2808" s="3" t="str">
        <f ca="1">IF(G2808=1,"-",Tabela2[[#This Row],[Dt Venc:]]-TODAY())</f>
        <v>-</v>
      </c>
      <c r="G2808" s="3">
        <v>1</v>
      </c>
      <c r="H2808" s="3"/>
    </row>
    <row r="2809" spans="1:8" hidden="1">
      <c r="A2809" s="3">
        <v>70489</v>
      </c>
      <c r="B2809" s="7" t="s">
        <v>333</v>
      </c>
      <c r="C2809" s="41">
        <v>536</v>
      </c>
      <c r="D2809" s="6">
        <v>45632</v>
      </c>
      <c r="E2809" s="3" t="str">
        <f ca="1">IF(Tabela2[[#This Row],[Dt Venc:]]&gt;TODAY(),"Em Aberto",IF(Tabela2[[#This Row],[D/venc]]="-","Enviado",IF(Tabela2[[#This Row],[Dt Venc:]]=TODAY(),"Vence Hoje","Vencida")))</f>
        <v>Enviado</v>
      </c>
      <c r="F2809" s="3" t="str">
        <f ca="1">IF(G2809=1,"-",Tabela2[[#This Row],[Dt Venc:]]-TODAY())</f>
        <v>-</v>
      </c>
      <c r="G2809" s="3">
        <v>1</v>
      </c>
      <c r="H2809" s="3"/>
    </row>
    <row r="2810" spans="1:8" hidden="1">
      <c r="A2810" s="3">
        <v>203204</v>
      </c>
      <c r="B2810" s="7" t="s">
        <v>200</v>
      </c>
      <c r="C2810" s="41">
        <v>310</v>
      </c>
      <c r="D2810" s="6">
        <v>45632</v>
      </c>
      <c r="E2810" s="3" t="str">
        <f ca="1">IF(Tabela2[[#This Row],[Dt Venc:]]&gt;TODAY(),"Em Aberto",IF(Tabela2[[#This Row],[D/venc]]="-","Enviado",IF(Tabela2[[#This Row],[Dt Venc:]]=TODAY(),"Vence Hoje","Vencida")))</f>
        <v>Enviado</v>
      </c>
      <c r="F2810" s="3" t="str">
        <f ca="1">IF(G2810=1,"-",Tabela2[[#This Row],[Dt Venc:]]-TODAY())</f>
        <v>-</v>
      </c>
      <c r="G2810" s="3">
        <v>1</v>
      </c>
      <c r="H2810" s="3"/>
    </row>
    <row r="2811" spans="1:8" hidden="1">
      <c r="A2811" s="3">
        <v>57332</v>
      </c>
      <c r="B2811" s="7" t="s">
        <v>327</v>
      </c>
      <c r="C2811" s="41">
        <v>1002.27</v>
      </c>
      <c r="D2811" s="6">
        <v>45632</v>
      </c>
      <c r="E2811" s="3" t="str">
        <f ca="1">IF(Tabela2[[#This Row],[Dt Venc:]]&gt;TODAY(),"Em Aberto",IF(Tabela2[[#This Row],[D/venc]]="-","Enviado",IF(Tabela2[[#This Row],[Dt Venc:]]=TODAY(),"Vence Hoje","Vencida")))</f>
        <v>Enviado</v>
      </c>
      <c r="F2811" s="3" t="str">
        <f ca="1">IF(G2811=1,"-",Tabela2[[#This Row],[Dt Venc:]]-TODAY())</f>
        <v>-</v>
      </c>
      <c r="G2811" s="3">
        <v>1</v>
      </c>
      <c r="H2811" s="3"/>
    </row>
    <row r="2812" spans="1:8" hidden="1">
      <c r="A2812" s="3">
        <v>87</v>
      </c>
      <c r="B2812" s="7" t="s">
        <v>95</v>
      </c>
      <c r="C2812" s="41">
        <v>10093</v>
      </c>
      <c r="D2812" s="6">
        <v>45632</v>
      </c>
      <c r="E2812" s="3" t="str">
        <f ca="1">IF(Tabela2[[#This Row],[Dt Venc:]]&gt;TODAY(),"Em Aberto",IF(Tabela2[[#This Row],[D/venc]]="-","Enviado",IF(Tabela2[[#This Row],[Dt Venc:]]=TODAY(),"Vence Hoje","Vencida")))</f>
        <v>Enviado</v>
      </c>
      <c r="F2812" s="3" t="str">
        <f ca="1">IF(G2812=1,"-",Tabela2[[#This Row],[Dt Venc:]]-TODAY())</f>
        <v>-</v>
      </c>
      <c r="G2812" s="3">
        <v>1</v>
      </c>
      <c r="H2812" s="3"/>
    </row>
    <row r="2813" spans="1:8" hidden="1">
      <c r="A2813" s="3">
        <v>256984</v>
      </c>
      <c r="B2813" s="7" t="s">
        <v>49</v>
      </c>
      <c r="C2813" s="41">
        <v>1393.34</v>
      </c>
      <c r="D2813" s="6">
        <v>45632</v>
      </c>
      <c r="E2813" s="3" t="str">
        <f ca="1">IF(Tabela2[[#This Row],[Dt Venc:]]&gt;TODAY(),"Em Aberto",IF(Tabela2[[#This Row],[D/venc]]="-","Enviado",IF(Tabela2[[#This Row],[Dt Venc:]]=TODAY(),"Vence Hoje","Vencida")))</f>
        <v>Enviado</v>
      </c>
      <c r="F2813" s="3" t="str">
        <f ca="1">IF(G2813=1,"-",Tabela2[[#This Row],[Dt Venc:]]-TODAY())</f>
        <v>-</v>
      </c>
      <c r="G2813" s="3">
        <v>1</v>
      </c>
      <c r="H2813" s="3"/>
    </row>
    <row r="2814" spans="1:8" hidden="1">
      <c r="A2814" s="3">
        <v>257233</v>
      </c>
      <c r="B2814" s="7" t="s">
        <v>49</v>
      </c>
      <c r="C2814" s="41">
        <v>1393.34</v>
      </c>
      <c r="D2814" s="6">
        <v>45632</v>
      </c>
      <c r="E2814" s="3" t="str">
        <f ca="1">IF(Tabela2[[#This Row],[Dt Venc:]]&gt;TODAY(),"Em Aberto",IF(Tabela2[[#This Row],[D/venc]]="-","Enviado",IF(Tabela2[[#This Row],[Dt Venc:]]=TODAY(),"Vence Hoje","Vencida")))</f>
        <v>Enviado</v>
      </c>
      <c r="F2814" s="3" t="str">
        <f ca="1">IF(G2814=1,"-",Tabela2[[#This Row],[Dt Venc:]]-TODAY())</f>
        <v>-</v>
      </c>
      <c r="G2814" s="3">
        <v>1</v>
      </c>
      <c r="H2814" s="3"/>
    </row>
    <row r="2815" spans="1:8" hidden="1">
      <c r="A2815" s="3">
        <v>108740</v>
      </c>
      <c r="B2815" s="7" t="s">
        <v>504</v>
      </c>
      <c r="C2815" s="41">
        <v>1106.67</v>
      </c>
      <c r="D2815" s="6">
        <v>45632</v>
      </c>
      <c r="E2815" s="3" t="str">
        <f ca="1">IF(Tabela2[[#This Row],[Dt Venc:]]&gt;TODAY(),"Em Aberto",IF(Tabela2[[#This Row],[D/venc]]="-","Enviado",IF(Tabela2[[#This Row],[Dt Venc:]]=TODAY(),"Vence Hoje","Vencida")))</f>
        <v>Enviado</v>
      </c>
      <c r="F2815" s="3" t="str">
        <f ca="1">IF(G2815=1,"-",Tabela2[[#This Row],[Dt Venc:]]-TODAY())</f>
        <v>-</v>
      </c>
      <c r="G2815" s="3">
        <v>1</v>
      </c>
      <c r="H2815" s="3"/>
    </row>
    <row r="2816" spans="1:8" hidden="1">
      <c r="A2816" s="3">
        <v>663957</v>
      </c>
      <c r="B2816" s="7" t="s">
        <v>346</v>
      </c>
      <c r="C2816" s="41">
        <v>1724.82</v>
      </c>
      <c r="D2816" s="6">
        <v>45632</v>
      </c>
      <c r="E2816" s="3" t="str">
        <f ca="1">IF(Tabela2[[#This Row],[Dt Venc:]]&gt;TODAY(),"Em Aberto",IF(Tabela2[[#This Row],[D/venc]]="-","Enviado",IF(Tabela2[[#This Row],[Dt Venc:]]=TODAY(),"Vence Hoje","Vencida")))</f>
        <v>Enviado</v>
      </c>
      <c r="F2816" s="3" t="str">
        <f ca="1">IF(G2816=1,"-",Tabela2[[#This Row],[Dt Venc:]]-TODAY())</f>
        <v>-</v>
      </c>
      <c r="G2816" s="3">
        <v>1</v>
      </c>
      <c r="H2816" s="3"/>
    </row>
    <row r="2817" spans="1:8" hidden="1">
      <c r="A2817" s="3">
        <v>72922</v>
      </c>
      <c r="B2817" s="7" t="s">
        <v>76</v>
      </c>
      <c r="C2817" s="41">
        <v>627.37</v>
      </c>
      <c r="D2817" s="6">
        <v>45632</v>
      </c>
      <c r="E2817" s="3" t="str">
        <f ca="1">IF(Tabela2[[#This Row],[Dt Venc:]]&gt;TODAY(),"Em Aberto",IF(Tabela2[[#This Row],[D/venc]]="-","Enviado",IF(Tabela2[[#This Row],[Dt Venc:]]=TODAY(),"Vence Hoje","Vencida")))</f>
        <v>Enviado</v>
      </c>
      <c r="F2817" s="3" t="str">
        <f ca="1">IF(G2817=1,"-",Tabela2[[#This Row],[Dt Venc:]]-TODAY())</f>
        <v>-</v>
      </c>
      <c r="G2817" s="3">
        <v>1</v>
      </c>
      <c r="H2817" s="3"/>
    </row>
    <row r="2818" spans="1:8" hidden="1">
      <c r="A2818" s="3">
        <v>224599</v>
      </c>
      <c r="B2818" s="7" t="s">
        <v>127</v>
      </c>
      <c r="C2818" s="41">
        <v>557.19000000000005</v>
      </c>
      <c r="D2818" s="6">
        <v>45632</v>
      </c>
      <c r="E2818" s="3" t="str">
        <f ca="1">IF(Tabela2[[#This Row],[Dt Venc:]]&gt;TODAY(),"Em Aberto",IF(Tabela2[[#This Row],[D/venc]]="-","Enviado",IF(Tabela2[[#This Row],[Dt Venc:]]=TODAY(),"Vence Hoje","Vencida")))</f>
        <v>Enviado</v>
      </c>
      <c r="F2818" s="3" t="str">
        <f ca="1">IF(G2818=1,"-",Tabela2[[#This Row],[Dt Venc:]]-TODAY())</f>
        <v>-</v>
      </c>
      <c r="G2818" s="3">
        <v>1</v>
      </c>
      <c r="H2818" s="3"/>
    </row>
    <row r="2819" spans="1:8" hidden="1">
      <c r="A2819" s="3">
        <v>23610</v>
      </c>
      <c r="B2819" s="7" t="s">
        <v>38</v>
      </c>
      <c r="C2819" s="41">
        <v>523.33000000000004</v>
      </c>
      <c r="D2819" s="6">
        <v>45632</v>
      </c>
      <c r="E2819" s="3" t="str">
        <f ca="1">IF(Tabela2[[#This Row],[Dt Venc:]]&gt;TODAY(),"Em Aberto",IF(Tabela2[[#This Row],[D/venc]]="-","Enviado",IF(Tabela2[[#This Row],[Dt Venc:]]=TODAY(),"Vence Hoje","Vencida")))</f>
        <v>Enviado</v>
      </c>
      <c r="F2819" s="3" t="str">
        <f ca="1">IF(G2819=1,"-",Tabela2[[#This Row],[Dt Venc:]]-TODAY())</f>
        <v>-</v>
      </c>
      <c r="G2819" s="3">
        <v>1</v>
      </c>
      <c r="H2819" s="3"/>
    </row>
    <row r="2820" spans="1:8" hidden="1">
      <c r="A2820" s="3">
        <v>113680</v>
      </c>
      <c r="B2820" s="7" t="s">
        <v>209</v>
      </c>
      <c r="C2820" s="41">
        <v>328</v>
      </c>
      <c r="D2820" s="6">
        <v>45632</v>
      </c>
      <c r="E2820" s="3" t="str">
        <f ca="1">IF(Tabela2[[#This Row],[Dt Venc:]]&gt;TODAY(),"Em Aberto",IF(Tabela2[[#This Row],[D/venc]]="-","Enviado",IF(Tabela2[[#This Row],[Dt Venc:]]=TODAY(),"Vence Hoje","Vencida")))</f>
        <v>Enviado</v>
      </c>
      <c r="F2820" s="3" t="str">
        <f ca="1">IF(G2820=1,"-",Tabela2[[#This Row],[Dt Venc:]]-TODAY())</f>
        <v>-</v>
      </c>
      <c r="G2820" s="3">
        <v>1</v>
      </c>
      <c r="H2820" s="3"/>
    </row>
    <row r="2821" spans="1:8" hidden="1">
      <c r="A2821" s="3">
        <v>1412616</v>
      </c>
      <c r="B2821" s="7" t="s">
        <v>151</v>
      </c>
      <c r="C2821" s="41">
        <v>504.32</v>
      </c>
      <c r="D2821" s="6">
        <v>45632</v>
      </c>
      <c r="E2821" s="3" t="str">
        <f ca="1">IF(Tabela2[[#This Row],[Dt Venc:]]&gt;TODAY(),"Em Aberto",IF(Tabela2[[#This Row],[D/venc]]="-","Enviado",IF(Tabela2[[#This Row],[Dt Venc:]]=TODAY(),"Vence Hoje","Vencida")))</f>
        <v>Enviado</v>
      </c>
      <c r="F2821" s="3" t="str">
        <f ca="1">IF(G2821=1,"-",Tabela2[[#This Row],[Dt Venc:]]-TODAY())</f>
        <v>-</v>
      </c>
      <c r="G2821" s="3">
        <v>1</v>
      </c>
      <c r="H2821" s="3"/>
    </row>
    <row r="2822" spans="1:8" hidden="1">
      <c r="A2822" s="3">
        <v>14188</v>
      </c>
      <c r="B2822" s="7" t="s">
        <v>102</v>
      </c>
      <c r="C2822" s="41">
        <v>466.66</v>
      </c>
      <c r="D2822" s="6">
        <v>45632</v>
      </c>
      <c r="E2822" s="3" t="str">
        <f ca="1">IF(Tabela2[[#This Row],[Dt Venc:]]&gt;TODAY(),"Em Aberto",IF(Tabela2[[#This Row],[D/venc]]="-","Enviado",IF(Tabela2[[#This Row],[Dt Venc:]]=TODAY(),"Vence Hoje","Vencida")))</f>
        <v>Enviado</v>
      </c>
      <c r="F2822" s="3" t="str">
        <f ca="1">IF(G2822=1,"-",Tabela2[[#This Row],[Dt Venc:]]-TODAY())</f>
        <v>-</v>
      </c>
      <c r="G2822" s="3">
        <v>1</v>
      </c>
      <c r="H2822" s="3"/>
    </row>
    <row r="2823" spans="1:8" hidden="1">
      <c r="A2823" s="3">
        <v>428135</v>
      </c>
      <c r="B2823" s="7" t="s">
        <v>89</v>
      </c>
      <c r="C2823" s="41">
        <v>761</v>
      </c>
      <c r="D2823" s="6">
        <v>45632</v>
      </c>
      <c r="E2823" s="3" t="str">
        <f ca="1">IF(Tabela2[[#This Row],[Dt Venc:]]&gt;TODAY(),"Em Aberto",IF(Tabela2[[#This Row],[D/venc]]="-","Enviado",IF(Tabela2[[#This Row],[Dt Venc:]]=TODAY(),"Vence Hoje","Vencida")))</f>
        <v>Enviado</v>
      </c>
      <c r="F2823" s="3" t="str">
        <f ca="1">IF(G2823=1,"-",Tabela2[[#This Row],[Dt Venc:]]-TODAY())</f>
        <v>-</v>
      </c>
      <c r="G2823" s="3">
        <v>1</v>
      </c>
      <c r="H2823" s="3"/>
    </row>
    <row r="2824" spans="1:8" hidden="1">
      <c r="A2824" s="3">
        <v>257492</v>
      </c>
      <c r="B2824" s="7" t="s">
        <v>326</v>
      </c>
      <c r="C2824" s="41">
        <v>1373.34</v>
      </c>
      <c r="D2824" s="6">
        <v>45632</v>
      </c>
      <c r="E2824" s="3" t="str">
        <f ca="1">IF(Tabela2[[#This Row],[Dt Venc:]]&gt;TODAY(),"Em Aberto",IF(Tabela2[[#This Row],[D/venc]]="-","Enviado",IF(Tabela2[[#This Row],[Dt Venc:]]=TODAY(),"Vence Hoje","Vencida")))</f>
        <v>Enviado</v>
      </c>
      <c r="F2824" s="3" t="str">
        <f ca="1">IF(G2824=1,"-",Tabela2[[#This Row],[Dt Venc:]]-TODAY())</f>
        <v>-</v>
      </c>
      <c r="G2824" s="3">
        <v>1</v>
      </c>
      <c r="H2824" s="3"/>
    </row>
    <row r="2825" spans="1:8" hidden="1">
      <c r="A2825" s="3">
        <v>390478</v>
      </c>
      <c r="B2825" s="7" t="s">
        <v>43</v>
      </c>
      <c r="C2825" s="41">
        <v>430</v>
      </c>
      <c r="D2825" s="6">
        <v>45632</v>
      </c>
      <c r="E2825" s="3" t="str">
        <f ca="1">IF(Tabela2[[#This Row],[Dt Venc:]]&gt;TODAY(),"Em Aberto",IF(Tabela2[[#This Row],[D/venc]]="-","Enviado",IF(Tabela2[[#This Row],[Dt Venc:]]=TODAY(),"Vence Hoje","Vencida")))</f>
        <v>Enviado</v>
      </c>
      <c r="F2825" s="3" t="str">
        <f ca="1">IF(G2825=1,"-",Tabela2[[#This Row],[Dt Venc:]]-TODAY())</f>
        <v>-</v>
      </c>
      <c r="G2825" s="3">
        <v>1</v>
      </c>
      <c r="H2825" s="3"/>
    </row>
    <row r="2826" spans="1:8" hidden="1">
      <c r="A2826" s="3">
        <v>14241</v>
      </c>
      <c r="B2826" s="7" t="s">
        <v>51</v>
      </c>
      <c r="C2826" s="41">
        <v>450</v>
      </c>
      <c r="D2826" s="6">
        <v>45632</v>
      </c>
      <c r="E2826" s="3" t="str">
        <f ca="1">IF(Tabela2[[#This Row],[Dt Venc:]]&gt;TODAY(),"Em Aberto",IF(Tabela2[[#This Row],[D/venc]]="-","Enviado",IF(Tabela2[[#This Row],[Dt Venc:]]=TODAY(),"Vence Hoje","Vencida")))</f>
        <v>Enviado</v>
      </c>
      <c r="F2826" s="3" t="str">
        <f ca="1">IF(G2826=1,"-",Tabela2[[#This Row],[Dt Venc:]]-TODAY())</f>
        <v>-</v>
      </c>
      <c r="G2826" s="3">
        <v>1</v>
      </c>
      <c r="H2826" s="3"/>
    </row>
    <row r="2827" spans="1:8" hidden="1">
      <c r="A2827" s="3">
        <v>2979</v>
      </c>
      <c r="B2827" s="7" t="s">
        <v>43</v>
      </c>
      <c r="C2827" s="41">
        <v>314</v>
      </c>
      <c r="D2827" s="6">
        <v>45632</v>
      </c>
      <c r="E2827" s="3" t="str">
        <f ca="1">IF(Tabela2[[#This Row],[Dt Venc:]]&gt;TODAY(),"Em Aberto",IF(Tabela2[[#This Row],[D/venc]]="-","Enviado",IF(Tabela2[[#This Row],[Dt Venc:]]=TODAY(),"Vence Hoje","Vencida")))</f>
        <v>Enviado</v>
      </c>
      <c r="F2827" s="3" t="str">
        <f ca="1">IF(G2827=1,"-",Tabela2[[#This Row],[Dt Venc:]]-TODAY())</f>
        <v>-</v>
      </c>
      <c r="G2827" s="3">
        <v>1</v>
      </c>
      <c r="H2827" s="3"/>
    </row>
    <row r="2828" spans="1:8" hidden="1">
      <c r="A2828" s="3">
        <v>57442</v>
      </c>
      <c r="B2828" s="7" t="s">
        <v>496</v>
      </c>
      <c r="C2828" s="41">
        <v>415.4</v>
      </c>
      <c r="D2828" s="6">
        <v>45632</v>
      </c>
      <c r="E2828" s="3" t="str">
        <f ca="1">IF(Tabela2[[#This Row],[Dt Venc:]]&gt;TODAY(),"Em Aberto",IF(Tabela2[[#This Row],[D/venc]]="-","Enviado",IF(Tabela2[[#This Row],[Dt Venc:]]=TODAY(),"Vence Hoje","Vencida")))</f>
        <v>Enviado</v>
      </c>
      <c r="F2828" s="3" t="str">
        <f ca="1">IF(G2828=1,"-",Tabela2[[#This Row],[Dt Venc:]]-TODAY())</f>
        <v>-</v>
      </c>
      <c r="G2828" s="3">
        <v>1</v>
      </c>
      <c r="H2828" s="3"/>
    </row>
    <row r="2829" spans="1:8" hidden="1">
      <c r="A2829" s="3">
        <v>1332</v>
      </c>
      <c r="B2829" s="7" t="s">
        <v>360</v>
      </c>
      <c r="C2829" s="41">
        <v>955</v>
      </c>
      <c r="D2829" s="6">
        <v>45632</v>
      </c>
      <c r="E2829" s="3" t="str">
        <f ca="1">IF(Tabela2[[#This Row],[Dt Venc:]]&gt;TODAY(),"Em Aberto",IF(Tabela2[[#This Row],[D/venc]]="-","Enviado",IF(Tabela2[[#This Row],[Dt Venc:]]=TODAY(),"Vence Hoje","Vencida")))</f>
        <v>Enviado</v>
      </c>
      <c r="F2829" s="3" t="str">
        <f ca="1">IF(G2829=1,"-",Tabela2[[#This Row],[Dt Venc:]]-TODAY())</f>
        <v>-</v>
      </c>
      <c r="G2829" s="3">
        <v>1</v>
      </c>
      <c r="H2829" s="3"/>
    </row>
    <row r="2830" spans="1:8" hidden="1">
      <c r="A2830" s="3">
        <v>39542</v>
      </c>
      <c r="B2830" s="7" t="s">
        <v>505</v>
      </c>
      <c r="C2830" s="41">
        <v>1178</v>
      </c>
      <c r="D2830" s="6">
        <v>45632</v>
      </c>
      <c r="E2830" s="3" t="str">
        <f ca="1">IF(Tabela2[[#This Row],[Dt Venc:]]&gt;TODAY(),"Em Aberto",IF(Tabela2[[#This Row],[D/venc]]="-","Enviado",IF(Tabela2[[#This Row],[Dt Venc:]]=TODAY(),"Vence Hoje","Vencida")))</f>
        <v>Enviado</v>
      </c>
      <c r="F2830" s="3" t="str">
        <f ca="1">IF(G2830=1,"-",Tabela2[[#This Row],[Dt Venc:]]-TODAY())</f>
        <v>-</v>
      </c>
      <c r="G2830" s="3">
        <v>1</v>
      </c>
      <c r="H2830" s="3"/>
    </row>
    <row r="2831" spans="1:8" hidden="1">
      <c r="A2831" s="3">
        <v>390509</v>
      </c>
      <c r="B2831" s="7" t="s">
        <v>43</v>
      </c>
      <c r="C2831" s="41">
        <v>520.74</v>
      </c>
      <c r="D2831" s="6">
        <v>45632</v>
      </c>
      <c r="E2831" s="3" t="str">
        <f ca="1">IF(Tabela2[[#This Row],[Dt Venc:]]&gt;TODAY(),"Em Aberto",IF(Tabela2[[#This Row],[D/venc]]="-","Enviado",IF(Tabela2[[#This Row],[Dt Venc:]]=TODAY(),"Vence Hoje","Vencida")))</f>
        <v>Enviado</v>
      </c>
      <c r="F2831" s="3" t="str">
        <f ca="1">IF(G2831=1,"-",Tabela2[[#This Row],[Dt Venc:]]-TODAY())</f>
        <v>-</v>
      </c>
      <c r="G2831" s="3">
        <v>1</v>
      </c>
      <c r="H2831" s="3"/>
    </row>
    <row r="2832" spans="1:8" hidden="1">
      <c r="A2832" s="3">
        <v>20170</v>
      </c>
      <c r="B2832" s="7" t="s">
        <v>233</v>
      </c>
      <c r="C2832" s="41">
        <v>966.67</v>
      </c>
      <c r="D2832" s="6">
        <v>45632</v>
      </c>
      <c r="E2832" s="3" t="str">
        <f ca="1">IF(Tabela2[[#This Row],[Dt Venc:]]&gt;TODAY(),"Em Aberto",IF(Tabela2[[#This Row],[D/venc]]="-","Enviado",IF(Tabela2[[#This Row],[Dt Venc:]]=TODAY(),"Vence Hoje","Vencida")))</f>
        <v>Enviado</v>
      </c>
      <c r="F2832" s="3" t="str">
        <f ca="1">IF(G2832=1,"-",Tabela2[[#This Row],[Dt Venc:]]-TODAY())</f>
        <v>-</v>
      </c>
      <c r="G2832" s="3">
        <v>1</v>
      </c>
      <c r="H2832" s="3"/>
    </row>
    <row r="2833" spans="1:8" hidden="1">
      <c r="A2833" s="3">
        <v>616027</v>
      </c>
      <c r="B2833" s="7" t="s">
        <v>66</v>
      </c>
      <c r="C2833" s="41">
        <v>2885.67</v>
      </c>
      <c r="D2833" s="6">
        <v>45632</v>
      </c>
      <c r="E2833" s="3" t="str">
        <f ca="1">IF(Tabela2[[#This Row],[Dt Venc:]]&gt;TODAY(),"Em Aberto",IF(Tabela2[[#This Row],[D/venc]]="-","Enviado",IF(Tabela2[[#This Row],[Dt Venc:]]=TODAY(),"Vence Hoje","Vencida")))</f>
        <v>Enviado</v>
      </c>
      <c r="F2833" s="3" t="str">
        <f ca="1">IF(G2833=1,"-",Tabela2[[#This Row],[Dt Venc:]]-TODAY())</f>
        <v>-</v>
      </c>
      <c r="G2833" s="3">
        <v>1</v>
      </c>
      <c r="H2833" s="3"/>
    </row>
    <row r="2834" spans="1:8" hidden="1">
      <c r="A2834" s="3">
        <v>113663</v>
      </c>
      <c r="B2834" s="7" t="s">
        <v>209</v>
      </c>
      <c r="C2834" s="41">
        <v>1108.33</v>
      </c>
      <c r="D2834" s="6">
        <v>45632</v>
      </c>
      <c r="E2834" s="3" t="str">
        <f ca="1">IF(Tabela2[[#This Row],[Dt Venc:]]&gt;TODAY(),"Em Aberto",IF(Tabela2[[#This Row],[D/venc]]="-","Enviado",IF(Tabela2[[#This Row],[Dt Venc:]]=TODAY(),"Vence Hoje","Vencida")))</f>
        <v>Enviado</v>
      </c>
      <c r="F2834" s="3" t="str">
        <f ca="1">IF(G2834=1,"-",Tabela2[[#This Row],[Dt Venc:]]-TODAY())</f>
        <v>-</v>
      </c>
      <c r="G2834" s="3">
        <v>1</v>
      </c>
      <c r="H2834" s="3"/>
    </row>
    <row r="2835" spans="1:8" hidden="1">
      <c r="A2835" s="3">
        <v>182866</v>
      </c>
      <c r="B2835" s="7" t="s">
        <v>84</v>
      </c>
      <c r="C2835" s="41">
        <v>523.71</v>
      </c>
      <c r="D2835" s="6">
        <v>45632</v>
      </c>
      <c r="E2835" s="3" t="str">
        <f ca="1">IF(Tabela2[[#This Row],[Dt Venc:]]&gt;TODAY(),"Em Aberto",IF(Tabela2[[#This Row],[D/venc]]="-","Enviado",IF(Tabela2[[#This Row],[Dt Venc:]]=TODAY(),"Vence Hoje","Vencida")))</f>
        <v>Enviado</v>
      </c>
      <c r="F2835" s="3" t="str">
        <f ca="1">IF(G2835=1,"-",Tabela2[[#This Row],[Dt Venc:]]-TODAY())</f>
        <v>-</v>
      </c>
      <c r="G2835" s="3">
        <v>1</v>
      </c>
      <c r="H2835" s="3"/>
    </row>
    <row r="2836" spans="1:8" hidden="1">
      <c r="A2836" s="3">
        <v>328413</v>
      </c>
      <c r="B2836" s="7" t="s">
        <v>77</v>
      </c>
      <c r="C2836" s="41">
        <v>606.66999999999996</v>
      </c>
      <c r="D2836" s="6">
        <v>45632</v>
      </c>
      <c r="E2836" s="3" t="str">
        <f ca="1">IF(Tabela2[[#This Row],[Dt Venc:]]&gt;TODAY(),"Em Aberto",IF(Tabela2[[#This Row],[D/venc]]="-","Enviado",IF(Tabela2[[#This Row],[Dt Venc:]]=TODAY(),"Vence Hoje","Vencida")))</f>
        <v>Enviado</v>
      </c>
      <c r="F2836" s="3" t="str">
        <f ca="1">IF(G2836=1,"-",Tabela2[[#This Row],[Dt Venc:]]-TODAY())</f>
        <v>-</v>
      </c>
      <c r="G2836" s="3">
        <v>1</v>
      </c>
      <c r="H2836" s="3"/>
    </row>
    <row r="2837" spans="1:8" hidden="1">
      <c r="A2837" s="3">
        <v>233380</v>
      </c>
      <c r="B2837" s="7" t="s">
        <v>40</v>
      </c>
      <c r="C2837" s="41">
        <v>900</v>
      </c>
      <c r="D2837" s="6">
        <v>45632</v>
      </c>
      <c r="E2837" s="3" t="str">
        <f ca="1">IF(Tabela2[[#This Row],[Dt Venc:]]&gt;TODAY(),"Em Aberto",IF(Tabela2[[#This Row],[D/venc]]="-","Enviado",IF(Tabela2[[#This Row],[Dt Venc:]]=TODAY(),"Vence Hoje","Vencida")))</f>
        <v>Enviado</v>
      </c>
      <c r="F2837" s="3" t="str">
        <f ca="1">IF(G2837=1,"-",Tabela2[[#This Row],[Dt Venc:]]-TODAY())</f>
        <v>-</v>
      </c>
      <c r="G2837" s="3">
        <v>1</v>
      </c>
      <c r="H2837" s="3"/>
    </row>
    <row r="2838" spans="1:8" hidden="1">
      <c r="A2838" s="3">
        <v>372166</v>
      </c>
      <c r="B2838" s="7" t="s">
        <v>39</v>
      </c>
      <c r="C2838" s="41">
        <v>609.72</v>
      </c>
      <c r="D2838" s="6">
        <v>45632</v>
      </c>
      <c r="E2838" s="3" t="str">
        <f ca="1">IF(Tabela2[[#This Row],[Dt Venc:]]&gt;TODAY(),"Em Aberto",IF(Tabela2[[#This Row],[D/venc]]="-","Enviado",IF(Tabela2[[#This Row],[Dt Venc:]]=TODAY(),"Vence Hoje","Vencida")))</f>
        <v>Enviado</v>
      </c>
      <c r="F2838" s="3" t="str">
        <f ca="1">IF(G2838=1,"-",Tabela2[[#This Row],[Dt Venc:]]-TODAY())</f>
        <v>-</v>
      </c>
      <c r="G2838" s="3">
        <v>1</v>
      </c>
      <c r="H2838" s="3"/>
    </row>
    <row r="2839" spans="1:8" hidden="1">
      <c r="A2839" s="3">
        <v>303706</v>
      </c>
      <c r="B2839" s="7" t="s">
        <v>506</v>
      </c>
      <c r="C2839" s="41">
        <v>847.96</v>
      </c>
      <c r="D2839" s="6">
        <v>45632</v>
      </c>
      <c r="E2839" s="3" t="str">
        <f ca="1">IF(Tabela2[[#This Row],[Dt Venc:]]&gt;TODAY(),"Em Aberto",IF(Tabela2[[#This Row],[D/venc]]="-","Enviado",IF(Tabela2[[#This Row],[Dt Venc:]]=TODAY(),"Vence Hoje","Vencida")))</f>
        <v>Enviado</v>
      </c>
      <c r="F2839" s="3" t="str">
        <f ca="1">IF(G2839=1,"-",Tabela2[[#This Row],[Dt Venc:]]-TODAY())</f>
        <v>-</v>
      </c>
      <c r="G2839" s="3">
        <v>1</v>
      </c>
      <c r="H2839" s="3"/>
    </row>
    <row r="2840" spans="1:8" hidden="1">
      <c r="A2840" s="3">
        <v>2269507</v>
      </c>
      <c r="B2840" s="7" t="s">
        <v>59</v>
      </c>
      <c r="C2840" s="41">
        <v>28025.5</v>
      </c>
      <c r="D2840" s="6">
        <v>45632</v>
      </c>
      <c r="E2840" s="3" t="str">
        <f ca="1">IF(Tabela2[[#This Row],[Dt Venc:]]&gt;TODAY(),"Em Aberto",IF(Tabela2[[#This Row],[D/venc]]="-","Enviado",IF(Tabela2[[#This Row],[Dt Venc:]]=TODAY(),"Vence Hoje","Vencida")))</f>
        <v>Enviado</v>
      </c>
      <c r="F2840" s="3" t="str">
        <f ca="1">IF(G2840=1,"-",Tabela2[[#This Row],[Dt Venc:]]-TODAY())</f>
        <v>-</v>
      </c>
      <c r="G2840" s="3">
        <v>1</v>
      </c>
      <c r="H2840" s="3"/>
    </row>
    <row r="2841" spans="1:8" hidden="1">
      <c r="A2841" s="3">
        <v>1997065</v>
      </c>
      <c r="B2841" s="7" t="s">
        <v>59</v>
      </c>
      <c r="C2841" s="41">
        <v>137937.5</v>
      </c>
      <c r="D2841" s="6">
        <v>45632</v>
      </c>
      <c r="E2841" s="3" t="str">
        <f ca="1">IF(Tabela2[[#This Row],[Dt Venc:]]&gt;TODAY(),"Em Aberto",IF(Tabela2[[#This Row],[D/venc]]="-","Enviado",IF(Tabela2[[#This Row],[Dt Venc:]]=TODAY(),"Vence Hoje","Vencida")))</f>
        <v>Enviado</v>
      </c>
      <c r="F2841" s="3" t="str">
        <f ca="1">IF(G2841=1,"-",Tabela2[[#This Row],[Dt Venc:]]-TODAY())</f>
        <v>-</v>
      </c>
      <c r="G2841" s="3">
        <v>1</v>
      </c>
      <c r="H2841" s="3"/>
    </row>
    <row r="2842" spans="1:8" hidden="1">
      <c r="A2842" s="3">
        <v>3313822</v>
      </c>
      <c r="B2842" s="7" t="s">
        <v>71</v>
      </c>
      <c r="C2842" s="41">
        <v>82623</v>
      </c>
      <c r="D2842" s="6">
        <v>45632</v>
      </c>
      <c r="E2842" s="3" t="str">
        <f ca="1">IF(Tabela2[[#This Row],[Dt Venc:]]&gt;TODAY(),"Em Aberto",IF(Tabela2[[#This Row],[D/venc]]="-","Enviado",IF(Tabela2[[#This Row],[Dt Venc:]]=TODAY(),"Vence Hoje","Vencida")))</f>
        <v>Enviado</v>
      </c>
      <c r="F2842" s="3" t="str">
        <f ca="1">IF(G2842=1,"-",Tabela2[[#This Row],[Dt Venc:]]-TODAY())</f>
        <v>-</v>
      </c>
      <c r="G2842" s="3">
        <v>1</v>
      </c>
      <c r="H2842" s="3"/>
    </row>
    <row r="2843" spans="1:8" hidden="1">
      <c r="A2843" s="3">
        <v>5358</v>
      </c>
      <c r="B2843" s="7" t="s">
        <v>134</v>
      </c>
      <c r="C2843" s="41">
        <v>950</v>
      </c>
      <c r="D2843" s="6">
        <v>45632</v>
      </c>
      <c r="E2843" s="3" t="str">
        <f ca="1">IF(Tabela2[[#This Row],[Dt Venc:]]&gt;TODAY(),"Em Aberto",IF(Tabela2[[#This Row],[D/venc]]="-","Enviado",IF(Tabela2[[#This Row],[Dt Venc:]]=TODAY(),"Vence Hoje","Vencida")))</f>
        <v>Enviado</v>
      </c>
      <c r="F2843" s="3" t="str">
        <f ca="1">IF(G2843=1,"-",Tabela2[[#This Row],[Dt Venc:]]-TODAY())</f>
        <v>-</v>
      </c>
      <c r="G2843" s="3">
        <v>1</v>
      </c>
      <c r="H2843" s="3"/>
    </row>
    <row r="2844" spans="1:8" hidden="1">
      <c r="A2844" s="3">
        <v>2023</v>
      </c>
      <c r="B2844" s="7" t="s">
        <v>96</v>
      </c>
      <c r="C2844" s="41">
        <v>940</v>
      </c>
      <c r="D2844" s="6">
        <v>45632</v>
      </c>
      <c r="E2844" s="3" t="str">
        <f ca="1">IF(Tabela2[[#This Row],[Dt Venc:]]&gt;TODAY(),"Em Aberto",IF(Tabela2[[#This Row],[D/venc]]="-","Enviado",IF(Tabela2[[#This Row],[Dt Venc:]]=TODAY(),"Vence Hoje","Vencida")))</f>
        <v>Enviado</v>
      </c>
      <c r="F2844" s="3" t="str">
        <f ca="1">IF(G2844=1,"-",Tabela2[[#This Row],[Dt Venc:]]-TODAY())</f>
        <v>-</v>
      </c>
      <c r="G2844" s="3">
        <v>1</v>
      </c>
      <c r="H2844" s="3"/>
    </row>
    <row r="2845" spans="1:8" hidden="1">
      <c r="A2845" s="3">
        <v>5362</v>
      </c>
      <c r="B2845" s="7" t="s">
        <v>134</v>
      </c>
      <c r="C2845" s="41">
        <v>750</v>
      </c>
      <c r="D2845" s="6">
        <v>45632</v>
      </c>
      <c r="E2845" s="3" t="str">
        <f ca="1">IF(Tabela2[[#This Row],[Dt Venc:]]&gt;TODAY(),"Em Aberto",IF(Tabela2[[#This Row],[D/venc]]="-","Enviado",IF(Tabela2[[#This Row],[Dt Venc:]]=TODAY(),"Vence Hoje","Vencida")))</f>
        <v>Enviado</v>
      </c>
      <c r="F2845" s="3" t="str">
        <f ca="1">IF(G2845=1,"-",Tabela2[[#This Row],[Dt Venc:]]-TODAY())</f>
        <v>-</v>
      </c>
      <c r="G2845" s="3">
        <v>1</v>
      </c>
      <c r="H2845" s="3"/>
    </row>
    <row r="2846" spans="1:8" hidden="1">
      <c r="A2846" s="3">
        <v>2011</v>
      </c>
      <c r="B2846" s="7" t="s">
        <v>507</v>
      </c>
      <c r="C2846" s="41">
        <v>6563.5</v>
      </c>
      <c r="D2846" s="6">
        <v>45632</v>
      </c>
      <c r="E2846" s="3" t="str">
        <f ca="1">IF(Tabela2[[#This Row],[Dt Venc:]]&gt;TODAY(),"Em Aberto",IF(Tabela2[[#This Row],[D/venc]]="-","Enviado",IF(Tabela2[[#This Row],[Dt Venc:]]=TODAY(),"Vence Hoje","Vencida")))</f>
        <v>Enviado</v>
      </c>
      <c r="F2846" s="3" t="str">
        <f ca="1">IF(G2846=1,"-",Tabela2[[#This Row],[Dt Venc:]]-TODAY())</f>
        <v>-</v>
      </c>
      <c r="G2846" s="3">
        <v>1</v>
      </c>
      <c r="H2846" s="3"/>
    </row>
    <row r="2847" spans="1:8" hidden="1">
      <c r="A2847" s="3">
        <v>182850</v>
      </c>
      <c r="B2847" s="7" t="s">
        <v>508</v>
      </c>
      <c r="C2847" s="41">
        <v>946.66</v>
      </c>
      <c r="D2847" s="6">
        <v>45632</v>
      </c>
      <c r="E2847" s="3" t="str">
        <f ca="1">IF(Tabela2[[#This Row],[Dt Venc:]]&gt;TODAY(),"Em Aberto",IF(Tabela2[[#This Row],[D/venc]]="-","Enviado",IF(Tabela2[[#This Row],[Dt Venc:]]=TODAY(),"Vence Hoje","Vencida")))</f>
        <v>Enviado</v>
      </c>
      <c r="F2847" s="3" t="str">
        <f ca="1">IF(G2847=1,"-",Tabela2[[#This Row],[Dt Venc:]]-TODAY())</f>
        <v>-</v>
      </c>
      <c r="G2847" s="3">
        <v>1</v>
      </c>
      <c r="H2847" s="3"/>
    </row>
    <row r="2848" spans="1:8" hidden="1">
      <c r="A2848" s="3">
        <v>237163</v>
      </c>
      <c r="B2848" s="7" t="s">
        <v>509</v>
      </c>
      <c r="C2848" s="41">
        <v>990</v>
      </c>
      <c r="D2848" s="6">
        <v>45632</v>
      </c>
      <c r="E2848" s="3" t="str">
        <f ca="1">IF(Tabela2[[#This Row],[Dt Venc:]]&gt;TODAY(),"Em Aberto",IF(Tabela2[[#This Row],[D/venc]]="-","Enviado",IF(Tabela2[[#This Row],[Dt Venc:]]=TODAY(),"Vence Hoje","Vencida")))</f>
        <v>Enviado</v>
      </c>
      <c r="F2848" s="3" t="str">
        <f ca="1">IF(G2848=1,"-",Tabela2[[#This Row],[Dt Venc:]]-TODAY())</f>
        <v>-</v>
      </c>
      <c r="G2848" s="3">
        <v>1</v>
      </c>
      <c r="H2848" s="3"/>
    </row>
    <row r="2849" spans="1:8" hidden="1">
      <c r="A2849" s="3">
        <v>141958</v>
      </c>
      <c r="B2849" s="7" t="s">
        <v>484</v>
      </c>
      <c r="C2849" s="41">
        <v>390</v>
      </c>
      <c r="D2849" s="6">
        <v>45632</v>
      </c>
      <c r="E2849" s="3" t="str">
        <f ca="1">IF(Tabela2[[#This Row],[Dt Venc:]]&gt;TODAY(),"Em Aberto",IF(Tabela2[[#This Row],[D/venc]]="-","Enviado",IF(Tabela2[[#This Row],[Dt Venc:]]=TODAY(),"Vence Hoje","Vencida")))</f>
        <v>Enviado</v>
      </c>
      <c r="F2849" s="3" t="str">
        <f ca="1">IF(G2849=1,"-",Tabela2[[#This Row],[Dt Venc:]]-TODAY())</f>
        <v>-</v>
      </c>
      <c r="G2849" s="3">
        <v>1</v>
      </c>
      <c r="H2849" s="3"/>
    </row>
    <row r="2850" spans="1:8" hidden="1">
      <c r="A2850" s="3">
        <v>141961</v>
      </c>
      <c r="B2850" s="7" t="s">
        <v>484</v>
      </c>
      <c r="C2850" s="41">
        <v>390</v>
      </c>
      <c r="D2850" s="6">
        <v>45632</v>
      </c>
      <c r="E2850" s="3" t="str">
        <f ca="1">IF(Tabela2[[#This Row],[Dt Venc:]]&gt;TODAY(),"Em Aberto",IF(Tabela2[[#This Row],[D/venc]]="-","Enviado",IF(Tabela2[[#This Row],[Dt Venc:]]=TODAY(),"Vence Hoje","Vencida")))</f>
        <v>Enviado</v>
      </c>
      <c r="F2850" s="3" t="str">
        <f ca="1">IF(G2850=1,"-",Tabela2[[#This Row],[Dt Venc:]]-TODAY())</f>
        <v>-</v>
      </c>
      <c r="G2850" s="3">
        <v>1</v>
      </c>
      <c r="H2850" s="3"/>
    </row>
    <row r="2851" spans="1:8" hidden="1">
      <c r="A2851" s="3">
        <v>141965</v>
      </c>
      <c r="B2851" s="7" t="s">
        <v>484</v>
      </c>
      <c r="C2851" s="41">
        <v>390</v>
      </c>
      <c r="D2851" s="6">
        <v>45632</v>
      </c>
      <c r="E2851" s="3" t="str">
        <f ca="1">IF(Tabela2[[#This Row],[Dt Venc:]]&gt;TODAY(),"Em Aberto",IF(Tabela2[[#This Row],[D/venc]]="-","Enviado",IF(Tabela2[[#This Row],[Dt Venc:]]=TODAY(),"Vence Hoje","Vencida")))</f>
        <v>Enviado</v>
      </c>
      <c r="F2851" s="3" t="str">
        <f ca="1">IF(G2851=1,"-",Tabela2[[#This Row],[Dt Venc:]]-TODAY())</f>
        <v>-</v>
      </c>
      <c r="G2851" s="3">
        <v>1</v>
      </c>
      <c r="H2851" s="3"/>
    </row>
    <row r="2852" spans="1:8" hidden="1">
      <c r="A2852" s="3">
        <v>141969</v>
      </c>
      <c r="B2852" s="7" t="s">
        <v>484</v>
      </c>
      <c r="C2852" s="41">
        <v>390</v>
      </c>
      <c r="D2852" s="6">
        <v>45632</v>
      </c>
      <c r="E2852" s="3" t="str">
        <f ca="1">IF(Tabela2[[#This Row],[Dt Venc:]]&gt;TODAY(),"Em Aberto",IF(Tabela2[[#This Row],[D/venc]]="-","Enviado",IF(Tabela2[[#This Row],[Dt Venc:]]=TODAY(),"Vence Hoje","Vencida")))</f>
        <v>Enviado</v>
      </c>
      <c r="F2852" s="3" t="str">
        <f ca="1">IF(G2852=1,"-",Tabela2[[#This Row],[Dt Venc:]]-TODAY())</f>
        <v>-</v>
      </c>
      <c r="G2852" s="3">
        <v>1</v>
      </c>
      <c r="H2852" s="3"/>
    </row>
    <row r="2853" spans="1:8" hidden="1">
      <c r="A2853" s="3">
        <v>141954</v>
      </c>
      <c r="B2853" s="7" t="s">
        <v>484</v>
      </c>
      <c r="C2853" s="41">
        <v>390</v>
      </c>
      <c r="D2853" s="6">
        <v>45632</v>
      </c>
      <c r="E2853" s="3" t="str">
        <f ca="1">IF(Tabela2[[#This Row],[Dt Venc:]]&gt;TODAY(),"Em Aberto",IF(Tabela2[[#This Row],[D/venc]]="-","Enviado",IF(Tabela2[[#This Row],[Dt Venc:]]=TODAY(),"Vence Hoje","Vencida")))</f>
        <v>Enviado</v>
      </c>
      <c r="F2853" s="3" t="str">
        <f ca="1">IF(G2853=1,"-",Tabela2[[#This Row],[Dt Venc:]]-TODAY())</f>
        <v>-</v>
      </c>
      <c r="G2853" s="3">
        <v>1</v>
      </c>
      <c r="H2853" s="3"/>
    </row>
    <row r="2854" spans="1:8" hidden="1">
      <c r="A2854" s="3">
        <v>11121</v>
      </c>
      <c r="B2854" s="7" t="s">
        <v>33</v>
      </c>
      <c r="C2854" s="41">
        <v>1930</v>
      </c>
      <c r="D2854" s="6">
        <v>45633</v>
      </c>
      <c r="E2854" s="3" t="str">
        <f ca="1">IF(Tabela2[[#This Row],[Dt Venc:]]&gt;TODAY(),"Em Aberto",IF(Tabela2[[#This Row],[D/venc]]="-","Enviado",IF(Tabela2[[#This Row],[Dt Venc:]]=TODAY(),"Vence Hoje","Vencida")))</f>
        <v>Enviado</v>
      </c>
      <c r="F2854" s="3" t="str">
        <f ca="1">IF(G2854=1,"-",Tabela2[[#This Row],[Dt Venc:]]-TODAY())</f>
        <v>-</v>
      </c>
      <c r="G2854" s="3">
        <v>1</v>
      </c>
      <c r="H2854" s="3"/>
    </row>
    <row r="2855" spans="1:8" hidden="1">
      <c r="A2855" s="3">
        <v>10989</v>
      </c>
      <c r="B2855" s="7" t="s">
        <v>33</v>
      </c>
      <c r="C2855" s="41">
        <v>1658.3</v>
      </c>
      <c r="D2855" s="6">
        <v>45633</v>
      </c>
      <c r="E2855" s="3" t="str">
        <f ca="1">IF(Tabela2[[#This Row],[Dt Venc:]]&gt;TODAY(),"Em Aberto",IF(Tabela2[[#This Row],[D/venc]]="-","Enviado",IF(Tabela2[[#This Row],[Dt Venc:]]=TODAY(),"Vence Hoje","Vencida")))</f>
        <v>Enviado</v>
      </c>
      <c r="F2855" s="3" t="str">
        <f ca="1">IF(G2855=1,"-",Tabela2[[#This Row],[Dt Venc:]]-TODAY())</f>
        <v>-</v>
      </c>
      <c r="G2855" s="3">
        <v>1</v>
      </c>
      <c r="H2855" s="3"/>
    </row>
    <row r="2856" spans="1:8" hidden="1">
      <c r="A2856" s="3">
        <v>11068</v>
      </c>
      <c r="B2856" s="7" t="s">
        <v>105</v>
      </c>
      <c r="C2856" s="41">
        <v>2500</v>
      </c>
      <c r="D2856" s="6">
        <v>45633</v>
      </c>
      <c r="E2856" s="3" t="str">
        <f ca="1">IF(Tabela2[[#This Row],[Dt Venc:]]&gt;TODAY(),"Em Aberto",IF(Tabela2[[#This Row],[D/venc]]="-","Enviado",IF(Tabela2[[#This Row],[Dt Venc:]]=TODAY(),"Vence Hoje","Vencida")))</f>
        <v>Enviado</v>
      </c>
      <c r="F2856" s="3" t="str">
        <f ca="1">IF(G2856=1,"-",Tabela2[[#This Row],[Dt Venc:]]-TODAY())</f>
        <v>-</v>
      </c>
      <c r="G2856" s="3">
        <v>1</v>
      </c>
      <c r="H2856" s="3"/>
    </row>
    <row r="2857" spans="1:8" hidden="1">
      <c r="A2857" s="3">
        <v>549</v>
      </c>
      <c r="B2857" s="7" t="s">
        <v>363</v>
      </c>
      <c r="C2857" s="41">
        <v>1133.33</v>
      </c>
      <c r="D2857" s="6">
        <v>45633</v>
      </c>
      <c r="E2857" s="3" t="str">
        <f ca="1">IF(Tabela2[[#This Row],[Dt Venc:]]&gt;TODAY(),"Em Aberto",IF(Tabela2[[#This Row],[D/venc]]="-","Enviado",IF(Tabela2[[#This Row],[Dt Venc:]]=TODAY(),"Vence Hoje","Vencida")))</f>
        <v>Enviado</v>
      </c>
      <c r="F2857" s="3" t="str">
        <f ca="1">IF(G2857=1,"-",Tabela2[[#This Row],[Dt Venc:]]-TODAY())</f>
        <v>-</v>
      </c>
      <c r="G2857" s="3">
        <v>1</v>
      </c>
      <c r="H2857" s="3"/>
    </row>
    <row r="2858" spans="1:8" hidden="1">
      <c r="A2858" s="3">
        <v>2723</v>
      </c>
      <c r="B2858" s="7" t="s">
        <v>58</v>
      </c>
      <c r="C2858" s="42">
        <v>1607.67</v>
      </c>
      <c r="D2858" s="6">
        <v>45633</v>
      </c>
      <c r="E2858" s="3" t="str">
        <f ca="1">IF(Tabela2[[#This Row],[Dt Venc:]]&gt;TODAY(),"Em Aberto",IF(Tabela2[[#This Row],[D/venc]]="-","Enviado",IF(Tabela2[[#This Row],[Dt Venc:]]=TODAY(),"Vence Hoje","Vencida")))</f>
        <v>Enviado</v>
      </c>
      <c r="F2858" s="3" t="str">
        <f ca="1">IF(G2858=1,"-",Tabela2[[#This Row],[Dt Venc:]]-TODAY())</f>
        <v>-</v>
      </c>
      <c r="G2858" s="3">
        <v>1</v>
      </c>
      <c r="H2858" s="3"/>
    </row>
    <row r="2859" spans="1:8" hidden="1">
      <c r="A2859" s="3">
        <v>23635</v>
      </c>
      <c r="B2859" s="7" t="s">
        <v>38</v>
      </c>
      <c r="C2859" s="41">
        <v>620</v>
      </c>
      <c r="D2859" s="6">
        <v>45633</v>
      </c>
      <c r="E2859" s="3" t="str">
        <f ca="1">IF(Tabela2[[#This Row],[Dt Venc:]]&gt;TODAY(),"Em Aberto",IF(Tabela2[[#This Row],[D/venc]]="-","Enviado",IF(Tabela2[[#This Row],[Dt Venc:]]=TODAY(),"Vence Hoje","Vencida")))</f>
        <v>Enviado</v>
      </c>
      <c r="F2859" s="3" t="str">
        <f ca="1">IF(G2859=1,"-",Tabela2[[#This Row],[Dt Venc:]]-TODAY())</f>
        <v>-</v>
      </c>
      <c r="G2859" s="3">
        <v>1</v>
      </c>
      <c r="H2859" s="3"/>
    </row>
    <row r="2860" spans="1:8" hidden="1">
      <c r="A2860" s="3">
        <v>23633</v>
      </c>
      <c r="B2860" s="7" t="s">
        <v>38</v>
      </c>
      <c r="C2860" s="41">
        <v>1140</v>
      </c>
      <c r="D2860" s="6">
        <v>45633</v>
      </c>
      <c r="E2860" s="3" t="str">
        <f ca="1">IF(Tabela2[[#This Row],[Dt Venc:]]&gt;TODAY(),"Em Aberto",IF(Tabela2[[#This Row],[D/venc]]="-","Enviado",IF(Tabela2[[#This Row],[Dt Venc:]]=TODAY(),"Vence Hoje","Vencida")))</f>
        <v>Enviado</v>
      </c>
      <c r="F2860" s="3" t="str">
        <f ca="1">IF(G2860=1,"-",Tabela2[[#This Row],[Dt Venc:]]-TODAY())</f>
        <v>-</v>
      </c>
      <c r="G2860" s="3">
        <v>1</v>
      </c>
      <c r="H2860" s="3"/>
    </row>
    <row r="2861" spans="1:8" hidden="1">
      <c r="A2861" s="3">
        <v>144607</v>
      </c>
      <c r="B2861" s="7" t="s">
        <v>127</v>
      </c>
      <c r="C2861" s="42">
        <v>604.5</v>
      </c>
      <c r="D2861" s="6">
        <v>45633</v>
      </c>
      <c r="E2861" s="3" t="str">
        <f ca="1">IF(Tabela2[[#This Row],[Dt Venc:]]&gt;TODAY(),"Em Aberto",IF(Tabela2[[#This Row],[D/venc]]="-","Enviado",IF(Tabela2[[#This Row],[Dt Venc:]]=TODAY(),"Vence Hoje","Vencida")))</f>
        <v>Enviado</v>
      </c>
      <c r="F2861" s="3" t="str">
        <f ca="1">IF(G2861=1,"-",Tabela2[[#This Row],[Dt Venc:]]-TODAY())</f>
        <v>-</v>
      </c>
      <c r="G2861" s="3">
        <v>1</v>
      </c>
      <c r="H2861" s="3"/>
    </row>
    <row r="2862" spans="1:8" hidden="1">
      <c r="A2862" s="3">
        <v>750179</v>
      </c>
      <c r="B2862" s="7" t="s">
        <v>127</v>
      </c>
      <c r="C2862" s="42">
        <v>362.07</v>
      </c>
      <c r="D2862" s="6">
        <v>45633</v>
      </c>
      <c r="E2862" s="3" t="str">
        <f ca="1">IF(Tabela2[[#This Row],[Dt Venc:]]&gt;TODAY(),"Em Aberto",IF(Tabela2[[#This Row],[D/venc]]="-","Enviado",IF(Tabela2[[#This Row],[Dt Venc:]]=TODAY(),"Vence Hoje","Vencida")))</f>
        <v>Enviado</v>
      </c>
      <c r="F2862" s="3" t="str">
        <f ca="1">IF(G2862=1,"-",Tabela2[[#This Row],[Dt Venc:]]-TODAY())</f>
        <v>-</v>
      </c>
      <c r="G2862" s="3">
        <v>1</v>
      </c>
      <c r="H2862" s="3"/>
    </row>
    <row r="2863" spans="1:8" hidden="1">
      <c r="A2863" s="3">
        <v>224713</v>
      </c>
      <c r="B2863" s="7" t="s">
        <v>127</v>
      </c>
      <c r="C2863" s="41">
        <v>358.9</v>
      </c>
      <c r="D2863" s="6">
        <v>45633</v>
      </c>
      <c r="E2863" s="3" t="str">
        <f ca="1">IF(Tabela2[[#This Row],[Dt Venc:]]&gt;TODAY(),"Em Aberto",IF(Tabela2[[#This Row],[D/venc]]="-","Enviado",IF(Tabela2[[#This Row],[Dt Venc:]]=TODAY(),"Vence Hoje","Vencida")))</f>
        <v>Enviado</v>
      </c>
      <c r="F2863" s="3" t="str">
        <f ca="1">IF(G2863=1,"-",Tabela2[[#This Row],[Dt Venc:]]-TODAY())</f>
        <v>-</v>
      </c>
      <c r="G2863" s="3">
        <v>1</v>
      </c>
      <c r="H2863" s="3"/>
    </row>
    <row r="2864" spans="1:8" hidden="1">
      <c r="A2864" s="3">
        <v>224680</v>
      </c>
      <c r="B2864" s="7" t="s">
        <v>127</v>
      </c>
      <c r="C2864" s="41">
        <v>485.94</v>
      </c>
      <c r="D2864" s="6">
        <v>45633</v>
      </c>
      <c r="E2864" s="3" t="str">
        <f ca="1">IF(Tabela2[[#This Row],[Dt Venc:]]&gt;TODAY(),"Em Aberto",IF(Tabela2[[#This Row],[D/venc]]="-","Enviado",IF(Tabela2[[#This Row],[Dt Venc:]]=TODAY(),"Vence Hoje","Vencida")))</f>
        <v>Enviado</v>
      </c>
      <c r="F2864" s="3" t="str">
        <f ca="1">IF(G2864=1,"-",Tabela2[[#This Row],[Dt Venc:]]-TODAY())</f>
        <v>-</v>
      </c>
      <c r="G2864" s="3">
        <v>1</v>
      </c>
      <c r="H2864" s="3"/>
    </row>
    <row r="2865" spans="1:8" hidden="1">
      <c r="A2865" s="3">
        <v>186495</v>
      </c>
      <c r="B2865" s="7" t="s">
        <v>172</v>
      </c>
      <c r="C2865" s="42">
        <v>3371.98</v>
      </c>
      <c r="D2865" s="6">
        <v>45633</v>
      </c>
      <c r="E2865" s="3" t="str">
        <f ca="1">IF(Tabela2[[#This Row],[Dt Venc:]]&gt;TODAY(),"Em Aberto",IF(Tabela2[[#This Row],[D/venc]]="-","Enviado",IF(Tabela2[[#This Row],[Dt Venc:]]=TODAY(),"Vence Hoje","Vencida")))</f>
        <v>Enviado</v>
      </c>
      <c r="F2865" s="3" t="str">
        <f ca="1">IF(G2865=1,"-",Tabela2[[#This Row],[Dt Venc:]]-TODAY())</f>
        <v>-</v>
      </c>
      <c r="G2865" s="3">
        <v>1</v>
      </c>
      <c r="H2865" s="3"/>
    </row>
    <row r="2866" spans="1:8" hidden="1">
      <c r="A2866" s="3">
        <v>2318</v>
      </c>
      <c r="B2866" s="7" t="s">
        <v>45</v>
      </c>
      <c r="C2866" s="41">
        <v>2240</v>
      </c>
      <c r="D2866" s="6">
        <v>45633</v>
      </c>
      <c r="E2866" s="3" t="str">
        <f ca="1">IF(Tabela2[[#This Row],[Dt Venc:]]&gt;TODAY(),"Em Aberto",IF(Tabela2[[#This Row],[D/venc]]="-","Enviado",IF(Tabela2[[#This Row],[Dt Venc:]]=TODAY(),"Vence Hoje","Vencida")))</f>
        <v>Enviado</v>
      </c>
      <c r="F2866" s="3" t="str">
        <f ca="1">IF(G2866=1,"-",Tabela2[[#This Row],[Dt Venc:]]-TODAY())</f>
        <v>-</v>
      </c>
      <c r="G2866" s="3">
        <v>1</v>
      </c>
      <c r="H2866" s="3"/>
    </row>
    <row r="2867" spans="1:8" hidden="1">
      <c r="A2867" s="3">
        <v>23309</v>
      </c>
      <c r="B2867" s="7" t="s">
        <v>510</v>
      </c>
      <c r="C2867" s="41">
        <v>1047.67</v>
      </c>
      <c r="D2867" s="6">
        <v>45633</v>
      </c>
      <c r="E2867" s="3" t="str">
        <f ca="1">IF(Tabela2[[#This Row],[Dt Venc:]]&gt;TODAY(),"Em Aberto",IF(Tabela2[[#This Row],[D/venc]]="-","Enviado",IF(Tabela2[[#This Row],[Dt Venc:]]=TODAY(),"Vence Hoje","Vencida")))</f>
        <v>Enviado</v>
      </c>
      <c r="F2867" s="3" t="str">
        <f ca="1">IF(G2867=1,"-",Tabela2[[#This Row],[Dt Venc:]]-TODAY())</f>
        <v>-</v>
      </c>
      <c r="G2867" s="3">
        <v>1</v>
      </c>
      <c r="H2867" s="3"/>
    </row>
    <row r="2868" spans="1:8" hidden="1">
      <c r="A2868" s="3">
        <v>249411</v>
      </c>
      <c r="B2868" s="7" t="s">
        <v>511</v>
      </c>
      <c r="C2868" s="41">
        <v>934.48</v>
      </c>
      <c r="D2868" s="6">
        <v>45633</v>
      </c>
      <c r="E2868" s="3" t="str">
        <f ca="1">IF(Tabela2[[#This Row],[Dt Venc:]]&gt;TODAY(),"Em Aberto",IF(Tabela2[[#This Row],[D/venc]]="-","Enviado",IF(Tabela2[[#This Row],[Dt Venc:]]=TODAY(),"Vence Hoje","Vencida")))</f>
        <v>Enviado</v>
      </c>
      <c r="F2868" s="3" t="str">
        <f ca="1">IF(G2868=1,"-",Tabela2[[#This Row],[Dt Venc:]]-TODAY())</f>
        <v>-</v>
      </c>
      <c r="G2868" s="3">
        <v>1</v>
      </c>
      <c r="H2868" s="3"/>
    </row>
    <row r="2869" spans="1:8" hidden="1">
      <c r="A2869" s="3">
        <v>11886</v>
      </c>
      <c r="B2869" s="7" t="s">
        <v>434</v>
      </c>
      <c r="C2869" s="41">
        <v>760</v>
      </c>
      <c r="D2869" s="6">
        <v>45633</v>
      </c>
      <c r="E2869" s="3" t="str">
        <f ca="1">IF(Tabela2[[#This Row],[Dt Venc:]]&gt;TODAY(),"Em Aberto",IF(Tabela2[[#This Row],[D/venc]]="-","Enviado",IF(Tabela2[[#This Row],[Dt Venc:]]=TODAY(),"Vence Hoje","Vencida")))</f>
        <v>Enviado</v>
      </c>
      <c r="F2869" s="3" t="str">
        <f ca="1">IF(G2869=1,"-",Tabela2[[#This Row],[Dt Venc:]]-TODAY())</f>
        <v>-</v>
      </c>
      <c r="G2869" s="3">
        <v>1</v>
      </c>
      <c r="H2869" s="3"/>
    </row>
    <row r="2870" spans="1:8" hidden="1">
      <c r="A2870" s="3">
        <v>10991</v>
      </c>
      <c r="B2870" s="7" t="s">
        <v>33</v>
      </c>
      <c r="C2870" s="42">
        <v>1920</v>
      </c>
      <c r="D2870" s="6">
        <v>45634</v>
      </c>
      <c r="E2870" s="3" t="str">
        <f ca="1">IF(Tabela2[[#This Row],[Dt Venc:]]&gt;TODAY(),"Em Aberto",IF(Tabela2[[#This Row],[D/venc]]="-","Enviado",IF(Tabela2[[#This Row],[Dt Venc:]]=TODAY(),"Vence Hoje","Vencida")))</f>
        <v>Enviado</v>
      </c>
      <c r="F2870" s="3" t="str">
        <f ca="1">IF(G2870=1,"-",Tabela2[[#This Row],[Dt Venc:]]-TODAY())</f>
        <v>-</v>
      </c>
      <c r="G2870" s="3">
        <v>1</v>
      </c>
      <c r="H2870" s="3"/>
    </row>
    <row r="2871" spans="1:8" hidden="1">
      <c r="A2871" s="3">
        <v>1293</v>
      </c>
      <c r="B2871" s="7" t="s">
        <v>474</v>
      </c>
      <c r="C2871" s="41">
        <v>906.67</v>
      </c>
      <c r="D2871" s="6">
        <v>45634</v>
      </c>
      <c r="E2871" s="3" t="str">
        <f ca="1">IF(Tabela2[[#This Row],[Dt Venc:]]&gt;TODAY(),"Em Aberto",IF(Tabela2[[#This Row],[D/venc]]="-","Enviado",IF(Tabela2[[#This Row],[Dt Venc:]]=TODAY(),"Vence Hoje","Vencida")))</f>
        <v>Enviado</v>
      </c>
      <c r="F2871" s="3" t="str">
        <f ca="1">IF(G2871=1,"-",Tabela2[[#This Row],[Dt Venc:]]-TODAY())</f>
        <v>-</v>
      </c>
      <c r="G2871" s="3">
        <v>1</v>
      </c>
      <c r="H2871" s="3"/>
    </row>
    <row r="2872" spans="1:8" hidden="1">
      <c r="A2872" s="3">
        <v>2781</v>
      </c>
      <c r="B2872" s="7" t="s">
        <v>58</v>
      </c>
      <c r="C2872" s="42">
        <v>3301.27</v>
      </c>
      <c r="D2872" s="6">
        <v>45634</v>
      </c>
      <c r="E2872" s="3" t="str">
        <f ca="1">IF(Tabela2[[#This Row],[Dt Venc:]]&gt;TODAY(),"Em Aberto",IF(Tabela2[[#This Row],[D/venc]]="-","Enviado",IF(Tabela2[[#This Row],[Dt Venc:]]=TODAY(),"Vence Hoje","Vencida")))</f>
        <v>Enviado</v>
      </c>
      <c r="F2872" s="3" t="str">
        <f ca="1">IF(G2872=1,"-",Tabela2[[#This Row],[Dt Venc:]]-TODAY())</f>
        <v>-</v>
      </c>
      <c r="G2872" s="3">
        <v>1</v>
      </c>
      <c r="H2872" s="3"/>
    </row>
    <row r="2873" spans="1:8" hidden="1">
      <c r="A2873" s="3">
        <v>134997</v>
      </c>
      <c r="B2873" s="7" t="s">
        <v>127</v>
      </c>
      <c r="C2873" s="42">
        <v>717.5</v>
      </c>
      <c r="D2873" s="6">
        <v>45634</v>
      </c>
      <c r="E2873" s="3" t="str">
        <f ca="1">IF(Tabela2[[#This Row],[Dt Venc:]]&gt;TODAY(),"Em Aberto",IF(Tabela2[[#This Row],[D/venc]]="-","Enviado",IF(Tabela2[[#This Row],[Dt Venc:]]=TODAY(),"Vence Hoje","Vencida")))</f>
        <v>Enviado</v>
      </c>
      <c r="F2873" s="3" t="str">
        <f ca="1">IF(G2873=1,"-",Tabela2[[#This Row],[Dt Venc:]]-TODAY())</f>
        <v>-</v>
      </c>
      <c r="G2873" s="3">
        <v>1</v>
      </c>
      <c r="H2873" s="3"/>
    </row>
    <row r="2874" spans="1:8" hidden="1">
      <c r="A2874" s="3">
        <v>753116</v>
      </c>
      <c r="B2874" s="7" t="s">
        <v>127</v>
      </c>
      <c r="C2874" s="42">
        <v>371.47</v>
      </c>
      <c r="D2874" s="6">
        <v>45634</v>
      </c>
      <c r="E2874" s="3" t="str">
        <f ca="1">IF(Tabela2[[#This Row],[Dt Venc:]]&gt;TODAY(),"Em Aberto",IF(Tabela2[[#This Row],[D/venc]]="-","Enviado",IF(Tabela2[[#This Row],[Dt Venc:]]=TODAY(),"Vence Hoje","Vencida")))</f>
        <v>Enviado</v>
      </c>
      <c r="F2874" s="3" t="str">
        <f ca="1">IF(G2874=1,"-",Tabela2[[#This Row],[Dt Venc:]]-TODAY())</f>
        <v>-</v>
      </c>
      <c r="G2874" s="3">
        <v>1</v>
      </c>
      <c r="H2874" s="3"/>
    </row>
    <row r="2875" spans="1:8" hidden="1">
      <c r="A2875" s="3">
        <v>134994</v>
      </c>
      <c r="B2875" s="7" t="s">
        <v>127</v>
      </c>
      <c r="C2875" s="42">
        <v>717.5</v>
      </c>
      <c r="D2875" s="6">
        <v>45634</v>
      </c>
      <c r="E2875" s="3" t="str">
        <f ca="1">IF(Tabela2[[#This Row],[Dt Venc:]]&gt;TODAY(),"Em Aberto",IF(Tabela2[[#This Row],[D/venc]]="-","Enviado",IF(Tabela2[[#This Row],[Dt Venc:]]=TODAY(),"Vence Hoje","Vencida")))</f>
        <v>Enviado</v>
      </c>
      <c r="F2875" s="3" t="str">
        <f ca="1">IF(G2875=1,"-",Tabela2[[#This Row],[Dt Venc:]]-TODAY())</f>
        <v>-</v>
      </c>
      <c r="G2875" s="3">
        <v>1</v>
      </c>
      <c r="H2875" s="3"/>
    </row>
    <row r="2876" spans="1:8" hidden="1">
      <c r="A2876" s="3">
        <v>753108</v>
      </c>
      <c r="B2876" s="7" t="s">
        <v>127</v>
      </c>
      <c r="C2876" s="42">
        <v>371.47</v>
      </c>
      <c r="D2876" s="6">
        <v>45634</v>
      </c>
      <c r="E2876" s="3" t="str">
        <f ca="1">IF(Tabela2[[#This Row],[Dt Venc:]]&gt;TODAY(),"Em Aberto",IF(Tabela2[[#This Row],[D/venc]]="-","Enviado",IF(Tabela2[[#This Row],[Dt Venc:]]=TODAY(),"Vence Hoje","Vencida")))</f>
        <v>Enviado</v>
      </c>
      <c r="F2876" s="3" t="str">
        <f ca="1">IF(G2876=1,"-",Tabela2[[#This Row],[Dt Venc:]]-TODAY())</f>
        <v>-</v>
      </c>
      <c r="G2876" s="3">
        <v>1</v>
      </c>
      <c r="H2876" s="3"/>
    </row>
    <row r="2877" spans="1:8" hidden="1">
      <c r="A2877" s="3">
        <v>134995</v>
      </c>
      <c r="B2877" s="7" t="s">
        <v>127</v>
      </c>
      <c r="C2877" s="42">
        <v>717.5</v>
      </c>
      <c r="D2877" s="6">
        <v>45634</v>
      </c>
      <c r="E2877" s="3" t="str">
        <f ca="1">IF(Tabela2[[#This Row],[Dt Venc:]]&gt;TODAY(),"Em Aberto",IF(Tabela2[[#This Row],[D/venc]]="-","Enviado",IF(Tabela2[[#This Row],[Dt Venc:]]=TODAY(),"Vence Hoje","Vencida")))</f>
        <v>Enviado</v>
      </c>
      <c r="F2877" s="3" t="str">
        <f ca="1">IF(G2877=1,"-",Tabela2[[#This Row],[Dt Venc:]]-TODAY())</f>
        <v>-</v>
      </c>
      <c r="G2877" s="3">
        <v>1</v>
      </c>
      <c r="H2877" s="3"/>
    </row>
    <row r="2878" spans="1:8" hidden="1">
      <c r="A2878" s="3">
        <v>753110</v>
      </c>
      <c r="B2878" s="7" t="s">
        <v>127</v>
      </c>
      <c r="C2878" s="42">
        <v>371.47</v>
      </c>
      <c r="D2878" s="6">
        <v>45634</v>
      </c>
      <c r="E2878" s="3" t="str">
        <f ca="1">IF(Tabela2[[#This Row],[Dt Venc:]]&gt;TODAY(),"Em Aberto",IF(Tabela2[[#This Row],[D/venc]]="-","Enviado",IF(Tabela2[[#This Row],[Dt Venc:]]=TODAY(),"Vence Hoje","Vencida")))</f>
        <v>Enviado</v>
      </c>
      <c r="F2878" s="3" t="str">
        <f ca="1">IF(G2878=1,"-",Tabela2[[#This Row],[Dt Venc:]]-TODAY())</f>
        <v>-</v>
      </c>
      <c r="G2878" s="3">
        <v>1</v>
      </c>
      <c r="H2878" s="3"/>
    </row>
    <row r="2879" spans="1:8" hidden="1">
      <c r="A2879" s="3">
        <v>134996</v>
      </c>
      <c r="B2879" s="7" t="s">
        <v>127</v>
      </c>
      <c r="C2879" s="42">
        <v>717.5</v>
      </c>
      <c r="D2879" s="6">
        <v>45634</v>
      </c>
      <c r="E2879" s="3" t="str">
        <f ca="1">IF(Tabela2[[#This Row],[Dt Venc:]]&gt;TODAY(),"Em Aberto",IF(Tabela2[[#This Row],[D/venc]]="-","Enviado",IF(Tabela2[[#This Row],[Dt Venc:]]=TODAY(),"Vence Hoje","Vencida")))</f>
        <v>Enviado</v>
      </c>
      <c r="F2879" s="3" t="str">
        <f ca="1">IF(G2879=1,"-",Tabela2[[#This Row],[Dt Venc:]]-TODAY())</f>
        <v>-</v>
      </c>
      <c r="G2879" s="3">
        <v>1</v>
      </c>
      <c r="H2879" s="3"/>
    </row>
    <row r="2880" spans="1:8" hidden="1">
      <c r="A2880" s="3">
        <v>753112</v>
      </c>
      <c r="B2880" s="7" t="s">
        <v>127</v>
      </c>
      <c r="C2880" s="42">
        <v>371.46</v>
      </c>
      <c r="D2880" s="6">
        <v>45634</v>
      </c>
      <c r="E2880" s="3" t="str">
        <f ca="1">IF(Tabela2[[#This Row],[Dt Venc:]]&gt;TODAY(),"Em Aberto",IF(Tabela2[[#This Row],[D/venc]]="-","Enviado",IF(Tabela2[[#This Row],[Dt Venc:]]=TODAY(),"Vence Hoje","Vencida")))</f>
        <v>Enviado</v>
      </c>
      <c r="F2880" s="3" t="str">
        <f ca="1">IF(G2880=1,"-",Tabela2[[#This Row],[Dt Venc:]]-TODAY())</f>
        <v>-</v>
      </c>
      <c r="G2880" s="3">
        <v>1</v>
      </c>
      <c r="H2880" s="3"/>
    </row>
    <row r="2881" spans="1:8" hidden="1">
      <c r="A2881" s="3">
        <v>446156</v>
      </c>
      <c r="B2881" s="7" t="s">
        <v>512</v>
      </c>
      <c r="C2881" s="41">
        <v>772.85</v>
      </c>
      <c r="D2881" s="6">
        <v>45634</v>
      </c>
      <c r="E2881" s="3" t="str">
        <f ca="1">IF(Tabela2[[#This Row],[Dt Venc:]]&gt;TODAY(),"Em Aberto",IF(Tabela2[[#This Row],[D/venc]]="-","Enviado",IF(Tabela2[[#This Row],[Dt Venc:]]=TODAY(),"Vence Hoje","Vencida")))</f>
        <v>Enviado</v>
      </c>
      <c r="F2881" s="3" t="str">
        <f ca="1">IF(G2881=1,"-",Tabela2[[#This Row],[Dt Venc:]]-TODAY())</f>
        <v>-</v>
      </c>
      <c r="G2881" s="3">
        <v>1</v>
      </c>
      <c r="H2881" s="3"/>
    </row>
    <row r="2882" spans="1:8" hidden="1">
      <c r="A2882" s="3">
        <v>446170</v>
      </c>
      <c r="B2882" s="7" t="s">
        <v>512</v>
      </c>
      <c r="C2882" s="41">
        <v>194.69</v>
      </c>
      <c r="D2882" s="6">
        <v>45634</v>
      </c>
      <c r="E2882" s="3" t="str">
        <f ca="1">IF(Tabela2[[#This Row],[Dt Venc:]]&gt;TODAY(),"Em Aberto",IF(Tabela2[[#This Row],[D/venc]]="-","Enviado",IF(Tabela2[[#This Row],[Dt Venc:]]=TODAY(),"Vence Hoje","Vencida")))</f>
        <v>Enviado</v>
      </c>
      <c r="F2882" s="3" t="str">
        <f ca="1">IF(G2882=1,"-",Tabela2[[#This Row],[Dt Venc:]]-TODAY())</f>
        <v>-</v>
      </c>
      <c r="G2882" s="3">
        <v>1</v>
      </c>
      <c r="H2882" s="3"/>
    </row>
    <row r="2883" spans="1:8" hidden="1">
      <c r="A2883" s="3">
        <v>6</v>
      </c>
      <c r="B2883" s="7" t="s">
        <v>513</v>
      </c>
      <c r="C2883" s="41">
        <v>18000</v>
      </c>
      <c r="D2883" s="6">
        <v>45634</v>
      </c>
      <c r="E2883" s="3" t="str">
        <f ca="1">IF(Tabela2[[#This Row],[Dt Venc:]]&gt;TODAY(),"Em Aberto",IF(Tabela2[[#This Row],[D/venc]]="-","Enviado",IF(Tabela2[[#This Row],[Dt Venc:]]=TODAY(),"Vence Hoje","Vencida")))</f>
        <v>Enviado</v>
      </c>
      <c r="F2883" s="3" t="str">
        <f ca="1">IF(G2883=1,"-",Tabela2[[#This Row],[Dt Venc:]]-TODAY())</f>
        <v>-</v>
      </c>
      <c r="G2883" s="3">
        <v>1</v>
      </c>
      <c r="H2883" s="3"/>
    </row>
    <row r="2884" spans="1:8" hidden="1">
      <c r="A2884" s="3">
        <v>99165</v>
      </c>
      <c r="B2884" s="7" t="s">
        <v>407</v>
      </c>
      <c r="C2884" s="42">
        <v>1053.75</v>
      </c>
      <c r="D2884" s="6">
        <v>45634</v>
      </c>
      <c r="E2884" s="3" t="str">
        <f ca="1">IF(Tabela2[[#This Row],[Dt Venc:]]&gt;TODAY(),"Em Aberto",IF(Tabela2[[#This Row],[D/venc]]="-","Enviado",IF(Tabela2[[#This Row],[Dt Venc:]]=TODAY(),"Vence Hoje","Vencida")))</f>
        <v>Enviado</v>
      </c>
      <c r="F2884" s="3" t="str">
        <f ca="1">IF(G2884=1,"-",Tabela2[[#This Row],[Dt Venc:]]-TODAY())</f>
        <v>-</v>
      </c>
      <c r="G2884" s="3">
        <v>1</v>
      </c>
      <c r="H2884" s="3"/>
    </row>
    <row r="2885" spans="1:8" hidden="1">
      <c r="A2885" s="3">
        <v>29970</v>
      </c>
      <c r="B2885" s="7" t="s">
        <v>514</v>
      </c>
      <c r="C2885" s="41">
        <v>564.84</v>
      </c>
      <c r="D2885" s="6">
        <v>45634</v>
      </c>
      <c r="E2885" s="3" t="str">
        <f ca="1">IF(Tabela2[[#This Row],[Dt Venc:]]&gt;TODAY(),"Em Aberto",IF(Tabela2[[#This Row],[D/venc]]="-","Enviado",IF(Tabela2[[#This Row],[Dt Venc:]]=TODAY(),"Vence Hoje","Vencida")))</f>
        <v>Enviado</v>
      </c>
      <c r="F2885" s="3" t="str">
        <f ca="1">IF(G2885=1,"-",Tabela2[[#This Row],[Dt Venc:]]-TODAY())</f>
        <v>-</v>
      </c>
      <c r="G2885" s="3">
        <v>1</v>
      </c>
      <c r="H2885" s="3"/>
    </row>
    <row r="2886" spans="1:8" hidden="1">
      <c r="A2886" s="3">
        <v>6043</v>
      </c>
      <c r="B2886" s="7" t="s">
        <v>140</v>
      </c>
      <c r="C2886" s="41">
        <v>2469.6</v>
      </c>
      <c r="D2886" s="6">
        <v>45634</v>
      </c>
      <c r="E2886" s="3" t="str">
        <f ca="1">IF(Tabela2[[#This Row],[Dt Venc:]]&gt;TODAY(),"Em Aberto",IF(Tabela2[[#This Row],[D/venc]]="-","Enviado",IF(Tabela2[[#This Row],[Dt Venc:]]=TODAY(),"Vence Hoje","Vencida")))</f>
        <v>Enviado</v>
      </c>
      <c r="F2886" s="3" t="str">
        <f ca="1">IF(G2886=1,"-",Tabela2[[#This Row],[Dt Venc:]]-TODAY())</f>
        <v>-</v>
      </c>
      <c r="G2886" s="3">
        <v>1</v>
      </c>
      <c r="H2886" s="3"/>
    </row>
    <row r="2887" spans="1:8" hidden="1">
      <c r="A2887" s="3">
        <v>5981</v>
      </c>
      <c r="B2887" s="7" t="s">
        <v>47</v>
      </c>
      <c r="C2887" s="42">
        <v>2257.67</v>
      </c>
      <c r="D2887" s="6">
        <v>45634</v>
      </c>
      <c r="E2887" s="3" t="str">
        <f ca="1">IF(Tabela2[[#This Row],[Dt Venc:]]&gt;TODAY(),"Em Aberto",IF(Tabela2[[#This Row],[D/venc]]="-","Enviado",IF(Tabela2[[#This Row],[Dt Venc:]]=TODAY(),"Vence Hoje","Vencida")))</f>
        <v>Enviado</v>
      </c>
      <c r="F2887" s="3" t="str">
        <f ca="1">IF(G2887=1,"-",Tabela2[[#This Row],[Dt Venc:]]-TODAY())</f>
        <v>-</v>
      </c>
      <c r="G2887" s="3">
        <v>1</v>
      </c>
      <c r="H2887" s="3"/>
    </row>
    <row r="2888" spans="1:8" hidden="1">
      <c r="A2888" s="3">
        <v>6125</v>
      </c>
      <c r="B2888" s="7" t="s">
        <v>47</v>
      </c>
      <c r="C2888" s="41">
        <v>774.7</v>
      </c>
      <c r="D2888" s="6">
        <v>45634</v>
      </c>
      <c r="E2888" s="3" t="str">
        <f ca="1">IF(Tabela2[[#This Row],[Dt Venc:]]&gt;TODAY(),"Em Aberto",IF(Tabela2[[#This Row],[D/venc]]="-","Enviado",IF(Tabela2[[#This Row],[Dt Venc:]]=TODAY(),"Vence Hoje","Vencida")))</f>
        <v>Enviado</v>
      </c>
      <c r="F2888" s="3" t="str">
        <f ca="1">IF(G2888=1,"-",Tabela2[[#This Row],[Dt Venc:]]-TODAY())</f>
        <v>-</v>
      </c>
      <c r="G2888" s="3">
        <v>1</v>
      </c>
      <c r="H2888" s="3"/>
    </row>
    <row r="2889" spans="1:8" hidden="1">
      <c r="A2889" s="3">
        <v>42763</v>
      </c>
      <c r="B2889" s="7" t="s">
        <v>365</v>
      </c>
      <c r="C2889" s="41">
        <v>530</v>
      </c>
      <c r="D2889" s="6">
        <v>45634</v>
      </c>
      <c r="E2889" s="3" t="str">
        <f ca="1">IF(Tabela2[[#This Row],[Dt Venc:]]&gt;TODAY(),"Em Aberto",IF(Tabela2[[#This Row],[D/venc]]="-","Enviado",IF(Tabela2[[#This Row],[Dt Venc:]]=TODAY(),"Vence Hoje","Vencida")))</f>
        <v>Enviado</v>
      </c>
      <c r="F2889" s="3" t="str">
        <f ca="1">IF(G2889=1,"-",Tabela2[[#This Row],[Dt Venc:]]-TODAY())</f>
        <v>-</v>
      </c>
      <c r="G2889" s="3">
        <v>1</v>
      </c>
      <c r="H2889" s="3"/>
    </row>
    <row r="2890" spans="1:8" hidden="1">
      <c r="A2890" s="3">
        <v>23316</v>
      </c>
      <c r="B2890" s="7" t="s">
        <v>510</v>
      </c>
      <c r="C2890" s="41">
        <v>405</v>
      </c>
      <c r="D2890" s="6">
        <v>45634</v>
      </c>
      <c r="E2890" s="3" t="str">
        <f ca="1">IF(Tabela2[[#This Row],[Dt Venc:]]&gt;TODAY(),"Em Aberto",IF(Tabela2[[#This Row],[D/venc]]="-","Enviado",IF(Tabela2[[#This Row],[Dt Venc:]]=TODAY(),"Vence Hoje","Vencida")))</f>
        <v>Enviado</v>
      </c>
      <c r="F2890" s="3" t="str">
        <f ca="1">IF(G2890=1,"-",Tabela2[[#This Row],[Dt Venc:]]-TODAY())</f>
        <v>-</v>
      </c>
      <c r="G2890" s="3">
        <v>1</v>
      </c>
      <c r="H2890" s="3"/>
    </row>
    <row r="2891" spans="1:8" hidden="1">
      <c r="A2891" s="3">
        <v>3314980</v>
      </c>
      <c r="B2891" s="7" t="s">
        <v>71</v>
      </c>
      <c r="C2891" s="41">
        <v>27541</v>
      </c>
      <c r="D2891" s="6">
        <v>45634</v>
      </c>
      <c r="E2891" s="3" t="str">
        <f ca="1">IF(Tabela2[[#This Row],[Dt Venc:]]&gt;TODAY(),"Em Aberto",IF(Tabela2[[#This Row],[D/venc]]="-","Enviado",IF(Tabela2[[#This Row],[Dt Venc:]]=TODAY(),"Vence Hoje","Vencida")))</f>
        <v>Enviado</v>
      </c>
      <c r="F2891" s="3" t="str">
        <f ca="1">IF(G2891=1,"-",Tabela2[[#This Row],[Dt Venc:]]-TODAY())</f>
        <v>-</v>
      </c>
      <c r="G2891" s="3">
        <v>1</v>
      </c>
      <c r="H2891" s="3"/>
    </row>
    <row r="2892" spans="1:8" hidden="1">
      <c r="A2892" s="3">
        <v>3314979</v>
      </c>
      <c r="B2892" s="7" t="s">
        <v>71</v>
      </c>
      <c r="C2892" s="41">
        <v>110164</v>
      </c>
      <c r="D2892" s="6">
        <v>45634</v>
      </c>
      <c r="E2892" s="3" t="str">
        <f ca="1">IF(Tabela2[[#This Row],[Dt Venc:]]&gt;TODAY(),"Em Aberto",IF(Tabela2[[#This Row],[D/venc]]="-","Enviado",IF(Tabela2[[#This Row],[Dt Venc:]]=TODAY(),"Vence Hoje","Vencida")))</f>
        <v>Enviado</v>
      </c>
      <c r="F2892" s="3" t="str">
        <f ca="1">IF(G2892=1,"-",Tabela2[[#This Row],[Dt Venc:]]-TODAY())</f>
        <v>-</v>
      </c>
      <c r="G2892" s="3">
        <v>1</v>
      </c>
      <c r="H2892" s="3"/>
    </row>
    <row r="2893" spans="1:8" hidden="1">
      <c r="A2893" s="3">
        <v>284620</v>
      </c>
      <c r="B2893" s="7" t="s">
        <v>153</v>
      </c>
      <c r="C2893" s="83" t="s">
        <v>32</v>
      </c>
      <c r="D2893" s="6">
        <v>45634</v>
      </c>
      <c r="E2893" s="3" t="str">
        <f ca="1">IF(Tabela2[[#This Row],[Dt Venc:]]&gt;TODAY(),"Em Aberto",IF(Tabela2[[#This Row],[D/venc]]="-","Enviado",IF(Tabela2[[#This Row],[Dt Venc:]]=TODAY(),"Vence Hoje","Vencida")))</f>
        <v>Enviado</v>
      </c>
      <c r="F2893" s="3" t="str">
        <f ca="1">IF(G2893=1,"-",Tabela2[[#This Row],[Dt Venc:]]-TODAY())</f>
        <v>-</v>
      </c>
      <c r="G2893" s="3">
        <v>1</v>
      </c>
      <c r="H2893" s="3"/>
    </row>
    <row r="2894" spans="1:8" hidden="1">
      <c r="A2894" s="3" t="s">
        <v>110</v>
      </c>
      <c r="B2894" s="7" t="s">
        <v>164</v>
      </c>
      <c r="C2894" s="42" t="s">
        <v>32</v>
      </c>
      <c r="D2894" s="6">
        <v>45634</v>
      </c>
      <c r="E2894" s="3" t="str">
        <f ca="1">IF(Tabela2[[#This Row],[Dt Venc:]]&gt;TODAY(),"Em Aberto",IF(Tabela2[[#This Row],[D/venc]]="-","Enviado",IF(Tabela2[[#This Row],[Dt Venc:]]=TODAY(),"Vence Hoje","Vencida")))</f>
        <v>Enviado</v>
      </c>
      <c r="F2894" s="3" t="str">
        <f ca="1">IF(G2894=1,"-",Tabela2[[#This Row],[Dt Venc:]]-TODAY())</f>
        <v>-</v>
      </c>
      <c r="G2894" s="3">
        <v>1</v>
      </c>
      <c r="H2894" s="3"/>
    </row>
    <row r="2895" spans="1:8" hidden="1">
      <c r="A2895" s="3" t="s">
        <v>110</v>
      </c>
      <c r="B2895" s="7" t="s">
        <v>162</v>
      </c>
      <c r="C2895" s="42" t="s">
        <v>32</v>
      </c>
      <c r="D2895" s="6">
        <v>45634</v>
      </c>
      <c r="E2895" s="3" t="str">
        <f ca="1">IF(Tabela2[[#This Row],[Dt Venc:]]&gt;TODAY(),"Em Aberto",IF(Tabela2[[#This Row],[D/venc]]="-","Enviado",IF(Tabela2[[#This Row],[Dt Venc:]]=TODAY(),"Vence Hoje","Vencida")))</f>
        <v>Enviado</v>
      </c>
      <c r="F2895" s="3" t="str">
        <f ca="1">IF(G2895=1,"-",Tabela2[[#This Row],[Dt Venc:]]-TODAY())</f>
        <v>-</v>
      </c>
      <c r="G2895" s="3">
        <v>1</v>
      </c>
      <c r="H2895" s="3"/>
    </row>
    <row r="2896" spans="1:8" hidden="1">
      <c r="A2896" s="3">
        <v>1</v>
      </c>
      <c r="B2896" s="7" t="s">
        <v>165</v>
      </c>
      <c r="C2896" s="87" t="s">
        <v>32</v>
      </c>
      <c r="D2896" s="6">
        <v>45634</v>
      </c>
      <c r="E2896" s="3" t="str">
        <f ca="1">IF(Tabela2[[#This Row],[Dt Venc:]]&gt;TODAY(),"Em Aberto",IF(Tabela2[[#This Row],[D/venc]]="-","Enviado",IF(Tabela2[[#This Row],[Dt Venc:]]=TODAY(),"Vence Hoje","Vencida")))</f>
        <v>Enviado</v>
      </c>
      <c r="F2896" s="3" t="str">
        <f ca="1">IF(G2896=1,"-",Tabela2[[#This Row],[Dt Venc:]]-TODAY())</f>
        <v>-</v>
      </c>
      <c r="G2896" s="3">
        <v>1</v>
      </c>
      <c r="H2896" s="3"/>
    </row>
    <row r="2897" spans="1:8" hidden="1">
      <c r="A2897" s="3">
        <v>756561</v>
      </c>
      <c r="B2897" s="7" t="s">
        <v>166</v>
      </c>
      <c r="C2897" s="83" t="s">
        <v>32</v>
      </c>
      <c r="D2897" s="6">
        <v>45635</v>
      </c>
      <c r="E2897" s="3" t="str">
        <f ca="1">IF(Tabela2[[#This Row],[Dt Venc:]]&gt;TODAY(),"Em Aberto",IF(Tabela2[[#This Row],[D/venc]]="-","Enviado",IF(Tabela2[[#This Row],[Dt Venc:]]=TODAY(),"Vence Hoje","Vencida")))</f>
        <v>Enviado</v>
      </c>
      <c r="F2897" s="3" t="str">
        <f ca="1">IF(G2897=1,"-",Tabela2[[#This Row],[Dt Venc:]]-TODAY())</f>
        <v>-</v>
      </c>
      <c r="G2897" s="3">
        <v>1</v>
      </c>
      <c r="H2897" s="3"/>
    </row>
    <row r="2898" spans="1:8" hidden="1">
      <c r="A2898" s="3">
        <v>10874</v>
      </c>
      <c r="B2898" s="7" t="s">
        <v>33</v>
      </c>
      <c r="C2898" s="42">
        <v>831.66</v>
      </c>
      <c r="D2898" s="6">
        <v>45635</v>
      </c>
      <c r="E2898" s="3" t="str">
        <f ca="1">IF(Tabela2[[#This Row],[Dt Venc:]]&gt;TODAY(),"Em Aberto",IF(Tabela2[[#This Row],[D/venc]]="-","Enviado",IF(Tabela2[[#This Row],[Dt Venc:]]=TODAY(),"Vence Hoje","Vencida")))</f>
        <v>Enviado</v>
      </c>
      <c r="F2898" s="3" t="str">
        <f ca="1">IF(G2898=1,"-",Tabela2[[#This Row],[Dt Venc:]]-TODAY())</f>
        <v>-</v>
      </c>
      <c r="G2898" s="3">
        <v>1</v>
      </c>
      <c r="H2898" s="3"/>
    </row>
    <row r="2899" spans="1:8" hidden="1">
      <c r="A2899" s="3">
        <v>54330</v>
      </c>
      <c r="B2899" s="7" t="s">
        <v>35</v>
      </c>
      <c r="C2899" s="41">
        <v>773.89</v>
      </c>
      <c r="D2899" s="6">
        <v>45635</v>
      </c>
      <c r="E2899" s="3" t="str">
        <f ca="1">IF(Tabela2[[#This Row],[Dt Venc:]]&gt;TODAY(),"Em Aberto",IF(Tabela2[[#This Row],[D/venc]]="-","Enviado",IF(Tabela2[[#This Row],[Dt Venc:]]=TODAY(),"Vence Hoje","Vencida")))</f>
        <v>Enviado</v>
      </c>
      <c r="F2899" s="3" t="str">
        <f ca="1">IF(G2899=1,"-",Tabela2[[#This Row],[Dt Venc:]]-TODAY())</f>
        <v>-</v>
      </c>
      <c r="G2899" s="3">
        <v>1</v>
      </c>
      <c r="H2899" s="3"/>
    </row>
    <row r="2900" spans="1:8" hidden="1">
      <c r="A2900" s="3">
        <v>36949</v>
      </c>
      <c r="B2900" s="7" t="s">
        <v>167</v>
      </c>
      <c r="C2900" s="83" t="s">
        <v>32</v>
      </c>
      <c r="D2900" s="6">
        <v>45635</v>
      </c>
      <c r="E2900" s="3" t="str">
        <f ca="1">IF(Tabela2[[#This Row],[Dt Venc:]]&gt;TODAY(),"Em Aberto",IF(Tabela2[[#This Row],[D/venc]]="-","Enviado",IF(Tabela2[[#This Row],[Dt Venc:]]=TODAY(),"Vence Hoje","Vencida")))</f>
        <v>Enviado</v>
      </c>
      <c r="F2900" s="3" t="str">
        <f ca="1">IF(G2900=1,"-",Tabela2[[#This Row],[Dt Venc:]]-TODAY())</f>
        <v>-</v>
      </c>
      <c r="G2900" s="3">
        <v>1</v>
      </c>
      <c r="H2900" s="3"/>
    </row>
    <row r="2901" spans="1:8" hidden="1">
      <c r="A2901" s="3">
        <v>8493</v>
      </c>
      <c r="B2901" s="7" t="s">
        <v>105</v>
      </c>
      <c r="C2901" s="41">
        <v>880</v>
      </c>
      <c r="D2901" s="6">
        <v>45635</v>
      </c>
      <c r="E2901" s="3" t="str">
        <f ca="1">IF(Tabela2[[#This Row],[Dt Venc:]]&gt;TODAY(),"Em Aberto",IF(Tabela2[[#This Row],[D/venc]]="-","Enviado",IF(Tabela2[[#This Row],[Dt Venc:]]=TODAY(),"Vence Hoje","Vencida")))</f>
        <v>Enviado</v>
      </c>
      <c r="F2901" s="3" t="str">
        <f ca="1">IF(G2901=1,"-",Tabela2[[#This Row],[Dt Venc:]]-TODAY())</f>
        <v>-</v>
      </c>
      <c r="G2901" s="3">
        <v>1</v>
      </c>
      <c r="H2901" s="3"/>
    </row>
    <row r="2902" spans="1:8" hidden="1">
      <c r="A2902" s="3">
        <v>2879</v>
      </c>
      <c r="B2902" s="7" t="s">
        <v>301</v>
      </c>
      <c r="C2902" s="41">
        <v>1626.67</v>
      </c>
      <c r="D2902" s="6">
        <v>45635</v>
      </c>
      <c r="E2902" s="3" t="str">
        <f ca="1">IF(Tabela2[[#This Row],[Dt Venc:]]&gt;TODAY(),"Em Aberto",IF(Tabela2[[#This Row],[D/venc]]="-","Enviado",IF(Tabela2[[#This Row],[Dt Venc:]]=TODAY(),"Vence Hoje","Vencida")))</f>
        <v>Enviado</v>
      </c>
      <c r="F2902" s="3" t="str">
        <f ca="1">IF(G2902=1,"-",Tabela2[[#This Row],[Dt Venc:]]-TODAY())</f>
        <v>-</v>
      </c>
      <c r="G2902" s="3">
        <v>1</v>
      </c>
      <c r="H2902" s="3"/>
    </row>
    <row r="2903" spans="1:8" hidden="1">
      <c r="A2903" s="3">
        <v>1243967</v>
      </c>
      <c r="B2903" s="7" t="s">
        <v>64</v>
      </c>
      <c r="C2903" s="41">
        <v>868.66</v>
      </c>
      <c r="D2903" s="6">
        <v>45635</v>
      </c>
      <c r="E2903" s="3" t="str">
        <f ca="1">IF(Tabela2[[#This Row],[Dt Venc:]]&gt;TODAY(),"Em Aberto",IF(Tabela2[[#This Row],[D/venc]]="-","Enviado",IF(Tabela2[[#This Row],[Dt Venc:]]=TODAY(),"Vence Hoje","Vencida")))</f>
        <v>Enviado</v>
      </c>
      <c r="F2903" s="3" t="str">
        <f ca="1">IF(G2903=1,"-",Tabela2[[#This Row],[Dt Venc:]]-TODAY())</f>
        <v>-</v>
      </c>
      <c r="G2903" s="3">
        <v>1</v>
      </c>
      <c r="H2903" s="3"/>
    </row>
    <row r="2904" spans="1:8" hidden="1">
      <c r="A2904" s="3">
        <v>43060</v>
      </c>
      <c r="B2904" s="7" t="s">
        <v>144</v>
      </c>
      <c r="C2904" s="42">
        <v>618</v>
      </c>
      <c r="D2904" s="6">
        <v>45635</v>
      </c>
      <c r="E2904" s="3" t="str">
        <f ca="1">IF(Tabela2[[#This Row],[Dt Venc:]]&gt;TODAY(),"Em Aberto",IF(Tabela2[[#This Row],[D/venc]]="-","Enviado",IF(Tabela2[[#This Row],[Dt Venc:]]=TODAY(),"Vence Hoje","Vencida")))</f>
        <v>Enviado</v>
      </c>
      <c r="F2904" s="3" t="str">
        <f ca="1">IF(G2904=1,"-",Tabela2[[#This Row],[Dt Venc:]]-TODAY())</f>
        <v>-</v>
      </c>
      <c r="G2904" s="3">
        <v>1</v>
      </c>
      <c r="H2904" s="3"/>
    </row>
    <row r="2905" spans="1:8" hidden="1">
      <c r="A2905" s="3">
        <v>263764</v>
      </c>
      <c r="B2905" s="7" t="s">
        <v>36</v>
      </c>
      <c r="C2905" s="41">
        <v>297.5</v>
      </c>
      <c r="D2905" s="6">
        <v>45635</v>
      </c>
      <c r="E2905" s="3" t="str">
        <f ca="1">IF(Tabela2[[#This Row],[Dt Venc:]]&gt;TODAY(),"Em Aberto",IF(Tabela2[[#This Row],[D/venc]]="-","Enviado",IF(Tabela2[[#This Row],[Dt Venc:]]=TODAY(),"Vence Hoje","Vencida")))</f>
        <v>Enviado</v>
      </c>
      <c r="F2905" s="3" t="str">
        <f ca="1">IF(G2905=1,"-",Tabela2[[#This Row],[Dt Venc:]]-TODAY())</f>
        <v>-</v>
      </c>
      <c r="G2905" s="3">
        <v>1</v>
      </c>
      <c r="H2905" s="3"/>
    </row>
    <row r="2906" spans="1:8" hidden="1">
      <c r="A2906" s="3">
        <v>23265</v>
      </c>
      <c r="B2906" s="7" t="s">
        <v>38</v>
      </c>
      <c r="C2906" s="42">
        <v>384.67</v>
      </c>
      <c r="D2906" s="6">
        <v>45635</v>
      </c>
      <c r="E2906" s="3" t="str">
        <f ca="1">IF(Tabela2[[#This Row],[Dt Venc:]]&gt;TODAY(),"Em Aberto",IF(Tabela2[[#This Row],[D/venc]]="-","Enviado",IF(Tabela2[[#This Row],[Dt Venc:]]=TODAY(),"Vence Hoje","Vencida")))</f>
        <v>Enviado</v>
      </c>
      <c r="F2906" s="3" t="str">
        <f ca="1">IF(G2906=1,"-",Tabela2[[#This Row],[Dt Venc:]]-TODAY())</f>
        <v>-</v>
      </c>
      <c r="G2906" s="3">
        <v>1</v>
      </c>
      <c r="H2906" s="3"/>
    </row>
    <row r="2907" spans="1:8" hidden="1">
      <c r="A2907" s="3">
        <v>80273</v>
      </c>
      <c r="B2907" s="7" t="s">
        <v>39</v>
      </c>
      <c r="C2907" s="42">
        <v>616.64</v>
      </c>
      <c r="D2907" s="6">
        <v>45635</v>
      </c>
      <c r="E2907" s="3" t="str">
        <f ca="1">IF(Tabela2[[#This Row],[Dt Venc:]]&gt;TODAY(),"Em Aberto",IF(Tabela2[[#This Row],[D/venc]]="-","Enviado",IF(Tabela2[[#This Row],[Dt Venc:]]=TODAY(),"Vence Hoje","Vencida")))</f>
        <v>Enviado</v>
      </c>
      <c r="F2907" s="3" t="str">
        <f ca="1">IF(G2907=1,"-",Tabela2[[#This Row],[Dt Venc:]]-TODAY())</f>
        <v>-</v>
      </c>
      <c r="G2907" s="3">
        <v>1</v>
      </c>
      <c r="H2907" s="3"/>
    </row>
    <row r="2908" spans="1:8" hidden="1">
      <c r="A2908" s="3">
        <v>367368</v>
      </c>
      <c r="B2908" s="7" t="s">
        <v>39</v>
      </c>
      <c r="C2908" s="42">
        <v>1189.6300000000001</v>
      </c>
      <c r="D2908" s="6">
        <v>45635</v>
      </c>
      <c r="E2908" s="3" t="str">
        <f ca="1">IF(Tabela2[[#This Row],[Dt Venc:]]&gt;TODAY(),"Em Aberto",IF(Tabela2[[#This Row],[D/venc]]="-","Enviado",IF(Tabela2[[#This Row],[Dt Venc:]]=TODAY(),"Vence Hoje","Vencida")))</f>
        <v>Enviado</v>
      </c>
      <c r="F2908" s="3" t="str">
        <f ca="1">IF(G2908=1,"-",Tabela2[[#This Row],[Dt Venc:]]-TODAY())</f>
        <v>-</v>
      </c>
      <c r="G2908" s="3">
        <v>1</v>
      </c>
      <c r="H2908" s="3"/>
    </row>
    <row r="2909" spans="1:8" hidden="1">
      <c r="A2909" s="3">
        <v>372257</v>
      </c>
      <c r="B2909" s="7" t="s">
        <v>39</v>
      </c>
      <c r="C2909" s="41">
        <v>1343.1</v>
      </c>
      <c r="D2909" s="6">
        <v>45635</v>
      </c>
      <c r="E2909" s="3" t="str">
        <f ca="1">IF(Tabela2[[#This Row],[Dt Venc:]]&gt;TODAY(),"Em Aberto",IF(Tabela2[[#This Row],[D/venc]]="-","Enviado",IF(Tabela2[[#This Row],[Dt Venc:]]=TODAY(),"Vence Hoje","Vencida")))</f>
        <v>Enviado</v>
      </c>
      <c r="F2909" s="3" t="str">
        <f ca="1">IF(G2909=1,"-",Tabela2[[#This Row],[Dt Venc:]]-TODAY())</f>
        <v>-</v>
      </c>
      <c r="G2909" s="3">
        <v>1</v>
      </c>
      <c r="H2909" s="3"/>
    </row>
    <row r="2910" spans="1:8" hidden="1">
      <c r="A2910" s="3">
        <v>80272</v>
      </c>
      <c r="B2910" s="7" t="s">
        <v>187</v>
      </c>
      <c r="C2910" s="42">
        <v>616.64</v>
      </c>
      <c r="D2910" s="6">
        <v>45635</v>
      </c>
      <c r="E2910" s="3" t="str">
        <f ca="1">IF(Tabela2[[#This Row],[Dt Venc:]]&gt;TODAY(),"Em Aberto",IF(Tabela2[[#This Row],[D/venc]]="-","Enviado",IF(Tabela2[[#This Row],[Dt Venc:]]=TODAY(),"Vence Hoje","Vencida")))</f>
        <v>Enviado</v>
      </c>
      <c r="F2910" s="3" t="str">
        <f ca="1">IF(G2910=1,"-",Tabela2[[#This Row],[Dt Venc:]]-TODAY())</f>
        <v>-</v>
      </c>
      <c r="G2910" s="3">
        <v>1</v>
      </c>
      <c r="H2910" s="3"/>
    </row>
    <row r="2911" spans="1:8" hidden="1">
      <c r="A2911" s="3">
        <v>362723</v>
      </c>
      <c r="B2911" s="7" t="s">
        <v>187</v>
      </c>
      <c r="C2911" s="42">
        <v>290.41000000000003</v>
      </c>
      <c r="D2911" s="6">
        <v>45635</v>
      </c>
      <c r="E2911" s="3" t="str">
        <f ca="1">IF(Tabela2[[#This Row],[Dt Venc:]]&gt;TODAY(),"Em Aberto",IF(Tabela2[[#This Row],[D/venc]]="-","Enviado",IF(Tabela2[[#This Row],[Dt Venc:]]=TODAY(),"Vence Hoje","Vencida")))</f>
        <v>Enviado</v>
      </c>
      <c r="F2911" s="3" t="str">
        <f ca="1">IF(G2911=1,"-",Tabela2[[#This Row],[Dt Venc:]]-TODAY())</f>
        <v>-</v>
      </c>
      <c r="G2911" s="3">
        <v>1</v>
      </c>
      <c r="H2911" s="3"/>
    </row>
    <row r="2912" spans="1:8" hidden="1">
      <c r="A2912" s="3">
        <v>362724</v>
      </c>
      <c r="B2912" s="7" t="s">
        <v>187</v>
      </c>
      <c r="C2912" s="42">
        <v>290.41000000000003</v>
      </c>
      <c r="D2912" s="6">
        <v>45635</v>
      </c>
      <c r="E2912" s="3" t="str">
        <f ca="1">IF(Tabela2[[#This Row],[Dt Venc:]]&gt;TODAY(),"Em Aberto",IF(Tabela2[[#This Row],[D/venc]]="-","Enviado",IF(Tabela2[[#This Row],[Dt Venc:]]=TODAY(),"Vence Hoje","Vencida")))</f>
        <v>Enviado</v>
      </c>
      <c r="F2912" s="3" t="str">
        <f ca="1">IF(G2912=1,"-",Tabela2[[#This Row],[Dt Venc:]]-TODAY())</f>
        <v>-</v>
      </c>
      <c r="G2912" s="3">
        <v>1</v>
      </c>
      <c r="H2912" s="3"/>
    </row>
    <row r="2913" spans="1:11" hidden="1">
      <c r="A2913" s="3">
        <v>369905</v>
      </c>
      <c r="B2913" s="7" t="s">
        <v>420</v>
      </c>
      <c r="C2913" s="41">
        <v>1113.83</v>
      </c>
      <c r="D2913" s="6">
        <v>45635</v>
      </c>
      <c r="E2913" s="3" t="str">
        <f ca="1">IF(Tabela2[[#This Row],[Dt Venc:]]&gt;TODAY(),"Em Aberto",IF(Tabela2[[#This Row],[D/venc]]="-","Enviado",IF(Tabela2[[#This Row],[Dt Venc:]]=TODAY(),"Vence Hoje","Vencida")))</f>
        <v>Enviado</v>
      </c>
      <c r="F2913" s="3" t="str">
        <f ca="1">IF(G2913=1,"-",Tabela2[[#This Row],[Dt Venc:]]-TODAY())</f>
        <v>-</v>
      </c>
      <c r="G2913" s="3">
        <v>1</v>
      </c>
      <c r="H2913" s="3"/>
    </row>
    <row r="2914" spans="1:11" hidden="1">
      <c r="A2914" s="3">
        <v>5233</v>
      </c>
      <c r="B2914" s="7" t="s">
        <v>515</v>
      </c>
      <c r="C2914" s="41">
        <v>1177.3</v>
      </c>
      <c r="D2914" s="6">
        <v>45635</v>
      </c>
      <c r="E2914" s="3" t="str">
        <f ca="1">IF(Tabela2[[#This Row],[Dt Venc:]]&gt;TODAY(),"Em Aberto",IF(Tabela2[[#This Row],[D/venc]]="-","Enviado",IF(Tabela2[[#This Row],[Dt Venc:]]=TODAY(),"Vence Hoje","Vencida")))</f>
        <v>Enviado</v>
      </c>
      <c r="F2914" s="3" t="str">
        <f ca="1">IF(G2914=1,"-",Tabela2[[#This Row],[Dt Venc:]]-TODAY())</f>
        <v>-</v>
      </c>
      <c r="G2914" s="3">
        <v>1</v>
      </c>
      <c r="H2914" s="3"/>
    </row>
    <row r="2915" spans="1:11" hidden="1">
      <c r="A2915" s="3">
        <v>142391</v>
      </c>
      <c r="B2915" s="7" t="s">
        <v>516</v>
      </c>
      <c r="C2915" s="41">
        <v>493.6</v>
      </c>
      <c r="D2915" s="6">
        <v>45635</v>
      </c>
      <c r="E2915" s="3" t="str">
        <f ca="1">IF(Tabela2[[#This Row],[Dt Venc:]]&gt;TODAY(),"Em Aberto",IF(Tabela2[[#This Row],[D/venc]]="-","Enviado",IF(Tabela2[[#This Row],[Dt Venc:]]=TODAY(),"Vence Hoje","Vencida")))</f>
        <v>Enviado</v>
      </c>
      <c r="F2915" s="3" t="str">
        <f ca="1">IF(G2915=1,"-",Tabela2[[#This Row],[Dt Venc:]]-TODAY())</f>
        <v>-</v>
      </c>
      <c r="G2915" s="3">
        <v>1</v>
      </c>
      <c r="H2915" s="3"/>
    </row>
    <row r="2916" spans="1:11" hidden="1">
      <c r="A2916" s="3">
        <v>1655</v>
      </c>
      <c r="B2916" s="7" t="s">
        <v>78</v>
      </c>
      <c r="C2916" s="41">
        <v>407</v>
      </c>
      <c r="D2916" s="6">
        <v>45635</v>
      </c>
      <c r="E2916" s="3" t="str">
        <f ca="1">IF(Tabela2[[#This Row],[Dt Venc:]]&gt;TODAY(),"Em Aberto",IF(Tabela2[[#This Row],[D/venc]]="-","Enviado",IF(Tabela2[[#This Row],[Dt Venc:]]=TODAY(),"Vence Hoje","Vencida")))</f>
        <v>Enviado</v>
      </c>
      <c r="F2916" s="3" t="str">
        <f ca="1">IF(G2916=1,"-",Tabela2[[#This Row],[Dt Venc:]]-TODAY())</f>
        <v>-</v>
      </c>
      <c r="G2916" s="3">
        <v>1</v>
      </c>
      <c r="H2916" s="3"/>
    </row>
    <row r="2917" spans="1:11" hidden="1">
      <c r="A2917" s="3">
        <v>5661</v>
      </c>
      <c r="B2917" s="7" t="s">
        <v>242</v>
      </c>
      <c r="C2917" s="41">
        <v>129.6</v>
      </c>
      <c r="D2917" s="6">
        <v>45635</v>
      </c>
      <c r="E2917" s="3" t="str">
        <f ca="1">IF(Tabela2[[#This Row],[Dt Venc:]]&gt;TODAY(),"Em Aberto",IF(Tabela2[[#This Row],[D/venc]]="-","Enviado",IF(Tabela2[[#This Row],[Dt Venc:]]=TODAY(),"Vence Hoje","Vencida")))</f>
        <v>Enviado</v>
      </c>
      <c r="F2917" s="3" t="str">
        <f ca="1">IF(G2917=1,"-",Tabela2[[#This Row],[Dt Venc:]]-TODAY())</f>
        <v>-</v>
      </c>
      <c r="G2917" s="3">
        <v>1</v>
      </c>
      <c r="H2917" s="3"/>
    </row>
    <row r="2918" spans="1:11" hidden="1">
      <c r="A2918" s="3">
        <v>607861</v>
      </c>
      <c r="B2918" s="7" t="s">
        <v>66</v>
      </c>
      <c r="C2918" s="42">
        <v>926.36</v>
      </c>
      <c r="D2918" s="6">
        <v>45635</v>
      </c>
      <c r="E2918" s="3" t="str">
        <f ca="1">IF(Tabela2[[#This Row],[Dt Venc:]]&gt;TODAY(),"Em Aberto",IF(Tabela2[[#This Row],[D/venc]]="-","Enviado",IF(Tabela2[[#This Row],[Dt Venc:]]=TODAY(),"Vence Hoje","Vencida")))</f>
        <v>Enviado</v>
      </c>
      <c r="F2918" s="3" t="str">
        <f ca="1">IF(G2918=1,"-",Tabela2[[#This Row],[Dt Venc:]]-TODAY())</f>
        <v>-</v>
      </c>
      <c r="G2918" s="3">
        <v>1</v>
      </c>
      <c r="H2918" s="3"/>
    </row>
    <row r="2919" spans="1:11" hidden="1">
      <c r="A2919" s="3">
        <v>612031</v>
      </c>
      <c r="B2919" s="7" t="s">
        <v>66</v>
      </c>
      <c r="C2919" s="41">
        <v>1306.8</v>
      </c>
      <c r="D2919" s="6">
        <v>45635</v>
      </c>
      <c r="E2919" s="3" t="str">
        <f ca="1">IF(Tabela2[[#This Row],[Dt Venc:]]&gt;TODAY(),"Em Aberto",IF(Tabela2[[#This Row],[D/venc]]="-","Enviado",IF(Tabela2[[#This Row],[Dt Venc:]]=TODAY(),"Vence Hoje","Vencida")))</f>
        <v>Enviado</v>
      </c>
      <c r="F2919" s="3" t="str">
        <f ca="1">IF(G2919=1,"-",Tabela2[[#This Row],[Dt Venc:]]-TODAY())</f>
        <v>-</v>
      </c>
      <c r="G2919" s="3">
        <v>1</v>
      </c>
      <c r="H2919" s="3"/>
    </row>
    <row r="2920" spans="1:11" hidden="1">
      <c r="A2920" s="3">
        <v>616214</v>
      </c>
      <c r="B2920" s="7" t="s">
        <v>66</v>
      </c>
      <c r="C2920" s="41">
        <v>750.42</v>
      </c>
      <c r="D2920" s="6">
        <v>45635</v>
      </c>
      <c r="E2920" s="3" t="str">
        <f ca="1">IF(Tabela2[[#This Row],[Dt Venc:]]&gt;TODAY(),"Em Aberto",IF(Tabela2[[#This Row],[D/venc]]="-","Enviado",IF(Tabela2[[#This Row],[Dt Venc:]]=TODAY(),"Vence Hoje","Vencida")))</f>
        <v>Enviado</v>
      </c>
      <c r="F2920" s="3" t="str">
        <f ca="1">IF(G2920=1,"-",Tabela2[[#This Row],[Dt Venc:]]-TODAY())</f>
        <v>-</v>
      </c>
      <c r="G2920" s="3">
        <v>1</v>
      </c>
      <c r="H2920" s="3"/>
    </row>
    <row r="2921" spans="1:11" hidden="1">
      <c r="A2921" s="3">
        <v>5365</v>
      </c>
      <c r="B2921" s="7" t="s">
        <v>134</v>
      </c>
      <c r="C2921" s="41">
        <v>850</v>
      </c>
      <c r="D2921" s="6">
        <v>45635</v>
      </c>
      <c r="E2921" s="3" t="str">
        <f ca="1">IF(Tabela2[[#This Row],[Dt Venc:]]&gt;TODAY(),"Em Aberto",IF(Tabela2[[#This Row],[D/venc]]="-","Enviado",IF(Tabela2[[#This Row],[Dt Venc:]]=TODAY(),"Vence Hoje","Vencida")))</f>
        <v>Enviado</v>
      </c>
      <c r="F2921" s="3" t="str">
        <f ca="1">IF(G2921=1,"-",Tabela2[[#This Row],[Dt Venc:]]-TODAY())</f>
        <v>-</v>
      </c>
      <c r="G2921" s="3">
        <v>1</v>
      </c>
      <c r="H2921" s="3"/>
    </row>
    <row r="2922" spans="1:11" hidden="1">
      <c r="A2922" s="3">
        <v>21756</v>
      </c>
      <c r="B2922" s="7" t="s">
        <v>40</v>
      </c>
      <c r="C2922" s="42">
        <v>7933.34</v>
      </c>
      <c r="D2922" s="6">
        <v>45635</v>
      </c>
      <c r="E2922" s="3" t="str">
        <f ca="1">IF(Tabela2[[#This Row],[Dt Venc:]]&gt;TODAY(),"Em Aberto",IF(Tabela2[[#This Row],[D/venc]]="-","Enviado",IF(Tabela2[[#This Row],[Dt Venc:]]=TODAY(),"Vence Hoje","Vencida")))</f>
        <v>Enviado</v>
      </c>
      <c r="F2922" s="3" t="str">
        <f ca="1">IF(G2922=1,"-",Tabela2[[#This Row],[Dt Venc:]]-TODAY())</f>
        <v>-</v>
      </c>
      <c r="G2922" s="3">
        <v>1</v>
      </c>
      <c r="H2922" s="3"/>
    </row>
    <row r="2923" spans="1:11" hidden="1">
      <c r="A2923" s="3">
        <v>444590</v>
      </c>
      <c r="B2923" s="7" t="s">
        <v>59</v>
      </c>
      <c r="C2923" s="41">
        <v>55871</v>
      </c>
      <c r="D2923" s="6">
        <v>45635</v>
      </c>
      <c r="E2923" s="3" t="str">
        <f ca="1">IF(Tabela2[[#This Row],[Dt Venc:]]&gt;TODAY(),"Em Aberto",IF(Tabela2[[#This Row],[D/venc]]="-","Enviado",IF(Tabela2[[#This Row],[Dt Venc:]]=TODAY(),"Vence Hoje","Vencida")))</f>
        <v>Enviado</v>
      </c>
      <c r="F2923" s="3" t="str">
        <f ca="1">IF(G2923=1,"-",Tabela2[[#This Row],[Dt Venc:]]-TODAY())</f>
        <v>-</v>
      </c>
      <c r="G2923" s="3">
        <v>1</v>
      </c>
      <c r="H2923" s="3"/>
    </row>
    <row r="2924" spans="1:11" hidden="1">
      <c r="A2924" s="3">
        <v>1997707</v>
      </c>
      <c r="B2924" s="7" t="s">
        <v>59</v>
      </c>
      <c r="C2924" s="41">
        <v>55027</v>
      </c>
      <c r="D2924" s="6">
        <v>45635</v>
      </c>
      <c r="E2924" s="3" t="str">
        <f ca="1">IF(Tabela2[[#This Row],[Dt Venc:]]&gt;TODAY(),"Em Aberto",IF(Tabela2[[#This Row],[D/venc]]="-","Enviado",IF(Tabela2[[#This Row],[Dt Venc:]]=TODAY(),"Vence Hoje","Vencida")))</f>
        <v>Enviado</v>
      </c>
      <c r="F2924" s="3" t="str">
        <f ca="1">IF(G2924=1,"-",Tabela2[[#This Row],[Dt Venc:]]-TODAY())</f>
        <v>-</v>
      </c>
      <c r="G2924" s="3">
        <v>1</v>
      </c>
      <c r="H2924" s="3"/>
    </row>
    <row r="2925" spans="1:11" hidden="1">
      <c r="A2925" s="3">
        <v>54</v>
      </c>
      <c r="B2925" s="7" t="s">
        <v>517</v>
      </c>
      <c r="C2925" s="41">
        <v>3266.67</v>
      </c>
      <c r="D2925" s="6">
        <v>45635</v>
      </c>
      <c r="E2925" s="3" t="str">
        <f ca="1">IF(Tabela2[[#This Row],[Dt Venc:]]&gt;TODAY(),"Em Aberto",IF(Tabela2[[#This Row],[D/venc]]="-","Enviado",IF(Tabela2[[#This Row],[Dt Venc:]]=TODAY(),"Vence Hoje","Vencida")))</f>
        <v>Enviado</v>
      </c>
      <c r="F2925" s="3" t="str">
        <f ca="1">IF(G2925=1,"-",Tabela2[[#This Row],[Dt Venc:]]-TODAY())</f>
        <v>-</v>
      </c>
      <c r="G2925" s="3">
        <v>1</v>
      </c>
      <c r="H2925" s="3"/>
      <c r="K2925" s="94"/>
    </row>
    <row r="2926" spans="1:11" hidden="1">
      <c r="A2926" s="3">
        <v>181932</v>
      </c>
      <c r="B2926" s="7" t="s">
        <v>42</v>
      </c>
      <c r="C2926" s="41">
        <v>736.85</v>
      </c>
      <c r="D2926" s="6">
        <v>45635</v>
      </c>
      <c r="E2926" s="3" t="str">
        <f ca="1">IF(Tabela2[[#This Row],[Dt Venc:]]&gt;TODAY(),"Em Aberto",IF(Tabela2[[#This Row],[D/venc]]="-","Enviado",IF(Tabela2[[#This Row],[Dt Venc:]]=TODAY(),"Vence Hoje","Vencida")))</f>
        <v>Enviado</v>
      </c>
      <c r="F2926" s="3" t="str">
        <f ca="1">IF(G2926=1,"-",Tabela2[[#This Row],[Dt Venc:]]-TODAY())</f>
        <v>-</v>
      </c>
      <c r="G2926" s="3">
        <v>1</v>
      </c>
      <c r="H2926" s="3"/>
      <c r="K2926" s="94"/>
    </row>
    <row r="2927" spans="1:11" hidden="1">
      <c r="A2927" s="3">
        <v>67725</v>
      </c>
      <c r="B2927" s="7" t="s">
        <v>143</v>
      </c>
      <c r="C2927" s="41">
        <v>1191.4000000000001</v>
      </c>
      <c r="D2927" s="6">
        <v>45635</v>
      </c>
      <c r="E2927" s="3" t="str">
        <f ca="1">IF(Tabela2[[#This Row],[Dt Venc:]]&gt;TODAY(),"Em Aberto",IF(Tabela2[[#This Row],[D/venc]]="-","Enviado",IF(Tabela2[[#This Row],[Dt Venc:]]=TODAY(),"Vence Hoje","Vencida")))</f>
        <v>Enviado</v>
      </c>
      <c r="F2927" s="3" t="str">
        <f ca="1">IF(G2927=1,"-",Tabela2[[#This Row],[Dt Venc:]]-TODAY())</f>
        <v>-</v>
      </c>
      <c r="G2927" s="3">
        <v>1</v>
      </c>
      <c r="H2927" s="3"/>
    </row>
    <row r="2928" spans="1:11" hidden="1">
      <c r="A2928" s="3">
        <v>3109</v>
      </c>
      <c r="B2928" s="7" t="s">
        <v>518</v>
      </c>
      <c r="C2928" s="41">
        <v>386.34</v>
      </c>
      <c r="D2928" s="6">
        <v>45635</v>
      </c>
      <c r="E2928" s="3" t="str">
        <f ca="1">IF(Tabela2[[#This Row],[Dt Venc:]]&gt;TODAY(),"Em Aberto",IF(Tabela2[[#This Row],[D/venc]]="-","Enviado",IF(Tabela2[[#This Row],[Dt Venc:]]=TODAY(),"Vence Hoje","Vencida")))</f>
        <v>Enviado</v>
      </c>
      <c r="F2928" s="3" t="str">
        <f ca="1">IF(G2928=1,"-",Tabela2[[#This Row],[Dt Venc:]]-TODAY())</f>
        <v>-</v>
      </c>
      <c r="G2928" s="3">
        <v>1</v>
      </c>
      <c r="H2928" s="3"/>
    </row>
    <row r="2929" spans="1:8" hidden="1">
      <c r="A2929" s="3">
        <v>239350</v>
      </c>
      <c r="B2929" s="7" t="s">
        <v>43</v>
      </c>
      <c r="C2929" s="42">
        <v>1249.54</v>
      </c>
      <c r="D2929" s="6">
        <v>45635</v>
      </c>
      <c r="E2929" s="3" t="str">
        <f ca="1">IF(Tabela2[[#This Row],[Dt Venc:]]&gt;TODAY(),"Em Aberto",IF(Tabela2[[#This Row],[D/venc]]="-","Enviado",IF(Tabela2[[#This Row],[Dt Venc:]]=TODAY(),"Vence Hoje","Vencida")))</f>
        <v>Enviado</v>
      </c>
      <c r="F2929" s="3" t="str">
        <f ca="1">IF(G2929=1,"-",Tabela2[[#This Row],[Dt Venc:]]-TODAY())</f>
        <v>-</v>
      </c>
      <c r="G2929" s="3">
        <v>1</v>
      </c>
      <c r="H2929" s="3"/>
    </row>
    <row r="2930" spans="1:8" hidden="1">
      <c r="A2930" s="3">
        <v>239660</v>
      </c>
      <c r="B2930" s="7" t="s">
        <v>43</v>
      </c>
      <c r="C2930" s="41">
        <v>3227.85</v>
      </c>
      <c r="D2930" s="6">
        <v>45635</v>
      </c>
      <c r="E2930" s="3" t="str">
        <f ca="1">IF(Tabela2[[#This Row],[Dt Venc:]]&gt;TODAY(),"Em Aberto",IF(Tabela2[[#This Row],[D/venc]]="-","Enviado",IF(Tabela2[[#This Row],[Dt Venc:]]=TODAY(),"Vence Hoje","Vencida")))</f>
        <v>Enviado</v>
      </c>
      <c r="F2930" s="3" t="str">
        <f ca="1">IF(G2930=1,"-",Tabela2[[#This Row],[Dt Venc:]]-TODAY())</f>
        <v>-</v>
      </c>
      <c r="G2930" s="3">
        <v>1</v>
      </c>
      <c r="H2930" s="3"/>
    </row>
    <row r="2931" spans="1:8" hidden="1">
      <c r="A2931" s="3">
        <v>704646</v>
      </c>
      <c r="B2931" s="7" t="s">
        <v>79</v>
      </c>
      <c r="C2931" s="41">
        <v>1378.47</v>
      </c>
      <c r="D2931" s="6">
        <v>45635</v>
      </c>
      <c r="E2931" s="3" t="str">
        <f ca="1">IF(Tabela2[[#This Row],[Dt Venc:]]&gt;TODAY(),"Em Aberto",IF(Tabela2[[#This Row],[D/venc]]="-","Enviado",IF(Tabela2[[#This Row],[Dt Venc:]]=TODAY(),"Vence Hoje","Vencida")))</f>
        <v>Enviado</v>
      </c>
      <c r="F2931" s="3" t="str">
        <f ca="1">IF(G2931=1,"-",Tabela2[[#This Row],[Dt Venc:]]-TODAY())</f>
        <v>-</v>
      </c>
      <c r="G2931" s="3">
        <v>1</v>
      </c>
      <c r="H2931" s="3"/>
    </row>
    <row r="2932" spans="1:8" hidden="1">
      <c r="A2932" s="3">
        <v>326910</v>
      </c>
      <c r="B2932" s="7" t="s">
        <v>240</v>
      </c>
      <c r="C2932" s="42">
        <v>387.67</v>
      </c>
      <c r="D2932" s="6">
        <v>45635</v>
      </c>
      <c r="E2932" s="3" t="str">
        <f ca="1">IF(Tabela2[[#This Row],[Dt Venc:]]&gt;TODAY(),"Em Aberto",IF(Tabela2[[#This Row],[D/venc]]="-","Enviado",IF(Tabela2[[#This Row],[Dt Venc:]]=TODAY(),"Vence Hoje","Vencida")))</f>
        <v>Enviado</v>
      </c>
      <c r="F2932" s="3" t="str">
        <f ca="1">IF(G2932=1,"-",Tabela2[[#This Row],[Dt Venc:]]-TODAY())</f>
        <v>-</v>
      </c>
      <c r="G2932" s="3">
        <v>1</v>
      </c>
      <c r="H2932" s="3"/>
    </row>
    <row r="2933" spans="1:8" hidden="1">
      <c r="A2933" s="3">
        <v>30551</v>
      </c>
      <c r="B2933" s="7" t="s">
        <v>70</v>
      </c>
      <c r="C2933" s="42">
        <v>1265.24</v>
      </c>
      <c r="D2933" s="6">
        <v>45635</v>
      </c>
      <c r="E2933" s="3" t="str">
        <f ca="1">IF(Tabela2[[#This Row],[Dt Venc:]]&gt;TODAY(),"Em Aberto",IF(Tabela2[[#This Row],[D/venc]]="-","Enviado",IF(Tabela2[[#This Row],[Dt Venc:]]=TODAY(),"Vence Hoje","Vencida")))</f>
        <v>Enviado</v>
      </c>
      <c r="F2933" s="3" t="str">
        <f ca="1">IF(G2933=1,"-",Tabela2[[#This Row],[Dt Venc:]]-TODAY())</f>
        <v>-</v>
      </c>
      <c r="G2933" s="3">
        <v>1</v>
      </c>
      <c r="H2933" s="3"/>
    </row>
    <row r="2934" spans="1:8" hidden="1">
      <c r="A2934" s="3">
        <v>39431</v>
      </c>
      <c r="B2934" s="7" t="s">
        <v>70</v>
      </c>
      <c r="C2934" s="42">
        <v>1740.48</v>
      </c>
      <c r="D2934" s="6">
        <v>45635</v>
      </c>
      <c r="E2934" s="3" t="str">
        <f ca="1">IF(Tabela2[[#This Row],[Dt Venc:]]&gt;TODAY(),"Em Aberto",IF(Tabela2[[#This Row],[D/venc]]="-","Enviado",IF(Tabela2[[#This Row],[Dt Venc:]]=TODAY(),"Vence Hoje","Vencida")))</f>
        <v>Enviado</v>
      </c>
      <c r="F2934" s="3" t="str">
        <f ca="1">IF(G2934=1,"-",Tabela2[[#This Row],[Dt Venc:]]-TODAY())</f>
        <v>-</v>
      </c>
      <c r="G2934" s="3">
        <v>1</v>
      </c>
      <c r="H2934" s="3"/>
    </row>
    <row r="2935" spans="1:8" hidden="1">
      <c r="A2935" s="3">
        <v>29116</v>
      </c>
      <c r="B2935" s="7" t="s">
        <v>70</v>
      </c>
      <c r="C2935" s="42">
        <v>1298.74</v>
      </c>
      <c r="D2935" s="6">
        <v>45635</v>
      </c>
      <c r="E2935" s="3" t="str">
        <f ca="1">IF(Tabela2[[#This Row],[Dt Venc:]]&gt;TODAY(),"Em Aberto",IF(Tabela2[[#This Row],[D/venc]]="-","Enviado",IF(Tabela2[[#This Row],[Dt Venc:]]=TODAY(),"Vence Hoje","Vencida")))</f>
        <v>Enviado</v>
      </c>
      <c r="F2935" s="3" t="str">
        <f ca="1">IF(G2935=1,"-",Tabela2[[#This Row],[Dt Venc:]]-TODAY())</f>
        <v>-</v>
      </c>
      <c r="G2935" s="3">
        <v>1</v>
      </c>
      <c r="H2935" s="3"/>
    </row>
    <row r="2936" spans="1:8" hidden="1">
      <c r="A2936" s="3">
        <v>23079</v>
      </c>
      <c r="B2936" s="7" t="s">
        <v>409</v>
      </c>
      <c r="C2936" s="42">
        <v>704</v>
      </c>
      <c r="D2936" s="6">
        <v>45635</v>
      </c>
      <c r="E2936" s="3" t="str">
        <f ca="1">IF(Tabela2[[#This Row],[Dt Venc:]]&gt;TODAY(),"Em Aberto",IF(Tabela2[[#This Row],[D/venc]]="-","Enviado",IF(Tabela2[[#This Row],[Dt Venc:]]=TODAY(),"Vence Hoje","Vencida")))</f>
        <v>Enviado</v>
      </c>
      <c r="F2936" s="3" t="str">
        <f ca="1">IF(G2936=1,"-",Tabela2[[#This Row],[Dt Venc:]]-TODAY())</f>
        <v>-</v>
      </c>
      <c r="G2936" s="3">
        <v>1</v>
      </c>
      <c r="H2936" s="3"/>
    </row>
    <row r="2937" spans="1:8" hidden="1">
      <c r="A2937" s="3">
        <v>204369</v>
      </c>
      <c r="B2937" s="7" t="s">
        <v>200</v>
      </c>
      <c r="C2937" s="41">
        <v>917.63</v>
      </c>
      <c r="D2937" s="6">
        <v>45635</v>
      </c>
      <c r="E2937" s="3" t="str">
        <f ca="1">IF(Tabela2[[#This Row],[Dt Venc:]]&gt;TODAY(),"Em Aberto",IF(Tabela2[[#This Row],[D/venc]]="-","Enviado",IF(Tabela2[[#This Row],[Dt Venc:]]=TODAY(),"Vence Hoje","Vencida")))</f>
        <v>Enviado</v>
      </c>
      <c r="F2937" s="3" t="str">
        <f ca="1">IF(G2937=1,"-",Tabela2[[#This Row],[Dt Venc:]]-TODAY())</f>
        <v>-</v>
      </c>
      <c r="G2937" s="3">
        <v>1</v>
      </c>
      <c r="H2937" s="3"/>
    </row>
    <row r="2938" spans="1:8" hidden="1">
      <c r="A2938" s="3">
        <v>175814</v>
      </c>
      <c r="B2938" s="7" t="s">
        <v>174</v>
      </c>
      <c r="C2938" s="41">
        <v>900</v>
      </c>
      <c r="D2938" s="6">
        <v>45635</v>
      </c>
      <c r="E2938" s="3" t="str">
        <f ca="1">IF(Tabela2[[#This Row],[Dt Venc:]]&gt;TODAY(),"Em Aberto",IF(Tabela2[[#This Row],[D/venc]]="-","Enviado",IF(Tabela2[[#This Row],[Dt Venc:]]=TODAY(),"Vence Hoje","Vencida")))</f>
        <v>Enviado</v>
      </c>
      <c r="F2938" s="3" t="str">
        <f ca="1">IF(G2938=1,"-",Tabela2[[#This Row],[Dt Venc:]]-TODAY())</f>
        <v>-</v>
      </c>
      <c r="G2938" s="3">
        <v>1</v>
      </c>
      <c r="H2938" s="3"/>
    </row>
    <row r="2939" spans="1:8" hidden="1">
      <c r="A2939" s="3">
        <v>10599</v>
      </c>
      <c r="B2939" s="7" t="s">
        <v>72</v>
      </c>
      <c r="C2939" s="42">
        <v>440</v>
      </c>
      <c r="D2939" s="6">
        <v>45635</v>
      </c>
      <c r="E2939" s="3" t="str">
        <f ca="1">IF(Tabela2[[#This Row],[Dt Venc:]]&gt;TODAY(),"Em Aberto",IF(Tabela2[[#This Row],[D/venc]]="-","Enviado",IF(Tabela2[[#This Row],[Dt Venc:]]=TODAY(),"Vence Hoje","Vencida")))</f>
        <v>Enviado</v>
      </c>
      <c r="F2939" s="3" t="str">
        <f ca="1">IF(G2939=1,"-",Tabela2[[#This Row],[Dt Venc:]]-TODAY())</f>
        <v>-</v>
      </c>
      <c r="G2939" s="3">
        <v>1</v>
      </c>
      <c r="H2939" s="3"/>
    </row>
    <row r="2940" spans="1:8" hidden="1">
      <c r="A2940" s="3">
        <v>11305</v>
      </c>
      <c r="B2940" s="7" t="s">
        <v>72</v>
      </c>
      <c r="C2940" s="42">
        <v>475</v>
      </c>
      <c r="D2940" s="6">
        <v>45635</v>
      </c>
      <c r="E2940" s="3" t="str">
        <f ca="1">IF(Tabela2[[#This Row],[Dt Venc:]]&gt;TODAY(),"Em Aberto",IF(Tabela2[[#This Row],[D/venc]]="-","Enviado",IF(Tabela2[[#This Row],[Dt Venc:]]=TODAY(),"Vence Hoje","Vencida")))</f>
        <v>Enviado</v>
      </c>
      <c r="F2940" s="3" t="str">
        <f ca="1">IF(G2940=1,"-",Tabela2[[#This Row],[Dt Venc:]]-TODAY())</f>
        <v>-</v>
      </c>
      <c r="G2940" s="3">
        <v>1</v>
      </c>
      <c r="H2940" s="3"/>
    </row>
    <row r="2941" spans="1:8" hidden="1">
      <c r="A2941" s="3">
        <v>141983</v>
      </c>
      <c r="B2941" s="7" t="s">
        <v>484</v>
      </c>
      <c r="C2941" s="41">
        <v>390</v>
      </c>
      <c r="D2941" s="6">
        <v>45635</v>
      </c>
      <c r="E2941" s="3" t="str">
        <f ca="1">IF(Tabela2[[#This Row],[Dt Venc:]]&gt;TODAY(),"Em Aberto",IF(Tabela2[[#This Row],[D/venc]]="-","Enviado",IF(Tabela2[[#This Row],[Dt Venc:]]=TODAY(),"Vence Hoje","Vencida")))</f>
        <v>Enviado</v>
      </c>
      <c r="F2941" s="3" t="str">
        <f ca="1">IF(G2941=1,"-",Tabela2[[#This Row],[Dt Venc:]]-TODAY())</f>
        <v>-</v>
      </c>
      <c r="G2941" s="3">
        <v>1</v>
      </c>
      <c r="H2941" s="3"/>
    </row>
    <row r="2942" spans="1:8" hidden="1">
      <c r="A2942" s="3">
        <v>3008</v>
      </c>
      <c r="B2942" s="7" t="s">
        <v>519</v>
      </c>
      <c r="C2942" s="41">
        <v>1640</v>
      </c>
      <c r="D2942" s="6">
        <v>45635</v>
      </c>
      <c r="E2942" s="3" t="str">
        <f ca="1">IF(Tabela2[[#This Row],[Dt Venc:]]&gt;TODAY(),"Em Aberto",IF(Tabela2[[#This Row],[D/venc]]="-","Enviado",IF(Tabela2[[#This Row],[Dt Venc:]]=TODAY(),"Vence Hoje","Vencida")))</f>
        <v>Enviado</v>
      </c>
      <c r="F2942" s="3" t="str">
        <f ca="1">IF(G2942=1,"-",Tabela2[[#This Row],[Dt Venc:]]-TODAY())</f>
        <v>-</v>
      </c>
      <c r="G2942" s="3">
        <v>1</v>
      </c>
      <c r="H2942" s="3"/>
    </row>
    <row r="2943" spans="1:8" hidden="1">
      <c r="A2943" s="3">
        <v>46</v>
      </c>
      <c r="B2943" s="7" t="s">
        <v>520</v>
      </c>
      <c r="C2943" s="41">
        <v>25000</v>
      </c>
      <c r="D2943" s="6">
        <v>45635</v>
      </c>
      <c r="E2943" s="3" t="str">
        <f ca="1">IF(Tabela2[[#This Row],[Dt Venc:]]&gt;TODAY(),"Em Aberto",IF(Tabela2[[#This Row],[D/venc]]="-","Enviado",IF(Tabela2[[#This Row],[Dt Venc:]]=TODAY(),"Vence Hoje","Vencida")))</f>
        <v>Enviado</v>
      </c>
      <c r="F2943" s="3" t="str">
        <f ca="1">IF(G2943=1,"-",Tabela2[[#This Row],[Dt Venc:]]-TODAY())</f>
        <v>-</v>
      </c>
      <c r="G2943" s="3">
        <v>1</v>
      </c>
      <c r="H2943" s="3"/>
    </row>
    <row r="2944" spans="1:8" hidden="1">
      <c r="A2944" s="3" t="s">
        <v>179</v>
      </c>
      <c r="B2944" s="7" t="s">
        <v>180</v>
      </c>
      <c r="C2944" s="83" t="s">
        <v>32</v>
      </c>
      <c r="D2944" s="6">
        <v>45635</v>
      </c>
      <c r="E2944" s="3" t="str">
        <f ca="1">IF(Tabela2[[#This Row],[Dt Venc:]]&gt;TODAY(),"Em Aberto",IF(Tabela2[[#This Row],[D/venc]]="-","Enviado",IF(Tabela2[[#This Row],[Dt Venc:]]=TODAY(),"Vence Hoje","Vencida")))</f>
        <v>Enviado</v>
      </c>
      <c r="F2944" s="3" t="str">
        <f ca="1">IF(G2944=1,"-",Tabela2[[#This Row],[Dt Venc:]]-TODAY())</f>
        <v>-</v>
      </c>
      <c r="G2944" s="3">
        <v>1</v>
      </c>
      <c r="H2944" s="3"/>
    </row>
    <row r="2945" spans="1:8" hidden="1">
      <c r="A2945" s="3">
        <v>163</v>
      </c>
      <c r="B2945" s="7" t="s">
        <v>437</v>
      </c>
      <c r="C2945" s="41">
        <v>7024</v>
      </c>
      <c r="D2945" s="6">
        <v>45635</v>
      </c>
      <c r="E2945" s="3" t="str">
        <f ca="1">IF(Tabela2[[#This Row],[Dt Venc:]]&gt;TODAY(),"Em Aberto",IF(Tabela2[[#This Row],[D/venc]]="-","Enviado",IF(Tabela2[[#This Row],[Dt Venc:]]=TODAY(),"Vence Hoje","Vencida")))</f>
        <v>Enviado</v>
      </c>
      <c r="F2945" s="3" t="str">
        <f ca="1">IF(G2945=1,"-",Tabela2[[#This Row],[Dt Venc:]]-TODAY())</f>
        <v>-</v>
      </c>
      <c r="G2945" s="3">
        <v>1</v>
      </c>
      <c r="H2945" s="3"/>
    </row>
    <row r="2946" spans="1:8" hidden="1">
      <c r="A2946" s="3">
        <v>11067</v>
      </c>
      <c r="B2946" s="7" t="s">
        <v>305</v>
      </c>
      <c r="C2946" s="41">
        <v>1660</v>
      </c>
      <c r="D2946" s="6">
        <v>45635</v>
      </c>
      <c r="E2946" s="3" t="str">
        <f ca="1">IF(Tabela2[[#This Row],[Dt Venc:]]&gt;TODAY(),"Em Aberto",IF(Tabela2[[#This Row],[D/venc]]="-","Enviado",IF(Tabela2[[#This Row],[Dt Venc:]]=TODAY(),"Vence Hoje","Vencida")))</f>
        <v>Enviado</v>
      </c>
      <c r="F2946" s="3" t="str">
        <f ca="1">IF(G2946=1,"-",Tabela2[[#This Row],[Dt Venc:]]-TODAY())</f>
        <v>-</v>
      </c>
      <c r="G2946" s="3">
        <v>1</v>
      </c>
      <c r="H2946" s="3"/>
    </row>
    <row r="2947" spans="1:8" hidden="1">
      <c r="A2947" s="3" t="s">
        <v>110</v>
      </c>
      <c r="B2947" s="7" t="s">
        <v>181</v>
      </c>
      <c r="C2947" s="42" t="s">
        <v>32</v>
      </c>
      <c r="D2947" s="6">
        <v>45636</v>
      </c>
      <c r="E2947" s="3" t="str">
        <f ca="1">IF(Tabela2[[#This Row],[Dt Venc:]]&gt;TODAY(),"Em Aberto",IF(Tabela2[[#This Row],[D/venc]]="-","Enviado",IF(Tabela2[[#This Row],[Dt Venc:]]=TODAY(),"Vence Hoje","Vencida")))</f>
        <v>Enviado</v>
      </c>
      <c r="F2947" s="3" t="str">
        <f ca="1">IF(G2947=1,"-",Tabela2[[#This Row],[Dt Venc:]]-TODAY())</f>
        <v>-</v>
      </c>
      <c r="G2947" s="3">
        <v>1</v>
      </c>
      <c r="H2947" s="3"/>
    </row>
    <row r="2948" spans="1:8" hidden="1">
      <c r="A2948" s="3">
        <v>28629</v>
      </c>
      <c r="B2948" s="7" t="s">
        <v>182</v>
      </c>
      <c r="C2948" s="83" t="s">
        <v>32</v>
      </c>
      <c r="D2948" s="6">
        <v>45636</v>
      </c>
      <c r="E2948" s="3" t="str">
        <f ca="1">IF(Tabela2[[#This Row],[Dt Venc:]]&gt;TODAY(),"Em Aberto",IF(Tabela2[[#This Row],[D/venc]]="-","Enviado",IF(Tabela2[[#This Row],[Dt Venc:]]=TODAY(),"Vence Hoje","Vencida")))</f>
        <v>Enviado</v>
      </c>
      <c r="F2948" s="3" t="str">
        <f ca="1">IF(G2948=1,"-",Tabela2[[#This Row],[Dt Venc:]]-TODAY())</f>
        <v>-</v>
      </c>
      <c r="G2948" s="3">
        <v>1</v>
      </c>
      <c r="H2948" s="3"/>
    </row>
    <row r="2949" spans="1:8" hidden="1">
      <c r="A2949" s="3">
        <v>10881</v>
      </c>
      <c r="B2949" s="7" t="s">
        <v>33</v>
      </c>
      <c r="C2949" s="42">
        <v>1593.34</v>
      </c>
      <c r="D2949" s="6">
        <v>45636</v>
      </c>
      <c r="E2949" s="3" t="str">
        <f ca="1">IF(Tabela2[[#This Row],[Dt Venc:]]&gt;TODAY(),"Em Aberto",IF(Tabela2[[#This Row],[D/venc]]="-","Enviado",IF(Tabela2[[#This Row],[Dt Venc:]]=TODAY(),"Vence Hoje","Vencida")))</f>
        <v>Enviado</v>
      </c>
      <c r="F2949" s="3" t="str">
        <f ca="1">IF(G2949=1,"-",Tabela2[[#This Row],[Dt Venc:]]-TODAY())</f>
        <v>-</v>
      </c>
      <c r="G2949" s="3">
        <v>1</v>
      </c>
      <c r="H2949" s="3"/>
    </row>
    <row r="2950" spans="1:8" hidden="1">
      <c r="A2950" s="3">
        <v>11010</v>
      </c>
      <c r="B2950" s="7" t="s">
        <v>33</v>
      </c>
      <c r="C2950" s="42">
        <v>400</v>
      </c>
      <c r="D2950" s="6">
        <v>45636</v>
      </c>
      <c r="E2950" s="3" t="str">
        <f ca="1">IF(Tabela2[[#This Row],[Dt Venc:]]&gt;TODAY(),"Em Aberto",IF(Tabela2[[#This Row],[D/venc]]="-","Enviado",IF(Tabela2[[#This Row],[Dt Venc:]]=TODAY(),"Vence Hoje","Vencida")))</f>
        <v>Enviado</v>
      </c>
      <c r="F2950" s="3" t="str">
        <f ca="1">IF(G2950=1,"-",Tabela2[[#This Row],[Dt Venc:]]-TODAY())</f>
        <v>-</v>
      </c>
      <c r="G2950" s="3">
        <v>1</v>
      </c>
      <c r="H2950" s="3"/>
    </row>
    <row r="2951" spans="1:8" hidden="1">
      <c r="A2951" s="3">
        <v>11008</v>
      </c>
      <c r="B2951" s="7" t="s">
        <v>33</v>
      </c>
      <c r="C2951" s="42">
        <v>1608.3</v>
      </c>
      <c r="D2951" s="6">
        <v>45636</v>
      </c>
      <c r="E2951" s="3" t="str">
        <f ca="1">IF(Tabela2[[#This Row],[Dt Venc:]]&gt;TODAY(),"Em Aberto",IF(Tabela2[[#This Row],[D/venc]]="-","Enviado",IF(Tabela2[[#This Row],[Dt Venc:]]=TODAY(),"Vence Hoje","Vencida")))</f>
        <v>Enviado</v>
      </c>
      <c r="F2951" s="3" t="str">
        <f ca="1">IF(G2951=1,"-",Tabela2[[#This Row],[Dt Venc:]]-TODAY())</f>
        <v>-</v>
      </c>
      <c r="G2951" s="3">
        <v>1</v>
      </c>
      <c r="H2951" s="3"/>
    </row>
    <row r="2952" spans="1:8" hidden="1">
      <c r="A2952" s="3">
        <v>2024</v>
      </c>
      <c r="B2952" s="7" t="s">
        <v>454</v>
      </c>
      <c r="C2952" s="41">
        <v>1766.67</v>
      </c>
      <c r="D2952" s="6">
        <v>45636</v>
      </c>
      <c r="E2952" s="3" t="str">
        <f ca="1">IF(Tabela2[[#This Row],[Dt Venc:]]&gt;TODAY(),"Em Aberto",IF(Tabela2[[#This Row],[D/venc]]="-","Enviado",IF(Tabela2[[#This Row],[Dt Venc:]]=TODAY(),"Vence Hoje","Vencida")))</f>
        <v>Enviado</v>
      </c>
      <c r="F2952" s="3" t="str">
        <f ca="1">IF(G2952=1,"-",Tabela2[[#This Row],[Dt Venc:]]-TODAY())</f>
        <v>-</v>
      </c>
      <c r="G2952" s="3">
        <v>1</v>
      </c>
      <c r="H2952" s="3"/>
    </row>
    <row r="2953" spans="1:8" hidden="1">
      <c r="A2953" s="3">
        <v>302454</v>
      </c>
      <c r="B2953" s="7" t="s">
        <v>53</v>
      </c>
      <c r="C2953" s="41">
        <v>318.02</v>
      </c>
      <c r="D2953" s="6">
        <v>45636</v>
      </c>
      <c r="E2953" s="3" t="str">
        <f ca="1">IF(Tabela2[[#This Row],[Dt Venc:]]&gt;TODAY(),"Em Aberto",IF(Tabela2[[#This Row],[D/venc]]="-","Enviado",IF(Tabela2[[#This Row],[Dt Venc:]]=TODAY(),"Vence Hoje","Vencida")))</f>
        <v>Enviado</v>
      </c>
      <c r="F2953" s="3" t="str">
        <f ca="1">IF(G2953=1,"-",Tabela2[[#This Row],[Dt Venc:]]-TODAY())</f>
        <v>-</v>
      </c>
      <c r="G2953" s="3">
        <v>1</v>
      </c>
      <c r="H2953" s="3"/>
    </row>
    <row r="2954" spans="1:8" hidden="1">
      <c r="A2954" s="3" t="s">
        <v>110</v>
      </c>
      <c r="B2954" s="7" t="s">
        <v>183</v>
      </c>
      <c r="C2954" s="42" t="s">
        <v>32</v>
      </c>
      <c r="D2954" s="6">
        <v>45636</v>
      </c>
      <c r="E2954" s="3" t="str">
        <f ca="1">IF(Tabela2[[#This Row],[Dt Venc:]]&gt;TODAY(),"Em Aberto",IF(Tabela2[[#This Row],[D/venc]]="-","Enviado",IF(Tabela2[[#This Row],[Dt Venc:]]=TODAY(),"Vence Hoje","Vencida")))</f>
        <v>Enviado</v>
      </c>
      <c r="F2954" s="3" t="str">
        <f ca="1">IF(G2954=1,"-",Tabela2[[#This Row],[Dt Venc:]]-TODAY())</f>
        <v>-</v>
      </c>
      <c r="G2954" s="3">
        <v>1</v>
      </c>
      <c r="H2954" s="3"/>
    </row>
    <row r="2955" spans="1:8" hidden="1">
      <c r="A2955" s="3">
        <v>151983</v>
      </c>
      <c r="B2955" s="7" t="s">
        <v>415</v>
      </c>
      <c r="C2955" s="42">
        <v>1722</v>
      </c>
      <c r="D2955" s="6">
        <v>45636</v>
      </c>
      <c r="E2955" s="3" t="str">
        <f ca="1">IF(Tabela2[[#This Row],[Dt Venc:]]&gt;TODAY(),"Em Aberto",IF(Tabela2[[#This Row],[D/venc]]="-","Enviado",IF(Tabela2[[#This Row],[Dt Venc:]]=TODAY(),"Vence Hoje","Vencida")))</f>
        <v>Enviado</v>
      </c>
      <c r="F2955" s="3" t="str">
        <f ca="1">IF(G2955=1,"-",Tabela2[[#This Row],[Dt Venc:]]-TODAY())</f>
        <v>-</v>
      </c>
      <c r="G2955" s="3">
        <v>1</v>
      </c>
      <c r="H2955" s="3"/>
    </row>
    <row r="2956" spans="1:8" hidden="1">
      <c r="A2956" s="3">
        <v>741</v>
      </c>
      <c r="B2956" s="7" t="s">
        <v>521</v>
      </c>
      <c r="C2956" s="41">
        <v>24273</v>
      </c>
      <c r="D2956" s="6">
        <v>45636</v>
      </c>
      <c r="E2956" s="3" t="str">
        <f ca="1">IF(Tabela2[[#This Row],[Dt Venc:]]&gt;TODAY(),"Em Aberto",IF(Tabela2[[#This Row],[D/venc]]="-","Enviado",IF(Tabela2[[#This Row],[Dt Venc:]]=TODAY(),"Vence Hoje","Vencida")))</f>
        <v>Enviado</v>
      </c>
      <c r="F2956" s="3" t="str">
        <f ca="1">IF(G2956=1,"-",Tabela2[[#This Row],[Dt Venc:]]-TODAY())</f>
        <v>-</v>
      </c>
      <c r="G2956" s="3">
        <v>1</v>
      </c>
      <c r="H2956" s="3"/>
    </row>
    <row r="2957" spans="1:8" hidden="1">
      <c r="A2957" s="3" t="s">
        <v>123</v>
      </c>
      <c r="B2957" s="7" t="s">
        <v>418</v>
      </c>
      <c r="C2957" s="42" t="s">
        <v>32</v>
      </c>
      <c r="D2957" s="6">
        <v>45636</v>
      </c>
      <c r="E2957" s="3" t="str">
        <f ca="1">IF(Tabela2[[#This Row],[Dt Venc:]]&gt;TODAY(),"Em Aberto",IF(Tabela2[[#This Row],[D/venc]]="-","Enviado",IF(Tabela2[[#This Row],[Dt Venc:]]=TODAY(),"Vence Hoje","Vencida")))</f>
        <v>Enviado</v>
      </c>
      <c r="F2957" s="3" t="str">
        <f ca="1">IF(G2957=1,"-",Tabela2[[#This Row],[Dt Venc:]]-TODAY())</f>
        <v>-</v>
      </c>
      <c r="G2957" s="3">
        <v>1</v>
      </c>
      <c r="H2957" s="3"/>
    </row>
    <row r="2958" spans="1:8" hidden="1">
      <c r="A2958" s="3">
        <v>45102</v>
      </c>
      <c r="B2958" s="7" t="s">
        <v>89</v>
      </c>
      <c r="C2958" s="41">
        <v>1799.66</v>
      </c>
      <c r="D2958" s="6">
        <v>45636</v>
      </c>
      <c r="E2958" s="3" t="str">
        <f ca="1">IF(Tabela2[[#This Row],[Dt Venc:]]&gt;TODAY(),"Em Aberto",IF(Tabela2[[#This Row],[D/venc]]="-","Enviado",IF(Tabela2[[#This Row],[Dt Venc:]]=TODAY(),"Vence Hoje","Vencida")))</f>
        <v>Enviado</v>
      </c>
      <c r="F2958" s="3" t="str">
        <f ca="1">IF(G2958=1,"-",Tabela2[[#This Row],[Dt Venc:]]-TODAY())</f>
        <v>-</v>
      </c>
      <c r="G2958" s="3">
        <v>1</v>
      </c>
      <c r="H2958" s="3"/>
    </row>
    <row r="2959" spans="1:8" hidden="1">
      <c r="A2959" s="3">
        <v>426487</v>
      </c>
      <c r="B2959" s="7" t="s">
        <v>414</v>
      </c>
      <c r="C2959" s="42">
        <v>690.5</v>
      </c>
      <c r="D2959" s="6">
        <v>45636</v>
      </c>
      <c r="E2959" s="3" t="str">
        <f ca="1">IF(Tabela2[[#This Row],[Dt Venc:]]&gt;TODAY(),"Em Aberto",IF(Tabela2[[#This Row],[D/venc]]="-","Enviado",IF(Tabela2[[#This Row],[Dt Venc:]]=TODAY(),"Vence Hoje","Vencida")))</f>
        <v>Enviado</v>
      </c>
      <c r="F2959" s="3" t="str">
        <f ca="1">IF(G2959=1,"-",Tabela2[[#This Row],[Dt Venc:]]-TODAY())</f>
        <v>-</v>
      </c>
      <c r="G2959" s="3">
        <v>1</v>
      </c>
      <c r="H2959" s="3"/>
    </row>
    <row r="2960" spans="1:8" hidden="1">
      <c r="A2960" s="3">
        <v>257591</v>
      </c>
      <c r="B2960" s="7" t="s">
        <v>326</v>
      </c>
      <c r="C2960" s="41">
        <v>1716.66</v>
      </c>
      <c r="D2960" s="6">
        <v>45636</v>
      </c>
      <c r="E2960" s="3" t="str">
        <f ca="1">IF(Tabela2[[#This Row],[Dt Venc:]]&gt;TODAY(),"Em Aberto",IF(Tabela2[[#This Row],[D/venc]]="-","Enviado",IF(Tabela2[[#This Row],[Dt Venc:]]=TODAY(),"Vence Hoje","Vencida")))</f>
        <v>Enviado</v>
      </c>
      <c r="F2960" s="3" t="str">
        <f ca="1">IF(G2960=1,"-",Tabela2[[#This Row],[Dt Venc:]]-TODAY())</f>
        <v>-</v>
      </c>
      <c r="G2960" s="3">
        <v>1</v>
      </c>
      <c r="H2960" s="3"/>
    </row>
    <row r="2961" spans="1:8" hidden="1">
      <c r="A2961" s="3">
        <v>257076</v>
      </c>
      <c r="B2961" s="7" t="s">
        <v>49</v>
      </c>
      <c r="C2961" s="41">
        <v>1393.34</v>
      </c>
      <c r="D2961" s="6">
        <v>45636</v>
      </c>
      <c r="E2961" s="3" t="str">
        <f ca="1">IF(Tabela2[[#This Row],[Dt Venc:]]&gt;TODAY(),"Em Aberto",IF(Tabela2[[#This Row],[D/venc]]="-","Enviado",IF(Tabela2[[#This Row],[Dt Venc:]]=TODAY(),"Vence Hoje","Vencida")))</f>
        <v>Enviado</v>
      </c>
      <c r="F2961" s="3" t="str">
        <f ca="1">IF(G2961=1,"-",Tabela2[[#This Row],[Dt Venc:]]-TODAY())</f>
        <v>-</v>
      </c>
      <c r="G2961" s="3">
        <v>1</v>
      </c>
      <c r="H2961" s="3"/>
    </row>
    <row r="2962" spans="1:8" hidden="1">
      <c r="A2962" s="3">
        <v>257347</v>
      </c>
      <c r="B2962" s="7" t="s">
        <v>49</v>
      </c>
      <c r="C2962" s="41">
        <v>1393.34</v>
      </c>
      <c r="D2962" s="6">
        <v>45636</v>
      </c>
      <c r="E2962" s="3" t="str">
        <f ca="1">IF(Tabela2[[#This Row],[Dt Venc:]]&gt;TODAY(),"Em Aberto",IF(Tabela2[[#This Row],[D/venc]]="-","Enviado",IF(Tabela2[[#This Row],[Dt Venc:]]=TODAY(),"Vence Hoje","Vencida")))</f>
        <v>Enviado</v>
      </c>
      <c r="F2962" s="3" t="str">
        <f ca="1">IF(G2962=1,"-",Tabela2[[#This Row],[Dt Venc:]]-TODAY())</f>
        <v>-</v>
      </c>
      <c r="G2962" s="3">
        <v>1</v>
      </c>
      <c r="H2962" s="3"/>
    </row>
    <row r="2963" spans="1:8" hidden="1">
      <c r="A2963" s="3">
        <v>392096</v>
      </c>
      <c r="B2963" s="7" t="s">
        <v>136</v>
      </c>
      <c r="C2963" s="42">
        <v>1870</v>
      </c>
      <c r="D2963" s="6">
        <v>45636</v>
      </c>
      <c r="E2963" s="3" t="str">
        <f ca="1">IF(Tabela2[[#This Row],[Dt Venc:]]&gt;TODAY(),"Em Aberto",IF(Tabela2[[#This Row],[D/venc]]="-","Enviado",IF(Tabela2[[#This Row],[Dt Venc:]]=TODAY(),"Vence Hoje","Vencida")))</f>
        <v>Enviado</v>
      </c>
      <c r="F2963" s="3" t="str">
        <f ca="1">IF(G2963=1,"-",Tabela2[[#This Row],[Dt Venc:]]-TODAY())</f>
        <v>-</v>
      </c>
      <c r="G2963" s="3">
        <v>1</v>
      </c>
      <c r="H2963" s="3"/>
    </row>
    <row r="2964" spans="1:8" hidden="1">
      <c r="A2964" s="3">
        <v>2727</v>
      </c>
      <c r="B2964" s="7" t="s">
        <v>58</v>
      </c>
      <c r="C2964" s="42">
        <v>1522.62</v>
      </c>
      <c r="D2964" s="6">
        <v>45636</v>
      </c>
      <c r="E2964" s="3" t="str">
        <f ca="1">IF(Tabela2[[#This Row],[Dt Venc:]]&gt;TODAY(),"Em Aberto",IF(Tabela2[[#This Row],[D/venc]]="-","Enviado",IF(Tabela2[[#This Row],[Dt Venc:]]=TODAY(),"Vence Hoje","Vencida")))</f>
        <v>Enviado</v>
      </c>
      <c r="F2964" s="3" t="str">
        <f ca="1">IF(G2964=1,"-",Tabela2[[#This Row],[Dt Venc:]]-TODAY())</f>
        <v>-</v>
      </c>
      <c r="G2964" s="3">
        <v>1</v>
      </c>
      <c r="H2964" s="3"/>
    </row>
    <row r="2965" spans="1:8" hidden="1">
      <c r="A2965" s="3">
        <v>23267</v>
      </c>
      <c r="B2965" s="7" t="s">
        <v>38</v>
      </c>
      <c r="C2965" s="41">
        <v>747.67</v>
      </c>
      <c r="D2965" s="6">
        <v>45636</v>
      </c>
      <c r="E2965" s="3" t="str">
        <f ca="1">IF(Tabela2[[#This Row],[Dt Venc:]]&gt;TODAY(),"Em Aberto",IF(Tabela2[[#This Row],[D/venc]]="-","Enviado",IF(Tabela2[[#This Row],[Dt Venc:]]=TODAY(),"Vence Hoje","Vencida")))</f>
        <v>Enviado</v>
      </c>
      <c r="F2965" s="3" t="str">
        <f ca="1">IF(G2965=1,"-",Tabela2[[#This Row],[Dt Venc:]]-TODAY())</f>
        <v>-</v>
      </c>
      <c r="G2965" s="3">
        <v>1</v>
      </c>
      <c r="H2965" s="3"/>
    </row>
    <row r="2966" spans="1:8" hidden="1">
      <c r="A2966" s="3">
        <v>367478</v>
      </c>
      <c r="B2966" s="7" t="s">
        <v>39</v>
      </c>
      <c r="C2966" s="42">
        <v>456.59</v>
      </c>
      <c r="D2966" s="6">
        <v>45636</v>
      </c>
      <c r="E2966" s="3" t="str">
        <f ca="1">IF(Tabela2[[#This Row],[Dt Venc:]]&gt;TODAY(),"Em Aberto",IF(Tabela2[[#This Row],[D/venc]]="-","Enviado",IF(Tabela2[[#This Row],[Dt Venc:]]=TODAY(),"Vence Hoje","Vencida")))</f>
        <v>Enviado</v>
      </c>
      <c r="F2966" s="3" t="str">
        <f ca="1">IF(G2966=1,"-",Tabela2[[#This Row],[Dt Venc:]]-TODAY())</f>
        <v>-</v>
      </c>
      <c r="G2966" s="3">
        <v>1</v>
      </c>
      <c r="H2966" s="3"/>
    </row>
    <row r="2967" spans="1:8" hidden="1">
      <c r="A2967" s="3">
        <v>221405</v>
      </c>
      <c r="B2967" s="7" t="s">
        <v>80</v>
      </c>
      <c r="C2967" s="42">
        <v>35775</v>
      </c>
      <c r="D2967" s="6">
        <v>45636</v>
      </c>
      <c r="E2967" s="3" t="str">
        <f ca="1">IF(Tabela2[[#This Row],[Dt Venc:]]&gt;TODAY(),"Em Aberto",IF(Tabela2[[#This Row],[D/venc]]="-","Enviado",IF(Tabela2[[#This Row],[Dt Venc:]]=TODAY(),"Vence Hoje","Vencida")))</f>
        <v>Enviado</v>
      </c>
      <c r="F2967" s="3" t="str">
        <f ca="1">IF(G2967=1,"-",Tabela2[[#This Row],[Dt Venc:]]-TODAY())</f>
        <v>-</v>
      </c>
      <c r="G2967" s="3">
        <v>1</v>
      </c>
      <c r="H2967" s="3"/>
    </row>
    <row r="2968" spans="1:8" hidden="1">
      <c r="A2968" s="3">
        <v>753416</v>
      </c>
      <c r="B2968" s="7" t="s">
        <v>127</v>
      </c>
      <c r="C2968" s="42">
        <v>495.28</v>
      </c>
      <c r="D2968" s="6">
        <v>45636</v>
      </c>
      <c r="E2968" s="3" t="str">
        <f ca="1">IF(Tabela2[[#This Row],[Dt Venc:]]&gt;TODAY(),"Em Aberto",IF(Tabela2[[#This Row],[D/venc]]="-","Enviado",IF(Tabela2[[#This Row],[Dt Venc:]]=TODAY(),"Vence Hoje","Vencida")))</f>
        <v>Enviado</v>
      </c>
      <c r="F2968" s="3" t="str">
        <f ca="1">IF(G2968=1,"-",Tabela2[[#This Row],[Dt Venc:]]-TODAY())</f>
        <v>-</v>
      </c>
      <c r="G2968" s="3">
        <v>1</v>
      </c>
      <c r="H2968" s="3"/>
    </row>
    <row r="2969" spans="1:8" hidden="1">
      <c r="A2969" s="3">
        <v>135094</v>
      </c>
      <c r="B2969" s="7" t="s">
        <v>127</v>
      </c>
      <c r="C2969" s="42">
        <v>956.66</v>
      </c>
      <c r="D2969" s="6">
        <v>45636</v>
      </c>
      <c r="E2969" s="3" t="str">
        <f ca="1">IF(Tabela2[[#This Row],[Dt Venc:]]&gt;TODAY(),"Em Aberto",IF(Tabela2[[#This Row],[D/venc]]="-","Enviado",IF(Tabela2[[#This Row],[Dt Venc:]]=TODAY(),"Vence Hoje","Vencida")))</f>
        <v>Enviado</v>
      </c>
      <c r="F2969" s="3" t="str">
        <f ca="1">IF(G2969=1,"-",Tabela2[[#This Row],[Dt Venc:]]-TODAY())</f>
        <v>-</v>
      </c>
      <c r="G2969" s="3">
        <v>1</v>
      </c>
      <c r="H2969" s="3"/>
    </row>
    <row r="2970" spans="1:8" hidden="1">
      <c r="A2970" s="3">
        <v>135096</v>
      </c>
      <c r="B2970" s="7" t="s">
        <v>127</v>
      </c>
      <c r="C2970" s="42">
        <v>956.66</v>
      </c>
      <c r="D2970" s="6">
        <v>45636</v>
      </c>
      <c r="E2970" s="3" t="str">
        <f ca="1">IF(Tabela2[[#This Row],[Dt Venc:]]&gt;TODAY(),"Em Aberto",IF(Tabela2[[#This Row],[D/venc]]="-","Enviado",IF(Tabela2[[#This Row],[Dt Venc:]]=TODAY(),"Vence Hoje","Vencida")))</f>
        <v>Enviado</v>
      </c>
      <c r="F2970" s="3" t="str">
        <f ca="1">IF(G2970=1,"-",Tabela2[[#This Row],[Dt Venc:]]-TODAY())</f>
        <v>-</v>
      </c>
      <c r="G2970" s="3">
        <v>1</v>
      </c>
      <c r="H2970" s="3"/>
    </row>
    <row r="2971" spans="1:8" hidden="1">
      <c r="A2971" s="3">
        <v>753418</v>
      </c>
      <c r="B2971" s="7" t="s">
        <v>127</v>
      </c>
      <c r="C2971" s="42">
        <v>495.28</v>
      </c>
      <c r="D2971" s="6">
        <v>45636</v>
      </c>
      <c r="E2971" s="3" t="str">
        <f ca="1">IF(Tabela2[[#This Row],[Dt Venc:]]&gt;TODAY(),"Em Aberto",IF(Tabela2[[#This Row],[D/venc]]="-","Enviado",IF(Tabela2[[#This Row],[Dt Venc:]]=TODAY(),"Vence Hoje","Vencida")))</f>
        <v>Enviado</v>
      </c>
      <c r="F2971" s="3" t="str">
        <f ca="1">IF(G2971=1,"-",Tabela2[[#This Row],[Dt Venc:]]-TODAY())</f>
        <v>-</v>
      </c>
      <c r="G2971" s="3">
        <v>1</v>
      </c>
      <c r="H2971" s="3"/>
    </row>
    <row r="2972" spans="1:8" hidden="1">
      <c r="A2972" s="3" t="s">
        <v>28</v>
      </c>
      <c r="B2972" s="7" t="s">
        <v>186</v>
      </c>
      <c r="C2972" s="83" t="s">
        <v>32</v>
      </c>
      <c r="D2972" s="6">
        <v>45636</v>
      </c>
      <c r="E2972" s="3" t="str">
        <f ca="1">IF(Tabela2[[#This Row],[Dt Venc:]]&gt;TODAY(),"Em Aberto",IF(Tabela2[[#This Row],[D/venc]]="-","Enviado",IF(Tabela2[[#This Row],[Dt Venc:]]=TODAY(),"Vence Hoje","Vencida")))</f>
        <v>Enviado</v>
      </c>
      <c r="F2972" s="3" t="str">
        <f ca="1">IF(G2972=1,"-",Tabela2[[#This Row],[Dt Venc:]]-TODAY())</f>
        <v>-</v>
      </c>
      <c r="G2972" s="3">
        <v>1</v>
      </c>
      <c r="H2972" s="3"/>
    </row>
    <row r="2973" spans="1:8" hidden="1">
      <c r="A2973" s="3">
        <v>1494</v>
      </c>
      <c r="B2973" s="7" t="s">
        <v>215</v>
      </c>
      <c r="C2973" s="42">
        <v>598</v>
      </c>
      <c r="D2973" s="6">
        <v>45636</v>
      </c>
      <c r="E2973" s="3" t="str">
        <f ca="1">IF(Tabela2[[#This Row],[Dt Venc:]]&gt;TODAY(),"Em Aberto",IF(Tabela2[[#This Row],[D/venc]]="-","Enviado",IF(Tabela2[[#This Row],[Dt Venc:]]=TODAY(),"Vence Hoje","Vencida")))</f>
        <v>Enviado</v>
      </c>
      <c r="F2973" s="3" t="str">
        <f ca="1">IF(G2973=1,"-",Tabela2[[#This Row],[Dt Venc:]]-TODAY())</f>
        <v>-</v>
      </c>
      <c r="G2973" s="3">
        <v>1</v>
      </c>
      <c r="H2973" s="3"/>
    </row>
    <row r="2974" spans="1:8" hidden="1">
      <c r="A2974" s="3">
        <v>46</v>
      </c>
      <c r="B2974" s="7" t="s">
        <v>522</v>
      </c>
      <c r="C2974" s="41">
        <v>19895</v>
      </c>
      <c r="D2974" s="6">
        <v>45636</v>
      </c>
      <c r="E2974" s="3" t="str">
        <f ca="1">IF(Tabela2[[#This Row],[Dt Venc:]]&gt;TODAY(),"Em Aberto",IF(Tabela2[[#This Row],[D/venc]]="-","Enviado",IF(Tabela2[[#This Row],[Dt Venc:]]=TODAY(),"Vence Hoje","Vencida")))</f>
        <v>Enviado</v>
      </c>
      <c r="F2974" s="3" t="str">
        <f ca="1">IF(G2974=1,"-",Tabela2[[#This Row],[Dt Venc:]]-TODAY())</f>
        <v>-</v>
      </c>
      <c r="G2974" s="3">
        <v>1</v>
      </c>
      <c r="H2974" s="3"/>
    </row>
    <row r="2975" spans="1:8" hidden="1">
      <c r="A2975" s="3">
        <v>608098</v>
      </c>
      <c r="B2975" s="7" t="s">
        <v>66</v>
      </c>
      <c r="C2975" s="42">
        <v>1974.68</v>
      </c>
      <c r="D2975" s="6">
        <v>45636</v>
      </c>
      <c r="E2975" s="3" t="str">
        <f ca="1">IF(Tabela2[[#This Row],[Dt Venc:]]&gt;TODAY(),"Em Aberto",IF(Tabela2[[#This Row],[D/venc]]="-","Enviado",IF(Tabela2[[#This Row],[Dt Venc:]]=TODAY(),"Vence Hoje","Vencida")))</f>
        <v>Enviado</v>
      </c>
      <c r="F2975" s="3" t="str">
        <f ca="1">IF(G2975=1,"-",Tabela2[[#This Row],[Dt Venc:]]-TODAY())</f>
        <v>-</v>
      </c>
      <c r="G2975" s="3">
        <v>1</v>
      </c>
      <c r="H2975" s="3"/>
    </row>
    <row r="2976" spans="1:8" hidden="1">
      <c r="A2976" s="3">
        <v>612260</v>
      </c>
      <c r="B2976" s="7" t="s">
        <v>66</v>
      </c>
      <c r="C2976" s="41">
        <v>424.71</v>
      </c>
      <c r="D2976" s="6">
        <v>45636</v>
      </c>
      <c r="E2976" s="3" t="str">
        <f ca="1">IF(Tabela2[[#This Row],[Dt Venc:]]&gt;TODAY(),"Em Aberto",IF(Tabela2[[#This Row],[D/venc]]="-","Enviado",IF(Tabela2[[#This Row],[Dt Venc:]]=TODAY(),"Vence Hoje","Vencida")))</f>
        <v>Enviado</v>
      </c>
      <c r="F2976" s="3" t="str">
        <f ca="1">IF(G2976=1,"-",Tabela2[[#This Row],[Dt Venc:]]-TODAY())</f>
        <v>-</v>
      </c>
      <c r="G2976" s="3">
        <v>1</v>
      </c>
      <c r="H2976" s="3"/>
    </row>
    <row r="2977" spans="1:8" hidden="1">
      <c r="A2977" s="3">
        <v>616465</v>
      </c>
      <c r="B2977" s="7" t="s">
        <v>66</v>
      </c>
      <c r="C2977" s="41">
        <v>462</v>
      </c>
      <c r="D2977" s="6">
        <v>45636</v>
      </c>
      <c r="E2977" s="3" t="str">
        <f ca="1">IF(Tabela2[[#This Row],[Dt Venc:]]&gt;TODAY(),"Em Aberto",IF(Tabela2[[#This Row],[D/venc]]="-","Enviado",IF(Tabela2[[#This Row],[Dt Venc:]]=TODAY(),"Vence Hoje","Vencida")))</f>
        <v>Enviado</v>
      </c>
      <c r="F2977" s="3" t="str">
        <f ca="1">IF(G2977=1,"-",Tabela2[[#This Row],[Dt Venc:]]-TODAY())</f>
        <v>-</v>
      </c>
      <c r="G2977" s="3">
        <v>1</v>
      </c>
      <c r="H2977" s="3"/>
    </row>
    <row r="2978" spans="1:8" hidden="1">
      <c r="A2978" s="3">
        <v>616429</v>
      </c>
      <c r="B2978" s="7" t="s">
        <v>66</v>
      </c>
      <c r="C2978" s="41">
        <v>2838.78</v>
      </c>
      <c r="D2978" s="6">
        <v>45636</v>
      </c>
      <c r="E2978" s="3" t="str">
        <f ca="1">IF(Tabela2[[#This Row],[Dt Venc:]]&gt;TODAY(),"Em Aberto",IF(Tabela2[[#This Row],[D/venc]]="-","Enviado",IF(Tabela2[[#This Row],[Dt Venc:]]=TODAY(),"Vence Hoje","Vencida")))</f>
        <v>Enviado</v>
      </c>
      <c r="F2978" s="3" t="str">
        <f ca="1">IF(G2978=1,"-",Tabela2[[#This Row],[Dt Venc:]]-TODAY())</f>
        <v>-</v>
      </c>
      <c r="G2978" s="3">
        <v>1</v>
      </c>
      <c r="H2978" s="3"/>
    </row>
    <row r="2979" spans="1:8" hidden="1">
      <c r="A2979" s="3">
        <v>228625</v>
      </c>
      <c r="B2979" s="7" t="s">
        <v>214</v>
      </c>
      <c r="C2979" s="42">
        <v>900</v>
      </c>
      <c r="D2979" s="6">
        <v>45636</v>
      </c>
      <c r="E2979" s="3" t="str">
        <f ca="1">IF(Tabela2[[#This Row],[Dt Venc:]]&gt;TODAY(),"Em Aberto",IF(Tabela2[[#This Row],[D/venc]]="-","Enviado",IF(Tabela2[[#This Row],[Dt Venc:]]=TODAY(),"Vence Hoje","Vencida")))</f>
        <v>Enviado</v>
      </c>
      <c r="F2979" s="3" t="str">
        <f ca="1">IF(G2979=1,"-",Tabela2[[#This Row],[Dt Venc:]]-TODAY())</f>
        <v>-</v>
      </c>
      <c r="G2979" s="3">
        <v>1</v>
      </c>
      <c r="H2979" s="3"/>
    </row>
    <row r="2980" spans="1:8" hidden="1">
      <c r="A2980" s="3" t="s">
        <v>110</v>
      </c>
      <c r="B2980" s="7" t="s">
        <v>185</v>
      </c>
      <c r="C2980" s="42" t="s">
        <v>32</v>
      </c>
      <c r="D2980" s="6">
        <v>45636</v>
      </c>
      <c r="E2980" s="3" t="str">
        <f ca="1">IF(Tabela2[[#This Row],[Dt Venc:]]&gt;TODAY(),"Em Aberto",IF(Tabela2[[#This Row],[D/venc]]="-","Enviado",IF(Tabela2[[#This Row],[Dt Venc:]]=TODAY(),"Vence Hoje","Vencida")))</f>
        <v>Enviado</v>
      </c>
      <c r="F2980" s="3" t="str">
        <f ca="1">IF(G2980=1,"-",Tabela2[[#This Row],[Dt Venc:]]-TODAY())</f>
        <v>-</v>
      </c>
      <c r="G2980" s="3">
        <v>1</v>
      </c>
      <c r="H2980" s="3"/>
    </row>
    <row r="2981" spans="1:8" hidden="1">
      <c r="A2981" s="3">
        <v>2270684</v>
      </c>
      <c r="B2981" s="7" t="s">
        <v>59</v>
      </c>
      <c r="C2981" s="41">
        <v>55324</v>
      </c>
      <c r="D2981" s="6">
        <v>45636</v>
      </c>
      <c r="E2981" s="3" t="str">
        <f ca="1">IF(Tabela2[[#This Row],[Dt Venc:]]&gt;TODAY(),"Em Aberto",IF(Tabela2[[#This Row],[D/venc]]="-","Enviado",IF(Tabela2[[#This Row],[Dt Venc:]]=TODAY(),"Vence Hoje","Vencida")))</f>
        <v>Enviado</v>
      </c>
      <c r="F2981" s="3" t="str">
        <f ca="1">IF(G2981=1,"-",Tabela2[[#This Row],[Dt Venc:]]-TODAY())</f>
        <v>-</v>
      </c>
      <c r="G2981" s="3">
        <v>1</v>
      </c>
      <c r="H2981" s="3"/>
    </row>
    <row r="2982" spans="1:8" hidden="1">
      <c r="A2982" s="3">
        <v>1997917</v>
      </c>
      <c r="B2982" s="7" t="s">
        <v>59</v>
      </c>
      <c r="C2982" s="41">
        <v>109872</v>
      </c>
      <c r="D2982" s="6">
        <v>45636</v>
      </c>
      <c r="E2982" s="3" t="str">
        <f ca="1">IF(Tabela2[[#This Row],[Dt Venc:]]&gt;TODAY(),"Em Aberto",IF(Tabela2[[#This Row],[D/venc]]="-","Enviado",IF(Tabela2[[#This Row],[Dt Venc:]]=TODAY(),"Vence Hoje","Vencida")))</f>
        <v>Enviado</v>
      </c>
      <c r="F2982" s="3" t="str">
        <f ca="1">IF(G2982=1,"-",Tabela2[[#This Row],[Dt Venc:]]-TODAY())</f>
        <v>-</v>
      </c>
      <c r="G2982" s="3">
        <v>1</v>
      </c>
      <c r="H2982" s="3"/>
    </row>
    <row r="2983" spans="1:8" hidden="1">
      <c r="A2983" s="3">
        <v>87550</v>
      </c>
      <c r="B2983" s="7" t="s">
        <v>212</v>
      </c>
      <c r="C2983" s="42">
        <v>386.67</v>
      </c>
      <c r="D2983" s="6">
        <v>45636</v>
      </c>
      <c r="E2983" s="3" t="str">
        <f ca="1">IF(Tabela2[[#This Row],[Dt Venc:]]&gt;TODAY(),"Em Aberto",IF(Tabela2[[#This Row],[D/venc]]="-","Enviado",IF(Tabela2[[#This Row],[Dt Venc:]]=TODAY(),"Vence Hoje","Vencida")))</f>
        <v>Enviado</v>
      </c>
      <c r="F2983" s="3" t="str">
        <f ca="1">IF(G2983=1,"-",Tabela2[[#This Row],[Dt Venc:]]-TODAY())</f>
        <v>-</v>
      </c>
      <c r="G2983" s="3">
        <v>1</v>
      </c>
      <c r="H2983" s="3"/>
    </row>
    <row r="2984" spans="1:8" hidden="1">
      <c r="A2984" s="3">
        <v>19709</v>
      </c>
      <c r="B2984" s="7" t="s">
        <v>41</v>
      </c>
      <c r="C2984" s="41">
        <v>700</v>
      </c>
      <c r="D2984" s="6">
        <v>45636</v>
      </c>
      <c r="E2984" s="3" t="str">
        <f ca="1">IF(Tabela2[[#This Row],[Dt Venc:]]&gt;TODAY(),"Em Aberto",IF(Tabela2[[#This Row],[D/venc]]="-","Enviado",IF(Tabela2[[#This Row],[Dt Venc:]]=TODAY(),"Vence Hoje","Vencida")))</f>
        <v>Enviado</v>
      </c>
      <c r="F2984" s="3" t="str">
        <f ca="1">IF(G2984=1,"-",Tabela2[[#This Row],[Dt Venc:]]-TODAY())</f>
        <v>-</v>
      </c>
      <c r="G2984" s="3">
        <v>1</v>
      </c>
      <c r="H2984" s="3"/>
    </row>
    <row r="2985" spans="1:8" hidden="1">
      <c r="A2985" s="3">
        <v>70630</v>
      </c>
      <c r="B2985" s="7" t="s">
        <v>76</v>
      </c>
      <c r="C2985" s="42">
        <v>1940.94</v>
      </c>
      <c r="D2985" s="6">
        <v>45636</v>
      </c>
      <c r="E2985" s="3" t="str">
        <f ca="1">IF(Tabela2[[#This Row],[Dt Venc:]]&gt;TODAY(),"Em Aberto",IF(Tabela2[[#This Row],[D/venc]]="-","Enviado",IF(Tabela2[[#This Row],[Dt Venc:]]=TODAY(),"Vence Hoje","Vencida")))</f>
        <v>Enviado</v>
      </c>
      <c r="F2985" s="3" t="str">
        <f ca="1">IF(G2985=1,"-",Tabela2[[#This Row],[Dt Venc:]]-TODAY())</f>
        <v>-</v>
      </c>
      <c r="G2985" s="3">
        <v>1</v>
      </c>
      <c r="H2985" s="3"/>
    </row>
    <row r="2986" spans="1:8" hidden="1">
      <c r="A2986" s="3">
        <v>67780</v>
      </c>
      <c r="B2986" s="7" t="s">
        <v>143</v>
      </c>
      <c r="C2986" s="41">
        <v>672</v>
      </c>
      <c r="D2986" s="6">
        <v>45636</v>
      </c>
      <c r="E2986" s="3" t="str">
        <f ca="1">IF(Tabela2[[#This Row],[Dt Venc:]]&gt;TODAY(),"Em Aberto",IF(Tabela2[[#This Row],[D/venc]]="-","Enviado",IF(Tabela2[[#This Row],[Dt Venc:]]=TODAY(),"Vence Hoje","Vencida")))</f>
        <v>Enviado</v>
      </c>
      <c r="F2986" s="3" t="str">
        <f ca="1">IF(G2986=1,"-",Tabela2[[#This Row],[Dt Venc:]]-TODAY())</f>
        <v>-</v>
      </c>
      <c r="G2986" s="3">
        <v>1</v>
      </c>
      <c r="H2986" s="3"/>
    </row>
    <row r="2987" spans="1:8" hidden="1">
      <c r="A2987" s="3">
        <v>240304</v>
      </c>
      <c r="B2987" s="7" t="s">
        <v>43</v>
      </c>
      <c r="C2987" s="41">
        <v>1295.55</v>
      </c>
      <c r="D2987" s="6">
        <v>45636</v>
      </c>
      <c r="E2987" s="3" t="str">
        <f ca="1">IF(Tabela2[[#This Row],[Dt Venc:]]&gt;TODAY(),"Em Aberto",IF(Tabela2[[#This Row],[D/venc]]="-","Enviado",IF(Tabela2[[#This Row],[Dt Venc:]]=TODAY(),"Vence Hoje","Vencida")))</f>
        <v>Enviado</v>
      </c>
      <c r="F2987" s="3" t="str">
        <f ca="1">IF(G2987=1,"-",Tabela2[[#This Row],[Dt Venc:]]-TODAY())</f>
        <v>-</v>
      </c>
      <c r="G2987" s="3">
        <v>1</v>
      </c>
      <c r="H2987" s="3"/>
    </row>
    <row r="2988" spans="1:8" hidden="1">
      <c r="A2988" s="3">
        <v>303800</v>
      </c>
      <c r="B2988" s="7" t="s">
        <v>506</v>
      </c>
      <c r="C2988" s="41">
        <v>3073.8</v>
      </c>
      <c r="D2988" s="6">
        <v>45636</v>
      </c>
      <c r="E2988" s="3" t="str">
        <f ca="1">IF(Tabela2[[#This Row],[Dt Venc:]]&gt;TODAY(),"Em Aberto",IF(Tabela2[[#This Row],[D/venc]]="-","Enviado",IF(Tabela2[[#This Row],[Dt Venc:]]=TODAY(),"Vence Hoje","Vencida")))</f>
        <v>Enviado</v>
      </c>
      <c r="F2988" s="3" t="str">
        <f ca="1">IF(G2988=1,"-",Tabela2[[#This Row],[Dt Venc:]]-TODAY())</f>
        <v>-</v>
      </c>
      <c r="G2988" s="3">
        <v>1</v>
      </c>
      <c r="H2988" s="3"/>
    </row>
    <row r="2989" spans="1:8" hidden="1">
      <c r="A2989" s="3">
        <v>764298</v>
      </c>
      <c r="B2989" s="7" t="s">
        <v>79</v>
      </c>
      <c r="C2989" s="41">
        <v>1216.0999999999999</v>
      </c>
      <c r="D2989" s="6">
        <v>45636</v>
      </c>
      <c r="E2989" s="3" t="str">
        <f ca="1">IF(Tabela2[[#This Row],[Dt Venc:]]&gt;TODAY(),"Em Aberto",IF(Tabela2[[#This Row],[D/venc]]="-","Enviado",IF(Tabela2[[#This Row],[Dt Venc:]]=TODAY(),"Vence Hoje","Vencida")))</f>
        <v>Enviado</v>
      </c>
      <c r="F2989" s="3" t="str">
        <f ca="1">IF(G2989=1,"-",Tabela2[[#This Row],[Dt Venc:]]-TODAY())</f>
        <v>-</v>
      </c>
      <c r="G2989" s="3">
        <v>1</v>
      </c>
      <c r="H2989" s="3"/>
    </row>
    <row r="2990" spans="1:8" hidden="1">
      <c r="A2990" s="3">
        <v>13</v>
      </c>
      <c r="B2990" s="7" t="s">
        <v>103</v>
      </c>
      <c r="C2990" s="42">
        <v>683.3</v>
      </c>
      <c r="D2990" s="6">
        <v>45636</v>
      </c>
      <c r="E2990" s="3" t="str">
        <f ca="1">IF(Tabela2[[#This Row],[Dt Venc:]]&gt;TODAY(),"Em Aberto",IF(Tabela2[[#This Row],[D/venc]]="-","Enviado",IF(Tabela2[[#This Row],[Dt Venc:]]=TODAY(),"Vence Hoje","Vencida")))</f>
        <v>Enviado</v>
      </c>
      <c r="F2990" s="3" t="str">
        <f ca="1">IF(G2990=1,"-",Tabela2[[#This Row],[Dt Venc:]]-TODAY())</f>
        <v>-</v>
      </c>
      <c r="G2990" s="3">
        <v>1</v>
      </c>
      <c r="H2990" s="3"/>
    </row>
    <row r="2991" spans="1:8" hidden="1">
      <c r="A2991" s="3">
        <v>152789</v>
      </c>
      <c r="B2991" s="7" t="s">
        <v>77</v>
      </c>
      <c r="C2991" s="42">
        <v>975.67</v>
      </c>
      <c r="D2991" s="6">
        <v>45636</v>
      </c>
      <c r="E2991" s="3" t="str">
        <f ca="1">IF(Tabela2[[#This Row],[Dt Venc:]]&gt;TODAY(),"Em Aberto",IF(Tabela2[[#This Row],[D/venc]]="-","Enviado",IF(Tabela2[[#This Row],[Dt Venc:]]=TODAY(),"Vence Hoje","Vencida")))</f>
        <v>Enviado</v>
      </c>
      <c r="F2991" s="3" t="str">
        <f ca="1">IF(G2991=1,"-",Tabela2[[#This Row],[Dt Venc:]]-TODAY())</f>
        <v>-</v>
      </c>
      <c r="G2991" s="3">
        <v>1</v>
      </c>
      <c r="H2991" s="3"/>
    </row>
    <row r="2992" spans="1:8" hidden="1">
      <c r="A2992" s="3">
        <v>1165</v>
      </c>
      <c r="B2992" s="7" t="s">
        <v>416</v>
      </c>
      <c r="C2992" s="41">
        <v>1192.07</v>
      </c>
      <c r="D2992" s="6">
        <v>45636</v>
      </c>
      <c r="E2992" s="3" t="str">
        <f ca="1">IF(Tabela2[[#This Row],[Dt Venc:]]&gt;TODAY(),"Em Aberto",IF(Tabela2[[#This Row],[D/venc]]="-","Enviado",IF(Tabela2[[#This Row],[Dt Venc:]]=TODAY(),"Vence Hoje","Vencida")))</f>
        <v>Enviado</v>
      </c>
      <c r="F2992" s="3" t="str">
        <f ca="1">IF(G2992=1,"-",Tabela2[[#This Row],[Dt Venc:]]-TODAY())</f>
        <v>-</v>
      </c>
      <c r="G2992" s="3">
        <v>1</v>
      </c>
      <c r="H2992" s="3"/>
    </row>
    <row r="2993" spans="1:8" hidden="1">
      <c r="A2993" s="3">
        <v>834</v>
      </c>
      <c r="B2993" s="7" t="s">
        <v>416</v>
      </c>
      <c r="C2993" s="41">
        <v>400</v>
      </c>
      <c r="D2993" s="6">
        <v>45636</v>
      </c>
      <c r="E2993" s="3" t="str">
        <f ca="1">IF(Tabela2[[#This Row],[Dt Venc:]]&gt;TODAY(),"Em Aberto",IF(Tabela2[[#This Row],[D/venc]]="-","Enviado",IF(Tabela2[[#This Row],[Dt Venc:]]=TODAY(),"Vence Hoje","Vencida")))</f>
        <v>Enviado</v>
      </c>
      <c r="F2993" s="3" t="str">
        <f ca="1">IF(G2993=1,"-",Tabela2[[#This Row],[Dt Venc:]]-TODAY())</f>
        <v>-</v>
      </c>
      <c r="G2993" s="3">
        <v>1</v>
      </c>
      <c r="H2993" s="3"/>
    </row>
    <row r="2994" spans="1:8" hidden="1">
      <c r="A2994" s="3">
        <v>1082003</v>
      </c>
      <c r="B2994" s="7" t="s">
        <v>141</v>
      </c>
      <c r="C2994" s="41">
        <v>1934.54</v>
      </c>
      <c r="D2994" s="6">
        <v>45636</v>
      </c>
      <c r="E2994" s="3" t="str">
        <f ca="1">IF(Tabela2[[#This Row],[Dt Venc:]]&gt;TODAY(),"Em Aberto",IF(Tabela2[[#This Row],[D/venc]]="-","Enviado",IF(Tabela2[[#This Row],[Dt Venc:]]=TODAY(),"Vence Hoje","Vencida")))</f>
        <v>Enviado</v>
      </c>
      <c r="F2994" s="3" t="str">
        <f ca="1">IF(G2994=1,"-",Tabela2[[#This Row],[Dt Venc:]]-TODAY())</f>
        <v>-</v>
      </c>
      <c r="G2994" s="3">
        <v>1</v>
      </c>
      <c r="H2994" s="3"/>
    </row>
    <row r="2995" spans="1:8" hidden="1">
      <c r="A2995" s="3">
        <v>1082012</v>
      </c>
      <c r="B2995" s="7" t="s">
        <v>141</v>
      </c>
      <c r="C2995" s="41">
        <v>1669.94</v>
      </c>
      <c r="D2995" s="6">
        <v>45636</v>
      </c>
      <c r="E2995" s="3" t="str">
        <f ca="1">IF(Tabela2[[#This Row],[Dt Venc:]]&gt;TODAY(),"Em Aberto",IF(Tabela2[[#This Row],[D/venc]]="-","Enviado",IF(Tabela2[[#This Row],[Dt Venc:]]=TODAY(),"Vence Hoje","Vencida")))</f>
        <v>Enviado</v>
      </c>
      <c r="F2995" s="3" t="str">
        <f ca="1">IF(G2995=1,"-",Tabela2[[#This Row],[Dt Venc:]]-TODAY())</f>
        <v>-</v>
      </c>
      <c r="G2995" s="3">
        <v>1</v>
      </c>
      <c r="H2995" s="3"/>
    </row>
    <row r="2996" spans="1:8" hidden="1">
      <c r="A2996" s="3">
        <v>5989</v>
      </c>
      <c r="B2996" s="7" t="s">
        <v>47</v>
      </c>
      <c r="C2996" s="41">
        <v>1580.86</v>
      </c>
      <c r="D2996" s="6">
        <v>45636</v>
      </c>
      <c r="E2996" s="3" t="str">
        <f ca="1">IF(Tabela2[[#This Row],[Dt Venc:]]&gt;TODAY(),"Em Aberto",IF(Tabela2[[#This Row],[D/venc]]="-","Enviado",IF(Tabela2[[#This Row],[Dt Venc:]]=TODAY(),"Vence Hoje","Vencida")))</f>
        <v>Enviado</v>
      </c>
      <c r="F2996" s="3" t="str">
        <f ca="1">IF(G2996=1,"-",Tabela2[[#This Row],[Dt Venc:]]-TODAY())</f>
        <v>-</v>
      </c>
      <c r="G2996" s="3">
        <v>1</v>
      </c>
      <c r="H2996" s="3"/>
    </row>
    <row r="2997" spans="1:8" hidden="1">
      <c r="A2997" s="3">
        <v>5862</v>
      </c>
      <c r="B2997" s="7" t="s">
        <v>217</v>
      </c>
      <c r="C2997" s="42">
        <v>1206.6600000000001</v>
      </c>
      <c r="D2997" s="6">
        <v>45636</v>
      </c>
      <c r="E2997" s="3" t="str">
        <f ca="1">IF(Tabela2[[#This Row],[Dt Venc:]]&gt;TODAY(),"Em Aberto",IF(Tabela2[[#This Row],[D/venc]]="-","Enviado",IF(Tabela2[[#This Row],[Dt Venc:]]=TODAY(),"Vence Hoje","Vencida")))</f>
        <v>Enviado</v>
      </c>
      <c r="F2997" s="3" t="str">
        <f ca="1">IF(G2997=1,"-",Tabela2[[#This Row],[Dt Venc:]]-TODAY())</f>
        <v>-</v>
      </c>
      <c r="G2997" s="3">
        <v>1</v>
      </c>
      <c r="H2997" s="3"/>
    </row>
    <row r="2998" spans="1:8" hidden="1">
      <c r="A2998" s="3">
        <v>2018</v>
      </c>
      <c r="B2998" s="7" t="s">
        <v>194</v>
      </c>
      <c r="C2998" s="41">
        <v>2100</v>
      </c>
      <c r="D2998" s="6">
        <v>45636</v>
      </c>
      <c r="E2998" s="3" t="str">
        <f ca="1">IF(Tabela2[[#This Row],[Dt Venc:]]&gt;TODAY(),"Em Aberto",IF(Tabela2[[#This Row],[D/venc]]="-","Enviado",IF(Tabela2[[#This Row],[Dt Venc:]]=TODAY(),"Vence Hoje","Vencida")))</f>
        <v>Enviado</v>
      </c>
      <c r="F2998" s="3" t="str">
        <f ca="1">IF(G2998=1,"-",Tabela2[[#This Row],[Dt Venc:]]-TODAY())</f>
        <v>-</v>
      </c>
      <c r="G2998" s="3">
        <v>1</v>
      </c>
      <c r="H2998" s="3"/>
    </row>
    <row r="2999" spans="1:8" hidden="1">
      <c r="A2999" s="3">
        <v>6493</v>
      </c>
      <c r="B2999" s="7" t="s">
        <v>291</v>
      </c>
      <c r="C2999" s="41">
        <v>14607.2</v>
      </c>
      <c r="D2999" s="6">
        <v>45636</v>
      </c>
      <c r="E2999" s="3" t="str">
        <f ca="1">IF(Tabela2[[#This Row],[Dt Venc:]]&gt;TODAY(),"Em Aberto",IF(Tabela2[[#This Row],[D/venc]]="-","Enviado",IF(Tabela2[[#This Row],[Dt Venc:]]=TODAY(),"Vence Hoje","Vencida")))</f>
        <v>Enviado</v>
      </c>
      <c r="F2999" s="3" t="str">
        <f ca="1">IF(G2999=1,"-",Tabela2[[#This Row],[Dt Venc:]]-TODAY())</f>
        <v>-</v>
      </c>
      <c r="G2999" s="3">
        <v>1</v>
      </c>
      <c r="H2999" s="3"/>
    </row>
    <row r="3000" spans="1:8" hidden="1">
      <c r="A3000" s="3" t="s">
        <v>179</v>
      </c>
      <c r="B3000" s="7" t="s">
        <v>190</v>
      </c>
      <c r="C3000" s="83" t="s">
        <v>32</v>
      </c>
      <c r="D3000" s="6">
        <v>45636</v>
      </c>
      <c r="E3000" s="3" t="str">
        <f ca="1">IF(Tabela2[[#This Row],[Dt Venc:]]&gt;TODAY(),"Em Aberto",IF(Tabela2[[#This Row],[D/venc]]="-","Enviado",IF(Tabela2[[#This Row],[Dt Venc:]]=TODAY(),"Vence Hoje","Vencida")))</f>
        <v>Enviado</v>
      </c>
      <c r="F3000" s="3" t="str">
        <f ca="1">IF(G3000=1,"-",Tabela2[[#This Row],[Dt Venc:]]-TODAY())</f>
        <v>-</v>
      </c>
      <c r="G3000" s="3">
        <v>1</v>
      </c>
      <c r="H3000" s="3"/>
    </row>
    <row r="3001" spans="1:8" hidden="1">
      <c r="A3001" s="3">
        <v>11322</v>
      </c>
      <c r="B3001" s="7" t="s">
        <v>72</v>
      </c>
      <c r="C3001" s="42">
        <v>416.66</v>
      </c>
      <c r="D3001" s="6">
        <v>45636</v>
      </c>
      <c r="E3001" s="3" t="str">
        <f ca="1">IF(Tabela2[[#This Row],[Dt Venc:]]&gt;TODAY(),"Em Aberto",IF(Tabela2[[#This Row],[D/venc]]="-","Enviado",IF(Tabela2[[#This Row],[Dt Venc:]]=TODAY(),"Vence Hoje","Vencida")))</f>
        <v>Enviado</v>
      </c>
      <c r="F3001" s="3" t="str">
        <f ca="1">IF(G3001=1,"-",Tabela2[[#This Row],[Dt Venc:]]-TODAY())</f>
        <v>-</v>
      </c>
      <c r="G3001" s="3">
        <v>1</v>
      </c>
      <c r="H3001" s="3"/>
    </row>
    <row r="3002" spans="1:8" hidden="1">
      <c r="A3002" s="3">
        <v>142041</v>
      </c>
      <c r="B3002" s="7" t="s">
        <v>484</v>
      </c>
      <c r="C3002" s="41">
        <v>390</v>
      </c>
      <c r="D3002" s="6">
        <v>45636</v>
      </c>
      <c r="E3002" s="3" t="str">
        <f ca="1">IF(Tabela2[[#This Row],[Dt Venc:]]&gt;TODAY(),"Em Aberto",IF(Tabela2[[#This Row],[D/venc]]="-","Enviado",IF(Tabela2[[#This Row],[Dt Venc:]]=TODAY(),"Vence Hoje","Vencida")))</f>
        <v>Enviado</v>
      </c>
      <c r="F3002" s="3" t="str">
        <f ca="1">IF(G3002=1,"-",Tabela2[[#This Row],[Dt Venc:]]-TODAY())</f>
        <v>-</v>
      </c>
      <c r="G3002" s="3">
        <v>1</v>
      </c>
      <c r="H3002" s="3"/>
    </row>
    <row r="3003" spans="1:8" hidden="1">
      <c r="A3003" s="3">
        <v>3315530</v>
      </c>
      <c r="B3003" s="7" t="s">
        <v>71</v>
      </c>
      <c r="C3003" s="41">
        <v>82623</v>
      </c>
      <c r="D3003" s="6">
        <v>45636</v>
      </c>
      <c r="E3003" s="3" t="str">
        <f ca="1">IF(Tabela2[[#This Row],[Dt Venc:]]&gt;TODAY(),"Em Aberto",IF(Tabela2[[#This Row],[D/venc]]="-","Enviado",IF(Tabela2[[#This Row],[Dt Venc:]]=TODAY(),"Vence Hoje","Vencida")))</f>
        <v>Enviado</v>
      </c>
      <c r="F3003" s="3" t="str">
        <f ca="1">IF(G3003=1,"-",Tabela2[[#This Row],[Dt Venc:]]-TODAY())</f>
        <v>-</v>
      </c>
      <c r="G3003" s="3">
        <v>1</v>
      </c>
      <c r="H3003" s="3"/>
    </row>
    <row r="3004" spans="1:8" hidden="1">
      <c r="A3004" s="3">
        <v>375220</v>
      </c>
      <c r="B3004" s="7" t="s">
        <v>202</v>
      </c>
      <c r="C3004" s="41">
        <v>30</v>
      </c>
      <c r="D3004" s="6">
        <v>45636</v>
      </c>
      <c r="E3004" s="3" t="str">
        <f ca="1">IF(Tabela2[[#This Row],[Dt Venc:]]&gt;TODAY(),"Em Aberto",IF(Tabela2[[#This Row],[D/venc]]="-","Enviado",IF(Tabela2[[#This Row],[Dt Venc:]]=TODAY(),"Vence Hoje","Vencida")))</f>
        <v>Enviado</v>
      </c>
      <c r="F3004" s="3" t="str">
        <f ca="1">IF(G3004=1,"-",Tabela2[[#This Row],[Dt Venc:]]-TODAY())</f>
        <v>-</v>
      </c>
      <c r="G3004" s="3">
        <v>1</v>
      </c>
      <c r="H3004" s="3"/>
    </row>
    <row r="3005" spans="1:8" hidden="1">
      <c r="A3005" s="3">
        <v>3116018</v>
      </c>
      <c r="B3005" s="7" t="s">
        <v>202</v>
      </c>
      <c r="C3005" s="41">
        <v>90</v>
      </c>
      <c r="D3005" s="6">
        <v>45636</v>
      </c>
      <c r="E3005" s="3" t="str">
        <f ca="1">IF(Tabela2[[#This Row],[Dt Venc:]]&gt;TODAY(),"Em Aberto",IF(Tabela2[[#This Row],[D/venc]]="-","Enviado",IF(Tabela2[[#This Row],[Dt Venc:]]=TODAY(),"Vence Hoje","Vencida")))</f>
        <v>Enviado</v>
      </c>
      <c r="F3005" s="3" t="str">
        <f ca="1">IF(G3005=1,"-",Tabela2[[#This Row],[Dt Venc:]]-TODAY())</f>
        <v>-</v>
      </c>
      <c r="G3005" s="3">
        <v>1</v>
      </c>
      <c r="H3005" s="3"/>
    </row>
    <row r="3006" spans="1:8" hidden="1">
      <c r="A3006" s="3">
        <v>4005340</v>
      </c>
      <c r="B3006" s="7" t="s">
        <v>380</v>
      </c>
      <c r="C3006" s="41">
        <v>1000</v>
      </c>
      <c r="D3006" s="6">
        <v>45636</v>
      </c>
      <c r="E3006" s="3" t="str">
        <f ca="1">IF(Tabela2[[#This Row],[Dt Venc:]]&gt;TODAY(),"Em Aberto",IF(Tabela2[[#This Row],[D/venc]]="-","Enviado",IF(Tabela2[[#This Row],[Dt Venc:]]=TODAY(),"Vence Hoje","Vencida")))</f>
        <v>Enviado</v>
      </c>
      <c r="F3006" s="3" t="str">
        <f ca="1">IF(G3006=1,"-",Tabela2[[#This Row],[Dt Venc:]]-TODAY())</f>
        <v>-</v>
      </c>
      <c r="G3006" s="3">
        <v>1</v>
      </c>
      <c r="H3006" s="3"/>
    </row>
    <row r="3007" spans="1:8" hidden="1">
      <c r="A3007" s="3">
        <v>4005341</v>
      </c>
      <c r="B3007" s="7" t="s">
        <v>380</v>
      </c>
      <c r="C3007" s="41">
        <v>1000</v>
      </c>
      <c r="D3007" s="6">
        <v>45636</v>
      </c>
      <c r="E3007" s="3" t="str">
        <f ca="1">IF(Tabela2[[#This Row],[Dt Venc:]]&gt;TODAY(),"Em Aberto",IF(Tabela2[[#This Row],[D/venc]]="-","Enviado",IF(Tabela2[[#This Row],[Dt Venc:]]=TODAY(),"Vence Hoje","Vencida")))</f>
        <v>Enviado</v>
      </c>
      <c r="F3007" s="3" t="str">
        <f ca="1">IF(G3007=1,"-",Tabela2[[#This Row],[Dt Venc:]]-TODAY())</f>
        <v>-</v>
      </c>
      <c r="G3007" s="3">
        <v>1</v>
      </c>
      <c r="H3007" s="3"/>
    </row>
    <row r="3008" spans="1:8" hidden="1">
      <c r="A3008" s="3">
        <v>583800</v>
      </c>
      <c r="B3008" s="7" t="s">
        <v>79</v>
      </c>
      <c r="C3008" s="41">
        <v>4960.62</v>
      </c>
      <c r="D3008" s="6">
        <v>45636</v>
      </c>
      <c r="E3008" s="3" t="str">
        <f ca="1">IF(Tabela2[[#This Row],[Dt Venc:]]&gt;TODAY(),"Em Aberto",IF(Tabela2[[#This Row],[D/venc]]="-","Enviado",IF(Tabela2[[#This Row],[Dt Venc:]]=TODAY(),"Vence Hoje","Vencida")))</f>
        <v>Enviado</v>
      </c>
      <c r="F3008" s="3" t="str">
        <f ca="1">IF(G3008=1,"-",Tabela2[[#This Row],[Dt Venc:]]-TODAY())</f>
        <v>-</v>
      </c>
      <c r="G3008" s="3">
        <v>1</v>
      </c>
      <c r="H3008" s="3"/>
    </row>
    <row r="3009" spans="1:8" hidden="1">
      <c r="A3009" s="3">
        <v>183</v>
      </c>
      <c r="B3009" s="7" t="s">
        <v>523</v>
      </c>
      <c r="C3009" s="41">
        <v>2800</v>
      </c>
      <c r="D3009" s="6">
        <v>45636</v>
      </c>
      <c r="E3009" s="3" t="str">
        <f ca="1">IF(Tabela2[[#This Row],[Dt Venc:]]&gt;TODAY(),"Em Aberto",IF(Tabela2[[#This Row],[D/venc]]="-","Enviado",IF(Tabela2[[#This Row],[Dt Venc:]]=TODAY(),"Vence Hoje","Vencida")))</f>
        <v>Enviado</v>
      </c>
      <c r="F3009" s="3" t="str">
        <f ca="1">IF(G3009=1,"-",Tabela2[[#This Row],[Dt Venc:]]-TODAY())</f>
        <v>-</v>
      </c>
      <c r="G3009" s="3">
        <v>1</v>
      </c>
      <c r="H3009" s="3"/>
    </row>
    <row r="3010" spans="1:8" hidden="1">
      <c r="A3010" s="3" t="s">
        <v>110</v>
      </c>
      <c r="B3010" s="7" t="s">
        <v>184</v>
      </c>
      <c r="C3010" s="42" t="s">
        <v>32</v>
      </c>
      <c r="D3010" s="6">
        <v>45636</v>
      </c>
      <c r="E3010" s="3" t="str">
        <f ca="1">IF(Tabela2[[#This Row],[Dt Venc:]]&gt;TODAY(),"Em Aberto",IF(Tabela2[[#This Row],[D/venc]]="-","Enviado",IF(Tabela2[[#This Row],[Dt Venc:]]=TODAY(),"Vence Hoje","Vencida")))</f>
        <v>Enviado</v>
      </c>
      <c r="F3010" s="3" t="str">
        <f ca="1">IF(G3010=1,"-",Tabela2[[#This Row],[Dt Venc:]]-TODAY())</f>
        <v>-</v>
      </c>
      <c r="G3010" s="3">
        <v>1</v>
      </c>
      <c r="H3010" s="3"/>
    </row>
    <row r="3011" spans="1:8" hidden="1">
      <c r="A3011" s="3" t="s">
        <v>123</v>
      </c>
      <c r="B3011" s="7" t="s">
        <v>201</v>
      </c>
      <c r="C3011" s="87" t="s">
        <v>32</v>
      </c>
      <c r="D3011" s="6">
        <v>45636</v>
      </c>
      <c r="E3011" s="3" t="str">
        <f ca="1">IF(Tabela2[[#This Row],[Dt Venc:]]&gt;TODAY(),"Em Aberto",IF(Tabela2[[#This Row],[D/venc]]="-","Enviado",IF(Tabela2[[#This Row],[Dt Venc:]]=TODAY(),"Vence Hoje","Vencida")))</f>
        <v>Enviado</v>
      </c>
      <c r="F3011" s="3" t="str">
        <f ca="1">IF(G3011=1,"-",Tabela2[[#This Row],[Dt Venc:]]-TODAY())</f>
        <v>-</v>
      </c>
      <c r="G3011" s="3">
        <v>1</v>
      </c>
      <c r="H3011" s="3"/>
    </row>
    <row r="3012" spans="1:8" hidden="1">
      <c r="A3012" s="3">
        <v>37292</v>
      </c>
      <c r="B3012" s="7" t="s">
        <v>167</v>
      </c>
      <c r="C3012" s="84" t="s">
        <v>32</v>
      </c>
      <c r="D3012" s="6">
        <v>45637</v>
      </c>
      <c r="E3012" s="3" t="str">
        <f ca="1">IF(Tabela2[[#This Row],[Dt Venc:]]&gt;TODAY(),"Em Aberto",IF(Tabela2[[#This Row],[D/venc]]="-","Enviado",IF(Tabela2[[#This Row],[Dt Venc:]]=TODAY(),"Vence Hoje","Vencida")))</f>
        <v>Enviado</v>
      </c>
      <c r="F3012" s="3" t="str">
        <f ca="1">IF(G3012=1,"-",Tabela2[[#This Row],[Dt Venc:]]-TODAY())</f>
        <v>-</v>
      </c>
      <c r="G3012" s="3">
        <v>1</v>
      </c>
      <c r="H3012" s="3"/>
    </row>
    <row r="3013" spans="1:8" hidden="1">
      <c r="A3013" s="3">
        <v>37327</v>
      </c>
      <c r="B3013" s="7" t="s">
        <v>167</v>
      </c>
      <c r="C3013" s="83" t="s">
        <v>32</v>
      </c>
      <c r="D3013" s="6">
        <v>45637</v>
      </c>
      <c r="E3013" s="3" t="str">
        <f ca="1">IF(Tabela2[[#This Row],[Dt Venc:]]&gt;TODAY(),"Em Aberto",IF(Tabela2[[#This Row],[D/venc]]="-","Enviado",IF(Tabela2[[#This Row],[Dt Venc:]]=TODAY(),"Vence Hoje","Vencida")))</f>
        <v>Enviado</v>
      </c>
      <c r="F3013" s="3" t="str">
        <f ca="1">IF(G3013=1,"-",Tabela2[[#This Row],[Dt Venc:]]-TODAY())</f>
        <v>-</v>
      </c>
      <c r="G3013" s="3">
        <v>1</v>
      </c>
      <c r="H3013" s="3"/>
    </row>
    <row r="3014" spans="1:8" hidden="1">
      <c r="A3014" s="3">
        <v>11126</v>
      </c>
      <c r="B3014" s="7" t="s">
        <v>33</v>
      </c>
      <c r="C3014" s="41">
        <v>325</v>
      </c>
      <c r="D3014" s="6">
        <v>45637</v>
      </c>
      <c r="E3014" s="3" t="str">
        <f ca="1">IF(Tabela2[[#This Row],[Dt Venc:]]&gt;TODAY(),"Em Aberto",IF(Tabela2[[#This Row],[D/venc]]="-","Enviado",IF(Tabela2[[#This Row],[Dt Venc:]]=TODAY(),"Vence Hoje","Vencida")))</f>
        <v>Enviado</v>
      </c>
      <c r="F3014" s="3" t="str">
        <f ca="1">IF(G3014=1,"-",Tabela2[[#This Row],[Dt Venc:]]-TODAY())</f>
        <v>-</v>
      </c>
      <c r="G3014" s="3">
        <v>1</v>
      </c>
      <c r="H3014" s="3"/>
    </row>
    <row r="3015" spans="1:8" hidden="1">
      <c r="A3015" s="3">
        <v>11127</v>
      </c>
      <c r="B3015" s="7" t="s">
        <v>33</v>
      </c>
      <c r="C3015" s="41">
        <v>1988.33</v>
      </c>
      <c r="D3015" s="6">
        <v>45637</v>
      </c>
      <c r="E3015" s="3" t="str">
        <f ca="1">IF(Tabela2[[#This Row],[Dt Venc:]]&gt;TODAY(),"Em Aberto",IF(Tabela2[[#This Row],[D/venc]]="-","Enviado",IF(Tabela2[[#This Row],[Dt Venc:]]=TODAY(),"Vence Hoje","Vencida")))</f>
        <v>Enviado</v>
      </c>
      <c r="F3015" s="3" t="str">
        <f ca="1">IF(G3015=1,"-",Tabela2[[#This Row],[Dt Venc:]]-TODAY())</f>
        <v>-</v>
      </c>
      <c r="G3015" s="3">
        <v>1</v>
      </c>
      <c r="H3015" s="3"/>
    </row>
    <row r="3016" spans="1:8" hidden="1">
      <c r="A3016" s="3">
        <v>5810</v>
      </c>
      <c r="B3016" s="7" t="s">
        <v>224</v>
      </c>
      <c r="C3016" s="42">
        <v>936</v>
      </c>
      <c r="D3016" s="6">
        <v>45637</v>
      </c>
      <c r="E3016" s="3" t="str">
        <f ca="1">IF(Tabela2[[#This Row],[Dt Venc:]]&gt;TODAY(),"Em Aberto",IF(Tabela2[[#This Row],[D/venc]]="-","Enviado",IF(Tabela2[[#This Row],[Dt Venc:]]=TODAY(),"Vence Hoje","Vencida")))</f>
        <v>Enviado</v>
      </c>
      <c r="F3016" s="3" t="str">
        <f ca="1">IF(G3016=1,"-",Tabela2[[#This Row],[Dt Venc:]]-TODAY())</f>
        <v>-</v>
      </c>
      <c r="G3016" s="3">
        <v>1</v>
      </c>
      <c r="H3016" s="3"/>
    </row>
    <row r="3017" spans="1:8" hidden="1">
      <c r="A3017" s="3">
        <v>2823</v>
      </c>
      <c r="B3017" s="7" t="s">
        <v>301</v>
      </c>
      <c r="C3017" s="41">
        <v>2033.33</v>
      </c>
      <c r="D3017" s="6">
        <v>45637</v>
      </c>
      <c r="E3017" s="3" t="str">
        <f ca="1">IF(Tabela2[[#This Row],[Dt Venc:]]&gt;TODAY(),"Em Aberto",IF(Tabela2[[#This Row],[D/venc]]="-","Enviado",IF(Tabela2[[#This Row],[Dt Venc:]]=TODAY(),"Vence Hoje","Vencida")))</f>
        <v>Enviado</v>
      </c>
      <c r="F3017" s="3" t="str">
        <f ca="1">IF(G3017=1,"-",Tabela2[[#This Row],[Dt Venc:]]-TODAY())</f>
        <v>-</v>
      </c>
      <c r="G3017" s="3">
        <v>1</v>
      </c>
      <c r="H3017" s="3"/>
    </row>
    <row r="3018" spans="1:8" hidden="1">
      <c r="A3018" s="3">
        <v>43346</v>
      </c>
      <c r="B3018" s="7" t="s">
        <v>197</v>
      </c>
      <c r="C3018" s="42">
        <v>880</v>
      </c>
      <c r="D3018" s="6">
        <v>45637</v>
      </c>
      <c r="E3018" s="3" t="str">
        <f ca="1">IF(Tabela2[[#This Row],[Dt Venc:]]&gt;TODAY(),"Em Aberto",IF(Tabela2[[#This Row],[D/venc]]="-","Enviado",IF(Tabela2[[#This Row],[Dt Venc:]]=TODAY(),"Vence Hoje","Vencida")))</f>
        <v>Enviado</v>
      </c>
      <c r="F3018" s="3" t="str">
        <f ca="1">IF(G3018=1,"-",Tabela2[[#This Row],[Dt Venc:]]-TODAY())</f>
        <v>-</v>
      </c>
      <c r="G3018" s="3">
        <v>1</v>
      </c>
      <c r="H3018" s="3"/>
    </row>
    <row r="3019" spans="1:8" hidden="1">
      <c r="A3019" s="3">
        <v>149961</v>
      </c>
      <c r="B3019" s="7" t="s">
        <v>148</v>
      </c>
      <c r="C3019" s="41">
        <v>393.33</v>
      </c>
      <c r="D3019" s="6">
        <v>45637</v>
      </c>
      <c r="E3019" s="3" t="str">
        <f ca="1">IF(Tabela2[[#This Row],[Dt Venc:]]&gt;TODAY(),"Em Aberto",IF(Tabela2[[#This Row],[D/venc]]="-","Enviado",IF(Tabela2[[#This Row],[Dt Venc:]]=TODAY(),"Vence Hoje","Vencida")))</f>
        <v>Enviado</v>
      </c>
      <c r="F3019" s="3" t="str">
        <f ca="1">IF(G3019=1,"-",Tabela2[[#This Row],[Dt Venc:]]-TODAY())</f>
        <v>-</v>
      </c>
      <c r="G3019" s="3">
        <v>1</v>
      </c>
      <c r="H3019" s="3"/>
    </row>
    <row r="3020" spans="1:8" hidden="1">
      <c r="A3020" s="3">
        <v>428397</v>
      </c>
      <c r="B3020" s="7" t="s">
        <v>89</v>
      </c>
      <c r="C3020" s="41">
        <v>1995</v>
      </c>
      <c r="D3020" s="6">
        <v>45637</v>
      </c>
      <c r="E3020" s="3" t="str">
        <f ca="1">IF(Tabela2[[#This Row],[Dt Venc:]]&gt;TODAY(),"Em Aberto",IF(Tabela2[[#This Row],[D/venc]]="-","Enviado",IF(Tabela2[[#This Row],[Dt Venc:]]=TODAY(),"Vence Hoje","Vencida")))</f>
        <v>Enviado</v>
      </c>
      <c r="F3020" s="3" t="str">
        <f ca="1">IF(G3020=1,"-",Tabela2[[#This Row],[Dt Venc:]]-TODAY())</f>
        <v>-</v>
      </c>
      <c r="G3020" s="3">
        <v>1</v>
      </c>
      <c r="H3020" s="3"/>
    </row>
    <row r="3021" spans="1:8" hidden="1">
      <c r="A3021" s="3">
        <v>265534</v>
      </c>
      <c r="B3021" s="7" t="s">
        <v>358</v>
      </c>
      <c r="C3021" s="41">
        <v>658.68</v>
      </c>
      <c r="D3021" s="6">
        <v>45637</v>
      </c>
      <c r="E3021" s="3" t="str">
        <f ca="1">IF(Tabela2[[#This Row],[Dt Venc:]]&gt;TODAY(),"Em Aberto",IF(Tabela2[[#This Row],[D/venc]]="-","Enviado",IF(Tabela2[[#This Row],[Dt Venc:]]=TODAY(),"Vence Hoje","Vencida")))</f>
        <v>Enviado</v>
      </c>
      <c r="F3021" s="3" t="str">
        <f ca="1">IF(G3021=1,"-",Tabela2[[#This Row],[Dt Venc:]]-TODAY())</f>
        <v>-</v>
      </c>
      <c r="G3021" s="3">
        <v>1</v>
      </c>
      <c r="H3021" s="3"/>
    </row>
    <row r="3022" spans="1:8" hidden="1">
      <c r="A3022" s="3">
        <v>23678</v>
      </c>
      <c r="B3022" s="7" t="s">
        <v>38</v>
      </c>
      <c r="C3022" s="41">
        <v>496.67</v>
      </c>
      <c r="D3022" s="6">
        <v>45637</v>
      </c>
      <c r="E3022" s="3" t="str">
        <f ca="1">IF(Tabela2[[#This Row],[Dt Venc:]]&gt;TODAY(),"Em Aberto",IF(Tabela2[[#This Row],[D/venc]]="-","Enviado",IF(Tabela2[[#This Row],[Dt Venc:]]=TODAY(),"Vence Hoje","Vencida")))</f>
        <v>Enviado</v>
      </c>
      <c r="F3022" s="3" t="str">
        <f ca="1">IF(G3022=1,"-",Tabela2[[#This Row],[Dt Venc:]]-TODAY())</f>
        <v>-</v>
      </c>
      <c r="G3022" s="3">
        <v>1</v>
      </c>
      <c r="H3022" s="3"/>
    </row>
    <row r="3023" spans="1:8" hidden="1">
      <c r="A3023" s="3">
        <v>238648</v>
      </c>
      <c r="B3023" s="7" t="s">
        <v>139</v>
      </c>
      <c r="C3023" s="41">
        <v>565</v>
      </c>
      <c r="D3023" s="6">
        <v>45637</v>
      </c>
      <c r="E3023" s="3" t="str">
        <f ca="1">IF(Tabela2[[#This Row],[Dt Venc:]]&gt;TODAY(),"Em Aberto",IF(Tabela2[[#This Row],[D/venc]]="-","Enviado",IF(Tabela2[[#This Row],[Dt Venc:]]=TODAY(),"Vence Hoje","Vencida")))</f>
        <v>Enviado</v>
      </c>
      <c r="F3023" s="3" t="str">
        <f ca="1">IF(G3023=1,"-",Tabela2[[#This Row],[Dt Venc:]]-TODAY())</f>
        <v>-</v>
      </c>
      <c r="G3023" s="3">
        <v>1</v>
      </c>
      <c r="H3023" s="3"/>
    </row>
    <row r="3024" spans="1:8" hidden="1">
      <c r="A3024" s="3">
        <v>372422</v>
      </c>
      <c r="B3024" s="7" t="s">
        <v>39</v>
      </c>
      <c r="C3024" s="41">
        <v>286.44</v>
      </c>
      <c r="D3024" s="6">
        <v>45637</v>
      </c>
      <c r="E3024" s="3" t="str">
        <f ca="1">IF(Tabela2[[#This Row],[Dt Venc:]]&gt;TODAY(),"Em Aberto",IF(Tabela2[[#This Row],[D/venc]]="-","Enviado",IF(Tabela2[[#This Row],[Dt Venc:]]=TODAY(),"Vence Hoje","Vencida")))</f>
        <v>Enviado</v>
      </c>
      <c r="F3024" s="3" t="str">
        <f ca="1">IF(G3024=1,"-",Tabela2[[#This Row],[Dt Venc:]]-TODAY())</f>
        <v>-</v>
      </c>
      <c r="G3024" s="3">
        <v>1</v>
      </c>
      <c r="H3024" s="3"/>
    </row>
    <row r="3025" spans="1:8" hidden="1">
      <c r="A3025" s="3">
        <v>219942</v>
      </c>
      <c r="B3025" s="7" t="s">
        <v>80</v>
      </c>
      <c r="C3025" s="42">
        <v>21150</v>
      </c>
      <c r="D3025" s="6">
        <v>45637</v>
      </c>
      <c r="E3025" s="3" t="str">
        <f ca="1">IF(Tabela2[[#This Row],[Dt Venc:]]&gt;TODAY(),"Em Aberto",IF(Tabela2[[#This Row],[D/venc]]="-","Enviado",IF(Tabela2[[#This Row],[Dt Venc:]]=TODAY(),"Vence Hoje","Vencida")))</f>
        <v>Enviado</v>
      </c>
      <c r="F3025" s="3" t="str">
        <f ca="1">IF(G3025=1,"-",Tabela2[[#This Row],[Dt Venc:]]-TODAY())</f>
        <v>-</v>
      </c>
      <c r="G3025" s="3">
        <v>1</v>
      </c>
      <c r="H3025" s="3"/>
    </row>
    <row r="3026" spans="1:8" hidden="1">
      <c r="A3026" s="3">
        <v>367224</v>
      </c>
      <c r="B3026" s="7" t="s">
        <v>225</v>
      </c>
      <c r="C3026" s="42">
        <v>326.68</v>
      </c>
      <c r="D3026" s="6">
        <v>45637</v>
      </c>
      <c r="E3026" s="3" t="str">
        <f ca="1">IF(Tabela2[[#This Row],[Dt Venc:]]&gt;TODAY(),"Em Aberto",IF(Tabela2[[#This Row],[D/venc]]="-","Enviado",IF(Tabela2[[#This Row],[Dt Venc:]]=TODAY(),"Vence Hoje","Vencida")))</f>
        <v>Enviado</v>
      </c>
      <c r="F3026" s="3" t="str">
        <f ca="1">IF(G3026=1,"-",Tabela2[[#This Row],[Dt Venc:]]-TODAY())</f>
        <v>-</v>
      </c>
      <c r="G3026" s="3">
        <v>1</v>
      </c>
      <c r="H3026" s="3"/>
    </row>
    <row r="3027" spans="1:8" hidden="1">
      <c r="A3027" s="3">
        <v>217437</v>
      </c>
      <c r="B3027" s="7" t="s">
        <v>127</v>
      </c>
      <c r="C3027" s="42">
        <v>1195.43</v>
      </c>
      <c r="D3027" s="6">
        <v>45637</v>
      </c>
      <c r="E3027" s="3" t="str">
        <f ca="1">IF(Tabela2[[#This Row],[Dt Venc:]]&gt;TODAY(),"Em Aberto",IF(Tabela2[[#This Row],[D/venc]]="-","Enviado",IF(Tabela2[[#This Row],[Dt Venc:]]=TODAY(),"Vence Hoje","Vencida")))</f>
        <v>Enviado</v>
      </c>
      <c r="F3027" s="3" t="str">
        <f ca="1">IF(G3027=1,"-",Tabela2[[#This Row],[Dt Venc:]]-TODAY())</f>
        <v>-</v>
      </c>
      <c r="G3027" s="3">
        <v>1</v>
      </c>
      <c r="H3027" s="3"/>
    </row>
    <row r="3028" spans="1:8" hidden="1">
      <c r="A3028" s="3">
        <v>2294</v>
      </c>
      <c r="B3028" s="7" t="s">
        <v>100</v>
      </c>
      <c r="C3028" s="41">
        <v>450</v>
      </c>
      <c r="D3028" s="6">
        <v>45637</v>
      </c>
      <c r="E3028" s="3" t="str">
        <f ca="1">IF(Tabela2[[#This Row],[Dt Venc:]]&gt;TODAY(),"Em Aberto",IF(Tabela2[[#This Row],[D/venc]]="-","Enviado",IF(Tabela2[[#This Row],[Dt Venc:]]=TODAY(),"Vence Hoje","Vencida")))</f>
        <v>Enviado</v>
      </c>
      <c r="F3028" s="3" t="str">
        <f ca="1">IF(G3028=1,"-",Tabela2[[#This Row],[Dt Venc:]]-TODAY())</f>
        <v>-</v>
      </c>
      <c r="G3028" s="3">
        <v>1</v>
      </c>
      <c r="H3028" s="3"/>
    </row>
    <row r="3029" spans="1:8" hidden="1">
      <c r="A3029" s="3">
        <v>94</v>
      </c>
      <c r="B3029" s="7" t="s">
        <v>451</v>
      </c>
      <c r="C3029" s="41">
        <v>580</v>
      </c>
      <c r="D3029" s="6">
        <v>45637</v>
      </c>
      <c r="E3029" s="3" t="str">
        <f ca="1">IF(Tabela2[[#This Row],[Dt Venc:]]&gt;TODAY(),"Em Aberto",IF(Tabela2[[#This Row],[D/venc]]="-","Enviado",IF(Tabela2[[#This Row],[Dt Venc:]]=TODAY(),"Vence Hoje","Vencida")))</f>
        <v>Enviado</v>
      </c>
      <c r="F3029" s="3" t="str">
        <f ca="1">IF(G3029=1,"-",Tabela2[[#This Row],[Dt Venc:]]-TODAY())</f>
        <v>-</v>
      </c>
      <c r="G3029" s="3">
        <v>1</v>
      </c>
      <c r="H3029" s="3"/>
    </row>
    <row r="3030" spans="1:8" hidden="1">
      <c r="A3030" s="3">
        <v>30645</v>
      </c>
      <c r="B3030" s="7" t="s">
        <v>226</v>
      </c>
      <c r="C3030" s="41">
        <v>2274</v>
      </c>
      <c r="D3030" s="6">
        <v>45637</v>
      </c>
      <c r="E3030" s="3" t="str">
        <f ca="1">IF(Tabela2[[#This Row],[Dt Venc:]]&gt;TODAY(),"Em Aberto",IF(Tabela2[[#This Row],[D/venc]]="-","Enviado",IF(Tabela2[[#This Row],[Dt Venc:]]=TODAY(),"Vence Hoje","Vencida")))</f>
        <v>Enviado</v>
      </c>
      <c r="F3030" s="3" t="str">
        <f ca="1">IF(G3030=1,"-",Tabela2[[#This Row],[Dt Venc:]]-TODAY())</f>
        <v>-</v>
      </c>
      <c r="G3030" s="3">
        <v>1</v>
      </c>
      <c r="H3030" s="3"/>
    </row>
    <row r="3031" spans="1:8" hidden="1">
      <c r="A3031" s="3">
        <v>31393</v>
      </c>
      <c r="B3031" s="7" t="s">
        <v>524</v>
      </c>
      <c r="C3031" s="41">
        <v>2296</v>
      </c>
      <c r="D3031" s="6">
        <v>45637</v>
      </c>
      <c r="E3031" s="3" t="str">
        <f ca="1">IF(Tabela2[[#This Row],[Dt Venc:]]&gt;TODAY(),"Em Aberto",IF(Tabela2[[#This Row],[D/venc]]="-","Enviado",IF(Tabela2[[#This Row],[Dt Venc:]]=TODAY(),"Vence Hoje","Vencida")))</f>
        <v>Enviado</v>
      </c>
      <c r="F3031" s="3" t="str">
        <f ca="1">IF(G3031=1,"-",Tabela2[[#This Row],[Dt Venc:]]-TODAY())</f>
        <v>-</v>
      </c>
      <c r="G3031" s="3">
        <v>1</v>
      </c>
      <c r="H3031" s="3"/>
    </row>
    <row r="3032" spans="1:8" hidden="1">
      <c r="A3032" s="3">
        <v>2103</v>
      </c>
      <c r="B3032" s="7" t="s">
        <v>525</v>
      </c>
      <c r="C3032" s="41">
        <v>420</v>
      </c>
      <c r="D3032" s="6">
        <v>45637</v>
      </c>
      <c r="E3032" s="3" t="str">
        <f ca="1">IF(Tabela2[[#This Row],[Dt Venc:]]&gt;TODAY(),"Em Aberto",IF(Tabela2[[#This Row],[D/venc]]="-","Enviado",IF(Tabela2[[#This Row],[Dt Venc:]]=TODAY(),"Vence Hoje","Vencida")))</f>
        <v>Enviado</v>
      </c>
      <c r="F3032" s="3" t="str">
        <f ca="1">IF(G3032=1,"-",Tabela2[[#This Row],[Dt Venc:]]-TODAY())</f>
        <v>-</v>
      </c>
      <c r="G3032" s="3">
        <v>1</v>
      </c>
      <c r="H3032" s="3"/>
    </row>
    <row r="3033" spans="1:8" hidden="1">
      <c r="A3033" s="3">
        <v>73103</v>
      </c>
      <c r="B3033" s="7" t="s">
        <v>76</v>
      </c>
      <c r="C3033" s="41">
        <v>1535.47</v>
      </c>
      <c r="D3033" s="6">
        <v>45637</v>
      </c>
      <c r="E3033" s="3" t="str">
        <f ca="1">IF(Tabela2[[#This Row],[Dt Venc:]]&gt;TODAY(),"Em Aberto",IF(Tabela2[[#This Row],[D/venc]]="-","Enviado",IF(Tabela2[[#This Row],[Dt Venc:]]=TODAY(),"Vence Hoje","Vencida")))</f>
        <v>Enviado</v>
      </c>
      <c r="F3033" s="3" t="str">
        <f ca="1">IF(G3033=1,"-",Tabela2[[#This Row],[Dt Venc:]]-TODAY())</f>
        <v>-</v>
      </c>
      <c r="G3033" s="3">
        <v>1</v>
      </c>
      <c r="H3033" s="3"/>
    </row>
    <row r="3034" spans="1:8" hidden="1">
      <c r="A3034" s="3">
        <v>228552</v>
      </c>
      <c r="B3034" s="7" t="s">
        <v>306</v>
      </c>
      <c r="C3034" s="41">
        <v>518</v>
      </c>
      <c r="D3034" s="6">
        <v>45637</v>
      </c>
      <c r="E3034" s="3" t="str">
        <f ca="1">IF(Tabela2[[#This Row],[Dt Venc:]]&gt;TODAY(),"Em Aberto",IF(Tabela2[[#This Row],[D/venc]]="-","Enviado",IF(Tabela2[[#This Row],[Dt Venc:]]=TODAY(),"Vence Hoje","Vencida")))</f>
        <v>Enviado</v>
      </c>
      <c r="F3034" s="3" t="str">
        <f ca="1">IF(G3034=1,"-",Tabela2[[#This Row],[Dt Venc:]]-TODAY())</f>
        <v>-</v>
      </c>
      <c r="G3034" s="3">
        <v>1</v>
      </c>
      <c r="H3034" s="3"/>
    </row>
    <row r="3035" spans="1:8" hidden="1">
      <c r="A3035" s="3">
        <v>240774</v>
      </c>
      <c r="B3035" s="7" t="s">
        <v>43</v>
      </c>
      <c r="C3035" s="41">
        <v>616.5</v>
      </c>
      <c r="D3035" s="6">
        <v>45637</v>
      </c>
      <c r="E3035" s="3" t="str">
        <f ca="1">IF(Tabela2[[#This Row],[Dt Venc:]]&gt;TODAY(),"Em Aberto",IF(Tabela2[[#This Row],[D/venc]]="-","Enviado",IF(Tabela2[[#This Row],[Dt Venc:]]=TODAY(),"Vence Hoje","Vencida")))</f>
        <v>Enviado</v>
      </c>
      <c r="F3035" s="3" t="str">
        <f ca="1">IF(G3035=1,"-",Tabela2[[#This Row],[Dt Venc:]]-TODAY())</f>
        <v>-</v>
      </c>
      <c r="G3035" s="3">
        <v>1</v>
      </c>
      <c r="H3035" s="3"/>
    </row>
    <row r="3036" spans="1:8" hidden="1">
      <c r="A3036" s="3">
        <v>1413763</v>
      </c>
      <c r="B3036" s="7" t="s">
        <v>151</v>
      </c>
      <c r="C3036" s="41">
        <v>644.84</v>
      </c>
      <c r="D3036" s="6">
        <v>45637</v>
      </c>
      <c r="E3036" s="3" t="str">
        <f ca="1">IF(Tabela2[[#This Row],[Dt Venc:]]&gt;TODAY(),"Em Aberto",IF(Tabela2[[#This Row],[D/venc]]="-","Enviado",IF(Tabela2[[#This Row],[Dt Venc:]]=TODAY(),"Vence Hoje","Vencida")))</f>
        <v>Enviado</v>
      </c>
      <c r="F3036" s="3" t="str">
        <f ca="1">IF(G3036=1,"-",Tabela2[[#This Row],[Dt Venc:]]-TODAY())</f>
        <v>-</v>
      </c>
      <c r="G3036" s="3">
        <v>1</v>
      </c>
      <c r="H3036" s="3"/>
    </row>
    <row r="3037" spans="1:8" hidden="1">
      <c r="A3037" s="3">
        <v>148240</v>
      </c>
      <c r="B3037" s="7" t="s">
        <v>79</v>
      </c>
      <c r="C3037" s="42">
        <v>857.64</v>
      </c>
      <c r="D3037" s="6">
        <v>45637</v>
      </c>
      <c r="E3037" s="3" t="str">
        <f ca="1">IF(Tabela2[[#This Row],[Dt Venc:]]&gt;TODAY(),"Em Aberto",IF(Tabela2[[#This Row],[D/venc]]="-","Enviado",IF(Tabela2[[#This Row],[Dt Venc:]]=TODAY(),"Vence Hoje","Vencida")))</f>
        <v>Enviado</v>
      </c>
      <c r="F3037" s="3" t="str">
        <f ca="1">IF(G3037=1,"-",Tabela2[[#This Row],[Dt Venc:]]-TODAY())</f>
        <v>-</v>
      </c>
      <c r="G3037" s="3">
        <v>1</v>
      </c>
      <c r="H3037" s="3"/>
    </row>
    <row r="3038" spans="1:8" hidden="1">
      <c r="A3038" s="3">
        <v>89200</v>
      </c>
      <c r="B3038" s="7" t="s">
        <v>207</v>
      </c>
      <c r="C3038" s="41">
        <v>900</v>
      </c>
      <c r="D3038" s="6">
        <v>45637</v>
      </c>
      <c r="E3038" s="3" t="str">
        <f ca="1">IF(Tabela2[[#This Row],[Dt Venc:]]&gt;TODAY(),"Em Aberto",IF(Tabela2[[#This Row],[D/venc]]="-","Enviado",IF(Tabela2[[#This Row],[Dt Venc:]]=TODAY(),"Vence Hoje","Vencida")))</f>
        <v>Enviado</v>
      </c>
      <c r="F3038" s="3" t="str">
        <f ca="1">IF(G3038=1,"-",Tabela2[[#This Row],[Dt Venc:]]-TODAY())</f>
        <v>-</v>
      </c>
      <c r="G3038" s="3">
        <v>1</v>
      </c>
      <c r="H3038" s="3"/>
    </row>
    <row r="3039" spans="1:8" hidden="1">
      <c r="A3039" s="3">
        <v>14223</v>
      </c>
      <c r="B3039" s="7" t="s">
        <v>526</v>
      </c>
      <c r="C3039" s="41">
        <v>560</v>
      </c>
      <c r="D3039" s="6">
        <v>45637</v>
      </c>
      <c r="E3039" s="3" t="str">
        <f ca="1">IF(Tabela2[[#This Row],[Dt Venc:]]&gt;TODAY(),"Em Aberto",IF(Tabela2[[#This Row],[D/venc]]="-","Enviado",IF(Tabela2[[#This Row],[Dt Venc:]]=TODAY(),"Vence Hoje","Vencida")))</f>
        <v>Enviado</v>
      </c>
      <c r="F3039" s="3" t="str">
        <f ca="1">IF(G3039=1,"-",Tabela2[[#This Row],[Dt Venc:]]-TODAY())</f>
        <v>-</v>
      </c>
      <c r="G3039" s="3">
        <v>1</v>
      </c>
      <c r="H3039" s="3"/>
    </row>
    <row r="3040" spans="1:8" hidden="1">
      <c r="A3040" s="3">
        <v>154344</v>
      </c>
      <c r="B3040" s="7" t="s">
        <v>77</v>
      </c>
      <c r="C3040" s="41">
        <v>450</v>
      </c>
      <c r="D3040" s="6">
        <v>45637</v>
      </c>
      <c r="E3040" s="3" t="str">
        <f ca="1">IF(Tabela2[[#This Row],[Dt Venc:]]&gt;TODAY(),"Em Aberto",IF(Tabela2[[#This Row],[D/venc]]="-","Enviado",IF(Tabela2[[#This Row],[Dt Venc:]]=TODAY(),"Vence Hoje","Vencida")))</f>
        <v>Enviado</v>
      </c>
      <c r="F3040" s="3" t="str">
        <f ca="1">IF(G3040=1,"-",Tabela2[[#This Row],[Dt Venc:]]-TODAY())</f>
        <v>-</v>
      </c>
      <c r="G3040" s="3">
        <v>1</v>
      </c>
      <c r="H3040" s="3"/>
    </row>
    <row r="3041" spans="1:8" hidden="1">
      <c r="A3041" s="3">
        <v>152829</v>
      </c>
      <c r="B3041" s="7" t="s">
        <v>223</v>
      </c>
      <c r="C3041" s="42">
        <v>1823.34</v>
      </c>
      <c r="D3041" s="6">
        <v>45637</v>
      </c>
      <c r="E3041" s="3" t="str">
        <f ca="1">IF(Tabela2[[#This Row],[Dt Venc:]]&gt;TODAY(),"Em Aberto",IF(Tabela2[[#This Row],[D/venc]]="-","Enviado",IF(Tabela2[[#This Row],[Dt Venc:]]=TODAY(),"Vence Hoje","Vencida")))</f>
        <v>Enviado</v>
      </c>
      <c r="F3041" s="3" t="str">
        <f ca="1">IF(G3041=1,"-",Tabela2[[#This Row],[Dt Venc:]]-TODAY())</f>
        <v>-</v>
      </c>
      <c r="G3041" s="3">
        <v>1</v>
      </c>
      <c r="H3041" s="3"/>
    </row>
    <row r="3042" spans="1:8" hidden="1">
      <c r="A3042" s="3">
        <v>45371</v>
      </c>
      <c r="B3042" s="7" t="s">
        <v>527</v>
      </c>
      <c r="C3042" s="41">
        <v>342.31</v>
      </c>
      <c r="D3042" s="6">
        <v>45637</v>
      </c>
      <c r="E3042" s="3" t="str">
        <f ca="1">IF(Tabela2[[#This Row],[Dt Venc:]]&gt;TODAY(),"Em Aberto",IF(Tabela2[[#This Row],[D/venc]]="-","Enviado",IF(Tabela2[[#This Row],[Dt Venc:]]=TODAY(),"Vence Hoje","Vencida")))</f>
        <v>Enviado</v>
      </c>
      <c r="F3042" s="3" t="str">
        <f ca="1">IF(G3042=1,"-",Tabela2[[#This Row],[Dt Venc:]]-TODAY())</f>
        <v>-</v>
      </c>
      <c r="G3042" s="3">
        <v>1</v>
      </c>
      <c r="H3042" s="3"/>
    </row>
    <row r="3043" spans="1:8" hidden="1">
      <c r="A3043" s="3">
        <v>21762</v>
      </c>
      <c r="B3043" s="7" t="s">
        <v>528</v>
      </c>
      <c r="C3043" s="41">
        <v>786.5</v>
      </c>
      <c r="D3043" s="6">
        <v>45637</v>
      </c>
      <c r="E3043" s="3" t="str">
        <f ca="1">IF(Tabela2[[#This Row],[Dt Venc:]]&gt;TODAY(),"Em Aberto",IF(Tabela2[[#This Row],[D/venc]]="-","Enviado",IF(Tabela2[[#This Row],[Dt Venc:]]=TODAY(),"Vence Hoje","Vencida")))</f>
        <v>Enviado</v>
      </c>
      <c r="F3043" s="3" t="str">
        <f ca="1">IF(G3043=1,"-",Tabela2[[#This Row],[Dt Venc:]]-TODAY())</f>
        <v>-</v>
      </c>
      <c r="G3043" s="3">
        <v>1</v>
      </c>
      <c r="H3043" s="3"/>
    </row>
    <row r="3044" spans="1:8" hidden="1">
      <c r="A3044" s="3">
        <v>9402</v>
      </c>
      <c r="B3044" s="7" t="s">
        <v>378</v>
      </c>
      <c r="C3044" s="41">
        <v>2250</v>
      </c>
      <c r="D3044" s="6">
        <v>45637</v>
      </c>
      <c r="E3044" s="3" t="str">
        <f ca="1">IF(Tabela2[[#This Row],[Dt Venc:]]&gt;TODAY(),"Em Aberto",IF(Tabela2[[#This Row],[D/venc]]="-","Enviado",IF(Tabela2[[#This Row],[Dt Venc:]]=TODAY(),"Vence Hoje","Vencida")))</f>
        <v>Enviado</v>
      </c>
      <c r="F3044" s="3" t="str">
        <f ca="1">IF(G3044=1,"-",Tabela2[[#This Row],[Dt Venc:]]-TODAY())</f>
        <v>-</v>
      </c>
      <c r="G3044" s="3">
        <v>1</v>
      </c>
      <c r="H3044" s="3"/>
    </row>
    <row r="3045" spans="1:8" hidden="1">
      <c r="A3045" s="3">
        <v>43626</v>
      </c>
      <c r="B3045" s="7" t="s">
        <v>529</v>
      </c>
      <c r="C3045" s="41">
        <v>1424.33</v>
      </c>
      <c r="D3045" s="6">
        <v>45637</v>
      </c>
      <c r="E3045" s="3" t="str">
        <f ca="1">IF(Tabela2[[#This Row],[Dt Venc:]]&gt;TODAY(),"Em Aberto",IF(Tabela2[[#This Row],[D/venc]]="-","Enviado",IF(Tabela2[[#This Row],[Dt Venc:]]=TODAY(),"Vence Hoje","Vencida")))</f>
        <v>Enviado</v>
      </c>
      <c r="F3045" s="3" t="str">
        <f ca="1">IF(G3045=1,"-",Tabela2[[#This Row],[Dt Venc:]]-TODAY())</f>
        <v>-</v>
      </c>
      <c r="G3045" s="3">
        <v>1</v>
      </c>
      <c r="H3045" s="3"/>
    </row>
    <row r="3046" spans="1:8" hidden="1">
      <c r="A3046" s="3">
        <v>175844</v>
      </c>
      <c r="B3046" s="7" t="s">
        <v>434</v>
      </c>
      <c r="C3046" s="41">
        <v>526.66</v>
      </c>
      <c r="D3046" s="6">
        <v>45637</v>
      </c>
      <c r="E3046" s="3" t="str">
        <f ca="1">IF(Tabela2[[#This Row],[Dt Venc:]]&gt;TODAY(),"Em Aberto",IF(Tabela2[[#This Row],[D/venc]]="-","Enviado",IF(Tabela2[[#This Row],[Dt Venc:]]=TODAY(),"Vence Hoje","Vencida")))</f>
        <v>Enviado</v>
      </c>
      <c r="F3046" s="3" t="str">
        <f ca="1">IF(G3046=1,"-",Tabela2[[#This Row],[Dt Venc:]]-TODAY())</f>
        <v>-</v>
      </c>
      <c r="G3046" s="3">
        <v>1</v>
      </c>
      <c r="H3046" s="3"/>
    </row>
    <row r="3047" spans="1:8" hidden="1">
      <c r="A3047" s="3">
        <v>340</v>
      </c>
      <c r="B3047" s="7" t="s">
        <v>530</v>
      </c>
      <c r="C3047" s="41">
        <v>1876.67</v>
      </c>
      <c r="D3047" s="6">
        <v>45637</v>
      </c>
      <c r="E3047" s="3" t="str">
        <f ca="1">IF(Tabela2[[#This Row],[Dt Venc:]]&gt;TODAY(),"Em Aberto",IF(Tabela2[[#This Row],[D/venc]]="-","Enviado",IF(Tabela2[[#This Row],[Dt Venc:]]=TODAY(),"Vence Hoje","Vencida")))</f>
        <v>Enviado</v>
      </c>
      <c r="F3047" s="3" t="str">
        <f ca="1">IF(G3047=1,"-",Tabela2[[#This Row],[Dt Venc:]]-TODAY())</f>
        <v>-</v>
      </c>
      <c r="G3047" s="3">
        <v>1</v>
      </c>
      <c r="H3047" s="3"/>
    </row>
    <row r="3048" spans="1:8" hidden="1">
      <c r="A3048" s="3">
        <v>69423</v>
      </c>
      <c r="B3048" s="7" t="s">
        <v>275</v>
      </c>
      <c r="C3048" s="42">
        <v>608.66</v>
      </c>
      <c r="D3048" s="6">
        <v>45637</v>
      </c>
      <c r="E3048" s="3" t="str">
        <f ca="1">IF(Tabela2[[#This Row],[Dt Venc:]]&gt;TODAY(),"Em Aberto",IF(Tabela2[[#This Row],[D/venc]]="-","Enviado",IF(Tabela2[[#This Row],[Dt Venc:]]=TODAY(),"Vence Hoje","Vencida")))</f>
        <v>Enviado</v>
      </c>
      <c r="F3048" s="3" t="str">
        <f ca="1">IF(G3048=1,"-",Tabela2[[#This Row],[Dt Venc:]]-TODAY())</f>
        <v>-</v>
      </c>
      <c r="G3048" s="3">
        <v>1</v>
      </c>
      <c r="H3048" s="3"/>
    </row>
    <row r="3049" spans="1:8" hidden="1">
      <c r="A3049" s="3">
        <v>444843</v>
      </c>
      <c r="B3049" s="7" t="s">
        <v>59</v>
      </c>
      <c r="C3049" s="41">
        <v>27985.5</v>
      </c>
      <c r="D3049" s="6">
        <v>45637</v>
      </c>
      <c r="E3049" s="3" t="str">
        <f ca="1">IF(Tabela2[[#This Row],[Dt Venc:]]&gt;TODAY(),"Em Aberto",IF(Tabela2[[#This Row],[D/venc]]="-","Enviado",IF(Tabela2[[#This Row],[Dt Venc:]]=TODAY(),"Vence Hoje","Vencida")))</f>
        <v>Enviado</v>
      </c>
      <c r="F3049" s="3" t="str">
        <f ca="1">IF(G3049=1,"-",Tabela2[[#This Row],[Dt Venc:]]-TODAY())</f>
        <v>-</v>
      </c>
      <c r="G3049" s="3">
        <v>1</v>
      </c>
      <c r="H3049" s="3"/>
    </row>
    <row r="3050" spans="1:8" hidden="1">
      <c r="A3050" s="3">
        <v>4005345</v>
      </c>
      <c r="B3050" s="7" t="s">
        <v>380</v>
      </c>
      <c r="C3050" s="41">
        <v>522.48</v>
      </c>
      <c r="D3050" s="6">
        <v>45637</v>
      </c>
      <c r="E3050" s="3" t="str">
        <f ca="1">IF(Tabela2[[#This Row],[Dt Venc:]]&gt;TODAY(),"Em Aberto",IF(Tabela2[[#This Row],[D/venc]]="-","Enviado",IF(Tabela2[[#This Row],[Dt Venc:]]=TODAY(),"Vence Hoje","Vencida")))</f>
        <v>Enviado</v>
      </c>
      <c r="F3050" s="3" t="str">
        <f ca="1">IF(G3050=1,"-",Tabela2[[#This Row],[Dt Venc:]]-TODAY())</f>
        <v>-</v>
      </c>
      <c r="G3050" s="3">
        <v>1</v>
      </c>
      <c r="H3050" s="3"/>
    </row>
    <row r="3051" spans="1:8" hidden="1">
      <c r="A3051" s="3">
        <v>142077</v>
      </c>
      <c r="B3051" s="7" t="s">
        <v>484</v>
      </c>
      <c r="C3051" s="41">
        <v>390</v>
      </c>
      <c r="D3051" s="6">
        <v>45637</v>
      </c>
      <c r="E3051" s="3" t="str">
        <f ca="1">IF(Tabela2[[#This Row],[Dt Venc:]]&gt;TODAY(),"Em Aberto",IF(Tabela2[[#This Row],[D/venc]]="-","Enviado",IF(Tabela2[[#This Row],[Dt Venc:]]=TODAY(),"Vence Hoje","Vencida")))</f>
        <v>Enviado</v>
      </c>
      <c r="F3051" s="3" t="str">
        <f ca="1">IF(G3051=1,"-",Tabela2[[#This Row],[Dt Venc:]]-TODAY())</f>
        <v>-</v>
      </c>
      <c r="G3051" s="3">
        <v>1</v>
      </c>
      <c r="H3051" s="3"/>
    </row>
    <row r="3052" spans="1:8" hidden="1">
      <c r="A3052" s="3">
        <v>142085</v>
      </c>
      <c r="B3052" s="7" t="s">
        <v>484</v>
      </c>
      <c r="C3052" s="41">
        <v>390</v>
      </c>
      <c r="D3052" s="6">
        <v>45637</v>
      </c>
      <c r="E3052" s="3" t="str">
        <f ca="1">IF(Tabela2[[#This Row],[Dt Venc:]]&gt;TODAY(),"Em Aberto",IF(Tabela2[[#This Row],[D/venc]]="-","Enviado",IF(Tabela2[[#This Row],[Dt Venc:]]=TODAY(),"Vence Hoje","Vencida")))</f>
        <v>Enviado</v>
      </c>
      <c r="F3052" s="3" t="str">
        <f ca="1">IF(G3052=1,"-",Tabela2[[#This Row],[Dt Venc:]]-TODAY())</f>
        <v>-</v>
      </c>
      <c r="G3052" s="3">
        <v>1</v>
      </c>
      <c r="H3052" s="3"/>
    </row>
    <row r="3053" spans="1:8" hidden="1">
      <c r="A3053" s="3" t="s">
        <v>110</v>
      </c>
      <c r="B3053" s="7" t="s">
        <v>205</v>
      </c>
      <c r="C3053" s="42" t="s">
        <v>32</v>
      </c>
      <c r="D3053" s="6">
        <v>45637</v>
      </c>
      <c r="E3053" s="3" t="str">
        <f ca="1">IF(Tabela2[[#This Row],[Dt Venc:]]&gt;TODAY(),"Em Aberto",IF(Tabela2[[#This Row],[D/venc]]="-","Enviado",IF(Tabela2[[#This Row],[Dt Venc:]]=TODAY(),"Vence Hoje","Vencida")))</f>
        <v>Enviado</v>
      </c>
      <c r="F3053" s="3" t="str">
        <f ca="1">IF(G3053=1,"-",Tabela2[[#This Row],[Dt Venc:]]-TODAY())</f>
        <v>-</v>
      </c>
      <c r="G3053" s="3">
        <v>1</v>
      </c>
      <c r="H3053" s="3"/>
    </row>
    <row r="3054" spans="1:8" hidden="1">
      <c r="A3054" s="3">
        <v>1748</v>
      </c>
      <c r="B3054" s="7" t="s">
        <v>135</v>
      </c>
      <c r="C3054" s="41">
        <v>192.8</v>
      </c>
      <c r="D3054" s="6">
        <v>45638</v>
      </c>
      <c r="E3054" s="3" t="str">
        <f ca="1">IF(Tabela2[[#This Row],[Dt Venc:]]&gt;TODAY(),"Em Aberto",IF(Tabela2[[#This Row],[D/venc]]="-","Enviado",IF(Tabela2[[#This Row],[Dt Venc:]]=TODAY(),"Vence Hoje","Vencida")))</f>
        <v>Enviado</v>
      </c>
      <c r="F3054" s="3" t="str">
        <f ca="1">IF(G3054=1,"-",Tabela2[[#This Row],[Dt Venc:]]-TODAY())</f>
        <v>-</v>
      </c>
      <c r="G3054" s="3">
        <v>1</v>
      </c>
      <c r="H3054" s="3"/>
    </row>
    <row r="3055" spans="1:8" hidden="1">
      <c r="A3055" s="3">
        <v>4534531</v>
      </c>
      <c r="B3055" s="7" t="s">
        <v>90</v>
      </c>
      <c r="C3055" s="41">
        <v>1356.36</v>
      </c>
      <c r="D3055" s="6">
        <v>45638</v>
      </c>
      <c r="E3055" s="3" t="str">
        <f ca="1">IF(Tabela2[[#This Row],[Dt Venc:]]&gt;TODAY(),"Em Aberto",IF(Tabela2[[#This Row],[D/venc]]="-","Enviado",IF(Tabela2[[#This Row],[Dt Venc:]]=TODAY(),"Vence Hoje","Vencida")))</f>
        <v>Enviado</v>
      </c>
      <c r="F3055" s="3" t="str">
        <f ca="1">IF(G3055=1,"-",Tabela2[[#This Row],[Dt Venc:]]-TODAY())</f>
        <v>-</v>
      </c>
      <c r="G3055" s="3">
        <v>1</v>
      </c>
      <c r="H3055" s="3"/>
    </row>
    <row r="3056" spans="1:8" hidden="1">
      <c r="A3056" s="3">
        <v>4586130</v>
      </c>
      <c r="B3056" s="7" t="s">
        <v>90</v>
      </c>
      <c r="C3056" s="41">
        <v>631.33000000000004</v>
      </c>
      <c r="D3056" s="6">
        <v>45638</v>
      </c>
      <c r="E3056" s="3" t="str">
        <f ca="1">IF(Tabela2[[#This Row],[Dt Venc:]]&gt;TODAY(),"Em Aberto",IF(Tabela2[[#This Row],[D/venc]]="-","Enviado",IF(Tabela2[[#This Row],[Dt Venc:]]=TODAY(),"Vence Hoje","Vencida")))</f>
        <v>Enviado</v>
      </c>
      <c r="F3056" s="3" t="str">
        <f ca="1">IF(G3056=1,"-",Tabela2[[#This Row],[Dt Venc:]]-TODAY())</f>
        <v>-</v>
      </c>
      <c r="G3056" s="3">
        <v>1</v>
      </c>
      <c r="H3056" s="3"/>
    </row>
    <row r="3057" spans="1:8" hidden="1">
      <c r="A3057" s="3">
        <v>446407</v>
      </c>
      <c r="B3057" s="7" t="s">
        <v>90</v>
      </c>
      <c r="C3057" s="41">
        <v>219.72</v>
      </c>
      <c r="D3057" s="6">
        <v>45638</v>
      </c>
      <c r="E3057" s="3" t="str">
        <f ca="1">IF(Tabela2[[#This Row],[Dt Venc:]]&gt;TODAY(),"Em Aberto",IF(Tabela2[[#This Row],[D/venc]]="-","Enviado",IF(Tabela2[[#This Row],[Dt Venc:]]=TODAY(),"Vence Hoje","Vencida")))</f>
        <v>Enviado</v>
      </c>
      <c r="F3057" s="3" t="str">
        <f ca="1">IF(G3057=1,"-",Tabela2[[#This Row],[Dt Venc:]]-TODAY())</f>
        <v>-</v>
      </c>
      <c r="G3057" s="3">
        <v>1</v>
      </c>
      <c r="H3057" s="3"/>
    </row>
    <row r="3058" spans="1:8" hidden="1">
      <c r="A3058" s="3">
        <v>9875</v>
      </c>
      <c r="B3058" s="7" t="s">
        <v>531</v>
      </c>
      <c r="C3058" s="41">
        <v>262.5</v>
      </c>
      <c r="D3058" s="6">
        <v>45638</v>
      </c>
      <c r="E3058" s="3" t="str">
        <f ca="1">IF(Tabela2[[#This Row],[Dt Venc:]]&gt;TODAY(),"Em Aberto",IF(Tabela2[[#This Row],[D/venc]]="-","Enviado",IF(Tabela2[[#This Row],[Dt Venc:]]=TODAY(),"Vence Hoje","Vencida")))</f>
        <v>Enviado</v>
      </c>
      <c r="F3058" s="3" t="str">
        <f ca="1">IF(G3058=1,"-",Tabela2[[#This Row],[Dt Venc:]]-TODAY())</f>
        <v>-</v>
      </c>
      <c r="G3058" s="3">
        <v>1</v>
      </c>
      <c r="H3058" s="3"/>
    </row>
    <row r="3059" spans="1:8" hidden="1">
      <c r="A3059" s="3">
        <v>257711</v>
      </c>
      <c r="B3059" s="7" t="s">
        <v>49</v>
      </c>
      <c r="C3059" s="41">
        <v>1030</v>
      </c>
      <c r="D3059" s="6">
        <v>45638</v>
      </c>
      <c r="E3059" s="3" t="str">
        <f ca="1">IF(Tabela2[[#This Row],[Dt Venc:]]&gt;TODAY(),"Em Aberto",IF(Tabela2[[#This Row],[D/venc]]="-","Enviado",IF(Tabela2[[#This Row],[Dt Venc:]]=TODAY(),"Vence Hoje","Vencida")))</f>
        <v>Enviado</v>
      </c>
      <c r="F3059" s="3" t="str">
        <f ca="1">IF(G3059=1,"-",Tabela2[[#This Row],[Dt Venc:]]-TODAY())</f>
        <v>-</v>
      </c>
      <c r="G3059" s="3">
        <v>1</v>
      </c>
      <c r="H3059" s="3"/>
    </row>
    <row r="3060" spans="1:8" hidden="1">
      <c r="A3060" s="3">
        <v>2841</v>
      </c>
      <c r="B3060" s="7" t="s">
        <v>473</v>
      </c>
      <c r="C3060" s="41">
        <v>2080.8000000000002</v>
      </c>
      <c r="D3060" s="6">
        <v>45638</v>
      </c>
      <c r="E3060" s="3" t="str">
        <f ca="1">IF(Tabela2[[#This Row],[Dt Venc:]]&gt;TODAY(),"Em Aberto",IF(Tabela2[[#This Row],[D/venc]]="-","Enviado",IF(Tabela2[[#This Row],[Dt Venc:]]=TODAY(),"Vence Hoje","Vencida")))</f>
        <v>Enviado</v>
      </c>
      <c r="F3060" s="3" t="str">
        <f ca="1">IF(G3060=1,"-",Tabela2[[#This Row],[Dt Venc:]]-TODAY())</f>
        <v>-</v>
      </c>
      <c r="G3060" s="3">
        <v>1</v>
      </c>
      <c r="H3060" s="3"/>
    </row>
    <row r="3061" spans="1:8" hidden="1">
      <c r="A3061" s="3">
        <v>218528</v>
      </c>
      <c r="B3061" s="7" t="s">
        <v>39</v>
      </c>
      <c r="C3061" s="42">
        <v>21465</v>
      </c>
      <c r="D3061" s="6">
        <v>45638</v>
      </c>
      <c r="E3061" s="3" t="str">
        <f ca="1">IF(Tabela2[[#This Row],[Dt Venc:]]&gt;TODAY(),"Em Aberto",IF(Tabela2[[#This Row],[D/venc]]="-","Enviado",IF(Tabela2[[#This Row],[Dt Venc:]]=TODAY(),"Vence Hoje","Vencida")))</f>
        <v>Enviado</v>
      </c>
      <c r="F3061" s="3" t="str">
        <f ca="1">IF(G3061=1,"-",Tabela2[[#This Row],[Dt Venc:]]-TODAY())</f>
        <v>-</v>
      </c>
      <c r="G3061" s="3">
        <v>1</v>
      </c>
      <c r="H3061" s="3"/>
    </row>
    <row r="3062" spans="1:8" hidden="1">
      <c r="A3062" s="3">
        <v>225018</v>
      </c>
      <c r="B3062" s="7" t="s">
        <v>127</v>
      </c>
      <c r="C3062" s="41">
        <v>427.44</v>
      </c>
      <c r="D3062" s="6">
        <v>45638</v>
      </c>
      <c r="E3062" s="3" t="str">
        <f ca="1">IF(Tabela2[[#This Row],[Dt Venc:]]&gt;TODAY(),"Em Aberto",IF(Tabela2[[#This Row],[D/venc]]="-","Enviado",IF(Tabela2[[#This Row],[Dt Venc:]]=TODAY(),"Vence Hoje","Vencida")))</f>
        <v>Enviado</v>
      </c>
      <c r="F3062" s="3" t="str">
        <f ca="1">IF(G3062=1,"-",Tabela2[[#This Row],[Dt Venc:]]-TODAY())</f>
        <v>-</v>
      </c>
      <c r="G3062" s="3">
        <v>1</v>
      </c>
      <c r="H3062" s="3"/>
    </row>
    <row r="3063" spans="1:8" hidden="1">
      <c r="A3063" s="3">
        <v>5292</v>
      </c>
      <c r="B3063" s="7" t="s">
        <v>515</v>
      </c>
      <c r="C3063" s="41">
        <v>743.75</v>
      </c>
      <c r="D3063" s="6">
        <v>45638</v>
      </c>
      <c r="E3063" s="3" t="str">
        <f ca="1">IF(Tabela2[[#This Row],[Dt Venc:]]&gt;TODAY(),"Em Aberto",IF(Tabela2[[#This Row],[D/venc]]="-","Enviado",IF(Tabela2[[#This Row],[Dt Venc:]]=TODAY(),"Vence Hoje","Vencida")))</f>
        <v>Enviado</v>
      </c>
      <c r="F3063" s="3" t="str">
        <f ca="1">IF(G3063=1,"-",Tabela2[[#This Row],[Dt Venc:]]-TODAY())</f>
        <v>-</v>
      </c>
      <c r="G3063" s="3">
        <v>1</v>
      </c>
      <c r="H3063" s="3"/>
    </row>
    <row r="3064" spans="1:8" hidden="1">
      <c r="A3064" s="3">
        <v>7</v>
      </c>
      <c r="B3064" s="7" t="s">
        <v>246</v>
      </c>
      <c r="C3064" s="41">
        <v>169431.15</v>
      </c>
      <c r="D3064" s="6">
        <v>45638</v>
      </c>
      <c r="E3064" s="3" t="str">
        <f ca="1">IF(Tabela2[[#This Row],[Dt Venc:]]&gt;TODAY(),"Em Aberto",IF(Tabela2[[#This Row],[D/venc]]="-","Enviado",IF(Tabela2[[#This Row],[Dt Venc:]]=TODAY(),"Vence Hoje","Vencida")))</f>
        <v>Enviado</v>
      </c>
      <c r="F3064" s="3" t="str">
        <f ca="1">IF(G3064=1,"-",Tabela2[[#This Row],[Dt Venc:]]-TODAY())</f>
        <v>-</v>
      </c>
      <c r="G3064" s="3">
        <v>1</v>
      </c>
      <c r="H3064" s="3"/>
    </row>
    <row r="3065" spans="1:8" hidden="1">
      <c r="A3065" s="3">
        <v>415787</v>
      </c>
      <c r="B3065" s="7" t="s">
        <v>532</v>
      </c>
      <c r="C3065" s="41">
        <v>3704.91</v>
      </c>
      <c r="D3065" s="6">
        <v>45638</v>
      </c>
      <c r="E3065" s="3" t="str">
        <f ca="1">IF(Tabela2[[#This Row],[Dt Venc:]]&gt;TODAY(),"Em Aberto",IF(Tabela2[[#This Row],[D/venc]]="-","Enviado",IF(Tabela2[[#This Row],[Dt Venc:]]=TODAY(),"Vence Hoje","Vencida")))</f>
        <v>Enviado</v>
      </c>
      <c r="F3065" s="3" t="str">
        <f ca="1">IF(G3065=1,"-",Tabela2[[#This Row],[Dt Venc:]]-TODAY())</f>
        <v>-</v>
      </c>
      <c r="G3065" s="3">
        <v>1</v>
      </c>
      <c r="H3065" s="3"/>
    </row>
    <row r="3066" spans="1:8" hidden="1">
      <c r="A3066" s="3">
        <v>1389</v>
      </c>
      <c r="B3066" s="7" t="s">
        <v>452</v>
      </c>
      <c r="C3066" s="41">
        <v>961.2</v>
      </c>
      <c r="D3066" s="6">
        <v>45638</v>
      </c>
      <c r="E3066" s="3" t="str">
        <f ca="1">IF(Tabela2[[#This Row],[Dt Venc:]]&gt;TODAY(),"Em Aberto",IF(Tabela2[[#This Row],[D/venc]]="-","Enviado",IF(Tabela2[[#This Row],[Dt Venc:]]=TODAY(),"Vence Hoje","Vencida")))</f>
        <v>Enviado</v>
      </c>
      <c r="F3066" s="3" t="str">
        <f ca="1">IF(G3066=1,"-",Tabela2[[#This Row],[Dt Venc:]]-TODAY())</f>
        <v>-</v>
      </c>
      <c r="G3066" s="3">
        <v>1</v>
      </c>
      <c r="H3066" s="3"/>
    </row>
    <row r="3067" spans="1:8" hidden="1">
      <c r="A3067" s="3">
        <v>608413</v>
      </c>
      <c r="B3067" s="7" t="s">
        <v>287</v>
      </c>
      <c r="C3067" s="42">
        <v>1968.65</v>
      </c>
      <c r="D3067" s="6">
        <v>45638</v>
      </c>
      <c r="E3067" s="3" t="str">
        <f ca="1">IF(Tabela2[[#This Row],[Dt Venc:]]&gt;TODAY(),"Em Aberto",IF(Tabela2[[#This Row],[D/venc]]="-","Enviado",IF(Tabela2[[#This Row],[Dt Venc:]]=TODAY(),"Vence Hoje","Vencida")))</f>
        <v>Enviado</v>
      </c>
      <c r="F3067" s="3" t="str">
        <f ca="1">IF(G3067=1,"-",Tabela2[[#This Row],[Dt Venc:]]-TODAY())</f>
        <v>-</v>
      </c>
      <c r="G3067" s="3">
        <v>1</v>
      </c>
      <c r="H3067" s="3"/>
    </row>
    <row r="3068" spans="1:8" hidden="1">
      <c r="A3068" s="3">
        <v>608438</v>
      </c>
      <c r="B3068" s="7" t="s">
        <v>287</v>
      </c>
      <c r="C3068" s="42">
        <v>487.63</v>
      </c>
      <c r="D3068" s="6">
        <v>45638</v>
      </c>
      <c r="E3068" s="3" t="str">
        <f ca="1">IF(Tabela2[[#This Row],[Dt Venc:]]&gt;TODAY(),"Em Aberto",IF(Tabela2[[#This Row],[D/venc]]="-","Enviado",IF(Tabela2[[#This Row],[Dt Venc:]]=TODAY(),"Vence Hoje","Vencida")))</f>
        <v>Enviado</v>
      </c>
      <c r="F3068" s="3" t="str">
        <f ca="1">IF(G3068=1,"-",Tabela2[[#This Row],[Dt Venc:]]-TODAY())</f>
        <v>-</v>
      </c>
      <c r="G3068" s="3">
        <v>1</v>
      </c>
      <c r="H3068" s="3"/>
    </row>
    <row r="3069" spans="1:8" hidden="1">
      <c r="A3069" s="3">
        <v>107</v>
      </c>
      <c r="B3069" s="7" t="s">
        <v>83</v>
      </c>
      <c r="C3069" s="42">
        <v>6400</v>
      </c>
      <c r="D3069" s="6">
        <v>45638</v>
      </c>
      <c r="E3069" s="3" t="str">
        <f ca="1">IF(Tabela2[[#This Row],[Dt Venc:]]&gt;TODAY(),"Em Aberto",IF(Tabela2[[#This Row],[D/venc]]="-","Enviado",IF(Tabela2[[#This Row],[Dt Venc:]]=TODAY(),"Vence Hoje","Vencida")))</f>
        <v>Enviado</v>
      </c>
      <c r="F3069" s="3" t="str">
        <f ca="1">IF(G3069=1,"-",Tabela2[[#This Row],[Dt Venc:]]-TODAY())</f>
        <v>-</v>
      </c>
      <c r="G3069" s="3">
        <v>1</v>
      </c>
      <c r="H3069" s="3"/>
    </row>
    <row r="3070" spans="1:8" hidden="1">
      <c r="A3070" s="3">
        <v>446385</v>
      </c>
      <c r="B3070" s="7" t="s">
        <v>512</v>
      </c>
      <c r="C3070" s="41">
        <v>88.35</v>
      </c>
      <c r="D3070" s="6">
        <v>45638</v>
      </c>
      <c r="E3070" s="3" t="str">
        <f ca="1">IF(Tabela2[[#This Row],[Dt Venc:]]&gt;TODAY(),"Em Aberto",IF(Tabela2[[#This Row],[D/venc]]="-","Enviado",IF(Tabela2[[#This Row],[Dt Venc:]]=TODAY(),"Vence Hoje","Vencida")))</f>
        <v>Enviado</v>
      </c>
      <c r="F3070" s="3" t="str">
        <f ca="1">IF(G3070=1,"-",Tabela2[[#This Row],[Dt Venc:]]-TODAY())</f>
        <v>-</v>
      </c>
      <c r="G3070" s="3">
        <v>1</v>
      </c>
      <c r="H3070" s="3"/>
    </row>
    <row r="3071" spans="1:8" hidden="1">
      <c r="A3071" s="3">
        <v>616911</v>
      </c>
      <c r="B3071" s="7" t="s">
        <v>66</v>
      </c>
      <c r="C3071" s="41">
        <v>681.12</v>
      </c>
      <c r="D3071" s="6">
        <v>45638</v>
      </c>
      <c r="E3071" s="3" t="str">
        <f ca="1">IF(Tabela2[[#This Row],[Dt Venc:]]&gt;TODAY(),"Em Aberto",IF(Tabela2[[#This Row],[D/venc]]="-","Enviado",IF(Tabela2[[#This Row],[Dt Venc:]]=TODAY(),"Vence Hoje","Vencida")))</f>
        <v>Enviado</v>
      </c>
      <c r="F3071" s="3" t="str">
        <f ca="1">IF(G3071=1,"-",Tabela2[[#This Row],[Dt Venc:]]-TODAY())</f>
        <v>-</v>
      </c>
      <c r="G3071" s="3">
        <v>1</v>
      </c>
      <c r="H3071" s="3"/>
    </row>
    <row r="3072" spans="1:8" hidden="1">
      <c r="A3072" s="3">
        <v>103</v>
      </c>
      <c r="B3072" s="7" t="s">
        <v>95</v>
      </c>
      <c r="C3072" s="41">
        <v>3775</v>
      </c>
      <c r="D3072" s="6">
        <v>45638</v>
      </c>
      <c r="E3072" s="3" t="str">
        <f ca="1">IF(Tabela2[[#This Row],[Dt Venc:]]&gt;TODAY(),"Em Aberto",IF(Tabela2[[#This Row],[D/venc]]="-","Enviado",IF(Tabela2[[#This Row],[Dt Venc:]]=TODAY(),"Vence Hoje","Vencida")))</f>
        <v>Enviado</v>
      </c>
      <c r="F3072" s="3" t="str">
        <f ca="1">IF(G3072=1,"-",Tabela2[[#This Row],[Dt Venc:]]-TODAY())</f>
        <v>-</v>
      </c>
      <c r="G3072" s="3">
        <v>1</v>
      </c>
      <c r="H3072" s="3"/>
    </row>
    <row r="3073" spans="1:8" hidden="1">
      <c r="A3073" s="3">
        <v>29920</v>
      </c>
      <c r="B3073" s="7" t="s">
        <v>226</v>
      </c>
      <c r="C3073" s="42">
        <v>2925</v>
      </c>
      <c r="D3073" s="6">
        <v>45638</v>
      </c>
      <c r="E3073" s="3" t="str">
        <f ca="1">IF(Tabela2[[#This Row],[Dt Venc:]]&gt;TODAY(),"Em Aberto",IF(Tabela2[[#This Row],[D/venc]]="-","Enviado",IF(Tabela2[[#This Row],[Dt Venc:]]=TODAY(),"Vence Hoje","Vencida")))</f>
        <v>Enviado</v>
      </c>
      <c r="F3073" s="3" t="str">
        <f ca="1">IF(G3073=1,"-",Tabela2[[#This Row],[Dt Venc:]]-TODAY())</f>
        <v>-</v>
      </c>
      <c r="G3073" s="3">
        <v>1</v>
      </c>
      <c r="H3073" s="3"/>
    </row>
    <row r="3074" spans="1:8" hidden="1">
      <c r="A3074" s="3">
        <v>18445</v>
      </c>
      <c r="B3074" s="7" t="s">
        <v>478</v>
      </c>
      <c r="C3074" s="41">
        <v>900</v>
      </c>
      <c r="D3074" s="6">
        <v>45638</v>
      </c>
      <c r="E3074" s="3" t="str">
        <f ca="1">IF(Tabela2[[#This Row],[Dt Venc:]]&gt;TODAY(),"Em Aberto",IF(Tabela2[[#This Row],[D/venc]]="-","Enviado",IF(Tabela2[[#This Row],[Dt Venc:]]=TODAY(),"Vence Hoje","Vencida")))</f>
        <v>Enviado</v>
      </c>
      <c r="F3074" s="3" t="str">
        <f ca="1">IF(G3074=1,"-",Tabela2[[#This Row],[Dt Venc:]]-TODAY())</f>
        <v>-</v>
      </c>
      <c r="G3074" s="3">
        <v>1</v>
      </c>
      <c r="H3074" s="3"/>
    </row>
    <row r="3075" spans="1:8" hidden="1">
      <c r="A3075" s="3">
        <v>73132</v>
      </c>
      <c r="B3075" s="7" t="s">
        <v>76</v>
      </c>
      <c r="C3075" s="41">
        <v>642.73</v>
      </c>
      <c r="D3075" s="6">
        <v>45638</v>
      </c>
      <c r="E3075" s="3" t="str">
        <f ca="1">IF(Tabela2[[#This Row],[Dt Venc:]]&gt;TODAY(),"Em Aberto",IF(Tabela2[[#This Row],[D/venc]]="-","Enviado",IF(Tabela2[[#This Row],[Dt Venc:]]=TODAY(),"Vence Hoje","Vencida")))</f>
        <v>Enviado</v>
      </c>
      <c r="F3075" s="3" t="str">
        <f ca="1">IF(G3075=1,"-",Tabela2[[#This Row],[Dt Venc:]]-TODAY())</f>
        <v>-</v>
      </c>
      <c r="G3075" s="3">
        <v>1</v>
      </c>
      <c r="H3075" s="3"/>
    </row>
    <row r="3076" spans="1:8" hidden="1">
      <c r="A3076" s="3">
        <v>181044</v>
      </c>
      <c r="B3076" s="7" t="s">
        <v>42</v>
      </c>
      <c r="C3076" s="42">
        <v>1781.25</v>
      </c>
      <c r="D3076" s="6">
        <v>45638</v>
      </c>
      <c r="E3076" s="3" t="str">
        <f ca="1">IF(Tabela2[[#This Row],[Dt Venc:]]&gt;TODAY(),"Em Aberto",IF(Tabela2[[#This Row],[D/venc]]="-","Enviado",IF(Tabela2[[#This Row],[Dt Venc:]]=TODAY(),"Vence Hoje","Vencida")))</f>
        <v>Enviado</v>
      </c>
      <c r="F3076" s="3" t="str">
        <f ca="1">IF(G3076=1,"-",Tabela2[[#This Row],[Dt Venc:]]-TODAY())</f>
        <v>-</v>
      </c>
      <c r="G3076" s="3">
        <v>1</v>
      </c>
      <c r="H3076" s="3"/>
    </row>
    <row r="3077" spans="1:8" hidden="1">
      <c r="A3077" s="3">
        <v>4233</v>
      </c>
      <c r="B3077" s="7" t="s">
        <v>328</v>
      </c>
      <c r="C3077" s="41">
        <v>400.05</v>
      </c>
      <c r="D3077" s="6">
        <v>45638</v>
      </c>
      <c r="E3077" s="3" t="str">
        <f ca="1">IF(Tabela2[[#This Row],[Dt Venc:]]&gt;TODAY(),"Em Aberto",IF(Tabela2[[#This Row],[D/venc]]="-","Enviado",IF(Tabela2[[#This Row],[Dt Venc:]]=TODAY(),"Vence Hoje","Vencida")))</f>
        <v>Enviado</v>
      </c>
      <c r="F3077" s="3" t="str">
        <f ca="1">IF(G3077=1,"-",Tabela2[[#This Row],[Dt Venc:]]-TODAY())</f>
        <v>-</v>
      </c>
      <c r="G3077" s="3">
        <v>1</v>
      </c>
      <c r="H3077" s="3"/>
    </row>
    <row r="3078" spans="1:8" hidden="1">
      <c r="A3078" s="3">
        <v>4192</v>
      </c>
      <c r="B3078" s="7" t="s">
        <v>361</v>
      </c>
      <c r="C3078" s="41">
        <v>509.54</v>
      </c>
      <c r="D3078" s="6">
        <v>45638</v>
      </c>
      <c r="E3078" s="3" t="str">
        <f ca="1">IF(Tabela2[[#This Row],[Dt Venc:]]&gt;TODAY(),"Em Aberto",IF(Tabela2[[#This Row],[D/venc]]="-","Enviado",IF(Tabela2[[#This Row],[Dt Venc:]]=TODAY(),"Vence Hoje","Vencida")))</f>
        <v>Enviado</v>
      </c>
      <c r="F3078" s="3" t="str">
        <f ca="1">IF(G3078=1,"-",Tabela2[[#This Row],[Dt Venc:]]-TODAY())</f>
        <v>-</v>
      </c>
      <c r="G3078" s="3">
        <v>1</v>
      </c>
      <c r="H3078" s="3"/>
    </row>
    <row r="3079" spans="1:8" hidden="1">
      <c r="A3079" s="3">
        <v>73056</v>
      </c>
      <c r="B3079" s="7" t="s">
        <v>43</v>
      </c>
      <c r="C3079" s="41">
        <v>1119.78</v>
      </c>
      <c r="D3079" s="6">
        <v>45638</v>
      </c>
      <c r="E3079" s="3" t="str">
        <f ca="1">IF(Tabela2[[#This Row],[Dt Venc:]]&gt;TODAY(),"Em Aberto",IF(Tabela2[[#This Row],[D/venc]]="-","Enviado",IF(Tabela2[[#This Row],[Dt Venc:]]=TODAY(),"Vence Hoje","Vencida")))</f>
        <v>Enviado</v>
      </c>
      <c r="F3079" s="3" t="str">
        <f ca="1">IF(G3079=1,"-",Tabela2[[#This Row],[Dt Venc:]]-TODAY())</f>
        <v>-</v>
      </c>
      <c r="G3079" s="3">
        <v>1</v>
      </c>
      <c r="H3079" s="3"/>
    </row>
    <row r="3080" spans="1:8" hidden="1">
      <c r="A3080" s="3">
        <v>8712</v>
      </c>
      <c r="B3080" s="7" t="s">
        <v>113</v>
      </c>
      <c r="C3080" s="41">
        <v>1226.6600000000001</v>
      </c>
      <c r="D3080" s="6">
        <v>45638</v>
      </c>
      <c r="E3080" s="3" t="str">
        <f ca="1">IF(Tabela2[[#This Row],[Dt Venc:]]&gt;TODAY(),"Em Aberto",IF(Tabela2[[#This Row],[D/venc]]="-","Enviado",IF(Tabela2[[#This Row],[Dt Venc:]]=TODAY(),"Vence Hoje","Vencida")))</f>
        <v>Enviado</v>
      </c>
      <c r="F3080" s="3" t="str">
        <f ca="1">IF(G3080=1,"-",Tabela2[[#This Row],[Dt Venc:]]-TODAY())</f>
        <v>-</v>
      </c>
      <c r="G3080" s="3">
        <v>1</v>
      </c>
      <c r="H3080" s="3"/>
    </row>
    <row r="3081" spans="1:8" hidden="1">
      <c r="A3081" s="3">
        <v>1210</v>
      </c>
      <c r="B3081" s="7" t="s">
        <v>113</v>
      </c>
      <c r="C3081" s="41">
        <v>1226.6600000000001</v>
      </c>
      <c r="D3081" s="6">
        <v>45638</v>
      </c>
      <c r="E3081" s="3" t="str">
        <f ca="1">IF(Tabela2[[#This Row],[Dt Venc:]]&gt;TODAY(),"Em Aberto",IF(Tabela2[[#This Row],[D/venc]]="-","Enviado",IF(Tabela2[[#This Row],[Dt Venc:]]=TODAY(),"Vence Hoje","Vencida")))</f>
        <v>Enviado</v>
      </c>
      <c r="F3081" s="3" t="str">
        <f ca="1">IF(G3081=1,"-",Tabela2[[#This Row],[Dt Venc:]]-TODAY())</f>
        <v>-</v>
      </c>
      <c r="G3081" s="3">
        <v>1</v>
      </c>
      <c r="H3081" s="3"/>
    </row>
    <row r="3082" spans="1:8" hidden="1">
      <c r="A3082" s="3">
        <v>952</v>
      </c>
      <c r="B3082" s="7" t="s">
        <v>232</v>
      </c>
      <c r="C3082" s="42">
        <v>1226.67</v>
      </c>
      <c r="D3082" s="6">
        <v>45638</v>
      </c>
      <c r="E3082" s="3" t="str">
        <f ca="1">IF(Tabela2[[#This Row],[Dt Venc:]]&gt;TODAY(),"Em Aberto",IF(Tabela2[[#This Row],[D/venc]]="-","Enviado",IF(Tabela2[[#This Row],[Dt Venc:]]=TODAY(),"Vence Hoje","Vencida")))</f>
        <v>Enviado</v>
      </c>
      <c r="F3082" s="3" t="str">
        <f ca="1">IF(G3082=1,"-",Tabela2[[#This Row],[Dt Venc:]]-TODAY())</f>
        <v>-</v>
      </c>
      <c r="G3082" s="3">
        <v>1</v>
      </c>
      <c r="H3082" s="3"/>
    </row>
    <row r="3083" spans="1:8" hidden="1">
      <c r="A3083" s="47">
        <v>5817</v>
      </c>
      <c r="B3083" s="46" t="s">
        <v>140</v>
      </c>
      <c r="C3083" s="102">
        <v>691.67</v>
      </c>
      <c r="D3083" s="6">
        <v>45638</v>
      </c>
      <c r="E3083" s="3" t="str">
        <f ca="1">IF(Tabela2[[#This Row],[Dt Venc:]]&gt;TODAY(),"Em Aberto",IF(Tabela2[[#This Row],[D/venc]]="-","Enviado",IF(Tabela2[[#This Row],[Dt Venc:]]=TODAY(),"Vence Hoje","Vencida")))</f>
        <v>Enviado</v>
      </c>
      <c r="F3083" s="3" t="str">
        <f ca="1">IF(G3083=1,"-",Tabela2[[#This Row],[Dt Venc:]]-TODAY())</f>
        <v>-</v>
      </c>
      <c r="G3083" s="3">
        <v>1</v>
      </c>
      <c r="H3083" s="3"/>
    </row>
    <row r="3084" spans="1:8" hidden="1">
      <c r="A3084" s="3">
        <v>6051</v>
      </c>
      <c r="B3084" s="7" t="s">
        <v>140</v>
      </c>
      <c r="C3084" s="41">
        <v>485</v>
      </c>
      <c r="D3084" s="6">
        <v>45638</v>
      </c>
      <c r="E3084" s="3" t="str">
        <f ca="1">IF(Tabela2[[#This Row],[Dt Venc:]]&gt;TODAY(),"Em Aberto",IF(Tabela2[[#This Row],[D/venc]]="-","Enviado",IF(Tabela2[[#This Row],[Dt Venc:]]=TODAY(),"Vence Hoje","Vencida")))</f>
        <v>Enviado</v>
      </c>
      <c r="F3084" s="3" t="str">
        <f ca="1">IF(G3084=1,"-",Tabela2[[#This Row],[Dt Venc:]]-TODAY())</f>
        <v>-</v>
      </c>
      <c r="G3084" s="3">
        <v>1</v>
      </c>
      <c r="H3084" s="3"/>
    </row>
    <row r="3085" spans="1:8" hidden="1">
      <c r="A3085" s="3">
        <v>6051</v>
      </c>
      <c r="B3085" s="7" t="s">
        <v>140</v>
      </c>
      <c r="C3085" s="41">
        <v>485</v>
      </c>
      <c r="D3085" s="6">
        <v>45638</v>
      </c>
      <c r="E3085" s="3" t="str">
        <f ca="1">IF(Tabela2[[#This Row],[Dt Venc:]]&gt;TODAY(),"Em Aberto",IF(Tabela2[[#This Row],[D/venc]]="-","Enviado",IF(Tabela2[[#This Row],[Dt Venc:]]=TODAY(),"Vence Hoje","Vencida")))</f>
        <v>Enviado</v>
      </c>
      <c r="F3085" s="3" t="str">
        <f ca="1">IF(G3085=1,"-",Tabela2[[#This Row],[Dt Venc:]]-TODAY())</f>
        <v>-</v>
      </c>
      <c r="G3085" s="3">
        <v>1</v>
      </c>
      <c r="H3085" s="3"/>
    </row>
    <row r="3086" spans="1:8" hidden="1">
      <c r="A3086" s="3">
        <v>5871</v>
      </c>
      <c r="B3086" s="7" t="s">
        <v>47</v>
      </c>
      <c r="C3086" s="42">
        <v>1084.2</v>
      </c>
      <c r="D3086" s="6">
        <v>45638</v>
      </c>
      <c r="E3086" s="3" t="str">
        <f ca="1">IF(Tabela2[[#This Row],[Dt Venc:]]&gt;TODAY(),"Em Aberto",IF(Tabela2[[#This Row],[D/venc]]="-","Enviado",IF(Tabela2[[#This Row],[Dt Venc:]]=TODAY(),"Vence Hoje","Vencida")))</f>
        <v>Enviado</v>
      </c>
      <c r="F3086" s="3" t="str">
        <f ca="1">IF(G3086=1,"-",Tabela2[[#This Row],[Dt Venc:]]-TODAY())</f>
        <v>-</v>
      </c>
      <c r="G3086" s="3">
        <v>1</v>
      </c>
      <c r="H3086" s="3"/>
    </row>
    <row r="3087" spans="1:8" hidden="1">
      <c r="A3087" s="3">
        <v>6142</v>
      </c>
      <c r="B3087" s="7" t="s">
        <v>47</v>
      </c>
      <c r="C3087" s="41">
        <v>697.9</v>
      </c>
      <c r="D3087" s="6">
        <v>45638</v>
      </c>
      <c r="E3087" s="3" t="str">
        <f ca="1">IF(Tabela2[[#This Row],[Dt Venc:]]&gt;TODAY(),"Em Aberto",IF(Tabela2[[#This Row],[D/venc]]="-","Enviado",IF(Tabela2[[#This Row],[Dt Venc:]]=TODAY(),"Vence Hoje","Vencida")))</f>
        <v>Enviado</v>
      </c>
      <c r="F3087" s="3" t="str">
        <f ca="1">IF(G3087=1,"-",Tabela2[[#This Row],[Dt Venc:]]-TODAY())</f>
        <v>-</v>
      </c>
      <c r="G3087" s="3">
        <v>1</v>
      </c>
      <c r="H3087" s="3"/>
    </row>
    <row r="3088" spans="1:8" hidden="1">
      <c r="A3088" s="3">
        <v>18305</v>
      </c>
      <c r="B3088" s="7" t="s">
        <v>292</v>
      </c>
      <c r="C3088" s="41">
        <v>3506</v>
      </c>
      <c r="D3088" s="6">
        <v>45638</v>
      </c>
      <c r="E3088" s="3" t="str">
        <f ca="1">IF(Tabela2[[#This Row],[Dt Venc:]]&gt;TODAY(),"Em Aberto",IF(Tabela2[[#This Row],[D/venc]]="-","Enviado",IF(Tabela2[[#This Row],[Dt Venc:]]=TODAY(),"Vence Hoje","Vencida")))</f>
        <v>Enviado</v>
      </c>
      <c r="F3088" s="3" t="str">
        <f ca="1">IF(G3088=1,"-",Tabela2[[#This Row],[Dt Venc:]]-TODAY())</f>
        <v>-</v>
      </c>
      <c r="G3088" s="3">
        <v>1</v>
      </c>
      <c r="H3088" s="3"/>
    </row>
    <row r="3089" spans="1:8" hidden="1">
      <c r="A3089" s="3">
        <v>18304</v>
      </c>
      <c r="B3089" s="7" t="s">
        <v>292</v>
      </c>
      <c r="C3089" s="41">
        <v>1645</v>
      </c>
      <c r="D3089" s="6">
        <v>45638</v>
      </c>
      <c r="E3089" s="3" t="str">
        <f ca="1">IF(Tabela2[[#This Row],[Dt Venc:]]&gt;TODAY(),"Em Aberto",IF(Tabela2[[#This Row],[D/venc]]="-","Enviado",IF(Tabela2[[#This Row],[Dt Venc:]]=TODAY(),"Vence Hoje","Vencida")))</f>
        <v>Enviado</v>
      </c>
      <c r="F3089" s="3" t="str">
        <f ca="1">IF(G3089=1,"-",Tabela2[[#This Row],[Dt Venc:]]-TODAY())</f>
        <v>-</v>
      </c>
      <c r="G3089" s="3">
        <v>1</v>
      </c>
      <c r="H3089" s="3"/>
    </row>
    <row r="3090" spans="1:8" hidden="1">
      <c r="A3090" s="3">
        <v>203425</v>
      </c>
      <c r="B3090" s="7" t="s">
        <v>200</v>
      </c>
      <c r="C3090" s="41">
        <v>250</v>
      </c>
      <c r="D3090" s="6">
        <v>45638</v>
      </c>
      <c r="E3090" s="3" t="str">
        <f ca="1">IF(Tabela2[[#This Row],[Dt Venc:]]&gt;TODAY(),"Em Aberto",IF(Tabela2[[#This Row],[D/venc]]="-","Enviado",IF(Tabela2[[#This Row],[Dt Venc:]]=TODAY(),"Vence Hoje","Vencida")))</f>
        <v>Enviado</v>
      </c>
      <c r="F3090" s="3" t="str">
        <f ca="1">IF(G3090=1,"-",Tabela2[[#This Row],[Dt Venc:]]-TODAY())</f>
        <v>-</v>
      </c>
      <c r="G3090" s="3">
        <v>1</v>
      </c>
      <c r="H3090" s="3"/>
    </row>
    <row r="3091" spans="1:8" hidden="1">
      <c r="A3091" s="3">
        <v>92000</v>
      </c>
      <c r="B3091" s="7" t="s">
        <v>533</v>
      </c>
      <c r="C3091" s="41">
        <v>1000</v>
      </c>
      <c r="D3091" s="6">
        <v>45638</v>
      </c>
      <c r="E3091" s="3" t="str">
        <f ca="1">IF(Tabela2[[#This Row],[Dt Venc:]]&gt;TODAY(),"Em Aberto",IF(Tabela2[[#This Row],[D/venc]]="-","Enviado",IF(Tabela2[[#This Row],[Dt Venc:]]=TODAY(),"Vence Hoje","Vencida")))</f>
        <v>Enviado</v>
      </c>
      <c r="F3091" s="3" t="str">
        <f ca="1">IF(G3091=1,"-",Tabela2[[#This Row],[Dt Venc:]]-TODAY())</f>
        <v>-</v>
      </c>
      <c r="G3091" s="3">
        <v>1</v>
      </c>
      <c r="H3091" s="3"/>
    </row>
    <row r="3092" spans="1:8" hidden="1">
      <c r="A3092" s="3">
        <v>10674</v>
      </c>
      <c r="B3092" s="7" t="s">
        <v>231</v>
      </c>
      <c r="C3092" s="42">
        <v>455</v>
      </c>
      <c r="D3092" s="6">
        <v>45638</v>
      </c>
      <c r="E3092" s="3" t="str">
        <f ca="1">IF(Tabela2[[#This Row],[Dt Venc:]]&gt;TODAY(),"Em Aberto",IF(Tabela2[[#This Row],[D/venc]]="-","Enviado",IF(Tabela2[[#This Row],[Dt Venc:]]=TODAY(),"Vence Hoje","Vencida")))</f>
        <v>Enviado</v>
      </c>
      <c r="F3092" s="3" t="str">
        <f ca="1">IF(G3092=1,"-",Tabela2[[#This Row],[Dt Venc:]]-TODAY())</f>
        <v>-</v>
      </c>
      <c r="G3092" s="3">
        <v>1</v>
      </c>
      <c r="H3092" s="3"/>
    </row>
    <row r="3093" spans="1:8" hidden="1">
      <c r="A3093" s="3">
        <v>3777</v>
      </c>
      <c r="B3093" s="7" t="s">
        <v>347</v>
      </c>
      <c r="C3093" s="41">
        <v>1428.7</v>
      </c>
      <c r="D3093" s="6">
        <v>45638</v>
      </c>
      <c r="E3093" s="3" t="str">
        <f ca="1">IF(Tabela2[[#This Row],[Dt Venc:]]&gt;TODAY(),"Em Aberto",IF(Tabela2[[#This Row],[D/venc]]="-","Enviado",IF(Tabela2[[#This Row],[Dt Venc:]]=TODAY(),"Vence Hoje","Vencida")))</f>
        <v>Enviado</v>
      </c>
      <c r="F3093" s="3" t="str">
        <f ca="1">IF(G3093=1,"-",Tabela2[[#This Row],[Dt Venc:]]-TODAY())</f>
        <v>-</v>
      </c>
      <c r="G3093" s="3">
        <v>1</v>
      </c>
      <c r="H3093" s="3"/>
    </row>
    <row r="3094" spans="1:8" hidden="1">
      <c r="A3094" s="3">
        <v>3777</v>
      </c>
      <c r="B3094" s="7" t="s">
        <v>347</v>
      </c>
      <c r="C3094" s="41">
        <v>1428.7</v>
      </c>
      <c r="D3094" s="6">
        <v>45638</v>
      </c>
      <c r="E3094" s="3" t="str">
        <f ca="1">IF(Tabela2[[#This Row],[Dt Venc:]]&gt;TODAY(),"Em Aberto",IF(Tabela2[[#This Row],[D/venc]]="-","Enviado",IF(Tabela2[[#This Row],[Dt Venc:]]=TODAY(),"Vence Hoje","Vencida")))</f>
        <v>Enviado</v>
      </c>
      <c r="F3094" s="3" t="str">
        <f ca="1">IF(G3094=1,"-",Tabela2[[#This Row],[Dt Venc:]]-TODAY())</f>
        <v>-</v>
      </c>
      <c r="G3094" s="3">
        <v>1</v>
      </c>
      <c r="H3094" s="3"/>
    </row>
    <row r="3095" spans="1:8" hidden="1">
      <c r="A3095" s="3">
        <v>11278</v>
      </c>
      <c r="B3095" s="7" t="s">
        <v>105</v>
      </c>
      <c r="C3095" s="41">
        <v>3500</v>
      </c>
      <c r="D3095" s="6">
        <v>45638</v>
      </c>
      <c r="E3095" s="3" t="str">
        <f ca="1">IF(Tabela2[[#This Row],[Dt Venc:]]&gt;TODAY(),"Em Aberto",IF(Tabela2[[#This Row],[D/venc]]="-","Enviado",IF(Tabela2[[#This Row],[Dt Venc:]]=TODAY(),"Vence Hoje","Vencida")))</f>
        <v>Enviado</v>
      </c>
      <c r="F3095" s="3" t="str">
        <f ca="1">IF(G3095=1,"-",Tabela2[[#This Row],[Dt Venc:]]-TODAY())</f>
        <v>-</v>
      </c>
      <c r="G3095" s="3">
        <v>1</v>
      </c>
      <c r="H3095" s="3"/>
    </row>
    <row r="3096" spans="1:8" hidden="1">
      <c r="A3096" s="3">
        <v>103</v>
      </c>
      <c r="B3096" s="7" t="s">
        <v>95</v>
      </c>
      <c r="C3096" s="41">
        <v>3775</v>
      </c>
      <c r="D3096" s="6">
        <v>45638</v>
      </c>
      <c r="E3096" s="3" t="str">
        <f ca="1">IF(Tabela2[[#This Row],[Dt Venc:]]&gt;TODAY(),"Em Aberto",IF(Tabela2[[#This Row],[D/venc]]="-","Enviado",IF(Tabela2[[#This Row],[Dt Venc:]]=TODAY(),"Vence Hoje","Vencida")))</f>
        <v>Enviado</v>
      </c>
      <c r="F3096" s="3" t="str">
        <f ca="1">IF(G3096=1,"-",Tabela2[[#This Row],[Dt Venc:]]-TODAY())</f>
        <v>-</v>
      </c>
      <c r="G3096" s="3">
        <v>1</v>
      </c>
      <c r="H3096" s="3"/>
    </row>
    <row r="3097" spans="1:8" hidden="1">
      <c r="A3097" s="3">
        <v>2026</v>
      </c>
      <c r="B3097" s="7" t="s">
        <v>96</v>
      </c>
      <c r="C3097" s="41">
        <v>720</v>
      </c>
      <c r="D3097" s="6">
        <v>45638</v>
      </c>
      <c r="E3097" s="3" t="str">
        <f ca="1">IF(Tabela2[[#This Row],[Dt Venc:]]&gt;TODAY(),"Em Aberto",IF(Tabela2[[#This Row],[D/venc]]="-","Enviado",IF(Tabela2[[#This Row],[Dt Venc:]]=TODAY(),"Vence Hoje","Vencida")))</f>
        <v>Enviado</v>
      </c>
      <c r="F3097" s="3" t="str">
        <f ca="1">IF(G3097=1,"-",Tabela2[[#This Row],[Dt Venc:]]-TODAY())</f>
        <v>-</v>
      </c>
      <c r="G3097" s="3">
        <v>1</v>
      </c>
      <c r="H3097" s="3"/>
    </row>
    <row r="3098" spans="1:8" hidden="1">
      <c r="A3098" s="3">
        <v>3316753</v>
      </c>
      <c r="B3098" s="7" t="s">
        <v>71</v>
      </c>
      <c r="C3098" s="41">
        <v>111486</v>
      </c>
      <c r="D3098" s="6">
        <v>45638</v>
      </c>
      <c r="E3098" s="3" t="str">
        <f ca="1">IF(Tabela2[[#This Row],[Dt Venc:]]&gt;TODAY(),"Em Aberto",IF(Tabela2[[#This Row],[D/venc]]="-","Enviado",IF(Tabela2[[#This Row],[Dt Venc:]]=TODAY(),"Vence Hoje","Vencida")))</f>
        <v>Enviado</v>
      </c>
      <c r="F3098" s="3" t="str">
        <f ca="1">IF(G3098=1,"-",Tabela2[[#This Row],[Dt Venc:]]-TODAY())</f>
        <v>-</v>
      </c>
      <c r="G3098" s="3">
        <v>1</v>
      </c>
      <c r="H3098" s="3"/>
    </row>
    <row r="3099" spans="1:8" hidden="1">
      <c r="A3099" s="3">
        <v>135340</v>
      </c>
      <c r="B3099" s="7" t="s">
        <v>534</v>
      </c>
      <c r="C3099" s="41">
        <v>470.24</v>
      </c>
      <c r="D3099" s="6">
        <v>45638</v>
      </c>
      <c r="E3099" s="3" t="str">
        <f ca="1">IF(Tabela2[[#This Row],[Dt Venc:]]&gt;TODAY(),"Em Aberto",IF(Tabela2[[#This Row],[D/venc]]="-","Enviado",IF(Tabela2[[#This Row],[Dt Venc:]]=TODAY(),"Vence Hoje","Vencida")))</f>
        <v>Enviado</v>
      </c>
      <c r="F3099" s="3" t="str">
        <f ca="1">IF(G3099=1,"-",Tabela2[[#This Row],[Dt Venc:]]-TODAY())</f>
        <v>-</v>
      </c>
      <c r="G3099" s="3">
        <v>1</v>
      </c>
      <c r="H3099" s="3"/>
    </row>
    <row r="3100" spans="1:8" hidden="1">
      <c r="A3100" s="3">
        <v>22</v>
      </c>
      <c r="B3100" s="7" t="s">
        <v>103</v>
      </c>
      <c r="C3100" s="41">
        <v>1450</v>
      </c>
      <c r="D3100" s="6">
        <v>45638</v>
      </c>
      <c r="E3100" s="3" t="str">
        <f ca="1">IF(Tabela2[[#This Row],[Dt Venc:]]&gt;TODAY(),"Em Aberto",IF(Tabela2[[#This Row],[D/venc]]="-","Enviado",IF(Tabela2[[#This Row],[Dt Venc:]]=TODAY(),"Vence Hoje","Vencida")))</f>
        <v>Enviado</v>
      </c>
      <c r="F3100" s="3" t="str">
        <f ca="1">IF(G3100=1,"-",Tabela2[[#This Row],[Dt Venc:]]-TODAY())</f>
        <v>-</v>
      </c>
      <c r="G3100" s="3">
        <v>1</v>
      </c>
      <c r="H3100" s="3"/>
    </row>
    <row r="3101" spans="1:8" hidden="1">
      <c r="A3101" s="3">
        <v>10869</v>
      </c>
      <c r="B3101" s="7" t="s">
        <v>33</v>
      </c>
      <c r="C3101" s="42">
        <v>1760</v>
      </c>
      <c r="D3101" s="6">
        <v>45639</v>
      </c>
      <c r="E3101" s="3" t="str">
        <f ca="1">IF(Tabela2[[#This Row],[Dt Venc:]]&gt;TODAY(),"Em Aberto",IF(Tabela2[[#This Row],[D/venc]]="-","Enviado",IF(Tabela2[[#This Row],[Dt Venc:]]=TODAY(),"Vence Hoje","Vencida")))</f>
        <v>Enviado</v>
      </c>
      <c r="F3101" s="3" t="str">
        <f ca="1">IF(G3101=1,"-",Tabela2[[#This Row],[Dt Venc:]]-TODAY())</f>
        <v>-</v>
      </c>
      <c r="G3101" s="3">
        <v>1</v>
      </c>
      <c r="H3101" s="3"/>
    </row>
    <row r="3102" spans="1:8" hidden="1">
      <c r="A3102" s="3">
        <v>10898</v>
      </c>
      <c r="B3102" s="7" t="s">
        <v>33</v>
      </c>
      <c r="C3102" s="42">
        <v>1665</v>
      </c>
      <c r="D3102" s="6">
        <v>45639</v>
      </c>
      <c r="E3102" s="3" t="str">
        <f ca="1">IF(Tabela2[[#This Row],[Dt Venc:]]&gt;TODAY(),"Em Aberto",IF(Tabela2[[#This Row],[D/venc]]="-","Enviado",IF(Tabela2[[#This Row],[Dt Venc:]]=TODAY(),"Vence Hoje","Vencida")))</f>
        <v>Enviado</v>
      </c>
      <c r="F3102" s="3" t="str">
        <f ca="1">IF(G3102=1,"-",Tabela2[[#This Row],[Dt Venc:]]-TODAY())</f>
        <v>-</v>
      </c>
      <c r="G3102" s="3">
        <v>1</v>
      </c>
      <c r="H3102" s="3"/>
    </row>
    <row r="3103" spans="1:8" hidden="1">
      <c r="A3103" s="3">
        <v>5088</v>
      </c>
      <c r="B3103" s="7" t="s">
        <v>463</v>
      </c>
      <c r="C3103" s="41">
        <v>2227.85</v>
      </c>
      <c r="D3103" s="6">
        <v>45639</v>
      </c>
      <c r="E3103" s="3" t="str">
        <f ca="1">IF(Tabela2[[#This Row],[Dt Venc:]]&gt;TODAY(),"Em Aberto",IF(Tabela2[[#This Row],[D/venc]]="-","Enviado",IF(Tabela2[[#This Row],[Dt Venc:]]=TODAY(),"Vence Hoje","Vencida")))</f>
        <v>Enviado</v>
      </c>
      <c r="F3103" s="3" t="str">
        <f ca="1">IF(G3103=1,"-",Tabela2[[#This Row],[Dt Venc:]]-TODAY())</f>
        <v>-</v>
      </c>
      <c r="G3103" s="3">
        <v>1</v>
      </c>
      <c r="H3103" s="3"/>
    </row>
    <row r="3104" spans="1:8" hidden="1">
      <c r="A3104" s="3">
        <v>19660</v>
      </c>
      <c r="B3104" s="7" t="s">
        <v>233</v>
      </c>
      <c r="C3104" s="42">
        <v>1083.33</v>
      </c>
      <c r="D3104" s="6">
        <v>45639</v>
      </c>
      <c r="E3104" s="3" t="str">
        <f ca="1">IF(Tabela2[[#This Row],[Dt Venc:]]&gt;TODAY(),"Em Aberto",IF(Tabela2[[#This Row],[D/venc]]="-","Enviado",IF(Tabela2[[#This Row],[Dt Venc:]]=TODAY(),"Vence Hoje","Vencida")))</f>
        <v>Enviado</v>
      </c>
      <c r="F3104" s="3" t="str">
        <f ca="1">IF(G3104=1,"-",Tabela2[[#This Row],[Dt Venc:]]-TODAY())</f>
        <v>-</v>
      </c>
      <c r="G3104" s="3">
        <v>1</v>
      </c>
      <c r="H3104" s="3"/>
    </row>
    <row r="3105" spans="1:8" hidden="1">
      <c r="A3105" s="3">
        <v>19951</v>
      </c>
      <c r="B3105" s="7" t="s">
        <v>233</v>
      </c>
      <c r="C3105" s="41">
        <v>1040</v>
      </c>
      <c r="D3105" s="6">
        <v>45639</v>
      </c>
      <c r="E3105" s="3" t="str">
        <f ca="1">IF(Tabela2[[#This Row],[Dt Venc:]]&gt;TODAY(),"Em Aberto",IF(Tabela2[[#This Row],[D/venc]]="-","Enviado",IF(Tabela2[[#This Row],[Dt Venc:]]=TODAY(),"Vence Hoje","Vencida")))</f>
        <v>Enviado</v>
      </c>
      <c r="F3105" s="3" t="str">
        <f ca="1">IF(G3105=1,"-",Tabela2[[#This Row],[Dt Venc:]]-TODAY())</f>
        <v>-</v>
      </c>
      <c r="G3105" s="3">
        <v>1</v>
      </c>
      <c r="H3105" s="3"/>
    </row>
    <row r="3106" spans="1:8" hidden="1">
      <c r="A3106" s="3">
        <v>621</v>
      </c>
      <c r="B3106" s="7" t="s">
        <v>535</v>
      </c>
      <c r="C3106" s="41">
        <v>666.67</v>
      </c>
      <c r="D3106" s="6">
        <v>45639</v>
      </c>
      <c r="E3106" s="3" t="str">
        <f ca="1">IF(Tabela2[[#This Row],[Dt Venc:]]&gt;TODAY(),"Em Aberto",IF(Tabela2[[#This Row],[D/venc]]="-","Enviado",IF(Tabela2[[#This Row],[Dt Venc:]]=TODAY(),"Vence Hoje","Vencida")))</f>
        <v>Enviado</v>
      </c>
      <c r="F3106" s="3" t="str">
        <f ca="1">IF(G3106=1,"-",Tabela2[[#This Row],[Dt Venc:]]-TODAY())</f>
        <v>-</v>
      </c>
      <c r="G3106" s="3">
        <v>1</v>
      </c>
      <c r="H3106" s="3"/>
    </row>
    <row r="3107" spans="1:8" hidden="1">
      <c r="A3107" s="3">
        <v>9218</v>
      </c>
      <c r="B3107" s="7" t="s">
        <v>536</v>
      </c>
      <c r="C3107" s="41">
        <v>528</v>
      </c>
      <c r="D3107" s="6">
        <v>45639</v>
      </c>
      <c r="E3107" s="3" t="str">
        <f ca="1">IF(Tabela2[[#This Row],[Dt Venc:]]&gt;TODAY(),"Em Aberto",IF(Tabela2[[#This Row],[D/venc]]="-","Enviado",IF(Tabela2[[#This Row],[Dt Venc:]]=TODAY(),"Vence Hoje","Vencida")))</f>
        <v>Enviado</v>
      </c>
      <c r="F3107" s="3" t="str">
        <f ca="1">IF(G3107=1,"-",Tabela2[[#This Row],[Dt Venc:]]-TODAY())</f>
        <v>-</v>
      </c>
      <c r="G3107" s="3">
        <v>1</v>
      </c>
      <c r="H3107" s="3"/>
    </row>
    <row r="3108" spans="1:8" hidden="1">
      <c r="A3108" s="3">
        <v>26641</v>
      </c>
      <c r="B3108" s="7" t="s">
        <v>245</v>
      </c>
      <c r="C3108" s="42">
        <v>1517.66</v>
      </c>
      <c r="D3108" s="6">
        <v>45639</v>
      </c>
      <c r="E3108" s="3" t="str">
        <f ca="1">IF(Tabela2[[#This Row],[Dt Venc:]]&gt;TODAY(),"Em Aberto",IF(Tabela2[[#This Row],[D/venc]]="-","Enviado",IF(Tabela2[[#This Row],[Dt Venc:]]=TODAY(),"Vence Hoje","Vencida")))</f>
        <v>Enviado</v>
      </c>
      <c r="F3108" s="3" t="str">
        <f ca="1">IF(G3108=1,"-",Tabela2[[#This Row],[Dt Venc:]]-TODAY())</f>
        <v>-</v>
      </c>
      <c r="G3108" s="3">
        <v>1</v>
      </c>
      <c r="H3108" s="3"/>
    </row>
    <row r="3109" spans="1:8" hidden="1">
      <c r="A3109" s="3">
        <v>1516</v>
      </c>
      <c r="B3109" s="7" t="s">
        <v>477</v>
      </c>
      <c r="C3109" s="41">
        <v>658.48</v>
      </c>
      <c r="D3109" s="6">
        <v>45639</v>
      </c>
      <c r="E3109" s="3" t="str">
        <f ca="1">IF(Tabela2[[#This Row],[Dt Venc:]]&gt;TODAY(),"Em Aberto",IF(Tabela2[[#This Row],[D/venc]]="-","Enviado",IF(Tabela2[[#This Row],[Dt Venc:]]=TODAY(),"Vence Hoje","Vencida")))</f>
        <v>Enviado</v>
      </c>
      <c r="F3109" s="3" t="str">
        <f ca="1">IF(G3109=1,"-",Tabela2[[#This Row],[Dt Venc:]]-TODAY())</f>
        <v>-</v>
      </c>
      <c r="G3109" s="3">
        <v>1</v>
      </c>
      <c r="H3109" s="3"/>
    </row>
    <row r="3110" spans="1:8" hidden="1">
      <c r="A3110" s="3">
        <v>257492</v>
      </c>
      <c r="B3110" s="7" t="s">
        <v>326</v>
      </c>
      <c r="C3110" s="41">
        <v>1373.34</v>
      </c>
      <c r="D3110" s="6">
        <v>45639</v>
      </c>
      <c r="E3110" s="3" t="str">
        <f ca="1">IF(Tabela2[[#This Row],[Dt Venc:]]&gt;TODAY(),"Em Aberto",IF(Tabela2[[#This Row],[D/venc]]="-","Enviado",IF(Tabela2[[#This Row],[Dt Venc:]]=TODAY(),"Vence Hoje","Vencida")))</f>
        <v>Enviado</v>
      </c>
      <c r="F3110" s="3" t="str">
        <f ca="1">IF(G3110=1,"-",Tabela2[[#This Row],[Dt Venc:]]-TODAY())</f>
        <v>-</v>
      </c>
      <c r="G3110" s="3">
        <v>1</v>
      </c>
      <c r="H3110" s="3"/>
    </row>
    <row r="3111" spans="1:8" hidden="1">
      <c r="A3111" s="3">
        <v>257233</v>
      </c>
      <c r="B3111" s="7" t="s">
        <v>49</v>
      </c>
      <c r="C3111" s="41">
        <v>1393.34</v>
      </c>
      <c r="D3111" s="6">
        <v>45639</v>
      </c>
      <c r="E3111" s="3" t="str">
        <f ca="1">IF(Tabela2[[#This Row],[Dt Venc:]]&gt;TODAY(),"Em Aberto",IF(Tabela2[[#This Row],[D/venc]]="-","Enviado",IF(Tabela2[[#This Row],[Dt Venc:]]=TODAY(),"Vence Hoje","Vencida")))</f>
        <v>Enviado</v>
      </c>
      <c r="F3111" s="3" t="str">
        <f ca="1">IF(G3111=1,"-",Tabela2[[#This Row],[Dt Venc:]]-TODAY())</f>
        <v>-</v>
      </c>
      <c r="G3111" s="3">
        <v>1</v>
      </c>
      <c r="H3111" s="3"/>
    </row>
    <row r="3112" spans="1:8" hidden="1">
      <c r="A3112" s="3">
        <v>372665</v>
      </c>
      <c r="B3112" s="7" t="s">
        <v>39</v>
      </c>
      <c r="C3112" s="41">
        <v>2025.78</v>
      </c>
      <c r="D3112" s="6">
        <v>45639</v>
      </c>
      <c r="E3112" s="3" t="str">
        <f ca="1">IF(Tabela2[[#This Row],[Dt Venc:]]&gt;TODAY(),"Em Aberto",IF(Tabela2[[#This Row],[D/venc]]="-","Enviado",IF(Tabela2[[#This Row],[Dt Venc:]]=TODAY(),"Vence Hoje","Vencida")))</f>
        <v>Enviado</v>
      </c>
      <c r="F3112" s="3" t="str">
        <f ca="1">IF(G3112=1,"-",Tabela2[[#This Row],[Dt Venc:]]-TODAY())</f>
        <v>-</v>
      </c>
      <c r="G3112" s="3">
        <v>1</v>
      </c>
      <c r="H3112" s="3"/>
    </row>
    <row r="3113" spans="1:8" hidden="1">
      <c r="A3113" s="3">
        <v>222671</v>
      </c>
      <c r="B3113" s="7" t="s">
        <v>127</v>
      </c>
      <c r="C3113" s="41">
        <v>498.13</v>
      </c>
      <c r="D3113" s="6">
        <v>45639</v>
      </c>
      <c r="E3113" s="3" t="str">
        <f ca="1">IF(Tabela2[[#This Row],[Dt Venc:]]&gt;TODAY(),"Em Aberto",IF(Tabela2[[#This Row],[D/venc]]="-","Enviado",IF(Tabela2[[#This Row],[Dt Venc:]]=TODAY(),"Vence Hoje","Vencida")))</f>
        <v>Enviado</v>
      </c>
      <c r="F3113" s="3" t="str">
        <f ca="1">IF(G3113=1,"-",Tabela2[[#This Row],[Dt Venc:]]-TODAY())</f>
        <v>-</v>
      </c>
      <c r="G3113" s="3">
        <v>1</v>
      </c>
      <c r="H3113" s="3"/>
    </row>
    <row r="3114" spans="1:8" hidden="1">
      <c r="A3114" s="3">
        <v>225222</v>
      </c>
      <c r="B3114" s="7" t="s">
        <v>127</v>
      </c>
      <c r="C3114" s="41">
        <v>345.86</v>
      </c>
      <c r="D3114" s="6">
        <v>45639</v>
      </c>
      <c r="E3114" s="3" t="str">
        <f ca="1">IF(Tabela2[[#This Row],[Dt Venc:]]&gt;TODAY(),"Em Aberto",IF(Tabela2[[#This Row],[D/venc]]="-","Enviado",IF(Tabela2[[#This Row],[Dt Venc:]]=TODAY(),"Vence Hoje","Vencida")))</f>
        <v>Enviado</v>
      </c>
      <c r="F3114" s="3" t="str">
        <f ca="1">IF(G3114=1,"-",Tabela2[[#This Row],[Dt Venc:]]-TODAY())</f>
        <v>-</v>
      </c>
      <c r="G3114" s="3">
        <v>1</v>
      </c>
      <c r="H3114" s="3"/>
    </row>
    <row r="3115" spans="1:8" hidden="1">
      <c r="A3115" s="3">
        <v>1599</v>
      </c>
      <c r="B3115" s="7" t="s">
        <v>215</v>
      </c>
      <c r="C3115" s="41">
        <v>492.95</v>
      </c>
      <c r="D3115" s="6">
        <v>45639</v>
      </c>
      <c r="E3115" s="3" t="str">
        <f ca="1">IF(Tabela2[[#This Row],[Dt Venc:]]&gt;TODAY(),"Em Aberto",IF(Tabela2[[#This Row],[D/venc]]="-","Enviado",IF(Tabela2[[#This Row],[Dt Venc:]]=TODAY(),"Vence Hoje","Vencida")))</f>
        <v>Enviado</v>
      </c>
      <c r="F3115" s="3" t="str">
        <f ca="1">IF(G3115=1,"-",Tabela2[[#This Row],[Dt Venc:]]-TODAY())</f>
        <v>-</v>
      </c>
      <c r="G3115" s="3">
        <v>1</v>
      </c>
      <c r="H3115" s="3"/>
    </row>
    <row r="3116" spans="1:8" hidden="1">
      <c r="A3116" s="3">
        <v>1596</v>
      </c>
      <c r="B3116" s="7" t="s">
        <v>215</v>
      </c>
      <c r="C3116" s="41">
        <v>288.5</v>
      </c>
      <c r="D3116" s="6">
        <v>45639</v>
      </c>
      <c r="E3116" s="3" t="str">
        <f ca="1">IF(Tabela2[[#This Row],[Dt Venc:]]&gt;TODAY(),"Em Aberto",IF(Tabela2[[#This Row],[D/venc]]="-","Enviado",IF(Tabela2[[#This Row],[Dt Venc:]]=TODAY(),"Vence Hoje","Vencida")))</f>
        <v>Enviado</v>
      </c>
      <c r="F3116" s="3" t="str">
        <f ca="1">IF(G3116=1,"-",Tabela2[[#This Row],[Dt Venc:]]-TODAY())</f>
        <v>-</v>
      </c>
      <c r="G3116" s="3">
        <v>1</v>
      </c>
      <c r="H3116" s="3"/>
    </row>
    <row r="3117" spans="1:8" hidden="1">
      <c r="A3117" s="3">
        <v>30672</v>
      </c>
      <c r="B3117" s="7" t="s">
        <v>97</v>
      </c>
      <c r="C3117" s="41">
        <v>1826</v>
      </c>
      <c r="D3117" s="6">
        <v>45639</v>
      </c>
      <c r="E3117" s="3" t="str">
        <f ca="1">IF(Tabela2[[#This Row],[Dt Venc:]]&gt;TODAY(),"Em Aberto",IF(Tabela2[[#This Row],[D/venc]]="-","Enviado",IF(Tabela2[[#This Row],[Dt Venc:]]=TODAY(),"Vence Hoje","Vencida")))</f>
        <v>Enviado</v>
      </c>
      <c r="F3117" s="3" t="str">
        <f ca="1">IF(G3117=1,"-",Tabela2[[#This Row],[Dt Venc:]]-TODAY())</f>
        <v>-</v>
      </c>
      <c r="G3117" s="3">
        <v>1</v>
      </c>
      <c r="H3117" s="3"/>
    </row>
    <row r="3118" spans="1:8" hidden="1">
      <c r="A3118" s="3">
        <v>19730</v>
      </c>
      <c r="B3118" s="7" t="s">
        <v>41</v>
      </c>
      <c r="C3118" s="41">
        <v>700</v>
      </c>
      <c r="D3118" s="6">
        <v>45639</v>
      </c>
      <c r="E3118" s="3" t="str">
        <f ca="1">IF(Tabela2[[#This Row],[Dt Venc:]]&gt;TODAY(),"Em Aberto",IF(Tabela2[[#This Row],[D/venc]]="-","Enviado",IF(Tabela2[[#This Row],[Dt Venc:]]=TODAY(),"Vence Hoje","Vencida")))</f>
        <v>Enviado</v>
      </c>
      <c r="F3118" s="3" t="str">
        <f ca="1">IF(G3118=1,"-",Tabela2[[#This Row],[Dt Venc:]]-TODAY())</f>
        <v>-</v>
      </c>
      <c r="G3118" s="3">
        <v>1</v>
      </c>
      <c r="H3118" s="3"/>
    </row>
    <row r="3119" spans="1:8" hidden="1">
      <c r="A3119" s="3">
        <v>3958</v>
      </c>
      <c r="B3119" s="7" t="s">
        <v>293</v>
      </c>
      <c r="C3119" s="41">
        <v>1875</v>
      </c>
      <c r="D3119" s="6">
        <v>45639</v>
      </c>
      <c r="E3119" s="3" t="str">
        <f ca="1">IF(Tabela2[[#This Row],[Dt Venc:]]&gt;TODAY(),"Em Aberto",IF(Tabela2[[#This Row],[D/venc]]="-","Enviado",IF(Tabela2[[#This Row],[Dt Venc:]]=TODAY(),"Vence Hoje","Vencida")))</f>
        <v>Enviado</v>
      </c>
      <c r="F3119" s="3" t="str">
        <f ca="1">IF(G3119=1,"-",Tabela2[[#This Row],[Dt Venc:]]-TODAY())</f>
        <v>-</v>
      </c>
      <c r="G3119" s="3">
        <v>1</v>
      </c>
      <c r="H3119" s="3"/>
    </row>
    <row r="3120" spans="1:8" hidden="1">
      <c r="A3120" s="3">
        <v>228335</v>
      </c>
      <c r="B3120" s="7" t="s">
        <v>300</v>
      </c>
      <c r="C3120" s="42">
        <v>970.5</v>
      </c>
      <c r="D3120" s="6">
        <v>45639</v>
      </c>
      <c r="E3120" s="3" t="str">
        <f ca="1">IF(Tabela2[[#This Row],[Dt Venc:]]&gt;TODAY(),"Em Aberto",IF(Tabela2[[#This Row],[D/venc]]="-","Enviado",IF(Tabela2[[#This Row],[Dt Venc:]]=TODAY(),"Vence Hoje","Vencida")))</f>
        <v>Enviado</v>
      </c>
      <c r="F3120" s="3" t="str">
        <f ca="1">IF(G3120=1,"-",Tabela2[[#This Row],[Dt Venc:]]-TODAY())</f>
        <v>-</v>
      </c>
      <c r="G3120" s="3">
        <v>1</v>
      </c>
      <c r="H3120" s="3"/>
    </row>
    <row r="3121" spans="1:8" hidden="1">
      <c r="A3121" s="3">
        <v>31</v>
      </c>
      <c r="B3121" s="7" t="s">
        <v>103</v>
      </c>
      <c r="C3121" s="41">
        <v>600</v>
      </c>
      <c r="D3121" s="6">
        <v>45639</v>
      </c>
      <c r="E3121" s="3" t="str">
        <f ca="1">IF(Tabela2[[#This Row],[Dt Venc:]]&gt;TODAY(),"Em Aberto",IF(Tabela2[[#This Row],[D/venc]]="-","Enviado",IF(Tabela2[[#This Row],[Dt Venc:]]=TODAY(),"Vence Hoje","Vencida")))</f>
        <v>Enviado</v>
      </c>
      <c r="F3121" s="3" t="str">
        <f ca="1">IF(G3121=1,"-",Tabela2[[#This Row],[Dt Venc:]]-TODAY())</f>
        <v>-</v>
      </c>
      <c r="G3121" s="3">
        <v>1</v>
      </c>
      <c r="H3121" s="3"/>
    </row>
    <row r="3122" spans="1:8" hidden="1">
      <c r="A3122" s="3">
        <v>154404</v>
      </c>
      <c r="B3122" s="7" t="s">
        <v>77</v>
      </c>
      <c r="C3122" s="41">
        <v>773.33</v>
      </c>
      <c r="D3122" s="6">
        <v>45639</v>
      </c>
      <c r="E3122" s="3" t="str">
        <f ca="1">IF(Tabela2[[#This Row],[Dt Venc:]]&gt;TODAY(),"Em Aberto",IF(Tabela2[[#This Row],[D/venc]]="-","Enviado",IF(Tabela2[[#This Row],[Dt Venc:]]=TODAY(),"Vence Hoje","Vencida")))</f>
        <v>Enviado</v>
      </c>
      <c r="F3122" s="3" t="str">
        <f ca="1">IF(G3122=1,"-",Tabela2[[#This Row],[Dt Venc:]]-TODAY())</f>
        <v>-</v>
      </c>
      <c r="G3122" s="3">
        <v>1</v>
      </c>
      <c r="H3122" s="3"/>
    </row>
    <row r="3123" spans="1:8" hidden="1">
      <c r="A3123" s="3">
        <v>154402</v>
      </c>
      <c r="B3123" s="7" t="s">
        <v>77</v>
      </c>
      <c r="C3123" s="41">
        <v>450</v>
      </c>
      <c r="D3123" s="6">
        <v>45639</v>
      </c>
      <c r="E3123" s="3" t="str">
        <f ca="1">IF(Tabela2[[#This Row],[Dt Venc:]]&gt;TODAY(),"Em Aberto",IF(Tabela2[[#This Row],[D/venc]]="-","Enviado",IF(Tabela2[[#This Row],[Dt Venc:]]=TODAY(),"Vence Hoje","Vencida")))</f>
        <v>Enviado</v>
      </c>
      <c r="F3123" s="3" t="str">
        <f ca="1">IF(G3123=1,"-",Tabela2[[#This Row],[Dt Venc:]]-TODAY())</f>
        <v>-</v>
      </c>
      <c r="G3123" s="3">
        <v>1</v>
      </c>
      <c r="H3123" s="3"/>
    </row>
    <row r="3124" spans="1:8" hidden="1">
      <c r="A3124" s="3">
        <v>327056</v>
      </c>
      <c r="B3124" s="7" t="s">
        <v>240</v>
      </c>
      <c r="C3124" s="41">
        <v>286.67</v>
      </c>
      <c r="D3124" s="6">
        <v>45639</v>
      </c>
      <c r="E3124" s="3" t="str">
        <f ca="1">IF(Tabela2[[#This Row],[Dt Venc:]]&gt;TODAY(),"Em Aberto",IF(Tabela2[[#This Row],[D/venc]]="-","Enviado",IF(Tabela2[[#This Row],[Dt Venc:]]=TODAY(),"Vence Hoje","Vencida")))</f>
        <v>Enviado</v>
      </c>
      <c r="F3124" s="3" t="str">
        <f ca="1">IF(G3124=1,"-",Tabela2[[#This Row],[Dt Venc:]]-TODAY())</f>
        <v>-</v>
      </c>
      <c r="G3124" s="3">
        <v>1</v>
      </c>
      <c r="H3124" s="3"/>
    </row>
    <row r="3125" spans="1:8" hidden="1">
      <c r="A3125" s="3">
        <v>13595</v>
      </c>
      <c r="B3125" s="7" t="s">
        <v>400</v>
      </c>
      <c r="C3125" s="41">
        <v>439.58</v>
      </c>
      <c r="D3125" s="6">
        <v>45639</v>
      </c>
      <c r="E3125" s="3" t="str">
        <f ca="1">IF(Tabela2[[#This Row],[Dt Venc:]]&gt;TODAY(),"Em Aberto",IF(Tabela2[[#This Row],[D/venc]]="-","Enviado",IF(Tabela2[[#This Row],[Dt Venc:]]=TODAY(),"Vence Hoje","Vencida")))</f>
        <v>Enviado</v>
      </c>
      <c r="F3125" s="3" t="str">
        <f ca="1">IF(G3125=1,"-",Tabela2[[#This Row],[Dt Venc:]]-TODAY())</f>
        <v>-</v>
      </c>
      <c r="G3125" s="3">
        <v>1</v>
      </c>
      <c r="H3125" s="3"/>
    </row>
    <row r="3126" spans="1:8" hidden="1">
      <c r="A3126" s="3">
        <v>11353</v>
      </c>
      <c r="B3126" s="7" t="s">
        <v>174</v>
      </c>
      <c r="C3126" s="41">
        <v>425</v>
      </c>
      <c r="D3126" s="6">
        <v>45639</v>
      </c>
      <c r="E3126" s="3" t="str">
        <f ca="1">IF(Tabela2[[#This Row],[Dt Venc:]]&gt;TODAY(),"Em Aberto",IF(Tabela2[[#This Row],[D/venc]]="-","Enviado",IF(Tabela2[[#This Row],[Dt Venc:]]=TODAY(),"Vence Hoje","Vencida")))</f>
        <v>Enviado</v>
      </c>
      <c r="F3126" s="3" t="str">
        <f ca="1">IF(G3126=1,"-",Tabela2[[#This Row],[Dt Venc:]]-TODAY())</f>
        <v>-</v>
      </c>
      <c r="G3126" s="3">
        <v>1</v>
      </c>
      <c r="H3126" s="3"/>
    </row>
    <row r="3127" spans="1:8" hidden="1">
      <c r="A3127" s="3">
        <v>11349</v>
      </c>
      <c r="B3127" s="7" t="s">
        <v>174</v>
      </c>
      <c r="C3127" s="41">
        <v>440</v>
      </c>
      <c r="D3127" s="6">
        <v>45639</v>
      </c>
      <c r="E3127" s="3" t="str">
        <f ca="1">IF(Tabela2[[#This Row],[Dt Venc:]]&gt;TODAY(),"Em Aberto",IF(Tabela2[[#This Row],[D/venc]]="-","Enviado",IF(Tabela2[[#This Row],[Dt Venc:]]=TODAY(),"Vence Hoje","Vencida")))</f>
        <v>Enviado</v>
      </c>
      <c r="F3127" s="3" t="str">
        <f ca="1">IF(G3127=1,"-",Tabela2[[#This Row],[Dt Venc:]]-TODAY())</f>
        <v>-</v>
      </c>
      <c r="G3127" s="3">
        <v>1</v>
      </c>
      <c r="H3127" s="3"/>
    </row>
    <row r="3128" spans="1:8" hidden="1">
      <c r="A3128" s="3">
        <v>174075</v>
      </c>
      <c r="B3128" s="7" t="s">
        <v>211</v>
      </c>
      <c r="C3128" s="41">
        <v>4020.66</v>
      </c>
      <c r="D3128" s="6">
        <v>45639</v>
      </c>
      <c r="E3128" s="3" t="str">
        <f ca="1">IF(Tabela2[[#This Row],[Dt Venc:]]&gt;TODAY(),"Em Aberto",IF(Tabela2[[#This Row],[D/venc]]="-","Enviado",IF(Tabela2[[#This Row],[Dt Venc:]]=TODAY(),"Vence Hoje","Vencida")))</f>
        <v>Enviado</v>
      </c>
      <c r="F3128" s="3" t="str">
        <f ca="1">IF(G3128=1,"-",Tabela2[[#This Row],[Dt Venc:]]-TODAY())</f>
        <v>-</v>
      </c>
      <c r="G3128" s="3">
        <v>1</v>
      </c>
      <c r="H3128" s="3"/>
    </row>
    <row r="3129" spans="1:8" hidden="1">
      <c r="A3129" s="3">
        <v>1516</v>
      </c>
      <c r="B3129" s="7" t="s">
        <v>477</v>
      </c>
      <c r="C3129" s="41">
        <v>658.48</v>
      </c>
      <c r="D3129" s="6">
        <v>45639</v>
      </c>
      <c r="E3129" s="3" t="str">
        <f ca="1">IF(Tabela2[[#This Row],[Dt Venc:]]&gt;TODAY(),"Em Aberto",IF(Tabela2[[#This Row],[D/venc]]="-","Enviado",IF(Tabela2[[#This Row],[Dt Venc:]]=TODAY(),"Vence Hoje","Vencida")))</f>
        <v>Enviado</v>
      </c>
      <c r="F3129" s="3" t="str">
        <f ca="1">IF(G3129=1,"-",Tabela2[[#This Row],[Dt Venc:]]-TODAY())</f>
        <v>-</v>
      </c>
      <c r="G3129" s="3">
        <v>1</v>
      </c>
      <c r="H3129" s="3"/>
    </row>
    <row r="3130" spans="1:8" hidden="1">
      <c r="A3130" s="3">
        <v>270585</v>
      </c>
      <c r="B3130" s="7" t="s">
        <v>427</v>
      </c>
      <c r="C3130" s="41">
        <v>1434.01</v>
      </c>
      <c r="D3130" s="6">
        <v>45639</v>
      </c>
      <c r="E3130" s="3" t="str">
        <f ca="1">IF(Tabela2[[#This Row],[Dt Venc:]]&gt;TODAY(),"Em Aberto",IF(Tabela2[[#This Row],[D/venc]]="-","Enviado",IF(Tabela2[[#This Row],[Dt Venc:]]=TODAY(),"Vence Hoje","Vencida")))</f>
        <v>Enviado</v>
      </c>
      <c r="F3130" s="3" t="str">
        <f ca="1">IF(G3130=1,"-",Tabela2[[#This Row],[Dt Venc:]]-TODAY())</f>
        <v>-</v>
      </c>
      <c r="G3130" s="3">
        <v>1</v>
      </c>
      <c r="H3130" s="3"/>
    </row>
    <row r="3131" spans="1:8" hidden="1">
      <c r="A3131" s="3">
        <v>1998902</v>
      </c>
      <c r="B3131" s="7" t="s">
        <v>59</v>
      </c>
      <c r="C3131" s="41">
        <v>138195</v>
      </c>
      <c r="D3131" s="6">
        <v>45639</v>
      </c>
      <c r="E3131" s="3" t="str">
        <f ca="1">IF(Tabela2[[#This Row],[Dt Venc:]]&gt;TODAY(),"Em Aberto",IF(Tabela2[[#This Row],[D/venc]]="-","Enviado",IF(Tabela2[[#This Row],[Dt Venc:]]=TODAY(),"Vence Hoje","Vencida")))</f>
        <v>Enviado</v>
      </c>
      <c r="F3131" s="3" t="str">
        <f ca="1">IF(G3131=1,"-",Tabela2[[#This Row],[Dt Venc:]]-TODAY())</f>
        <v>-</v>
      </c>
      <c r="G3131" s="3">
        <v>1</v>
      </c>
      <c r="H3131" s="3"/>
    </row>
    <row r="3132" spans="1:8" hidden="1">
      <c r="A3132" s="3">
        <v>10617</v>
      </c>
      <c r="B3132" s="7" t="s">
        <v>76</v>
      </c>
      <c r="C3132" s="41">
        <v>828.12</v>
      </c>
      <c r="D3132" s="6">
        <v>45639</v>
      </c>
      <c r="E3132" s="3" t="str">
        <f ca="1">IF(Tabela2[[#This Row],[Dt Venc:]]&gt;TODAY(),"Em Aberto",IF(Tabela2[[#This Row],[D/venc]]="-","Enviado",IF(Tabela2[[#This Row],[Dt Venc:]]=TODAY(),"Vence Hoje","Vencida")))</f>
        <v>Enviado</v>
      </c>
      <c r="F3132" s="3" t="str">
        <f ca="1">IF(G3132=1,"-",Tabela2[[#This Row],[Dt Venc:]]-TODAY())</f>
        <v>-</v>
      </c>
      <c r="G3132" s="3">
        <v>1</v>
      </c>
      <c r="H3132" s="3"/>
    </row>
    <row r="3133" spans="1:8" hidden="1">
      <c r="A3133" s="3">
        <v>8</v>
      </c>
      <c r="B3133" s="7" t="s">
        <v>537</v>
      </c>
      <c r="C3133" s="41">
        <v>180</v>
      </c>
      <c r="D3133" s="6">
        <v>45639</v>
      </c>
      <c r="E3133" s="3" t="str">
        <f ca="1">IF(Tabela2[[#This Row],[Dt Venc:]]&gt;TODAY(),"Em Aberto",IF(Tabela2[[#This Row],[D/venc]]="-","Enviado",IF(Tabela2[[#This Row],[Dt Venc:]]=TODAY(),"Vence Hoje","Vencida")))</f>
        <v>Enviado</v>
      </c>
      <c r="F3133" s="3" t="str">
        <f ca="1">IF(G3133=1,"-",Tabela2[[#This Row],[Dt Venc:]]-TODAY())</f>
        <v>-</v>
      </c>
      <c r="G3133" s="3">
        <v>1</v>
      </c>
      <c r="H3133" s="3"/>
    </row>
    <row r="3134" spans="1:8" hidden="1">
      <c r="A3134" s="3">
        <v>11137</v>
      </c>
      <c r="B3134" s="7" t="s">
        <v>33</v>
      </c>
      <c r="C3134" s="41">
        <v>1905</v>
      </c>
      <c r="D3134" s="6">
        <v>45640</v>
      </c>
      <c r="E3134" s="3" t="str">
        <f ca="1">IF(Tabela2[[#This Row],[Dt Venc:]]&gt;TODAY(),"Em Aberto",IF(Tabela2[[#This Row],[D/venc]]="-","Enviado",IF(Tabela2[[#This Row],[Dt Venc:]]=TODAY(),"Vence Hoje","Vencida")))</f>
        <v>Enviado</v>
      </c>
      <c r="F3134" s="3" t="str">
        <f ca="1">IF(G3134=1,"-",Tabela2[[#This Row],[Dt Venc:]]-TODAY())</f>
        <v>-</v>
      </c>
      <c r="G3134" s="3">
        <v>1</v>
      </c>
      <c r="H3134" s="3"/>
    </row>
    <row r="3135" spans="1:8" hidden="1">
      <c r="A3135" s="3">
        <v>269864</v>
      </c>
      <c r="B3135" s="7" t="s">
        <v>36</v>
      </c>
      <c r="C3135" s="41">
        <v>415</v>
      </c>
      <c r="D3135" s="6">
        <v>45640</v>
      </c>
      <c r="E3135" s="3" t="str">
        <f ca="1">IF(Tabela2[[#This Row],[Dt Venc:]]&gt;TODAY(),"Em Aberto",IF(Tabela2[[#This Row],[D/venc]]="-","Enviado",IF(Tabela2[[#This Row],[Dt Venc:]]=TODAY(),"Vence Hoje","Vencida")))</f>
        <v>Enviado</v>
      </c>
      <c r="F3135" s="3" t="str">
        <f ca="1">IF(G3135=1,"-",Tabela2[[#This Row],[Dt Venc:]]-TODAY())</f>
        <v>-</v>
      </c>
      <c r="G3135" s="3">
        <v>1</v>
      </c>
      <c r="H3135" s="3"/>
    </row>
    <row r="3136" spans="1:8" hidden="1">
      <c r="A3136" s="3">
        <v>428699</v>
      </c>
      <c r="B3136" s="7" t="s">
        <v>89</v>
      </c>
      <c r="C3136" s="41">
        <v>604.44000000000005</v>
      </c>
      <c r="D3136" s="6">
        <v>45640</v>
      </c>
      <c r="E3136" s="3" t="str">
        <f ca="1">IF(Tabela2[[#This Row],[Dt Venc:]]&gt;TODAY(),"Em Aberto",IF(Tabela2[[#This Row],[D/venc]]="-","Enviado",IF(Tabela2[[#This Row],[Dt Venc:]]=TODAY(),"Vence Hoje","Vencida")))</f>
        <v>Enviado</v>
      </c>
      <c r="F3136" s="3" t="str">
        <f ca="1">IF(G3136=1,"-",Tabela2[[#This Row],[Dt Venc:]]-TODAY())</f>
        <v>-</v>
      </c>
      <c r="G3136" s="3">
        <v>1</v>
      </c>
      <c r="H3136" s="3"/>
    </row>
    <row r="3137" spans="1:8" hidden="1">
      <c r="A3137" s="3">
        <v>23309</v>
      </c>
      <c r="B3137" s="7" t="s">
        <v>38</v>
      </c>
      <c r="C3137" s="41">
        <v>1500</v>
      </c>
      <c r="D3137" s="6">
        <v>45640</v>
      </c>
      <c r="E3137" s="3" t="str">
        <f ca="1">IF(Tabela2[[#This Row],[Dt Venc:]]&gt;TODAY(),"Em Aberto",IF(Tabela2[[#This Row],[D/venc]]="-","Enviado",IF(Tabela2[[#This Row],[Dt Venc:]]=TODAY(),"Vence Hoje","Vencida")))</f>
        <v>Enviado</v>
      </c>
      <c r="F3137" s="3" t="str">
        <f ca="1">IF(G3137=1,"-",Tabela2[[#This Row],[Dt Venc:]]-TODAY())</f>
        <v>-</v>
      </c>
      <c r="G3137" s="3">
        <v>1</v>
      </c>
      <c r="H3137" s="3"/>
    </row>
    <row r="3138" spans="1:8" hidden="1">
      <c r="A3138" s="3">
        <v>144788</v>
      </c>
      <c r="B3138" s="7" t="s">
        <v>127</v>
      </c>
      <c r="C3138" s="42">
        <v>717.5</v>
      </c>
      <c r="D3138" s="6">
        <v>45640</v>
      </c>
      <c r="E3138" s="3" t="str">
        <f ca="1">IF(Tabela2[[#This Row],[Dt Venc:]]&gt;TODAY(),"Em Aberto",IF(Tabela2[[#This Row],[D/venc]]="-","Enviado",IF(Tabela2[[#This Row],[Dt Venc:]]=TODAY(),"Vence Hoje","Vencida")))</f>
        <v>Enviado</v>
      </c>
      <c r="F3138" s="3" t="str">
        <f ca="1">IF(G3138=1,"-",Tabela2[[#This Row],[Dt Venc:]]-TODAY())</f>
        <v>-</v>
      </c>
      <c r="G3138" s="3">
        <v>1</v>
      </c>
      <c r="H3138" s="3"/>
    </row>
    <row r="3139" spans="1:8" hidden="1">
      <c r="A3139" s="3">
        <v>750868</v>
      </c>
      <c r="B3139" s="7" t="s">
        <v>127</v>
      </c>
      <c r="C3139" s="42">
        <v>625.48</v>
      </c>
      <c r="D3139" s="6">
        <v>45640</v>
      </c>
      <c r="E3139" s="3" t="str">
        <f ca="1">IF(Tabela2[[#This Row],[Dt Venc:]]&gt;TODAY(),"Em Aberto",IF(Tabela2[[#This Row],[D/venc]]="-","Enviado",IF(Tabela2[[#This Row],[Dt Venc:]]=TODAY(),"Vence Hoje","Vencida")))</f>
        <v>Enviado</v>
      </c>
      <c r="F3139" s="3" t="str">
        <f ca="1">IF(G3139=1,"-",Tabela2[[#This Row],[Dt Venc:]]-TODAY())</f>
        <v>-</v>
      </c>
      <c r="G3139" s="3">
        <v>1</v>
      </c>
      <c r="H3139" s="3"/>
    </row>
    <row r="3140" spans="1:8" hidden="1">
      <c r="A3140" s="3">
        <v>31578</v>
      </c>
      <c r="B3140" s="7" t="s">
        <v>538</v>
      </c>
      <c r="C3140" s="41">
        <v>1310</v>
      </c>
      <c r="D3140" s="6">
        <v>45640</v>
      </c>
      <c r="E3140" s="3" t="str">
        <f ca="1">IF(Tabela2[[#This Row],[Dt Venc:]]&gt;TODAY(),"Em Aberto",IF(Tabela2[[#This Row],[D/venc]]="-","Enviado",IF(Tabela2[[#This Row],[Dt Venc:]]=TODAY(),"Vence Hoje","Vencida")))</f>
        <v>Enviado</v>
      </c>
      <c r="F3140" s="3" t="str">
        <f ca="1">IF(G3140=1,"-",Tabela2[[#This Row],[Dt Venc:]]-TODAY())</f>
        <v>-</v>
      </c>
      <c r="G3140" s="3">
        <v>1</v>
      </c>
      <c r="H3140" s="3"/>
    </row>
    <row r="3141" spans="1:8" hidden="1">
      <c r="A3141" s="3">
        <v>446592</v>
      </c>
      <c r="B3141" s="7" t="s">
        <v>512</v>
      </c>
      <c r="C3141" s="41">
        <v>474.45</v>
      </c>
      <c r="D3141" s="6">
        <v>45640</v>
      </c>
      <c r="E3141" s="3" t="str">
        <f ca="1">IF(Tabela2[[#This Row],[Dt Venc:]]&gt;TODAY(),"Em Aberto",IF(Tabela2[[#This Row],[D/venc]]="-","Enviado",IF(Tabela2[[#This Row],[Dt Venc:]]=TODAY(),"Vence Hoje","Vencida")))</f>
        <v>Enviado</v>
      </c>
      <c r="F3141" s="3" t="str">
        <f ca="1">IF(G3141=1,"-",Tabela2[[#This Row],[Dt Venc:]]-TODAY())</f>
        <v>-</v>
      </c>
      <c r="G3141" s="3">
        <v>1</v>
      </c>
      <c r="H3141" s="3"/>
    </row>
    <row r="3142" spans="1:8" hidden="1">
      <c r="A3142" s="3">
        <v>49287</v>
      </c>
      <c r="B3142" s="7" t="s">
        <v>257</v>
      </c>
      <c r="C3142" s="42">
        <v>922.27</v>
      </c>
      <c r="D3142" s="6">
        <v>45640</v>
      </c>
      <c r="E3142" s="3" t="str">
        <f ca="1">IF(Tabela2[[#This Row],[Dt Venc:]]&gt;TODAY(),"Em Aberto",IF(Tabela2[[#This Row],[D/venc]]="-","Enviado",IF(Tabela2[[#This Row],[Dt Venc:]]=TODAY(),"Vence Hoje","Vencida")))</f>
        <v>Enviado</v>
      </c>
      <c r="F3142" s="3" t="str">
        <f ca="1">IF(G3142=1,"-",Tabela2[[#This Row],[Dt Venc:]]-TODAY())</f>
        <v>-</v>
      </c>
      <c r="G3142" s="3">
        <v>1</v>
      </c>
      <c r="H3142" s="3"/>
    </row>
    <row r="3143" spans="1:8" hidden="1">
      <c r="A3143" s="3">
        <v>49288</v>
      </c>
      <c r="B3143" s="7" t="s">
        <v>257</v>
      </c>
      <c r="C3143" s="42">
        <v>669.71</v>
      </c>
      <c r="D3143" s="6">
        <v>45640</v>
      </c>
      <c r="E3143" s="3" t="str">
        <f ca="1">IF(Tabela2[[#This Row],[Dt Venc:]]&gt;TODAY(),"Em Aberto",IF(Tabela2[[#This Row],[D/venc]]="-","Enviado",IF(Tabela2[[#This Row],[Dt Venc:]]=TODAY(),"Vence Hoje","Vencida")))</f>
        <v>Enviado</v>
      </c>
      <c r="F3143" s="3" t="str">
        <f ca="1">IF(G3143=1,"-",Tabela2[[#This Row],[Dt Venc:]]-TODAY())</f>
        <v>-</v>
      </c>
      <c r="G3143" s="3">
        <v>1</v>
      </c>
      <c r="H3143" s="3"/>
    </row>
    <row r="3144" spans="1:8" hidden="1">
      <c r="A3144" s="3">
        <v>49289</v>
      </c>
      <c r="B3144" s="7" t="s">
        <v>257</v>
      </c>
      <c r="C3144" s="42">
        <v>976.06</v>
      </c>
      <c r="D3144" s="6">
        <v>45640</v>
      </c>
      <c r="E3144" s="3" t="str">
        <f ca="1">IF(Tabela2[[#This Row],[Dt Venc:]]&gt;TODAY(),"Em Aberto",IF(Tabela2[[#This Row],[D/venc]]="-","Enviado",IF(Tabela2[[#This Row],[Dt Venc:]]=TODAY(),"Vence Hoje","Vencida")))</f>
        <v>Enviado</v>
      </c>
      <c r="F3144" s="3" t="str">
        <f ca="1">IF(G3144=1,"-",Tabela2[[#This Row],[Dt Venc:]]-TODAY())</f>
        <v>-</v>
      </c>
      <c r="G3144" s="3">
        <v>1</v>
      </c>
      <c r="H3144" s="3"/>
    </row>
    <row r="3145" spans="1:8" hidden="1">
      <c r="A3145" s="3">
        <v>4206</v>
      </c>
      <c r="B3145" s="7" t="s">
        <v>539</v>
      </c>
      <c r="C3145" s="41">
        <v>964.45</v>
      </c>
      <c r="D3145" s="6">
        <v>45640</v>
      </c>
      <c r="E3145" s="3" t="str">
        <f ca="1">IF(Tabela2[[#This Row],[Dt Venc:]]&gt;TODAY(),"Em Aberto",IF(Tabela2[[#This Row],[D/venc]]="-","Enviado",IF(Tabela2[[#This Row],[Dt Venc:]]=TODAY(),"Vence Hoje","Vencida")))</f>
        <v>Enviado</v>
      </c>
      <c r="F3145" s="3" t="str">
        <f ca="1">IF(G3145=1,"-",Tabela2[[#This Row],[Dt Venc:]]-TODAY())</f>
        <v>-</v>
      </c>
      <c r="G3145" s="3">
        <v>1</v>
      </c>
      <c r="H3145" s="3"/>
    </row>
    <row r="3146" spans="1:8" hidden="1">
      <c r="A3146" s="3">
        <v>89325</v>
      </c>
      <c r="B3146" s="7" t="s">
        <v>207</v>
      </c>
      <c r="C3146" s="41">
        <v>550</v>
      </c>
      <c r="D3146" s="6">
        <v>45640</v>
      </c>
      <c r="E3146" s="3" t="str">
        <f ca="1">IF(Tabela2[[#This Row],[Dt Venc:]]&gt;TODAY(),"Em Aberto",IF(Tabela2[[#This Row],[D/venc]]="-","Enviado",IF(Tabela2[[#This Row],[Dt Venc:]]=TODAY(),"Vence Hoje","Vencida")))</f>
        <v>Enviado</v>
      </c>
      <c r="F3146" s="3" t="str">
        <f ca="1">IF(G3146=1,"-",Tabela2[[#This Row],[Dt Venc:]]-TODAY())</f>
        <v>-</v>
      </c>
      <c r="G3146" s="3">
        <v>1</v>
      </c>
      <c r="H3146" s="3"/>
    </row>
    <row r="3147" spans="1:8" hidden="1">
      <c r="A3147" s="3">
        <v>88409</v>
      </c>
      <c r="B3147" s="7" t="s">
        <v>429</v>
      </c>
      <c r="C3147" s="41">
        <v>480</v>
      </c>
      <c r="D3147" s="6">
        <v>45640</v>
      </c>
      <c r="E3147" s="3" t="str">
        <f ca="1">IF(Tabela2[[#This Row],[Dt Venc:]]&gt;TODAY(),"Em Aberto",IF(Tabela2[[#This Row],[D/venc]]="-","Enviado",IF(Tabela2[[#This Row],[Dt Venc:]]=TODAY(),"Vence Hoje","Vencida")))</f>
        <v>Enviado</v>
      </c>
      <c r="F3147" s="3" t="str">
        <f ca="1">IF(G3147=1,"-",Tabela2[[#This Row],[Dt Venc:]]-TODAY())</f>
        <v>-</v>
      </c>
      <c r="G3147" s="3">
        <v>1</v>
      </c>
      <c r="H3147" s="3"/>
    </row>
    <row r="3148" spans="1:8" hidden="1">
      <c r="A3148" s="3">
        <v>153616</v>
      </c>
      <c r="B3148" s="7" t="s">
        <v>240</v>
      </c>
      <c r="C3148" s="41">
        <v>447</v>
      </c>
      <c r="D3148" s="6">
        <v>45640</v>
      </c>
      <c r="E3148" s="3" t="str">
        <f ca="1">IF(Tabela2[[#This Row],[Dt Venc:]]&gt;TODAY(),"Em Aberto",IF(Tabela2[[#This Row],[D/venc]]="-","Enviado",IF(Tabela2[[#This Row],[Dt Venc:]]=TODAY(),"Vence Hoje","Vencida")))</f>
        <v>Enviado</v>
      </c>
      <c r="F3148" s="3" t="str">
        <f ca="1">IF(G3148=1,"-",Tabela2[[#This Row],[Dt Venc:]]-TODAY())</f>
        <v>-</v>
      </c>
      <c r="G3148" s="3">
        <v>1</v>
      </c>
      <c r="H3148" s="3"/>
    </row>
    <row r="3149" spans="1:8" hidden="1">
      <c r="A3149" s="3">
        <v>6154</v>
      </c>
      <c r="B3149" s="7" t="s">
        <v>47</v>
      </c>
      <c r="C3149" s="41">
        <v>1675.33</v>
      </c>
      <c r="D3149" s="6">
        <v>45640</v>
      </c>
      <c r="E3149" s="3" t="str">
        <f ca="1">IF(Tabela2[[#This Row],[Dt Venc:]]&gt;TODAY(),"Em Aberto",IF(Tabela2[[#This Row],[D/venc]]="-","Enviado",IF(Tabela2[[#This Row],[Dt Venc:]]=TODAY(),"Vence Hoje","Vencida")))</f>
        <v>Enviado</v>
      </c>
      <c r="F3149" s="3" t="str">
        <f ca="1">IF(G3149=1,"-",Tabela2[[#This Row],[Dt Venc:]]-TODAY())</f>
        <v>-</v>
      </c>
      <c r="G3149" s="3">
        <v>1</v>
      </c>
      <c r="H3149" s="3"/>
    </row>
    <row r="3150" spans="1:8" hidden="1">
      <c r="A3150" s="3">
        <v>6155</v>
      </c>
      <c r="B3150" s="7" t="s">
        <v>47</v>
      </c>
      <c r="C3150" s="41">
        <v>2369.0100000000002</v>
      </c>
      <c r="D3150" s="6">
        <v>45640</v>
      </c>
      <c r="E3150" s="3" t="str">
        <f ca="1">IF(Tabela2[[#This Row],[Dt Venc:]]&gt;TODAY(),"Em Aberto",IF(Tabela2[[#This Row],[D/venc]]="-","Enviado",IF(Tabela2[[#This Row],[Dt Venc:]]=TODAY(),"Vence Hoje","Vencida")))</f>
        <v>Enviado</v>
      </c>
      <c r="F3150" s="3" t="str">
        <f ca="1">IF(G3150=1,"-",Tabela2[[#This Row],[Dt Venc:]]-TODAY())</f>
        <v>-</v>
      </c>
      <c r="G3150" s="3">
        <v>1</v>
      </c>
      <c r="H3150" s="3"/>
    </row>
    <row r="3151" spans="1:8" hidden="1">
      <c r="A3151" s="3">
        <v>6146</v>
      </c>
      <c r="B3151" s="7" t="s">
        <v>47</v>
      </c>
      <c r="C3151" s="41">
        <v>370.67</v>
      </c>
      <c r="D3151" s="6">
        <v>45640</v>
      </c>
      <c r="E3151" s="3" t="str">
        <f ca="1">IF(Tabela2[[#This Row],[Dt Venc:]]&gt;TODAY(),"Em Aberto",IF(Tabela2[[#This Row],[D/venc]]="-","Enviado",IF(Tabela2[[#This Row],[Dt Venc:]]=TODAY(),"Vence Hoje","Vencida")))</f>
        <v>Enviado</v>
      </c>
      <c r="F3151" s="3" t="str">
        <f ca="1">IF(G3151=1,"-",Tabela2[[#This Row],[Dt Venc:]]-TODAY())</f>
        <v>-</v>
      </c>
      <c r="G3151" s="3">
        <v>1</v>
      </c>
      <c r="H3151" s="3"/>
    </row>
    <row r="3152" spans="1:8" hidden="1">
      <c r="A3152" s="3">
        <v>11881</v>
      </c>
      <c r="B3152" s="7" t="s">
        <v>540</v>
      </c>
      <c r="C3152" s="41">
        <v>12165.45</v>
      </c>
      <c r="D3152" s="6">
        <v>45640</v>
      </c>
      <c r="E3152" s="3" t="str">
        <f ca="1">IF(Tabela2[[#This Row],[Dt Venc:]]&gt;TODAY(),"Em Aberto",IF(Tabela2[[#This Row],[D/venc]]="-","Enviado",IF(Tabela2[[#This Row],[Dt Venc:]]=TODAY(),"Vence Hoje","Vencida")))</f>
        <v>Enviado</v>
      </c>
      <c r="F3152" s="3" t="str">
        <f ca="1">IF(G3152=1,"-",Tabela2[[#This Row],[Dt Venc:]]-TODAY())</f>
        <v>-</v>
      </c>
      <c r="G3152" s="3">
        <v>1</v>
      </c>
      <c r="H3152" s="3"/>
    </row>
    <row r="3153" spans="1:8" hidden="1">
      <c r="A3153" s="3">
        <v>270852</v>
      </c>
      <c r="B3153" s="7" t="s">
        <v>427</v>
      </c>
      <c r="C3153" s="41">
        <v>206.29</v>
      </c>
      <c r="D3153" s="6">
        <v>45640</v>
      </c>
      <c r="E3153" s="3" t="str">
        <f ca="1">IF(Tabela2[[#This Row],[Dt Venc:]]&gt;TODAY(),"Em Aberto",IF(Tabela2[[#This Row],[D/venc]]="-","Enviado",IF(Tabela2[[#This Row],[Dt Venc:]]=TODAY(),"Vence Hoje","Vencida")))</f>
        <v>Enviado</v>
      </c>
      <c r="F3153" s="3" t="str">
        <f ca="1">IF(G3153=1,"-",Tabela2[[#This Row],[Dt Venc:]]-TODAY())</f>
        <v>-</v>
      </c>
      <c r="G3153" s="3">
        <v>1</v>
      </c>
      <c r="H3153" s="3"/>
    </row>
    <row r="3154" spans="1:8" hidden="1">
      <c r="A3154" s="3">
        <v>270886</v>
      </c>
      <c r="B3154" s="7" t="s">
        <v>427</v>
      </c>
      <c r="C3154" s="41">
        <v>58.7</v>
      </c>
      <c r="D3154" s="6">
        <v>45640</v>
      </c>
      <c r="E3154" s="3" t="str">
        <f ca="1">IF(Tabela2[[#This Row],[Dt Venc:]]&gt;TODAY(),"Em Aberto",IF(Tabela2[[#This Row],[D/venc]]="-","Enviado",IF(Tabela2[[#This Row],[Dt Venc:]]=TODAY(),"Vence Hoje","Vencida")))</f>
        <v>Enviado</v>
      </c>
      <c r="F3154" s="3" t="str">
        <f ca="1">IF(G3154=1,"-",Tabela2[[#This Row],[Dt Venc:]]-TODAY())</f>
        <v>-</v>
      </c>
      <c r="G3154" s="3">
        <v>1</v>
      </c>
      <c r="H3154" s="3"/>
    </row>
    <row r="3155" spans="1:8" hidden="1">
      <c r="A3155" s="3">
        <v>3317781</v>
      </c>
      <c r="B3155" s="7" t="s">
        <v>71</v>
      </c>
      <c r="C3155" s="41">
        <v>111486</v>
      </c>
      <c r="D3155" s="6">
        <v>45640</v>
      </c>
      <c r="E3155" s="3" t="str">
        <f ca="1">IF(Tabela2[[#This Row],[Dt Venc:]]&gt;TODAY(),"Em Aberto",IF(Tabela2[[#This Row],[D/venc]]="-","Enviado",IF(Tabela2[[#This Row],[Dt Venc:]]=TODAY(),"Vence Hoje","Vencida")))</f>
        <v>Enviado</v>
      </c>
      <c r="F3155" s="3" t="str">
        <f ca="1">IF(G3155=1,"-",Tabela2[[#This Row],[Dt Venc:]]-TODAY())</f>
        <v>-</v>
      </c>
      <c r="G3155" s="3">
        <v>1</v>
      </c>
      <c r="H3155" s="3"/>
    </row>
    <row r="3156" spans="1:8" hidden="1">
      <c r="A3156" s="3">
        <v>2714</v>
      </c>
      <c r="B3156" s="7" t="s">
        <v>541</v>
      </c>
      <c r="C3156" s="41">
        <v>1000</v>
      </c>
      <c r="D3156" s="6">
        <v>45640</v>
      </c>
      <c r="E3156" s="3" t="str">
        <f ca="1">IF(Tabela2[[#This Row],[Dt Venc:]]&gt;TODAY(),"Em Aberto",IF(Tabela2[[#This Row],[D/venc]]="-","Enviado",IF(Tabela2[[#This Row],[Dt Venc:]]=TODAY(),"Vence Hoje","Vencida")))</f>
        <v>Enviado</v>
      </c>
      <c r="F3156" s="3" t="str">
        <f ca="1">IF(G3156=1,"-",Tabela2[[#This Row],[Dt Venc:]]-TODAY())</f>
        <v>-</v>
      </c>
      <c r="G3156" s="3">
        <v>1</v>
      </c>
      <c r="H3156" s="3"/>
    </row>
    <row r="3157" spans="1:8" hidden="1">
      <c r="A3157" s="3">
        <v>31437</v>
      </c>
      <c r="B3157" s="7" t="s">
        <v>542</v>
      </c>
      <c r="C3157" s="41">
        <v>3070.66</v>
      </c>
      <c r="D3157" s="6">
        <v>45640</v>
      </c>
      <c r="E3157" s="3" t="str">
        <f ca="1">IF(Tabela2[[#This Row],[Dt Venc:]]&gt;TODAY(),"Em Aberto",IF(Tabela2[[#This Row],[D/venc]]="-","Enviado",IF(Tabela2[[#This Row],[Dt Venc:]]=TODAY(),"Vence Hoje","Vencida")))</f>
        <v>Enviado</v>
      </c>
      <c r="F3157" s="3" t="str">
        <f ca="1">IF(G3157=1,"-",Tabela2[[#This Row],[Dt Venc:]]-TODAY())</f>
        <v>-</v>
      </c>
      <c r="G3157" s="3">
        <v>1</v>
      </c>
      <c r="H3157" s="3"/>
    </row>
    <row r="3158" spans="1:8" hidden="1">
      <c r="A3158" s="3">
        <v>36846</v>
      </c>
      <c r="B3158" s="7" t="s">
        <v>167</v>
      </c>
      <c r="C3158" s="84" t="s">
        <v>32</v>
      </c>
      <c r="D3158" s="6">
        <v>45641</v>
      </c>
      <c r="E3158" s="3" t="str">
        <f ca="1">IF(Tabela2[[#This Row],[Dt Venc:]]&gt;TODAY(),"Em Aberto",IF(Tabela2[[#This Row],[D/venc]]="-","Enviado",IF(Tabela2[[#This Row],[Dt Venc:]]=TODAY(),"Vence Hoje","Vencida")))</f>
        <v>Enviado</v>
      </c>
      <c r="F3158" s="3" t="str">
        <f ca="1">IF(G3158=1,"-",Tabela2[[#This Row],[Dt Venc:]]-TODAY())</f>
        <v>-</v>
      </c>
      <c r="G3158" s="3">
        <v>1</v>
      </c>
      <c r="H3158" s="3"/>
    </row>
    <row r="3159" spans="1:8" hidden="1">
      <c r="A3159" s="3">
        <v>11028</v>
      </c>
      <c r="B3159" s="7" t="s">
        <v>33</v>
      </c>
      <c r="C3159" s="41">
        <v>1576.8</v>
      </c>
      <c r="D3159" s="6">
        <v>45641</v>
      </c>
      <c r="E3159" s="3" t="str">
        <f ca="1">IF(Tabela2[[#This Row],[Dt Venc:]]&gt;TODAY(),"Em Aberto",IF(Tabela2[[#This Row],[D/venc]]="-","Enviado",IF(Tabela2[[#This Row],[Dt Venc:]]=TODAY(),"Vence Hoje","Vencida")))</f>
        <v>Enviado</v>
      </c>
      <c r="F3159" s="3" t="str">
        <f ca="1">IF(G3159=1,"-",Tabela2[[#This Row],[Dt Venc:]]-TODAY())</f>
        <v>-</v>
      </c>
      <c r="G3159" s="3">
        <v>1</v>
      </c>
      <c r="H3159" s="3"/>
    </row>
    <row r="3160" spans="1:8" hidden="1">
      <c r="A3160" s="3">
        <v>361229</v>
      </c>
      <c r="B3160" s="7" t="s">
        <v>250</v>
      </c>
      <c r="C3160" s="84" t="s">
        <v>32</v>
      </c>
      <c r="D3160" s="6">
        <v>45641</v>
      </c>
      <c r="E3160" s="3" t="str">
        <f ca="1">IF(Tabela2[[#This Row],[Dt Venc:]]&gt;TODAY(),"Em Aberto",IF(Tabela2[[#This Row],[D/venc]]="-","Enviado",IF(Tabela2[[#This Row],[Dt Venc:]]=TODAY(),"Vence Hoje","Vencida")))</f>
        <v>Enviado</v>
      </c>
      <c r="F3160" s="3" t="str">
        <f ca="1">IF(G3160=1,"-",Tabela2[[#This Row],[Dt Venc:]]-TODAY())</f>
        <v>-</v>
      </c>
      <c r="G3160" s="3">
        <v>1</v>
      </c>
      <c r="H3160" s="3"/>
    </row>
    <row r="3161" spans="1:8" hidden="1">
      <c r="A3161" s="3">
        <v>361237</v>
      </c>
      <c r="B3161" s="7" t="s">
        <v>250</v>
      </c>
      <c r="C3161" s="84" t="s">
        <v>32</v>
      </c>
      <c r="D3161" s="6">
        <v>45641</v>
      </c>
      <c r="E3161" s="3" t="str">
        <f ca="1">IF(Tabela2[[#This Row],[Dt Venc:]]&gt;TODAY(),"Em Aberto",IF(Tabela2[[#This Row],[D/venc]]="-","Enviado",IF(Tabela2[[#This Row],[Dt Venc:]]=TODAY(),"Vence Hoje","Vencida")))</f>
        <v>Enviado</v>
      </c>
      <c r="F3161" s="3" t="str">
        <f ca="1">IF(G3161=1,"-",Tabela2[[#This Row],[Dt Venc:]]-TODAY())</f>
        <v>-</v>
      </c>
      <c r="G3161" s="3">
        <v>1</v>
      </c>
      <c r="H3161" s="3"/>
    </row>
    <row r="3162" spans="1:8" hidden="1">
      <c r="A3162" s="3">
        <v>365658</v>
      </c>
      <c r="B3162" s="7" t="s">
        <v>250</v>
      </c>
      <c r="C3162" s="84" t="s">
        <v>32</v>
      </c>
      <c r="D3162" s="6">
        <v>45641</v>
      </c>
      <c r="E3162" s="3" t="str">
        <f ca="1">IF(Tabela2[[#This Row],[Dt Venc:]]&gt;TODAY(),"Em Aberto",IF(Tabela2[[#This Row],[D/venc]]="-","Enviado",IF(Tabela2[[#This Row],[Dt Venc:]]=TODAY(),"Vence Hoje","Vencida")))</f>
        <v>Enviado</v>
      </c>
      <c r="F3162" s="3" t="str">
        <f ca="1">IF(G3162=1,"-",Tabela2[[#This Row],[Dt Venc:]]-TODAY())</f>
        <v>-</v>
      </c>
      <c r="G3162" s="3">
        <v>1</v>
      </c>
      <c r="H3162" s="3"/>
    </row>
    <row r="3163" spans="1:8" hidden="1">
      <c r="A3163" s="3">
        <v>365666</v>
      </c>
      <c r="B3163" s="7" t="s">
        <v>250</v>
      </c>
      <c r="C3163" s="84" t="s">
        <v>32</v>
      </c>
      <c r="D3163" s="6">
        <v>45641</v>
      </c>
      <c r="E3163" s="3" t="str">
        <f ca="1">IF(Tabela2[[#This Row],[Dt Venc:]]&gt;TODAY(),"Em Aberto",IF(Tabela2[[#This Row],[D/venc]]="-","Enviado",IF(Tabela2[[#This Row],[Dt Venc:]]=TODAY(),"Vence Hoje","Vencida")))</f>
        <v>Enviado</v>
      </c>
      <c r="F3163" s="3" t="str">
        <f ca="1">IF(G3163=1,"-",Tabela2[[#This Row],[Dt Venc:]]-TODAY())</f>
        <v>-</v>
      </c>
      <c r="G3163" s="3">
        <v>1</v>
      </c>
      <c r="H3163" s="3"/>
    </row>
    <row r="3164" spans="1:8" hidden="1">
      <c r="A3164" s="3">
        <v>365674</v>
      </c>
      <c r="B3164" s="7" t="s">
        <v>250</v>
      </c>
      <c r="C3164" s="84" t="s">
        <v>32</v>
      </c>
      <c r="D3164" s="6">
        <v>45641</v>
      </c>
      <c r="E3164" s="3" t="str">
        <f ca="1">IF(Tabela2[[#This Row],[Dt Venc:]]&gt;TODAY(),"Em Aberto",IF(Tabela2[[#This Row],[D/venc]]="-","Enviado",IF(Tabela2[[#This Row],[Dt Venc:]]=TODAY(),"Vence Hoje","Vencida")))</f>
        <v>Enviado</v>
      </c>
      <c r="F3164" s="3" t="str">
        <f ca="1">IF(G3164=1,"-",Tabela2[[#This Row],[Dt Venc:]]-TODAY())</f>
        <v>-</v>
      </c>
      <c r="G3164" s="3">
        <v>1</v>
      </c>
      <c r="H3164" s="3"/>
    </row>
    <row r="3165" spans="1:8" hidden="1">
      <c r="A3165" s="3">
        <v>365682</v>
      </c>
      <c r="B3165" s="7" t="s">
        <v>250</v>
      </c>
      <c r="C3165" s="84" t="s">
        <v>32</v>
      </c>
      <c r="D3165" s="6">
        <v>45641</v>
      </c>
      <c r="E3165" s="3" t="str">
        <f ca="1">IF(Tabela2[[#This Row],[Dt Venc:]]&gt;TODAY(),"Em Aberto",IF(Tabela2[[#This Row],[D/venc]]="-","Enviado",IF(Tabela2[[#This Row],[Dt Venc:]]=TODAY(),"Vence Hoje","Vencida")))</f>
        <v>Enviado</v>
      </c>
      <c r="F3165" s="3" t="str">
        <f ca="1">IF(G3165=1,"-",Tabela2[[#This Row],[Dt Venc:]]-TODAY())</f>
        <v>-</v>
      </c>
      <c r="G3165" s="3">
        <v>1</v>
      </c>
      <c r="H3165" s="3"/>
    </row>
    <row r="3166" spans="1:8" hidden="1">
      <c r="A3166" s="3">
        <v>369335</v>
      </c>
      <c r="B3166" s="7" t="s">
        <v>543</v>
      </c>
      <c r="C3166" s="87" t="s">
        <v>32</v>
      </c>
      <c r="D3166" s="6">
        <v>45641</v>
      </c>
      <c r="E3166" s="3" t="str">
        <f ca="1">IF(Tabela2[[#This Row],[Dt Venc:]]&gt;TODAY(),"Em Aberto",IF(Tabela2[[#This Row],[D/venc]]="-","Enviado",IF(Tabela2[[#This Row],[Dt Venc:]]=TODAY(),"Vence Hoje","Vencida")))</f>
        <v>Enviado</v>
      </c>
      <c r="F3166" s="3" t="str">
        <f ca="1">IF(G3166=1,"-",Tabela2[[#This Row],[Dt Venc:]]-TODAY())</f>
        <v>-</v>
      </c>
      <c r="G3166" s="3">
        <v>1</v>
      </c>
      <c r="H3166" s="3"/>
    </row>
    <row r="3167" spans="1:8" hidden="1">
      <c r="A3167" s="3">
        <v>369696</v>
      </c>
      <c r="B3167" s="7" t="s">
        <v>543</v>
      </c>
      <c r="C3167" s="87" t="s">
        <v>32</v>
      </c>
      <c r="D3167" s="6">
        <v>45641</v>
      </c>
      <c r="E3167" s="3" t="str">
        <f ca="1">IF(Tabela2[[#This Row],[Dt Venc:]]&gt;TODAY(),"Em Aberto",IF(Tabela2[[#This Row],[D/venc]]="-","Enviado",IF(Tabela2[[#This Row],[Dt Venc:]]=TODAY(),"Vence Hoje","Vencida")))</f>
        <v>Enviado</v>
      </c>
      <c r="F3167" s="3" t="str">
        <f ca="1">IF(G3167=1,"-",Tabela2[[#This Row],[Dt Venc:]]-TODAY())</f>
        <v>-</v>
      </c>
      <c r="G3167" s="3">
        <v>1</v>
      </c>
      <c r="H3167" s="3"/>
    </row>
    <row r="3168" spans="1:8" hidden="1">
      <c r="A3168" s="3">
        <v>369726</v>
      </c>
      <c r="B3168" s="7" t="s">
        <v>543</v>
      </c>
      <c r="C3168" s="85" t="s">
        <v>32</v>
      </c>
      <c r="D3168" s="6">
        <v>45641</v>
      </c>
      <c r="E3168" s="3" t="str">
        <f ca="1">IF(Tabela2[[#This Row],[Dt Venc:]]&gt;TODAY(),"Em Aberto",IF(Tabela2[[#This Row],[D/venc]]="-","Enviado",IF(Tabela2[[#This Row],[Dt Venc:]]=TODAY(),"Vence Hoje","Vencida")))</f>
        <v>Enviado</v>
      </c>
      <c r="F3168" s="3" t="str">
        <f ca="1">IF(G3168=1,"-",Tabela2[[#This Row],[Dt Venc:]]-TODAY())</f>
        <v>-</v>
      </c>
      <c r="G3168" s="3">
        <v>1</v>
      </c>
      <c r="H3168" s="3"/>
    </row>
    <row r="3169" spans="1:8" hidden="1">
      <c r="A3169" s="3">
        <v>748099</v>
      </c>
      <c r="B3169" s="7" t="s">
        <v>81</v>
      </c>
      <c r="C3169" s="84" t="s">
        <v>32</v>
      </c>
      <c r="D3169" s="6">
        <v>45641</v>
      </c>
      <c r="E3169" s="3" t="str">
        <f ca="1">IF(Tabela2[[#This Row],[Dt Venc:]]&gt;TODAY(),"Em Aberto",IF(Tabela2[[#This Row],[D/venc]]="-","Enviado",IF(Tabela2[[#This Row],[Dt Venc:]]=TODAY(),"Vence Hoje","Vencida")))</f>
        <v>Enviado</v>
      </c>
      <c r="F3169" s="3" t="str">
        <f ca="1">IF(G3169=1,"-",Tabela2[[#This Row],[Dt Venc:]]-TODAY())</f>
        <v>-</v>
      </c>
      <c r="G3169" s="3">
        <v>1</v>
      </c>
      <c r="H3169" s="3"/>
    </row>
    <row r="3170" spans="1:8" hidden="1">
      <c r="A3170" s="3">
        <v>562</v>
      </c>
      <c r="B3170" s="7" t="s">
        <v>251</v>
      </c>
      <c r="C3170" s="84" t="s">
        <v>32</v>
      </c>
      <c r="D3170" s="6">
        <v>45641</v>
      </c>
      <c r="E3170" s="3" t="str">
        <f ca="1">IF(Tabela2[[#This Row],[Dt Venc:]]&gt;TODAY(),"Em Aberto",IF(Tabela2[[#This Row],[D/venc]]="-","Enviado",IF(Tabela2[[#This Row],[Dt Venc:]]=TODAY(),"Vence Hoje","Vencida")))</f>
        <v>Enviado</v>
      </c>
      <c r="F3170" s="3" t="str">
        <f ca="1">IF(G3170=1,"-",Tabela2[[#This Row],[Dt Venc:]]-TODAY())</f>
        <v>-</v>
      </c>
      <c r="G3170" s="3">
        <v>1</v>
      </c>
      <c r="H3170" s="3"/>
    </row>
    <row r="3171" spans="1:8" hidden="1">
      <c r="A3171" s="3">
        <v>103015</v>
      </c>
      <c r="B3171" s="7" t="s">
        <v>252</v>
      </c>
      <c r="C3171" s="84" t="s">
        <v>32</v>
      </c>
      <c r="D3171" s="6">
        <v>45641</v>
      </c>
      <c r="E3171" s="3" t="str">
        <f ca="1">IF(Tabela2[[#This Row],[Dt Venc:]]&gt;TODAY(),"Em Aberto",IF(Tabela2[[#This Row],[D/venc]]="-","Enviado",IF(Tabela2[[#This Row],[Dt Venc:]]=TODAY(),"Vence Hoje","Vencida")))</f>
        <v>Enviado</v>
      </c>
      <c r="F3171" s="3" t="str">
        <f ca="1">IF(G3171=1,"-",Tabela2[[#This Row],[Dt Venc:]]-TODAY())</f>
        <v>-</v>
      </c>
      <c r="G3171" s="3">
        <v>1</v>
      </c>
      <c r="H3171" s="3"/>
    </row>
    <row r="3172" spans="1:8" hidden="1">
      <c r="A3172" s="3">
        <v>103077</v>
      </c>
      <c r="B3172" s="7" t="s">
        <v>252</v>
      </c>
      <c r="C3172" s="84" t="s">
        <v>32</v>
      </c>
      <c r="D3172" s="6">
        <v>45641</v>
      </c>
      <c r="E3172" s="3" t="str">
        <f ca="1">IF(Tabela2[[#This Row],[Dt Venc:]]&gt;TODAY(),"Em Aberto",IF(Tabela2[[#This Row],[D/venc]]="-","Enviado",IF(Tabela2[[#This Row],[Dt Venc:]]=TODAY(),"Vence Hoje","Vencida")))</f>
        <v>Enviado</v>
      </c>
      <c r="F3172" s="3" t="str">
        <f ca="1">IF(G3172=1,"-",Tabela2[[#This Row],[Dt Venc:]]-TODAY())</f>
        <v>-</v>
      </c>
      <c r="G3172" s="3">
        <v>1</v>
      </c>
      <c r="H3172" s="3"/>
    </row>
    <row r="3173" spans="1:8" hidden="1">
      <c r="A3173" s="3">
        <v>103153</v>
      </c>
      <c r="B3173" s="7" t="s">
        <v>252</v>
      </c>
      <c r="C3173" s="85" t="s">
        <v>32</v>
      </c>
      <c r="D3173" s="6">
        <v>45641</v>
      </c>
      <c r="E3173" s="3" t="str">
        <f ca="1">IF(Tabela2[[#This Row],[Dt Venc:]]&gt;TODAY(),"Em Aberto",IF(Tabela2[[#This Row],[D/venc]]="-","Enviado",IF(Tabela2[[#This Row],[Dt Venc:]]=TODAY(),"Vence Hoje","Vencida")))</f>
        <v>Enviado</v>
      </c>
      <c r="F3173" s="3" t="str">
        <f ca="1">IF(G3173=1,"-",Tabela2[[#This Row],[Dt Venc:]]-TODAY())</f>
        <v>-</v>
      </c>
      <c r="G3173" s="3">
        <v>1</v>
      </c>
      <c r="H3173" s="3"/>
    </row>
    <row r="3174" spans="1:8" hidden="1">
      <c r="A3174" s="3">
        <v>103154</v>
      </c>
      <c r="B3174" s="7" t="s">
        <v>252</v>
      </c>
      <c r="C3174" s="84" t="s">
        <v>32</v>
      </c>
      <c r="D3174" s="6">
        <v>45641</v>
      </c>
      <c r="E3174" s="3" t="str">
        <f ca="1">IF(Tabela2[[#This Row],[Dt Venc:]]&gt;TODAY(),"Em Aberto",IF(Tabela2[[#This Row],[D/venc]]="-","Enviado",IF(Tabela2[[#This Row],[Dt Venc:]]=TODAY(),"Vence Hoje","Vencida")))</f>
        <v>Enviado</v>
      </c>
      <c r="F3174" s="3" t="str">
        <f ca="1">IF(G3174=1,"-",Tabela2[[#This Row],[Dt Venc:]]-TODAY())</f>
        <v>-</v>
      </c>
      <c r="G3174" s="3">
        <v>1</v>
      </c>
      <c r="H3174" s="3"/>
    </row>
    <row r="3175" spans="1:8" hidden="1">
      <c r="A3175" s="3">
        <v>106007</v>
      </c>
      <c r="B3175" s="7" t="s">
        <v>252</v>
      </c>
      <c r="C3175" s="84" t="s">
        <v>32</v>
      </c>
      <c r="D3175" s="6">
        <v>45641</v>
      </c>
      <c r="E3175" s="3" t="str">
        <f ca="1">IF(Tabela2[[#This Row],[Dt Venc:]]&gt;TODAY(),"Em Aberto",IF(Tabela2[[#This Row],[D/venc]]="-","Enviado",IF(Tabela2[[#This Row],[Dt Venc:]]=TODAY(),"Vence Hoje","Vencida")))</f>
        <v>Enviado</v>
      </c>
      <c r="F3175" s="3" t="str">
        <f ca="1">IF(G3175=1,"-",Tabela2[[#This Row],[Dt Venc:]]-TODAY())</f>
        <v>-</v>
      </c>
      <c r="G3175" s="3">
        <v>1</v>
      </c>
      <c r="H3175" s="3"/>
    </row>
    <row r="3176" spans="1:8" hidden="1">
      <c r="A3176" s="3">
        <v>106043</v>
      </c>
      <c r="B3176" s="7" t="s">
        <v>252</v>
      </c>
      <c r="C3176" s="84" t="s">
        <v>32</v>
      </c>
      <c r="D3176" s="6">
        <v>45641</v>
      </c>
      <c r="E3176" s="3" t="str">
        <f ca="1">IF(Tabela2[[#This Row],[Dt Venc:]]&gt;TODAY(),"Em Aberto",IF(Tabela2[[#This Row],[D/venc]]="-","Enviado",IF(Tabela2[[#This Row],[Dt Venc:]]=TODAY(),"Vence Hoje","Vencida")))</f>
        <v>Enviado</v>
      </c>
      <c r="F3176" s="3" t="str">
        <f ca="1">IF(G3176=1,"-",Tabela2[[#This Row],[Dt Venc:]]-TODAY())</f>
        <v>-</v>
      </c>
      <c r="G3176" s="3">
        <v>1</v>
      </c>
      <c r="H3176" s="3"/>
    </row>
    <row r="3177" spans="1:8" hidden="1">
      <c r="A3177" s="3">
        <v>107829</v>
      </c>
      <c r="B3177" s="7" t="s">
        <v>252</v>
      </c>
      <c r="C3177" s="84" t="s">
        <v>32</v>
      </c>
      <c r="D3177" s="6">
        <v>45641</v>
      </c>
      <c r="E3177" s="3" t="str">
        <f ca="1">IF(Tabela2[[#This Row],[Dt Venc:]]&gt;TODAY(),"Em Aberto",IF(Tabela2[[#This Row],[D/venc]]="-","Enviado",IF(Tabela2[[#This Row],[Dt Venc:]]=TODAY(),"Vence Hoje","Vencida")))</f>
        <v>Enviado</v>
      </c>
      <c r="F3177" s="3" t="str">
        <f ca="1">IF(G3177=1,"-",Tabela2[[#This Row],[Dt Venc:]]-TODAY())</f>
        <v>-</v>
      </c>
      <c r="G3177" s="3">
        <v>1</v>
      </c>
      <c r="H3177" s="3"/>
    </row>
    <row r="3178" spans="1:8" hidden="1">
      <c r="A3178" s="3">
        <v>107830</v>
      </c>
      <c r="B3178" s="7" t="s">
        <v>252</v>
      </c>
      <c r="C3178" s="85" t="s">
        <v>32</v>
      </c>
      <c r="D3178" s="6">
        <v>45641</v>
      </c>
      <c r="E3178" s="3" t="str">
        <f ca="1">IF(Tabela2[[#This Row],[Dt Venc:]]&gt;TODAY(),"Em Aberto",IF(Tabela2[[#This Row],[D/venc]]="-","Enviado",IF(Tabela2[[#This Row],[Dt Venc:]]=TODAY(),"Vence Hoje","Vencida")))</f>
        <v>Enviado</v>
      </c>
      <c r="F3178" s="3" t="str">
        <f ca="1">IF(G3178=1,"-",Tabela2[[#This Row],[Dt Venc:]]-TODAY())</f>
        <v>-</v>
      </c>
      <c r="G3178" s="3">
        <v>1</v>
      </c>
      <c r="H3178" s="3"/>
    </row>
    <row r="3179" spans="1:8" hidden="1">
      <c r="A3179" s="3">
        <v>880609</v>
      </c>
      <c r="B3179" s="7" t="s">
        <v>267</v>
      </c>
      <c r="C3179" s="42">
        <v>450</v>
      </c>
      <c r="D3179" s="6">
        <v>45641</v>
      </c>
      <c r="E3179" s="3" t="str">
        <f ca="1">IF(Tabela2[[#This Row],[Dt Venc:]]&gt;TODAY(),"Em Aberto",IF(Tabela2[[#This Row],[D/venc]]="-","Enviado",IF(Tabela2[[#This Row],[Dt Venc:]]=TODAY(),"Vence Hoje","Vencida")))</f>
        <v>Enviado</v>
      </c>
      <c r="F3179" s="3" t="str">
        <f ca="1">IF(G3179=1,"-",Tabela2[[#This Row],[Dt Venc:]]-TODAY())</f>
        <v>-</v>
      </c>
      <c r="G3179" s="3">
        <v>1</v>
      </c>
      <c r="H3179" s="3"/>
    </row>
    <row r="3180" spans="1:8" hidden="1">
      <c r="A3180" s="3">
        <v>2884</v>
      </c>
      <c r="B3180" s="7" t="s">
        <v>301</v>
      </c>
      <c r="C3180" s="41">
        <v>2440</v>
      </c>
      <c r="D3180" s="6">
        <v>45641</v>
      </c>
      <c r="E3180" s="3" t="str">
        <f ca="1">IF(Tabela2[[#This Row],[Dt Venc:]]&gt;TODAY(),"Em Aberto",IF(Tabela2[[#This Row],[D/venc]]="-","Enviado",IF(Tabela2[[#This Row],[Dt Venc:]]=TODAY(),"Vence Hoje","Vencida")))</f>
        <v>Enviado</v>
      </c>
      <c r="F3180" s="3" t="str">
        <f ca="1">IF(G3180=1,"-",Tabela2[[#This Row],[Dt Venc:]]-TODAY())</f>
        <v>-</v>
      </c>
      <c r="G3180" s="3">
        <v>1</v>
      </c>
      <c r="H3180" s="3"/>
    </row>
    <row r="3181" spans="1:8" hidden="1">
      <c r="A3181" s="3">
        <v>264612</v>
      </c>
      <c r="B3181" s="7" t="s">
        <v>36</v>
      </c>
      <c r="C3181" s="41">
        <v>480</v>
      </c>
      <c r="D3181" s="6">
        <v>45641</v>
      </c>
      <c r="E3181" s="3" t="str">
        <f ca="1">IF(Tabela2[[#This Row],[Dt Venc:]]&gt;TODAY(),"Em Aberto",IF(Tabela2[[#This Row],[D/venc]]="-","Enviado",IF(Tabela2[[#This Row],[Dt Venc:]]=TODAY(),"Vence Hoje","Vencida")))</f>
        <v>Enviado</v>
      </c>
      <c r="F3181" s="3" t="str">
        <f ca="1">IF(G3181=1,"-",Tabela2[[#This Row],[Dt Venc:]]-TODAY())</f>
        <v>-</v>
      </c>
      <c r="G3181" s="3">
        <v>1</v>
      </c>
      <c r="H3181" s="3"/>
    </row>
    <row r="3182" spans="1:8" hidden="1">
      <c r="A3182" s="3">
        <v>2789</v>
      </c>
      <c r="B3182" s="7" t="s">
        <v>58</v>
      </c>
      <c r="C3182" s="41">
        <v>2140.6</v>
      </c>
      <c r="D3182" s="6">
        <v>45641</v>
      </c>
      <c r="E3182" s="3" t="str">
        <f ca="1">IF(Tabela2[[#This Row],[Dt Venc:]]&gt;TODAY(),"Em Aberto",IF(Tabela2[[#This Row],[D/venc]]="-","Enviado",IF(Tabela2[[#This Row],[Dt Venc:]]=TODAY(),"Vence Hoje","Vencida")))</f>
        <v>Enviado</v>
      </c>
      <c r="F3182" s="3" t="str">
        <f ca="1">IF(G3182=1,"-",Tabela2[[#This Row],[Dt Venc:]]-TODAY())</f>
        <v>-</v>
      </c>
      <c r="G3182" s="3">
        <v>1</v>
      </c>
      <c r="H3182" s="3"/>
    </row>
    <row r="3183" spans="1:8" hidden="1">
      <c r="A3183" s="3">
        <v>107831</v>
      </c>
      <c r="B3183" s="7" t="s">
        <v>252</v>
      </c>
      <c r="C3183" s="84" t="s">
        <v>32</v>
      </c>
      <c r="D3183" s="6">
        <v>45641</v>
      </c>
      <c r="E3183" s="3" t="str">
        <f ca="1">IF(Tabela2[[#This Row],[Dt Venc:]]&gt;TODAY(),"Em Aberto",IF(Tabela2[[#This Row],[D/venc]]="-","Enviado",IF(Tabela2[[#This Row],[Dt Venc:]]=TODAY(),"Vence Hoje","Vencida")))</f>
        <v>Enviado</v>
      </c>
      <c r="F3183" s="3" t="str">
        <f ca="1">IF(G3183=1,"-",Tabela2[[#This Row],[Dt Venc:]]-TODAY())</f>
        <v>-</v>
      </c>
      <c r="G3183" s="3">
        <v>1</v>
      </c>
      <c r="H3183" s="3"/>
    </row>
    <row r="3184" spans="1:8" hidden="1">
      <c r="A3184" s="3">
        <v>107832</v>
      </c>
      <c r="B3184" s="7" t="s">
        <v>252</v>
      </c>
      <c r="C3184" s="84" t="s">
        <v>32</v>
      </c>
      <c r="D3184" s="6">
        <v>45641</v>
      </c>
      <c r="E3184" s="3" t="str">
        <f ca="1">IF(Tabela2[[#This Row],[Dt Venc:]]&gt;TODAY(),"Em Aberto",IF(Tabela2[[#This Row],[D/venc]]="-","Enviado",IF(Tabela2[[#This Row],[Dt Venc:]]=TODAY(),"Vence Hoje","Vencida")))</f>
        <v>Enviado</v>
      </c>
      <c r="F3184" s="3" t="str">
        <f ca="1">IF(G3184=1,"-",Tabela2[[#This Row],[Dt Venc:]]-TODAY())</f>
        <v>-</v>
      </c>
      <c r="G3184" s="3">
        <v>1</v>
      </c>
      <c r="H3184" s="3"/>
    </row>
    <row r="3185" spans="1:8" hidden="1">
      <c r="A3185" s="3">
        <v>23326</v>
      </c>
      <c r="B3185" s="7" t="s">
        <v>38</v>
      </c>
      <c r="C3185" s="41">
        <v>640</v>
      </c>
      <c r="D3185" s="6">
        <v>45641</v>
      </c>
      <c r="E3185" s="3" t="str">
        <f ca="1">IF(Tabela2[[#This Row],[Dt Venc:]]&gt;TODAY(),"Em Aberto",IF(Tabela2[[#This Row],[D/venc]]="-","Enviado",IF(Tabela2[[#This Row],[Dt Venc:]]=TODAY(),"Vence Hoje","Vencida")))</f>
        <v>Enviado</v>
      </c>
      <c r="F3185" s="3" t="str">
        <f ca="1">IF(G3185=1,"-",Tabela2[[#This Row],[Dt Venc:]]-TODAY())</f>
        <v>-</v>
      </c>
      <c r="G3185" s="3">
        <v>1</v>
      </c>
      <c r="H3185" s="3"/>
    </row>
    <row r="3186" spans="1:8" hidden="1">
      <c r="A3186" s="3">
        <v>48</v>
      </c>
      <c r="B3186" s="7" t="s">
        <v>132</v>
      </c>
      <c r="C3186" s="41">
        <v>3416.67</v>
      </c>
      <c r="D3186" s="6">
        <v>45641</v>
      </c>
      <c r="E3186" s="3" t="str">
        <f ca="1">IF(Tabela2[[#This Row],[Dt Venc:]]&gt;TODAY(),"Em Aberto",IF(Tabela2[[#This Row],[D/venc]]="-","Enviado",IF(Tabela2[[#This Row],[Dt Venc:]]=TODAY(),"Vence Hoje","Vencida")))</f>
        <v>Enviado</v>
      </c>
      <c r="F3186" s="3" t="str">
        <f ca="1">IF(G3186=1,"-",Tabela2[[#This Row],[Dt Venc:]]-TODAY())</f>
        <v>-</v>
      </c>
      <c r="G3186" s="3">
        <v>1</v>
      </c>
      <c r="H3186" s="3"/>
    </row>
    <row r="3187" spans="1:8" hidden="1">
      <c r="A3187" s="3">
        <v>30317</v>
      </c>
      <c r="B3187" s="7" t="s">
        <v>107</v>
      </c>
      <c r="C3187" s="41">
        <v>1950</v>
      </c>
      <c r="D3187" s="6">
        <v>45641</v>
      </c>
      <c r="E3187" s="3" t="str">
        <f ca="1">IF(Tabela2[[#This Row],[Dt Venc:]]&gt;TODAY(),"Em Aberto",IF(Tabela2[[#This Row],[D/venc]]="-","Enviado",IF(Tabela2[[#This Row],[Dt Venc:]]=TODAY(),"Vence Hoje","Vencida")))</f>
        <v>Enviado</v>
      </c>
      <c r="F3187" s="3" t="str">
        <f ca="1">IF(G3187=1,"-",Tabela2[[#This Row],[Dt Venc:]]-TODAY())</f>
        <v>-</v>
      </c>
      <c r="G3187" s="3">
        <v>1</v>
      </c>
      <c r="H3187" s="3"/>
    </row>
    <row r="3188" spans="1:8" hidden="1">
      <c r="A3188" s="3">
        <v>4012</v>
      </c>
      <c r="B3188" s="7" t="s">
        <v>544</v>
      </c>
      <c r="C3188" s="41">
        <v>8625</v>
      </c>
      <c r="D3188" s="6">
        <v>45641</v>
      </c>
      <c r="E3188" s="3" t="str">
        <f ca="1">IF(Tabela2[[#This Row],[Dt Venc:]]&gt;TODAY(),"Em Aberto",IF(Tabela2[[#This Row],[D/venc]]="-","Enviado",IF(Tabela2[[#This Row],[Dt Venc:]]=TODAY(),"Vence Hoje","Vencida")))</f>
        <v>Enviado</v>
      </c>
      <c r="F3188" s="3" t="str">
        <f ca="1">IF(G3188=1,"-",Tabela2[[#This Row],[Dt Venc:]]-TODAY())</f>
        <v>-</v>
      </c>
      <c r="G3188" s="3">
        <v>1</v>
      </c>
      <c r="H3188" s="3"/>
    </row>
    <row r="3189" spans="1:8" hidden="1">
      <c r="A3189" s="3">
        <v>2289</v>
      </c>
      <c r="B3189" s="7" t="s">
        <v>45</v>
      </c>
      <c r="C3189" s="41">
        <v>1439</v>
      </c>
      <c r="D3189" s="6">
        <v>45641</v>
      </c>
      <c r="E3189" s="3" t="str">
        <f ca="1">IF(Tabela2[[#This Row],[Dt Venc:]]&gt;TODAY(),"Em Aberto",IF(Tabela2[[#This Row],[D/venc]]="-","Enviado",IF(Tabela2[[#This Row],[Dt Venc:]]=TODAY(),"Vence Hoje","Vencida")))</f>
        <v>Enviado</v>
      </c>
      <c r="F3189" s="3" t="str">
        <f ca="1">IF(G3189=1,"-",Tabela2[[#This Row],[Dt Venc:]]-TODAY())</f>
        <v>-</v>
      </c>
      <c r="G3189" s="3">
        <v>1</v>
      </c>
      <c r="H3189" s="3"/>
    </row>
    <row r="3190" spans="1:8" hidden="1">
      <c r="A3190" s="3">
        <v>153638</v>
      </c>
      <c r="B3190" s="7" t="s">
        <v>240</v>
      </c>
      <c r="C3190" s="41">
        <v>433.33</v>
      </c>
      <c r="D3190" s="6">
        <v>45641</v>
      </c>
      <c r="E3190" s="3" t="str">
        <f ca="1">IF(Tabela2[[#This Row],[Dt Venc:]]&gt;TODAY(),"Em Aberto",IF(Tabela2[[#This Row],[D/venc]]="-","Enviado",IF(Tabela2[[#This Row],[Dt Venc:]]=TODAY(),"Vence Hoje","Vencida")))</f>
        <v>Enviado</v>
      </c>
      <c r="F3190" s="3" t="str">
        <f ca="1">IF(G3190=1,"-",Tabela2[[#This Row],[Dt Venc:]]-TODAY())</f>
        <v>-</v>
      </c>
      <c r="G3190" s="3">
        <v>1</v>
      </c>
      <c r="H3190" s="3"/>
    </row>
    <row r="3191" spans="1:8" hidden="1">
      <c r="A3191" s="3">
        <v>14339</v>
      </c>
      <c r="B3191" s="7" t="s">
        <v>432</v>
      </c>
      <c r="C3191" s="41">
        <v>637</v>
      </c>
      <c r="D3191" s="6">
        <v>45641</v>
      </c>
      <c r="E3191" s="3" t="str">
        <f ca="1">IF(Tabela2[[#This Row],[Dt Venc:]]&gt;TODAY(),"Em Aberto",IF(Tabela2[[#This Row],[D/venc]]="-","Enviado",IF(Tabela2[[#This Row],[Dt Venc:]]=TODAY(),"Vence Hoje","Vencida")))</f>
        <v>Enviado</v>
      </c>
      <c r="F3191" s="3" t="str">
        <f ca="1">IF(G3191=1,"-",Tabela2[[#This Row],[Dt Venc:]]-TODAY())</f>
        <v>-</v>
      </c>
      <c r="G3191" s="3">
        <v>1</v>
      </c>
      <c r="H3191" s="3"/>
    </row>
    <row r="3192" spans="1:8" hidden="1">
      <c r="A3192" s="3">
        <v>892178</v>
      </c>
      <c r="B3192" s="7" t="s">
        <v>253</v>
      </c>
      <c r="C3192" s="84" t="s">
        <v>32</v>
      </c>
      <c r="D3192" s="6">
        <v>45641</v>
      </c>
      <c r="E3192" s="3" t="str">
        <f ca="1">IF(Tabela2[[#This Row],[Dt Venc:]]&gt;TODAY(),"Em Aberto",IF(Tabela2[[#This Row],[D/venc]]="-","Enviado",IF(Tabela2[[#This Row],[Dt Venc:]]=TODAY(),"Vence Hoje","Vencida")))</f>
        <v>Enviado</v>
      </c>
      <c r="F3192" s="3" t="str">
        <f ca="1">IF(G3192=1,"-",Tabela2[[#This Row],[Dt Venc:]]-TODAY())</f>
        <v>-</v>
      </c>
      <c r="G3192" s="3">
        <v>1</v>
      </c>
      <c r="H3192" s="3"/>
    </row>
    <row r="3193" spans="1:8" hidden="1">
      <c r="A3193" s="3">
        <v>894135</v>
      </c>
      <c r="B3193" s="7" t="s">
        <v>253</v>
      </c>
      <c r="C3193" s="84" t="s">
        <v>32</v>
      </c>
      <c r="D3193" s="6">
        <v>45641</v>
      </c>
      <c r="E3193" s="3" t="str">
        <f ca="1">IF(Tabela2[[#This Row],[Dt Venc:]]&gt;TODAY(),"Em Aberto",IF(Tabela2[[#This Row],[D/venc]]="-","Enviado",IF(Tabela2[[#This Row],[Dt Venc:]]=TODAY(),"Vence Hoje","Vencida")))</f>
        <v>Enviado</v>
      </c>
      <c r="F3193" s="3" t="str">
        <f ca="1">IF(G3193=1,"-",Tabela2[[#This Row],[Dt Venc:]]-TODAY())</f>
        <v>-</v>
      </c>
      <c r="G3193" s="3">
        <v>1</v>
      </c>
      <c r="H3193" s="3"/>
    </row>
    <row r="3194" spans="1:8" hidden="1">
      <c r="A3194" s="3">
        <v>896565</v>
      </c>
      <c r="B3194" s="7" t="s">
        <v>253</v>
      </c>
      <c r="C3194" s="84" t="s">
        <v>32</v>
      </c>
      <c r="D3194" s="6">
        <v>45641</v>
      </c>
      <c r="E3194" s="3" t="str">
        <f ca="1">IF(Tabela2[[#This Row],[Dt Venc:]]&gt;TODAY(),"Em Aberto",IF(Tabela2[[#This Row],[D/venc]]="-","Enviado",IF(Tabela2[[#This Row],[Dt Venc:]]=TODAY(),"Vence Hoje","Vencida")))</f>
        <v>Enviado</v>
      </c>
      <c r="F3194" s="3" t="str">
        <f ca="1">IF(G3194=1,"-",Tabela2[[#This Row],[Dt Venc:]]-TODAY())</f>
        <v>-</v>
      </c>
      <c r="G3194" s="3">
        <v>1</v>
      </c>
      <c r="H3194" s="3"/>
    </row>
    <row r="3195" spans="1:8" hidden="1">
      <c r="A3195" s="3">
        <v>900386</v>
      </c>
      <c r="B3195" s="7" t="s">
        <v>253</v>
      </c>
      <c r="C3195" s="84" t="s">
        <v>32</v>
      </c>
      <c r="D3195" s="6">
        <v>45641</v>
      </c>
      <c r="E3195" s="3" t="str">
        <f ca="1">IF(Tabela2[[#This Row],[Dt Venc:]]&gt;TODAY(),"Em Aberto",IF(Tabela2[[#This Row],[D/venc]]="-","Enviado",IF(Tabela2[[#This Row],[Dt Venc:]]=TODAY(),"Vence Hoje","Vencida")))</f>
        <v>Enviado</v>
      </c>
      <c r="F3195" s="3" t="str">
        <f ca="1">IF(G3195=1,"-",Tabela2[[#This Row],[Dt Venc:]]-TODAY())</f>
        <v>-</v>
      </c>
      <c r="G3195" s="3">
        <v>1</v>
      </c>
      <c r="H3195" s="3"/>
    </row>
    <row r="3196" spans="1:8" hidden="1">
      <c r="A3196" s="3">
        <v>901787</v>
      </c>
      <c r="B3196" s="7" t="s">
        <v>253</v>
      </c>
      <c r="C3196" s="84" t="s">
        <v>32</v>
      </c>
      <c r="D3196" s="6">
        <v>45641</v>
      </c>
      <c r="E3196" s="3" t="str">
        <f ca="1">IF(Tabela2[[#This Row],[Dt Venc:]]&gt;TODAY(),"Em Aberto",IF(Tabela2[[#This Row],[D/venc]]="-","Enviado",IF(Tabela2[[#This Row],[Dt Venc:]]=TODAY(),"Vence Hoje","Vencida")))</f>
        <v>Enviado</v>
      </c>
      <c r="F3196" s="3" t="str">
        <f ca="1">IF(G3196=1,"-",Tabela2[[#This Row],[Dt Venc:]]-TODAY())</f>
        <v>-</v>
      </c>
      <c r="G3196" s="3">
        <v>1</v>
      </c>
      <c r="H3196" s="3"/>
    </row>
    <row r="3197" spans="1:8" hidden="1">
      <c r="A3197" s="3">
        <v>901788</v>
      </c>
      <c r="B3197" s="7" t="s">
        <v>253</v>
      </c>
      <c r="C3197" s="83" t="s">
        <v>32</v>
      </c>
      <c r="D3197" s="6">
        <v>45641</v>
      </c>
      <c r="E3197" s="3" t="str">
        <f ca="1">IF(Tabela2[[#This Row],[Dt Venc:]]&gt;TODAY(),"Em Aberto",IF(Tabela2[[#This Row],[D/venc]]="-","Enviado",IF(Tabela2[[#This Row],[Dt Venc:]]=TODAY(),"Vence Hoje","Vencida")))</f>
        <v>Enviado</v>
      </c>
      <c r="F3197" s="3" t="str">
        <f ca="1">IF(G3197=1,"-",Tabela2[[#This Row],[Dt Venc:]]-TODAY())</f>
        <v>-</v>
      </c>
      <c r="G3197" s="3">
        <v>1</v>
      </c>
      <c r="H3197" s="3"/>
    </row>
    <row r="3198" spans="1:8" hidden="1">
      <c r="A3198" s="3">
        <v>901789</v>
      </c>
      <c r="B3198" s="7" t="s">
        <v>253</v>
      </c>
      <c r="C3198" s="83" t="s">
        <v>32</v>
      </c>
      <c r="D3198" s="6">
        <v>45641</v>
      </c>
      <c r="E3198" s="3" t="str">
        <f ca="1">IF(Tabela2[[#This Row],[Dt Venc:]]&gt;TODAY(),"Em Aberto",IF(Tabela2[[#This Row],[D/venc]]="-","Enviado",IF(Tabela2[[#This Row],[Dt Venc:]]=TODAY(),"Vence Hoje","Vencida")))</f>
        <v>Enviado</v>
      </c>
      <c r="F3198" s="3" t="str">
        <f ca="1">IF(G3198=1,"-",Tabela2[[#This Row],[Dt Venc:]]-TODAY())</f>
        <v>-</v>
      </c>
      <c r="G3198" s="3">
        <v>1</v>
      </c>
      <c r="H3198" s="3"/>
    </row>
    <row r="3199" spans="1:8" hidden="1">
      <c r="A3199" s="3">
        <v>11421</v>
      </c>
      <c r="B3199" s="7" t="s">
        <v>434</v>
      </c>
      <c r="C3199" s="41">
        <v>1033.3399999999999</v>
      </c>
      <c r="D3199" s="6">
        <v>45641</v>
      </c>
      <c r="E3199" s="3" t="str">
        <f ca="1">IF(Tabela2[[#This Row],[Dt Venc:]]&gt;TODAY(),"Em Aberto",IF(Tabela2[[#This Row],[D/venc]]="-","Enviado",IF(Tabela2[[#This Row],[Dt Venc:]]=TODAY(),"Vence Hoje","Vencida")))</f>
        <v>Enviado</v>
      </c>
      <c r="F3199" s="3" t="str">
        <f ca="1">IF(G3199=1,"-",Tabela2[[#This Row],[Dt Venc:]]-TODAY())</f>
        <v>-</v>
      </c>
      <c r="G3199" s="3">
        <v>1</v>
      </c>
      <c r="H3199" s="3"/>
    </row>
    <row r="3200" spans="1:8" hidden="1">
      <c r="A3200" s="3">
        <v>912703</v>
      </c>
      <c r="B3200" s="7" t="s">
        <v>253</v>
      </c>
      <c r="C3200" s="83" t="s">
        <v>32</v>
      </c>
      <c r="D3200" s="6">
        <v>45641</v>
      </c>
      <c r="E3200" s="3" t="str">
        <f ca="1">IF(Tabela2[[#This Row],[Dt Venc:]]&gt;TODAY(),"Em Aberto",IF(Tabela2[[#This Row],[D/venc]]="-","Enviado",IF(Tabela2[[#This Row],[Dt Venc:]]=TODAY(),"Vence Hoje","Vencida")))</f>
        <v>Enviado</v>
      </c>
      <c r="F3200" s="3" t="str">
        <f ca="1">IF(G3200=1,"-",Tabela2[[#This Row],[Dt Venc:]]-TODAY())</f>
        <v>-</v>
      </c>
      <c r="G3200" s="3">
        <v>1</v>
      </c>
      <c r="H3200" s="3"/>
    </row>
    <row r="3201" spans="1:8" hidden="1">
      <c r="A3201" s="3">
        <v>912704</v>
      </c>
      <c r="B3201" s="7" t="s">
        <v>253</v>
      </c>
      <c r="C3201" s="83" t="s">
        <v>32</v>
      </c>
      <c r="D3201" s="6">
        <v>45641</v>
      </c>
      <c r="E3201" s="3" t="str">
        <f ca="1">IF(Tabela2[[#This Row],[Dt Venc:]]&gt;TODAY(),"Em Aberto",IF(Tabela2[[#This Row],[D/venc]]="-","Enviado",IF(Tabela2[[#This Row],[Dt Venc:]]=TODAY(),"Vence Hoje","Vencida")))</f>
        <v>Enviado</v>
      </c>
      <c r="F3201" s="3" t="str">
        <f ca="1">IF(G3201=1,"-",Tabela2[[#This Row],[Dt Venc:]]-TODAY())</f>
        <v>-</v>
      </c>
      <c r="G3201" s="3">
        <v>1</v>
      </c>
      <c r="H3201" s="3"/>
    </row>
    <row r="3202" spans="1:8" hidden="1">
      <c r="A3202" s="3">
        <v>919728</v>
      </c>
      <c r="B3202" s="7" t="s">
        <v>253</v>
      </c>
      <c r="C3202" s="85" t="s">
        <v>32</v>
      </c>
      <c r="D3202" s="6">
        <v>45641</v>
      </c>
      <c r="E3202" s="3" t="str">
        <f ca="1">IF(Tabela2[[#This Row],[Dt Venc:]]&gt;TODAY(),"Em Aberto",IF(Tabela2[[#This Row],[D/venc]]="-","Enviado",IF(Tabela2[[#This Row],[Dt Venc:]]=TODAY(),"Vence Hoje","Vencida")))</f>
        <v>Enviado</v>
      </c>
      <c r="F3202" s="3" t="str">
        <f ca="1">IF(G3202=1,"-",Tabela2[[#This Row],[Dt Venc:]]-TODAY())</f>
        <v>-</v>
      </c>
      <c r="G3202" s="3">
        <v>1</v>
      </c>
      <c r="H3202" s="3"/>
    </row>
    <row r="3203" spans="1:8" hidden="1">
      <c r="A3203" s="3">
        <v>919729</v>
      </c>
      <c r="B3203" s="7" t="s">
        <v>253</v>
      </c>
      <c r="C3203" s="87" t="s">
        <v>32</v>
      </c>
      <c r="D3203" s="6">
        <v>45641</v>
      </c>
      <c r="E3203" s="3" t="str">
        <f ca="1">IF(Tabela2[[#This Row],[Dt Venc:]]&gt;TODAY(),"Em Aberto",IF(Tabela2[[#This Row],[D/venc]]="-","Enviado",IF(Tabela2[[#This Row],[Dt Venc:]]=TODAY(),"Vence Hoje","Vencida")))</f>
        <v>Enviado</v>
      </c>
      <c r="F3203" s="3" t="str">
        <f ca="1">IF(G3203=1,"-",Tabela2[[#This Row],[Dt Venc:]]-TODAY())</f>
        <v>-</v>
      </c>
      <c r="G3203" s="3">
        <v>1</v>
      </c>
      <c r="H3203" s="3"/>
    </row>
    <row r="3204" spans="1:8" hidden="1">
      <c r="A3204" s="3" t="s">
        <v>179</v>
      </c>
      <c r="B3204" s="7" t="s">
        <v>265</v>
      </c>
      <c r="C3204" s="83" t="s">
        <v>32</v>
      </c>
      <c r="D3204" s="6">
        <v>45641</v>
      </c>
      <c r="E3204" s="3" t="str">
        <f ca="1">IF(Tabela2[[#This Row],[Dt Venc:]]&gt;TODAY(),"Em Aberto",IF(Tabela2[[#This Row],[D/venc]]="-","Enviado",IF(Tabela2[[#This Row],[Dt Venc:]]=TODAY(),"Vence Hoje","Vencida")))</f>
        <v>Enviado</v>
      </c>
      <c r="F3204" s="3" t="str">
        <f ca="1">IF(G3204=1,"-",Tabela2[[#This Row],[Dt Venc:]]-TODAY())</f>
        <v>-</v>
      </c>
      <c r="G3204" s="3">
        <v>1</v>
      </c>
      <c r="H3204" s="3"/>
    </row>
    <row r="3205" spans="1:8" hidden="1">
      <c r="A3205" s="3">
        <v>3318658</v>
      </c>
      <c r="B3205" s="7" t="s">
        <v>71</v>
      </c>
      <c r="C3205" s="41">
        <v>55743</v>
      </c>
      <c r="D3205" s="6">
        <v>45641</v>
      </c>
      <c r="E3205" s="3" t="str">
        <f ca="1">IF(Tabela2[[#This Row],[Dt Venc:]]&gt;TODAY(),"Em Aberto",IF(Tabela2[[#This Row],[D/venc]]="-","Enviado",IF(Tabela2[[#This Row],[Dt Venc:]]=TODAY(),"Vence Hoje","Vencida")))</f>
        <v>Enviado</v>
      </c>
      <c r="F3205" s="3" t="str">
        <f ca="1">IF(G3205=1,"-",Tabela2[[#This Row],[Dt Venc:]]-TODAY())</f>
        <v>-</v>
      </c>
      <c r="G3205" s="3">
        <v>1</v>
      </c>
      <c r="H3205" s="3"/>
    </row>
    <row r="3206" spans="1:8" hidden="1">
      <c r="A3206" s="3">
        <v>349</v>
      </c>
      <c r="B3206" s="7" t="s">
        <v>545</v>
      </c>
      <c r="C3206" s="41">
        <v>11938.25</v>
      </c>
      <c r="D3206" s="6">
        <v>45641</v>
      </c>
      <c r="E3206" s="3" t="str">
        <f ca="1">IF(Tabela2[[#This Row],[Dt Venc:]]&gt;TODAY(),"Em Aberto",IF(Tabela2[[#This Row],[D/venc]]="-","Enviado",IF(Tabela2[[#This Row],[Dt Venc:]]=TODAY(),"Vence Hoje","Vencida")))</f>
        <v>Enviado</v>
      </c>
      <c r="F3206" s="3" t="str">
        <f ca="1">IF(G3206=1,"-",Tabela2[[#This Row],[Dt Venc:]]-TODAY())</f>
        <v>-</v>
      </c>
      <c r="G3206" s="3">
        <v>1</v>
      </c>
      <c r="H3206" s="3"/>
    </row>
    <row r="3207" spans="1:8" hidden="1">
      <c r="A3207" s="3">
        <v>350</v>
      </c>
      <c r="B3207" s="7" t="s">
        <v>545</v>
      </c>
      <c r="C3207" s="41">
        <v>44519.05</v>
      </c>
      <c r="D3207" s="6">
        <v>45641</v>
      </c>
      <c r="E3207" s="3" t="str">
        <f ca="1">IF(Tabela2[[#This Row],[Dt Venc:]]&gt;TODAY(),"Em Aberto",IF(Tabela2[[#This Row],[D/venc]]="-","Enviado",IF(Tabela2[[#This Row],[Dt Venc:]]=TODAY(),"Vence Hoje","Vencida")))</f>
        <v>Enviado</v>
      </c>
      <c r="F3207" s="3" t="str">
        <f ca="1">IF(G3207=1,"-",Tabela2[[#This Row],[Dt Venc:]]-TODAY())</f>
        <v>-</v>
      </c>
      <c r="G3207" s="3">
        <v>1</v>
      </c>
      <c r="H3207" s="3"/>
    </row>
    <row r="3208" spans="1:8" hidden="1">
      <c r="A3208" s="3">
        <v>1066</v>
      </c>
      <c r="B3208" s="7" t="s">
        <v>546</v>
      </c>
      <c r="C3208" s="41">
        <v>39770</v>
      </c>
      <c r="D3208" s="6">
        <v>45641</v>
      </c>
      <c r="E3208" s="3" t="str">
        <f ca="1">IF(Tabela2[[#This Row],[Dt Venc:]]&gt;TODAY(),"Em Aberto",IF(Tabela2[[#This Row],[D/venc]]="-","Enviado",IF(Tabela2[[#This Row],[Dt Venc:]]=TODAY(),"Vence Hoje","Vencida")))</f>
        <v>Enviado</v>
      </c>
      <c r="F3208" s="3" t="str">
        <f ca="1">IF(G3208=1,"-",Tabela2[[#This Row],[Dt Venc:]]-TODAY())</f>
        <v>-</v>
      </c>
      <c r="G3208" s="3">
        <v>1</v>
      </c>
      <c r="H3208" s="3"/>
    </row>
    <row r="3209" spans="1:8" hidden="1">
      <c r="A3209" s="3">
        <v>1665</v>
      </c>
      <c r="B3209" s="7" t="s">
        <v>546</v>
      </c>
      <c r="C3209" s="41">
        <v>5640</v>
      </c>
      <c r="D3209" s="6">
        <v>45641</v>
      </c>
      <c r="E3209" s="3" t="str">
        <f ca="1">IF(Tabela2[[#This Row],[Dt Venc:]]&gt;TODAY(),"Em Aberto",IF(Tabela2[[#This Row],[D/venc]]="-","Enviado",IF(Tabela2[[#This Row],[Dt Venc:]]=TODAY(),"Vence Hoje","Vencida")))</f>
        <v>Enviado</v>
      </c>
      <c r="F3209" s="3" t="str">
        <f ca="1">IF(G3209=1,"-",Tabela2[[#This Row],[Dt Venc:]]-TODAY())</f>
        <v>-</v>
      </c>
      <c r="G3209" s="3">
        <v>1</v>
      </c>
      <c r="H3209" s="3"/>
    </row>
    <row r="3210" spans="1:8" hidden="1">
      <c r="A3210" s="3">
        <v>1600</v>
      </c>
      <c r="B3210" s="7" t="s">
        <v>546</v>
      </c>
      <c r="C3210" s="41">
        <v>12691</v>
      </c>
      <c r="D3210" s="6">
        <v>45641</v>
      </c>
      <c r="E3210" s="3" t="str">
        <f ca="1">IF(Tabela2[[#This Row],[Dt Venc:]]&gt;TODAY(),"Em Aberto",IF(Tabela2[[#This Row],[D/venc]]="-","Enviado",IF(Tabela2[[#This Row],[Dt Venc:]]=TODAY(),"Vence Hoje","Vencida")))</f>
        <v>Enviado</v>
      </c>
      <c r="F3210" s="3" t="str">
        <f ca="1">IF(G3210=1,"-",Tabela2[[#This Row],[Dt Venc:]]-TODAY())</f>
        <v>-</v>
      </c>
      <c r="G3210" s="3">
        <v>1</v>
      </c>
      <c r="H3210" s="3"/>
    </row>
    <row r="3211" spans="1:8" hidden="1">
      <c r="A3211" s="3">
        <v>66</v>
      </c>
      <c r="B3211" s="7" t="s">
        <v>547</v>
      </c>
      <c r="C3211" s="41">
        <v>515</v>
      </c>
      <c r="D3211" s="6">
        <v>45641</v>
      </c>
      <c r="E3211" s="3" t="str">
        <f ca="1">IF(Tabela2[[#This Row],[Dt Venc:]]&gt;TODAY(),"Em Aberto",IF(Tabela2[[#This Row],[D/venc]]="-","Enviado",IF(Tabela2[[#This Row],[Dt Venc:]]=TODAY(),"Vence Hoje","Vencida")))</f>
        <v>Enviado</v>
      </c>
      <c r="F3211" s="3" t="str">
        <f ca="1">IF(G3211=1,"-",Tabela2[[#This Row],[Dt Venc:]]-TODAY())</f>
        <v>-</v>
      </c>
      <c r="G3211" s="3">
        <v>1</v>
      </c>
      <c r="H3211" s="3"/>
    </row>
    <row r="3212" spans="1:8" hidden="1">
      <c r="A3212" s="3">
        <v>66</v>
      </c>
      <c r="B3212" s="7" t="s">
        <v>547</v>
      </c>
      <c r="C3212" s="41">
        <v>500</v>
      </c>
      <c r="D3212" s="6">
        <v>45641</v>
      </c>
      <c r="E3212" s="3" t="str">
        <f ca="1">IF(Tabela2[[#This Row],[Dt Venc:]]&gt;TODAY(),"Em Aberto",IF(Tabela2[[#This Row],[D/venc]]="-","Enviado",IF(Tabela2[[#This Row],[Dt Venc:]]=TODAY(),"Vence Hoje","Vencida")))</f>
        <v>Enviado</v>
      </c>
      <c r="F3212" s="3" t="str">
        <f ca="1">IF(G3212=1,"-",Tabela2[[#This Row],[Dt Venc:]]-TODAY())</f>
        <v>-</v>
      </c>
      <c r="G3212" s="3">
        <v>1</v>
      </c>
      <c r="H3212" s="3"/>
    </row>
    <row r="3213" spans="1:8" hidden="1">
      <c r="A3213" s="3">
        <v>26461</v>
      </c>
      <c r="B3213" s="7" t="s">
        <v>254</v>
      </c>
      <c r="C3213" s="41">
        <v>450</v>
      </c>
      <c r="D3213" s="6">
        <v>45641</v>
      </c>
      <c r="E3213" s="3" t="str">
        <f ca="1">IF(Tabela2[[#This Row],[Dt Venc:]]&gt;TODAY(),"Em Aberto",IF(Tabela2[[#This Row],[D/venc]]="-","Enviado",IF(Tabela2[[#This Row],[Dt Venc:]]=TODAY(),"Vence Hoje","Vencida")))</f>
        <v>Enviado</v>
      </c>
      <c r="F3213" s="3" t="str">
        <f ca="1">IF(G3213=1,"-",Tabela2[[#This Row],[Dt Venc:]]-TODAY())</f>
        <v>-</v>
      </c>
      <c r="G3213" s="3">
        <v>1</v>
      </c>
      <c r="H3213" s="3"/>
    </row>
    <row r="3214" spans="1:8" hidden="1">
      <c r="A3214" s="3" t="s">
        <v>110</v>
      </c>
      <c r="B3214" s="7" t="s">
        <v>256</v>
      </c>
      <c r="C3214" s="42" t="s">
        <v>32</v>
      </c>
      <c r="D3214" s="6">
        <v>45641</v>
      </c>
      <c r="E3214" s="3" t="str">
        <f ca="1">IF(Tabela2[[#This Row],[Dt Venc:]]&gt;TODAY(),"Em Aberto",IF(Tabela2[[#This Row],[D/venc]]="-","Enviado",IF(Tabela2[[#This Row],[Dt Venc:]]=TODAY(),"Vence Hoje","Vencida")))</f>
        <v>Enviado</v>
      </c>
      <c r="F3214" s="3" t="str">
        <f ca="1">IF(G3214=1,"-",Tabela2[[#This Row],[Dt Venc:]]-TODAY())</f>
        <v>-</v>
      </c>
      <c r="G3214" s="3">
        <v>1</v>
      </c>
      <c r="H3214" s="3"/>
    </row>
    <row r="3215" spans="1:8" hidden="1">
      <c r="A3215" s="3" t="s">
        <v>110</v>
      </c>
      <c r="B3215" s="7" t="s">
        <v>259</v>
      </c>
      <c r="C3215" s="42" t="s">
        <v>32</v>
      </c>
      <c r="D3215" s="6">
        <v>45641</v>
      </c>
      <c r="E3215" s="3" t="str">
        <f ca="1">IF(Tabela2[[#This Row],[Dt Venc:]]&gt;TODAY(),"Em Aberto",IF(Tabela2[[#This Row],[D/venc]]="-","Enviado",IF(Tabela2[[#This Row],[Dt Venc:]]=TODAY(),"Vence Hoje","Vencida")))</f>
        <v>Enviado</v>
      </c>
      <c r="F3215" s="3" t="str">
        <f ca="1">IF(G3215=1,"-",Tabela2[[#This Row],[Dt Venc:]]-TODAY())</f>
        <v>-</v>
      </c>
      <c r="G3215" s="3">
        <v>1</v>
      </c>
      <c r="H3215" s="3"/>
    </row>
    <row r="3216" spans="1:8" hidden="1">
      <c r="A3216" s="3">
        <v>369751</v>
      </c>
      <c r="B3216" s="7" t="s">
        <v>543</v>
      </c>
      <c r="C3216" s="87" t="s">
        <v>32</v>
      </c>
      <c r="D3216" s="6">
        <v>45641</v>
      </c>
      <c r="E3216" s="3" t="str">
        <f ca="1">IF(Tabela2[[#This Row],[Dt Venc:]]&gt;TODAY(),"Em Aberto",IF(Tabela2[[#This Row],[D/venc]]="-","Enviado",IF(Tabela2[[#This Row],[Dt Venc:]]=TODAY(),"Vence Hoje","Vencida")))</f>
        <v>Enviado</v>
      </c>
      <c r="F3216" s="3" t="str">
        <f ca="1">IF(G3216=1,"-",Tabela2[[#This Row],[Dt Venc:]]-TODAY())</f>
        <v>-</v>
      </c>
      <c r="G3216" s="3">
        <v>1</v>
      </c>
      <c r="H3216" s="3"/>
    </row>
    <row r="3217" spans="1:8" hidden="1">
      <c r="A3217" s="3">
        <v>438</v>
      </c>
      <c r="B3217" s="7" t="s">
        <v>270</v>
      </c>
      <c r="C3217" s="41">
        <v>15000</v>
      </c>
      <c r="D3217" s="6">
        <v>45641</v>
      </c>
      <c r="E3217" s="3" t="str">
        <f ca="1">IF(Tabela2[[#This Row],[Dt Venc:]]&gt;TODAY(),"Em Aberto",IF(Tabela2[[#This Row],[D/venc]]="-","Enviado",IF(Tabela2[[#This Row],[Dt Venc:]]=TODAY(),"Vence Hoje","Vencida")))</f>
        <v>Enviado</v>
      </c>
      <c r="F3217" s="3" t="str">
        <f ca="1">IF(G3217=1,"-",Tabela2[[#This Row],[Dt Venc:]]-TODAY())</f>
        <v>-</v>
      </c>
      <c r="G3217" s="3">
        <v>1</v>
      </c>
      <c r="H3217" s="3"/>
    </row>
    <row r="3218" spans="1:8" hidden="1">
      <c r="A3218" s="3">
        <v>37300</v>
      </c>
      <c r="B3218" s="7" t="s">
        <v>167</v>
      </c>
      <c r="C3218" s="83" t="s">
        <v>32</v>
      </c>
      <c r="D3218" s="6">
        <v>45642</v>
      </c>
      <c r="E3218" s="3" t="str">
        <f ca="1">IF(Tabela2[[#This Row],[Dt Venc:]]&gt;TODAY(),"Em Aberto",IF(Tabela2[[#This Row],[D/venc]]="-","Enviado",IF(Tabela2[[#This Row],[Dt Venc:]]=TODAY(),"Vence Hoje","Vencida")))</f>
        <v>Enviado</v>
      </c>
      <c r="F3218" s="3" t="str">
        <f ca="1">IF(G3218=1,"-",Tabela2[[#This Row],[Dt Venc:]]-TODAY())</f>
        <v>-</v>
      </c>
      <c r="G3218" s="3">
        <v>1</v>
      </c>
      <c r="H3218" s="3"/>
    </row>
    <row r="3219" spans="1:8" hidden="1">
      <c r="A3219" s="3">
        <v>8098</v>
      </c>
      <c r="B3219" s="7" t="s">
        <v>283</v>
      </c>
      <c r="C3219" s="42">
        <v>7820.14</v>
      </c>
      <c r="D3219" s="6">
        <v>45642</v>
      </c>
      <c r="E3219" s="3" t="str">
        <f ca="1">IF(Tabela2[[#This Row],[Dt Venc:]]&gt;TODAY(),"Em Aberto",IF(Tabela2[[#This Row],[D/venc]]="-","Enviado",IF(Tabela2[[#This Row],[Dt Venc:]]=TODAY(),"Vence Hoje","Vencida")))</f>
        <v>Enviado</v>
      </c>
      <c r="F3219" s="3" t="str">
        <f ca="1">IF(G3219=1,"-",Tabela2[[#This Row],[Dt Venc:]]-TODAY())</f>
        <v>-</v>
      </c>
      <c r="G3219" s="3">
        <v>1</v>
      </c>
      <c r="H3219" s="3"/>
    </row>
    <row r="3220" spans="1:8" hidden="1">
      <c r="A3220" s="3">
        <v>43730</v>
      </c>
      <c r="B3220" s="7" t="s">
        <v>144</v>
      </c>
      <c r="C3220" s="42">
        <v>533.33000000000004</v>
      </c>
      <c r="D3220" s="6">
        <v>45642</v>
      </c>
      <c r="E3220" s="3" t="str">
        <f ca="1">IF(Tabela2[[#This Row],[Dt Venc:]]&gt;TODAY(),"Em Aberto",IF(Tabela2[[#This Row],[D/venc]]="-","Enviado",IF(Tabela2[[#This Row],[Dt Venc:]]=TODAY(),"Vence Hoje","Vencida")))</f>
        <v>Enviado</v>
      </c>
      <c r="F3220" s="3" t="str">
        <f ca="1">IF(G3220=1,"-",Tabela2[[#This Row],[Dt Venc:]]-TODAY())</f>
        <v>-</v>
      </c>
      <c r="G3220" s="3">
        <v>1</v>
      </c>
      <c r="H3220" s="3"/>
    </row>
    <row r="3221" spans="1:8" hidden="1">
      <c r="A3221" s="3">
        <v>257767</v>
      </c>
      <c r="B3221" s="7" t="s">
        <v>49</v>
      </c>
      <c r="C3221" s="41">
        <v>1030</v>
      </c>
      <c r="D3221" s="6">
        <v>45642</v>
      </c>
      <c r="E3221" s="3" t="str">
        <f ca="1">IF(Tabela2[[#This Row],[Dt Venc:]]&gt;TODAY(),"Em Aberto",IF(Tabela2[[#This Row],[D/venc]]="-","Enviado",IF(Tabela2[[#This Row],[Dt Venc:]]=TODAY(),"Vence Hoje","Vencida")))</f>
        <v>Enviado</v>
      </c>
      <c r="F3221" s="3" t="str">
        <f ca="1">IF(G3221=1,"-",Tabela2[[#This Row],[Dt Venc:]]-TODAY())</f>
        <v>-</v>
      </c>
      <c r="G3221" s="3">
        <v>1</v>
      </c>
      <c r="H3221" s="3"/>
    </row>
    <row r="3222" spans="1:8" hidden="1">
      <c r="A3222" s="3">
        <v>392494</v>
      </c>
      <c r="B3222" s="7" t="s">
        <v>285</v>
      </c>
      <c r="C3222" s="42">
        <v>1558.33</v>
      </c>
      <c r="D3222" s="6">
        <v>45642</v>
      </c>
      <c r="E3222" s="3" t="str">
        <f ca="1">IF(Tabela2[[#This Row],[Dt Venc:]]&gt;TODAY(),"Em Aberto",IF(Tabela2[[#This Row],[D/venc]]="-","Enviado",IF(Tabela2[[#This Row],[Dt Venc:]]=TODAY(),"Vence Hoje","Vencida")))</f>
        <v>Enviado</v>
      </c>
      <c r="F3222" s="3" t="str">
        <f ca="1">IF(G3222=1,"-",Tabela2[[#This Row],[Dt Venc:]]-TODAY())</f>
        <v>-</v>
      </c>
      <c r="G3222" s="3">
        <v>1</v>
      </c>
      <c r="H3222" s="3"/>
    </row>
    <row r="3223" spans="1:8" hidden="1">
      <c r="A3223" s="3">
        <v>2739</v>
      </c>
      <c r="B3223" s="7" t="s">
        <v>58</v>
      </c>
      <c r="C3223" s="42">
        <v>1965.32</v>
      </c>
      <c r="D3223" s="6">
        <v>45642</v>
      </c>
      <c r="E3223" s="3" t="str">
        <f ca="1">IF(Tabela2[[#This Row],[Dt Venc:]]&gt;TODAY(),"Em Aberto",IF(Tabela2[[#This Row],[D/venc]]="-","Enviado",IF(Tabela2[[#This Row],[Dt Venc:]]=TODAY(),"Vence Hoje","Vencida")))</f>
        <v>Enviado</v>
      </c>
      <c r="F3223" s="3" t="str">
        <f ca="1">IF(G3223=1,"-",Tabela2[[#This Row],[Dt Venc:]]-TODAY())</f>
        <v>-</v>
      </c>
      <c r="G3223" s="3">
        <v>1</v>
      </c>
      <c r="H3223" s="3"/>
    </row>
    <row r="3224" spans="1:8" hidden="1">
      <c r="A3224" s="3">
        <v>2843</v>
      </c>
      <c r="B3224" s="7" t="s">
        <v>58</v>
      </c>
      <c r="C3224" s="41">
        <v>570</v>
      </c>
      <c r="D3224" s="6">
        <v>45642</v>
      </c>
      <c r="E3224" s="3" t="str">
        <f ca="1">IF(Tabela2[[#This Row],[Dt Venc:]]&gt;TODAY(),"Em Aberto",IF(Tabela2[[#This Row],[D/venc]]="-","Enviado",IF(Tabela2[[#This Row],[Dt Venc:]]=TODAY(),"Vence Hoje","Vencida")))</f>
        <v>Enviado</v>
      </c>
      <c r="F3224" s="3" t="str">
        <f ca="1">IF(G3224=1,"-",Tabela2[[#This Row],[Dt Venc:]]-TODAY())</f>
        <v>-</v>
      </c>
      <c r="G3224" s="3">
        <v>1</v>
      </c>
      <c r="H3224" s="3"/>
    </row>
    <row r="3225" spans="1:8" hidden="1">
      <c r="A3225" s="3">
        <v>80333</v>
      </c>
      <c r="B3225" s="7" t="s">
        <v>39</v>
      </c>
      <c r="C3225" s="42">
        <v>616.64</v>
      </c>
      <c r="D3225" s="6">
        <v>45642</v>
      </c>
      <c r="E3225" s="3" t="str">
        <f ca="1">IF(Tabela2[[#This Row],[Dt Venc:]]&gt;TODAY(),"Em Aberto",IF(Tabela2[[#This Row],[D/venc]]="-","Enviado",IF(Tabela2[[#This Row],[Dt Venc:]]=TODAY(),"Vence Hoje","Vencida")))</f>
        <v>Enviado</v>
      </c>
      <c r="F3225" s="3" t="str">
        <f ca="1">IF(G3225=1,"-",Tabela2[[#This Row],[Dt Venc:]]-TODAY())</f>
        <v>-</v>
      </c>
      <c r="G3225" s="3">
        <v>1</v>
      </c>
      <c r="H3225" s="3"/>
    </row>
    <row r="3226" spans="1:8" hidden="1">
      <c r="A3226" s="3">
        <v>80336</v>
      </c>
      <c r="B3226" s="7" t="s">
        <v>39</v>
      </c>
      <c r="C3226" s="42">
        <v>646.72</v>
      </c>
      <c r="D3226" s="6">
        <v>45642</v>
      </c>
      <c r="E3226" s="3" t="str">
        <f ca="1">IF(Tabela2[[#This Row],[Dt Venc:]]&gt;TODAY(),"Em Aberto",IF(Tabela2[[#This Row],[D/venc]]="-","Enviado",IF(Tabela2[[#This Row],[Dt Venc:]]=TODAY(),"Vence Hoje","Vencida")))</f>
        <v>Enviado</v>
      </c>
      <c r="F3226" s="3" t="str">
        <f ca="1">IF(G3226=1,"-",Tabela2[[#This Row],[Dt Venc:]]-TODAY())</f>
        <v>-</v>
      </c>
      <c r="G3226" s="3">
        <v>1</v>
      </c>
      <c r="H3226" s="3"/>
    </row>
    <row r="3227" spans="1:8" hidden="1">
      <c r="A3227" s="3">
        <v>363133</v>
      </c>
      <c r="B3227" s="7" t="s">
        <v>39</v>
      </c>
      <c r="C3227" s="42">
        <v>290.41000000000003</v>
      </c>
      <c r="D3227" s="6">
        <v>45642</v>
      </c>
      <c r="E3227" s="3" t="str">
        <f ca="1">IF(Tabela2[[#This Row],[Dt Venc:]]&gt;TODAY(),"Em Aberto",IF(Tabela2[[#This Row],[D/venc]]="-","Enviado",IF(Tabela2[[#This Row],[Dt Venc:]]=TODAY(),"Vence Hoje","Vencida")))</f>
        <v>Enviado</v>
      </c>
      <c r="F3227" s="3" t="str">
        <f ca="1">IF(G3227=1,"-",Tabela2[[#This Row],[Dt Venc:]]-TODAY())</f>
        <v>-</v>
      </c>
      <c r="G3227" s="3">
        <v>1</v>
      </c>
      <c r="H3227" s="3"/>
    </row>
    <row r="3228" spans="1:8" hidden="1">
      <c r="A3228" s="3">
        <v>363177</v>
      </c>
      <c r="B3228" s="7" t="s">
        <v>39</v>
      </c>
      <c r="C3228" s="42">
        <v>383.76</v>
      </c>
      <c r="D3228" s="6">
        <v>45642</v>
      </c>
      <c r="E3228" s="3" t="str">
        <f ca="1">IF(Tabela2[[#This Row],[Dt Venc:]]&gt;TODAY(),"Em Aberto",IF(Tabela2[[#This Row],[D/venc]]="-","Enviado",IF(Tabela2[[#This Row],[Dt Venc:]]=TODAY(),"Vence Hoje","Vencida")))</f>
        <v>Enviado</v>
      </c>
      <c r="F3228" s="3" t="str">
        <f ca="1">IF(G3228=1,"-",Tabela2[[#This Row],[Dt Venc:]]-TODAY())</f>
        <v>-</v>
      </c>
      <c r="G3228" s="3">
        <v>1</v>
      </c>
      <c r="H3228" s="3"/>
    </row>
    <row r="3229" spans="1:8" hidden="1">
      <c r="A3229" s="3">
        <v>608912</v>
      </c>
      <c r="B3229" s="7" t="s">
        <v>287</v>
      </c>
      <c r="C3229" s="42">
        <v>2326.4499999999998</v>
      </c>
      <c r="D3229" s="6">
        <v>45642</v>
      </c>
      <c r="E3229" s="3" t="str">
        <f ca="1">IF(Tabela2[[#This Row],[Dt Venc:]]&gt;TODAY(),"Em Aberto",IF(Tabela2[[#This Row],[D/venc]]="-","Enviado",IF(Tabela2[[#This Row],[Dt Venc:]]=TODAY(),"Vence Hoje","Vencida")))</f>
        <v>Enviado</v>
      </c>
      <c r="F3229" s="3" t="str">
        <f ca="1">IF(G3229=1,"-",Tabela2[[#This Row],[Dt Venc:]]-TODAY())</f>
        <v>-</v>
      </c>
      <c r="G3229" s="3">
        <v>1</v>
      </c>
      <c r="H3229" s="3"/>
    </row>
    <row r="3230" spans="1:8" hidden="1">
      <c r="A3230" s="3">
        <v>8173</v>
      </c>
      <c r="B3230" s="7" t="s">
        <v>242</v>
      </c>
      <c r="C3230" s="41">
        <v>84.9</v>
      </c>
      <c r="D3230" s="6">
        <v>45642</v>
      </c>
      <c r="E3230" s="3" t="str">
        <f ca="1">IF(Tabela2[[#This Row],[Dt Venc:]]&gt;TODAY(),"Em Aberto",IF(Tabela2[[#This Row],[D/venc]]="-","Enviado",IF(Tabela2[[#This Row],[Dt Venc:]]=TODAY(),"Vence Hoje","Vencida")))</f>
        <v>Enviado</v>
      </c>
      <c r="F3230" s="3" t="str">
        <f ca="1">IF(G3230=1,"-",Tabela2[[#This Row],[Dt Venc:]]-TODAY())</f>
        <v>-</v>
      </c>
      <c r="G3230" s="3">
        <v>1</v>
      </c>
      <c r="H3230" s="3"/>
    </row>
    <row r="3231" spans="1:8" hidden="1">
      <c r="A3231" s="3">
        <v>608946</v>
      </c>
      <c r="B3231" s="7" t="s">
        <v>66</v>
      </c>
      <c r="C3231" s="42">
        <v>815.59</v>
      </c>
      <c r="D3231" s="6">
        <v>45642</v>
      </c>
      <c r="E3231" s="3" t="str">
        <f ca="1">IF(Tabela2[[#This Row],[Dt Venc:]]&gt;TODAY(),"Em Aberto",IF(Tabela2[[#This Row],[D/venc]]="-","Enviado",IF(Tabela2[[#This Row],[Dt Venc:]]=TODAY(),"Vence Hoje","Vencida")))</f>
        <v>Enviado</v>
      </c>
      <c r="F3231" s="3" t="str">
        <f ca="1">IF(G3231=1,"-",Tabela2[[#This Row],[Dt Venc:]]-TODAY())</f>
        <v>-</v>
      </c>
      <c r="G3231" s="3">
        <v>1</v>
      </c>
      <c r="H3231" s="3"/>
    </row>
    <row r="3232" spans="1:8" hidden="1">
      <c r="A3232" s="3">
        <v>72091</v>
      </c>
      <c r="B3232" s="7" t="s">
        <v>66</v>
      </c>
      <c r="C3232" s="41">
        <v>687.72</v>
      </c>
      <c r="D3232" s="6">
        <v>45642</v>
      </c>
      <c r="E3232" s="3" t="str">
        <f ca="1">IF(Tabela2[[#This Row],[Dt Venc:]]&gt;TODAY(),"Em Aberto",IF(Tabela2[[#This Row],[D/venc]]="-","Enviado",IF(Tabela2[[#This Row],[Dt Venc:]]=TODAY(),"Vence Hoje","Vencida")))</f>
        <v>Enviado</v>
      </c>
      <c r="F3232" s="3" t="str">
        <f ca="1">IF(G3232=1,"-",Tabela2[[#This Row],[Dt Venc:]]-TODAY())</f>
        <v>-</v>
      </c>
      <c r="G3232" s="3">
        <v>1</v>
      </c>
      <c r="H3232" s="3"/>
    </row>
    <row r="3233" spans="1:8" hidden="1">
      <c r="A3233" s="3">
        <v>231961</v>
      </c>
      <c r="B3233" s="7" t="s">
        <v>40</v>
      </c>
      <c r="C3233" s="41">
        <v>816.68</v>
      </c>
      <c r="D3233" s="6">
        <v>45642</v>
      </c>
      <c r="E3233" s="3" t="str">
        <f ca="1">IF(Tabela2[[#This Row],[Dt Venc:]]&gt;TODAY(),"Em Aberto",IF(Tabela2[[#This Row],[D/venc]]="-","Enviado",IF(Tabela2[[#This Row],[Dt Venc:]]=TODAY(),"Vence Hoje","Vencida")))</f>
        <v>Enviado</v>
      </c>
      <c r="F3233" s="3" t="str">
        <f ca="1">IF(G3233=1,"-",Tabela2[[#This Row],[Dt Venc:]]-TODAY())</f>
        <v>-</v>
      </c>
      <c r="G3233" s="3">
        <v>1</v>
      </c>
      <c r="H3233" s="3"/>
    </row>
    <row r="3234" spans="1:8" hidden="1">
      <c r="A3234" s="3">
        <v>231963</v>
      </c>
      <c r="B3234" s="7" t="s">
        <v>40</v>
      </c>
      <c r="C3234" s="41">
        <v>1100</v>
      </c>
      <c r="D3234" s="6">
        <v>45642</v>
      </c>
      <c r="E3234" s="3" t="str">
        <f ca="1">IF(Tabela2[[#This Row],[Dt Venc:]]&gt;TODAY(),"Em Aberto",IF(Tabela2[[#This Row],[D/venc]]="-","Enviado",IF(Tabela2[[#This Row],[Dt Venc:]]=TODAY(),"Vence Hoje","Vencida")))</f>
        <v>Enviado</v>
      </c>
      <c r="F3234" s="3" t="str">
        <f ca="1">IF(G3234=1,"-",Tabela2[[#This Row],[Dt Venc:]]-TODAY())</f>
        <v>-</v>
      </c>
      <c r="G3234" s="3">
        <v>1</v>
      </c>
      <c r="H3234" s="3"/>
    </row>
    <row r="3235" spans="1:8" hidden="1">
      <c r="A3235" s="3">
        <v>231962</v>
      </c>
      <c r="B3235" s="7" t="s">
        <v>40</v>
      </c>
      <c r="C3235" s="41">
        <v>1633.34</v>
      </c>
      <c r="D3235" s="6">
        <v>45642</v>
      </c>
      <c r="E3235" s="3" t="str">
        <f ca="1">IF(Tabela2[[#This Row],[Dt Venc:]]&gt;TODAY(),"Em Aberto",IF(Tabela2[[#This Row],[D/venc]]="-","Enviado",IF(Tabela2[[#This Row],[Dt Venc:]]=TODAY(),"Vence Hoje","Vencida")))</f>
        <v>Enviado</v>
      </c>
      <c r="F3235" s="3" t="str">
        <f ca="1">IF(G3235=1,"-",Tabela2[[#This Row],[Dt Venc:]]-TODAY())</f>
        <v>-</v>
      </c>
      <c r="G3235" s="3">
        <v>1</v>
      </c>
      <c r="H3235" s="3"/>
    </row>
    <row r="3236" spans="1:8" hidden="1">
      <c r="A3236" s="3">
        <v>29564</v>
      </c>
      <c r="B3236" s="7" t="s">
        <v>97</v>
      </c>
      <c r="C3236" s="42">
        <v>2710</v>
      </c>
      <c r="D3236" s="6">
        <v>45642</v>
      </c>
      <c r="E3236" s="3" t="str">
        <f ca="1">IF(Tabela2[[#This Row],[Dt Venc:]]&gt;TODAY(),"Em Aberto",IF(Tabela2[[#This Row],[D/venc]]="-","Enviado",IF(Tabela2[[#This Row],[Dt Venc:]]=TODAY(),"Vence Hoje","Vencida")))</f>
        <v>Enviado</v>
      </c>
      <c r="F3236" s="3" t="str">
        <f ca="1">IF(G3236=1,"-",Tabela2[[#This Row],[Dt Venc:]]-TODAY())</f>
        <v>-</v>
      </c>
      <c r="G3236" s="3">
        <v>1</v>
      </c>
      <c r="H3236" s="3"/>
    </row>
    <row r="3237" spans="1:8" hidden="1">
      <c r="A3237" s="3">
        <v>1427</v>
      </c>
      <c r="B3237" s="7" t="s">
        <v>284</v>
      </c>
      <c r="C3237" s="42">
        <v>897</v>
      </c>
      <c r="D3237" s="6">
        <v>45642</v>
      </c>
      <c r="E3237" s="3" t="str">
        <f ca="1">IF(Tabela2[[#This Row],[Dt Venc:]]&gt;TODAY(),"Em Aberto",IF(Tabela2[[#This Row],[D/venc]]="-","Enviado",IF(Tabela2[[#This Row],[Dt Venc:]]=TODAY(),"Vence Hoje","Vencida")))</f>
        <v>Enviado</v>
      </c>
      <c r="F3237" s="3" t="str">
        <f ca="1">IF(G3237=1,"-",Tabela2[[#This Row],[Dt Venc:]]-TODAY())</f>
        <v>-</v>
      </c>
      <c r="G3237" s="3">
        <v>1</v>
      </c>
      <c r="H3237" s="3"/>
    </row>
    <row r="3238" spans="1:8" hidden="1">
      <c r="A3238" s="3">
        <v>70800</v>
      </c>
      <c r="B3238" s="7" t="s">
        <v>76</v>
      </c>
      <c r="C3238" s="42">
        <v>1796.57</v>
      </c>
      <c r="D3238" s="6">
        <v>45642</v>
      </c>
      <c r="E3238" s="3" t="str">
        <f ca="1">IF(Tabela2[[#This Row],[Dt Venc:]]&gt;TODAY(),"Em Aberto",IF(Tabela2[[#This Row],[D/venc]]="-","Enviado",IF(Tabela2[[#This Row],[Dt Venc:]]=TODAY(),"Vence Hoje","Vencida")))</f>
        <v>Enviado</v>
      </c>
      <c r="F3238" s="3" t="str">
        <f ca="1">IF(G3238=1,"-",Tabela2[[#This Row],[Dt Venc:]]-TODAY())</f>
        <v>-</v>
      </c>
      <c r="G3238" s="3">
        <v>1</v>
      </c>
      <c r="H3238" s="3"/>
    </row>
    <row r="3239" spans="1:8" hidden="1">
      <c r="A3239" s="3">
        <v>72019</v>
      </c>
      <c r="B3239" s="7" t="s">
        <v>76</v>
      </c>
      <c r="C3239" s="41">
        <v>532.05999999999995</v>
      </c>
      <c r="D3239" s="6">
        <v>45642</v>
      </c>
      <c r="E3239" s="3" t="str">
        <f ca="1">IF(Tabela2[[#This Row],[Dt Venc:]]&gt;TODAY(),"Em Aberto",IF(Tabela2[[#This Row],[D/venc]]="-","Enviado",IF(Tabela2[[#This Row],[Dt Venc:]]=TODAY(),"Vence Hoje","Vencida")))</f>
        <v>Enviado</v>
      </c>
      <c r="F3239" s="3" t="str">
        <f ca="1">IF(G3239=1,"-",Tabela2[[#This Row],[Dt Venc:]]-TODAY())</f>
        <v>-</v>
      </c>
      <c r="G3239" s="3">
        <v>1</v>
      </c>
      <c r="H3239" s="3"/>
    </row>
    <row r="3240" spans="1:8" hidden="1">
      <c r="A3240" s="3">
        <v>72105</v>
      </c>
      <c r="B3240" s="7" t="s">
        <v>76</v>
      </c>
      <c r="C3240" s="41">
        <v>758.84</v>
      </c>
      <c r="D3240" s="6">
        <v>45642</v>
      </c>
      <c r="E3240" s="3" t="str">
        <f ca="1">IF(Tabela2[[#This Row],[Dt Venc:]]&gt;TODAY(),"Em Aberto",IF(Tabela2[[#This Row],[D/venc]]="-","Enviado",IF(Tabela2[[#This Row],[Dt Venc:]]=TODAY(),"Vence Hoje","Vencida")))</f>
        <v>Enviado</v>
      </c>
      <c r="F3240" s="3" t="str">
        <f ca="1">IF(G3240=1,"-",Tabela2[[#This Row],[Dt Venc:]]-TODAY())</f>
        <v>-</v>
      </c>
      <c r="G3240" s="3">
        <v>1</v>
      </c>
      <c r="H3240" s="3"/>
    </row>
    <row r="3241" spans="1:8" hidden="1">
      <c r="A3241" s="3">
        <v>73176</v>
      </c>
      <c r="B3241" s="7" t="s">
        <v>76</v>
      </c>
      <c r="C3241" s="41">
        <v>337.88</v>
      </c>
      <c r="D3241" s="6">
        <v>45642</v>
      </c>
      <c r="E3241" s="3" t="str">
        <f ca="1">IF(Tabela2[[#This Row],[Dt Venc:]]&gt;TODAY(),"Em Aberto",IF(Tabela2[[#This Row],[D/venc]]="-","Enviado",IF(Tabela2[[#This Row],[Dt Venc:]]=TODAY(),"Vence Hoje","Vencida")))</f>
        <v>Enviado</v>
      </c>
      <c r="F3241" s="3" t="str">
        <f ca="1">IF(G3241=1,"-",Tabela2[[#This Row],[Dt Venc:]]-TODAY())</f>
        <v>-</v>
      </c>
      <c r="G3241" s="3">
        <v>1</v>
      </c>
      <c r="H3241" s="3"/>
    </row>
    <row r="3242" spans="1:8" hidden="1">
      <c r="A3242" s="3">
        <v>73174</v>
      </c>
      <c r="B3242" s="7" t="s">
        <v>76</v>
      </c>
      <c r="C3242" s="41">
        <v>5782.41</v>
      </c>
      <c r="D3242" s="6">
        <v>45642</v>
      </c>
      <c r="E3242" s="3" t="str">
        <f ca="1">IF(Tabela2[[#This Row],[Dt Venc:]]&gt;TODAY(),"Em Aberto",IF(Tabela2[[#This Row],[D/venc]]="-","Enviado",IF(Tabela2[[#This Row],[Dt Venc:]]=TODAY(),"Vence Hoje","Vencida")))</f>
        <v>Enviado</v>
      </c>
      <c r="F3242" s="3" t="str">
        <f ca="1">IF(G3242=1,"-",Tabela2[[#This Row],[Dt Venc:]]-TODAY())</f>
        <v>-</v>
      </c>
      <c r="G3242" s="3">
        <v>1</v>
      </c>
      <c r="H3242" s="3"/>
    </row>
    <row r="3243" spans="1:8" hidden="1">
      <c r="A3243" s="3">
        <v>67725</v>
      </c>
      <c r="B3243" s="7" t="s">
        <v>143</v>
      </c>
      <c r="C3243" s="41">
        <v>1191.4000000000001</v>
      </c>
      <c r="D3243" s="6">
        <v>45642</v>
      </c>
      <c r="E3243" s="3" t="str">
        <f ca="1">IF(Tabela2[[#This Row],[Dt Venc:]]&gt;TODAY(),"Em Aberto",IF(Tabela2[[#This Row],[D/venc]]="-","Enviado",IF(Tabela2[[#This Row],[Dt Venc:]]=TODAY(),"Vence Hoje","Vencida")))</f>
        <v>Enviado</v>
      </c>
      <c r="F3243" s="3" t="str">
        <f ca="1">IF(G3243=1,"-",Tabela2[[#This Row],[Dt Venc:]]-TODAY())</f>
        <v>-</v>
      </c>
      <c r="G3243" s="3">
        <v>1</v>
      </c>
      <c r="H3243" s="3"/>
    </row>
    <row r="3244" spans="1:8" hidden="1">
      <c r="A3244" s="3">
        <v>4250</v>
      </c>
      <c r="B3244" s="7" t="s">
        <v>328</v>
      </c>
      <c r="C3244" s="41">
        <v>223.89</v>
      </c>
      <c r="D3244" s="6">
        <v>45642</v>
      </c>
      <c r="E3244" s="3" t="str">
        <f ca="1">IF(Tabela2[[#This Row],[Dt Venc:]]&gt;TODAY(),"Em Aberto",IF(Tabela2[[#This Row],[D/venc]]="-","Enviado",IF(Tabela2[[#This Row],[Dt Venc:]]=TODAY(),"Vence Hoje","Vencida")))</f>
        <v>Enviado</v>
      </c>
      <c r="F3244" s="3" t="str">
        <f ca="1">IF(G3244=1,"-",Tabela2[[#This Row],[Dt Venc:]]-TODAY())</f>
        <v>-</v>
      </c>
      <c r="G3244" s="3">
        <v>1</v>
      </c>
      <c r="H3244" s="3"/>
    </row>
    <row r="3245" spans="1:8" hidden="1">
      <c r="A3245" s="3">
        <v>229007</v>
      </c>
      <c r="B3245" s="7" t="s">
        <v>43</v>
      </c>
      <c r="C3245" s="42">
        <v>497.63</v>
      </c>
      <c r="D3245" s="6">
        <v>45642</v>
      </c>
      <c r="E3245" s="3" t="str">
        <f ca="1">IF(Tabela2[[#This Row],[Dt Venc:]]&gt;TODAY(),"Em Aberto",IF(Tabela2[[#This Row],[D/venc]]="-","Enviado",IF(Tabela2[[#This Row],[Dt Venc:]]=TODAY(),"Vence Hoje","Vencida")))</f>
        <v>Enviado</v>
      </c>
      <c r="F3245" s="3" t="str">
        <f ca="1">IF(G3245=1,"-",Tabela2[[#This Row],[Dt Venc:]]-TODAY())</f>
        <v>-</v>
      </c>
      <c r="G3245" s="3">
        <v>1</v>
      </c>
      <c r="H3245" s="3"/>
    </row>
    <row r="3246" spans="1:8" hidden="1">
      <c r="A3246" s="3">
        <v>254590</v>
      </c>
      <c r="B3246" s="7" t="s">
        <v>43</v>
      </c>
      <c r="C3246" s="41">
        <v>1395.4</v>
      </c>
      <c r="D3246" s="6">
        <v>45642</v>
      </c>
      <c r="E3246" s="3" t="str">
        <f ca="1">IF(Tabela2[[#This Row],[Dt Venc:]]&gt;TODAY(),"Em Aberto",IF(Tabela2[[#This Row],[D/venc]]="-","Enviado",IF(Tabela2[[#This Row],[Dt Venc:]]=TODAY(),"Vence Hoje","Vencida")))</f>
        <v>Enviado</v>
      </c>
      <c r="F3246" s="3" t="str">
        <f ca="1">IF(G3246=1,"-",Tabela2[[#This Row],[Dt Venc:]]-TODAY())</f>
        <v>-</v>
      </c>
      <c r="G3246" s="3">
        <v>1</v>
      </c>
      <c r="H3246" s="3"/>
    </row>
    <row r="3247" spans="1:8" hidden="1">
      <c r="A3247" s="3">
        <v>228677</v>
      </c>
      <c r="B3247" s="7" t="s">
        <v>300</v>
      </c>
      <c r="C3247" s="42">
        <v>1295.3900000000001</v>
      </c>
      <c r="D3247" s="6">
        <v>45642</v>
      </c>
      <c r="E3247" s="3" t="str">
        <f ca="1">IF(Tabela2[[#This Row],[Dt Venc:]]&gt;TODAY(),"Em Aberto",IF(Tabela2[[#This Row],[D/venc]]="-","Enviado",IF(Tabela2[[#This Row],[Dt Venc:]]=TODAY(),"Vence Hoje","Vencida")))</f>
        <v>Enviado</v>
      </c>
      <c r="F3247" s="3" t="str">
        <f ca="1">IF(G3247=1,"-",Tabela2[[#This Row],[Dt Venc:]]-TODAY())</f>
        <v>-</v>
      </c>
      <c r="G3247" s="3">
        <v>1</v>
      </c>
      <c r="H3247" s="3"/>
    </row>
    <row r="3248" spans="1:8" hidden="1">
      <c r="A3248" s="3">
        <v>1113</v>
      </c>
      <c r="B3248" s="7" t="s">
        <v>433</v>
      </c>
      <c r="C3248" s="41">
        <v>4296.66</v>
      </c>
      <c r="D3248" s="6">
        <v>45642</v>
      </c>
      <c r="E3248" s="3" t="str">
        <f ca="1">IF(Tabela2[[#This Row],[Dt Venc:]]&gt;TODAY(),"Em Aberto",IF(Tabela2[[#This Row],[D/venc]]="-","Enviado",IF(Tabela2[[#This Row],[Dt Venc:]]=TODAY(),"Vence Hoje","Vencida")))</f>
        <v>Enviado</v>
      </c>
      <c r="F3248" s="3" t="str">
        <f ca="1">IF(G3248=1,"-",Tabela2[[#This Row],[Dt Venc:]]-TODAY())</f>
        <v>-</v>
      </c>
      <c r="G3248" s="3">
        <v>1</v>
      </c>
      <c r="H3248" s="3"/>
    </row>
    <row r="3249" spans="1:8" hidden="1">
      <c r="A3249" s="3">
        <v>9839</v>
      </c>
      <c r="B3249" s="7" t="s">
        <v>88</v>
      </c>
      <c r="C3249" s="41">
        <v>649.1</v>
      </c>
      <c r="D3249" s="6">
        <v>45642</v>
      </c>
      <c r="E3249" s="3" t="str">
        <f ca="1">IF(Tabela2[[#This Row],[Dt Venc:]]&gt;TODAY(),"Em Aberto",IF(Tabela2[[#This Row],[D/venc]]="-","Enviado",IF(Tabela2[[#This Row],[Dt Venc:]]=TODAY(),"Vence Hoje","Vencida")))</f>
        <v>Enviado</v>
      </c>
      <c r="F3249" s="3" t="str">
        <f ca="1">IF(G3249=1,"-",Tabela2[[#This Row],[Dt Venc:]]-TODAY())</f>
        <v>-</v>
      </c>
      <c r="G3249" s="3">
        <v>1</v>
      </c>
      <c r="H3249" s="3"/>
    </row>
    <row r="3250" spans="1:8" hidden="1">
      <c r="A3250" s="3">
        <v>19297</v>
      </c>
      <c r="B3250" s="7" t="s">
        <v>367</v>
      </c>
      <c r="C3250" s="41">
        <v>1660</v>
      </c>
      <c r="D3250" s="6">
        <v>45642</v>
      </c>
      <c r="E3250" s="3" t="str">
        <f ca="1">IF(Tabela2[[#This Row],[Dt Venc:]]&gt;TODAY(),"Em Aberto",IF(Tabela2[[#This Row],[D/venc]]="-","Enviado",IF(Tabela2[[#This Row],[Dt Venc:]]=TODAY(),"Vence Hoje","Vencida")))</f>
        <v>Enviado</v>
      </c>
      <c r="F3250" s="3" t="str">
        <f ca="1">IF(G3250=1,"-",Tabela2[[#This Row],[Dt Venc:]]-TODAY())</f>
        <v>-</v>
      </c>
      <c r="G3250" s="3">
        <v>1</v>
      </c>
      <c r="H3250" s="3"/>
    </row>
    <row r="3251" spans="1:8" hidden="1">
      <c r="A3251" s="3">
        <v>5952</v>
      </c>
      <c r="B3251" s="7" t="s">
        <v>140</v>
      </c>
      <c r="C3251" s="41">
        <v>1654.67</v>
      </c>
      <c r="D3251" s="6">
        <v>45642</v>
      </c>
      <c r="E3251" s="3" t="str">
        <f ca="1">IF(Tabela2[[#This Row],[Dt Venc:]]&gt;TODAY(),"Em Aberto",IF(Tabela2[[#This Row],[D/venc]]="-","Enviado",IF(Tabela2[[#This Row],[Dt Venc:]]=TODAY(),"Vence Hoje","Vencida")))</f>
        <v>Enviado</v>
      </c>
      <c r="F3251" s="3" t="str">
        <f ca="1">IF(G3251=1,"-",Tabela2[[#This Row],[Dt Venc:]]-TODAY())</f>
        <v>-</v>
      </c>
      <c r="G3251" s="3">
        <v>1</v>
      </c>
      <c r="H3251" s="3"/>
    </row>
    <row r="3252" spans="1:8" hidden="1">
      <c r="A3252" s="3">
        <v>5945</v>
      </c>
      <c r="B3252" s="7" t="s">
        <v>140</v>
      </c>
      <c r="C3252" s="41">
        <v>1220.03</v>
      </c>
      <c r="D3252" s="6">
        <v>45642</v>
      </c>
      <c r="E3252" s="3" t="str">
        <f ca="1">IF(Tabela2[[#This Row],[Dt Venc:]]&gt;TODAY(),"Em Aberto",IF(Tabela2[[#This Row],[D/venc]]="-","Enviado",IF(Tabela2[[#This Row],[Dt Venc:]]=TODAY(),"Vence Hoje","Vencida")))</f>
        <v>Enviado</v>
      </c>
      <c r="F3252" s="3" t="str">
        <f ca="1">IF(G3252=1,"-",Tabela2[[#This Row],[Dt Venc:]]-TODAY())</f>
        <v>-</v>
      </c>
      <c r="G3252" s="3">
        <v>1</v>
      </c>
      <c r="H3252" s="3"/>
    </row>
    <row r="3253" spans="1:8" hidden="1">
      <c r="A3253" s="3">
        <v>172383</v>
      </c>
      <c r="B3253" s="7" t="s">
        <v>174</v>
      </c>
      <c r="C3253" s="42">
        <v>453.34</v>
      </c>
      <c r="D3253" s="6">
        <v>45642</v>
      </c>
      <c r="E3253" s="3" t="str">
        <f ca="1">IF(Tabela2[[#This Row],[Dt Venc:]]&gt;TODAY(),"Em Aberto",IF(Tabela2[[#This Row],[D/venc]]="-","Enviado",IF(Tabela2[[#This Row],[Dt Venc:]]=TODAY(),"Vence Hoje","Vencida")))</f>
        <v>Enviado</v>
      </c>
      <c r="F3253" s="3" t="str">
        <f ca="1">IF(G3253=1,"-",Tabela2[[#This Row],[Dt Venc:]]-TODAY())</f>
        <v>-</v>
      </c>
      <c r="G3253" s="3">
        <v>1</v>
      </c>
      <c r="H3253" s="3"/>
    </row>
    <row r="3254" spans="1:8" hidden="1">
      <c r="A3254" s="3">
        <v>10735</v>
      </c>
      <c r="B3254" s="7" t="s">
        <v>231</v>
      </c>
      <c r="C3254" s="42">
        <v>466.67</v>
      </c>
      <c r="D3254" s="6">
        <v>45642</v>
      </c>
      <c r="E3254" s="3" t="str">
        <f ca="1">IF(Tabela2[[#This Row],[Dt Venc:]]&gt;TODAY(),"Em Aberto",IF(Tabela2[[#This Row],[D/venc]]="-","Enviado",IF(Tabela2[[#This Row],[Dt Venc:]]=TODAY(),"Vence Hoje","Vencida")))</f>
        <v>Enviado</v>
      </c>
      <c r="F3254" s="3" t="str">
        <f ca="1">IF(G3254=1,"-",Tabela2[[#This Row],[Dt Venc:]]-TODAY())</f>
        <v>-</v>
      </c>
      <c r="G3254" s="3">
        <v>1</v>
      </c>
      <c r="H3254" s="3"/>
    </row>
    <row r="3255" spans="1:8" hidden="1">
      <c r="A3255" s="3">
        <v>8710</v>
      </c>
      <c r="B3255" s="7" t="s">
        <v>105</v>
      </c>
      <c r="C3255" s="41">
        <v>1440</v>
      </c>
      <c r="D3255" s="6">
        <v>45642</v>
      </c>
      <c r="E3255" s="3" t="str">
        <f ca="1">IF(Tabela2[[#This Row],[Dt Venc:]]&gt;TODAY(),"Em Aberto",IF(Tabela2[[#This Row],[D/venc]]="-","Enviado",IF(Tabela2[[#This Row],[Dt Venc:]]=TODAY(),"Vence Hoje","Vencida")))</f>
        <v>Enviado</v>
      </c>
      <c r="F3255" s="3" t="str">
        <f ca="1">IF(G3255=1,"-",Tabela2[[#This Row],[Dt Venc:]]-TODAY())</f>
        <v>-</v>
      </c>
      <c r="G3255" s="3">
        <v>1</v>
      </c>
      <c r="H3255" s="3"/>
    </row>
    <row r="3256" spans="1:8" hidden="1">
      <c r="A3256" s="3">
        <v>11431</v>
      </c>
      <c r="B3256" s="7" t="s">
        <v>105</v>
      </c>
      <c r="C3256" s="41">
        <v>2500</v>
      </c>
      <c r="D3256" s="6">
        <v>45642</v>
      </c>
      <c r="E3256" s="3" t="str">
        <f ca="1">IF(Tabela2[[#This Row],[Dt Venc:]]&gt;TODAY(),"Em Aberto",IF(Tabela2[[#This Row],[D/venc]]="-","Enviado",IF(Tabela2[[#This Row],[Dt Venc:]]=TODAY(),"Vence Hoje","Vencida")))</f>
        <v>Enviado</v>
      </c>
      <c r="F3256" s="3" t="str">
        <f ca="1">IF(G3256=1,"-",Tabela2[[#This Row],[Dt Venc:]]-TODAY())</f>
        <v>-</v>
      </c>
      <c r="G3256" s="3">
        <v>1</v>
      </c>
      <c r="H3256" s="3"/>
    </row>
    <row r="3257" spans="1:8" hidden="1">
      <c r="A3257" s="3">
        <v>15832</v>
      </c>
      <c r="B3257" s="7" t="s">
        <v>289</v>
      </c>
      <c r="C3257" s="41">
        <v>800</v>
      </c>
      <c r="D3257" s="6">
        <v>45642</v>
      </c>
      <c r="E3257" s="3" t="str">
        <f ca="1">IF(Tabela2[[#This Row],[Dt Venc:]]&gt;TODAY(),"Em Aberto",IF(Tabela2[[#This Row],[D/venc]]="-","Enviado",IF(Tabela2[[#This Row],[Dt Venc:]]=TODAY(),"Vence Hoje","Vencida")))</f>
        <v>Enviado</v>
      </c>
      <c r="F3257" s="3" t="str">
        <f ca="1">IF(G3257=1,"-",Tabela2[[#This Row],[Dt Venc:]]-TODAY())</f>
        <v>-</v>
      </c>
      <c r="G3257" s="3">
        <v>1</v>
      </c>
      <c r="H3257" s="3"/>
    </row>
    <row r="3258" spans="1:8" hidden="1">
      <c r="A3258" s="3">
        <v>15835</v>
      </c>
      <c r="B3258" s="7" t="s">
        <v>289</v>
      </c>
      <c r="C3258" s="41">
        <v>450</v>
      </c>
      <c r="D3258" s="6">
        <v>45642</v>
      </c>
      <c r="E3258" s="3" t="str">
        <f ca="1">IF(Tabela2[[#This Row],[Dt Venc:]]&gt;TODAY(),"Em Aberto",IF(Tabela2[[#This Row],[D/venc]]="-","Enviado",IF(Tabela2[[#This Row],[Dt Venc:]]=TODAY(),"Vence Hoje","Vencida")))</f>
        <v>Enviado</v>
      </c>
      <c r="F3258" s="3" t="str">
        <f ca="1">IF(G3258=1,"-",Tabela2[[#This Row],[Dt Venc:]]-TODAY())</f>
        <v>-</v>
      </c>
      <c r="G3258" s="3">
        <v>1</v>
      </c>
      <c r="H3258" s="3"/>
    </row>
    <row r="3259" spans="1:8" hidden="1">
      <c r="A3259" s="3">
        <v>8173</v>
      </c>
      <c r="B3259" s="7" t="s">
        <v>242</v>
      </c>
      <c r="C3259" s="41">
        <v>84.9</v>
      </c>
      <c r="D3259" s="6">
        <v>45642</v>
      </c>
      <c r="E3259" s="3" t="str">
        <f ca="1">IF(Tabela2[[#This Row],[Dt Venc:]]&gt;TODAY(),"Em Aberto",IF(Tabela2[[#This Row],[D/venc]]="-","Enviado",IF(Tabela2[[#This Row],[Dt Venc:]]=TODAY(),"Vence Hoje","Vencida")))</f>
        <v>Enviado</v>
      </c>
      <c r="F3259" s="3" t="str">
        <f ca="1">IF(G3259=1,"-",Tabela2[[#This Row],[Dt Venc:]]-TODAY())</f>
        <v>-</v>
      </c>
      <c r="G3259" s="3">
        <v>1</v>
      </c>
      <c r="H3259" s="3"/>
    </row>
    <row r="3260" spans="1:8" hidden="1">
      <c r="A3260" s="3">
        <v>48330</v>
      </c>
      <c r="B3260" s="7" t="s">
        <v>144</v>
      </c>
      <c r="C3260" s="41">
        <v>2046.97</v>
      </c>
      <c r="D3260" s="6">
        <v>45642</v>
      </c>
      <c r="E3260" s="3" t="str">
        <f ca="1">IF(Tabela2[[#This Row],[Dt Venc:]]&gt;TODAY(),"Em Aberto",IF(Tabela2[[#This Row],[D/venc]]="-","Enviado",IF(Tabela2[[#This Row],[Dt Venc:]]=TODAY(),"Vence Hoje","Vencida")))</f>
        <v>Enviado</v>
      </c>
      <c r="F3260" s="3" t="str">
        <f ca="1">IF(G3260=1,"-",Tabela2[[#This Row],[Dt Venc:]]-TODAY())</f>
        <v>-</v>
      </c>
      <c r="G3260" s="3">
        <v>1</v>
      </c>
      <c r="H3260" s="3"/>
    </row>
    <row r="3261" spans="1:8" hidden="1">
      <c r="A3261" s="3">
        <v>360678</v>
      </c>
      <c r="B3261" s="7" t="s">
        <v>59</v>
      </c>
      <c r="C3261" s="41">
        <v>56869</v>
      </c>
      <c r="D3261" s="6">
        <v>45642</v>
      </c>
      <c r="E3261" s="3" t="str">
        <f ca="1">IF(Tabela2[[#This Row],[Dt Venc:]]&gt;TODAY(),"Em Aberto",IF(Tabela2[[#This Row],[D/venc]]="-","Enviado",IF(Tabela2[[#This Row],[Dt Venc:]]=TODAY(),"Vence Hoje","Vencida")))</f>
        <v>Enviado</v>
      </c>
      <c r="F3261" s="3" t="str">
        <f ca="1">IF(G3261=1,"-",Tabela2[[#This Row],[Dt Venc:]]-TODAY())</f>
        <v>-</v>
      </c>
      <c r="G3261" s="3">
        <v>1</v>
      </c>
      <c r="H3261" s="3"/>
    </row>
    <row r="3262" spans="1:8" hidden="1">
      <c r="A3262" s="3">
        <v>214253</v>
      </c>
      <c r="B3262" s="7" t="s">
        <v>59</v>
      </c>
      <c r="C3262" s="41">
        <v>55939</v>
      </c>
      <c r="D3262" s="6">
        <v>45642</v>
      </c>
      <c r="E3262" s="3" t="str">
        <f ca="1">IF(Tabela2[[#This Row],[Dt Venc:]]&gt;TODAY(),"Em Aberto",IF(Tabela2[[#This Row],[D/venc]]="-","Enviado",IF(Tabela2[[#This Row],[Dt Venc:]]=TODAY(),"Vence Hoje","Vencida")))</f>
        <v>Enviado</v>
      </c>
      <c r="F3262" s="3" t="str">
        <f ca="1">IF(G3262=1,"-",Tabela2[[#This Row],[Dt Venc:]]-TODAY())</f>
        <v>-</v>
      </c>
      <c r="G3262" s="3">
        <v>1</v>
      </c>
      <c r="H3262" s="3"/>
    </row>
    <row r="3263" spans="1:8" hidden="1">
      <c r="A3263" s="3" t="s">
        <v>110</v>
      </c>
      <c r="B3263" s="7" t="s">
        <v>272</v>
      </c>
      <c r="C3263" s="42" t="s">
        <v>32</v>
      </c>
      <c r="D3263" s="6">
        <v>45642</v>
      </c>
      <c r="E3263" s="3" t="str">
        <f ca="1">IF(Tabela2[[#This Row],[Dt Venc:]]&gt;TODAY(),"Em Aberto",IF(Tabela2[[#This Row],[D/venc]]="-","Enviado",IF(Tabela2[[#This Row],[Dt Venc:]]=TODAY(),"Vence Hoje","Vencida")))</f>
        <v>Enviado</v>
      </c>
      <c r="F3263" s="3" t="str">
        <f ca="1">IF(G3263=1,"-",Tabela2[[#This Row],[Dt Venc:]]-TODAY())</f>
        <v>-</v>
      </c>
      <c r="G3263" s="3">
        <v>1</v>
      </c>
      <c r="H3263" s="3"/>
    </row>
    <row r="3264" spans="1:8" hidden="1">
      <c r="A3264" s="3">
        <v>759</v>
      </c>
      <c r="B3264" s="7" t="s">
        <v>351</v>
      </c>
      <c r="C3264" s="41">
        <v>1086</v>
      </c>
      <c r="D3264" s="6">
        <v>45642</v>
      </c>
      <c r="E3264" s="3" t="str">
        <f ca="1">IF(Tabela2[[#This Row],[Dt Venc:]]&gt;TODAY(),"Em Aberto",IF(Tabela2[[#This Row],[D/venc]]="-","Enviado",IF(Tabela2[[#This Row],[Dt Venc:]]=TODAY(),"Vence Hoje","Vencida")))</f>
        <v>Enviado</v>
      </c>
      <c r="F3264" s="3" t="str">
        <f ca="1">IF(G3264=1,"-",Tabela2[[#This Row],[Dt Venc:]]-TODAY())</f>
        <v>-</v>
      </c>
      <c r="G3264" s="3">
        <v>1</v>
      </c>
      <c r="H3264" s="3"/>
    </row>
    <row r="3265" spans="1:8" hidden="1">
      <c r="A3265" s="3">
        <v>5312</v>
      </c>
      <c r="B3265" s="7" t="s">
        <v>134</v>
      </c>
      <c r="C3265" s="41">
        <v>650</v>
      </c>
      <c r="D3265" s="6">
        <v>45642</v>
      </c>
      <c r="E3265" s="3" t="str">
        <f ca="1">IF(Tabela2[[#This Row],[Dt Venc:]]&gt;TODAY(),"Em Aberto",IF(Tabela2[[#This Row],[D/venc]]="-","Enviado",IF(Tabela2[[#This Row],[Dt Venc:]]=TODAY(),"Vence Hoje","Vencida")))</f>
        <v>Enviado</v>
      </c>
      <c r="F3265" s="3" t="str">
        <f ca="1">IF(G3265=1,"-",Tabela2[[#This Row],[Dt Venc:]]-TODAY())</f>
        <v>-</v>
      </c>
      <c r="G3265" s="3">
        <v>1</v>
      </c>
      <c r="H3265" s="3"/>
    </row>
    <row r="3266" spans="1:8" hidden="1">
      <c r="A3266" s="3">
        <v>12391</v>
      </c>
      <c r="B3266" s="7" t="s">
        <v>402</v>
      </c>
      <c r="C3266" s="41">
        <v>415.76</v>
      </c>
      <c r="D3266" s="6">
        <v>45642</v>
      </c>
      <c r="E3266" s="3" t="str">
        <f ca="1">IF(Tabela2[[#This Row],[Dt Venc:]]&gt;TODAY(),"Em Aberto",IF(Tabela2[[#This Row],[D/venc]]="-","Enviado",IF(Tabela2[[#This Row],[Dt Venc:]]=TODAY(),"Vence Hoje","Vencida")))</f>
        <v>Enviado</v>
      </c>
      <c r="F3266" s="3" t="str">
        <f ca="1">IF(G3266=1,"-",Tabela2[[#This Row],[Dt Venc:]]-TODAY())</f>
        <v>-</v>
      </c>
      <c r="G3266" s="3">
        <v>1</v>
      </c>
      <c r="H3266" s="3"/>
    </row>
    <row r="3267" spans="1:8" hidden="1">
      <c r="A3267" s="3">
        <v>37196</v>
      </c>
      <c r="B3267" s="7" t="s">
        <v>167</v>
      </c>
      <c r="C3267" s="87" t="s">
        <v>32</v>
      </c>
      <c r="D3267" s="6">
        <v>45643</v>
      </c>
      <c r="E3267" s="3" t="str">
        <f ca="1">IF(Tabela2[[#This Row],[Dt Venc:]]&gt;TODAY(),"Em Aberto",IF(Tabela2[[#This Row],[D/venc]]="-","Enviado",IF(Tabela2[[#This Row],[Dt Venc:]]=TODAY(),"Vence Hoje","Vencida")))</f>
        <v>Enviado</v>
      </c>
      <c r="F3267" s="3" t="str">
        <f ca="1">IF(G3267=1,"-",Tabela2[[#This Row],[Dt Venc:]]-TODAY())</f>
        <v>-</v>
      </c>
      <c r="G3267" s="3">
        <v>1</v>
      </c>
      <c r="H3267" s="3"/>
    </row>
    <row r="3268" spans="1:8" hidden="1">
      <c r="A3268" s="3">
        <v>10904</v>
      </c>
      <c r="B3268" s="7" t="s">
        <v>33</v>
      </c>
      <c r="C3268" s="42">
        <v>1543.33</v>
      </c>
      <c r="D3268" s="6">
        <v>45643</v>
      </c>
      <c r="E3268" s="3" t="str">
        <f ca="1">IF(Tabela2[[#This Row],[Dt Venc:]]&gt;TODAY(),"Em Aberto",IF(Tabela2[[#This Row],[D/venc]]="-","Enviado",IF(Tabela2[[#This Row],[Dt Venc:]]=TODAY(),"Vence Hoje","Vencida")))</f>
        <v>Enviado</v>
      </c>
      <c r="F3268" s="3" t="str">
        <f ca="1">IF(G3268=1,"-",Tabela2[[#This Row],[Dt Venc:]]-TODAY())</f>
        <v>-</v>
      </c>
      <c r="G3268" s="3">
        <v>1</v>
      </c>
      <c r="H3268" s="3"/>
    </row>
    <row r="3269" spans="1:8" hidden="1">
      <c r="A3269" s="3">
        <v>11039</v>
      </c>
      <c r="B3269" s="7" t="s">
        <v>33</v>
      </c>
      <c r="C3269" s="41">
        <v>1653.4</v>
      </c>
      <c r="D3269" s="6">
        <v>45643</v>
      </c>
      <c r="E3269" s="3" t="str">
        <f ca="1">IF(Tabela2[[#This Row],[Dt Venc:]]&gt;TODAY(),"Em Aberto",IF(Tabela2[[#This Row],[D/venc]]="-","Enviado",IF(Tabela2[[#This Row],[Dt Venc:]]=TODAY(),"Vence Hoje","Vencida")))</f>
        <v>Enviado</v>
      </c>
      <c r="F3269" s="3" t="str">
        <f ca="1">IF(G3269=1,"-",Tabela2[[#This Row],[Dt Venc:]]-TODAY())</f>
        <v>-</v>
      </c>
      <c r="G3269" s="3">
        <v>1</v>
      </c>
      <c r="H3269" s="3"/>
    </row>
    <row r="3270" spans="1:8" hidden="1">
      <c r="A3270" s="3">
        <v>2801</v>
      </c>
      <c r="B3270" s="7" t="s">
        <v>301</v>
      </c>
      <c r="C3270" s="42">
        <v>406.66</v>
      </c>
      <c r="D3270" s="6">
        <v>45643</v>
      </c>
      <c r="E3270" s="3" t="str">
        <f ca="1">IF(Tabela2[[#This Row],[Dt Venc:]]&gt;TODAY(),"Em Aberto",IF(Tabela2[[#This Row],[D/venc]]="-","Enviado",IF(Tabela2[[#This Row],[Dt Venc:]]=TODAY(),"Vence Hoje","Vencida")))</f>
        <v>Enviado</v>
      </c>
      <c r="F3270" s="3" t="str">
        <f ca="1">IF(G3270=1,"-",Tabela2[[#This Row],[Dt Venc:]]-TODAY())</f>
        <v>-</v>
      </c>
      <c r="G3270" s="3">
        <v>1</v>
      </c>
      <c r="H3270" s="3"/>
    </row>
    <row r="3271" spans="1:8" hidden="1">
      <c r="A3271" s="3">
        <v>2831</v>
      </c>
      <c r="B3271" s="7" t="s">
        <v>301</v>
      </c>
      <c r="C3271" s="41">
        <v>2440</v>
      </c>
      <c r="D3271" s="6">
        <v>45643</v>
      </c>
      <c r="E3271" s="3" t="str">
        <f ca="1">IF(Tabela2[[#This Row],[Dt Venc:]]&gt;TODAY(),"Em Aberto",IF(Tabela2[[#This Row],[D/venc]]="-","Enviado",IF(Tabela2[[#This Row],[Dt Venc:]]=TODAY(),"Vence Hoje","Vencida")))</f>
        <v>Enviado</v>
      </c>
      <c r="F3271" s="3" t="str">
        <f ca="1">IF(G3271=1,"-",Tabela2[[#This Row],[Dt Venc:]]-TODAY())</f>
        <v>-</v>
      </c>
      <c r="G3271" s="3">
        <v>1</v>
      </c>
      <c r="H3271" s="3"/>
    </row>
    <row r="3272" spans="1:8" hidden="1">
      <c r="A3272" s="3">
        <v>758</v>
      </c>
      <c r="B3272" s="7" t="s">
        <v>521</v>
      </c>
      <c r="C3272" s="41">
        <v>7770</v>
      </c>
      <c r="D3272" s="6">
        <v>45643</v>
      </c>
      <c r="E3272" s="3" t="str">
        <f ca="1">IF(Tabela2[[#This Row],[Dt Venc:]]&gt;TODAY(),"Em Aberto",IF(Tabela2[[#This Row],[D/venc]]="-","Enviado",IF(Tabela2[[#This Row],[Dt Venc:]]=TODAY(),"Vence Hoje","Vencida")))</f>
        <v>Enviado</v>
      </c>
      <c r="F3272" s="3" t="str">
        <f ca="1">IF(G3272=1,"-",Tabela2[[#This Row],[Dt Venc:]]-TODAY())</f>
        <v>-</v>
      </c>
      <c r="G3272" s="3">
        <v>1</v>
      </c>
      <c r="H3272" s="3"/>
    </row>
    <row r="3273" spans="1:8" hidden="1">
      <c r="A3273" s="3">
        <v>257591</v>
      </c>
      <c r="B3273" s="7" t="s">
        <v>326</v>
      </c>
      <c r="C3273" s="41">
        <v>1716.66</v>
      </c>
      <c r="D3273" s="6">
        <v>45643</v>
      </c>
      <c r="E3273" s="3" t="str">
        <f ca="1">IF(Tabela2[[#This Row],[Dt Venc:]]&gt;TODAY(),"Em Aberto",IF(Tabela2[[#This Row],[D/venc]]="-","Enviado",IF(Tabela2[[#This Row],[Dt Venc:]]=TODAY(),"Vence Hoje","Vencida")))</f>
        <v>Enviado</v>
      </c>
      <c r="F3273" s="3" t="str">
        <f ca="1">IF(G3273=1,"-",Tabela2[[#This Row],[Dt Venc:]]-TODAY())</f>
        <v>-</v>
      </c>
      <c r="G3273" s="3">
        <v>1</v>
      </c>
      <c r="H3273" s="3"/>
    </row>
    <row r="3274" spans="1:8" hidden="1">
      <c r="A3274" s="3">
        <v>257347</v>
      </c>
      <c r="B3274" s="7" t="s">
        <v>49</v>
      </c>
      <c r="C3274" s="41">
        <v>1393.34</v>
      </c>
      <c r="D3274" s="6">
        <v>45643</v>
      </c>
      <c r="E3274" s="3" t="str">
        <f ca="1">IF(Tabela2[[#This Row],[Dt Venc:]]&gt;TODAY(),"Em Aberto",IF(Tabela2[[#This Row],[D/venc]]="-","Enviado",IF(Tabela2[[#This Row],[Dt Venc:]]=TODAY(),"Vence Hoje","Vencida")))</f>
        <v>Enviado</v>
      </c>
      <c r="F3274" s="3" t="str">
        <f ca="1">IF(G3274=1,"-",Tabela2[[#This Row],[Dt Venc:]]-TODAY())</f>
        <v>-</v>
      </c>
      <c r="G3274" s="3">
        <v>1</v>
      </c>
      <c r="H3274" s="3"/>
    </row>
    <row r="3275" spans="1:8" hidden="1">
      <c r="A3275" s="3">
        <v>368077</v>
      </c>
      <c r="B3275" s="7" t="s">
        <v>302</v>
      </c>
      <c r="C3275" s="42">
        <v>350.15</v>
      </c>
      <c r="D3275" s="6">
        <v>45643</v>
      </c>
      <c r="E3275" s="3" t="str">
        <f ca="1">IF(Tabela2[[#This Row],[Dt Venc:]]&gt;TODAY(),"Em Aberto",IF(Tabela2[[#This Row],[D/venc]]="-","Enviado",IF(Tabela2[[#This Row],[Dt Venc:]]=TODAY(),"Vence Hoje","Vencida")))</f>
        <v>Enviado</v>
      </c>
      <c r="F3275" s="3" t="str">
        <f ca="1">IF(G3275=1,"-",Tabela2[[#This Row],[Dt Venc:]]-TODAY())</f>
        <v>-</v>
      </c>
      <c r="G3275" s="3">
        <v>1</v>
      </c>
      <c r="H3275" s="3"/>
    </row>
    <row r="3276" spans="1:8" hidden="1">
      <c r="A3276" s="3">
        <v>81213</v>
      </c>
      <c r="B3276" s="7" t="s">
        <v>302</v>
      </c>
      <c r="C3276" s="42">
        <v>150.32</v>
      </c>
      <c r="D3276" s="6">
        <v>45643</v>
      </c>
      <c r="E3276" s="3" t="str">
        <f ca="1">IF(Tabela2[[#This Row],[Dt Venc:]]&gt;TODAY(),"Em Aberto",IF(Tabela2[[#This Row],[D/venc]]="-","Enviado",IF(Tabela2[[#This Row],[Dt Venc:]]=TODAY(),"Vence Hoje","Vencida")))</f>
        <v>Enviado</v>
      </c>
      <c r="F3276" s="3" t="str">
        <f ca="1">IF(G3276=1,"-",Tabela2[[#This Row],[Dt Venc:]]-TODAY())</f>
        <v>-</v>
      </c>
      <c r="G3276" s="3">
        <v>1</v>
      </c>
      <c r="H3276" s="3"/>
    </row>
    <row r="3277" spans="1:8" hidden="1">
      <c r="A3277" s="3">
        <v>81215</v>
      </c>
      <c r="B3277" s="7" t="s">
        <v>302</v>
      </c>
      <c r="C3277" s="42">
        <v>690</v>
      </c>
      <c r="D3277" s="6">
        <v>45643</v>
      </c>
      <c r="E3277" s="3" t="str">
        <f ca="1">IF(Tabela2[[#This Row],[Dt Venc:]]&gt;TODAY(),"Em Aberto",IF(Tabela2[[#This Row],[D/venc]]="-","Enviado",IF(Tabela2[[#This Row],[Dt Venc:]]=TODAY(),"Vence Hoje","Vencida")))</f>
        <v>Enviado</v>
      </c>
      <c r="F3277" s="3" t="str">
        <f ca="1">IF(G3277=1,"-",Tabela2[[#This Row],[Dt Venc:]]-TODAY())</f>
        <v>-</v>
      </c>
      <c r="G3277" s="3">
        <v>1</v>
      </c>
      <c r="H3277" s="3"/>
    </row>
    <row r="3278" spans="1:8" hidden="1">
      <c r="A3278" s="3">
        <v>368073</v>
      </c>
      <c r="B3278" s="7" t="s">
        <v>302</v>
      </c>
      <c r="C3278" s="42">
        <v>350.15</v>
      </c>
      <c r="D3278" s="6">
        <v>45643</v>
      </c>
      <c r="E3278" s="3" t="str">
        <f ca="1">IF(Tabela2[[#This Row],[Dt Venc:]]&gt;TODAY(),"Em Aberto",IF(Tabela2[[#This Row],[D/venc]]="-","Enviado",IF(Tabela2[[#This Row],[Dt Venc:]]=TODAY(),"Vence Hoje","Vencida")))</f>
        <v>Enviado</v>
      </c>
      <c r="F3278" s="3" t="str">
        <f ca="1">IF(G3278=1,"-",Tabela2[[#This Row],[Dt Venc:]]-TODAY())</f>
        <v>-</v>
      </c>
      <c r="G3278" s="3">
        <v>1</v>
      </c>
      <c r="H3278" s="3"/>
    </row>
    <row r="3279" spans="1:8" hidden="1">
      <c r="A3279" s="3">
        <v>365638</v>
      </c>
      <c r="B3279" s="7" t="s">
        <v>39</v>
      </c>
      <c r="C3279" s="42">
        <v>1094.98</v>
      </c>
      <c r="D3279" s="6">
        <v>45643</v>
      </c>
      <c r="E3279" s="3" t="str">
        <f ca="1">IF(Tabela2[[#This Row],[Dt Venc:]]&gt;TODAY(),"Em Aberto",IF(Tabela2[[#This Row],[D/venc]]="-","Enviado",IF(Tabela2[[#This Row],[Dt Venc:]]=TODAY(),"Vence Hoje","Vencida")))</f>
        <v>Enviado</v>
      </c>
      <c r="F3279" s="3" t="str">
        <f ca="1">IF(G3279=1,"-",Tabela2[[#This Row],[Dt Venc:]]-TODAY())</f>
        <v>-</v>
      </c>
      <c r="G3279" s="3">
        <v>1</v>
      </c>
      <c r="H3279" s="3"/>
    </row>
    <row r="3280" spans="1:8" hidden="1">
      <c r="A3280" s="3">
        <v>370551</v>
      </c>
      <c r="B3280" s="7" t="s">
        <v>39</v>
      </c>
      <c r="C3280" s="41">
        <v>238.11</v>
      </c>
      <c r="D3280" s="6">
        <v>45643</v>
      </c>
      <c r="E3280" s="3" t="str">
        <f ca="1">IF(Tabela2[[#This Row],[Dt Venc:]]&gt;TODAY(),"Em Aberto",IF(Tabela2[[#This Row],[D/venc]]="-","Enviado",IF(Tabela2[[#This Row],[Dt Venc:]]=TODAY(),"Vence Hoje","Vencida")))</f>
        <v>Enviado</v>
      </c>
      <c r="F3280" s="3" t="str">
        <f ca="1">IF(G3280=1,"-",Tabela2[[#This Row],[Dt Venc:]]-TODAY())</f>
        <v>-</v>
      </c>
      <c r="G3280" s="3">
        <v>1</v>
      </c>
      <c r="H3280" s="3"/>
    </row>
    <row r="3281" spans="1:8" hidden="1">
      <c r="A3281" s="3">
        <v>81740</v>
      </c>
      <c r="B3281" s="7" t="s">
        <v>39</v>
      </c>
      <c r="C3281" s="41">
        <v>795.98</v>
      </c>
      <c r="D3281" s="6">
        <v>45643</v>
      </c>
      <c r="E3281" s="3" t="str">
        <f ca="1">IF(Tabela2[[#This Row],[Dt Venc:]]&gt;TODAY(),"Em Aberto",IF(Tabela2[[#This Row],[D/venc]]="-","Enviado",IF(Tabela2[[#This Row],[Dt Venc:]]=TODAY(),"Vence Hoje","Vencida")))</f>
        <v>Enviado</v>
      </c>
      <c r="F3281" s="3" t="str">
        <f ca="1">IF(G3281=1,"-",Tabela2[[#This Row],[Dt Venc:]]-TODAY())</f>
        <v>-</v>
      </c>
      <c r="G3281" s="3">
        <v>1</v>
      </c>
      <c r="H3281" s="3"/>
    </row>
    <row r="3282" spans="1:8" hidden="1">
      <c r="A3282" s="3">
        <v>186182</v>
      </c>
      <c r="B3282" s="7" t="s">
        <v>172</v>
      </c>
      <c r="C3282" s="42">
        <v>1685.99</v>
      </c>
      <c r="D3282" s="6">
        <v>45643</v>
      </c>
      <c r="E3282" s="3" t="str">
        <f ca="1">IF(Tabela2[[#This Row],[Dt Venc:]]&gt;TODAY(),"Em Aberto",IF(Tabela2[[#This Row],[D/venc]]="-","Enviado",IF(Tabela2[[#This Row],[Dt Venc:]]=TODAY(),"Vence Hoje","Vencida")))</f>
        <v>Enviado</v>
      </c>
      <c r="F3282" s="3" t="str">
        <f ca="1">IF(G3282=1,"-",Tabela2[[#This Row],[Dt Venc:]]-TODAY())</f>
        <v>-</v>
      </c>
      <c r="G3282" s="3">
        <v>1</v>
      </c>
      <c r="H3282" s="3"/>
    </row>
    <row r="3283" spans="1:8" hidden="1">
      <c r="A3283" s="3">
        <v>5268</v>
      </c>
      <c r="B3283" s="7" t="s">
        <v>134</v>
      </c>
      <c r="C3283" s="41">
        <v>500</v>
      </c>
      <c r="D3283" s="6">
        <v>45643</v>
      </c>
      <c r="E3283" s="3" t="str">
        <f ca="1">IF(Tabela2[[#This Row],[Dt Venc:]]&gt;TODAY(),"Em Aberto",IF(Tabela2[[#This Row],[D/venc]]="-","Enviado",IF(Tabela2[[#This Row],[Dt Venc:]]=TODAY(),"Vence Hoje","Vencida")))</f>
        <v>Enviado</v>
      </c>
      <c r="F3283" s="3" t="str">
        <f ca="1">IF(G3283=1,"-",Tabela2[[#This Row],[Dt Venc:]]-TODAY())</f>
        <v>-</v>
      </c>
      <c r="G3283" s="3">
        <v>1</v>
      </c>
      <c r="H3283" s="3"/>
    </row>
    <row r="3284" spans="1:8" hidden="1">
      <c r="A3284" s="3">
        <v>30374</v>
      </c>
      <c r="B3284" s="7" t="s">
        <v>226</v>
      </c>
      <c r="C3284" s="41">
        <v>2730</v>
      </c>
      <c r="D3284" s="6">
        <v>45643</v>
      </c>
      <c r="E3284" s="3" t="str">
        <f ca="1">IF(Tabela2[[#This Row],[Dt Venc:]]&gt;TODAY(),"Em Aberto",IF(Tabela2[[#This Row],[D/venc]]="-","Enviado",IF(Tabela2[[#This Row],[Dt Venc:]]=TODAY(),"Vence Hoje","Vencida")))</f>
        <v>Enviado</v>
      </c>
      <c r="F3284" s="3" t="str">
        <f ca="1">IF(G3284=1,"-",Tabela2[[#This Row],[Dt Venc:]]-TODAY())</f>
        <v>-</v>
      </c>
      <c r="G3284" s="3">
        <v>1</v>
      </c>
      <c r="H3284" s="3"/>
    </row>
    <row r="3285" spans="1:8" hidden="1">
      <c r="A3285" s="3">
        <v>14118</v>
      </c>
      <c r="B3285" s="7" t="s">
        <v>303</v>
      </c>
      <c r="C3285" s="42">
        <v>793.34</v>
      </c>
      <c r="D3285" s="6">
        <v>45643</v>
      </c>
      <c r="E3285" s="3" t="str">
        <f ca="1">IF(Tabela2[[#This Row],[Dt Venc:]]&gt;TODAY(),"Em Aberto",IF(Tabela2[[#This Row],[D/venc]]="-","Enviado",IF(Tabela2[[#This Row],[Dt Venc:]]=TODAY(),"Vence Hoje","Vencida")))</f>
        <v>Enviado</v>
      </c>
      <c r="F3285" s="3" t="str">
        <f ca="1">IF(G3285=1,"-",Tabela2[[#This Row],[Dt Venc:]]-TODAY())</f>
        <v>-</v>
      </c>
      <c r="G3285" s="3">
        <v>1</v>
      </c>
      <c r="H3285" s="3"/>
    </row>
    <row r="3286" spans="1:8" hidden="1">
      <c r="A3286" s="3">
        <v>19796</v>
      </c>
      <c r="B3286" s="7" t="s">
        <v>41</v>
      </c>
      <c r="C3286" s="41">
        <v>700</v>
      </c>
      <c r="D3286" s="6">
        <v>45643</v>
      </c>
      <c r="E3286" s="3" t="str">
        <f ca="1">IF(Tabela2[[#This Row],[Dt Venc:]]&gt;TODAY(),"Em Aberto",IF(Tabela2[[#This Row],[D/venc]]="-","Enviado",IF(Tabela2[[#This Row],[Dt Venc:]]=TODAY(),"Vence Hoje","Vencida")))</f>
        <v>Enviado</v>
      </c>
      <c r="F3286" s="3" t="str">
        <f ca="1">IF(G3286=1,"-",Tabela2[[#This Row],[Dt Venc:]]-TODAY())</f>
        <v>-</v>
      </c>
      <c r="G3286" s="3">
        <v>1</v>
      </c>
      <c r="H3286" s="3"/>
    </row>
    <row r="3287" spans="1:8" hidden="1">
      <c r="A3287" s="3">
        <v>299581</v>
      </c>
      <c r="B3287" s="7" t="s">
        <v>43</v>
      </c>
      <c r="C3287" s="42">
        <v>661.34</v>
      </c>
      <c r="D3287" s="6">
        <v>45643</v>
      </c>
      <c r="E3287" s="3" t="str">
        <f ca="1">IF(Tabela2[[#This Row],[Dt Venc:]]&gt;TODAY(),"Em Aberto",IF(Tabela2[[#This Row],[D/venc]]="-","Enviado",IF(Tabela2[[#This Row],[Dt Venc:]]=TODAY(),"Vence Hoje","Vencida")))</f>
        <v>Enviado</v>
      </c>
      <c r="F3287" s="3" t="str">
        <f ca="1">IF(G3287=1,"-",Tabela2[[#This Row],[Dt Venc:]]-TODAY())</f>
        <v>-</v>
      </c>
      <c r="G3287" s="3">
        <v>1</v>
      </c>
      <c r="H3287" s="3"/>
    </row>
    <row r="3288" spans="1:8" hidden="1">
      <c r="A3288" s="3">
        <v>88535</v>
      </c>
      <c r="B3288" s="7" t="s">
        <v>207</v>
      </c>
      <c r="C3288" s="41">
        <v>582.5</v>
      </c>
      <c r="D3288" s="6">
        <v>45643</v>
      </c>
      <c r="E3288" s="3" t="str">
        <f ca="1">IF(Tabela2[[#This Row],[Dt Venc:]]&gt;TODAY(),"Em Aberto",IF(Tabela2[[#This Row],[D/venc]]="-","Enviado",IF(Tabela2[[#This Row],[Dt Venc:]]=TODAY(),"Vence Hoje","Vencida")))</f>
        <v>Enviado</v>
      </c>
      <c r="F3288" s="3" t="str">
        <f ca="1">IF(G3288=1,"-",Tabela2[[#This Row],[Dt Venc:]]-TODAY())</f>
        <v>-</v>
      </c>
      <c r="G3288" s="3">
        <v>1</v>
      </c>
      <c r="H3288" s="3"/>
    </row>
    <row r="3289" spans="1:8" hidden="1">
      <c r="A3289" s="3">
        <v>153715</v>
      </c>
      <c r="B3289" s="7" t="s">
        <v>240</v>
      </c>
      <c r="C3289" s="41">
        <v>450</v>
      </c>
      <c r="D3289" s="6">
        <v>45643</v>
      </c>
      <c r="E3289" s="3" t="str">
        <f ca="1">IF(Tabela2[[#This Row],[Dt Venc:]]&gt;TODAY(),"Em Aberto",IF(Tabela2[[#This Row],[D/venc]]="-","Enviado",IF(Tabela2[[#This Row],[Dt Venc:]]=TODAY(),"Vence Hoje","Vencida")))</f>
        <v>Enviado</v>
      </c>
      <c r="F3289" s="3" t="str">
        <f ca="1">IF(G3289=1,"-",Tabela2[[#This Row],[Dt Venc:]]-TODAY())</f>
        <v>-</v>
      </c>
      <c r="G3289" s="3">
        <v>1</v>
      </c>
      <c r="H3289" s="3"/>
    </row>
    <row r="3290" spans="1:8" hidden="1">
      <c r="A3290" s="3">
        <v>376215</v>
      </c>
      <c r="B3290" s="7" t="s">
        <v>441</v>
      </c>
      <c r="C3290" s="41">
        <v>471.1</v>
      </c>
      <c r="D3290" s="6">
        <v>45643</v>
      </c>
      <c r="E3290" s="3" t="str">
        <f ca="1">IF(Tabela2[[#This Row],[Dt Venc:]]&gt;TODAY(),"Em Aberto",IF(Tabela2[[#This Row],[D/venc]]="-","Enviado",IF(Tabela2[[#This Row],[Dt Venc:]]=TODAY(),"Vence Hoje","Vencida")))</f>
        <v>Enviado</v>
      </c>
      <c r="F3290" s="3" t="str">
        <f ca="1">IF(G3290=1,"-",Tabela2[[#This Row],[Dt Venc:]]-TODAY())</f>
        <v>-</v>
      </c>
      <c r="G3290" s="3">
        <v>1</v>
      </c>
      <c r="H3290" s="3"/>
    </row>
    <row r="3291" spans="1:8" hidden="1">
      <c r="A3291" s="3">
        <v>174362</v>
      </c>
      <c r="B3291" s="7" t="s">
        <v>434</v>
      </c>
      <c r="C3291" s="41">
        <v>1333.34</v>
      </c>
      <c r="D3291" s="6">
        <v>45643</v>
      </c>
      <c r="E3291" s="3" t="str">
        <f ca="1">IF(Tabela2[[#This Row],[Dt Venc:]]&gt;TODAY(),"Em Aberto",IF(Tabela2[[#This Row],[D/venc]]="-","Enviado",IF(Tabela2[[#This Row],[Dt Venc:]]=TODAY(),"Vence Hoje","Vencida")))</f>
        <v>Enviado</v>
      </c>
      <c r="F3291" s="3" t="str">
        <f ca="1">IF(G3291=1,"-",Tabela2[[#This Row],[Dt Venc:]]-TODAY())</f>
        <v>-</v>
      </c>
      <c r="G3291" s="3">
        <v>1</v>
      </c>
      <c r="H3291" s="3"/>
    </row>
    <row r="3292" spans="1:8" hidden="1">
      <c r="A3292" s="3">
        <v>2851</v>
      </c>
      <c r="B3292" s="7" t="s">
        <v>58</v>
      </c>
      <c r="C3292" s="41">
        <v>2187.27</v>
      </c>
      <c r="D3292" s="6">
        <v>45643</v>
      </c>
      <c r="E3292" s="3" t="str">
        <f ca="1">IF(Tabela2[[#This Row],[Dt Venc:]]&gt;TODAY(),"Em Aberto",IF(Tabela2[[#This Row],[D/venc]]="-","Enviado",IF(Tabela2[[#This Row],[Dt Venc:]]=TODAY(),"Vence Hoje","Vencida")))</f>
        <v>Enviado</v>
      </c>
      <c r="F3292" s="3" t="str">
        <f ca="1">IF(G3292=1,"-",Tabela2[[#This Row],[Dt Venc:]]-TODAY())</f>
        <v>-</v>
      </c>
      <c r="G3292" s="3">
        <v>1</v>
      </c>
      <c r="H3292" s="3"/>
    </row>
    <row r="3293" spans="1:8" hidden="1">
      <c r="A3293" s="3">
        <v>255551</v>
      </c>
      <c r="B3293" s="7" t="s">
        <v>43</v>
      </c>
      <c r="C3293" s="41">
        <v>2694.79</v>
      </c>
      <c r="D3293" s="6">
        <v>45643</v>
      </c>
      <c r="E3293" s="3" t="str">
        <f ca="1">IF(Tabela2[[#This Row],[Dt Venc:]]&gt;TODAY(),"Em Aberto",IF(Tabela2[[#This Row],[D/venc]]="-","Enviado",IF(Tabela2[[#This Row],[Dt Venc:]]=TODAY(),"Vence Hoje","Vencida")))</f>
        <v>Enviado</v>
      </c>
      <c r="F3293" s="3" t="str">
        <f ca="1">IF(G3293=1,"-",Tabela2[[#This Row],[Dt Venc:]]-TODAY())</f>
        <v>-</v>
      </c>
      <c r="G3293" s="3">
        <v>1</v>
      </c>
      <c r="H3293" s="3"/>
    </row>
    <row r="3294" spans="1:8" hidden="1">
      <c r="A3294" s="3">
        <v>391193</v>
      </c>
      <c r="B3294" s="7" t="s">
        <v>43</v>
      </c>
      <c r="C3294" s="41">
        <v>776.56</v>
      </c>
      <c r="D3294" s="6">
        <v>45643</v>
      </c>
      <c r="E3294" s="3" t="str">
        <f ca="1">IF(Tabela2[[#This Row],[Dt Venc:]]&gt;TODAY(),"Em Aberto",IF(Tabela2[[#This Row],[D/venc]]="-","Enviado",IF(Tabela2[[#This Row],[Dt Venc:]]=TODAY(),"Vence Hoje","Vencida")))</f>
        <v>Enviado</v>
      </c>
      <c r="F3294" s="3" t="str">
        <f ca="1">IF(G3294=1,"-",Tabela2[[#This Row],[Dt Venc:]]-TODAY())</f>
        <v>-</v>
      </c>
      <c r="G3294" s="3">
        <v>1</v>
      </c>
      <c r="H3294" s="3"/>
    </row>
    <row r="3295" spans="1:8" hidden="1">
      <c r="A3295" s="3">
        <v>2273531</v>
      </c>
      <c r="B3295" s="7" t="s">
        <v>59</v>
      </c>
      <c r="C3295" s="41">
        <v>55466</v>
      </c>
      <c r="D3295" s="6">
        <v>45643</v>
      </c>
      <c r="E3295" s="3" t="str">
        <f ca="1">IF(Tabela2[[#This Row],[Dt Venc:]]&gt;TODAY(),"Em Aberto",IF(Tabela2[[#This Row],[D/venc]]="-","Enviado",IF(Tabela2[[#This Row],[Dt Venc:]]=TODAY(),"Vence Hoje","Vencida")))</f>
        <v>Enviado</v>
      </c>
      <c r="F3295" s="3" t="str">
        <f ca="1">IF(G3295=1,"-",Tabela2[[#This Row],[Dt Venc:]]-TODAY())</f>
        <v>-</v>
      </c>
      <c r="G3295" s="3">
        <v>1</v>
      </c>
      <c r="H3295" s="3"/>
    </row>
    <row r="3296" spans="1:8" hidden="1">
      <c r="A3296" s="3">
        <v>2000005</v>
      </c>
      <c r="B3296" s="7" t="s">
        <v>59</v>
      </c>
      <c r="C3296" s="41">
        <v>138195</v>
      </c>
      <c r="D3296" s="6">
        <v>45643</v>
      </c>
      <c r="E3296" s="3" t="str">
        <f ca="1">IF(Tabela2[[#This Row],[Dt Venc:]]&gt;TODAY(),"Em Aberto",IF(Tabela2[[#This Row],[D/venc]]="-","Enviado",IF(Tabela2[[#This Row],[Dt Venc:]]=TODAY(),"Vence Hoje","Vencida")))</f>
        <v>Enviado</v>
      </c>
      <c r="F3296" s="3" t="str">
        <f ca="1">IF(G3296=1,"-",Tabela2[[#This Row],[Dt Venc:]]-TODAY())</f>
        <v>-</v>
      </c>
      <c r="G3296" s="3">
        <v>1</v>
      </c>
      <c r="H3296" s="3"/>
    </row>
    <row r="3297" spans="1:8" hidden="1">
      <c r="A3297" s="3">
        <v>952184</v>
      </c>
      <c r="B3297" s="7" t="s">
        <v>181</v>
      </c>
      <c r="C3297" s="41">
        <v>540</v>
      </c>
      <c r="D3297" s="6">
        <v>45643</v>
      </c>
      <c r="E3297" s="3" t="str">
        <f ca="1">IF(Tabela2[[#This Row],[Dt Venc:]]&gt;TODAY(),"Em Aberto",IF(Tabela2[[#This Row],[D/venc]]="-","Enviado",IF(Tabela2[[#This Row],[Dt Venc:]]=TODAY(),"Vence Hoje","Vencida")))</f>
        <v>Enviado</v>
      </c>
      <c r="F3297" s="3" t="str">
        <f ca="1">IF(G3297=1,"-",Tabela2[[#This Row],[Dt Venc:]]-TODAY())</f>
        <v>-</v>
      </c>
      <c r="G3297" s="3">
        <v>1</v>
      </c>
      <c r="H3297" s="3"/>
    </row>
    <row r="3298" spans="1:8" hidden="1">
      <c r="A3298" s="3">
        <v>3318965</v>
      </c>
      <c r="B3298" s="7" t="s">
        <v>71</v>
      </c>
      <c r="C3298" s="41">
        <v>83617.5</v>
      </c>
      <c r="D3298" s="6">
        <v>45643</v>
      </c>
      <c r="E3298" s="3" t="str">
        <f ca="1">IF(Tabela2[[#This Row],[Dt Venc:]]&gt;TODAY(),"Em Aberto",IF(Tabela2[[#This Row],[D/venc]]="-","Enviado",IF(Tabela2[[#This Row],[Dt Venc:]]=TODAY(),"Vence Hoje","Vencida")))</f>
        <v>Enviado</v>
      </c>
      <c r="F3298" s="3" t="str">
        <f ca="1">IF(G3298=1,"-",Tabela2[[#This Row],[Dt Venc:]]-TODAY())</f>
        <v>-</v>
      </c>
      <c r="G3298" s="3">
        <v>1</v>
      </c>
      <c r="H3298" s="3"/>
    </row>
    <row r="3299" spans="1:8" hidden="1">
      <c r="A3299" s="3">
        <v>6496</v>
      </c>
      <c r="B3299" s="7" t="s">
        <v>291</v>
      </c>
      <c r="C3299" s="41">
        <v>3762</v>
      </c>
      <c r="D3299" s="6">
        <v>45643</v>
      </c>
      <c r="E3299" s="3" t="str">
        <f ca="1">IF(Tabela2[[#This Row],[Dt Venc:]]&gt;TODAY(),"Em Aberto",IF(Tabela2[[#This Row],[D/venc]]="-","Enviado",IF(Tabela2[[#This Row],[Dt Venc:]]=TODAY(),"Vence Hoje","Vencida")))</f>
        <v>Enviado</v>
      </c>
      <c r="F3299" s="3" t="str">
        <f ca="1">IF(G3299=1,"-",Tabela2[[#This Row],[Dt Venc:]]-TODAY())</f>
        <v>-</v>
      </c>
      <c r="G3299" s="3">
        <v>1</v>
      </c>
      <c r="H3299" s="3"/>
    </row>
    <row r="3300" spans="1:8" hidden="1">
      <c r="A3300" s="3">
        <v>142192</v>
      </c>
      <c r="B3300" s="7" t="s">
        <v>60</v>
      </c>
      <c r="C3300" s="41">
        <v>390</v>
      </c>
      <c r="D3300" s="6">
        <v>45643</v>
      </c>
      <c r="E3300" s="3" t="str">
        <f ca="1">IF(Tabela2[[#This Row],[Dt Venc:]]&gt;TODAY(),"Em Aberto",IF(Tabela2[[#This Row],[D/venc]]="-","Enviado",IF(Tabela2[[#This Row],[Dt Venc:]]=TODAY(),"Vence Hoje","Vencida")))</f>
        <v>Enviado</v>
      </c>
      <c r="F3300" s="3" t="str">
        <f ca="1">IF(G3300=1,"-",Tabela2[[#This Row],[Dt Venc:]]-TODAY())</f>
        <v>-</v>
      </c>
      <c r="G3300" s="3">
        <v>1</v>
      </c>
      <c r="H3300" s="3"/>
    </row>
    <row r="3301" spans="1:8" hidden="1">
      <c r="A3301" s="3">
        <v>39429</v>
      </c>
      <c r="B3301" s="7" t="s">
        <v>548</v>
      </c>
      <c r="C3301" s="41">
        <v>559.73</v>
      </c>
      <c r="D3301" s="6">
        <v>45643</v>
      </c>
      <c r="E3301" s="3" t="str">
        <f ca="1">IF(Tabela2[[#This Row],[Dt Venc:]]&gt;TODAY(),"Em Aberto",IF(Tabela2[[#This Row],[D/venc]]="-","Enviado",IF(Tabela2[[#This Row],[Dt Venc:]]=TODAY(),"Vence Hoje","Vencida")))</f>
        <v>Enviado</v>
      </c>
      <c r="F3301" s="3" t="str">
        <f ca="1">IF(G3301=1,"-",Tabela2[[#This Row],[Dt Venc:]]-TODAY())</f>
        <v>-</v>
      </c>
      <c r="G3301" s="3">
        <v>1</v>
      </c>
      <c r="H3301" s="3"/>
    </row>
    <row r="3302" spans="1:8" hidden="1">
      <c r="A3302" s="3">
        <v>6497</v>
      </c>
      <c r="B3302" s="7" t="s">
        <v>549</v>
      </c>
      <c r="C3302" s="41">
        <v>5872.5</v>
      </c>
      <c r="D3302" s="6">
        <v>45643</v>
      </c>
      <c r="E3302" s="3" t="str">
        <f ca="1">IF(Tabela2[[#This Row],[Dt Venc:]]&gt;TODAY(),"Em Aberto",IF(Tabela2[[#This Row],[D/venc]]="-","Enviado",IF(Tabela2[[#This Row],[Dt Venc:]]=TODAY(),"Vence Hoje","Vencida")))</f>
        <v>Enviado</v>
      </c>
      <c r="F3302" s="3" t="str">
        <f ca="1">IF(G3302=1,"-",Tabela2[[#This Row],[Dt Venc:]]-TODAY())</f>
        <v>-</v>
      </c>
      <c r="G3302" s="3">
        <v>1</v>
      </c>
      <c r="H3302" s="3"/>
    </row>
    <row r="3303" spans="1:8" hidden="1">
      <c r="A3303" s="3">
        <v>11045</v>
      </c>
      <c r="B3303" s="7" t="s">
        <v>33</v>
      </c>
      <c r="C3303" s="41">
        <v>400</v>
      </c>
      <c r="D3303" s="6">
        <v>45644</v>
      </c>
      <c r="E3303" s="3" t="str">
        <f ca="1">IF(Tabela2[[#This Row],[Dt Venc:]]&gt;TODAY(),"Em Aberto",IF(Tabela2[[#This Row],[D/venc]]="-","Enviado",IF(Tabela2[[#This Row],[Dt Venc:]]=TODAY(),"Vence Hoje","Vencida")))</f>
        <v>Enviado</v>
      </c>
      <c r="F3303" s="3" t="str">
        <f ca="1">IF(G3303=1,"-",Tabela2[[#This Row],[Dt Venc:]]-TODAY())</f>
        <v>-</v>
      </c>
      <c r="G3303" s="3">
        <v>1</v>
      </c>
      <c r="H3303" s="3"/>
    </row>
    <row r="3304" spans="1:8" hidden="1">
      <c r="A3304" s="3">
        <v>11139</v>
      </c>
      <c r="B3304" s="7" t="s">
        <v>33</v>
      </c>
      <c r="C3304" s="41">
        <v>800</v>
      </c>
      <c r="D3304" s="6">
        <v>45644</v>
      </c>
      <c r="E3304" s="3" t="str">
        <f ca="1">IF(Tabela2[[#This Row],[Dt Venc:]]&gt;TODAY(),"Em Aberto",IF(Tabela2[[#This Row],[D/venc]]="-","Enviado",IF(Tabela2[[#This Row],[Dt Venc:]]=TODAY(),"Vence Hoje","Vencida")))</f>
        <v>Enviado</v>
      </c>
      <c r="F3304" s="3" t="str">
        <f ca="1">IF(G3304=1,"-",Tabela2[[#This Row],[Dt Venc:]]-TODAY())</f>
        <v>-</v>
      </c>
      <c r="G3304" s="3">
        <v>1</v>
      </c>
      <c r="H3304" s="3"/>
    </row>
    <row r="3305" spans="1:8" hidden="1">
      <c r="A3305" s="3">
        <v>26283</v>
      </c>
      <c r="B3305" s="7" t="s">
        <v>267</v>
      </c>
      <c r="C3305" s="41">
        <v>528</v>
      </c>
      <c r="D3305" s="6">
        <v>45644</v>
      </c>
      <c r="E3305" s="3" t="str">
        <f ca="1">IF(Tabela2[[#This Row],[Dt Venc:]]&gt;TODAY(),"Em Aberto",IF(Tabela2[[#This Row],[D/venc]]="-","Enviado",IF(Tabela2[[#This Row],[Dt Venc:]]=TODAY(),"Vence Hoje","Vencida")))</f>
        <v>Enviado</v>
      </c>
      <c r="F3305" s="3" t="str">
        <f ca="1">IF(G3305=1,"-",Tabela2[[#This Row],[Dt Venc:]]-TODAY())</f>
        <v>-</v>
      </c>
      <c r="G3305" s="3">
        <v>1</v>
      </c>
      <c r="H3305" s="3"/>
    </row>
    <row r="3306" spans="1:8" hidden="1">
      <c r="A3306" s="3">
        <v>53728</v>
      </c>
      <c r="B3306" s="7" t="s">
        <v>169</v>
      </c>
      <c r="C3306" s="42">
        <v>1104.42</v>
      </c>
      <c r="D3306" s="6">
        <v>45644</v>
      </c>
      <c r="E3306" s="3" t="str">
        <f ca="1">IF(Tabela2[[#This Row],[Dt Venc:]]&gt;TODAY(),"Em Aberto",IF(Tabela2[[#This Row],[D/venc]]="-","Enviado",IF(Tabela2[[#This Row],[Dt Venc:]]=TODAY(),"Vence Hoje","Vencida")))</f>
        <v>Enviado</v>
      </c>
      <c r="F3306" s="3" t="str">
        <f ca="1">IF(G3306=1,"-",Tabela2[[#This Row],[Dt Venc:]]-TODAY())</f>
        <v>-</v>
      </c>
      <c r="G3306" s="3">
        <v>1</v>
      </c>
      <c r="H3306" s="3"/>
    </row>
    <row r="3307" spans="1:8" hidden="1">
      <c r="A3307" s="3">
        <v>17347</v>
      </c>
      <c r="B3307" s="7" t="s">
        <v>75</v>
      </c>
      <c r="C3307" s="41">
        <v>15288.57</v>
      </c>
      <c r="D3307" s="6">
        <v>45644</v>
      </c>
      <c r="E3307" s="3" t="str">
        <f ca="1">IF(Tabela2[[#This Row],[Dt Venc:]]&gt;TODAY(),"Em Aberto",IF(Tabela2[[#This Row],[D/venc]]="-","Enviado",IF(Tabela2[[#This Row],[Dt Venc:]]=TODAY(),"Vence Hoje","Vencida")))</f>
        <v>Enviado</v>
      </c>
      <c r="F3307" s="3" t="str">
        <f ca="1">IF(G3307=1,"-",Tabela2[[#This Row],[Dt Venc:]]-TODAY())</f>
        <v>-</v>
      </c>
      <c r="G3307" s="3">
        <v>1</v>
      </c>
      <c r="H3307" s="3"/>
    </row>
    <row r="3308" spans="1:8" hidden="1">
      <c r="A3308" s="3">
        <v>269915</v>
      </c>
      <c r="B3308" s="7" t="s">
        <v>36</v>
      </c>
      <c r="C3308" s="41">
        <v>2142.13</v>
      </c>
      <c r="D3308" s="6">
        <v>45644</v>
      </c>
      <c r="E3308" s="3" t="str">
        <f ca="1">IF(Tabela2[[#This Row],[Dt Venc:]]&gt;TODAY(),"Em Aberto",IF(Tabela2[[#This Row],[D/venc]]="-","Enviado",IF(Tabela2[[#This Row],[Dt Venc:]]=TODAY(),"Vence Hoje","Vencida")))</f>
        <v>Enviado</v>
      </c>
      <c r="F3308" s="3" t="str">
        <f ca="1">IF(G3308=1,"-",Tabela2[[#This Row],[Dt Venc:]]-TODAY())</f>
        <v>-</v>
      </c>
      <c r="G3308" s="3">
        <v>1</v>
      </c>
      <c r="H3308" s="3"/>
    </row>
    <row r="3309" spans="1:8" hidden="1">
      <c r="A3309" s="3">
        <v>759</v>
      </c>
      <c r="B3309" s="7" t="s">
        <v>521</v>
      </c>
      <c r="C3309" s="41">
        <v>18130</v>
      </c>
      <c r="D3309" s="6">
        <v>45644</v>
      </c>
      <c r="E3309" s="3" t="str">
        <f ca="1">IF(Tabela2[[#This Row],[Dt Venc:]]&gt;TODAY(),"Em Aberto",IF(Tabela2[[#This Row],[D/venc]]="-","Enviado",IF(Tabela2[[#This Row],[Dt Venc:]]=TODAY(),"Vence Hoje","Vencida")))</f>
        <v>Enviado</v>
      </c>
      <c r="F3309" s="3" t="str">
        <f ca="1">IF(G3309=1,"-",Tabela2[[#This Row],[Dt Venc:]]-TODAY())</f>
        <v>-</v>
      </c>
      <c r="G3309" s="3">
        <v>1</v>
      </c>
      <c r="H3309" s="3"/>
    </row>
    <row r="3310" spans="1:8" hidden="1">
      <c r="A3310" s="3">
        <v>428747</v>
      </c>
      <c r="B3310" s="7" t="s">
        <v>89</v>
      </c>
      <c r="C3310" s="41">
        <v>1686</v>
      </c>
      <c r="D3310" s="6">
        <v>45644</v>
      </c>
      <c r="E3310" s="3" t="str">
        <f ca="1">IF(Tabela2[[#This Row],[Dt Venc:]]&gt;TODAY(),"Em Aberto",IF(Tabela2[[#This Row],[D/venc]]="-","Enviado",IF(Tabela2[[#This Row],[Dt Venc:]]=TODAY(),"Vence Hoje","Vencida")))</f>
        <v>Enviado</v>
      </c>
      <c r="F3310" s="3" t="str">
        <f ca="1">IF(G3310=1,"-",Tabela2[[#This Row],[Dt Venc:]]-TODAY())</f>
        <v>-</v>
      </c>
      <c r="G3310" s="3">
        <v>1</v>
      </c>
      <c r="H3310" s="3"/>
    </row>
    <row r="3311" spans="1:8" hidden="1">
      <c r="A3311" s="3">
        <v>394952</v>
      </c>
      <c r="B3311" s="7" t="s">
        <v>445</v>
      </c>
      <c r="C3311" s="41">
        <v>1870</v>
      </c>
      <c r="D3311" s="6">
        <v>45644</v>
      </c>
      <c r="E3311" s="3" t="str">
        <f ca="1">IF(Tabela2[[#This Row],[Dt Venc:]]&gt;TODAY(),"Em Aberto",IF(Tabela2[[#This Row],[D/venc]]="-","Enviado",IF(Tabela2[[#This Row],[Dt Venc:]]=TODAY(),"Vence Hoje","Vencida")))</f>
        <v>Enviado</v>
      </c>
      <c r="F3311" s="3" t="str">
        <f ca="1">IF(G3311=1,"-",Tabela2[[#This Row],[Dt Venc:]]-TODAY())</f>
        <v>-</v>
      </c>
      <c r="G3311" s="3">
        <v>1</v>
      </c>
      <c r="H3311" s="3"/>
    </row>
    <row r="3312" spans="1:8" hidden="1">
      <c r="A3312" s="3">
        <v>374375</v>
      </c>
      <c r="B3312" s="7" t="s">
        <v>171</v>
      </c>
      <c r="C3312" s="41">
        <v>590.03</v>
      </c>
      <c r="D3312" s="6">
        <v>45644</v>
      </c>
      <c r="E3312" s="3" t="str">
        <f ca="1">IF(Tabela2[[#This Row],[Dt Venc:]]&gt;TODAY(),"Em Aberto",IF(Tabela2[[#This Row],[D/venc]]="-","Enviado",IF(Tabela2[[#This Row],[Dt Venc:]]=TODAY(),"Vence Hoje","Vencida")))</f>
        <v>Enviado</v>
      </c>
      <c r="F3312" s="3" t="str">
        <f ca="1">IF(G3312=1,"-",Tabela2[[#This Row],[Dt Venc:]]-TODAY())</f>
        <v>-</v>
      </c>
      <c r="G3312" s="3">
        <v>1</v>
      </c>
      <c r="H3312" s="3"/>
    </row>
    <row r="3313" spans="1:8" hidden="1">
      <c r="A3313" s="3">
        <v>374375</v>
      </c>
      <c r="B3313" s="7" t="s">
        <v>453</v>
      </c>
      <c r="C3313" s="41">
        <v>590.03</v>
      </c>
      <c r="D3313" s="6">
        <v>45644</v>
      </c>
      <c r="E3313" s="3" t="str">
        <f ca="1">IF(Tabela2[[#This Row],[Dt Venc:]]&gt;TODAY(),"Em Aberto",IF(Tabela2[[#This Row],[D/venc]]="-","Enviado",IF(Tabela2[[#This Row],[Dt Venc:]]=TODAY(),"Vence Hoje","Vencida")))</f>
        <v>Enviado</v>
      </c>
      <c r="F3313" s="3" t="str">
        <f ca="1">IF(G3313=1,"-",Tabela2[[#This Row],[Dt Venc:]]-TODAY())</f>
        <v>-</v>
      </c>
      <c r="G3313" s="3">
        <v>1</v>
      </c>
      <c r="H3313" s="3"/>
    </row>
    <row r="3314" spans="1:8" hidden="1">
      <c r="A3314" s="3">
        <v>144842</v>
      </c>
      <c r="B3314" s="7" t="s">
        <v>127</v>
      </c>
      <c r="C3314" s="42">
        <v>717.5</v>
      </c>
      <c r="D3314" s="6">
        <v>45644</v>
      </c>
      <c r="E3314" s="3" t="str">
        <f ca="1">IF(Tabela2[[#This Row],[Dt Venc:]]&gt;TODAY(),"Em Aberto",IF(Tabela2[[#This Row],[D/venc]]="-","Enviado",IF(Tabela2[[#This Row],[Dt Venc:]]=TODAY(),"Vence Hoje","Vencida")))</f>
        <v>Enviado</v>
      </c>
      <c r="F3314" s="3" t="str">
        <f ca="1">IF(G3314=1,"-",Tabela2[[#This Row],[Dt Venc:]]-TODAY())</f>
        <v>-</v>
      </c>
      <c r="G3314" s="3">
        <v>1</v>
      </c>
      <c r="H3314" s="3"/>
    </row>
    <row r="3315" spans="1:8" hidden="1">
      <c r="A3315" s="3">
        <v>751107</v>
      </c>
      <c r="B3315" s="7" t="s">
        <v>127</v>
      </c>
      <c r="C3315" s="42">
        <v>376.17</v>
      </c>
      <c r="D3315" s="6">
        <v>45644</v>
      </c>
      <c r="E3315" s="3" t="str">
        <f ca="1">IF(Tabela2[[#This Row],[Dt Venc:]]&gt;TODAY(),"Em Aberto",IF(Tabela2[[#This Row],[D/venc]]="-","Enviado",IF(Tabela2[[#This Row],[Dt Venc:]]=TODAY(),"Vence Hoje","Vencida")))</f>
        <v>Enviado</v>
      </c>
      <c r="F3315" s="3" t="str">
        <f ca="1">IF(G3315=1,"-",Tabela2[[#This Row],[Dt Venc:]]-TODAY())</f>
        <v>-</v>
      </c>
      <c r="G3315" s="3">
        <v>1</v>
      </c>
      <c r="H3315" s="3"/>
    </row>
    <row r="3316" spans="1:8" hidden="1">
      <c r="A3316" s="3">
        <v>220574</v>
      </c>
      <c r="B3316" s="7" t="s">
        <v>127</v>
      </c>
      <c r="C3316" s="42">
        <v>2056.2199999999998</v>
      </c>
      <c r="D3316" s="6">
        <v>45644</v>
      </c>
      <c r="E3316" s="3" t="str">
        <f ca="1">IF(Tabela2[[#This Row],[Dt Venc:]]&gt;TODAY(),"Em Aberto",IF(Tabela2[[#This Row],[D/venc]]="-","Enviado",IF(Tabela2[[#This Row],[Dt Venc:]]=TODAY(),"Vence Hoje","Vencida")))</f>
        <v>Enviado</v>
      </c>
      <c r="F3316" s="3" t="str">
        <f ca="1">IF(G3316=1,"-",Tabela2[[#This Row],[Dt Venc:]]-TODAY())</f>
        <v>-</v>
      </c>
      <c r="G3316" s="3">
        <v>1</v>
      </c>
      <c r="H3316" s="3"/>
    </row>
    <row r="3317" spans="1:8" hidden="1">
      <c r="A3317" s="3">
        <v>225353</v>
      </c>
      <c r="B3317" s="7" t="s">
        <v>127</v>
      </c>
      <c r="C3317" s="41">
        <v>874.83</v>
      </c>
      <c r="D3317" s="6">
        <v>45644</v>
      </c>
      <c r="E3317" s="3" t="str">
        <f ca="1">IF(Tabela2[[#This Row],[Dt Venc:]]&gt;TODAY(),"Em Aberto",IF(Tabela2[[#This Row],[D/venc]]="-","Enviado",IF(Tabela2[[#This Row],[Dt Venc:]]=TODAY(),"Vence Hoje","Vencida")))</f>
        <v>Enviado</v>
      </c>
      <c r="F3317" s="3" t="str">
        <f ca="1">IF(G3317=1,"-",Tabela2[[#This Row],[Dt Venc:]]-TODAY())</f>
        <v>-</v>
      </c>
      <c r="G3317" s="3">
        <v>1</v>
      </c>
      <c r="H3317" s="3"/>
    </row>
    <row r="3318" spans="1:8" hidden="1">
      <c r="A3318" s="3">
        <v>225354</v>
      </c>
      <c r="B3318" s="7" t="s">
        <v>127</v>
      </c>
      <c r="C3318" s="41">
        <v>669.02</v>
      </c>
      <c r="D3318" s="6">
        <v>45644</v>
      </c>
      <c r="E3318" s="3" t="str">
        <f ca="1">IF(Tabela2[[#This Row],[Dt Venc:]]&gt;TODAY(),"Em Aberto",IF(Tabela2[[#This Row],[D/venc]]="-","Enviado",IF(Tabela2[[#This Row],[Dt Venc:]]=TODAY(),"Vence Hoje","Vencida")))</f>
        <v>Enviado</v>
      </c>
      <c r="F3318" s="3" t="str">
        <f ca="1">IF(G3318=1,"-",Tabela2[[#This Row],[Dt Venc:]]-TODAY())</f>
        <v>-</v>
      </c>
      <c r="G3318" s="3">
        <v>1</v>
      </c>
      <c r="H3318" s="3"/>
    </row>
    <row r="3319" spans="1:8" hidden="1">
      <c r="A3319" s="3">
        <v>1517</v>
      </c>
      <c r="B3319" s="7" t="s">
        <v>78</v>
      </c>
      <c r="C3319" s="42">
        <v>587</v>
      </c>
      <c r="D3319" s="6">
        <v>45644</v>
      </c>
      <c r="E3319" s="3" t="str">
        <f ca="1">IF(Tabela2[[#This Row],[Dt Venc:]]&gt;TODAY(),"Em Aberto",IF(Tabela2[[#This Row],[D/venc]]="-","Enviado",IF(Tabela2[[#This Row],[Dt Venc:]]=TODAY(),"Vence Hoje","Vencida")))</f>
        <v>Enviado</v>
      </c>
      <c r="F3319" s="3" t="str">
        <f ca="1">IF(G3319=1,"-",Tabela2[[#This Row],[Dt Venc:]]-TODAY())</f>
        <v>-</v>
      </c>
      <c r="G3319" s="3">
        <v>1</v>
      </c>
      <c r="H3319" s="3"/>
    </row>
    <row r="3320" spans="1:8" hidden="1">
      <c r="A3320" s="3">
        <v>1526</v>
      </c>
      <c r="B3320" s="7" t="s">
        <v>78</v>
      </c>
      <c r="C3320" s="42">
        <v>392</v>
      </c>
      <c r="D3320" s="6">
        <v>45644</v>
      </c>
      <c r="E3320" s="3" t="str">
        <f ca="1">IF(Tabela2[[#This Row],[Dt Venc:]]&gt;TODAY(),"Em Aberto",IF(Tabela2[[#This Row],[D/venc]]="-","Enviado",IF(Tabela2[[#This Row],[Dt Venc:]]=TODAY(),"Vence Hoje","Vencida")))</f>
        <v>Enviado</v>
      </c>
      <c r="F3320" s="3" t="str">
        <f ca="1">IF(G3320=1,"-",Tabela2[[#This Row],[Dt Venc:]]-TODAY())</f>
        <v>-</v>
      </c>
      <c r="G3320" s="3">
        <v>1</v>
      </c>
      <c r="H3320" s="3"/>
    </row>
    <row r="3321" spans="1:8" hidden="1">
      <c r="A3321" s="3">
        <v>609329</v>
      </c>
      <c r="B3321" s="7" t="s">
        <v>66</v>
      </c>
      <c r="C3321" s="42">
        <v>3634.7</v>
      </c>
      <c r="D3321" s="6">
        <v>45644</v>
      </c>
      <c r="E3321" s="3" t="str">
        <f ca="1">IF(Tabela2[[#This Row],[Dt Venc:]]&gt;TODAY(),"Em Aberto",IF(Tabela2[[#This Row],[D/venc]]="-","Enviado",IF(Tabela2[[#This Row],[Dt Venc:]]=TODAY(),"Vence Hoje","Vencida")))</f>
        <v>Enviado</v>
      </c>
      <c r="F3321" s="3" t="str">
        <f ca="1">IF(G3321=1,"-",Tabela2[[#This Row],[Dt Venc:]]-TODAY())</f>
        <v>-</v>
      </c>
      <c r="G3321" s="3">
        <v>1</v>
      </c>
      <c r="H3321" s="3"/>
    </row>
    <row r="3322" spans="1:8" hidden="1">
      <c r="A3322" s="3">
        <v>613469</v>
      </c>
      <c r="B3322" s="7" t="s">
        <v>66</v>
      </c>
      <c r="C3322" s="41">
        <v>2978.21</v>
      </c>
      <c r="D3322" s="6">
        <v>45644</v>
      </c>
      <c r="E3322" s="3" t="str">
        <f ca="1">IF(Tabela2[[#This Row],[Dt Venc:]]&gt;TODAY(),"Em Aberto",IF(Tabela2[[#This Row],[D/venc]]="-","Enviado",IF(Tabela2[[#This Row],[Dt Venc:]]=TODAY(),"Vence Hoje","Vencida")))</f>
        <v>Enviado</v>
      </c>
      <c r="F3322" s="3" t="str">
        <f ca="1">IF(G3322=1,"-",Tabela2[[#This Row],[Dt Venc:]]-TODAY())</f>
        <v>-</v>
      </c>
      <c r="G3322" s="3">
        <v>1</v>
      </c>
      <c r="H3322" s="3"/>
    </row>
    <row r="3323" spans="1:8" hidden="1">
      <c r="A3323" s="3">
        <v>30001</v>
      </c>
      <c r="B3323" s="7" t="s">
        <v>107</v>
      </c>
      <c r="C3323" s="42">
        <v>3358</v>
      </c>
      <c r="D3323" s="6">
        <v>45644</v>
      </c>
      <c r="E3323" s="3" t="str">
        <f ca="1">IF(Tabela2[[#This Row],[Dt Venc:]]&gt;TODAY(),"Em Aberto",IF(Tabela2[[#This Row],[D/venc]]="-","Enviado",IF(Tabela2[[#This Row],[Dt Venc:]]=TODAY(),"Vence Hoje","Vencida")))</f>
        <v>Enviado</v>
      </c>
      <c r="F3323" s="3" t="str">
        <f ca="1">IF(G3323=1,"-",Tabela2[[#This Row],[Dt Venc:]]-TODAY())</f>
        <v>-</v>
      </c>
      <c r="G3323" s="3">
        <v>1</v>
      </c>
      <c r="H3323" s="3"/>
    </row>
    <row r="3324" spans="1:8" hidden="1">
      <c r="A3324" s="3">
        <v>7239</v>
      </c>
      <c r="B3324" s="7" t="s">
        <v>318</v>
      </c>
      <c r="C3324" s="41">
        <v>931</v>
      </c>
      <c r="D3324" s="6">
        <v>45644</v>
      </c>
      <c r="E3324" s="3" t="str">
        <f ca="1">IF(Tabela2[[#This Row],[Dt Venc:]]&gt;TODAY(),"Em Aberto",IF(Tabela2[[#This Row],[D/venc]]="-","Enviado",IF(Tabela2[[#This Row],[Dt Venc:]]=TODAY(),"Vence Hoje","Vencida")))</f>
        <v>Enviado</v>
      </c>
      <c r="F3324" s="3" t="str">
        <f ca="1">IF(G3324=1,"-",Tabela2[[#This Row],[Dt Venc:]]-TODAY())</f>
        <v>-</v>
      </c>
      <c r="G3324" s="3">
        <v>1</v>
      </c>
      <c r="H3324" s="3"/>
    </row>
    <row r="3325" spans="1:8" hidden="1">
      <c r="A3325" s="3">
        <v>19756</v>
      </c>
      <c r="B3325" s="7" t="s">
        <v>41</v>
      </c>
      <c r="C3325" s="41">
        <v>700</v>
      </c>
      <c r="D3325" s="6">
        <v>45644</v>
      </c>
      <c r="E3325" s="3" t="str">
        <f ca="1">IF(Tabela2[[#This Row],[Dt Venc:]]&gt;TODAY(),"Em Aberto",IF(Tabela2[[#This Row],[D/venc]]="-","Enviado",IF(Tabela2[[#This Row],[Dt Venc:]]=TODAY(),"Vence Hoje","Vencida")))</f>
        <v>Enviado</v>
      </c>
      <c r="F3325" s="3" t="str">
        <f ca="1">IF(G3325=1,"-",Tabela2[[#This Row],[Dt Venc:]]-TODAY())</f>
        <v>-</v>
      </c>
      <c r="G3325" s="3">
        <v>1</v>
      </c>
      <c r="H3325" s="3"/>
    </row>
    <row r="3326" spans="1:8" hidden="1">
      <c r="A3326" s="3">
        <v>73251</v>
      </c>
      <c r="B3326" s="7" t="s">
        <v>76</v>
      </c>
      <c r="C3326" s="41">
        <v>1508.76</v>
      </c>
      <c r="D3326" s="6">
        <v>45644</v>
      </c>
      <c r="E3326" s="3" t="str">
        <f ca="1">IF(Tabela2[[#This Row],[Dt Venc:]]&gt;TODAY(),"Em Aberto",IF(Tabela2[[#This Row],[D/venc]]="-","Enviado",IF(Tabela2[[#This Row],[Dt Venc:]]=TODAY(),"Vence Hoje","Vencida")))</f>
        <v>Enviado</v>
      </c>
      <c r="F3326" s="3" t="str">
        <f ca="1">IF(G3326=1,"-",Tabela2[[#This Row],[Dt Venc:]]-TODAY())</f>
        <v>-</v>
      </c>
      <c r="G3326" s="3">
        <v>1</v>
      </c>
      <c r="H3326" s="3"/>
    </row>
    <row r="3327" spans="1:8" hidden="1">
      <c r="A3327" s="3">
        <v>181253</v>
      </c>
      <c r="B3327" s="7" t="s">
        <v>84</v>
      </c>
      <c r="C3327" s="42">
        <v>802.32</v>
      </c>
      <c r="D3327" s="6">
        <v>45644</v>
      </c>
      <c r="E3327" s="3" t="str">
        <f ca="1">IF(Tabela2[[#This Row],[Dt Venc:]]&gt;TODAY(),"Em Aberto",IF(Tabela2[[#This Row],[D/venc]]="-","Enviado",IF(Tabela2[[#This Row],[Dt Venc:]]=TODAY(),"Vence Hoje","Vencida")))</f>
        <v>Enviado</v>
      </c>
      <c r="F3327" s="3" t="str">
        <f ca="1">IF(G3327=1,"-",Tabela2[[#This Row],[Dt Venc:]]-TODAY())</f>
        <v>-</v>
      </c>
      <c r="G3327" s="3">
        <v>1</v>
      </c>
      <c r="H3327" s="3"/>
    </row>
    <row r="3328" spans="1:8" hidden="1">
      <c r="A3328" s="3">
        <v>933</v>
      </c>
      <c r="B3328" s="7" t="s">
        <v>43</v>
      </c>
      <c r="C3328" s="42">
        <v>723.34</v>
      </c>
      <c r="D3328" s="6">
        <v>45644</v>
      </c>
      <c r="E3328" s="3" t="str">
        <f ca="1">IF(Tabela2[[#This Row],[Dt Venc:]]&gt;TODAY(),"Em Aberto",IF(Tabela2[[#This Row],[D/venc]]="-","Enviado",IF(Tabela2[[#This Row],[Dt Venc:]]=TODAY(),"Vence Hoje","Vencida")))</f>
        <v>Enviado</v>
      </c>
      <c r="F3328" s="3" t="str">
        <f ca="1">IF(G3328=1,"-",Tabela2[[#This Row],[Dt Venc:]]-TODAY())</f>
        <v>-</v>
      </c>
      <c r="G3328" s="3">
        <v>1</v>
      </c>
      <c r="H3328" s="3"/>
    </row>
    <row r="3329" spans="1:8" hidden="1">
      <c r="A3329" s="3">
        <v>230618</v>
      </c>
      <c r="B3329" s="7" t="s">
        <v>43</v>
      </c>
      <c r="C3329" s="42">
        <v>689.43</v>
      </c>
      <c r="D3329" s="6">
        <v>45644</v>
      </c>
      <c r="E3329" s="3" t="str">
        <f ca="1">IF(Tabela2[[#This Row],[Dt Venc:]]&gt;TODAY(),"Em Aberto",IF(Tabela2[[#This Row],[D/venc]]="-","Enviado",IF(Tabela2[[#This Row],[Dt Venc:]]=TODAY(),"Vence Hoje","Vencida")))</f>
        <v>Enviado</v>
      </c>
      <c r="F3329" s="3" t="str">
        <f ca="1">IF(G3329=1,"-",Tabela2[[#This Row],[Dt Venc:]]-TODAY())</f>
        <v>-</v>
      </c>
      <c r="G3329" s="3">
        <v>1</v>
      </c>
      <c r="H3329" s="3"/>
    </row>
    <row r="3330" spans="1:8" hidden="1">
      <c r="A3330" s="3">
        <v>763387</v>
      </c>
      <c r="B3330" s="7" t="s">
        <v>79</v>
      </c>
      <c r="C3330" s="42">
        <v>1855.38</v>
      </c>
      <c r="D3330" s="6">
        <v>45644</v>
      </c>
      <c r="E3330" s="3" t="str">
        <f ca="1">IF(Tabela2[[#This Row],[Dt Venc:]]&gt;TODAY(),"Em Aberto",IF(Tabela2[[#This Row],[D/venc]]="-","Enviado",IF(Tabela2[[#This Row],[Dt Venc:]]=TODAY(),"Vence Hoje","Vencida")))</f>
        <v>Enviado</v>
      </c>
      <c r="F3330" s="3" t="str">
        <f ca="1">IF(G3330=1,"-",Tabela2[[#This Row],[Dt Venc:]]-TODAY())</f>
        <v>-</v>
      </c>
      <c r="G3330" s="3">
        <v>1</v>
      </c>
      <c r="H3330" s="3"/>
    </row>
    <row r="3331" spans="1:8" hidden="1">
      <c r="A3331" s="3">
        <v>188532</v>
      </c>
      <c r="B3331" s="7" t="s">
        <v>304</v>
      </c>
      <c r="C3331" s="42">
        <v>1405.39</v>
      </c>
      <c r="D3331" s="6">
        <v>45644</v>
      </c>
      <c r="E3331" s="3" t="str">
        <f ca="1">IF(Tabela2[[#This Row],[Dt Venc:]]&gt;TODAY(),"Em Aberto",IF(Tabela2[[#This Row],[D/venc]]="-","Enviado",IF(Tabela2[[#This Row],[Dt Venc:]]=TODAY(),"Vence Hoje","Vencida")))</f>
        <v>Enviado</v>
      </c>
      <c r="F3331" s="3" t="str">
        <f ca="1">IF(G3331=1,"-",Tabela2[[#This Row],[Dt Venc:]]-TODAY())</f>
        <v>-</v>
      </c>
      <c r="G3331" s="3">
        <v>1</v>
      </c>
      <c r="H3331" s="3"/>
    </row>
    <row r="3332" spans="1:8" hidden="1">
      <c r="A3332" s="3">
        <v>19593</v>
      </c>
      <c r="B3332" s="7" t="s">
        <v>550</v>
      </c>
      <c r="C3332" s="41">
        <v>382.5</v>
      </c>
      <c r="D3332" s="6">
        <v>45644</v>
      </c>
      <c r="E3332" s="3" t="str">
        <f ca="1">IF(Tabela2[[#This Row],[Dt Venc:]]&gt;TODAY(),"Em Aberto",IF(Tabela2[[#This Row],[D/venc]]="-","Enviado",IF(Tabela2[[#This Row],[Dt Venc:]]=TODAY(),"Vence Hoje","Vencida")))</f>
        <v>Enviado</v>
      </c>
      <c r="F3332" s="3" t="str">
        <f ca="1">IF(G3332=1,"-",Tabela2[[#This Row],[Dt Venc:]]-TODAY())</f>
        <v>-</v>
      </c>
      <c r="G3332" s="3">
        <v>1</v>
      </c>
      <c r="H3332" s="3"/>
    </row>
    <row r="3333" spans="1:8" hidden="1">
      <c r="A3333" s="3">
        <v>152970</v>
      </c>
      <c r="B3333" s="7" t="s">
        <v>77</v>
      </c>
      <c r="C3333" s="42">
        <v>433.34</v>
      </c>
      <c r="D3333" s="6">
        <v>45644</v>
      </c>
      <c r="E3333" s="3" t="str">
        <f ca="1">IF(Tabela2[[#This Row],[Dt Venc:]]&gt;TODAY(),"Em Aberto",IF(Tabela2[[#This Row],[D/venc]]="-","Enviado",IF(Tabela2[[#This Row],[Dt Venc:]]=TODAY(),"Vence Hoje","Vencida")))</f>
        <v>Enviado</v>
      </c>
      <c r="F3333" s="3" t="str">
        <f ca="1">IF(G3333=1,"-",Tabela2[[#This Row],[Dt Venc:]]-TODAY())</f>
        <v>-</v>
      </c>
      <c r="G3333" s="3">
        <v>1</v>
      </c>
      <c r="H3333" s="3"/>
    </row>
    <row r="3334" spans="1:8" hidden="1">
      <c r="A3334" s="3">
        <v>304145</v>
      </c>
      <c r="B3334" s="7" t="s">
        <v>189</v>
      </c>
      <c r="C3334" s="41">
        <v>15565</v>
      </c>
      <c r="D3334" s="6">
        <v>45644</v>
      </c>
      <c r="E3334" s="3" t="str">
        <f ca="1">IF(Tabela2[[#This Row],[Dt Venc:]]&gt;TODAY(),"Em Aberto",IF(Tabela2[[#This Row],[D/venc]]="-","Enviado",IF(Tabela2[[#This Row],[Dt Venc:]]=TODAY(),"Vence Hoje","Vencida")))</f>
        <v>Enviado</v>
      </c>
      <c r="F3334" s="3" t="str">
        <f ca="1">IF(G3334=1,"-",Tabela2[[#This Row],[Dt Venc:]]-TODAY())</f>
        <v>-</v>
      </c>
      <c r="G3334" s="3">
        <v>1</v>
      </c>
      <c r="H3334" s="3"/>
    </row>
    <row r="3335" spans="1:8" hidden="1">
      <c r="A3335" s="3">
        <v>304143</v>
      </c>
      <c r="B3335" s="7" t="s">
        <v>189</v>
      </c>
      <c r="C3335" s="41">
        <v>15565</v>
      </c>
      <c r="D3335" s="6">
        <v>45644</v>
      </c>
      <c r="E3335" s="3" t="str">
        <f ca="1">IF(Tabela2[[#This Row],[Dt Venc:]]&gt;TODAY(),"Em Aberto",IF(Tabela2[[#This Row],[D/venc]]="-","Enviado",IF(Tabela2[[#This Row],[Dt Venc:]]=TODAY(),"Vence Hoje","Vencida")))</f>
        <v>Enviado</v>
      </c>
      <c r="F3335" s="3" t="str">
        <f ca="1">IF(G3335=1,"-",Tabela2[[#This Row],[Dt Venc:]]-TODAY())</f>
        <v>-</v>
      </c>
      <c r="G3335" s="3">
        <v>1</v>
      </c>
      <c r="H3335" s="3"/>
    </row>
    <row r="3336" spans="1:8" hidden="1">
      <c r="A3336" s="3">
        <v>304144</v>
      </c>
      <c r="B3336" s="7" t="s">
        <v>189</v>
      </c>
      <c r="C3336" s="41">
        <v>16036.67</v>
      </c>
      <c r="D3336" s="6">
        <v>45644</v>
      </c>
      <c r="E3336" s="3" t="str">
        <f ca="1">IF(Tabela2[[#This Row],[Dt Venc:]]&gt;TODAY(),"Em Aberto",IF(Tabela2[[#This Row],[D/venc]]="-","Enviado",IF(Tabela2[[#This Row],[Dt Venc:]]=TODAY(),"Vence Hoje","Vencida")))</f>
        <v>Enviado</v>
      </c>
      <c r="F3336" s="3" t="str">
        <f ca="1">IF(G3336=1,"-",Tabela2[[#This Row],[Dt Venc:]]-TODAY())</f>
        <v>-</v>
      </c>
      <c r="G3336" s="3">
        <v>1</v>
      </c>
      <c r="H3336" s="3"/>
    </row>
    <row r="3337" spans="1:8" hidden="1">
      <c r="A3337" s="3">
        <v>36045</v>
      </c>
      <c r="B3337" s="7" t="s">
        <v>70</v>
      </c>
      <c r="C3337" s="42">
        <v>962.84</v>
      </c>
      <c r="D3337" s="6">
        <v>45644</v>
      </c>
      <c r="E3337" s="3" t="str">
        <f ca="1">IF(Tabela2[[#This Row],[Dt Venc:]]&gt;TODAY(),"Em Aberto",IF(Tabela2[[#This Row],[D/venc]]="-","Enviado",IF(Tabela2[[#This Row],[Dt Venc:]]=TODAY(),"Vence Hoje","Vencida")))</f>
        <v>Enviado</v>
      </c>
      <c r="F3337" s="3" t="str">
        <f ca="1">IF(G3337=1,"-",Tabela2[[#This Row],[Dt Venc:]]-TODAY())</f>
        <v>-</v>
      </c>
      <c r="G3337" s="3">
        <v>1</v>
      </c>
      <c r="H3337" s="3"/>
    </row>
    <row r="3338" spans="1:8" hidden="1">
      <c r="A3338" s="3">
        <v>26945</v>
      </c>
      <c r="B3338" s="7" t="s">
        <v>70</v>
      </c>
      <c r="C3338" s="42">
        <v>1935.61</v>
      </c>
      <c r="D3338" s="6">
        <v>45644</v>
      </c>
      <c r="E3338" s="3" t="str">
        <f ca="1">IF(Tabela2[[#This Row],[Dt Venc:]]&gt;TODAY(),"Em Aberto",IF(Tabela2[[#This Row],[D/venc]]="-","Enviado",IF(Tabela2[[#This Row],[Dt Venc:]]=TODAY(),"Vence Hoje","Vencida")))</f>
        <v>Enviado</v>
      </c>
      <c r="F3338" s="3" t="str">
        <f ca="1">IF(G3338=1,"-",Tabela2[[#This Row],[Dt Venc:]]-TODAY())</f>
        <v>-</v>
      </c>
      <c r="G3338" s="3">
        <v>1</v>
      </c>
      <c r="H3338" s="3"/>
    </row>
    <row r="3339" spans="1:8" hidden="1">
      <c r="A3339" s="3">
        <v>44458</v>
      </c>
      <c r="B3339" s="7" t="s">
        <v>70</v>
      </c>
      <c r="C3339" s="41">
        <v>406.81</v>
      </c>
      <c r="D3339" s="6">
        <v>45644</v>
      </c>
      <c r="E3339" s="3" t="str">
        <f ca="1">IF(Tabela2[[#This Row],[Dt Venc:]]&gt;TODAY(),"Em Aberto",IF(Tabela2[[#This Row],[D/venc]]="-","Enviado",IF(Tabela2[[#This Row],[Dt Venc:]]=TODAY(),"Vence Hoje","Vencida")))</f>
        <v>Enviado</v>
      </c>
      <c r="F3339" s="3" t="str">
        <f ca="1">IF(G3339=1,"-",Tabela2[[#This Row],[Dt Venc:]]-TODAY())</f>
        <v>-</v>
      </c>
      <c r="G3339" s="3">
        <v>1</v>
      </c>
      <c r="H3339" s="3"/>
    </row>
    <row r="3340" spans="1:8" hidden="1">
      <c r="A3340" s="3">
        <v>2000</v>
      </c>
      <c r="B3340" s="7" t="s">
        <v>475</v>
      </c>
      <c r="C3340" s="41">
        <v>1134</v>
      </c>
      <c r="D3340" s="6">
        <v>45644</v>
      </c>
      <c r="E3340" s="3" t="str">
        <f ca="1">IF(Tabela2[[#This Row],[Dt Venc:]]&gt;TODAY(),"Em Aberto",IF(Tabela2[[#This Row],[D/venc]]="-","Enviado",IF(Tabela2[[#This Row],[Dt Venc:]]=TODAY(),"Vence Hoje","Vencida")))</f>
        <v>Enviado</v>
      </c>
      <c r="F3340" s="3" t="str">
        <f ca="1">IF(G3340=1,"-",Tabela2[[#This Row],[Dt Venc:]]-TODAY())</f>
        <v>-</v>
      </c>
      <c r="G3340" s="3">
        <v>1</v>
      </c>
      <c r="H3340" s="3"/>
    </row>
    <row r="3341" spans="1:8" hidden="1">
      <c r="A3341" s="3">
        <v>5887</v>
      </c>
      <c r="B3341" s="7" t="s">
        <v>47</v>
      </c>
      <c r="C3341" s="42">
        <v>813.08</v>
      </c>
      <c r="D3341" s="6">
        <v>45644</v>
      </c>
      <c r="E3341" s="3" t="str">
        <f ca="1">IF(Tabela2[[#This Row],[Dt Venc:]]&gt;TODAY(),"Em Aberto",IF(Tabela2[[#This Row],[D/venc]]="-","Enviado",IF(Tabela2[[#This Row],[Dt Venc:]]=TODAY(),"Vence Hoje","Vencida")))</f>
        <v>Enviado</v>
      </c>
      <c r="F3341" s="3" t="str">
        <f ca="1">IF(G3341=1,"-",Tabela2[[#This Row],[Dt Venc:]]-TODAY())</f>
        <v>-</v>
      </c>
      <c r="G3341" s="3">
        <v>1</v>
      </c>
      <c r="H3341" s="3"/>
    </row>
    <row r="3342" spans="1:8" hidden="1">
      <c r="A3342" s="3">
        <v>12076</v>
      </c>
      <c r="B3342" s="7" t="s">
        <v>72</v>
      </c>
      <c r="C3342" s="41">
        <v>1566.66</v>
      </c>
      <c r="D3342" s="6">
        <v>45644</v>
      </c>
      <c r="E3342" s="3" t="str">
        <f ca="1">IF(Tabela2[[#This Row],[Dt Venc:]]&gt;TODAY(),"Em Aberto",IF(Tabela2[[#This Row],[D/venc]]="-","Enviado",IF(Tabela2[[#This Row],[Dt Venc:]]=TODAY(),"Vence Hoje","Vencida")))</f>
        <v>Enviado</v>
      </c>
      <c r="F3342" s="3" t="str">
        <f ca="1">IF(G3342=1,"-",Tabela2[[#This Row],[Dt Venc:]]-TODAY())</f>
        <v>-</v>
      </c>
      <c r="G3342" s="3">
        <v>1</v>
      </c>
      <c r="H3342" s="3"/>
    </row>
    <row r="3343" spans="1:8" hidden="1">
      <c r="B3343" s="7" t="s">
        <v>442</v>
      </c>
      <c r="C3343" s="42">
        <v>6050</v>
      </c>
      <c r="D3343" s="6">
        <v>45644</v>
      </c>
      <c r="E3343" s="3" t="str">
        <f ca="1">IF(Tabela2[[#This Row],[Dt Venc:]]&gt;TODAY(),"Em Aberto",IF(Tabela2[[#This Row],[D/venc]]="-","Enviado",IF(Tabela2[[#This Row],[Dt Venc:]]=TODAY(),"Vence Hoje","Vencida")))</f>
        <v>Enviado</v>
      </c>
      <c r="F3343" s="3" t="str">
        <f ca="1">IF(G3343=1,"-",Tabela2[[#This Row],[Dt Venc:]]-TODAY())</f>
        <v>-</v>
      </c>
      <c r="G3343" s="3">
        <v>1</v>
      </c>
      <c r="H3343" s="3"/>
    </row>
    <row r="3344" spans="1:8" hidden="1">
      <c r="A3344" s="3">
        <v>89362</v>
      </c>
      <c r="B3344" s="7" t="s">
        <v>207</v>
      </c>
      <c r="C3344" s="41">
        <v>720</v>
      </c>
      <c r="D3344" s="6">
        <v>45644</v>
      </c>
      <c r="E3344" s="3" t="str">
        <f ca="1">IF(Tabela2[[#This Row],[Dt Venc:]]&gt;TODAY(),"Em Aberto",IF(Tabela2[[#This Row],[D/venc]]="-","Enviado",IF(Tabela2[[#This Row],[Dt Venc:]]=TODAY(),"Vence Hoje","Vencida")))</f>
        <v>Enviado</v>
      </c>
      <c r="F3344" s="3" t="str">
        <f ca="1">IF(G3344=1,"-",Tabela2[[#This Row],[Dt Venc:]]-TODAY())</f>
        <v>-</v>
      </c>
      <c r="G3344" s="3">
        <v>1</v>
      </c>
      <c r="H3344" s="3"/>
    </row>
    <row r="3345" spans="1:8" hidden="1">
      <c r="A3345" s="3">
        <v>176290</v>
      </c>
      <c r="B3345" s="7" t="s">
        <v>211</v>
      </c>
      <c r="C3345" s="41">
        <v>427.5</v>
      </c>
      <c r="D3345" s="6">
        <v>45644</v>
      </c>
      <c r="E3345" s="3" t="str">
        <f ca="1">IF(Tabela2[[#This Row],[Dt Venc:]]&gt;TODAY(),"Em Aberto",IF(Tabela2[[#This Row],[D/venc]]="-","Enviado",IF(Tabela2[[#This Row],[Dt Venc:]]=TODAY(),"Vence Hoje","Vencida")))</f>
        <v>Enviado</v>
      </c>
      <c r="F3345" s="3" t="str">
        <f ca="1">IF(G3345=1,"-",Tabela2[[#This Row],[Dt Venc:]]-TODAY())</f>
        <v>-</v>
      </c>
      <c r="G3345" s="3">
        <v>1</v>
      </c>
      <c r="H3345" s="3"/>
    </row>
    <row r="3346" spans="1:8" hidden="1">
      <c r="A3346" s="3">
        <v>11142</v>
      </c>
      <c r="B3346" s="7" t="s">
        <v>33</v>
      </c>
      <c r="C3346" s="41">
        <v>1900</v>
      </c>
      <c r="D3346" s="6">
        <v>45644</v>
      </c>
      <c r="E3346" s="3" t="str">
        <f ca="1">IF(Tabela2[[#This Row],[Dt Venc:]]&gt;TODAY(),"Em Aberto",IF(Tabela2[[#This Row],[D/venc]]="-","Enviado",IF(Tabela2[[#This Row],[Dt Venc:]]=TODAY(),"Vence Hoje","Vencida")))</f>
        <v>Enviado</v>
      </c>
      <c r="F3346" s="3" t="str">
        <f ca="1">IF(G3346=1,"-",Tabela2[[#This Row],[Dt Venc:]]-TODAY())</f>
        <v>-</v>
      </c>
      <c r="G3346" s="3">
        <v>1</v>
      </c>
      <c r="H3346" s="3"/>
    </row>
    <row r="3347" spans="1:8" hidden="1">
      <c r="A3347" s="3">
        <v>153932</v>
      </c>
      <c r="B3347" s="7" t="s">
        <v>486</v>
      </c>
      <c r="C3347" s="41">
        <v>1722</v>
      </c>
      <c r="D3347" s="6">
        <v>45644</v>
      </c>
      <c r="E3347" s="3" t="str">
        <f ca="1">IF(Tabela2[[#This Row],[Dt Venc:]]&gt;TODAY(),"Em Aberto",IF(Tabela2[[#This Row],[D/venc]]="-","Enviado",IF(Tabela2[[#This Row],[Dt Venc:]]=TODAY(),"Vence Hoje","Vencida")))</f>
        <v>Enviado</v>
      </c>
      <c r="F3347" s="3" t="str">
        <f ca="1">IF(G3347=1,"-",Tabela2[[#This Row],[Dt Venc:]]-TODAY())</f>
        <v>-</v>
      </c>
      <c r="G3347" s="3">
        <v>1</v>
      </c>
      <c r="H3347" s="3"/>
    </row>
    <row r="3348" spans="1:8" hidden="1">
      <c r="A3348" s="3">
        <v>328982</v>
      </c>
      <c r="B3348" s="7" t="s">
        <v>261</v>
      </c>
      <c r="C3348" s="41">
        <v>613</v>
      </c>
      <c r="D3348" s="6">
        <v>45644</v>
      </c>
      <c r="E3348" s="3" t="str">
        <f ca="1">IF(Tabela2[[#This Row],[Dt Venc:]]&gt;TODAY(),"Em Aberto",IF(Tabela2[[#This Row],[D/venc]]="-","Enviado",IF(Tabela2[[#This Row],[Dt Venc:]]=TODAY(),"Vence Hoje","Vencida")))</f>
        <v>Enviado</v>
      </c>
      <c r="F3348" s="3" t="str">
        <f ca="1">IF(G3348=1,"-",Tabela2[[#This Row],[Dt Venc:]]-TODAY())</f>
        <v>-</v>
      </c>
      <c r="G3348" s="3">
        <v>1</v>
      </c>
      <c r="H3348" s="3"/>
    </row>
    <row r="3349" spans="1:8" hidden="1">
      <c r="A3349" s="3">
        <v>225363</v>
      </c>
      <c r="B3349" s="7" t="s">
        <v>127</v>
      </c>
      <c r="C3349" s="41">
        <v>2418.27</v>
      </c>
      <c r="D3349" s="6">
        <v>45644</v>
      </c>
      <c r="E3349" s="3" t="str">
        <f ca="1">IF(Tabela2[[#This Row],[Dt Venc:]]&gt;TODAY(),"Em Aberto",IF(Tabela2[[#This Row],[D/venc]]="-","Enviado",IF(Tabela2[[#This Row],[Dt Venc:]]=TODAY(),"Vence Hoje","Vencida")))</f>
        <v>Enviado</v>
      </c>
      <c r="F3349" s="3" t="str">
        <f ca="1">IF(G3349=1,"-",Tabela2[[#This Row],[Dt Venc:]]-TODAY())</f>
        <v>-</v>
      </c>
      <c r="G3349" s="3">
        <v>1</v>
      </c>
      <c r="H3349" s="3"/>
    </row>
    <row r="3350" spans="1:8" hidden="1">
      <c r="A3350" s="3">
        <v>4582</v>
      </c>
      <c r="B3350" s="7" t="s">
        <v>404</v>
      </c>
      <c r="C3350" s="41">
        <v>624.5</v>
      </c>
      <c r="D3350" s="6">
        <v>45644</v>
      </c>
      <c r="E3350" s="3" t="str">
        <f ca="1">IF(Tabela2[[#This Row],[Dt Venc:]]&gt;TODAY(),"Em Aberto",IF(Tabela2[[#This Row],[D/venc]]="-","Enviado",IF(Tabela2[[#This Row],[Dt Venc:]]=TODAY(),"Vence Hoje","Vencida")))</f>
        <v>Enviado</v>
      </c>
      <c r="F3350" s="3" t="str">
        <f ca="1">IF(G3350=1,"-",Tabela2[[#This Row],[Dt Venc:]]-TODAY())</f>
        <v>-</v>
      </c>
      <c r="G3350" s="3">
        <v>1</v>
      </c>
      <c r="H3350" s="3"/>
    </row>
    <row r="3351" spans="1:8" hidden="1">
      <c r="A3351" s="3">
        <v>15864</v>
      </c>
      <c r="B3351" s="7" t="s">
        <v>289</v>
      </c>
      <c r="C3351" s="41">
        <v>450</v>
      </c>
      <c r="D3351" s="6">
        <v>45644</v>
      </c>
      <c r="E3351" s="3" t="str">
        <f ca="1">IF(Tabela2[[#This Row],[Dt Venc:]]&gt;TODAY(),"Em Aberto",IF(Tabela2[[#This Row],[D/venc]]="-","Enviado",IF(Tabela2[[#This Row],[Dt Venc:]]=TODAY(),"Vence Hoje","Vencida")))</f>
        <v>Enviado</v>
      </c>
      <c r="F3351" s="3" t="str">
        <f ca="1">IF(G3351=1,"-",Tabela2[[#This Row],[Dt Venc:]]-TODAY())</f>
        <v>-</v>
      </c>
      <c r="G3351" s="3">
        <v>1</v>
      </c>
      <c r="H3351" s="3"/>
    </row>
    <row r="3352" spans="1:8" hidden="1">
      <c r="A3352" s="3">
        <v>33</v>
      </c>
      <c r="B3352" s="7" t="s">
        <v>551</v>
      </c>
      <c r="C3352" s="41">
        <v>1240</v>
      </c>
      <c r="D3352" s="6">
        <v>45644</v>
      </c>
      <c r="E3352" s="3" t="str">
        <f ca="1">IF(Tabela2[[#This Row],[Dt Venc:]]&gt;TODAY(),"Em Aberto",IF(Tabela2[[#This Row],[D/venc]]="-","Enviado",IF(Tabela2[[#This Row],[Dt Venc:]]=TODAY(),"Vence Hoje","Vencida")))</f>
        <v>Enviado</v>
      </c>
      <c r="F3352" s="3" t="str">
        <f ca="1">IF(G3352=1,"-",Tabela2[[#This Row],[Dt Venc:]]-TODAY())</f>
        <v>-</v>
      </c>
      <c r="G3352" s="3">
        <v>1</v>
      </c>
      <c r="H3352" s="3"/>
    </row>
    <row r="3353" spans="1:8" hidden="1">
      <c r="A3353" s="3">
        <v>48454</v>
      </c>
      <c r="B3353" s="7" t="s">
        <v>144</v>
      </c>
      <c r="C3353" s="41">
        <v>1216.6600000000001</v>
      </c>
      <c r="D3353" s="6">
        <v>45644</v>
      </c>
      <c r="E3353" s="3" t="str">
        <f ca="1">IF(Tabela2[[#This Row],[Dt Venc:]]&gt;TODAY(),"Em Aberto",IF(Tabela2[[#This Row],[D/venc]]="-","Enviado",IF(Tabela2[[#This Row],[Dt Venc:]]=TODAY(),"Vence Hoje","Vencida")))</f>
        <v>Enviado</v>
      </c>
      <c r="F3353" s="3" t="str">
        <f ca="1">IF(G3353=1,"-",Tabela2[[#This Row],[Dt Venc:]]-TODAY())</f>
        <v>-</v>
      </c>
      <c r="G3353" s="3">
        <v>1</v>
      </c>
      <c r="H3353" s="3"/>
    </row>
    <row r="3354" spans="1:8" hidden="1">
      <c r="A3354" s="3">
        <v>445237</v>
      </c>
      <c r="B3354" s="7" t="s">
        <v>59</v>
      </c>
      <c r="C3354" s="41">
        <v>28251</v>
      </c>
      <c r="D3354" s="6">
        <v>45644</v>
      </c>
      <c r="E3354" s="3" t="str">
        <f ca="1">IF(Tabela2[[#This Row],[Dt Venc:]]&gt;TODAY(),"Em Aberto",IF(Tabela2[[#This Row],[D/venc]]="-","Enviado",IF(Tabela2[[#This Row],[Dt Venc:]]=TODAY(),"Vence Hoje","Vencida")))</f>
        <v>Enviado</v>
      </c>
      <c r="F3354" s="3" t="str">
        <f ca="1">IF(G3354=1,"-",Tabela2[[#This Row],[Dt Venc:]]-TODAY())</f>
        <v>-</v>
      </c>
      <c r="G3354" s="3">
        <v>1</v>
      </c>
      <c r="H3354" s="3"/>
    </row>
    <row r="3355" spans="1:8" hidden="1">
      <c r="A3355" s="3">
        <v>35327</v>
      </c>
      <c r="B3355" s="7" t="s">
        <v>341</v>
      </c>
      <c r="C3355" s="41">
        <v>7295.81</v>
      </c>
      <c r="D3355" s="6">
        <v>45644</v>
      </c>
      <c r="E3355" s="3" t="str">
        <f ca="1">IF(Tabela2[[#This Row],[Dt Venc:]]&gt;TODAY(),"Em Aberto",IF(Tabela2[[#This Row],[D/venc]]="-","Enviado",IF(Tabela2[[#This Row],[Dt Venc:]]=TODAY(),"Vence Hoje","Vencida")))</f>
        <v>Enviado</v>
      </c>
      <c r="F3355" s="3" t="str">
        <f ca="1">IF(G3355=1,"-",Tabela2[[#This Row],[Dt Venc:]]-TODAY())</f>
        <v>-</v>
      </c>
      <c r="G3355" s="3">
        <v>1</v>
      </c>
      <c r="H3355" s="3"/>
    </row>
    <row r="3356" spans="1:8" hidden="1">
      <c r="A3356" s="3">
        <v>22</v>
      </c>
      <c r="B3356" s="7" t="s">
        <v>103</v>
      </c>
      <c r="C3356" s="41">
        <v>1450</v>
      </c>
      <c r="D3356" s="6">
        <v>45644</v>
      </c>
      <c r="E3356" s="3" t="str">
        <f ca="1">IF(Tabela2[[#This Row],[Dt Venc:]]&gt;TODAY(),"Em Aberto",IF(Tabela2[[#This Row],[D/venc]]="-","Enviado",IF(Tabela2[[#This Row],[Dt Venc:]]=TODAY(),"Vence Hoje","Vencida")))</f>
        <v>Enviado</v>
      </c>
      <c r="F3356" s="3" t="str">
        <f ca="1">IF(G3356=1,"-",Tabela2[[#This Row],[Dt Venc:]]-TODAY())</f>
        <v>-</v>
      </c>
      <c r="G3356" s="3">
        <v>1</v>
      </c>
      <c r="H3356" s="3"/>
    </row>
    <row r="3357" spans="1:8" hidden="1">
      <c r="A3357" s="3">
        <v>17</v>
      </c>
      <c r="B3357" s="7" t="s">
        <v>552</v>
      </c>
      <c r="C3357" s="41">
        <v>800</v>
      </c>
      <c r="D3357" s="6">
        <v>45644</v>
      </c>
      <c r="E3357" s="3" t="str">
        <f ca="1">IF(Tabela2[[#This Row],[Dt Venc:]]&gt;TODAY(),"Em Aberto",IF(Tabela2[[#This Row],[D/venc]]="-","Enviado",IF(Tabela2[[#This Row],[Dt Venc:]]=TODAY(),"Vence Hoje","Vencida")))</f>
        <v>Enviado</v>
      </c>
      <c r="F3357" s="3" t="str">
        <f ca="1">IF(G3357=1,"-",Tabela2[[#This Row],[Dt Venc:]]-TODAY())</f>
        <v>-</v>
      </c>
      <c r="G3357" s="3">
        <v>1</v>
      </c>
      <c r="H3357" s="3"/>
    </row>
    <row r="3358" spans="1:8" hidden="1">
      <c r="A3358" s="3">
        <v>1302</v>
      </c>
      <c r="B3358" s="7" t="s">
        <v>474</v>
      </c>
      <c r="C3358" s="41">
        <v>1972.5</v>
      </c>
      <c r="D3358" s="6">
        <v>45645</v>
      </c>
      <c r="E3358" s="3" t="str">
        <f ca="1">IF(Tabela2[[#This Row],[Dt Venc:]]&gt;TODAY(),"Em Aberto",IF(Tabela2[[#This Row],[D/venc]]="-","Enviado",IF(Tabela2[[#This Row],[Dt Venc:]]=TODAY(),"Vence Hoje","Vencida")))</f>
        <v>Enviado</v>
      </c>
      <c r="F3358" s="3" t="str">
        <f ca="1">IF(G3358=1,"-",Tabela2[[#This Row],[Dt Venc:]]-TODAY())</f>
        <v>-</v>
      </c>
      <c r="G3358" s="3">
        <v>1</v>
      </c>
      <c r="H3358" s="3"/>
    </row>
    <row r="3359" spans="1:8" hidden="1">
      <c r="A3359" s="3">
        <v>1303</v>
      </c>
      <c r="B3359" s="7" t="s">
        <v>474</v>
      </c>
      <c r="C3359" s="41">
        <v>596.66999999999996</v>
      </c>
      <c r="D3359" s="6">
        <v>45645</v>
      </c>
      <c r="E3359" s="3" t="str">
        <f ca="1">IF(Tabela2[[#This Row],[Dt Venc:]]&gt;TODAY(),"Em Aberto",IF(Tabela2[[#This Row],[D/venc]]="-","Enviado",IF(Tabela2[[#This Row],[Dt Venc:]]=TODAY(),"Vence Hoje","Vencida")))</f>
        <v>Enviado</v>
      </c>
      <c r="F3359" s="3" t="str">
        <f ca="1">IF(G3359=1,"-",Tabela2[[#This Row],[Dt Venc:]]-TODAY())</f>
        <v>-</v>
      </c>
      <c r="G3359" s="3">
        <v>1</v>
      </c>
      <c r="H3359" s="3"/>
    </row>
    <row r="3360" spans="1:8" hidden="1">
      <c r="A3360" s="3">
        <v>10921</v>
      </c>
      <c r="B3360" s="7" t="s">
        <v>33</v>
      </c>
      <c r="C3360" s="42">
        <v>1568.34</v>
      </c>
      <c r="D3360" s="6">
        <v>45645</v>
      </c>
      <c r="E3360" s="3" t="str">
        <f ca="1">IF(Tabela2[[#This Row],[Dt Venc:]]&gt;TODAY(),"Em Aberto",IF(Tabela2[[#This Row],[D/venc]]="-","Enviado",IF(Tabela2[[#This Row],[Dt Venc:]]=TODAY(),"Vence Hoje","Vencida")))</f>
        <v>Enviado</v>
      </c>
      <c r="F3360" s="3" t="str">
        <f ca="1">IF(G3360=1,"-",Tabela2[[#This Row],[Dt Venc:]]-TODAY())</f>
        <v>-</v>
      </c>
      <c r="G3360" s="3">
        <v>1</v>
      </c>
      <c r="H3360" s="3"/>
    </row>
    <row r="3361" spans="1:8" hidden="1">
      <c r="A3361" s="3">
        <v>302897</v>
      </c>
      <c r="B3361" s="7" t="s">
        <v>53</v>
      </c>
      <c r="C3361" s="41">
        <v>1751.23</v>
      </c>
      <c r="D3361" s="6">
        <v>45645</v>
      </c>
      <c r="E3361" s="3" t="str">
        <f ca="1">IF(Tabela2[[#This Row],[Dt Venc:]]&gt;TODAY(),"Em Aberto",IF(Tabela2[[#This Row],[D/venc]]="-","Enviado",IF(Tabela2[[#This Row],[Dt Venc:]]=TODAY(),"Vence Hoje","Vencida")))</f>
        <v>Enviado</v>
      </c>
      <c r="F3361" s="3" t="str">
        <f ca="1">IF(G3361=1,"-",Tabela2[[#This Row],[Dt Venc:]]-TODAY())</f>
        <v>-</v>
      </c>
      <c r="G3361" s="3">
        <v>1</v>
      </c>
      <c r="H3361" s="3"/>
    </row>
    <row r="3362" spans="1:8" hidden="1">
      <c r="A3362" s="3">
        <v>160889</v>
      </c>
      <c r="B3362" s="7" t="s">
        <v>457</v>
      </c>
      <c r="C3362" s="41">
        <v>720.16</v>
      </c>
      <c r="D3362" s="6">
        <v>45645</v>
      </c>
      <c r="E3362" s="3" t="str">
        <f ca="1">IF(Tabela2[[#This Row],[Dt Venc:]]&gt;TODAY(),"Em Aberto",IF(Tabela2[[#This Row],[D/venc]]="-","Enviado",IF(Tabela2[[#This Row],[Dt Venc:]]=TODAY(),"Vence Hoje","Vencida")))</f>
        <v>Enviado</v>
      </c>
      <c r="F3362" s="3" t="str">
        <f ca="1">IF(G3362=1,"-",Tabela2[[#This Row],[Dt Venc:]]-TODAY())</f>
        <v>-</v>
      </c>
      <c r="G3362" s="3">
        <v>1</v>
      </c>
      <c r="H3362" s="3"/>
    </row>
    <row r="3363" spans="1:8" hidden="1">
      <c r="A3363" s="3">
        <v>2805</v>
      </c>
      <c r="B3363" s="7" t="s">
        <v>301</v>
      </c>
      <c r="C3363" s="41">
        <v>1040</v>
      </c>
      <c r="D3363" s="6">
        <v>45645</v>
      </c>
      <c r="E3363" s="3" t="str">
        <f ca="1">IF(Tabela2[[#This Row],[Dt Venc:]]&gt;TODAY(),"Em Aberto",IF(Tabela2[[#This Row],[D/venc]]="-","Enviado",IF(Tabela2[[#This Row],[Dt Venc:]]=TODAY(),"Vence Hoje","Vencida")))</f>
        <v>Enviado</v>
      </c>
      <c r="F3363" s="3" t="str">
        <f ca="1">IF(G3363=1,"-",Tabela2[[#This Row],[Dt Venc:]]-TODAY())</f>
        <v>-</v>
      </c>
      <c r="G3363" s="3">
        <v>1</v>
      </c>
      <c r="H3363" s="3"/>
    </row>
    <row r="3364" spans="1:8" hidden="1">
      <c r="A3364" s="3">
        <v>257711</v>
      </c>
      <c r="B3364" s="7" t="s">
        <v>49</v>
      </c>
      <c r="C3364" s="41">
        <v>1030</v>
      </c>
      <c r="D3364" s="6">
        <v>45645</v>
      </c>
      <c r="E3364" s="3" t="str">
        <f ca="1">IF(Tabela2[[#This Row],[Dt Venc:]]&gt;TODAY(),"Em Aberto",IF(Tabela2[[#This Row],[D/venc]]="-","Enviado",IF(Tabela2[[#This Row],[Dt Venc:]]=TODAY(),"Vence Hoje","Vencida")))</f>
        <v>Enviado</v>
      </c>
      <c r="F3364" s="3" t="str">
        <f ca="1">IF(G3364=1,"-",Tabela2[[#This Row],[Dt Venc:]]-TODAY())</f>
        <v>-</v>
      </c>
      <c r="G3364" s="3">
        <v>1</v>
      </c>
      <c r="H3364" s="3"/>
    </row>
    <row r="3365" spans="1:8" hidden="1">
      <c r="A3365" s="3">
        <v>257864</v>
      </c>
      <c r="B3365" s="7" t="s">
        <v>49</v>
      </c>
      <c r="C3365" s="41">
        <v>1716.66</v>
      </c>
      <c r="D3365" s="6">
        <v>45645</v>
      </c>
      <c r="E3365" s="3" t="str">
        <f ca="1">IF(Tabela2[[#This Row],[Dt Venc:]]&gt;TODAY(),"Em Aberto",IF(Tabela2[[#This Row],[D/venc]]="-","Enviado",IF(Tabela2[[#This Row],[Dt Venc:]]=TODAY(),"Vence Hoje","Vencida")))</f>
        <v>Enviado</v>
      </c>
      <c r="F3365" s="3" t="str">
        <f ca="1">IF(G3365=1,"-",Tabela2[[#This Row],[Dt Venc:]]-TODAY())</f>
        <v>-</v>
      </c>
      <c r="G3365" s="3">
        <v>1</v>
      </c>
      <c r="H3365" s="3"/>
    </row>
    <row r="3366" spans="1:8" hidden="1">
      <c r="A3366" s="3">
        <v>2742</v>
      </c>
      <c r="B3366" s="7" t="s">
        <v>58</v>
      </c>
      <c r="C3366" s="42">
        <v>1516.34</v>
      </c>
      <c r="D3366" s="6">
        <v>45645</v>
      </c>
      <c r="E3366" s="3" t="str">
        <f ca="1">IF(Tabela2[[#This Row],[Dt Venc:]]&gt;TODAY(),"Em Aberto",IF(Tabela2[[#This Row],[D/venc]]="-","Enviado",IF(Tabela2[[#This Row],[Dt Venc:]]=TODAY(),"Vence Hoje","Vencida")))</f>
        <v>Enviado</v>
      </c>
      <c r="F3366" s="3" t="str">
        <f ca="1">IF(G3366=1,"-",Tabela2[[#This Row],[Dt Venc:]]-TODAY())</f>
        <v>-</v>
      </c>
      <c r="G3366" s="3">
        <v>1</v>
      </c>
      <c r="H3366" s="3"/>
    </row>
    <row r="3367" spans="1:8" hidden="1">
      <c r="A3367" s="3">
        <v>23782</v>
      </c>
      <c r="B3367" s="7" t="s">
        <v>38</v>
      </c>
      <c r="C3367" s="41">
        <v>2335.5</v>
      </c>
      <c r="D3367" s="6">
        <v>45645</v>
      </c>
      <c r="E3367" s="3" t="str">
        <f ca="1">IF(Tabela2[[#This Row],[Dt Venc:]]&gt;TODAY(),"Em Aberto",IF(Tabela2[[#This Row],[D/venc]]="-","Enviado",IF(Tabela2[[#This Row],[Dt Venc:]]=TODAY(),"Vence Hoje","Vencida")))</f>
        <v>Enviado</v>
      </c>
      <c r="F3367" s="3" t="str">
        <f ca="1">IF(G3367=1,"-",Tabela2[[#This Row],[Dt Venc:]]-TODAY())</f>
        <v>-</v>
      </c>
      <c r="G3367" s="3">
        <v>1</v>
      </c>
      <c r="H3367" s="3"/>
    </row>
    <row r="3368" spans="1:8" hidden="1">
      <c r="A3368" s="3">
        <v>559327</v>
      </c>
      <c r="B3368" s="7" t="s">
        <v>187</v>
      </c>
      <c r="C3368" s="41">
        <v>165.96</v>
      </c>
      <c r="D3368" s="6">
        <v>45645</v>
      </c>
      <c r="E3368" s="3" t="str">
        <f ca="1">IF(Tabela2[[#This Row],[Dt Venc:]]&gt;TODAY(),"Em Aberto",IF(Tabela2[[#This Row],[D/venc]]="-","Enviado",IF(Tabela2[[#This Row],[Dt Venc:]]=TODAY(),"Vence Hoje","Vencida")))</f>
        <v>Enviado</v>
      </c>
      <c r="F3368" s="3" t="str">
        <f ca="1">IF(G3368=1,"-",Tabela2[[#This Row],[Dt Venc:]]-TODAY())</f>
        <v>-</v>
      </c>
      <c r="G3368" s="3">
        <v>1</v>
      </c>
      <c r="H3368" s="3"/>
    </row>
    <row r="3369" spans="1:8" hidden="1">
      <c r="A3369" s="3">
        <v>144912</v>
      </c>
      <c r="B3369" s="7" t="s">
        <v>127</v>
      </c>
      <c r="C3369" s="42">
        <v>717.5</v>
      </c>
      <c r="D3369" s="6">
        <v>45645</v>
      </c>
      <c r="E3369" s="3" t="str">
        <f ca="1">IF(Tabela2[[#This Row],[Dt Venc:]]&gt;TODAY(),"Em Aberto",IF(Tabela2[[#This Row],[D/venc]]="-","Enviado",IF(Tabela2[[#This Row],[Dt Venc:]]=TODAY(),"Vence Hoje","Vencida")))</f>
        <v>Enviado</v>
      </c>
      <c r="F3369" s="3" t="str">
        <f ca="1">IF(G3369=1,"-",Tabela2[[#This Row],[Dt Venc:]]-TODAY())</f>
        <v>-</v>
      </c>
      <c r="G3369" s="3">
        <v>1</v>
      </c>
      <c r="H3369" s="3"/>
    </row>
    <row r="3370" spans="1:8" hidden="1">
      <c r="A3370" s="3">
        <v>144910</v>
      </c>
      <c r="B3370" s="7" t="s">
        <v>127</v>
      </c>
      <c r="C3370" s="42">
        <v>717.5</v>
      </c>
      <c r="D3370" s="6">
        <v>45645</v>
      </c>
      <c r="E3370" s="3" t="str">
        <f ca="1">IF(Tabela2[[#This Row],[Dt Venc:]]&gt;TODAY(),"Em Aberto",IF(Tabela2[[#This Row],[D/venc]]="-","Enviado",IF(Tabela2[[#This Row],[Dt Venc:]]=TODAY(),"Vence Hoje","Vencida")))</f>
        <v>Enviado</v>
      </c>
      <c r="F3370" s="3" t="str">
        <f ca="1">IF(G3370=1,"-",Tabela2[[#This Row],[Dt Venc:]]-TODAY())</f>
        <v>-</v>
      </c>
      <c r="G3370" s="3">
        <v>1</v>
      </c>
      <c r="H3370" s="3"/>
    </row>
    <row r="3371" spans="1:8" hidden="1">
      <c r="A3371" s="3">
        <v>751342</v>
      </c>
      <c r="B3371" s="7" t="s">
        <v>127</v>
      </c>
      <c r="C3371" s="42">
        <v>376.17</v>
      </c>
      <c r="D3371" s="6">
        <v>45645</v>
      </c>
      <c r="E3371" s="3" t="str">
        <f ca="1">IF(Tabela2[[#This Row],[Dt Venc:]]&gt;TODAY(),"Em Aberto",IF(Tabela2[[#This Row],[D/venc]]="-","Enviado",IF(Tabela2[[#This Row],[Dt Venc:]]=TODAY(),"Vence Hoje","Vencida")))</f>
        <v>Enviado</v>
      </c>
      <c r="F3371" s="3" t="str">
        <f ca="1">IF(G3371=1,"-",Tabela2[[#This Row],[Dt Venc:]]-TODAY())</f>
        <v>-</v>
      </c>
      <c r="G3371" s="3">
        <v>1</v>
      </c>
      <c r="H3371" s="3"/>
    </row>
    <row r="3372" spans="1:8" hidden="1">
      <c r="A3372" s="3">
        <v>751339</v>
      </c>
      <c r="B3372" s="7" t="s">
        <v>127</v>
      </c>
      <c r="C3372" s="42">
        <v>376.17</v>
      </c>
      <c r="D3372" s="6">
        <v>45645</v>
      </c>
      <c r="E3372" s="3" t="str">
        <f ca="1">IF(Tabela2[[#This Row],[Dt Venc:]]&gt;TODAY(),"Em Aberto",IF(Tabela2[[#This Row],[D/venc]]="-","Enviado",IF(Tabela2[[#This Row],[Dt Venc:]]=TODAY(),"Vence Hoje","Vencida")))</f>
        <v>Enviado</v>
      </c>
      <c r="F3372" s="3" t="str">
        <f ca="1">IF(G3372=1,"-",Tabela2[[#This Row],[Dt Venc:]]-TODAY())</f>
        <v>-</v>
      </c>
      <c r="G3372" s="3">
        <v>1</v>
      </c>
      <c r="H3372" s="3"/>
    </row>
    <row r="3373" spans="1:8" hidden="1">
      <c r="A3373" s="3">
        <v>220671</v>
      </c>
      <c r="B3373" s="7" t="s">
        <v>127</v>
      </c>
      <c r="C3373" s="42">
        <v>1476.47</v>
      </c>
      <c r="D3373" s="6">
        <v>45645</v>
      </c>
      <c r="E3373" s="3" t="str">
        <f ca="1">IF(Tabela2[[#This Row],[Dt Venc:]]&gt;TODAY(),"Em Aberto",IF(Tabela2[[#This Row],[D/venc]]="-","Enviado",IF(Tabela2[[#This Row],[Dt Venc:]]=TODAY(),"Vence Hoje","Vencida")))</f>
        <v>Enviado</v>
      </c>
      <c r="F3373" s="3" t="str">
        <f ca="1">IF(G3373=1,"-",Tabela2[[#This Row],[Dt Venc:]]-TODAY())</f>
        <v>-</v>
      </c>
      <c r="G3373" s="3">
        <v>1</v>
      </c>
      <c r="H3373" s="3"/>
    </row>
    <row r="3374" spans="1:8" hidden="1">
      <c r="A3374" s="3">
        <v>225495</v>
      </c>
      <c r="B3374" s="7" t="s">
        <v>127</v>
      </c>
      <c r="C3374" s="41">
        <v>808.58</v>
      </c>
      <c r="D3374" s="6">
        <v>45645</v>
      </c>
      <c r="E3374" s="3" t="str">
        <f ca="1">IF(Tabela2[[#This Row],[Dt Venc:]]&gt;TODAY(),"Em Aberto",IF(Tabela2[[#This Row],[D/venc]]="-","Enviado",IF(Tabela2[[#This Row],[Dt Venc:]]=TODAY(),"Vence Hoje","Vencida")))</f>
        <v>Enviado</v>
      </c>
      <c r="F3374" s="3" t="str">
        <f ca="1">IF(G3374=1,"-",Tabela2[[#This Row],[Dt Venc:]]-TODAY())</f>
        <v>-</v>
      </c>
      <c r="G3374" s="3">
        <v>1</v>
      </c>
      <c r="H3374" s="3"/>
    </row>
    <row r="3375" spans="1:8" hidden="1">
      <c r="A3375" s="3">
        <v>110272</v>
      </c>
      <c r="B3375" s="7" t="s">
        <v>309</v>
      </c>
      <c r="C3375" s="42">
        <v>391.66</v>
      </c>
      <c r="D3375" s="6">
        <v>45645</v>
      </c>
      <c r="E3375" s="3" t="str">
        <f ca="1">IF(Tabela2[[#This Row],[Dt Venc:]]&gt;TODAY(),"Em Aberto",IF(Tabela2[[#This Row],[D/venc]]="-","Enviado",IF(Tabela2[[#This Row],[Dt Venc:]]=TODAY(),"Vence Hoje","Vencida")))</f>
        <v>Enviado</v>
      </c>
      <c r="F3375" s="3" t="str">
        <f ca="1">IF(G3375=1,"-",Tabela2[[#This Row],[Dt Venc:]]-TODAY())</f>
        <v>-</v>
      </c>
      <c r="G3375" s="3">
        <v>1</v>
      </c>
      <c r="H3375" s="3"/>
    </row>
    <row r="3376" spans="1:8" hidden="1">
      <c r="A3376" s="3">
        <v>30721</v>
      </c>
      <c r="B3376" s="7" t="s">
        <v>226</v>
      </c>
      <c r="C3376" s="41">
        <v>4680</v>
      </c>
      <c r="D3376" s="6">
        <v>45645</v>
      </c>
      <c r="E3376" s="3" t="str">
        <f ca="1">IF(Tabela2[[#This Row],[Dt Venc:]]&gt;TODAY(),"Em Aberto",IF(Tabela2[[#This Row],[D/venc]]="-","Enviado",IF(Tabela2[[#This Row],[Dt Venc:]]=TODAY(),"Vence Hoje","Vencida")))</f>
        <v>Enviado</v>
      </c>
      <c r="F3376" s="3" t="str">
        <f ca="1">IF(G3376=1,"-",Tabela2[[#This Row],[Dt Venc:]]-TODAY())</f>
        <v>-</v>
      </c>
      <c r="G3376" s="3">
        <v>1</v>
      </c>
      <c r="H3376" s="3"/>
    </row>
    <row r="3377" spans="1:8" hidden="1">
      <c r="A3377" s="3">
        <v>19809</v>
      </c>
      <c r="B3377" s="7" t="s">
        <v>41</v>
      </c>
      <c r="C3377" s="41">
        <v>700</v>
      </c>
      <c r="D3377" s="6">
        <v>45645</v>
      </c>
      <c r="E3377" s="3" t="str">
        <f ca="1">IF(Tabela2[[#This Row],[Dt Venc:]]&gt;TODAY(),"Em Aberto",IF(Tabela2[[#This Row],[D/venc]]="-","Enviado",IF(Tabela2[[#This Row],[Dt Venc:]]=TODAY(),"Vence Hoje","Vencida")))</f>
        <v>Enviado</v>
      </c>
      <c r="F3377" s="3" t="str">
        <f ca="1">IF(G3377=1,"-",Tabela2[[#This Row],[Dt Venc:]]-TODAY())</f>
        <v>-</v>
      </c>
      <c r="G3377" s="3">
        <v>1</v>
      </c>
      <c r="H3377" s="3"/>
    </row>
    <row r="3378" spans="1:8" hidden="1">
      <c r="A3378" s="3">
        <v>231000</v>
      </c>
      <c r="B3378" s="7" t="s">
        <v>43</v>
      </c>
      <c r="C3378" s="42">
        <v>1272.07</v>
      </c>
      <c r="D3378" s="6">
        <v>45645</v>
      </c>
      <c r="E3378" s="3" t="str">
        <f ca="1">IF(Tabela2[[#This Row],[Dt Venc:]]&gt;TODAY(),"Em Aberto",IF(Tabela2[[#This Row],[D/venc]]="-","Enviado",IF(Tabela2[[#This Row],[Dt Venc:]]=TODAY(),"Vence Hoje","Vencida")))</f>
        <v>Enviado</v>
      </c>
      <c r="F3378" s="3" t="str">
        <f ca="1">IF(G3378=1,"-",Tabela2[[#This Row],[Dt Venc:]]-TODAY())</f>
        <v>-</v>
      </c>
      <c r="G3378" s="3">
        <v>1</v>
      </c>
      <c r="H3378" s="3"/>
    </row>
    <row r="3379" spans="1:8" hidden="1">
      <c r="A3379" s="3">
        <v>1415714</v>
      </c>
      <c r="B3379" s="7" t="s">
        <v>151</v>
      </c>
      <c r="C3379" s="41">
        <v>887.8</v>
      </c>
      <c r="D3379" s="6">
        <v>45645</v>
      </c>
      <c r="E3379" s="3" t="str">
        <f ca="1">IF(Tabela2[[#This Row],[Dt Venc:]]&gt;TODAY(),"Em Aberto",IF(Tabela2[[#This Row],[D/venc]]="-","Enviado",IF(Tabela2[[#This Row],[Dt Venc:]]=TODAY(),"Vence Hoje","Vencida")))</f>
        <v>Enviado</v>
      </c>
      <c r="F3379" s="3" t="str">
        <f ca="1">IF(G3379=1,"-",Tabela2[[#This Row],[Dt Venc:]]-TODAY())</f>
        <v>-</v>
      </c>
      <c r="G3379" s="3">
        <v>1</v>
      </c>
      <c r="H3379" s="3"/>
    </row>
    <row r="3380" spans="1:8" hidden="1">
      <c r="A3380" s="3">
        <v>9</v>
      </c>
      <c r="B3380" s="7" t="s">
        <v>173</v>
      </c>
      <c r="C3380" s="42">
        <v>808.34</v>
      </c>
      <c r="D3380" s="6">
        <v>45645</v>
      </c>
      <c r="E3380" s="3" t="str">
        <f ca="1">IF(Tabela2[[#This Row],[Dt Venc:]]&gt;TODAY(),"Em Aberto",IF(Tabela2[[#This Row],[D/venc]]="-","Enviado",IF(Tabela2[[#This Row],[Dt Venc:]]=TODAY(),"Vence Hoje","Vencida")))</f>
        <v>Enviado</v>
      </c>
      <c r="F3380" s="3" t="str">
        <f ca="1">IF(G3380=1,"-",Tabela2[[#This Row],[Dt Venc:]]-TODAY())</f>
        <v>-</v>
      </c>
      <c r="G3380" s="3">
        <v>1</v>
      </c>
      <c r="H3380" s="3"/>
    </row>
    <row r="3381" spans="1:8" hidden="1">
      <c r="A3381" s="3">
        <v>45083</v>
      </c>
      <c r="B3381" s="7" t="s">
        <v>70</v>
      </c>
      <c r="C3381" s="41">
        <v>259.52</v>
      </c>
      <c r="D3381" s="6">
        <v>45645</v>
      </c>
      <c r="E3381" s="3" t="str">
        <f ca="1">IF(Tabela2[[#This Row],[Dt Venc:]]&gt;TODAY(),"Em Aberto",IF(Tabela2[[#This Row],[D/venc]]="-","Enviado",IF(Tabela2[[#This Row],[Dt Venc:]]=TODAY(),"Vence Hoje","Vencida")))</f>
        <v>Enviado</v>
      </c>
      <c r="F3381" s="3" t="str">
        <f ca="1">IF(G3381=1,"-",Tabela2[[#This Row],[Dt Venc:]]-TODAY())</f>
        <v>-</v>
      </c>
      <c r="G3381" s="3">
        <v>1</v>
      </c>
      <c r="H3381" s="3"/>
    </row>
    <row r="3382" spans="1:8" hidden="1">
      <c r="A3382" s="3">
        <v>34707</v>
      </c>
      <c r="B3382" s="7" t="s">
        <v>70</v>
      </c>
      <c r="C3382" s="41">
        <v>259.52</v>
      </c>
      <c r="D3382" s="6">
        <v>45645</v>
      </c>
      <c r="E3382" s="3" t="str">
        <f ca="1">IF(Tabela2[[#This Row],[Dt Venc:]]&gt;TODAY(),"Em Aberto",IF(Tabela2[[#This Row],[D/venc]]="-","Enviado",IF(Tabela2[[#This Row],[Dt Venc:]]=TODAY(),"Vence Hoje","Vencida")))</f>
        <v>Enviado</v>
      </c>
      <c r="F3382" s="3" t="str">
        <f ca="1">IF(G3382=1,"-",Tabela2[[#This Row],[Dt Venc:]]-TODAY())</f>
        <v>-</v>
      </c>
      <c r="G3382" s="3">
        <v>1</v>
      </c>
      <c r="H3382" s="3"/>
    </row>
    <row r="3383" spans="1:8" hidden="1">
      <c r="A3383" s="3">
        <v>5897</v>
      </c>
      <c r="B3383" s="7" t="s">
        <v>47</v>
      </c>
      <c r="C3383" s="42">
        <v>859.4</v>
      </c>
      <c r="D3383" s="6">
        <v>45645</v>
      </c>
      <c r="E3383" s="3" t="str">
        <f ca="1">IF(Tabela2[[#This Row],[Dt Venc:]]&gt;TODAY(),"Em Aberto",IF(Tabela2[[#This Row],[D/venc]]="-","Enviado",IF(Tabela2[[#This Row],[Dt Venc:]]=TODAY(),"Vence Hoje","Vencida")))</f>
        <v>Enviado</v>
      </c>
      <c r="F3383" s="3" t="str">
        <f ca="1">IF(G3383=1,"-",Tabela2[[#This Row],[Dt Venc:]]-TODAY())</f>
        <v>-</v>
      </c>
      <c r="G3383" s="3">
        <v>1</v>
      </c>
      <c r="H3383" s="3"/>
    </row>
    <row r="3384" spans="1:8" hidden="1">
      <c r="A3384" s="3">
        <v>3887</v>
      </c>
      <c r="B3384" s="7" t="s">
        <v>553</v>
      </c>
      <c r="C3384" s="41">
        <v>3000</v>
      </c>
      <c r="D3384" s="6">
        <v>45645</v>
      </c>
      <c r="E3384" s="3" t="str">
        <f ca="1">IF(Tabela2[[#This Row],[Dt Venc:]]&gt;TODAY(),"Em Aberto",IF(Tabela2[[#This Row],[D/venc]]="-","Enviado",IF(Tabela2[[#This Row],[Dt Venc:]]=TODAY(),"Vence Hoje","Vencida")))</f>
        <v>Enviado</v>
      </c>
      <c r="F3384" s="3" t="str">
        <f ca="1">IF(G3384=1,"-",Tabela2[[#This Row],[Dt Venc:]]-TODAY())</f>
        <v>-</v>
      </c>
      <c r="G3384" s="3">
        <v>1</v>
      </c>
      <c r="H3384" s="3"/>
    </row>
    <row r="3385" spans="1:8" hidden="1">
      <c r="A3385" s="3">
        <v>73346</v>
      </c>
      <c r="B3385" s="7" t="s">
        <v>76</v>
      </c>
      <c r="C3385" s="41">
        <v>609.73</v>
      </c>
      <c r="D3385" s="6">
        <v>45645</v>
      </c>
      <c r="E3385" s="3" t="str">
        <f ca="1">IF(Tabela2[[#This Row],[Dt Venc:]]&gt;TODAY(),"Em Aberto",IF(Tabela2[[#This Row],[D/venc]]="-","Enviado",IF(Tabela2[[#This Row],[Dt Venc:]]=TODAY(),"Vence Hoje","Vencida")))</f>
        <v>Enviado</v>
      </c>
      <c r="F3385" s="3" t="str">
        <f ca="1">IF(G3385=1,"-",Tabela2[[#This Row],[Dt Venc:]]-TODAY())</f>
        <v>-</v>
      </c>
      <c r="G3385" s="3">
        <v>1</v>
      </c>
      <c r="H3385" s="3"/>
    </row>
    <row r="3386" spans="1:8" hidden="1">
      <c r="A3386" s="3">
        <v>12109</v>
      </c>
      <c r="B3386" s="7" t="s">
        <v>211</v>
      </c>
      <c r="C3386" s="41">
        <v>390</v>
      </c>
      <c r="D3386" s="6">
        <v>45645</v>
      </c>
      <c r="E3386" s="3" t="str">
        <f ca="1">IF(Tabela2[[#This Row],[Dt Venc:]]&gt;TODAY(),"Em Aberto",IF(Tabela2[[#This Row],[D/venc]]="-","Enviado",IF(Tabela2[[#This Row],[Dt Venc:]]=TODAY(),"Vence Hoje","Vencida")))</f>
        <v>Enviado</v>
      </c>
      <c r="F3386" s="3" t="str">
        <f ca="1">IF(G3386=1,"-",Tabela2[[#This Row],[Dt Venc:]]-TODAY())</f>
        <v>-</v>
      </c>
      <c r="G3386" s="3">
        <v>1</v>
      </c>
      <c r="H3386" s="3"/>
    </row>
    <row r="3387" spans="1:8" hidden="1">
      <c r="A3387" s="3">
        <v>89418</v>
      </c>
      <c r="B3387" s="7" t="s">
        <v>207</v>
      </c>
      <c r="C3387" s="41">
        <v>833.33</v>
      </c>
      <c r="D3387" s="6">
        <v>45645</v>
      </c>
      <c r="E3387" s="3" t="str">
        <f ca="1">IF(Tabela2[[#This Row],[Dt Venc:]]&gt;TODAY(),"Em Aberto",IF(Tabela2[[#This Row],[D/venc]]="-","Enviado",IF(Tabela2[[#This Row],[Dt Venc:]]=TODAY(),"Vence Hoje","Vencida")))</f>
        <v>Enviado</v>
      </c>
      <c r="F3387" s="3" t="str">
        <f ca="1">IF(G3387=1,"-",Tabela2[[#This Row],[Dt Venc:]]-TODAY())</f>
        <v>-</v>
      </c>
      <c r="G3387" s="3">
        <v>1</v>
      </c>
      <c r="H3387" s="3"/>
    </row>
    <row r="3388" spans="1:8" hidden="1">
      <c r="A3388" s="3">
        <v>43759</v>
      </c>
      <c r="B3388" s="7" t="s">
        <v>529</v>
      </c>
      <c r="C3388" s="41">
        <v>1618.75</v>
      </c>
      <c r="D3388" s="6">
        <v>45645</v>
      </c>
      <c r="E3388" s="3" t="str">
        <f ca="1">IF(Tabela2[[#This Row],[Dt Venc:]]&gt;TODAY(),"Em Aberto",IF(Tabela2[[#This Row],[D/venc]]="-","Enviado",IF(Tabela2[[#This Row],[Dt Venc:]]=TODAY(),"Vence Hoje","Vencida")))</f>
        <v>Enviado</v>
      </c>
      <c r="F3388" s="3" t="str">
        <f ca="1">IF(G3388=1,"-",Tabela2[[#This Row],[Dt Venc:]]-TODAY())</f>
        <v>-</v>
      </c>
      <c r="G3388" s="3">
        <v>1</v>
      </c>
      <c r="H3388" s="3"/>
    </row>
    <row r="3389" spans="1:8" hidden="1">
      <c r="A3389" s="3">
        <v>14258</v>
      </c>
      <c r="B3389" s="7" t="s">
        <v>51</v>
      </c>
      <c r="C3389" s="41">
        <v>1133.33</v>
      </c>
      <c r="D3389" s="6">
        <v>45645</v>
      </c>
      <c r="E3389" s="3" t="str">
        <f ca="1">IF(Tabela2[[#This Row],[Dt Venc:]]&gt;TODAY(),"Em Aberto",IF(Tabela2[[#This Row],[D/venc]]="-","Enviado",IF(Tabela2[[#This Row],[Dt Venc:]]=TODAY(),"Vence Hoje","Vencida")))</f>
        <v>Enviado</v>
      </c>
      <c r="F3389" s="3" t="str">
        <f ca="1">IF(G3389=1,"-",Tabela2[[#This Row],[Dt Venc:]]-TODAY())</f>
        <v>-</v>
      </c>
      <c r="G3389" s="3">
        <v>1</v>
      </c>
      <c r="H3389" s="3"/>
    </row>
    <row r="3390" spans="1:8" hidden="1">
      <c r="A3390" s="3">
        <v>5048</v>
      </c>
      <c r="B3390" s="7" t="s">
        <v>476</v>
      </c>
      <c r="C3390" s="41">
        <v>700</v>
      </c>
      <c r="D3390" s="6">
        <v>45645</v>
      </c>
      <c r="E3390" s="3" t="str">
        <f ca="1">IF(Tabela2[[#This Row],[Dt Venc:]]&gt;TODAY(),"Em Aberto",IF(Tabela2[[#This Row],[D/venc]]="-","Enviado",IF(Tabela2[[#This Row],[Dt Venc:]]=TODAY(),"Vence Hoje","Vencida")))</f>
        <v>Enviado</v>
      </c>
      <c r="F3390" s="3" t="str">
        <f ca="1">IF(G3390=1,"-",Tabela2[[#This Row],[Dt Venc:]]-TODAY())</f>
        <v>-</v>
      </c>
      <c r="G3390" s="3">
        <v>1</v>
      </c>
      <c r="H3390" s="3"/>
    </row>
    <row r="3391" spans="1:8" hidden="1">
      <c r="A3391" s="3">
        <v>12099</v>
      </c>
      <c r="B3391" s="7" t="s">
        <v>211</v>
      </c>
      <c r="C3391" s="41">
        <v>526.66</v>
      </c>
      <c r="D3391" s="6">
        <v>45645</v>
      </c>
      <c r="E3391" s="3" t="str">
        <f ca="1">IF(Tabela2[[#This Row],[Dt Venc:]]&gt;TODAY(),"Em Aberto",IF(Tabela2[[#This Row],[D/venc]]="-","Enviado",IF(Tabela2[[#This Row],[Dt Venc:]]=TODAY(),"Vence Hoje","Vencida")))</f>
        <v>Enviado</v>
      </c>
      <c r="F3391" s="3" t="str">
        <f ca="1">IF(G3391=1,"-",Tabela2[[#This Row],[Dt Venc:]]-TODAY())</f>
        <v>-</v>
      </c>
      <c r="G3391" s="3">
        <v>1</v>
      </c>
      <c r="H3391" s="3"/>
    </row>
    <row r="3392" spans="1:8" hidden="1">
      <c r="A3392" s="3">
        <v>73324</v>
      </c>
      <c r="B3392" s="7" t="s">
        <v>76</v>
      </c>
      <c r="C3392" s="41">
        <v>2626.69</v>
      </c>
      <c r="D3392" s="6">
        <v>45645</v>
      </c>
      <c r="E3392" s="3" t="str">
        <f ca="1">IF(Tabela2[[#This Row],[Dt Venc:]]&gt;TODAY(),"Em Aberto",IF(Tabela2[[#This Row],[D/venc]]="-","Enviado",IF(Tabela2[[#This Row],[Dt Venc:]]=TODAY(),"Vence Hoje","Vencida")))</f>
        <v>Enviado</v>
      </c>
      <c r="F3392" s="3" t="str">
        <f ca="1">IF(G3392=1,"-",Tabela2[[#This Row],[Dt Venc:]]-TODAY())</f>
        <v>-</v>
      </c>
      <c r="G3392" s="3">
        <v>1</v>
      </c>
      <c r="H3392" s="3"/>
    </row>
    <row r="3393" spans="1:8" hidden="1">
      <c r="A3393" s="3">
        <v>73320</v>
      </c>
      <c r="B3393" s="7" t="s">
        <v>76</v>
      </c>
      <c r="C3393" s="41">
        <v>932.87</v>
      </c>
      <c r="D3393" s="6">
        <v>45645</v>
      </c>
      <c r="E3393" s="3" t="str">
        <f ca="1">IF(Tabela2[[#This Row],[Dt Venc:]]&gt;TODAY(),"Em Aberto",IF(Tabela2[[#This Row],[D/venc]]="-","Enviado",IF(Tabela2[[#This Row],[Dt Venc:]]=TODAY(),"Vence Hoje","Vencida")))</f>
        <v>Enviado</v>
      </c>
      <c r="F3393" s="3" t="str">
        <f ca="1">IF(G3393=1,"-",Tabela2[[#This Row],[Dt Venc:]]-TODAY())</f>
        <v>-</v>
      </c>
      <c r="G3393" s="3">
        <v>1</v>
      </c>
      <c r="H3393" s="3"/>
    </row>
    <row r="3394" spans="1:8" hidden="1">
      <c r="A3394" s="3">
        <v>2854</v>
      </c>
      <c r="B3394" s="7" t="s">
        <v>58</v>
      </c>
      <c r="C3394" s="41">
        <v>502.55</v>
      </c>
      <c r="D3394" s="6">
        <v>45645</v>
      </c>
      <c r="E3394" s="3" t="str">
        <f ca="1">IF(Tabela2[[#This Row],[Dt Venc:]]&gt;TODAY(),"Em Aberto",IF(Tabela2[[#This Row],[D/venc]]="-","Enviado",IF(Tabela2[[#This Row],[Dt Venc:]]=TODAY(),"Vence Hoje","Vencida")))</f>
        <v>Enviado</v>
      </c>
      <c r="F3394" s="3" t="str">
        <f ca="1">IF(G3394=1,"-",Tabela2[[#This Row],[Dt Venc:]]-TODAY())</f>
        <v>-</v>
      </c>
      <c r="G3394" s="3">
        <v>1</v>
      </c>
      <c r="H3394" s="3"/>
    </row>
    <row r="3395" spans="1:8" hidden="1">
      <c r="A3395" s="3">
        <v>11618</v>
      </c>
      <c r="B3395" s="7" t="s">
        <v>105</v>
      </c>
      <c r="C3395" s="41">
        <v>3000</v>
      </c>
      <c r="D3395" s="6">
        <v>45645</v>
      </c>
      <c r="E3395" s="3" t="str">
        <f ca="1">IF(Tabela2[[#This Row],[Dt Venc:]]&gt;TODAY(),"Em Aberto",IF(Tabela2[[#This Row],[D/venc]]="-","Enviado",IF(Tabela2[[#This Row],[Dt Venc:]]=TODAY(),"Vence Hoje","Vencida")))</f>
        <v>Enviado</v>
      </c>
      <c r="F3395" s="3" t="str">
        <f ca="1">IF(G3395=1,"-",Tabela2[[#This Row],[Dt Venc:]]-TODAY())</f>
        <v>-</v>
      </c>
      <c r="G3395" s="3">
        <v>1</v>
      </c>
      <c r="H3395" s="3"/>
    </row>
    <row r="3396" spans="1:8" hidden="1">
      <c r="A3396" s="3">
        <v>36567</v>
      </c>
      <c r="B3396" s="7" t="s">
        <v>70</v>
      </c>
      <c r="C3396" s="41">
        <v>567.66</v>
      </c>
      <c r="D3396" s="6">
        <v>45645</v>
      </c>
      <c r="E3396" s="3" t="str">
        <f ca="1">IF(Tabela2[[#This Row],[Dt Venc:]]&gt;TODAY(),"Em Aberto",IF(Tabela2[[#This Row],[D/venc]]="-","Enviado",IF(Tabela2[[#This Row],[Dt Venc:]]=TODAY(),"Vence Hoje","Vencida")))</f>
        <v>Enviado</v>
      </c>
      <c r="F3396" s="3" t="str">
        <f ca="1">IF(G3396=1,"-",Tabela2[[#This Row],[Dt Venc:]]-TODAY())</f>
        <v>-</v>
      </c>
      <c r="G3396" s="3">
        <v>1</v>
      </c>
      <c r="H3396" s="3"/>
    </row>
    <row r="3397" spans="1:8" hidden="1">
      <c r="A3397" s="3">
        <v>304134</v>
      </c>
      <c r="B3397" s="7" t="s">
        <v>506</v>
      </c>
      <c r="C3397" s="41">
        <v>1762.78</v>
      </c>
      <c r="D3397" s="6">
        <v>45645</v>
      </c>
      <c r="E3397" s="3" t="str">
        <f ca="1">IF(Tabela2[[#This Row],[Dt Venc:]]&gt;TODAY(),"Em Aberto",IF(Tabela2[[#This Row],[D/venc]]="-","Enviado",IF(Tabela2[[#This Row],[Dt Venc:]]=TODAY(),"Vence Hoje","Vencida")))</f>
        <v>Enviado</v>
      </c>
      <c r="F3397" s="3" t="str">
        <f ca="1">IF(G3397=1,"-",Tabela2[[#This Row],[Dt Venc:]]-TODAY())</f>
        <v>-</v>
      </c>
      <c r="G3397" s="3">
        <v>1</v>
      </c>
      <c r="H3397" s="3"/>
    </row>
    <row r="3398" spans="1:8" hidden="1">
      <c r="A3398" s="3">
        <v>1666</v>
      </c>
      <c r="B3398" s="7" t="s">
        <v>546</v>
      </c>
      <c r="C3398" s="41">
        <v>1650</v>
      </c>
      <c r="D3398" s="6">
        <v>45645</v>
      </c>
      <c r="E3398" s="3" t="str">
        <f ca="1">IF(Tabela2[[#This Row],[Dt Venc:]]&gt;TODAY(),"Em Aberto",IF(Tabela2[[#This Row],[D/venc]]="-","Enviado",IF(Tabela2[[#This Row],[Dt Venc:]]=TODAY(),"Vence Hoje","Vencida")))</f>
        <v>Enviado</v>
      </c>
      <c r="F3398" s="3" t="str">
        <f ca="1">IF(G3398=1,"-",Tabela2[[#This Row],[Dt Venc:]]-TODAY())</f>
        <v>-</v>
      </c>
      <c r="G3398" s="3">
        <v>1</v>
      </c>
      <c r="H3398" s="3"/>
    </row>
    <row r="3399" spans="1:8" hidden="1">
      <c r="A3399" s="3">
        <v>36874</v>
      </c>
      <c r="B3399" s="7" t="s">
        <v>554</v>
      </c>
      <c r="C3399" s="41">
        <v>120780</v>
      </c>
      <c r="D3399" s="6">
        <v>45645</v>
      </c>
      <c r="E3399" s="3" t="str">
        <f ca="1">IF(Tabela2[[#This Row],[Dt Venc:]]&gt;TODAY(),"Em Aberto",IF(Tabela2[[#This Row],[D/venc]]="-","Enviado",IF(Tabela2[[#This Row],[Dt Venc:]]=TODAY(),"Vence Hoje","Vencida")))</f>
        <v>Enviado</v>
      </c>
      <c r="F3399" s="3" t="str">
        <f ca="1">IF(G3399=1,"-",Tabela2[[#This Row],[Dt Venc:]]-TODAY())</f>
        <v>-</v>
      </c>
      <c r="G3399" s="3">
        <v>1</v>
      </c>
      <c r="H3399" s="3"/>
    </row>
    <row r="3400" spans="1:8" hidden="1">
      <c r="A3400" s="3">
        <v>142250</v>
      </c>
      <c r="B3400" s="7" t="s">
        <v>60</v>
      </c>
      <c r="C3400" s="41">
        <v>390</v>
      </c>
      <c r="D3400" s="6">
        <v>45645</v>
      </c>
      <c r="E3400" s="3" t="str">
        <f ca="1">IF(Tabela2[[#This Row],[Dt Venc:]]&gt;TODAY(),"Em Aberto",IF(Tabela2[[#This Row],[D/venc]]="-","Enviado",IF(Tabela2[[#This Row],[Dt Venc:]]=TODAY(),"Vence Hoje","Vencida")))</f>
        <v>Enviado</v>
      </c>
      <c r="F3400" s="3" t="str">
        <f ca="1">IF(G3400=1,"-",Tabela2[[#This Row],[Dt Venc:]]-TODAY())</f>
        <v>-</v>
      </c>
      <c r="G3400" s="3">
        <v>1</v>
      </c>
      <c r="H3400" s="3"/>
    </row>
    <row r="3401" spans="1:8" hidden="1">
      <c r="A3401" s="3">
        <v>142251</v>
      </c>
      <c r="B3401" s="7" t="s">
        <v>60</v>
      </c>
      <c r="C3401" s="41">
        <v>390</v>
      </c>
      <c r="D3401" s="6">
        <v>45645</v>
      </c>
      <c r="E3401" s="3" t="str">
        <f ca="1">IF(Tabela2[[#This Row],[Dt Venc:]]&gt;TODAY(),"Em Aberto",IF(Tabela2[[#This Row],[D/venc]]="-","Enviado",IF(Tabela2[[#This Row],[Dt Venc:]]=TODAY(),"Vence Hoje","Vencida")))</f>
        <v>Enviado</v>
      </c>
      <c r="F3401" s="3" t="str">
        <f ca="1">IF(G3401=1,"-",Tabela2[[#This Row],[Dt Venc:]]-TODAY())</f>
        <v>-</v>
      </c>
      <c r="G3401" s="3">
        <v>1</v>
      </c>
      <c r="H3401" s="3"/>
    </row>
    <row r="3402" spans="1:8" hidden="1">
      <c r="A3402" s="3">
        <v>57442</v>
      </c>
      <c r="B3402" s="7" t="s">
        <v>496</v>
      </c>
      <c r="C3402" s="41">
        <v>415.4</v>
      </c>
      <c r="D3402" s="6">
        <v>45646</v>
      </c>
      <c r="E3402" s="3" t="str">
        <f ca="1">IF(Tabela2[[#This Row],[Dt Venc:]]&gt;TODAY(),"Em Aberto",IF(Tabela2[[#This Row],[D/venc]]="-","Enviado",IF(Tabela2[[#This Row],[Dt Venc:]]=TODAY(),"Vence Hoje","Vencida")))</f>
        <v>Enviado</v>
      </c>
      <c r="F3402" s="3" t="str">
        <f ca="1">IF(G3402=1,"-",Tabela2[[#This Row],[Dt Venc:]]-TODAY())</f>
        <v>-</v>
      </c>
      <c r="G3402" s="3">
        <v>1</v>
      </c>
      <c r="H3402" s="3"/>
    </row>
    <row r="3403" spans="1:8" hidden="1">
      <c r="A3403" s="3">
        <v>4843</v>
      </c>
      <c r="B3403" s="7" t="s">
        <v>307</v>
      </c>
      <c r="C3403" s="42">
        <v>9150</v>
      </c>
      <c r="D3403" s="6">
        <v>45646</v>
      </c>
      <c r="E3403" s="3" t="str">
        <f ca="1">IF(Tabela2[[#This Row],[Dt Venc:]]&gt;TODAY(),"Em Aberto",IF(Tabela2[[#This Row],[D/venc]]="-","Enviado",IF(Tabela2[[#This Row],[Dt Venc:]]=TODAY(),"Vence Hoje","Vencida")))</f>
        <v>Enviado</v>
      </c>
      <c r="F3403" s="3" t="str">
        <f ca="1">IF(G3403=1,"-",Tabela2[[#This Row],[Dt Venc:]]-TODAY())</f>
        <v>-</v>
      </c>
      <c r="G3403" s="3">
        <v>1</v>
      </c>
      <c r="H3403" s="3"/>
    </row>
    <row r="3404" spans="1:8" hidden="1">
      <c r="A3404" s="3">
        <v>1753</v>
      </c>
      <c r="B3404" s="7" t="s">
        <v>135</v>
      </c>
      <c r="C3404" s="41">
        <v>12482.34</v>
      </c>
      <c r="D3404" s="6">
        <v>45646</v>
      </c>
      <c r="E3404" s="3" t="str">
        <f ca="1">IF(Tabela2[[#This Row],[Dt Venc:]]&gt;TODAY(),"Em Aberto",IF(Tabela2[[#This Row],[D/venc]]="-","Enviado",IF(Tabela2[[#This Row],[Dt Venc:]]=TODAY(),"Vence Hoje","Vencida")))</f>
        <v>Enviado</v>
      </c>
      <c r="F3404" s="3" t="str">
        <f ca="1">IF(G3404=1,"-",Tabela2[[#This Row],[Dt Venc:]]-TODAY())</f>
        <v>-</v>
      </c>
      <c r="G3404" s="3">
        <v>1</v>
      </c>
      <c r="H3404" s="3"/>
    </row>
    <row r="3405" spans="1:8" hidden="1">
      <c r="A3405" s="3">
        <v>4550087</v>
      </c>
      <c r="B3405" s="7" t="s">
        <v>219</v>
      </c>
      <c r="C3405" s="41">
        <v>970.3</v>
      </c>
      <c r="D3405" s="6">
        <v>45646</v>
      </c>
      <c r="E3405" s="3" t="str">
        <f ca="1">IF(Tabela2[[#This Row],[Dt Venc:]]&gt;TODAY(),"Em Aberto",IF(Tabela2[[#This Row],[D/venc]]="-","Enviado",IF(Tabela2[[#This Row],[Dt Venc:]]=TODAY(),"Vence Hoje","Vencida")))</f>
        <v>Enviado</v>
      </c>
      <c r="F3405" s="3" t="str">
        <f ca="1">IF(G3405=1,"-",Tabela2[[#This Row],[Dt Venc:]]-TODAY())</f>
        <v>-</v>
      </c>
      <c r="G3405" s="3">
        <v>1</v>
      </c>
      <c r="H3405" s="3"/>
    </row>
    <row r="3406" spans="1:8" hidden="1">
      <c r="A3406" s="3">
        <v>24428</v>
      </c>
      <c r="B3406" s="7" t="s">
        <v>308</v>
      </c>
      <c r="C3406" s="41">
        <v>5349.45</v>
      </c>
      <c r="D3406" s="6">
        <v>45646</v>
      </c>
      <c r="E3406" s="3" t="str">
        <f ca="1">IF(Tabela2[[#This Row],[Dt Venc:]]&gt;TODAY(),"Em Aberto",IF(Tabela2[[#This Row],[D/venc]]="-","Enviado",IF(Tabela2[[#This Row],[Dt Venc:]]=TODAY(),"Vence Hoje","Vencida")))</f>
        <v>Enviado</v>
      </c>
      <c r="F3406" s="3" t="str">
        <f ca="1">IF(G3406=1,"-",Tabela2[[#This Row],[Dt Venc:]]-TODAY())</f>
        <v>-</v>
      </c>
      <c r="G3406" s="3">
        <v>1</v>
      </c>
      <c r="H3406" s="3"/>
    </row>
    <row r="3407" spans="1:8" hidden="1">
      <c r="A3407" s="3">
        <v>265238</v>
      </c>
      <c r="B3407" s="7" t="s">
        <v>450</v>
      </c>
      <c r="C3407" s="41">
        <v>366.67</v>
      </c>
      <c r="D3407" s="6">
        <v>45646</v>
      </c>
      <c r="E3407" s="3" t="str">
        <f ca="1">IF(Tabela2[[#This Row],[Dt Venc:]]&gt;TODAY(),"Em Aberto",IF(Tabela2[[#This Row],[D/venc]]="-","Enviado",IF(Tabela2[[#This Row],[Dt Venc:]]=TODAY(),"Vence Hoje","Vencida")))</f>
        <v>Enviado</v>
      </c>
      <c r="F3407" s="3" t="str">
        <f ca="1">IF(G3407=1,"-",Tabela2[[#This Row],[Dt Venc:]]-TODAY())</f>
        <v>-</v>
      </c>
      <c r="G3407" s="3">
        <v>1</v>
      </c>
      <c r="H3407" s="3"/>
    </row>
    <row r="3408" spans="1:8" hidden="1">
      <c r="A3408" s="3">
        <v>426980</v>
      </c>
      <c r="B3408" s="7" t="s">
        <v>89</v>
      </c>
      <c r="C3408" s="41">
        <v>1072.5</v>
      </c>
      <c r="D3408" s="6">
        <v>45646</v>
      </c>
      <c r="E3408" s="3" t="str">
        <f ca="1">IF(Tabela2[[#This Row],[Dt Venc:]]&gt;TODAY(),"Em Aberto",IF(Tabela2[[#This Row],[D/venc]]="-","Enviado",IF(Tabela2[[#This Row],[Dt Venc:]]=TODAY(),"Vence Hoje","Vencida")))</f>
        <v>Enviado</v>
      </c>
      <c r="F3408" s="3" t="str">
        <f ca="1">IF(G3408=1,"-",Tabela2[[#This Row],[Dt Venc:]]-TODAY())</f>
        <v>-</v>
      </c>
      <c r="G3408" s="3">
        <v>1</v>
      </c>
      <c r="H3408" s="3"/>
    </row>
    <row r="3409" spans="1:8" hidden="1">
      <c r="A3409" s="3">
        <v>257492</v>
      </c>
      <c r="B3409" s="7" t="s">
        <v>326</v>
      </c>
      <c r="C3409" s="41">
        <v>1373.34</v>
      </c>
      <c r="D3409" s="6">
        <v>45646</v>
      </c>
      <c r="E3409" s="3" t="str">
        <f ca="1">IF(Tabela2[[#This Row],[Dt Venc:]]&gt;TODAY(),"Em Aberto",IF(Tabela2[[#This Row],[D/venc]]="-","Enviado",IF(Tabela2[[#This Row],[Dt Venc:]]=TODAY(),"Vence Hoje","Vencida")))</f>
        <v>Enviado</v>
      </c>
      <c r="F3409" s="3" t="str">
        <f ca="1">IF(G3409=1,"-",Tabela2[[#This Row],[Dt Venc:]]-TODAY())</f>
        <v>-</v>
      </c>
      <c r="G3409" s="3">
        <v>1</v>
      </c>
      <c r="H3409" s="3"/>
    </row>
    <row r="3410" spans="1:8" hidden="1">
      <c r="A3410" s="3">
        <v>80382</v>
      </c>
      <c r="B3410" s="7" t="s">
        <v>39</v>
      </c>
      <c r="C3410" s="42">
        <v>616.64</v>
      </c>
      <c r="D3410" s="6">
        <v>45646</v>
      </c>
      <c r="E3410" s="3" t="str">
        <f ca="1">IF(Tabela2[[#This Row],[Dt Venc:]]&gt;TODAY(),"Em Aberto",IF(Tabela2[[#This Row],[D/venc]]="-","Enviado",IF(Tabela2[[#This Row],[Dt Venc:]]=TODAY(),"Vence Hoje","Vencida")))</f>
        <v>Enviado</v>
      </c>
      <c r="F3410" s="3" t="str">
        <f ca="1">IF(G3410=1,"-",Tabela2[[#This Row],[Dt Venc:]]-TODAY())</f>
        <v>-</v>
      </c>
      <c r="G3410" s="3">
        <v>1</v>
      </c>
      <c r="H3410" s="3"/>
    </row>
    <row r="3411" spans="1:8" hidden="1">
      <c r="A3411" s="3">
        <v>80386</v>
      </c>
      <c r="B3411" s="7" t="s">
        <v>39</v>
      </c>
      <c r="C3411" s="42">
        <v>616.64</v>
      </c>
      <c r="D3411" s="6">
        <v>45646</v>
      </c>
      <c r="E3411" s="3" t="str">
        <f ca="1">IF(Tabela2[[#This Row],[Dt Venc:]]&gt;TODAY(),"Em Aberto",IF(Tabela2[[#This Row],[D/venc]]="-","Enviado",IF(Tabela2[[#This Row],[Dt Venc:]]=TODAY(),"Vence Hoje","Vencida")))</f>
        <v>Enviado</v>
      </c>
      <c r="F3411" s="3" t="str">
        <f ca="1">IF(G3411=1,"-",Tabela2[[#This Row],[Dt Venc:]]-TODAY())</f>
        <v>-</v>
      </c>
      <c r="G3411" s="3">
        <v>1</v>
      </c>
      <c r="H3411" s="3"/>
    </row>
    <row r="3412" spans="1:8" hidden="1">
      <c r="A3412" s="3">
        <v>363514</v>
      </c>
      <c r="B3412" s="7" t="s">
        <v>39</v>
      </c>
      <c r="C3412" s="42">
        <v>290.41000000000003</v>
      </c>
      <c r="D3412" s="6">
        <v>45646</v>
      </c>
      <c r="E3412" s="3" t="str">
        <f ca="1">IF(Tabela2[[#This Row],[Dt Venc:]]&gt;TODAY(),"Em Aberto",IF(Tabela2[[#This Row],[D/venc]]="-","Enviado",IF(Tabela2[[#This Row],[Dt Venc:]]=TODAY(),"Vence Hoje","Vencida")))</f>
        <v>Enviado</v>
      </c>
      <c r="F3412" s="3" t="str">
        <f ca="1">IF(G3412=1,"-",Tabela2[[#This Row],[Dt Venc:]]-TODAY())</f>
        <v>-</v>
      </c>
      <c r="G3412" s="3">
        <v>1</v>
      </c>
      <c r="H3412" s="3"/>
    </row>
    <row r="3413" spans="1:8" hidden="1">
      <c r="A3413" s="3">
        <v>363543</v>
      </c>
      <c r="B3413" s="7" t="s">
        <v>39</v>
      </c>
      <c r="C3413" s="42">
        <v>290.41000000000003</v>
      </c>
      <c r="D3413" s="6">
        <v>45646</v>
      </c>
      <c r="E3413" s="3" t="str">
        <f ca="1">IF(Tabela2[[#This Row],[Dt Venc:]]&gt;TODAY(),"Em Aberto",IF(Tabela2[[#This Row],[D/venc]]="-","Enviado",IF(Tabela2[[#This Row],[Dt Venc:]]=TODAY(),"Vence Hoje","Vencida")))</f>
        <v>Enviado</v>
      </c>
      <c r="F3413" s="3" t="str">
        <f ca="1">IF(G3413=1,"-",Tabela2[[#This Row],[Dt Venc:]]-TODAY())</f>
        <v>-</v>
      </c>
      <c r="G3413" s="3">
        <v>1</v>
      </c>
      <c r="H3413" s="3"/>
    </row>
    <row r="3414" spans="1:8" hidden="1">
      <c r="A3414" s="3">
        <v>223237</v>
      </c>
      <c r="B3414" s="7" t="s">
        <v>127</v>
      </c>
      <c r="C3414" s="41">
        <v>510.53</v>
      </c>
      <c r="D3414" s="6">
        <v>45646</v>
      </c>
      <c r="E3414" s="3" t="str">
        <f ca="1">IF(Tabela2[[#This Row],[Dt Venc:]]&gt;TODAY(),"Em Aberto",IF(Tabela2[[#This Row],[D/venc]]="-","Enviado",IF(Tabela2[[#This Row],[Dt Venc:]]=TODAY(),"Vence Hoje","Vencida")))</f>
        <v>Enviado</v>
      </c>
      <c r="F3414" s="3" t="str">
        <f ca="1">IF(G3414=1,"-",Tabela2[[#This Row],[Dt Venc:]]-TODAY())</f>
        <v>-</v>
      </c>
      <c r="G3414" s="3">
        <v>1</v>
      </c>
      <c r="H3414" s="3"/>
    </row>
    <row r="3415" spans="1:8" hidden="1">
      <c r="A3415" s="3">
        <v>223203</v>
      </c>
      <c r="B3415" s="7" t="s">
        <v>127</v>
      </c>
      <c r="C3415" s="41">
        <v>759.53</v>
      </c>
      <c r="D3415" s="6">
        <v>45646</v>
      </c>
      <c r="E3415" s="3" t="str">
        <f ca="1">IF(Tabela2[[#This Row],[Dt Venc:]]&gt;TODAY(),"Em Aberto",IF(Tabela2[[#This Row],[D/venc]]="-","Enviado",IF(Tabela2[[#This Row],[Dt Venc:]]=TODAY(),"Vence Hoje","Vencida")))</f>
        <v>Enviado</v>
      </c>
      <c r="F3415" s="3" t="str">
        <f ca="1">IF(G3415=1,"-",Tabela2[[#This Row],[Dt Venc:]]-TODAY())</f>
        <v>-</v>
      </c>
      <c r="G3415" s="3">
        <v>1</v>
      </c>
      <c r="H3415" s="3"/>
    </row>
    <row r="3416" spans="1:8" hidden="1">
      <c r="A3416" s="3">
        <v>223144</v>
      </c>
      <c r="B3416" s="7" t="s">
        <v>127</v>
      </c>
      <c r="C3416" s="41">
        <v>725</v>
      </c>
      <c r="D3416" s="6">
        <v>45646</v>
      </c>
      <c r="E3416" s="3" t="str">
        <f ca="1">IF(Tabela2[[#This Row],[Dt Venc:]]&gt;TODAY(),"Em Aberto",IF(Tabela2[[#This Row],[D/venc]]="-","Enviado",IF(Tabela2[[#This Row],[Dt Venc:]]=TODAY(),"Vence Hoje","Vencida")))</f>
        <v>Enviado</v>
      </c>
      <c r="F3416" s="3" t="str">
        <f ca="1">IF(G3416=1,"-",Tabela2[[#This Row],[Dt Venc:]]-TODAY())</f>
        <v>-</v>
      </c>
      <c r="G3416" s="3">
        <v>1</v>
      </c>
      <c r="H3416" s="3"/>
    </row>
    <row r="3417" spans="1:8" hidden="1">
      <c r="A3417" s="3">
        <v>3744</v>
      </c>
      <c r="B3417" s="7" t="s">
        <v>452</v>
      </c>
      <c r="C3417" s="41">
        <v>1003.33</v>
      </c>
      <c r="D3417" s="6">
        <v>45646</v>
      </c>
      <c r="E3417" s="3" t="str">
        <f ca="1">IF(Tabela2[[#This Row],[Dt Venc:]]&gt;TODAY(),"Em Aberto",IF(Tabela2[[#This Row],[D/venc]]="-","Enviado",IF(Tabela2[[#This Row],[Dt Venc:]]=TODAY(),"Vence Hoje","Vencida")))</f>
        <v>Enviado</v>
      </c>
      <c r="F3417" s="3" t="str">
        <f ca="1">IF(G3417=1,"-",Tabela2[[#This Row],[Dt Venc:]]-TODAY())</f>
        <v>-</v>
      </c>
      <c r="G3417" s="3">
        <v>1</v>
      </c>
      <c r="H3417" s="3"/>
    </row>
    <row r="3418" spans="1:8" hidden="1">
      <c r="A3418" s="3">
        <v>186906</v>
      </c>
      <c r="B3418" s="7" t="s">
        <v>462</v>
      </c>
      <c r="C3418" s="41">
        <v>3383.44</v>
      </c>
      <c r="D3418" s="6">
        <v>45646</v>
      </c>
      <c r="E3418" s="3" t="str">
        <f ca="1">IF(Tabela2[[#This Row],[Dt Venc:]]&gt;TODAY(),"Em Aberto",IF(Tabela2[[#This Row],[D/venc]]="-","Enviado",IF(Tabela2[[#This Row],[Dt Venc:]]=TODAY(),"Vence Hoje","Vencida")))</f>
        <v>Enviado</v>
      </c>
      <c r="F3418" s="3" t="str">
        <f ca="1">IF(G3418=1,"-",Tabela2[[#This Row],[Dt Venc:]]-TODAY())</f>
        <v>-</v>
      </c>
      <c r="G3418" s="3">
        <v>1</v>
      </c>
      <c r="H3418" s="3"/>
    </row>
    <row r="3419" spans="1:8" hidden="1">
      <c r="A3419" s="3">
        <v>609712</v>
      </c>
      <c r="B3419" s="7" t="s">
        <v>66</v>
      </c>
      <c r="C3419" s="42">
        <v>1873.84</v>
      </c>
      <c r="D3419" s="6">
        <v>45646</v>
      </c>
      <c r="E3419" s="3" t="str">
        <f ca="1">IF(Tabela2[[#This Row],[Dt Venc:]]&gt;TODAY(),"Em Aberto",IF(Tabela2[[#This Row],[D/venc]]="-","Enviado",IF(Tabela2[[#This Row],[Dt Venc:]]=TODAY(),"Vence Hoje","Vencida")))</f>
        <v>Enviado</v>
      </c>
      <c r="F3419" s="3" t="str">
        <f ca="1">IF(G3419=1,"-",Tabela2[[#This Row],[Dt Venc:]]-TODAY())</f>
        <v>-</v>
      </c>
      <c r="G3419" s="3">
        <v>1</v>
      </c>
      <c r="H3419" s="3"/>
    </row>
    <row r="3420" spans="1:8" hidden="1">
      <c r="A3420" s="3">
        <v>232023</v>
      </c>
      <c r="B3420" s="7" t="s">
        <v>40</v>
      </c>
      <c r="C3420" s="41">
        <v>1233.3399999999999</v>
      </c>
      <c r="D3420" s="6">
        <v>45646</v>
      </c>
      <c r="E3420" s="3" t="str">
        <f ca="1">IF(Tabela2[[#This Row],[Dt Venc:]]&gt;TODAY(),"Em Aberto",IF(Tabela2[[#This Row],[D/venc]]="-","Enviado",IF(Tabela2[[#This Row],[Dt Venc:]]=TODAY(),"Vence Hoje","Vencida")))</f>
        <v>Enviado</v>
      </c>
      <c r="F3420" s="3" t="str">
        <f ca="1">IF(G3420=1,"-",Tabela2[[#This Row],[Dt Venc:]]-TODAY())</f>
        <v>-</v>
      </c>
      <c r="G3420" s="3">
        <v>1</v>
      </c>
      <c r="H3420" s="3"/>
    </row>
    <row r="3421" spans="1:8" hidden="1">
      <c r="A3421" s="3">
        <v>22207</v>
      </c>
      <c r="B3421" s="7" t="s">
        <v>40</v>
      </c>
      <c r="C3421" s="41">
        <v>7933.34</v>
      </c>
      <c r="D3421" s="6">
        <v>45646</v>
      </c>
      <c r="E3421" s="3" t="str">
        <f ca="1">IF(Tabela2[[#This Row],[Dt Venc:]]&gt;TODAY(),"Em Aberto",IF(Tabela2[[#This Row],[D/venc]]="-","Enviado",IF(Tabela2[[#This Row],[Dt Venc:]]=TODAY(),"Vence Hoje","Vencida")))</f>
        <v>Enviado</v>
      </c>
      <c r="F3421" s="3" t="str">
        <f ca="1">IF(G3421=1,"-",Tabela2[[#This Row],[Dt Venc:]]-TODAY())</f>
        <v>-</v>
      </c>
      <c r="G3421" s="3">
        <v>1</v>
      </c>
      <c r="H3421" s="3"/>
    </row>
    <row r="3422" spans="1:8" hidden="1">
      <c r="A3422" s="3">
        <v>29251</v>
      </c>
      <c r="B3422" s="7" t="s">
        <v>18</v>
      </c>
      <c r="C3422" s="42">
        <v>2925</v>
      </c>
      <c r="D3422" s="6">
        <v>45646</v>
      </c>
      <c r="E3422" s="3" t="str">
        <f ca="1">IF(Tabela2[[#This Row],[Dt Venc:]]&gt;TODAY(),"Em Aberto",IF(Tabela2[[#This Row],[D/venc]]="-","Enviado",IF(Tabela2[[#This Row],[Dt Venc:]]=TODAY(),"Vence Hoje","Vencida")))</f>
        <v>Enviado</v>
      </c>
      <c r="F3422" s="3" t="str">
        <f ca="1">IF(G3422=1,"-",Tabela2[[#This Row],[Dt Venc:]]-TODAY())</f>
        <v>-</v>
      </c>
      <c r="G3422" s="3">
        <v>1</v>
      </c>
      <c r="H3422" s="3"/>
    </row>
    <row r="3423" spans="1:8" hidden="1">
      <c r="A3423" s="3">
        <v>14214</v>
      </c>
      <c r="B3423" s="7" t="s">
        <v>303</v>
      </c>
      <c r="C3423" s="41">
        <v>1015</v>
      </c>
      <c r="D3423" s="6">
        <v>45646</v>
      </c>
      <c r="E3423" s="3" t="str">
        <f ca="1">IF(Tabela2[[#This Row],[Dt Venc:]]&gt;TODAY(),"Em Aberto",IF(Tabela2[[#This Row],[D/venc]]="-","Enviado",IF(Tabela2[[#This Row],[Dt Venc:]]=TODAY(),"Vence Hoje","Vencida")))</f>
        <v>Enviado</v>
      </c>
      <c r="F3423" s="3" t="str">
        <f ca="1">IF(G3423=1,"-",Tabela2[[#This Row],[Dt Venc:]]-TODAY())</f>
        <v>-</v>
      </c>
      <c r="G3423" s="3">
        <v>1</v>
      </c>
      <c r="H3423" s="3"/>
    </row>
    <row r="3424" spans="1:8" hidden="1">
      <c r="A3424" s="3">
        <v>14204</v>
      </c>
      <c r="B3424" s="7" t="s">
        <v>51</v>
      </c>
      <c r="C3424" s="41">
        <v>976.67</v>
      </c>
      <c r="D3424" s="6">
        <v>45646</v>
      </c>
      <c r="E3424" s="3" t="str">
        <f ca="1">IF(Tabela2[[#This Row],[Dt Venc:]]&gt;TODAY(),"Em Aberto",IF(Tabela2[[#This Row],[D/venc]]="-","Enviado",IF(Tabela2[[#This Row],[Dt Venc:]]=TODAY(),"Vence Hoje","Vencida")))</f>
        <v>Enviado</v>
      </c>
      <c r="F3424" s="3" t="str">
        <f ca="1">IF(G3424=1,"-",Tabela2[[#This Row],[Dt Venc:]]-TODAY())</f>
        <v>-</v>
      </c>
      <c r="G3424" s="3">
        <v>1</v>
      </c>
      <c r="H3424" s="3"/>
    </row>
    <row r="3425" spans="1:8" hidden="1">
      <c r="A3425" s="3">
        <v>231693</v>
      </c>
      <c r="B3425" s="7" t="s">
        <v>43</v>
      </c>
      <c r="C3425" s="42">
        <v>711.34</v>
      </c>
      <c r="D3425" s="6">
        <v>45646</v>
      </c>
      <c r="E3425" s="3" t="str">
        <f ca="1">IF(Tabela2[[#This Row],[Dt Venc:]]&gt;TODAY(),"Em Aberto",IF(Tabela2[[#This Row],[D/venc]]="-","Enviado",IF(Tabela2[[#This Row],[Dt Venc:]]=TODAY(),"Vence Hoje","Vencida")))</f>
        <v>Enviado</v>
      </c>
      <c r="F3425" s="3" t="str">
        <f ca="1">IF(G3425=1,"-",Tabela2[[#This Row],[Dt Venc:]]-TODAY())</f>
        <v>-</v>
      </c>
      <c r="G3425" s="3">
        <v>1</v>
      </c>
      <c r="H3425" s="3"/>
    </row>
    <row r="3426" spans="1:8" hidden="1">
      <c r="A3426" s="3">
        <v>231587</v>
      </c>
      <c r="B3426" s="7" t="s">
        <v>43</v>
      </c>
      <c r="C3426" s="41">
        <v>1300</v>
      </c>
      <c r="D3426" s="6">
        <v>45646</v>
      </c>
      <c r="E3426" s="3" t="str">
        <f ca="1">IF(Tabela2[[#This Row],[Dt Venc:]]&gt;TODAY(),"Em Aberto",IF(Tabela2[[#This Row],[D/venc]]="-","Enviado",IF(Tabela2[[#This Row],[Dt Venc:]]=TODAY(),"Vence Hoje","Vencida")))</f>
        <v>Enviado</v>
      </c>
      <c r="F3426" s="3" t="str">
        <f ca="1">IF(G3426=1,"-",Tabela2[[#This Row],[Dt Venc:]]-TODAY())</f>
        <v>-</v>
      </c>
      <c r="G3426" s="3">
        <v>1</v>
      </c>
      <c r="H3426" s="3"/>
    </row>
    <row r="3427" spans="1:8" hidden="1">
      <c r="A3427" s="3">
        <v>231587</v>
      </c>
      <c r="B3427" s="7" t="s">
        <v>43</v>
      </c>
      <c r="C3427" s="41">
        <v>1300</v>
      </c>
      <c r="D3427" s="6">
        <v>45646</v>
      </c>
      <c r="E3427" s="3" t="str">
        <f ca="1">IF(Tabela2[[#This Row],[Dt Venc:]]&gt;TODAY(),"Em Aberto",IF(Tabela2[[#This Row],[D/venc]]="-","Enviado",IF(Tabela2[[#This Row],[Dt Venc:]]=TODAY(),"Vence Hoje","Vencida")))</f>
        <v>Enviado</v>
      </c>
      <c r="F3427" s="3" t="str">
        <f ca="1">IF(G3427=1,"-",Tabela2[[#This Row],[Dt Venc:]]-TODAY())</f>
        <v>-</v>
      </c>
      <c r="G3427" s="3">
        <v>1</v>
      </c>
      <c r="H3427" s="3"/>
    </row>
    <row r="3428" spans="1:8" hidden="1">
      <c r="A3428" s="3">
        <v>88546</v>
      </c>
      <c r="B3428" s="7" t="s">
        <v>207</v>
      </c>
      <c r="C3428" s="41">
        <v>400</v>
      </c>
      <c r="D3428" s="6">
        <v>45646</v>
      </c>
      <c r="E3428" s="3" t="str">
        <f ca="1">IF(Tabela2[[#This Row],[Dt Venc:]]&gt;TODAY(),"Em Aberto",IF(Tabela2[[#This Row],[D/venc]]="-","Enviado",IF(Tabela2[[#This Row],[Dt Venc:]]=TODAY(),"Vence Hoje","Vencida")))</f>
        <v>Enviado</v>
      </c>
      <c r="F3428" s="3" t="str">
        <f ca="1">IF(G3428=1,"-",Tabela2[[#This Row],[Dt Venc:]]-TODAY())</f>
        <v>-</v>
      </c>
      <c r="G3428" s="3">
        <v>1</v>
      </c>
      <c r="H3428" s="3"/>
    </row>
    <row r="3429" spans="1:8" hidden="1">
      <c r="A3429" s="3">
        <v>153745</v>
      </c>
      <c r="B3429" s="7" t="s">
        <v>240</v>
      </c>
      <c r="C3429" s="41">
        <v>1353.33</v>
      </c>
      <c r="D3429" s="6">
        <v>45646</v>
      </c>
      <c r="E3429" s="3" t="str">
        <f ca="1">IF(Tabela2[[#This Row],[Dt Venc:]]&gt;TODAY(),"Em Aberto",IF(Tabela2[[#This Row],[D/venc]]="-","Enviado",IF(Tabela2[[#This Row],[Dt Venc:]]=TODAY(),"Vence Hoje","Vencida")))</f>
        <v>Enviado</v>
      </c>
      <c r="F3429" s="3" t="str">
        <f ca="1">IF(G3429=1,"-",Tabela2[[#This Row],[Dt Venc:]]-TODAY())</f>
        <v>-</v>
      </c>
      <c r="G3429" s="3">
        <v>1</v>
      </c>
      <c r="H3429" s="3"/>
    </row>
    <row r="3430" spans="1:8" hidden="1">
      <c r="A3430" s="3">
        <v>6030</v>
      </c>
      <c r="B3430" s="7" t="s">
        <v>47</v>
      </c>
      <c r="C3430" s="41">
        <v>2411.9299999999998</v>
      </c>
      <c r="D3430" s="6">
        <v>45646</v>
      </c>
      <c r="E3430" s="3" t="str">
        <f ca="1">IF(Tabela2[[#This Row],[Dt Venc:]]&gt;TODAY(),"Em Aberto",IF(Tabela2[[#This Row],[D/venc]]="-","Enviado",IF(Tabela2[[#This Row],[Dt Venc:]]=TODAY(),"Vence Hoje","Vencida")))</f>
        <v>Enviado</v>
      </c>
      <c r="F3430" s="3" t="str">
        <f ca="1">IF(G3430=1,"-",Tabela2[[#This Row],[Dt Venc:]]-TODAY())</f>
        <v>-</v>
      </c>
      <c r="G3430" s="3">
        <v>1</v>
      </c>
      <c r="H3430" s="3"/>
    </row>
    <row r="3431" spans="1:8" hidden="1">
      <c r="A3431" s="3">
        <v>41618</v>
      </c>
      <c r="B3431" s="7" t="s">
        <v>555</v>
      </c>
      <c r="C3431" s="41">
        <v>603.84</v>
      </c>
      <c r="D3431" s="6">
        <v>45646</v>
      </c>
      <c r="E3431" s="3" t="str">
        <f ca="1">IF(Tabela2[[#This Row],[Dt Venc:]]&gt;TODAY(),"Em Aberto",IF(Tabela2[[#This Row],[D/venc]]="-","Enviado",IF(Tabela2[[#This Row],[Dt Venc:]]=TODAY(),"Vence Hoje","Vencida")))</f>
        <v>Enviado</v>
      </c>
      <c r="F3431" s="3" t="str">
        <f ca="1">IF(G3431=1,"-",Tabela2[[#This Row],[Dt Venc:]]-TODAY())</f>
        <v>-</v>
      </c>
      <c r="G3431" s="3">
        <v>1</v>
      </c>
      <c r="H3431" s="3"/>
    </row>
    <row r="3432" spans="1:8" hidden="1">
      <c r="A3432" s="3">
        <v>11473</v>
      </c>
      <c r="B3432" s="7" t="s">
        <v>174</v>
      </c>
      <c r="C3432" s="41">
        <v>1560</v>
      </c>
      <c r="D3432" s="6">
        <v>45646</v>
      </c>
      <c r="E3432" s="3" t="str">
        <f ca="1">IF(Tabela2[[#This Row],[Dt Venc:]]&gt;TODAY(),"Em Aberto",IF(Tabela2[[#This Row],[D/venc]]="-","Enviado",IF(Tabela2[[#This Row],[Dt Venc:]]=TODAY(),"Vence Hoje","Vencida")))</f>
        <v>Enviado</v>
      </c>
      <c r="F3432" s="3" t="str">
        <f ca="1">IF(G3432=1,"-",Tabela2[[#This Row],[Dt Venc:]]-TODAY())</f>
        <v>-</v>
      </c>
      <c r="G3432" s="3">
        <v>1</v>
      </c>
      <c r="H3432" s="3"/>
    </row>
    <row r="3433" spans="1:8" hidden="1">
      <c r="A3433" s="3">
        <v>11477</v>
      </c>
      <c r="B3433" s="7" t="s">
        <v>174</v>
      </c>
      <c r="C3433" s="41">
        <v>1560</v>
      </c>
      <c r="D3433" s="6">
        <v>45646</v>
      </c>
      <c r="E3433" s="3" t="str">
        <f ca="1">IF(Tabela2[[#This Row],[Dt Venc:]]&gt;TODAY(),"Em Aberto",IF(Tabela2[[#This Row],[D/venc]]="-","Enviado",IF(Tabela2[[#This Row],[Dt Venc:]]=TODAY(),"Vence Hoje","Vencida")))</f>
        <v>Enviado</v>
      </c>
      <c r="F3433" s="3" t="str">
        <f ca="1">IF(G3433=1,"-",Tabela2[[#This Row],[Dt Venc:]]-TODAY())</f>
        <v>-</v>
      </c>
      <c r="G3433" s="3">
        <v>1</v>
      </c>
      <c r="H3433" s="3"/>
    </row>
    <row r="3434" spans="1:8" hidden="1">
      <c r="A3434" s="3">
        <v>11473</v>
      </c>
      <c r="B3434" s="7" t="s">
        <v>174</v>
      </c>
      <c r="C3434" s="41">
        <v>1560</v>
      </c>
      <c r="D3434" s="6">
        <v>45646</v>
      </c>
      <c r="E3434" s="3" t="str">
        <f ca="1">IF(Tabela2[[#This Row],[Dt Venc:]]&gt;TODAY(),"Em Aberto",IF(Tabela2[[#This Row],[D/venc]]="-","Enviado",IF(Tabela2[[#This Row],[Dt Venc:]]=TODAY(),"Vence Hoje","Vencida")))</f>
        <v>Enviado</v>
      </c>
      <c r="F3434" s="3" t="str">
        <f ca="1">IF(G3434=1,"-",Tabela2[[#This Row],[Dt Venc:]]-TODAY())</f>
        <v>-</v>
      </c>
      <c r="G3434" s="3">
        <v>1</v>
      </c>
      <c r="H3434" s="3"/>
    </row>
    <row r="3435" spans="1:8" hidden="1">
      <c r="A3435" s="3">
        <v>4192</v>
      </c>
      <c r="B3435" s="7" t="s">
        <v>479</v>
      </c>
      <c r="C3435" s="41">
        <v>395.26</v>
      </c>
      <c r="D3435" s="6">
        <v>45646</v>
      </c>
      <c r="E3435" s="3" t="str">
        <f ca="1">IF(Tabela2[[#This Row],[Dt Venc:]]&gt;TODAY(),"Em Aberto",IF(Tabela2[[#This Row],[D/venc]]="-","Enviado",IF(Tabela2[[#This Row],[Dt Venc:]]=TODAY(),"Vence Hoje","Vencida")))</f>
        <v>Enviado</v>
      </c>
      <c r="F3435" s="3" t="str">
        <f ca="1">IF(G3435=1,"-",Tabela2[[#This Row],[Dt Venc:]]-TODAY())</f>
        <v>-</v>
      </c>
      <c r="G3435" s="3">
        <v>1</v>
      </c>
      <c r="H3435" s="3"/>
    </row>
    <row r="3436" spans="1:8" hidden="1">
      <c r="A3436" s="3">
        <v>114318</v>
      </c>
      <c r="B3436" s="7" t="s">
        <v>556</v>
      </c>
      <c r="C3436" s="41">
        <v>639.71</v>
      </c>
      <c r="D3436" s="6">
        <v>45646</v>
      </c>
      <c r="E3436" s="3" t="str">
        <f ca="1">IF(Tabela2[[#This Row],[Dt Venc:]]&gt;TODAY(),"Em Aberto",IF(Tabela2[[#This Row],[D/venc]]="-","Enviado",IF(Tabela2[[#This Row],[Dt Venc:]]=TODAY(),"Vence Hoje","Vencida")))</f>
        <v>Enviado</v>
      </c>
      <c r="F3436" s="3" t="str">
        <f ca="1">IF(G3436=1,"-",Tabela2[[#This Row],[Dt Venc:]]-TODAY())</f>
        <v>-</v>
      </c>
      <c r="G3436" s="3">
        <v>1</v>
      </c>
      <c r="H3436" s="3"/>
    </row>
    <row r="3437" spans="1:8" hidden="1">
      <c r="A3437" s="3">
        <v>257112</v>
      </c>
      <c r="B3437" s="7" t="s">
        <v>43</v>
      </c>
      <c r="C3437" s="41">
        <v>1492.34</v>
      </c>
      <c r="D3437" s="6">
        <v>45646</v>
      </c>
      <c r="E3437" s="3" t="str">
        <f ca="1">IF(Tabela2[[#This Row],[Dt Venc:]]&gt;TODAY(),"Em Aberto",IF(Tabela2[[#This Row],[D/venc]]="-","Enviado",IF(Tabela2[[#This Row],[Dt Venc:]]=TODAY(),"Vence Hoje","Vencida")))</f>
        <v>Enviado</v>
      </c>
      <c r="F3437" s="3" t="str">
        <f ca="1">IF(G3437=1,"-",Tabela2[[#This Row],[Dt Venc:]]-TODAY())</f>
        <v>-</v>
      </c>
      <c r="G3437" s="3">
        <v>1</v>
      </c>
      <c r="H3437" s="3"/>
    </row>
    <row r="3438" spans="1:8" hidden="1">
      <c r="A3438" s="3">
        <v>617798</v>
      </c>
      <c r="B3438" s="7" t="s">
        <v>66</v>
      </c>
      <c r="C3438" s="41">
        <v>4486.43</v>
      </c>
      <c r="D3438" s="6">
        <v>45646</v>
      </c>
      <c r="E3438" s="3" t="str">
        <f ca="1">IF(Tabela2[[#This Row],[Dt Venc:]]&gt;TODAY(),"Em Aberto",IF(Tabela2[[#This Row],[D/venc]]="-","Enviado",IF(Tabela2[[#This Row],[Dt Venc:]]=TODAY(),"Vence Hoje","Vencida")))</f>
        <v>Enviado</v>
      </c>
      <c r="F3438" s="3" t="str">
        <f ca="1">IF(G3438=1,"-",Tabela2[[#This Row],[Dt Venc:]]-TODAY())</f>
        <v>-</v>
      </c>
      <c r="G3438" s="3">
        <v>1</v>
      </c>
      <c r="H3438" s="3"/>
    </row>
    <row r="3439" spans="1:8" hidden="1">
      <c r="A3439" s="3">
        <v>54460</v>
      </c>
      <c r="B3439" s="7" t="s">
        <v>35</v>
      </c>
      <c r="C3439" s="41">
        <v>216.26</v>
      </c>
      <c r="D3439" s="6">
        <v>45646</v>
      </c>
      <c r="E3439" s="3" t="str">
        <f ca="1">IF(Tabela2[[#This Row],[Dt Venc:]]&gt;TODAY(),"Em Aberto",IF(Tabela2[[#This Row],[D/venc]]="-","Enviado",IF(Tabela2[[#This Row],[Dt Venc:]]=TODAY(),"Vence Hoje","Vencida")))</f>
        <v>Enviado</v>
      </c>
      <c r="F3439" s="3" t="str">
        <f ca="1">IF(G3439=1,"-",Tabela2[[#This Row],[Dt Venc:]]-TODAY())</f>
        <v>-</v>
      </c>
      <c r="G3439" s="3">
        <v>1</v>
      </c>
      <c r="H3439" s="3"/>
    </row>
    <row r="3440" spans="1:8" hidden="1">
      <c r="A3440" s="3">
        <v>15323</v>
      </c>
      <c r="B3440" s="7" t="s">
        <v>99</v>
      </c>
      <c r="C3440" s="41">
        <v>1168.75</v>
      </c>
      <c r="D3440" s="6">
        <v>45646</v>
      </c>
      <c r="E3440" s="3" t="str">
        <f ca="1">IF(Tabela2[[#This Row],[Dt Venc:]]&gt;TODAY(),"Em Aberto",IF(Tabela2[[#This Row],[D/venc]]="-","Enviado",IF(Tabela2[[#This Row],[Dt Venc:]]=TODAY(),"Vence Hoje","Vencida")))</f>
        <v>Enviado</v>
      </c>
      <c r="F3440" s="3" t="str">
        <f ca="1">IF(G3440=1,"-",Tabela2[[#This Row],[Dt Venc:]]-TODAY())</f>
        <v>-</v>
      </c>
      <c r="G3440" s="3">
        <v>1</v>
      </c>
      <c r="H3440" s="3"/>
    </row>
    <row r="3441" spans="1:8" hidden="1">
      <c r="A3441" s="3">
        <v>14346</v>
      </c>
      <c r="B3441" s="7" t="s">
        <v>303</v>
      </c>
      <c r="C3441" s="41">
        <v>1143.33</v>
      </c>
      <c r="D3441" s="6">
        <v>45646</v>
      </c>
      <c r="E3441" s="3" t="str">
        <f ca="1">IF(Tabela2[[#This Row],[Dt Venc:]]&gt;TODAY(),"Em Aberto",IF(Tabela2[[#This Row],[D/venc]]="-","Enviado",IF(Tabela2[[#This Row],[Dt Venc:]]=TODAY(),"Vence Hoje","Vencida")))</f>
        <v>Enviado</v>
      </c>
      <c r="F3441" s="3" t="str">
        <f ca="1">IF(G3441=1,"-",Tabela2[[#This Row],[Dt Venc:]]-TODAY())</f>
        <v>-</v>
      </c>
      <c r="G3441" s="3">
        <v>1</v>
      </c>
      <c r="H3441" s="3"/>
    </row>
    <row r="3442" spans="1:8" hidden="1">
      <c r="A3442" s="3">
        <v>204704</v>
      </c>
      <c r="B3442" s="7" t="s">
        <v>200</v>
      </c>
      <c r="C3442" s="41">
        <v>1196.6600000000001</v>
      </c>
      <c r="D3442" s="6">
        <v>45646</v>
      </c>
      <c r="E3442" s="3" t="str">
        <f ca="1">IF(Tabela2[[#This Row],[Dt Venc:]]&gt;TODAY(),"Em Aberto",IF(Tabela2[[#This Row],[D/venc]]="-","Enviado",IF(Tabela2[[#This Row],[Dt Venc:]]=TODAY(),"Vence Hoje","Vencida")))</f>
        <v>Enviado</v>
      </c>
      <c r="F3442" s="3" t="str">
        <f ca="1">IF(G3442=1,"-",Tabela2[[#This Row],[Dt Venc:]]-TODAY())</f>
        <v>-</v>
      </c>
      <c r="G3442" s="3">
        <v>1</v>
      </c>
      <c r="H3442" s="3"/>
    </row>
    <row r="3443" spans="1:8" hidden="1">
      <c r="A3443" s="3">
        <v>15123</v>
      </c>
      <c r="B3443" s="7" t="s">
        <v>384</v>
      </c>
      <c r="C3443" s="41">
        <v>362.5</v>
      </c>
      <c r="D3443" s="6">
        <v>45646</v>
      </c>
      <c r="E3443" s="3" t="str">
        <f ca="1">IF(Tabela2[[#This Row],[Dt Venc:]]&gt;TODAY(),"Em Aberto",IF(Tabela2[[#This Row],[D/venc]]="-","Enviado",IF(Tabela2[[#This Row],[Dt Venc:]]=TODAY(),"Vence Hoje","Vencida")))</f>
        <v>Enviado</v>
      </c>
      <c r="F3443" s="3" t="str">
        <f ca="1">IF(G3443=1,"-",Tabela2[[#This Row],[Dt Venc:]]-TODAY())</f>
        <v>-</v>
      </c>
      <c r="G3443" s="3">
        <v>1</v>
      </c>
      <c r="H3443" s="3"/>
    </row>
    <row r="3444" spans="1:8" hidden="1">
      <c r="A3444" s="3">
        <v>9249</v>
      </c>
      <c r="B3444" s="7" t="s">
        <v>308</v>
      </c>
      <c r="C3444" s="41">
        <v>12566.99</v>
      </c>
      <c r="D3444" s="6">
        <v>45646</v>
      </c>
      <c r="E3444" s="3" t="str">
        <f ca="1">IF(Tabela2[[#This Row],[Dt Venc:]]&gt;TODAY(),"Em Aberto",IF(Tabela2[[#This Row],[D/venc]]="-","Enviado",IF(Tabela2[[#This Row],[Dt Venc:]]=TODAY(),"Vence Hoje","Vencida")))</f>
        <v>Enviado</v>
      </c>
      <c r="F3444" s="3" t="str">
        <f ca="1">IF(G3444=1,"-",Tabela2[[#This Row],[Dt Venc:]]-TODAY())</f>
        <v>-</v>
      </c>
      <c r="G3444" s="3">
        <v>1</v>
      </c>
      <c r="H3444" s="3"/>
    </row>
    <row r="3445" spans="1:8" hidden="1">
      <c r="A3445" s="3">
        <v>2000877</v>
      </c>
      <c r="B3445" s="7" t="s">
        <v>59</v>
      </c>
      <c r="C3445" s="41">
        <v>139147.5</v>
      </c>
      <c r="D3445" s="6">
        <v>45646</v>
      </c>
      <c r="E3445" s="3" t="str">
        <f ca="1">IF(Tabela2[[#This Row],[Dt Venc:]]&gt;TODAY(),"Em Aberto",IF(Tabela2[[#This Row],[D/venc]]="-","Enviado",IF(Tabela2[[#This Row],[Dt Venc:]]=TODAY(),"Vence Hoje","Vencida")))</f>
        <v>Enviado</v>
      </c>
      <c r="F3445" s="3" t="str">
        <f ca="1">IF(G3445=1,"-",Tabela2[[#This Row],[Dt Venc:]]-TODAY())</f>
        <v>-</v>
      </c>
      <c r="G3445" s="3">
        <v>1</v>
      </c>
      <c r="H3445" s="3"/>
    </row>
    <row r="3446" spans="1:8" hidden="1">
      <c r="A3446" s="3">
        <v>2274787</v>
      </c>
      <c r="B3446" s="7" t="s">
        <v>59</v>
      </c>
      <c r="C3446" s="41">
        <v>27957.5</v>
      </c>
      <c r="D3446" s="6">
        <v>45646</v>
      </c>
      <c r="E3446" s="3" t="str">
        <f ca="1">IF(Tabela2[[#This Row],[Dt Venc:]]&gt;TODAY(),"Em Aberto",IF(Tabela2[[#This Row],[D/venc]]="-","Enviado",IF(Tabela2[[#This Row],[Dt Venc:]]=TODAY(),"Vence Hoje","Vencida")))</f>
        <v>Enviado</v>
      </c>
      <c r="F3446" s="3" t="str">
        <f ca="1">IF(G3446=1,"-",Tabela2[[#This Row],[Dt Venc:]]-TODAY())</f>
        <v>-</v>
      </c>
      <c r="G3446" s="3">
        <v>1</v>
      </c>
      <c r="H3446" s="3"/>
    </row>
    <row r="3447" spans="1:8" hidden="1">
      <c r="A3447" s="3">
        <v>697</v>
      </c>
      <c r="B3447" s="7" t="s">
        <v>557</v>
      </c>
      <c r="C3447" s="41">
        <v>1670</v>
      </c>
      <c r="D3447" s="6">
        <v>45646</v>
      </c>
      <c r="E3447" s="3" t="str">
        <f ca="1">IF(Tabela2[[#This Row],[Dt Venc:]]&gt;TODAY(),"Em Aberto",IF(Tabela2[[#This Row],[D/venc]]="-","Enviado",IF(Tabela2[[#This Row],[Dt Venc:]]=TODAY(),"Vence Hoje","Vencida")))</f>
        <v>Enviado</v>
      </c>
      <c r="F3447" s="3" t="str">
        <f ca="1">IF(G3447=1,"-",Tabela2[[#This Row],[Dt Venc:]]-TODAY())</f>
        <v>-</v>
      </c>
      <c r="G3447" s="3">
        <v>1</v>
      </c>
      <c r="H3447" s="3"/>
    </row>
    <row r="3448" spans="1:8" hidden="1">
      <c r="A3448" s="3">
        <v>142286</v>
      </c>
      <c r="B3448" s="7" t="s">
        <v>60</v>
      </c>
      <c r="C3448" s="41">
        <v>390</v>
      </c>
      <c r="D3448" s="6">
        <v>45646</v>
      </c>
      <c r="E3448" s="3" t="str">
        <f ca="1">IF(Tabela2[[#This Row],[Dt Venc:]]&gt;TODAY(),"Em Aberto",IF(Tabela2[[#This Row],[D/venc]]="-","Enviado",IF(Tabela2[[#This Row],[Dt Venc:]]=TODAY(),"Vence Hoje","Vencida")))</f>
        <v>Enviado</v>
      </c>
      <c r="F3448" s="3" t="str">
        <f ca="1">IF(G3448=1,"-",Tabela2[[#This Row],[Dt Venc:]]-TODAY())</f>
        <v>-</v>
      </c>
      <c r="G3448" s="3">
        <v>1</v>
      </c>
      <c r="H3448" s="3"/>
    </row>
    <row r="3449" spans="1:8" hidden="1">
      <c r="A3449" s="3">
        <v>368056</v>
      </c>
      <c r="B3449" s="7" t="s">
        <v>333</v>
      </c>
      <c r="C3449" s="41">
        <v>925.3</v>
      </c>
      <c r="D3449" s="6">
        <v>45646</v>
      </c>
      <c r="E3449" s="3" t="str">
        <f ca="1">IF(Tabela2[[#This Row],[Dt Venc:]]&gt;TODAY(),"Em Aberto",IF(Tabela2[[#This Row],[D/venc]]="-","Enviado",IF(Tabela2[[#This Row],[Dt Venc:]]=TODAY(),"Vence Hoje","Vencida")))</f>
        <v>Enviado</v>
      </c>
      <c r="F3449" s="3" t="str">
        <f ca="1">IF(G3449=1,"-",Tabela2[[#This Row],[Dt Venc:]]-TODAY())</f>
        <v>-</v>
      </c>
      <c r="G3449" s="3">
        <v>1</v>
      </c>
      <c r="H3449" s="3"/>
    </row>
    <row r="3450" spans="1:8" hidden="1">
      <c r="A3450" s="3">
        <v>11149</v>
      </c>
      <c r="B3450" s="7" t="s">
        <v>33</v>
      </c>
      <c r="C3450" s="41">
        <v>800</v>
      </c>
      <c r="D3450" s="6">
        <v>45647</v>
      </c>
      <c r="E3450" s="3" t="str">
        <f ca="1">IF(Tabela2[[#This Row],[Dt Venc:]]&gt;TODAY(),"Em Aberto",IF(Tabela2[[#This Row],[D/venc]]="-","Enviado",IF(Tabela2[[#This Row],[Dt Venc:]]=TODAY(),"Vence Hoje","Vencida")))</f>
        <v>Enviado</v>
      </c>
      <c r="F3450" s="3" t="str">
        <f ca="1">IF(G3450=1,"-",Tabela2[[#This Row],[Dt Venc:]]-TODAY())</f>
        <v>-</v>
      </c>
      <c r="G3450" s="3">
        <v>1</v>
      </c>
      <c r="H3450" s="3"/>
    </row>
    <row r="3451" spans="1:8" hidden="1">
      <c r="A3451" s="3">
        <v>1882</v>
      </c>
      <c r="B3451" s="7" t="s">
        <v>422</v>
      </c>
      <c r="C3451" s="41">
        <v>2677.5</v>
      </c>
      <c r="D3451" s="6">
        <v>45647</v>
      </c>
      <c r="E3451" s="3" t="str">
        <f ca="1">IF(Tabela2[[#This Row],[Dt Venc:]]&gt;TODAY(),"Em Aberto",IF(Tabela2[[#This Row],[D/venc]]="-","Enviado",IF(Tabela2[[#This Row],[Dt Venc:]]=TODAY(),"Vence Hoje","Vencida")))</f>
        <v>Enviado</v>
      </c>
      <c r="F3451" s="3" t="str">
        <f ca="1">IF(G3451=1,"-",Tabela2[[#This Row],[Dt Venc:]]-TODAY())</f>
        <v>-</v>
      </c>
      <c r="G3451" s="3">
        <v>1</v>
      </c>
      <c r="H3451" s="3"/>
    </row>
    <row r="3452" spans="1:8" hidden="1">
      <c r="A3452" s="3">
        <v>270576</v>
      </c>
      <c r="B3452" s="7" t="s">
        <v>36</v>
      </c>
      <c r="C3452" s="41">
        <v>980</v>
      </c>
      <c r="D3452" s="6">
        <v>45647</v>
      </c>
      <c r="E3452" s="3" t="str">
        <f ca="1">IF(Tabela2[[#This Row],[Dt Venc:]]&gt;TODAY(),"Em Aberto",IF(Tabela2[[#This Row],[D/venc]]="-","Enviado",IF(Tabela2[[#This Row],[Dt Venc:]]=TODAY(),"Vence Hoje","Vencida")))</f>
        <v>Enviado</v>
      </c>
      <c r="F3452" s="3" t="str">
        <f ca="1">IF(G3452=1,"-",Tabela2[[#This Row],[Dt Venc:]]-TODAY())</f>
        <v>-</v>
      </c>
      <c r="G3452" s="3">
        <v>1</v>
      </c>
      <c r="H3452" s="3"/>
    </row>
    <row r="3453" spans="1:8" hidden="1">
      <c r="A3453" s="3">
        <v>153734</v>
      </c>
      <c r="B3453" s="7" t="s">
        <v>456</v>
      </c>
      <c r="C3453" s="41">
        <v>1056.67</v>
      </c>
      <c r="D3453" s="6">
        <v>45647</v>
      </c>
      <c r="E3453" s="3" t="str">
        <f ca="1">IF(Tabela2[[#This Row],[Dt Venc:]]&gt;TODAY(),"Em Aberto",IF(Tabela2[[#This Row],[D/venc]]="-","Enviado",IF(Tabela2[[#This Row],[Dt Venc:]]=TODAY(),"Vence Hoje","Vencida")))</f>
        <v>Enviado</v>
      </c>
      <c r="F3453" s="3" t="str">
        <f ca="1">IF(G3453=1,"-",Tabela2[[#This Row],[Dt Venc:]]-TODAY())</f>
        <v>-</v>
      </c>
      <c r="G3453" s="3">
        <v>1</v>
      </c>
      <c r="H3453" s="3"/>
    </row>
    <row r="3454" spans="1:8" hidden="1">
      <c r="A3454" s="3">
        <v>5284</v>
      </c>
      <c r="B3454" s="7" t="s">
        <v>134</v>
      </c>
      <c r="C3454" s="41">
        <v>1050</v>
      </c>
      <c r="D3454" s="6">
        <v>45647</v>
      </c>
      <c r="E3454" s="3" t="str">
        <f ca="1">IF(Tabela2[[#This Row],[Dt Venc:]]&gt;TODAY(),"Em Aberto",IF(Tabela2[[#This Row],[D/venc]]="-","Enviado",IF(Tabela2[[#This Row],[Dt Venc:]]=TODAY(),"Vence Hoje","Vencida")))</f>
        <v>Enviado</v>
      </c>
      <c r="F3454" s="3" t="str">
        <f ca="1">IF(G3454=1,"-",Tabela2[[#This Row],[Dt Venc:]]-TODAY())</f>
        <v>-</v>
      </c>
      <c r="G3454" s="3">
        <v>1</v>
      </c>
      <c r="H3454" s="3"/>
    </row>
    <row r="3455" spans="1:8" hidden="1">
      <c r="A3455" s="3">
        <v>189458</v>
      </c>
      <c r="B3455" s="7" t="s">
        <v>128</v>
      </c>
      <c r="C3455" s="41">
        <v>1774.93</v>
      </c>
      <c r="D3455" s="6">
        <v>45647</v>
      </c>
      <c r="E3455" s="3" t="str">
        <f ca="1">IF(Tabela2[[#This Row],[Dt Venc:]]&gt;TODAY(),"Em Aberto",IF(Tabela2[[#This Row],[D/venc]]="-","Enviado",IF(Tabela2[[#This Row],[Dt Venc:]]=TODAY(),"Vence Hoje","Vencida")))</f>
        <v>Enviado</v>
      </c>
      <c r="F3455" s="3" t="str">
        <f ca="1">IF(G3455=1,"-",Tabela2[[#This Row],[Dt Venc:]]-TODAY())</f>
        <v>-</v>
      </c>
      <c r="G3455" s="3">
        <v>1</v>
      </c>
      <c r="H3455" s="3"/>
    </row>
    <row r="3456" spans="1:8" hidden="1">
      <c r="A3456" s="3">
        <v>14188</v>
      </c>
      <c r="B3456" s="7" t="s">
        <v>102</v>
      </c>
      <c r="C3456" s="41">
        <v>466.66</v>
      </c>
      <c r="D3456" s="6">
        <v>45647</v>
      </c>
      <c r="E3456" s="3" t="str">
        <f ca="1">IF(Tabela2[[#This Row],[Dt Venc:]]&gt;TODAY(),"Em Aberto",IF(Tabela2[[#This Row],[D/venc]]="-","Enviado",IF(Tabela2[[#This Row],[Dt Venc:]]=TODAY(),"Vence Hoje","Vencida")))</f>
        <v>Enviado</v>
      </c>
      <c r="F3456" s="3" t="str">
        <f ca="1">IF(G3456=1,"-",Tabela2[[#This Row],[Dt Venc:]]-TODAY())</f>
        <v>-</v>
      </c>
      <c r="G3456" s="3">
        <v>1</v>
      </c>
      <c r="H3456" s="3"/>
    </row>
    <row r="3457" spans="1:8" hidden="1">
      <c r="A3457" s="3">
        <v>2011</v>
      </c>
      <c r="B3457" s="7" t="s">
        <v>507</v>
      </c>
      <c r="C3457" s="41">
        <v>6563.5</v>
      </c>
      <c r="D3457" s="6">
        <v>45647</v>
      </c>
      <c r="E3457" s="3" t="str">
        <f ca="1">IF(Tabela2[[#This Row],[Dt Venc:]]&gt;TODAY(),"Em Aberto",IF(Tabela2[[#This Row],[D/venc]]="-","Enviado",IF(Tabela2[[#This Row],[Dt Venc:]]=TODAY(),"Vence Hoje","Vencida")))</f>
        <v>Enviado</v>
      </c>
      <c r="F3457" s="3" t="str">
        <f ca="1">IF(G3457=1,"-",Tabela2[[#This Row],[Dt Venc:]]-TODAY())</f>
        <v>-</v>
      </c>
      <c r="G3457" s="3">
        <v>1</v>
      </c>
      <c r="H3457" s="3"/>
    </row>
    <row r="3458" spans="1:8" hidden="1">
      <c r="A3458" s="3">
        <v>113680</v>
      </c>
      <c r="B3458" s="7" t="s">
        <v>209</v>
      </c>
      <c r="C3458" s="41">
        <v>328</v>
      </c>
      <c r="D3458" s="6">
        <v>45647</v>
      </c>
      <c r="E3458" s="3" t="str">
        <f ca="1">IF(Tabela2[[#This Row],[Dt Venc:]]&gt;TODAY(),"Em Aberto",IF(Tabela2[[#This Row],[D/venc]]="-","Enviado",IF(Tabela2[[#This Row],[Dt Venc:]]=TODAY(),"Vence Hoje","Vencida")))</f>
        <v>Enviado</v>
      </c>
      <c r="F3458" s="3" t="str">
        <f ca="1">IF(G3458=1,"-",Tabela2[[#This Row],[Dt Venc:]]-TODAY())</f>
        <v>-</v>
      </c>
      <c r="G3458" s="3">
        <v>1</v>
      </c>
      <c r="H3458" s="3"/>
    </row>
    <row r="3459" spans="1:8" hidden="1">
      <c r="A3459" s="3">
        <v>113663</v>
      </c>
      <c r="B3459" s="7" t="s">
        <v>209</v>
      </c>
      <c r="C3459" s="41">
        <v>1108.33</v>
      </c>
      <c r="D3459" s="6">
        <v>45647</v>
      </c>
      <c r="E3459" s="3" t="str">
        <f ca="1">IF(Tabela2[[#This Row],[Dt Venc:]]&gt;TODAY(),"Em Aberto",IF(Tabela2[[#This Row],[D/venc]]="-","Enviado",IF(Tabela2[[#This Row],[Dt Venc:]]=TODAY(),"Vence Hoje","Vencida")))</f>
        <v>Enviado</v>
      </c>
      <c r="F3459" s="3" t="str">
        <f ca="1">IF(G3459=1,"-",Tabela2[[#This Row],[Dt Venc:]]-TODAY())</f>
        <v>-</v>
      </c>
      <c r="G3459" s="3">
        <v>1</v>
      </c>
      <c r="H3459" s="3"/>
    </row>
    <row r="3460" spans="1:8" hidden="1">
      <c r="A3460" s="3">
        <v>5424</v>
      </c>
      <c r="B3460" s="7" t="s">
        <v>134</v>
      </c>
      <c r="C3460" s="41">
        <v>950</v>
      </c>
      <c r="D3460" s="6">
        <v>45647</v>
      </c>
      <c r="E3460" s="3" t="str">
        <f ca="1">IF(Tabela2[[#This Row],[Dt Venc:]]&gt;TODAY(),"Em Aberto",IF(Tabela2[[#This Row],[D/venc]]="-","Enviado",IF(Tabela2[[#This Row],[Dt Venc:]]=TODAY(),"Vence Hoje","Vencida")))</f>
        <v>Enviado</v>
      </c>
      <c r="F3460" s="3" t="str">
        <f ca="1">IF(G3460=1,"-",Tabela2[[#This Row],[Dt Venc:]]-TODAY())</f>
        <v>-</v>
      </c>
      <c r="G3460" s="3">
        <v>1</v>
      </c>
      <c r="H3460" s="3"/>
    </row>
    <row r="3461" spans="1:8" hidden="1">
      <c r="A3461" s="3">
        <v>329156</v>
      </c>
      <c r="B3461" s="7" t="s">
        <v>77</v>
      </c>
      <c r="C3461" s="41">
        <v>550</v>
      </c>
      <c r="D3461" s="6">
        <v>45647</v>
      </c>
      <c r="E3461" s="3" t="str">
        <f ca="1">IF(Tabela2[[#This Row],[Dt Venc:]]&gt;TODAY(),"Em Aberto",IF(Tabela2[[#This Row],[D/venc]]="-","Enviado",IF(Tabela2[[#This Row],[Dt Venc:]]=TODAY(),"Vence Hoje","Vencida")))</f>
        <v>Enviado</v>
      </c>
      <c r="F3461" s="3" t="str">
        <f ca="1">IF(G3461=1,"-",Tabela2[[#This Row],[Dt Venc:]]-TODAY())</f>
        <v>-</v>
      </c>
      <c r="G3461" s="3">
        <v>1</v>
      </c>
      <c r="H3461" s="3"/>
    </row>
    <row r="3462" spans="1:8" hidden="1">
      <c r="A3462" s="3">
        <v>3459</v>
      </c>
      <c r="B3462" s="7" t="s">
        <v>129</v>
      </c>
      <c r="C3462" s="41">
        <v>2118.1999999999998</v>
      </c>
      <c r="D3462" s="6">
        <v>45647</v>
      </c>
      <c r="E3462" s="3" t="str">
        <f ca="1">IF(Tabela2[[#This Row],[Dt Venc:]]&gt;TODAY(),"Em Aberto",IF(Tabela2[[#This Row],[D/venc]]="-","Enviado",IF(Tabela2[[#This Row],[Dt Venc:]]=TODAY(),"Vence Hoje","Vencida")))</f>
        <v>Enviado</v>
      </c>
      <c r="F3462" s="3" t="str">
        <f ca="1">IF(G3462=1,"-",Tabela2[[#This Row],[Dt Venc:]]-TODAY())</f>
        <v>-</v>
      </c>
      <c r="G3462" s="3">
        <v>1</v>
      </c>
      <c r="H3462" s="3"/>
    </row>
    <row r="3463" spans="1:8" hidden="1">
      <c r="A3463" s="3">
        <v>1367</v>
      </c>
      <c r="B3463" s="7" t="s">
        <v>360</v>
      </c>
      <c r="C3463" s="41">
        <v>1043.3399999999999</v>
      </c>
      <c r="D3463" s="6">
        <v>45647</v>
      </c>
      <c r="E3463" s="3" t="str">
        <f ca="1">IF(Tabela2[[#This Row],[Dt Venc:]]&gt;TODAY(),"Em Aberto",IF(Tabela2[[#This Row],[D/venc]]="-","Enviado",IF(Tabela2[[#This Row],[Dt Venc:]]=TODAY(),"Vence Hoje","Vencida")))</f>
        <v>Enviado</v>
      </c>
      <c r="F3463" s="3" t="str">
        <f ca="1">IF(G3463=1,"-",Tabela2[[#This Row],[Dt Venc:]]-TODAY())</f>
        <v>-</v>
      </c>
      <c r="G3463" s="3">
        <v>1</v>
      </c>
      <c r="H3463" s="3"/>
    </row>
    <row r="3464" spans="1:8" hidden="1">
      <c r="A3464" s="3">
        <v>176474</v>
      </c>
      <c r="B3464" s="7" t="s">
        <v>211</v>
      </c>
      <c r="C3464" s="41">
        <v>506.66</v>
      </c>
      <c r="D3464" s="6">
        <v>45647</v>
      </c>
      <c r="E3464" s="3" t="str">
        <f ca="1">IF(Tabela2[[#This Row],[Dt Venc:]]&gt;TODAY(),"Em Aberto",IF(Tabela2[[#This Row],[D/venc]]="-","Enviado",IF(Tabela2[[#This Row],[Dt Venc:]]=TODAY(),"Vence Hoje","Vencida")))</f>
        <v>Enviado</v>
      </c>
      <c r="F3464" s="3" t="str">
        <f ca="1">IF(G3464=1,"-",Tabela2[[#This Row],[Dt Venc:]]-TODAY())</f>
        <v>-</v>
      </c>
      <c r="G3464" s="3">
        <v>1</v>
      </c>
      <c r="H3464" s="3"/>
    </row>
    <row r="3465" spans="1:8" hidden="1">
      <c r="A3465" s="3">
        <v>154589</v>
      </c>
      <c r="B3465" s="7" t="s">
        <v>261</v>
      </c>
      <c r="C3465" s="41">
        <v>450</v>
      </c>
      <c r="D3465" s="6">
        <v>45647</v>
      </c>
      <c r="E3465" s="3" t="str">
        <f ca="1">IF(Tabela2[[#This Row],[Dt Venc:]]&gt;TODAY(),"Em Aberto",IF(Tabela2[[#This Row],[D/venc]]="-","Enviado",IF(Tabela2[[#This Row],[Dt Venc:]]=TODAY(),"Vence Hoje","Vencida")))</f>
        <v>Enviado</v>
      </c>
      <c r="F3465" s="3" t="str">
        <f ca="1">IF(G3465=1,"-",Tabela2[[#This Row],[Dt Venc:]]-TODAY())</f>
        <v>-</v>
      </c>
      <c r="G3465" s="3">
        <v>1</v>
      </c>
      <c r="H3465" s="3"/>
    </row>
    <row r="3466" spans="1:8" hidden="1">
      <c r="A3466" s="3">
        <v>36280</v>
      </c>
      <c r="B3466" s="7" t="s">
        <v>281</v>
      </c>
      <c r="C3466" s="41">
        <v>159.19999999999999</v>
      </c>
      <c r="D3466" s="6">
        <v>45647</v>
      </c>
      <c r="E3466" s="3" t="str">
        <f ca="1">IF(Tabela2[[#This Row],[Dt Venc:]]&gt;TODAY(),"Em Aberto",IF(Tabela2[[#This Row],[D/venc]]="-","Enviado",IF(Tabela2[[#This Row],[Dt Venc:]]=TODAY(),"Vence Hoje","Vencida")))</f>
        <v>Enviado</v>
      </c>
      <c r="F3466" s="3" t="str">
        <f ca="1">IF(G3466=1,"-",Tabela2[[#This Row],[Dt Venc:]]-TODAY())</f>
        <v>-</v>
      </c>
      <c r="G3466" s="3">
        <v>1</v>
      </c>
      <c r="H3466" s="3"/>
    </row>
    <row r="3467" spans="1:8" hidden="1">
      <c r="A3467" s="3">
        <v>446836</v>
      </c>
      <c r="B3467" s="7" t="s">
        <v>512</v>
      </c>
      <c r="C3467" s="41">
        <v>631.77</v>
      </c>
      <c r="D3467" s="6">
        <v>45647</v>
      </c>
      <c r="E3467" s="3" t="str">
        <f ca="1">IF(Tabela2[[#This Row],[Dt Venc:]]&gt;TODAY(),"Em Aberto",IF(Tabela2[[#This Row],[D/venc]]="-","Enviado",IF(Tabela2[[#This Row],[Dt Venc:]]=TODAY(),"Vence Hoje","Vencida")))</f>
        <v>Enviado</v>
      </c>
      <c r="F3467" s="3" t="str">
        <f ca="1">IF(G3467=1,"-",Tabela2[[#This Row],[Dt Venc:]]-TODAY())</f>
        <v>-</v>
      </c>
      <c r="G3467" s="3">
        <v>1</v>
      </c>
      <c r="H3467" s="3"/>
    </row>
    <row r="3468" spans="1:8" hidden="1">
      <c r="A3468" s="3">
        <v>3321254</v>
      </c>
      <c r="B3468" s="7" t="s">
        <v>71</v>
      </c>
      <c r="C3468" s="41">
        <v>83617.5</v>
      </c>
      <c r="D3468" s="6">
        <v>45647</v>
      </c>
      <c r="E3468" s="3" t="str">
        <f ca="1">IF(Tabela2[[#This Row],[Dt Venc:]]&gt;TODAY(),"Em Aberto",IF(Tabela2[[#This Row],[D/venc]]="-","Enviado",IF(Tabela2[[#This Row],[Dt Venc:]]=TODAY(),"Vence Hoje","Vencida")))</f>
        <v>Enviado</v>
      </c>
      <c r="F3468" s="3" t="str">
        <f ca="1">IF(G3468=1,"-",Tabela2[[#This Row],[Dt Venc:]]-TODAY())</f>
        <v>-</v>
      </c>
      <c r="G3468" s="3">
        <v>1</v>
      </c>
      <c r="H3468" s="3"/>
    </row>
    <row r="3469" spans="1:8" hidden="1">
      <c r="A3469" s="3">
        <v>250571</v>
      </c>
      <c r="B3469" s="7" t="s">
        <v>511</v>
      </c>
      <c r="C3469" s="41">
        <v>5320</v>
      </c>
      <c r="D3469" s="6">
        <v>45647</v>
      </c>
      <c r="E3469" s="3" t="str">
        <f ca="1">IF(Tabela2[[#This Row],[Dt Venc:]]&gt;TODAY(),"Em Aberto",IF(Tabela2[[#This Row],[D/venc]]="-","Enviado",IF(Tabela2[[#This Row],[Dt Venc:]]=TODAY(),"Vence Hoje","Vencida")))</f>
        <v>Enviado</v>
      </c>
      <c r="F3469" s="3" t="str">
        <f ca="1">IF(G3469=1,"-",Tabela2[[#This Row],[Dt Venc:]]-TODAY())</f>
        <v>-</v>
      </c>
      <c r="G3469" s="3">
        <v>1</v>
      </c>
      <c r="H3469" s="3"/>
    </row>
    <row r="3470" spans="1:8" hidden="1">
      <c r="A3470" s="3">
        <v>1458</v>
      </c>
      <c r="B3470" s="7" t="s">
        <v>241</v>
      </c>
      <c r="C3470" s="41">
        <v>660</v>
      </c>
      <c r="D3470" s="6">
        <v>45647</v>
      </c>
      <c r="E3470" s="3" t="str">
        <f ca="1">IF(Tabela2[[#This Row],[Dt Venc:]]&gt;TODAY(),"Em Aberto",IF(Tabela2[[#This Row],[D/venc]]="-","Enviado",IF(Tabela2[[#This Row],[Dt Venc:]]=TODAY(),"Vence Hoje","Vencida")))</f>
        <v>Enviado</v>
      </c>
      <c r="F3470" s="3" t="str">
        <f ca="1">IF(G3470=1,"-",Tabela2[[#This Row],[Dt Venc:]]-TODAY())</f>
        <v>-</v>
      </c>
      <c r="G3470" s="3">
        <v>1</v>
      </c>
      <c r="H3470" s="3"/>
    </row>
    <row r="3471" spans="1:8" hidden="1">
      <c r="A3471" s="3">
        <v>37348</v>
      </c>
      <c r="B3471" s="7" t="s">
        <v>167</v>
      </c>
      <c r="C3471" s="83" t="s">
        <v>32</v>
      </c>
      <c r="D3471" s="6">
        <v>45648</v>
      </c>
      <c r="E3471" s="3" t="str">
        <f ca="1">IF(Tabela2[[#This Row],[Dt Venc:]]&gt;TODAY(),"Em Aberto",IF(Tabela2[[#This Row],[D/venc]]="-","Enviado",IF(Tabela2[[#This Row],[Dt Venc:]]=TODAY(),"Vence Hoje","Vencida")))</f>
        <v>Enviado</v>
      </c>
      <c r="F3471" s="3" t="str">
        <f ca="1">IF(G3471=1,"-",Tabela2[[#This Row],[Dt Venc:]]-TODAY())</f>
        <v>-</v>
      </c>
      <c r="G3471" s="3">
        <v>1</v>
      </c>
      <c r="H3471" s="3"/>
    </row>
    <row r="3472" spans="1:8" hidden="1">
      <c r="A3472" s="3">
        <v>11055</v>
      </c>
      <c r="B3472" s="7" t="s">
        <v>33</v>
      </c>
      <c r="C3472" s="41">
        <v>1656.6</v>
      </c>
      <c r="D3472" s="6">
        <v>45648</v>
      </c>
      <c r="E3472" s="3" t="str">
        <f ca="1">IF(Tabela2[[#This Row],[Dt Venc:]]&gt;TODAY(),"Em Aberto",IF(Tabela2[[#This Row],[D/venc]]="-","Enviado",IF(Tabela2[[#This Row],[Dt Venc:]]=TODAY(),"Vence Hoje","Vencida")))</f>
        <v>Enviado</v>
      </c>
      <c r="F3472" s="3" t="str">
        <f ca="1">IF(G3472=1,"-",Tabela2[[#This Row],[Dt Venc:]]-TODAY())</f>
        <v>-</v>
      </c>
      <c r="G3472" s="3">
        <v>1</v>
      </c>
      <c r="H3472" s="3"/>
    </row>
    <row r="3473" spans="1:8" hidden="1">
      <c r="A3473" s="3">
        <v>11157</v>
      </c>
      <c r="B3473" s="7" t="s">
        <v>33</v>
      </c>
      <c r="C3473" s="41">
        <v>325</v>
      </c>
      <c r="D3473" s="6">
        <v>45648</v>
      </c>
      <c r="E3473" s="3" t="str">
        <f ca="1">IF(Tabela2[[#This Row],[Dt Venc:]]&gt;TODAY(),"Em Aberto",IF(Tabela2[[#This Row],[D/venc]]="-","Enviado",IF(Tabela2[[#This Row],[Dt Venc:]]=TODAY(),"Vence Hoje","Vencida")))</f>
        <v>Enviado</v>
      </c>
      <c r="F3473" s="3" t="str">
        <f ca="1">IF(G3473=1,"-",Tabela2[[#This Row],[Dt Venc:]]-TODAY())</f>
        <v>-</v>
      </c>
      <c r="G3473" s="3">
        <v>1</v>
      </c>
      <c r="H3473" s="3"/>
    </row>
    <row r="3474" spans="1:8" hidden="1">
      <c r="A3474" s="3">
        <v>2896</v>
      </c>
      <c r="B3474" s="7" t="s">
        <v>301</v>
      </c>
      <c r="C3474" s="41">
        <v>2846.67</v>
      </c>
      <c r="D3474" s="6">
        <v>45648</v>
      </c>
      <c r="E3474" s="3" t="str">
        <f ca="1">IF(Tabela2[[#This Row],[Dt Venc:]]&gt;TODAY(),"Em Aberto",IF(Tabela2[[#This Row],[D/venc]]="-","Enviado",IF(Tabela2[[#This Row],[Dt Venc:]]=TODAY(),"Vence Hoje","Vencida")))</f>
        <v>Enviado</v>
      </c>
      <c r="F3474" s="3" t="str">
        <f ca="1">IF(G3474=1,"-",Tabela2[[#This Row],[Dt Venc:]]-TODAY())</f>
        <v>-</v>
      </c>
      <c r="G3474" s="3">
        <v>1</v>
      </c>
      <c r="H3474" s="3"/>
    </row>
    <row r="3475" spans="1:8" hidden="1">
      <c r="A3475" s="3">
        <v>2747</v>
      </c>
      <c r="B3475" s="7" t="s">
        <v>58</v>
      </c>
      <c r="C3475" s="42">
        <v>660</v>
      </c>
      <c r="D3475" s="6">
        <v>45648</v>
      </c>
      <c r="E3475" s="3" t="str">
        <f ca="1">IF(Tabela2[[#This Row],[Dt Venc:]]&gt;TODAY(),"Em Aberto",IF(Tabela2[[#This Row],[D/venc]]="-","Enviado",IF(Tabela2[[#This Row],[Dt Venc:]]=TODAY(),"Vence Hoje","Vencida")))</f>
        <v>Enviado</v>
      </c>
      <c r="F3475" s="3" t="str">
        <f ca="1">IF(G3475=1,"-",Tabela2[[#This Row],[Dt Venc:]]-TODAY())</f>
        <v>-</v>
      </c>
      <c r="G3475" s="3">
        <v>1</v>
      </c>
      <c r="H3475" s="3"/>
    </row>
    <row r="3476" spans="1:8" hidden="1">
      <c r="A3476" s="3">
        <v>2801</v>
      </c>
      <c r="B3476" s="7" t="s">
        <v>58</v>
      </c>
      <c r="C3476" s="41">
        <v>3067.8</v>
      </c>
      <c r="D3476" s="6">
        <v>45648</v>
      </c>
      <c r="E3476" s="3" t="str">
        <f ca="1">IF(Tabela2[[#This Row],[Dt Venc:]]&gt;TODAY(),"Em Aberto",IF(Tabela2[[#This Row],[D/venc]]="-","Enviado",IF(Tabela2[[#This Row],[Dt Venc:]]=TODAY(),"Vence Hoje","Vencida")))</f>
        <v>Enviado</v>
      </c>
      <c r="F3476" s="3" t="str">
        <f ca="1">IF(G3476=1,"-",Tabela2[[#This Row],[Dt Venc:]]-TODAY())</f>
        <v>-</v>
      </c>
      <c r="G3476" s="3">
        <v>1</v>
      </c>
      <c r="H3476" s="3"/>
    </row>
    <row r="3477" spans="1:8" hidden="1">
      <c r="A3477" s="3">
        <v>223432</v>
      </c>
      <c r="B3477" s="7" t="s">
        <v>127</v>
      </c>
      <c r="C3477" s="41">
        <v>558.76</v>
      </c>
      <c r="D3477" s="6">
        <v>45648</v>
      </c>
      <c r="E3477" s="3" t="str">
        <f ca="1">IF(Tabela2[[#This Row],[Dt Venc:]]&gt;TODAY(),"Em Aberto",IF(Tabela2[[#This Row],[D/venc]]="-","Enviado",IF(Tabela2[[#This Row],[Dt Venc:]]=TODAY(),"Vence Hoje","Vencida")))</f>
        <v>Enviado</v>
      </c>
      <c r="F3477" s="3" t="str">
        <f ca="1">IF(G3477=1,"-",Tabela2[[#This Row],[Dt Venc:]]-TODAY())</f>
        <v>-</v>
      </c>
      <c r="G3477" s="3">
        <v>1</v>
      </c>
      <c r="H3477" s="3"/>
    </row>
    <row r="3478" spans="1:8" hidden="1">
      <c r="A3478" s="3">
        <v>225730</v>
      </c>
      <c r="B3478" s="7" t="s">
        <v>127</v>
      </c>
      <c r="C3478" s="41">
        <v>269.14</v>
      </c>
      <c r="D3478" s="6">
        <v>45648</v>
      </c>
      <c r="E3478" s="3" t="str">
        <f ca="1">IF(Tabela2[[#This Row],[Dt Venc:]]&gt;TODAY(),"Em Aberto",IF(Tabela2[[#This Row],[D/venc]]="-","Enviado",IF(Tabela2[[#This Row],[Dt Venc:]]=TODAY(),"Vence Hoje","Vencida")))</f>
        <v>Enviado</v>
      </c>
      <c r="F3478" s="3" t="str">
        <f ca="1">IF(G3478=1,"-",Tabela2[[#This Row],[Dt Venc:]]-TODAY())</f>
        <v>-</v>
      </c>
      <c r="G3478" s="3">
        <v>1</v>
      </c>
      <c r="H3478" s="3"/>
    </row>
    <row r="3479" spans="1:8" hidden="1">
      <c r="A3479" s="3">
        <v>225728</v>
      </c>
      <c r="B3479" s="7" t="s">
        <v>127</v>
      </c>
      <c r="C3479" s="41">
        <v>503.44</v>
      </c>
      <c r="D3479" s="6">
        <v>45648</v>
      </c>
      <c r="E3479" s="3" t="str">
        <f ca="1">IF(Tabela2[[#This Row],[Dt Venc:]]&gt;TODAY(),"Em Aberto",IF(Tabela2[[#This Row],[D/venc]]="-","Enviado",IF(Tabela2[[#This Row],[Dt Venc:]]=TODAY(),"Vence Hoje","Vencida")))</f>
        <v>Enviado</v>
      </c>
      <c r="F3479" s="3" t="str">
        <f ca="1">IF(G3479=1,"-",Tabela2[[#This Row],[Dt Venc:]]-TODAY())</f>
        <v>-</v>
      </c>
      <c r="G3479" s="3">
        <v>1</v>
      </c>
      <c r="H3479" s="3"/>
    </row>
    <row r="3480" spans="1:8" hidden="1">
      <c r="A3480" s="3">
        <v>30420</v>
      </c>
      <c r="B3480" s="7" t="s">
        <v>18</v>
      </c>
      <c r="C3480" s="41">
        <v>2925</v>
      </c>
      <c r="D3480" s="6">
        <v>45648</v>
      </c>
      <c r="E3480" s="3" t="str">
        <f ca="1">IF(Tabela2[[#This Row],[Dt Venc:]]&gt;TODAY(),"Em Aberto",IF(Tabela2[[#This Row],[D/venc]]="-","Enviado",IF(Tabela2[[#This Row],[Dt Venc:]]=TODAY(),"Vence Hoje","Vencida")))</f>
        <v>Enviado</v>
      </c>
      <c r="F3480" s="3" t="str">
        <f ca="1">IF(G3480=1,"-",Tabela2[[#This Row],[Dt Venc:]]-TODAY())</f>
        <v>-</v>
      </c>
      <c r="G3480" s="3">
        <v>1</v>
      </c>
      <c r="H3480" s="3"/>
    </row>
    <row r="3481" spans="1:8" hidden="1">
      <c r="A3481" s="3">
        <v>29640</v>
      </c>
      <c r="B3481" s="7" t="s">
        <v>97</v>
      </c>
      <c r="C3481" s="42">
        <v>4585</v>
      </c>
      <c r="D3481" s="6">
        <v>45648</v>
      </c>
      <c r="E3481" s="3" t="str">
        <f ca="1">IF(Tabela2[[#This Row],[Dt Venc:]]&gt;TODAY(),"Em Aberto",IF(Tabela2[[#This Row],[D/venc]]="-","Enviado",IF(Tabela2[[#This Row],[Dt Venc:]]=TODAY(),"Vence Hoje","Vencida")))</f>
        <v>Enviado</v>
      </c>
      <c r="F3481" s="3" t="str">
        <f ca="1">IF(G3481=1,"-",Tabela2[[#This Row],[Dt Venc:]]-TODAY())</f>
        <v>-</v>
      </c>
      <c r="G3481" s="3">
        <v>1</v>
      </c>
      <c r="H3481" s="3"/>
    </row>
    <row r="3482" spans="1:8" hidden="1">
      <c r="A3482" s="3">
        <v>19679</v>
      </c>
      <c r="B3482" s="7" t="s">
        <v>41</v>
      </c>
      <c r="C3482" s="41">
        <v>573.34</v>
      </c>
      <c r="D3482" s="6">
        <v>45648</v>
      </c>
      <c r="E3482" s="3" t="str">
        <f ca="1">IF(Tabela2[[#This Row],[Dt Venc:]]&gt;TODAY(),"Em Aberto",IF(Tabela2[[#This Row],[D/venc]]="-","Enviado",IF(Tabela2[[#This Row],[Dt Venc:]]=TODAY(),"Vence Hoje","Vencida")))</f>
        <v>Enviado</v>
      </c>
      <c r="F3482" s="3" t="str">
        <f ca="1">IF(G3482=1,"-",Tabela2[[#This Row],[Dt Venc:]]-TODAY())</f>
        <v>-</v>
      </c>
      <c r="G3482" s="3">
        <v>1</v>
      </c>
      <c r="H3482" s="3"/>
    </row>
    <row r="3483" spans="1:8" hidden="1">
      <c r="A3483" s="3">
        <v>153032</v>
      </c>
      <c r="B3483" s="7" t="s">
        <v>77</v>
      </c>
      <c r="C3483" s="42">
        <v>773.34</v>
      </c>
      <c r="D3483" s="6">
        <v>45648</v>
      </c>
      <c r="E3483" s="3" t="str">
        <f ca="1">IF(Tabela2[[#This Row],[Dt Venc:]]&gt;TODAY(),"Em Aberto",IF(Tabela2[[#This Row],[D/venc]]="-","Enviado",IF(Tabela2[[#This Row],[Dt Venc:]]=TODAY(),"Vence Hoje","Vencida")))</f>
        <v>Enviado</v>
      </c>
      <c r="F3483" s="3" t="str">
        <f ca="1">IF(G3483=1,"-",Tabela2[[#This Row],[Dt Venc:]]-TODAY())</f>
        <v>-</v>
      </c>
      <c r="G3483" s="3">
        <v>1</v>
      </c>
      <c r="H3483" s="3"/>
    </row>
    <row r="3484" spans="1:8" hidden="1">
      <c r="A3484" s="3">
        <v>6047</v>
      </c>
      <c r="B3484" s="7" t="s">
        <v>47</v>
      </c>
      <c r="C3484" s="41">
        <v>772.67</v>
      </c>
      <c r="D3484" s="6">
        <v>45648</v>
      </c>
      <c r="E3484" s="3" t="str">
        <f ca="1">IF(Tabela2[[#This Row],[Dt Venc:]]&gt;TODAY(),"Em Aberto",IF(Tabela2[[#This Row],[D/venc]]="-","Enviado",IF(Tabela2[[#This Row],[Dt Venc:]]=TODAY(),"Vence Hoje","Vencida")))</f>
        <v>Enviado</v>
      </c>
      <c r="F3484" s="3" t="str">
        <f ca="1">IF(G3484=1,"-",Tabela2[[#This Row],[Dt Venc:]]-TODAY())</f>
        <v>-</v>
      </c>
      <c r="G3484" s="3">
        <v>1</v>
      </c>
      <c r="H3484" s="3"/>
    </row>
    <row r="3485" spans="1:8" hidden="1">
      <c r="A3485" s="3">
        <v>6049</v>
      </c>
      <c r="B3485" s="7" t="s">
        <v>47</v>
      </c>
      <c r="C3485" s="41">
        <v>1414.67</v>
      </c>
      <c r="D3485" s="6">
        <v>45648</v>
      </c>
      <c r="E3485" s="3" t="str">
        <f ca="1">IF(Tabela2[[#This Row],[Dt Venc:]]&gt;TODAY(),"Em Aberto",IF(Tabela2[[#This Row],[D/venc]]="-","Enviado",IF(Tabela2[[#This Row],[Dt Venc:]]=TODAY(),"Vence Hoje","Vencida")))</f>
        <v>Enviado</v>
      </c>
      <c r="F3485" s="3" t="str">
        <f ca="1">IF(G3485=1,"-",Tabela2[[#This Row],[Dt Venc:]]-TODAY())</f>
        <v>-</v>
      </c>
      <c r="G3485" s="3">
        <v>1</v>
      </c>
      <c r="H3485" s="3"/>
    </row>
    <row r="3486" spans="1:8" hidden="1">
      <c r="A3486" s="3">
        <v>18118</v>
      </c>
      <c r="B3486" s="7" t="s">
        <v>334</v>
      </c>
      <c r="C3486" s="42">
        <v>7962</v>
      </c>
      <c r="D3486" s="6">
        <v>45648</v>
      </c>
      <c r="E3486" s="3" t="str">
        <f ca="1">IF(Tabela2[[#This Row],[Dt Venc:]]&gt;TODAY(),"Em Aberto",IF(Tabela2[[#This Row],[D/venc]]="-","Enviado",IF(Tabela2[[#This Row],[Dt Venc:]]=TODAY(),"Vence Hoje","Vencida")))</f>
        <v>Enviado</v>
      </c>
      <c r="F3486" s="3" t="str">
        <f ca="1">IF(G3486=1,"-",Tabela2[[#This Row],[Dt Venc:]]-TODAY())</f>
        <v>-</v>
      </c>
      <c r="G3486" s="3">
        <v>1</v>
      </c>
      <c r="H3486" s="3"/>
    </row>
    <row r="3487" spans="1:8" hidden="1">
      <c r="A3487" s="3">
        <v>40120</v>
      </c>
      <c r="B3487" s="7" t="s">
        <v>460</v>
      </c>
      <c r="C3487" s="41">
        <v>402.97</v>
      </c>
      <c r="D3487" s="6">
        <v>45648</v>
      </c>
      <c r="E3487" s="3" t="str">
        <f ca="1">IF(Tabela2[[#This Row],[Dt Venc:]]&gt;TODAY(),"Em Aberto",IF(Tabela2[[#This Row],[D/venc]]="-","Enviado",IF(Tabela2[[#This Row],[Dt Venc:]]=TODAY(),"Vence Hoje","Vencida")))</f>
        <v>Enviado</v>
      </c>
      <c r="F3487" s="3" t="str">
        <f ca="1">IF(G3487=1,"-",Tabela2[[#This Row],[Dt Venc:]]-TODAY())</f>
        <v>-</v>
      </c>
      <c r="G3487" s="3">
        <v>1</v>
      </c>
      <c r="H3487" s="3"/>
    </row>
    <row r="3488" spans="1:8" hidden="1">
      <c r="A3488" s="3">
        <v>11546</v>
      </c>
      <c r="B3488" s="7" t="s">
        <v>174</v>
      </c>
      <c r="C3488" s="41">
        <v>1266.6600000000001</v>
      </c>
      <c r="D3488" s="6">
        <v>45648</v>
      </c>
      <c r="E3488" s="3" t="str">
        <f ca="1">IF(Tabela2[[#This Row],[Dt Venc:]]&gt;TODAY(),"Em Aberto",IF(Tabela2[[#This Row],[D/venc]]="-","Enviado",IF(Tabela2[[#This Row],[Dt Venc:]]=TODAY(),"Vence Hoje","Vencida")))</f>
        <v>Enviado</v>
      </c>
      <c r="F3488" s="3" t="str">
        <f ca="1">IF(G3488=1,"-",Tabela2[[#This Row],[Dt Venc:]]-TODAY())</f>
        <v>-</v>
      </c>
      <c r="G3488" s="3">
        <v>1</v>
      </c>
      <c r="H3488" s="3"/>
    </row>
    <row r="3489" spans="1:8" hidden="1">
      <c r="A3489" s="3">
        <v>429129</v>
      </c>
      <c r="B3489" s="7" t="s">
        <v>89</v>
      </c>
      <c r="C3489" s="41">
        <v>60.19</v>
      </c>
      <c r="D3489" s="6">
        <v>45648</v>
      </c>
      <c r="E3489" s="3" t="str">
        <f ca="1">IF(Tabela2[[#This Row],[Dt Venc:]]&gt;TODAY(),"Em Aberto",IF(Tabela2[[#This Row],[D/venc]]="-","Enviado",IF(Tabela2[[#This Row],[Dt Venc:]]=TODAY(),"Vence Hoje","Vencida")))</f>
        <v>Enviado</v>
      </c>
      <c r="F3489" s="3" t="str">
        <f ca="1">IF(G3489=1,"-",Tabela2[[#This Row],[Dt Venc:]]-TODAY())</f>
        <v>-</v>
      </c>
      <c r="G3489" s="3">
        <v>1</v>
      </c>
      <c r="H3489" s="3"/>
    </row>
    <row r="3490" spans="1:8" hidden="1">
      <c r="A3490" s="3">
        <v>154244</v>
      </c>
      <c r="B3490" s="7" t="s">
        <v>486</v>
      </c>
      <c r="C3490" s="41">
        <v>1822</v>
      </c>
      <c r="D3490" s="6">
        <v>45648</v>
      </c>
      <c r="E3490" s="3" t="str">
        <f ca="1">IF(Tabela2[[#This Row],[Dt Venc:]]&gt;TODAY(),"Em Aberto",IF(Tabela2[[#This Row],[D/venc]]="-","Enviado",IF(Tabela2[[#This Row],[Dt Venc:]]=TODAY(),"Vence Hoje","Vencida")))</f>
        <v>Enviado</v>
      </c>
      <c r="F3490" s="3" t="str">
        <f ca="1">IF(G3490=1,"-",Tabela2[[#This Row],[Dt Venc:]]-TODAY())</f>
        <v>-</v>
      </c>
      <c r="G3490" s="3">
        <v>1</v>
      </c>
      <c r="H3490" s="3"/>
    </row>
    <row r="3491" spans="1:8" hidden="1">
      <c r="A3491" s="3">
        <v>11156</v>
      </c>
      <c r="B3491" s="7" t="s">
        <v>33</v>
      </c>
      <c r="C3491" s="41">
        <v>1728.3</v>
      </c>
      <c r="D3491" s="6">
        <v>45648</v>
      </c>
      <c r="E3491" s="3" t="str">
        <f ca="1">IF(Tabela2[[#This Row],[Dt Venc:]]&gt;TODAY(),"Em Aberto",IF(Tabela2[[#This Row],[D/venc]]="-","Enviado",IF(Tabela2[[#This Row],[Dt Venc:]]=TODAY(),"Vence Hoje","Vencida")))</f>
        <v>Enviado</v>
      </c>
      <c r="F3491" s="3" t="str">
        <f ca="1">IF(G3491=1,"-",Tabela2[[#This Row],[Dt Venc:]]-TODAY())</f>
        <v>-</v>
      </c>
      <c r="G3491" s="3">
        <v>1</v>
      </c>
      <c r="H3491" s="3"/>
    </row>
    <row r="3492" spans="1:8" hidden="1">
      <c r="A3492" s="3">
        <v>36</v>
      </c>
      <c r="B3492" s="7" t="s">
        <v>103</v>
      </c>
      <c r="C3492" s="41">
        <v>583.29999999999995</v>
      </c>
      <c r="D3492" s="6">
        <v>45648</v>
      </c>
      <c r="E3492" s="3" t="str">
        <f ca="1">IF(Tabela2[[#This Row],[Dt Venc:]]&gt;TODAY(),"Em Aberto",IF(Tabela2[[#This Row],[D/venc]]="-","Enviado",IF(Tabela2[[#This Row],[Dt Venc:]]=TODAY(),"Vence Hoje","Vencida")))</f>
        <v>Enviado</v>
      </c>
      <c r="F3492" s="3" t="str">
        <f ca="1">IF(G3492=1,"-",Tabela2[[#This Row],[Dt Venc:]]-TODAY())</f>
        <v>-</v>
      </c>
      <c r="G3492" s="3">
        <v>1</v>
      </c>
      <c r="H3492" s="3"/>
    </row>
    <row r="3493" spans="1:8" hidden="1">
      <c r="A3493" s="3">
        <v>270822</v>
      </c>
      <c r="B3493" s="7" t="s">
        <v>36</v>
      </c>
      <c r="C3493" s="41">
        <v>1835.98</v>
      </c>
      <c r="D3493" s="6">
        <v>45648</v>
      </c>
      <c r="E3493" s="3" t="str">
        <f ca="1">IF(Tabela2[[#This Row],[Dt Venc:]]&gt;TODAY(),"Em Aberto",IF(Tabela2[[#This Row],[D/venc]]="-","Enviado",IF(Tabela2[[#This Row],[Dt Venc:]]=TODAY(),"Vence Hoje","Vencida")))</f>
        <v>Enviado</v>
      </c>
      <c r="F3493" s="3" t="str">
        <f ca="1">IF(G3493=1,"-",Tabela2[[#This Row],[Dt Venc:]]-TODAY())</f>
        <v>-</v>
      </c>
      <c r="G3493" s="3">
        <v>1</v>
      </c>
      <c r="H3493" s="3"/>
    </row>
    <row r="3494" spans="1:8" hidden="1">
      <c r="A3494" s="3">
        <v>329280</v>
      </c>
      <c r="B3494" s="7" t="s">
        <v>261</v>
      </c>
      <c r="C3494" s="41">
        <v>463.33</v>
      </c>
      <c r="D3494" s="6">
        <v>45648</v>
      </c>
      <c r="E3494" s="3" t="str">
        <f ca="1">IF(Tabela2[[#This Row],[Dt Venc:]]&gt;TODAY(),"Em Aberto",IF(Tabela2[[#This Row],[D/venc]]="-","Enviado",IF(Tabela2[[#This Row],[Dt Venc:]]=TODAY(),"Vence Hoje","Vencida")))</f>
        <v>Enviado</v>
      </c>
      <c r="F3494" s="3" t="str">
        <f ca="1">IF(G3494=1,"-",Tabela2[[#This Row],[Dt Venc:]]-TODAY())</f>
        <v>-</v>
      </c>
      <c r="G3494" s="3">
        <v>1</v>
      </c>
      <c r="H3494" s="3"/>
    </row>
    <row r="3495" spans="1:8" hidden="1">
      <c r="A3495" s="3">
        <v>134871</v>
      </c>
      <c r="B3495" s="7" t="s">
        <v>89</v>
      </c>
      <c r="C3495" s="41">
        <v>1264.82</v>
      </c>
      <c r="D3495" s="6">
        <v>45648</v>
      </c>
      <c r="E3495" s="3" t="str">
        <f ca="1">IF(Tabela2[[#This Row],[Dt Venc:]]&gt;TODAY(),"Em Aberto",IF(Tabela2[[#This Row],[D/venc]]="-","Enviado",IF(Tabela2[[#This Row],[Dt Venc:]]=TODAY(),"Vence Hoje","Vencida")))</f>
        <v>Enviado</v>
      </c>
      <c r="F3495" s="3" t="str">
        <f ca="1">IF(G3495=1,"-",Tabela2[[#This Row],[Dt Venc:]]-TODAY())</f>
        <v>-</v>
      </c>
      <c r="G3495" s="3">
        <v>1</v>
      </c>
      <c r="H3495" s="3"/>
    </row>
    <row r="3496" spans="1:8" hidden="1">
      <c r="A3496" s="3">
        <v>134870</v>
      </c>
      <c r="B3496" s="7" t="s">
        <v>89</v>
      </c>
      <c r="C3496" s="41">
        <v>1067.49</v>
      </c>
      <c r="D3496" s="6">
        <v>45648</v>
      </c>
      <c r="E3496" s="3" t="str">
        <f ca="1">IF(Tabela2[[#This Row],[Dt Venc:]]&gt;TODAY(),"Em Aberto",IF(Tabela2[[#This Row],[D/venc]]="-","Enviado",IF(Tabela2[[#This Row],[Dt Venc:]]=TODAY(),"Vence Hoje","Vencida")))</f>
        <v>Enviado</v>
      </c>
      <c r="F3496" s="3" t="str">
        <f ca="1">IF(G3496=1,"-",Tabela2[[#This Row],[Dt Venc:]]-TODAY())</f>
        <v>-</v>
      </c>
      <c r="G3496" s="3">
        <v>1</v>
      </c>
      <c r="H3496" s="3"/>
    </row>
    <row r="3497" spans="1:8" hidden="1">
      <c r="A3497" s="3">
        <v>60790</v>
      </c>
      <c r="B3497" s="7" t="s">
        <v>435</v>
      </c>
      <c r="C3497" s="41">
        <v>531.5</v>
      </c>
      <c r="D3497" s="6">
        <v>45648</v>
      </c>
      <c r="E3497" s="3" t="str">
        <f ca="1">IF(Tabela2[[#This Row],[Dt Venc:]]&gt;TODAY(),"Em Aberto",IF(Tabela2[[#This Row],[D/venc]]="-","Enviado",IF(Tabela2[[#This Row],[Dt Venc:]]=TODAY(),"Vence Hoje","Vencida")))</f>
        <v>Enviado</v>
      </c>
      <c r="F3497" s="3" t="str">
        <f ca="1">IF(G3497=1,"-",Tabela2[[#This Row],[Dt Venc:]]-TODAY())</f>
        <v>-</v>
      </c>
      <c r="G3497" s="3">
        <v>1</v>
      </c>
      <c r="H3497" s="3"/>
    </row>
    <row r="3498" spans="1:8" hidden="1">
      <c r="A3498" s="3">
        <v>6083</v>
      </c>
      <c r="B3498" s="7" t="s">
        <v>140</v>
      </c>
      <c r="C3498" s="41">
        <v>429.33</v>
      </c>
      <c r="D3498" s="6">
        <v>45648</v>
      </c>
      <c r="E3498" s="3" t="str">
        <f ca="1">IF(Tabela2[[#This Row],[Dt Venc:]]&gt;TODAY(),"Em Aberto",IF(Tabela2[[#This Row],[D/venc]]="-","Enviado",IF(Tabela2[[#This Row],[Dt Venc:]]=TODAY(),"Vence Hoje","Vencida")))</f>
        <v>Enviado</v>
      </c>
      <c r="F3498" s="3" t="str">
        <f ca="1">IF(G3498=1,"-",Tabela2[[#This Row],[Dt Venc:]]-TODAY())</f>
        <v>-</v>
      </c>
      <c r="G3498" s="3">
        <v>1</v>
      </c>
      <c r="H3498" s="3"/>
    </row>
    <row r="3499" spans="1:8" hidden="1">
      <c r="A3499" s="3">
        <v>446920</v>
      </c>
      <c r="B3499" s="7" t="s">
        <v>512</v>
      </c>
      <c r="C3499" s="41">
        <v>690.55</v>
      </c>
      <c r="D3499" s="6">
        <v>45648</v>
      </c>
      <c r="E3499" s="3" t="str">
        <f ca="1">IF(Tabela2[[#This Row],[Dt Venc:]]&gt;TODAY(),"Em Aberto",IF(Tabela2[[#This Row],[D/venc]]="-","Enviado",IF(Tabela2[[#This Row],[Dt Venc:]]=TODAY(),"Vence Hoje","Vencida")))</f>
        <v>Enviado</v>
      </c>
      <c r="F3499" s="3" t="str">
        <f ca="1">IF(G3499=1,"-",Tabela2[[#This Row],[Dt Venc:]]-TODAY())</f>
        <v>-</v>
      </c>
      <c r="G3499" s="3">
        <v>1</v>
      </c>
      <c r="H3499" s="3"/>
    </row>
    <row r="3500" spans="1:8" hidden="1">
      <c r="A3500" s="3">
        <v>3322039</v>
      </c>
      <c r="B3500" s="7" t="s">
        <v>71</v>
      </c>
      <c r="C3500" s="41">
        <v>55745</v>
      </c>
      <c r="D3500" s="6">
        <v>45648</v>
      </c>
      <c r="E3500" s="3" t="str">
        <f ca="1">IF(Tabela2[[#This Row],[Dt Venc:]]&gt;TODAY(),"Em Aberto",IF(Tabela2[[#This Row],[D/venc]]="-","Enviado",IF(Tabela2[[#This Row],[Dt Venc:]]=TODAY(),"Vence Hoje","Vencida")))</f>
        <v>Enviado</v>
      </c>
      <c r="F3500" s="3" t="str">
        <f ca="1">IF(G3500=1,"-",Tabela2[[#This Row],[Dt Venc:]]-TODAY())</f>
        <v>-</v>
      </c>
      <c r="G3500" s="3">
        <v>1</v>
      </c>
      <c r="H3500" s="3"/>
    </row>
    <row r="3501" spans="1:8" hidden="1">
      <c r="A3501" s="3" t="s">
        <v>110</v>
      </c>
      <c r="B3501" s="7" t="s">
        <v>323</v>
      </c>
      <c r="C3501" s="42" t="s">
        <v>32</v>
      </c>
      <c r="D3501" s="6">
        <v>45648</v>
      </c>
      <c r="E3501" s="3" t="str">
        <f ca="1">IF(Tabela2[[#This Row],[Dt Venc:]]&gt;TODAY(),"Em Aberto",IF(Tabela2[[#This Row],[D/venc]]="-","Enviado",IF(Tabela2[[#This Row],[Dt Venc:]]=TODAY(),"Vence Hoje","Vencida")))</f>
        <v>Enviado</v>
      </c>
      <c r="F3501" s="3" t="str">
        <f ca="1">IF(G3501=1,"-",Tabela2[[#This Row],[Dt Venc:]]-TODAY())</f>
        <v>-</v>
      </c>
      <c r="G3501" s="3">
        <v>1</v>
      </c>
      <c r="H3501" s="3"/>
    </row>
    <row r="3502" spans="1:8" hidden="1">
      <c r="A3502" s="3" t="s">
        <v>110</v>
      </c>
      <c r="B3502" s="7" t="s">
        <v>330</v>
      </c>
      <c r="C3502" s="42" t="s">
        <v>32</v>
      </c>
      <c r="D3502" s="6">
        <v>45648</v>
      </c>
      <c r="E3502" s="3" t="str">
        <f ca="1">IF(Tabela2[[#This Row],[Dt Venc:]]&gt;TODAY(),"Em Aberto",IF(Tabela2[[#This Row],[D/venc]]="-","Enviado",IF(Tabela2[[#This Row],[Dt Venc:]]=TODAY(),"Vence Hoje","Vencida")))</f>
        <v>Enviado</v>
      </c>
      <c r="F3502" s="3" t="str">
        <f ca="1">IF(G3502=1,"-",Tabela2[[#This Row],[Dt Venc:]]-TODAY())</f>
        <v>-</v>
      </c>
      <c r="G3502" s="3">
        <v>1</v>
      </c>
      <c r="H3502" s="3"/>
    </row>
    <row r="3503" spans="1:8" hidden="1">
      <c r="A3503" s="3">
        <v>10935</v>
      </c>
      <c r="B3503" s="7" t="s">
        <v>33</v>
      </c>
      <c r="C3503" s="42">
        <v>1651.68</v>
      </c>
      <c r="D3503" s="6">
        <v>45649</v>
      </c>
      <c r="E3503" s="3" t="str">
        <f ca="1">IF(Tabela2[[#This Row],[Dt Venc:]]&gt;TODAY(),"Em Aberto",IF(Tabela2[[#This Row],[D/venc]]="-","Enviado",IF(Tabela2[[#This Row],[Dt Venc:]]=TODAY(),"Vence Hoje","Vencida")))</f>
        <v>Enviado</v>
      </c>
      <c r="F3503" s="3" t="str">
        <f ca="1">IF(G3503=1,"-",Tabela2[[#This Row],[Dt Venc:]]-TODAY())</f>
        <v>-</v>
      </c>
      <c r="G3503" s="3">
        <v>1</v>
      </c>
      <c r="H3503" s="3"/>
    </row>
    <row r="3504" spans="1:8" hidden="1">
      <c r="A3504" s="3">
        <v>11062</v>
      </c>
      <c r="B3504" s="7" t="s">
        <v>33</v>
      </c>
      <c r="C3504" s="41">
        <v>800</v>
      </c>
      <c r="D3504" s="6">
        <v>45649</v>
      </c>
      <c r="E3504" s="3" t="str">
        <f ca="1">IF(Tabela2[[#This Row],[Dt Venc:]]&gt;TODAY(),"Em Aberto",IF(Tabela2[[#This Row],[D/venc]]="-","Enviado",IF(Tabela2[[#This Row],[Dt Venc:]]=TODAY(),"Vence Hoje","Vencida")))</f>
        <v>Enviado</v>
      </c>
      <c r="F3504" s="3" t="str">
        <f ca="1">IF(G3504=1,"-",Tabela2[[#This Row],[Dt Venc:]]-TODAY())</f>
        <v>-</v>
      </c>
      <c r="G3504" s="3">
        <v>1</v>
      </c>
      <c r="H3504" s="3"/>
    </row>
    <row r="3505" spans="1:8" hidden="1">
      <c r="A3505" s="3">
        <v>5048</v>
      </c>
      <c r="B3505" s="7" t="s">
        <v>463</v>
      </c>
      <c r="C3505" s="41">
        <v>1812.4</v>
      </c>
      <c r="D3505" s="6">
        <v>45649</v>
      </c>
      <c r="E3505" s="3" t="str">
        <f ca="1">IF(Tabela2[[#This Row],[Dt Venc:]]&gt;TODAY(),"Em Aberto",IF(Tabela2[[#This Row],[D/venc]]="-","Enviado",IF(Tabela2[[#This Row],[Dt Venc:]]=TODAY(),"Vence Hoje","Vencida")))</f>
        <v>Enviado</v>
      </c>
      <c r="F3505" s="3" t="str">
        <f ca="1">IF(G3505=1,"-",Tabela2[[#This Row],[Dt Venc:]]-TODAY())</f>
        <v>-</v>
      </c>
      <c r="G3505" s="3">
        <v>1</v>
      </c>
      <c r="H3505" s="3"/>
    </row>
    <row r="3506" spans="1:8" hidden="1">
      <c r="A3506" s="3">
        <v>4555647</v>
      </c>
      <c r="B3506" s="7" t="s">
        <v>90</v>
      </c>
      <c r="C3506" s="41">
        <v>642.5</v>
      </c>
      <c r="D3506" s="6">
        <v>45649</v>
      </c>
      <c r="E3506" s="3" t="str">
        <f ca="1">IF(Tabela2[[#This Row],[Dt Venc:]]&gt;TODAY(),"Em Aberto",IF(Tabela2[[#This Row],[D/venc]]="-","Enviado",IF(Tabela2[[#This Row],[Dt Venc:]]=TODAY(),"Vence Hoje","Vencida")))</f>
        <v>Enviado</v>
      </c>
      <c r="F3506" s="3" t="str">
        <f ca="1">IF(G3506=1,"-",Tabela2[[#This Row],[Dt Venc:]]-TODAY())</f>
        <v>-</v>
      </c>
      <c r="G3506" s="3">
        <v>1</v>
      </c>
      <c r="H3506" s="3"/>
    </row>
    <row r="3507" spans="1:8" hidden="1">
      <c r="A3507" s="3">
        <v>303015</v>
      </c>
      <c r="B3507" s="7" t="s">
        <v>53</v>
      </c>
      <c r="C3507" s="41">
        <v>1117.45</v>
      </c>
      <c r="D3507" s="6">
        <v>45649</v>
      </c>
      <c r="E3507" s="3" t="str">
        <f ca="1">IF(Tabela2[[#This Row],[Dt Venc:]]&gt;TODAY(),"Em Aberto",IF(Tabela2[[#This Row],[D/venc]]="-","Enviado",IF(Tabela2[[#This Row],[Dt Venc:]]=TODAY(),"Vence Hoje","Vencida")))</f>
        <v>Enviado</v>
      </c>
      <c r="F3507" s="3" t="str">
        <f ca="1">IF(G3507=1,"-",Tabela2[[#This Row],[Dt Venc:]]-TODAY())</f>
        <v>-</v>
      </c>
      <c r="G3507" s="3">
        <v>1</v>
      </c>
      <c r="H3507" s="3"/>
    </row>
    <row r="3508" spans="1:8" hidden="1">
      <c r="A3508" s="3">
        <v>303023</v>
      </c>
      <c r="B3508" s="7" t="s">
        <v>53</v>
      </c>
      <c r="C3508" s="41">
        <v>576.25</v>
      </c>
      <c r="D3508" s="6">
        <v>45649</v>
      </c>
      <c r="E3508" s="3" t="str">
        <f ca="1">IF(Tabela2[[#This Row],[Dt Venc:]]&gt;TODAY(),"Em Aberto",IF(Tabela2[[#This Row],[D/venc]]="-","Enviado",IF(Tabela2[[#This Row],[Dt Venc:]]=TODAY(),"Vence Hoje","Vencida")))</f>
        <v>Enviado</v>
      </c>
      <c r="F3508" s="3" t="str">
        <f ca="1">IF(G3508=1,"-",Tabela2[[#This Row],[Dt Venc:]]-TODAY())</f>
        <v>-</v>
      </c>
      <c r="G3508" s="3">
        <v>1</v>
      </c>
      <c r="H3508" s="3"/>
    </row>
    <row r="3509" spans="1:8" hidden="1">
      <c r="A3509" s="3">
        <v>1121</v>
      </c>
      <c r="B3509" s="7" t="s">
        <v>155</v>
      </c>
      <c r="C3509" s="41">
        <v>12950</v>
      </c>
      <c r="D3509" s="6">
        <v>45649</v>
      </c>
      <c r="E3509" s="3" t="str">
        <f ca="1">IF(Tabela2[[#This Row],[Dt Venc:]]&gt;TODAY(),"Em Aberto",IF(Tabela2[[#This Row],[D/venc]]="-","Enviado",IF(Tabela2[[#This Row],[Dt Venc:]]=TODAY(),"Vence Hoje","Vencida")))</f>
        <v>Enviado</v>
      </c>
      <c r="F3509" s="3" t="str">
        <f ca="1">IF(G3509=1,"-",Tabela2[[#This Row],[Dt Venc:]]-TODAY())</f>
        <v>-</v>
      </c>
      <c r="G3509" s="3">
        <v>1</v>
      </c>
      <c r="H3509" s="3"/>
    </row>
    <row r="3510" spans="1:8" hidden="1">
      <c r="A3510" s="3">
        <v>271681</v>
      </c>
      <c r="B3510" s="7" t="s">
        <v>558</v>
      </c>
      <c r="C3510" s="41">
        <v>706</v>
      </c>
      <c r="D3510" s="6">
        <v>45649</v>
      </c>
      <c r="E3510" s="3" t="str">
        <f ca="1">IF(Tabela2[[#This Row],[Dt Venc:]]&gt;TODAY(),"Em Aberto",IF(Tabela2[[#This Row],[D/venc]]="-","Enviado",IF(Tabela2[[#This Row],[Dt Venc:]]=TODAY(),"Vence Hoje","Vencida")))</f>
        <v>Enviado</v>
      </c>
      <c r="F3510" s="3" t="str">
        <f ca="1">IF(G3510=1,"-",Tabela2[[#This Row],[Dt Venc:]]-TODAY())</f>
        <v>-</v>
      </c>
      <c r="G3510" s="3">
        <v>1</v>
      </c>
      <c r="H3510" s="3"/>
    </row>
    <row r="3511" spans="1:8" hidden="1">
      <c r="A3511" s="3">
        <v>46527</v>
      </c>
      <c r="B3511" s="7" t="s">
        <v>144</v>
      </c>
      <c r="C3511" s="41">
        <v>1860</v>
      </c>
      <c r="D3511" s="6">
        <v>45649</v>
      </c>
      <c r="E3511" s="3" t="str">
        <f ca="1">IF(Tabela2[[#This Row],[Dt Venc:]]&gt;TODAY(),"Em Aberto",IF(Tabela2[[#This Row],[D/venc]]="-","Enviado",IF(Tabela2[[#This Row],[Dt Venc:]]=TODAY(),"Vence Hoje","Vencida")))</f>
        <v>Enviado</v>
      </c>
      <c r="F3511" s="3" t="str">
        <f ca="1">IF(G3511=1,"-",Tabela2[[#This Row],[Dt Venc:]]-TODAY())</f>
        <v>-</v>
      </c>
      <c r="G3511" s="3">
        <v>1</v>
      </c>
      <c r="H3511" s="3"/>
    </row>
    <row r="3512" spans="1:8" hidden="1">
      <c r="A3512" s="3">
        <v>257767</v>
      </c>
      <c r="B3512" s="7" t="s">
        <v>49</v>
      </c>
      <c r="C3512" s="41">
        <v>1030</v>
      </c>
      <c r="D3512" s="6">
        <v>45649</v>
      </c>
      <c r="E3512" s="3" t="str">
        <f ca="1">IF(Tabela2[[#This Row],[Dt Venc:]]&gt;TODAY(),"Em Aberto",IF(Tabela2[[#This Row],[D/venc]]="-","Enviado",IF(Tabela2[[#This Row],[Dt Venc:]]=TODAY(),"Vence Hoje","Vencida")))</f>
        <v>Enviado</v>
      </c>
      <c r="F3512" s="3" t="str">
        <f ca="1">IF(G3512=1,"-",Tabela2[[#This Row],[Dt Venc:]]-TODAY())</f>
        <v>-</v>
      </c>
      <c r="G3512" s="3">
        <v>1</v>
      </c>
      <c r="H3512" s="3"/>
    </row>
    <row r="3513" spans="1:8" hidden="1">
      <c r="A3513" s="3">
        <v>2750</v>
      </c>
      <c r="B3513" s="7" t="s">
        <v>58</v>
      </c>
      <c r="C3513" s="42">
        <v>616.66999999999996</v>
      </c>
      <c r="D3513" s="6">
        <v>45649</v>
      </c>
      <c r="E3513" s="3" t="str">
        <f ca="1">IF(Tabela2[[#This Row],[Dt Venc:]]&gt;TODAY(),"Em Aberto",IF(Tabela2[[#This Row],[D/venc]]="-","Enviado",IF(Tabela2[[#This Row],[Dt Venc:]]=TODAY(),"Vence Hoje","Vencida")))</f>
        <v>Enviado</v>
      </c>
      <c r="F3513" s="3" t="str">
        <f ca="1">IF(G3513=1,"-",Tabela2[[#This Row],[Dt Venc:]]-TODAY())</f>
        <v>-</v>
      </c>
      <c r="G3513" s="3">
        <v>1</v>
      </c>
      <c r="H3513" s="3"/>
    </row>
    <row r="3514" spans="1:8" hidden="1">
      <c r="A3514" s="3">
        <v>80447</v>
      </c>
      <c r="B3514" s="7" t="s">
        <v>39</v>
      </c>
      <c r="C3514" s="42">
        <v>579.16999999999996</v>
      </c>
      <c r="D3514" s="6">
        <v>45649</v>
      </c>
      <c r="E3514" s="3" t="str">
        <f ca="1">IF(Tabela2[[#This Row],[Dt Venc:]]&gt;TODAY(),"Em Aberto",IF(Tabela2[[#This Row],[D/venc]]="-","Enviado",IF(Tabela2[[#This Row],[Dt Venc:]]=TODAY(),"Vence Hoje","Vencida")))</f>
        <v>Enviado</v>
      </c>
      <c r="F3514" s="3" t="str">
        <f ca="1">IF(G3514=1,"-",Tabela2[[#This Row],[Dt Venc:]]-TODAY())</f>
        <v>-</v>
      </c>
      <c r="G3514" s="3">
        <v>1</v>
      </c>
      <c r="H3514" s="3"/>
    </row>
    <row r="3515" spans="1:8" hidden="1">
      <c r="A3515" s="3">
        <v>80449</v>
      </c>
      <c r="B3515" s="7" t="s">
        <v>39</v>
      </c>
      <c r="C3515" s="42">
        <v>656.01</v>
      </c>
      <c r="D3515" s="6">
        <v>45649</v>
      </c>
      <c r="E3515" s="3" t="str">
        <f ca="1">IF(Tabela2[[#This Row],[Dt Venc:]]&gt;TODAY(),"Em Aberto",IF(Tabela2[[#This Row],[D/venc]]="-","Enviado",IF(Tabela2[[#This Row],[Dt Venc:]]=TODAY(),"Vence Hoje","Vencida")))</f>
        <v>Enviado</v>
      </c>
      <c r="F3515" s="3" t="str">
        <f ca="1">IF(G3515=1,"-",Tabela2[[#This Row],[Dt Venc:]]-TODAY())</f>
        <v>-</v>
      </c>
      <c r="G3515" s="3">
        <v>1</v>
      </c>
      <c r="H3515" s="3"/>
    </row>
    <row r="3516" spans="1:8" hidden="1">
      <c r="A3516" s="3">
        <v>219019</v>
      </c>
      <c r="B3516" s="7" t="s">
        <v>39</v>
      </c>
      <c r="C3516" s="42">
        <v>21465</v>
      </c>
      <c r="D3516" s="6">
        <v>45649</v>
      </c>
      <c r="E3516" s="3" t="str">
        <f ca="1">IF(Tabela2[[#This Row],[Dt Venc:]]&gt;TODAY(),"Em Aberto",IF(Tabela2[[#This Row],[D/venc]]="-","Enviado",IF(Tabela2[[#This Row],[Dt Venc:]]=TODAY(),"Vence Hoje","Vencida")))</f>
        <v>Enviado</v>
      </c>
      <c r="F3516" s="3" t="str">
        <f ca="1">IF(G3516=1,"-",Tabela2[[#This Row],[Dt Venc:]]-TODAY())</f>
        <v>-</v>
      </c>
      <c r="G3516" s="3">
        <v>1</v>
      </c>
      <c r="H3516" s="3"/>
    </row>
    <row r="3517" spans="1:8" hidden="1">
      <c r="A3517" s="3">
        <v>363856</v>
      </c>
      <c r="B3517" s="7" t="s">
        <v>39</v>
      </c>
      <c r="C3517" s="42">
        <v>290.41000000000003</v>
      </c>
      <c r="D3517" s="6">
        <v>45649</v>
      </c>
      <c r="E3517" s="3" t="str">
        <f ca="1">IF(Tabela2[[#This Row],[Dt Venc:]]&gt;TODAY(),"Em Aberto",IF(Tabela2[[#This Row],[D/venc]]="-","Enviado",IF(Tabela2[[#This Row],[Dt Venc:]]=TODAY(),"Vence Hoje","Vencida")))</f>
        <v>Enviado</v>
      </c>
      <c r="F3517" s="3" t="str">
        <f ca="1">IF(G3517=1,"-",Tabela2[[#This Row],[Dt Venc:]]-TODAY())</f>
        <v>-</v>
      </c>
      <c r="G3517" s="3">
        <v>1</v>
      </c>
      <c r="H3517" s="3"/>
    </row>
    <row r="3518" spans="1:8" hidden="1">
      <c r="A3518" s="3">
        <v>363861</v>
      </c>
      <c r="B3518" s="7" t="s">
        <v>39</v>
      </c>
      <c r="C3518" s="42">
        <v>361.07</v>
      </c>
      <c r="D3518" s="6">
        <v>45649</v>
      </c>
      <c r="E3518" s="3" t="str">
        <f ca="1">IF(Tabela2[[#This Row],[Dt Venc:]]&gt;TODAY(),"Em Aberto",IF(Tabela2[[#This Row],[D/venc]]="-","Enviado",IF(Tabela2[[#This Row],[Dt Venc:]]=TODAY(),"Vence Hoje","Vencida")))</f>
        <v>Enviado</v>
      </c>
      <c r="F3518" s="3" t="str">
        <f ca="1">IF(G3518=1,"-",Tabela2[[#This Row],[Dt Venc:]]-TODAY())</f>
        <v>-</v>
      </c>
      <c r="G3518" s="3">
        <v>1</v>
      </c>
      <c r="H3518" s="3"/>
    </row>
    <row r="3519" spans="1:8" hidden="1">
      <c r="A3519" s="3">
        <v>371022</v>
      </c>
      <c r="B3519" s="7" t="s">
        <v>39</v>
      </c>
      <c r="C3519" s="41">
        <v>1295.69</v>
      </c>
      <c r="D3519" s="6">
        <v>45649</v>
      </c>
      <c r="E3519" s="3" t="str">
        <f ca="1">IF(Tabela2[[#This Row],[Dt Venc:]]&gt;TODAY(),"Em Aberto",IF(Tabela2[[#This Row],[D/venc]]="-","Enviado",IF(Tabela2[[#This Row],[Dt Venc:]]=TODAY(),"Vence Hoje","Vencida")))</f>
        <v>Enviado</v>
      </c>
      <c r="F3519" s="3" t="str">
        <f ca="1">IF(G3519=1,"-",Tabela2[[#This Row],[Dt Venc:]]-TODAY())</f>
        <v>-</v>
      </c>
      <c r="G3519" s="3">
        <v>1</v>
      </c>
      <c r="H3519" s="3"/>
    </row>
    <row r="3520" spans="1:8" hidden="1">
      <c r="A3520" s="3">
        <v>373075</v>
      </c>
      <c r="B3520" s="7" t="s">
        <v>187</v>
      </c>
      <c r="C3520" s="41">
        <v>321.56</v>
      </c>
      <c r="D3520" s="6">
        <v>45649</v>
      </c>
      <c r="E3520" s="3" t="str">
        <f ca="1">IF(Tabela2[[#This Row],[Dt Venc:]]&gt;TODAY(),"Em Aberto",IF(Tabela2[[#This Row],[D/venc]]="-","Enviado",IF(Tabela2[[#This Row],[Dt Venc:]]=TODAY(),"Vence Hoje","Vencida")))</f>
        <v>Enviado</v>
      </c>
      <c r="F3520" s="3" t="str">
        <f ca="1">IF(G3520=1,"-",Tabela2[[#This Row],[Dt Venc:]]-TODAY())</f>
        <v>-</v>
      </c>
      <c r="G3520" s="3">
        <v>1</v>
      </c>
      <c r="H3520" s="3"/>
    </row>
    <row r="3521" spans="1:8" hidden="1">
      <c r="A3521" s="3">
        <v>220505</v>
      </c>
      <c r="B3521" s="7" t="s">
        <v>80</v>
      </c>
      <c r="C3521" s="42">
        <v>21465</v>
      </c>
      <c r="D3521" s="6">
        <v>45649</v>
      </c>
      <c r="E3521" s="3" t="str">
        <f ca="1">IF(Tabela2[[#This Row],[Dt Venc:]]&gt;TODAY(),"Em Aberto",IF(Tabela2[[#This Row],[D/venc]]="-","Enviado",IF(Tabela2[[#This Row],[Dt Venc:]]=TODAY(),"Vence Hoje","Vencida")))</f>
        <v>Enviado</v>
      </c>
      <c r="F3521" s="3" t="str">
        <f ca="1">IF(G3521=1,"-",Tabela2[[#This Row],[Dt Venc:]]-TODAY())</f>
        <v>-</v>
      </c>
      <c r="G3521" s="3">
        <v>1</v>
      </c>
      <c r="H3521" s="3"/>
    </row>
    <row r="3522" spans="1:8" hidden="1">
      <c r="A3522" s="3">
        <v>370239</v>
      </c>
      <c r="B3522" s="7" t="s">
        <v>371</v>
      </c>
      <c r="C3522" s="42">
        <v>611.33000000000004</v>
      </c>
      <c r="D3522" s="6">
        <v>45649</v>
      </c>
      <c r="E3522" s="3" t="str">
        <f ca="1">IF(Tabela2[[#This Row],[Dt Venc:]]&gt;TODAY(),"Em Aberto",IF(Tabela2[[#This Row],[D/venc]]="-","Enviado",IF(Tabela2[[#This Row],[Dt Venc:]]=TODAY(),"Vence Hoje","Vencida")))</f>
        <v>Enviado</v>
      </c>
      <c r="F3522" s="3" t="str">
        <f ca="1">IF(G3522=1,"-",Tabela2[[#This Row],[Dt Venc:]]-TODAY())</f>
        <v>-</v>
      </c>
      <c r="G3522" s="3">
        <v>1</v>
      </c>
      <c r="H3522" s="3"/>
    </row>
    <row r="3523" spans="1:8" hidden="1">
      <c r="A3523" s="3">
        <v>135427</v>
      </c>
      <c r="B3523" s="7" t="s">
        <v>127</v>
      </c>
      <c r="C3523" s="42">
        <v>956.67</v>
      </c>
      <c r="D3523" s="6">
        <v>45649</v>
      </c>
      <c r="E3523" s="3" t="str">
        <f ca="1">IF(Tabela2[[#This Row],[Dt Venc:]]&gt;TODAY(),"Em Aberto",IF(Tabela2[[#This Row],[D/venc]]="-","Enviado",IF(Tabela2[[#This Row],[Dt Venc:]]=TODAY(),"Vence Hoje","Vencida")))</f>
        <v>Enviado</v>
      </c>
      <c r="F3523" s="3" t="str">
        <f ca="1">IF(G3523=1,"-",Tabela2[[#This Row],[Dt Venc:]]-TODAY())</f>
        <v>-</v>
      </c>
      <c r="G3523" s="3">
        <v>1</v>
      </c>
      <c r="H3523" s="3"/>
    </row>
    <row r="3524" spans="1:8" hidden="1">
      <c r="A3524" s="3">
        <v>754751</v>
      </c>
      <c r="B3524" s="7" t="s">
        <v>127</v>
      </c>
      <c r="C3524" s="42">
        <v>482.75</v>
      </c>
      <c r="D3524" s="6">
        <v>45649</v>
      </c>
      <c r="E3524" s="3" t="str">
        <f ca="1">IF(Tabela2[[#This Row],[Dt Venc:]]&gt;TODAY(),"Em Aberto",IF(Tabela2[[#This Row],[D/venc]]="-","Enviado",IF(Tabela2[[#This Row],[Dt Venc:]]=TODAY(),"Vence Hoje","Vencida")))</f>
        <v>Enviado</v>
      </c>
      <c r="F3524" s="3" t="str">
        <f ca="1">IF(G3524=1,"-",Tabela2[[#This Row],[Dt Venc:]]-TODAY())</f>
        <v>-</v>
      </c>
      <c r="G3524" s="3">
        <v>1</v>
      </c>
      <c r="H3524" s="3"/>
    </row>
    <row r="3525" spans="1:8" hidden="1">
      <c r="A3525" s="3">
        <v>135426</v>
      </c>
      <c r="B3525" s="7" t="s">
        <v>127</v>
      </c>
      <c r="C3525" s="42">
        <v>956.67</v>
      </c>
      <c r="D3525" s="6">
        <v>45649</v>
      </c>
      <c r="E3525" s="3" t="str">
        <f ca="1">IF(Tabela2[[#This Row],[Dt Venc:]]&gt;TODAY(),"Em Aberto",IF(Tabela2[[#This Row],[D/venc]]="-","Enviado",IF(Tabela2[[#This Row],[Dt Venc:]]=TODAY(),"Vence Hoje","Vencida")))</f>
        <v>Enviado</v>
      </c>
      <c r="F3525" s="3" t="str">
        <f ca="1">IF(G3525=1,"-",Tabela2[[#This Row],[Dt Venc:]]-TODAY())</f>
        <v>-</v>
      </c>
      <c r="G3525" s="3">
        <v>1</v>
      </c>
      <c r="H3525" s="3"/>
    </row>
    <row r="3526" spans="1:8" hidden="1">
      <c r="A3526" s="3">
        <v>754749</v>
      </c>
      <c r="B3526" s="7" t="s">
        <v>127</v>
      </c>
      <c r="C3526" s="42">
        <v>482.72</v>
      </c>
      <c r="D3526" s="6">
        <v>45649</v>
      </c>
      <c r="E3526" s="3" t="str">
        <f ca="1">IF(Tabela2[[#This Row],[Dt Venc:]]&gt;TODAY(),"Em Aberto",IF(Tabela2[[#This Row],[D/venc]]="-","Enviado",IF(Tabela2[[#This Row],[Dt Venc:]]=TODAY(),"Vence Hoje","Vencida")))</f>
        <v>Enviado</v>
      </c>
      <c r="F3526" s="3" t="str">
        <f ca="1">IF(G3526=1,"-",Tabela2[[#This Row],[Dt Venc:]]-TODAY())</f>
        <v>-</v>
      </c>
      <c r="G3526" s="3">
        <v>1</v>
      </c>
      <c r="H3526" s="3"/>
    </row>
    <row r="3527" spans="1:8" hidden="1">
      <c r="A3527" s="3">
        <v>1540</v>
      </c>
      <c r="B3527" s="7" t="s">
        <v>78</v>
      </c>
      <c r="C3527" s="42">
        <v>644.79999999999995</v>
      </c>
      <c r="D3527" s="6">
        <v>45649</v>
      </c>
      <c r="E3527" s="3" t="str">
        <f ca="1">IF(Tabela2[[#This Row],[Dt Venc:]]&gt;TODAY(),"Em Aberto",IF(Tabela2[[#This Row],[D/venc]]="-","Enviado",IF(Tabela2[[#This Row],[Dt Venc:]]=TODAY(),"Vence Hoje","Vencida")))</f>
        <v>Enviado</v>
      </c>
      <c r="F3527" s="3" t="str">
        <f ca="1">IF(G3527=1,"-",Tabela2[[#This Row],[Dt Venc:]]-TODAY())</f>
        <v>-</v>
      </c>
      <c r="G3527" s="3">
        <v>1</v>
      </c>
      <c r="H3527" s="3"/>
    </row>
    <row r="3528" spans="1:8" hidden="1">
      <c r="A3528" s="3">
        <v>43</v>
      </c>
      <c r="B3528" s="7" t="s">
        <v>132</v>
      </c>
      <c r="C3528" s="42">
        <v>3983.33</v>
      </c>
      <c r="D3528" s="6">
        <v>45649</v>
      </c>
      <c r="E3528" s="3" t="str">
        <f ca="1">IF(Tabela2[[#This Row],[Dt Venc:]]&gt;TODAY(),"Em Aberto",IF(Tabela2[[#This Row],[D/venc]]="-","Enviado",IF(Tabela2[[#This Row],[Dt Venc:]]=TODAY(),"Vence Hoje","Vencida")))</f>
        <v>Enviado</v>
      </c>
      <c r="F3528" s="3" t="str">
        <f ca="1">IF(G3528=1,"-",Tabela2[[#This Row],[Dt Venc:]]-TODAY())</f>
        <v>-</v>
      </c>
      <c r="G3528" s="3">
        <v>1</v>
      </c>
      <c r="H3528" s="3"/>
    </row>
    <row r="3529" spans="1:8" hidden="1">
      <c r="A3529" s="3">
        <v>30058</v>
      </c>
      <c r="B3529" s="7" t="s">
        <v>97</v>
      </c>
      <c r="C3529" s="42">
        <v>4765</v>
      </c>
      <c r="D3529" s="6">
        <v>45649</v>
      </c>
      <c r="E3529" s="3" t="str">
        <f ca="1">IF(Tabela2[[#This Row],[Dt Venc:]]&gt;TODAY(),"Em Aberto",IF(Tabela2[[#This Row],[D/venc]]="-","Enviado",IF(Tabela2[[#This Row],[Dt Venc:]]=TODAY(),"Vence Hoje","Vencida")))</f>
        <v>Enviado</v>
      </c>
      <c r="F3529" s="3" t="str">
        <f ca="1">IF(G3529=1,"-",Tabela2[[#This Row],[Dt Venc:]]-TODAY())</f>
        <v>-</v>
      </c>
      <c r="G3529" s="3">
        <v>1</v>
      </c>
      <c r="H3529" s="3"/>
    </row>
    <row r="3530" spans="1:8" hidden="1">
      <c r="A3530" s="3">
        <v>72361</v>
      </c>
      <c r="B3530" s="7" t="s">
        <v>76</v>
      </c>
      <c r="C3530" s="41">
        <v>628.73</v>
      </c>
      <c r="D3530" s="6">
        <v>45649</v>
      </c>
      <c r="E3530" s="3" t="str">
        <f ca="1">IF(Tabela2[[#This Row],[Dt Venc:]]&gt;TODAY(),"Em Aberto",IF(Tabela2[[#This Row],[D/venc]]="-","Enviado",IF(Tabela2[[#This Row],[Dt Venc:]]=TODAY(),"Vence Hoje","Vencida")))</f>
        <v>Enviado</v>
      </c>
      <c r="F3530" s="3" t="str">
        <f ca="1">IF(G3530=1,"-",Tabela2[[#This Row],[Dt Venc:]]-TODAY())</f>
        <v>-</v>
      </c>
      <c r="G3530" s="3">
        <v>1</v>
      </c>
      <c r="H3530" s="3"/>
    </row>
    <row r="3531" spans="1:8" hidden="1">
      <c r="A3531" s="3">
        <v>67725</v>
      </c>
      <c r="B3531" s="7" t="s">
        <v>143</v>
      </c>
      <c r="C3531" s="41">
        <v>1191.4000000000001</v>
      </c>
      <c r="D3531" s="6">
        <v>45649</v>
      </c>
      <c r="E3531" s="3" t="str">
        <f ca="1">IF(Tabela2[[#This Row],[Dt Venc:]]&gt;TODAY(),"Em Aberto",IF(Tabela2[[#This Row],[D/venc]]="-","Enviado",IF(Tabela2[[#This Row],[Dt Venc:]]=TODAY(),"Vence Hoje","Vencida")))</f>
        <v>Enviado</v>
      </c>
      <c r="F3531" s="3" t="str">
        <f ca="1">IF(G3531=1,"-",Tabela2[[#This Row],[Dt Venc:]]-TODAY())</f>
        <v>-</v>
      </c>
      <c r="G3531" s="3">
        <v>1</v>
      </c>
      <c r="H3531" s="3"/>
    </row>
    <row r="3532" spans="1:8" hidden="1">
      <c r="A3532" s="3">
        <v>232352</v>
      </c>
      <c r="B3532" s="7" t="s">
        <v>43</v>
      </c>
      <c r="C3532" s="42">
        <v>729.34</v>
      </c>
      <c r="D3532" s="6">
        <v>45649</v>
      </c>
      <c r="E3532" s="3" t="str">
        <f ca="1">IF(Tabela2[[#This Row],[Dt Venc:]]&gt;TODAY(),"Em Aberto",IF(Tabela2[[#This Row],[D/venc]]="-","Enviado",IF(Tabela2[[#This Row],[Dt Venc:]]=TODAY(),"Vence Hoje","Vencida")))</f>
        <v>Enviado</v>
      </c>
      <c r="F3532" s="3" t="str">
        <f ca="1">IF(G3532=1,"-",Tabela2[[#This Row],[Dt Venc:]]-TODAY())</f>
        <v>-</v>
      </c>
      <c r="G3532" s="3">
        <v>1</v>
      </c>
      <c r="H3532" s="3"/>
    </row>
    <row r="3533" spans="1:8" hidden="1">
      <c r="A3533" s="3">
        <v>232585</v>
      </c>
      <c r="B3533" s="7" t="s">
        <v>43</v>
      </c>
      <c r="C3533" s="42">
        <v>833.34</v>
      </c>
      <c r="D3533" s="6">
        <v>45649</v>
      </c>
      <c r="E3533" s="3" t="str">
        <f ca="1">IF(Tabela2[[#This Row],[Dt Venc:]]&gt;TODAY(),"Em Aberto",IF(Tabela2[[#This Row],[D/venc]]="-","Enviado",IF(Tabela2[[#This Row],[Dt Venc:]]=TODAY(),"Vence Hoje","Vencida")))</f>
        <v>Enviado</v>
      </c>
      <c r="F3533" s="3" t="str">
        <f ca="1">IF(G3533=1,"-",Tabela2[[#This Row],[Dt Venc:]]-TODAY())</f>
        <v>-</v>
      </c>
      <c r="G3533" s="3">
        <v>1</v>
      </c>
      <c r="H3533" s="3"/>
    </row>
    <row r="3534" spans="1:8" hidden="1">
      <c r="A3534" s="3">
        <v>1790238</v>
      </c>
      <c r="B3534" s="7" t="s">
        <v>43</v>
      </c>
      <c r="C3534" s="42">
        <v>646.66</v>
      </c>
      <c r="D3534" s="6">
        <v>45649</v>
      </c>
      <c r="E3534" s="3" t="str">
        <f ca="1">IF(Tabela2[[#This Row],[Dt Venc:]]&gt;TODAY(),"Em Aberto",IF(Tabela2[[#This Row],[D/venc]]="-","Enviado",IF(Tabela2[[#This Row],[Dt Venc:]]=TODAY(),"Vence Hoje","Vencida")))</f>
        <v>Enviado</v>
      </c>
      <c r="F3534" s="3" t="str">
        <f ca="1">IF(G3534=1,"-",Tabela2[[#This Row],[Dt Venc:]]-TODAY())</f>
        <v>-</v>
      </c>
      <c r="G3534" s="3">
        <v>1</v>
      </c>
      <c r="H3534" s="3"/>
    </row>
    <row r="3535" spans="1:8" hidden="1">
      <c r="A3535" s="3">
        <v>232210</v>
      </c>
      <c r="B3535" s="7" t="s">
        <v>43</v>
      </c>
      <c r="C3535" s="42">
        <v>1343.1</v>
      </c>
      <c r="D3535" s="6">
        <v>45649</v>
      </c>
      <c r="E3535" s="3" t="str">
        <f ca="1">IF(Tabela2[[#This Row],[Dt Venc:]]&gt;TODAY(),"Em Aberto",IF(Tabela2[[#This Row],[D/venc]]="-","Enviado",IF(Tabela2[[#This Row],[Dt Venc:]]=TODAY(),"Vence Hoje","Vencida")))</f>
        <v>Enviado</v>
      </c>
      <c r="F3535" s="3" t="str">
        <f ca="1">IF(G3535=1,"-",Tabela2[[#This Row],[Dt Venc:]]-TODAY())</f>
        <v>-</v>
      </c>
      <c r="G3535" s="3">
        <v>1</v>
      </c>
      <c r="H3535" s="3"/>
    </row>
    <row r="3536" spans="1:8" hidden="1">
      <c r="A3536" s="3">
        <v>245715</v>
      </c>
      <c r="B3536" s="7" t="s">
        <v>43</v>
      </c>
      <c r="C3536" s="41">
        <v>1452.52</v>
      </c>
      <c r="D3536" s="6">
        <v>45649</v>
      </c>
      <c r="E3536" s="3" t="str">
        <f ca="1">IF(Tabela2[[#This Row],[Dt Venc:]]&gt;TODAY(),"Em Aberto",IF(Tabela2[[#This Row],[D/venc]]="-","Enviado",IF(Tabela2[[#This Row],[Dt Venc:]]=TODAY(),"Vence Hoje","Vencida")))</f>
        <v>Enviado</v>
      </c>
      <c r="F3536" s="3" t="str">
        <f ca="1">IF(G3536=1,"-",Tabela2[[#This Row],[Dt Venc:]]-TODAY())</f>
        <v>-</v>
      </c>
      <c r="G3536" s="3">
        <v>1</v>
      </c>
      <c r="H3536" s="3"/>
    </row>
    <row r="3537" spans="1:8" hidden="1">
      <c r="A3537" s="3">
        <v>1416521</v>
      </c>
      <c r="B3537" s="7" t="s">
        <v>151</v>
      </c>
      <c r="C3537" s="41">
        <v>482.35</v>
      </c>
      <c r="D3537" s="6">
        <v>45649</v>
      </c>
      <c r="E3537" s="3" t="str">
        <f ca="1">IF(Tabela2[[#This Row],[Dt Venc:]]&gt;TODAY(),"Em Aberto",IF(Tabela2[[#This Row],[D/venc]]="-","Enviado",IF(Tabela2[[#This Row],[Dt Venc:]]=TODAY(),"Vence Hoje","Vencida")))</f>
        <v>Enviado</v>
      </c>
      <c r="F3537" s="3" t="str">
        <f ca="1">IF(G3537=1,"-",Tabela2[[#This Row],[Dt Venc:]]-TODAY())</f>
        <v>-</v>
      </c>
      <c r="G3537" s="3">
        <v>1</v>
      </c>
      <c r="H3537" s="3"/>
    </row>
    <row r="3538" spans="1:8" hidden="1">
      <c r="A3538" s="3">
        <v>1416132</v>
      </c>
      <c r="B3538" s="7" t="s">
        <v>151</v>
      </c>
      <c r="C3538" s="41">
        <v>436.28</v>
      </c>
      <c r="D3538" s="6">
        <v>45649</v>
      </c>
      <c r="E3538" s="3" t="str">
        <f ca="1">IF(Tabela2[[#This Row],[Dt Venc:]]&gt;TODAY(),"Em Aberto",IF(Tabela2[[#This Row],[D/venc]]="-","Enviado",IF(Tabela2[[#This Row],[Dt Venc:]]=TODAY(),"Vence Hoje","Vencida")))</f>
        <v>Enviado</v>
      </c>
      <c r="F3538" s="3" t="str">
        <f ca="1">IF(G3538=1,"-",Tabela2[[#This Row],[Dt Venc:]]-TODAY())</f>
        <v>-</v>
      </c>
      <c r="G3538" s="3">
        <v>1</v>
      </c>
      <c r="H3538" s="3"/>
    </row>
    <row r="3539" spans="1:8" hidden="1">
      <c r="A3539" s="3">
        <v>87823</v>
      </c>
      <c r="B3539" s="7" t="s">
        <v>207</v>
      </c>
      <c r="C3539" s="42">
        <v>733.33</v>
      </c>
      <c r="D3539" s="6">
        <v>45649</v>
      </c>
      <c r="E3539" s="3" t="str">
        <f ca="1">IF(Tabela2[[#This Row],[Dt Venc:]]&gt;TODAY(),"Em Aberto",IF(Tabela2[[#This Row],[D/venc]]="-","Enviado",IF(Tabela2[[#This Row],[Dt Venc:]]=TODAY(),"Vence Hoje","Vencida")))</f>
        <v>Enviado</v>
      </c>
      <c r="F3539" s="3" t="str">
        <f ca="1">IF(G3539=1,"-",Tabela2[[#This Row],[Dt Venc:]]-TODAY())</f>
        <v>-</v>
      </c>
      <c r="G3539" s="3">
        <v>1</v>
      </c>
      <c r="H3539" s="3"/>
    </row>
    <row r="3540" spans="1:8" hidden="1">
      <c r="A3540" s="3">
        <v>15231</v>
      </c>
      <c r="B3540" s="7" t="s">
        <v>99</v>
      </c>
      <c r="C3540" s="42">
        <v>566.66</v>
      </c>
      <c r="D3540" s="6">
        <v>45649</v>
      </c>
      <c r="E3540" s="3" t="str">
        <f ca="1">IF(Tabela2[[#This Row],[Dt Venc:]]&gt;TODAY(),"Em Aberto",IF(Tabela2[[#This Row],[D/venc]]="-","Enviado",IF(Tabela2[[#This Row],[Dt Venc:]]=TODAY(),"Vence Hoje","Vencida")))</f>
        <v>Enviado</v>
      </c>
      <c r="F3540" s="3" t="str">
        <f ca="1">IF(G3540=1,"-",Tabela2[[#This Row],[Dt Venc:]]-TODAY())</f>
        <v>-</v>
      </c>
      <c r="G3540" s="3">
        <v>1</v>
      </c>
      <c r="H3540" s="3"/>
    </row>
    <row r="3541" spans="1:8" hidden="1">
      <c r="A3541" s="3">
        <v>153853</v>
      </c>
      <c r="B3541" s="7" t="s">
        <v>77</v>
      </c>
      <c r="C3541" s="41">
        <v>866.67</v>
      </c>
      <c r="D3541" s="6">
        <v>45649</v>
      </c>
      <c r="E3541" s="3" t="str">
        <f ca="1">IF(Tabela2[[#This Row],[Dt Venc:]]&gt;TODAY(),"Em Aberto",IF(Tabela2[[#This Row],[D/venc]]="-","Enviado",IF(Tabela2[[#This Row],[Dt Venc:]]=TODAY(),"Vence Hoje","Vencida")))</f>
        <v>Enviado</v>
      </c>
      <c r="F3541" s="3" t="str">
        <f ca="1">IF(G3541=1,"-",Tabela2[[#This Row],[Dt Venc:]]-TODAY())</f>
        <v>-</v>
      </c>
      <c r="G3541" s="3">
        <v>1</v>
      </c>
      <c r="H3541" s="3"/>
    </row>
    <row r="3542" spans="1:8" hidden="1">
      <c r="A3542" s="3">
        <v>30207</v>
      </c>
      <c r="B3542" s="7" t="s">
        <v>459</v>
      </c>
      <c r="C3542" s="41">
        <v>339.84</v>
      </c>
      <c r="D3542" s="6">
        <v>45649</v>
      </c>
      <c r="E3542" s="3" t="str">
        <f ca="1">IF(Tabela2[[#This Row],[Dt Venc:]]&gt;TODAY(),"Em Aberto",IF(Tabela2[[#This Row],[D/venc]]="-","Enviado",IF(Tabela2[[#This Row],[Dt Venc:]]=TODAY(),"Vence Hoje","Vencida")))</f>
        <v>Enviado</v>
      </c>
      <c r="F3542" s="3" t="str">
        <f ca="1">IF(G3542=1,"-",Tabela2[[#This Row],[Dt Venc:]]-TODAY())</f>
        <v>-</v>
      </c>
      <c r="G3542" s="3">
        <v>1</v>
      </c>
      <c r="H3542" s="3"/>
    </row>
    <row r="3543" spans="1:8" hidden="1">
      <c r="A3543" s="3">
        <v>5915</v>
      </c>
      <c r="B3543" s="7" t="s">
        <v>47</v>
      </c>
      <c r="C3543" s="42">
        <v>1274.0999999999999</v>
      </c>
      <c r="D3543" s="6">
        <v>45649</v>
      </c>
      <c r="E3543" s="3" t="str">
        <f ca="1">IF(Tabela2[[#This Row],[Dt Venc:]]&gt;TODAY(),"Em Aberto",IF(Tabela2[[#This Row],[D/venc]]="-","Enviado",IF(Tabela2[[#This Row],[Dt Venc:]]=TODAY(),"Vence Hoje","Vencida")))</f>
        <v>Enviado</v>
      </c>
      <c r="F3543" s="3" t="str">
        <f ca="1">IF(G3543=1,"-",Tabela2[[#This Row],[Dt Venc:]]-TODAY())</f>
        <v>-</v>
      </c>
      <c r="G3543" s="3">
        <v>1</v>
      </c>
      <c r="H3543" s="3"/>
    </row>
    <row r="3544" spans="1:8" hidden="1">
      <c r="A3544" s="3">
        <v>202760</v>
      </c>
      <c r="B3544" s="7" t="s">
        <v>200</v>
      </c>
      <c r="C3544" s="41">
        <v>246.69</v>
      </c>
      <c r="D3544" s="6">
        <v>45649</v>
      </c>
      <c r="E3544" s="3" t="str">
        <f ca="1">IF(Tabela2[[#This Row],[Dt Venc:]]&gt;TODAY(),"Em Aberto",IF(Tabela2[[#This Row],[D/venc]]="-","Enviado",IF(Tabela2[[#This Row],[Dt Venc:]]=TODAY(),"Vence Hoje","Vencida")))</f>
        <v>Enviado</v>
      </c>
      <c r="F3544" s="3" t="str">
        <f ca="1">IF(G3544=1,"-",Tabela2[[#This Row],[Dt Venc:]]-TODAY())</f>
        <v>-</v>
      </c>
      <c r="G3544" s="3">
        <v>1</v>
      </c>
      <c r="H3544" s="3"/>
    </row>
    <row r="3545" spans="1:8" hidden="1">
      <c r="A3545" s="3">
        <v>75356</v>
      </c>
      <c r="B3545" s="7" t="s">
        <v>200</v>
      </c>
      <c r="C3545" s="41">
        <v>159.97</v>
      </c>
      <c r="D3545" s="6">
        <v>45649</v>
      </c>
      <c r="E3545" s="3" t="str">
        <f ca="1">IF(Tabela2[[#This Row],[Dt Venc:]]&gt;TODAY(),"Em Aberto",IF(Tabela2[[#This Row],[D/venc]]="-","Enviado",IF(Tabela2[[#This Row],[Dt Venc:]]=TODAY(),"Vence Hoje","Vencida")))</f>
        <v>Enviado</v>
      </c>
      <c r="F3545" s="3" t="str">
        <f ca="1">IF(G3545=1,"-",Tabela2[[#This Row],[Dt Venc:]]-TODAY())</f>
        <v>-</v>
      </c>
      <c r="G3545" s="3">
        <v>1</v>
      </c>
      <c r="H3545" s="3"/>
    </row>
    <row r="3546" spans="1:8" hidden="1">
      <c r="A3546" s="3">
        <v>73407</v>
      </c>
      <c r="B3546" s="7" t="s">
        <v>76</v>
      </c>
      <c r="C3546" s="41">
        <v>1890.58</v>
      </c>
      <c r="D3546" s="6">
        <v>45649</v>
      </c>
      <c r="E3546" s="3" t="str">
        <f ca="1">IF(Tabela2[[#This Row],[Dt Venc:]]&gt;TODAY(),"Em Aberto",IF(Tabela2[[#This Row],[D/venc]]="-","Enviado",IF(Tabela2[[#This Row],[Dt Venc:]]=TODAY(),"Vence Hoje","Vencida")))</f>
        <v>Enviado</v>
      </c>
      <c r="F3546" s="3" t="str">
        <f ca="1">IF(G3546=1,"-",Tabela2[[#This Row],[Dt Venc:]]-TODAY())</f>
        <v>-</v>
      </c>
      <c r="G3546" s="3">
        <v>1</v>
      </c>
      <c r="H3546" s="3"/>
    </row>
    <row r="3547" spans="1:8" hidden="1">
      <c r="A3547" s="3">
        <v>12186</v>
      </c>
      <c r="B3547" s="7" t="s">
        <v>211</v>
      </c>
      <c r="C3547" s="41">
        <v>1070</v>
      </c>
      <c r="D3547" s="6">
        <v>45649</v>
      </c>
      <c r="E3547" s="3" t="str">
        <f ca="1">IF(Tabela2[[#This Row],[Dt Venc:]]&gt;TODAY(),"Em Aberto",IF(Tabela2[[#This Row],[D/venc]]="-","Enviado",IF(Tabela2[[#This Row],[Dt Venc:]]=TODAY(),"Vence Hoje","Vencida")))</f>
        <v>Enviado</v>
      </c>
      <c r="F3547" s="3" t="str">
        <f ca="1">IF(G3547=1,"-",Tabela2[[#This Row],[Dt Venc:]]-TODAY())</f>
        <v>-</v>
      </c>
      <c r="G3547" s="3">
        <v>1</v>
      </c>
      <c r="H3547" s="3"/>
    </row>
    <row r="3548" spans="1:8" hidden="1">
      <c r="A3548" s="3">
        <v>258006</v>
      </c>
      <c r="B3548" s="7" t="s">
        <v>49</v>
      </c>
      <c r="C3548" s="41">
        <v>1716.66</v>
      </c>
      <c r="D3548" s="6">
        <v>45649</v>
      </c>
      <c r="E3548" s="3" t="str">
        <f ca="1">IF(Tabela2[[#This Row],[Dt Venc:]]&gt;TODAY(),"Em Aberto",IF(Tabela2[[#This Row],[D/venc]]="-","Enviado",IF(Tabela2[[#This Row],[Dt Venc:]]=TODAY(),"Vence Hoje","Vencida")))</f>
        <v>Enviado</v>
      </c>
      <c r="F3548" s="3" t="str">
        <f ca="1">IF(G3548=1,"-",Tabela2[[#This Row],[Dt Venc:]]-TODAY())</f>
        <v>-</v>
      </c>
      <c r="G3548" s="3">
        <v>1</v>
      </c>
      <c r="H3548" s="3"/>
    </row>
    <row r="3549" spans="1:8" hidden="1">
      <c r="A3549" s="3">
        <v>271681</v>
      </c>
      <c r="B3549" s="7" t="s">
        <v>558</v>
      </c>
      <c r="C3549" s="41">
        <v>706</v>
      </c>
      <c r="D3549" s="6">
        <v>45649</v>
      </c>
      <c r="E3549" s="3" t="str">
        <f ca="1">IF(Tabela2[[#This Row],[Dt Venc:]]&gt;TODAY(),"Em Aberto",IF(Tabela2[[#This Row],[D/venc]]="-","Enviado",IF(Tabela2[[#This Row],[Dt Venc:]]=TODAY(),"Vence Hoje","Vencida")))</f>
        <v>Enviado</v>
      </c>
      <c r="F3549" s="3" t="str">
        <f ca="1">IF(G3549=1,"-",Tabela2[[#This Row],[Dt Venc:]]-TODAY())</f>
        <v>-</v>
      </c>
      <c r="G3549" s="3">
        <v>1</v>
      </c>
      <c r="H3549" s="3"/>
    </row>
    <row r="3550" spans="1:8" hidden="1">
      <c r="A3550" s="3">
        <v>1223</v>
      </c>
      <c r="B3550" s="7" t="s">
        <v>559</v>
      </c>
      <c r="C3550" s="41">
        <v>1818</v>
      </c>
      <c r="D3550" s="6">
        <v>45649</v>
      </c>
      <c r="E3550" s="3" t="str">
        <f ca="1">IF(Tabela2[[#This Row],[Dt Venc:]]&gt;TODAY(),"Em Aberto",IF(Tabela2[[#This Row],[D/venc]]="-","Enviado",IF(Tabela2[[#This Row],[Dt Venc:]]=TODAY(),"Vence Hoje","Vencida")))</f>
        <v>Enviado</v>
      </c>
      <c r="F3550" s="3" t="str">
        <f ca="1">IF(G3550=1,"-",Tabela2[[#This Row],[Dt Venc:]]-TODAY())</f>
        <v>-</v>
      </c>
      <c r="G3550" s="3">
        <v>1</v>
      </c>
      <c r="H3550" s="3"/>
    </row>
    <row r="3551" spans="1:8" hidden="1">
      <c r="A3551" s="3">
        <v>617963</v>
      </c>
      <c r="B3551" s="7" t="s">
        <v>66</v>
      </c>
      <c r="C3551" s="41">
        <v>2338.75</v>
      </c>
      <c r="D3551" s="6">
        <v>45649</v>
      </c>
      <c r="E3551" s="3" t="str">
        <f ca="1">IF(Tabela2[[#This Row],[Dt Venc:]]&gt;TODAY(),"Em Aberto",IF(Tabela2[[#This Row],[D/venc]]="-","Enviado",IF(Tabela2[[#This Row],[Dt Venc:]]=TODAY(),"Vence Hoje","Vencida")))</f>
        <v>Enviado</v>
      </c>
      <c r="F3551" s="3" t="str">
        <f ca="1">IF(G3551=1,"-",Tabela2[[#This Row],[Dt Venc:]]-TODAY())</f>
        <v>-</v>
      </c>
      <c r="G3551" s="3">
        <v>1</v>
      </c>
      <c r="H3551" s="3"/>
    </row>
    <row r="3552" spans="1:8" hidden="1">
      <c r="A3552" s="3">
        <v>2863</v>
      </c>
      <c r="B3552" s="7" t="s">
        <v>58</v>
      </c>
      <c r="C3552" s="41">
        <v>1749.87</v>
      </c>
      <c r="D3552" s="6">
        <v>45649</v>
      </c>
      <c r="E3552" s="3" t="str">
        <f ca="1">IF(Tabela2[[#This Row],[Dt Venc:]]&gt;TODAY(),"Em Aberto",IF(Tabela2[[#This Row],[D/venc]]="-","Enviado",IF(Tabela2[[#This Row],[Dt Venc:]]=TODAY(),"Vence Hoje","Vencida")))</f>
        <v>Enviado</v>
      </c>
      <c r="F3552" s="3" t="str">
        <f ca="1">IF(G3552=1,"-",Tabela2[[#This Row],[Dt Venc:]]-TODAY())</f>
        <v>-</v>
      </c>
      <c r="G3552" s="3">
        <v>1</v>
      </c>
      <c r="H3552" s="3"/>
    </row>
    <row r="3553" spans="1:8" hidden="1">
      <c r="A3553" s="3">
        <v>13615</v>
      </c>
      <c r="B3553" s="7" t="s">
        <v>408</v>
      </c>
      <c r="C3553" s="41">
        <v>548.25</v>
      </c>
      <c r="D3553" s="6">
        <v>45649</v>
      </c>
      <c r="E3553" s="3" t="str">
        <f ca="1">IF(Tabela2[[#This Row],[Dt Venc:]]&gt;TODAY(),"Em Aberto",IF(Tabela2[[#This Row],[D/venc]]="-","Enviado",IF(Tabela2[[#This Row],[Dt Venc:]]=TODAY(),"Vence Hoje","Vencida")))</f>
        <v>Enviado</v>
      </c>
      <c r="F3553" s="3" t="str">
        <f ca="1">IF(G3553=1,"-",Tabela2[[#This Row],[Dt Venc:]]-TODAY())</f>
        <v>-</v>
      </c>
      <c r="G3553" s="3">
        <v>1</v>
      </c>
      <c r="H3553" s="3"/>
    </row>
    <row r="3554" spans="1:8" hidden="1">
      <c r="A3554" s="3">
        <v>271681</v>
      </c>
      <c r="B3554" s="7" t="s">
        <v>558</v>
      </c>
      <c r="C3554" s="41">
        <v>706</v>
      </c>
      <c r="D3554" s="6">
        <v>45649</v>
      </c>
      <c r="E3554" s="3" t="str">
        <f ca="1">IF(Tabela2[[#This Row],[Dt Venc:]]&gt;TODAY(),"Em Aberto",IF(Tabela2[[#This Row],[D/venc]]="-","Enviado",IF(Tabela2[[#This Row],[Dt Venc:]]=TODAY(),"Vence Hoje","Vencida")))</f>
        <v>Enviado</v>
      </c>
      <c r="F3554" s="3" t="str">
        <f ca="1">IF(G3554=1,"-",Tabela2[[#This Row],[Dt Venc:]]-TODAY())</f>
        <v>-</v>
      </c>
      <c r="G3554" s="3">
        <v>1</v>
      </c>
      <c r="H3554" s="3"/>
    </row>
    <row r="3555" spans="1:8" hidden="1">
      <c r="A3555" s="3">
        <v>13413</v>
      </c>
      <c r="B3555" s="7" t="s">
        <v>70</v>
      </c>
      <c r="C3555" s="41">
        <v>573.64</v>
      </c>
      <c r="D3555" s="6">
        <v>45649</v>
      </c>
      <c r="E3555" s="3" t="str">
        <f ca="1">IF(Tabela2[[#This Row],[Dt Venc:]]&gt;TODAY(),"Em Aberto",IF(Tabela2[[#This Row],[D/venc]]="-","Enviado",IF(Tabela2[[#This Row],[Dt Venc:]]=TODAY(),"Vence Hoje","Vencida")))</f>
        <v>Enviado</v>
      </c>
      <c r="F3555" s="3" t="str">
        <f ca="1">IF(G3555=1,"-",Tabela2[[#This Row],[Dt Venc:]]-TODAY())</f>
        <v>-</v>
      </c>
      <c r="G3555" s="3">
        <v>1</v>
      </c>
      <c r="H3555" s="3"/>
    </row>
    <row r="3556" spans="1:8" hidden="1">
      <c r="A3556" s="3">
        <v>8951</v>
      </c>
      <c r="B3556" s="7" t="s">
        <v>105</v>
      </c>
      <c r="C3556" s="41">
        <v>1280</v>
      </c>
      <c r="D3556" s="6">
        <v>45649</v>
      </c>
      <c r="E3556" s="3" t="str">
        <f ca="1">IF(Tabela2[[#This Row],[Dt Venc:]]&gt;TODAY(),"Em Aberto",IF(Tabela2[[#This Row],[D/venc]]="-","Enviado",IF(Tabela2[[#This Row],[Dt Venc:]]=TODAY(),"Vence Hoje","Vencida")))</f>
        <v>Enviado</v>
      </c>
      <c r="F3556" s="3" t="str">
        <f ca="1">IF(G3556=1,"-",Tabela2[[#This Row],[Dt Venc:]]-TODAY())</f>
        <v>-</v>
      </c>
      <c r="G3556" s="3">
        <v>1</v>
      </c>
      <c r="H3556" s="3"/>
    </row>
    <row r="3557" spans="1:8" hidden="1">
      <c r="A3557" s="3">
        <v>10705</v>
      </c>
      <c r="B3557" s="7" t="s">
        <v>76</v>
      </c>
      <c r="C3557" s="41">
        <v>533.29999999999995</v>
      </c>
      <c r="D3557" s="6">
        <v>45649</v>
      </c>
      <c r="E3557" s="3" t="str">
        <f ca="1">IF(Tabela2[[#This Row],[Dt Venc:]]&gt;TODAY(),"Em Aberto",IF(Tabela2[[#This Row],[D/venc]]="-","Enviado",IF(Tabela2[[#This Row],[Dt Venc:]]=TODAY(),"Vence Hoje","Vencida")))</f>
        <v>Enviado</v>
      </c>
      <c r="F3557" s="3" t="str">
        <f ca="1">IF(G3557=1,"-",Tabela2[[#This Row],[Dt Venc:]]-TODAY())</f>
        <v>-</v>
      </c>
      <c r="G3557" s="3">
        <v>1</v>
      </c>
      <c r="H3557" s="3"/>
    </row>
    <row r="3558" spans="1:8" hidden="1">
      <c r="A3558" s="3">
        <v>204759</v>
      </c>
      <c r="B3558" s="7" t="s">
        <v>43</v>
      </c>
      <c r="C3558" s="41">
        <v>375</v>
      </c>
      <c r="D3558" s="6">
        <v>45649</v>
      </c>
      <c r="E3558" s="3" t="str">
        <f ca="1">IF(Tabela2[[#This Row],[Dt Venc:]]&gt;TODAY(),"Em Aberto",IF(Tabela2[[#This Row],[D/venc]]="-","Enviado",IF(Tabela2[[#This Row],[Dt Venc:]]=TODAY(),"Vence Hoje","Vencida")))</f>
        <v>Enviado</v>
      </c>
      <c r="F3558" s="3" t="str">
        <f ca="1">IF(G3558=1,"-",Tabela2[[#This Row],[Dt Venc:]]-TODAY())</f>
        <v>-</v>
      </c>
      <c r="G3558" s="3">
        <v>1</v>
      </c>
      <c r="H3558" s="3"/>
    </row>
    <row r="3559" spans="1:8" hidden="1">
      <c r="A3559" s="3">
        <v>1681</v>
      </c>
      <c r="B3559" s="7" t="s">
        <v>560</v>
      </c>
      <c r="C3559" s="41">
        <v>346.67</v>
      </c>
      <c r="D3559" s="6">
        <v>45649</v>
      </c>
      <c r="E3559" s="3" t="str">
        <f ca="1">IF(Tabela2[[#This Row],[Dt Venc:]]&gt;TODAY(),"Em Aberto",IF(Tabela2[[#This Row],[D/venc]]="-","Enviado",IF(Tabela2[[#This Row],[Dt Venc:]]=TODAY(),"Vence Hoje","Vencida")))</f>
        <v>Enviado</v>
      </c>
      <c r="F3559" s="3" t="str">
        <f ca="1">IF(G3559=1,"-",Tabela2[[#This Row],[Dt Venc:]]-TODAY())</f>
        <v>-</v>
      </c>
      <c r="G3559" s="3">
        <v>1</v>
      </c>
      <c r="H3559" s="3"/>
    </row>
    <row r="3560" spans="1:8" hidden="1">
      <c r="A3560" s="3">
        <v>2776</v>
      </c>
      <c r="B3560" s="7" t="s">
        <v>198</v>
      </c>
      <c r="C3560" s="41">
        <v>790</v>
      </c>
      <c r="D3560" s="6">
        <v>45649</v>
      </c>
      <c r="E3560" s="3" t="str">
        <f ca="1">IF(Tabela2[[#This Row],[Dt Venc:]]&gt;TODAY(),"Em Aberto",IF(Tabela2[[#This Row],[D/venc]]="-","Enviado",IF(Tabela2[[#This Row],[Dt Venc:]]=TODAY(),"Vence Hoje","Vencida")))</f>
        <v>Enviado</v>
      </c>
      <c r="F3560" s="3" t="str">
        <f ca="1">IF(G3560=1,"-",Tabela2[[#This Row],[Dt Venc:]]-TODAY())</f>
        <v>-</v>
      </c>
      <c r="G3560" s="3">
        <v>1</v>
      </c>
      <c r="H3560" s="3"/>
    </row>
    <row r="3561" spans="1:8" hidden="1">
      <c r="A3561" s="3">
        <v>16491</v>
      </c>
      <c r="B3561" s="7" t="s">
        <v>322</v>
      </c>
      <c r="C3561" s="41">
        <v>1113</v>
      </c>
      <c r="D3561" s="6">
        <v>45649</v>
      </c>
      <c r="E3561" s="3" t="str">
        <f ca="1">IF(Tabela2[[#This Row],[Dt Venc:]]&gt;TODAY(),"Em Aberto",IF(Tabela2[[#This Row],[D/venc]]="-","Enviado",IF(Tabela2[[#This Row],[Dt Venc:]]=TODAY(),"Vence Hoje","Vencida")))</f>
        <v>Enviado</v>
      </c>
      <c r="F3561" s="3" t="str">
        <f ca="1">IF(G3561=1,"-",Tabela2[[#This Row],[Dt Venc:]]-TODAY())</f>
        <v>-</v>
      </c>
      <c r="G3561" s="3">
        <v>1</v>
      </c>
      <c r="H3561" s="3"/>
    </row>
    <row r="3562" spans="1:8" hidden="1">
      <c r="A3562" s="3">
        <v>727</v>
      </c>
      <c r="B3562" s="7" t="s">
        <v>351</v>
      </c>
      <c r="C3562" s="41">
        <v>5607.53</v>
      </c>
      <c r="D3562" s="6">
        <v>45649</v>
      </c>
      <c r="E3562" s="3" t="str">
        <f ca="1">IF(Tabela2[[#This Row],[Dt Venc:]]&gt;TODAY(),"Em Aberto",IF(Tabela2[[#This Row],[D/venc]]="-","Enviado",IF(Tabela2[[#This Row],[Dt Venc:]]=TODAY(),"Vence Hoje","Vencida")))</f>
        <v>Enviado</v>
      </c>
      <c r="F3562" s="3" t="str">
        <f ca="1">IF(G3562=1,"-",Tabela2[[#This Row],[Dt Venc:]]-TODAY())</f>
        <v>-</v>
      </c>
      <c r="G3562" s="3">
        <v>1</v>
      </c>
      <c r="H3562" s="3"/>
    </row>
    <row r="3563" spans="1:8" hidden="1">
      <c r="A3563" s="3">
        <v>10665</v>
      </c>
      <c r="B3563" s="7" t="s">
        <v>351</v>
      </c>
      <c r="C3563" s="41">
        <v>27000</v>
      </c>
      <c r="D3563" s="6">
        <v>45649</v>
      </c>
      <c r="E3563" s="3" t="str">
        <f ca="1">IF(Tabela2[[#This Row],[Dt Venc:]]&gt;TODAY(),"Em Aberto",IF(Tabela2[[#This Row],[D/venc]]="-","Enviado",IF(Tabela2[[#This Row],[Dt Venc:]]=TODAY(),"Vence Hoje","Vencida")))</f>
        <v>Enviado</v>
      </c>
      <c r="F3563" s="3" t="str">
        <f ca="1">IF(G3563=1,"-",Tabela2[[#This Row],[Dt Venc:]]-TODAY())</f>
        <v>-</v>
      </c>
      <c r="G3563" s="3">
        <v>1</v>
      </c>
      <c r="H3563" s="3"/>
    </row>
    <row r="3564" spans="1:8" hidden="1">
      <c r="A3564" s="3">
        <v>11744</v>
      </c>
      <c r="B3564" s="7" t="s">
        <v>105</v>
      </c>
      <c r="C3564" s="41">
        <v>2500</v>
      </c>
      <c r="D3564" s="6">
        <v>45649</v>
      </c>
      <c r="E3564" s="3" t="str">
        <f ca="1">IF(Tabela2[[#This Row],[Dt Venc:]]&gt;TODAY(),"Em Aberto",IF(Tabela2[[#This Row],[D/venc]]="-","Enviado",IF(Tabela2[[#This Row],[Dt Venc:]]=TODAY(),"Vence Hoje","Vencida")))</f>
        <v>Enviado</v>
      </c>
      <c r="F3564" s="3" t="str">
        <f ca="1">IF(G3564=1,"-",Tabela2[[#This Row],[Dt Venc:]]-TODAY())</f>
        <v>-</v>
      </c>
      <c r="G3564" s="3">
        <v>1</v>
      </c>
      <c r="H3564" s="3"/>
    </row>
    <row r="3565" spans="1:8" hidden="1">
      <c r="A3565" s="3">
        <v>445459</v>
      </c>
      <c r="B3565" s="7" t="s">
        <v>59</v>
      </c>
      <c r="C3565" s="41">
        <v>28251</v>
      </c>
      <c r="D3565" s="6">
        <v>45649</v>
      </c>
      <c r="E3565" s="3" t="str">
        <f ca="1">IF(Tabela2[[#This Row],[Dt Venc:]]&gt;TODAY(),"Em Aberto",IF(Tabela2[[#This Row],[D/venc]]="-","Enviado",IF(Tabela2[[#This Row],[Dt Venc:]]=TODAY(),"Vence Hoje","Vencida")))</f>
        <v>Enviado</v>
      </c>
      <c r="F3565" s="3" t="str">
        <f ca="1">IF(G3565=1,"-",Tabela2[[#This Row],[Dt Venc:]]-TODAY())</f>
        <v>-</v>
      </c>
      <c r="G3565" s="3">
        <v>1</v>
      </c>
      <c r="H3565" s="3"/>
    </row>
    <row r="3566" spans="1:8" hidden="1">
      <c r="A3566" s="3">
        <v>445363</v>
      </c>
      <c r="B3566" s="7" t="s">
        <v>59</v>
      </c>
      <c r="C3566" s="41">
        <v>56402</v>
      </c>
      <c r="D3566" s="6">
        <v>45649</v>
      </c>
      <c r="E3566" s="3" t="str">
        <f ca="1">IF(Tabela2[[#This Row],[Dt Venc:]]&gt;TODAY(),"Em Aberto",IF(Tabela2[[#This Row],[D/venc]]="-","Enviado",IF(Tabela2[[#This Row],[Dt Venc:]]=TODAY(),"Vence Hoje","Vencida")))</f>
        <v>Enviado</v>
      </c>
      <c r="F3566" s="3" t="str">
        <f ca="1">IF(G3566=1,"-",Tabela2[[#This Row],[Dt Venc:]]-TODAY())</f>
        <v>-</v>
      </c>
      <c r="G3566" s="3">
        <v>1</v>
      </c>
      <c r="H3566" s="3"/>
    </row>
    <row r="3567" spans="1:8" hidden="1">
      <c r="A3567" s="3">
        <v>2092</v>
      </c>
      <c r="B3567" s="7" t="s">
        <v>561</v>
      </c>
      <c r="C3567" s="41">
        <v>10963.15</v>
      </c>
      <c r="D3567" s="6">
        <v>45649</v>
      </c>
      <c r="E3567" s="3" t="str">
        <f ca="1">IF(Tabela2[[#This Row],[Dt Venc:]]&gt;TODAY(),"Em Aberto",IF(Tabela2[[#This Row],[D/venc]]="-","Enviado",IF(Tabela2[[#This Row],[Dt Venc:]]=TODAY(),"Vence Hoje","Vencida")))</f>
        <v>Enviado</v>
      </c>
      <c r="F3567" s="3" t="str">
        <f ca="1">IF(G3567=1,"-",Tabela2[[#This Row],[Dt Venc:]]-TODAY())</f>
        <v>-</v>
      </c>
      <c r="G3567" s="3">
        <v>1</v>
      </c>
      <c r="H3567" s="3"/>
    </row>
    <row r="3568" spans="1:8" hidden="1">
      <c r="A3568" s="3">
        <v>1368140</v>
      </c>
      <c r="B3568" s="7" t="s">
        <v>562</v>
      </c>
      <c r="C3568" s="41">
        <v>691.52</v>
      </c>
      <c r="D3568" s="6">
        <v>45649</v>
      </c>
      <c r="E3568" s="3" t="str">
        <f ca="1">IF(Tabela2[[#This Row],[Dt Venc:]]&gt;TODAY(),"Em Aberto",IF(Tabela2[[#This Row],[D/venc]]="-","Enviado",IF(Tabela2[[#This Row],[Dt Venc:]]=TODAY(),"Vence Hoje","Vencida")))</f>
        <v>Enviado</v>
      </c>
      <c r="F3568" s="3" t="str">
        <f ca="1">IF(G3568=1,"-",Tabela2[[#This Row],[Dt Venc:]]-TODAY())</f>
        <v>-</v>
      </c>
      <c r="G3568" s="3">
        <v>1</v>
      </c>
      <c r="H3568" s="3"/>
    </row>
    <row r="3569" spans="1:8" hidden="1">
      <c r="A3569" s="3" t="s">
        <v>110</v>
      </c>
      <c r="B3569" s="7" t="s">
        <v>337</v>
      </c>
      <c r="C3569" s="42" t="s">
        <v>32</v>
      </c>
      <c r="D3569" s="6">
        <v>45649</v>
      </c>
      <c r="E3569" s="3" t="str">
        <f ca="1">IF(Tabela2[[#This Row],[Dt Venc:]]&gt;TODAY(),"Em Aberto",IF(Tabela2[[#This Row],[D/venc]]="-","Enviado",IF(Tabela2[[#This Row],[Dt Venc:]]=TODAY(),"Vence Hoje","Vencida")))</f>
        <v>Enviado</v>
      </c>
      <c r="F3569" s="3" t="str">
        <f ca="1">IF(G3569=1,"-",Tabela2[[#This Row],[Dt Venc:]]-TODAY())</f>
        <v>-</v>
      </c>
      <c r="G3569" s="3">
        <v>1</v>
      </c>
      <c r="H3569" s="3"/>
    </row>
    <row r="3570" spans="1:8" hidden="1">
      <c r="A3570" s="3">
        <v>11457</v>
      </c>
      <c r="B3570" s="7" t="s">
        <v>563</v>
      </c>
      <c r="C3570" s="41">
        <v>8250</v>
      </c>
      <c r="D3570" s="6">
        <v>45649</v>
      </c>
      <c r="E3570" s="3" t="str">
        <f ca="1">IF(Tabela2[[#This Row],[Dt Venc:]]&gt;TODAY(),"Em Aberto",IF(Tabela2[[#This Row],[D/venc]]="-","Enviado",IF(Tabela2[[#This Row],[Dt Venc:]]=TODAY(),"Vence Hoje","Vencida")))</f>
        <v>Enviado</v>
      </c>
      <c r="F3570" s="3" t="str">
        <f ca="1">IF(G3570=1,"-",Tabela2[[#This Row],[Dt Venc:]]-TODAY())</f>
        <v>-</v>
      </c>
      <c r="G3570" s="3">
        <v>1</v>
      </c>
      <c r="H3570" s="3"/>
    </row>
    <row r="3571" spans="1:8" hidden="1">
      <c r="A3571" s="3">
        <v>10941</v>
      </c>
      <c r="B3571" s="7" t="s">
        <v>33</v>
      </c>
      <c r="C3571" s="42">
        <v>800</v>
      </c>
      <c r="D3571" s="6">
        <v>45650</v>
      </c>
      <c r="E3571" s="3" t="str">
        <f ca="1">IF(Tabela2[[#This Row],[Dt Venc:]]&gt;TODAY(),"Em Aberto",IF(Tabela2[[#This Row],[D/venc]]="-","Enviado",IF(Tabela2[[#This Row],[Dt Venc:]]=TODAY(),"Vence Hoje","Vencida")))</f>
        <v>Enviado</v>
      </c>
      <c r="F3571" s="3" t="str">
        <f ca="1">IF(G3571=1,"-",Tabela2[[#This Row],[Dt Venc:]]-TODAY())</f>
        <v>-</v>
      </c>
      <c r="G3571" s="3">
        <v>1</v>
      </c>
      <c r="H3571" s="3"/>
    </row>
    <row r="3572" spans="1:8" hidden="1">
      <c r="A3572" s="3">
        <v>2854</v>
      </c>
      <c r="B3572" s="7" t="s">
        <v>301</v>
      </c>
      <c r="C3572" s="41">
        <v>1300</v>
      </c>
      <c r="D3572" s="6">
        <v>45650</v>
      </c>
      <c r="E3572" s="3" t="str">
        <f ca="1">IF(Tabela2[[#This Row],[Dt Venc:]]&gt;TODAY(),"Em Aberto",IF(Tabela2[[#This Row],[D/venc]]="-","Enviado",IF(Tabela2[[#This Row],[Dt Venc:]]=TODAY(),"Vence Hoje","Vencida")))</f>
        <v>Enviado</v>
      </c>
      <c r="F3572" s="3" t="str">
        <f ca="1">IF(G3572=1,"-",Tabela2[[#This Row],[Dt Venc:]]-TODAY())</f>
        <v>-</v>
      </c>
      <c r="G3572" s="3">
        <v>1</v>
      </c>
      <c r="H3572" s="3"/>
    </row>
    <row r="3573" spans="1:8" hidden="1">
      <c r="A3573" s="3">
        <v>427355</v>
      </c>
      <c r="B3573" s="7" t="s">
        <v>89</v>
      </c>
      <c r="C3573" s="41">
        <v>3062</v>
      </c>
      <c r="D3573" s="6">
        <v>45650</v>
      </c>
      <c r="E3573" s="3" t="str">
        <f ca="1">IF(Tabela2[[#This Row],[Dt Venc:]]&gt;TODAY(),"Em Aberto",IF(Tabela2[[#This Row],[D/venc]]="-","Enviado",IF(Tabela2[[#This Row],[Dt Venc:]]=TODAY(),"Vence Hoje","Vencida")))</f>
        <v>Enviado</v>
      </c>
      <c r="F3573" s="3" t="str">
        <f ca="1">IF(G3573=1,"-",Tabela2[[#This Row],[Dt Venc:]]-TODAY())</f>
        <v>-</v>
      </c>
      <c r="G3573" s="3">
        <v>1</v>
      </c>
      <c r="H3573" s="3"/>
    </row>
    <row r="3574" spans="1:8" hidden="1">
      <c r="A3574" s="3">
        <v>257591</v>
      </c>
      <c r="B3574" s="7" t="s">
        <v>326</v>
      </c>
      <c r="C3574" s="41">
        <v>1716.66</v>
      </c>
      <c r="D3574" s="6">
        <v>45650</v>
      </c>
      <c r="E3574" s="3" t="str">
        <f ca="1">IF(Tabela2[[#This Row],[Dt Venc:]]&gt;TODAY(),"Em Aberto",IF(Tabela2[[#This Row],[D/venc]]="-","Enviado",IF(Tabela2[[#This Row],[Dt Venc:]]=TODAY(),"Vence Hoje","Vencida")))</f>
        <v>Enviado</v>
      </c>
      <c r="F3574" s="3" t="str">
        <f ca="1">IF(G3574=1,"-",Tabela2[[#This Row],[Dt Venc:]]-TODAY())</f>
        <v>-</v>
      </c>
      <c r="G3574" s="3">
        <v>1</v>
      </c>
      <c r="H3574" s="3"/>
    </row>
    <row r="3575" spans="1:8" hidden="1">
      <c r="A3575" s="3">
        <v>368662</v>
      </c>
      <c r="B3575" s="7" t="s">
        <v>39</v>
      </c>
      <c r="C3575" s="42">
        <v>539.05999999999995</v>
      </c>
      <c r="D3575" s="6">
        <v>45650</v>
      </c>
      <c r="E3575" s="3" t="str">
        <f ca="1">IF(Tabela2[[#This Row],[Dt Venc:]]&gt;TODAY(),"Em Aberto",IF(Tabela2[[#This Row],[D/venc]]="-","Enviado",IF(Tabela2[[#This Row],[Dt Venc:]]=TODAY(),"Vence Hoje","Vencida")))</f>
        <v>Enviado</v>
      </c>
      <c r="F3575" s="3" t="str">
        <f ca="1">IF(G3575=1,"-",Tabela2[[#This Row],[Dt Venc:]]-TODAY())</f>
        <v>-</v>
      </c>
      <c r="G3575" s="3">
        <v>1</v>
      </c>
      <c r="H3575" s="3"/>
    </row>
    <row r="3576" spans="1:8" hidden="1">
      <c r="A3576" s="3">
        <v>221100</v>
      </c>
      <c r="B3576" s="7" t="s">
        <v>39</v>
      </c>
      <c r="C3576" s="42">
        <v>632.15</v>
      </c>
      <c r="D3576" s="6">
        <v>45650</v>
      </c>
      <c r="E3576" s="3" t="str">
        <f ca="1">IF(Tabela2[[#This Row],[Dt Venc:]]&gt;TODAY(),"Em Aberto",IF(Tabela2[[#This Row],[D/venc]]="-","Enviado",IF(Tabela2[[#This Row],[Dt Venc:]]=TODAY(),"Vence Hoje","Vencida")))</f>
        <v>Enviado</v>
      </c>
      <c r="F3576" s="3" t="str">
        <f ca="1">IF(G3576=1,"-",Tabela2[[#This Row],[Dt Venc:]]-TODAY())</f>
        <v>-</v>
      </c>
      <c r="G3576" s="3">
        <v>1</v>
      </c>
      <c r="H3576" s="3"/>
    </row>
    <row r="3577" spans="1:8" hidden="1">
      <c r="A3577" s="3">
        <v>368700</v>
      </c>
      <c r="B3577" s="7" t="s">
        <v>39</v>
      </c>
      <c r="C3577" s="42">
        <v>1287.3900000000001</v>
      </c>
      <c r="D3577" s="6">
        <v>45650</v>
      </c>
      <c r="E3577" s="3" t="str">
        <f ca="1">IF(Tabela2[[#This Row],[Dt Venc:]]&gt;TODAY(),"Em Aberto",IF(Tabela2[[#This Row],[D/venc]]="-","Enviado",IF(Tabela2[[#This Row],[Dt Venc:]]=TODAY(),"Vence Hoje","Vencida")))</f>
        <v>Enviado</v>
      </c>
      <c r="F3577" s="3" t="str">
        <f ca="1">IF(G3577=1,"-",Tabela2[[#This Row],[Dt Venc:]]-TODAY())</f>
        <v>-</v>
      </c>
      <c r="G3577" s="3">
        <v>1</v>
      </c>
      <c r="H3577" s="3"/>
    </row>
    <row r="3578" spans="1:8" hidden="1">
      <c r="A3578" s="3">
        <v>218550</v>
      </c>
      <c r="B3578" s="7" t="s">
        <v>127</v>
      </c>
      <c r="C3578" s="42">
        <v>770.72</v>
      </c>
      <c r="D3578" s="6">
        <v>45650</v>
      </c>
      <c r="E3578" s="3" t="str">
        <f ca="1">IF(Tabela2[[#This Row],[Dt Venc:]]&gt;TODAY(),"Em Aberto",IF(Tabela2[[#This Row],[D/venc]]="-","Enviado",IF(Tabela2[[#This Row],[Dt Venc:]]=TODAY(),"Vence Hoje","Vencida")))</f>
        <v>Enviado</v>
      </c>
      <c r="F3578" s="3" t="str">
        <f ca="1">IF(G3578=1,"-",Tabela2[[#This Row],[Dt Venc:]]-TODAY())</f>
        <v>-</v>
      </c>
      <c r="G3578" s="3">
        <v>1</v>
      </c>
      <c r="H3578" s="3"/>
    </row>
    <row r="3579" spans="1:8" hidden="1">
      <c r="A3579" s="3">
        <v>12194</v>
      </c>
      <c r="B3579" s="7" t="s">
        <v>402</v>
      </c>
      <c r="C3579" s="41">
        <v>1883.22</v>
      </c>
      <c r="D3579" s="6">
        <v>45650</v>
      </c>
      <c r="E3579" s="3" t="str">
        <f ca="1">IF(Tabela2[[#This Row],[Dt Venc:]]&gt;TODAY(),"Em Aberto",IF(Tabela2[[#This Row],[D/venc]]="-","Enviado",IF(Tabela2[[#This Row],[Dt Venc:]]=TODAY(),"Vence Hoje","Vencida")))</f>
        <v>Enviado</v>
      </c>
      <c r="F3579" s="3" t="str">
        <f ca="1">IF(G3579=1,"-",Tabela2[[#This Row],[Dt Venc:]]-TODAY())</f>
        <v>-</v>
      </c>
      <c r="G3579" s="3">
        <v>1</v>
      </c>
      <c r="H3579" s="3"/>
    </row>
    <row r="3580" spans="1:8" hidden="1">
      <c r="A3580" s="3">
        <v>1528</v>
      </c>
      <c r="B3580" s="7" t="s">
        <v>92</v>
      </c>
      <c r="C3580" s="42">
        <v>8866.67</v>
      </c>
      <c r="D3580" s="6">
        <v>45650</v>
      </c>
      <c r="E3580" s="3" t="str">
        <f ca="1">IF(Tabela2[[#This Row],[Dt Venc:]]&gt;TODAY(),"Em Aberto",IF(Tabela2[[#This Row],[D/venc]]="-","Enviado",IF(Tabela2[[#This Row],[Dt Venc:]]=TODAY(),"Vence Hoje","Vencida")))</f>
        <v>Enviado</v>
      </c>
      <c r="F3580" s="3" t="str">
        <f ca="1">IF(G3580=1,"-",Tabela2[[#This Row],[Dt Venc:]]-TODAY())</f>
        <v>-</v>
      </c>
      <c r="G3580" s="3">
        <v>1</v>
      </c>
      <c r="H3580" s="3"/>
    </row>
    <row r="3581" spans="1:8" hidden="1">
      <c r="A3581" s="3">
        <v>614292</v>
      </c>
      <c r="B3581" s="7" t="s">
        <v>66</v>
      </c>
      <c r="C3581" s="41">
        <v>676.37</v>
      </c>
      <c r="D3581" s="6">
        <v>45650</v>
      </c>
      <c r="E3581" s="3" t="str">
        <f ca="1">IF(Tabela2[[#This Row],[Dt Venc:]]&gt;TODAY(),"Em Aberto",IF(Tabela2[[#This Row],[D/venc]]="-","Enviado",IF(Tabela2[[#This Row],[Dt Venc:]]=TODAY(),"Vence Hoje","Vencida")))</f>
        <v>Enviado</v>
      </c>
      <c r="F3581" s="3" t="str">
        <f ca="1">IF(G3581=1,"-",Tabela2[[#This Row],[Dt Venc:]]-TODAY())</f>
        <v>-</v>
      </c>
      <c r="G3581" s="3">
        <v>1</v>
      </c>
      <c r="H3581" s="3"/>
    </row>
    <row r="3582" spans="1:8" hidden="1">
      <c r="A3582" s="3">
        <v>1531</v>
      </c>
      <c r="B3582" s="7" t="s">
        <v>258</v>
      </c>
      <c r="C3582" s="41">
        <v>983.33</v>
      </c>
      <c r="D3582" s="6">
        <v>45650</v>
      </c>
      <c r="E3582" s="3" t="str">
        <f ca="1">IF(Tabela2[[#This Row],[Dt Venc:]]&gt;TODAY(),"Em Aberto",IF(Tabela2[[#This Row],[D/venc]]="-","Enviado",IF(Tabela2[[#This Row],[Dt Venc:]]=TODAY(),"Vence Hoje","Vencida")))</f>
        <v>Enviado</v>
      </c>
      <c r="F3582" s="3" t="str">
        <f ca="1">IF(G3582=1,"-",Tabela2[[#This Row],[Dt Venc:]]-TODAY())</f>
        <v>-</v>
      </c>
      <c r="G3582" s="3">
        <v>1</v>
      </c>
      <c r="H3582" s="3"/>
    </row>
    <row r="3583" spans="1:8" hidden="1">
      <c r="A3583" s="3">
        <v>71109</v>
      </c>
      <c r="B3583" s="7" t="s">
        <v>76</v>
      </c>
      <c r="C3583" s="42">
        <v>1716.65</v>
      </c>
      <c r="D3583" s="6">
        <v>45650</v>
      </c>
      <c r="E3583" s="3" t="str">
        <f ca="1">IF(Tabela2[[#This Row],[Dt Venc:]]&gt;TODAY(),"Em Aberto",IF(Tabela2[[#This Row],[D/venc]]="-","Enviado",IF(Tabela2[[#This Row],[Dt Venc:]]=TODAY(),"Vence Hoje","Vencida")))</f>
        <v>Enviado</v>
      </c>
      <c r="F3583" s="3" t="str">
        <f ca="1">IF(G3583=1,"-",Tabela2[[#This Row],[Dt Venc:]]-TODAY())</f>
        <v>-</v>
      </c>
      <c r="G3583" s="3">
        <v>1</v>
      </c>
      <c r="H3583" s="3"/>
    </row>
    <row r="3584" spans="1:8" hidden="1">
      <c r="A3584" s="3">
        <v>71134</v>
      </c>
      <c r="B3584" s="7" t="s">
        <v>76</v>
      </c>
      <c r="C3584" s="42">
        <v>381.54</v>
      </c>
      <c r="D3584" s="6">
        <v>45650</v>
      </c>
      <c r="E3584" s="3" t="str">
        <f ca="1">IF(Tabela2[[#This Row],[Dt Venc:]]&gt;TODAY(),"Em Aberto",IF(Tabela2[[#This Row],[D/venc]]="-","Enviado",IF(Tabela2[[#This Row],[Dt Venc:]]=TODAY(),"Vence Hoje","Vencida")))</f>
        <v>Enviado</v>
      </c>
      <c r="F3584" s="3" t="str">
        <f ca="1">IF(G3584=1,"-",Tabela2[[#This Row],[Dt Venc:]]-TODAY())</f>
        <v>-</v>
      </c>
      <c r="G3584" s="3">
        <v>1</v>
      </c>
      <c r="H3584" s="3"/>
    </row>
    <row r="3585" spans="1:8" hidden="1">
      <c r="A3585" s="3">
        <v>72408</v>
      </c>
      <c r="B3585" s="7" t="s">
        <v>76</v>
      </c>
      <c r="C3585" s="41">
        <v>2543.92</v>
      </c>
      <c r="D3585" s="6">
        <v>45650</v>
      </c>
      <c r="E3585" s="3" t="str">
        <f ca="1">IF(Tabela2[[#This Row],[Dt Venc:]]&gt;TODAY(),"Em Aberto",IF(Tabela2[[#This Row],[D/venc]]="-","Enviado",IF(Tabela2[[#This Row],[Dt Venc:]]=TODAY(),"Vence Hoje","Vencida")))</f>
        <v>Enviado</v>
      </c>
      <c r="F3585" s="3" t="str">
        <f ca="1">IF(G3585=1,"-",Tabela2[[#This Row],[Dt Venc:]]-TODAY())</f>
        <v>-</v>
      </c>
      <c r="G3585" s="3">
        <v>1</v>
      </c>
      <c r="H3585" s="3"/>
    </row>
    <row r="3586" spans="1:8" hidden="1">
      <c r="A3586" s="3">
        <v>246353</v>
      </c>
      <c r="B3586" s="7" t="s">
        <v>43</v>
      </c>
      <c r="C3586" s="41">
        <v>773.34</v>
      </c>
      <c r="D3586" s="6">
        <v>45650</v>
      </c>
      <c r="E3586" s="3" t="str">
        <f ca="1">IF(Tabela2[[#This Row],[Dt Venc:]]&gt;TODAY(),"Em Aberto",IF(Tabela2[[#This Row],[D/venc]]="-","Enviado",IF(Tabela2[[#This Row],[Dt Venc:]]=TODAY(),"Vence Hoje","Vencida")))</f>
        <v>Enviado</v>
      </c>
      <c r="F3586" s="3" t="str">
        <f ca="1">IF(G3586=1,"-",Tabela2[[#This Row],[Dt Venc:]]-TODAY())</f>
        <v>-</v>
      </c>
      <c r="G3586" s="3">
        <v>1</v>
      </c>
      <c r="H3586" s="3"/>
    </row>
    <row r="3587" spans="1:8" hidden="1">
      <c r="A3587" s="3">
        <v>28083</v>
      </c>
      <c r="B3587" s="7" t="s">
        <v>142</v>
      </c>
      <c r="C3587" s="42">
        <v>430.26</v>
      </c>
      <c r="D3587" s="6">
        <v>45650</v>
      </c>
      <c r="E3587" s="3" t="str">
        <f ca="1">IF(Tabela2[[#This Row],[Dt Venc:]]&gt;TODAY(),"Em Aberto",IF(Tabela2[[#This Row],[D/venc]]="-","Enviado",IF(Tabela2[[#This Row],[Dt Venc:]]=TODAY(),"Vence Hoje","Vencida")))</f>
        <v>Enviado</v>
      </c>
      <c r="F3587" s="3" t="str">
        <f ca="1">IF(G3587=1,"-",Tabela2[[#This Row],[Dt Venc:]]-TODAY())</f>
        <v>-</v>
      </c>
      <c r="G3587" s="3">
        <v>1</v>
      </c>
      <c r="H3587" s="3"/>
    </row>
    <row r="3588" spans="1:8" hidden="1">
      <c r="A3588" s="3">
        <v>326146</v>
      </c>
      <c r="B3588" s="7" t="s">
        <v>348</v>
      </c>
      <c r="C3588" s="42">
        <v>405</v>
      </c>
      <c r="D3588" s="6">
        <v>45650</v>
      </c>
      <c r="E3588" s="3" t="str">
        <f ca="1">IF(Tabela2[[#This Row],[Dt Venc:]]&gt;TODAY(),"Em Aberto",IF(Tabela2[[#This Row],[D/venc]]="-","Enviado",IF(Tabela2[[#This Row],[Dt Venc:]]=TODAY(),"Vence Hoje","Vencida")))</f>
        <v>Enviado</v>
      </c>
      <c r="F3588" s="3" t="str">
        <f ca="1">IF(G3588=1,"-",Tabela2[[#This Row],[Dt Venc:]]-TODAY())</f>
        <v>-</v>
      </c>
      <c r="G3588" s="3">
        <v>1</v>
      </c>
      <c r="H3588" s="3"/>
    </row>
    <row r="3589" spans="1:8" hidden="1">
      <c r="A3589" s="3">
        <v>153098</v>
      </c>
      <c r="B3589" s="7" t="s">
        <v>348</v>
      </c>
      <c r="C3589" s="42">
        <v>1233.33</v>
      </c>
      <c r="D3589" s="6">
        <v>45650</v>
      </c>
      <c r="E3589" s="3" t="str">
        <f ca="1">IF(Tabela2[[#This Row],[Dt Venc:]]&gt;TODAY(),"Em Aberto",IF(Tabela2[[#This Row],[D/venc]]="-","Enviado",IF(Tabela2[[#This Row],[Dt Venc:]]=TODAY(),"Vence Hoje","Vencida")))</f>
        <v>Enviado</v>
      </c>
      <c r="F3589" s="3" t="str">
        <f ca="1">IF(G3589=1,"-",Tabela2[[#This Row],[Dt Venc:]]-TODAY())</f>
        <v>-</v>
      </c>
      <c r="G3589" s="3">
        <v>1</v>
      </c>
      <c r="H3589" s="3"/>
    </row>
    <row r="3590" spans="1:8" hidden="1">
      <c r="A3590" s="3">
        <v>5920</v>
      </c>
      <c r="B3590" s="7" t="s">
        <v>47</v>
      </c>
      <c r="C3590" s="42">
        <v>1472.26</v>
      </c>
      <c r="D3590" s="6">
        <v>45650</v>
      </c>
      <c r="E3590" s="3" t="str">
        <f ca="1">IF(Tabela2[[#This Row],[Dt Venc:]]&gt;TODAY(),"Em Aberto",IF(Tabela2[[#This Row],[D/venc]]="-","Enviado",IF(Tabela2[[#This Row],[Dt Venc:]]=TODAY(),"Vence Hoje","Vencida")))</f>
        <v>Enviado</v>
      </c>
      <c r="F3590" s="3" t="str">
        <f ca="1">IF(G3590=1,"-",Tabela2[[#This Row],[Dt Venc:]]-TODAY())</f>
        <v>-</v>
      </c>
      <c r="G3590" s="3">
        <v>1</v>
      </c>
      <c r="H3590" s="3"/>
    </row>
    <row r="3591" spans="1:8" hidden="1">
      <c r="A3591" s="3">
        <v>1218</v>
      </c>
      <c r="B3591" s="7" t="s">
        <v>466</v>
      </c>
      <c r="C3591" s="41">
        <v>2990</v>
      </c>
      <c r="D3591" s="6">
        <v>45650</v>
      </c>
      <c r="E3591" s="3" t="str">
        <f ca="1">IF(Tabela2[[#This Row],[Dt Venc:]]&gt;TODAY(),"Em Aberto",IF(Tabela2[[#This Row],[D/venc]]="-","Enviado",IF(Tabela2[[#This Row],[Dt Venc:]]=TODAY(),"Vence Hoje","Vencida")))</f>
        <v>Enviado</v>
      </c>
      <c r="F3591" s="3" t="str">
        <f ca="1">IF(G3591=1,"-",Tabela2[[#This Row],[Dt Venc:]]-TODAY())</f>
        <v>-</v>
      </c>
      <c r="G3591" s="3">
        <v>1</v>
      </c>
      <c r="H3591" s="3"/>
    </row>
    <row r="3592" spans="1:8" hidden="1">
      <c r="A3592" s="3">
        <v>677</v>
      </c>
      <c r="B3592" s="7" t="s">
        <v>466</v>
      </c>
      <c r="C3592" s="41">
        <v>2965</v>
      </c>
      <c r="D3592" s="6">
        <v>45650</v>
      </c>
      <c r="E3592" s="3" t="str">
        <f ca="1">IF(Tabela2[[#This Row],[Dt Venc:]]&gt;TODAY(),"Em Aberto",IF(Tabela2[[#This Row],[D/venc]]="-","Enviado",IF(Tabela2[[#This Row],[Dt Venc:]]=TODAY(),"Vence Hoje","Vencida")))</f>
        <v>Enviado</v>
      </c>
      <c r="F3592" s="3" t="str">
        <f ca="1">IF(G3592=1,"-",Tabela2[[#This Row],[Dt Venc:]]-TODAY())</f>
        <v>-</v>
      </c>
      <c r="G3592" s="3">
        <v>1</v>
      </c>
      <c r="H3592" s="3"/>
    </row>
    <row r="3593" spans="1:8" hidden="1">
      <c r="A3593" s="3">
        <v>96</v>
      </c>
      <c r="B3593" s="7" t="s">
        <v>339</v>
      </c>
      <c r="C3593" s="42">
        <v>7413.34</v>
      </c>
      <c r="D3593" s="6">
        <v>45650</v>
      </c>
      <c r="E3593" s="3" t="str">
        <f ca="1">IF(Tabela2[[#This Row],[Dt Venc:]]&gt;TODAY(),"Em Aberto",IF(Tabela2[[#This Row],[D/venc]]="-","Enviado",IF(Tabela2[[#This Row],[Dt Venc:]]=TODAY(),"Vence Hoje","Vencida")))</f>
        <v>Enviado</v>
      </c>
      <c r="F3593" s="3" t="str">
        <f ca="1">IF(G3593=1,"-",Tabela2[[#This Row],[Dt Venc:]]-TODAY())</f>
        <v>-</v>
      </c>
      <c r="G3593" s="3">
        <v>1</v>
      </c>
      <c r="H3593" s="3"/>
    </row>
    <row r="3594" spans="1:8" hidden="1">
      <c r="A3594" s="3">
        <v>10940</v>
      </c>
      <c r="B3594" s="7" t="s">
        <v>174</v>
      </c>
      <c r="C3594" s="42">
        <v>440</v>
      </c>
      <c r="D3594" s="6">
        <v>45650</v>
      </c>
      <c r="E3594" s="3" t="str">
        <f ca="1">IF(Tabela2[[#This Row],[Dt Venc:]]&gt;TODAY(),"Em Aberto",IF(Tabela2[[#This Row],[D/venc]]="-","Enviado",IF(Tabela2[[#This Row],[Dt Venc:]]=TODAY(),"Vence Hoje","Vencida")))</f>
        <v>Enviado</v>
      </c>
      <c r="F3594" s="3" t="str">
        <f ca="1">IF(G3594=1,"-",Tabela2[[#This Row],[Dt Venc:]]-TODAY())</f>
        <v>-</v>
      </c>
      <c r="G3594" s="3">
        <v>1</v>
      </c>
      <c r="H3594" s="3"/>
    </row>
    <row r="3595" spans="1:8" hidden="1">
      <c r="A3595" s="3">
        <v>1123</v>
      </c>
      <c r="B3595" s="7" t="s">
        <v>155</v>
      </c>
      <c r="C3595" s="41">
        <v>12950</v>
      </c>
      <c r="D3595" s="6">
        <v>45650</v>
      </c>
      <c r="E3595" s="3" t="str">
        <f ca="1">IF(Tabela2[[#This Row],[Dt Venc:]]&gt;TODAY(),"Em Aberto",IF(Tabela2[[#This Row],[D/venc]]="-","Enviado",IF(Tabela2[[#This Row],[Dt Venc:]]=TODAY(),"Vence Hoje","Vencida")))</f>
        <v>Enviado</v>
      </c>
      <c r="F3595" s="3" t="str">
        <f ca="1">IF(G3595=1,"-",Tabela2[[#This Row],[Dt Venc:]]-TODAY())</f>
        <v>-</v>
      </c>
      <c r="G3595" s="3">
        <v>1</v>
      </c>
      <c r="H3595" s="3"/>
    </row>
    <row r="3596" spans="1:8" hidden="1">
      <c r="A3596" s="3">
        <v>1257144</v>
      </c>
      <c r="B3596" s="7" t="s">
        <v>64</v>
      </c>
      <c r="C3596" s="41">
        <v>695.36</v>
      </c>
      <c r="D3596" s="6">
        <v>45650</v>
      </c>
      <c r="E3596" s="3" t="str">
        <f ca="1">IF(Tabela2[[#This Row],[Dt Venc:]]&gt;TODAY(),"Em Aberto",IF(Tabela2[[#This Row],[D/venc]]="-","Enviado",IF(Tabela2[[#This Row],[Dt Venc:]]=TODAY(),"Vence Hoje","Vencida")))</f>
        <v>Enviado</v>
      </c>
      <c r="F3596" s="3" t="str">
        <f ca="1">IF(G3596=1,"-",Tabela2[[#This Row],[Dt Venc:]]-TODAY())</f>
        <v>-</v>
      </c>
      <c r="G3596" s="3">
        <v>1</v>
      </c>
      <c r="H3596" s="3"/>
    </row>
    <row r="3597" spans="1:8" hidden="1">
      <c r="A3597" s="3">
        <v>258553</v>
      </c>
      <c r="B3597" s="7" t="s">
        <v>43</v>
      </c>
      <c r="C3597" s="41">
        <v>664</v>
      </c>
      <c r="D3597" s="6">
        <v>45650</v>
      </c>
      <c r="E3597" s="3" t="str">
        <f ca="1">IF(Tabela2[[#This Row],[Dt Venc:]]&gt;TODAY(),"Em Aberto",IF(Tabela2[[#This Row],[D/venc]]="-","Enviado",IF(Tabela2[[#This Row],[Dt Venc:]]=TODAY(),"Vence Hoje","Vencida")))</f>
        <v>Enviado</v>
      </c>
      <c r="F3597" s="3" t="str">
        <f ca="1">IF(G3597=1,"-",Tabela2[[#This Row],[Dt Venc:]]-TODAY())</f>
        <v>-</v>
      </c>
      <c r="G3597" s="3">
        <v>1</v>
      </c>
      <c r="H3597" s="3"/>
    </row>
    <row r="3598" spans="1:8" hidden="1">
      <c r="A3598" s="3">
        <v>46683</v>
      </c>
      <c r="B3598" s="7" t="s">
        <v>197</v>
      </c>
      <c r="C3598" s="41">
        <v>1581.33</v>
      </c>
      <c r="D3598" s="6">
        <v>45650</v>
      </c>
      <c r="E3598" s="3" t="str">
        <f ca="1">IF(Tabela2[[#This Row],[Dt Venc:]]&gt;TODAY(),"Em Aberto",IF(Tabela2[[#This Row],[D/venc]]="-","Enviado",IF(Tabela2[[#This Row],[Dt Venc:]]=TODAY(),"Vence Hoje","Vencida")))</f>
        <v>Enviado</v>
      </c>
      <c r="F3598" s="3" t="str">
        <f ca="1">IF(G3598=1,"-",Tabela2[[#This Row],[Dt Venc:]]-TODAY())</f>
        <v>-</v>
      </c>
      <c r="G3598" s="3">
        <v>1</v>
      </c>
      <c r="H3598" s="3"/>
    </row>
    <row r="3599" spans="1:8" hidden="1">
      <c r="A3599" s="3">
        <v>203910</v>
      </c>
      <c r="B3599" s="7" t="s">
        <v>200</v>
      </c>
      <c r="C3599" s="41">
        <v>1395.33</v>
      </c>
      <c r="D3599" s="6">
        <v>45650</v>
      </c>
      <c r="E3599" s="3" t="str">
        <f ca="1">IF(Tabela2[[#This Row],[Dt Venc:]]&gt;TODAY(),"Em Aberto",IF(Tabela2[[#This Row],[D/venc]]="-","Enviado",IF(Tabela2[[#This Row],[Dt Venc:]]=TODAY(),"Vence Hoje","Vencida")))</f>
        <v>Enviado</v>
      </c>
      <c r="F3599" s="3" t="str">
        <f ca="1">IF(G3599=1,"-",Tabela2[[#This Row],[Dt Venc:]]-TODAY())</f>
        <v>-</v>
      </c>
      <c r="G3599" s="3">
        <v>1</v>
      </c>
      <c r="H3599" s="3"/>
    </row>
    <row r="3600" spans="1:8" hidden="1">
      <c r="A3600" s="3">
        <v>13634</v>
      </c>
      <c r="B3600" s="7" t="s">
        <v>408</v>
      </c>
      <c r="C3600" s="41">
        <v>592.48</v>
      </c>
      <c r="D3600" s="6">
        <v>45650</v>
      </c>
      <c r="E3600" s="3" t="str">
        <f ca="1">IF(Tabela2[[#This Row],[Dt Venc:]]&gt;TODAY(),"Em Aberto",IF(Tabela2[[#This Row],[D/venc]]="-","Enviado",IF(Tabela2[[#This Row],[Dt Venc:]]=TODAY(),"Vence Hoje","Vencida")))</f>
        <v>Enviado</v>
      </c>
      <c r="F3600" s="3" t="str">
        <f ca="1">IF(G3600=1,"-",Tabela2[[#This Row],[Dt Venc:]]-TODAY())</f>
        <v>-</v>
      </c>
      <c r="G3600" s="3">
        <v>1</v>
      </c>
      <c r="H3600" s="3"/>
    </row>
    <row r="3601" spans="1:8" hidden="1">
      <c r="A3601" s="3">
        <v>11067</v>
      </c>
      <c r="B3601" s="7" t="s">
        <v>305</v>
      </c>
      <c r="C3601" s="41">
        <v>1660</v>
      </c>
      <c r="D3601" s="6">
        <v>45650</v>
      </c>
      <c r="E3601" s="3" t="str">
        <f ca="1">IF(Tabela2[[#This Row],[Dt Venc:]]&gt;TODAY(),"Em Aberto",IF(Tabela2[[#This Row],[D/venc]]="-","Enviado",IF(Tabela2[[#This Row],[Dt Venc:]]=TODAY(),"Vence Hoje","Vencida")))</f>
        <v>Enviado</v>
      </c>
      <c r="F3601" s="3" t="str">
        <f ca="1">IF(G3601=1,"-",Tabela2[[#This Row],[Dt Venc:]]-TODAY())</f>
        <v>-</v>
      </c>
      <c r="G3601" s="3">
        <v>1</v>
      </c>
      <c r="H3601" s="3"/>
    </row>
    <row r="3602" spans="1:8" hidden="1">
      <c r="A3602" s="3">
        <v>62660</v>
      </c>
      <c r="B3602" s="7" t="s">
        <v>465</v>
      </c>
      <c r="C3602" s="41">
        <v>2149.2600000000002</v>
      </c>
      <c r="D3602" s="6">
        <v>45650</v>
      </c>
      <c r="E3602" s="3" t="str">
        <f ca="1">IF(Tabela2[[#This Row],[Dt Venc:]]&gt;TODAY(),"Em Aberto",IF(Tabela2[[#This Row],[D/venc]]="-","Enviado",IF(Tabela2[[#This Row],[Dt Venc:]]=TODAY(),"Vence Hoje","Vencida")))</f>
        <v>Enviado</v>
      </c>
      <c r="F3602" s="3" t="str">
        <f ca="1">IF(G3602=1,"-",Tabela2[[#This Row],[Dt Venc:]]-TODAY())</f>
        <v>-</v>
      </c>
      <c r="G3602" s="3">
        <v>1</v>
      </c>
      <c r="H3602" s="3"/>
    </row>
    <row r="3603" spans="1:8" hidden="1">
      <c r="A3603" s="3">
        <v>245167</v>
      </c>
      <c r="B3603" s="7" t="s">
        <v>43</v>
      </c>
      <c r="C3603" s="41">
        <v>472</v>
      </c>
      <c r="D3603" s="6">
        <v>45650</v>
      </c>
      <c r="E3603" s="3" t="str">
        <f ca="1">IF(Tabela2[[#This Row],[Dt Venc:]]&gt;TODAY(),"Em Aberto",IF(Tabela2[[#This Row],[D/venc]]="-","Enviado",IF(Tabela2[[#This Row],[Dt Venc:]]=TODAY(),"Vence Hoje","Vencida")))</f>
        <v>Enviado</v>
      </c>
      <c r="F3603" s="3" t="str">
        <f ca="1">IF(G3603=1,"-",Tabela2[[#This Row],[Dt Venc:]]-TODAY())</f>
        <v>-</v>
      </c>
      <c r="G3603" s="3">
        <v>1</v>
      </c>
      <c r="H3603" s="3"/>
    </row>
    <row r="3604" spans="1:8" hidden="1">
      <c r="A3604" s="3">
        <v>2276215</v>
      </c>
      <c r="B3604" s="7" t="s">
        <v>59</v>
      </c>
      <c r="C3604" s="41">
        <v>55777</v>
      </c>
      <c r="D3604" s="6">
        <v>45650</v>
      </c>
      <c r="E3604" s="3" t="str">
        <f ca="1">IF(Tabela2[[#This Row],[Dt Venc:]]&gt;TODAY(),"Em Aberto",IF(Tabela2[[#This Row],[D/venc]]="-","Enviado",IF(Tabela2[[#This Row],[Dt Venc:]]=TODAY(),"Vence Hoje","Vencida")))</f>
        <v>Enviado</v>
      </c>
      <c r="F3604" s="3" t="str">
        <f ca="1">IF(G3604=1,"-",Tabela2[[#This Row],[Dt Venc:]]-TODAY())</f>
        <v>-</v>
      </c>
      <c r="G3604" s="3">
        <v>1</v>
      </c>
      <c r="H3604" s="3"/>
    </row>
    <row r="3605" spans="1:8" hidden="1">
      <c r="A3605" s="3">
        <v>2002005</v>
      </c>
      <c r="B3605" s="7" t="s">
        <v>59</v>
      </c>
      <c r="C3605" s="41">
        <v>111358</v>
      </c>
      <c r="D3605" s="6">
        <v>45650</v>
      </c>
      <c r="E3605" s="3" t="str">
        <f ca="1">IF(Tabela2[[#This Row],[Dt Venc:]]&gt;TODAY(),"Em Aberto",IF(Tabela2[[#This Row],[D/venc]]="-","Enviado",IF(Tabela2[[#This Row],[Dt Venc:]]=TODAY(),"Vence Hoje","Vencida")))</f>
        <v>Enviado</v>
      </c>
      <c r="F3605" s="3" t="str">
        <f ca="1">IF(G3605=1,"-",Tabela2[[#This Row],[Dt Venc:]]-TODAY())</f>
        <v>-</v>
      </c>
      <c r="G3605" s="3">
        <v>1</v>
      </c>
      <c r="H3605" s="3"/>
    </row>
    <row r="3606" spans="1:8" hidden="1">
      <c r="A3606" s="3">
        <v>3322235</v>
      </c>
      <c r="B3606" s="7" t="s">
        <v>71</v>
      </c>
      <c r="C3606" s="41">
        <v>83617.5</v>
      </c>
      <c r="D3606" s="6">
        <v>45650</v>
      </c>
      <c r="E3606" s="3" t="str">
        <f ca="1">IF(Tabela2[[#This Row],[Dt Venc:]]&gt;TODAY(),"Em Aberto",IF(Tabela2[[#This Row],[D/venc]]="-","Enviado",IF(Tabela2[[#This Row],[Dt Venc:]]=TODAY(),"Vence Hoje","Vencida")))</f>
        <v>Enviado</v>
      </c>
      <c r="F3606" s="3" t="str">
        <f ca="1">IF(G3606=1,"-",Tabela2[[#This Row],[Dt Venc:]]-TODAY())</f>
        <v>-</v>
      </c>
      <c r="G3606" s="3">
        <v>1</v>
      </c>
      <c r="H3606" s="3"/>
    </row>
    <row r="3607" spans="1:8" hidden="1">
      <c r="A3607" s="3">
        <v>142335</v>
      </c>
      <c r="B3607" s="7" t="s">
        <v>60</v>
      </c>
      <c r="C3607" s="41">
        <v>390</v>
      </c>
      <c r="D3607" s="6">
        <v>45650</v>
      </c>
      <c r="E3607" s="3" t="str">
        <f ca="1">IF(Tabela2[[#This Row],[Dt Venc:]]&gt;TODAY(),"Em Aberto",IF(Tabela2[[#This Row],[D/venc]]="-","Enviado",IF(Tabela2[[#This Row],[Dt Venc:]]=TODAY(),"Vence Hoje","Vencida")))</f>
        <v>Enviado</v>
      </c>
      <c r="F3607" s="3" t="str">
        <f ca="1">IF(G3607=1,"-",Tabela2[[#This Row],[Dt Venc:]]-TODAY())</f>
        <v>-</v>
      </c>
      <c r="G3607" s="3">
        <v>1</v>
      </c>
      <c r="H3607" s="3"/>
    </row>
    <row r="3608" spans="1:8" hidden="1">
      <c r="A3608" s="3">
        <v>555</v>
      </c>
      <c r="B3608" s="7" t="s">
        <v>564</v>
      </c>
      <c r="C3608" s="41">
        <v>2700</v>
      </c>
      <c r="D3608" s="6">
        <v>45650</v>
      </c>
      <c r="E3608" s="3" t="str">
        <f ca="1">IF(Tabela2[[#This Row],[Dt Venc:]]&gt;TODAY(),"Em Aberto",IF(Tabela2[[#This Row],[D/venc]]="-","Enviado",IF(Tabela2[[#This Row],[Dt Venc:]]=TODAY(),"Vence Hoje","Vencida")))</f>
        <v>Enviado</v>
      </c>
      <c r="F3608" s="3" t="str">
        <f ca="1">IF(G3608=1,"-",Tabela2[[#This Row],[Dt Venc:]]-TODAY())</f>
        <v>-</v>
      </c>
      <c r="G3608" s="3">
        <v>1</v>
      </c>
      <c r="H3608" s="3"/>
    </row>
    <row r="3609" spans="1:8" hidden="1">
      <c r="A3609" s="3">
        <v>495914</v>
      </c>
      <c r="B3609" s="7" t="s">
        <v>153</v>
      </c>
      <c r="C3609" s="83" t="s">
        <v>32</v>
      </c>
      <c r="D3609" s="6">
        <v>45651</v>
      </c>
      <c r="E3609" s="3" t="str">
        <f ca="1">IF(Tabela2[[#This Row],[Dt Venc:]]&gt;TODAY(),"Em Aberto",IF(Tabela2[[#This Row],[D/venc]]="-","Enviado",IF(Tabela2[[#This Row],[Dt Venc:]]=TODAY(),"Vence Hoje","Vencida")))</f>
        <v>Enviado</v>
      </c>
      <c r="F3609" s="3" t="str">
        <f ca="1">IF(G3609=1,"-",Tabela2[[#This Row],[Dt Venc:]]-TODAY())</f>
        <v>-</v>
      </c>
      <c r="G3609" s="3">
        <v>1</v>
      </c>
      <c r="H3609" s="3"/>
    </row>
    <row r="3610" spans="1:8" hidden="1">
      <c r="A3610" s="3" t="s">
        <v>110</v>
      </c>
      <c r="B3610" s="7" t="s">
        <v>271</v>
      </c>
      <c r="C3610" s="87" t="s">
        <v>30</v>
      </c>
      <c r="D3610" s="6">
        <v>45651</v>
      </c>
      <c r="E3610" s="3" t="str">
        <f ca="1">IF(Tabela2[[#This Row],[Dt Venc:]]&gt;TODAY(),"Em Aberto",IF(Tabela2[[#This Row],[D/venc]]="-","Enviado",IF(Tabela2[[#This Row],[Dt Venc:]]=TODAY(),"Vence Hoje","Vencida")))</f>
        <v>Enviado</v>
      </c>
      <c r="F3610" s="3" t="str">
        <f ca="1">IF(G3610=1,"-",Tabela2[[#This Row],[Dt Venc:]]-TODAY())</f>
        <v>-</v>
      </c>
      <c r="G3610" s="3">
        <v>1</v>
      </c>
      <c r="H3610" s="3"/>
    </row>
    <row r="3611" spans="1:8" hidden="1">
      <c r="A3611" s="3">
        <v>30981</v>
      </c>
      <c r="B3611" s="7" t="s">
        <v>295</v>
      </c>
      <c r="C3611" s="42">
        <v>789.7</v>
      </c>
      <c r="D3611" s="6">
        <v>45651</v>
      </c>
      <c r="E3611" s="3" t="str">
        <f ca="1">IF(Tabela2[[#This Row],[Dt Venc:]]&gt;TODAY(),"Em Aberto",IF(Tabela2[[#This Row],[D/venc]]="-","Enviado",IF(Tabela2[[#This Row],[Dt Venc:]]=TODAY(),"Vence Hoje","Vencida")))</f>
        <v>Enviado</v>
      </c>
      <c r="F3611" s="3" t="str">
        <f ca="1">IF(G3611=1,"-",Tabela2[[#This Row],[Dt Venc:]]-TODAY())</f>
        <v>-</v>
      </c>
      <c r="G3611" s="3">
        <v>1</v>
      </c>
      <c r="H3611" s="3"/>
    </row>
    <row r="3612" spans="1:8" hidden="1">
      <c r="A3612" s="3">
        <v>1243967</v>
      </c>
      <c r="B3612" s="7" t="s">
        <v>64</v>
      </c>
      <c r="C3612" s="41">
        <v>868.66</v>
      </c>
      <c r="D3612" s="6">
        <v>45651</v>
      </c>
      <c r="E3612" s="3" t="str">
        <f ca="1">IF(Tabela2[[#This Row],[Dt Venc:]]&gt;TODAY(),"Em Aberto",IF(Tabela2[[#This Row],[D/venc]]="-","Enviado",IF(Tabela2[[#This Row],[Dt Venc:]]=TODAY(),"Vence Hoje","Vencida")))</f>
        <v>Enviado</v>
      </c>
      <c r="F3612" s="3" t="str">
        <f ca="1">IF(G3612=1,"-",Tabela2[[#This Row],[Dt Venc:]]-TODAY())</f>
        <v>-</v>
      </c>
      <c r="G3612" s="3">
        <v>1</v>
      </c>
      <c r="H3612" s="3"/>
    </row>
    <row r="3613" spans="1:8" hidden="1">
      <c r="A3613" s="3">
        <v>57506</v>
      </c>
      <c r="B3613" s="7" t="s">
        <v>356</v>
      </c>
      <c r="C3613" s="42">
        <v>1713</v>
      </c>
      <c r="D3613" s="6">
        <v>45651</v>
      </c>
      <c r="E3613" s="3" t="str">
        <f ca="1">IF(Tabela2[[#This Row],[Dt Venc:]]&gt;TODAY(),"Em Aberto",IF(Tabela2[[#This Row],[D/venc]]="-","Enviado",IF(Tabela2[[#This Row],[Dt Venc:]]=TODAY(),"Vence Hoje","Vencida")))</f>
        <v>Enviado</v>
      </c>
      <c r="F3613" s="3" t="str">
        <f ca="1">IF(G3613=1,"-",Tabela2[[#This Row],[Dt Venc:]]-TODAY())</f>
        <v>-</v>
      </c>
      <c r="G3613" s="3">
        <v>1</v>
      </c>
      <c r="H3613" s="3"/>
    </row>
    <row r="3614" spans="1:8" hidden="1">
      <c r="A3614" s="3">
        <v>23839</v>
      </c>
      <c r="B3614" s="7" t="s">
        <v>38</v>
      </c>
      <c r="C3614" s="41">
        <v>500</v>
      </c>
      <c r="D3614" s="6">
        <v>45651</v>
      </c>
      <c r="E3614" s="3" t="str">
        <f ca="1">IF(Tabela2[[#This Row],[Dt Venc:]]&gt;TODAY(),"Em Aberto",IF(Tabela2[[#This Row],[D/venc]]="-","Enviado",IF(Tabela2[[#This Row],[Dt Venc:]]=TODAY(),"Vence Hoje","Vencida")))</f>
        <v>Enviado</v>
      </c>
      <c r="F3614" s="3" t="str">
        <f ca="1">IF(G3614=1,"-",Tabela2[[#This Row],[Dt Venc:]]-TODAY())</f>
        <v>-</v>
      </c>
      <c r="G3614" s="3">
        <v>1</v>
      </c>
      <c r="H3614" s="3"/>
    </row>
    <row r="3615" spans="1:8" hidden="1">
      <c r="A3615" s="3">
        <v>1627</v>
      </c>
      <c r="B3615" s="7" t="s">
        <v>78</v>
      </c>
      <c r="C3615" s="41">
        <v>805.67</v>
      </c>
      <c r="D3615" s="6">
        <v>45651</v>
      </c>
      <c r="E3615" s="3" t="str">
        <f ca="1">IF(Tabela2[[#This Row],[Dt Venc:]]&gt;TODAY(),"Em Aberto",IF(Tabela2[[#This Row],[D/venc]]="-","Enviado",IF(Tabela2[[#This Row],[Dt Venc:]]=TODAY(),"Vence Hoje","Vencida")))</f>
        <v>Enviado</v>
      </c>
      <c r="F3615" s="3" t="str">
        <f ca="1">IF(G3615=1,"-",Tabela2[[#This Row],[Dt Venc:]]-TODAY())</f>
        <v>-</v>
      </c>
      <c r="G3615" s="3">
        <v>1</v>
      </c>
      <c r="H3615" s="3"/>
    </row>
    <row r="3616" spans="1:8" hidden="1">
      <c r="A3616" s="3">
        <v>610348</v>
      </c>
      <c r="B3616" s="7" t="s">
        <v>66</v>
      </c>
      <c r="C3616" s="42">
        <v>596.58000000000004</v>
      </c>
      <c r="D3616" s="6">
        <v>45651</v>
      </c>
      <c r="E3616" s="3" t="str">
        <f ca="1">IF(Tabela2[[#This Row],[Dt Venc:]]&gt;TODAY(),"Em Aberto",IF(Tabela2[[#This Row],[D/venc]]="-","Enviado",IF(Tabela2[[#This Row],[Dt Venc:]]=TODAY(),"Vence Hoje","Vencida")))</f>
        <v>Enviado</v>
      </c>
      <c r="F3616" s="3" t="str">
        <f ca="1">IF(G3616=1,"-",Tabela2[[#This Row],[Dt Venc:]]-TODAY())</f>
        <v>-</v>
      </c>
      <c r="G3616" s="3">
        <v>1</v>
      </c>
      <c r="H3616" s="3"/>
    </row>
    <row r="3617" spans="1:8" hidden="1">
      <c r="A3617" s="3">
        <v>30421</v>
      </c>
      <c r="B3617" s="7" t="s">
        <v>18</v>
      </c>
      <c r="C3617" s="41">
        <v>975</v>
      </c>
      <c r="D3617" s="6">
        <v>45651</v>
      </c>
      <c r="E3617" s="3" t="str">
        <f ca="1">IF(Tabela2[[#This Row],[Dt Venc:]]&gt;TODAY(),"Em Aberto",IF(Tabela2[[#This Row],[D/venc]]="-","Enviado",IF(Tabela2[[#This Row],[Dt Venc:]]=TODAY(),"Vence Hoje","Vencida")))</f>
        <v>Enviado</v>
      </c>
      <c r="F3617" s="3" t="str">
        <f ca="1">IF(G3617=1,"-",Tabela2[[#This Row],[Dt Venc:]]-TODAY())</f>
        <v>-</v>
      </c>
      <c r="G3617" s="3">
        <v>1</v>
      </c>
      <c r="H3617" s="3"/>
    </row>
    <row r="3618" spans="1:8" hidden="1">
      <c r="A3618" s="3">
        <v>234133</v>
      </c>
      <c r="B3618" s="7" t="s">
        <v>43</v>
      </c>
      <c r="C3618" s="42">
        <v>1410.36</v>
      </c>
      <c r="D3618" s="6">
        <v>45651</v>
      </c>
      <c r="E3618" s="3" t="str">
        <f ca="1">IF(Tabela2[[#This Row],[Dt Venc:]]&gt;TODAY(),"Em Aberto",IF(Tabela2[[#This Row],[D/venc]]="-","Enviado",IF(Tabela2[[#This Row],[Dt Venc:]]=TODAY(),"Vence Hoje","Vencida")))</f>
        <v>Enviado</v>
      </c>
      <c r="F3618" s="3" t="str">
        <f ca="1">IF(G3618=1,"-",Tabela2[[#This Row],[Dt Venc:]]-TODAY())</f>
        <v>-</v>
      </c>
      <c r="G3618" s="3">
        <v>1</v>
      </c>
      <c r="H3618" s="3"/>
    </row>
    <row r="3619" spans="1:8" hidden="1">
      <c r="A3619" s="3">
        <v>19082</v>
      </c>
      <c r="B3619" s="7" t="s">
        <v>367</v>
      </c>
      <c r="C3619" s="42">
        <v>835</v>
      </c>
      <c r="D3619" s="6">
        <v>45651</v>
      </c>
      <c r="E3619" s="3" t="str">
        <f ca="1">IF(Tabela2[[#This Row],[Dt Venc:]]&gt;TODAY(),"Em Aberto",IF(Tabela2[[#This Row],[D/venc]]="-","Enviado",IF(Tabela2[[#This Row],[Dt Venc:]]=TODAY(),"Vence Hoje","Vencida")))</f>
        <v>Enviado</v>
      </c>
      <c r="F3619" s="3" t="str">
        <f ca="1">IF(G3619=1,"-",Tabela2[[#This Row],[Dt Venc:]]-TODAY())</f>
        <v>-</v>
      </c>
      <c r="G3619" s="3">
        <v>1</v>
      </c>
      <c r="H3619" s="3"/>
    </row>
    <row r="3620" spans="1:8" hidden="1">
      <c r="A3620" s="3">
        <v>5861</v>
      </c>
      <c r="B3620" s="7" t="s">
        <v>140</v>
      </c>
      <c r="C3620" s="42">
        <v>1039.33</v>
      </c>
      <c r="D3620" s="6">
        <v>45651</v>
      </c>
      <c r="E3620" s="3" t="str">
        <f ca="1">IF(Tabela2[[#This Row],[Dt Venc:]]&gt;TODAY(),"Em Aberto",IF(Tabela2[[#This Row],[D/venc]]="-","Enviado",IF(Tabela2[[#This Row],[Dt Venc:]]=TODAY(),"Vence Hoje","Vencida")))</f>
        <v>Enviado</v>
      </c>
      <c r="F3620" s="3" t="str">
        <f ca="1">IF(G3620=1,"-",Tabela2[[#This Row],[Dt Venc:]]-TODAY())</f>
        <v>-</v>
      </c>
      <c r="G3620" s="3">
        <v>1</v>
      </c>
      <c r="H3620" s="3"/>
    </row>
    <row r="3621" spans="1:8" hidden="1">
      <c r="A3621" s="3">
        <v>21762</v>
      </c>
      <c r="B3621" s="7" t="s">
        <v>528</v>
      </c>
      <c r="C3621" s="41">
        <v>786.5</v>
      </c>
      <c r="D3621" s="6">
        <v>45651</v>
      </c>
      <c r="E3621" s="3" t="str">
        <f ca="1">IF(Tabela2[[#This Row],[Dt Venc:]]&gt;TODAY(),"Em Aberto",IF(Tabela2[[#This Row],[D/venc]]="-","Enviado",IF(Tabela2[[#This Row],[Dt Venc:]]=TODAY(),"Vence Hoje","Vencida")))</f>
        <v>Enviado</v>
      </c>
      <c r="F3621" s="3" t="str">
        <f ca="1">IF(G3621=1,"-",Tabela2[[#This Row],[Dt Venc:]]-TODAY())</f>
        <v>-</v>
      </c>
      <c r="G3621" s="3">
        <v>1</v>
      </c>
      <c r="H3621" s="3"/>
    </row>
    <row r="3622" spans="1:8" hidden="1">
      <c r="A3622" s="3">
        <v>174847</v>
      </c>
      <c r="B3622" s="7" t="s">
        <v>211</v>
      </c>
      <c r="C3622" s="41">
        <v>526.66</v>
      </c>
      <c r="D3622" s="6">
        <v>45651</v>
      </c>
      <c r="E3622" s="3" t="str">
        <f ca="1">IF(Tabela2[[#This Row],[Dt Venc:]]&gt;TODAY(),"Em Aberto",IF(Tabela2[[#This Row],[D/venc]]="-","Enviado",IF(Tabela2[[#This Row],[Dt Venc:]]=TODAY(),"Vence Hoje","Vencida")))</f>
        <v>Enviado</v>
      </c>
      <c r="F3622" s="3" t="str">
        <f ca="1">IF(G3622=1,"-",Tabela2[[#This Row],[Dt Venc:]]-TODAY())</f>
        <v>-</v>
      </c>
      <c r="G3622" s="3">
        <v>1</v>
      </c>
      <c r="H3622" s="3"/>
    </row>
    <row r="3623" spans="1:8" hidden="1">
      <c r="A3623" s="3">
        <v>89543</v>
      </c>
      <c r="B3623" s="7" t="s">
        <v>565</v>
      </c>
      <c r="C3623" s="41">
        <v>1516.67</v>
      </c>
      <c r="D3623" s="6">
        <v>45651</v>
      </c>
      <c r="E3623" s="3" t="str">
        <f ca="1">IF(Tabela2[[#This Row],[Dt Venc:]]&gt;TODAY(),"Em Aberto",IF(Tabela2[[#This Row],[D/venc]]="-","Enviado",IF(Tabela2[[#This Row],[Dt Venc:]]=TODAY(),"Vence Hoje","Vencida")))</f>
        <v>Enviado</v>
      </c>
      <c r="F3623" s="3" t="str">
        <f ca="1">IF(G3623=1,"-",Tabela2[[#This Row],[Dt Venc:]]-TODAY())</f>
        <v>-</v>
      </c>
      <c r="G3623" s="3">
        <v>1</v>
      </c>
      <c r="H3623" s="3"/>
    </row>
    <row r="3624" spans="1:8" hidden="1">
      <c r="A3624" s="3">
        <v>176666</v>
      </c>
      <c r="B3624" s="7" t="s">
        <v>211</v>
      </c>
      <c r="C3624" s="41">
        <v>900</v>
      </c>
      <c r="D3624" s="6">
        <v>45651</v>
      </c>
      <c r="E3624" s="3" t="str">
        <f ca="1">IF(Tabela2[[#This Row],[Dt Venc:]]&gt;TODAY(),"Em Aberto",IF(Tabela2[[#This Row],[D/venc]]="-","Enviado",IF(Tabela2[[#This Row],[Dt Venc:]]=TODAY(),"Vence Hoje","Vencida")))</f>
        <v>Enviado</v>
      </c>
      <c r="F3624" s="3" t="str">
        <f ca="1">IF(G3624=1,"-",Tabela2[[#This Row],[Dt Venc:]]-TODAY())</f>
        <v>-</v>
      </c>
      <c r="G3624" s="3">
        <v>1</v>
      </c>
      <c r="H3624" s="3"/>
    </row>
    <row r="3625" spans="1:8" hidden="1">
      <c r="A3625" s="3">
        <v>71340</v>
      </c>
      <c r="B3625" s="7" t="s">
        <v>333</v>
      </c>
      <c r="C3625" s="41">
        <v>787.33</v>
      </c>
      <c r="D3625" s="6">
        <v>45651</v>
      </c>
      <c r="E3625" s="3" t="str">
        <f ca="1">IF(Tabela2[[#This Row],[Dt Venc:]]&gt;TODAY(),"Em Aberto",IF(Tabela2[[#This Row],[D/venc]]="-","Enviado",IF(Tabela2[[#This Row],[Dt Venc:]]=TODAY(),"Vence Hoje","Vencida")))</f>
        <v>Enviado</v>
      </c>
      <c r="F3625" s="3" t="str">
        <f ca="1">IF(G3625=1,"-",Tabela2[[#This Row],[Dt Venc:]]-TODAY())</f>
        <v>-</v>
      </c>
      <c r="G3625" s="3">
        <v>1</v>
      </c>
      <c r="H3625" s="3"/>
    </row>
    <row r="3626" spans="1:8" hidden="1">
      <c r="A3626" s="3">
        <v>229035</v>
      </c>
      <c r="B3626" s="7" t="s">
        <v>306</v>
      </c>
      <c r="C3626" s="41">
        <v>495.6</v>
      </c>
      <c r="D3626" s="6">
        <v>45651</v>
      </c>
      <c r="E3626" s="3" t="str">
        <f ca="1">IF(Tabela2[[#This Row],[Dt Venc:]]&gt;TODAY(),"Em Aberto",IF(Tabela2[[#This Row],[D/venc]]="-","Enviado",IF(Tabela2[[#This Row],[Dt Venc:]]=TODAY(),"Vence Hoje","Vencida")))</f>
        <v>Enviado</v>
      </c>
      <c r="F3626" s="3" t="str">
        <f ca="1">IF(G3626=1,"-",Tabela2[[#This Row],[Dt Venc:]]-TODAY())</f>
        <v>-</v>
      </c>
      <c r="G3626" s="3">
        <v>1</v>
      </c>
      <c r="H3626" s="3"/>
    </row>
    <row r="3627" spans="1:8" hidden="1">
      <c r="A3627" s="3">
        <v>6195</v>
      </c>
      <c r="B3627" s="7" t="s">
        <v>47</v>
      </c>
      <c r="C3627" s="41">
        <v>1177.8399999999999</v>
      </c>
      <c r="D3627" s="6">
        <v>45651</v>
      </c>
      <c r="E3627" s="3" t="str">
        <f ca="1">IF(Tabela2[[#This Row],[Dt Venc:]]&gt;TODAY(),"Em Aberto",IF(Tabela2[[#This Row],[D/venc]]="-","Enviado",IF(Tabela2[[#This Row],[Dt Venc:]]=TODAY(),"Vence Hoje","Vencida")))</f>
        <v>Enviado</v>
      </c>
      <c r="F3627" s="3" t="str">
        <f ca="1">IF(G3627=1,"-",Tabela2[[#This Row],[Dt Venc:]]-TODAY())</f>
        <v>-</v>
      </c>
      <c r="G3627" s="3">
        <v>1</v>
      </c>
      <c r="H3627" s="3"/>
    </row>
    <row r="3628" spans="1:8" hidden="1">
      <c r="A3628" s="3">
        <v>1309</v>
      </c>
      <c r="B3628" s="7" t="s">
        <v>474</v>
      </c>
      <c r="C3628" s="41">
        <v>760</v>
      </c>
      <c r="D3628" s="6">
        <v>45651</v>
      </c>
      <c r="E3628" s="3" t="str">
        <f ca="1">IF(Tabela2[[#This Row],[Dt Venc:]]&gt;TODAY(),"Em Aberto",IF(Tabela2[[#This Row],[D/venc]]="-","Enviado",IF(Tabela2[[#This Row],[Dt Venc:]]=TODAY(),"Vence Hoje","Vencida")))</f>
        <v>Enviado</v>
      </c>
      <c r="F3628" s="3" t="str">
        <f ca="1">IF(G3628=1,"-",Tabela2[[#This Row],[Dt Venc:]]-TODAY())</f>
        <v>-</v>
      </c>
      <c r="G3628" s="3">
        <v>1</v>
      </c>
      <c r="H3628" s="3"/>
    </row>
    <row r="3629" spans="1:8" hidden="1">
      <c r="A3629" s="3">
        <v>23857</v>
      </c>
      <c r="B3629" s="7" t="s">
        <v>38</v>
      </c>
      <c r="C3629" s="41">
        <v>366.67</v>
      </c>
      <c r="D3629" s="6">
        <v>45651</v>
      </c>
      <c r="E3629" s="3" t="str">
        <f ca="1">IF(Tabela2[[#This Row],[Dt Venc:]]&gt;TODAY(),"Em Aberto",IF(Tabela2[[#This Row],[D/venc]]="-","Enviado",IF(Tabela2[[#This Row],[Dt Venc:]]=TODAY(),"Vence Hoje","Vencida")))</f>
        <v>Enviado</v>
      </c>
      <c r="F3629" s="3" t="str">
        <f ca="1">IF(G3629=1,"-",Tabela2[[#This Row],[Dt Venc:]]-TODAY())</f>
        <v>-</v>
      </c>
      <c r="G3629" s="3">
        <v>1</v>
      </c>
      <c r="H3629" s="3"/>
    </row>
    <row r="3630" spans="1:8" hidden="1">
      <c r="A3630" s="3">
        <v>2365</v>
      </c>
      <c r="B3630" s="7" t="s">
        <v>537</v>
      </c>
      <c r="C3630" s="41">
        <v>750</v>
      </c>
      <c r="D3630" s="6">
        <v>45651</v>
      </c>
      <c r="E3630" s="3" t="str">
        <f ca="1">IF(Tabela2[[#This Row],[Dt Venc:]]&gt;TODAY(),"Em Aberto",IF(Tabela2[[#This Row],[D/venc]]="-","Enviado",IF(Tabela2[[#This Row],[Dt Venc:]]=TODAY(),"Vence Hoje","Vencida")))</f>
        <v>Enviado</v>
      </c>
      <c r="F3630" s="3" t="str">
        <f ca="1">IF(G3630=1,"-",Tabela2[[#This Row],[Dt Venc:]]-TODAY())</f>
        <v>-</v>
      </c>
      <c r="G3630" s="3">
        <v>1</v>
      </c>
      <c r="H3630" s="3"/>
    </row>
    <row r="3631" spans="1:8" hidden="1">
      <c r="A3631" s="3">
        <v>45738</v>
      </c>
      <c r="B3631" s="7" t="s">
        <v>527</v>
      </c>
      <c r="C3631" s="41">
        <v>473.72</v>
      </c>
      <c r="D3631" s="6">
        <v>45651</v>
      </c>
      <c r="E3631" s="3" t="str">
        <f ca="1">IF(Tabela2[[#This Row],[Dt Venc:]]&gt;TODAY(),"Em Aberto",IF(Tabela2[[#This Row],[D/venc]]="-","Enviado",IF(Tabela2[[#This Row],[Dt Venc:]]=TODAY(),"Vence Hoje","Vencida")))</f>
        <v>Enviado</v>
      </c>
      <c r="F3631" s="3" t="str">
        <f ca="1">IF(G3631=1,"-",Tabela2[[#This Row],[Dt Venc:]]-TODAY())</f>
        <v>-</v>
      </c>
      <c r="G3631" s="3">
        <v>1</v>
      </c>
      <c r="H3631" s="3"/>
    </row>
    <row r="3632" spans="1:8" hidden="1">
      <c r="A3632" s="3">
        <v>147289</v>
      </c>
      <c r="B3632" s="7" t="s">
        <v>127</v>
      </c>
      <c r="C3632" s="41">
        <v>802.67</v>
      </c>
      <c r="D3632" s="6">
        <v>45651</v>
      </c>
      <c r="E3632" s="3" t="str">
        <f ca="1">IF(Tabela2[[#This Row],[Dt Venc:]]&gt;TODAY(),"Em Aberto",IF(Tabela2[[#This Row],[D/venc]]="-","Enviado",IF(Tabela2[[#This Row],[Dt Venc:]]=TODAY(),"Vence Hoje","Vencida")))</f>
        <v>Enviado</v>
      </c>
      <c r="F3632" s="3" t="str">
        <f ca="1">IF(G3632=1,"-",Tabela2[[#This Row],[Dt Venc:]]-TODAY())</f>
        <v>-</v>
      </c>
      <c r="G3632" s="3">
        <v>1</v>
      </c>
      <c r="H3632" s="3"/>
    </row>
    <row r="3633" spans="1:8" hidden="1">
      <c r="A3633" s="3">
        <v>760968</v>
      </c>
      <c r="B3633" s="7" t="s">
        <v>127</v>
      </c>
      <c r="C3633" s="41">
        <v>342.56</v>
      </c>
      <c r="D3633" s="6">
        <v>45651</v>
      </c>
      <c r="E3633" s="3" t="str">
        <f ca="1">IF(Tabela2[[#This Row],[Dt Venc:]]&gt;TODAY(),"Em Aberto",IF(Tabela2[[#This Row],[D/venc]]="-","Enviado",IF(Tabela2[[#This Row],[Dt Venc:]]=TODAY(),"Vence Hoje","Vencida")))</f>
        <v>Enviado</v>
      </c>
      <c r="F3633" s="3" t="str">
        <f ca="1">IF(G3633=1,"-",Tabela2[[#This Row],[Dt Venc:]]-TODAY())</f>
        <v>-</v>
      </c>
      <c r="G3633" s="3">
        <v>1</v>
      </c>
      <c r="H3633" s="3"/>
    </row>
    <row r="3634" spans="1:8" hidden="1">
      <c r="A3634" s="3">
        <v>760970</v>
      </c>
      <c r="B3634" s="7" t="s">
        <v>127</v>
      </c>
      <c r="C3634" s="41">
        <v>342.56</v>
      </c>
      <c r="D3634" s="6">
        <v>45651</v>
      </c>
      <c r="E3634" s="3" t="str">
        <f ca="1">IF(Tabela2[[#This Row],[Dt Venc:]]&gt;TODAY(),"Em Aberto",IF(Tabela2[[#This Row],[D/venc]]="-","Enviado",IF(Tabela2[[#This Row],[Dt Venc:]]=TODAY(),"Vence Hoje","Vencida")))</f>
        <v>Enviado</v>
      </c>
      <c r="F3634" s="3" t="str">
        <f ca="1">IF(G3634=1,"-",Tabela2[[#This Row],[Dt Venc:]]-TODAY())</f>
        <v>-</v>
      </c>
      <c r="G3634" s="3">
        <v>1</v>
      </c>
      <c r="H3634" s="3"/>
    </row>
    <row r="3635" spans="1:8" hidden="1">
      <c r="A3635" s="3">
        <v>147291</v>
      </c>
      <c r="B3635" s="7" t="s">
        <v>127</v>
      </c>
      <c r="C3635" s="41">
        <v>802.67</v>
      </c>
      <c r="D3635" s="6">
        <v>45651</v>
      </c>
      <c r="E3635" s="3" t="str">
        <f ca="1">IF(Tabela2[[#This Row],[Dt Venc:]]&gt;TODAY(),"Em Aberto",IF(Tabela2[[#This Row],[D/venc]]="-","Enviado",IF(Tabela2[[#This Row],[Dt Venc:]]=TODAY(),"Vence Hoje","Vencida")))</f>
        <v>Enviado</v>
      </c>
      <c r="F3635" s="3" t="str">
        <f ca="1">IF(G3635=1,"-",Tabela2[[#This Row],[Dt Venc:]]-TODAY())</f>
        <v>-</v>
      </c>
      <c r="G3635" s="3">
        <v>1</v>
      </c>
      <c r="H3635" s="3"/>
    </row>
    <row r="3636" spans="1:8" hidden="1">
      <c r="A3636" s="3">
        <v>1622</v>
      </c>
      <c r="B3636" s="7" t="s">
        <v>566</v>
      </c>
      <c r="C3636" s="41">
        <v>1053.33</v>
      </c>
      <c r="D3636" s="6">
        <v>45651</v>
      </c>
      <c r="E3636" s="3" t="str">
        <f ca="1">IF(Tabela2[[#This Row],[Dt Venc:]]&gt;TODAY(),"Em Aberto",IF(Tabela2[[#This Row],[D/venc]]="-","Enviado",IF(Tabela2[[#This Row],[Dt Venc:]]=TODAY(),"Vence Hoje","Vencida")))</f>
        <v>Enviado</v>
      </c>
      <c r="F3636" s="3" t="str">
        <f ca="1">IF(G3636=1,"-",Tabela2[[#This Row],[Dt Venc:]]-TODAY())</f>
        <v>-</v>
      </c>
      <c r="G3636" s="3">
        <v>1</v>
      </c>
      <c r="H3636" s="3"/>
    </row>
    <row r="3637" spans="1:8" hidden="1">
      <c r="A3637" s="3">
        <v>2032</v>
      </c>
      <c r="B3637" s="7" t="s">
        <v>409</v>
      </c>
      <c r="C3637" s="41">
        <v>483.33</v>
      </c>
      <c r="D3637" s="6">
        <v>45651</v>
      </c>
      <c r="E3637" s="3" t="str">
        <f ca="1">IF(Tabela2[[#This Row],[Dt Venc:]]&gt;TODAY(),"Em Aberto",IF(Tabela2[[#This Row],[D/venc]]="-","Enviado",IF(Tabela2[[#This Row],[Dt Venc:]]=TODAY(),"Vence Hoje","Vencida")))</f>
        <v>Enviado</v>
      </c>
      <c r="F3637" s="3" t="str">
        <f ca="1">IF(G3637=1,"-",Tabela2[[#This Row],[Dt Venc:]]-TODAY())</f>
        <v>-</v>
      </c>
      <c r="G3637" s="3">
        <v>1</v>
      </c>
      <c r="H3637" s="3"/>
    </row>
    <row r="3638" spans="1:8" hidden="1">
      <c r="A3638" s="3">
        <v>4615903</v>
      </c>
      <c r="B3638" s="7" t="s">
        <v>90</v>
      </c>
      <c r="C3638" s="41">
        <v>1198.67</v>
      </c>
      <c r="D3638" s="6">
        <v>45651</v>
      </c>
      <c r="E3638" s="3" t="str">
        <f ca="1">IF(Tabela2[[#This Row],[Dt Venc:]]&gt;TODAY(),"Em Aberto",IF(Tabela2[[#This Row],[D/venc]]="-","Enviado",IF(Tabela2[[#This Row],[Dt Venc:]]=TODAY(),"Vence Hoje","Vencida")))</f>
        <v>Enviado</v>
      </c>
      <c r="F3638" s="3" t="str">
        <f ca="1">IF(G3638=1,"-",Tabela2[[#This Row],[Dt Venc:]]-TODAY())</f>
        <v>-</v>
      </c>
      <c r="G3638" s="3">
        <v>1</v>
      </c>
      <c r="H3638" s="3"/>
    </row>
    <row r="3639" spans="1:8" hidden="1">
      <c r="A3639" s="3">
        <v>259055</v>
      </c>
      <c r="B3639" s="7" t="s">
        <v>43</v>
      </c>
      <c r="C3639" s="41">
        <v>1428.84</v>
      </c>
      <c r="D3639" s="6">
        <v>45651</v>
      </c>
      <c r="E3639" s="3" t="str">
        <f ca="1">IF(Tabela2[[#This Row],[Dt Venc:]]&gt;TODAY(),"Em Aberto",IF(Tabela2[[#This Row],[D/venc]]="-","Enviado",IF(Tabela2[[#This Row],[Dt Venc:]]=TODAY(),"Vence Hoje","Vencida")))</f>
        <v>Enviado</v>
      </c>
      <c r="F3639" s="3" t="str">
        <f ca="1">IF(G3639=1,"-",Tabela2[[#This Row],[Dt Venc:]]-TODAY())</f>
        <v>-</v>
      </c>
      <c r="G3639" s="3">
        <v>1</v>
      </c>
      <c r="H3639" s="3"/>
    </row>
    <row r="3640" spans="1:8" hidden="1">
      <c r="A3640" s="3">
        <v>378409</v>
      </c>
      <c r="B3640" s="7" t="s">
        <v>567</v>
      </c>
      <c r="C3640" s="41">
        <v>960.74</v>
      </c>
      <c r="D3640" s="6">
        <v>45651</v>
      </c>
      <c r="E3640" s="3" t="str">
        <f ca="1">IF(Tabela2[[#This Row],[Dt Venc:]]&gt;TODAY(),"Em Aberto",IF(Tabela2[[#This Row],[D/venc]]="-","Enviado",IF(Tabela2[[#This Row],[Dt Venc:]]=TODAY(),"Vence Hoje","Vencida")))</f>
        <v>Enviado</v>
      </c>
      <c r="F3640" s="3" t="str">
        <f ca="1">IF(G3640=1,"-",Tabela2[[#This Row],[Dt Venc:]]-TODAY())</f>
        <v>-</v>
      </c>
      <c r="G3640" s="3">
        <v>1</v>
      </c>
      <c r="H3640" s="3"/>
    </row>
    <row r="3641" spans="1:8" hidden="1">
      <c r="A3641" s="3">
        <v>258978</v>
      </c>
      <c r="B3641" s="7" t="s">
        <v>43</v>
      </c>
      <c r="C3641" s="41">
        <v>495</v>
      </c>
      <c r="D3641" s="6">
        <v>45651</v>
      </c>
      <c r="E3641" s="3" t="str">
        <f ca="1">IF(Tabela2[[#This Row],[Dt Venc:]]&gt;TODAY(),"Em Aberto",IF(Tabela2[[#This Row],[D/venc]]="-","Enviado",IF(Tabela2[[#This Row],[Dt Venc:]]=TODAY(),"Vence Hoje","Vencida")))</f>
        <v>Enviado</v>
      </c>
      <c r="F3641" s="3" t="str">
        <f ca="1">IF(G3641=1,"-",Tabela2[[#This Row],[Dt Venc:]]-TODAY())</f>
        <v>-</v>
      </c>
      <c r="G3641" s="3">
        <v>1</v>
      </c>
      <c r="H3641" s="3"/>
    </row>
    <row r="3642" spans="1:8" hidden="1">
      <c r="A3642" s="3">
        <v>15330</v>
      </c>
      <c r="B3642" s="7" t="s">
        <v>99</v>
      </c>
      <c r="C3642" s="41">
        <v>425</v>
      </c>
      <c r="D3642" s="6">
        <v>45651</v>
      </c>
      <c r="E3642" s="3" t="str">
        <f ca="1">IF(Tabela2[[#This Row],[Dt Venc:]]&gt;TODAY(),"Em Aberto",IF(Tabela2[[#This Row],[D/venc]]="-","Enviado",IF(Tabela2[[#This Row],[Dt Venc:]]=TODAY(),"Vence Hoje","Vencida")))</f>
        <v>Enviado</v>
      </c>
      <c r="F3642" s="3" t="str">
        <f ca="1">IF(G3642=1,"-",Tabela2[[#This Row],[Dt Venc:]]-TODAY())</f>
        <v>-</v>
      </c>
      <c r="G3642" s="3">
        <v>1</v>
      </c>
      <c r="H3642" s="3"/>
    </row>
    <row r="3643" spans="1:8" hidden="1">
      <c r="A3643" s="3">
        <v>271450</v>
      </c>
      <c r="B3643" s="7" t="s">
        <v>346</v>
      </c>
      <c r="C3643" s="41">
        <v>14375.54</v>
      </c>
      <c r="D3643" s="6">
        <v>45651</v>
      </c>
      <c r="E3643" s="3" t="str">
        <f ca="1">IF(Tabela2[[#This Row],[Dt Venc:]]&gt;TODAY(),"Em Aberto",IF(Tabela2[[#This Row],[D/venc]]="-","Enviado",IF(Tabela2[[#This Row],[Dt Venc:]]=TODAY(),"Vence Hoje","Vencida")))</f>
        <v>Enviado</v>
      </c>
      <c r="F3643" s="3" t="str">
        <f ca="1">IF(G3643=1,"-",Tabela2[[#This Row],[Dt Venc:]]-TODAY())</f>
        <v>-</v>
      </c>
      <c r="G3643" s="3">
        <v>1</v>
      </c>
      <c r="H3643" s="3"/>
    </row>
    <row r="3644" spans="1:8" hidden="1">
      <c r="A3644" s="3">
        <v>258970</v>
      </c>
      <c r="B3644" s="7" t="s">
        <v>43</v>
      </c>
      <c r="C3644" s="41">
        <v>375</v>
      </c>
      <c r="D3644" s="6">
        <v>45651</v>
      </c>
      <c r="E3644" s="3" t="str">
        <f ca="1">IF(Tabela2[[#This Row],[Dt Venc:]]&gt;TODAY(),"Em Aberto",IF(Tabela2[[#This Row],[D/venc]]="-","Enviado",IF(Tabela2[[#This Row],[Dt Venc:]]=TODAY(),"Vence Hoje","Vencida")))</f>
        <v>Enviado</v>
      </c>
      <c r="F3644" s="3" t="str">
        <f ca="1">IF(G3644=1,"-",Tabela2[[#This Row],[Dt Venc:]]-TODAY())</f>
        <v>-</v>
      </c>
      <c r="G3644" s="3">
        <v>1</v>
      </c>
      <c r="H3644" s="3"/>
    </row>
    <row r="3645" spans="1:8" hidden="1">
      <c r="A3645" s="3">
        <v>618315</v>
      </c>
      <c r="B3645" s="7" t="s">
        <v>66</v>
      </c>
      <c r="C3645" s="41">
        <v>1306.8</v>
      </c>
      <c r="D3645" s="6">
        <v>45651</v>
      </c>
      <c r="E3645" s="3" t="str">
        <f ca="1">IF(Tabela2[[#This Row],[Dt Venc:]]&gt;TODAY(),"Em Aberto",IF(Tabela2[[#This Row],[D/venc]]="-","Enviado",IF(Tabela2[[#This Row],[Dt Venc:]]=TODAY(),"Vence Hoje","Vencida")))</f>
        <v>Enviado</v>
      </c>
      <c r="F3645" s="3" t="str">
        <f ca="1">IF(G3645=1,"-",Tabela2[[#This Row],[Dt Venc:]]-TODAY())</f>
        <v>-</v>
      </c>
      <c r="G3645" s="3">
        <v>1</v>
      </c>
      <c r="H3645" s="3"/>
    </row>
    <row r="3646" spans="1:8" hidden="1">
      <c r="A3646" s="3">
        <v>6090</v>
      </c>
      <c r="B3646" s="7" t="s">
        <v>140</v>
      </c>
      <c r="C3646" s="41">
        <v>349</v>
      </c>
      <c r="D3646" s="6">
        <v>45651</v>
      </c>
      <c r="E3646" s="3" t="str">
        <f ca="1">IF(Tabela2[[#This Row],[Dt Venc:]]&gt;TODAY(),"Em Aberto",IF(Tabela2[[#This Row],[D/venc]]="-","Enviado",IF(Tabela2[[#This Row],[Dt Venc:]]=TODAY(),"Vence Hoje","Vencida")))</f>
        <v>Enviado</v>
      </c>
      <c r="F3646" s="3" t="str">
        <f ca="1">IF(G3646=1,"-",Tabela2[[#This Row],[Dt Venc:]]-TODAY())</f>
        <v>-</v>
      </c>
      <c r="G3646" s="3">
        <v>1</v>
      </c>
      <c r="H3646" s="3"/>
    </row>
    <row r="3647" spans="1:8" hidden="1">
      <c r="A3647" s="3">
        <v>161597</v>
      </c>
      <c r="B3647" s="7" t="s">
        <v>468</v>
      </c>
      <c r="C3647" s="41">
        <v>3384.15</v>
      </c>
      <c r="D3647" s="6">
        <v>45651</v>
      </c>
      <c r="E3647" s="3" t="str">
        <f ca="1">IF(Tabela2[[#This Row],[Dt Venc:]]&gt;TODAY(),"Em Aberto",IF(Tabela2[[#This Row],[D/venc]]="-","Enviado",IF(Tabela2[[#This Row],[Dt Venc:]]=TODAY(),"Vence Hoje","Vencida")))</f>
        <v>Enviado</v>
      </c>
      <c r="F3647" s="3" t="str">
        <f ca="1">IF(G3647=1,"-",Tabela2[[#This Row],[Dt Venc:]]-TODAY())</f>
        <v>-</v>
      </c>
      <c r="G3647" s="3">
        <v>1</v>
      </c>
      <c r="H3647" s="3"/>
    </row>
    <row r="3648" spans="1:8" hidden="1">
      <c r="A3648" s="3">
        <v>641</v>
      </c>
      <c r="B3648" s="7" t="s">
        <v>568</v>
      </c>
      <c r="C3648" s="41">
        <v>6480</v>
      </c>
      <c r="D3648" s="6">
        <v>45651</v>
      </c>
      <c r="E3648" s="3" t="str">
        <f ca="1">IF(Tabela2[[#This Row],[Dt Venc:]]&gt;TODAY(),"Em Aberto",IF(Tabela2[[#This Row],[D/venc]]="-","Enviado",IF(Tabela2[[#This Row],[Dt Venc:]]=TODAY(),"Vence Hoje","Vencida")))</f>
        <v>Enviado</v>
      </c>
      <c r="F3648" s="3" t="str">
        <f ca="1">IF(G3648=1,"-",Tabela2[[#This Row],[Dt Venc:]]-TODAY())</f>
        <v>-</v>
      </c>
      <c r="G3648" s="3">
        <v>1</v>
      </c>
      <c r="H3648" s="3"/>
    </row>
    <row r="3649" spans="1:8" hidden="1">
      <c r="A3649" s="3">
        <v>1398</v>
      </c>
      <c r="B3649" s="7" t="s">
        <v>352</v>
      </c>
      <c r="C3649" s="41">
        <v>35</v>
      </c>
      <c r="D3649" s="6">
        <v>45651</v>
      </c>
      <c r="E3649" s="3" t="str">
        <f ca="1">IF(Tabela2[[#This Row],[Dt Venc:]]&gt;TODAY(),"Em Aberto",IF(Tabela2[[#This Row],[D/venc]]="-","Enviado",IF(Tabela2[[#This Row],[Dt Venc:]]=TODAY(),"Vence Hoje","Vencida")))</f>
        <v>Enviado</v>
      </c>
      <c r="F3649" s="3" t="str">
        <f ca="1">IF(G3649=1,"-",Tabela2[[#This Row],[Dt Venc:]]-TODAY())</f>
        <v>-</v>
      </c>
      <c r="G3649" s="3">
        <v>1</v>
      </c>
      <c r="H3649" s="3"/>
    </row>
    <row r="3650" spans="1:8" hidden="1">
      <c r="A3650" s="3">
        <v>1770</v>
      </c>
      <c r="B3650" s="7" t="s">
        <v>352</v>
      </c>
      <c r="C3650" s="41">
        <v>320</v>
      </c>
      <c r="D3650" s="6">
        <v>45651</v>
      </c>
      <c r="E3650" s="3" t="str">
        <f ca="1">IF(Tabela2[[#This Row],[Dt Venc:]]&gt;TODAY(),"Em Aberto",IF(Tabela2[[#This Row],[D/venc]]="-","Enviado",IF(Tabela2[[#This Row],[Dt Venc:]]=TODAY(),"Vence Hoje","Vencida")))</f>
        <v>Enviado</v>
      </c>
      <c r="F3650" s="3" t="str">
        <f ca="1">IF(G3650=1,"-",Tabela2[[#This Row],[Dt Venc:]]-TODAY())</f>
        <v>-</v>
      </c>
      <c r="G3650" s="3">
        <v>1</v>
      </c>
      <c r="H3650" s="3"/>
    </row>
    <row r="3651" spans="1:8" hidden="1">
      <c r="A3651" s="3">
        <v>15331</v>
      </c>
      <c r="B3651" s="7" t="s">
        <v>99</v>
      </c>
      <c r="C3651" s="41">
        <v>1275</v>
      </c>
      <c r="D3651" s="6">
        <v>45651</v>
      </c>
      <c r="E3651" s="3" t="str">
        <f ca="1">IF(Tabela2[[#This Row],[Dt Venc:]]&gt;TODAY(),"Em Aberto",IF(Tabela2[[#This Row],[D/venc]]="-","Enviado",IF(Tabela2[[#This Row],[Dt Venc:]]=TODAY(),"Vence Hoje","Vencida")))</f>
        <v>Enviado</v>
      </c>
      <c r="F3651" s="3" t="str">
        <f ca="1">IF(G3651=1,"-",Tabela2[[#This Row],[Dt Venc:]]-TODAY())</f>
        <v>-</v>
      </c>
      <c r="G3651" s="3">
        <v>1</v>
      </c>
      <c r="H3651" s="3"/>
    </row>
    <row r="3652" spans="1:8" hidden="1">
      <c r="A3652" s="3">
        <v>1802</v>
      </c>
      <c r="B3652" s="7" t="s">
        <v>469</v>
      </c>
      <c r="C3652" s="41">
        <v>37500</v>
      </c>
      <c r="D3652" s="6">
        <v>45651</v>
      </c>
      <c r="E3652" s="3" t="str">
        <f ca="1">IF(Tabela2[[#This Row],[Dt Venc:]]&gt;TODAY(),"Em Aberto",IF(Tabela2[[#This Row],[D/venc]]="-","Enviado",IF(Tabela2[[#This Row],[Dt Venc:]]=TODAY(),"Vence Hoje","Vencida")))</f>
        <v>Enviado</v>
      </c>
      <c r="F3652" s="3" t="str">
        <f ca="1">IF(G3652=1,"-",Tabela2[[#This Row],[Dt Venc:]]-TODAY())</f>
        <v>-</v>
      </c>
      <c r="G3652" s="3">
        <v>1</v>
      </c>
      <c r="H3652" s="3"/>
    </row>
    <row r="3653" spans="1:8" hidden="1">
      <c r="A3653" s="3">
        <v>1398</v>
      </c>
      <c r="B3653" s="7" t="s">
        <v>352</v>
      </c>
      <c r="C3653" s="41">
        <v>35</v>
      </c>
      <c r="D3653" s="6">
        <v>45651</v>
      </c>
      <c r="E3653" s="3" t="str">
        <f ca="1">IF(Tabela2[[#This Row],[Dt Venc:]]&gt;TODAY(),"Em Aberto",IF(Tabela2[[#This Row],[D/venc]]="-","Enviado",IF(Tabela2[[#This Row],[Dt Venc:]]=TODAY(),"Vence Hoje","Vencida")))</f>
        <v>Enviado</v>
      </c>
      <c r="F3653" s="3" t="str">
        <f ca="1">IF(G3653=1,"-",Tabela2[[#This Row],[Dt Venc:]]-TODAY())</f>
        <v>-</v>
      </c>
      <c r="G3653" s="3">
        <v>1</v>
      </c>
      <c r="H3653" s="3"/>
    </row>
    <row r="3654" spans="1:8" hidden="1">
      <c r="A3654" s="3">
        <v>135188</v>
      </c>
      <c r="B3654" s="7" t="s">
        <v>89</v>
      </c>
      <c r="C3654" s="41">
        <v>559.41</v>
      </c>
      <c r="D3654" s="6">
        <v>45651</v>
      </c>
      <c r="E3654" s="3" t="str">
        <f ca="1">IF(Tabela2[[#This Row],[Dt Venc:]]&gt;TODAY(),"Em Aberto",IF(Tabela2[[#This Row],[D/venc]]="-","Enviado",IF(Tabela2[[#This Row],[Dt Venc:]]=TODAY(),"Vence Hoje","Vencida")))</f>
        <v>Enviado</v>
      </c>
      <c r="F3654" s="3" t="str">
        <f ca="1">IF(G3654=1,"-",Tabela2[[#This Row],[Dt Venc:]]-TODAY())</f>
        <v>-</v>
      </c>
      <c r="G3654" s="3">
        <v>1</v>
      </c>
      <c r="H3654" s="3"/>
    </row>
    <row r="3655" spans="1:8" hidden="1">
      <c r="A3655" s="3" t="s">
        <v>110</v>
      </c>
      <c r="B3655" s="7" t="s">
        <v>470</v>
      </c>
      <c r="C3655" s="42" t="s">
        <v>32</v>
      </c>
      <c r="D3655" s="6">
        <v>45651</v>
      </c>
      <c r="E3655" s="3" t="str">
        <f ca="1">IF(Tabela2[[#This Row],[Dt Venc:]]&gt;TODAY(),"Em Aberto",IF(Tabela2[[#This Row],[D/venc]]="-","Enviado",IF(Tabela2[[#This Row],[Dt Venc:]]=TODAY(),"Vence Hoje","Vencida")))</f>
        <v>Enviado</v>
      </c>
      <c r="F3655" s="3" t="str">
        <f ca="1">IF(G3655=1,"-",Tabela2[[#This Row],[Dt Venc:]]-TODAY())</f>
        <v>-</v>
      </c>
      <c r="G3655" s="3">
        <v>1</v>
      </c>
      <c r="H3655" s="3"/>
    </row>
    <row r="3656" spans="1:8" hidden="1">
      <c r="A3656" s="3" t="s">
        <v>110</v>
      </c>
      <c r="B3656" s="7" t="s">
        <v>353</v>
      </c>
      <c r="C3656" s="42" t="s">
        <v>32</v>
      </c>
      <c r="D3656" s="6">
        <v>45651</v>
      </c>
      <c r="E3656" s="3" t="str">
        <f ca="1">IF(Tabela2[[#This Row],[Dt Venc:]]&gt;TODAY(),"Em Aberto",IF(Tabela2[[#This Row],[D/venc]]="-","Enviado",IF(Tabela2[[#This Row],[Dt Venc:]]=TODAY(),"Vence Hoje","Vencida")))</f>
        <v>Enviado</v>
      </c>
      <c r="F3656" s="3" t="str">
        <f ca="1">IF(G3656=1,"-",Tabela2[[#This Row],[Dt Venc:]]-TODAY())</f>
        <v>-</v>
      </c>
      <c r="G3656" s="3">
        <v>1</v>
      </c>
      <c r="H3656" s="3"/>
    </row>
    <row r="3657" spans="1:8" hidden="1">
      <c r="A3657" s="3" t="s">
        <v>110</v>
      </c>
      <c r="B3657" s="7" t="s">
        <v>345</v>
      </c>
      <c r="C3657" s="42" t="s">
        <v>32</v>
      </c>
      <c r="D3657" s="6">
        <v>45651</v>
      </c>
      <c r="E3657" s="3" t="str">
        <f ca="1">IF(Tabela2[[#This Row],[Dt Venc:]]&gt;TODAY(),"Em Aberto",IF(Tabela2[[#This Row],[D/venc]]="-","Enviado",IF(Tabela2[[#This Row],[Dt Venc:]]=TODAY(),"Vence Hoje","Vencida")))</f>
        <v>Enviado</v>
      </c>
      <c r="F3657" s="3" t="str">
        <f ca="1">IF(G3657=1,"-",Tabela2[[#This Row],[Dt Venc:]]-TODAY())</f>
        <v>-</v>
      </c>
      <c r="G3657" s="3">
        <v>1</v>
      </c>
      <c r="H3657" s="3"/>
    </row>
    <row r="3658" spans="1:8" hidden="1">
      <c r="A3658" s="3" t="s">
        <v>110</v>
      </c>
      <c r="B3658" s="7" t="s">
        <v>111</v>
      </c>
      <c r="C3658" s="42" t="s">
        <v>32</v>
      </c>
      <c r="D3658" s="6">
        <v>45651</v>
      </c>
      <c r="E3658" s="3" t="str">
        <f ca="1">IF(Tabela2[[#This Row],[Dt Venc:]]&gt;TODAY(),"Em Aberto",IF(Tabela2[[#This Row],[D/venc]]="-","Enviado",IF(Tabela2[[#This Row],[Dt Venc:]]=TODAY(),"Vence Hoje","Vencida")))</f>
        <v>Enviado</v>
      </c>
      <c r="F3658" s="3" t="str">
        <f ca="1">IF(G3658=1,"-",Tabela2[[#This Row],[Dt Venc:]]-TODAY())</f>
        <v>-</v>
      </c>
      <c r="G3658" s="3">
        <v>1</v>
      </c>
      <c r="H3658" s="3"/>
    </row>
    <row r="3659" spans="1:8" hidden="1">
      <c r="A3659" s="3">
        <v>198192</v>
      </c>
      <c r="B3659" s="7" t="s">
        <v>346</v>
      </c>
      <c r="C3659" s="41">
        <v>1012.91</v>
      </c>
      <c r="D3659" s="6">
        <v>45652</v>
      </c>
      <c r="E3659" s="3" t="str">
        <f ca="1">IF(Tabela2[[#This Row],[Dt Venc:]]&gt;TODAY(),"Em Aberto",IF(Tabela2[[#This Row],[D/venc]]="-","Enviado",IF(Tabela2[[#This Row],[Dt Venc:]]=TODAY(),"Vence Hoje","Vencida")))</f>
        <v>Enviado</v>
      </c>
      <c r="F3659" s="3" t="str">
        <f ca="1">IF(G3659=1,"-",Tabela2[[#This Row],[Dt Venc:]]-TODAY())</f>
        <v>-</v>
      </c>
      <c r="G3659" s="3">
        <v>1</v>
      </c>
      <c r="H3659" s="3"/>
    </row>
    <row r="3660" spans="1:8" hidden="1">
      <c r="A3660" s="3">
        <v>10952</v>
      </c>
      <c r="B3660" s="7" t="s">
        <v>33</v>
      </c>
      <c r="C3660" s="42">
        <v>1330</v>
      </c>
      <c r="D3660" s="6">
        <v>45652</v>
      </c>
      <c r="E3660" s="3" t="str">
        <f ca="1">IF(Tabela2[[#This Row],[Dt Venc:]]&gt;TODAY(),"Em Aberto",IF(Tabela2[[#This Row],[D/venc]]="-","Enviado",IF(Tabela2[[#This Row],[Dt Venc:]]=TODAY(),"Vence Hoje","Vencida")))</f>
        <v>Enviado</v>
      </c>
      <c r="F3660" s="3" t="str">
        <f ca="1">IF(G3660=1,"-",Tabela2[[#This Row],[Dt Venc:]]-TODAY())</f>
        <v>-</v>
      </c>
      <c r="G3660" s="3">
        <v>1</v>
      </c>
      <c r="H3660" s="3"/>
    </row>
    <row r="3661" spans="1:8" hidden="1">
      <c r="A3661" s="3">
        <v>10952</v>
      </c>
      <c r="B3661" s="7" t="s">
        <v>33</v>
      </c>
      <c r="C3661" s="42">
        <v>1330</v>
      </c>
      <c r="D3661" s="6">
        <v>45652</v>
      </c>
      <c r="E3661" s="3" t="str">
        <f ca="1">IF(Tabela2[[#This Row],[Dt Venc:]]&gt;TODAY(),"Em Aberto",IF(Tabela2[[#This Row],[D/venc]]="-","Enviado",IF(Tabela2[[#This Row],[Dt Venc:]]=TODAY(),"Vence Hoje","Vencida")))</f>
        <v>Enviado</v>
      </c>
      <c r="F3661" s="3" t="str">
        <f ca="1">IF(G3661=1,"-",Tabela2[[#This Row],[Dt Venc:]]-TODAY())</f>
        <v>-</v>
      </c>
      <c r="G3661" s="3">
        <v>1</v>
      </c>
      <c r="H3661" s="3"/>
    </row>
    <row r="3662" spans="1:8" hidden="1">
      <c r="A3662" s="3">
        <v>25727</v>
      </c>
      <c r="B3662" s="7" t="s">
        <v>363</v>
      </c>
      <c r="C3662" s="42">
        <v>1266.6600000000001</v>
      </c>
      <c r="D3662" s="6">
        <v>45652</v>
      </c>
      <c r="E3662" s="3" t="str">
        <f ca="1">IF(Tabela2[[#This Row],[Dt Venc:]]&gt;TODAY(),"Em Aberto",IF(Tabela2[[#This Row],[D/venc]]="-","Enviado",IF(Tabela2[[#This Row],[Dt Venc:]]=TODAY(),"Vence Hoje","Vencida")))</f>
        <v>Enviado</v>
      </c>
      <c r="F3662" s="3" t="str">
        <f ca="1">IF(G3662=1,"-",Tabela2[[#This Row],[Dt Venc:]]-TODAY())</f>
        <v>-</v>
      </c>
      <c r="G3662" s="3">
        <v>1</v>
      </c>
      <c r="H3662" s="3"/>
    </row>
    <row r="3663" spans="1:8" hidden="1">
      <c r="A3663" s="3">
        <v>257711</v>
      </c>
      <c r="B3663" s="7" t="s">
        <v>49</v>
      </c>
      <c r="C3663" s="41">
        <v>1030</v>
      </c>
      <c r="D3663" s="6">
        <v>45652</v>
      </c>
      <c r="E3663" s="3" t="str">
        <f ca="1">IF(Tabela2[[#This Row],[Dt Venc:]]&gt;TODAY(),"Em Aberto",IF(Tabela2[[#This Row],[D/venc]]="-","Enviado",IF(Tabela2[[#This Row],[Dt Venc:]]=TODAY(),"Vence Hoje","Vencida")))</f>
        <v>Enviado</v>
      </c>
      <c r="F3663" s="3" t="str">
        <f ca="1">IF(G3663=1,"-",Tabela2[[#This Row],[Dt Venc:]]-TODAY())</f>
        <v>-</v>
      </c>
      <c r="G3663" s="3">
        <v>1</v>
      </c>
      <c r="H3663" s="3"/>
    </row>
    <row r="3664" spans="1:8" hidden="1">
      <c r="A3664" s="3">
        <v>257864</v>
      </c>
      <c r="B3664" s="7" t="s">
        <v>49</v>
      </c>
      <c r="C3664" s="41">
        <v>1716.66</v>
      </c>
      <c r="D3664" s="6">
        <v>45652</v>
      </c>
      <c r="E3664" s="3" t="str">
        <f ca="1">IF(Tabela2[[#This Row],[Dt Venc:]]&gt;TODAY(),"Em Aberto",IF(Tabela2[[#This Row],[D/venc]]="-","Enviado",IF(Tabela2[[#This Row],[Dt Venc:]]=TODAY(),"Vence Hoje","Vencida")))</f>
        <v>Enviado</v>
      </c>
      <c r="F3664" s="3" t="str">
        <f ca="1">IF(G3664=1,"-",Tabela2[[#This Row],[Dt Venc:]]-TODAY())</f>
        <v>-</v>
      </c>
      <c r="G3664" s="3">
        <v>1</v>
      </c>
      <c r="H3664" s="3"/>
    </row>
    <row r="3665" spans="1:8" hidden="1">
      <c r="A3665" s="3">
        <v>395409</v>
      </c>
      <c r="B3665" s="7" t="s">
        <v>136</v>
      </c>
      <c r="C3665" s="41">
        <v>1870</v>
      </c>
      <c r="D3665" s="6">
        <v>45652</v>
      </c>
      <c r="E3665" s="3" t="str">
        <f ca="1">IF(Tabela2[[#This Row],[Dt Venc:]]&gt;TODAY(),"Em Aberto",IF(Tabela2[[#This Row],[D/venc]]="-","Enviado",IF(Tabela2[[#This Row],[Dt Venc:]]=TODAY(),"Vence Hoje","Vencida")))</f>
        <v>Enviado</v>
      </c>
      <c r="F3665" s="3" t="str">
        <f ca="1">IF(G3665=1,"-",Tabela2[[#This Row],[Dt Venc:]]-TODAY())</f>
        <v>-</v>
      </c>
      <c r="G3665" s="3">
        <v>1</v>
      </c>
      <c r="H3665" s="3"/>
    </row>
    <row r="3666" spans="1:8" hidden="1">
      <c r="A3666" s="3">
        <v>23081</v>
      </c>
      <c r="B3666" s="7" t="s">
        <v>38</v>
      </c>
      <c r="C3666" s="42">
        <v>1344</v>
      </c>
      <c r="D3666" s="6">
        <v>45652</v>
      </c>
      <c r="E3666" s="3" t="str">
        <f ca="1">IF(Tabela2[[#This Row],[Dt Venc:]]&gt;TODAY(),"Em Aberto",IF(Tabela2[[#This Row],[D/venc]]="-","Enviado",IF(Tabela2[[#This Row],[Dt Venc:]]=TODAY(),"Vence Hoje","Vencida")))</f>
        <v>Enviado</v>
      </c>
      <c r="F3666" s="3" t="str">
        <f ca="1">IF(G3666=1,"-",Tabela2[[#This Row],[Dt Venc:]]-TODAY())</f>
        <v>-</v>
      </c>
      <c r="G3666" s="3">
        <v>1</v>
      </c>
      <c r="H3666" s="3"/>
    </row>
    <row r="3667" spans="1:8" hidden="1">
      <c r="A3667" s="3">
        <v>23082</v>
      </c>
      <c r="B3667" s="7" t="s">
        <v>38</v>
      </c>
      <c r="C3667" s="42">
        <v>1028.53</v>
      </c>
      <c r="D3667" s="6">
        <v>45652</v>
      </c>
      <c r="E3667" s="3" t="str">
        <f ca="1">IF(Tabela2[[#This Row],[Dt Venc:]]&gt;TODAY(),"Em Aberto",IF(Tabela2[[#This Row],[D/venc]]="-","Enviado",IF(Tabela2[[#This Row],[Dt Venc:]]=TODAY(),"Vence Hoje","Vencida")))</f>
        <v>Enviado</v>
      </c>
      <c r="F3667" s="3" t="str">
        <f ca="1">IF(G3667=1,"-",Tabela2[[#This Row],[Dt Venc:]]-TODAY())</f>
        <v>-</v>
      </c>
      <c r="G3667" s="3">
        <v>1</v>
      </c>
      <c r="H3667" s="3"/>
    </row>
    <row r="3668" spans="1:8" hidden="1">
      <c r="A3668" s="3">
        <v>107</v>
      </c>
      <c r="B3668" s="7" t="s">
        <v>83</v>
      </c>
      <c r="C3668" s="42">
        <v>6400</v>
      </c>
      <c r="D3668" s="6">
        <v>45652</v>
      </c>
      <c r="E3668" s="3" t="str">
        <f ca="1">IF(Tabela2[[#This Row],[Dt Venc:]]&gt;TODAY(),"Em Aberto",IF(Tabela2[[#This Row],[D/venc]]="-","Enviado",IF(Tabela2[[#This Row],[Dt Venc:]]=TODAY(),"Vence Hoje","Vencida")))</f>
        <v>Enviado</v>
      </c>
      <c r="F3668" s="3" t="str">
        <f ca="1">IF(G3668=1,"-",Tabela2[[#This Row],[Dt Venc:]]-TODAY())</f>
        <v>-</v>
      </c>
      <c r="G3668" s="3">
        <v>1</v>
      </c>
      <c r="H3668" s="3"/>
    </row>
    <row r="3669" spans="1:8" hidden="1">
      <c r="A3669" s="3">
        <v>89390</v>
      </c>
      <c r="B3669" s="7" t="s">
        <v>212</v>
      </c>
      <c r="C3669" s="42">
        <v>912</v>
      </c>
      <c r="D3669" s="6">
        <v>45652</v>
      </c>
      <c r="E3669" s="3" t="str">
        <f ca="1">IF(Tabela2[[#This Row],[Dt Venc:]]&gt;TODAY(),"Em Aberto",IF(Tabela2[[#This Row],[D/venc]]="-","Enviado",IF(Tabela2[[#This Row],[Dt Venc:]]=TODAY(),"Vence Hoje","Vencida")))</f>
        <v>Enviado</v>
      </c>
      <c r="F3669" s="3" t="str">
        <f ca="1">IF(G3669=1,"-",Tabela2[[#This Row],[Dt Venc:]]-TODAY())</f>
        <v>-</v>
      </c>
      <c r="G3669" s="3">
        <v>1</v>
      </c>
      <c r="H3669" s="3"/>
    </row>
    <row r="3670" spans="1:8" hidden="1">
      <c r="A3670" s="3">
        <v>2103</v>
      </c>
      <c r="B3670" s="7" t="s">
        <v>525</v>
      </c>
      <c r="C3670" s="41">
        <v>420</v>
      </c>
      <c r="D3670" s="6">
        <v>45652</v>
      </c>
      <c r="E3670" s="3" t="str">
        <f ca="1">IF(Tabela2[[#This Row],[Dt Venc:]]&gt;TODAY(),"Em Aberto",IF(Tabela2[[#This Row],[D/venc]]="-","Enviado",IF(Tabela2[[#This Row],[Dt Venc:]]=TODAY(),"Vence Hoje","Vencida")))</f>
        <v>Enviado</v>
      </c>
      <c r="F3670" s="3" t="str">
        <f ca="1">IF(G3670=1,"-",Tabela2[[#This Row],[Dt Venc:]]-TODAY())</f>
        <v>-</v>
      </c>
      <c r="G3670" s="3">
        <v>1</v>
      </c>
      <c r="H3670" s="3"/>
    </row>
    <row r="3671" spans="1:8" hidden="1">
      <c r="A3671" s="3">
        <v>181044</v>
      </c>
      <c r="B3671" s="7" t="s">
        <v>42</v>
      </c>
      <c r="C3671" s="42">
        <v>1781.25</v>
      </c>
      <c r="D3671" s="6">
        <v>45652</v>
      </c>
      <c r="E3671" s="3" t="str">
        <f ca="1">IF(Tabela2[[#This Row],[Dt Venc:]]&gt;TODAY(),"Em Aberto",IF(Tabela2[[#This Row],[D/venc]]="-","Enviado",IF(Tabela2[[#This Row],[Dt Venc:]]=TODAY(),"Vence Hoje","Vencida")))</f>
        <v>Enviado</v>
      </c>
      <c r="F3671" s="3" t="str">
        <f ca="1">IF(G3671=1,"-",Tabela2[[#This Row],[Dt Venc:]]-TODAY())</f>
        <v>-</v>
      </c>
      <c r="G3671" s="3">
        <v>1</v>
      </c>
      <c r="H3671" s="3"/>
    </row>
    <row r="3672" spans="1:8" hidden="1">
      <c r="A3672" s="3">
        <v>326261</v>
      </c>
      <c r="B3672" s="7" t="s">
        <v>348</v>
      </c>
      <c r="C3672" s="42">
        <v>408.67</v>
      </c>
      <c r="D3672" s="6">
        <v>45652</v>
      </c>
      <c r="E3672" s="3" t="str">
        <f ca="1">IF(Tabela2[[#This Row],[Dt Venc:]]&gt;TODAY(),"Em Aberto",IF(Tabela2[[#This Row],[D/venc]]="-","Enviado",IF(Tabela2[[#This Row],[Dt Venc:]]=TODAY(),"Vence Hoje","Vencida")))</f>
        <v>Enviado</v>
      </c>
      <c r="F3672" s="3" t="str">
        <f ca="1">IF(G3672=1,"-",Tabela2[[#This Row],[Dt Venc:]]-TODAY())</f>
        <v>-</v>
      </c>
      <c r="G3672" s="3">
        <v>1</v>
      </c>
      <c r="H3672" s="3"/>
    </row>
    <row r="3673" spans="1:8" hidden="1">
      <c r="A3673" s="3">
        <v>153153</v>
      </c>
      <c r="B3673" s="7" t="s">
        <v>348</v>
      </c>
      <c r="C3673" s="42">
        <v>433.33</v>
      </c>
      <c r="D3673" s="6">
        <v>45652</v>
      </c>
      <c r="E3673" s="3" t="str">
        <f ca="1">IF(Tabela2[[#This Row],[Dt Venc:]]&gt;TODAY(),"Em Aberto",IF(Tabela2[[#This Row],[D/venc]]="-","Enviado",IF(Tabela2[[#This Row],[Dt Venc:]]=TODAY(),"Vence Hoje","Vencida")))</f>
        <v>Enviado</v>
      </c>
      <c r="F3673" s="3" t="str">
        <f ca="1">IF(G3673=1,"-",Tabela2[[#This Row],[Dt Venc:]]-TODAY())</f>
        <v>-</v>
      </c>
      <c r="G3673" s="3">
        <v>1</v>
      </c>
      <c r="H3673" s="3"/>
    </row>
    <row r="3674" spans="1:8" hidden="1">
      <c r="A3674" s="3">
        <v>5864</v>
      </c>
      <c r="B3674" s="7" t="s">
        <v>140</v>
      </c>
      <c r="C3674" s="42">
        <v>562.33000000000004</v>
      </c>
      <c r="D3674" s="6">
        <v>45652</v>
      </c>
      <c r="E3674" s="3" t="str">
        <f ca="1">IF(Tabela2[[#This Row],[Dt Venc:]]&gt;TODAY(),"Em Aberto",IF(Tabela2[[#This Row],[D/venc]]="-","Enviado",IF(Tabela2[[#This Row],[Dt Venc:]]=TODAY(),"Vence Hoje","Vencida")))</f>
        <v>Enviado</v>
      </c>
      <c r="F3674" s="3" t="str">
        <f ca="1">IF(G3674=1,"-",Tabela2[[#This Row],[Dt Venc:]]-TODAY())</f>
        <v>-</v>
      </c>
      <c r="G3674" s="3">
        <v>1</v>
      </c>
      <c r="H3674" s="3"/>
    </row>
    <row r="3675" spans="1:8" hidden="1">
      <c r="A3675" s="3">
        <v>5866</v>
      </c>
      <c r="B3675" s="7" t="s">
        <v>140</v>
      </c>
      <c r="C3675" s="42">
        <v>636.77</v>
      </c>
      <c r="D3675" s="6">
        <v>45652</v>
      </c>
      <c r="E3675" s="3" t="str">
        <f ca="1">IF(Tabela2[[#This Row],[Dt Venc:]]&gt;TODAY(),"Em Aberto",IF(Tabela2[[#This Row],[D/venc]]="-","Enviado",IF(Tabela2[[#This Row],[Dt Venc:]]=TODAY(),"Vence Hoje","Vencida")))</f>
        <v>Enviado</v>
      </c>
      <c r="F3675" s="3" t="str">
        <f ca="1">IF(G3675=1,"-",Tabela2[[#This Row],[Dt Venc:]]-TODAY())</f>
        <v>-</v>
      </c>
      <c r="G3675" s="3">
        <v>1</v>
      </c>
      <c r="H3675" s="3"/>
    </row>
    <row r="3676" spans="1:8" hidden="1">
      <c r="A3676" s="3">
        <v>37198</v>
      </c>
      <c r="B3676" s="7" t="s">
        <v>70</v>
      </c>
      <c r="C3676" s="42">
        <v>170.5</v>
      </c>
      <c r="D3676" s="6">
        <v>45652</v>
      </c>
      <c r="E3676" s="3" t="str">
        <f ca="1">IF(Tabela2[[#This Row],[Dt Venc:]]&gt;TODAY(),"Em Aberto",IF(Tabela2[[#This Row],[D/venc]]="-","Enviado",IF(Tabela2[[#This Row],[Dt Venc:]]=TODAY(),"Vence Hoje","Vencida")))</f>
        <v>Enviado</v>
      </c>
      <c r="F3676" s="3" t="str">
        <f ca="1">IF(G3676=1,"-",Tabela2[[#This Row],[Dt Venc:]]-TODAY())</f>
        <v>-</v>
      </c>
      <c r="G3676" s="3">
        <v>1</v>
      </c>
      <c r="H3676" s="3"/>
    </row>
    <row r="3677" spans="1:8" hidden="1">
      <c r="A3677" s="3">
        <v>28842</v>
      </c>
      <c r="B3677" s="7" t="s">
        <v>70</v>
      </c>
      <c r="C3677" s="42">
        <v>187.4</v>
      </c>
      <c r="D3677" s="6">
        <v>45652</v>
      </c>
      <c r="E3677" s="3" t="str">
        <f ca="1">IF(Tabela2[[#This Row],[Dt Venc:]]&gt;TODAY(),"Em Aberto",IF(Tabela2[[#This Row],[D/venc]]="-","Enviado",IF(Tabela2[[#This Row],[Dt Venc:]]=TODAY(),"Vence Hoje","Vencida")))</f>
        <v>Enviado</v>
      </c>
      <c r="F3677" s="3" t="str">
        <f ca="1">IF(G3677=1,"-",Tabela2[[#This Row],[Dt Venc:]]-TODAY())</f>
        <v>-</v>
      </c>
      <c r="G3677" s="3">
        <v>1</v>
      </c>
      <c r="H3677" s="3"/>
    </row>
    <row r="3678" spans="1:8" hidden="1">
      <c r="A3678" s="3">
        <v>27695</v>
      </c>
      <c r="B3678" s="7" t="s">
        <v>70</v>
      </c>
      <c r="C3678" s="42">
        <v>1066.4000000000001</v>
      </c>
      <c r="D3678" s="6">
        <v>45652</v>
      </c>
      <c r="E3678" s="3" t="str">
        <f ca="1">IF(Tabela2[[#This Row],[Dt Venc:]]&gt;TODAY(),"Em Aberto",IF(Tabela2[[#This Row],[D/venc]]="-","Enviado",IF(Tabela2[[#This Row],[Dt Venc:]]=TODAY(),"Vence Hoje","Vencida")))</f>
        <v>Enviado</v>
      </c>
      <c r="F3678" s="3" t="str">
        <f ca="1">IF(G3678=1,"-",Tabela2[[#This Row],[Dt Venc:]]-TODAY())</f>
        <v>-</v>
      </c>
      <c r="G3678" s="3">
        <v>1</v>
      </c>
      <c r="H3678" s="3"/>
    </row>
    <row r="3679" spans="1:8" hidden="1">
      <c r="A3679" s="3">
        <v>373352</v>
      </c>
      <c r="B3679" s="7" t="s">
        <v>39</v>
      </c>
      <c r="C3679" s="41">
        <v>2298.4899999999998</v>
      </c>
      <c r="D3679" s="6">
        <v>45652</v>
      </c>
      <c r="E3679" s="3" t="str">
        <f ca="1">IF(Tabela2[[#This Row],[Dt Venc:]]&gt;TODAY(),"Em Aberto",IF(Tabela2[[#This Row],[D/venc]]="-","Enviado",IF(Tabela2[[#This Row],[Dt Venc:]]=TODAY(),"Vence Hoje","Vencida")))</f>
        <v>Enviado</v>
      </c>
      <c r="F3679" s="3" t="str">
        <f ca="1">IF(G3679=1,"-",Tabela2[[#This Row],[Dt Venc:]]-TODAY())</f>
        <v>-</v>
      </c>
      <c r="G3679" s="3">
        <v>1</v>
      </c>
      <c r="H3679" s="3"/>
    </row>
    <row r="3680" spans="1:8" hidden="1">
      <c r="A3680" s="3">
        <v>3008</v>
      </c>
      <c r="B3680" s="7" t="s">
        <v>519</v>
      </c>
      <c r="C3680" s="41">
        <v>1640</v>
      </c>
      <c r="D3680" s="6">
        <v>45652</v>
      </c>
      <c r="E3680" s="3" t="str">
        <f ca="1">IF(Tabela2[[#This Row],[Dt Venc:]]&gt;TODAY(),"Em Aberto",IF(Tabela2[[#This Row],[D/venc]]="-","Enviado",IF(Tabela2[[#This Row],[Dt Venc:]]=TODAY(),"Vence Hoje","Vencida")))</f>
        <v>Enviado</v>
      </c>
      <c r="F3680" s="3" t="str">
        <f ca="1">IF(G3680=1,"-",Tabela2[[#This Row],[Dt Venc:]]-TODAY())</f>
        <v>-</v>
      </c>
      <c r="G3680" s="3">
        <v>1</v>
      </c>
      <c r="H3680" s="3"/>
    </row>
    <row r="3681" spans="1:8" hidden="1">
      <c r="A3681" s="3">
        <v>373444</v>
      </c>
      <c r="B3681" s="7" t="s">
        <v>39</v>
      </c>
      <c r="C3681" s="41">
        <v>554.51</v>
      </c>
      <c r="D3681" s="6">
        <v>45652</v>
      </c>
      <c r="E3681" s="3" t="str">
        <f ca="1">IF(Tabela2[[#This Row],[Dt Venc:]]&gt;TODAY(),"Em Aberto",IF(Tabela2[[#This Row],[D/venc]]="-","Enviado",IF(Tabela2[[#This Row],[Dt Venc:]]=TODAY(),"Vence Hoje","Vencida")))</f>
        <v>Enviado</v>
      </c>
      <c r="F3681" s="3" t="str">
        <f ca="1">IF(G3681=1,"-",Tabela2[[#This Row],[Dt Venc:]]-TODAY())</f>
        <v>-</v>
      </c>
      <c r="G3681" s="3">
        <v>1</v>
      </c>
      <c r="H3681" s="3"/>
    </row>
    <row r="3682" spans="1:8" hidden="1">
      <c r="A3682" s="3">
        <v>56</v>
      </c>
      <c r="B3682" s="7" t="s">
        <v>517</v>
      </c>
      <c r="C3682" s="41">
        <v>1016.67</v>
      </c>
      <c r="D3682" s="6">
        <v>45652</v>
      </c>
      <c r="E3682" s="3" t="str">
        <f ca="1">IF(Tabela2[[#This Row],[Dt Venc:]]&gt;TODAY(),"Em Aberto",IF(Tabela2[[#This Row],[D/venc]]="-","Enviado",IF(Tabela2[[#This Row],[Dt Venc:]]=TODAY(),"Vence Hoje","Vencida")))</f>
        <v>Enviado</v>
      </c>
      <c r="F3682" s="3" t="str">
        <f ca="1">IF(G3682=1,"-",Tabela2[[#This Row],[Dt Venc:]]-TODAY())</f>
        <v>-</v>
      </c>
      <c r="G3682" s="3">
        <v>1</v>
      </c>
      <c r="H3682" s="3"/>
    </row>
    <row r="3683" spans="1:8" hidden="1">
      <c r="A3683" s="3">
        <v>1092487</v>
      </c>
      <c r="B3683" s="7" t="s">
        <v>141</v>
      </c>
      <c r="C3683" s="41">
        <v>1369.49</v>
      </c>
      <c r="D3683" s="6">
        <v>45652</v>
      </c>
      <c r="E3683" s="3" t="str">
        <f ca="1">IF(Tabela2[[#This Row],[Dt Venc:]]&gt;TODAY(),"Em Aberto",IF(Tabela2[[#This Row],[D/venc]]="-","Enviado",IF(Tabela2[[#This Row],[Dt Venc:]]=TODAY(),"Vence Hoje","Vencida")))</f>
        <v>Enviado</v>
      </c>
      <c r="F3683" s="3" t="str">
        <f ca="1">IF(G3683=1,"-",Tabela2[[#This Row],[Dt Venc:]]-TODAY())</f>
        <v>-</v>
      </c>
      <c r="G3683" s="3">
        <v>1</v>
      </c>
      <c r="H3683" s="3"/>
    </row>
    <row r="3684" spans="1:8" hidden="1">
      <c r="A3684" s="3">
        <v>1092497</v>
      </c>
      <c r="B3684" s="7" t="s">
        <v>141</v>
      </c>
      <c r="C3684" s="41">
        <v>1548.84</v>
      </c>
      <c r="D3684" s="6">
        <v>45652</v>
      </c>
      <c r="E3684" s="3" t="str">
        <f ca="1">IF(Tabela2[[#This Row],[Dt Venc:]]&gt;TODAY(),"Em Aberto",IF(Tabela2[[#This Row],[D/venc]]="-","Enviado",IF(Tabela2[[#This Row],[Dt Venc:]]=TODAY(),"Vence Hoje","Vencida")))</f>
        <v>Enviado</v>
      </c>
      <c r="F3684" s="3" t="str">
        <f ca="1">IF(G3684=1,"-",Tabela2[[#This Row],[Dt Venc:]]-TODAY())</f>
        <v>-</v>
      </c>
      <c r="G3684" s="3">
        <v>1</v>
      </c>
      <c r="H3684" s="3"/>
    </row>
    <row r="3685" spans="1:8" hidden="1">
      <c r="A3685" s="3">
        <v>1092493</v>
      </c>
      <c r="B3685" s="7" t="s">
        <v>141</v>
      </c>
      <c r="C3685" s="41">
        <v>1667.18</v>
      </c>
      <c r="D3685" s="6">
        <v>45652</v>
      </c>
      <c r="E3685" s="3" t="str">
        <f ca="1">IF(Tabela2[[#This Row],[Dt Venc:]]&gt;TODAY(),"Em Aberto",IF(Tabela2[[#This Row],[D/venc]]="-","Enviado",IF(Tabela2[[#This Row],[Dt Venc:]]=TODAY(),"Vence Hoje","Vencida")))</f>
        <v>Enviado</v>
      </c>
      <c r="F3685" s="3" t="str">
        <f ca="1">IF(G3685=1,"-",Tabela2[[#This Row],[Dt Venc:]]-TODAY())</f>
        <v>-</v>
      </c>
      <c r="G3685" s="3">
        <v>1</v>
      </c>
      <c r="H3685" s="3"/>
    </row>
    <row r="3686" spans="1:8" hidden="1">
      <c r="A3686" s="3">
        <v>1092501</v>
      </c>
      <c r="B3686" s="7" t="s">
        <v>141</v>
      </c>
      <c r="C3686" s="41">
        <v>1363.11</v>
      </c>
      <c r="D3686" s="6">
        <v>45652</v>
      </c>
      <c r="E3686" s="3" t="str">
        <f ca="1">IF(Tabela2[[#This Row],[Dt Venc:]]&gt;TODAY(),"Em Aberto",IF(Tabela2[[#This Row],[D/venc]]="-","Enviado",IF(Tabela2[[#This Row],[Dt Venc:]]=TODAY(),"Vence Hoje","Vencida")))</f>
        <v>Enviado</v>
      </c>
      <c r="F3686" s="3" t="str">
        <f ca="1">IF(G3686=1,"-",Tabela2[[#This Row],[Dt Venc:]]-TODAY())</f>
        <v>-</v>
      </c>
      <c r="G3686" s="3">
        <v>1</v>
      </c>
      <c r="H3686" s="3"/>
    </row>
    <row r="3687" spans="1:8" hidden="1">
      <c r="A3687" s="3">
        <v>1092498</v>
      </c>
      <c r="B3687" s="7" t="s">
        <v>141</v>
      </c>
      <c r="C3687" s="41">
        <v>1706.48</v>
      </c>
      <c r="D3687" s="6">
        <v>45652</v>
      </c>
      <c r="E3687" s="3" t="str">
        <f ca="1">IF(Tabela2[[#This Row],[Dt Venc:]]&gt;TODAY(),"Em Aberto",IF(Tabela2[[#This Row],[D/venc]]="-","Enviado",IF(Tabela2[[#This Row],[Dt Venc:]]=TODAY(),"Vence Hoje","Vencida")))</f>
        <v>Enviado</v>
      </c>
      <c r="F3687" s="3" t="str">
        <f ca="1">IF(G3687=1,"-",Tabela2[[#This Row],[Dt Venc:]]-TODAY())</f>
        <v>-</v>
      </c>
      <c r="G3687" s="3">
        <v>1</v>
      </c>
      <c r="H3687" s="3"/>
    </row>
    <row r="3688" spans="1:8" hidden="1">
      <c r="A3688" s="3">
        <v>1092495</v>
      </c>
      <c r="B3688" s="7" t="s">
        <v>141</v>
      </c>
      <c r="C3688" s="41">
        <v>1772.08</v>
      </c>
      <c r="D3688" s="6">
        <v>45652</v>
      </c>
      <c r="E3688" s="3" t="str">
        <f ca="1">IF(Tabela2[[#This Row],[Dt Venc:]]&gt;TODAY(),"Em Aberto",IF(Tabela2[[#This Row],[D/venc]]="-","Enviado",IF(Tabela2[[#This Row],[Dt Venc:]]=TODAY(),"Vence Hoje","Vencida")))</f>
        <v>Enviado</v>
      </c>
      <c r="F3688" s="3" t="str">
        <f ca="1">IF(G3688=1,"-",Tabela2[[#This Row],[Dt Venc:]]-TODAY())</f>
        <v>-</v>
      </c>
      <c r="G3688" s="3">
        <v>1</v>
      </c>
      <c r="H3688" s="3"/>
    </row>
    <row r="3689" spans="1:8" hidden="1">
      <c r="A3689" s="3">
        <v>1092500</v>
      </c>
      <c r="B3689" s="7" t="s">
        <v>141</v>
      </c>
      <c r="C3689" s="41">
        <v>1535.45</v>
      </c>
      <c r="D3689" s="6">
        <v>45652</v>
      </c>
      <c r="E3689" s="3" t="str">
        <f ca="1">IF(Tabela2[[#This Row],[Dt Venc:]]&gt;TODAY(),"Em Aberto",IF(Tabela2[[#This Row],[D/venc]]="-","Enviado",IF(Tabela2[[#This Row],[Dt Venc:]]=TODAY(),"Vence Hoje","Vencida")))</f>
        <v>Enviado</v>
      </c>
      <c r="F3689" s="3" t="str">
        <f ca="1">IF(G3689=1,"-",Tabela2[[#This Row],[Dt Venc:]]-TODAY())</f>
        <v>-</v>
      </c>
      <c r="G3689" s="3">
        <v>1</v>
      </c>
      <c r="H3689" s="3"/>
    </row>
    <row r="3690" spans="1:8" hidden="1">
      <c r="A3690" s="3">
        <v>1092496</v>
      </c>
      <c r="B3690" s="7" t="s">
        <v>141</v>
      </c>
      <c r="C3690" s="41">
        <v>1580.55</v>
      </c>
      <c r="D3690" s="6">
        <v>45652</v>
      </c>
      <c r="E3690" s="3" t="str">
        <f ca="1">IF(Tabela2[[#This Row],[Dt Venc:]]&gt;TODAY(),"Em Aberto",IF(Tabela2[[#This Row],[D/venc]]="-","Enviado",IF(Tabela2[[#This Row],[Dt Venc:]]=TODAY(),"Vence Hoje","Vencida")))</f>
        <v>Enviado</v>
      </c>
      <c r="F3690" s="3" t="str">
        <f ca="1">IF(G3690=1,"-",Tabela2[[#This Row],[Dt Venc:]]-TODAY())</f>
        <v>-</v>
      </c>
      <c r="G3690" s="3">
        <v>1</v>
      </c>
      <c r="H3690" s="3"/>
    </row>
    <row r="3691" spans="1:8" hidden="1">
      <c r="A3691" s="3">
        <v>1092504</v>
      </c>
      <c r="B3691" s="7" t="s">
        <v>141</v>
      </c>
      <c r="C3691" s="41">
        <v>292.93</v>
      </c>
      <c r="D3691" s="6">
        <v>45652</v>
      </c>
      <c r="E3691" s="3" t="str">
        <f ca="1">IF(Tabela2[[#This Row],[Dt Venc:]]&gt;TODAY(),"Em Aberto",IF(Tabela2[[#This Row],[D/venc]]="-","Enviado",IF(Tabela2[[#This Row],[Dt Venc:]]=TODAY(),"Vence Hoje","Vencida")))</f>
        <v>Enviado</v>
      </c>
      <c r="F3691" s="3" t="str">
        <f ca="1">IF(G3691=1,"-",Tabela2[[#This Row],[Dt Venc:]]-TODAY())</f>
        <v>-</v>
      </c>
      <c r="G3691" s="3">
        <v>1</v>
      </c>
      <c r="H3691" s="3"/>
    </row>
    <row r="3692" spans="1:8" hidden="1">
      <c r="A3692" s="3">
        <v>1092510</v>
      </c>
      <c r="B3692" s="7" t="s">
        <v>141</v>
      </c>
      <c r="C3692" s="41">
        <v>1669.93</v>
      </c>
      <c r="D3692" s="6">
        <v>45652</v>
      </c>
      <c r="E3692" s="3" t="str">
        <f ca="1">IF(Tabela2[[#This Row],[Dt Venc:]]&gt;TODAY(),"Em Aberto",IF(Tabela2[[#This Row],[D/venc]]="-","Enviado",IF(Tabela2[[#This Row],[Dt Venc:]]=TODAY(),"Vence Hoje","Vencida")))</f>
        <v>Enviado</v>
      </c>
      <c r="F3692" s="3" t="str">
        <f ca="1">IF(G3692=1,"-",Tabela2[[#This Row],[Dt Venc:]]-TODAY())</f>
        <v>-</v>
      </c>
      <c r="G3692" s="3">
        <v>1</v>
      </c>
      <c r="H3692" s="3"/>
    </row>
    <row r="3693" spans="1:8" hidden="1">
      <c r="A3693" s="3">
        <v>1092502</v>
      </c>
      <c r="B3693" s="7" t="s">
        <v>141</v>
      </c>
      <c r="C3693" s="41">
        <v>1597.18</v>
      </c>
      <c r="D3693" s="6">
        <v>45652</v>
      </c>
      <c r="E3693" s="3" t="str">
        <f ca="1">IF(Tabela2[[#This Row],[Dt Venc:]]&gt;TODAY(),"Em Aberto",IF(Tabela2[[#This Row],[D/venc]]="-","Enviado",IF(Tabela2[[#This Row],[Dt Venc:]]=TODAY(),"Vence Hoje","Vencida")))</f>
        <v>Enviado</v>
      </c>
      <c r="F3693" s="3" t="str">
        <f ca="1">IF(G3693=1,"-",Tabela2[[#This Row],[Dt Venc:]]-TODAY())</f>
        <v>-</v>
      </c>
      <c r="G3693" s="3">
        <v>1</v>
      </c>
      <c r="H3693" s="3"/>
    </row>
    <row r="3694" spans="1:8" hidden="1">
      <c r="A3694" s="3">
        <v>1092499</v>
      </c>
      <c r="B3694" s="7" t="s">
        <v>141</v>
      </c>
      <c r="C3694" s="41">
        <v>1464.77</v>
      </c>
      <c r="D3694" s="6">
        <v>45652</v>
      </c>
      <c r="E3694" s="3" t="str">
        <f ca="1">IF(Tabela2[[#This Row],[Dt Venc:]]&gt;TODAY(),"Em Aberto",IF(Tabela2[[#This Row],[D/venc]]="-","Enviado",IF(Tabela2[[#This Row],[Dt Venc:]]=TODAY(),"Vence Hoje","Vencida")))</f>
        <v>Enviado</v>
      </c>
      <c r="F3694" s="3" t="str">
        <f ca="1">IF(G3694=1,"-",Tabela2[[#This Row],[Dt Venc:]]-TODAY())</f>
        <v>-</v>
      </c>
      <c r="G3694" s="3">
        <v>1</v>
      </c>
      <c r="H3694" s="3"/>
    </row>
    <row r="3695" spans="1:8" hidden="1">
      <c r="A3695" s="3">
        <v>1092503</v>
      </c>
      <c r="B3695" s="7" t="s">
        <v>141</v>
      </c>
      <c r="C3695" s="41">
        <v>1819.74</v>
      </c>
      <c r="D3695" s="6">
        <v>45652</v>
      </c>
      <c r="E3695" s="3" t="str">
        <f ca="1">IF(Tabela2[[#This Row],[Dt Venc:]]&gt;TODAY(),"Em Aberto",IF(Tabela2[[#This Row],[D/venc]]="-","Enviado",IF(Tabela2[[#This Row],[Dt Venc:]]=TODAY(),"Vence Hoje","Vencida")))</f>
        <v>Enviado</v>
      </c>
      <c r="F3695" s="3" t="str">
        <f ca="1">IF(G3695=1,"-",Tabela2[[#This Row],[Dt Venc:]]-TODAY())</f>
        <v>-</v>
      </c>
      <c r="G3695" s="3">
        <v>1</v>
      </c>
      <c r="H3695" s="3"/>
    </row>
    <row r="3696" spans="1:8" hidden="1">
      <c r="A3696" s="3">
        <v>1092505</v>
      </c>
      <c r="B3696" s="7" t="s">
        <v>141</v>
      </c>
      <c r="C3696" s="41">
        <v>1405.9</v>
      </c>
      <c r="D3696" s="6">
        <v>45652</v>
      </c>
      <c r="E3696" s="3" t="str">
        <f ca="1">IF(Tabela2[[#This Row],[Dt Venc:]]&gt;TODAY(),"Em Aberto",IF(Tabela2[[#This Row],[D/venc]]="-","Enviado",IF(Tabela2[[#This Row],[Dt Venc:]]=TODAY(),"Vence Hoje","Vencida")))</f>
        <v>Enviado</v>
      </c>
      <c r="F3696" s="3" t="str">
        <f ca="1">IF(G3696=1,"-",Tabela2[[#This Row],[Dt Venc:]]-TODAY())</f>
        <v>-</v>
      </c>
      <c r="G3696" s="3">
        <v>1</v>
      </c>
      <c r="H3696" s="3"/>
    </row>
    <row r="3697" spans="1:8" hidden="1">
      <c r="A3697" s="3">
        <v>1092506</v>
      </c>
      <c r="B3697" s="7" t="s">
        <v>141</v>
      </c>
      <c r="C3697" s="41">
        <v>1464.65</v>
      </c>
      <c r="D3697" s="6">
        <v>45652</v>
      </c>
      <c r="E3697" s="3" t="str">
        <f ca="1">IF(Tabela2[[#This Row],[Dt Venc:]]&gt;TODAY(),"Em Aberto",IF(Tabela2[[#This Row],[D/venc]]="-","Enviado",IF(Tabela2[[#This Row],[Dt Venc:]]=TODAY(),"Vence Hoje","Vencida")))</f>
        <v>Enviado</v>
      </c>
      <c r="F3697" s="3" t="str">
        <f ca="1">IF(G3697=1,"-",Tabela2[[#This Row],[Dt Venc:]]-TODAY())</f>
        <v>-</v>
      </c>
      <c r="G3697" s="3">
        <v>1</v>
      </c>
      <c r="H3697" s="3"/>
    </row>
    <row r="3698" spans="1:8" hidden="1">
      <c r="A3698" s="3">
        <v>1092513</v>
      </c>
      <c r="B3698" s="7" t="s">
        <v>141</v>
      </c>
      <c r="C3698" s="41">
        <v>315.79000000000002</v>
      </c>
      <c r="D3698" s="6">
        <v>45652</v>
      </c>
      <c r="E3698" s="3" t="str">
        <f ca="1">IF(Tabela2[[#This Row],[Dt Venc:]]&gt;TODAY(),"Em Aberto",IF(Tabela2[[#This Row],[D/venc]]="-","Enviado",IF(Tabela2[[#This Row],[Dt Venc:]]=TODAY(),"Vence Hoje","Vencida")))</f>
        <v>Enviado</v>
      </c>
      <c r="F3698" s="3" t="str">
        <f ca="1">IF(G3698=1,"-",Tabela2[[#This Row],[Dt Venc:]]-TODAY())</f>
        <v>-</v>
      </c>
      <c r="G3698" s="3">
        <v>1</v>
      </c>
      <c r="H3698" s="3"/>
    </row>
    <row r="3699" spans="1:8" hidden="1">
      <c r="A3699" s="3">
        <v>1092512</v>
      </c>
      <c r="B3699" s="7" t="s">
        <v>141</v>
      </c>
      <c r="C3699" s="41">
        <v>1621.43</v>
      </c>
      <c r="D3699" s="6">
        <v>45652</v>
      </c>
      <c r="E3699" s="3" t="str">
        <f ca="1">IF(Tabela2[[#This Row],[Dt Venc:]]&gt;TODAY(),"Em Aberto",IF(Tabela2[[#This Row],[D/venc]]="-","Enviado",IF(Tabela2[[#This Row],[Dt Venc:]]=TODAY(),"Vence Hoje","Vencida")))</f>
        <v>Enviado</v>
      </c>
      <c r="F3699" s="3" t="str">
        <f ca="1">IF(G3699=1,"-",Tabela2[[#This Row],[Dt Venc:]]-TODAY())</f>
        <v>-</v>
      </c>
      <c r="G3699" s="3">
        <v>1</v>
      </c>
      <c r="H3699" s="3"/>
    </row>
    <row r="3700" spans="1:8" hidden="1">
      <c r="A3700" s="3">
        <v>1092509</v>
      </c>
      <c r="B3700" s="7" t="s">
        <v>141</v>
      </c>
      <c r="C3700" s="41">
        <v>650.12</v>
      </c>
      <c r="D3700" s="6">
        <v>45652</v>
      </c>
      <c r="E3700" s="3" t="str">
        <f ca="1">IF(Tabela2[[#This Row],[Dt Venc:]]&gt;TODAY(),"Em Aberto",IF(Tabela2[[#This Row],[D/venc]]="-","Enviado",IF(Tabela2[[#This Row],[Dt Venc:]]=TODAY(),"Vence Hoje","Vencida")))</f>
        <v>Enviado</v>
      </c>
      <c r="F3700" s="3" t="str">
        <f ca="1">IF(G3700=1,"-",Tabela2[[#This Row],[Dt Venc:]]-TODAY())</f>
        <v>-</v>
      </c>
      <c r="G3700" s="3">
        <v>1</v>
      </c>
      <c r="H3700" s="3"/>
    </row>
    <row r="3701" spans="1:8" hidden="1">
      <c r="A3701" s="3">
        <v>1092507</v>
      </c>
      <c r="B3701" s="7" t="s">
        <v>141</v>
      </c>
      <c r="C3701" s="41">
        <v>1304.01</v>
      </c>
      <c r="D3701" s="6">
        <v>45652</v>
      </c>
      <c r="E3701" s="3" t="str">
        <f ca="1">IF(Tabela2[[#This Row],[Dt Venc:]]&gt;TODAY(),"Em Aberto",IF(Tabela2[[#This Row],[D/venc]]="-","Enviado",IF(Tabela2[[#This Row],[Dt Venc:]]=TODAY(),"Vence Hoje","Vencida")))</f>
        <v>Enviado</v>
      </c>
      <c r="F3701" s="3" t="str">
        <f ca="1">IF(G3701=1,"-",Tabela2[[#This Row],[Dt Venc:]]-TODAY())</f>
        <v>-</v>
      </c>
      <c r="G3701" s="3">
        <v>1</v>
      </c>
      <c r="H3701" s="3"/>
    </row>
    <row r="3702" spans="1:8" hidden="1">
      <c r="A3702" s="3">
        <v>1092511</v>
      </c>
      <c r="B3702" s="7" t="s">
        <v>141</v>
      </c>
      <c r="C3702" s="41">
        <v>1583.69</v>
      </c>
      <c r="D3702" s="6">
        <v>45652</v>
      </c>
      <c r="E3702" s="3" t="str">
        <f ca="1">IF(Tabela2[[#This Row],[Dt Venc:]]&gt;TODAY(),"Em Aberto",IF(Tabela2[[#This Row],[D/venc]]="-","Enviado",IF(Tabela2[[#This Row],[Dt Venc:]]=TODAY(),"Vence Hoje","Vencida")))</f>
        <v>Enviado</v>
      </c>
      <c r="F3702" s="3" t="str">
        <f ca="1">IF(G3702=1,"-",Tabela2[[#This Row],[Dt Venc:]]-TODAY())</f>
        <v>-</v>
      </c>
      <c r="G3702" s="3">
        <v>1</v>
      </c>
      <c r="H3702" s="3"/>
    </row>
    <row r="3703" spans="1:8" hidden="1">
      <c r="A3703" s="3">
        <v>1092508</v>
      </c>
      <c r="B3703" s="7" t="s">
        <v>141</v>
      </c>
      <c r="C3703" s="41">
        <v>1493.59</v>
      </c>
      <c r="D3703" s="6">
        <v>45652</v>
      </c>
      <c r="E3703" s="3" t="str">
        <f ca="1">IF(Tabela2[[#This Row],[Dt Venc:]]&gt;TODAY(),"Em Aberto",IF(Tabela2[[#This Row],[D/venc]]="-","Enviado",IF(Tabela2[[#This Row],[Dt Venc:]]=TODAY(),"Vence Hoje","Vencida")))</f>
        <v>Enviado</v>
      </c>
      <c r="F3703" s="3" t="str">
        <f ca="1">IF(G3703=1,"-",Tabela2[[#This Row],[Dt Venc:]]-TODAY())</f>
        <v>-</v>
      </c>
      <c r="G3703" s="3">
        <v>1</v>
      </c>
      <c r="H3703" s="3"/>
    </row>
    <row r="3704" spans="1:8" hidden="1">
      <c r="A3704" s="3">
        <v>1092514</v>
      </c>
      <c r="B3704" s="7" t="s">
        <v>141</v>
      </c>
      <c r="C3704" s="41">
        <v>1223.57</v>
      </c>
      <c r="D3704" s="6">
        <v>45652</v>
      </c>
      <c r="E3704" s="3" t="str">
        <f ca="1">IF(Tabela2[[#This Row],[Dt Venc:]]&gt;TODAY(),"Em Aberto",IF(Tabela2[[#This Row],[D/venc]]="-","Enviado",IF(Tabela2[[#This Row],[Dt Venc:]]=TODAY(),"Vence Hoje","Vencida")))</f>
        <v>Enviado</v>
      </c>
      <c r="F3704" s="3" t="str">
        <f ca="1">IF(G3704=1,"-",Tabela2[[#This Row],[Dt Venc:]]-TODAY())</f>
        <v>-</v>
      </c>
      <c r="G3704" s="3">
        <v>1</v>
      </c>
      <c r="H3704" s="3"/>
    </row>
    <row r="3705" spans="1:8" hidden="1">
      <c r="A3705" s="3">
        <v>1092519</v>
      </c>
      <c r="B3705" s="7" t="s">
        <v>141</v>
      </c>
      <c r="C3705" s="41">
        <v>1540</v>
      </c>
      <c r="D3705" s="6">
        <v>45652</v>
      </c>
      <c r="E3705" s="3" t="str">
        <f ca="1">IF(Tabela2[[#This Row],[Dt Venc:]]&gt;TODAY(),"Em Aberto",IF(Tabela2[[#This Row],[D/venc]]="-","Enviado",IF(Tabela2[[#This Row],[Dt Venc:]]=TODAY(),"Vence Hoje","Vencida")))</f>
        <v>Enviado</v>
      </c>
      <c r="F3705" s="3" t="str">
        <f ca="1">IF(G3705=1,"-",Tabela2[[#This Row],[Dt Venc:]]-TODAY())</f>
        <v>-</v>
      </c>
      <c r="G3705" s="3">
        <v>1</v>
      </c>
      <c r="H3705" s="3"/>
    </row>
    <row r="3706" spans="1:8" hidden="1">
      <c r="A3706" s="3">
        <v>1092516</v>
      </c>
      <c r="B3706" s="7" t="s">
        <v>141</v>
      </c>
      <c r="C3706" s="41">
        <v>1502.98</v>
      </c>
      <c r="D3706" s="6">
        <v>45652</v>
      </c>
      <c r="E3706" s="3" t="str">
        <f ca="1">IF(Tabela2[[#This Row],[Dt Venc:]]&gt;TODAY(),"Em Aberto",IF(Tabela2[[#This Row],[D/venc]]="-","Enviado",IF(Tabela2[[#This Row],[Dt Venc:]]=TODAY(),"Vence Hoje","Vencida")))</f>
        <v>Enviado</v>
      </c>
      <c r="F3706" s="3" t="str">
        <f ca="1">IF(G3706=1,"-",Tabela2[[#This Row],[Dt Venc:]]-TODAY())</f>
        <v>-</v>
      </c>
      <c r="G3706" s="3">
        <v>1</v>
      </c>
      <c r="H3706" s="3"/>
    </row>
    <row r="3707" spans="1:8" hidden="1">
      <c r="A3707" s="3">
        <v>33435</v>
      </c>
      <c r="B3707" s="7" t="s">
        <v>70</v>
      </c>
      <c r="C3707" s="41">
        <v>242.21</v>
      </c>
      <c r="D3707" s="6">
        <v>45652</v>
      </c>
      <c r="E3707" s="3" t="str">
        <f ca="1">IF(Tabela2[[#This Row],[Dt Venc:]]&gt;TODAY(),"Em Aberto",IF(Tabela2[[#This Row],[D/venc]]="-","Enviado",IF(Tabela2[[#This Row],[Dt Venc:]]=TODAY(),"Vence Hoje","Vencida")))</f>
        <v>Enviado</v>
      </c>
      <c r="F3707" s="3" t="str">
        <f ca="1">IF(G3707=1,"-",Tabela2[[#This Row],[Dt Venc:]]-TODAY())</f>
        <v>-</v>
      </c>
      <c r="G3707" s="3">
        <v>1</v>
      </c>
      <c r="H3707" s="3"/>
    </row>
    <row r="3708" spans="1:8" hidden="1">
      <c r="A3708" s="3">
        <v>45712</v>
      </c>
      <c r="B3708" s="7" t="s">
        <v>70</v>
      </c>
      <c r="C3708" s="41">
        <v>982.94</v>
      </c>
      <c r="D3708" s="6">
        <v>45652</v>
      </c>
      <c r="E3708" s="3" t="str">
        <f ca="1">IF(Tabela2[[#This Row],[Dt Venc:]]&gt;TODAY(),"Em Aberto",IF(Tabela2[[#This Row],[D/venc]]="-","Enviado",IF(Tabela2[[#This Row],[Dt Venc:]]=TODAY(),"Vence Hoje","Vencida")))</f>
        <v>Enviado</v>
      </c>
      <c r="F3708" s="3" t="str">
        <f ca="1">IF(G3708=1,"-",Tabela2[[#This Row],[Dt Venc:]]-TODAY())</f>
        <v>-</v>
      </c>
      <c r="G3708" s="3">
        <v>1</v>
      </c>
      <c r="H3708" s="3"/>
    </row>
    <row r="3709" spans="1:8" hidden="1">
      <c r="A3709" s="3">
        <v>11163</v>
      </c>
      <c r="B3709" s="7" t="s">
        <v>33</v>
      </c>
      <c r="C3709" s="41">
        <v>800</v>
      </c>
      <c r="D3709" s="6">
        <v>45652</v>
      </c>
      <c r="E3709" s="3" t="str">
        <f ca="1">IF(Tabela2[[#This Row],[Dt Venc:]]&gt;TODAY(),"Em Aberto",IF(Tabela2[[#This Row],[D/venc]]="-","Enviado",IF(Tabela2[[#This Row],[Dt Venc:]]=TODAY(),"Vence Hoje","Vencida")))</f>
        <v>Enviado</v>
      </c>
      <c r="F3709" s="3" t="str">
        <f ca="1">IF(G3709=1,"-",Tabela2[[#This Row],[Dt Venc:]]-TODAY())</f>
        <v>-</v>
      </c>
      <c r="G3709" s="3">
        <v>1</v>
      </c>
      <c r="H3709" s="3"/>
    </row>
    <row r="3710" spans="1:8" hidden="1">
      <c r="A3710" s="3">
        <v>373535</v>
      </c>
      <c r="B3710" s="7" t="s">
        <v>39</v>
      </c>
      <c r="C3710" s="41">
        <v>650.1</v>
      </c>
      <c r="D3710" s="6">
        <v>45652</v>
      </c>
      <c r="E3710" s="3" t="str">
        <f ca="1">IF(Tabela2[[#This Row],[Dt Venc:]]&gt;TODAY(),"Em Aberto",IF(Tabela2[[#This Row],[D/venc]]="-","Enviado",IF(Tabela2[[#This Row],[Dt Venc:]]=TODAY(),"Vence Hoje","Vencida")))</f>
        <v>Enviado</v>
      </c>
      <c r="F3710" s="3" t="str">
        <f ca="1">IF(G3710=1,"-",Tabela2[[#This Row],[Dt Venc:]]-TODAY())</f>
        <v>-</v>
      </c>
      <c r="G3710" s="3">
        <v>1</v>
      </c>
      <c r="H3710" s="3"/>
    </row>
    <row r="3711" spans="1:8" hidden="1">
      <c r="A3711" s="3">
        <v>40095</v>
      </c>
      <c r="B3711" s="7" t="s">
        <v>569</v>
      </c>
      <c r="C3711" s="41">
        <v>611.79999999999995</v>
      </c>
      <c r="D3711" s="6">
        <v>45652</v>
      </c>
      <c r="E3711" s="3" t="str">
        <f ca="1">IF(Tabela2[[#This Row],[Dt Venc:]]&gt;TODAY(),"Em Aberto",IF(Tabela2[[#This Row],[D/venc]]="-","Enviado",IF(Tabela2[[#This Row],[Dt Venc:]]=TODAY(),"Vence Hoje","Vencida")))</f>
        <v>Enviado</v>
      </c>
      <c r="F3711" s="3" t="str">
        <f ca="1">IF(G3711=1,"-",Tabela2[[#This Row],[Dt Venc:]]-TODAY())</f>
        <v>-</v>
      </c>
      <c r="G3711" s="3">
        <v>1</v>
      </c>
      <c r="H3711" s="3"/>
    </row>
    <row r="3712" spans="1:8" hidden="1">
      <c r="A3712" s="3">
        <v>391862</v>
      </c>
      <c r="B3712" s="7" t="s">
        <v>570</v>
      </c>
      <c r="C3712" s="41">
        <v>490</v>
      </c>
      <c r="D3712" s="6">
        <v>45652</v>
      </c>
      <c r="E3712" s="3" t="str">
        <f ca="1">IF(Tabela2[[#This Row],[Dt Venc:]]&gt;TODAY(),"Em Aberto",IF(Tabela2[[#This Row],[D/venc]]="-","Enviado",IF(Tabela2[[#This Row],[Dt Venc:]]=TODAY(),"Vence Hoje","Vencida")))</f>
        <v>Enviado</v>
      </c>
      <c r="F3712" s="3" t="str">
        <f ca="1">IF(G3712=1,"-",Tabela2[[#This Row],[Dt Venc:]]-TODAY())</f>
        <v>-</v>
      </c>
      <c r="G3712" s="3">
        <v>1</v>
      </c>
      <c r="H3712" s="3"/>
    </row>
    <row r="3713" spans="1:8" hidden="1">
      <c r="A3713" s="3">
        <v>1471</v>
      </c>
      <c r="B3713" s="7" t="s">
        <v>241</v>
      </c>
      <c r="C3713" s="41">
        <v>540</v>
      </c>
      <c r="D3713" s="6">
        <v>45652</v>
      </c>
      <c r="E3713" s="3" t="str">
        <f ca="1">IF(Tabela2[[#This Row],[Dt Venc:]]&gt;TODAY(),"Em Aberto",IF(Tabela2[[#This Row],[D/venc]]="-","Enviado",IF(Tabela2[[#This Row],[Dt Venc:]]=TODAY(),"Vence Hoje","Vencida")))</f>
        <v>Enviado</v>
      </c>
      <c r="F3713" s="3" t="str">
        <f ca="1">IF(G3713=1,"-",Tabela2[[#This Row],[Dt Venc:]]-TODAY())</f>
        <v>-</v>
      </c>
      <c r="G3713" s="3">
        <v>1</v>
      </c>
      <c r="H3713" s="3"/>
    </row>
    <row r="3714" spans="1:8" hidden="1">
      <c r="A3714" s="3">
        <v>9149</v>
      </c>
      <c r="B3714" s="7" t="s">
        <v>571</v>
      </c>
      <c r="C3714" s="41">
        <f>1380/2</f>
        <v>690</v>
      </c>
      <c r="D3714" s="6">
        <v>45652</v>
      </c>
      <c r="E3714" s="3" t="str">
        <f ca="1">IF(Tabela2[[#This Row],[Dt Venc:]]&gt;TODAY(),"Em Aberto",IF(Tabela2[[#This Row],[D/venc]]="-","Enviado",IF(Tabela2[[#This Row],[Dt Venc:]]=TODAY(),"Vence Hoje","Vencida")))</f>
        <v>Enviado</v>
      </c>
      <c r="F3714" s="3" t="str">
        <f ca="1">IF(G3714=1,"-",Tabela2[[#This Row],[Dt Venc:]]-TODAY())</f>
        <v>-</v>
      </c>
      <c r="G3714" s="3">
        <v>1</v>
      </c>
      <c r="H3714" s="3"/>
    </row>
    <row r="3715" spans="1:8" hidden="1">
      <c r="A3715" s="3">
        <v>259729</v>
      </c>
      <c r="B3715" s="7" t="s">
        <v>43</v>
      </c>
      <c r="C3715" s="41">
        <v>680</v>
      </c>
      <c r="D3715" s="6">
        <v>45652</v>
      </c>
      <c r="E3715" s="3" t="str">
        <f ca="1">IF(Tabela2[[#This Row],[Dt Venc:]]&gt;TODAY(),"Em Aberto",IF(Tabela2[[#This Row],[D/venc]]="-","Enviado",IF(Tabela2[[#This Row],[Dt Venc:]]=TODAY(),"Vence Hoje","Vencida")))</f>
        <v>Enviado</v>
      </c>
      <c r="F3715" s="3" t="str">
        <f ca="1">IF(G3715=1,"-",Tabela2[[#This Row],[Dt Venc:]]-TODAY())</f>
        <v>-</v>
      </c>
      <c r="G3715" s="3">
        <v>1</v>
      </c>
      <c r="H3715" s="3"/>
    </row>
    <row r="3716" spans="1:8" hidden="1">
      <c r="A3716" s="3">
        <v>60963</v>
      </c>
      <c r="B3716" s="7" t="s">
        <v>435</v>
      </c>
      <c r="C3716" s="41">
        <v>731.1</v>
      </c>
      <c r="D3716" s="6">
        <v>45652</v>
      </c>
      <c r="E3716" s="3" t="str">
        <f ca="1">IF(Tabela2[[#This Row],[Dt Venc:]]&gt;TODAY(),"Em Aberto",IF(Tabela2[[#This Row],[D/venc]]="-","Enviado",IF(Tabela2[[#This Row],[Dt Venc:]]=TODAY(),"Vence Hoje","Vencida")))</f>
        <v>Enviado</v>
      </c>
      <c r="F3716" s="3" t="str">
        <f ca="1">IF(G3716=1,"-",Tabela2[[#This Row],[Dt Venc:]]-TODAY())</f>
        <v>-</v>
      </c>
      <c r="G3716" s="3">
        <v>1</v>
      </c>
      <c r="H3716" s="3"/>
    </row>
    <row r="3717" spans="1:8" hidden="1">
      <c r="A3717" s="3">
        <v>154716</v>
      </c>
      <c r="B3717" s="7" t="s">
        <v>77</v>
      </c>
      <c r="C3717" s="41">
        <v>1233.33</v>
      </c>
      <c r="D3717" s="6">
        <v>45652</v>
      </c>
      <c r="E3717" s="3" t="str">
        <f ca="1">IF(Tabela2[[#This Row],[Dt Venc:]]&gt;TODAY(),"Em Aberto",IF(Tabela2[[#This Row],[D/venc]]="-","Enviado",IF(Tabela2[[#This Row],[Dt Venc:]]=TODAY(),"Vence Hoje","Vencida")))</f>
        <v>Enviado</v>
      </c>
      <c r="F3717" s="3" t="str">
        <f ca="1">IF(G3717=1,"-",Tabela2[[#This Row],[Dt Venc:]]-TODAY())</f>
        <v>-</v>
      </c>
      <c r="G3717" s="3">
        <v>1</v>
      </c>
      <c r="H3717" s="3"/>
    </row>
    <row r="3718" spans="1:8" hidden="1">
      <c r="A3718" s="3">
        <v>329375</v>
      </c>
      <c r="B3718" s="7" t="s">
        <v>77</v>
      </c>
      <c r="C3718" s="41">
        <v>438.33</v>
      </c>
      <c r="D3718" s="6">
        <v>45652</v>
      </c>
      <c r="E3718" s="3" t="str">
        <f ca="1">IF(Tabela2[[#This Row],[Dt Venc:]]&gt;TODAY(),"Em Aberto",IF(Tabela2[[#This Row],[D/venc]]="-","Enviado",IF(Tabela2[[#This Row],[Dt Venc:]]=TODAY(),"Vence Hoje","Vencida")))</f>
        <v>Enviado</v>
      </c>
      <c r="F3718" s="3" t="str">
        <f ca="1">IF(G3718=1,"-",Tabela2[[#This Row],[Dt Venc:]]-TODAY())</f>
        <v>-</v>
      </c>
      <c r="G3718" s="3">
        <v>1</v>
      </c>
      <c r="H3718" s="3"/>
    </row>
    <row r="3719" spans="1:8" hidden="1">
      <c r="A3719" s="3">
        <v>154743</v>
      </c>
      <c r="B3719" s="7" t="s">
        <v>77</v>
      </c>
      <c r="C3719" s="41">
        <v>1233.33</v>
      </c>
      <c r="D3719" s="6">
        <v>45652</v>
      </c>
      <c r="E3719" s="3" t="str">
        <f ca="1">IF(Tabela2[[#This Row],[Dt Venc:]]&gt;TODAY(),"Em Aberto",IF(Tabela2[[#This Row],[D/venc]]="-","Enviado",IF(Tabela2[[#This Row],[Dt Venc:]]=TODAY(),"Vence Hoje","Vencida")))</f>
        <v>Enviado</v>
      </c>
      <c r="F3719" s="3" t="str">
        <f ca="1">IF(G3719=1,"-",Tabela2[[#This Row],[Dt Venc:]]-TODAY())</f>
        <v>-</v>
      </c>
      <c r="G3719" s="3">
        <v>1</v>
      </c>
      <c r="H3719" s="3"/>
    </row>
    <row r="3720" spans="1:8" hidden="1">
      <c r="A3720" s="3">
        <v>329424</v>
      </c>
      <c r="B3720" s="7" t="s">
        <v>77</v>
      </c>
      <c r="C3720" s="41">
        <v>438.33</v>
      </c>
      <c r="D3720" s="6">
        <v>45652</v>
      </c>
      <c r="E3720" s="3" t="str">
        <f ca="1">IF(Tabela2[[#This Row],[Dt Venc:]]&gt;TODAY(),"Em Aberto",IF(Tabela2[[#This Row],[D/venc]]="-","Enviado",IF(Tabela2[[#This Row],[Dt Venc:]]=TODAY(),"Vence Hoje","Vencida")))</f>
        <v>Enviado</v>
      </c>
      <c r="F3720" s="3" t="str">
        <f ca="1">IF(G3720=1,"-",Tabela2[[#This Row],[Dt Venc:]]-TODAY())</f>
        <v>-</v>
      </c>
      <c r="G3720" s="3">
        <v>1</v>
      </c>
      <c r="H3720" s="3"/>
    </row>
    <row r="3721" spans="1:8" hidden="1">
      <c r="A3721" s="3">
        <v>267324</v>
      </c>
      <c r="B3721" s="7" t="s">
        <v>189</v>
      </c>
      <c r="C3721" s="41">
        <v>246.67</v>
      </c>
      <c r="D3721" s="6">
        <v>45652</v>
      </c>
      <c r="E3721" s="3" t="str">
        <f ca="1">IF(Tabela2[[#This Row],[Dt Venc:]]&gt;TODAY(),"Em Aberto",IF(Tabela2[[#This Row],[D/venc]]="-","Enviado",IF(Tabela2[[#This Row],[Dt Venc:]]=TODAY(),"Vence Hoje","Vencida")))</f>
        <v>Enviado</v>
      </c>
      <c r="F3721" s="3" t="str">
        <f ca="1">IF(G3721=1,"-",Tabela2[[#This Row],[Dt Venc:]]-TODAY())</f>
        <v>-</v>
      </c>
      <c r="G3721" s="3">
        <v>1</v>
      </c>
      <c r="H3721" s="3"/>
    </row>
    <row r="3722" spans="1:8" hidden="1">
      <c r="A3722" s="3">
        <v>11166</v>
      </c>
      <c r="B3722" s="7" t="s">
        <v>33</v>
      </c>
      <c r="C3722" s="41">
        <v>1968.33</v>
      </c>
      <c r="D3722" s="6">
        <v>45652</v>
      </c>
      <c r="E3722" s="3" t="str">
        <f ca="1">IF(Tabela2[[#This Row],[Dt Venc:]]&gt;TODAY(),"Em Aberto",IF(Tabela2[[#This Row],[D/venc]]="-","Enviado",IF(Tabela2[[#This Row],[Dt Venc:]]=TODAY(),"Vence Hoje","Vencida")))</f>
        <v>Enviado</v>
      </c>
      <c r="F3722" s="3" t="str">
        <f ca="1">IF(G3722=1,"-",Tabela2[[#This Row],[Dt Venc:]]-TODAY())</f>
        <v>-</v>
      </c>
      <c r="G3722" s="3">
        <v>1</v>
      </c>
      <c r="H3722" s="3"/>
    </row>
    <row r="3723" spans="1:8" hidden="1">
      <c r="A3723" s="3">
        <v>130439</v>
      </c>
      <c r="B3723" s="7" t="s">
        <v>157</v>
      </c>
      <c r="C3723" s="41">
        <v>1007.69</v>
      </c>
      <c r="D3723" s="6">
        <v>45652</v>
      </c>
      <c r="E3723" s="3" t="str">
        <f ca="1">IF(Tabela2[[#This Row],[Dt Venc:]]&gt;TODAY(),"Em Aberto",IF(Tabela2[[#This Row],[D/venc]]="-","Enviado",IF(Tabela2[[#This Row],[Dt Venc:]]=TODAY(),"Vence Hoje","Vencida")))</f>
        <v>Enviado</v>
      </c>
      <c r="F3723" s="3" t="str">
        <f ca="1">IF(G3723=1,"-",Tabela2[[#This Row],[Dt Venc:]]-TODAY())</f>
        <v>-</v>
      </c>
      <c r="G3723" s="3">
        <v>1</v>
      </c>
      <c r="H3723" s="3"/>
    </row>
    <row r="3724" spans="1:8" hidden="1">
      <c r="A3724" s="3">
        <v>304435</v>
      </c>
      <c r="B3724" s="7" t="s">
        <v>572</v>
      </c>
      <c r="C3724" s="41">
        <v>3072.3</v>
      </c>
      <c r="D3724" s="6">
        <v>45652</v>
      </c>
      <c r="E3724" s="3" t="str">
        <f ca="1">IF(Tabela2[[#This Row],[Dt Venc:]]&gt;TODAY(),"Em Aberto",IF(Tabela2[[#This Row],[D/venc]]="-","Enviado",IF(Tabela2[[#This Row],[Dt Venc:]]=TODAY(),"Vence Hoje","Vencida")))</f>
        <v>Enviado</v>
      </c>
      <c r="F3724" s="3" t="str">
        <f ca="1">IF(G3724=1,"-",Tabela2[[#This Row],[Dt Venc:]]-TODAY())</f>
        <v>-</v>
      </c>
      <c r="G3724" s="3">
        <v>1</v>
      </c>
      <c r="H3724" s="3"/>
    </row>
    <row r="3725" spans="1:8" hidden="1">
      <c r="A3725" s="3">
        <v>72476</v>
      </c>
      <c r="B3725" s="7" t="s">
        <v>573</v>
      </c>
      <c r="C3725" s="41">
        <v>539</v>
      </c>
      <c r="D3725" s="6">
        <v>45652</v>
      </c>
      <c r="E3725" s="3" t="str">
        <f ca="1">IF(Tabela2[[#This Row],[Dt Venc:]]&gt;TODAY(),"Em Aberto",IF(Tabela2[[#This Row],[D/venc]]="-","Enviado",IF(Tabela2[[#This Row],[Dt Venc:]]=TODAY(),"Vence Hoje","Vencida")))</f>
        <v>Enviado</v>
      </c>
      <c r="F3725" s="3" t="str">
        <f ca="1">IF(G3725=1,"-",Tabela2[[#This Row],[Dt Venc:]]-TODAY())</f>
        <v>-</v>
      </c>
      <c r="G3725" s="3">
        <v>1</v>
      </c>
      <c r="H3725" s="3"/>
    </row>
    <row r="3726" spans="1:8" hidden="1">
      <c r="A3726" s="3">
        <v>447197</v>
      </c>
      <c r="B3726" s="7" t="s">
        <v>512</v>
      </c>
      <c r="C3726" s="41">
        <v>1177.78</v>
      </c>
      <c r="D3726" s="6">
        <v>45652</v>
      </c>
      <c r="E3726" s="3" t="str">
        <f ca="1">IF(Tabela2[[#This Row],[Dt Venc:]]&gt;TODAY(),"Em Aberto",IF(Tabela2[[#This Row],[D/venc]]="-","Enviado",IF(Tabela2[[#This Row],[Dt Venc:]]=TODAY(),"Vence Hoje","Vencida")))</f>
        <v>Enviado</v>
      </c>
      <c r="F3726" s="3" t="str">
        <f ca="1">IF(G3726=1,"-",Tabela2[[#This Row],[Dt Venc:]]-TODAY())</f>
        <v>-</v>
      </c>
      <c r="G3726" s="3">
        <v>1</v>
      </c>
      <c r="H3726" s="3"/>
    </row>
    <row r="3727" spans="1:8" hidden="1">
      <c r="A3727" s="3">
        <v>260043</v>
      </c>
      <c r="B3727" s="7" t="s">
        <v>43</v>
      </c>
      <c r="C3727" s="41">
        <v>531.15</v>
      </c>
      <c r="D3727" s="6">
        <v>45652</v>
      </c>
      <c r="E3727" s="3" t="str">
        <f ca="1">IF(Tabela2[[#This Row],[Dt Venc:]]&gt;TODAY(),"Em Aberto",IF(Tabela2[[#This Row],[D/venc]]="-","Enviado",IF(Tabela2[[#This Row],[Dt Venc:]]=TODAY(),"Vence Hoje","Vencida")))</f>
        <v>Enviado</v>
      </c>
      <c r="F3727" s="3" t="str">
        <f ca="1">IF(G3727=1,"-",Tabela2[[#This Row],[Dt Venc:]]-TODAY())</f>
        <v>-</v>
      </c>
      <c r="G3727" s="3">
        <v>1</v>
      </c>
      <c r="H3727" s="3"/>
    </row>
    <row r="3728" spans="1:8" hidden="1">
      <c r="A3728" s="3">
        <v>14284</v>
      </c>
      <c r="B3728" s="7" t="s">
        <v>51</v>
      </c>
      <c r="C3728" s="41">
        <v>600</v>
      </c>
      <c r="D3728" s="6">
        <v>45652</v>
      </c>
      <c r="E3728" s="3" t="str">
        <f ca="1">IF(Tabela2[[#This Row],[Dt Venc:]]&gt;TODAY(),"Em Aberto",IF(Tabela2[[#This Row],[D/venc]]="-","Enviado",IF(Tabela2[[#This Row],[Dt Venc:]]=TODAY(),"Vence Hoje","Vencida")))</f>
        <v>Enviado</v>
      </c>
      <c r="F3728" s="3" t="str">
        <f ca="1">IF(G3728=1,"-",Tabela2[[#This Row],[Dt Venc:]]-TODAY())</f>
        <v>-</v>
      </c>
      <c r="G3728" s="3">
        <v>1</v>
      </c>
      <c r="H3728" s="3"/>
    </row>
    <row r="3729" spans="1:8" hidden="1">
      <c r="A3729" s="3">
        <v>1228</v>
      </c>
      <c r="B3729" s="7" t="s">
        <v>559</v>
      </c>
      <c r="C3729" s="41">
        <f>1800/2</f>
        <v>900</v>
      </c>
      <c r="D3729" s="6">
        <v>45652</v>
      </c>
      <c r="E3729" s="3" t="str">
        <f ca="1">IF(Tabela2[[#This Row],[Dt Venc:]]&gt;TODAY(),"Em Aberto",IF(Tabela2[[#This Row],[D/venc]]="-","Enviado",IF(Tabela2[[#This Row],[Dt Venc:]]=TODAY(),"Vence Hoje","Vencida")))</f>
        <v>Enviado</v>
      </c>
      <c r="F3729" s="3" t="str">
        <f ca="1">IF(G3729=1,"-",Tabela2[[#This Row],[Dt Venc:]]-TODAY())</f>
        <v>-</v>
      </c>
      <c r="G3729" s="3">
        <v>1</v>
      </c>
      <c r="H3729" s="3"/>
    </row>
    <row r="3730" spans="1:8" hidden="1">
      <c r="A3730" s="3">
        <v>13675</v>
      </c>
      <c r="B3730" s="7" t="s">
        <v>400</v>
      </c>
      <c r="C3730" s="41">
        <v>313.60000000000002</v>
      </c>
      <c r="D3730" s="6">
        <v>45652</v>
      </c>
      <c r="E3730" s="3" t="str">
        <f ca="1">IF(Tabela2[[#This Row],[Dt Venc:]]&gt;TODAY(),"Em Aberto",IF(Tabela2[[#This Row],[D/venc]]="-","Enviado",IF(Tabela2[[#This Row],[Dt Venc:]]=TODAY(),"Vence Hoje","Vencida")))</f>
        <v>Enviado</v>
      </c>
      <c r="F3730" s="3" t="str">
        <f ca="1">IF(G3730=1,"-",Tabela2[[#This Row],[Dt Venc:]]-TODAY())</f>
        <v>-</v>
      </c>
      <c r="G3730" s="3">
        <v>1</v>
      </c>
      <c r="H3730" s="3"/>
    </row>
    <row r="3731" spans="1:8" hidden="1">
      <c r="A3731" s="3">
        <v>23886</v>
      </c>
      <c r="B3731" s="7" t="s">
        <v>38</v>
      </c>
      <c r="C3731" s="41">
        <v>386.9</v>
      </c>
      <c r="D3731" s="6">
        <v>45652</v>
      </c>
      <c r="E3731" s="3" t="str">
        <f ca="1">IF(Tabela2[[#This Row],[Dt Venc:]]&gt;TODAY(),"Em Aberto",IF(Tabela2[[#This Row],[D/venc]]="-","Enviado",IF(Tabela2[[#This Row],[Dt Venc:]]=TODAY(),"Vence Hoje","Vencida")))</f>
        <v>Enviado</v>
      </c>
      <c r="F3731" s="3" t="str">
        <f ca="1">IF(G3731=1,"-",Tabela2[[#This Row],[Dt Venc:]]-TODAY())</f>
        <v>-</v>
      </c>
      <c r="G3731" s="3">
        <v>1</v>
      </c>
      <c r="H3731" s="3"/>
    </row>
    <row r="3732" spans="1:8" hidden="1">
      <c r="A3732" s="3">
        <v>115</v>
      </c>
      <c r="B3732" s="7" t="s">
        <v>95</v>
      </c>
      <c r="C3732" s="41">
        <v>1831.48</v>
      </c>
      <c r="D3732" s="6">
        <v>45652</v>
      </c>
      <c r="E3732" s="3" t="str">
        <f ca="1">IF(Tabela2[[#This Row],[Dt Venc:]]&gt;TODAY(),"Em Aberto",IF(Tabela2[[#This Row],[D/venc]]="-","Enviado",IF(Tabela2[[#This Row],[Dt Venc:]]=TODAY(),"Vence Hoje","Vencida")))</f>
        <v>Enviado</v>
      </c>
      <c r="F3732" s="3" t="str">
        <f ca="1">IF(G3732=1,"-",Tabela2[[#This Row],[Dt Venc:]]-TODAY())</f>
        <v>-</v>
      </c>
      <c r="G3732" s="3">
        <v>1</v>
      </c>
      <c r="H3732" s="3"/>
    </row>
    <row r="3733" spans="1:8" hidden="1">
      <c r="A3733" s="3">
        <v>88077</v>
      </c>
      <c r="B3733" s="7" t="s">
        <v>70</v>
      </c>
      <c r="C3733" s="41">
        <v>1176.22</v>
      </c>
      <c r="D3733" s="6">
        <v>45652</v>
      </c>
      <c r="E3733" s="3" t="str">
        <f ca="1">IF(Tabela2[[#This Row],[Dt Venc:]]&gt;TODAY(),"Em Aberto",IF(Tabela2[[#This Row],[D/venc]]="-","Enviado",IF(Tabela2[[#This Row],[Dt Venc:]]=TODAY(),"Vence Hoje","Vencida")))</f>
        <v>Enviado</v>
      </c>
      <c r="F3733" s="3" t="str">
        <f ca="1">IF(G3733=1,"-",Tabela2[[#This Row],[Dt Venc:]]-TODAY())</f>
        <v>-</v>
      </c>
      <c r="G3733" s="3">
        <v>1</v>
      </c>
      <c r="H3733" s="3"/>
    </row>
    <row r="3734" spans="1:8" hidden="1">
      <c r="A3734" s="3">
        <v>215120</v>
      </c>
      <c r="B3734" s="7" t="s">
        <v>59</v>
      </c>
      <c r="C3734" s="41">
        <v>28210</v>
      </c>
      <c r="D3734" s="6">
        <v>45652</v>
      </c>
      <c r="E3734" s="3" t="str">
        <f ca="1">IF(Tabela2[[#This Row],[Dt Venc:]]&gt;TODAY(),"Em Aberto",IF(Tabela2[[#This Row],[D/venc]]="-","Enviado",IF(Tabela2[[#This Row],[Dt Venc:]]=TODAY(),"Vence Hoje","Vencida")))</f>
        <v>Enviado</v>
      </c>
      <c r="F3734" s="3" t="str">
        <f ca="1">IF(G3734=1,"-",Tabela2[[#This Row],[Dt Venc:]]-TODAY())</f>
        <v>-</v>
      </c>
      <c r="G3734" s="3">
        <v>1</v>
      </c>
      <c r="H3734" s="3"/>
    </row>
    <row r="3735" spans="1:8" hidden="1">
      <c r="A3735" s="3">
        <v>3323599</v>
      </c>
      <c r="B3735" s="7" t="s">
        <v>71</v>
      </c>
      <c r="C3735" s="41">
        <v>83617.5</v>
      </c>
      <c r="D3735" s="6">
        <v>45652</v>
      </c>
      <c r="E3735" s="3" t="str">
        <f ca="1">IF(Tabela2[[#This Row],[Dt Venc:]]&gt;TODAY(),"Em Aberto",IF(Tabela2[[#This Row],[D/venc]]="-","Enviado",IF(Tabela2[[#This Row],[Dt Venc:]]=TODAY(),"Vence Hoje","Vencida")))</f>
        <v>Enviado</v>
      </c>
      <c r="F3735" s="3" t="str">
        <f ca="1">IF(G3735=1,"-",Tabela2[[#This Row],[Dt Venc:]]-TODAY())</f>
        <v>-</v>
      </c>
      <c r="G3735" s="3">
        <v>1</v>
      </c>
      <c r="H3735" s="3"/>
    </row>
    <row r="3736" spans="1:8" hidden="1">
      <c r="A3736" s="3">
        <v>634</v>
      </c>
      <c r="B3736" s="7" t="s">
        <v>574</v>
      </c>
      <c r="C3736" s="41">
        <v>1277.2</v>
      </c>
      <c r="D3736" s="6">
        <v>45652</v>
      </c>
      <c r="E3736" s="3" t="str">
        <f ca="1">IF(Tabela2[[#This Row],[Dt Venc:]]&gt;TODAY(),"Em Aberto",IF(Tabela2[[#This Row],[D/venc]]="-","Enviado",IF(Tabela2[[#This Row],[Dt Venc:]]=TODAY(),"Vence Hoje","Vencida")))</f>
        <v>Enviado</v>
      </c>
      <c r="F3736" s="3" t="str">
        <f ca="1">IF(G3736=1,"-",Tabela2[[#This Row],[Dt Venc:]]-TODAY())</f>
        <v>-</v>
      </c>
      <c r="G3736" s="3">
        <v>1</v>
      </c>
      <c r="H3736" s="3"/>
    </row>
    <row r="3737" spans="1:8" hidden="1">
      <c r="A3737" s="3">
        <v>142362</v>
      </c>
      <c r="B3737" s="7" t="s">
        <v>60</v>
      </c>
      <c r="C3737" s="41">
        <v>390</v>
      </c>
      <c r="D3737" s="6">
        <v>45652</v>
      </c>
      <c r="E3737" s="3" t="str">
        <f ca="1">IF(Tabela2[[#This Row],[Dt Venc:]]&gt;TODAY(),"Em Aberto",IF(Tabela2[[#This Row],[D/venc]]="-","Enviado",IF(Tabela2[[#This Row],[Dt Venc:]]=TODAY(),"Vence Hoje","Vencida")))</f>
        <v>Enviado</v>
      </c>
      <c r="F3737" s="3" t="str">
        <f ca="1">IF(G3737=1,"-",Tabela2[[#This Row],[Dt Venc:]]-TODAY())</f>
        <v>-</v>
      </c>
      <c r="G3737" s="3">
        <v>1</v>
      </c>
      <c r="H3737" s="3"/>
    </row>
    <row r="3738" spans="1:8" hidden="1">
      <c r="A3738" s="3">
        <v>142377</v>
      </c>
      <c r="B3738" s="7" t="s">
        <v>60</v>
      </c>
      <c r="C3738" s="41">
        <v>390</v>
      </c>
      <c r="D3738" s="6">
        <v>45652</v>
      </c>
      <c r="E3738" s="3" t="str">
        <f ca="1">IF(Tabela2[[#This Row],[Dt Venc:]]&gt;TODAY(),"Em Aberto",IF(Tabela2[[#This Row],[D/venc]]="-","Enviado",IF(Tabela2[[#This Row],[Dt Venc:]]=TODAY(),"Vence Hoje","Vencida")))</f>
        <v>Enviado</v>
      </c>
      <c r="F3738" s="3" t="str">
        <f ca="1">IF(G3738=1,"-",Tabela2[[#This Row],[Dt Venc:]]-TODAY())</f>
        <v>-</v>
      </c>
      <c r="G3738" s="3">
        <v>1</v>
      </c>
      <c r="H3738" s="3"/>
    </row>
    <row r="3739" spans="1:8" hidden="1">
      <c r="A3739" s="3">
        <v>5690</v>
      </c>
      <c r="B3739" s="7" t="s">
        <v>122</v>
      </c>
      <c r="C3739" s="83" t="s">
        <v>32</v>
      </c>
      <c r="D3739" s="6">
        <v>45653</v>
      </c>
      <c r="E3739" s="3" t="str">
        <f ca="1">IF(Tabela2[[#This Row],[Dt Venc:]]&gt;TODAY(),"Em Aberto",IF(Tabela2[[#This Row],[D/venc]]="-","Enviado",IF(Tabela2[[#This Row],[Dt Venc:]]=TODAY(),"Vence Hoje","Vencida")))</f>
        <v>Enviado</v>
      </c>
      <c r="F3739" s="3" t="str">
        <f ca="1">IF(G3739=1,"-",Tabela2[[#This Row],[Dt Venc:]]-TODAY())</f>
        <v>-</v>
      </c>
      <c r="G3739" s="3">
        <v>1</v>
      </c>
      <c r="H3739" s="3"/>
    </row>
    <row r="3740" spans="1:8" hidden="1">
      <c r="A3740" s="3">
        <v>1281</v>
      </c>
      <c r="B3740" s="7" t="s">
        <v>474</v>
      </c>
      <c r="C3740" s="41">
        <v>2300</v>
      </c>
      <c r="D3740" s="6">
        <v>45653</v>
      </c>
      <c r="E3740" s="3" t="str">
        <f ca="1">IF(Tabela2[[#This Row],[Dt Venc:]]&gt;TODAY(),"Em Aberto",IF(Tabela2[[#This Row],[D/venc]]="-","Enviado",IF(Tabela2[[#This Row],[Dt Venc:]]=TODAY(),"Vence Hoje","Vencida")))</f>
        <v>Enviado</v>
      </c>
      <c r="F3740" s="3" t="str">
        <f ca="1">IF(G3740=1,"-",Tabela2[[#This Row],[Dt Venc:]]-TODAY())</f>
        <v>-</v>
      </c>
      <c r="G3740" s="3">
        <v>1</v>
      </c>
      <c r="H3740" s="3"/>
    </row>
    <row r="3741" spans="1:8" hidden="1">
      <c r="A3741" s="3">
        <v>23487</v>
      </c>
      <c r="B3741" s="7" t="s">
        <v>38</v>
      </c>
      <c r="C3741" s="41">
        <v>606.66999999999996</v>
      </c>
      <c r="D3741" s="6">
        <v>45653</v>
      </c>
      <c r="E3741" s="3" t="str">
        <f ca="1">IF(Tabela2[[#This Row],[Dt Venc:]]&gt;TODAY(),"Em Aberto",IF(Tabela2[[#This Row],[D/venc]]="-","Enviado",IF(Tabela2[[#This Row],[Dt Venc:]]=TODAY(),"Vence Hoje","Vencida")))</f>
        <v>Enviado</v>
      </c>
      <c r="F3741" s="3" t="str">
        <f ca="1">IF(G3741=1,"-",Tabela2[[#This Row],[Dt Venc:]]-TODAY())</f>
        <v>-</v>
      </c>
      <c r="G3741" s="3">
        <v>1</v>
      </c>
      <c r="H3741" s="3"/>
    </row>
    <row r="3742" spans="1:8" hidden="1">
      <c r="A3742" s="3">
        <v>23488</v>
      </c>
      <c r="B3742" s="7" t="s">
        <v>38</v>
      </c>
      <c r="C3742" s="41">
        <v>761.33</v>
      </c>
      <c r="D3742" s="6">
        <v>45653</v>
      </c>
      <c r="E3742" s="3" t="str">
        <f ca="1">IF(Tabela2[[#This Row],[Dt Venc:]]&gt;TODAY(),"Em Aberto",IF(Tabela2[[#This Row],[D/venc]]="-","Enviado",IF(Tabela2[[#This Row],[Dt Venc:]]=TODAY(),"Vence Hoje","Vencida")))</f>
        <v>Enviado</v>
      </c>
      <c r="F3742" s="3" t="str">
        <f ca="1">IF(G3742=1,"-",Tabela2[[#This Row],[Dt Venc:]]-TODAY())</f>
        <v>-</v>
      </c>
      <c r="G3742" s="3">
        <v>1</v>
      </c>
      <c r="H3742" s="3"/>
    </row>
    <row r="3743" spans="1:8" hidden="1">
      <c r="A3743" s="3">
        <v>223792</v>
      </c>
      <c r="B3743" s="7" t="s">
        <v>127</v>
      </c>
      <c r="C3743" s="41">
        <v>1165.5999999999999</v>
      </c>
      <c r="D3743" s="6">
        <v>45653</v>
      </c>
      <c r="E3743" s="3" t="str">
        <f ca="1">IF(Tabela2[[#This Row],[Dt Venc:]]&gt;TODAY(),"Em Aberto",IF(Tabela2[[#This Row],[D/venc]]="-","Enviado",IF(Tabela2[[#This Row],[Dt Venc:]]=TODAY(),"Vence Hoje","Vencida")))</f>
        <v>Enviado</v>
      </c>
      <c r="F3743" s="3" t="str">
        <f ca="1">IF(G3743=1,"-",Tabela2[[#This Row],[Dt Venc:]]-TODAY())</f>
        <v>-</v>
      </c>
      <c r="G3743" s="3">
        <v>1</v>
      </c>
      <c r="H3743" s="3"/>
    </row>
    <row r="3744" spans="1:8" hidden="1">
      <c r="A3744" s="3">
        <v>223832</v>
      </c>
      <c r="B3744" s="7" t="s">
        <v>127</v>
      </c>
      <c r="C3744" s="41">
        <v>381.52</v>
      </c>
      <c r="D3744" s="6">
        <v>45653</v>
      </c>
      <c r="E3744" s="3" t="str">
        <f ca="1">IF(Tabela2[[#This Row],[Dt Venc:]]&gt;TODAY(),"Em Aberto",IF(Tabela2[[#This Row],[D/venc]]="-","Enviado",IF(Tabela2[[#This Row],[Dt Venc:]]=TODAY(),"Vence Hoje","Vencida")))</f>
        <v>Enviado</v>
      </c>
      <c r="F3744" s="3" t="str">
        <f ca="1">IF(G3744=1,"-",Tabela2[[#This Row],[Dt Venc:]]-TODAY())</f>
        <v>-</v>
      </c>
      <c r="G3744" s="3">
        <v>1</v>
      </c>
      <c r="H3744" s="3"/>
    </row>
    <row r="3745" spans="1:8" hidden="1">
      <c r="A3745" s="3">
        <v>610668</v>
      </c>
      <c r="B3745" s="7" t="s">
        <v>66</v>
      </c>
      <c r="C3745" s="42">
        <v>2380.85</v>
      </c>
      <c r="D3745" s="6">
        <v>45653</v>
      </c>
      <c r="E3745" s="3" t="str">
        <f ca="1">IF(Tabela2[[#This Row],[Dt Venc:]]&gt;TODAY(),"Em Aberto",IF(Tabela2[[#This Row],[D/venc]]="-","Enviado",IF(Tabela2[[#This Row],[Dt Venc:]]=TODAY(),"Vence Hoje","Vencida")))</f>
        <v>Enviado</v>
      </c>
      <c r="F3745" s="3" t="str">
        <f ca="1">IF(G3745=1,"-",Tabela2[[#This Row],[Dt Venc:]]-TODAY())</f>
        <v>-</v>
      </c>
      <c r="G3745" s="3">
        <v>1</v>
      </c>
      <c r="H3745" s="3"/>
    </row>
    <row r="3746" spans="1:8" hidden="1">
      <c r="A3746" s="3">
        <v>235159</v>
      </c>
      <c r="B3746" s="7" t="s">
        <v>43</v>
      </c>
      <c r="C3746" s="42">
        <v>1235.27</v>
      </c>
      <c r="D3746" s="6">
        <v>45653</v>
      </c>
      <c r="E3746" s="3" t="str">
        <f ca="1">IF(Tabela2[[#This Row],[Dt Venc:]]&gt;TODAY(),"Em Aberto",IF(Tabela2[[#This Row],[D/venc]]="-","Enviado",IF(Tabela2[[#This Row],[Dt Venc:]]=TODAY(),"Vence Hoje","Vencida")))</f>
        <v>Enviado</v>
      </c>
      <c r="F3746" s="3" t="str">
        <f ca="1">IF(G3746=1,"-",Tabela2[[#This Row],[Dt Venc:]]-TODAY())</f>
        <v>-</v>
      </c>
      <c r="G3746" s="3">
        <v>1</v>
      </c>
      <c r="H3746" s="3"/>
    </row>
    <row r="3747" spans="1:8" hidden="1">
      <c r="A3747" s="3">
        <v>248099</v>
      </c>
      <c r="B3747" s="7" t="s">
        <v>43</v>
      </c>
      <c r="C3747" s="41">
        <v>1369.24</v>
      </c>
      <c r="D3747" s="6">
        <v>45653</v>
      </c>
      <c r="E3747" s="3" t="str">
        <f ca="1">IF(Tabela2[[#This Row],[Dt Venc:]]&gt;TODAY(),"Em Aberto",IF(Tabela2[[#This Row],[D/venc]]="-","Enviado",IF(Tabela2[[#This Row],[Dt Venc:]]=TODAY(),"Vence Hoje","Vencida")))</f>
        <v>Enviado</v>
      </c>
      <c r="F3747" s="3" t="str">
        <f ca="1">IF(G3747=1,"-",Tabela2[[#This Row],[Dt Venc:]]-TODAY())</f>
        <v>-</v>
      </c>
      <c r="G3747" s="3">
        <v>1</v>
      </c>
      <c r="H3747" s="3"/>
    </row>
    <row r="3748" spans="1:8" hidden="1">
      <c r="A3748" s="3">
        <v>701711</v>
      </c>
      <c r="B3748" s="7" t="s">
        <v>79</v>
      </c>
      <c r="C3748" s="42">
        <v>2724.5</v>
      </c>
      <c r="D3748" s="6">
        <v>45653</v>
      </c>
      <c r="E3748" s="3" t="str">
        <f ca="1">IF(Tabela2[[#This Row],[Dt Venc:]]&gt;TODAY(),"Em Aberto",IF(Tabela2[[#This Row],[D/venc]]="-","Enviado",IF(Tabela2[[#This Row],[Dt Venc:]]=TODAY(),"Vence Hoje","Vencida")))</f>
        <v>Enviado</v>
      </c>
      <c r="F3748" s="3" t="str">
        <f ca="1">IF(G3748=1,"-",Tabela2[[#This Row],[Dt Venc:]]-TODAY())</f>
        <v>-</v>
      </c>
      <c r="G3748" s="3">
        <v>1</v>
      </c>
      <c r="H3748" s="3"/>
    </row>
    <row r="3749" spans="1:8" hidden="1">
      <c r="A3749" s="3">
        <v>765146</v>
      </c>
      <c r="B3749" s="7" t="s">
        <v>79</v>
      </c>
      <c r="C3749" s="41">
        <v>6645.14</v>
      </c>
      <c r="D3749" s="6">
        <v>45653</v>
      </c>
      <c r="E3749" s="3" t="str">
        <f ca="1">IF(Tabela2[[#This Row],[Dt Venc:]]&gt;TODAY(),"Em Aberto",IF(Tabela2[[#This Row],[D/venc]]="-","Enviado",IF(Tabela2[[#This Row],[Dt Venc:]]=TODAY(),"Vence Hoje","Vencida")))</f>
        <v>Enviado</v>
      </c>
      <c r="F3749" s="3" t="str">
        <f ca="1">IF(G3749=1,"-",Tabela2[[#This Row],[Dt Venc:]]-TODAY())</f>
        <v>-</v>
      </c>
      <c r="G3749" s="3">
        <v>1</v>
      </c>
      <c r="H3749" s="3"/>
    </row>
    <row r="3750" spans="1:8" hidden="1">
      <c r="A3750" s="3">
        <v>15291</v>
      </c>
      <c r="B3750" s="7" t="s">
        <v>44</v>
      </c>
      <c r="C3750" s="41">
        <v>708.33</v>
      </c>
      <c r="D3750" s="6">
        <v>45653</v>
      </c>
      <c r="E3750" s="3" t="str">
        <f ca="1">IF(Tabela2[[#This Row],[Dt Venc:]]&gt;TODAY(),"Em Aberto",IF(Tabela2[[#This Row],[D/venc]]="-","Enviado",IF(Tabela2[[#This Row],[Dt Venc:]]=TODAY(),"Vence Hoje","Vencida")))</f>
        <v>Enviado</v>
      </c>
      <c r="F3750" s="3" t="str">
        <f ca="1">IF(G3750=1,"-",Tabela2[[#This Row],[Dt Venc:]]-TODAY())</f>
        <v>-</v>
      </c>
      <c r="G3750" s="3">
        <v>1</v>
      </c>
      <c r="H3750" s="3"/>
    </row>
    <row r="3751" spans="1:8" hidden="1">
      <c r="A3751" s="3">
        <v>153917</v>
      </c>
      <c r="B3751" s="7" t="s">
        <v>77</v>
      </c>
      <c r="C3751" s="41">
        <v>450</v>
      </c>
      <c r="D3751" s="6">
        <v>45653</v>
      </c>
      <c r="E3751" s="3" t="str">
        <f ca="1">IF(Tabela2[[#This Row],[Dt Venc:]]&gt;TODAY(),"Em Aberto",IF(Tabela2[[#This Row],[D/venc]]="-","Enviado",IF(Tabela2[[#This Row],[Dt Venc:]]=TODAY(),"Vence Hoje","Vencida")))</f>
        <v>Enviado</v>
      </c>
      <c r="F3751" s="3" t="str">
        <f ca="1">IF(G3751=1,"-",Tabela2[[#This Row],[Dt Venc:]]-TODAY())</f>
        <v>-</v>
      </c>
      <c r="G3751" s="3">
        <v>1</v>
      </c>
      <c r="H3751" s="3"/>
    </row>
    <row r="3752" spans="1:8" hidden="1">
      <c r="A3752" s="3">
        <v>114105</v>
      </c>
      <c r="B3752" s="7" t="s">
        <v>480</v>
      </c>
      <c r="C3752" s="41">
        <v>2206.46</v>
      </c>
      <c r="D3752" s="6">
        <v>45653</v>
      </c>
      <c r="E3752" s="3" t="str">
        <f ca="1">IF(Tabela2[[#This Row],[Dt Venc:]]&gt;TODAY(),"Em Aberto",IF(Tabela2[[#This Row],[D/venc]]="-","Enviado",IF(Tabela2[[#This Row],[Dt Venc:]]=TODAY(),"Vence Hoje","Vencida")))</f>
        <v>Enviado</v>
      </c>
      <c r="F3752" s="3" t="str">
        <f ca="1">IF(G3752=1,"-",Tabela2[[#This Row],[Dt Venc:]]-TODAY())</f>
        <v>-</v>
      </c>
      <c r="G3752" s="3">
        <v>1</v>
      </c>
      <c r="H3752" s="3"/>
    </row>
    <row r="3753" spans="1:8" hidden="1">
      <c r="A3753" s="3">
        <v>4166</v>
      </c>
      <c r="B3753" s="7" t="s">
        <v>479</v>
      </c>
      <c r="C3753" s="41">
        <v>1993.15</v>
      </c>
      <c r="D3753" s="6">
        <v>45653</v>
      </c>
      <c r="E3753" s="3" t="str">
        <f ca="1">IF(Tabela2[[#This Row],[Dt Venc:]]&gt;TODAY(),"Em Aberto",IF(Tabela2[[#This Row],[D/venc]]="-","Enviado",IF(Tabela2[[#This Row],[Dt Venc:]]=TODAY(),"Vence Hoje","Vencida")))</f>
        <v>Enviado</v>
      </c>
      <c r="F3753" s="3" t="str">
        <f ca="1">IF(G3753=1,"-",Tabela2[[#This Row],[Dt Venc:]]-TODAY())</f>
        <v>-</v>
      </c>
      <c r="G3753" s="3">
        <v>1</v>
      </c>
      <c r="H3753" s="3"/>
    </row>
    <row r="3754" spans="1:8" hidden="1">
      <c r="A3754" s="3">
        <v>23221</v>
      </c>
      <c r="B3754" s="7" t="s">
        <v>409</v>
      </c>
      <c r="C3754" s="41">
        <v>1110.67</v>
      </c>
      <c r="D3754" s="6">
        <v>45653</v>
      </c>
      <c r="E3754" s="3" t="str">
        <f ca="1">IF(Tabela2[[#This Row],[Dt Venc:]]&gt;TODAY(),"Em Aberto",IF(Tabela2[[#This Row],[D/venc]]="-","Enviado",IF(Tabela2[[#This Row],[Dt Venc:]]=TODAY(),"Vence Hoje","Vencida")))</f>
        <v>Enviado</v>
      </c>
      <c r="F3754" s="3" t="str">
        <f ca="1">IF(G3754=1,"-",Tabela2[[#This Row],[Dt Venc:]]-TODAY())</f>
        <v>-</v>
      </c>
      <c r="G3754" s="3">
        <v>1</v>
      </c>
      <c r="H3754" s="3"/>
    </row>
    <row r="3755" spans="1:8" hidden="1">
      <c r="A3755" s="3">
        <v>94</v>
      </c>
      <c r="B3755" s="7" t="s">
        <v>339</v>
      </c>
      <c r="C3755" s="42">
        <v>33000</v>
      </c>
      <c r="D3755" s="6">
        <v>45653</v>
      </c>
      <c r="E3755" s="3" t="str">
        <f ca="1">IF(Tabela2[[#This Row],[Dt Venc:]]&gt;TODAY(),"Em Aberto",IF(Tabela2[[#This Row],[D/venc]]="-","Enviado",IF(Tabela2[[#This Row],[Dt Venc:]]=TODAY(),"Vence Hoje","Vencida")))</f>
        <v>Enviado</v>
      </c>
      <c r="F3755" s="3" t="str">
        <f ca="1">IF(G3755=1,"-",Tabela2[[#This Row],[Dt Venc:]]-TODAY())</f>
        <v>-</v>
      </c>
      <c r="G3755" s="3">
        <v>1</v>
      </c>
      <c r="H3755" s="3"/>
    </row>
    <row r="3756" spans="1:8" hidden="1">
      <c r="A3756" s="3">
        <v>46759</v>
      </c>
      <c r="B3756" s="7" t="s">
        <v>197</v>
      </c>
      <c r="C3756" s="41">
        <v>490</v>
      </c>
      <c r="D3756" s="6">
        <v>45653</v>
      </c>
      <c r="E3756" s="3" t="str">
        <f ca="1">IF(Tabela2[[#This Row],[Dt Venc:]]&gt;TODAY(),"Em Aberto",IF(Tabela2[[#This Row],[D/venc]]="-","Enviado",IF(Tabela2[[#This Row],[Dt Venc:]]=TODAY(),"Vence Hoje","Vencida")))</f>
        <v>Enviado</v>
      </c>
      <c r="F3756" s="3" t="str">
        <f ca="1">IF(G3756=1,"-",Tabela2[[#This Row],[Dt Venc:]]-TODAY())</f>
        <v>-</v>
      </c>
      <c r="G3756" s="3">
        <v>1</v>
      </c>
      <c r="H3756" s="3"/>
    </row>
    <row r="3757" spans="1:8" hidden="1">
      <c r="A3757" s="3">
        <v>46837</v>
      </c>
      <c r="B3757" s="7" t="s">
        <v>197</v>
      </c>
      <c r="C3757" s="41">
        <v>1754.37</v>
      </c>
      <c r="D3757" s="6">
        <v>45653</v>
      </c>
      <c r="E3757" s="3" t="str">
        <f ca="1">IF(Tabela2[[#This Row],[Dt Venc:]]&gt;TODAY(),"Em Aberto",IF(Tabela2[[#This Row],[D/venc]]="-","Enviado",IF(Tabela2[[#This Row],[Dt Venc:]]=TODAY(),"Vence Hoje","Vencida")))</f>
        <v>Enviado</v>
      </c>
      <c r="F3757" s="3" t="str">
        <f ca="1">IF(G3757=1,"-",Tabela2[[#This Row],[Dt Venc:]]-TODAY())</f>
        <v>-</v>
      </c>
      <c r="G3757" s="3">
        <v>1</v>
      </c>
      <c r="H3757" s="3"/>
    </row>
    <row r="3758" spans="1:8" hidden="1">
      <c r="A3758" s="3">
        <v>52235</v>
      </c>
      <c r="B3758" s="7" t="s">
        <v>575</v>
      </c>
      <c r="C3758" s="41">
        <v>490.83</v>
      </c>
      <c r="D3758" s="6">
        <v>45653</v>
      </c>
      <c r="E3758" s="3" t="str">
        <f ca="1">IF(Tabela2[[#This Row],[Dt Venc:]]&gt;TODAY(),"Em Aberto",IF(Tabela2[[#This Row],[D/venc]]="-","Enviado",IF(Tabela2[[#This Row],[Dt Venc:]]=TODAY(),"Vence Hoje","Vencida")))</f>
        <v>Enviado</v>
      </c>
      <c r="F3758" s="3" t="str">
        <f ca="1">IF(G3758=1,"-",Tabela2[[#This Row],[Dt Venc:]]-TODAY())</f>
        <v>-</v>
      </c>
      <c r="G3758" s="3">
        <v>1</v>
      </c>
      <c r="H3758" s="3"/>
    </row>
    <row r="3759" spans="1:8" hidden="1">
      <c r="A3759" s="3">
        <v>4116</v>
      </c>
      <c r="B3759" s="7" t="s">
        <v>347</v>
      </c>
      <c r="C3759" s="41">
        <v>717</v>
      </c>
      <c r="D3759" s="6">
        <v>45653</v>
      </c>
      <c r="E3759" s="3" t="str">
        <f ca="1">IF(Tabela2[[#This Row],[Dt Venc:]]&gt;TODAY(),"Em Aberto",IF(Tabela2[[#This Row],[D/venc]]="-","Enviado",IF(Tabela2[[#This Row],[Dt Venc:]]=TODAY(),"Vence Hoje","Vencida")))</f>
        <v>Enviado</v>
      </c>
      <c r="F3759" s="3" t="str">
        <f ca="1">IF(G3759=1,"-",Tabela2[[#This Row],[Dt Venc:]]-TODAY())</f>
        <v>-</v>
      </c>
      <c r="G3759" s="3">
        <v>1</v>
      </c>
      <c r="H3759" s="3"/>
    </row>
    <row r="3760" spans="1:8" hidden="1">
      <c r="A3760" s="3">
        <v>10806</v>
      </c>
      <c r="B3760" s="7" t="s">
        <v>76</v>
      </c>
      <c r="C3760" s="41">
        <v>391.24</v>
      </c>
      <c r="D3760" s="6">
        <v>45653</v>
      </c>
      <c r="E3760" s="3" t="str">
        <f ca="1">IF(Tabela2[[#This Row],[Dt Venc:]]&gt;TODAY(),"Em Aberto",IF(Tabela2[[#This Row],[D/venc]]="-","Enviado",IF(Tabela2[[#This Row],[Dt Venc:]]=TODAY(),"Vence Hoje","Vencida")))</f>
        <v>Enviado</v>
      </c>
      <c r="F3760" s="3" t="str">
        <f ca="1">IF(G3760=1,"-",Tabela2[[#This Row],[Dt Venc:]]-TODAY())</f>
        <v>-</v>
      </c>
      <c r="G3760" s="3">
        <v>1</v>
      </c>
      <c r="H3760" s="3"/>
    </row>
    <row r="3761" spans="1:8" hidden="1">
      <c r="A3761" s="3">
        <v>429359</v>
      </c>
      <c r="B3761" s="7" t="s">
        <v>89</v>
      </c>
      <c r="C3761" s="41">
        <v>882</v>
      </c>
      <c r="D3761" s="6">
        <v>45653</v>
      </c>
      <c r="E3761" s="3" t="str">
        <f ca="1">IF(Tabela2[[#This Row],[Dt Venc:]]&gt;TODAY(),"Em Aberto",IF(Tabela2[[#This Row],[D/venc]]="-","Enviado",IF(Tabela2[[#This Row],[Dt Venc:]]=TODAY(),"Vence Hoje","Vencida")))</f>
        <v>Enviado</v>
      </c>
      <c r="F3761" s="3" t="str">
        <f ca="1">IF(G3761=1,"-",Tabela2[[#This Row],[Dt Venc:]]-TODAY())</f>
        <v>-</v>
      </c>
      <c r="G3761" s="3">
        <v>1</v>
      </c>
      <c r="H3761" s="3"/>
    </row>
    <row r="3762" spans="1:8" hidden="1">
      <c r="A3762" s="3">
        <v>429363</v>
      </c>
      <c r="B3762" s="7" t="s">
        <v>89</v>
      </c>
      <c r="C3762" s="41">
        <v>349.99</v>
      </c>
      <c r="D3762" s="6">
        <v>45653</v>
      </c>
      <c r="E3762" s="3" t="str">
        <f ca="1">IF(Tabela2[[#This Row],[Dt Venc:]]&gt;TODAY(),"Em Aberto",IF(Tabela2[[#This Row],[D/venc]]="-","Enviado",IF(Tabela2[[#This Row],[Dt Venc:]]=TODAY(),"Vence Hoje","Vencida")))</f>
        <v>Enviado</v>
      </c>
      <c r="F3762" s="3" t="str">
        <f ca="1">IF(G3762=1,"-",Tabela2[[#This Row],[Dt Venc:]]-TODAY())</f>
        <v>-</v>
      </c>
      <c r="G3762" s="3">
        <v>1</v>
      </c>
      <c r="H3762" s="3"/>
    </row>
    <row r="3763" spans="1:8" hidden="1">
      <c r="A3763" s="3">
        <v>258213</v>
      </c>
      <c r="B3763" s="7" t="s">
        <v>49</v>
      </c>
      <c r="C3763" s="41">
        <v>1716.66</v>
      </c>
      <c r="D3763" s="6">
        <v>45653</v>
      </c>
      <c r="E3763" s="3" t="str">
        <f ca="1">IF(Tabela2[[#This Row],[Dt Venc:]]&gt;TODAY(),"Em Aberto",IF(Tabela2[[#This Row],[D/venc]]="-","Enviado",IF(Tabela2[[#This Row],[Dt Venc:]]=TODAY(),"Vence Hoje","Vencida")))</f>
        <v>Enviado</v>
      </c>
      <c r="F3763" s="3" t="str">
        <f ca="1">IF(G3763=1,"-",Tabela2[[#This Row],[Dt Venc:]]-TODAY())</f>
        <v>-</v>
      </c>
      <c r="G3763" s="3">
        <v>1</v>
      </c>
      <c r="H3763" s="3"/>
    </row>
    <row r="3764" spans="1:8" hidden="1">
      <c r="A3764" s="3">
        <v>6213</v>
      </c>
      <c r="B3764" s="7" t="s">
        <v>47</v>
      </c>
      <c r="C3764" s="41">
        <v>1671.67</v>
      </c>
      <c r="D3764" s="6">
        <v>45653</v>
      </c>
      <c r="E3764" s="3" t="str">
        <f ca="1">IF(Tabela2[[#This Row],[Dt Venc:]]&gt;TODAY(),"Em Aberto",IF(Tabela2[[#This Row],[D/venc]]="-","Enviado",IF(Tabela2[[#This Row],[Dt Venc:]]=TODAY(),"Vence Hoje","Vencida")))</f>
        <v>Enviado</v>
      </c>
      <c r="F3764" s="3" t="str">
        <f ca="1">IF(G3764=1,"-",Tabela2[[#This Row],[Dt Venc:]]-TODAY())</f>
        <v>-</v>
      </c>
      <c r="G3764" s="3">
        <v>1</v>
      </c>
      <c r="H3764" s="3"/>
    </row>
    <row r="3765" spans="1:8" hidden="1">
      <c r="A3765" s="3">
        <v>89647</v>
      </c>
      <c r="B3765" s="7" t="s">
        <v>207</v>
      </c>
      <c r="C3765" s="41">
        <v>1393.33</v>
      </c>
      <c r="D3765" s="6">
        <v>45653</v>
      </c>
      <c r="E3765" s="3" t="str">
        <f ca="1">IF(Tabela2[[#This Row],[Dt Venc:]]&gt;TODAY(),"Em Aberto",IF(Tabela2[[#This Row],[D/venc]]="-","Enviado",IF(Tabela2[[#This Row],[Dt Venc:]]=TODAY(),"Vence Hoje","Vencida")))</f>
        <v>Enviado</v>
      </c>
      <c r="F3765" s="3" t="str">
        <f ca="1">IF(G3765=1,"-",Tabela2[[#This Row],[Dt Venc:]]-TODAY())</f>
        <v>-</v>
      </c>
      <c r="G3765" s="3">
        <v>1</v>
      </c>
      <c r="H3765" s="3"/>
    </row>
    <row r="3766" spans="1:8" hidden="1">
      <c r="A3766" s="3">
        <v>226032</v>
      </c>
      <c r="B3766" s="7" t="s">
        <v>127</v>
      </c>
      <c r="C3766" s="41">
        <v>396.85</v>
      </c>
      <c r="D3766" s="6">
        <v>45653</v>
      </c>
      <c r="E3766" s="3" t="str">
        <f ca="1">IF(Tabela2[[#This Row],[Dt Venc:]]&gt;TODAY(),"Em Aberto",IF(Tabela2[[#This Row],[D/venc]]="-","Enviado",IF(Tabela2[[#This Row],[Dt Venc:]]=TODAY(),"Vence Hoje","Vencida")))</f>
        <v>Enviado</v>
      </c>
      <c r="F3766" s="3" t="str">
        <f ca="1">IF(G3766=1,"-",Tabela2[[#This Row],[Dt Venc:]]-TODAY())</f>
        <v>-</v>
      </c>
      <c r="G3766" s="3">
        <v>1</v>
      </c>
      <c r="H3766" s="3"/>
    </row>
    <row r="3767" spans="1:8" hidden="1">
      <c r="A3767" s="3">
        <v>225999</v>
      </c>
      <c r="B3767" s="7" t="s">
        <v>127</v>
      </c>
      <c r="C3767" s="41">
        <v>599.94000000000005</v>
      </c>
      <c r="D3767" s="6">
        <v>45653</v>
      </c>
      <c r="E3767" s="3" t="str">
        <f ca="1">IF(Tabela2[[#This Row],[Dt Venc:]]&gt;TODAY(),"Em Aberto",IF(Tabela2[[#This Row],[D/venc]]="-","Enviado",IF(Tabela2[[#This Row],[Dt Venc:]]=TODAY(),"Vence Hoje","Vencida")))</f>
        <v>Enviado</v>
      </c>
      <c r="F3767" s="3" t="str">
        <f ca="1">IF(G3767=1,"-",Tabela2[[#This Row],[Dt Venc:]]-TODAY())</f>
        <v>-</v>
      </c>
      <c r="G3767" s="3">
        <v>1</v>
      </c>
      <c r="H3767" s="3"/>
    </row>
    <row r="3768" spans="1:8" hidden="1">
      <c r="A3768" s="3">
        <v>4116</v>
      </c>
      <c r="B3768" s="7" t="s">
        <v>347</v>
      </c>
      <c r="C3768" s="41">
        <v>717</v>
      </c>
      <c r="D3768" s="6">
        <v>45653</v>
      </c>
      <c r="E3768" s="3" t="str">
        <f ca="1">IF(Tabela2[[#This Row],[Dt Venc:]]&gt;TODAY(),"Em Aberto",IF(Tabela2[[#This Row],[D/venc]]="-","Enviado",IF(Tabela2[[#This Row],[Dt Venc:]]=TODAY(),"Vence Hoje","Vencida")))</f>
        <v>Enviado</v>
      </c>
      <c r="F3768" s="3" t="str">
        <f ca="1">IF(G3768=1,"-",Tabela2[[#This Row],[Dt Venc:]]-TODAY())</f>
        <v>-</v>
      </c>
      <c r="G3768" s="3">
        <v>1</v>
      </c>
      <c r="H3768" s="3"/>
    </row>
    <row r="3769" spans="1:8" hidden="1">
      <c r="A3769" s="3">
        <v>2870</v>
      </c>
      <c r="B3769" s="7" t="s">
        <v>58</v>
      </c>
      <c r="C3769" s="41">
        <v>2216</v>
      </c>
      <c r="D3769" s="6">
        <v>45653</v>
      </c>
      <c r="E3769" s="3" t="str">
        <f ca="1">IF(Tabela2[[#This Row],[Dt Venc:]]&gt;TODAY(),"Em Aberto",IF(Tabela2[[#This Row],[D/venc]]="-","Enviado",IF(Tabela2[[#This Row],[Dt Venc:]]=TODAY(),"Vence Hoje","Vencida")))</f>
        <v>Enviado</v>
      </c>
      <c r="F3769" s="3" t="str">
        <f ca="1">IF(G3769=1,"-",Tabela2[[#This Row],[Dt Venc:]]-TODAY())</f>
        <v>-</v>
      </c>
      <c r="G3769" s="3">
        <v>1</v>
      </c>
      <c r="H3769" s="3"/>
    </row>
    <row r="3770" spans="1:8" hidden="1">
      <c r="A3770" s="3">
        <v>11174</v>
      </c>
      <c r="B3770" s="7" t="s">
        <v>33</v>
      </c>
      <c r="C3770" s="41">
        <v>2000</v>
      </c>
      <c r="D3770" s="6">
        <v>45653</v>
      </c>
      <c r="E3770" s="3" t="str">
        <f ca="1">IF(Tabela2[[#This Row],[Dt Venc:]]&gt;TODAY(),"Em Aberto",IF(Tabela2[[#This Row],[D/venc]]="-","Enviado",IF(Tabela2[[#This Row],[Dt Venc:]]=TODAY(),"Vence Hoje","Vencida")))</f>
        <v>Enviado</v>
      </c>
      <c r="F3770" s="3" t="str">
        <f ca="1">IF(G3770=1,"-",Tabela2[[#This Row],[Dt Venc:]]-TODAY())</f>
        <v>-</v>
      </c>
      <c r="G3770" s="3">
        <v>1</v>
      </c>
      <c r="H3770" s="3"/>
    </row>
    <row r="3771" spans="1:8" hidden="1">
      <c r="A3771" s="3">
        <v>9184</v>
      </c>
      <c r="B3771" s="7" t="s">
        <v>105</v>
      </c>
      <c r="C3771" s="41">
        <v>1120</v>
      </c>
      <c r="D3771" s="6">
        <v>45653</v>
      </c>
      <c r="E3771" s="3" t="str">
        <f ca="1">IF(Tabela2[[#This Row],[Dt Venc:]]&gt;TODAY(),"Em Aberto",IF(Tabela2[[#This Row],[D/venc]]="-","Enviado",IF(Tabela2[[#This Row],[Dt Venc:]]=TODAY(),"Vence Hoje","Vencida")))</f>
        <v>Enviado</v>
      </c>
      <c r="F3771" s="3" t="str">
        <f ca="1">IF(G3771=1,"-",Tabela2[[#This Row],[Dt Venc:]]-TODAY())</f>
        <v>-</v>
      </c>
      <c r="G3771" s="3">
        <v>1</v>
      </c>
      <c r="H3771" s="3"/>
    </row>
    <row r="3772" spans="1:8" hidden="1">
      <c r="A3772" s="3">
        <v>15336</v>
      </c>
      <c r="B3772" s="7" t="s">
        <v>99</v>
      </c>
      <c r="C3772" s="41">
        <v>743.75</v>
      </c>
      <c r="D3772" s="6">
        <v>45653</v>
      </c>
      <c r="E3772" s="3" t="str">
        <f ca="1">IF(Tabela2[[#This Row],[Dt Venc:]]&gt;TODAY(),"Em Aberto",IF(Tabela2[[#This Row],[D/venc]]="-","Enviado",IF(Tabela2[[#This Row],[Dt Venc:]]=TODAY(),"Vence Hoje","Vencida")))</f>
        <v>Enviado</v>
      </c>
      <c r="F3772" s="3" t="str">
        <f ca="1">IF(G3772=1,"-",Tabela2[[#This Row],[Dt Venc:]]-TODAY())</f>
        <v>-</v>
      </c>
      <c r="G3772" s="3">
        <v>1</v>
      </c>
      <c r="H3772" s="3"/>
    </row>
    <row r="3773" spans="1:8" hidden="1">
      <c r="A3773" s="3">
        <v>361964</v>
      </c>
      <c r="B3773" s="7" t="s">
        <v>59</v>
      </c>
      <c r="C3773" s="41">
        <v>57219</v>
      </c>
      <c r="D3773" s="6">
        <v>45653</v>
      </c>
      <c r="E3773" s="3" t="str">
        <f ca="1">IF(Tabela2[[#This Row],[Dt Venc:]]&gt;TODAY(),"Em Aberto",IF(Tabela2[[#This Row],[D/venc]]="-","Enviado",IF(Tabela2[[#This Row],[Dt Venc:]]=TODAY(),"Vence Hoje","Vencida")))</f>
        <v>Enviado</v>
      </c>
      <c r="F3773" s="3" t="str">
        <f ca="1">IF(G3773=1,"-",Tabela2[[#This Row],[Dt Venc:]]-TODAY())</f>
        <v>-</v>
      </c>
      <c r="G3773" s="3">
        <v>1</v>
      </c>
      <c r="H3773" s="3"/>
    </row>
    <row r="3774" spans="1:8" hidden="1">
      <c r="A3774" s="3">
        <v>2277949</v>
      </c>
      <c r="B3774" s="7" t="s">
        <v>428</v>
      </c>
      <c r="C3774" s="41">
        <v>27958</v>
      </c>
      <c r="D3774" s="6">
        <v>45653</v>
      </c>
      <c r="E3774" s="3" t="str">
        <f ca="1">IF(Tabela2[[#This Row],[Dt Venc:]]&gt;TODAY(),"Em Aberto",IF(Tabela2[[#This Row],[D/venc]]="-","Enviado",IF(Tabela2[[#This Row],[Dt Venc:]]=TODAY(),"Vence Hoje","Vencida")))</f>
        <v>Enviado</v>
      </c>
      <c r="F3774" s="3" t="str">
        <f ca="1">IF(G3774=1,"-",Tabela2[[#This Row],[Dt Venc:]]-TODAY())</f>
        <v>-</v>
      </c>
      <c r="G3774" s="3">
        <v>1</v>
      </c>
      <c r="H3774" s="3"/>
    </row>
    <row r="3775" spans="1:8" hidden="1">
      <c r="A3775" s="3">
        <v>2002896</v>
      </c>
      <c r="B3775" s="7" t="s">
        <v>428</v>
      </c>
      <c r="C3775" s="41">
        <v>139.15</v>
      </c>
      <c r="D3775" s="6">
        <v>45653</v>
      </c>
      <c r="E3775" s="3" t="str">
        <f ca="1">IF(Tabela2[[#This Row],[Dt Venc:]]&gt;TODAY(),"Em Aberto",IF(Tabela2[[#This Row],[D/venc]]="-","Enviado",IF(Tabela2[[#This Row],[Dt Venc:]]=TODAY(),"Vence Hoje","Vencida")))</f>
        <v>Enviado</v>
      </c>
      <c r="F3775" s="3" t="str">
        <f ca="1">IF(G3775=1,"-",Tabela2[[#This Row],[Dt Venc:]]-TODAY())</f>
        <v>-</v>
      </c>
      <c r="G3775" s="3">
        <v>1</v>
      </c>
      <c r="H3775" s="3"/>
    </row>
    <row r="3776" spans="1:8" hidden="1">
      <c r="A3776" s="3">
        <v>19</v>
      </c>
      <c r="B3776" s="7" t="s">
        <v>576</v>
      </c>
      <c r="C3776" s="41">
        <v>1980</v>
      </c>
      <c r="D3776" s="6">
        <v>45653</v>
      </c>
      <c r="E3776" s="3" t="str">
        <f ca="1">IF(Tabela2[[#This Row],[Dt Venc:]]&gt;TODAY(),"Em Aberto",IF(Tabela2[[#This Row],[D/venc]]="-","Enviado",IF(Tabela2[[#This Row],[Dt Venc:]]=TODAY(),"Vence Hoje","Vencida")))</f>
        <v>Enviado</v>
      </c>
      <c r="F3776" s="3" t="str">
        <f ca="1">IF(G3776=1,"-",Tabela2[[#This Row],[Dt Venc:]]-TODAY())</f>
        <v>-</v>
      </c>
      <c r="G3776" s="3">
        <v>1</v>
      </c>
      <c r="H3776" s="3"/>
    </row>
    <row r="3777" spans="1:8" hidden="1">
      <c r="A3777" s="3">
        <v>6</v>
      </c>
      <c r="B3777" s="7" t="s">
        <v>577</v>
      </c>
      <c r="C3777" s="41">
        <v>610</v>
      </c>
      <c r="D3777" s="6">
        <v>45653</v>
      </c>
      <c r="E3777" s="3" t="str">
        <f ca="1">IF(Tabela2[[#This Row],[Dt Venc:]]&gt;TODAY(),"Em Aberto",IF(Tabela2[[#This Row],[D/venc]]="-","Enviado",IF(Tabela2[[#This Row],[Dt Venc:]]=TODAY(),"Vence Hoje","Vencida")))</f>
        <v>Enviado</v>
      </c>
      <c r="F3777" s="3" t="str">
        <f ca="1">IF(G3777=1,"-",Tabela2[[#This Row],[Dt Venc:]]-TODAY())</f>
        <v>-</v>
      </c>
      <c r="G3777" s="3">
        <v>1</v>
      </c>
      <c r="H3777" s="3"/>
    </row>
    <row r="3778" spans="1:8" hidden="1">
      <c r="A3778" s="3">
        <v>368056</v>
      </c>
      <c r="B3778" s="7" t="s">
        <v>333</v>
      </c>
      <c r="C3778" s="41">
        <v>925.3</v>
      </c>
      <c r="D3778" s="6">
        <v>45653</v>
      </c>
      <c r="E3778" s="3" t="str">
        <f ca="1">IF(Tabela2[[#This Row],[Dt Venc:]]&gt;TODAY(),"Em Aberto",IF(Tabela2[[#This Row],[D/venc]]="-","Enviado",IF(Tabela2[[#This Row],[Dt Venc:]]=TODAY(),"Vence Hoje","Vencida")))</f>
        <v>Enviado</v>
      </c>
      <c r="F3778" s="3" t="str">
        <f ca="1">IF(G3778=1,"-",Tabela2[[#This Row],[Dt Venc:]]-TODAY())</f>
        <v>-</v>
      </c>
      <c r="G3778" s="3">
        <v>1</v>
      </c>
      <c r="H3778" s="3"/>
    </row>
    <row r="3779" spans="1:8" hidden="1">
      <c r="A3779" s="3">
        <v>142407</v>
      </c>
      <c r="B3779" s="7" t="s">
        <v>60</v>
      </c>
      <c r="C3779" s="41">
        <v>390</v>
      </c>
      <c r="D3779" s="6">
        <v>45653</v>
      </c>
      <c r="E3779" s="3" t="str">
        <f ca="1">IF(Tabela2[[#This Row],[Dt Venc:]]&gt;TODAY(),"Em Aberto",IF(Tabela2[[#This Row],[D/venc]]="-","Enviado",IF(Tabela2[[#This Row],[Dt Venc:]]=TODAY(),"Vence Hoje","Vencida")))</f>
        <v>Enviado</v>
      </c>
      <c r="F3779" s="3" t="str">
        <f ca="1">IF(G3779=1,"-",Tabela2[[#This Row],[Dt Venc:]]-TODAY())</f>
        <v>-</v>
      </c>
      <c r="G3779" s="3">
        <v>1</v>
      </c>
      <c r="H3779" s="3"/>
    </row>
    <row r="3780" spans="1:8" hidden="1">
      <c r="A3780" s="3">
        <v>6501</v>
      </c>
      <c r="B3780" s="7" t="s">
        <v>549</v>
      </c>
      <c r="C3780" s="41">
        <v>5872.5</v>
      </c>
      <c r="D3780" s="6">
        <v>45653</v>
      </c>
      <c r="E3780" s="3" t="str">
        <f ca="1">IF(Tabela2[[#This Row],[Dt Venc:]]&gt;TODAY(),"Em Aberto",IF(Tabela2[[#This Row],[D/venc]]="-","Enviado",IF(Tabela2[[#This Row],[Dt Venc:]]=TODAY(),"Vence Hoje","Vencida")))</f>
        <v>Enviado</v>
      </c>
      <c r="F3780" s="3" t="str">
        <f ca="1">IF(G3780=1,"-",Tabela2[[#This Row],[Dt Venc:]]-TODAY())</f>
        <v>-</v>
      </c>
      <c r="G3780" s="3">
        <v>1</v>
      </c>
      <c r="H3780" s="3"/>
    </row>
    <row r="3781" spans="1:8" hidden="1">
      <c r="A3781" s="3">
        <v>11079</v>
      </c>
      <c r="B3781" s="7" t="s">
        <v>33</v>
      </c>
      <c r="C3781" s="41">
        <v>1625</v>
      </c>
      <c r="D3781" s="6">
        <v>45654</v>
      </c>
      <c r="E3781" s="3" t="str">
        <f ca="1">IF(Tabela2[[#This Row],[Dt Venc:]]&gt;TODAY(),"Em Aberto",IF(Tabela2[[#This Row],[D/venc]]="-","Enviado",IF(Tabela2[[#This Row],[Dt Venc:]]=TODAY(),"Vence Hoje","Vencida")))</f>
        <v>Enviado</v>
      </c>
      <c r="F3781" s="3" t="str">
        <f ca="1">IF(G3781=1,"-",Tabela2[[#This Row],[Dt Venc:]]-TODAY())</f>
        <v>-</v>
      </c>
      <c r="G3781" s="3">
        <v>1</v>
      </c>
      <c r="H3781" s="3"/>
    </row>
    <row r="3782" spans="1:8" hidden="1">
      <c r="A3782" s="3">
        <v>8147</v>
      </c>
      <c r="B3782" s="7" t="s">
        <v>283</v>
      </c>
      <c r="C3782" s="41">
        <v>6629.04</v>
      </c>
      <c r="D3782" s="6">
        <v>45654</v>
      </c>
      <c r="E3782" s="3" t="str">
        <f ca="1">IF(Tabela2[[#This Row],[Dt Venc:]]&gt;TODAY(),"Em Aberto",IF(Tabela2[[#This Row],[D/venc]]="-","Enviado",IF(Tabela2[[#This Row],[Dt Venc:]]=TODAY(),"Vence Hoje","Vencida")))</f>
        <v>Enviado</v>
      </c>
      <c r="F3782" s="3" t="str">
        <f ca="1">IF(G3782=1,"-",Tabela2[[#This Row],[Dt Venc:]]-TODAY())</f>
        <v>-</v>
      </c>
      <c r="G3782" s="3">
        <v>1</v>
      </c>
      <c r="H3782" s="3"/>
    </row>
    <row r="3783" spans="1:8" hidden="1">
      <c r="A3783" s="3">
        <v>1282</v>
      </c>
      <c r="B3783" s="7" t="s">
        <v>474</v>
      </c>
      <c r="C3783" s="41">
        <v>562.66999999999996</v>
      </c>
      <c r="D3783" s="6">
        <v>45654</v>
      </c>
      <c r="E3783" s="3" t="str">
        <f ca="1">IF(Tabela2[[#This Row],[Dt Venc:]]&gt;TODAY(),"Em Aberto",IF(Tabela2[[#This Row],[D/venc]]="-","Enviado",IF(Tabela2[[#This Row],[Dt Venc:]]=TODAY(),"Vence Hoje","Vencida")))</f>
        <v>Enviado</v>
      </c>
      <c r="F3783" s="3" t="str">
        <f ca="1">IF(G3783=1,"-",Tabela2[[#This Row],[Dt Venc:]]-TODAY())</f>
        <v>-</v>
      </c>
      <c r="G3783" s="3">
        <v>1</v>
      </c>
      <c r="H3783" s="3"/>
    </row>
    <row r="3784" spans="1:8" hidden="1">
      <c r="A3784" s="3">
        <v>1516</v>
      </c>
      <c r="B3784" s="7" t="s">
        <v>477</v>
      </c>
      <c r="C3784" s="41">
        <v>658.48</v>
      </c>
      <c r="D3784" s="6">
        <v>45654</v>
      </c>
      <c r="E3784" s="3" t="str">
        <f ca="1">IF(Tabela2[[#This Row],[Dt Venc:]]&gt;TODAY(),"Em Aberto",IF(Tabela2[[#This Row],[D/venc]]="-","Enviado",IF(Tabela2[[#This Row],[Dt Venc:]]=TODAY(),"Vence Hoje","Vencida")))</f>
        <v>Enviado</v>
      </c>
      <c r="F3784" s="3" t="str">
        <f ca="1">IF(G3784=1,"-",Tabela2[[#This Row],[Dt Venc:]]-TODAY())</f>
        <v>-</v>
      </c>
      <c r="G3784" s="3">
        <v>1</v>
      </c>
      <c r="H3784" s="3"/>
    </row>
    <row r="3785" spans="1:8" hidden="1">
      <c r="A3785" s="3">
        <v>758538</v>
      </c>
      <c r="B3785" s="7" t="s">
        <v>127</v>
      </c>
      <c r="C3785" s="41">
        <v>256.92</v>
      </c>
      <c r="D3785" s="6">
        <v>45654</v>
      </c>
      <c r="E3785" s="3" t="str">
        <f ca="1">IF(Tabela2[[#This Row],[Dt Venc:]]&gt;TODAY(),"Em Aberto",IF(Tabela2[[#This Row],[D/venc]]="-","Enviado",IF(Tabela2[[#This Row],[Dt Venc:]]=TODAY(),"Vence Hoje","Vencida")))</f>
        <v>Enviado</v>
      </c>
      <c r="F3785" s="3" t="str">
        <f ca="1">IF(G3785=1,"-",Tabela2[[#This Row],[Dt Venc:]]-TODAY())</f>
        <v>-</v>
      </c>
      <c r="G3785" s="3">
        <v>1</v>
      </c>
      <c r="H3785" s="3"/>
    </row>
    <row r="3786" spans="1:8" hidden="1">
      <c r="A3786" s="3">
        <v>146691</v>
      </c>
      <c r="B3786" s="7" t="s">
        <v>127</v>
      </c>
      <c r="C3786" s="41">
        <v>602</v>
      </c>
      <c r="D3786" s="6">
        <v>45654</v>
      </c>
      <c r="E3786" s="3" t="str">
        <f ca="1">IF(Tabela2[[#This Row],[Dt Venc:]]&gt;TODAY(),"Em Aberto",IF(Tabela2[[#This Row],[D/venc]]="-","Enviado",IF(Tabela2[[#This Row],[Dt Venc:]]=TODAY(),"Vence Hoje","Vencida")))</f>
        <v>Enviado</v>
      </c>
      <c r="F3786" s="3" t="str">
        <f ca="1">IF(G3786=1,"-",Tabela2[[#This Row],[Dt Venc:]]-TODAY())</f>
        <v>-</v>
      </c>
      <c r="G3786" s="3">
        <v>1</v>
      </c>
      <c r="H3786" s="3"/>
    </row>
    <row r="3787" spans="1:8" hidden="1">
      <c r="A3787" s="3">
        <v>26</v>
      </c>
      <c r="B3787" s="7" t="s">
        <v>173</v>
      </c>
      <c r="C3787" s="41">
        <v>925</v>
      </c>
      <c r="D3787" s="6">
        <v>45654</v>
      </c>
      <c r="E3787" s="3" t="str">
        <f ca="1">IF(Tabela2[[#This Row],[Dt Venc:]]&gt;TODAY(),"Em Aberto",IF(Tabela2[[#This Row],[D/venc]]="-","Enviado",IF(Tabela2[[#This Row],[Dt Venc:]]=TODAY(),"Vence Hoje","Vencida")))</f>
        <v>Enviado</v>
      </c>
      <c r="F3787" s="3" t="str">
        <f ca="1">IF(G3787=1,"-",Tabela2[[#This Row],[Dt Venc:]]-TODAY())</f>
        <v>-</v>
      </c>
      <c r="G3787" s="3">
        <v>1</v>
      </c>
      <c r="H3787" s="3"/>
    </row>
    <row r="3788" spans="1:8" hidden="1">
      <c r="A3788" s="3">
        <v>3303524</v>
      </c>
      <c r="B3788" s="7" t="s">
        <v>71</v>
      </c>
      <c r="C3788" s="41">
        <v>1183.6400000000001</v>
      </c>
      <c r="D3788" s="6">
        <v>45654</v>
      </c>
      <c r="E3788" s="3" t="str">
        <f ca="1">IF(Tabela2[[#This Row],[Dt Venc:]]&gt;TODAY(),"Em Aberto",IF(Tabela2[[#This Row],[D/venc]]="-","Enviado",IF(Tabela2[[#This Row],[Dt Venc:]]=TODAY(),"Vence Hoje","Vencida")))</f>
        <v>Enviado</v>
      </c>
      <c r="F3788" s="3" t="str">
        <f ca="1">IF(G3788=1,"-",Tabela2[[#This Row],[Dt Venc:]]-TODAY())</f>
        <v>-</v>
      </c>
      <c r="G3788" s="3">
        <v>1</v>
      </c>
      <c r="H3788" s="3"/>
    </row>
    <row r="3789" spans="1:8" hidden="1">
      <c r="A3789" s="3">
        <v>1516</v>
      </c>
      <c r="B3789" s="7" t="s">
        <v>477</v>
      </c>
      <c r="C3789" s="41">
        <v>658.48</v>
      </c>
      <c r="D3789" s="6">
        <v>45654</v>
      </c>
      <c r="E3789" s="3" t="str">
        <f ca="1">IF(Tabela2[[#This Row],[Dt Venc:]]&gt;TODAY(),"Em Aberto",IF(Tabela2[[#This Row],[D/venc]]="-","Enviado",IF(Tabela2[[#This Row],[Dt Venc:]]=TODAY(),"Vence Hoje","Vencida")))</f>
        <v>Enviado</v>
      </c>
      <c r="F3789" s="3" t="str">
        <f ca="1">IF(G3789=1,"-",Tabela2[[#This Row],[Dt Venc:]]-TODAY())</f>
        <v>-</v>
      </c>
      <c r="G3789" s="3">
        <v>1</v>
      </c>
      <c r="H3789" s="3"/>
    </row>
    <row r="3790" spans="1:8" hidden="1">
      <c r="A3790" s="3">
        <v>190464</v>
      </c>
      <c r="B3790" s="7" t="s">
        <v>128</v>
      </c>
      <c r="C3790" s="41">
        <v>1718.48</v>
      </c>
      <c r="D3790" s="6">
        <v>45654</v>
      </c>
      <c r="E3790" s="3" t="str">
        <f ca="1">IF(Tabela2[[#This Row],[Dt Venc:]]&gt;TODAY(),"Em Aberto",IF(Tabela2[[#This Row],[D/venc]]="-","Enviado",IF(Tabela2[[#This Row],[Dt Venc:]]=TODAY(),"Vence Hoje","Vencida")))</f>
        <v>Enviado</v>
      </c>
      <c r="F3790" s="3" t="str">
        <f ca="1">IF(G3790=1,"-",Tabela2[[#This Row],[Dt Venc:]]-TODAY())</f>
        <v>-</v>
      </c>
      <c r="G3790" s="3">
        <v>1</v>
      </c>
      <c r="H3790" s="3"/>
    </row>
    <row r="3791" spans="1:8" hidden="1">
      <c r="A3791" s="3">
        <v>761283</v>
      </c>
      <c r="B3791" s="7" t="s">
        <v>127</v>
      </c>
      <c r="C3791" s="41">
        <v>342.56</v>
      </c>
      <c r="D3791" s="6">
        <v>45654</v>
      </c>
      <c r="E3791" s="3" t="str">
        <f ca="1">IF(Tabela2[[#This Row],[Dt Venc:]]&gt;TODAY(),"Em Aberto",IF(Tabela2[[#This Row],[D/venc]]="-","Enviado",IF(Tabela2[[#This Row],[Dt Venc:]]=TODAY(),"Vence Hoje","Vencida")))</f>
        <v>Enviado</v>
      </c>
      <c r="F3791" s="3" t="str">
        <f ca="1">IF(G3791=1,"-",Tabela2[[#This Row],[Dt Venc:]]-TODAY())</f>
        <v>-</v>
      </c>
      <c r="G3791" s="3">
        <v>1</v>
      </c>
      <c r="H3791" s="3"/>
    </row>
    <row r="3792" spans="1:8" hidden="1">
      <c r="A3792" s="3">
        <v>147364</v>
      </c>
      <c r="B3792" s="7" t="s">
        <v>127</v>
      </c>
      <c r="C3792" s="41">
        <v>802.67</v>
      </c>
      <c r="D3792" s="6">
        <v>45654</v>
      </c>
      <c r="E3792" s="3" t="str">
        <f ca="1">IF(Tabela2[[#This Row],[Dt Venc:]]&gt;TODAY(),"Em Aberto",IF(Tabela2[[#This Row],[D/venc]]="-","Enviado",IF(Tabela2[[#This Row],[Dt Venc:]]=TODAY(),"Vence Hoje","Vencida")))</f>
        <v>Enviado</v>
      </c>
      <c r="F3792" s="3" t="str">
        <f ca="1">IF(G3792=1,"-",Tabela2[[#This Row],[Dt Venc:]]-TODAY())</f>
        <v>-</v>
      </c>
      <c r="G3792" s="3">
        <v>1</v>
      </c>
      <c r="H3792" s="3"/>
    </row>
    <row r="3793" spans="1:8" hidden="1">
      <c r="A3793" s="3">
        <v>11176</v>
      </c>
      <c r="B3793" s="7" t="s">
        <v>33</v>
      </c>
      <c r="C3793" s="41">
        <v>471.5</v>
      </c>
      <c r="D3793" s="6">
        <v>45654</v>
      </c>
      <c r="E3793" s="3" t="str">
        <f ca="1">IF(Tabela2[[#This Row],[Dt Venc:]]&gt;TODAY(),"Em Aberto",IF(Tabela2[[#This Row],[D/venc]]="-","Enviado",IF(Tabela2[[#This Row],[Dt Venc:]]=TODAY(),"Vence Hoje","Vencida")))</f>
        <v>Enviado</v>
      </c>
      <c r="F3793" s="3" t="str">
        <f ca="1">IF(G3793=1,"-",Tabela2[[#This Row],[Dt Venc:]]-TODAY())</f>
        <v>-</v>
      </c>
      <c r="G3793" s="3">
        <v>1</v>
      </c>
      <c r="H3793" s="3"/>
    </row>
    <row r="3794" spans="1:8" hidden="1">
      <c r="A3794" s="3">
        <v>3324807</v>
      </c>
      <c r="B3794" s="7" t="s">
        <v>578</v>
      </c>
      <c r="C3794" s="41">
        <v>83617.5</v>
      </c>
      <c r="D3794" s="6">
        <v>45654</v>
      </c>
      <c r="E3794" s="3" t="str">
        <f ca="1">IF(Tabela2[[#This Row],[Dt Venc:]]&gt;TODAY(),"Em Aberto",IF(Tabela2[[#This Row],[D/venc]]="-","Enviado",IF(Tabela2[[#This Row],[Dt Venc:]]=TODAY(),"Vence Hoje","Vencida")))</f>
        <v>Enviado</v>
      </c>
      <c r="F3794" s="3" t="str">
        <f ca="1">IF(G3794=1,"-",Tabela2[[#This Row],[Dt Venc:]]-TODAY())</f>
        <v>-</v>
      </c>
      <c r="G3794" s="3">
        <v>1</v>
      </c>
      <c r="H3794" s="3"/>
    </row>
    <row r="3795" spans="1:8" hidden="1">
      <c r="A3795" s="3" t="s">
        <v>110</v>
      </c>
      <c r="B3795" s="7" t="s">
        <v>372</v>
      </c>
      <c r="C3795" s="42" t="s">
        <v>32</v>
      </c>
      <c r="D3795" s="6">
        <v>45654</v>
      </c>
      <c r="E3795" s="3" t="str">
        <f ca="1">IF(Tabela2[[#This Row],[Dt Venc:]]&gt;TODAY(),"Em Aberto",IF(Tabela2[[#This Row],[D/venc]]="-","Enviado",IF(Tabela2[[#This Row],[Dt Venc:]]=TODAY(),"Vence Hoje","Vencida")))</f>
        <v>Enviado</v>
      </c>
      <c r="F3795" s="3" t="str">
        <f ca="1">IF(G3795=1,"-",Tabela2[[#This Row],[Dt Venc:]]-TODAY())</f>
        <v>-</v>
      </c>
      <c r="G3795" s="3">
        <v>1</v>
      </c>
      <c r="H3795" s="3"/>
    </row>
    <row r="3796" spans="1:8" hidden="1">
      <c r="A3796" s="3" t="s">
        <v>110</v>
      </c>
      <c r="B3796" s="7" t="s">
        <v>373</v>
      </c>
      <c r="C3796" s="42" t="s">
        <v>32</v>
      </c>
      <c r="D3796" s="6">
        <v>45654</v>
      </c>
      <c r="E3796" s="3" t="str">
        <f ca="1">IF(Tabela2[[#This Row],[Dt Venc:]]&gt;TODAY(),"Em Aberto",IF(Tabela2[[#This Row],[D/venc]]="-","Enviado",IF(Tabela2[[#This Row],[Dt Venc:]]=TODAY(),"Vence Hoje","Vencida")))</f>
        <v>Enviado</v>
      </c>
      <c r="F3796" s="3" t="str">
        <f ca="1">IF(G3796=1,"-",Tabela2[[#This Row],[Dt Venc:]]-TODAY())</f>
        <v>-</v>
      </c>
      <c r="G3796" s="3">
        <v>1</v>
      </c>
      <c r="H3796" s="3"/>
    </row>
    <row r="3797" spans="1:8" hidden="1">
      <c r="A3797" s="3">
        <v>912180</v>
      </c>
      <c r="B3797" s="7" t="s">
        <v>375</v>
      </c>
      <c r="C3797" s="83" t="s">
        <v>32</v>
      </c>
      <c r="D3797" s="6">
        <v>45655</v>
      </c>
      <c r="E3797" s="3" t="str">
        <f ca="1">IF(Tabela2[[#This Row],[Dt Venc:]]&gt;TODAY(),"Em Aberto",IF(Tabela2[[#This Row],[D/venc]]="-","Enviado",IF(Tabela2[[#This Row],[Dt Venc:]]=TODAY(),"Vence Hoje","Vencida")))</f>
        <v>Enviado</v>
      </c>
      <c r="F3797" s="3" t="str">
        <f ca="1">IF(G3797=1,"-",Tabela2[[#This Row],[Dt Venc:]]-TODAY())</f>
        <v>-</v>
      </c>
      <c r="G3797" s="3">
        <v>1</v>
      </c>
      <c r="H3797" s="3"/>
    </row>
    <row r="3798" spans="1:8" hidden="1">
      <c r="A3798" s="3">
        <v>11083</v>
      </c>
      <c r="B3798" s="7" t="s">
        <v>33</v>
      </c>
      <c r="C3798" s="41">
        <v>400</v>
      </c>
      <c r="D3798" s="6">
        <v>45655</v>
      </c>
      <c r="E3798" s="3" t="str">
        <f ca="1">IF(Tabela2[[#This Row],[Dt Venc:]]&gt;TODAY(),"Em Aberto",IF(Tabela2[[#This Row],[D/venc]]="-","Enviado",IF(Tabela2[[#This Row],[Dt Venc:]]=TODAY(),"Vence Hoje","Vencida")))</f>
        <v>Enviado</v>
      </c>
      <c r="F3798" s="3" t="str">
        <f ca="1">IF(G3798=1,"-",Tabela2[[#This Row],[Dt Venc:]]-TODAY())</f>
        <v>-</v>
      </c>
      <c r="G3798" s="3">
        <v>1</v>
      </c>
      <c r="H3798" s="3"/>
    </row>
    <row r="3799" spans="1:8" hidden="1">
      <c r="A3799" s="3">
        <v>2855</v>
      </c>
      <c r="B3799" s="7" t="s">
        <v>301</v>
      </c>
      <c r="C3799" s="41">
        <v>2033.33</v>
      </c>
      <c r="D3799" s="6">
        <v>45655</v>
      </c>
      <c r="E3799" s="3" t="str">
        <f ca="1">IF(Tabela2[[#This Row],[Dt Venc:]]&gt;TODAY(),"Em Aberto",IF(Tabela2[[#This Row],[D/venc]]="-","Enviado",IF(Tabela2[[#This Row],[Dt Venc:]]=TODAY(),"Vence Hoje","Vencida")))</f>
        <v>Enviado</v>
      </c>
      <c r="F3799" s="3" t="str">
        <f ca="1">IF(G3799=1,"-",Tabela2[[#This Row],[Dt Venc:]]-TODAY())</f>
        <v>-</v>
      </c>
      <c r="G3799" s="3">
        <v>1</v>
      </c>
      <c r="H3799" s="3"/>
    </row>
    <row r="3800" spans="1:8" hidden="1">
      <c r="A3800" s="3">
        <v>266941</v>
      </c>
      <c r="B3800" s="7" t="s">
        <v>36</v>
      </c>
      <c r="C3800" s="41">
        <v>423.3</v>
      </c>
      <c r="D3800" s="6">
        <v>45655</v>
      </c>
      <c r="E3800" s="3" t="str">
        <f ca="1">IF(Tabela2[[#This Row],[Dt Venc:]]&gt;TODAY(),"Em Aberto",IF(Tabela2[[#This Row],[D/venc]]="-","Enviado",IF(Tabela2[[#This Row],[Dt Venc:]]=TODAY(),"Vence Hoje","Vencida")))</f>
        <v>Enviado</v>
      </c>
      <c r="F3800" s="3" t="str">
        <f ca="1">IF(G3800=1,"-",Tabela2[[#This Row],[Dt Venc:]]-TODAY())</f>
        <v>-</v>
      </c>
      <c r="G3800" s="3">
        <v>1</v>
      </c>
      <c r="H3800" s="3"/>
    </row>
    <row r="3801" spans="1:8" hidden="1">
      <c r="A3801" s="3">
        <v>23096</v>
      </c>
      <c r="B3801" s="7" t="s">
        <v>38</v>
      </c>
      <c r="C3801" s="42">
        <v>1471.33</v>
      </c>
      <c r="D3801" s="6">
        <v>45655</v>
      </c>
      <c r="E3801" s="3" t="str">
        <f ca="1">IF(Tabela2[[#This Row],[Dt Venc:]]&gt;TODAY(),"Em Aberto",IF(Tabela2[[#This Row],[D/venc]]="-","Enviado",IF(Tabela2[[#This Row],[Dt Venc:]]=TODAY(),"Vence Hoje","Vencida")))</f>
        <v>Enviado</v>
      </c>
      <c r="F3801" s="3" t="str">
        <f ca="1">IF(G3801=1,"-",Tabela2[[#This Row],[Dt Venc:]]-TODAY())</f>
        <v>-</v>
      </c>
      <c r="G3801" s="3">
        <v>1</v>
      </c>
      <c r="H3801" s="3"/>
    </row>
    <row r="3802" spans="1:8" hidden="1">
      <c r="A3802" s="3">
        <v>146728</v>
      </c>
      <c r="B3802" s="7" t="s">
        <v>127</v>
      </c>
      <c r="C3802" s="41">
        <v>602</v>
      </c>
      <c r="D3802" s="6">
        <v>45655</v>
      </c>
      <c r="E3802" s="3" t="str">
        <f ca="1">IF(Tabela2[[#This Row],[Dt Venc:]]&gt;TODAY(),"Em Aberto",IF(Tabela2[[#This Row],[D/venc]]="-","Enviado",IF(Tabela2[[#This Row],[Dt Venc:]]=TODAY(),"Vence Hoje","Vencida")))</f>
        <v>Enviado</v>
      </c>
      <c r="F3802" s="3" t="str">
        <f ca="1">IF(G3802=1,"-",Tabela2[[#This Row],[Dt Venc:]]-TODAY())</f>
        <v>-</v>
      </c>
      <c r="G3802" s="3">
        <v>1</v>
      </c>
      <c r="H3802" s="3"/>
    </row>
    <row r="3803" spans="1:8" hidden="1">
      <c r="A3803" s="3">
        <v>758635</v>
      </c>
      <c r="B3803" s="7" t="s">
        <v>127</v>
      </c>
      <c r="C3803" s="41">
        <v>256.92</v>
      </c>
      <c r="D3803" s="6">
        <v>45655</v>
      </c>
      <c r="E3803" s="3" t="str">
        <f ca="1">IF(Tabela2[[#This Row],[Dt Venc:]]&gt;TODAY(),"Em Aberto",IF(Tabela2[[#This Row],[D/venc]]="-","Enviado",IF(Tabela2[[#This Row],[Dt Venc:]]=TODAY(),"Vence Hoje","Vencida")))</f>
        <v>Enviado</v>
      </c>
      <c r="F3803" s="3" t="str">
        <f ca="1">IF(G3803=1,"-",Tabela2[[#This Row],[Dt Venc:]]-TODAY())</f>
        <v>-</v>
      </c>
      <c r="G3803" s="3">
        <v>1</v>
      </c>
      <c r="H3803" s="3"/>
    </row>
    <row r="3804" spans="1:8" hidden="1">
      <c r="A3804" s="3">
        <v>29343</v>
      </c>
      <c r="B3804" s="7" t="s">
        <v>97</v>
      </c>
      <c r="C3804" s="42">
        <v>3035</v>
      </c>
      <c r="D3804" s="6">
        <v>45655</v>
      </c>
      <c r="E3804" s="3" t="str">
        <f ca="1">IF(Tabela2[[#This Row],[Dt Venc:]]&gt;TODAY(),"Em Aberto",IF(Tabela2[[#This Row],[D/venc]]="-","Enviado",IF(Tabela2[[#This Row],[Dt Venc:]]=TODAY(),"Vence Hoje","Vencida")))</f>
        <v>Enviado</v>
      </c>
      <c r="F3804" s="3" t="str">
        <f ca="1">IF(G3804=1,"-",Tabela2[[#This Row],[Dt Venc:]]-TODAY())</f>
        <v>-</v>
      </c>
      <c r="G3804" s="3">
        <v>1</v>
      </c>
      <c r="H3804" s="3"/>
    </row>
    <row r="3805" spans="1:8" hidden="1">
      <c r="A3805" s="3">
        <v>30511</v>
      </c>
      <c r="B3805" s="7" t="s">
        <v>226</v>
      </c>
      <c r="C3805" s="41">
        <v>1690</v>
      </c>
      <c r="D3805" s="6">
        <v>45655</v>
      </c>
      <c r="E3805" s="3" t="str">
        <f ca="1">IF(Tabela2[[#This Row],[Dt Venc:]]&gt;TODAY(),"Em Aberto",IF(Tabela2[[#This Row],[D/venc]]="-","Enviado",IF(Tabela2[[#This Row],[Dt Venc:]]=TODAY(),"Vence Hoje","Vencida")))</f>
        <v>Enviado</v>
      </c>
      <c r="F3805" s="3" t="str">
        <f ca="1">IF(G3805=1,"-",Tabela2[[#This Row],[Dt Venc:]]-TODAY())</f>
        <v>-</v>
      </c>
      <c r="G3805" s="3">
        <v>1</v>
      </c>
      <c r="H3805" s="3"/>
    </row>
    <row r="3806" spans="1:8" hidden="1">
      <c r="A3806" s="3">
        <v>153989</v>
      </c>
      <c r="B3806" s="7" t="s">
        <v>77</v>
      </c>
      <c r="C3806" s="41">
        <v>450</v>
      </c>
      <c r="D3806" s="6">
        <v>45655</v>
      </c>
      <c r="E3806" s="3" t="str">
        <f ca="1">IF(Tabela2[[#This Row],[Dt Venc:]]&gt;TODAY(),"Em Aberto",IF(Tabela2[[#This Row],[D/venc]]="-","Enviado",IF(Tabela2[[#This Row],[Dt Venc:]]=TODAY(),"Vence Hoje","Vencida")))</f>
        <v>Enviado</v>
      </c>
      <c r="F3806" s="3" t="str">
        <f ca="1">IF(G3806=1,"-",Tabela2[[#This Row],[Dt Venc:]]-TODAY())</f>
        <v>-</v>
      </c>
      <c r="G3806" s="3">
        <v>1</v>
      </c>
      <c r="H3806" s="3"/>
    </row>
    <row r="3807" spans="1:8" hidden="1">
      <c r="A3807" s="3">
        <v>153990</v>
      </c>
      <c r="B3807" s="7" t="s">
        <v>77</v>
      </c>
      <c r="C3807" s="41">
        <v>1233.3</v>
      </c>
      <c r="D3807" s="6">
        <v>45655</v>
      </c>
      <c r="E3807" s="3" t="str">
        <f ca="1">IF(Tabela2[[#This Row],[Dt Venc:]]&gt;TODAY(),"Em Aberto",IF(Tabela2[[#This Row],[D/venc]]="-","Enviado",IF(Tabela2[[#This Row],[Dt Venc:]]=TODAY(),"Vence Hoje","Vencida")))</f>
        <v>Enviado</v>
      </c>
      <c r="F3807" s="3" t="str">
        <f ca="1">IF(G3807=1,"-",Tabela2[[#This Row],[Dt Venc:]]-TODAY())</f>
        <v>-</v>
      </c>
      <c r="G3807" s="3">
        <v>1</v>
      </c>
      <c r="H3807" s="3"/>
    </row>
    <row r="3808" spans="1:8" hidden="1">
      <c r="A3808" s="3">
        <v>5997</v>
      </c>
      <c r="B3808" s="7" t="s">
        <v>140</v>
      </c>
      <c r="C3808" s="41">
        <v>1527.47</v>
      </c>
      <c r="D3808" s="6">
        <v>45655</v>
      </c>
      <c r="E3808" s="3" t="str">
        <f ca="1">IF(Tabela2[[#This Row],[Dt Venc:]]&gt;TODAY(),"Em Aberto",IF(Tabela2[[#This Row],[D/venc]]="-","Enviado",IF(Tabela2[[#This Row],[Dt Venc:]]=TODAY(),"Vence Hoje","Vencida")))</f>
        <v>Enviado</v>
      </c>
      <c r="F3808" s="3" t="str">
        <f ca="1">IF(G3808=1,"-",Tabela2[[#This Row],[Dt Venc:]]-TODAY())</f>
        <v>-</v>
      </c>
      <c r="G3808" s="3">
        <v>1</v>
      </c>
      <c r="H3808" s="3"/>
    </row>
    <row r="3809" spans="1:8" hidden="1">
      <c r="A3809" s="3">
        <v>6091</v>
      </c>
      <c r="B3809" s="7" t="s">
        <v>47</v>
      </c>
      <c r="C3809" s="41">
        <v>2723.31</v>
      </c>
      <c r="D3809" s="6">
        <v>45655</v>
      </c>
      <c r="E3809" s="3" t="str">
        <f ca="1">IF(Tabela2[[#This Row],[Dt Venc:]]&gt;TODAY(),"Em Aberto",IF(Tabela2[[#This Row],[D/venc]]="-","Enviado",IF(Tabela2[[#This Row],[Dt Venc:]]=TODAY(),"Vence Hoje","Vencida")))</f>
        <v>Enviado</v>
      </c>
      <c r="F3809" s="3" t="str">
        <f ca="1">IF(G3809=1,"-",Tabela2[[#This Row],[Dt Venc:]]-TODAY())</f>
        <v>-</v>
      </c>
      <c r="G3809" s="3">
        <v>1</v>
      </c>
      <c r="H3809" s="3"/>
    </row>
    <row r="3810" spans="1:8" hidden="1">
      <c r="A3810" s="3">
        <v>154831</v>
      </c>
      <c r="B3810" s="7" t="s">
        <v>77</v>
      </c>
      <c r="C3810" s="41">
        <v>450</v>
      </c>
      <c r="D3810" s="6">
        <v>45655</v>
      </c>
      <c r="E3810" s="3" t="str">
        <f ca="1">IF(Tabela2[[#This Row],[Dt Venc:]]&gt;TODAY(),"Em Aberto",IF(Tabela2[[#This Row],[D/venc]]="-","Enviado",IF(Tabela2[[#This Row],[Dt Venc:]]=TODAY(),"Vence Hoje","Vencida")))</f>
        <v>Enviado</v>
      </c>
      <c r="F3810" s="3" t="str">
        <f ca="1">IF(G3810=1,"-",Tabela2[[#This Row],[Dt Venc:]]-TODAY())</f>
        <v>-</v>
      </c>
      <c r="G3810" s="3">
        <v>1</v>
      </c>
      <c r="H3810" s="3"/>
    </row>
    <row r="3811" spans="1:8" hidden="1">
      <c r="A3811" s="3">
        <v>30839</v>
      </c>
      <c r="B3811" s="7" t="s">
        <v>97</v>
      </c>
      <c r="C3811" s="41">
        <v>2395</v>
      </c>
      <c r="D3811" s="6">
        <v>45655</v>
      </c>
      <c r="E3811" s="3" t="str">
        <f ca="1">IF(Tabela2[[#This Row],[Dt Venc:]]&gt;TODAY(),"Em Aberto",IF(Tabela2[[#This Row],[D/venc]]="-","Enviado",IF(Tabela2[[#This Row],[Dt Venc:]]=TODAY(),"Vence Hoje","Vencida")))</f>
        <v>Enviado</v>
      </c>
      <c r="F3811" s="3" t="str">
        <f ca="1">IF(G3811=1,"-",Tabela2[[#This Row],[Dt Venc:]]-TODAY())</f>
        <v>-</v>
      </c>
      <c r="G3811" s="3">
        <v>1</v>
      </c>
      <c r="H3811" s="3"/>
    </row>
    <row r="3812" spans="1:8" hidden="1">
      <c r="A3812" s="3">
        <v>190542</v>
      </c>
      <c r="B3812" s="7" t="s">
        <v>128</v>
      </c>
      <c r="C3812" s="41">
        <v>279.39999999999998</v>
      </c>
      <c r="D3812" s="6">
        <v>45655</v>
      </c>
      <c r="E3812" s="3" t="str">
        <f ca="1">IF(Tabela2[[#This Row],[Dt Venc:]]&gt;TODAY(),"Em Aberto",IF(Tabela2[[#This Row],[D/venc]]="-","Enviado",IF(Tabela2[[#This Row],[Dt Venc:]]=TODAY(),"Vence Hoje","Vencida")))</f>
        <v>Enviado</v>
      </c>
      <c r="F3812" s="3" t="str">
        <f ca="1">IF(G3812=1,"-",Tabela2[[#This Row],[Dt Venc:]]-TODAY())</f>
        <v>-</v>
      </c>
      <c r="G3812" s="3">
        <v>1</v>
      </c>
      <c r="H3812" s="3"/>
    </row>
    <row r="3813" spans="1:8" hidden="1">
      <c r="A3813" s="3">
        <v>23934</v>
      </c>
      <c r="B3813" s="7" t="s">
        <v>38</v>
      </c>
      <c r="C3813" s="41">
        <v>1837.5</v>
      </c>
      <c r="D3813" s="6">
        <v>45655</v>
      </c>
      <c r="E3813" s="3" t="str">
        <f ca="1">IF(Tabela2[[#This Row],[Dt Venc:]]&gt;TODAY(),"Em Aberto",IF(Tabela2[[#This Row],[D/venc]]="-","Enviado",IF(Tabela2[[#This Row],[Dt Venc:]]=TODAY(),"Vence Hoje","Vencida")))</f>
        <v>Enviado</v>
      </c>
      <c r="F3813" s="3" t="str">
        <f ca="1">IF(G3813=1,"-",Tabela2[[#This Row],[Dt Venc:]]-TODAY())</f>
        <v>-</v>
      </c>
      <c r="G3813" s="3">
        <v>1</v>
      </c>
      <c r="H3813" s="3"/>
    </row>
    <row r="3814" spans="1:8" hidden="1">
      <c r="A3814" s="3">
        <v>89754</v>
      </c>
      <c r="B3814" s="7" t="s">
        <v>207</v>
      </c>
      <c r="C3814" s="41">
        <v>472</v>
      </c>
      <c r="D3814" s="6">
        <v>45655</v>
      </c>
      <c r="E3814" s="3" t="str">
        <f ca="1">IF(Tabela2[[#This Row],[Dt Venc:]]&gt;TODAY(),"Em Aberto",IF(Tabela2[[#This Row],[D/venc]]="-","Enviado",IF(Tabela2[[#This Row],[Dt Venc:]]=TODAY(),"Vence Hoje","Vencida")))</f>
        <v>Enviado</v>
      </c>
      <c r="F3814" s="3" t="str">
        <f ca="1">IF(G3814=1,"-",Tabela2[[#This Row],[Dt Venc:]]-TODAY())</f>
        <v>-</v>
      </c>
      <c r="G3814" s="3">
        <v>1</v>
      </c>
      <c r="H3814" s="3"/>
    </row>
    <row r="3815" spans="1:8" hidden="1">
      <c r="A3815" s="3">
        <v>61294</v>
      </c>
      <c r="B3815" s="7" t="s">
        <v>435</v>
      </c>
      <c r="C3815" s="41">
        <v>668</v>
      </c>
      <c r="D3815" s="6">
        <v>45655</v>
      </c>
      <c r="E3815" s="3" t="str">
        <f ca="1">IF(Tabela2[[#This Row],[Dt Venc:]]&gt;TODAY(),"Em Aberto",IF(Tabela2[[#This Row],[D/venc]]="-","Enviado",IF(Tabela2[[#This Row],[Dt Venc:]]=TODAY(),"Vence Hoje","Vencida")))</f>
        <v>Enviado</v>
      </c>
      <c r="F3815" s="3" t="str">
        <f ca="1">IF(G3815=1,"-",Tabela2[[#This Row],[Dt Venc:]]-TODAY())</f>
        <v>-</v>
      </c>
      <c r="G3815" s="3">
        <v>1</v>
      </c>
      <c r="H3815" s="3"/>
    </row>
    <row r="3816" spans="1:8" hidden="1">
      <c r="A3816" s="3">
        <v>74622</v>
      </c>
      <c r="B3816" s="7" t="s">
        <v>579</v>
      </c>
      <c r="C3816" s="41">
        <v>1180.33</v>
      </c>
      <c r="D3816" s="6">
        <v>45655</v>
      </c>
      <c r="E3816" s="3" t="str">
        <f ca="1">IF(Tabela2[[#This Row],[Dt Venc:]]&gt;TODAY(),"Em Aberto",IF(Tabela2[[#This Row],[D/venc]]="-","Enviado",IF(Tabela2[[#This Row],[Dt Venc:]]=TODAY(),"Vence Hoje","Vencida")))</f>
        <v>Enviado</v>
      </c>
      <c r="F3816" s="3" t="str">
        <f ca="1">IF(G3816=1,"-",Tabela2[[#This Row],[Dt Venc:]]-TODAY())</f>
        <v>-</v>
      </c>
      <c r="G3816" s="3">
        <v>1</v>
      </c>
      <c r="H3816" s="3"/>
    </row>
    <row r="3817" spans="1:8" hidden="1">
      <c r="A3817" s="3">
        <v>2925</v>
      </c>
      <c r="B3817" s="7" t="s">
        <v>301</v>
      </c>
      <c r="C3817" s="41">
        <v>2440</v>
      </c>
      <c r="D3817" s="6">
        <v>45655</v>
      </c>
      <c r="E3817" s="3" t="str">
        <f ca="1">IF(Tabela2[[#This Row],[Dt Venc:]]&gt;TODAY(),"Em Aberto",IF(Tabela2[[#This Row],[D/venc]]="-","Enviado",IF(Tabela2[[#This Row],[Dt Venc:]]=TODAY(),"Vence Hoje","Vencida")))</f>
        <v>Enviado</v>
      </c>
      <c r="F3817" s="3" t="str">
        <f ca="1">IF(G3817=1,"-",Tabela2[[#This Row],[Dt Venc:]]-TODAY())</f>
        <v>-</v>
      </c>
      <c r="G3817" s="3">
        <v>1</v>
      </c>
      <c r="H3817" s="3"/>
    </row>
    <row r="3818" spans="1:8" hidden="1">
      <c r="A3818" s="3">
        <v>6101</v>
      </c>
      <c r="B3818" s="7" t="s">
        <v>140</v>
      </c>
      <c r="C3818" s="41">
        <v>904.33</v>
      </c>
      <c r="D3818" s="6">
        <v>45655</v>
      </c>
      <c r="E3818" s="3" t="str">
        <f ca="1">IF(Tabela2[[#This Row],[Dt Venc:]]&gt;TODAY(),"Em Aberto",IF(Tabela2[[#This Row],[D/venc]]="-","Enviado",IF(Tabela2[[#This Row],[Dt Venc:]]=TODAY(),"Vence Hoje","Vencida")))</f>
        <v>Enviado</v>
      </c>
      <c r="F3818" s="3" t="str">
        <f ca="1">IF(G3818=1,"-",Tabela2[[#This Row],[Dt Venc:]]-TODAY())</f>
        <v>-</v>
      </c>
      <c r="G3818" s="3">
        <v>1</v>
      </c>
      <c r="H3818" s="3"/>
    </row>
    <row r="3819" spans="1:8" hidden="1">
      <c r="A3819" s="3">
        <v>297</v>
      </c>
      <c r="B3819" s="7" t="s">
        <v>580</v>
      </c>
      <c r="C3819" s="41">
        <v>925</v>
      </c>
      <c r="D3819" s="6">
        <v>45655</v>
      </c>
      <c r="E3819" s="3" t="str">
        <f ca="1">IF(Tabela2[[#This Row],[Dt Venc:]]&gt;TODAY(),"Em Aberto",IF(Tabela2[[#This Row],[D/venc]]="-","Enviado",IF(Tabela2[[#This Row],[Dt Venc:]]=TODAY(),"Vence Hoje","Vencida")))</f>
        <v>Enviado</v>
      </c>
      <c r="F3819" s="3" t="str">
        <f ca="1">IF(G3819=1,"-",Tabela2[[#This Row],[Dt Venc:]]-TODAY())</f>
        <v>-</v>
      </c>
      <c r="G3819" s="3">
        <v>1</v>
      </c>
      <c r="H3819" s="3"/>
    </row>
    <row r="3820" spans="1:8" hidden="1">
      <c r="A3820" s="3">
        <v>6229</v>
      </c>
      <c r="B3820" s="7" t="s">
        <v>581</v>
      </c>
      <c r="C3820" s="41">
        <v>2220.3000000000002</v>
      </c>
      <c r="D3820" s="6">
        <v>45655</v>
      </c>
      <c r="E3820" s="3" t="str">
        <f ca="1">IF(Tabela2[[#This Row],[Dt Venc:]]&gt;TODAY(),"Em Aberto",IF(Tabela2[[#This Row],[D/venc]]="-","Enviado",IF(Tabela2[[#This Row],[Dt Venc:]]=TODAY(),"Vence Hoje","Vencida")))</f>
        <v>Enviado</v>
      </c>
      <c r="F3820" s="3" t="str">
        <f ca="1">IF(G3820=1,"-",Tabela2[[#This Row],[Dt Venc:]]-TODAY())</f>
        <v>-</v>
      </c>
      <c r="G3820" s="3">
        <v>1</v>
      </c>
      <c r="H3820" s="3"/>
    </row>
    <row r="3821" spans="1:8" hidden="1">
      <c r="A3821" s="3">
        <v>177080</v>
      </c>
      <c r="B3821" s="7" t="s">
        <v>72</v>
      </c>
      <c r="C3821" s="41">
        <v>1016.66</v>
      </c>
      <c r="D3821" s="6">
        <v>45655</v>
      </c>
      <c r="E3821" s="3" t="str">
        <f ca="1">IF(Tabela2[[#This Row],[Dt Venc:]]&gt;TODAY(),"Em Aberto",IF(Tabela2[[#This Row],[D/venc]]="-","Enviado",IF(Tabela2[[#This Row],[Dt Venc:]]=TODAY(),"Vence Hoje","Vencida")))</f>
        <v>Enviado</v>
      </c>
      <c r="F3821" s="3" t="str">
        <f ca="1">IF(G3821=1,"-",Tabela2[[#This Row],[Dt Venc:]]-TODAY())</f>
        <v>-</v>
      </c>
      <c r="G3821" s="3">
        <v>1</v>
      </c>
      <c r="H3821" s="3"/>
    </row>
    <row r="3822" spans="1:8" hidden="1">
      <c r="A3822" s="3">
        <v>11186</v>
      </c>
      <c r="B3822" s="7" t="s">
        <v>33</v>
      </c>
      <c r="C3822" s="41">
        <v>1823.3</v>
      </c>
      <c r="D3822" s="6">
        <v>45655</v>
      </c>
      <c r="E3822" s="3" t="str">
        <f ca="1">IF(Tabela2[[#This Row],[Dt Venc:]]&gt;TODAY(),"Em Aberto",IF(Tabela2[[#This Row],[D/venc]]="-","Enviado",IF(Tabela2[[#This Row],[Dt Venc:]]=TODAY(),"Vence Hoje","Vencida")))</f>
        <v>Enviado</v>
      </c>
      <c r="F3822" s="3" t="str">
        <f ca="1">IF(G3822=1,"-",Tabela2[[#This Row],[Dt Venc:]]-TODAY())</f>
        <v>-</v>
      </c>
      <c r="G3822" s="3">
        <v>1</v>
      </c>
      <c r="H3822" s="3"/>
    </row>
    <row r="3823" spans="1:8" hidden="1">
      <c r="A3823" s="3">
        <v>11184</v>
      </c>
      <c r="B3823" s="7" t="s">
        <v>33</v>
      </c>
      <c r="C3823" s="41">
        <v>400</v>
      </c>
      <c r="D3823" s="6">
        <v>45655</v>
      </c>
      <c r="E3823" s="3" t="str">
        <f ca="1">IF(Tabela2[[#This Row],[Dt Venc:]]&gt;TODAY(),"Em Aberto",IF(Tabela2[[#This Row],[D/venc]]="-","Enviado",IF(Tabela2[[#This Row],[Dt Venc:]]=TODAY(),"Vence Hoje","Vencida")))</f>
        <v>Enviado</v>
      </c>
      <c r="F3823" s="3" t="str">
        <f ca="1">IF(G3823=1,"-",Tabela2[[#This Row],[Dt Venc:]]-TODAY())</f>
        <v>-</v>
      </c>
      <c r="G3823" s="3">
        <v>1</v>
      </c>
      <c r="H3823" s="3"/>
    </row>
    <row r="3824" spans="1:8" hidden="1">
      <c r="A3824" s="3">
        <v>23927</v>
      </c>
      <c r="B3824" s="7" t="s">
        <v>38</v>
      </c>
      <c r="C3824" s="41">
        <v>1242.67</v>
      </c>
      <c r="D3824" s="6">
        <v>45655</v>
      </c>
      <c r="E3824" s="3" t="str">
        <f ca="1">IF(Tabela2[[#This Row],[Dt Venc:]]&gt;TODAY(),"Em Aberto",IF(Tabela2[[#This Row],[D/venc]]="-","Enviado",IF(Tabela2[[#This Row],[Dt Venc:]]=TODAY(),"Vence Hoje","Vencida")))</f>
        <v>Enviado</v>
      </c>
      <c r="F3824" s="3" t="str">
        <f ca="1">IF(G3824=1,"-",Tabela2[[#This Row],[Dt Venc:]]-TODAY())</f>
        <v>-</v>
      </c>
      <c r="G3824" s="3">
        <v>1</v>
      </c>
      <c r="H3824" s="3"/>
    </row>
    <row r="3825" spans="1:8" hidden="1">
      <c r="A3825" s="3">
        <v>23961</v>
      </c>
      <c r="B3825" s="7" t="s">
        <v>38</v>
      </c>
      <c r="C3825" s="41">
        <v>1180</v>
      </c>
      <c r="D3825" s="6">
        <v>45655</v>
      </c>
      <c r="E3825" s="3" t="str">
        <f ca="1">IF(Tabela2[[#This Row],[Dt Venc:]]&gt;TODAY(),"Em Aberto",IF(Tabela2[[#This Row],[D/venc]]="-","Enviado",IF(Tabela2[[#This Row],[Dt Venc:]]=TODAY(),"Vence Hoje","Vencida")))</f>
        <v>Enviado</v>
      </c>
      <c r="F3825" s="3" t="str">
        <f ca="1">IF(G3825=1,"-",Tabela2[[#This Row],[Dt Venc:]]-TODAY())</f>
        <v>-</v>
      </c>
      <c r="G3825" s="3">
        <v>1</v>
      </c>
      <c r="H3825" s="3"/>
    </row>
    <row r="3826" spans="1:8" hidden="1">
      <c r="A3826" s="3">
        <v>135157</v>
      </c>
      <c r="B3826" s="7" t="s">
        <v>89</v>
      </c>
      <c r="C3826" s="41">
        <v>574.67999999999995</v>
      </c>
      <c r="D3826" s="6">
        <v>45655</v>
      </c>
      <c r="E3826" s="3" t="str">
        <f ca="1">IF(Tabela2[[#This Row],[Dt Venc:]]&gt;TODAY(),"Em Aberto",IF(Tabela2[[#This Row],[D/venc]]="-","Enviado",IF(Tabela2[[#This Row],[Dt Venc:]]=TODAY(),"Vence Hoje","Vencida")))</f>
        <v>Enviado</v>
      </c>
      <c r="F3826" s="3" t="str">
        <f ca="1">IF(G3826=1,"-",Tabela2[[#This Row],[Dt Venc:]]-TODAY())</f>
        <v>-</v>
      </c>
      <c r="G3826" s="3">
        <v>1</v>
      </c>
      <c r="H3826" s="3"/>
    </row>
    <row r="3827" spans="1:8" hidden="1">
      <c r="A3827" s="3">
        <v>3325485</v>
      </c>
      <c r="B3827" s="7" t="s">
        <v>71</v>
      </c>
      <c r="C3827" s="41">
        <v>55745</v>
      </c>
      <c r="D3827" s="6">
        <v>45655</v>
      </c>
      <c r="E3827" s="3" t="str">
        <f ca="1">IF(Tabela2[[#This Row],[Dt Venc:]]&gt;TODAY(),"Em Aberto",IF(Tabela2[[#This Row],[D/venc]]="-","Enviado",IF(Tabela2[[#This Row],[Dt Venc:]]=TODAY(),"Vence Hoje","Vencida")))</f>
        <v>Enviado</v>
      </c>
      <c r="F3827" s="3" t="str">
        <f ca="1">IF(G3827=1,"-",Tabela2[[#This Row],[Dt Venc:]]-TODAY())</f>
        <v>-</v>
      </c>
      <c r="G3827" s="3">
        <v>1</v>
      </c>
      <c r="H3827" s="3"/>
    </row>
    <row r="3828" spans="1:8" hidden="1">
      <c r="A3828" s="3">
        <v>135157</v>
      </c>
      <c r="B3828" s="7" t="s">
        <v>89</v>
      </c>
      <c r="C3828" s="41">
        <v>574.67999999999995</v>
      </c>
      <c r="D3828" s="6">
        <v>45655</v>
      </c>
      <c r="E3828" s="3" t="str">
        <f ca="1">IF(Tabela2[[#This Row],[Dt Venc:]]&gt;TODAY(),"Em Aberto",IF(Tabela2[[#This Row],[D/venc]]="-","Enviado",IF(Tabela2[[#This Row],[Dt Venc:]]=TODAY(),"Vence Hoje","Vencida")))</f>
        <v>Enviado</v>
      </c>
      <c r="F3828" s="3" t="str">
        <f ca="1">IF(G3828=1,"-",Tabela2[[#This Row],[Dt Venc:]]-TODAY())</f>
        <v>-</v>
      </c>
      <c r="G3828" s="3">
        <v>1</v>
      </c>
      <c r="H3828" s="3"/>
    </row>
    <row r="3829" spans="1:8" hidden="1">
      <c r="A3829" s="3">
        <v>10960</v>
      </c>
      <c r="B3829" s="7" t="s">
        <v>33</v>
      </c>
      <c r="C3829" s="42">
        <v>1360</v>
      </c>
      <c r="D3829" s="6">
        <v>45656</v>
      </c>
      <c r="E3829" s="3" t="str">
        <f ca="1">IF(Tabela2[[#This Row],[Dt Venc:]]&gt;TODAY(),"Em Aberto",IF(Tabela2[[#This Row],[D/venc]]="-","Enviado",IF(Tabela2[[#This Row],[Dt Venc:]]=TODAY(),"Vence Hoje","Vencida")))</f>
        <v>Enviado</v>
      </c>
      <c r="F3829" s="3" t="str">
        <f ca="1">IF(G3829=1,"-",Tabela2[[#This Row],[Dt Venc:]]-TODAY())</f>
        <v>-</v>
      </c>
      <c r="G3829" s="3">
        <v>1</v>
      </c>
      <c r="H3829" s="3"/>
    </row>
    <row r="3830" spans="1:8" hidden="1">
      <c r="A3830" s="3">
        <v>10963</v>
      </c>
      <c r="B3830" s="7" t="s">
        <v>33</v>
      </c>
      <c r="C3830" s="42">
        <v>496.67</v>
      </c>
      <c r="D3830" s="6">
        <v>45656</v>
      </c>
      <c r="E3830" s="3" t="str">
        <f ca="1">IF(Tabela2[[#This Row],[Dt Venc:]]&gt;TODAY(),"Em Aberto",IF(Tabela2[[#This Row],[D/venc]]="-","Enviado",IF(Tabela2[[#This Row],[Dt Venc:]]=TODAY(),"Vence Hoje","Vencida")))</f>
        <v>Enviado</v>
      </c>
      <c r="F3830" s="3" t="str">
        <f ca="1">IF(G3830=1,"-",Tabela2[[#This Row],[Dt Venc:]]-TODAY())</f>
        <v>-</v>
      </c>
      <c r="G3830" s="3">
        <v>1</v>
      </c>
      <c r="H3830" s="3"/>
    </row>
    <row r="3831" spans="1:8" hidden="1">
      <c r="A3831" s="3">
        <v>11096</v>
      </c>
      <c r="B3831" s="7" t="s">
        <v>33</v>
      </c>
      <c r="C3831" s="41">
        <v>1971.6</v>
      </c>
      <c r="D3831" s="6">
        <v>45656</v>
      </c>
      <c r="E3831" s="3" t="str">
        <f ca="1">IF(Tabela2[[#This Row],[Dt Venc:]]&gt;TODAY(),"Em Aberto",IF(Tabela2[[#This Row],[D/venc]]="-","Enviado",IF(Tabela2[[#This Row],[Dt Venc:]]=TODAY(),"Vence Hoje","Vencida")))</f>
        <v>Enviado</v>
      </c>
      <c r="F3831" s="3" t="str">
        <f ca="1">IF(G3831=1,"-",Tabela2[[#This Row],[Dt Venc:]]-TODAY())</f>
        <v>-</v>
      </c>
      <c r="G3831" s="3">
        <v>1</v>
      </c>
      <c r="H3831" s="3"/>
    </row>
    <row r="3832" spans="1:8" hidden="1">
      <c r="A3832" s="3">
        <v>2024</v>
      </c>
      <c r="B3832" s="7" t="s">
        <v>454</v>
      </c>
      <c r="C3832" s="41">
        <v>1766.67</v>
      </c>
      <c r="D3832" s="6">
        <v>45656</v>
      </c>
      <c r="E3832" s="3" t="str">
        <f ca="1">IF(Tabela2[[#This Row],[Dt Venc:]]&gt;TODAY(),"Em Aberto",IF(Tabela2[[#This Row],[D/venc]]="-","Enviado",IF(Tabela2[[#This Row],[Dt Venc:]]=TODAY(),"Vence Hoje","Vencida")))</f>
        <v>Enviado</v>
      </c>
      <c r="F3832" s="3" t="str">
        <f ca="1">IF(G3832=1,"-",Tabela2[[#This Row],[Dt Venc:]]-TODAY())</f>
        <v>-</v>
      </c>
      <c r="G3832" s="3">
        <v>1</v>
      </c>
      <c r="H3832" s="3"/>
    </row>
    <row r="3833" spans="1:8" hidden="1">
      <c r="A3833" s="3">
        <v>5065</v>
      </c>
      <c r="B3833" s="7" t="s">
        <v>463</v>
      </c>
      <c r="C3833" s="41">
        <v>1812.4</v>
      </c>
      <c r="D3833" s="6">
        <v>45656</v>
      </c>
      <c r="E3833" s="3" t="str">
        <f ca="1">IF(Tabela2[[#This Row],[Dt Venc:]]&gt;TODAY(),"Em Aberto",IF(Tabela2[[#This Row],[D/venc]]="-","Enviado",IF(Tabela2[[#This Row],[Dt Venc:]]=TODAY(),"Vence Hoje","Vencida")))</f>
        <v>Enviado</v>
      </c>
      <c r="F3833" s="3" t="str">
        <f ca="1">IF(G3833=1,"-",Tabela2[[#This Row],[Dt Venc:]]-TODAY())</f>
        <v>-</v>
      </c>
      <c r="G3833" s="3">
        <v>1</v>
      </c>
      <c r="H3833" s="3"/>
    </row>
    <row r="3834" spans="1:8" hidden="1">
      <c r="A3834" s="3">
        <v>1289</v>
      </c>
      <c r="B3834" s="7" t="s">
        <v>474</v>
      </c>
      <c r="C3834" s="41">
        <v>1340</v>
      </c>
      <c r="D3834" s="6">
        <v>45656</v>
      </c>
      <c r="E3834" s="3" t="str">
        <f ca="1">IF(Tabela2[[#This Row],[Dt Venc:]]&gt;TODAY(),"Em Aberto",IF(Tabela2[[#This Row],[D/venc]]="-","Enviado",IF(Tabela2[[#This Row],[Dt Venc:]]=TODAY(),"Vence Hoje","Vencida")))</f>
        <v>Enviado</v>
      </c>
      <c r="F3834" s="3" t="str">
        <f ca="1">IF(G3834=1,"-",Tabela2[[#This Row],[Dt Venc:]]-TODAY())</f>
        <v>-</v>
      </c>
      <c r="G3834" s="3">
        <v>1</v>
      </c>
      <c r="H3834" s="3"/>
    </row>
    <row r="3835" spans="1:8" hidden="1">
      <c r="A3835" s="3">
        <v>153183</v>
      </c>
      <c r="B3835" s="7" t="s">
        <v>486</v>
      </c>
      <c r="C3835" s="41">
        <v>1861.96</v>
      </c>
      <c r="D3835" s="6">
        <v>45656</v>
      </c>
      <c r="E3835" s="3" t="str">
        <f ca="1">IF(Tabela2[[#This Row],[Dt Venc:]]&gt;TODAY(),"Em Aberto",IF(Tabela2[[#This Row],[D/venc]]="-","Enviado",IF(Tabela2[[#This Row],[Dt Venc:]]=TODAY(),"Vence Hoje","Vencida")))</f>
        <v>Enviado</v>
      </c>
      <c r="F3835" s="3" t="str">
        <f ca="1">IF(G3835=1,"-",Tabela2[[#This Row],[Dt Venc:]]-TODAY())</f>
        <v>-</v>
      </c>
      <c r="G3835" s="3">
        <v>1</v>
      </c>
      <c r="H3835" s="3"/>
    </row>
    <row r="3836" spans="1:8" hidden="1">
      <c r="A3836" s="3">
        <v>45102</v>
      </c>
      <c r="B3836" s="7" t="s">
        <v>89</v>
      </c>
      <c r="C3836" s="41">
        <v>1799.66</v>
      </c>
      <c r="D3836" s="6">
        <v>45656</v>
      </c>
      <c r="E3836" s="3" t="str">
        <f ca="1">IF(Tabela2[[#This Row],[Dt Venc:]]&gt;TODAY(),"Em Aberto",IF(Tabela2[[#This Row],[D/venc]]="-","Enviado",IF(Tabela2[[#This Row],[Dt Venc:]]=TODAY(),"Vence Hoje","Vencida")))</f>
        <v>Enviado</v>
      </c>
      <c r="F3836" s="3" t="str">
        <f ca="1">IF(G3836=1,"-",Tabela2[[#This Row],[Dt Venc:]]-TODAY())</f>
        <v>-</v>
      </c>
      <c r="G3836" s="3">
        <v>1</v>
      </c>
      <c r="H3836" s="3"/>
    </row>
    <row r="3837" spans="1:8" hidden="1">
      <c r="A3837" s="3">
        <v>257767</v>
      </c>
      <c r="B3837" s="7" t="s">
        <v>49</v>
      </c>
      <c r="C3837" s="41">
        <v>1030</v>
      </c>
      <c r="D3837" s="6">
        <v>45656</v>
      </c>
      <c r="E3837" s="3" t="str">
        <f ca="1">IF(Tabela2[[#This Row],[Dt Venc:]]&gt;TODAY(),"Em Aberto",IF(Tabela2[[#This Row],[D/venc]]="-","Enviado",IF(Tabela2[[#This Row],[Dt Venc:]]=TODAY(),"Vence Hoje","Vencida")))</f>
        <v>Enviado</v>
      </c>
      <c r="F3837" s="3" t="str">
        <f ca="1">IF(G3837=1,"-",Tabela2[[#This Row],[Dt Venc:]]-TODAY())</f>
        <v>-</v>
      </c>
      <c r="G3837" s="3">
        <v>1</v>
      </c>
      <c r="H3837" s="3"/>
    </row>
    <row r="3838" spans="1:8" hidden="1">
      <c r="A3838" s="3">
        <v>2812</v>
      </c>
      <c r="B3838" s="7" t="s">
        <v>58</v>
      </c>
      <c r="C3838" s="41">
        <f>4513/3</f>
        <v>1504.3333333333333</v>
      </c>
      <c r="D3838" s="6">
        <v>45656</v>
      </c>
      <c r="E3838" s="3" t="str">
        <f ca="1">IF(Tabela2[[#This Row],[Dt Venc:]]&gt;TODAY(),"Em Aberto",IF(Tabela2[[#This Row],[D/venc]]="-","Enviado",IF(Tabela2[[#This Row],[Dt Venc:]]=TODAY(),"Vence Hoje","Vencida")))</f>
        <v>Enviado</v>
      </c>
      <c r="F3838" s="3" t="str">
        <f ca="1">IF(G3838=1,"-",Tabela2[[#This Row],[Dt Venc:]]-TODAY())</f>
        <v>-</v>
      </c>
      <c r="G3838" s="3">
        <v>1</v>
      </c>
      <c r="H3838" s="3"/>
    </row>
    <row r="3839" spans="1:8" hidden="1">
      <c r="A3839" s="3">
        <v>23130</v>
      </c>
      <c r="B3839" s="7" t="s">
        <v>38</v>
      </c>
      <c r="C3839" s="42">
        <v>833.33</v>
      </c>
      <c r="D3839" s="6">
        <v>45656</v>
      </c>
      <c r="E3839" s="3" t="str">
        <f ca="1">IF(Tabela2[[#This Row],[Dt Venc:]]&gt;TODAY(),"Em Aberto",IF(Tabela2[[#This Row],[D/venc]]="-","Enviado",IF(Tabela2[[#This Row],[Dt Venc:]]=TODAY(),"Vence Hoje","Vencida")))</f>
        <v>Enviado</v>
      </c>
      <c r="F3839" s="3" t="str">
        <f ca="1">IF(G3839=1,"-",Tabela2[[#This Row],[Dt Venc:]]-TODAY())</f>
        <v>-</v>
      </c>
      <c r="G3839" s="3">
        <v>1</v>
      </c>
      <c r="H3839" s="3"/>
    </row>
    <row r="3840" spans="1:8" hidden="1">
      <c r="A3840" s="3">
        <v>80557</v>
      </c>
      <c r="B3840" s="7" t="s">
        <v>39</v>
      </c>
      <c r="C3840" s="42">
        <v>478.28</v>
      </c>
      <c r="D3840" s="6">
        <v>45656</v>
      </c>
      <c r="E3840" s="3" t="str">
        <f ca="1">IF(Tabela2[[#This Row],[Dt Venc:]]&gt;TODAY(),"Em Aberto",IF(Tabela2[[#This Row],[D/venc]]="-","Enviado",IF(Tabela2[[#This Row],[Dt Venc:]]=TODAY(),"Vence Hoje","Vencida")))</f>
        <v>Enviado</v>
      </c>
      <c r="F3840" s="3" t="str">
        <f ca="1">IF(G3840=1,"-",Tabela2[[#This Row],[Dt Venc:]]-TODAY())</f>
        <v>-</v>
      </c>
      <c r="G3840" s="3">
        <v>1</v>
      </c>
      <c r="H3840" s="3"/>
    </row>
    <row r="3841" spans="1:8" hidden="1">
      <c r="A3841" s="3">
        <v>80558</v>
      </c>
      <c r="B3841" s="7" t="s">
        <v>39</v>
      </c>
      <c r="C3841" s="42">
        <v>587.33000000000004</v>
      </c>
      <c r="D3841" s="6">
        <v>45656</v>
      </c>
      <c r="E3841" s="3" t="str">
        <f ca="1">IF(Tabela2[[#This Row],[Dt Venc:]]&gt;TODAY(),"Em Aberto",IF(Tabela2[[#This Row],[D/venc]]="-","Enviado",IF(Tabela2[[#This Row],[Dt Venc:]]=TODAY(),"Vence Hoje","Vencida")))</f>
        <v>Enviado</v>
      </c>
      <c r="F3841" s="3" t="str">
        <f ca="1">IF(G3841=1,"-",Tabela2[[#This Row],[Dt Venc:]]-TODAY())</f>
        <v>-</v>
      </c>
      <c r="G3841" s="3">
        <v>1</v>
      </c>
      <c r="H3841" s="3"/>
    </row>
    <row r="3842" spans="1:8" hidden="1">
      <c r="A3842" s="3">
        <v>364440</v>
      </c>
      <c r="B3842" s="7" t="s">
        <v>39</v>
      </c>
      <c r="C3842" s="42">
        <v>291.72000000000003</v>
      </c>
      <c r="D3842" s="6">
        <v>45656</v>
      </c>
      <c r="E3842" s="3" t="str">
        <f ca="1">IF(Tabela2[[#This Row],[Dt Venc:]]&gt;TODAY(),"Em Aberto",IF(Tabela2[[#This Row],[D/venc]]="-","Enviado",IF(Tabela2[[#This Row],[Dt Venc:]]=TODAY(),"Vence Hoje","Vencida")))</f>
        <v>Enviado</v>
      </c>
      <c r="F3842" s="3" t="str">
        <f ca="1">IF(G3842=1,"-",Tabela2[[#This Row],[Dt Venc:]]-TODAY())</f>
        <v>-</v>
      </c>
      <c r="G3842" s="3">
        <v>1</v>
      </c>
      <c r="H3842" s="3"/>
    </row>
    <row r="3843" spans="1:8" hidden="1">
      <c r="A3843" s="3">
        <v>364446</v>
      </c>
      <c r="B3843" s="7" t="s">
        <v>39</v>
      </c>
      <c r="C3843" s="42">
        <v>290.41000000000003</v>
      </c>
      <c r="D3843" s="6">
        <v>45656</v>
      </c>
      <c r="E3843" s="3" t="str">
        <f ca="1">IF(Tabela2[[#This Row],[Dt Venc:]]&gt;TODAY(),"Em Aberto",IF(Tabela2[[#This Row],[D/venc]]="-","Enviado",IF(Tabela2[[#This Row],[Dt Venc:]]=TODAY(),"Vence Hoje","Vencida")))</f>
        <v>Enviado</v>
      </c>
      <c r="F3843" s="3" t="str">
        <f ca="1">IF(G3843=1,"-",Tabela2[[#This Row],[Dt Venc:]]-TODAY())</f>
        <v>-</v>
      </c>
      <c r="G3843" s="3">
        <v>1</v>
      </c>
      <c r="H3843" s="3"/>
    </row>
    <row r="3844" spans="1:8" hidden="1">
      <c r="A3844" s="3">
        <v>371402</v>
      </c>
      <c r="B3844" s="7" t="s">
        <v>39</v>
      </c>
      <c r="C3844" s="41">
        <v>456.2</v>
      </c>
      <c r="D3844" s="6">
        <v>45656</v>
      </c>
      <c r="E3844" s="3" t="str">
        <f ca="1">IF(Tabela2[[#This Row],[Dt Venc:]]&gt;TODAY(),"Em Aberto",IF(Tabela2[[#This Row],[D/venc]]="-","Enviado",IF(Tabela2[[#This Row],[Dt Venc:]]=TODAY(),"Vence Hoje","Vencida")))</f>
        <v>Enviado</v>
      </c>
      <c r="F3844" s="3" t="str">
        <f ca="1">IF(G3844=1,"-",Tabela2[[#This Row],[Dt Venc:]]-TODAY())</f>
        <v>-</v>
      </c>
      <c r="G3844" s="3">
        <v>1</v>
      </c>
      <c r="H3844" s="3"/>
    </row>
    <row r="3845" spans="1:8" hidden="1">
      <c r="A3845" s="3">
        <v>371387</v>
      </c>
      <c r="B3845" s="7" t="s">
        <v>39</v>
      </c>
      <c r="C3845" s="41">
        <v>1690.68</v>
      </c>
      <c r="D3845" s="6">
        <v>45656</v>
      </c>
      <c r="E3845" s="3" t="str">
        <f ca="1">IF(Tabela2[[#This Row],[Dt Venc:]]&gt;TODAY(),"Em Aberto",IF(Tabela2[[#This Row],[D/venc]]="-","Enviado",IF(Tabela2[[#This Row],[Dt Venc:]]=TODAY(),"Vence Hoje","Vencida")))</f>
        <v>Enviado</v>
      </c>
      <c r="F3845" s="3" t="str">
        <f ca="1">IF(G3845=1,"-",Tabela2[[#This Row],[Dt Venc:]]-TODAY())</f>
        <v>-</v>
      </c>
      <c r="G3845" s="3">
        <v>1</v>
      </c>
      <c r="H3845" s="3"/>
    </row>
    <row r="3846" spans="1:8" hidden="1">
      <c r="A3846" s="3">
        <v>758815</v>
      </c>
      <c r="B3846" s="7" t="s">
        <v>127</v>
      </c>
      <c r="C3846" s="41">
        <v>513.83000000000004</v>
      </c>
      <c r="D3846" s="6">
        <v>45656</v>
      </c>
      <c r="E3846" s="3" t="str">
        <f ca="1">IF(Tabela2[[#This Row],[Dt Venc:]]&gt;TODAY(),"Em Aberto",IF(Tabela2[[#This Row],[D/venc]]="-","Enviado",IF(Tabela2[[#This Row],[Dt Venc:]]=TODAY(),"Vence Hoje","Vencida")))</f>
        <v>Enviado</v>
      </c>
      <c r="F3846" s="3" t="str">
        <f ca="1">IF(G3846=1,"-",Tabela2[[#This Row],[Dt Venc:]]-TODAY())</f>
        <v>-</v>
      </c>
      <c r="G3846" s="3">
        <v>1</v>
      </c>
      <c r="H3846" s="3"/>
    </row>
    <row r="3847" spans="1:8" hidden="1">
      <c r="A3847" s="3">
        <v>758816</v>
      </c>
      <c r="B3847" s="7" t="s">
        <v>127</v>
      </c>
      <c r="C3847" s="41">
        <v>513.83000000000004</v>
      </c>
      <c r="D3847" s="6">
        <v>45656</v>
      </c>
      <c r="E3847" s="3" t="str">
        <f ca="1">IF(Tabela2[[#This Row],[Dt Venc:]]&gt;TODAY(),"Em Aberto",IF(Tabela2[[#This Row],[D/venc]]="-","Enviado",IF(Tabela2[[#This Row],[Dt Venc:]]=TODAY(),"Vence Hoje","Vencida")))</f>
        <v>Enviado</v>
      </c>
      <c r="F3847" s="3" t="str">
        <f ca="1">IF(G3847=1,"-",Tabela2[[#This Row],[Dt Venc:]]-TODAY())</f>
        <v>-</v>
      </c>
      <c r="G3847" s="3">
        <v>1</v>
      </c>
      <c r="H3847" s="3"/>
    </row>
    <row r="3848" spans="1:8" hidden="1">
      <c r="A3848" s="3">
        <v>224173</v>
      </c>
      <c r="B3848" s="7" t="s">
        <v>127</v>
      </c>
      <c r="C3848" s="41">
        <v>2535.5700000000002</v>
      </c>
      <c r="D3848" s="6">
        <v>45656</v>
      </c>
      <c r="E3848" s="3" t="str">
        <f ca="1">IF(Tabela2[[#This Row],[Dt Venc:]]&gt;TODAY(),"Em Aberto",IF(Tabela2[[#This Row],[D/venc]]="-","Enviado",IF(Tabela2[[#This Row],[Dt Venc:]]=TODAY(),"Vence Hoje","Vencida")))</f>
        <v>Enviado</v>
      </c>
      <c r="F3848" s="3" t="str">
        <f ca="1">IF(G3848=1,"-",Tabela2[[#This Row],[Dt Venc:]]-TODAY())</f>
        <v>-</v>
      </c>
      <c r="G3848" s="3">
        <v>1</v>
      </c>
      <c r="H3848" s="3"/>
    </row>
    <row r="3849" spans="1:8" hidden="1">
      <c r="A3849" s="3">
        <v>224188</v>
      </c>
      <c r="B3849" s="7" t="s">
        <v>127</v>
      </c>
      <c r="C3849" s="41">
        <v>2201.34</v>
      </c>
      <c r="D3849" s="6">
        <v>45656</v>
      </c>
      <c r="E3849" s="3" t="str">
        <f ca="1">IF(Tabela2[[#This Row],[Dt Venc:]]&gt;TODAY(),"Em Aberto",IF(Tabela2[[#This Row],[D/venc]]="-","Enviado",IF(Tabela2[[#This Row],[Dt Venc:]]=TODAY(),"Vence Hoje","Vencida")))</f>
        <v>Enviado</v>
      </c>
      <c r="F3849" s="3" t="str">
        <f ca="1">IF(G3849=1,"-",Tabela2[[#This Row],[Dt Venc:]]-TODAY())</f>
        <v>-</v>
      </c>
      <c r="G3849" s="3">
        <v>1</v>
      </c>
      <c r="H3849" s="3"/>
    </row>
    <row r="3850" spans="1:8" hidden="1">
      <c r="A3850" s="3">
        <v>611038</v>
      </c>
      <c r="B3850" s="7" t="s">
        <v>66</v>
      </c>
      <c r="C3850" s="42">
        <v>678.27</v>
      </c>
      <c r="D3850" s="6">
        <v>45656</v>
      </c>
      <c r="E3850" s="3" t="str">
        <f ca="1">IF(Tabela2[[#This Row],[Dt Venc:]]&gt;TODAY(),"Em Aberto",IF(Tabela2[[#This Row],[D/venc]]="-","Enviado",IF(Tabela2[[#This Row],[Dt Venc:]]=TODAY(),"Vence Hoje","Vencida")))</f>
        <v>Enviado</v>
      </c>
      <c r="F3850" s="3" t="str">
        <f ca="1">IF(G3850=1,"-",Tabela2[[#This Row],[Dt Venc:]]-TODAY())</f>
        <v>-</v>
      </c>
      <c r="G3850" s="3">
        <v>1</v>
      </c>
      <c r="H3850" s="3"/>
    </row>
    <row r="3851" spans="1:8" hidden="1">
      <c r="A3851" s="3">
        <v>615163</v>
      </c>
      <c r="B3851" s="7" t="s">
        <v>66</v>
      </c>
      <c r="C3851" s="41">
        <v>6654.92</v>
      </c>
      <c r="D3851" s="6">
        <v>45656</v>
      </c>
      <c r="E3851" s="3" t="str">
        <f ca="1">IF(Tabela2[[#This Row],[Dt Venc:]]&gt;TODAY(),"Em Aberto",IF(Tabela2[[#This Row],[D/venc]]="-","Enviado",IF(Tabela2[[#This Row],[Dt Venc:]]=TODAY(),"Vence Hoje","Vencida")))</f>
        <v>Enviado</v>
      </c>
      <c r="F3851" s="3" t="str">
        <f ca="1">IF(G3851=1,"-",Tabela2[[#This Row],[Dt Venc:]]-TODAY())</f>
        <v>-</v>
      </c>
      <c r="G3851" s="3">
        <v>1</v>
      </c>
      <c r="H3851" s="3"/>
    </row>
    <row r="3852" spans="1:8" hidden="1">
      <c r="A3852" s="3">
        <v>230222</v>
      </c>
      <c r="B3852" s="7" t="s">
        <v>40</v>
      </c>
      <c r="C3852" s="42">
        <v>900</v>
      </c>
      <c r="D3852" s="6">
        <v>45656</v>
      </c>
      <c r="E3852" s="3" t="str">
        <f ca="1">IF(Tabela2[[#This Row],[Dt Venc:]]&gt;TODAY(),"Em Aberto",IF(Tabela2[[#This Row],[D/venc]]="-","Enviado",IF(Tabela2[[#This Row],[Dt Venc:]]=TODAY(),"Vence Hoje","Vencida")))</f>
        <v>Enviado</v>
      </c>
      <c r="F3852" s="3" t="str">
        <f ca="1">IF(G3852=1,"-",Tabela2[[#This Row],[Dt Venc:]]-TODAY())</f>
        <v>-</v>
      </c>
      <c r="G3852" s="3">
        <v>1</v>
      </c>
      <c r="H3852" s="3"/>
    </row>
    <row r="3853" spans="1:8" hidden="1">
      <c r="A3853" s="3">
        <v>103</v>
      </c>
      <c r="B3853" s="7" t="s">
        <v>95</v>
      </c>
      <c r="C3853" s="41">
        <v>3775</v>
      </c>
      <c r="D3853" s="6">
        <v>45656</v>
      </c>
      <c r="E3853" s="3" t="str">
        <f ca="1">IF(Tabela2[[#This Row],[Dt Venc:]]&gt;TODAY(),"Em Aberto",IF(Tabela2[[#This Row],[D/venc]]="-","Enviado",IF(Tabela2[[#This Row],[Dt Venc:]]=TODAY(),"Vence Hoje","Vencida")))</f>
        <v>Enviado</v>
      </c>
      <c r="F3853" s="3" t="str">
        <f ca="1">IF(G3853=1,"-",Tabela2[[#This Row],[Dt Venc:]]-TODAY())</f>
        <v>-</v>
      </c>
      <c r="G3853" s="3">
        <v>1</v>
      </c>
      <c r="H3853" s="3"/>
    </row>
    <row r="3854" spans="1:8" hidden="1">
      <c r="A3854" s="3">
        <v>50</v>
      </c>
      <c r="B3854" s="7" t="s">
        <v>132</v>
      </c>
      <c r="C3854" s="41">
        <v>3266.67</v>
      </c>
      <c r="D3854" s="6">
        <v>45656</v>
      </c>
      <c r="E3854" s="3" t="str">
        <f ca="1">IF(Tabela2[[#This Row],[Dt Venc:]]&gt;TODAY(),"Em Aberto",IF(Tabela2[[#This Row],[D/venc]]="-","Enviado",IF(Tabela2[[#This Row],[Dt Venc:]]=TODAY(),"Vence Hoje","Vencida")))</f>
        <v>Enviado</v>
      </c>
      <c r="F3854" s="3" t="str">
        <f ca="1">IF(G3854=1,"-",Tabela2[[#This Row],[Dt Venc:]]-TODAY())</f>
        <v>-</v>
      </c>
      <c r="G3854" s="3">
        <v>1</v>
      </c>
      <c r="H3854" s="3"/>
    </row>
    <row r="3855" spans="1:8" hidden="1">
      <c r="A3855" s="3">
        <v>30152</v>
      </c>
      <c r="B3855" s="7" t="s">
        <v>97</v>
      </c>
      <c r="C3855" s="42">
        <v>3360</v>
      </c>
      <c r="D3855" s="6">
        <v>45656</v>
      </c>
      <c r="E3855" s="3" t="str">
        <f ca="1">IF(Tabela2[[#This Row],[Dt Venc:]]&gt;TODAY(),"Em Aberto",IF(Tabela2[[#This Row],[D/venc]]="-","Enviado",IF(Tabela2[[#This Row],[Dt Venc:]]=TODAY(),"Vence Hoje","Vencida")))</f>
        <v>Enviado</v>
      </c>
      <c r="F3855" s="3" t="str">
        <f ca="1">IF(G3855=1,"-",Tabela2[[#This Row],[Dt Venc:]]-TODAY())</f>
        <v>-</v>
      </c>
      <c r="G3855" s="3">
        <v>1</v>
      </c>
      <c r="H3855" s="3"/>
    </row>
    <row r="3856" spans="1:8" hidden="1">
      <c r="A3856" s="3">
        <v>71312</v>
      </c>
      <c r="B3856" s="7" t="s">
        <v>76</v>
      </c>
      <c r="C3856" s="42">
        <v>1000.91</v>
      </c>
      <c r="D3856" s="6">
        <v>45656</v>
      </c>
      <c r="E3856" s="3" t="str">
        <f ca="1">IF(Tabela2[[#This Row],[Dt Venc:]]&gt;TODAY(),"Em Aberto",IF(Tabela2[[#This Row],[D/venc]]="-","Enviado",IF(Tabela2[[#This Row],[Dt Venc:]]=TODAY(),"Vence Hoje","Vencida")))</f>
        <v>Enviado</v>
      </c>
      <c r="F3856" s="3" t="str">
        <f ca="1">IF(G3856=1,"-",Tabela2[[#This Row],[Dt Venc:]]-TODAY())</f>
        <v>-</v>
      </c>
      <c r="G3856" s="3">
        <v>1</v>
      </c>
      <c r="H3856" s="3"/>
    </row>
    <row r="3857" spans="1:8" hidden="1">
      <c r="A3857" s="3">
        <v>72687</v>
      </c>
      <c r="B3857" s="7" t="s">
        <v>76</v>
      </c>
      <c r="C3857" s="41">
        <v>401.22</v>
      </c>
      <c r="D3857" s="6">
        <v>45656</v>
      </c>
      <c r="E3857" s="3" t="str">
        <f ca="1">IF(Tabela2[[#This Row],[Dt Venc:]]&gt;TODAY(),"Em Aberto",IF(Tabela2[[#This Row],[D/venc]]="-","Enviado",IF(Tabela2[[#This Row],[Dt Venc:]]=TODAY(),"Vence Hoje","Vencida")))</f>
        <v>Enviado</v>
      </c>
      <c r="F3857" s="3" t="str">
        <f ca="1">IF(G3857=1,"-",Tabela2[[#This Row],[Dt Venc:]]-TODAY())</f>
        <v>-</v>
      </c>
      <c r="G3857" s="3">
        <v>1</v>
      </c>
      <c r="H3857" s="3"/>
    </row>
    <row r="3858" spans="1:8" hidden="1">
      <c r="A3858" s="3">
        <v>72716</v>
      </c>
      <c r="B3858" s="7" t="s">
        <v>76</v>
      </c>
      <c r="C3858" s="41">
        <v>898.83</v>
      </c>
      <c r="D3858" s="6">
        <v>45656</v>
      </c>
      <c r="E3858" s="3" t="str">
        <f ca="1">IF(Tabela2[[#This Row],[Dt Venc:]]&gt;TODAY(),"Em Aberto",IF(Tabela2[[#This Row],[D/venc]]="-","Enviado",IF(Tabela2[[#This Row],[Dt Venc:]]=TODAY(),"Vence Hoje","Vencida")))</f>
        <v>Enviado</v>
      </c>
      <c r="F3858" s="3" t="str">
        <f ca="1">IF(G3858=1,"-",Tabela2[[#This Row],[Dt Venc:]]-TODAY())</f>
        <v>-</v>
      </c>
      <c r="G3858" s="3">
        <v>1</v>
      </c>
      <c r="H3858" s="3"/>
    </row>
    <row r="3859" spans="1:8" hidden="1">
      <c r="A3859" s="3">
        <v>182645</v>
      </c>
      <c r="B3859" s="7" t="s">
        <v>84</v>
      </c>
      <c r="C3859" s="41">
        <v>832.74</v>
      </c>
      <c r="D3859" s="6">
        <v>45656</v>
      </c>
      <c r="E3859" s="3" t="str">
        <f ca="1">IF(Tabela2[[#This Row],[Dt Venc:]]&gt;TODAY(),"Em Aberto",IF(Tabela2[[#This Row],[D/venc]]="-","Enviado",IF(Tabela2[[#This Row],[Dt Venc:]]=TODAY(),"Vence Hoje","Vencida")))</f>
        <v>Enviado</v>
      </c>
      <c r="F3859" s="3" t="str">
        <f ca="1">IF(G3859=1,"-",Tabela2[[#This Row],[Dt Venc:]]-TODAY())</f>
        <v>-</v>
      </c>
      <c r="G3859" s="3">
        <v>1</v>
      </c>
      <c r="H3859" s="3"/>
    </row>
    <row r="3860" spans="1:8" hidden="1">
      <c r="A3860" s="3">
        <v>248756</v>
      </c>
      <c r="B3860" s="7" t="s">
        <v>43</v>
      </c>
      <c r="C3860" s="41">
        <v>2091.5300000000002</v>
      </c>
      <c r="D3860" s="6">
        <v>45656</v>
      </c>
      <c r="E3860" s="3" t="str">
        <f ca="1">IF(Tabela2[[#This Row],[Dt Venc:]]&gt;TODAY(),"Em Aberto",IF(Tabela2[[#This Row],[D/venc]]="-","Enviado",IF(Tabela2[[#This Row],[Dt Venc:]]=TODAY(),"Vence Hoje","Vencida")))</f>
        <v>Enviado</v>
      </c>
      <c r="F3860" s="3" t="str">
        <f ca="1">IF(G3860=1,"-",Tabela2[[#This Row],[Dt Venc:]]-TODAY())</f>
        <v>-</v>
      </c>
      <c r="G3860" s="3">
        <v>1</v>
      </c>
      <c r="H3860" s="3"/>
    </row>
    <row r="3861" spans="1:8" hidden="1">
      <c r="A3861" s="3">
        <v>763926</v>
      </c>
      <c r="B3861" s="7" t="s">
        <v>79</v>
      </c>
      <c r="C3861" s="42">
        <v>1634.13</v>
      </c>
      <c r="D3861" s="6">
        <v>45656</v>
      </c>
      <c r="E3861" s="3" t="str">
        <f ca="1">IF(Tabela2[[#This Row],[Dt Venc:]]&gt;TODAY(),"Em Aberto",IF(Tabela2[[#This Row],[D/venc]]="-","Enviado",IF(Tabela2[[#This Row],[Dt Venc:]]=TODAY(),"Vence Hoje","Vencida")))</f>
        <v>Enviado</v>
      </c>
      <c r="F3861" s="3" t="str">
        <f ca="1">IF(G3861=1,"-",Tabela2[[#This Row],[Dt Venc:]]-TODAY())</f>
        <v>-</v>
      </c>
      <c r="G3861" s="3">
        <v>1</v>
      </c>
      <c r="H3861" s="3"/>
    </row>
    <row r="3862" spans="1:8" hidden="1">
      <c r="A3862" s="3">
        <v>10</v>
      </c>
      <c r="B3862" s="7" t="s">
        <v>173</v>
      </c>
      <c r="C3862" s="42">
        <v>396.66</v>
      </c>
      <c r="D3862" s="6">
        <v>45656</v>
      </c>
      <c r="E3862" s="3" t="str">
        <f ca="1">IF(Tabela2[[#This Row],[Dt Venc:]]&gt;TODAY(),"Em Aberto",IF(Tabela2[[#This Row],[D/venc]]="-","Enviado",IF(Tabela2[[#This Row],[Dt Venc:]]=TODAY(),"Vence Hoje","Vencida")))</f>
        <v>Enviado</v>
      </c>
      <c r="F3862" s="3" t="str">
        <f ca="1">IF(G3862=1,"-",Tabela2[[#This Row],[Dt Venc:]]-TODAY())</f>
        <v>-</v>
      </c>
      <c r="G3862" s="3">
        <v>1</v>
      </c>
      <c r="H3862" s="3"/>
    </row>
    <row r="3863" spans="1:8" hidden="1">
      <c r="A3863" s="3">
        <v>27</v>
      </c>
      <c r="B3863" s="7" t="s">
        <v>173</v>
      </c>
      <c r="C3863" s="41">
        <v>1676.6</v>
      </c>
      <c r="D3863" s="6">
        <v>45656</v>
      </c>
      <c r="E3863" s="3" t="str">
        <f ca="1">IF(Tabela2[[#This Row],[Dt Venc:]]&gt;TODAY(),"Em Aberto",IF(Tabela2[[#This Row],[D/venc]]="-","Enviado",IF(Tabela2[[#This Row],[Dt Venc:]]=TODAY(),"Vence Hoje","Vencida")))</f>
        <v>Enviado</v>
      </c>
      <c r="F3863" s="3" t="str">
        <f ca="1">IF(G3863=1,"-",Tabela2[[#This Row],[Dt Venc:]]-TODAY())</f>
        <v>-</v>
      </c>
      <c r="G3863" s="3">
        <v>1</v>
      </c>
      <c r="H3863" s="3"/>
    </row>
    <row r="3864" spans="1:8" hidden="1">
      <c r="A3864" s="3">
        <v>9839</v>
      </c>
      <c r="B3864" s="7" t="s">
        <v>88</v>
      </c>
      <c r="C3864" s="41">
        <v>649.1</v>
      </c>
      <c r="D3864" s="6">
        <v>45656</v>
      </c>
      <c r="E3864" s="3" t="str">
        <f ca="1">IF(Tabela2[[#This Row],[Dt Venc:]]&gt;TODAY(),"Em Aberto",IF(Tabela2[[#This Row],[D/venc]]="-","Enviado",IF(Tabela2[[#This Row],[Dt Venc:]]=TODAY(),"Vence Hoje","Vencida")))</f>
        <v>Enviado</v>
      </c>
      <c r="F3864" s="3" t="str">
        <f ca="1">IF(G3864=1,"-",Tabela2[[#This Row],[Dt Venc:]]-TODAY())</f>
        <v>-</v>
      </c>
      <c r="G3864" s="3">
        <v>1</v>
      </c>
      <c r="H3864" s="3"/>
    </row>
    <row r="3865" spans="1:8" hidden="1">
      <c r="A3865" s="3">
        <v>153230</v>
      </c>
      <c r="B3865" s="7" t="s">
        <v>77</v>
      </c>
      <c r="C3865" s="42">
        <v>1233.33</v>
      </c>
      <c r="D3865" s="6">
        <v>45656</v>
      </c>
      <c r="E3865" s="3" t="str">
        <f ca="1">IF(Tabela2[[#This Row],[Dt Venc:]]&gt;TODAY(),"Em Aberto",IF(Tabela2[[#This Row],[D/venc]]="-","Enviado",IF(Tabela2[[#This Row],[Dt Venc:]]=TODAY(),"Vence Hoje","Vencida")))</f>
        <v>Enviado</v>
      </c>
      <c r="F3865" s="3" t="str">
        <f ca="1">IF(G3865=1,"-",Tabela2[[#This Row],[Dt Venc:]]-TODAY())</f>
        <v>-</v>
      </c>
      <c r="G3865" s="3">
        <v>1</v>
      </c>
      <c r="H3865" s="3"/>
    </row>
    <row r="3866" spans="1:8" hidden="1">
      <c r="A3866" s="3">
        <v>326432</v>
      </c>
      <c r="B3866" s="7" t="s">
        <v>77</v>
      </c>
      <c r="C3866" s="42">
        <v>405</v>
      </c>
      <c r="D3866" s="6">
        <v>45656</v>
      </c>
      <c r="E3866" s="3" t="str">
        <f ca="1">IF(Tabela2[[#This Row],[Dt Venc:]]&gt;TODAY(),"Em Aberto",IF(Tabela2[[#This Row],[D/venc]]="-","Enviado",IF(Tabela2[[#This Row],[Dt Venc:]]=TODAY(),"Vence Hoje","Vencida")))</f>
        <v>Enviado</v>
      </c>
      <c r="F3866" s="3" t="str">
        <f ca="1">IF(G3866=1,"-",Tabela2[[#This Row],[Dt Venc:]]-TODAY())</f>
        <v>-</v>
      </c>
      <c r="G3866" s="3">
        <v>1</v>
      </c>
      <c r="H3866" s="3"/>
    </row>
    <row r="3867" spans="1:8" hidden="1">
      <c r="A3867" s="3">
        <v>326422</v>
      </c>
      <c r="B3867" s="7" t="s">
        <v>77</v>
      </c>
      <c r="C3867" s="42">
        <v>563.33000000000004</v>
      </c>
      <c r="D3867" s="6">
        <v>45656</v>
      </c>
      <c r="E3867" s="3" t="str">
        <f ca="1">IF(Tabela2[[#This Row],[Dt Venc:]]&gt;TODAY(),"Em Aberto",IF(Tabela2[[#This Row],[D/venc]]="-","Enviado",IF(Tabela2[[#This Row],[Dt Venc:]]=TODAY(),"Vence Hoje","Vencida")))</f>
        <v>Enviado</v>
      </c>
      <c r="F3867" s="3" t="str">
        <f ca="1">IF(G3867=1,"-",Tabela2[[#This Row],[Dt Venc:]]-TODAY())</f>
        <v>-</v>
      </c>
      <c r="G3867" s="3">
        <v>1</v>
      </c>
      <c r="H3867" s="3"/>
    </row>
    <row r="3868" spans="1:8" hidden="1">
      <c r="A3868" s="3">
        <v>328058</v>
      </c>
      <c r="B3868" s="7" t="s">
        <v>77</v>
      </c>
      <c r="C3868" s="41">
        <v>353.33</v>
      </c>
      <c r="D3868" s="6">
        <v>45656</v>
      </c>
      <c r="E3868" s="3" t="str">
        <f ca="1">IF(Tabela2[[#This Row],[Dt Venc:]]&gt;TODAY(),"Em Aberto",IF(Tabela2[[#This Row],[D/venc]]="-","Enviado",IF(Tabela2[[#This Row],[Dt Venc:]]=TODAY(),"Vence Hoje","Vencida")))</f>
        <v>Enviado</v>
      </c>
      <c r="F3868" s="3" t="str">
        <f ca="1">IF(G3868=1,"-",Tabela2[[#This Row],[Dt Venc:]]-TODAY())</f>
        <v>-</v>
      </c>
      <c r="G3868" s="3">
        <v>1</v>
      </c>
      <c r="H3868" s="3"/>
    </row>
    <row r="3869" spans="1:8" hidden="1">
      <c r="A3869" s="3">
        <v>32629</v>
      </c>
      <c r="B3869" s="7" t="s">
        <v>70</v>
      </c>
      <c r="C3869" s="41">
        <v>363.68</v>
      </c>
      <c r="D3869" s="6">
        <v>45656</v>
      </c>
      <c r="E3869" s="3" t="str">
        <f ca="1">IF(Tabela2[[#This Row],[Dt Venc:]]&gt;TODAY(),"Em Aberto",IF(Tabela2[[#This Row],[D/venc]]="-","Enviado",IF(Tabela2[[#This Row],[Dt Venc:]]=TODAY(),"Vence Hoje","Vencida")))</f>
        <v>Enviado</v>
      </c>
      <c r="F3869" s="3" t="str">
        <f ca="1">IF(G3869=1,"-",Tabela2[[#This Row],[Dt Venc:]]-TODAY())</f>
        <v>-</v>
      </c>
      <c r="G3869" s="3">
        <v>1</v>
      </c>
      <c r="H3869" s="3"/>
    </row>
    <row r="3870" spans="1:8" hidden="1">
      <c r="A3870" s="3">
        <v>5954</v>
      </c>
      <c r="B3870" s="7" t="s">
        <v>47</v>
      </c>
      <c r="C3870" s="42">
        <v>878</v>
      </c>
      <c r="D3870" s="6">
        <v>45656</v>
      </c>
      <c r="E3870" s="3" t="str">
        <f ca="1">IF(Tabela2[[#This Row],[Dt Venc:]]&gt;TODAY(),"Em Aberto",IF(Tabela2[[#This Row],[D/venc]]="-","Enviado",IF(Tabela2[[#This Row],[Dt Venc:]]=TODAY(),"Vence Hoje","Vencida")))</f>
        <v>Enviado</v>
      </c>
      <c r="F3870" s="3" t="str">
        <f ca="1">IF(G3870=1,"-",Tabela2[[#This Row],[Dt Venc:]]-TODAY())</f>
        <v>-</v>
      </c>
      <c r="G3870" s="3">
        <v>1</v>
      </c>
      <c r="H3870" s="3"/>
    </row>
    <row r="3871" spans="1:8" hidden="1">
      <c r="A3871" s="3">
        <v>6093</v>
      </c>
      <c r="B3871" s="7" t="s">
        <v>47</v>
      </c>
      <c r="C3871" s="41">
        <v>1268.55</v>
      </c>
      <c r="D3871" s="6">
        <v>45656</v>
      </c>
      <c r="E3871" s="3" t="str">
        <f ca="1">IF(Tabela2[[#This Row],[Dt Venc:]]&gt;TODAY(),"Em Aberto",IF(Tabela2[[#This Row],[D/venc]]="-","Enviado",IF(Tabela2[[#This Row],[Dt Venc:]]=TODAY(),"Vence Hoje","Vencida")))</f>
        <v>Enviado</v>
      </c>
      <c r="F3871" s="3" t="str">
        <f ca="1">IF(G3871=1,"-",Tabela2[[#This Row],[Dt Venc:]]-TODAY())</f>
        <v>-</v>
      </c>
      <c r="G3871" s="3">
        <v>1</v>
      </c>
      <c r="H3871" s="3"/>
    </row>
    <row r="3872" spans="1:8" hidden="1">
      <c r="A3872" s="3">
        <v>961715</v>
      </c>
      <c r="B3872" s="7" t="s">
        <v>488</v>
      </c>
      <c r="C3872" s="41">
        <v>3119.82</v>
      </c>
      <c r="D3872" s="6">
        <v>45656</v>
      </c>
      <c r="E3872" s="3" t="str">
        <f ca="1">IF(Tabela2[[#This Row],[Dt Venc:]]&gt;TODAY(),"Em Aberto",IF(Tabela2[[#This Row],[D/venc]]="-","Enviado",IF(Tabela2[[#This Row],[Dt Venc:]]=TODAY(),"Vence Hoje","Vencida")))</f>
        <v>Enviado</v>
      </c>
      <c r="F3872" s="3" t="str">
        <f ca="1">IF(G3872=1,"-",Tabela2[[#This Row],[Dt Venc:]]-TODAY())</f>
        <v>-</v>
      </c>
      <c r="G3872" s="3">
        <v>1</v>
      </c>
      <c r="H3872" s="3"/>
    </row>
    <row r="3873" spans="1:8" hidden="1">
      <c r="A3873" s="3">
        <v>3304649</v>
      </c>
      <c r="B3873" s="7" t="s">
        <v>71</v>
      </c>
      <c r="C3873" s="41">
        <v>1113.26</v>
      </c>
      <c r="D3873" s="6">
        <v>45656</v>
      </c>
      <c r="E3873" s="3" t="str">
        <f ca="1">IF(Tabela2[[#This Row],[Dt Venc:]]&gt;TODAY(),"Em Aberto",IF(Tabela2[[#This Row],[D/venc]]="-","Enviado",IF(Tabela2[[#This Row],[Dt Venc:]]=TODAY(),"Vence Hoje","Vencida")))</f>
        <v>Enviado</v>
      </c>
      <c r="F3873" s="3" t="str">
        <f ca="1">IF(G3873=1,"-",Tabela2[[#This Row],[Dt Venc:]]-TODAY())</f>
        <v>-</v>
      </c>
      <c r="G3873" s="3">
        <v>1</v>
      </c>
      <c r="H3873" s="3"/>
    </row>
    <row r="3874" spans="1:8" hidden="1">
      <c r="A3874" s="3">
        <v>173253</v>
      </c>
      <c r="B3874" s="7" t="s">
        <v>211</v>
      </c>
      <c r="C3874" s="42">
        <v>960</v>
      </c>
      <c r="D3874" s="6">
        <v>45656</v>
      </c>
      <c r="E3874" s="3" t="str">
        <f ca="1">IF(Tabela2[[#This Row],[Dt Venc:]]&gt;TODAY(),"Em Aberto",IF(Tabela2[[#This Row],[D/venc]]="-","Enviado",IF(Tabela2[[#This Row],[Dt Venc:]]=TODAY(),"Vence Hoje","Vencida")))</f>
        <v>Enviado</v>
      </c>
      <c r="F3874" s="3" t="str">
        <f ca="1">IF(G3874=1,"-",Tabela2[[#This Row],[Dt Venc:]]-TODAY())</f>
        <v>-</v>
      </c>
      <c r="G3874" s="3">
        <v>1</v>
      </c>
      <c r="H3874" s="3"/>
    </row>
    <row r="3875" spans="1:8" hidden="1">
      <c r="A3875" s="3">
        <v>258006</v>
      </c>
      <c r="B3875" s="7" t="s">
        <v>49</v>
      </c>
      <c r="C3875" s="41">
        <v>1716.66</v>
      </c>
      <c r="D3875" s="6">
        <v>45656</v>
      </c>
      <c r="E3875" s="3" t="str">
        <f ca="1">IF(Tabela2[[#This Row],[Dt Venc:]]&gt;TODAY(),"Em Aberto",IF(Tabela2[[#This Row],[D/venc]]="-","Enviado",IF(Tabela2[[#This Row],[Dt Venc:]]=TODAY(),"Vence Hoje","Vencida")))</f>
        <v>Enviado</v>
      </c>
      <c r="F3875" s="3" t="str">
        <f ca="1">IF(G3875=1,"-",Tabela2[[#This Row],[Dt Venc:]]-TODAY())</f>
        <v>-</v>
      </c>
      <c r="G3875" s="3">
        <v>1</v>
      </c>
      <c r="H3875" s="3"/>
    </row>
    <row r="3876" spans="1:8" hidden="1">
      <c r="A3876" s="3">
        <v>103</v>
      </c>
      <c r="B3876" s="7" t="s">
        <v>95</v>
      </c>
      <c r="C3876" s="41">
        <v>3775</v>
      </c>
      <c r="D3876" s="6">
        <v>45656</v>
      </c>
      <c r="E3876" s="3" t="str">
        <f ca="1">IF(Tabela2[[#This Row],[Dt Venc:]]&gt;TODAY(),"Em Aberto",IF(Tabela2[[#This Row],[D/venc]]="-","Enviado",IF(Tabela2[[#This Row],[Dt Venc:]]=TODAY(),"Vence Hoje","Vencida")))</f>
        <v>Enviado</v>
      </c>
      <c r="F3876" s="3" t="str">
        <f ca="1">IF(G3876=1,"-",Tabela2[[#This Row],[Dt Venc:]]-TODAY())</f>
        <v>-</v>
      </c>
      <c r="G3876" s="3">
        <v>1</v>
      </c>
      <c r="H3876" s="3"/>
    </row>
    <row r="3877" spans="1:8" hidden="1">
      <c r="A3877" s="3">
        <v>34513</v>
      </c>
      <c r="B3877" s="7" t="s">
        <v>70</v>
      </c>
      <c r="C3877" s="41">
        <v>611.96</v>
      </c>
      <c r="D3877" s="6">
        <v>45656</v>
      </c>
      <c r="E3877" s="3" t="str">
        <f ca="1">IF(Tabela2[[#This Row],[Dt Venc:]]&gt;TODAY(),"Em Aberto",IF(Tabela2[[#This Row],[D/venc]]="-","Enviado",IF(Tabela2[[#This Row],[Dt Venc:]]=TODAY(),"Vence Hoje","Vencida")))</f>
        <v>Enviado</v>
      </c>
      <c r="F3877" s="3" t="str">
        <f ca="1">IF(G3877=1,"-",Tabela2[[#This Row],[Dt Venc:]]-TODAY())</f>
        <v>-</v>
      </c>
      <c r="G3877" s="3">
        <v>1</v>
      </c>
      <c r="H3877" s="3"/>
    </row>
    <row r="3878" spans="1:8" hidden="1">
      <c r="A3878" s="3">
        <v>1235</v>
      </c>
      <c r="B3878" s="7" t="s">
        <v>582</v>
      </c>
      <c r="C3878" s="41">
        <v>14588</v>
      </c>
      <c r="D3878" s="6">
        <v>45656</v>
      </c>
      <c r="E3878" s="3" t="str">
        <f ca="1">IF(Tabela2[[#This Row],[Dt Venc:]]&gt;TODAY(),"Em Aberto",IF(Tabela2[[#This Row],[D/venc]]="-","Enviado",IF(Tabela2[[#This Row],[Dt Venc:]]=TODAY(),"Vence Hoje","Vencida")))</f>
        <v>Enviado</v>
      </c>
      <c r="F3878" s="3" t="str">
        <f ca="1">IF(G3878=1,"-",Tabela2[[#This Row],[Dt Venc:]]-TODAY())</f>
        <v>-</v>
      </c>
      <c r="G3878" s="3">
        <v>1</v>
      </c>
      <c r="H3878" s="3"/>
    </row>
    <row r="3879" spans="1:8" hidden="1">
      <c r="A3879" s="3">
        <v>482095</v>
      </c>
      <c r="B3879" s="7" t="s">
        <v>108</v>
      </c>
      <c r="C3879" s="41">
        <v>338.59</v>
      </c>
      <c r="D3879" s="6">
        <v>45656</v>
      </c>
      <c r="E3879" s="3" t="str">
        <f ca="1">IF(Tabela2[[#This Row],[Dt Venc:]]&gt;TODAY(),"Em Aberto",IF(Tabela2[[#This Row],[D/venc]]="-","Enviado",IF(Tabela2[[#This Row],[Dt Venc:]]=TODAY(),"Vence Hoje","Vencida")))</f>
        <v>Enviado</v>
      </c>
      <c r="F3879" s="3" t="str">
        <f ca="1">IF(G3879=1,"-",Tabela2[[#This Row],[Dt Venc:]]-TODAY())</f>
        <v>-</v>
      </c>
      <c r="G3879" s="3">
        <v>1</v>
      </c>
      <c r="H3879" s="3"/>
    </row>
    <row r="3880" spans="1:8" hidden="1">
      <c r="A3880" s="3">
        <v>1137</v>
      </c>
      <c r="B3880" s="7" t="s">
        <v>583</v>
      </c>
      <c r="C3880" s="41">
        <v>12950</v>
      </c>
      <c r="D3880" s="6">
        <v>45656</v>
      </c>
      <c r="E3880" s="3" t="str">
        <f ca="1">IF(Tabela2[[#This Row],[Dt Venc:]]&gt;TODAY(),"Em Aberto",IF(Tabela2[[#This Row],[D/venc]]="-","Enviado",IF(Tabela2[[#This Row],[Dt Venc:]]=TODAY(),"Vence Hoje","Vencida")))</f>
        <v>Enviado</v>
      </c>
      <c r="F3880" s="3" t="str">
        <f ca="1">IF(G3880=1,"-",Tabela2[[#This Row],[Dt Venc:]]-TODAY())</f>
        <v>-</v>
      </c>
      <c r="G3880" s="3">
        <v>1</v>
      </c>
      <c r="H3880" s="3"/>
    </row>
    <row r="3881" spans="1:8" hidden="1">
      <c r="A3881" s="3">
        <v>373892</v>
      </c>
      <c r="B3881" s="7" t="s">
        <v>39</v>
      </c>
      <c r="C3881" s="41">
        <v>411.65</v>
      </c>
      <c r="D3881" s="6">
        <v>45656</v>
      </c>
      <c r="E3881" s="3" t="str">
        <f ca="1">IF(Tabela2[[#This Row],[Dt Venc:]]&gt;TODAY(),"Em Aberto",IF(Tabela2[[#This Row],[D/venc]]="-","Enviado",IF(Tabela2[[#This Row],[Dt Venc:]]=TODAY(),"Vence Hoje","Vencida")))</f>
        <v>Enviado</v>
      </c>
      <c r="F3881" s="3" t="str">
        <f ca="1">IF(G3881=1,"-",Tabela2[[#This Row],[Dt Venc:]]-TODAY())</f>
        <v>-</v>
      </c>
      <c r="G3881" s="3">
        <v>1</v>
      </c>
      <c r="H3881" s="3"/>
    </row>
    <row r="3882" spans="1:8" hidden="1">
      <c r="A3882" s="3">
        <v>8268</v>
      </c>
      <c r="B3882" s="7" t="s">
        <v>242</v>
      </c>
      <c r="C3882" s="41">
        <v>144</v>
      </c>
      <c r="D3882" s="6">
        <v>45656</v>
      </c>
      <c r="E3882" s="3" t="str">
        <f ca="1">IF(Tabela2[[#This Row],[Dt Venc:]]&gt;TODAY(),"Em Aberto",IF(Tabela2[[#This Row],[D/venc]]="-","Enviado",IF(Tabela2[[#This Row],[Dt Venc:]]=TODAY(),"Vence Hoje","Vencida")))</f>
        <v>Enviado</v>
      </c>
      <c r="F3882" s="3" t="str">
        <f ca="1">IF(G3882=1,"-",Tabela2[[#This Row],[Dt Venc:]]-TODAY())</f>
        <v>-</v>
      </c>
      <c r="G3882" s="3">
        <v>1</v>
      </c>
      <c r="H3882" s="3"/>
    </row>
    <row r="3883" spans="1:8" hidden="1">
      <c r="A3883" s="3">
        <v>73668</v>
      </c>
      <c r="B3883" s="7" t="s">
        <v>76</v>
      </c>
      <c r="C3883" s="41">
        <v>790.41</v>
      </c>
      <c r="D3883" s="6">
        <v>45656</v>
      </c>
      <c r="E3883" s="3" t="str">
        <f ca="1">IF(Tabela2[[#This Row],[Dt Venc:]]&gt;TODAY(),"Em Aberto",IF(Tabela2[[#This Row],[D/venc]]="-","Enviado",IF(Tabela2[[#This Row],[Dt Venc:]]=TODAY(),"Vence Hoje","Vencida")))</f>
        <v>Enviado</v>
      </c>
      <c r="F3883" s="3" t="str">
        <f ca="1">IF(G3883=1,"-",Tabela2[[#This Row],[Dt Venc:]]-TODAY())</f>
        <v>-</v>
      </c>
      <c r="G3883" s="3">
        <v>1</v>
      </c>
      <c r="H3883" s="3"/>
    </row>
    <row r="3884" spans="1:8" hidden="1">
      <c r="A3884" s="3">
        <v>12341</v>
      </c>
      <c r="B3884" s="7" t="s">
        <v>72</v>
      </c>
      <c r="C3884" s="41">
        <v>790</v>
      </c>
      <c r="D3884" s="6">
        <v>45656</v>
      </c>
      <c r="E3884" s="3" t="str">
        <f ca="1">IF(Tabela2[[#This Row],[Dt Venc:]]&gt;TODAY(),"Em Aberto",IF(Tabela2[[#This Row],[D/venc]]="-","Enviado",IF(Tabela2[[#This Row],[Dt Venc:]]=TODAY(),"Vence Hoje","Vencida")))</f>
        <v>Enviado</v>
      </c>
      <c r="F3884" s="3" t="str">
        <f ca="1">IF(G3884=1,"-",Tabela2[[#This Row],[Dt Venc:]]-TODAY())</f>
        <v>-</v>
      </c>
      <c r="G3884" s="3">
        <v>1</v>
      </c>
      <c r="H3884" s="3"/>
    </row>
    <row r="3885" spans="1:8" hidden="1">
      <c r="A3885" s="3">
        <v>234930</v>
      </c>
      <c r="B3885" s="7" t="s">
        <v>40</v>
      </c>
      <c r="C3885" s="41">
        <v>900</v>
      </c>
      <c r="D3885" s="6">
        <v>45656</v>
      </c>
      <c r="E3885" s="3" t="str">
        <f ca="1">IF(Tabela2[[#This Row],[Dt Venc:]]&gt;TODAY(),"Em Aberto",IF(Tabela2[[#This Row],[D/venc]]="-","Enviado",IF(Tabela2[[#This Row],[Dt Venc:]]=TODAY(),"Vence Hoje","Vencida")))</f>
        <v>Enviado</v>
      </c>
      <c r="F3885" s="3" t="str">
        <f ca="1">IF(G3885=1,"-",Tabela2[[#This Row],[Dt Venc:]]-TODAY())</f>
        <v>-</v>
      </c>
      <c r="G3885" s="3">
        <v>1</v>
      </c>
      <c r="H3885" s="3"/>
    </row>
    <row r="3886" spans="1:8" hidden="1">
      <c r="A3886" s="3">
        <v>373983</v>
      </c>
      <c r="B3886" s="7" t="s">
        <v>39</v>
      </c>
      <c r="C3886" s="41">
        <v>4319.75</v>
      </c>
      <c r="D3886" s="6">
        <v>45656</v>
      </c>
      <c r="E3886" s="3" t="str">
        <f ca="1">IF(Tabela2[[#This Row],[Dt Venc:]]&gt;TODAY(),"Em Aberto",IF(Tabela2[[#This Row],[D/venc]]="-","Enviado",IF(Tabela2[[#This Row],[Dt Venc:]]=TODAY(),"Vence Hoje","Vencida")))</f>
        <v>Enviado</v>
      </c>
      <c r="F3886" s="3" t="str">
        <f ca="1">IF(G3886=1,"-",Tabela2[[#This Row],[Dt Venc:]]-TODAY())</f>
        <v>-</v>
      </c>
      <c r="G3886" s="3">
        <v>1</v>
      </c>
      <c r="H3886" s="3"/>
    </row>
    <row r="3887" spans="1:8" hidden="1">
      <c r="A3887" s="3">
        <v>8268</v>
      </c>
      <c r="B3887" s="7" t="s">
        <v>242</v>
      </c>
      <c r="C3887" s="41">
        <v>144</v>
      </c>
      <c r="D3887" s="6">
        <v>45656</v>
      </c>
      <c r="E3887" s="3" t="str">
        <f ca="1">IF(Tabela2[[#This Row],[Dt Venc:]]&gt;TODAY(),"Em Aberto",IF(Tabela2[[#This Row],[D/venc]]="-","Enviado",IF(Tabela2[[#This Row],[Dt Venc:]]=TODAY(),"Vence Hoje","Vencida")))</f>
        <v>Enviado</v>
      </c>
      <c r="F3887" s="3" t="str">
        <f ca="1">IF(G3887=1,"-",Tabela2[[#This Row],[Dt Venc:]]-TODAY())</f>
        <v>-</v>
      </c>
      <c r="G3887" s="3">
        <v>1</v>
      </c>
      <c r="H3887" s="3"/>
    </row>
    <row r="3888" spans="1:8" hidden="1">
      <c r="A3888" s="3">
        <v>390101</v>
      </c>
      <c r="B3888" s="7" t="s">
        <v>43</v>
      </c>
      <c r="C3888" s="41">
        <v>703.33</v>
      </c>
      <c r="D3888" s="6">
        <v>45656</v>
      </c>
      <c r="E3888" s="3" t="str">
        <f ca="1">IF(Tabela2[[#This Row],[Dt Venc:]]&gt;TODAY(),"Em Aberto",IF(Tabela2[[#This Row],[D/venc]]="-","Enviado",IF(Tabela2[[#This Row],[Dt Venc:]]=TODAY(),"Vence Hoje","Vencida")))</f>
        <v>Enviado</v>
      </c>
      <c r="F3888" s="3" t="str">
        <f ca="1">IF(G3888=1,"-",Tabela2[[#This Row],[Dt Venc:]]-TODAY())</f>
        <v>-</v>
      </c>
      <c r="G3888" s="3">
        <v>1</v>
      </c>
      <c r="H3888" s="3"/>
    </row>
    <row r="3889" spans="1:8" hidden="1">
      <c r="A3889" s="3">
        <v>71522</v>
      </c>
      <c r="B3889" s="7" t="s">
        <v>333</v>
      </c>
      <c r="C3889" s="41">
        <v>793.67</v>
      </c>
      <c r="D3889" s="6">
        <v>45656</v>
      </c>
      <c r="E3889" s="3" t="str">
        <f ca="1">IF(Tabela2[[#This Row],[Dt Venc:]]&gt;TODAY(),"Em Aberto",IF(Tabela2[[#This Row],[D/venc]]="-","Enviado",IF(Tabela2[[#This Row],[Dt Venc:]]=TODAY(),"Vence Hoje","Vencida")))</f>
        <v>Enviado</v>
      </c>
      <c r="F3889" s="3" t="str">
        <f ca="1">IF(G3889=1,"-",Tabela2[[#This Row],[Dt Venc:]]-TODAY())</f>
        <v>-</v>
      </c>
      <c r="G3889" s="3">
        <v>1</v>
      </c>
      <c r="H3889" s="3"/>
    </row>
    <row r="3890" spans="1:8" hidden="1">
      <c r="A3890" s="3">
        <v>26460</v>
      </c>
      <c r="B3890" s="7" t="s">
        <v>254</v>
      </c>
      <c r="C3890" s="41">
        <v>54929.97</v>
      </c>
      <c r="D3890" s="6">
        <v>45656</v>
      </c>
      <c r="E3890" s="3" t="str">
        <f ca="1">IF(Tabela2[[#This Row],[Dt Venc:]]&gt;TODAY(),"Em Aberto",IF(Tabela2[[#This Row],[D/venc]]="-","Enviado",IF(Tabela2[[#This Row],[Dt Venc:]]=TODAY(),"Vence Hoje","Vencida")))</f>
        <v>Enviado</v>
      </c>
      <c r="F3890" s="3" t="str">
        <f ca="1">IF(G3890=1,"-",Tabela2[[#This Row],[Dt Venc:]]-TODAY())</f>
        <v>-</v>
      </c>
      <c r="G3890" s="3">
        <v>1</v>
      </c>
      <c r="H3890" s="3"/>
    </row>
    <row r="3891" spans="1:8" hidden="1">
      <c r="A3891" s="3">
        <v>6281</v>
      </c>
      <c r="B3891" s="7" t="s">
        <v>584</v>
      </c>
      <c r="C3891" s="41">
        <v>464</v>
      </c>
      <c r="D3891" s="6">
        <v>45656</v>
      </c>
      <c r="E3891" s="3" t="str">
        <f ca="1">IF(Tabela2[[#This Row],[Dt Venc:]]&gt;TODAY(),"Em Aberto",IF(Tabela2[[#This Row],[D/venc]]="-","Enviado",IF(Tabela2[[#This Row],[Dt Venc:]]=TODAY(),"Vence Hoje","Vencida")))</f>
        <v>Enviado</v>
      </c>
      <c r="F3891" s="3" t="str">
        <f ca="1">IF(G3891=1,"-",Tabela2[[#This Row],[Dt Venc:]]-TODAY())</f>
        <v>-</v>
      </c>
      <c r="G3891" s="3">
        <v>1</v>
      </c>
      <c r="H3891" s="3"/>
    </row>
    <row r="3892" spans="1:8" hidden="1">
      <c r="A3892" s="3">
        <v>17358</v>
      </c>
      <c r="B3892" s="7" t="s">
        <v>585</v>
      </c>
      <c r="C3892" s="41">
        <v>560</v>
      </c>
      <c r="D3892" s="6">
        <v>45656</v>
      </c>
      <c r="E3892" s="3" t="str">
        <f ca="1">IF(Tabela2[[#This Row],[Dt Venc:]]&gt;TODAY(),"Em Aberto",IF(Tabela2[[#This Row],[D/venc]]="-","Enviado",IF(Tabela2[[#This Row],[Dt Venc:]]=TODAY(),"Vence Hoje","Vencida")))</f>
        <v>Enviado</v>
      </c>
      <c r="F3892" s="3" t="str">
        <f ca="1">IF(G3892=1,"-",Tabela2[[#This Row],[Dt Venc:]]-TODAY())</f>
        <v>-</v>
      </c>
      <c r="G3892" s="3">
        <v>1</v>
      </c>
      <c r="H3892" s="3"/>
    </row>
    <row r="3893" spans="1:8" hidden="1">
      <c r="A3893" s="3">
        <v>17361</v>
      </c>
      <c r="B3893" s="7" t="s">
        <v>585</v>
      </c>
      <c r="C3893" s="41">
        <v>560</v>
      </c>
      <c r="D3893" s="6">
        <v>45656</v>
      </c>
      <c r="E3893" s="3" t="str">
        <f ca="1">IF(Tabela2[[#This Row],[Dt Venc:]]&gt;TODAY(),"Em Aberto",IF(Tabela2[[#This Row],[D/venc]]="-","Enviado",IF(Tabela2[[#This Row],[Dt Venc:]]=TODAY(),"Vence Hoje","Vencida")))</f>
        <v>Enviado</v>
      </c>
      <c r="F3893" s="3" t="str">
        <f ca="1">IF(G3893=1,"-",Tabela2[[#This Row],[Dt Venc:]]-TODAY())</f>
        <v>-</v>
      </c>
      <c r="G3893" s="3">
        <v>1</v>
      </c>
      <c r="H3893" s="3"/>
    </row>
    <row r="3894" spans="1:8" hidden="1">
      <c r="A3894" s="3">
        <v>46380</v>
      </c>
      <c r="B3894" s="7" t="s">
        <v>70</v>
      </c>
      <c r="C3894" s="41">
        <v>149.36000000000001</v>
      </c>
      <c r="D3894" s="6">
        <v>45656</v>
      </c>
      <c r="E3894" s="3" t="str">
        <f ca="1">IF(Tabela2[[#This Row],[Dt Venc:]]&gt;TODAY(),"Em Aberto",IF(Tabela2[[#This Row],[D/venc]]="-","Enviado",IF(Tabela2[[#This Row],[Dt Venc:]]=TODAY(),"Vence Hoje","Vencida")))</f>
        <v>Enviado</v>
      </c>
      <c r="F3894" s="3" t="str">
        <f ca="1">IF(G3894=1,"-",Tabela2[[#This Row],[Dt Venc:]]-TODAY())</f>
        <v>-</v>
      </c>
      <c r="G3894" s="3">
        <v>1</v>
      </c>
      <c r="H3894" s="3"/>
    </row>
    <row r="3895" spans="1:8" hidden="1">
      <c r="A3895" s="3">
        <v>1418581</v>
      </c>
      <c r="B3895" s="7" t="s">
        <v>151</v>
      </c>
      <c r="C3895" s="41">
        <v>527.52</v>
      </c>
      <c r="D3895" s="6">
        <v>45656</v>
      </c>
      <c r="E3895" s="3" t="str">
        <f ca="1">IF(Tabela2[[#This Row],[Dt Venc:]]&gt;TODAY(),"Em Aberto",IF(Tabela2[[#This Row],[D/venc]]="-","Enviado",IF(Tabela2[[#This Row],[Dt Venc:]]=TODAY(),"Vence Hoje","Vencida")))</f>
        <v>Enviado</v>
      </c>
      <c r="F3895" s="3" t="str">
        <f ca="1">IF(G3895=1,"-",Tabela2[[#This Row],[Dt Venc:]]-TODAY())</f>
        <v>-</v>
      </c>
      <c r="G3895" s="3">
        <v>1</v>
      </c>
      <c r="H3895" s="3"/>
    </row>
    <row r="3896" spans="1:8" hidden="1">
      <c r="A3896" s="3">
        <v>35664</v>
      </c>
      <c r="B3896" s="7" t="s">
        <v>70</v>
      </c>
      <c r="C3896" s="41">
        <v>460.29</v>
      </c>
      <c r="D3896" s="6">
        <v>45656</v>
      </c>
      <c r="E3896" s="3" t="str">
        <f ca="1">IF(Tabela2[[#This Row],[Dt Venc:]]&gt;TODAY(),"Em Aberto",IF(Tabela2[[#This Row],[D/venc]]="-","Enviado",IF(Tabela2[[#This Row],[Dt Venc:]]=TODAY(),"Vence Hoje","Vencida")))</f>
        <v>Enviado</v>
      </c>
      <c r="F3896" s="3" t="str">
        <f ca="1">IF(G3896=1,"-",Tabela2[[#This Row],[Dt Venc:]]-TODAY())</f>
        <v>-</v>
      </c>
      <c r="G3896" s="3">
        <v>1</v>
      </c>
      <c r="H3896" s="3"/>
    </row>
    <row r="3897" spans="1:8" hidden="1">
      <c r="A3897" s="3">
        <v>15964</v>
      </c>
      <c r="B3897" s="7" t="s">
        <v>289</v>
      </c>
      <c r="C3897" s="41">
        <v>450</v>
      </c>
      <c r="D3897" s="6">
        <v>45656</v>
      </c>
      <c r="E3897" s="3" t="str">
        <f ca="1">IF(Tabela2[[#This Row],[Dt Venc:]]&gt;TODAY(),"Em Aberto",IF(Tabela2[[#This Row],[D/venc]]="-","Enviado",IF(Tabela2[[#This Row],[Dt Venc:]]=TODAY(),"Vence Hoje","Vencida")))</f>
        <v>Enviado</v>
      </c>
      <c r="F3897" s="3" t="str">
        <f ca="1">IF(G3897=1,"-",Tabela2[[#This Row],[Dt Venc:]]-TODAY())</f>
        <v>-</v>
      </c>
      <c r="G3897" s="3">
        <v>1</v>
      </c>
      <c r="H3897" s="3"/>
    </row>
    <row r="3898" spans="1:8" hidden="1">
      <c r="A3898" s="3">
        <v>5925</v>
      </c>
      <c r="B3898" s="7" t="s">
        <v>586</v>
      </c>
      <c r="C3898" s="41">
        <v>450</v>
      </c>
      <c r="D3898" s="6">
        <v>45656</v>
      </c>
      <c r="E3898" s="3" t="str">
        <f ca="1">IF(Tabela2[[#This Row],[Dt Venc:]]&gt;TODAY(),"Em Aberto",IF(Tabela2[[#This Row],[D/venc]]="-","Enviado",IF(Tabela2[[#This Row],[Dt Venc:]]=TODAY(),"Vence Hoje","Vencida")))</f>
        <v>Enviado</v>
      </c>
      <c r="F3898" s="3" t="str">
        <f ca="1">IF(G3898=1,"-",Tabela2[[#This Row],[Dt Venc:]]-TODAY())</f>
        <v>-</v>
      </c>
      <c r="G3898" s="3">
        <v>1</v>
      </c>
      <c r="H3898" s="3"/>
    </row>
    <row r="3899" spans="1:8" hidden="1">
      <c r="A3899" s="3">
        <v>13803</v>
      </c>
      <c r="B3899" s="7" t="s">
        <v>400</v>
      </c>
      <c r="C3899" s="41">
        <v>469.3</v>
      </c>
      <c r="D3899" s="6">
        <v>45656</v>
      </c>
      <c r="E3899" s="3" t="str">
        <f ca="1">IF(Tabela2[[#This Row],[Dt Venc:]]&gt;TODAY(),"Em Aberto",IF(Tabela2[[#This Row],[D/venc]]="-","Enviado",IF(Tabela2[[#This Row],[Dt Venc:]]=TODAY(),"Vence Hoje","Vencida")))</f>
        <v>Enviado</v>
      </c>
      <c r="F3899" s="3" t="str">
        <f ca="1">IF(G3899=1,"-",Tabela2[[#This Row],[Dt Venc:]]-TODAY())</f>
        <v>-</v>
      </c>
      <c r="G3899" s="3">
        <v>1</v>
      </c>
      <c r="H3899" s="3"/>
    </row>
    <row r="3900" spans="1:8" hidden="1">
      <c r="A3900" s="3">
        <v>1700</v>
      </c>
      <c r="B3900" s="7" t="s">
        <v>92</v>
      </c>
      <c r="C3900" s="41">
        <v>602.5</v>
      </c>
      <c r="D3900" s="6">
        <v>45656</v>
      </c>
      <c r="E3900" s="3" t="str">
        <f ca="1">IF(Tabela2[[#This Row],[Dt Venc:]]&gt;TODAY(),"Em Aberto",IF(Tabela2[[#This Row],[D/venc]]="-","Enviado",IF(Tabela2[[#This Row],[Dt Venc:]]=TODAY(),"Vence Hoje","Vencida")))</f>
        <v>Enviado</v>
      </c>
      <c r="F3900" s="3" t="str">
        <f ca="1">IF(G3900=1,"-",Tabela2[[#This Row],[Dt Venc:]]-TODAY())</f>
        <v>-</v>
      </c>
      <c r="G3900" s="3">
        <v>1</v>
      </c>
      <c r="H3900" s="3"/>
    </row>
    <row r="3901" spans="1:8" hidden="1">
      <c r="A3901" s="3">
        <v>7274</v>
      </c>
      <c r="B3901" s="7" t="s">
        <v>587</v>
      </c>
      <c r="C3901" s="41">
        <v>750</v>
      </c>
      <c r="D3901" s="6">
        <v>45656</v>
      </c>
      <c r="E3901" s="3" t="str">
        <f ca="1">IF(Tabela2[[#This Row],[Dt Venc:]]&gt;TODAY(),"Em Aberto",IF(Tabela2[[#This Row],[D/venc]]="-","Enviado",IF(Tabela2[[#This Row],[Dt Venc:]]=TODAY(),"Vence Hoje","Vencida")))</f>
        <v>Enviado</v>
      </c>
      <c r="F3901" s="3" t="str">
        <f ca="1">IF(G3901=1,"-",Tabela2[[#This Row],[Dt Venc:]]-TODAY())</f>
        <v>-</v>
      </c>
      <c r="G3901" s="3">
        <v>1</v>
      </c>
      <c r="H3901" s="3"/>
    </row>
    <row r="3902" spans="1:8" hidden="1">
      <c r="A3902" s="3">
        <v>215443</v>
      </c>
      <c r="B3902" s="7" t="s">
        <v>59</v>
      </c>
      <c r="C3902" s="41">
        <v>56320</v>
      </c>
      <c r="D3902" s="6">
        <v>45656</v>
      </c>
      <c r="E3902" s="3" t="str">
        <f ca="1">IF(Tabela2[[#This Row],[Dt Venc:]]&gt;TODAY(),"Em Aberto",IF(Tabela2[[#This Row],[D/venc]]="-","Enviado",IF(Tabela2[[#This Row],[Dt Venc:]]=TODAY(),"Vence Hoje","Vencida")))</f>
        <v>Enviado</v>
      </c>
      <c r="F3902" s="3" t="str">
        <f ca="1">IF(G3902=1,"-",Tabela2[[#This Row],[Dt Venc:]]-TODAY())</f>
        <v>-</v>
      </c>
      <c r="G3902" s="3">
        <v>1</v>
      </c>
      <c r="H3902" s="3"/>
    </row>
    <row r="3903" spans="1:8" hidden="1">
      <c r="A3903" s="3">
        <v>20</v>
      </c>
      <c r="B3903" s="7" t="s">
        <v>588</v>
      </c>
      <c r="C3903" s="41">
        <v>20015.52</v>
      </c>
      <c r="D3903" s="6">
        <v>45656</v>
      </c>
      <c r="E3903" s="3" t="str">
        <f ca="1">IF(Tabela2[[#This Row],[Dt Venc:]]&gt;TODAY(),"Em Aberto",IF(Tabela2[[#This Row],[D/venc]]="-","Enviado",IF(Tabela2[[#This Row],[Dt Venc:]]=TODAY(),"Vence Hoje","Vencida")))</f>
        <v>Enviado</v>
      </c>
      <c r="F3903" s="3" t="str">
        <f ca="1">IF(G3903=1,"-",Tabela2[[#This Row],[Dt Venc:]]-TODAY())</f>
        <v>-</v>
      </c>
      <c r="G3903" s="3">
        <v>1</v>
      </c>
      <c r="H3903" s="3"/>
    </row>
    <row r="3904" spans="1:8" hidden="1">
      <c r="A3904" s="3">
        <v>2003723</v>
      </c>
      <c r="B3904" s="7" t="s">
        <v>59</v>
      </c>
      <c r="C3904" s="41">
        <v>55771</v>
      </c>
      <c r="D3904" s="6">
        <v>45656</v>
      </c>
      <c r="E3904" s="3" t="str">
        <f ca="1">IF(Tabela2[[#This Row],[Dt Venc:]]&gt;TODAY(),"Em Aberto",IF(Tabela2[[#This Row],[D/venc]]="-","Enviado",IF(Tabela2[[#This Row],[Dt Venc:]]=TODAY(),"Vence Hoje","Vencida")))</f>
        <v>Enviado</v>
      </c>
      <c r="F3904" s="3" t="str">
        <f ca="1">IF(G3904=1,"-",Tabela2[[#This Row],[Dt Venc:]]-TODAY())</f>
        <v>-</v>
      </c>
      <c r="G3904" s="3">
        <v>1</v>
      </c>
      <c r="H3904" s="3"/>
    </row>
    <row r="3905" spans="1:8" hidden="1">
      <c r="A3905" s="3">
        <v>12087</v>
      </c>
      <c r="B3905" s="7" t="s">
        <v>105</v>
      </c>
      <c r="C3905" s="41">
        <v>5000</v>
      </c>
      <c r="D3905" s="6">
        <v>45656</v>
      </c>
      <c r="E3905" s="3" t="str">
        <f ca="1">IF(Tabela2[[#This Row],[Dt Venc:]]&gt;TODAY(),"Em Aberto",IF(Tabela2[[#This Row],[D/venc]]="-","Enviado",IF(Tabela2[[#This Row],[Dt Venc:]]=TODAY(),"Vence Hoje","Vencida")))</f>
        <v>Enviado</v>
      </c>
      <c r="F3905" s="3" t="str">
        <f ca="1">IF(G3905=1,"-",Tabela2[[#This Row],[Dt Venc:]]-TODAY())</f>
        <v>-</v>
      </c>
      <c r="G3905" s="3">
        <v>1</v>
      </c>
      <c r="H3905" s="3"/>
    </row>
    <row r="3906" spans="1:8" hidden="1">
      <c r="A3906" s="3">
        <v>6502</v>
      </c>
      <c r="B3906" s="7" t="s">
        <v>291</v>
      </c>
      <c r="C3906" s="41">
        <v>5872.5</v>
      </c>
      <c r="D3906" s="6">
        <v>45656</v>
      </c>
      <c r="E3906" s="3" t="str">
        <f ca="1">IF(Tabela2[[#This Row],[Dt Venc:]]&gt;TODAY(),"Em Aberto",IF(Tabela2[[#This Row],[D/venc]]="-","Enviado",IF(Tabela2[[#This Row],[Dt Venc:]]=TODAY(),"Vence Hoje","Vencida")))</f>
        <v>Enviado</v>
      </c>
      <c r="F3906" s="3" t="str">
        <f ca="1">IF(G3906=1,"-",Tabela2[[#This Row],[Dt Venc:]]-TODAY())</f>
        <v>-</v>
      </c>
      <c r="G3906" s="3">
        <v>1</v>
      </c>
      <c r="H3906" s="3"/>
    </row>
    <row r="3907" spans="1:8" hidden="1">
      <c r="A3907" s="3">
        <v>352</v>
      </c>
      <c r="B3907" s="7" t="s">
        <v>545</v>
      </c>
      <c r="C3907" s="41">
        <v>11938.25</v>
      </c>
      <c r="D3907" s="6">
        <v>45656</v>
      </c>
      <c r="E3907" s="3" t="str">
        <f ca="1">IF(Tabela2[[#This Row],[Dt Venc:]]&gt;TODAY(),"Em Aberto",IF(Tabela2[[#This Row],[D/venc]]="-","Enviado",IF(Tabela2[[#This Row],[Dt Venc:]]=TODAY(),"Vence Hoje","Vencida")))</f>
        <v>Enviado</v>
      </c>
      <c r="F3907" s="3" t="str">
        <f ca="1">IF(G3907=1,"-",Tabela2[[#This Row],[Dt Venc:]]-TODAY())</f>
        <v>-</v>
      </c>
      <c r="G3907" s="3">
        <v>1</v>
      </c>
      <c r="H3907" s="3"/>
    </row>
    <row r="3908" spans="1:8" hidden="1">
      <c r="A3908" s="3">
        <v>353</v>
      </c>
      <c r="B3908" s="7" t="s">
        <v>545</v>
      </c>
      <c r="C3908" s="41">
        <v>44519.05</v>
      </c>
      <c r="D3908" s="6">
        <v>45656</v>
      </c>
      <c r="E3908" s="3" t="str">
        <f ca="1">IF(Tabela2[[#This Row],[Dt Venc:]]&gt;TODAY(),"Em Aberto",IF(Tabela2[[#This Row],[D/venc]]="-","Enviado",IF(Tabela2[[#This Row],[Dt Venc:]]=TODAY(),"Vence Hoje","Vencida")))</f>
        <v>Enviado</v>
      </c>
      <c r="F3908" s="3" t="str">
        <f ca="1">IF(G3908=1,"-",Tabela2[[#This Row],[Dt Venc:]]-TODAY())</f>
        <v>-</v>
      </c>
      <c r="G3908" s="3">
        <v>1</v>
      </c>
      <c r="H3908" s="3"/>
    </row>
    <row r="3909" spans="1:8" hidden="1">
      <c r="A3909" s="3">
        <v>51164</v>
      </c>
      <c r="B3909" s="7" t="s">
        <v>589</v>
      </c>
      <c r="C3909" s="41">
        <v>159.80000000000001</v>
      </c>
      <c r="D3909" s="6">
        <v>45656</v>
      </c>
      <c r="E3909" s="3" t="str">
        <f ca="1">IF(Tabela2[[#This Row],[Dt Venc:]]&gt;TODAY(),"Em Aberto",IF(Tabela2[[#This Row],[D/venc]]="-","Enviado",IF(Tabela2[[#This Row],[Dt Venc:]]=TODAY(),"Vence Hoje","Vencida")))</f>
        <v>Enviado</v>
      </c>
      <c r="F3909" s="3" t="str">
        <f ca="1">IF(G3909=1,"-",Tabela2[[#This Row],[Dt Venc:]]-TODAY())</f>
        <v>-</v>
      </c>
      <c r="G3909" s="3">
        <v>1</v>
      </c>
      <c r="H3909" s="3"/>
    </row>
    <row r="3910" spans="1:8" hidden="1">
      <c r="A3910" s="3">
        <v>3593186</v>
      </c>
      <c r="B3910" s="7" t="s">
        <v>590</v>
      </c>
      <c r="C3910" s="41">
        <v>1860</v>
      </c>
      <c r="D3910" s="6">
        <v>45656</v>
      </c>
      <c r="E3910" s="3" t="str">
        <f ca="1">IF(Tabela2[[#This Row],[Dt Venc:]]&gt;TODAY(),"Em Aberto",IF(Tabela2[[#This Row],[D/venc]]="-","Enviado",IF(Tabela2[[#This Row],[Dt Venc:]]=TODAY(),"Vence Hoje","Vencida")))</f>
        <v>Enviado</v>
      </c>
      <c r="F3910" s="3" t="str">
        <f ca="1">IF(G3910=1,"-",Tabela2[[#This Row],[Dt Venc:]]-TODAY())</f>
        <v>-</v>
      </c>
      <c r="G3910" s="3">
        <v>1</v>
      </c>
      <c r="H3910" s="3"/>
    </row>
    <row r="3911" spans="1:8" hidden="1">
      <c r="A3911" s="3">
        <v>3595422</v>
      </c>
      <c r="B3911" s="7" t="s">
        <v>590</v>
      </c>
      <c r="C3911" s="41">
        <v>150</v>
      </c>
      <c r="D3911" s="6">
        <v>45656</v>
      </c>
      <c r="E3911" s="3" t="str">
        <f ca="1">IF(Tabela2[[#This Row],[Dt Venc:]]&gt;TODAY(),"Em Aberto",IF(Tabela2[[#This Row],[D/venc]]="-","Enviado",IF(Tabela2[[#This Row],[Dt Venc:]]=TODAY(),"Vence Hoje","Vencida")))</f>
        <v>Enviado</v>
      </c>
      <c r="F3911" s="3" t="str">
        <f ca="1">IF(G3911=1,"-",Tabela2[[#This Row],[Dt Venc:]]-TODAY())</f>
        <v>-</v>
      </c>
      <c r="G3911" s="3">
        <v>1</v>
      </c>
      <c r="H3911" s="3"/>
    </row>
    <row r="3912" spans="1:8" hidden="1">
      <c r="A3912" s="3" t="s">
        <v>123</v>
      </c>
      <c r="B3912" s="7" t="s">
        <v>386</v>
      </c>
      <c r="C3912" s="87" t="s">
        <v>32</v>
      </c>
      <c r="D3912" s="6">
        <v>45656</v>
      </c>
      <c r="E3912" s="3" t="str">
        <f ca="1">IF(Tabela2[[#This Row],[Dt Venc:]]&gt;TODAY(),"Em Aberto",IF(Tabela2[[#This Row],[D/venc]]="-","Enviado",IF(Tabela2[[#This Row],[Dt Venc:]]=TODAY(),"Vence Hoje","Vencida")))</f>
        <v>Enviado</v>
      </c>
      <c r="F3912" s="3" t="str">
        <f ca="1">IF(G3912=1,"-",Tabela2[[#This Row],[Dt Venc:]]-TODAY())</f>
        <v>-</v>
      </c>
      <c r="G3912" s="3">
        <v>1</v>
      </c>
      <c r="H3912" s="3"/>
    </row>
    <row r="3913" spans="1:8" hidden="1">
      <c r="A3913" s="3">
        <v>267132</v>
      </c>
      <c r="B3913" s="7" t="s">
        <v>36</v>
      </c>
      <c r="C3913" s="41">
        <v>423.33</v>
      </c>
      <c r="D3913" s="6">
        <v>45656</v>
      </c>
      <c r="E3913" s="3" t="str">
        <f ca="1">IF(Tabela2[[#This Row],[Dt Venc:]]&gt;TODAY(),"Em Aberto",IF(Tabela2[[#This Row],[D/venc]]="-","Enviado",IF(Tabela2[[#This Row],[Dt Venc:]]=TODAY(),"Vence Hoje","Vencida")))</f>
        <v>Enviado</v>
      </c>
      <c r="F3913" s="3" t="str">
        <f ca="1">IF(G3913=1,"-",Tabela2[[#This Row],[Dt Venc:]]-TODAY())</f>
        <v>-</v>
      </c>
      <c r="G3913" s="3">
        <v>1</v>
      </c>
      <c r="H3913" s="3"/>
    </row>
    <row r="3914" spans="1:8" hidden="1">
      <c r="A3914" s="3">
        <v>441298</v>
      </c>
      <c r="B3914" s="7" t="s">
        <v>591</v>
      </c>
      <c r="C3914" s="41">
        <v>1509.45</v>
      </c>
      <c r="D3914" s="6">
        <v>45656</v>
      </c>
      <c r="E3914" s="3" t="str">
        <f ca="1">IF(Tabela2[[#This Row],[Dt Venc:]]&gt;TODAY(),"Em Aberto",IF(Tabela2[[#This Row],[D/venc]]="-","Enviado",IF(Tabela2[[#This Row],[Dt Venc:]]=TODAY(),"Vence Hoje","Vencida")))</f>
        <v>Enviado</v>
      </c>
      <c r="F3914" s="3" t="str">
        <f ca="1">IF(G3914=1,"-",Tabela2[[#This Row],[Dt Venc:]]-TODAY())</f>
        <v>-</v>
      </c>
      <c r="G3914" s="3">
        <v>1</v>
      </c>
      <c r="H3914" s="3"/>
    </row>
    <row r="3915" spans="1:8" hidden="1">
      <c r="A3915" s="3">
        <v>36910</v>
      </c>
      <c r="B3915" s="7" t="s">
        <v>167</v>
      </c>
      <c r="C3915" s="83" t="s">
        <v>32</v>
      </c>
      <c r="D3915" s="6">
        <v>45657</v>
      </c>
      <c r="E3915" s="3" t="str">
        <f ca="1">IF(Tabela2[[#This Row],[Dt Venc:]]&gt;TODAY(),"Em Aberto",IF(Tabela2[[#This Row],[D/venc]]="-","Enviado",IF(Tabela2[[#This Row],[Dt Venc:]]=TODAY(),"Vence Hoje","Vencida")))</f>
        <v>Enviado</v>
      </c>
      <c r="F3915" s="3" t="str">
        <f ca="1">IF(G3915=1,"-",Tabela2[[#This Row],[Dt Venc:]]-TODAY())</f>
        <v>-</v>
      </c>
      <c r="G3915" s="3">
        <v>1</v>
      </c>
      <c r="H3915" s="3"/>
    </row>
    <row r="3916" spans="1:8" hidden="1">
      <c r="A3916" s="3">
        <v>267429</v>
      </c>
      <c r="B3916" s="7" t="s">
        <v>36</v>
      </c>
      <c r="C3916" s="41">
        <v>5703.75</v>
      </c>
      <c r="D3916" s="6">
        <v>45657</v>
      </c>
      <c r="E3916" s="3" t="str">
        <f ca="1">IF(Tabela2[[#This Row],[Dt Venc:]]&gt;TODAY(),"Em Aberto",IF(Tabela2[[#This Row],[D/venc]]="-","Enviado",IF(Tabela2[[#This Row],[Dt Venc:]]=TODAY(),"Vence Hoje","Vencida")))</f>
        <v>Enviado</v>
      </c>
      <c r="F3916" s="3" t="str">
        <f ca="1">IF(G3916=1,"-",Tabela2[[#This Row],[Dt Venc:]]-TODAY())</f>
        <v>-</v>
      </c>
      <c r="G3916" s="3">
        <v>1</v>
      </c>
      <c r="H3916" s="3"/>
    </row>
    <row r="3917" spans="1:8" hidden="1">
      <c r="A3917" s="3">
        <v>267427</v>
      </c>
      <c r="B3917" s="7" t="s">
        <v>36</v>
      </c>
      <c r="C3917" s="41">
        <v>1087.23</v>
      </c>
      <c r="D3917" s="6">
        <v>45657</v>
      </c>
      <c r="E3917" s="3" t="str">
        <f ca="1">IF(Tabela2[[#This Row],[Dt Venc:]]&gt;TODAY(),"Em Aberto",IF(Tabela2[[#This Row],[D/venc]]="-","Enviado",IF(Tabela2[[#This Row],[Dt Venc:]]=TODAY(),"Vence Hoje","Vencida")))</f>
        <v>Enviado</v>
      </c>
      <c r="F3917" s="3" t="str">
        <f ca="1">IF(G3917=1,"-",Tabela2[[#This Row],[Dt Venc:]]-TODAY())</f>
        <v>-</v>
      </c>
      <c r="G3917" s="3">
        <v>1</v>
      </c>
      <c r="H3917" s="3"/>
    </row>
    <row r="3918" spans="1:8" hidden="1">
      <c r="A3918" s="3">
        <v>393909</v>
      </c>
      <c r="B3918" s="7" t="s">
        <v>136</v>
      </c>
      <c r="C3918" s="42">
        <v>1558.33</v>
      </c>
      <c r="D3918" s="6">
        <v>45657</v>
      </c>
      <c r="E3918" s="3" t="str">
        <f ca="1">IF(Tabela2[[#This Row],[Dt Venc:]]&gt;TODAY(),"Em Aberto",IF(Tabela2[[#This Row],[D/venc]]="-","Enviado",IF(Tabela2[[#This Row],[Dt Venc:]]=TODAY(),"Vence Hoje","Vencida")))</f>
        <v>Enviado</v>
      </c>
      <c r="F3918" s="3" t="str">
        <f ca="1">IF(G3918=1,"-",Tabela2[[#This Row],[Dt Venc:]]-TODAY())</f>
        <v>-</v>
      </c>
      <c r="G3918" s="3">
        <v>1</v>
      </c>
      <c r="H3918" s="3"/>
    </row>
    <row r="3919" spans="1:8" hidden="1">
      <c r="A3919" s="3">
        <v>219517</v>
      </c>
      <c r="B3919" s="7" t="s">
        <v>39</v>
      </c>
      <c r="C3919" s="42">
        <v>21465</v>
      </c>
      <c r="D3919" s="6">
        <v>45657</v>
      </c>
      <c r="E3919" s="3" t="str">
        <f ca="1">IF(Tabela2[[#This Row],[Dt Venc:]]&gt;TODAY(),"Em Aberto",IF(Tabela2[[#This Row],[D/venc]]="-","Enviado",IF(Tabela2[[#This Row],[Dt Venc:]]=TODAY(),"Vence Hoje","Vencida")))</f>
        <v>Enviado</v>
      </c>
      <c r="F3919" s="3" t="str">
        <f ca="1">IF(G3919=1,"-",Tabela2[[#This Row],[Dt Venc:]]-TODAY())</f>
        <v>-</v>
      </c>
      <c r="G3919" s="3">
        <v>1</v>
      </c>
      <c r="H3919" s="3"/>
    </row>
    <row r="3920" spans="1:8" hidden="1">
      <c r="A3920" s="3">
        <v>371856</v>
      </c>
      <c r="B3920" s="7" t="s">
        <v>39</v>
      </c>
      <c r="C3920" s="41">
        <v>278.60000000000002</v>
      </c>
      <c r="D3920" s="6">
        <v>45657</v>
      </c>
      <c r="E3920" s="3" t="str">
        <f ca="1">IF(Tabela2[[#This Row],[Dt Venc:]]&gt;TODAY(),"Em Aberto",IF(Tabela2[[#This Row],[D/venc]]="-","Enviado",IF(Tabela2[[#This Row],[Dt Venc:]]=TODAY(),"Vence Hoje","Vencida")))</f>
        <v>Enviado</v>
      </c>
      <c r="F3920" s="3" t="str">
        <f ca="1">IF(G3920=1,"-",Tabela2[[#This Row],[Dt Venc:]]-TODAY())</f>
        <v>-</v>
      </c>
      <c r="G3920" s="3">
        <v>1</v>
      </c>
      <c r="H3920" s="3"/>
    </row>
    <row r="3921" spans="1:8" hidden="1">
      <c r="A3921" s="3">
        <v>219517</v>
      </c>
      <c r="B3921" s="7" t="s">
        <v>80</v>
      </c>
      <c r="C3921" s="42">
        <v>21465</v>
      </c>
      <c r="D3921" s="6">
        <v>45657</v>
      </c>
      <c r="E3921" s="3" t="str">
        <f ca="1">IF(Tabela2[[#This Row],[Dt Venc:]]&gt;TODAY(),"Em Aberto",IF(Tabela2[[#This Row],[D/venc]]="-","Enviado",IF(Tabela2[[#This Row],[Dt Venc:]]=TODAY(),"Vence Hoje","Vencida")))</f>
        <v>Enviado</v>
      </c>
      <c r="F3921" s="3" t="str">
        <f ca="1">IF(G3921=1,"-",Tabela2[[#This Row],[Dt Venc:]]-TODAY())</f>
        <v>-</v>
      </c>
      <c r="G3921" s="3">
        <v>1</v>
      </c>
      <c r="H3921" s="3"/>
    </row>
    <row r="3922" spans="1:8" hidden="1">
      <c r="A3922" s="3">
        <v>233020</v>
      </c>
      <c r="B3922" s="7" t="s">
        <v>40</v>
      </c>
      <c r="C3922" s="41">
        <v>1033.3399999999999</v>
      </c>
      <c r="D3922" s="6">
        <v>45657</v>
      </c>
      <c r="E3922" s="3" t="str">
        <f ca="1">IF(Tabela2[[#This Row],[Dt Venc:]]&gt;TODAY(),"Em Aberto",IF(Tabela2[[#This Row],[D/venc]]="-","Enviado",IF(Tabela2[[#This Row],[Dt Venc:]]=TODAY(),"Vence Hoje","Vencida")))</f>
        <v>Enviado</v>
      </c>
      <c r="F3922" s="3" t="str">
        <f ca="1">IF(G3922=1,"-",Tabela2[[#This Row],[Dt Venc:]]-TODAY())</f>
        <v>-</v>
      </c>
      <c r="G3922" s="3">
        <v>1</v>
      </c>
      <c r="H3922" s="3"/>
    </row>
    <row r="3923" spans="1:8" hidden="1">
      <c r="A3923" s="3">
        <v>19796</v>
      </c>
      <c r="B3923" s="7" t="s">
        <v>41</v>
      </c>
      <c r="C3923" s="41">
        <v>700</v>
      </c>
      <c r="D3923" s="6">
        <v>45657</v>
      </c>
      <c r="E3923" s="3" t="str">
        <f ca="1">IF(Tabela2[[#This Row],[Dt Venc:]]&gt;TODAY(),"Em Aberto",IF(Tabela2[[#This Row],[D/venc]]="-","Enviado",IF(Tabela2[[#This Row],[Dt Venc:]]=TODAY(),"Vence Hoje","Vencida")))</f>
        <v>Enviado</v>
      </c>
      <c r="F3923" s="3" t="str">
        <f ca="1">IF(G3923=1,"-",Tabela2[[#This Row],[Dt Venc:]]-TODAY())</f>
        <v>-</v>
      </c>
      <c r="G3923" s="3">
        <v>1</v>
      </c>
      <c r="H3923" s="3"/>
    </row>
    <row r="3924" spans="1:8" hidden="1">
      <c r="A3924" s="3">
        <v>181718</v>
      </c>
      <c r="B3924" s="7" t="s">
        <v>42</v>
      </c>
      <c r="C3924" s="42">
        <v>1289.94</v>
      </c>
      <c r="D3924" s="6">
        <v>45657</v>
      </c>
      <c r="E3924" s="3" t="str">
        <f ca="1">IF(Tabela2[[#This Row],[Dt Venc:]]&gt;TODAY(),"Em Aberto",IF(Tabela2[[#This Row],[D/venc]]="-","Enviado",IF(Tabela2[[#This Row],[Dt Venc:]]=TODAY(),"Vence Hoje","Vencida")))</f>
        <v>Enviado</v>
      </c>
      <c r="F3924" s="3" t="str">
        <f ca="1">IF(G3924=1,"-",Tabela2[[#This Row],[Dt Venc:]]-TODAY())</f>
        <v>-</v>
      </c>
      <c r="G3924" s="3">
        <v>1</v>
      </c>
      <c r="H3924" s="3"/>
    </row>
    <row r="3925" spans="1:8" hidden="1">
      <c r="A3925" s="3">
        <v>237096</v>
      </c>
      <c r="B3925" s="7" t="s">
        <v>43</v>
      </c>
      <c r="C3925" s="42">
        <v>1678.78</v>
      </c>
      <c r="D3925" s="6">
        <v>45657</v>
      </c>
      <c r="E3925" s="3" t="str">
        <f ca="1">IF(Tabela2[[#This Row],[Dt Venc:]]&gt;TODAY(),"Em Aberto",IF(Tabela2[[#This Row],[D/venc]]="-","Enviado",IF(Tabela2[[#This Row],[Dt Venc:]]=TODAY(),"Vence Hoje","Vencida")))</f>
        <v>Enviado</v>
      </c>
      <c r="F3925" s="3" t="str">
        <f ca="1">IF(G3925=1,"-",Tabela2[[#This Row],[Dt Venc:]]-TODAY())</f>
        <v>-</v>
      </c>
      <c r="G3925" s="3">
        <v>1</v>
      </c>
      <c r="H3925" s="3"/>
    </row>
    <row r="3926" spans="1:8" hidden="1">
      <c r="A3926" s="3">
        <v>88950</v>
      </c>
      <c r="B3926" s="7" t="s">
        <v>207</v>
      </c>
      <c r="C3926" s="41">
        <v>1816.67</v>
      </c>
      <c r="D3926" s="6">
        <v>45657</v>
      </c>
      <c r="E3926" s="3" t="str">
        <f ca="1">IF(Tabela2[[#This Row],[Dt Venc:]]&gt;TODAY(),"Em Aberto",IF(Tabela2[[#This Row],[D/venc]]="-","Enviado",IF(Tabela2[[#This Row],[Dt Venc:]]=TODAY(),"Vence Hoje","Vencida")))</f>
        <v>Enviado</v>
      </c>
      <c r="F3926" s="3" t="str">
        <f ca="1">IF(G3926=1,"-",Tabela2[[#This Row],[Dt Venc:]]-TODAY())</f>
        <v>-</v>
      </c>
      <c r="G3926" s="3">
        <v>1</v>
      </c>
      <c r="H3926" s="3"/>
    </row>
    <row r="3927" spans="1:8" hidden="1">
      <c r="A3927" s="3">
        <v>153253</v>
      </c>
      <c r="B3927" s="7" t="s">
        <v>77</v>
      </c>
      <c r="C3927" s="42">
        <v>450</v>
      </c>
      <c r="D3927" s="6">
        <v>45657</v>
      </c>
      <c r="E3927" s="3" t="str">
        <f ca="1">IF(Tabela2[[#This Row],[Dt Venc:]]&gt;TODAY(),"Em Aberto",IF(Tabela2[[#This Row],[D/venc]]="-","Enviado",IF(Tabela2[[#This Row],[Dt Venc:]]=TODAY(),"Vence Hoje","Vencida")))</f>
        <v>Enviado</v>
      </c>
      <c r="F3927" s="3" t="str">
        <f ca="1">IF(G3927=1,"-",Tabela2[[#This Row],[Dt Venc:]]-TODAY())</f>
        <v>-</v>
      </c>
      <c r="G3927" s="3">
        <v>1</v>
      </c>
      <c r="H3927" s="3"/>
    </row>
    <row r="3928" spans="1:8" hidden="1">
      <c r="A3928" s="3">
        <v>153254</v>
      </c>
      <c r="B3928" s="7" t="s">
        <v>77</v>
      </c>
      <c r="C3928" s="42">
        <v>773.33</v>
      </c>
      <c r="D3928" s="6">
        <v>45657</v>
      </c>
      <c r="E3928" s="3" t="str">
        <f ca="1">IF(Tabela2[[#This Row],[Dt Venc:]]&gt;TODAY(),"Em Aberto",IF(Tabela2[[#This Row],[D/venc]]="-","Enviado",IF(Tabela2[[#This Row],[Dt Venc:]]=TODAY(),"Vence Hoje","Vencida")))</f>
        <v>Enviado</v>
      </c>
      <c r="F3928" s="3" t="str">
        <f ca="1">IF(G3928=1,"-",Tabela2[[#This Row],[Dt Venc:]]-TODAY())</f>
        <v>-</v>
      </c>
      <c r="G3928" s="3">
        <v>1</v>
      </c>
      <c r="H3928" s="3"/>
    </row>
    <row r="3929" spans="1:8" hidden="1">
      <c r="A3929" s="3">
        <v>154062</v>
      </c>
      <c r="B3929" s="7" t="s">
        <v>261</v>
      </c>
      <c r="C3929" s="41">
        <v>450</v>
      </c>
      <c r="D3929" s="6">
        <v>45657</v>
      </c>
      <c r="E3929" s="3" t="str">
        <f ca="1">IF(Tabela2[[#This Row],[Dt Venc:]]&gt;TODAY(),"Em Aberto",IF(Tabela2[[#This Row],[D/venc]]="-","Enviado",IF(Tabela2[[#This Row],[Dt Venc:]]=TODAY(),"Vence Hoje","Vencida")))</f>
        <v>Enviado</v>
      </c>
      <c r="F3929" s="3" t="str">
        <f ca="1">IF(G3929=1,"-",Tabela2[[#This Row],[Dt Venc:]]-TODAY())</f>
        <v>-</v>
      </c>
      <c r="G3929" s="3">
        <v>1</v>
      </c>
      <c r="H3929" s="3"/>
    </row>
    <row r="3930" spans="1:8" hidden="1">
      <c r="A3930" s="3">
        <v>586</v>
      </c>
      <c r="B3930" s="7" t="s">
        <v>390</v>
      </c>
      <c r="C3930" s="42">
        <v>2942.09</v>
      </c>
      <c r="D3930" s="6">
        <v>45657</v>
      </c>
      <c r="E3930" s="3" t="str">
        <f ca="1">IF(Tabela2[[#This Row],[Dt Venc:]]&gt;TODAY(),"Em Aberto",IF(Tabela2[[#This Row],[D/venc]]="-","Enviado",IF(Tabela2[[#This Row],[Dt Venc:]]=TODAY(),"Vence Hoje","Vencida")))</f>
        <v>Enviado</v>
      </c>
      <c r="F3930" s="3" t="str">
        <f ca="1">IF(G3930=1,"-",Tabela2[[#This Row],[Dt Venc:]]-TODAY())</f>
        <v>-</v>
      </c>
      <c r="G3930" s="3">
        <v>1</v>
      </c>
      <c r="H3930" s="3"/>
    </row>
    <row r="3931" spans="1:8" hidden="1">
      <c r="A3931" s="3">
        <v>175260</v>
      </c>
      <c r="B3931" s="7" t="s">
        <v>211</v>
      </c>
      <c r="C3931" s="41">
        <v>526.66</v>
      </c>
      <c r="D3931" s="6">
        <v>45657</v>
      </c>
      <c r="E3931" s="3" t="str">
        <f ca="1">IF(Tabela2[[#This Row],[Dt Venc:]]&gt;TODAY(),"Em Aberto",IF(Tabela2[[#This Row],[D/venc]]="-","Enviado",IF(Tabela2[[#This Row],[Dt Venc:]]=TODAY(),"Vence Hoje","Vencida")))</f>
        <v>Enviado</v>
      </c>
      <c r="F3931" s="3" t="str">
        <f ca="1">IF(G3931=1,"-",Tabela2[[#This Row],[Dt Venc:]]-TODAY())</f>
        <v>-</v>
      </c>
      <c r="G3931" s="3">
        <v>1</v>
      </c>
      <c r="H3931" s="3"/>
    </row>
    <row r="3932" spans="1:8" hidden="1">
      <c r="A3932" s="3">
        <v>1140</v>
      </c>
      <c r="B3932" s="7" t="s">
        <v>155</v>
      </c>
      <c r="C3932" s="41">
        <v>7770</v>
      </c>
      <c r="D3932" s="6">
        <v>45657</v>
      </c>
      <c r="E3932" s="3" t="str">
        <f ca="1">IF(Tabela2[[#This Row],[Dt Venc:]]&gt;TODAY(),"Em Aberto",IF(Tabela2[[#This Row],[D/venc]]="-","Enviado",IF(Tabela2[[#This Row],[Dt Venc:]]=TODAY(),"Vence Hoje","Vencida")))</f>
        <v>Enviado</v>
      </c>
      <c r="F3932" s="3" t="str">
        <f ca="1">IF(G3932=1,"-",Tabela2[[#This Row],[Dt Venc:]]-TODAY())</f>
        <v>-</v>
      </c>
      <c r="G3932" s="3">
        <v>1</v>
      </c>
      <c r="H3932" s="3"/>
    </row>
    <row r="3933" spans="1:8" hidden="1">
      <c r="A3933" s="3">
        <v>194</v>
      </c>
      <c r="B3933" s="7" t="s">
        <v>396</v>
      </c>
      <c r="C3933" s="41">
        <v>1050</v>
      </c>
      <c r="D3933" s="6">
        <v>45657</v>
      </c>
      <c r="E3933" s="3" t="str">
        <f ca="1">IF(Tabela2[[#This Row],[Dt Venc:]]&gt;TODAY(),"Em Aberto",IF(Tabela2[[#This Row],[D/venc]]="-","Enviado",IF(Tabela2[[#This Row],[Dt Venc:]]=TODAY(),"Vence Hoje","Vencida")))</f>
        <v>Enviado</v>
      </c>
      <c r="F3933" s="3" t="str">
        <f ca="1">IF(G3933=1,"-",Tabela2[[#This Row],[Dt Venc:]]-TODAY())</f>
        <v>-</v>
      </c>
      <c r="G3933" s="3">
        <v>1</v>
      </c>
      <c r="H3933" s="3"/>
    </row>
    <row r="3934" spans="1:8" hidden="1">
      <c r="A3934" s="3">
        <v>39541</v>
      </c>
      <c r="B3934" s="7" t="s">
        <v>188</v>
      </c>
      <c r="C3934" s="41">
        <v>177.4</v>
      </c>
      <c r="D3934" s="6">
        <v>45657</v>
      </c>
      <c r="E3934" s="3" t="str">
        <f ca="1">IF(Tabela2[[#This Row],[Dt Venc:]]&gt;TODAY(),"Em Aberto",IF(Tabela2[[#This Row],[D/venc]]="-","Enviado",IF(Tabela2[[#This Row],[Dt Venc:]]=TODAY(),"Vence Hoje","Vencida")))</f>
        <v>Enviado</v>
      </c>
      <c r="F3934" s="3" t="str">
        <f ca="1">IF(G3934=1,"-",Tabela2[[#This Row],[Dt Venc:]]-TODAY())</f>
        <v>-</v>
      </c>
      <c r="G3934" s="3">
        <v>1</v>
      </c>
      <c r="H3934" s="3"/>
    </row>
    <row r="3935" spans="1:8" hidden="1">
      <c r="A3935" s="3">
        <v>261667</v>
      </c>
      <c r="B3935" s="7" t="s">
        <v>43</v>
      </c>
      <c r="C3935" s="41">
        <v>1591.54</v>
      </c>
      <c r="D3935" s="6">
        <v>45657</v>
      </c>
      <c r="E3935" s="3" t="str">
        <f ca="1">IF(Tabela2[[#This Row],[Dt Venc:]]&gt;TODAY(),"Em Aberto",IF(Tabela2[[#This Row],[D/venc]]="-","Enviado",IF(Tabela2[[#This Row],[Dt Venc:]]=TODAY(),"Vence Hoje","Vencida")))</f>
        <v>Enviado</v>
      </c>
      <c r="F3935" s="3" t="str">
        <f ca="1">IF(G3935=1,"-",Tabela2[[#This Row],[Dt Venc:]]-TODAY())</f>
        <v>-</v>
      </c>
      <c r="G3935" s="3">
        <v>1</v>
      </c>
      <c r="H3935" s="3"/>
    </row>
    <row r="3936" spans="1:8" hidden="1">
      <c r="A3936" s="3">
        <v>183684</v>
      </c>
      <c r="B3936" s="7" t="s">
        <v>592</v>
      </c>
      <c r="C3936" s="41">
        <v>1288.08</v>
      </c>
      <c r="D3936" s="6">
        <v>45657</v>
      </c>
      <c r="E3936" s="3" t="str">
        <f ca="1">IF(Tabela2[[#This Row],[Dt Venc:]]&gt;TODAY(),"Em Aberto",IF(Tabela2[[#This Row],[D/venc]]="-","Enviado",IF(Tabela2[[#This Row],[Dt Venc:]]=TODAY(),"Vence Hoje","Vencida")))</f>
        <v>Enviado</v>
      </c>
      <c r="F3936" s="3" t="str">
        <f ca="1">IF(G3936=1,"-",Tabela2[[#This Row],[Dt Venc:]]-TODAY())</f>
        <v>-</v>
      </c>
      <c r="G3936" s="3">
        <v>1</v>
      </c>
      <c r="H3936" s="3"/>
    </row>
    <row r="3937" spans="1:8" hidden="1">
      <c r="A3937" s="3">
        <v>258338</v>
      </c>
      <c r="B3937" s="7" t="s">
        <v>326</v>
      </c>
      <c r="C3937" s="41">
        <v>1716.66</v>
      </c>
      <c r="D3937" s="6">
        <v>45657</v>
      </c>
      <c r="E3937" s="3" t="str">
        <f ca="1">IF(Tabela2[[#This Row],[Dt Venc:]]&gt;TODAY(),"Em Aberto",IF(Tabela2[[#This Row],[D/venc]]="-","Enviado",IF(Tabela2[[#This Row],[Dt Venc:]]=TODAY(),"Vence Hoje","Vencida")))</f>
        <v>Enviado</v>
      </c>
      <c r="F3937" s="3" t="str">
        <f ca="1">IF(G3937=1,"-",Tabela2[[#This Row],[Dt Venc:]]-TODAY())</f>
        <v>-</v>
      </c>
      <c r="G3937" s="3">
        <v>1</v>
      </c>
      <c r="H3937" s="3"/>
    </row>
    <row r="3938" spans="1:8" hidden="1">
      <c r="A3938" s="3">
        <v>619245</v>
      </c>
      <c r="B3938" s="7" t="s">
        <v>66</v>
      </c>
      <c r="C3938" s="41">
        <v>8015.79</v>
      </c>
      <c r="D3938" s="6">
        <v>45657</v>
      </c>
      <c r="E3938" s="3" t="str">
        <f ca="1">IF(Tabela2[[#This Row],[Dt Venc:]]&gt;TODAY(),"Em Aberto",IF(Tabela2[[#This Row],[D/venc]]="-","Enviado",IF(Tabela2[[#This Row],[Dt Venc:]]=TODAY(),"Vence Hoje","Vencida")))</f>
        <v>Enviado</v>
      </c>
      <c r="F3938" s="3" t="str">
        <f ca="1">IF(G3938=1,"-",Tabela2[[#This Row],[Dt Venc:]]-TODAY())</f>
        <v>-</v>
      </c>
      <c r="G3938" s="3">
        <v>1</v>
      </c>
      <c r="H3938" s="3"/>
    </row>
    <row r="3939" spans="1:8" hidden="1">
      <c r="A3939" s="3">
        <v>619187</v>
      </c>
      <c r="B3939" s="7" t="s">
        <v>66</v>
      </c>
      <c r="C3939" s="41">
        <v>413.55</v>
      </c>
      <c r="D3939" s="6">
        <v>45657</v>
      </c>
      <c r="E3939" s="3" t="str">
        <f ca="1">IF(Tabela2[[#This Row],[Dt Venc:]]&gt;TODAY(),"Em Aberto",IF(Tabela2[[#This Row],[D/venc]]="-","Enviado",IF(Tabela2[[#This Row],[Dt Venc:]]=TODAY(),"Vence Hoje","Vencida")))</f>
        <v>Enviado</v>
      </c>
      <c r="F3939" s="3" t="str">
        <f ca="1">IF(G3939=1,"-",Tabela2[[#This Row],[Dt Venc:]]-TODAY())</f>
        <v>-</v>
      </c>
      <c r="G3939" s="3">
        <v>1</v>
      </c>
      <c r="H3939" s="3"/>
    </row>
    <row r="3940" spans="1:8" hidden="1">
      <c r="A3940" s="3">
        <v>720348</v>
      </c>
      <c r="B3940" s="7" t="s">
        <v>79</v>
      </c>
      <c r="C3940" s="41">
        <v>10647.48</v>
      </c>
      <c r="D3940" s="6">
        <v>45657</v>
      </c>
      <c r="E3940" s="3" t="str">
        <f ca="1">IF(Tabela2[[#This Row],[Dt Venc:]]&gt;TODAY(),"Em Aberto",IF(Tabela2[[#This Row],[D/venc]]="-","Enviado",IF(Tabela2[[#This Row],[Dt Venc:]]=TODAY(),"Vence Hoje","Vencida")))</f>
        <v>Enviado</v>
      </c>
      <c r="F3940" s="3" t="str">
        <f ca="1">IF(G3940=1,"-",Tabela2[[#This Row],[Dt Venc:]]-TODAY())</f>
        <v>-</v>
      </c>
      <c r="G3940" s="3">
        <v>1</v>
      </c>
      <c r="H3940" s="3"/>
    </row>
    <row r="3941" spans="1:8" hidden="1">
      <c r="A3941" s="3">
        <v>2879</v>
      </c>
      <c r="B3941" s="7" t="s">
        <v>58</v>
      </c>
      <c r="C3941" s="41">
        <v>3788.47</v>
      </c>
      <c r="D3941" s="6">
        <v>45657</v>
      </c>
      <c r="E3941" s="3" t="str">
        <f ca="1">IF(Tabela2[[#This Row],[Dt Venc:]]&gt;TODAY(),"Em Aberto",IF(Tabela2[[#This Row],[D/venc]]="-","Enviado",IF(Tabela2[[#This Row],[Dt Venc:]]=TODAY(),"Vence Hoje","Vencida")))</f>
        <v>Enviado</v>
      </c>
      <c r="F3941" s="3" t="str">
        <f ca="1">IF(G3941=1,"-",Tabela2[[#This Row],[Dt Venc:]]-TODAY())</f>
        <v>-</v>
      </c>
      <c r="G3941" s="3">
        <v>1</v>
      </c>
      <c r="H3941" s="3"/>
    </row>
    <row r="3942" spans="1:8" hidden="1">
      <c r="A3942" s="3">
        <v>1407</v>
      </c>
      <c r="B3942" s="7" t="s">
        <v>352</v>
      </c>
      <c r="C3942" s="41">
        <v>55</v>
      </c>
      <c r="D3942" s="6">
        <v>45657</v>
      </c>
      <c r="E3942" s="3" t="str">
        <f ca="1">IF(Tabela2[[#This Row],[Dt Venc:]]&gt;TODAY(),"Em Aberto",IF(Tabela2[[#This Row],[D/venc]]="-","Enviado",IF(Tabela2[[#This Row],[Dt Venc:]]=TODAY(),"Vence Hoje","Vencida")))</f>
        <v>Enviado</v>
      </c>
      <c r="F3942" s="3" t="str">
        <f ca="1">IF(G3942=1,"-",Tabela2[[#This Row],[Dt Venc:]]-TODAY())</f>
        <v>-</v>
      </c>
      <c r="G3942" s="3">
        <v>1</v>
      </c>
      <c r="H3942" s="3"/>
    </row>
    <row r="3943" spans="1:8" hidden="1">
      <c r="A3943" s="3">
        <v>1781</v>
      </c>
      <c r="B3943" s="7" t="s">
        <v>352</v>
      </c>
      <c r="C3943" s="41">
        <v>400</v>
      </c>
      <c r="D3943" s="6">
        <v>45657</v>
      </c>
      <c r="E3943" s="3" t="str">
        <f ca="1">IF(Tabela2[[#This Row],[Dt Venc:]]&gt;TODAY(),"Em Aberto",IF(Tabela2[[#This Row],[D/venc]]="-","Enviado",IF(Tabela2[[#This Row],[Dt Venc:]]=TODAY(),"Vence Hoje","Vencida")))</f>
        <v>Enviado</v>
      </c>
      <c r="F3943" s="3" t="str">
        <f ca="1">IF(G3943=1,"-",Tabela2[[#This Row],[Dt Venc:]]-TODAY())</f>
        <v>-</v>
      </c>
      <c r="G3943" s="3">
        <v>1</v>
      </c>
      <c r="H3943" s="3"/>
    </row>
    <row r="3944" spans="1:8" hidden="1">
      <c r="A3944" s="3">
        <v>61162</v>
      </c>
      <c r="B3944" s="7" t="s">
        <v>593</v>
      </c>
      <c r="C3944" s="41">
        <v>284</v>
      </c>
      <c r="D3944" s="6">
        <v>45657</v>
      </c>
      <c r="E3944" s="3" t="str">
        <f ca="1">IF(Tabela2[[#This Row],[Dt Venc:]]&gt;TODAY(),"Em Aberto",IF(Tabela2[[#This Row],[D/venc]]="-","Enviado",IF(Tabela2[[#This Row],[Dt Venc:]]=TODAY(),"Vence Hoje","Vencida")))</f>
        <v>Enviado</v>
      </c>
      <c r="F3944" s="3" t="str">
        <f ca="1">IF(G3944=1,"-",Tabela2[[#This Row],[Dt Venc:]]-TODAY())</f>
        <v>-</v>
      </c>
      <c r="G3944" s="3">
        <v>1</v>
      </c>
      <c r="H3944" s="3"/>
    </row>
    <row r="3945" spans="1:8" hidden="1">
      <c r="A3945" s="3">
        <v>3325967</v>
      </c>
      <c r="B3945" s="7" t="s">
        <v>71</v>
      </c>
      <c r="C3945" s="41">
        <v>83617.5</v>
      </c>
      <c r="D3945" s="6">
        <v>45657</v>
      </c>
      <c r="E3945" s="3" t="str">
        <f ca="1">IF(Tabela2[[#This Row],[Dt Venc:]]&gt;TODAY(),"Em Aberto",IF(Tabela2[[#This Row],[D/venc]]="-","Enviado",IF(Tabela2[[#This Row],[Dt Venc:]]=TODAY(),"Vence Hoje","Vencida")))</f>
        <v>Enviado</v>
      </c>
      <c r="F3945" s="3" t="str">
        <f ca="1">IF(G3945=1,"-",Tabela2[[#This Row],[Dt Venc:]]-TODAY())</f>
        <v>-</v>
      </c>
      <c r="G3945" s="3">
        <v>1</v>
      </c>
      <c r="H3945" s="3"/>
    </row>
    <row r="3946" spans="1:8" hidden="1">
      <c r="A3946" s="3" t="s">
        <v>28</v>
      </c>
      <c r="B3946" s="7" t="s">
        <v>391</v>
      </c>
      <c r="C3946" s="85" t="s">
        <v>30</v>
      </c>
      <c r="D3946" s="6">
        <v>45657</v>
      </c>
      <c r="E3946" s="3" t="str">
        <f ca="1">IF(Tabela2[[#This Row],[Dt Venc:]]&gt;TODAY(),"Em Aberto",IF(Tabela2[[#This Row],[D/venc]]="-","Enviado",IF(Tabela2[[#This Row],[Dt Venc:]]=TODAY(),"Vence Hoje","Vencida")))</f>
        <v>Enviado</v>
      </c>
      <c r="F3946" s="3" t="str">
        <f ca="1">IF(G3946=1,"-",Tabela2[[#This Row],[Dt Venc:]]-TODAY())</f>
        <v>-</v>
      </c>
      <c r="G3946" s="3">
        <v>1</v>
      </c>
      <c r="H3946" s="3"/>
    </row>
    <row r="3947" spans="1:8" hidden="1">
      <c r="A3947" s="3">
        <v>267443</v>
      </c>
      <c r="B3947" s="7" t="s">
        <v>36</v>
      </c>
      <c r="C3947" s="41">
        <v>430</v>
      </c>
      <c r="D3947" s="6">
        <v>45657</v>
      </c>
      <c r="E3947" s="3" t="str">
        <f ca="1">IF(Tabela2[[#This Row],[Dt Venc:]]&gt;TODAY(),"Em Aberto",IF(Tabela2[[#This Row],[D/venc]]="-","Enviado",IF(Tabela2[[#This Row],[Dt Venc:]]=TODAY(),"Vence Hoje","Vencida")))</f>
        <v>Enviado</v>
      </c>
      <c r="F3947" s="3" t="str">
        <f ca="1">IF(G3947=1,"-",Tabela2[[#This Row],[Dt Venc:]]-TODAY())</f>
        <v>-</v>
      </c>
      <c r="G3947" s="3">
        <v>1</v>
      </c>
      <c r="H3947" s="3"/>
    </row>
    <row r="3948" spans="1:8" hidden="1">
      <c r="A3948" s="3" t="s">
        <v>28</v>
      </c>
      <c r="B3948" s="7" t="s">
        <v>29</v>
      </c>
      <c r="C3948" s="85" t="s">
        <v>30</v>
      </c>
      <c r="D3948" s="6">
        <v>45658</v>
      </c>
      <c r="E3948" s="3" t="str">
        <f ca="1">IF(Tabela2[[#This Row],[Dt Venc:]]&gt;TODAY(),"Em Aberto",IF(Tabela2[[#This Row],[D/venc]]="-","Enviado",IF(Tabela2[[#This Row],[Dt Venc:]]=TODAY(),"Vence Hoje","Vencida")))</f>
        <v>Enviado</v>
      </c>
      <c r="F3948" s="3" t="str">
        <f ca="1">IF(G3948=1,"-",Tabela2[[#This Row],[Dt Venc:]]-TODAY())</f>
        <v>-</v>
      </c>
      <c r="G3948" s="3">
        <v>1</v>
      </c>
      <c r="H3948" s="3"/>
    </row>
    <row r="3949" spans="1:8" hidden="1">
      <c r="A3949" s="3" t="s">
        <v>28</v>
      </c>
      <c r="B3949" s="7" t="s">
        <v>255</v>
      </c>
      <c r="C3949" s="83" t="s">
        <v>32</v>
      </c>
      <c r="D3949" s="6">
        <v>45658</v>
      </c>
      <c r="E3949" s="3" t="str">
        <f ca="1">IF(Tabela2[[#This Row],[Dt Venc:]]&gt;TODAY(),"Em Aberto",IF(Tabela2[[#This Row],[D/venc]]="-","Enviado",IF(Tabela2[[#This Row],[Dt Venc:]]=TODAY(),"Vence Hoje","Vencida")))</f>
        <v>Enviado</v>
      </c>
      <c r="F3949" s="3" t="str">
        <f ca="1">IF(G3949=1,"-",Tabela2[[#This Row],[Dt Venc:]]-TODAY())</f>
        <v>-</v>
      </c>
      <c r="G3949" s="3">
        <v>1</v>
      </c>
      <c r="H3949" s="3"/>
    </row>
    <row r="3950" spans="1:8" hidden="1">
      <c r="A3950" s="3">
        <v>15697</v>
      </c>
      <c r="B3950" s="7" t="s">
        <v>289</v>
      </c>
      <c r="C3950" s="41">
        <v>450</v>
      </c>
      <c r="D3950" s="6">
        <v>45658</v>
      </c>
      <c r="E3950" s="3" t="str">
        <f ca="1">IF(Tabela2[[#This Row],[Dt Venc:]]&gt;TODAY(),"Em Aberto",IF(Tabela2[[#This Row],[D/venc]]="-","Enviado",IF(Tabela2[[#This Row],[Dt Venc:]]=TODAY(),"Vence Hoje","Vencida")))</f>
        <v>Enviado</v>
      </c>
      <c r="F3950" s="3" t="str">
        <f ca="1">IF(G3950=1,"-",Tabela2[[#This Row],[Dt Venc:]]-TODAY())</f>
        <v>-</v>
      </c>
      <c r="G3950" s="3">
        <v>1</v>
      </c>
      <c r="H3950" s="3"/>
    </row>
    <row r="3951" spans="1:8" hidden="1">
      <c r="A3951" s="3">
        <v>44971</v>
      </c>
      <c r="B3951" s="7" t="s">
        <v>197</v>
      </c>
      <c r="C3951" s="42">
        <v>1233.3399999999999</v>
      </c>
      <c r="D3951" s="6">
        <v>45658</v>
      </c>
      <c r="E3951" s="3" t="str">
        <f ca="1">IF(Tabela2[[#This Row],[Dt Venc:]]&gt;TODAY(),"Em Aberto",IF(Tabela2[[#This Row],[D/venc]]="-","Enviado",IF(Tabela2[[#This Row],[Dt Venc:]]=TODAY(),"Vence Hoje","Vencida")))</f>
        <v>Enviado</v>
      </c>
      <c r="F3951" s="3" t="str">
        <f ca="1">IF(G3951=1,"-",Tabela2[[#This Row],[Dt Venc:]]-TODAY())</f>
        <v>-</v>
      </c>
      <c r="G3951" s="3">
        <v>1</v>
      </c>
      <c r="H3951" s="3"/>
    </row>
    <row r="3952" spans="1:8" hidden="1">
      <c r="A3952" s="3">
        <v>4929</v>
      </c>
      <c r="B3952" s="7" t="s">
        <v>62</v>
      </c>
      <c r="C3952" s="42">
        <v>1140</v>
      </c>
      <c r="D3952" s="6">
        <v>45658</v>
      </c>
      <c r="E3952" s="3" t="str">
        <f ca="1">IF(Tabela2[[#This Row],[Dt Venc:]]&gt;TODAY(),"Em Aberto",IF(Tabela2[[#This Row],[D/venc]]="-","Enviado",IF(Tabela2[[#This Row],[Dt Venc:]]=TODAY(),"Vence Hoje","Vencida")))</f>
        <v>Enviado</v>
      </c>
      <c r="F3952" s="3" t="str">
        <f ca="1">IF(G3952=1,"-",Tabela2[[#This Row],[Dt Venc:]]-TODAY())</f>
        <v>-</v>
      </c>
      <c r="G3952" s="3">
        <v>1</v>
      </c>
      <c r="H3952" s="3"/>
    </row>
    <row r="3953" spans="1:8" hidden="1">
      <c r="A3953" s="3">
        <v>1556</v>
      </c>
      <c r="B3953" s="7" t="s">
        <v>78</v>
      </c>
      <c r="C3953" s="42">
        <v>419</v>
      </c>
      <c r="D3953" s="6">
        <v>45658</v>
      </c>
      <c r="E3953" s="3" t="str">
        <f ca="1">IF(Tabela2[[#This Row],[Dt Venc:]]&gt;TODAY(),"Em Aberto",IF(Tabela2[[#This Row],[D/venc]]="-","Enviado",IF(Tabela2[[#This Row],[Dt Venc:]]=TODAY(),"Vence Hoje","Vencida")))</f>
        <v>Enviado</v>
      </c>
      <c r="F3953" s="3" t="str">
        <f ca="1">IF(G3953=1,"-",Tabela2[[#This Row],[Dt Venc:]]-TODAY())</f>
        <v>-</v>
      </c>
      <c r="G3953" s="3">
        <v>1</v>
      </c>
      <c r="H3953" s="3"/>
    </row>
    <row r="3954" spans="1:8" hidden="1">
      <c r="A3954" s="3">
        <v>181253</v>
      </c>
      <c r="B3954" s="7" t="s">
        <v>84</v>
      </c>
      <c r="C3954" s="42">
        <v>802.32</v>
      </c>
      <c r="D3954" s="6">
        <v>45658</v>
      </c>
      <c r="E3954" s="3" t="str">
        <f ca="1">IF(Tabela2[[#This Row],[Dt Venc:]]&gt;TODAY(),"Em Aberto",IF(Tabela2[[#This Row],[D/venc]]="-","Enviado",IF(Tabela2[[#This Row],[Dt Venc:]]=TODAY(),"Vence Hoje","Vencida")))</f>
        <v>Enviado</v>
      </c>
      <c r="F3954" s="3" t="str">
        <f ca="1">IF(G3954=1,"-",Tabela2[[#This Row],[Dt Venc:]]-TODAY())</f>
        <v>-</v>
      </c>
      <c r="G3954" s="3">
        <v>1</v>
      </c>
      <c r="H3954" s="3"/>
    </row>
    <row r="3955" spans="1:8" hidden="1">
      <c r="A3955" s="3">
        <v>237128</v>
      </c>
      <c r="B3955" s="7" t="s">
        <v>43</v>
      </c>
      <c r="C3955" s="42">
        <v>1374.3</v>
      </c>
      <c r="D3955" s="6">
        <v>45658</v>
      </c>
      <c r="E3955" s="3" t="str">
        <f ca="1">IF(Tabela2[[#This Row],[Dt Venc:]]&gt;TODAY(),"Em Aberto",IF(Tabela2[[#This Row],[D/venc]]="-","Enviado",IF(Tabela2[[#This Row],[Dt Venc:]]=TODAY(),"Vence Hoje","Vencida")))</f>
        <v>Enviado</v>
      </c>
      <c r="F3955" s="3" t="str">
        <f ca="1">IF(G3955=1,"-",Tabela2[[#This Row],[Dt Venc:]]-TODAY())</f>
        <v>-</v>
      </c>
      <c r="G3955" s="3">
        <v>1</v>
      </c>
      <c r="H3955" s="3"/>
    </row>
    <row r="3956" spans="1:8" hidden="1">
      <c r="A3956" s="3">
        <v>765348</v>
      </c>
      <c r="B3956" s="7" t="s">
        <v>79</v>
      </c>
      <c r="C3956" s="41">
        <v>2129.36</v>
      </c>
      <c r="D3956" s="6">
        <v>45658</v>
      </c>
      <c r="E3956" s="3" t="str">
        <f ca="1">IF(Tabela2[[#This Row],[Dt Venc:]]&gt;TODAY(),"Em Aberto",IF(Tabela2[[#This Row],[D/venc]]="-","Enviado",IF(Tabela2[[#This Row],[Dt Venc:]]=TODAY(),"Vence Hoje","Vencida")))</f>
        <v>Enviado</v>
      </c>
      <c r="F3956" s="3" t="str">
        <f ca="1">IF(G3956=1,"-",Tabela2[[#This Row],[Dt Venc:]]-TODAY())</f>
        <v>-</v>
      </c>
      <c r="G3956" s="3">
        <v>1</v>
      </c>
      <c r="H3956" s="3"/>
    </row>
    <row r="3957" spans="1:8" hidden="1">
      <c r="A3957" s="3">
        <v>15300</v>
      </c>
      <c r="B3957" s="7" t="s">
        <v>44</v>
      </c>
      <c r="C3957" s="41">
        <v>850</v>
      </c>
      <c r="D3957" s="6">
        <v>45658</v>
      </c>
      <c r="E3957" s="3" t="str">
        <f ca="1">IF(Tabela2[[#This Row],[Dt Venc:]]&gt;TODAY(),"Em Aberto",IF(Tabela2[[#This Row],[D/venc]]="-","Enviado",IF(Tabela2[[#This Row],[Dt Venc:]]=TODAY(),"Vence Hoje","Vencida")))</f>
        <v>Enviado</v>
      </c>
      <c r="F3957" s="3" t="str">
        <f ca="1">IF(G3957=1,"-",Tabela2[[#This Row],[Dt Venc:]]-TODAY())</f>
        <v>-</v>
      </c>
      <c r="G3957" s="3">
        <v>1</v>
      </c>
      <c r="H3957" s="3"/>
    </row>
    <row r="3958" spans="1:8" hidden="1">
      <c r="A3958" s="3">
        <v>153314</v>
      </c>
      <c r="B3958" s="7" t="s">
        <v>77</v>
      </c>
      <c r="C3958" s="42">
        <v>1233.33</v>
      </c>
      <c r="D3958" s="6">
        <v>45658</v>
      </c>
      <c r="E3958" s="3" t="str">
        <f ca="1">IF(Tabela2[[#This Row],[Dt Venc:]]&gt;TODAY(),"Em Aberto",IF(Tabela2[[#This Row],[D/venc]]="-","Enviado",IF(Tabela2[[#This Row],[Dt Venc:]]=TODAY(),"Vence Hoje","Vencida")))</f>
        <v>Enviado</v>
      </c>
      <c r="F3958" s="3" t="str">
        <f ca="1">IF(G3958=1,"-",Tabela2[[#This Row],[Dt Venc:]]-TODAY())</f>
        <v>-</v>
      </c>
      <c r="G3958" s="3">
        <v>1</v>
      </c>
      <c r="H3958" s="3"/>
    </row>
    <row r="3959" spans="1:8" hidden="1">
      <c r="A3959" s="3">
        <v>326615</v>
      </c>
      <c r="B3959" s="7" t="s">
        <v>77</v>
      </c>
      <c r="C3959" s="42">
        <v>405</v>
      </c>
      <c r="D3959" s="6">
        <v>45658</v>
      </c>
      <c r="E3959" s="3" t="str">
        <f ca="1">IF(Tabela2[[#This Row],[Dt Venc:]]&gt;TODAY(),"Em Aberto",IF(Tabela2[[#This Row],[D/venc]]="-","Enviado",IF(Tabela2[[#This Row],[Dt Venc:]]=TODAY(),"Vence Hoje","Vencida")))</f>
        <v>Enviado</v>
      </c>
      <c r="F3959" s="3" t="str">
        <f ca="1">IF(G3959=1,"-",Tabela2[[#This Row],[Dt Venc:]]-TODAY())</f>
        <v>-</v>
      </c>
      <c r="G3959" s="3">
        <v>1</v>
      </c>
      <c r="H3959" s="3"/>
    </row>
    <row r="3960" spans="1:8" hidden="1">
      <c r="A3960" s="3">
        <v>5898</v>
      </c>
      <c r="B3960" s="7" t="s">
        <v>398</v>
      </c>
      <c r="C3960" s="42">
        <v>1031.8699999999999</v>
      </c>
      <c r="D3960" s="6">
        <v>45658</v>
      </c>
      <c r="E3960" s="3" t="str">
        <f ca="1">IF(Tabela2[[#This Row],[Dt Venc:]]&gt;TODAY(),"Em Aberto",IF(Tabela2[[#This Row],[D/venc]]="-","Enviado",IF(Tabela2[[#This Row],[Dt Venc:]]=TODAY(),"Vence Hoje","Vencida")))</f>
        <v>Enviado</v>
      </c>
      <c r="F3960" s="3" t="str">
        <f ca="1">IF(G3960=1,"-",Tabela2[[#This Row],[Dt Venc:]]-TODAY())</f>
        <v>-</v>
      </c>
      <c r="G3960" s="3">
        <v>1</v>
      </c>
      <c r="H3960" s="3"/>
    </row>
    <row r="3961" spans="1:8" hidden="1">
      <c r="A3961" s="3">
        <v>44486</v>
      </c>
      <c r="B3961" s="7" t="s">
        <v>439</v>
      </c>
      <c r="C3961" s="41">
        <v>598.03</v>
      </c>
      <c r="D3961" s="6">
        <v>45658</v>
      </c>
      <c r="E3961" s="3" t="str">
        <f ca="1">IF(Tabela2[[#This Row],[Dt Venc:]]&gt;TODAY(),"Em Aberto",IF(Tabela2[[#This Row],[D/venc]]="-","Enviado",IF(Tabela2[[#This Row],[Dt Venc:]]=TODAY(),"Vence Hoje","Vencida")))</f>
        <v>Enviado</v>
      </c>
      <c r="F3961" s="3" t="str">
        <f ca="1">IF(G3961=1,"-",Tabela2[[#This Row],[Dt Venc:]]-TODAY())</f>
        <v>-</v>
      </c>
      <c r="G3961" s="3">
        <v>1</v>
      </c>
      <c r="H3961" s="3"/>
    </row>
    <row r="3962" spans="1:8" hidden="1">
      <c r="A3962" s="3">
        <v>173417</v>
      </c>
      <c r="B3962" s="7" t="s">
        <v>174</v>
      </c>
      <c r="C3962" s="42">
        <v>1076.6600000000001</v>
      </c>
      <c r="D3962" s="6">
        <v>45658</v>
      </c>
      <c r="E3962" s="3" t="str">
        <f ca="1">IF(Tabela2[[#This Row],[Dt Venc:]]&gt;TODAY(),"Em Aberto",IF(Tabela2[[#This Row],[D/venc]]="-","Enviado",IF(Tabela2[[#This Row],[Dt Venc:]]=TODAY(),"Vence Hoje","Vencida")))</f>
        <v>Enviado</v>
      </c>
      <c r="F3962" s="3" t="str">
        <f ca="1">IF(G3962=1,"-",Tabela2[[#This Row],[Dt Venc:]]-TODAY())</f>
        <v>-</v>
      </c>
      <c r="G3962" s="3">
        <v>1</v>
      </c>
      <c r="H3962" s="3"/>
    </row>
    <row r="3963" spans="1:8" hidden="1">
      <c r="A3963" s="3">
        <v>81382</v>
      </c>
      <c r="B3963" s="7" t="s">
        <v>594</v>
      </c>
      <c r="C3963" s="41">
        <v>304.39999999999998</v>
      </c>
      <c r="D3963" s="6">
        <v>45658</v>
      </c>
      <c r="E3963" s="3" t="str">
        <f ca="1">IF(Tabela2[[#This Row],[Dt Venc:]]&gt;TODAY(),"Em Aberto",IF(Tabela2[[#This Row],[D/venc]]="-","Enviado",IF(Tabela2[[#This Row],[Dt Venc:]]=TODAY(),"Vence Hoje","Vencida")))</f>
        <v>Enviado</v>
      </c>
      <c r="F3963" s="3" t="str">
        <f ca="1">IF(G3963=1,"-",Tabela2[[#This Row],[Dt Venc:]]-TODAY())</f>
        <v>-</v>
      </c>
      <c r="G3963" s="3">
        <v>1</v>
      </c>
      <c r="H3963" s="3"/>
    </row>
    <row r="3964" spans="1:8" hidden="1">
      <c r="A3964" s="3">
        <v>447824</v>
      </c>
      <c r="B3964" s="7" t="s">
        <v>512</v>
      </c>
      <c r="C3964" s="41">
        <v>783.42</v>
      </c>
      <c r="D3964" s="6">
        <v>45658</v>
      </c>
      <c r="E3964" s="3" t="str">
        <f ca="1">IF(Tabela2[[#This Row],[Dt Venc:]]&gt;TODAY(),"Em Aberto",IF(Tabela2[[#This Row],[D/venc]]="-","Enviado",IF(Tabela2[[#This Row],[Dt Venc:]]=TODAY(),"Vence Hoje","Vencida")))</f>
        <v>Enviado</v>
      </c>
      <c r="F3964" s="3" t="str">
        <f ca="1">IF(G3964=1,"-",Tabela2[[#This Row],[Dt Venc:]]-TODAY())</f>
        <v>-</v>
      </c>
      <c r="G3964" s="3">
        <v>1</v>
      </c>
      <c r="H3964" s="3"/>
    </row>
    <row r="3965" spans="1:8" hidden="1">
      <c r="A3965" s="3">
        <v>89804</v>
      </c>
      <c r="B3965" s="7" t="s">
        <v>207</v>
      </c>
      <c r="C3965" s="41">
        <v>833.33</v>
      </c>
      <c r="D3965" s="6">
        <v>45658</v>
      </c>
      <c r="E3965" s="3" t="str">
        <f ca="1">IF(Tabela2[[#This Row],[Dt Venc:]]&gt;TODAY(),"Em Aberto",IF(Tabela2[[#This Row],[D/venc]]="-","Enviado",IF(Tabela2[[#This Row],[Dt Venc:]]=TODAY(),"Vence Hoje","Vencida")))</f>
        <v>Enviado</v>
      </c>
      <c r="F3965" s="3" t="str">
        <f ca="1">IF(G3965=1,"-",Tabela2[[#This Row],[Dt Venc:]]-TODAY())</f>
        <v>-</v>
      </c>
      <c r="G3965" s="3">
        <v>1</v>
      </c>
      <c r="H3965" s="3"/>
    </row>
    <row r="3966" spans="1:8" hidden="1">
      <c r="A3966" s="3">
        <v>16823</v>
      </c>
      <c r="B3966" s="7" t="s">
        <v>595</v>
      </c>
      <c r="C3966" s="41">
        <v>736</v>
      </c>
      <c r="D3966" s="6">
        <v>45658</v>
      </c>
      <c r="E3966" s="3" t="str">
        <f ca="1">IF(Tabela2[[#This Row],[Dt Venc:]]&gt;TODAY(),"Em Aberto",IF(Tabela2[[#This Row],[D/venc]]="-","Enviado",IF(Tabela2[[#This Row],[Dt Venc:]]=TODAY(),"Vence Hoje","Vencida")))</f>
        <v>Enviado</v>
      </c>
      <c r="F3966" s="3" t="str">
        <f ca="1">IF(G3966=1,"-",Tabela2[[#This Row],[Dt Venc:]]-TODAY())</f>
        <v>-</v>
      </c>
      <c r="G3966" s="3">
        <v>1</v>
      </c>
      <c r="H3966" s="3"/>
    </row>
    <row r="3967" spans="1:8" hidden="1">
      <c r="A3967" s="3">
        <v>34850</v>
      </c>
      <c r="B3967" s="7" t="s">
        <v>594</v>
      </c>
      <c r="C3967" s="41">
        <v>724.96</v>
      </c>
      <c r="D3967" s="6">
        <v>45658</v>
      </c>
      <c r="E3967" s="3" t="str">
        <f ca="1">IF(Tabela2[[#This Row],[Dt Venc:]]&gt;TODAY(),"Em Aberto",IF(Tabela2[[#This Row],[D/venc]]="-","Enviado",IF(Tabela2[[#This Row],[Dt Venc:]]=TODAY(),"Vence Hoje","Vencida")))</f>
        <v>Enviado</v>
      </c>
      <c r="F3967" s="3" t="str">
        <f ca="1">IF(G3967=1,"-",Tabela2[[#This Row],[Dt Venc:]]-TODAY())</f>
        <v>-</v>
      </c>
      <c r="G3967" s="3">
        <v>1</v>
      </c>
      <c r="H3967" s="3"/>
    </row>
    <row r="3968" spans="1:8" hidden="1">
      <c r="A3968" s="3">
        <v>398238</v>
      </c>
      <c r="B3968" s="7" t="s">
        <v>596</v>
      </c>
      <c r="C3968" s="41">
        <v>2493.33</v>
      </c>
      <c r="D3968" s="6">
        <v>45658</v>
      </c>
      <c r="E3968" s="3" t="str">
        <f ca="1">IF(Tabela2[[#This Row],[Dt Venc:]]&gt;TODAY(),"Em Aberto",IF(Tabela2[[#This Row],[D/venc]]="-","Enviado",IF(Tabela2[[#This Row],[Dt Venc:]]=TODAY(),"Vence Hoje","Vencida")))</f>
        <v>Enviado</v>
      </c>
      <c r="F3968" s="3" t="str">
        <f ca="1">IF(G3968=1,"-",Tabela2[[#This Row],[Dt Venc:]]-TODAY())</f>
        <v>-</v>
      </c>
      <c r="G3968" s="3">
        <v>1</v>
      </c>
      <c r="H3968" s="3"/>
    </row>
    <row r="3969" spans="1:8" hidden="1">
      <c r="A3969" s="3">
        <v>2883</v>
      </c>
      <c r="B3969" s="7" t="s">
        <v>58</v>
      </c>
      <c r="C3969" s="41">
        <v>2813.74</v>
      </c>
      <c r="D3969" s="6">
        <v>45658</v>
      </c>
      <c r="E3969" s="3" t="str">
        <f ca="1">IF(Tabela2[[#This Row],[Dt Venc:]]&gt;TODAY(),"Em Aberto",IF(Tabela2[[#This Row],[D/venc]]="-","Enviado",IF(Tabela2[[#This Row],[Dt Venc:]]=TODAY(),"Vence Hoje","Vencida")))</f>
        <v>Enviado</v>
      </c>
      <c r="F3969" s="3" t="str">
        <f ca="1">IF(G3969=1,"-",Tabela2[[#This Row],[Dt Venc:]]-TODAY())</f>
        <v>-</v>
      </c>
      <c r="G3969" s="3">
        <v>1</v>
      </c>
      <c r="H3969" s="3"/>
    </row>
    <row r="3970" spans="1:8" hidden="1">
      <c r="A3970" s="3">
        <v>6615</v>
      </c>
      <c r="B3970" s="7" t="s">
        <v>189</v>
      </c>
      <c r="C3970" s="41">
        <v>169</v>
      </c>
      <c r="D3970" s="6">
        <v>45658</v>
      </c>
      <c r="E3970" s="3" t="str">
        <f ca="1">IF(Tabela2[[#This Row],[Dt Venc:]]&gt;TODAY(),"Em Aberto",IF(Tabela2[[#This Row],[D/venc]]="-","Enviado",IF(Tabela2[[#This Row],[Dt Venc:]]=TODAY(),"Vence Hoje","Vencida")))</f>
        <v>Enviado</v>
      </c>
      <c r="F3970" s="3" t="str">
        <f ca="1">IF(G3970=1,"-",Tabela2[[#This Row],[Dt Venc:]]-TODAY())</f>
        <v>-</v>
      </c>
      <c r="G3970" s="3">
        <v>1</v>
      </c>
      <c r="H3970" s="3"/>
    </row>
    <row r="3971" spans="1:8" hidden="1">
      <c r="A3971" s="3">
        <v>262519</v>
      </c>
      <c r="B3971" s="7" t="s">
        <v>43</v>
      </c>
      <c r="C3971" s="41">
        <v>674.48</v>
      </c>
      <c r="D3971" s="6">
        <v>45658</v>
      </c>
      <c r="E3971" s="3" t="str">
        <f ca="1">IF(Tabela2[[#This Row],[Dt Venc:]]&gt;TODAY(),"Em Aberto",IF(Tabela2[[#This Row],[D/venc]]="-","Enviado",IF(Tabela2[[#This Row],[Dt Venc:]]=TODAY(),"Vence Hoje","Vencida")))</f>
        <v>Enviado</v>
      </c>
      <c r="F3971" s="3" t="str">
        <f ca="1">IF(G3971=1,"-",Tabela2[[#This Row],[Dt Venc:]]-TODAY())</f>
        <v>-</v>
      </c>
      <c r="G3971" s="3">
        <v>1</v>
      </c>
      <c r="H3971" s="3"/>
    </row>
    <row r="3972" spans="1:8" hidden="1">
      <c r="A3972" s="3">
        <v>267747</v>
      </c>
      <c r="B3972" s="7" t="s">
        <v>189</v>
      </c>
      <c r="C3972" s="41">
        <v>268.58</v>
      </c>
      <c r="D3972" s="6">
        <v>45658</v>
      </c>
      <c r="E3972" s="3" t="str">
        <f ca="1">IF(Tabela2[[#This Row],[Dt Venc:]]&gt;TODAY(),"Em Aberto",IF(Tabela2[[#This Row],[D/venc]]="-","Enviado",IF(Tabela2[[#This Row],[Dt Venc:]]=TODAY(),"Vence Hoje","Vencida")))</f>
        <v>Enviado</v>
      </c>
      <c r="F3972" s="3" t="str">
        <f ca="1">IF(G3972=1,"-",Tabela2[[#This Row],[Dt Venc:]]-TODAY())</f>
        <v>-</v>
      </c>
      <c r="G3972" s="3">
        <v>1</v>
      </c>
      <c r="H3972" s="3"/>
    </row>
    <row r="3973" spans="1:8" hidden="1">
      <c r="A3973" s="3">
        <v>31622</v>
      </c>
      <c r="B3973" s="7" t="s">
        <v>542</v>
      </c>
      <c r="C3973" s="41">
        <v>3416.25</v>
      </c>
      <c r="D3973" s="6">
        <v>45658</v>
      </c>
      <c r="E3973" s="3" t="str">
        <f ca="1">IF(Tabela2[[#This Row],[Dt Venc:]]&gt;TODAY(),"Em Aberto",IF(Tabela2[[#This Row],[D/venc]]="-","Enviado",IF(Tabela2[[#This Row],[Dt Venc:]]=TODAY(),"Vence Hoje","Vencida")))</f>
        <v>Enviado</v>
      </c>
      <c r="F3973" s="3" t="str">
        <f ca="1">IF(G3973=1,"-",Tabela2[[#This Row],[Dt Venc:]]-TODAY())</f>
        <v>-</v>
      </c>
      <c r="G3973" s="3">
        <v>1</v>
      </c>
      <c r="H3973" s="3"/>
    </row>
    <row r="3974" spans="1:8" hidden="1">
      <c r="A3974" s="3">
        <v>10986</v>
      </c>
      <c r="B3974" s="7" t="s">
        <v>175</v>
      </c>
      <c r="C3974" s="41">
        <v>324.68</v>
      </c>
      <c r="D3974" s="6">
        <v>45658</v>
      </c>
      <c r="E3974" s="3" t="str">
        <f ca="1">IF(Tabela2[[#This Row],[Dt Venc:]]&gt;TODAY(),"Em Aberto",IF(Tabela2[[#This Row],[D/venc]]="-","Enviado",IF(Tabela2[[#This Row],[Dt Venc:]]=TODAY(),"Vence Hoje","Vencida")))</f>
        <v>Enviado</v>
      </c>
      <c r="F3974" s="3" t="str">
        <f ca="1">IF(G3974=1,"-",Tabela2[[#This Row],[Dt Venc:]]-TODAY())</f>
        <v>-</v>
      </c>
      <c r="G3974" s="3">
        <v>1</v>
      </c>
      <c r="H3974" s="3"/>
    </row>
    <row r="3975" spans="1:8" hidden="1">
      <c r="A3975" s="3">
        <v>4232</v>
      </c>
      <c r="B3975" s="7" t="s">
        <v>479</v>
      </c>
      <c r="C3975" s="41">
        <v>304.22000000000003</v>
      </c>
      <c r="D3975" s="6">
        <v>45658</v>
      </c>
      <c r="E3975" s="3" t="str">
        <f ca="1">IF(Tabela2[[#This Row],[Dt Venc:]]&gt;TODAY(),"Em Aberto",IF(Tabela2[[#This Row],[D/venc]]="-","Enviado",IF(Tabela2[[#This Row],[Dt Venc:]]=TODAY(),"Vence Hoje","Vencida")))</f>
        <v>Enviado</v>
      </c>
      <c r="F3975" s="3" t="str">
        <f ca="1">IF(G3975=1,"-",Tabela2[[#This Row],[Dt Venc:]]-TODAY())</f>
        <v>-</v>
      </c>
      <c r="G3975" s="3">
        <v>1</v>
      </c>
      <c r="H3975" s="3"/>
    </row>
    <row r="3976" spans="1:8" hidden="1">
      <c r="A3976" s="3">
        <v>1661</v>
      </c>
      <c r="B3976" s="7" t="s">
        <v>556</v>
      </c>
      <c r="C3976" s="41">
        <v>912</v>
      </c>
      <c r="D3976" s="6">
        <v>45658</v>
      </c>
      <c r="E3976" s="3" t="str">
        <f ca="1">IF(Tabela2[[#This Row],[Dt Venc:]]&gt;TODAY(),"Em Aberto",IF(Tabela2[[#This Row],[D/venc]]="-","Enviado",IF(Tabela2[[#This Row],[Dt Venc:]]=TODAY(),"Vence Hoje","Vencida")))</f>
        <v>Enviado</v>
      </c>
      <c r="F3976" s="3" t="str">
        <f ca="1">IF(G3976=1,"-",Tabela2[[#This Row],[Dt Venc:]]-TODAY())</f>
        <v>-</v>
      </c>
      <c r="G3976" s="3">
        <v>1</v>
      </c>
      <c r="H3976" s="3"/>
    </row>
    <row r="3977" spans="1:8" hidden="1">
      <c r="A3977" s="3">
        <v>4638399</v>
      </c>
      <c r="B3977" s="7" t="s">
        <v>90</v>
      </c>
      <c r="C3977" s="41">
        <v>1096.79</v>
      </c>
      <c r="D3977" s="6">
        <v>45658</v>
      </c>
      <c r="E3977" s="3" t="str">
        <f ca="1">IF(Tabela2[[#This Row],[Dt Venc:]]&gt;TODAY(),"Em Aberto",IF(Tabela2[[#This Row],[D/venc]]="-","Enviado",IF(Tabela2[[#This Row],[Dt Venc:]]=TODAY(),"Vence Hoje","Vencida")))</f>
        <v>Enviado</v>
      </c>
      <c r="F3977" s="3" t="str">
        <f ca="1">IF(G3977=1,"-",Tabela2[[#This Row],[Dt Venc:]]-TODAY())</f>
        <v>-</v>
      </c>
      <c r="G3977" s="3">
        <v>1</v>
      </c>
      <c r="H3977" s="3"/>
    </row>
    <row r="3978" spans="1:8" hidden="1">
      <c r="A3978" s="3">
        <v>4231</v>
      </c>
      <c r="B3978" s="7" t="s">
        <v>479</v>
      </c>
      <c r="C3978" s="41">
        <v>579.71</v>
      </c>
      <c r="D3978" s="6">
        <v>45658</v>
      </c>
      <c r="E3978" s="3" t="str">
        <f ca="1">IF(Tabela2[[#This Row],[Dt Venc:]]&gt;TODAY(),"Em Aberto",IF(Tabela2[[#This Row],[D/venc]]="-","Enviado",IF(Tabela2[[#This Row],[Dt Venc:]]=TODAY(),"Vence Hoje","Vencida")))</f>
        <v>Enviado</v>
      </c>
      <c r="F3978" s="3" t="str">
        <f ca="1">IF(G3978=1,"-",Tabela2[[#This Row],[Dt Venc:]]-TODAY())</f>
        <v>-</v>
      </c>
      <c r="G3978" s="3">
        <v>1</v>
      </c>
      <c r="H3978" s="3"/>
    </row>
    <row r="3979" spans="1:8" hidden="1">
      <c r="A3979" s="3">
        <v>1410</v>
      </c>
      <c r="B3979" s="7" t="s">
        <v>352</v>
      </c>
      <c r="C3979" s="41">
        <v>45.7</v>
      </c>
      <c r="D3979" s="6">
        <v>45658</v>
      </c>
      <c r="E3979" s="3" t="str">
        <f ca="1">IF(Tabela2[[#This Row],[Dt Venc:]]&gt;TODAY(),"Em Aberto",IF(Tabela2[[#This Row],[D/venc]]="-","Enviado",IF(Tabela2[[#This Row],[Dt Venc:]]=TODAY(),"Vence Hoje","Vencida")))</f>
        <v>Enviado</v>
      </c>
      <c r="F3979" s="3" t="str">
        <f ca="1">IF(G3979=1,"-",Tabela2[[#This Row],[Dt Venc:]]-TODAY())</f>
        <v>-</v>
      </c>
      <c r="G3979" s="3">
        <v>1</v>
      </c>
      <c r="H3979" s="3"/>
    </row>
    <row r="3980" spans="1:8" hidden="1">
      <c r="A3980" s="3">
        <v>1789</v>
      </c>
      <c r="B3980" s="7" t="s">
        <v>352</v>
      </c>
      <c r="C3980" s="41">
        <v>410.09</v>
      </c>
      <c r="D3980" s="6">
        <v>45658</v>
      </c>
      <c r="E3980" s="3" t="str">
        <f ca="1">IF(Tabela2[[#This Row],[Dt Venc:]]&gt;TODAY(),"Em Aberto",IF(Tabela2[[#This Row],[D/venc]]="-","Enviado",IF(Tabela2[[#This Row],[Dt Venc:]]=TODAY(),"Vence Hoje","Vencida")))</f>
        <v>Enviado</v>
      </c>
      <c r="F3980" s="3" t="str">
        <f ca="1">IF(G3980=1,"-",Tabela2[[#This Row],[Dt Venc:]]-TODAY())</f>
        <v>-</v>
      </c>
      <c r="G3980" s="3">
        <v>1</v>
      </c>
      <c r="H3980" s="3"/>
    </row>
    <row r="3981" spans="1:8" hidden="1">
      <c r="A3981" s="3">
        <v>1787</v>
      </c>
      <c r="B3981" s="7" t="s">
        <v>352</v>
      </c>
      <c r="C3981" s="41">
        <v>620</v>
      </c>
      <c r="D3981" s="6">
        <v>45658</v>
      </c>
      <c r="E3981" s="3" t="str">
        <f ca="1">IF(Tabela2[[#This Row],[Dt Venc:]]&gt;TODAY(),"Em Aberto",IF(Tabela2[[#This Row],[D/venc]]="-","Enviado",IF(Tabela2[[#This Row],[Dt Venc:]]=TODAY(),"Vence Hoje","Vencida")))</f>
        <v>Enviado</v>
      </c>
      <c r="F3981" s="3" t="str">
        <f ca="1">IF(G3981=1,"-",Tabela2[[#This Row],[Dt Venc:]]-TODAY())</f>
        <v>-</v>
      </c>
      <c r="G3981" s="3">
        <v>1</v>
      </c>
      <c r="H3981" s="3"/>
    </row>
    <row r="3982" spans="1:8" hidden="1">
      <c r="A3982" s="3">
        <v>1408</v>
      </c>
      <c r="B3982" s="7" t="s">
        <v>352</v>
      </c>
      <c r="C3982" s="41">
        <v>215</v>
      </c>
      <c r="D3982" s="6">
        <v>45658</v>
      </c>
      <c r="E3982" s="3" t="str">
        <f ca="1">IF(Tabela2[[#This Row],[Dt Venc:]]&gt;TODAY(),"Em Aberto",IF(Tabela2[[#This Row],[D/venc]]="-","Enviado",IF(Tabela2[[#This Row],[Dt Venc:]]=TODAY(),"Vence Hoje","Vencida")))</f>
        <v>Enviado</v>
      </c>
      <c r="F3982" s="3" t="str">
        <f ca="1">IF(G3982=1,"-",Tabela2[[#This Row],[Dt Venc:]]-TODAY())</f>
        <v>-</v>
      </c>
      <c r="G3982" s="3">
        <v>1</v>
      </c>
      <c r="H3982" s="3"/>
    </row>
    <row r="3983" spans="1:8" hidden="1">
      <c r="A3983" s="3">
        <v>1409</v>
      </c>
      <c r="B3983" s="7" t="s">
        <v>352</v>
      </c>
      <c r="C3983" s="41">
        <v>45.7</v>
      </c>
      <c r="D3983" s="6">
        <v>45658</v>
      </c>
      <c r="E3983" s="3" t="str">
        <f ca="1">IF(Tabela2[[#This Row],[Dt Venc:]]&gt;TODAY(),"Em Aberto",IF(Tabela2[[#This Row],[D/venc]]="-","Enviado",IF(Tabela2[[#This Row],[Dt Venc:]]=TODAY(),"Vence Hoje","Vencida")))</f>
        <v>Enviado</v>
      </c>
      <c r="F3983" s="3" t="str">
        <f ca="1">IF(G3983=1,"-",Tabela2[[#This Row],[Dt Venc:]]-TODAY())</f>
        <v>-</v>
      </c>
      <c r="G3983" s="3">
        <v>1</v>
      </c>
      <c r="H3983" s="3"/>
    </row>
    <row r="3984" spans="1:8" hidden="1">
      <c r="A3984" s="3">
        <v>1788</v>
      </c>
      <c r="B3984" s="7" t="s">
        <v>352</v>
      </c>
      <c r="C3984" s="41">
        <v>320</v>
      </c>
      <c r="D3984" s="6">
        <v>45658</v>
      </c>
      <c r="E3984" s="3" t="str">
        <f ca="1">IF(Tabela2[[#This Row],[Dt Venc:]]&gt;TODAY(),"Em Aberto",IF(Tabela2[[#This Row],[D/venc]]="-","Enviado",IF(Tabela2[[#This Row],[Dt Venc:]]=TODAY(),"Vence Hoje","Vencida")))</f>
        <v>Enviado</v>
      </c>
      <c r="F3984" s="3" t="str">
        <f ca="1">IF(G3984=1,"-",Tabela2[[#This Row],[Dt Venc:]]-TODAY())</f>
        <v>-</v>
      </c>
      <c r="G3984" s="3">
        <v>1</v>
      </c>
      <c r="H3984" s="3"/>
    </row>
    <row r="3985" spans="1:8" hidden="1">
      <c r="A3985" s="3" t="s">
        <v>110</v>
      </c>
      <c r="B3985" s="7" t="s">
        <v>395</v>
      </c>
      <c r="C3985" s="42" t="s">
        <v>32</v>
      </c>
      <c r="D3985" s="6">
        <v>45658</v>
      </c>
      <c r="E3985" s="3" t="str">
        <f ca="1">IF(Tabela2[[#This Row],[Dt Venc:]]&gt;TODAY(),"Em Aberto",IF(Tabela2[[#This Row],[D/venc]]="-","Enviado",IF(Tabela2[[#This Row],[Dt Venc:]]=TODAY(),"Vence Hoje","Vencida")))</f>
        <v>Enviado</v>
      </c>
      <c r="F3985" s="3" t="str">
        <f ca="1">IF(G3985=1,"-",Tabela2[[#This Row],[Dt Venc:]]-TODAY())</f>
        <v>-</v>
      </c>
      <c r="G3985" s="3">
        <v>1</v>
      </c>
      <c r="H3985" s="3"/>
    </row>
    <row r="3986" spans="1:8" hidden="1">
      <c r="A3986" s="3">
        <v>818909</v>
      </c>
      <c r="B3986" s="7" t="s">
        <v>81</v>
      </c>
      <c r="C3986" s="87" t="s">
        <v>32</v>
      </c>
      <c r="D3986" s="6">
        <v>45659</v>
      </c>
      <c r="E3986" s="3" t="str">
        <f ca="1">IF(Tabela2[[#This Row],[Dt Venc:]]&gt;TODAY(),"Em Aberto",IF(Tabela2[[#This Row],[D/venc]]="-","Enviado",IF(Tabela2[[#This Row],[Dt Venc:]]=TODAY(),"Vence Hoje","Vencida")))</f>
        <v>Enviado</v>
      </c>
      <c r="F3986" s="3" t="str">
        <f ca="1">IF(G3986=1,"-",Tabela2[[#This Row],[Dt Venc:]]-TODAY())</f>
        <v>-</v>
      </c>
      <c r="G3986" s="3">
        <v>1</v>
      </c>
      <c r="H3986" s="3"/>
    </row>
    <row r="3987" spans="1:8" hidden="1">
      <c r="A3987" s="3">
        <v>2806</v>
      </c>
      <c r="B3987" s="7" t="s">
        <v>301</v>
      </c>
      <c r="C3987" s="42">
        <v>2440</v>
      </c>
      <c r="D3987" s="6">
        <v>45659</v>
      </c>
      <c r="E3987" s="3" t="str">
        <f ca="1">IF(Tabela2[[#This Row],[Dt Venc:]]&gt;TODAY(),"Em Aberto",IF(Tabela2[[#This Row],[D/venc]]="-","Enviado",IF(Tabela2[[#This Row],[Dt Venc:]]=TODAY(),"Vence Hoje","Vencida")))</f>
        <v>Enviado</v>
      </c>
      <c r="F3987" s="3" t="str">
        <f ca="1">IF(G3987=1,"-",Tabela2[[#This Row],[Dt Venc:]]-TODAY())</f>
        <v>-</v>
      </c>
      <c r="G3987" s="3">
        <v>1</v>
      </c>
      <c r="H3987" s="3"/>
    </row>
    <row r="3988" spans="1:8" hidden="1">
      <c r="A3988" s="3">
        <v>257864</v>
      </c>
      <c r="B3988" s="7" t="s">
        <v>49</v>
      </c>
      <c r="C3988" s="41">
        <v>1716.66</v>
      </c>
      <c r="D3988" s="6">
        <v>45659</v>
      </c>
      <c r="E3988" s="3" t="str">
        <f ca="1">IF(Tabela2[[#This Row],[Dt Venc:]]&gt;TODAY(),"Em Aberto",IF(Tabela2[[#This Row],[D/venc]]="-","Enviado",IF(Tabela2[[#This Row],[Dt Venc:]]=TODAY(),"Vence Hoje","Vencida")))</f>
        <v>Enviado</v>
      </c>
      <c r="F3988" s="3" t="str">
        <f ca="1">IF(G3988=1,"-",Tabela2[[#This Row],[Dt Venc:]]-TODAY())</f>
        <v>-</v>
      </c>
      <c r="G3988" s="3">
        <v>1</v>
      </c>
      <c r="H3988" s="3"/>
    </row>
    <row r="3989" spans="1:8" hidden="1">
      <c r="A3989" s="3">
        <v>2769</v>
      </c>
      <c r="B3989" s="7" t="s">
        <v>58</v>
      </c>
      <c r="C3989" s="42">
        <v>1553.37</v>
      </c>
      <c r="D3989" s="6">
        <v>45659</v>
      </c>
      <c r="E3989" s="3" t="str">
        <f ca="1">IF(Tabela2[[#This Row],[Dt Venc:]]&gt;TODAY(),"Em Aberto",IF(Tabela2[[#This Row],[D/venc]]="-","Enviado",IF(Tabela2[[#This Row],[Dt Venc:]]=TODAY(),"Vence Hoje","Vencida")))</f>
        <v>Enviado</v>
      </c>
      <c r="F3989" s="3" t="str">
        <f ca="1">IF(G3989=1,"-",Tabela2[[#This Row],[Dt Venc:]]-TODAY())</f>
        <v>-</v>
      </c>
      <c r="G3989" s="3">
        <v>1</v>
      </c>
      <c r="H3989" s="3"/>
    </row>
    <row r="3990" spans="1:8" hidden="1">
      <c r="A3990" s="3">
        <v>554208</v>
      </c>
      <c r="B3990" s="7" t="s">
        <v>39</v>
      </c>
      <c r="C3990" s="42">
        <v>599.42999999999995</v>
      </c>
      <c r="D3990" s="6">
        <v>45659</v>
      </c>
      <c r="E3990" s="3" t="str">
        <f ca="1">IF(Tabela2[[#This Row],[Dt Venc:]]&gt;TODAY(),"Em Aberto",IF(Tabela2[[#This Row],[D/venc]]="-","Enviado",IF(Tabela2[[#This Row],[Dt Venc:]]=TODAY(),"Vence Hoje","Vencida")))</f>
        <v>Enviado</v>
      </c>
      <c r="F3990" s="3" t="str">
        <f ca="1">IF(G3990=1,"-",Tabela2[[#This Row],[Dt Venc:]]-TODAY())</f>
        <v>-</v>
      </c>
      <c r="G3990" s="3">
        <v>1</v>
      </c>
      <c r="H3990" s="3"/>
    </row>
    <row r="3991" spans="1:8" hidden="1">
      <c r="A3991" s="3">
        <v>369355</v>
      </c>
      <c r="B3991" s="7" t="s">
        <v>39</v>
      </c>
      <c r="C3991" s="42">
        <v>1295.93</v>
      </c>
      <c r="D3991" s="6">
        <v>45659</v>
      </c>
      <c r="E3991" s="3" t="str">
        <f ca="1">IF(Tabela2[[#This Row],[Dt Venc:]]&gt;TODAY(),"Em Aberto",IF(Tabela2[[#This Row],[D/venc]]="-","Enviado",IF(Tabela2[[#This Row],[Dt Venc:]]=TODAY(),"Vence Hoje","Vencida")))</f>
        <v>Enviado</v>
      </c>
      <c r="F3991" s="3" t="str">
        <f ca="1">IF(G3991=1,"-",Tabela2[[#This Row],[Dt Venc:]]-TODAY())</f>
        <v>-</v>
      </c>
      <c r="G3991" s="3">
        <v>1</v>
      </c>
      <c r="H3991" s="3"/>
    </row>
    <row r="3992" spans="1:8" hidden="1">
      <c r="A3992" s="3">
        <v>611500</v>
      </c>
      <c r="B3992" s="7" t="s">
        <v>66</v>
      </c>
      <c r="C3992" s="42">
        <v>3759.36</v>
      </c>
      <c r="D3992" s="6">
        <v>45659</v>
      </c>
      <c r="E3992" s="3" t="str">
        <f ca="1">IF(Tabela2[[#This Row],[Dt Venc:]]&gt;TODAY(),"Em Aberto",IF(Tabela2[[#This Row],[D/venc]]="-","Enviado",IF(Tabela2[[#This Row],[Dt Venc:]]=TODAY(),"Vence Hoje","Vencida")))</f>
        <v>Enviado</v>
      </c>
      <c r="F3992" s="3" t="str">
        <f ca="1">IF(G3992=1,"-",Tabela2[[#This Row],[Dt Venc:]]-TODAY())</f>
        <v>-</v>
      </c>
      <c r="G3992" s="3">
        <v>1</v>
      </c>
      <c r="H3992" s="3"/>
    </row>
    <row r="3993" spans="1:8" hidden="1">
      <c r="A3993" s="3">
        <v>615760</v>
      </c>
      <c r="B3993" s="7" t="s">
        <v>66</v>
      </c>
      <c r="C3993" s="41">
        <v>848.11</v>
      </c>
      <c r="D3993" s="6">
        <v>45659</v>
      </c>
      <c r="E3993" s="3" t="str">
        <f ca="1">IF(Tabela2[[#This Row],[Dt Venc:]]&gt;TODAY(),"Em Aberto",IF(Tabela2[[#This Row],[D/venc]]="-","Enviado",IF(Tabela2[[#This Row],[Dt Venc:]]=TODAY(),"Vence Hoje","Vencida")))</f>
        <v>Enviado</v>
      </c>
      <c r="F3993" s="3" t="str">
        <f ca="1">IF(G3993=1,"-",Tabela2[[#This Row],[Dt Venc:]]-TODAY())</f>
        <v>-</v>
      </c>
      <c r="G3993" s="3">
        <v>1</v>
      </c>
      <c r="H3993" s="3"/>
    </row>
    <row r="3994" spans="1:8" hidden="1">
      <c r="A3994" s="3">
        <v>51</v>
      </c>
      <c r="B3994" s="7" t="s">
        <v>132</v>
      </c>
      <c r="C3994" s="41">
        <v>3331.67</v>
      </c>
      <c r="D3994" s="6">
        <v>45659</v>
      </c>
      <c r="E3994" s="3" t="str">
        <f ca="1">IF(Tabela2[[#This Row],[Dt Venc:]]&gt;TODAY(),"Em Aberto",IF(Tabela2[[#This Row],[D/venc]]="-","Enviado",IF(Tabela2[[#This Row],[Dt Venc:]]=TODAY(),"Vence Hoje","Vencida")))</f>
        <v>Enviado</v>
      </c>
      <c r="F3994" s="3" t="str">
        <f ca="1">IF(G3994=1,"-",Tabela2[[#This Row],[Dt Venc:]]-TODAY())</f>
        <v>-</v>
      </c>
      <c r="G3994" s="3">
        <v>1</v>
      </c>
      <c r="H3994" s="3"/>
    </row>
    <row r="3995" spans="1:8" hidden="1">
      <c r="A3995" s="3">
        <v>29805</v>
      </c>
      <c r="B3995" s="7" t="s">
        <v>107</v>
      </c>
      <c r="C3995" s="42">
        <v>2817</v>
      </c>
      <c r="D3995" s="6">
        <v>45659</v>
      </c>
      <c r="E3995" s="3" t="str">
        <f ca="1">IF(Tabela2[[#This Row],[Dt Venc:]]&gt;TODAY(),"Em Aberto",IF(Tabela2[[#This Row],[D/venc]]="-","Enviado",IF(Tabela2[[#This Row],[Dt Venc:]]=TODAY(),"Vence Hoje","Vencida")))</f>
        <v>Enviado</v>
      </c>
      <c r="F3995" s="3" t="str">
        <f ca="1">IF(G3995=1,"-",Tabela2[[#This Row],[Dt Venc:]]-TODAY())</f>
        <v>-</v>
      </c>
      <c r="G3995" s="3">
        <v>1</v>
      </c>
      <c r="H3995" s="3"/>
    </row>
    <row r="3996" spans="1:8" hidden="1">
      <c r="A3996" s="3">
        <v>19809</v>
      </c>
      <c r="B3996" s="7" t="s">
        <v>41</v>
      </c>
      <c r="C3996" s="41">
        <v>700</v>
      </c>
      <c r="D3996" s="6">
        <v>45659</v>
      </c>
      <c r="E3996" s="3" t="str">
        <f ca="1">IF(Tabela2[[#This Row],[Dt Venc:]]&gt;TODAY(),"Em Aberto",IF(Tabela2[[#This Row],[D/venc]]="-","Enviado",IF(Tabela2[[#This Row],[Dt Venc:]]=TODAY(),"Vence Hoje","Vencida")))</f>
        <v>Enviado</v>
      </c>
      <c r="F3996" s="3" t="str">
        <f ca="1">IF(G3996=1,"-",Tabela2[[#This Row],[Dt Venc:]]-TODAY())</f>
        <v>-</v>
      </c>
      <c r="G3996" s="3">
        <v>1</v>
      </c>
      <c r="H3996" s="3"/>
    </row>
    <row r="3997" spans="1:8" hidden="1">
      <c r="A3997" s="3">
        <v>71456</v>
      </c>
      <c r="B3997" s="7" t="s">
        <v>76</v>
      </c>
      <c r="C3997" s="42">
        <v>778.64</v>
      </c>
      <c r="D3997" s="6">
        <v>45659</v>
      </c>
      <c r="E3997" s="3" t="str">
        <f ca="1">IF(Tabela2[[#This Row],[Dt Venc:]]&gt;TODAY(),"Em Aberto",IF(Tabela2[[#This Row],[D/venc]]="-","Enviado",IF(Tabela2[[#This Row],[Dt Venc:]]=TODAY(),"Vence Hoje","Vencida")))</f>
        <v>Enviado</v>
      </c>
      <c r="F3997" s="3" t="str">
        <f ca="1">IF(G3997=1,"-",Tabela2[[#This Row],[Dt Venc:]]-TODAY())</f>
        <v>-</v>
      </c>
      <c r="G3997" s="3">
        <v>1</v>
      </c>
      <c r="H3997" s="3"/>
    </row>
    <row r="3998" spans="1:8" hidden="1">
      <c r="A3998" s="3">
        <v>71456</v>
      </c>
      <c r="B3998" s="7" t="s">
        <v>76</v>
      </c>
      <c r="C3998" s="42">
        <v>778.64</v>
      </c>
      <c r="D3998" s="6">
        <v>45659</v>
      </c>
      <c r="E3998" s="3" t="str">
        <f ca="1">IF(Tabela2[[#This Row],[Dt Venc:]]&gt;TODAY(),"Em Aberto",IF(Tabela2[[#This Row],[D/venc]]="-","Enviado",IF(Tabela2[[#This Row],[Dt Venc:]]=TODAY(),"Vence Hoje","Vencida")))</f>
        <v>Enviado</v>
      </c>
      <c r="F3998" s="3" t="str">
        <f ca="1">IF(G3998=1,"-",Tabela2[[#This Row],[Dt Venc:]]-TODAY())</f>
        <v>-</v>
      </c>
      <c r="G3998" s="3">
        <v>1</v>
      </c>
      <c r="H3998" s="3"/>
    </row>
    <row r="3999" spans="1:8" hidden="1">
      <c r="A3999" s="3">
        <v>71417</v>
      </c>
      <c r="B3999" s="7" t="s">
        <v>76</v>
      </c>
      <c r="C3999" s="42">
        <v>1977.3</v>
      </c>
      <c r="D3999" s="6">
        <v>45659</v>
      </c>
      <c r="E3999" s="3" t="str">
        <f ca="1">IF(Tabela2[[#This Row],[Dt Venc:]]&gt;TODAY(),"Em Aberto",IF(Tabela2[[#This Row],[D/venc]]="-","Enviado",IF(Tabela2[[#This Row],[Dt Venc:]]=TODAY(),"Vence Hoje","Vencida")))</f>
        <v>Enviado</v>
      </c>
      <c r="F3999" s="3" t="str">
        <f ca="1">IF(G3999=1,"-",Tabela2[[#This Row],[Dt Venc:]]-TODAY())</f>
        <v>-</v>
      </c>
      <c r="G3999" s="3">
        <v>1</v>
      </c>
      <c r="H3999" s="3"/>
    </row>
    <row r="4000" spans="1:8" hidden="1">
      <c r="A4000" s="3">
        <v>72766</v>
      </c>
      <c r="B4000" s="7" t="s">
        <v>76</v>
      </c>
      <c r="C4000" s="41">
        <v>397.23</v>
      </c>
      <c r="D4000" s="6">
        <v>45659</v>
      </c>
      <c r="E4000" s="3" t="str">
        <f ca="1">IF(Tabela2[[#This Row],[Dt Venc:]]&gt;TODAY(),"Em Aberto",IF(Tabela2[[#This Row],[D/venc]]="-","Enviado",IF(Tabela2[[#This Row],[Dt Venc:]]=TODAY(),"Vence Hoje","Vencida")))</f>
        <v>Enviado</v>
      </c>
      <c r="F4000" s="3" t="str">
        <f ca="1">IF(G4000=1,"-",Tabela2[[#This Row],[Dt Venc:]]-TODAY())</f>
        <v>-</v>
      </c>
      <c r="G4000" s="3">
        <v>1</v>
      </c>
      <c r="H4000" s="3"/>
    </row>
    <row r="4001" spans="1:8" hidden="1">
      <c r="A4001" s="3">
        <v>226881</v>
      </c>
      <c r="B4001" s="7" t="s">
        <v>306</v>
      </c>
      <c r="C4001" s="42">
        <v>621.73</v>
      </c>
      <c r="D4001" s="6">
        <v>45659</v>
      </c>
      <c r="E4001" s="3" t="str">
        <f ca="1">IF(Tabela2[[#This Row],[Dt Venc:]]&gt;TODAY(),"Em Aberto",IF(Tabela2[[#This Row],[D/venc]]="-","Enviado",IF(Tabela2[[#This Row],[Dt Venc:]]=TODAY(),"Vence Hoje","Vencida")))</f>
        <v>Enviado</v>
      </c>
      <c r="F4001" s="3" t="str">
        <f ca="1">IF(G4001=1,"-",Tabela2[[#This Row],[Dt Venc:]]-TODAY())</f>
        <v>-</v>
      </c>
      <c r="G4001" s="3">
        <v>1</v>
      </c>
      <c r="H4001" s="3"/>
    </row>
    <row r="4002" spans="1:8" hidden="1">
      <c r="A4002" s="3">
        <v>231000</v>
      </c>
      <c r="B4002" s="7" t="s">
        <v>43</v>
      </c>
      <c r="C4002" s="42">
        <v>1272.07</v>
      </c>
      <c r="D4002" s="6">
        <v>45659</v>
      </c>
      <c r="E4002" s="3" t="str">
        <f ca="1">IF(Tabela2[[#This Row],[Dt Venc:]]&gt;TODAY(),"Em Aberto",IF(Tabela2[[#This Row],[D/venc]]="-","Enviado",IF(Tabela2[[#This Row],[Dt Venc:]]=TODAY(),"Vence Hoje","Vencida")))</f>
        <v>Enviado</v>
      </c>
      <c r="F4002" s="3" t="str">
        <f ca="1">IF(G4002=1,"-",Tabela2[[#This Row],[Dt Venc:]]-TODAY())</f>
        <v>-</v>
      </c>
      <c r="G4002" s="3">
        <v>1</v>
      </c>
      <c r="H4002" s="3"/>
    </row>
    <row r="4003" spans="1:8" hidden="1">
      <c r="A4003" s="3">
        <v>237891</v>
      </c>
      <c r="B4003" s="7" t="s">
        <v>43</v>
      </c>
      <c r="C4003" s="42">
        <v>485</v>
      </c>
      <c r="D4003" s="6">
        <v>45659</v>
      </c>
      <c r="E4003" s="3" t="str">
        <f ca="1">IF(Tabela2[[#This Row],[Dt Venc:]]&gt;TODAY(),"Em Aberto",IF(Tabela2[[#This Row],[D/venc]]="-","Enviado",IF(Tabela2[[#This Row],[Dt Venc:]]=TODAY(),"Vence Hoje","Vencida")))</f>
        <v>Enviado</v>
      </c>
      <c r="F4003" s="3" t="str">
        <f ca="1">IF(G4003=1,"-",Tabela2[[#This Row],[Dt Venc:]]-TODAY())</f>
        <v>-</v>
      </c>
      <c r="G4003" s="3">
        <v>1</v>
      </c>
      <c r="H4003" s="3"/>
    </row>
    <row r="4004" spans="1:8" hidden="1">
      <c r="A4004" s="3">
        <v>1402880</v>
      </c>
      <c r="B4004" s="7" t="s">
        <v>151</v>
      </c>
      <c r="C4004" s="42">
        <v>905.84</v>
      </c>
      <c r="D4004" s="6">
        <v>45659</v>
      </c>
      <c r="E4004" s="3" t="str">
        <f ca="1">IF(Tabela2[[#This Row],[Dt Venc:]]&gt;TODAY(),"Em Aberto",IF(Tabela2[[#This Row],[D/venc]]="-","Enviado",IF(Tabela2[[#This Row],[Dt Venc:]]=TODAY(),"Vence Hoje","Vencida")))</f>
        <v>Enviado</v>
      </c>
      <c r="F4004" s="3" t="str">
        <f ca="1">IF(G4004=1,"-",Tabela2[[#This Row],[Dt Venc:]]-TODAY())</f>
        <v>-</v>
      </c>
      <c r="G4004" s="3">
        <v>1</v>
      </c>
      <c r="H4004" s="3"/>
    </row>
    <row r="4005" spans="1:8" hidden="1">
      <c r="A4005" s="3">
        <v>11</v>
      </c>
      <c r="B4005" s="7" t="s">
        <v>397</v>
      </c>
      <c r="C4005" s="42">
        <v>566.66</v>
      </c>
      <c r="D4005" s="6">
        <v>45659</v>
      </c>
      <c r="E4005" s="3" t="str">
        <f ca="1">IF(Tabela2[[#This Row],[Dt Venc:]]&gt;TODAY(),"Em Aberto",IF(Tabela2[[#This Row],[D/venc]]="-","Enviado",IF(Tabela2[[#This Row],[Dt Venc:]]=TODAY(),"Vence Hoje","Vencida")))</f>
        <v>Enviado</v>
      </c>
      <c r="F4005" s="3" t="str">
        <f ca="1">IF(G4005=1,"-",Tabela2[[#This Row],[Dt Venc:]]-TODAY())</f>
        <v>-</v>
      </c>
      <c r="G4005" s="3">
        <v>1</v>
      </c>
      <c r="H4005" s="3"/>
    </row>
    <row r="4006" spans="1:8" hidden="1">
      <c r="A4006" s="3">
        <v>326638</v>
      </c>
      <c r="B4006" s="7" t="s">
        <v>77</v>
      </c>
      <c r="C4006" s="42">
        <v>320</v>
      </c>
      <c r="D4006" s="6">
        <v>45659</v>
      </c>
      <c r="E4006" s="3" t="str">
        <f ca="1">IF(Tabela2[[#This Row],[Dt Venc:]]&gt;TODAY(),"Em Aberto",IF(Tabela2[[#This Row],[D/venc]]="-","Enviado",IF(Tabela2[[#This Row],[Dt Venc:]]=TODAY(),"Vence Hoje","Vencida")))</f>
        <v>Enviado</v>
      </c>
      <c r="F4006" s="3" t="str">
        <f ca="1">IF(G4006=1,"-",Tabela2[[#This Row],[Dt Venc:]]-TODAY())</f>
        <v>-</v>
      </c>
      <c r="G4006" s="3">
        <v>1</v>
      </c>
      <c r="H4006" s="3"/>
    </row>
    <row r="4007" spans="1:8" hidden="1">
      <c r="A4007" s="3">
        <v>203173</v>
      </c>
      <c r="B4007" s="7" t="s">
        <v>200</v>
      </c>
      <c r="C4007" s="41">
        <v>398.33</v>
      </c>
      <c r="D4007" s="6">
        <v>45659</v>
      </c>
      <c r="E4007" s="3" t="str">
        <f ca="1">IF(Tabela2[[#This Row],[Dt Venc:]]&gt;TODAY(),"Em Aberto",IF(Tabela2[[#This Row],[D/venc]]="-","Enviado",IF(Tabela2[[#This Row],[Dt Venc:]]=TODAY(),"Vence Hoje","Vencida")))</f>
        <v>Enviado</v>
      </c>
      <c r="F4007" s="3" t="str">
        <f ca="1">IF(G4007=1,"-",Tabela2[[#This Row],[Dt Venc:]]-TODAY())</f>
        <v>-</v>
      </c>
      <c r="G4007" s="3">
        <v>1</v>
      </c>
      <c r="H4007" s="3"/>
    </row>
    <row r="4008" spans="1:8" hidden="1">
      <c r="A4008" s="3" t="s">
        <v>68</v>
      </c>
      <c r="B4008" s="7" t="s">
        <v>69</v>
      </c>
      <c r="C4008" s="88" t="s">
        <v>30</v>
      </c>
      <c r="D4008" s="6">
        <v>45659</v>
      </c>
      <c r="E4008" s="3" t="str">
        <f ca="1">IF(Tabela2[[#This Row],[Dt Venc:]]&gt;TODAY(),"Em Aberto",IF(Tabela2[[#This Row],[D/venc]]="-","Enviado",IF(Tabela2[[#This Row],[Dt Venc:]]=TODAY(),"Vence Hoje","Vencida")))</f>
        <v>Enviado</v>
      </c>
      <c r="F4008" s="3" t="str">
        <f ca="1">IF(G4008=1,"-",Tabela2[[#This Row],[Dt Venc:]]-TODAY())</f>
        <v>-</v>
      </c>
      <c r="G4008" s="3">
        <v>1</v>
      </c>
      <c r="H4008" s="3"/>
    </row>
    <row r="4009" spans="1:8" hidden="1">
      <c r="A4009" s="3">
        <v>173504</v>
      </c>
      <c r="B4009" s="7" t="s">
        <v>72</v>
      </c>
      <c r="C4009" s="42">
        <v>893.34</v>
      </c>
      <c r="D4009" s="6">
        <v>45659</v>
      </c>
      <c r="E4009" s="3" t="str">
        <f ca="1">IF(Tabela2[[#This Row],[Dt Venc:]]&gt;TODAY(),"Em Aberto",IF(Tabela2[[#This Row],[D/venc]]="-","Enviado",IF(Tabela2[[#This Row],[Dt Venc:]]=TODAY(),"Vence Hoje","Vencida")))</f>
        <v>Enviado</v>
      </c>
      <c r="F4009" s="3" t="str">
        <f ca="1">IF(G4009=1,"-",Tabela2[[#This Row],[Dt Venc:]]-TODAY())</f>
        <v>-</v>
      </c>
      <c r="G4009" s="3">
        <v>1</v>
      </c>
      <c r="H4009" s="3"/>
    </row>
    <row r="4010" spans="1:8" hidden="1">
      <c r="A4010" s="3">
        <v>14258</v>
      </c>
      <c r="B4010" s="7" t="s">
        <v>51</v>
      </c>
      <c r="C4010" s="41">
        <v>1133.33</v>
      </c>
      <c r="D4010" s="6">
        <v>45659</v>
      </c>
      <c r="E4010" s="3" t="str">
        <f ca="1">IF(Tabela2[[#This Row],[Dt Venc:]]&gt;TODAY(),"Em Aberto",IF(Tabela2[[#This Row],[D/venc]]="-","Enviado",IF(Tabela2[[#This Row],[Dt Venc:]]=TODAY(),"Vence Hoje","Vencida")))</f>
        <v>Enviado</v>
      </c>
      <c r="F4010" s="3" t="str">
        <f ca="1">IF(G4010=1,"-",Tabela2[[#This Row],[Dt Venc:]]-TODAY())</f>
        <v>-</v>
      </c>
      <c r="G4010" s="3">
        <v>1</v>
      </c>
      <c r="H4010" s="3"/>
    </row>
    <row r="4011" spans="1:8" hidden="1">
      <c r="A4011" s="3">
        <v>1895</v>
      </c>
      <c r="B4011" s="7" t="s">
        <v>359</v>
      </c>
      <c r="C4011" s="41">
        <v>1075</v>
      </c>
      <c r="D4011" s="6">
        <v>45659</v>
      </c>
      <c r="E4011" s="3" t="str">
        <f ca="1">IF(Tabela2[[#This Row],[Dt Venc:]]&gt;TODAY(),"Em Aberto",IF(Tabela2[[#This Row],[D/venc]]="-","Enviado",IF(Tabela2[[#This Row],[Dt Venc:]]=TODAY(),"Vence Hoje","Vencida")))</f>
        <v>Enviado</v>
      </c>
      <c r="F4011" s="3" t="str">
        <f ca="1">IF(G4011=1,"-",Tabela2[[#This Row],[Dt Venc:]]-TODAY())</f>
        <v>-</v>
      </c>
      <c r="G4011" s="3">
        <v>1</v>
      </c>
      <c r="H4011" s="3"/>
    </row>
    <row r="4012" spans="1:8" hidden="1">
      <c r="A4012" s="3">
        <v>40</v>
      </c>
      <c r="B4012" s="7" t="s">
        <v>103</v>
      </c>
      <c r="C4012" s="41">
        <v>1650</v>
      </c>
      <c r="D4012" s="6">
        <v>45659</v>
      </c>
      <c r="E4012" s="3" t="str">
        <f ca="1">IF(Tabela2[[#This Row],[Dt Venc:]]&gt;TODAY(),"Em Aberto",IF(Tabela2[[#This Row],[D/venc]]="-","Enviado",IF(Tabela2[[#This Row],[Dt Venc:]]=TODAY(),"Vence Hoje","Vencida")))</f>
        <v>Enviado</v>
      </c>
      <c r="F4012" s="3" t="str">
        <f ca="1">IF(G4012=1,"-",Tabela2[[#This Row],[Dt Venc:]]-TODAY())</f>
        <v>-</v>
      </c>
      <c r="G4012" s="3">
        <v>1</v>
      </c>
      <c r="H4012" s="3"/>
    </row>
    <row r="4013" spans="1:8" hidden="1">
      <c r="A4013" s="3">
        <v>34085</v>
      </c>
      <c r="B4013" s="7" t="s">
        <v>70</v>
      </c>
      <c r="C4013" s="41">
        <v>640.54</v>
      </c>
      <c r="D4013" s="6">
        <v>45659</v>
      </c>
      <c r="E4013" s="3" t="str">
        <f ca="1">IF(Tabela2[[#This Row],[Dt Venc:]]&gt;TODAY(),"Em Aberto",IF(Tabela2[[#This Row],[D/venc]]="-","Enviado",IF(Tabela2[[#This Row],[Dt Venc:]]=TODAY(),"Vence Hoje","Vencida")))</f>
        <v>Enviado</v>
      </c>
      <c r="F4013" s="3" t="str">
        <f ca="1">IF(G4013=1,"-",Tabela2[[#This Row],[Dt Venc:]]-TODAY())</f>
        <v>-</v>
      </c>
      <c r="G4013" s="3">
        <v>1</v>
      </c>
      <c r="H4013" s="3"/>
    </row>
    <row r="4014" spans="1:8" hidden="1">
      <c r="A4014" s="3">
        <v>14298</v>
      </c>
      <c r="B4014" s="7" t="s">
        <v>51</v>
      </c>
      <c r="C4014" s="41">
        <v>1000</v>
      </c>
      <c r="D4014" s="6">
        <v>45659</v>
      </c>
      <c r="E4014" s="3" t="str">
        <f ca="1">IF(Tabela2[[#This Row],[Dt Venc:]]&gt;TODAY(),"Em Aberto",IF(Tabela2[[#This Row],[D/venc]]="-","Enviado",IF(Tabela2[[#This Row],[Dt Venc:]]=TODAY(),"Vence Hoje","Vencida")))</f>
        <v>Enviado</v>
      </c>
      <c r="F4014" s="3" t="str">
        <f ca="1">IF(G4014=1,"-",Tabela2[[#This Row],[Dt Venc:]]-TODAY())</f>
        <v>-</v>
      </c>
      <c r="G4014" s="3">
        <v>1</v>
      </c>
      <c r="H4014" s="3"/>
    </row>
    <row r="4015" spans="1:8" hidden="1">
      <c r="A4015" s="3">
        <v>235415</v>
      </c>
      <c r="B4015" s="7" t="s">
        <v>40</v>
      </c>
      <c r="C4015" s="41">
        <v>900</v>
      </c>
      <c r="D4015" s="6">
        <v>45659</v>
      </c>
      <c r="E4015" s="3" t="str">
        <f ca="1">IF(Tabela2[[#This Row],[Dt Venc:]]&gt;TODAY(),"Em Aberto",IF(Tabela2[[#This Row],[D/venc]]="-","Enviado",IF(Tabela2[[#This Row],[Dt Venc:]]=TODAY(),"Vence Hoje","Vencida")))</f>
        <v>Enviado</v>
      </c>
      <c r="F4015" s="3" t="str">
        <f ca="1">IF(G4015=1,"-",Tabela2[[#This Row],[Dt Venc:]]-TODAY())</f>
        <v>-</v>
      </c>
      <c r="G4015" s="3">
        <v>1</v>
      </c>
      <c r="H4015" s="3"/>
    </row>
    <row r="4016" spans="1:8" hidden="1">
      <c r="A4016" s="3">
        <v>263006</v>
      </c>
      <c r="B4016" s="7" t="s">
        <v>43</v>
      </c>
      <c r="C4016" s="41">
        <v>1504.5</v>
      </c>
      <c r="D4016" s="6">
        <v>45659</v>
      </c>
      <c r="E4016" s="3" t="str">
        <f ca="1">IF(Tabela2[[#This Row],[Dt Venc:]]&gt;TODAY(),"Em Aberto",IF(Tabela2[[#This Row],[D/venc]]="-","Enviado",IF(Tabela2[[#This Row],[Dt Venc:]]=TODAY(),"Vence Hoje","Vencida")))</f>
        <v>Enviado</v>
      </c>
      <c r="F4016" s="3" t="str">
        <f ca="1">IF(G4016=1,"-",Tabela2[[#This Row],[Dt Venc:]]-TODAY())</f>
        <v>-</v>
      </c>
      <c r="G4016" s="3">
        <v>1</v>
      </c>
      <c r="H4016" s="3"/>
    </row>
    <row r="4017" spans="1:8" hidden="1">
      <c r="A4017" s="3">
        <v>36033</v>
      </c>
      <c r="B4017" s="7" t="s">
        <v>70</v>
      </c>
      <c r="C4017" s="41">
        <v>2811.23</v>
      </c>
      <c r="D4017" s="6">
        <v>45659</v>
      </c>
      <c r="E4017" s="3" t="str">
        <f ca="1">IF(Tabela2[[#This Row],[Dt Venc:]]&gt;TODAY(),"Em Aberto",IF(Tabela2[[#This Row],[D/venc]]="-","Enviado",IF(Tabela2[[#This Row],[Dt Venc:]]=TODAY(),"Vence Hoje","Vencida")))</f>
        <v>Enviado</v>
      </c>
      <c r="F4017" s="3" t="str">
        <f ca="1">IF(G4017=1,"-",Tabela2[[#This Row],[Dt Venc:]]-TODAY())</f>
        <v>-</v>
      </c>
      <c r="G4017" s="3">
        <v>1</v>
      </c>
      <c r="H4017" s="3"/>
    </row>
    <row r="4018" spans="1:8" hidden="1">
      <c r="A4018" s="3">
        <v>33999</v>
      </c>
      <c r="B4018" s="7" t="s">
        <v>70</v>
      </c>
      <c r="C4018" s="41">
        <v>2214.0300000000002</v>
      </c>
      <c r="D4018" s="6">
        <v>45659</v>
      </c>
      <c r="E4018" s="3" t="str">
        <f ca="1">IF(Tabela2[[#This Row],[Dt Venc:]]&gt;TODAY(),"Em Aberto",IF(Tabela2[[#This Row],[D/venc]]="-","Enviado",IF(Tabela2[[#This Row],[Dt Venc:]]=TODAY(),"Vence Hoje","Vencida")))</f>
        <v>Enviado</v>
      </c>
      <c r="F4018" s="3" t="str">
        <f ca="1">IF(G4018=1,"-",Tabela2[[#This Row],[Dt Venc:]]-TODAY())</f>
        <v>-</v>
      </c>
      <c r="G4018" s="3">
        <v>1</v>
      </c>
      <c r="H4018" s="3"/>
    </row>
    <row r="4019" spans="1:8" hidden="1">
      <c r="A4019" s="3">
        <v>374224</v>
      </c>
      <c r="B4019" s="7" t="s">
        <v>39</v>
      </c>
      <c r="C4019" s="41">
        <v>1187.72</v>
      </c>
      <c r="D4019" s="6">
        <v>45659</v>
      </c>
      <c r="E4019" s="3" t="str">
        <f ca="1">IF(Tabela2[[#This Row],[Dt Venc:]]&gt;TODAY(),"Em Aberto",IF(Tabela2[[#This Row],[D/venc]]="-","Enviado",IF(Tabela2[[#This Row],[Dt Venc:]]=TODAY(),"Vence Hoje","Vencida")))</f>
        <v>Enviado</v>
      </c>
      <c r="F4019" s="3" t="str">
        <f ca="1">IF(G4019=1,"-",Tabela2[[#This Row],[Dt Venc:]]-TODAY())</f>
        <v>-</v>
      </c>
      <c r="G4019" s="3">
        <v>1</v>
      </c>
      <c r="H4019" s="3"/>
    </row>
    <row r="4020" spans="1:8" hidden="1">
      <c r="A4020" s="3">
        <v>379023</v>
      </c>
      <c r="B4020" s="7" t="s">
        <v>441</v>
      </c>
      <c r="C4020" s="41">
        <v>1349.4</v>
      </c>
      <c r="D4020" s="6">
        <v>45659</v>
      </c>
      <c r="E4020" s="3" t="str">
        <f ca="1">IF(Tabela2[[#This Row],[Dt Venc:]]&gt;TODAY(),"Em Aberto",IF(Tabela2[[#This Row],[D/venc]]="-","Enviado",IF(Tabela2[[#This Row],[Dt Venc:]]=TODAY(),"Vence Hoje","Vencida")))</f>
        <v>Enviado</v>
      </c>
      <c r="F4020" s="3" t="str">
        <f ca="1">IF(G4020=1,"-",Tabela2[[#This Row],[Dt Venc:]]-TODAY())</f>
        <v>-</v>
      </c>
      <c r="G4020" s="3">
        <v>1</v>
      </c>
      <c r="H4020" s="3"/>
    </row>
    <row r="4021" spans="1:8" hidden="1">
      <c r="A4021" s="3">
        <v>45931</v>
      </c>
      <c r="B4021" s="7" t="s">
        <v>439</v>
      </c>
      <c r="C4021" s="41">
        <v>578.85</v>
      </c>
      <c r="D4021" s="6">
        <v>45659</v>
      </c>
      <c r="E4021" s="3" t="str">
        <f ca="1">IF(Tabela2[[#This Row],[Dt Venc:]]&gt;TODAY(),"Em Aberto",IF(Tabela2[[#This Row],[D/venc]]="-","Enviado",IF(Tabela2[[#This Row],[Dt Venc:]]=TODAY(),"Vence Hoje","Vencida")))</f>
        <v>Enviado</v>
      </c>
      <c r="F4021" s="3" t="str">
        <f ca="1">IF(G4021=1,"-",Tabela2[[#This Row],[Dt Venc:]]-TODAY())</f>
        <v>-</v>
      </c>
      <c r="G4021" s="3">
        <v>1</v>
      </c>
      <c r="H4021" s="3"/>
    </row>
    <row r="4022" spans="1:8" hidden="1">
      <c r="A4022" s="3">
        <v>73739</v>
      </c>
      <c r="B4022" s="7" t="s">
        <v>76</v>
      </c>
      <c r="C4022" s="41">
        <v>69.02</v>
      </c>
      <c r="D4022" s="6">
        <v>45659</v>
      </c>
      <c r="E4022" s="3" t="str">
        <f ca="1">IF(Tabela2[[#This Row],[Dt Venc:]]&gt;TODAY(),"Em Aberto",IF(Tabela2[[#This Row],[D/venc]]="-","Enviado",IF(Tabela2[[#This Row],[Dt Venc:]]=TODAY(),"Vence Hoje","Vencida")))</f>
        <v>Enviado</v>
      </c>
      <c r="F4022" s="3" t="str">
        <f ca="1">IF(G4022=1,"-",Tabela2[[#This Row],[Dt Venc:]]-TODAY())</f>
        <v>-</v>
      </c>
      <c r="G4022" s="3">
        <v>1</v>
      </c>
      <c r="H4022" s="3"/>
    </row>
    <row r="4023" spans="1:8" hidden="1">
      <c r="A4023" s="3">
        <v>23988</v>
      </c>
      <c r="B4023" s="7" t="s">
        <v>38</v>
      </c>
      <c r="C4023" s="41">
        <v>1168</v>
      </c>
      <c r="D4023" s="6">
        <v>45659</v>
      </c>
      <c r="E4023" s="3" t="str">
        <f ca="1">IF(Tabela2[[#This Row],[Dt Venc:]]&gt;TODAY(),"Em Aberto",IF(Tabela2[[#This Row],[D/venc]]="-","Enviado",IF(Tabela2[[#This Row],[Dt Venc:]]=TODAY(),"Vence Hoje","Vencida")))</f>
        <v>Enviado</v>
      </c>
      <c r="F4023" s="3" t="str">
        <f ca="1">IF(G4023=1,"-",Tabela2[[#This Row],[Dt Venc:]]-TODAY())</f>
        <v>-</v>
      </c>
      <c r="G4023" s="3">
        <v>1</v>
      </c>
      <c r="H4023" s="3"/>
    </row>
    <row r="4024" spans="1:8" hidden="1">
      <c r="A4024" s="3">
        <v>1419408</v>
      </c>
      <c r="B4024" s="7" t="s">
        <v>151</v>
      </c>
      <c r="C4024" s="41">
        <v>377.58</v>
      </c>
      <c r="D4024" s="6">
        <v>45659</v>
      </c>
      <c r="E4024" s="3" t="str">
        <f ca="1">IF(Tabela2[[#This Row],[Dt Venc:]]&gt;TODAY(),"Em Aberto",IF(Tabela2[[#This Row],[D/venc]]="-","Enviado",IF(Tabela2[[#This Row],[Dt Venc:]]=TODAY(),"Vence Hoje","Vencida")))</f>
        <v>Enviado</v>
      </c>
      <c r="F4024" s="3" t="str">
        <f ca="1">IF(G4024=1,"-",Tabela2[[#This Row],[Dt Venc:]]-TODAY())</f>
        <v>-</v>
      </c>
      <c r="G4024" s="3">
        <v>1</v>
      </c>
      <c r="H4024" s="3"/>
    </row>
    <row r="4025" spans="1:8" hidden="1">
      <c r="A4025" s="3">
        <v>561262</v>
      </c>
      <c r="B4025" s="7" t="s">
        <v>39</v>
      </c>
      <c r="C4025" s="41">
        <v>614.07000000000005</v>
      </c>
      <c r="D4025" s="6">
        <v>45659</v>
      </c>
      <c r="E4025" s="3" t="str">
        <f ca="1">IF(Tabela2[[#This Row],[Dt Venc:]]&gt;TODAY(),"Em Aberto",IF(Tabela2[[#This Row],[D/venc]]="-","Enviado",IF(Tabela2[[#This Row],[Dt Venc:]]=TODAY(),"Vence Hoje","Vencida")))</f>
        <v>Enviado</v>
      </c>
      <c r="F4025" s="3" t="str">
        <f ca="1">IF(G4025=1,"-",Tabela2[[#This Row],[Dt Venc:]]-TODAY())</f>
        <v>-</v>
      </c>
      <c r="G4025" s="3">
        <v>1</v>
      </c>
      <c r="H4025" s="3"/>
    </row>
    <row r="4026" spans="1:8" hidden="1">
      <c r="A4026" s="3">
        <v>263199</v>
      </c>
      <c r="B4026" s="7" t="s">
        <v>43</v>
      </c>
      <c r="C4026" s="41">
        <v>1026.93</v>
      </c>
      <c r="D4026" s="6">
        <v>45659</v>
      </c>
      <c r="E4026" s="3" t="str">
        <f ca="1">IF(Tabela2[[#This Row],[Dt Venc:]]&gt;TODAY(),"Em Aberto",IF(Tabela2[[#This Row],[D/venc]]="-","Enviado",IF(Tabela2[[#This Row],[Dt Venc:]]=TODAY(),"Vence Hoje","Vencida")))</f>
        <v>Enviado</v>
      </c>
      <c r="F4026" s="3" t="str">
        <f ca="1">IF(G4026=1,"-",Tabela2[[#This Row],[Dt Venc:]]-TODAY())</f>
        <v>-</v>
      </c>
      <c r="G4026" s="3">
        <v>1</v>
      </c>
      <c r="H4026" s="3"/>
    </row>
    <row r="4027" spans="1:8" hidden="1">
      <c r="A4027" s="3">
        <v>177455</v>
      </c>
      <c r="B4027" s="7" t="s">
        <v>211</v>
      </c>
      <c r="C4027" s="41">
        <v>160</v>
      </c>
      <c r="D4027" s="6">
        <v>45659</v>
      </c>
      <c r="E4027" s="3" t="str">
        <f ca="1">IF(Tabela2[[#This Row],[Dt Venc:]]&gt;TODAY(),"Em Aberto",IF(Tabela2[[#This Row],[D/venc]]="-","Enviado",IF(Tabela2[[#This Row],[Dt Venc:]]=TODAY(),"Vence Hoje","Vencida")))</f>
        <v>Enviado</v>
      </c>
      <c r="F4027" s="3" t="str">
        <f ca="1">IF(G4027=1,"-",Tabela2[[#This Row],[Dt Venc:]]-TODAY())</f>
        <v>-</v>
      </c>
      <c r="G4027" s="3">
        <v>1</v>
      </c>
      <c r="H4027" s="3"/>
    </row>
    <row r="4028" spans="1:8" hidden="1">
      <c r="A4028" s="3">
        <v>7229</v>
      </c>
      <c r="B4028" s="7" t="s">
        <v>370</v>
      </c>
      <c r="C4028" s="41">
        <v>886</v>
      </c>
      <c r="D4028" s="6">
        <v>45659</v>
      </c>
      <c r="E4028" s="3" t="str">
        <f ca="1">IF(Tabela2[[#This Row],[Dt Venc:]]&gt;TODAY(),"Em Aberto",IF(Tabela2[[#This Row],[D/venc]]="-","Enviado",IF(Tabela2[[#This Row],[Dt Venc:]]=TODAY(),"Vence Hoje","Vencida")))</f>
        <v>Enviado</v>
      </c>
      <c r="F4028" s="3" t="str">
        <f ca="1">IF(G4028=1,"-",Tabela2[[#This Row],[Dt Venc:]]-TODAY())</f>
        <v>-</v>
      </c>
      <c r="G4028" s="3">
        <v>1</v>
      </c>
      <c r="H4028" s="3"/>
    </row>
    <row r="4029" spans="1:8" hidden="1">
      <c r="A4029" s="3">
        <v>2807</v>
      </c>
      <c r="B4029" s="7" t="s">
        <v>198</v>
      </c>
      <c r="C4029" s="41">
        <v>1020</v>
      </c>
      <c r="D4029" s="6">
        <v>45659</v>
      </c>
      <c r="E4029" s="3" t="str">
        <f ca="1">IF(Tabela2[[#This Row],[Dt Venc:]]&gt;TODAY(),"Em Aberto",IF(Tabela2[[#This Row],[D/venc]]="-","Enviado",IF(Tabela2[[#This Row],[Dt Venc:]]=TODAY(),"Vence Hoje","Vencida")))</f>
        <v>Enviado</v>
      </c>
      <c r="F4029" s="3" t="str">
        <f ca="1">IF(G4029=1,"-",Tabela2[[#This Row],[Dt Venc:]]-TODAY())</f>
        <v>-</v>
      </c>
      <c r="G4029" s="3">
        <v>1</v>
      </c>
      <c r="H4029" s="3"/>
    </row>
    <row r="4030" spans="1:8" hidden="1">
      <c r="A4030" s="3">
        <v>39589</v>
      </c>
      <c r="B4030" s="7" t="s">
        <v>188</v>
      </c>
      <c r="C4030" s="41">
        <v>226.33</v>
      </c>
      <c r="D4030" s="6">
        <v>45659</v>
      </c>
      <c r="E4030" s="3" t="str">
        <f ca="1">IF(Tabela2[[#This Row],[Dt Venc:]]&gt;TODAY(),"Em Aberto",IF(Tabela2[[#This Row],[D/venc]]="-","Enviado",IF(Tabela2[[#This Row],[Dt Venc:]]=TODAY(),"Vence Hoje","Vencida")))</f>
        <v>Enviado</v>
      </c>
      <c r="F4030" s="3" t="str">
        <f ca="1">IF(G4030=1,"-",Tabela2[[#This Row],[Dt Venc:]]-TODAY())</f>
        <v>-</v>
      </c>
      <c r="G4030" s="3">
        <v>1</v>
      </c>
      <c r="H4030" s="3"/>
    </row>
    <row r="4031" spans="1:8" hidden="1">
      <c r="A4031" s="3">
        <v>14304</v>
      </c>
      <c r="B4031" s="7" t="s">
        <v>51</v>
      </c>
      <c r="C4031" s="41">
        <v>850</v>
      </c>
      <c r="D4031" s="6">
        <v>45659</v>
      </c>
      <c r="E4031" s="3" t="str">
        <f ca="1">IF(Tabela2[[#This Row],[Dt Venc:]]&gt;TODAY(),"Em Aberto",IF(Tabela2[[#This Row],[D/venc]]="-","Enviado",IF(Tabela2[[#This Row],[Dt Venc:]]=TODAY(),"Vence Hoje","Vencida")))</f>
        <v>Enviado</v>
      </c>
      <c r="F4031" s="3" t="str">
        <f ca="1">IF(G4031=1,"-",Tabela2[[#This Row],[Dt Venc:]]-TODAY())</f>
        <v>-</v>
      </c>
      <c r="G4031" s="3">
        <v>1</v>
      </c>
      <c r="H4031" s="3"/>
    </row>
    <row r="4032" spans="1:8" hidden="1">
      <c r="A4032" s="3">
        <v>68618</v>
      </c>
      <c r="B4032" s="7" t="s">
        <v>143</v>
      </c>
      <c r="C4032" s="41">
        <v>884.8</v>
      </c>
      <c r="D4032" s="6">
        <v>45659</v>
      </c>
      <c r="E4032" s="3" t="str">
        <f ca="1">IF(Tabela2[[#This Row],[Dt Venc:]]&gt;TODAY(),"Em Aberto",IF(Tabela2[[#This Row],[D/venc]]="-","Enviado",IF(Tabela2[[#This Row],[Dt Venc:]]=TODAY(),"Vence Hoje","Vencida")))</f>
        <v>Enviado</v>
      </c>
      <c r="F4032" s="3" t="str">
        <f ca="1">IF(G4032=1,"-",Tabela2[[#This Row],[Dt Venc:]]-TODAY())</f>
        <v>-</v>
      </c>
      <c r="G4032" s="3">
        <v>1</v>
      </c>
      <c r="H4032" s="3"/>
    </row>
    <row r="4033" spans="1:8" hidden="1">
      <c r="A4033" s="3">
        <v>1661</v>
      </c>
      <c r="B4033" s="7" t="s">
        <v>479</v>
      </c>
      <c r="C4033" s="41">
        <v>725.17</v>
      </c>
      <c r="D4033" s="6">
        <v>45659</v>
      </c>
      <c r="E4033" s="3" t="str">
        <f ca="1">IF(Tabela2[[#This Row],[Dt Venc:]]&gt;TODAY(),"Em Aberto",IF(Tabela2[[#This Row],[D/venc]]="-","Enviado",IF(Tabela2[[#This Row],[Dt Venc:]]=TODAY(),"Vence Hoje","Vencida")))</f>
        <v>Enviado</v>
      </c>
      <c r="F4033" s="3" t="str">
        <f ca="1">IF(G4033=1,"-",Tabela2[[#This Row],[Dt Venc:]]-TODAY())</f>
        <v>-</v>
      </c>
      <c r="G4033" s="3">
        <v>1</v>
      </c>
      <c r="H4033" s="3"/>
    </row>
    <row r="4034" spans="1:8" hidden="1">
      <c r="A4034" s="3">
        <v>1261511</v>
      </c>
      <c r="B4034" s="7" t="s">
        <v>64</v>
      </c>
      <c r="C4034" s="41">
        <v>739.02</v>
      </c>
      <c r="D4034" s="6">
        <v>45659</v>
      </c>
      <c r="E4034" s="3" t="str">
        <f ca="1">IF(Tabela2[[#This Row],[Dt Venc:]]&gt;TODAY(),"Em Aberto",IF(Tabela2[[#This Row],[D/venc]]="-","Enviado",IF(Tabela2[[#This Row],[Dt Venc:]]=TODAY(),"Vence Hoje","Vencida")))</f>
        <v>Enviado</v>
      </c>
      <c r="F4034" s="3" t="str">
        <f ca="1">IF(G4034=1,"-",Tabela2[[#This Row],[Dt Venc:]]-TODAY())</f>
        <v>-</v>
      </c>
      <c r="G4034" s="3">
        <v>1</v>
      </c>
      <c r="H4034" s="3"/>
    </row>
    <row r="4035" spans="1:8" hidden="1">
      <c r="A4035" s="3">
        <v>263296</v>
      </c>
      <c r="B4035" s="7" t="s">
        <v>43</v>
      </c>
      <c r="C4035" s="41">
        <v>742</v>
      </c>
      <c r="D4035" s="6">
        <v>45659</v>
      </c>
      <c r="E4035" s="3" t="str">
        <f ca="1">IF(Tabela2[[#This Row],[Dt Venc:]]&gt;TODAY(),"Em Aberto",IF(Tabela2[[#This Row],[D/venc]]="-","Enviado",IF(Tabela2[[#This Row],[Dt Venc:]]=TODAY(),"Vence Hoje","Vencida")))</f>
        <v>Enviado</v>
      </c>
      <c r="F4035" s="3" t="str">
        <f ca="1">IF(G4035=1,"-",Tabela2[[#This Row],[Dt Venc:]]-TODAY())</f>
        <v>-</v>
      </c>
      <c r="G4035" s="3">
        <v>1</v>
      </c>
      <c r="H4035" s="3"/>
    </row>
    <row r="4036" spans="1:8" hidden="1">
      <c r="A4036" s="3">
        <v>619652</v>
      </c>
      <c r="B4036" s="7" t="s">
        <v>66</v>
      </c>
      <c r="C4036" s="41">
        <v>1960.2</v>
      </c>
      <c r="D4036" s="6">
        <v>45659</v>
      </c>
      <c r="E4036" s="3" t="str">
        <f ca="1">IF(Tabela2[[#This Row],[Dt Venc:]]&gt;TODAY(),"Em Aberto",IF(Tabela2[[#This Row],[D/venc]]="-","Enviado",IF(Tabela2[[#This Row],[Dt Venc:]]=TODAY(),"Vence Hoje","Vencida")))</f>
        <v>Enviado</v>
      </c>
      <c r="F4036" s="3" t="str">
        <f ca="1">IF(G4036=1,"-",Tabela2[[#This Row],[Dt Venc:]]-TODAY())</f>
        <v>-</v>
      </c>
      <c r="G4036" s="3">
        <v>1</v>
      </c>
      <c r="H4036" s="3"/>
    </row>
    <row r="4037" spans="1:8" hidden="1">
      <c r="A4037" s="3">
        <v>91028</v>
      </c>
      <c r="B4037" s="7" t="s">
        <v>48</v>
      </c>
      <c r="C4037" s="41">
        <v>2954.7</v>
      </c>
      <c r="D4037" s="6">
        <v>45659</v>
      </c>
      <c r="E4037" s="3" t="str">
        <f ca="1">IF(Tabela2[[#This Row],[Dt Venc:]]&gt;TODAY(),"Em Aberto",IF(Tabela2[[#This Row],[D/venc]]="-","Enviado",IF(Tabela2[[#This Row],[Dt Venc:]]=TODAY(),"Vence Hoje","Vencida")))</f>
        <v>Enviado</v>
      </c>
      <c r="F4037" s="3" t="str">
        <f ca="1">IF(G4037=1,"-",Tabela2[[#This Row],[Dt Venc:]]-TODAY())</f>
        <v>-</v>
      </c>
      <c r="G4037" s="3">
        <v>1</v>
      </c>
      <c r="H4037" s="3"/>
    </row>
    <row r="4038" spans="1:8" hidden="1">
      <c r="A4038" s="3">
        <v>12415</v>
      </c>
      <c r="B4038" s="7" t="s">
        <v>72</v>
      </c>
      <c r="C4038" s="41">
        <v>1150</v>
      </c>
      <c r="D4038" s="6">
        <v>45659</v>
      </c>
      <c r="E4038" s="3" t="str">
        <f ca="1">IF(Tabela2[[#This Row],[Dt Venc:]]&gt;TODAY(),"Em Aberto",IF(Tabela2[[#This Row],[D/venc]]="-","Enviado",IF(Tabela2[[#This Row],[Dt Venc:]]=TODAY(),"Vence Hoje","Vencida")))</f>
        <v>Enviado</v>
      </c>
      <c r="F4038" s="3" t="str">
        <f ca="1">IF(G4038=1,"-",Tabela2[[#This Row],[Dt Venc:]]-TODAY())</f>
        <v>-</v>
      </c>
      <c r="G4038" s="3">
        <v>1</v>
      </c>
      <c r="H4038" s="3"/>
    </row>
    <row r="4039" spans="1:8" hidden="1">
      <c r="A4039" s="3">
        <v>374163</v>
      </c>
      <c r="B4039" s="7" t="s">
        <v>39</v>
      </c>
      <c r="C4039" s="41">
        <v>398.36</v>
      </c>
      <c r="D4039" s="6">
        <v>45659</v>
      </c>
      <c r="E4039" s="3" t="str">
        <f ca="1">IF(Tabela2[[#This Row],[Dt Venc:]]&gt;TODAY(),"Em Aberto",IF(Tabela2[[#This Row],[D/venc]]="-","Enviado",IF(Tabela2[[#This Row],[Dt Venc:]]=TODAY(),"Vence Hoje","Vencida")))</f>
        <v>Enviado</v>
      </c>
      <c r="F4039" s="3" t="str">
        <f ca="1">IF(G4039=1,"-",Tabela2[[#This Row],[Dt Venc:]]-TODAY())</f>
        <v>-</v>
      </c>
      <c r="G4039" s="3">
        <v>1</v>
      </c>
      <c r="H4039" s="3"/>
    </row>
    <row r="4040" spans="1:8" hidden="1">
      <c r="A4040" s="3">
        <v>13764</v>
      </c>
      <c r="B4040" s="7" t="s">
        <v>400</v>
      </c>
      <c r="C4040" s="41">
        <v>879.16</v>
      </c>
      <c r="D4040" s="6">
        <v>45659</v>
      </c>
      <c r="E4040" s="3" t="str">
        <f ca="1">IF(Tabela2[[#This Row],[Dt Venc:]]&gt;TODAY(),"Em Aberto",IF(Tabela2[[#This Row],[D/venc]]="-","Enviado",IF(Tabela2[[#This Row],[Dt Venc:]]=TODAY(),"Vence Hoje","Vencida")))</f>
        <v>Enviado</v>
      </c>
      <c r="F4040" s="3" t="str">
        <f ca="1">IF(G4040=1,"-",Tabela2[[#This Row],[Dt Venc:]]-TODAY())</f>
        <v>-</v>
      </c>
      <c r="G4040" s="3">
        <v>1</v>
      </c>
      <c r="H4040" s="3"/>
    </row>
    <row r="4041" spans="1:8" hidden="1">
      <c r="A4041" s="3">
        <v>226514</v>
      </c>
      <c r="B4041" s="7" t="s">
        <v>127</v>
      </c>
      <c r="C4041" s="41">
        <v>630.6</v>
      </c>
      <c r="D4041" s="6">
        <v>45659</v>
      </c>
      <c r="E4041" s="3" t="str">
        <f ca="1">IF(Tabela2[[#This Row],[Dt Venc:]]&gt;TODAY(),"Em Aberto",IF(Tabela2[[#This Row],[D/venc]]="-","Enviado",IF(Tabela2[[#This Row],[Dt Venc:]]=TODAY(),"Vence Hoje","Vencida")))</f>
        <v>Enviado</v>
      </c>
      <c r="F4041" s="3" t="str">
        <f ca="1">IF(G4041=1,"-",Tabela2[[#This Row],[Dt Venc:]]-TODAY())</f>
        <v>-</v>
      </c>
      <c r="G4041" s="3">
        <v>1</v>
      </c>
      <c r="H4041" s="3"/>
    </row>
    <row r="4042" spans="1:8" hidden="1">
      <c r="A4042" s="3">
        <v>15349</v>
      </c>
      <c r="B4042" s="7" t="s">
        <v>99</v>
      </c>
      <c r="C4042" s="41">
        <v>708.33</v>
      </c>
      <c r="D4042" s="6">
        <v>45659</v>
      </c>
      <c r="E4042" s="3" t="str">
        <f ca="1">IF(Tabela2[[#This Row],[Dt Venc:]]&gt;TODAY(),"Em Aberto",IF(Tabela2[[#This Row],[D/venc]]="-","Enviado",IF(Tabela2[[#This Row],[Dt Venc:]]=TODAY(),"Vence Hoje","Vencida")))</f>
        <v>Enviado</v>
      </c>
      <c r="F4042" s="3" t="str">
        <f ca="1">IF(G4042=1,"-",Tabela2[[#This Row],[Dt Venc:]]-TODAY())</f>
        <v>-</v>
      </c>
      <c r="G4042" s="3">
        <v>1</v>
      </c>
      <c r="H4042" s="3"/>
    </row>
    <row r="4043" spans="1:8" hidden="1">
      <c r="A4043" s="3">
        <v>2279160</v>
      </c>
      <c r="B4043" s="7" t="s">
        <v>59</v>
      </c>
      <c r="C4043" s="41">
        <v>55777</v>
      </c>
      <c r="D4043" s="6">
        <v>45659</v>
      </c>
      <c r="E4043" s="3" t="str">
        <f ca="1">IF(Tabela2[[#This Row],[Dt Venc:]]&gt;TODAY(),"Em Aberto",IF(Tabela2[[#This Row],[D/venc]]="-","Enviado",IF(Tabela2[[#This Row],[Dt Venc:]]=TODAY(),"Vence Hoje","Vencida")))</f>
        <v>Enviado</v>
      </c>
      <c r="F4043" s="3" t="str">
        <f ca="1">IF(G4043=1,"-",Tabela2[[#This Row],[Dt Venc:]]-TODAY())</f>
        <v>-</v>
      </c>
      <c r="G4043" s="3">
        <v>1</v>
      </c>
      <c r="H4043" s="3"/>
    </row>
    <row r="4044" spans="1:8" hidden="1">
      <c r="A4044" s="3">
        <v>2003966</v>
      </c>
      <c r="B4044" s="7" t="s">
        <v>59</v>
      </c>
      <c r="C4044" s="41">
        <v>139150</v>
      </c>
      <c r="D4044" s="6">
        <v>45659</v>
      </c>
      <c r="E4044" s="3" t="str">
        <f ca="1">IF(Tabela2[[#This Row],[Dt Venc:]]&gt;TODAY(),"Em Aberto",IF(Tabela2[[#This Row],[D/venc]]="-","Enviado",IF(Tabela2[[#This Row],[Dt Venc:]]=TODAY(),"Vence Hoje","Vencida")))</f>
        <v>Enviado</v>
      </c>
      <c r="F4044" s="3" t="str">
        <f ca="1">IF(G4044=1,"-",Tabela2[[#This Row],[Dt Venc:]]-TODAY())</f>
        <v>-</v>
      </c>
      <c r="G4044" s="3">
        <v>1</v>
      </c>
      <c r="H4044" s="3"/>
    </row>
    <row r="4045" spans="1:8" hidden="1">
      <c r="A4045" s="3">
        <v>8393</v>
      </c>
      <c r="B4045" s="7" t="s">
        <v>242</v>
      </c>
      <c r="C4045" s="41">
        <v>58.9</v>
      </c>
      <c r="D4045" s="6">
        <v>45659</v>
      </c>
      <c r="E4045" s="3" t="str">
        <f ca="1">IF(Tabela2[[#This Row],[Dt Venc:]]&gt;TODAY(),"Em Aberto",IF(Tabela2[[#This Row],[D/venc]]="-","Enviado",IF(Tabela2[[#This Row],[Dt Venc:]]=TODAY(),"Vence Hoje","Vencida")))</f>
        <v>Enviado</v>
      </c>
      <c r="F4045" s="3" t="str">
        <f ca="1">IF(G4045=1,"-",Tabela2[[#This Row],[Dt Venc:]]-TODAY())</f>
        <v>-</v>
      </c>
      <c r="G4045" s="3">
        <v>1</v>
      </c>
      <c r="H4045" s="3"/>
    </row>
    <row r="4046" spans="1:8" hidden="1">
      <c r="A4046" s="3">
        <v>36987</v>
      </c>
      <c r="B4046" s="7" t="s">
        <v>597</v>
      </c>
      <c r="C4046" s="41">
        <v>120780</v>
      </c>
      <c r="D4046" s="6">
        <v>45659</v>
      </c>
      <c r="E4046" s="3" t="str">
        <f ca="1">IF(Tabela2[[#This Row],[Dt Venc:]]&gt;TODAY(),"Em Aberto",IF(Tabela2[[#This Row],[D/venc]]="-","Enviado",IF(Tabela2[[#This Row],[Dt Venc:]]=TODAY(),"Vence Hoje","Vencida")))</f>
        <v>Enviado</v>
      </c>
      <c r="F4046" s="3" t="str">
        <f ca="1">IF(G4046=1,"-",Tabela2[[#This Row],[Dt Venc:]]-TODAY())</f>
        <v>-</v>
      </c>
      <c r="G4046" s="3">
        <v>1</v>
      </c>
      <c r="H4046" s="3"/>
    </row>
    <row r="4047" spans="1:8" hidden="1">
      <c r="A4047" s="3">
        <v>445929</v>
      </c>
      <c r="B4047" s="7" t="s">
        <v>59</v>
      </c>
      <c r="C4047" s="41">
        <v>28451</v>
      </c>
      <c r="D4047" s="6">
        <v>45659</v>
      </c>
      <c r="E4047" s="3" t="str">
        <f ca="1">IF(Tabela2[[#This Row],[Dt Venc:]]&gt;TODAY(),"Em Aberto",IF(Tabela2[[#This Row],[D/venc]]="-","Enviado",IF(Tabela2[[#This Row],[Dt Venc:]]=TODAY(),"Vence Hoje","Vencida")))</f>
        <v>Enviado</v>
      </c>
      <c r="F4047" s="3" t="str">
        <f ca="1">IF(G4047=1,"-",Tabela2[[#This Row],[Dt Venc:]]-TODAY())</f>
        <v>-</v>
      </c>
      <c r="G4047" s="3">
        <v>1</v>
      </c>
      <c r="H4047" s="3"/>
    </row>
    <row r="4048" spans="1:8" hidden="1">
      <c r="A4048" s="3">
        <v>11765</v>
      </c>
      <c r="B4048" s="7" t="s">
        <v>598</v>
      </c>
      <c r="C4048" s="41">
        <v>380.94</v>
      </c>
      <c r="D4048" s="6">
        <v>45659</v>
      </c>
      <c r="E4048" s="3" t="str">
        <f ca="1">IF(Tabela2[[#This Row],[Dt Venc:]]&gt;TODAY(),"Em Aberto",IF(Tabela2[[#This Row],[D/venc]]="-","Enviado",IF(Tabela2[[#This Row],[Dt Venc:]]=TODAY(),"Vence Hoje","Vencida")))</f>
        <v>Enviado</v>
      </c>
      <c r="F4048" s="3" t="str">
        <f ca="1">IF(G4048=1,"-",Tabela2[[#This Row],[Dt Venc:]]-TODAY())</f>
        <v>-</v>
      </c>
      <c r="G4048" s="3">
        <v>1</v>
      </c>
      <c r="H4048" s="3"/>
    </row>
    <row r="4049" spans="1:8" hidden="1">
      <c r="A4049" s="3">
        <v>2809</v>
      </c>
      <c r="B4049" s="7" t="s">
        <v>198</v>
      </c>
      <c r="C4049" s="41">
        <v>650</v>
      </c>
      <c r="D4049" s="6">
        <v>45659</v>
      </c>
      <c r="E4049" s="3" t="str">
        <f ca="1">IF(Tabela2[[#This Row],[Dt Venc:]]&gt;TODAY(),"Em Aberto",IF(Tabela2[[#This Row],[D/venc]]="-","Enviado",IF(Tabela2[[#This Row],[Dt Venc:]]=TODAY(),"Vence Hoje","Vencida")))</f>
        <v>Enviado</v>
      </c>
      <c r="F4049" s="3" t="str">
        <f ca="1">IF(G4049=1,"-",Tabela2[[#This Row],[Dt Venc:]]-TODAY())</f>
        <v>-</v>
      </c>
      <c r="G4049" s="3">
        <v>1</v>
      </c>
      <c r="H4049" s="3"/>
    </row>
    <row r="4050" spans="1:8" hidden="1">
      <c r="A4050" s="3">
        <v>10494</v>
      </c>
      <c r="B4050" s="7" t="s">
        <v>82</v>
      </c>
      <c r="C4050" s="86" t="s">
        <v>30</v>
      </c>
      <c r="D4050" s="6">
        <v>45660</v>
      </c>
      <c r="E4050" s="3" t="str">
        <f ca="1">IF(Tabela2[[#This Row],[Dt Venc:]]&gt;TODAY(),"Em Aberto",IF(Tabela2[[#This Row],[D/venc]]="-","Enviado",IF(Tabela2[[#This Row],[Dt Venc:]]=TODAY(),"Vence Hoje","Vencida")))</f>
        <v>Enviado</v>
      </c>
      <c r="F4050" s="3" t="str">
        <f ca="1">IF(G4050=1,"-",Tabela2[[#This Row],[Dt Venc:]]-TODAY())</f>
        <v>-</v>
      </c>
      <c r="G4050" s="3">
        <v>1</v>
      </c>
      <c r="H4050" s="3"/>
    </row>
    <row r="4051" spans="1:8" hidden="1">
      <c r="A4051" s="3">
        <v>10974</v>
      </c>
      <c r="B4051" s="7" t="s">
        <v>33</v>
      </c>
      <c r="C4051" s="42">
        <v>1615</v>
      </c>
      <c r="D4051" s="6">
        <v>45660</v>
      </c>
      <c r="E4051" s="3" t="str">
        <f ca="1">IF(Tabela2[[#This Row],[Dt Venc:]]&gt;TODAY(),"Em Aberto",IF(Tabela2[[#This Row],[D/venc]]="-","Enviado",IF(Tabela2[[#This Row],[Dt Venc:]]=TODAY(),"Vence Hoje","Vencida")))</f>
        <v>Enviado</v>
      </c>
      <c r="F4051" s="3" t="str">
        <f ca="1">IF(G4051=1,"-",Tabela2[[#This Row],[Dt Venc:]]-TODAY())</f>
        <v>-</v>
      </c>
      <c r="G4051" s="3">
        <v>1</v>
      </c>
      <c r="H4051" s="3"/>
    </row>
    <row r="4052" spans="1:8" hidden="1">
      <c r="A4052" s="3">
        <v>10974</v>
      </c>
      <c r="B4052" s="7" t="s">
        <v>33</v>
      </c>
      <c r="C4052" s="42">
        <v>1615</v>
      </c>
      <c r="D4052" s="6">
        <v>45660</v>
      </c>
      <c r="E4052" s="3" t="str">
        <f ca="1">IF(Tabela2[[#This Row],[Dt Venc:]]&gt;TODAY(),"Em Aberto",IF(Tabela2[[#This Row],[D/venc]]="-","Enviado",IF(Tabela2[[#This Row],[Dt Venc:]]=TODAY(),"Vence Hoje","Vencida")))</f>
        <v>Enviado</v>
      </c>
      <c r="F4052" s="3" t="str">
        <f ca="1">IF(G4052=1,"-",Tabela2[[#This Row],[Dt Venc:]]-TODAY())</f>
        <v>-</v>
      </c>
      <c r="G4052" s="3">
        <v>1</v>
      </c>
      <c r="H4052" s="3"/>
    </row>
    <row r="4053" spans="1:8" hidden="1">
      <c r="A4053" s="3">
        <v>10978</v>
      </c>
      <c r="B4053" s="7" t="s">
        <v>33</v>
      </c>
      <c r="C4053" s="42">
        <v>400</v>
      </c>
      <c r="D4053" s="6">
        <v>45660</v>
      </c>
      <c r="E4053" s="3" t="str">
        <f ca="1">IF(Tabela2[[#This Row],[Dt Venc:]]&gt;TODAY(),"Em Aberto",IF(Tabela2[[#This Row],[D/venc]]="-","Enviado",IF(Tabela2[[#This Row],[Dt Venc:]]=TODAY(),"Vence Hoje","Vencida")))</f>
        <v>Enviado</v>
      </c>
      <c r="F4053" s="3" t="str">
        <f ca="1">IF(G4053=1,"-",Tabela2[[#This Row],[Dt Venc:]]-TODAY())</f>
        <v>-</v>
      </c>
      <c r="G4053" s="3">
        <v>1</v>
      </c>
      <c r="H4053" s="3"/>
    </row>
    <row r="4054" spans="1:8" hidden="1">
      <c r="A4054" s="3">
        <v>485137</v>
      </c>
      <c r="B4054" s="7" t="s">
        <v>500</v>
      </c>
      <c r="C4054" s="41">
        <v>2165</v>
      </c>
      <c r="D4054" s="6">
        <v>45660</v>
      </c>
      <c r="E4054" s="3" t="str">
        <f ca="1">IF(Tabela2[[#This Row],[Dt Venc:]]&gt;TODAY(),"Em Aberto",IF(Tabela2[[#This Row],[D/venc]]="-","Enviado",IF(Tabela2[[#This Row],[Dt Venc:]]=TODAY(),"Vence Hoje","Vencida")))</f>
        <v>Enviado</v>
      </c>
      <c r="F4054" s="3" t="str">
        <f ca="1">IF(G4054=1,"-",Tabela2[[#This Row],[Dt Venc:]]-TODAY())</f>
        <v>-</v>
      </c>
      <c r="G4054" s="3">
        <v>1</v>
      </c>
      <c r="H4054" s="3"/>
    </row>
    <row r="4055" spans="1:8" hidden="1">
      <c r="A4055" s="3">
        <v>20170</v>
      </c>
      <c r="B4055" s="7" t="s">
        <v>233</v>
      </c>
      <c r="C4055" s="41">
        <v>966.67</v>
      </c>
      <c r="D4055" s="6">
        <v>45660</v>
      </c>
      <c r="E4055" s="3" t="str">
        <f ca="1">IF(Tabela2[[#This Row],[Dt Venc:]]&gt;TODAY(),"Em Aberto",IF(Tabela2[[#This Row],[D/venc]]="-","Enviado",IF(Tabela2[[#This Row],[Dt Venc:]]=TODAY(),"Vence Hoje","Vencida")))</f>
        <v>Enviado</v>
      </c>
      <c r="F4055" s="3" t="str">
        <f ca="1">IF(G4055=1,"-",Tabela2[[#This Row],[Dt Venc:]]-TODAY())</f>
        <v>-</v>
      </c>
      <c r="G4055" s="3">
        <v>1</v>
      </c>
      <c r="H4055" s="3"/>
    </row>
    <row r="4056" spans="1:8" hidden="1">
      <c r="A4056" s="3">
        <v>224398</v>
      </c>
      <c r="B4056" s="7" t="s">
        <v>127</v>
      </c>
      <c r="C4056" s="41">
        <v>1901.68</v>
      </c>
      <c r="D4056" s="6">
        <v>45660</v>
      </c>
      <c r="E4056" s="3" t="str">
        <f ca="1">IF(Tabela2[[#This Row],[Dt Venc:]]&gt;TODAY(),"Em Aberto",IF(Tabela2[[#This Row],[D/venc]]="-","Enviado",IF(Tabela2[[#This Row],[Dt Venc:]]=TODAY(),"Vence Hoje","Vencida")))</f>
        <v>Enviado</v>
      </c>
      <c r="F4056" s="3" t="str">
        <f ca="1">IF(G4056=1,"-",Tabela2[[#This Row],[Dt Venc:]]-TODAY())</f>
        <v>-</v>
      </c>
      <c r="G4056" s="3">
        <v>1</v>
      </c>
      <c r="H4056" s="3"/>
    </row>
    <row r="4057" spans="1:8" hidden="1">
      <c r="A4057" s="3">
        <v>1332</v>
      </c>
      <c r="B4057" s="7" t="s">
        <v>360</v>
      </c>
      <c r="C4057" s="41">
        <v>955</v>
      </c>
      <c r="D4057" s="6">
        <v>45660</v>
      </c>
      <c r="E4057" s="3" t="str">
        <f ca="1">IF(Tabela2[[#This Row],[Dt Venc:]]&gt;TODAY(),"Em Aberto",IF(Tabela2[[#This Row],[D/venc]]="-","Enviado",IF(Tabela2[[#This Row],[Dt Venc:]]=TODAY(),"Vence Hoje","Vencida")))</f>
        <v>Enviado</v>
      </c>
      <c r="F4057" s="3" t="str">
        <f ca="1">IF(G4057=1,"-",Tabela2[[#This Row],[Dt Venc:]]-TODAY())</f>
        <v>-</v>
      </c>
      <c r="G4057" s="3">
        <v>1</v>
      </c>
      <c r="H4057" s="3"/>
    </row>
    <row r="4058" spans="1:8" hidden="1">
      <c r="A4058" s="3">
        <v>616027</v>
      </c>
      <c r="B4058" s="7" t="s">
        <v>66</v>
      </c>
      <c r="C4058" s="41">
        <v>2885.67</v>
      </c>
      <c r="D4058" s="6">
        <v>45660</v>
      </c>
      <c r="E4058" s="3" t="str">
        <f ca="1">IF(Tabela2[[#This Row],[Dt Venc:]]&gt;TODAY(),"Em Aberto",IF(Tabela2[[#This Row],[D/venc]]="-","Enviado",IF(Tabela2[[#This Row],[Dt Venc:]]=TODAY(),"Vence Hoje","Vencida")))</f>
        <v>Enviado</v>
      </c>
      <c r="F4058" s="3" t="str">
        <f ca="1">IF(G4058=1,"-",Tabela2[[#This Row],[Dt Venc:]]-TODAY())</f>
        <v>-</v>
      </c>
      <c r="G4058" s="3">
        <v>1</v>
      </c>
      <c r="H4058" s="3"/>
    </row>
    <row r="4059" spans="1:8" hidden="1">
      <c r="A4059" s="3">
        <v>92796</v>
      </c>
      <c r="B4059" s="7" t="s">
        <v>212</v>
      </c>
      <c r="C4059" s="41">
        <v>998</v>
      </c>
      <c r="D4059" s="6">
        <v>45660</v>
      </c>
      <c r="E4059" s="3" t="str">
        <f ca="1">IF(Tabela2[[#This Row],[Dt Venc:]]&gt;TODAY(),"Em Aberto",IF(Tabela2[[#This Row],[D/venc]]="-","Enviado",IF(Tabela2[[#This Row],[Dt Venc:]]=TODAY(),"Vence Hoje","Vencida")))</f>
        <v>Enviado</v>
      </c>
      <c r="F4059" s="3" t="str">
        <f ca="1">IF(G4059=1,"-",Tabela2[[#This Row],[Dt Venc:]]-TODAY())</f>
        <v>-</v>
      </c>
      <c r="G4059" s="3">
        <v>1</v>
      </c>
      <c r="H4059" s="3"/>
    </row>
    <row r="4060" spans="1:8" hidden="1">
      <c r="A4060" s="3">
        <v>39542</v>
      </c>
      <c r="B4060" s="7" t="s">
        <v>505</v>
      </c>
      <c r="C4060" s="41">
        <v>1178</v>
      </c>
      <c r="D4060" s="6">
        <v>45660</v>
      </c>
      <c r="E4060" s="3" t="str">
        <f ca="1">IF(Tabela2[[#This Row],[Dt Venc:]]&gt;TODAY(),"Em Aberto",IF(Tabela2[[#This Row],[D/venc]]="-","Enviado",IF(Tabela2[[#This Row],[Dt Venc:]]=TODAY(),"Vence Hoje","Vencida")))</f>
        <v>Enviado</v>
      </c>
      <c r="F4060" s="3" t="str">
        <f ca="1">IF(G4060=1,"-",Tabela2[[#This Row],[Dt Venc:]]-TODAY())</f>
        <v>-</v>
      </c>
      <c r="G4060" s="3">
        <v>1</v>
      </c>
      <c r="H4060" s="3"/>
    </row>
    <row r="4061" spans="1:8" hidden="1">
      <c r="A4061" s="3">
        <v>72804</v>
      </c>
      <c r="B4061" s="7" t="s">
        <v>76</v>
      </c>
      <c r="C4061" s="41">
        <v>1513.48</v>
      </c>
      <c r="D4061" s="6">
        <v>45660</v>
      </c>
      <c r="E4061" s="3" t="str">
        <f ca="1">IF(Tabela2[[#This Row],[Dt Venc:]]&gt;TODAY(),"Em Aberto",IF(Tabela2[[#This Row],[D/venc]]="-","Enviado",IF(Tabela2[[#This Row],[Dt Venc:]]=TODAY(),"Vence Hoje","Vencida")))</f>
        <v>Enviado</v>
      </c>
      <c r="F4061" s="3" t="str">
        <f ca="1">IF(G4061=1,"-",Tabela2[[#This Row],[Dt Venc:]]-TODAY())</f>
        <v>-</v>
      </c>
      <c r="G4061" s="3">
        <v>1</v>
      </c>
      <c r="H4061" s="3"/>
    </row>
    <row r="4062" spans="1:8" hidden="1">
      <c r="A4062" s="3">
        <v>182866</v>
      </c>
      <c r="B4062" s="7" t="s">
        <v>84</v>
      </c>
      <c r="C4062" s="41">
        <v>523.71</v>
      </c>
      <c r="D4062" s="6">
        <v>45660</v>
      </c>
      <c r="E4062" s="3" t="str">
        <f ca="1">IF(Tabela2[[#This Row],[Dt Venc:]]&gt;TODAY(),"Em Aberto",IF(Tabela2[[#This Row],[D/venc]]="-","Enviado",IF(Tabela2[[#This Row],[Dt Venc:]]=TODAY(),"Vence Hoje","Vencida")))</f>
        <v>Enviado</v>
      </c>
      <c r="F4062" s="3" t="str">
        <f ca="1">IF(G4062=1,"-",Tabela2[[#This Row],[Dt Venc:]]-TODAY())</f>
        <v>-</v>
      </c>
      <c r="G4062" s="3">
        <v>1</v>
      </c>
      <c r="H4062" s="3"/>
    </row>
    <row r="4063" spans="1:8" hidden="1">
      <c r="A4063" s="3">
        <v>231587</v>
      </c>
      <c r="B4063" s="7" t="s">
        <v>43</v>
      </c>
      <c r="C4063" s="41">
        <v>1300</v>
      </c>
      <c r="D4063" s="6">
        <v>45660</v>
      </c>
      <c r="E4063" s="3" t="str">
        <f ca="1">IF(Tabela2[[#This Row],[Dt Venc:]]&gt;TODAY(),"Em Aberto",IF(Tabela2[[#This Row],[D/venc]]="-","Enviado",IF(Tabela2[[#This Row],[Dt Venc:]]=TODAY(),"Vence Hoje","Vencida")))</f>
        <v>Enviado</v>
      </c>
      <c r="F4063" s="3" t="str">
        <f ca="1">IF(G4063=1,"-",Tabela2[[#This Row],[Dt Venc:]]-TODAY())</f>
        <v>-</v>
      </c>
      <c r="G4063" s="3">
        <v>1</v>
      </c>
      <c r="H4063" s="3"/>
    </row>
    <row r="4064" spans="1:8" hidden="1">
      <c r="A4064" s="3">
        <v>231587</v>
      </c>
      <c r="B4064" s="7" t="s">
        <v>43</v>
      </c>
      <c r="C4064" s="41">
        <v>1300</v>
      </c>
      <c r="D4064" s="6">
        <v>45660</v>
      </c>
      <c r="E4064" s="3" t="str">
        <f ca="1">IF(Tabela2[[#This Row],[Dt Venc:]]&gt;TODAY(),"Em Aberto",IF(Tabela2[[#This Row],[D/venc]]="-","Enviado",IF(Tabela2[[#This Row],[Dt Venc:]]=TODAY(),"Vence Hoje","Vencida")))</f>
        <v>Enviado</v>
      </c>
      <c r="F4064" s="3" t="str">
        <f ca="1">IF(G4064=1,"-",Tabela2[[#This Row],[Dt Venc:]]-TODAY())</f>
        <v>-</v>
      </c>
      <c r="G4064" s="3">
        <v>1</v>
      </c>
      <c r="H4064" s="3"/>
    </row>
    <row r="4065" spans="1:8" hidden="1">
      <c r="A4065" s="3">
        <v>2979</v>
      </c>
      <c r="B4065" s="7" t="s">
        <v>43</v>
      </c>
      <c r="C4065" s="41">
        <v>314</v>
      </c>
      <c r="D4065" s="6">
        <v>45660</v>
      </c>
      <c r="E4065" s="3" t="str">
        <f ca="1">IF(Tabela2[[#This Row],[Dt Venc:]]&gt;TODAY(),"Em Aberto",IF(Tabela2[[#This Row],[D/venc]]="-","Enviado",IF(Tabela2[[#This Row],[Dt Venc:]]=TODAY(),"Vence Hoje","Vencida")))</f>
        <v>Enviado</v>
      </c>
      <c r="F4065" s="3" t="str">
        <f ca="1">IF(G4065=1,"-",Tabela2[[#This Row],[Dt Venc:]]-TODAY())</f>
        <v>-</v>
      </c>
      <c r="G4065" s="3">
        <v>1</v>
      </c>
      <c r="H4065" s="3"/>
    </row>
    <row r="4066" spans="1:8" hidden="1">
      <c r="A4066" s="3">
        <v>390509</v>
      </c>
      <c r="B4066" s="7" t="s">
        <v>43</v>
      </c>
      <c r="C4066" s="41">
        <v>520.74</v>
      </c>
      <c r="D4066" s="6">
        <v>45660</v>
      </c>
      <c r="E4066" s="3" t="str">
        <f ca="1">IF(Tabela2[[#This Row],[Dt Venc:]]&gt;TODAY(),"Em Aberto",IF(Tabela2[[#This Row],[D/venc]]="-","Enviado",IF(Tabela2[[#This Row],[Dt Venc:]]=TODAY(),"Vence Hoje","Vencida")))</f>
        <v>Enviado</v>
      </c>
      <c r="F4066" s="3" t="str">
        <f ca="1">IF(G4066=1,"-",Tabela2[[#This Row],[Dt Venc:]]-TODAY())</f>
        <v>-</v>
      </c>
      <c r="G4066" s="3">
        <v>1</v>
      </c>
      <c r="H4066" s="3"/>
    </row>
    <row r="4067" spans="1:8" hidden="1">
      <c r="A4067" s="3">
        <v>154106</v>
      </c>
      <c r="B4067" s="7" t="s">
        <v>77</v>
      </c>
      <c r="C4067" s="41">
        <v>773.33</v>
      </c>
      <c r="D4067" s="6">
        <v>45660</v>
      </c>
      <c r="E4067" s="3" t="str">
        <f ca="1">IF(Tabela2[[#This Row],[Dt Venc:]]&gt;TODAY(),"Em Aberto",IF(Tabela2[[#This Row],[D/venc]]="-","Enviado",IF(Tabela2[[#This Row],[Dt Venc:]]=TODAY(),"Vence Hoje","Vencida")))</f>
        <v>Enviado</v>
      </c>
      <c r="F4067" s="3" t="str">
        <f ca="1">IF(G4067=1,"-",Tabela2[[#This Row],[Dt Venc:]]-TODAY())</f>
        <v>-</v>
      </c>
      <c r="G4067" s="3">
        <v>1</v>
      </c>
      <c r="H4067" s="3"/>
    </row>
    <row r="4068" spans="1:8" hidden="1">
      <c r="A4068" s="3">
        <v>154104</v>
      </c>
      <c r="B4068" s="7" t="s">
        <v>77</v>
      </c>
      <c r="C4068" s="41">
        <v>433.33</v>
      </c>
      <c r="D4068" s="6">
        <v>45660</v>
      </c>
      <c r="E4068" s="3" t="str">
        <f ca="1">IF(Tabela2[[#This Row],[Dt Venc:]]&gt;TODAY(),"Em Aberto",IF(Tabela2[[#This Row],[D/venc]]="-","Enviado",IF(Tabela2[[#This Row],[Dt Venc:]]=TODAY(),"Vence Hoje","Vencida")))</f>
        <v>Enviado</v>
      </c>
      <c r="F4068" s="3" t="str">
        <f ca="1">IF(G4068=1,"-",Tabela2[[#This Row],[Dt Venc:]]-TODAY())</f>
        <v>-</v>
      </c>
      <c r="G4068" s="3">
        <v>1</v>
      </c>
      <c r="H4068" s="3"/>
    </row>
    <row r="4069" spans="1:8" hidden="1">
      <c r="A4069" s="3">
        <v>6013</v>
      </c>
      <c r="B4069" s="7" t="s">
        <v>140</v>
      </c>
      <c r="C4069" s="41">
        <v>533</v>
      </c>
      <c r="D4069" s="6">
        <v>45660</v>
      </c>
      <c r="E4069" s="3" t="str">
        <f ca="1">IF(Tabela2[[#This Row],[Dt Venc:]]&gt;TODAY(),"Em Aberto",IF(Tabela2[[#This Row],[D/venc]]="-","Enviado",IF(Tabela2[[#This Row],[Dt Venc:]]=TODAY(),"Vence Hoje","Vencida")))</f>
        <v>Enviado</v>
      </c>
      <c r="F4069" s="3" t="str">
        <f ca="1">IF(G4069=1,"-",Tabela2[[#This Row],[Dt Venc:]]-TODAY())</f>
        <v>-</v>
      </c>
      <c r="G4069" s="3">
        <v>1</v>
      </c>
      <c r="H4069" s="3"/>
    </row>
    <row r="4070" spans="1:8" hidden="1">
      <c r="A4070" s="3">
        <v>38191</v>
      </c>
      <c r="B4070" s="7" t="s">
        <v>70</v>
      </c>
      <c r="C4070" s="41">
        <v>745.44</v>
      </c>
      <c r="D4070" s="6">
        <v>45660</v>
      </c>
      <c r="E4070" s="3" t="str">
        <f ca="1">IF(Tabela2[[#This Row],[Dt Venc:]]&gt;TODAY(),"Em Aberto",IF(Tabela2[[#This Row],[D/venc]]="-","Enviado",IF(Tabela2[[#This Row],[Dt Venc:]]=TODAY(),"Vence Hoje","Vencida")))</f>
        <v>Enviado</v>
      </c>
      <c r="F4070" s="3" t="str">
        <f ca="1">IF(G4070=1,"-",Tabela2[[#This Row],[Dt Venc:]]-TODAY())</f>
        <v>-</v>
      </c>
      <c r="G4070" s="3">
        <v>1</v>
      </c>
      <c r="H4070" s="3"/>
    </row>
    <row r="4071" spans="1:8" hidden="1">
      <c r="A4071" s="3">
        <v>43147</v>
      </c>
      <c r="B4071" s="7" t="s">
        <v>70</v>
      </c>
      <c r="C4071" s="41">
        <v>4878.5600000000004</v>
      </c>
      <c r="D4071" s="6">
        <v>45660</v>
      </c>
      <c r="E4071" s="3" t="str">
        <f ca="1">IF(Tabela2[[#This Row],[Dt Venc:]]&gt;TODAY(),"Em Aberto",IF(Tabela2[[#This Row],[D/venc]]="-","Enviado",IF(Tabela2[[#This Row],[Dt Venc:]]=TODAY(),"Vence Hoje","Vencida")))</f>
        <v>Enviado</v>
      </c>
      <c r="F4071" s="3" t="str">
        <f ca="1">IF(G4071=1,"-",Tabela2[[#This Row],[Dt Venc:]]-TODAY())</f>
        <v>-</v>
      </c>
      <c r="G4071" s="3">
        <v>1</v>
      </c>
      <c r="H4071" s="3"/>
    </row>
    <row r="4072" spans="1:8" hidden="1">
      <c r="A4072" s="3">
        <v>6101</v>
      </c>
      <c r="B4072" s="7" t="s">
        <v>47</v>
      </c>
      <c r="C4072" s="41">
        <v>577.87</v>
      </c>
      <c r="D4072" s="6">
        <v>45660</v>
      </c>
      <c r="E4072" s="3" t="str">
        <f ca="1">IF(Tabela2[[#This Row],[Dt Venc:]]&gt;TODAY(),"Em Aberto",IF(Tabela2[[#This Row],[D/venc]]="-","Enviado",IF(Tabela2[[#This Row],[Dt Venc:]]=TODAY(),"Vence Hoje","Vencida")))</f>
        <v>Enviado</v>
      </c>
      <c r="F4072" s="3" t="str">
        <f ca="1">IF(G4072=1,"-",Tabela2[[#This Row],[Dt Venc:]]-TODAY())</f>
        <v>-</v>
      </c>
      <c r="G4072" s="3">
        <v>1</v>
      </c>
      <c r="H4072" s="3"/>
    </row>
    <row r="4073" spans="1:8" hidden="1">
      <c r="A4073" s="3">
        <v>18050</v>
      </c>
      <c r="B4073" s="7" t="s">
        <v>115</v>
      </c>
      <c r="C4073" s="42">
        <v>6080</v>
      </c>
      <c r="D4073" s="6">
        <v>45660</v>
      </c>
      <c r="E4073" s="3" t="str">
        <f ca="1">IF(Tabela2[[#This Row],[Dt Venc:]]&gt;TODAY(),"Em Aberto",IF(Tabela2[[#This Row],[D/venc]]="-","Enviado",IF(Tabela2[[#This Row],[Dt Venc:]]=TODAY(),"Vence Hoje","Vencida")))</f>
        <v>Enviado</v>
      </c>
      <c r="F4073" s="3" t="str">
        <f ca="1">IF(G4073=1,"-",Tabela2[[#This Row],[Dt Venc:]]-TODAY())</f>
        <v>-</v>
      </c>
      <c r="G4073" s="3">
        <v>1</v>
      </c>
      <c r="H4073" s="3"/>
    </row>
    <row r="4074" spans="1:8" hidden="1">
      <c r="A4074" s="3">
        <v>203204</v>
      </c>
      <c r="B4074" s="7" t="s">
        <v>200</v>
      </c>
      <c r="C4074" s="41">
        <v>310</v>
      </c>
      <c r="D4074" s="6">
        <v>45660</v>
      </c>
      <c r="E4074" s="3" t="str">
        <f ca="1">IF(Tabela2[[#This Row],[Dt Venc:]]&gt;TODAY(),"Em Aberto",IF(Tabela2[[#This Row],[D/venc]]="-","Enviado",IF(Tabela2[[#This Row],[Dt Venc:]]=TODAY(),"Vence Hoje","Vencida")))</f>
        <v>Enviado</v>
      </c>
      <c r="F4074" s="3" t="str">
        <f ca="1">IF(G4074=1,"-",Tabela2[[#This Row],[Dt Venc:]]-TODAY())</f>
        <v>-</v>
      </c>
      <c r="G4074" s="3">
        <v>1</v>
      </c>
      <c r="H4074" s="3"/>
    </row>
    <row r="4075" spans="1:8" hidden="1">
      <c r="A4075" s="3">
        <v>13088</v>
      </c>
      <c r="B4075" s="7" t="s">
        <v>408</v>
      </c>
      <c r="C4075" s="41">
        <v>627.17999999999995</v>
      </c>
      <c r="D4075" s="6">
        <v>45660</v>
      </c>
      <c r="E4075" s="3" t="str">
        <f ca="1">IF(Tabela2[[#This Row],[Dt Venc:]]&gt;TODAY(),"Em Aberto",IF(Tabela2[[#This Row],[D/venc]]="-","Enviado",IF(Tabela2[[#This Row],[Dt Venc:]]=TODAY(),"Vence Hoje","Vencida")))</f>
        <v>Enviado</v>
      </c>
      <c r="F4075" s="3" t="str">
        <f ca="1">IF(G4075=1,"-",Tabela2[[#This Row],[Dt Venc:]]-TODAY())</f>
        <v>-</v>
      </c>
      <c r="G4075" s="3">
        <v>1</v>
      </c>
      <c r="H4075" s="3"/>
    </row>
    <row r="4076" spans="1:8" hidden="1">
      <c r="A4076" s="3">
        <v>70489</v>
      </c>
      <c r="B4076" s="7" t="s">
        <v>333</v>
      </c>
      <c r="C4076" s="41">
        <v>536</v>
      </c>
      <c r="D4076" s="6">
        <v>45660</v>
      </c>
      <c r="E4076" s="3" t="str">
        <f ca="1">IF(Tabela2[[#This Row],[Dt Venc:]]&gt;TODAY(),"Em Aberto",IF(Tabela2[[#This Row],[D/venc]]="-","Enviado",IF(Tabela2[[#This Row],[Dt Venc:]]=TODAY(),"Vence Hoje","Vencida")))</f>
        <v>Enviado</v>
      </c>
      <c r="F4076" s="3" t="str">
        <f ca="1">IF(G4076=1,"-",Tabela2[[#This Row],[Dt Venc:]]-TODAY())</f>
        <v>-</v>
      </c>
      <c r="G4076" s="3">
        <v>1</v>
      </c>
      <c r="H4076" s="3"/>
    </row>
    <row r="4077" spans="1:8" hidden="1">
      <c r="A4077" s="3">
        <v>182850</v>
      </c>
      <c r="B4077" s="7" t="s">
        <v>508</v>
      </c>
      <c r="C4077" s="41">
        <v>946.66</v>
      </c>
      <c r="D4077" s="6">
        <v>45660</v>
      </c>
      <c r="E4077" s="3" t="str">
        <f ca="1">IF(Tabela2[[#This Row],[Dt Venc:]]&gt;TODAY(),"Em Aberto",IF(Tabela2[[#This Row],[D/venc]]="-","Enviado",IF(Tabela2[[#This Row],[Dt Venc:]]=TODAY(),"Vence Hoje","Vencida")))</f>
        <v>Enviado</v>
      </c>
      <c r="F4077" s="3" t="str">
        <f ca="1">IF(G4077=1,"-",Tabela2[[#This Row],[Dt Venc:]]-TODAY())</f>
        <v>-</v>
      </c>
      <c r="G4077" s="3">
        <v>1</v>
      </c>
      <c r="H4077" s="3"/>
    </row>
    <row r="4078" spans="1:8" hidden="1">
      <c r="A4078" s="3">
        <v>258213</v>
      </c>
      <c r="B4078" s="7" t="s">
        <v>49</v>
      </c>
      <c r="C4078" s="41">
        <v>1716.66</v>
      </c>
      <c r="D4078" s="6">
        <v>45660</v>
      </c>
      <c r="E4078" s="3" t="str">
        <f ca="1">IF(Tabela2[[#This Row],[Dt Venc:]]&gt;TODAY(),"Em Aberto",IF(Tabela2[[#This Row],[D/venc]]="-","Enviado",IF(Tabela2[[#This Row],[Dt Venc:]]=TODAY(),"Vence Hoje","Vencida")))</f>
        <v>Enviado</v>
      </c>
      <c r="F4078" s="3" t="str">
        <f ca="1">IF(G4078=1,"-",Tabela2[[#This Row],[Dt Venc:]]-TODAY())</f>
        <v>-</v>
      </c>
      <c r="G4078" s="3">
        <v>1</v>
      </c>
      <c r="H4078" s="3"/>
    </row>
    <row r="4079" spans="1:8" hidden="1">
      <c r="A4079" s="3">
        <v>10397</v>
      </c>
      <c r="B4079" s="7" t="s">
        <v>76</v>
      </c>
      <c r="C4079" s="41">
        <v>614.13</v>
      </c>
      <c r="D4079" s="6">
        <v>45660</v>
      </c>
      <c r="E4079" s="3" t="str">
        <f ca="1">IF(Tabela2[[#This Row],[Dt Venc:]]&gt;TODAY(),"Em Aberto",IF(Tabela2[[#This Row],[D/venc]]="-","Enviado",IF(Tabela2[[#This Row],[Dt Venc:]]=TODAY(),"Vence Hoje","Vencida")))</f>
        <v>Enviado</v>
      </c>
      <c r="F4079" s="3" t="str">
        <f ca="1">IF(G4079=1,"-",Tabela2[[#This Row],[Dt Venc:]]-TODAY())</f>
        <v>-</v>
      </c>
      <c r="G4079" s="3">
        <v>1</v>
      </c>
      <c r="H4079" s="3"/>
    </row>
    <row r="4080" spans="1:8" hidden="1">
      <c r="A4080" s="3">
        <v>177406</v>
      </c>
      <c r="B4080" s="7" t="s">
        <v>174</v>
      </c>
      <c r="C4080" s="41">
        <v>990</v>
      </c>
      <c r="D4080" s="6">
        <v>45660</v>
      </c>
      <c r="E4080" s="3" t="str">
        <f ca="1">IF(Tabela2[[#This Row],[Dt Venc:]]&gt;TODAY(),"Em Aberto",IF(Tabela2[[#This Row],[D/venc]]="-","Enviado",IF(Tabela2[[#This Row],[Dt Venc:]]=TODAY(),"Vence Hoje","Vencida")))</f>
        <v>Enviado</v>
      </c>
      <c r="F4080" s="3" t="str">
        <f ca="1">IF(G4080=1,"-",Tabela2[[#This Row],[Dt Venc:]]-TODAY())</f>
        <v>-</v>
      </c>
      <c r="G4080" s="3">
        <v>1</v>
      </c>
      <c r="H4080" s="3"/>
    </row>
    <row r="4081" spans="1:8" hidden="1">
      <c r="A4081" s="3">
        <v>12442</v>
      </c>
      <c r="B4081" s="7" t="s">
        <v>174</v>
      </c>
      <c r="C4081" s="41">
        <v>1566.66</v>
      </c>
      <c r="D4081" s="6">
        <v>45660</v>
      </c>
      <c r="E4081" s="3" t="str">
        <f ca="1">IF(Tabela2[[#This Row],[Dt Venc:]]&gt;TODAY(),"Em Aberto",IF(Tabela2[[#This Row],[D/venc]]="-","Enviado",IF(Tabela2[[#This Row],[Dt Venc:]]=TODAY(),"Vence Hoje","Vencida")))</f>
        <v>Enviado</v>
      </c>
      <c r="F4081" s="3" t="str">
        <f ca="1">IF(G4081=1,"-",Tabela2[[#This Row],[Dt Venc:]]-TODAY())</f>
        <v>-</v>
      </c>
      <c r="G4081" s="3">
        <v>1</v>
      </c>
      <c r="H4081" s="3"/>
    </row>
    <row r="4082" spans="1:8" hidden="1">
      <c r="A4082" s="3">
        <v>154963</v>
      </c>
      <c r="B4082" s="7" t="s">
        <v>77</v>
      </c>
      <c r="C4082" s="41">
        <v>773.33</v>
      </c>
      <c r="D4082" s="6">
        <v>45660</v>
      </c>
      <c r="E4082" s="3" t="str">
        <f ca="1">IF(Tabela2[[#This Row],[Dt Venc:]]&gt;TODAY(),"Em Aberto",IF(Tabela2[[#This Row],[D/venc]]="-","Enviado",IF(Tabela2[[#This Row],[Dt Venc:]]=TODAY(),"Vence Hoje","Vencida")))</f>
        <v>Enviado</v>
      </c>
      <c r="F4082" s="3" t="str">
        <f ca="1">IF(G4082=1,"-",Tabela2[[#This Row],[Dt Venc:]]-TODAY())</f>
        <v>-</v>
      </c>
      <c r="G4082" s="3">
        <v>1</v>
      </c>
      <c r="H4082" s="3"/>
    </row>
    <row r="4083" spans="1:8" hidden="1">
      <c r="A4083" s="3">
        <v>1228</v>
      </c>
      <c r="B4083" s="7" t="s">
        <v>559</v>
      </c>
      <c r="C4083" s="41">
        <f>1800/2</f>
        <v>900</v>
      </c>
      <c r="D4083" s="6">
        <v>45660</v>
      </c>
      <c r="E4083" s="3" t="str">
        <f ca="1">IF(Tabela2[[#This Row],[Dt Venc:]]&gt;TODAY(),"Em Aberto",IF(Tabela2[[#This Row],[D/venc]]="-","Enviado",IF(Tabela2[[#This Row],[Dt Venc:]]=TODAY(),"Vence Hoje","Vencida")))</f>
        <v>Enviado</v>
      </c>
      <c r="F4083" s="3" t="str">
        <f ca="1">IF(G4083=1,"-",Tabela2[[#This Row],[Dt Venc:]]-TODAY())</f>
        <v>-</v>
      </c>
      <c r="G4083" s="3">
        <v>1</v>
      </c>
      <c r="H4083" s="3"/>
    </row>
    <row r="4084" spans="1:8" hidden="1">
      <c r="A4084" s="3">
        <v>271962</v>
      </c>
      <c r="B4084" s="7" t="s">
        <v>36</v>
      </c>
      <c r="C4084" s="41">
        <v>498.86</v>
      </c>
      <c r="D4084" s="6">
        <v>45660</v>
      </c>
      <c r="E4084" s="3" t="str">
        <f ca="1">IF(Tabela2[[#This Row],[Dt Venc:]]&gt;TODAY(),"Em Aberto",IF(Tabela2[[#This Row],[D/venc]]="-","Enviado",IF(Tabela2[[#This Row],[Dt Venc:]]=TODAY(),"Vence Hoje","Vencida")))</f>
        <v>Enviado</v>
      </c>
      <c r="F4084" s="3" t="str">
        <f ca="1">IF(G4084=1,"-",Tabela2[[#This Row],[Dt Venc:]]-TODAY())</f>
        <v>-</v>
      </c>
      <c r="G4084" s="3">
        <v>1</v>
      </c>
      <c r="H4084" s="3"/>
    </row>
    <row r="4085" spans="1:8" hidden="1">
      <c r="A4085" s="3">
        <v>4286</v>
      </c>
      <c r="B4085" s="7" t="s">
        <v>347</v>
      </c>
      <c r="C4085" s="41">
        <v>786.48</v>
      </c>
      <c r="D4085" s="6">
        <v>45660</v>
      </c>
      <c r="E4085" s="3" t="str">
        <f ca="1">IF(Tabela2[[#This Row],[Dt Venc:]]&gt;TODAY(),"Em Aberto",IF(Tabela2[[#This Row],[D/venc]]="-","Enviado",IF(Tabela2[[#This Row],[Dt Venc:]]=TODAY(),"Vence Hoje","Vencida")))</f>
        <v>Enviado</v>
      </c>
      <c r="F4085" s="3" t="str">
        <f ca="1">IF(G4085=1,"-",Tabela2[[#This Row],[Dt Venc:]]-TODAY())</f>
        <v>-</v>
      </c>
      <c r="G4085" s="3">
        <v>1</v>
      </c>
      <c r="H4085" s="3"/>
    </row>
    <row r="4086" spans="1:8" hidden="1">
      <c r="A4086" s="3">
        <v>114</v>
      </c>
      <c r="B4086" s="7" t="s">
        <v>95</v>
      </c>
      <c r="C4086" s="41">
        <v>1515.64</v>
      </c>
      <c r="D4086" s="6">
        <v>45660</v>
      </c>
      <c r="E4086" s="3" t="str">
        <f ca="1">IF(Tabela2[[#This Row],[Dt Venc:]]&gt;TODAY(),"Em Aberto",IF(Tabela2[[#This Row],[D/venc]]="-","Enviado",IF(Tabela2[[#This Row],[Dt Venc:]]=TODAY(),"Vence Hoje","Vencida")))</f>
        <v>Enviado</v>
      </c>
      <c r="F4086" s="3" t="str">
        <f ca="1">IF(G4086=1,"-",Tabela2[[#This Row],[Dt Venc:]]-TODAY())</f>
        <v>-</v>
      </c>
      <c r="G4086" s="3">
        <v>1</v>
      </c>
      <c r="H4086" s="3"/>
    </row>
    <row r="4087" spans="1:8" hidden="1">
      <c r="A4087" s="3">
        <v>4286</v>
      </c>
      <c r="B4087" s="7" t="s">
        <v>347</v>
      </c>
      <c r="C4087" s="41">
        <v>786.48</v>
      </c>
      <c r="D4087" s="6">
        <v>45660</v>
      </c>
      <c r="E4087" s="3" t="str">
        <f ca="1">IF(Tabela2[[#This Row],[Dt Venc:]]&gt;TODAY(),"Em Aberto",IF(Tabela2[[#This Row],[D/venc]]="-","Enviado",IF(Tabela2[[#This Row],[Dt Venc:]]=TODAY(),"Vence Hoje","Vencida")))</f>
        <v>Enviado</v>
      </c>
      <c r="F4087" s="3" t="str">
        <f ca="1">IF(G4087=1,"-",Tabela2[[#This Row],[Dt Venc:]]-TODAY())</f>
        <v>-</v>
      </c>
      <c r="G4087" s="3">
        <v>1</v>
      </c>
      <c r="H4087" s="3"/>
    </row>
    <row r="4088" spans="1:8" hidden="1">
      <c r="A4088" s="3">
        <v>49673</v>
      </c>
      <c r="B4088" s="7" t="s">
        <v>144</v>
      </c>
      <c r="C4088" s="41">
        <v>494.34</v>
      </c>
      <c r="D4088" s="6">
        <v>45660</v>
      </c>
      <c r="E4088" s="3" t="str">
        <f ca="1">IF(Tabela2[[#This Row],[Dt Venc:]]&gt;TODAY(),"Em Aberto",IF(Tabela2[[#This Row],[D/venc]]="-","Enviado",IF(Tabela2[[#This Row],[Dt Venc:]]=TODAY(),"Vence Hoje","Vencida")))</f>
        <v>Enviado</v>
      </c>
      <c r="F4088" s="3" t="str">
        <f ca="1">IF(G4088=1,"-",Tabela2[[#This Row],[Dt Venc:]]-TODAY())</f>
        <v>-</v>
      </c>
      <c r="G4088" s="3">
        <v>1</v>
      </c>
      <c r="H4088" s="3"/>
    </row>
    <row r="4089" spans="1:8" hidden="1">
      <c r="A4089" s="3">
        <v>263538</v>
      </c>
      <c r="B4089" s="7" t="s">
        <v>43</v>
      </c>
      <c r="C4089" s="41">
        <v>583.46</v>
      </c>
      <c r="D4089" s="6">
        <v>45660</v>
      </c>
      <c r="E4089" s="3" t="str">
        <f ca="1">IF(Tabela2[[#This Row],[Dt Venc:]]&gt;TODAY(),"Em Aberto",IF(Tabela2[[#This Row],[D/venc]]="-","Enviado",IF(Tabela2[[#This Row],[Dt Venc:]]=TODAY(),"Vence Hoje","Vencida")))</f>
        <v>Enviado</v>
      </c>
      <c r="F4089" s="3" t="str">
        <f ca="1">IF(G4089=1,"-",Tabela2[[#This Row],[Dt Venc:]]-TODAY())</f>
        <v>-</v>
      </c>
      <c r="G4089" s="3">
        <v>1</v>
      </c>
      <c r="H4089" s="3"/>
    </row>
    <row r="4090" spans="1:8" hidden="1">
      <c r="A4090" s="3">
        <v>12430</v>
      </c>
      <c r="B4090" s="7" t="s">
        <v>72</v>
      </c>
      <c r="C4090" s="41">
        <v>1033.3399999999999</v>
      </c>
      <c r="D4090" s="6">
        <v>45660</v>
      </c>
      <c r="E4090" s="3" t="str">
        <f ca="1">IF(Tabela2[[#This Row],[Dt Venc:]]&gt;TODAY(),"Em Aberto",IF(Tabela2[[#This Row],[D/venc]]="-","Enviado",IF(Tabela2[[#This Row],[Dt Venc:]]=TODAY(),"Vence Hoje","Vencida")))</f>
        <v>Enviado</v>
      </c>
      <c r="F4090" s="3" t="str">
        <f ca="1">IF(G4090=1,"-",Tabela2[[#This Row],[Dt Venc:]]-TODAY())</f>
        <v>-</v>
      </c>
      <c r="G4090" s="3">
        <v>1</v>
      </c>
      <c r="H4090" s="3"/>
    </row>
    <row r="4091" spans="1:8" hidden="1">
      <c r="A4091" s="3">
        <v>12429</v>
      </c>
      <c r="B4091" s="7" t="s">
        <v>72</v>
      </c>
      <c r="C4091" s="41">
        <v>1033.3399999999999</v>
      </c>
      <c r="D4091" s="6">
        <v>45660</v>
      </c>
      <c r="E4091" s="3" t="str">
        <f ca="1">IF(Tabela2[[#This Row],[Dt Venc:]]&gt;TODAY(),"Em Aberto",IF(Tabela2[[#This Row],[D/venc]]="-","Enviado",IF(Tabela2[[#This Row],[Dt Venc:]]=TODAY(),"Vence Hoje","Vencida")))</f>
        <v>Enviado</v>
      </c>
      <c r="F4091" s="3" t="str">
        <f ca="1">IF(G4091=1,"-",Tabela2[[#This Row],[Dt Venc:]]-TODAY())</f>
        <v>-</v>
      </c>
      <c r="G4091" s="3">
        <v>1</v>
      </c>
      <c r="H4091" s="3"/>
    </row>
    <row r="4092" spans="1:8" hidden="1">
      <c r="A4092" s="3">
        <v>258491</v>
      </c>
      <c r="B4092" s="7" t="s">
        <v>49</v>
      </c>
      <c r="C4092" s="41">
        <v>1030</v>
      </c>
      <c r="D4092" s="6">
        <v>45660</v>
      </c>
      <c r="E4092" s="3" t="str">
        <f ca="1">IF(Tabela2[[#This Row],[Dt Venc:]]&gt;TODAY(),"Em Aberto",IF(Tabela2[[#This Row],[D/venc]]="-","Enviado",IF(Tabela2[[#This Row],[Dt Venc:]]=TODAY(),"Vence Hoje","Vencida")))</f>
        <v>Enviado</v>
      </c>
      <c r="F4092" s="3" t="str">
        <f ca="1">IF(G4092=1,"-",Tabela2[[#This Row],[Dt Venc:]]-TODAY())</f>
        <v>-</v>
      </c>
      <c r="G4092" s="3">
        <v>1</v>
      </c>
      <c r="H4092" s="3"/>
    </row>
    <row r="4093" spans="1:8" hidden="1">
      <c r="A4093" s="3">
        <v>60</v>
      </c>
      <c r="B4093" s="7" t="s">
        <v>451</v>
      </c>
      <c r="C4093" s="41">
        <v>1996</v>
      </c>
      <c r="D4093" s="6">
        <v>45660</v>
      </c>
      <c r="E4093" s="3" t="str">
        <f ca="1">IF(Tabela2[[#This Row],[Dt Venc:]]&gt;TODAY(),"Em Aberto",IF(Tabela2[[#This Row],[D/venc]]="-","Enviado",IF(Tabela2[[#This Row],[Dt Venc:]]=TODAY(),"Vence Hoje","Vencida")))</f>
        <v>Enviado</v>
      </c>
      <c r="F4093" s="3" t="str">
        <f ca="1">IF(G4093=1,"-",Tabela2[[#This Row],[Dt Venc:]]-TODAY())</f>
        <v>-</v>
      </c>
      <c r="G4093" s="3">
        <v>1</v>
      </c>
      <c r="H4093" s="3"/>
    </row>
    <row r="4094" spans="1:8" hidden="1">
      <c r="A4094" s="3">
        <v>374265</v>
      </c>
      <c r="B4094" s="7" t="s">
        <v>39</v>
      </c>
      <c r="C4094" s="41">
        <v>1946.82</v>
      </c>
      <c r="D4094" s="6">
        <v>45660</v>
      </c>
      <c r="E4094" s="3" t="str">
        <f ca="1">IF(Tabela2[[#This Row],[Dt Venc:]]&gt;TODAY(),"Em Aberto",IF(Tabela2[[#This Row],[D/venc]]="-","Enviado",IF(Tabela2[[#This Row],[Dt Venc:]]=TODAY(),"Vence Hoje","Vencida")))</f>
        <v>Enviado</v>
      </c>
      <c r="F4094" s="3" t="str">
        <f ca="1">IF(G4094=1,"-",Tabela2[[#This Row],[Dt Venc:]]-TODAY())</f>
        <v>-</v>
      </c>
      <c r="G4094" s="3">
        <v>1</v>
      </c>
      <c r="H4094" s="3"/>
    </row>
    <row r="4095" spans="1:8" hidden="1">
      <c r="A4095" s="3">
        <v>13783</v>
      </c>
      <c r="B4095" s="7" t="s">
        <v>400</v>
      </c>
      <c r="C4095" s="41">
        <v>674.23</v>
      </c>
      <c r="D4095" s="6">
        <v>45660</v>
      </c>
      <c r="E4095" s="3" t="str">
        <f ca="1">IF(Tabela2[[#This Row],[Dt Venc:]]&gt;TODAY(),"Em Aberto",IF(Tabela2[[#This Row],[D/venc]]="-","Enviado",IF(Tabela2[[#This Row],[Dt Venc:]]=TODAY(),"Vence Hoje","Vencida")))</f>
        <v>Enviado</v>
      </c>
      <c r="F4095" s="3" t="str">
        <f ca="1">IF(G4095=1,"-",Tabela2[[#This Row],[Dt Venc:]]-TODAY())</f>
        <v>-</v>
      </c>
      <c r="G4095" s="3">
        <v>1</v>
      </c>
      <c r="H4095" s="3"/>
    </row>
    <row r="4096" spans="1:8" hidden="1">
      <c r="A4096" s="3">
        <v>19858</v>
      </c>
      <c r="B4096" s="7" t="s">
        <v>41</v>
      </c>
      <c r="C4096" s="41">
        <v>700</v>
      </c>
      <c r="D4096" s="6">
        <v>45660</v>
      </c>
      <c r="E4096" s="3" t="str">
        <f ca="1">IF(Tabela2[[#This Row],[Dt Venc:]]&gt;TODAY(),"Em Aberto",IF(Tabela2[[#This Row],[D/venc]]="-","Enviado",IF(Tabela2[[#This Row],[Dt Venc:]]=TODAY(),"Vence Hoje","Vencida")))</f>
        <v>Enviado</v>
      </c>
      <c r="F4096" s="3" t="str">
        <f ca="1">IF(G4096=1,"-",Tabela2[[#This Row],[Dt Venc:]]-TODAY())</f>
        <v>-</v>
      </c>
      <c r="G4096" s="3">
        <v>1</v>
      </c>
      <c r="H4096" s="3"/>
    </row>
    <row r="4097" spans="1:8" hidden="1">
      <c r="A4097" s="3">
        <v>263787</v>
      </c>
      <c r="B4097" s="7" t="s">
        <v>43</v>
      </c>
      <c r="C4097" s="41">
        <v>280</v>
      </c>
      <c r="D4097" s="6">
        <v>45660</v>
      </c>
      <c r="E4097" s="3" t="str">
        <f ca="1">IF(Tabela2[[#This Row],[Dt Venc:]]&gt;TODAY(),"Em Aberto",IF(Tabela2[[#This Row],[D/venc]]="-","Enviado",IF(Tabela2[[#This Row],[Dt Venc:]]=TODAY(),"Vence Hoje","Vencida")))</f>
        <v>Enviado</v>
      </c>
      <c r="F4097" s="3" t="str">
        <f ca="1">IF(G4097=1,"-",Tabela2[[#This Row],[Dt Venc:]]-TODAY())</f>
        <v>-</v>
      </c>
      <c r="G4097" s="3">
        <v>1</v>
      </c>
      <c r="H4097" s="3"/>
    </row>
    <row r="4098" spans="1:8" hidden="1">
      <c r="A4098" s="3">
        <v>9434</v>
      </c>
      <c r="B4098" s="7" t="s">
        <v>105</v>
      </c>
      <c r="C4098" s="41">
        <v>1360</v>
      </c>
      <c r="D4098" s="6">
        <v>45660</v>
      </c>
      <c r="E4098" s="3" t="str">
        <f ca="1">IF(Tabela2[[#This Row],[Dt Venc:]]&gt;TODAY(),"Em Aberto",IF(Tabela2[[#This Row],[D/venc]]="-","Enviado",IF(Tabela2[[#This Row],[Dt Venc:]]=TODAY(),"Vence Hoje","Vencida")))</f>
        <v>Enviado</v>
      </c>
      <c r="F4098" s="3" t="str">
        <f ca="1">IF(G4098=1,"-",Tabela2[[#This Row],[Dt Venc:]]-TODAY())</f>
        <v>-</v>
      </c>
      <c r="G4098" s="3">
        <v>1</v>
      </c>
      <c r="H4098" s="3"/>
    </row>
    <row r="4099" spans="1:8" hidden="1">
      <c r="A4099" s="3">
        <v>6505</v>
      </c>
      <c r="B4099" s="7" t="s">
        <v>291</v>
      </c>
      <c r="C4099" s="41">
        <v>1650</v>
      </c>
      <c r="D4099" s="6">
        <v>45660</v>
      </c>
      <c r="E4099" s="3" t="str">
        <f ca="1">IF(Tabela2[[#This Row],[Dt Venc:]]&gt;TODAY(),"Em Aberto",IF(Tabela2[[#This Row],[D/venc]]="-","Enviado",IF(Tabela2[[#This Row],[Dt Venc:]]=TODAY(),"Vence Hoje","Vencida")))</f>
        <v>Enviado</v>
      </c>
      <c r="F4099" s="3" t="str">
        <f ca="1">IF(G4099=1,"-",Tabela2[[#This Row],[Dt Venc:]]-TODAY())</f>
        <v>-</v>
      </c>
      <c r="G4099" s="3">
        <v>1</v>
      </c>
      <c r="H4099" s="3"/>
    </row>
    <row r="4100" spans="1:8" hidden="1">
      <c r="A4100" s="3">
        <v>2280475</v>
      </c>
      <c r="B4100" s="7" t="s">
        <v>428</v>
      </c>
      <c r="C4100" s="41">
        <v>56178</v>
      </c>
      <c r="D4100" s="6">
        <v>45660</v>
      </c>
      <c r="E4100" s="3" t="str">
        <f ca="1">IF(Tabela2[[#This Row],[Dt Venc:]]&gt;TODAY(),"Em Aberto",IF(Tabela2[[#This Row],[D/venc]]="-","Enviado",IF(Tabela2[[#This Row],[Dt Venc:]]=TODAY(),"Vence Hoje","Vencida")))</f>
        <v>Enviado</v>
      </c>
      <c r="F4100" s="3" t="str">
        <f ca="1">IF(G4100=1,"-",Tabela2[[#This Row],[Dt Venc:]]-TODAY())</f>
        <v>-</v>
      </c>
      <c r="G4100" s="3">
        <v>1</v>
      </c>
      <c r="H4100" s="3"/>
    </row>
    <row r="4101" spans="1:8" hidden="1">
      <c r="A4101" s="3">
        <v>2005042</v>
      </c>
      <c r="B4101" s="7" t="s">
        <v>428</v>
      </c>
      <c r="C4101" s="41">
        <v>111760</v>
      </c>
      <c r="D4101" s="6">
        <v>45660</v>
      </c>
      <c r="E4101" s="3" t="str">
        <f ca="1">IF(Tabela2[[#This Row],[Dt Venc:]]&gt;TODAY(),"Em Aberto",IF(Tabela2[[#This Row],[D/venc]]="-","Enviado",IF(Tabela2[[#This Row],[Dt Venc:]]=TODAY(),"Vence Hoje","Vencida")))</f>
        <v>Enviado</v>
      </c>
      <c r="F4101" s="3" t="str">
        <f ca="1">IF(G4101=1,"-",Tabela2[[#This Row],[Dt Venc:]]-TODAY())</f>
        <v>-</v>
      </c>
      <c r="G4101" s="3">
        <v>1</v>
      </c>
      <c r="H4101" s="3"/>
    </row>
    <row r="4102" spans="1:8" hidden="1">
      <c r="A4102" s="3">
        <v>15359</v>
      </c>
      <c r="B4102" s="7" t="s">
        <v>44</v>
      </c>
      <c r="C4102" s="41">
        <v>566.66</v>
      </c>
      <c r="D4102" s="6">
        <v>45660</v>
      </c>
      <c r="E4102" s="3" t="str">
        <f ca="1">IF(Tabela2[[#This Row],[Dt Venc:]]&gt;TODAY(),"Em Aberto",IF(Tabela2[[#This Row],[D/venc]]="-","Enviado",IF(Tabela2[[#This Row],[Dt Venc:]]=TODAY(),"Vence Hoje","Vencida")))</f>
        <v>Enviado</v>
      </c>
      <c r="F4102" s="3" t="str">
        <f ca="1">IF(G4102=1,"-",Tabela2[[#This Row],[Dt Venc:]]-TODAY())</f>
        <v>-</v>
      </c>
      <c r="G4102" s="3">
        <v>1</v>
      </c>
      <c r="H4102" s="3"/>
    </row>
    <row r="4103" spans="1:8" hidden="1">
      <c r="A4103" s="3">
        <v>6079</v>
      </c>
      <c r="B4103" s="7" t="s">
        <v>140</v>
      </c>
      <c r="C4103" s="41">
        <v>1502.67</v>
      </c>
      <c r="D4103" s="6">
        <v>45660</v>
      </c>
      <c r="E4103" s="3" t="str">
        <f ca="1">IF(Tabela2[[#This Row],[Dt Venc:]]&gt;TODAY(),"Em Aberto",IF(Tabela2[[#This Row],[D/venc]]="-","Enviado",IF(Tabela2[[#This Row],[Dt Venc:]]=TODAY(),"Vence Hoje","Vencida")))</f>
        <v>Enviado</v>
      </c>
      <c r="F4103" s="3" t="str">
        <f ca="1">IF(G4103=1,"-",Tabela2[[#This Row],[Dt Venc:]]-TODAY())</f>
        <v>-</v>
      </c>
      <c r="G4103" s="3">
        <v>1</v>
      </c>
      <c r="H4103" s="3"/>
    </row>
    <row r="4104" spans="1:8" hidden="1">
      <c r="A4104" s="3">
        <v>11108</v>
      </c>
      <c r="B4104" s="7" t="s">
        <v>33</v>
      </c>
      <c r="C4104" s="41">
        <v>1976.6</v>
      </c>
      <c r="D4104" s="6">
        <v>45661</v>
      </c>
      <c r="E4104" s="3" t="str">
        <f ca="1">IF(Tabela2[[#This Row],[Dt Venc:]]&gt;TODAY(),"Em Aberto",IF(Tabela2[[#This Row],[D/venc]]="-","Enviado",IF(Tabela2[[#This Row],[Dt Venc:]]=TODAY(),"Vence Hoje","Vencida")))</f>
        <v>Enviado</v>
      </c>
      <c r="F4104" s="3" t="str">
        <f ca="1">IF(G4104=1,"-",Tabela2[[#This Row],[Dt Venc:]]-TODAY())</f>
        <v>-</v>
      </c>
      <c r="G4104" s="3">
        <v>1</v>
      </c>
      <c r="H4104" s="3"/>
    </row>
    <row r="4105" spans="1:8" hidden="1">
      <c r="A4105" s="3">
        <v>2773</v>
      </c>
      <c r="B4105" s="7" t="s">
        <v>58</v>
      </c>
      <c r="C4105" s="42">
        <v>749.07</v>
      </c>
      <c r="D4105" s="6">
        <v>45661</v>
      </c>
      <c r="E4105" s="3" t="str">
        <f ca="1">IF(Tabela2[[#This Row],[Dt Venc:]]&gt;TODAY(),"Em Aberto",IF(Tabela2[[#This Row],[D/venc]]="-","Enviado",IF(Tabela2[[#This Row],[Dt Venc:]]=TODAY(),"Vence Hoje","Vencida")))</f>
        <v>Enviado</v>
      </c>
      <c r="F4105" s="3" t="str">
        <f ca="1">IF(G4105=1,"-",Tabela2[[#This Row],[Dt Venc:]]-TODAY())</f>
        <v>-</v>
      </c>
      <c r="G4105" s="3">
        <v>1</v>
      </c>
      <c r="H4105" s="3"/>
    </row>
    <row r="4106" spans="1:8" hidden="1">
      <c r="A4106" s="3">
        <v>2822</v>
      </c>
      <c r="B4106" s="7" t="s">
        <v>58</v>
      </c>
      <c r="C4106" s="41">
        <v>3607.6</v>
      </c>
      <c r="D4106" s="6">
        <v>45661</v>
      </c>
      <c r="E4106" s="3" t="str">
        <f ca="1">IF(Tabela2[[#This Row],[Dt Venc:]]&gt;TODAY(),"Em Aberto",IF(Tabela2[[#This Row],[D/venc]]="-","Enviado",IF(Tabela2[[#This Row],[Dt Venc:]]=TODAY(),"Vence Hoje","Vencida")))</f>
        <v>Enviado</v>
      </c>
      <c r="F4106" s="3" t="str">
        <f ca="1">IF(G4106=1,"-",Tabela2[[#This Row],[Dt Venc:]]-TODAY())</f>
        <v>-</v>
      </c>
      <c r="G4106" s="3">
        <v>1</v>
      </c>
      <c r="H4106" s="3"/>
    </row>
    <row r="4107" spans="1:8" hidden="1">
      <c r="A4107" s="3">
        <v>29042</v>
      </c>
      <c r="B4107" s="7" t="s">
        <v>97</v>
      </c>
      <c r="C4107" s="42">
        <v>3285</v>
      </c>
      <c r="D4107" s="6">
        <v>45661</v>
      </c>
      <c r="E4107" s="3" t="str">
        <f ca="1">IF(Tabela2[[#This Row],[Dt Venc:]]&gt;TODAY(),"Em Aberto",IF(Tabela2[[#This Row],[D/venc]]="-","Enviado",IF(Tabela2[[#This Row],[Dt Venc:]]=TODAY(),"Vence Hoje","Vencida")))</f>
        <v>Enviado</v>
      </c>
      <c r="F4107" s="3" t="str">
        <f ca="1">IF(G4107=1,"-",Tabela2[[#This Row],[Dt Venc:]]-TODAY())</f>
        <v>-</v>
      </c>
      <c r="G4107" s="3">
        <v>1</v>
      </c>
      <c r="H4107" s="3"/>
    </row>
    <row r="4108" spans="1:8" hidden="1">
      <c r="A4108" s="3">
        <v>30582</v>
      </c>
      <c r="B4108" s="7" t="s">
        <v>97</v>
      </c>
      <c r="C4108" s="41">
        <v>1711</v>
      </c>
      <c r="D4108" s="6">
        <v>45661</v>
      </c>
      <c r="E4108" s="3" t="str">
        <f ca="1">IF(Tabela2[[#This Row],[Dt Venc:]]&gt;TODAY(),"Em Aberto",IF(Tabela2[[#This Row],[D/venc]]="-","Enviado",IF(Tabela2[[#This Row],[Dt Venc:]]=TODAY(),"Vence Hoje","Vencida")))</f>
        <v>Enviado</v>
      </c>
      <c r="F4108" s="3" t="str">
        <f ca="1">IF(G4108=1,"-",Tabela2[[#This Row],[Dt Venc:]]-TODAY())</f>
        <v>-</v>
      </c>
      <c r="G4108" s="3">
        <v>1</v>
      </c>
      <c r="H4108" s="3"/>
    </row>
    <row r="4109" spans="1:8" hidden="1">
      <c r="A4109" s="3">
        <v>12</v>
      </c>
      <c r="B4109" s="7" t="s">
        <v>103</v>
      </c>
      <c r="C4109" s="42">
        <v>930</v>
      </c>
      <c r="D4109" s="6">
        <v>45661</v>
      </c>
      <c r="E4109" s="3" t="str">
        <f ca="1">IF(Tabela2[[#This Row],[Dt Venc:]]&gt;TODAY(),"Em Aberto",IF(Tabela2[[#This Row],[D/venc]]="-","Enviado",IF(Tabela2[[#This Row],[Dt Venc:]]=TODAY(),"Vence Hoje","Vencida")))</f>
        <v>Enviado</v>
      </c>
      <c r="F4109" s="3" t="str">
        <f ca="1">IF(G4109=1,"-",Tabela2[[#This Row],[Dt Venc:]]-TODAY())</f>
        <v>-</v>
      </c>
      <c r="G4109" s="3">
        <v>1</v>
      </c>
      <c r="H4109" s="3"/>
    </row>
    <row r="4110" spans="1:8" hidden="1">
      <c r="A4110" s="3">
        <v>28</v>
      </c>
      <c r="B4110" s="7" t="s">
        <v>103</v>
      </c>
      <c r="C4110" s="41">
        <v>1400</v>
      </c>
      <c r="D4110" s="6">
        <v>45661</v>
      </c>
      <c r="E4110" s="3" t="str">
        <f ca="1">IF(Tabela2[[#This Row],[Dt Venc:]]&gt;TODAY(),"Em Aberto",IF(Tabela2[[#This Row],[D/venc]]="-","Enviado",IF(Tabela2[[#This Row],[Dt Venc:]]=TODAY(),"Vence Hoje","Vencida")))</f>
        <v>Enviado</v>
      </c>
      <c r="F4110" s="3" t="str">
        <f ca="1">IF(G4110=1,"-",Tabela2[[#This Row],[Dt Venc:]]-TODAY())</f>
        <v>-</v>
      </c>
      <c r="G4110" s="3">
        <v>1</v>
      </c>
      <c r="H4110" s="3"/>
    </row>
    <row r="4111" spans="1:8" hidden="1">
      <c r="A4111" s="3">
        <v>154162</v>
      </c>
      <c r="B4111" s="7" t="s">
        <v>77</v>
      </c>
      <c r="C4111" s="41">
        <v>433.33</v>
      </c>
      <c r="D4111" s="6">
        <v>45661</v>
      </c>
      <c r="E4111" s="3" t="str">
        <f ca="1">IF(Tabela2[[#This Row],[Dt Venc:]]&gt;TODAY(),"Em Aberto",IF(Tabela2[[#This Row],[D/venc]]="-","Enviado",IF(Tabela2[[#This Row],[Dt Venc:]]=TODAY(),"Vence Hoje","Vencida")))</f>
        <v>Enviado</v>
      </c>
      <c r="F4111" s="3" t="str">
        <f ca="1">IF(G4111=1,"-",Tabela2[[#This Row],[Dt Venc:]]-TODAY())</f>
        <v>-</v>
      </c>
      <c r="G4111" s="3">
        <v>1</v>
      </c>
      <c r="H4111" s="3"/>
    </row>
    <row r="4112" spans="1:8" hidden="1">
      <c r="A4112" s="3">
        <v>1182</v>
      </c>
      <c r="B4112" s="7" t="s">
        <v>416</v>
      </c>
      <c r="C4112" s="41">
        <v>1093.33</v>
      </c>
      <c r="D4112" s="6">
        <v>45661</v>
      </c>
      <c r="E4112" s="3" t="str">
        <f ca="1">IF(Tabela2[[#This Row],[Dt Venc:]]&gt;TODAY(),"Em Aberto",IF(Tabela2[[#This Row],[D/venc]]="-","Enviado",IF(Tabela2[[#This Row],[Dt Venc:]]=TODAY(),"Vence Hoje","Vencida")))</f>
        <v>Enviado</v>
      </c>
      <c r="F4112" s="3" t="str">
        <f ca="1">IF(G4112=1,"-",Tabela2[[#This Row],[Dt Venc:]]-TODAY())</f>
        <v>-</v>
      </c>
      <c r="G4112" s="3">
        <v>1</v>
      </c>
      <c r="H4112" s="3"/>
    </row>
    <row r="4113" spans="1:8" hidden="1">
      <c r="A4113" s="3">
        <v>7002</v>
      </c>
      <c r="B4113" s="7" t="s">
        <v>599</v>
      </c>
      <c r="C4113" s="41">
        <v>9306</v>
      </c>
      <c r="D4113" s="6">
        <v>45661</v>
      </c>
      <c r="E4113" s="3" t="str">
        <f ca="1">IF(Tabela2[[#This Row],[Dt Venc:]]&gt;TODAY(),"Em Aberto",IF(Tabela2[[#This Row],[D/venc]]="-","Enviado",IF(Tabela2[[#This Row],[Dt Venc:]]=TODAY(),"Vence Hoje","Vencida")))</f>
        <v>Enviado</v>
      </c>
      <c r="F4113" s="3" t="str">
        <f ca="1">IF(G4113=1,"-",Tabela2[[#This Row],[Dt Venc:]]-TODAY())</f>
        <v>-</v>
      </c>
      <c r="G4113" s="3">
        <v>1</v>
      </c>
      <c r="H4113" s="3"/>
    </row>
    <row r="4114" spans="1:8" hidden="1">
      <c r="A4114" s="3">
        <v>114743</v>
      </c>
      <c r="B4114" s="7" t="s">
        <v>209</v>
      </c>
      <c r="C4114" s="41">
        <v>539.33000000000004</v>
      </c>
      <c r="D4114" s="6">
        <v>45661</v>
      </c>
      <c r="E4114" s="3" t="str">
        <f ca="1">IF(Tabela2[[#This Row],[Dt Venc:]]&gt;TODAY(),"Em Aberto",IF(Tabela2[[#This Row],[D/venc]]="-","Enviado",IF(Tabela2[[#This Row],[Dt Venc:]]=TODAY(),"Vence Hoje","Vencida")))</f>
        <v>Enviado</v>
      </c>
      <c r="F4114" s="3" t="str">
        <f ca="1">IF(G4114=1,"-",Tabela2[[#This Row],[Dt Venc:]]-TODAY())</f>
        <v>-</v>
      </c>
      <c r="G4114" s="3">
        <v>1</v>
      </c>
      <c r="H4114" s="3"/>
    </row>
    <row r="4115" spans="1:8" hidden="1">
      <c r="A4115" s="3">
        <v>912</v>
      </c>
      <c r="B4115" s="7" t="s">
        <v>363</v>
      </c>
      <c r="C4115" s="41">
        <v>1166.67</v>
      </c>
      <c r="D4115" s="6">
        <v>45661</v>
      </c>
      <c r="E4115" s="3" t="str">
        <f ca="1">IF(Tabela2[[#This Row],[Dt Venc:]]&gt;TODAY(),"Em Aberto",IF(Tabela2[[#This Row],[D/venc]]="-","Enviado",IF(Tabela2[[#This Row],[Dt Venc:]]=TODAY(),"Vence Hoje","Vencida")))</f>
        <v>Enviado</v>
      </c>
      <c r="F4115" s="3" t="str">
        <f ca="1">IF(G4115=1,"-",Tabela2[[#This Row],[Dt Venc:]]-TODAY())</f>
        <v>-</v>
      </c>
      <c r="G4115" s="3">
        <v>1</v>
      </c>
      <c r="H4115" s="3"/>
    </row>
    <row r="4116" spans="1:8" hidden="1">
      <c r="A4116" s="3">
        <v>24019</v>
      </c>
      <c r="B4116" s="7" t="s">
        <v>38</v>
      </c>
      <c r="C4116" s="41">
        <v>400</v>
      </c>
      <c r="D4116" s="6">
        <v>45661</v>
      </c>
      <c r="E4116" s="3" t="str">
        <f ca="1">IF(Tabela2[[#This Row],[Dt Venc:]]&gt;TODAY(),"Em Aberto",IF(Tabela2[[#This Row],[D/venc]]="-","Enviado",IF(Tabela2[[#This Row],[Dt Venc:]]=TODAY(),"Vence Hoje","Vencida")))</f>
        <v>Enviado</v>
      </c>
      <c r="F4116" s="3" t="str">
        <f ca="1">IF(G4116=1,"-",Tabela2[[#This Row],[Dt Venc:]]-TODAY())</f>
        <v>-</v>
      </c>
      <c r="G4116" s="3">
        <v>1</v>
      </c>
      <c r="H4116" s="3"/>
    </row>
    <row r="4117" spans="1:8" hidden="1">
      <c r="A4117" s="3">
        <v>912</v>
      </c>
      <c r="B4117" s="7" t="s">
        <v>363</v>
      </c>
      <c r="C4117" s="41">
        <v>1166.67</v>
      </c>
      <c r="D4117" s="6">
        <v>45661</v>
      </c>
      <c r="E4117" s="3" t="str">
        <f ca="1">IF(Tabela2[[#This Row],[Dt Venc:]]&gt;TODAY(),"Em Aberto",IF(Tabela2[[#This Row],[D/venc]]="-","Enviado",IF(Tabela2[[#This Row],[Dt Venc:]]=TODAY(),"Vence Hoje","Vencida")))</f>
        <v>Enviado</v>
      </c>
      <c r="F4117" s="3" t="str">
        <f ca="1">IF(G4117=1,"-",Tabela2[[#This Row],[Dt Venc:]]-TODAY())</f>
        <v>-</v>
      </c>
      <c r="G4117" s="3">
        <v>1</v>
      </c>
      <c r="H4117" s="3"/>
    </row>
    <row r="4118" spans="1:8" hidden="1">
      <c r="A4118" s="3">
        <v>6237</v>
      </c>
      <c r="B4118" s="7" t="s">
        <v>47</v>
      </c>
      <c r="C4118" s="41">
        <v>2040.36</v>
      </c>
      <c r="D4118" s="6">
        <v>45661</v>
      </c>
      <c r="E4118" s="3" t="str">
        <f ca="1">IF(Tabela2[[#This Row],[Dt Venc:]]&gt;TODAY(),"Em Aberto",IF(Tabela2[[#This Row],[D/venc]]="-","Enviado",IF(Tabela2[[#This Row],[Dt Venc:]]=TODAY(),"Vence Hoje","Vencida")))</f>
        <v>Enviado</v>
      </c>
      <c r="F4118" s="3" t="str">
        <f ca="1">IF(G4118=1,"-",Tabela2[[#This Row],[Dt Venc:]]-TODAY())</f>
        <v>-</v>
      </c>
      <c r="G4118" s="3">
        <v>1</v>
      </c>
      <c r="H4118" s="3"/>
    </row>
    <row r="4119" spans="1:8" hidden="1">
      <c r="A4119" s="3">
        <v>6123</v>
      </c>
      <c r="B4119" s="7" t="s">
        <v>140</v>
      </c>
      <c r="C4119" s="41">
        <v>2682</v>
      </c>
      <c r="D4119" s="6">
        <v>45661</v>
      </c>
      <c r="E4119" s="3" t="str">
        <f ca="1">IF(Tabela2[[#This Row],[Dt Venc:]]&gt;TODAY(),"Em Aberto",IF(Tabela2[[#This Row],[D/venc]]="-","Enviado",IF(Tabela2[[#This Row],[Dt Venc:]]=TODAY(),"Vence Hoje","Vencida")))</f>
        <v>Enviado</v>
      </c>
      <c r="F4119" s="3" t="str">
        <f ca="1">IF(G4119=1,"-",Tabela2[[#This Row],[Dt Venc:]]-TODAY())</f>
        <v>-</v>
      </c>
      <c r="G4119" s="3">
        <v>1</v>
      </c>
      <c r="H4119" s="3"/>
    </row>
    <row r="4120" spans="1:8" hidden="1">
      <c r="A4120" s="3">
        <v>24036</v>
      </c>
      <c r="B4120" s="7" t="s">
        <v>600</v>
      </c>
      <c r="C4120" s="41">
        <v>639.33000000000004</v>
      </c>
      <c r="D4120" s="6">
        <v>45661</v>
      </c>
      <c r="E4120" s="3" t="str">
        <f ca="1">IF(Tabela2[[#This Row],[Dt Venc:]]&gt;TODAY(),"Em Aberto",IF(Tabela2[[#This Row],[D/venc]]="-","Enviado",IF(Tabela2[[#This Row],[Dt Venc:]]=TODAY(),"Vence Hoje","Vencida")))</f>
        <v>Enviado</v>
      </c>
      <c r="F4120" s="3" t="str">
        <f ca="1">IF(G4120=1,"-",Tabela2[[#This Row],[Dt Venc:]]-TODAY())</f>
        <v>-</v>
      </c>
      <c r="G4120" s="3">
        <v>1</v>
      </c>
      <c r="H4120" s="3"/>
    </row>
    <row r="4121" spans="1:8" hidden="1">
      <c r="A4121" s="3">
        <v>3328350</v>
      </c>
      <c r="B4121" s="7" t="s">
        <v>71</v>
      </c>
      <c r="C4121" s="41">
        <v>111490</v>
      </c>
      <c r="D4121" s="6">
        <v>45661</v>
      </c>
      <c r="E4121" s="3" t="str">
        <f ca="1">IF(Tabela2[[#This Row],[Dt Venc:]]&gt;TODAY(),"Em Aberto",IF(Tabela2[[#This Row],[D/venc]]="-","Enviado",IF(Tabela2[[#This Row],[Dt Venc:]]=TODAY(),"Vence Hoje","Vencida")))</f>
        <v>Enviado</v>
      </c>
      <c r="F4121" s="3" t="str">
        <f ca="1">IF(G4121=1,"-",Tabela2[[#This Row],[Dt Venc:]]-TODAY())</f>
        <v>-</v>
      </c>
      <c r="G4121" s="3">
        <v>1</v>
      </c>
      <c r="H4121" s="3"/>
    </row>
    <row r="4122" spans="1:8" hidden="1">
      <c r="A4122" s="3">
        <v>108740</v>
      </c>
      <c r="B4122" s="7" t="s">
        <v>504</v>
      </c>
      <c r="C4122" s="41">
        <v>1106.67</v>
      </c>
      <c r="D4122" s="6">
        <v>45662</v>
      </c>
      <c r="E4122" s="3" t="str">
        <f ca="1">IF(Tabela2[[#This Row],[Dt Venc:]]&gt;TODAY(),"Em Aberto",IF(Tabela2[[#This Row],[D/venc]]="-","Enviado",IF(Tabela2[[#This Row],[Dt Venc:]]=TODAY(),"Vence Hoje","Vencida")))</f>
        <v>Enviado</v>
      </c>
      <c r="F4122" s="3" t="str">
        <f ca="1">IF(G4122=1,"-",Tabela2[[#This Row],[Dt Venc:]]-TODAY())</f>
        <v>-</v>
      </c>
      <c r="G4122" s="3">
        <v>1</v>
      </c>
      <c r="H4122" s="3"/>
    </row>
    <row r="4123" spans="1:8" hidden="1">
      <c r="A4123" s="3">
        <v>428135</v>
      </c>
      <c r="B4123" s="7" t="s">
        <v>89</v>
      </c>
      <c r="C4123" s="41">
        <v>761</v>
      </c>
      <c r="D4123" s="6">
        <v>45662</v>
      </c>
      <c r="E4123" s="3" t="str">
        <f ca="1">IF(Tabela2[[#This Row],[Dt Venc:]]&gt;TODAY(),"Em Aberto",IF(Tabela2[[#This Row],[D/venc]]="-","Enviado",IF(Tabela2[[#This Row],[Dt Venc:]]=TODAY(),"Vence Hoje","Vencida")))</f>
        <v>Enviado</v>
      </c>
      <c r="F4123" s="3" t="str">
        <f ca="1">IF(G4123=1,"-",Tabela2[[#This Row],[Dt Venc:]]-TODAY())</f>
        <v>-</v>
      </c>
      <c r="G4123" s="3">
        <v>1</v>
      </c>
      <c r="H4123" s="3"/>
    </row>
    <row r="4124" spans="1:8" hidden="1">
      <c r="A4124" s="3">
        <v>23610</v>
      </c>
      <c r="B4124" s="7" t="s">
        <v>38</v>
      </c>
      <c r="C4124" s="41">
        <v>523.33000000000004</v>
      </c>
      <c r="D4124" s="6">
        <v>45662</v>
      </c>
      <c r="E4124" s="3" t="str">
        <f ca="1">IF(Tabela2[[#This Row],[Dt Venc:]]&gt;TODAY(),"Em Aberto",IF(Tabela2[[#This Row],[D/venc]]="-","Enviado",IF(Tabela2[[#This Row],[Dt Venc:]]=TODAY(),"Vence Hoje","Vencida")))</f>
        <v>Enviado</v>
      </c>
      <c r="F4124" s="3" t="str">
        <f ca="1">IF(G4124=1,"-",Tabela2[[#This Row],[Dt Venc:]]-TODAY())</f>
        <v>-</v>
      </c>
      <c r="G4124" s="3">
        <v>1</v>
      </c>
      <c r="H4124" s="3"/>
    </row>
    <row r="4125" spans="1:8" hidden="1">
      <c r="A4125" s="3">
        <v>29426</v>
      </c>
      <c r="B4125" s="7" t="s">
        <v>97</v>
      </c>
      <c r="C4125" s="42">
        <v>3250</v>
      </c>
      <c r="D4125" s="6">
        <v>45662</v>
      </c>
      <c r="E4125" s="3" t="str">
        <f ca="1">IF(Tabela2[[#This Row],[Dt Venc:]]&gt;TODAY(),"Em Aberto",IF(Tabela2[[#This Row],[D/venc]]="-","Enviado",IF(Tabela2[[#This Row],[Dt Venc:]]=TODAY(),"Vence Hoje","Vencida")))</f>
        <v>Enviado</v>
      </c>
      <c r="F4125" s="3" t="str">
        <f ca="1">IF(G4125=1,"-",Tabela2[[#This Row],[Dt Venc:]]-TODAY())</f>
        <v>-</v>
      </c>
      <c r="G4125" s="3">
        <v>1</v>
      </c>
      <c r="H4125" s="3"/>
    </row>
    <row r="4126" spans="1:8" hidden="1">
      <c r="A4126" s="3">
        <v>30202</v>
      </c>
      <c r="B4126" s="7" t="s">
        <v>97</v>
      </c>
      <c r="C4126" s="42">
        <v>3140</v>
      </c>
      <c r="D4126" s="6">
        <v>45662</v>
      </c>
      <c r="E4126" s="3" t="str">
        <f ca="1">IF(Tabela2[[#This Row],[Dt Venc:]]&gt;TODAY(),"Em Aberto",IF(Tabela2[[#This Row],[D/venc]]="-","Enviado",IF(Tabela2[[#This Row],[Dt Venc:]]=TODAY(),"Vence Hoje","Vencida")))</f>
        <v>Enviado</v>
      </c>
      <c r="F4126" s="3" t="str">
        <f ca="1">IF(G4126=1,"-",Tabela2[[#This Row],[Dt Venc:]]-TODAY())</f>
        <v>-</v>
      </c>
      <c r="G4126" s="3">
        <v>1</v>
      </c>
      <c r="H4126" s="3"/>
    </row>
    <row r="4127" spans="1:8" hidden="1">
      <c r="A4127" s="3">
        <v>30512</v>
      </c>
      <c r="B4127" s="7" t="s">
        <v>501</v>
      </c>
      <c r="C4127" s="41">
        <v>1560</v>
      </c>
      <c r="D4127" s="6">
        <v>45662</v>
      </c>
      <c r="E4127" s="3" t="str">
        <f ca="1">IF(Tabela2[[#This Row],[Dt Venc:]]&gt;TODAY(),"Em Aberto",IF(Tabela2[[#This Row],[D/venc]]="-","Enviado",IF(Tabela2[[#This Row],[Dt Venc:]]=TODAY(),"Vence Hoje","Vencida")))</f>
        <v>Enviado</v>
      </c>
      <c r="F4127" s="3" t="str">
        <f ca="1">IF(G4127=1,"-",Tabela2[[#This Row],[Dt Venc:]]-TODAY())</f>
        <v>-</v>
      </c>
      <c r="G4127" s="3">
        <v>1</v>
      </c>
      <c r="H4127" s="3"/>
    </row>
    <row r="4128" spans="1:8" hidden="1">
      <c r="A4128" s="3">
        <v>26960</v>
      </c>
      <c r="B4128" s="7" t="s">
        <v>192</v>
      </c>
      <c r="C4128" s="42">
        <v>2128.7399999999998</v>
      </c>
      <c r="D4128" s="6">
        <v>45662</v>
      </c>
      <c r="E4128" s="3" t="str">
        <f ca="1">IF(Tabela2[[#This Row],[Dt Venc:]]&gt;TODAY(),"Em Aberto",IF(Tabela2[[#This Row],[D/venc]]="-","Enviado",IF(Tabela2[[#This Row],[Dt Venc:]]=TODAY(),"Vence Hoje","Vencida")))</f>
        <v>Enviado</v>
      </c>
      <c r="F4128" s="3" t="str">
        <f ca="1">IF(G4128=1,"-",Tabela2[[#This Row],[Dt Venc:]]-TODAY())</f>
        <v>-</v>
      </c>
      <c r="G4128" s="3">
        <v>1</v>
      </c>
      <c r="H4128" s="3"/>
    </row>
    <row r="4129" spans="1:8" hidden="1">
      <c r="A4129" s="3">
        <v>328413</v>
      </c>
      <c r="B4129" s="7" t="s">
        <v>77</v>
      </c>
      <c r="C4129" s="41">
        <v>606.66999999999996</v>
      </c>
      <c r="D4129" s="6">
        <v>45662</v>
      </c>
      <c r="E4129" s="3" t="str">
        <f ca="1">IF(Tabela2[[#This Row],[Dt Venc:]]&gt;TODAY(),"Em Aberto",IF(Tabela2[[#This Row],[D/venc]]="-","Enviado",IF(Tabela2[[#This Row],[Dt Venc:]]=TODAY(),"Vence Hoje","Vencida")))</f>
        <v>Enviado</v>
      </c>
      <c r="F4129" s="3" t="str">
        <f ca="1">IF(G4129=1,"-",Tabela2[[#This Row],[Dt Venc:]]-TODAY())</f>
        <v>-</v>
      </c>
      <c r="G4129" s="3">
        <v>1</v>
      </c>
      <c r="H4129" s="3"/>
    </row>
    <row r="4130" spans="1:8" hidden="1">
      <c r="A4130" s="3">
        <v>326750</v>
      </c>
      <c r="B4130" s="7" t="s">
        <v>240</v>
      </c>
      <c r="C4130" s="42">
        <v>405</v>
      </c>
      <c r="D4130" s="6">
        <v>45662</v>
      </c>
      <c r="E4130" s="3" t="str">
        <f ca="1">IF(Tabela2[[#This Row],[Dt Venc:]]&gt;TODAY(),"Em Aberto",IF(Tabela2[[#This Row],[D/venc]]="-","Enviado",IF(Tabela2[[#This Row],[Dt Venc:]]=TODAY(),"Vence Hoje","Vencida")))</f>
        <v>Enviado</v>
      </c>
      <c r="F4130" s="3" t="str">
        <f ca="1">IF(G4130=1,"-",Tabela2[[#This Row],[Dt Venc:]]-TODAY())</f>
        <v>-</v>
      </c>
      <c r="G4130" s="3">
        <v>1</v>
      </c>
      <c r="H4130" s="3"/>
    </row>
    <row r="4131" spans="1:8" hidden="1">
      <c r="A4131" s="3">
        <v>153391</v>
      </c>
      <c r="B4131" s="7" t="s">
        <v>240</v>
      </c>
      <c r="C4131" s="42">
        <v>1233.33</v>
      </c>
      <c r="D4131" s="6">
        <v>45662</v>
      </c>
      <c r="E4131" s="3" t="str">
        <f ca="1">IF(Tabela2[[#This Row],[Dt Venc:]]&gt;TODAY(),"Em Aberto",IF(Tabela2[[#This Row],[D/venc]]="-","Enviado",IF(Tabela2[[#This Row],[Dt Venc:]]=TODAY(),"Vence Hoje","Vencida")))</f>
        <v>Enviado</v>
      </c>
      <c r="F4131" s="3" t="str">
        <f ca="1">IF(G4131=1,"-",Tabela2[[#This Row],[Dt Venc:]]-TODAY())</f>
        <v>-</v>
      </c>
      <c r="G4131" s="3">
        <v>1</v>
      </c>
      <c r="H4131" s="3"/>
    </row>
    <row r="4132" spans="1:8" hidden="1">
      <c r="A4132" s="3">
        <v>153373</v>
      </c>
      <c r="B4132" s="7" t="s">
        <v>240</v>
      </c>
      <c r="C4132" s="42">
        <v>433.33</v>
      </c>
      <c r="D4132" s="6">
        <v>45662</v>
      </c>
      <c r="E4132" s="3" t="str">
        <f ca="1">IF(Tabela2[[#This Row],[Dt Venc:]]&gt;TODAY(),"Em Aberto",IF(Tabela2[[#This Row],[D/venc]]="-","Enviado",IF(Tabela2[[#This Row],[Dt Venc:]]=TODAY(),"Vence Hoje","Vencida")))</f>
        <v>Enviado</v>
      </c>
      <c r="F4132" s="3" t="str">
        <f ca="1">IF(G4132=1,"-",Tabela2[[#This Row],[Dt Venc:]]-TODAY())</f>
        <v>-</v>
      </c>
      <c r="G4132" s="3">
        <v>1</v>
      </c>
      <c r="H4132" s="3"/>
    </row>
    <row r="4133" spans="1:8" hidden="1">
      <c r="A4133" s="3">
        <v>153375</v>
      </c>
      <c r="B4133" s="7" t="s">
        <v>240</v>
      </c>
      <c r="C4133" s="42">
        <v>433.33</v>
      </c>
      <c r="D4133" s="6">
        <v>45662</v>
      </c>
      <c r="E4133" s="3" t="str">
        <f ca="1">IF(Tabela2[[#This Row],[Dt Venc:]]&gt;TODAY(),"Em Aberto",IF(Tabela2[[#This Row],[D/venc]]="-","Enviado",IF(Tabela2[[#This Row],[Dt Venc:]]=TODAY(),"Vence Hoje","Vencida")))</f>
        <v>Enviado</v>
      </c>
      <c r="F4133" s="3" t="str">
        <f ca="1">IF(G4133=1,"-",Tabela2[[#This Row],[Dt Venc:]]-TODAY())</f>
        <v>-</v>
      </c>
      <c r="G4133" s="3">
        <v>1</v>
      </c>
      <c r="H4133" s="3"/>
    </row>
    <row r="4134" spans="1:8" hidden="1">
      <c r="A4134" s="3">
        <v>153374</v>
      </c>
      <c r="B4134" s="7" t="s">
        <v>240</v>
      </c>
      <c r="C4134" s="42">
        <v>773.33</v>
      </c>
      <c r="D4134" s="6">
        <v>45662</v>
      </c>
      <c r="E4134" s="3" t="str">
        <f ca="1">IF(Tabela2[[#This Row],[Dt Venc:]]&gt;TODAY(),"Em Aberto",IF(Tabela2[[#This Row],[D/venc]]="-","Enviado",IF(Tabela2[[#This Row],[Dt Venc:]]=TODAY(),"Vence Hoje","Vencida")))</f>
        <v>Enviado</v>
      </c>
      <c r="F4134" s="3" t="str">
        <f ca="1">IF(G4134=1,"-",Tabela2[[#This Row],[Dt Venc:]]-TODAY())</f>
        <v>-</v>
      </c>
      <c r="G4134" s="3">
        <v>1</v>
      </c>
      <c r="H4134" s="3"/>
    </row>
    <row r="4135" spans="1:8" hidden="1">
      <c r="A4135" s="3">
        <v>326718</v>
      </c>
      <c r="B4135" s="7" t="s">
        <v>240</v>
      </c>
      <c r="C4135" s="42">
        <v>405</v>
      </c>
      <c r="D4135" s="6">
        <v>45662</v>
      </c>
      <c r="E4135" s="3" t="str">
        <f ca="1">IF(Tabela2[[#This Row],[Dt Venc:]]&gt;TODAY(),"Em Aberto",IF(Tabela2[[#This Row],[D/venc]]="-","Enviado",IF(Tabela2[[#This Row],[Dt Venc:]]=TODAY(),"Vence Hoje","Vencida")))</f>
        <v>Enviado</v>
      </c>
      <c r="F4135" s="3" t="str">
        <f ca="1">IF(G4135=1,"-",Tabela2[[#This Row],[Dt Venc:]]-TODAY())</f>
        <v>-</v>
      </c>
      <c r="G4135" s="3">
        <v>1</v>
      </c>
      <c r="H4135" s="3"/>
    </row>
    <row r="4136" spans="1:8" hidden="1">
      <c r="A4136" s="3">
        <v>153378</v>
      </c>
      <c r="B4136" s="7" t="s">
        <v>240</v>
      </c>
      <c r="C4136" s="42">
        <v>1233.33</v>
      </c>
      <c r="D4136" s="6">
        <v>45662</v>
      </c>
      <c r="E4136" s="3" t="str">
        <f ca="1">IF(Tabela2[[#This Row],[Dt Venc:]]&gt;TODAY(),"Em Aberto",IF(Tabela2[[#This Row],[D/venc]]="-","Enviado",IF(Tabela2[[#This Row],[Dt Venc:]]=TODAY(),"Vence Hoje","Vencida")))</f>
        <v>Enviado</v>
      </c>
      <c r="F4136" s="3" t="str">
        <f ca="1">IF(G4136=1,"-",Tabela2[[#This Row],[Dt Venc:]]-TODAY())</f>
        <v>-</v>
      </c>
      <c r="G4136" s="3">
        <v>1</v>
      </c>
      <c r="H4136" s="3"/>
    </row>
    <row r="4137" spans="1:8" hidden="1">
      <c r="A4137" s="3">
        <v>2011</v>
      </c>
      <c r="B4137" s="7" t="s">
        <v>507</v>
      </c>
      <c r="C4137" s="41">
        <v>6563.5</v>
      </c>
      <c r="D4137" s="6">
        <v>45662</v>
      </c>
      <c r="E4137" s="3" t="str">
        <f ca="1">IF(Tabela2[[#This Row],[Dt Venc:]]&gt;TODAY(),"Em Aberto",IF(Tabela2[[#This Row],[D/venc]]="-","Enviado",IF(Tabela2[[#This Row],[Dt Venc:]]=TODAY(),"Vence Hoje","Vencida")))</f>
        <v>Enviado</v>
      </c>
      <c r="F4137" s="3" t="str">
        <f ca="1">IF(G4137=1,"-",Tabela2[[#This Row],[Dt Venc:]]-TODAY())</f>
        <v>-</v>
      </c>
      <c r="G4137" s="3">
        <v>1</v>
      </c>
      <c r="H4137" s="3"/>
    </row>
    <row r="4138" spans="1:8" hidden="1">
      <c r="A4138" s="3">
        <v>3195</v>
      </c>
      <c r="B4138" s="7" t="s">
        <v>114</v>
      </c>
      <c r="C4138" s="42">
        <v>160</v>
      </c>
      <c r="D4138" s="6">
        <v>45662</v>
      </c>
      <c r="E4138" s="3" t="str">
        <f ca="1">IF(Tabela2[[#This Row],[Dt Venc:]]&gt;TODAY(),"Em Aberto",IF(Tabela2[[#This Row],[D/venc]]="-","Enviado",IF(Tabela2[[#This Row],[Dt Venc:]]=TODAY(),"Vence Hoje","Vencida")))</f>
        <v>Enviado</v>
      </c>
      <c r="F4138" s="3" t="str">
        <f ca="1">IF(G4138=1,"-",Tabela2[[#This Row],[Dt Venc:]]-TODAY())</f>
        <v>-</v>
      </c>
      <c r="G4138" s="3">
        <v>1</v>
      </c>
      <c r="H4138" s="3"/>
    </row>
    <row r="4139" spans="1:8" hidden="1">
      <c r="A4139" s="3">
        <v>113680</v>
      </c>
      <c r="B4139" s="7" t="s">
        <v>209</v>
      </c>
      <c r="C4139" s="41">
        <v>328</v>
      </c>
      <c r="D4139" s="6">
        <v>45662</v>
      </c>
      <c r="E4139" s="3" t="str">
        <f ca="1">IF(Tabela2[[#This Row],[Dt Venc:]]&gt;TODAY(),"Em Aberto",IF(Tabela2[[#This Row],[D/venc]]="-","Enviado",IF(Tabela2[[#This Row],[Dt Venc:]]=TODAY(),"Vence Hoje","Vencida")))</f>
        <v>Enviado</v>
      </c>
      <c r="F4139" s="3" t="str">
        <f ca="1">IF(G4139=1,"-",Tabela2[[#This Row],[Dt Venc:]]-TODAY())</f>
        <v>-</v>
      </c>
      <c r="G4139" s="3">
        <v>1</v>
      </c>
      <c r="H4139" s="3"/>
    </row>
    <row r="4140" spans="1:8" hidden="1">
      <c r="A4140" s="3">
        <v>113663</v>
      </c>
      <c r="B4140" s="7" t="s">
        <v>209</v>
      </c>
      <c r="C4140" s="41">
        <v>1108.33</v>
      </c>
      <c r="D4140" s="6">
        <v>45662</v>
      </c>
      <c r="E4140" s="3" t="str">
        <f ca="1">IF(Tabela2[[#This Row],[Dt Venc:]]&gt;TODAY(),"Em Aberto",IF(Tabela2[[#This Row],[D/venc]]="-","Enviado",IF(Tabela2[[#This Row],[Dt Venc:]]=TODAY(),"Vence Hoje","Vencida")))</f>
        <v>Enviado</v>
      </c>
      <c r="F4140" s="3" t="str">
        <f ca="1">IF(G4140=1,"-",Tabela2[[#This Row],[Dt Venc:]]-TODAY())</f>
        <v>-</v>
      </c>
      <c r="G4140" s="3">
        <v>1</v>
      </c>
      <c r="H4140" s="3"/>
    </row>
    <row r="4141" spans="1:8" hidden="1">
      <c r="A4141" s="3">
        <v>10353</v>
      </c>
      <c r="B4141" s="7" t="s">
        <v>82</v>
      </c>
      <c r="C4141" s="83" t="s">
        <v>32</v>
      </c>
      <c r="D4141" s="6">
        <v>45662</v>
      </c>
      <c r="E4141" s="3" t="str">
        <f ca="1">IF(Tabela2[[#This Row],[Dt Venc:]]&gt;TODAY(),"Em Aberto",IF(Tabela2[[#This Row],[D/venc]]="-","Enviado",IF(Tabela2[[#This Row],[Dt Venc:]]=TODAY(),"Vence Hoje","Vencida")))</f>
        <v>Enviado</v>
      </c>
      <c r="F4141" s="3" t="str">
        <f ca="1">IF(G4141=1,"-",Tabela2[[#This Row],[Dt Venc:]]-TODAY())</f>
        <v>-</v>
      </c>
      <c r="G4141" s="3">
        <v>1</v>
      </c>
      <c r="H4141" s="3"/>
    </row>
    <row r="4142" spans="1:8" hidden="1">
      <c r="A4142" s="3">
        <v>5680</v>
      </c>
      <c r="B4142" s="7" t="s">
        <v>122</v>
      </c>
      <c r="C4142" s="84" t="s">
        <v>32</v>
      </c>
      <c r="D4142" s="6">
        <v>45662</v>
      </c>
      <c r="E4142" s="3" t="str">
        <f ca="1">IF(Tabela2[[#This Row],[Dt Venc:]]&gt;TODAY(),"Em Aberto",IF(Tabela2[[#This Row],[D/venc]]="-","Enviado",IF(Tabela2[[#This Row],[Dt Venc:]]=TODAY(),"Vence Hoje","Vencida")))</f>
        <v>Enviado</v>
      </c>
      <c r="F4142" s="3" t="str">
        <f ca="1">IF(G4142=1,"-",Tabela2[[#This Row],[Dt Venc:]]-TODAY())</f>
        <v>-</v>
      </c>
      <c r="G4142" s="3">
        <v>1</v>
      </c>
      <c r="H4142" s="3"/>
    </row>
    <row r="4143" spans="1:8" hidden="1">
      <c r="A4143" s="3">
        <v>5048</v>
      </c>
      <c r="B4143" s="7" t="s">
        <v>476</v>
      </c>
      <c r="C4143" s="41">
        <v>700</v>
      </c>
      <c r="D4143" s="6">
        <v>45662</v>
      </c>
      <c r="E4143" s="3" t="str">
        <f ca="1">IF(Tabela2[[#This Row],[Dt Venc:]]&gt;TODAY(),"Em Aberto",IF(Tabela2[[#This Row],[D/venc]]="-","Enviado",IF(Tabela2[[#This Row],[Dt Venc:]]=TODAY(),"Vence Hoje","Vencida")))</f>
        <v>Enviado</v>
      </c>
      <c r="F4143" s="3" t="str">
        <f ca="1">IF(G4143=1,"-",Tabela2[[#This Row],[Dt Venc:]]-TODAY())</f>
        <v>-</v>
      </c>
      <c r="G4143" s="3">
        <v>1</v>
      </c>
      <c r="H4143" s="3"/>
    </row>
    <row r="4144" spans="1:8" hidden="1">
      <c r="A4144" s="3" t="s">
        <v>110</v>
      </c>
      <c r="B4144" s="7" t="s">
        <v>121</v>
      </c>
      <c r="C4144" s="87" t="s">
        <v>30</v>
      </c>
      <c r="D4144" s="6">
        <v>45662</v>
      </c>
      <c r="E4144" s="3" t="str">
        <f ca="1">IF(Tabela2[[#This Row],[Dt Venc:]]&gt;TODAY(),"Em Aberto",IF(Tabela2[[#This Row],[D/venc]]="-","Enviado",IF(Tabela2[[#This Row],[Dt Venc:]]=TODAY(),"Vence Hoje","Vencida")))</f>
        <v>Enviado</v>
      </c>
      <c r="F4144" s="3" t="str">
        <f ca="1">IF(G4144=1,"-",Tabela2[[#This Row],[Dt Venc:]]-TODAY())</f>
        <v>-</v>
      </c>
      <c r="G4144" s="3">
        <v>1</v>
      </c>
      <c r="H4144" s="3"/>
    </row>
    <row r="4145" spans="1:8" hidden="1">
      <c r="A4145" s="3">
        <v>11199</v>
      </c>
      <c r="B4145" s="7" t="s">
        <v>33</v>
      </c>
      <c r="C4145" s="41">
        <v>2000</v>
      </c>
      <c r="D4145" s="6">
        <v>45662</v>
      </c>
      <c r="E4145" s="3" t="str">
        <f ca="1">IF(Tabela2[[#This Row],[Dt Venc:]]&gt;TODAY(),"Em Aberto",IF(Tabela2[[#This Row],[D/venc]]="-","Enviado",IF(Tabela2[[#This Row],[Dt Venc:]]=TODAY(),"Vence Hoje","Vencida")))</f>
        <v>Enviado</v>
      </c>
      <c r="F4145" s="3" t="str">
        <f ca="1">IF(G4145=1,"-",Tabela2[[#This Row],[Dt Venc:]]-TODAY())</f>
        <v>-</v>
      </c>
      <c r="G4145" s="3">
        <v>1</v>
      </c>
      <c r="H4145" s="3"/>
    </row>
    <row r="4146" spans="1:8" hidden="1">
      <c r="A4146" s="3">
        <v>1221</v>
      </c>
      <c r="B4146" s="7" t="s">
        <v>416</v>
      </c>
      <c r="C4146" s="41">
        <v>1553.33</v>
      </c>
      <c r="D4146" s="6">
        <v>45662</v>
      </c>
      <c r="E4146" s="3" t="str">
        <f ca="1">IF(Tabela2[[#This Row],[Dt Venc:]]&gt;TODAY(),"Em Aberto",IF(Tabela2[[#This Row],[D/venc]]="-","Enviado",IF(Tabela2[[#This Row],[Dt Venc:]]=TODAY(),"Vence Hoje","Vencida")))</f>
        <v>Enviado</v>
      </c>
      <c r="F4146" s="3" t="str">
        <f ca="1">IF(G4146=1,"-",Tabela2[[#This Row],[Dt Venc:]]-TODAY())</f>
        <v>-</v>
      </c>
      <c r="G4146" s="3">
        <v>1</v>
      </c>
      <c r="H4146" s="3"/>
    </row>
    <row r="4147" spans="1:8" hidden="1">
      <c r="A4147" s="3">
        <v>1658</v>
      </c>
      <c r="B4147" s="7" t="s">
        <v>258</v>
      </c>
      <c r="C4147" s="41">
        <v>420</v>
      </c>
      <c r="D4147" s="6">
        <v>45662</v>
      </c>
      <c r="E4147" s="3" t="str">
        <f ca="1">IF(Tabela2[[#This Row],[Dt Venc:]]&gt;TODAY(),"Em Aberto",IF(Tabela2[[#This Row],[D/venc]]="-","Enviado",IF(Tabela2[[#This Row],[Dt Venc:]]=TODAY(),"Vence Hoje","Vencida")))</f>
        <v>Enviado</v>
      </c>
      <c r="F4147" s="3" t="str">
        <f ca="1">IF(G4147=1,"-",Tabela2[[#This Row],[Dt Venc:]]-TODAY())</f>
        <v>-</v>
      </c>
      <c r="G4147" s="3">
        <v>1</v>
      </c>
      <c r="H4147" s="3"/>
    </row>
    <row r="4148" spans="1:8" hidden="1">
      <c r="A4148" s="3">
        <v>762033</v>
      </c>
      <c r="B4148" s="7" t="s">
        <v>127</v>
      </c>
      <c r="C4148" s="41">
        <v>469.5</v>
      </c>
      <c r="D4148" s="6">
        <v>45662</v>
      </c>
      <c r="E4148" s="3" t="str">
        <f ca="1">IF(Tabela2[[#This Row],[Dt Venc:]]&gt;TODAY(),"Em Aberto",IF(Tabela2[[#This Row],[D/venc]]="-","Enviado",IF(Tabela2[[#This Row],[Dt Venc:]]=TODAY(),"Vence Hoje","Vencida")))</f>
        <v>Enviado</v>
      </c>
      <c r="F4148" s="3" t="str">
        <f ca="1">IF(G4148=1,"-",Tabela2[[#This Row],[Dt Venc:]]-TODAY())</f>
        <v>-</v>
      </c>
      <c r="G4148" s="3">
        <v>1</v>
      </c>
      <c r="H4148" s="3"/>
    </row>
    <row r="4149" spans="1:8" hidden="1">
      <c r="A4149" s="3">
        <v>1707</v>
      </c>
      <c r="B4149" s="7" t="s">
        <v>78</v>
      </c>
      <c r="C4149" s="41">
        <v>1787.25</v>
      </c>
      <c r="D4149" s="6">
        <v>45662</v>
      </c>
      <c r="E4149" s="3" t="str">
        <f ca="1">IF(Tabela2[[#This Row],[Dt Venc:]]&gt;TODAY(),"Em Aberto",IF(Tabela2[[#This Row],[D/venc]]="-","Enviado",IF(Tabela2[[#This Row],[Dt Venc:]]=TODAY(),"Vence Hoje","Vencida")))</f>
        <v>Enviado</v>
      </c>
      <c r="F4149" s="3" t="str">
        <f ca="1">IF(G4149=1,"-",Tabela2[[#This Row],[Dt Venc:]]-TODAY())</f>
        <v>-</v>
      </c>
      <c r="G4149" s="3">
        <v>1</v>
      </c>
      <c r="H4149" s="3"/>
    </row>
    <row r="4150" spans="1:8" hidden="1">
      <c r="A4150" s="3">
        <v>762032</v>
      </c>
      <c r="B4150" s="7" t="s">
        <v>127</v>
      </c>
      <c r="C4150" s="41">
        <v>469.5</v>
      </c>
      <c r="D4150" s="6">
        <v>45662</v>
      </c>
      <c r="E4150" s="3" t="str">
        <f ca="1">IF(Tabela2[[#This Row],[Dt Venc:]]&gt;TODAY(),"Em Aberto",IF(Tabela2[[#This Row],[D/venc]]="-","Enviado",IF(Tabela2[[#This Row],[Dt Venc:]]=TODAY(),"Vence Hoje","Vencida")))</f>
        <v>Enviado</v>
      </c>
      <c r="F4150" s="3" t="str">
        <f ca="1">IF(G4150=1,"-",Tabela2[[#This Row],[Dt Venc:]]-TODAY())</f>
        <v>-</v>
      </c>
      <c r="G4150" s="3">
        <v>1</v>
      </c>
      <c r="H4150" s="3"/>
    </row>
    <row r="4151" spans="1:8" hidden="1">
      <c r="A4151" s="3">
        <v>147571</v>
      </c>
      <c r="B4151" s="7" t="s">
        <v>127</v>
      </c>
      <c r="C4151" s="41">
        <v>560</v>
      </c>
      <c r="D4151" s="6">
        <v>45662</v>
      </c>
      <c r="E4151" s="3" t="str">
        <f ca="1">IF(Tabela2[[#This Row],[Dt Venc:]]&gt;TODAY(),"Em Aberto",IF(Tabela2[[#This Row],[D/venc]]="-","Enviado",IF(Tabela2[[#This Row],[Dt Venc:]]=TODAY(),"Vence Hoje","Vencida")))</f>
        <v>Enviado</v>
      </c>
      <c r="F4151" s="3" t="str">
        <f ca="1">IF(G4151=1,"-",Tabela2[[#This Row],[Dt Venc:]]-TODAY())</f>
        <v>-</v>
      </c>
      <c r="G4151" s="3">
        <v>1</v>
      </c>
      <c r="H4151" s="3"/>
    </row>
    <row r="4152" spans="1:8" hidden="1">
      <c r="A4152" s="3">
        <v>147572</v>
      </c>
      <c r="B4152" s="7" t="s">
        <v>127</v>
      </c>
      <c r="C4152" s="41">
        <v>560</v>
      </c>
      <c r="D4152" s="6">
        <v>45662</v>
      </c>
      <c r="E4152" s="3" t="str">
        <f ca="1">IF(Tabela2[[#This Row],[Dt Venc:]]&gt;TODAY(),"Em Aberto",IF(Tabela2[[#This Row],[D/venc]]="-","Enviado",IF(Tabela2[[#This Row],[Dt Venc:]]=TODAY(),"Vence Hoje","Vencida")))</f>
        <v>Enviado</v>
      </c>
      <c r="F4152" s="3" t="str">
        <f ca="1">IF(G4152=1,"-",Tabela2[[#This Row],[Dt Venc:]]-TODAY())</f>
        <v>-</v>
      </c>
      <c r="G4152" s="3">
        <v>1</v>
      </c>
      <c r="H4152" s="3"/>
    </row>
    <row r="4153" spans="1:8" hidden="1">
      <c r="A4153" s="3">
        <v>30918</v>
      </c>
      <c r="B4153" s="7" t="s">
        <v>97</v>
      </c>
      <c r="C4153" s="41">
        <v>1940</v>
      </c>
      <c r="D4153" s="6">
        <v>45662</v>
      </c>
      <c r="E4153" s="3" t="str">
        <f ca="1">IF(Tabela2[[#This Row],[Dt Venc:]]&gt;TODAY(),"Em Aberto",IF(Tabela2[[#This Row],[D/venc]]="-","Enviado",IF(Tabela2[[#This Row],[Dt Venc:]]=TODAY(),"Vence Hoje","Vencida")))</f>
        <v>Enviado</v>
      </c>
      <c r="F4153" s="3" t="str">
        <f ca="1">IF(G4153=1,"-",Tabela2[[#This Row],[Dt Venc:]]-TODAY())</f>
        <v>-</v>
      </c>
      <c r="G4153" s="3">
        <v>1</v>
      </c>
      <c r="H4153" s="3"/>
    </row>
    <row r="4154" spans="1:8" hidden="1">
      <c r="A4154" s="3">
        <v>52722</v>
      </c>
      <c r="B4154" s="7" t="s">
        <v>117</v>
      </c>
      <c r="C4154" s="41">
        <v>1026.06</v>
      </c>
      <c r="D4154" s="6">
        <v>45662</v>
      </c>
      <c r="E4154" s="3" t="str">
        <f ca="1">IF(Tabela2[[#This Row],[Dt Venc:]]&gt;TODAY(),"Em Aberto",IF(Tabela2[[#This Row],[D/venc]]="-","Enviado",IF(Tabela2[[#This Row],[Dt Venc:]]=TODAY(),"Vence Hoje","Vencida")))</f>
        <v>Enviado</v>
      </c>
      <c r="F4154" s="3" t="str">
        <f ca="1">IF(G4154=1,"-",Tabela2[[#This Row],[Dt Venc:]]-TODAY())</f>
        <v>-</v>
      </c>
      <c r="G4154" s="3">
        <v>1</v>
      </c>
      <c r="H4154" s="3"/>
    </row>
    <row r="4155" spans="1:8" hidden="1">
      <c r="A4155" s="3">
        <v>268080</v>
      </c>
      <c r="B4155" s="7" t="s">
        <v>358</v>
      </c>
      <c r="C4155" s="41">
        <v>760</v>
      </c>
      <c r="D4155" s="6">
        <v>45662</v>
      </c>
      <c r="E4155" s="3" t="str">
        <f ca="1">IF(Tabela2[[#This Row],[Dt Venc:]]&gt;TODAY(),"Em Aberto",IF(Tabela2[[#This Row],[D/venc]]="-","Enviado",IF(Tabela2[[#This Row],[Dt Venc:]]=TODAY(),"Vence Hoje","Vencida")))</f>
        <v>Enviado</v>
      </c>
      <c r="F4155" s="3" t="str">
        <f ca="1">IF(G4155=1,"-",Tabela2[[#This Row],[Dt Venc:]]-TODAY())</f>
        <v>-</v>
      </c>
      <c r="G4155" s="3">
        <v>1</v>
      </c>
      <c r="H4155" s="3"/>
    </row>
    <row r="4156" spans="1:8" hidden="1">
      <c r="A4156" s="3">
        <v>1321</v>
      </c>
      <c r="B4156" s="7" t="s">
        <v>474</v>
      </c>
      <c r="C4156" s="41">
        <v>1067</v>
      </c>
      <c r="D4156" s="6">
        <v>45662</v>
      </c>
      <c r="E4156" s="3" t="str">
        <f ca="1">IF(Tabela2[[#This Row],[Dt Venc:]]&gt;TODAY(),"Em Aberto",IF(Tabela2[[#This Row],[D/venc]]="-","Enviado",IF(Tabela2[[#This Row],[Dt Venc:]]=TODAY(),"Vence Hoje","Vencida")))</f>
        <v>Enviado</v>
      </c>
      <c r="F4156" s="3" t="str">
        <f ca="1">IF(G4156=1,"-",Tabela2[[#This Row],[Dt Venc:]]-TODAY())</f>
        <v>-</v>
      </c>
      <c r="G4156" s="3">
        <v>1</v>
      </c>
      <c r="H4156" s="3"/>
    </row>
    <row r="4157" spans="1:8" hidden="1">
      <c r="A4157" s="3">
        <v>2341</v>
      </c>
      <c r="B4157" s="7" t="s">
        <v>45</v>
      </c>
      <c r="C4157" s="41">
        <v>1420</v>
      </c>
      <c r="D4157" s="6">
        <v>45662</v>
      </c>
      <c r="E4157" s="3" t="str">
        <f ca="1">IF(Tabela2[[#This Row],[Dt Venc:]]&gt;TODAY(),"Em Aberto",IF(Tabela2[[#This Row],[D/venc]]="-","Enviado",IF(Tabela2[[#This Row],[Dt Venc:]]=TODAY(),"Vence Hoje","Vencida")))</f>
        <v>Enviado</v>
      </c>
      <c r="F4157" s="3" t="str">
        <f ca="1">IF(G4157=1,"-",Tabela2[[#This Row],[Dt Venc:]]-TODAY())</f>
        <v>-</v>
      </c>
      <c r="G4157" s="3">
        <v>1</v>
      </c>
      <c r="H4157" s="3"/>
    </row>
    <row r="4158" spans="1:8" hidden="1">
      <c r="A4158" s="3">
        <v>31702</v>
      </c>
      <c r="B4158" s="7" t="s">
        <v>542</v>
      </c>
      <c r="C4158" s="41">
        <v>2106.67</v>
      </c>
      <c r="D4158" s="6">
        <v>45662</v>
      </c>
      <c r="E4158" s="3" t="str">
        <f ca="1">IF(Tabela2[[#This Row],[Dt Venc:]]&gt;TODAY(),"Em Aberto",IF(Tabela2[[#This Row],[D/venc]]="-","Enviado",IF(Tabela2[[#This Row],[Dt Venc:]]=TODAY(),"Vence Hoje","Vencida")))</f>
        <v>Enviado</v>
      </c>
      <c r="F4158" s="3" t="str">
        <f ca="1">IF(G4158=1,"-",Tabela2[[#This Row],[Dt Venc:]]-TODAY())</f>
        <v>-</v>
      </c>
      <c r="G4158" s="3">
        <v>1</v>
      </c>
      <c r="H4158" s="3"/>
    </row>
    <row r="4159" spans="1:8" hidden="1">
      <c r="A4159" s="3">
        <v>13531</v>
      </c>
      <c r="B4159" s="7" t="s">
        <v>120</v>
      </c>
      <c r="C4159" s="41">
        <v>15953.58</v>
      </c>
      <c r="D4159" s="6">
        <v>45662</v>
      </c>
      <c r="E4159" s="3" t="str">
        <f ca="1">IF(Tabela2[[#This Row],[Dt Venc:]]&gt;TODAY(),"Em Aberto",IF(Tabela2[[#This Row],[D/venc]]="-","Enviado",IF(Tabela2[[#This Row],[Dt Venc:]]=TODAY(),"Vence Hoje","Vencida")))</f>
        <v>Enviado</v>
      </c>
      <c r="F4159" s="3" t="str">
        <f ca="1">IF(G4159=1,"-",Tabela2[[#This Row],[Dt Venc:]]-TODAY())</f>
        <v>-</v>
      </c>
      <c r="G4159" s="3">
        <v>1</v>
      </c>
      <c r="H4159" s="3"/>
    </row>
    <row r="4160" spans="1:8" hidden="1">
      <c r="A4160" s="3">
        <v>362841</v>
      </c>
      <c r="B4160" s="7" t="s">
        <v>59</v>
      </c>
      <c r="C4160" s="41">
        <v>57219</v>
      </c>
      <c r="D4160" s="6">
        <v>45662</v>
      </c>
      <c r="E4160" s="3" t="str">
        <f ca="1">IF(Tabela2[[#This Row],[Dt Venc:]]&gt;TODAY(),"Em Aberto",IF(Tabela2[[#This Row],[D/venc]]="-","Enviado",IF(Tabela2[[#This Row],[Dt Venc:]]=TODAY(),"Vence Hoje","Vencida")))</f>
        <v>Enviado</v>
      </c>
      <c r="F4160" s="3" t="str">
        <f ca="1">IF(G4160=1,"-",Tabela2[[#This Row],[Dt Venc:]]-TODAY())</f>
        <v>-</v>
      </c>
      <c r="G4160" s="3">
        <v>1</v>
      </c>
      <c r="H4160" s="3"/>
    </row>
    <row r="4161" spans="1:8" hidden="1">
      <c r="A4161" s="3">
        <v>3328953</v>
      </c>
      <c r="B4161" s="7" t="s">
        <v>71</v>
      </c>
      <c r="C4161" s="41">
        <v>111490</v>
      </c>
      <c r="D4161" s="6">
        <v>45662</v>
      </c>
      <c r="E4161" s="3" t="str">
        <f ca="1">IF(Tabela2[[#This Row],[Dt Venc:]]&gt;TODAY(),"Em Aberto",IF(Tabela2[[#This Row],[D/venc]]="-","Enviado",IF(Tabela2[[#This Row],[Dt Venc:]]=TODAY(),"Vence Hoje","Vencida")))</f>
        <v>Enviado</v>
      </c>
      <c r="F4161" s="3" t="str">
        <f ca="1">IF(G4161=1,"-",Tabela2[[#This Row],[Dt Venc:]]-TODAY())</f>
        <v>-</v>
      </c>
      <c r="G4161" s="3">
        <v>1</v>
      </c>
      <c r="H4161" s="3"/>
    </row>
    <row r="4162" spans="1:8" hidden="1">
      <c r="A4162" s="3">
        <v>117570</v>
      </c>
      <c r="B4162" s="7" t="s">
        <v>89</v>
      </c>
      <c r="C4162" s="41">
        <v>300</v>
      </c>
      <c r="D4162" s="6">
        <v>45662</v>
      </c>
      <c r="E4162" s="3" t="str">
        <f ca="1">IF(Tabela2[[#This Row],[Dt Venc:]]&gt;TODAY(),"Em Aberto",IF(Tabela2[[#This Row],[D/venc]]="-","Enviado",IF(Tabela2[[#This Row],[Dt Venc:]]=TODAY(),"Vence Hoje","Vencida")))</f>
        <v>Enviado</v>
      </c>
      <c r="F4162" s="3" t="str">
        <f ca="1">IF(G4162=1,"-",Tabela2[[#This Row],[Dt Venc:]]-TODAY())</f>
        <v>-</v>
      </c>
      <c r="G4162" s="3">
        <v>1</v>
      </c>
      <c r="H4162" s="3"/>
    </row>
    <row r="4163" spans="1:8" hidden="1">
      <c r="A4163" s="3">
        <v>432146</v>
      </c>
      <c r="B4163" s="7" t="s">
        <v>601</v>
      </c>
      <c r="C4163" s="41">
        <v>196.98</v>
      </c>
      <c r="D4163" s="6">
        <v>45662</v>
      </c>
      <c r="E4163" s="3" t="str">
        <f ca="1">IF(Tabela2[[#This Row],[Dt Venc:]]&gt;TODAY(),"Em Aberto",IF(Tabela2[[#This Row],[D/venc]]="-","Enviado",IF(Tabela2[[#This Row],[Dt Venc:]]=TODAY(),"Vence Hoje","Vencida")))</f>
        <v>Enviado</v>
      </c>
      <c r="F4163" s="3" t="str">
        <f ca="1">IF(G4163=1,"-",Tabela2[[#This Row],[Dt Venc:]]-TODAY())</f>
        <v>-</v>
      </c>
      <c r="G4163" s="3">
        <v>1</v>
      </c>
      <c r="H4163" s="3"/>
    </row>
    <row r="4164" spans="1:8" hidden="1">
      <c r="A4164" s="3" t="s">
        <v>123</v>
      </c>
      <c r="B4164" s="7" t="s">
        <v>503</v>
      </c>
      <c r="C4164" s="87" t="s">
        <v>32</v>
      </c>
      <c r="D4164" s="6">
        <v>45662</v>
      </c>
      <c r="E4164" s="3" t="str">
        <f ca="1">IF(Tabela2[[#This Row],[Dt Venc:]]&gt;TODAY(),"Em Aberto",IF(Tabela2[[#This Row],[D/venc]]="-","Enviado",IF(Tabela2[[#This Row],[Dt Venc:]]=TODAY(),"Vence Hoje","Vencida")))</f>
        <v>Enviado</v>
      </c>
      <c r="F4164" s="3" t="str">
        <f ca="1">IF(G4164=1,"-",Tabela2[[#This Row],[Dt Venc:]]-TODAY())</f>
        <v>-</v>
      </c>
      <c r="G4164" s="3">
        <v>1</v>
      </c>
      <c r="H4164" s="3"/>
    </row>
    <row r="4165" spans="1:8" hidden="1">
      <c r="A4165" s="3" t="s">
        <v>28</v>
      </c>
      <c r="B4165" s="7" t="s">
        <v>124</v>
      </c>
      <c r="C4165" s="84" t="s">
        <v>32</v>
      </c>
      <c r="D4165" s="6">
        <v>45662</v>
      </c>
      <c r="E4165" s="3" t="str">
        <f ca="1">IF(Tabela2[[#This Row],[Dt Venc:]]&gt;TODAY(),"Em Aberto",IF(Tabela2[[#This Row],[D/venc]]="-","Enviado",IF(Tabela2[[#This Row],[Dt Venc:]]=TODAY(),"Vence Hoje","Vencida")))</f>
        <v>Enviado</v>
      </c>
      <c r="F4165" s="3" t="str">
        <f ca="1">IF(G4165=1,"-",Tabela2[[#This Row],[Dt Venc:]]-TODAY())</f>
        <v>-</v>
      </c>
      <c r="G4165" s="3">
        <v>1</v>
      </c>
      <c r="H4165" s="3"/>
    </row>
    <row r="4166" spans="1:8" ht="37.5" hidden="1">
      <c r="A4166" s="3" t="s">
        <v>123</v>
      </c>
      <c r="B4166" s="7" t="s">
        <v>125</v>
      </c>
      <c r="C4166" s="85" t="s">
        <v>30</v>
      </c>
      <c r="D4166" s="6">
        <v>45662</v>
      </c>
      <c r="E4166" s="3" t="str">
        <f ca="1">IF(Tabela2[[#This Row],[Dt Venc:]]&gt;TODAY(),"Em Aberto",IF(Tabela2[[#This Row],[D/venc]]="-","Enviado",IF(Tabela2[[#This Row],[Dt Venc:]]=TODAY(),"Vence Hoje","Vencida")))</f>
        <v>Enviado</v>
      </c>
      <c r="F4166" s="3" t="str">
        <f ca="1">IF(G4166=1,"-",Tabela2[[#This Row],[Dt Venc:]]-TODAY())</f>
        <v>-</v>
      </c>
      <c r="G4166" s="3">
        <v>1</v>
      </c>
      <c r="H4166" s="3"/>
    </row>
    <row r="4167" spans="1:8" hidden="1">
      <c r="A4167" s="3">
        <v>54330</v>
      </c>
      <c r="B4167" s="7" t="s">
        <v>35</v>
      </c>
      <c r="C4167" s="41">
        <v>773.89</v>
      </c>
      <c r="D4167" s="6">
        <v>45663</v>
      </c>
      <c r="E4167" s="3" t="str">
        <f ca="1">IF(Tabela2[[#This Row],[Dt Venc:]]&gt;TODAY(),"Em Aberto",IF(Tabela2[[#This Row],[D/venc]]="-","Enviado",IF(Tabela2[[#This Row],[Dt Venc:]]=TODAY(),"Vence Hoje","Vencida")))</f>
        <v>Enviado</v>
      </c>
      <c r="F4167" s="3" t="str">
        <f ca="1">IF(G4167=1,"-",Tabela2[[#This Row],[Dt Venc:]]-TODAY())</f>
        <v>-</v>
      </c>
      <c r="G4167" s="3">
        <v>1</v>
      </c>
      <c r="H4167" s="3"/>
    </row>
    <row r="4168" spans="1:8" hidden="1">
      <c r="A4168" s="3">
        <v>2821</v>
      </c>
      <c r="B4168" s="7" t="s">
        <v>301</v>
      </c>
      <c r="C4168" s="41">
        <v>2440</v>
      </c>
      <c r="D4168" s="6">
        <v>45663</v>
      </c>
      <c r="E4168" s="3" t="str">
        <f ca="1">IF(Tabela2[[#This Row],[Dt Venc:]]&gt;TODAY(),"Em Aberto",IF(Tabela2[[#This Row],[D/venc]]="-","Enviado",IF(Tabela2[[#This Row],[Dt Venc:]]=TODAY(),"Vence Hoje","Vencida")))</f>
        <v>Enviado</v>
      </c>
      <c r="F4168" s="3" t="str">
        <f ca="1">IF(G4168=1,"-",Tabela2[[#This Row],[Dt Venc:]]-TODAY())</f>
        <v>-</v>
      </c>
      <c r="G4168" s="3">
        <v>1</v>
      </c>
      <c r="H4168" s="3"/>
    </row>
    <row r="4169" spans="1:8" hidden="1">
      <c r="A4169" s="3">
        <v>549</v>
      </c>
      <c r="B4169" s="7" t="s">
        <v>363</v>
      </c>
      <c r="C4169" s="41">
        <v>1133.33</v>
      </c>
      <c r="D4169" s="6">
        <v>45663</v>
      </c>
      <c r="E4169" s="3" t="str">
        <f ca="1">IF(Tabela2[[#This Row],[Dt Venc:]]&gt;TODAY(),"Em Aberto",IF(Tabela2[[#This Row],[D/venc]]="-","Enviado",IF(Tabela2[[#This Row],[Dt Venc:]]=TODAY(),"Vence Hoje","Vencida")))</f>
        <v>Enviado</v>
      </c>
      <c r="F4169" s="3" t="str">
        <f ca="1">IF(G4169=1,"-",Tabela2[[#This Row],[Dt Venc:]]-TODAY())</f>
        <v>-</v>
      </c>
      <c r="G4169" s="3">
        <v>1</v>
      </c>
      <c r="H4169" s="3"/>
    </row>
    <row r="4170" spans="1:8" hidden="1">
      <c r="A4170" s="3">
        <v>23633</v>
      </c>
      <c r="B4170" s="7" t="s">
        <v>38</v>
      </c>
      <c r="C4170" s="41">
        <v>1140</v>
      </c>
      <c r="D4170" s="6">
        <v>45663</v>
      </c>
      <c r="E4170" s="3" t="str">
        <f ca="1">IF(Tabela2[[#This Row],[Dt Venc:]]&gt;TODAY(),"Em Aberto",IF(Tabela2[[#This Row],[D/venc]]="-","Enviado",IF(Tabela2[[#This Row],[Dt Venc:]]=TODAY(),"Vence Hoje","Vencida")))</f>
        <v>Enviado</v>
      </c>
      <c r="F4170" s="3" t="str">
        <f ca="1">IF(G4170=1,"-",Tabela2[[#This Row],[Dt Venc:]]-TODAY())</f>
        <v>-</v>
      </c>
      <c r="G4170" s="3">
        <v>1</v>
      </c>
      <c r="H4170" s="3"/>
    </row>
    <row r="4171" spans="1:8" hidden="1">
      <c r="A4171" s="3">
        <v>372257</v>
      </c>
      <c r="B4171" s="7" t="s">
        <v>39</v>
      </c>
      <c r="C4171" s="41">
        <v>1343.1</v>
      </c>
      <c r="D4171" s="6">
        <v>45663</v>
      </c>
      <c r="E4171" s="3" t="str">
        <f ca="1">IF(Tabela2[[#This Row],[Dt Venc:]]&gt;TODAY(),"Em Aberto",IF(Tabela2[[#This Row],[D/venc]]="-","Enviado",IF(Tabela2[[#This Row],[Dt Venc:]]=TODAY(),"Vence Hoje","Vencida")))</f>
        <v>Enviado</v>
      </c>
      <c r="F4171" s="3" t="str">
        <f ca="1">IF(G4171=1,"-",Tabela2[[#This Row],[Dt Venc:]]-TODAY())</f>
        <v>-</v>
      </c>
      <c r="G4171" s="3">
        <v>1</v>
      </c>
      <c r="H4171" s="3"/>
    </row>
    <row r="4172" spans="1:8" hidden="1">
      <c r="A4172" s="3">
        <v>372166</v>
      </c>
      <c r="B4172" s="7" t="s">
        <v>39</v>
      </c>
      <c r="C4172" s="41">
        <v>609.72</v>
      </c>
      <c r="D4172" s="6">
        <v>45663</v>
      </c>
      <c r="E4172" s="3" t="str">
        <f ca="1">IF(Tabela2[[#This Row],[Dt Venc:]]&gt;TODAY(),"Em Aberto",IF(Tabela2[[#This Row],[D/venc]]="-","Enviado",IF(Tabela2[[#This Row],[Dt Venc:]]=TODAY(),"Vence Hoje","Vencida")))</f>
        <v>Enviado</v>
      </c>
      <c r="F4172" s="3" t="str">
        <f ca="1">IF(G4172=1,"-",Tabela2[[#This Row],[Dt Venc:]]-TODAY())</f>
        <v>-</v>
      </c>
      <c r="G4172" s="3">
        <v>1</v>
      </c>
      <c r="H4172" s="3"/>
    </row>
    <row r="4173" spans="1:8" hidden="1">
      <c r="A4173" s="3">
        <v>1655</v>
      </c>
      <c r="B4173" s="7" t="s">
        <v>78</v>
      </c>
      <c r="C4173" s="41">
        <v>407</v>
      </c>
      <c r="D4173" s="6">
        <v>45663</v>
      </c>
      <c r="E4173" s="3" t="str">
        <f ca="1">IF(Tabela2[[#This Row],[Dt Venc:]]&gt;TODAY(),"Em Aberto",IF(Tabela2[[#This Row],[D/venc]]="-","Enviado",IF(Tabela2[[#This Row],[Dt Venc:]]=TODAY(),"Vence Hoje","Vencida")))</f>
        <v>Enviado</v>
      </c>
      <c r="F4173" s="3" t="str">
        <f ca="1">IF(G4173=1,"-",Tabela2[[#This Row],[Dt Venc:]]-TODAY())</f>
        <v>-</v>
      </c>
      <c r="G4173" s="3">
        <v>1</v>
      </c>
      <c r="H4173" s="3"/>
    </row>
    <row r="4174" spans="1:8" hidden="1">
      <c r="A4174" s="3">
        <v>186495</v>
      </c>
      <c r="B4174" s="7" t="s">
        <v>172</v>
      </c>
      <c r="C4174" s="42">
        <v>3371.98</v>
      </c>
      <c r="D4174" s="6">
        <v>45663</v>
      </c>
      <c r="E4174" s="3" t="str">
        <f ca="1">IF(Tabela2[[#This Row],[Dt Venc:]]&gt;TODAY(),"Em Aberto",IF(Tabela2[[#This Row],[D/venc]]="-","Enviado",IF(Tabela2[[#This Row],[Dt Venc:]]=TODAY(),"Vence Hoje","Vencida")))</f>
        <v>Enviado</v>
      </c>
      <c r="F4174" s="3" t="str">
        <f ca="1">IF(G4174=1,"-",Tabela2[[#This Row],[Dt Venc:]]-TODAY())</f>
        <v>-</v>
      </c>
      <c r="G4174" s="3">
        <v>1</v>
      </c>
      <c r="H4174" s="3"/>
    </row>
    <row r="4175" spans="1:8" hidden="1">
      <c r="A4175" s="3">
        <v>612031</v>
      </c>
      <c r="B4175" s="7" t="s">
        <v>66</v>
      </c>
      <c r="C4175" s="41">
        <v>1306.8</v>
      </c>
      <c r="D4175" s="6">
        <v>45663</v>
      </c>
      <c r="E4175" s="3" t="str">
        <f ca="1">IF(Tabela2[[#This Row],[Dt Venc:]]&gt;TODAY(),"Em Aberto",IF(Tabela2[[#This Row],[D/venc]]="-","Enviado",IF(Tabela2[[#This Row],[Dt Venc:]]=TODAY(),"Vence Hoje","Vencida")))</f>
        <v>Enviado</v>
      </c>
      <c r="F4175" s="3" t="str">
        <f ca="1">IF(G4175=1,"-",Tabela2[[#This Row],[Dt Venc:]]-TODAY())</f>
        <v>-</v>
      </c>
      <c r="G4175" s="3">
        <v>1</v>
      </c>
      <c r="H4175" s="3"/>
    </row>
    <row r="4176" spans="1:8" hidden="1">
      <c r="A4176" s="3">
        <v>616214</v>
      </c>
      <c r="B4176" s="7" t="s">
        <v>66</v>
      </c>
      <c r="C4176" s="41">
        <v>750.42</v>
      </c>
      <c r="D4176" s="6">
        <v>45663</v>
      </c>
      <c r="E4176" s="3" t="str">
        <f ca="1">IF(Tabela2[[#This Row],[Dt Venc:]]&gt;TODAY(),"Em Aberto",IF(Tabela2[[#This Row],[D/venc]]="-","Enviado",IF(Tabela2[[#This Row],[Dt Venc:]]=TODAY(),"Vence Hoje","Vencida")))</f>
        <v>Enviado</v>
      </c>
      <c r="F4176" s="3" t="str">
        <f ca="1">IF(G4176=1,"-",Tabela2[[#This Row],[Dt Venc:]]-TODAY())</f>
        <v>-</v>
      </c>
      <c r="G4176" s="3">
        <v>1</v>
      </c>
      <c r="H4176" s="3"/>
    </row>
    <row r="4177" spans="1:8" hidden="1">
      <c r="A4177" s="3">
        <v>5362</v>
      </c>
      <c r="B4177" s="7" t="s">
        <v>134</v>
      </c>
      <c r="C4177" s="41">
        <v>750</v>
      </c>
      <c r="D4177" s="6">
        <v>45663</v>
      </c>
      <c r="E4177" s="3" t="str">
        <f ca="1">IF(Tabela2[[#This Row],[Dt Venc:]]&gt;TODAY(),"Em Aberto",IF(Tabela2[[#This Row],[D/venc]]="-","Enviado",IF(Tabela2[[#This Row],[Dt Venc:]]=TODAY(),"Vence Hoje","Vencida")))</f>
        <v>Enviado</v>
      </c>
      <c r="F4177" s="3" t="str">
        <f ca="1">IF(G4177=1,"-",Tabela2[[#This Row],[Dt Venc:]]-TODAY())</f>
        <v>-</v>
      </c>
      <c r="G4177" s="3">
        <v>1</v>
      </c>
      <c r="H4177" s="3"/>
    </row>
    <row r="4178" spans="1:8" hidden="1">
      <c r="A4178" s="3">
        <v>233380</v>
      </c>
      <c r="B4178" s="7" t="s">
        <v>40</v>
      </c>
      <c r="C4178" s="41">
        <v>900</v>
      </c>
      <c r="D4178" s="6">
        <v>45663</v>
      </c>
      <c r="E4178" s="3" t="str">
        <f ca="1">IF(Tabela2[[#This Row],[Dt Venc:]]&gt;TODAY(),"Em Aberto",IF(Tabela2[[#This Row],[D/venc]]="-","Enviado",IF(Tabela2[[#This Row],[Dt Venc:]]=TODAY(),"Vence Hoje","Vencida")))</f>
        <v>Enviado</v>
      </c>
      <c r="F4178" s="3" t="str">
        <f ca="1">IF(G4178=1,"-",Tabela2[[#This Row],[Dt Venc:]]-TODAY())</f>
        <v>-</v>
      </c>
      <c r="G4178" s="3">
        <v>1</v>
      </c>
      <c r="H4178" s="3"/>
    </row>
    <row r="4179" spans="1:8" hidden="1">
      <c r="A4179" s="3">
        <v>71619</v>
      </c>
      <c r="B4179" s="7" t="s">
        <v>76</v>
      </c>
      <c r="C4179" s="42">
        <v>1728.17</v>
      </c>
      <c r="D4179" s="6">
        <v>45663</v>
      </c>
      <c r="E4179" s="3" t="str">
        <f ca="1">IF(Tabela2[[#This Row],[Dt Venc:]]&gt;TODAY(),"Em Aberto",IF(Tabela2[[#This Row],[D/venc]]="-","Enviado",IF(Tabela2[[#This Row],[Dt Venc:]]=TODAY(),"Vence Hoje","Vencida")))</f>
        <v>Enviado</v>
      </c>
      <c r="F4179" s="3" t="str">
        <f ca="1">IF(G4179=1,"-",Tabela2[[#This Row],[Dt Venc:]]-TODAY())</f>
        <v>-</v>
      </c>
      <c r="G4179" s="3">
        <v>1</v>
      </c>
      <c r="H4179" s="3"/>
    </row>
    <row r="4180" spans="1:8" hidden="1">
      <c r="A4180" s="3">
        <v>71673</v>
      </c>
      <c r="B4180" s="7" t="s">
        <v>76</v>
      </c>
      <c r="C4180" s="42">
        <v>357.9</v>
      </c>
      <c r="D4180" s="6">
        <v>45663</v>
      </c>
      <c r="E4180" s="3" t="str">
        <f ca="1">IF(Tabela2[[#This Row],[Dt Venc:]]&gt;TODAY(),"Em Aberto",IF(Tabela2[[#This Row],[D/venc]]="-","Enviado",IF(Tabela2[[#This Row],[Dt Venc:]]=TODAY(),"Vence Hoje","Vencida")))</f>
        <v>Enviado</v>
      </c>
      <c r="F4180" s="3" t="str">
        <f ca="1">IF(G4180=1,"-",Tabela2[[#This Row],[Dt Venc:]]-TODAY())</f>
        <v>-</v>
      </c>
      <c r="G4180" s="3">
        <v>1</v>
      </c>
      <c r="H4180" s="3"/>
    </row>
    <row r="4181" spans="1:8" hidden="1">
      <c r="A4181" s="3">
        <v>3109</v>
      </c>
      <c r="B4181" s="7" t="s">
        <v>518</v>
      </c>
      <c r="C4181" s="41">
        <v>386.34</v>
      </c>
      <c r="D4181" s="6">
        <v>45663</v>
      </c>
      <c r="E4181" s="3" t="str">
        <f ca="1">IF(Tabela2[[#This Row],[Dt Venc:]]&gt;TODAY(),"Em Aberto",IF(Tabela2[[#This Row],[D/venc]]="-","Enviado",IF(Tabela2[[#This Row],[Dt Venc:]]=TODAY(),"Vence Hoje","Vencida")))</f>
        <v>Enviado</v>
      </c>
      <c r="F4181" s="3" t="str">
        <f ca="1">IF(G4181=1,"-",Tabela2[[#This Row],[Dt Venc:]]-TODAY())</f>
        <v>-</v>
      </c>
      <c r="G4181" s="3">
        <v>1</v>
      </c>
      <c r="H4181" s="3"/>
    </row>
    <row r="4182" spans="1:8" hidden="1">
      <c r="A4182" s="3">
        <v>232210</v>
      </c>
      <c r="B4182" s="7" t="s">
        <v>43</v>
      </c>
      <c r="C4182" s="42">
        <v>1343.1</v>
      </c>
      <c r="D4182" s="6">
        <v>45663</v>
      </c>
      <c r="E4182" s="3" t="str">
        <f ca="1">IF(Tabela2[[#This Row],[Dt Venc:]]&gt;TODAY(),"Em Aberto",IF(Tabela2[[#This Row],[D/venc]]="-","Enviado",IF(Tabela2[[#This Row],[Dt Venc:]]=TODAY(),"Vence Hoje","Vencida")))</f>
        <v>Enviado</v>
      </c>
      <c r="F4182" s="3" t="str">
        <f ca="1">IF(G4182=1,"-",Tabela2[[#This Row],[Dt Venc:]]-TODAY())</f>
        <v>-</v>
      </c>
      <c r="G4182" s="3">
        <v>1</v>
      </c>
      <c r="H4182" s="3"/>
    </row>
    <row r="4183" spans="1:8" hidden="1">
      <c r="A4183" s="3">
        <v>239350</v>
      </c>
      <c r="B4183" s="7" t="s">
        <v>43</v>
      </c>
      <c r="C4183" s="42">
        <v>1249.54</v>
      </c>
      <c r="D4183" s="6">
        <v>45663</v>
      </c>
      <c r="E4183" s="3" t="str">
        <f ca="1">IF(Tabela2[[#This Row],[Dt Venc:]]&gt;TODAY(),"Em Aberto",IF(Tabela2[[#This Row],[D/venc]]="-","Enviado",IF(Tabela2[[#This Row],[Dt Venc:]]=TODAY(),"Vence Hoje","Vencida")))</f>
        <v>Enviado</v>
      </c>
      <c r="F4183" s="3" t="str">
        <f ca="1">IF(G4183=1,"-",Tabela2[[#This Row],[Dt Venc:]]-TODAY())</f>
        <v>-</v>
      </c>
      <c r="G4183" s="3">
        <v>1</v>
      </c>
      <c r="H4183" s="3"/>
    </row>
    <row r="4184" spans="1:8" hidden="1">
      <c r="A4184" s="3">
        <v>239660</v>
      </c>
      <c r="B4184" s="7" t="s">
        <v>43</v>
      </c>
      <c r="C4184" s="41">
        <v>3227.85</v>
      </c>
      <c r="D4184" s="6">
        <v>45663</v>
      </c>
      <c r="E4184" s="3" t="str">
        <f ca="1">IF(Tabela2[[#This Row],[Dt Venc:]]&gt;TODAY(),"Em Aberto",IF(Tabela2[[#This Row],[D/venc]]="-","Enviado",IF(Tabela2[[#This Row],[Dt Venc:]]=TODAY(),"Vence Hoje","Vencida")))</f>
        <v>Enviado</v>
      </c>
      <c r="F4184" s="3" t="str">
        <f ca="1">IF(G4184=1,"-",Tabela2[[#This Row],[Dt Venc:]]-TODAY())</f>
        <v>-</v>
      </c>
      <c r="G4184" s="3">
        <v>1</v>
      </c>
      <c r="H4184" s="3"/>
    </row>
    <row r="4185" spans="1:8" hidden="1">
      <c r="A4185" s="3">
        <v>1412616</v>
      </c>
      <c r="B4185" s="7" t="s">
        <v>151</v>
      </c>
      <c r="C4185" s="41">
        <v>504.32</v>
      </c>
      <c r="D4185" s="6">
        <v>45663</v>
      </c>
      <c r="E4185" s="3" t="str">
        <f ca="1">IF(Tabela2[[#This Row],[Dt Venc:]]&gt;TODAY(),"Em Aberto",IF(Tabela2[[#This Row],[D/venc]]="-","Enviado",IF(Tabela2[[#This Row],[Dt Venc:]]=TODAY(),"Vence Hoje","Vencida")))</f>
        <v>Enviado</v>
      </c>
      <c r="F4185" s="3" t="str">
        <f ca="1">IF(G4185=1,"-",Tabela2[[#This Row],[Dt Venc:]]-TODAY())</f>
        <v>-</v>
      </c>
      <c r="G4185" s="3">
        <v>1</v>
      </c>
      <c r="H4185" s="3"/>
    </row>
    <row r="4186" spans="1:8" hidden="1">
      <c r="A4186" s="3">
        <v>704646</v>
      </c>
      <c r="B4186" s="7" t="s">
        <v>79</v>
      </c>
      <c r="C4186" s="41">
        <v>1378.47</v>
      </c>
      <c r="D4186" s="6">
        <v>45663</v>
      </c>
      <c r="E4186" s="3" t="str">
        <f ca="1">IF(Tabela2[[#This Row],[Dt Venc:]]&gt;TODAY(),"Em Aberto",IF(Tabela2[[#This Row],[D/venc]]="-","Enviado",IF(Tabela2[[#This Row],[Dt Venc:]]=TODAY(),"Vence Hoje","Vencida")))</f>
        <v>Enviado</v>
      </c>
      <c r="F4186" s="3" t="str">
        <f ca="1">IF(G4186=1,"-",Tabela2[[#This Row],[Dt Venc:]]-TODAY())</f>
        <v>-</v>
      </c>
      <c r="G4186" s="3">
        <v>1</v>
      </c>
      <c r="H4186" s="3"/>
    </row>
    <row r="4187" spans="1:8" hidden="1">
      <c r="A4187" s="3">
        <v>19297</v>
      </c>
      <c r="B4187" s="7" t="s">
        <v>367</v>
      </c>
      <c r="C4187" s="41">
        <v>1660</v>
      </c>
      <c r="D4187" s="6">
        <v>45663</v>
      </c>
      <c r="E4187" s="3" t="str">
        <f ca="1">IF(Tabela2[[#This Row],[Dt Venc:]]&gt;TODAY(),"Em Aberto",IF(Tabela2[[#This Row],[D/venc]]="-","Enviado",IF(Tabela2[[#This Row],[Dt Venc:]]=TODAY(),"Vence Hoje","Vencida")))</f>
        <v>Enviado</v>
      </c>
      <c r="F4187" s="3" t="str">
        <f ca="1">IF(G4187=1,"-",Tabela2[[#This Row],[Dt Venc:]]-TODAY())</f>
        <v>-</v>
      </c>
      <c r="G4187" s="3">
        <v>1</v>
      </c>
      <c r="H4187" s="3"/>
    </row>
    <row r="4188" spans="1:8" hidden="1">
      <c r="A4188" s="3">
        <v>23309</v>
      </c>
      <c r="B4188" s="7" t="s">
        <v>510</v>
      </c>
      <c r="C4188" s="41">
        <v>1047.67</v>
      </c>
      <c r="D4188" s="6">
        <v>45663</v>
      </c>
      <c r="E4188" s="3" t="str">
        <f ca="1">IF(Tabela2[[#This Row],[Dt Venc:]]&gt;TODAY(),"Em Aberto",IF(Tabela2[[#This Row],[D/venc]]="-","Enviado",IF(Tabela2[[#This Row],[Dt Venc:]]=TODAY(),"Vence Hoje","Vencida")))</f>
        <v>Enviado</v>
      </c>
      <c r="F4188" s="3" t="str">
        <f ca="1">IF(G4188=1,"-",Tabela2[[#This Row],[Dt Venc:]]-TODAY())</f>
        <v>-</v>
      </c>
      <c r="G4188" s="3">
        <v>1</v>
      </c>
      <c r="H4188" s="3"/>
    </row>
    <row r="4189" spans="1:8" hidden="1">
      <c r="A4189" s="3">
        <v>204369</v>
      </c>
      <c r="B4189" s="7" t="s">
        <v>200</v>
      </c>
      <c r="C4189" s="41">
        <v>917.63</v>
      </c>
      <c r="D4189" s="6">
        <v>45663</v>
      </c>
      <c r="E4189" s="3" t="str">
        <f ca="1">IF(Tabela2[[#This Row],[Dt Venc:]]&gt;TODAY(),"Em Aberto",IF(Tabela2[[#This Row],[D/venc]]="-","Enviado",IF(Tabela2[[#This Row],[Dt Venc:]]=TODAY(),"Vence Hoje","Vencida")))</f>
        <v>Enviado</v>
      </c>
      <c r="F4189" s="3" t="str">
        <f ca="1">IF(G4189=1,"-",Tabela2[[#This Row],[Dt Venc:]]-TODAY())</f>
        <v>-</v>
      </c>
      <c r="G4189" s="3">
        <v>1</v>
      </c>
      <c r="H4189" s="3"/>
    </row>
    <row r="4190" spans="1:8" hidden="1">
      <c r="A4190" s="3">
        <v>11886</v>
      </c>
      <c r="B4190" s="7" t="s">
        <v>434</v>
      </c>
      <c r="C4190" s="41">
        <v>760</v>
      </c>
      <c r="D4190" s="6">
        <v>45663</v>
      </c>
      <c r="E4190" s="3" t="str">
        <f ca="1">IF(Tabela2[[#This Row],[Dt Venc:]]&gt;TODAY(),"Em Aberto",IF(Tabela2[[#This Row],[D/venc]]="-","Enviado",IF(Tabela2[[#This Row],[Dt Venc:]]=TODAY(),"Vence Hoje","Vencida")))</f>
        <v>Enviado</v>
      </c>
      <c r="F4190" s="3" t="str">
        <f ca="1">IF(G4190=1,"-",Tabela2[[#This Row],[Dt Venc:]]-TODAY())</f>
        <v>-</v>
      </c>
      <c r="G4190" s="3">
        <v>1</v>
      </c>
      <c r="H4190" s="3"/>
    </row>
    <row r="4191" spans="1:8" hidden="1">
      <c r="A4191" s="3">
        <v>258006</v>
      </c>
      <c r="B4191" s="7" t="s">
        <v>49</v>
      </c>
      <c r="C4191" s="41">
        <v>1716.66</v>
      </c>
      <c r="D4191" s="6">
        <v>45663</v>
      </c>
      <c r="E4191" s="3" t="str">
        <f ca="1">IF(Tabela2[[#This Row],[Dt Venc:]]&gt;TODAY(),"Em Aberto",IF(Tabela2[[#This Row],[D/venc]]="-","Enviado",IF(Tabela2[[#This Row],[Dt Venc:]]=TODAY(),"Vence Hoje","Vencida")))</f>
        <v>Enviado</v>
      </c>
      <c r="F4191" s="3" t="str">
        <f ca="1">IF(G4191=1,"-",Tabela2[[#This Row],[Dt Venc:]]-TODAY())</f>
        <v>-</v>
      </c>
      <c r="G4191" s="3">
        <v>1</v>
      </c>
      <c r="H4191" s="3"/>
    </row>
    <row r="4192" spans="1:8" hidden="1">
      <c r="A4192" s="3">
        <v>30840</v>
      </c>
      <c r="B4192" s="7" t="s">
        <v>97</v>
      </c>
      <c r="C4192" s="41">
        <v>2285</v>
      </c>
      <c r="D4192" s="6">
        <v>45663</v>
      </c>
      <c r="E4192" s="3" t="str">
        <f ca="1">IF(Tabela2[[#This Row],[Dt Venc:]]&gt;TODAY(),"Em Aberto",IF(Tabela2[[#This Row],[D/venc]]="-","Enviado",IF(Tabela2[[#This Row],[Dt Venc:]]=TODAY(),"Vence Hoje","Vencida")))</f>
        <v>Enviado</v>
      </c>
      <c r="F4192" s="3" t="str">
        <f ca="1">IF(G4192=1,"-",Tabela2[[#This Row],[Dt Venc:]]-TODAY())</f>
        <v>-</v>
      </c>
      <c r="G4192" s="3">
        <v>1</v>
      </c>
      <c r="H4192" s="3"/>
    </row>
    <row r="4193" spans="1:8" hidden="1">
      <c r="A4193" s="3">
        <v>1769</v>
      </c>
      <c r="B4193" s="7" t="s">
        <v>135</v>
      </c>
      <c r="C4193" s="41">
        <v>11829.42</v>
      </c>
      <c r="D4193" s="6">
        <v>45663</v>
      </c>
      <c r="E4193" s="3" t="str">
        <f ca="1">IF(Tabela2[[#This Row],[Dt Venc:]]&gt;TODAY(),"Em Aberto",IF(Tabela2[[#This Row],[D/venc]]="-","Enviado",IF(Tabela2[[#This Row],[Dt Venc:]]=TODAY(),"Vence Hoje","Vencida")))</f>
        <v>Enviado</v>
      </c>
      <c r="F4193" s="3" t="str">
        <f ca="1">IF(G4193=1,"-",Tabela2[[#This Row],[Dt Venc:]]-TODAY())</f>
        <v>-</v>
      </c>
      <c r="G4193" s="3">
        <v>1</v>
      </c>
      <c r="H4193" s="3"/>
    </row>
    <row r="4194" spans="1:8" hidden="1">
      <c r="A4194" s="3">
        <v>137476</v>
      </c>
      <c r="B4194" s="7" t="s">
        <v>197</v>
      </c>
      <c r="C4194" s="41">
        <v>475.5</v>
      </c>
      <c r="D4194" s="6">
        <v>45663</v>
      </c>
      <c r="E4194" s="3" t="str">
        <f ca="1">IF(Tabela2[[#This Row],[Dt Venc:]]&gt;TODAY(),"Em Aberto",IF(Tabela2[[#This Row],[D/venc]]="-","Enviado",IF(Tabela2[[#This Row],[Dt Venc:]]=TODAY(),"Vence Hoje","Vencida")))</f>
        <v>Enviado</v>
      </c>
      <c r="F4194" s="3" t="str">
        <f ca="1">IF(G4194=1,"-",Tabela2[[#This Row],[Dt Venc:]]-TODAY())</f>
        <v>-</v>
      </c>
      <c r="G4194" s="3">
        <v>1</v>
      </c>
      <c r="H4194" s="3"/>
    </row>
    <row r="4195" spans="1:8" hidden="1">
      <c r="A4195" s="3">
        <v>374354</v>
      </c>
      <c r="B4195" s="7" t="s">
        <v>39</v>
      </c>
      <c r="C4195" s="41">
        <v>257.99</v>
      </c>
      <c r="D4195" s="6">
        <v>45663</v>
      </c>
      <c r="E4195" s="3" t="str">
        <f ca="1">IF(Tabela2[[#This Row],[Dt Venc:]]&gt;TODAY(),"Em Aberto",IF(Tabela2[[#This Row],[D/venc]]="-","Enviado",IF(Tabela2[[#This Row],[Dt Venc:]]=TODAY(),"Vence Hoje","Vencida")))</f>
        <v>Enviado</v>
      </c>
      <c r="F4195" s="3" t="str">
        <f ca="1">IF(G4195=1,"-",Tabela2[[#This Row],[Dt Venc:]]-TODAY())</f>
        <v>-</v>
      </c>
      <c r="G4195" s="3">
        <v>1</v>
      </c>
      <c r="H4195" s="3"/>
    </row>
    <row r="4196" spans="1:8" hidden="1">
      <c r="A4196" s="3">
        <v>1153</v>
      </c>
      <c r="B4196" s="7" t="s">
        <v>155</v>
      </c>
      <c r="C4196" s="41">
        <v>12950</v>
      </c>
      <c r="D4196" s="6">
        <v>45663</v>
      </c>
      <c r="E4196" s="3" t="str">
        <f ca="1">IF(Tabela2[[#This Row],[Dt Venc:]]&gt;TODAY(),"Em Aberto",IF(Tabela2[[#This Row],[D/venc]]="-","Enviado",IF(Tabela2[[#This Row],[Dt Venc:]]=TODAY(),"Vence Hoje","Vencida")))</f>
        <v>Enviado</v>
      </c>
      <c r="F4196" s="3" t="str">
        <f ca="1">IF(G4196=1,"-",Tabela2[[#This Row],[Dt Venc:]]-TODAY())</f>
        <v>-</v>
      </c>
      <c r="G4196" s="3">
        <v>1</v>
      </c>
      <c r="H4196" s="3"/>
    </row>
    <row r="4197" spans="1:8" hidden="1">
      <c r="A4197" s="3">
        <v>1096097</v>
      </c>
      <c r="B4197" s="7" t="s">
        <v>141</v>
      </c>
      <c r="C4197" s="41">
        <v>1785.88</v>
      </c>
      <c r="D4197" s="6">
        <v>45663</v>
      </c>
      <c r="E4197" s="3" t="str">
        <f ca="1">IF(Tabela2[[#This Row],[Dt Venc:]]&gt;TODAY(),"Em Aberto",IF(Tabela2[[#This Row],[D/venc]]="-","Enviado",IF(Tabela2[[#This Row],[Dt Venc:]]=TODAY(),"Vence Hoje","Vencida")))</f>
        <v>Enviado</v>
      </c>
      <c r="F4197" s="3" t="str">
        <f ca="1">IF(G4197=1,"-",Tabela2[[#This Row],[Dt Venc:]]-TODAY())</f>
        <v>-</v>
      </c>
      <c r="G4197" s="3">
        <v>1</v>
      </c>
      <c r="H4197" s="3"/>
    </row>
    <row r="4198" spans="1:8" hidden="1">
      <c r="A4198" s="3">
        <v>1096095</v>
      </c>
      <c r="B4198" s="7" t="s">
        <v>141</v>
      </c>
      <c r="C4198" s="41">
        <v>1602.15</v>
      </c>
      <c r="D4198" s="6">
        <v>45663</v>
      </c>
      <c r="E4198" s="3" t="str">
        <f ca="1">IF(Tabela2[[#This Row],[Dt Venc:]]&gt;TODAY(),"Em Aberto",IF(Tabela2[[#This Row],[D/venc]]="-","Enviado",IF(Tabela2[[#This Row],[Dt Venc:]]=TODAY(),"Vence Hoje","Vencida")))</f>
        <v>Enviado</v>
      </c>
      <c r="F4198" s="3" t="str">
        <f ca="1">IF(G4198=1,"-",Tabela2[[#This Row],[Dt Venc:]]-TODAY())</f>
        <v>-</v>
      </c>
      <c r="G4198" s="3">
        <v>1</v>
      </c>
      <c r="H4198" s="3"/>
    </row>
    <row r="4199" spans="1:8" hidden="1">
      <c r="A4199" s="3">
        <v>1096090</v>
      </c>
      <c r="B4199" s="7" t="s">
        <v>141</v>
      </c>
      <c r="C4199" s="41">
        <v>1701.9</v>
      </c>
      <c r="D4199" s="6">
        <v>45663</v>
      </c>
      <c r="E4199" s="3" t="str">
        <f ca="1">IF(Tabela2[[#This Row],[Dt Venc:]]&gt;TODAY(),"Em Aberto",IF(Tabela2[[#This Row],[D/venc]]="-","Enviado",IF(Tabela2[[#This Row],[Dt Venc:]]=TODAY(),"Vence Hoje","Vencida")))</f>
        <v>Enviado</v>
      </c>
      <c r="F4199" s="3" t="str">
        <f ca="1">IF(G4199=1,"-",Tabela2[[#This Row],[Dt Venc:]]-TODAY())</f>
        <v>-</v>
      </c>
      <c r="G4199" s="3">
        <v>1</v>
      </c>
      <c r="H4199" s="3"/>
    </row>
    <row r="4200" spans="1:8" hidden="1">
      <c r="A4200" s="3">
        <v>1096092</v>
      </c>
      <c r="B4200" s="7" t="s">
        <v>141</v>
      </c>
      <c r="C4200" s="41">
        <v>1645.31</v>
      </c>
      <c r="D4200" s="6">
        <v>45663</v>
      </c>
      <c r="E4200" s="3" t="str">
        <f ca="1">IF(Tabela2[[#This Row],[Dt Venc:]]&gt;TODAY(),"Em Aberto",IF(Tabela2[[#This Row],[D/venc]]="-","Enviado",IF(Tabela2[[#This Row],[Dt Venc:]]=TODAY(),"Vence Hoje","Vencida")))</f>
        <v>Enviado</v>
      </c>
      <c r="F4200" s="3" t="str">
        <f ca="1">IF(G4200=1,"-",Tabela2[[#This Row],[Dt Venc:]]-TODAY())</f>
        <v>-</v>
      </c>
      <c r="G4200" s="3">
        <v>1</v>
      </c>
      <c r="H4200" s="3"/>
    </row>
    <row r="4201" spans="1:8" hidden="1">
      <c r="A4201" s="3">
        <v>8335</v>
      </c>
      <c r="B4201" s="7" t="s">
        <v>242</v>
      </c>
      <c r="C4201" s="41">
        <v>137.9</v>
      </c>
      <c r="D4201" s="6">
        <v>45663</v>
      </c>
      <c r="E4201" s="3" t="str">
        <f ca="1">IF(Tabela2[[#This Row],[Dt Venc:]]&gt;TODAY(),"Em Aberto",IF(Tabela2[[#This Row],[D/venc]]="-","Enviado",IF(Tabela2[[#This Row],[Dt Venc:]]=TODAY(),"Vence Hoje","Vencida")))</f>
        <v>Enviado</v>
      </c>
      <c r="F4201" s="3" t="str">
        <f ca="1">IF(G4201=1,"-",Tabela2[[#This Row],[Dt Venc:]]-TODAY())</f>
        <v>-</v>
      </c>
      <c r="G4201" s="3">
        <v>1</v>
      </c>
      <c r="H4201" s="3"/>
    </row>
    <row r="4202" spans="1:8" hidden="1">
      <c r="A4202" s="3">
        <v>5441</v>
      </c>
      <c r="B4202" s="7" t="s">
        <v>349</v>
      </c>
      <c r="C4202" s="41">
        <v>1462.41</v>
      </c>
      <c r="D4202" s="6">
        <v>45663</v>
      </c>
      <c r="E4202" s="3" t="str">
        <f ca="1">IF(Tabela2[[#This Row],[Dt Venc:]]&gt;TODAY(),"Em Aberto",IF(Tabela2[[#This Row],[D/venc]]="-","Enviado",IF(Tabela2[[#This Row],[Dt Venc:]]=TODAY(),"Vence Hoje","Vencida")))</f>
        <v>Enviado</v>
      </c>
      <c r="F4202" s="3" t="str">
        <f ca="1">IF(G4202=1,"-",Tabela2[[#This Row],[Dt Venc:]]-TODAY())</f>
        <v>-</v>
      </c>
      <c r="G4202" s="3">
        <v>1</v>
      </c>
      <c r="H4202" s="3"/>
    </row>
    <row r="4203" spans="1:8" hidden="1">
      <c r="A4203" s="3">
        <v>12513</v>
      </c>
      <c r="B4203" s="7" t="s">
        <v>211</v>
      </c>
      <c r="C4203" s="41">
        <v>790</v>
      </c>
      <c r="D4203" s="6">
        <v>45663</v>
      </c>
      <c r="E4203" s="3" t="str">
        <f ca="1">IF(Tabela2[[#This Row],[Dt Venc:]]&gt;TODAY(),"Em Aberto",IF(Tabela2[[#This Row],[D/venc]]="-","Enviado",IF(Tabela2[[#This Row],[Dt Venc:]]=TODAY(),"Vence Hoje","Vencida")))</f>
        <v>Enviado</v>
      </c>
      <c r="F4203" s="3" t="str">
        <f ca="1">IF(G4203=1,"-",Tabela2[[#This Row],[Dt Venc:]]-TODAY())</f>
        <v>-</v>
      </c>
      <c r="G4203" s="3">
        <v>1</v>
      </c>
      <c r="H4203" s="3"/>
    </row>
    <row r="4204" spans="1:8" hidden="1">
      <c r="A4204" s="3">
        <v>1780</v>
      </c>
      <c r="B4204" s="7" t="s">
        <v>135</v>
      </c>
      <c r="C4204" s="41">
        <v>685</v>
      </c>
      <c r="D4204" s="6">
        <v>45663</v>
      </c>
      <c r="E4204" s="3" t="str">
        <f ca="1">IF(Tabela2[[#This Row],[Dt Venc:]]&gt;TODAY(),"Em Aberto",IF(Tabela2[[#This Row],[D/venc]]="-","Enviado",IF(Tabela2[[#This Row],[Dt Venc:]]=TODAY(),"Vence Hoje","Vencida")))</f>
        <v>Enviado</v>
      </c>
      <c r="F4204" s="3" t="str">
        <f ca="1">IF(G4204=1,"-",Tabela2[[#This Row],[Dt Venc:]]-TODAY())</f>
        <v>-</v>
      </c>
      <c r="G4204" s="3">
        <v>1</v>
      </c>
      <c r="H4204" s="3"/>
    </row>
    <row r="4205" spans="1:8" hidden="1">
      <c r="A4205" s="3">
        <v>13849</v>
      </c>
      <c r="B4205" s="7" t="s">
        <v>602</v>
      </c>
      <c r="C4205" s="41">
        <v>112.56</v>
      </c>
      <c r="D4205" s="6">
        <v>45663</v>
      </c>
      <c r="E4205" s="3" t="str">
        <f ca="1">IF(Tabela2[[#This Row],[Dt Venc:]]&gt;TODAY(),"Em Aberto",IF(Tabela2[[#This Row],[D/venc]]="-","Enviado",IF(Tabela2[[#This Row],[Dt Venc:]]=TODAY(),"Vence Hoje","Vencida")))</f>
        <v>Enviado</v>
      </c>
      <c r="F4205" s="3" t="str">
        <f ca="1">IF(G4205=1,"-",Tabela2[[#This Row],[Dt Venc:]]-TODAY())</f>
        <v>-</v>
      </c>
      <c r="G4205" s="3">
        <v>1</v>
      </c>
      <c r="H4205" s="3"/>
    </row>
    <row r="4206" spans="1:8" hidden="1">
      <c r="A4206" s="3">
        <v>54298</v>
      </c>
      <c r="B4206" s="7" t="s">
        <v>602</v>
      </c>
      <c r="C4206" s="41">
        <v>1513.33</v>
      </c>
      <c r="D4206" s="6">
        <v>45663</v>
      </c>
      <c r="E4206" s="3" t="str">
        <f ca="1">IF(Tabela2[[#This Row],[Dt Venc:]]&gt;TODAY(),"Em Aberto",IF(Tabela2[[#This Row],[D/venc]]="-","Enviado",IF(Tabela2[[#This Row],[Dt Venc:]]=TODAY(),"Vence Hoje","Vencida")))</f>
        <v>Enviado</v>
      </c>
      <c r="F4206" s="3" t="str">
        <f ca="1">IF(G4206=1,"-",Tabela2[[#This Row],[Dt Venc:]]-TODAY())</f>
        <v>-</v>
      </c>
      <c r="G4206" s="3">
        <v>1</v>
      </c>
      <c r="H4206" s="3"/>
    </row>
    <row r="4207" spans="1:8" hidden="1">
      <c r="A4207" s="3">
        <v>54332</v>
      </c>
      <c r="B4207" s="7" t="s">
        <v>602</v>
      </c>
      <c r="C4207" s="41">
        <v>661.04</v>
      </c>
      <c r="D4207" s="6">
        <v>45663</v>
      </c>
      <c r="E4207" s="3" t="str">
        <f ca="1">IF(Tabela2[[#This Row],[Dt Venc:]]&gt;TODAY(),"Em Aberto",IF(Tabela2[[#This Row],[D/venc]]="-","Enviado",IF(Tabela2[[#This Row],[Dt Venc:]]=TODAY(),"Vence Hoje","Vencida")))</f>
        <v>Enviado</v>
      </c>
      <c r="F4207" s="3" t="str">
        <f ca="1">IF(G4207=1,"-",Tabela2[[#This Row],[Dt Venc:]]-TODAY())</f>
        <v>-</v>
      </c>
      <c r="G4207" s="3">
        <v>1</v>
      </c>
      <c r="H4207" s="3"/>
    </row>
    <row r="4208" spans="1:8" hidden="1">
      <c r="A4208" s="3">
        <v>15358</v>
      </c>
      <c r="B4208" s="7" t="s">
        <v>99</v>
      </c>
      <c r="C4208" s="41">
        <v>425</v>
      </c>
      <c r="D4208" s="6">
        <v>45663</v>
      </c>
      <c r="E4208" s="3" t="str">
        <f ca="1">IF(Tabela2[[#This Row],[Dt Venc:]]&gt;TODAY(),"Em Aberto",IF(Tabela2[[#This Row],[D/venc]]="-","Enviado",IF(Tabela2[[#This Row],[Dt Venc:]]=TODAY(),"Vence Hoje","Vencida")))</f>
        <v>Enviado</v>
      </c>
      <c r="F4208" s="3" t="str">
        <f ca="1">IF(G4208=1,"-",Tabela2[[#This Row],[Dt Venc:]]-TODAY())</f>
        <v>-</v>
      </c>
      <c r="G4208" s="3">
        <v>1</v>
      </c>
      <c r="H4208" s="3"/>
    </row>
    <row r="4209" spans="1:8" hidden="1">
      <c r="A4209" s="3">
        <v>374511</v>
      </c>
      <c r="B4209" s="7" t="s">
        <v>39</v>
      </c>
      <c r="C4209" s="41">
        <v>503.44</v>
      </c>
      <c r="D4209" s="6">
        <v>45663</v>
      </c>
      <c r="E4209" s="3" t="str">
        <f ca="1">IF(Tabela2[[#This Row],[Dt Venc:]]&gt;TODAY(),"Em Aberto",IF(Tabela2[[#This Row],[D/venc]]="-","Enviado",IF(Tabela2[[#This Row],[Dt Venc:]]=TODAY(),"Vence Hoje","Vencida")))</f>
        <v>Enviado</v>
      </c>
      <c r="F4209" s="3" t="str">
        <f ca="1">IF(G4209=1,"-",Tabela2[[#This Row],[Dt Venc:]]-TODAY())</f>
        <v>-</v>
      </c>
      <c r="G4209" s="3">
        <v>1</v>
      </c>
      <c r="H4209" s="3"/>
    </row>
    <row r="4210" spans="1:8" hidden="1">
      <c r="A4210" s="3">
        <v>19767</v>
      </c>
      <c r="B4210" s="7" t="s">
        <v>367</v>
      </c>
      <c r="C4210" s="41">
        <v>830</v>
      </c>
      <c r="D4210" s="6">
        <v>45663</v>
      </c>
      <c r="E4210" s="3" t="str">
        <f ca="1">IF(Tabela2[[#This Row],[Dt Venc:]]&gt;TODAY(),"Em Aberto",IF(Tabela2[[#This Row],[D/venc]]="-","Enviado",IF(Tabela2[[#This Row],[Dt Venc:]]=TODAY(),"Vence Hoje","Vencida")))</f>
        <v>Enviado</v>
      </c>
      <c r="F4210" s="3" t="str">
        <f ca="1">IF(G4210=1,"-",Tabela2[[#This Row],[Dt Venc:]]-TODAY())</f>
        <v>-</v>
      </c>
      <c r="G4210" s="3">
        <v>1</v>
      </c>
      <c r="H4210" s="3"/>
    </row>
    <row r="4211" spans="1:8" hidden="1">
      <c r="A4211" s="3">
        <v>12391</v>
      </c>
      <c r="B4211" s="7" t="s">
        <v>402</v>
      </c>
      <c r="C4211" s="41">
        <v>1420.5</v>
      </c>
      <c r="D4211" s="6">
        <v>45663</v>
      </c>
      <c r="E4211" s="3" t="str">
        <f ca="1">IF(Tabela2[[#This Row],[Dt Venc:]]&gt;TODAY(),"Em Aberto",IF(Tabela2[[#This Row],[D/venc]]="-","Enviado",IF(Tabela2[[#This Row],[Dt Venc:]]=TODAY(),"Vence Hoje","Vencida")))</f>
        <v>Enviado</v>
      </c>
      <c r="F4211" s="3" t="str">
        <f ca="1">IF(G4211=1,"-",Tabela2[[#This Row],[Dt Venc:]]-TODAY())</f>
        <v>-</v>
      </c>
      <c r="G4211" s="3">
        <v>1</v>
      </c>
      <c r="H4211" s="3"/>
    </row>
    <row r="4212" spans="1:8" hidden="1">
      <c r="A4212" s="3">
        <v>8335</v>
      </c>
      <c r="B4212" s="7" t="s">
        <v>242</v>
      </c>
      <c r="C4212" s="41">
        <v>137.9</v>
      </c>
      <c r="D4212" s="6">
        <v>45663</v>
      </c>
      <c r="E4212" s="3" t="str">
        <f ca="1">IF(Tabela2[[#This Row],[Dt Venc:]]&gt;TODAY(),"Em Aberto",IF(Tabela2[[#This Row],[D/venc]]="-","Enviado",IF(Tabela2[[#This Row],[Dt Venc:]]=TODAY(),"Vence Hoje","Vencida")))</f>
        <v>Enviado</v>
      </c>
      <c r="F4212" s="3" t="str">
        <f ca="1">IF(G4212=1,"-",Tabela2[[#This Row],[Dt Venc:]]-TODAY())</f>
        <v>-</v>
      </c>
      <c r="G4212" s="3">
        <v>1</v>
      </c>
      <c r="H4212" s="3"/>
    </row>
    <row r="4213" spans="1:8" hidden="1">
      <c r="A4213" s="3">
        <v>49938</v>
      </c>
      <c r="B4213" s="7" t="s">
        <v>144</v>
      </c>
      <c r="C4213" s="41">
        <v>3280</v>
      </c>
      <c r="D4213" s="6">
        <v>45663</v>
      </c>
      <c r="E4213" s="3" t="str">
        <f ca="1">IF(Tabela2[[#This Row],[Dt Venc:]]&gt;TODAY(),"Em Aberto",IF(Tabela2[[#This Row],[D/venc]]="-","Enviado",IF(Tabela2[[#This Row],[Dt Venc:]]=TODAY(),"Vence Hoje","Vencida")))</f>
        <v>Enviado</v>
      </c>
      <c r="F4213" s="3" t="str">
        <f ca="1">IF(G4213=1,"-",Tabela2[[#This Row],[Dt Venc:]]-TODAY())</f>
        <v>-</v>
      </c>
      <c r="G4213" s="3">
        <v>1</v>
      </c>
      <c r="H4213" s="3"/>
    </row>
    <row r="4214" spans="1:8" hidden="1">
      <c r="A4214" s="3">
        <v>634</v>
      </c>
      <c r="B4214" s="7" t="s">
        <v>574</v>
      </c>
      <c r="C4214" s="41">
        <v>1277.2</v>
      </c>
      <c r="D4214" s="6">
        <v>45663</v>
      </c>
      <c r="E4214" s="3" t="str">
        <f ca="1">IF(Tabela2[[#This Row],[Dt Venc:]]&gt;TODAY(),"Em Aberto",IF(Tabela2[[#This Row],[D/venc]]="-","Enviado",IF(Tabela2[[#This Row],[Dt Venc:]]=TODAY(),"Vence Hoje","Vencida")))</f>
        <v>Enviado</v>
      </c>
      <c r="F4214" s="3" t="str">
        <f ca="1">IF(G4214=1,"-",Tabela2[[#This Row],[Dt Venc:]]-TODAY())</f>
        <v>-</v>
      </c>
      <c r="G4214" s="3">
        <v>1</v>
      </c>
      <c r="H4214" s="3"/>
    </row>
    <row r="4215" spans="1:8" hidden="1">
      <c r="A4215" s="3">
        <v>1799</v>
      </c>
      <c r="B4215" s="7" t="s">
        <v>352</v>
      </c>
      <c r="C4215" s="41">
        <v>320</v>
      </c>
      <c r="D4215" s="6">
        <v>45663</v>
      </c>
      <c r="E4215" s="3" t="str">
        <f ca="1">IF(Tabela2[[#This Row],[Dt Venc:]]&gt;TODAY(),"Em Aberto",IF(Tabela2[[#This Row],[D/venc]]="-","Enviado",IF(Tabela2[[#This Row],[Dt Venc:]]=TODAY(),"Vence Hoje","Vencida")))</f>
        <v>Enviado</v>
      </c>
      <c r="F4215" s="3" t="str">
        <f ca="1">IF(G4215=1,"-",Tabela2[[#This Row],[Dt Venc:]]-TODAY())</f>
        <v>-</v>
      </c>
      <c r="G4215" s="3">
        <v>1</v>
      </c>
      <c r="H4215" s="3"/>
    </row>
    <row r="4216" spans="1:8" hidden="1">
      <c r="A4216" s="3">
        <v>1414</v>
      </c>
      <c r="B4216" s="7" t="s">
        <v>352</v>
      </c>
      <c r="C4216" s="41">
        <v>230</v>
      </c>
      <c r="D4216" s="6">
        <v>45663</v>
      </c>
      <c r="E4216" s="3" t="str">
        <f ca="1">IF(Tabela2[[#This Row],[Dt Venc:]]&gt;TODAY(),"Em Aberto",IF(Tabela2[[#This Row],[D/venc]]="-","Enviado",IF(Tabela2[[#This Row],[Dt Venc:]]=TODAY(),"Vence Hoje","Vencida")))</f>
        <v>Enviado</v>
      </c>
      <c r="F4216" s="3" t="str">
        <f ca="1">IF(G4216=1,"-",Tabela2[[#This Row],[Dt Venc:]]-TODAY())</f>
        <v>-</v>
      </c>
      <c r="G4216" s="3">
        <v>1</v>
      </c>
      <c r="H4216" s="3"/>
    </row>
    <row r="4217" spans="1:8" hidden="1">
      <c r="A4217" s="3">
        <v>1800</v>
      </c>
      <c r="B4217" s="7" t="s">
        <v>352</v>
      </c>
      <c r="C4217" s="41">
        <v>320</v>
      </c>
      <c r="D4217" s="6">
        <v>45663</v>
      </c>
      <c r="E4217" s="3" t="str">
        <f ca="1">IF(Tabela2[[#This Row],[Dt Venc:]]&gt;TODAY(),"Em Aberto",IF(Tabela2[[#This Row],[D/venc]]="-","Enviado",IF(Tabela2[[#This Row],[Dt Venc:]]=TODAY(),"Vence Hoje","Vencida")))</f>
        <v>Enviado</v>
      </c>
      <c r="F4217" s="3" t="str">
        <f ca="1">IF(G4217=1,"-",Tabela2[[#This Row],[Dt Venc:]]-TODAY())</f>
        <v>-</v>
      </c>
      <c r="G4217" s="3">
        <v>1</v>
      </c>
      <c r="H4217" s="3"/>
    </row>
    <row r="4218" spans="1:8" hidden="1">
      <c r="A4218" s="3">
        <v>1415</v>
      </c>
      <c r="B4218" s="7" t="s">
        <v>352</v>
      </c>
      <c r="C4218" s="41">
        <v>35</v>
      </c>
      <c r="D4218" s="6">
        <v>45663</v>
      </c>
      <c r="E4218" s="3" t="str">
        <f ca="1">IF(Tabela2[[#This Row],[Dt Venc:]]&gt;TODAY(),"Em Aberto",IF(Tabela2[[#This Row],[D/venc]]="-","Enviado",IF(Tabela2[[#This Row],[Dt Venc:]]=TODAY(),"Vence Hoje","Vencida")))</f>
        <v>Enviado</v>
      </c>
      <c r="F4218" s="3" t="str">
        <f ca="1">IF(G4218=1,"-",Tabela2[[#This Row],[Dt Venc:]]-TODAY())</f>
        <v>-</v>
      </c>
      <c r="G4218" s="3">
        <v>1</v>
      </c>
      <c r="H4218" s="3"/>
    </row>
    <row r="4219" spans="1:8" hidden="1">
      <c r="A4219" s="3">
        <v>1801</v>
      </c>
      <c r="B4219" s="7" t="s">
        <v>352</v>
      </c>
      <c r="C4219" s="41">
        <v>400</v>
      </c>
      <c r="D4219" s="6">
        <v>45663</v>
      </c>
      <c r="E4219" s="3" t="str">
        <f ca="1">IF(Tabela2[[#This Row],[Dt Venc:]]&gt;TODAY(),"Em Aberto",IF(Tabela2[[#This Row],[D/venc]]="-","Enviado",IF(Tabela2[[#This Row],[Dt Venc:]]=TODAY(),"Vence Hoje","Vencida")))</f>
        <v>Enviado</v>
      </c>
      <c r="F4219" s="3" t="str">
        <f ca="1">IF(G4219=1,"-",Tabela2[[#This Row],[Dt Venc:]]-TODAY())</f>
        <v>-</v>
      </c>
      <c r="G4219" s="3">
        <v>1</v>
      </c>
      <c r="H4219" s="3"/>
    </row>
    <row r="4220" spans="1:8" hidden="1">
      <c r="A4220" s="3">
        <v>1416</v>
      </c>
      <c r="B4220" s="7" t="s">
        <v>352</v>
      </c>
      <c r="C4220" s="41">
        <v>35</v>
      </c>
      <c r="D4220" s="6">
        <v>45663</v>
      </c>
      <c r="E4220" s="3" t="str">
        <f ca="1">IF(Tabela2[[#This Row],[Dt Venc:]]&gt;TODAY(),"Em Aberto",IF(Tabela2[[#This Row],[D/venc]]="-","Enviado",IF(Tabela2[[#This Row],[Dt Venc:]]=TODAY(),"Vence Hoje","Vencida")))</f>
        <v>Enviado</v>
      </c>
      <c r="F4220" s="3" t="str">
        <f ca="1">IF(G4220=1,"-",Tabela2[[#This Row],[Dt Venc:]]-TODAY())</f>
        <v>-</v>
      </c>
      <c r="G4220" s="3">
        <v>1</v>
      </c>
      <c r="H4220" s="3"/>
    </row>
    <row r="4221" spans="1:8" hidden="1">
      <c r="A4221" s="3">
        <v>216176</v>
      </c>
      <c r="B4221" s="7" t="s">
        <v>59</v>
      </c>
      <c r="C4221" s="41">
        <v>28409.5</v>
      </c>
      <c r="D4221" s="6">
        <v>45663</v>
      </c>
      <c r="E4221" s="3" t="str">
        <f ca="1">IF(Tabela2[[#This Row],[Dt Venc:]]&gt;TODAY(),"Em Aberto",IF(Tabela2[[#This Row],[D/venc]]="-","Enviado",IF(Tabela2[[#This Row],[Dt Venc:]]=TODAY(),"Vence Hoje","Vencida")))</f>
        <v>Enviado</v>
      </c>
      <c r="F4221" s="3" t="str">
        <f ca="1">IF(G4221=1,"-",Tabela2[[#This Row],[Dt Venc:]]-TODAY())</f>
        <v>-</v>
      </c>
      <c r="G4221" s="3">
        <v>1</v>
      </c>
      <c r="H4221" s="3"/>
    </row>
    <row r="4222" spans="1:8" hidden="1">
      <c r="A4222" s="3">
        <v>216174</v>
      </c>
      <c r="B4222" s="7" t="s">
        <v>59</v>
      </c>
      <c r="C4222" s="41">
        <v>56720</v>
      </c>
      <c r="D4222" s="6">
        <v>45663</v>
      </c>
      <c r="E4222" s="3" t="str">
        <f ca="1">IF(Tabela2[[#This Row],[Dt Venc:]]&gt;TODAY(),"Em Aberto",IF(Tabela2[[#This Row],[D/venc]]="-","Enviado",IF(Tabela2[[#This Row],[Dt Venc:]]=TODAY(),"Vence Hoje","Vencida")))</f>
        <v>Enviado</v>
      </c>
      <c r="F4222" s="3" t="str">
        <f ca="1">IF(G4222=1,"-",Tabela2[[#This Row],[Dt Venc:]]-TODAY())</f>
        <v>-</v>
      </c>
      <c r="G4222" s="3">
        <v>1</v>
      </c>
      <c r="H4222" s="3"/>
    </row>
    <row r="4223" spans="1:8" hidden="1">
      <c r="A4223" s="3">
        <v>2005804</v>
      </c>
      <c r="B4223" s="7" t="s">
        <v>59</v>
      </c>
      <c r="C4223" s="41">
        <v>111760</v>
      </c>
      <c r="D4223" s="6">
        <v>45663</v>
      </c>
      <c r="E4223" s="3" t="str">
        <f ca="1">IF(Tabela2[[#This Row],[Dt Venc:]]&gt;TODAY(),"Em Aberto",IF(Tabela2[[#This Row],[D/venc]]="-","Enviado",IF(Tabela2[[#This Row],[Dt Venc:]]=TODAY(),"Vence Hoje","Vencida")))</f>
        <v>Enviado</v>
      </c>
      <c r="F4223" s="3" t="str">
        <f ca="1">IF(G4223=1,"-",Tabela2[[#This Row],[Dt Venc:]]-TODAY())</f>
        <v>-</v>
      </c>
      <c r="G4223" s="3">
        <v>1</v>
      </c>
      <c r="H4223" s="3"/>
    </row>
    <row r="4224" spans="1:8" hidden="1">
      <c r="A4224" s="3">
        <v>29695</v>
      </c>
      <c r="B4224" s="7" t="s">
        <v>603</v>
      </c>
      <c r="C4224" s="41">
        <v>1550.2</v>
      </c>
      <c r="D4224" s="6">
        <v>45663</v>
      </c>
      <c r="E4224" s="3" t="str">
        <f ca="1">IF(Tabela2[[#This Row],[Dt Venc:]]&gt;TODAY(),"Em Aberto",IF(Tabela2[[#This Row],[D/venc]]="-","Enviado",IF(Tabela2[[#This Row],[Dt Venc:]]=TODAY(),"Vence Hoje","Vencida")))</f>
        <v>Enviado</v>
      </c>
      <c r="F4224" s="3" t="str">
        <f ca="1">IF(G4224=1,"-",Tabela2[[#This Row],[Dt Venc:]]-TODAY())</f>
        <v>-</v>
      </c>
      <c r="G4224" s="3">
        <v>1</v>
      </c>
      <c r="H4224" s="3"/>
    </row>
    <row r="4225" spans="1:8" hidden="1">
      <c r="A4225" s="3">
        <v>2035</v>
      </c>
      <c r="B4225" s="7" t="s">
        <v>342</v>
      </c>
      <c r="C4225" s="41">
        <v>840</v>
      </c>
      <c r="D4225" s="6">
        <v>45663</v>
      </c>
      <c r="E4225" s="3" t="str">
        <f ca="1">IF(Tabela2[[#This Row],[Dt Venc:]]&gt;TODAY(),"Em Aberto",IF(Tabela2[[#This Row],[D/venc]]="-","Enviado",IF(Tabela2[[#This Row],[Dt Venc:]]=TODAY(),"Vence Hoje","Vencida")))</f>
        <v>Enviado</v>
      </c>
      <c r="F4225" s="3" t="str">
        <f ca="1">IF(G4225=1,"-",Tabela2[[#This Row],[Dt Venc:]]-TODAY())</f>
        <v>-</v>
      </c>
      <c r="G4225" s="3">
        <v>1</v>
      </c>
      <c r="H4225" s="3"/>
    </row>
    <row r="4226" spans="1:8" hidden="1">
      <c r="A4226" s="3">
        <v>142560</v>
      </c>
      <c r="B4226" s="7" t="s">
        <v>60</v>
      </c>
      <c r="C4226" s="41">
        <v>390</v>
      </c>
      <c r="D4226" s="6">
        <v>45663</v>
      </c>
      <c r="E4226" s="3" t="str">
        <f ca="1">IF(Tabela2[[#This Row],[Dt Venc:]]&gt;TODAY(),"Em Aberto",IF(Tabela2[[#This Row],[D/venc]]="-","Enviado",IF(Tabela2[[#This Row],[Dt Venc:]]=TODAY(),"Vence Hoje","Vencida")))</f>
        <v>Enviado</v>
      </c>
      <c r="F4226" s="3" t="str">
        <f ca="1">IF(G4226=1,"-",Tabela2[[#This Row],[Dt Venc:]]-TODAY())</f>
        <v>-</v>
      </c>
      <c r="G4226" s="3">
        <v>1</v>
      </c>
      <c r="H4226" s="3"/>
    </row>
    <row r="4227" spans="1:8" hidden="1">
      <c r="A4227" s="3">
        <v>634</v>
      </c>
      <c r="B4227" s="7" t="s">
        <v>61</v>
      </c>
      <c r="C4227" s="41">
        <v>1277.2</v>
      </c>
      <c r="D4227" s="6">
        <v>45663</v>
      </c>
      <c r="E4227" s="3" t="str">
        <f ca="1">IF(Tabela2[[#This Row],[Dt Venc:]]&gt;TODAY(),"Em Aberto",IF(Tabela2[[#This Row],[D/venc]]="-","Enviado",IF(Tabela2[[#This Row],[Dt Venc:]]=TODAY(),"Vence Hoje","Vencida")))</f>
        <v>Enviado</v>
      </c>
      <c r="F4227" s="3" t="str">
        <f ca="1">IF(G4227=1,"-",Tabela2[[#This Row],[Dt Venc:]]-TODAY())</f>
        <v>-</v>
      </c>
      <c r="G4227" s="3">
        <v>1</v>
      </c>
      <c r="H4227" s="3"/>
    </row>
    <row r="4228" spans="1:8" hidden="1">
      <c r="A4228" s="3">
        <v>20</v>
      </c>
      <c r="B4228" s="7" t="s">
        <v>604</v>
      </c>
      <c r="C4228" s="41">
        <v>450</v>
      </c>
      <c r="D4228" s="6">
        <v>45663</v>
      </c>
      <c r="E4228" s="3" t="str">
        <f ca="1">IF(Tabela2[[#This Row],[Dt Venc:]]&gt;TODAY(),"Em Aberto",IF(Tabela2[[#This Row],[D/venc]]="-","Enviado",IF(Tabela2[[#This Row],[Dt Venc:]]=TODAY(),"Vence Hoje","Vencida")))</f>
        <v>Enviado</v>
      </c>
      <c r="F4228" s="3" t="str">
        <f ca="1">IF(G4228=1,"-",Tabela2[[#This Row],[Dt Venc:]]-TODAY())</f>
        <v>-</v>
      </c>
      <c r="G4228" s="3">
        <v>1</v>
      </c>
      <c r="H4228" s="3"/>
    </row>
    <row r="4229" spans="1:8" hidden="1">
      <c r="A4229" s="3">
        <v>1624</v>
      </c>
      <c r="B4229" s="7" t="s">
        <v>605</v>
      </c>
      <c r="C4229" s="41">
        <v>500</v>
      </c>
      <c r="D4229" s="6">
        <v>45663</v>
      </c>
      <c r="E4229" s="3" t="str">
        <f ca="1">IF(Tabela2[[#This Row],[Dt Venc:]]&gt;TODAY(),"Em Aberto",IF(Tabela2[[#This Row],[D/venc]]="-","Enviado",IF(Tabela2[[#This Row],[Dt Venc:]]=TODAY(),"Vence Hoje","Vencida")))</f>
        <v>Enviado</v>
      </c>
      <c r="F4229" s="3" t="str">
        <f ca="1">IF(G4229=1,"-",Tabela2[[#This Row],[Dt Venc:]]-TODAY())</f>
        <v>-</v>
      </c>
      <c r="G4229" s="3">
        <v>1</v>
      </c>
      <c r="H4229" s="3"/>
    </row>
    <row r="4230" spans="1:8" hidden="1">
      <c r="A4230" s="3">
        <v>11122</v>
      </c>
      <c r="B4230" s="7" t="s">
        <v>33</v>
      </c>
      <c r="C4230" s="41">
        <v>400</v>
      </c>
      <c r="D4230" s="6">
        <v>45664</v>
      </c>
      <c r="E4230" s="3" t="str">
        <f ca="1">IF(Tabela2[[#This Row],[Dt Venc:]]&gt;TODAY(),"Em Aberto",IF(Tabela2[[#This Row],[D/venc]]="-","Enviado",IF(Tabela2[[#This Row],[Dt Venc:]]=TODAY(),"Vence Hoje","Vencida")))</f>
        <v>Enviado</v>
      </c>
      <c r="F4230" s="3" t="str">
        <f ca="1">IF(G4230=1,"-",Tabela2[[#This Row],[Dt Venc:]]-TODAY())</f>
        <v>-</v>
      </c>
      <c r="G4230" s="3">
        <v>1</v>
      </c>
      <c r="H4230" s="3"/>
    </row>
    <row r="4231" spans="1:8" hidden="1">
      <c r="A4231" s="3">
        <v>11121</v>
      </c>
      <c r="B4231" s="7" t="s">
        <v>33</v>
      </c>
      <c r="C4231" s="41">
        <v>1930</v>
      </c>
      <c r="D4231" s="6">
        <v>45664</v>
      </c>
      <c r="E4231" s="3" t="str">
        <f ca="1">IF(Tabela2[[#This Row],[Dt Venc:]]&gt;TODAY(),"Em Aberto",IF(Tabela2[[#This Row],[D/venc]]="-","Enviado",IF(Tabela2[[#This Row],[Dt Venc:]]=TODAY(),"Vence Hoje","Vencida")))</f>
        <v>Enviado</v>
      </c>
      <c r="F4231" s="3" t="str">
        <f ca="1">IF(G4231=1,"-",Tabela2[[#This Row],[Dt Venc:]]-TODAY())</f>
        <v>-</v>
      </c>
      <c r="G4231" s="3">
        <v>1</v>
      </c>
      <c r="H4231" s="3"/>
    </row>
    <row r="4232" spans="1:8" hidden="1">
      <c r="A4232" s="3">
        <v>10989</v>
      </c>
      <c r="B4232" s="7" t="s">
        <v>33</v>
      </c>
      <c r="C4232" s="41">
        <v>1658.3</v>
      </c>
      <c r="D4232" s="6">
        <v>45664</v>
      </c>
      <c r="E4232" s="3" t="str">
        <f ca="1">IF(Tabela2[[#This Row],[Dt Venc:]]&gt;TODAY(),"Em Aberto",IF(Tabela2[[#This Row],[D/venc]]="-","Enviado",IF(Tabela2[[#This Row],[Dt Venc:]]=TODAY(),"Vence Hoje","Vencida")))</f>
        <v>Enviado</v>
      </c>
      <c r="F4232" s="3" t="str">
        <f ca="1">IF(G4232=1,"-",Tabela2[[#This Row],[Dt Venc:]]-TODAY())</f>
        <v>-</v>
      </c>
      <c r="G4232" s="3">
        <v>1</v>
      </c>
      <c r="H4232" s="3"/>
    </row>
    <row r="4233" spans="1:8" hidden="1">
      <c r="A4233" s="3">
        <v>5088</v>
      </c>
      <c r="B4233" s="7" t="s">
        <v>463</v>
      </c>
      <c r="C4233" s="41">
        <v>2227.85</v>
      </c>
      <c r="D4233" s="6">
        <v>45664</v>
      </c>
      <c r="E4233" s="3" t="str">
        <f ca="1">IF(Tabela2[[#This Row],[Dt Venc:]]&gt;TODAY(),"Em Aberto",IF(Tabela2[[#This Row],[D/venc]]="-","Enviado",IF(Tabela2[[#This Row],[Dt Venc:]]=TODAY(),"Vence Hoje","Vencida")))</f>
        <v>Enviado</v>
      </c>
      <c r="F4233" s="3" t="str">
        <f ca="1">IF(G4233=1,"-",Tabela2[[#This Row],[Dt Venc:]]-TODAY())</f>
        <v>-</v>
      </c>
      <c r="G4233" s="3">
        <v>1</v>
      </c>
      <c r="H4233" s="3"/>
    </row>
    <row r="4234" spans="1:8" hidden="1">
      <c r="A4234" s="3">
        <v>302454</v>
      </c>
      <c r="B4234" s="7" t="s">
        <v>53</v>
      </c>
      <c r="C4234" s="41">
        <v>318.02</v>
      </c>
      <c r="D4234" s="6">
        <v>45664</v>
      </c>
      <c r="E4234" s="3" t="str">
        <f ca="1">IF(Tabela2[[#This Row],[Dt Venc:]]&gt;TODAY(),"Em Aberto",IF(Tabela2[[#This Row],[D/venc]]="-","Enviado",IF(Tabela2[[#This Row],[Dt Venc:]]=TODAY(),"Vence Hoje","Vencida")))</f>
        <v>Enviado</v>
      </c>
      <c r="F4234" s="3" t="str">
        <f ca="1">IF(G4234=1,"-",Tabela2[[#This Row],[Dt Venc:]]-TODAY())</f>
        <v>-</v>
      </c>
      <c r="G4234" s="3">
        <v>1</v>
      </c>
      <c r="H4234" s="3"/>
    </row>
    <row r="4235" spans="1:8" hidden="1">
      <c r="A4235" s="3">
        <v>1293</v>
      </c>
      <c r="B4235" s="7" t="s">
        <v>474</v>
      </c>
      <c r="C4235" s="41">
        <v>906.67</v>
      </c>
      <c r="D4235" s="6">
        <v>45664</v>
      </c>
      <c r="E4235" s="3" t="str">
        <f ca="1">IF(Tabela2[[#This Row],[Dt Venc:]]&gt;TODAY(),"Em Aberto",IF(Tabela2[[#This Row],[D/venc]]="-","Enviado",IF(Tabela2[[#This Row],[Dt Venc:]]=TODAY(),"Vence Hoje","Vencida")))</f>
        <v>Enviado</v>
      </c>
      <c r="F4235" s="3" t="str">
        <f ca="1">IF(G4235=1,"-",Tabela2[[#This Row],[Dt Venc:]]-TODAY())</f>
        <v>-</v>
      </c>
      <c r="G4235" s="3">
        <v>1</v>
      </c>
      <c r="H4235" s="3"/>
    </row>
    <row r="4236" spans="1:8" hidden="1">
      <c r="A4236" s="3">
        <v>2781</v>
      </c>
      <c r="B4236" s="7" t="s">
        <v>58</v>
      </c>
      <c r="C4236" s="42">
        <v>3301.27</v>
      </c>
      <c r="D4236" s="6">
        <v>45664</v>
      </c>
      <c r="E4236" s="3" t="str">
        <f ca="1">IF(Tabela2[[#This Row],[Dt Venc:]]&gt;TODAY(),"Em Aberto",IF(Tabela2[[#This Row],[D/venc]]="-","Enviado",IF(Tabela2[[#This Row],[Dt Venc:]]=TODAY(),"Vence Hoje","Vencida")))</f>
        <v>Enviado</v>
      </c>
      <c r="F4236" s="3" t="str">
        <f ca="1">IF(G4236=1,"-",Tabela2[[#This Row],[Dt Venc:]]-TODAY())</f>
        <v>-</v>
      </c>
      <c r="G4236" s="3">
        <v>1</v>
      </c>
      <c r="H4236" s="3"/>
    </row>
    <row r="4237" spans="1:8" hidden="1">
      <c r="A4237" s="3">
        <v>134997</v>
      </c>
      <c r="B4237" s="7" t="s">
        <v>127</v>
      </c>
      <c r="C4237" s="42">
        <v>717.5</v>
      </c>
      <c r="D4237" s="6">
        <v>45664</v>
      </c>
      <c r="E4237" s="3" t="str">
        <f ca="1">IF(Tabela2[[#This Row],[Dt Venc:]]&gt;TODAY(),"Em Aberto",IF(Tabela2[[#This Row],[D/venc]]="-","Enviado",IF(Tabela2[[#This Row],[Dt Venc:]]=TODAY(),"Vence Hoje","Vencida")))</f>
        <v>Enviado</v>
      </c>
      <c r="F4237" s="3" t="str">
        <f ca="1">IF(G4237=1,"-",Tabela2[[#This Row],[Dt Venc:]]-TODAY())</f>
        <v>-</v>
      </c>
      <c r="G4237" s="3">
        <v>1</v>
      </c>
      <c r="H4237" s="3"/>
    </row>
    <row r="4238" spans="1:8" hidden="1">
      <c r="A4238" s="3">
        <v>753116</v>
      </c>
      <c r="B4238" s="7" t="s">
        <v>127</v>
      </c>
      <c r="C4238" s="42">
        <v>371.47</v>
      </c>
      <c r="D4238" s="6">
        <v>45664</v>
      </c>
      <c r="E4238" s="3" t="str">
        <f ca="1">IF(Tabela2[[#This Row],[Dt Venc:]]&gt;TODAY(),"Em Aberto",IF(Tabela2[[#This Row],[D/venc]]="-","Enviado",IF(Tabela2[[#This Row],[Dt Venc:]]=TODAY(),"Vence Hoje","Vencida")))</f>
        <v>Enviado</v>
      </c>
      <c r="F4238" s="3" t="str">
        <f ca="1">IF(G4238=1,"-",Tabela2[[#This Row],[Dt Venc:]]-TODAY())</f>
        <v>-</v>
      </c>
      <c r="G4238" s="3">
        <v>1</v>
      </c>
      <c r="H4238" s="3"/>
    </row>
    <row r="4239" spans="1:8" hidden="1">
      <c r="A4239" s="3">
        <v>134994</v>
      </c>
      <c r="B4239" s="7" t="s">
        <v>127</v>
      </c>
      <c r="C4239" s="42">
        <v>717.5</v>
      </c>
      <c r="D4239" s="6">
        <v>45664</v>
      </c>
      <c r="E4239" s="3" t="str">
        <f ca="1">IF(Tabela2[[#This Row],[Dt Venc:]]&gt;TODAY(),"Em Aberto",IF(Tabela2[[#This Row],[D/venc]]="-","Enviado",IF(Tabela2[[#This Row],[Dt Venc:]]=TODAY(),"Vence Hoje","Vencida")))</f>
        <v>Enviado</v>
      </c>
      <c r="F4239" s="3" t="str">
        <f ca="1">IF(G4239=1,"-",Tabela2[[#This Row],[Dt Venc:]]-TODAY())</f>
        <v>-</v>
      </c>
      <c r="G4239" s="3">
        <v>1</v>
      </c>
      <c r="H4239" s="3"/>
    </row>
    <row r="4240" spans="1:8" hidden="1">
      <c r="A4240" s="3">
        <v>753108</v>
      </c>
      <c r="B4240" s="7" t="s">
        <v>127</v>
      </c>
      <c r="C4240" s="42">
        <v>371.47</v>
      </c>
      <c r="D4240" s="6">
        <v>45664</v>
      </c>
      <c r="E4240" s="3" t="str">
        <f ca="1">IF(Tabela2[[#This Row],[Dt Venc:]]&gt;TODAY(),"Em Aberto",IF(Tabela2[[#This Row],[D/venc]]="-","Enviado",IF(Tabela2[[#This Row],[Dt Venc:]]=TODAY(),"Vence Hoje","Vencida")))</f>
        <v>Enviado</v>
      </c>
      <c r="F4240" s="3" t="str">
        <f ca="1">IF(G4240=1,"-",Tabela2[[#This Row],[Dt Venc:]]-TODAY())</f>
        <v>-</v>
      </c>
      <c r="G4240" s="3">
        <v>1</v>
      </c>
      <c r="H4240" s="3"/>
    </row>
    <row r="4241" spans="1:8" hidden="1">
      <c r="A4241" s="3">
        <v>134995</v>
      </c>
      <c r="B4241" s="7" t="s">
        <v>127</v>
      </c>
      <c r="C4241" s="42">
        <v>717.5</v>
      </c>
      <c r="D4241" s="6">
        <v>45664</v>
      </c>
      <c r="E4241" s="3" t="str">
        <f ca="1">IF(Tabela2[[#This Row],[Dt Venc:]]&gt;TODAY(),"Em Aberto",IF(Tabela2[[#This Row],[D/venc]]="-","Enviado",IF(Tabela2[[#This Row],[Dt Venc:]]=TODAY(),"Vence Hoje","Vencida")))</f>
        <v>Enviado</v>
      </c>
      <c r="F4241" s="3" t="str">
        <f ca="1">IF(G4241=1,"-",Tabela2[[#This Row],[Dt Venc:]]-TODAY())</f>
        <v>-</v>
      </c>
      <c r="G4241" s="3">
        <v>1</v>
      </c>
      <c r="H4241" s="3"/>
    </row>
    <row r="4242" spans="1:8" hidden="1">
      <c r="A4242" s="3">
        <v>753110</v>
      </c>
      <c r="B4242" s="7" t="s">
        <v>127</v>
      </c>
      <c r="C4242" s="42">
        <v>371.47</v>
      </c>
      <c r="D4242" s="6">
        <v>45664</v>
      </c>
      <c r="E4242" s="3" t="str">
        <f ca="1">IF(Tabela2[[#This Row],[Dt Venc:]]&gt;TODAY(),"Em Aberto",IF(Tabela2[[#This Row],[D/venc]]="-","Enviado",IF(Tabela2[[#This Row],[Dt Venc:]]=TODAY(),"Vence Hoje","Vencida")))</f>
        <v>Enviado</v>
      </c>
      <c r="F4242" s="3" t="str">
        <f ca="1">IF(G4242=1,"-",Tabela2[[#This Row],[Dt Venc:]]-TODAY())</f>
        <v>-</v>
      </c>
      <c r="G4242" s="3">
        <v>1</v>
      </c>
      <c r="H4242" s="3"/>
    </row>
    <row r="4243" spans="1:8" hidden="1">
      <c r="A4243" s="3">
        <v>134996</v>
      </c>
      <c r="B4243" s="7" t="s">
        <v>127</v>
      </c>
      <c r="C4243" s="42">
        <v>717.5</v>
      </c>
      <c r="D4243" s="6">
        <v>45664</v>
      </c>
      <c r="E4243" s="3" t="str">
        <f ca="1">IF(Tabela2[[#This Row],[Dt Venc:]]&gt;TODAY(),"Em Aberto",IF(Tabela2[[#This Row],[D/venc]]="-","Enviado",IF(Tabela2[[#This Row],[Dt Venc:]]=TODAY(),"Vence Hoje","Vencida")))</f>
        <v>Enviado</v>
      </c>
      <c r="F4243" s="3" t="str">
        <f ca="1">IF(G4243=1,"-",Tabela2[[#This Row],[Dt Venc:]]-TODAY())</f>
        <v>-</v>
      </c>
      <c r="G4243" s="3">
        <v>1</v>
      </c>
      <c r="H4243" s="3"/>
    </row>
    <row r="4244" spans="1:8" hidden="1">
      <c r="A4244" s="3">
        <v>753112</v>
      </c>
      <c r="B4244" s="7" t="s">
        <v>127</v>
      </c>
      <c r="C4244" s="42">
        <v>371.46</v>
      </c>
      <c r="D4244" s="6">
        <v>45664</v>
      </c>
      <c r="E4244" s="3" t="str">
        <f ca="1">IF(Tabela2[[#This Row],[Dt Venc:]]&gt;TODAY(),"Em Aberto",IF(Tabela2[[#This Row],[D/venc]]="-","Enviado",IF(Tabela2[[#This Row],[Dt Venc:]]=TODAY(),"Vence Hoje","Vencida")))</f>
        <v>Enviado</v>
      </c>
      <c r="F4244" s="3" t="str">
        <f ca="1">IF(G4244=1,"-",Tabela2[[#This Row],[Dt Venc:]]-TODAY())</f>
        <v>-</v>
      </c>
      <c r="G4244" s="3">
        <v>1</v>
      </c>
      <c r="H4244" s="3"/>
    </row>
    <row r="4245" spans="1:8" hidden="1">
      <c r="A4245" s="3">
        <v>446156</v>
      </c>
      <c r="B4245" s="7" t="s">
        <v>512</v>
      </c>
      <c r="C4245" s="41">
        <v>772.85</v>
      </c>
      <c r="D4245" s="6">
        <v>45664</v>
      </c>
      <c r="E4245" s="3" t="str">
        <f ca="1">IF(Tabela2[[#This Row],[Dt Venc:]]&gt;TODAY(),"Em Aberto",IF(Tabela2[[#This Row],[D/venc]]="-","Enviado",IF(Tabela2[[#This Row],[Dt Venc:]]=TODAY(),"Vence Hoje","Vencida")))</f>
        <v>Enviado</v>
      </c>
      <c r="F4245" s="3" t="str">
        <f ca="1">IF(G4245=1,"-",Tabela2[[#This Row],[Dt Venc:]]-TODAY())</f>
        <v>-</v>
      </c>
      <c r="G4245" s="3">
        <v>1</v>
      </c>
      <c r="H4245" s="3"/>
    </row>
    <row r="4246" spans="1:8" hidden="1">
      <c r="A4246" s="3">
        <v>446170</v>
      </c>
      <c r="B4246" s="7" t="s">
        <v>512</v>
      </c>
      <c r="C4246" s="41">
        <v>194.69</v>
      </c>
      <c r="D4246" s="6">
        <v>45664</v>
      </c>
      <c r="E4246" s="3" t="str">
        <f ca="1">IF(Tabela2[[#This Row],[Dt Venc:]]&gt;TODAY(),"Em Aberto",IF(Tabela2[[#This Row],[D/venc]]="-","Enviado",IF(Tabela2[[#This Row],[Dt Venc:]]=TODAY(),"Vence Hoje","Vencida")))</f>
        <v>Enviado</v>
      </c>
      <c r="F4246" s="3" t="str">
        <f ca="1">IF(G4246=1,"-",Tabela2[[#This Row],[Dt Venc:]]-TODAY())</f>
        <v>-</v>
      </c>
      <c r="G4246" s="3">
        <v>1</v>
      </c>
      <c r="H4246" s="3"/>
    </row>
    <row r="4247" spans="1:8" hidden="1">
      <c r="A4247" s="3">
        <v>612260</v>
      </c>
      <c r="B4247" s="7" t="s">
        <v>66</v>
      </c>
      <c r="C4247" s="41">
        <v>424.71</v>
      </c>
      <c r="D4247" s="6">
        <v>45664</v>
      </c>
      <c r="E4247" s="3" t="str">
        <f ca="1">IF(Tabela2[[#This Row],[Dt Venc:]]&gt;TODAY(),"Em Aberto",IF(Tabela2[[#This Row],[D/venc]]="-","Enviado",IF(Tabela2[[#This Row],[Dt Venc:]]=TODAY(),"Vence Hoje","Vencida")))</f>
        <v>Enviado</v>
      </c>
      <c r="F4247" s="3" t="str">
        <f ca="1">IF(G4247=1,"-",Tabela2[[#This Row],[Dt Venc:]]-TODAY())</f>
        <v>-</v>
      </c>
      <c r="G4247" s="3">
        <v>1</v>
      </c>
      <c r="H4247" s="3"/>
    </row>
    <row r="4248" spans="1:8" hidden="1">
      <c r="A4248" s="3">
        <v>616465</v>
      </c>
      <c r="B4248" s="7" t="s">
        <v>66</v>
      </c>
      <c r="C4248" s="41">
        <v>462</v>
      </c>
      <c r="D4248" s="6">
        <v>45664</v>
      </c>
      <c r="E4248" s="3" t="str">
        <f ca="1">IF(Tabela2[[#This Row],[Dt Venc:]]&gt;TODAY(),"Em Aberto",IF(Tabela2[[#This Row],[D/venc]]="-","Enviado",IF(Tabela2[[#This Row],[Dt Venc:]]=TODAY(),"Vence Hoje","Vencida")))</f>
        <v>Enviado</v>
      </c>
      <c r="F4248" s="3" t="str">
        <f ca="1">IF(G4248=1,"-",Tabela2[[#This Row],[Dt Venc:]]-TODAY())</f>
        <v>-</v>
      </c>
      <c r="G4248" s="3">
        <v>1</v>
      </c>
      <c r="H4248" s="3"/>
    </row>
    <row r="4249" spans="1:8" hidden="1">
      <c r="A4249" s="3">
        <v>616429</v>
      </c>
      <c r="B4249" s="7" t="s">
        <v>66</v>
      </c>
      <c r="C4249" s="41">
        <v>2838.78</v>
      </c>
      <c r="D4249" s="6">
        <v>45664</v>
      </c>
      <c r="E4249" s="3" t="str">
        <f ca="1">IF(Tabela2[[#This Row],[Dt Venc:]]&gt;TODAY(),"Em Aberto",IF(Tabela2[[#This Row],[D/venc]]="-","Enviado",IF(Tabela2[[#This Row],[Dt Venc:]]=TODAY(),"Vence Hoje","Vencida")))</f>
        <v>Enviado</v>
      </c>
      <c r="F4249" s="3" t="str">
        <f ca="1">IF(G4249=1,"-",Tabela2[[#This Row],[Dt Venc:]]-TODAY())</f>
        <v>-</v>
      </c>
      <c r="G4249" s="3">
        <v>1</v>
      </c>
      <c r="H4249" s="3"/>
    </row>
    <row r="4250" spans="1:8" hidden="1">
      <c r="A4250" s="3">
        <v>99165</v>
      </c>
      <c r="B4250" s="7" t="s">
        <v>407</v>
      </c>
      <c r="C4250" s="42">
        <v>1053.75</v>
      </c>
      <c r="D4250" s="6">
        <v>45664</v>
      </c>
      <c r="E4250" s="3" t="str">
        <f ca="1">IF(Tabela2[[#This Row],[Dt Venc:]]&gt;TODAY(),"Em Aberto",IF(Tabela2[[#This Row],[D/venc]]="-","Enviado",IF(Tabela2[[#This Row],[Dt Venc:]]=TODAY(),"Vence Hoje","Vencida")))</f>
        <v>Enviado</v>
      </c>
      <c r="F4250" s="3" t="str">
        <f ca="1">IF(G4250=1,"-",Tabela2[[#This Row],[Dt Venc:]]-TODAY())</f>
        <v>-</v>
      </c>
      <c r="G4250" s="3">
        <v>1</v>
      </c>
      <c r="H4250" s="3"/>
    </row>
    <row r="4251" spans="1:8" hidden="1">
      <c r="A4251" s="3">
        <v>240304</v>
      </c>
      <c r="B4251" s="7" t="s">
        <v>43</v>
      </c>
      <c r="C4251" s="41">
        <v>1295.55</v>
      </c>
      <c r="D4251" s="6">
        <v>45664</v>
      </c>
      <c r="E4251" s="3" t="str">
        <f ca="1">IF(Tabela2[[#This Row],[Dt Venc:]]&gt;TODAY(),"Em Aberto",IF(Tabela2[[#This Row],[D/venc]]="-","Enviado",IF(Tabela2[[#This Row],[Dt Venc:]]=TODAY(),"Vence Hoje","Vencida")))</f>
        <v>Enviado</v>
      </c>
      <c r="F4251" s="3" t="str">
        <f ca="1">IF(G4251=1,"-",Tabela2[[#This Row],[Dt Venc:]]-TODAY())</f>
        <v>-</v>
      </c>
      <c r="G4251" s="3">
        <v>1</v>
      </c>
      <c r="H4251" s="3"/>
    </row>
    <row r="4252" spans="1:8" hidden="1">
      <c r="A4252" s="3">
        <v>303800</v>
      </c>
      <c r="B4252" s="7" t="s">
        <v>506</v>
      </c>
      <c r="C4252" s="41">
        <v>3073.8</v>
      </c>
      <c r="D4252" s="6">
        <v>45664</v>
      </c>
      <c r="E4252" s="3" t="str">
        <f ca="1">IF(Tabela2[[#This Row],[Dt Venc:]]&gt;TODAY(),"Em Aberto",IF(Tabela2[[#This Row],[D/venc]]="-","Enviado",IF(Tabela2[[#This Row],[Dt Venc:]]=TODAY(),"Vence Hoje","Vencida")))</f>
        <v>Enviado</v>
      </c>
      <c r="F4252" s="3" t="str">
        <f ca="1">IF(G4252=1,"-",Tabela2[[#This Row],[Dt Venc:]]-TODAY())</f>
        <v>-</v>
      </c>
      <c r="G4252" s="3">
        <v>1</v>
      </c>
      <c r="H4252" s="3"/>
    </row>
    <row r="4253" spans="1:8" hidden="1">
      <c r="A4253" s="3">
        <v>764298</v>
      </c>
      <c r="B4253" s="7" t="s">
        <v>79</v>
      </c>
      <c r="C4253" s="41">
        <v>1216.0999999999999</v>
      </c>
      <c r="D4253" s="6">
        <v>45664</v>
      </c>
      <c r="E4253" s="3" t="str">
        <f ca="1">IF(Tabela2[[#This Row],[Dt Venc:]]&gt;TODAY(),"Em Aberto",IF(Tabela2[[#This Row],[D/venc]]="-","Enviado",IF(Tabela2[[#This Row],[Dt Venc:]]=TODAY(),"Vence Hoje","Vencida")))</f>
        <v>Enviado</v>
      </c>
      <c r="F4253" s="3" t="str">
        <f ca="1">IF(G4253=1,"-",Tabela2[[#This Row],[Dt Venc:]]-TODAY())</f>
        <v>-</v>
      </c>
      <c r="G4253" s="3">
        <v>1</v>
      </c>
      <c r="H4253" s="3"/>
    </row>
    <row r="4254" spans="1:8" hidden="1">
      <c r="A4254" s="3">
        <v>29970</v>
      </c>
      <c r="B4254" s="7" t="s">
        <v>514</v>
      </c>
      <c r="C4254" s="41">
        <v>564.84</v>
      </c>
      <c r="D4254" s="6">
        <v>45664</v>
      </c>
      <c r="E4254" s="3" t="str">
        <f ca="1">IF(Tabela2[[#This Row],[Dt Venc:]]&gt;TODAY(),"Em Aberto",IF(Tabela2[[#This Row],[D/venc]]="-","Enviado",IF(Tabela2[[#This Row],[Dt Venc:]]=TODAY(),"Vence Hoje","Vencida")))</f>
        <v>Enviado</v>
      </c>
      <c r="F4254" s="3" t="str">
        <f ca="1">IF(G4254=1,"-",Tabela2[[#This Row],[Dt Venc:]]-TODAY())</f>
        <v>-</v>
      </c>
      <c r="G4254" s="3">
        <v>1</v>
      </c>
      <c r="H4254" s="3"/>
    </row>
    <row r="4255" spans="1:8" hidden="1">
      <c r="A4255" s="3">
        <v>2318</v>
      </c>
      <c r="B4255" s="7" t="s">
        <v>45</v>
      </c>
      <c r="C4255" s="41">
        <v>2240</v>
      </c>
      <c r="D4255" s="6">
        <v>45664</v>
      </c>
      <c r="E4255" s="3" t="str">
        <f ca="1">IF(Tabela2[[#This Row],[Dt Venc:]]&gt;TODAY(),"Em Aberto",IF(Tabela2[[#This Row],[D/venc]]="-","Enviado",IF(Tabela2[[#This Row],[Dt Venc:]]=TODAY(),"Vence Hoje","Vencida")))</f>
        <v>Enviado</v>
      </c>
      <c r="F4255" s="3" t="str">
        <f ca="1">IF(G4255=1,"-",Tabela2[[#This Row],[Dt Venc:]]-TODAY())</f>
        <v>-</v>
      </c>
      <c r="G4255" s="3">
        <v>1</v>
      </c>
      <c r="H4255" s="3"/>
    </row>
    <row r="4256" spans="1:8" hidden="1">
      <c r="A4256" s="3">
        <v>6043</v>
      </c>
      <c r="B4256" s="7" t="s">
        <v>140</v>
      </c>
      <c r="C4256" s="41">
        <v>2469.6</v>
      </c>
      <c r="D4256" s="6">
        <v>45664</v>
      </c>
      <c r="E4256" s="3" t="str">
        <f ca="1">IF(Tabela2[[#This Row],[Dt Venc:]]&gt;TODAY(),"Em Aberto",IF(Tabela2[[#This Row],[D/venc]]="-","Enviado",IF(Tabela2[[#This Row],[Dt Venc:]]=TODAY(),"Vence Hoje","Vencida")))</f>
        <v>Enviado</v>
      </c>
      <c r="F4256" s="3" t="str">
        <f ca="1">IF(G4256=1,"-",Tabela2[[#This Row],[Dt Venc:]]-TODAY())</f>
        <v>-</v>
      </c>
      <c r="G4256" s="3">
        <v>1</v>
      </c>
      <c r="H4256" s="3"/>
    </row>
    <row r="4257" spans="1:8" hidden="1">
      <c r="A4257" s="3">
        <v>5981</v>
      </c>
      <c r="B4257" s="7" t="s">
        <v>47</v>
      </c>
      <c r="C4257" s="42">
        <v>2257.67</v>
      </c>
      <c r="D4257" s="6">
        <v>45664</v>
      </c>
      <c r="E4257" s="3" t="str">
        <f ca="1">IF(Tabela2[[#This Row],[Dt Venc:]]&gt;TODAY(),"Em Aberto",IF(Tabela2[[#This Row],[D/venc]]="-","Enviado",IF(Tabela2[[#This Row],[Dt Venc:]]=TODAY(),"Vence Hoje","Vencida")))</f>
        <v>Enviado</v>
      </c>
      <c r="F4257" s="3" t="str">
        <f ca="1">IF(G4257=1,"-",Tabela2[[#This Row],[Dt Venc:]]-TODAY())</f>
        <v>-</v>
      </c>
      <c r="G4257" s="3">
        <v>1</v>
      </c>
      <c r="H4257" s="3"/>
    </row>
    <row r="4258" spans="1:8" hidden="1">
      <c r="A4258" s="3">
        <v>6125</v>
      </c>
      <c r="B4258" s="7" t="s">
        <v>47</v>
      </c>
      <c r="C4258" s="41">
        <v>774.7</v>
      </c>
      <c r="D4258" s="6">
        <v>45664</v>
      </c>
      <c r="E4258" s="3" t="str">
        <f ca="1">IF(Tabela2[[#This Row],[Dt Venc:]]&gt;TODAY(),"Em Aberto",IF(Tabela2[[#This Row],[D/venc]]="-","Enviado",IF(Tabela2[[#This Row],[Dt Venc:]]=TODAY(),"Vence Hoje","Vencida")))</f>
        <v>Enviado</v>
      </c>
      <c r="F4258" s="3" t="str">
        <f ca="1">IF(G4258=1,"-",Tabela2[[#This Row],[Dt Venc:]]-TODAY())</f>
        <v>-</v>
      </c>
      <c r="G4258" s="3">
        <v>1</v>
      </c>
      <c r="H4258" s="3"/>
    </row>
    <row r="4259" spans="1:8" hidden="1">
      <c r="A4259" s="3">
        <v>23316</v>
      </c>
      <c r="B4259" s="7" t="s">
        <v>510</v>
      </c>
      <c r="C4259" s="41">
        <v>405</v>
      </c>
      <c r="D4259" s="6">
        <v>45664</v>
      </c>
      <c r="E4259" s="3" t="str">
        <f ca="1">IF(Tabela2[[#This Row],[Dt Venc:]]&gt;TODAY(),"Em Aberto",IF(Tabela2[[#This Row],[D/venc]]="-","Enviado",IF(Tabela2[[#This Row],[Dt Venc:]]=TODAY(),"Vence Hoje","Vencida")))</f>
        <v>Enviado</v>
      </c>
      <c r="F4259" s="3" t="str">
        <f ca="1">IF(G4259=1,"-",Tabela2[[#This Row],[Dt Venc:]]-TODAY())</f>
        <v>-</v>
      </c>
      <c r="G4259" s="3">
        <v>1</v>
      </c>
      <c r="H4259" s="3"/>
    </row>
    <row r="4260" spans="1:8" hidden="1">
      <c r="A4260" s="3">
        <v>583800</v>
      </c>
      <c r="B4260" s="7" t="s">
        <v>79</v>
      </c>
      <c r="C4260" s="41">
        <v>4960.62</v>
      </c>
      <c r="D4260" s="6">
        <v>45664</v>
      </c>
      <c r="E4260" s="3" t="str">
        <f ca="1">IF(Tabela2[[#This Row],[Dt Venc:]]&gt;TODAY(),"Em Aberto",IF(Tabela2[[#This Row],[D/venc]]="-","Enviado",IF(Tabela2[[#This Row],[Dt Venc:]]=TODAY(),"Vence Hoje","Vencida")))</f>
        <v>Enviado</v>
      </c>
      <c r="F4260" s="3" t="str">
        <f ca="1">IF(G4260=1,"-",Tabela2[[#This Row],[Dt Venc:]]-TODAY())</f>
        <v>-</v>
      </c>
      <c r="G4260" s="3">
        <v>1</v>
      </c>
      <c r="H4260" s="3"/>
    </row>
    <row r="4261" spans="1:8" hidden="1">
      <c r="A4261" s="3">
        <v>1257144</v>
      </c>
      <c r="B4261" s="7" t="s">
        <v>64</v>
      </c>
      <c r="C4261" s="41">
        <v>695.36</v>
      </c>
      <c r="D4261" s="6">
        <v>45664</v>
      </c>
      <c r="E4261" s="3" t="str">
        <f ca="1">IF(Tabela2[[#This Row],[Dt Venc:]]&gt;TODAY(),"Em Aberto",IF(Tabela2[[#This Row],[D/venc]]="-","Enviado",IF(Tabela2[[#This Row],[Dt Venc:]]=TODAY(),"Vence Hoje","Vencida")))</f>
        <v>Enviado</v>
      </c>
      <c r="F4261" s="3" t="str">
        <f ca="1">IF(G4261=1,"-",Tabela2[[#This Row],[Dt Venc:]]-TODAY())</f>
        <v>-</v>
      </c>
      <c r="G4261" s="3">
        <v>1</v>
      </c>
      <c r="H4261" s="3"/>
    </row>
    <row r="4262" spans="1:8" hidden="1">
      <c r="A4262" s="3">
        <v>258338</v>
      </c>
      <c r="B4262" s="7" t="s">
        <v>326</v>
      </c>
      <c r="C4262" s="41">
        <v>1716.66</v>
      </c>
      <c r="D4262" s="6">
        <v>45664</v>
      </c>
      <c r="E4262" s="3" t="str">
        <f ca="1">IF(Tabela2[[#This Row],[Dt Venc:]]&gt;TODAY(),"Em Aberto",IF(Tabela2[[#This Row],[D/venc]]="-","Enviado",IF(Tabela2[[#This Row],[Dt Venc:]]=TODAY(),"Vence Hoje","Vencida")))</f>
        <v>Enviado</v>
      </c>
      <c r="F4262" s="3" t="str">
        <f ca="1">IF(G4262=1,"-",Tabela2[[#This Row],[Dt Venc:]]-TODAY())</f>
        <v>-</v>
      </c>
      <c r="G4262" s="3">
        <v>1</v>
      </c>
      <c r="H4262" s="3"/>
    </row>
    <row r="4263" spans="1:8" hidden="1">
      <c r="A4263" s="3">
        <v>1157</v>
      </c>
      <c r="B4263" s="7" t="s">
        <v>155</v>
      </c>
      <c r="C4263" s="41">
        <v>12950</v>
      </c>
      <c r="D4263" s="6">
        <v>45664</v>
      </c>
      <c r="E4263" s="3" t="str">
        <f ca="1">IF(Tabela2[[#This Row],[Dt Venc:]]&gt;TODAY(),"Em Aberto",IF(Tabela2[[#This Row],[D/venc]]="-","Enviado",IF(Tabela2[[#This Row],[Dt Venc:]]=TODAY(),"Vence Hoje","Vencida")))</f>
        <v>Enviado</v>
      </c>
      <c r="F4263" s="3" t="str">
        <f ca="1">IF(G4263=1,"-",Tabela2[[#This Row],[Dt Venc:]]-TODAY())</f>
        <v>-</v>
      </c>
      <c r="G4263" s="3">
        <v>1</v>
      </c>
      <c r="H4263" s="3"/>
    </row>
    <row r="4264" spans="1:8" hidden="1">
      <c r="A4264" s="3">
        <v>13814</v>
      </c>
      <c r="B4264" s="7" t="s">
        <v>400</v>
      </c>
      <c r="C4264" s="41">
        <v>498.6</v>
      </c>
      <c r="D4264" s="6">
        <v>45664</v>
      </c>
      <c r="E4264" s="3" t="str">
        <f ca="1">IF(Tabela2[[#This Row],[Dt Venc:]]&gt;TODAY(),"Em Aberto",IF(Tabela2[[#This Row],[D/venc]]="-","Enviado",IF(Tabela2[[#This Row],[Dt Venc:]]=TODAY(),"Vence Hoje","Vencida")))</f>
        <v>Enviado</v>
      </c>
      <c r="F4264" s="3" t="str">
        <f ca="1">IF(G4264=1,"-",Tabela2[[#This Row],[Dt Venc:]]-TODAY())</f>
        <v>-</v>
      </c>
      <c r="G4264" s="3">
        <v>1</v>
      </c>
      <c r="H4264" s="3"/>
    </row>
    <row r="4265" spans="1:8" hidden="1">
      <c r="A4265" s="3">
        <v>265431</v>
      </c>
      <c r="B4265" s="7" t="s">
        <v>43</v>
      </c>
      <c r="C4265" s="41">
        <v>1361.08</v>
      </c>
      <c r="D4265" s="6">
        <v>45664</v>
      </c>
      <c r="E4265" s="3" t="str">
        <f ca="1">IF(Tabela2[[#This Row],[Dt Venc:]]&gt;TODAY(),"Em Aberto",IF(Tabela2[[#This Row],[D/venc]]="-","Enviado",IF(Tabela2[[#This Row],[Dt Venc:]]=TODAY(),"Vence Hoje","Vencida")))</f>
        <v>Enviado</v>
      </c>
      <c r="F4265" s="3" t="str">
        <f ca="1">IF(G4265=1,"-",Tabela2[[#This Row],[Dt Venc:]]-TODAY())</f>
        <v>-</v>
      </c>
      <c r="G4265" s="3">
        <v>1</v>
      </c>
      <c r="H4265" s="3"/>
    </row>
    <row r="4266" spans="1:8" hidden="1">
      <c r="A4266" s="3">
        <v>39662</v>
      </c>
      <c r="B4266" s="7" t="s">
        <v>188</v>
      </c>
      <c r="C4266" s="41">
        <v>224.49</v>
      </c>
      <c r="D4266" s="6">
        <v>45664</v>
      </c>
      <c r="E4266" s="3" t="str">
        <f ca="1">IF(Tabela2[[#This Row],[Dt Venc:]]&gt;TODAY(),"Em Aberto",IF(Tabela2[[#This Row],[D/venc]]="-","Enviado",IF(Tabela2[[#This Row],[Dt Venc:]]=TODAY(),"Vence Hoje","Vencida")))</f>
        <v>Enviado</v>
      </c>
      <c r="F4266" s="3" t="str">
        <f ca="1">IF(G4266=1,"-",Tabela2[[#This Row],[Dt Venc:]]-TODAY())</f>
        <v>-</v>
      </c>
      <c r="G4266" s="3">
        <v>1</v>
      </c>
      <c r="H4266" s="3"/>
    </row>
    <row r="4267" spans="1:8" hidden="1">
      <c r="A4267" s="3">
        <v>620230</v>
      </c>
      <c r="B4267" s="7" t="s">
        <v>66</v>
      </c>
      <c r="C4267" s="41">
        <v>3353.79</v>
      </c>
      <c r="D4267" s="6">
        <v>45664</v>
      </c>
      <c r="E4267" s="3" t="str">
        <f ca="1">IF(Tabela2[[#This Row],[Dt Venc:]]&gt;TODAY(),"Em Aberto",IF(Tabela2[[#This Row],[D/venc]]="-","Enviado",IF(Tabela2[[#This Row],[Dt Venc:]]=TODAY(),"Vence Hoje","Vencida")))</f>
        <v>Enviado</v>
      </c>
      <c r="F4267" s="3" t="str">
        <f ca="1">IF(G4267=1,"-",Tabela2[[#This Row],[Dt Venc:]]-TODAY())</f>
        <v>-</v>
      </c>
      <c r="G4267" s="3">
        <v>1</v>
      </c>
      <c r="H4267" s="3"/>
    </row>
    <row r="4268" spans="1:8" hidden="1">
      <c r="A4268" s="3">
        <v>265131</v>
      </c>
      <c r="B4268" s="7" t="s">
        <v>43</v>
      </c>
      <c r="C4268" s="41">
        <v>2658.18</v>
      </c>
      <c r="D4268" s="6">
        <v>45664</v>
      </c>
      <c r="E4268" s="3" t="str">
        <f ca="1">IF(Tabela2[[#This Row],[Dt Venc:]]&gt;TODAY(),"Em Aberto",IF(Tabela2[[#This Row],[D/venc]]="-","Enviado",IF(Tabela2[[#This Row],[Dt Venc:]]=TODAY(),"Vence Hoje","Vencida")))</f>
        <v>Enviado</v>
      </c>
      <c r="F4268" s="3" t="str">
        <f ca="1">IF(G4268=1,"-",Tabela2[[#This Row],[Dt Venc:]]-TODAY())</f>
        <v>-</v>
      </c>
      <c r="G4268" s="3">
        <v>1</v>
      </c>
      <c r="H4268" s="3"/>
    </row>
    <row r="4269" spans="1:8" hidden="1">
      <c r="A4269" s="3">
        <v>15368</v>
      </c>
      <c r="B4269" s="7" t="s">
        <v>606</v>
      </c>
      <c r="C4269" s="41">
        <v>1596</v>
      </c>
      <c r="D4269" s="6">
        <v>45664</v>
      </c>
      <c r="E4269" s="3" t="str">
        <f ca="1">IF(Tabela2[[#This Row],[Dt Venc:]]&gt;TODAY(),"Em Aberto",IF(Tabela2[[#This Row],[D/venc]]="-","Enviado",IF(Tabela2[[#This Row],[Dt Venc:]]=TODAY(),"Vence Hoje","Vencida")))</f>
        <v>Enviado</v>
      </c>
      <c r="F4269" s="3" t="str">
        <f ca="1">IF(G4269=1,"-",Tabela2[[#This Row],[Dt Venc:]]-TODAY())</f>
        <v>-</v>
      </c>
      <c r="G4269" s="3">
        <v>1</v>
      </c>
      <c r="H4269" s="3"/>
    </row>
    <row r="4270" spans="1:8" hidden="1">
      <c r="A4270" s="3">
        <v>13459</v>
      </c>
      <c r="B4270" s="7" t="s">
        <v>607</v>
      </c>
      <c r="C4270" s="41">
        <v>224</v>
      </c>
      <c r="D4270" s="6">
        <v>45664</v>
      </c>
      <c r="E4270" s="3" t="str">
        <f ca="1">IF(Tabela2[[#This Row],[Dt Venc:]]&gt;TODAY(),"Em Aberto",IF(Tabela2[[#This Row],[D/venc]]="-","Enviado",IF(Tabela2[[#This Row],[Dt Venc:]]=TODAY(),"Vence Hoje","Vencida")))</f>
        <v>Enviado</v>
      </c>
      <c r="F4270" s="3" t="str">
        <f ca="1">IF(G4270=1,"-",Tabela2[[#This Row],[Dt Venc:]]-TODAY())</f>
        <v>-</v>
      </c>
      <c r="G4270" s="3">
        <v>1</v>
      </c>
      <c r="H4270" s="3"/>
    </row>
    <row r="4271" spans="1:8" hidden="1">
      <c r="A4271" s="47">
        <v>2281786</v>
      </c>
      <c r="B4271" s="7" t="s">
        <v>59</v>
      </c>
      <c r="C4271" s="41">
        <v>56178</v>
      </c>
      <c r="D4271" s="6">
        <v>45664</v>
      </c>
      <c r="E4271" s="3" t="str">
        <f ca="1">IF(Tabela2[[#This Row],[Dt Venc:]]&gt;TODAY(),"Em Aberto",IF(Tabela2[[#This Row],[D/venc]]="-","Enviado",IF(Tabela2[[#This Row],[Dt Venc:]]=TODAY(),"Vence Hoje","Vencida")))</f>
        <v>Enviado</v>
      </c>
      <c r="F4271" s="3" t="str">
        <f ca="1">IF(G4271=1,"-",Tabela2[[#This Row],[Dt Venc:]]-TODAY())</f>
        <v>-</v>
      </c>
      <c r="G4271" s="3">
        <v>1</v>
      </c>
      <c r="H4271" s="3"/>
    </row>
    <row r="4272" spans="1:8" hidden="1">
      <c r="A4272" s="3">
        <v>4008602</v>
      </c>
      <c r="B4272" s="7" t="s">
        <v>380</v>
      </c>
      <c r="C4272" s="41">
        <v>1000</v>
      </c>
      <c r="D4272" s="6">
        <v>45664</v>
      </c>
      <c r="E4272" s="3" t="str">
        <f ca="1">IF(Tabela2[[#This Row],[Dt Venc:]]&gt;TODAY(),"Em Aberto",IF(Tabela2[[#This Row],[D/venc]]="-","Enviado",IF(Tabela2[[#This Row],[Dt Venc:]]=TODAY(),"Vence Hoje","Vencida")))</f>
        <v>Enviado</v>
      </c>
      <c r="F4272" s="3" t="str">
        <f ca="1">IF(G4272=1,"-",Tabela2[[#This Row],[Dt Venc:]]-TODAY())</f>
        <v>-</v>
      </c>
      <c r="G4272" s="3">
        <v>1</v>
      </c>
      <c r="H4272" s="3"/>
    </row>
    <row r="4273" spans="1:8" hidden="1">
      <c r="A4273" s="3">
        <v>4008601</v>
      </c>
      <c r="B4273" s="7" t="s">
        <v>380</v>
      </c>
      <c r="C4273" s="41">
        <v>1000</v>
      </c>
      <c r="D4273" s="6">
        <v>45664</v>
      </c>
      <c r="E4273" s="3" t="str">
        <f ca="1">IF(Tabela2[[#This Row],[Dt Venc:]]&gt;TODAY(),"Em Aberto",IF(Tabela2[[#This Row],[D/venc]]="-","Enviado",IF(Tabela2[[#This Row],[Dt Venc:]]=TODAY(),"Vence Hoje","Vencida")))</f>
        <v>Enviado</v>
      </c>
      <c r="F4273" s="3" t="str">
        <f ca="1">IF(G4273=1,"-",Tabela2[[#This Row],[Dt Venc:]]-TODAY())</f>
        <v>-</v>
      </c>
      <c r="G4273" s="3">
        <v>1</v>
      </c>
      <c r="H4273" s="3"/>
    </row>
    <row r="4274" spans="1:8" hidden="1">
      <c r="A4274" s="3">
        <v>3329506</v>
      </c>
      <c r="B4274" s="7" t="s">
        <v>71</v>
      </c>
      <c r="C4274" s="41">
        <v>83617.5</v>
      </c>
      <c r="D4274" s="6">
        <v>45664</v>
      </c>
      <c r="E4274" s="3" t="str">
        <f ca="1">IF(Tabela2[[#This Row],[Dt Venc:]]&gt;TODAY(),"Em Aberto",IF(Tabela2[[#This Row],[D/venc]]="-","Enviado",IF(Tabela2[[#This Row],[Dt Venc:]]=TODAY(),"Vence Hoje","Vencida")))</f>
        <v>Enviado</v>
      </c>
      <c r="F4274" s="3" t="str">
        <f ca="1">IF(G4274=1,"-",Tabela2[[#This Row],[Dt Venc:]]-TODAY())</f>
        <v>-</v>
      </c>
      <c r="G4274" s="3">
        <v>1</v>
      </c>
      <c r="H4274" s="3"/>
    </row>
    <row r="4275" spans="1:8" hidden="1">
      <c r="A4275" s="3">
        <v>142611</v>
      </c>
      <c r="B4275" s="7" t="s">
        <v>60</v>
      </c>
      <c r="C4275" s="41">
        <v>390</v>
      </c>
      <c r="D4275" s="6">
        <v>45664</v>
      </c>
      <c r="E4275" s="3" t="str">
        <f ca="1">IF(Tabela2[[#This Row],[Dt Venc:]]&gt;TODAY(),"Em Aberto",IF(Tabela2[[#This Row],[D/venc]]="-","Enviado",IF(Tabela2[[#This Row],[Dt Venc:]]=TODAY(),"Vence Hoje","Vencida")))</f>
        <v>Enviado</v>
      </c>
      <c r="F4275" s="3" t="str">
        <f ca="1">IF(G4275=1,"-",Tabela2[[#This Row],[Dt Venc:]]-TODAY())</f>
        <v>-</v>
      </c>
      <c r="G4275" s="3">
        <v>1</v>
      </c>
      <c r="H4275" s="3"/>
    </row>
    <row r="4276" spans="1:8" hidden="1">
      <c r="A4276" s="3">
        <v>117570</v>
      </c>
      <c r="B4276" s="7" t="s">
        <v>89</v>
      </c>
      <c r="C4276" s="41">
        <v>300</v>
      </c>
      <c r="D4276" s="6">
        <v>45664</v>
      </c>
      <c r="E4276" s="3" t="str">
        <f ca="1">IF(Tabela2[[#This Row],[Dt Venc:]]&gt;TODAY(),"Em Aberto",IF(Tabela2[[#This Row],[D/venc]]="-","Enviado",IF(Tabela2[[#This Row],[Dt Venc:]]=TODAY(),"Vence Hoje","Vencida")))</f>
        <v>Enviado</v>
      </c>
      <c r="F4276" s="3" t="str">
        <f ca="1">IF(G4276=1,"-",Tabela2[[#This Row],[Dt Venc:]]-TODAY())</f>
        <v>-</v>
      </c>
      <c r="G4276" s="3">
        <v>1</v>
      </c>
      <c r="H4276" s="3"/>
    </row>
    <row r="4277" spans="1:8" hidden="1">
      <c r="A4277" s="3">
        <v>10991</v>
      </c>
      <c r="B4277" s="7" t="s">
        <v>33</v>
      </c>
      <c r="C4277" s="42">
        <v>1920</v>
      </c>
      <c r="D4277" s="6">
        <v>45665</v>
      </c>
      <c r="E4277" s="3" t="str">
        <f ca="1">IF(Tabela2[[#This Row],[Dt Venc:]]&gt;TODAY(),"Em Aberto",IF(Tabela2[[#This Row],[D/venc]]="-","Enviado",IF(Tabela2[[#This Row],[Dt Venc:]]=TODAY(),"Vence Hoje","Vencida")))</f>
        <v>Enviado</v>
      </c>
      <c r="F4277" s="3" t="str">
        <f ca="1">IF(G4277=1,"-",Tabela2[[#This Row],[Dt Venc:]]-TODAY())</f>
        <v>-</v>
      </c>
      <c r="G4277" s="3">
        <v>1</v>
      </c>
      <c r="H4277" s="3"/>
    </row>
    <row r="4278" spans="1:8" hidden="1">
      <c r="A4278" s="3">
        <v>23265</v>
      </c>
      <c r="B4278" s="7" t="s">
        <v>38</v>
      </c>
      <c r="C4278" s="42">
        <v>384.67</v>
      </c>
      <c r="D4278" s="6">
        <v>45665</v>
      </c>
      <c r="E4278" s="3" t="str">
        <f ca="1">IF(Tabela2[[#This Row],[Dt Venc:]]&gt;TODAY(),"Em Aberto",IF(Tabela2[[#This Row],[D/venc]]="-","Enviado",IF(Tabela2[[#This Row],[Dt Venc:]]=TODAY(),"Vence Hoje","Vencida")))</f>
        <v>Enviado</v>
      </c>
      <c r="F4278" s="3" t="str">
        <f ca="1">IF(G4278=1,"-",Tabela2[[#This Row],[Dt Venc:]]-TODAY())</f>
        <v>-</v>
      </c>
      <c r="G4278" s="3">
        <v>1</v>
      </c>
      <c r="H4278" s="3"/>
    </row>
    <row r="4279" spans="1:8" hidden="1">
      <c r="A4279" s="3">
        <v>369905</v>
      </c>
      <c r="B4279" s="7" t="s">
        <v>420</v>
      </c>
      <c r="C4279" s="41">
        <v>1113.83</v>
      </c>
      <c r="D4279" s="6">
        <v>45665</v>
      </c>
      <c r="E4279" s="3" t="str">
        <f ca="1">IF(Tabela2[[#This Row],[Dt Venc:]]&gt;TODAY(),"Em Aberto",IF(Tabela2[[#This Row],[D/venc]]="-","Enviado",IF(Tabela2[[#This Row],[Dt Venc:]]=TODAY(),"Vence Hoje","Vencida")))</f>
        <v>Enviado</v>
      </c>
      <c r="F4279" s="3" t="str">
        <f ca="1">IF(G4279=1,"-",Tabela2[[#This Row],[Dt Venc:]]-TODAY())</f>
        <v>-</v>
      </c>
      <c r="G4279" s="3">
        <v>1</v>
      </c>
      <c r="H4279" s="3"/>
    </row>
    <row r="4280" spans="1:8" hidden="1">
      <c r="A4280" s="3">
        <v>234133</v>
      </c>
      <c r="B4280" s="7" t="s">
        <v>43</v>
      </c>
      <c r="C4280" s="42">
        <v>1410.36</v>
      </c>
      <c r="D4280" s="6">
        <v>45665</v>
      </c>
      <c r="E4280" s="3" t="str">
        <f ca="1">IF(Tabela2[[#This Row],[Dt Venc:]]&gt;TODAY(),"Em Aberto",IF(Tabela2[[#This Row],[D/venc]]="-","Enviado",IF(Tabela2[[#This Row],[Dt Venc:]]=TODAY(),"Vence Hoje","Vencida")))</f>
        <v>Enviado</v>
      </c>
      <c r="F4280" s="3" t="str">
        <f ca="1">IF(G4280=1,"-",Tabela2[[#This Row],[Dt Venc:]]-TODAY())</f>
        <v>-</v>
      </c>
      <c r="G4280" s="3">
        <v>1</v>
      </c>
      <c r="H4280" s="3"/>
    </row>
    <row r="4281" spans="1:8" hidden="1">
      <c r="A4281" s="3">
        <v>326910</v>
      </c>
      <c r="B4281" s="7" t="s">
        <v>240</v>
      </c>
      <c r="C4281" s="42">
        <v>387.67</v>
      </c>
      <c r="D4281" s="6">
        <v>45665</v>
      </c>
      <c r="E4281" s="3" t="str">
        <f ca="1">IF(Tabela2[[#This Row],[Dt Venc:]]&gt;TODAY(),"Em Aberto",IF(Tabela2[[#This Row],[D/venc]]="-","Enviado",IF(Tabela2[[#This Row],[Dt Venc:]]=TODAY(),"Vence Hoje","Vencida")))</f>
        <v>Enviado</v>
      </c>
      <c r="F4281" s="3" t="str">
        <f ca="1">IF(G4281=1,"-",Tabela2[[#This Row],[Dt Venc:]]-TODAY())</f>
        <v>-</v>
      </c>
      <c r="G4281" s="3">
        <v>1</v>
      </c>
      <c r="H4281" s="3"/>
    </row>
    <row r="4282" spans="1:8" hidden="1">
      <c r="A4282" s="3">
        <v>30551</v>
      </c>
      <c r="B4282" s="7" t="s">
        <v>70</v>
      </c>
      <c r="C4282" s="42">
        <v>1265.24</v>
      </c>
      <c r="D4282" s="6">
        <v>45665</v>
      </c>
      <c r="E4282" s="3" t="str">
        <f ca="1">IF(Tabela2[[#This Row],[Dt Venc:]]&gt;TODAY(),"Em Aberto",IF(Tabela2[[#This Row],[D/venc]]="-","Enviado",IF(Tabela2[[#This Row],[Dt Venc:]]=TODAY(),"Vence Hoje","Vencida")))</f>
        <v>Enviado</v>
      </c>
      <c r="F4282" s="3" t="str">
        <f ca="1">IF(G4282=1,"-",Tabela2[[#This Row],[Dt Venc:]]-TODAY())</f>
        <v>-</v>
      </c>
      <c r="G4282" s="3">
        <v>1</v>
      </c>
      <c r="H4282" s="3"/>
    </row>
    <row r="4283" spans="1:8" hidden="1">
      <c r="A4283" s="3">
        <v>39431</v>
      </c>
      <c r="B4283" s="7" t="s">
        <v>70</v>
      </c>
      <c r="C4283" s="42">
        <v>1740.48</v>
      </c>
      <c r="D4283" s="6">
        <v>45665</v>
      </c>
      <c r="E4283" s="3" t="str">
        <f ca="1">IF(Tabela2[[#This Row],[Dt Venc:]]&gt;TODAY(),"Em Aberto",IF(Tabela2[[#This Row],[D/venc]]="-","Enviado",IF(Tabela2[[#This Row],[Dt Venc:]]=TODAY(),"Vence Hoje","Vencida")))</f>
        <v>Enviado</v>
      </c>
      <c r="F4283" s="3" t="str">
        <f ca="1">IF(G4283=1,"-",Tabela2[[#This Row],[Dt Venc:]]-TODAY())</f>
        <v>-</v>
      </c>
      <c r="G4283" s="3">
        <v>1</v>
      </c>
      <c r="H4283" s="3"/>
    </row>
    <row r="4284" spans="1:8" hidden="1">
      <c r="A4284" s="3">
        <v>284620</v>
      </c>
      <c r="B4284" s="7" t="s">
        <v>153</v>
      </c>
      <c r="C4284" s="84" t="s">
        <v>32</v>
      </c>
      <c r="D4284" s="6">
        <v>45665</v>
      </c>
      <c r="E4284" s="3" t="str">
        <f ca="1">IF(Tabela2[[#This Row],[Dt Venc:]]&gt;TODAY(),"Em Aberto",IF(Tabela2[[#This Row],[D/venc]]="-","Enviado",IF(Tabela2[[#This Row],[Dt Venc:]]=TODAY(),"Vence Hoje","Vencida")))</f>
        <v>Enviado</v>
      </c>
      <c r="F4284" s="3" t="str">
        <f ca="1">IF(G4284=1,"-",Tabela2[[#This Row],[Dt Venc:]]-TODAY())</f>
        <v>-</v>
      </c>
      <c r="G4284" s="3">
        <v>1</v>
      </c>
      <c r="H4284" s="3"/>
    </row>
    <row r="4285" spans="1:8" hidden="1">
      <c r="A4285" s="3">
        <v>29116</v>
      </c>
      <c r="B4285" s="7" t="s">
        <v>70</v>
      </c>
      <c r="C4285" s="42">
        <v>1298.74</v>
      </c>
      <c r="D4285" s="6">
        <v>45665</v>
      </c>
      <c r="E4285" s="3" t="str">
        <f ca="1">IF(Tabela2[[#This Row],[Dt Venc:]]&gt;TODAY(),"Em Aberto",IF(Tabela2[[#This Row],[D/venc]]="-","Enviado",IF(Tabela2[[#This Row],[Dt Venc:]]=TODAY(),"Vence Hoje","Vencida")))</f>
        <v>Enviado</v>
      </c>
      <c r="F4285" s="3" t="str">
        <f ca="1">IF(G4285=1,"-",Tabela2[[#This Row],[Dt Venc:]]-TODAY())</f>
        <v>-</v>
      </c>
      <c r="G4285" s="3">
        <v>1</v>
      </c>
      <c r="H4285" s="3"/>
    </row>
    <row r="4286" spans="1:8" hidden="1">
      <c r="A4286" s="3">
        <v>2000</v>
      </c>
      <c r="B4286" s="7" t="s">
        <v>475</v>
      </c>
      <c r="C4286" s="41">
        <v>1134</v>
      </c>
      <c r="D4286" s="6">
        <v>45665</v>
      </c>
      <c r="E4286" s="3" t="str">
        <f ca="1">IF(Tabela2[[#This Row],[Dt Venc:]]&gt;TODAY(),"Em Aberto",IF(Tabela2[[#This Row],[D/venc]]="-","Enviado",IF(Tabela2[[#This Row],[Dt Venc:]]=TODAY(),"Vence Hoje","Vencida")))</f>
        <v>Enviado</v>
      </c>
      <c r="F4286" s="3" t="str">
        <f ca="1">IF(G4286=1,"-",Tabela2[[#This Row],[Dt Venc:]]-TODAY())</f>
        <v>-</v>
      </c>
      <c r="G4286" s="3">
        <v>1</v>
      </c>
      <c r="H4286" s="3"/>
    </row>
    <row r="4287" spans="1:8" hidden="1">
      <c r="A4287" s="3">
        <v>23079</v>
      </c>
      <c r="B4287" s="7" t="s">
        <v>409</v>
      </c>
      <c r="C4287" s="42">
        <v>704</v>
      </c>
      <c r="D4287" s="6">
        <v>45665</v>
      </c>
      <c r="E4287" s="3" t="str">
        <f ca="1">IF(Tabela2[[#This Row],[Dt Venc:]]&gt;TODAY(),"Em Aberto",IF(Tabela2[[#This Row],[D/venc]]="-","Enviado",IF(Tabela2[[#This Row],[Dt Venc:]]=TODAY(),"Vence Hoje","Vencida")))</f>
        <v>Enviado</v>
      </c>
      <c r="F4287" s="3" t="str">
        <f ca="1">IF(G4287=1,"-",Tabela2[[#This Row],[Dt Venc:]]-TODAY())</f>
        <v>-</v>
      </c>
      <c r="G4287" s="3">
        <v>1</v>
      </c>
      <c r="H4287" s="3"/>
    </row>
    <row r="4288" spans="1:8" hidden="1">
      <c r="A4288" s="3">
        <v>14255</v>
      </c>
      <c r="B4288" s="7" t="s">
        <v>608</v>
      </c>
      <c r="C4288" s="41">
        <v>420</v>
      </c>
      <c r="D4288" s="6">
        <v>45665</v>
      </c>
      <c r="E4288" s="3" t="str">
        <f ca="1">IF(Tabela2[[#This Row],[Dt Venc:]]&gt;TODAY(),"Em Aberto",IF(Tabela2[[#This Row],[D/venc]]="-","Enviado",IF(Tabela2[[#This Row],[Dt Venc:]]=TODAY(),"Vence Hoje","Vencida")))</f>
        <v>Enviado</v>
      </c>
      <c r="F4288" s="3" t="str">
        <f ca="1">IF(G4288=1,"-",Tabela2[[#This Row],[Dt Venc:]]-TODAY())</f>
        <v>-</v>
      </c>
      <c r="G4288" s="3">
        <v>1</v>
      </c>
      <c r="H4288" s="3"/>
    </row>
    <row r="4289" spans="1:8" hidden="1">
      <c r="A4289" s="3">
        <v>448304</v>
      </c>
      <c r="B4289" s="7" t="s">
        <v>609</v>
      </c>
      <c r="C4289" s="41">
        <v>647.20000000000005</v>
      </c>
      <c r="D4289" s="6">
        <v>45665</v>
      </c>
      <c r="E4289" s="3" t="str">
        <f ca="1">IF(Tabela2[[#This Row],[Dt Venc:]]&gt;TODAY(),"Em Aberto",IF(Tabela2[[#This Row],[D/venc]]="-","Enviado",IF(Tabela2[[#This Row],[Dt Venc:]]=TODAY(),"Vence Hoje","Vencida")))</f>
        <v>Enviado</v>
      </c>
      <c r="F4289" s="3" t="str">
        <f ca="1">IF(G4289=1,"-",Tabela2[[#This Row],[Dt Venc:]]-TODAY())</f>
        <v>-</v>
      </c>
      <c r="G4289" s="3">
        <v>1</v>
      </c>
      <c r="H4289" s="3"/>
    </row>
    <row r="4290" spans="1:8" hidden="1">
      <c r="A4290" s="3">
        <v>36568</v>
      </c>
      <c r="B4290" s="7" t="s">
        <v>610</v>
      </c>
      <c r="C4290" s="41">
        <v>156.35</v>
      </c>
      <c r="D4290" s="6">
        <v>45665</v>
      </c>
      <c r="E4290" s="3" t="str">
        <f ca="1">IF(Tabela2[[#This Row],[Dt Venc:]]&gt;TODAY(),"Em Aberto",IF(Tabela2[[#This Row],[D/venc]]="-","Enviado",IF(Tabela2[[#This Row],[Dt Venc:]]=TODAY(),"Vence Hoje","Vencida")))</f>
        <v>Enviado</v>
      </c>
      <c r="F4290" s="3" t="str">
        <f ca="1">IF(G4290=1,"-",Tabela2[[#This Row],[Dt Venc:]]-TODAY())</f>
        <v>-</v>
      </c>
      <c r="G4290" s="3">
        <v>1</v>
      </c>
      <c r="H4290" s="3"/>
    </row>
    <row r="4291" spans="1:8" hidden="1">
      <c r="A4291" s="3">
        <v>53807</v>
      </c>
      <c r="B4291" s="7" t="s">
        <v>611</v>
      </c>
      <c r="C4291" s="41">
        <v>753.59</v>
      </c>
      <c r="D4291" s="6">
        <v>45665</v>
      </c>
      <c r="E4291" s="3" t="str">
        <f ca="1">IF(Tabela2[[#This Row],[Dt Venc:]]&gt;TODAY(),"Em Aberto",IF(Tabela2[[#This Row],[D/venc]]="-","Enviado",IF(Tabela2[[#This Row],[Dt Venc:]]=TODAY(),"Vence Hoje","Vencida")))</f>
        <v>Enviado</v>
      </c>
      <c r="F4291" s="3" t="str">
        <f ca="1">IF(G4291=1,"-",Tabela2[[#This Row],[Dt Venc:]]-TODAY())</f>
        <v>-</v>
      </c>
      <c r="G4291" s="3">
        <v>1</v>
      </c>
      <c r="H4291" s="3"/>
    </row>
    <row r="4292" spans="1:8" hidden="1">
      <c r="A4292" s="3">
        <v>53808</v>
      </c>
      <c r="B4292" s="7" t="s">
        <v>611</v>
      </c>
      <c r="C4292" s="41">
        <v>598.41</v>
      </c>
      <c r="D4292" s="6">
        <v>45665</v>
      </c>
      <c r="E4292" s="3" t="str">
        <f ca="1">IF(Tabela2[[#This Row],[Dt Venc:]]&gt;TODAY(),"Em Aberto",IF(Tabela2[[#This Row],[D/venc]]="-","Enviado",IF(Tabela2[[#This Row],[Dt Venc:]]=TODAY(),"Vence Hoje","Vencida")))</f>
        <v>Enviado</v>
      </c>
      <c r="F4292" s="3" t="str">
        <f ca="1">IF(G4292=1,"-",Tabela2[[#This Row],[Dt Venc:]]-TODAY())</f>
        <v>-</v>
      </c>
      <c r="G4292" s="3">
        <v>1</v>
      </c>
      <c r="H4292" s="3"/>
    </row>
    <row r="4293" spans="1:8" hidden="1">
      <c r="A4293" s="3">
        <v>43</v>
      </c>
      <c r="B4293" s="7" t="s">
        <v>173</v>
      </c>
      <c r="C4293" s="41">
        <v>1416.6</v>
      </c>
      <c r="D4293" s="6">
        <v>45665</v>
      </c>
      <c r="E4293" s="3" t="str">
        <f ca="1">IF(Tabela2[[#This Row],[Dt Venc:]]&gt;TODAY(),"Em Aberto",IF(Tabela2[[#This Row],[D/venc]]="-","Enviado",IF(Tabela2[[#This Row],[Dt Venc:]]=TODAY(),"Vence Hoje","Vencida")))</f>
        <v>Enviado</v>
      </c>
      <c r="F4293" s="3" t="str">
        <f ca="1">IF(G4293=1,"-",Tabela2[[#This Row],[Dt Venc:]]-TODAY())</f>
        <v>-</v>
      </c>
      <c r="G4293" s="3">
        <v>1</v>
      </c>
      <c r="H4293" s="3"/>
    </row>
    <row r="4294" spans="1:8" hidden="1">
      <c r="A4294" s="3">
        <v>109685</v>
      </c>
      <c r="B4294" s="7" t="s">
        <v>612</v>
      </c>
      <c r="C4294" s="41">
        <v>2393.33</v>
      </c>
      <c r="D4294" s="6">
        <v>45665</v>
      </c>
      <c r="E4294" s="3" t="str">
        <f ca="1">IF(Tabela2[[#This Row],[Dt Venc:]]&gt;TODAY(),"Em Aberto",IF(Tabela2[[#This Row],[D/venc]]="-","Enviado",IF(Tabela2[[#This Row],[Dt Venc:]]=TODAY(),"Vence Hoje","Vencida")))</f>
        <v>Enviado</v>
      </c>
      <c r="F4294" s="3" t="str">
        <f ca="1">IF(G4294=1,"-",Tabela2[[#This Row],[Dt Venc:]]-TODAY())</f>
        <v>-</v>
      </c>
      <c r="G4294" s="3">
        <v>1</v>
      </c>
      <c r="H4294" s="3"/>
    </row>
    <row r="4295" spans="1:8" hidden="1">
      <c r="A4295" s="3">
        <v>30919</v>
      </c>
      <c r="B4295" s="7" t="s">
        <v>97</v>
      </c>
      <c r="C4295" s="41">
        <v>1542</v>
      </c>
      <c r="D4295" s="6">
        <v>45665</v>
      </c>
      <c r="E4295" s="3" t="str">
        <f ca="1">IF(Tabela2[[#This Row],[Dt Venc:]]&gt;TODAY(),"Em Aberto",IF(Tabela2[[#This Row],[D/venc]]="-","Enviado",IF(Tabela2[[#This Row],[Dt Venc:]]=TODAY(),"Vence Hoje","Vencida")))</f>
        <v>Enviado</v>
      </c>
      <c r="F4295" s="3" t="str">
        <f ca="1">IF(G4295=1,"-",Tabela2[[#This Row],[Dt Venc:]]-TODAY())</f>
        <v>-</v>
      </c>
      <c r="G4295" s="3">
        <v>1</v>
      </c>
      <c r="H4295" s="3"/>
    </row>
    <row r="4296" spans="1:8" hidden="1">
      <c r="A4296" s="3">
        <v>24055</v>
      </c>
      <c r="B4296" s="7" t="s">
        <v>38</v>
      </c>
      <c r="C4296" s="41">
        <v>540</v>
      </c>
      <c r="D4296" s="6">
        <v>45665</v>
      </c>
      <c r="E4296" s="3" t="str">
        <f ca="1">IF(Tabela2[[#This Row],[Dt Venc:]]&gt;TODAY(),"Em Aberto",IF(Tabela2[[#This Row],[D/venc]]="-","Enviado",IF(Tabela2[[#This Row],[Dt Venc:]]=TODAY(),"Vence Hoje","Vencida")))</f>
        <v>Enviado</v>
      </c>
      <c r="F4296" s="3" t="str">
        <f ca="1">IF(G4296=1,"-",Tabela2[[#This Row],[Dt Venc:]]-TODAY())</f>
        <v>-</v>
      </c>
      <c r="G4296" s="3">
        <v>1</v>
      </c>
      <c r="H4296" s="3"/>
    </row>
    <row r="4297" spans="1:8" hidden="1">
      <c r="A4297" s="3">
        <v>307002</v>
      </c>
      <c r="B4297" s="7" t="s">
        <v>189</v>
      </c>
      <c r="C4297" s="41">
        <v>612.47</v>
      </c>
      <c r="D4297" s="6">
        <v>45665</v>
      </c>
      <c r="E4297" s="3" t="str">
        <f ca="1">IF(Tabela2[[#This Row],[Dt Venc:]]&gt;TODAY(),"Em Aberto",IF(Tabela2[[#This Row],[D/venc]]="-","Enviado",IF(Tabela2[[#This Row],[Dt Venc:]]=TODAY(),"Vence Hoje","Vencida")))</f>
        <v>Enviado</v>
      </c>
      <c r="F4297" s="3" t="str">
        <f ca="1">IF(G4297=1,"-",Tabela2[[#This Row],[Dt Venc:]]-TODAY())</f>
        <v>-</v>
      </c>
      <c r="G4297" s="3">
        <v>1</v>
      </c>
      <c r="H4297" s="3"/>
    </row>
    <row r="4298" spans="1:8" hidden="1">
      <c r="A4298" s="3">
        <v>1421039</v>
      </c>
      <c r="B4298" s="7" t="s">
        <v>151</v>
      </c>
      <c r="C4298" s="41">
        <v>730.27</v>
      </c>
      <c r="D4298" s="6">
        <v>45665</v>
      </c>
      <c r="E4298" s="3" t="str">
        <f ca="1">IF(Tabela2[[#This Row],[Dt Venc:]]&gt;TODAY(),"Em Aberto",IF(Tabela2[[#This Row],[D/venc]]="-","Enviado",IF(Tabela2[[#This Row],[Dt Venc:]]=TODAY(),"Vence Hoje","Vencida")))</f>
        <v>Enviado</v>
      </c>
      <c r="F4298" s="3" t="str">
        <f ca="1">IF(G4298=1,"-",Tabela2[[#This Row],[Dt Venc:]]-TODAY())</f>
        <v>-</v>
      </c>
      <c r="G4298" s="3">
        <v>1</v>
      </c>
      <c r="H4298" s="3"/>
    </row>
    <row r="4299" spans="1:8" hidden="1">
      <c r="A4299" s="3">
        <v>36799</v>
      </c>
      <c r="B4299" s="7" t="s">
        <v>70</v>
      </c>
      <c r="C4299" s="41">
        <v>548.48</v>
      </c>
      <c r="D4299" s="6">
        <v>45665</v>
      </c>
      <c r="E4299" s="3" t="str">
        <f ca="1">IF(Tabela2[[#This Row],[Dt Venc:]]&gt;TODAY(),"Em Aberto",IF(Tabela2[[#This Row],[D/venc]]="-","Enviado",IF(Tabela2[[#This Row],[Dt Venc:]]=TODAY(),"Vence Hoje","Vencida")))</f>
        <v>Enviado</v>
      </c>
      <c r="F4299" s="3" t="str">
        <f ca="1">IF(G4299=1,"-",Tabela2[[#This Row],[Dt Venc:]]-TODAY())</f>
        <v>-</v>
      </c>
      <c r="G4299" s="3">
        <v>1</v>
      </c>
      <c r="H4299" s="3"/>
    </row>
    <row r="4300" spans="1:8" hidden="1">
      <c r="A4300" s="3">
        <v>24067</v>
      </c>
      <c r="B4300" s="7" t="s">
        <v>38</v>
      </c>
      <c r="C4300" s="41">
        <v>720</v>
      </c>
      <c r="D4300" s="6">
        <v>45665</v>
      </c>
      <c r="E4300" s="3" t="str">
        <f ca="1">IF(Tabela2[[#This Row],[Dt Venc:]]&gt;TODAY(),"Em Aberto",IF(Tabela2[[#This Row],[D/venc]]="-","Enviado",IF(Tabela2[[#This Row],[Dt Venc:]]=TODAY(),"Vence Hoje","Vencida")))</f>
        <v>Enviado</v>
      </c>
      <c r="F4300" s="3" t="str">
        <f ca="1">IF(G4300=1,"-",Tabela2[[#This Row],[Dt Venc:]]-TODAY())</f>
        <v>-</v>
      </c>
      <c r="G4300" s="3">
        <v>1</v>
      </c>
      <c r="H4300" s="3"/>
    </row>
    <row r="4301" spans="1:8" hidden="1">
      <c r="A4301" s="3">
        <v>24062</v>
      </c>
      <c r="B4301" s="7" t="s">
        <v>38</v>
      </c>
      <c r="C4301" s="41">
        <v>1201</v>
      </c>
      <c r="D4301" s="6">
        <v>45665</v>
      </c>
      <c r="E4301" s="3" t="str">
        <f ca="1">IF(Tabela2[[#This Row],[Dt Venc:]]&gt;TODAY(),"Em Aberto",IF(Tabela2[[#This Row],[D/venc]]="-","Enviado",IF(Tabela2[[#This Row],[Dt Venc:]]=TODAY(),"Vence Hoje","Vencida")))</f>
        <v>Enviado</v>
      </c>
      <c r="F4301" s="3" t="str">
        <f ca="1">IF(G4301=1,"-",Tabela2[[#This Row],[Dt Venc:]]-TODAY())</f>
        <v>-</v>
      </c>
      <c r="G4301" s="3">
        <v>1</v>
      </c>
      <c r="H4301" s="3"/>
    </row>
    <row r="4302" spans="1:8" hidden="1">
      <c r="A4302" s="3">
        <v>114983</v>
      </c>
      <c r="B4302" s="7" t="s">
        <v>209</v>
      </c>
      <c r="C4302" s="41">
        <v>335</v>
      </c>
      <c r="D4302" s="6">
        <v>45665</v>
      </c>
      <c r="E4302" s="3" t="str">
        <f ca="1">IF(Tabela2[[#This Row],[Dt Venc:]]&gt;TODAY(),"Em Aberto",IF(Tabela2[[#This Row],[D/venc]]="-","Enviado",IF(Tabela2[[#This Row],[Dt Venc:]]=TODAY(),"Vence Hoje","Vencida")))</f>
        <v>Enviado</v>
      </c>
      <c r="F4302" s="3" t="str">
        <f ca="1">IF(G4302=1,"-",Tabela2[[#This Row],[Dt Venc:]]-TODAY())</f>
        <v>-</v>
      </c>
      <c r="G4302" s="3">
        <v>1</v>
      </c>
      <c r="H4302" s="3"/>
    </row>
    <row r="4303" spans="1:8" hidden="1">
      <c r="A4303" s="3">
        <v>53807</v>
      </c>
      <c r="B4303" s="7" t="s">
        <v>613</v>
      </c>
      <c r="C4303" s="41">
        <v>753.59</v>
      </c>
      <c r="D4303" s="6">
        <v>45665</v>
      </c>
      <c r="E4303" s="3" t="str">
        <f ca="1">IF(Tabela2[[#This Row],[Dt Venc:]]&gt;TODAY(),"Em Aberto",IF(Tabela2[[#This Row],[D/venc]]="-","Enviado",IF(Tabela2[[#This Row],[Dt Venc:]]=TODAY(),"Vence Hoje","Vencida")))</f>
        <v>Enviado</v>
      </c>
      <c r="F4303" s="3" t="str">
        <f ca="1">IF(G4303=1,"-",Tabela2[[#This Row],[Dt Venc:]]-TODAY())</f>
        <v>-</v>
      </c>
      <c r="G4303" s="3">
        <v>1</v>
      </c>
      <c r="H4303" s="3"/>
    </row>
    <row r="4304" spans="1:8" hidden="1">
      <c r="A4304" s="3">
        <v>53808</v>
      </c>
      <c r="B4304" s="7" t="s">
        <v>613</v>
      </c>
      <c r="C4304" s="41">
        <v>598.41</v>
      </c>
      <c r="D4304" s="6">
        <v>45665</v>
      </c>
      <c r="E4304" s="3" t="str">
        <f ca="1">IF(Tabela2[[#This Row],[Dt Venc:]]&gt;TODAY(),"Em Aberto",IF(Tabela2[[#This Row],[D/venc]]="-","Enviado",IF(Tabela2[[#This Row],[Dt Venc:]]=TODAY(),"Vence Hoje","Vencida")))</f>
        <v>Enviado</v>
      </c>
      <c r="F4304" s="3" t="str">
        <f ca="1">IF(G4304=1,"-",Tabela2[[#This Row],[Dt Venc:]]-TODAY())</f>
        <v>-</v>
      </c>
      <c r="G4304" s="3">
        <v>1</v>
      </c>
      <c r="H4304" s="3"/>
    </row>
    <row r="4305" spans="1:8" hidden="1">
      <c r="A4305" s="3">
        <v>13242</v>
      </c>
      <c r="B4305" s="7" t="s">
        <v>491</v>
      </c>
      <c r="C4305" s="41">
        <v>180</v>
      </c>
      <c r="D4305" s="6">
        <v>45665</v>
      </c>
      <c r="E4305" s="3" t="str">
        <f ca="1">IF(Tabela2[[#This Row],[Dt Venc:]]&gt;TODAY(),"Em Aberto",IF(Tabela2[[#This Row],[D/venc]]="-","Enviado",IF(Tabela2[[#This Row],[Dt Venc:]]=TODAY(),"Vence Hoje","Vencida")))</f>
        <v>Enviado</v>
      </c>
      <c r="F4305" s="3" t="str">
        <f ca="1">IF(G4305=1,"-",Tabela2[[#This Row],[Dt Venc:]]-TODAY())</f>
        <v>-</v>
      </c>
      <c r="G4305" s="3">
        <v>1</v>
      </c>
      <c r="H4305" s="3"/>
    </row>
    <row r="4306" spans="1:8" hidden="1">
      <c r="A4306" s="3">
        <v>14324</v>
      </c>
      <c r="B4306" s="7" t="s">
        <v>614</v>
      </c>
      <c r="C4306" s="41">
        <v>733.33</v>
      </c>
      <c r="D4306" s="6">
        <v>45665</v>
      </c>
      <c r="E4306" s="3" t="str">
        <f ca="1">IF(Tabela2[[#This Row],[Dt Venc:]]&gt;TODAY(),"Em Aberto",IF(Tabela2[[#This Row],[D/venc]]="-","Enviado",IF(Tabela2[[#This Row],[Dt Venc:]]=TODAY(),"Vence Hoje","Vencida")))</f>
        <v>Enviado</v>
      </c>
      <c r="F4306" s="3" t="str">
        <f ca="1">IF(G4306=1,"-",Tabela2[[#This Row],[Dt Venc:]]-TODAY())</f>
        <v>-</v>
      </c>
      <c r="G4306" s="3">
        <v>1</v>
      </c>
      <c r="H4306" s="3"/>
    </row>
    <row r="4307" spans="1:8" hidden="1">
      <c r="A4307" s="3">
        <v>2896</v>
      </c>
      <c r="B4307" s="7" t="s">
        <v>58</v>
      </c>
      <c r="C4307" s="41">
        <v>2255.14</v>
      </c>
      <c r="D4307" s="6">
        <v>45665</v>
      </c>
      <c r="E4307" s="3" t="str">
        <f ca="1">IF(Tabela2[[#This Row],[Dt Venc:]]&gt;TODAY(),"Em Aberto",IF(Tabela2[[#This Row],[D/venc]]="-","Enviado",IF(Tabela2[[#This Row],[Dt Venc:]]=TODAY(),"Vence Hoje","Vencida")))</f>
        <v>Enviado</v>
      </c>
      <c r="F4307" s="3" t="str">
        <f ca="1">IF(G4307=1,"-",Tabela2[[#This Row],[Dt Venc:]]-TODAY())</f>
        <v>-</v>
      </c>
      <c r="G4307" s="3">
        <v>1</v>
      </c>
      <c r="H4307" s="3"/>
    </row>
    <row r="4308" spans="1:8" hidden="1">
      <c r="A4308" s="3">
        <v>398725</v>
      </c>
      <c r="B4308" s="7" t="s">
        <v>136</v>
      </c>
      <c r="C4308" s="41">
        <v>1870</v>
      </c>
      <c r="D4308" s="6">
        <v>45665</v>
      </c>
      <c r="E4308" s="3" t="str">
        <f ca="1">IF(Tabela2[[#This Row],[Dt Venc:]]&gt;TODAY(),"Em Aberto",IF(Tabela2[[#This Row],[D/venc]]="-","Enviado",IF(Tabela2[[#This Row],[Dt Venc:]]=TODAY(),"Vence Hoje","Vencida")))</f>
        <v>Enviado</v>
      </c>
      <c r="F4308" s="3" t="str">
        <f ca="1">IF(G4308=1,"-",Tabela2[[#This Row],[Dt Venc:]]-TODAY())</f>
        <v>-</v>
      </c>
      <c r="G4308" s="3">
        <v>1</v>
      </c>
      <c r="H4308" s="3"/>
    </row>
    <row r="4309" spans="1:8" hidden="1">
      <c r="A4309" s="3">
        <v>258684</v>
      </c>
      <c r="B4309" s="7" t="s">
        <v>49</v>
      </c>
      <c r="C4309" s="41">
        <v>1716.66</v>
      </c>
      <c r="D4309" s="6">
        <v>45665</v>
      </c>
      <c r="E4309" s="3" t="str">
        <f ca="1">IF(Tabela2[[#This Row],[Dt Venc:]]&gt;TODAY(),"Em Aberto",IF(Tabela2[[#This Row],[D/venc]]="-","Enviado",IF(Tabela2[[#This Row],[Dt Venc:]]=TODAY(),"Vence Hoje","Vencida")))</f>
        <v>Enviado</v>
      </c>
      <c r="F4309" s="3" t="str">
        <f ca="1">IF(G4309=1,"-",Tabela2[[#This Row],[Dt Venc:]]-TODAY())</f>
        <v>-</v>
      </c>
      <c r="G4309" s="3">
        <v>1</v>
      </c>
      <c r="H4309" s="3"/>
    </row>
    <row r="4310" spans="1:8" hidden="1">
      <c r="A4310" s="3">
        <v>34049</v>
      </c>
      <c r="B4310" s="7" t="s">
        <v>573</v>
      </c>
      <c r="C4310" s="41">
        <v>2550</v>
      </c>
      <c r="D4310" s="6">
        <v>45665</v>
      </c>
      <c r="E4310" s="3" t="str">
        <f ca="1">IF(Tabela2[[#This Row],[Dt Venc:]]&gt;TODAY(),"Em Aberto",IF(Tabela2[[#This Row],[D/venc]]="-","Enviado",IF(Tabela2[[#This Row],[Dt Venc:]]=TODAY(),"Vence Hoje","Vencida")))</f>
        <v>Enviado</v>
      </c>
      <c r="F4310" s="3" t="str">
        <f ca="1">IF(G4310=1,"-",Tabela2[[#This Row],[Dt Venc:]]-TODAY())</f>
        <v>-</v>
      </c>
      <c r="G4310" s="3">
        <v>1</v>
      </c>
      <c r="H4310" s="3"/>
    </row>
    <row r="4311" spans="1:8" hidden="1">
      <c r="A4311" s="3">
        <v>68845</v>
      </c>
      <c r="B4311" s="7" t="s">
        <v>143</v>
      </c>
      <c r="C4311" s="41">
        <v>736</v>
      </c>
      <c r="D4311" s="6">
        <v>45665</v>
      </c>
      <c r="E4311" s="3" t="str">
        <f ca="1">IF(Tabela2[[#This Row],[Dt Venc:]]&gt;TODAY(),"Em Aberto",IF(Tabela2[[#This Row],[D/venc]]="-","Enviado",IF(Tabela2[[#This Row],[Dt Venc:]]=TODAY(),"Vence Hoje","Vencida")))</f>
        <v>Enviado</v>
      </c>
      <c r="F4311" s="3" t="str">
        <f ca="1">IF(G4311=1,"-",Tabela2[[#This Row],[Dt Venc:]]-TODAY())</f>
        <v>-</v>
      </c>
      <c r="G4311" s="3">
        <v>1</v>
      </c>
      <c r="H4311" s="3"/>
    </row>
    <row r="4312" spans="1:8" hidden="1">
      <c r="A4312" s="3">
        <v>15361</v>
      </c>
      <c r="B4312" s="7" t="s">
        <v>44</v>
      </c>
      <c r="C4312" s="41">
        <v>850</v>
      </c>
      <c r="D4312" s="6">
        <v>45665</v>
      </c>
      <c r="E4312" s="3" t="str">
        <f ca="1">IF(Tabela2[[#This Row],[Dt Venc:]]&gt;TODAY(),"Em Aberto",IF(Tabela2[[#This Row],[D/venc]]="-","Enviado",IF(Tabela2[[#This Row],[Dt Venc:]]=TODAY(),"Vence Hoje","Vencida")))</f>
        <v>Enviado</v>
      </c>
      <c r="F4312" s="3" t="str">
        <f ca="1">IF(G4312=1,"-",Tabela2[[#This Row],[Dt Venc:]]-TODAY())</f>
        <v>-</v>
      </c>
      <c r="G4312" s="3">
        <v>1</v>
      </c>
      <c r="H4312" s="3"/>
    </row>
    <row r="4313" spans="1:8" hidden="1">
      <c r="A4313" s="3">
        <v>15333</v>
      </c>
      <c r="B4313" s="7" t="s">
        <v>615</v>
      </c>
      <c r="C4313" s="41">
        <v>280.93</v>
      </c>
      <c r="D4313" s="6">
        <v>45665</v>
      </c>
      <c r="E4313" s="3" t="str">
        <f ca="1">IF(Tabela2[[#This Row],[Dt Venc:]]&gt;TODAY(),"Em Aberto",IF(Tabela2[[#This Row],[D/venc]]="-","Enviado",IF(Tabela2[[#This Row],[Dt Venc:]]=TODAY(),"Vence Hoje","Vencida")))</f>
        <v>Enviado</v>
      </c>
      <c r="F4313" s="3" t="str">
        <f ca="1">IF(G4313=1,"-",Tabela2[[#This Row],[Dt Venc:]]-TODAY())</f>
        <v>-</v>
      </c>
      <c r="G4313" s="3">
        <v>1</v>
      </c>
      <c r="H4313" s="3"/>
    </row>
    <row r="4314" spans="1:8" hidden="1">
      <c r="A4314" s="3">
        <v>18504</v>
      </c>
      <c r="B4314" s="7" t="s">
        <v>106</v>
      </c>
      <c r="C4314" s="41">
        <v>533.33000000000004</v>
      </c>
      <c r="D4314" s="6">
        <v>45665</v>
      </c>
      <c r="E4314" s="3" t="str">
        <f ca="1">IF(Tabela2[[#This Row],[Dt Venc:]]&gt;TODAY(),"Em Aberto",IF(Tabela2[[#This Row],[D/venc]]="-","Enviado",IF(Tabela2[[#This Row],[Dt Venc:]]=TODAY(),"Vence Hoje","Vencida")))</f>
        <v>Enviado</v>
      </c>
      <c r="F4314" s="3" t="str">
        <f ca="1">IF(G4314=1,"-",Tabela2[[#This Row],[Dt Venc:]]-TODAY())</f>
        <v>-</v>
      </c>
      <c r="G4314" s="3">
        <v>1</v>
      </c>
      <c r="H4314" s="3"/>
    </row>
    <row r="4315" spans="1:8" hidden="1">
      <c r="A4315" s="3">
        <v>4008841</v>
      </c>
      <c r="B4315" s="7" t="s">
        <v>380</v>
      </c>
      <c r="C4315" s="41">
        <v>522.48</v>
      </c>
      <c r="D4315" s="6">
        <v>45665</v>
      </c>
      <c r="E4315" s="3" t="str">
        <f ca="1">IF(Tabela2[[#This Row],[Dt Venc:]]&gt;TODAY(),"Em Aberto",IF(Tabela2[[#This Row],[D/venc]]="-","Enviado",IF(Tabela2[[#This Row],[Dt Venc:]]=TODAY(),"Vence Hoje","Vencida")))</f>
        <v>Enviado</v>
      </c>
      <c r="F4315" s="3" t="str">
        <f ca="1">IF(G4315=1,"-",Tabela2[[#This Row],[Dt Venc:]]-TODAY())</f>
        <v>-</v>
      </c>
      <c r="G4315" s="3">
        <v>1</v>
      </c>
      <c r="H4315" s="3"/>
    </row>
    <row r="4316" spans="1:8" hidden="1">
      <c r="A4316" s="3">
        <v>4008773</v>
      </c>
      <c r="B4316" s="7" t="s">
        <v>380</v>
      </c>
      <c r="C4316" s="41">
        <v>12000</v>
      </c>
      <c r="D4316" s="6">
        <v>45665</v>
      </c>
      <c r="E4316" s="3" t="str">
        <f ca="1">IF(Tabela2[[#This Row],[Dt Venc:]]&gt;TODAY(),"Em Aberto",IF(Tabela2[[#This Row],[D/venc]]="-","Enviado",IF(Tabela2[[#This Row],[Dt Venc:]]=TODAY(),"Vence Hoje","Vencida")))</f>
        <v>Enviado</v>
      </c>
      <c r="F4316" s="3" t="str">
        <f ca="1">IF(G4316=1,"-",Tabela2[[#This Row],[Dt Venc:]]-TODAY())</f>
        <v>-</v>
      </c>
      <c r="G4316" s="3">
        <v>1</v>
      </c>
      <c r="H4316" s="3"/>
    </row>
    <row r="4317" spans="1:8" hidden="1">
      <c r="A4317" s="3">
        <v>2006620</v>
      </c>
      <c r="B4317" s="7" t="s">
        <v>59</v>
      </c>
      <c r="C4317" s="41">
        <v>167523</v>
      </c>
      <c r="D4317" s="6">
        <v>45665</v>
      </c>
      <c r="E4317" s="3" t="str">
        <f ca="1">IF(Tabela2[[#This Row],[Dt Venc:]]&gt;TODAY(),"Em Aberto",IF(Tabela2[[#This Row],[D/venc]]="-","Enviado",IF(Tabela2[[#This Row],[Dt Venc:]]=TODAY(),"Vence Hoje","Vencida")))</f>
        <v>Enviado</v>
      </c>
      <c r="F4317" s="3" t="str">
        <f ca="1">IF(G4317=1,"-",Tabela2[[#This Row],[Dt Venc:]]-TODAY())</f>
        <v>-</v>
      </c>
      <c r="G4317" s="3">
        <v>1</v>
      </c>
      <c r="H4317" s="3"/>
    </row>
    <row r="4318" spans="1:8" hidden="1">
      <c r="A4318" s="3">
        <v>3702</v>
      </c>
      <c r="B4318" s="7" t="s">
        <v>491</v>
      </c>
      <c r="C4318" s="41">
        <v>180</v>
      </c>
      <c r="D4318" s="6">
        <v>45665</v>
      </c>
      <c r="E4318" s="3" t="str">
        <f ca="1">IF(Tabela2[[#This Row],[Dt Venc:]]&gt;TODAY(),"Em Aberto",IF(Tabela2[[#This Row],[D/venc]]="-","Enviado",IF(Tabela2[[#This Row],[Dt Venc:]]=TODAY(),"Vence Hoje","Vencida")))</f>
        <v>Enviado</v>
      </c>
      <c r="F4318" s="3" t="str">
        <f ca="1">IF(G4318=1,"-",Tabela2[[#This Row],[Dt Venc:]]-TODAY())</f>
        <v>-</v>
      </c>
      <c r="G4318" s="3">
        <v>1</v>
      </c>
      <c r="H4318" s="3"/>
    </row>
    <row r="4319" spans="1:8" hidden="1">
      <c r="A4319" s="3">
        <v>2510373</v>
      </c>
      <c r="B4319" s="7" t="s">
        <v>59</v>
      </c>
      <c r="C4319" s="41">
        <v>81168</v>
      </c>
      <c r="D4319" s="6">
        <v>45665</v>
      </c>
      <c r="E4319" s="3" t="str">
        <f ca="1">IF(Tabela2[[#This Row],[Dt Venc:]]&gt;TODAY(),"Em Aberto",IF(Tabela2[[#This Row],[D/venc]]="-","Enviado",IF(Tabela2[[#This Row],[Dt Venc:]]=TODAY(),"Vence Hoje","Vencida")))</f>
        <v>Enviado</v>
      </c>
      <c r="F4319" s="3" t="str">
        <f ca="1">IF(G4319=1,"-",Tabela2[[#This Row],[Dt Venc:]]-TODAY())</f>
        <v>-</v>
      </c>
      <c r="G4319" s="3">
        <v>1</v>
      </c>
      <c r="H4319" s="3"/>
    </row>
    <row r="4320" spans="1:8" hidden="1">
      <c r="A4320" s="3" t="s">
        <v>110</v>
      </c>
      <c r="B4320" s="7" t="s">
        <v>164</v>
      </c>
      <c r="C4320" s="42" t="s">
        <v>32</v>
      </c>
      <c r="D4320" s="6">
        <v>45665</v>
      </c>
      <c r="E4320" s="3" t="str">
        <f ca="1">IF(Tabela2[[#This Row],[Dt Venc:]]&gt;TODAY(),"Em Aberto",IF(Tabela2[[#This Row],[D/venc]]="-","Enviado",IF(Tabela2[[#This Row],[Dt Venc:]]=TODAY(),"Vence Hoje","Vencida")))</f>
        <v>Enviado</v>
      </c>
      <c r="F4320" s="3" t="str">
        <f ca="1">IF(G4320=1,"-",Tabela2[[#This Row],[Dt Venc:]]-TODAY())</f>
        <v>-</v>
      </c>
      <c r="G4320" s="3">
        <v>1</v>
      </c>
      <c r="H4320" s="3"/>
    </row>
    <row r="4321" spans="1:8" hidden="1">
      <c r="A4321" s="3" t="s">
        <v>110</v>
      </c>
      <c r="B4321" s="7" t="s">
        <v>162</v>
      </c>
      <c r="C4321" s="42" t="s">
        <v>32</v>
      </c>
      <c r="D4321" s="6">
        <v>45665</v>
      </c>
      <c r="E4321" s="3" t="str">
        <f ca="1">IF(Tabela2[[#This Row],[Dt Venc:]]&gt;TODAY(),"Em Aberto",IF(Tabela2[[#This Row],[D/venc]]="-","Enviado",IF(Tabela2[[#This Row],[Dt Venc:]]=TODAY(),"Vence Hoje","Vencida")))</f>
        <v>Enviado</v>
      </c>
      <c r="F4321" s="3" t="str">
        <f ca="1">IF(G4321=1,"-",Tabela2[[#This Row],[Dt Venc:]]-TODAY())</f>
        <v>-</v>
      </c>
      <c r="G4321" s="3">
        <v>1</v>
      </c>
      <c r="H4321" s="3"/>
    </row>
    <row r="4322" spans="1:8" hidden="1">
      <c r="A4322" s="3">
        <v>1</v>
      </c>
      <c r="B4322" s="7" t="s">
        <v>165</v>
      </c>
      <c r="C4322" s="85" t="s">
        <v>32</v>
      </c>
      <c r="D4322" s="6">
        <v>45665</v>
      </c>
      <c r="E4322" s="3" t="str">
        <f ca="1">IF(Tabela2[[#This Row],[Dt Venc:]]&gt;TODAY(),"Em Aberto",IF(Tabela2[[#This Row],[D/venc]]="-","Enviado",IF(Tabela2[[#This Row],[Dt Venc:]]=TODAY(),"Vence Hoje","Vencida")))</f>
        <v>Enviado</v>
      </c>
      <c r="F4322" s="3" t="str">
        <f ca="1">IF(G4322=1,"-",Tabela2[[#This Row],[Dt Venc:]]-TODAY())</f>
        <v>-</v>
      </c>
      <c r="G4322" s="3">
        <v>1</v>
      </c>
      <c r="H4322" s="3"/>
    </row>
    <row r="4323" spans="1:8" hidden="1">
      <c r="A4323" s="3">
        <v>756561</v>
      </c>
      <c r="B4323" s="7" t="s">
        <v>166</v>
      </c>
      <c r="C4323" s="84" t="s">
        <v>32</v>
      </c>
      <c r="D4323" s="6">
        <v>45666</v>
      </c>
      <c r="E4323" s="3" t="str">
        <f ca="1">IF(Tabela2[[#This Row],[Dt Venc:]]&gt;TODAY(),"Em Aberto",IF(Tabela2[[#This Row],[D/venc]]="-","Enviado",IF(Tabela2[[#This Row],[Dt Venc:]]=TODAY(),"Vence Hoje","Vencida")))</f>
        <v>Enviado</v>
      </c>
      <c r="F4323" s="3" t="str">
        <f ca="1">IF(G4323=1,"-",Tabela2[[#This Row],[Dt Venc:]]-TODAY())</f>
        <v>-</v>
      </c>
      <c r="G4323" s="3">
        <v>1</v>
      </c>
      <c r="H4323" s="3"/>
    </row>
    <row r="4324" spans="1:8" hidden="1">
      <c r="A4324" s="3">
        <v>36949</v>
      </c>
      <c r="B4324" s="7" t="s">
        <v>167</v>
      </c>
      <c r="C4324" s="84" t="s">
        <v>32</v>
      </c>
      <c r="D4324" s="6">
        <v>45666</v>
      </c>
      <c r="E4324" s="3" t="str">
        <f ca="1">IF(Tabela2[[#This Row],[Dt Venc:]]&gt;TODAY(),"Em Aberto",IF(Tabela2[[#This Row],[D/venc]]="-","Enviado",IF(Tabela2[[#This Row],[Dt Venc:]]=TODAY(),"Vence Hoje","Vencida")))</f>
        <v>Enviado</v>
      </c>
      <c r="F4324" s="3" t="str">
        <f ca="1">IF(G4324=1,"-",Tabela2[[#This Row],[Dt Venc:]]-TODAY())</f>
        <v>-</v>
      </c>
      <c r="G4324" s="3">
        <v>1</v>
      </c>
      <c r="H4324" s="3"/>
    </row>
    <row r="4325" spans="1:8" hidden="1">
      <c r="A4325" s="3">
        <v>2879</v>
      </c>
      <c r="B4325" s="7" t="s">
        <v>301</v>
      </c>
      <c r="C4325" s="41">
        <v>1626.67</v>
      </c>
      <c r="D4325" s="6">
        <v>45666</v>
      </c>
      <c r="E4325" s="3" t="str">
        <f ca="1">IF(Tabela2[[#This Row],[Dt Venc:]]&gt;TODAY(),"Em Aberto",IF(Tabela2[[#This Row],[D/venc]]="-","Enviado",IF(Tabela2[[#This Row],[Dt Venc:]]=TODAY(),"Vence Hoje","Vencida")))</f>
        <v>Enviado</v>
      </c>
      <c r="F4325" s="3" t="str">
        <f ca="1">IF(G4325=1,"-",Tabela2[[#This Row],[Dt Venc:]]-TODAY())</f>
        <v>-</v>
      </c>
      <c r="G4325" s="3">
        <v>1</v>
      </c>
      <c r="H4325" s="3"/>
    </row>
    <row r="4326" spans="1:8" hidden="1">
      <c r="A4326" s="3">
        <v>151983</v>
      </c>
      <c r="B4326" s="7" t="s">
        <v>415</v>
      </c>
      <c r="C4326" s="42">
        <v>1722</v>
      </c>
      <c r="D4326" s="6">
        <v>45666</v>
      </c>
      <c r="E4326" s="3" t="str">
        <f ca="1">IF(Tabela2[[#This Row],[Dt Venc:]]&gt;TODAY(),"Em Aberto",IF(Tabela2[[#This Row],[D/venc]]="-","Enviado",IF(Tabela2[[#This Row],[Dt Venc:]]=TODAY(),"Vence Hoje","Vencida")))</f>
        <v>Enviado</v>
      </c>
      <c r="F4326" s="3" t="str">
        <f ca="1">IF(G4326=1,"-",Tabela2[[#This Row],[Dt Venc:]]-TODAY())</f>
        <v>-</v>
      </c>
      <c r="G4326" s="3">
        <v>1</v>
      </c>
      <c r="H4326" s="3"/>
    </row>
    <row r="4327" spans="1:8" hidden="1">
      <c r="A4327" s="3">
        <v>23267</v>
      </c>
      <c r="B4327" s="7" t="s">
        <v>38</v>
      </c>
      <c r="C4327" s="41">
        <v>747.67</v>
      </c>
      <c r="D4327" s="6">
        <v>45666</v>
      </c>
      <c r="E4327" s="3" t="str">
        <f ca="1">IF(Tabela2[[#This Row],[Dt Venc:]]&gt;TODAY(),"Em Aberto",IF(Tabela2[[#This Row],[D/venc]]="-","Enviado",IF(Tabela2[[#This Row],[Dt Venc:]]=TODAY(),"Vence Hoje","Vencida")))</f>
        <v>Enviado</v>
      </c>
      <c r="F4327" s="3" t="str">
        <f ca="1">IF(G4327=1,"-",Tabela2[[#This Row],[Dt Venc:]]-TODAY())</f>
        <v>-</v>
      </c>
      <c r="G4327" s="3">
        <v>1</v>
      </c>
      <c r="H4327" s="3"/>
    </row>
    <row r="4328" spans="1:8" hidden="1">
      <c r="A4328" s="3">
        <v>221405</v>
      </c>
      <c r="B4328" s="7" t="s">
        <v>80</v>
      </c>
      <c r="C4328" s="42">
        <v>35775</v>
      </c>
      <c r="D4328" s="6">
        <v>45666</v>
      </c>
      <c r="E4328" s="3" t="str">
        <f ca="1">IF(Tabela2[[#This Row],[Dt Venc:]]&gt;TODAY(),"Em Aberto",IF(Tabela2[[#This Row],[D/venc]]="-","Enviado",IF(Tabela2[[#This Row],[Dt Venc:]]=TODAY(),"Vence Hoje","Vencida")))</f>
        <v>Enviado</v>
      </c>
      <c r="F4328" s="3" t="str">
        <f ca="1">IF(G4328=1,"-",Tabela2[[#This Row],[Dt Venc:]]-TODAY())</f>
        <v>-</v>
      </c>
      <c r="G4328" s="3">
        <v>1</v>
      </c>
      <c r="H4328" s="3"/>
    </row>
    <row r="4329" spans="1:8" hidden="1">
      <c r="A4329" s="3">
        <v>142391</v>
      </c>
      <c r="B4329" s="7" t="s">
        <v>516</v>
      </c>
      <c r="C4329" s="41">
        <v>493.6</v>
      </c>
      <c r="D4329" s="6">
        <v>45666</v>
      </c>
      <c r="E4329" s="3" t="str">
        <f ca="1">IF(Tabela2[[#This Row],[Dt Venc:]]&gt;TODAY(),"Em Aberto",IF(Tabela2[[#This Row],[D/venc]]="-","Enviado",IF(Tabela2[[#This Row],[Dt Venc:]]=TODAY(),"Vence Hoje","Vencida")))</f>
        <v>Enviado</v>
      </c>
      <c r="F4329" s="3" t="str">
        <f ca="1">IF(G4329=1,"-",Tabela2[[#This Row],[Dt Venc:]]-TODAY())</f>
        <v>-</v>
      </c>
      <c r="G4329" s="3">
        <v>1</v>
      </c>
      <c r="H4329" s="3"/>
    </row>
    <row r="4330" spans="1:8" hidden="1">
      <c r="A4330" s="3">
        <v>107</v>
      </c>
      <c r="B4330" s="7" t="s">
        <v>83</v>
      </c>
      <c r="C4330" s="42">
        <v>6400</v>
      </c>
      <c r="D4330" s="6">
        <v>45666</v>
      </c>
      <c r="E4330" s="3" t="str">
        <f ca="1">IF(Tabela2[[#This Row],[Dt Venc:]]&gt;TODAY(),"Em Aberto",IF(Tabela2[[#This Row],[D/venc]]="-","Enviado",IF(Tabela2[[#This Row],[Dt Venc:]]=TODAY(),"Vence Hoje","Vencida")))</f>
        <v>Enviado</v>
      </c>
      <c r="F4330" s="3" t="str">
        <f ca="1">IF(G4330=1,"-",Tabela2[[#This Row],[Dt Venc:]]-TODAY())</f>
        <v>-</v>
      </c>
      <c r="G4330" s="3">
        <v>1</v>
      </c>
      <c r="H4330" s="3"/>
    </row>
    <row r="4331" spans="1:8" hidden="1">
      <c r="A4331" s="3">
        <v>616911</v>
      </c>
      <c r="B4331" s="7" t="s">
        <v>66</v>
      </c>
      <c r="C4331" s="41">
        <v>681.12</v>
      </c>
      <c r="D4331" s="6">
        <v>45666</v>
      </c>
      <c r="E4331" s="3" t="str">
        <f ca="1">IF(Tabela2[[#This Row],[Dt Venc:]]&gt;TODAY(),"Em Aberto",IF(Tabela2[[#This Row],[D/venc]]="-","Enviado",IF(Tabela2[[#This Row],[Dt Venc:]]=TODAY(),"Vence Hoje","Vencida")))</f>
        <v>Enviado</v>
      </c>
      <c r="F4331" s="3" t="str">
        <f ca="1">IF(G4331=1,"-",Tabela2[[#This Row],[Dt Venc:]]-TODAY())</f>
        <v>-</v>
      </c>
      <c r="G4331" s="3">
        <v>1</v>
      </c>
      <c r="H4331" s="3"/>
    </row>
    <row r="4332" spans="1:8" hidden="1">
      <c r="A4332" s="3">
        <v>54</v>
      </c>
      <c r="B4332" s="7" t="s">
        <v>517</v>
      </c>
      <c r="C4332" s="41">
        <v>3266.67</v>
      </c>
      <c r="D4332" s="6">
        <v>45666</v>
      </c>
      <c r="E4332" s="3" t="str">
        <f ca="1">IF(Tabela2[[#This Row],[Dt Venc:]]&gt;TODAY(),"Em Aberto",IF(Tabela2[[#This Row],[D/venc]]="-","Enviado",IF(Tabela2[[#This Row],[Dt Venc:]]=TODAY(),"Vence Hoje","Vencida")))</f>
        <v>Enviado</v>
      </c>
      <c r="F4332" s="3" t="str">
        <f ca="1">IF(G4332=1,"-",Tabela2[[#This Row],[Dt Venc:]]-TODAY())</f>
        <v>-</v>
      </c>
      <c r="G4332" s="3">
        <v>1</v>
      </c>
      <c r="H4332" s="3"/>
    </row>
    <row r="4333" spans="1:8" hidden="1">
      <c r="A4333" s="3">
        <v>4012</v>
      </c>
      <c r="B4333" s="7" t="s">
        <v>544</v>
      </c>
      <c r="C4333" s="41">
        <v>8625</v>
      </c>
      <c r="D4333" s="6">
        <v>45666</v>
      </c>
      <c r="E4333" s="3" t="str">
        <f ca="1">IF(Tabela2[[#This Row],[Dt Venc:]]&gt;TODAY(),"Em Aberto",IF(Tabela2[[#This Row],[D/venc]]="-","Enviado",IF(Tabela2[[#This Row],[Dt Venc:]]=TODAY(),"Vence Hoje","Vencida")))</f>
        <v>Enviado</v>
      </c>
      <c r="F4333" s="3" t="str">
        <f ca="1">IF(G4333=1,"-",Tabela2[[#This Row],[Dt Venc:]]-TODAY())</f>
        <v>-</v>
      </c>
      <c r="G4333" s="3">
        <v>1</v>
      </c>
      <c r="H4333" s="3"/>
    </row>
    <row r="4334" spans="1:8" hidden="1">
      <c r="A4334" s="3">
        <v>5989</v>
      </c>
      <c r="B4334" s="7" t="s">
        <v>47</v>
      </c>
      <c r="C4334" s="41">
        <v>1580.86</v>
      </c>
      <c r="D4334" s="6">
        <v>45666</v>
      </c>
      <c r="E4334" s="3" t="str">
        <f ca="1">IF(Tabela2[[#This Row],[Dt Venc:]]&gt;TODAY(),"Em Aberto",IF(Tabela2[[#This Row],[D/venc]]="-","Enviado",IF(Tabela2[[#This Row],[Dt Venc:]]=TODAY(),"Vence Hoje","Vencida")))</f>
        <v>Enviado</v>
      </c>
      <c r="F4334" s="3" t="str">
        <f ca="1">IF(G4334=1,"-",Tabela2[[#This Row],[Dt Venc:]]-TODAY())</f>
        <v>-</v>
      </c>
      <c r="G4334" s="3">
        <v>1</v>
      </c>
      <c r="H4334" s="3"/>
    </row>
    <row r="4335" spans="1:8" hidden="1">
      <c r="A4335" s="3">
        <v>203425</v>
      </c>
      <c r="B4335" s="7" t="s">
        <v>200</v>
      </c>
      <c r="C4335" s="41">
        <v>250</v>
      </c>
      <c r="D4335" s="6">
        <v>45666</v>
      </c>
      <c r="E4335" s="3" t="str">
        <f ca="1">IF(Tabela2[[#This Row],[Dt Venc:]]&gt;TODAY(),"Em Aberto",IF(Tabela2[[#This Row],[D/venc]]="-","Enviado",IF(Tabela2[[#This Row],[Dt Venc:]]=TODAY(),"Vence Hoje","Vencida")))</f>
        <v>Enviado</v>
      </c>
      <c r="F4335" s="3" t="str">
        <f ca="1">IF(G4335=1,"-",Tabela2[[#This Row],[Dt Venc:]]-TODAY())</f>
        <v>-</v>
      </c>
      <c r="G4335" s="3">
        <v>1</v>
      </c>
      <c r="H4335" s="3"/>
    </row>
    <row r="4336" spans="1:8" hidden="1">
      <c r="A4336" s="3">
        <v>175814</v>
      </c>
      <c r="B4336" s="7" t="s">
        <v>174</v>
      </c>
      <c r="C4336" s="41">
        <v>900</v>
      </c>
      <c r="D4336" s="6">
        <v>45666</v>
      </c>
      <c r="E4336" s="3" t="str">
        <f ca="1">IF(Tabela2[[#This Row],[Dt Venc:]]&gt;TODAY(),"Em Aberto",IF(Tabela2[[#This Row],[D/venc]]="-","Enviado",IF(Tabela2[[#This Row],[Dt Venc:]]=TODAY(),"Vence Hoje","Vencida")))</f>
        <v>Enviado</v>
      </c>
      <c r="F4336" s="3" t="str">
        <f ca="1">IF(G4336=1,"-",Tabela2[[#This Row],[Dt Venc:]]-TODAY())</f>
        <v>-</v>
      </c>
      <c r="G4336" s="3">
        <v>1</v>
      </c>
      <c r="H4336" s="3"/>
    </row>
    <row r="4337" spans="1:8" hidden="1">
      <c r="A4337" s="3">
        <v>11322</v>
      </c>
      <c r="B4337" s="7" t="s">
        <v>72</v>
      </c>
      <c r="C4337" s="42">
        <v>416.66</v>
      </c>
      <c r="D4337" s="6">
        <v>45666</v>
      </c>
      <c r="E4337" s="3" t="str">
        <f ca="1">IF(Tabela2[[#This Row],[Dt Venc:]]&gt;TODAY(),"Em Aberto",IF(Tabela2[[#This Row],[D/venc]]="-","Enviado",IF(Tabela2[[#This Row],[Dt Venc:]]=TODAY(),"Vence Hoje","Vencida")))</f>
        <v>Enviado</v>
      </c>
      <c r="F4337" s="3" t="str">
        <f ca="1">IF(G4337=1,"-",Tabela2[[#This Row],[Dt Venc:]]-TODAY())</f>
        <v>-</v>
      </c>
      <c r="G4337" s="3">
        <v>1</v>
      </c>
      <c r="H4337" s="3"/>
    </row>
    <row r="4338" spans="1:8" hidden="1">
      <c r="A4338" s="3">
        <v>11214</v>
      </c>
      <c r="B4338" s="7" t="s">
        <v>33</v>
      </c>
      <c r="C4338" s="41">
        <v>1723.3</v>
      </c>
      <c r="D4338" s="6">
        <v>45666</v>
      </c>
      <c r="E4338" s="3" t="str">
        <f ca="1">IF(Tabela2[[#This Row],[Dt Venc:]]&gt;TODAY(),"Em Aberto",IF(Tabela2[[#This Row],[D/venc]]="-","Enviado",IF(Tabela2[[#This Row],[Dt Venc:]]=TODAY(),"Vence Hoje","Vencida")))</f>
        <v>Enviado</v>
      </c>
      <c r="F4338" s="3" t="str">
        <f ca="1">IF(G4338=1,"-",Tabela2[[#This Row],[Dt Venc:]]-TODAY())</f>
        <v>-</v>
      </c>
      <c r="G4338" s="3">
        <v>1</v>
      </c>
      <c r="H4338" s="3"/>
    </row>
    <row r="4339" spans="1:8" hidden="1">
      <c r="A4339" s="3">
        <v>24085</v>
      </c>
      <c r="B4339" s="7" t="s">
        <v>38</v>
      </c>
      <c r="C4339" s="41">
        <v>276</v>
      </c>
      <c r="D4339" s="6">
        <v>45666</v>
      </c>
      <c r="E4339" s="3" t="str">
        <f ca="1">IF(Tabela2[[#This Row],[Dt Venc:]]&gt;TODAY(),"Em Aberto",IF(Tabela2[[#This Row],[D/venc]]="-","Enviado",IF(Tabela2[[#This Row],[Dt Venc:]]=TODAY(),"Vence Hoje","Vencida")))</f>
        <v>Enviado</v>
      </c>
      <c r="F4339" s="3" t="str">
        <f ca="1">IF(G4339=1,"-",Tabela2[[#This Row],[Dt Venc:]]-TODAY())</f>
        <v>-</v>
      </c>
      <c r="G4339" s="3">
        <v>1</v>
      </c>
      <c r="H4339" s="3"/>
    </row>
    <row r="4340" spans="1:8" hidden="1">
      <c r="A4340" s="3">
        <v>11213</v>
      </c>
      <c r="B4340" s="7" t="s">
        <v>33</v>
      </c>
      <c r="C4340" s="41">
        <v>1200</v>
      </c>
      <c r="D4340" s="6">
        <v>45666</v>
      </c>
      <c r="E4340" s="3" t="str">
        <f ca="1">IF(Tabela2[[#This Row],[Dt Venc:]]&gt;TODAY(),"Em Aberto",IF(Tabela2[[#This Row],[D/venc]]="-","Enviado",IF(Tabela2[[#This Row],[Dt Venc:]]=TODAY(),"Vence Hoje","Vencida")))</f>
        <v>Enviado</v>
      </c>
      <c r="F4340" s="3" t="str">
        <f ca="1">IF(G4340=1,"-",Tabela2[[#This Row],[Dt Venc:]]-TODAY())</f>
        <v>-</v>
      </c>
      <c r="G4340" s="3">
        <v>1</v>
      </c>
      <c r="H4340" s="3"/>
    </row>
    <row r="4341" spans="1:8" hidden="1">
      <c r="A4341" s="3">
        <v>20925</v>
      </c>
      <c r="B4341" s="7" t="s">
        <v>616</v>
      </c>
      <c r="C4341" s="41">
        <v>1462.5</v>
      </c>
      <c r="D4341" s="6">
        <v>45666</v>
      </c>
      <c r="E4341" s="3" t="str">
        <f ca="1">IF(Tabela2[[#This Row],[Dt Venc:]]&gt;TODAY(),"Em Aberto",IF(Tabela2[[#This Row],[D/venc]]="-","Enviado",IF(Tabela2[[#This Row],[Dt Venc:]]=TODAY(),"Vence Hoje","Vencida")))</f>
        <v>Enviado</v>
      </c>
      <c r="F4341" s="3" t="str">
        <f ca="1">IF(G4341=1,"-",Tabela2[[#This Row],[Dt Venc:]]-TODAY())</f>
        <v>-</v>
      </c>
      <c r="G4341" s="3">
        <v>1</v>
      </c>
      <c r="H4341" s="3"/>
    </row>
    <row r="4342" spans="1:8" hidden="1">
      <c r="A4342" s="3">
        <v>226879</v>
      </c>
      <c r="B4342" s="7" t="s">
        <v>127</v>
      </c>
      <c r="C4342" s="41">
        <v>604.79999999999995</v>
      </c>
      <c r="D4342" s="6">
        <v>45666</v>
      </c>
      <c r="E4342" s="3" t="str">
        <f ca="1">IF(Tabela2[[#This Row],[Dt Venc:]]&gt;TODAY(),"Em Aberto",IF(Tabela2[[#This Row],[D/venc]]="-","Enviado",IF(Tabela2[[#This Row],[Dt Venc:]]=TODAY(),"Vence Hoje","Vencida")))</f>
        <v>Enviado</v>
      </c>
      <c r="F4342" s="3" t="str">
        <f ca="1">IF(G4342=1,"-",Tabela2[[#This Row],[Dt Venc:]]-TODAY())</f>
        <v>-</v>
      </c>
      <c r="G4342" s="3">
        <v>1</v>
      </c>
      <c r="H4342" s="3"/>
    </row>
    <row r="4343" spans="1:8" hidden="1">
      <c r="A4343" s="3">
        <v>374665</v>
      </c>
      <c r="B4343" s="7" t="s">
        <v>39</v>
      </c>
      <c r="C4343" s="41">
        <v>463.5</v>
      </c>
      <c r="D4343" s="6">
        <v>45666</v>
      </c>
      <c r="E4343" s="3" t="str">
        <f ca="1">IF(Tabela2[[#This Row],[Dt Venc:]]&gt;TODAY(),"Em Aberto",IF(Tabela2[[#This Row],[D/venc]]="-","Enviado",IF(Tabela2[[#This Row],[Dt Venc:]]=TODAY(),"Vence Hoje","Vencida")))</f>
        <v>Enviado</v>
      </c>
      <c r="F4343" s="3" t="str">
        <f ca="1">IF(G4343=1,"-",Tabela2[[#This Row],[Dt Venc:]]-TODAY())</f>
        <v>-</v>
      </c>
      <c r="G4343" s="3">
        <v>1</v>
      </c>
      <c r="H4343" s="3"/>
    </row>
    <row r="4344" spans="1:8" hidden="1">
      <c r="A4344" s="3">
        <v>448365</v>
      </c>
      <c r="B4344" s="7" t="s">
        <v>617</v>
      </c>
      <c r="C4344" s="41">
        <v>230.16</v>
      </c>
      <c r="D4344" s="6">
        <v>45666</v>
      </c>
      <c r="E4344" s="3" t="str">
        <f ca="1">IF(Tabela2[[#This Row],[Dt Venc:]]&gt;TODAY(),"Em Aberto",IF(Tabela2[[#This Row],[D/venc]]="-","Enviado",IF(Tabela2[[#This Row],[Dt Venc:]]=TODAY(),"Vence Hoje","Vencida")))</f>
        <v>Enviado</v>
      </c>
      <c r="F4344" s="3" t="str">
        <f ca="1">IF(G4344=1,"-",Tabela2[[#This Row],[Dt Venc:]]-TODAY())</f>
        <v>-</v>
      </c>
      <c r="G4344" s="3">
        <v>1</v>
      </c>
      <c r="H4344" s="3"/>
    </row>
    <row r="4345" spans="1:8" hidden="1">
      <c r="A4345" s="3">
        <v>177798</v>
      </c>
      <c r="B4345" s="7" t="s">
        <v>72</v>
      </c>
      <c r="C4345" s="41">
        <v>548</v>
      </c>
      <c r="D4345" s="6">
        <v>45666</v>
      </c>
      <c r="E4345" s="3" t="str">
        <f ca="1">IF(Tabela2[[#This Row],[Dt Venc:]]&gt;TODAY(),"Em Aberto",IF(Tabela2[[#This Row],[D/venc]]="-","Enviado",IF(Tabela2[[#This Row],[Dt Venc:]]=TODAY(),"Vence Hoje","Vencida")))</f>
        <v>Enviado</v>
      </c>
      <c r="F4345" s="3" t="str">
        <f ca="1">IF(G4345=1,"-",Tabela2[[#This Row],[Dt Venc:]]-TODAY())</f>
        <v>-</v>
      </c>
      <c r="G4345" s="3">
        <v>1</v>
      </c>
      <c r="H4345" s="3"/>
    </row>
    <row r="4346" spans="1:8" hidden="1">
      <c r="A4346" s="3">
        <v>374653</v>
      </c>
      <c r="B4346" s="7" t="s">
        <v>39</v>
      </c>
      <c r="C4346" s="41">
        <v>697.58</v>
      </c>
      <c r="D4346" s="6">
        <v>45666</v>
      </c>
      <c r="E4346" s="3" t="str">
        <f ca="1">IF(Tabela2[[#This Row],[Dt Venc:]]&gt;TODAY(),"Em Aberto",IF(Tabela2[[#This Row],[D/venc]]="-","Enviado",IF(Tabela2[[#This Row],[Dt Venc:]]=TODAY(),"Vence Hoje","Vencida")))</f>
        <v>Enviado</v>
      </c>
      <c r="F4346" s="3" t="str">
        <f ca="1">IF(G4346=1,"-",Tabela2[[#This Row],[Dt Venc:]]-TODAY())</f>
        <v>-</v>
      </c>
      <c r="G4346" s="3">
        <v>1</v>
      </c>
      <c r="H4346" s="3"/>
    </row>
    <row r="4347" spans="1:8" hidden="1">
      <c r="A4347" s="3">
        <v>22727</v>
      </c>
      <c r="B4347" s="7" t="s">
        <v>40</v>
      </c>
      <c r="C4347" s="41">
        <v>7933.34</v>
      </c>
      <c r="D4347" s="6">
        <v>45666</v>
      </c>
      <c r="E4347" s="3" t="str">
        <f ca="1">IF(Tabela2[[#This Row],[Dt Venc:]]&gt;TODAY(),"Em Aberto",IF(Tabela2[[#This Row],[D/venc]]="-","Enviado",IF(Tabela2[[#This Row],[Dt Venc:]]=TODAY(),"Vence Hoje","Vencida")))</f>
        <v>Enviado</v>
      </c>
      <c r="F4347" s="3" t="str">
        <f ca="1">IF(G4347=1,"-",Tabela2[[#This Row],[Dt Venc:]]-TODAY())</f>
        <v>-</v>
      </c>
      <c r="G4347" s="3">
        <v>1</v>
      </c>
      <c r="H4347" s="3"/>
    </row>
    <row r="4348" spans="1:8" hidden="1">
      <c r="A4348" s="3">
        <v>74095</v>
      </c>
      <c r="B4348" s="7" t="s">
        <v>76</v>
      </c>
      <c r="C4348" s="41">
        <v>1369.97</v>
      </c>
      <c r="D4348" s="6">
        <v>45666</v>
      </c>
      <c r="E4348" s="3" t="str">
        <f ca="1">IF(Tabela2[[#This Row],[Dt Venc:]]&gt;TODAY(),"Em Aberto",IF(Tabela2[[#This Row],[D/venc]]="-","Enviado",IF(Tabela2[[#This Row],[Dt Venc:]]=TODAY(),"Vence Hoje","Vencida")))</f>
        <v>Enviado</v>
      </c>
      <c r="F4348" s="3" t="str">
        <f ca="1">IF(G4348=1,"-",Tabela2[[#This Row],[Dt Venc:]]-TODAY())</f>
        <v>-</v>
      </c>
      <c r="G4348" s="3">
        <v>1</v>
      </c>
      <c r="H4348" s="3"/>
    </row>
    <row r="4349" spans="1:8" hidden="1">
      <c r="A4349" s="3">
        <v>36372</v>
      </c>
      <c r="B4349" s="7" t="s">
        <v>281</v>
      </c>
      <c r="C4349" s="41">
        <v>434.5</v>
      </c>
      <c r="D4349" s="6">
        <v>45666</v>
      </c>
      <c r="E4349" s="3" t="str">
        <f ca="1">IF(Tabela2[[#This Row],[Dt Venc:]]&gt;TODAY(),"Em Aberto",IF(Tabela2[[#This Row],[D/venc]]="-","Enviado",IF(Tabela2[[#This Row],[Dt Venc:]]=TODAY(),"Vence Hoje","Vencida")))</f>
        <v>Enviado</v>
      </c>
      <c r="F4349" s="3" t="str">
        <f ca="1">IF(G4349=1,"-",Tabela2[[#This Row],[Dt Venc:]]-TODAY())</f>
        <v>-</v>
      </c>
      <c r="G4349" s="3">
        <v>1</v>
      </c>
      <c r="H4349" s="3"/>
    </row>
    <row r="4350" spans="1:8" hidden="1">
      <c r="A4350" s="3">
        <v>1241</v>
      </c>
      <c r="B4350" s="7" t="s">
        <v>559</v>
      </c>
      <c r="C4350" s="41">
        <v>825</v>
      </c>
      <c r="D4350" s="6">
        <v>45666</v>
      </c>
      <c r="E4350" s="3" t="str">
        <f ca="1">IF(Tabela2[[#This Row],[Dt Venc:]]&gt;TODAY(),"Em Aberto",IF(Tabela2[[#This Row],[D/venc]]="-","Enviado",IF(Tabela2[[#This Row],[Dt Venc:]]=TODAY(),"Vence Hoje","Vencida")))</f>
        <v>Enviado</v>
      </c>
      <c r="F4350" s="3" t="str">
        <f ca="1">IF(G4350=1,"-",Tabela2[[#This Row],[Dt Venc:]]-TODAY())</f>
        <v>-</v>
      </c>
      <c r="G4350" s="3">
        <v>1</v>
      </c>
      <c r="H4350" s="3"/>
    </row>
    <row r="4351" spans="1:8" hidden="1">
      <c r="A4351" s="3">
        <v>9199</v>
      </c>
      <c r="B4351" s="7" t="s">
        <v>618</v>
      </c>
      <c r="C4351" s="41">
        <v>466.66</v>
      </c>
      <c r="D4351" s="6">
        <v>45666</v>
      </c>
      <c r="E4351" s="3" t="str">
        <f ca="1">IF(Tabela2[[#This Row],[Dt Venc:]]&gt;TODAY(),"Em Aberto",IF(Tabela2[[#This Row],[D/venc]]="-","Enviado",IF(Tabela2[[#This Row],[Dt Venc:]]=TODAY(),"Vence Hoje","Vencida")))</f>
        <v>Enviado</v>
      </c>
      <c r="F4351" s="3" t="str">
        <f ca="1">IF(G4351=1,"-",Tabela2[[#This Row],[Dt Venc:]]-TODAY())</f>
        <v>-</v>
      </c>
      <c r="G4351" s="3">
        <v>1</v>
      </c>
      <c r="H4351" s="3"/>
    </row>
    <row r="4352" spans="1:8" hidden="1">
      <c r="A4352" s="3">
        <v>1120</v>
      </c>
      <c r="B4352" s="7" t="s">
        <v>92</v>
      </c>
      <c r="C4352" s="41">
        <v>234</v>
      </c>
      <c r="D4352" s="6">
        <v>45666</v>
      </c>
      <c r="E4352" s="3" t="str">
        <f ca="1">IF(Tabela2[[#This Row],[Dt Venc:]]&gt;TODAY(),"Em Aberto",IF(Tabela2[[#This Row],[D/venc]]="-","Enviado",IF(Tabela2[[#This Row],[Dt Venc:]]=TODAY(),"Vence Hoje","Vencida")))</f>
        <v>Enviado</v>
      </c>
      <c r="F4352" s="3" t="str">
        <f ca="1">IF(G4352=1,"-",Tabela2[[#This Row],[Dt Venc:]]-TODAY())</f>
        <v>-</v>
      </c>
      <c r="G4352" s="3">
        <v>1</v>
      </c>
      <c r="H4352" s="3"/>
    </row>
    <row r="4353" spans="1:8" hidden="1">
      <c r="A4353" s="3">
        <v>1709</v>
      </c>
      <c r="B4353" s="7" t="s">
        <v>92</v>
      </c>
      <c r="C4353" s="41">
        <v>293</v>
      </c>
      <c r="D4353" s="6">
        <v>45666</v>
      </c>
      <c r="E4353" s="3" t="str">
        <f ca="1">IF(Tabela2[[#This Row],[Dt Venc:]]&gt;TODAY(),"Em Aberto",IF(Tabela2[[#This Row],[D/venc]]="-","Enviado",IF(Tabela2[[#This Row],[Dt Venc:]]=TODAY(),"Vence Hoje","Vencida")))</f>
        <v>Enviado</v>
      </c>
      <c r="F4353" s="3" t="str">
        <f ca="1">IF(G4353=1,"-",Tabela2[[#This Row],[Dt Venc:]]-TODAY())</f>
        <v>-</v>
      </c>
      <c r="G4353" s="3">
        <v>1</v>
      </c>
      <c r="H4353" s="3"/>
    </row>
    <row r="4354" spans="1:8" hidden="1">
      <c r="A4354" s="3">
        <v>59</v>
      </c>
      <c r="B4354" s="7" t="s">
        <v>619</v>
      </c>
      <c r="C4354" s="41">
        <v>7350</v>
      </c>
      <c r="D4354" s="6">
        <v>45666</v>
      </c>
      <c r="E4354" s="3" t="str">
        <f ca="1">IF(Tabela2[[#This Row],[Dt Venc:]]&gt;TODAY(),"Em Aberto",IF(Tabela2[[#This Row],[D/venc]]="-","Enviado",IF(Tabela2[[#This Row],[Dt Venc:]]=TODAY(),"Vence Hoje","Vencida")))</f>
        <v>Enviado</v>
      </c>
      <c r="F4354" s="3" t="str">
        <f ca="1">IF(G4354=1,"-",Tabela2[[#This Row],[Dt Venc:]]-TODAY())</f>
        <v>-</v>
      </c>
      <c r="G4354" s="3">
        <v>1</v>
      </c>
      <c r="H4354" s="3"/>
    </row>
    <row r="4355" spans="1:8" hidden="1">
      <c r="A4355" s="3">
        <v>273923</v>
      </c>
      <c r="B4355" s="7" t="s">
        <v>36</v>
      </c>
      <c r="C4355" s="41">
        <v>356.67</v>
      </c>
      <c r="D4355" s="6">
        <v>45666</v>
      </c>
      <c r="E4355" s="3" t="str">
        <f ca="1">IF(Tabela2[[#This Row],[Dt Venc:]]&gt;TODAY(),"Em Aberto",IF(Tabela2[[#This Row],[D/venc]]="-","Enviado",IF(Tabela2[[#This Row],[Dt Venc:]]=TODAY(),"Vence Hoje","Vencida")))</f>
        <v>Enviado</v>
      </c>
      <c r="F4355" s="3" t="str">
        <f ca="1">IF(G4355=1,"-",Tabela2[[#This Row],[Dt Venc:]]-TODAY())</f>
        <v>-</v>
      </c>
      <c r="G4355" s="3">
        <v>1</v>
      </c>
      <c r="H4355" s="3"/>
    </row>
    <row r="4356" spans="1:8" hidden="1">
      <c r="A4356" s="3">
        <v>1421626</v>
      </c>
      <c r="B4356" s="7" t="s">
        <v>151</v>
      </c>
      <c r="C4356" s="41">
        <v>1547.96</v>
      </c>
      <c r="D4356" s="6">
        <v>45666</v>
      </c>
      <c r="E4356" s="3" t="str">
        <f ca="1">IF(Tabela2[[#This Row],[Dt Venc:]]&gt;TODAY(),"Em Aberto",IF(Tabela2[[#This Row],[D/venc]]="-","Enviado",IF(Tabela2[[#This Row],[Dt Venc:]]=TODAY(),"Vence Hoje","Vencida")))</f>
        <v>Enviado</v>
      </c>
      <c r="F4356" s="3" t="str">
        <f ca="1">IF(G4356=1,"-",Tabela2[[#This Row],[Dt Venc:]]-TODAY())</f>
        <v>-</v>
      </c>
      <c r="G4356" s="3">
        <v>1</v>
      </c>
      <c r="H4356" s="3"/>
    </row>
    <row r="4357" spans="1:8" hidden="1">
      <c r="A4357" s="3">
        <v>1325</v>
      </c>
      <c r="B4357" s="7" t="s">
        <v>474</v>
      </c>
      <c r="C4357" s="41">
        <v>1753.5</v>
      </c>
      <c r="D4357" s="6">
        <v>45666</v>
      </c>
      <c r="E4357" s="3" t="str">
        <f ca="1">IF(Tabela2[[#This Row],[Dt Venc:]]&gt;TODAY(),"Em Aberto",IF(Tabela2[[#This Row],[D/venc]]="-","Enviado",IF(Tabela2[[#This Row],[Dt Venc:]]=TODAY(),"Vence Hoje","Vencida")))</f>
        <v>Enviado</v>
      </c>
      <c r="F4357" s="3" t="str">
        <f ca="1">IF(G4357=1,"-",Tabela2[[#This Row],[Dt Venc:]]-TODAY())</f>
        <v>-</v>
      </c>
      <c r="G4357" s="3">
        <v>1</v>
      </c>
      <c r="H4357" s="3"/>
    </row>
    <row r="4358" spans="1:8" hidden="1">
      <c r="A4358" s="3">
        <v>12590</v>
      </c>
      <c r="B4358" s="7" t="s">
        <v>105</v>
      </c>
      <c r="C4358" s="41">
        <v>5000</v>
      </c>
      <c r="D4358" s="6">
        <v>45666</v>
      </c>
      <c r="E4358" s="3" t="str">
        <f ca="1">IF(Tabela2[[#This Row],[Dt Venc:]]&gt;TODAY(),"Em Aberto",IF(Tabela2[[#This Row],[D/venc]]="-","Enviado",IF(Tabela2[[#This Row],[Dt Venc:]]=TODAY(),"Vence Hoje","Vencida")))</f>
        <v>Enviado</v>
      </c>
      <c r="F4358" s="3" t="str">
        <f ca="1">IF(G4358=1,"-",Tabela2[[#This Row],[Dt Venc:]]-TODAY())</f>
        <v>-</v>
      </c>
      <c r="G4358" s="3">
        <v>1</v>
      </c>
      <c r="H4358" s="3"/>
    </row>
    <row r="4359" spans="1:8" hidden="1">
      <c r="A4359" s="3">
        <v>6290</v>
      </c>
      <c r="B4359" s="7" t="s">
        <v>620</v>
      </c>
      <c r="C4359" s="41">
        <v>701.45</v>
      </c>
      <c r="D4359" s="6">
        <v>45666</v>
      </c>
      <c r="E4359" s="3" t="str">
        <f ca="1">IF(Tabela2[[#This Row],[Dt Venc:]]&gt;TODAY(),"Em Aberto",IF(Tabela2[[#This Row],[D/venc]]="-","Enviado",IF(Tabela2[[#This Row],[Dt Venc:]]=TODAY(),"Vence Hoje","Vencida")))</f>
        <v>Enviado</v>
      </c>
      <c r="F4359" s="3" t="str">
        <f ca="1">IF(G4359=1,"-",Tabela2[[#This Row],[Dt Venc:]]-TODAY())</f>
        <v>-</v>
      </c>
      <c r="G4359" s="3">
        <v>1</v>
      </c>
      <c r="H4359" s="3"/>
    </row>
    <row r="4360" spans="1:8" hidden="1">
      <c r="A4360" s="3">
        <v>24089</v>
      </c>
      <c r="B4360" s="7" t="s">
        <v>38</v>
      </c>
      <c r="C4360" s="41">
        <v>2343.6</v>
      </c>
      <c r="D4360" s="6">
        <v>45666</v>
      </c>
      <c r="E4360" s="3" t="str">
        <f ca="1">IF(Tabela2[[#This Row],[Dt Venc:]]&gt;TODAY(),"Em Aberto",IF(Tabela2[[#This Row],[D/venc]]="-","Enviado",IF(Tabela2[[#This Row],[Dt Venc:]]=TODAY(),"Vence Hoje","Vencida")))</f>
        <v>Enviado</v>
      </c>
      <c r="F4360" s="3" t="str">
        <f ca="1">IF(G4360=1,"-",Tabela2[[#This Row],[Dt Venc:]]-TODAY())</f>
        <v>-</v>
      </c>
      <c r="G4360" s="3">
        <v>1</v>
      </c>
      <c r="H4360" s="3"/>
    </row>
    <row r="4361" spans="1:8" hidden="1">
      <c r="A4361" s="3">
        <v>3199</v>
      </c>
      <c r="B4361" s="7" t="s">
        <v>621</v>
      </c>
      <c r="C4361" s="41">
        <v>1000</v>
      </c>
      <c r="D4361" s="6">
        <v>45666</v>
      </c>
      <c r="E4361" s="3" t="str">
        <f ca="1">IF(Tabela2[[#This Row],[Dt Venc:]]&gt;TODAY(),"Em Aberto",IF(Tabela2[[#This Row],[D/venc]]="-","Enviado",IF(Tabela2[[#This Row],[Dt Venc:]]=TODAY(),"Vence Hoje","Vencida")))</f>
        <v>Enviado</v>
      </c>
      <c r="F4361" s="3" t="str">
        <f ca="1">IF(G4361=1,"-",Tabela2[[#This Row],[Dt Venc:]]-TODAY())</f>
        <v>-</v>
      </c>
      <c r="G4361" s="3">
        <v>1</v>
      </c>
      <c r="H4361" s="3"/>
    </row>
    <row r="4362" spans="1:8" hidden="1">
      <c r="A4362" s="3" t="s">
        <v>179</v>
      </c>
      <c r="B4362" s="7" t="s">
        <v>180</v>
      </c>
      <c r="C4362" s="84" t="s">
        <v>32</v>
      </c>
      <c r="D4362" s="6">
        <v>45666</v>
      </c>
      <c r="E4362" s="3" t="str">
        <f ca="1">IF(Tabela2[[#This Row],[Dt Venc:]]&gt;TODAY(),"Em Aberto",IF(Tabela2[[#This Row],[D/venc]]="-","Enviado",IF(Tabela2[[#This Row],[Dt Venc:]]=TODAY(),"Vence Hoje","Vencida")))</f>
        <v>Enviado</v>
      </c>
      <c r="F4362" s="3" t="str">
        <f ca="1">IF(G4362=1,"-",Tabela2[[#This Row],[Dt Venc:]]-TODAY())</f>
        <v>-</v>
      </c>
      <c r="G4362" s="3">
        <v>1</v>
      </c>
      <c r="H4362" s="3"/>
    </row>
    <row r="4363" spans="1:8" hidden="1">
      <c r="A4363" s="3">
        <v>13877</v>
      </c>
      <c r="B4363" s="7" t="s">
        <v>622</v>
      </c>
      <c r="C4363" s="41">
        <v>263.5</v>
      </c>
      <c r="D4363" s="6">
        <v>45666</v>
      </c>
      <c r="E4363" s="3" t="str">
        <f ca="1">IF(Tabela2[[#This Row],[Dt Venc:]]&gt;TODAY(),"Em Aberto",IF(Tabela2[[#This Row],[D/venc]]="-","Enviado",IF(Tabela2[[#This Row],[Dt Venc:]]=TODAY(),"Vence Hoje","Vencida")))</f>
        <v>Enviado</v>
      </c>
      <c r="F4363" s="3" t="str">
        <f ca="1">IF(G4363=1,"-",Tabela2[[#This Row],[Dt Venc:]]-TODAY())</f>
        <v>-</v>
      </c>
      <c r="G4363" s="3">
        <v>1</v>
      </c>
      <c r="H4363" s="3"/>
    </row>
    <row r="4364" spans="1:8" hidden="1">
      <c r="A4364" s="3">
        <v>54382</v>
      </c>
      <c r="B4364" s="7" t="s">
        <v>622</v>
      </c>
      <c r="C4364" s="41">
        <v>720.24</v>
      </c>
      <c r="D4364" s="6">
        <v>45666</v>
      </c>
      <c r="E4364" s="3" t="str">
        <f ca="1">IF(Tabela2[[#This Row],[Dt Venc:]]&gt;TODAY(),"Em Aberto",IF(Tabela2[[#This Row],[D/venc]]="-","Enviado",IF(Tabela2[[#This Row],[Dt Venc:]]=TODAY(),"Vence Hoje","Vencida")))</f>
        <v>Enviado</v>
      </c>
      <c r="F4364" s="3" t="str">
        <f ca="1">IF(G4364=1,"-",Tabela2[[#This Row],[Dt Venc:]]-TODAY())</f>
        <v>-</v>
      </c>
      <c r="G4364" s="3">
        <v>1</v>
      </c>
      <c r="H4364" s="3"/>
    </row>
    <row r="4365" spans="1:8" hidden="1">
      <c r="A4365" s="3">
        <v>54383</v>
      </c>
      <c r="B4365" s="7" t="s">
        <v>622</v>
      </c>
      <c r="C4365" s="41">
        <v>574.5</v>
      </c>
      <c r="D4365" s="6">
        <v>45666</v>
      </c>
      <c r="E4365" s="3" t="str">
        <f ca="1">IF(Tabela2[[#This Row],[Dt Venc:]]&gt;TODAY(),"Em Aberto",IF(Tabela2[[#This Row],[D/venc]]="-","Enviado",IF(Tabela2[[#This Row],[Dt Venc:]]=TODAY(),"Vence Hoje","Vencida")))</f>
        <v>Enviado</v>
      </c>
      <c r="F4365" s="3" t="str">
        <f ca="1">IF(G4365=1,"-",Tabela2[[#This Row],[Dt Venc:]]-TODAY())</f>
        <v>-</v>
      </c>
      <c r="G4365" s="3">
        <v>1</v>
      </c>
      <c r="H4365" s="3"/>
    </row>
    <row r="4366" spans="1:8" hidden="1">
      <c r="A4366" s="3">
        <v>28629</v>
      </c>
      <c r="B4366" s="7" t="s">
        <v>182</v>
      </c>
      <c r="C4366" s="84" t="s">
        <v>32</v>
      </c>
      <c r="D4366" s="6">
        <v>45667</v>
      </c>
      <c r="E4366" s="3" t="str">
        <f ca="1">IF(Tabela2[[#This Row],[Dt Venc:]]&gt;TODAY(),"Em Aberto",IF(Tabela2[[#This Row],[D/venc]]="-","Enviado",IF(Tabela2[[#This Row],[Dt Venc:]]=TODAY(),"Vence Hoje","Vencida")))</f>
        <v>Enviado</v>
      </c>
      <c r="F4366" s="3" t="str">
        <f ca="1">IF(G4366=1,"-",Tabela2[[#This Row],[Dt Venc:]]-TODAY())</f>
        <v>-</v>
      </c>
      <c r="G4366" s="3">
        <v>1</v>
      </c>
      <c r="H4366" s="3"/>
    </row>
    <row r="4367" spans="1:8" hidden="1">
      <c r="A4367" s="3" t="s">
        <v>110</v>
      </c>
      <c r="B4367" s="7" t="s">
        <v>184</v>
      </c>
      <c r="C4367" s="42" t="s">
        <v>32</v>
      </c>
      <c r="D4367" s="6">
        <v>45667</v>
      </c>
      <c r="E4367" s="3" t="str">
        <f ca="1">IF(Tabela2[[#This Row],[Dt Venc:]]&gt;TODAY(),"Em Aberto",IF(Tabela2[[#This Row],[D/venc]]="-","Enviado",IF(Tabela2[[#This Row],[Dt Venc:]]=TODAY(),"Vence Hoje","Vencida")))</f>
        <v>Enviado</v>
      </c>
      <c r="F4367" s="3" t="str">
        <f ca="1">IF(G4367=1,"-",Tabela2[[#This Row],[Dt Venc:]]-TODAY())</f>
        <v>-</v>
      </c>
      <c r="G4367" s="3">
        <v>1</v>
      </c>
      <c r="H4367" s="3"/>
    </row>
    <row r="4368" spans="1:8" hidden="1">
      <c r="A4368" s="3" t="s">
        <v>28</v>
      </c>
      <c r="B4368" s="7" t="s">
        <v>186</v>
      </c>
      <c r="C4368" s="84" t="s">
        <v>32</v>
      </c>
      <c r="D4368" s="6">
        <v>45667</v>
      </c>
      <c r="E4368" s="3" t="str">
        <f ca="1">IF(Tabela2[[#This Row],[Dt Venc:]]&gt;TODAY(),"Em Aberto",IF(Tabela2[[#This Row],[D/venc]]="-","Enviado",IF(Tabela2[[#This Row],[Dt Venc:]]=TODAY(),"Vence Hoje","Vencida")))</f>
        <v>Enviado</v>
      </c>
      <c r="F4368" s="3" t="str">
        <f ca="1">IF(G4368=1,"-",Tabela2[[#This Row],[Dt Venc:]]-TODAY())</f>
        <v>-</v>
      </c>
      <c r="G4368" s="3">
        <v>1</v>
      </c>
      <c r="H4368" s="3"/>
    </row>
    <row r="4369" spans="1:8" hidden="1">
      <c r="A4369" s="3" t="s">
        <v>110</v>
      </c>
      <c r="B4369" s="7" t="s">
        <v>181</v>
      </c>
      <c r="C4369" s="42" t="s">
        <v>32</v>
      </c>
      <c r="D4369" s="6">
        <v>45667</v>
      </c>
      <c r="E4369" s="3" t="str">
        <f ca="1">IF(Tabela2[[#This Row],[Dt Venc:]]&gt;TODAY(),"Em Aberto",IF(Tabela2[[#This Row],[D/venc]]="-","Enviado",IF(Tabela2[[#This Row],[Dt Venc:]]=TODAY(),"Vence Hoje","Vencida")))</f>
        <v>Enviado</v>
      </c>
      <c r="F4369" s="3" t="str">
        <f ca="1">IF(G4369=1,"-",Tabela2[[#This Row],[Dt Venc:]]-TODAY())</f>
        <v>-</v>
      </c>
      <c r="G4369" s="3">
        <v>1</v>
      </c>
      <c r="H4369" s="3"/>
    </row>
    <row r="4370" spans="1:8" hidden="1">
      <c r="A4370" s="3" t="s">
        <v>110</v>
      </c>
      <c r="B4370" s="7" t="s">
        <v>183</v>
      </c>
      <c r="C4370" s="42" t="s">
        <v>32</v>
      </c>
      <c r="D4370" s="6">
        <v>45667</v>
      </c>
      <c r="E4370" s="3" t="str">
        <f ca="1">IF(Tabela2[[#This Row],[Dt Venc:]]&gt;TODAY(),"Em Aberto",IF(Tabela2[[#This Row],[D/venc]]="-","Enviado",IF(Tabela2[[#This Row],[Dt Venc:]]=TODAY(),"Vence Hoje","Vencida")))</f>
        <v>Enviado</v>
      </c>
      <c r="F4370" s="3" t="str">
        <f ca="1">IF(G4370=1,"-",Tabela2[[#This Row],[Dt Venc:]]-TODAY())</f>
        <v>-</v>
      </c>
      <c r="G4370" s="3">
        <v>1</v>
      </c>
      <c r="H4370" s="3"/>
    </row>
    <row r="4371" spans="1:8" hidden="1">
      <c r="A4371" s="3" t="s">
        <v>123</v>
      </c>
      <c r="B4371" s="7" t="s">
        <v>418</v>
      </c>
      <c r="C4371" s="42" t="s">
        <v>32</v>
      </c>
      <c r="D4371" s="6">
        <v>45667</v>
      </c>
      <c r="E4371" s="3" t="str">
        <f ca="1">IF(Tabela2[[#This Row],[Dt Venc:]]&gt;TODAY(),"Em Aberto",IF(Tabela2[[#This Row],[D/venc]]="-","Enviado",IF(Tabela2[[#This Row],[Dt Venc:]]=TODAY(),"Vence Hoje","Vencida")))</f>
        <v>Enviado</v>
      </c>
      <c r="F4371" s="3" t="str">
        <f ca="1">IF(G4371=1,"-",Tabela2[[#This Row],[Dt Venc:]]-TODAY())</f>
        <v>-</v>
      </c>
      <c r="G4371" s="3">
        <v>1</v>
      </c>
      <c r="H4371" s="3"/>
    </row>
    <row r="4372" spans="1:8" hidden="1">
      <c r="A4372" s="3">
        <v>11010</v>
      </c>
      <c r="B4372" s="7" t="s">
        <v>33</v>
      </c>
      <c r="C4372" s="42">
        <v>400</v>
      </c>
      <c r="D4372" s="6">
        <v>45667</v>
      </c>
      <c r="E4372" s="3" t="str">
        <f ca="1">IF(Tabela2[[#This Row],[Dt Venc:]]&gt;TODAY(),"Em Aberto",IF(Tabela2[[#This Row],[D/venc]]="-","Enviado",IF(Tabela2[[#This Row],[Dt Venc:]]=TODAY(),"Vence Hoje","Vencida")))</f>
        <v>Enviado</v>
      </c>
      <c r="F4372" s="3" t="str">
        <f ca="1">IF(G4372=1,"-",Tabela2[[#This Row],[Dt Venc:]]-TODAY())</f>
        <v>-</v>
      </c>
      <c r="G4372" s="3">
        <v>1</v>
      </c>
      <c r="H4372" s="3"/>
    </row>
    <row r="4373" spans="1:8" hidden="1">
      <c r="A4373" s="3">
        <v>11008</v>
      </c>
      <c r="B4373" s="7" t="s">
        <v>33</v>
      </c>
      <c r="C4373" s="42">
        <v>1608.3</v>
      </c>
      <c r="D4373" s="6">
        <v>45667</v>
      </c>
      <c r="E4373" s="3" t="str">
        <f ca="1">IF(Tabela2[[#This Row],[Dt Venc:]]&gt;TODAY(),"Em Aberto",IF(Tabela2[[#This Row],[D/venc]]="-","Enviado",IF(Tabela2[[#This Row],[Dt Venc:]]=TODAY(),"Vence Hoje","Vencida")))</f>
        <v>Enviado</v>
      </c>
      <c r="F4373" s="3" t="str">
        <f ca="1">IF(G4373=1,"-",Tabela2[[#This Row],[Dt Venc:]]-TODAY())</f>
        <v>-</v>
      </c>
      <c r="G4373" s="3">
        <v>1</v>
      </c>
      <c r="H4373" s="3"/>
    </row>
    <row r="4374" spans="1:8" hidden="1">
      <c r="A4374" s="3">
        <v>428397</v>
      </c>
      <c r="B4374" s="7" t="s">
        <v>89</v>
      </c>
      <c r="C4374" s="41">
        <v>1995</v>
      </c>
      <c r="D4374" s="6">
        <v>45667</v>
      </c>
      <c r="E4374" s="3" t="str">
        <f ca="1">IF(Tabela2[[#This Row],[Dt Venc:]]&gt;TODAY(),"Em Aberto",IF(Tabela2[[#This Row],[D/venc]]="-","Enviado",IF(Tabela2[[#This Row],[Dt Venc:]]=TODAY(),"Vence Hoje","Vencida")))</f>
        <v>Enviado</v>
      </c>
      <c r="F4374" s="3" t="str">
        <f ca="1">IF(G4374=1,"-",Tabela2[[#This Row],[Dt Venc:]]-TODAY())</f>
        <v>-</v>
      </c>
      <c r="G4374" s="3">
        <v>1</v>
      </c>
      <c r="H4374" s="3"/>
    </row>
    <row r="4375" spans="1:8" hidden="1">
      <c r="A4375" s="3">
        <v>265534</v>
      </c>
      <c r="B4375" s="7" t="s">
        <v>358</v>
      </c>
      <c r="C4375" s="41">
        <v>658.68</v>
      </c>
      <c r="D4375" s="6">
        <v>45667</v>
      </c>
      <c r="E4375" s="3" t="str">
        <f ca="1">IF(Tabela2[[#This Row],[Dt Venc:]]&gt;TODAY(),"Em Aberto",IF(Tabela2[[#This Row],[D/venc]]="-","Enviado",IF(Tabela2[[#This Row],[Dt Venc:]]=TODAY(),"Vence Hoje","Vencida")))</f>
        <v>Enviado</v>
      </c>
      <c r="F4375" s="3" t="str">
        <f ca="1">IF(G4375=1,"-",Tabela2[[#This Row],[Dt Venc:]]-TODAY())</f>
        <v>-</v>
      </c>
      <c r="G4375" s="3">
        <v>1</v>
      </c>
      <c r="H4375" s="3"/>
    </row>
    <row r="4376" spans="1:8" hidden="1">
      <c r="A4376" s="3">
        <v>23678</v>
      </c>
      <c r="B4376" s="7" t="s">
        <v>38</v>
      </c>
      <c r="C4376" s="41">
        <v>496.67</v>
      </c>
      <c r="D4376" s="6">
        <v>45667</v>
      </c>
      <c r="E4376" s="3" t="str">
        <f ca="1">IF(Tabela2[[#This Row],[Dt Venc:]]&gt;TODAY(),"Em Aberto",IF(Tabela2[[#This Row],[D/venc]]="-","Enviado",IF(Tabela2[[#This Row],[Dt Venc:]]=TODAY(),"Vence Hoje","Vencida")))</f>
        <v>Enviado</v>
      </c>
      <c r="F4376" s="3" t="str">
        <f ca="1">IF(G4376=1,"-",Tabela2[[#This Row],[Dt Venc:]]-TODAY())</f>
        <v>-</v>
      </c>
      <c r="G4376" s="3">
        <v>1</v>
      </c>
      <c r="H4376" s="3"/>
    </row>
    <row r="4377" spans="1:8" hidden="1">
      <c r="A4377" s="3">
        <v>219942</v>
      </c>
      <c r="B4377" s="7" t="s">
        <v>80</v>
      </c>
      <c r="C4377" s="42">
        <v>21150</v>
      </c>
      <c r="D4377" s="6">
        <v>45667</v>
      </c>
      <c r="E4377" s="3" t="str">
        <f ca="1">IF(Tabela2[[#This Row],[Dt Venc:]]&gt;TODAY(),"Em Aberto",IF(Tabela2[[#This Row],[D/venc]]="-","Enviado",IF(Tabela2[[#This Row],[Dt Venc:]]=TODAY(),"Vence Hoje","Vencida")))</f>
        <v>Enviado</v>
      </c>
      <c r="F4377" s="3" t="str">
        <f ca="1">IF(G4377=1,"-",Tabela2[[#This Row],[Dt Venc:]]-TODAY())</f>
        <v>-</v>
      </c>
      <c r="G4377" s="3">
        <v>1</v>
      </c>
      <c r="H4377" s="3"/>
    </row>
    <row r="4378" spans="1:8" hidden="1">
      <c r="A4378" s="3">
        <v>46</v>
      </c>
      <c r="B4378" s="7" t="s">
        <v>522</v>
      </c>
      <c r="C4378" s="41">
        <v>19895</v>
      </c>
      <c r="D4378" s="6">
        <v>45667</v>
      </c>
      <c r="E4378" s="3" t="str">
        <f ca="1">IF(Tabela2[[#This Row],[Dt Venc:]]&gt;TODAY(),"Em Aberto",IF(Tabela2[[#This Row],[D/venc]]="-","Enviado",IF(Tabela2[[#This Row],[Dt Venc:]]=TODAY(),"Vence Hoje","Vencida")))</f>
        <v>Enviado</v>
      </c>
      <c r="F4378" s="3" t="str">
        <f ca="1">IF(G4378=1,"-",Tabela2[[#This Row],[Dt Venc:]]-TODAY())</f>
        <v>-</v>
      </c>
      <c r="G4378" s="3">
        <v>1</v>
      </c>
      <c r="H4378" s="3"/>
    </row>
    <row r="4379" spans="1:8" hidden="1">
      <c r="A4379" s="3">
        <v>30645</v>
      </c>
      <c r="B4379" s="7" t="s">
        <v>226</v>
      </c>
      <c r="C4379" s="41">
        <v>2274</v>
      </c>
      <c r="D4379" s="6">
        <v>45667</v>
      </c>
      <c r="E4379" s="3" t="str">
        <f ca="1">IF(Tabela2[[#This Row],[Dt Venc:]]&gt;TODAY(),"Em Aberto",IF(Tabela2[[#This Row],[D/venc]]="-","Enviado",IF(Tabela2[[#This Row],[Dt Venc:]]=TODAY(),"Vence Hoje","Vencida")))</f>
        <v>Enviado</v>
      </c>
      <c r="F4379" s="3" t="str">
        <f ca="1">IF(G4379=1,"-",Tabela2[[#This Row],[Dt Venc:]]-TODAY())</f>
        <v>-</v>
      </c>
      <c r="G4379" s="3">
        <v>1</v>
      </c>
      <c r="H4379" s="3"/>
    </row>
    <row r="4380" spans="1:8" hidden="1">
      <c r="A4380" s="3">
        <v>31393</v>
      </c>
      <c r="B4380" s="7" t="s">
        <v>524</v>
      </c>
      <c r="C4380" s="41">
        <v>2296</v>
      </c>
      <c r="D4380" s="6">
        <v>45667</v>
      </c>
      <c r="E4380" s="3" t="str">
        <f ca="1">IF(Tabela2[[#This Row],[Dt Venc:]]&gt;TODAY(),"Em Aberto",IF(Tabela2[[#This Row],[D/venc]]="-","Enviado",IF(Tabela2[[#This Row],[Dt Venc:]]=TODAY(),"Vence Hoje","Vencida")))</f>
        <v>Enviado</v>
      </c>
      <c r="F4380" s="3" t="str">
        <f ca="1">IF(G4380=1,"-",Tabela2[[#This Row],[Dt Venc:]]-TODAY())</f>
        <v>-</v>
      </c>
      <c r="G4380" s="3">
        <v>1</v>
      </c>
      <c r="H4380" s="3"/>
    </row>
    <row r="4381" spans="1:8" hidden="1">
      <c r="A4381" s="3">
        <v>2103</v>
      </c>
      <c r="B4381" s="7" t="s">
        <v>525</v>
      </c>
      <c r="C4381" s="41">
        <v>420</v>
      </c>
      <c r="D4381" s="6">
        <v>45667</v>
      </c>
      <c r="E4381" s="3" t="str">
        <f ca="1">IF(Tabela2[[#This Row],[Dt Venc:]]&gt;TODAY(),"Em Aberto",IF(Tabela2[[#This Row],[D/venc]]="-","Enviado",IF(Tabela2[[#This Row],[Dt Venc:]]=TODAY(),"Vence Hoje","Vencida")))</f>
        <v>Enviado</v>
      </c>
      <c r="F4381" s="3" t="str">
        <f ca="1">IF(G4381=1,"-",Tabela2[[#This Row],[Dt Venc:]]-TODAY())</f>
        <v>-</v>
      </c>
      <c r="G4381" s="3">
        <v>1</v>
      </c>
      <c r="H4381" s="3"/>
    </row>
    <row r="4382" spans="1:8" hidden="1">
      <c r="A4382" s="3">
        <v>73103</v>
      </c>
      <c r="B4382" s="7" t="s">
        <v>76</v>
      </c>
      <c r="C4382" s="41">
        <v>1535.47</v>
      </c>
      <c r="D4382" s="6">
        <v>45667</v>
      </c>
      <c r="E4382" s="3" t="str">
        <f ca="1">IF(Tabela2[[#This Row],[Dt Venc:]]&gt;TODAY(),"Em Aberto",IF(Tabela2[[#This Row],[D/venc]]="-","Enviado",IF(Tabela2[[#This Row],[Dt Venc:]]=TODAY(),"Vence Hoje","Vencida")))</f>
        <v>Enviado</v>
      </c>
      <c r="F4382" s="3" t="str">
        <f ca="1">IF(G4382=1,"-",Tabela2[[#This Row],[Dt Venc:]]-TODAY())</f>
        <v>-</v>
      </c>
      <c r="G4382" s="3">
        <v>1</v>
      </c>
      <c r="H4382" s="3"/>
    </row>
    <row r="4383" spans="1:8" hidden="1">
      <c r="A4383" s="3">
        <v>1413763</v>
      </c>
      <c r="B4383" s="7" t="s">
        <v>151</v>
      </c>
      <c r="C4383" s="41">
        <v>644.84</v>
      </c>
      <c r="D4383" s="6">
        <v>45667</v>
      </c>
      <c r="E4383" s="3" t="str">
        <f ca="1">IF(Tabela2[[#This Row],[Dt Venc:]]&gt;TODAY(),"Em Aberto",IF(Tabela2[[#This Row],[D/venc]]="-","Enviado",IF(Tabela2[[#This Row],[Dt Venc:]]=TODAY(),"Vence Hoje","Vencida")))</f>
        <v>Enviado</v>
      </c>
      <c r="F4383" s="3" t="str">
        <f ca="1">IF(G4383=1,"-",Tabela2[[#This Row],[Dt Venc:]]-TODAY())</f>
        <v>-</v>
      </c>
      <c r="G4383" s="3">
        <v>1</v>
      </c>
      <c r="H4383" s="3"/>
    </row>
    <row r="4384" spans="1:8" hidden="1">
      <c r="A4384" s="3">
        <v>89200</v>
      </c>
      <c r="B4384" s="7" t="s">
        <v>207</v>
      </c>
      <c r="C4384" s="41">
        <v>900</v>
      </c>
      <c r="D4384" s="6">
        <v>45667</v>
      </c>
      <c r="E4384" s="3" t="str">
        <f ca="1">IF(Tabela2[[#This Row],[Dt Venc:]]&gt;TODAY(),"Em Aberto",IF(Tabela2[[#This Row],[D/venc]]="-","Enviado",IF(Tabela2[[#This Row],[Dt Venc:]]=TODAY(),"Vence Hoje","Vencida")))</f>
        <v>Enviado</v>
      </c>
      <c r="F4384" s="3" t="str">
        <f ca="1">IF(G4384=1,"-",Tabela2[[#This Row],[Dt Venc:]]-TODAY())</f>
        <v>-</v>
      </c>
      <c r="G4384" s="3">
        <v>1</v>
      </c>
      <c r="H4384" s="3"/>
    </row>
    <row r="4385" spans="1:8" hidden="1">
      <c r="A4385" s="3">
        <v>13</v>
      </c>
      <c r="B4385" s="7" t="s">
        <v>103</v>
      </c>
      <c r="C4385" s="42">
        <v>683.3</v>
      </c>
      <c r="D4385" s="6">
        <v>45667</v>
      </c>
      <c r="E4385" s="3" t="str">
        <f ca="1">IF(Tabela2[[#This Row],[Dt Venc:]]&gt;TODAY(),"Em Aberto",IF(Tabela2[[#This Row],[D/venc]]="-","Enviado",IF(Tabela2[[#This Row],[Dt Venc:]]=TODAY(),"Vence Hoje","Vencida")))</f>
        <v>Enviado</v>
      </c>
      <c r="F4385" s="3" t="str">
        <f ca="1">IF(G4385=1,"-",Tabela2[[#This Row],[Dt Venc:]]-TODAY())</f>
        <v>-</v>
      </c>
      <c r="G4385" s="3">
        <v>1</v>
      </c>
      <c r="H4385" s="3"/>
    </row>
    <row r="4386" spans="1:8" hidden="1">
      <c r="A4386" s="3">
        <v>154344</v>
      </c>
      <c r="B4386" s="7" t="s">
        <v>77</v>
      </c>
      <c r="C4386" s="41">
        <v>450</v>
      </c>
      <c r="D4386" s="6">
        <v>45667</v>
      </c>
      <c r="E4386" s="3" t="str">
        <f ca="1">IF(Tabela2[[#This Row],[Dt Venc:]]&gt;TODAY(),"Em Aberto",IF(Tabela2[[#This Row],[D/venc]]="-","Enviado",IF(Tabela2[[#This Row],[Dt Venc:]]=TODAY(),"Vence Hoje","Vencida")))</f>
        <v>Enviado</v>
      </c>
      <c r="F4386" s="3" t="str">
        <f ca="1">IF(G4386=1,"-",Tabela2[[#This Row],[Dt Venc:]]-TODAY())</f>
        <v>-</v>
      </c>
      <c r="G4386" s="3">
        <v>1</v>
      </c>
      <c r="H4386" s="3"/>
    </row>
    <row r="4387" spans="1:8" hidden="1">
      <c r="A4387" s="3">
        <v>1165</v>
      </c>
      <c r="B4387" s="7" t="s">
        <v>416</v>
      </c>
      <c r="C4387" s="41">
        <v>1192.07</v>
      </c>
      <c r="D4387" s="6">
        <v>45667</v>
      </c>
      <c r="E4387" s="3" t="str">
        <f ca="1">IF(Tabela2[[#This Row],[Dt Venc:]]&gt;TODAY(),"Em Aberto",IF(Tabela2[[#This Row],[D/venc]]="-","Enviado",IF(Tabela2[[#This Row],[Dt Venc:]]=TODAY(),"Vence Hoje","Vencida")))</f>
        <v>Enviado</v>
      </c>
      <c r="F4387" s="3" t="str">
        <f ca="1">IF(G4387=1,"-",Tabela2[[#This Row],[Dt Venc:]]-TODAY())</f>
        <v>-</v>
      </c>
      <c r="G4387" s="3">
        <v>1</v>
      </c>
      <c r="H4387" s="3"/>
    </row>
    <row r="4388" spans="1:8" hidden="1">
      <c r="A4388" s="3">
        <v>834</v>
      </c>
      <c r="B4388" s="7" t="s">
        <v>416</v>
      </c>
      <c r="C4388" s="41">
        <v>400</v>
      </c>
      <c r="D4388" s="6">
        <v>45667</v>
      </c>
      <c r="E4388" s="3" t="str">
        <f ca="1">IF(Tabela2[[#This Row],[Dt Venc:]]&gt;TODAY(),"Em Aberto",IF(Tabela2[[#This Row],[D/venc]]="-","Enviado",IF(Tabela2[[#This Row],[Dt Venc:]]=TODAY(),"Vence Hoje","Vencida")))</f>
        <v>Enviado</v>
      </c>
      <c r="F4388" s="3" t="str">
        <f ca="1">IF(G4388=1,"-",Tabela2[[#This Row],[Dt Venc:]]-TODAY())</f>
        <v>-</v>
      </c>
      <c r="G4388" s="3">
        <v>1</v>
      </c>
      <c r="H4388" s="3"/>
    </row>
    <row r="4389" spans="1:8" hidden="1">
      <c r="A4389" s="3">
        <v>43626</v>
      </c>
      <c r="B4389" s="7" t="s">
        <v>529</v>
      </c>
      <c r="C4389" s="41">
        <v>1424.33</v>
      </c>
      <c r="D4389" s="6">
        <v>45667</v>
      </c>
      <c r="E4389" s="3" t="str">
        <f ca="1">IF(Tabela2[[#This Row],[Dt Venc:]]&gt;TODAY(),"Em Aberto",IF(Tabela2[[#This Row],[D/venc]]="-","Enviado",IF(Tabela2[[#This Row],[Dt Venc:]]=TODAY(),"Vence Hoje","Vencida")))</f>
        <v>Enviado</v>
      </c>
      <c r="F4389" s="3" t="str">
        <f ca="1">IF(G4389=1,"-",Tabela2[[#This Row],[Dt Venc:]]-TODAY())</f>
        <v>-</v>
      </c>
      <c r="G4389" s="3">
        <v>1</v>
      </c>
      <c r="H4389" s="3"/>
    </row>
    <row r="4390" spans="1:8" hidden="1">
      <c r="A4390" s="3" t="s">
        <v>179</v>
      </c>
      <c r="B4390" s="7" t="s">
        <v>190</v>
      </c>
      <c r="C4390" s="84" t="s">
        <v>32</v>
      </c>
      <c r="D4390" s="6">
        <v>45667</v>
      </c>
      <c r="E4390" s="3" t="str">
        <f ca="1">IF(Tabela2[[#This Row],[Dt Venc:]]&gt;TODAY(),"Em Aberto",IF(Tabela2[[#This Row],[D/venc]]="-","Enviado",IF(Tabela2[[#This Row],[Dt Venc:]]=TODAY(),"Vence Hoje","Vencida")))</f>
        <v>Enviado</v>
      </c>
      <c r="F4390" s="3" t="str">
        <f ca="1">IF(G4390=1,"-",Tabela2[[#This Row],[Dt Venc:]]-TODAY())</f>
        <v>-</v>
      </c>
      <c r="G4390" s="3">
        <v>1</v>
      </c>
      <c r="H4390" s="3"/>
    </row>
    <row r="4391" spans="1:8" hidden="1">
      <c r="A4391" s="3">
        <v>175844</v>
      </c>
      <c r="B4391" s="7" t="s">
        <v>434</v>
      </c>
      <c r="C4391" s="41">
        <v>526.66</v>
      </c>
      <c r="D4391" s="6">
        <v>45667</v>
      </c>
      <c r="E4391" s="3" t="str">
        <f ca="1">IF(Tabela2[[#This Row],[Dt Venc:]]&gt;TODAY(),"Em Aberto",IF(Tabela2[[#This Row],[D/venc]]="-","Enviado",IF(Tabela2[[#This Row],[Dt Venc:]]=TODAY(),"Vence Hoje","Vencida")))</f>
        <v>Enviado</v>
      </c>
      <c r="F4391" s="3" t="str">
        <f ca="1">IF(G4391=1,"-",Tabela2[[#This Row],[Dt Venc:]]-TODAY())</f>
        <v>-</v>
      </c>
      <c r="G4391" s="3">
        <v>1</v>
      </c>
      <c r="H4391" s="3"/>
    </row>
    <row r="4392" spans="1:8" hidden="1">
      <c r="A4392" s="3">
        <v>340</v>
      </c>
      <c r="B4392" s="7" t="s">
        <v>530</v>
      </c>
      <c r="C4392" s="41">
        <v>1876.67</v>
      </c>
      <c r="D4392" s="6">
        <v>45667</v>
      </c>
      <c r="E4392" s="3" t="str">
        <f ca="1">IF(Tabela2[[#This Row],[Dt Venc:]]&gt;TODAY(),"Em Aberto",IF(Tabela2[[#This Row],[D/venc]]="-","Enviado",IF(Tabela2[[#This Row],[Dt Venc:]]=TODAY(),"Vence Hoje","Vencida")))</f>
        <v>Enviado</v>
      </c>
      <c r="F4392" s="3" t="str">
        <f ca="1">IF(G4392=1,"-",Tabela2[[#This Row],[Dt Venc:]]-TODAY())</f>
        <v>-</v>
      </c>
      <c r="G4392" s="3">
        <v>1</v>
      </c>
      <c r="H4392" s="3"/>
    </row>
    <row r="4393" spans="1:8" hidden="1">
      <c r="A4393" s="3">
        <v>15323</v>
      </c>
      <c r="B4393" s="7" t="s">
        <v>99</v>
      </c>
      <c r="C4393" s="41">
        <v>1168.75</v>
      </c>
      <c r="D4393" s="6">
        <v>45667</v>
      </c>
      <c r="E4393" s="3" t="str">
        <f ca="1">IF(Tabela2[[#This Row],[Dt Venc:]]&gt;TODAY(),"Em Aberto",IF(Tabela2[[#This Row],[D/venc]]="-","Enviado",IF(Tabela2[[#This Row],[Dt Venc:]]=TODAY(),"Vence Hoje","Vencida")))</f>
        <v>Enviado</v>
      </c>
      <c r="F4393" s="3" t="str">
        <f ca="1">IF(G4393=1,"-",Tabela2[[#This Row],[Dt Venc:]]-TODAY())</f>
        <v>-</v>
      </c>
      <c r="G4393" s="3">
        <v>1</v>
      </c>
      <c r="H4393" s="3"/>
    </row>
    <row r="4394" spans="1:8" hidden="1">
      <c r="A4394" s="3" t="s">
        <v>110</v>
      </c>
      <c r="B4394" s="7" t="s">
        <v>185</v>
      </c>
      <c r="C4394" s="42" t="s">
        <v>32</v>
      </c>
      <c r="D4394" s="6">
        <v>45667</v>
      </c>
      <c r="E4394" s="3" t="str">
        <f ca="1">IF(Tabela2[[#This Row],[Dt Venc:]]&gt;TODAY(),"Em Aberto",IF(Tabela2[[#This Row],[D/venc]]="-","Enviado",IF(Tabela2[[#This Row],[Dt Venc:]]=TODAY(),"Vence Hoje","Vencida")))</f>
        <v>Enviado</v>
      </c>
      <c r="F4394" s="3" t="str">
        <f ca="1">IF(G4394=1,"-",Tabela2[[#This Row],[Dt Venc:]]-TODAY())</f>
        <v>-</v>
      </c>
      <c r="G4394" s="3">
        <v>1</v>
      </c>
      <c r="H4394" s="3"/>
    </row>
    <row r="4395" spans="1:8" hidden="1">
      <c r="A4395" s="3" t="s">
        <v>123</v>
      </c>
      <c r="B4395" s="7" t="s">
        <v>201</v>
      </c>
      <c r="C4395" s="87" t="s">
        <v>32</v>
      </c>
      <c r="D4395" s="6">
        <v>45667</v>
      </c>
      <c r="E4395" s="3" t="str">
        <f ca="1">IF(Tabela2[[#This Row],[Dt Venc:]]&gt;TODAY(),"Em Aberto",IF(Tabela2[[#This Row],[D/venc]]="-","Enviado",IF(Tabela2[[#This Row],[Dt Venc:]]=TODAY(),"Vence Hoje","Vencida")))</f>
        <v>Enviado</v>
      </c>
      <c r="F4395" s="3" t="str">
        <f ca="1">IF(G4395=1,"-",Tabela2[[#This Row],[Dt Venc:]]-TODAY())</f>
        <v>-</v>
      </c>
      <c r="G4395" s="3">
        <v>1</v>
      </c>
      <c r="H4395" s="3"/>
    </row>
    <row r="4396" spans="1:8" hidden="1">
      <c r="A4396" s="3">
        <v>258213</v>
      </c>
      <c r="B4396" s="7" t="s">
        <v>49</v>
      </c>
      <c r="C4396" s="41">
        <v>1716.66</v>
      </c>
      <c r="D4396" s="6">
        <v>45667</v>
      </c>
      <c r="E4396" s="3" t="str">
        <f ca="1">IF(Tabela2[[#This Row],[Dt Venc:]]&gt;TODAY(),"Em Aberto",IF(Tabela2[[#This Row],[D/venc]]="-","Enviado",IF(Tabela2[[#This Row],[Dt Venc:]]=TODAY(),"Vence Hoje","Vencida")))</f>
        <v>Enviado</v>
      </c>
      <c r="F4396" s="3" t="str">
        <f ca="1">IF(G4396=1,"-",Tabela2[[#This Row],[Dt Venc:]]-TODAY())</f>
        <v>-</v>
      </c>
      <c r="G4396" s="3">
        <v>1</v>
      </c>
      <c r="H4396" s="3"/>
    </row>
    <row r="4397" spans="1:8" hidden="1">
      <c r="A4397" s="3">
        <v>130439</v>
      </c>
      <c r="B4397" s="7" t="s">
        <v>157</v>
      </c>
      <c r="C4397" s="41">
        <v>1007.69</v>
      </c>
      <c r="D4397" s="6">
        <v>45667</v>
      </c>
      <c r="E4397" s="3" t="str">
        <f ca="1">IF(Tabela2[[#This Row],[Dt Venc:]]&gt;TODAY(),"Em Aberto",IF(Tabela2[[#This Row],[D/venc]]="-","Enviado",IF(Tabela2[[#This Row],[Dt Venc:]]=TODAY(),"Vence Hoje","Vencida")))</f>
        <v>Enviado</v>
      </c>
      <c r="F4397" s="3" t="str">
        <f ca="1">IF(G4397=1,"-",Tabela2[[#This Row],[Dt Venc:]]-TODAY())</f>
        <v>-</v>
      </c>
      <c r="G4397" s="3">
        <v>1</v>
      </c>
      <c r="H4397" s="3"/>
    </row>
    <row r="4398" spans="1:8" hidden="1">
      <c r="A4398" s="3">
        <v>30841</v>
      </c>
      <c r="B4398" s="7" t="s">
        <v>97</v>
      </c>
      <c r="C4398" s="41">
        <v>1507</v>
      </c>
      <c r="D4398" s="6">
        <v>45667</v>
      </c>
      <c r="E4398" s="3" t="str">
        <f ca="1">IF(Tabela2[[#This Row],[Dt Venc:]]&gt;TODAY(),"Em Aberto",IF(Tabela2[[#This Row],[D/venc]]="-","Enviado",IF(Tabela2[[#This Row],[Dt Venc:]]=TODAY(),"Vence Hoje","Vencida")))</f>
        <v>Enviado</v>
      </c>
      <c r="F4398" s="3" t="str">
        <f ca="1">IF(G4398=1,"-",Tabela2[[#This Row],[Dt Venc:]]-TODAY())</f>
        <v>-</v>
      </c>
      <c r="G4398" s="3">
        <v>1</v>
      </c>
      <c r="H4398" s="3"/>
    </row>
    <row r="4399" spans="1:8" hidden="1">
      <c r="A4399" s="3">
        <v>2036</v>
      </c>
      <c r="B4399" s="7" t="s">
        <v>194</v>
      </c>
      <c r="C4399" s="41">
        <v>2100</v>
      </c>
      <c r="D4399" s="6">
        <v>45667</v>
      </c>
      <c r="E4399" s="3" t="str">
        <f ca="1">IF(Tabela2[[#This Row],[Dt Venc:]]&gt;TODAY(),"Em Aberto",IF(Tabela2[[#This Row],[D/venc]]="-","Enviado",IF(Tabela2[[#This Row],[Dt Venc:]]=TODAY(),"Vence Hoje","Vencida")))</f>
        <v>Enviado</v>
      </c>
      <c r="F4399" s="3" t="str">
        <f ca="1">IF(G4399=1,"-",Tabela2[[#This Row],[Dt Venc:]]-TODAY())</f>
        <v>-</v>
      </c>
      <c r="G4399" s="3">
        <v>1</v>
      </c>
      <c r="H4399" s="3"/>
    </row>
    <row r="4400" spans="1:8" hidden="1">
      <c r="A4400" s="3">
        <v>258491</v>
      </c>
      <c r="B4400" s="7" t="s">
        <v>49</v>
      </c>
      <c r="C4400" s="41">
        <v>1030</v>
      </c>
      <c r="D4400" s="6">
        <v>45667</v>
      </c>
      <c r="E4400" s="3" t="str">
        <f ca="1">IF(Tabela2[[#This Row],[Dt Venc:]]&gt;TODAY(),"Em Aberto",IF(Tabela2[[#This Row],[D/venc]]="-","Enviado",IF(Tabela2[[#This Row],[Dt Venc:]]=TODAY(),"Vence Hoje","Vencida")))</f>
        <v>Enviado</v>
      </c>
      <c r="F4400" s="3" t="str">
        <f ca="1">IF(G4400=1,"-",Tabela2[[#This Row],[Dt Venc:]]-TODAY())</f>
        <v>-</v>
      </c>
      <c r="G4400" s="3">
        <v>1</v>
      </c>
      <c r="H4400" s="3"/>
    </row>
    <row r="4401" spans="1:8" hidden="1">
      <c r="A4401" s="3">
        <v>30920</v>
      </c>
      <c r="B4401" s="7" t="s">
        <v>97</v>
      </c>
      <c r="C4401" s="41">
        <v>1975</v>
      </c>
      <c r="D4401" s="6">
        <v>45667</v>
      </c>
      <c r="E4401" s="3" t="str">
        <f ca="1">IF(Tabela2[[#This Row],[Dt Venc:]]&gt;TODAY(),"Em Aberto",IF(Tabela2[[#This Row],[D/venc]]="-","Enviado",IF(Tabela2[[#This Row],[Dt Venc:]]=TODAY(),"Vence Hoje","Vencida")))</f>
        <v>Enviado</v>
      </c>
      <c r="F4401" s="3" t="str">
        <f ca="1">IF(G4401=1,"-",Tabela2[[#This Row],[Dt Venc:]]-TODAY())</f>
        <v>-</v>
      </c>
      <c r="G4401" s="3">
        <v>1</v>
      </c>
      <c r="H4401" s="3"/>
    </row>
    <row r="4402" spans="1:8" hidden="1">
      <c r="A4402" s="3">
        <v>11223</v>
      </c>
      <c r="B4402" s="7" t="s">
        <v>33</v>
      </c>
      <c r="C4402" s="41">
        <v>325</v>
      </c>
      <c r="D4402" s="6">
        <v>45667</v>
      </c>
      <c r="E4402" s="3" t="str">
        <f ca="1">IF(Tabela2[[#This Row],[Dt Venc:]]&gt;TODAY(),"Em Aberto",IF(Tabela2[[#This Row],[D/venc]]="-","Enviado",IF(Tabela2[[#This Row],[Dt Venc:]]=TODAY(),"Vence Hoje","Vencida")))</f>
        <v>Enviado</v>
      </c>
      <c r="F4402" s="3" t="str">
        <f ca="1">IF(G4402=1,"-",Tabela2[[#This Row],[Dt Venc:]]-TODAY())</f>
        <v>-</v>
      </c>
      <c r="G4402" s="3">
        <v>1</v>
      </c>
      <c r="H4402" s="3"/>
    </row>
    <row r="4403" spans="1:8" hidden="1">
      <c r="A4403" s="3">
        <v>1478</v>
      </c>
      <c r="B4403" s="7" t="s">
        <v>241</v>
      </c>
      <c r="C4403" s="41">
        <v>690</v>
      </c>
      <c r="D4403" s="6">
        <v>45667</v>
      </c>
      <c r="E4403" s="3" t="str">
        <f ca="1">IF(Tabela2[[#This Row],[Dt Venc:]]&gt;TODAY(),"Em Aberto",IF(Tabela2[[#This Row],[D/venc]]="-","Enviado",IF(Tabela2[[#This Row],[Dt Venc:]]=TODAY(),"Vence Hoje","Vencida")))</f>
        <v>Enviado</v>
      </c>
      <c r="F4403" s="3" t="str">
        <f ca="1">IF(G4403=1,"-",Tabela2[[#This Row],[Dt Venc:]]-TODAY())</f>
        <v>-</v>
      </c>
      <c r="G4403" s="3">
        <v>1</v>
      </c>
      <c r="H4403" s="3"/>
    </row>
    <row r="4404" spans="1:8" hidden="1">
      <c r="A4404" s="3">
        <v>8289</v>
      </c>
      <c r="B4404" s="7" t="s">
        <v>623</v>
      </c>
      <c r="C4404" s="41">
        <v>1666.66</v>
      </c>
      <c r="D4404" s="6">
        <v>45667</v>
      </c>
      <c r="E4404" s="3" t="str">
        <f ca="1">IF(Tabela2[[#This Row],[Dt Venc:]]&gt;TODAY(),"Em Aberto",IF(Tabela2[[#This Row],[D/venc]]="-","Enviado",IF(Tabela2[[#This Row],[Dt Venc:]]=TODAY(),"Vence Hoje","Vencida")))</f>
        <v>Enviado</v>
      </c>
      <c r="F4404" s="3" t="str">
        <f ca="1">IF(G4404=1,"-",Tabela2[[#This Row],[Dt Venc:]]-TODAY())</f>
        <v>-</v>
      </c>
      <c r="G4404" s="3">
        <v>1</v>
      </c>
      <c r="H4404" s="3"/>
    </row>
    <row r="4405" spans="1:8" hidden="1">
      <c r="A4405" s="3">
        <v>12576</v>
      </c>
      <c r="B4405" s="7" t="s">
        <v>72</v>
      </c>
      <c r="C4405" s="41">
        <v>812.34</v>
      </c>
      <c r="D4405" s="6">
        <v>45667</v>
      </c>
      <c r="E4405" s="3" t="str">
        <f ca="1">IF(Tabela2[[#This Row],[Dt Venc:]]&gt;TODAY(),"Em Aberto",IF(Tabela2[[#This Row],[D/venc]]="-","Enviado",IF(Tabela2[[#This Row],[Dt Venc:]]=TODAY(),"Vence Hoje","Vencida")))</f>
        <v>Enviado</v>
      </c>
      <c r="F4405" s="3" t="str">
        <f ca="1">IF(G4405=1,"-",Tabela2[[#This Row],[Dt Venc:]]-TODAY())</f>
        <v>-</v>
      </c>
      <c r="G4405" s="3">
        <v>1</v>
      </c>
      <c r="H4405" s="3"/>
    </row>
    <row r="4406" spans="1:8" hidden="1">
      <c r="A4406" s="3">
        <v>377025</v>
      </c>
      <c r="B4406" s="7" t="s">
        <v>573</v>
      </c>
      <c r="C4406" s="41">
        <v>863.45</v>
      </c>
      <c r="D4406" s="6">
        <v>45667</v>
      </c>
      <c r="E4406" s="3" t="str">
        <f ca="1">IF(Tabela2[[#This Row],[Dt Venc:]]&gt;TODAY(),"Em Aberto",IF(Tabela2[[#This Row],[D/venc]]="-","Enviado",IF(Tabela2[[#This Row],[Dt Venc:]]=TODAY(),"Vence Hoje","Vencida")))</f>
        <v>Enviado</v>
      </c>
      <c r="F4406" s="3" t="str">
        <f ca="1">IF(G4406=1,"-",Tabela2[[#This Row],[Dt Venc:]]-TODAY())</f>
        <v>-</v>
      </c>
      <c r="G4406" s="3">
        <v>1</v>
      </c>
      <c r="H4406" s="3"/>
    </row>
    <row r="4407" spans="1:8" hidden="1">
      <c r="A4407" s="3">
        <v>9703</v>
      </c>
      <c r="B4407" s="7" t="s">
        <v>105</v>
      </c>
      <c r="C4407" s="41">
        <v>1440</v>
      </c>
      <c r="D4407" s="6">
        <v>45667</v>
      </c>
      <c r="E4407" s="3" t="str">
        <f ca="1">IF(Tabela2[[#This Row],[Dt Venc:]]&gt;TODAY(),"Em Aberto",IF(Tabela2[[#This Row],[D/venc]]="-","Enviado",IF(Tabela2[[#This Row],[Dt Venc:]]=TODAY(),"Vence Hoje","Vencida")))</f>
        <v>Enviado</v>
      </c>
      <c r="F4407" s="3" t="str">
        <f ca="1">IF(G4407=1,"-",Tabela2[[#This Row],[Dt Venc:]]-TODAY())</f>
        <v>-</v>
      </c>
      <c r="G4407" s="3">
        <v>1</v>
      </c>
      <c r="H4407" s="3"/>
    </row>
    <row r="4408" spans="1:8" hidden="1">
      <c r="A4408" s="3">
        <v>620937</v>
      </c>
      <c r="B4408" s="7" t="s">
        <v>66</v>
      </c>
      <c r="C4408" s="41">
        <v>1314.31</v>
      </c>
      <c r="D4408" s="6">
        <v>45667</v>
      </c>
      <c r="E4408" s="3" t="str">
        <f ca="1">IF(Tabela2[[#This Row],[Dt Venc:]]&gt;TODAY(),"Em Aberto",IF(Tabela2[[#This Row],[D/venc]]="-","Enviado",IF(Tabela2[[#This Row],[Dt Venc:]]=TODAY(),"Vence Hoje","Vencida")))</f>
        <v>Enviado</v>
      </c>
      <c r="F4408" s="3" t="str">
        <f ca="1">IF(G4408=1,"-",Tabela2[[#This Row],[Dt Venc:]]-TODAY())</f>
        <v>-</v>
      </c>
      <c r="G4408" s="3">
        <v>1</v>
      </c>
      <c r="H4408" s="3"/>
    </row>
    <row r="4409" spans="1:8" hidden="1">
      <c r="A4409" s="3">
        <v>1099269</v>
      </c>
      <c r="B4409" s="7" t="s">
        <v>141</v>
      </c>
      <c r="C4409" s="41">
        <v>1433.46</v>
      </c>
      <c r="D4409" s="6">
        <v>45667</v>
      </c>
      <c r="E4409" s="3" t="str">
        <f ca="1">IF(Tabela2[[#This Row],[Dt Venc:]]&gt;TODAY(),"Em Aberto",IF(Tabela2[[#This Row],[D/venc]]="-","Enviado",IF(Tabela2[[#This Row],[Dt Venc:]]=TODAY(),"Vence Hoje","Vencida")))</f>
        <v>Enviado</v>
      </c>
      <c r="F4409" s="3" t="str">
        <f ca="1">IF(G4409=1,"-",Tabela2[[#This Row],[Dt Venc:]]-TODAY())</f>
        <v>-</v>
      </c>
      <c r="G4409" s="3">
        <v>1</v>
      </c>
      <c r="H4409" s="3"/>
    </row>
    <row r="4410" spans="1:8" hidden="1">
      <c r="A4410" s="3">
        <v>1099271</v>
      </c>
      <c r="B4410" s="7" t="s">
        <v>141</v>
      </c>
      <c r="C4410" s="41">
        <v>950.13</v>
      </c>
      <c r="D4410" s="6">
        <v>45667</v>
      </c>
      <c r="E4410" s="3" t="str">
        <f ca="1">IF(Tabela2[[#This Row],[Dt Venc:]]&gt;TODAY(),"Em Aberto",IF(Tabela2[[#This Row],[D/venc]]="-","Enviado",IF(Tabela2[[#This Row],[Dt Venc:]]=TODAY(),"Vence Hoje","Vencida")))</f>
        <v>Enviado</v>
      </c>
      <c r="F4410" s="3" t="str">
        <f ca="1">IF(G4410=1,"-",Tabela2[[#This Row],[Dt Venc:]]-TODAY())</f>
        <v>-</v>
      </c>
      <c r="G4410" s="3">
        <v>1</v>
      </c>
      <c r="H4410" s="3"/>
    </row>
    <row r="4411" spans="1:8" hidden="1">
      <c r="A4411" s="3">
        <v>37265</v>
      </c>
      <c r="B4411" s="7" t="s">
        <v>70</v>
      </c>
      <c r="C4411" s="41">
        <v>402.45</v>
      </c>
      <c r="D4411" s="6">
        <v>45667</v>
      </c>
      <c r="E4411" s="3" t="str">
        <f ca="1">IF(Tabela2[[#This Row],[Dt Venc:]]&gt;TODAY(),"Em Aberto",IF(Tabela2[[#This Row],[D/venc]]="-","Enviado",IF(Tabela2[[#This Row],[Dt Venc:]]=TODAY(),"Vence Hoje","Vencida")))</f>
        <v>Enviado</v>
      </c>
      <c r="F4411" s="3" t="str">
        <f ca="1">IF(G4411=1,"-",Tabela2[[#This Row],[Dt Venc:]]-TODAY())</f>
        <v>-</v>
      </c>
      <c r="G4411" s="3">
        <v>1</v>
      </c>
      <c r="H4411" s="3"/>
    </row>
    <row r="4412" spans="1:8" hidden="1">
      <c r="A4412" s="3">
        <v>37167</v>
      </c>
      <c r="B4412" s="7" t="s">
        <v>624</v>
      </c>
      <c r="C4412" s="41">
        <v>413.34</v>
      </c>
      <c r="D4412" s="6">
        <v>45667</v>
      </c>
      <c r="E4412" s="3" t="str">
        <f ca="1">IF(Tabela2[[#This Row],[Dt Venc:]]&gt;TODAY(),"Em Aberto",IF(Tabela2[[#This Row],[D/venc]]="-","Enviado",IF(Tabela2[[#This Row],[Dt Venc:]]=TODAY(),"Vence Hoje","Vencida")))</f>
        <v>Enviado</v>
      </c>
      <c r="F4412" s="3" t="str">
        <f ca="1">IF(G4412=1,"-",Tabela2[[#This Row],[Dt Venc:]]-TODAY())</f>
        <v>-</v>
      </c>
      <c r="G4412" s="3">
        <v>1</v>
      </c>
      <c r="H4412" s="3"/>
    </row>
    <row r="4413" spans="1:8" hidden="1">
      <c r="A4413" s="3">
        <v>11219</v>
      </c>
      <c r="B4413" s="7" t="s">
        <v>33</v>
      </c>
      <c r="C4413" s="41">
        <v>800</v>
      </c>
      <c r="D4413" s="6">
        <v>45667</v>
      </c>
      <c r="E4413" s="3" t="str">
        <f ca="1">IF(Tabela2[[#This Row],[Dt Venc:]]&gt;TODAY(),"Em Aberto",IF(Tabela2[[#This Row],[D/venc]]="-","Enviado",IF(Tabela2[[#This Row],[Dt Venc:]]=TODAY(),"Vence Hoje","Vencida")))</f>
        <v>Enviado</v>
      </c>
      <c r="F4413" s="3" t="str">
        <f ca="1">IF(G4413=1,"-",Tabela2[[#This Row],[Dt Venc:]]-TODAY())</f>
        <v>-</v>
      </c>
      <c r="G4413" s="3">
        <v>1</v>
      </c>
      <c r="H4413" s="3"/>
    </row>
    <row r="4414" spans="1:8" hidden="1">
      <c r="A4414" s="3">
        <v>307145</v>
      </c>
      <c r="B4414" s="7" t="s">
        <v>625</v>
      </c>
      <c r="C4414" s="41">
        <v>293.49</v>
      </c>
      <c r="D4414" s="6">
        <v>45667</v>
      </c>
      <c r="E4414" s="3" t="str">
        <f ca="1">IF(Tabela2[[#This Row],[Dt Venc:]]&gt;TODAY(),"Em Aberto",IF(Tabela2[[#This Row],[D/venc]]="-","Enviado",IF(Tabela2[[#This Row],[Dt Venc:]]=TODAY(),"Vence Hoje","Vencida")))</f>
        <v>Enviado</v>
      </c>
      <c r="F4414" s="3" t="str">
        <f ca="1">IF(G4414=1,"-",Tabela2[[#This Row],[Dt Venc:]]-TODAY())</f>
        <v>-</v>
      </c>
      <c r="G4414" s="3">
        <v>1</v>
      </c>
      <c r="H4414" s="3"/>
    </row>
    <row r="4415" spans="1:8" hidden="1">
      <c r="A4415" s="3">
        <v>374783</v>
      </c>
      <c r="B4415" s="7" t="s">
        <v>39</v>
      </c>
      <c r="C4415" s="41">
        <v>503.44</v>
      </c>
      <c r="D4415" s="6">
        <v>45667</v>
      </c>
      <c r="E4415" s="3" t="str">
        <f ca="1">IF(Tabela2[[#This Row],[Dt Venc:]]&gt;TODAY(),"Em Aberto",IF(Tabela2[[#This Row],[D/venc]]="-","Enviado",IF(Tabela2[[#This Row],[Dt Venc:]]=TODAY(),"Vence Hoje","Vencida")))</f>
        <v>Enviado</v>
      </c>
      <c r="F4415" s="3" t="str">
        <f ca="1">IF(G4415=1,"-",Tabela2[[#This Row],[Dt Venc:]]-TODAY())</f>
        <v>-</v>
      </c>
      <c r="G4415" s="3">
        <v>1</v>
      </c>
      <c r="H4415" s="3"/>
    </row>
    <row r="4416" spans="1:8" hidden="1">
      <c r="A4416" s="3">
        <v>19895</v>
      </c>
      <c r="B4416" s="7" t="s">
        <v>41</v>
      </c>
      <c r="C4416" s="41">
        <v>466.66</v>
      </c>
      <c r="D4416" s="6">
        <v>45667</v>
      </c>
      <c r="E4416" s="3" t="str">
        <f ca="1">IF(Tabela2[[#This Row],[Dt Venc:]]&gt;TODAY(),"Em Aberto",IF(Tabela2[[#This Row],[D/venc]]="-","Enviado",IF(Tabela2[[#This Row],[Dt Venc:]]=TODAY(),"Vence Hoje","Vencida")))</f>
        <v>Enviado</v>
      </c>
      <c r="F4416" s="3" t="str">
        <f ca="1">IF(G4416=1,"-",Tabela2[[#This Row],[Dt Venc:]]-TODAY())</f>
        <v>-</v>
      </c>
      <c r="G4416" s="3">
        <v>1</v>
      </c>
      <c r="H4416" s="3"/>
    </row>
    <row r="4417" spans="1:8" hidden="1">
      <c r="A4417" s="3">
        <v>1326</v>
      </c>
      <c r="B4417" s="7" t="s">
        <v>474</v>
      </c>
      <c r="C4417" s="41">
        <v>1515</v>
      </c>
      <c r="D4417" s="6">
        <v>45667</v>
      </c>
      <c r="E4417" s="3" t="str">
        <f ca="1">IF(Tabela2[[#This Row],[Dt Venc:]]&gt;TODAY(),"Em Aberto",IF(Tabela2[[#This Row],[D/venc]]="-","Enviado",IF(Tabela2[[#This Row],[Dt Venc:]]=TODAY(),"Vence Hoje","Vencida")))</f>
        <v>Enviado</v>
      </c>
      <c r="F4417" s="3" t="str">
        <f ca="1">IF(G4417=1,"-",Tabela2[[#This Row],[Dt Venc:]]-TODAY())</f>
        <v>-</v>
      </c>
      <c r="G4417" s="3">
        <v>1</v>
      </c>
      <c r="H4417" s="3"/>
    </row>
    <row r="4418" spans="1:8" hidden="1">
      <c r="A4418" s="3">
        <v>382382</v>
      </c>
      <c r="B4418" s="7" t="s">
        <v>202</v>
      </c>
      <c r="C4418" s="41">
        <v>30</v>
      </c>
      <c r="D4418" s="6">
        <v>45667</v>
      </c>
      <c r="E4418" s="3" t="str">
        <f ca="1">IF(Tabela2[[#This Row],[Dt Venc:]]&gt;TODAY(),"Em Aberto",IF(Tabela2[[#This Row],[D/venc]]="-","Enviado",IF(Tabela2[[#This Row],[Dt Venc:]]=TODAY(),"Vence Hoje","Vencida")))</f>
        <v>Enviado</v>
      </c>
      <c r="F4418" s="3" t="str">
        <f ca="1">IF(G4418=1,"-",Tabela2[[#This Row],[Dt Venc:]]-TODAY())</f>
        <v>-</v>
      </c>
      <c r="G4418" s="3">
        <v>1</v>
      </c>
      <c r="H4418" s="3"/>
    </row>
    <row r="4419" spans="1:8" hidden="1">
      <c r="A4419" s="3">
        <v>318732</v>
      </c>
      <c r="B4419" s="7" t="s">
        <v>202</v>
      </c>
      <c r="C4419" s="41">
        <v>90</v>
      </c>
      <c r="D4419" s="6">
        <v>45667</v>
      </c>
      <c r="E4419" s="3" t="str">
        <f ca="1">IF(Tabela2[[#This Row],[Dt Venc:]]&gt;TODAY(),"Em Aberto",IF(Tabela2[[#This Row],[D/venc]]="-","Enviado",IF(Tabela2[[#This Row],[Dt Venc:]]=TODAY(),"Vence Hoje","Vencida")))</f>
        <v>Enviado</v>
      </c>
      <c r="F4419" s="3" t="str">
        <f ca="1">IF(G4419=1,"-",Tabela2[[#This Row],[Dt Venc:]]-TODAY())</f>
        <v>-</v>
      </c>
      <c r="G4419" s="3">
        <v>1</v>
      </c>
      <c r="H4419" s="3"/>
    </row>
    <row r="4420" spans="1:8" hidden="1">
      <c r="A4420" s="3">
        <v>982859</v>
      </c>
      <c r="B4420" s="7" t="s">
        <v>181</v>
      </c>
      <c r="C4420" s="41">
        <v>563</v>
      </c>
      <c r="D4420" s="6">
        <v>45667</v>
      </c>
      <c r="E4420" s="3" t="str">
        <f ca="1">IF(Tabela2[[#This Row],[Dt Venc:]]&gt;TODAY(),"Em Aberto",IF(Tabela2[[#This Row],[D/venc]]="-","Enviado",IF(Tabela2[[#This Row],[Dt Venc:]]=TODAY(),"Vence Hoje","Vencida")))</f>
        <v>Enviado</v>
      </c>
      <c r="F4420" s="3" t="str">
        <f ca="1">IF(G4420=1,"-",Tabela2[[#This Row],[Dt Venc:]]-TODAY())</f>
        <v>-</v>
      </c>
      <c r="G4420" s="3">
        <v>1</v>
      </c>
      <c r="H4420" s="3"/>
    </row>
    <row r="4421" spans="1:8" hidden="1">
      <c r="A4421" s="3">
        <v>10186680</v>
      </c>
      <c r="B4421" s="7" t="s">
        <v>181</v>
      </c>
      <c r="C4421" s="41">
        <v>1313.68</v>
      </c>
      <c r="D4421" s="6">
        <v>45667</v>
      </c>
      <c r="E4421" s="3" t="str">
        <f ca="1">IF(Tabela2[[#This Row],[Dt Venc:]]&gt;TODAY(),"Em Aberto",IF(Tabela2[[#This Row],[D/venc]]="-","Enviado",IF(Tabela2[[#This Row],[Dt Venc:]]=TODAY(),"Vence Hoje","Vencida")))</f>
        <v>Enviado</v>
      </c>
      <c r="F4421" s="3" t="str">
        <f ca="1">IF(G4421=1,"-",Tabela2[[#This Row],[Dt Venc:]]-TODAY())</f>
        <v>-</v>
      </c>
      <c r="G4421" s="3">
        <v>1</v>
      </c>
      <c r="H4421" s="3"/>
    </row>
    <row r="4422" spans="1:8" hidden="1">
      <c r="A4422" s="3">
        <v>3330571</v>
      </c>
      <c r="B4422" s="7" t="s">
        <v>71</v>
      </c>
      <c r="C4422" s="41">
        <v>111490</v>
      </c>
      <c r="D4422" s="6">
        <v>45667</v>
      </c>
      <c r="E4422" s="3" t="str">
        <f ca="1">IF(Tabela2[[#This Row],[Dt Venc:]]&gt;TODAY(),"Em Aberto",IF(Tabela2[[#This Row],[D/venc]]="-","Enviado",IF(Tabela2[[#This Row],[Dt Venc:]]=TODAY(),"Vence Hoje","Vencida")))</f>
        <v>Enviado</v>
      </c>
      <c r="F4422" s="3" t="str">
        <f ca="1">IF(G4422=1,"-",Tabela2[[#This Row],[Dt Venc:]]-TODAY())</f>
        <v>-</v>
      </c>
      <c r="G4422" s="3">
        <v>1</v>
      </c>
      <c r="H4422" s="3"/>
    </row>
    <row r="4423" spans="1:8" hidden="1">
      <c r="A4423" s="3">
        <v>2007009</v>
      </c>
      <c r="B4423" s="7" t="s">
        <v>59</v>
      </c>
      <c r="C4423" s="41">
        <v>111758</v>
      </c>
      <c r="D4423" s="6">
        <v>45667</v>
      </c>
      <c r="E4423" s="3" t="str">
        <f ca="1">IF(Tabela2[[#This Row],[Dt Venc:]]&gt;TODAY(),"Em Aberto",IF(Tabela2[[#This Row],[D/venc]]="-","Enviado",IF(Tabela2[[#This Row],[Dt Venc:]]=TODAY(),"Vence Hoje","Vencida")))</f>
        <v>Enviado</v>
      </c>
      <c r="F4423" s="3" t="str">
        <f ca="1">IF(G4423=1,"-",Tabela2[[#This Row],[Dt Venc:]]-TODAY())</f>
        <v>-</v>
      </c>
      <c r="G4423" s="3">
        <v>1</v>
      </c>
      <c r="H4423" s="3"/>
    </row>
    <row r="4424" spans="1:8" hidden="1">
      <c r="A4424" s="3">
        <v>2282958</v>
      </c>
      <c r="B4424" s="7" t="s">
        <v>59</v>
      </c>
      <c r="C4424" s="41">
        <v>56178</v>
      </c>
      <c r="D4424" s="6">
        <v>45667</v>
      </c>
      <c r="E4424" s="3" t="str">
        <f ca="1">IF(Tabela2[[#This Row],[Dt Venc:]]&gt;TODAY(),"Em Aberto",IF(Tabela2[[#This Row],[D/venc]]="-","Enviado",IF(Tabela2[[#This Row],[Dt Venc:]]=TODAY(),"Vence Hoje","Vencida")))</f>
        <v>Enviado</v>
      </c>
      <c r="F4424" s="3" t="str">
        <f ca="1">IF(G4424=1,"-",Tabela2[[#This Row],[Dt Venc:]]-TODAY())</f>
        <v>-</v>
      </c>
      <c r="G4424" s="3">
        <v>1</v>
      </c>
      <c r="H4424" s="3"/>
    </row>
    <row r="4425" spans="1:8" hidden="1">
      <c r="A4425" s="3">
        <v>4613</v>
      </c>
      <c r="B4425" s="7" t="s">
        <v>406</v>
      </c>
      <c r="C4425" s="41">
        <v>210</v>
      </c>
      <c r="D4425" s="6">
        <v>45667</v>
      </c>
      <c r="E4425" s="3" t="str">
        <f ca="1">IF(Tabela2[[#This Row],[Dt Venc:]]&gt;TODAY(),"Em Aberto",IF(Tabela2[[#This Row],[D/venc]]="-","Enviado",IF(Tabela2[[#This Row],[Dt Venc:]]=TODAY(),"Vence Hoje","Vencida")))</f>
        <v>Enviado</v>
      </c>
      <c r="F4425" s="3" t="str">
        <f ca="1">IF(G4425=1,"-",Tabela2[[#This Row],[Dt Venc:]]-TODAY())</f>
        <v>-</v>
      </c>
      <c r="G4425" s="3">
        <v>1</v>
      </c>
      <c r="H4425" s="3"/>
    </row>
    <row r="4426" spans="1:8" hidden="1">
      <c r="A4426" s="3">
        <v>5455</v>
      </c>
      <c r="B4426" s="7" t="s">
        <v>109</v>
      </c>
      <c r="C4426" s="41">
        <v>960</v>
      </c>
      <c r="D4426" s="6">
        <v>45667</v>
      </c>
      <c r="E4426" s="3" t="str">
        <f ca="1">IF(Tabela2[[#This Row],[Dt Venc:]]&gt;TODAY(),"Em Aberto",IF(Tabela2[[#This Row],[D/venc]]="-","Enviado",IF(Tabela2[[#This Row],[Dt Venc:]]=TODAY(),"Vence Hoje","Vencida")))</f>
        <v>Enviado</v>
      </c>
      <c r="F4426" s="3" t="str">
        <f ca="1">IF(G4426=1,"-",Tabela2[[#This Row],[Dt Venc:]]-TODAY())</f>
        <v>-</v>
      </c>
      <c r="G4426" s="3">
        <v>1</v>
      </c>
      <c r="H4426" s="3"/>
    </row>
    <row r="4427" spans="1:8" hidden="1">
      <c r="A4427" s="3">
        <v>11126</v>
      </c>
      <c r="B4427" s="7" t="s">
        <v>33</v>
      </c>
      <c r="C4427" s="41">
        <v>325</v>
      </c>
      <c r="D4427" s="6">
        <v>45668</v>
      </c>
      <c r="E4427" s="3" t="str">
        <f ca="1">IF(Tabela2[[#This Row],[Dt Venc:]]&gt;TODAY(),"Em Aberto",IF(Tabela2[[#This Row],[D/venc]]="-","Enviado",IF(Tabela2[[#This Row],[Dt Venc:]]=TODAY(),"Vence Hoje","Vencida")))</f>
        <v>Enviado</v>
      </c>
      <c r="F4427" s="3" t="str">
        <f ca="1">IF(G4427=1,"-",Tabela2[[#This Row],[Dt Venc:]]-TODAY())</f>
        <v>-</v>
      </c>
      <c r="G4427" s="3">
        <v>1</v>
      </c>
      <c r="H4427" s="3"/>
    </row>
    <row r="4428" spans="1:8" hidden="1">
      <c r="A4428" s="3">
        <v>11127</v>
      </c>
      <c r="B4428" s="7" t="s">
        <v>33</v>
      </c>
      <c r="C4428" s="41">
        <v>1988.33</v>
      </c>
      <c r="D4428" s="6">
        <v>45668</v>
      </c>
      <c r="E4428" s="3" t="str">
        <f ca="1">IF(Tabela2[[#This Row],[Dt Venc:]]&gt;TODAY(),"Em Aberto",IF(Tabela2[[#This Row],[D/venc]]="-","Enviado",IF(Tabela2[[#This Row],[Dt Venc:]]=TODAY(),"Vence Hoje","Vencida")))</f>
        <v>Enviado</v>
      </c>
      <c r="F4428" s="3" t="str">
        <f ca="1">IF(G4428=1,"-",Tabela2[[#This Row],[Dt Venc:]]-TODAY())</f>
        <v>-</v>
      </c>
      <c r="G4428" s="3">
        <v>1</v>
      </c>
      <c r="H4428" s="3"/>
    </row>
    <row r="4429" spans="1:8" hidden="1">
      <c r="A4429" s="3">
        <v>4534531</v>
      </c>
      <c r="B4429" s="7" t="s">
        <v>90</v>
      </c>
      <c r="C4429" s="41">
        <v>1356.36</v>
      </c>
      <c r="D4429" s="6">
        <v>45668</v>
      </c>
      <c r="E4429" s="3" t="str">
        <f ca="1">IF(Tabela2[[#This Row],[Dt Venc:]]&gt;TODAY(),"Em Aberto",IF(Tabela2[[#This Row],[D/venc]]="-","Enviado",IF(Tabela2[[#This Row],[Dt Venc:]]=TODAY(),"Vence Hoje","Vencida")))</f>
        <v>Enviado</v>
      </c>
      <c r="F4429" s="3" t="str">
        <f ca="1">IF(G4429=1,"-",Tabela2[[#This Row],[Dt Venc:]]-TODAY())</f>
        <v>-</v>
      </c>
      <c r="G4429" s="3">
        <v>1</v>
      </c>
      <c r="H4429" s="3"/>
    </row>
    <row r="4430" spans="1:8" hidden="1">
      <c r="A4430" s="3">
        <v>4586130</v>
      </c>
      <c r="B4430" s="7" t="s">
        <v>90</v>
      </c>
      <c r="C4430" s="41">
        <v>631.33000000000004</v>
      </c>
      <c r="D4430" s="6">
        <v>45668</v>
      </c>
      <c r="E4430" s="3" t="str">
        <f ca="1">IF(Tabela2[[#This Row],[Dt Venc:]]&gt;TODAY(),"Em Aberto",IF(Tabela2[[#This Row],[D/venc]]="-","Enviado",IF(Tabela2[[#This Row],[Dt Venc:]]=TODAY(),"Vence Hoje","Vencida")))</f>
        <v>Enviado</v>
      </c>
      <c r="F4430" s="3" t="str">
        <f ca="1">IF(G4430=1,"-",Tabela2[[#This Row],[Dt Venc:]]-TODAY())</f>
        <v>-</v>
      </c>
      <c r="G4430" s="3">
        <v>1</v>
      </c>
      <c r="H4430" s="3"/>
    </row>
    <row r="4431" spans="1:8" hidden="1">
      <c r="A4431" s="3">
        <v>446407</v>
      </c>
      <c r="B4431" s="7" t="s">
        <v>90</v>
      </c>
      <c r="C4431" s="41">
        <v>219.72</v>
      </c>
      <c r="D4431" s="6">
        <v>45668</v>
      </c>
      <c r="E4431" s="3" t="str">
        <f ca="1">IF(Tabela2[[#This Row],[Dt Venc:]]&gt;TODAY(),"Em Aberto",IF(Tabela2[[#This Row],[D/venc]]="-","Enviado",IF(Tabela2[[#This Row],[Dt Venc:]]=TODAY(),"Vence Hoje","Vencida")))</f>
        <v>Enviado</v>
      </c>
      <c r="F4431" s="3" t="str">
        <f ca="1">IF(G4431=1,"-",Tabela2[[#This Row],[Dt Venc:]]-TODAY())</f>
        <v>-</v>
      </c>
      <c r="G4431" s="3">
        <v>1</v>
      </c>
      <c r="H4431" s="3"/>
    </row>
    <row r="4432" spans="1:8" hidden="1">
      <c r="A4432" s="3">
        <v>2823</v>
      </c>
      <c r="B4432" s="7" t="s">
        <v>301</v>
      </c>
      <c r="C4432" s="41">
        <v>2033.33</v>
      </c>
      <c r="D4432" s="6">
        <v>45668</v>
      </c>
      <c r="E4432" s="3" t="str">
        <f ca="1">IF(Tabela2[[#This Row],[Dt Venc:]]&gt;TODAY(),"Em Aberto",IF(Tabela2[[#This Row],[D/venc]]="-","Enviado",IF(Tabela2[[#This Row],[Dt Venc:]]=TODAY(),"Vence Hoje","Vencida")))</f>
        <v>Enviado</v>
      </c>
      <c r="F4432" s="3" t="str">
        <f ca="1">IF(G4432=1,"-",Tabela2[[#This Row],[Dt Venc:]]-TODAY())</f>
        <v>-</v>
      </c>
      <c r="G4432" s="3">
        <v>1</v>
      </c>
      <c r="H4432" s="3"/>
    </row>
    <row r="4433" spans="1:8" hidden="1">
      <c r="A4433" s="3">
        <v>2841</v>
      </c>
      <c r="B4433" s="7" t="s">
        <v>473</v>
      </c>
      <c r="C4433" s="41">
        <v>2080.8000000000002</v>
      </c>
      <c r="D4433" s="6">
        <v>45668</v>
      </c>
      <c r="E4433" s="3" t="str">
        <f ca="1">IF(Tabela2[[#This Row],[Dt Venc:]]&gt;TODAY(),"Em Aberto",IF(Tabela2[[#This Row],[D/venc]]="-","Enviado",IF(Tabela2[[#This Row],[Dt Venc:]]=TODAY(),"Vence Hoje","Vencida")))</f>
        <v>Enviado</v>
      </c>
      <c r="F4433" s="3" t="str">
        <f ca="1">IF(G4433=1,"-",Tabela2[[#This Row],[Dt Venc:]]-TODAY())</f>
        <v>-</v>
      </c>
      <c r="G4433" s="3">
        <v>1</v>
      </c>
      <c r="H4433" s="3"/>
    </row>
    <row r="4434" spans="1:8" hidden="1">
      <c r="A4434" s="3">
        <v>415787</v>
      </c>
      <c r="B4434" s="7" t="s">
        <v>532</v>
      </c>
      <c r="C4434" s="41">
        <v>3704.91</v>
      </c>
      <c r="D4434" s="6">
        <v>45668</v>
      </c>
      <c r="E4434" s="3" t="str">
        <f ca="1">IF(Tabela2[[#This Row],[Dt Venc:]]&gt;TODAY(),"Em Aberto",IF(Tabela2[[#This Row],[D/venc]]="-","Enviado",IF(Tabela2[[#This Row],[Dt Venc:]]=TODAY(),"Vence Hoje","Vencida")))</f>
        <v>Enviado</v>
      </c>
      <c r="F4434" s="3" t="str">
        <f ca="1">IF(G4434=1,"-",Tabela2[[#This Row],[Dt Venc:]]-TODAY())</f>
        <v>-</v>
      </c>
      <c r="G4434" s="3">
        <v>1</v>
      </c>
      <c r="H4434" s="3"/>
    </row>
    <row r="4435" spans="1:8" hidden="1">
      <c r="A4435" s="3">
        <v>4192</v>
      </c>
      <c r="B4435" s="7" t="s">
        <v>361</v>
      </c>
      <c r="C4435" s="41">
        <v>509.54</v>
      </c>
      <c r="D4435" s="6">
        <v>45668</v>
      </c>
      <c r="E4435" s="3" t="str">
        <f ca="1">IF(Tabela2[[#This Row],[Dt Venc:]]&gt;TODAY(),"Em Aberto",IF(Tabela2[[#This Row],[D/venc]]="-","Enviado",IF(Tabela2[[#This Row],[Dt Venc:]]=TODAY(),"Vence Hoje","Vencida")))</f>
        <v>Enviado</v>
      </c>
      <c r="F4435" s="3" t="str">
        <f ca="1">IF(G4435=1,"-",Tabela2[[#This Row],[Dt Venc:]]-TODAY())</f>
        <v>-</v>
      </c>
      <c r="G4435" s="3">
        <v>1</v>
      </c>
      <c r="H4435" s="3"/>
    </row>
    <row r="4436" spans="1:8" hidden="1">
      <c r="A4436" s="3">
        <v>8712</v>
      </c>
      <c r="B4436" s="7" t="s">
        <v>113</v>
      </c>
      <c r="C4436" s="41">
        <v>1226.6600000000001</v>
      </c>
      <c r="D4436" s="6">
        <v>45668</v>
      </c>
      <c r="E4436" s="3" t="str">
        <f ca="1">IF(Tabela2[[#This Row],[Dt Venc:]]&gt;TODAY(),"Em Aberto",IF(Tabela2[[#This Row],[D/venc]]="-","Enviado",IF(Tabela2[[#This Row],[Dt Venc:]]=TODAY(),"Vence Hoje","Vencida")))</f>
        <v>Enviado</v>
      </c>
      <c r="F4436" s="3" t="str">
        <f ca="1">IF(G4436=1,"-",Tabela2[[#This Row],[Dt Venc:]]-TODAY())</f>
        <v>-</v>
      </c>
      <c r="G4436" s="3">
        <v>1</v>
      </c>
      <c r="H4436" s="3"/>
    </row>
    <row r="4437" spans="1:8" hidden="1">
      <c r="A4437" s="3">
        <v>1210</v>
      </c>
      <c r="B4437" s="7" t="s">
        <v>113</v>
      </c>
      <c r="C4437" s="41">
        <v>1226.6600000000001</v>
      </c>
      <c r="D4437" s="6">
        <v>45668</v>
      </c>
      <c r="E4437" s="3" t="str">
        <f ca="1">IF(Tabela2[[#This Row],[Dt Venc:]]&gt;TODAY(),"Em Aberto",IF(Tabela2[[#This Row],[D/venc]]="-","Enviado",IF(Tabela2[[#This Row],[Dt Venc:]]=TODAY(),"Vence Hoje","Vencida")))</f>
        <v>Enviado</v>
      </c>
      <c r="F4437" s="3" t="str">
        <f ca="1">IF(G4437=1,"-",Tabela2[[#This Row],[Dt Venc:]]-TODAY())</f>
        <v>-</v>
      </c>
      <c r="G4437" s="3">
        <v>1</v>
      </c>
      <c r="H4437" s="3"/>
    </row>
    <row r="4438" spans="1:8" hidden="1">
      <c r="A4438" s="3">
        <v>6142</v>
      </c>
      <c r="B4438" s="7" t="s">
        <v>47</v>
      </c>
      <c r="C4438" s="41">
        <v>697.9</v>
      </c>
      <c r="D4438" s="6">
        <v>45668</v>
      </c>
      <c r="E4438" s="3" t="str">
        <f ca="1">IF(Tabela2[[#This Row],[Dt Venc:]]&gt;TODAY(),"Em Aberto",IF(Tabela2[[#This Row],[D/venc]]="-","Enviado",IF(Tabela2[[#This Row],[Dt Venc:]]=TODAY(),"Vence Hoje","Vencida")))</f>
        <v>Enviado</v>
      </c>
      <c r="F4438" s="3" t="str">
        <f ca="1">IF(G4438=1,"-",Tabela2[[#This Row],[Dt Venc:]]-TODAY())</f>
        <v>-</v>
      </c>
      <c r="G4438" s="3">
        <v>1</v>
      </c>
      <c r="H4438" s="3"/>
    </row>
    <row r="4439" spans="1:8" hidden="1">
      <c r="A4439" s="3">
        <v>18305</v>
      </c>
      <c r="B4439" s="7" t="s">
        <v>292</v>
      </c>
      <c r="C4439" s="41">
        <v>3506</v>
      </c>
      <c r="D4439" s="6">
        <v>45668</v>
      </c>
      <c r="E4439" s="3" t="str">
        <f ca="1">IF(Tabela2[[#This Row],[Dt Venc:]]&gt;TODAY(),"Em Aberto",IF(Tabela2[[#This Row],[D/venc]]="-","Enviado",IF(Tabela2[[#This Row],[Dt Venc:]]=TODAY(),"Vence Hoje","Vencida")))</f>
        <v>Enviado</v>
      </c>
      <c r="F4439" s="3" t="str">
        <f ca="1">IF(G4439=1,"-",Tabela2[[#This Row],[Dt Venc:]]-TODAY())</f>
        <v>-</v>
      </c>
      <c r="G4439" s="3">
        <v>1</v>
      </c>
      <c r="H4439" s="3"/>
    </row>
    <row r="4440" spans="1:8" hidden="1">
      <c r="A4440" s="3">
        <v>18304</v>
      </c>
      <c r="B4440" s="7" t="s">
        <v>292</v>
      </c>
      <c r="C4440" s="41">
        <v>1645</v>
      </c>
      <c r="D4440" s="6">
        <v>45668</v>
      </c>
      <c r="E4440" s="3" t="str">
        <f ca="1">IF(Tabela2[[#This Row],[Dt Venc:]]&gt;TODAY(),"Em Aberto",IF(Tabela2[[#This Row],[D/venc]]="-","Enviado",IF(Tabela2[[#This Row],[Dt Venc:]]=TODAY(),"Vence Hoje","Vencida")))</f>
        <v>Enviado</v>
      </c>
      <c r="F4440" s="3" t="str">
        <f ca="1">IF(G4440=1,"-",Tabela2[[#This Row],[Dt Venc:]]-TODAY())</f>
        <v>-</v>
      </c>
      <c r="G4440" s="3">
        <v>1</v>
      </c>
      <c r="H4440" s="3"/>
    </row>
    <row r="4441" spans="1:8" hidden="1">
      <c r="A4441" s="3">
        <v>92000</v>
      </c>
      <c r="B4441" s="7" t="s">
        <v>533</v>
      </c>
      <c r="C4441" s="41">
        <v>1000</v>
      </c>
      <c r="D4441" s="6">
        <v>45668</v>
      </c>
      <c r="E4441" s="3" t="str">
        <f ca="1">IF(Tabela2[[#This Row],[Dt Venc:]]&gt;TODAY(),"Em Aberto",IF(Tabela2[[#This Row],[D/venc]]="-","Enviado",IF(Tabela2[[#This Row],[Dt Venc:]]=TODAY(),"Vence Hoje","Vencida")))</f>
        <v>Enviado</v>
      </c>
      <c r="F4441" s="3" t="str">
        <f ca="1">IF(G4441=1,"-",Tabela2[[#This Row],[Dt Venc:]]-TODAY())</f>
        <v>-</v>
      </c>
      <c r="G4441" s="3">
        <v>1</v>
      </c>
      <c r="H4441" s="3"/>
    </row>
    <row r="4442" spans="1:8" hidden="1">
      <c r="A4442" s="3">
        <v>37327</v>
      </c>
      <c r="B4442" s="7" t="s">
        <v>167</v>
      </c>
      <c r="C4442" s="84" t="s">
        <v>32</v>
      </c>
      <c r="D4442" s="6">
        <v>45668</v>
      </c>
      <c r="E4442" s="3" t="str">
        <f ca="1">IF(Tabela2[[#This Row],[Dt Venc:]]&gt;TODAY(),"Em Aberto",IF(Tabela2[[#This Row],[D/venc]]="-","Enviado",IF(Tabela2[[#This Row],[Dt Venc:]]=TODAY(),"Vence Hoje","Vencida")))</f>
        <v>Enviado</v>
      </c>
      <c r="F4442" s="3" t="str">
        <f ca="1">IF(G4442=1,"-",Tabela2[[#This Row],[Dt Venc:]]-TODAY())</f>
        <v>-</v>
      </c>
      <c r="G4442" s="3">
        <v>1</v>
      </c>
      <c r="H4442" s="3"/>
    </row>
    <row r="4443" spans="1:8" hidden="1">
      <c r="A4443" s="3">
        <v>11226</v>
      </c>
      <c r="B4443" s="7" t="s">
        <v>33</v>
      </c>
      <c r="C4443" s="41">
        <v>325</v>
      </c>
      <c r="D4443" s="6">
        <v>45668</v>
      </c>
      <c r="E4443" s="3" t="str">
        <f ca="1">IF(Tabela2[[#This Row],[Dt Venc:]]&gt;TODAY(),"Em Aberto",IF(Tabela2[[#This Row],[D/venc]]="-","Enviado",IF(Tabela2[[#This Row],[Dt Venc:]]=TODAY(),"Vence Hoje","Vencida")))</f>
        <v>Enviado</v>
      </c>
      <c r="F4443" s="3" t="str">
        <f ca="1">IF(G4443=1,"-",Tabela2[[#This Row],[Dt Venc:]]-TODAY())</f>
        <v>-</v>
      </c>
      <c r="G4443" s="3">
        <v>1</v>
      </c>
      <c r="H4443" s="3"/>
    </row>
    <row r="4444" spans="1:8" hidden="1">
      <c r="A4444" s="3">
        <v>11225</v>
      </c>
      <c r="B4444" s="7" t="s">
        <v>33</v>
      </c>
      <c r="C4444" s="41">
        <v>1551.6</v>
      </c>
      <c r="D4444" s="6">
        <v>45668</v>
      </c>
      <c r="E4444" s="3" t="str">
        <f ca="1">IF(Tabela2[[#This Row],[Dt Venc:]]&gt;TODAY(),"Em Aberto",IF(Tabela2[[#This Row],[D/venc]]="-","Enviado",IF(Tabela2[[#This Row],[Dt Venc:]]=TODAY(),"Vence Hoje","Vencida")))</f>
        <v>Enviado</v>
      </c>
      <c r="F4444" s="3" t="str">
        <f ca="1">IF(G4444=1,"-",Tabela2[[#This Row],[Dt Venc:]]-TODAY())</f>
        <v>-</v>
      </c>
      <c r="G4444" s="3">
        <v>1</v>
      </c>
      <c r="H4444" s="3"/>
    </row>
    <row r="4445" spans="1:8" hidden="1">
      <c r="A4445" s="3">
        <v>45</v>
      </c>
      <c r="B4445" s="7" t="s">
        <v>103</v>
      </c>
      <c r="C4445" s="41">
        <v>1600</v>
      </c>
      <c r="D4445" s="6">
        <v>45668</v>
      </c>
      <c r="E4445" s="3" t="str">
        <f ca="1">IF(Tabela2[[#This Row],[Dt Venc:]]&gt;TODAY(),"Em Aberto",IF(Tabela2[[#This Row],[D/venc]]="-","Enviado",IF(Tabela2[[#This Row],[Dt Venc:]]=TODAY(),"Vence Hoje","Vencida")))</f>
        <v>Enviado</v>
      </c>
      <c r="F4445" s="3" t="str">
        <f ca="1">IF(G4445=1,"-",Tabela2[[#This Row],[Dt Venc:]]-TODAY())</f>
        <v>-</v>
      </c>
      <c r="G4445" s="3">
        <v>1</v>
      </c>
      <c r="H4445" s="3"/>
    </row>
    <row r="4446" spans="1:8" hidden="1">
      <c r="A4446" s="3">
        <v>147748</v>
      </c>
      <c r="B4446" s="7" t="s">
        <v>127</v>
      </c>
      <c r="C4446" s="41">
        <v>802.67</v>
      </c>
      <c r="D4446" s="6">
        <v>45668</v>
      </c>
      <c r="E4446" s="3" t="str">
        <f ca="1">IF(Tabela2[[#This Row],[Dt Venc:]]&gt;TODAY(),"Em Aberto",IF(Tabela2[[#This Row],[D/venc]]="-","Enviado",IF(Tabela2[[#This Row],[Dt Venc:]]=TODAY(),"Vence Hoje","Vencida")))</f>
        <v>Enviado</v>
      </c>
      <c r="F4446" s="3" t="str">
        <f ca="1">IF(G4446=1,"-",Tabela2[[#This Row],[Dt Venc:]]-TODAY())</f>
        <v>-</v>
      </c>
      <c r="G4446" s="3">
        <v>1</v>
      </c>
      <c r="H4446" s="3"/>
    </row>
    <row r="4447" spans="1:8" hidden="1">
      <c r="A4447" s="3">
        <v>762603</v>
      </c>
      <c r="B4447" s="7" t="s">
        <v>127</v>
      </c>
      <c r="C4447" s="41">
        <v>342.56</v>
      </c>
      <c r="D4447" s="6">
        <v>45668</v>
      </c>
      <c r="E4447" s="3" t="str">
        <f ca="1">IF(Tabela2[[#This Row],[Dt Venc:]]&gt;TODAY(),"Em Aberto",IF(Tabela2[[#This Row],[D/venc]]="-","Enviado",IF(Tabela2[[#This Row],[Dt Venc:]]=TODAY(),"Vence Hoje","Vencida")))</f>
        <v>Enviado</v>
      </c>
      <c r="F4447" s="3" t="str">
        <f ca="1">IF(G4447=1,"-",Tabela2[[#This Row],[Dt Venc:]]-TODAY())</f>
        <v>-</v>
      </c>
      <c r="G4447" s="3">
        <v>1</v>
      </c>
      <c r="H4447" s="3"/>
    </row>
    <row r="4448" spans="1:8" hidden="1">
      <c r="A4448" s="3">
        <v>147751</v>
      </c>
      <c r="B4448" s="7" t="s">
        <v>127</v>
      </c>
      <c r="C4448" s="41">
        <v>802.67</v>
      </c>
      <c r="D4448" s="6">
        <v>45668</v>
      </c>
      <c r="E4448" s="3" t="str">
        <f ca="1">IF(Tabela2[[#This Row],[Dt Venc:]]&gt;TODAY(),"Em Aberto",IF(Tabela2[[#This Row],[D/venc]]="-","Enviado",IF(Tabela2[[#This Row],[Dt Venc:]]=TODAY(),"Vence Hoje","Vencida")))</f>
        <v>Enviado</v>
      </c>
      <c r="F4448" s="3" t="str">
        <f ca="1">IF(G4448=1,"-",Tabela2[[#This Row],[Dt Venc:]]-TODAY())</f>
        <v>-</v>
      </c>
      <c r="G4448" s="3">
        <v>1</v>
      </c>
      <c r="H4448" s="3"/>
    </row>
    <row r="4449" spans="1:8" hidden="1">
      <c r="A4449" s="3">
        <v>762609</v>
      </c>
      <c r="B4449" s="7" t="s">
        <v>127</v>
      </c>
      <c r="C4449" s="41">
        <v>342.56</v>
      </c>
      <c r="D4449" s="6">
        <v>45668</v>
      </c>
      <c r="E4449" s="3" t="str">
        <f ca="1">IF(Tabela2[[#This Row],[Dt Venc:]]&gt;TODAY(),"Em Aberto",IF(Tabela2[[#This Row],[D/venc]]="-","Enviado",IF(Tabela2[[#This Row],[Dt Venc:]]=TODAY(),"Vence Hoje","Vencida")))</f>
        <v>Enviado</v>
      </c>
      <c r="F4449" s="3" t="str">
        <f ca="1">IF(G4449=1,"-",Tabela2[[#This Row],[Dt Venc:]]-TODAY())</f>
        <v>-</v>
      </c>
      <c r="G4449" s="3">
        <v>1</v>
      </c>
      <c r="H4449" s="3"/>
    </row>
    <row r="4450" spans="1:8" hidden="1">
      <c r="A4450" s="3">
        <v>14</v>
      </c>
      <c r="B4450" s="7" t="s">
        <v>626</v>
      </c>
      <c r="C4450" s="41">
        <v>1800</v>
      </c>
      <c r="D4450" s="6">
        <v>45668</v>
      </c>
      <c r="E4450" s="3" t="str">
        <f ca="1">IF(Tabela2[[#This Row],[Dt Venc:]]&gt;TODAY(),"Em Aberto",IF(Tabela2[[#This Row],[D/venc]]="-","Enviado",IF(Tabela2[[#This Row],[Dt Venc:]]=TODAY(),"Vence Hoje","Vencida")))</f>
        <v>Enviado</v>
      </c>
      <c r="F4450" s="3" t="str">
        <f ca="1">IF(G4450=1,"-",Tabela2[[#This Row],[Dt Venc:]]-TODAY())</f>
        <v>-</v>
      </c>
      <c r="G4450" s="3">
        <v>1</v>
      </c>
      <c r="H4450" s="3"/>
    </row>
    <row r="4451" spans="1:8" hidden="1">
      <c r="A4451" s="3">
        <v>3602</v>
      </c>
      <c r="B4451" s="7" t="s">
        <v>129</v>
      </c>
      <c r="C4451" s="41">
        <v>2118.1999999999998</v>
      </c>
      <c r="D4451" s="6">
        <v>45668</v>
      </c>
      <c r="E4451" s="3" t="str">
        <f ca="1">IF(Tabela2[[#This Row],[Dt Venc:]]&gt;TODAY(),"Em Aberto",IF(Tabela2[[#This Row],[D/venc]]="-","Enviado",IF(Tabela2[[#This Row],[Dt Venc:]]=TODAY(),"Vence Hoje","Vencida")))</f>
        <v>Enviado</v>
      </c>
      <c r="F4451" s="3" t="str">
        <f ca="1">IF(G4451=1,"-",Tabela2[[#This Row],[Dt Venc:]]-TODAY())</f>
        <v>-</v>
      </c>
      <c r="G4451" s="3">
        <v>1</v>
      </c>
      <c r="H4451" s="3"/>
    </row>
    <row r="4452" spans="1:8" hidden="1">
      <c r="A4452" s="3">
        <v>14332</v>
      </c>
      <c r="B4452" s="7" t="s">
        <v>51</v>
      </c>
      <c r="C4452" s="41">
        <v>450</v>
      </c>
      <c r="D4452" s="6">
        <v>45668</v>
      </c>
      <c r="E4452" s="3" t="str">
        <f ca="1">IF(Tabela2[[#This Row],[Dt Venc:]]&gt;TODAY(),"Em Aberto",IF(Tabela2[[#This Row],[D/venc]]="-","Enviado",IF(Tabela2[[#This Row],[Dt Venc:]]=TODAY(),"Vence Hoje","Vencida")))</f>
        <v>Enviado</v>
      </c>
      <c r="F4452" s="3" t="str">
        <f ca="1">IF(G4452=1,"-",Tabela2[[#This Row],[Dt Venc:]]-TODAY())</f>
        <v>-</v>
      </c>
      <c r="G4452" s="3">
        <v>1</v>
      </c>
      <c r="H4452" s="3"/>
    </row>
    <row r="4453" spans="1:8" hidden="1">
      <c r="A4453" s="3">
        <v>267501</v>
      </c>
      <c r="B4453" s="7" t="s">
        <v>43</v>
      </c>
      <c r="C4453" s="41">
        <v>846.16</v>
      </c>
      <c r="D4453" s="6">
        <v>45668</v>
      </c>
      <c r="E4453" s="3" t="str">
        <f ca="1">IF(Tabela2[[#This Row],[Dt Venc:]]&gt;TODAY(),"Em Aberto",IF(Tabela2[[#This Row],[D/venc]]="-","Enviado",IF(Tabela2[[#This Row],[Dt Venc:]]=TODAY(),"Vence Hoje","Vencida")))</f>
        <v>Enviado</v>
      </c>
      <c r="F4453" s="3" t="str">
        <f ca="1">IF(G4453=1,"-",Tabela2[[#This Row],[Dt Venc:]]-TODAY())</f>
        <v>-</v>
      </c>
      <c r="G4453" s="3">
        <v>1</v>
      </c>
      <c r="H4453" s="3"/>
    </row>
    <row r="4454" spans="1:8" hidden="1">
      <c r="A4454" s="3" t="s">
        <v>110</v>
      </c>
      <c r="B4454" s="7" t="s">
        <v>205</v>
      </c>
      <c r="C4454" s="42" t="s">
        <v>32</v>
      </c>
      <c r="D4454" s="6">
        <v>45668</v>
      </c>
      <c r="E4454" s="3" t="str">
        <f ca="1">IF(Tabela2[[#This Row],[Dt Venc:]]&gt;TODAY(),"Em Aberto",IF(Tabela2[[#This Row],[D/venc]]="-","Enviado",IF(Tabela2[[#This Row],[Dt Venc:]]=TODAY(),"Vence Hoje","Vencida")))</f>
        <v>Enviado</v>
      </c>
      <c r="F4454" s="3" t="str">
        <f ca="1">IF(G4454=1,"-",Tabela2[[#This Row],[Dt Venc:]]-TODAY())</f>
        <v>-</v>
      </c>
      <c r="G4454" s="3">
        <v>1</v>
      </c>
      <c r="H4454" s="3"/>
    </row>
    <row r="4455" spans="1:8" hidden="1">
      <c r="A4455" s="3">
        <v>621</v>
      </c>
      <c r="B4455" s="7" t="s">
        <v>535</v>
      </c>
      <c r="C4455" s="41">
        <v>666.67</v>
      </c>
      <c r="D4455" s="6">
        <v>45669</v>
      </c>
      <c r="E4455" s="3" t="str">
        <f ca="1">IF(Tabela2[[#This Row],[Dt Venc:]]&gt;TODAY(),"Em Aberto",IF(Tabela2[[#This Row],[D/venc]]="-","Enviado",IF(Tabela2[[#This Row],[Dt Venc:]]=TODAY(),"Vence Hoje","Vencida")))</f>
        <v>Enviado</v>
      </c>
      <c r="F4455" s="3" t="str">
        <f ca="1">IF(G4455=1,"-",Tabela2[[#This Row],[Dt Venc:]]-TODAY())</f>
        <v>-</v>
      </c>
      <c r="G4455" s="3">
        <v>1</v>
      </c>
      <c r="H4455" s="3"/>
    </row>
    <row r="4456" spans="1:8" hidden="1">
      <c r="A4456" s="3">
        <v>222671</v>
      </c>
      <c r="B4456" s="7" t="s">
        <v>127</v>
      </c>
      <c r="C4456" s="41">
        <v>498.13</v>
      </c>
      <c r="D4456" s="6">
        <v>45669</v>
      </c>
      <c r="E4456" s="3" t="str">
        <f ca="1">IF(Tabela2[[#This Row],[Dt Venc:]]&gt;TODAY(),"Em Aberto",IF(Tabela2[[#This Row],[D/venc]]="-","Enviado",IF(Tabela2[[#This Row],[Dt Venc:]]=TODAY(),"Vence Hoje","Vencida")))</f>
        <v>Enviado</v>
      </c>
      <c r="F4456" s="3" t="str">
        <f ca="1">IF(G4456=1,"-",Tabela2[[#This Row],[Dt Venc:]]-TODAY())</f>
        <v>-</v>
      </c>
      <c r="G4456" s="3">
        <v>1</v>
      </c>
      <c r="H4456" s="3"/>
    </row>
    <row r="4457" spans="1:8" hidden="1">
      <c r="A4457" s="3">
        <v>225222</v>
      </c>
      <c r="B4457" s="7" t="s">
        <v>127</v>
      </c>
      <c r="C4457" s="41">
        <v>345.86</v>
      </c>
      <c r="D4457" s="6">
        <v>45669</v>
      </c>
      <c r="E4457" s="3" t="str">
        <f ca="1">IF(Tabela2[[#This Row],[Dt Venc:]]&gt;TODAY(),"Em Aberto",IF(Tabela2[[#This Row],[D/venc]]="-","Enviado",IF(Tabela2[[#This Row],[Dt Venc:]]=TODAY(),"Vence Hoje","Vencida")))</f>
        <v>Enviado</v>
      </c>
      <c r="F4457" s="3" t="str">
        <f ca="1">IF(G4457=1,"-",Tabela2[[#This Row],[Dt Venc:]]-TODAY())</f>
        <v>-</v>
      </c>
      <c r="G4457" s="3">
        <v>1</v>
      </c>
      <c r="H4457" s="3"/>
    </row>
    <row r="4458" spans="1:8" hidden="1">
      <c r="A4458" s="3">
        <v>103</v>
      </c>
      <c r="B4458" s="7" t="s">
        <v>95</v>
      </c>
      <c r="C4458" s="41">
        <v>3775</v>
      </c>
      <c r="D4458" s="6">
        <v>45669</v>
      </c>
      <c r="E4458" s="3" t="str">
        <f ca="1">IF(Tabela2[[#This Row],[Dt Venc:]]&gt;TODAY(),"Em Aberto",IF(Tabela2[[#This Row],[D/venc]]="-","Enviado",IF(Tabela2[[#This Row],[Dt Venc:]]=TODAY(),"Vence Hoje","Vencida")))</f>
        <v>Enviado</v>
      </c>
      <c r="F4458" s="3" t="str">
        <f ca="1">IF(G4458=1,"-",Tabela2[[#This Row],[Dt Venc:]]-TODAY())</f>
        <v>-</v>
      </c>
      <c r="G4458" s="3">
        <v>1</v>
      </c>
      <c r="H4458" s="3"/>
    </row>
    <row r="4459" spans="1:8" hidden="1">
      <c r="A4459" s="3">
        <v>30672</v>
      </c>
      <c r="B4459" s="7" t="s">
        <v>97</v>
      </c>
      <c r="C4459" s="41">
        <v>1826</v>
      </c>
      <c r="D4459" s="6">
        <v>45669</v>
      </c>
      <c r="E4459" s="3" t="str">
        <f ca="1">IF(Tabela2[[#This Row],[Dt Venc:]]&gt;TODAY(),"Em Aberto",IF(Tabela2[[#This Row],[D/venc]]="-","Enviado",IF(Tabela2[[#This Row],[Dt Venc:]]=TODAY(),"Vence Hoje","Vencida")))</f>
        <v>Enviado</v>
      </c>
      <c r="F4459" s="3" t="str">
        <f ca="1">IF(G4459=1,"-",Tabela2[[#This Row],[Dt Venc:]]-TODAY())</f>
        <v>-</v>
      </c>
      <c r="G4459" s="3">
        <v>1</v>
      </c>
      <c r="H4459" s="3"/>
    </row>
    <row r="4460" spans="1:8" hidden="1">
      <c r="A4460" s="3">
        <v>29920</v>
      </c>
      <c r="B4460" s="7" t="s">
        <v>226</v>
      </c>
      <c r="C4460" s="42">
        <v>2925</v>
      </c>
      <c r="D4460" s="6">
        <v>45669</v>
      </c>
      <c r="E4460" s="3" t="str">
        <f ca="1">IF(Tabela2[[#This Row],[Dt Venc:]]&gt;TODAY(),"Em Aberto",IF(Tabela2[[#This Row],[D/venc]]="-","Enviado",IF(Tabela2[[#This Row],[Dt Venc:]]=TODAY(),"Vence Hoje","Vencida")))</f>
        <v>Enviado</v>
      </c>
      <c r="F4460" s="3" t="str">
        <f ca="1">IF(G4460=1,"-",Tabela2[[#This Row],[Dt Venc:]]-TODAY())</f>
        <v>-</v>
      </c>
      <c r="G4460" s="3">
        <v>1</v>
      </c>
      <c r="H4460" s="3"/>
    </row>
    <row r="4461" spans="1:8" hidden="1">
      <c r="A4461" s="3">
        <v>154404</v>
      </c>
      <c r="B4461" s="7" t="s">
        <v>77</v>
      </c>
      <c r="C4461" s="41">
        <v>773.33</v>
      </c>
      <c r="D4461" s="6">
        <v>45669</v>
      </c>
      <c r="E4461" s="3" t="str">
        <f ca="1">IF(Tabela2[[#This Row],[Dt Venc:]]&gt;TODAY(),"Em Aberto",IF(Tabela2[[#This Row],[D/venc]]="-","Enviado",IF(Tabela2[[#This Row],[Dt Venc:]]=TODAY(),"Vence Hoje","Vencida")))</f>
        <v>Enviado</v>
      </c>
      <c r="F4461" s="3" t="str">
        <f ca="1">IF(G4461=1,"-",Tabela2[[#This Row],[Dt Venc:]]-TODAY())</f>
        <v>-</v>
      </c>
      <c r="G4461" s="3">
        <v>1</v>
      </c>
      <c r="H4461" s="3"/>
    </row>
    <row r="4462" spans="1:8" hidden="1">
      <c r="A4462" s="3">
        <v>154402</v>
      </c>
      <c r="B4462" s="7" t="s">
        <v>77</v>
      </c>
      <c r="C4462" s="41">
        <v>450</v>
      </c>
      <c r="D4462" s="6">
        <v>45669</v>
      </c>
      <c r="E4462" s="3" t="str">
        <f ca="1">IF(Tabela2[[#This Row],[Dt Venc:]]&gt;TODAY(),"Em Aberto",IF(Tabela2[[#This Row],[D/venc]]="-","Enviado",IF(Tabela2[[#This Row],[Dt Venc:]]=TODAY(),"Vence Hoje","Vencida")))</f>
        <v>Enviado</v>
      </c>
      <c r="F4462" s="3" t="str">
        <f ca="1">IF(G4462=1,"-",Tabela2[[#This Row],[Dt Venc:]]-TODAY())</f>
        <v>-</v>
      </c>
      <c r="G4462" s="3">
        <v>1</v>
      </c>
      <c r="H4462" s="3"/>
    </row>
    <row r="4463" spans="1:8" hidden="1">
      <c r="A4463" s="3">
        <v>327056</v>
      </c>
      <c r="B4463" s="7" t="s">
        <v>240</v>
      </c>
      <c r="C4463" s="41">
        <v>286.67</v>
      </c>
      <c r="D4463" s="6">
        <v>45669</v>
      </c>
      <c r="E4463" s="3" t="str">
        <f ca="1">IF(Tabela2[[#This Row],[Dt Venc:]]&gt;TODAY(),"Em Aberto",IF(Tabela2[[#This Row],[D/venc]]="-","Enviado",IF(Tabela2[[#This Row],[Dt Venc:]]=TODAY(),"Vence Hoje","Vencida")))</f>
        <v>Enviado</v>
      </c>
      <c r="F4463" s="3" t="str">
        <f ca="1">IF(G4463=1,"-",Tabela2[[#This Row],[Dt Venc:]]-TODAY())</f>
        <v>-</v>
      </c>
      <c r="G4463" s="3">
        <v>1</v>
      </c>
      <c r="H4463" s="3"/>
    </row>
    <row r="4464" spans="1:8" hidden="1">
      <c r="A4464" s="3">
        <v>11349</v>
      </c>
      <c r="B4464" s="7" t="s">
        <v>174</v>
      </c>
      <c r="C4464" s="41">
        <v>440</v>
      </c>
      <c r="D4464" s="6">
        <v>45669</v>
      </c>
      <c r="E4464" s="3" t="str">
        <f ca="1">IF(Tabela2[[#This Row],[Dt Venc:]]&gt;TODAY(),"Em Aberto",IF(Tabela2[[#This Row],[D/venc]]="-","Enviado",IF(Tabela2[[#This Row],[Dt Venc:]]=TODAY(),"Vence Hoje","Vencida")))</f>
        <v>Enviado</v>
      </c>
      <c r="F4464" s="3" t="str">
        <f ca="1">IF(G4464=1,"-",Tabela2[[#This Row],[Dt Venc:]]-TODAY())</f>
        <v>-</v>
      </c>
      <c r="G4464" s="3">
        <v>1</v>
      </c>
      <c r="H4464" s="3"/>
    </row>
    <row r="4465" spans="1:8" hidden="1">
      <c r="A4465" s="3">
        <v>174075</v>
      </c>
      <c r="B4465" s="7" t="s">
        <v>211</v>
      </c>
      <c r="C4465" s="41">
        <v>4020.66</v>
      </c>
      <c r="D4465" s="6">
        <v>45669</v>
      </c>
      <c r="E4465" s="3" t="str">
        <f ca="1">IF(Tabela2[[#This Row],[Dt Venc:]]&gt;TODAY(),"Em Aberto",IF(Tabela2[[#This Row],[D/venc]]="-","Enviado",IF(Tabela2[[#This Row],[Dt Venc:]]=TODAY(),"Vence Hoje","Vencida")))</f>
        <v>Enviado</v>
      </c>
      <c r="F4465" s="3" t="str">
        <f ca="1">IF(G4465=1,"-",Tabela2[[#This Row],[Dt Venc:]]-TODAY())</f>
        <v>-</v>
      </c>
      <c r="G4465" s="3">
        <v>1</v>
      </c>
      <c r="H4465" s="3"/>
    </row>
    <row r="4466" spans="1:8" hidden="1">
      <c r="A4466" s="3">
        <v>103</v>
      </c>
      <c r="B4466" s="7" t="s">
        <v>95</v>
      </c>
      <c r="C4466" s="41">
        <v>3775</v>
      </c>
      <c r="D4466" s="6">
        <v>45669</v>
      </c>
      <c r="E4466" s="3" t="str">
        <f ca="1">IF(Tabela2[[#This Row],[Dt Venc:]]&gt;TODAY(),"Em Aberto",IF(Tabela2[[#This Row],[D/venc]]="-","Enviado",IF(Tabela2[[#This Row],[Dt Venc:]]=TODAY(),"Vence Hoje","Vencida")))</f>
        <v>Enviado</v>
      </c>
      <c r="F4466" s="3" t="str">
        <f ca="1">IF(G4466=1,"-",Tabela2[[#This Row],[Dt Venc:]]-TODAY())</f>
        <v>-</v>
      </c>
      <c r="G4466" s="3">
        <v>1</v>
      </c>
      <c r="H4466" s="3"/>
    </row>
    <row r="4467" spans="1:8" hidden="1">
      <c r="A4467" s="3">
        <v>33</v>
      </c>
      <c r="B4467" s="7" t="s">
        <v>551</v>
      </c>
      <c r="C4467" s="41">
        <v>1240</v>
      </c>
      <c r="D4467" s="6">
        <v>45669</v>
      </c>
      <c r="E4467" s="3" t="str">
        <f ca="1">IF(Tabela2[[#This Row],[Dt Venc:]]&gt;TODAY(),"Em Aberto",IF(Tabela2[[#This Row],[D/venc]]="-","Enviado",IF(Tabela2[[#This Row],[Dt Venc:]]=TODAY(),"Vence Hoje","Vencida")))</f>
        <v>Enviado</v>
      </c>
      <c r="F4467" s="3" t="str">
        <f ca="1">IF(G4467=1,"-",Tabela2[[#This Row],[Dt Venc:]]-TODAY())</f>
        <v>-</v>
      </c>
      <c r="G4467" s="3">
        <v>1</v>
      </c>
      <c r="H4467" s="3"/>
    </row>
    <row r="4468" spans="1:8" hidden="1">
      <c r="A4468" s="3">
        <v>137675</v>
      </c>
      <c r="B4468" s="7" t="s">
        <v>77</v>
      </c>
      <c r="C4468" s="41">
        <v>649.33000000000004</v>
      </c>
      <c r="D4468" s="6">
        <v>45669</v>
      </c>
      <c r="E4468" s="3" t="str">
        <f ca="1">IF(Tabela2[[#This Row],[Dt Venc:]]&gt;TODAY(),"Em Aberto",IF(Tabela2[[#This Row],[D/venc]]="-","Enviado",IF(Tabela2[[#This Row],[Dt Venc:]]=TODAY(),"Vence Hoje","Vencida")))</f>
        <v>Enviado</v>
      </c>
      <c r="F4468" s="3" t="str">
        <f ca="1">IF(G4468=1,"-",Tabela2[[#This Row],[Dt Venc:]]-TODAY())</f>
        <v>-</v>
      </c>
      <c r="G4468" s="3">
        <v>1</v>
      </c>
      <c r="H4468" s="3"/>
    </row>
    <row r="4469" spans="1:8" hidden="1">
      <c r="A4469" s="3">
        <v>90169</v>
      </c>
      <c r="B4469" s="7" t="s">
        <v>207</v>
      </c>
      <c r="C4469" s="41">
        <v>675</v>
      </c>
      <c r="D4469" s="6">
        <v>45669</v>
      </c>
      <c r="E4469" s="3" t="str">
        <f ca="1">IF(Tabela2[[#This Row],[Dt Venc:]]&gt;TODAY(),"Em Aberto",IF(Tabela2[[#This Row],[D/venc]]="-","Enviado",IF(Tabela2[[#This Row],[Dt Venc:]]=TODAY(),"Vence Hoje","Vencida")))</f>
        <v>Enviado</v>
      </c>
      <c r="F4469" s="3" t="str">
        <f ca="1">IF(G4469=1,"-",Tabela2[[#This Row],[Dt Venc:]]-TODAY())</f>
        <v>-</v>
      </c>
      <c r="G4469" s="3">
        <v>1</v>
      </c>
      <c r="H4469" s="3"/>
    </row>
    <row r="4470" spans="1:8" hidden="1">
      <c r="A4470" s="3">
        <v>430471</v>
      </c>
      <c r="B4470" s="7" t="s">
        <v>89</v>
      </c>
      <c r="C4470" s="41">
        <v>2575.52</v>
      </c>
      <c r="D4470" s="6">
        <v>45669</v>
      </c>
      <c r="E4470" s="3" t="str">
        <f ca="1">IF(Tabela2[[#This Row],[Dt Venc:]]&gt;TODAY(),"Em Aberto",IF(Tabela2[[#This Row],[D/venc]]="-","Enviado",IF(Tabela2[[#This Row],[Dt Venc:]]=TODAY(),"Vence Hoje","Vencida")))</f>
        <v>Enviado</v>
      </c>
      <c r="F4470" s="3" t="str">
        <f ca="1">IF(G4470=1,"-",Tabela2[[#This Row],[Dt Venc:]]-TODAY())</f>
        <v>-</v>
      </c>
      <c r="G4470" s="3">
        <v>1</v>
      </c>
      <c r="H4470" s="3"/>
    </row>
    <row r="4471" spans="1:8" hidden="1">
      <c r="A4471" s="3">
        <v>274572</v>
      </c>
      <c r="B4471" s="7" t="s">
        <v>36</v>
      </c>
      <c r="C4471" s="41">
        <v>1760</v>
      </c>
      <c r="D4471" s="6">
        <v>45669</v>
      </c>
      <c r="E4471" s="3" t="str">
        <f ca="1">IF(Tabela2[[#This Row],[Dt Venc:]]&gt;TODAY(),"Em Aberto",IF(Tabela2[[#This Row],[D/venc]]="-","Enviado",IF(Tabela2[[#This Row],[Dt Venc:]]=TODAY(),"Vence Hoje","Vencida")))</f>
        <v>Enviado</v>
      </c>
      <c r="F4471" s="3" t="str">
        <f ca="1">IF(G4471=1,"-",Tabela2[[#This Row],[Dt Venc:]]-TODAY())</f>
        <v>-</v>
      </c>
      <c r="G4471" s="3">
        <v>1</v>
      </c>
      <c r="H4471" s="3"/>
    </row>
    <row r="4472" spans="1:8" hidden="1">
      <c r="A4472" s="3">
        <v>155188</v>
      </c>
      <c r="B4472" s="7" t="s">
        <v>77</v>
      </c>
      <c r="C4472" s="41">
        <v>1233.33</v>
      </c>
      <c r="D4472" s="6">
        <v>45669</v>
      </c>
      <c r="E4472" s="3" t="str">
        <f ca="1">IF(Tabela2[[#This Row],[Dt Venc:]]&gt;TODAY(),"Em Aberto",IF(Tabela2[[#This Row],[D/venc]]="-","Enviado",IF(Tabela2[[#This Row],[Dt Venc:]]=TODAY(),"Vence Hoje","Vencida")))</f>
        <v>Enviado</v>
      </c>
      <c r="F4472" s="3" t="str">
        <f ca="1">IF(G4472=1,"-",Tabela2[[#This Row],[Dt Venc:]]-TODAY())</f>
        <v>-</v>
      </c>
      <c r="G4472" s="3">
        <v>1</v>
      </c>
      <c r="H4472" s="3"/>
    </row>
    <row r="4473" spans="1:8" hidden="1">
      <c r="A4473" s="3">
        <v>6159</v>
      </c>
      <c r="B4473" s="7" t="s">
        <v>140</v>
      </c>
      <c r="C4473" s="41">
        <v>2285.33</v>
      </c>
      <c r="D4473" s="6">
        <v>45669</v>
      </c>
      <c r="E4473" s="3" t="str">
        <f ca="1">IF(Tabela2[[#This Row],[Dt Venc:]]&gt;TODAY(),"Em Aberto",IF(Tabela2[[#This Row],[D/venc]]="-","Enviado",IF(Tabela2[[#This Row],[Dt Venc:]]=TODAY(),"Vence Hoje","Vencida")))</f>
        <v>Enviado</v>
      </c>
      <c r="F4473" s="3" t="str">
        <f ca="1">IF(G4473=1,"-",Tabela2[[#This Row],[Dt Venc:]]-TODAY())</f>
        <v>-</v>
      </c>
      <c r="G4473" s="3">
        <v>1</v>
      </c>
      <c r="H4473" s="3"/>
    </row>
    <row r="4474" spans="1:8" hidden="1">
      <c r="A4474" s="3">
        <v>178074</v>
      </c>
      <c r="B4474" s="7" t="s">
        <v>211</v>
      </c>
      <c r="C4474" s="41">
        <v>500</v>
      </c>
      <c r="D4474" s="6">
        <v>45669</v>
      </c>
      <c r="E4474" s="3" t="str">
        <f ca="1">IF(Tabela2[[#This Row],[Dt Venc:]]&gt;TODAY(),"Em Aberto",IF(Tabela2[[#This Row],[D/venc]]="-","Enviado",IF(Tabela2[[#This Row],[Dt Venc:]]=TODAY(),"Vence Hoje","Vencida")))</f>
        <v>Enviado</v>
      </c>
      <c r="F4474" s="3" t="str">
        <f ca="1">IF(G4474=1,"-",Tabela2[[#This Row],[Dt Venc:]]-TODAY())</f>
        <v>-</v>
      </c>
      <c r="G4474" s="3">
        <v>1</v>
      </c>
      <c r="H4474" s="3"/>
    </row>
    <row r="4475" spans="1:8" hidden="1">
      <c r="A4475" s="3">
        <v>330462</v>
      </c>
      <c r="B4475" s="7" t="s">
        <v>77</v>
      </c>
      <c r="C4475" s="41">
        <v>438.33</v>
      </c>
      <c r="D4475" s="6">
        <v>45669</v>
      </c>
      <c r="E4475" s="3" t="str">
        <f ca="1">IF(Tabela2[[#This Row],[Dt Venc:]]&gt;TODAY(),"Em Aberto",IF(Tabela2[[#This Row],[D/venc]]="-","Enviado",IF(Tabela2[[#This Row],[Dt Venc:]]=TODAY(),"Vence Hoje","Vencida")))</f>
        <v>Enviado</v>
      </c>
      <c r="F4475" s="3" t="str">
        <f ca="1">IF(G4475=1,"-",Tabela2[[#This Row],[Dt Venc:]]-TODAY())</f>
        <v>-</v>
      </c>
      <c r="G4475" s="3">
        <v>1</v>
      </c>
      <c r="H4475" s="3"/>
    </row>
    <row r="4476" spans="1:8" hidden="1">
      <c r="A4476" s="3">
        <v>6272</v>
      </c>
      <c r="B4476" s="7" t="s">
        <v>47</v>
      </c>
      <c r="C4476" s="41">
        <v>2149.75</v>
      </c>
      <c r="D4476" s="6">
        <v>45669</v>
      </c>
      <c r="E4476" s="3" t="str">
        <f ca="1">IF(Tabela2[[#This Row],[Dt Venc:]]&gt;TODAY(),"Em Aberto",IF(Tabela2[[#This Row],[D/venc]]="-","Enviado",IF(Tabela2[[#This Row],[Dt Venc:]]=TODAY(),"Vence Hoje","Vencida")))</f>
        <v>Enviado</v>
      </c>
      <c r="F4476" s="3" t="str">
        <f ca="1">IF(G4476=1,"-",Tabela2[[#This Row],[Dt Venc:]]-TODAY())</f>
        <v>-</v>
      </c>
      <c r="G4476" s="3">
        <v>1</v>
      </c>
      <c r="H4476" s="3"/>
    </row>
    <row r="4477" spans="1:8" hidden="1">
      <c r="A4477" s="3">
        <v>37292</v>
      </c>
      <c r="B4477" s="7" t="s">
        <v>167</v>
      </c>
      <c r="C4477" s="84" t="s">
        <v>32</v>
      </c>
      <c r="D4477" s="6">
        <v>45670</v>
      </c>
      <c r="E4477" s="3" t="str">
        <f ca="1">IF(Tabela2[[#This Row],[Dt Venc:]]&gt;TODAY(),"Em Aberto",IF(Tabela2[[#This Row],[D/venc]]="-","Enviado",IF(Tabela2[[#This Row],[Dt Venc:]]=TODAY(),"Vence Hoje","Vencida")))</f>
        <v>Enviado</v>
      </c>
      <c r="F4477" s="3" t="str">
        <f ca="1">IF(G4477=1,"-",Tabela2[[#This Row],[Dt Venc:]]-TODAY())</f>
        <v>-</v>
      </c>
      <c r="G4477" s="3">
        <v>1</v>
      </c>
      <c r="H4477" s="3"/>
    </row>
    <row r="4478" spans="1:8" hidden="1">
      <c r="A4478" s="3">
        <v>19951</v>
      </c>
      <c r="B4478" s="7" t="s">
        <v>233</v>
      </c>
      <c r="C4478" s="41">
        <v>1040</v>
      </c>
      <c r="D4478" s="6">
        <v>45670</v>
      </c>
      <c r="E4478" s="3" t="str">
        <f ca="1">IF(Tabela2[[#This Row],[Dt Venc:]]&gt;TODAY(),"Em Aberto",IF(Tabela2[[#This Row],[D/venc]]="-","Enviado",IF(Tabela2[[#This Row],[Dt Venc:]]=TODAY(),"Vence Hoje","Vencida")))</f>
        <v>Enviado</v>
      </c>
      <c r="F4478" s="3" t="str">
        <f ca="1">IF(G4478=1,"-",Tabela2[[#This Row],[Dt Venc:]]-TODAY())</f>
        <v>-</v>
      </c>
      <c r="G4478" s="3">
        <v>1</v>
      </c>
      <c r="H4478" s="3"/>
    </row>
    <row r="4479" spans="1:8" hidden="1">
      <c r="A4479" s="3">
        <v>269864</v>
      </c>
      <c r="B4479" s="7" t="s">
        <v>36</v>
      </c>
      <c r="C4479" s="41">
        <v>415</v>
      </c>
      <c r="D4479" s="6">
        <v>45670</v>
      </c>
      <c r="E4479" s="3" t="str">
        <f ca="1">IF(Tabela2[[#This Row],[Dt Venc:]]&gt;TODAY(),"Em Aberto",IF(Tabela2[[#This Row],[D/venc]]="-","Enviado",IF(Tabela2[[#This Row],[Dt Venc:]]=TODAY(),"Vence Hoje","Vencida")))</f>
        <v>Enviado</v>
      </c>
      <c r="F4479" s="3" t="str">
        <f ca="1">IF(G4479=1,"-",Tabela2[[#This Row],[Dt Venc:]]-TODAY())</f>
        <v>-</v>
      </c>
      <c r="G4479" s="3">
        <v>1</v>
      </c>
      <c r="H4479" s="3"/>
    </row>
    <row r="4480" spans="1:8" hidden="1">
      <c r="A4480" s="3">
        <v>428699</v>
      </c>
      <c r="B4480" s="7" t="s">
        <v>89</v>
      </c>
      <c r="C4480" s="41">
        <v>604.44000000000005</v>
      </c>
      <c r="D4480" s="6">
        <v>45670</v>
      </c>
      <c r="E4480" s="3" t="str">
        <f ca="1">IF(Tabela2[[#This Row],[Dt Venc:]]&gt;TODAY(),"Em Aberto",IF(Tabela2[[#This Row],[D/venc]]="-","Enviado",IF(Tabela2[[#This Row],[Dt Venc:]]=TODAY(),"Vence Hoje","Vencida")))</f>
        <v>Enviado</v>
      </c>
      <c r="F4480" s="3" t="str">
        <f ca="1">IF(G4480=1,"-",Tabela2[[#This Row],[Dt Venc:]]-TODAY())</f>
        <v>-</v>
      </c>
      <c r="G4480" s="3">
        <v>1</v>
      </c>
      <c r="H4480" s="3"/>
    </row>
    <row r="4481" spans="1:8" hidden="1">
      <c r="A4481" s="3">
        <v>23309</v>
      </c>
      <c r="B4481" s="7" t="s">
        <v>38</v>
      </c>
      <c r="C4481" s="41">
        <v>1500</v>
      </c>
      <c r="D4481" s="6">
        <v>45670</v>
      </c>
      <c r="E4481" s="3" t="str">
        <f ca="1">IF(Tabela2[[#This Row],[Dt Venc:]]&gt;TODAY(),"Em Aberto",IF(Tabela2[[#This Row],[D/venc]]="-","Enviado",IF(Tabela2[[#This Row],[Dt Venc:]]=TODAY(),"Vence Hoje","Vencida")))</f>
        <v>Enviado</v>
      </c>
      <c r="F4481" s="3" t="str">
        <f ca="1">IF(G4481=1,"-",Tabela2[[#This Row],[Dt Venc:]]-TODAY())</f>
        <v>-</v>
      </c>
      <c r="G4481" s="3">
        <v>1</v>
      </c>
      <c r="H4481" s="3"/>
    </row>
    <row r="4482" spans="1:8" hidden="1">
      <c r="A4482" s="3">
        <v>372665</v>
      </c>
      <c r="B4482" s="7" t="s">
        <v>39</v>
      </c>
      <c r="C4482" s="41">
        <v>2025.78</v>
      </c>
      <c r="D4482" s="6">
        <v>45670</v>
      </c>
      <c r="E4482" s="3" t="str">
        <f ca="1">IF(Tabela2[[#This Row],[Dt Venc:]]&gt;TODAY(),"Em Aberto",IF(Tabela2[[#This Row],[D/venc]]="-","Enviado",IF(Tabela2[[#This Row],[Dt Venc:]]=TODAY(),"Vence Hoje","Vencida")))</f>
        <v>Enviado</v>
      </c>
      <c r="F4482" s="3" t="str">
        <f ca="1">IF(G4482=1,"-",Tabela2[[#This Row],[Dt Venc:]]-TODAY())</f>
        <v>-</v>
      </c>
      <c r="G4482" s="3">
        <v>1</v>
      </c>
      <c r="H4482" s="3"/>
    </row>
    <row r="4483" spans="1:8" hidden="1">
      <c r="A4483" s="3">
        <v>31578</v>
      </c>
      <c r="B4483" s="7" t="s">
        <v>538</v>
      </c>
      <c r="C4483" s="41">
        <v>1310</v>
      </c>
      <c r="D4483" s="6">
        <v>45670</v>
      </c>
      <c r="E4483" s="3" t="str">
        <f ca="1">IF(Tabela2[[#This Row],[Dt Venc:]]&gt;TODAY(),"Em Aberto",IF(Tabela2[[#This Row],[D/venc]]="-","Enviado",IF(Tabela2[[#This Row],[Dt Venc:]]=TODAY(),"Vence Hoje","Vencida")))</f>
        <v>Enviado</v>
      </c>
      <c r="F4483" s="3" t="str">
        <f ca="1">IF(G4483=1,"-",Tabela2[[#This Row],[Dt Venc:]]-TODAY())</f>
        <v>-</v>
      </c>
      <c r="G4483" s="3">
        <v>1</v>
      </c>
      <c r="H4483" s="3"/>
    </row>
    <row r="4484" spans="1:8" hidden="1">
      <c r="A4484" s="3">
        <v>446592</v>
      </c>
      <c r="B4484" s="7" t="s">
        <v>512</v>
      </c>
      <c r="C4484" s="41">
        <v>474.45</v>
      </c>
      <c r="D4484" s="6">
        <v>45670</v>
      </c>
      <c r="E4484" s="3" t="str">
        <f ca="1">IF(Tabela2[[#This Row],[Dt Venc:]]&gt;TODAY(),"Em Aberto",IF(Tabela2[[#This Row],[D/venc]]="-","Enviado",IF(Tabela2[[#This Row],[Dt Venc:]]=TODAY(),"Vence Hoje","Vencida")))</f>
        <v>Enviado</v>
      </c>
      <c r="F4484" s="3" t="str">
        <f ca="1">IF(G4484=1,"-",Tabela2[[#This Row],[Dt Venc:]]-TODAY())</f>
        <v>-</v>
      </c>
      <c r="G4484" s="3">
        <v>1</v>
      </c>
      <c r="H4484" s="3"/>
    </row>
    <row r="4485" spans="1:8" hidden="1">
      <c r="A4485" s="3">
        <v>72091</v>
      </c>
      <c r="B4485" s="7" t="s">
        <v>66</v>
      </c>
      <c r="C4485" s="41">
        <v>687.72</v>
      </c>
      <c r="D4485" s="6">
        <v>45670</v>
      </c>
      <c r="E4485" s="3" t="str">
        <f ca="1">IF(Tabela2[[#This Row],[Dt Venc:]]&gt;TODAY(),"Em Aberto",IF(Tabela2[[#This Row],[D/venc]]="-","Enviado",IF(Tabela2[[#This Row],[Dt Venc:]]=TODAY(),"Vence Hoje","Vencida")))</f>
        <v>Enviado</v>
      </c>
      <c r="F4485" s="3" t="str">
        <f ca="1">IF(G4485=1,"-",Tabela2[[#This Row],[Dt Venc:]]-TODAY())</f>
        <v>-</v>
      </c>
      <c r="G4485" s="3">
        <v>1</v>
      </c>
      <c r="H4485" s="3"/>
    </row>
    <row r="4486" spans="1:8" hidden="1">
      <c r="A4486" s="3">
        <v>72019</v>
      </c>
      <c r="B4486" s="7" t="s">
        <v>76</v>
      </c>
      <c r="C4486" s="41">
        <v>532.05999999999995</v>
      </c>
      <c r="D4486" s="6">
        <v>45670</v>
      </c>
      <c r="E4486" s="3" t="str">
        <f ca="1">IF(Tabela2[[#This Row],[Dt Venc:]]&gt;TODAY(),"Em Aberto",IF(Tabela2[[#This Row],[D/venc]]="-","Enviado",IF(Tabela2[[#This Row],[Dt Venc:]]=TODAY(),"Vence Hoje","Vencida")))</f>
        <v>Enviado</v>
      </c>
      <c r="F4486" s="3" t="str">
        <f ca="1">IF(G4486=1,"-",Tabela2[[#This Row],[Dt Venc:]]-TODAY())</f>
        <v>-</v>
      </c>
      <c r="G4486" s="3">
        <v>1</v>
      </c>
      <c r="H4486" s="3"/>
    </row>
    <row r="4487" spans="1:8" hidden="1">
      <c r="A4487" s="3">
        <v>73174</v>
      </c>
      <c r="B4487" s="7" t="s">
        <v>76</v>
      </c>
      <c r="C4487" s="41">
        <v>5782.41</v>
      </c>
      <c r="D4487" s="6">
        <v>45670</v>
      </c>
      <c r="E4487" s="3" t="str">
        <f ca="1">IF(Tabela2[[#This Row],[Dt Venc:]]&gt;TODAY(),"Em Aberto",IF(Tabela2[[#This Row],[D/venc]]="-","Enviado",IF(Tabela2[[#This Row],[Dt Venc:]]=TODAY(),"Vence Hoje","Vencida")))</f>
        <v>Enviado</v>
      </c>
      <c r="F4487" s="3" t="str">
        <f ca="1">IF(G4487=1,"-",Tabela2[[#This Row],[Dt Venc:]]-TODAY())</f>
        <v>-</v>
      </c>
      <c r="G4487" s="3">
        <v>1</v>
      </c>
      <c r="H4487" s="3"/>
    </row>
    <row r="4488" spans="1:8" hidden="1">
      <c r="A4488" s="3">
        <v>4206</v>
      </c>
      <c r="B4488" s="7" t="s">
        <v>539</v>
      </c>
      <c r="C4488" s="41">
        <v>964.45</v>
      </c>
      <c r="D4488" s="6">
        <v>45670</v>
      </c>
      <c r="E4488" s="3" t="str">
        <f ca="1">IF(Tabela2[[#This Row],[Dt Venc:]]&gt;TODAY(),"Em Aberto",IF(Tabela2[[#This Row],[D/venc]]="-","Enviado",IF(Tabela2[[#This Row],[Dt Venc:]]=TODAY(),"Vence Hoje","Vencida")))</f>
        <v>Enviado</v>
      </c>
      <c r="F4488" s="3" t="str">
        <f ca="1">IF(G4488=1,"-",Tabela2[[#This Row],[Dt Venc:]]-TODAY())</f>
        <v>-</v>
      </c>
      <c r="G4488" s="3">
        <v>1</v>
      </c>
      <c r="H4488" s="3"/>
    </row>
    <row r="4489" spans="1:8" hidden="1">
      <c r="A4489" s="3">
        <v>254590</v>
      </c>
      <c r="B4489" s="7" t="s">
        <v>43</v>
      </c>
      <c r="C4489" s="41">
        <v>1395.4</v>
      </c>
      <c r="D4489" s="6">
        <v>45670</v>
      </c>
      <c r="E4489" s="3" t="str">
        <f ca="1">IF(Tabela2[[#This Row],[Dt Venc:]]&gt;TODAY(),"Em Aberto",IF(Tabela2[[#This Row],[D/venc]]="-","Enviado",IF(Tabela2[[#This Row],[Dt Venc:]]=TODAY(),"Vence Hoje","Vencida")))</f>
        <v>Enviado</v>
      </c>
      <c r="F4489" s="3" t="str">
        <f ca="1">IF(G4489=1,"-",Tabela2[[#This Row],[Dt Venc:]]-TODAY())</f>
        <v>-</v>
      </c>
      <c r="G4489" s="3">
        <v>1</v>
      </c>
      <c r="H4489" s="3"/>
    </row>
    <row r="4490" spans="1:8" hidden="1">
      <c r="A4490" s="3">
        <v>89325</v>
      </c>
      <c r="B4490" s="7" t="s">
        <v>207</v>
      </c>
      <c r="C4490" s="41">
        <v>550</v>
      </c>
      <c r="D4490" s="6">
        <v>45670</v>
      </c>
      <c r="E4490" s="3" t="str">
        <f ca="1">IF(Tabela2[[#This Row],[Dt Venc:]]&gt;TODAY(),"Em Aberto",IF(Tabela2[[#This Row],[D/venc]]="-","Enviado",IF(Tabela2[[#This Row],[Dt Venc:]]=TODAY(),"Vence Hoje","Vencida")))</f>
        <v>Enviado</v>
      </c>
      <c r="F4490" s="3" t="str">
        <f ca="1">IF(G4490=1,"-",Tabela2[[#This Row],[Dt Venc:]]-TODAY())</f>
        <v>-</v>
      </c>
      <c r="G4490" s="3">
        <v>1</v>
      </c>
      <c r="H4490" s="3"/>
    </row>
    <row r="4491" spans="1:8" hidden="1">
      <c r="A4491" s="3">
        <v>31</v>
      </c>
      <c r="B4491" s="7" t="s">
        <v>103</v>
      </c>
      <c r="C4491" s="41">
        <v>600</v>
      </c>
      <c r="D4491" s="6">
        <v>45670</v>
      </c>
      <c r="E4491" s="3" t="str">
        <f ca="1">IF(Tabela2[[#This Row],[Dt Venc:]]&gt;TODAY(),"Em Aberto",IF(Tabela2[[#This Row],[D/venc]]="-","Enviado",IF(Tabela2[[#This Row],[Dt Venc:]]=TODAY(),"Vence Hoje","Vencida")))</f>
        <v>Enviado</v>
      </c>
      <c r="F4491" s="3" t="str">
        <f ca="1">IF(G4491=1,"-",Tabela2[[#This Row],[Dt Venc:]]-TODAY())</f>
        <v>-</v>
      </c>
      <c r="G4491" s="3">
        <v>1</v>
      </c>
      <c r="H4491" s="3"/>
    </row>
    <row r="4492" spans="1:8" hidden="1">
      <c r="A4492" s="3">
        <v>153616</v>
      </c>
      <c r="B4492" s="7" t="s">
        <v>240</v>
      </c>
      <c r="C4492" s="41">
        <v>447</v>
      </c>
      <c r="D4492" s="6">
        <v>45670</v>
      </c>
      <c r="E4492" s="3" t="str">
        <f ca="1">IF(Tabela2[[#This Row],[Dt Venc:]]&gt;TODAY(),"Em Aberto",IF(Tabela2[[#This Row],[D/venc]]="-","Enviado",IF(Tabela2[[#This Row],[Dt Venc:]]=TODAY(),"Vence Hoje","Vencida")))</f>
        <v>Enviado</v>
      </c>
      <c r="F4492" s="3" t="str">
        <f ca="1">IF(G4492=1,"-",Tabela2[[#This Row],[Dt Venc:]]-TODAY())</f>
        <v>-</v>
      </c>
      <c r="G4492" s="3">
        <v>1</v>
      </c>
      <c r="H4492" s="3"/>
    </row>
    <row r="4493" spans="1:8" hidden="1">
      <c r="A4493" s="3">
        <v>6154</v>
      </c>
      <c r="B4493" s="7" t="s">
        <v>47</v>
      </c>
      <c r="C4493" s="41">
        <v>1675.33</v>
      </c>
      <c r="D4493" s="6">
        <v>45670</v>
      </c>
      <c r="E4493" s="3" t="str">
        <f ca="1">IF(Tabela2[[#This Row],[Dt Venc:]]&gt;TODAY(),"Em Aberto",IF(Tabela2[[#This Row],[D/venc]]="-","Enviado",IF(Tabela2[[#This Row],[Dt Venc:]]=TODAY(),"Vence Hoje","Vencida")))</f>
        <v>Enviado</v>
      </c>
      <c r="F4493" s="3" t="str">
        <f ca="1">IF(G4493=1,"-",Tabela2[[#This Row],[Dt Venc:]]-TODAY())</f>
        <v>-</v>
      </c>
      <c r="G4493" s="3">
        <v>1</v>
      </c>
      <c r="H4493" s="3"/>
    </row>
    <row r="4494" spans="1:8" hidden="1">
      <c r="A4494" s="3">
        <v>6155</v>
      </c>
      <c r="B4494" s="7" t="s">
        <v>47</v>
      </c>
      <c r="C4494" s="41">
        <v>2369.0100000000002</v>
      </c>
      <c r="D4494" s="6">
        <v>45670</v>
      </c>
      <c r="E4494" s="3" t="str">
        <f ca="1">IF(Tabela2[[#This Row],[Dt Venc:]]&gt;TODAY(),"Em Aberto",IF(Tabela2[[#This Row],[D/venc]]="-","Enviado",IF(Tabela2[[#This Row],[Dt Venc:]]=TODAY(),"Vence Hoje","Vencida")))</f>
        <v>Enviado</v>
      </c>
      <c r="F4494" s="3" t="str">
        <f ca="1">IF(G4494=1,"-",Tabela2[[#This Row],[Dt Venc:]]-TODAY())</f>
        <v>-</v>
      </c>
      <c r="G4494" s="3">
        <v>1</v>
      </c>
      <c r="H4494" s="3"/>
    </row>
    <row r="4495" spans="1:8" hidden="1">
      <c r="A4495" s="3">
        <v>6146</v>
      </c>
      <c r="B4495" s="7" t="s">
        <v>47</v>
      </c>
      <c r="C4495" s="41">
        <v>370.67</v>
      </c>
      <c r="D4495" s="6">
        <v>45670</v>
      </c>
      <c r="E4495" s="3" t="str">
        <f ca="1">IF(Tabela2[[#This Row],[Dt Venc:]]&gt;TODAY(),"Em Aberto",IF(Tabela2[[#This Row],[D/venc]]="-","Enviado",IF(Tabela2[[#This Row],[Dt Venc:]]=TODAY(),"Vence Hoje","Vencida")))</f>
        <v>Enviado</v>
      </c>
      <c r="F4495" s="3" t="str">
        <f ca="1">IF(G4495=1,"-",Tabela2[[#This Row],[Dt Venc:]]-TODAY())</f>
        <v>-</v>
      </c>
      <c r="G4495" s="3">
        <v>1</v>
      </c>
      <c r="H4495" s="3"/>
    </row>
    <row r="4496" spans="1:8" hidden="1">
      <c r="A4496" s="3">
        <v>11881</v>
      </c>
      <c r="B4496" s="7" t="s">
        <v>540</v>
      </c>
      <c r="C4496" s="41">
        <v>12165.45</v>
      </c>
      <c r="D4496" s="6">
        <v>45670</v>
      </c>
      <c r="E4496" s="3" t="str">
        <f ca="1">IF(Tabela2[[#This Row],[Dt Venc:]]&gt;TODAY(),"Em Aberto",IF(Tabela2[[#This Row],[D/venc]]="-","Enviado",IF(Tabela2[[#This Row],[Dt Venc:]]=TODAY(),"Vence Hoje","Vencida")))</f>
        <v>Enviado</v>
      </c>
      <c r="F4496" s="3" t="str">
        <f ca="1">IF(G4496=1,"-",Tabela2[[#This Row],[Dt Venc:]]-TODAY())</f>
        <v>-</v>
      </c>
      <c r="G4496" s="3">
        <v>1</v>
      </c>
      <c r="H4496" s="3"/>
    </row>
    <row r="4497" spans="1:8" hidden="1">
      <c r="A4497" s="3">
        <v>3008</v>
      </c>
      <c r="B4497" s="7" t="s">
        <v>519</v>
      </c>
      <c r="C4497" s="41">
        <v>1640</v>
      </c>
      <c r="D4497" s="6">
        <v>45670</v>
      </c>
      <c r="E4497" s="3" t="str">
        <f ca="1">IF(Tabela2[[#This Row],[Dt Venc:]]&gt;TODAY(),"Em Aberto",IF(Tabela2[[#This Row],[D/venc]]="-","Enviado",IF(Tabela2[[#This Row],[Dt Venc:]]=TODAY(),"Vence Hoje","Vencida")))</f>
        <v>Enviado</v>
      </c>
      <c r="F4497" s="3" t="str">
        <f ca="1">IF(G4497=1,"-",Tabela2[[#This Row],[Dt Venc:]]-TODAY())</f>
        <v>-</v>
      </c>
      <c r="G4497" s="3">
        <v>1</v>
      </c>
      <c r="H4497" s="3"/>
    </row>
    <row r="4498" spans="1:8" hidden="1">
      <c r="A4498" s="3">
        <v>52235</v>
      </c>
      <c r="B4498" s="7" t="s">
        <v>575</v>
      </c>
      <c r="C4498" s="41">
        <v>577.44000000000005</v>
      </c>
      <c r="D4498" s="6">
        <v>45670</v>
      </c>
      <c r="E4498" s="3" t="str">
        <f ca="1">IF(Tabela2[[#This Row],[Dt Venc:]]&gt;TODAY(),"Em Aberto",IF(Tabela2[[#This Row],[D/venc]]="-","Enviado",IF(Tabela2[[#This Row],[Dt Venc:]]=TODAY(),"Vence Hoje","Vencida")))</f>
        <v>Enviado</v>
      </c>
      <c r="F4498" s="3" t="str">
        <f ca="1">IF(G4498=1,"-",Tabela2[[#This Row],[Dt Venc:]]-TODAY())</f>
        <v>-</v>
      </c>
      <c r="G4498" s="3">
        <v>1</v>
      </c>
      <c r="H4498" s="3"/>
    </row>
    <row r="4499" spans="1:8" hidden="1">
      <c r="A4499" s="3">
        <v>4582</v>
      </c>
      <c r="B4499" s="7" t="s">
        <v>404</v>
      </c>
      <c r="C4499" s="41">
        <v>624.5</v>
      </c>
      <c r="D4499" s="6">
        <v>45670</v>
      </c>
      <c r="E4499" s="3" t="str">
        <f ca="1">IF(Tabela2[[#This Row],[Dt Venc:]]&gt;TODAY(),"Em Aberto",IF(Tabela2[[#This Row],[D/venc]]="-","Enviado",IF(Tabela2[[#This Row],[Dt Venc:]]=TODAY(),"Vence Hoje","Vencida")))</f>
        <v>Enviado</v>
      </c>
      <c r="F4499" s="3" t="str">
        <f ca="1">IF(G4499=1,"-",Tabela2[[#This Row],[Dt Venc:]]-TODAY())</f>
        <v>-</v>
      </c>
      <c r="G4499" s="3">
        <v>1</v>
      </c>
      <c r="H4499" s="3"/>
    </row>
    <row r="4500" spans="1:8" hidden="1">
      <c r="A4500" s="3">
        <v>10617</v>
      </c>
      <c r="B4500" s="7" t="s">
        <v>76</v>
      </c>
      <c r="C4500" s="41">
        <v>828.12</v>
      </c>
      <c r="D4500" s="6">
        <v>45670</v>
      </c>
      <c r="E4500" s="3" t="str">
        <f ca="1">IF(Tabela2[[#This Row],[Dt Venc:]]&gt;TODAY(),"Em Aberto",IF(Tabela2[[#This Row],[D/venc]]="-","Enviado",IF(Tabela2[[#This Row],[Dt Venc:]]=TODAY(),"Vence Hoje","Vencida")))</f>
        <v>Enviado</v>
      </c>
      <c r="F4500" s="3" t="str">
        <f ca="1">IF(G4500=1,"-",Tabela2[[#This Row],[Dt Venc:]]-TODAY())</f>
        <v>-</v>
      </c>
      <c r="G4500" s="3">
        <v>1</v>
      </c>
      <c r="H4500" s="3"/>
    </row>
    <row r="4501" spans="1:8" hidden="1">
      <c r="A4501" s="3">
        <v>48330</v>
      </c>
      <c r="B4501" s="7" t="s">
        <v>144</v>
      </c>
      <c r="C4501" s="41">
        <v>2046.97</v>
      </c>
      <c r="D4501" s="6">
        <v>45670</v>
      </c>
      <c r="E4501" s="3" t="str">
        <f ca="1">IF(Tabela2[[#This Row],[Dt Venc:]]&gt;TODAY(),"Em Aberto",IF(Tabela2[[#This Row],[D/venc]]="-","Enviado",IF(Tabela2[[#This Row],[Dt Venc:]]=TODAY(),"Vence Hoje","Vencida")))</f>
        <v>Enviado</v>
      </c>
      <c r="F4501" s="3" t="str">
        <f ca="1">IF(G4501=1,"-",Tabela2[[#This Row],[Dt Venc:]]-TODAY())</f>
        <v>-</v>
      </c>
      <c r="G4501" s="3">
        <v>1</v>
      </c>
      <c r="H4501" s="3"/>
    </row>
    <row r="4502" spans="1:8" hidden="1">
      <c r="A4502" s="3">
        <v>135340</v>
      </c>
      <c r="B4502" s="7" t="s">
        <v>534</v>
      </c>
      <c r="C4502" s="41">
        <v>470.24</v>
      </c>
      <c r="D4502" s="6">
        <v>45670</v>
      </c>
      <c r="E4502" s="3" t="str">
        <f ca="1">IF(Tabela2[[#This Row],[Dt Venc:]]&gt;TODAY(),"Em Aberto",IF(Tabela2[[#This Row],[D/venc]]="-","Enviado",IF(Tabela2[[#This Row],[Dt Venc:]]=TODAY(),"Vence Hoje","Vencida")))</f>
        <v>Enviado</v>
      </c>
      <c r="F4502" s="3" t="str">
        <f ca="1">IF(G4502=1,"-",Tabela2[[#This Row],[Dt Venc:]]-TODAY())</f>
        <v>-</v>
      </c>
      <c r="G4502" s="3">
        <v>1</v>
      </c>
      <c r="H4502" s="3"/>
    </row>
    <row r="4503" spans="1:8" hidden="1">
      <c r="A4503" s="3">
        <v>31437</v>
      </c>
      <c r="B4503" s="7" t="s">
        <v>542</v>
      </c>
      <c r="C4503" s="41">
        <v>3070.66</v>
      </c>
      <c r="D4503" s="6">
        <v>45670</v>
      </c>
      <c r="E4503" s="3" t="str">
        <f ca="1">IF(Tabela2[[#This Row],[Dt Venc:]]&gt;TODAY(),"Em Aberto",IF(Tabela2[[#This Row],[D/venc]]="-","Enviado",IF(Tabela2[[#This Row],[Dt Venc:]]=TODAY(),"Vence Hoje","Vencida")))</f>
        <v>Enviado</v>
      </c>
      <c r="F4503" s="3" t="str">
        <f ca="1">IF(G4503=1,"-",Tabela2[[#This Row],[Dt Venc:]]-TODAY())</f>
        <v>-</v>
      </c>
      <c r="G4503" s="3">
        <v>1</v>
      </c>
      <c r="H4503" s="3"/>
    </row>
    <row r="4504" spans="1:8" hidden="1">
      <c r="A4504" s="3">
        <v>250571</v>
      </c>
      <c r="B4504" s="7" t="s">
        <v>511</v>
      </c>
      <c r="C4504" s="41">
        <v>5320</v>
      </c>
      <c r="D4504" s="6">
        <v>45670</v>
      </c>
      <c r="E4504" s="3" t="str">
        <f ca="1">IF(Tabela2[[#This Row],[Dt Venc:]]&gt;TODAY(),"Em Aberto",IF(Tabela2[[#This Row],[D/venc]]="-","Enviado",IF(Tabela2[[#This Row],[Dt Venc:]]=TODAY(),"Vence Hoje","Vencida")))</f>
        <v>Enviado</v>
      </c>
      <c r="F4504" s="3" t="str">
        <f ca="1">IF(G4504=1,"-",Tabela2[[#This Row],[Dt Venc:]]-TODAY())</f>
        <v>-</v>
      </c>
      <c r="G4504" s="3">
        <v>1</v>
      </c>
      <c r="H4504" s="3"/>
    </row>
    <row r="4505" spans="1:8" hidden="1">
      <c r="A4505" s="3">
        <v>1175</v>
      </c>
      <c r="B4505" s="7" t="s">
        <v>155</v>
      </c>
      <c r="C4505" s="41">
        <v>12950</v>
      </c>
      <c r="D4505" s="6">
        <v>45670</v>
      </c>
      <c r="E4505" s="3" t="str">
        <f ca="1">IF(Tabela2[[#This Row],[Dt Venc:]]&gt;TODAY(),"Em Aberto",IF(Tabela2[[#This Row],[D/venc]]="-","Enviado",IF(Tabela2[[#This Row],[Dt Venc:]]=TODAY(),"Vence Hoje","Vencida")))</f>
        <v>Enviado</v>
      </c>
      <c r="F4505" s="3" t="str">
        <f ca="1">IF(G4505=1,"-",Tabela2[[#This Row],[Dt Venc:]]-TODAY())</f>
        <v>-</v>
      </c>
      <c r="G4505" s="3">
        <v>1</v>
      </c>
      <c r="H4505" s="3"/>
    </row>
    <row r="4506" spans="1:8" hidden="1">
      <c r="A4506" s="3">
        <v>9350</v>
      </c>
      <c r="B4506" s="7" t="s">
        <v>627</v>
      </c>
      <c r="C4506" s="41">
        <v>528</v>
      </c>
      <c r="D4506" s="6">
        <v>45670</v>
      </c>
      <c r="E4506" s="3" t="str">
        <f ca="1">IF(Tabela2[[#This Row],[Dt Venc:]]&gt;TODAY(),"Em Aberto",IF(Tabela2[[#This Row],[D/venc]]="-","Enviado",IF(Tabela2[[#This Row],[Dt Venc:]]=TODAY(),"Vence Hoje","Vencida")))</f>
        <v>Enviado</v>
      </c>
      <c r="F4506" s="3" t="str">
        <f ca="1">IF(G4506=1,"-",Tabela2[[#This Row],[Dt Venc:]]-TODAY())</f>
        <v>-</v>
      </c>
      <c r="G4506" s="3">
        <v>1</v>
      </c>
      <c r="H4506" s="3"/>
    </row>
    <row r="4507" spans="1:8" hidden="1">
      <c r="A4507" s="3">
        <v>11121</v>
      </c>
      <c r="B4507" s="7" t="s">
        <v>76</v>
      </c>
      <c r="C4507" s="41">
        <v>731.57</v>
      </c>
      <c r="D4507" s="6">
        <v>45670</v>
      </c>
      <c r="E4507" s="3" t="str">
        <f ca="1">IF(Tabela2[[#This Row],[Dt Venc:]]&gt;TODAY(),"Em Aberto",IF(Tabela2[[#This Row],[D/venc]]="-","Enviado",IF(Tabela2[[#This Row],[Dt Venc:]]=TODAY(),"Vence Hoje","Vencida")))</f>
        <v>Enviado</v>
      </c>
      <c r="F4507" s="3" t="str">
        <f ca="1">IF(G4507=1,"-",Tabela2[[#This Row],[Dt Venc:]]-TODAY())</f>
        <v>-</v>
      </c>
      <c r="G4507" s="3">
        <v>1</v>
      </c>
      <c r="H4507" s="3"/>
    </row>
    <row r="4508" spans="1:8" hidden="1">
      <c r="A4508" s="3">
        <v>44137</v>
      </c>
      <c r="B4508" s="7" t="s">
        <v>529</v>
      </c>
      <c r="C4508" s="41">
        <v>1424.33</v>
      </c>
      <c r="D4508" s="6">
        <v>45670</v>
      </c>
      <c r="E4508" s="3" t="str">
        <f ca="1">IF(Tabela2[[#This Row],[Dt Venc:]]&gt;TODAY(),"Em Aberto",IF(Tabela2[[#This Row],[D/venc]]="-","Enviado",IF(Tabela2[[#This Row],[Dt Venc:]]=TODAY(),"Vence Hoje","Vencida")))</f>
        <v>Enviado</v>
      </c>
      <c r="F4508" s="3" t="str">
        <f ca="1">IF(G4508=1,"-",Tabela2[[#This Row],[Dt Venc:]]-TODAY())</f>
        <v>-</v>
      </c>
      <c r="G4508" s="3">
        <v>1</v>
      </c>
      <c r="H4508" s="3"/>
    </row>
    <row r="4509" spans="1:8" hidden="1">
      <c r="A4509" s="3">
        <v>258811</v>
      </c>
      <c r="B4509" s="7" t="s">
        <v>49</v>
      </c>
      <c r="C4509" s="41">
        <v>1716.66</v>
      </c>
      <c r="D4509" s="6">
        <v>45670</v>
      </c>
      <c r="E4509" s="3" t="str">
        <f ca="1">IF(Tabela2[[#This Row],[Dt Venc:]]&gt;TODAY(),"Em Aberto",IF(Tabela2[[#This Row],[D/venc]]="-","Enviado",IF(Tabela2[[#This Row],[Dt Venc:]]=TODAY(),"Vence Hoje","Vencida")))</f>
        <v>Enviado</v>
      </c>
      <c r="F4509" s="3" t="str">
        <f ca="1">IF(G4509=1,"-",Tabela2[[#This Row],[Dt Venc:]]-TODAY())</f>
        <v>-</v>
      </c>
      <c r="G4509" s="3">
        <v>1</v>
      </c>
      <c r="H4509" s="3"/>
    </row>
    <row r="4510" spans="1:8" hidden="1">
      <c r="A4510" s="3">
        <v>52872</v>
      </c>
      <c r="B4510" s="7" t="s">
        <v>575</v>
      </c>
      <c r="C4510" s="41">
        <v>530.05999999999995</v>
      </c>
      <c r="D4510" s="6">
        <v>45670</v>
      </c>
      <c r="E4510" s="3" t="str">
        <f ca="1">IF(Tabela2[[#This Row],[Dt Venc:]]&gt;TODAY(),"Em Aberto",IF(Tabela2[[#This Row],[D/venc]]="-","Enviado",IF(Tabela2[[#This Row],[Dt Venc:]]=TODAY(),"Vence Hoje","Vencida")))</f>
        <v>Enviado</v>
      </c>
      <c r="F4510" s="3" t="str">
        <f ca="1">IF(G4510=1,"-",Tabela2[[#This Row],[Dt Venc:]]-TODAY())</f>
        <v>-</v>
      </c>
      <c r="G4510" s="3">
        <v>1</v>
      </c>
      <c r="H4510" s="3"/>
    </row>
    <row r="4511" spans="1:8" hidden="1">
      <c r="A4511" s="3">
        <v>374930</v>
      </c>
      <c r="B4511" s="7" t="s">
        <v>39</v>
      </c>
      <c r="C4511" s="41">
        <v>397.58</v>
      </c>
      <c r="D4511" s="6">
        <v>45670</v>
      </c>
      <c r="E4511" s="3" t="str">
        <f ca="1">IF(Tabela2[[#This Row],[Dt Venc:]]&gt;TODAY(),"Em Aberto",IF(Tabela2[[#This Row],[D/venc]]="-","Enviado",IF(Tabela2[[#This Row],[Dt Venc:]]=TODAY(),"Vence Hoje","Vencida")))</f>
        <v>Enviado</v>
      </c>
      <c r="F4511" s="3" t="str">
        <f ca="1">IF(G4511=1,"-",Tabela2[[#This Row],[Dt Venc:]]-TODAY())</f>
        <v>-</v>
      </c>
      <c r="G4511" s="3">
        <v>1</v>
      </c>
      <c r="H4511" s="3"/>
    </row>
    <row r="4512" spans="1:8" hidden="1">
      <c r="A4512" s="3">
        <v>11234</v>
      </c>
      <c r="B4512" s="7" t="s">
        <v>33</v>
      </c>
      <c r="C4512" s="41">
        <v>560</v>
      </c>
      <c r="D4512" s="6">
        <v>45670</v>
      </c>
      <c r="E4512" s="3" t="str">
        <f ca="1">IF(Tabela2[[#This Row],[Dt Venc:]]&gt;TODAY(),"Em Aberto",IF(Tabela2[[#This Row],[D/venc]]="-","Enviado",IF(Tabela2[[#This Row],[Dt Venc:]]=TODAY(),"Vence Hoje","Vencida")))</f>
        <v>Enviado</v>
      </c>
      <c r="F4512" s="3" t="str">
        <f ca="1">IF(G4512=1,"-",Tabela2[[#This Row],[Dt Venc:]]-TODAY())</f>
        <v>-</v>
      </c>
      <c r="G4512" s="3">
        <v>1</v>
      </c>
      <c r="H4512" s="3"/>
    </row>
    <row r="4513" spans="1:8" hidden="1">
      <c r="A4513" s="3">
        <v>15367</v>
      </c>
      <c r="B4513" s="7" t="s">
        <v>44</v>
      </c>
      <c r="C4513" s="41">
        <v>956.25</v>
      </c>
      <c r="D4513" s="6">
        <v>45670</v>
      </c>
      <c r="E4513" s="3" t="str">
        <f ca="1">IF(Tabela2[[#This Row],[Dt Venc:]]&gt;TODAY(),"Em Aberto",IF(Tabela2[[#This Row],[D/venc]]="-","Enviado",IF(Tabela2[[#This Row],[Dt Venc:]]=TODAY(),"Vence Hoje","Vencida")))</f>
        <v>Enviado</v>
      </c>
      <c r="F4513" s="3" t="str">
        <f ca="1">IF(G4513=1,"-",Tabela2[[#This Row],[Dt Venc:]]-TODAY())</f>
        <v>-</v>
      </c>
      <c r="G4513" s="3">
        <v>1</v>
      </c>
      <c r="H4513" s="3"/>
    </row>
    <row r="4514" spans="1:8" hidden="1">
      <c r="A4514" s="3">
        <v>8</v>
      </c>
      <c r="B4514" s="7" t="s">
        <v>246</v>
      </c>
      <c r="C4514" s="41">
        <v>144919.32</v>
      </c>
      <c r="D4514" s="6">
        <v>45670</v>
      </c>
      <c r="E4514" s="3" t="str">
        <f ca="1">IF(Tabela2[[#This Row],[Dt Venc:]]&gt;TODAY(),"Em Aberto",IF(Tabela2[[#This Row],[D/venc]]="-","Enviado",IF(Tabela2[[#This Row],[Dt Venc:]]=TODAY(),"Vence Hoje","Vencida")))</f>
        <v>Enviado</v>
      </c>
      <c r="F4514" s="3" t="str">
        <f ca="1">IF(G4514=1,"-",Tabela2[[#This Row],[Dt Venc:]]-TODAY())</f>
        <v>-</v>
      </c>
      <c r="G4514" s="3">
        <v>1</v>
      </c>
      <c r="H4514" s="3"/>
    </row>
    <row r="4515" spans="1:8" hidden="1">
      <c r="A4515" s="3">
        <v>724314</v>
      </c>
      <c r="B4515" s="7" t="s">
        <v>79</v>
      </c>
      <c r="C4515" s="41">
        <v>1400</v>
      </c>
      <c r="D4515" s="6">
        <v>45670</v>
      </c>
      <c r="E4515" s="3" t="str">
        <f ca="1">IF(Tabela2[[#This Row],[Dt Venc:]]&gt;TODAY(),"Em Aberto",IF(Tabela2[[#This Row],[D/venc]]="-","Enviado",IF(Tabela2[[#This Row],[Dt Venc:]]=TODAY(),"Vence Hoje","Vencida")))</f>
        <v>Enviado</v>
      </c>
      <c r="F4515" s="3" t="str">
        <f ca="1">IF(G4515=1,"-",Tabela2[[#This Row],[Dt Venc:]]-TODAY())</f>
        <v>-</v>
      </c>
      <c r="G4515" s="3">
        <v>1</v>
      </c>
      <c r="H4515" s="3"/>
    </row>
    <row r="4516" spans="1:8" hidden="1">
      <c r="A4516" s="3">
        <v>305226</v>
      </c>
      <c r="B4516" s="7" t="s">
        <v>628</v>
      </c>
      <c r="C4516" s="41">
        <v>3996.26</v>
      </c>
      <c r="D4516" s="6">
        <v>45670</v>
      </c>
      <c r="E4516" s="3" t="str">
        <f ca="1">IF(Tabela2[[#This Row],[Dt Venc:]]&gt;TODAY(),"Em Aberto",IF(Tabela2[[#This Row],[D/venc]]="-","Enviado",IF(Tabela2[[#This Row],[Dt Venc:]]=TODAY(),"Vence Hoje","Vencida")))</f>
        <v>Enviado</v>
      </c>
      <c r="F4516" s="3" t="str">
        <f ca="1">IF(G4516=1,"-",Tabela2[[#This Row],[Dt Venc:]]-TODAY())</f>
        <v>-</v>
      </c>
      <c r="G4516" s="3">
        <v>1</v>
      </c>
      <c r="H4516" s="3"/>
    </row>
    <row r="4517" spans="1:8" hidden="1">
      <c r="A4517" s="3">
        <v>363726</v>
      </c>
      <c r="B4517" s="7" t="s">
        <v>59</v>
      </c>
      <c r="C4517" s="41">
        <v>57219</v>
      </c>
      <c r="D4517" s="6">
        <v>45670</v>
      </c>
      <c r="E4517" s="3" t="str">
        <f ca="1">IF(Tabela2[[#This Row],[Dt Venc:]]&gt;TODAY(),"Em Aberto",IF(Tabela2[[#This Row],[D/venc]]="-","Enviado",IF(Tabela2[[#This Row],[Dt Venc:]]=TODAY(),"Vence Hoje","Vencida")))</f>
        <v>Enviado</v>
      </c>
      <c r="F4517" s="3" t="str">
        <f ca="1">IF(G4517=1,"-",Tabela2[[#This Row],[Dt Venc:]]-TODAY())</f>
        <v>-</v>
      </c>
      <c r="G4517" s="3">
        <v>1</v>
      </c>
      <c r="H4517" s="3"/>
    </row>
    <row r="4518" spans="1:8" hidden="1">
      <c r="A4518" s="3">
        <v>446305</v>
      </c>
      <c r="B4518" s="7" t="s">
        <v>59</v>
      </c>
      <c r="C4518" s="41">
        <v>56803</v>
      </c>
      <c r="D4518" s="6">
        <v>45670</v>
      </c>
      <c r="E4518" s="3" t="str">
        <f ca="1">IF(Tabela2[[#This Row],[Dt Venc:]]&gt;TODAY(),"Em Aberto",IF(Tabela2[[#This Row],[D/venc]]="-","Enviado",IF(Tabela2[[#This Row],[Dt Venc:]]=TODAY(),"Vence Hoje","Vencida")))</f>
        <v>Enviado</v>
      </c>
      <c r="F4518" s="3" t="str">
        <f ca="1">IF(G4518=1,"-",Tabela2[[#This Row],[Dt Venc:]]-TODAY())</f>
        <v>-</v>
      </c>
      <c r="G4518" s="3">
        <v>1</v>
      </c>
      <c r="H4518" s="3"/>
    </row>
    <row r="4519" spans="1:8" hidden="1">
      <c r="A4519" s="3">
        <v>12773</v>
      </c>
      <c r="B4519" s="7" t="s">
        <v>105</v>
      </c>
      <c r="C4519" s="41">
        <v>3500</v>
      </c>
      <c r="D4519" s="6">
        <v>45670</v>
      </c>
      <c r="E4519" s="3" t="str">
        <f ca="1">IF(Tabela2[[#This Row],[Dt Venc:]]&gt;TODAY(),"Em Aberto",IF(Tabela2[[#This Row],[D/venc]]="-","Enviado",IF(Tabela2[[#This Row],[Dt Venc:]]=TODAY(),"Vence Hoje","Vencida")))</f>
        <v>Enviado</v>
      </c>
      <c r="F4519" s="3" t="str">
        <f ca="1">IF(G4519=1,"-",Tabela2[[#This Row],[Dt Venc:]]-TODAY())</f>
        <v>-</v>
      </c>
      <c r="G4519" s="3">
        <v>1</v>
      </c>
      <c r="H4519" s="3"/>
    </row>
    <row r="4520" spans="1:8" ht="37.5" hidden="1">
      <c r="A4520" s="3">
        <v>446464</v>
      </c>
      <c r="B4520" s="7" t="s">
        <v>629</v>
      </c>
      <c r="C4520" s="41">
        <v>56803</v>
      </c>
      <c r="D4520" s="6">
        <v>45670</v>
      </c>
      <c r="E4520" s="3" t="str">
        <f ca="1">IF(Tabela2[[#This Row],[Dt Venc:]]&gt;TODAY(),"Em Aberto",IF(Tabela2[[#This Row],[D/venc]]="-","Enviado",IF(Tabela2[[#This Row],[Dt Venc:]]=TODAY(),"Vence Hoje","Vencida")))</f>
        <v>Enviado</v>
      </c>
      <c r="F4520" s="3" t="str">
        <f ca="1">IF(G4520=1,"-",Tabela2[[#This Row],[Dt Venc:]]-TODAY())</f>
        <v>-</v>
      </c>
      <c r="G4520" s="3">
        <v>1</v>
      </c>
      <c r="H4520" s="3"/>
    </row>
    <row r="4521" spans="1:8" ht="37.5" hidden="1">
      <c r="A4521" s="3">
        <v>2007790</v>
      </c>
      <c r="B4521" s="7" t="s">
        <v>629</v>
      </c>
      <c r="C4521" s="41">
        <v>111758</v>
      </c>
      <c r="D4521" s="6">
        <v>45670</v>
      </c>
      <c r="E4521" s="3" t="str">
        <f ca="1">IF(Tabela2[[#This Row],[Dt Venc:]]&gt;TODAY(),"Em Aberto",IF(Tabela2[[#This Row],[D/venc]]="-","Enviado",IF(Tabela2[[#This Row],[Dt Venc:]]=TODAY(),"Vence Hoje","Vencida")))</f>
        <v>Enviado</v>
      </c>
      <c r="F4521" s="3" t="str">
        <f ca="1">IF(G4521=1,"-",Tabela2[[#This Row],[Dt Venc:]]-TODAY())</f>
        <v>-</v>
      </c>
      <c r="G4521" s="3">
        <v>1</v>
      </c>
      <c r="H4521" s="3"/>
    </row>
    <row r="4522" spans="1:8" hidden="1">
      <c r="A4522" s="3">
        <v>6150</v>
      </c>
      <c r="B4522" s="7" t="s">
        <v>630</v>
      </c>
      <c r="C4522" s="41">
        <v>2182.1799999999998</v>
      </c>
      <c r="D4522" s="6">
        <v>45670</v>
      </c>
      <c r="E4522" s="3" t="str">
        <f ca="1">IF(Tabela2[[#This Row],[Dt Venc:]]&gt;TODAY(),"Em Aberto",IF(Tabela2[[#This Row],[D/venc]]="-","Enviado",IF(Tabela2[[#This Row],[Dt Venc:]]=TODAY(),"Vence Hoje","Vencida")))</f>
        <v>Enviado</v>
      </c>
      <c r="F4522" s="3" t="str">
        <f ca="1">IF(G4522=1,"-",Tabela2[[#This Row],[Dt Venc:]]-TODAY())</f>
        <v>-</v>
      </c>
      <c r="G4522" s="3">
        <v>1</v>
      </c>
      <c r="H4522" s="3"/>
    </row>
    <row r="4523" spans="1:8" hidden="1">
      <c r="A4523" s="3">
        <v>11137</v>
      </c>
      <c r="B4523" s="7" t="s">
        <v>33</v>
      </c>
      <c r="C4523" s="41">
        <v>1905</v>
      </c>
      <c r="D4523" s="6">
        <v>45671</v>
      </c>
      <c r="E4523" s="3" t="str">
        <f ca="1">IF(Tabela2[[#This Row],[Dt Venc:]]&gt;TODAY(),"Em Aberto",IF(Tabela2[[#This Row],[D/venc]]="-","Enviado",IF(Tabela2[[#This Row],[Dt Venc:]]=TODAY(),"Vence Hoje","Vencida")))</f>
        <v>Enviado</v>
      </c>
      <c r="F4523" s="3" t="str">
        <f ca="1">IF(G4523=1,"-",Tabela2[[#This Row],[Dt Venc:]]-TODAY())</f>
        <v>-</v>
      </c>
      <c r="G4523" s="3">
        <v>1</v>
      </c>
      <c r="H4523" s="3"/>
    </row>
    <row r="4524" spans="1:8" hidden="1">
      <c r="A4524" s="3">
        <v>2789</v>
      </c>
      <c r="B4524" s="7" t="s">
        <v>58</v>
      </c>
      <c r="C4524" s="41">
        <v>2140.6</v>
      </c>
      <c r="D4524" s="6">
        <v>45671</v>
      </c>
      <c r="E4524" s="3" t="str">
        <f ca="1">IF(Tabela2[[#This Row],[Dt Venc:]]&gt;TODAY(),"Em Aberto",IF(Tabela2[[#This Row],[D/venc]]="-","Enviado",IF(Tabela2[[#This Row],[Dt Venc:]]=TODAY(),"Vence Hoje","Vencida")))</f>
        <v>Enviado</v>
      </c>
      <c r="F4524" s="3" t="str">
        <f ca="1">IF(G4524=1,"-",Tabela2[[#This Row],[Dt Venc:]]-TODAY())</f>
        <v>-</v>
      </c>
      <c r="G4524" s="3">
        <v>1</v>
      </c>
      <c r="H4524" s="3"/>
    </row>
    <row r="4525" spans="1:8" hidden="1">
      <c r="A4525" s="3">
        <v>23326</v>
      </c>
      <c r="B4525" s="7" t="s">
        <v>38</v>
      </c>
      <c r="C4525" s="41">
        <v>640</v>
      </c>
      <c r="D4525" s="6">
        <v>45671</v>
      </c>
      <c r="E4525" s="3" t="str">
        <f ca="1">IF(Tabela2[[#This Row],[Dt Venc:]]&gt;TODAY(),"Em Aberto",IF(Tabela2[[#This Row],[D/venc]]="-","Enviado",IF(Tabela2[[#This Row],[Dt Venc:]]=TODAY(),"Vence Hoje","Vencida")))</f>
        <v>Enviado</v>
      </c>
      <c r="F4525" s="3" t="str">
        <f ca="1">IF(G4525=1,"-",Tabela2[[#This Row],[Dt Venc:]]-TODAY())</f>
        <v>-</v>
      </c>
      <c r="G4525" s="3">
        <v>1</v>
      </c>
      <c r="H4525" s="3"/>
    </row>
    <row r="4526" spans="1:8" hidden="1">
      <c r="A4526" s="3">
        <v>30317</v>
      </c>
      <c r="B4526" s="7" t="s">
        <v>107</v>
      </c>
      <c r="C4526" s="41">
        <v>1950</v>
      </c>
      <c r="D4526" s="6">
        <v>45671</v>
      </c>
      <c r="E4526" s="3" t="str">
        <f ca="1">IF(Tabela2[[#This Row],[Dt Venc:]]&gt;TODAY(),"Em Aberto",IF(Tabela2[[#This Row],[D/venc]]="-","Enviado",IF(Tabela2[[#This Row],[Dt Venc:]]=TODAY(),"Vence Hoje","Vencida")))</f>
        <v>Enviado</v>
      </c>
      <c r="F4526" s="3" t="str">
        <f ca="1">IF(G4526=1,"-",Tabela2[[#This Row],[Dt Venc:]]-TODAY())</f>
        <v>-</v>
      </c>
      <c r="G4526" s="3">
        <v>1</v>
      </c>
      <c r="H4526" s="3"/>
    </row>
    <row r="4527" spans="1:8" hidden="1">
      <c r="A4527" s="3">
        <v>181718</v>
      </c>
      <c r="B4527" s="7" t="s">
        <v>42</v>
      </c>
      <c r="C4527" s="42">
        <v>1289.94</v>
      </c>
      <c r="D4527" s="6">
        <v>45671</v>
      </c>
      <c r="E4527" s="3" t="str">
        <f ca="1">IF(Tabela2[[#This Row],[Dt Venc:]]&gt;TODAY(),"Em Aberto",IF(Tabela2[[#This Row],[D/venc]]="-","Enviado",IF(Tabela2[[#This Row],[Dt Venc:]]=TODAY(),"Vence Hoje","Vencida")))</f>
        <v>Enviado</v>
      </c>
      <c r="F4527" s="3" t="str">
        <f ca="1">IF(G4527=1,"-",Tabela2[[#This Row],[Dt Venc:]]-TODAY())</f>
        <v>-</v>
      </c>
      <c r="G4527" s="3">
        <v>1</v>
      </c>
      <c r="H4527" s="3"/>
    </row>
    <row r="4528" spans="1:8" hidden="1">
      <c r="A4528" s="3">
        <v>237096</v>
      </c>
      <c r="B4528" s="7" t="s">
        <v>43</v>
      </c>
      <c r="C4528" s="42">
        <v>1678.78</v>
      </c>
      <c r="D4528" s="6">
        <v>45671</v>
      </c>
      <c r="E4528" s="3" t="str">
        <f ca="1">IF(Tabela2[[#This Row],[Dt Venc:]]&gt;TODAY(),"Em Aberto",IF(Tabela2[[#This Row],[D/venc]]="-","Enviado",IF(Tabela2[[#This Row],[Dt Venc:]]=TODAY(),"Vence Hoje","Vencida")))</f>
        <v>Enviado</v>
      </c>
      <c r="F4528" s="3" t="str">
        <f ca="1">IF(G4528=1,"-",Tabela2[[#This Row],[Dt Venc:]]-TODAY())</f>
        <v>-</v>
      </c>
      <c r="G4528" s="3">
        <v>1</v>
      </c>
      <c r="H4528" s="3"/>
    </row>
    <row r="4529" spans="1:8" hidden="1">
      <c r="A4529" s="3">
        <v>2289</v>
      </c>
      <c r="B4529" s="7" t="s">
        <v>45</v>
      </c>
      <c r="C4529" s="41">
        <v>1439</v>
      </c>
      <c r="D4529" s="6">
        <v>45671</v>
      </c>
      <c r="E4529" s="3" t="str">
        <f ca="1">IF(Tabela2[[#This Row],[Dt Venc:]]&gt;TODAY(),"Em Aberto",IF(Tabela2[[#This Row],[D/venc]]="-","Enviado",IF(Tabela2[[#This Row],[Dt Venc:]]=TODAY(),"Vence Hoje","Vencida")))</f>
        <v>Enviado</v>
      </c>
      <c r="F4529" s="3" t="str">
        <f ca="1">IF(G4529=1,"-",Tabela2[[#This Row],[Dt Venc:]]-TODAY())</f>
        <v>-</v>
      </c>
      <c r="G4529" s="3">
        <v>1</v>
      </c>
      <c r="H4529" s="3"/>
    </row>
    <row r="4530" spans="1:8" hidden="1">
      <c r="A4530" s="3">
        <v>153638</v>
      </c>
      <c r="B4530" s="7" t="s">
        <v>240</v>
      </c>
      <c r="C4530" s="41">
        <v>433.33</v>
      </c>
      <c r="D4530" s="6">
        <v>45671</v>
      </c>
      <c r="E4530" s="3" t="str">
        <f ca="1">IF(Tabela2[[#This Row],[Dt Venc:]]&gt;TODAY(),"Em Aberto",IF(Tabela2[[#This Row],[D/venc]]="-","Enviado",IF(Tabela2[[#This Row],[Dt Venc:]]=TODAY(),"Vence Hoje","Vencida")))</f>
        <v>Enviado</v>
      </c>
      <c r="F4530" s="3" t="str">
        <f ca="1">IF(G4530=1,"-",Tabela2[[#This Row],[Dt Venc:]]-TODAY())</f>
        <v>-</v>
      </c>
      <c r="G4530" s="3">
        <v>1</v>
      </c>
      <c r="H4530" s="3"/>
    </row>
    <row r="4531" spans="1:8" hidden="1">
      <c r="A4531" s="3">
        <v>11421</v>
      </c>
      <c r="B4531" s="7" t="s">
        <v>434</v>
      </c>
      <c r="C4531" s="41">
        <v>1033.3399999999999</v>
      </c>
      <c r="D4531" s="6">
        <v>45671</v>
      </c>
      <c r="E4531" s="3" t="str">
        <f ca="1">IF(Tabela2[[#This Row],[Dt Venc:]]&gt;TODAY(),"Em Aberto",IF(Tabela2[[#This Row],[D/venc]]="-","Enviado",IF(Tabela2[[#This Row],[Dt Venc:]]=TODAY(),"Vence Hoje","Vencida")))</f>
        <v>Enviado</v>
      </c>
      <c r="F4531" s="3" t="str">
        <f ca="1">IF(G4531=1,"-",Tabela2[[#This Row],[Dt Venc:]]-TODAY())</f>
        <v>-</v>
      </c>
      <c r="G4531" s="3">
        <v>1</v>
      </c>
      <c r="H4531" s="3"/>
    </row>
    <row r="4532" spans="1:8" hidden="1">
      <c r="A4532" s="3">
        <v>255551</v>
      </c>
      <c r="B4532" s="7" t="s">
        <v>43</v>
      </c>
      <c r="C4532" s="41">
        <v>2694.79</v>
      </c>
      <c r="D4532" s="6">
        <v>45671</v>
      </c>
      <c r="E4532" s="3" t="str">
        <f ca="1">IF(Tabela2[[#This Row],[Dt Venc:]]&gt;TODAY(),"Em Aberto",IF(Tabela2[[#This Row],[D/venc]]="-","Enviado",IF(Tabela2[[#This Row],[Dt Venc:]]=TODAY(),"Vence Hoje","Vencida")))</f>
        <v>Enviado</v>
      </c>
      <c r="F4532" s="3" t="str">
        <f ca="1">IF(G4532=1,"-",Tabela2[[#This Row],[Dt Venc:]]-TODAY())</f>
        <v>-</v>
      </c>
      <c r="G4532" s="3">
        <v>1</v>
      </c>
      <c r="H4532" s="3"/>
    </row>
    <row r="4533" spans="1:8" hidden="1">
      <c r="A4533" s="3">
        <v>391193</v>
      </c>
      <c r="B4533" s="7" t="s">
        <v>43</v>
      </c>
      <c r="C4533" s="41">
        <v>776.56</v>
      </c>
      <c r="D4533" s="6">
        <v>45671</v>
      </c>
      <c r="E4533" s="3" t="str">
        <f ca="1">IF(Tabela2[[#This Row],[Dt Venc:]]&gt;TODAY(),"Em Aberto",IF(Tabela2[[#This Row],[D/venc]]="-","Enviado",IF(Tabela2[[#This Row],[Dt Venc:]]=TODAY(),"Vence Hoje","Vencida")))</f>
        <v>Enviado</v>
      </c>
      <c r="F4533" s="3" t="str">
        <f ca="1">IF(G4533=1,"-",Tabela2[[#This Row],[Dt Venc:]]-TODAY())</f>
        <v>-</v>
      </c>
      <c r="G4533" s="3">
        <v>1</v>
      </c>
      <c r="H4533" s="3"/>
    </row>
    <row r="4534" spans="1:8" hidden="1">
      <c r="A4534" s="3">
        <v>258338</v>
      </c>
      <c r="B4534" s="7" t="s">
        <v>326</v>
      </c>
      <c r="C4534" s="41">
        <v>1716.66</v>
      </c>
      <c r="D4534" s="6">
        <v>45671</v>
      </c>
      <c r="E4534" s="3" t="str">
        <f ca="1">IF(Tabela2[[#This Row],[Dt Venc:]]&gt;TODAY(),"Em Aberto",IF(Tabela2[[#This Row],[D/venc]]="-","Enviado",IF(Tabela2[[#This Row],[Dt Venc:]]=TODAY(),"Vence Hoje","Vencida")))</f>
        <v>Enviado</v>
      </c>
      <c r="F4534" s="3" t="str">
        <f ca="1">IF(G4534=1,"-",Tabela2[[#This Row],[Dt Venc:]]-TODAY())</f>
        <v>-</v>
      </c>
      <c r="G4534" s="3">
        <v>1</v>
      </c>
      <c r="H4534" s="3"/>
    </row>
    <row r="4535" spans="1:8" hidden="1">
      <c r="A4535" s="3">
        <v>135188</v>
      </c>
      <c r="B4535" s="7" t="s">
        <v>89</v>
      </c>
      <c r="C4535" s="41">
        <v>559.41</v>
      </c>
      <c r="D4535" s="6">
        <v>45671</v>
      </c>
      <c r="E4535" s="3" t="str">
        <f ca="1">IF(Tabela2[[#This Row],[Dt Venc:]]&gt;TODAY(),"Em Aberto",IF(Tabela2[[#This Row],[D/venc]]="-","Enviado",IF(Tabela2[[#This Row],[Dt Venc:]]=TODAY(),"Vence Hoje","Vencida")))</f>
        <v>Enviado</v>
      </c>
      <c r="F4535" s="3" t="str">
        <f ca="1">IF(G4535=1,"-",Tabela2[[#This Row],[Dt Venc:]]-TODAY())</f>
        <v>-</v>
      </c>
      <c r="G4535" s="3">
        <v>1</v>
      </c>
      <c r="H4535" s="3"/>
    </row>
    <row r="4536" spans="1:8" hidden="1">
      <c r="A4536" s="3">
        <v>634</v>
      </c>
      <c r="B4536" s="7" t="s">
        <v>574</v>
      </c>
      <c r="C4536" s="41">
        <v>1277.2</v>
      </c>
      <c r="D4536" s="6">
        <v>45671</v>
      </c>
      <c r="E4536" s="3" t="str">
        <f ca="1">IF(Tabela2[[#This Row],[Dt Venc:]]&gt;TODAY(),"Em Aberto",IF(Tabela2[[#This Row],[D/venc]]="-","Enviado",IF(Tabela2[[#This Row],[Dt Venc:]]=TODAY(),"Vence Hoje","Vencida")))</f>
        <v>Enviado</v>
      </c>
      <c r="F4536" s="3" t="str">
        <f ca="1">IF(G4536=1,"-",Tabela2[[#This Row],[Dt Venc:]]-TODAY())</f>
        <v>-</v>
      </c>
      <c r="G4536" s="3">
        <v>1</v>
      </c>
      <c r="H4536" s="3"/>
    </row>
    <row r="4537" spans="1:8" hidden="1">
      <c r="A4537" s="3">
        <v>5118</v>
      </c>
      <c r="B4537" s="7" t="s">
        <v>176</v>
      </c>
      <c r="C4537" s="41">
        <v>780</v>
      </c>
      <c r="D4537" s="6">
        <v>45671</v>
      </c>
      <c r="E4537" s="3" t="str">
        <f ca="1">IF(Tabela2[[#This Row],[Dt Venc:]]&gt;TODAY(),"Em Aberto",IF(Tabela2[[#This Row],[D/venc]]="-","Enviado",IF(Tabela2[[#This Row],[Dt Venc:]]=TODAY(),"Vence Hoje","Vencida")))</f>
        <v>Enviado</v>
      </c>
      <c r="F4537" s="3" t="str">
        <f ca="1">IF(G4537=1,"-",Tabela2[[#This Row],[Dt Venc:]]-TODAY())</f>
        <v>-</v>
      </c>
      <c r="G4537" s="3">
        <v>1</v>
      </c>
      <c r="H4537" s="3"/>
    </row>
    <row r="4538" spans="1:8" hidden="1">
      <c r="A4538" s="3">
        <v>4508</v>
      </c>
      <c r="B4538" s="7" t="s">
        <v>347</v>
      </c>
      <c r="C4538" s="41">
        <v>325.83</v>
      </c>
      <c r="D4538" s="6">
        <v>45671</v>
      </c>
      <c r="E4538" s="3" t="str">
        <f ca="1">IF(Tabela2[[#This Row],[Dt Venc:]]&gt;TODAY(),"Em Aberto",IF(Tabela2[[#This Row],[D/venc]]="-","Enviado",IF(Tabela2[[#This Row],[Dt Venc:]]=TODAY(),"Vence Hoje","Vencida")))</f>
        <v>Enviado</v>
      </c>
      <c r="F4538" s="3" t="str">
        <f ca="1">IF(G4538=1,"-",Tabela2[[#This Row],[Dt Venc:]]-TODAY())</f>
        <v>-</v>
      </c>
      <c r="G4538" s="3">
        <v>1</v>
      </c>
      <c r="H4538" s="3"/>
    </row>
    <row r="4539" spans="1:8" hidden="1">
      <c r="A4539" s="3">
        <v>68</v>
      </c>
      <c r="B4539" s="7" t="s">
        <v>631</v>
      </c>
      <c r="C4539" s="41">
        <v>1350</v>
      </c>
      <c r="D4539" s="6">
        <v>45671</v>
      </c>
      <c r="E4539" s="3" t="str">
        <f ca="1">IF(Tabela2[[#This Row],[Dt Venc:]]&gt;TODAY(),"Em Aberto",IF(Tabela2[[#This Row],[D/venc]]="-","Enviado",IF(Tabela2[[#This Row],[Dt Venc:]]=TODAY(),"Vence Hoje","Vencida")))</f>
        <v>Enviado</v>
      </c>
      <c r="F4539" s="3" t="str">
        <f ca="1">IF(G4539=1,"-",Tabela2[[#This Row],[Dt Venc:]]-TODAY())</f>
        <v>-</v>
      </c>
      <c r="G4539" s="3">
        <v>1</v>
      </c>
      <c r="H4539" s="3"/>
    </row>
    <row r="4540" spans="1:8" hidden="1">
      <c r="A4540" s="3">
        <v>23365</v>
      </c>
      <c r="B4540" s="7" t="s">
        <v>632</v>
      </c>
      <c r="C4540" s="41">
        <v>545</v>
      </c>
      <c r="D4540" s="6">
        <v>45671</v>
      </c>
      <c r="E4540" s="3" t="str">
        <f ca="1">IF(Tabela2[[#This Row],[Dt Venc:]]&gt;TODAY(),"Em Aberto",IF(Tabela2[[#This Row],[D/venc]]="-","Enviado",IF(Tabela2[[#This Row],[Dt Venc:]]=TODAY(),"Vence Hoje","Vencida")))</f>
        <v>Enviado</v>
      </c>
      <c r="F4540" s="3" t="str">
        <f ca="1">IF(G4540=1,"-",Tabela2[[#This Row],[Dt Venc:]]-TODAY())</f>
        <v>-</v>
      </c>
      <c r="G4540" s="3">
        <v>1</v>
      </c>
      <c r="H4540" s="3"/>
    </row>
    <row r="4541" spans="1:8" hidden="1">
      <c r="A4541" s="3">
        <v>634</v>
      </c>
      <c r="B4541" s="7" t="s">
        <v>61</v>
      </c>
      <c r="C4541" s="41">
        <v>1277.2</v>
      </c>
      <c r="D4541" s="6">
        <v>45671</v>
      </c>
      <c r="E4541" s="3" t="str">
        <f ca="1">IF(Tabela2[[#This Row],[Dt Venc:]]&gt;TODAY(),"Em Aberto",IF(Tabela2[[#This Row],[D/venc]]="-","Enviado",IF(Tabela2[[#This Row],[Dt Venc:]]=TODAY(),"Vence Hoje","Vencida")))</f>
        <v>Enviado</v>
      </c>
      <c r="F4541" s="3" t="str">
        <f ca="1">IF(G4541=1,"-",Tabela2[[#This Row],[Dt Venc:]]-TODAY())</f>
        <v>-</v>
      </c>
      <c r="G4541" s="3">
        <v>1</v>
      </c>
      <c r="H4541" s="3"/>
    </row>
    <row r="4542" spans="1:8" hidden="1">
      <c r="A4542" s="3">
        <v>2354</v>
      </c>
      <c r="B4542" s="7" t="s">
        <v>45</v>
      </c>
      <c r="C4542" s="41">
        <v>1856</v>
      </c>
      <c r="D4542" s="6">
        <v>45671</v>
      </c>
      <c r="E4542" s="3" t="str">
        <f ca="1">IF(Tabela2[[#This Row],[Dt Venc:]]&gt;TODAY(),"Em Aberto",IF(Tabela2[[#This Row],[D/venc]]="-","Enviado",IF(Tabela2[[#This Row],[Dt Venc:]]=TODAY(),"Vence Hoje","Vencida")))</f>
        <v>Enviado</v>
      </c>
      <c r="F4542" s="3" t="str">
        <f ca="1">IF(G4542=1,"-",Tabela2[[#This Row],[Dt Venc:]]-TODAY())</f>
        <v>-</v>
      </c>
      <c r="G4542" s="3">
        <v>1</v>
      </c>
      <c r="H4542" s="3"/>
    </row>
    <row r="4543" spans="1:8" ht="37.5" hidden="1">
      <c r="A4543" s="3">
        <v>2284173</v>
      </c>
      <c r="B4543" s="7" t="s">
        <v>629</v>
      </c>
      <c r="C4543" s="41">
        <v>56178</v>
      </c>
      <c r="D4543" s="6">
        <v>45671</v>
      </c>
      <c r="E4543" s="3" t="str">
        <f ca="1">IF(Tabela2[[#This Row],[Dt Venc:]]&gt;TODAY(),"Em Aberto",IF(Tabela2[[#This Row],[D/venc]]="-","Enviado",IF(Tabela2[[#This Row],[Dt Venc:]]=TODAY(),"Vence Hoje","Vencida")))</f>
        <v>Enviado</v>
      </c>
      <c r="F4543" s="3" t="str">
        <f ca="1">IF(G4543=1,"-",Tabela2[[#This Row],[Dt Venc:]]-TODAY())</f>
        <v>-</v>
      </c>
      <c r="G4543" s="3">
        <v>1</v>
      </c>
      <c r="H4543" s="3"/>
    </row>
    <row r="4544" spans="1:8" hidden="1">
      <c r="A4544" s="3">
        <v>36846</v>
      </c>
      <c r="B4544" s="7" t="s">
        <v>167</v>
      </c>
      <c r="C4544" s="84" t="s">
        <v>32</v>
      </c>
      <c r="D4544" s="6">
        <v>45672</v>
      </c>
      <c r="E4544" s="3" t="str">
        <f ca="1">IF(Tabela2[[#This Row],[Dt Venc:]]&gt;TODAY(),"Em Aberto",IF(Tabela2[[#This Row],[D/venc]]="-","Enviado",IF(Tabela2[[#This Row],[Dt Venc:]]=TODAY(),"Vence Hoje","Vencida")))</f>
        <v>Enviado</v>
      </c>
      <c r="F4544" s="3" t="str">
        <f ca="1">IF(G4544=1,"-",Tabela2[[#This Row],[Dt Venc:]]-TODAY())</f>
        <v>-</v>
      </c>
      <c r="G4544" s="3">
        <v>1</v>
      </c>
      <c r="H4544" s="3"/>
    </row>
    <row r="4545" spans="1:8" hidden="1">
      <c r="A4545" s="3">
        <v>11028</v>
      </c>
      <c r="B4545" s="7" t="s">
        <v>33</v>
      </c>
      <c r="C4545" s="41">
        <v>1576.8</v>
      </c>
      <c r="D4545" s="6">
        <v>45672</v>
      </c>
      <c r="E4545" s="3" t="str">
        <f ca="1">IF(Tabela2[[#This Row],[Dt Venc:]]&gt;TODAY(),"Em Aberto",IF(Tabela2[[#This Row],[D/venc]]="-","Enviado",IF(Tabela2[[#This Row],[Dt Venc:]]=TODAY(),"Vence Hoje","Vencida")))</f>
        <v>Enviado</v>
      </c>
      <c r="F4545" s="3" t="str">
        <f ca="1">IF(G4545=1,"-",Tabela2[[#This Row],[Dt Venc:]]-TODAY())</f>
        <v>-</v>
      </c>
      <c r="G4545" s="3">
        <v>1</v>
      </c>
      <c r="H4545" s="3"/>
    </row>
    <row r="4546" spans="1:8" hidden="1">
      <c r="A4546" s="3">
        <v>880609</v>
      </c>
      <c r="B4546" s="7" t="s">
        <v>267</v>
      </c>
      <c r="C4546" s="42">
        <v>450</v>
      </c>
      <c r="D4546" s="6">
        <v>45672</v>
      </c>
      <c r="E4546" s="3" t="str">
        <f ca="1">IF(Tabela2[[#This Row],[Dt Venc:]]&gt;TODAY(),"Em Aberto",IF(Tabela2[[#This Row],[D/venc]]="-","Enviado",IF(Tabela2[[#This Row],[Dt Venc:]]=TODAY(),"Vence Hoje","Vencida")))</f>
        <v>Enviado</v>
      </c>
      <c r="F4546" s="3" t="str">
        <f ca="1">IF(G4546=1,"-",Tabela2[[#This Row],[Dt Venc:]]-TODAY())</f>
        <v>-</v>
      </c>
      <c r="G4546" s="3">
        <v>1</v>
      </c>
      <c r="H4546" s="3"/>
    </row>
    <row r="4547" spans="1:8" hidden="1">
      <c r="A4547" s="3">
        <v>2884</v>
      </c>
      <c r="B4547" s="7" t="s">
        <v>301</v>
      </c>
      <c r="C4547" s="41">
        <v>2440</v>
      </c>
      <c r="D4547" s="6">
        <v>45672</v>
      </c>
      <c r="E4547" s="3" t="str">
        <f ca="1">IF(Tabela2[[#This Row],[Dt Venc:]]&gt;TODAY(),"Em Aberto",IF(Tabela2[[#This Row],[D/venc]]="-","Enviado",IF(Tabela2[[#This Row],[Dt Venc:]]=TODAY(),"Vence Hoje","Vencida")))</f>
        <v>Enviado</v>
      </c>
      <c r="F4547" s="3" t="str">
        <f ca="1">IF(G4547=1,"-",Tabela2[[#This Row],[Dt Venc:]]-TODAY())</f>
        <v>-</v>
      </c>
      <c r="G4547" s="3">
        <v>1</v>
      </c>
      <c r="H4547" s="3"/>
    </row>
    <row r="4548" spans="1:8" hidden="1">
      <c r="A4548" s="3">
        <v>374375</v>
      </c>
      <c r="B4548" s="7" t="s">
        <v>171</v>
      </c>
      <c r="C4548" s="41">
        <v>590.03</v>
      </c>
      <c r="D4548" s="6">
        <v>45672</v>
      </c>
      <c r="E4548" s="3" t="str">
        <f ca="1">IF(Tabela2[[#This Row],[Dt Venc:]]&gt;TODAY(),"Em Aberto",IF(Tabela2[[#This Row],[D/venc]]="-","Enviado",IF(Tabela2[[#This Row],[Dt Venc:]]=TODAY(),"Vence Hoje","Vencida")))</f>
        <v>Enviado</v>
      </c>
      <c r="F4548" s="3" t="str">
        <f ca="1">IF(G4548=1,"-",Tabela2[[#This Row],[Dt Venc:]]-TODAY())</f>
        <v>-</v>
      </c>
      <c r="G4548" s="3">
        <v>1</v>
      </c>
      <c r="H4548" s="3"/>
    </row>
    <row r="4549" spans="1:8" hidden="1">
      <c r="A4549" s="3">
        <v>374375</v>
      </c>
      <c r="B4549" s="7" t="s">
        <v>453</v>
      </c>
      <c r="C4549" s="41">
        <v>590.03</v>
      </c>
      <c r="D4549" s="6">
        <v>45672</v>
      </c>
      <c r="E4549" s="3" t="str">
        <f ca="1">IF(Tabela2[[#This Row],[Dt Venc:]]&gt;TODAY(),"Em Aberto",IF(Tabela2[[#This Row],[D/venc]]="-","Enviado",IF(Tabela2[[#This Row],[Dt Venc:]]=TODAY(),"Vence Hoje","Vencida")))</f>
        <v>Enviado</v>
      </c>
      <c r="F4549" s="3" t="str">
        <f ca="1">IF(G4549=1,"-",Tabela2[[#This Row],[Dt Venc:]]-TODAY())</f>
        <v>-</v>
      </c>
      <c r="G4549" s="3">
        <v>1</v>
      </c>
      <c r="H4549" s="3"/>
    </row>
    <row r="4550" spans="1:8" hidden="1">
      <c r="A4550" s="3">
        <v>609329</v>
      </c>
      <c r="B4550" s="7" t="s">
        <v>66</v>
      </c>
      <c r="C4550" s="42">
        <v>3634.7</v>
      </c>
      <c r="D4550" s="6">
        <v>45672</v>
      </c>
      <c r="E4550" s="3" t="str">
        <f ca="1">IF(Tabela2[[#This Row],[Dt Venc:]]&gt;TODAY(),"Em Aberto",IF(Tabela2[[#This Row],[D/venc]]="-","Enviado",IF(Tabela2[[#This Row],[Dt Venc:]]=TODAY(),"Vence Hoje","Vencida")))</f>
        <v>Enviado</v>
      </c>
      <c r="F4550" s="3" t="str">
        <f ca="1">IF(G4550=1,"-",Tabela2[[#This Row],[Dt Venc:]]-TODAY())</f>
        <v>-</v>
      </c>
      <c r="G4550" s="3">
        <v>1</v>
      </c>
      <c r="H4550" s="3"/>
    </row>
    <row r="4551" spans="1:8" hidden="1">
      <c r="A4551" s="3">
        <v>613469</v>
      </c>
      <c r="B4551" s="7" t="s">
        <v>66</v>
      </c>
      <c r="C4551" s="41">
        <v>2978.21</v>
      </c>
      <c r="D4551" s="6">
        <v>45672</v>
      </c>
      <c r="E4551" s="3" t="str">
        <f ca="1">IF(Tabela2[[#This Row],[Dt Venc:]]&gt;TODAY(),"Em Aberto",IF(Tabela2[[#This Row],[D/venc]]="-","Enviado",IF(Tabela2[[#This Row],[Dt Venc:]]=TODAY(),"Vence Hoje","Vencida")))</f>
        <v>Enviado</v>
      </c>
      <c r="F4551" s="3" t="str">
        <f ca="1">IF(G4551=1,"-",Tabela2[[#This Row],[Dt Venc:]]-TODAY())</f>
        <v>-</v>
      </c>
      <c r="G4551" s="3">
        <v>1</v>
      </c>
      <c r="H4551" s="3"/>
    </row>
    <row r="4552" spans="1:8" hidden="1">
      <c r="A4552" s="3">
        <v>231961</v>
      </c>
      <c r="B4552" s="7" t="s">
        <v>40</v>
      </c>
      <c r="C4552" s="41">
        <v>816.68</v>
      </c>
      <c r="D4552" s="6">
        <v>45672</v>
      </c>
      <c r="E4552" s="3" t="str">
        <f ca="1">IF(Tabela2[[#This Row],[Dt Venc:]]&gt;TODAY(),"Em Aberto",IF(Tabela2[[#This Row],[D/venc]]="-","Enviado",IF(Tabela2[[#This Row],[Dt Venc:]]=TODAY(),"Vence Hoje","Vencida")))</f>
        <v>Enviado</v>
      </c>
      <c r="F4552" s="3" t="str">
        <f ca="1">IF(G4552=1,"-",Tabela2[[#This Row],[Dt Venc:]]-TODAY())</f>
        <v>-</v>
      </c>
      <c r="G4552" s="3">
        <v>1</v>
      </c>
      <c r="H4552" s="3"/>
    </row>
    <row r="4553" spans="1:8" hidden="1">
      <c r="A4553" s="3">
        <v>231963</v>
      </c>
      <c r="B4553" s="7" t="s">
        <v>40</v>
      </c>
      <c r="C4553" s="41">
        <v>1100</v>
      </c>
      <c r="D4553" s="6">
        <v>45672</v>
      </c>
      <c r="E4553" s="3" t="str">
        <f ca="1">IF(Tabela2[[#This Row],[Dt Venc:]]&gt;TODAY(),"Em Aberto",IF(Tabela2[[#This Row],[D/venc]]="-","Enviado",IF(Tabela2[[#This Row],[Dt Venc:]]=TODAY(),"Vence Hoje","Vencida")))</f>
        <v>Enviado</v>
      </c>
      <c r="F4553" s="3" t="str">
        <f ca="1">IF(G4553=1,"-",Tabela2[[#This Row],[Dt Venc:]]-TODAY())</f>
        <v>-</v>
      </c>
      <c r="G4553" s="3">
        <v>1</v>
      </c>
      <c r="H4553" s="3"/>
    </row>
    <row r="4554" spans="1:8" hidden="1">
      <c r="A4554" s="3">
        <v>231962</v>
      </c>
      <c r="B4554" s="7" t="s">
        <v>40</v>
      </c>
      <c r="C4554" s="41">
        <v>1633.34</v>
      </c>
      <c r="D4554" s="6">
        <v>45672</v>
      </c>
      <c r="E4554" s="3" t="str">
        <f ca="1">IF(Tabela2[[#This Row],[Dt Venc:]]&gt;TODAY(),"Em Aberto",IF(Tabela2[[#This Row],[D/venc]]="-","Enviado",IF(Tabela2[[#This Row],[Dt Venc:]]=TODAY(),"Vence Hoje","Vencida")))</f>
        <v>Enviado</v>
      </c>
      <c r="F4554" s="3" t="str">
        <f ca="1">IF(G4554=1,"-",Tabela2[[#This Row],[Dt Venc:]]-TODAY())</f>
        <v>-</v>
      </c>
      <c r="G4554" s="3">
        <v>1</v>
      </c>
      <c r="H4554" s="3"/>
    </row>
    <row r="4555" spans="1:8" hidden="1">
      <c r="A4555" s="3">
        <v>48</v>
      </c>
      <c r="B4555" s="7" t="s">
        <v>132</v>
      </c>
      <c r="C4555" s="41">
        <v>3416.67</v>
      </c>
      <c r="D4555" s="6">
        <v>45672</v>
      </c>
      <c r="E4555" s="3" t="str">
        <f ca="1">IF(Tabela2[[#This Row],[Dt Venc:]]&gt;TODAY(),"Em Aberto",IF(Tabela2[[#This Row],[D/venc]]="-","Enviado",IF(Tabela2[[#This Row],[Dt Venc:]]=TODAY(),"Vence Hoje","Vencida")))</f>
        <v>Enviado</v>
      </c>
      <c r="F4555" s="3" t="str">
        <f ca="1">IF(G4555=1,"-",Tabela2[[#This Row],[Dt Venc:]]-TODAY())</f>
        <v>-</v>
      </c>
      <c r="G4555" s="3">
        <v>1</v>
      </c>
      <c r="H4555" s="3"/>
    </row>
    <row r="4556" spans="1:8" hidden="1">
      <c r="A4556" s="3">
        <v>237128</v>
      </c>
      <c r="B4556" s="7" t="s">
        <v>43</v>
      </c>
      <c r="C4556" s="42">
        <v>1374.3</v>
      </c>
      <c r="D4556" s="6">
        <v>45672</v>
      </c>
      <c r="E4556" s="3" t="str">
        <f ca="1">IF(Tabela2[[#This Row],[Dt Venc:]]&gt;TODAY(),"Em Aberto",IF(Tabela2[[#This Row],[D/venc]]="-","Enviado",IF(Tabela2[[#This Row],[Dt Venc:]]=TODAY(),"Vence Hoje","Vencida")))</f>
        <v>Enviado</v>
      </c>
      <c r="F4556" s="3" t="str">
        <f ca="1">IF(G4556=1,"-",Tabela2[[#This Row],[Dt Venc:]]-TODAY())</f>
        <v>-</v>
      </c>
      <c r="G4556" s="3">
        <v>1</v>
      </c>
      <c r="H4556" s="3"/>
    </row>
    <row r="4557" spans="1:8" hidden="1">
      <c r="A4557" s="3">
        <v>5952</v>
      </c>
      <c r="B4557" s="7" t="s">
        <v>140</v>
      </c>
      <c r="C4557" s="41">
        <v>1654.67</v>
      </c>
      <c r="D4557" s="6">
        <v>45672</v>
      </c>
      <c r="E4557" s="3" t="str">
        <f ca="1">IF(Tabela2[[#This Row],[Dt Venc:]]&gt;TODAY(),"Em Aberto",IF(Tabela2[[#This Row],[D/venc]]="-","Enviado",IF(Tabela2[[#This Row],[Dt Venc:]]=TODAY(),"Vence Hoje","Vencida")))</f>
        <v>Enviado</v>
      </c>
      <c r="F4557" s="3" t="str">
        <f ca="1">IF(G4557=1,"-",Tabela2[[#This Row],[Dt Venc:]]-TODAY())</f>
        <v>-</v>
      </c>
      <c r="G4557" s="3">
        <v>1</v>
      </c>
      <c r="H4557" s="3"/>
    </row>
    <row r="4558" spans="1:8" hidden="1">
      <c r="A4558" s="3">
        <v>361229</v>
      </c>
      <c r="B4558" s="7" t="s">
        <v>250</v>
      </c>
      <c r="C4558" s="84" t="s">
        <v>32</v>
      </c>
      <c r="D4558" s="6">
        <v>45672</v>
      </c>
      <c r="E4558" s="3" t="str">
        <f ca="1">IF(Tabela2[[#This Row],[Dt Venc:]]&gt;TODAY(),"Em Aberto",IF(Tabela2[[#This Row],[D/venc]]="-","Enviado",IF(Tabela2[[#This Row],[Dt Venc:]]=TODAY(),"Vence Hoje","Vencida")))</f>
        <v>Enviado</v>
      </c>
      <c r="F4558" s="3" t="str">
        <f ca="1">IF(G4558=1,"-",Tabela2[[#This Row],[Dt Venc:]]-TODAY())</f>
        <v>-</v>
      </c>
      <c r="G4558" s="3">
        <v>1</v>
      </c>
      <c r="H4558" s="3"/>
    </row>
    <row r="4559" spans="1:8" hidden="1">
      <c r="A4559" s="3">
        <v>361237</v>
      </c>
      <c r="B4559" s="7" t="s">
        <v>250</v>
      </c>
      <c r="C4559" s="84" t="s">
        <v>32</v>
      </c>
      <c r="D4559" s="6">
        <v>45672</v>
      </c>
      <c r="E4559" s="3" t="str">
        <f ca="1">IF(Tabela2[[#This Row],[Dt Venc:]]&gt;TODAY(),"Em Aberto",IF(Tabela2[[#This Row],[D/venc]]="-","Enviado",IF(Tabela2[[#This Row],[Dt Venc:]]=TODAY(),"Vence Hoje","Vencida")))</f>
        <v>Enviado</v>
      </c>
      <c r="F4559" s="3" t="str">
        <f ca="1">IF(G4559=1,"-",Tabela2[[#This Row],[Dt Venc:]]-TODAY())</f>
        <v>-</v>
      </c>
      <c r="G4559" s="3">
        <v>1</v>
      </c>
      <c r="H4559" s="3"/>
    </row>
    <row r="4560" spans="1:8" hidden="1">
      <c r="A4560" s="3">
        <v>365658</v>
      </c>
      <c r="B4560" s="7" t="s">
        <v>250</v>
      </c>
      <c r="C4560" s="84" t="s">
        <v>32</v>
      </c>
      <c r="D4560" s="6">
        <v>45672</v>
      </c>
      <c r="E4560" s="3" t="str">
        <f ca="1">IF(Tabela2[[#This Row],[Dt Venc:]]&gt;TODAY(),"Em Aberto",IF(Tabela2[[#This Row],[D/venc]]="-","Enviado",IF(Tabela2[[#This Row],[Dt Venc:]]=TODAY(),"Vence Hoje","Vencida")))</f>
        <v>Enviado</v>
      </c>
      <c r="F4560" s="3" t="str">
        <f ca="1">IF(G4560=1,"-",Tabela2[[#This Row],[Dt Venc:]]-TODAY())</f>
        <v>-</v>
      </c>
      <c r="G4560" s="3">
        <v>1</v>
      </c>
      <c r="H4560" s="3"/>
    </row>
    <row r="4561" spans="1:8" hidden="1">
      <c r="A4561" s="3">
        <v>365666</v>
      </c>
      <c r="B4561" s="7" t="s">
        <v>250</v>
      </c>
      <c r="C4561" s="84" t="s">
        <v>32</v>
      </c>
      <c r="D4561" s="6">
        <v>45672</v>
      </c>
      <c r="E4561" s="3" t="str">
        <f ca="1">IF(Tabela2[[#This Row],[Dt Venc:]]&gt;TODAY(),"Em Aberto",IF(Tabela2[[#This Row],[D/venc]]="-","Enviado",IF(Tabela2[[#This Row],[Dt Venc:]]=TODAY(),"Vence Hoje","Vencida")))</f>
        <v>Enviado</v>
      </c>
      <c r="F4561" s="3" t="str">
        <f ca="1">IF(G4561=1,"-",Tabela2[[#This Row],[Dt Venc:]]-TODAY())</f>
        <v>-</v>
      </c>
      <c r="G4561" s="3">
        <v>1</v>
      </c>
      <c r="H4561" s="3"/>
    </row>
    <row r="4562" spans="1:8" hidden="1">
      <c r="A4562" s="3">
        <v>365674</v>
      </c>
      <c r="B4562" s="7" t="s">
        <v>250</v>
      </c>
      <c r="C4562" s="84" t="s">
        <v>32</v>
      </c>
      <c r="D4562" s="6">
        <v>45672</v>
      </c>
      <c r="E4562" s="3" t="str">
        <f ca="1">IF(Tabela2[[#This Row],[Dt Venc:]]&gt;TODAY(),"Em Aberto",IF(Tabela2[[#This Row],[D/venc]]="-","Enviado",IF(Tabela2[[#This Row],[Dt Venc:]]=TODAY(),"Vence Hoje","Vencida")))</f>
        <v>Enviado</v>
      </c>
      <c r="F4562" s="3" t="str">
        <f ca="1">IF(G4562=1,"-",Tabela2[[#This Row],[Dt Venc:]]-TODAY())</f>
        <v>-</v>
      </c>
      <c r="G4562" s="3">
        <v>1</v>
      </c>
      <c r="H4562" s="3"/>
    </row>
    <row r="4563" spans="1:8" hidden="1">
      <c r="A4563" s="3">
        <v>365682</v>
      </c>
      <c r="B4563" s="7" t="s">
        <v>250</v>
      </c>
      <c r="C4563" s="84" t="s">
        <v>32</v>
      </c>
      <c r="D4563" s="6">
        <v>45672</v>
      </c>
      <c r="E4563" s="3" t="str">
        <f ca="1">IF(Tabela2[[#This Row],[Dt Venc:]]&gt;TODAY(),"Em Aberto",IF(Tabela2[[#This Row],[D/venc]]="-","Enviado",IF(Tabela2[[#This Row],[Dt Venc:]]=TODAY(),"Vence Hoje","Vencida")))</f>
        <v>Enviado</v>
      </c>
      <c r="F4563" s="3" t="str">
        <f ca="1">IF(G4563=1,"-",Tabela2[[#This Row],[Dt Venc:]]-TODAY())</f>
        <v>-</v>
      </c>
      <c r="G4563" s="3">
        <v>1</v>
      </c>
      <c r="H4563" s="3"/>
    </row>
    <row r="4564" spans="1:8" hidden="1">
      <c r="A4564" s="3">
        <v>371011</v>
      </c>
      <c r="B4564" s="7" t="s">
        <v>633</v>
      </c>
      <c r="C4564" s="87" t="s">
        <v>32</v>
      </c>
      <c r="D4564" s="6">
        <v>45672</v>
      </c>
      <c r="E4564" s="3" t="str">
        <f ca="1">IF(Tabela2[[#This Row],[Dt Venc:]]&gt;TODAY(),"Em Aberto",IF(Tabela2[[#This Row],[D/venc]]="-","Enviado",IF(Tabela2[[#This Row],[Dt Venc:]]=TODAY(),"Vence Hoje","Vencida")))</f>
        <v>Enviado</v>
      </c>
      <c r="F4564" s="3" t="str">
        <f ca="1">IF(G4564=1,"-",Tabela2[[#This Row],[Dt Venc:]]-TODAY())</f>
        <v>-</v>
      </c>
      <c r="G4564" s="3">
        <v>1</v>
      </c>
      <c r="H4564" s="3"/>
    </row>
    <row r="4565" spans="1:8" hidden="1">
      <c r="A4565" s="3">
        <v>370864</v>
      </c>
      <c r="B4565" s="7" t="s">
        <v>543</v>
      </c>
      <c r="C4565" s="87" t="s">
        <v>32</v>
      </c>
      <c r="D4565" s="6">
        <v>45672</v>
      </c>
      <c r="E4565" s="3" t="str">
        <f ca="1">IF(Tabela2[[#This Row],[Dt Venc:]]&gt;TODAY(),"Em Aberto",IF(Tabela2[[#This Row],[D/venc]]="-","Enviado",IF(Tabela2[[#This Row],[Dt Venc:]]=TODAY(),"Vence Hoje","Vencida")))</f>
        <v>Enviado</v>
      </c>
      <c r="F4565" s="3" t="str">
        <f ca="1">IF(G4565=1,"-",Tabela2[[#This Row],[Dt Venc:]]-TODAY())</f>
        <v>-</v>
      </c>
      <c r="G4565" s="3">
        <v>1</v>
      </c>
      <c r="H4565" s="3"/>
    </row>
    <row r="4566" spans="1:8" hidden="1">
      <c r="A4566" s="3">
        <v>748099</v>
      </c>
      <c r="B4566" s="7" t="s">
        <v>81</v>
      </c>
      <c r="C4566" s="84" t="s">
        <v>32</v>
      </c>
      <c r="D4566" s="6">
        <v>45672</v>
      </c>
      <c r="E4566" s="3" t="str">
        <f ca="1">IF(Tabela2[[#This Row],[Dt Venc:]]&gt;TODAY(),"Em Aberto",IF(Tabela2[[#This Row],[D/venc]]="-","Enviado",IF(Tabela2[[#This Row],[Dt Venc:]]=TODAY(),"Vence Hoje","Vencida")))</f>
        <v>Enviado</v>
      </c>
      <c r="F4566" s="3" t="str">
        <f ca="1">IF(G4566=1,"-",Tabela2[[#This Row],[Dt Venc:]]-TODAY())</f>
        <v>-</v>
      </c>
      <c r="G4566" s="3">
        <v>1</v>
      </c>
      <c r="H4566" s="3"/>
    </row>
    <row r="4567" spans="1:8" hidden="1">
      <c r="A4567" s="3">
        <v>562</v>
      </c>
      <c r="B4567" s="7" t="s">
        <v>251</v>
      </c>
      <c r="C4567" s="84" t="s">
        <v>32</v>
      </c>
      <c r="D4567" s="6">
        <v>45672</v>
      </c>
      <c r="E4567" s="3" t="str">
        <f ca="1">IF(Tabela2[[#This Row],[Dt Venc:]]&gt;TODAY(),"Em Aberto",IF(Tabela2[[#This Row],[D/venc]]="-","Enviado",IF(Tabela2[[#This Row],[Dt Venc:]]=TODAY(),"Vence Hoje","Vencida")))</f>
        <v>Enviado</v>
      </c>
      <c r="F4567" s="3" t="str">
        <f ca="1">IF(G4567=1,"-",Tabela2[[#This Row],[Dt Venc:]]-TODAY())</f>
        <v>-</v>
      </c>
      <c r="G4567" s="3">
        <v>1</v>
      </c>
      <c r="H4567" s="3"/>
    </row>
    <row r="4568" spans="1:8" hidden="1">
      <c r="A4568" s="3">
        <v>103015</v>
      </c>
      <c r="B4568" s="7" t="s">
        <v>252</v>
      </c>
      <c r="C4568" s="84" t="s">
        <v>32</v>
      </c>
      <c r="D4568" s="6">
        <v>45672</v>
      </c>
      <c r="E4568" s="3" t="str">
        <f ca="1">IF(Tabela2[[#This Row],[Dt Venc:]]&gt;TODAY(),"Em Aberto",IF(Tabela2[[#This Row],[D/venc]]="-","Enviado",IF(Tabela2[[#This Row],[Dt Venc:]]=TODAY(),"Vence Hoje","Vencida")))</f>
        <v>Enviado</v>
      </c>
      <c r="F4568" s="3" t="str">
        <f ca="1">IF(G4568=1,"-",Tabela2[[#This Row],[Dt Venc:]]-TODAY())</f>
        <v>-</v>
      </c>
      <c r="G4568" s="3">
        <v>1</v>
      </c>
      <c r="H4568" s="3"/>
    </row>
    <row r="4569" spans="1:8" hidden="1">
      <c r="A4569" s="3">
        <v>103077</v>
      </c>
      <c r="B4569" s="7" t="s">
        <v>252</v>
      </c>
      <c r="C4569" s="84" t="s">
        <v>32</v>
      </c>
      <c r="D4569" s="6">
        <v>45672</v>
      </c>
      <c r="E4569" s="3" t="str">
        <f ca="1">IF(Tabela2[[#This Row],[Dt Venc:]]&gt;TODAY(),"Em Aberto",IF(Tabela2[[#This Row],[D/venc]]="-","Enviado",IF(Tabela2[[#This Row],[Dt Venc:]]=TODAY(),"Vence Hoje","Vencida")))</f>
        <v>Enviado</v>
      </c>
      <c r="F4569" s="3" t="str">
        <f ca="1">IF(G4569=1,"-",Tabela2[[#This Row],[Dt Venc:]]-TODAY())</f>
        <v>-</v>
      </c>
      <c r="G4569" s="3">
        <v>1</v>
      </c>
      <c r="H4569" s="3"/>
    </row>
    <row r="4570" spans="1:8" hidden="1">
      <c r="A4570" s="3">
        <v>103153</v>
      </c>
      <c r="B4570" s="7" t="s">
        <v>252</v>
      </c>
      <c r="C4570" s="85" t="s">
        <v>32</v>
      </c>
      <c r="D4570" s="6">
        <v>45672</v>
      </c>
      <c r="E4570" s="3" t="str">
        <f ca="1">IF(Tabela2[[#This Row],[Dt Venc:]]&gt;TODAY(),"Em Aberto",IF(Tabela2[[#This Row],[D/venc]]="-","Enviado",IF(Tabela2[[#This Row],[Dt Venc:]]=TODAY(),"Vence Hoje","Vencida")))</f>
        <v>Enviado</v>
      </c>
      <c r="F4570" s="3" t="str">
        <f ca="1">IF(G4570=1,"-",Tabela2[[#This Row],[Dt Venc:]]-TODAY())</f>
        <v>-</v>
      </c>
      <c r="G4570" s="3">
        <v>1</v>
      </c>
      <c r="H4570" s="3"/>
    </row>
    <row r="4571" spans="1:8" hidden="1">
      <c r="A4571" s="3">
        <v>103154</v>
      </c>
      <c r="B4571" s="7" t="s">
        <v>252</v>
      </c>
      <c r="C4571" s="84" t="s">
        <v>32</v>
      </c>
      <c r="D4571" s="6">
        <v>45672</v>
      </c>
      <c r="E4571" s="3" t="str">
        <f ca="1">IF(Tabela2[[#This Row],[Dt Venc:]]&gt;TODAY(),"Em Aberto",IF(Tabela2[[#This Row],[D/venc]]="-","Enviado",IF(Tabela2[[#This Row],[Dt Venc:]]=TODAY(),"Vence Hoje","Vencida")))</f>
        <v>Enviado</v>
      </c>
      <c r="F4571" s="3" t="str">
        <f ca="1">IF(G4571=1,"-",Tabela2[[#This Row],[Dt Venc:]]-TODAY())</f>
        <v>-</v>
      </c>
      <c r="G4571" s="3">
        <v>1</v>
      </c>
      <c r="H4571" s="3"/>
    </row>
    <row r="4572" spans="1:8" hidden="1">
      <c r="A4572" s="3">
        <v>106007</v>
      </c>
      <c r="B4572" s="7" t="s">
        <v>252</v>
      </c>
      <c r="C4572" s="84" t="s">
        <v>32</v>
      </c>
      <c r="D4572" s="6">
        <v>45672</v>
      </c>
      <c r="E4572" s="3" t="str">
        <f ca="1">IF(Tabela2[[#This Row],[Dt Venc:]]&gt;TODAY(),"Em Aberto",IF(Tabela2[[#This Row],[D/venc]]="-","Enviado",IF(Tabela2[[#This Row],[Dt Venc:]]=TODAY(),"Vence Hoje","Vencida")))</f>
        <v>Enviado</v>
      </c>
      <c r="F4572" s="3" t="str">
        <f ca="1">IF(G4572=1,"-",Tabela2[[#This Row],[Dt Venc:]]-TODAY())</f>
        <v>-</v>
      </c>
      <c r="G4572" s="3">
        <v>1</v>
      </c>
      <c r="H4572" s="3"/>
    </row>
    <row r="4573" spans="1:8" hidden="1">
      <c r="A4573" s="3">
        <v>106043</v>
      </c>
      <c r="B4573" s="7" t="s">
        <v>252</v>
      </c>
      <c r="C4573" s="84" t="s">
        <v>32</v>
      </c>
      <c r="D4573" s="6">
        <v>45672</v>
      </c>
      <c r="E4573" s="3" t="str">
        <f ca="1">IF(Tabela2[[#This Row],[Dt Venc:]]&gt;TODAY(),"Em Aberto",IF(Tabela2[[#This Row],[D/venc]]="-","Enviado",IF(Tabela2[[#This Row],[Dt Venc:]]=TODAY(),"Vence Hoje","Vencida")))</f>
        <v>Enviado</v>
      </c>
      <c r="F4573" s="3" t="str">
        <f ca="1">IF(G4573=1,"-",Tabela2[[#This Row],[Dt Venc:]]-TODAY())</f>
        <v>-</v>
      </c>
      <c r="G4573" s="3">
        <v>1</v>
      </c>
      <c r="H4573" s="3"/>
    </row>
    <row r="4574" spans="1:8" hidden="1">
      <c r="A4574" s="3">
        <v>107829</v>
      </c>
      <c r="B4574" s="7" t="s">
        <v>252</v>
      </c>
      <c r="C4574" s="84" t="s">
        <v>32</v>
      </c>
      <c r="D4574" s="6">
        <v>45672</v>
      </c>
      <c r="E4574" s="3" t="str">
        <f ca="1">IF(Tabela2[[#This Row],[Dt Venc:]]&gt;TODAY(),"Em Aberto",IF(Tabela2[[#This Row],[D/venc]]="-","Enviado",IF(Tabela2[[#This Row],[Dt Venc:]]=TODAY(),"Vence Hoje","Vencida")))</f>
        <v>Enviado</v>
      </c>
      <c r="F4574" s="3" t="str">
        <f ca="1">IF(G4574=1,"-",Tabela2[[#This Row],[Dt Venc:]]-TODAY())</f>
        <v>-</v>
      </c>
      <c r="G4574" s="3">
        <v>1</v>
      </c>
      <c r="H4574" s="3"/>
    </row>
    <row r="4575" spans="1:8" hidden="1">
      <c r="A4575" s="3">
        <v>107830</v>
      </c>
      <c r="B4575" s="7" t="s">
        <v>252</v>
      </c>
      <c r="C4575" s="85" t="s">
        <v>32</v>
      </c>
      <c r="D4575" s="6">
        <v>45672</v>
      </c>
      <c r="E4575" s="3" t="str">
        <f ca="1">IF(Tabela2[[#This Row],[Dt Venc:]]&gt;TODAY(),"Em Aberto",IF(Tabela2[[#This Row],[D/venc]]="-","Enviado",IF(Tabela2[[#This Row],[Dt Venc:]]=TODAY(),"Vence Hoje","Vencida")))</f>
        <v>Enviado</v>
      </c>
      <c r="F4575" s="3" t="str">
        <f ca="1">IF(G4575=1,"-",Tabela2[[#This Row],[Dt Venc:]]-TODAY())</f>
        <v>-</v>
      </c>
      <c r="G4575" s="3">
        <v>1</v>
      </c>
      <c r="H4575" s="3"/>
    </row>
    <row r="4576" spans="1:8" hidden="1">
      <c r="A4576" s="3">
        <v>107831</v>
      </c>
      <c r="B4576" s="7" t="s">
        <v>252</v>
      </c>
      <c r="C4576" s="84" t="s">
        <v>32</v>
      </c>
      <c r="D4576" s="6">
        <v>45672</v>
      </c>
      <c r="E4576" s="3" t="str">
        <f ca="1">IF(Tabela2[[#This Row],[Dt Venc:]]&gt;TODAY(),"Em Aberto",IF(Tabela2[[#This Row],[D/venc]]="-","Enviado",IF(Tabela2[[#This Row],[Dt Venc:]]=TODAY(),"Vence Hoje","Vencida")))</f>
        <v>Enviado</v>
      </c>
      <c r="F4576" s="3" t="str">
        <f ca="1">IF(G4576=1,"-",Tabela2[[#This Row],[Dt Venc:]]-TODAY())</f>
        <v>-</v>
      </c>
      <c r="G4576" s="3">
        <v>1</v>
      </c>
      <c r="H4576" s="3"/>
    </row>
    <row r="4577" spans="1:8" hidden="1">
      <c r="A4577" s="3">
        <v>107832</v>
      </c>
      <c r="B4577" s="7" t="s">
        <v>252</v>
      </c>
      <c r="C4577" s="84" t="s">
        <v>32</v>
      </c>
      <c r="D4577" s="6">
        <v>45672</v>
      </c>
      <c r="E4577" s="3" t="str">
        <f ca="1">IF(Tabela2[[#This Row],[Dt Venc:]]&gt;TODAY(),"Em Aberto",IF(Tabela2[[#This Row],[D/venc]]="-","Enviado",IF(Tabela2[[#This Row],[Dt Venc:]]=TODAY(),"Vence Hoje","Vencida")))</f>
        <v>Enviado</v>
      </c>
      <c r="F4577" s="3" t="str">
        <f ca="1">IF(G4577=1,"-",Tabela2[[#This Row],[Dt Venc:]]-TODAY())</f>
        <v>-</v>
      </c>
      <c r="G4577" s="3">
        <v>1</v>
      </c>
      <c r="H4577" s="3"/>
    </row>
    <row r="4578" spans="1:8" hidden="1">
      <c r="A4578" s="3">
        <v>892178</v>
      </c>
      <c r="B4578" s="7" t="s">
        <v>253</v>
      </c>
      <c r="C4578" s="84" t="s">
        <v>32</v>
      </c>
      <c r="D4578" s="6">
        <v>45672</v>
      </c>
      <c r="E4578" s="3" t="str">
        <f ca="1">IF(Tabela2[[#This Row],[Dt Venc:]]&gt;TODAY(),"Em Aberto",IF(Tabela2[[#This Row],[D/venc]]="-","Enviado",IF(Tabela2[[#This Row],[Dt Venc:]]=TODAY(),"Vence Hoje","Vencida")))</f>
        <v>Enviado</v>
      </c>
      <c r="F4578" s="3" t="str">
        <f ca="1">IF(G4578=1,"-",Tabela2[[#This Row],[Dt Venc:]]-TODAY())</f>
        <v>-</v>
      </c>
      <c r="G4578" s="3">
        <v>1</v>
      </c>
      <c r="H4578" s="3"/>
    </row>
    <row r="4579" spans="1:8" hidden="1">
      <c r="A4579" s="3">
        <v>894135</v>
      </c>
      <c r="B4579" s="7" t="s">
        <v>253</v>
      </c>
      <c r="C4579" s="84" t="s">
        <v>32</v>
      </c>
      <c r="D4579" s="6">
        <v>45672</v>
      </c>
      <c r="E4579" s="3" t="str">
        <f ca="1">IF(Tabela2[[#This Row],[Dt Venc:]]&gt;TODAY(),"Em Aberto",IF(Tabela2[[#This Row],[D/venc]]="-","Enviado",IF(Tabela2[[#This Row],[Dt Venc:]]=TODAY(),"Vence Hoje","Vencida")))</f>
        <v>Enviado</v>
      </c>
      <c r="F4579" s="3" t="str">
        <f ca="1">IF(G4579=1,"-",Tabela2[[#This Row],[Dt Venc:]]-TODAY())</f>
        <v>-</v>
      </c>
      <c r="G4579" s="3">
        <v>1</v>
      </c>
      <c r="H4579" s="3"/>
    </row>
    <row r="4580" spans="1:8" hidden="1">
      <c r="A4580" s="3">
        <v>896565</v>
      </c>
      <c r="B4580" s="7" t="s">
        <v>253</v>
      </c>
      <c r="C4580" s="84" t="s">
        <v>32</v>
      </c>
      <c r="D4580" s="6">
        <v>45672</v>
      </c>
      <c r="E4580" s="3" t="str">
        <f ca="1">IF(Tabela2[[#This Row],[Dt Venc:]]&gt;TODAY(),"Em Aberto",IF(Tabela2[[#This Row],[D/venc]]="-","Enviado",IF(Tabela2[[#This Row],[Dt Venc:]]=TODAY(),"Vence Hoje","Vencida")))</f>
        <v>Enviado</v>
      </c>
      <c r="F4580" s="3" t="str">
        <f ca="1">IF(G4580=1,"-",Tabela2[[#This Row],[Dt Venc:]]-TODAY())</f>
        <v>-</v>
      </c>
      <c r="G4580" s="3">
        <v>1</v>
      </c>
      <c r="H4580" s="3"/>
    </row>
    <row r="4581" spans="1:8" hidden="1">
      <c r="A4581" s="3">
        <v>900386</v>
      </c>
      <c r="B4581" s="7" t="s">
        <v>253</v>
      </c>
      <c r="C4581" s="84" t="s">
        <v>32</v>
      </c>
      <c r="D4581" s="6">
        <v>45672</v>
      </c>
      <c r="E4581" s="3" t="str">
        <f ca="1">IF(Tabela2[[#This Row],[Dt Venc:]]&gt;TODAY(),"Em Aberto",IF(Tabela2[[#This Row],[D/venc]]="-","Enviado",IF(Tabela2[[#This Row],[Dt Venc:]]=TODAY(),"Vence Hoje","Vencida")))</f>
        <v>Enviado</v>
      </c>
      <c r="F4581" s="3" t="str">
        <f ca="1">IF(G4581=1,"-",Tabela2[[#This Row],[Dt Venc:]]-TODAY())</f>
        <v>-</v>
      </c>
      <c r="G4581" s="3">
        <v>1</v>
      </c>
      <c r="H4581" s="3"/>
    </row>
    <row r="4582" spans="1:8" hidden="1">
      <c r="A4582" s="3">
        <v>901787</v>
      </c>
      <c r="B4582" s="7" t="s">
        <v>253</v>
      </c>
      <c r="C4582" s="84" t="s">
        <v>32</v>
      </c>
      <c r="D4582" s="6">
        <v>45672</v>
      </c>
      <c r="E4582" s="3" t="str">
        <f ca="1">IF(Tabela2[[#This Row],[Dt Venc:]]&gt;TODAY(),"Em Aberto",IF(Tabela2[[#This Row],[D/venc]]="-","Enviado",IF(Tabela2[[#This Row],[Dt Venc:]]=TODAY(),"Vence Hoje","Vencida")))</f>
        <v>Enviado</v>
      </c>
      <c r="F4582" s="3" t="str">
        <f ca="1">IF(G4582=1,"-",Tabela2[[#This Row],[Dt Venc:]]-TODAY())</f>
        <v>-</v>
      </c>
      <c r="G4582" s="3">
        <v>1</v>
      </c>
      <c r="H4582" s="3"/>
    </row>
    <row r="4583" spans="1:8" hidden="1">
      <c r="A4583" s="3">
        <v>901788</v>
      </c>
      <c r="B4583" s="7" t="s">
        <v>253</v>
      </c>
      <c r="C4583" s="84" t="s">
        <v>32</v>
      </c>
      <c r="D4583" s="6">
        <v>45672</v>
      </c>
      <c r="E4583" s="3" t="str">
        <f ca="1">IF(Tabela2[[#This Row],[Dt Venc:]]&gt;TODAY(),"Em Aberto",IF(Tabela2[[#This Row],[D/venc]]="-","Enviado",IF(Tabela2[[#This Row],[Dt Venc:]]=TODAY(),"Vence Hoje","Vencida")))</f>
        <v>Enviado</v>
      </c>
      <c r="F4583" s="3" t="str">
        <f ca="1">IF(G4583=1,"-",Tabela2[[#This Row],[Dt Venc:]]-TODAY())</f>
        <v>-</v>
      </c>
      <c r="G4583" s="3">
        <v>1</v>
      </c>
      <c r="H4583" s="3"/>
    </row>
    <row r="4584" spans="1:8" hidden="1">
      <c r="A4584" s="3">
        <v>901789</v>
      </c>
      <c r="B4584" s="7" t="s">
        <v>253</v>
      </c>
      <c r="C4584" s="83" t="s">
        <v>32</v>
      </c>
      <c r="D4584" s="6">
        <v>45672</v>
      </c>
      <c r="E4584" s="3" t="str">
        <f ca="1">IF(Tabela2[[#This Row],[Dt Venc:]]&gt;TODAY(),"Em Aberto",IF(Tabela2[[#This Row],[D/venc]]="-","Enviado",IF(Tabela2[[#This Row],[Dt Venc:]]=TODAY(),"Vence Hoje","Vencida")))</f>
        <v>Enviado</v>
      </c>
      <c r="F4584" s="3" t="str">
        <f ca="1">IF(G4584=1,"-",Tabela2[[#This Row],[Dt Venc:]]-TODAY())</f>
        <v>-</v>
      </c>
      <c r="G4584" s="3">
        <v>1</v>
      </c>
      <c r="H4584" s="3"/>
    </row>
    <row r="4585" spans="1:8" hidden="1">
      <c r="A4585" s="3">
        <v>912703</v>
      </c>
      <c r="B4585" s="7" t="s">
        <v>253</v>
      </c>
      <c r="C4585" s="83" t="s">
        <v>32</v>
      </c>
      <c r="D4585" s="6">
        <v>45672</v>
      </c>
      <c r="E4585" s="3" t="str">
        <f ca="1">IF(Tabela2[[#This Row],[Dt Venc:]]&gt;TODAY(),"Em Aberto",IF(Tabela2[[#This Row],[D/venc]]="-","Enviado",IF(Tabela2[[#This Row],[Dt Venc:]]=TODAY(),"Vence Hoje","Vencida")))</f>
        <v>Enviado</v>
      </c>
      <c r="F4585" s="3" t="str">
        <f ca="1">IF(G4585=1,"-",Tabela2[[#This Row],[Dt Venc:]]-TODAY())</f>
        <v>-</v>
      </c>
      <c r="G4585" s="3">
        <v>1</v>
      </c>
      <c r="H4585" s="3"/>
    </row>
    <row r="4586" spans="1:8" hidden="1">
      <c r="A4586" s="3">
        <v>912704</v>
      </c>
      <c r="B4586" s="7" t="s">
        <v>253</v>
      </c>
      <c r="C4586" s="83" t="s">
        <v>32</v>
      </c>
      <c r="D4586" s="6">
        <v>45672</v>
      </c>
      <c r="E4586" s="3" t="str">
        <f ca="1">IF(Tabela2[[#This Row],[Dt Venc:]]&gt;TODAY(),"Em Aberto",IF(Tabela2[[#This Row],[D/venc]]="-","Enviado",IF(Tabela2[[#This Row],[Dt Venc:]]=TODAY(),"Vence Hoje","Vencida")))</f>
        <v>Enviado</v>
      </c>
      <c r="F4586" s="3" t="str">
        <f ca="1">IF(G4586=1,"-",Tabela2[[#This Row],[Dt Venc:]]-TODAY())</f>
        <v>-</v>
      </c>
      <c r="G4586" s="3">
        <v>1</v>
      </c>
      <c r="H4586" s="3"/>
    </row>
    <row r="4587" spans="1:8" hidden="1">
      <c r="A4587" s="3">
        <v>919728</v>
      </c>
      <c r="B4587" s="7" t="s">
        <v>253</v>
      </c>
      <c r="C4587" s="87" t="s">
        <v>32</v>
      </c>
      <c r="D4587" s="6">
        <v>45672</v>
      </c>
      <c r="E4587" s="3" t="str">
        <f ca="1">IF(Tabela2[[#This Row],[Dt Venc:]]&gt;TODAY(),"Em Aberto",IF(Tabela2[[#This Row],[D/venc]]="-","Enviado",IF(Tabela2[[#This Row],[Dt Venc:]]=TODAY(),"Vence Hoje","Vencida")))</f>
        <v>Enviado</v>
      </c>
      <c r="F4587" s="3" t="str">
        <f ca="1">IF(G4587=1,"-",Tabela2[[#This Row],[Dt Venc:]]-TODAY())</f>
        <v>-</v>
      </c>
      <c r="G4587" s="3">
        <v>1</v>
      </c>
      <c r="H4587" s="3"/>
    </row>
    <row r="4588" spans="1:8" hidden="1">
      <c r="A4588" s="3">
        <v>919729</v>
      </c>
      <c r="B4588" s="7" t="s">
        <v>253</v>
      </c>
      <c r="C4588" s="87" t="s">
        <v>32</v>
      </c>
      <c r="D4588" s="6">
        <v>45672</v>
      </c>
      <c r="E4588" s="3" t="str">
        <f ca="1">IF(Tabela2[[#This Row],[Dt Venc:]]&gt;TODAY(),"Em Aberto",IF(Tabela2[[#This Row],[D/venc]]="-","Enviado",IF(Tabela2[[#This Row],[Dt Venc:]]=TODAY(),"Vence Hoje","Vencida")))</f>
        <v>Enviado</v>
      </c>
      <c r="F4588" s="3" t="str">
        <f ca="1">IF(G4588=1,"-",Tabela2[[#This Row],[Dt Venc:]]-TODAY())</f>
        <v>-</v>
      </c>
      <c r="G4588" s="3">
        <v>1</v>
      </c>
      <c r="H4588" s="3"/>
    </row>
    <row r="4589" spans="1:8" hidden="1">
      <c r="A4589" s="3">
        <v>5945</v>
      </c>
      <c r="B4589" s="7" t="s">
        <v>140</v>
      </c>
      <c r="C4589" s="41">
        <v>1220.03</v>
      </c>
      <c r="D4589" s="6">
        <v>45672</v>
      </c>
      <c r="E4589" s="3" t="str">
        <f ca="1">IF(Tabela2[[#This Row],[Dt Venc:]]&gt;TODAY(),"Em Aberto",IF(Tabela2[[#This Row],[D/venc]]="-","Enviado",IF(Tabela2[[#This Row],[Dt Venc:]]=TODAY(),"Vence Hoje","Vencida")))</f>
        <v>Enviado</v>
      </c>
      <c r="F4589" s="3" t="str">
        <f ca="1">IF(G4589=1,"-",Tabela2[[#This Row],[Dt Venc:]]-TODAY())</f>
        <v>-</v>
      </c>
      <c r="G4589" s="3">
        <v>1</v>
      </c>
      <c r="H4589" s="3"/>
    </row>
    <row r="4590" spans="1:8" hidden="1">
      <c r="A4590" s="3" t="s">
        <v>179</v>
      </c>
      <c r="B4590" s="7" t="s">
        <v>265</v>
      </c>
      <c r="C4590" s="83" t="s">
        <v>32</v>
      </c>
      <c r="D4590" s="6">
        <v>45672</v>
      </c>
      <c r="E4590" s="3" t="str">
        <f ca="1">IF(Tabela2[[#This Row],[Dt Venc:]]&gt;TODAY(),"Em Aberto",IF(Tabela2[[#This Row],[D/venc]]="-","Enviado",IF(Tabela2[[#This Row],[Dt Venc:]]=TODAY(),"Vence Hoje","Vencida")))</f>
        <v>Enviado</v>
      </c>
      <c r="F4590" s="3" t="str">
        <f ca="1">IF(G4590=1,"-",Tabela2[[#This Row],[Dt Venc:]]-TODAY())</f>
        <v>-</v>
      </c>
      <c r="G4590" s="3">
        <v>1</v>
      </c>
      <c r="H4590" s="3"/>
    </row>
    <row r="4591" spans="1:8" hidden="1">
      <c r="A4591" s="3">
        <v>14412</v>
      </c>
      <c r="B4591" s="7" t="s">
        <v>262</v>
      </c>
      <c r="C4591" s="41">
        <v>637</v>
      </c>
      <c r="D4591" s="6">
        <v>45672</v>
      </c>
      <c r="E4591" s="3" t="str">
        <f ca="1">IF(Tabela2[[#This Row],[Dt Venc:]]&gt;TODAY(),"Em Aberto",IF(Tabela2[[#This Row],[D/venc]]="-","Enviado",IF(Tabela2[[#This Row],[Dt Venc:]]=TODAY(),"Vence Hoje","Vencida")))</f>
        <v>Enviado</v>
      </c>
      <c r="F4591" s="3" t="str">
        <f ca="1">IF(G4591=1,"-",Tabela2[[#This Row],[Dt Venc:]]-TODAY())</f>
        <v>-</v>
      </c>
      <c r="G4591" s="3">
        <v>1</v>
      </c>
      <c r="H4591" s="3"/>
    </row>
    <row r="4592" spans="1:8" hidden="1">
      <c r="A4592" s="3">
        <v>5925</v>
      </c>
      <c r="B4592" s="7" t="s">
        <v>586</v>
      </c>
      <c r="C4592" s="41">
        <v>450</v>
      </c>
      <c r="D4592" s="6">
        <v>45672</v>
      </c>
      <c r="E4592" s="3" t="str">
        <f ca="1">IF(Tabela2[[#This Row],[Dt Venc:]]&gt;TODAY(),"Em Aberto",IF(Tabela2[[#This Row],[D/venc]]="-","Enviado",IF(Tabela2[[#This Row],[Dt Venc:]]=TODAY(),"Vence Hoje","Vencida")))</f>
        <v>Enviado</v>
      </c>
      <c r="F4592" s="3" t="str">
        <f ca="1">IF(G4592=1,"-",Tabela2[[#This Row],[Dt Venc:]]-TODAY())</f>
        <v>-</v>
      </c>
      <c r="G4592" s="3">
        <v>1</v>
      </c>
      <c r="H4592" s="3"/>
    </row>
    <row r="4593" spans="1:8" hidden="1">
      <c r="A4593" s="3">
        <v>258684</v>
      </c>
      <c r="B4593" s="7" t="s">
        <v>49</v>
      </c>
      <c r="C4593" s="41">
        <v>1716.66</v>
      </c>
      <c r="D4593" s="6">
        <v>45672</v>
      </c>
      <c r="E4593" s="3" t="str">
        <f ca="1">IF(Tabela2[[#This Row],[Dt Venc:]]&gt;TODAY(),"Em Aberto",IF(Tabela2[[#This Row],[D/venc]]="-","Enviado",IF(Tabela2[[#This Row],[Dt Venc:]]=TODAY(),"Vence Hoje","Vencida")))</f>
        <v>Enviado</v>
      </c>
      <c r="F4593" s="3" t="str">
        <f ca="1">IF(G4593=1,"-",Tabela2[[#This Row],[Dt Venc:]]-TODAY())</f>
        <v>-</v>
      </c>
      <c r="G4593" s="3">
        <v>1</v>
      </c>
      <c r="H4593" s="3"/>
    </row>
    <row r="4594" spans="1:8" hidden="1">
      <c r="A4594" s="3">
        <v>155695</v>
      </c>
      <c r="B4594" s="7" t="s">
        <v>486</v>
      </c>
      <c r="C4594" s="41">
        <v>1722</v>
      </c>
      <c r="D4594" s="6">
        <v>45672</v>
      </c>
      <c r="E4594" s="3" t="str">
        <f ca="1">IF(Tabela2[[#This Row],[Dt Venc:]]&gt;TODAY(),"Em Aberto",IF(Tabela2[[#This Row],[D/venc]]="-","Enviado",IF(Tabela2[[#This Row],[Dt Venc:]]=TODAY(),"Vence Hoje","Vencida")))</f>
        <v>Enviado</v>
      </c>
      <c r="F4594" s="3" t="str">
        <f ca="1">IF(G4594=1,"-",Tabela2[[#This Row],[Dt Venc:]]-TODAY())</f>
        <v>-</v>
      </c>
      <c r="G4594" s="3">
        <v>1</v>
      </c>
      <c r="H4594" s="3"/>
    </row>
    <row r="4595" spans="1:8" hidden="1">
      <c r="A4595" s="3">
        <v>17621</v>
      </c>
      <c r="B4595" s="7" t="s">
        <v>75</v>
      </c>
      <c r="C4595" s="41">
        <v>1900</v>
      </c>
      <c r="D4595" s="6">
        <v>45672</v>
      </c>
      <c r="E4595" s="3" t="str">
        <f ca="1">IF(Tabela2[[#This Row],[Dt Venc:]]&gt;TODAY(),"Em Aberto",IF(Tabela2[[#This Row],[D/venc]]="-","Enviado",IF(Tabela2[[#This Row],[Dt Venc:]]=TODAY(),"Vence Hoje","Vencida")))</f>
        <v>Enviado</v>
      </c>
      <c r="F4595" s="3" t="str">
        <f ca="1">IF(G4595=1,"-",Tabela2[[#This Row],[Dt Venc:]]-TODAY())</f>
        <v>-</v>
      </c>
      <c r="G4595" s="3">
        <v>1</v>
      </c>
      <c r="H4595" s="3"/>
    </row>
    <row r="4596" spans="1:8" hidden="1">
      <c r="A4596" s="3">
        <v>1185</v>
      </c>
      <c r="B4596" s="7" t="s">
        <v>155</v>
      </c>
      <c r="C4596" s="41">
        <v>12950</v>
      </c>
      <c r="D4596" s="6">
        <v>45672</v>
      </c>
      <c r="E4596" s="3" t="str">
        <f ca="1">IF(Tabela2[[#This Row],[Dt Venc:]]&gt;TODAY(),"Em Aberto",IF(Tabela2[[#This Row],[D/venc]]="-","Enviado",IF(Tabela2[[#This Row],[Dt Venc:]]=TODAY(),"Vence Hoje","Vencida")))</f>
        <v>Enviado</v>
      </c>
      <c r="F4596" s="3" t="str">
        <f ca="1">IF(G4596=1,"-",Tabela2[[#This Row],[Dt Venc:]]-TODAY())</f>
        <v>-</v>
      </c>
      <c r="G4596" s="3">
        <v>1</v>
      </c>
      <c r="H4596" s="3"/>
    </row>
    <row r="4597" spans="1:8" hidden="1">
      <c r="A4597" s="3">
        <v>26033</v>
      </c>
      <c r="B4597" s="7" t="s">
        <v>248</v>
      </c>
      <c r="C4597" s="41">
        <v>2189.83</v>
      </c>
      <c r="D4597" s="6">
        <v>45672</v>
      </c>
      <c r="E4597" s="3" t="str">
        <f ca="1">IF(Tabela2[[#This Row],[Dt Venc:]]&gt;TODAY(),"Em Aberto",IF(Tabela2[[#This Row],[D/venc]]="-","Enviado",IF(Tabela2[[#This Row],[Dt Venc:]]=TODAY(),"Vence Hoje","Vencida")))</f>
        <v>Enviado</v>
      </c>
      <c r="F4597" s="3" t="str">
        <f ca="1">IF(G4597=1,"-",Tabela2[[#This Row],[Dt Venc:]]-TODAY())</f>
        <v>-</v>
      </c>
      <c r="G4597" s="3">
        <v>1</v>
      </c>
      <c r="H4597" s="3"/>
    </row>
    <row r="4598" spans="1:8" hidden="1">
      <c r="A4598" s="3">
        <v>26032</v>
      </c>
      <c r="B4598" s="7" t="s">
        <v>248</v>
      </c>
      <c r="C4598" s="41">
        <v>1783.15</v>
      </c>
      <c r="D4598" s="6">
        <v>45672</v>
      </c>
      <c r="E4598" s="3" t="str">
        <f ca="1">IF(Tabela2[[#This Row],[Dt Venc:]]&gt;TODAY(),"Em Aberto",IF(Tabela2[[#This Row],[D/venc]]="-","Enviado",IF(Tabela2[[#This Row],[Dt Venc:]]=TODAY(),"Vence Hoje","Vencida")))</f>
        <v>Enviado</v>
      </c>
      <c r="F4598" s="3" t="str">
        <f ca="1">IF(G4598=1,"-",Tabela2[[#This Row],[Dt Venc:]]-TODAY())</f>
        <v>-</v>
      </c>
      <c r="G4598" s="3">
        <v>1</v>
      </c>
      <c r="H4598" s="3"/>
    </row>
    <row r="4599" spans="1:8" hidden="1">
      <c r="A4599" s="3">
        <v>26036</v>
      </c>
      <c r="B4599" s="7" t="s">
        <v>248</v>
      </c>
      <c r="C4599" s="41">
        <v>1783.15</v>
      </c>
      <c r="D4599" s="6">
        <v>45672</v>
      </c>
      <c r="E4599" s="3" t="str">
        <f ca="1">IF(Tabela2[[#This Row],[Dt Venc:]]&gt;TODAY(),"Em Aberto",IF(Tabela2[[#This Row],[D/venc]]="-","Enviado",IF(Tabela2[[#This Row],[Dt Venc:]]=TODAY(),"Vence Hoje","Vencida")))</f>
        <v>Enviado</v>
      </c>
      <c r="F4599" s="3" t="str">
        <f ca="1">IF(G4599=1,"-",Tabela2[[#This Row],[Dt Venc:]]-TODAY())</f>
        <v>-</v>
      </c>
      <c r="G4599" s="3">
        <v>1</v>
      </c>
      <c r="H4599" s="3"/>
    </row>
    <row r="4600" spans="1:8" hidden="1">
      <c r="A4600" s="3">
        <v>26037</v>
      </c>
      <c r="B4600" s="7" t="s">
        <v>248</v>
      </c>
      <c r="C4600" s="41">
        <v>1182.51</v>
      </c>
      <c r="D4600" s="6">
        <v>45672</v>
      </c>
      <c r="E4600" s="3" t="str">
        <f ca="1">IF(Tabela2[[#This Row],[Dt Venc:]]&gt;TODAY(),"Em Aberto",IF(Tabela2[[#This Row],[D/venc]]="-","Enviado",IF(Tabela2[[#This Row],[Dt Venc:]]=TODAY(),"Vence Hoje","Vencida")))</f>
        <v>Enviado</v>
      </c>
      <c r="F4600" s="3" t="str">
        <f ca="1">IF(G4600=1,"-",Tabela2[[#This Row],[Dt Venc:]]-TODAY())</f>
        <v>-</v>
      </c>
      <c r="G4600" s="3">
        <v>1</v>
      </c>
      <c r="H4600" s="3"/>
    </row>
    <row r="4601" spans="1:8" hidden="1">
      <c r="A4601" s="3">
        <v>35407</v>
      </c>
      <c r="B4601" s="7" t="s">
        <v>70</v>
      </c>
      <c r="C4601" s="41">
        <v>743.86</v>
      </c>
      <c r="D4601" s="6">
        <v>45672</v>
      </c>
      <c r="E4601" s="3" t="str">
        <f ca="1">IF(Tabela2[[#This Row],[Dt Venc:]]&gt;TODAY(),"Em Aberto",IF(Tabela2[[#This Row],[D/venc]]="-","Enviado",IF(Tabela2[[#This Row],[Dt Venc:]]=TODAY(),"Vence Hoje","Vencida")))</f>
        <v>Enviado</v>
      </c>
      <c r="F4601" s="3" t="str">
        <f ca="1">IF(G4601=1,"-",Tabela2[[#This Row],[Dt Venc:]]-TODAY())</f>
        <v>-</v>
      </c>
      <c r="G4601" s="3">
        <v>1</v>
      </c>
      <c r="H4601" s="3"/>
    </row>
    <row r="4602" spans="1:8" hidden="1">
      <c r="A4602" s="3">
        <v>2809</v>
      </c>
      <c r="B4602" s="7" t="s">
        <v>198</v>
      </c>
      <c r="C4602" s="41">
        <v>650</v>
      </c>
      <c r="D4602" s="6">
        <v>45672</v>
      </c>
      <c r="E4602" s="3" t="str">
        <f ca="1">IF(Tabela2[[#This Row],[Dt Venc:]]&gt;TODAY(),"Em Aberto",IF(Tabela2[[#This Row],[D/venc]]="-","Enviado",IF(Tabela2[[#This Row],[Dt Venc:]]=TODAY(),"Vence Hoje","Vencida")))</f>
        <v>Enviado</v>
      </c>
      <c r="F4602" s="3" t="str">
        <f ca="1">IF(G4602=1,"-",Tabela2[[#This Row],[Dt Venc:]]-TODAY())</f>
        <v>-</v>
      </c>
      <c r="G4602" s="3">
        <v>1</v>
      </c>
      <c r="H4602" s="3"/>
    </row>
    <row r="4603" spans="1:8" hidden="1">
      <c r="A4603" s="3">
        <v>161832</v>
      </c>
      <c r="B4603" s="7" t="s">
        <v>634</v>
      </c>
      <c r="C4603" s="41">
        <v>659.36</v>
      </c>
      <c r="D4603" s="6">
        <v>45672</v>
      </c>
      <c r="E4603" s="3" t="str">
        <f ca="1">IF(Tabela2[[#This Row],[Dt Venc:]]&gt;TODAY(),"Em Aberto",IF(Tabela2[[#This Row],[D/venc]]="-","Enviado",IF(Tabela2[[#This Row],[Dt Venc:]]=TODAY(),"Vence Hoje","Vencida")))</f>
        <v>Enviado</v>
      </c>
      <c r="F4603" s="3" t="str">
        <f ca="1">IF(G4603=1,"-",Tabela2[[#This Row],[Dt Venc:]]-TODAY())</f>
        <v>-</v>
      </c>
      <c r="G4603" s="3">
        <v>1</v>
      </c>
      <c r="H4603" s="3"/>
    </row>
    <row r="4604" spans="1:8" hidden="1">
      <c r="A4604" s="3">
        <v>430629</v>
      </c>
      <c r="B4604" s="7" t="s">
        <v>89</v>
      </c>
      <c r="C4604">
        <v>228.13</v>
      </c>
      <c r="D4604" s="6">
        <v>45672</v>
      </c>
      <c r="E4604" s="3" t="str">
        <f ca="1">IF(Tabela2[[#This Row],[Dt Venc:]]&gt;TODAY(),"Em Aberto",IF(Tabela2[[#This Row],[D/venc]]="-","Enviado",IF(Tabela2[[#This Row],[Dt Venc:]]=TODAY(),"Vence Hoje","Vencida")))</f>
        <v>Enviado</v>
      </c>
      <c r="F4604" s="3" t="str">
        <f ca="1">IF(G4604=1,"-",Tabela2[[#This Row],[Dt Venc:]]-TODAY())</f>
        <v>-</v>
      </c>
      <c r="G4604" s="3">
        <v>1</v>
      </c>
      <c r="H4604" s="3"/>
    </row>
    <row r="4605" spans="1:8" hidden="1">
      <c r="A4605" s="3">
        <v>155207</v>
      </c>
      <c r="B4605" s="7" t="s">
        <v>77</v>
      </c>
      <c r="C4605">
        <v>433.33</v>
      </c>
      <c r="D4605" s="6">
        <v>45672</v>
      </c>
      <c r="E4605" s="3" t="str">
        <f ca="1">IF(Tabela2[[#This Row],[Dt Venc:]]&gt;TODAY(),"Em Aberto",IF(Tabela2[[#This Row],[D/venc]]="-","Enviado",IF(Tabela2[[#This Row],[Dt Venc:]]=TODAY(),"Vence Hoje","Vencida")))</f>
        <v>Enviado</v>
      </c>
      <c r="F4605" s="3" t="str">
        <f ca="1">IF(G4605=1,"-",Tabela2[[#This Row],[Dt Venc:]]-TODAY())</f>
        <v>-</v>
      </c>
      <c r="G4605" s="3">
        <v>1</v>
      </c>
      <c r="H4605" s="3"/>
    </row>
    <row r="4606" spans="1:8" hidden="1">
      <c r="A4606" s="3">
        <v>1266178</v>
      </c>
      <c r="B4606" s="7" t="s">
        <v>64</v>
      </c>
      <c r="C4606">
        <v>1726.66</v>
      </c>
      <c r="D4606" s="6">
        <v>45672</v>
      </c>
      <c r="E4606" s="3" t="str">
        <f ca="1">IF(Tabela2[[#This Row],[Dt Venc:]]&gt;TODAY(),"Em Aberto",IF(Tabela2[[#This Row],[D/venc]]="-","Enviado",IF(Tabela2[[#This Row],[Dt Venc:]]=TODAY(),"Vence Hoje","Vencida")))</f>
        <v>Enviado</v>
      </c>
      <c r="F4606" s="3" t="str">
        <f ca="1">IF(G4606=1,"-",Tabela2[[#This Row],[Dt Venc:]]-TODAY())</f>
        <v>-</v>
      </c>
      <c r="G4606" s="3">
        <v>1</v>
      </c>
      <c r="H4606" s="3"/>
    </row>
    <row r="4607" spans="1:8" hidden="1">
      <c r="A4607" s="3">
        <v>375211</v>
      </c>
      <c r="B4607" s="7" t="s">
        <v>39</v>
      </c>
      <c r="C4607">
        <v>416.73</v>
      </c>
      <c r="D4607" s="6">
        <v>45672</v>
      </c>
      <c r="E4607" s="3" t="str">
        <f ca="1">IF(Tabela2[[#This Row],[Dt Venc:]]&gt;TODAY(),"Em Aberto",IF(Tabela2[[#This Row],[D/venc]]="-","Enviado",IF(Tabela2[[#This Row],[Dt Venc:]]=TODAY(),"Vence Hoje","Vencida")))</f>
        <v>Enviado</v>
      </c>
      <c r="F4607" s="3" t="str">
        <f ca="1">IF(G4607=1,"-",Tabela2[[#This Row],[Dt Venc:]]-TODAY())</f>
        <v>-</v>
      </c>
      <c r="G4607" s="3">
        <v>1</v>
      </c>
      <c r="H4607" s="3"/>
    </row>
    <row r="4608" spans="1:8" hidden="1">
      <c r="A4608" s="3">
        <v>18504</v>
      </c>
      <c r="B4608" s="7" t="s">
        <v>106</v>
      </c>
      <c r="C4608">
        <v>533.33000000000004</v>
      </c>
      <c r="D4608" s="6">
        <v>45672</v>
      </c>
      <c r="E4608" s="3" t="str">
        <f ca="1">IF(Tabela2[[#This Row],[Dt Venc:]]&gt;TODAY(),"Em Aberto",IF(Tabela2[[#This Row],[D/venc]]="-","Enviado",IF(Tabela2[[#This Row],[Dt Venc:]]=TODAY(),"Vence Hoje","Vencida")))</f>
        <v>Enviado</v>
      </c>
      <c r="F4608" s="3" t="str">
        <f ca="1">IF(G4608=1,"-",Tabela2[[#This Row],[Dt Venc:]]-TODAY())</f>
        <v>-</v>
      </c>
      <c r="G4608" s="3">
        <v>1</v>
      </c>
      <c r="H4608" s="3"/>
    </row>
    <row r="4609" spans="1:8" hidden="1">
      <c r="A4609" s="3">
        <v>330499</v>
      </c>
      <c r="B4609" s="7" t="s">
        <v>77</v>
      </c>
      <c r="C4609">
        <v>1736.931</v>
      </c>
      <c r="D4609" s="6">
        <v>45672</v>
      </c>
      <c r="E4609" s="3" t="str">
        <f ca="1">IF(Tabela2[[#This Row],[Dt Venc:]]&gt;TODAY(),"Em Aberto",IF(Tabela2[[#This Row],[D/venc]]="-","Enviado",IF(Tabela2[[#This Row],[Dt Venc:]]=TODAY(),"Vence Hoje","Vencida")))</f>
        <v>Enviado</v>
      </c>
      <c r="F4609" s="3" t="str">
        <f ca="1">IF(G4609=1,"-",Tabela2[[#This Row],[Dt Venc:]]-TODAY())</f>
        <v>-</v>
      </c>
      <c r="G4609" s="3">
        <v>1</v>
      </c>
      <c r="H4609" s="3"/>
    </row>
    <row r="4610" spans="1:8" hidden="1">
      <c r="A4610" s="3">
        <v>305359</v>
      </c>
      <c r="B4610" s="7" t="s">
        <v>628</v>
      </c>
      <c r="C4610">
        <v>341.23</v>
      </c>
      <c r="D4610" s="6">
        <v>45672</v>
      </c>
      <c r="E4610" s="3" t="str">
        <f ca="1">IF(Tabela2[[#This Row],[Dt Venc:]]&gt;TODAY(),"Em Aberto",IF(Tabela2[[#This Row],[D/venc]]="-","Enviado",IF(Tabela2[[#This Row],[Dt Venc:]]=TODAY(),"Vence Hoje","Vencida")))</f>
        <v>Enviado</v>
      </c>
      <c r="F4610" s="3" t="str">
        <f ca="1">IF(G4610=1,"-",Tabela2[[#This Row],[Dt Venc:]]-TODAY())</f>
        <v>-</v>
      </c>
      <c r="G4610" s="3">
        <v>1</v>
      </c>
      <c r="H4610" s="3"/>
    </row>
    <row r="4611" spans="1:8" hidden="1">
      <c r="A4611" s="3">
        <v>2914</v>
      </c>
      <c r="B4611" s="7" t="s">
        <v>58</v>
      </c>
      <c r="C4611">
        <v>717.8</v>
      </c>
      <c r="D4611" s="6">
        <v>45672</v>
      </c>
      <c r="E4611" s="3" t="str">
        <f ca="1">IF(Tabela2[[#This Row],[Dt Venc:]]&gt;TODAY(),"Em Aberto",IF(Tabela2[[#This Row],[D/venc]]="-","Enviado",IF(Tabela2[[#This Row],[Dt Venc:]]=TODAY(),"Vence Hoje","Vencida")))</f>
        <v>Enviado</v>
      </c>
      <c r="F4611" s="3" t="str">
        <f ca="1">IF(G4611=1,"-",Tabela2[[#This Row],[Dt Venc:]]-TODAY())</f>
        <v>-</v>
      </c>
      <c r="G4611" s="3">
        <v>1</v>
      </c>
      <c r="H4611" s="3"/>
    </row>
    <row r="4612" spans="1:8" hidden="1">
      <c r="A4612" s="3">
        <v>1429</v>
      </c>
      <c r="B4612" s="7" t="s">
        <v>352</v>
      </c>
      <c r="C4612">
        <v>20</v>
      </c>
      <c r="D4612" s="6">
        <v>45672</v>
      </c>
      <c r="E4612" s="3" t="str">
        <f ca="1">IF(Tabela2[[#This Row],[Dt Venc:]]&gt;TODAY(),"Em Aberto",IF(Tabela2[[#This Row],[D/venc]]="-","Enviado",IF(Tabela2[[#This Row],[Dt Venc:]]=TODAY(),"Vence Hoje","Vencida")))</f>
        <v>Enviado</v>
      </c>
      <c r="F4612" s="3" t="str">
        <f ca="1">IF(G4612=1,"-",Tabela2[[#This Row],[Dt Venc:]]-TODAY())</f>
        <v>-</v>
      </c>
      <c r="G4612" s="3">
        <v>1</v>
      </c>
      <c r="H4612" s="3"/>
    </row>
    <row r="4613" spans="1:8" hidden="1">
      <c r="A4613" s="3">
        <v>1816</v>
      </c>
      <c r="B4613" s="7" t="s">
        <v>352</v>
      </c>
      <c r="C4613">
        <v>400</v>
      </c>
      <c r="D4613" s="6">
        <v>45672</v>
      </c>
      <c r="E4613" s="3" t="str">
        <f ca="1">IF(Tabela2[[#This Row],[Dt Venc:]]&gt;TODAY(),"Em Aberto",IF(Tabela2[[#This Row],[D/venc]]="-","Enviado",IF(Tabela2[[#This Row],[Dt Venc:]]=TODAY(),"Vence Hoje","Vencida")))</f>
        <v>Enviado</v>
      </c>
      <c r="F4613" s="3" t="str">
        <f ca="1">IF(G4613=1,"-",Tabela2[[#This Row],[Dt Venc:]]-TODAY())</f>
        <v>-</v>
      </c>
      <c r="G4613" s="3">
        <v>1</v>
      </c>
      <c r="H4613" s="3"/>
    </row>
    <row r="4614" spans="1:8" hidden="1">
      <c r="A4614" s="3">
        <v>305359</v>
      </c>
      <c r="B4614" s="7" t="s">
        <v>635</v>
      </c>
      <c r="C4614">
        <v>341.23</v>
      </c>
      <c r="D4614" s="6">
        <v>45672</v>
      </c>
      <c r="E4614" s="3" t="str">
        <f ca="1">IF(Tabela2[[#This Row],[Dt Venc:]]&gt;TODAY(),"Em Aberto",IF(Tabela2[[#This Row],[D/venc]]="-","Enviado",IF(Tabela2[[#This Row],[Dt Venc:]]=TODAY(),"Vence Hoje","Vencida")))</f>
        <v>Enviado</v>
      </c>
      <c r="F4614" s="3" t="str">
        <f ca="1">IF(G4614=1,"-",Tabela2[[#This Row],[Dt Venc:]]-TODAY())</f>
        <v>-</v>
      </c>
      <c r="G4614" s="3">
        <v>1</v>
      </c>
      <c r="H4614" s="3"/>
    </row>
    <row r="4615" spans="1:8" hidden="1">
      <c r="A4615" s="3">
        <v>2681879</v>
      </c>
      <c r="B4615" s="7" t="s">
        <v>636</v>
      </c>
      <c r="C4615">
        <v>1909</v>
      </c>
      <c r="D4615" s="6">
        <v>45672</v>
      </c>
      <c r="E4615" s="3" t="str">
        <f ca="1">IF(Tabela2[[#This Row],[Dt Venc:]]&gt;TODAY(),"Em Aberto",IF(Tabela2[[#This Row],[D/venc]]="-","Enviado",IF(Tabela2[[#This Row],[Dt Venc:]]=TODAY(),"Vence Hoje","Vencida")))</f>
        <v>Enviado</v>
      </c>
      <c r="F4615" s="3" t="str">
        <f ca="1">IF(G4615=1,"-",Tabela2[[#This Row],[Dt Venc:]]-TODAY())</f>
        <v>-</v>
      </c>
      <c r="G4615" s="3">
        <v>1</v>
      </c>
      <c r="H4615" s="3"/>
    </row>
    <row r="4616" spans="1:8" hidden="1">
      <c r="A4616" s="3">
        <v>2682708</v>
      </c>
      <c r="B4616" s="7" t="s">
        <v>636</v>
      </c>
      <c r="C4616">
        <v>1909</v>
      </c>
      <c r="D4616" s="6">
        <v>45672</v>
      </c>
      <c r="E4616" s="3" t="str">
        <f ca="1">IF(Tabela2[[#This Row],[Dt Venc:]]&gt;TODAY(),"Em Aberto",IF(Tabela2[[#This Row],[D/venc]]="-","Enviado",IF(Tabela2[[#This Row],[Dt Venc:]]=TODAY(),"Vence Hoje","Vencida")))</f>
        <v>Enviado</v>
      </c>
      <c r="F4616" s="3" t="str">
        <f ca="1">IF(G4616=1,"-",Tabela2[[#This Row],[Dt Venc:]]-TODAY())</f>
        <v>-</v>
      </c>
      <c r="G4616" s="3">
        <v>1</v>
      </c>
      <c r="H4616" s="3"/>
    </row>
    <row r="4617" spans="1:8" hidden="1">
      <c r="A4617" s="3">
        <v>2682517</v>
      </c>
      <c r="B4617" s="7" t="s">
        <v>636</v>
      </c>
      <c r="C4617">
        <v>2079.1999999999998</v>
      </c>
      <c r="D4617" s="6">
        <v>45672</v>
      </c>
      <c r="E4617" s="3" t="str">
        <f ca="1">IF(Tabela2[[#This Row],[Dt Venc:]]&gt;TODAY(),"Em Aberto",IF(Tabela2[[#This Row],[D/venc]]="-","Enviado",IF(Tabela2[[#This Row],[Dt Venc:]]=TODAY(),"Vence Hoje","Vencida")))</f>
        <v>Enviado</v>
      </c>
      <c r="F4617" s="3" t="str">
        <f ca="1">IF(G4617=1,"-",Tabela2[[#This Row],[Dt Venc:]]-TODAY())</f>
        <v>-</v>
      </c>
      <c r="G4617" s="3">
        <v>1</v>
      </c>
      <c r="H4617" s="3"/>
    </row>
    <row r="4618" spans="1:8" hidden="1">
      <c r="A4618" s="3">
        <v>2682950</v>
      </c>
      <c r="B4618" s="7" t="s">
        <v>636</v>
      </c>
      <c r="C4618">
        <v>2079.1999999999998</v>
      </c>
      <c r="D4618" s="6">
        <v>45672</v>
      </c>
      <c r="E4618" s="3" t="str">
        <f ca="1">IF(Tabela2[[#This Row],[Dt Venc:]]&gt;TODAY(),"Em Aberto",IF(Tabela2[[#This Row],[D/venc]]="-","Enviado",IF(Tabela2[[#This Row],[Dt Venc:]]=TODAY(),"Vence Hoje","Vencida")))</f>
        <v>Enviado</v>
      </c>
      <c r="F4618" s="3" t="str">
        <f ca="1">IF(G4618=1,"-",Tabela2[[#This Row],[Dt Venc:]]-TODAY())</f>
        <v>-</v>
      </c>
      <c r="G4618" s="3">
        <v>1</v>
      </c>
      <c r="H4618" s="3"/>
    </row>
    <row r="4619" spans="1:8" hidden="1">
      <c r="A4619" s="3">
        <v>2682433</v>
      </c>
      <c r="B4619" s="7" t="s">
        <v>636</v>
      </c>
      <c r="C4619">
        <v>1909</v>
      </c>
      <c r="D4619" s="6">
        <v>45672</v>
      </c>
      <c r="E4619" s="3" t="str">
        <f ca="1">IF(Tabela2[[#This Row],[Dt Venc:]]&gt;TODAY(),"Em Aberto",IF(Tabela2[[#This Row],[D/venc]]="-","Enviado",IF(Tabela2[[#This Row],[Dt Venc:]]=TODAY(),"Vence Hoje","Vencida")))</f>
        <v>Enviado</v>
      </c>
      <c r="F4619" s="3" t="str">
        <f ca="1">IF(G4619=1,"-",Tabela2[[#This Row],[Dt Venc:]]-TODAY())</f>
        <v>-</v>
      </c>
      <c r="G4619" s="3">
        <v>1</v>
      </c>
      <c r="H4619" s="3"/>
    </row>
    <row r="4620" spans="1:8" hidden="1">
      <c r="A4620" s="3">
        <v>2682380</v>
      </c>
      <c r="B4620" s="7" t="s">
        <v>636</v>
      </c>
      <c r="C4620">
        <v>2079.1999999999998</v>
      </c>
      <c r="D4620" s="6">
        <v>45672</v>
      </c>
      <c r="E4620" s="3" t="str">
        <f ca="1">IF(Tabela2[[#This Row],[Dt Venc:]]&gt;TODAY(),"Em Aberto",IF(Tabela2[[#This Row],[D/venc]]="-","Enviado",IF(Tabela2[[#This Row],[Dt Venc:]]=TODAY(),"Vence Hoje","Vencida")))</f>
        <v>Enviado</v>
      </c>
      <c r="F4620" s="3" t="str">
        <f ca="1">IF(G4620=1,"-",Tabela2[[#This Row],[Dt Venc:]]-TODAY())</f>
        <v>-</v>
      </c>
      <c r="G4620" s="3">
        <v>1</v>
      </c>
      <c r="H4620" s="3"/>
    </row>
    <row r="4621" spans="1:8" hidden="1">
      <c r="A4621" s="3">
        <v>2682297</v>
      </c>
      <c r="B4621" s="7" t="s">
        <v>636</v>
      </c>
      <c r="C4621">
        <v>2079.1999999999998</v>
      </c>
      <c r="D4621" s="6">
        <v>45672</v>
      </c>
      <c r="E4621" s="3" t="str">
        <f ca="1">IF(Tabela2[[#This Row],[Dt Venc:]]&gt;TODAY(),"Em Aberto",IF(Tabela2[[#This Row],[D/venc]]="-","Enviado",IF(Tabela2[[#This Row],[Dt Venc:]]=TODAY(),"Vence Hoje","Vencida")))</f>
        <v>Enviado</v>
      </c>
      <c r="F4621" s="3" t="str">
        <f ca="1">IF(G4621=1,"-",Tabela2[[#This Row],[Dt Venc:]]-TODAY())</f>
        <v>-</v>
      </c>
      <c r="G4621" s="3">
        <v>1</v>
      </c>
      <c r="H4621" s="3"/>
    </row>
    <row r="4622" spans="1:8" hidden="1">
      <c r="A4622" s="3">
        <v>2682285</v>
      </c>
      <c r="B4622" s="7" t="s">
        <v>636</v>
      </c>
      <c r="C4622">
        <v>1909</v>
      </c>
      <c r="D4622" s="6">
        <v>45672</v>
      </c>
      <c r="E4622" s="3" t="str">
        <f ca="1">IF(Tabela2[[#This Row],[Dt Venc:]]&gt;TODAY(),"Em Aberto",IF(Tabela2[[#This Row],[D/venc]]="-","Enviado",IF(Tabela2[[#This Row],[Dt Venc:]]=TODAY(),"Vence Hoje","Vencida")))</f>
        <v>Enviado</v>
      </c>
      <c r="F4622" s="3" t="str">
        <f ca="1">IF(G4622=1,"-",Tabela2[[#This Row],[Dt Venc:]]-TODAY())</f>
        <v>-</v>
      </c>
      <c r="G4622" s="3">
        <v>1</v>
      </c>
      <c r="H4622" s="3"/>
    </row>
    <row r="4623" spans="1:8" hidden="1">
      <c r="A4623" s="3">
        <v>2681698</v>
      </c>
      <c r="B4623" s="7" t="s">
        <v>636</v>
      </c>
      <c r="C4623">
        <v>1909</v>
      </c>
      <c r="D4623" s="6">
        <v>45672</v>
      </c>
      <c r="E4623" s="3" t="str">
        <f ca="1">IF(Tabela2[[#This Row],[Dt Venc:]]&gt;TODAY(),"Em Aberto",IF(Tabela2[[#This Row],[D/venc]]="-","Enviado",IF(Tabela2[[#This Row],[Dt Venc:]]=TODAY(),"Vence Hoje","Vencida")))</f>
        <v>Enviado</v>
      </c>
      <c r="F4623" s="3" t="str">
        <f ca="1">IF(G4623=1,"-",Tabela2[[#This Row],[Dt Venc:]]-TODAY())</f>
        <v>-</v>
      </c>
      <c r="G4623" s="3">
        <v>1</v>
      </c>
      <c r="H4623" s="3"/>
    </row>
    <row r="4624" spans="1:8" hidden="1">
      <c r="A4624" s="3">
        <v>2682136</v>
      </c>
      <c r="B4624" s="7" t="s">
        <v>636</v>
      </c>
      <c r="C4624">
        <v>2079.1999999999998</v>
      </c>
      <c r="D4624" s="6">
        <v>45672</v>
      </c>
      <c r="E4624" s="3" t="str">
        <f ca="1">IF(Tabela2[[#This Row],[Dt Venc:]]&gt;TODAY(),"Em Aberto",IF(Tabela2[[#This Row],[D/venc]]="-","Enviado",IF(Tabela2[[#This Row],[Dt Venc:]]=TODAY(),"Vence Hoje","Vencida")))</f>
        <v>Enviado</v>
      </c>
      <c r="F4624" s="3" t="str">
        <f ca="1">IF(G4624=1,"-",Tabela2[[#This Row],[Dt Venc:]]-TODAY())</f>
        <v>-</v>
      </c>
      <c r="G4624" s="3">
        <v>1</v>
      </c>
      <c r="H4624" s="3"/>
    </row>
    <row r="4625" spans="1:8" hidden="1">
      <c r="A4625" s="3">
        <v>2682076</v>
      </c>
      <c r="B4625" s="7" t="s">
        <v>636</v>
      </c>
      <c r="C4625">
        <v>1909</v>
      </c>
      <c r="D4625" s="6">
        <v>45672</v>
      </c>
      <c r="E4625" s="3" t="str">
        <f ca="1">IF(Tabela2[[#This Row],[Dt Venc:]]&gt;TODAY(),"Em Aberto",IF(Tabela2[[#This Row],[D/venc]]="-","Enviado",IF(Tabela2[[#This Row],[Dt Venc:]]=TODAY(),"Vence Hoje","Vencida")))</f>
        <v>Enviado</v>
      </c>
      <c r="F4625" s="3" t="str">
        <f ca="1">IF(G4625=1,"-",Tabela2[[#This Row],[Dt Venc:]]-TODAY())</f>
        <v>-</v>
      </c>
      <c r="G4625" s="3">
        <v>1</v>
      </c>
      <c r="H4625" s="3"/>
    </row>
    <row r="4626" spans="1:8" hidden="1">
      <c r="A4626" s="3">
        <v>2682082</v>
      </c>
      <c r="B4626" s="7" t="s">
        <v>636</v>
      </c>
      <c r="C4626">
        <v>1909</v>
      </c>
      <c r="D4626" s="6">
        <v>45672</v>
      </c>
      <c r="E4626" s="3" t="str">
        <f ca="1">IF(Tabela2[[#This Row],[Dt Venc:]]&gt;TODAY(),"Em Aberto",IF(Tabela2[[#This Row],[D/venc]]="-","Enviado",IF(Tabela2[[#This Row],[Dt Venc:]]=TODAY(),"Vence Hoje","Vencida")))</f>
        <v>Enviado</v>
      </c>
      <c r="F4626" s="3" t="str">
        <f ca="1">IF(G4626=1,"-",Tabela2[[#This Row],[Dt Venc:]]-TODAY())</f>
        <v>-</v>
      </c>
      <c r="G4626" s="3">
        <v>1</v>
      </c>
      <c r="H4626" s="3"/>
    </row>
    <row r="4627" spans="1:8" hidden="1">
      <c r="A4627" s="3">
        <v>2682035</v>
      </c>
      <c r="B4627" s="7" t="s">
        <v>636</v>
      </c>
      <c r="C4627">
        <v>1909</v>
      </c>
      <c r="D4627" s="6">
        <v>45672</v>
      </c>
      <c r="E4627" s="3" t="str">
        <f ca="1">IF(Tabela2[[#This Row],[Dt Venc:]]&gt;TODAY(),"Em Aberto",IF(Tabela2[[#This Row],[D/venc]]="-","Enviado",IF(Tabela2[[#This Row],[Dt Venc:]]=TODAY(),"Vence Hoje","Vencida")))</f>
        <v>Enviado</v>
      </c>
      <c r="F4627" s="3" t="str">
        <f ca="1">IF(G4627=1,"-",Tabela2[[#This Row],[Dt Venc:]]-TODAY())</f>
        <v>-</v>
      </c>
      <c r="G4627" s="3">
        <v>1</v>
      </c>
      <c r="H4627" s="3"/>
    </row>
    <row r="4628" spans="1:8" hidden="1">
      <c r="A4628" s="3">
        <v>2681956</v>
      </c>
      <c r="B4628" s="7" t="s">
        <v>636</v>
      </c>
      <c r="C4628">
        <v>2079.1999999999998</v>
      </c>
      <c r="D4628" s="6">
        <v>45672</v>
      </c>
      <c r="E4628" s="3" t="str">
        <f ca="1">IF(Tabela2[[#This Row],[Dt Venc:]]&gt;TODAY(),"Em Aberto",IF(Tabela2[[#This Row],[D/venc]]="-","Enviado",IF(Tabela2[[#This Row],[Dt Venc:]]=TODAY(),"Vence Hoje","Vencida")))</f>
        <v>Enviado</v>
      </c>
      <c r="F4628" s="3" t="str">
        <f ca="1">IF(G4628=1,"-",Tabela2[[#This Row],[Dt Venc:]]-TODAY())</f>
        <v>-</v>
      </c>
      <c r="G4628" s="3">
        <v>1</v>
      </c>
      <c r="H4628" s="3"/>
    </row>
    <row r="4629" spans="1:8" hidden="1">
      <c r="A4629" s="3">
        <v>2681588</v>
      </c>
      <c r="B4629" s="7" t="s">
        <v>636</v>
      </c>
      <c r="C4629">
        <v>1909</v>
      </c>
      <c r="D4629" s="6">
        <v>45672</v>
      </c>
      <c r="E4629" s="3" t="str">
        <f ca="1">IF(Tabela2[[#This Row],[Dt Venc:]]&gt;TODAY(),"Em Aberto",IF(Tabela2[[#This Row],[D/venc]]="-","Enviado",IF(Tabela2[[#This Row],[Dt Venc:]]=TODAY(),"Vence Hoje","Vencida")))</f>
        <v>Enviado</v>
      </c>
      <c r="F4629" s="3" t="str">
        <f ca="1">IF(G4629=1,"-",Tabela2[[#This Row],[Dt Venc:]]-TODAY())</f>
        <v>-</v>
      </c>
      <c r="G4629" s="3">
        <v>1</v>
      </c>
      <c r="H4629" s="3"/>
    </row>
    <row r="4630" spans="1:8" hidden="1">
      <c r="A4630" s="3">
        <v>2684676</v>
      </c>
      <c r="B4630" s="7" t="s">
        <v>636</v>
      </c>
      <c r="C4630">
        <v>1909</v>
      </c>
      <c r="D4630" s="6">
        <v>45672</v>
      </c>
      <c r="E4630" s="3" t="str">
        <f ca="1">IF(Tabela2[[#This Row],[Dt Venc:]]&gt;TODAY(),"Em Aberto",IF(Tabela2[[#This Row],[D/venc]]="-","Enviado",IF(Tabela2[[#This Row],[Dt Venc:]]=TODAY(),"Vence Hoje","Vencida")))</f>
        <v>Enviado</v>
      </c>
      <c r="F4630" s="3" t="str">
        <f ca="1">IF(G4630=1,"-",Tabela2[[#This Row],[Dt Venc:]]-TODAY())</f>
        <v>-</v>
      </c>
      <c r="G4630" s="3">
        <v>1</v>
      </c>
      <c r="H4630" s="3"/>
    </row>
    <row r="4631" spans="1:8" hidden="1">
      <c r="A4631" s="3">
        <v>2685210</v>
      </c>
      <c r="B4631" s="7" t="s">
        <v>636</v>
      </c>
      <c r="C4631">
        <v>2079.1999999999998</v>
      </c>
      <c r="D4631" s="6">
        <v>45672</v>
      </c>
      <c r="E4631" s="3" t="str">
        <f ca="1">IF(Tabela2[[#This Row],[Dt Venc:]]&gt;TODAY(),"Em Aberto",IF(Tabela2[[#This Row],[D/venc]]="-","Enviado",IF(Tabela2[[#This Row],[Dt Venc:]]=TODAY(),"Vence Hoje","Vencida")))</f>
        <v>Enviado</v>
      </c>
      <c r="F4631" s="3" t="str">
        <f ca="1">IF(G4631=1,"-",Tabela2[[#This Row],[Dt Venc:]]-TODAY())</f>
        <v>-</v>
      </c>
      <c r="G4631" s="3">
        <v>1</v>
      </c>
      <c r="H4631" s="3"/>
    </row>
    <row r="4632" spans="1:8" hidden="1">
      <c r="A4632" s="3">
        <v>2684654</v>
      </c>
      <c r="B4632" s="7" t="s">
        <v>636</v>
      </c>
      <c r="C4632">
        <v>2079.1999999999998</v>
      </c>
      <c r="D4632" s="6">
        <v>45672</v>
      </c>
      <c r="E4632" s="3" t="str">
        <f ca="1">IF(Tabela2[[#This Row],[Dt Venc:]]&gt;TODAY(),"Em Aberto",IF(Tabela2[[#This Row],[D/venc]]="-","Enviado",IF(Tabela2[[#This Row],[Dt Venc:]]=TODAY(),"Vence Hoje","Vencida")))</f>
        <v>Enviado</v>
      </c>
      <c r="F4632" s="3" t="str">
        <f ca="1">IF(G4632=1,"-",Tabela2[[#This Row],[Dt Venc:]]-TODAY())</f>
        <v>-</v>
      </c>
      <c r="G4632" s="3">
        <v>1</v>
      </c>
      <c r="H4632" s="3"/>
    </row>
    <row r="4633" spans="1:8" hidden="1">
      <c r="A4633" s="3">
        <v>2684600</v>
      </c>
      <c r="B4633" s="7" t="s">
        <v>636</v>
      </c>
      <c r="C4633">
        <v>1909</v>
      </c>
      <c r="D4633" s="6">
        <v>45672</v>
      </c>
      <c r="E4633" s="3" t="str">
        <f ca="1">IF(Tabela2[[#This Row],[Dt Venc:]]&gt;TODAY(),"Em Aberto",IF(Tabela2[[#This Row],[D/venc]]="-","Enviado",IF(Tabela2[[#This Row],[Dt Venc:]]=TODAY(),"Vence Hoje","Vencida")))</f>
        <v>Enviado</v>
      </c>
      <c r="F4633" s="3" t="str">
        <f ca="1">IF(G4633=1,"-",Tabela2[[#This Row],[Dt Venc:]]-TODAY())</f>
        <v>-</v>
      </c>
      <c r="G4633" s="3">
        <v>1</v>
      </c>
      <c r="H4633" s="3"/>
    </row>
    <row r="4634" spans="1:8" hidden="1">
      <c r="A4634" s="3">
        <v>2684589</v>
      </c>
      <c r="B4634" s="7" t="s">
        <v>636</v>
      </c>
      <c r="C4634">
        <v>2079.1999999999998</v>
      </c>
      <c r="D4634" s="6">
        <v>45672</v>
      </c>
      <c r="E4634" s="3" t="str">
        <f ca="1">IF(Tabela2[[#This Row],[Dt Venc:]]&gt;TODAY(),"Em Aberto",IF(Tabela2[[#This Row],[D/venc]]="-","Enviado",IF(Tabela2[[#This Row],[Dt Venc:]]=TODAY(),"Vence Hoje","Vencida")))</f>
        <v>Enviado</v>
      </c>
      <c r="F4634" s="3" t="str">
        <f ca="1">IF(G4634=1,"-",Tabela2[[#This Row],[Dt Venc:]]-TODAY())</f>
        <v>-</v>
      </c>
      <c r="G4634" s="3">
        <v>1</v>
      </c>
      <c r="H4634" s="3"/>
    </row>
    <row r="4635" spans="1:8" hidden="1">
      <c r="A4635" s="3">
        <v>2684164</v>
      </c>
      <c r="B4635" s="7" t="s">
        <v>636</v>
      </c>
      <c r="C4635">
        <v>1909</v>
      </c>
      <c r="D4635" s="6">
        <v>45672</v>
      </c>
      <c r="E4635" s="3" t="str">
        <f ca="1">IF(Tabela2[[#This Row],[Dt Venc:]]&gt;TODAY(),"Em Aberto",IF(Tabela2[[#This Row],[D/venc]]="-","Enviado",IF(Tabela2[[#This Row],[Dt Venc:]]=TODAY(),"Vence Hoje","Vencida")))</f>
        <v>Enviado</v>
      </c>
      <c r="F4635" s="3" t="str">
        <f ca="1">IF(G4635=1,"-",Tabela2[[#This Row],[Dt Venc:]]-TODAY())</f>
        <v>-</v>
      </c>
      <c r="G4635" s="3">
        <v>1</v>
      </c>
      <c r="H4635" s="3"/>
    </row>
    <row r="4636" spans="1:8" hidden="1">
      <c r="A4636" s="3">
        <v>2684780</v>
      </c>
      <c r="B4636" s="7" t="s">
        <v>636</v>
      </c>
      <c r="C4636">
        <v>1909</v>
      </c>
      <c r="D4636" s="6">
        <v>45672</v>
      </c>
      <c r="E4636" s="3" t="str">
        <f ca="1">IF(Tabela2[[#This Row],[Dt Venc:]]&gt;TODAY(),"Em Aberto",IF(Tabela2[[#This Row],[D/venc]]="-","Enviado",IF(Tabela2[[#This Row],[Dt Venc:]]=TODAY(),"Vence Hoje","Vencida")))</f>
        <v>Enviado</v>
      </c>
      <c r="F4636" s="3" t="str">
        <f ca="1">IF(G4636=1,"-",Tabela2[[#This Row],[Dt Venc:]]-TODAY())</f>
        <v>-</v>
      </c>
      <c r="G4636" s="3">
        <v>1</v>
      </c>
      <c r="H4636" s="3"/>
    </row>
    <row r="4637" spans="1:8" hidden="1">
      <c r="A4637" s="3">
        <v>2684764</v>
      </c>
      <c r="B4637" s="7" t="s">
        <v>636</v>
      </c>
      <c r="C4637">
        <v>2079.1999999999998</v>
      </c>
      <c r="D4637" s="6">
        <v>45672</v>
      </c>
      <c r="E4637" s="3" t="str">
        <f ca="1">IF(Tabela2[[#This Row],[Dt Venc:]]&gt;TODAY(),"Em Aberto",IF(Tabela2[[#This Row],[D/venc]]="-","Enviado",IF(Tabela2[[#This Row],[Dt Venc:]]=TODAY(),"Vence Hoje","Vencida")))</f>
        <v>Enviado</v>
      </c>
      <c r="F4637" s="3" t="str">
        <f ca="1">IF(G4637=1,"-",Tabela2[[#This Row],[Dt Venc:]]-TODAY())</f>
        <v>-</v>
      </c>
      <c r="G4637" s="3">
        <v>1</v>
      </c>
      <c r="H4637" s="3"/>
    </row>
    <row r="4638" spans="1:8" hidden="1">
      <c r="A4638" s="3">
        <v>2684452</v>
      </c>
      <c r="B4638" s="7" t="s">
        <v>636</v>
      </c>
      <c r="C4638">
        <v>1909</v>
      </c>
      <c r="D4638" s="6">
        <v>45672</v>
      </c>
      <c r="E4638" s="3" t="str">
        <f ca="1">IF(Tabela2[[#This Row],[Dt Venc:]]&gt;TODAY(),"Em Aberto",IF(Tabela2[[#This Row],[D/venc]]="-","Enviado",IF(Tabela2[[#This Row],[Dt Venc:]]=TODAY(),"Vence Hoje","Vencida")))</f>
        <v>Enviado</v>
      </c>
      <c r="F4638" s="3" t="str">
        <f ca="1">IF(G4638=1,"-",Tabela2[[#This Row],[Dt Venc:]]-TODAY())</f>
        <v>-</v>
      </c>
      <c r="G4638" s="3">
        <v>1</v>
      </c>
      <c r="H4638" s="3"/>
    </row>
    <row r="4639" spans="1:8" hidden="1">
      <c r="A4639" s="3">
        <v>2683414</v>
      </c>
      <c r="B4639" s="7" t="s">
        <v>636</v>
      </c>
      <c r="C4639">
        <v>1909</v>
      </c>
      <c r="D4639" s="6">
        <v>45672</v>
      </c>
      <c r="E4639" s="3" t="str">
        <f ca="1">IF(Tabela2[[#This Row],[Dt Venc:]]&gt;TODAY(),"Em Aberto",IF(Tabela2[[#This Row],[D/venc]]="-","Enviado",IF(Tabela2[[#This Row],[Dt Venc:]]=TODAY(),"Vence Hoje","Vencida")))</f>
        <v>Enviado</v>
      </c>
      <c r="F4639" s="3" t="str">
        <f ca="1">IF(G4639=1,"-",Tabela2[[#This Row],[Dt Venc:]]-TODAY())</f>
        <v>-</v>
      </c>
      <c r="G4639" s="3">
        <v>1</v>
      </c>
      <c r="H4639" s="3"/>
    </row>
    <row r="4640" spans="1:8" hidden="1">
      <c r="A4640" s="3">
        <v>2683405</v>
      </c>
      <c r="B4640" s="7" t="s">
        <v>636</v>
      </c>
      <c r="C4640">
        <v>1909</v>
      </c>
      <c r="D4640" s="6">
        <v>45672</v>
      </c>
      <c r="E4640" s="3" t="str">
        <f ca="1">IF(Tabela2[[#This Row],[Dt Venc:]]&gt;TODAY(),"Em Aberto",IF(Tabela2[[#This Row],[D/venc]]="-","Enviado",IF(Tabela2[[#This Row],[Dt Venc:]]=TODAY(),"Vence Hoje","Vencida")))</f>
        <v>Enviado</v>
      </c>
      <c r="F4640" s="3" t="str">
        <f ca="1">IF(G4640=1,"-",Tabela2[[#This Row],[Dt Venc:]]-TODAY())</f>
        <v>-</v>
      </c>
      <c r="G4640" s="3">
        <v>1</v>
      </c>
      <c r="H4640" s="3"/>
    </row>
    <row r="4641" spans="1:8" hidden="1">
      <c r="A4641" s="3">
        <v>2683751</v>
      </c>
      <c r="B4641" s="7" t="s">
        <v>636</v>
      </c>
      <c r="C4641">
        <v>1909</v>
      </c>
      <c r="D4641" s="6">
        <v>45672</v>
      </c>
      <c r="E4641" s="3" t="str">
        <f ca="1">IF(Tabela2[[#This Row],[Dt Venc:]]&gt;TODAY(),"Em Aberto",IF(Tabela2[[#This Row],[D/venc]]="-","Enviado",IF(Tabela2[[#This Row],[Dt Venc:]]=TODAY(),"Vence Hoje","Vencida")))</f>
        <v>Enviado</v>
      </c>
      <c r="F4641" s="3" t="str">
        <f ca="1">IF(G4641=1,"-",Tabela2[[#This Row],[Dt Venc:]]-TODAY())</f>
        <v>-</v>
      </c>
      <c r="G4641" s="3">
        <v>1</v>
      </c>
      <c r="H4641" s="3"/>
    </row>
    <row r="4642" spans="1:8" hidden="1">
      <c r="A4642" s="3">
        <v>2683722</v>
      </c>
      <c r="B4642" s="7" t="s">
        <v>636</v>
      </c>
      <c r="C4642">
        <v>1909</v>
      </c>
      <c r="D4642" s="6">
        <v>45672</v>
      </c>
      <c r="E4642" s="3" t="str">
        <f ca="1">IF(Tabela2[[#This Row],[Dt Venc:]]&gt;TODAY(),"Em Aberto",IF(Tabela2[[#This Row],[D/venc]]="-","Enviado",IF(Tabela2[[#This Row],[Dt Venc:]]=TODAY(),"Vence Hoje","Vencida")))</f>
        <v>Enviado</v>
      </c>
      <c r="F4642" s="3" t="str">
        <f ca="1">IF(G4642=1,"-",Tabela2[[#This Row],[Dt Venc:]]-TODAY())</f>
        <v>-</v>
      </c>
      <c r="G4642" s="3">
        <v>1</v>
      </c>
      <c r="H4642" s="3"/>
    </row>
    <row r="4643" spans="1:8" hidden="1">
      <c r="A4643" s="3">
        <v>2685481</v>
      </c>
      <c r="B4643" s="7" t="s">
        <v>636</v>
      </c>
      <c r="C4643">
        <v>1909</v>
      </c>
      <c r="D4643" s="6">
        <v>45672</v>
      </c>
      <c r="E4643" s="3" t="str">
        <f ca="1">IF(Tabela2[[#This Row],[Dt Venc:]]&gt;TODAY(),"Em Aberto",IF(Tabela2[[#This Row],[D/venc]]="-","Enviado",IF(Tabela2[[#This Row],[Dt Venc:]]=TODAY(),"Vence Hoje","Vencida")))</f>
        <v>Enviado</v>
      </c>
      <c r="F4643" s="3" t="str">
        <f ca="1">IF(G4643=1,"-",Tabela2[[#This Row],[Dt Venc:]]-TODAY())</f>
        <v>-</v>
      </c>
      <c r="G4643" s="3">
        <v>1</v>
      </c>
      <c r="H4643" s="3"/>
    </row>
    <row r="4644" spans="1:8" hidden="1">
      <c r="A4644" s="3">
        <v>2681495</v>
      </c>
      <c r="B4644" s="7" t="s">
        <v>636</v>
      </c>
      <c r="C4644">
        <v>1909</v>
      </c>
      <c r="D4644" s="6">
        <v>45672</v>
      </c>
      <c r="E4644" s="3" t="str">
        <f ca="1">IF(Tabela2[[#This Row],[Dt Venc:]]&gt;TODAY(),"Em Aberto",IF(Tabela2[[#This Row],[D/venc]]="-","Enviado",IF(Tabela2[[#This Row],[Dt Venc:]]=TODAY(),"Vence Hoje","Vencida")))</f>
        <v>Enviado</v>
      </c>
      <c r="F4644" s="3" t="str">
        <f ca="1">IF(G4644=1,"-",Tabela2[[#This Row],[Dt Venc:]]-TODAY())</f>
        <v>-</v>
      </c>
      <c r="G4644" s="3">
        <v>1</v>
      </c>
      <c r="H4644" s="3"/>
    </row>
    <row r="4645" spans="1:8" hidden="1">
      <c r="A4645" s="3" t="s">
        <v>110</v>
      </c>
      <c r="B4645" s="7" t="s">
        <v>256</v>
      </c>
      <c r="C4645" s="96" t="s">
        <v>32</v>
      </c>
      <c r="D4645" s="6">
        <v>45672</v>
      </c>
      <c r="E4645" s="3" t="str">
        <f ca="1">IF(Tabela2[[#This Row],[Dt Venc:]]&gt;TODAY(),"Em Aberto",IF(Tabela2[[#This Row],[D/venc]]="-","Enviado",IF(Tabela2[[#This Row],[Dt Venc:]]=TODAY(),"Vence Hoje","Vencida")))</f>
        <v>Enviado</v>
      </c>
      <c r="F4645" s="3" t="str">
        <f ca="1">IF(G4645=1,"-",Tabela2[[#This Row],[Dt Venc:]]-TODAY())</f>
        <v>-</v>
      </c>
      <c r="G4645" s="3">
        <v>1</v>
      </c>
      <c r="H4645" s="3"/>
    </row>
    <row r="4646" spans="1:8" hidden="1">
      <c r="A4646" s="3">
        <v>442</v>
      </c>
      <c r="B4646" s="7" t="s">
        <v>387</v>
      </c>
      <c r="C4646" s="41">
        <v>15000</v>
      </c>
      <c r="D4646" s="6">
        <v>45672</v>
      </c>
      <c r="E4646" s="3" t="str">
        <f ca="1">IF(Tabela2[[#This Row],[Dt Venc:]]&gt;TODAY(),"Em Aberto",IF(Tabela2[[#This Row],[D/venc]]="-","Enviado",IF(Tabela2[[#This Row],[Dt Venc:]]=TODAY(),"Vence Hoje","Vencida")))</f>
        <v>Enviado</v>
      </c>
      <c r="F4646" s="3" t="str">
        <f ca="1">IF(G4646=1,"-",Tabela2[[#This Row],[Dt Venc:]]-TODAY())</f>
        <v>-</v>
      </c>
      <c r="G4646" s="3">
        <v>1</v>
      </c>
      <c r="H4646" s="3"/>
    </row>
    <row r="4647" spans="1:8" ht="37.5" hidden="1">
      <c r="A4647" s="3">
        <v>446605</v>
      </c>
      <c r="B4647" s="7" t="s">
        <v>629</v>
      </c>
      <c r="C4647" s="41">
        <v>28602.5</v>
      </c>
      <c r="D4647" s="6">
        <v>45672</v>
      </c>
      <c r="E4647" s="3" t="str">
        <f ca="1">IF(Tabela2[[#This Row],[Dt Venc:]]&gt;TODAY(),"Em Aberto",IF(Tabela2[[#This Row],[D/venc]]="-","Enviado",IF(Tabela2[[#This Row],[Dt Venc:]]=TODAY(),"Vence Hoje","Vencida")))</f>
        <v>Enviado</v>
      </c>
      <c r="F4647" s="3" t="str">
        <f ca="1">IF(G4647=1,"-",Tabela2[[#This Row],[Dt Venc:]]-TODAY())</f>
        <v>-</v>
      </c>
      <c r="G4647" s="3">
        <v>1</v>
      </c>
      <c r="H4647" s="3"/>
    </row>
    <row r="4648" spans="1:8" ht="37.5" hidden="1">
      <c r="A4648" s="3">
        <v>2008428</v>
      </c>
      <c r="B4648" s="7" t="s">
        <v>629</v>
      </c>
      <c r="C4648" s="41">
        <v>112364</v>
      </c>
      <c r="D4648" s="6">
        <v>45672</v>
      </c>
      <c r="E4648" s="3" t="str">
        <f ca="1">IF(Tabela2[[#This Row],[Dt Venc:]]&gt;TODAY(),"Em Aberto",IF(Tabela2[[#This Row],[D/venc]]="-","Enviado",IF(Tabela2[[#This Row],[Dt Venc:]]=TODAY(),"Vence Hoje","Vencida")))</f>
        <v>Enviado</v>
      </c>
      <c r="F4648" s="3" t="str">
        <f ca="1">IF(G4648=1,"-",Tabela2[[#This Row],[Dt Venc:]]-TODAY())</f>
        <v>-</v>
      </c>
      <c r="G4648" s="3">
        <v>1</v>
      </c>
      <c r="H4648" s="3"/>
    </row>
    <row r="4649" spans="1:8" hidden="1">
      <c r="A4649" s="3">
        <v>3332785</v>
      </c>
      <c r="B4649" s="7" t="s">
        <v>71</v>
      </c>
      <c r="C4649" s="41">
        <v>111490</v>
      </c>
      <c r="D4649" s="6">
        <v>45672</v>
      </c>
      <c r="E4649" s="3" t="str">
        <f ca="1">IF(Tabela2[[#This Row],[Dt Venc:]]&gt;TODAY(),"Em Aberto",IF(Tabela2[[#This Row],[D/venc]]="-","Enviado",IF(Tabela2[[#This Row],[Dt Venc:]]=TODAY(),"Vence Hoje","Vencida")))</f>
        <v>Enviado</v>
      </c>
      <c r="F4649" s="3" t="str">
        <f ca="1">IF(G4649=1,"-",Tabela2[[#This Row],[Dt Venc:]]-TODAY())</f>
        <v>-</v>
      </c>
      <c r="G4649" s="3">
        <v>1</v>
      </c>
      <c r="H4649" s="3"/>
    </row>
    <row r="4650" spans="1:8" hidden="1">
      <c r="A4650" s="3" t="s">
        <v>110</v>
      </c>
      <c r="B4650" s="7" t="s">
        <v>259</v>
      </c>
      <c r="C4650" s="96" t="s">
        <v>32</v>
      </c>
      <c r="D4650" s="6">
        <v>45672</v>
      </c>
      <c r="E4650" s="3" t="str">
        <f ca="1">IF(Tabela2[[#This Row],[Dt Venc:]]&gt;TODAY(),"Em Aberto",IF(Tabela2[[#This Row],[D/venc]]="-","Enviado",IF(Tabela2[[#This Row],[Dt Venc:]]=TODAY(),"Vence Hoje","Vencida")))</f>
        <v>Enviado</v>
      </c>
      <c r="F4650" s="3" t="str">
        <f ca="1">IF(G4650=1,"-",Tabela2[[#This Row],[Dt Venc:]]-TODAY())</f>
        <v>-</v>
      </c>
      <c r="G4650" s="3">
        <v>1</v>
      </c>
      <c r="H4650" s="3"/>
    </row>
    <row r="4651" spans="1:8" hidden="1">
      <c r="A4651" s="3">
        <v>5649</v>
      </c>
      <c r="B4651" s="7" t="s">
        <v>43</v>
      </c>
      <c r="C4651" s="41">
        <v>280</v>
      </c>
      <c r="D4651" s="6">
        <v>45672</v>
      </c>
      <c r="E4651" s="3" t="str">
        <f ca="1">IF(Tabela2[[#This Row],[Dt Venc:]]&gt;TODAY(),"Em Aberto",IF(Tabela2[[#This Row],[D/venc]]="-","Enviado",IF(Tabela2[[#This Row],[Dt Venc:]]=TODAY(),"Vence Hoje","Vencida")))</f>
        <v>Enviado</v>
      </c>
      <c r="F4651" s="3" t="str">
        <f ca="1">IF(G4651=1,"-",Tabela2[[#This Row],[Dt Venc:]]-TODAY())</f>
        <v>-</v>
      </c>
      <c r="G4651" s="3">
        <v>1</v>
      </c>
      <c r="H4651" s="3"/>
    </row>
    <row r="4652" spans="1:8" hidden="1">
      <c r="A4652" s="3">
        <v>37300</v>
      </c>
      <c r="B4652" s="7" t="s">
        <v>167</v>
      </c>
      <c r="C4652" s="83" t="s">
        <v>32</v>
      </c>
      <c r="D4652" s="6">
        <v>45673</v>
      </c>
      <c r="E4652" s="3" t="str">
        <f ca="1">IF(Tabela2[[#This Row],[Dt Venc:]]&gt;TODAY(),"Em Aberto",IF(Tabela2[[#This Row],[D/venc]]="-","Enviado",IF(Tabela2[[#This Row],[Dt Venc:]]=TODAY(),"Vence Hoje","Vencida")))</f>
        <v>Enviado</v>
      </c>
      <c r="F4652" s="3" t="str">
        <f ca="1">IF(G4652=1,"-",Tabela2[[#This Row],[Dt Venc:]]-TODAY())</f>
        <v>-</v>
      </c>
      <c r="G4652" s="3">
        <v>1</v>
      </c>
      <c r="H4652" s="3"/>
    </row>
    <row r="4653" spans="1:8" hidden="1">
      <c r="A4653" s="3">
        <v>302897</v>
      </c>
      <c r="B4653" s="7" t="s">
        <v>53</v>
      </c>
      <c r="C4653">
        <v>1751.23</v>
      </c>
      <c r="D4653" s="6">
        <v>45673</v>
      </c>
      <c r="E4653" s="3" t="str">
        <f ca="1">IF(Tabela2[[#This Row],[Dt Venc:]]&gt;TODAY(),"Em Aberto",IF(Tabela2[[#This Row],[D/venc]]="-","Enviado",IF(Tabela2[[#This Row],[Dt Venc:]]=TODAY(),"Vence Hoje","Vencida")))</f>
        <v>Enviado</v>
      </c>
      <c r="F4653" s="3" t="str">
        <f ca="1">IF(G4653=1,"-",Tabela2[[#This Row],[Dt Venc:]]-TODAY())</f>
        <v>-</v>
      </c>
      <c r="G4653" s="3">
        <v>1</v>
      </c>
      <c r="H4653" s="3"/>
    </row>
    <row r="4654" spans="1:8" hidden="1">
      <c r="A4654" s="3">
        <v>160889</v>
      </c>
      <c r="B4654" s="7" t="s">
        <v>457</v>
      </c>
      <c r="C4654">
        <v>720.16</v>
      </c>
      <c r="D4654" s="6">
        <v>45673</v>
      </c>
      <c r="E4654" s="3" t="str">
        <f ca="1">IF(Tabela2[[#This Row],[Dt Venc:]]&gt;TODAY(),"Em Aberto",IF(Tabela2[[#This Row],[D/venc]]="-","Enviado",IF(Tabela2[[#This Row],[Dt Venc:]]=TODAY(),"Vence Hoje","Vencida")))</f>
        <v>Enviado</v>
      </c>
      <c r="F4654" s="3" t="str">
        <f ca="1">IF(G4654=1,"-",Tabela2[[#This Row],[Dt Venc:]]-TODAY())</f>
        <v>-</v>
      </c>
      <c r="G4654" s="3">
        <v>1</v>
      </c>
      <c r="H4654" s="3"/>
    </row>
    <row r="4655" spans="1:8" hidden="1">
      <c r="A4655" s="3">
        <v>2831</v>
      </c>
      <c r="B4655" s="7" t="s">
        <v>301</v>
      </c>
      <c r="C4655">
        <v>2440</v>
      </c>
      <c r="D4655" s="6">
        <v>45673</v>
      </c>
      <c r="E4655" s="3" t="str">
        <f ca="1">IF(Tabela2[[#This Row],[Dt Venc:]]&gt;TODAY(),"Em Aberto",IF(Tabela2[[#This Row],[D/venc]]="-","Enviado",IF(Tabela2[[#This Row],[Dt Venc:]]=TODAY(),"Vence Hoje","Vencida")))</f>
        <v>Enviado</v>
      </c>
      <c r="F4655" s="3" t="str">
        <f ca="1">IF(G4655=1,"-",Tabela2[[#This Row],[Dt Venc:]]-TODAY())</f>
        <v>-</v>
      </c>
      <c r="G4655" s="3">
        <v>1</v>
      </c>
      <c r="H4655" s="3"/>
    </row>
    <row r="4656" spans="1:8" hidden="1">
      <c r="A4656" s="3">
        <v>368077</v>
      </c>
      <c r="B4656" s="7" t="s">
        <v>302</v>
      </c>
      <c r="C4656">
        <v>350.15</v>
      </c>
      <c r="D4656" s="6">
        <v>45673</v>
      </c>
      <c r="E4656" s="3" t="str">
        <f ca="1">IF(Tabela2[[#This Row],[Dt Venc:]]&gt;TODAY(),"Em Aberto",IF(Tabela2[[#This Row],[D/venc]]="-","Enviado",IF(Tabela2[[#This Row],[Dt Venc:]]=TODAY(),"Vence Hoje","Vencida")))</f>
        <v>Enviado</v>
      </c>
      <c r="F4656" s="3" t="str">
        <f ca="1">IF(G4656=1,"-",Tabela2[[#This Row],[Dt Venc:]]-TODAY())</f>
        <v>-</v>
      </c>
      <c r="G4656" s="3">
        <v>1</v>
      </c>
      <c r="H4656" s="3"/>
    </row>
    <row r="4657" spans="1:8" hidden="1">
      <c r="A4657" s="3">
        <v>81213</v>
      </c>
      <c r="B4657" s="7" t="s">
        <v>302</v>
      </c>
      <c r="C4657">
        <v>150.32</v>
      </c>
      <c r="D4657" s="6">
        <v>45673</v>
      </c>
      <c r="E4657" s="3" t="str">
        <f ca="1">IF(Tabela2[[#This Row],[Dt Venc:]]&gt;TODAY(),"Em Aberto",IF(Tabela2[[#This Row],[D/venc]]="-","Enviado",IF(Tabela2[[#This Row],[Dt Venc:]]=TODAY(),"Vence Hoje","Vencida")))</f>
        <v>Enviado</v>
      </c>
      <c r="F4657" s="3" t="str">
        <f ca="1">IF(G4657=1,"-",Tabela2[[#This Row],[Dt Venc:]]-TODAY())</f>
        <v>-</v>
      </c>
      <c r="G4657" s="3">
        <v>1</v>
      </c>
      <c r="H4657" s="3"/>
    </row>
    <row r="4658" spans="1:8" hidden="1">
      <c r="A4658" s="3">
        <v>81215</v>
      </c>
      <c r="B4658" s="7" t="s">
        <v>302</v>
      </c>
      <c r="C4658">
        <v>690</v>
      </c>
      <c r="D4658" s="6">
        <v>45673</v>
      </c>
      <c r="E4658" s="3" t="str">
        <f ca="1">IF(Tabela2[[#This Row],[Dt Venc:]]&gt;TODAY(),"Em Aberto",IF(Tabela2[[#This Row],[D/venc]]="-","Enviado",IF(Tabela2[[#This Row],[Dt Venc:]]=TODAY(),"Vence Hoje","Vencida")))</f>
        <v>Enviado</v>
      </c>
      <c r="F4658" s="3" t="str">
        <f ca="1">IF(G4658=1,"-",Tabela2[[#This Row],[Dt Venc:]]-TODAY())</f>
        <v>-</v>
      </c>
      <c r="G4658" s="3">
        <v>1</v>
      </c>
      <c r="H4658" s="3"/>
    </row>
    <row r="4659" spans="1:8" hidden="1">
      <c r="A4659" s="3">
        <v>368073</v>
      </c>
      <c r="B4659" s="7" t="s">
        <v>302</v>
      </c>
      <c r="C4659">
        <v>350.15</v>
      </c>
      <c r="D4659" s="6">
        <v>45673</v>
      </c>
      <c r="E4659" s="3" t="str">
        <f ca="1">IF(Tabela2[[#This Row],[Dt Venc:]]&gt;TODAY(),"Em Aberto",IF(Tabela2[[#This Row],[D/venc]]="-","Enviado",IF(Tabela2[[#This Row],[Dt Venc:]]=TODAY(),"Vence Hoje","Vencida")))</f>
        <v>Enviado</v>
      </c>
      <c r="F4659" s="3" t="str">
        <f ca="1">IF(G4659=1,"-",Tabela2[[#This Row],[Dt Venc:]]-TODAY())</f>
        <v>-</v>
      </c>
      <c r="G4659" s="3">
        <v>1</v>
      </c>
      <c r="H4659" s="3"/>
    </row>
    <row r="4660" spans="1:8" hidden="1">
      <c r="A4660" s="3">
        <v>370551</v>
      </c>
      <c r="B4660" s="7" t="s">
        <v>39</v>
      </c>
      <c r="C4660">
        <v>238.11</v>
      </c>
      <c r="D4660" s="6">
        <v>45673</v>
      </c>
      <c r="E4660" s="3" t="str">
        <f ca="1">IF(Tabela2[[#This Row],[Dt Venc:]]&gt;TODAY(),"Em Aberto",IF(Tabela2[[#This Row],[D/venc]]="-","Enviado",IF(Tabela2[[#This Row],[Dt Venc:]]=TODAY(),"Vence Hoje","Vencida")))</f>
        <v>Enviado</v>
      </c>
      <c r="F4660" s="3" t="str">
        <f ca="1">IF(G4660=1,"-",Tabela2[[#This Row],[Dt Venc:]]-TODAY())</f>
        <v>-</v>
      </c>
      <c r="G4660" s="3">
        <v>1</v>
      </c>
      <c r="H4660" s="3"/>
    </row>
    <row r="4661" spans="1:8" hidden="1">
      <c r="A4661" s="3">
        <v>81740</v>
      </c>
      <c r="B4661" s="7" t="s">
        <v>39</v>
      </c>
      <c r="C4661">
        <v>795.98</v>
      </c>
      <c r="D4661" s="6">
        <v>45673</v>
      </c>
      <c r="E4661" s="3" t="str">
        <f ca="1">IF(Tabela2[[#This Row],[Dt Venc:]]&gt;TODAY(),"Em Aberto",IF(Tabela2[[#This Row],[D/venc]]="-","Enviado",IF(Tabela2[[#This Row],[Dt Venc:]]=TODAY(),"Vence Hoje","Vencida")))</f>
        <v>Enviado</v>
      </c>
      <c r="F4661" s="3" t="str">
        <f ca="1">IF(G4661=1,"-",Tabela2[[#This Row],[Dt Venc:]]-TODAY())</f>
        <v>-</v>
      </c>
      <c r="G4661" s="3">
        <v>1</v>
      </c>
      <c r="H4661" s="3"/>
    </row>
    <row r="4662" spans="1:8" hidden="1">
      <c r="A4662" s="3">
        <v>29564</v>
      </c>
      <c r="B4662" s="7" t="s">
        <v>97</v>
      </c>
      <c r="C4662">
        <v>2710</v>
      </c>
      <c r="D4662" s="6">
        <v>45673</v>
      </c>
      <c r="E4662" s="3" t="str">
        <f ca="1">IF(Tabela2[[#This Row],[Dt Venc:]]&gt;TODAY(),"Em Aberto",IF(Tabela2[[#This Row],[D/venc]]="-","Enviado",IF(Tabela2[[#This Row],[Dt Venc:]]=TODAY(),"Vence Hoje","Vencida")))</f>
        <v>Enviado</v>
      </c>
      <c r="F4662" s="3" t="str">
        <f ca="1">IF(G4662=1,"-",Tabela2[[#This Row],[Dt Venc:]]-TODAY())</f>
        <v>-</v>
      </c>
      <c r="G4662" s="3">
        <v>1</v>
      </c>
      <c r="H4662" s="3"/>
    </row>
    <row r="4663" spans="1:8" hidden="1">
      <c r="A4663" s="3">
        <v>30374</v>
      </c>
      <c r="B4663" s="7" t="s">
        <v>226</v>
      </c>
      <c r="C4663">
        <v>2730</v>
      </c>
      <c r="D4663" s="6">
        <v>45673</v>
      </c>
      <c r="E4663" s="3" t="str">
        <f ca="1">IF(Tabela2[[#This Row],[Dt Venc:]]&gt;TODAY(),"Em Aberto",IF(Tabela2[[#This Row],[D/venc]]="-","Enviado",IF(Tabela2[[#This Row],[Dt Venc:]]=TODAY(),"Vence Hoje","Vencida")))</f>
        <v>Enviado</v>
      </c>
      <c r="F4663" s="3" t="str">
        <f ca="1">IF(G4663=1,"-",Tabela2[[#This Row],[Dt Venc:]]-TODAY())</f>
        <v>-</v>
      </c>
      <c r="G4663" s="3">
        <v>1</v>
      </c>
      <c r="H4663" s="3"/>
    </row>
    <row r="4664" spans="1:8" hidden="1">
      <c r="A4664" s="3">
        <v>1113</v>
      </c>
      <c r="B4664" s="7" t="s">
        <v>433</v>
      </c>
      <c r="C4664">
        <v>4296.66</v>
      </c>
      <c r="D4664" s="6">
        <v>45673</v>
      </c>
      <c r="E4664" s="3" t="str">
        <f ca="1">IF(Tabela2[[#This Row],[Dt Venc:]]&gt;TODAY(),"Em Aberto",IF(Tabela2[[#This Row],[D/venc]]="-","Enviado",IF(Tabela2[[#This Row],[Dt Venc:]]=TODAY(),"Vence Hoje","Vencida")))</f>
        <v>Enviado</v>
      </c>
      <c r="F4664" s="3" t="str">
        <f ca="1">IF(G4664=1,"-",Tabela2[[#This Row],[Dt Venc:]]-TODAY())</f>
        <v>-</v>
      </c>
      <c r="G4664" s="3">
        <v>1</v>
      </c>
      <c r="H4664" s="3"/>
    </row>
    <row r="4665" spans="1:8" hidden="1">
      <c r="A4665" s="3">
        <v>153715</v>
      </c>
      <c r="B4665" s="7" t="s">
        <v>240</v>
      </c>
      <c r="C4665">
        <v>450</v>
      </c>
      <c r="D4665" s="6">
        <v>45673</v>
      </c>
      <c r="E4665" s="3" t="str">
        <f ca="1">IF(Tabela2[[#This Row],[Dt Venc:]]&gt;TODAY(),"Em Aberto",IF(Tabela2[[#This Row],[D/venc]]="-","Enviado",IF(Tabela2[[#This Row],[Dt Venc:]]=TODAY(),"Vence Hoje","Vencida")))</f>
        <v>Enviado</v>
      </c>
      <c r="F4665" s="3" t="str">
        <f ca="1">IF(G4665=1,"-",Tabela2[[#This Row],[Dt Venc:]]-TODAY())</f>
        <v>-</v>
      </c>
      <c r="G4665" s="3">
        <v>1</v>
      </c>
      <c r="H4665" s="3"/>
    </row>
    <row r="4666" spans="1:8" hidden="1">
      <c r="A4666" s="3">
        <v>376215</v>
      </c>
      <c r="B4666" s="7" t="s">
        <v>441</v>
      </c>
      <c r="C4666">
        <v>471.1</v>
      </c>
      <c r="D4666" s="6">
        <v>45673</v>
      </c>
      <c r="E4666" s="3" t="str">
        <f ca="1">IF(Tabela2[[#This Row],[Dt Venc:]]&gt;TODAY(),"Em Aberto",IF(Tabela2[[#This Row],[D/venc]]="-","Enviado",IF(Tabela2[[#This Row],[Dt Venc:]]=TODAY(),"Vence Hoje","Vencida")))</f>
        <v>Enviado</v>
      </c>
      <c r="F4666" s="3" t="str">
        <f ca="1">IF(G4666=1,"-",Tabela2[[#This Row],[Dt Venc:]]-TODAY())</f>
        <v>-</v>
      </c>
      <c r="G4666" s="3">
        <v>1</v>
      </c>
      <c r="H4666" s="3"/>
    </row>
    <row r="4667" spans="1:8" hidden="1">
      <c r="A4667" s="3">
        <v>174362</v>
      </c>
      <c r="B4667" s="7" t="s">
        <v>434</v>
      </c>
      <c r="C4667">
        <v>1333.34</v>
      </c>
      <c r="D4667" s="6">
        <v>45673</v>
      </c>
      <c r="E4667" s="3" t="str">
        <f ca="1">IF(Tabela2[[#This Row],[Dt Venc:]]&gt;TODAY(),"Em Aberto",IF(Tabela2[[#This Row],[D/venc]]="-","Enviado",IF(Tabela2[[#This Row],[Dt Venc:]]=TODAY(),"Vence Hoje","Vencida")))</f>
        <v>Enviado</v>
      </c>
      <c r="F4667" s="3" t="str">
        <f ca="1">IF(G4667=1,"-",Tabela2[[#This Row],[Dt Venc:]]-TODAY())</f>
        <v>-</v>
      </c>
      <c r="G4667" s="3">
        <v>1</v>
      </c>
      <c r="H4667" s="3"/>
    </row>
    <row r="4668" spans="1:8" hidden="1">
      <c r="A4668" s="3">
        <v>14258</v>
      </c>
      <c r="B4668" s="7" t="s">
        <v>51</v>
      </c>
      <c r="C4668">
        <v>1133.33</v>
      </c>
      <c r="D4668" s="6">
        <v>45673</v>
      </c>
      <c r="E4668" s="3" t="str">
        <f ca="1">IF(Tabela2[[#This Row],[Dt Venc:]]&gt;TODAY(),"Em Aberto",IF(Tabela2[[#This Row],[D/venc]]="-","Enviado",IF(Tabela2[[#This Row],[Dt Venc:]]=TODAY(),"Vence Hoje","Vencida")))</f>
        <v>Enviado</v>
      </c>
      <c r="F4668" s="3" t="str">
        <f ca="1">IF(G4668=1,"-",Tabela2[[#This Row],[Dt Venc:]]-TODAY())</f>
        <v>-</v>
      </c>
      <c r="G4668" s="3">
        <v>1</v>
      </c>
      <c r="H4668" s="3"/>
    </row>
    <row r="4669" spans="1:8" hidden="1">
      <c r="A4669" s="3">
        <v>2851</v>
      </c>
      <c r="B4669" s="7" t="s">
        <v>58</v>
      </c>
      <c r="C4669">
        <v>2187.27</v>
      </c>
      <c r="D4669" s="6">
        <v>45673</v>
      </c>
      <c r="E4669" s="3" t="str">
        <f ca="1">IF(Tabela2[[#This Row],[Dt Venc:]]&gt;TODAY(),"Em Aberto",IF(Tabela2[[#This Row],[D/venc]]="-","Enviado",IF(Tabela2[[#This Row],[Dt Venc:]]=TODAY(),"Vence Hoje","Vencida")))</f>
        <v>Enviado</v>
      </c>
      <c r="F4669" s="3" t="str">
        <f ca="1">IF(G4669=1,"-",Tabela2[[#This Row],[Dt Venc:]]-TODAY())</f>
        <v>-</v>
      </c>
      <c r="G4669" s="3">
        <v>1</v>
      </c>
      <c r="H4669" s="3"/>
    </row>
    <row r="4670" spans="1:8" hidden="1">
      <c r="A4670" s="3">
        <v>304134</v>
      </c>
      <c r="B4670" s="7" t="s">
        <v>506</v>
      </c>
      <c r="C4670">
        <v>1762.78</v>
      </c>
      <c r="D4670" s="6">
        <v>45673</v>
      </c>
      <c r="E4670" s="3" t="str">
        <f ca="1">IF(Tabela2[[#This Row],[Dt Venc:]]&gt;TODAY(),"Em Aberto",IF(Tabela2[[#This Row],[D/venc]]="-","Enviado",IF(Tabela2[[#This Row],[Dt Venc:]]=TODAY(),"Vence Hoje","Vencida")))</f>
        <v>Enviado</v>
      </c>
      <c r="F4670" s="3" t="str">
        <f ca="1">IF(G4670=1,"-",Tabela2[[#This Row],[Dt Venc:]]-TODAY())</f>
        <v>-</v>
      </c>
      <c r="G4670" s="3">
        <v>1</v>
      </c>
      <c r="H4670" s="3"/>
    </row>
    <row r="4671" spans="1:8" hidden="1">
      <c r="A4671" s="3">
        <v>15349</v>
      </c>
      <c r="B4671" s="7" t="s">
        <v>99</v>
      </c>
      <c r="C4671" s="41">
        <v>708.33</v>
      </c>
      <c r="D4671" s="6">
        <v>45673</v>
      </c>
      <c r="E4671" s="3" t="str">
        <f ca="1">IF(Tabela2[[#This Row],[Dt Venc:]]&gt;TODAY(),"Em Aberto",IF(Tabela2[[#This Row],[D/venc]]="-","Enviado",IF(Tabela2[[#This Row],[Dt Venc:]]=TODAY(),"Vence Hoje","Vencida")))</f>
        <v>Enviado</v>
      </c>
      <c r="F4671" s="3" t="str">
        <f ca="1">IF(G4671=1,"-",Tabela2[[#This Row],[Dt Venc:]]-TODAY())</f>
        <v>-</v>
      </c>
      <c r="G4671" s="3">
        <v>1</v>
      </c>
      <c r="H4671" s="3"/>
    </row>
    <row r="4672" spans="1:8" hidden="1">
      <c r="A4672" s="3">
        <v>1241</v>
      </c>
      <c r="B4672" s="7" t="s">
        <v>559</v>
      </c>
      <c r="C4672" s="41">
        <v>825</v>
      </c>
      <c r="D4672" s="6">
        <v>45673</v>
      </c>
      <c r="E4672" s="3" t="str">
        <f ca="1">IF(Tabela2[[#This Row],[Dt Venc:]]&gt;TODAY(),"Em Aberto",IF(Tabela2[[#This Row],[D/venc]]="-","Enviado",IF(Tabela2[[#This Row],[Dt Venc:]]=TODAY(),"Vence Hoje","Vencida")))</f>
        <v>Enviado</v>
      </c>
      <c r="F4672" s="3" t="str">
        <f ca="1">IF(G4672=1,"-",Tabela2[[#This Row],[Dt Venc:]]-TODAY())</f>
        <v>-</v>
      </c>
      <c r="G4672" s="3">
        <v>1</v>
      </c>
      <c r="H4672" s="3"/>
    </row>
    <row r="4673" spans="1:8" hidden="1">
      <c r="A4673" s="3">
        <v>227527</v>
      </c>
      <c r="B4673" s="7" t="s">
        <v>127</v>
      </c>
      <c r="C4673" s="41">
        <v>411.65</v>
      </c>
      <c r="D4673" s="6">
        <v>45673</v>
      </c>
      <c r="E4673" s="3" t="str">
        <f ca="1">IF(Tabela2[[#This Row],[Dt Venc:]]&gt;TODAY(),"Em Aberto",IF(Tabela2[[#This Row],[D/venc]]="-","Enviado",IF(Tabela2[[#This Row],[Dt Venc:]]=TODAY(),"Vence Hoje","Vencida")))</f>
        <v>Enviado</v>
      </c>
      <c r="F4673" s="3" t="str">
        <f ca="1">IF(G4673=1,"-",Tabela2[[#This Row],[Dt Venc:]]-TODAY())</f>
        <v>-</v>
      </c>
      <c r="G4673" s="3">
        <v>1</v>
      </c>
      <c r="H4673" s="3"/>
    </row>
    <row r="4674" spans="1:8" hidden="1">
      <c r="A4674" s="3">
        <v>24208</v>
      </c>
      <c r="B4674" s="7" t="s">
        <v>38</v>
      </c>
      <c r="C4674" s="41">
        <v>1020</v>
      </c>
      <c r="D4674" s="6">
        <v>45673</v>
      </c>
      <c r="E4674" s="3" t="str">
        <f ca="1">IF(Tabela2[[#This Row],[Dt Venc:]]&gt;TODAY(),"Em Aberto",IF(Tabela2[[#This Row],[D/venc]]="-","Enviado",IF(Tabela2[[#This Row],[Dt Venc:]]=TODAY(),"Vence Hoje","Vencida")))</f>
        <v>Enviado</v>
      </c>
      <c r="F4674" s="3" t="str">
        <f ca="1">IF(G4674=1,"-",Tabela2[[#This Row],[Dt Venc:]]-TODAY())</f>
        <v>-</v>
      </c>
      <c r="G4674" s="3">
        <v>1</v>
      </c>
      <c r="H4674" s="3"/>
    </row>
    <row r="4675" spans="1:8" hidden="1">
      <c r="A4675" s="3">
        <v>211253</v>
      </c>
      <c r="B4675" s="7" t="s">
        <v>329</v>
      </c>
      <c r="C4675" s="41">
        <v>7245</v>
      </c>
      <c r="D4675" s="6">
        <v>45673</v>
      </c>
      <c r="E4675" s="3" t="str">
        <f ca="1">IF(Tabela2[[#This Row],[Dt Venc:]]&gt;TODAY(),"Em Aberto",IF(Tabela2[[#This Row],[D/venc]]="-","Enviado",IF(Tabela2[[#This Row],[Dt Venc:]]=TODAY(),"Vence Hoje","Vencida")))</f>
        <v>Enviado</v>
      </c>
      <c r="F4675" s="3" t="str">
        <f ca="1">IF(G4675=1,"-",Tabela2[[#This Row],[Dt Venc:]]-TODAY())</f>
        <v>-</v>
      </c>
      <c r="G4675" s="3">
        <v>1</v>
      </c>
      <c r="H4675" s="3"/>
    </row>
    <row r="4676" spans="1:8" hidden="1">
      <c r="A4676" s="3">
        <v>430719</v>
      </c>
      <c r="B4676" s="7" t="s">
        <v>89</v>
      </c>
      <c r="C4676" s="41">
        <v>3802.5</v>
      </c>
      <c r="D4676" s="6">
        <v>45673</v>
      </c>
      <c r="E4676" s="3" t="str">
        <f ca="1">IF(Tabela2[[#This Row],[Dt Venc:]]&gt;TODAY(),"Em Aberto",IF(Tabela2[[#This Row],[D/venc]]="-","Enviado",IF(Tabela2[[#This Row],[Dt Venc:]]=TODAY(),"Vence Hoje","Vencida")))</f>
        <v>Enviado</v>
      </c>
      <c r="F4676" s="3" t="str">
        <f ca="1">IF(G4676=1,"-",Tabela2[[#This Row],[Dt Venc:]]-TODAY())</f>
        <v>-</v>
      </c>
      <c r="G4676" s="3">
        <v>1</v>
      </c>
      <c r="H4676" s="3"/>
    </row>
    <row r="4677" spans="1:8" hidden="1">
      <c r="A4677" s="3">
        <v>35733</v>
      </c>
      <c r="B4677" s="7" t="s">
        <v>637</v>
      </c>
      <c r="C4677" s="41">
        <v>1347.5</v>
      </c>
      <c r="D4677" s="6">
        <v>45673</v>
      </c>
      <c r="E4677" s="3" t="str">
        <f ca="1">IF(Tabela2[[#This Row],[Dt Venc:]]&gt;TODAY(),"Em Aberto",IF(Tabela2[[#This Row],[D/venc]]="-","Enviado",IF(Tabela2[[#This Row],[Dt Venc:]]=TODAY(),"Vence Hoje","Vencida")))</f>
        <v>Enviado</v>
      </c>
      <c r="F4677" s="3" t="str">
        <f ca="1">IF(G4677=1,"-",Tabela2[[#This Row],[Dt Venc:]]-TODAY())</f>
        <v>-</v>
      </c>
      <c r="G4677" s="3">
        <v>1</v>
      </c>
      <c r="H4677" s="3"/>
    </row>
    <row r="4678" spans="1:8" hidden="1">
      <c r="A4678" s="3">
        <v>178215</v>
      </c>
      <c r="B4678" s="7" t="s">
        <v>211</v>
      </c>
      <c r="C4678" s="41">
        <v>526.66</v>
      </c>
      <c r="D4678" s="6">
        <v>45673</v>
      </c>
      <c r="E4678" s="3" t="str">
        <f ca="1">IF(Tabela2[[#This Row],[Dt Venc:]]&gt;TODAY(),"Em Aberto",IF(Tabela2[[#This Row],[D/venc]]="-","Enviado",IF(Tabela2[[#This Row],[Dt Venc:]]=TODAY(),"Vence Hoje","Vencida")))</f>
        <v>Enviado</v>
      </c>
      <c r="F4678" s="3" t="str">
        <f ca="1">IF(G4678=1,"-",Tabela2[[#This Row],[Dt Venc:]]-TODAY())</f>
        <v>-</v>
      </c>
      <c r="G4678" s="3">
        <v>1</v>
      </c>
      <c r="H4678" s="3"/>
    </row>
    <row r="4679" spans="1:8" hidden="1">
      <c r="A4679" s="3">
        <v>74328</v>
      </c>
      <c r="B4679" s="7" t="s">
        <v>76</v>
      </c>
      <c r="C4679" s="41">
        <v>802</v>
      </c>
      <c r="D4679" s="6">
        <v>45673</v>
      </c>
      <c r="E4679" s="3" t="str">
        <f ca="1">IF(Tabela2[[#This Row],[Dt Venc:]]&gt;TODAY(),"Em Aberto",IF(Tabela2[[#This Row],[D/venc]]="-","Enviado",IF(Tabela2[[#This Row],[Dt Venc:]]=TODAY(),"Vence Hoje","Vencida")))</f>
        <v>Enviado</v>
      </c>
      <c r="F4679" s="3" t="str">
        <f ca="1">IF(G4679=1,"-",Tabela2[[#This Row],[Dt Venc:]]-TODAY())</f>
        <v>-</v>
      </c>
      <c r="G4679" s="3">
        <v>1</v>
      </c>
      <c r="H4679" s="3"/>
    </row>
    <row r="4680" spans="1:8" hidden="1">
      <c r="A4680" s="3">
        <v>8374</v>
      </c>
      <c r="B4680" s="7" t="s">
        <v>623</v>
      </c>
      <c r="C4680" s="41">
        <v>833.34</v>
      </c>
      <c r="D4680" s="6">
        <v>45673</v>
      </c>
      <c r="E4680" s="3" t="str">
        <f ca="1">IF(Tabela2[[#This Row],[Dt Venc:]]&gt;TODAY(),"Em Aberto",IF(Tabela2[[#This Row],[D/venc]]="-","Enviado",IF(Tabela2[[#This Row],[Dt Venc:]]=TODAY(),"Vence Hoje","Vencida")))</f>
        <v>Enviado</v>
      </c>
      <c r="F4680" s="3" t="str">
        <f ca="1">IF(G4680=1,"-",Tabela2[[#This Row],[Dt Venc:]]-TODAY())</f>
        <v>-</v>
      </c>
      <c r="G4680" s="3">
        <v>1</v>
      </c>
      <c r="H4680" s="3"/>
    </row>
    <row r="4681" spans="1:8" hidden="1">
      <c r="A4681" s="3">
        <v>621643</v>
      </c>
      <c r="B4681" s="7" t="s">
        <v>66</v>
      </c>
      <c r="C4681" s="41">
        <v>2357.48</v>
      </c>
      <c r="D4681" s="6">
        <v>45673</v>
      </c>
      <c r="E4681" s="3" t="str">
        <f ca="1">IF(Tabela2[[#This Row],[Dt Venc:]]&gt;TODAY(),"Em Aberto",IF(Tabela2[[#This Row],[D/venc]]="-","Enviado",IF(Tabela2[[#This Row],[Dt Venc:]]=TODAY(),"Vence Hoje","Vencida")))</f>
        <v>Enviado</v>
      </c>
      <c r="F4681" s="3" t="str">
        <f ca="1">IF(G4681=1,"-",Tabela2[[#This Row],[Dt Venc:]]-TODAY())</f>
        <v>-</v>
      </c>
      <c r="G4681" s="3">
        <v>1</v>
      </c>
      <c r="H4681" s="3"/>
    </row>
    <row r="4682" spans="1:8" hidden="1">
      <c r="A4682" s="3">
        <v>155810</v>
      </c>
      <c r="B4682" s="7" t="s">
        <v>486</v>
      </c>
      <c r="C4682" s="41">
        <v>2152.5</v>
      </c>
      <c r="D4682" s="6">
        <v>45673</v>
      </c>
      <c r="E4682" s="3" t="str">
        <f ca="1">IF(Tabela2[[#This Row],[Dt Venc:]]&gt;TODAY(),"Em Aberto",IF(Tabela2[[#This Row],[D/venc]]="-","Enviado",IF(Tabela2[[#This Row],[Dt Venc:]]=TODAY(),"Vence Hoje","Vencida")))</f>
        <v>Enviado</v>
      </c>
      <c r="F4682" s="3" t="str">
        <f ca="1">IF(G4682=1,"-",Tabela2[[#This Row],[Dt Venc:]]-TODAY())</f>
        <v>-</v>
      </c>
      <c r="G4682" s="3">
        <v>1</v>
      </c>
      <c r="H4682" s="3"/>
    </row>
    <row r="4683" spans="1:8" hidden="1">
      <c r="A4683" s="3">
        <v>155811</v>
      </c>
      <c r="B4683" s="7" t="s">
        <v>486</v>
      </c>
      <c r="C4683" s="41">
        <v>2786.61</v>
      </c>
      <c r="D4683" s="6">
        <v>45673</v>
      </c>
      <c r="E4683" s="3" t="str">
        <f ca="1">IF(Tabela2[[#This Row],[Dt Venc:]]&gt;TODAY(),"Em Aberto",IF(Tabela2[[#This Row],[D/venc]]="-","Enviado",IF(Tabela2[[#This Row],[Dt Venc:]]=TODAY(),"Vence Hoje","Vencida")))</f>
        <v>Enviado</v>
      </c>
      <c r="F4683" s="3" t="str">
        <f ca="1">IF(G4683=1,"-",Tabela2[[#This Row],[Dt Venc:]]-TODAY())</f>
        <v>-</v>
      </c>
      <c r="G4683" s="3">
        <v>1</v>
      </c>
      <c r="H4683" s="3"/>
    </row>
    <row r="4684" spans="1:8" hidden="1">
      <c r="A4684" s="3">
        <v>31038</v>
      </c>
      <c r="B4684" s="7" t="s">
        <v>97</v>
      </c>
      <c r="C4684" s="41">
        <v>3425</v>
      </c>
      <c r="D4684" s="6">
        <v>45673</v>
      </c>
      <c r="E4684" s="3" t="str">
        <f ca="1">IF(Tabela2[[#This Row],[Dt Venc:]]&gt;TODAY(),"Em Aberto",IF(Tabela2[[#This Row],[D/venc]]="-","Enviado",IF(Tabela2[[#This Row],[Dt Venc:]]=TODAY(),"Vence Hoje","Vencida")))</f>
        <v>Enviado</v>
      </c>
      <c r="F4684" s="3" t="str">
        <f ca="1">IF(G4684=1,"-",Tabela2[[#This Row],[Dt Venc:]]-TODAY())</f>
        <v>-</v>
      </c>
      <c r="G4684" s="3">
        <v>1</v>
      </c>
      <c r="H4684" s="3"/>
    </row>
    <row r="4685" spans="1:8" hidden="1">
      <c r="A4685" s="3">
        <v>441298</v>
      </c>
      <c r="B4685" s="7" t="s">
        <v>591</v>
      </c>
      <c r="C4685" s="41">
        <v>1509.45</v>
      </c>
      <c r="D4685" s="6">
        <v>45673</v>
      </c>
      <c r="E4685" s="3" t="str">
        <f ca="1">IF(Tabela2[[#This Row],[Dt Venc:]]&gt;TODAY(),"Em Aberto",IF(Tabela2[[#This Row],[D/venc]]="-","Enviado",IF(Tabela2[[#This Row],[Dt Venc:]]=TODAY(),"Vence Hoje","Vencida")))</f>
        <v>Enviado</v>
      </c>
      <c r="F4685" s="3" t="str">
        <f ca="1">IF(G4685=1,"-",Tabela2[[#This Row],[Dt Venc:]]-TODAY())</f>
        <v>-</v>
      </c>
      <c r="G4685" s="3">
        <v>1</v>
      </c>
      <c r="H4685" s="3"/>
    </row>
    <row r="4686" spans="1:8" hidden="1">
      <c r="A4686" s="3">
        <v>12833</v>
      </c>
      <c r="B4686" s="7" t="s">
        <v>105</v>
      </c>
      <c r="C4686" s="41">
        <v>1625</v>
      </c>
      <c r="D4686" s="6">
        <v>45673</v>
      </c>
      <c r="E4686" s="3" t="str">
        <f ca="1">IF(Tabela2[[#This Row],[Dt Venc:]]&gt;TODAY(),"Em Aberto",IF(Tabela2[[#This Row],[D/venc]]="-","Enviado",IF(Tabela2[[#This Row],[Dt Venc:]]=TODAY(),"Vence Hoje","Vencida")))</f>
        <v>Enviado</v>
      </c>
      <c r="F4686" s="3" t="str">
        <f ca="1">IF(G4686=1,"-",Tabela2[[#This Row],[Dt Venc:]]-TODAY())</f>
        <v>-</v>
      </c>
      <c r="G4686" s="3">
        <v>1</v>
      </c>
      <c r="H4686" s="3"/>
    </row>
    <row r="4687" spans="1:8" hidden="1">
      <c r="A4687" s="3">
        <v>10266</v>
      </c>
      <c r="B4687" s="7" t="s">
        <v>88</v>
      </c>
      <c r="C4687" s="41">
        <v>617.44000000000005</v>
      </c>
      <c r="D4687" s="6">
        <v>45673</v>
      </c>
      <c r="E4687" s="3" t="str">
        <f ca="1">IF(Tabela2[[#This Row],[Dt Venc:]]&gt;TODAY(),"Em Aberto",IF(Tabela2[[#This Row],[D/venc]]="-","Enviado",IF(Tabela2[[#This Row],[Dt Venc:]]=TODAY(),"Vence Hoje","Vencida")))</f>
        <v>Enviado</v>
      </c>
      <c r="F4687" s="3" t="str">
        <f ca="1">IF(G4687=1,"-",Tabela2[[#This Row],[Dt Venc:]]-TODAY())</f>
        <v>-</v>
      </c>
      <c r="G4687" s="3">
        <v>1</v>
      </c>
      <c r="H4687" s="3"/>
    </row>
    <row r="4688" spans="1:8" hidden="1">
      <c r="A4688" s="3">
        <v>14444</v>
      </c>
      <c r="B4688" s="7" t="s">
        <v>303</v>
      </c>
      <c r="C4688" s="41">
        <v>1330</v>
      </c>
      <c r="D4688" s="6">
        <v>45673</v>
      </c>
      <c r="E4688" s="3" t="str">
        <f ca="1">IF(Tabela2[[#This Row],[Dt Venc:]]&gt;TODAY(),"Em Aberto",IF(Tabela2[[#This Row],[D/venc]]="-","Enviado",IF(Tabela2[[#This Row],[Dt Venc:]]=TODAY(),"Vence Hoje","Vencida")))</f>
        <v>Enviado</v>
      </c>
      <c r="F4688" s="3" t="str">
        <f ca="1">IF(G4688=1,"-",Tabela2[[#This Row],[Dt Venc:]]-TODAY())</f>
        <v>-</v>
      </c>
      <c r="G4688" s="3">
        <v>1</v>
      </c>
      <c r="H4688" s="3"/>
    </row>
    <row r="4689" spans="1:8" hidden="1">
      <c r="A4689" s="3">
        <v>31802</v>
      </c>
      <c r="B4689" s="7" t="s">
        <v>524</v>
      </c>
      <c r="C4689" s="41">
        <v>716.67</v>
      </c>
      <c r="D4689" s="6">
        <v>45673</v>
      </c>
      <c r="E4689" s="3" t="str">
        <f ca="1">IF(Tabela2[[#This Row],[Dt Venc:]]&gt;TODAY(),"Em Aberto",IF(Tabela2[[#This Row],[D/venc]]="-","Enviado",IF(Tabela2[[#This Row],[Dt Venc:]]=TODAY(),"Vence Hoje","Vencida")))</f>
        <v>Enviado</v>
      </c>
      <c r="F4689" s="3" t="str">
        <f ca="1">IF(G4689=1,"-",Tabela2[[#This Row],[Dt Venc:]]-TODAY())</f>
        <v>-</v>
      </c>
      <c r="G4689" s="3">
        <v>1</v>
      </c>
      <c r="H4689" s="3"/>
    </row>
    <row r="4690" spans="1:8" hidden="1">
      <c r="A4690" s="3">
        <v>2919</v>
      </c>
      <c r="B4690" s="7" t="s">
        <v>58</v>
      </c>
      <c r="C4690" s="41">
        <v>2195.8000000000002</v>
      </c>
      <c r="D4690" s="6">
        <v>45673</v>
      </c>
      <c r="E4690" s="3" t="str">
        <f ca="1">IF(Tabela2[[#This Row],[Dt Venc:]]&gt;TODAY(),"Em Aberto",IF(Tabela2[[#This Row],[D/venc]]="-","Enviado",IF(Tabela2[[#This Row],[Dt Venc:]]=TODAY(),"Vence Hoje","Vencida")))</f>
        <v>Enviado</v>
      </c>
      <c r="F4690" s="3" t="str">
        <f ca="1">IF(G4690=1,"-",Tabela2[[#This Row],[Dt Venc:]]-TODAY())</f>
        <v>-</v>
      </c>
      <c r="G4690" s="3">
        <v>1</v>
      </c>
      <c r="H4690" s="3"/>
    </row>
    <row r="4691" spans="1:8" hidden="1">
      <c r="A4691" s="3">
        <v>178305</v>
      </c>
      <c r="B4691" s="7" t="s">
        <v>211</v>
      </c>
      <c r="C4691" s="41">
        <v>493.34</v>
      </c>
      <c r="D4691" s="6">
        <v>45673</v>
      </c>
      <c r="E4691" s="3" t="str">
        <f ca="1">IF(Tabela2[[#This Row],[Dt Venc:]]&gt;TODAY(),"Em Aberto",IF(Tabela2[[#This Row],[D/venc]]="-","Enviado",IF(Tabela2[[#This Row],[Dt Venc:]]=TODAY(),"Vence Hoje","Vencida")))</f>
        <v>Enviado</v>
      </c>
      <c r="F4691" s="3" t="str">
        <f ca="1">IF(G4691=1,"-",Tabela2[[#This Row],[Dt Venc:]]-TODAY())</f>
        <v>-</v>
      </c>
      <c r="G4691" s="3">
        <v>1</v>
      </c>
      <c r="H4691" s="3"/>
    </row>
    <row r="4692" spans="1:8" hidden="1">
      <c r="A4692" s="3" t="s">
        <v>110</v>
      </c>
      <c r="B4692" s="7" t="s">
        <v>272</v>
      </c>
      <c r="C4692" s="96" t="s">
        <v>32</v>
      </c>
      <c r="D4692" s="6">
        <v>45673</v>
      </c>
      <c r="E4692" s="3" t="str">
        <f ca="1">IF(Tabela2[[#This Row],[Dt Venc:]]&gt;TODAY(),"Em Aberto",IF(Tabela2[[#This Row],[D/venc]]="-","Enviado",IF(Tabela2[[#This Row],[Dt Venc:]]=TODAY(),"Vence Hoje","Vencida")))</f>
        <v>Enviado</v>
      </c>
      <c r="F4692" s="3" t="str">
        <f ca="1">IF(G4692=1,"-",Tabela2[[#This Row],[Dt Venc:]]-TODAY())</f>
        <v>-</v>
      </c>
      <c r="G4692" s="3">
        <v>1</v>
      </c>
      <c r="H4692" s="3"/>
    </row>
    <row r="4693" spans="1:8" hidden="1">
      <c r="A4693" s="3">
        <v>5790</v>
      </c>
      <c r="B4693" s="7" t="s">
        <v>43</v>
      </c>
      <c r="C4693" s="41">
        <v>494</v>
      </c>
      <c r="D4693" s="6">
        <v>45673</v>
      </c>
      <c r="E4693" s="3" t="str">
        <f ca="1">IF(Tabela2[[#This Row],[Dt Venc:]]&gt;TODAY(),"Em Aberto",IF(Tabela2[[#This Row],[D/venc]]="-","Enviado",IF(Tabela2[[#This Row],[Dt Venc:]]=TODAY(),"Vence Hoje","Vencida")))</f>
        <v>Enviado</v>
      </c>
      <c r="F4693" s="3" t="str">
        <f ca="1">IF(G4693=1,"-",Tabela2[[#This Row],[Dt Venc:]]-TODAY())</f>
        <v>-</v>
      </c>
      <c r="G4693" s="3">
        <v>1</v>
      </c>
      <c r="H4693" s="3"/>
    </row>
    <row r="4694" spans="1:8" hidden="1">
      <c r="A4694" s="3">
        <v>37196</v>
      </c>
      <c r="B4694" s="7" t="s">
        <v>167</v>
      </c>
      <c r="C4694" s="87" t="s">
        <v>32</v>
      </c>
      <c r="D4694" s="6">
        <v>45674</v>
      </c>
      <c r="E4694" s="3" t="str">
        <f ca="1">IF(Tabela2[[#This Row],[Dt Venc:]]&gt;TODAY(),"Em Aberto",IF(Tabela2[[#This Row],[D/venc]]="-","Enviado",IF(Tabela2[[#This Row],[Dt Venc:]]=TODAY(),"Vence Hoje","Vencida")))</f>
        <v>Enviado</v>
      </c>
      <c r="F4694" s="3" t="str">
        <f ca="1">IF(G4694=1,"-",Tabela2[[#This Row],[Dt Venc:]]-TODAY())</f>
        <v>-</v>
      </c>
      <c r="G4694" s="3">
        <v>1</v>
      </c>
      <c r="H4694" s="3"/>
    </row>
    <row r="4695" spans="1:8" hidden="1">
      <c r="A4695" s="3">
        <v>11039</v>
      </c>
      <c r="B4695" s="7" t="s">
        <v>33</v>
      </c>
      <c r="C4695" s="41">
        <v>1653.4</v>
      </c>
      <c r="D4695" s="6">
        <v>45674</v>
      </c>
      <c r="E4695" s="3" t="str">
        <f ca="1">IF(Tabela2[[#This Row],[Dt Venc:]]&gt;TODAY(),"Em Aberto",IF(Tabela2[[#This Row],[D/venc]]="-","Enviado",IF(Tabela2[[#This Row],[Dt Venc:]]=TODAY(),"Vence Hoje","Vencida")))</f>
        <v>Enviado</v>
      </c>
      <c r="F4695" s="3" t="str">
        <f ca="1">IF(G4695=1,"-",Tabela2[[#This Row],[Dt Venc:]]-TODAY())</f>
        <v>-</v>
      </c>
      <c r="G4695" s="3">
        <v>1</v>
      </c>
      <c r="H4695" s="3"/>
    </row>
    <row r="4696" spans="1:8" hidden="1">
      <c r="A4696" s="3">
        <v>26283</v>
      </c>
      <c r="B4696" s="7" t="s">
        <v>267</v>
      </c>
      <c r="C4696" s="41">
        <v>528</v>
      </c>
      <c r="D4696" s="6">
        <v>45674</v>
      </c>
      <c r="E4696" s="3" t="str">
        <f ca="1">IF(Tabela2[[#This Row],[Dt Venc:]]&gt;TODAY(),"Em Aberto",IF(Tabela2[[#This Row],[D/venc]]="-","Enviado",IF(Tabela2[[#This Row],[Dt Venc:]]=TODAY(),"Vence Hoje","Vencida")))</f>
        <v>Enviado</v>
      </c>
      <c r="F4696" s="3" t="str">
        <f ca="1">IF(G4696=1,"-",Tabela2[[#This Row],[Dt Venc:]]-TODAY())</f>
        <v>-</v>
      </c>
      <c r="G4696" s="3">
        <v>1</v>
      </c>
      <c r="H4696" s="3"/>
    </row>
    <row r="4697" spans="1:8" hidden="1">
      <c r="A4697" s="3">
        <v>269915</v>
      </c>
      <c r="B4697" s="7" t="s">
        <v>36</v>
      </c>
      <c r="C4697" s="41">
        <v>2142.13</v>
      </c>
      <c r="D4697" s="6">
        <v>45674</v>
      </c>
      <c r="E4697" s="3" t="str">
        <f ca="1">IF(Tabela2[[#This Row],[Dt Venc:]]&gt;TODAY(),"Em Aberto",IF(Tabela2[[#This Row],[D/venc]]="-","Enviado",IF(Tabela2[[#This Row],[Dt Venc:]]=TODAY(),"Vence Hoje","Vencida")))</f>
        <v>Enviado</v>
      </c>
      <c r="F4697" s="3" t="str">
        <f ca="1">IF(G4697=1,"-",Tabela2[[#This Row],[Dt Venc:]]-TODAY())</f>
        <v>-</v>
      </c>
      <c r="G4697" s="3">
        <v>1</v>
      </c>
      <c r="H4697" s="3"/>
    </row>
    <row r="4698" spans="1:8" hidden="1">
      <c r="A4698" s="3">
        <v>428747</v>
      </c>
      <c r="B4698" s="7" t="s">
        <v>89</v>
      </c>
      <c r="C4698" s="41">
        <v>1686</v>
      </c>
      <c r="D4698" s="6">
        <v>45674</v>
      </c>
      <c r="E4698" s="3" t="str">
        <f ca="1">IF(Tabela2[[#This Row],[Dt Venc:]]&gt;TODAY(),"Em Aberto",IF(Tabela2[[#This Row],[D/venc]]="-","Enviado",IF(Tabela2[[#This Row],[Dt Venc:]]=TODAY(),"Vence Hoje","Vencida")))</f>
        <v>Enviado</v>
      </c>
      <c r="F4698" s="3" t="str">
        <f ca="1">IF(G4698=1,"-",Tabela2[[#This Row],[Dt Venc:]]-TODAY())</f>
        <v>-</v>
      </c>
      <c r="G4698" s="3">
        <v>1</v>
      </c>
      <c r="H4698" s="3"/>
    </row>
    <row r="4699" spans="1:8" hidden="1">
      <c r="A4699" s="3">
        <v>394952</v>
      </c>
      <c r="B4699" s="7" t="s">
        <v>445</v>
      </c>
      <c r="C4699" s="41">
        <v>1870</v>
      </c>
      <c r="D4699" s="6">
        <v>45674</v>
      </c>
      <c r="E4699" s="3" t="str">
        <f ca="1">IF(Tabela2[[#This Row],[Dt Venc:]]&gt;TODAY(),"Em Aberto",IF(Tabela2[[#This Row],[D/venc]]="-","Enviado",IF(Tabela2[[#This Row],[Dt Venc:]]=TODAY(),"Vence Hoje","Vencida")))</f>
        <v>Enviado</v>
      </c>
      <c r="F4699" s="3" t="str">
        <f ca="1">IF(G4699=1,"-",Tabela2[[#This Row],[Dt Venc:]]-TODAY())</f>
        <v>-</v>
      </c>
      <c r="G4699" s="3">
        <v>1</v>
      </c>
      <c r="H4699" s="3"/>
    </row>
    <row r="4700" spans="1:8" hidden="1">
      <c r="A4700" s="3">
        <v>220574</v>
      </c>
      <c r="B4700" s="7" t="s">
        <v>127</v>
      </c>
      <c r="C4700" s="42">
        <v>2056.2199999999998</v>
      </c>
      <c r="D4700" s="6">
        <v>45674</v>
      </c>
      <c r="E4700" s="3" t="str">
        <f ca="1">IF(Tabela2[[#This Row],[Dt Venc:]]&gt;TODAY(),"Em Aberto",IF(Tabela2[[#This Row],[D/venc]]="-","Enviado",IF(Tabela2[[#This Row],[Dt Venc:]]=TODAY(),"Vence Hoje","Vencida")))</f>
        <v>Enviado</v>
      </c>
      <c r="F4700" s="3" t="str">
        <f ca="1">IF(G4700=1,"-",Tabela2[[#This Row],[Dt Venc:]]-TODAY())</f>
        <v>-</v>
      </c>
      <c r="G4700" s="3">
        <v>1</v>
      </c>
      <c r="H4700" s="3"/>
    </row>
    <row r="4701" spans="1:8" hidden="1">
      <c r="A4701" s="3">
        <v>225353</v>
      </c>
      <c r="B4701" s="7" t="s">
        <v>127</v>
      </c>
      <c r="C4701" s="41">
        <v>874.83</v>
      </c>
      <c r="D4701" s="6">
        <v>45674</v>
      </c>
      <c r="E4701" s="3" t="str">
        <f ca="1">IF(Tabela2[[#This Row],[Dt Venc:]]&gt;TODAY(),"Em Aberto",IF(Tabela2[[#This Row],[D/venc]]="-","Enviado",IF(Tabela2[[#This Row],[Dt Venc:]]=TODAY(),"Vence Hoje","Vencida")))</f>
        <v>Enviado</v>
      </c>
      <c r="F4701" s="3" t="str">
        <f ca="1">IF(G4701=1,"-",Tabela2[[#This Row],[Dt Venc:]]-TODAY())</f>
        <v>-</v>
      </c>
      <c r="G4701" s="3">
        <v>1</v>
      </c>
      <c r="H4701" s="3"/>
    </row>
    <row r="4702" spans="1:8" hidden="1">
      <c r="A4702" s="3">
        <v>186906</v>
      </c>
      <c r="B4702" s="7" t="s">
        <v>462</v>
      </c>
      <c r="C4702" s="41">
        <v>3383.44</v>
      </c>
      <c r="D4702" s="6">
        <v>45674</v>
      </c>
      <c r="E4702" s="3" t="str">
        <f ca="1">IF(Tabela2[[#This Row],[Dt Venc:]]&gt;TODAY(),"Em Aberto",IF(Tabela2[[#This Row],[D/venc]]="-","Enviado",IF(Tabela2[[#This Row],[Dt Venc:]]=TODAY(),"Vence Hoje","Vencida")))</f>
        <v>Enviado</v>
      </c>
      <c r="F4702" s="3" t="str">
        <f ca="1">IF(G4702=1,"-",Tabela2[[#This Row],[Dt Venc:]]-TODAY())</f>
        <v>-</v>
      </c>
      <c r="G4702" s="3">
        <v>1</v>
      </c>
      <c r="H4702" s="3"/>
    </row>
    <row r="4703" spans="1:8" hidden="1">
      <c r="A4703" s="3">
        <v>14204</v>
      </c>
      <c r="B4703" s="7" t="s">
        <v>51</v>
      </c>
      <c r="C4703" s="41">
        <v>976.67</v>
      </c>
      <c r="D4703" s="6">
        <v>45674</v>
      </c>
      <c r="E4703" s="3" t="str">
        <f ca="1">IF(Tabela2[[#This Row],[Dt Venc:]]&gt;TODAY(),"Em Aberto",IF(Tabela2[[#This Row],[D/venc]]="-","Enviado",IF(Tabela2[[#This Row],[Dt Venc:]]=TODAY(),"Vence Hoje","Vencida")))</f>
        <v>Enviado</v>
      </c>
      <c r="F4703" s="3" t="str">
        <f ca="1">IF(G4703=1,"-",Tabela2[[#This Row],[Dt Venc:]]-TODAY())</f>
        <v>-</v>
      </c>
      <c r="G4703" s="3">
        <v>1</v>
      </c>
      <c r="H4703" s="3"/>
    </row>
    <row r="4704" spans="1:8" hidden="1">
      <c r="A4704" s="3">
        <v>73251</v>
      </c>
      <c r="B4704" s="7" t="s">
        <v>76</v>
      </c>
      <c r="C4704" s="41">
        <v>1508.76</v>
      </c>
      <c r="D4704" s="6">
        <v>45674</v>
      </c>
      <c r="E4704" s="3" t="str">
        <f ca="1">IF(Tabela2[[#This Row],[Dt Venc:]]&gt;TODAY(),"Em Aberto",IF(Tabela2[[#This Row],[D/venc]]="-","Enviado",IF(Tabela2[[#This Row],[Dt Venc:]]=TODAY(),"Vence Hoje","Vencida")))</f>
        <v>Enviado</v>
      </c>
      <c r="F4704" s="3" t="str">
        <f ca="1">IF(G4704=1,"-",Tabela2[[#This Row],[Dt Venc:]]-TODAY())</f>
        <v>-</v>
      </c>
      <c r="G4704" s="3">
        <v>1</v>
      </c>
      <c r="H4704" s="3"/>
    </row>
    <row r="4705" spans="1:8" hidden="1">
      <c r="A4705" s="3">
        <v>304145</v>
      </c>
      <c r="B4705" s="7" t="s">
        <v>189</v>
      </c>
      <c r="C4705" s="41">
        <v>15565</v>
      </c>
      <c r="D4705" s="6">
        <v>45674</v>
      </c>
      <c r="E4705" s="3" t="str">
        <f ca="1">IF(Tabela2[[#This Row],[Dt Venc:]]&gt;TODAY(),"Em Aberto",IF(Tabela2[[#This Row],[D/venc]]="-","Enviado",IF(Tabela2[[#This Row],[Dt Venc:]]=TODAY(),"Vence Hoje","Vencida")))</f>
        <v>Enviado</v>
      </c>
      <c r="F4705" s="3" t="str">
        <f ca="1">IF(G4705=1,"-",Tabela2[[#This Row],[Dt Venc:]]-TODAY())</f>
        <v>-</v>
      </c>
      <c r="G4705" s="3">
        <v>1</v>
      </c>
      <c r="H4705" s="3"/>
    </row>
    <row r="4706" spans="1:8" hidden="1">
      <c r="A4706" s="3">
        <v>304143</v>
      </c>
      <c r="B4706" s="7" t="s">
        <v>189</v>
      </c>
      <c r="C4706" s="41">
        <v>15565</v>
      </c>
      <c r="D4706" s="6">
        <v>45674</v>
      </c>
      <c r="E4706" s="3" t="str">
        <f ca="1">IF(Tabela2[[#This Row],[Dt Venc:]]&gt;TODAY(),"Em Aberto",IF(Tabela2[[#This Row],[D/venc]]="-","Enviado",IF(Tabela2[[#This Row],[Dt Venc:]]=TODAY(),"Vence Hoje","Vencida")))</f>
        <v>Enviado</v>
      </c>
      <c r="F4706" s="3" t="str">
        <f ca="1">IF(G4706=1,"-",Tabela2[[#This Row],[Dt Venc:]]-TODAY())</f>
        <v>-</v>
      </c>
      <c r="G4706" s="3">
        <v>1</v>
      </c>
      <c r="H4706" s="3"/>
    </row>
    <row r="4707" spans="1:8" hidden="1">
      <c r="A4707" s="3">
        <v>304144</v>
      </c>
      <c r="B4707" s="7" t="s">
        <v>189</v>
      </c>
      <c r="C4707" s="41">
        <v>16036.67</v>
      </c>
      <c r="D4707" s="6">
        <v>45674</v>
      </c>
      <c r="E4707" s="3" t="str">
        <f ca="1">IF(Tabela2[[#This Row],[Dt Venc:]]&gt;TODAY(),"Em Aberto",IF(Tabela2[[#This Row],[D/venc]]="-","Enviado",IF(Tabela2[[#This Row],[Dt Venc:]]=TODAY(),"Vence Hoje","Vencida")))</f>
        <v>Enviado</v>
      </c>
      <c r="F4707" s="3" t="str">
        <f ca="1">IF(G4707=1,"-",Tabela2[[#This Row],[Dt Venc:]]-TODAY())</f>
        <v>-</v>
      </c>
      <c r="G4707" s="3">
        <v>1</v>
      </c>
      <c r="H4707" s="3"/>
    </row>
    <row r="4708" spans="1:8" hidden="1">
      <c r="A4708" s="3">
        <v>12076</v>
      </c>
      <c r="B4708" s="7" t="s">
        <v>72</v>
      </c>
      <c r="C4708" s="41">
        <v>1566.66</v>
      </c>
      <c r="D4708" s="6">
        <v>45674</v>
      </c>
      <c r="E4708" s="3" t="str">
        <f ca="1">IF(Tabela2[[#This Row],[Dt Venc:]]&gt;TODAY(),"Em Aberto",IF(Tabela2[[#This Row],[D/venc]]="-","Enviado",IF(Tabela2[[#This Row],[Dt Venc:]]=TODAY(),"Vence Hoje","Vencida")))</f>
        <v>Enviado</v>
      </c>
      <c r="F4708" s="3" t="str">
        <f ca="1">IF(G4708=1,"-",Tabela2[[#This Row],[Dt Venc:]]-TODAY())</f>
        <v>-</v>
      </c>
      <c r="G4708" s="3">
        <v>1</v>
      </c>
      <c r="H4708" s="3"/>
    </row>
    <row r="4709" spans="1:8" hidden="1">
      <c r="A4709" s="3">
        <v>89362</v>
      </c>
      <c r="B4709" s="7" t="s">
        <v>207</v>
      </c>
      <c r="C4709" s="41">
        <v>720</v>
      </c>
      <c r="D4709" s="6">
        <v>45674</v>
      </c>
      <c r="E4709" s="3" t="str">
        <f ca="1">IF(Tabela2[[#This Row],[Dt Venc:]]&gt;TODAY(),"Em Aberto",IF(Tabela2[[#This Row],[D/venc]]="-","Enviado",IF(Tabela2[[#This Row],[Dt Venc:]]=TODAY(),"Vence Hoje","Vencida")))</f>
        <v>Enviado</v>
      </c>
      <c r="F4709" s="3" t="str">
        <f ca="1">IF(G4709=1,"-",Tabela2[[#This Row],[Dt Venc:]]-TODAY())</f>
        <v>-</v>
      </c>
      <c r="G4709" s="3">
        <v>1</v>
      </c>
      <c r="H4709" s="3"/>
    </row>
    <row r="4710" spans="1:8" hidden="1">
      <c r="A4710" s="3">
        <v>176290</v>
      </c>
      <c r="B4710" s="7" t="s">
        <v>211</v>
      </c>
      <c r="C4710" s="41">
        <v>427.5</v>
      </c>
      <c r="D4710" s="6">
        <v>45674</v>
      </c>
      <c r="E4710" s="3" t="str">
        <f ca="1">IF(Tabela2[[#This Row],[Dt Venc:]]&gt;TODAY(),"Em Aberto",IF(Tabela2[[#This Row],[D/venc]]="-","Enviado",IF(Tabela2[[#This Row],[Dt Venc:]]=TODAY(),"Vence Hoje","Vencida")))</f>
        <v>Enviado</v>
      </c>
      <c r="F4710" s="3" t="str">
        <f ca="1">IF(G4710=1,"-",Tabela2[[#This Row],[Dt Venc:]]-TODAY())</f>
        <v>-</v>
      </c>
      <c r="G4710" s="3">
        <v>1</v>
      </c>
      <c r="H4710" s="3"/>
    </row>
    <row r="4711" spans="1:8" hidden="1">
      <c r="A4711" s="3">
        <v>4192</v>
      </c>
      <c r="B4711" s="7" t="s">
        <v>479</v>
      </c>
      <c r="C4711" s="41">
        <v>395.26</v>
      </c>
      <c r="D4711" s="6">
        <v>45674</v>
      </c>
      <c r="E4711" s="3" t="str">
        <f ca="1">IF(Tabela2[[#This Row],[Dt Venc:]]&gt;TODAY(),"Em Aberto",IF(Tabela2[[#This Row],[D/venc]]="-","Enviado",IF(Tabela2[[#This Row],[Dt Venc:]]=TODAY(),"Vence Hoje","Vencida")))</f>
        <v>Enviado</v>
      </c>
      <c r="F4711" s="3" t="str">
        <f ca="1">IF(G4711=1,"-",Tabela2[[#This Row],[Dt Venc:]]-TODAY())</f>
        <v>-</v>
      </c>
      <c r="G4711" s="3">
        <v>1</v>
      </c>
      <c r="H4711" s="3"/>
    </row>
    <row r="4712" spans="1:8" hidden="1">
      <c r="A4712" s="3">
        <v>114318</v>
      </c>
      <c r="B4712" s="7" t="s">
        <v>556</v>
      </c>
      <c r="C4712" s="41">
        <v>639.71</v>
      </c>
      <c r="D4712" s="6">
        <v>45674</v>
      </c>
      <c r="E4712" s="3" t="str">
        <f ca="1">IF(Tabela2[[#This Row],[Dt Venc:]]&gt;TODAY(),"Em Aberto",IF(Tabela2[[#This Row],[D/venc]]="-","Enviado",IF(Tabela2[[#This Row],[Dt Venc:]]=TODAY(),"Vence Hoje","Vencida")))</f>
        <v>Enviado</v>
      </c>
      <c r="F4712" s="3" t="str">
        <f ca="1">IF(G4712=1,"-",Tabela2[[#This Row],[Dt Venc:]]-TODAY())</f>
        <v>-</v>
      </c>
      <c r="G4712" s="3">
        <v>1</v>
      </c>
      <c r="H4712" s="3"/>
    </row>
    <row r="4713" spans="1:8" hidden="1">
      <c r="A4713" s="3">
        <v>153932</v>
      </c>
      <c r="B4713" s="7" t="s">
        <v>486</v>
      </c>
      <c r="C4713" s="41">
        <v>1722</v>
      </c>
      <c r="D4713" s="6">
        <v>45674</v>
      </c>
      <c r="E4713" s="3" t="str">
        <f ca="1">IF(Tabela2[[#This Row],[Dt Venc:]]&gt;TODAY(),"Em Aberto",IF(Tabela2[[#This Row],[D/venc]]="-","Enviado",IF(Tabela2[[#This Row],[Dt Venc:]]=TODAY(),"Vence Hoje","Vencida")))</f>
        <v>Enviado</v>
      </c>
      <c r="F4713" s="3" t="str">
        <f ca="1">IF(G4713=1,"-",Tabela2[[#This Row],[Dt Venc:]]-TODAY())</f>
        <v>-</v>
      </c>
      <c r="G4713" s="3">
        <v>1</v>
      </c>
      <c r="H4713" s="3"/>
    </row>
    <row r="4714" spans="1:8" hidden="1">
      <c r="A4714" s="3">
        <v>257112</v>
      </c>
      <c r="B4714" s="7" t="s">
        <v>43</v>
      </c>
      <c r="C4714" s="41">
        <v>1492.34</v>
      </c>
      <c r="D4714" s="6">
        <v>45674</v>
      </c>
      <c r="E4714" s="3" t="str">
        <f ca="1">IF(Tabela2[[#This Row],[Dt Venc:]]&gt;TODAY(),"Em Aberto",IF(Tabela2[[#This Row],[D/venc]]="-","Enviado",IF(Tabela2[[#This Row],[Dt Venc:]]=TODAY(),"Vence Hoje","Vencida")))</f>
        <v>Enviado</v>
      </c>
      <c r="F4714" s="3" t="str">
        <f ca="1">IF(G4714=1,"-",Tabela2[[#This Row],[Dt Venc:]]-TODAY())</f>
        <v>-</v>
      </c>
      <c r="G4714" s="3">
        <v>1</v>
      </c>
      <c r="H4714" s="3"/>
    </row>
    <row r="4715" spans="1:8" hidden="1">
      <c r="A4715" s="3">
        <v>5048</v>
      </c>
      <c r="B4715" s="7" t="s">
        <v>476</v>
      </c>
      <c r="C4715" s="41">
        <v>700</v>
      </c>
      <c r="D4715" s="6">
        <v>45674</v>
      </c>
      <c r="E4715" s="3" t="str">
        <f ca="1">IF(Tabela2[[#This Row],[Dt Venc:]]&gt;TODAY(),"Em Aberto",IF(Tabela2[[#This Row],[D/venc]]="-","Enviado",IF(Tabela2[[#This Row],[Dt Venc:]]=TODAY(),"Vence Hoje","Vencida")))</f>
        <v>Enviado</v>
      </c>
      <c r="F4715" s="3" t="str">
        <f ca="1">IF(G4715=1,"-",Tabela2[[#This Row],[Dt Venc:]]-TODAY())</f>
        <v>-</v>
      </c>
      <c r="G4715" s="3">
        <v>1</v>
      </c>
      <c r="H4715" s="3"/>
    </row>
    <row r="4716" spans="1:8" hidden="1">
      <c r="A4716" s="3">
        <v>328982</v>
      </c>
      <c r="B4716" s="7" t="s">
        <v>261</v>
      </c>
      <c r="C4716" s="41">
        <v>613</v>
      </c>
      <c r="D4716" s="6">
        <v>45674</v>
      </c>
      <c r="E4716" s="3" t="str">
        <f ca="1">IF(Tabela2[[#This Row],[Dt Venc:]]&gt;TODAY(),"Em Aberto",IF(Tabela2[[#This Row],[D/venc]]="-","Enviado",IF(Tabela2[[#This Row],[Dt Venc:]]=TODAY(),"Vence Hoje","Vencida")))</f>
        <v>Enviado</v>
      </c>
      <c r="F4716" s="3" t="str">
        <f ca="1">IF(G4716=1,"-",Tabela2[[#This Row],[Dt Venc:]]-TODAY())</f>
        <v>-</v>
      </c>
      <c r="G4716" s="3">
        <v>1</v>
      </c>
      <c r="H4716" s="3"/>
    </row>
    <row r="4717" spans="1:8" hidden="1">
      <c r="A4717" s="3">
        <v>617798</v>
      </c>
      <c r="B4717" s="7" t="s">
        <v>66</v>
      </c>
      <c r="C4717" s="41">
        <v>4486.43</v>
      </c>
      <c r="D4717" s="6">
        <v>45674</v>
      </c>
      <c r="E4717" s="3" t="str">
        <f ca="1">IF(Tabela2[[#This Row],[Dt Venc:]]&gt;TODAY(),"Em Aberto",IF(Tabela2[[#This Row],[D/venc]]="-","Enviado",IF(Tabela2[[#This Row],[Dt Venc:]]=TODAY(),"Vence Hoje","Vencida")))</f>
        <v>Enviado</v>
      </c>
      <c r="F4717" s="3" t="str">
        <f ca="1">IF(G4717=1,"-",Tabela2[[#This Row],[Dt Venc:]]-TODAY())</f>
        <v>-</v>
      </c>
      <c r="G4717" s="3">
        <v>1</v>
      </c>
      <c r="H4717" s="3"/>
    </row>
    <row r="4718" spans="1:8" hidden="1">
      <c r="A4718" s="3">
        <v>225363</v>
      </c>
      <c r="B4718" s="7" t="s">
        <v>127</v>
      </c>
      <c r="C4718" s="41">
        <v>2418.27</v>
      </c>
      <c r="D4718" s="6">
        <v>45674</v>
      </c>
      <c r="E4718" s="3" t="str">
        <f ca="1">IF(Tabela2[[#This Row],[Dt Venc:]]&gt;TODAY(),"Em Aberto",IF(Tabela2[[#This Row],[D/venc]]="-","Enviado",IF(Tabela2[[#This Row],[Dt Venc:]]=TODAY(),"Vence Hoje","Vencida")))</f>
        <v>Enviado</v>
      </c>
      <c r="F4718" s="3" t="str">
        <f ca="1">IF(G4718=1,"-",Tabela2[[#This Row],[Dt Venc:]]-TODAY())</f>
        <v>-</v>
      </c>
      <c r="G4718" s="3">
        <v>1</v>
      </c>
      <c r="H4718" s="3"/>
    </row>
    <row r="4719" spans="1:8" hidden="1">
      <c r="A4719" s="3">
        <v>48454</v>
      </c>
      <c r="B4719" s="7" t="s">
        <v>144</v>
      </c>
      <c r="C4719" s="41">
        <v>1216.6600000000001</v>
      </c>
      <c r="D4719" s="6">
        <v>45674</v>
      </c>
      <c r="E4719" s="3" t="str">
        <f ca="1">IF(Tabela2[[#This Row],[Dt Venc:]]&gt;TODAY(),"Em Aberto",IF(Tabela2[[#This Row],[D/venc]]="-","Enviado",IF(Tabela2[[#This Row],[Dt Venc:]]=TODAY(),"Vence Hoje","Vencida")))</f>
        <v>Enviado</v>
      </c>
      <c r="F4719" s="3" t="str">
        <f ca="1">IF(G4719=1,"-",Tabela2[[#This Row],[Dt Venc:]]-TODAY())</f>
        <v>-</v>
      </c>
      <c r="G4719" s="3">
        <v>1</v>
      </c>
      <c r="H4719" s="3"/>
    </row>
    <row r="4720" spans="1:8" hidden="1">
      <c r="A4720" s="3">
        <v>204704</v>
      </c>
      <c r="B4720" s="7" t="s">
        <v>200</v>
      </c>
      <c r="C4720" s="41">
        <v>1196.6600000000001</v>
      </c>
      <c r="D4720" s="6">
        <v>45674</v>
      </c>
      <c r="E4720" s="3" t="str">
        <f ca="1">IF(Tabela2[[#This Row],[Dt Venc:]]&gt;TODAY(),"Em Aberto",IF(Tabela2[[#This Row],[D/venc]]="-","Enviado",IF(Tabela2[[#This Row],[Dt Venc:]]=TODAY(),"Vence Hoje","Vencida")))</f>
        <v>Enviado</v>
      </c>
      <c r="F4720" s="3" t="str">
        <f ca="1">IF(G4720=1,"-",Tabela2[[#This Row],[Dt Venc:]]-TODAY())</f>
        <v>-</v>
      </c>
      <c r="G4720" s="3">
        <v>1</v>
      </c>
      <c r="H4720" s="3"/>
    </row>
    <row r="4721" spans="1:8" hidden="1">
      <c r="A4721" s="3">
        <v>7276</v>
      </c>
      <c r="B4721" s="7" t="s">
        <v>638</v>
      </c>
      <c r="C4721" s="41">
        <v>931</v>
      </c>
      <c r="D4721" s="6">
        <v>45674</v>
      </c>
      <c r="E4721" s="3" t="str">
        <f ca="1">IF(Tabela2[[#This Row],[Dt Venc:]]&gt;TODAY(),"Em Aberto",IF(Tabela2[[#This Row],[D/venc]]="-","Enviado",IF(Tabela2[[#This Row],[Dt Venc:]]=TODAY(),"Vence Hoje","Vencida")))</f>
        <v>Enviado</v>
      </c>
      <c r="F4721" s="3" t="str">
        <f ca="1">IF(G4721=1,"-",Tabela2[[#This Row],[Dt Venc:]]-TODAY())</f>
        <v>-</v>
      </c>
      <c r="G4721" s="3">
        <v>1</v>
      </c>
      <c r="H4721" s="3"/>
    </row>
    <row r="4722" spans="1:8" hidden="1">
      <c r="A4722" s="3">
        <v>114</v>
      </c>
      <c r="B4722" s="7" t="s">
        <v>95</v>
      </c>
      <c r="C4722" s="41">
        <v>1515.64</v>
      </c>
      <c r="D4722" s="6">
        <v>45674</v>
      </c>
      <c r="E4722" s="3" t="str">
        <f ca="1">IF(Tabela2[[#This Row],[Dt Venc:]]&gt;TODAY(),"Em Aberto",IF(Tabela2[[#This Row],[D/venc]]="-","Enviado",IF(Tabela2[[#This Row],[Dt Venc:]]=TODAY(),"Vence Hoje","Vencida")))</f>
        <v>Enviado</v>
      </c>
      <c r="F4722" s="3" t="str">
        <f ca="1">IF(G4722=1,"-",Tabela2[[#This Row],[Dt Venc:]]-TODAY())</f>
        <v>-</v>
      </c>
      <c r="G4722" s="3">
        <v>1</v>
      </c>
      <c r="H4722" s="3"/>
    </row>
    <row r="4723" spans="1:8" hidden="1">
      <c r="A4723" s="3">
        <v>15336</v>
      </c>
      <c r="B4723" s="7" t="s">
        <v>99</v>
      </c>
      <c r="C4723" s="41">
        <v>743.75</v>
      </c>
      <c r="D4723" s="6">
        <v>45674</v>
      </c>
      <c r="E4723" s="3" t="str">
        <f ca="1">IF(Tabela2[[#This Row],[Dt Venc:]]&gt;TODAY(),"Em Aberto",IF(Tabela2[[#This Row],[D/venc]]="-","Enviado",IF(Tabela2[[#This Row],[Dt Venc:]]=TODAY(),"Vence Hoje","Vencida")))</f>
        <v>Enviado</v>
      </c>
      <c r="F4723" s="3" t="str">
        <f ca="1">IF(G4723=1,"-",Tabela2[[#This Row],[Dt Venc:]]-TODAY())</f>
        <v>-</v>
      </c>
      <c r="G4723" s="3">
        <v>1</v>
      </c>
      <c r="H4723" s="3"/>
    </row>
    <row r="4724" spans="1:8" hidden="1">
      <c r="A4724" s="3">
        <v>258491</v>
      </c>
      <c r="B4724" s="7" t="s">
        <v>49</v>
      </c>
      <c r="C4724" s="41">
        <v>1030</v>
      </c>
      <c r="D4724" s="6">
        <v>45674</v>
      </c>
      <c r="E4724" s="3" t="str">
        <f ca="1">IF(Tabela2[[#This Row],[Dt Venc:]]&gt;TODAY(),"Em Aberto",IF(Tabela2[[#This Row],[D/venc]]="-","Enviado",IF(Tabela2[[#This Row],[Dt Venc:]]=TODAY(),"Vence Hoje","Vencida")))</f>
        <v>Enviado</v>
      </c>
      <c r="F4724" s="3" t="str">
        <f ca="1">IF(G4724=1,"-",Tabela2[[#This Row],[Dt Venc:]]-TODAY())</f>
        <v>-</v>
      </c>
      <c r="G4724" s="3">
        <v>1</v>
      </c>
      <c r="H4724" s="3"/>
    </row>
    <row r="4725" spans="1:8" hidden="1">
      <c r="A4725" s="3">
        <v>19858</v>
      </c>
      <c r="B4725" s="7" t="s">
        <v>41</v>
      </c>
      <c r="C4725" s="41">
        <v>700</v>
      </c>
      <c r="D4725" s="6">
        <v>45674</v>
      </c>
      <c r="E4725" s="3" t="str">
        <f ca="1">IF(Tabela2[[#This Row],[Dt Venc:]]&gt;TODAY(),"Em Aberto",IF(Tabela2[[#This Row],[D/venc]]="-","Enviado",IF(Tabela2[[#This Row],[Dt Venc:]]=TODAY(),"Vence Hoje","Vencida")))</f>
        <v>Enviado</v>
      </c>
      <c r="F4725" s="3" t="str">
        <f ca="1">IF(G4725=1,"-",Tabela2[[#This Row],[Dt Venc:]]-TODAY())</f>
        <v>-</v>
      </c>
      <c r="G4725" s="3">
        <v>1</v>
      </c>
      <c r="H4725" s="3"/>
    </row>
    <row r="4726" spans="1:8" hidden="1">
      <c r="A4726" s="3">
        <v>109939</v>
      </c>
      <c r="B4726" s="7" t="s">
        <v>612</v>
      </c>
      <c r="C4726" s="41">
        <v>1910</v>
      </c>
      <c r="D4726" s="6">
        <v>45674</v>
      </c>
      <c r="E4726" s="3" t="str">
        <f ca="1">IF(Tabela2[[#This Row],[Dt Venc:]]&gt;TODAY(),"Em Aberto",IF(Tabela2[[#This Row],[D/venc]]="-","Enviado",IF(Tabela2[[#This Row],[Dt Venc:]]=TODAY(),"Vence Hoje","Vencida")))</f>
        <v>Enviado</v>
      </c>
      <c r="F4726" s="3" t="str">
        <f ca="1">IF(G4726=1,"-",Tabela2[[#This Row],[Dt Venc:]]-TODAY())</f>
        <v>-</v>
      </c>
      <c r="G4726" s="3">
        <v>1</v>
      </c>
      <c r="H4726" s="3"/>
    </row>
    <row r="4727" spans="1:8" hidden="1">
      <c r="A4727" s="3">
        <v>3189</v>
      </c>
      <c r="B4727" s="7" t="s">
        <v>639</v>
      </c>
      <c r="C4727" s="41">
        <v>1500</v>
      </c>
      <c r="D4727" s="6">
        <v>45674</v>
      </c>
      <c r="E4727" s="3" t="str">
        <f ca="1">IF(Tabela2[[#This Row],[Dt Venc:]]&gt;TODAY(),"Em Aberto",IF(Tabela2[[#This Row],[D/venc]]="-","Enviado",IF(Tabela2[[#This Row],[Dt Venc:]]=TODAY(),"Vence Hoje","Vencida")))</f>
        <v>Enviado</v>
      </c>
      <c r="F4727" s="3" t="str">
        <f ca="1">IF(G4727=1,"-",Tabela2[[#This Row],[Dt Venc:]]-TODAY())</f>
        <v>-</v>
      </c>
      <c r="G4727" s="3">
        <v>1</v>
      </c>
      <c r="H4727" s="3"/>
    </row>
    <row r="4728" spans="1:8" hidden="1">
      <c r="A4728" s="3">
        <v>3394</v>
      </c>
      <c r="B4728" s="7" t="s">
        <v>639</v>
      </c>
      <c r="C4728" s="41">
        <v>78</v>
      </c>
      <c r="D4728" s="6">
        <v>45674</v>
      </c>
      <c r="E4728" s="3" t="str">
        <f ca="1">IF(Tabela2[[#This Row],[Dt Venc:]]&gt;TODAY(),"Em Aberto",IF(Tabela2[[#This Row],[D/venc]]="-","Enviado",IF(Tabela2[[#This Row],[Dt Venc:]]=TODAY(),"Vence Hoje","Vencida")))</f>
        <v>Enviado</v>
      </c>
      <c r="F4728" s="3" t="str">
        <f ca="1">IF(G4728=1,"-",Tabela2[[#This Row],[Dt Venc:]]-TODAY())</f>
        <v>-</v>
      </c>
      <c r="G4728" s="3">
        <v>1</v>
      </c>
      <c r="H4728" s="3"/>
    </row>
    <row r="4729" spans="1:8" hidden="1">
      <c r="A4729" s="3">
        <v>4568</v>
      </c>
      <c r="B4729" s="7" t="s">
        <v>347</v>
      </c>
      <c r="C4729" s="41">
        <v>446.72</v>
      </c>
      <c r="D4729" s="6">
        <v>45674</v>
      </c>
      <c r="E4729" s="3" t="str">
        <f ca="1">IF(Tabela2[[#This Row],[Dt Venc:]]&gt;TODAY(),"Em Aberto",IF(Tabela2[[#This Row],[D/venc]]="-","Enviado",IF(Tabela2[[#This Row],[Dt Venc:]]=TODAY(),"Vence Hoje","Vencida")))</f>
        <v>Enviado</v>
      </c>
      <c r="F4729" s="3" t="str">
        <f ca="1">IF(G4729=1,"-",Tabela2[[#This Row],[Dt Venc:]]-TODAY())</f>
        <v>-</v>
      </c>
      <c r="G4729" s="3">
        <v>1</v>
      </c>
      <c r="H4729" s="3"/>
    </row>
    <row r="4730" spans="1:8" hidden="1">
      <c r="A4730" s="3">
        <v>275136</v>
      </c>
      <c r="B4730" s="7" t="s">
        <v>36</v>
      </c>
      <c r="C4730" s="41">
        <v>492</v>
      </c>
      <c r="D4730" s="6">
        <v>45674</v>
      </c>
      <c r="E4730" s="3" t="str">
        <f ca="1">IF(Tabela2[[#This Row],[Dt Venc:]]&gt;TODAY(),"Em Aberto",IF(Tabela2[[#This Row],[D/venc]]="-","Enviado",IF(Tabela2[[#This Row],[Dt Venc:]]=TODAY(),"Vence Hoje","Vencida")))</f>
        <v>Enviado</v>
      </c>
      <c r="F4730" s="3" t="str">
        <f ca="1">IF(G4730=1,"-",Tabela2[[#This Row],[Dt Venc:]]-TODAY())</f>
        <v>-</v>
      </c>
      <c r="G4730" s="3">
        <v>1</v>
      </c>
      <c r="H4730" s="3"/>
    </row>
    <row r="4731" spans="1:8" hidden="1">
      <c r="A4731" s="3">
        <v>11242</v>
      </c>
      <c r="B4731" s="7" t="s">
        <v>33</v>
      </c>
      <c r="C4731" s="41">
        <v>1993.3</v>
      </c>
      <c r="D4731" s="6">
        <v>45674</v>
      </c>
      <c r="E4731" s="3" t="str">
        <f ca="1">IF(Tabela2[[#This Row],[Dt Venc:]]&gt;TODAY(),"Em Aberto",IF(Tabela2[[#This Row],[D/venc]]="-","Enviado",IF(Tabela2[[#This Row],[Dt Venc:]]=TODAY(),"Vence Hoje","Vencida")))</f>
        <v>Enviado</v>
      </c>
      <c r="F4731" s="3" t="str">
        <f ca="1">IF(G4731=1,"-",Tabela2[[#This Row],[Dt Venc:]]-TODAY())</f>
        <v>-</v>
      </c>
      <c r="G4731" s="3">
        <v>1</v>
      </c>
      <c r="H4731" s="3"/>
    </row>
    <row r="4732" spans="1:8" hidden="1">
      <c r="A4732" s="3">
        <v>3818</v>
      </c>
      <c r="B4732" s="7" t="s">
        <v>491</v>
      </c>
      <c r="C4732" s="41">
        <v>50</v>
      </c>
      <c r="D4732" s="6">
        <v>45674</v>
      </c>
      <c r="E4732" s="3" t="str">
        <f ca="1">IF(Tabela2[[#This Row],[Dt Venc:]]&gt;TODAY(),"Em Aberto",IF(Tabela2[[#This Row],[D/venc]]="-","Enviado",IF(Tabela2[[#This Row],[Dt Venc:]]=TODAY(),"Vence Hoje","Vencida")))</f>
        <v>Enviado</v>
      </c>
      <c r="F4732" s="3" t="str">
        <f ca="1">IF(G4732=1,"-",Tabela2[[#This Row],[Dt Venc:]]-TODAY())</f>
        <v>-</v>
      </c>
      <c r="G4732" s="3">
        <v>1</v>
      </c>
      <c r="H4732" s="3"/>
    </row>
    <row r="4733" spans="1:8" hidden="1">
      <c r="A4733" s="3">
        <v>259010</v>
      </c>
      <c r="B4733" s="7" t="s">
        <v>49</v>
      </c>
      <c r="C4733" s="41">
        <v>1922.66</v>
      </c>
      <c r="D4733" s="6">
        <v>45674</v>
      </c>
      <c r="E4733" s="3" t="str">
        <f ca="1">IF(Tabela2[[#This Row],[Dt Venc:]]&gt;TODAY(),"Em Aberto",IF(Tabela2[[#This Row],[D/venc]]="-","Enviado",IF(Tabela2[[#This Row],[Dt Venc:]]=TODAY(),"Vence Hoje","Vencida")))</f>
        <v>Enviado</v>
      </c>
      <c r="F4733" s="3" t="str">
        <f ca="1">IF(G4733=1,"-",Tabela2[[#This Row],[Dt Venc:]]-TODAY())</f>
        <v>-</v>
      </c>
      <c r="G4733" s="3">
        <v>1</v>
      </c>
      <c r="H4733" s="3"/>
    </row>
    <row r="4734" spans="1:8" hidden="1">
      <c r="A4734" s="3">
        <v>46391</v>
      </c>
      <c r="B4734" s="7" t="s">
        <v>527</v>
      </c>
      <c r="C4734" s="41">
        <v>436.49</v>
      </c>
      <c r="D4734" s="6">
        <v>45674</v>
      </c>
      <c r="E4734" s="3" t="str">
        <f ca="1">IF(Tabela2[[#This Row],[Dt Venc:]]&gt;TODAY(),"Em Aberto",IF(Tabela2[[#This Row],[D/venc]]="-","Enviado",IF(Tabela2[[#This Row],[Dt Venc:]]=TODAY(),"Vence Hoje","Vencida")))</f>
        <v>Enviado</v>
      </c>
      <c r="F4734" s="3" t="str">
        <f ca="1">IF(G4734=1,"-",Tabela2[[#This Row],[Dt Venc:]]-TODAY())</f>
        <v>-</v>
      </c>
      <c r="G4734" s="3">
        <v>1</v>
      </c>
      <c r="H4734" s="3"/>
    </row>
    <row r="4735" spans="1:8" hidden="1">
      <c r="A4735" s="3">
        <v>1751</v>
      </c>
      <c r="B4735" s="7" t="s">
        <v>560</v>
      </c>
      <c r="C4735" s="41">
        <v>905</v>
      </c>
      <c r="D4735" s="6">
        <v>45674</v>
      </c>
      <c r="E4735" s="3" t="str">
        <f ca="1">IF(Tabela2[[#This Row],[Dt Venc:]]&gt;TODAY(),"Em Aberto",IF(Tabela2[[#This Row],[D/venc]]="-","Enviado",IF(Tabela2[[#This Row],[Dt Venc:]]=TODAY(),"Vence Hoje","Vencida")))</f>
        <v>Enviado</v>
      </c>
      <c r="F4735" s="3" t="str">
        <f ca="1">IF(G4735=1,"-",Tabela2[[#This Row],[Dt Venc:]]-TODAY())</f>
        <v>-</v>
      </c>
      <c r="G4735" s="3">
        <v>1</v>
      </c>
      <c r="H4735" s="3"/>
    </row>
    <row r="4736" spans="1:8" hidden="1">
      <c r="A4736" s="3">
        <v>270666</v>
      </c>
      <c r="B4736" s="7" t="s">
        <v>43</v>
      </c>
      <c r="C4736" s="41">
        <v>1068.0899999999999</v>
      </c>
      <c r="D4736" s="6">
        <v>45674</v>
      </c>
      <c r="E4736" s="3" t="str">
        <f ca="1">IF(Tabela2[[#This Row],[Dt Venc:]]&gt;TODAY(),"Em Aberto",IF(Tabela2[[#This Row],[D/venc]]="-","Enviado",IF(Tabela2[[#This Row],[Dt Venc:]]=TODAY(),"Vence Hoje","Vencida")))</f>
        <v>Enviado</v>
      </c>
      <c r="F4736" s="3" t="str">
        <f ca="1">IF(G4736=1,"-",Tabela2[[#This Row],[Dt Venc:]]-TODAY())</f>
        <v>-</v>
      </c>
      <c r="G4736" s="3">
        <v>1</v>
      </c>
      <c r="H4736" s="3"/>
    </row>
    <row r="4737" spans="1:8" hidden="1">
      <c r="A4737" s="3">
        <v>305503</v>
      </c>
      <c r="B4737" s="7" t="s">
        <v>635</v>
      </c>
      <c r="C4737" s="41">
        <v>307.98</v>
      </c>
      <c r="D4737" s="6">
        <v>45674</v>
      </c>
      <c r="E4737" s="3" t="str">
        <f ca="1">IF(Tabela2[[#This Row],[Dt Venc:]]&gt;TODAY(),"Em Aberto",IF(Tabela2[[#This Row],[D/venc]]="-","Enviado",IF(Tabela2[[#This Row],[Dt Venc:]]=TODAY(),"Vence Hoje","Vencida")))</f>
        <v>Enviado</v>
      </c>
      <c r="F4737" s="3" t="str">
        <f ca="1">IF(G4737=1,"-",Tabela2[[#This Row],[Dt Venc:]]-TODAY())</f>
        <v>-</v>
      </c>
      <c r="G4737" s="3">
        <v>1</v>
      </c>
      <c r="H4737" s="3"/>
    </row>
    <row r="4738" spans="1:8" hidden="1">
      <c r="A4738" s="3">
        <v>205812</v>
      </c>
      <c r="B4738" s="7" t="s">
        <v>204</v>
      </c>
      <c r="C4738" s="41">
        <v>1085.0999999999999</v>
      </c>
      <c r="D4738" s="6">
        <v>45674</v>
      </c>
      <c r="E4738" s="3" t="str">
        <f ca="1">IF(Tabela2[[#This Row],[Dt Venc:]]&gt;TODAY(),"Em Aberto",IF(Tabela2[[#This Row],[D/venc]]="-","Enviado",IF(Tabela2[[#This Row],[Dt Venc:]]=TODAY(),"Vence Hoje","Vencida")))</f>
        <v>Enviado</v>
      </c>
      <c r="F4738" s="3" t="str">
        <f ca="1">IF(G4738=1,"-",Tabela2[[#This Row],[Dt Venc:]]-TODAY())</f>
        <v>-</v>
      </c>
      <c r="G4738" s="3">
        <v>1</v>
      </c>
      <c r="H4738" s="3"/>
    </row>
    <row r="4739" spans="1:8" hidden="1">
      <c r="A4739" s="3">
        <v>52905</v>
      </c>
      <c r="B4739" s="7" t="s">
        <v>117</v>
      </c>
      <c r="C4739" s="41">
        <v>709</v>
      </c>
      <c r="D4739" s="6">
        <v>45674</v>
      </c>
      <c r="E4739" s="3" t="str">
        <f ca="1">IF(Tabela2[[#This Row],[Dt Venc:]]&gt;TODAY(),"Em Aberto",IF(Tabela2[[#This Row],[D/venc]]="-","Enviado",IF(Tabela2[[#This Row],[Dt Venc:]]=TODAY(),"Vence Hoje","Vencida")))</f>
        <v>Enviado</v>
      </c>
      <c r="F4739" s="3" t="str">
        <f ca="1">IF(G4739=1,"-",Tabela2[[#This Row],[Dt Venc:]]-TODAY())</f>
        <v>-</v>
      </c>
      <c r="G4739" s="3">
        <v>1</v>
      </c>
      <c r="H4739" s="3"/>
    </row>
    <row r="4740" spans="1:8" hidden="1">
      <c r="A4740" s="3">
        <v>3333233</v>
      </c>
      <c r="B4740" s="7" t="s">
        <v>71</v>
      </c>
      <c r="C4740" s="41">
        <v>84087</v>
      </c>
      <c r="D4740" s="6">
        <v>45674</v>
      </c>
      <c r="E4740" s="3" t="str">
        <f ca="1">IF(Tabela2[[#This Row],[Dt Venc:]]&gt;TODAY(),"Em Aberto",IF(Tabela2[[#This Row],[D/venc]]="-","Enviado",IF(Tabela2[[#This Row],[Dt Venc:]]=TODAY(),"Vence Hoje","Vencida")))</f>
        <v>Enviado</v>
      </c>
      <c r="F4740" s="3" t="str">
        <f ca="1">IF(G4740=1,"-",Tabela2[[#This Row],[Dt Venc:]]-TODAY())</f>
        <v>-</v>
      </c>
      <c r="G4740" s="3">
        <v>1</v>
      </c>
      <c r="H4740" s="3"/>
    </row>
    <row r="4741" spans="1:8" hidden="1">
      <c r="A4741" s="3">
        <v>2008832</v>
      </c>
      <c r="B4741" s="7" t="s">
        <v>59</v>
      </c>
      <c r="C4741" s="41">
        <v>112364</v>
      </c>
      <c r="D4741" s="6">
        <v>45674</v>
      </c>
      <c r="E4741" s="3" t="str">
        <f ca="1">IF(Tabela2[[#This Row],[Dt Venc:]]&gt;TODAY(),"Em Aberto",IF(Tabela2[[#This Row],[D/venc]]="-","Enviado",IF(Tabela2[[#This Row],[Dt Venc:]]=TODAY(),"Vence Hoje","Vencida")))</f>
        <v>Enviado</v>
      </c>
      <c r="F4741" s="3" t="str">
        <f ca="1">IF(G4741=1,"-",Tabela2[[#This Row],[Dt Venc:]]-TODAY())</f>
        <v>-</v>
      </c>
      <c r="G4741" s="3">
        <v>1</v>
      </c>
      <c r="H4741" s="3"/>
    </row>
    <row r="4742" spans="1:8" hidden="1">
      <c r="A4742" s="3">
        <v>2284994</v>
      </c>
      <c r="B4742" s="7" t="s">
        <v>59</v>
      </c>
      <c r="C4742" s="41">
        <v>56580</v>
      </c>
      <c r="D4742" s="6">
        <v>45674</v>
      </c>
      <c r="E4742" s="3" t="str">
        <f ca="1">IF(Tabela2[[#This Row],[Dt Venc:]]&gt;TODAY(),"Em Aberto",IF(Tabela2[[#This Row],[D/venc]]="-","Enviado",IF(Tabela2[[#This Row],[Dt Venc:]]=TODAY(),"Vence Hoje","Vencida")))</f>
        <v>Enviado</v>
      </c>
      <c r="F4742" s="3" t="str">
        <f ca="1">IF(G4742=1,"-",Tabela2[[#This Row],[Dt Venc:]]-TODAY())</f>
        <v>-</v>
      </c>
      <c r="G4742" s="3">
        <v>1</v>
      </c>
      <c r="H4742" s="3"/>
    </row>
    <row r="4743" spans="1:8" hidden="1">
      <c r="A4743" s="3">
        <v>137812</v>
      </c>
      <c r="B4743" s="7" t="s">
        <v>144</v>
      </c>
      <c r="C4743" s="41">
        <v>304</v>
      </c>
      <c r="D4743" s="6">
        <v>45674</v>
      </c>
      <c r="E4743" s="3" t="str">
        <f ca="1">IF(Tabela2[[#This Row],[Dt Venc:]]&gt;TODAY(),"Em Aberto",IF(Tabela2[[#This Row],[D/venc]]="-","Enviado",IF(Tabela2[[#This Row],[Dt Venc:]]=TODAY(),"Vence Hoje","Vencida")))</f>
        <v>Enviado</v>
      </c>
      <c r="F4743" s="3" t="str">
        <f ca="1">IF(G4743=1,"-",Tabela2[[#This Row],[Dt Venc:]]-TODAY())</f>
        <v>-</v>
      </c>
      <c r="G4743" s="3">
        <v>1</v>
      </c>
      <c r="H4743" s="3"/>
    </row>
    <row r="4744" spans="1:8" hidden="1">
      <c r="A4744" s="3">
        <v>11045</v>
      </c>
      <c r="B4744" s="7" t="s">
        <v>33</v>
      </c>
      <c r="C4744" s="41">
        <v>400</v>
      </c>
      <c r="D4744" s="6">
        <v>45675</v>
      </c>
      <c r="E4744" s="3" t="str">
        <f ca="1">IF(Tabela2[[#This Row],[Dt Venc:]]&gt;TODAY(),"Em Aberto",IF(Tabela2[[#This Row],[D/venc]]="-","Enviado",IF(Tabela2[[#This Row],[Dt Venc:]]=TODAY(),"Vence Hoje","Vencida")))</f>
        <v>Enviado</v>
      </c>
      <c r="F4744" s="3" t="str">
        <f ca="1">IF(G4744=1,"-",Tabela2[[#This Row],[Dt Venc:]]-TODAY())</f>
        <v>-</v>
      </c>
      <c r="G4744" s="3">
        <v>1</v>
      </c>
      <c r="H4744" s="3"/>
    </row>
    <row r="4745" spans="1:8" hidden="1">
      <c r="A4745" s="3">
        <v>11139</v>
      </c>
      <c r="B4745" s="7" t="s">
        <v>33</v>
      </c>
      <c r="C4745" s="41">
        <v>800</v>
      </c>
      <c r="D4745" s="6">
        <v>45675</v>
      </c>
      <c r="E4745" s="3" t="str">
        <f ca="1">IF(Tabela2[[#This Row],[Dt Venc:]]&gt;TODAY(),"Em Aberto",IF(Tabela2[[#This Row],[D/venc]]="-","Enviado",IF(Tabela2[[#This Row],[Dt Venc:]]=TODAY(),"Vence Hoje","Vencida")))</f>
        <v>Enviado</v>
      </c>
      <c r="F4745" s="3" t="str">
        <f ca="1">IF(G4745=1,"-",Tabela2[[#This Row],[Dt Venc:]]-TODAY())</f>
        <v>-</v>
      </c>
      <c r="G4745" s="3">
        <v>1</v>
      </c>
      <c r="H4745" s="3"/>
    </row>
    <row r="4746" spans="1:8" hidden="1">
      <c r="A4746" s="3">
        <v>1302</v>
      </c>
      <c r="B4746" s="7" t="s">
        <v>474</v>
      </c>
      <c r="C4746" s="41">
        <v>1972.5</v>
      </c>
      <c r="D4746" s="6">
        <v>45675</v>
      </c>
      <c r="E4746" s="3" t="str">
        <f ca="1">IF(Tabela2[[#This Row],[Dt Venc:]]&gt;TODAY(),"Em Aberto",IF(Tabela2[[#This Row],[D/venc]]="-","Enviado",IF(Tabela2[[#This Row],[Dt Venc:]]=TODAY(),"Vence Hoje","Vencida")))</f>
        <v>Enviado</v>
      </c>
      <c r="F4746" s="3" t="str">
        <f ca="1">IF(G4746=1,"-",Tabela2[[#This Row],[Dt Venc:]]-TODAY())</f>
        <v>-</v>
      </c>
      <c r="G4746" s="3">
        <v>1</v>
      </c>
      <c r="H4746" s="3"/>
    </row>
    <row r="4747" spans="1:8" hidden="1">
      <c r="A4747" s="3">
        <v>1303</v>
      </c>
      <c r="B4747" s="7" t="s">
        <v>474</v>
      </c>
      <c r="C4747" s="41">
        <v>596.66999999999996</v>
      </c>
      <c r="D4747" s="6">
        <v>45675</v>
      </c>
      <c r="E4747" s="3" t="str">
        <f ca="1">IF(Tabela2[[#This Row],[Dt Venc:]]&gt;TODAY(),"Em Aberto",IF(Tabela2[[#This Row],[D/venc]]="-","Enviado",IF(Tabela2[[#This Row],[Dt Venc:]]=TODAY(),"Vence Hoje","Vencida")))</f>
        <v>Enviado</v>
      </c>
      <c r="F4747" s="3" t="str">
        <f ca="1">IF(G4747=1,"-",Tabela2[[#This Row],[Dt Venc:]]-TODAY())</f>
        <v>-</v>
      </c>
      <c r="G4747" s="3">
        <v>1</v>
      </c>
      <c r="H4747" s="3"/>
    </row>
    <row r="4748" spans="1:8" hidden="1">
      <c r="A4748" s="3">
        <v>23782</v>
      </c>
      <c r="B4748" s="7" t="s">
        <v>38</v>
      </c>
      <c r="C4748" s="41">
        <v>2335.5</v>
      </c>
      <c r="D4748" s="6">
        <v>45675</v>
      </c>
      <c r="E4748" s="3" t="str">
        <f ca="1">IF(Tabela2[[#This Row],[Dt Venc:]]&gt;TODAY(),"Em Aberto",IF(Tabela2[[#This Row],[D/venc]]="-","Enviado",IF(Tabela2[[#This Row],[Dt Venc:]]=TODAY(),"Vence Hoje","Vencida")))</f>
        <v>Enviado</v>
      </c>
      <c r="F4748" s="3" t="str">
        <f ca="1">IF(G4748=1,"-",Tabela2[[#This Row],[Dt Venc:]]-TODAY())</f>
        <v>-</v>
      </c>
      <c r="G4748" s="3">
        <v>1</v>
      </c>
      <c r="H4748" s="3"/>
    </row>
    <row r="4749" spans="1:8" hidden="1">
      <c r="A4749" s="3">
        <v>225495</v>
      </c>
      <c r="B4749" s="7" t="s">
        <v>127</v>
      </c>
      <c r="C4749" s="41">
        <v>808.58</v>
      </c>
      <c r="D4749" s="6">
        <v>45675</v>
      </c>
      <c r="E4749" s="3" t="str">
        <f ca="1">IF(Tabela2[[#This Row],[Dt Venc:]]&gt;TODAY(),"Em Aberto",IF(Tabela2[[#This Row],[D/venc]]="-","Enviado",IF(Tabela2[[#This Row],[Dt Venc:]]=TODAY(),"Vence Hoje","Vencida")))</f>
        <v>Enviado</v>
      </c>
      <c r="F4749" s="3" t="str">
        <f ca="1">IF(G4749=1,"-",Tabela2[[#This Row],[Dt Venc:]]-TODAY())</f>
        <v>-</v>
      </c>
      <c r="G4749" s="3">
        <v>1</v>
      </c>
      <c r="H4749" s="3"/>
    </row>
    <row r="4750" spans="1:8" hidden="1">
      <c r="A4750" s="3">
        <v>30001</v>
      </c>
      <c r="B4750" s="7" t="s">
        <v>107</v>
      </c>
      <c r="C4750" s="42">
        <v>3358</v>
      </c>
      <c r="D4750" s="6">
        <v>45675</v>
      </c>
      <c r="E4750" s="3" t="str">
        <f ca="1">IF(Tabela2[[#This Row],[Dt Venc:]]&gt;TODAY(),"Em Aberto",IF(Tabela2[[#This Row],[D/venc]]="-","Enviado",IF(Tabela2[[#This Row],[Dt Venc:]]=TODAY(),"Vence Hoje","Vencida")))</f>
        <v>Enviado</v>
      </c>
      <c r="F4750" s="3" t="str">
        <f ca="1">IF(G4750=1,"-",Tabela2[[#This Row],[Dt Venc:]]-TODAY())</f>
        <v>-</v>
      </c>
      <c r="G4750" s="3">
        <v>1</v>
      </c>
      <c r="H4750" s="3"/>
    </row>
    <row r="4751" spans="1:8" hidden="1">
      <c r="A4751" s="3">
        <v>30721</v>
      </c>
      <c r="B4751" s="7" t="s">
        <v>226</v>
      </c>
      <c r="C4751" s="41">
        <v>4680</v>
      </c>
      <c r="D4751" s="6">
        <v>45675</v>
      </c>
      <c r="E4751" s="3" t="str">
        <f ca="1">IF(Tabela2[[#This Row],[Dt Venc:]]&gt;TODAY(),"Em Aberto",IF(Tabela2[[#This Row],[D/venc]]="-","Enviado",IF(Tabela2[[#This Row],[Dt Venc:]]=TODAY(),"Vence Hoje","Vencida")))</f>
        <v>Enviado</v>
      </c>
      <c r="F4751" s="3" t="str">
        <f ca="1">IF(G4751=1,"-",Tabela2[[#This Row],[Dt Venc:]]-TODAY())</f>
        <v>-</v>
      </c>
      <c r="G4751" s="3">
        <v>1</v>
      </c>
      <c r="H4751" s="3"/>
    </row>
    <row r="4752" spans="1:8" hidden="1">
      <c r="A4752" s="3">
        <v>12109</v>
      </c>
      <c r="B4752" s="7" t="s">
        <v>211</v>
      </c>
      <c r="C4752" s="41">
        <v>390</v>
      </c>
      <c r="D4752" s="6">
        <v>45675</v>
      </c>
      <c r="E4752" s="3" t="str">
        <f ca="1">IF(Tabela2[[#This Row],[Dt Venc:]]&gt;TODAY(),"Em Aberto",IF(Tabela2[[#This Row],[D/venc]]="-","Enviado",IF(Tabela2[[#This Row],[Dt Venc:]]=TODAY(),"Vence Hoje","Vencida")))</f>
        <v>Enviado</v>
      </c>
      <c r="F4752" s="3" t="str">
        <f ca="1">IF(G4752=1,"-",Tabela2[[#This Row],[Dt Venc:]]-TODAY())</f>
        <v>-</v>
      </c>
      <c r="G4752" s="3">
        <v>1</v>
      </c>
      <c r="H4752" s="3"/>
    </row>
    <row r="4753" spans="1:8" hidden="1">
      <c r="A4753" s="3">
        <v>11142</v>
      </c>
      <c r="B4753" s="7" t="s">
        <v>33</v>
      </c>
      <c r="C4753" s="41">
        <v>1900</v>
      </c>
      <c r="D4753" s="6">
        <v>45675</v>
      </c>
      <c r="E4753" s="3" t="str">
        <f ca="1">IF(Tabela2[[#This Row],[Dt Venc:]]&gt;TODAY(),"Em Aberto",IF(Tabela2[[#This Row],[D/venc]]="-","Enviado",IF(Tabela2[[#This Row],[Dt Venc:]]=TODAY(),"Vence Hoje","Vencida")))</f>
        <v>Enviado</v>
      </c>
      <c r="F4753" s="3" t="str">
        <f ca="1">IF(G4753=1,"-",Tabela2[[#This Row],[Dt Venc:]]-TODAY())</f>
        <v>-</v>
      </c>
      <c r="G4753" s="3">
        <v>1</v>
      </c>
      <c r="H4753" s="3"/>
    </row>
    <row r="4754" spans="1:8" hidden="1">
      <c r="A4754" s="3">
        <v>89418</v>
      </c>
      <c r="B4754" s="7" t="s">
        <v>207</v>
      </c>
      <c r="C4754" s="41">
        <v>833.33</v>
      </c>
      <c r="D4754" s="6">
        <v>45675</v>
      </c>
      <c r="E4754" s="3" t="str">
        <f ca="1">IF(Tabela2[[#This Row],[Dt Venc:]]&gt;TODAY(),"Em Aberto",IF(Tabela2[[#This Row],[D/venc]]="-","Enviado",IF(Tabela2[[#This Row],[Dt Venc:]]=TODAY(),"Vence Hoje","Vencida")))</f>
        <v>Enviado</v>
      </c>
      <c r="F4754" s="3" t="str">
        <f ca="1">IF(G4754=1,"-",Tabela2[[#This Row],[Dt Venc:]]-TODAY())</f>
        <v>-</v>
      </c>
      <c r="G4754" s="3">
        <v>1</v>
      </c>
      <c r="H4754" s="3"/>
    </row>
    <row r="4755" spans="1:8" hidden="1">
      <c r="A4755" s="3">
        <v>12099</v>
      </c>
      <c r="B4755" s="7" t="s">
        <v>211</v>
      </c>
      <c r="C4755" s="41">
        <v>526.66</v>
      </c>
      <c r="D4755" s="6">
        <v>45675</v>
      </c>
      <c r="E4755" s="3" t="str">
        <f ca="1">IF(Tabela2[[#This Row],[Dt Venc:]]&gt;TODAY(),"Em Aberto",IF(Tabela2[[#This Row],[D/venc]]="-","Enviado",IF(Tabela2[[#This Row],[Dt Venc:]]=TODAY(),"Vence Hoje","Vencida")))</f>
        <v>Enviado</v>
      </c>
      <c r="F4755" s="3" t="str">
        <f ca="1">IF(G4755=1,"-",Tabela2[[#This Row],[Dt Venc:]]-TODAY())</f>
        <v>-</v>
      </c>
      <c r="G4755" s="3">
        <v>1</v>
      </c>
      <c r="H4755" s="3"/>
    </row>
    <row r="4756" spans="1:8" hidden="1">
      <c r="A4756" s="3">
        <v>2854</v>
      </c>
      <c r="B4756" s="7" t="s">
        <v>58</v>
      </c>
      <c r="C4756" s="41">
        <v>502.55</v>
      </c>
      <c r="D4756" s="6">
        <v>45675</v>
      </c>
      <c r="E4756" s="3" t="str">
        <f ca="1">IF(Tabela2[[#This Row],[Dt Venc:]]&gt;TODAY(),"Em Aberto",IF(Tabela2[[#This Row],[D/venc]]="-","Enviado",IF(Tabela2[[#This Row],[Dt Venc:]]=TODAY(),"Vence Hoje","Vencida")))</f>
        <v>Enviado</v>
      </c>
      <c r="F4756" s="3" t="str">
        <f ca="1">IF(G4756=1,"-",Tabela2[[#This Row],[Dt Venc:]]-TODAY())</f>
        <v>-</v>
      </c>
      <c r="G4756" s="3">
        <v>1</v>
      </c>
      <c r="H4756" s="3"/>
    </row>
    <row r="4757" spans="1:8" hidden="1">
      <c r="A4757" s="3">
        <v>22</v>
      </c>
      <c r="B4757" s="7" t="s">
        <v>103</v>
      </c>
      <c r="C4757" s="41">
        <v>1450</v>
      </c>
      <c r="D4757" s="6">
        <v>45675</v>
      </c>
      <c r="E4757" s="3" t="str">
        <f ca="1">IF(Tabela2[[#This Row],[Dt Venc:]]&gt;TODAY(),"Em Aberto",IF(Tabela2[[#This Row],[D/venc]]="-","Enviado",IF(Tabela2[[#This Row],[Dt Venc:]]=TODAY(),"Vence Hoje","Vencida")))</f>
        <v>Enviado</v>
      </c>
      <c r="F4757" s="3" t="str">
        <f ca="1">IF(G4757=1,"-",Tabela2[[#This Row],[Dt Venc:]]-TODAY())</f>
        <v>-</v>
      </c>
      <c r="G4757" s="3">
        <v>1</v>
      </c>
      <c r="H4757" s="3"/>
    </row>
    <row r="4758" spans="1:8" hidden="1">
      <c r="A4758" s="3">
        <v>109986</v>
      </c>
      <c r="B4758" s="7" t="s">
        <v>612</v>
      </c>
      <c r="C4758" s="41">
        <v>3278.33</v>
      </c>
      <c r="D4758" s="6">
        <v>45675</v>
      </c>
      <c r="E4758" s="3" t="str">
        <f ca="1">IF(Tabela2[[#This Row],[Dt Venc:]]&gt;TODAY(),"Em Aberto",IF(Tabela2[[#This Row],[D/venc]]="-","Enviado",IF(Tabela2[[#This Row],[Dt Venc:]]=TODAY(),"Vence Hoje","Vencida")))</f>
        <v>Enviado</v>
      </c>
      <c r="F4758" s="3" t="str">
        <f ca="1">IF(G4758=1,"-",Tabela2[[#This Row],[Dt Venc:]]-TODAY())</f>
        <v>-</v>
      </c>
      <c r="G4758" s="3">
        <v>1</v>
      </c>
      <c r="H4758" s="3"/>
    </row>
    <row r="4759" spans="1:8" hidden="1">
      <c r="A4759" s="3">
        <v>2788</v>
      </c>
      <c r="B4759" s="7" t="s">
        <v>541</v>
      </c>
      <c r="C4759" s="41">
        <v>1000</v>
      </c>
      <c r="D4759" s="6">
        <v>45675</v>
      </c>
      <c r="E4759" s="3" t="str">
        <f ca="1">IF(Tabela2[[#This Row],[Dt Venc:]]&gt;TODAY(),"Em Aberto",IF(Tabela2[[#This Row],[D/venc]]="-","Enviado",IF(Tabela2[[#This Row],[Dt Venc:]]=TODAY(),"Vence Hoje","Vencida")))</f>
        <v>Enviado</v>
      </c>
      <c r="F4759" s="3" t="str">
        <f ca="1">IF(G4759=1,"-",Tabela2[[#This Row],[Dt Venc:]]-TODAY())</f>
        <v>-</v>
      </c>
      <c r="G4759" s="3">
        <v>1</v>
      </c>
      <c r="H4759" s="3"/>
    </row>
    <row r="4760" spans="1:8" hidden="1">
      <c r="A4760" s="3">
        <v>62792</v>
      </c>
      <c r="B4760" s="7" t="s">
        <v>435</v>
      </c>
      <c r="C4760" s="41">
        <v>710</v>
      </c>
      <c r="D4760" s="6">
        <v>45675</v>
      </c>
      <c r="E4760" s="3" t="str">
        <f ca="1">IF(Tabela2[[#This Row],[Dt Venc:]]&gt;TODAY(),"Em Aberto",IF(Tabela2[[#This Row],[D/venc]]="-","Enviado",IF(Tabela2[[#This Row],[Dt Venc:]]=TODAY(),"Vence Hoje","Vencida")))</f>
        <v>Enviado</v>
      </c>
      <c r="F4760" s="3" t="str">
        <f ca="1">IF(G4760=1,"-",Tabela2[[#This Row],[Dt Venc:]]-TODAY())</f>
        <v>-</v>
      </c>
      <c r="G4760" s="3">
        <v>1</v>
      </c>
      <c r="H4760" s="3"/>
    </row>
    <row r="4761" spans="1:8" hidden="1">
      <c r="A4761" s="3">
        <v>31857</v>
      </c>
      <c r="B4761" s="7" t="s">
        <v>98</v>
      </c>
      <c r="C4761" s="41">
        <v>569.6</v>
      </c>
      <c r="D4761" s="6">
        <v>45675</v>
      </c>
      <c r="E4761" s="3" t="str">
        <f ca="1">IF(Tabela2[[#This Row],[Dt Venc:]]&gt;TODAY(),"Em Aberto",IF(Tabela2[[#This Row],[D/venc]]="-","Enviado",IF(Tabela2[[#This Row],[Dt Venc:]]=TODAY(),"Vence Hoje","Vencida")))</f>
        <v>Enviado</v>
      </c>
      <c r="F4761" s="3" t="str">
        <f ca="1">IF(G4761=1,"-",Tabela2[[#This Row],[Dt Venc:]]-TODAY())</f>
        <v>-</v>
      </c>
      <c r="G4761" s="3">
        <v>1</v>
      </c>
      <c r="H4761" s="3"/>
    </row>
    <row r="4762" spans="1:8" hidden="1">
      <c r="A4762" s="3">
        <v>11259</v>
      </c>
      <c r="B4762" s="7" t="s">
        <v>33</v>
      </c>
      <c r="C4762" s="41">
        <v>1411.66</v>
      </c>
      <c r="D4762" s="6">
        <v>45675</v>
      </c>
      <c r="E4762" s="3" t="str">
        <f ca="1">IF(Tabela2[[#This Row],[Dt Venc:]]&gt;TODAY(),"Em Aberto",IF(Tabela2[[#This Row],[D/venc]]="-","Enviado",IF(Tabela2[[#This Row],[Dt Venc:]]=TODAY(),"Vence Hoje","Vencida")))</f>
        <v>Enviado</v>
      </c>
      <c r="F4762" s="3" t="str">
        <f ca="1">IF(G4762=1,"-",Tabela2[[#This Row],[Dt Venc:]]-TODAY())</f>
        <v>-</v>
      </c>
      <c r="G4762" s="3">
        <v>1</v>
      </c>
      <c r="H4762" s="3"/>
    </row>
    <row r="4763" spans="1:8" hidden="1">
      <c r="A4763" s="3">
        <v>6299</v>
      </c>
      <c r="B4763" s="7" t="s">
        <v>47</v>
      </c>
      <c r="C4763" s="41">
        <v>2014.12</v>
      </c>
      <c r="D4763" s="6">
        <v>45675</v>
      </c>
      <c r="E4763" s="3" t="str">
        <f ca="1">IF(Tabela2[[#This Row],[Dt Venc:]]&gt;TODAY(),"Em Aberto",IF(Tabela2[[#This Row],[D/venc]]="-","Enviado",IF(Tabela2[[#This Row],[Dt Venc:]]=TODAY(),"Vence Hoje","Vencida")))</f>
        <v>Enviado</v>
      </c>
      <c r="F4763" s="3" t="str">
        <f ca="1">IF(G4763=1,"-",Tabela2[[#This Row],[Dt Venc:]]-TODAY())</f>
        <v>-</v>
      </c>
      <c r="G4763" s="3">
        <v>1</v>
      </c>
      <c r="H4763" s="3"/>
    </row>
    <row r="4764" spans="1:8" hidden="1">
      <c r="A4764" s="3">
        <v>31871</v>
      </c>
      <c r="B4764" s="7" t="s">
        <v>524</v>
      </c>
      <c r="C4764" s="41">
        <v>4135</v>
      </c>
      <c r="D4764" s="6">
        <v>45675</v>
      </c>
      <c r="E4764" s="3" t="str">
        <f ca="1">IF(Tabela2[[#This Row],[Dt Venc:]]&gt;TODAY(),"Em Aberto",IF(Tabela2[[#This Row],[D/venc]]="-","Enviado",IF(Tabela2[[#This Row],[Dt Venc:]]=TODAY(),"Vence Hoje","Vencida")))</f>
        <v>Enviado</v>
      </c>
      <c r="F4764" s="3" t="str">
        <f ca="1">IF(G4764=1,"-",Tabela2[[#This Row],[Dt Venc:]]-TODAY())</f>
        <v>-</v>
      </c>
      <c r="G4764" s="3">
        <v>1</v>
      </c>
      <c r="H4764" s="3"/>
    </row>
    <row r="4765" spans="1:8" hidden="1">
      <c r="A4765" s="3">
        <v>31062</v>
      </c>
      <c r="B4765" s="7" t="s">
        <v>97</v>
      </c>
      <c r="C4765" s="41">
        <v>2055</v>
      </c>
      <c r="D4765" s="6">
        <v>45675</v>
      </c>
      <c r="E4765" s="3" t="str">
        <f ca="1">IF(Tabela2[[#This Row],[Dt Venc:]]&gt;TODAY(),"Em Aberto",IF(Tabela2[[#This Row],[D/venc]]="-","Enviado",IF(Tabela2[[#This Row],[Dt Venc:]]=TODAY(),"Vence Hoje","Vencida")))</f>
        <v>Enviado</v>
      </c>
      <c r="F4765" s="3" t="str">
        <f ca="1">IF(G4765=1,"-",Tabela2[[#This Row],[Dt Venc:]]-TODAY())</f>
        <v>-</v>
      </c>
      <c r="G4765" s="3">
        <v>1</v>
      </c>
      <c r="H4765" s="3"/>
    </row>
    <row r="4766" spans="1:8" hidden="1">
      <c r="A4766" s="3">
        <v>4550087</v>
      </c>
      <c r="B4766" s="7" t="s">
        <v>219</v>
      </c>
      <c r="C4766" s="41">
        <v>970.3</v>
      </c>
      <c r="D4766" s="6">
        <v>45676</v>
      </c>
      <c r="E4766" s="3" t="str">
        <f ca="1">IF(Tabela2[[#This Row],[Dt Venc:]]&gt;TODAY(),"Em Aberto",IF(Tabela2[[#This Row],[D/venc]]="-","Enviado",IF(Tabela2[[#This Row],[Dt Venc:]]=TODAY(),"Vence Hoje","Vencida")))</f>
        <v>Enviado</v>
      </c>
      <c r="F4766" s="3" t="str">
        <f ca="1">IF(G4766=1,"-",Tabela2[[#This Row],[Dt Venc:]]-TODAY())</f>
        <v>-</v>
      </c>
      <c r="G4766" s="3">
        <v>1</v>
      </c>
      <c r="H4766" s="3"/>
    </row>
    <row r="4767" spans="1:8" hidden="1">
      <c r="A4767" s="3">
        <v>265238</v>
      </c>
      <c r="B4767" s="7" t="s">
        <v>450</v>
      </c>
      <c r="C4767" s="41">
        <v>366.67</v>
      </c>
      <c r="D4767" s="6">
        <v>45676</v>
      </c>
      <c r="E4767" s="3" t="str">
        <f ca="1">IF(Tabela2[[#This Row],[Dt Venc:]]&gt;TODAY(),"Em Aberto",IF(Tabela2[[#This Row],[D/venc]]="-","Enviado",IF(Tabela2[[#This Row],[Dt Venc:]]=TODAY(),"Vence Hoje","Vencida")))</f>
        <v>Enviado</v>
      </c>
      <c r="F4767" s="3" t="str">
        <f ca="1">IF(G4767=1,"-",Tabela2[[#This Row],[Dt Venc:]]-TODAY())</f>
        <v>-</v>
      </c>
      <c r="G4767" s="3">
        <v>1</v>
      </c>
      <c r="H4767" s="3"/>
    </row>
    <row r="4768" spans="1:8" hidden="1">
      <c r="A4768" s="3">
        <v>223144</v>
      </c>
      <c r="B4768" s="7" t="s">
        <v>127</v>
      </c>
      <c r="C4768" s="41">
        <v>725</v>
      </c>
      <c r="D4768" s="6">
        <v>45676</v>
      </c>
      <c r="E4768" s="3" t="str">
        <f ca="1">IF(Tabela2[[#This Row],[Dt Venc:]]&gt;TODAY(),"Em Aberto",IF(Tabela2[[#This Row],[D/venc]]="-","Enviado",IF(Tabela2[[#This Row],[Dt Venc:]]=TODAY(),"Vence Hoje","Vencida")))</f>
        <v>Enviado</v>
      </c>
      <c r="F4768" s="3" t="str">
        <f ca="1">IF(G4768=1,"-",Tabela2[[#This Row],[Dt Venc:]]-TODAY())</f>
        <v>-</v>
      </c>
      <c r="G4768" s="3">
        <v>1</v>
      </c>
      <c r="H4768" s="3"/>
    </row>
    <row r="4769" spans="1:8" hidden="1">
      <c r="A4769" s="3">
        <v>29251</v>
      </c>
      <c r="B4769" s="7" t="s">
        <v>18</v>
      </c>
      <c r="C4769" s="42">
        <v>2925</v>
      </c>
      <c r="D4769" s="6">
        <v>45676</v>
      </c>
      <c r="E4769" s="3" t="str">
        <f ca="1">IF(Tabela2[[#This Row],[Dt Venc:]]&gt;TODAY(),"Em Aberto",IF(Tabela2[[#This Row],[D/venc]]="-","Enviado",IF(Tabela2[[#This Row],[Dt Venc:]]=TODAY(),"Vence Hoje","Vencida")))</f>
        <v>Enviado</v>
      </c>
      <c r="F4769" s="3" t="str">
        <f ca="1">IF(G4769=1,"-",Tabela2[[#This Row],[Dt Venc:]]-TODAY())</f>
        <v>-</v>
      </c>
      <c r="G4769" s="3">
        <v>1</v>
      </c>
      <c r="H4769" s="3"/>
    </row>
    <row r="4770" spans="1:8" hidden="1">
      <c r="A4770" s="3">
        <v>153745</v>
      </c>
      <c r="B4770" s="7" t="s">
        <v>240</v>
      </c>
      <c r="C4770" s="41">
        <v>1353.33</v>
      </c>
      <c r="D4770" s="6">
        <v>45676</v>
      </c>
      <c r="E4770" s="3" t="str">
        <f ca="1">IF(Tabela2[[#This Row],[Dt Venc:]]&gt;TODAY(),"Em Aberto",IF(Tabela2[[#This Row],[D/venc]]="-","Enviado",IF(Tabela2[[#This Row],[Dt Venc:]]=TODAY(),"Vence Hoje","Vencida")))</f>
        <v>Enviado</v>
      </c>
      <c r="F4770" s="3" t="str">
        <f ca="1">IF(G4770=1,"-",Tabela2[[#This Row],[Dt Venc:]]-TODAY())</f>
        <v>-</v>
      </c>
      <c r="G4770" s="3">
        <v>1</v>
      </c>
      <c r="H4770" s="3"/>
    </row>
    <row r="4771" spans="1:8" hidden="1">
      <c r="A4771" s="3">
        <v>6030</v>
      </c>
      <c r="B4771" s="7" t="s">
        <v>47</v>
      </c>
      <c r="C4771" s="41">
        <v>2411.9299999999998</v>
      </c>
      <c r="D4771" s="6">
        <v>45676</v>
      </c>
      <c r="E4771" s="3" t="str">
        <f ca="1">IF(Tabela2[[#This Row],[Dt Venc:]]&gt;TODAY(),"Em Aberto",IF(Tabela2[[#This Row],[D/venc]]="-","Enviado",IF(Tabela2[[#This Row],[Dt Venc:]]=TODAY(),"Vence Hoje","Vencida")))</f>
        <v>Enviado</v>
      </c>
      <c r="F4771" s="3" t="str">
        <f ca="1">IF(G4771=1,"-",Tabela2[[#This Row],[Dt Venc:]]-TODAY())</f>
        <v>-</v>
      </c>
      <c r="G4771" s="3">
        <v>1</v>
      </c>
      <c r="H4771" s="3"/>
    </row>
    <row r="4772" spans="1:8" hidden="1">
      <c r="A4772" s="3">
        <v>3887</v>
      </c>
      <c r="B4772" s="7" t="s">
        <v>553</v>
      </c>
      <c r="C4772" s="41">
        <v>3000</v>
      </c>
      <c r="D4772" s="6">
        <v>45676</v>
      </c>
      <c r="E4772" s="3" t="str">
        <f ca="1">IF(Tabela2[[#This Row],[Dt Venc:]]&gt;TODAY(),"Em Aberto",IF(Tabela2[[#This Row],[D/venc]]="-","Enviado",IF(Tabela2[[#This Row],[Dt Venc:]]=TODAY(),"Vence Hoje","Vencida")))</f>
        <v>Enviado</v>
      </c>
      <c r="F4772" s="3" t="str">
        <f ca="1">IF(G4772=1,"-",Tabela2[[#This Row],[Dt Venc:]]-TODAY())</f>
        <v>-</v>
      </c>
      <c r="G4772" s="3">
        <v>1</v>
      </c>
      <c r="H4772" s="3"/>
    </row>
    <row r="4773" spans="1:8" hidden="1">
      <c r="A4773" s="3">
        <v>41618</v>
      </c>
      <c r="B4773" s="7" t="s">
        <v>555</v>
      </c>
      <c r="C4773" s="41">
        <v>603.84</v>
      </c>
      <c r="D4773" s="6">
        <v>45676</v>
      </c>
      <c r="E4773" s="3" t="str">
        <f ca="1">IF(Tabela2[[#This Row],[Dt Venc:]]&gt;TODAY(),"Em Aberto",IF(Tabela2[[#This Row],[D/venc]]="-","Enviado",IF(Tabela2[[#This Row],[Dt Venc:]]=TODAY(),"Vence Hoje","Vencida")))</f>
        <v>Enviado</v>
      </c>
      <c r="F4773" s="3" t="str">
        <f ca="1">IF(G4773=1,"-",Tabela2[[#This Row],[Dt Venc:]]-TODAY())</f>
        <v>-</v>
      </c>
      <c r="G4773" s="3">
        <v>1</v>
      </c>
      <c r="H4773" s="3"/>
    </row>
    <row r="4774" spans="1:8" hidden="1">
      <c r="A4774" s="3">
        <v>11473</v>
      </c>
      <c r="B4774" s="7" t="s">
        <v>174</v>
      </c>
      <c r="C4774" s="41">
        <v>1560</v>
      </c>
      <c r="D4774" s="6">
        <v>45676</v>
      </c>
      <c r="E4774" s="3" t="str">
        <f ca="1">IF(Tabela2[[#This Row],[Dt Venc:]]&gt;TODAY(),"Em Aberto",IF(Tabela2[[#This Row],[D/venc]]="-","Enviado",IF(Tabela2[[#This Row],[Dt Venc:]]=TODAY(),"Vence Hoje","Vencida")))</f>
        <v>Enviado</v>
      </c>
      <c r="F4774" s="3" t="str">
        <f ca="1">IF(G4774=1,"-",Tabela2[[#This Row],[Dt Venc:]]-TODAY())</f>
        <v>-</v>
      </c>
      <c r="G4774" s="3">
        <v>1</v>
      </c>
      <c r="H4774" s="3"/>
    </row>
    <row r="4775" spans="1:8" hidden="1">
      <c r="A4775" s="3">
        <v>11477</v>
      </c>
      <c r="B4775" s="7" t="s">
        <v>174</v>
      </c>
      <c r="C4775" s="41">
        <v>1560</v>
      </c>
      <c r="D4775" s="6">
        <v>45676</v>
      </c>
      <c r="E4775" s="3" t="str">
        <f ca="1">IF(Tabela2[[#This Row],[Dt Venc:]]&gt;TODAY(),"Em Aberto",IF(Tabela2[[#This Row],[D/venc]]="-","Enviado",IF(Tabela2[[#This Row],[Dt Venc:]]=TODAY(),"Vence Hoje","Vencida")))</f>
        <v>Enviado</v>
      </c>
      <c r="F4775" s="3" t="str">
        <f ca="1">IF(G4775=1,"-",Tabela2[[#This Row],[Dt Venc:]]-TODAY())</f>
        <v>-</v>
      </c>
      <c r="G4775" s="3">
        <v>1</v>
      </c>
      <c r="H4775" s="3"/>
    </row>
    <row r="4776" spans="1:8" hidden="1">
      <c r="A4776" s="3">
        <v>11473</v>
      </c>
      <c r="B4776" s="7" t="s">
        <v>174</v>
      </c>
      <c r="C4776" s="41">
        <v>1560</v>
      </c>
      <c r="D4776" s="6">
        <v>45676</v>
      </c>
      <c r="E4776" s="3" t="str">
        <f ca="1">IF(Tabela2[[#This Row],[Dt Venc:]]&gt;TODAY(),"Em Aberto",IF(Tabela2[[#This Row],[D/venc]]="-","Enviado",IF(Tabela2[[#This Row],[Dt Venc:]]=TODAY(),"Vence Hoje","Vencida")))</f>
        <v>Enviado</v>
      </c>
      <c r="F4776" s="3" t="str">
        <f ca="1">IF(G4776=1,"-",Tabela2[[#This Row],[Dt Venc:]]-TODAY())</f>
        <v>-</v>
      </c>
      <c r="G4776" s="3">
        <v>1</v>
      </c>
      <c r="H4776" s="3"/>
    </row>
    <row r="4777" spans="1:8" hidden="1">
      <c r="A4777" s="3">
        <v>114743</v>
      </c>
      <c r="B4777" s="7" t="s">
        <v>209</v>
      </c>
      <c r="C4777" s="41">
        <v>539.33000000000004</v>
      </c>
      <c r="D4777" s="6">
        <v>45676</v>
      </c>
      <c r="E4777" s="3" t="str">
        <f ca="1">IF(Tabela2[[#This Row],[Dt Venc:]]&gt;TODAY(),"Em Aberto",IF(Tabela2[[#This Row],[D/venc]]="-","Enviado",IF(Tabela2[[#This Row],[Dt Venc:]]=TODAY(),"Vence Hoje","Vencida")))</f>
        <v>Enviado</v>
      </c>
      <c r="F4777" s="3" t="str">
        <f ca="1">IF(G4777=1,"-",Tabela2[[#This Row],[Dt Venc:]]-TODAY())</f>
        <v>-</v>
      </c>
      <c r="G4777" s="3">
        <v>1</v>
      </c>
      <c r="H4777" s="3"/>
    </row>
    <row r="4778" spans="1:8" hidden="1">
      <c r="A4778" s="3">
        <v>46441</v>
      </c>
      <c r="B4778" s="7" t="s">
        <v>527</v>
      </c>
      <c r="C4778" s="41">
        <v>894.28</v>
      </c>
      <c r="D4778" s="6">
        <v>45676</v>
      </c>
      <c r="E4778" s="3" t="str">
        <f ca="1">IF(Tabela2[[#This Row],[Dt Venc:]]&gt;TODAY(),"Em Aberto",IF(Tabela2[[#This Row],[D/venc]]="-","Enviado",IF(Tabela2[[#This Row],[Dt Venc:]]=TODAY(),"Vence Hoje","Vencida")))</f>
        <v>Enviado</v>
      </c>
      <c r="F4778" s="3" t="str">
        <f ca="1">IF(G4778=1,"-",Tabela2[[#This Row],[Dt Venc:]]-TODAY())</f>
        <v>-</v>
      </c>
      <c r="G4778" s="3">
        <v>1</v>
      </c>
      <c r="H4778" s="3"/>
    </row>
    <row r="4779" spans="1:8" hidden="1">
      <c r="A4779" s="3">
        <v>34354</v>
      </c>
      <c r="B4779" s="7" t="s">
        <v>362</v>
      </c>
      <c r="C4779" s="41">
        <v>600</v>
      </c>
      <c r="D4779" s="6">
        <v>45676</v>
      </c>
      <c r="E4779" s="3" t="str">
        <f ca="1">IF(Tabela2[[#This Row],[Dt Venc:]]&gt;TODAY(),"Em Aberto",IF(Tabela2[[#This Row],[D/venc]]="-","Enviado",IF(Tabela2[[#This Row],[Dt Venc:]]=TODAY(),"Vence Hoje","Vencida")))</f>
        <v>Enviado</v>
      </c>
      <c r="F4779" s="3" t="str">
        <f ca="1">IF(G4779=1,"-",Tabela2[[#This Row],[Dt Venc:]]-TODAY())</f>
        <v>-</v>
      </c>
      <c r="G4779" s="3">
        <v>1</v>
      </c>
      <c r="H4779" s="3"/>
    </row>
    <row r="4780" spans="1:8" hidden="1">
      <c r="A4780" s="3">
        <v>73715</v>
      </c>
      <c r="B4780" s="7" t="s">
        <v>333</v>
      </c>
      <c r="C4780" s="41">
        <v>718.67</v>
      </c>
      <c r="D4780" s="6">
        <v>45676</v>
      </c>
      <c r="E4780" s="3" t="str">
        <f ca="1">IF(Tabela2[[#This Row],[Dt Venc:]]&gt;TODAY(),"Em Aberto",IF(Tabela2[[#This Row],[D/venc]]="-","Enviado",IF(Tabela2[[#This Row],[Dt Venc:]]=TODAY(),"Vence Hoje","Vencida")))</f>
        <v>Enviado</v>
      </c>
      <c r="F4780" s="3" t="str">
        <f ca="1">IF(G4780=1,"-",Tabela2[[#This Row],[Dt Venc:]]-TODAY())</f>
        <v>-</v>
      </c>
      <c r="G4780" s="3">
        <v>1</v>
      </c>
      <c r="H4780" s="3"/>
    </row>
    <row r="4781" spans="1:8" hidden="1">
      <c r="A4781" s="3">
        <v>6185</v>
      </c>
      <c r="B4781" s="7" t="s">
        <v>140</v>
      </c>
      <c r="C4781" s="41">
        <v>1529</v>
      </c>
      <c r="D4781" s="6">
        <v>45676</v>
      </c>
      <c r="E4781" s="3" t="str">
        <f ca="1">IF(Tabela2[[#This Row],[Dt Venc:]]&gt;TODAY(),"Em Aberto",IF(Tabela2[[#This Row],[D/venc]]="-","Enviado",IF(Tabela2[[#This Row],[Dt Venc:]]=TODAY(),"Vence Hoje","Vencida")))</f>
        <v>Enviado</v>
      </c>
      <c r="F4781" s="3" t="str">
        <f ca="1">IF(G4781=1,"-",Tabela2[[#This Row],[Dt Venc:]]-TODAY())</f>
        <v>-</v>
      </c>
      <c r="G4781" s="3">
        <v>1</v>
      </c>
      <c r="H4781" s="3"/>
    </row>
    <row r="4782" spans="1:8" hidden="1">
      <c r="A4782" s="3">
        <v>6301</v>
      </c>
      <c r="B4782" s="7" t="s">
        <v>581</v>
      </c>
      <c r="C4782" s="41">
        <v>578.53</v>
      </c>
      <c r="D4782" s="6">
        <v>45676</v>
      </c>
      <c r="E4782" s="3" t="str">
        <f ca="1">IF(Tabela2[[#This Row],[Dt Venc:]]&gt;TODAY(),"Em Aberto",IF(Tabela2[[#This Row],[D/venc]]="-","Enviado",IF(Tabela2[[#This Row],[Dt Venc:]]=TODAY(),"Vence Hoje","Vencida")))</f>
        <v>Enviado</v>
      </c>
      <c r="F4782" s="3" t="str">
        <f ca="1">IF(G4782=1,"-",Tabela2[[#This Row],[Dt Venc:]]-TODAY())</f>
        <v>-</v>
      </c>
      <c r="G4782" s="3">
        <v>1</v>
      </c>
      <c r="H4782" s="3"/>
    </row>
    <row r="4783" spans="1:8" hidden="1">
      <c r="A4783" s="3">
        <v>1983</v>
      </c>
      <c r="B4783" s="7" t="s">
        <v>422</v>
      </c>
      <c r="C4783" s="41">
        <v>2677.5</v>
      </c>
      <c r="D4783" s="6">
        <v>45676</v>
      </c>
      <c r="E4783" s="3" t="str">
        <f ca="1">IF(Tabela2[[#This Row],[Dt Venc:]]&gt;TODAY(),"Em Aberto",IF(Tabela2[[#This Row],[D/venc]]="-","Enviado",IF(Tabela2[[#This Row],[Dt Venc:]]=TODAY(),"Vence Hoje","Vencida")))</f>
        <v>Enviado</v>
      </c>
      <c r="F4783" s="3" t="str">
        <f ca="1">IF(G4783=1,"-",Tabela2[[#This Row],[Dt Venc:]]-TODAY())</f>
        <v>-</v>
      </c>
      <c r="G4783" s="3">
        <v>1</v>
      </c>
      <c r="H4783" s="3"/>
    </row>
    <row r="4784" spans="1:8" hidden="1">
      <c r="A4784" s="3">
        <v>3334001</v>
      </c>
      <c r="B4784" s="7" t="s">
        <v>71</v>
      </c>
      <c r="C4784" s="41">
        <v>112116</v>
      </c>
      <c r="D4784" s="6">
        <v>45676</v>
      </c>
      <c r="E4784" s="3" t="str">
        <f ca="1">IF(Tabela2[[#This Row],[Dt Venc:]]&gt;TODAY(),"Em Aberto",IF(Tabela2[[#This Row],[D/venc]]="-","Enviado",IF(Tabela2[[#This Row],[Dt Venc:]]=TODAY(),"Vence Hoje","Vencida")))</f>
        <v>Enviado</v>
      </c>
      <c r="F4784" s="3" t="str">
        <f ca="1">IF(G4784=1,"-",Tabela2[[#This Row],[Dt Venc:]]-TODAY())</f>
        <v>-</v>
      </c>
      <c r="G4784" s="3">
        <v>1</v>
      </c>
      <c r="H4784" s="3"/>
    </row>
    <row r="4785" spans="1:8" hidden="1">
      <c r="A4785" s="3">
        <v>73715</v>
      </c>
      <c r="B4785" s="7" t="s">
        <v>333</v>
      </c>
      <c r="C4785" s="41">
        <v>718.67</v>
      </c>
      <c r="D4785" s="6">
        <v>45676</v>
      </c>
      <c r="E4785" s="3" t="str">
        <f ca="1">IF(Tabela2[[#This Row],[Dt Venc:]]&gt;TODAY(),"Em Aberto",IF(Tabela2[[#This Row],[D/venc]]="-","Enviado",IF(Tabela2[[#This Row],[Dt Venc:]]=TODAY(),"Vence Hoje","Vencida")))</f>
        <v>Enviado</v>
      </c>
      <c r="F4785" s="3" t="str">
        <f ca="1">IF(G4785=1,"-",Tabela2[[#This Row],[Dt Venc:]]-TODAY())</f>
        <v>-</v>
      </c>
      <c r="G4785" s="3">
        <v>1</v>
      </c>
      <c r="H4785" s="3"/>
    </row>
    <row r="4786" spans="1:8" hidden="1">
      <c r="A4786" s="3">
        <v>223</v>
      </c>
      <c r="B4786" s="7" t="s">
        <v>640</v>
      </c>
      <c r="C4786" s="41">
        <v>910</v>
      </c>
      <c r="D4786" s="6">
        <v>45676</v>
      </c>
      <c r="E4786" s="3" t="str">
        <f ca="1">IF(Tabela2[[#This Row],[Dt Venc:]]&gt;TODAY(),"Em Aberto",IF(Tabela2[[#This Row],[D/venc]]="-","Enviado",IF(Tabela2[[#This Row],[Dt Venc:]]=TODAY(),"Vence Hoje","Vencida")))</f>
        <v>Enviado</v>
      </c>
      <c r="F4786" s="3" t="str">
        <f ca="1">IF(G4786=1,"-",Tabela2[[#This Row],[Dt Venc:]]-TODAY())</f>
        <v>-</v>
      </c>
      <c r="G4786" s="3">
        <v>1</v>
      </c>
      <c r="H4786" s="3"/>
    </row>
    <row r="4787" spans="1:8" hidden="1">
      <c r="A4787" s="3">
        <v>1781</v>
      </c>
      <c r="B4787" s="7" t="s">
        <v>135</v>
      </c>
      <c r="C4787" s="41">
        <v>12407.46</v>
      </c>
      <c r="D4787" s="6">
        <v>45677</v>
      </c>
      <c r="E4787" s="3" t="str">
        <f ca="1">IF(Tabela2[[#This Row],[Dt Venc:]]&gt;TODAY(),"Em Aberto",IF(Tabela2[[#This Row],[D/venc]]="-","Enviado",IF(Tabela2[[#This Row],[Dt Venc:]]=TODAY(),"Vence Hoje","Vencida")))</f>
        <v>Enviado</v>
      </c>
      <c r="F4787" s="3" t="str">
        <f ca="1">IF(G4787=1,"-",Tabela2[[#This Row],[Dt Venc:]]-TODAY())</f>
        <v>-</v>
      </c>
      <c r="G4787" s="3">
        <v>1</v>
      </c>
      <c r="H4787" s="3"/>
    </row>
    <row r="4788" spans="1:8" hidden="1">
      <c r="A4788" s="3">
        <v>4843</v>
      </c>
      <c r="B4788" s="7" t="s">
        <v>307</v>
      </c>
      <c r="C4788" s="42">
        <v>9150</v>
      </c>
      <c r="D4788" s="6">
        <v>45677</v>
      </c>
      <c r="E4788" s="3" t="str">
        <f ca="1">IF(Tabela2[[#This Row],[Dt Venc:]]&gt;TODAY(),"Em Aberto",IF(Tabela2[[#This Row],[D/venc]]="-","Enviado",IF(Tabela2[[#This Row],[Dt Venc:]]=TODAY(),"Vence Hoje","Vencida")))</f>
        <v>Enviado</v>
      </c>
      <c r="F4788" s="3" t="str">
        <f ca="1">IF(G4788=1,"-",Tabela2[[#This Row],[Dt Venc:]]-TODAY())</f>
        <v>-</v>
      </c>
      <c r="G4788" s="3">
        <v>1</v>
      </c>
      <c r="H4788" s="3"/>
    </row>
    <row r="4789" spans="1:8" hidden="1">
      <c r="A4789" s="3">
        <v>303015</v>
      </c>
      <c r="B4789" s="7" t="s">
        <v>53</v>
      </c>
      <c r="C4789" s="41">
        <v>1117.45</v>
      </c>
      <c r="D4789" s="6">
        <v>45677</v>
      </c>
      <c r="E4789" s="3" t="str">
        <f ca="1">IF(Tabela2[[#This Row],[Dt Venc:]]&gt;TODAY(),"Em Aberto",IF(Tabela2[[#This Row],[D/venc]]="-","Enviado",IF(Tabela2[[#This Row],[Dt Venc:]]=TODAY(),"Vence Hoje","Vencida")))</f>
        <v>Enviado</v>
      </c>
      <c r="F4789" s="3" t="str">
        <f ca="1">IF(G4789=1,"-",Tabela2[[#This Row],[Dt Venc:]]-TODAY())</f>
        <v>-</v>
      </c>
      <c r="G4789" s="3">
        <v>1</v>
      </c>
      <c r="H4789" s="3"/>
    </row>
    <row r="4790" spans="1:8" hidden="1">
      <c r="A4790" s="3">
        <v>303023</v>
      </c>
      <c r="B4790" s="7" t="s">
        <v>53</v>
      </c>
      <c r="C4790" s="41">
        <v>576.25</v>
      </c>
      <c r="D4790" s="6">
        <v>45677</v>
      </c>
      <c r="E4790" s="3" t="str">
        <f ca="1">IF(Tabela2[[#This Row],[Dt Venc:]]&gt;TODAY(),"Em Aberto",IF(Tabela2[[#This Row],[D/venc]]="-","Enviado",IF(Tabela2[[#This Row],[Dt Venc:]]=TODAY(),"Vence Hoje","Vencida")))</f>
        <v>Enviado</v>
      </c>
      <c r="F4790" s="3" t="str">
        <f ca="1">IF(G4790=1,"-",Tabela2[[#This Row],[Dt Venc:]]-TODAY())</f>
        <v>-</v>
      </c>
      <c r="G4790" s="3">
        <v>1</v>
      </c>
      <c r="H4790" s="3"/>
    </row>
    <row r="4791" spans="1:8" hidden="1">
      <c r="A4791" s="3">
        <v>270576</v>
      </c>
      <c r="B4791" s="7" t="s">
        <v>36</v>
      </c>
      <c r="C4791" s="41">
        <v>980</v>
      </c>
      <c r="D4791" s="6">
        <v>45677</v>
      </c>
      <c r="E4791" s="3" t="str">
        <f ca="1">IF(Tabela2[[#This Row],[Dt Venc:]]&gt;TODAY(),"Em Aberto",IF(Tabela2[[#This Row],[D/venc]]="-","Enviado",IF(Tabela2[[#This Row],[Dt Venc:]]=TODAY(),"Vence Hoje","Vencida")))</f>
        <v>Enviado</v>
      </c>
      <c r="F4791" s="3" t="str">
        <f ca="1">IF(G4791=1,"-",Tabela2[[#This Row],[Dt Venc:]]-TODAY())</f>
        <v>-</v>
      </c>
      <c r="G4791" s="3">
        <v>1</v>
      </c>
      <c r="H4791" s="3"/>
    </row>
    <row r="4792" spans="1:8" hidden="1">
      <c r="A4792" s="3">
        <v>153734</v>
      </c>
      <c r="B4792" s="7" t="s">
        <v>456</v>
      </c>
      <c r="C4792" s="41">
        <v>1056.67</v>
      </c>
      <c r="D4792" s="6">
        <v>45677</v>
      </c>
      <c r="E4792" s="3" t="str">
        <f ca="1">IF(Tabela2[[#This Row],[Dt Venc:]]&gt;TODAY(),"Em Aberto",IF(Tabela2[[#This Row],[D/venc]]="-","Enviado",IF(Tabela2[[#This Row],[Dt Venc:]]=TODAY(),"Vence Hoje","Vencida")))</f>
        <v>Enviado</v>
      </c>
      <c r="F4792" s="3" t="str">
        <f ca="1">IF(G4792=1,"-",Tabela2[[#This Row],[Dt Venc:]]-TODAY())</f>
        <v>-</v>
      </c>
      <c r="G4792" s="3">
        <v>1</v>
      </c>
      <c r="H4792" s="3"/>
    </row>
    <row r="4793" spans="1:8" hidden="1">
      <c r="A4793" s="3">
        <v>232023</v>
      </c>
      <c r="B4793" s="7" t="s">
        <v>40</v>
      </c>
      <c r="C4793" s="41">
        <v>1233.3399999999999</v>
      </c>
      <c r="D4793" s="6">
        <v>45677</v>
      </c>
      <c r="E4793" s="3" t="str">
        <f ca="1">IF(Tabela2[[#This Row],[Dt Venc:]]&gt;TODAY(),"Em Aberto",IF(Tabela2[[#This Row],[D/venc]]="-","Enviado",IF(Tabela2[[#This Row],[Dt Venc:]]=TODAY(),"Vence Hoje","Vencida")))</f>
        <v>Enviado</v>
      </c>
      <c r="F4793" s="3" t="str">
        <f ca="1">IF(G4793=1,"-",Tabela2[[#This Row],[Dt Venc:]]-TODAY())</f>
        <v>-</v>
      </c>
      <c r="G4793" s="3">
        <v>1</v>
      </c>
      <c r="H4793" s="3"/>
    </row>
    <row r="4794" spans="1:8" hidden="1">
      <c r="A4794" s="3">
        <v>22207</v>
      </c>
      <c r="B4794" s="7" t="s">
        <v>40</v>
      </c>
      <c r="C4794" s="41">
        <v>7933.34</v>
      </c>
      <c r="D4794" s="6">
        <v>45677</v>
      </c>
      <c r="E4794" s="3" t="str">
        <f ca="1">IF(Tabela2[[#This Row],[Dt Venc:]]&gt;TODAY(),"Em Aberto",IF(Tabela2[[#This Row],[D/venc]]="-","Enviado",IF(Tabela2[[#This Row],[Dt Venc:]]=TODAY(),"Vence Hoje","Vencida")))</f>
        <v>Enviado</v>
      </c>
      <c r="F4794" s="3" t="str">
        <f ca="1">IF(G4794=1,"-",Tabela2[[#This Row],[Dt Venc:]]-TODAY())</f>
        <v>-</v>
      </c>
      <c r="G4794" s="3">
        <v>1</v>
      </c>
      <c r="H4794" s="3"/>
    </row>
    <row r="4795" spans="1:8" hidden="1">
      <c r="A4795" s="3">
        <v>14214</v>
      </c>
      <c r="B4795" s="7" t="s">
        <v>303</v>
      </c>
      <c r="C4795" s="41">
        <v>1015</v>
      </c>
      <c r="D4795" s="6">
        <v>45677</v>
      </c>
      <c r="E4795" s="3" t="str">
        <f ca="1">IF(Tabela2[[#This Row],[Dt Venc:]]&gt;TODAY(),"Em Aberto",IF(Tabela2[[#This Row],[D/venc]]="-","Enviado",IF(Tabela2[[#This Row],[Dt Venc:]]=TODAY(),"Vence Hoje","Vencida")))</f>
        <v>Enviado</v>
      </c>
      <c r="F4795" s="3" t="str">
        <f ca="1">IF(G4795=1,"-",Tabela2[[#This Row],[Dt Venc:]]-TODAY())</f>
        <v>-</v>
      </c>
      <c r="G4795" s="3">
        <v>1</v>
      </c>
      <c r="H4795" s="3"/>
    </row>
    <row r="4796" spans="1:8" hidden="1">
      <c r="A4796" s="3">
        <v>239660</v>
      </c>
      <c r="B4796" s="7" t="s">
        <v>43</v>
      </c>
      <c r="C4796" s="41">
        <v>3227.85</v>
      </c>
      <c r="D4796" s="6">
        <v>45677</v>
      </c>
      <c r="E4796" s="3" t="str">
        <f ca="1">IF(Tabela2[[#This Row],[Dt Venc:]]&gt;TODAY(),"Em Aberto",IF(Tabela2[[#This Row],[D/venc]]="-","Enviado",IF(Tabela2[[#This Row],[Dt Venc:]]=TODAY(),"Vence Hoje","Vencida")))</f>
        <v>Enviado</v>
      </c>
      <c r="F4796" s="3" t="str">
        <f ca="1">IF(G4796=1,"-",Tabela2[[#This Row],[Dt Venc:]]-TODAY())</f>
        <v>-</v>
      </c>
      <c r="G4796" s="3">
        <v>1</v>
      </c>
      <c r="H4796" s="3"/>
    </row>
    <row r="4797" spans="1:8" hidden="1">
      <c r="A4797" s="3">
        <v>245715</v>
      </c>
      <c r="B4797" s="7" t="s">
        <v>43</v>
      </c>
      <c r="C4797" s="41">
        <v>1452.52</v>
      </c>
      <c r="D4797" s="6">
        <v>45677</v>
      </c>
      <c r="E4797" s="3" t="str">
        <f ca="1">IF(Tabela2[[#This Row],[Dt Venc:]]&gt;TODAY(),"Em Aberto",IF(Tabela2[[#This Row],[D/venc]]="-","Enviado",IF(Tabela2[[#This Row],[Dt Venc:]]=TODAY(),"Vence Hoje","Vencida")))</f>
        <v>Enviado</v>
      </c>
      <c r="F4797" s="3" t="str">
        <f ca="1">IF(G4797=1,"-",Tabela2[[#This Row],[Dt Venc:]]-TODAY())</f>
        <v>-</v>
      </c>
      <c r="G4797" s="3">
        <v>1</v>
      </c>
      <c r="H4797" s="3"/>
    </row>
    <row r="4798" spans="1:8" hidden="1">
      <c r="A4798" s="3">
        <v>1416132</v>
      </c>
      <c r="B4798" s="7" t="s">
        <v>151</v>
      </c>
      <c r="C4798" s="41">
        <v>436.28</v>
      </c>
      <c r="D4798" s="6">
        <v>45677</v>
      </c>
      <c r="E4798" s="3" t="str">
        <f ca="1">IF(Tabela2[[#This Row],[Dt Venc:]]&gt;TODAY(),"Em Aberto",IF(Tabela2[[#This Row],[D/venc]]="-","Enviado",IF(Tabela2[[#This Row],[Dt Venc:]]=TODAY(),"Vence Hoje","Vencida")))</f>
        <v>Enviado</v>
      </c>
      <c r="F4798" s="3" t="str">
        <f ca="1">IF(G4798=1,"-",Tabela2[[#This Row],[Dt Venc:]]-TODAY())</f>
        <v>-</v>
      </c>
      <c r="G4798" s="3">
        <v>1</v>
      </c>
      <c r="H4798" s="3"/>
    </row>
    <row r="4799" spans="1:8" hidden="1">
      <c r="A4799" s="3">
        <v>1415714</v>
      </c>
      <c r="B4799" s="7" t="s">
        <v>151</v>
      </c>
      <c r="C4799" s="41">
        <v>887.8</v>
      </c>
      <c r="D4799" s="6">
        <v>45677</v>
      </c>
      <c r="E4799" s="3" t="str">
        <f ca="1">IF(Tabela2[[#This Row],[Dt Venc:]]&gt;TODAY(),"Em Aberto",IF(Tabela2[[#This Row],[D/venc]]="-","Enviado",IF(Tabela2[[#This Row],[Dt Venc:]]=TODAY(),"Vence Hoje","Vencida")))</f>
        <v>Enviado</v>
      </c>
      <c r="F4799" s="3" t="str">
        <f ca="1">IF(G4799=1,"-",Tabela2[[#This Row],[Dt Venc:]]-TODAY())</f>
        <v>-</v>
      </c>
      <c r="G4799" s="3">
        <v>1</v>
      </c>
      <c r="H4799" s="3"/>
    </row>
    <row r="4800" spans="1:8" hidden="1">
      <c r="A4800" s="3">
        <v>189458</v>
      </c>
      <c r="B4800" s="7" t="s">
        <v>128</v>
      </c>
      <c r="C4800" s="41">
        <v>1774.93</v>
      </c>
      <c r="D4800" s="6">
        <v>45677</v>
      </c>
      <c r="E4800" s="3" t="str">
        <f ca="1">IF(Tabela2[[#This Row],[Dt Venc:]]&gt;TODAY(),"Em Aberto",IF(Tabela2[[#This Row],[D/venc]]="-","Enviado",IF(Tabela2[[#This Row],[Dt Venc:]]=TODAY(),"Vence Hoje","Vencida")))</f>
        <v>Enviado</v>
      </c>
      <c r="F4800" s="3" t="str">
        <f ca="1">IF(G4800=1,"-",Tabela2[[#This Row],[Dt Venc:]]-TODAY())</f>
        <v>-</v>
      </c>
      <c r="G4800" s="3">
        <v>1</v>
      </c>
      <c r="H4800" s="3"/>
    </row>
    <row r="4801" spans="1:8" hidden="1">
      <c r="A4801" s="3">
        <v>45083</v>
      </c>
      <c r="B4801" s="7" t="s">
        <v>70</v>
      </c>
      <c r="C4801" s="41">
        <v>259.52</v>
      </c>
      <c r="D4801" s="6">
        <v>45677</v>
      </c>
      <c r="E4801" s="3" t="str">
        <f ca="1">IF(Tabela2[[#This Row],[Dt Venc:]]&gt;TODAY(),"Em Aberto",IF(Tabela2[[#This Row],[D/venc]]="-","Enviado",IF(Tabela2[[#This Row],[Dt Venc:]]=TODAY(),"Vence Hoje","Vencida")))</f>
        <v>Enviado</v>
      </c>
      <c r="F4801" s="3" t="str">
        <f ca="1">IF(G4801=1,"-",Tabela2[[#This Row],[Dt Venc:]]-TODAY())</f>
        <v>-</v>
      </c>
      <c r="G4801" s="3">
        <v>1</v>
      </c>
      <c r="H4801" s="3"/>
    </row>
    <row r="4802" spans="1:8" hidden="1">
      <c r="A4802" s="3">
        <v>34707</v>
      </c>
      <c r="B4802" s="7" t="s">
        <v>70</v>
      </c>
      <c r="C4802" s="41">
        <v>259.52</v>
      </c>
      <c r="D4802" s="6">
        <v>45677</v>
      </c>
      <c r="E4802" s="3" t="str">
        <f ca="1">IF(Tabela2[[#This Row],[Dt Venc:]]&gt;TODAY(),"Em Aberto",IF(Tabela2[[#This Row],[D/venc]]="-","Enviado",IF(Tabela2[[#This Row],[Dt Venc:]]=TODAY(),"Vence Hoje","Vencida")))</f>
        <v>Enviado</v>
      </c>
      <c r="F4802" s="3" t="str">
        <f ca="1">IF(G4802=1,"-",Tabela2[[#This Row],[Dt Venc:]]-TODAY())</f>
        <v>-</v>
      </c>
      <c r="G4802" s="3">
        <v>1</v>
      </c>
      <c r="H4802" s="3"/>
    </row>
    <row r="4803" spans="1:8" hidden="1">
      <c r="A4803" s="3">
        <v>2011</v>
      </c>
      <c r="B4803" s="7" t="s">
        <v>507</v>
      </c>
      <c r="C4803" s="41">
        <v>6563.5</v>
      </c>
      <c r="D4803" s="6">
        <v>45677</v>
      </c>
      <c r="E4803" s="3" t="str">
        <f ca="1">IF(Tabela2[[#This Row],[Dt Venc:]]&gt;TODAY(),"Em Aberto",IF(Tabela2[[#This Row],[D/venc]]="-","Enviado",IF(Tabela2[[#This Row],[Dt Venc:]]=TODAY(),"Vence Hoje","Vencida")))</f>
        <v>Enviado</v>
      </c>
      <c r="F4803" s="3" t="str">
        <f ca="1">IF(G4803=1,"-",Tabela2[[#This Row],[Dt Venc:]]-TODAY())</f>
        <v>-</v>
      </c>
      <c r="G4803" s="3">
        <v>1</v>
      </c>
      <c r="H4803" s="3"/>
    </row>
    <row r="4804" spans="1:8" hidden="1">
      <c r="A4804" s="3">
        <v>3459</v>
      </c>
      <c r="B4804" s="7" t="s">
        <v>129</v>
      </c>
      <c r="C4804" s="41">
        <v>2118.1999999999998</v>
      </c>
      <c r="D4804" s="6">
        <v>45677</v>
      </c>
      <c r="E4804" s="3" t="str">
        <f ca="1">IF(Tabela2[[#This Row],[Dt Venc:]]&gt;TODAY(),"Em Aberto",IF(Tabela2[[#This Row],[D/venc]]="-","Enviado",IF(Tabela2[[#This Row],[Dt Venc:]]=TODAY(),"Vence Hoje","Vencida")))</f>
        <v>Enviado</v>
      </c>
      <c r="F4804" s="3" t="str">
        <f ca="1">IF(G4804=1,"-",Tabela2[[#This Row],[Dt Venc:]]-TODAY())</f>
        <v>-</v>
      </c>
      <c r="G4804" s="3">
        <v>1</v>
      </c>
      <c r="H4804" s="3"/>
    </row>
    <row r="4805" spans="1:8" hidden="1">
      <c r="A4805" s="3">
        <v>43759</v>
      </c>
      <c r="B4805" s="7" t="s">
        <v>529</v>
      </c>
      <c r="C4805" s="41">
        <v>1618.75</v>
      </c>
      <c r="D4805" s="6">
        <v>45677</v>
      </c>
      <c r="E4805" s="3" t="str">
        <f ca="1">IF(Tabela2[[#This Row],[Dt Venc:]]&gt;TODAY(),"Em Aberto",IF(Tabela2[[#This Row],[D/venc]]="-","Enviado",IF(Tabela2[[#This Row],[Dt Venc:]]=TODAY(),"Vence Hoje","Vencida")))</f>
        <v>Enviado</v>
      </c>
      <c r="F4805" s="3" t="str">
        <f ca="1">IF(G4805=1,"-",Tabela2[[#This Row],[Dt Venc:]]-TODAY())</f>
        <v>-</v>
      </c>
      <c r="G4805" s="3">
        <v>1</v>
      </c>
      <c r="H4805" s="3"/>
    </row>
    <row r="4806" spans="1:8" hidden="1">
      <c r="A4806" s="3">
        <v>1367</v>
      </c>
      <c r="B4806" s="7" t="s">
        <v>360</v>
      </c>
      <c r="C4806" s="41">
        <v>1043.3399999999999</v>
      </c>
      <c r="D4806" s="6">
        <v>45677</v>
      </c>
      <c r="E4806" s="3" t="str">
        <f ca="1">IF(Tabela2[[#This Row],[Dt Venc:]]&gt;TODAY(),"Em Aberto",IF(Tabela2[[#This Row],[D/venc]]="-","Enviado",IF(Tabela2[[#This Row],[Dt Venc:]]=TODAY(),"Vence Hoje","Vencida")))</f>
        <v>Enviado</v>
      </c>
      <c r="F4806" s="3" t="str">
        <f ca="1">IF(G4806=1,"-",Tabela2[[#This Row],[Dt Venc:]]-TODAY())</f>
        <v>-</v>
      </c>
      <c r="G4806" s="3">
        <v>1</v>
      </c>
      <c r="H4806" s="3"/>
    </row>
    <row r="4807" spans="1:8" hidden="1">
      <c r="A4807" s="3">
        <v>73407</v>
      </c>
      <c r="B4807" s="7" t="s">
        <v>76</v>
      </c>
      <c r="C4807" s="41">
        <v>1890.58</v>
      </c>
      <c r="D4807" s="6">
        <v>45677</v>
      </c>
      <c r="E4807" s="3" t="str">
        <f ca="1">IF(Tabela2[[#This Row],[Dt Venc:]]&gt;TODAY(),"Em Aberto",IF(Tabela2[[#This Row],[D/venc]]="-","Enviado",IF(Tabela2[[#This Row],[Dt Venc:]]=TODAY(),"Vence Hoje","Vencida")))</f>
        <v>Enviado</v>
      </c>
      <c r="F4807" s="3" t="str">
        <f ca="1">IF(G4807=1,"-",Tabela2[[#This Row],[Dt Venc:]]-TODAY())</f>
        <v>-</v>
      </c>
      <c r="G4807" s="3">
        <v>1</v>
      </c>
      <c r="H4807" s="3"/>
    </row>
    <row r="4808" spans="1:8" hidden="1">
      <c r="A4808" s="3">
        <v>176474</v>
      </c>
      <c r="B4808" s="7" t="s">
        <v>211</v>
      </c>
      <c r="C4808" s="41">
        <v>506.66</v>
      </c>
      <c r="D4808" s="6">
        <v>45677</v>
      </c>
      <c r="E4808" s="3" t="str">
        <f ca="1">IF(Tabela2[[#This Row],[Dt Venc:]]&gt;TODAY(),"Em Aberto",IF(Tabela2[[#This Row],[D/venc]]="-","Enviado",IF(Tabela2[[#This Row],[Dt Venc:]]=TODAY(),"Vence Hoje","Vencida")))</f>
        <v>Enviado</v>
      </c>
      <c r="F4808" s="3" t="str">
        <f ca="1">IF(G4808=1,"-",Tabela2[[#This Row],[Dt Venc:]]-TODAY())</f>
        <v>-</v>
      </c>
      <c r="G4808" s="3">
        <v>1</v>
      </c>
      <c r="H4808" s="3"/>
    </row>
    <row r="4809" spans="1:8" hidden="1">
      <c r="A4809" s="3">
        <v>73324</v>
      </c>
      <c r="B4809" s="7" t="s">
        <v>76</v>
      </c>
      <c r="C4809" s="41">
        <v>2626.69</v>
      </c>
      <c r="D4809" s="6">
        <v>45677</v>
      </c>
      <c r="E4809" s="3" t="str">
        <f ca="1">IF(Tabela2[[#This Row],[Dt Venc:]]&gt;TODAY(),"Em Aberto",IF(Tabela2[[#This Row],[D/venc]]="-","Enviado",IF(Tabela2[[#This Row],[Dt Venc:]]=TODAY(),"Vence Hoje","Vencida")))</f>
        <v>Enviado</v>
      </c>
      <c r="F4809" s="3" t="str">
        <f ca="1">IF(G4809=1,"-",Tabela2[[#This Row],[Dt Venc:]]-TODAY())</f>
        <v>-</v>
      </c>
      <c r="G4809" s="3">
        <v>1</v>
      </c>
      <c r="H4809" s="3"/>
    </row>
    <row r="4810" spans="1:8" hidden="1">
      <c r="A4810" s="3">
        <v>73320</v>
      </c>
      <c r="B4810" s="7" t="s">
        <v>76</v>
      </c>
      <c r="C4810" s="41">
        <v>932.87</v>
      </c>
      <c r="D4810" s="6">
        <v>45677</v>
      </c>
      <c r="E4810" s="3" t="str">
        <f ca="1">IF(Tabela2[[#This Row],[Dt Venc:]]&gt;TODAY(),"Em Aberto",IF(Tabela2[[#This Row],[D/venc]]="-","Enviado",IF(Tabela2[[#This Row],[Dt Venc:]]=TODAY(),"Vence Hoje","Vencida")))</f>
        <v>Enviado</v>
      </c>
      <c r="F4810" s="3" t="str">
        <f ca="1">IF(G4810=1,"-",Tabela2[[#This Row],[Dt Venc:]]-TODAY())</f>
        <v>-</v>
      </c>
      <c r="G4810" s="3">
        <v>1</v>
      </c>
      <c r="H4810" s="3"/>
    </row>
    <row r="4811" spans="1:8" hidden="1">
      <c r="A4811" s="3">
        <v>154589</v>
      </c>
      <c r="B4811" s="7" t="s">
        <v>261</v>
      </c>
      <c r="C4811" s="41">
        <v>450</v>
      </c>
      <c r="D4811" s="6">
        <v>45677</v>
      </c>
      <c r="E4811" s="3" t="str">
        <f ca="1">IF(Tabela2[[#This Row],[Dt Venc:]]&gt;TODAY(),"Em Aberto",IF(Tabela2[[#This Row],[D/venc]]="-","Enviado",IF(Tabela2[[#This Row],[Dt Venc:]]=TODAY(),"Vence Hoje","Vencida")))</f>
        <v>Enviado</v>
      </c>
      <c r="F4811" s="3" t="str">
        <f ca="1">IF(G4811=1,"-",Tabela2[[#This Row],[Dt Venc:]]-TODAY())</f>
        <v>-</v>
      </c>
      <c r="G4811" s="3">
        <v>1</v>
      </c>
      <c r="H4811" s="3"/>
    </row>
    <row r="4812" spans="1:8" hidden="1">
      <c r="A4812" s="3">
        <v>617963</v>
      </c>
      <c r="B4812" s="7" t="s">
        <v>66</v>
      </c>
      <c r="C4812" s="41">
        <v>2338.75</v>
      </c>
      <c r="D4812" s="6">
        <v>45677</v>
      </c>
      <c r="E4812" s="3" t="str">
        <f ca="1">IF(Tabela2[[#This Row],[Dt Venc:]]&gt;TODAY(),"Em Aberto",IF(Tabela2[[#This Row],[D/venc]]="-","Enviado",IF(Tabela2[[#This Row],[Dt Venc:]]=TODAY(),"Vence Hoje","Vencida")))</f>
        <v>Enviado</v>
      </c>
      <c r="F4812" s="3" t="str">
        <f ca="1">IF(G4812=1,"-",Tabela2[[#This Row],[Dt Venc:]]-TODAY())</f>
        <v>-</v>
      </c>
      <c r="G4812" s="3">
        <v>1</v>
      </c>
      <c r="H4812" s="3"/>
    </row>
    <row r="4813" spans="1:8" hidden="1">
      <c r="A4813" s="3">
        <v>3767</v>
      </c>
      <c r="B4813" s="7" t="s">
        <v>641</v>
      </c>
      <c r="C4813" s="41">
        <v>2460</v>
      </c>
      <c r="D4813" s="6">
        <v>45677</v>
      </c>
      <c r="E4813" s="3" t="str">
        <f ca="1">IF(Tabela2[[#This Row],[Dt Venc:]]&gt;TODAY(),"Em Aberto",IF(Tabela2[[#This Row],[D/venc]]="-","Enviado",IF(Tabela2[[#This Row],[Dt Venc:]]=TODAY(),"Vence Hoje","Vencida")))</f>
        <v>Enviado</v>
      </c>
      <c r="F4813" s="3" t="str">
        <f ca="1">IF(G4813=1,"-",Tabela2[[#This Row],[Dt Venc:]]-TODAY())</f>
        <v>-</v>
      </c>
      <c r="G4813" s="3">
        <v>1</v>
      </c>
      <c r="H4813" s="3"/>
    </row>
    <row r="4814" spans="1:8" hidden="1">
      <c r="A4814" s="3">
        <v>204759</v>
      </c>
      <c r="B4814" s="7" t="s">
        <v>43</v>
      </c>
      <c r="C4814" s="41">
        <v>375</v>
      </c>
      <c r="D4814" s="6">
        <v>45677</v>
      </c>
      <c r="E4814" s="3" t="str">
        <f ca="1">IF(Tabela2[[#This Row],[Dt Venc:]]&gt;TODAY(),"Em Aberto",IF(Tabela2[[#This Row],[D/venc]]="-","Enviado",IF(Tabela2[[#This Row],[Dt Venc:]]=TODAY(),"Vence Hoje","Vencida")))</f>
        <v>Enviado</v>
      </c>
      <c r="F4814" s="3" t="str">
        <f ca="1">IF(G4814=1,"-",Tabela2[[#This Row],[Dt Venc:]]-TODAY())</f>
        <v>-</v>
      </c>
      <c r="G4814" s="3">
        <v>1</v>
      </c>
      <c r="H4814" s="3"/>
    </row>
    <row r="4815" spans="1:8" hidden="1">
      <c r="A4815" s="3">
        <v>1681</v>
      </c>
      <c r="B4815" s="7" t="s">
        <v>560</v>
      </c>
      <c r="C4815" s="41">
        <v>346.67</v>
      </c>
      <c r="D4815" s="6">
        <v>45677</v>
      </c>
      <c r="E4815" s="3" t="str">
        <f ca="1">IF(Tabela2[[#This Row],[Dt Venc:]]&gt;TODAY(),"Em Aberto",IF(Tabela2[[#This Row],[D/venc]]="-","Enviado",IF(Tabela2[[#This Row],[Dt Venc:]]=TODAY(),"Vence Hoje","Vencida")))</f>
        <v>Enviado</v>
      </c>
      <c r="F4815" s="3" t="str">
        <f ca="1">IF(G4815=1,"-",Tabela2[[#This Row],[Dt Venc:]]-TODAY())</f>
        <v>-</v>
      </c>
      <c r="G4815" s="3">
        <v>1</v>
      </c>
      <c r="H4815" s="3"/>
    </row>
    <row r="4816" spans="1:8" hidden="1">
      <c r="A4816" s="3">
        <v>446836</v>
      </c>
      <c r="B4816" s="7" t="s">
        <v>512</v>
      </c>
      <c r="C4816" s="41">
        <v>631.77</v>
      </c>
      <c r="D4816" s="6">
        <v>45677</v>
      </c>
      <c r="E4816" s="3" t="str">
        <f ca="1">IF(Tabela2[[#This Row],[Dt Venc:]]&gt;TODAY(),"Em Aberto",IF(Tabela2[[#This Row],[D/venc]]="-","Enviado",IF(Tabela2[[#This Row],[Dt Venc:]]=TODAY(),"Vence Hoje","Vencida")))</f>
        <v>Enviado</v>
      </c>
      <c r="F4816" s="3" t="str">
        <f ca="1">IF(G4816=1,"-",Tabela2[[#This Row],[Dt Venc:]]-TODAY())</f>
        <v>-</v>
      </c>
      <c r="G4816" s="3">
        <v>1</v>
      </c>
      <c r="H4816" s="3"/>
    </row>
    <row r="4817" spans="1:8" hidden="1">
      <c r="A4817" s="47">
        <v>16491</v>
      </c>
      <c r="B4817" s="46" t="s">
        <v>322</v>
      </c>
      <c r="C4817" s="95">
        <v>1113</v>
      </c>
      <c r="D4817" s="6">
        <v>45677</v>
      </c>
      <c r="E4817" s="3" t="str">
        <f ca="1">IF(Tabela2[[#This Row],[Dt Venc:]]&gt;TODAY(),"Em Aberto",IF(Tabela2[[#This Row],[D/venc]]="-","Enviado",IF(Tabela2[[#This Row],[Dt Venc:]]=TODAY(),"Vence Hoje","Vencida")))</f>
        <v>Enviado</v>
      </c>
      <c r="F4817" s="3" t="str">
        <f ca="1">IF(G4817=1,"-",Tabela2[[#This Row],[Dt Venc:]]-TODAY())</f>
        <v>-</v>
      </c>
      <c r="G4817" s="3">
        <v>1</v>
      </c>
      <c r="H4817" s="3"/>
    </row>
    <row r="4818" spans="1:8" hidden="1">
      <c r="A4818" s="3">
        <v>12391</v>
      </c>
      <c r="B4818" s="7" t="s">
        <v>402</v>
      </c>
      <c r="C4818" s="41">
        <v>1420.5</v>
      </c>
      <c r="D4818" s="6">
        <v>45677</v>
      </c>
      <c r="E4818" s="3" t="str">
        <f ca="1">IF(Tabela2[[#This Row],[Dt Venc:]]&gt;TODAY(),"Em Aberto",IF(Tabela2[[#This Row],[D/venc]]="-","Enviado",IF(Tabela2[[#This Row],[Dt Venc:]]=TODAY(),"Vence Hoje","Vencida")))</f>
        <v>Enviado</v>
      </c>
      <c r="F4818" s="3" t="str">
        <f ca="1">IF(G4818=1,"-",Tabela2[[#This Row],[Dt Venc:]]-TODAY())</f>
        <v>-</v>
      </c>
      <c r="G4818" s="3">
        <v>1</v>
      </c>
      <c r="H4818" s="3"/>
    </row>
    <row r="4819" spans="1:8" hidden="1">
      <c r="A4819" s="3">
        <v>258811</v>
      </c>
      <c r="B4819" s="7" t="s">
        <v>49</v>
      </c>
      <c r="C4819" s="41">
        <v>1716.66</v>
      </c>
      <c r="D4819" s="6">
        <v>45677</v>
      </c>
      <c r="E4819" s="3" t="str">
        <f ca="1">IF(Tabela2[[#This Row],[Dt Venc:]]&gt;TODAY(),"Em Aberto",IF(Tabela2[[#This Row],[D/venc]]="-","Enviado",IF(Tabela2[[#This Row],[Dt Venc:]]=TODAY(),"Vence Hoje","Vencida")))</f>
        <v>Enviado</v>
      </c>
      <c r="F4819" s="3" t="str">
        <f ca="1">IF(G4819=1,"-",Tabela2[[#This Row],[Dt Venc:]]-TODAY())</f>
        <v>-</v>
      </c>
      <c r="G4819" s="3">
        <v>1</v>
      </c>
      <c r="H4819" s="3"/>
    </row>
    <row r="4820" spans="1:8" hidden="1">
      <c r="A4820" s="3">
        <v>2552</v>
      </c>
      <c r="B4820" s="7" t="s">
        <v>248</v>
      </c>
      <c r="C4820" s="41">
        <v>5688.07</v>
      </c>
      <c r="D4820" s="6">
        <v>45677</v>
      </c>
      <c r="E4820" s="3" t="str">
        <f ca="1">IF(Tabela2[[#This Row],[Dt Venc:]]&gt;TODAY(),"Em Aberto",IF(Tabela2[[#This Row],[D/venc]]="-","Enviado",IF(Tabela2[[#This Row],[Dt Venc:]]=TODAY(),"Vence Hoje","Vencida")))</f>
        <v>Enviado</v>
      </c>
      <c r="F4820" s="3" t="str">
        <f ca="1">IF(G4820=1,"-",Tabela2[[#This Row],[Dt Venc:]]-TODAY())</f>
        <v>-</v>
      </c>
      <c r="G4820" s="3">
        <v>1</v>
      </c>
      <c r="H4820" s="3"/>
    </row>
    <row r="4821" spans="1:8" hidden="1">
      <c r="A4821" s="3">
        <v>1197</v>
      </c>
      <c r="B4821" s="7" t="s">
        <v>155</v>
      </c>
      <c r="C4821" s="41">
        <v>25374.400000000001</v>
      </c>
      <c r="D4821" s="6">
        <v>45677</v>
      </c>
      <c r="E4821" s="3" t="str">
        <f ca="1">IF(Tabela2[[#This Row],[Dt Venc:]]&gt;TODAY(),"Em Aberto",IF(Tabela2[[#This Row],[D/venc]]="-","Enviado",IF(Tabela2[[#This Row],[Dt Venc:]]=TODAY(),"Vence Hoje","Vencida")))</f>
        <v>Enviado</v>
      </c>
      <c r="F4821" s="3" t="str">
        <f ca="1">IF(G4821=1,"-",Tabela2[[#This Row],[Dt Venc:]]-TODAY())</f>
        <v>-</v>
      </c>
      <c r="G4821" s="3">
        <v>1</v>
      </c>
      <c r="H4821" s="3"/>
    </row>
    <row r="4822" spans="1:8" hidden="1">
      <c r="A4822" s="3">
        <v>1192</v>
      </c>
      <c r="B4822" s="7" t="s">
        <v>155</v>
      </c>
      <c r="C4822" s="41">
        <v>25900</v>
      </c>
      <c r="D4822" s="6">
        <v>45677</v>
      </c>
      <c r="E4822" s="3" t="str">
        <f ca="1">IF(Tabela2[[#This Row],[Dt Venc:]]&gt;TODAY(),"Em Aberto",IF(Tabela2[[#This Row],[D/venc]]="-","Enviado",IF(Tabela2[[#This Row],[Dt Venc:]]=TODAY(),"Vence Hoje","Vencida")))</f>
        <v>Enviado</v>
      </c>
      <c r="F4822" s="3" t="str">
        <f ca="1">IF(G4822=1,"-",Tabela2[[#This Row],[Dt Venc:]]-TODAY())</f>
        <v>-</v>
      </c>
      <c r="G4822" s="3">
        <v>1</v>
      </c>
      <c r="H4822" s="3"/>
    </row>
    <row r="4823" spans="1:8" hidden="1">
      <c r="A4823" s="3">
        <v>1788</v>
      </c>
      <c r="B4823" s="7" t="s">
        <v>135</v>
      </c>
      <c r="C4823" s="41">
        <v>6667.49</v>
      </c>
      <c r="D4823" s="6">
        <v>45677</v>
      </c>
      <c r="E4823" s="3" t="str">
        <f ca="1">IF(Tabela2[[#This Row],[Dt Venc:]]&gt;TODAY(),"Em Aberto",IF(Tabela2[[#This Row],[D/venc]]="-","Enviado",IF(Tabela2[[#This Row],[Dt Venc:]]=TODAY(),"Vence Hoje","Vencida")))</f>
        <v>Enviado</v>
      </c>
      <c r="F4823" s="3" t="str">
        <f ca="1">IF(G4823=1,"-",Tabela2[[#This Row],[Dt Venc:]]-TODAY())</f>
        <v>-</v>
      </c>
      <c r="G4823" s="3">
        <v>1</v>
      </c>
      <c r="H4823" s="3"/>
    </row>
    <row r="4824" spans="1:8" hidden="1">
      <c r="A4824" s="3">
        <v>375591</v>
      </c>
      <c r="B4824" s="7" t="s">
        <v>39</v>
      </c>
      <c r="C4824" s="41">
        <v>680.6</v>
      </c>
      <c r="D4824" s="6">
        <v>45677</v>
      </c>
      <c r="E4824" s="3" t="str">
        <f ca="1">IF(Tabela2[[#This Row],[Dt Venc:]]&gt;TODAY(),"Em Aberto",IF(Tabela2[[#This Row],[D/venc]]="-","Enviado",IF(Tabela2[[#This Row],[Dt Venc:]]=TODAY(),"Vence Hoje","Vencida")))</f>
        <v>Enviado</v>
      </c>
      <c r="F4824" s="3" t="str">
        <f ca="1">IF(G4824=1,"-",Tabela2[[#This Row],[Dt Venc:]]-TODAY())</f>
        <v>-</v>
      </c>
      <c r="G4824" s="3">
        <v>1</v>
      </c>
      <c r="H4824" s="3"/>
    </row>
    <row r="4825" spans="1:8" hidden="1">
      <c r="A4825" s="3">
        <v>375524</v>
      </c>
      <c r="B4825" s="7" t="s">
        <v>39</v>
      </c>
      <c r="C4825" s="41">
        <v>1099.1199999999999</v>
      </c>
      <c r="D4825" s="6">
        <v>45677</v>
      </c>
      <c r="E4825" s="3" t="str">
        <f ca="1">IF(Tabela2[[#This Row],[Dt Venc:]]&gt;TODAY(),"Em Aberto",IF(Tabela2[[#This Row],[D/venc]]="-","Enviado",IF(Tabela2[[#This Row],[Dt Venc:]]=TODAY(),"Vence Hoje","Vencida")))</f>
        <v>Enviado</v>
      </c>
      <c r="F4825" s="3" t="str">
        <f ca="1">IF(G4825=1,"-",Tabela2[[#This Row],[Dt Venc:]]-TODAY())</f>
        <v>-</v>
      </c>
      <c r="G4825" s="3">
        <v>1</v>
      </c>
      <c r="H4825" s="3"/>
    </row>
    <row r="4826" spans="1:8" hidden="1">
      <c r="A4826" s="3">
        <v>259101</v>
      </c>
      <c r="B4826" s="7" t="s">
        <v>49</v>
      </c>
      <c r="C4826" s="41">
        <v>686.66</v>
      </c>
      <c r="D4826" s="6">
        <v>45677</v>
      </c>
      <c r="E4826" s="3" t="str">
        <f ca="1">IF(Tabela2[[#This Row],[Dt Venc:]]&gt;TODAY(),"Em Aberto",IF(Tabela2[[#This Row],[D/venc]]="-","Enviado",IF(Tabela2[[#This Row],[Dt Venc:]]=TODAY(),"Vence Hoje","Vencida")))</f>
        <v>Enviado</v>
      </c>
      <c r="F4826" s="3" t="str">
        <f ca="1">IF(G4826=1,"-",Tabela2[[#This Row],[Dt Venc:]]-TODAY())</f>
        <v>-</v>
      </c>
      <c r="G4826" s="3">
        <v>1</v>
      </c>
      <c r="H4826" s="3"/>
    </row>
    <row r="4827" spans="1:8" hidden="1">
      <c r="A4827" s="3">
        <v>237189</v>
      </c>
      <c r="B4827" s="7" t="s">
        <v>40</v>
      </c>
      <c r="C4827" s="41">
        <v>980</v>
      </c>
      <c r="D4827" s="6">
        <v>45677</v>
      </c>
      <c r="E4827" s="3" t="str">
        <f ca="1">IF(Tabela2[[#This Row],[Dt Venc:]]&gt;TODAY(),"Em Aberto",IF(Tabela2[[#This Row],[D/venc]]="-","Enviado",IF(Tabela2[[#This Row],[Dt Venc:]]=TODAY(),"Vence Hoje","Vencida")))</f>
        <v>Enviado</v>
      </c>
      <c r="F4827" s="3" t="str">
        <f ca="1">IF(G4827=1,"-",Tabela2[[#This Row],[Dt Venc:]]-TODAY())</f>
        <v>-</v>
      </c>
      <c r="G4827" s="3">
        <v>1</v>
      </c>
      <c r="H4827" s="3"/>
    </row>
    <row r="4828" spans="1:8" hidden="1">
      <c r="A4828" s="3">
        <v>237190</v>
      </c>
      <c r="B4828" s="7" t="s">
        <v>40</v>
      </c>
      <c r="C4828" s="41">
        <v>653.34</v>
      </c>
      <c r="D4828" s="6">
        <v>45677</v>
      </c>
      <c r="E4828" s="3" t="str">
        <f ca="1">IF(Tabela2[[#This Row],[Dt Venc:]]&gt;TODAY(),"Em Aberto",IF(Tabela2[[#This Row],[D/venc]]="-","Enviado",IF(Tabela2[[#This Row],[Dt Venc:]]=TODAY(),"Vence Hoje","Vencida")))</f>
        <v>Enviado</v>
      </c>
      <c r="F4828" s="3" t="str">
        <f ca="1">IF(G4828=1,"-",Tabela2[[#This Row],[Dt Venc:]]-TODAY())</f>
        <v>-</v>
      </c>
      <c r="G4828" s="3">
        <v>1</v>
      </c>
      <c r="H4828" s="3"/>
    </row>
    <row r="4829" spans="1:8" hidden="1">
      <c r="A4829" s="3">
        <v>74374</v>
      </c>
      <c r="B4829" s="7" t="s">
        <v>76</v>
      </c>
      <c r="C4829" s="41">
        <v>2578.9899999999998</v>
      </c>
      <c r="D4829" s="6">
        <v>45677</v>
      </c>
      <c r="E4829" s="3" t="str">
        <f ca="1">IF(Tabela2[[#This Row],[Dt Venc:]]&gt;TODAY(),"Em Aberto",IF(Tabela2[[#This Row],[D/venc]]="-","Enviado",IF(Tabela2[[#This Row],[Dt Venc:]]=TODAY(),"Vence Hoje","Vencida")))</f>
        <v>Enviado</v>
      </c>
      <c r="F4829" s="3" t="str">
        <f ca="1">IF(G4829=1,"-",Tabela2[[#This Row],[Dt Venc:]]-TODAY())</f>
        <v>-</v>
      </c>
      <c r="G4829" s="3">
        <v>1</v>
      </c>
      <c r="H4829" s="3"/>
    </row>
    <row r="4830" spans="1:8" hidden="1">
      <c r="A4830" s="3">
        <v>50919</v>
      </c>
      <c r="B4830" s="7" t="s">
        <v>144</v>
      </c>
      <c r="C4830" s="41">
        <v>339.66</v>
      </c>
      <c r="D4830" s="6">
        <v>45677</v>
      </c>
      <c r="E4830" s="3" t="str">
        <f ca="1">IF(Tabela2[[#This Row],[Dt Venc:]]&gt;TODAY(),"Em Aberto",IF(Tabela2[[#This Row],[D/venc]]="-","Enviado",IF(Tabela2[[#This Row],[Dt Venc:]]=TODAY(),"Vence Hoje","Vencida")))</f>
        <v>Enviado</v>
      </c>
      <c r="F4830" s="3" t="str">
        <f ca="1">IF(G4830=1,"-",Tabela2[[#This Row],[Dt Venc:]]-TODAY())</f>
        <v>-</v>
      </c>
      <c r="G4830" s="3">
        <v>1</v>
      </c>
      <c r="H4830" s="3"/>
    </row>
    <row r="4831" spans="1:8" hidden="1">
      <c r="A4831" s="3">
        <v>12794</v>
      </c>
      <c r="B4831" s="7" t="s">
        <v>211</v>
      </c>
      <c r="C4831" s="41">
        <v>1033.3399999999999</v>
      </c>
      <c r="D4831" s="6">
        <v>45677</v>
      </c>
      <c r="E4831" s="3" t="str">
        <f ca="1">IF(Tabela2[[#This Row],[Dt Venc:]]&gt;TODAY(),"Em Aberto",IF(Tabela2[[#This Row],[D/venc]]="-","Enviado",IF(Tabela2[[#This Row],[Dt Venc:]]=TODAY(),"Vence Hoje","Vencida")))</f>
        <v>Enviado</v>
      </c>
      <c r="F4831" s="3" t="str">
        <f ca="1">IF(G4831=1,"-",Tabela2[[#This Row],[Dt Venc:]]-TODAY())</f>
        <v>-</v>
      </c>
      <c r="G4831" s="3">
        <v>1</v>
      </c>
      <c r="H4831" s="3"/>
    </row>
    <row r="4832" spans="1:8" hidden="1">
      <c r="A4832" s="3">
        <v>11268</v>
      </c>
      <c r="B4832" s="7" t="s">
        <v>33</v>
      </c>
      <c r="C4832" s="41">
        <v>1588.33</v>
      </c>
      <c r="D4832" s="6">
        <v>45677</v>
      </c>
      <c r="E4832" s="3" t="str">
        <f ca="1">IF(Tabela2[[#This Row],[Dt Venc:]]&gt;TODAY(),"Em Aberto",IF(Tabela2[[#This Row],[D/venc]]="-","Enviado",IF(Tabela2[[#This Row],[Dt Venc:]]=TODAY(),"Vence Hoje","Vencida")))</f>
        <v>Enviado</v>
      </c>
      <c r="F4832" s="3" t="str">
        <f ca="1">IF(G4832=1,"-",Tabela2[[#This Row],[Dt Venc:]]-TODAY())</f>
        <v>-</v>
      </c>
      <c r="G4832" s="3">
        <v>1</v>
      </c>
      <c r="H4832" s="3"/>
    </row>
    <row r="4833" spans="1:8" hidden="1">
      <c r="A4833" s="3">
        <v>446777</v>
      </c>
      <c r="B4833" s="7" t="s">
        <v>59</v>
      </c>
      <c r="C4833" s="41">
        <v>57105</v>
      </c>
      <c r="D4833" s="6">
        <v>45677</v>
      </c>
      <c r="E4833" s="3" t="str">
        <f ca="1">IF(Tabela2[[#This Row],[Dt Venc:]]&gt;TODAY(),"Em Aberto",IF(Tabela2[[#This Row],[D/venc]]="-","Enviado",IF(Tabela2[[#This Row],[Dt Venc:]]=TODAY(),"Vence Hoje","Vencida")))</f>
        <v>Enviado</v>
      </c>
      <c r="F4833" s="3" t="str">
        <f ca="1">IF(G4833=1,"-",Tabela2[[#This Row],[Dt Venc:]]-TODAY())</f>
        <v>-</v>
      </c>
      <c r="G4833" s="3">
        <v>1</v>
      </c>
      <c r="H4833" s="3"/>
    </row>
    <row r="4834" spans="1:8" hidden="1">
      <c r="A4834" s="3">
        <v>12987</v>
      </c>
      <c r="B4834" s="7" t="s">
        <v>105</v>
      </c>
      <c r="C4834" s="41">
        <v>4625</v>
      </c>
      <c r="D4834" s="6">
        <v>45677</v>
      </c>
      <c r="E4834" s="3" t="str">
        <f ca="1">IF(Tabela2[[#This Row],[Dt Venc:]]&gt;TODAY(),"Em Aberto",IF(Tabela2[[#This Row],[D/venc]]="-","Enviado",IF(Tabela2[[#This Row],[Dt Venc:]]=TODAY(),"Vence Hoje","Vencida")))</f>
        <v>Enviado</v>
      </c>
      <c r="F4834" s="3" t="str">
        <f ca="1">IF(G4834=1,"-",Tabela2[[#This Row],[Dt Venc:]]-TODAY())</f>
        <v>-</v>
      </c>
      <c r="G4834" s="3">
        <v>1</v>
      </c>
      <c r="H4834" s="3"/>
    </row>
    <row r="4835" spans="1:8" hidden="1">
      <c r="A4835" s="3">
        <v>364354</v>
      </c>
      <c r="B4835" s="7" t="s">
        <v>59</v>
      </c>
      <c r="C4835" s="41">
        <v>57821</v>
      </c>
      <c r="D4835" s="6">
        <v>45677</v>
      </c>
      <c r="E4835" s="3" t="str">
        <f ca="1">IF(Tabela2[[#This Row],[Dt Venc:]]&gt;TODAY(),"Em Aberto",IF(Tabela2[[#This Row],[D/venc]]="-","Enviado",IF(Tabela2[[#This Row],[Dt Venc:]]=TODAY(),"Vence Hoje","Vencida")))</f>
        <v>Enviado</v>
      </c>
      <c r="F4835" s="3" t="str">
        <f ca="1">IF(G4835=1,"-",Tabela2[[#This Row],[Dt Venc:]]-TODAY())</f>
        <v>-</v>
      </c>
      <c r="G4835" s="3">
        <v>1</v>
      </c>
      <c r="H4835" s="3"/>
    </row>
    <row r="4836" spans="1:8" hidden="1">
      <c r="A4836" s="3">
        <v>154601</v>
      </c>
      <c r="B4836" s="7" t="s">
        <v>261</v>
      </c>
      <c r="C4836" s="41">
        <v>674</v>
      </c>
      <c r="D4836" s="6">
        <v>45677</v>
      </c>
      <c r="E4836" s="3" t="str">
        <f ca="1">IF(Tabela2[[#This Row],[Dt Venc:]]&gt;TODAY(),"Em Aberto",IF(Tabela2[[#This Row],[D/venc]]="-","Enviado",IF(Tabela2[[#This Row],[Dt Venc:]]=TODAY(),"Vence Hoje","Vencida")))</f>
        <v>Enviado</v>
      </c>
      <c r="F4836" s="3" t="str">
        <f ca="1">IF(G4836=1,"-",Tabela2[[#This Row],[Dt Venc:]]-TODAY())</f>
        <v>-</v>
      </c>
      <c r="G4836" s="3">
        <v>1</v>
      </c>
      <c r="H4836" s="3"/>
    </row>
    <row r="4837" spans="1:8" hidden="1">
      <c r="A4837" s="3">
        <v>154595</v>
      </c>
      <c r="B4837" s="7" t="s">
        <v>261</v>
      </c>
      <c r="C4837" s="41">
        <v>674</v>
      </c>
      <c r="D4837" s="6">
        <v>45677</v>
      </c>
      <c r="E4837" s="3" t="str">
        <f ca="1">IF(Tabela2[[#This Row],[Dt Venc:]]&gt;TODAY(),"Em Aberto",IF(Tabela2[[#This Row],[D/venc]]="-","Enviado",IF(Tabela2[[#This Row],[Dt Venc:]]=TODAY(),"Vence Hoje","Vencida")))</f>
        <v>Enviado</v>
      </c>
      <c r="F4837" s="3" t="str">
        <f ca="1">IF(G4837=1,"-",Tabela2[[#This Row],[Dt Venc:]]-TODAY())</f>
        <v>-</v>
      </c>
      <c r="G4837" s="3">
        <v>1</v>
      </c>
      <c r="H4837" s="3"/>
    </row>
    <row r="4838" spans="1:8" hidden="1">
      <c r="A4838" s="3">
        <v>142619</v>
      </c>
      <c r="B4838" s="7" t="s">
        <v>60</v>
      </c>
      <c r="C4838" s="41">
        <v>390</v>
      </c>
      <c r="D4838" s="6">
        <v>45677</v>
      </c>
      <c r="E4838" s="3" t="str">
        <f ca="1">IF(Tabela2[[#This Row],[Dt Venc:]]&gt;TODAY(),"Em Aberto",IF(Tabela2[[#This Row],[D/venc]]="-","Enviado",IF(Tabela2[[#This Row],[Dt Venc:]]=TODAY(),"Vence Hoje","Vencida")))</f>
        <v>Enviado</v>
      </c>
      <c r="F4838" s="3" t="str">
        <f ca="1">IF(G4838=1,"-",Tabela2[[#This Row],[Dt Venc:]]-TODAY())</f>
        <v>-</v>
      </c>
      <c r="G4838" s="3">
        <v>1</v>
      </c>
      <c r="H4838" s="3"/>
    </row>
    <row r="4839" spans="1:8" hidden="1">
      <c r="A4839" s="3">
        <v>142631</v>
      </c>
      <c r="B4839" s="7" t="s">
        <v>60</v>
      </c>
      <c r="C4839" s="41">
        <v>390</v>
      </c>
      <c r="D4839" s="6">
        <v>45677</v>
      </c>
      <c r="E4839" s="3" t="str">
        <f ca="1">IF(Tabela2[[#This Row],[Dt Venc:]]&gt;TODAY(),"Em Aberto",IF(Tabela2[[#This Row],[D/venc]]="-","Enviado",IF(Tabela2[[#This Row],[Dt Venc:]]=TODAY(),"Vence Hoje","Vencida")))</f>
        <v>Enviado</v>
      </c>
      <c r="F4839" s="3" t="str">
        <f ca="1">IF(G4839=1,"-",Tabela2[[#This Row],[Dt Venc:]]-TODAY())</f>
        <v>-</v>
      </c>
      <c r="G4839" s="3">
        <v>1</v>
      </c>
      <c r="H4839" s="3"/>
    </row>
    <row r="4840" spans="1:8" hidden="1">
      <c r="A4840" s="3">
        <v>142630</v>
      </c>
      <c r="B4840" s="7" t="s">
        <v>60</v>
      </c>
      <c r="C4840" s="41">
        <v>390</v>
      </c>
      <c r="D4840" s="6">
        <v>45677</v>
      </c>
      <c r="E4840" s="3" t="str">
        <f ca="1">IF(Tabela2[[#This Row],[Dt Venc:]]&gt;TODAY(),"Em Aberto",IF(Tabela2[[#This Row],[D/venc]]="-","Enviado",IF(Tabela2[[#This Row],[Dt Venc:]]=TODAY(),"Vence Hoje","Vencida")))</f>
        <v>Enviado</v>
      </c>
      <c r="F4840" s="3" t="str">
        <f ca="1">IF(G4840=1,"-",Tabela2[[#This Row],[Dt Venc:]]-TODAY())</f>
        <v>-</v>
      </c>
      <c r="G4840" s="3">
        <v>1</v>
      </c>
      <c r="H4840" s="3"/>
    </row>
    <row r="4841" spans="1:8" hidden="1">
      <c r="A4841" s="3">
        <v>7292</v>
      </c>
      <c r="B4841" s="7" t="s">
        <v>642</v>
      </c>
      <c r="C4841" s="41">
        <v>800</v>
      </c>
      <c r="D4841" s="6">
        <v>45677</v>
      </c>
      <c r="E4841" s="3" t="str">
        <f ca="1">IF(Tabela2[[#This Row],[Dt Venc:]]&gt;TODAY(),"Em Aberto",IF(Tabela2[[#This Row],[D/venc]]="-","Enviado",IF(Tabela2[[#This Row],[Dt Venc:]]=TODAY(),"Vence Hoje","Vencida")))</f>
        <v>Enviado</v>
      </c>
      <c r="F4841" s="3" t="str">
        <f ca="1">IF(G4841=1,"-",Tabela2[[#This Row],[Dt Venc:]]-TODAY())</f>
        <v>-</v>
      </c>
      <c r="G4841" s="3">
        <v>1</v>
      </c>
      <c r="H4841" s="3"/>
    </row>
    <row r="4842" spans="1:8" hidden="1">
      <c r="A4842" s="3">
        <v>6150</v>
      </c>
      <c r="B4842" s="7" t="s">
        <v>630</v>
      </c>
      <c r="C4842" s="41">
        <v>2182.1799999999998</v>
      </c>
      <c r="D4842" s="6">
        <v>45677</v>
      </c>
      <c r="E4842" s="3" t="str">
        <f ca="1">IF(Tabela2[[#This Row],[Dt Venc:]]&gt;TODAY(),"Em Aberto",IF(Tabela2[[#This Row],[D/venc]]="-","Enviado",IF(Tabela2[[#This Row],[Dt Venc:]]=TODAY(),"Vence Hoje","Vencida")))</f>
        <v>Enviado</v>
      </c>
      <c r="F4842" s="3" t="str">
        <f ca="1">IF(G4842=1,"-",Tabela2[[#This Row],[Dt Venc:]]-TODAY())</f>
        <v>-</v>
      </c>
      <c r="G4842" s="3">
        <v>1</v>
      </c>
      <c r="H4842" s="3"/>
    </row>
    <row r="4843" spans="1:8" hidden="1">
      <c r="A4843" s="3">
        <v>9444</v>
      </c>
      <c r="B4843" s="7" t="s">
        <v>248</v>
      </c>
      <c r="C4843" s="41">
        <v>13362.48</v>
      </c>
      <c r="D4843" s="6">
        <v>45677</v>
      </c>
      <c r="E4843" s="3" t="str">
        <f ca="1">IF(Tabela2[[#This Row],[Dt Venc:]]&gt;TODAY(),"Em Aberto",IF(Tabela2[[#This Row],[D/venc]]="-","Enviado",IF(Tabela2[[#This Row],[Dt Venc:]]=TODAY(),"Vence Hoje","Vencida")))</f>
        <v>Enviado</v>
      </c>
      <c r="F4843" s="3" t="str">
        <f ca="1">IF(G4843=1,"-",Tabela2[[#This Row],[Dt Venc:]]-TODAY())</f>
        <v>-</v>
      </c>
      <c r="G4843" s="3">
        <v>1</v>
      </c>
      <c r="H4843" s="3"/>
    </row>
    <row r="4844" spans="1:8" hidden="1">
      <c r="A4844" s="3">
        <v>44</v>
      </c>
      <c r="B4844" s="7" t="s">
        <v>643</v>
      </c>
      <c r="C4844" s="41">
        <v>2500</v>
      </c>
      <c r="D4844" s="6">
        <v>45677</v>
      </c>
      <c r="E4844" s="3" t="str">
        <f ca="1">IF(Tabela2[[#This Row],[Dt Venc:]]&gt;TODAY(),"Em Aberto",IF(Tabela2[[#This Row],[D/venc]]="-","Enviado",IF(Tabela2[[#This Row],[Dt Venc:]]=TODAY(),"Vence Hoje","Vencida")))</f>
        <v>Enviado</v>
      </c>
      <c r="F4844" s="3" t="str">
        <f ca="1">IF(G4844=1,"-",Tabela2[[#This Row],[Dt Venc:]]-TODAY())</f>
        <v>-</v>
      </c>
      <c r="G4844" s="3">
        <v>1</v>
      </c>
      <c r="H4844" s="3"/>
    </row>
    <row r="4845" spans="1:8" hidden="1">
      <c r="A4845" s="3">
        <v>43</v>
      </c>
      <c r="B4845" s="7" t="s">
        <v>643</v>
      </c>
      <c r="C4845" s="41">
        <v>750</v>
      </c>
      <c r="D4845" s="6">
        <v>45677</v>
      </c>
      <c r="E4845" s="3" t="str">
        <f ca="1">IF(Tabela2[[#This Row],[Dt Venc:]]&gt;TODAY(),"Em Aberto",IF(Tabela2[[#This Row],[D/venc]]="-","Enviado",IF(Tabela2[[#This Row],[Dt Venc:]]=TODAY(),"Vence Hoje","Vencida")))</f>
        <v>Enviado</v>
      </c>
      <c r="F4845" s="3" t="str">
        <f ca="1">IF(G4845=1,"-",Tabela2[[#This Row],[Dt Venc:]]-TODAY())</f>
        <v>-</v>
      </c>
      <c r="G4845" s="3">
        <v>1</v>
      </c>
      <c r="H4845" s="3"/>
    </row>
    <row r="4846" spans="1:8" hidden="1">
      <c r="A4846" s="3">
        <v>133</v>
      </c>
      <c r="B4846" s="7" t="s">
        <v>644</v>
      </c>
      <c r="C4846" s="41">
        <v>5540</v>
      </c>
      <c r="D4846" s="6">
        <v>45677</v>
      </c>
      <c r="E4846" s="3" t="str">
        <f ca="1">IF(Tabela2[[#This Row],[Dt Venc:]]&gt;TODAY(),"Em Aberto",IF(Tabela2[[#This Row],[D/venc]]="-","Enviado",IF(Tabela2[[#This Row],[Dt Venc:]]=TODAY(),"Vence Hoje","Vencida")))</f>
        <v>Enviado</v>
      </c>
      <c r="F4846" s="3" t="str">
        <f ca="1">IF(G4846=1,"-",Tabela2[[#This Row],[Dt Venc:]]-TODAY())</f>
        <v>-</v>
      </c>
      <c r="G4846" s="3">
        <v>1</v>
      </c>
      <c r="H4846" s="3"/>
    </row>
    <row r="4847" spans="1:8" hidden="1">
      <c r="A4847" s="3">
        <v>134</v>
      </c>
      <c r="B4847" s="7" t="s">
        <v>644</v>
      </c>
      <c r="C4847" s="41">
        <v>6800</v>
      </c>
      <c r="D4847" s="6">
        <v>45677</v>
      </c>
      <c r="E4847" s="3" t="str">
        <f ca="1">IF(Tabela2[[#This Row],[Dt Venc:]]&gt;TODAY(),"Em Aberto",IF(Tabela2[[#This Row],[D/venc]]="-","Enviado",IF(Tabela2[[#This Row],[Dt Venc:]]=TODAY(),"Vence Hoje","Vencida")))</f>
        <v>Enviado</v>
      </c>
      <c r="F4847" s="3" t="str">
        <f ca="1">IF(G4847=1,"-",Tabela2[[#This Row],[Dt Venc:]]-TODAY())</f>
        <v>-</v>
      </c>
      <c r="G4847" s="3">
        <v>1</v>
      </c>
      <c r="H4847" s="3"/>
    </row>
    <row r="4848" spans="1:8" hidden="1">
      <c r="A4848" s="3">
        <v>5739</v>
      </c>
      <c r="B4848" s="7" t="s">
        <v>537</v>
      </c>
      <c r="C4848" s="41">
        <v>180</v>
      </c>
      <c r="D4848" s="6">
        <v>45677</v>
      </c>
      <c r="E4848" s="3" t="str">
        <f ca="1">IF(Tabela2[[#This Row],[Dt Venc:]]&gt;TODAY(),"Em Aberto",IF(Tabela2[[#This Row],[D/venc]]="-","Enviado",IF(Tabela2[[#This Row],[Dt Venc:]]=TODAY(),"Vence Hoje","Vencida")))</f>
        <v>Enviado</v>
      </c>
      <c r="F4848" s="3" t="str">
        <f ca="1">IF(G4848=1,"-",Tabela2[[#This Row],[Dt Venc:]]-TODAY())</f>
        <v>-</v>
      </c>
      <c r="G4848" s="3">
        <v>1</v>
      </c>
      <c r="H4848" s="3"/>
    </row>
    <row r="4849" spans="1:8" hidden="1">
      <c r="A4849" s="3">
        <v>5536</v>
      </c>
      <c r="B4849" s="7" t="s">
        <v>537</v>
      </c>
      <c r="C4849" s="41">
        <v>180</v>
      </c>
      <c r="D4849" s="6">
        <v>45677</v>
      </c>
      <c r="E4849" s="3" t="str">
        <f ca="1">IF(Tabela2[[#This Row],[Dt Venc:]]&gt;TODAY(),"Em Aberto",IF(Tabela2[[#This Row],[D/venc]]="-","Enviado",IF(Tabela2[[#This Row],[Dt Venc:]]=TODAY(),"Vence Hoje","Vencida")))</f>
        <v>Enviado</v>
      </c>
      <c r="F4849" s="3" t="str">
        <f ca="1">IF(G4849=1,"-",Tabela2[[#This Row],[Dt Venc:]]-TODAY())</f>
        <v>-</v>
      </c>
      <c r="G4849" s="3">
        <v>1</v>
      </c>
      <c r="H4849" s="3"/>
    </row>
    <row r="4850" spans="1:8" hidden="1">
      <c r="A4850" s="3">
        <v>33351</v>
      </c>
      <c r="B4850" s="7" t="s">
        <v>645</v>
      </c>
      <c r="C4850" s="41">
        <v>775</v>
      </c>
      <c r="D4850" s="6">
        <v>45677</v>
      </c>
      <c r="E4850" s="3" t="str">
        <f ca="1">IF(Tabela2[[#This Row],[Dt Venc:]]&gt;TODAY(),"Em Aberto",IF(Tabela2[[#This Row],[D/venc]]="-","Enviado",IF(Tabela2[[#This Row],[Dt Venc:]]=TODAY(),"Vence Hoje","Vencida")))</f>
        <v>Enviado</v>
      </c>
      <c r="F4850" s="3" t="str">
        <f ca="1">IF(G4850=1,"-",Tabela2[[#This Row],[Dt Venc:]]-TODAY())</f>
        <v>-</v>
      </c>
      <c r="G4850" s="3">
        <v>1</v>
      </c>
      <c r="H4850" s="3"/>
    </row>
    <row r="4851" spans="1:8" hidden="1">
      <c r="A4851" s="3">
        <v>36425</v>
      </c>
      <c r="B4851" s="7" t="s">
        <v>281</v>
      </c>
      <c r="C4851" s="41">
        <v>400.1</v>
      </c>
      <c r="D4851" s="6">
        <v>45677</v>
      </c>
      <c r="E4851" s="3" t="str">
        <f ca="1">IF(Tabela2[[#This Row],[Dt Venc:]]&gt;TODAY(),"Em Aberto",IF(Tabela2[[#This Row],[D/venc]]="-","Enviado",IF(Tabela2[[#This Row],[Dt Venc:]]=TODAY(),"Vence Hoje","Vencida")))</f>
        <v>Enviado</v>
      </c>
      <c r="F4851" s="3" t="str">
        <f ca="1">IF(G4851=1,"-",Tabela2[[#This Row],[Dt Venc:]]-TODAY())</f>
        <v>-</v>
      </c>
      <c r="G4851" s="3">
        <v>1</v>
      </c>
      <c r="H4851" s="3"/>
    </row>
    <row r="4852" spans="1:8" hidden="1">
      <c r="A4852" s="3">
        <v>9341</v>
      </c>
      <c r="B4852" s="7" t="s">
        <v>278</v>
      </c>
      <c r="C4852" s="41">
        <v>333</v>
      </c>
      <c r="D4852" s="6">
        <v>45677</v>
      </c>
      <c r="E4852" s="3" t="str">
        <f ca="1">IF(Tabela2[[#This Row],[Dt Venc:]]&gt;TODAY(),"Em Aberto",IF(Tabela2[[#This Row],[D/venc]]="-","Enviado",IF(Tabela2[[#This Row],[Dt Venc:]]=TODAY(),"Vence Hoje","Vencida")))</f>
        <v>Enviado</v>
      </c>
      <c r="F4852" s="3" t="str">
        <f ca="1">IF(G4852=1,"-",Tabela2[[#This Row],[Dt Venc:]]-TODAY())</f>
        <v>-</v>
      </c>
      <c r="G4852" s="3">
        <v>1</v>
      </c>
      <c r="H4852" s="3"/>
    </row>
    <row r="4853" spans="1:8" hidden="1">
      <c r="A4853" s="3">
        <v>11149</v>
      </c>
      <c r="B4853" s="7" t="s">
        <v>33</v>
      </c>
      <c r="C4853" s="41">
        <v>800</v>
      </c>
      <c r="D4853" s="6">
        <v>45678</v>
      </c>
      <c r="E4853" s="3" t="str">
        <f ca="1">IF(Tabela2[[#This Row],[Dt Venc:]]&gt;TODAY(),"Em Aberto",IF(Tabela2[[#This Row],[D/venc]]="-","Enviado",IF(Tabela2[[#This Row],[Dt Venc:]]=TODAY(),"Vence Hoje","Vencida")))</f>
        <v>Enviado</v>
      </c>
      <c r="F4853" s="3" t="str">
        <f ca="1">IF(G4853=1,"-",Tabela2[[#This Row],[Dt Venc:]]-TODAY())</f>
        <v>-</v>
      </c>
      <c r="G4853" s="3">
        <v>1</v>
      </c>
      <c r="H4853" s="3"/>
    </row>
    <row r="4854" spans="1:8" hidden="1">
      <c r="A4854" s="3">
        <v>46527</v>
      </c>
      <c r="B4854" s="7" t="s">
        <v>144</v>
      </c>
      <c r="C4854" s="41">
        <v>1860</v>
      </c>
      <c r="D4854" s="6">
        <v>45678</v>
      </c>
      <c r="E4854" s="3" t="str">
        <f ca="1">IF(Tabela2[[#This Row],[Dt Venc:]]&gt;TODAY(),"Em Aberto",IF(Tabela2[[#This Row],[D/venc]]="-","Enviado",IF(Tabela2[[#This Row],[Dt Venc:]]=TODAY(),"Vence Hoje","Vencida")))</f>
        <v>Enviado</v>
      </c>
      <c r="F4854" s="3" t="str">
        <f ca="1">IF(G4854=1,"-",Tabela2[[#This Row],[Dt Venc:]]-TODAY())</f>
        <v>-</v>
      </c>
      <c r="G4854" s="3">
        <v>1</v>
      </c>
      <c r="H4854" s="3"/>
    </row>
    <row r="4855" spans="1:8" hidden="1">
      <c r="A4855" s="3">
        <v>2801</v>
      </c>
      <c r="B4855" s="7" t="s">
        <v>58</v>
      </c>
      <c r="C4855" s="41">
        <v>3067.8</v>
      </c>
      <c r="D4855" s="6">
        <v>45678</v>
      </c>
      <c r="E4855" s="3" t="str">
        <f ca="1">IF(Tabela2[[#This Row],[Dt Venc:]]&gt;TODAY(),"Em Aberto",IF(Tabela2[[#This Row],[D/venc]]="-","Enviado",IF(Tabela2[[#This Row],[Dt Venc:]]=TODAY(),"Vence Hoje","Vencida")))</f>
        <v>Enviado</v>
      </c>
      <c r="F4855" s="3" t="str">
        <f ca="1">IF(G4855=1,"-",Tabela2[[#This Row],[Dt Venc:]]-TODAY())</f>
        <v>-</v>
      </c>
      <c r="G4855" s="3">
        <v>1</v>
      </c>
      <c r="H4855" s="3"/>
    </row>
    <row r="4856" spans="1:8" hidden="1">
      <c r="A4856" s="3">
        <v>220505</v>
      </c>
      <c r="B4856" s="7" t="s">
        <v>80</v>
      </c>
      <c r="C4856" s="42">
        <v>21465</v>
      </c>
      <c r="D4856" s="6">
        <v>45678</v>
      </c>
      <c r="E4856" s="3" t="str">
        <f ca="1">IF(Tabela2[[#This Row],[Dt Venc:]]&gt;TODAY(),"Em Aberto",IF(Tabela2[[#This Row],[D/venc]]="-","Enviado",IF(Tabela2[[#This Row],[Dt Venc:]]=TODAY(),"Vence Hoje","Vencida")))</f>
        <v>Enviado</v>
      </c>
      <c r="F4856" s="3" t="str">
        <f ca="1">IF(G4856=1,"-",Tabela2[[#This Row],[Dt Venc:]]-TODAY())</f>
        <v>-</v>
      </c>
      <c r="G4856" s="3">
        <v>1</v>
      </c>
      <c r="H4856" s="3"/>
    </row>
    <row r="4857" spans="1:8" hidden="1">
      <c r="A4857" s="3">
        <v>223432</v>
      </c>
      <c r="B4857" s="7" t="s">
        <v>127</v>
      </c>
      <c r="C4857" s="41">
        <v>558.76</v>
      </c>
      <c r="D4857" s="6">
        <v>45678</v>
      </c>
      <c r="E4857" s="3" t="str">
        <f ca="1">IF(Tabela2[[#This Row],[Dt Venc:]]&gt;TODAY(),"Em Aberto",IF(Tabela2[[#This Row],[D/venc]]="-","Enviado",IF(Tabela2[[#This Row],[Dt Venc:]]=TODAY(),"Vence Hoje","Vencida")))</f>
        <v>Enviado</v>
      </c>
      <c r="F4857" s="3" t="str">
        <f ca="1">IF(G4857=1,"-",Tabela2[[#This Row],[Dt Venc:]]-TODAY())</f>
        <v>-</v>
      </c>
      <c r="G4857" s="3">
        <v>1</v>
      </c>
      <c r="H4857" s="3"/>
    </row>
    <row r="4858" spans="1:8" hidden="1">
      <c r="A4858" s="3">
        <v>225730</v>
      </c>
      <c r="B4858" s="7" t="s">
        <v>127</v>
      </c>
      <c r="C4858" s="41">
        <v>269.14</v>
      </c>
      <c r="D4858" s="6">
        <v>45678</v>
      </c>
      <c r="E4858" s="3" t="str">
        <f ca="1">IF(Tabela2[[#This Row],[Dt Venc:]]&gt;TODAY(),"Em Aberto",IF(Tabela2[[#This Row],[D/venc]]="-","Enviado",IF(Tabela2[[#This Row],[Dt Venc:]]=TODAY(),"Vence Hoje","Vencida")))</f>
        <v>Enviado</v>
      </c>
      <c r="F4858" s="3" t="str">
        <f ca="1">IF(G4858=1,"-",Tabela2[[#This Row],[Dt Venc:]]-TODAY())</f>
        <v>-</v>
      </c>
      <c r="G4858" s="3">
        <v>1</v>
      </c>
      <c r="H4858" s="3"/>
    </row>
    <row r="4859" spans="1:8" hidden="1">
      <c r="A4859" s="3">
        <v>225728</v>
      </c>
      <c r="B4859" s="7" t="s">
        <v>127</v>
      </c>
      <c r="C4859" s="41">
        <v>503.44</v>
      </c>
      <c r="D4859" s="6">
        <v>45678</v>
      </c>
      <c r="E4859" s="3" t="str">
        <f ca="1">IF(Tabela2[[#This Row],[Dt Venc:]]&gt;TODAY(),"Em Aberto",IF(Tabela2[[#This Row],[D/venc]]="-","Enviado",IF(Tabela2[[#This Row],[Dt Venc:]]=TODAY(),"Vence Hoje","Vencida")))</f>
        <v>Enviado</v>
      </c>
      <c r="F4859" s="3" t="str">
        <f ca="1">IF(G4859=1,"-",Tabela2[[#This Row],[Dt Venc:]]-TODAY())</f>
        <v>-</v>
      </c>
      <c r="G4859" s="3">
        <v>1</v>
      </c>
      <c r="H4859" s="3"/>
    </row>
    <row r="4860" spans="1:8" hidden="1">
      <c r="A4860" s="3">
        <v>614292</v>
      </c>
      <c r="B4860" s="7" t="s">
        <v>66</v>
      </c>
      <c r="C4860" s="41">
        <v>676.37</v>
      </c>
      <c r="D4860" s="6">
        <v>45678</v>
      </c>
      <c r="E4860" s="3" t="str">
        <f ca="1">IF(Tabela2[[#This Row],[Dt Venc:]]&gt;TODAY(),"Em Aberto",IF(Tabela2[[#This Row],[D/venc]]="-","Enviado",IF(Tabela2[[#This Row],[Dt Venc:]]=TODAY(),"Vence Hoje","Vencida")))</f>
        <v>Enviado</v>
      </c>
      <c r="F4860" s="3" t="str">
        <f ca="1">IF(G4860=1,"-",Tabela2[[#This Row],[Dt Venc:]]-TODAY())</f>
        <v>-</v>
      </c>
      <c r="G4860" s="3">
        <v>1</v>
      </c>
      <c r="H4860" s="3"/>
    </row>
    <row r="4861" spans="1:8" hidden="1">
      <c r="A4861" s="3">
        <v>30420</v>
      </c>
      <c r="B4861" s="7" t="s">
        <v>18</v>
      </c>
      <c r="C4861" s="41">
        <v>2925</v>
      </c>
      <c r="D4861" s="6">
        <v>45678</v>
      </c>
      <c r="E4861" s="3" t="str">
        <f ca="1">IF(Tabela2[[#This Row],[Dt Venc:]]&gt;TODAY(),"Em Aberto",IF(Tabela2[[#This Row],[D/venc]]="-","Enviado",IF(Tabela2[[#This Row],[Dt Venc:]]=TODAY(),"Vence Hoje","Vencida")))</f>
        <v>Enviado</v>
      </c>
      <c r="F4861" s="3" t="str">
        <f ca="1">IF(G4861=1,"-",Tabela2[[#This Row],[Dt Venc:]]-TODAY())</f>
        <v>-</v>
      </c>
      <c r="G4861" s="3">
        <v>1</v>
      </c>
      <c r="H4861" s="3"/>
    </row>
    <row r="4862" spans="1:8" hidden="1">
      <c r="A4862" s="3">
        <v>240304</v>
      </c>
      <c r="B4862" s="7" t="s">
        <v>43</v>
      </c>
      <c r="C4862" s="41">
        <v>1295.55</v>
      </c>
      <c r="D4862" s="6">
        <v>45678</v>
      </c>
      <c r="E4862" s="3" t="str">
        <f ca="1">IF(Tabela2[[#This Row],[Dt Venc:]]&gt;TODAY(),"Em Aberto",IF(Tabela2[[#This Row],[D/venc]]="-","Enviado",IF(Tabela2[[#This Row],[Dt Venc:]]=TODAY(),"Vence Hoje","Vencida")))</f>
        <v>Enviado</v>
      </c>
      <c r="F4862" s="3" t="str">
        <f ca="1">IF(G4862=1,"-",Tabela2[[#This Row],[Dt Venc:]]-TODAY())</f>
        <v>-</v>
      </c>
      <c r="G4862" s="3">
        <v>1</v>
      </c>
      <c r="H4862" s="3"/>
    </row>
    <row r="4863" spans="1:8" hidden="1">
      <c r="A4863" s="3">
        <v>246353</v>
      </c>
      <c r="B4863" s="7" t="s">
        <v>43</v>
      </c>
      <c r="C4863" s="41">
        <v>773.34</v>
      </c>
      <c r="D4863" s="6">
        <v>45678</v>
      </c>
      <c r="E4863" s="3" t="str">
        <f ca="1">IF(Tabela2[[#This Row],[Dt Venc:]]&gt;TODAY(),"Em Aberto",IF(Tabela2[[#This Row],[D/venc]]="-","Enviado",IF(Tabela2[[#This Row],[Dt Venc:]]=TODAY(),"Vence Hoje","Vencida")))</f>
        <v>Enviado</v>
      </c>
      <c r="F4863" s="3" t="str">
        <f ca="1">IF(G4863=1,"-",Tabela2[[#This Row],[Dt Venc:]]-TODAY())</f>
        <v>-</v>
      </c>
      <c r="G4863" s="3">
        <v>1</v>
      </c>
      <c r="H4863" s="3"/>
    </row>
    <row r="4864" spans="1:8" hidden="1">
      <c r="A4864" s="3">
        <v>6047</v>
      </c>
      <c r="B4864" s="7" t="s">
        <v>47</v>
      </c>
      <c r="C4864" s="41">
        <v>772.67</v>
      </c>
      <c r="D4864" s="6">
        <v>45678</v>
      </c>
      <c r="E4864" s="3" t="str">
        <f ca="1">IF(Tabela2[[#This Row],[Dt Venc:]]&gt;TODAY(),"Em Aberto",IF(Tabela2[[#This Row],[D/venc]]="-","Enviado",IF(Tabela2[[#This Row],[Dt Venc:]]=TODAY(),"Vence Hoje","Vencida")))</f>
        <v>Enviado</v>
      </c>
      <c r="F4864" s="3" t="str">
        <f ca="1">IF(G4864=1,"-",Tabela2[[#This Row],[Dt Venc:]]-TODAY())</f>
        <v>-</v>
      </c>
      <c r="G4864" s="3">
        <v>1</v>
      </c>
      <c r="H4864" s="3"/>
    </row>
    <row r="4865" spans="1:8" hidden="1">
      <c r="A4865" s="3">
        <v>6049</v>
      </c>
      <c r="B4865" s="7" t="s">
        <v>47</v>
      </c>
      <c r="C4865" s="41">
        <v>1414.67</v>
      </c>
      <c r="D4865" s="6">
        <v>45678</v>
      </c>
      <c r="E4865" s="3" t="str">
        <f ca="1">IF(Tabela2[[#This Row],[Dt Venc:]]&gt;TODAY(),"Em Aberto",IF(Tabela2[[#This Row],[D/venc]]="-","Enviado",IF(Tabela2[[#This Row],[Dt Venc:]]=TODAY(),"Vence Hoje","Vencida")))</f>
        <v>Enviado</v>
      </c>
      <c r="F4865" s="3" t="str">
        <f ca="1">IF(G4865=1,"-",Tabela2[[#This Row],[Dt Venc:]]-TODAY())</f>
        <v>-</v>
      </c>
      <c r="G4865" s="3">
        <v>1</v>
      </c>
      <c r="H4865" s="3"/>
    </row>
    <row r="4866" spans="1:8" hidden="1">
      <c r="A4866" s="3">
        <v>40120</v>
      </c>
      <c r="B4866" s="7" t="s">
        <v>460</v>
      </c>
      <c r="C4866" s="41">
        <v>402.97</v>
      </c>
      <c r="D4866" s="6">
        <v>45678</v>
      </c>
      <c r="E4866" s="3" t="str">
        <f ca="1">IF(Tabela2[[#This Row],[Dt Venc:]]&gt;TODAY(),"Em Aberto",IF(Tabela2[[#This Row],[D/venc]]="-","Enviado",IF(Tabela2[[#This Row],[Dt Venc:]]=TODAY(),"Vence Hoje","Vencida")))</f>
        <v>Enviado</v>
      </c>
      <c r="F4866" s="3" t="str">
        <f ca="1">IF(G4866=1,"-",Tabela2[[#This Row],[Dt Venc:]]-TODAY())</f>
        <v>-</v>
      </c>
      <c r="G4866" s="3">
        <v>1</v>
      </c>
      <c r="H4866" s="3"/>
    </row>
    <row r="4867" spans="1:8" hidden="1">
      <c r="A4867" s="3">
        <v>11546</v>
      </c>
      <c r="B4867" s="7" t="s">
        <v>174</v>
      </c>
      <c r="C4867" s="41">
        <v>1266.6600000000001</v>
      </c>
      <c r="D4867" s="6">
        <v>45678</v>
      </c>
      <c r="E4867" s="3" t="str">
        <f ca="1">IF(Tabela2[[#This Row],[Dt Venc:]]&gt;TODAY(),"Em Aberto",IF(Tabela2[[#This Row],[D/venc]]="-","Enviado",IF(Tabela2[[#This Row],[Dt Venc:]]=TODAY(),"Vence Hoje","Vencida")))</f>
        <v>Enviado</v>
      </c>
      <c r="F4867" s="3" t="str">
        <f ca="1">IF(G4867=1,"-",Tabela2[[#This Row],[Dt Venc:]]-TODAY())</f>
        <v>-</v>
      </c>
      <c r="G4867" s="3">
        <v>1</v>
      </c>
      <c r="H4867" s="3"/>
    </row>
    <row r="4868" spans="1:8" hidden="1">
      <c r="A4868" s="3">
        <v>429129</v>
      </c>
      <c r="B4868" s="7" t="s">
        <v>89</v>
      </c>
      <c r="C4868" s="41">
        <v>60.19</v>
      </c>
      <c r="D4868" s="6">
        <v>45678</v>
      </c>
      <c r="E4868" s="3" t="str">
        <f ca="1">IF(Tabela2[[#This Row],[Dt Venc:]]&gt;TODAY(),"Em Aberto",IF(Tabela2[[#This Row],[D/venc]]="-","Enviado",IF(Tabela2[[#This Row],[Dt Venc:]]=TODAY(),"Vence Hoje","Vencida")))</f>
        <v>Enviado</v>
      </c>
      <c r="F4868" s="3" t="str">
        <f ca="1">IF(G4868=1,"-",Tabela2[[#This Row],[Dt Venc:]]-TODAY())</f>
        <v>-</v>
      </c>
      <c r="G4868" s="3">
        <v>1</v>
      </c>
      <c r="H4868" s="3"/>
    </row>
    <row r="4869" spans="1:8" hidden="1">
      <c r="A4869" s="3">
        <v>154244</v>
      </c>
      <c r="B4869" s="7" t="s">
        <v>486</v>
      </c>
      <c r="C4869" s="41">
        <v>1822</v>
      </c>
      <c r="D4869" s="6">
        <v>45678</v>
      </c>
      <c r="E4869" s="3" t="str">
        <f ca="1">IF(Tabela2[[#This Row],[Dt Venc:]]&gt;TODAY(),"Em Aberto",IF(Tabela2[[#This Row],[D/venc]]="-","Enviado",IF(Tabela2[[#This Row],[Dt Venc:]]=TODAY(),"Vence Hoje","Vencida")))</f>
        <v>Enviado</v>
      </c>
      <c r="F4869" s="3" t="str">
        <f ca="1">IF(G4869=1,"-",Tabela2[[#This Row],[Dt Venc:]]-TODAY())</f>
        <v>-</v>
      </c>
      <c r="G4869" s="3">
        <v>1</v>
      </c>
      <c r="H4869" s="3"/>
    </row>
    <row r="4870" spans="1:8" hidden="1">
      <c r="A4870" s="3">
        <v>270822</v>
      </c>
      <c r="B4870" s="7" t="s">
        <v>36</v>
      </c>
      <c r="C4870" s="41">
        <v>1835.98</v>
      </c>
      <c r="D4870" s="6">
        <v>45678</v>
      </c>
      <c r="E4870" s="3" t="str">
        <f ca="1">IF(Tabela2[[#This Row],[Dt Venc:]]&gt;TODAY(),"Em Aberto",IF(Tabela2[[#This Row],[D/venc]]="-","Enviado",IF(Tabela2[[#This Row],[Dt Venc:]]=TODAY(),"Vence Hoje","Vencida")))</f>
        <v>Enviado</v>
      </c>
      <c r="F4870" s="3" t="str">
        <f ca="1">IF(G4870=1,"-",Tabela2[[#This Row],[Dt Venc:]]-TODAY())</f>
        <v>-</v>
      </c>
      <c r="G4870" s="3">
        <v>1</v>
      </c>
      <c r="H4870" s="3"/>
    </row>
    <row r="4871" spans="1:8" hidden="1">
      <c r="A4871" s="3">
        <v>329280</v>
      </c>
      <c r="B4871" s="7" t="s">
        <v>261</v>
      </c>
      <c r="C4871" s="41">
        <v>463.33</v>
      </c>
      <c r="D4871" s="6">
        <v>45678</v>
      </c>
      <c r="E4871" s="3" t="str">
        <f ca="1">IF(Tabela2[[#This Row],[Dt Venc:]]&gt;TODAY(),"Em Aberto",IF(Tabela2[[#This Row],[D/venc]]="-","Enviado",IF(Tabela2[[#This Row],[Dt Venc:]]=TODAY(),"Vence Hoje","Vencida")))</f>
        <v>Enviado</v>
      </c>
      <c r="F4871" s="3" t="str">
        <f ca="1">IF(G4871=1,"-",Tabela2[[#This Row],[Dt Venc:]]-TODAY())</f>
        <v>-</v>
      </c>
      <c r="G4871" s="3">
        <v>1</v>
      </c>
      <c r="H4871" s="3"/>
    </row>
    <row r="4872" spans="1:8" hidden="1">
      <c r="A4872" s="3">
        <v>1257144</v>
      </c>
      <c r="B4872" s="7" t="s">
        <v>64</v>
      </c>
      <c r="C4872" s="41">
        <v>695.36</v>
      </c>
      <c r="D4872" s="6">
        <v>45678</v>
      </c>
      <c r="E4872" s="3" t="str">
        <f ca="1">IF(Tabela2[[#This Row],[Dt Venc:]]&gt;TODAY(),"Em Aberto",IF(Tabela2[[#This Row],[D/venc]]="-","Enviado",IF(Tabela2[[#This Row],[Dt Venc:]]=TODAY(),"Vence Hoje","Vencida")))</f>
        <v>Enviado</v>
      </c>
      <c r="F4872" s="3" t="str">
        <f ca="1">IF(G4872=1,"-",Tabela2[[#This Row],[Dt Venc:]]-TODAY())</f>
        <v>-</v>
      </c>
      <c r="G4872" s="3">
        <v>1</v>
      </c>
      <c r="H4872" s="3"/>
    </row>
    <row r="4873" spans="1:8" hidden="1">
      <c r="A4873" s="3">
        <v>258553</v>
      </c>
      <c r="B4873" s="7" t="s">
        <v>43</v>
      </c>
      <c r="C4873" s="41">
        <v>664</v>
      </c>
      <c r="D4873" s="6">
        <v>45678</v>
      </c>
      <c r="E4873" s="3" t="str">
        <f ca="1">IF(Tabela2[[#This Row],[Dt Venc:]]&gt;TODAY(),"Em Aberto",IF(Tabela2[[#This Row],[D/venc]]="-","Enviado",IF(Tabela2[[#This Row],[Dt Venc:]]=TODAY(),"Vence Hoje","Vencida")))</f>
        <v>Enviado</v>
      </c>
      <c r="F4873" s="3" t="str">
        <f ca="1">IF(G4873=1,"-",Tabela2[[#This Row],[Dt Venc:]]-TODAY())</f>
        <v>-</v>
      </c>
      <c r="G4873" s="3">
        <v>1</v>
      </c>
      <c r="H4873" s="3"/>
    </row>
    <row r="4874" spans="1:8" hidden="1">
      <c r="A4874" s="3">
        <v>203910</v>
      </c>
      <c r="B4874" s="7" t="s">
        <v>200</v>
      </c>
      <c r="C4874" s="41">
        <v>1395.33</v>
      </c>
      <c r="D4874" s="6">
        <v>45678</v>
      </c>
      <c r="E4874" s="3" t="str">
        <f ca="1">IF(Tabela2[[#This Row],[Dt Venc:]]&gt;TODAY(),"Em Aberto",IF(Tabela2[[#This Row],[D/venc]]="-","Enviado",IF(Tabela2[[#This Row],[Dt Venc:]]=TODAY(),"Vence Hoje","Vencida")))</f>
        <v>Enviado</v>
      </c>
      <c r="F4874" s="3" t="str">
        <f ca="1">IF(G4874=1,"-",Tabela2[[#This Row],[Dt Venc:]]-TODAY())</f>
        <v>-</v>
      </c>
      <c r="G4874" s="3">
        <v>1</v>
      </c>
      <c r="H4874" s="3"/>
    </row>
    <row r="4875" spans="1:8" hidden="1">
      <c r="A4875" s="3">
        <v>134871</v>
      </c>
      <c r="B4875" s="7" t="s">
        <v>89</v>
      </c>
      <c r="C4875" s="41">
        <v>1264.82</v>
      </c>
      <c r="D4875" s="6">
        <v>45678</v>
      </c>
      <c r="E4875" s="3" t="str">
        <f ca="1">IF(Tabela2[[#This Row],[Dt Venc:]]&gt;TODAY(),"Em Aberto",IF(Tabela2[[#This Row],[D/venc]]="-","Enviado",IF(Tabela2[[#This Row],[Dt Venc:]]=TODAY(),"Vence Hoje","Vencida")))</f>
        <v>Enviado</v>
      </c>
      <c r="F4875" s="3" t="str">
        <f ca="1">IF(G4875=1,"-",Tabela2[[#This Row],[Dt Venc:]]-TODAY())</f>
        <v>-</v>
      </c>
      <c r="G4875" s="3">
        <v>1</v>
      </c>
      <c r="H4875" s="3"/>
    </row>
    <row r="4876" spans="1:8" hidden="1">
      <c r="A4876" s="3">
        <v>134870</v>
      </c>
      <c r="B4876" s="7" t="s">
        <v>89</v>
      </c>
      <c r="C4876" s="41">
        <v>1067.49</v>
      </c>
      <c r="D4876" s="6">
        <v>45678</v>
      </c>
      <c r="E4876" s="3" t="str">
        <f ca="1">IF(Tabela2[[#This Row],[Dt Venc:]]&gt;TODAY(),"Em Aberto",IF(Tabela2[[#This Row],[D/venc]]="-","Enviado",IF(Tabela2[[#This Row],[Dt Venc:]]=TODAY(),"Vence Hoje","Vencida")))</f>
        <v>Enviado</v>
      </c>
      <c r="F4876" s="3" t="str">
        <f ca="1">IF(G4876=1,"-",Tabela2[[#This Row],[Dt Venc:]]-TODAY())</f>
        <v>-</v>
      </c>
      <c r="G4876" s="3">
        <v>1</v>
      </c>
      <c r="H4876" s="3"/>
    </row>
    <row r="4877" spans="1:8" hidden="1">
      <c r="A4877" s="3">
        <v>60790</v>
      </c>
      <c r="B4877" s="7" t="s">
        <v>435</v>
      </c>
      <c r="C4877" s="41">
        <v>531.5</v>
      </c>
      <c r="D4877" s="6">
        <v>45678</v>
      </c>
      <c r="E4877" s="3" t="str">
        <f ca="1">IF(Tabela2[[#This Row],[Dt Venc:]]&gt;TODAY(),"Em Aberto",IF(Tabela2[[#This Row],[D/venc]]="-","Enviado",IF(Tabela2[[#This Row],[Dt Venc:]]=TODAY(),"Vence Hoje","Vencida")))</f>
        <v>Enviado</v>
      </c>
      <c r="F4877" s="3" t="str">
        <f ca="1">IF(G4877=1,"-",Tabela2[[#This Row],[Dt Venc:]]-TODAY())</f>
        <v>-</v>
      </c>
      <c r="G4877" s="3">
        <v>1</v>
      </c>
      <c r="H4877" s="3"/>
    </row>
    <row r="4878" spans="1:8" hidden="1">
      <c r="A4878" s="3">
        <v>14346</v>
      </c>
      <c r="B4878" s="7" t="s">
        <v>303</v>
      </c>
      <c r="C4878" s="41">
        <v>1143.33</v>
      </c>
      <c r="D4878" s="6">
        <v>45678</v>
      </c>
      <c r="E4878" s="3" t="str">
        <f ca="1">IF(Tabela2[[#This Row],[Dt Venc:]]&gt;TODAY(),"Em Aberto",IF(Tabela2[[#This Row],[D/venc]]="-","Enviado",IF(Tabela2[[#This Row],[Dt Venc:]]=TODAY(),"Vence Hoje","Vencida")))</f>
        <v>Enviado</v>
      </c>
      <c r="F4878" s="3" t="str">
        <f ca="1">IF(G4878=1,"-",Tabela2[[#This Row],[Dt Venc:]]-TODAY())</f>
        <v>-</v>
      </c>
      <c r="G4878" s="3">
        <v>1</v>
      </c>
      <c r="H4878" s="3"/>
    </row>
    <row r="4879" spans="1:8" hidden="1">
      <c r="A4879" s="3">
        <v>6083</v>
      </c>
      <c r="B4879" s="7" t="s">
        <v>140</v>
      </c>
      <c r="C4879" s="41">
        <v>429.33</v>
      </c>
      <c r="D4879" s="6">
        <v>45678</v>
      </c>
      <c r="E4879" s="3" t="str">
        <f ca="1">IF(Tabela2[[#This Row],[Dt Venc:]]&gt;TODAY(),"Em Aberto",IF(Tabela2[[#This Row],[D/venc]]="-","Enviado",IF(Tabela2[[#This Row],[Dt Venc:]]=TODAY(),"Vence Hoje","Vencida")))</f>
        <v>Enviado</v>
      </c>
      <c r="F4879" s="3" t="str">
        <f ca="1">IF(G4879=1,"-",Tabela2[[#This Row],[Dt Venc:]]-TODAY())</f>
        <v>-</v>
      </c>
      <c r="G4879" s="3">
        <v>1</v>
      </c>
      <c r="H4879" s="3"/>
    </row>
    <row r="4880" spans="1:8" hidden="1">
      <c r="A4880" s="3">
        <v>446920</v>
      </c>
      <c r="B4880" s="7" t="s">
        <v>512</v>
      </c>
      <c r="C4880" s="41">
        <v>690.55</v>
      </c>
      <c r="D4880" s="6">
        <v>45678</v>
      </c>
      <c r="E4880" s="3" t="str">
        <f ca="1">IF(Tabela2[[#This Row],[Dt Venc:]]&gt;TODAY(),"Em Aberto",IF(Tabela2[[#This Row],[D/venc]]="-","Enviado",IF(Tabela2[[#This Row],[Dt Venc:]]=TODAY(),"Vence Hoje","Vencida")))</f>
        <v>Enviado</v>
      </c>
      <c r="F4880" s="3" t="str">
        <f ca="1">IF(G4880=1,"-",Tabela2[[#This Row],[Dt Venc:]]-TODAY())</f>
        <v>-</v>
      </c>
      <c r="G4880" s="3">
        <v>1</v>
      </c>
      <c r="H4880" s="3"/>
    </row>
    <row r="4881" spans="1:8" hidden="1">
      <c r="A4881" s="3">
        <v>36567</v>
      </c>
      <c r="B4881" s="7" t="s">
        <v>70</v>
      </c>
      <c r="C4881" s="41">
        <v>567.66</v>
      </c>
      <c r="D4881" s="6">
        <v>45678</v>
      </c>
      <c r="E4881" s="3" t="str">
        <f ca="1">IF(Tabela2[[#This Row],[Dt Venc:]]&gt;TODAY(),"Em Aberto",IF(Tabela2[[#This Row],[D/venc]]="-","Enviado",IF(Tabela2[[#This Row],[Dt Venc:]]=TODAY(),"Vence Hoje","Vencida")))</f>
        <v>Enviado</v>
      </c>
      <c r="F4881" s="3" t="str">
        <f ca="1">IF(G4881=1,"-",Tabela2[[#This Row],[Dt Venc:]]-TODAY())</f>
        <v>-</v>
      </c>
      <c r="G4881" s="3">
        <v>1</v>
      </c>
      <c r="H4881" s="3"/>
    </row>
    <row r="4882" spans="1:8" hidden="1">
      <c r="A4882" s="3">
        <v>5441</v>
      </c>
      <c r="B4882" s="7" t="s">
        <v>349</v>
      </c>
      <c r="C4882" s="41">
        <v>1462.41</v>
      </c>
      <c r="D4882" s="6">
        <v>45678</v>
      </c>
      <c r="E4882" s="3" t="str">
        <f ca="1">IF(Tabela2[[#This Row],[Dt Venc:]]&gt;TODAY(),"Em Aberto",IF(Tabela2[[#This Row],[D/venc]]="-","Enviado",IF(Tabela2[[#This Row],[Dt Venc:]]=TODAY(),"Vence Hoje","Vencida")))</f>
        <v>Enviado</v>
      </c>
      <c r="F4882" s="3" t="str">
        <f ca="1">IF(G4882=1,"-",Tabela2[[#This Row],[Dt Venc:]]-TODAY())</f>
        <v>-</v>
      </c>
      <c r="G4882" s="3">
        <v>1</v>
      </c>
      <c r="H4882" s="3"/>
    </row>
    <row r="4883" spans="1:8" hidden="1">
      <c r="A4883" s="3">
        <v>1167629</v>
      </c>
      <c r="B4883" s="7" t="s">
        <v>646</v>
      </c>
      <c r="C4883" s="41">
        <v>357</v>
      </c>
      <c r="D4883" s="6">
        <v>45678</v>
      </c>
      <c r="E4883" s="3" t="str">
        <f ca="1">IF(Tabela2[[#This Row],[Dt Venc:]]&gt;TODAY(),"Em Aberto",IF(Tabela2[[#This Row],[D/venc]]="-","Enviado",IF(Tabela2[[#This Row],[Dt Venc:]]=TODAY(),"Vence Hoje","Vencida")))</f>
        <v>Enviado</v>
      </c>
      <c r="F4883" s="3" t="str">
        <f ca="1">IF(G4883=1,"-",Tabela2[[#This Row],[Dt Venc:]]-TODAY())</f>
        <v>-</v>
      </c>
      <c r="G4883" s="3">
        <v>1</v>
      </c>
      <c r="H4883" s="3"/>
    </row>
    <row r="4884" spans="1:8" hidden="1">
      <c r="A4884" s="3">
        <v>8194</v>
      </c>
      <c r="B4884" s="7" t="s">
        <v>647</v>
      </c>
      <c r="C4884" s="41">
        <v>180</v>
      </c>
      <c r="D4884" s="6">
        <v>45678</v>
      </c>
      <c r="E4884" s="3" t="str">
        <f ca="1">IF(Tabela2[[#This Row],[Dt Venc:]]&gt;TODAY(),"Em Aberto",IF(Tabela2[[#This Row],[D/venc]]="-","Enviado",IF(Tabela2[[#This Row],[Dt Venc:]]=TODAY(),"Vence Hoje","Vencida")))</f>
        <v>Enviado</v>
      </c>
      <c r="F4884" s="3" t="str">
        <f ca="1">IF(G4884=1,"-",Tabela2[[#This Row],[Dt Venc:]]-TODAY())</f>
        <v>-</v>
      </c>
      <c r="G4884" s="3">
        <v>1</v>
      </c>
      <c r="H4884" s="3"/>
    </row>
    <row r="4885" spans="1:8" hidden="1">
      <c r="A4885" s="3">
        <v>6079</v>
      </c>
      <c r="B4885" s="7" t="s">
        <v>140</v>
      </c>
      <c r="C4885" s="41">
        <v>1502.67</v>
      </c>
      <c r="D4885" s="6">
        <v>45678</v>
      </c>
      <c r="E4885" s="3" t="str">
        <f ca="1">IF(Tabela2[[#This Row],[Dt Venc:]]&gt;TODAY(),"Em Aberto",IF(Tabela2[[#This Row],[D/venc]]="-","Enviado",IF(Tabela2[[#This Row],[Dt Venc:]]=TODAY(),"Vence Hoje","Vencida")))</f>
        <v>Enviado</v>
      </c>
      <c r="F4885" s="3" t="str">
        <f ca="1">IF(G4885=1,"-",Tabela2[[#This Row],[Dt Venc:]]-TODAY())</f>
        <v>-</v>
      </c>
      <c r="G4885" s="3">
        <v>1</v>
      </c>
      <c r="H4885" s="3"/>
    </row>
    <row r="4886" spans="1:8" hidden="1">
      <c r="A4886" s="3">
        <v>2286063</v>
      </c>
      <c r="B4886" s="7" t="s">
        <v>59</v>
      </c>
      <c r="C4886" s="41">
        <v>56580</v>
      </c>
      <c r="D4886" s="6">
        <v>45678</v>
      </c>
      <c r="E4886" s="3" t="str">
        <f ca="1">IF(Tabela2[[#This Row],[Dt Venc:]]&gt;TODAY(),"Em Aberto",IF(Tabela2[[#This Row],[D/venc]]="-","Enviado",IF(Tabela2[[#This Row],[Dt Venc:]]=TODAY(),"Vence Hoje","Vencida")))</f>
        <v>Enviado</v>
      </c>
      <c r="F4886" s="3" t="str">
        <f ca="1">IF(G4886=1,"-",Tabela2[[#This Row],[Dt Venc:]]-TODAY())</f>
        <v>-</v>
      </c>
      <c r="G4886" s="3">
        <v>1</v>
      </c>
      <c r="H4886" s="3"/>
    </row>
    <row r="4887" spans="1:8" hidden="1">
      <c r="A4887" s="3">
        <v>2009537</v>
      </c>
      <c r="B4887" s="7" t="s">
        <v>59</v>
      </c>
      <c r="C4887" s="41">
        <v>112364</v>
      </c>
      <c r="D4887" s="6">
        <v>45678</v>
      </c>
      <c r="E4887" s="3" t="str">
        <f ca="1">IF(Tabela2[[#This Row],[Dt Venc:]]&gt;TODAY(),"Em Aberto",IF(Tabela2[[#This Row],[D/venc]]="-","Enviado",IF(Tabela2[[#This Row],[Dt Venc:]]=TODAY(),"Vence Hoje","Vencida")))</f>
        <v>Enviado</v>
      </c>
      <c r="F4887" s="3" t="str">
        <f ca="1">IF(G4887=1,"-",Tabela2[[#This Row],[Dt Venc:]]-TODAY())</f>
        <v>-</v>
      </c>
      <c r="G4887" s="3">
        <v>1</v>
      </c>
      <c r="H4887" s="3"/>
    </row>
    <row r="4888" spans="1:8" hidden="1">
      <c r="A4888" s="3">
        <v>2009931</v>
      </c>
      <c r="B4888" s="7" t="s">
        <v>59</v>
      </c>
      <c r="C4888" s="41">
        <v>56273</v>
      </c>
      <c r="D4888" s="6">
        <v>45678</v>
      </c>
      <c r="E4888" s="3" t="str">
        <f ca="1">IF(Tabela2[[#This Row],[Dt Venc:]]&gt;TODAY(),"Em Aberto",IF(Tabela2[[#This Row],[D/venc]]="-","Enviado",IF(Tabela2[[#This Row],[Dt Venc:]]=TODAY(),"Vence Hoje","Vencida")))</f>
        <v>Enviado</v>
      </c>
      <c r="F4888" s="3" t="str">
        <f ca="1">IF(G4888=1,"-",Tabela2[[#This Row],[Dt Venc:]]-TODAY())</f>
        <v>-</v>
      </c>
      <c r="G4888" s="3">
        <v>1</v>
      </c>
      <c r="H4888" s="3"/>
    </row>
    <row r="4889" spans="1:8" hidden="1">
      <c r="A4889" s="3">
        <v>2038</v>
      </c>
      <c r="B4889" s="7" t="s">
        <v>96</v>
      </c>
      <c r="C4889" s="41">
        <v>1120</v>
      </c>
      <c r="D4889" s="6">
        <v>45678</v>
      </c>
      <c r="E4889" s="3" t="str">
        <f ca="1">IF(Tabela2[[#This Row],[Dt Venc:]]&gt;TODAY(),"Em Aberto",IF(Tabela2[[#This Row],[D/venc]]="-","Enviado",IF(Tabela2[[#This Row],[Dt Venc:]]=TODAY(),"Vence Hoje","Vencida")))</f>
        <v>Enviado</v>
      </c>
      <c r="F4889" s="3" t="str">
        <f ca="1">IF(G4889=1,"-",Tabela2[[#This Row],[Dt Venc:]]-TODAY())</f>
        <v>-</v>
      </c>
      <c r="G4889" s="3">
        <v>1</v>
      </c>
      <c r="H4889" s="3"/>
    </row>
    <row r="4890" spans="1:8" hidden="1">
      <c r="A4890" s="3">
        <v>3334490</v>
      </c>
      <c r="B4890" s="7" t="s">
        <v>71</v>
      </c>
      <c r="C4890" s="41">
        <v>84087</v>
      </c>
      <c r="D4890" s="6">
        <v>45678</v>
      </c>
      <c r="E4890" s="3" t="str">
        <f ca="1">IF(Tabela2[[#This Row],[Dt Venc:]]&gt;TODAY(),"Em Aberto",IF(Tabela2[[#This Row],[D/venc]]="-","Enviado",IF(Tabela2[[#This Row],[Dt Venc:]]=TODAY(),"Vence Hoje","Vencida")))</f>
        <v>Enviado</v>
      </c>
      <c r="F4890" s="3" t="str">
        <f ca="1">IF(G4890=1,"-",Tabela2[[#This Row],[Dt Venc:]]-TODAY())</f>
        <v>-</v>
      </c>
      <c r="G4890" s="3">
        <v>1</v>
      </c>
      <c r="H4890" s="3"/>
    </row>
    <row r="4891" spans="1:8" hidden="1">
      <c r="A4891" s="3">
        <v>11055</v>
      </c>
      <c r="B4891" s="7" t="s">
        <v>33</v>
      </c>
      <c r="C4891" s="41">
        <v>1656.6</v>
      </c>
      <c r="D4891" s="6">
        <v>45679</v>
      </c>
      <c r="E4891" s="3" t="str">
        <f ca="1">IF(Tabela2[[#This Row],[Dt Venc:]]&gt;TODAY(),"Em Aberto",IF(Tabela2[[#This Row],[D/venc]]="-","Enviado",IF(Tabela2[[#This Row],[Dt Venc:]]=TODAY(),"Vence Hoje","Vencida")))</f>
        <v>Enviado</v>
      </c>
      <c r="F4891" s="3" t="str">
        <f ca="1">IF(G4891=1,"-",Tabela2[[#This Row],[Dt Venc:]]-TODAY())</f>
        <v>-</v>
      </c>
      <c r="G4891" s="3">
        <v>1</v>
      </c>
      <c r="H4891" s="3"/>
    </row>
    <row r="4892" spans="1:8" hidden="1">
      <c r="A4892" s="3">
        <v>11157</v>
      </c>
      <c r="B4892" s="7" t="s">
        <v>33</v>
      </c>
      <c r="C4892" s="41">
        <v>325</v>
      </c>
      <c r="D4892" s="6">
        <v>45679</v>
      </c>
      <c r="E4892" s="3" t="str">
        <f ca="1">IF(Tabela2[[#This Row],[Dt Venc:]]&gt;TODAY(),"Em Aberto",IF(Tabela2[[#This Row],[D/venc]]="-","Enviado",IF(Tabela2[[#This Row],[Dt Venc:]]=TODAY(),"Vence Hoje","Vencida")))</f>
        <v>Enviado</v>
      </c>
      <c r="F4892" s="3" t="str">
        <f ca="1">IF(G4892=1,"-",Tabela2[[#This Row],[Dt Venc:]]-TODAY())</f>
        <v>-</v>
      </c>
      <c r="G4892" s="3">
        <v>1</v>
      </c>
      <c r="H4892" s="3"/>
    </row>
    <row r="4893" spans="1:8" hidden="1">
      <c r="A4893" s="3">
        <v>5048</v>
      </c>
      <c r="B4893" s="7" t="s">
        <v>463</v>
      </c>
      <c r="C4893" s="41">
        <v>1812.4</v>
      </c>
      <c r="D4893" s="6">
        <v>45679</v>
      </c>
      <c r="E4893" s="3" t="str">
        <f ca="1">IF(Tabela2[[#This Row],[Dt Venc:]]&gt;TODAY(),"Em Aberto",IF(Tabela2[[#This Row],[D/venc]]="-","Enviado",IF(Tabela2[[#This Row],[Dt Venc:]]=TODAY(),"Vence Hoje","Vencida")))</f>
        <v>Enviado</v>
      </c>
      <c r="F4893" s="3" t="str">
        <f ca="1">IF(G4893=1,"-",Tabela2[[#This Row],[Dt Venc:]]-TODAY())</f>
        <v>-</v>
      </c>
      <c r="G4893" s="3">
        <v>1</v>
      </c>
      <c r="H4893" s="3"/>
    </row>
    <row r="4894" spans="1:8" hidden="1">
      <c r="A4894" s="3">
        <v>2896</v>
      </c>
      <c r="B4894" s="7" t="s">
        <v>301</v>
      </c>
      <c r="C4894" s="41">
        <v>2846.67</v>
      </c>
      <c r="D4894" s="6">
        <v>45679</v>
      </c>
      <c r="E4894" s="3" t="str">
        <f ca="1">IF(Tabela2[[#This Row],[Dt Venc:]]&gt;TODAY(),"Em Aberto",IF(Tabela2[[#This Row],[D/venc]]="-","Enviado",IF(Tabela2[[#This Row],[Dt Venc:]]=TODAY(),"Vence Hoje","Vencida")))</f>
        <v>Enviado</v>
      </c>
      <c r="F4894" s="3" t="str">
        <f ca="1">IF(G4894=1,"-",Tabela2[[#This Row],[Dt Venc:]]-TODAY())</f>
        <v>-</v>
      </c>
      <c r="G4894" s="3">
        <v>1</v>
      </c>
      <c r="H4894" s="3"/>
    </row>
    <row r="4895" spans="1:8" hidden="1">
      <c r="A4895" s="3">
        <v>371022</v>
      </c>
      <c r="B4895" s="7" t="s">
        <v>39</v>
      </c>
      <c r="C4895" s="41">
        <v>1295.69</v>
      </c>
      <c r="D4895" s="6">
        <v>45679</v>
      </c>
      <c r="E4895" s="3" t="str">
        <f ca="1">IF(Tabela2[[#This Row],[Dt Venc:]]&gt;TODAY(),"Em Aberto",IF(Tabela2[[#This Row],[D/venc]]="-","Enviado",IF(Tabela2[[#This Row],[Dt Venc:]]=TODAY(),"Vence Hoje","Vencida")))</f>
        <v>Enviado</v>
      </c>
      <c r="F4895" s="3" t="str">
        <f ca="1">IF(G4895=1,"-",Tabela2[[#This Row],[Dt Venc:]]-TODAY())</f>
        <v>-</v>
      </c>
      <c r="G4895" s="3">
        <v>1</v>
      </c>
      <c r="H4895" s="3"/>
    </row>
    <row r="4896" spans="1:8" hidden="1">
      <c r="A4896" s="3">
        <v>1627</v>
      </c>
      <c r="B4896" s="7" t="s">
        <v>78</v>
      </c>
      <c r="C4896" s="41">
        <v>805.67</v>
      </c>
      <c r="D4896" s="6">
        <v>45679</v>
      </c>
      <c r="E4896" s="3" t="str">
        <f ca="1">IF(Tabela2[[#This Row],[Dt Venc:]]&gt;TODAY(),"Em Aberto",IF(Tabela2[[#This Row],[D/venc]]="-","Enviado",IF(Tabela2[[#This Row],[Dt Venc:]]=TODAY(),"Vence Hoje","Vencida")))</f>
        <v>Enviado</v>
      </c>
      <c r="F4896" s="3" t="str">
        <f ca="1">IF(G4896=1,"-",Tabela2[[#This Row],[Dt Venc:]]-TODAY())</f>
        <v>-</v>
      </c>
      <c r="G4896" s="3">
        <v>1</v>
      </c>
      <c r="H4896" s="3"/>
    </row>
    <row r="4897" spans="1:8" hidden="1">
      <c r="A4897" s="3">
        <v>37348</v>
      </c>
      <c r="B4897" s="7" t="s">
        <v>167</v>
      </c>
      <c r="C4897" s="83" t="s">
        <v>32</v>
      </c>
      <c r="D4897" s="6">
        <v>45679</v>
      </c>
      <c r="E4897" s="3" t="str">
        <f ca="1">IF(Tabela2[[#This Row],[Dt Venc:]]&gt;TODAY(),"Em Aberto",IF(Tabela2[[#This Row],[D/venc]]="-","Enviado",IF(Tabela2[[#This Row],[Dt Venc:]]=TODAY(),"Vence Hoje","Vencida")))</f>
        <v>Enviado</v>
      </c>
      <c r="F4897" s="3" t="str">
        <f ca="1">IF(G4897=1,"-",Tabela2[[#This Row],[Dt Venc:]]-TODAY())</f>
        <v>-</v>
      </c>
      <c r="G4897" s="3">
        <v>1</v>
      </c>
      <c r="H4897" s="3"/>
    </row>
    <row r="4898" spans="1:8" hidden="1">
      <c r="A4898" s="3">
        <v>29640</v>
      </c>
      <c r="B4898" s="7" t="s">
        <v>97</v>
      </c>
      <c r="C4898" s="42">
        <v>4585</v>
      </c>
      <c r="D4898" s="6">
        <v>45679</v>
      </c>
      <c r="E4898" s="3" t="str">
        <f ca="1">IF(Tabela2[[#This Row],[Dt Venc:]]&gt;TODAY(),"Em Aberto",IF(Tabela2[[#This Row],[D/venc]]="-","Enviado",IF(Tabela2[[#This Row],[Dt Venc:]]=TODAY(),"Vence Hoje","Vencida")))</f>
        <v>Enviado</v>
      </c>
      <c r="F4898" s="3" t="str">
        <f ca="1">IF(G4898=1,"-",Tabela2[[#This Row],[Dt Venc:]]-TODAY())</f>
        <v>-</v>
      </c>
      <c r="G4898" s="3">
        <v>1</v>
      </c>
      <c r="H4898" s="3"/>
    </row>
    <row r="4899" spans="1:8" hidden="1">
      <c r="A4899" s="3">
        <v>30058</v>
      </c>
      <c r="B4899" s="7" t="s">
        <v>97</v>
      </c>
      <c r="C4899" s="42">
        <v>4765</v>
      </c>
      <c r="D4899" s="6">
        <v>45679</v>
      </c>
      <c r="E4899" s="3" t="str">
        <f ca="1">IF(Tabela2[[#This Row],[Dt Venc:]]&gt;TODAY(),"Em Aberto",IF(Tabela2[[#This Row],[D/venc]]="-","Enviado",IF(Tabela2[[#This Row],[Dt Venc:]]=TODAY(),"Vence Hoje","Vencida")))</f>
        <v>Enviado</v>
      </c>
      <c r="F4899" s="3" t="str">
        <f ca="1">IF(G4899=1,"-",Tabela2[[#This Row],[Dt Venc:]]-TODAY())</f>
        <v>-</v>
      </c>
      <c r="G4899" s="3">
        <v>1</v>
      </c>
      <c r="H4899" s="3"/>
    </row>
    <row r="4900" spans="1:8" hidden="1">
      <c r="A4900" s="3">
        <v>19679</v>
      </c>
      <c r="B4900" s="7" t="s">
        <v>41</v>
      </c>
      <c r="C4900" s="41">
        <v>573.34</v>
      </c>
      <c r="D4900" s="6">
        <v>45679</v>
      </c>
      <c r="E4900" s="3" t="str">
        <f ca="1">IF(Tabela2[[#This Row],[Dt Venc:]]&gt;TODAY(),"Em Aberto",IF(Tabela2[[#This Row],[D/venc]]="-","Enviado",IF(Tabela2[[#This Row],[Dt Venc:]]=TODAY(),"Vence Hoje","Vencida")))</f>
        <v>Enviado</v>
      </c>
      <c r="F4900" s="3" t="str">
        <f ca="1">IF(G4900=1,"-",Tabela2[[#This Row],[Dt Venc:]]-TODAY())</f>
        <v>-</v>
      </c>
      <c r="G4900" s="3">
        <v>1</v>
      </c>
      <c r="H4900" s="3"/>
    </row>
    <row r="4901" spans="1:8" hidden="1">
      <c r="A4901" s="3">
        <v>153853</v>
      </c>
      <c r="B4901" s="7" t="s">
        <v>77</v>
      </c>
      <c r="C4901" s="41">
        <v>866.67</v>
      </c>
      <c r="D4901" s="6">
        <v>45679</v>
      </c>
      <c r="E4901" s="3" t="str">
        <f ca="1">IF(Tabela2[[#This Row],[Dt Venc:]]&gt;TODAY(),"Em Aberto",IF(Tabela2[[#This Row],[D/venc]]="-","Enviado",IF(Tabela2[[#This Row],[Dt Venc:]]=TODAY(),"Vence Hoje","Vencida")))</f>
        <v>Enviado</v>
      </c>
      <c r="F4901" s="3" t="str">
        <f ca="1">IF(G4901=1,"-",Tabela2[[#This Row],[Dt Venc:]]-TODAY())</f>
        <v>-</v>
      </c>
      <c r="G4901" s="3">
        <v>1</v>
      </c>
      <c r="H4901" s="3"/>
    </row>
    <row r="4902" spans="1:8" hidden="1">
      <c r="A4902" s="3">
        <v>11156</v>
      </c>
      <c r="B4902" s="7" t="s">
        <v>33</v>
      </c>
      <c r="C4902" s="41">
        <v>1728.3</v>
      </c>
      <c r="D4902" s="6">
        <v>45679</v>
      </c>
      <c r="E4902" s="3" t="str">
        <f ca="1">IF(Tabela2[[#This Row],[Dt Venc:]]&gt;TODAY(),"Em Aberto",IF(Tabela2[[#This Row],[D/venc]]="-","Enviado",IF(Tabela2[[#This Row],[Dt Venc:]]=TODAY(),"Vence Hoje","Vencida")))</f>
        <v>Enviado</v>
      </c>
      <c r="F4902" s="3" t="str">
        <f ca="1">IF(G4902=1,"-",Tabela2[[#This Row],[Dt Venc:]]-TODAY())</f>
        <v>-</v>
      </c>
      <c r="G4902" s="3">
        <v>1</v>
      </c>
      <c r="H4902" s="3"/>
    </row>
    <row r="4903" spans="1:8" hidden="1">
      <c r="A4903" s="3">
        <v>36</v>
      </c>
      <c r="B4903" s="7" t="s">
        <v>103</v>
      </c>
      <c r="C4903" s="41">
        <v>583.29999999999995</v>
      </c>
      <c r="D4903" s="6">
        <v>45679</v>
      </c>
      <c r="E4903" s="3" t="str">
        <f ca="1">IF(Tabela2[[#This Row],[Dt Venc:]]&gt;TODAY(),"Em Aberto",IF(Tabela2[[#This Row],[D/venc]]="-","Enviado",IF(Tabela2[[#This Row],[Dt Venc:]]=TODAY(),"Vence Hoje","Vencida")))</f>
        <v>Enviado</v>
      </c>
      <c r="F4903" s="3" t="str">
        <f ca="1">IF(G4903=1,"-",Tabela2[[#This Row],[Dt Venc:]]-TODAY())</f>
        <v>-</v>
      </c>
      <c r="G4903" s="3">
        <v>1</v>
      </c>
      <c r="H4903" s="3"/>
    </row>
    <row r="4904" spans="1:8" hidden="1">
      <c r="A4904" s="3">
        <v>12186</v>
      </c>
      <c r="B4904" s="7" t="s">
        <v>211</v>
      </c>
      <c r="C4904" s="41">
        <v>1070</v>
      </c>
      <c r="D4904" s="6">
        <v>45679</v>
      </c>
      <c r="E4904" s="3" t="str">
        <f ca="1">IF(Tabela2[[#This Row],[Dt Venc:]]&gt;TODAY(),"Em Aberto",IF(Tabela2[[#This Row],[D/venc]]="-","Enviado",IF(Tabela2[[#This Row],[Dt Venc:]]=TODAY(),"Vence Hoje","Vencida")))</f>
        <v>Enviado</v>
      </c>
      <c r="F4904" s="3" t="str">
        <f ca="1">IF(G4904=1,"-",Tabela2[[#This Row],[Dt Venc:]]-TODAY())</f>
        <v>-</v>
      </c>
      <c r="G4904" s="3">
        <v>1</v>
      </c>
      <c r="H4904" s="3"/>
    </row>
    <row r="4905" spans="1:8" hidden="1">
      <c r="A4905" s="3">
        <v>2863</v>
      </c>
      <c r="B4905" s="7" t="s">
        <v>58</v>
      </c>
      <c r="C4905" s="41">
        <v>1749.87</v>
      </c>
      <c r="D4905" s="6">
        <v>45679</v>
      </c>
      <c r="E4905" s="3" t="str">
        <f ca="1">IF(Tabela2[[#This Row],[Dt Venc:]]&gt;TODAY(),"Em Aberto",IF(Tabela2[[#This Row],[D/venc]]="-","Enviado",IF(Tabela2[[#This Row],[Dt Venc:]]=TODAY(),"Vence Hoje","Vencida")))</f>
        <v>Enviado</v>
      </c>
      <c r="F4905" s="3" t="str">
        <f ca="1">IF(G4905=1,"-",Tabela2[[#This Row],[Dt Venc:]]-TODAY())</f>
        <v>-</v>
      </c>
      <c r="G4905" s="3">
        <v>1</v>
      </c>
      <c r="H4905" s="3"/>
    </row>
    <row r="4906" spans="1:8" hidden="1">
      <c r="A4906" s="3">
        <v>71340</v>
      </c>
      <c r="B4906" s="7" t="s">
        <v>333</v>
      </c>
      <c r="C4906" s="41">
        <v>787.33</v>
      </c>
      <c r="D4906" s="6">
        <v>45679</v>
      </c>
      <c r="E4906" s="3" t="str">
        <f ca="1">IF(Tabela2[[#This Row],[Dt Venc:]]&gt;TODAY(),"Em Aberto",IF(Tabela2[[#This Row],[D/venc]]="-","Enviado",IF(Tabela2[[#This Row],[Dt Venc:]]=TODAY(),"Vence Hoje","Vencida")))</f>
        <v>Enviado</v>
      </c>
      <c r="F4906" s="3" t="str">
        <f ca="1">IF(G4906=1,"-",Tabela2[[#This Row],[Dt Venc:]]-TODAY())</f>
        <v>-</v>
      </c>
      <c r="G4906" s="3">
        <v>1</v>
      </c>
      <c r="H4906" s="3"/>
    </row>
    <row r="4907" spans="1:8" hidden="1">
      <c r="A4907" s="3">
        <v>13413</v>
      </c>
      <c r="B4907" s="7" t="s">
        <v>70</v>
      </c>
      <c r="C4907" s="41">
        <v>573.64</v>
      </c>
      <c r="D4907" s="6">
        <v>45679</v>
      </c>
      <c r="E4907" s="3" t="str">
        <f ca="1">IF(Tabela2[[#This Row],[Dt Venc:]]&gt;TODAY(),"Em Aberto",IF(Tabela2[[#This Row],[D/venc]]="-","Enviado",IF(Tabela2[[#This Row],[Dt Venc:]]=TODAY(),"Vence Hoje","Vencida")))</f>
        <v>Enviado</v>
      </c>
      <c r="F4907" s="3" t="str">
        <f ca="1">IF(G4907=1,"-",Tabela2[[#This Row],[Dt Venc:]]-TODAY())</f>
        <v>-</v>
      </c>
      <c r="G4907" s="3">
        <v>1</v>
      </c>
      <c r="H4907" s="3"/>
    </row>
    <row r="4908" spans="1:8" hidden="1">
      <c r="A4908" s="3">
        <v>259055</v>
      </c>
      <c r="B4908" s="7" t="s">
        <v>43</v>
      </c>
      <c r="C4908" s="41">
        <v>1428.84</v>
      </c>
      <c r="D4908" s="6">
        <v>45679</v>
      </c>
      <c r="E4908" s="3" t="str">
        <f ca="1">IF(Tabela2[[#This Row],[Dt Venc:]]&gt;TODAY(),"Em Aberto",IF(Tabela2[[#This Row],[D/venc]]="-","Enviado",IF(Tabela2[[#This Row],[Dt Venc:]]=TODAY(),"Vence Hoje","Vencida")))</f>
        <v>Enviado</v>
      </c>
      <c r="F4908" s="3" t="str">
        <f ca="1">IF(G4908=1,"-",Tabela2[[#This Row],[Dt Venc:]]-TODAY())</f>
        <v>-</v>
      </c>
      <c r="G4908" s="3">
        <v>1</v>
      </c>
      <c r="H4908" s="3"/>
    </row>
    <row r="4909" spans="1:8" hidden="1">
      <c r="A4909" s="3">
        <v>258970</v>
      </c>
      <c r="B4909" s="7" t="s">
        <v>43</v>
      </c>
      <c r="C4909" s="41">
        <v>375</v>
      </c>
      <c r="D4909" s="6">
        <v>45679</v>
      </c>
      <c r="E4909" s="3" t="str">
        <f ca="1">IF(Tabela2[[#This Row],[Dt Venc:]]&gt;TODAY(),"Em Aberto",IF(Tabela2[[#This Row],[D/venc]]="-","Enviado",IF(Tabela2[[#This Row],[Dt Venc:]]=TODAY(),"Vence Hoje","Vencida")))</f>
        <v>Enviado</v>
      </c>
      <c r="F4909" s="3" t="str">
        <f ca="1">IF(G4909=1,"-",Tabela2[[#This Row],[Dt Venc:]]-TODAY())</f>
        <v>-</v>
      </c>
      <c r="G4909" s="3">
        <v>1</v>
      </c>
      <c r="H4909" s="3"/>
    </row>
    <row r="4910" spans="1:8" hidden="1">
      <c r="A4910" s="3">
        <v>618315</v>
      </c>
      <c r="B4910" s="7" t="s">
        <v>66</v>
      </c>
      <c r="C4910" s="41">
        <v>1306.8</v>
      </c>
      <c r="D4910" s="6">
        <v>45679</v>
      </c>
      <c r="E4910" s="3" t="str">
        <f ca="1">IF(Tabela2[[#This Row],[Dt Venc:]]&gt;TODAY(),"Em Aberto",IF(Tabela2[[#This Row],[D/venc]]="-","Enviado",IF(Tabela2[[#This Row],[Dt Venc:]]=TODAY(),"Vence Hoje","Vencida")))</f>
        <v>Enviado</v>
      </c>
      <c r="F4910" s="3" t="str">
        <f ca="1">IF(G4910=1,"-",Tabela2[[#This Row],[Dt Venc:]]-TODAY())</f>
        <v>-</v>
      </c>
      <c r="G4910" s="3">
        <v>1</v>
      </c>
      <c r="H4910" s="3"/>
    </row>
    <row r="4911" spans="1:8" hidden="1">
      <c r="A4911" s="3">
        <v>258684</v>
      </c>
      <c r="B4911" s="7" t="s">
        <v>49</v>
      </c>
      <c r="C4911" s="41">
        <v>1716.66</v>
      </c>
      <c r="D4911" s="6">
        <v>45679</v>
      </c>
      <c r="E4911" s="3" t="str">
        <f ca="1">IF(Tabela2[[#This Row],[Dt Venc:]]&gt;TODAY(),"Em Aberto",IF(Tabela2[[#This Row],[D/venc]]="-","Enviado",IF(Tabela2[[#This Row],[Dt Venc:]]=TODAY(),"Vence Hoje","Vencida")))</f>
        <v>Enviado</v>
      </c>
      <c r="F4911" s="3" t="str">
        <f ca="1">IF(G4911=1,"-",Tabela2[[#This Row],[Dt Venc:]]-TODAY())</f>
        <v>-</v>
      </c>
      <c r="G4911" s="3">
        <v>1</v>
      </c>
      <c r="H4911" s="3"/>
    </row>
    <row r="4912" spans="1:8" hidden="1">
      <c r="A4912" s="3">
        <v>15361</v>
      </c>
      <c r="B4912" s="7" t="s">
        <v>44</v>
      </c>
      <c r="C4912" s="41">
        <v>850</v>
      </c>
      <c r="D4912" s="6">
        <v>45679</v>
      </c>
      <c r="E4912" s="3" t="str">
        <f ca="1">IF(Tabela2[[#This Row],[Dt Venc:]]&gt;TODAY(),"Em Aberto",IF(Tabela2[[#This Row],[D/venc]]="-","Enviado",IF(Tabela2[[#This Row],[Dt Venc:]]=TODAY(),"Vence Hoje","Vencida")))</f>
        <v>Enviado</v>
      </c>
      <c r="F4912" s="3" t="str">
        <f ca="1">IF(G4912=1,"-",Tabela2[[#This Row],[Dt Venc:]]-TODAY())</f>
        <v>-</v>
      </c>
      <c r="G4912" s="3">
        <v>1</v>
      </c>
      <c r="H4912" s="3"/>
    </row>
    <row r="4913" spans="1:8" hidden="1">
      <c r="A4913" s="3">
        <v>18504</v>
      </c>
      <c r="B4913" s="7" t="s">
        <v>106</v>
      </c>
      <c r="C4913" s="41">
        <v>533.33000000000004</v>
      </c>
      <c r="D4913" s="6">
        <v>45679</v>
      </c>
      <c r="E4913" s="3" t="str">
        <f ca="1">IF(Tabela2[[#This Row],[Dt Venc:]]&gt;TODAY(),"Em Aberto",IF(Tabela2[[#This Row],[D/venc]]="-","Enviado",IF(Tabela2[[#This Row],[Dt Venc:]]=TODAY(),"Vence Hoje","Vencida")))</f>
        <v>Enviado</v>
      </c>
      <c r="F4913" s="3" t="str">
        <f ca="1">IF(G4913=1,"-",Tabela2[[#This Row],[Dt Venc:]]-TODAY())</f>
        <v>-</v>
      </c>
      <c r="G4913" s="3">
        <v>1</v>
      </c>
      <c r="H4913" s="3"/>
    </row>
    <row r="4914" spans="1:8" hidden="1">
      <c r="A4914" s="3">
        <v>31063</v>
      </c>
      <c r="B4914" s="7" t="s">
        <v>97</v>
      </c>
      <c r="C4914" s="41">
        <v>2395</v>
      </c>
      <c r="D4914" s="6">
        <v>45679</v>
      </c>
      <c r="E4914" s="3" t="str">
        <f ca="1">IF(Tabela2[[#This Row],[Dt Venc:]]&gt;TODAY(),"Em Aberto",IF(Tabela2[[#This Row],[D/venc]]="-","Enviado",IF(Tabela2[[#This Row],[Dt Venc:]]=TODAY(),"Vence Hoje","Vencida")))</f>
        <v>Enviado</v>
      </c>
      <c r="F4914" s="3" t="str">
        <f ca="1">IF(G4914=1,"-",Tabela2[[#This Row],[Dt Venc:]]-TODAY())</f>
        <v>-</v>
      </c>
      <c r="G4914" s="3">
        <v>1</v>
      </c>
      <c r="H4914" s="3"/>
    </row>
    <row r="4915" spans="1:8" hidden="1">
      <c r="A4915" s="3">
        <v>2010124</v>
      </c>
      <c r="B4915" s="7" t="s">
        <v>59</v>
      </c>
      <c r="C4915" s="41">
        <v>112364</v>
      </c>
      <c r="D4915" s="6">
        <v>45679</v>
      </c>
      <c r="E4915" s="3" t="str">
        <f ca="1">IF(Tabela2[[#This Row],[Dt Venc:]]&gt;TODAY(),"Em Aberto",IF(Tabela2[[#This Row],[D/venc]]="-","Enviado",IF(Tabela2[[#This Row],[Dt Venc:]]=TODAY(),"Vence Hoje","Vencida")))</f>
        <v>Enviado</v>
      </c>
      <c r="F4915" s="3" t="str">
        <f ca="1">IF(G4915=1,"-",Tabela2[[#This Row],[Dt Venc:]]-TODAY())</f>
        <v>-</v>
      </c>
      <c r="G4915" s="3">
        <v>1</v>
      </c>
      <c r="H4915" s="3"/>
    </row>
    <row r="4916" spans="1:8" hidden="1">
      <c r="A4916" s="3">
        <v>446927</v>
      </c>
      <c r="B4916" s="7" t="s">
        <v>59</v>
      </c>
      <c r="C4916" s="41">
        <v>57105</v>
      </c>
      <c r="D4916" s="6">
        <v>45679</v>
      </c>
      <c r="E4916" s="3" t="str">
        <f ca="1">IF(Tabela2[[#This Row],[Dt Venc:]]&gt;TODAY(),"Em Aberto",IF(Tabela2[[#This Row],[D/venc]]="-","Enviado",IF(Tabela2[[#This Row],[Dt Venc:]]=TODAY(),"Vence Hoje","Vencida")))</f>
        <v>Enviado</v>
      </c>
      <c r="F4916" s="3" t="str">
        <f ca="1">IF(G4916=1,"-",Tabela2[[#This Row],[Dt Venc:]]-TODAY())</f>
        <v>-</v>
      </c>
      <c r="G4916" s="3">
        <v>1</v>
      </c>
      <c r="H4916" s="3"/>
    </row>
    <row r="4917" spans="1:8" hidden="1">
      <c r="A4917" s="3">
        <v>1725</v>
      </c>
      <c r="B4917" s="7" t="s">
        <v>92</v>
      </c>
      <c r="C4917" s="41">
        <v>527.5</v>
      </c>
      <c r="D4917" s="6">
        <v>45679</v>
      </c>
      <c r="E4917" s="3" t="str">
        <f ca="1">IF(Tabela2[[#This Row],[Dt Venc:]]&gt;TODAY(),"Em Aberto",IF(Tabela2[[#This Row],[D/venc]]="-","Enviado",IF(Tabela2[[#This Row],[Dt Venc:]]=TODAY(),"Vence Hoje","Vencida")))</f>
        <v>Enviado</v>
      </c>
      <c r="F4917" s="3" t="str">
        <f ca="1">IF(G4917=1,"-",Tabela2[[#This Row],[Dt Venc:]]-TODAY())</f>
        <v>-</v>
      </c>
      <c r="G4917" s="3">
        <v>1</v>
      </c>
      <c r="H4917" s="3"/>
    </row>
    <row r="4918" spans="1:8" hidden="1">
      <c r="A4918" s="3">
        <v>1721</v>
      </c>
      <c r="B4918" s="7" t="s">
        <v>92</v>
      </c>
      <c r="C4918" s="41">
        <v>717.5</v>
      </c>
      <c r="D4918" s="6">
        <v>45679</v>
      </c>
      <c r="E4918" s="3" t="str">
        <f ca="1">IF(Tabela2[[#This Row],[Dt Venc:]]&gt;TODAY(),"Em Aberto",IF(Tabela2[[#This Row],[D/venc]]="-","Enviado",IF(Tabela2[[#This Row],[Dt Venc:]]=TODAY(),"Vence Hoje","Vencida")))</f>
        <v>Enviado</v>
      </c>
      <c r="F4918" s="3" t="str">
        <f ca="1">IF(G4918=1,"-",Tabela2[[#This Row],[Dt Venc:]]-TODAY())</f>
        <v>-</v>
      </c>
      <c r="G4918" s="3">
        <v>1</v>
      </c>
      <c r="H4918" s="3"/>
    </row>
    <row r="4919" spans="1:8" hidden="1">
      <c r="A4919" s="3">
        <v>1722</v>
      </c>
      <c r="B4919" s="7" t="s">
        <v>92</v>
      </c>
      <c r="C4919" s="41">
        <v>775</v>
      </c>
      <c r="D4919" s="6">
        <v>45679</v>
      </c>
      <c r="E4919" s="3" t="str">
        <f ca="1">IF(Tabela2[[#This Row],[Dt Venc:]]&gt;TODAY(),"Em Aberto",IF(Tabela2[[#This Row],[D/venc]]="-","Enviado",IF(Tabela2[[#This Row],[Dt Venc:]]=TODAY(),"Vence Hoje","Vencida")))</f>
        <v>Enviado</v>
      </c>
      <c r="F4919" s="3" t="str">
        <f ca="1">IF(G4919=1,"-",Tabela2[[#This Row],[Dt Venc:]]-TODAY())</f>
        <v>-</v>
      </c>
      <c r="G4919" s="3">
        <v>1</v>
      </c>
      <c r="H4919" s="3"/>
    </row>
    <row r="4920" spans="1:8" hidden="1">
      <c r="A4920" s="3" t="s">
        <v>110</v>
      </c>
      <c r="B4920" s="7" t="s">
        <v>323</v>
      </c>
      <c r="C4920" s="42" t="s">
        <v>32</v>
      </c>
      <c r="D4920" s="6">
        <v>45679</v>
      </c>
      <c r="E4920" s="3" t="str">
        <f ca="1">IF(Tabela2[[#This Row],[Dt Venc:]]&gt;TODAY(),"Em Aberto",IF(Tabela2[[#This Row],[D/venc]]="-","Enviado",IF(Tabela2[[#This Row],[Dt Venc:]]=TODAY(),"Vence Hoje","Vencida")))</f>
        <v>Enviado</v>
      </c>
      <c r="F4920" s="3" t="str">
        <f ca="1">IF(G4920=1,"-",Tabela2[[#This Row],[Dt Venc:]]-TODAY())</f>
        <v>-</v>
      </c>
      <c r="G4920" s="3">
        <v>1</v>
      </c>
      <c r="H4920" s="3"/>
    </row>
    <row r="4921" spans="1:8" hidden="1">
      <c r="A4921" s="3" t="s">
        <v>110</v>
      </c>
      <c r="B4921" s="7" t="s">
        <v>330</v>
      </c>
      <c r="C4921" s="42" t="s">
        <v>32</v>
      </c>
      <c r="D4921" s="6">
        <v>45679</v>
      </c>
      <c r="E4921" s="3" t="str">
        <f ca="1">IF(Tabela2[[#This Row],[Dt Venc:]]&gt;TODAY(),"Em Aberto",IF(Tabela2[[#This Row],[D/venc]]="-","Enviado",IF(Tabela2[[#This Row],[Dt Venc:]]=TODAY(),"Vence Hoje","Vencida")))</f>
        <v>Enviado</v>
      </c>
      <c r="F4921" s="3" t="str">
        <f ca="1">IF(G4921=1,"-",Tabela2[[#This Row],[Dt Venc:]]-TODAY())</f>
        <v>-</v>
      </c>
      <c r="G4921" s="3">
        <v>1</v>
      </c>
      <c r="H4921" s="3"/>
    </row>
    <row r="4922" spans="1:8" hidden="1">
      <c r="A4922" s="3">
        <v>3335014</v>
      </c>
      <c r="B4922" s="7" t="s">
        <v>71</v>
      </c>
      <c r="C4922" s="41">
        <v>112116</v>
      </c>
      <c r="D4922" s="6">
        <v>45679</v>
      </c>
      <c r="E4922" s="3" t="str">
        <f ca="1">IF(Tabela2[[#This Row],[Dt Venc:]]&gt;TODAY(),"Em Aberto",IF(Tabela2[[#This Row],[D/venc]]="-","Enviado",IF(Tabela2[[#This Row],[Dt Venc:]]=TODAY(),"Vence Hoje","Vencida")))</f>
        <v>Enviado</v>
      </c>
      <c r="F4922" s="3" t="str">
        <f ca="1">IF(G4922=1,"-",Tabela2[[#This Row],[Dt Venc:]]-TODAY())</f>
        <v>-</v>
      </c>
      <c r="G4922" s="3">
        <v>1</v>
      </c>
      <c r="H4922" s="3"/>
    </row>
    <row r="4923" spans="1:8" hidden="1">
      <c r="A4923" s="3">
        <v>654537</v>
      </c>
      <c r="B4923" s="7" t="s">
        <v>648</v>
      </c>
      <c r="C4923" s="87" t="s">
        <v>32</v>
      </c>
      <c r="D4923" s="6">
        <v>45680</v>
      </c>
      <c r="E4923" s="3" t="str">
        <f ca="1">IF(Tabela2[[#This Row],[Dt Venc:]]&gt;TODAY(),"Em Aberto",IF(Tabela2[[#This Row],[D/venc]]="-","Enviado",IF(Tabela2[[#This Row],[Dt Venc:]]=TODAY(),"Vence Hoje","Vencida")))</f>
        <v>Enviado</v>
      </c>
      <c r="F4923" s="3" t="str">
        <f ca="1">IF(G4923=1,"-",Tabela2[[#This Row],[Dt Venc:]]-TODAY())</f>
        <v>-</v>
      </c>
      <c r="G4923" s="3">
        <v>1</v>
      </c>
      <c r="H4923" s="3"/>
    </row>
    <row r="4924" spans="1:8" hidden="1">
      <c r="A4924" s="3" t="s">
        <v>110</v>
      </c>
      <c r="B4924" s="7" t="s">
        <v>337</v>
      </c>
      <c r="C4924" s="42" t="s">
        <v>32</v>
      </c>
      <c r="D4924" s="6">
        <v>45680</v>
      </c>
      <c r="E4924" s="3" t="str">
        <f ca="1">IF(Tabela2[[#This Row],[Dt Venc:]]&gt;TODAY(),"Em Aberto",IF(Tabela2[[#This Row],[D/venc]]="-","Enviado",IF(Tabela2[[#This Row],[Dt Venc:]]=TODAY(),"Vence Hoje","Vencida")))</f>
        <v>Enviado</v>
      </c>
      <c r="F4924" s="3" t="str">
        <f ca="1">IF(G4924=1,"-",Tabela2[[#This Row],[Dt Venc:]]-TODAY())</f>
        <v>-</v>
      </c>
      <c r="G4924" s="3">
        <v>1</v>
      </c>
      <c r="H4924" s="3"/>
    </row>
    <row r="4925" spans="1:8" hidden="1">
      <c r="A4925" s="3">
        <v>11062</v>
      </c>
      <c r="B4925" s="7" t="s">
        <v>33</v>
      </c>
      <c r="C4925" s="41">
        <v>800</v>
      </c>
      <c r="D4925" s="6">
        <v>45680</v>
      </c>
      <c r="E4925" s="3" t="str">
        <f ca="1">IF(Tabela2[[#This Row],[Dt Venc:]]&gt;TODAY(),"Em Aberto",IF(Tabela2[[#This Row],[D/venc]]="-","Enviado",IF(Tabela2[[#This Row],[Dt Venc:]]=TODAY(),"Vence Hoje","Vencida")))</f>
        <v>Enviado</v>
      </c>
      <c r="F4925" s="3" t="str">
        <f ca="1">IF(G4925=1,"-",Tabela2[[#This Row],[Dt Venc:]]-TODAY())</f>
        <v>-</v>
      </c>
      <c r="G4925" s="3">
        <v>1</v>
      </c>
      <c r="H4925" s="3"/>
    </row>
    <row r="4926" spans="1:8" hidden="1">
      <c r="A4926" s="3">
        <v>2854</v>
      </c>
      <c r="B4926" s="7" t="s">
        <v>301</v>
      </c>
      <c r="C4926" s="41">
        <v>1300</v>
      </c>
      <c r="D4926" s="6">
        <v>45680</v>
      </c>
      <c r="E4926" s="3" t="str">
        <f ca="1">IF(Tabela2[[#This Row],[Dt Venc:]]&gt;TODAY(),"Em Aberto",IF(Tabela2[[#This Row],[D/venc]]="-","Enviado",IF(Tabela2[[#This Row],[Dt Venc:]]=TODAY(),"Vence Hoje","Vencida")))</f>
        <v>Enviado</v>
      </c>
      <c r="F4926" s="3" t="str">
        <f ca="1">IF(G4926=1,"-",Tabela2[[#This Row],[Dt Venc:]]-TODAY())</f>
        <v>-</v>
      </c>
      <c r="G4926" s="3">
        <v>1</v>
      </c>
      <c r="H4926" s="3"/>
    </row>
    <row r="4927" spans="1:8" hidden="1">
      <c r="A4927" s="3">
        <v>368700</v>
      </c>
      <c r="B4927" s="7" t="s">
        <v>39</v>
      </c>
      <c r="C4927" s="42">
        <v>1287.3900000000001</v>
      </c>
      <c r="D4927" s="6">
        <v>45680</v>
      </c>
      <c r="E4927" s="3" t="str">
        <f ca="1">IF(Tabela2[[#This Row],[Dt Venc:]]&gt;TODAY(),"Em Aberto",IF(Tabela2[[#This Row],[D/venc]]="-","Enviado",IF(Tabela2[[#This Row],[Dt Venc:]]=TODAY(),"Vence Hoje","Vencida")))</f>
        <v>Enviado</v>
      </c>
      <c r="F4927" s="3" t="str">
        <f ca="1">IF(G4927=1,"-",Tabela2[[#This Row],[Dt Venc:]]-TODAY())</f>
        <v>-</v>
      </c>
      <c r="G4927" s="3">
        <v>1</v>
      </c>
      <c r="H4927" s="3"/>
    </row>
    <row r="4928" spans="1:8" hidden="1">
      <c r="A4928" s="3">
        <v>12194</v>
      </c>
      <c r="B4928" s="7" t="s">
        <v>402</v>
      </c>
      <c r="C4928" s="41">
        <v>1883.22</v>
      </c>
      <c r="D4928" s="6">
        <v>45680</v>
      </c>
      <c r="E4928" s="3" t="str">
        <f ca="1">IF(Tabela2[[#This Row],[Dt Venc:]]&gt;TODAY(),"Em Aberto",IF(Tabela2[[#This Row],[D/venc]]="-","Enviado",IF(Tabela2[[#This Row],[Dt Venc:]]=TODAY(),"Vence Hoje","Vencida")))</f>
        <v>Enviado</v>
      </c>
      <c r="F4928" s="3" t="str">
        <f ca="1">IF(G4928=1,"-",Tabela2[[#This Row],[Dt Venc:]]-TODAY())</f>
        <v>-</v>
      </c>
      <c r="G4928" s="3">
        <v>1</v>
      </c>
      <c r="H4928" s="3"/>
    </row>
    <row r="4929" spans="1:8" hidden="1">
      <c r="A4929" s="3">
        <v>1531</v>
      </c>
      <c r="B4929" s="7" t="s">
        <v>258</v>
      </c>
      <c r="C4929" s="41">
        <v>983.33</v>
      </c>
      <c r="D4929" s="6">
        <v>45680</v>
      </c>
      <c r="E4929" s="3" t="str">
        <f ca="1">IF(Tabela2[[#This Row],[Dt Venc:]]&gt;TODAY(),"Em Aberto",IF(Tabela2[[#This Row],[D/venc]]="-","Enviado",IF(Tabela2[[#This Row],[Dt Venc:]]=TODAY(),"Vence Hoje","Vencida")))</f>
        <v>Enviado</v>
      </c>
      <c r="F4929" s="3" t="str">
        <f ca="1">IF(G4929=1,"-",Tabela2[[#This Row],[Dt Venc:]]-TODAY())</f>
        <v>-</v>
      </c>
      <c r="G4929" s="3">
        <v>1</v>
      </c>
      <c r="H4929" s="3"/>
    </row>
    <row r="4930" spans="1:8" hidden="1">
      <c r="A4930" s="3">
        <v>72408</v>
      </c>
      <c r="B4930" s="7" t="s">
        <v>76</v>
      </c>
      <c r="C4930" s="41">
        <v>2543.92</v>
      </c>
      <c r="D4930" s="6">
        <v>45680</v>
      </c>
      <c r="E4930" s="3" t="str">
        <f ca="1">IF(Tabela2[[#This Row],[Dt Venc:]]&gt;TODAY(),"Em Aberto",IF(Tabela2[[#This Row],[D/venc]]="-","Enviado",IF(Tabela2[[#This Row],[Dt Venc:]]=TODAY(),"Vence Hoje","Vencida")))</f>
        <v>Enviado</v>
      </c>
      <c r="F4930" s="3" t="str">
        <f ca="1">IF(G4930=1,"-",Tabela2[[#This Row],[Dt Venc:]]-TODAY())</f>
        <v>-</v>
      </c>
      <c r="G4930" s="3">
        <v>1</v>
      </c>
      <c r="H4930" s="3"/>
    </row>
    <row r="4931" spans="1:8" hidden="1">
      <c r="A4931" s="3">
        <v>46683</v>
      </c>
      <c r="B4931" s="7" t="s">
        <v>197</v>
      </c>
      <c r="C4931" s="41">
        <v>1581.33</v>
      </c>
      <c r="D4931" s="6">
        <v>45680</v>
      </c>
      <c r="E4931" s="3" t="str">
        <f ca="1">IF(Tabela2[[#This Row],[Dt Venc:]]&gt;TODAY(),"Em Aberto",IF(Tabela2[[#This Row],[D/venc]]="-","Enviado",IF(Tabela2[[#This Row],[Dt Venc:]]=TODAY(),"Vence Hoje","Vencida")))</f>
        <v>Enviado</v>
      </c>
      <c r="F4931" s="3" t="str">
        <f ca="1">IF(G4931=1,"-",Tabela2[[#This Row],[Dt Venc:]]-TODAY())</f>
        <v>-</v>
      </c>
      <c r="G4931" s="3">
        <v>1</v>
      </c>
      <c r="H4931" s="3"/>
    </row>
    <row r="4932" spans="1:8" hidden="1">
      <c r="A4932" s="3">
        <v>1471</v>
      </c>
      <c r="B4932" s="7" t="s">
        <v>241</v>
      </c>
      <c r="C4932" s="41">
        <v>540</v>
      </c>
      <c r="D4932" s="6">
        <v>45680</v>
      </c>
      <c r="E4932" s="3" t="str">
        <f ca="1">IF(Tabela2[[#This Row],[Dt Venc:]]&gt;TODAY(),"Em Aberto",IF(Tabela2[[#This Row],[D/venc]]="-","Enviado",IF(Tabela2[[#This Row],[Dt Venc:]]=TODAY(),"Vence Hoje","Vencida")))</f>
        <v>Enviado</v>
      </c>
      <c r="F4932" s="3" t="str">
        <f ca="1">IF(G4932=1,"-",Tabela2[[#This Row],[Dt Venc:]]-TODAY())</f>
        <v>-</v>
      </c>
      <c r="G4932" s="3">
        <v>1</v>
      </c>
      <c r="H4932" s="3"/>
    </row>
    <row r="4933" spans="1:8" hidden="1">
      <c r="A4933" s="3">
        <v>9149</v>
      </c>
      <c r="B4933" s="7" t="s">
        <v>571</v>
      </c>
      <c r="C4933" s="41">
        <f>1380/2</f>
        <v>690</v>
      </c>
      <c r="D4933" s="6">
        <v>45680</v>
      </c>
      <c r="E4933" s="3" t="str">
        <f ca="1">IF(Tabela2[[#This Row],[Dt Venc:]]&gt;TODAY(),"Em Aberto",IF(Tabela2[[#This Row],[D/venc]]="-","Enviado",IF(Tabela2[[#This Row],[Dt Venc:]]=TODAY(),"Vence Hoje","Vencida")))</f>
        <v>Enviado</v>
      </c>
      <c r="F4933" s="3" t="str">
        <f ca="1">IF(G4933=1,"-",Tabela2[[#This Row],[Dt Venc:]]-TODAY())</f>
        <v>-</v>
      </c>
      <c r="G4933" s="3">
        <v>1</v>
      </c>
      <c r="H4933" s="3"/>
    </row>
    <row r="4934" spans="1:8" hidden="1">
      <c r="A4934" s="3">
        <v>259729</v>
      </c>
      <c r="B4934" s="7" t="s">
        <v>43</v>
      </c>
      <c r="C4934" s="41">
        <v>680</v>
      </c>
      <c r="D4934" s="6">
        <v>45680</v>
      </c>
      <c r="E4934" s="3" t="str">
        <f ca="1">IF(Tabela2[[#This Row],[Dt Venc:]]&gt;TODAY(),"Em Aberto",IF(Tabela2[[#This Row],[D/venc]]="-","Enviado",IF(Tabela2[[#This Row],[Dt Venc:]]=TODAY(),"Vence Hoje","Vencida")))</f>
        <v>Enviado</v>
      </c>
      <c r="F4934" s="3" t="str">
        <f ca="1">IF(G4934=1,"-",Tabela2[[#This Row],[Dt Venc:]]-TODAY())</f>
        <v>-</v>
      </c>
      <c r="G4934" s="3">
        <v>1</v>
      </c>
      <c r="H4934" s="3"/>
    </row>
    <row r="4935" spans="1:8" hidden="1">
      <c r="A4935" s="3">
        <v>304435</v>
      </c>
      <c r="B4935" s="7" t="s">
        <v>572</v>
      </c>
      <c r="C4935" s="41">
        <v>3072.3</v>
      </c>
      <c r="D4935" s="6">
        <v>45680</v>
      </c>
      <c r="E4935" s="3" t="str">
        <f ca="1">IF(Tabela2[[#This Row],[Dt Venc:]]&gt;TODAY(),"Em Aberto",IF(Tabela2[[#This Row],[D/venc]]="-","Enviado",IF(Tabela2[[#This Row],[Dt Venc:]]=TODAY(),"Vence Hoje","Vencida")))</f>
        <v>Enviado</v>
      </c>
      <c r="F4935" s="3" t="str">
        <f ca="1">IF(G4935=1,"-",Tabela2[[#This Row],[Dt Venc:]]-TODAY())</f>
        <v>-</v>
      </c>
      <c r="G4935" s="3">
        <v>1</v>
      </c>
      <c r="H4935" s="3"/>
    </row>
    <row r="4936" spans="1:8" hidden="1">
      <c r="A4936" s="3">
        <v>260043</v>
      </c>
      <c r="B4936" s="7" t="s">
        <v>43</v>
      </c>
      <c r="C4936" s="41">
        <v>531.15</v>
      </c>
      <c r="D4936" s="6">
        <v>45680</v>
      </c>
      <c r="E4936" s="3" t="str">
        <f ca="1">IF(Tabela2[[#This Row],[Dt Venc:]]&gt;TODAY(),"Em Aberto",IF(Tabela2[[#This Row],[D/venc]]="-","Enviado",IF(Tabela2[[#This Row],[Dt Venc:]]=TODAY(),"Vence Hoje","Vencida")))</f>
        <v>Enviado</v>
      </c>
      <c r="F4936" s="3" t="str">
        <f ca="1">IF(G4936=1,"-",Tabela2[[#This Row],[Dt Venc:]]-TODAY())</f>
        <v>-</v>
      </c>
      <c r="G4936" s="3">
        <v>1</v>
      </c>
      <c r="H4936" s="3"/>
    </row>
    <row r="4937" spans="1:8" hidden="1">
      <c r="A4937" s="3">
        <v>14284</v>
      </c>
      <c r="B4937" s="7" t="s">
        <v>51</v>
      </c>
      <c r="C4937" s="41">
        <v>600</v>
      </c>
      <c r="D4937" s="6">
        <v>45680</v>
      </c>
      <c r="E4937" s="3" t="str">
        <f ca="1">IF(Tabela2[[#This Row],[Dt Venc:]]&gt;TODAY(),"Em Aberto",IF(Tabela2[[#This Row],[D/venc]]="-","Enviado",IF(Tabela2[[#This Row],[Dt Venc:]]=TODAY(),"Vence Hoje","Vencida")))</f>
        <v>Enviado</v>
      </c>
      <c r="F4937" s="3" t="str">
        <f ca="1">IF(G4937=1,"-",Tabela2[[#This Row],[Dt Venc:]]-TODAY())</f>
        <v>-</v>
      </c>
      <c r="G4937" s="3">
        <v>1</v>
      </c>
      <c r="H4937" s="3"/>
    </row>
    <row r="4938" spans="1:8" hidden="1">
      <c r="A4938" s="3">
        <v>245167</v>
      </c>
      <c r="B4938" s="7" t="s">
        <v>43</v>
      </c>
      <c r="C4938" s="41">
        <v>472</v>
      </c>
      <c r="D4938" s="6">
        <v>45680</v>
      </c>
      <c r="E4938" s="3" t="str">
        <f ca="1">IF(Tabela2[[#This Row],[Dt Venc:]]&gt;TODAY(),"Em Aberto",IF(Tabela2[[#This Row],[D/venc]]="-","Enviado",IF(Tabela2[[#This Row],[Dt Venc:]]=TODAY(),"Vence Hoje","Vencida")))</f>
        <v>Enviado</v>
      </c>
      <c r="F4938" s="3" t="str">
        <f ca="1">IF(G4938=1,"-",Tabela2[[#This Row],[Dt Venc:]]-TODAY())</f>
        <v>-</v>
      </c>
      <c r="G4938" s="3">
        <v>1</v>
      </c>
      <c r="H4938" s="3"/>
    </row>
    <row r="4939" spans="1:8" hidden="1">
      <c r="A4939" s="3">
        <v>622214</v>
      </c>
      <c r="B4939" s="7" t="s">
        <v>66</v>
      </c>
      <c r="C4939" s="41">
        <v>84.91</v>
      </c>
      <c r="D4939" s="6">
        <v>45680</v>
      </c>
      <c r="E4939" s="3" t="str">
        <f ca="1">IF(Tabela2[[#This Row],[Dt Venc:]]&gt;TODAY(),"Em Aberto",IF(Tabela2[[#This Row],[D/venc]]="-","Enviado",IF(Tabela2[[#This Row],[Dt Venc:]]=TODAY(),"Vence Hoje","Vencida")))</f>
        <v>Enviado</v>
      </c>
      <c r="F4939" s="3" t="str">
        <f ca="1">IF(G4939=1,"-",Tabela2[[#This Row],[Dt Venc:]]-TODAY())</f>
        <v>-</v>
      </c>
      <c r="G4939" s="3">
        <v>1</v>
      </c>
      <c r="H4939" s="3"/>
    </row>
    <row r="4940" spans="1:8" hidden="1">
      <c r="A4940" s="3">
        <v>40209</v>
      </c>
      <c r="B4940" s="7" t="s">
        <v>150</v>
      </c>
      <c r="C4940" s="41">
        <v>473.88</v>
      </c>
      <c r="D4940" s="6">
        <v>45680</v>
      </c>
      <c r="E4940" s="3" t="str">
        <f ca="1">IF(Tabela2[[#This Row],[Dt Venc:]]&gt;TODAY(),"Em Aberto",IF(Tabela2[[#This Row],[D/venc]]="-","Enviado",IF(Tabela2[[#This Row],[Dt Venc:]]=TODAY(),"Vence Hoje","Vencida")))</f>
        <v>Enviado</v>
      </c>
      <c r="F4940" s="3" t="str">
        <f ca="1">IF(G4940=1,"-",Tabela2[[#This Row],[Dt Venc:]]-TODAY())</f>
        <v>-</v>
      </c>
      <c r="G4940" s="3">
        <v>1</v>
      </c>
      <c r="H4940" s="3"/>
    </row>
    <row r="4941" spans="1:8" hidden="1">
      <c r="A4941" s="3">
        <v>622205</v>
      </c>
      <c r="B4941" s="7" t="s">
        <v>66</v>
      </c>
      <c r="C4941" s="41">
        <v>546.13</v>
      </c>
      <c r="D4941" s="6">
        <v>45680</v>
      </c>
      <c r="E4941" s="3" t="str">
        <f ca="1">IF(Tabela2[[#This Row],[Dt Venc:]]&gt;TODAY(),"Em Aberto",IF(Tabela2[[#This Row],[D/venc]]="-","Enviado",IF(Tabela2[[#This Row],[Dt Venc:]]=TODAY(),"Vence Hoje","Vencida")))</f>
        <v>Enviado</v>
      </c>
      <c r="F4941" s="3" t="str">
        <f ca="1">IF(G4941=1,"-",Tabela2[[#This Row],[Dt Venc:]]-TODAY())</f>
        <v>-</v>
      </c>
      <c r="G4941" s="3">
        <v>1</v>
      </c>
      <c r="H4941" s="3"/>
    </row>
    <row r="4942" spans="1:8" hidden="1">
      <c r="A4942" s="3">
        <v>271234</v>
      </c>
      <c r="B4942" s="7" t="s">
        <v>43</v>
      </c>
      <c r="C4942" s="41">
        <v>409.76</v>
      </c>
      <c r="D4942" s="6">
        <v>45680</v>
      </c>
      <c r="E4942" s="3" t="str">
        <f ca="1">IF(Tabela2[[#This Row],[Dt Venc:]]&gt;TODAY(),"Em Aberto",IF(Tabela2[[#This Row],[D/venc]]="-","Enviado",IF(Tabela2[[#This Row],[Dt Venc:]]=TODAY(),"Vence Hoje","Vencida")))</f>
        <v>Enviado</v>
      </c>
      <c r="F4942" s="3" t="str">
        <f ca="1">IF(G4942=1,"-",Tabela2[[#This Row],[Dt Venc:]]-TODAY())</f>
        <v>-</v>
      </c>
      <c r="G4942" s="3">
        <v>1</v>
      </c>
      <c r="H4942" s="3"/>
    </row>
    <row r="4943" spans="1:8" hidden="1">
      <c r="A4943" s="3">
        <v>178715</v>
      </c>
      <c r="B4943" s="7" t="s">
        <v>211</v>
      </c>
      <c r="C4943" s="41">
        <v>926.66</v>
      </c>
      <c r="D4943" s="6">
        <v>45680</v>
      </c>
      <c r="E4943" s="3" t="str">
        <f ca="1">IF(Tabela2[[#This Row],[Dt Venc:]]&gt;TODAY(),"Em Aberto",IF(Tabela2[[#This Row],[D/venc]]="-","Enviado",IF(Tabela2[[#This Row],[Dt Venc:]]=TODAY(),"Vence Hoje","Vencida")))</f>
        <v>Enviado</v>
      </c>
      <c r="F4943" s="3" t="str">
        <f ca="1">IF(G4943=1,"-",Tabela2[[#This Row],[Dt Venc:]]-TODAY())</f>
        <v>-</v>
      </c>
      <c r="G4943" s="3">
        <v>1</v>
      </c>
      <c r="H4943" s="3"/>
    </row>
    <row r="4944" spans="1:8" hidden="1">
      <c r="A4944" s="3">
        <v>137941</v>
      </c>
      <c r="B4944" s="7" t="s">
        <v>144</v>
      </c>
      <c r="C4944" s="41">
        <v>836.66</v>
      </c>
      <c r="D4944" s="6">
        <v>45680</v>
      </c>
      <c r="E4944" s="3" t="str">
        <f ca="1">IF(Tabela2[[#This Row],[Dt Venc:]]&gt;TODAY(),"Em Aberto",IF(Tabela2[[#This Row],[D/venc]]="-","Enviado",IF(Tabela2[[#This Row],[Dt Venc:]]=TODAY(),"Vence Hoje","Vencida")))</f>
        <v>Enviado</v>
      </c>
      <c r="F4944" s="3" t="str">
        <f ca="1">IF(G4944=1,"-",Tabela2[[#This Row],[Dt Venc:]]-TODAY())</f>
        <v>-</v>
      </c>
      <c r="G4944" s="3">
        <v>1</v>
      </c>
      <c r="H4944" s="3"/>
    </row>
    <row r="4945" spans="1:8" hidden="1">
      <c r="A4945" s="3">
        <v>15995</v>
      </c>
      <c r="B4945" s="7" t="s">
        <v>649</v>
      </c>
      <c r="C4945" s="41">
        <v>1163.33</v>
      </c>
      <c r="D4945" s="6">
        <v>45680</v>
      </c>
      <c r="E4945" s="3" t="str">
        <f ca="1">IF(Tabela2[[#This Row],[Dt Venc:]]&gt;TODAY(),"Em Aberto",IF(Tabela2[[#This Row],[D/venc]]="-","Enviado",IF(Tabela2[[#This Row],[Dt Venc:]]=TODAY(),"Vence Hoje","Vencida")))</f>
        <v>Enviado</v>
      </c>
      <c r="F4945" s="3" t="str">
        <f ca="1">IF(G4945=1,"-",Tabela2[[#This Row],[Dt Venc:]]-TODAY())</f>
        <v>-</v>
      </c>
      <c r="G4945" s="3">
        <v>1</v>
      </c>
      <c r="H4945" s="3"/>
    </row>
    <row r="4946" spans="1:8" hidden="1">
      <c r="A4946" s="3">
        <v>6512</v>
      </c>
      <c r="B4946" s="7" t="s">
        <v>650</v>
      </c>
      <c r="C4946" s="41">
        <v>5872.5</v>
      </c>
      <c r="D4946" s="6">
        <v>45680</v>
      </c>
      <c r="E4946" s="3" t="str">
        <f ca="1">IF(Tabela2[[#This Row],[Dt Venc:]]&gt;TODAY(),"Em Aberto",IF(Tabela2[[#This Row],[D/venc]]="-","Enviado",IF(Tabela2[[#This Row],[Dt Venc:]]=TODAY(),"Vence Hoje","Vencida")))</f>
        <v>Enviado</v>
      </c>
      <c r="F4946" s="3" t="str">
        <f ca="1">IF(G4946=1,"-",Tabela2[[#This Row],[Dt Venc:]]-TODAY())</f>
        <v>-</v>
      </c>
      <c r="G4946" s="3">
        <v>1</v>
      </c>
      <c r="H4946" s="3"/>
    </row>
    <row r="4947" spans="1:8" hidden="1">
      <c r="A4947" s="3">
        <v>1251</v>
      </c>
      <c r="B4947" s="7" t="s">
        <v>559</v>
      </c>
      <c r="C4947" s="41">
        <v>750</v>
      </c>
      <c r="D4947" s="6">
        <v>45680</v>
      </c>
      <c r="E4947" s="3" t="str">
        <f ca="1">IF(Tabela2[[#This Row],[Dt Venc:]]&gt;TODAY(),"Em Aberto",IF(Tabela2[[#This Row],[D/venc]]="-","Enviado",IF(Tabela2[[#This Row],[Dt Venc:]]=TODAY(),"Vence Hoje","Vencida")))</f>
        <v>Enviado</v>
      </c>
      <c r="F4947" s="3" t="str">
        <f ca="1">IF(G4947=1,"-",Tabela2[[#This Row],[Dt Venc:]]-TODAY())</f>
        <v>-</v>
      </c>
      <c r="G4947" s="3">
        <v>1</v>
      </c>
      <c r="H4947" s="3"/>
    </row>
    <row r="4948" spans="1:8" hidden="1">
      <c r="A4948" s="3">
        <v>11278</v>
      </c>
      <c r="B4948" s="7" t="s">
        <v>33</v>
      </c>
      <c r="C4948" s="41">
        <v>1905</v>
      </c>
      <c r="D4948" s="6">
        <v>45680</v>
      </c>
      <c r="E4948" s="3" t="str">
        <f ca="1">IF(Tabela2[[#This Row],[Dt Venc:]]&gt;TODAY(),"Em Aberto",IF(Tabela2[[#This Row],[D/venc]]="-","Enviado",IF(Tabela2[[#This Row],[Dt Venc:]]=TODAY(),"Vence Hoje","Vencida")))</f>
        <v>Enviado</v>
      </c>
      <c r="F4948" s="3" t="str">
        <f ca="1">IF(G4948=1,"-",Tabela2[[#This Row],[Dt Venc:]]-TODAY())</f>
        <v>-</v>
      </c>
      <c r="G4948" s="3">
        <v>1</v>
      </c>
      <c r="H4948" s="3"/>
    </row>
    <row r="4949" spans="1:8" hidden="1">
      <c r="A4949" s="3">
        <v>24403</v>
      </c>
      <c r="B4949" s="7" t="s">
        <v>651</v>
      </c>
      <c r="C4949" s="41">
        <v>360</v>
      </c>
      <c r="D4949" s="6">
        <v>45680</v>
      </c>
      <c r="E4949" s="3" t="str">
        <f ca="1">IF(Tabela2[[#This Row],[Dt Venc:]]&gt;TODAY(),"Em Aberto",IF(Tabela2[[#This Row],[D/venc]]="-","Enviado",IF(Tabela2[[#This Row],[Dt Venc:]]=TODAY(),"Vence Hoje","Vencida")))</f>
        <v>Enviado</v>
      </c>
      <c r="F4949" s="3" t="str">
        <f ca="1">IF(G4949=1,"-",Tabela2[[#This Row],[Dt Venc:]]-TODAY())</f>
        <v>-</v>
      </c>
      <c r="G4949" s="3">
        <v>1</v>
      </c>
      <c r="H4949" s="3"/>
    </row>
    <row r="4950" spans="1:8" hidden="1">
      <c r="A4950" s="3">
        <v>443157</v>
      </c>
      <c r="B4950" s="7" t="s">
        <v>601</v>
      </c>
      <c r="C4950" s="41">
        <v>2849</v>
      </c>
      <c r="D4950" s="6">
        <v>45680</v>
      </c>
      <c r="E4950" s="3" t="str">
        <f ca="1">IF(Tabela2[[#This Row],[Dt Venc:]]&gt;TODAY(),"Em Aberto",IF(Tabela2[[#This Row],[D/venc]]="-","Enviado",IF(Tabela2[[#This Row],[Dt Venc:]]=TODAY(),"Vence Hoje","Vencida")))</f>
        <v>Enviado</v>
      </c>
      <c r="F4950" s="3" t="str">
        <f ca="1">IF(G4950=1,"-",Tabela2[[#This Row],[Dt Venc:]]-TODAY())</f>
        <v>-</v>
      </c>
      <c r="G4950" s="3">
        <v>1</v>
      </c>
      <c r="H4950" s="3"/>
    </row>
    <row r="4951" spans="1:8" hidden="1">
      <c r="A4951" s="3">
        <v>395409</v>
      </c>
      <c r="B4951" s="7" t="s">
        <v>136</v>
      </c>
      <c r="C4951" s="41">
        <v>1870</v>
      </c>
      <c r="D4951" s="6">
        <v>45681</v>
      </c>
      <c r="E4951" s="3" t="str">
        <f ca="1">IF(Tabela2[[#This Row],[Dt Venc:]]&gt;TODAY(),"Em Aberto",IF(Tabela2[[#This Row],[D/venc]]="-","Enviado",IF(Tabela2[[#This Row],[Dt Venc:]]=TODAY(),"Vence Hoje","Vencida")))</f>
        <v>Enviado</v>
      </c>
      <c r="F4951" s="3" t="str">
        <f ca="1">IF(G4951=1,"-",Tabela2[[#This Row],[Dt Venc:]]-TODAY())</f>
        <v>-</v>
      </c>
      <c r="G4951" s="3">
        <v>1</v>
      </c>
      <c r="H4951" s="3"/>
    </row>
    <row r="4952" spans="1:8" hidden="1">
      <c r="A4952" s="3">
        <v>610668</v>
      </c>
      <c r="B4952" s="7" t="s">
        <v>66</v>
      </c>
      <c r="C4952" s="42">
        <v>2380.85</v>
      </c>
      <c r="D4952" s="6">
        <v>45681</v>
      </c>
      <c r="E4952" s="3" t="str">
        <f ca="1">IF(Tabela2[[#This Row],[Dt Venc:]]&gt;TODAY(),"Em Aberto",IF(Tabela2[[#This Row],[D/venc]]="-","Enviado",IF(Tabela2[[#This Row],[Dt Venc:]]=TODAY(),"Vence Hoje","Vencida")))</f>
        <v>Enviado</v>
      </c>
      <c r="F4952" s="3" t="str">
        <f ca="1">IF(G4952=1,"-",Tabela2[[#This Row],[Dt Venc:]]-TODAY())</f>
        <v>-</v>
      </c>
      <c r="G4952" s="3">
        <v>1</v>
      </c>
      <c r="H4952" s="3"/>
    </row>
    <row r="4953" spans="1:8" hidden="1">
      <c r="A4953" s="3">
        <v>248099</v>
      </c>
      <c r="B4953" s="7" t="s">
        <v>43</v>
      </c>
      <c r="C4953" s="41">
        <v>1369.24</v>
      </c>
      <c r="D4953" s="6">
        <v>45681</v>
      </c>
      <c r="E4953" s="3" t="str">
        <f ca="1">IF(Tabela2[[#This Row],[Dt Venc:]]&gt;TODAY(),"Em Aberto",IF(Tabela2[[#This Row],[D/venc]]="-","Enviado",IF(Tabela2[[#This Row],[Dt Venc:]]=TODAY(),"Vence Hoje","Vencida")))</f>
        <v>Enviado</v>
      </c>
      <c r="F4953" s="3" t="str">
        <f ca="1">IF(G4953=1,"-",Tabela2[[#This Row],[Dt Venc:]]-TODAY())</f>
        <v>-</v>
      </c>
      <c r="G4953" s="3">
        <v>1</v>
      </c>
      <c r="H4953" s="3"/>
    </row>
    <row r="4954" spans="1:8" hidden="1">
      <c r="A4954" s="3">
        <v>765146</v>
      </c>
      <c r="B4954" s="7" t="s">
        <v>79</v>
      </c>
      <c r="C4954" s="41">
        <v>6645.14</v>
      </c>
      <c r="D4954" s="6">
        <v>45681</v>
      </c>
      <c r="E4954" s="3" t="str">
        <f ca="1">IF(Tabela2[[#This Row],[Dt Venc:]]&gt;TODAY(),"Em Aberto",IF(Tabela2[[#This Row],[D/venc]]="-","Enviado",IF(Tabela2[[#This Row],[Dt Venc:]]=TODAY(),"Vence Hoje","Vencida")))</f>
        <v>Enviado</v>
      </c>
      <c r="F4954" s="3" t="str">
        <f ca="1">IF(G4954=1,"-",Tabela2[[#This Row],[Dt Venc:]]-TODAY())</f>
        <v>-</v>
      </c>
      <c r="G4954" s="3">
        <v>1</v>
      </c>
      <c r="H4954" s="3"/>
    </row>
    <row r="4955" spans="1:8" hidden="1">
      <c r="A4955" s="3">
        <v>15291</v>
      </c>
      <c r="B4955" s="7" t="s">
        <v>44</v>
      </c>
      <c r="C4955" s="41">
        <v>708.33</v>
      </c>
      <c r="D4955" s="6">
        <v>45681</v>
      </c>
      <c r="E4955" s="3" t="str">
        <f ca="1">IF(Tabela2[[#This Row],[Dt Venc:]]&gt;TODAY(),"Em Aberto",IF(Tabela2[[#This Row],[D/venc]]="-","Enviado",IF(Tabela2[[#This Row],[Dt Venc:]]=TODAY(),"Vence Hoje","Vencida")))</f>
        <v>Enviado</v>
      </c>
      <c r="F4955" s="3" t="str">
        <f ca="1">IF(G4955=1,"-",Tabela2[[#This Row],[Dt Venc:]]-TODAY())</f>
        <v>-</v>
      </c>
      <c r="G4955" s="3">
        <v>1</v>
      </c>
      <c r="H4955" s="3"/>
    </row>
    <row r="4956" spans="1:8" hidden="1">
      <c r="A4956" s="3">
        <v>19082</v>
      </c>
      <c r="B4956" s="7" t="s">
        <v>367</v>
      </c>
      <c r="C4956" s="42">
        <v>835</v>
      </c>
      <c r="D4956" s="6">
        <v>45681</v>
      </c>
      <c r="E4956" s="3" t="str">
        <f ca="1">IF(Tabela2[[#This Row],[Dt Venc:]]&gt;TODAY(),"Em Aberto",IF(Tabela2[[#This Row],[D/venc]]="-","Enviado",IF(Tabela2[[#This Row],[Dt Venc:]]=TODAY(),"Vence Hoje","Vencida")))</f>
        <v>Enviado</v>
      </c>
      <c r="F4956" s="3" t="str">
        <f ca="1">IF(G4956=1,"-",Tabela2[[#This Row],[Dt Venc:]]-TODAY())</f>
        <v>-</v>
      </c>
      <c r="G4956" s="3">
        <v>1</v>
      </c>
      <c r="H4956" s="3"/>
    </row>
    <row r="4957" spans="1:8" hidden="1">
      <c r="A4957" s="3">
        <v>114105</v>
      </c>
      <c r="B4957" s="7" t="s">
        <v>480</v>
      </c>
      <c r="C4957" s="41">
        <v>2206.46</v>
      </c>
      <c r="D4957" s="6">
        <v>45681</v>
      </c>
      <c r="E4957" s="3" t="str">
        <f ca="1">IF(Tabela2[[#This Row],[Dt Venc:]]&gt;TODAY(),"Em Aberto",IF(Tabela2[[#This Row],[D/venc]]="-","Enviado",IF(Tabela2[[#This Row],[Dt Venc:]]=TODAY(),"Vence Hoje","Vencida")))</f>
        <v>Enviado</v>
      </c>
      <c r="F4957" s="3" t="str">
        <f ca="1">IF(G4957=1,"-",Tabela2[[#This Row],[Dt Venc:]]-TODAY())</f>
        <v>-</v>
      </c>
      <c r="G4957" s="3">
        <v>1</v>
      </c>
      <c r="H4957" s="3"/>
    </row>
    <row r="4958" spans="1:8" hidden="1">
      <c r="A4958" s="3">
        <v>4166</v>
      </c>
      <c r="B4958" s="7" t="s">
        <v>479</v>
      </c>
      <c r="C4958" s="41">
        <v>1993.15</v>
      </c>
      <c r="D4958" s="6">
        <v>45681</v>
      </c>
      <c r="E4958" s="3" t="str">
        <f ca="1">IF(Tabela2[[#This Row],[Dt Venc:]]&gt;TODAY(),"Em Aberto",IF(Tabela2[[#This Row],[D/venc]]="-","Enviado",IF(Tabela2[[#This Row],[Dt Venc:]]=TODAY(),"Vence Hoje","Vencida")))</f>
        <v>Enviado</v>
      </c>
      <c r="F4958" s="3" t="str">
        <f ca="1">IF(G4958=1,"-",Tabela2[[#This Row],[Dt Venc:]]-TODAY())</f>
        <v>-</v>
      </c>
      <c r="G4958" s="3">
        <v>1</v>
      </c>
      <c r="H4958" s="3"/>
    </row>
    <row r="4959" spans="1:8" hidden="1">
      <c r="A4959" s="3">
        <v>174847</v>
      </c>
      <c r="B4959" s="7" t="s">
        <v>211</v>
      </c>
      <c r="C4959" s="41">
        <v>526.66</v>
      </c>
      <c r="D4959" s="6">
        <v>45681</v>
      </c>
      <c r="E4959" s="3" t="str">
        <f ca="1">IF(Tabela2[[#This Row],[Dt Venc:]]&gt;TODAY(),"Em Aberto",IF(Tabela2[[#This Row],[D/venc]]="-","Enviado",IF(Tabela2[[#This Row],[Dt Venc:]]=TODAY(),"Vence Hoje","Vencida")))</f>
        <v>Enviado</v>
      </c>
      <c r="F4959" s="3" t="str">
        <f ca="1">IF(G4959=1,"-",Tabela2[[#This Row],[Dt Venc:]]-TODAY())</f>
        <v>-</v>
      </c>
      <c r="G4959" s="3">
        <v>1</v>
      </c>
      <c r="H4959" s="3"/>
    </row>
    <row r="4960" spans="1:8" hidden="1">
      <c r="A4960" s="3">
        <v>89543</v>
      </c>
      <c r="B4960" s="7" t="s">
        <v>565</v>
      </c>
      <c r="C4960" s="41">
        <v>1516.67</v>
      </c>
      <c r="D4960" s="6">
        <v>45681</v>
      </c>
      <c r="E4960" s="3" t="str">
        <f ca="1">IF(Tabela2[[#This Row],[Dt Venc:]]&gt;TODAY(),"Em Aberto",IF(Tabela2[[#This Row],[D/venc]]="-","Enviado",IF(Tabela2[[#This Row],[Dt Venc:]]=TODAY(),"Vence Hoje","Vencida")))</f>
        <v>Enviado</v>
      </c>
      <c r="F4960" s="3" t="str">
        <f ca="1">IF(G4960=1,"-",Tabela2[[#This Row],[Dt Venc:]]-TODAY())</f>
        <v>-</v>
      </c>
      <c r="G4960" s="3">
        <v>1</v>
      </c>
      <c r="H4960" s="3"/>
    </row>
    <row r="4961" spans="1:8" hidden="1">
      <c r="A4961" s="3">
        <v>176666</v>
      </c>
      <c r="B4961" s="7" t="s">
        <v>211</v>
      </c>
      <c r="C4961" s="41">
        <v>900</v>
      </c>
      <c r="D4961" s="6">
        <v>45681</v>
      </c>
      <c r="E4961" s="3" t="str">
        <f ca="1">IF(Tabela2[[#This Row],[Dt Venc:]]&gt;TODAY(),"Em Aberto",IF(Tabela2[[#This Row],[D/venc]]="-","Enviado",IF(Tabela2[[#This Row],[Dt Venc:]]=TODAY(),"Vence Hoje","Vencida")))</f>
        <v>Enviado</v>
      </c>
      <c r="F4961" s="3" t="str">
        <f ca="1">IF(G4961=1,"-",Tabela2[[#This Row],[Dt Venc:]]-TODAY())</f>
        <v>-</v>
      </c>
      <c r="G4961" s="3">
        <v>1</v>
      </c>
      <c r="H4961" s="3"/>
    </row>
    <row r="4962" spans="1:8" hidden="1">
      <c r="A4962" s="3">
        <v>373352</v>
      </c>
      <c r="B4962" s="7" t="s">
        <v>39</v>
      </c>
      <c r="C4962" s="41">
        <v>2298.4899999999998</v>
      </c>
      <c r="D4962" s="6">
        <v>45681</v>
      </c>
      <c r="E4962" s="3" t="str">
        <f ca="1">IF(Tabela2[[#This Row],[Dt Venc:]]&gt;TODAY(),"Em Aberto",IF(Tabela2[[#This Row],[D/venc]]="-","Enviado",IF(Tabela2[[#This Row],[Dt Venc:]]=TODAY(),"Vence Hoje","Vencida")))</f>
        <v>Enviado</v>
      </c>
      <c r="F4962" s="3" t="str">
        <f ca="1">IF(G4962=1,"-",Tabela2[[#This Row],[Dt Venc:]]-TODAY())</f>
        <v>-</v>
      </c>
      <c r="G4962" s="3">
        <v>1</v>
      </c>
      <c r="H4962" s="3"/>
    </row>
    <row r="4963" spans="1:8" hidden="1">
      <c r="A4963" s="3">
        <v>6195</v>
      </c>
      <c r="B4963" s="7" t="s">
        <v>47</v>
      </c>
      <c r="C4963" s="41">
        <v>1177.8399999999999</v>
      </c>
      <c r="D4963" s="6">
        <v>45681</v>
      </c>
      <c r="E4963" s="3" t="str">
        <f ca="1">IF(Tabela2[[#This Row],[Dt Venc:]]&gt;TODAY(),"Em Aberto",IF(Tabela2[[#This Row],[D/venc]]="-","Enviado",IF(Tabela2[[#This Row],[Dt Venc:]]=TODAY(),"Vence Hoje","Vencida")))</f>
        <v>Enviado</v>
      </c>
      <c r="F4963" s="3" t="str">
        <f ca="1">IF(G4963=1,"-",Tabela2[[#This Row],[Dt Venc:]]-TODAY())</f>
        <v>-</v>
      </c>
      <c r="G4963" s="3">
        <v>1</v>
      </c>
      <c r="H4963" s="3"/>
    </row>
    <row r="4964" spans="1:8" hidden="1">
      <c r="A4964" s="3">
        <v>1309</v>
      </c>
      <c r="B4964" s="7" t="s">
        <v>474</v>
      </c>
      <c r="C4964" s="41">
        <v>760</v>
      </c>
      <c r="D4964" s="6">
        <v>45681</v>
      </c>
      <c r="E4964" s="3" t="str">
        <f ca="1">IF(Tabela2[[#This Row],[Dt Venc:]]&gt;TODAY(),"Em Aberto",IF(Tabela2[[#This Row],[D/venc]]="-","Enviado",IF(Tabela2[[#This Row],[Dt Venc:]]=TODAY(),"Vence Hoje","Vencida")))</f>
        <v>Enviado</v>
      </c>
      <c r="F4964" s="3" t="str">
        <f ca="1">IF(G4964=1,"-",Tabela2[[#This Row],[Dt Venc:]]-TODAY())</f>
        <v>-</v>
      </c>
      <c r="G4964" s="3">
        <v>1</v>
      </c>
      <c r="H4964" s="3"/>
    </row>
    <row r="4965" spans="1:8" hidden="1">
      <c r="A4965" s="3">
        <v>23857</v>
      </c>
      <c r="B4965" s="7" t="s">
        <v>38</v>
      </c>
      <c r="C4965" s="41">
        <v>366.67</v>
      </c>
      <c r="D4965" s="6">
        <v>45681</v>
      </c>
      <c r="E4965" s="3" t="str">
        <f ca="1">IF(Tabela2[[#This Row],[Dt Venc:]]&gt;TODAY(),"Em Aberto",IF(Tabela2[[#This Row],[D/venc]]="-","Enviado",IF(Tabela2[[#This Row],[Dt Venc:]]=TODAY(),"Vence Hoje","Vencida")))</f>
        <v>Enviado</v>
      </c>
      <c r="F4965" s="3" t="str">
        <f ca="1">IF(G4965=1,"-",Tabela2[[#This Row],[Dt Venc:]]-TODAY())</f>
        <v>-</v>
      </c>
      <c r="G4965" s="3">
        <v>1</v>
      </c>
      <c r="H4965" s="3"/>
    </row>
    <row r="4966" spans="1:8" hidden="1">
      <c r="A4966" s="3">
        <v>45738</v>
      </c>
      <c r="B4966" s="7" t="s">
        <v>527</v>
      </c>
      <c r="C4966" s="41">
        <v>473.72</v>
      </c>
      <c r="D4966" s="6">
        <v>45681</v>
      </c>
      <c r="E4966" s="3" t="str">
        <f ca="1">IF(Tabela2[[#This Row],[Dt Venc:]]&gt;TODAY(),"Em Aberto",IF(Tabela2[[#This Row],[D/venc]]="-","Enviado",IF(Tabela2[[#This Row],[Dt Venc:]]=TODAY(),"Vence Hoje","Vencida")))</f>
        <v>Enviado</v>
      </c>
      <c r="F4966" s="3" t="str">
        <f ca="1">IF(G4966=1,"-",Tabela2[[#This Row],[Dt Venc:]]-TODAY())</f>
        <v>-</v>
      </c>
      <c r="G4966" s="3">
        <v>1</v>
      </c>
      <c r="H4966" s="3"/>
    </row>
    <row r="4967" spans="1:8" hidden="1">
      <c r="A4967" s="3">
        <v>147289</v>
      </c>
      <c r="B4967" s="7" t="s">
        <v>127</v>
      </c>
      <c r="C4967" s="41">
        <v>802.67</v>
      </c>
      <c r="D4967" s="6">
        <v>45681</v>
      </c>
      <c r="E4967" s="3" t="str">
        <f ca="1">IF(Tabela2[[#This Row],[Dt Venc:]]&gt;TODAY(),"Em Aberto",IF(Tabela2[[#This Row],[D/venc]]="-","Enviado",IF(Tabela2[[#This Row],[Dt Venc:]]=TODAY(),"Vence Hoje","Vencida")))</f>
        <v>Enviado</v>
      </c>
      <c r="F4967" s="3" t="str">
        <f ca="1">IF(G4967=1,"-",Tabela2[[#This Row],[Dt Venc:]]-TODAY())</f>
        <v>-</v>
      </c>
      <c r="G4967" s="3">
        <v>1</v>
      </c>
      <c r="H4967" s="3"/>
    </row>
    <row r="4968" spans="1:8" hidden="1">
      <c r="A4968" s="3">
        <v>760968</v>
      </c>
      <c r="B4968" s="7" t="s">
        <v>127</v>
      </c>
      <c r="C4968" s="41">
        <v>342.56</v>
      </c>
      <c r="D4968" s="6">
        <v>45681</v>
      </c>
      <c r="E4968" s="3" t="str">
        <f ca="1">IF(Tabela2[[#This Row],[Dt Venc:]]&gt;TODAY(),"Em Aberto",IF(Tabela2[[#This Row],[D/venc]]="-","Enviado",IF(Tabela2[[#This Row],[Dt Venc:]]=TODAY(),"Vence Hoje","Vencida")))</f>
        <v>Enviado</v>
      </c>
      <c r="F4968" s="3" t="str">
        <f ca="1">IF(G4968=1,"-",Tabela2[[#This Row],[Dt Venc:]]-TODAY())</f>
        <v>-</v>
      </c>
      <c r="G4968" s="3">
        <v>1</v>
      </c>
      <c r="H4968" s="3"/>
    </row>
    <row r="4969" spans="1:8" hidden="1">
      <c r="A4969" s="3">
        <v>760970</v>
      </c>
      <c r="B4969" s="7" t="s">
        <v>127</v>
      </c>
      <c r="C4969" s="41">
        <v>342.56</v>
      </c>
      <c r="D4969" s="6">
        <v>45681</v>
      </c>
      <c r="E4969" s="3" t="str">
        <f ca="1">IF(Tabela2[[#This Row],[Dt Venc:]]&gt;TODAY(),"Em Aberto",IF(Tabela2[[#This Row],[D/venc]]="-","Enviado",IF(Tabela2[[#This Row],[Dt Venc:]]=TODAY(),"Vence Hoje","Vencida")))</f>
        <v>Enviado</v>
      </c>
      <c r="F4969" s="3" t="str">
        <f ca="1">IF(G4969=1,"-",Tabela2[[#This Row],[Dt Venc:]]-TODAY())</f>
        <v>-</v>
      </c>
      <c r="G4969" s="3">
        <v>1</v>
      </c>
      <c r="H4969" s="3"/>
    </row>
    <row r="4970" spans="1:8" hidden="1">
      <c r="A4970" s="3">
        <v>147291</v>
      </c>
      <c r="B4970" s="7" t="s">
        <v>127</v>
      </c>
      <c r="C4970" s="41">
        <v>802.67</v>
      </c>
      <c r="D4970" s="6">
        <v>45681</v>
      </c>
      <c r="E4970" s="3" t="str">
        <f ca="1">IF(Tabela2[[#This Row],[Dt Venc:]]&gt;TODAY(),"Em Aberto",IF(Tabela2[[#This Row],[D/venc]]="-","Enviado",IF(Tabela2[[#This Row],[Dt Venc:]]=TODAY(),"Vence Hoje","Vencida")))</f>
        <v>Enviado</v>
      </c>
      <c r="F4970" s="3" t="str">
        <f ca="1">IF(G4970=1,"-",Tabela2[[#This Row],[Dt Venc:]]-TODAY())</f>
        <v>-</v>
      </c>
      <c r="G4970" s="3">
        <v>1</v>
      </c>
      <c r="H4970" s="3"/>
    </row>
    <row r="4971" spans="1:8" hidden="1">
      <c r="A4971" s="3">
        <v>1622</v>
      </c>
      <c r="B4971" s="7" t="s">
        <v>566</v>
      </c>
      <c r="C4971" s="41">
        <v>1053.33</v>
      </c>
      <c r="D4971" s="6">
        <v>45681</v>
      </c>
      <c r="E4971" s="3" t="str">
        <f ca="1">IF(Tabela2[[#This Row],[Dt Venc:]]&gt;TODAY(),"Em Aberto",IF(Tabela2[[#This Row],[D/venc]]="-","Enviado",IF(Tabela2[[#This Row],[Dt Venc:]]=TODAY(),"Vence Hoje","Vencida")))</f>
        <v>Enviado</v>
      </c>
      <c r="F4971" s="3" t="str">
        <f ca="1">IF(G4971=1,"-",Tabela2[[#This Row],[Dt Venc:]]-TODAY())</f>
        <v>-</v>
      </c>
      <c r="G4971" s="3">
        <v>1</v>
      </c>
      <c r="H4971" s="3"/>
    </row>
    <row r="4972" spans="1:8" hidden="1">
      <c r="A4972" s="3">
        <v>2032</v>
      </c>
      <c r="B4972" s="7" t="s">
        <v>409</v>
      </c>
      <c r="C4972" s="41">
        <v>483.33</v>
      </c>
      <c r="D4972" s="6">
        <v>45681</v>
      </c>
      <c r="E4972" s="3" t="str">
        <f ca="1">IF(Tabela2[[#This Row],[Dt Venc:]]&gt;TODAY(),"Em Aberto",IF(Tabela2[[#This Row],[D/venc]]="-","Enviado",IF(Tabela2[[#This Row],[Dt Venc:]]=TODAY(),"Vence Hoje","Vencida")))</f>
        <v>Enviado</v>
      </c>
      <c r="F4972" s="3" t="str">
        <f ca="1">IF(G4972=1,"-",Tabela2[[#This Row],[Dt Venc:]]-TODAY())</f>
        <v>-</v>
      </c>
      <c r="G4972" s="3">
        <v>1</v>
      </c>
      <c r="H4972" s="3"/>
    </row>
    <row r="4973" spans="1:8" hidden="1">
      <c r="A4973" s="3">
        <v>4615903</v>
      </c>
      <c r="B4973" s="7" t="s">
        <v>90</v>
      </c>
      <c r="C4973" s="41">
        <v>1198.67</v>
      </c>
      <c r="D4973" s="6">
        <v>45681</v>
      </c>
      <c r="E4973" s="3" t="str">
        <f ca="1">IF(Tabela2[[#This Row],[Dt Venc:]]&gt;TODAY(),"Em Aberto",IF(Tabela2[[#This Row],[D/venc]]="-","Enviado",IF(Tabela2[[#This Row],[Dt Venc:]]=TODAY(),"Vence Hoje","Vencida")))</f>
        <v>Enviado</v>
      </c>
      <c r="F4973" s="3" t="str">
        <f ca="1">IF(G4973=1,"-",Tabela2[[#This Row],[Dt Venc:]]-TODAY())</f>
        <v>-</v>
      </c>
      <c r="G4973" s="3">
        <v>1</v>
      </c>
      <c r="H4973" s="3"/>
    </row>
    <row r="4974" spans="1:8" hidden="1">
      <c r="A4974" s="3">
        <v>378409</v>
      </c>
      <c r="B4974" s="7" t="s">
        <v>567</v>
      </c>
      <c r="C4974" s="41">
        <v>960.74</v>
      </c>
      <c r="D4974" s="6">
        <v>45681</v>
      </c>
      <c r="E4974" s="3" t="str">
        <f ca="1">IF(Tabela2[[#This Row],[Dt Venc:]]&gt;TODAY(),"Em Aberto",IF(Tabela2[[#This Row],[D/venc]]="-","Enviado",IF(Tabela2[[#This Row],[Dt Venc:]]=TODAY(),"Vence Hoje","Vencida")))</f>
        <v>Enviado</v>
      </c>
      <c r="F4974" s="3" t="str">
        <f ca="1">IF(G4974=1,"-",Tabela2[[#This Row],[Dt Venc:]]-TODAY())</f>
        <v>-</v>
      </c>
      <c r="G4974" s="3">
        <v>1</v>
      </c>
      <c r="H4974" s="3"/>
    </row>
    <row r="4975" spans="1:8" hidden="1">
      <c r="A4975" s="3">
        <v>11067</v>
      </c>
      <c r="B4975" s="7" t="s">
        <v>305</v>
      </c>
      <c r="C4975" s="41">
        <v>1660</v>
      </c>
      <c r="D4975" s="6">
        <v>45681</v>
      </c>
      <c r="E4975" s="3" t="str">
        <f ca="1">IF(Tabela2[[#This Row],[Dt Venc:]]&gt;TODAY(),"Em Aberto",IF(Tabela2[[#This Row],[D/venc]]="-","Enviado",IF(Tabela2[[#This Row],[Dt Venc:]]=TODAY(),"Vence Hoje","Vencida")))</f>
        <v>Enviado</v>
      </c>
      <c r="F4975" s="3" t="str">
        <f ca="1">IF(G4975=1,"-",Tabela2[[#This Row],[Dt Venc:]]-TODAY())</f>
        <v>-</v>
      </c>
      <c r="G4975" s="3">
        <v>1</v>
      </c>
      <c r="H4975" s="3"/>
    </row>
    <row r="4976" spans="1:8" hidden="1">
      <c r="A4976" s="3">
        <v>368056</v>
      </c>
      <c r="B4976" s="7" t="s">
        <v>333</v>
      </c>
      <c r="C4976" s="41">
        <v>925.3</v>
      </c>
      <c r="D4976" s="6">
        <v>45681</v>
      </c>
      <c r="E4976" s="3" t="str">
        <f ca="1">IF(Tabela2[[#This Row],[Dt Venc:]]&gt;TODAY(),"Em Aberto",IF(Tabela2[[#This Row],[D/venc]]="-","Enviado",IF(Tabela2[[#This Row],[Dt Venc:]]=TODAY(),"Vence Hoje","Vencida")))</f>
        <v>Enviado</v>
      </c>
      <c r="F4976" s="3" t="str">
        <f ca="1">IF(G4976=1,"-",Tabela2[[#This Row],[Dt Venc:]]-TODAY())</f>
        <v>-</v>
      </c>
      <c r="G4976" s="3">
        <v>1</v>
      </c>
      <c r="H4976" s="3"/>
    </row>
    <row r="4977" spans="1:11" hidden="1">
      <c r="A4977" s="3">
        <v>19895</v>
      </c>
      <c r="B4977" s="7" t="s">
        <v>41</v>
      </c>
      <c r="C4977" s="41">
        <v>466.66</v>
      </c>
      <c r="D4977" s="6">
        <v>45681</v>
      </c>
      <c r="E4977" s="3" t="str">
        <f ca="1">IF(Tabela2[[#This Row],[Dt Venc:]]&gt;TODAY(),"Em Aberto",IF(Tabela2[[#This Row],[D/venc]]="-","Enviado",IF(Tabela2[[#This Row],[Dt Venc:]]=TODAY(),"Vence Hoje","Vencida")))</f>
        <v>Enviado</v>
      </c>
      <c r="F4977" s="3" t="str">
        <f ca="1">IF(G4977=1,"-",Tabela2[[#This Row],[Dt Venc:]]-TODAY())</f>
        <v>-</v>
      </c>
      <c r="G4977" s="3">
        <v>1</v>
      </c>
      <c r="H4977" s="3"/>
    </row>
    <row r="4978" spans="1:11" hidden="1">
      <c r="A4978" s="3">
        <v>259010</v>
      </c>
      <c r="B4978" s="7" t="s">
        <v>49</v>
      </c>
      <c r="C4978" s="41">
        <v>1922.66</v>
      </c>
      <c r="D4978" s="6">
        <v>45681</v>
      </c>
      <c r="E4978" s="3" t="str">
        <f ca="1">IF(Tabela2[[#This Row],[Dt Venc:]]&gt;TODAY(),"Em Aberto",IF(Tabela2[[#This Row],[D/venc]]="-","Enviado",IF(Tabela2[[#This Row],[Dt Venc:]]=TODAY(),"Vence Hoje","Vencida")))</f>
        <v>Enviado</v>
      </c>
      <c r="F4978" s="3" t="str">
        <f ca="1">IF(G4978=1,"-",Tabela2[[#This Row],[Dt Venc:]]-TODAY())</f>
        <v>-</v>
      </c>
      <c r="G4978" s="3">
        <v>1</v>
      </c>
      <c r="H4978" s="3"/>
      <c r="K4978" s="94"/>
    </row>
    <row r="4979" spans="1:11" hidden="1">
      <c r="A4979" s="3">
        <v>305700</v>
      </c>
      <c r="B4979" s="7" t="s">
        <v>506</v>
      </c>
      <c r="C4979" s="41">
        <v>3072.34</v>
      </c>
      <c r="D4979" s="6">
        <v>45681</v>
      </c>
      <c r="E4979" s="3" t="str">
        <f ca="1">IF(Tabela2[[#This Row],[Dt Venc:]]&gt;TODAY(),"Em Aberto",IF(Tabela2[[#This Row],[D/venc]]="-","Enviado",IF(Tabela2[[#This Row],[Dt Venc:]]=TODAY(),"Vence Hoje","Vencida")))</f>
        <v>Enviado</v>
      </c>
      <c r="F4979" s="3" t="str">
        <f ca="1">IF(G4979=1,"-",Tabela2[[#This Row],[Dt Venc:]]-TODAY())</f>
        <v>-</v>
      </c>
      <c r="G4979" s="3">
        <v>1</v>
      </c>
      <c r="H4979" s="3"/>
    </row>
    <row r="4980" spans="1:11" hidden="1">
      <c r="A4980" s="3">
        <v>10172</v>
      </c>
      <c r="B4980" s="7" t="s">
        <v>105</v>
      </c>
      <c r="C4980" s="41">
        <v>1488</v>
      </c>
      <c r="D4980" s="6">
        <v>45681</v>
      </c>
      <c r="E4980" s="3" t="str">
        <f ca="1">IF(Tabela2[[#This Row],[Dt Venc:]]&gt;TODAY(),"Em Aberto",IF(Tabela2[[#This Row],[D/venc]]="-","Enviado",IF(Tabela2[[#This Row],[Dt Venc:]]=TODAY(),"Vence Hoje","Vencida")))</f>
        <v>Enviado</v>
      </c>
      <c r="F4980" s="3" t="str">
        <f ca="1">IF(G4980=1,"-",Tabela2[[#This Row],[Dt Venc:]]-TODAY())</f>
        <v>-</v>
      </c>
      <c r="G4980" s="3">
        <v>1</v>
      </c>
      <c r="H4980" s="3"/>
    </row>
    <row r="4981" spans="1:11" hidden="1">
      <c r="A4981" s="3">
        <v>15387</v>
      </c>
      <c r="B4981" s="7" t="s">
        <v>652</v>
      </c>
      <c r="C4981" s="41">
        <v>280.93</v>
      </c>
      <c r="D4981" s="6">
        <v>45681</v>
      </c>
      <c r="E4981" s="3" t="str">
        <f ca="1">IF(Tabela2[[#This Row],[Dt Venc:]]&gt;TODAY(),"Em Aberto",IF(Tabela2[[#This Row],[D/venc]]="-","Enviado",IF(Tabela2[[#This Row],[Dt Venc:]]=TODAY(),"Vence Hoje","Vencida")))</f>
        <v>Enviado</v>
      </c>
      <c r="F4981" s="3" t="str">
        <f ca="1">IF(G4981=1,"-",Tabela2[[#This Row],[Dt Venc:]]-TODAY())</f>
        <v>-</v>
      </c>
      <c r="G4981" s="3">
        <v>1</v>
      </c>
      <c r="H4981" s="3"/>
    </row>
    <row r="4982" spans="1:11" hidden="1">
      <c r="A4982" s="3">
        <v>20516</v>
      </c>
      <c r="B4982" s="7" t="s">
        <v>233</v>
      </c>
      <c r="C4982" s="41">
        <v>780</v>
      </c>
      <c r="D4982" s="6">
        <v>45681</v>
      </c>
      <c r="E4982" s="3" t="str">
        <f ca="1">IF(Tabela2[[#This Row],[Dt Venc:]]&gt;TODAY(),"Em Aberto",IF(Tabela2[[#This Row],[D/venc]]="-","Enviado",IF(Tabela2[[#This Row],[Dt Venc:]]=TODAY(),"Vence Hoje","Vencida")))</f>
        <v>Enviado</v>
      </c>
      <c r="F4982" s="3" t="str">
        <f ca="1">IF(G4982=1,"-",Tabela2[[#This Row],[Dt Venc:]]-TODAY())</f>
        <v>-</v>
      </c>
      <c r="G4982" s="3">
        <v>1</v>
      </c>
      <c r="H4982" s="3"/>
    </row>
    <row r="4983" spans="1:11" hidden="1">
      <c r="A4983" s="3">
        <v>63899</v>
      </c>
      <c r="B4983" s="7" t="s">
        <v>465</v>
      </c>
      <c r="C4983" s="41">
        <v>2196.81</v>
      </c>
      <c r="D4983" s="6">
        <v>45681</v>
      </c>
      <c r="E4983" s="3" t="str">
        <f ca="1">IF(Tabela2[[#This Row],[Dt Venc:]]&gt;TODAY(),"Em Aberto",IF(Tabela2[[#This Row],[D/venc]]="-","Enviado",IF(Tabela2[[#This Row],[Dt Venc:]]=TODAY(),"Vence Hoje","Vencida")))</f>
        <v>Enviado</v>
      </c>
      <c r="F4983" s="3" t="str">
        <f ca="1">IF(G4983=1,"-",Tabela2[[#This Row],[Dt Venc:]]-TODAY())</f>
        <v>-</v>
      </c>
      <c r="G4983" s="3">
        <v>1</v>
      </c>
      <c r="H4983" s="3"/>
    </row>
    <row r="4984" spans="1:11" hidden="1">
      <c r="A4984" s="3">
        <v>351156</v>
      </c>
      <c r="B4984" s="7" t="s">
        <v>346</v>
      </c>
      <c r="C4984" s="41">
        <v>12718.88</v>
      </c>
      <c r="D4984" s="6">
        <v>45681</v>
      </c>
      <c r="E4984" s="3" t="str">
        <f ca="1">IF(Tabela2[[#This Row],[Dt Venc:]]&gt;TODAY(),"Em Aberto",IF(Tabela2[[#This Row],[D/venc]]="-","Enviado",IF(Tabela2[[#This Row],[Dt Venc:]]=TODAY(),"Vence Hoje","Vencida")))</f>
        <v>Enviado</v>
      </c>
      <c r="F4984" s="3" t="str">
        <f ca="1">IF(G4984=1,"-",Tabela2[[#This Row],[Dt Venc:]]-TODAY())</f>
        <v>-</v>
      </c>
      <c r="G4984" s="3">
        <v>1</v>
      </c>
      <c r="H4984" s="3"/>
    </row>
    <row r="4985" spans="1:11" hidden="1">
      <c r="A4985" s="3">
        <v>69</v>
      </c>
      <c r="B4985" s="7" t="s">
        <v>631</v>
      </c>
      <c r="C4985" s="41">
        <v>625</v>
      </c>
      <c r="D4985" s="6">
        <v>45681</v>
      </c>
      <c r="E4985" s="3" t="str">
        <f ca="1">IF(Tabela2[[#This Row],[Dt Venc:]]&gt;TODAY(),"Em Aberto",IF(Tabela2[[#This Row],[D/venc]]="-","Enviado",IF(Tabela2[[#This Row],[Dt Venc:]]=TODAY(),"Vence Hoje","Vencida")))</f>
        <v>Enviado</v>
      </c>
      <c r="F4985" s="3" t="str">
        <f ca="1">IF(G4985=1,"-",Tabela2[[#This Row],[Dt Venc:]]-TODAY())</f>
        <v>-</v>
      </c>
      <c r="G4985" s="3">
        <v>1</v>
      </c>
      <c r="H4985" s="3"/>
    </row>
    <row r="4986" spans="1:11" hidden="1">
      <c r="A4986" s="3">
        <v>2010673</v>
      </c>
      <c r="B4986" s="7" t="s">
        <v>59</v>
      </c>
      <c r="C4986" s="41">
        <v>109474</v>
      </c>
      <c r="D4986" s="6">
        <v>45681</v>
      </c>
      <c r="E4986" s="3" t="str">
        <f ca="1">IF(Tabela2[[#This Row],[Dt Venc:]]&gt;TODAY(),"Em Aberto",IF(Tabela2[[#This Row],[D/venc]]="-","Enviado",IF(Tabela2[[#This Row],[Dt Venc:]]=TODAY(),"Vence Hoje","Vencida")))</f>
        <v>Enviado</v>
      </c>
      <c r="F4986" s="3" t="str">
        <f ca="1">IF(G4986=1,"-",Tabela2[[#This Row],[Dt Venc:]]-TODAY())</f>
        <v>-</v>
      </c>
      <c r="G4986" s="3">
        <v>1</v>
      </c>
      <c r="H4986" s="3"/>
    </row>
    <row r="4987" spans="1:11" hidden="1">
      <c r="A4987" s="3">
        <v>2287288</v>
      </c>
      <c r="B4987" s="7" t="s">
        <v>59</v>
      </c>
      <c r="C4987" s="41">
        <v>55364</v>
      </c>
      <c r="D4987" s="6">
        <v>45681</v>
      </c>
      <c r="E4987" s="3" t="str">
        <f ca="1">IF(Tabela2[[#This Row],[Dt Venc:]]&gt;TODAY(),"Em Aberto",IF(Tabela2[[#This Row],[D/venc]]="-","Enviado",IF(Tabela2[[#This Row],[Dt Venc:]]=TODAY(),"Vence Hoje","Vencida")))</f>
        <v>Enviado</v>
      </c>
      <c r="F4987" s="3" t="str">
        <f ca="1">IF(G4987=1,"-",Tabela2[[#This Row],[Dt Venc:]]-TODAY())</f>
        <v>-</v>
      </c>
      <c r="G4987" s="3">
        <v>1</v>
      </c>
      <c r="H4987" s="3"/>
    </row>
    <row r="4988" spans="1:11" hidden="1">
      <c r="A4988" s="3">
        <v>2514883</v>
      </c>
      <c r="B4988" s="7" t="s">
        <v>59</v>
      </c>
      <c r="C4988" s="41">
        <v>135605</v>
      </c>
      <c r="D4988" s="6">
        <v>45681</v>
      </c>
      <c r="E4988" s="3" t="str">
        <f ca="1">IF(Tabela2[[#This Row],[Dt Venc:]]&gt;TODAY(),"Em Aberto",IF(Tabela2[[#This Row],[D/venc]]="-","Enviado",IF(Tabela2[[#This Row],[Dt Venc:]]=TODAY(),"Vence Hoje","Vencida")))</f>
        <v>Enviado</v>
      </c>
      <c r="F4988" s="3" t="str">
        <f ca="1">IF(G4988=1,"-",Tabela2[[#This Row],[Dt Venc:]]-TODAY())</f>
        <v>-</v>
      </c>
      <c r="G4988" s="3">
        <v>1</v>
      </c>
      <c r="H4988" s="3"/>
    </row>
    <row r="4989" spans="1:11" hidden="1">
      <c r="A4989" s="3">
        <v>6171</v>
      </c>
      <c r="B4989" s="7" t="s">
        <v>47</v>
      </c>
      <c r="C4989" s="41">
        <v>1758.06</v>
      </c>
      <c r="D4989" s="6">
        <v>45681</v>
      </c>
      <c r="E4989" s="3" t="str">
        <f ca="1">IF(Tabela2[[#This Row],[Dt Venc:]]&gt;TODAY(),"Em Aberto",IF(Tabela2[[#This Row],[D/venc]]="-","Enviado",IF(Tabela2[[#This Row],[Dt Venc:]]=TODAY(),"Vence Hoje","Vencida")))</f>
        <v>Enviado</v>
      </c>
      <c r="F4989" s="3" t="str">
        <f ca="1">IF(G4989=1,"-",Tabela2[[#This Row],[Dt Venc:]]-TODAY())</f>
        <v>-</v>
      </c>
      <c r="G4989" s="3">
        <v>1</v>
      </c>
      <c r="H4989" s="3"/>
    </row>
    <row r="4990" spans="1:11" hidden="1">
      <c r="A4990" s="3">
        <v>5943</v>
      </c>
      <c r="B4990" s="7" t="s">
        <v>47</v>
      </c>
      <c r="C4990" s="41">
        <v>1873.68</v>
      </c>
      <c r="D4990" s="6">
        <v>45681</v>
      </c>
      <c r="E4990" s="3" t="str">
        <f ca="1">IF(Tabela2[[#This Row],[Dt Venc:]]&gt;TODAY(),"Em Aberto",IF(Tabela2[[#This Row],[D/venc]]="-","Enviado",IF(Tabela2[[#This Row],[Dt Venc:]]=TODAY(),"Vence Hoje","Vencida")))</f>
        <v>Enviado</v>
      </c>
      <c r="F4990" s="3" t="str">
        <f ca="1">IF(G4990=1,"-",Tabela2[[#This Row],[Dt Venc:]]-TODAY())</f>
        <v>-</v>
      </c>
      <c r="G4990" s="3">
        <v>1</v>
      </c>
      <c r="H4990" s="3"/>
    </row>
    <row r="4991" spans="1:11" hidden="1">
      <c r="A4991" s="3">
        <v>6218</v>
      </c>
      <c r="B4991" s="7" t="s">
        <v>47</v>
      </c>
      <c r="C4991" s="41">
        <v>1759</v>
      </c>
      <c r="D4991" s="6">
        <v>45681</v>
      </c>
      <c r="E4991" s="3" t="str">
        <f ca="1">IF(Tabela2[[#This Row],[Dt Venc:]]&gt;TODAY(),"Em Aberto",IF(Tabela2[[#This Row],[D/venc]]="-","Enviado",IF(Tabela2[[#This Row],[Dt Venc:]]=TODAY(),"Vence Hoje","Vencida")))</f>
        <v>Enviado</v>
      </c>
      <c r="F4991" s="3" t="str">
        <f ca="1">IF(G4991=1,"-",Tabela2[[#This Row],[Dt Venc:]]-TODAY())</f>
        <v>-</v>
      </c>
      <c r="G4991" s="3">
        <v>1</v>
      </c>
      <c r="H4991" s="3"/>
    </row>
    <row r="4992" spans="1:11" hidden="1">
      <c r="A4992" s="3">
        <v>141200</v>
      </c>
      <c r="B4992" s="7" t="s">
        <v>506</v>
      </c>
      <c r="C4992" s="41">
        <v>1635.71</v>
      </c>
      <c r="D4992" s="6">
        <v>45681</v>
      </c>
      <c r="E4992" s="3" t="str">
        <f ca="1">IF(Tabela2[[#This Row],[Dt Venc:]]&gt;TODAY(),"Em Aberto",IF(Tabela2[[#This Row],[D/venc]]="-","Enviado",IF(Tabela2[[#This Row],[Dt Venc:]]=TODAY(),"Vence Hoje","Vencida")))</f>
        <v>Enviado</v>
      </c>
      <c r="F4992" s="3" t="str">
        <f ca="1">IF(G4992=1,"-",Tabela2[[#This Row],[Dt Venc:]]-TODAY())</f>
        <v>-</v>
      </c>
      <c r="G4992" s="3">
        <v>1</v>
      </c>
      <c r="H4992" s="3"/>
    </row>
    <row r="4993" spans="1:8" hidden="1">
      <c r="A4993" s="3">
        <v>30421</v>
      </c>
      <c r="B4993" s="7" t="s">
        <v>18</v>
      </c>
      <c r="C4993" s="41">
        <v>975</v>
      </c>
      <c r="D4993" s="6">
        <v>45682</v>
      </c>
      <c r="E4993" s="3" t="str">
        <f ca="1">IF(Tabela2[[#This Row],[Dt Venc:]]&gt;TODAY(),"Em Aberto",IF(Tabela2[[#This Row],[D/venc]]="-","Enviado",IF(Tabela2[[#This Row],[Dt Venc:]]=TODAY(),"Vence Hoje","Vencida")))</f>
        <v>Enviado</v>
      </c>
      <c r="F4993" s="3" t="str">
        <f ca="1">IF(G4993=1,"-",Tabela2[[#This Row],[Dt Venc:]]-TODAY())</f>
        <v>-</v>
      </c>
      <c r="G4993" s="3">
        <v>1</v>
      </c>
      <c r="H4993" s="3"/>
    </row>
    <row r="4994" spans="1:8" hidden="1">
      <c r="A4994" s="3">
        <v>11163</v>
      </c>
      <c r="B4994" s="7" t="s">
        <v>33</v>
      </c>
      <c r="C4994" s="41">
        <v>800</v>
      </c>
      <c r="D4994" s="6">
        <v>45682</v>
      </c>
      <c r="E4994" s="3" t="str">
        <f ca="1">IF(Tabela2[[#This Row],[Dt Venc:]]&gt;TODAY(),"Em Aberto",IF(Tabela2[[#This Row],[D/venc]]="-","Enviado",IF(Tabela2[[#This Row],[Dt Venc:]]=TODAY(),"Vence Hoje","Vencida")))</f>
        <v>Enviado</v>
      </c>
      <c r="F4994" s="3" t="str">
        <f ca="1">IF(G4994=1,"-",Tabela2[[#This Row],[Dt Venc:]]-TODAY())</f>
        <v>-</v>
      </c>
      <c r="G4994" s="3">
        <v>1</v>
      </c>
      <c r="H4994" s="3"/>
    </row>
    <row r="4995" spans="1:8" hidden="1">
      <c r="A4995" s="3">
        <v>495914</v>
      </c>
      <c r="B4995" s="7" t="s">
        <v>153</v>
      </c>
      <c r="C4995" s="83" t="s">
        <v>32</v>
      </c>
      <c r="D4995" s="6">
        <v>45682</v>
      </c>
      <c r="E4995" s="3" t="str">
        <f ca="1">IF(Tabela2[[#This Row],[Dt Venc:]]&gt;TODAY(),"Em Aberto",IF(Tabela2[[#This Row],[D/venc]]="-","Enviado",IF(Tabela2[[#This Row],[Dt Venc:]]=TODAY(),"Vence Hoje","Vencida")))</f>
        <v>Enviado</v>
      </c>
      <c r="F4995" s="3" t="str">
        <f ca="1">IF(G4995=1,"-",Tabela2[[#This Row],[Dt Venc:]]-TODAY())</f>
        <v>-</v>
      </c>
      <c r="G4995" s="3">
        <v>1</v>
      </c>
      <c r="H4995" s="3"/>
    </row>
    <row r="4996" spans="1:8" hidden="1">
      <c r="A4996" s="3" t="s">
        <v>110</v>
      </c>
      <c r="B4996" s="7" t="s">
        <v>470</v>
      </c>
      <c r="C4996" s="42" t="s">
        <v>32</v>
      </c>
      <c r="D4996" s="6">
        <v>45682</v>
      </c>
      <c r="E4996" s="3" t="str">
        <f ca="1">IF(Tabela2[[#This Row],[Dt Venc:]]&gt;TODAY(),"Em Aberto",IF(Tabela2[[#This Row],[D/venc]]="-","Enviado",IF(Tabela2[[#This Row],[Dt Venc:]]=TODAY(),"Vence Hoje","Vencida")))</f>
        <v>Enviado</v>
      </c>
      <c r="F4996" s="3" t="str">
        <f ca="1">IF(G4996=1,"-",Tabela2[[#This Row],[Dt Venc:]]-TODAY())</f>
        <v>-</v>
      </c>
      <c r="G4996" s="3">
        <v>1</v>
      </c>
      <c r="H4996" s="3"/>
    </row>
    <row r="4997" spans="1:8" hidden="1">
      <c r="A4997" s="3" t="s">
        <v>110</v>
      </c>
      <c r="B4997" s="7" t="s">
        <v>353</v>
      </c>
      <c r="C4997" s="42" t="s">
        <v>32</v>
      </c>
      <c r="D4997" s="6">
        <v>45682</v>
      </c>
      <c r="E4997" s="3" t="str">
        <f ca="1">IF(Tabela2[[#This Row],[Dt Venc:]]&gt;TODAY(),"Em Aberto",IF(Tabela2[[#This Row],[D/venc]]="-","Enviado",IF(Tabela2[[#This Row],[Dt Venc:]]=TODAY(),"Vence Hoje","Vencida")))</f>
        <v>Enviado</v>
      </c>
      <c r="F4997" s="3" t="str">
        <f ca="1">IF(G4997=1,"-",Tabela2[[#This Row],[Dt Venc:]]-TODAY())</f>
        <v>-</v>
      </c>
      <c r="G4997" s="3">
        <v>1</v>
      </c>
      <c r="H4997" s="3"/>
    </row>
    <row r="4998" spans="1:8" hidden="1">
      <c r="A4998" s="3">
        <v>60963</v>
      </c>
      <c r="B4998" s="7" t="s">
        <v>435</v>
      </c>
      <c r="C4998" s="41">
        <v>731.1</v>
      </c>
      <c r="D4998" s="6">
        <v>45682</v>
      </c>
      <c r="E4998" s="3" t="str">
        <f ca="1">IF(Tabela2[[#This Row],[Dt Venc:]]&gt;TODAY(),"Em Aberto",IF(Tabela2[[#This Row],[D/venc]]="-","Enviado",IF(Tabela2[[#This Row],[Dt Venc:]]=TODAY(),"Vence Hoje","Vencida")))</f>
        <v>Enviado</v>
      </c>
      <c r="F4998" s="3" t="str">
        <f ca="1">IF(G4998=1,"-",Tabela2[[#This Row],[Dt Venc:]]-TODAY())</f>
        <v>-</v>
      </c>
      <c r="G4998" s="3">
        <v>1</v>
      </c>
      <c r="H4998" s="3"/>
    </row>
    <row r="4999" spans="1:8" hidden="1">
      <c r="A4999" s="3">
        <v>154716</v>
      </c>
      <c r="B4999" s="7" t="s">
        <v>77</v>
      </c>
      <c r="C4999" s="41">
        <v>1233.33</v>
      </c>
      <c r="D4999" s="6">
        <v>45682</v>
      </c>
      <c r="E4999" s="3" t="str">
        <f ca="1">IF(Tabela2[[#This Row],[Dt Venc:]]&gt;TODAY(),"Em Aberto",IF(Tabela2[[#This Row],[D/venc]]="-","Enviado",IF(Tabela2[[#This Row],[Dt Venc:]]=TODAY(),"Vence Hoje","Vencida")))</f>
        <v>Enviado</v>
      </c>
      <c r="F4999" s="3" t="str">
        <f ca="1">IF(G4999=1,"-",Tabela2[[#This Row],[Dt Venc:]]-TODAY())</f>
        <v>-</v>
      </c>
      <c r="G4999" s="3">
        <v>1</v>
      </c>
      <c r="H4999" s="3"/>
    </row>
    <row r="5000" spans="1:8" hidden="1">
      <c r="A5000" s="3">
        <v>329375</v>
      </c>
      <c r="B5000" s="7" t="s">
        <v>77</v>
      </c>
      <c r="C5000" s="41">
        <v>438.33</v>
      </c>
      <c r="D5000" s="6">
        <v>45682</v>
      </c>
      <c r="E5000" s="3" t="str">
        <f ca="1">IF(Tabela2[[#This Row],[Dt Venc:]]&gt;TODAY(),"Em Aberto",IF(Tabela2[[#This Row],[D/venc]]="-","Enviado",IF(Tabela2[[#This Row],[Dt Venc:]]=TODAY(),"Vence Hoje","Vencida")))</f>
        <v>Enviado</v>
      </c>
      <c r="F5000" s="3" t="str">
        <f ca="1">IF(G5000=1,"-",Tabela2[[#This Row],[Dt Venc:]]-TODAY())</f>
        <v>-</v>
      </c>
      <c r="G5000" s="3">
        <v>1</v>
      </c>
      <c r="H5000" s="3"/>
    </row>
    <row r="5001" spans="1:8" hidden="1">
      <c r="A5001" s="3">
        <v>154743</v>
      </c>
      <c r="B5001" s="7" t="s">
        <v>77</v>
      </c>
      <c r="C5001" s="41">
        <v>1233.33</v>
      </c>
      <c r="D5001" s="6">
        <v>45682</v>
      </c>
      <c r="E5001" s="3" t="str">
        <f ca="1">IF(Tabela2[[#This Row],[Dt Venc:]]&gt;TODAY(),"Em Aberto",IF(Tabela2[[#This Row],[D/venc]]="-","Enviado",IF(Tabela2[[#This Row],[Dt Venc:]]=TODAY(),"Vence Hoje","Vencida")))</f>
        <v>Enviado</v>
      </c>
      <c r="F5001" s="3" t="str">
        <f ca="1">IF(G5001=1,"-",Tabela2[[#This Row],[Dt Venc:]]-TODAY())</f>
        <v>-</v>
      </c>
      <c r="G5001" s="3">
        <v>1</v>
      </c>
      <c r="H5001" s="3"/>
    </row>
    <row r="5002" spans="1:8" hidden="1">
      <c r="A5002" s="3">
        <v>329424</v>
      </c>
      <c r="B5002" s="7" t="s">
        <v>77</v>
      </c>
      <c r="C5002" s="41">
        <v>438.33</v>
      </c>
      <c r="D5002" s="6">
        <v>45682</v>
      </c>
      <c r="E5002" s="3" t="str">
        <f ca="1">IF(Tabela2[[#This Row],[Dt Venc:]]&gt;TODAY(),"Em Aberto",IF(Tabela2[[#This Row],[D/venc]]="-","Enviado",IF(Tabela2[[#This Row],[Dt Venc:]]=TODAY(),"Vence Hoje","Vencida")))</f>
        <v>Enviado</v>
      </c>
      <c r="F5002" s="3" t="str">
        <f ca="1">IF(G5002=1,"-",Tabela2[[#This Row],[Dt Venc:]]-TODAY())</f>
        <v>-</v>
      </c>
      <c r="G5002" s="3">
        <v>1</v>
      </c>
      <c r="H5002" s="3"/>
    </row>
    <row r="5003" spans="1:8" hidden="1">
      <c r="A5003" s="3">
        <v>267324</v>
      </c>
      <c r="B5003" s="7" t="s">
        <v>189</v>
      </c>
      <c r="C5003" s="41">
        <v>246.67</v>
      </c>
      <c r="D5003" s="6">
        <v>45682</v>
      </c>
      <c r="E5003" s="3" t="str">
        <f ca="1">IF(Tabela2[[#This Row],[Dt Venc:]]&gt;TODAY(),"Em Aberto",IF(Tabela2[[#This Row],[D/venc]]="-","Enviado",IF(Tabela2[[#This Row],[Dt Venc:]]=TODAY(),"Vence Hoje","Vencida")))</f>
        <v>Enviado</v>
      </c>
      <c r="F5003" s="3" t="str">
        <f ca="1">IF(G5003=1,"-",Tabela2[[#This Row],[Dt Venc:]]-TODAY())</f>
        <v>-</v>
      </c>
      <c r="G5003" s="3">
        <v>1</v>
      </c>
      <c r="H5003" s="3"/>
    </row>
    <row r="5004" spans="1:8" hidden="1">
      <c r="A5004" s="3">
        <v>130439</v>
      </c>
      <c r="B5004" s="7" t="s">
        <v>157</v>
      </c>
      <c r="C5004" s="41">
        <v>1007.69</v>
      </c>
      <c r="D5004" s="6">
        <v>45682</v>
      </c>
      <c r="E5004" s="3" t="str">
        <f ca="1">IF(Tabela2[[#This Row],[Dt Venc:]]&gt;TODAY(),"Em Aberto",IF(Tabela2[[#This Row],[D/venc]]="-","Enviado",IF(Tabela2[[#This Row],[Dt Venc:]]=TODAY(),"Vence Hoje","Vencida")))</f>
        <v>Enviado</v>
      </c>
      <c r="F5004" s="3" t="str">
        <f ca="1">IF(G5004=1,"-",Tabela2[[#This Row],[Dt Venc:]]-TODAY())</f>
        <v>-</v>
      </c>
      <c r="G5004" s="3">
        <v>1</v>
      </c>
      <c r="H5004" s="3"/>
    </row>
    <row r="5005" spans="1:8" hidden="1">
      <c r="A5005" s="3">
        <v>72476</v>
      </c>
      <c r="B5005" s="7" t="s">
        <v>573</v>
      </c>
      <c r="C5005" s="41">
        <v>539</v>
      </c>
      <c r="D5005" s="6">
        <v>45682</v>
      </c>
      <c r="E5005" s="3" t="str">
        <f ca="1">IF(Tabela2[[#This Row],[Dt Venc:]]&gt;TODAY(),"Em Aberto",IF(Tabela2[[#This Row],[D/venc]]="-","Enviado",IF(Tabela2[[#This Row],[Dt Venc:]]=TODAY(),"Vence Hoje","Vencida")))</f>
        <v>Enviado</v>
      </c>
      <c r="F5005" s="3" t="str">
        <f ca="1">IF(G5005=1,"-",Tabela2[[#This Row],[Dt Venc:]]-TODAY())</f>
        <v>-</v>
      </c>
      <c r="G5005" s="3">
        <v>1</v>
      </c>
      <c r="H5005" s="3"/>
    </row>
    <row r="5006" spans="1:8" hidden="1">
      <c r="A5006" s="3">
        <v>447197</v>
      </c>
      <c r="B5006" s="7" t="s">
        <v>512</v>
      </c>
      <c r="C5006" s="41">
        <v>1177.78</v>
      </c>
      <c r="D5006" s="6">
        <v>45682</v>
      </c>
      <c r="E5006" s="3" t="str">
        <f ca="1">IF(Tabela2[[#This Row],[Dt Venc:]]&gt;TODAY(),"Em Aberto",IF(Tabela2[[#This Row],[D/venc]]="-","Enviado",IF(Tabela2[[#This Row],[Dt Venc:]]=TODAY(),"Vence Hoje","Vencida")))</f>
        <v>Enviado</v>
      </c>
      <c r="F5006" s="3" t="str">
        <f ca="1">IF(G5006=1,"-",Tabela2[[#This Row],[Dt Venc:]]-TODAY())</f>
        <v>-</v>
      </c>
      <c r="G5006" s="3">
        <v>1</v>
      </c>
      <c r="H5006" s="3"/>
    </row>
    <row r="5007" spans="1:8" hidden="1">
      <c r="A5007" s="3">
        <v>430213</v>
      </c>
      <c r="B5007" s="7" t="s">
        <v>89</v>
      </c>
      <c r="C5007" s="41">
        <v>868.04</v>
      </c>
      <c r="D5007" s="6">
        <v>45682</v>
      </c>
      <c r="E5007" s="3" t="str">
        <f ca="1">IF(Tabela2[[#This Row],[Dt Venc:]]&gt;TODAY(),"Em Aberto",IF(Tabela2[[#This Row],[D/venc]]="-","Enviado",IF(Tabela2[[#This Row],[Dt Venc:]]=TODAY(),"Vence Hoje","Vencida")))</f>
        <v>Enviado</v>
      </c>
      <c r="F5007" s="3" t="str">
        <f ca="1">IF(G5007=1,"-",Tabela2[[#This Row],[Dt Venc:]]-TODAY())</f>
        <v>-</v>
      </c>
      <c r="G5007" s="3">
        <v>1</v>
      </c>
      <c r="H5007" s="3"/>
    </row>
    <row r="5008" spans="1:8" hidden="1">
      <c r="A5008" s="3">
        <v>432146</v>
      </c>
      <c r="B5008" s="7" t="s">
        <v>601</v>
      </c>
      <c r="C5008" s="41">
        <v>196.98</v>
      </c>
      <c r="D5008" s="6">
        <v>45682</v>
      </c>
      <c r="E5008" s="3" t="str">
        <f ca="1">IF(Tabela2[[#This Row],[Dt Venc:]]&gt;TODAY(),"Em Aberto",IF(Tabela2[[#This Row],[D/venc]]="-","Enviado",IF(Tabela2[[#This Row],[Dt Venc:]]=TODAY(),"Vence Hoje","Vencida")))</f>
        <v>Enviado</v>
      </c>
      <c r="F5008" s="3" t="str">
        <f ca="1">IF(G5008=1,"-",Tabela2[[#This Row],[Dt Venc:]]-TODAY())</f>
        <v>-</v>
      </c>
      <c r="G5008" s="3">
        <v>1</v>
      </c>
      <c r="H5008" s="3"/>
    </row>
    <row r="5009" spans="1:8" hidden="1">
      <c r="A5009" s="3">
        <v>155435</v>
      </c>
      <c r="B5009" s="7" t="s">
        <v>77</v>
      </c>
      <c r="C5009" s="41">
        <v>1233.33</v>
      </c>
      <c r="D5009" s="6">
        <v>45682</v>
      </c>
      <c r="E5009" s="3" t="str">
        <f ca="1">IF(Tabela2[[#This Row],[Dt Venc:]]&gt;TODAY(),"Em Aberto",IF(Tabela2[[#This Row],[D/venc]]="-","Enviado",IF(Tabela2[[#This Row],[Dt Venc:]]=TODAY(),"Vence Hoje","Vencida")))</f>
        <v>Enviado</v>
      </c>
      <c r="F5009" s="3" t="str">
        <f ca="1">IF(G5009=1,"-",Tabela2[[#This Row],[Dt Venc:]]-TODAY())</f>
        <v>-</v>
      </c>
      <c r="G5009" s="3">
        <v>1</v>
      </c>
      <c r="H5009" s="3"/>
    </row>
    <row r="5010" spans="1:8" hidden="1">
      <c r="A5010" s="3">
        <v>155424</v>
      </c>
      <c r="B5010" s="7" t="s">
        <v>77</v>
      </c>
      <c r="C5010" s="41">
        <v>450</v>
      </c>
      <c r="D5010" s="6">
        <v>45682</v>
      </c>
      <c r="E5010" s="3" t="str">
        <f ca="1">IF(Tabela2[[#This Row],[Dt Venc:]]&gt;TODAY(),"Em Aberto",IF(Tabela2[[#This Row],[D/venc]]="-","Enviado",IF(Tabela2[[#This Row],[Dt Venc:]]=TODAY(),"Vence Hoje","Vencida")))</f>
        <v>Enviado</v>
      </c>
      <c r="F5010" s="3" t="str">
        <f ca="1">IF(G5010=1,"-",Tabela2[[#This Row],[Dt Venc:]]-TODAY())</f>
        <v>-</v>
      </c>
      <c r="G5010" s="3">
        <v>1</v>
      </c>
      <c r="H5010" s="3"/>
    </row>
    <row r="5011" spans="1:8" hidden="1">
      <c r="A5011" s="3">
        <v>12827</v>
      </c>
      <c r="B5011" s="7" t="s">
        <v>211</v>
      </c>
      <c r="C5011" s="41">
        <v>1293.3399999999999</v>
      </c>
      <c r="D5011" s="6">
        <v>45682</v>
      </c>
      <c r="E5011" s="3" t="str">
        <f ca="1">IF(Tabela2[[#This Row],[Dt Venc:]]&gt;TODAY(),"Em Aberto",IF(Tabela2[[#This Row],[D/venc]]="-","Enviado",IF(Tabela2[[#This Row],[Dt Venc:]]=TODAY(),"Vence Hoje","Vencida")))</f>
        <v>Enviado</v>
      </c>
      <c r="F5011" s="3" t="str">
        <f ca="1">IF(G5011=1,"-",Tabela2[[#This Row],[Dt Venc:]]-TODAY())</f>
        <v>-</v>
      </c>
      <c r="G5011" s="3">
        <v>1</v>
      </c>
      <c r="H5011" s="3"/>
    </row>
    <row r="5012" spans="1:8" hidden="1">
      <c r="A5012" s="3">
        <v>155436</v>
      </c>
      <c r="B5012" s="7" t="s">
        <v>77</v>
      </c>
      <c r="C5012" s="41">
        <v>450</v>
      </c>
      <c r="D5012" s="6">
        <v>45682</v>
      </c>
      <c r="E5012" s="3" t="str">
        <f ca="1">IF(Tabela2[[#This Row],[Dt Venc:]]&gt;TODAY(),"Em Aberto",IF(Tabela2[[#This Row],[D/venc]]="-","Enviado",IF(Tabela2[[#This Row],[Dt Venc:]]=TODAY(),"Vence Hoje","Vencida")))</f>
        <v>Enviado</v>
      </c>
      <c r="F5012" s="3" t="str">
        <f ca="1">IF(G5012=1,"-",Tabela2[[#This Row],[Dt Venc:]]-TODAY())</f>
        <v>-</v>
      </c>
      <c r="G5012" s="3">
        <v>1</v>
      </c>
      <c r="H5012" s="3"/>
    </row>
    <row r="5013" spans="1:8" hidden="1">
      <c r="A5013" s="3">
        <v>330883</v>
      </c>
      <c r="B5013" s="7" t="s">
        <v>77</v>
      </c>
      <c r="C5013" s="41">
        <v>438.33</v>
      </c>
      <c r="D5013" s="6">
        <v>45682</v>
      </c>
      <c r="E5013" s="3" t="str">
        <f ca="1">IF(Tabela2[[#This Row],[Dt Venc:]]&gt;TODAY(),"Em Aberto",IF(Tabela2[[#This Row],[D/venc]]="-","Enviado",IF(Tabela2[[#This Row],[Dt Venc:]]=TODAY(),"Vence Hoje","Vencida")))</f>
        <v>Enviado</v>
      </c>
      <c r="F5013" s="3" t="str">
        <f ca="1">IF(G5013=1,"-",Tabela2[[#This Row],[Dt Venc:]]-TODAY())</f>
        <v>-</v>
      </c>
      <c r="G5013" s="3">
        <v>1</v>
      </c>
      <c r="H5013" s="3"/>
    </row>
    <row r="5014" spans="1:8" hidden="1">
      <c r="A5014" s="3">
        <v>20981</v>
      </c>
      <c r="B5014" s="7" t="s">
        <v>653</v>
      </c>
      <c r="C5014" s="41">
        <v>975</v>
      </c>
      <c r="D5014" s="6">
        <v>45682</v>
      </c>
      <c r="E5014" s="3" t="str">
        <f ca="1">IF(Tabela2[[#This Row],[Dt Venc:]]&gt;TODAY(),"Em Aberto",IF(Tabela2[[#This Row],[D/venc]]="-","Enviado",IF(Tabela2[[#This Row],[Dt Venc:]]=TODAY(),"Vence Hoje","Vencida")))</f>
        <v>Enviado</v>
      </c>
      <c r="F5014" s="3" t="str">
        <f ca="1">IF(G5014=1,"-",Tabela2[[#This Row],[Dt Venc:]]-TODAY())</f>
        <v>-</v>
      </c>
      <c r="G5014" s="3">
        <v>1</v>
      </c>
      <c r="H5014" s="3"/>
    </row>
    <row r="5015" spans="1:8" hidden="1">
      <c r="A5015" s="3">
        <v>6313</v>
      </c>
      <c r="B5015" s="7" t="s">
        <v>47</v>
      </c>
      <c r="C5015" s="41">
        <v>675.2</v>
      </c>
      <c r="D5015" s="6">
        <v>45682</v>
      </c>
      <c r="E5015" s="3" t="str">
        <f ca="1">IF(Tabela2[[#This Row],[Dt Venc:]]&gt;TODAY(),"Em Aberto",IF(Tabela2[[#This Row],[D/venc]]="-","Enviado",IF(Tabela2[[#This Row],[Dt Venc:]]=TODAY(),"Vence Hoje","Vencida")))</f>
        <v>Enviado</v>
      </c>
      <c r="F5015" s="3" t="str">
        <f ca="1">IF(G5015=1,"-",Tabela2[[#This Row],[Dt Venc:]]-TODAY())</f>
        <v>-</v>
      </c>
      <c r="G5015" s="3">
        <v>1</v>
      </c>
      <c r="H5015" s="3"/>
    </row>
    <row r="5016" spans="1:8" hidden="1">
      <c r="A5016" s="3">
        <v>162873</v>
      </c>
      <c r="B5016" s="7" t="s">
        <v>468</v>
      </c>
      <c r="C5016" s="41">
        <v>3384.15</v>
      </c>
      <c r="D5016" s="6">
        <v>45682</v>
      </c>
      <c r="E5016" s="3" t="str">
        <f ca="1">IF(Tabela2[[#This Row],[Dt Venc:]]&gt;TODAY(),"Em Aberto",IF(Tabela2[[#This Row],[D/venc]]="-","Enviado",IF(Tabela2[[#This Row],[Dt Venc:]]=TODAY(),"Vence Hoje","Vencida")))</f>
        <v>Enviado</v>
      </c>
      <c r="F5016" s="3" t="str">
        <f ca="1">IF(G5016=1,"-",Tabela2[[#This Row],[Dt Venc:]]-TODAY())</f>
        <v>-</v>
      </c>
      <c r="G5016" s="3">
        <v>1</v>
      </c>
      <c r="H5016" s="3"/>
    </row>
    <row r="5017" spans="1:8" hidden="1">
      <c r="A5017" s="3">
        <v>20509</v>
      </c>
      <c r="B5017" s="7" t="s">
        <v>233</v>
      </c>
      <c r="C5017" s="41">
        <v>900</v>
      </c>
      <c r="D5017" s="6">
        <v>45682</v>
      </c>
      <c r="E5017" s="3" t="str">
        <f ca="1">IF(Tabela2[[#This Row],[Dt Venc:]]&gt;TODAY(),"Em Aberto",IF(Tabela2[[#This Row],[D/venc]]="-","Enviado",IF(Tabela2[[#This Row],[Dt Venc:]]=TODAY(),"Vence Hoje","Vencida")))</f>
        <v>Enviado</v>
      </c>
      <c r="F5017" s="3" t="str">
        <f ca="1">IF(G5017=1,"-",Tabela2[[#This Row],[Dt Venc:]]-TODAY())</f>
        <v>-</v>
      </c>
      <c r="G5017" s="3">
        <v>1</v>
      </c>
      <c r="H5017" s="3"/>
    </row>
    <row r="5018" spans="1:8" hidden="1">
      <c r="A5018" s="3">
        <v>2937</v>
      </c>
      <c r="B5018" s="7" t="s">
        <v>58</v>
      </c>
      <c r="C5018" s="41">
        <v>3329.6</v>
      </c>
      <c r="D5018" s="6">
        <v>45682</v>
      </c>
      <c r="E5018" s="3" t="str">
        <f ca="1">IF(Tabela2[[#This Row],[Dt Venc:]]&gt;TODAY(),"Em Aberto",IF(Tabela2[[#This Row],[D/venc]]="-","Enviado",IF(Tabela2[[#This Row],[Dt Venc:]]=TODAY(),"Vence Hoje","Vencida")))</f>
        <v>Enviado</v>
      </c>
      <c r="F5018" s="3" t="str">
        <f ca="1">IF(G5018=1,"-",Tabela2[[#This Row],[Dt Venc:]]-TODAY())</f>
        <v>-</v>
      </c>
      <c r="G5018" s="3">
        <v>1</v>
      </c>
      <c r="H5018" s="3"/>
    </row>
    <row r="5019" spans="1:8" hidden="1">
      <c r="A5019" s="3">
        <v>660</v>
      </c>
      <c r="B5019" s="7" t="s">
        <v>294</v>
      </c>
      <c r="C5019" s="41">
        <v>6480</v>
      </c>
      <c r="D5019" s="6">
        <v>45682</v>
      </c>
      <c r="E5019" s="3" t="str">
        <f ca="1">IF(Tabela2[[#This Row],[Dt Venc:]]&gt;TODAY(),"Em Aberto",IF(Tabela2[[#This Row],[D/venc]]="-","Enviado",IF(Tabela2[[#This Row],[Dt Venc:]]=TODAY(),"Vence Hoje","Vencida")))</f>
        <v>Enviado</v>
      </c>
      <c r="F5019" s="3" t="str">
        <f ca="1">IF(G5019=1,"-",Tabela2[[#This Row],[Dt Venc:]]-TODAY())</f>
        <v>-</v>
      </c>
      <c r="G5019" s="3">
        <v>1</v>
      </c>
      <c r="H5019" s="3"/>
    </row>
    <row r="5020" spans="1:8" hidden="1">
      <c r="A5020" s="3">
        <v>44</v>
      </c>
      <c r="B5020" s="7" t="s">
        <v>654</v>
      </c>
      <c r="C5020" s="41">
        <v>5327</v>
      </c>
      <c r="D5020" s="6">
        <v>45682</v>
      </c>
      <c r="E5020" s="3" t="str">
        <f ca="1">IF(Tabela2[[#This Row],[Dt Venc:]]&gt;TODAY(),"Em Aberto",IF(Tabela2[[#This Row],[D/venc]]="-","Enviado",IF(Tabela2[[#This Row],[Dt Venc:]]=TODAY(),"Vence Hoje","Vencida")))</f>
        <v>Enviado</v>
      </c>
      <c r="F5020" s="3" t="str">
        <f ca="1">IF(G5020=1,"-",Tabela2[[#This Row],[Dt Venc:]]-TODAY())</f>
        <v>-</v>
      </c>
      <c r="G5020" s="3">
        <v>1</v>
      </c>
      <c r="H5020" s="3"/>
    </row>
    <row r="5021" spans="1:8" hidden="1">
      <c r="A5021" s="3">
        <v>76</v>
      </c>
      <c r="B5021" s="7" t="s">
        <v>654</v>
      </c>
      <c r="C5021" s="41">
        <v>724</v>
      </c>
      <c r="D5021" s="6">
        <v>45682</v>
      </c>
      <c r="E5021" s="3" t="str">
        <f ca="1">IF(Tabela2[[#This Row],[Dt Venc:]]&gt;TODAY(),"Em Aberto",IF(Tabela2[[#This Row],[D/venc]]="-","Enviado",IF(Tabela2[[#This Row],[Dt Venc:]]=TODAY(),"Vence Hoje","Vencida")))</f>
        <v>Enviado</v>
      </c>
      <c r="F5021" s="3" t="str">
        <f ca="1">IF(G5021=1,"-",Tabela2[[#This Row],[Dt Venc:]]-TODAY())</f>
        <v>-</v>
      </c>
      <c r="G5021" s="3">
        <v>1</v>
      </c>
      <c r="H5021" s="3"/>
    </row>
    <row r="5022" spans="1:8" hidden="1">
      <c r="A5022" s="3">
        <v>10709</v>
      </c>
      <c r="B5022" s="7" t="s">
        <v>654</v>
      </c>
      <c r="C5022" s="41">
        <v>28765.8</v>
      </c>
      <c r="D5022" s="6">
        <v>45682</v>
      </c>
      <c r="E5022" s="3" t="str">
        <f ca="1">IF(Tabela2[[#This Row],[Dt Venc:]]&gt;TODAY(),"Em Aberto",IF(Tabela2[[#This Row],[D/venc]]="-","Enviado",IF(Tabela2[[#This Row],[Dt Venc:]]=TODAY(),"Vence Hoje","Vencida")))</f>
        <v>Enviado</v>
      </c>
      <c r="F5022" s="3" t="str">
        <f ca="1">IF(G5022=1,"-",Tabela2[[#This Row],[Dt Venc:]]-TODAY())</f>
        <v>-</v>
      </c>
      <c r="G5022" s="3">
        <v>1</v>
      </c>
      <c r="H5022" s="3"/>
    </row>
    <row r="5023" spans="1:8" hidden="1">
      <c r="A5023" s="3">
        <v>3336355</v>
      </c>
      <c r="B5023" s="7" t="s">
        <v>71</v>
      </c>
      <c r="C5023" s="41">
        <v>84087</v>
      </c>
      <c r="D5023" s="6">
        <v>45682</v>
      </c>
      <c r="E5023" s="3" t="str">
        <f ca="1">IF(Tabela2[[#This Row],[Dt Venc:]]&gt;TODAY(),"Em Aberto",IF(Tabela2[[#This Row],[D/venc]]="-","Enviado",IF(Tabela2[[#This Row],[Dt Venc:]]=TODAY(),"Vence Hoje","Vencida")))</f>
        <v>Enviado</v>
      </c>
      <c r="F5023" s="3" t="str">
        <f ca="1">IF(G5023=1,"-",Tabela2[[#This Row],[Dt Venc:]]-TODAY())</f>
        <v>-</v>
      </c>
      <c r="G5023" s="3">
        <v>1</v>
      </c>
      <c r="H5023" s="3"/>
    </row>
    <row r="5024" spans="1:8" hidden="1">
      <c r="A5024" s="3">
        <v>1829</v>
      </c>
      <c r="B5024" s="7" t="s">
        <v>469</v>
      </c>
      <c r="C5024" s="41">
        <v>37500</v>
      </c>
      <c r="D5024" s="6">
        <v>45682</v>
      </c>
      <c r="E5024" s="3" t="str">
        <f ca="1">IF(Tabela2[[#This Row],[Dt Venc:]]&gt;TODAY(),"Em Aberto",IF(Tabela2[[#This Row],[D/venc]]="-","Enviado",IF(Tabela2[[#This Row],[Dt Venc:]]=TODAY(),"Vence Hoje","Vencida")))</f>
        <v>Enviado</v>
      </c>
      <c r="F5024" s="3" t="str">
        <f ca="1">IF(G5024=1,"-",Tabela2[[#This Row],[Dt Venc:]]-TODAY())</f>
        <v>-</v>
      </c>
      <c r="G5024" s="3">
        <v>1</v>
      </c>
      <c r="H5024" s="3"/>
    </row>
    <row r="5025" spans="1:8" hidden="1">
      <c r="A5025" s="3">
        <v>4</v>
      </c>
      <c r="B5025" s="7" t="s">
        <v>220</v>
      </c>
      <c r="C5025" s="41">
        <v>765</v>
      </c>
      <c r="D5025" s="6">
        <v>45682</v>
      </c>
      <c r="E5025" s="3" t="str">
        <f ca="1">IF(Tabela2[[#This Row],[Dt Venc:]]&gt;TODAY(),"Em Aberto",IF(Tabela2[[#This Row],[D/venc]]="-","Enviado",IF(Tabela2[[#This Row],[Dt Venc:]]=TODAY(),"Vence Hoje","Vencida")))</f>
        <v>Enviado</v>
      </c>
      <c r="F5025" s="3" t="str">
        <f ca="1">IF(G5025=1,"-",Tabela2[[#This Row],[Dt Venc:]]-TODAY())</f>
        <v>-</v>
      </c>
      <c r="G5025" s="3">
        <v>1</v>
      </c>
      <c r="H5025" s="3"/>
    </row>
    <row r="5026" spans="1:8" hidden="1">
      <c r="A5026" s="3" t="s">
        <v>110</v>
      </c>
      <c r="B5026" s="7" t="s">
        <v>111</v>
      </c>
      <c r="C5026" s="42" t="s">
        <v>32</v>
      </c>
      <c r="D5026" s="6">
        <v>45682</v>
      </c>
      <c r="E5026" s="3" t="str">
        <f ca="1">IF(Tabela2[[#This Row],[Dt Venc:]]&gt;TODAY(),"Em Aberto",IF(Tabela2[[#This Row],[D/venc]]="-","Enviado",IF(Tabela2[[#This Row],[Dt Venc:]]=TODAY(),"Vence Hoje","Vencida")))</f>
        <v>Enviado</v>
      </c>
      <c r="F5026" s="3" t="str">
        <f ca="1">IF(G5026=1,"-",Tabela2[[#This Row],[Dt Venc:]]-TODAY())</f>
        <v>-</v>
      </c>
      <c r="G5026" s="3">
        <v>1</v>
      </c>
      <c r="H5026" s="3"/>
    </row>
    <row r="5027" spans="1:8" hidden="1">
      <c r="A5027" s="3" t="s">
        <v>110</v>
      </c>
      <c r="B5027" s="7" t="s">
        <v>271</v>
      </c>
      <c r="C5027" s="87" t="s">
        <v>30</v>
      </c>
      <c r="D5027" s="6">
        <v>45682</v>
      </c>
      <c r="E5027" s="3" t="str">
        <f ca="1">IF(Tabela2[[#This Row],[Dt Venc:]]&gt;TODAY(),"Em Aberto",IF(Tabela2[[#This Row],[D/venc]]="-","Enviado",IF(Tabela2[[#This Row],[Dt Venc:]]=TODAY(),"Vence Hoje","Vencida")))</f>
        <v>Enviado</v>
      </c>
      <c r="F5027" s="3" t="str">
        <f ca="1">IF(G5027=1,"-",Tabela2[[#This Row],[Dt Venc:]]-TODAY())</f>
        <v>-</v>
      </c>
      <c r="G5027" s="3">
        <v>1</v>
      </c>
      <c r="H5027" s="3"/>
    </row>
    <row r="5028" spans="1:8" hidden="1">
      <c r="A5028" s="3" t="s">
        <v>110</v>
      </c>
      <c r="B5028" s="7" t="s">
        <v>345</v>
      </c>
      <c r="C5028" s="42" t="s">
        <v>32</v>
      </c>
      <c r="D5028" s="6">
        <v>45682</v>
      </c>
      <c r="E5028" s="3" t="str">
        <f ca="1">IF(Tabela2[[#This Row],[Dt Venc:]]&gt;TODAY(),"Em Aberto",IF(Tabela2[[#This Row],[D/venc]]="-","Enviado",IF(Tabela2[[#This Row],[Dt Venc:]]=TODAY(),"Vence Hoje","Vencida")))</f>
        <v>Enviado</v>
      </c>
      <c r="F5028" s="3" t="str">
        <f ca="1">IF(G5028=1,"-",Tabela2[[#This Row],[Dt Venc:]]-TODAY())</f>
        <v>-</v>
      </c>
      <c r="G5028" s="3">
        <v>1</v>
      </c>
      <c r="H5028" s="3"/>
    </row>
    <row r="5029" spans="1:8" hidden="1">
      <c r="A5029" s="3">
        <v>1281</v>
      </c>
      <c r="B5029" s="7" t="s">
        <v>474</v>
      </c>
      <c r="C5029" s="41">
        <v>2300</v>
      </c>
      <c r="D5029" s="6">
        <v>45683</v>
      </c>
      <c r="E5029" s="3" t="str">
        <f ca="1">IF(Tabela2[[#This Row],[Dt Venc:]]&gt;TODAY(),"Em Aberto",IF(Tabela2[[#This Row],[D/venc]]="-","Enviado",IF(Tabela2[[#This Row],[Dt Venc:]]=TODAY(),"Vence Hoje","Vencida")))</f>
        <v>Enviado</v>
      </c>
      <c r="F5029" s="3" t="str">
        <f ca="1">IF(G5029=1,"-",Tabela2[[#This Row],[Dt Venc:]]-TODAY())</f>
        <v>-</v>
      </c>
      <c r="G5029" s="3">
        <v>1</v>
      </c>
      <c r="H5029" s="3"/>
    </row>
    <row r="5030" spans="1:8" hidden="1">
      <c r="A5030" s="3">
        <v>23487</v>
      </c>
      <c r="B5030" s="7" t="s">
        <v>38</v>
      </c>
      <c r="C5030" s="41">
        <v>606.66999999999996</v>
      </c>
      <c r="D5030" s="6">
        <v>45683</v>
      </c>
      <c r="E5030" s="3" t="str">
        <f ca="1">IF(Tabela2[[#This Row],[Dt Venc:]]&gt;TODAY(),"Em Aberto",IF(Tabela2[[#This Row],[D/venc]]="-","Enviado",IF(Tabela2[[#This Row],[Dt Venc:]]=TODAY(),"Vence Hoje","Vencida")))</f>
        <v>Enviado</v>
      </c>
      <c r="F5030" s="3" t="str">
        <f ca="1">IF(G5030=1,"-",Tabela2[[#This Row],[Dt Venc:]]-TODAY())</f>
        <v>-</v>
      </c>
      <c r="G5030" s="3">
        <v>1</v>
      </c>
      <c r="H5030" s="3"/>
    </row>
    <row r="5031" spans="1:8" hidden="1">
      <c r="A5031" s="3">
        <v>23488</v>
      </c>
      <c r="B5031" s="7" t="s">
        <v>38</v>
      </c>
      <c r="C5031" s="41">
        <v>761.33</v>
      </c>
      <c r="D5031" s="6">
        <v>45683</v>
      </c>
      <c r="E5031" s="3" t="str">
        <f ca="1">IF(Tabela2[[#This Row],[Dt Venc:]]&gt;TODAY(),"Em Aberto",IF(Tabela2[[#This Row],[D/venc]]="-","Enviado",IF(Tabela2[[#This Row],[Dt Venc:]]=TODAY(),"Vence Hoje","Vencida")))</f>
        <v>Enviado</v>
      </c>
      <c r="F5031" s="3" t="str">
        <f ca="1">IF(G5031=1,"-",Tabela2[[#This Row],[Dt Venc:]]-TODAY())</f>
        <v>-</v>
      </c>
      <c r="G5031" s="3">
        <v>1</v>
      </c>
      <c r="H5031" s="3"/>
    </row>
    <row r="5032" spans="1:8" hidden="1">
      <c r="A5032" s="3">
        <v>223792</v>
      </c>
      <c r="B5032" s="7" t="s">
        <v>127</v>
      </c>
      <c r="C5032" s="41">
        <v>1165.5999999999999</v>
      </c>
      <c r="D5032" s="6">
        <v>45683</v>
      </c>
      <c r="E5032" s="3" t="str">
        <f ca="1">IF(Tabela2[[#This Row],[Dt Venc:]]&gt;TODAY(),"Em Aberto",IF(Tabela2[[#This Row],[D/venc]]="-","Enviado",IF(Tabela2[[#This Row],[Dt Venc:]]=TODAY(),"Vence Hoje","Vencida")))</f>
        <v>Enviado</v>
      </c>
      <c r="F5032" s="3" t="str">
        <f ca="1">IF(G5032=1,"-",Tabela2[[#This Row],[Dt Venc:]]-TODAY())</f>
        <v>-</v>
      </c>
      <c r="G5032" s="3">
        <v>1</v>
      </c>
      <c r="H5032" s="3"/>
    </row>
    <row r="5033" spans="1:8" hidden="1">
      <c r="A5033" s="3">
        <v>153917</v>
      </c>
      <c r="B5033" s="7" t="s">
        <v>77</v>
      </c>
      <c r="C5033" s="41">
        <v>450</v>
      </c>
      <c r="D5033" s="6">
        <v>45683</v>
      </c>
      <c r="E5033" s="3" t="str">
        <f ca="1">IF(Tabela2[[#This Row],[Dt Venc:]]&gt;TODAY(),"Em Aberto",IF(Tabela2[[#This Row],[D/venc]]="-","Enviado",IF(Tabela2[[#This Row],[Dt Venc:]]=TODAY(),"Vence Hoje","Vencida")))</f>
        <v>Enviado</v>
      </c>
      <c r="F5033" s="3" t="str">
        <f ca="1">IF(G5033=1,"-",Tabela2[[#This Row],[Dt Venc:]]-TODAY())</f>
        <v>-</v>
      </c>
      <c r="G5033" s="3">
        <v>1</v>
      </c>
      <c r="H5033" s="3"/>
    </row>
    <row r="5034" spans="1:8" hidden="1">
      <c r="A5034" s="3">
        <v>23221</v>
      </c>
      <c r="B5034" s="7" t="s">
        <v>409</v>
      </c>
      <c r="C5034" s="41">
        <v>1110.67</v>
      </c>
      <c r="D5034" s="6">
        <v>45683</v>
      </c>
      <c r="E5034" s="3" t="str">
        <f ca="1">IF(Tabela2[[#This Row],[Dt Venc:]]&gt;TODAY(),"Em Aberto",IF(Tabela2[[#This Row],[D/venc]]="-","Enviado",IF(Tabela2[[#This Row],[Dt Venc:]]=TODAY(),"Vence Hoje","Vencida")))</f>
        <v>Enviado</v>
      </c>
      <c r="F5034" s="3" t="str">
        <f ca="1">IF(G5034=1,"-",Tabela2[[#This Row],[Dt Venc:]]-TODAY())</f>
        <v>-</v>
      </c>
      <c r="G5034" s="3">
        <v>1</v>
      </c>
      <c r="H5034" s="3"/>
    </row>
    <row r="5035" spans="1:8" hidden="1">
      <c r="A5035" s="3">
        <v>56</v>
      </c>
      <c r="B5035" s="7" t="s">
        <v>517</v>
      </c>
      <c r="C5035" s="41">
        <v>1016.67</v>
      </c>
      <c r="D5035" s="6">
        <v>45683</v>
      </c>
      <c r="E5035" s="3" t="str">
        <f ca="1">IF(Tabela2[[#This Row],[Dt Venc:]]&gt;TODAY(),"Em Aberto",IF(Tabela2[[#This Row],[D/venc]]="-","Enviado",IF(Tabela2[[#This Row],[Dt Venc:]]=TODAY(),"Vence Hoje","Vencida")))</f>
        <v>Enviado</v>
      </c>
      <c r="F5035" s="3" t="str">
        <f ca="1">IF(G5035=1,"-",Tabela2[[#This Row],[Dt Venc:]]-TODAY())</f>
        <v>-</v>
      </c>
      <c r="G5035" s="3">
        <v>1</v>
      </c>
      <c r="H5035" s="3"/>
    </row>
    <row r="5036" spans="1:8" hidden="1">
      <c r="A5036" s="3">
        <v>429359</v>
      </c>
      <c r="B5036" s="7" t="s">
        <v>89</v>
      </c>
      <c r="C5036" s="41">
        <v>882</v>
      </c>
      <c r="D5036" s="6">
        <v>45683</v>
      </c>
      <c r="E5036" s="3" t="str">
        <f ca="1">IF(Tabela2[[#This Row],[Dt Venc:]]&gt;TODAY(),"Em Aberto",IF(Tabela2[[#This Row],[D/venc]]="-","Enviado",IF(Tabela2[[#This Row],[Dt Venc:]]=TODAY(),"Vence Hoje","Vencida")))</f>
        <v>Enviado</v>
      </c>
      <c r="F5036" s="3" t="str">
        <f ca="1">IF(G5036=1,"-",Tabela2[[#This Row],[Dt Venc:]]-TODAY())</f>
        <v>-</v>
      </c>
      <c r="G5036" s="3">
        <v>1</v>
      </c>
      <c r="H5036" s="3"/>
    </row>
    <row r="5037" spans="1:8" hidden="1">
      <c r="A5037" s="3">
        <v>429363</v>
      </c>
      <c r="B5037" s="7" t="s">
        <v>89</v>
      </c>
      <c r="C5037" s="41">
        <v>349.99</v>
      </c>
      <c r="D5037" s="6">
        <v>45683</v>
      </c>
      <c r="E5037" s="3" t="str">
        <f ca="1">IF(Tabela2[[#This Row],[Dt Venc:]]&gt;TODAY(),"Em Aberto",IF(Tabela2[[#This Row],[D/venc]]="-","Enviado",IF(Tabela2[[#This Row],[Dt Venc:]]=TODAY(),"Vence Hoje","Vencida")))</f>
        <v>Enviado</v>
      </c>
      <c r="F5037" s="3" t="str">
        <f ca="1">IF(G5037=1,"-",Tabela2[[#This Row],[Dt Venc:]]-TODAY())</f>
        <v>-</v>
      </c>
      <c r="G5037" s="3">
        <v>1</v>
      </c>
      <c r="H5037" s="3"/>
    </row>
    <row r="5038" spans="1:8" hidden="1">
      <c r="A5038" s="3">
        <v>11166</v>
      </c>
      <c r="B5038" s="7" t="s">
        <v>33</v>
      </c>
      <c r="C5038" s="41">
        <v>1968.33</v>
      </c>
      <c r="D5038" s="6">
        <v>45683</v>
      </c>
      <c r="E5038" s="3" t="str">
        <f ca="1">IF(Tabela2[[#This Row],[Dt Venc:]]&gt;TODAY(),"Em Aberto",IF(Tabela2[[#This Row],[D/venc]]="-","Enviado",IF(Tabela2[[#This Row],[Dt Venc:]]=TODAY(),"Vence Hoje","Vencida")))</f>
        <v>Enviado</v>
      </c>
      <c r="F5038" s="3" t="str">
        <f ca="1">IF(G5038=1,"-",Tabela2[[#This Row],[Dt Venc:]]-TODAY())</f>
        <v>-</v>
      </c>
      <c r="G5038" s="3">
        <v>1</v>
      </c>
      <c r="H5038" s="3"/>
    </row>
    <row r="5039" spans="1:8" hidden="1">
      <c r="A5039" s="3">
        <v>6213</v>
      </c>
      <c r="B5039" s="7" t="s">
        <v>47</v>
      </c>
      <c r="C5039" s="41">
        <v>1671.67</v>
      </c>
      <c r="D5039" s="6">
        <v>45683</v>
      </c>
      <c r="E5039" s="3" t="str">
        <f ca="1">IF(Tabela2[[#This Row],[Dt Venc:]]&gt;TODAY(),"Em Aberto",IF(Tabela2[[#This Row],[D/venc]]="-","Enviado",IF(Tabela2[[#This Row],[Dt Venc:]]=TODAY(),"Vence Hoje","Vencida")))</f>
        <v>Enviado</v>
      </c>
      <c r="F5039" s="3" t="str">
        <f ca="1">IF(G5039=1,"-",Tabela2[[#This Row],[Dt Venc:]]-TODAY())</f>
        <v>-</v>
      </c>
      <c r="G5039" s="3">
        <v>1</v>
      </c>
      <c r="H5039" s="3"/>
    </row>
    <row r="5040" spans="1:8" hidden="1">
      <c r="A5040" s="3">
        <v>89647</v>
      </c>
      <c r="B5040" s="7" t="s">
        <v>207</v>
      </c>
      <c r="C5040" s="41">
        <v>1393.33</v>
      </c>
      <c r="D5040" s="6">
        <v>45683</v>
      </c>
      <c r="E5040" s="3" t="str">
        <f ca="1">IF(Tabela2[[#This Row],[Dt Venc:]]&gt;TODAY(),"Em Aberto",IF(Tabela2[[#This Row],[D/venc]]="-","Enviado",IF(Tabela2[[#This Row],[Dt Venc:]]=TODAY(),"Vence Hoje","Vencida")))</f>
        <v>Enviado</v>
      </c>
      <c r="F5040" s="3" t="str">
        <f ca="1">IF(G5040=1,"-",Tabela2[[#This Row],[Dt Venc:]]-TODAY())</f>
        <v>-</v>
      </c>
      <c r="G5040" s="3">
        <v>1</v>
      </c>
      <c r="H5040" s="3"/>
    </row>
    <row r="5041" spans="1:8" hidden="1">
      <c r="A5041" s="3">
        <v>226032</v>
      </c>
      <c r="B5041" s="7" t="s">
        <v>127</v>
      </c>
      <c r="C5041" s="41">
        <v>396.85</v>
      </c>
      <c r="D5041" s="6">
        <v>45683</v>
      </c>
      <c r="E5041" s="3" t="str">
        <f ca="1">IF(Tabela2[[#This Row],[Dt Venc:]]&gt;TODAY(),"Em Aberto",IF(Tabela2[[#This Row],[D/venc]]="-","Enviado",IF(Tabela2[[#This Row],[Dt Venc:]]=TODAY(),"Vence Hoje","Vencida")))</f>
        <v>Enviado</v>
      </c>
      <c r="F5041" s="3" t="str">
        <f ca="1">IF(G5041=1,"-",Tabela2[[#This Row],[Dt Venc:]]-TODAY())</f>
        <v>-</v>
      </c>
      <c r="G5041" s="3">
        <v>1</v>
      </c>
      <c r="H5041" s="3"/>
    </row>
    <row r="5042" spans="1:8" hidden="1">
      <c r="A5042" s="3">
        <v>225999</v>
      </c>
      <c r="B5042" s="7" t="s">
        <v>127</v>
      </c>
      <c r="C5042" s="41">
        <v>599.94000000000005</v>
      </c>
      <c r="D5042" s="6">
        <v>45683</v>
      </c>
      <c r="E5042" s="3" t="str">
        <f ca="1">IF(Tabela2[[#This Row],[Dt Venc:]]&gt;TODAY(),"Em Aberto",IF(Tabela2[[#This Row],[D/venc]]="-","Enviado",IF(Tabela2[[#This Row],[Dt Venc:]]=TODAY(),"Vence Hoje","Vencida")))</f>
        <v>Enviado</v>
      </c>
      <c r="F5042" s="3" t="str">
        <f ca="1">IF(G5042=1,"-",Tabela2[[#This Row],[Dt Venc:]]-TODAY())</f>
        <v>-</v>
      </c>
      <c r="G5042" s="3">
        <v>1</v>
      </c>
      <c r="H5042" s="3"/>
    </row>
    <row r="5043" spans="1:8" hidden="1">
      <c r="A5043" s="3">
        <v>2870</v>
      </c>
      <c r="B5043" s="7" t="s">
        <v>58</v>
      </c>
      <c r="C5043" s="41">
        <v>2216</v>
      </c>
      <c r="D5043" s="6">
        <v>45683</v>
      </c>
      <c r="E5043" s="3" t="str">
        <f ca="1">IF(Tabela2[[#This Row],[Dt Venc:]]&gt;TODAY(),"Em Aberto",IF(Tabela2[[#This Row],[D/venc]]="-","Enviado",IF(Tabela2[[#This Row],[Dt Venc:]]=TODAY(),"Vence Hoje","Vencida")))</f>
        <v>Enviado</v>
      </c>
      <c r="F5043" s="3" t="str">
        <f ca="1">IF(G5043=1,"-",Tabela2[[#This Row],[Dt Venc:]]-TODAY())</f>
        <v>-</v>
      </c>
      <c r="G5043" s="3">
        <v>1</v>
      </c>
      <c r="H5043" s="3"/>
    </row>
    <row r="5044" spans="1:8" hidden="1">
      <c r="A5044" s="3">
        <v>11174</v>
      </c>
      <c r="B5044" s="7" t="s">
        <v>33</v>
      </c>
      <c r="C5044" s="41">
        <v>2000</v>
      </c>
      <c r="D5044" s="6">
        <v>45683</v>
      </c>
      <c r="E5044" s="3" t="str">
        <f ca="1">IF(Tabela2[[#This Row],[Dt Venc:]]&gt;TODAY(),"Em Aberto",IF(Tabela2[[#This Row],[D/venc]]="-","Enviado",IF(Tabela2[[#This Row],[Dt Venc:]]=TODAY(),"Vence Hoje","Vencida")))</f>
        <v>Enviado</v>
      </c>
      <c r="F5044" s="3" t="str">
        <f ca="1">IF(G5044=1,"-",Tabela2[[#This Row],[Dt Venc:]]-TODAY())</f>
        <v>-</v>
      </c>
      <c r="G5044" s="3">
        <v>1</v>
      </c>
      <c r="H5044" s="3"/>
    </row>
    <row r="5045" spans="1:8" hidden="1">
      <c r="A5045" s="3">
        <v>2365</v>
      </c>
      <c r="B5045" s="7" t="s">
        <v>655</v>
      </c>
      <c r="C5045" s="41">
        <v>204.4</v>
      </c>
      <c r="D5045" s="6">
        <v>45683</v>
      </c>
      <c r="E5045" s="3" t="str">
        <f ca="1">IF(Tabela2[[#This Row],[Dt Venc:]]&gt;TODAY(),"Em Aberto",IF(Tabela2[[#This Row],[D/venc]]="-","Enviado",IF(Tabela2[[#This Row],[Dt Venc:]]=TODAY(),"Vence Hoje","Vencida")))</f>
        <v>Enviado</v>
      </c>
      <c r="F5045" s="3" t="str">
        <f ca="1">IF(G5045=1,"-",Tabela2[[#This Row],[Dt Venc:]]-TODAY())</f>
        <v>-</v>
      </c>
      <c r="G5045" s="3">
        <v>1</v>
      </c>
      <c r="H5045" s="3"/>
    </row>
    <row r="5046" spans="1:8" hidden="1">
      <c r="A5046" s="3">
        <v>73927</v>
      </c>
      <c r="B5046" s="7" t="s">
        <v>333</v>
      </c>
      <c r="C5046" s="41">
        <v>864.67</v>
      </c>
      <c r="D5046" s="6">
        <v>45683</v>
      </c>
      <c r="E5046" s="3" t="str">
        <f ca="1">IF(Tabela2[[#This Row],[Dt Venc:]]&gt;TODAY(),"Em Aberto",IF(Tabela2[[#This Row],[D/venc]]="-","Enviado",IF(Tabela2[[#This Row],[Dt Venc:]]=TODAY(),"Vence Hoje","Vencida")))</f>
        <v>Enviado</v>
      </c>
      <c r="F5046" s="3" t="str">
        <f ca="1">IF(G5046=1,"-",Tabela2[[#This Row],[Dt Venc:]]-TODAY())</f>
        <v>-</v>
      </c>
      <c r="G5046" s="3">
        <v>1</v>
      </c>
      <c r="H5046" s="3"/>
    </row>
    <row r="5047" spans="1:8" hidden="1">
      <c r="A5047" s="3">
        <v>47</v>
      </c>
      <c r="B5047" s="7" t="s">
        <v>103</v>
      </c>
      <c r="C5047" s="41">
        <v>950</v>
      </c>
      <c r="D5047" s="6">
        <v>45683</v>
      </c>
      <c r="E5047" s="3" t="str">
        <f ca="1">IF(Tabela2[[#This Row],[Dt Venc:]]&gt;TODAY(),"Em Aberto",IF(Tabela2[[#This Row],[D/venc]]="-","Enviado",IF(Tabela2[[#This Row],[Dt Venc:]]=TODAY(),"Vence Hoje","Vencida")))</f>
        <v>Enviado</v>
      </c>
      <c r="F5047" s="3" t="str">
        <f ca="1">IF(G5047=1,"-",Tabela2[[#This Row],[Dt Venc:]]-TODAY())</f>
        <v>-</v>
      </c>
      <c r="G5047" s="3">
        <v>1</v>
      </c>
      <c r="H5047" s="3"/>
    </row>
    <row r="5048" spans="1:8" hidden="1">
      <c r="A5048" s="3">
        <v>115468</v>
      </c>
      <c r="B5048" s="7" t="s">
        <v>209</v>
      </c>
      <c r="C5048" s="41">
        <v>518</v>
      </c>
      <c r="D5048" s="6">
        <v>45683</v>
      </c>
      <c r="E5048" s="3" t="str">
        <f ca="1">IF(Tabela2[[#This Row],[Dt Venc:]]&gt;TODAY(),"Em Aberto",IF(Tabela2[[#This Row],[D/venc]]="-","Enviado",IF(Tabela2[[#This Row],[Dt Venc:]]=TODAY(),"Vence Hoje","Vencida")))</f>
        <v>Enviado</v>
      </c>
      <c r="F5048" s="3" t="str">
        <f ca="1">IF(G5048=1,"-",Tabela2[[#This Row],[Dt Venc:]]-TODAY())</f>
        <v>-</v>
      </c>
      <c r="G5048" s="3">
        <v>1</v>
      </c>
      <c r="H5048" s="3"/>
    </row>
    <row r="5049" spans="1:8" hidden="1">
      <c r="A5049" s="3">
        <v>135883</v>
      </c>
      <c r="B5049" s="7" t="s">
        <v>89</v>
      </c>
      <c r="C5049" s="41">
        <v>957.79</v>
      </c>
      <c r="D5049" s="6">
        <v>45683</v>
      </c>
      <c r="E5049" s="3" t="str">
        <f ca="1">IF(Tabela2[[#This Row],[Dt Venc:]]&gt;TODAY(),"Em Aberto",IF(Tabela2[[#This Row],[D/venc]]="-","Enviado",IF(Tabela2[[#This Row],[Dt Venc:]]=TODAY(),"Vence Hoje","Vencida")))</f>
        <v>Enviado</v>
      </c>
      <c r="F5049" s="3" t="str">
        <f ca="1">IF(G5049=1,"-",Tabela2[[#This Row],[Dt Venc:]]-TODAY())</f>
        <v>-</v>
      </c>
      <c r="G5049" s="3">
        <v>1</v>
      </c>
      <c r="H5049" s="3"/>
    </row>
    <row r="5050" spans="1:8" hidden="1">
      <c r="A5050" s="3">
        <v>73927</v>
      </c>
      <c r="B5050" s="7" t="s">
        <v>656</v>
      </c>
      <c r="C5050" s="41">
        <v>864.67</v>
      </c>
      <c r="D5050" s="6">
        <v>45683</v>
      </c>
      <c r="E5050" s="3" t="str">
        <f ca="1">IF(Tabela2[[#This Row],[Dt Venc:]]&gt;TODAY(),"Em Aberto",IF(Tabela2[[#This Row],[D/venc]]="-","Enviado",IF(Tabela2[[#This Row],[Dt Venc:]]=TODAY(),"Vence Hoje","Vencida")))</f>
        <v>Enviado</v>
      </c>
      <c r="F5050" s="3" t="str">
        <f ca="1">IF(G5050=1,"-",Tabela2[[#This Row],[Dt Venc:]]-TODAY())</f>
        <v>-</v>
      </c>
      <c r="G5050" s="3">
        <v>1</v>
      </c>
      <c r="H5050" s="3"/>
    </row>
    <row r="5051" spans="1:8" hidden="1">
      <c r="A5051" s="3">
        <v>4010150</v>
      </c>
      <c r="B5051" s="7" t="s">
        <v>380</v>
      </c>
      <c r="C5051" s="41">
        <v>12000</v>
      </c>
      <c r="D5051" s="6">
        <v>45683</v>
      </c>
      <c r="E5051" s="3" t="str">
        <f ca="1">IF(Tabela2[[#This Row],[Dt Venc:]]&gt;TODAY(),"Em Aberto",IF(Tabela2[[#This Row],[D/venc]]="-","Enviado",IF(Tabela2[[#This Row],[Dt Venc:]]=TODAY(),"Vence Hoje","Vencida")))</f>
        <v>Enviado</v>
      </c>
      <c r="F5051" s="3" t="str">
        <f ca="1">IF(G5051=1,"-",Tabela2[[#This Row],[Dt Venc:]]-TODAY())</f>
        <v>-</v>
      </c>
      <c r="G5051" s="3">
        <v>1</v>
      </c>
      <c r="H5051" s="3"/>
    </row>
    <row r="5052" spans="1:8" hidden="1">
      <c r="A5052" s="3">
        <v>3336840</v>
      </c>
      <c r="B5052" s="7" t="s">
        <v>71</v>
      </c>
      <c r="C5052" s="41">
        <v>56058</v>
      </c>
      <c r="D5052" s="6">
        <v>45683</v>
      </c>
      <c r="E5052" s="3" t="str">
        <f ca="1">IF(Tabela2[[#This Row],[Dt Venc:]]&gt;TODAY(),"Em Aberto",IF(Tabela2[[#This Row],[D/venc]]="-","Enviado",IF(Tabela2[[#This Row],[Dt Venc:]]=TODAY(),"Vence Hoje","Vencida")))</f>
        <v>Enviado</v>
      </c>
      <c r="F5052" s="3" t="str">
        <f ca="1">IF(G5052=1,"-",Tabela2[[#This Row],[Dt Venc:]]-TODAY())</f>
        <v>-</v>
      </c>
      <c r="G5052" s="3">
        <v>1</v>
      </c>
      <c r="H5052" s="3"/>
    </row>
    <row r="5053" spans="1:8" hidden="1">
      <c r="A5053" s="3">
        <v>5690</v>
      </c>
      <c r="B5053" s="7" t="s">
        <v>122</v>
      </c>
      <c r="C5053" s="83" t="s">
        <v>32</v>
      </c>
      <c r="D5053" s="6">
        <v>45684</v>
      </c>
      <c r="E5053" s="3" t="str">
        <f ca="1">IF(Tabela2[[#This Row],[Dt Venc:]]&gt;TODAY(),"Em Aberto",IF(Tabela2[[#This Row],[D/venc]]="-","Enviado",IF(Tabela2[[#This Row],[Dt Venc:]]=TODAY(),"Vence Hoje","Vencida")))</f>
        <v>Enviado</v>
      </c>
      <c r="F5053" s="3" t="str">
        <f ca="1">IF(G5053=1,"-",Tabela2[[#This Row],[Dt Venc:]]-TODAY())</f>
        <v>-</v>
      </c>
      <c r="G5053" s="3">
        <v>1</v>
      </c>
      <c r="H5053" s="3"/>
    </row>
    <row r="5054" spans="1:8" hidden="1">
      <c r="A5054" s="3">
        <v>8147</v>
      </c>
      <c r="B5054" s="7" t="s">
        <v>283</v>
      </c>
      <c r="C5054" s="41">
        <v>6629.04</v>
      </c>
      <c r="D5054" s="6">
        <v>45684</v>
      </c>
      <c r="E5054" s="3" t="str">
        <f ca="1">IF(Tabela2[[#This Row],[Dt Venc:]]&gt;TODAY(),"Em Aberto",IF(Tabela2[[#This Row],[D/venc]]="-","Enviado",IF(Tabela2[[#This Row],[Dt Venc:]]=TODAY(),"Vence Hoje","Vencida")))</f>
        <v>Enviado</v>
      </c>
      <c r="F5054" s="3" t="str">
        <f ca="1">IF(G5054=1,"-",Tabela2[[#This Row],[Dt Venc:]]-TODAY())</f>
        <v>-</v>
      </c>
      <c r="G5054" s="3">
        <v>1</v>
      </c>
      <c r="H5054" s="3"/>
    </row>
    <row r="5055" spans="1:8" hidden="1">
      <c r="A5055" s="3">
        <v>1282</v>
      </c>
      <c r="B5055" s="7" t="s">
        <v>474</v>
      </c>
      <c r="C5055" s="41">
        <v>562.66999999999996</v>
      </c>
      <c r="D5055" s="6">
        <v>45684</v>
      </c>
      <c r="E5055" s="3" t="str">
        <f ca="1">IF(Tabela2[[#This Row],[Dt Venc:]]&gt;TODAY(),"Em Aberto",IF(Tabela2[[#This Row],[D/venc]]="-","Enviado",IF(Tabela2[[#This Row],[Dt Venc:]]=TODAY(),"Vence Hoje","Vencida")))</f>
        <v>Enviado</v>
      </c>
      <c r="F5055" s="3" t="str">
        <f ca="1">IF(G5055=1,"-",Tabela2[[#This Row],[Dt Venc:]]-TODAY())</f>
        <v>-</v>
      </c>
      <c r="G5055" s="3">
        <v>1</v>
      </c>
      <c r="H5055" s="3"/>
    </row>
    <row r="5056" spans="1:8" hidden="1">
      <c r="A5056" s="3">
        <v>371402</v>
      </c>
      <c r="B5056" s="7" t="s">
        <v>39</v>
      </c>
      <c r="C5056" s="41">
        <v>456.2</v>
      </c>
      <c r="D5056" s="6">
        <v>45684</v>
      </c>
      <c r="E5056" s="3" t="str">
        <f ca="1">IF(Tabela2[[#This Row],[Dt Venc:]]&gt;TODAY(),"Em Aberto",IF(Tabela2[[#This Row],[D/venc]]="-","Enviado",IF(Tabela2[[#This Row],[Dt Venc:]]=TODAY(),"Vence Hoje","Vencida")))</f>
        <v>Enviado</v>
      </c>
      <c r="F5056" s="3" t="str">
        <f ca="1">IF(G5056=1,"-",Tabela2[[#This Row],[Dt Venc:]]-TODAY())</f>
        <v>-</v>
      </c>
      <c r="G5056" s="3">
        <v>1</v>
      </c>
      <c r="H5056" s="3"/>
    </row>
    <row r="5057" spans="1:8" hidden="1">
      <c r="A5057" s="3">
        <v>371387</v>
      </c>
      <c r="B5057" s="7" t="s">
        <v>39</v>
      </c>
      <c r="C5057" s="41">
        <v>1690.68</v>
      </c>
      <c r="D5057" s="6">
        <v>45684</v>
      </c>
      <c r="E5057" s="3" t="str">
        <f ca="1">IF(Tabela2[[#This Row],[Dt Venc:]]&gt;TODAY(),"Em Aberto",IF(Tabela2[[#This Row],[D/venc]]="-","Enviado",IF(Tabela2[[#This Row],[Dt Venc:]]=TODAY(),"Vence Hoje","Vencida")))</f>
        <v>Enviado</v>
      </c>
      <c r="F5057" s="3" t="str">
        <f ca="1">IF(G5057=1,"-",Tabela2[[#This Row],[Dt Venc:]]-TODAY())</f>
        <v>-</v>
      </c>
      <c r="G5057" s="3">
        <v>1</v>
      </c>
      <c r="H5057" s="3"/>
    </row>
    <row r="5058" spans="1:8" hidden="1">
      <c r="A5058" s="3">
        <v>758538</v>
      </c>
      <c r="B5058" s="7" t="s">
        <v>127</v>
      </c>
      <c r="C5058" s="41">
        <v>256.92</v>
      </c>
      <c r="D5058" s="6">
        <v>45684</v>
      </c>
      <c r="E5058" s="3" t="str">
        <f ca="1">IF(Tabela2[[#This Row],[Dt Venc:]]&gt;TODAY(),"Em Aberto",IF(Tabela2[[#This Row],[D/venc]]="-","Enviado",IF(Tabela2[[#This Row],[Dt Venc:]]=TODAY(),"Vence Hoje","Vencida")))</f>
        <v>Enviado</v>
      </c>
      <c r="F5058" s="3" t="str">
        <f ca="1">IF(G5058=1,"-",Tabela2[[#This Row],[Dt Venc:]]-TODAY())</f>
        <v>-</v>
      </c>
      <c r="G5058" s="3">
        <v>1</v>
      </c>
      <c r="H5058" s="3"/>
    </row>
    <row r="5059" spans="1:8" hidden="1">
      <c r="A5059" s="3">
        <v>146691</v>
      </c>
      <c r="B5059" s="7" t="s">
        <v>127</v>
      </c>
      <c r="C5059" s="41">
        <v>602</v>
      </c>
      <c r="D5059" s="6">
        <v>45684</v>
      </c>
      <c r="E5059" s="3" t="str">
        <f ca="1">IF(Tabela2[[#This Row],[Dt Venc:]]&gt;TODAY(),"Em Aberto",IF(Tabela2[[#This Row],[D/venc]]="-","Enviado",IF(Tabela2[[#This Row],[Dt Venc:]]=TODAY(),"Vence Hoje","Vencida")))</f>
        <v>Enviado</v>
      </c>
      <c r="F5059" s="3" t="str">
        <f ca="1">IF(G5059=1,"-",Tabela2[[#This Row],[Dt Venc:]]-TODAY())</f>
        <v>-</v>
      </c>
      <c r="G5059" s="3">
        <v>1</v>
      </c>
      <c r="H5059" s="3"/>
    </row>
    <row r="5060" spans="1:8" hidden="1">
      <c r="A5060" s="3">
        <v>615163</v>
      </c>
      <c r="B5060" s="7" t="s">
        <v>66</v>
      </c>
      <c r="C5060" s="41">
        <v>6654.92</v>
      </c>
      <c r="D5060" s="6">
        <v>45684</v>
      </c>
      <c r="E5060" s="3" t="str">
        <f ca="1">IF(Tabela2[[#This Row],[Dt Venc:]]&gt;TODAY(),"Em Aberto",IF(Tabela2[[#This Row],[D/venc]]="-","Enviado",IF(Tabela2[[#This Row],[Dt Venc:]]=TODAY(),"Vence Hoje","Vencida")))</f>
        <v>Enviado</v>
      </c>
      <c r="F5060" s="3" t="str">
        <f ca="1">IF(G5060=1,"-",Tabela2[[#This Row],[Dt Venc:]]-TODAY())</f>
        <v>-</v>
      </c>
      <c r="G5060" s="3">
        <v>1</v>
      </c>
      <c r="H5060" s="3"/>
    </row>
    <row r="5061" spans="1:8" hidden="1">
      <c r="A5061" s="3">
        <v>182645</v>
      </c>
      <c r="B5061" s="7" t="s">
        <v>84</v>
      </c>
      <c r="C5061" s="41">
        <v>832.74</v>
      </c>
      <c r="D5061" s="6">
        <v>45684</v>
      </c>
      <c r="E5061" s="3" t="str">
        <f ca="1">IF(Tabela2[[#This Row],[Dt Venc:]]&gt;TODAY(),"Em Aberto",IF(Tabela2[[#This Row],[D/venc]]="-","Enviado",IF(Tabela2[[#This Row],[Dt Venc:]]=TODAY(),"Vence Hoje","Vencida")))</f>
        <v>Enviado</v>
      </c>
      <c r="F5061" s="3" t="str">
        <f ca="1">IF(G5061=1,"-",Tabela2[[#This Row],[Dt Venc:]]-TODAY())</f>
        <v>-</v>
      </c>
      <c r="G5061" s="3">
        <v>1</v>
      </c>
      <c r="H5061" s="3"/>
    </row>
    <row r="5062" spans="1:8" hidden="1">
      <c r="A5062" s="3">
        <v>248756</v>
      </c>
      <c r="B5062" s="7" t="s">
        <v>43</v>
      </c>
      <c r="C5062" s="41">
        <v>2091.5300000000002</v>
      </c>
      <c r="D5062" s="6">
        <v>45684</v>
      </c>
      <c r="E5062" s="3" t="str">
        <f ca="1">IF(Tabela2[[#This Row],[Dt Venc:]]&gt;TODAY(),"Em Aberto",IF(Tabela2[[#This Row],[D/venc]]="-","Enviado",IF(Tabela2[[#This Row],[Dt Venc:]]=TODAY(),"Vence Hoje","Vencida")))</f>
        <v>Enviado</v>
      </c>
      <c r="F5062" s="3" t="str">
        <f ca="1">IF(G5062=1,"-",Tabela2[[#This Row],[Dt Venc:]]-TODAY())</f>
        <v>-</v>
      </c>
      <c r="G5062" s="3">
        <v>1</v>
      </c>
      <c r="H5062" s="3"/>
    </row>
    <row r="5063" spans="1:8" hidden="1">
      <c r="A5063" s="3">
        <v>3303524</v>
      </c>
      <c r="B5063" s="7" t="s">
        <v>71</v>
      </c>
      <c r="C5063" s="41">
        <v>1183.6400000000001</v>
      </c>
      <c r="D5063" s="6">
        <v>45684</v>
      </c>
      <c r="E5063" s="3" t="str">
        <f ca="1">IF(Tabela2[[#This Row],[Dt Venc:]]&gt;TODAY(),"Em Aberto",IF(Tabela2[[#This Row],[D/venc]]="-","Enviado",IF(Tabela2[[#This Row],[Dt Venc:]]=TODAY(),"Vence Hoje","Vencida")))</f>
        <v>Enviado</v>
      </c>
      <c r="F5063" s="3" t="str">
        <f ca="1">IF(G5063=1,"-",Tabela2[[#This Row],[Dt Venc:]]-TODAY())</f>
        <v>-</v>
      </c>
      <c r="G5063" s="3">
        <v>1</v>
      </c>
      <c r="H5063" s="3"/>
    </row>
    <row r="5064" spans="1:8" hidden="1">
      <c r="A5064" s="3">
        <v>373444</v>
      </c>
      <c r="B5064" s="7" t="s">
        <v>39</v>
      </c>
      <c r="C5064" s="41">
        <v>554.51</v>
      </c>
      <c r="D5064" s="6">
        <v>45684</v>
      </c>
      <c r="E5064" s="3" t="str">
        <f ca="1">IF(Tabela2[[#This Row],[Dt Venc:]]&gt;TODAY(),"Em Aberto",IF(Tabela2[[#This Row],[D/venc]]="-","Enviado",IF(Tabela2[[#This Row],[Dt Venc:]]=TODAY(),"Vence Hoje","Vencida")))</f>
        <v>Enviado</v>
      </c>
      <c r="F5064" s="3" t="str">
        <f ca="1">IF(G5064=1,"-",Tabela2[[#This Row],[Dt Venc:]]-TODAY())</f>
        <v>-</v>
      </c>
      <c r="G5064" s="3">
        <v>1</v>
      </c>
      <c r="H5064" s="3"/>
    </row>
    <row r="5065" spans="1:8" hidden="1">
      <c r="A5065" s="3">
        <v>46837</v>
      </c>
      <c r="B5065" s="7" t="s">
        <v>197</v>
      </c>
      <c r="C5065" s="41">
        <v>1754.37</v>
      </c>
      <c r="D5065" s="6">
        <v>45684</v>
      </c>
      <c r="E5065" s="3" t="str">
        <f ca="1">IF(Tabela2[[#This Row],[Dt Venc:]]&gt;TODAY(),"Em Aberto",IF(Tabela2[[#This Row],[D/venc]]="-","Enviado",IF(Tabela2[[#This Row],[Dt Venc:]]=TODAY(),"Vence Hoje","Vencida")))</f>
        <v>Enviado</v>
      </c>
      <c r="F5065" s="3" t="str">
        <f ca="1">IF(G5065=1,"-",Tabela2[[#This Row],[Dt Venc:]]-TODAY())</f>
        <v>-</v>
      </c>
      <c r="G5065" s="3">
        <v>1</v>
      </c>
      <c r="H5065" s="3"/>
    </row>
    <row r="5066" spans="1:8" hidden="1">
      <c r="A5066" s="3">
        <v>52235</v>
      </c>
      <c r="B5066" s="7" t="s">
        <v>575</v>
      </c>
      <c r="C5066" s="41">
        <v>577.44000000000005</v>
      </c>
      <c r="D5066" s="6">
        <v>45684</v>
      </c>
      <c r="E5066" s="3" t="str">
        <f ca="1">IF(Tabela2[[#This Row],[Dt Venc:]]&gt;TODAY(),"Em Aberto",IF(Tabela2[[#This Row],[D/venc]]="-","Enviado",IF(Tabela2[[#This Row],[Dt Venc:]]=TODAY(),"Vence Hoje","Vencida")))</f>
        <v>Enviado</v>
      </c>
      <c r="F5066" s="3" t="str">
        <f ca="1">IF(G5066=1,"-",Tabela2[[#This Row],[Dt Venc:]]-TODAY())</f>
        <v>-</v>
      </c>
      <c r="G5066" s="3">
        <v>1</v>
      </c>
      <c r="H5066" s="3"/>
    </row>
    <row r="5067" spans="1:8" hidden="1">
      <c r="A5067" s="3">
        <v>190464</v>
      </c>
      <c r="B5067" s="7" t="s">
        <v>128</v>
      </c>
      <c r="C5067" s="41">
        <v>1718.48</v>
      </c>
      <c r="D5067" s="6">
        <v>45684</v>
      </c>
      <c r="E5067" s="3" t="str">
        <f ca="1">IF(Tabela2[[#This Row],[Dt Venc:]]&gt;TODAY(),"Em Aberto",IF(Tabela2[[#This Row],[D/venc]]="-","Enviado",IF(Tabela2[[#This Row],[Dt Venc:]]=TODAY(),"Vence Hoje","Vencida")))</f>
        <v>Enviado</v>
      </c>
      <c r="F5067" s="3" t="str">
        <f ca="1">IF(G5067=1,"-",Tabela2[[#This Row],[Dt Venc:]]-TODAY())</f>
        <v>-</v>
      </c>
      <c r="G5067" s="3">
        <v>1</v>
      </c>
      <c r="H5067" s="3"/>
    </row>
    <row r="5068" spans="1:8" hidden="1">
      <c r="A5068" s="3">
        <v>45712</v>
      </c>
      <c r="B5068" s="7" t="s">
        <v>70</v>
      </c>
      <c r="C5068" s="41">
        <v>982.94</v>
      </c>
      <c r="D5068" s="6">
        <v>45684</v>
      </c>
      <c r="E5068" s="3" t="str">
        <f ca="1">IF(Tabela2[[#This Row],[Dt Venc:]]&gt;TODAY(),"Em Aberto",IF(Tabela2[[#This Row],[D/venc]]="-","Enviado",IF(Tabela2[[#This Row],[Dt Venc:]]=TODAY(),"Vence Hoje","Vencida")))</f>
        <v>Enviado</v>
      </c>
      <c r="F5068" s="3" t="str">
        <f ca="1">IF(G5068=1,"-",Tabela2[[#This Row],[Dt Venc:]]-TODAY())</f>
        <v>-</v>
      </c>
      <c r="G5068" s="3">
        <v>1</v>
      </c>
      <c r="H5068" s="3"/>
    </row>
    <row r="5069" spans="1:8" hidden="1">
      <c r="A5069" s="3">
        <v>373535</v>
      </c>
      <c r="B5069" s="7" t="s">
        <v>39</v>
      </c>
      <c r="C5069" s="41">
        <v>650.1</v>
      </c>
      <c r="D5069" s="6">
        <v>45684</v>
      </c>
      <c r="E5069" s="3" t="str">
        <f ca="1">IF(Tabela2[[#This Row],[Dt Venc:]]&gt;TODAY(),"Em Aberto",IF(Tabela2[[#This Row],[D/venc]]="-","Enviado",IF(Tabela2[[#This Row],[Dt Venc:]]=TODAY(),"Vence Hoje","Vencida")))</f>
        <v>Enviado</v>
      </c>
      <c r="F5069" s="3" t="str">
        <f ca="1">IF(G5069=1,"-",Tabela2[[#This Row],[Dt Venc:]]-TODAY())</f>
        <v>-</v>
      </c>
      <c r="G5069" s="3">
        <v>1</v>
      </c>
      <c r="H5069" s="3"/>
    </row>
    <row r="5070" spans="1:8" hidden="1">
      <c r="A5070" s="3">
        <v>761283</v>
      </c>
      <c r="B5070" s="7" t="s">
        <v>127</v>
      </c>
      <c r="C5070" s="41">
        <v>342.56</v>
      </c>
      <c r="D5070" s="6">
        <v>45684</v>
      </c>
      <c r="E5070" s="3" t="str">
        <f ca="1">IF(Tabela2[[#This Row],[Dt Venc:]]&gt;TODAY(),"Em Aberto",IF(Tabela2[[#This Row],[D/venc]]="-","Enviado",IF(Tabela2[[#This Row],[Dt Venc:]]=TODAY(),"Vence Hoje","Vencida")))</f>
        <v>Enviado</v>
      </c>
      <c r="F5070" s="3" t="str">
        <f ca="1">IF(G5070=1,"-",Tabela2[[#This Row],[Dt Venc:]]-TODAY())</f>
        <v>-</v>
      </c>
      <c r="G5070" s="3">
        <v>1</v>
      </c>
      <c r="H5070" s="3"/>
    </row>
    <row r="5071" spans="1:8" hidden="1">
      <c r="A5071" s="3">
        <v>147364</v>
      </c>
      <c r="B5071" s="7" t="s">
        <v>127</v>
      </c>
      <c r="C5071" s="41">
        <v>802.67</v>
      </c>
      <c r="D5071" s="6">
        <v>45684</v>
      </c>
      <c r="E5071" s="3" t="str">
        <f ca="1">IF(Tabela2[[#This Row],[Dt Venc:]]&gt;TODAY(),"Em Aberto",IF(Tabela2[[#This Row],[D/venc]]="-","Enviado",IF(Tabela2[[#This Row],[Dt Venc:]]=TODAY(),"Vence Hoje","Vencida")))</f>
        <v>Enviado</v>
      </c>
      <c r="F5071" s="3" t="str">
        <f ca="1">IF(G5071=1,"-",Tabela2[[#This Row],[Dt Venc:]]-TODAY())</f>
        <v>-</v>
      </c>
      <c r="G5071" s="3">
        <v>1</v>
      </c>
      <c r="H5071" s="3"/>
    </row>
    <row r="5072" spans="1:8" hidden="1">
      <c r="A5072" s="3">
        <v>234930</v>
      </c>
      <c r="B5072" s="7" t="s">
        <v>40</v>
      </c>
      <c r="C5072" s="41">
        <v>900</v>
      </c>
      <c r="D5072" s="6">
        <v>45684</v>
      </c>
      <c r="E5072" s="3" t="str">
        <f ca="1">IF(Tabela2[[#This Row],[Dt Venc:]]&gt;TODAY(),"Em Aberto",IF(Tabela2[[#This Row],[D/venc]]="-","Enviado",IF(Tabela2[[#This Row],[Dt Venc:]]=TODAY(),"Vence Hoje","Vencida")))</f>
        <v>Enviado</v>
      </c>
      <c r="F5072" s="3" t="str">
        <f ca="1">IF(G5072=1,"-",Tabela2[[#This Row],[Dt Venc:]]-TODAY())</f>
        <v>-</v>
      </c>
      <c r="G5072" s="3">
        <v>1</v>
      </c>
      <c r="H5072" s="3"/>
    </row>
    <row r="5073" spans="1:8" hidden="1">
      <c r="A5073" s="3">
        <v>390101</v>
      </c>
      <c r="B5073" s="7" t="s">
        <v>43</v>
      </c>
      <c r="C5073" s="41">
        <v>703.33</v>
      </c>
      <c r="D5073" s="6">
        <v>45684</v>
      </c>
      <c r="E5073" s="3" t="str">
        <f ca="1">IF(Tabela2[[#This Row],[Dt Venc:]]&gt;TODAY(),"Em Aberto",IF(Tabela2[[#This Row],[D/venc]]="-","Enviado",IF(Tabela2[[#This Row],[Dt Venc:]]=TODAY(),"Vence Hoje","Vencida")))</f>
        <v>Enviado</v>
      </c>
      <c r="F5073" s="3" t="str">
        <f ca="1">IF(G5073=1,"-",Tabela2[[#This Row],[Dt Venc:]]-TODAY())</f>
        <v>-</v>
      </c>
      <c r="G5073" s="3">
        <v>1</v>
      </c>
      <c r="H5073" s="3"/>
    </row>
    <row r="5074" spans="1:8" hidden="1">
      <c r="A5074" s="3">
        <v>71522</v>
      </c>
      <c r="B5074" s="7" t="s">
        <v>333</v>
      </c>
      <c r="C5074" s="41">
        <v>793.67</v>
      </c>
      <c r="D5074" s="6">
        <v>45684</v>
      </c>
      <c r="E5074" s="3" t="str">
        <f ca="1">IF(Tabela2[[#This Row],[Dt Venc:]]&gt;TODAY(),"Em Aberto",IF(Tabela2[[#This Row],[D/venc]]="-","Enviado",IF(Tabela2[[#This Row],[Dt Venc:]]=TODAY(),"Vence Hoje","Vencida")))</f>
        <v>Enviado</v>
      </c>
      <c r="F5074" s="3" t="str">
        <f ca="1">IF(G5074=1,"-",Tabela2[[#This Row],[Dt Venc:]]-TODAY())</f>
        <v>-</v>
      </c>
      <c r="G5074" s="3">
        <v>1</v>
      </c>
      <c r="H5074" s="3"/>
    </row>
    <row r="5075" spans="1:8" hidden="1">
      <c r="A5075" s="3">
        <v>17358</v>
      </c>
      <c r="B5075" s="7" t="s">
        <v>585</v>
      </c>
      <c r="C5075" s="41">
        <v>560</v>
      </c>
      <c r="D5075" s="6">
        <v>45684</v>
      </c>
      <c r="E5075" s="3" t="str">
        <f ca="1">IF(Tabela2[[#This Row],[Dt Venc:]]&gt;TODAY(),"Em Aberto",IF(Tabela2[[#This Row],[D/venc]]="-","Enviado",IF(Tabela2[[#This Row],[Dt Venc:]]=TODAY(),"Vence Hoje","Vencida")))</f>
        <v>Enviado</v>
      </c>
      <c r="F5075" s="3" t="str">
        <f ca="1">IF(G5075=1,"-",Tabela2[[#This Row],[Dt Venc:]]-TODAY())</f>
        <v>-</v>
      </c>
      <c r="G5075" s="3">
        <v>1</v>
      </c>
      <c r="H5075" s="3"/>
    </row>
    <row r="5076" spans="1:8" hidden="1">
      <c r="A5076" s="3">
        <v>17361</v>
      </c>
      <c r="B5076" s="7" t="s">
        <v>585</v>
      </c>
      <c r="C5076" s="41">
        <v>560</v>
      </c>
      <c r="D5076" s="6">
        <v>45684</v>
      </c>
      <c r="E5076" s="3" t="str">
        <f ca="1">IF(Tabela2[[#This Row],[Dt Venc:]]&gt;TODAY(),"Em Aberto",IF(Tabela2[[#This Row],[D/venc]]="-","Enviado",IF(Tabela2[[#This Row],[Dt Venc:]]=TODAY(),"Vence Hoje","Vencida")))</f>
        <v>Enviado</v>
      </c>
      <c r="F5076" s="3" t="str">
        <f ca="1">IF(G5076=1,"-",Tabela2[[#This Row],[Dt Venc:]]-TODAY())</f>
        <v>-</v>
      </c>
      <c r="G5076" s="3">
        <v>1</v>
      </c>
      <c r="H5076" s="3"/>
    </row>
    <row r="5077" spans="1:8" hidden="1">
      <c r="A5077" s="3">
        <v>88077</v>
      </c>
      <c r="B5077" s="7" t="s">
        <v>70</v>
      </c>
      <c r="C5077" s="41">
        <v>1176.22</v>
      </c>
      <c r="D5077" s="6">
        <v>45684</v>
      </c>
      <c r="E5077" s="3" t="str">
        <f ca="1">IF(Tabela2[[#This Row],[Dt Venc:]]&gt;TODAY(),"Em Aberto",IF(Tabela2[[#This Row],[D/venc]]="-","Enviado",IF(Tabela2[[#This Row],[Dt Venc:]]=TODAY(),"Vence Hoje","Vencida")))</f>
        <v>Enviado</v>
      </c>
      <c r="F5077" s="3" t="str">
        <f ca="1">IF(G5077=1,"-",Tabela2[[#This Row],[Dt Venc:]]-TODAY())</f>
        <v>-</v>
      </c>
      <c r="G5077" s="3">
        <v>1</v>
      </c>
      <c r="H5077" s="3"/>
    </row>
    <row r="5078" spans="1:8" hidden="1">
      <c r="A5078" s="3">
        <v>258811</v>
      </c>
      <c r="B5078" s="7" t="s">
        <v>49</v>
      </c>
      <c r="C5078" s="41">
        <v>1716.66</v>
      </c>
      <c r="D5078" s="6">
        <v>45684</v>
      </c>
      <c r="E5078" s="3" t="str">
        <f ca="1">IF(Tabela2[[#This Row],[Dt Venc:]]&gt;TODAY(),"Em Aberto",IF(Tabela2[[#This Row],[D/venc]]="-","Enviado",IF(Tabela2[[#This Row],[Dt Venc:]]=TODAY(),"Vence Hoje","Vencida")))</f>
        <v>Enviado</v>
      </c>
      <c r="F5078" s="3" t="str">
        <f ca="1">IF(G5078=1,"-",Tabela2[[#This Row],[Dt Venc:]]-TODAY())</f>
        <v>-</v>
      </c>
      <c r="G5078" s="3">
        <v>1</v>
      </c>
      <c r="H5078" s="3"/>
    </row>
    <row r="5079" spans="1:8" hidden="1">
      <c r="A5079" s="3">
        <v>15367</v>
      </c>
      <c r="B5079" s="7" t="s">
        <v>44</v>
      </c>
      <c r="C5079" s="41">
        <v>956.25</v>
      </c>
      <c r="D5079" s="6">
        <v>45684</v>
      </c>
      <c r="E5079" s="3" t="str">
        <f ca="1">IF(Tabela2[[#This Row],[Dt Venc:]]&gt;TODAY(),"Em Aberto",IF(Tabela2[[#This Row],[D/venc]]="-","Enviado",IF(Tabela2[[#This Row],[Dt Venc:]]=TODAY(),"Vence Hoje","Vencida")))</f>
        <v>Enviado</v>
      </c>
      <c r="F5079" s="3" t="str">
        <f ca="1">IF(G5079=1,"-",Tabela2[[#This Row],[Dt Venc:]]-TODAY())</f>
        <v>-</v>
      </c>
      <c r="G5079" s="3">
        <v>1</v>
      </c>
      <c r="H5079" s="3"/>
    </row>
    <row r="5080" spans="1:8" hidden="1">
      <c r="A5080" s="3">
        <v>74549</v>
      </c>
      <c r="B5080" s="7" t="s">
        <v>76</v>
      </c>
      <c r="C5080" s="41">
        <v>419.24</v>
      </c>
      <c r="D5080" s="6">
        <v>45684</v>
      </c>
      <c r="E5080" s="3" t="str">
        <f ca="1">IF(Tabela2[[#This Row],[Dt Venc:]]&gt;TODAY(),"Em Aberto",IF(Tabela2[[#This Row],[D/venc]]="-","Enviado",IF(Tabela2[[#This Row],[Dt Venc:]]=TODAY(),"Vence Hoje","Vencida")))</f>
        <v>Enviado</v>
      </c>
      <c r="F5080" s="3" t="str">
        <f ca="1">IF(G5080=1,"-",Tabela2[[#This Row],[Dt Venc:]]-TODAY())</f>
        <v>-</v>
      </c>
      <c r="G5080" s="3">
        <v>1</v>
      </c>
      <c r="H5080" s="3"/>
    </row>
    <row r="5081" spans="1:8" hidden="1">
      <c r="A5081" s="3">
        <v>241309</v>
      </c>
      <c r="B5081" s="7" t="s">
        <v>139</v>
      </c>
      <c r="C5081" s="41">
        <v>1105</v>
      </c>
      <c r="D5081" s="6">
        <v>45684</v>
      </c>
      <c r="E5081" s="3" t="str">
        <f ca="1">IF(Tabela2[[#This Row],[Dt Venc:]]&gt;TODAY(),"Em Aberto",IF(Tabela2[[#This Row],[D/venc]]="-","Enviado",IF(Tabela2[[#This Row],[Dt Venc:]]=TODAY(),"Vence Hoje","Vencida")))</f>
        <v>Enviado</v>
      </c>
      <c r="F5081" s="3" t="str">
        <f ca="1">IF(G5081=1,"-",Tabela2[[#This Row],[Dt Venc:]]-TODAY())</f>
        <v>-</v>
      </c>
      <c r="G5081" s="3">
        <v>1</v>
      </c>
      <c r="H5081" s="3"/>
    </row>
    <row r="5082" spans="1:8" hidden="1">
      <c r="A5082" s="3">
        <v>227233</v>
      </c>
      <c r="B5082" s="7" t="s">
        <v>39</v>
      </c>
      <c r="C5082" s="41">
        <v>597.51</v>
      </c>
      <c r="D5082" s="6">
        <v>45684</v>
      </c>
      <c r="E5082" s="3" t="str">
        <f ca="1">IF(Tabela2[[#This Row],[Dt Venc:]]&gt;TODAY(),"Em Aberto",IF(Tabela2[[#This Row],[D/venc]]="-","Enviado",IF(Tabela2[[#This Row],[Dt Venc:]]=TODAY(),"Vence Hoje","Vencida")))</f>
        <v>Enviado</v>
      </c>
      <c r="F5082" s="3" t="str">
        <f ca="1">IF(G5082=1,"-",Tabela2[[#This Row],[Dt Venc:]]-TODAY())</f>
        <v>-</v>
      </c>
      <c r="G5082" s="3">
        <v>1</v>
      </c>
      <c r="H5082" s="3"/>
    </row>
    <row r="5083" spans="1:8" hidden="1">
      <c r="A5083" s="3">
        <v>22060</v>
      </c>
      <c r="B5083" s="7" t="s">
        <v>39</v>
      </c>
      <c r="C5083" s="41">
        <v>200</v>
      </c>
      <c r="D5083" s="6">
        <v>45684</v>
      </c>
      <c r="E5083" s="3" t="str">
        <f ca="1">IF(Tabela2[[#This Row],[Dt Venc:]]&gt;TODAY(),"Em Aberto",IF(Tabela2[[#This Row],[D/venc]]="-","Enviado",IF(Tabela2[[#This Row],[Dt Venc:]]=TODAY(),"Vence Hoje","Vencida")))</f>
        <v>Enviado</v>
      </c>
      <c r="F5083" s="3" t="str">
        <f ca="1">IF(G5083=1,"-",Tabela2[[#This Row],[Dt Venc:]]-TODAY())</f>
        <v>-</v>
      </c>
      <c r="G5083" s="3">
        <v>1</v>
      </c>
      <c r="H5083" s="3"/>
    </row>
    <row r="5084" spans="1:8" hidden="1">
      <c r="A5084" s="3">
        <v>2969</v>
      </c>
      <c r="B5084" s="7" t="s">
        <v>301</v>
      </c>
      <c r="C5084" s="41">
        <v>2440</v>
      </c>
      <c r="D5084" s="6">
        <v>45684</v>
      </c>
      <c r="E5084" s="3" t="str">
        <f ca="1">IF(Tabela2[[#This Row],[Dt Venc:]]&gt;TODAY(),"Em Aberto",IF(Tabela2[[#This Row],[D/venc]]="-","Enviado",IF(Tabela2[[#This Row],[Dt Venc:]]=TODAY(),"Vence Hoje","Vencida")))</f>
        <v>Enviado</v>
      </c>
      <c r="F5084" s="3" t="str">
        <f ca="1">IF(G5084=1,"-",Tabela2[[#This Row],[Dt Venc:]]-TODAY())</f>
        <v>-</v>
      </c>
      <c r="G5084" s="3">
        <v>1</v>
      </c>
      <c r="H5084" s="3"/>
    </row>
    <row r="5085" spans="1:8" hidden="1">
      <c r="A5085" s="3">
        <v>259101</v>
      </c>
      <c r="B5085" s="7" t="s">
        <v>49</v>
      </c>
      <c r="C5085" s="41">
        <v>686.66</v>
      </c>
      <c r="D5085" s="6">
        <v>45684</v>
      </c>
      <c r="E5085" s="3" t="str">
        <f ca="1">IF(Tabela2[[#This Row],[Dt Venc:]]&gt;TODAY(),"Em Aberto",IF(Tabela2[[#This Row],[D/venc]]="-","Enviado",IF(Tabela2[[#This Row],[Dt Venc:]]=TODAY(),"Vence Hoje","Vencida")))</f>
        <v>Enviado</v>
      </c>
      <c r="F5085" s="3" t="str">
        <f ca="1">IF(G5085=1,"-",Tabela2[[#This Row],[Dt Venc:]]-TODAY())</f>
        <v>-</v>
      </c>
      <c r="G5085" s="3">
        <v>1</v>
      </c>
      <c r="H5085" s="3"/>
    </row>
    <row r="5086" spans="1:8" hidden="1">
      <c r="A5086" s="3">
        <v>399914</v>
      </c>
      <c r="B5086" s="7" t="s">
        <v>136</v>
      </c>
      <c r="C5086" s="41">
        <v>1621.07</v>
      </c>
      <c r="D5086" s="6">
        <v>45684</v>
      </c>
      <c r="E5086" s="3" t="str">
        <f ca="1">IF(Tabela2[[#This Row],[Dt Venc:]]&gt;TODAY(),"Em Aberto",IF(Tabela2[[#This Row],[D/venc]]="-","Enviado",IF(Tabela2[[#This Row],[Dt Venc:]]=TODAY(),"Vence Hoje","Vencida")))</f>
        <v>Enviado</v>
      </c>
      <c r="F5086" s="3" t="str">
        <f ca="1">IF(G5086=1,"-",Tabela2[[#This Row],[Dt Venc:]]-TODAY())</f>
        <v>-</v>
      </c>
      <c r="G5086" s="3">
        <v>1</v>
      </c>
      <c r="H5086" s="3"/>
    </row>
    <row r="5087" spans="1:8" hidden="1">
      <c r="A5087" s="3">
        <v>399913</v>
      </c>
      <c r="B5087" s="7" t="s">
        <v>136</v>
      </c>
      <c r="C5087" s="41">
        <v>1870</v>
      </c>
      <c r="D5087" s="6">
        <v>45684</v>
      </c>
      <c r="E5087" s="3" t="str">
        <f ca="1">IF(Tabela2[[#This Row],[Dt Venc:]]&gt;TODAY(),"Em Aberto",IF(Tabela2[[#This Row],[D/venc]]="-","Enviado",IF(Tabela2[[#This Row],[Dt Venc:]]=TODAY(),"Vence Hoje","Vencida")))</f>
        <v>Enviado</v>
      </c>
      <c r="F5087" s="3" t="str">
        <f ca="1">IF(G5087=1,"-",Tabela2[[#This Row],[Dt Venc:]]-TODAY())</f>
        <v>-</v>
      </c>
      <c r="G5087" s="3">
        <v>1</v>
      </c>
      <c r="H5087" s="3"/>
    </row>
    <row r="5088" spans="1:8" hidden="1">
      <c r="A5088" s="3">
        <v>224652</v>
      </c>
      <c r="B5088" s="7" t="s">
        <v>39</v>
      </c>
      <c r="C5088" s="41">
        <v>21465</v>
      </c>
      <c r="D5088" s="6">
        <v>45684</v>
      </c>
      <c r="E5088" s="3" t="str">
        <f ca="1">IF(Tabela2[[#This Row],[Dt Venc:]]&gt;TODAY(),"Em Aberto",IF(Tabela2[[#This Row],[D/venc]]="-","Enviado",IF(Tabela2[[#This Row],[Dt Venc:]]=TODAY(),"Vence Hoje","Vencida")))</f>
        <v>Enviado</v>
      </c>
      <c r="F5088" s="3" t="str">
        <f ca="1">IF(G5088=1,"-",Tabela2[[#This Row],[Dt Venc:]]-TODAY())</f>
        <v>-</v>
      </c>
      <c r="G5088" s="3">
        <v>1</v>
      </c>
      <c r="H5088" s="3"/>
    </row>
    <row r="5089" spans="1:8" hidden="1">
      <c r="A5089" s="3">
        <v>5455</v>
      </c>
      <c r="B5089" s="7" t="s">
        <v>109</v>
      </c>
      <c r="C5089" s="41">
        <v>960</v>
      </c>
      <c r="D5089" s="6">
        <v>45684</v>
      </c>
      <c r="E5089" s="3" t="str">
        <f ca="1">IF(Tabela2[[#This Row],[Dt Venc:]]&gt;TODAY(),"Em Aberto",IF(Tabela2[[#This Row],[D/venc]]="-","Enviado",IF(Tabela2[[#This Row],[Dt Venc:]]=TODAY(),"Vence Hoje","Vencida")))</f>
        <v>Enviado</v>
      </c>
      <c r="F5089" s="3" t="str">
        <f ca="1">IF(G5089=1,"-",Tabela2[[#This Row],[Dt Venc:]]-TODAY())</f>
        <v>-</v>
      </c>
      <c r="G5089" s="3">
        <v>1</v>
      </c>
      <c r="H5089" s="3"/>
    </row>
    <row r="5090" spans="1:8" hidden="1">
      <c r="A5090" s="3">
        <v>57</v>
      </c>
      <c r="B5090" s="7" t="s">
        <v>657</v>
      </c>
      <c r="C5090" s="41">
        <v>950</v>
      </c>
      <c r="D5090" s="6">
        <v>45684</v>
      </c>
      <c r="E5090" s="3" t="str">
        <f ca="1">IF(Tabela2[[#This Row],[Dt Venc:]]&gt;TODAY(),"Em Aberto",IF(Tabela2[[#This Row],[D/venc]]="-","Enviado",IF(Tabela2[[#This Row],[Dt Venc:]]=TODAY(),"Vence Hoje","Vencida")))</f>
        <v>Enviado</v>
      </c>
      <c r="F5090" s="3" t="str">
        <f ca="1">IF(G5090=1,"-",Tabela2[[#This Row],[Dt Venc:]]-TODAY())</f>
        <v>-</v>
      </c>
      <c r="G5090" s="3">
        <v>1</v>
      </c>
      <c r="H5090" s="3"/>
    </row>
    <row r="5091" spans="1:8" hidden="1">
      <c r="A5091" s="3">
        <v>1109550</v>
      </c>
      <c r="B5091" s="7" t="s">
        <v>141</v>
      </c>
      <c r="C5091" s="41">
        <v>1663.95</v>
      </c>
      <c r="D5091" s="6">
        <v>45684</v>
      </c>
      <c r="E5091" s="3" t="str">
        <f ca="1">IF(Tabela2[[#This Row],[Dt Venc:]]&gt;TODAY(),"Em Aberto",IF(Tabela2[[#This Row],[D/venc]]="-","Enviado",IF(Tabela2[[#This Row],[Dt Venc:]]=TODAY(),"Vence Hoje","Vencida")))</f>
        <v>Enviado</v>
      </c>
      <c r="F5091" s="3" t="str">
        <f ca="1">IF(G5091=1,"-",Tabela2[[#This Row],[Dt Venc:]]-TODAY())</f>
        <v>-</v>
      </c>
      <c r="G5091" s="3">
        <v>1</v>
      </c>
      <c r="H5091" s="3"/>
    </row>
    <row r="5092" spans="1:8" hidden="1">
      <c r="A5092" s="3">
        <v>1109547</v>
      </c>
      <c r="B5092" s="7" t="s">
        <v>141</v>
      </c>
      <c r="C5092" s="41">
        <v>1294.6099999999999</v>
      </c>
      <c r="D5092" s="6">
        <v>45684</v>
      </c>
      <c r="E5092" s="3" t="str">
        <f ca="1">IF(Tabela2[[#This Row],[Dt Venc:]]&gt;TODAY(),"Em Aberto",IF(Tabela2[[#This Row],[D/venc]]="-","Enviado",IF(Tabela2[[#This Row],[Dt Venc:]]=TODAY(),"Vence Hoje","Vencida")))</f>
        <v>Enviado</v>
      </c>
      <c r="F5092" s="3" t="str">
        <f ca="1">IF(G5092=1,"-",Tabela2[[#This Row],[Dt Venc:]]-TODAY())</f>
        <v>-</v>
      </c>
      <c r="G5092" s="3">
        <v>1</v>
      </c>
      <c r="H5092" s="3"/>
    </row>
    <row r="5093" spans="1:8" hidden="1">
      <c r="A5093" s="3">
        <v>1109560</v>
      </c>
      <c r="B5093" s="7" t="s">
        <v>141</v>
      </c>
      <c r="C5093" s="41">
        <v>1521.04</v>
      </c>
      <c r="D5093" s="6">
        <v>45684</v>
      </c>
      <c r="E5093" s="3" t="str">
        <f ca="1">IF(Tabela2[[#This Row],[Dt Venc:]]&gt;TODAY(),"Em Aberto",IF(Tabela2[[#This Row],[D/venc]]="-","Enviado",IF(Tabela2[[#This Row],[Dt Venc:]]=TODAY(),"Vence Hoje","Vencida")))</f>
        <v>Enviado</v>
      </c>
      <c r="F5093" s="3" t="str">
        <f ca="1">IF(G5093=1,"-",Tabela2[[#This Row],[Dt Venc:]]-TODAY())</f>
        <v>-</v>
      </c>
      <c r="G5093" s="3">
        <v>1</v>
      </c>
      <c r="H5093" s="3"/>
    </row>
    <row r="5094" spans="1:8" hidden="1">
      <c r="A5094" s="3">
        <v>1109544</v>
      </c>
      <c r="B5094" s="7" t="s">
        <v>141</v>
      </c>
      <c r="C5094" s="41">
        <v>1357.03</v>
      </c>
      <c r="D5094" s="6">
        <v>45684</v>
      </c>
      <c r="E5094" s="3" t="str">
        <f ca="1">IF(Tabela2[[#This Row],[Dt Venc:]]&gt;TODAY(),"Em Aberto",IF(Tabela2[[#This Row],[D/venc]]="-","Enviado",IF(Tabela2[[#This Row],[Dt Venc:]]=TODAY(),"Vence Hoje","Vencida")))</f>
        <v>Enviado</v>
      </c>
      <c r="F5094" s="3" t="str">
        <f ca="1">IF(G5094=1,"-",Tabela2[[#This Row],[Dt Venc:]]-TODAY())</f>
        <v>-</v>
      </c>
      <c r="G5094" s="3">
        <v>1</v>
      </c>
      <c r="H5094" s="3"/>
    </row>
    <row r="5095" spans="1:8" hidden="1">
      <c r="A5095" s="3">
        <v>1109545</v>
      </c>
      <c r="B5095" s="7" t="s">
        <v>141</v>
      </c>
      <c r="C5095" s="41">
        <v>1177.57</v>
      </c>
      <c r="D5095" s="6">
        <v>45684</v>
      </c>
      <c r="E5095" s="3" t="str">
        <f ca="1">IF(Tabela2[[#This Row],[Dt Venc:]]&gt;TODAY(),"Em Aberto",IF(Tabela2[[#This Row],[D/venc]]="-","Enviado",IF(Tabela2[[#This Row],[Dt Venc:]]=TODAY(),"Vence Hoje","Vencida")))</f>
        <v>Enviado</v>
      </c>
      <c r="F5095" s="3" t="str">
        <f ca="1">IF(G5095=1,"-",Tabela2[[#This Row],[Dt Venc:]]-TODAY())</f>
        <v>-</v>
      </c>
      <c r="G5095" s="3">
        <v>1</v>
      </c>
      <c r="H5095" s="3"/>
    </row>
    <row r="5096" spans="1:8" hidden="1">
      <c r="A5096" s="3">
        <v>1109552</v>
      </c>
      <c r="B5096" s="7" t="s">
        <v>141</v>
      </c>
      <c r="C5096" s="41">
        <v>1408.05</v>
      </c>
      <c r="D5096" s="6">
        <v>45684</v>
      </c>
      <c r="E5096" s="3" t="str">
        <f ca="1">IF(Tabela2[[#This Row],[Dt Venc:]]&gt;TODAY(),"Em Aberto",IF(Tabela2[[#This Row],[D/venc]]="-","Enviado",IF(Tabela2[[#This Row],[Dt Venc:]]=TODAY(),"Vence Hoje","Vencida")))</f>
        <v>Enviado</v>
      </c>
      <c r="F5096" s="3" t="str">
        <f ca="1">IF(G5096=1,"-",Tabela2[[#This Row],[Dt Venc:]]-TODAY())</f>
        <v>-</v>
      </c>
      <c r="G5096" s="3">
        <v>1</v>
      </c>
      <c r="H5096" s="3"/>
    </row>
    <row r="5097" spans="1:8" hidden="1">
      <c r="A5097" s="3">
        <v>1109557</v>
      </c>
      <c r="B5097" s="7" t="s">
        <v>141</v>
      </c>
      <c r="C5097" s="41">
        <v>1594.24</v>
      </c>
      <c r="D5097" s="6">
        <v>45684</v>
      </c>
      <c r="E5097" s="3" t="str">
        <f ca="1">IF(Tabela2[[#This Row],[Dt Venc:]]&gt;TODAY(),"Em Aberto",IF(Tabela2[[#This Row],[D/venc]]="-","Enviado",IF(Tabela2[[#This Row],[Dt Venc:]]=TODAY(),"Vence Hoje","Vencida")))</f>
        <v>Enviado</v>
      </c>
      <c r="F5097" s="3" t="str">
        <f ca="1">IF(G5097=1,"-",Tabela2[[#This Row],[Dt Venc:]]-TODAY())</f>
        <v>-</v>
      </c>
      <c r="G5097" s="3">
        <v>1</v>
      </c>
      <c r="H5097" s="3"/>
    </row>
    <row r="5098" spans="1:8" hidden="1">
      <c r="A5098" s="3">
        <v>1109551</v>
      </c>
      <c r="B5098" s="7" t="s">
        <v>141</v>
      </c>
      <c r="C5098" s="41">
        <v>1782.35</v>
      </c>
      <c r="D5098" s="6">
        <v>45684</v>
      </c>
      <c r="E5098" s="3" t="str">
        <f ca="1">IF(Tabela2[[#This Row],[Dt Venc:]]&gt;TODAY(),"Em Aberto",IF(Tabela2[[#This Row],[D/venc]]="-","Enviado",IF(Tabela2[[#This Row],[Dt Venc:]]=TODAY(),"Vence Hoje","Vencida")))</f>
        <v>Enviado</v>
      </c>
      <c r="F5098" s="3" t="str">
        <f ca="1">IF(G5098=1,"-",Tabela2[[#This Row],[Dt Venc:]]-TODAY())</f>
        <v>-</v>
      </c>
      <c r="G5098" s="3">
        <v>1</v>
      </c>
      <c r="H5098" s="3"/>
    </row>
    <row r="5099" spans="1:8" hidden="1">
      <c r="A5099" s="3">
        <v>1109538</v>
      </c>
      <c r="B5099" s="7" t="s">
        <v>141</v>
      </c>
      <c r="C5099" s="41">
        <v>1638.09</v>
      </c>
      <c r="D5099" s="6">
        <v>45684</v>
      </c>
      <c r="E5099" s="3" t="str">
        <f ca="1">IF(Tabela2[[#This Row],[Dt Venc:]]&gt;TODAY(),"Em Aberto",IF(Tabela2[[#This Row],[D/venc]]="-","Enviado",IF(Tabela2[[#This Row],[Dt Venc:]]=TODAY(),"Vence Hoje","Vencida")))</f>
        <v>Enviado</v>
      </c>
      <c r="F5099" s="3" t="str">
        <f ca="1">IF(G5099=1,"-",Tabela2[[#This Row],[Dt Venc:]]-TODAY())</f>
        <v>-</v>
      </c>
      <c r="G5099" s="3">
        <v>1</v>
      </c>
      <c r="H5099" s="3"/>
    </row>
    <row r="5100" spans="1:8" hidden="1">
      <c r="A5100" s="3">
        <v>1109549</v>
      </c>
      <c r="B5100" s="7" t="s">
        <v>141</v>
      </c>
      <c r="C5100" s="41">
        <v>1694.03</v>
      </c>
      <c r="D5100" s="6">
        <v>45684</v>
      </c>
      <c r="E5100" s="3" t="str">
        <f ca="1">IF(Tabela2[[#This Row],[Dt Venc:]]&gt;TODAY(),"Em Aberto",IF(Tabela2[[#This Row],[D/venc]]="-","Enviado",IF(Tabela2[[#This Row],[Dt Venc:]]=TODAY(),"Vence Hoje","Vencida")))</f>
        <v>Enviado</v>
      </c>
      <c r="F5100" s="3" t="str">
        <f ca="1">IF(G5100=1,"-",Tabela2[[#This Row],[Dt Venc:]]-TODAY())</f>
        <v>-</v>
      </c>
      <c r="G5100" s="3">
        <v>1</v>
      </c>
      <c r="H5100" s="3"/>
    </row>
    <row r="5101" spans="1:8" hidden="1">
      <c r="A5101" s="3">
        <v>1109554</v>
      </c>
      <c r="B5101" s="7" t="s">
        <v>141</v>
      </c>
      <c r="C5101" s="41">
        <v>1392.11</v>
      </c>
      <c r="D5101" s="6">
        <v>45684</v>
      </c>
      <c r="E5101" s="3" t="str">
        <f ca="1">IF(Tabela2[[#This Row],[Dt Venc:]]&gt;TODAY(),"Em Aberto",IF(Tabela2[[#This Row],[D/venc]]="-","Enviado",IF(Tabela2[[#This Row],[Dt Venc:]]=TODAY(),"Vence Hoje","Vencida")))</f>
        <v>Enviado</v>
      </c>
      <c r="F5101" s="3" t="str">
        <f ca="1">IF(G5101=1,"-",Tabela2[[#This Row],[Dt Venc:]]-TODAY())</f>
        <v>-</v>
      </c>
      <c r="G5101" s="3">
        <v>1</v>
      </c>
      <c r="H5101" s="3"/>
    </row>
    <row r="5102" spans="1:8" hidden="1">
      <c r="A5102" s="3">
        <v>1109540</v>
      </c>
      <c r="B5102" s="7" t="s">
        <v>141</v>
      </c>
      <c r="C5102" s="41">
        <v>1557.24</v>
      </c>
      <c r="D5102" s="6">
        <v>45684</v>
      </c>
      <c r="E5102" s="3" t="str">
        <f ca="1">IF(Tabela2[[#This Row],[Dt Venc:]]&gt;TODAY(),"Em Aberto",IF(Tabela2[[#This Row],[D/venc]]="-","Enviado",IF(Tabela2[[#This Row],[Dt Venc:]]=TODAY(),"Vence Hoje","Vencida")))</f>
        <v>Enviado</v>
      </c>
      <c r="F5102" s="3" t="str">
        <f ca="1">IF(G5102=1,"-",Tabela2[[#This Row],[Dt Venc:]]-TODAY())</f>
        <v>-</v>
      </c>
      <c r="G5102" s="3">
        <v>1</v>
      </c>
      <c r="H5102" s="3"/>
    </row>
    <row r="5103" spans="1:8" hidden="1">
      <c r="A5103" s="3">
        <v>1109539</v>
      </c>
      <c r="B5103" s="7" t="s">
        <v>141</v>
      </c>
      <c r="C5103" s="41">
        <v>1696.71</v>
      </c>
      <c r="D5103" s="6">
        <v>45684</v>
      </c>
      <c r="E5103" s="3" t="str">
        <f ca="1">IF(Tabela2[[#This Row],[Dt Venc:]]&gt;TODAY(),"Em Aberto",IF(Tabela2[[#This Row],[D/venc]]="-","Enviado",IF(Tabela2[[#This Row],[Dt Venc:]]=TODAY(),"Vence Hoje","Vencida")))</f>
        <v>Enviado</v>
      </c>
      <c r="F5103" s="3" t="str">
        <f ca="1">IF(G5103=1,"-",Tabela2[[#This Row],[Dt Venc:]]-TODAY())</f>
        <v>-</v>
      </c>
      <c r="G5103" s="3">
        <v>1</v>
      </c>
      <c r="H5103" s="3"/>
    </row>
    <row r="5104" spans="1:8" hidden="1">
      <c r="A5104" s="3">
        <v>1109543</v>
      </c>
      <c r="B5104" s="7" t="s">
        <v>141</v>
      </c>
      <c r="C5104" s="41">
        <v>1703.81</v>
      </c>
      <c r="D5104" s="6">
        <v>45684</v>
      </c>
      <c r="E5104" s="3" t="str">
        <f ca="1">IF(Tabela2[[#This Row],[Dt Venc:]]&gt;TODAY(),"Em Aberto",IF(Tabela2[[#This Row],[D/venc]]="-","Enviado",IF(Tabela2[[#This Row],[Dt Venc:]]=TODAY(),"Vence Hoje","Vencida")))</f>
        <v>Enviado</v>
      </c>
      <c r="F5104" s="3" t="str">
        <f ca="1">IF(G5104=1,"-",Tabela2[[#This Row],[Dt Venc:]]-TODAY())</f>
        <v>-</v>
      </c>
      <c r="G5104" s="3">
        <v>1</v>
      </c>
      <c r="H5104" s="3"/>
    </row>
    <row r="5105" spans="1:8" hidden="1">
      <c r="A5105" s="3">
        <v>1109535</v>
      </c>
      <c r="B5105" s="7" t="s">
        <v>141</v>
      </c>
      <c r="C5105" s="41">
        <v>1288.07</v>
      </c>
      <c r="D5105" s="6">
        <v>45684</v>
      </c>
      <c r="E5105" s="3" t="str">
        <f ca="1">IF(Tabela2[[#This Row],[Dt Venc:]]&gt;TODAY(),"Em Aberto",IF(Tabela2[[#This Row],[D/venc]]="-","Enviado",IF(Tabela2[[#This Row],[Dt Venc:]]=TODAY(),"Vence Hoje","Vencida")))</f>
        <v>Enviado</v>
      </c>
      <c r="F5105" s="3" t="str">
        <f ca="1">IF(G5105=1,"-",Tabela2[[#This Row],[Dt Venc:]]-TODAY())</f>
        <v>-</v>
      </c>
      <c r="G5105" s="3">
        <v>1</v>
      </c>
      <c r="H5105" s="3"/>
    </row>
    <row r="5106" spans="1:8" hidden="1">
      <c r="A5106" s="3">
        <v>1109541</v>
      </c>
      <c r="B5106" s="7" t="s">
        <v>141</v>
      </c>
      <c r="C5106" s="41">
        <v>1238.05</v>
      </c>
      <c r="D5106" s="6">
        <v>45684</v>
      </c>
      <c r="E5106" s="3" t="str">
        <f ca="1">IF(Tabela2[[#This Row],[Dt Venc:]]&gt;TODAY(),"Em Aberto",IF(Tabela2[[#This Row],[D/venc]]="-","Enviado",IF(Tabela2[[#This Row],[Dt Venc:]]=TODAY(),"Vence Hoje","Vencida")))</f>
        <v>Enviado</v>
      </c>
      <c r="F5106" s="3" t="str">
        <f ca="1">IF(G5106=1,"-",Tabela2[[#This Row],[Dt Venc:]]-TODAY())</f>
        <v>-</v>
      </c>
      <c r="G5106" s="3">
        <v>1</v>
      </c>
      <c r="H5106" s="3"/>
    </row>
    <row r="5107" spans="1:8" hidden="1">
      <c r="A5107" s="3">
        <v>1109546</v>
      </c>
      <c r="B5107" s="7" t="s">
        <v>141</v>
      </c>
      <c r="C5107" s="41">
        <v>1557.31</v>
      </c>
      <c r="D5107" s="6">
        <v>45684</v>
      </c>
      <c r="E5107" s="3" t="str">
        <f ca="1">IF(Tabela2[[#This Row],[Dt Venc:]]&gt;TODAY(),"Em Aberto",IF(Tabela2[[#This Row],[D/venc]]="-","Enviado",IF(Tabela2[[#This Row],[Dt Venc:]]=TODAY(),"Vence Hoje","Vencida")))</f>
        <v>Enviado</v>
      </c>
      <c r="F5107" s="3" t="str">
        <f ca="1">IF(G5107=1,"-",Tabela2[[#This Row],[Dt Venc:]]-TODAY())</f>
        <v>-</v>
      </c>
      <c r="G5107" s="3">
        <v>1</v>
      </c>
      <c r="H5107" s="3"/>
    </row>
    <row r="5108" spans="1:8" hidden="1">
      <c r="A5108" s="3">
        <v>1109537</v>
      </c>
      <c r="B5108" s="7" t="s">
        <v>141</v>
      </c>
      <c r="C5108" s="41">
        <v>1508.39</v>
      </c>
      <c r="D5108" s="6">
        <v>45684</v>
      </c>
      <c r="E5108" s="3" t="str">
        <f ca="1">IF(Tabela2[[#This Row],[Dt Venc:]]&gt;TODAY(),"Em Aberto",IF(Tabela2[[#This Row],[D/venc]]="-","Enviado",IF(Tabela2[[#This Row],[Dt Venc:]]=TODAY(),"Vence Hoje","Vencida")))</f>
        <v>Enviado</v>
      </c>
      <c r="F5108" s="3" t="str">
        <f ca="1">IF(G5108=1,"-",Tabela2[[#This Row],[Dt Venc:]]-TODAY())</f>
        <v>-</v>
      </c>
      <c r="G5108" s="3">
        <v>1</v>
      </c>
      <c r="H5108" s="3"/>
    </row>
    <row r="5109" spans="1:8" hidden="1">
      <c r="A5109" s="3">
        <v>1109533</v>
      </c>
      <c r="B5109" s="7" t="s">
        <v>141</v>
      </c>
      <c r="C5109" s="41">
        <v>1714.11</v>
      </c>
      <c r="D5109" s="6">
        <v>45684</v>
      </c>
      <c r="E5109" s="3" t="str">
        <f ca="1">IF(Tabela2[[#This Row],[Dt Venc:]]&gt;TODAY(),"Em Aberto",IF(Tabela2[[#This Row],[D/venc]]="-","Enviado",IF(Tabela2[[#This Row],[Dt Venc:]]=TODAY(),"Vence Hoje","Vencida")))</f>
        <v>Enviado</v>
      </c>
      <c r="F5109" s="3" t="str">
        <f ca="1">IF(G5109=1,"-",Tabela2[[#This Row],[Dt Venc:]]-TODAY())</f>
        <v>-</v>
      </c>
      <c r="G5109" s="3">
        <v>1</v>
      </c>
      <c r="H5109" s="3"/>
    </row>
    <row r="5110" spans="1:8" hidden="1">
      <c r="A5110" s="3">
        <v>1109534</v>
      </c>
      <c r="B5110" s="7" t="s">
        <v>141</v>
      </c>
      <c r="C5110" s="41">
        <v>1509.89</v>
      </c>
      <c r="D5110" s="6">
        <v>45684</v>
      </c>
      <c r="E5110" s="3" t="str">
        <f ca="1">IF(Tabela2[[#This Row],[Dt Venc:]]&gt;TODAY(),"Em Aberto",IF(Tabela2[[#This Row],[D/venc]]="-","Enviado",IF(Tabela2[[#This Row],[Dt Venc:]]=TODAY(),"Vence Hoje","Vencida")))</f>
        <v>Enviado</v>
      </c>
      <c r="F5110" s="3" t="str">
        <f ca="1">IF(G5110=1,"-",Tabela2[[#This Row],[Dt Venc:]]-TODAY())</f>
        <v>-</v>
      </c>
      <c r="G5110" s="3">
        <v>1</v>
      </c>
      <c r="H5110" s="3"/>
    </row>
    <row r="5111" spans="1:8" hidden="1">
      <c r="A5111" s="3">
        <v>1109548</v>
      </c>
      <c r="B5111" s="7" t="s">
        <v>141</v>
      </c>
      <c r="C5111" s="41">
        <v>1242.23</v>
      </c>
      <c r="D5111" s="6">
        <v>45684</v>
      </c>
      <c r="E5111" s="3" t="str">
        <f ca="1">IF(Tabela2[[#This Row],[Dt Venc:]]&gt;TODAY(),"Em Aberto",IF(Tabela2[[#This Row],[D/venc]]="-","Enviado",IF(Tabela2[[#This Row],[Dt Venc:]]=TODAY(),"Vence Hoje","Vencida")))</f>
        <v>Enviado</v>
      </c>
      <c r="F5111" s="3" t="str">
        <f ca="1">IF(G5111=1,"-",Tabela2[[#This Row],[Dt Venc:]]-TODAY())</f>
        <v>-</v>
      </c>
      <c r="G5111" s="3">
        <v>1</v>
      </c>
      <c r="H5111" s="3"/>
    </row>
    <row r="5112" spans="1:8" hidden="1">
      <c r="A5112" s="3">
        <v>1109542</v>
      </c>
      <c r="B5112" s="7" t="s">
        <v>141</v>
      </c>
      <c r="C5112" s="41">
        <v>1625.2</v>
      </c>
      <c r="D5112" s="6">
        <v>45684</v>
      </c>
      <c r="E5112" s="3" t="str">
        <f ca="1">IF(Tabela2[[#This Row],[Dt Venc:]]&gt;TODAY(),"Em Aberto",IF(Tabela2[[#This Row],[D/venc]]="-","Enviado",IF(Tabela2[[#This Row],[Dt Venc:]]=TODAY(),"Vence Hoje","Vencida")))</f>
        <v>Enviado</v>
      </c>
      <c r="F5112" s="3" t="str">
        <f ca="1">IF(G5112=1,"-",Tabela2[[#This Row],[Dt Venc:]]-TODAY())</f>
        <v>-</v>
      </c>
      <c r="G5112" s="3">
        <v>1</v>
      </c>
      <c r="H5112" s="3"/>
    </row>
    <row r="5113" spans="1:8" hidden="1">
      <c r="A5113" s="3">
        <v>1109530</v>
      </c>
      <c r="B5113" s="7" t="s">
        <v>141</v>
      </c>
      <c r="C5113" s="41">
        <v>1528.23</v>
      </c>
      <c r="D5113" s="6">
        <v>45684</v>
      </c>
      <c r="E5113" s="3" t="str">
        <f ca="1">IF(Tabela2[[#This Row],[Dt Venc:]]&gt;TODAY(),"Em Aberto",IF(Tabela2[[#This Row],[D/venc]]="-","Enviado",IF(Tabela2[[#This Row],[Dt Venc:]]=TODAY(),"Vence Hoje","Vencida")))</f>
        <v>Enviado</v>
      </c>
      <c r="F5113" s="3" t="str">
        <f ca="1">IF(G5113=1,"-",Tabela2[[#This Row],[Dt Venc:]]-TODAY())</f>
        <v>-</v>
      </c>
      <c r="G5113" s="3">
        <v>1</v>
      </c>
      <c r="H5113" s="3"/>
    </row>
    <row r="5114" spans="1:8" hidden="1">
      <c r="A5114" s="3">
        <v>1109536</v>
      </c>
      <c r="B5114" s="7" t="s">
        <v>141</v>
      </c>
      <c r="C5114" s="41">
        <v>1682.44</v>
      </c>
      <c r="D5114" s="6">
        <v>45684</v>
      </c>
      <c r="E5114" s="3" t="str">
        <f ca="1">IF(Tabela2[[#This Row],[Dt Venc:]]&gt;TODAY(),"Em Aberto",IF(Tabela2[[#This Row],[D/venc]]="-","Enviado",IF(Tabela2[[#This Row],[Dt Venc:]]=TODAY(),"Vence Hoje","Vencida")))</f>
        <v>Enviado</v>
      </c>
      <c r="F5114" s="3" t="str">
        <f ca="1">IF(G5114=1,"-",Tabela2[[#This Row],[Dt Venc:]]-TODAY())</f>
        <v>-</v>
      </c>
      <c r="G5114" s="3">
        <v>1</v>
      </c>
      <c r="H5114" s="3"/>
    </row>
    <row r="5115" spans="1:8" hidden="1">
      <c r="A5115" s="3">
        <v>1204</v>
      </c>
      <c r="B5115" s="7" t="s">
        <v>155</v>
      </c>
      <c r="C5115" s="41">
        <v>15060</v>
      </c>
      <c r="D5115" s="6">
        <v>45684</v>
      </c>
      <c r="E5115" s="3" t="str">
        <f ca="1">IF(Tabela2[[#This Row],[Dt Venc:]]&gt;TODAY(),"Em Aberto",IF(Tabela2[[#This Row],[D/venc]]="-","Enviado",IF(Tabela2[[#This Row],[Dt Venc:]]=TODAY(),"Vence Hoje","Vencida")))</f>
        <v>Enviado</v>
      </c>
      <c r="F5115" s="3" t="str">
        <f ca="1">IF(G5115=1,"-",Tabela2[[#This Row],[Dt Venc:]]-TODAY())</f>
        <v>-</v>
      </c>
      <c r="G5115" s="3">
        <v>1</v>
      </c>
      <c r="H5115" s="3"/>
    </row>
    <row r="5116" spans="1:8" hidden="1">
      <c r="A5116" s="3">
        <v>11289</v>
      </c>
      <c r="B5116" s="7" t="s">
        <v>33</v>
      </c>
      <c r="C5116" s="41">
        <v>1926.66</v>
      </c>
      <c r="D5116" s="6">
        <v>45684</v>
      </c>
      <c r="E5116" s="3" t="str">
        <f ca="1">IF(Tabela2[[#This Row],[Dt Venc:]]&gt;TODAY(),"Em Aberto",IF(Tabela2[[#This Row],[D/venc]]="-","Enviado",IF(Tabela2[[#This Row],[Dt Venc:]]=TODAY(),"Vence Hoje","Vencida")))</f>
        <v>Enviado</v>
      </c>
      <c r="F5116" s="3" t="str">
        <f ca="1">IF(G5116=1,"-",Tabela2[[#This Row],[Dt Venc:]]-TODAY())</f>
        <v>-</v>
      </c>
      <c r="G5116" s="3">
        <v>1</v>
      </c>
      <c r="H5116" s="3"/>
    </row>
    <row r="5117" spans="1:8" hidden="1">
      <c r="A5117" s="3">
        <v>2939</v>
      </c>
      <c r="B5117" s="7" t="s">
        <v>58</v>
      </c>
      <c r="C5117" s="41">
        <v>974.67</v>
      </c>
      <c r="D5117" s="6">
        <v>45684</v>
      </c>
      <c r="E5117" s="3" t="str">
        <f ca="1">IF(Tabela2[[#This Row],[Dt Venc:]]&gt;TODAY(),"Em Aberto",IF(Tabela2[[#This Row],[D/venc]]="-","Enviado",IF(Tabela2[[#This Row],[Dt Venc:]]=TODAY(),"Vence Hoje","Vencida")))</f>
        <v>Enviado</v>
      </c>
      <c r="F5117" s="3" t="str">
        <f ca="1">IF(G5117=1,"-",Tabela2[[#This Row],[Dt Venc:]]-TODAY())</f>
        <v>-</v>
      </c>
      <c r="G5117" s="3">
        <v>1</v>
      </c>
      <c r="H5117" s="3"/>
    </row>
    <row r="5118" spans="1:8" hidden="1">
      <c r="A5118" s="3">
        <v>259220</v>
      </c>
      <c r="B5118" s="7" t="s">
        <v>49</v>
      </c>
      <c r="C5118" s="41">
        <v>686.66</v>
      </c>
      <c r="D5118" s="6">
        <v>45684</v>
      </c>
      <c r="E5118" s="3" t="str">
        <f ca="1">IF(Tabela2[[#This Row],[Dt Venc:]]&gt;TODAY(),"Em Aberto",IF(Tabela2[[#This Row],[D/venc]]="-","Enviado",IF(Tabela2[[#This Row],[Dt Venc:]]=TODAY(),"Vence Hoje","Vencida")))</f>
        <v>Enviado</v>
      </c>
      <c r="F5118" s="3" t="str">
        <f ca="1">IF(G5118=1,"-",Tabela2[[#This Row],[Dt Venc:]]-TODAY())</f>
        <v>-</v>
      </c>
      <c r="G5118" s="3">
        <v>1</v>
      </c>
      <c r="H5118" s="3"/>
    </row>
    <row r="5119" spans="1:8" ht="37.5" hidden="1">
      <c r="A5119" s="3">
        <v>442283</v>
      </c>
      <c r="B5119" s="7" t="s">
        <v>601</v>
      </c>
      <c r="C5119" s="41">
        <v>1881.17</v>
      </c>
      <c r="D5119" s="6">
        <v>45684</v>
      </c>
      <c r="E5119" s="3" t="str">
        <f ca="1">IF(Tabela2[[#This Row],[Dt Venc:]]&gt;TODAY(),"Em Aberto",IF(Tabela2[[#This Row],[D/venc]]="-","Enviado",IF(Tabela2[[#This Row],[Dt Venc:]]=TODAY(),"Vence Hoje","Vencida")))</f>
        <v>Vencida</v>
      </c>
      <c r="F5119" s="3">
        <f ca="1">IF(G5119=1,"-",Tabela2[[#This Row],[Dt Venc:]]-TODAY())</f>
        <v>-9</v>
      </c>
      <c r="G5119" s="3">
        <v>0</v>
      </c>
      <c r="H5119" s="7" t="s">
        <v>658</v>
      </c>
    </row>
    <row r="5120" spans="1:8" hidden="1">
      <c r="A5120" s="3">
        <v>259212</v>
      </c>
      <c r="B5120" s="7" t="s">
        <v>49</v>
      </c>
      <c r="C5120" s="41">
        <v>1716.66</v>
      </c>
      <c r="D5120" s="6">
        <v>45684</v>
      </c>
      <c r="E5120" s="3" t="str">
        <f ca="1">IF(Tabela2[[#This Row],[Dt Venc:]]&gt;TODAY(),"Em Aberto",IF(Tabela2[[#This Row],[D/venc]]="-","Enviado",IF(Tabela2[[#This Row],[Dt Venc:]]=TODAY(),"Vence Hoje","Vencida")))</f>
        <v>Enviado</v>
      </c>
      <c r="F5120" s="3" t="str">
        <f ca="1">IF(G5120=1,"-",Tabela2[[#This Row],[Dt Venc:]]-TODAY())</f>
        <v>-</v>
      </c>
      <c r="G5120" s="3">
        <v>1</v>
      </c>
      <c r="H5120" s="3"/>
    </row>
    <row r="5121" spans="1:8" hidden="1">
      <c r="A5121" s="3">
        <v>6150</v>
      </c>
      <c r="B5121" s="7" t="s">
        <v>630</v>
      </c>
      <c r="C5121" s="41">
        <v>2182.1799999999998</v>
      </c>
      <c r="D5121" s="6">
        <v>45684</v>
      </c>
      <c r="E5121" s="3" t="str">
        <f ca="1">IF(Tabela2[[#This Row],[Dt Venc:]]&gt;TODAY(),"Em Aberto",IF(Tabela2[[#This Row],[D/venc]]="-","Enviado",IF(Tabela2[[#This Row],[Dt Venc:]]=TODAY(),"Vence Hoje","Vencida")))</f>
        <v>Enviado</v>
      </c>
      <c r="F5121" s="3" t="str">
        <f ca="1">IF(G5121=1,"-",Tabela2[[#This Row],[Dt Venc:]]-TODAY())</f>
        <v>-</v>
      </c>
      <c r="G5121" s="3">
        <v>1</v>
      </c>
      <c r="H5121" s="3"/>
    </row>
    <row r="5122" spans="1:8" hidden="1">
      <c r="A5122" s="3">
        <v>217352</v>
      </c>
      <c r="B5122" s="7" t="s">
        <v>59</v>
      </c>
      <c r="C5122" s="41">
        <v>55794</v>
      </c>
      <c r="D5122" s="6">
        <v>45684</v>
      </c>
      <c r="E5122" s="3" t="str">
        <f ca="1">IF(Tabela2[[#This Row],[Dt Venc:]]&gt;TODAY(),"Em Aberto",IF(Tabela2[[#This Row],[D/venc]]="-","Enviado",IF(Tabela2[[#This Row],[Dt Venc:]]=TODAY(),"Vence Hoje","Vencida")))</f>
        <v>Enviado</v>
      </c>
      <c r="F5122" s="3" t="str">
        <f ca="1">IF(G5122=1,"-",Tabela2[[#This Row],[Dt Venc:]]-TODAY())</f>
        <v>-</v>
      </c>
      <c r="G5122" s="3">
        <v>1</v>
      </c>
      <c r="H5122" s="3"/>
    </row>
    <row r="5123" spans="1:8" hidden="1">
      <c r="A5123" s="3">
        <v>365121</v>
      </c>
      <c r="B5123" s="7" t="s">
        <v>59</v>
      </c>
      <c r="C5123" s="41">
        <v>56338</v>
      </c>
      <c r="D5123" s="6">
        <v>45684</v>
      </c>
      <c r="E5123" s="3" t="str">
        <f ca="1">IF(Tabela2[[#This Row],[Dt Venc:]]&gt;TODAY(),"Em Aberto",IF(Tabela2[[#This Row],[D/venc]]="-","Enviado",IF(Tabela2[[#This Row],[Dt Venc:]]=TODAY(),"Vence Hoje","Vencida")))</f>
        <v>Enviado</v>
      </c>
      <c r="F5123" s="3" t="str">
        <f ca="1">IF(G5123=1,"-",Tabela2[[#This Row],[Dt Venc:]]-TODAY())</f>
        <v>-</v>
      </c>
      <c r="G5123" s="3">
        <v>1</v>
      </c>
      <c r="H5123" s="3"/>
    </row>
    <row r="5124" spans="1:8" hidden="1">
      <c r="A5124" s="3">
        <v>36425</v>
      </c>
      <c r="B5124" s="7" t="s">
        <v>281</v>
      </c>
      <c r="C5124" s="41">
        <v>400.1</v>
      </c>
      <c r="D5124" s="6">
        <v>45684</v>
      </c>
      <c r="E5124" s="3" t="str">
        <f ca="1">IF(Tabela2[[#This Row],[Dt Venc:]]&gt;TODAY(),"Em Aberto",IF(Tabela2[[#This Row],[D/venc]]="-","Enviado",IF(Tabela2[[#This Row],[Dt Venc:]]=TODAY(),"Vence Hoje","Vencida")))</f>
        <v>Enviado</v>
      </c>
      <c r="F5124" s="3" t="str">
        <f ca="1">IF(G5124=1,"-",Tabela2[[#This Row],[Dt Venc:]]-TODAY())</f>
        <v>-</v>
      </c>
      <c r="G5124" s="3">
        <v>1</v>
      </c>
      <c r="H5124" s="3"/>
    </row>
    <row r="5125" spans="1:8" hidden="1">
      <c r="A5125" s="3">
        <v>9341</v>
      </c>
      <c r="B5125" s="7" t="s">
        <v>278</v>
      </c>
      <c r="C5125" s="41">
        <v>332</v>
      </c>
      <c r="D5125" s="6">
        <v>45684</v>
      </c>
      <c r="E5125" s="3" t="str">
        <f ca="1">IF(Tabela2[[#This Row],[Dt Venc:]]&gt;TODAY(),"Em Aberto",IF(Tabela2[[#This Row],[D/venc]]="-","Enviado",IF(Tabela2[[#This Row],[Dt Venc:]]=TODAY(),"Vence Hoje","Vencida")))</f>
        <v>Enviado</v>
      </c>
      <c r="F5125" s="3" t="str">
        <f ca="1">IF(G5125=1,"-",Tabela2[[#This Row],[Dt Venc:]]-TODAY())</f>
        <v>-</v>
      </c>
      <c r="G5125" s="3">
        <v>1</v>
      </c>
      <c r="H5125" s="3"/>
    </row>
    <row r="5126" spans="1:8" hidden="1">
      <c r="A5126" s="3">
        <v>13232</v>
      </c>
      <c r="B5126" s="7" t="s">
        <v>105</v>
      </c>
      <c r="C5126" s="41">
        <v>4375</v>
      </c>
      <c r="D5126" s="6">
        <v>45684</v>
      </c>
      <c r="E5126" s="3" t="str">
        <f ca="1">IF(Tabela2[[#This Row],[Dt Venc:]]&gt;TODAY(),"Em Aberto",IF(Tabela2[[#This Row],[D/venc]]="-","Enviado",IF(Tabela2[[#This Row],[Dt Venc:]]=TODAY(),"Vence Hoje","Vencida")))</f>
        <v>Enviado</v>
      </c>
      <c r="F5126" s="3" t="str">
        <f ca="1">IF(G5126=1,"-",Tabela2[[#This Row],[Dt Venc:]]-TODAY())</f>
        <v>-</v>
      </c>
      <c r="G5126" s="3">
        <v>1</v>
      </c>
      <c r="H5126" s="3"/>
    </row>
    <row r="5127" spans="1:8" hidden="1">
      <c r="A5127" s="3">
        <v>9240</v>
      </c>
      <c r="B5127" s="7" t="s">
        <v>659</v>
      </c>
      <c r="C5127" s="41">
        <v>980</v>
      </c>
      <c r="D5127" s="6">
        <v>45684</v>
      </c>
      <c r="E5127" s="3" t="str">
        <f ca="1">IF(Tabela2[[#This Row],[Dt Venc:]]&gt;TODAY(),"Em Aberto",IF(Tabela2[[#This Row],[D/venc]]="-","Enviado",IF(Tabela2[[#This Row],[Dt Venc:]]=TODAY(),"Vence Hoje","Vencida")))</f>
        <v>Enviado</v>
      </c>
      <c r="F5127" s="3" t="str">
        <f ca="1">IF(G5127=1,"-",Tabela2[[#This Row],[Dt Venc:]]-TODAY())</f>
        <v>-</v>
      </c>
      <c r="G5127" s="3">
        <v>1</v>
      </c>
      <c r="H5127" s="3"/>
    </row>
    <row r="5128" spans="1:8" hidden="1">
      <c r="A5128" s="3">
        <v>16082</v>
      </c>
      <c r="B5128" s="7" t="s">
        <v>289</v>
      </c>
      <c r="C5128" s="41">
        <v>500</v>
      </c>
      <c r="D5128" s="6">
        <v>45684</v>
      </c>
      <c r="E5128" s="3" t="str">
        <f ca="1">IF(Tabela2[[#This Row],[Dt Venc:]]&gt;TODAY(),"Em Aberto",IF(Tabela2[[#This Row],[D/venc]]="-","Enviado",IF(Tabela2[[#This Row],[Dt Venc:]]=TODAY(),"Vence Hoje","Vencida")))</f>
        <v>Enviado</v>
      </c>
      <c r="F5128" s="3" t="str">
        <f ca="1">IF(G5128=1,"-",Tabela2[[#This Row],[Dt Venc:]]-TODAY())</f>
        <v>-</v>
      </c>
      <c r="G5128" s="3">
        <v>1</v>
      </c>
      <c r="H5128" s="3"/>
    </row>
    <row r="5129" spans="1:8" hidden="1">
      <c r="A5129" s="3">
        <v>8481</v>
      </c>
      <c r="B5129" s="7" t="s">
        <v>242</v>
      </c>
      <c r="C5129" s="41">
        <v>101</v>
      </c>
      <c r="D5129" s="6">
        <v>45684</v>
      </c>
      <c r="E5129" s="3" t="str">
        <f ca="1">IF(Tabela2[[#This Row],[Dt Venc:]]&gt;TODAY(),"Em Aberto",IF(Tabela2[[#This Row],[D/venc]]="-","Enviado",IF(Tabela2[[#This Row],[Dt Venc:]]=TODAY(),"Vence Hoje","Vencida")))</f>
        <v>Enviado</v>
      </c>
      <c r="F5129" s="3" t="str">
        <f ca="1">IF(G5129=1,"-",Tabela2[[#This Row],[Dt Venc:]]-TODAY())</f>
        <v>-</v>
      </c>
      <c r="G5129" s="3">
        <v>1</v>
      </c>
      <c r="H5129" s="3"/>
    </row>
    <row r="5130" spans="1:8" hidden="1">
      <c r="A5130" s="3">
        <v>2011346</v>
      </c>
      <c r="B5130" s="7" t="s">
        <v>59</v>
      </c>
      <c r="C5130" s="41">
        <v>82174.5</v>
      </c>
      <c r="D5130" s="6">
        <v>45684</v>
      </c>
      <c r="E5130" s="3" t="str">
        <f ca="1">IF(Tabela2[[#This Row],[Dt Venc:]]&gt;TODAY(),"Em Aberto",IF(Tabela2[[#This Row],[D/venc]]="-","Enviado",IF(Tabela2[[#This Row],[Dt Venc:]]=TODAY(),"Vence Hoje","Vencida")))</f>
        <v>Enviado</v>
      </c>
      <c r="F5130" s="3" t="str">
        <f ca="1">IF(G5130=1,"-",Tabela2[[#This Row],[Dt Venc:]]-TODAY())</f>
        <v>-</v>
      </c>
      <c r="G5130" s="3">
        <v>1</v>
      </c>
      <c r="H5130" s="3"/>
    </row>
    <row r="5131" spans="1:8" hidden="1">
      <c r="A5131" s="3">
        <v>2025</v>
      </c>
      <c r="B5131" s="7" t="s">
        <v>660</v>
      </c>
      <c r="C5131" s="41">
        <v>2200</v>
      </c>
      <c r="D5131" s="6">
        <v>45684</v>
      </c>
      <c r="E5131" s="3" t="str">
        <f ca="1">IF(Tabela2[[#This Row],[Dt Venc:]]&gt;TODAY(),"Em Aberto",IF(Tabela2[[#This Row],[D/venc]]="-","Enviado",IF(Tabela2[[#This Row],[Dt Venc:]]=TODAY(),"Vence Hoje","Vencida")))</f>
        <v>Enviado</v>
      </c>
      <c r="F5131" s="3" t="str">
        <f ca="1">IF(G5131=1,"-",Tabela2[[#This Row],[Dt Venc:]]-TODAY())</f>
        <v>-</v>
      </c>
      <c r="G5131" s="3">
        <v>1</v>
      </c>
      <c r="H5131" s="3"/>
    </row>
    <row r="5132" spans="1:8" hidden="1">
      <c r="A5132" s="3">
        <v>6514</v>
      </c>
      <c r="B5132" s="7" t="s">
        <v>291</v>
      </c>
      <c r="C5132" s="41">
        <v>5872.5</v>
      </c>
      <c r="D5132" s="6">
        <v>45684</v>
      </c>
      <c r="E5132" s="3" t="str">
        <f ca="1">IF(Tabela2[[#This Row],[Dt Venc:]]&gt;TODAY(),"Em Aberto",IF(Tabela2[[#This Row],[D/venc]]="-","Enviado",IF(Tabela2[[#This Row],[Dt Venc:]]=TODAY(),"Vence Hoje","Vencida")))</f>
        <v>Enviado</v>
      </c>
      <c r="F5132" s="3" t="str">
        <f ca="1">IF(G5132=1,"-",Tabela2[[#This Row],[Dt Venc:]]-TODAY())</f>
        <v>-</v>
      </c>
      <c r="G5132" s="3">
        <v>1</v>
      </c>
      <c r="H5132" s="3"/>
    </row>
    <row r="5133" spans="1:8" hidden="1">
      <c r="A5133" s="3">
        <v>6218</v>
      </c>
      <c r="B5133" s="7" t="s">
        <v>47</v>
      </c>
      <c r="C5133" s="41">
        <v>1759</v>
      </c>
      <c r="D5133" s="6">
        <v>45684</v>
      </c>
      <c r="E5133" s="3" t="str">
        <f ca="1">IF(Tabela2[[#This Row],[Dt Venc:]]&gt;TODAY(),"Em Aberto",IF(Tabela2[[#This Row],[D/venc]]="-","Enviado",IF(Tabela2[[#This Row],[Dt Venc:]]=TODAY(),"Vence Hoje","Vencida")))</f>
        <v>Enviado</v>
      </c>
      <c r="F5133" s="3" t="str">
        <f ca="1">IF(G5133=1,"-",Tabela2[[#This Row],[Dt Venc:]]-TODAY())</f>
        <v>-</v>
      </c>
      <c r="G5133" s="3">
        <v>1</v>
      </c>
      <c r="H5133" s="3"/>
    </row>
    <row r="5134" spans="1:8" hidden="1">
      <c r="A5134" s="3">
        <v>11079</v>
      </c>
      <c r="B5134" s="7" t="s">
        <v>33</v>
      </c>
      <c r="C5134" s="41">
        <v>1625</v>
      </c>
      <c r="D5134" s="6">
        <v>45685</v>
      </c>
      <c r="E5134" s="3" t="str">
        <f ca="1">IF(Tabela2[[#This Row],[Dt Venc:]]&gt;TODAY(),"Em Aberto",IF(Tabela2[[#This Row],[D/venc]]="-","Enviado",IF(Tabela2[[#This Row],[Dt Venc:]]=TODAY(),"Vence Hoje","Vencida")))</f>
        <v>Enviado</v>
      </c>
      <c r="F5134" s="3" t="str">
        <f ca="1">IF(G5134=1,"-",Tabela2[[#This Row],[Dt Venc:]]-TODAY())</f>
        <v>-</v>
      </c>
      <c r="G5134" s="3">
        <v>1</v>
      </c>
      <c r="H5134" s="3"/>
    </row>
    <row r="5135" spans="1:8" hidden="1">
      <c r="A5135" s="3">
        <v>2855</v>
      </c>
      <c r="B5135" s="7" t="s">
        <v>301</v>
      </c>
      <c r="C5135" s="41">
        <v>2033.33</v>
      </c>
      <c r="D5135" s="6">
        <v>45685</v>
      </c>
      <c r="E5135" s="3" t="str">
        <f ca="1">IF(Tabela2[[#This Row],[Dt Venc:]]&gt;TODAY(),"Em Aberto",IF(Tabela2[[#This Row],[D/venc]]="-","Enviado",IF(Tabela2[[#This Row],[Dt Venc:]]=TODAY(),"Vence Hoje","Vencida")))</f>
        <v>Enviado</v>
      </c>
      <c r="F5135" s="3" t="str">
        <f ca="1">IF(G5135=1,"-",Tabela2[[#This Row],[Dt Venc:]]-TODAY())</f>
        <v>-</v>
      </c>
      <c r="G5135" s="3">
        <v>1</v>
      </c>
      <c r="H5135" s="3"/>
    </row>
    <row r="5136" spans="1:8" hidden="1">
      <c r="A5136" s="3">
        <v>266941</v>
      </c>
      <c r="B5136" s="7" t="s">
        <v>36</v>
      </c>
      <c r="C5136" s="41">
        <v>423.3</v>
      </c>
      <c r="D5136" s="6">
        <v>45685</v>
      </c>
      <c r="E5136" s="3" t="str">
        <f ca="1">IF(Tabela2[[#This Row],[Dt Venc:]]&gt;TODAY(),"Em Aberto",IF(Tabela2[[#This Row],[D/venc]]="-","Enviado",IF(Tabela2[[#This Row],[Dt Venc:]]=TODAY(),"Vence Hoje","Vencida")))</f>
        <v>Enviado</v>
      </c>
      <c r="F5136" s="3" t="str">
        <f ca="1">IF(G5136=1,"-",Tabela2[[#This Row],[Dt Venc:]]-TODAY())</f>
        <v>-</v>
      </c>
      <c r="G5136" s="3">
        <v>1</v>
      </c>
      <c r="H5136" s="3"/>
    </row>
    <row r="5137" spans="1:8" hidden="1">
      <c r="A5137" s="3">
        <v>758635</v>
      </c>
      <c r="B5137" s="7" t="s">
        <v>127</v>
      </c>
      <c r="C5137" s="41">
        <v>256.92</v>
      </c>
      <c r="D5137" s="6">
        <v>45685</v>
      </c>
      <c r="E5137" s="3" t="str">
        <f ca="1">IF(Tabela2[[#This Row],[Dt Venc:]]&gt;TODAY(),"Em Aberto",IF(Tabela2[[#This Row],[D/venc]]="-","Enviado",IF(Tabela2[[#This Row],[Dt Venc:]]=TODAY(),"Vence Hoje","Vencida")))</f>
        <v>Enviado</v>
      </c>
      <c r="F5137" s="3" t="str">
        <f ca="1">IF(G5137=1,"-",Tabela2[[#This Row],[Dt Venc:]]-TODAY())</f>
        <v>-</v>
      </c>
      <c r="G5137" s="3">
        <v>1</v>
      </c>
      <c r="H5137" s="3"/>
    </row>
    <row r="5138" spans="1:8" hidden="1">
      <c r="A5138" s="3">
        <v>30511</v>
      </c>
      <c r="B5138" s="7" t="s">
        <v>226</v>
      </c>
      <c r="C5138" s="41">
        <v>1690</v>
      </c>
      <c r="D5138" s="6">
        <v>45685</v>
      </c>
      <c r="E5138" s="3" t="str">
        <f ca="1">IF(Tabela2[[#This Row],[Dt Venc:]]&gt;TODAY(),"Em Aberto",IF(Tabela2[[#This Row],[D/venc]]="-","Enviado",IF(Tabela2[[#This Row],[Dt Venc:]]=TODAY(),"Vence Hoje","Vencida")))</f>
        <v>Enviado</v>
      </c>
      <c r="F5138" s="3" t="str">
        <f ca="1">IF(G5138=1,"-",Tabela2[[#This Row],[Dt Venc:]]-TODAY())</f>
        <v>-</v>
      </c>
      <c r="G5138" s="3">
        <v>1</v>
      </c>
      <c r="H5138" s="3"/>
    </row>
    <row r="5139" spans="1:8" hidden="1">
      <c r="A5139" s="3">
        <v>181718</v>
      </c>
      <c r="B5139" s="7" t="s">
        <v>42</v>
      </c>
      <c r="C5139" s="42">
        <v>1289.94</v>
      </c>
      <c r="D5139" s="6">
        <v>45685</v>
      </c>
      <c r="E5139" s="3" t="str">
        <f ca="1">IF(Tabela2[[#This Row],[Dt Venc:]]&gt;TODAY(),"Em Aberto",IF(Tabela2[[#This Row],[D/venc]]="-","Enviado",IF(Tabela2[[#This Row],[Dt Venc:]]=TODAY(),"Vence Hoje","Vencida")))</f>
        <v>Enviado</v>
      </c>
      <c r="F5139" s="3" t="str">
        <f ca="1">IF(G5139=1,"-",Tabela2[[#This Row],[Dt Venc:]]-TODAY())</f>
        <v>-</v>
      </c>
      <c r="G5139" s="3">
        <v>1</v>
      </c>
      <c r="H5139" s="3"/>
    </row>
    <row r="5140" spans="1:8" hidden="1">
      <c r="A5140" s="3">
        <v>237096</v>
      </c>
      <c r="B5140" s="7" t="s">
        <v>43</v>
      </c>
      <c r="C5140" s="42">
        <v>1678.78</v>
      </c>
      <c r="D5140" s="6">
        <v>45685</v>
      </c>
      <c r="E5140" s="3" t="str">
        <f ca="1">IF(Tabela2[[#This Row],[Dt Venc:]]&gt;TODAY(),"Em Aberto",IF(Tabela2[[#This Row],[D/venc]]="-","Enviado",IF(Tabela2[[#This Row],[Dt Venc:]]=TODAY(),"Vence Hoje","Vencida")))</f>
        <v>Enviado</v>
      </c>
      <c r="F5140" s="3" t="str">
        <f ca="1">IF(G5140=1,"-",Tabela2[[#This Row],[Dt Venc:]]-TODAY())</f>
        <v>-</v>
      </c>
      <c r="G5140" s="3">
        <v>1</v>
      </c>
      <c r="H5140" s="3"/>
    </row>
    <row r="5141" spans="1:8" hidden="1">
      <c r="A5141" s="3">
        <v>26</v>
      </c>
      <c r="B5141" s="7" t="s">
        <v>173</v>
      </c>
      <c r="C5141" s="41">
        <v>925</v>
      </c>
      <c r="D5141" s="6">
        <v>45685</v>
      </c>
      <c r="E5141" s="3" t="str">
        <f ca="1">IF(Tabela2[[#This Row],[Dt Venc:]]&gt;TODAY(),"Em Aberto",IF(Tabela2[[#This Row],[D/venc]]="-","Enviado",IF(Tabela2[[#This Row],[Dt Venc:]]=TODAY(),"Vence Hoje","Vencida")))</f>
        <v>Enviado</v>
      </c>
      <c r="F5141" s="3" t="str">
        <f ca="1">IF(G5141=1,"-",Tabela2[[#This Row],[Dt Venc:]]-TODAY())</f>
        <v>-</v>
      </c>
      <c r="G5141" s="3">
        <v>1</v>
      </c>
      <c r="H5141" s="3"/>
    </row>
    <row r="5142" spans="1:8" hidden="1">
      <c r="A5142" s="3">
        <v>153989</v>
      </c>
      <c r="B5142" s="7" t="s">
        <v>77</v>
      </c>
      <c r="C5142" s="41">
        <v>450</v>
      </c>
      <c r="D5142" s="6">
        <v>45685</v>
      </c>
      <c r="E5142" s="3" t="str">
        <f ca="1">IF(Tabela2[[#This Row],[Dt Venc:]]&gt;TODAY(),"Em Aberto",IF(Tabela2[[#This Row],[D/venc]]="-","Enviado",IF(Tabela2[[#This Row],[Dt Venc:]]=TODAY(),"Vence Hoje","Vencida")))</f>
        <v>Enviado</v>
      </c>
      <c r="F5142" s="3" t="str">
        <f ca="1">IF(G5142=1,"-",Tabela2[[#This Row],[Dt Venc:]]-TODAY())</f>
        <v>-</v>
      </c>
      <c r="G5142" s="3">
        <v>1</v>
      </c>
      <c r="H5142" s="3"/>
    </row>
    <row r="5143" spans="1:8" hidden="1">
      <c r="A5143" s="3">
        <v>153990</v>
      </c>
      <c r="B5143" s="7" t="s">
        <v>77</v>
      </c>
      <c r="C5143" s="41">
        <v>1233.3</v>
      </c>
      <c r="D5143" s="6">
        <v>45685</v>
      </c>
      <c r="E5143" s="3" t="str">
        <f ca="1">IF(Tabela2[[#This Row],[Dt Venc:]]&gt;TODAY(),"Em Aberto",IF(Tabela2[[#This Row],[D/venc]]="-","Enviado",IF(Tabela2[[#This Row],[Dt Venc:]]=TODAY(),"Vence Hoje","Vencida")))</f>
        <v>Enviado</v>
      </c>
      <c r="F5143" s="3" t="str">
        <f ca="1">IF(G5143=1,"-",Tabela2[[#This Row],[Dt Venc:]]-TODAY())</f>
        <v>-</v>
      </c>
      <c r="G5143" s="3">
        <v>1</v>
      </c>
      <c r="H5143" s="3"/>
    </row>
    <row r="5144" spans="1:8" hidden="1">
      <c r="A5144" s="3">
        <v>5997</v>
      </c>
      <c r="B5144" s="7" t="s">
        <v>140</v>
      </c>
      <c r="C5144" s="41">
        <v>1527.47</v>
      </c>
      <c r="D5144" s="6">
        <v>45685</v>
      </c>
      <c r="E5144" s="3" t="str">
        <f ca="1">IF(Tabela2[[#This Row],[Dt Venc:]]&gt;TODAY(),"Em Aberto",IF(Tabela2[[#This Row],[D/venc]]="-","Enviado",IF(Tabela2[[#This Row],[Dt Venc:]]=TODAY(),"Vence Hoje","Vencida")))</f>
        <v>Enviado</v>
      </c>
      <c r="F5144" s="3" t="str">
        <f ca="1">IF(G5144=1,"-",Tabela2[[#This Row],[Dt Venc:]]-TODAY())</f>
        <v>-</v>
      </c>
      <c r="G5144" s="3">
        <v>1</v>
      </c>
      <c r="H5144" s="3"/>
    </row>
    <row r="5145" spans="1:8" hidden="1">
      <c r="A5145" s="3">
        <v>6091</v>
      </c>
      <c r="B5145" s="7" t="s">
        <v>47</v>
      </c>
      <c r="C5145" s="41">
        <v>2723.31</v>
      </c>
      <c r="D5145" s="6">
        <v>45685</v>
      </c>
      <c r="E5145" s="3" t="str">
        <f ca="1">IF(Tabela2[[#This Row],[Dt Venc:]]&gt;TODAY(),"Em Aberto",IF(Tabela2[[#This Row],[D/venc]]="-","Enviado",IF(Tabela2[[#This Row],[Dt Venc:]]=TODAY(),"Vence Hoje","Vencida")))</f>
        <v>Enviado</v>
      </c>
      <c r="F5145" s="3" t="str">
        <f ca="1">IF(G5145=1,"-",Tabela2[[#This Row],[Dt Venc:]]-TODAY())</f>
        <v>-</v>
      </c>
      <c r="G5145" s="3">
        <v>1</v>
      </c>
      <c r="H5145" s="3"/>
    </row>
    <row r="5146" spans="1:8" hidden="1">
      <c r="A5146" s="3" t="s">
        <v>110</v>
      </c>
      <c r="B5146" s="7" t="s">
        <v>372</v>
      </c>
      <c r="C5146" s="42" t="s">
        <v>32</v>
      </c>
      <c r="D5146" s="6">
        <v>45685</v>
      </c>
      <c r="E5146" s="3" t="str">
        <f ca="1">IF(Tabela2[[#This Row],[Dt Venc:]]&gt;TODAY(),"Em Aberto",IF(Tabela2[[#This Row],[D/venc]]="-","Enviado",IF(Tabela2[[#This Row],[Dt Venc:]]=TODAY(),"Vence Hoje","Vencida")))</f>
        <v>Enviado</v>
      </c>
      <c r="F5146" s="3" t="str">
        <f ca="1">IF(G5146=1,"-",Tabela2[[#This Row],[Dt Venc:]]-TODAY())</f>
        <v>-</v>
      </c>
      <c r="G5146" s="3">
        <v>1</v>
      </c>
      <c r="H5146" s="3"/>
    </row>
    <row r="5147" spans="1:8" hidden="1">
      <c r="A5147" s="3">
        <v>154831</v>
      </c>
      <c r="B5147" s="7" t="s">
        <v>77</v>
      </c>
      <c r="C5147" s="41">
        <v>450</v>
      </c>
      <c r="D5147" s="6">
        <v>45685</v>
      </c>
      <c r="E5147" s="3" t="str">
        <f ca="1">IF(Tabela2[[#This Row],[Dt Venc:]]&gt;TODAY(),"Em Aberto",IF(Tabela2[[#This Row],[D/venc]]="-","Enviado",IF(Tabela2[[#This Row],[Dt Venc:]]=TODAY(),"Vence Hoje","Vencida")))</f>
        <v>Enviado</v>
      </c>
      <c r="F5147" s="3" t="str">
        <f ca="1">IF(G5147=1,"-",Tabela2[[#This Row],[Dt Venc:]]-TODAY())</f>
        <v>-</v>
      </c>
      <c r="G5147" s="3">
        <v>1</v>
      </c>
      <c r="H5147" s="3"/>
    </row>
    <row r="5148" spans="1:8" hidden="1">
      <c r="A5148" s="3">
        <v>482095</v>
      </c>
      <c r="B5148" s="7" t="s">
        <v>108</v>
      </c>
      <c r="C5148" s="41">
        <v>338.59</v>
      </c>
      <c r="D5148" s="6">
        <v>45685</v>
      </c>
      <c r="E5148" s="3" t="str">
        <f ca="1">IF(Tabela2[[#This Row],[Dt Venc:]]&gt;TODAY(),"Em Aberto",IF(Tabela2[[#This Row],[D/venc]]="-","Enviado",IF(Tabela2[[#This Row],[Dt Venc:]]=TODAY(),"Vence Hoje","Vencida")))</f>
        <v>Enviado</v>
      </c>
      <c r="F5148" s="3" t="str">
        <f ca="1">IF(G5148=1,"-",Tabela2[[#This Row],[Dt Venc:]]-TODAY())</f>
        <v>-</v>
      </c>
      <c r="G5148" s="3">
        <v>1</v>
      </c>
      <c r="H5148" s="3"/>
    </row>
    <row r="5149" spans="1:8" hidden="1">
      <c r="A5149" s="3">
        <v>11176</v>
      </c>
      <c r="B5149" s="7" t="s">
        <v>33</v>
      </c>
      <c r="C5149" s="41">
        <v>471.5</v>
      </c>
      <c r="D5149" s="6">
        <v>45685</v>
      </c>
      <c r="E5149" s="3" t="str">
        <f ca="1">IF(Tabela2[[#This Row],[Dt Venc:]]&gt;TODAY(),"Em Aberto",IF(Tabela2[[#This Row],[D/venc]]="-","Enviado",IF(Tabela2[[#This Row],[Dt Venc:]]=TODAY(),"Vence Hoje","Vencida")))</f>
        <v>Enviado</v>
      </c>
      <c r="F5149" s="3" t="str">
        <f ca="1">IF(G5149=1,"-",Tabela2[[#This Row],[Dt Venc:]]-TODAY())</f>
        <v>-</v>
      </c>
      <c r="G5149" s="3">
        <v>1</v>
      </c>
      <c r="H5149" s="3"/>
    </row>
    <row r="5150" spans="1:8" hidden="1">
      <c r="A5150" s="3">
        <v>373892</v>
      </c>
      <c r="B5150" s="7" t="s">
        <v>39</v>
      </c>
      <c r="C5150" s="41">
        <v>411.65</v>
      </c>
      <c r="D5150" s="6">
        <v>45685</v>
      </c>
      <c r="E5150" s="3" t="str">
        <f ca="1">IF(Tabela2[[#This Row],[Dt Venc:]]&gt;TODAY(),"Em Aberto",IF(Tabela2[[#This Row],[D/venc]]="-","Enviado",IF(Tabela2[[#This Row],[Dt Venc:]]=TODAY(),"Vence Hoje","Vencida")))</f>
        <v>Enviado</v>
      </c>
      <c r="F5150" s="3" t="str">
        <f ca="1">IF(G5150=1,"-",Tabela2[[#This Row],[Dt Venc:]]-TODAY())</f>
        <v>-</v>
      </c>
      <c r="G5150" s="3">
        <v>1</v>
      </c>
      <c r="H5150" s="3"/>
    </row>
    <row r="5151" spans="1:8" hidden="1">
      <c r="A5151" s="3">
        <v>190542</v>
      </c>
      <c r="B5151" s="7" t="s">
        <v>128</v>
      </c>
      <c r="C5151" s="41">
        <v>279.39999999999998</v>
      </c>
      <c r="D5151" s="6">
        <v>45685</v>
      </c>
      <c r="E5151" s="3" t="str">
        <f ca="1">IF(Tabela2[[#This Row],[Dt Venc:]]&gt;TODAY(),"Em Aberto",IF(Tabela2[[#This Row],[D/venc]]="-","Enviado",IF(Tabela2[[#This Row],[Dt Venc:]]=TODAY(),"Vence Hoje","Vencida")))</f>
        <v>Enviado</v>
      </c>
      <c r="F5151" s="3" t="str">
        <f ca="1">IF(G5151=1,"-",Tabela2[[#This Row],[Dt Venc:]]-TODAY())</f>
        <v>-</v>
      </c>
      <c r="G5151" s="3">
        <v>1</v>
      </c>
      <c r="H5151" s="3"/>
    </row>
    <row r="5152" spans="1:8" hidden="1">
      <c r="A5152" s="3">
        <v>23934</v>
      </c>
      <c r="B5152" s="7" t="s">
        <v>38</v>
      </c>
      <c r="C5152" s="41">
        <v>1837.5</v>
      </c>
      <c r="D5152" s="6">
        <v>45685</v>
      </c>
      <c r="E5152" s="3" t="str">
        <f ca="1">IF(Tabela2[[#This Row],[Dt Venc:]]&gt;TODAY(),"Em Aberto",IF(Tabela2[[#This Row],[D/venc]]="-","Enviado",IF(Tabela2[[#This Row],[Dt Venc:]]=TODAY(),"Vence Hoje","Vencida")))</f>
        <v>Enviado</v>
      </c>
      <c r="F5152" s="3" t="str">
        <f ca="1">IF(G5152=1,"-",Tabela2[[#This Row],[Dt Venc:]]-TODAY())</f>
        <v>-</v>
      </c>
      <c r="G5152" s="3">
        <v>1</v>
      </c>
      <c r="H5152" s="3"/>
    </row>
    <row r="5153" spans="1:8" hidden="1">
      <c r="A5153" s="3">
        <v>73668</v>
      </c>
      <c r="B5153" s="7" t="s">
        <v>76</v>
      </c>
      <c r="C5153" s="41">
        <v>790.41</v>
      </c>
      <c r="D5153" s="6">
        <v>45685</v>
      </c>
      <c r="E5153" s="3" t="str">
        <f ca="1">IF(Tabela2[[#This Row],[Dt Venc:]]&gt;TODAY(),"Em Aberto",IF(Tabela2[[#This Row],[D/venc]]="-","Enviado",IF(Tabela2[[#This Row],[Dt Venc:]]=TODAY(),"Vence Hoje","Vencida")))</f>
        <v>Enviado</v>
      </c>
      <c r="F5153" s="3" t="str">
        <f ca="1">IF(G5153=1,"-",Tabela2[[#This Row],[Dt Venc:]]-TODAY())</f>
        <v>-</v>
      </c>
      <c r="G5153" s="3">
        <v>1</v>
      </c>
      <c r="H5153" s="3"/>
    </row>
    <row r="5154" spans="1:8" hidden="1">
      <c r="A5154" s="3">
        <v>74622</v>
      </c>
      <c r="B5154" s="7" t="s">
        <v>579</v>
      </c>
      <c r="C5154" s="41">
        <v>1180.33</v>
      </c>
      <c r="D5154" s="6">
        <v>45685</v>
      </c>
      <c r="E5154" s="3" t="str">
        <f ca="1">IF(Tabela2[[#This Row],[Dt Venc:]]&gt;TODAY(),"Em Aberto",IF(Tabela2[[#This Row],[D/venc]]="-","Enviado",IF(Tabela2[[#This Row],[Dt Venc:]]=TODAY(),"Vence Hoje","Vencida")))</f>
        <v>Enviado</v>
      </c>
      <c r="F5154" s="3" t="str">
        <f ca="1">IF(G5154=1,"-",Tabela2[[#This Row],[Dt Venc:]]-TODAY())</f>
        <v>-</v>
      </c>
      <c r="G5154" s="3">
        <v>1</v>
      </c>
      <c r="H5154" s="3"/>
    </row>
    <row r="5155" spans="1:8" hidden="1">
      <c r="A5155" s="3">
        <v>6101</v>
      </c>
      <c r="B5155" s="7" t="s">
        <v>140</v>
      </c>
      <c r="C5155" s="41">
        <v>904.33</v>
      </c>
      <c r="D5155" s="6">
        <v>45685</v>
      </c>
      <c r="E5155" s="3" t="str">
        <f ca="1">IF(Tabela2[[#This Row],[Dt Venc:]]&gt;TODAY(),"Em Aberto",IF(Tabela2[[#This Row],[D/venc]]="-","Enviado",IF(Tabela2[[#This Row],[Dt Venc:]]=TODAY(),"Vence Hoje","Vencida")))</f>
        <v>Enviado</v>
      </c>
      <c r="F5155" s="3" t="str">
        <f ca="1">IF(G5155=1,"-",Tabela2[[#This Row],[Dt Venc:]]-TODAY())</f>
        <v>-</v>
      </c>
      <c r="G5155" s="3">
        <v>1</v>
      </c>
      <c r="H5155" s="3"/>
    </row>
    <row r="5156" spans="1:8" hidden="1">
      <c r="A5156" s="3">
        <v>6229</v>
      </c>
      <c r="B5156" s="7" t="s">
        <v>581</v>
      </c>
      <c r="C5156" s="41">
        <v>2220.3000000000002</v>
      </c>
      <c r="D5156" s="6">
        <v>45685</v>
      </c>
      <c r="E5156" s="3" t="str">
        <f ca="1">IF(Tabela2[[#This Row],[Dt Venc:]]&gt;TODAY(),"Em Aberto",IF(Tabela2[[#This Row],[D/venc]]="-","Enviado",IF(Tabela2[[#This Row],[Dt Venc:]]=TODAY(),"Vence Hoje","Vencida")))</f>
        <v>Enviado</v>
      </c>
      <c r="F5156" s="3" t="str">
        <f ca="1">IF(G5156=1,"-",Tabela2[[#This Row],[Dt Venc:]]-TODAY())</f>
        <v>-</v>
      </c>
      <c r="G5156" s="3">
        <v>1</v>
      </c>
      <c r="H5156" s="3"/>
    </row>
    <row r="5157" spans="1:8" hidden="1">
      <c r="A5157" s="3">
        <v>177080</v>
      </c>
      <c r="B5157" s="7" t="s">
        <v>72</v>
      </c>
      <c r="C5157" s="41">
        <v>1016.66</v>
      </c>
      <c r="D5157" s="6">
        <v>45685</v>
      </c>
      <c r="E5157" s="3" t="str">
        <f ca="1">IF(Tabela2[[#This Row],[Dt Venc:]]&gt;TODAY(),"Em Aberto",IF(Tabela2[[#This Row],[D/venc]]="-","Enviado",IF(Tabela2[[#This Row],[Dt Venc:]]=TODAY(),"Vence Hoje","Vencida")))</f>
        <v>Enviado</v>
      </c>
      <c r="F5157" s="3" t="str">
        <f ca="1">IF(G5157=1,"-",Tabela2[[#This Row],[Dt Venc:]]-TODAY())</f>
        <v>-</v>
      </c>
      <c r="G5157" s="3">
        <v>1</v>
      </c>
      <c r="H5157" s="3"/>
    </row>
    <row r="5158" spans="1:8" hidden="1">
      <c r="A5158" s="3">
        <v>373983</v>
      </c>
      <c r="B5158" s="7" t="s">
        <v>39</v>
      </c>
      <c r="C5158" s="41">
        <v>4319.75</v>
      </c>
      <c r="D5158" s="6">
        <v>45685</v>
      </c>
      <c r="E5158" s="3" t="str">
        <f ca="1">IF(Tabela2[[#This Row],[Dt Venc:]]&gt;TODAY(),"Em Aberto",IF(Tabela2[[#This Row],[D/venc]]="-","Enviado",IF(Tabela2[[#This Row],[Dt Venc:]]=TODAY(),"Vence Hoje","Vencida")))</f>
        <v>Enviado</v>
      </c>
      <c r="F5158" s="3" t="str">
        <f ca="1">IF(G5158=1,"-",Tabela2[[#This Row],[Dt Venc:]]-TODAY())</f>
        <v>-</v>
      </c>
      <c r="G5158" s="3">
        <v>1</v>
      </c>
      <c r="H5158" s="3"/>
    </row>
    <row r="5159" spans="1:8" hidden="1">
      <c r="A5159" s="3">
        <v>261667</v>
      </c>
      <c r="B5159" s="7" t="s">
        <v>43</v>
      </c>
      <c r="C5159" s="41">
        <v>1591.54</v>
      </c>
      <c r="D5159" s="6">
        <v>45685</v>
      </c>
      <c r="E5159" s="3" t="str">
        <f ca="1">IF(Tabela2[[#This Row],[Dt Venc:]]&gt;TODAY(),"Em Aberto",IF(Tabela2[[#This Row],[D/venc]]="-","Enviado",IF(Tabela2[[#This Row],[Dt Venc:]]=TODAY(),"Vence Hoje","Vencida")))</f>
        <v>Enviado</v>
      </c>
      <c r="F5159" s="3" t="str">
        <f ca="1">IF(G5159=1,"-",Tabela2[[#This Row],[Dt Venc:]]-TODAY())</f>
        <v>-</v>
      </c>
      <c r="G5159" s="3">
        <v>1</v>
      </c>
      <c r="H5159" s="3"/>
    </row>
    <row r="5160" spans="1:8" hidden="1">
      <c r="A5160" s="3">
        <v>183684</v>
      </c>
      <c r="B5160" s="7" t="s">
        <v>592</v>
      </c>
      <c r="C5160" s="41">
        <v>1288.08</v>
      </c>
      <c r="D5160" s="6">
        <v>45685</v>
      </c>
      <c r="E5160" s="3" t="str">
        <f ca="1">IF(Tabela2[[#This Row],[Dt Venc:]]&gt;TODAY(),"Em Aberto",IF(Tabela2[[#This Row],[D/venc]]="-","Enviado",IF(Tabela2[[#This Row],[Dt Venc:]]=TODAY(),"Vence Hoje","Vencida")))</f>
        <v>Enviado</v>
      </c>
      <c r="F5160" s="3" t="str">
        <f ca="1">IF(G5160=1,"-",Tabela2[[#This Row],[Dt Venc:]]-TODAY())</f>
        <v>-</v>
      </c>
      <c r="G5160" s="3">
        <v>1</v>
      </c>
      <c r="H5160" s="3"/>
    </row>
    <row r="5161" spans="1:8" hidden="1">
      <c r="A5161" s="3">
        <v>619245</v>
      </c>
      <c r="B5161" s="7" t="s">
        <v>66</v>
      </c>
      <c r="C5161" s="41">
        <v>8015.79</v>
      </c>
      <c r="D5161" s="6">
        <v>45685</v>
      </c>
      <c r="E5161" s="3" t="str">
        <f ca="1">IF(Tabela2[[#This Row],[Dt Venc:]]&gt;TODAY(),"Em Aberto",IF(Tabela2[[#This Row],[D/venc]]="-","Enviado",IF(Tabela2[[#This Row],[Dt Venc:]]=TODAY(),"Vence Hoje","Vencida")))</f>
        <v>Enviado</v>
      </c>
      <c r="F5161" s="3" t="str">
        <f ca="1">IF(G5161=1,"-",Tabela2[[#This Row],[Dt Venc:]]-TODAY())</f>
        <v>-</v>
      </c>
      <c r="G5161" s="3">
        <v>1</v>
      </c>
      <c r="H5161" s="3"/>
    </row>
    <row r="5162" spans="1:8" hidden="1">
      <c r="A5162" s="3">
        <v>619187</v>
      </c>
      <c r="B5162" s="7" t="s">
        <v>66</v>
      </c>
      <c r="C5162" s="41">
        <v>413.55</v>
      </c>
      <c r="D5162" s="6">
        <v>45685</v>
      </c>
      <c r="E5162" s="3" t="str">
        <f ca="1">IF(Tabela2[[#This Row],[Dt Venc:]]&gt;TODAY(),"Em Aberto",IF(Tabela2[[#This Row],[D/venc]]="-","Enviado",IF(Tabela2[[#This Row],[Dt Venc:]]=TODAY(),"Vence Hoje","Vencida")))</f>
        <v>Enviado</v>
      </c>
      <c r="F5162" s="3" t="str">
        <f ca="1">IF(G5162=1,"-",Tabela2[[#This Row],[Dt Venc:]]-TODAY())</f>
        <v>-</v>
      </c>
      <c r="G5162" s="3">
        <v>1</v>
      </c>
      <c r="H5162" s="3"/>
    </row>
    <row r="5163" spans="1:8" hidden="1">
      <c r="A5163" s="3">
        <v>1418581</v>
      </c>
      <c r="B5163" s="7" t="s">
        <v>151</v>
      </c>
      <c r="C5163" s="41">
        <v>527.52</v>
      </c>
      <c r="D5163" s="6">
        <v>45685</v>
      </c>
      <c r="E5163" s="3" t="str">
        <f ca="1">IF(Tabela2[[#This Row],[Dt Venc:]]&gt;TODAY(),"Em Aberto",IF(Tabela2[[#This Row],[D/venc]]="-","Enviado",IF(Tabela2[[#This Row],[Dt Venc:]]=TODAY(),"Vence Hoje","Vencida")))</f>
        <v>Enviado</v>
      </c>
      <c r="F5163" s="3" t="str">
        <f ca="1">IF(G5163=1,"-",Tabela2[[#This Row],[Dt Venc:]]-TODAY())</f>
        <v>-</v>
      </c>
      <c r="G5163" s="3">
        <v>1</v>
      </c>
      <c r="H5163" s="3"/>
    </row>
    <row r="5164" spans="1:8" hidden="1">
      <c r="A5164" s="3">
        <v>23927</v>
      </c>
      <c r="B5164" s="7" t="s">
        <v>38</v>
      </c>
      <c r="C5164" s="41">
        <v>1242.67</v>
      </c>
      <c r="D5164" s="6">
        <v>45685</v>
      </c>
      <c r="E5164" s="3" t="str">
        <f ca="1">IF(Tabela2[[#This Row],[Dt Venc:]]&gt;TODAY(),"Em Aberto",IF(Tabela2[[#This Row],[D/venc]]="-","Enviado",IF(Tabela2[[#This Row],[Dt Venc:]]=TODAY(),"Vence Hoje","Vencida")))</f>
        <v>Enviado</v>
      </c>
      <c r="F5164" s="3" t="str">
        <f ca="1">IF(G5164=1,"-",Tabela2[[#This Row],[Dt Venc:]]-TODAY())</f>
        <v>-</v>
      </c>
      <c r="G5164" s="3">
        <v>1</v>
      </c>
      <c r="H5164" s="3"/>
    </row>
    <row r="5165" spans="1:8" hidden="1">
      <c r="A5165" s="3">
        <v>23961</v>
      </c>
      <c r="B5165" s="7" t="s">
        <v>38</v>
      </c>
      <c r="C5165" s="41">
        <v>1180</v>
      </c>
      <c r="D5165" s="6">
        <v>45685</v>
      </c>
      <c r="E5165" s="3" t="str">
        <f ca="1">IF(Tabela2[[#This Row],[Dt Venc:]]&gt;TODAY(),"Em Aberto",IF(Tabela2[[#This Row],[D/venc]]="-","Enviado",IF(Tabela2[[#This Row],[Dt Venc:]]=TODAY(),"Vence Hoje","Vencida")))</f>
        <v>Enviado</v>
      </c>
      <c r="F5165" s="3" t="str">
        <f ca="1">IF(G5165=1,"-",Tabela2[[#This Row],[Dt Venc:]]-TODAY())</f>
        <v>-</v>
      </c>
      <c r="G5165" s="3">
        <v>1</v>
      </c>
      <c r="H5165" s="3"/>
    </row>
    <row r="5166" spans="1:8" hidden="1">
      <c r="A5166" s="3">
        <v>720348</v>
      </c>
      <c r="B5166" s="7" t="s">
        <v>79</v>
      </c>
      <c r="C5166" s="41">
        <v>10647.48</v>
      </c>
      <c r="D5166" s="6">
        <v>45685</v>
      </c>
      <c r="E5166" s="3" t="str">
        <f ca="1">IF(Tabela2[[#This Row],[Dt Venc:]]&gt;TODAY(),"Em Aberto",IF(Tabela2[[#This Row],[D/venc]]="-","Enviado",IF(Tabela2[[#This Row],[Dt Venc:]]=TODAY(),"Vence Hoje","Vencida")))</f>
        <v>Enviado</v>
      </c>
      <c r="F5166" s="3" t="str">
        <f ca="1">IF(G5166=1,"-",Tabela2[[#This Row],[Dt Venc:]]-TODAY())</f>
        <v>-</v>
      </c>
      <c r="G5166" s="3">
        <v>1</v>
      </c>
      <c r="H5166" s="3"/>
    </row>
    <row r="5167" spans="1:8" hidden="1">
      <c r="A5167" s="3">
        <v>31064</v>
      </c>
      <c r="B5167" s="7" t="s">
        <v>97</v>
      </c>
      <c r="C5167" s="41">
        <v>1711</v>
      </c>
      <c r="D5167" s="6">
        <v>45685</v>
      </c>
      <c r="E5167" s="3" t="str">
        <f ca="1">IF(Tabela2[[#This Row],[Dt Venc:]]&gt;TODAY(),"Em Aberto",IF(Tabela2[[#This Row],[D/venc]]="-","Enviado",IF(Tabela2[[#This Row],[Dt Venc:]]=TODAY(),"Vence Hoje","Vencida")))</f>
        <v>Enviado</v>
      </c>
      <c r="F5167" s="3" t="str">
        <f ca="1">IF(G5167=1,"-",Tabela2[[#This Row],[Dt Venc:]]-TODAY())</f>
        <v>-</v>
      </c>
      <c r="G5167" s="3">
        <v>1</v>
      </c>
      <c r="H5167" s="3"/>
    </row>
    <row r="5168" spans="1:8" hidden="1">
      <c r="A5168" s="3">
        <v>16083</v>
      </c>
      <c r="B5168" s="7" t="s">
        <v>289</v>
      </c>
      <c r="C5168" s="41">
        <v>500</v>
      </c>
      <c r="D5168" s="6">
        <v>45685</v>
      </c>
      <c r="E5168" s="3" t="str">
        <f ca="1">IF(Tabela2[[#This Row],[Dt Venc:]]&gt;TODAY(),"Em Aberto",IF(Tabela2[[#This Row],[D/venc]]="-","Enviado",IF(Tabela2[[#This Row],[Dt Venc:]]=TODAY(),"Vence Hoje","Vencida")))</f>
        <v>Enviado</v>
      </c>
      <c r="F5168" s="3" t="str">
        <f ca="1">IF(G5168=1,"-",Tabela2[[#This Row],[Dt Venc:]]-TODAY())</f>
        <v>-</v>
      </c>
      <c r="G5168" s="3">
        <v>1</v>
      </c>
      <c r="H5168" s="3"/>
    </row>
    <row r="5169" spans="1:8" hidden="1">
      <c r="A5169" s="3">
        <v>2288696</v>
      </c>
      <c r="B5169" s="7" t="s">
        <v>59</v>
      </c>
      <c r="C5169" s="41">
        <v>55364</v>
      </c>
      <c r="D5169" s="6">
        <v>45685</v>
      </c>
      <c r="E5169" s="3" t="str">
        <f ca="1">IF(Tabela2[[#This Row],[Dt Venc:]]&gt;TODAY(),"Em Aberto",IF(Tabela2[[#This Row],[D/venc]]="-","Enviado",IF(Tabela2[[#This Row],[Dt Venc:]]=TODAY(),"Vence Hoje","Vencida")))</f>
        <v>Enviado</v>
      </c>
      <c r="F5169" s="3" t="str">
        <f ca="1">IF(G5169=1,"-",Tabela2[[#This Row],[Dt Venc:]]-TODAY())</f>
        <v>-</v>
      </c>
      <c r="G5169" s="3">
        <v>1</v>
      </c>
      <c r="H5169" s="3"/>
    </row>
    <row r="5170" spans="1:8" hidden="1">
      <c r="A5170" s="3">
        <v>2516243</v>
      </c>
      <c r="B5170" s="7" t="s">
        <v>59</v>
      </c>
      <c r="C5170" s="41">
        <v>81459</v>
      </c>
      <c r="D5170" s="6">
        <v>45685</v>
      </c>
      <c r="E5170" s="3" t="str">
        <f ca="1">IF(Tabela2[[#This Row],[Dt Venc:]]&gt;TODAY(),"Em Aberto",IF(Tabela2[[#This Row],[D/venc]]="-","Enviado",IF(Tabela2[[#This Row],[Dt Venc:]]=TODAY(),"Vence Hoje","Vencida")))</f>
        <v>Enviado</v>
      </c>
      <c r="F5170" s="3" t="str">
        <f ca="1">IF(G5170=1,"-",Tabela2[[#This Row],[Dt Venc:]]-TODAY())</f>
        <v>-</v>
      </c>
      <c r="G5170" s="3">
        <v>1</v>
      </c>
      <c r="H5170" s="3"/>
    </row>
    <row r="5171" spans="1:8" hidden="1">
      <c r="A5171" s="3" t="s">
        <v>110</v>
      </c>
      <c r="B5171" s="7" t="s">
        <v>373</v>
      </c>
      <c r="C5171" s="42" t="s">
        <v>32</v>
      </c>
      <c r="D5171" s="6">
        <v>45685</v>
      </c>
      <c r="E5171" s="3" t="str">
        <f ca="1">IF(Tabela2[[#This Row],[Dt Venc:]]&gt;TODAY(),"Em Aberto",IF(Tabela2[[#This Row],[D/venc]]="-","Enviado",IF(Tabela2[[#This Row],[Dt Venc:]]=TODAY(),"Vence Hoje","Vencida")))</f>
        <v>Enviado</v>
      </c>
      <c r="F5171" s="3" t="str">
        <f ca="1">IF(G5171=1,"-",Tabela2[[#This Row],[Dt Venc:]]-TODAY())</f>
        <v>-</v>
      </c>
      <c r="G5171" s="3">
        <v>1</v>
      </c>
      <c r="H5171" s="3"/>
    </row>
    <row r="5172" spans="1:8" hidden="1">
      <c r="A5172" s="3">
        <v>1958</v>
      </c>
      <c r="B5172" s="7" t="s">
        <v>637</v>
      </c>
      <c r="C5172" s="41">
        <v>517.5</v>
      </c>
      <c r="D5172" s="6">
        <v>45685</v>
      </c>
      <c r="E5172" s="3" t="str">
        <f ca="1">IF(Tabela2[[#This Row],[Dt Venc:]]&gt;TODAY(),"Em Aberto",IF(Tabela2[[#This Row],[D/venc]]="-","Enviado",IF(Tabela2[[#This Row],[Dt Venc:]]=TODAY(),"Vence Hoje","Vencida")))</f>
        <v>Enviado</v>
      </c>
      <c r="F5172" s="3" t="str">
        <f ca="1">IF(G5172=1,"-",Tabela2[[#This Row],[Dt Venc:]]-TODAY())</f>
        <v>-</v>
      </c>
      <c r="G5172" s="3">
        <v>1</v>
      </c>
      <c r="H5172" s="3"/>
    </row>
    <row r="5173" spans="1:8" hidden="1">
      <c r="A5173" s="3">
        <v>912180</v>
      </c>
      <c r="B5173" s="7" t="s">
        <v>375</v>
      </c>
      <c r="C5173" s="84" t="s">
        <v>32</v>
      </c>
      <c r="D5173" s="6">
        <v>45686</v>
      </c>
      <c r="E5173" s="3" t="str">
        <f ca="1">IF(Tabela2[[#This Row],[Dt Venc:]]&gt;TODAY(),"Em Aberto",IF(Tabela2[[#This Row],[D/venc]]="-","Enviado",IF(Tabela2[[#This Row],[Dt Venc:]]=TODAY(),"Vence Hoje","Vencida")))</f>
        <v>Enviado</v>
      </c>
      <c r="F5173" s="3" t="str">
        <f ca="1">IF(G5173=1,"-",Tabela2[[#This Row],[Dt Venc:]]-TODAY())</f>
        <v>-</v>
      </c>
      <c r="G5173" s="3">
        <v>1</v>
      </c>
      <c r="H5173" s="3"/>
    </row>
    <row r="5174" spans="1:8" hidden="1">
      <c r="A5174" s="3">
        <v>11083</v>
      </c>
      <c r="B5174" s="7" t="s">
        <v>33</v>
      </c>
      <c r="C5174" s="41">
        <v>400</v>
      </c>
      <c r="D5174" s="6">
        <v>45686</v>
      </c>
      <c r="E5174" s="3" t="str">
        <f ca="1">IF(Tabela2[[#This Row],[Dt Venc:]]&gt;TODAY(),"Em Aberto",IF(Tabela2[[#This Row],[D/venc]]="-","Enviado",IF(Tabela2[[#This Row],[Dt Venc:]]=TODAY(),"Vence Hoje","Vencida")))</f>
        <v>Enviado</v>
      </c>
      <c r="F5174" s="3" t="str">
        <f ca="1">IF(G5174=1,"-",Tabela2[[#This Row],[Dt Venc:]]-TODAY())</f>
        <v>-</v>
      </c>
      <c r="G5174" s="3">
        <v>1</v>
      </c>
      <c r="H5174" s="3"/>
    </row>
    <row r="5175" spans="1:8" hidden="1">
      <c r="A5175" s="3">
        <v>5065</v>
      </c>
      <c r="B5175" s="7" t="s">
        <v>463</v>
      </c>
      <c r="C5175" s="41">
        <v>1812.4</v>
      </c>
      <c r="D5175" s="6">
        <v>45686</v>
      </c>
      <c r="E5175" s="3" t="str">
        <f ca="1">IF(Tabela2[[#This Row],[Dt Venc:]]&gt;TODAY(),"Em Aberto",IF(Tabela2[[#This Row],[D/venc]]="-","Enviado",IF(Tabela2[[#This Row],[Dt Venc:]]=TODAY(),"Vence Hoje","Vencida")))</f>
        <v>Enviado</v>
      </c>
      <c r="F5175" s="3" t="str">
        <f ca="1">IF(G5175=1,"-",Tabela2[[#This Row],[Dt Venc:]]-TODAY())</f>
        <v>-</v>
      </c>
      <c r="G5175" s="3">
        <v>1</v>
      </c>
      <c r="H5175" s="3"/>
    </row>
    <row r="5176" spans="1:8" hidden="1">
      <c r="A5176" s="3">
        <v>1289</v>
      </c>
      <c r="B5176" s="7" t="s">
        <v>474</v>
      </c>
      <c r="C5176" s="41">
        <v>1340</v>
      </c>
      <c r="D5176" s="6">
        <v>45686</v>
      </c>
      <c r="E5176" s="3" t="str">
        <f ca="1">IF(Tabela2[[#This Row],[Dt Venc:]]&gt;TODAY(),"Em Aberto",IF(Tabela2[[#This Row],[D/venc]]="-","Enviado",IF(Tabela2[[#This Row],[Dt Venc:]]=TODAY(),"Vence Hoje","Vencida")))</f>
        <v>Enviado</v>
      </c>
      <c r="F5176" s="3" t="str">
        <f ca="1">IF(G5176=1,"-",Tabela2[[#This Row],[Dt Venc:]]-TODAY())</f>
        <v>-</v>
      </c>
      <c r="G5176" s="3">
        <v>1</v>
      </c>
      <c r="H5176" s="3"/>
    </row>
    <row r="5177" spans="1:8" hidden="1">
      <c r="A5177" s="3">
        <v>153183</v>
      </c>
      <c r="B5177" s="7" t="s">
        <v>486</v>
      </c>
      <c r="C5177" s="41">
        <v>1861.96</v>
      </c>
      <c r="D5177" s="6">
        <v>45686</v>
      </c>
      <c r="E5177" s="3" t="str">
        <f ca="1">IF(Tabela2[[#This Row],[Dt Venc:]]&gt;TODAY(),"Em Aberto",IF(Tabela2[[#This Row],[D/venc]]="-","Enviado",IF(Tabela2[[#This Row],[Dt Venc:]]=TODAY(),"Vence Hoje","Vencida")))</f>
        <v>Enviado</v>
      </c>
      <c r="F5177" s="3" t="str">
        <f ca="1">IF(G5177=1,"-",Tabela2[[#This Row],[Dt Venc:]]-TODAY())</f>
        <v>-</v>
      </c>
      <c r="G5177" s="3">
        <v>1</v>
      </c>
      <c r="H5177" s="3"/>
    </row>
    <row r="5178" spans="1:8" hidden="1">
      <c r="A5178" s="3">
        <v>2812</v>
      </c>
      <c r="B5178" s="7" t="s">
        <v>58</v>
      </c>
      <c r="C5178" s="41">
        <f>4513/3</f>
        <v>1504.3333333333333</v>
      </c>
      <c r="D5178" s="6">
        <v>45686</v>
      </c>
      <c r="E5178" s="3" t="str">
        <f ca="1">IF(Tabela2[[#This Row],[Dt Venc:]]&gt;TODAY(),"Em Aberto",IF(Tabela2[[#This Row],[D/venc]]="-","Enviado",IF(Tabela2[[#This Row],[Dt Venc:]]=TODAY(),"Vence Hoje","Vencida")))</f>
        <v>Enviado</v>
      </c>
      <c r="F5178" s="3" t="str">
        <f ca="1">IF(G5178=1,"-",Tabela2[[#This Row],[Dt Venc:]]-TODAY())</f>
        <v>-</v>
      </c>
      <c r="G5178" s="3">
        <v>1</v>
      </c>
      <c r="H5178" s="3"/>
    </row>
    <row r="5179" spans="1:8" hidden="1">
      <c r="A5179" s="3">
        <v>224173</v>
      </c>
      <c r="B5179" s="7" t="s">
        <v>127</v>
      </c>
      <c r="C5179" s="41">
        <v>2535.5700000000002</v>
      </c>
      <c r="D5179" s="6">
        <v>45686</v>
      </c>
      <c r="E5179" s="3" t="str">
        <f ca="1">IF(Tabela2[[#This Row],[Dt Venc:]]&gt;TODAY(),"Em Aberto",IF(Tabela2[[#This Row],[D/venc]]="-","Enviado",IF(Tabela2[[#This Row],[Dt Venc:]]=TODAY(),"Vence Hoje","Vencida")))</f>
        <v>Enviado</v>
      </c>
      <c r="F5179" s="3" t="str">
        <f ca="1">IF(G5179=1,"-",Tabela2[[#This Row],[Dt Venc:]]-TODAY())</f>
        <v>-</v>
      </c>
      <c r="G5179" s="3">
        <v>1</v>
      </c>
      <c r="H5179" s="3"/>
    </row>
    <row r="5180" spans="1:8" hidden="1">
      <c r="A5180" s="3">
        <v>224188</v>
      </c>
      <c r="B5180" s="7" t="s">
        <v>127</v>
      </c>
      <c r="C5180" s="41">
        <v>2201.34</v>
      </c>
      <c r="D5180" s="6">
        <v>45686</v>
      </c>
      <c r="E5180" s="3" t="str">
        <f ca="1">IF(Tabela2[[#This Row],[Dt Venc:]]&gt;TODAY(),"Em Aberto",IF(Tabela2[[#This Row],[D/venc]]="-","Enviado",IF(Tabela2[[#This Row],[Dt Venc:]]=TODAY(),"Vence Hoje","Vencida")))</f>
        <v>Enviado</v>
      </c>
      <c r="F5180" s="3" t="str">
        <f ca="1">IF(G5180=1,"-",Tabela2[[#This Row],[Dt Venc:]]-TODAY())</f>
        <v>-</v>
      </c>
      <c r="G5180" s="3">
        <v>1</v>
      </c>
      <c r="H5180" s="3"/>
    </row>
    <row r="5181" spans="1:8" hidden="1">
      <c r="A5181" s="3">
        <v>146728</v>
      </c>
      <c r="B5181" s="7" t="s">
        <v>127</v>
      </c>
      <c r="C5181" s="41">
        <v>602</v>
      </c>
      <c r="D5181" s="6">
        <v>45686</v>
      </c>
      <c r="E5181" s="3" t="str">
        <f ca="1">IF(Tabela2[[#This Row],[Dt Venc:]]&gt;TODAY(),"Em Aberto",IF(Tabela2[[#This Row],[D/venc]]="-","Enviado",IF(Tabela2[[#This Row],[Dt Venc:]]=TODAY(),"Vence Hoje","Vencida")))</f>
        <v>Enviado</v>
      </c>
      <c r="F5181" s="3" t="str">
        <f ca="1">IF(G5181=1,"-",Tabela2[[#This Row],[Dt Venc:]]-TODAY())</f>
        <v>-</v>
      </c>
      <c r="G5181" s="3">
        <v>1</v>
      </c>
      <c r="H5181" s="3"/>
    </row>
    <row r="5182" spans="1:8" hidden="1">
      <c r="A5182" s="3">
        <v>29343</v>
      </c>
      <c r="B5182" s="7" t="s">
        <v>97</v>
      </c>
      <c r="C5182" s="42">
        <v>3035</v>
      </c>
      <c r="D5182" s="6">
        <v>45686</v>
      </c>
      <c r="E5182" s="3" t="str">
        <f ca="1">IF(Tabela2[[#This Row],[Dt Venc:]]&gt;TODAY(),"Em Aberto",IF(Tabela2[[#This Row],[D/venc]]="-","Enviado",IF(Tabela2[[#This Row],[Dt Venc:]]=TODAY(),"Vence Hoje","Vencida")))</f>
        <v>Enviado</v>
      </c>
      <c r="F5182" s="3" t="str">
        <f ca="1">IF(G5182=1,"-",Tabela2[[#This Row],[Dt Venc:]]-TODAY())</f>
        <v>-</v>
      </c>
      <c r="G5182" s="3">
        <v>1</v>
      </c>
      <c r="H5182" s="3"/>
    </row>
    <row r="5183" spans="1:8" hidden="1">
      <c r="A5183" s="3">
        <v>30152</v>
      </c>
      <c r="B5183" s="7" t="s">
        <v>97</v>
      </c>
      <c r="C5183" s="42">
        <v>3360</v>
      </c>
      <c r="D5183" s="6">
        <v>45686</v>
      </c>
      <c r="E5183" s="3" t="str">
        <f ca="1">IF(Tabela2[[#This Row],[Dt Venc:]]&gt;TODAY(),"Em Aberto",IF(Tabela2[[#This Row],[D/venc]]="-","Enviado",IF(Tabela2[[#This Row],[Dt Venc:]]=TODAY(),"Vence Hoje","Vencida")))</f>
        <v>Enviado</v>
      </c>
      <c r="F5183" s="3" t="str">
        <f ca="1">IF(G5183=1,"-",Tabela2[[#This Row],[Dt Venc:]]-TODAY())</f>
        <v>-</v>
      </c>
      <c r="G5183" s="3">
        <v>1</v>
      </c>
      <c r="H5183" s="3"/>
    </row>
    <row r="5184" spans="1:8" hidden="1">
      <c r="A5184" s="3">
        <v>72687</v>
      </c>
      <c r="B5184" s="7" t="s">
        <v>76</v>
      </c>
      <c r="C5184" s="41">
        <v>401.22</v>
      </c>
      <c r="D5184" s="6">
        <v>45686</v>
      </c>
      <c r="E5184" s="3" t="str">
        <f ca="1">IF(Tabela2[[#This Row],[Dt Venc:]]&gt;TODAY(),"Em Aberto",IF(Tabela2[[#This Row],[D/venc]]="-","Enviado",IF(Tabela2[[#This Row],[Dt Venc:]]=TODAY(),"Vence Hoje","Vencida")))</f>
        <v>Enviado</v>
      </c>
      <c r="F5184" s="3" t="str">
        <f ca="1">IF(G5184=1,"-",Tabela2[[#This Row],[Dt Venc:]]-TODAY())</f>
        <v>-</v>
      </c>
      <c r="G5184" s="3">
        <v>1</v>
      </c>
      <c r="H5184" s="3"/>
    </row>
    <row r="5185" spans="1:8" hidden="1">
      <c r="A5185" s="3">
        <v>72716</v>
      </c>
      <c r="B5185" s="7" t="s">
        <v>76</v>
      </c>
      <c r="C5185" s="41">
        <v>898.83</v>
      </c>
      <c r="D5185" s="6">
        <v>45686</v>
      </c>
      <c r="E5185" s="3" t="str">
        <f ca="1">IF(Tabela2[[#This Row],[Dt Venc:]]&gt;TODAY(),"Em Aberto",IF(Tabela2[[#This Row],[D/venc]]="-","Enviado",IF(Tabela2[[#This Row],[Dt Venc:]]=TODAY(),"Vence Hoje","Vencida")))</f>
        <v>Enviado</v>
      </c>
      <c r="F5185" s="3" t="str">
        <f ca="1">IF(G5185=1,"-",Tabela2[[#This Row],[Dt Venc:]]-TODAY())</f>
        <v>-</v>
      </c>
      <c r="G5185" s="3">
        <v>1</v>
      </c>
      <c r="H5185" s="3"/>
    </row>
    <row r="5186" spans="1:8" hidden="1">
      <c r="A5186" s="3">
        <v>765348</v>
      </c>
      <c r="B5186" s="7" t="s">
        <v>79</v>
      </c>
      <c r="C5186" s="41">
        <v>2129.36</v>
      </c>
      <c r="D5186" s="6">
        <v>45686</v>
      </c>
      <c r="E5186" s="3" t="str">
        <f ca="1">IF(Tabela2[[#This Row],[Dt Venc:]]&gt;TODAY(),"Em Aberto",IF(Tabela2[[#This Row],[D/venc]]="-","Enviado",IF(Tabela2[[#This Row],[Dt Venc:]]=TODAY(),"Vence Hoje","Vencida")))</f>
        <v>Enviado</v>
      </c>
      <c r="F5186" s="3" t="str">
        <f ca="1">IF(G5186=1,"-",Tabela2[[#This Row],[Dt Venc:]]-TODAY())</f>
        <v>-</v>
      </c>
      <c r="G5186" s="3">
        <v>1</v>
      </c>
      <c r="H5186" s="3"/>
    </row>
    <row r="5187" spans="1:8" hidden="1">
      <c r="A5187" s="3">
        <v>15300</v>
      </c>
      <c r="B5187" s="7" t="s">
        <v>44</v>
      </c>
      <c r="C5187" s="41">
        <v>850</v>
      </c>
      <c r="D5187" s="6">
        <v>45686</v>
      </c>
      <c r="E5187" s="3" t="str">
        <f ca="1">IF(Tabela2[[#This Row],[Dt Venc:]]&gt;TODAY(),"Em Aberto",IF(Tabela2[[#This Row],[D/venc]]="-","Enviado",IF(Tabela2[[#This Row],[Dt Venc:]]=TODAY(),"Vence Hoje","Vencida")))</f>
        <v>Enviado</v>
      </c>
      <c r="F5187" s="3" t="str">
        <f ca="1">IF(G5187=1,"-",Tabela2[[#This Row],[Dt Venc:]]-TODAY())</f>
        <v>-</v>
      </c>
      <c r="G5187" s="3">
        <v>1</v>
      </c>
      <c r="H5187" s="3"/>
    </row>
    <row r="5188" spans="1:8" hidden="1">
      <c r="A5188" s="3">
        <v>328058</v>
      </c>
      <c r="B5188" s="7" t="s">
        <v>77</v>
      </c>
      <c r="C5188" s="41">
        <v>353.33</v>
      </c>
      <c r="D5188" s="6">
        <v>45686</v>
      </c>
      <c r="E5188" s="3" t="str">
        <f ca="1">IF(Tabela2[[#This Row],[Dt Venc:]]&gt;TODAY(),"Em Aberto",IF(Tabela2[[#This Row],[D/venc]]="-","Enviado",IF(Tabela2[[#This Row],[Dt Venc:]]=TODAY(),"Vence Hoje","Vencida")))</f>
        <v>Enviado</v>
      </c>
      <c r="F5188" s="3" t="str">
        <f ca="1">IF(G5188=1,"-",Tabela2[[#This Row],[Dt Venc:]]-TODAY())</f>
        <v>-</v>
      </c>
      <c r="G5188" s="3">
        <v>1</v>
      </c>
      <c r="H5188" s="3"/>
    </row>
    <row r="5189" spans="1:8" hidden="1">
      <c r="A5189" s="3">
        <v>2000</v>
      </c>
      <c r="B5189" s="7" t="s">
        <v>475</v>
      </c>
      <c r="C5189" s="41">
        <v>1134</v>
      </c>
      <c r="D5189" s="6">
        <v>45686</v>
      </c>
      <c r="E5189" s="3" t="str">
        <f ca="1">IF(Tabela2[[#This Row],[Dt Venc:]]&gt;TODAY(),"Em Aberto",IF(Tabela2[[#This Row],[D/venc]]="-","Enviado",IF(Tabela2[[#This Row],[Dt Venc:]]=TODAY(),"Vence Hoje","Vencida")))</f>
        <v>Enviado</v>
      </c>
      <c r="F5189" s="3" t="str">
        <f ca="1">IF(G5189=1,"-",Tabela2[[#This Row],[Dt Venc:]]-TODAY())</f>
        <v>-</v>
      </c>
      <c r="G5189" s="3">
        <v>1</v>
      </c>
      <c r="H5189" s="3"/>
    </row>
    <row r="5190" spans="1:8" hidden="1">
      <c r="A5190" s="3">
        <v>6093</v>
      </c>
      <c r="B5190" s="7" t="s">
        <v>47</v>
      </c>
      <c r="C5190" s="41">
        <v>1268.55</v>
      </c>
      <c r="D5190" s="6">
        <v>45686</v>
      </c>
      <c r="E5190" s="3" t="str">
        <f ca="1">IF(Tabela2[[#This Row],[Dt Venc:]]&gt;TODAY(),"Em Aberto",IF(Tabela2[[#This Row],[D/venc]]="-","Enviado",IF(Tabela2[[#This Row],[Dt Venc:]]=TODAY(),"Vence Hoje","Vencida")))</f>
        <v>Enviado</v>
      </c>
      <c r="F5190" s="3" t="str">
        <f ca="1">IF(G5190=1,"-",Tabela2[[#This Row],[Dt Venc:]]-TODAY())</f>
        <v>-</v>
      </c>
      <c r="G5190" s="3">
        <v>1</v>
      </c>
      <c r="H5190" s="3"/>
    </row>
    <row r="5191" spans="1:8" hidden="1">
      <c r="A5191" s="3">
        <v>3304649</v>
      </c>
      <c r="B5191" s="7" t="s">
        <v>71</v>
      </c>
      <c r="C5191" s="41">
        <v>1113.26</v>
      </c>
      <c r="D5191" s="6">
        <v>45686</v>
      </c>
      <c r="E5191" s="3" t="str">
        <f ca="1">IF(Tabela2[[#This Row],[Dt Venc:]]&gt;TODAY(),"Em Aberto",IF(Tabela2[[#This Row],[D/venc]]="-","Enviado",IF(Tabela2[[#This Row],[Dt Venc:]]=TODAY(),"Vence Hoje","Vencida")))</f>
        <v>Enviado</v>
      </c>
      <c r="F5191" s="3" t="str">
        <f ca="1">IF(G5191=1,"-",Tabela2[[#This Row],[Dt Venc:]]-TODAY())</f>
        <v>-</v>
      </c>
      <c r="G5191" s="3">
        <v>1</v>
      </c>
      <c r="H5191" s="3"/>
    </row>
    <row r="5192" spans="1:8" hidden="1">
      <c r="A5192" s="3">
        <v>34513</v>
      </c>
      <c r="B5192" s="7" t="s">
        <v>70</v>
      </c>
      <c r="C5192" s="41">
        <v>611.96</v>
      </c>
      <c r="D5192" s="6">
        <v>45686</v>
      </c>
      <c r="E5192" s="3" t="str">
        <f ca="1">IF(Tabela2[[#This Row],[Dt Venc:]]&gt;TODAY(),"Em Aberto",IF(Tabela2[[#This Row],[D/venc]]="-","Enviado",IF(Tabela2[[#This Row],[Dt Venc:]]=TODAY(),"Vence Hoje","Vencida")))</f>
        <v>Enviado</v>
      </c>
      <c r="F5192" s="3" t="str">
        <f ca="1">IF(G5192=1,"-",Tabela2[[#This Row],[Dt Venc:]]-TODAY())</f>
        <v>-</v>
      </c>
      <c r="G5192" s="3">
        <v>1</v>
      </c>
      <c r="H5192" s="3"/>
    </row>
    <row r="5193" spans="1:8" hidden="1">
      <c r="A5193" s="3">
        <v>30839</v>
      </c>
      <c r="B5193" s="7" t="s">
        <v>97</v>
      </c>
      <c r="C5193" s="41">
        <v>2395</v>
      </c>
      <c r="D5193" s="6">
        <v>45686</v>
      </c>
      <c r="E5193" s="3" t="str">
        <f ca="1">IF(Tabela2[[#This Row],[Dt Venc:]]&gt;TODAY(),"Em Aberto",IF(Tabela2[[#This Row],[D/venc]]="-","Enviado",IF(Tabela2[[#This Row],[Dt Venc:]]=TODAY(),"Vence Hoje","Vencida")))</f>
        <v>Enviado</v>
      </c>
      <c r="F5193" s="3" t="str">
        <f ca="1">IF(G5193=1,"-",Tabela2[[#This Row],[Dt Venc:]]-TODAY())</f>
        <v>-</v>
      </c>
      <c r="G5193" s="3">
        <v>1</v>
      </c>
      <c r="H5193" s="3"/>
    </row>
    <row r="5194" spans="1:8" hidden="1">
      <c r="A5194" s="3">
        <v>12341</v>
      </c>
      <c r="B5194" s="7" t="s">
        <v>72</v>
      </c>
      <c r="C5194" s="41">
        <v>790</v>
      </c>
      <c r="D5194" s="6">
        <v>45686</v>
      </c>
      <c r="E5194" s="3" t="str">
        <f ca="1">IF(Tabela2[[#This Row],[Dt Venc:]]&gt;TODAY(),"Em Aberto",IF(Tabela2[[#This Row],[D/venc]]="-","Enviado",IF(Tabela2[[#This Row],[Dt Venc:]]=TODAY(),"Vence Hoje","Vencida")))</f>
        <v>Enviado</v>
      </c>
      <c r="F5194" s="3" t="str">
        <f ca="1">IF(G5194=1,"-",Tabela2[[#This Row],[Dt Venc:]]-TODAY())</f>
        <v>-</v>
      </c>
      <c r="G5194" s="3">
        <v>1</v>
      </c>
      <c r="H5194" s="3"/>
    </row>
    <row r="5195" spans="1:8" hidden="1">
      <c r="A5195" s="3">
        <v>2925</v>
      </c>
      <c r="B5195" s="7" t="s">
        <v>301</v>
      </c>
      <c r="C5195" s="41">
        <v>2440</v>
      </c>
      <c r="D5195" s="6">
        <v>45686</v>
      </c>
      <c r="E5195" s="3" t="str">
        <f ca="1">IF(Tabela2[[#This Row],[Dt Venc:]]&gt;TODAY(),"Em Aberto",IF(Tabela2[[#This Row],[D/venc]]="-","Enviado",IF(Tabela2[[#This Row],[Dt Venc:]]=TODAY(),"Vence Hoje","Vencida")))</f>
        <v>Enviado</v>
      </c>
      <c r="F5195" s="3" t="str">
        <f ca="1">IF(G5195=1,"-",Tabela2[[#This Row],[Dt Venc:]]-TODAY())</f>
        <v>-</v>
      </c>
      <c r="G5195" s="3">
        <v>1</v>
      </c>
      <c r="H5195" s="3"/>
    </row>
    <row r="5196" spans="1:8" hidden="1">
      <c r="A5196" s="3">
        <v>297</v>
      </c>
      <c r="B5196" s="7" t="s">
        <v>580</v>
      </c>
      <c r="C5196" s="41">
        <v>925</v>
      </c>
      <c r="D5196" s="6">
        <v>45686</v>
      </c>
      <c r="E5196" s="3" t="str">
        <f ca="1">IF(Tabela2[[#This Row],[Dt Venc:]]&gt;TODAY(),"Em Aberto",IF(Tabela2[[#This Row],[D/venc]]="-","Enviado",IF(Tabela2[[#This Row],[Dt Venc:]]=TODAY(),"Vence Hoje","Vencida")))</f>
        <v>Enviado</v>
      </c>
      <c r="F5196" s="3" t="str">
        <f ca="1">IF(G5196=1,"-",Tabela2[[#This Row],[Dt Venc:]]-TODAY())</f>
        <v>-</v>
      </c>
      <c r="G5196" s="3">
        <v>1</v>
      </c>
      <c r="H5196" s="3"/>
    </row>
    <row r="5197" spans="1:8" hidden="1">
      <c r="A5197" s="3">
        <v>11186</v>
      </c>
      <c r="B5197" s="7" t="s">
        <v>33</v>
      </c>
      <c r="C5197" s="41">
        <v>1823.3</v>
      </c>
      <c r="D5197" s="6">
        <v>45686</v>
      </c>
      <c r="E5197" s="3" t="str">
        <f ca="1">IF(Tabela2[[#This Row],[Dt Venc:]]&gt;TODAY(),"Em Aberto",IF(Tabela2[[#This Row],[D/venc]]="-","Enviado",IF(Tabela2[[#This Row],[Dt Venc:]]=TODAY(),"Vence Hoje","Vencida")))</f>
        <v>Enviado</v>
      </c>
      <c r="F5197" s="3" t="str">
        <f ca="1">IF(G5197=1,"-",Tabela2[[#This Row],[Dt Venc:]]-TODAY())</f>
        <v>-</v>
      </c>
      <c r="G5197" s="3">
        <v>1</v>
      </c>
      <c r="H5197" s="3"/>
    </row>
    <row r="5198" spans="1:8" hidden="1">
      <c r="A5198" s="3">
        <v>262519</v>
      </c>
      <c r="B5198" s="7" t="s">
        <v>43</v>
      </c>
      <c r="C5198" s="41">
        <v>674.48</v>
      </c>
      <c r="D5198" s="6">
        <v>45686</v>
      </c>
      <c r="E5198" s="3" t="str">
        <f ca="1">IF(Tabela2[[#This Row],[Dt Venc:]]&gt;TODAY(),"Em Aberto",IF(Tabela2[[#This Row],[D/venc]]="-","Enviado",IF(Tabela2[[#This Row],[Dt Venc:]]=TODAY(),"Vence Hoje","Vencida")))</f>
        <v>Enviado</v>
      </c>
      <c r="F5198" s="3" t="str">
        <f ca="1">IF(G5198=1,"-",Tabela2[[#This Row],[Dt Venc:]]-TODAY())</f>
        <v>-</v>
      </c>
      <c r="G5198" s="3">
        <v>1</v>
      </c>
      <c r="H5198" s="3"/>
    </row>
    <row r="5199" spans="1:8" hidden="1">
      <c r="A5199" s="3">
        <v>11184</v>
      </c>
      <c r="B5199" s="7" t="s">
        <v>33</v>
      </c>
      <c r="C5199" s="41">
        <v>400</v>
      </c>
      <c r="D5199" s="6">
        <v>45686</v>
      </c>
      <c r="E5199" s="3" t="str">
        <f ca="1">IF(Tabela2[[#This Row],[Dt Venc:]]&gt;TODAY(),"Em Aberto",IF(Tabela2[[#This Row],[D/venc]]="-","Enviado",IF(Tabela2[[#This Row],[Dt Venc:]]=TODAY(),"Vence Hoje","Vencida")))</f>
        <v>Enviado</v>
      </c>
      <c r="F5199" s="3" t="str">
        <f ca="1">IF(G5199=1,"-",Tabela2[[#This Row],[Dt Venc:]]-TODAY())</f>
        <v>-</v>
      </c>
      <c r="G5199" s="3">
        <v>1</v>
      </c>
      <c r="H5199" s="3"/>
    </row>
    <row r="5200" spans="1:8" hidden="1">
      <c r="A5200" s="3">
        <v>35664</v>
      </c>
      <c r="B5200" s="7" t="s">
        <v>70</v>
      </c>
      <c r="C5200" s="41">
        <v>460.29</v>
      </c>
      <c r="D5200" s="6">
        <v>45686</v>
      </c>
      <c r="E5200" s="3" t="str">
        <f ca="1">IF(Tabela2[[#This Row],[Dt Venc:]]&gt;TODAY(),"Em Aberto",IF(Tabela2[[#This Row],[D/venc]]="-","Enviado",IF(Tabela2[[#This Row],[Dt Venc:]]=TODAY(),"Vence Hoje","Vencida")))</f>
        <v>Enviado</v>
      </c>
      <c r="F5200" s="3" t="str">
        <f ca="1">IF(G5200=1,"-",Tabela2[[#This Row],[Dt Venc:]]-TODAY())</f>
        <v>-</v>
      </c>
      <c r="G5200" s="3">
        <v>1</v>
      </c>
      <c r="H5200" s="3"/>
    </row>
    <row r="5201" spans="1:8" hidden="1">
      <c r="A5201" s="3">
        <v>10986</v>
      </c>
      <c r="B5201" s="7" t="s">
        <v>175</v>
      </c>
      <c r="C5201" s="41">
        <v>324.68</v>
      </c>
      <c r="D5201" s="6">
        <v>45686</v>
      </c>
      <c r="E5201" s="3" t="str">
        <f ca="1">IF(Tabela2[[#This Row],[Dt Venc:]]&gt;TODAY(),"Em Aberto",IF(Tabela2[[#This Row],[D/venc]]="-","Enviado",IF(Tabela2[[#This Row],[Dt Venc:]]=TODAY(),"Vence Hoje","Vencida")))</f>
        <v>Enviado</v>
      </c>
      <c r="F5201" s="3" t="str">
        <f ca="1">IF(G5201=1,"-",Tabela2[[#This Row],[Dt Venc:]]-TODAY())</f>
        <v>-</v>
      </c>
      <c r="G5201" s="3">
        <v>1</v>
      </c>
      <c r="H5201" s="3"/>
    </row>
    <row r="5202" spans="1:8" hidden="1">
      <c r="A5202" s="3">
        <v>1661</v>
      </c>
      <c r="B5202" s="7" t="s">
        <v>556</v>
      </c>
      <c r="C5202" s="41">
        <v>912</v>
      </c>
      <c r="D5202" s="6">
        <v>45686</v>
      </c>
      <c r="E5202" s="3" t="str">
        <f ca="1">IF(Tabela2[[#This Row],[Dt Venc:]]&gt;TODAY(),"Em Aberto",IF(Tabela2[[#This Row],[D/venc]]="-","Enviado",IF(Tabela2[[#This Row],[Dt Venc:]]=TODAY(),"Vence Hoje","Vencida")))</f>
        <v>Enviado</v>
      </c>
      <c r="F5202" s="3" t="str">
        <f ca="1">IF(G5202=1,"-",Tabela2[[#This Row],[Dt Venc:]]-TODAY())</f>
        <v>-</v>
      </c>
      <c r="G5202" s="3">
        <v>1</v>
      </c>
      <c r="H5202" s="3"/>
    </row>
    <row r="5203" spans="1:8" hidden="1">
      <c r="A5203" s="3">
        <v>4231</v>
      </c>
      <c r="B5203" s="7" t="s">
        <v>479</v>
      </c>
      <c r="C5203" s="41">
        <v>579.71</v>
      </c>
      <c r="D5203" s="6">
        <v>45686</v>
      </c>
      <c r="E5203" s="3" t="str">
        <f ca="1">IF(Tabela2[[#This Row],[Dt Venc:]]&gt;TODAY(),"Em Aberto",IF(Tabela2[[#This Row],[D/venc]]="-","Enviado",IF(Tabela2[[#This Row],[Dt Venc:]]=TODAY(),"Vence Hoje","Vencida")))</f>
        <v>Enviado</v>
      </c>
      <c r="F5203" s="3" t="str">
        <f ca="1">IF(G5203=1,"-",Tabela2[[#This Row],[Dt Venc:]]-TODAY())</f>
        <v>-</v>
      </c>
      <c r="G5203" s="3">
        <v>1</v>
      </c>
      <c r="H5203" s="3"/>
    </row>
    <row r="5204" spans="1:8" hidden="1">
      <c r="A5204" s="3">
        <v>267132</v>
      </c>
      <c r="B5204" s="7" t="s">
        <v>36</v>
      </c>
      <c r="C5204" s="41">
        <v>423.33</v>
      </c>
      <c r="D5204" s="6">
        <v>45686</v>
      </c>
      <c r="E5204" s="3" t="str">
        <f ca="1">IF(Tabela2[[#This Row],[Dt Venc:]]&gt;TODAY(),"Em Aberto",IF(Tabela2[[#This Row],[D/venc]]="-","Enviado",IF(Tabela2[[#This Row],[Dt Venc:]]=TODAY(),"Vence Hoje","Vencida")))</f>
        <v>Enviado</v>
      </c>
      <c r="F5204" s="3" t="str">
        <f ca="1">IF(G5204=1,"-",Tabela2[[#This Row],[Dt Venc:]]-TODAY())</f>
        <v>-</v>
      </c>
      <c r="G5204" s="3">
        <v>1</v>
      </c>
      <c r="H5204" s="3"/>
    </row>
    <row r="5205" spans="1:8" hidden="1">
      <c r="A5205" s="3">
        <v>2359</v>
      </c>
      <c r="B5205" s="7" t="s">
        <v>45</v>
      </c>
      <c r="C5205" s="41">
        <v>760</v>
      </c>
      <c r="D5205" s="6">
        <v>45686</v>
      </c>
      <c r="E5205" s="3" t="str">
        <f ca="1">IF(Tabela2[[#This Row],[Dt Venc:]]&gt;TODAY(),"Em Aberto",IF(Tabela2[[#This Row],[D/venc]]="-","Enviado",IF(Tabela2[[#This Row],[Dt Venc:]]=TODAY(),"Vence Hoje","Vencida")))</f>
        <v>Enviado</v>
      </c>
      <c r="F5205" s="3" t="str">
        <f ca="1">IF(G5205=1,"-",Tabela2[[#This Row],[Dt Venc:]]-TODAY())</f>
        <v>-</v>
      </c>
      <c r="G5205" s="3">
        <v>1</v>
      </c>
      <c r="H5205" s="3"/>
    </row>
    <row r="5206" spans="1:8" hidden="1">
      <c r="A5206" s="3">
        <v>6326</v>
      </c>
      <c r="B5206" s="7" t="s">
        <v>47</v>
      </c>
      <c r="C5206" s="41">
        <v>1705</v>
      </c>
      <c r="D5206" s="6">
        <v>45686</v>
      </c>
      <c r="E5206" s="3" t="str">
        <f ca="1">IF(Tabela2[[#This Row],[Dt Venc:]]&gt;TODAY(),"Em Aberto",IF(Tabela2[[#This Row],[D/venc]]="-","Enviado",IF(Tabela2[[#This Row],[Dt Venc:]]=TODAY(),"Vence Hoje","Vencida")))</f>
        <v>Enviado</v>
      </c>
      <c r="F5206" s="3" t="str">
        <f ca="1">IF(G5206=1,"-",Tabela2[[#This Row],[Dt Venc:]]-TODAY())</f>
        <v>-</v>
      </c>
      <c r="G5206" s="3">
        <v>1</v>
      </c>
      <c r="H5206" s="3"/>
    </row>
    <row r="5207" spans="1:8" hidden="1">
      <c r="A5207" s="3">
        <v>178915</v>
      </c>
      <c r="B5207" s="7" t="s">
        <v>211</v>
      </c>
      <c r="C5207" s="41">
        <v>1600</v>
      </c>
      <c r="D5207" s="6">
        <v>45686</v>
      </c>
      <c r="E5207" s="3" t="str">
        <f ca="1">IF(Tabela2[[#This Row],[Dt Venc:]]&gt;TODAY(),"Em Aberto",IF(Tabela2[[#This Row],[D/venc]]="-","Enviado",IF(Tabela2[[#This Row],[Dt Venc:]]=TODAY(),"Vence Hoje","Vencida")))</f>
        <v>Enviado</v>
      </c>
      <c r="F5207" s="3" t="str">
        <f ca="1">IF(G5207=1,"-",Tabela2[[#This Row],[Dt Venc:]]-TODAY())</f>
        <v>-</v>
      </c>
      <c r="G5207" s="3">
        <v>1</v>
      </c>
      <c r="H5207" s="3"/>
    </row>
    <row r="5208" spans="1:8" hidden="1">
      <c r="A5208" s="3">
        <v>1983</v>
      </c>
      <c r="B5208" s="7" t="s">
        <v>422</v>
      </c>
      <c r="C5208" s="41">
        <v>2677.5</v>
      </c>
      <c r="D5208" s="6">
        <v>45686</v>
      </c>
      <c r="E5208" s="3" t="str">
        <f ca="1">IF(Tabela2[[#This Row],[Dt Venc:]]&gt;TODAY(),"Em Aberto",IF(Tabela2[[#This Row],[D/venc]]="-","Enviado",IF(Tabela2[[#This Row],[Dt Venc:]]=TODAY(),"Vence Hoje","Vencida")))</f>
        <v>Enviado</v>
      </c>
      <c r="F5208" s="3" t="str">
        <f ca="1">IF(G5208=1,"-",Tabela2[[#This Row],[Dt Venc:]]-TODAY())</f>
        <v>-</v>
      </c>
      <c r="G5208" s="3">
        <v>1</v>
      </c>
      <c r="H5208" s="3"/>
    </row>
    <row r="5209" spans="1:8" hidden="1">
      <c r="A5209" s="3">
        <v>449598</v>
      </c>
      <c r="B5209" s="7" t="s">
        <v>661</v>
      </c>
      <c r="C5209" s="41">
        <v>844.4</v>
      </c>
      <c r="D5209" s="6">
        <v>45686</v>
      </c>
      <c r="E5209" s="3" t="str">
        <f ca="1">IF(Tabela2[[#This Row],[Dt Venc:]]&gt;TODAY(),"Em Aberto",IF(Tabela2[[#This Row],[D/venc]]="-","Enviado",IF(Tabela2[[#This Row],[Dt Venc:]]=TODAY(),"Vence Hoje","Vencida")))</f>
        <v>Enviado</v>
      </c>
      <c r="F5209" s="3" t="str">
        <f ca="1">IF(G5209=1,"-",Tabela2[[#This Row],[Dt Venc:]]-TODAY())</f>
        <v>-</v>
      </c>
      <c r="G5209" s="3">
        <v>1</v>
      </c>
      <c r="H5209" s="3"/>
    </row>
    <row r="5210" spans="1:8" hidden="1">
      <c r="A5210" s="3">
        <v>4010363</v>
      </c>
      <c r="B5210" s="7" t="s">
        <v>380</v>
      </c>
      <c r="C5210" s="41">
        <v>1000</v>
      </c>
      <c r="D5210" s="6">
        <v>45686</v>
      </c>
      <c r="E5210" s="3" t="str">
        <f ca="1">IF(Tabela2[[#This Row],[Dt Venc:]]&gt;TODAY(),"Em Aberto",IF(Tabela2[[#This Row],[D/venc]]="-","Enviado",IF(Tabela2[[#This Row],[Dt Venc:]]=TODAY(),"Vence Hoje","Vencida")))</f>
        <v>Enviado</v>
      </c>
      <c r="F5210" s="3" t="str">
        <f ca="1">IF(G5210=1,"-",Tabela2[[#This Row],[Dt Venc:]]-TODAY())</f>
        <v>-</v>
      </c>
      <c r="G5210" s="3">
        <v>1</v>
      </c>
      <c r="H5210" s="3"/>
    </row>
    <row r="5211" spans="1:8" hidden="1">
      <c r="A5211" s="3">
        <v>4010362</v>
      </c>
      <c r="B5211" s="7" t="s">
        <v>380</v>
      </c>
      <c r="C5211" s="41">
        <v>1000</v>
      </c>
      <c r="D5211" s="6">
        <v>45686</v>
      </c>
      <c r="E5211" s="3" t="str">
        <f ca="1">IF(Tabela2[[#This Row],[Dt Venc:]]&gt;TODAY(),"Em Aberto",IF(Tabela2[[#This Row],[D/venc]]="-","Enviado",IF(Tabela2[[#This Row],[Dt Venc:]]=TODAY(),"Vence Hoje","Vencida")))</f>
        <v>Enviado</v>
      </c>
      <c r="F5211" s="3" t="str">
        <f ca="1">IF(G5211=1,"-",Tabela2[[#This Row],[Dt Venc:]]-TODAY())</f>
        <v>-</v>
      </c>
      <c r="G5211" s="3">
        <v>1</v>
      </c>
      <c r="H5211" s="3"/>
    </row>
    <row r="5212" spans="1:8" hidden="1">
      <c r="A5212" s="3">
        <v>447203</v>
      </c>
      <c r="B5212" s="7" t="s">
        <v>59</v>
      </c>
      <c r="C5212" s="41">
        <v>27988.5</v>
      </c>
      <c r="D5212" s="6">
        <v>45686</v>
      </c>
      <c r="E5212" s="3" t="str">
        <f ca="1">IF(Tabela2[[#This Row],[Dt Venc:]]&gt;TODAY(),"Em Aberto",IF(Tabela2[[#This Row],[D/venc]]="-","Enviado",IF(Tabela2[[#This Row],[Dt Venc:]]=TODAY(),"Vence Hoje","Vencida")))</f>
        <v>Enviado</v>
      </c>
      <c r="F5212" s="3" t="str">
        <f ca="1">IF(G5212=1,"-",Tabela2[[#This Row],[Dt Venc:]]-TODAY())</f>
        <v>-</v>
      </c>
      <c r="G5212" s="3">
        <v>1</v>
      </c>
      <c r="H5212" s="3"/>
    </row>
    <row r="5213" spans="1:8" hidden="1">
      <c r="A5213" s="3">
        <v>2011902</v>
      </c>
      <c r="B5213" s="7" t="s">
        <v>59</v>
      </c>
      <c r="C5213" s="41">
        <v>109474</v>
      </c>
      <c r="D5213" s="6">
        <v>45686</v>
      </c>
      <c r="E5213" s="3" t="str">
        <f ca="1">IF(Tabela2[[#This Row],[Dt Venc:]]&gt;TODAY(),"Em Aberto",IF(Tabela2[[#This Row],[D/venc]]="-","Enviado",IF(Tabela2[[#This Row],[Dt Venc:]]=TODAY(),"Vence Hoje","Vencida")))</f>
        <v>Enviado</v>
      </c>
      <c r="F5213" s="3" t="str">
        <f ca="1">IF(G5213=1,"-",Tabela2[[#This Row],[Dt Venc:]]-TODAY())</f>
        <v>-</v>
      </c>
      <c r="G5213" s="3">
        <v>1</v>
      </c>
      <c r="H5213" s="3"/>
    </row>
    <row r="5214" spans="1:8" hidden="1">
      <c r="A5214" s="3">
        <v>142803</v>
      </c>
      <c r="B5214" s="7" t="s">
        <v>60</v>
      </c>
      <c r="C5214" s="41">
        <v>390</v>
      </c>
      <c r="D5214" s="6">
        <v>45686</v>
      </c>
      <c r="E5214" s="3" t="str">
        <f ca="1">IF(Tabela2[[#This Row],[Dt Venc:]]&gt;TODAY(),"Em Aberto",IF(Tabela2[[#This Row],[D/venc]]="-","Enviado",IF(Tabela2[[#This Row],[Dt Venc:]]=TODAY(),"Vence Hoje","Vencida")))</f>
        <v>Enviado</v>
      </c>
      <c r="F5214" s="3" t="str">
        <f ca="1">IF(G5214=1,"-",Tabela2[[#This Row],[Dt Venc:]]-TODAY())</f>
        <v>-</v>
      </c>
      <c r="G5214" s="3">
        <v>1</v>
      </c>
      <c r="H5214" s="3"/>
    </row>
    <row r="5215" spans="1:8" hidden="1">
      <c r="A5215" s="3">
        <v>142804</v>
      </c>
      <c r="B5215" s="7" t="s">
        <v>60</v>
      </c>
      <c r="C5215" s="41">
        <v>390</v>
      </c>
      <c r="D5215" s="6">
        <v>45686</v>
      </c>
      <c r="E5215" s="3" t="str">
        <f ca="1">IF(Tabela2[[#This Row],[Dt Venc:]]&gt;TODAY(),"Em Aberto",IF(Tabela2[[#This Row],[D/venc]]="-","Enviado",IF(Tabela2[[#This Row],[Dt Venc:]]=TODAY(),"Vence Hoje","Vencida")))</f>
        <v>Enviado</v>
      </c>
      <c r="F5215" s="3" t="str">
        <f ca="1">IF(G5215=1,"-",Tabela2[[#This Row],[Dt Venc:]]-TODAY())</f>
        <v>-</v>
      </c>
      <c r="G5215" s="3">
        <v>1</v>
      </c>
      <c r="H5215" s="3"/>
    </row>
    <row r="5216" spans="1:8" hidden="1">
      <c r="A5216" s="3">
        <v>142812</v>
      </c>
      <c r="B5216" s="7" t="s">
        <v>60</v>
      </c>
      <c r="C5216" s="41">
        <v>390</v>
      </c>
      <c r="D5216" s="6">
        <v>45686</v>
      </c>
      <c r="E5216" s="3" t="str">
        <f ca="1">IF(Tabela2[[#This Row],[Dt Venc:]]&gt;TODAY(),"Em Aberto",IF(Tabela2[[#This Row],[D/venc]]="-","Enviado",IF(Tabela2[[#This Row],[Dt Venc:]]=TODAY(),"Vence Hoje","Vencida")))</f>
        <v>Enviado</v>
      </c>
      <c r="F5216" s="3" t="str">
        <f ca="1">IF(G5216=1,"-",Tabela2[[#This Row],[Dt Venc:]]-TODAY())</f>
        <v>-</v>
      </c>
      <c r="G5216" s="3">
        <v>1</v>
      </c>
      <c r="H5216" s="3"/>
    </row>
    <row r="5217" spans="1:8" hidden="1">
      <c r="A5217" s="3">
        <v>2516496</v>
      </c>
      <c r="B5217" s="7" t="s">
        <v>59</v>
      </c>
      <c r="C5217" s="41">
        <v>54356</v>
      </c>
      <c r="D5217" s="6">
        <v>45686</v>
      </c>
      <c r="E5217" s="3" t="str">
        <f ca="1">IF(Tabela2[[#This Row],[Dt Venc:]]&gt;TODAY(),"Em Aberto",IF(Tabela2[[#This Row],[D/venc]]="-","Enviado",IF(Tabela2[[#This Row],[Dt Venc:]]=TODAY(),"Vence Hoje","Vencida")))</f>
        <v>Enviado</v>
      </c>
      <c r="F5217" s="3" t="str">
        <f ca="1">IF(G5217=1,"-",Tabela2[[#This Row],[Dt Venc:]]-TODAY())</f>
        <v>-</v>
      </c>
      <c r="G5217" s="3">
        <v>1</v>
      </c>
      <c r="H5217" s="3"/>
    </row>
    <row r="5218" spans="1:8" hidden="1">
      <c r="A5218" s="3">
        <v>448312</v>
      </c>
      <c r="B5218" s="7" t="s">
        <v>609</v>
      </c>
      <c r="C5218" s="41">
        <v>353.21</v>
      </c>
      <c r="D5218" s="6">
        <v>45687</v>
      </c>
      <c r="E5218" s="3" t="str">
        <f ca="1">IF(Tabela2[[#This Row],[Dt Venc:]]&gt;TODAY(),"Em Aberto",IF(Tabela2[[#This Row],[D/venc]]="-","Enviado",IF(Tabela2[[#This Row],[Dt Venc:]]=TODAY(),"Vence Hoje","Vencida")))</f>
        <v>Enviado</v>
      </c>
      <c r="F5218" s="3" t="str">
        <f ca="1">IF(G5218=1,"-",Tabela2[[#This Row],[Dt Venc:]]-TODAY())</f>
        <v>-</v>
      </c>
      <c r="G5218" s="3">
        <v>1</v>
      </c>
      <c r="H5218" s="3"/>
    </row>
    <row r="5219" spans="1:8" hidden="1">
      <c r="A5219" s="3">
        <v>11096</v>
      </c>
      <c r="B5219" s="7" t="s">
        <v>33</v>
      </c>
      <c r="C5219" s="41">
        <v>1971.6</v>
      </c>
      <c r="D5219" s="6">
        <v>45687</v>
      </c>
      <c r="E5219" s="3" t="str">
        <f ca="1">IF(Tabela2[[#This Row],[Dt Venc:]]&gt;TODAY(),"Em Aberto",IF(Tabela2[[#This Row],[D/venc]]="-","Enviado",IF(Tabela2[[#This Row],[Dt Venc:]]=TODAY(),"Vence Hoje","Vencida")))</f>
        <v>Enviado</v>
      </c>
      <c r="F5219" s="3" t="str">
        <f ca="1">IF(G5219=1,"-",Tabela2[[#This Row],[Dt Venc:]]-TODAY())</f>
        <v>-</v>
      </c>
      <c r="G5219" s="3">
        <v>1</v>
      </c>
      <c r="H5219" s="3"/>
    </row>
    <row r="5220" spans="1:8" hidden="1">
      <c r="A5220" s="3">
        <v>267429</v>
      </c>
      <c r="B5220" s="7" t="s">
        <v>36</v>
      </c>
      <c r="C5220" s="41">
        <v>5703.75</v>
      </c>
      <c r="D5220" s="6">
        <v>45687</v>
      </c>
      <c r="E5220" s="3" t="str">
        <f ca="1">IF(Tabela2[[#This Row],[Dt Venc:]]&gt;TODAY(),"Em Aberto",IF(Tabela2[[#This Row],[D/venc]]="-","Enviado",IF(Tabela2[[#This Row],[Dt Venc:]]=TODAY(),"Vence Hoje","Vencida")))</f>
        <v>Enviado</v>
      </c>
      <c r="F5220" s="3" t="str">
        <f ca="1">IF(G5220=1,"-",Tabela2[[#This Row],[Dt Venc:]]-TODAY())</f>
        <v>-</v>
      </c>
      <c r="G5220" s="3">
        <v>1</v>
      </c>
      <c r="H5220" s="3"/>
    </row>
    <row r="5221" spans="1:8" hidden="1">
      <c r="A5221" s="3">
        <v>267427</v>
      </c>
      <c r="B5221" s="7" t="s">
        <v>36</v>
      </c>
      <c r="C5221" s="41">
        <v>1087.23</v>
      </c>
      <c r="D5221" s="6">
        <v>45687</v>
      </c>
      <c r="E5221" s="3" t="str">
        <f ca="1">IF(Tabela2[[#This Row],[Dt Venc:]]&gt;TODAY(),"Em Aberto",IF(Tabela2[[#This Row],[D/venc]]="-","Enviado",IF(Tabela2[[#This Row],[Dt Venc:]]=TODAY(),"Vence Hoje","Vencida")))</f>
        <v>Enviado</v>
      </c>
      <c r="F5221" s="3" t="str">
        <f ca="1">IF(G5221=1,"-",Tabela2[[#This Row],[Dt Venc:]]-TODAY())</f>
        <v>-</v>
      </c>
      <c r="G5221" s="3">
        <v>1</v>
      </c>
      <c r="H5221" s="3"/>
    </row>
    <row r="5222" spans="1:8" hidden="1">
      <c r="A5222" s="3">
        <v>611500</v>
      </c>
      <c r="B5222" s="7" t="s">
        <v>66</v>
      </c>
      <c r="C5222" s="42">
        <v>3759.36</v>
      </c>
      <c r="D5222" s="6">
        <v>45687</v>
      </c>
      <c r="E5222" s="3" t="str">
        <f ca="1">IF(Tabela2[[#This Row],[Dt Venc:]]&gt;TODAY(),"Em Aberto",IF(Tabela2[[#This Row],[D/venc]]="-","Enviado",IF(Tabela2[[#This Row],[Dt Venc:]]=TODAY(),"Vence Hoje","Vencida")))</f>
        <v>Enviado</v>
      </c>
      <c r="F5222" s="3" t="str">
        <f ca="1">IF(G5222=1,"-",Tabela2[[#This Row],[Dt Venc:]]-TODAY())</f>
        <v>-</v>
      </c>
      <c r="G5222" s="3">
        <v>1</v>
      </c>
      <c r="H5222" s="3"/>
    </row>
    <row r="5223" spans="1:8" hidden="1">
      <c r="A5223" s="3">
        <v>615760</v>
      </c>
      <c r="B5223" s="7" t="s">
        <v>66</v>
      </c>
      <c r="C5223" s="41">
        <v>848.11</v>
      </c>
      <c r="D5223" s="6">
        <v>45687</v>
      </c>
      <c r="E5223" s="3" t="str">
        <f ca="1">IF(Tabela2[[#This Row],[Dt Venc:]]&gt;TODAY(),"Em Aberto",IF(Tabela2[[#This Row],[D/venc]]="-","Enviado",IF(Tabela2[[#This Row],[Dt Venc:]]=TODAY(),"Vence Hoje","Vencida")))</f>
        <v>Enviado</v>
      </c>
      <c r="F5223" s="3" t="str">
        <f ca="1">IF(G5223=1,"-",Tabela2[[#This Row],[Dt Venc:]]-TODAY())</f>
        <v>-</v>
      </c>
      <c r="G5223" s="3">
        <v>1</v>
      </c>
      <c r="H5223" s="3"/>
    </row>
    <row r="5224" spans="1:8" hidden="1">
      <c r="A5224" s="3">
        <v>233020</v>
      </c>
      <c r="B5224" s="7" t="s">
        <v>40</v>
      </c>
      <c r="C5224" s="41">
        <v>1033.3399999999999</v>
      </c>
      <c r="D5224" s="6">
        <v>45687</v>
      </c>
      <c r="E5224" s="3" t="str">
        <f ca="1">IF(Tabela2[[#This Row],[Dt Venc:]]&gt;TODAY(),"Em Aberto",IF(Tabela2[[#This Row],[D/venc]]="-","Enviado",IF(Tabela2[[#This Row],[Dt Venc:]]=TODAY(),"Vence Hoje","Vencida")))</f>
        <v>Enviado</v>
      </c>
      <c r="F5224" s="3" t="str">
        <f ca="1">IF(G5224=1,"-",Tabela2[[#This Row],[Dt Venc:]]-TODAY())</f>
        <v>-</v>
      </c>
      <c r="G5224" s="3">
        <v>1</v>
      </c>
      <c r="H5224" s="3"/>
    </row>
    <row r="5225" spans="1:8" hidden="1">
      <c r="A5225" s="3">
        <v>50</v>
      </c>
      <c r="B5225" s="7" t="s">
        <v>132</v>
      </c>
      <c r="C5225" s="41">
        <v>3266.67</v>
      </c>
      <c r="D5225" s="6">
        <v>45687</v>
      </c>
      <c r="E5225" s="3" t="str">
        <f ca="1">IF(Tabela2[[#This Row],[Dt Venc:]]&gt;TODAY(),"Em Aberto",IF(Tabela2[[#This Row],[D/venc]]="-","Enviado",IF(Tabela2[[#This Row],[Dt Venc:]]=TODAY(),"Vence Hoje","Vencida")))</f>
        <v>Enviado</v>
      </c>
      <c r="F5225" s="3" t="str">
        <f ca="1">IF(G5225=1,"-",Tabela2[[#This Row],[Dt Venc:]]-TODAY())</f>
        <v>-</v>
      </c>
      <c r="G5225" s="3">
        <v>1</v>
      </c>
      <c r="H5225" s="3"/>
    </row>
    <row r="5226" spans="1:8" hidden="1">
      <c r="A5226" s="3">
        <v>72766</v>
      </c>
      <c r="B5226" s="7" t="s">
        <v>76</v>
      </c>
      <c r="C5226" s="41">
        <v>397.23</v>
      </c>
      <c r="D5226" s="6">
        <v>45687</v>
      </c>
      <c r="E5226" s="3" t="str">
        <f ca="1">IF(Tabela2[[#This Row],[Dt Venc:]]&gt;TODAY(),"Em Aberto",IF(Tabela2[[#This Row],[D/venc]]="-","Enviado",IF(Tabela2[[#This Row],[Dt Venc:]]=TODAY(),"Vence Hoje","Vencida")))</f>
        <v>Enviado</v>
      </c>
      <c r="F5226" s="3" t="str">
        <f ca="1">IF(G5226=1,"-",Tabela2[[#This Row],[Dt Venc:]]-TODAY())</f>
        <v>-</v>
      </c>
      <c r="G5226" s="3">
        <v>1</v>
      </c>
      <c r="H5226" s="3"/>
    </row>
    <row r="5227" spans="1:8" hidden="1">
      <c r="A5227" s="3">
        <v>88950</v>
      </c>
      <c r="B5227" s="7" t="s">
        <v>207</v>
      </c>
      <c r="C5227" s="41">
        <v>1816.67</v>
      </c>
      <c r="D5227" s="6">
        <v>45687</v>
      </c>
      <c r="E5227" s="3" t="str">
        <f ca="1">IF(Tabela2[[#This Row],[Dt Venc:]]&gt;TODAY(),"Em Aberto",IF(Tabela2[[#This Row],[D/venc]]="-","Enviado",IF(Tabela2[[#This Row],[Dt Venc:]]=TODAY(),"Vence Hoje","Vencida")))</f>
        <v>Enviado</v>
      </c>
      <c r="F5227" s="3" t="str">
        <f ca="1">IF(G5227=1,"-",Tabela2[[#This Row],[Dt Venc:]]-TODAY())</f>
        <v>-</v>
      </c>
      <c r="G5227" s="3">
        <v>1</v>
      </c>
      <c r="H5227" s="3"/>
    </row>
    <row r="5228" spans="1:8" hidden="1">
      <c r="A5228" s="3">
        <v>27</v>
      </c>
      <c r="B5228" s="7" t="s">
        <v>173</v>
      </c>
      <c r="C5228" s="41">
        <v>1676.8</v>
      </c>
      <c r="D5228" s="6">
        <v>45687</v>
      </c>
      <c r="E5228" s="3" t="str">
        <f ca="1">IF(Tabela2[[#This Row],[Dt Venc:]]&gt;TODAY(),"Em Aberto",IF(Tabela2[[#This Row],[D/venc]]="-","Enviado",IF(Tabela2[[#This Row],[Dt Venc:]]=TODAY(),"Vence Hoje","Vencida")))</f>
        <v>Enviado</v>
      </c>
      <c r="F5228" s="3" t="str">
        <f ca="1">IF(G5228=1,"-",Tabela2[[#This Row],[Dt Venc:]]-TODAY())</f>
        <v>-</v>
      </c>
      <c r="G5228" s="3">
        <v>1</v>
      </c>
      <c r="H5228" s="3"/>
    </row>
    <row r="5229" spans="1:8" hidden="1">
      <c r="A5229" s="3">
        <v>154062</v>
      </c>
      <c r="B5229" s="7" t="s">
        <v>261</v>
      </c>
      <c r="C5229" s="41">
        <v>450</v>
      </c>
      <c r="D5229" s="6">
        <v>45687</v>
      </c>
      <c r="E5229" s="3" t="str">
        <f ca="1">IF(Tabela2[[#This Row],[Dt Venc:]]&gt;TODAY(),"Em Aberto",IF(Tabela2[[#This Row],[D/venc]]="-","Enviado",IF(Tabela2[[#This Row],[Dt Venc:]]=TODAY(),"Vence Hoje","Vencida")))</f>
        <v>Enviado</v>
      </c>
      <c r="F5229" s="3" t="str">
        <f ca="1">IF(G5229=1,"-",Tabela2[[#This Row],[Dt Venc:]]-TODAY())</f>
        <v>-</v>
      </c>
      <c r="G5229" s="3">
        <v>1</v>
      </c>
      <c r="H5229" s="3"/>
    </row>
    <row r="5230" spans="1:8" hidden="1">
      <c r="A5230" s="3">
        <v>175260</v>
      </c>
      <c r="B5230" s="7" t="s">
        <v>211</v>
      </c>
      <c r="C5230" s="41">
        <v>526.66</v>
      </c>
      <c r="D5230" s="6">
        <v>45687</v>
      </c>
      <c r="E5230" s="3" t="str">
        <f ca="1">IF(Tabela2[[#This Row],[Dt Venc:]]&gt;TODAY(),"Em Aberto",IF(Tabela2[[#This Row],[D/venc]]="-","Enviado",IF(Tabela2[[#This Row],[Dt Venc:]]=TODAY(),"Vence Hoje","Vencida")))</f>
        <v>Enviado</v>
      </c>
      <c r="F5230" s="3" t="str">
        <f ca="1">IF(G5230=1,"-",Tabela2[[#This Row],[Dt Venc:]]-TODAY())</f>
        <v>-</v>
      </c>
      <c r="G5230" s="3">
        <v>1</v>
      </c>
      <c r="H5230" s="3"/>
    </row>
    <row r="5231" spans="1:8" hidden="1">
      <c r="A5231" s="3">
        <v>3008</v>
      </c>
      <c r="B5231" s="7" t="s">
        <v>519</v>
      </c>
      <c r="C5231" s="41">
        <v>1640</v>
      </c>
      <c r="D5231" s="6">
        <v>45687</v>
      </c>
      <c r="E5231" s="3" t="str">
        <f ca="1">IF(Tabela2[[#This Row],[Dt Venc:]]&gt;TODAY(),"Em Aberto",IF(Tabela2[[#This Row],[D/venc]]="-","Enviado",IF(Tabela2[[#This Row],[Dt Venc:]]=TODAY(),"Vence Hoje","Vencida")))</f>
        <v>Enviado</v>
      </c>
      <c r="F5231" s="3" t="str">
        <f ca="1">IF(G5231=1,"-",Tabela2[[#This Row],[Dt Venc:]]-TODAY())</f>
        <v>-</v>
      </c>
      <c r="G5231" s="3">
        <v>1</v>
      </c>
      <c r="H5231" s="3"/>
    </row>
    <row r="5232" spans="1:8" hidden="1">
      <c r="A5232" s="3" t="s">
        <v>123</v>
      </c>
      <c r="B5232" s="7" t="s">
        <v>386</v>
      </c>
      <c r="C5232" s="87" t="s">
        <v>32</v>
      </c>
      <c r="D5232" s="6">
        <v>45687</v>
      </c>
      <c r="E5232" s="3" t="str">
        <f ca="1">IF(Tabela2[[#This Row],[Dt Venc:]]&gt;TODAY(),"Em Aberto",IF(Tabela2[[#This Row],[D/venc]]="-","Enviado",IF(Tabela2[[#This Row],[Dt Venc:]]=TODAY(),"Vence Hoje","Vencida")))</f>
        <v>Enviado</v>
      </c>
      <c r="F5232" s="3" t="str">
        <f ca="1">IF(G5232=1,"-",Tabela2[[#This Row],[Dt Venc:]]-TODAY())</f>
        <v>-</v>
      </c>
      <c r="G5232" s="3">
        <v>1</v>
      </c>
      <c r="H5232" s="3"/>
    </row>
    <row r="5233" spans="1:8" hidden="1">
      <c r="A5233" s="3">
        <v>263006</v>
      </c>
      <c r="B5233" s="7" t="s">
        <v>43</v>
      </c>
      <c r="C5233" s="41">
        <v>1504.5</v>
      </c>
      <c r="D5233" s="6">
        <v>45687</v>
      </c>
      <c r="E5233" s="3" t="str">
        <f ca="1">IF(Tabela2[[#This Row],[Dt Venc:]]&gt;TODAY(),"Em Aberto",IF(Tabela2[[#This Row],[D/venc]]="-","Enviado",IF(Tabela2[[#This Row],[Dt Venc:]]=TODAY(),"Vence Hoje","Vencida")))</f>
        <v>Enviado</v>
      </c>
      <c r="F5233" s="3" t="str">
        <f ca="1">IF(G5233=1,"-",Tabela2[[#This Row],[Dt Venc:]]-TODAY())</f>
        <v>-</v>
      </c>
      <c r="G5233" s="3">
        <v>1</v>
      </c>
      <c r="H5233" s="3"/>
    </row>
    <row r="5234" spans="1:8" hidden="1">
      <c r="A5234" s="3">
        <v>263199</v>
      </c>
      <c r="B5234" s="7" t="s">
        <v>43</v>
      </c>
      <c r="C5234" s="41">
        <v>1026.93</v>
      </c>
      <c r="D5234" s="6">
        <v>45687</v>
      </c>
      <c r="E5234" s="3" t="str">
        <f ca="1">IF(Tabela2[[#This Row],[Dt Venc:]]&gt;TODAY(),"Em Aberto",IF(Tabela2[[#This Row],[D/venc]]="-","Enviado",IF(Tabela2[[#This Row],[Dt Venc:]]=TODAY(),"Vence Hoje","Vencida")))</f>
        <v>Enviado</v>
      </c>
      <c r="F5234" s="3" t="str">
        <f ca="1">IF(G5234=1,"-",Tabela2[[#This Row],[Dt Venc:]]-TODAY())</f>
        <v>-</v>
      </c>
      <c r="G5234" s="3">
        <v>1</v>
      </c>
      <c r="H5234" s="3"/>
    </row>
    <row r="5235" spans="1:8" hidden="1">
      <c r="A5235" s="3">
        <v>14304</v>
      </c>
      <c r="B5235" s="7" t="s">
        <v>51</v>
      </c>
      <c r="C5235" s="41">
        <v>850</v>
      </c>
      <c r="D5235" s="6">
        <v>45687</v>
      </c>
      <c r="E5235" s="3" t="str">
        <f ca="1">IF(Tabela2[[#This Row],[Dt Venc:]]&gt;TODAY(),"Em Aberto",IF(Tabela2[[#This Row],[D/venc]]="-","Enviado",IF(Tabela2[[#This Row],[Dt Venc:]]=TODAY(),"Vence Hoje","Vencida")))</f>
        <v>Enviado</v>
      </c>
      <c r="F5235" s="3" t="str">
        <f ca="1">IF(G5235=1,"-",Tabela2[[#This Row],[Dt Venc:]]-TODAY())</f>
        <v>-</v>
      </c>
      <c r="G5235" s="3">
        <v>1</v>
      </c>
      <c r="H5235" s="3"/>
    </row>
    <row r="5236" spans="1:8" hidden="1">
      <c r="A5236" s="3">
        <v>68618</v>
      </c>
      <c r="B5236" s="7" t="s">
        <v>143</v>
      </c>
      <c r="C5236" s="41">
        <v>884.8</v>
      </c>
      <c r="D5236" s="6">
        <v>45687</v>
      </c>
      <c r="E5236" s="3" t="str">
        <f ca="1">IF(Tabela2[[#This Row],[Dt Venc:]]&gt;TODAY(),"Em Aberto",IF(Tabela2[[#This Row],[D/venc]]="-","Enviado",IF(Tabela2[[#This Row],[Dt Venc:]]=TODAY(),"Vence Hoje","Vencida")))</f>
        <v>Enviado</v>
      </c>
      <c r="F5236" s="3" t="str">
        <f ca="1">IF(G5236=1,"-",Tabela2[[#This Row],[Dt Venc:]]-TODAY())</f>
        <v>-</v>
      </c>
      <c r="G5236" s="3">
        <v>1</v>
      </c>
      <c r="H5236" s="3"/>
    </row>
    <row r="5237" spans="1:8" hidden="1">
      <c r="A5237" s="3">
        <v>1661</v>
      </c>
      <c r="B5237" s="7" t="s">
        <v>479</v>
      </c>
      <c r="C5237" s="41">
        <v>725.17</v>
      </c>
      <c r="D5237" s="6">
        <v>45687</v>
      </c>
      <c r="E5237" s="3" t="str">
        <f ca="1">IF(Tabela2[[#This Row],[Dt Venc:]]&gt;TODAY(),"Em Aberto",IF(Tabela2[[#This Row],[D/venc]]="-","Enviado",IF(Tabela2[[#This Row],[Dt Venc:]]=TODAY(),"Vence Hoje","Vencida")))</f>
        <v>Enviado</v>
      </c>
      <c r="F5237" s="3" t="str">
        <f ca="1">IF(G5237=1,"-",Tabela2[[#This Row],[Dt Venc:]]-TODAY())</f>
        <v>-</v>
      </c>
      <c r="G5237" s="3">
        <v>1</v>
      </c>
      <c r="H5237" s="3"/>
    </row>
    <row r="5238" spans="1:8" hidden="1">
      <c r="A5238" s="3">
        <v>1261511</v>
      </c>
      <c r="B5238" s="7" t="s">
        <v>64</v>
      </c>
      <c r="C5238" s="41">
        <v>739.02</v>
      </c>
      <c r="D5238" s="6">
        <v>45687</v>
      </c>
      <c r="E5238" s="3" t="str">
        <f ca="1">IF(Tabela2[[#This Row],[Dt Venc:]]&gt;TODAY(),"Em Aberto",IF(Tabela2[[#This Row],[D/venc]]="-","Enviado",IF(Tabela2[[#This Row],[Dt Venc:]]=TODAY(),"Vence Hoje","Vencida")))</f>
        <v>Enviado</v>
      </c>
      <c r="F5238" s="3" t="str">
        <f ca="1">IF(G5238=1,"-",Tabela2[[#This Row],[Dt Venc:]]-TODAY())</f>
        <v>-</v>
      </c>
      <c r="G5238" s="3">
        <v>1</v>
      </c>
      <c r="H5238" s="3"/>
    </row>
    <row r="5239" spans="1:8" hidden="1">
      <c r="A5239" s="3">
        <v>263296</v>
      </c>
      <c r="B5239" s="7" t="s">
        <v>43</v>
      </c>
      <c r="C5239" s="41">
        <v>742</v>
      </c>
      <c r="D5239" s="6">
        <v>45687</v>
      </c>
      <c r="E5239" s="3" t="str">
        <f ca="1">IF(Tabela2[[#This Row],[Dt Venc:]]&gt;TODAY(),"Em Aberto",IF(Tabela2[[#This Row],[D/venc]]="-","Enviado",IF(Tabela2[[#This Row],[Dt Venc:]]=TODAY(),"Vence Hoje","Vencida")))</f>
        <v>Enviado</v>
      </c>
      <c r="F5239" s="3" t="str">
        <f ca="1">IF(G5239=1,"-",Tabela2[[#This Row],[Dt Venc:]]-TODAY())</f>
        <v>-</v>
      </c>
      <c r="G5239" s="3">
        <v>1</v>
      </c>
      <c r="H5239" s="3"/>
    </row>
    <row r="5240" spans="1:8" hidden="1">
      <c r="A5240" s="3">
        <v>619652</v>
      </c>
      <c r="B5240" s="7" t="s">
        <v>66</v>
      </c>
      <c r="C5240" s="41">
        <v>1960.2</v>
      </c>
      <c r="D5240" s="6">
        <v>45687</v>
      </c>
      <c r="E5240" s="3" t="str">
        <f ca="1">IF(Tabela2[[#This Row],[Dt Venc:]]&gt;TODAY(),"Em Aberto",IF(Tabela2[[#This Row],[D/venc]]="-","Enviado",IF(Tabela2[[#This Row],[Dt Venc:]]=TODAY(),"Vence Hoje","Vencida")))</f>
        <v>Enviado</v>
      </c>
      <c r="F5240" s="3" t="str">
        <f ca="1">IF(G5240=1,"-",Tabela2[[#This Row],[Dt Venc:]]-TODAY())</f>
        <v>-</v>
      </c>
      <c r="G5240" s="3">
        <v>1</v>
      </c>
      <c r="H5240" s="3"/>
    </row>
    <row r="5241" spans="1:8" hidden="1">
      <c r="A5241" s="3">
        <v>91028</v>
      </c>
      <c r="B5241" s="7" t="s">
        <v>48</v>
      </c>
      <c r="C5241" s="41">
        <v>2954.7</v>
      </c>
      <c r="D5241" s="6">
        <v>45687</v>
      </c>
      <c r="E5241" s="3" t="str">
        <f ca="1">IF(Tabela2[[#This Row],[Dt Venc:]]&gt;TODAY(),"Em Aberto",IF(Tabela2[[#This Row],[D/venc]]="-","Enviado",IF(Tabela2[[#This Row],[Dt Venc:]]=TODAY(),"Vence Hoje","Vencida")))</f>
        <v>Enviado</v>
      </c>
      <c r="F5241" s="3" t="str">
        <f ca="1">IF(G5241=1,"-",Tabela2[[#This Row],[Dt Venc:]]-TODAY())</f>
        <v>-</v>
      </c>
      <c r="G5241" s="3">
        <v>1</v>
      </c>
      <c r="H5241" s="3"/>
    </row>
    <row r="5242" spans="1:8" hidden="1">
      <c r="A5242" s="3">
        <v>2879</v>
      </c>
      <c r="B5242" s="7" t="s">
        <v>58</v>
      </c>
      <c r="C5242" s="41">
        <v>3788.47</v>
      </c>
      <c r="D5242" s="6">
        <v>45687</v>
      </c>
      <c r="E5242" s="3" t="str">
        <f ca="1">IF(Tabela2[[#This Row],[Dt Venc:]]&gt;TODAY(),"Em Aberto",IF(Tabela2[[#This Row],[D/venc]]="-","Enviado",IF(Tabela2[[#This Row],[Dt Venc:]]=TODAY(),"Vence Hoje","Vencida")))</f>
        <v>Enviado</v>
      </c>
      <c r="F5242" s="3" t="str">
        <f ca="1">IF(G5242=1,"-",Tabela2[[#This Row],[Dt Venc:]]-TODAY())</f>
        <v>-</v>
      </c>
      <c r="G5242" s="3">
        <v>1</v>
      </c>
      <c r="H5242" s="3"/>
    </row>
    <row r="5243" spans="1:8" hidden="1">
      <c r="A5243" s="3">
        <v>15349</v>
      </c>
      <c r="B5243" s="7" t="s">
        <v>99</v>
      </c>
      <c r="C5243" s="41">
        <v>708.33</v>
      </c>
      <c r="D5243" s="6">
        <v>45687</v>
      </c>
      <c r="E5243" s="3" t="str">
        <f ca="1">IF(Tabela2[[#This Row],[Dt Venc:]]&gt;TODAY(),"Em Aberto",IF(Tabela2[[#This Row],[D/venc]]="-","Enviado",IF(Tabela2[[#This Row],[Dt Venc:]]=TODAY(),"Vence Hoje","Vencida")))</f>
        <v>Enviado</v>
      </c>
      <c r="F5243" s="3" t="str">
        <f ca="1">IF(G5243=1,"-",Tabela2[[#This Row],[Dt Venc:]]-TODAY())</f>
        <v>-</v>
      </c>
      <c r="G5243" s="3">
        <v>1</v>
      </c>
      <c r="H5243" s="3"/>
    </row>
    <row r="5244" spans="1:8" hidden="1">
      <c r="A5244" s="3">
        <v>10266</v>
      </c>
      <c r="B5244" s="7" t="s">
        <v>88</v>
      </c>
      <c r="C5244" s="41">
        <v>617.44000000000005</v>
      </c>
      <c r="D5244" s="6">
        <v>45687</v>
      </c>
      <c r="E5244" s="3" t="str">
        <f ca="1">IF(Tabela2[[#This Row],[Dt Venc:]]&gt;TODAY(),"Em Aberto",IF(Tabela2[[#This Row],[D/venc]]="-","Enviado",IF(Tabela2[[#This Row],[Dt Venc:]]=TODAY(),"Vence Hoje","Vencida")))</f>
        <v>Enviado</v>
      </c>
      <c r="F5244" s="3" t="str">
        <f ca="1">IF(G5244=1,"-",Tabela2[[#This Row],[Dt Venc:]]-TODAY())</f>
        <v>-</v>
      </c>
      <c r="G5244" s="3">
        <v>1</v>
      </c>
      <c r="H5244" s="3"/>
    </row>
    <row r="5245" spans="1:8" hidden="1">
      <c r="A5245" s="3">
        <v>28594</v>
      </c>
      <c r="B5245" s="7" t="s">
        <v>662</v>
      </c>
      <c r="C5245" s="41">
        <v>625</v>
      </c>
      <c r="D5245" s="6">
        <v>45687</v>
      </c>
      <c r="E5245" s="3" t="str">
        <f ca="1">IF(Tabela2[[#This Row],[Dt Venc:]]&gt;TODAY(),"Em Aberto",IF(Tabela2[[#This Row],[D/venc]]="-","Enviado",IF(Tabela2[[#This Row],[Dt Venc:]]=TODAY(),"Vence Hoje","Vencida")))</f>
        <v>Enviado</v>
      </c>
      <c r="F5245" s="3" t="str">
        <f ca="1">IF(G5245=1,"-",Tabela2[[#This Row],[Dt Venc:]]-TODAY())</f>
        <v>-</v>
      </c>
      <c r="G5245" s="3">
        <v>1</v>
      </c>
      <c r="H5245" s="3"/>
    </row>
    <row r="5246" spans="1:8" hidden="1">
      <c r="A5246" s="3">
        <v>1251</v>
      </c>
      <c r="B5246" s="7" t="s">
        <v>559</v>
      </c>
      <c r="C5246" s="41">
        <v>750</v>
      </c>
      <c r="D5246" s="6">
        <v>45687</v>
      </c>
      <c r="E5246" s="3" t="str">
        <f ca="1">IF(Tabela2[[#This Row],[Dt Venc:]]&gt;TODAY(),"Em Aberto",IF(Tabela2[[#This Row],[D/venc]]="-","Enviado",IF(Tabela2[[#This Row],[Dt Venc:]]=TODAY(),"Vence Hoje","Vencida")))</f>
        <v>Enviado</v>
      </c>
      <c r="F5246" s="3" t="str">
        <f ca="1">IF(G5246=1,"-",Tabela2[[#This Row],[Dt Venc:]]-TODAY())</f>
        <v>-</v>
      </c>
      <c r="G5246" s="3">
        <v>1</v>
      </c>
      <c r="H5246" s="3"/>
    </row>
    <row r="5247" spans="1:8" hidden="1">
      <c r="A5247" s="3">
        <v>60</v>
      </c>
      <c r="B5247" s="7" t="s">
        <v>132</v>
      </c>
      <c r="C5247" s="41">
        <v>475</v>
      </c>
      <c r="D5247" s="6">
        <v>45687</v>
      </c>
      <c r="E5247" s="3" t="str">
        <f ca="1">IF(Tabela2[[#This Row],[Dt Venc:]]&gt;TODAY(),"Em Aberto",IF(Tabela2[[#This Row],[D/venc]]="-","Enviado",IF(Tabela2[[#This Row],[Dt Venc:]]=TODAY(),"Vence Hoje","Vencida")))</f>
        <v>Enviado</v>
      </c>
      <c r="F5247" s="3" t="str">
        <f ca="1">IF(G5247=1,"-",Tabela2[[#This Row],[Dt Venc:]]-TODAY())</f>
        <v>-</v>
      </c>
      <c r="G5247" s="3">
        <v>1</v>
      </c>
      <c r="H5247" s="3"/>
    </row>
    <row r="5248" spans="1:8" hidden="1">
      <c r="A5248" s="3">
        <v>54921</v>
      </c>
      <c r="B5248" s="7" t="s">
        <v>35</v>
      </c>
      <c r="C5248" s="41">
        <v>315.97000000000003</v>
      </c>
      <c r="D5248" s="6">
        <v>45687</v>
      </c>
      <c r="E5248" s="3" t="str">
        <f ca="1">IF(Tabela2[[#This Row],[Dt Venc:]]&gt;TODAY(),"Em Aberto",IF(Tabela2[[#This Row],[D/venc]]="-","Enviado",IF(Tabela2[[#This Row],[Dt Venc:]]=TODAY(),"Vence Hoje","Vencida")))</f>
        <v>Enviado</v>
      </c>
      <c r="F5248" s="3" t="str">
        <f ca="1">IF(G5248=1,"-",Tabela2[[#This Row],[Dt Venc:]]-TODAY())</f>
        <v>-</v>
      </c>
      <c r="G5248" s="3">
        <v>1</v>
      </c>
      <c r="H5248" s="3"/>
    </row>
    <row r="5249" spans="1:8" hidden="1">
      <c r="A5249" s="3">
        <v>305820</v>
      </c>
      <c r="B5249" s="7" t="s">
        <v>572</v>
      </c>
      <c r="C5249" s="41">
        <v>187.86</v>
      </c>
      <c r="D5249" s="6">
        <v>45687</v>
      </c>
      <c r="E5249" s="3" t="str">
        <f ca="1">IF(Tabela2[[#This Row],[Dt Venc:]]&gt;TODAY(),"Em Aberto",IF(Tabela2[[#This Row],[D/venc]]="-","Enviado",IF(Tabela2[[#This Row],[Dt Venc:]]=TODAY(),"Vence Hoje","Vencida")))</f>
        <v>Enviado</v>
      </c>
      <c r="F5249" s="3" t="str">
        <f ca="1">IF(G5249=1,"-",Tabela2[[#This Row],[Dt Venc:]]-TODAY())</f>
        <v>-</v>
      </c>
      <c r="G5249" s="3">
        <v>1</v>
      </c>
      <c r="H5249" s="3"/>
    </row>
    <row r="5250" spans="1:8" hidden="1">
      <c r="A5250" s="3">
        <v>11291</v>
      </c>
      <c r="B5250" s="7" t="s">
        <v>33</v>
      </c>
      <c r="C5250" s="41">
        <v>726.66</v>
      </c>
      <c r="D5250" s="6">
        <v>45687</v>
      </c>
      <c r="E5250" s="3" t="str">
        <f ca="1">IF(Tabela2[[#This Row],[Dt Venc:]]&gt;TODAY(),"Em Aberto",IF(Tabela2[[#This Row],[D/venc]]="-","Enviado",IF(Tabela2[[#This Row],[Dt Venc:]]=TODAY(),"Vence Hoje","Vencida")))</f>
        <v>Enviado</v>
      </c>
      <c r="F5250" s="3" t="str">
        <f ca="1">IF(G5250=1,"-",Tabela2[[#This Row],[Dt Venc:]]-TODAY())</f>
        <v>-</v>
      </c>
      <c r="G5250" s="3">
        <v>1</v>
      </c>
      <c r="H5250" s="3"/>
    </row>
    <row r="5251" spans="1:8" hidden="1">
      <c r="A5251" s="3">
        <v>6199</v>
      </c>
      <c r="B5251" s="7" t="s">
        <v>314</v>
      </c>
      <c r="C5251" s="41">
        <v>408</v>
      </c>
      <c r="D5251" s="6">
        <v>45687</v>
      </c>
      <c r="E5251" s="3" t="str">
        <f ca="1">IF(Tabela2[[#This Row],[Dt Venc:]]&gt;TODAY(),"Em Aberto",IF(Tabela2[[#This Row],[D/venc]]="-","Enviado",IF(Tabela2[[#This Row],[Dt Venc:]]=TODAY(),"Vence Hoje","Vencida")))</f>
        <v>Enviado</v>
      </c>
      <c r="F5251" s="3" t="str">
        <f ca="1">IF(G5251=1,"-",Tabela2[[#This Row],[Dt Venc:]]-TODAY())</f>
        <v>-</v>
      </c>
      <c r="G5251" s="3">
        <v>1</v>
      </c>
      <c r="H5251" s="3"/>
    </row>
    <row r="5252" spans="1:8" hidden="1">
      <c r="A5252" s="3">
        <v>32041</v>
      </c>
      <c r="B5252" s="7" t="s">
        <v>663</v>
      </c>
      <c r="C5252" s="41">
        <v>963.81</v>
      </c>
      <c r="D5252" s="6">
        <v>45687</v>
      </c>
      <c r="E5252" s="3" t="str">
        <f ca="1">IF(Tabela2[[#This Row],[Dt Venc:]]&gt;TODAY(),"Em Aberto",IF(Tabela2[[#This Row],[D/venc]]="-","Enviado",IF(Tabela2[[#This Row],[Dt Venc:]]=TODAY(),"Vence Hoje","Vencida")))</f>
        <v>Enviado</v>
      </c>
      <c r="F5252" s="3" t="str">
        <f ca="1">IF(G5252=1,"-",Tabela2[[#This Row],[Dt Venc:]]-TODAY())</f>
        <v>-</v>
      </c>
      <c r="G5252" s="3">
        <v>1</v>
      </c>
      <c r="H5252" s="3"/>
    </row>
    <row r="5253" spans="1:8" hidden="1">
      <c r="A5253" s="3">
        <v>26830</v>
      </c>
      <c r="B5253" s="7" t="s">
        <v>254</v>
      </c>
      <c r="C5253" s="41">
        <v>49316.4</v>
      </c>
      <c r="D5253" s="6">
        <v>45687</v>
      </c>
      <c r="E5253" s="3" t="str">
        <f ca="1">IF(Tabela2[[#This Row],[Dt Venc:]]&gt;TODAY(),"Em Aberto",IF(Tabela2[[#This Row],[D/venc]]="-","Enviado",IF(Tabela2[[#This Row],[Dt Venc:]]=TODAY(),"Vence Hoje","Vencida")))</f>
        <v>Enviado</v>
      </c>
      <c r="F5253" s="3" t="str">
        <f ca="1">IF(G5253=1,"-",Tabela2[[#This Row],[Dt Venc:]]-TODAY())</f>
        <v>-</v>
      </c>
      <c r="G5253" s="3">
        <v>1</v>
      </c>
      <c r="H5253" s="3"/>
    </row>
    <row r="5254" spans="1:8" hidden="1">
      <c r="A5254" s="3">
        <v>69538</v>
      </c>
      <c r="B5254" s="7" t="s">
        <v>664</v>
      </c>
      <c r="C5254" s="41">
        <v>260</v>
      </c>
      <c r="D5254" s="6">
        <v>45687</v>
      </c>
      <c r="E5254" s="3" t="str">
        <f ca="1">IF(Tabela2[[#This Row],[Dt Venc:]]&gt;TODAY(),"Em Aberto",IF(Tabela2[[#This Row],[D/venc]]="-","Enviado",IF(Tabela2[[#This Row],[Dt Venc:]]=TODAY(),"Vence Hoje","Vencida")))</f>
        <v>Enviado</v>
      </c>
      <c r="F5254" s="3" t="str">
        <f ca="1">IF(G5254=1,"-",Tabela2[[#This Row],[Dt Venc:]]-TODAY())</f>
        <v>-</v>
      </c>
      <c r="G5254" s="3">
        <v>1</v>
      </c>
      <c r="H5254" s="3"/>
    </row>
    <row r="5255" spans="1:8" hidden="1">
      <c r="A5255" s="3">
        <v>305820</v>
      </c>
      <c r="B5255" s="7" t="s">
        <v>572</v>
      </c>
      <c r="C5255" s="41">
        <v>187.86</v>
      </c>
      <c r="D5255" s="6">
        <v>45687</v>
      </c>
      <c r="E5255" s="3" t="str">
        <f ca="1">IF(Tabela2[[#This Row],[Dt Venc:]]&gt;TODAY(),"Em Aberto",IF(Tabela2[[#This Row],[D/venc]]="-","Enviado",IF(Tabela2[[#This Row],[Dt Venc:]]=TODAY(),"Vence Hoje","Vencida")))</f>
        <v>Enviado</v>
      </c>
      <c r="F5255" s="3" t="str">
        <f ca="1">IF(G5255=1,"-",Tabela2[[#This Row],[Dt Venc:]]-TODAY())</f>
        <v>-</v>
      </c>
      <c r="G5255" s="3">
        <v>1</v>
      </c>
      <c r="H5255" s="3"/>
    </row>
    <row r="5256" spans="1:8" hidden="1">
      <c r="A5256" s="3">
        <v>272505</v>
      </c>
      <c r="B5256" s="7" t="s">
        <v>43</v>
      </c>
      <c r="C5256" s="41">
        <v>1561.85</v>
      </c>
      <c r="D5256" s="6">
        <v>45687</v>
      </c>
      <c r="E5256" s="3" t="str">
        <f ca="1">IF(Tabela2[[#This Row],[Dt Venc:]]&gt;TODAY(),"Em Aberto",IF(Tabela2[[#This Row],[D/venc]]="-","Enviado",IF(Tabela2[[#This Row],[Dt Venc:]]=TODAY(),"Vence Hoje","Vencida")))</f>
        <v>Enviado</v>
      </c>
      <c r="F5256" s="3" t="str">
        <f ca="1">IF(G5256=1,"-",Tabela2[[#This Row],[Dt Venc:]]-TODAY())</f>
        <v>-</v>
      </c>
      <c r="G5256" s="3">
        <v>1</v>
      </c>
      <c r="H5256" s="3"/>
    </row>
    <row r="5257" spans="1:8" hidden="1">
      <c r="A5257" s="3">
        <v>4010361</v>
      </c>
      <c r="B5257" s="7" t="s">
        <v>380</v>
      </c>
      <c r="C5257" s="41">
        <v>522.48</v>
      </c>
      <c r="D5257" s="6">
        <v>45687</v>
      </c>
      <c r="E5257" s="3" t="str">
        <f ca="1">IF(Tabela2[[#This Row],[Dt Venc:]]&gt;TODAY(),"Em Aberto",IF(Tabela2[[#This Row],[D/venc]]="-","Enviado",IF(Tabela2[[#This Row],[Dt Venc:]]=TODAY(),"Vence Hoje","Vencida")))</f>
        <v>Enviado</v>
      </c>
      <c r="F5257" s="3" t="str">
        <f ca="1">IF(G5257=1,"-",Tabela2[[#This Row],[Dt Venc:]]-TODAY())</f>
        <v>-</v>
      </c>
      <c r="G5257" s="3">
        <v>1</v>
      </c>
      <c r="H5257" s="3"/>
    </row>
    <row r="5258" spans="1:8" hidden="1">
      <c r="A5258" s="3">
        <v>37192</v>
      </c>
      <c r="B5258" s="7" t="s">
        <v>554</v>
      </c>
      <c r="C5258" s="41">
        <v>120780</v>
      </c>
      <c r="D5258" s="6">
        <v>45687</v>
      </c>
      <c r="E5258" s="3" t="str">
        <f ca="1">IF(Tabela2[[#This Row],[Dt Venc:]]&gt;TODAY(),"Em Aberto",IF(Tabela2[[#This Row],[D/venc]]="-","Enviado",IF(Tabela2[[#This Row],[Dt Venc:]]=TODAY(),"Vence Hoje","Vencida")))</f>
        <v>Enviado</v>
      </c>
      <c r="F5258" s="3" t="str">
        <f ca="1">IF(G5258=1,"-",Tabela2[[#This Row],[Dt Venc:]]-TODAY())</f>
        <v>-</v>
      </c>
      <c r="G5258" s="3">
        <v>1</v>
      </c>
      <c r="H5258" s="3"/>
    </row>
    <row r="5259" spans="1:8" hidden="1">
      <c r="A5259" s="3">
        <v>7383</v>
      </c>
      <c r="B5259" s="7" t="s">
        <v>665</v>
      </c>
      <c r="C5259" s="41">
        <v>750</v>
      </c>
      <c r="D5259" s="6">
        <v>45687</v>
      </c>
      <c r="E5259" s="3" t="str">
        <f ca="1">IF(Tabela2[[#This Row],[Dt Venc:]]&gt;TODAY(),"Em Aberto",IF(Tabela2[[#This Row],[D/venc]]="-","Enviado",IF(Tabela2[[#This Row],[Dt Venc:]]=TODAY(),"Vence Hoje","Vencida")))</f>
        <v>Enviado</v>
      </c>
      <c r="F5259" s="3" t="str">
        <f ca="1">IF(G5259=1,"-",Tabela2[[#This Row],[Dt Venc:]]-TODAY())</f>
        <v>-</v>
      </c>
      <c r="G5259" s="3">
        <v>1</v>
      </c>
      <c r="H5259" s="3"/>
    </row>
    <row r="5260" spans="1:8" hidden="1">
      <c r="A5260" s="3">
        <v>445</v>
      </c>
      <c r="B5260" s="7" t="s">
        <v>270</v>
      </c>
      <c r="C5260" s="41">
        <v>15000</v>
      </c>
      <c r="D5260" s="6">
        <v>45687</v>
      </c>
      <c r="E5260" s="3" t="str">
        <f ca="1">IF(Tabela2[[#This Row],[Dt Venc:]]&gt;TODAY(),"Em Aberto",IF(Tabela2[[#This Row],[D/venc]]="-","Enviado",IF(Tabela2[[#This Row],[Dt Venc:]]=TODAY(),"Vence Hoje","Vencida")))</f>
        <v>Enviado</v>
      </c>
      <c r="F5260" s="3" t="str">
        <f ca="1">IF(G5260=1,"-",Tabela2[[#This Row],[Dt Venc:]]-TODAY())</f>
        <v>-</v>
      </c>
      <c r="G5260" s="3">
        <v>1</v>
      </c>
      <c r="H5260" s="3"/>
    </row>
    <row r="5261" spans="1:8" hidden="1">
      <c r="A5261" s="3">
        <v>173</v>
      </c>
      <c r="B5261" s="7" t="s">
        <v>437</v>
      </c>
      <c r="C5261" s="41">
        <v>10466</v>
      </c>
      <c r="D5261" s="6">
        <v>45687</v>
      </c>
      <c r="E5261" s="3" t="str">
        <f ca="1">IF(Tabela2[[#This Row],[Dt Venc:]]&gt;TODAY(),"Em Aberto",IF(Tabela2[[#This Row],[D/venc]]="-","Enviado",IF(Tabela2[[#This Row],[Dt Venc:]]=TODAY(),"Vence Hoje","Vencida")))</f>
        <v>Enviado</v>
      </c>
      <c r="F5261" s="3" t="str">
        <f ca="1">IF(G5261=1,"-",Tabela2[[#This Row],[Dt Venc:]]-TODAY())</f>
        <v>-</v>
      </c>
      <c r="G5261" s="3">
        <v>1</v>
      </c>
      <c r="H5261" s="3"/>
    </row>
    <row r="5262" spans="1:8" hidden="1">
      <c r="A5262" s="3">
        <v>178612</v>
      </c>
      <c r="B5262" s="7" t="s">
        <v>211</v>
      </c>
      <c r="C5262" s="41">
        <v>526.66</v>
      </c>
      <c r="D5262" s="6">
        <v>45687</v>
      </c>
      <c r="E5262" s="3" t="str">
        <f ca="1">IF(Tabela2[[#This Row],[Dt Venc:]]&gt;TODAY(),"Em Aberto",IF(Tabela2[[#This Row],[D/venc]]="-","Enviado",IF(Tabela2[[#This Row],[Dt Venc:]]=TODAY(),"Vence Hoje","Vencida")))</f>
        <v>Enviado</v>
      </c>
      <c r="F5262" s="3" t="str">
        <f ca="1">IF(G5262=1,"-",Tabela2[[#This Row],[Dt Venc:]]-TODAY())</f>
        <v>-</v>
      </c>
      <c r="G5262" s="3">
        <v>1</v>
      </c>
      <c r="H5262" s="3"/>
    </row>
    <row r="5263" spans="1:8" hidden="1">
      <c r="A5263" s="3">
        <v>15477</v>
      </c>
      <c r="B5263" s="7" t="s">
        <v>109</v>
      </c>
      <c r="C5263" s="41">
        <v>1596</v>
      </c>
      <c r="D5263" s="6">
        <v>45687</v>
      </c>
      <c r="E5263" s="3" t="str">
        <f ca="1">IF(Tabela2[[#This Row],[Dt Venc:]]&gt;TODAY(),"Em Aberto",IF(Tabela2[[#This Row],[D/venc]]="-","Enviado",IF(Tabela2[[#This Row],[Dt Venc:]]=TODAY(),"Vence Hoje","Vencida")))</f>
        <v>Enviado</v>
      </c>
      <c r="F5263" s="3" t="str">
        <f ca="1">IF(G5263=1,"-",Tabela2[[#This Row],[Dt Venc:]]-TODAY())</f>
        <v>-</v>
      </c>
      <c r="G5263" s="3">
        <v>1</v>
      </c>
      <c r="H5263" s="3"/>
    </row>
    <row r="5264" spans="1:8" hidden="1">
      <c r="A5264" s="3">
        <v>36910</v>
      </c>
      <c r="B5264" s="7" t="s">
        <v>167</v>
      </c>
      <c r="C5264" s="83" t="s">
        <v>32</v>
      </c>
      <c r="D5264" s="6">
        <v>45688</v>
      </c>
      <c r="E5264" s="3" t="str">
        <f ca="1">IF(Tabela2[[#This Row],[Dt Venc:]]&gt;TODAY(),"Em Aberto",IF(Tabela2[[#This Row],[D/venc]]="-","Enviado",IF(Tabela2[[#This Row],[Dt Venc:]]=TODAY(),"Vence Hoje","Vencida")))</f>
        <v>Enviado</v>
      </c>
      <c r="F5264" s="3" t="str">
        <f ca="1">IF(G5264=1,"-",Tabela2[[#This Row],[Dt Venc:]]-TODAY())</f>
        <v>-</v>
      </c>
      <c r="G5264" s="3">
        <v>1</v>
      </c>
      <c r="H5264" s="3"/>
    </row>
    <row r="5265" spans="1:8" hidden="1">
      <c r="A5265" s="3" t="s">
        <v>28</v>
      </c>
      <c r="B5265" s="7" t="s">
        <v>391</v>
      </c>
      <c r="C5265" s="85" t="s">
        <v>30</v>
      </c>
      <c r="D5265" s="6">
        <v>45688</v>
      </c>
      <c r="E5265" s="3" t="str">
        <f ca="1">IF(Tabela2[[#This Row],[Dt Venc:]]&gt;TODAY(),"Em Aberto",IF(Tabela2[[#This Row],[D/venc]]="-","Enviado",IF(Tabela2[[#This Row],[Dt Venc:]]=TODAY(),"Vence Hoje","Vencida")))</f>
        <v>Enviado</v>
      </c>
      <c r="F5265" s="3" t="str">
        <f ca="1">IF(G5265=1,"-",Tabela2[[#This Row],[Dt Venc:]]-TODAY())</f>
        <v>-</v>
      </c>
      <c r="G5265" s="3">
        <v>1</v>
      </c>
      <c r="H5265" s="3"/>
    </row>
    <row r="5266" spans="1:8" hidden="1">
      <c r="A5266" s="3">
        <v>20170</v>
      </c>
      <c r="B5266" s="7" t="s">
        <v>233</v>
      </c>
      <c r="C5266" s="41">
        <v>966.67</v>
      </c>
      <c r="D5266" s="6">
        <v>45688</v>
      </c>
      <c r="E5266" s="3" t="str">
        <f ca="1">IF(Tabela2[[#This Row],[Dt Venc:]]&gt;TODAY(),"Em Aberto",IF(Tabela2[[#This Row],[D/venc]]="-","Enviado",IF(Tabela2[[#This Row],[Dt Venc:]]=TODAY(),"Vence Hoje","Vencida")))</f>
        <v>Enviado</v>
      </c>
      <c r="F5266" s="3" t="str">
        <f ca="1">IF(G5266=1,"-",Tabela2[[#This Row],[Dt Venc:]]-TODAY())</f>
        <v>-</v>
      </c>
      <c r="G5266" s="3">
        <v>1</v>
      </c>
      <c r="H5266" s="3"/>
    </row>
    <row r="5267" spans="1:8" hidden="1">
      <c r="A5267" s="3">
        <v>554208</v>
      </c>
      <c r="B5267" s="7" t="s">
        <v>39</v>
      </c>
      <c r="C5267" s="42">
        <v>599.42999999999995</v>
      </c>
      <c r="D5267" s="6">
        <v>45688</v>
      </c>
      <c r="E5267" s="3" t="str">
        <f ca="1">IF(Tabela2[[#This Row],[Dt Venc:]]&gt;TODAY(),"Em Aberto",IF(Tabela2[[#This Row],[D/venc]]="-","Enviado",IF(Tabela2[[#This Row],[Dt Venc:]]=TODAY(),"Vence Hoje","Vencida")))</f>
        <v>Enviado</v>
      </c>
      <c r="F5267" s="3" t="str">
        <f ca="1">IF(G5267=1,"-",Tabela2[[#This Row],[Dt Venc:]]-TODAY())</f>
        <v>-</v>
      </c>
      <c r="G5267" s="3">
        <v>1</v>
      </c>
      <c r="H5267" s="3"/>
    </row>
    <row r="5268" spans="1:8" hidden="1">
      <c r="A5268" s="3">
        <v>369355</v>
      </c>
      <c r="B5268" s="7" t="s">
        <v>39</v>
      </c>
      <c r="C5268" s="42">
        <v>1295.93</v>
      </c>
      <c r="D5268" s="6">
        <v>45688</v>
      </c>
      <c r="E5268" s="3" t="str">
        <f ca="1">IF(Tabela2[[#This Row],[Dt Venc:]]&gt;TODAY(),"Em Aberto",IF(Tabela2[[#This Row],[D/venc]]="-","Enviado",IF(Tabela2[[#This Row],[Dt Venc:]]=TODAY(),"Vence Hoje","Vencida")))</f>
        <v>Enviado</v>
      </c>
      <c r="F5268" s="3" t="str">
        <f ca="1">IF(G5268=1,"-",Tabela2[[#This Row],[Dt Venc:]]-TODAY())</f>
        <v>-</v>
      </c>
      <c r="G5268" s="3">
        <v>1</v>
      </c>
      <c r="H5268" s="3"/>
    </row>
    <row r="5269" spans="1:8" hidden="1">
      <c r="A5269" s="3">
        <v>616027</v>
      </c>
      <c r="B5269" s="7" t="s">
        <v>66</v>
      </c>
      <c r="C5269" s="41">
        <v>2885.67</v>
      </c>
      <c r="D5269" s="6">
        <v>45688</v>
      </c>
      <c r="E5269" s="3" t="str">
        <f ca="1">IF(Tabela2[[#This Row],[Dt Venc:]]&gt;TODAY(),"Em Aberto",IF(Tabela2[[#This Row],[D/venc]]="-","Enviado",IF(Tabela2[[#This Row],[Dt Venc:]]=TODAY(),"Vence Hoje","Vencida")))</f>
        <v>Enviado</v>
      </c>
      <c r="F5269" s="3" t="str">
        <f ca="1">IF(G5269=1,"-",Tabela2[[#This Row],[Dt Venc:]]-TODAY())</f>
        <v>-</v>
      </c>
      <c r="G5269" s="3">
        <v>1</v>
      </c>
      <c r="H5269" s="3"/>
    </row>
    <row r="5270" spans="1:8" hidden="1">
      <c r="A5270" s="3">
        <v>182866</v>
      </c>
      <c r="B5270" s="7" t="s">
        <v>84</v>
      </c>
      <c r="C5270" s="41">
        <v>523.71</v>
      </c>
      <c r="D5270" s="6">
        <v>45688</v>
      </c>
      <c r="E5270" s="3" t="str">
        <f ca="1">IF(Tabela2[[#This Row],[Dt Venc:]]&gt;TODAY(),"Em Aberto",IF(Tabela2[[#This Row],[D/venc]]="-","Enviado",IF(Tabela2[[#This Row],[Dt Venc:]]=TODAY(),"Vence Hoje","Vencida")))</f>
        <v>Enviado</v>
      </c>
      <c r="F5270" s="3" t="str">
        <f ca="1">IF(G5270=1,"-",Tabela2[[#This Row],[Dt Venc:]]-TODAY())</f>
        <v>-</v>
      </c>
      <c r="G5270" s="3">
        <v>1</v>
      </c>
      <c r="H5270" s="3"/>
    </row>
    <row r="5271" spans="1:8" hidden="1">
      <c r="A5271" s="3">
        <v>390509</v>
      </c>
      <c r="B5271" s="7" t="s">
        <v>43</v>
      </c>
      <c r="C5271" s="41">
        <v>520.74</v>
      </c>
      <c r="D5271" s="6">
        <v>45688</v>
      </c>
      <c r="E5271" s="3" t="str">
        <f ca="1">IF(Tabela2[[#This Row],[Dt Venc:]]&gt;TODAY(),"Em Aberto",IF(Tabela2[[#This Row],[D/venc]]="-","Enviado",IF(Tabela2[[#This Row],[Dt Venc:]]=TODAY(),"Vence Hoje","Vencida")))</f>
        <v>Enviado</v>
      </c>
      <c r="F5271" s="3" t="str">
        <f ca="1">IF(G5271=1,"-",Tabela2[[#This Row],[Dt Venc:]]-TODAY())</f>
        <v>-</v>
      </c>
      <c r="G5271" s="3">
        <v>1</v>
      </c>
      <c r="H5271" s="3"/>
    </row>
    <row r="5272" spans="1:8" hidden="1">
      <c r="A5272" s="3">
        <v>182850</v>
      </c>
      <c r="B5272" s="7" t="s">
        <v>508</v>
      </c>
      <c r="C5272" s="41">
        <v>946.66</v>
      </c>
      <c r="D5272" s="6">
        <v>45688</v>
      </c>
      <c r="E5272" s="3" t="str">
        <f ca="1">IF(Tabela2[[#This Row],[Dt Venc:]]&gt;TODAY(),"Em Aberto",IF(Tabela2[[#This Row],[D/venc]]="-","Enviado",IF(Tabela2[[#This Row],[Dt Venc:]]=TODAY(),"Vence Hoje","Vencida")))</f>
        <v>Enviado</v>
      </c>
      <c r="F5272" s="3" t="str">
        <f ca="1">IF(G5272=1,"-",Tabela2[[#This Row],[Dt Venc:]]-TODAY())</f>
        <v>-</v>
      </c>
      <c r="G5272" s="3">
        <v>1</v>
      </c>
      <c r="H5272" s="3"/>
    </row>
    <row r="5273" spans="1:8" hidden="1">
      <c r="A5273" s="3">
        <v>81382</v>
      </c>
      <c r="B5273" s="7" t="s">
        <v>594</v>
      </c>
      <c r="C5273" s="41">
        <v>304.39999999999998</v>
      </c>
      <c r="D5273" s="6">
        <v>45688</v>
      </c>
      <c r="E5273" s="3" t="str">
        <f ca="1">IF(Tabela2[[#This Row],[Dt Venc:]]&gt;TODAY(),"Em Aberto",IF(Tabela2[[#This Row],[D/venc]]="-","Enviado",IF(Tabela2[[#This Row],[Dt Venc:]]=TODAY(),"Vence Hoje","Vencida")))</f>
        <v>Enviado</v>
      </c>
      <c r="F5273" s="3" t="str">
        <f ca="1">IF(G5273=1,"-",Tabela2[[#This Row],[Dt Venc:]]-TODAY())</f>
        <v>-</v>
      </c>
      <c r="G5273" s="3">
        <v>1</v>
      </c>
      <c r="H5273" s="3"/>
    </row>
    <row r="5274" spans="1:8" hidden="1">
      <c r="A5274" s="3">
        <v>15323</v>
      </c>
      <c r="B5274" s="7" t="s">
        <v>99</v>
      </c>
      <c r="C5274" s="41">
        <v>1168.75</v>
      </c>
      <c r="D5274" s="6">
        <v>45688</v>
      </c>
      <c r="E5274" s="3" t="str">
        <f ca="1">IF(Tabela2[[#This Row],[Dt Venc:]]&gt;TODAY(),"Em Aberto",IF(Tabela2[[#This Row],[D/venc]]="-","Enviado",IF(Tabela2[[#This Row],[Dt Venc:]]=TODAY(),"Vence Hoje","Vencida")))</f>
        <v>Enviado</v>
      </c>
      <c r="F5274" s="3" t="str">
        <f ca="1">IF(G5274=1,"-",Tabela2[[#This Row],[Dt Venc:]]-TODAY())</f>
        <v>-</v>
      </c>
      <c r="G5274" s="3">
        <v>1</v>
      </c>
      <c r="H5274" s="3"/>
    </row>
    <row r="5275" spans="1:8" hidden="1">
      <c r="A5275" s="3">
        <v>89804</v>
      </c>
      <c r="B5275" s="7" t="s">
        <v>207</v>
      </c>
      <c r="C5275" s="41">
        <v>833.33</v>
      </c>
      <c r="D5275" s="6">
        <v>45688</v>
      </c>
      <c r="E5275" s="3" t="str">
        <f ca="1">IF(Tabela2[[#This Row],[Dt Venc:]]&gt;TODAY(),"Em Aberto",IF(Tabela2[[#This Row],[D/venc]]="-","Enviado",IF(Tabela2[[#This Row],[Dt Venc:]]=TODAY(),"Vence Hoje","Vencida")))</f>
        <v>Enviado</v>
      </c>
      <c r="F5275" s="3" t="str">
        <f ca="1">IF(G5275=1,"-",Tabela2[[#This Row],[Dt Venc:]]-TODAY())</f>
        <v>-</v>
      </c>
      <c r="G5275" s="3">
        <v>1</v>
      </c>
      <c r="H5275" s="3"/>
    </row>
    <row r="5276" spans="1:8" hidden="1">
      <c r="A5276" s="3">
        <v>16823</v>
      </c>
      <c r="B5276" s="7" t="s">
        <v>595</v>
      </c>
      <c r="C5276" s="41">
        <v>736</v>
      </c>
      <c r="D5276" s="6">
        <v>45688</v>
      </c>
      <c r="E5276" s="3" t="str">
        <f ca="1">IF(Tabela2[[#This Row],[Dt Venc:]]&gt;TODAY(),"Em Aberto",IF(Tabela2[[#This Row],[D/venc]]="-","Enviado",IF(Tabela2[[#This Row],[Dt Venc:]]=TODAY(),"Vence Hoje","Vencida")))</f>
        <v>Enviado</v>
      </c>
      <c r="F5276" s="3" t="str">
        <f ca="1">IF(G5276=1,"-",Tabela2[[#This Row],[Dt Venc:]]-TODAY())</f>
        <v>-</v>
      </c>
      <c r="G5276" s="3">
        <v>1</v>
      </c>
      <c r="H5276" s="3"/>
    </row>
    <row r="5277" spans="1:8" hidden="1">
      <c r="A5277" s="3">
        <v>34850</v>
      </c>
      <c r="B5277" s="7" t="s">
        <v>594</v>
      </c>
      <c r="C5277" s="41">
        <v>724.96</v>
      </c>
      <c r="D5277" s="6">
        <v>45688</v>
      </c>
      <c r="E5277" s="3" t="str">
        <f ca="1">IF(Tabela2[[#This Row],[Dt Venc:]]&gt;TODAY(),"Em Aberto",IF(Tabela2[[#This Row],[D/venc]]="-","Enviado",IF(Tabela2[[#This Row],[Dt Venc:]]=TODAY(),"Vence Hoje","Vencida")))</f>
        <v>Enviado</v>
      </c>
      <c r="F5277" s="3" t="str">
        <f ca="1">IF(G5277=1,"-",Tabela2[[#This Row],[Dt Venc:]]-TODAY())</f>
        <v>-</v>
      </c>
      <c r="G5277" s="3">
        <v>1</v>
      </c>
      <c r="H5277" s="3"/>
    </row>
    <row r="5278" spans="1:8" hidden="1">
      <c r="A5278" s="3">
        <v>398238</v>
      </c>
      <c r="B5278" s="7" t="s">
        <v>596</v>
      </c>
      <c r="C5278" s="41">
        <v>2493.33</v>
      </c>
      <c r="D5278" s="6">
        <v>45688</v>
      </c>
      <c r="E5278" s="3" t="str">
        <f ca="1">IF(Tabela2[[#This Row],[Dt Venc:]]&gt;TODAY(),"Em Aberto",IF(Tabela2[[#This Row],[D/venc]]="-","Enviado",IF(Tabela2[[#This Row],[Dt Venc:]]=TODAY(),"Vence Hoje","Vencida")))</f>
        <v>Enviado</v>
      </c>
      <c r="F5278" s="3" t="str">
        <f ca="1">IF(G5278=1,"-",Tabela2[[#This Row],[Dt Venc:]]-TODAY())</f>
        <v>-</v>
      </c>
      <c r="G5278" s="3">
        <v>1</v>
      </c>
      <c r="H5278" s="3"/>
    </row>
    <row r="5279" spans="1:8" hidden="1">
      <c r="A5279" s="3">
        <v>6615</v>
      </c>
      <c r="B5279" s="7" t="s">
        <v>189</v>
      </c>
      <c r="C5279" s="41">
        <v>169</v>
      </c>
      <c r="D5279" s="6">
        <v>45688</v>
      </c>
      <c r="E5279" s="3" t="str">
        <f ca="1">IF(Tabela2[[#This Row],[Dt Venc:]]&gt;TODAY(),"Em Aberto",IF(Tabela2[[#This Row],[D/venc]]="-","Enviado",IF(Tabela2[[#This Row],[Dt Venc:]]=TODAY(),"Vence Hoje","Vencida")))</f>
        <v>Enviado</v>
      </c>
      <c r="F5279" s="3" t="str">
        <f ca="1">IF(G5279=1,"-",Tabela2[[#This Row],[Dt Venc:]]-TODAY())</f>
        <v>-</v>
      </c>
      <c r="G5279" s="3">
        <v>1</v>
      </c>
      <c r="H5279" s="3"/>
    </row>
    <row r="5280" spans="1:8" hidden="1">
      <c r="A5280" s="3">
        <v>267747</v>
      </c>
      <c r="B5280" s="7" t="s">
        <v>189</v>
      </c>
      <c r="C5280" s="41">
        <v>268.58</v>
      </c>
      <c r="D5280" s="6">
        <v>45688</v>
      </c>
      <c r="E5280" s="3" t="str">
        <f ca="1">IF(Tabela2[[#This Row],[Dt Venc:]]&gt;TODAY(),"Em Aberto",IF(Tabela2[[#This Row],[D/venc]]="-","Enviado",IF(Tabela2[[#This Row],[Dt Venc:]]=TODAY(),"Vence Hoje","Vencida")))</f>
        <v>Enviado</v>
      </c>
      <c r="F5280" s="3" t="str">
        <f ca="1">IF(G5280=1,"-",Tabela2[[#This Row],[Dt Venc:]]-TODAY())</f>
        <v>-</v>
      </c>
      <c r="G5280" s="3">
        <v>1</v>
      </c>
      <c r="H5280" s="3"/>
    </row>
    <row r="5281" spans="1:8" hidden="1">
      <c r="A5281" s="3">
        <v>31622</v>
      </c>
      <c r="B5281" s="7" t="s">
        <v>542</v>
      </c>
      <c r="C5281" s="41">
        <v>3416.25</v>
      </c>
      <c r="D5281" s="6">
        <v>45688</v>
      </c>
      <c r="E5281" s="3" t="str">
        <f ca="1">IF(Tabela2[[#This Row],[Dt Venc:]]&gt;TODAY(),"Em Aberto",IF(Tabela2[[#This Row],[D/venc]]="-","Enviado",IF(Tabela2[[#This Row],[Dt Venc:]]=TODAY(),"Vence Hoje","Vencida")))</f>
        <v>Enviado</v>
      </c>
      <c r="F5281" s="3" t="str">
        <f ca="1">IF(G5281=1,"-",Tabela2[[#This Row],[Dt Venc:]]-TODAY())</f>
        <v>-</v>
      </c>
      <c r="G5281" s="3">
        <v>1</v>
      </c>
      <c r="H5281" s="3"/>
    </row>
    <row r="5282" spans="1:8" hidden="1">
      <c r="A5282" s="3">
        <v>263538</v>
      </c>
      <c r="B5282" s="7" t="s">
        <v>43</v>
      </c>
      <c r="C5282" s="41">
        <v>583.46</v>
      </c>
      <c r="D5282" s="6">
        <v>45688</v>
      </c>
      <c r="E5282" s="3" t="str">
        <f ca="1">IF(Tabela2[[#This Row],[Dt Venc:]]&gt;TODAY(),"Em Aberto",IF(Tabela2[[#This Row],[D/venc]]="-","Enviado",IF(Tabela2[[#This Row],[Dt Venc:]]=TODAY(),"Vence Hoje","Vencida")))</f>
        <v>Enviado</v>
      </c>
      <c r="F5282" s="3" t="str">
        <f ca="1">IF(G5282=1,"-",Tabela2[[#This Row],[Dt Venc:]]-TODAY())</f>
        <v>-</v>
      </c>
      <c r="G5282" s="3">
        <v>1</v>
      </c>
      <c r="H5282" s="3"/>
    </row>
    <row r="5283" spans="1:8" hidden="1">
      <c r="A5283" s="3">
        <v>4638399</v>
      </c>
      <c r="B5283" s="7" t="s">
        <v>90</v>
      </c>
      <c r="C5283" s="41">
        <v>1096.79</v>
      </c>
      <c r="D5283" s="6">
        <v>45688</v>
      </c>
      <c r="E5283" s="3" t="str">
        <f ca="1">IF(Tabela2[[#This Row],[Dt Venc:]]&gt;TODAY(),"Em Aberto",IF(Tabela2[[#This Row],[D/venc]]="-","Enviado",IF(Tabela2[[#This Row],[Dt Venc:]]=TODAY(),"Vence Hoje","Vencida")))</f>
        <v>Enviado</v>
      </c>
      <c r="F5283" s="3" t="str">
        <f ca="1">IF(G5283=1,"-",Tabela2[[#This Row],[Dt Venc:]]-TODAY())</f>
        <v>-</v>
      </c>
      <c r="G5283" s="3">
        <v>1</v>
      </c>
      <c r="H5283" s="3"/>
    </row>
    <row r="5284" spans="1:8" hidden="1">
      <c r="A5284" s="3">
        <v>263787</v>
      </c>
      <c r="B5284" s="7" t="s">
        <v>43</v>
      </c>
      <c r="C5284" s="41">
        <v>280</v>
      </c>
      <c r="D5284" s="6">
        <v>45688</v>
      </c>
      <c r="E5284" s="3" t="str">
        <f ca="1">IF(Tabela2[[#This Row],[Dt Venc:]]&gt;TODAY(),"Em Aberto",IF(Tabela2[[#This Row],[D/venc]]="-","Enviado",IF(Tabela2[[#This Row],[Dt Venc:]]=TODAY(),"Vence Hoje","Vencida")))</f>
        <v>Enviado</v>
      </c>
      <c r="F5284" s="3" t="str">
        <f ca="1">IF(G5284=1,"-",Tabela2[[#This Row],[Dt Venc:]]-TODAY())</f>
        <v>-</v>
      </c>
      <c r="G5284" s="3">
        <v>1</v>
      </c>
      <c r="H5284" s="3"/>
    </row>
    <row r="5285" spans="1:8" hidden="1">
      <c r="A5285" s="3">
        <v>15359</v>
      </c>
      <c r="B5285" s="7" t="s">
        <v>44</v>
      </c>
      <c r="C5285" s="41">
        <v>566.66</v>
      </c>
      <c r="D5285" s="6">
        <v>45688</v>
      </c>
      <c r="E5285" s="3" t="str">
        <f ca="1">IF(Tabela2[[#This Row],[Dt Venc:]]&gt;TODAY(),"Em Aberto",IF(Tabela2[[#This Row],[D/venc]]="-","Enviado",IF(Tabela2[[#This Row],[Dt Venc:]]=TODAY(),"Vence Hoje","Vencida")))</f>
        <v>Enviado</v>
      </c>
      <c r="F5285" s="3" t="str">
        <f ca="1">IF(G5285=1,"-",Tabela2[[#This Row],[Dt Venc:]]-TODAY())</f>
        <v>-</v>
      </c>
      <c r="G5285" s="3">
        <v>1</v>
      </c>
      <c r="H5285" s="3"/>
    </row>
    <row r="5286" spans="1:8" hidden="1">
      <c r="A5286" s="3">
        <v>259010</v>
      </c>
      <c r="B5286" s="7" t="s">
        <v>49</v>
      </c>
      <c r="C5286" s="41">
        <v>1922.66</v>
      </c>
      <c r="D5286" s="6">
        <v>45688</v>
      </c>
      <c r="E5286" s="3" t="str">
        <f ca="1">IF(Tabela2[[#This Row],[Dt Venc:]]&gt;TODAY(),"Em Aberto",IF(Tabela2[[#This Row],[D/venc]]="-","Enviado",IF(Tabela2[[#This Row],[Dt Venc:]]=TODAY(),"Vence Hoje","Vencida")))</f>
        <v>Enviado</v>
      </c>
      <c r="F5286" s="3" t="str">
        <f ca="1">IF(G5286=1,"-",Tabela2[[#This Row],[Dt Venc:]]-TODAY())</f>
        <v>-</v>
      </c>
      <c r="G5286" s="3">
        <v>1</v>
      </c>
      <c r="H5286" s="3"/>
    </row>
    <row r="5287" spans="1:8" hidden="1">
      <c r="A5287" s="3">
        <v>131290</v>
      </c>
      <c r="B5287" s="7" t="s">
        <v>157</v>
      </c>
      <c r="C5287" s="41">
        <v>608.37</v>
      </c>
      <c r="D5287" s="6">
        <v>45688</v>
      </c>
      <c r="E5287" s="3" t="str">
        <f ca="1">IF(Tabela2[[#This Row],[Dt Venc:]]&gt;TODAY(),"Em Aberto",IF(Tabela2[[#This Row],[D/venc]]="-","Enviado",IF(Tabela2[[#This Row],[Dt Venc:]]=TODAY(),"Vence Hoje","Vencida")))</f>
        <v>Enviado</v>
      </c>
      <c r="F5287" s="3" t="str">
        <f ca="1">IF(G5287=1,"-",Tabela2[[#This Row],[Dt Venc:]]-TODAY())</f>
        <v>-</v>
      </c>
      <c r="G5287" s="3">
        <v>1</v>
      </c>
      <c r="H5287" s="3"/>
    </row>
    <row r="5288" spans="1:8" hidden="1">
      <c r="A5288" s="3">
        <v>767402</v>
      </c>
      <c r="B5288" s="7" t="s">
        <v>79</v>
      </c>
      <c r="C5288" s="41">
        <v>3433.77</v>
      </c>
      <c r="D5288" s="6">
        <v>45688</v>
      </c>
      <c r="E5288" s="3" t="str">
        <f ca="1">IF(Tabela2[[#This Row],[Dt Venc:]]&gt;TODAY(),"Em Aberto",IF(Tabela2[[#This Row],[D/venc]]="-","Enviado",IF(Tabela2[[#This Row],[Dt Venc:]]=TODAY(),"Vence Hoje","Vencida")))</f>
        <v>Enviado</v>
      </c>
      <c r="F5288" s="3" t="str">
        <f ca="1">IF(G5288=1,"-",Tabela2[[#This Row],[Dt Venc:]]-TODAY())</f>
        <v>-</v>
      </c>
      <c r="G5288" s="3">
        <v>1</v>
      </c>
      <c r="H5288" s="3"/>
    </row>
    <row r="5289" spans="1:8" hidden="1">
      <c r="A5289" s="3">
        <v>259340</v>
      </c>
      <c r="B5289" s="7" t="s">
        <v>49</v>
      </c>
      <c r="C5289" s="41">
        <v>1373.34</v>
      </c>
      <c r="D5289" s="6">
        <v>45688</v>
      </c>
      <c r="E5289" s="3" t="str">
        <f ca="1">IF(Tabela2[[#This Row],[Dt Venc:]]&gt;TODAY(),"Em Aberto",IF(Tabela2[[#This Row],[D/venc]]="-","Enviado",IF(Tabela2[[#This Row],[Dt Venc:]]=TODAY(),"Vence Hoje","Vencida")))</f>
        <v>Enviado</v>
      </c>
      <c r="F5289" s="3" t="str">
        <f ca="1">IF(G5289=1,"-",Tabela2[[#This Row],[Dt Venc:]]-TODAY())</f>
        <v>-</v>
      </c>
      <c r="G5289" s="3">
        <v>1</v>
      </c>
      <c r="H5289" s="3"/>
    </row>
    <row r="5290" spans="1:8" hidden="1">
      <c r="A5290" s="3">
        <v>273214</v>
      </c>
      <c r="B5290" s="7" t="s">
        <v>43</v>
      </c>
      <c r="C5290" s="41">
        <v>1441.06</v>
      </c>
      <c r="D5290" s="6">
        <v>45688</v>
      </c>
      <c r="E5290" s="3" t="str">
        <f ca="1">IF(Tabela2[[#This Row],[Dt Venc:]]&gt;TODAY(),"Em Aberto",IF(Tabela2[[#This Row],[D/venc]]="-","Enviado",IF(Tabela2[[#This Row],[Dt Venc:]]=TODAY(),"Vence Hoje","Vencida")))</f>
        <v>Enviado</v>
      </c>
      <c r="F5290" s="3" t="str">
        <f ca="1">IF(G5290=1,"-",Tabela2[[#This Row],[Dt Venc:]]-TODAY())</f>
        <v>-</v>
      </c>
      <c r="G5290" s="3">
        <v>1</v>
      </c>
      <c r="H5290" s="3"/>
    </row>
    <row r="5291" spans="1:8" hidden="1">
      <c r="A5291" s="3">
        <v>328</v>
      </c>
      <c r="B5291" s="7" t="s">
        <v>666</v>
      </c>
      <c r="C5291" s="41">
        <v>840</v>
      </c>
      <c r="D5291" s="6">
        <v>45688</v>
      </c>
      <c r="E5291" s="3" t="str">
        <f ca="1">IF(Tabela2[[#This Row],[Dt Venc:]]&gt;TODAY(),"Em Aberto",IF(Tabela2[[#This Row],[D/venc]]="-","Enviado",IF(Tabela2[[#This Row],[Dt Venc:]]=TODAY(),"Vence Hoje","Vencida")))</f>
        <v>Enviado</v>
      </c>
      <c r="F5291" s="3" t="str">
        <f ca="1">IF(G5291=1,"-",Tabela2[[#This Row],[Dt Venc:]]-TODAY())</f>
        <v>-</v>
      </c>
      <c r="G5291" s="3">
        <v>1</v>
      </c>
      <c r="H5291" s="3"/>
    </row>
    <row r="5292" spans="1:8" hidden="1">
      <c r="A5292" s="3">
        <v>10359</v>
      </c>
      <c r="B5292" s="7" t="s">
        <v>105</v>
      </c>
      <c r="C5292" s="41">
        <v>1280</v>
      </c>
      <c r="D5292" s="6">
        <v>45688</v>
      </c>
      <c r="E5292" s="3" t="str">
        <f ca="1">IF(Tabela2[[#This Row],[Dt Venc:]]&gt;TODAY(),"Em Aberto",IF(Tabela2[[#This Row],[D/venc]]="-","Enviado",IF(Tabela2[[#This Row],[Dt Venc:]]=TODAY(),"Vence Hoje","Vencida")))</f>
        <v>Enviado</v>
      </c>
      <c r="F5292" s="3" t="str">
        <f ca="1">IF(G5292=1,"-",Tabela2[[#This Row],[Dt Venc:]]-TODAY())</f>
        <v>-</v>
      </c>
      <c r="G5292" s="3">
        <v>1</v>
      </c>
      <c r="H5292" s="3"/>
    </row>
    <row r="5293" spans="1:8" hidden="1">
      <c r="A5293" s="3">
        <v>587914</v>
      </c>
      <c r="B5293" s="7" t="s">
        <v>79</v>
      </c>
      <c r="C5293" s="41">
        <v>1197.6600000000001</v>
      </c>
      <c r="D5293" s="6">
        <v>45688</v>
      </c>
      <c r="E5293" s="3" t="str">
        <f ca="1">IF(Tabela2[[#This Row],[Dt Venc:]]&gt;TODAY(),"Em Aberto",IF(Tabela2[[#This Row],[D/venc]]="-","Enviado",IF(Tabela2[[#This Row],[Dt Venc:]]=TODAY(),"Vence Hoje","Vencida")))</f>
        <v>Enviado</v>
      </c>
      <c r="F5293" s="3" t="str">
        <f ca="1">IF(G5293=1,"-",Tabela2[[#This Row],[Dt Venc:]]-TODAY())</f>
        <v>-</v>
      </c>
      <c r="G5293" s="3">
        <v>1</v>
      </c>
      <c r="H5293" s="3"/>
    </row>
    <row r="5294" spans="1:8" hidden="1">
      <c r="A5294" s="3">
        <v>3603581</v>
      </c>
      <c r="B5294" s="7" t="s">
        <v>482</v>
      </c>
      <c r="C5294" s="41">
        <v>1550</v>
      </c>
      <c r="D5294" s="6">
        <v>45688</v>
      </c>
      <c r="E5294" s="3" t="str">
        <f ca="1">IF(Tabela2[[#This Row],[Dt Venc:]]&gt;TODAY(),"Em Aberto",IF(Tabela2[[#This Row],[D/venc]]="-","Enviado",IF(Tabela2[[#This Row],[Dt Venc:]]=TODAY(),"Vence Hoje","Vencida")))</f>
        <v>Enviado</v>
      </c>
      <c r="F5294" s="3" t="str">
        <f ca="1">IF(G5294=1,"-",Tabela2[[#This Row],[Dt Venc:]]-TODAY())</f>
        <v>-</v>
      </c>
      <c r="G5294" s="3">
        <v>1</v>
      </c>
      <c r="H5294" s="3"/>
    </row>
    <row r="5295" spans="1:8" hidden="1">
      <c r="A5295" s="3">
        <v>2289725</v>
      </c>
      <c r="B5295" s="7" t="s">
        <v>59</v>
      </c>
      <c r="C5295" s="41">
        <v>55564</v>
      </c>
      <c r="D5295" s="6">
        <v>45688</v>
      </c>
      <c r="E5295" s="3" t="str">
        <f ca="1">IF(Tabela2[[#This Row],[Dt Venc:]]&gt;TODAY(),"Em Aberto",IF(Tabela2[[#This Row],[D/venc]]="-","Enviado",IF(Tabela2[[#This Row],[Dt Venc:]]=TODAY(),"Vence Hoje","Vencida")))</f>
        <v>Enviado</v>
      </c>
      <c r="F5295" s="3" t="str">
        <f ca="1">IF(G5295=1,"-",Tabela2[[#This Row],[Dt Venc:]]-TODAY())</f>
        <v>-</v>
      </c>
      <c r="G5295" s="3">
        <v>1</v>
      </c>
      <c r="H5295" s="3"/>
    </row>
    <row r="5296" spans="1:8" hidden="1">
      <c r="A5296" s="3">
        <v>2012595</v>
      </c>
      <c r="B5296" s="7" t="s">
        <v>59</v>
      </c>
      <c r="C5296" s="41">
        <v>82474.5</v>
      </c>
      <c r="D5296" s="6">
        <v>45688</v>
      </c>
      <c r="E5296" s="3" t="str">
        <f ca="1">IF(Tabela2[[#This Row],[Dt Venc:]]&gt;TODAY(),"Em Aberto",IF(Tabela2[[#This Row],[D/venc]]="-","Enviado",IF(Tabela2[[#This Row],[Dt Venc:]]=TODAY(),"Vence Hoje","Vencida")))</f>
        <v>Enviado</v>
      </c>
      <c r="F5296" s="3" t="str">
        <f ca="1">IF(G5296=1,"-",Tabela2[[#This Row],[Dt Venc:]]-TODAY())</f>
        <v>-</v>
      </c>
      <c r="G5296" s="3">
        <v>1</v>
      </c>
      <c r="H5296" s="3"/>
    </row>
    <row r="5297" spans="1:8" hidden="1">
      <c r="A5297" s="3">
        <v>2940</v>
      </c>
      <c r="B5297" s="7" t="s">
        <v>58</v>
      </c>
      <c r="C5297" s="41">
        <v>434</v>
      </c>
      <c r="D5297" s="6">
        <v>45688</v>
      </c>
      <c r="E5297" s="3" t="str">
        <f ca="1">IF(Tabela2[[#This Row],[Dt Venc:]]&gt;TODAY(),"Em Aberto",IF(Tabela2[[#This Row],[D/venc]]="-","Enviado",IF(Tabela2[[#This Row],[Dt Venc:]]=TODAY(),"Vence Hoje","Vencida")))</f>
        <v>Enviado</v>
      </c>
      <c r="F5297" s="3" t="str">
        <f ca="1">IF(G5297=1,"-",Tabela2[[#This Row],[Dt Venc:]]-TODAY())</f>
        <v>-</v>
      </c>
      <c r="G5297" s="3">
        <v>1</v>
      </c>
      <c r="H5297" s="3"/>
    </row>
    <row r="5298" spans="1:8" hidden="1">
      <c r="A5298" s="3">
        <v>11681</v>
      </c>
      <c r="B5298" s="7" t="s">
        <v>82</v>
      </c>
      <c r="C5298" s="87" t="s">
        <v>32</v>
      </c>
      <c r="D5298" s="6">
        <v>45688</v>
      </c>
      <c r="E5298" s="3" t="str">
        <f ca="1">IF(Tabela2[[#This Row],[Dt Venc:]]&gt;TODAY(),"Em Aberto",IF(Tabela2[[#This Row],[D/venc]]="-","Enviado",IF(Tabela2[[#This Row],[Dt Venc:]]=TODAY(),"Vence Hoje","Vencida")))</f>
        <v>Enviado</v>
      </c>
      <c r="F5298" s="3" t="str">
        <f ca="1">IF(G5298=1,"-",Tabela2[[#This Row],[Dt Venc:]]-TODAY())</f>
        <v>-</v>
      </c>
      <c r="G5298" s="3">
        <v>1</v>
      </c>
      <c r="H5298" s="3"/>
    </row>
    <row r="5299" spans="1:8" hidden="1">
      <c r="A5299" s="3">
        <v>142887</v>
      </c>
      <c r="B5299" s="7" t="s">
        <v>60</v>
      </c>
      <c r="C5299" s="41">
        <v>390</v>
      </c>
      <c r="D5299" s="6">
        <v>45688</v>
      </c>
      <c r="E5299" s="3" t="str">
        <f ca="1">IF(Tabela2[[#This Row],[Dt Venc:]]&gt;TODAY(),"Em Aberto",IF(Tabela2[[#This Row],[D/venc]]="-","Enviado",IF(Tabela2[[#This Row],[Dt Venc:]]=TODAY(),"Vence Hoje","Vencida")))</f>
        <v>Enviado</v>
      </c>
      <c r="F5299" s="3" t="str">
        <f ca="1">IF(G5299=1,"-",Tabela2[[#This Row],[Dt Venc:]]-TODAY())</f>
        <v>-</v>
      </c>
      <c r="G5299" s="3">
        <v>1</v>
      </c>
      <c r="H5299" s="3"/>
    </row>
    <row r="5300" spans="1:8" hidden="1">
      <c r="A5300" s="3">
        <v>142886</v>
      </c>
      <c r="B5300" s="7" t="s">
        <v>60</v>
      </c>
      <c r="C5300" s="41">
        <v>390</v>
      </c>
      <c r="D5300" s="6">
        <v>45688</v>
      </c>
      <c r="E5300" s="3" t="str">
        <f ca="1">IF(Tabela2[[#This Row],[Dt Venc:]]&gt;TODAY(),"Em Aberto",IF(Tabela2[[#This Row],[D/venc]]="-","Enviado",IF(Tabela2[[#This Row],[Dt Venc:]]=TODAY(),"Vence Hoje","Vencida")))</f>
        <v>Enviado</v>
      </c>
      <c r="F5300" s="3" t="str">
        <f ca="1">IF(G5300=1,"-",Tabela2[[#This Row],[Dt Venc:]]-TODAY())</f>
        <v>-</v>
      </c>
      <c r="G5300" s="3">
        <v>1</v>
      </c>
      <c r="H5300" s="3"/>
    </row>
    <row r="5301" spans="1:8" hidden="1">
      <c r="A5301" s="3">
        <v>1715</v>
      </c>
      <c r="B5301" s="7" t="s">
        <v>667</v>
      </c>
      <c r="C5301" s="41">
        <v>29900</v>
      </c>
      <c r="D5301" s="6">
        <v>45688</v>
      </c>
      <c r="E5301" s="3" t="str">
        <f ca="1">IF(Tabela2[[#This Row],[Dt Venc:]]&gt;TODAY(),"Em Aberto",IF(Tabela2[[#This Row],[D/venc]]="-","Enviado",IF(Tabela2[[#This Row],[Dt Venc:]]=TODAY(),"Vence Hoje","Vencida")))</f>
        <v>Enviado</v>
      </c>
      <c r="F5301" s="3" t="str">
        <f ca="1">IF(G5301=1,"-",Tabela2[[#This Row],[Dt Venc:]]-TODAY())</f>
        <v>-</v>
      </c>
      <c r="G5301" s="3">
        <v>1</v>
      </c>
      <c r="H5301" s="3"/>
    </row>
    <row r="5302" spans="1:8" hidden="1">
      <c r="A5302" s="3">
        <v>2039</v>
      </c>
      <c r="B5302" s="7" t="s">
        <v>668</v>
      </c>
      <c r="C5302" s="41">
        <v>270</v>
      </c>
      <c r="D5302" s="6">
        <v>45688</v>
      </c>
      <c r="E5302" s="3" t="str">
        <f ca="1">IF(Tabela2[[#This Row],[Dt Venc:]]&gt;TODAY(),"Em Aberto",IF(Tabela2[[#This Row],[D/venc]]="-","Enviado",IF(Tabela2[[#This Row],[Dt Venc:]]=TODAY(),"Vence Hoje","Vencida")))</f>
        <v>Enviado</v>
      </c>
      <c r="F5302" s="3" t="str">
        <f ca="1">IF(G5302=1,"-",Tabela2[[#This Row],[Dt Venc:]]-TODAY())</f>
        <v>-</v>
      </c>
      <c r="G5302" s="3">
        <v>1</v>
      </c>
      <c r="H5302" s="3"/>
    </row>
    <row r="5303" spans="1:8" hidden="1">
      <c r="A5303" s="3">
        <v>6171</v>
      </c>
      <c r="B5303" s="7" t="s">
        <v>47</v>
      </c>
      <c r="C5303" s="41">
        <v>1758.06</v>
      </c>
      <c r="D5303" s="6">
        <v>45688</v>
      </c>
      <c r="E5303" s="3" t="str">
        <f ca="1">IF(Tabela2[[#This Row],[Dt Venc:]]&gt;TODAY(),"Em Aberto",IF(Tabela2[[#This Row],[D/venc]]="-","Enviado",IF(Tabela2[[#This Row],[Dt Venc:]]=TODAY(),"Vence Hoje","Vencida")))</f>
        <v>Enviado</v>
      </c>
      <c r="F5303" s="3" t="str">
        <f ca="1">IF(G5303=1,"-",Tabela2[[#This Row],[Dt Venc:]]-TODAY())</f>
        <v>-</v>
      </c>
      <c r="G5303" s="3">
        <v>1</v>
      </c>
      <c r="H5303" s="3"/>
    </row>
    <row r="5304" spans="1:8" hidden="1">
      <c r="A5304" s="3">
        <v>5943</v>
      </c>
      <c r="B5304" s="7" t="s">
        <v>47</v>
      </c>
      <c r="C5304" s="41">
        <v>1873.68</v>
      </c>
      <c r="D5304" s="6">
        <v>45688</v>
      </c>
      <c r="E5304" s="3" t="str">
        <f ca="1">IF(Tabela2[[#This Row],[Dt Venc:]]&gt;TODAY(),"Em Aberto",IF(Tabela2[[#This Row],[D/venc]]="-","Enviado",IF(Tabela2[[#This Row],[Dt Venc:]]=TODAY(),"Vence Hoje","Vencida")))</f>
        <v>Enviado</v>
      </c>
      <c r="F5304" s="3" t="str">
        <f ca="1">IF(G5304=1,"-",Tabela2[[#This Row],[Dt Venc:]]-TODAY())</f>
        <v>-</v>
      </c>
      <c r="G5304" s="3">
        <v>1</v>
      </c>
      <c r="H5304" s="3"/>
    </row>
    <row r="5305" spans="1:8" hidden="1">
      <c r="A5305" s="3">
        <v>11196</v>
      </c>
      <c r="B5305" s="7" t="s">
        <v>33</v>
      </c>
      <c r="C5305" s="41">
        <v>1993.33</v>
      </c>
      <c r="D5305" s="6">
        <v>45688</v>
      </c>
      <c r="E5305" s="3" t="str">
        <f ca="1">IF(Tabela2[[#This Row],[Dt Venc:]]&gt;TODAY(),"Em Aberto",IF(Tabela2[[#This Row],[D/venc]]="-","Enviado",IF(Tabela2[[#This Row],[Dt Venc:]]=TODAY(),"Vence Hoje","Vencida")))</f>
        <v>Enviado</v>
      </c>
      <c r="F5305" s="3" t="str">
        <f ca="1">IF(G5305=1,"-",Tabela2[[#This Row],[Dt Venc:]]-TODAY())</f>
        <v>-</v>
      </c>
      <c r="G5305" s="3">
        <v>1</v>
      </c>
      <c r="H5305" s="3"/>
    </row>
    <row r="5306" spans="1:8" hidden="1">
      <c r="A5306" s="3">
        <v>1459</v>
      </c>
      <c r="B5306" s="7" t="s">
        <v>352</v>
      </c>
      <c r="C5306" s="41">
        <v>620</v>
      </c>
      <c r="D5306" s="6">
        <v>45689</v>
      </c>
      <c r="E5306" s="3" t="str">
        <f ca="1">IF(Tabela2[[#This Row],[Dt Venc:]]&gt;TODAY(),"Em Aberto",IF(Tabela2[[#This Row],[D/venc]]="-","Enviado",IF(Tabela2[[#This Row],[Dt Venc:]]=TODAY(),"Vence Hoje","Vencida")))</f>
        <v>Enviado</v>
      </c>
      <c r="F5306" s="3" t="str">
        <f ca="1">IF(G5306=1,"-",Tabela2[[#This Row],[Dt Venc:]]-TODAY())</f>
        <v>-</v>
      </c>
      <c r="G5306" s="3">
        <v>1</v>
      </c>
      <c r="H5306" s="3"/>
    </row>
    <row r="5307" spans="1:8" hidden="1">
      <c r="A5307" s="3">
        <v>10494</v>
      </c>
      <c r="B5307" s="7" t="s">
        <v>82</v>
      </c>
      <c r="C5307" s="88" t="s">
        <v>30</v>
      </c>
      <c r="D5307" s="6">
        <v>45691</v>
      </c>
      <c r="E5307" s="3" t="str">
        <f ca="1">IF(Tabela2[[#This Row],[Dt Venc:]]&gt;TODAY(),"Em Aberto",IF(Tabela2[[#This Row],[D/venc]]="-","Enviado",IF(Tabela2[[#This Row],[Dt Venc:]]=TODAY(),"Vence Hoje","Vencida")))</f>
        <v>Enviado</v>
      </c>
      <c r="F5307" s="3" t="str">
        <f ca="1">IF(G5307=1,"-",Tabela2[[#This Row],[Dt Venc:]]-TODAY())</f>
        <v>-</v>
      </c>
      <c r="G5307" s="3">
        <v>1</v>
      </c>
      <c r="H5307" s="3"/>
    </row>
    <row r="5308" spans="1:8" hidden="1">
      <c r="A5308" s="3">
        <v>10353</v>
      </c>
      <c r="B5308" s="7" t="s">
        <v>82</v>
      </c>
      <c r="C5308" s="100" t="s">
        <v>32</v>
      </c>
      <c r="D5308" s="6">
        <v>45693</v>
      </c>
      <c r="E5308" s="3" t="str">
        <f ca="1">IF(Tabela2[[#This Row],[Dt Venc:]]&gt;TODAY(),"Em Aberto",IF(Tabela2[[#This Row],[D/venc]]="-","Enviado",IF(Tabela2[[#This Row],[Dt Venc:]]=TODAY(),"Vence Hoje","Vencida")))</f>
        <v>Enviado</v>
      </c>
      <c r="F5308" s="3" t="str">
        <f ca="1">IF(G5308=1,"-",Tabela2[[#This Row],[Dt Venc:]]-TODAY())</f>
        <v>-</v>
      </c>
      <c r="G5308" s="3">
        <v>1</v>
      </c>
      <c r="H5308" s="3"/>
    </row>
    <row r="5309" spans="1:8" hidden="1">
      <c r="A5309" s="3">
        <v>818909</v>
      </c>
      <c r="B5309" s="7" t="s">
        <v>81</v>
      </c>
      <c r="C5309" s="87" t="s">
        <v>32</v>
      </c>
      <c r="D5309" s="6">
        <v>45690</v>
      </c>
      <c r="E5309" s="3" t="str">
        <f ca="1">IF(Tabela2[[#This Row],[Dt Venc:]]&gt;TODAY(),"Em Aberto",IF(Tabela2[[#This Row],[D/venc]]="-","Enviado",IF(Tabela2[[#This Row],[Dt Venc:]]=TODAY(),"Vence Hoje","Vencida")))</f>
        <v>Enviado</v>
      </c>
      <c r="F5309" s="3" t="str">
        <f ca="1">IF(G5309=1,"-",Tabela2[[#This Row],[Dt Venc:]]-TODAY())</f>
        <v>-</v>
      </c>
      <c r="G5309" s="3">
        <v>1</v>
      </c>
      <c r="H5309" s="3"/>
    </row>
    <row r="5310" spans="1:8" hidden="1">
      <c r="A5310" s="3">
        <v>1459</v>
      </c>
      <c r="B5310" s="7" t="s">
        <v>352</v>
      </c>
      <c r="C5310" s="41">
        <v>620</v>
      </c>
      <c r="D5310" s="6">
        <v>45689</v>
      </c>
      <c r="E5310" s="3" t="str">
        <f ca="1">IF(Tabela2[[#This Row],[Dt Venc:]]&gt;TODAY(),"Em Aberto",IF(Tabela2[[#This Row],[D/venc]]="-","Enviado",IF(Tabela2[[#This Row],[Dt Venc:]]=TODAY(),"Vence Hoje","Vencida")))</f>
        <v>Enviado</v>
      </c>
      <c r="F5310" s="3" t="str">
        <f ca="1">IF(G5310=1,"-",Tabela2[[#This Row],[Dt Venc:]]-TODAY())</f>
        <v>-</v>
      </c>
      <c r="G5310" s="3">
        <v>1</v>
      </c>
      <c r="H5310" s="3"/>
    </row>
    <row r="5311" spans="1:8" hidden="1">
      <c r="A5311" s="3">
        <v>1846</v>
      </c>
      <c r="B5311" s="7" t="s">
        <v>352</v>
      </c>
      <c r="C5311" s="41">
        <v>120</v>
      </c>
      <c r="D5311" s="6">
        <v>45689</v>
      </c>
      <c r="E5311" s="3" t="str">
        <f ca="1">IF(Tabela2[[#This Row],[Dt Venc:]]&gt;TODAY(),"Em Aberto",IF(Tabela2[[#This Row],[D/venc]]="-","Enviado",IF(Tabela2[[#This Row],[Dt Venc:]]=TODAY(),"Vence Hoje","Vencida")))</f>
        <v>Enviado</v>
      </c>
      <c r="F5311" s="3" t="str">
        <f ca="1">IF(G5311=1,"-",Tabela2[[#This Row],[Dt Venc:]]-TODAY())</f>
        <v>-</v>
      </c>
      <c r="G5311" s="3">
        <v>1</v>
      </c>
      <c r="H5311" s="3"/>
    </row>
    <row r="5312" spans="1:8" hidden="1">
      <c r="A5312" s="3">
        <v>1846</v>
      </c>
      <c r="B5312" s="7" t="s">
        <v>352</v>
      </c>
      <c r="C5312" s="41">
        <v>120</v>
      </c>
      <c r="D5312" s="6">
        <v>45689</v>
      </c>
      <c r="E5312" s="3" t="str">
        <f ca="1">IF(Tabela2[[#This Row],[Dt Venc:]]&gt;TODAY(),"Em Aberto",IF(Tabela2[[#This Row],[D/venc]]="-","Enviado",IF(Tabela2[[#This Row],[Dt Venc:]]=TODAY(),"Vence Hoje","Vencida")))</f>
        <v>Enviado</v>
      </c>
      <c r="F5312" s="3" t="str">
        <f ca="1">IF(G5312=1,"-",Tabela2[[#This Row],[Dt Venc:]]-TODAY())</f>
        <v>-</v>
      </c>
      <c r="G5312" s="3">
        <v>1</v>
      </c>
      <c r="H5312" s="3"/>
    </row>
    <row r="5313" spans="1:8" hidden="1">
      <c r="A5313" s="3">
        <v>2883</v>
      </c>
      <c r="B5313" s="7" t="s">
        <v>58</v>
      </c>
      <c r="C5313" s="41">
        <v>2813.74</v>
      </c>
      <c r="D5313" s="6">
        <v>45689</v>
      </c>
      <c r="E5313" s="3" t="str">
        <f ca="1">IF(Tabela2[[#This Row],[Dt Venc:]]&gt;TODAY(),"Em Aberto",IF(Tabela2[[#This Row],[D/venc]]="-","Enviado",IF(Tabela2[[#This Row],[Dt Venc:]]=TODAY(),"Vence Hoje","Vencida")))</f>
        <v>Enviado</v>
      </c>
      <c r="F5313" s="3" t="str">
        <f ca="1">IF(G5313=1,"-",Tabela2[[#This Row],[Dt Venc:]]-TODAY())</f>
        <v>-</v>
      </c>
      <c r="G5313" s="3">
        <v>1</v>
      </c>
      <c r="H5313" s="3"/>
    </row>
    <row r="5314" spans="1:8" hidden="1">
      <c r="A5314" s="3">
        <v>2946</v>
      </c>
      <c r="B5314" s="7" t="s">
        <v>58</v>
      </c>
      <c r="C5314" s="41">
        <v>1143.74</v>
      </c>
      <c r="D5314" s="6">
        <v>45689</v>
      </c>
      <c r="E5314" s="3" t="str">
        <f ca="1">IF(Tabela2[[#This Row],[Dt Venc:]]&gt;TODAY(),"Em Aberto",IF(Tabela2[[#This Row],[D/venc]]="-","Enviado",IF(Tabela2[[#This Row],[Dt Venc:]]=TODAY(),"Vence Hoje","Vencida")))</f>
        <v>Enviado</v>
      </c>
      <c r="F5314" s="3" t="str">
        <f ca="1">IF(G5314=1,"-",Tabela2[[#This Row],[Dt Venc:]]-TODAY())</f>
        <v>-</v>
      </c>
      <c r="G5314" s="3">
        <v>1</v>
      </c>
      <c r="H5314" s="3"/>
    </row>
    <row r="5315" spans="1:8" hidden="1">
      <c r="A5315" s="3">
        <v>11765</v>
      </c>
      <c r="B5315" s="7" t="s">
        <v>598</v>
      </c>
      <c r="C5315" s="41">
        <v>380.94</v>
      </c>
      <c r="D5315" s="6">
        <v>45689</v>
      </c>
      <c r="E5315" s="3" t="str">
        <f ca="1">IF(Tabela2[[#This Row],[Dt Venc:]]&gt;TODAY(),"Em Aberto",IF(Tabela2[[#This Row],[D/venc]]="-","Enviado",IF(Tabela2[[#This Row],[Dt Venc:]]=TODAY(),"Vence Hoje","Vencida")))</f>
        <v>Enviado</v>
      </c>
      <c r="F5315" s="3" t="str">
        <f ca="1">IF(G5315=1,"-",Tabela2[[#This Row],[Dt Venc:]]-TODAY())</f>
        <v>-</v>
      </c>
      <c r="G5315" s="3">
        <v>1</v>
      </c>
      <c r="H5315" s="3"/>
    </row>
    <row r="5316" spans="1:8" hidden="1">
      <c r="A5316" s="3">
        <v>12415</v>
      </c>
      <c r="B5316" s="7" t="s">
        <v>72</v>
      </c>
      <c r="C5316" s="41">
        <v>1150</v>
      </c>
      <c r="D5316" s="6">
        <v>45689</v>
      </c>
      <c r="E5316" s="3" t="str">
        <f ca="1">IF(Tabela2[[#This Row],[Dt Venc:]]&gt;TODAY(),"Em Aberto",IF(Tabela2[[#This Row],[D/venc]]="-","Enviado",IF(Tabela2[[#This Row],[Dt Venc:]]=TODAY(),"Vence Hoje","Vencida")))</f>
        <v>Enviado</v>
      </c>
      <c r="F5316" s="3" t="str">
        <f ca="1">IF(G5316=1,"-",Tabela2[[#This Row],[Dt Venc:]]-TODAY())</f>
        <v>-</v>
      </c>
      <c r="G5316" s="3">
        <v>1</v>
      </c>
      <c r="H5316" s="3"/>
    </row>
    <row r="5317" spans="1:8" hidden="1">
      <c r="A5317" s="3">
        <v>14298</v>
      </c>
      <c r="B5317" s="7" t="s">
        <v>51</v>
      </c>
      <c r="C5317" s="41">
        <v>1000</v>
      </c>
      <c r="D5317" s="6">
        <v>45689</v>
      </c>
      <c r="E5317" s="3" t="str">
        <f ca="1">IF(Tabela2[[#This Row],[Dt Venc:]]&gt;TODAY(),"Em Aberto",IF(Tabela2[[#This Row],[D/venc]]="-","Enviado",IF(Tabela2[[#This Row],[Dt Venc:]]=TODAY(),"Vence Hoje","Vencida")))</f>
        <v>Enviado</v>
      </c>
      <c r="F5317" s="3" t="str">
        <f ca="1">IF(G5317=1,"-",Tabela2[[#This Row],[Dt Venc:]]-TODAY())</f>
        <v>-</v>
      </c>
      <c r="G5317" s="3">
        <v>1</v>
      </c>
      <c r="H5317" s="3"/>
    </row>
    <row r="5318" spans="1:8" hidden="1">
      <c r="A5318" s="3">
        <v>17778</v>
      </c>
      <c r="B5318" s="7" t="s">
        <v>75</v>
      </c>
      <c r="C5318" s="41">
        <v>16580.91</v>
      </c>
      <c r="D5318" s="6">
        <v>45689</v>
      </c>
      <c r="E5318" s="3" t="str">
        <f ca="1">IF(Tabela2[[#This Row],[Dt Venc:]]&gt;TODAY(),"Em Aberto",IF(Tabela2[[#This Row],[D/venc]]="-","Enviado",IF(Tabela2[[#This Row],[Dt Venc:]]=TODAY(),"Vence Hoje","Vencida")))</f>
        <v>Enviado</v>
      </c>
      <c r="F5318" s="3" t="str">
        <f ca="1">IF(G5318=1,"-",Tabela2[[#This Row],[Dt Venc:]]-TODAY())</f>
        <v>-</v>
      </c>
      <c r="G5318" s="3">
        <v>1</v>
      </c>
      <c r="H5318" s="3"/>
    </row>
    <row r="5319" spans="1:8" hidden="1">
      <c r="A5319" s="3">
        <v>23988</v>
      </c>
      <c r="B5319" s="7" t="s">
        <v>38</v>
      </c>
      <c r="C5319" s="41">
        <v>1168</v>
      </c>
      <c r="D5319" s="6">
        <v>45689</v>
      </c>
      <c r="E5319" s="3" t="str">
        <f ca="1">IF(Tabela2[[#This Row],[Dt Venc:]]&gt;TODAY(),"Em Aberto",IF(Tabela2[[#This Row],[D/venc]]="-","Enviado",IF(Tabela2[[#This Row],[Dt Venc:]]=TODAY(),"Vence Hoje","Vencida")))</f>
        <v>Enviado</v>
      </c>
      <c r="F5319" s="3" t="str">
        <f ca="1">IF(G5319=1,"-",Tabela2[[#This Row],[Dt Venc:]]-TODAY())</f>
        <v>-</v>
      </c>
      <c r="G5319" s="3">
        <v>1</v>
      </c>
      <c r="H5319" s="3"/>
    </row>
    <row r="5320" spans="1:8" hidden="1">
      <c r="A5320" s="3">
        <v>29805</v>
      </c>
      <c r="B5320" s="7" t="s">
        <v>107</v>
      </c>
      <c r="C5320" s="42">
        <v>2817</v>
      </c>
      <c r="D5320" s="6">
        <v>45689</v>
      </c>
      <c r="E5320" s="3" t="str">
        <f ca="1">IF(Tabela2[[#This Row],[Dt Venc:]]&gt;TODAY(),"Em Aberto",IF(Tabela2[[#This Row],[D/venc]]="-","Enviado",IF(Tabela2[[#This Row],[Dt Venc:]]=TODAY(),"Vence Hoje","Vencida")))</f>
        <v>Enviado</v>
      </c>
      <c r="F5320" s="3" t="str">
        <f ca="1">IF(G5320=1,"-",Tabela2[[#This Row],[Dt Venc:]]-TODAY())</f>
        <v>-</v>
      </c>
      <c r="G5320" s="3">
        <v>1</v>
      </c>
      <c r="H5320" s="3"/>
    </row>
    <row r="5321" spans="1:8" hidden="1">
      <c r="A5321" s="3">
        <v>45931</v>
      </c>
      <c r="B5321" s="7" t="s">
        <v>439</v>
      </c>
      <c r="C5321" s="41">
        <v>578.85</v>
      </c>
      <c r="D5321" s="6">
        <v>45689</v>
      </c>
      <c r="E5321" s="3" t="str">
        <f ca="1">IF(Tabela2[[#This Row],[Dt Venc:]]&gt;TODAY(),"Em Aberto",IF(Tabela2[[#This Row],[D/venc]]="-","Enviado",IF(Tabela2[[#This Row],[Dt Venc:]]=TODAY(),"Vence Hoje","Vencida")))</f>
        <v>Enviado</v>
      </c>
      <c r="F5321" s="3" t="str">
        <f ca="1">IF(G5321=1,"-",Tabela2[[#This Row],[Dt Venc:]]-TODAY())</f>
        <v>-</v>
      </c>
      <c r="G5321" s="3">
        <v>1</v>
      </c>
      <c r="H5321" s="3"/>
    </row>
    <row r="5322" spans="1:8" hidden="1">
      <c r="A5322" s="3">
        <v>63494</v>
      </c>
      <c r="B5322" s="7" t="s">
        <v>435</v>
      </c>
      <c r="C5322" s="41">
        <v>694</v>
      </c>
      <c r="D5322" s="6">
        <v>45689</v>
      </c>
      <c r="E5322" s="3" t="str">
        <f ca="1">IF(Tabela2[[#This Row],[Dt Venc:]]&gt;TODAY(),"Em Aberto",IF(Tabela2[[#This Row],[D/venc]]="-","Enviado",IF(Tabela2[[#This Row],[Dt Venc:]]=TODAY(),"Vence Hoje","Vencida")))</f>
        <v>Enviado</v>
      </c>
      <c r="F5322" s="3" t="str">
        <f ca="1">IF(G5322=1,"-",Tabela2[[#This Row],[Dt Venc:]]-TODAY())</f>
        <v>-</v>
      </c>
      <c r="G5322" s="3">
        <v>1</v>
      </c>
      <c r="H5322" s="3"/>
    </row>
    <row r="5323" spans="1:8" hidden="1">
      <c r="A5323" s="3">
        <v>155536</v>
      </c>
      <c r="B5323" s="7" t="s">
        <v>240</v>
      </c>
      <c r="C5323" s="41">
        <v>1233.33</v>
      </c>
      <c r="D5323" s="6">
        <v>45689</v>
      </c>
      <c r="E5323" s="3" t="str">
        <f ca="1">IF(Tabela2[[#This Row],[Dt Venc:]]&gt;TODAY(),"Em Aberto",IF(Tabela2[[#This Row],[D/venc]]="-","Enviado",IF(Tabela2[[#This Row],[Dt Venc:]]=TODAY(),"Vence Hoje","Vencida")))</f>
        <v>Enviado</v>
      </c>
      <c r="F5323" s="3" t="str">
        <f ca="1">IF(G5323=1,"-",Tabela2[[#This Row],[Dt Venc:]]-TODAY())</f>
        <v>-</v>
      </c>
      <c r="G5323" s="3">
        <v>1</v>
      </c>
      <c r="H5323" s="3"/>
    </row>
    <row r="5324" spans="1:8" hidden="1">
      <c r="A5324" s="3">
        <v>331118</v>
      </c>
      <c r="B5324" s="7" t="s">
        <v>240</v>
      </c>
      <c r="C5324" s="41">
        <v>817.33</v>
      </c>
      <c r="D5324" s="6">
        <v>45689</v>
      </c>
      <c r="E5324" s="3" t="str">
        <f ca="1">IF(Tabela2[[#This Row],[Dt Venc:]]&gt;TODAY(),"Em Aberto",IF(Tabela2[[#This Row],[D/venc]]="-","Enviado",IF(Tabela2[[#This Row],[Dt Venc:]]=TODAY(),"Vence Hoje","Vencida")))</f>
        <v>Enviado</v>
      </c>
      <c r="F5324" s="3" t="str">
        <f ca="1">IF(G5324=1,"-",Tabela2[[#This Row],[Dt Venc:]]-TODAY())</f>
        <v>-</v>
      </c>
      <c r="G5324" s="3">
        <v>1</v>
      </c>
      <c r="H5324" s="3"/>
    </row>
    <row r="5325" spans="1:8" hidden="1">
      <c r="A5325" s="3">
        <v>379023</v>
      </c>
      <c r="B5325" s="7" t="s">
        <v>441</v>
      </c>
      <c r="C5325" s="41">
        <v>1349.4</v>
      </c>
      <c r="D5325" s="6">
        <v>45689</v>
      </c>
      <c r="E5325" s="3" t="str">
        <f ca="1">IF(Tabela2[[#This Row],[Dt Venc:]]&gt;TODAY(),"Em Aberto",IF(Tabela2[[#This Row],[D/venc]]="-","Enviado",IF(Tabela2[[#This Row],[Dt Venc:]]=TODAY(),"Vence Hoje","Vencida")))</f>
        <v>Enviado</v>
      </c>
      <c r="F5325" s="3" t="str">
        <f ca="1">IF(G5325=1,"-",Tabela2[[#This Row],[Dt Venc:]]-TODAY())</f>
        <v>-</v>
      </c>
      <c r="G5325" s="3">
        <v>1</v>
      </c>
      <c r="H5325" s="3"/>
    </row>
    <row r="5326" spans="1:8" hidden="1">
      <c r="A5326" s="3" t="s">
        <v>110</v>
      </c>
      <c r="B5326" s="7" t="s">
        <v>395</v>
      </c>
      <c r="C5326" s="42" t="s">
        <v>32</v>
      </c>
      <c r="D5326" s="6">
        <v>45689</v>
      </c>
      <c r="E5326" s="3" t="str">
        <f ca="1">IF(Tabela2[[#This Row],[Dt Venc:]]&gt;TODAY(),"Em Aberto",IF(Tabela2[[#This Row],[D/venc]]="-","Enviado",IF(Tabela2[[#This Row],[Dt Venc:]]=TODAY(),"Vence Hoje","Vencida")))</f>
        <v>Enviado</v>
      </c>
      <c r="F5326" s="3" t="str">
        <f ca="1">IF(G5326=1,"-",Tabela2[[#This Row],[Dt Venc:]]-TODAY())</f>
        <v>-</v>
      </c>
      <c r="G5326" s="3">
        <v>1</v>
      </c>
      <c r="H5326" s="3"/>
    </row>
    <row r="5327" spans="1:8" hidden="1">
      <c r="A5327" s="3">
        <v>40</v>
      </c>
      <c r="B5327" s="7" t="s">
        <v>103</v>
      </c>
      <c r="C5327" s="41">
        <v>1650</v>
      </c>
      <c r="D5327" s="6">
        <v>45690</v>
      </c>
      <c r="E5327" s="3" t="str">
        <f ca="1">IF(Tabela2[[#This Row],[Dt Venc:]]&gt;TODAY(),"Em Aberto",IF(Tabela2[[#This Row],[D/venc]]="-","Enviado",IF(Tabela2[[#This Row],[Dt Venc:]]=TODAY(),"Vence Hoje","Vencida")))</f>
        <v>Enviado</v>
      </c>
      <c r="F5327" s="3" t="str">
        <f ca="1">IF(G5327=1,"-",Tabela2[[#This Row],[Dt Venc:]]-TODAY())</f>
        <v>-</v>
      </c>
      <c r="G5327" s="3">
        <v>1</v>
      </c>
      <c r="H5327" s="3"/>
    </row>
    <row r="5328" spans="1:8" hidden="1">
      <c r="A5328" s="3">
        <v>51</v>
      </c>
      <c r="B5328" s="7" t="s">
        <v>132</v>
      </c>
      <c r="C5328" s="41">
        <v>3331.67</v>
      </c>
      <c r="D5328" s="6">
        <v>45690</v>
      </c>
      <c r="E5328" s="3" t="str">
        <f ca="1">IF(Tabela2[[#This Row],[Dt Venc:]]&gt;TODAY(),"Em Aberto",IF(Tabela2[[#This Row],[D/venc]]="-","Enviado",IF(Tabela2[[#This Row],[Dt Venc:]]=TODAY(),"Vence Hoje","Vencida")))</f>
        <v>Enviado</v>
      </c>
      <c r="F5328" s="3" t="str">
        <f ca="1">IF(G5328=1,"-",Tabela2[[#This Row],[Dt Venc:]]-TODAY())</f>
        <v>-</v>
      </c>
      <c r="G5328" s="3">
        <v>1</v>
      </c>
      <c r="H5328" s="3"/>
    </row>
    <row r="5329" spans="1:8" hidden="1">
      <c r="A5329" s="3">
        <v>60</v>
      </c>
      <c r="B5329" s="7" t="s">
        <v>451</v>
      </c>
      <c r="C5329" s="41">
        <v>1996</v>
      </c>
      <c r="D5329" s="6">
        <v>45690</v>
      </c>
      <c r="E5329" s="3" t="str">
        <f ca="1">IF(Tabela2[[#This Row],[Dt Venc:]]&gt;TODAY(),"Em Aberto",IF(Tabela2[[#This Row],[D/venc]]="-","Enviado",IF(Tabela2[[#This Row],[Dt Venc:]]=TODAY(),"Vence Hoje","Vencida")))</f>
        <v>Enviado</v>
      </c>
      <c r="F5329" s="3" t="str">
        <f ca="1">IF(G5329=1,"-",Tabela2[[#This Row],[Dt Venc:]]-TODAY())</f>
        <v>-</v>
      </c>
      <c r="G5329" s="3">
        <v>1</v>
      </c>
      <c r="H5329" s="3"/>
    </row>
    <row r="5330" spans="1:8" hidden="1">
      <c r="A5330" s="3">
        <v>87</v>
      </c>
      <c r="B5330" s="7" t="s">
        <v>669</v>
      </c>
      <c r="C5330" s="41">
        <v>778</v>
      </c>
      <c r="D5330" s="6">
        <v>45690</v>
      </c>
      <c r="E5330" s="3" t="str">
        <f ca="1">IF(Tabela2[[#This Row],[Dt Venc:]]&gt;TODAY(),"Em Aberto",IF(Tabela2[[#This Row],[D/venc]]="-","Enviado",IF(Tabela2[[#This Row],[Dt Venc:]]=TODAY(),"Vence Hoje","Vencida")))</f>
        <v>Enviado</v>
      </c>
      <c r="F5330" s="3" t="str">
        <f ca="1">IF(G5330=1,"-",Tabela2[[#This Row],[Dt Venc:]]-TODAY())</f>
        <v>-</v>
      </c>
      <c r="G5330" s="3">
        <v>1</v>
      </c>
      <c r="H5330" s="3"/>
    </row>
    <row r="5331" spans="1:8" hidden="1">
      <c r="A5331" s="3">
        <v>6101</v>
      </c>
      <c r="B5331" s="7" t="s">
        <v>47</v>
      </c>
      <c r="C5331" s="41">
        <v>577.87</v>
      </c>
      <c r="D5331" s="6">
        <v>45690</v>
      </c>
      <c r="E5331" s="3" t="str">
        <f ca="1">IF(Tabela2[[#This Row],[Dt Venc:]]&gt;TODAY(),"Em Aberto",IF(Tabela2[[#This Row],[D/venc]]="-","Enviado",IF(Tabela2[[#This Row],[Dt Venc:]]=TODAY(),"Vence Hoje","Vencida")))</f>
        <v>Enviado</v>
      </c>
      <c r="F5331" s="3" t="str">
        <f ca="1">IF(G5331=1,"-",Tabela2[[#This Row],[Dt Venc:]]-TODAY())</f>
        <v>-</v>
      </c>
      <c r="G5331" s="3">
        <v>1</v>
      </c>
      <c r="H5331" s="3"/>
    </row>
    <row r="5332" spans="1:8" hidden="1">
      <c r="A5332" s="3">
        <v>5680</v>
      </c>
      <c r="B5332" s="7" t="s">
        <v>122</v>
      </c>
      <c r="C5332" s="99" t="s">
        <v>32</v>
      </c>
      <c r="D5332" s="6">
        <v>45693</v>
      </c>
      <c r="E5332" s="3" t="str">
        <f ca="1">IF(Tabela2[[#This Row],[Dt Venc:]]&gt;TODAY(),"Em Aberto",IF(Tabela2[[#This Row],[D/venc]]="-","Enviado",IF(Tabela2[[#This Row],[Dt Venc:]]=TODAY(),"Vence Hoje","Vencida")))</f>
        <v>Enviado</v>
      </c>
      <c r="F5332" s="3" t="str">
        <f ca="1">IF(G5332=1,"-",Tabela2[[#This Row],[Dt Venc:]]-TODAY())</f>
        <v>-</v>
      </c>
      <c r="G5332" s="3">
        <v>1</v>
      </c>
      <c r="H5332" s="3"/>
    </row>
    <row r="5333" spans="1:8" hidden="1">
      <c r="A5333" s="3" t="s">
        <v>28</v>
      </c>
      <c r="B5333" s="7" t="s">
        <v>124</v>
      </c>
      <c r="C5333" s="100" t="s">
        <v>32</v>
      </c>
      <c r="D5333" s="6">
        <v>45693</v>
      </c>
      <c r="E5333" s="3" t="str">
        <f ca="1">IF(Tabela2[[#This Row],[Dt Venc:]]&gt;TODAY(),"Em Aberto",IF(Tabela2[[#This Row],[D/venc]]="-","Enviado",IF(Tabela2[[#This Row],[Dt Venc:]]=TODAY(),"Vence Hoje","Vencida")))</f>
        <v>Enviado</v>
      </c>
      <c r="F5333" s="3" t="str">
        <f ca="1">IF(G5333=1,"-",Tabela2[[#This Row],[Dt Venc:]]-TODAY())</f>
        <v>-</v>
      </c>
      <c r="G5333" s="3">
        <v>1</v>
      </c>
      <c r="H5333" s="3"/>
    </row>
    <row r="5334" spans="1:8" hidden="1">
      <c r="A5334" s="3">
        <v>11298</v>
      </c>
      <c r="B5334" s="7" t="s">
        <v>33</v>
      </c>
      <c r="C5334" s="41">
        <v>1303.3399999999999</v>
      </c>
      <c r="D5334" s="6">
        <v>45690</v>
      </c>
      <c r="E5334" s="3" t="str">
        <f ca="1">IF(Tabela2[[#This Row],[Dt Venc:]]&gt;TODAY(),"Em Aberto",IF(Tabela2[[#This Row],[D/venc]]="-","Enviado",IF(Tabela2[[#This Row],[Dt Venc:]]=TODAY(),"Vence Hoje","Vencida")))</f>
        <v>Enviado</v>
      </c>
      <c r="F5334" s="3" t="str">
        <f ca="1">IF(G5334=1,"-",Tabela2[[#This Row],[Dt Venc:]]-TODAY())</f>
        <v>-</v>
      </c>
      <c r="G5334" s="3">
        <v>1</v>
      </c>
      <c r="H5334" s="3"/>
    </row>
    <row r="5335" spans="1:8" hidden="1">
      <c r="A5335" s="3">
        <v>12429</v>
      </c>
      <c r="B5335" s="7" t="s">
        <v>72</v>
      </c>
      <c r="C5335" s="41">
        <v>1033.3399999999999</v>
      </c>
      <c r="D5335" s="6">
        <v>45690</v>
      </c>
      <c r="E5335" s="3" t="str">
        <f ca="1">IF(Tabela2[[#This Row],[Dt Venc:]]&gt;TODAY(),"Em Aberto",IF(Tabela2[[#This Row],[D/venc]]="-","Enviado",IF(Tabela2[[#This Row],[Dt Venc:]]=TODAY(),"Vence Hoje","Vencida")))</f>
        <v>Enviado</v>
      </c>
      <c r="F5335" s="3" t="str">
        <f ca="1">IF(G5335=1,"-",Tabela2[[#This Row],[Dt Venc:]]-TODAY())</f>
        <v>-</v>
      </c>
      <c r="G5335" s="3">
        <v>1</v>
      </c>
      <c r="H5335" s="3"/>
    </row>
    <row r="5336" spans="1:8" hidden="1">
      <c r="A5336" s="3">
        <v>12430</v>
      </c>
      <c r="B5336" s="7" t="s">
        <v>72</v>
      </c>
      <c r="C5336" s="41">
        <v>1033.3399999999999</v>
      </c>
      <c r="D5336" s="6">
        <v>45690</v>
      </c>
      <c r="E5336" s="3" t="str">
        <f ca="1">IF(Tabela2[[#This Row],[Dt Venc:]]&gt;TODAY(),"Em Aberto",IF(Tabela2[[#This Row],[D/venc]]="-","Enviado",IF(Tabela2[[#This Row],[Dt Venc:]]=TODAY(),"Vence Hoje","Vencida")))</f>
        <v>Enviado</v>
      </c>
      <c r="F5336" s="3" t="str">
        <f ca="1">IF(G5336=1,"-",Tabela2[[#This Row],[Dt Venc:]]-TODAY())</f>
        <v>-</v>
      </c>
      <c r="G5336" s="3">
        <v>1</v>
      </c>
      <c r="H5336" s="3"/>
    </row>
    <row r="5337" spans="1:8" hidden="1">
      <c r="A5337" s="3">
        <v>12442</v>
      </c>
      <c r="B5337" s="7" t="s">
        <v>174</v>
      </c>
      <c r="C5337" s="41">
        <v>1566.66</v>
      </c>
      <c r="D5337" s="6">
        <v>45690</v>
      </c>
      <c r="E5337" s="3" t="str">
        <f ca="1">IF(Tabela2[[#This Row],[Dt Venc:]]&gt;TODAY(),"Em Aberto",IF(Tabela2[[#This Row],[D/venc]]="-","Enviado",IF(Tabela2[[#This Row],[Dt Venc:]]=TODAY(),"Vence Hoje","Vencida")))</f>
        <v>Enviado</v>
      </c>
      <c r="F5337" s="3" t="str">
        <f ca="1">IF(G5337=1,"-",Tabela2[[#This Row],[Dt Venc:]]-TODAY())</f>
        <v>-</v>
      </c>
      <c r="G5337" s="3">
        <v>1</v>
      </c>
      <c r="H5337" s="3"/>
    </row>
    <row r="5338" spans="1:8" hidden="1">
      <c r="A5338" s="3">
        <v>31134</v>
      </c>
      <c r="B5338" s="7" t="s">
        <v>97</v>
      </c>
      <c r="C5338" s="41">
        <v>2285</v>
      </c>
      <c r="D5338" s="6">
        <v>45690</v>
      </c>
      <c r="E5338" s="3" t="str">
        <f ca="1">IF(Tabela2[[#This Row],[Dt Venc:]]&gt;TODAY(),"Em Aberto",IF(Tabela2[[#This Row],[D/venc]]="-","Enviado",IF(Tabela2[[#This Row],[Dt Venc:]]=TODAY(),"Vence Hoje","Vencida")))</f>
        <v>Enviado</v>
      </c>
      <c r="F5338" s="3" t="str">
        <f ca="1">IF(G5338=1,"-",Tabela2[[#This Row],[Dt Venc:]]-TODAY())</f>
        <v>-</v>
      </c>
      <c r="G5338" s="3">
        <v>1</v>
      </c>
      <c r="H5338" s="3"/>
    </row>
    <row r="5339" spans="1:8" hidden="1">
      <c r="A5339" s="3">
        <v>92796</v>
      </c>
      <c r="B5339" s="7" t="s">
        <v>212</v>
      </c>
      <c r="C5339" s="41">
        <v>998</v>
      </c>
      <c r="D5339" s="6">
        <v>45690</v>
      </c>
      <c r="E5339" s="3" t="str">
        <f ca="1">IF(Tabela2[[#This Row],[Dt Venc:]]&gt;TODAY(),"Em Aberto",IF(Tabela2[[#This Row],[D/venc]]="-","Enviado",IF(Tabela2[[#This Row],[Dt Venc:]]=TODAY(),"Vence Hoje","Vencida")))</f>
        <v>Enviado</v>
      </c>
      <c r="F5339" s="3" t="str">
        <f ca="1">IF(G5339=1,"-",Tabela2[[#This Row],[Dt Venc:]]-TODAY())</f>
        <v>-</v>
      </c>
      <c r="G5339" s="3">
        <v>1</v>
      </c>
      <c r="H5339" s="3"/>
    </row>
    <row r="5340" spans="1:8" hidden="1">
      <c r="A5340" s="3">
        <v>154104</v>
      </c>
      <c r="B5340" s="7" t="s">
        <v>77</v>
      </c>
      <c r="C5340" s="41">
        <v>433.33</v>
      </c>
      <c r="D5340" s="6">
        <v>45690</v>
      </c>
      <c r="E5340" s="3" t="str">
        <f ca="1">IF(Tabela2[[#This Row],[Dt Venc:]]&gt;TODAY(),"Em Aberto",IF(Tabela2[[#This Row],[D/venc]]="-","Enviado",IF(Tabela2[[#This Row],[Dt Venc:]]=TODAY(),"Vence Hoje","Vencida")))</f>
        <v>Enviado</v>
      </c>
      <c r="F5340" s="3" t="str">
        <f ca="1">IF(G5340=1,"-",Tabela2[[#This Row],[Dt Venc:]]-TODAY())</f>
        <v>-</v>
      </c>
      <c r="G5340" s="3">
        <v>1</v>
      </c>
      <c r="H5340" s="3"/>
    </row>
    <row r="5341" spans="1:8" hidden="1">
      <c r="A5341" s="3">
        <v>154106</v>
      </c>
      <c r="B5341" s="7" t="s">
        <v>77</v>
      </c>
      <c r="C5341" s="41">
        <v>773.33</v>
      </c>
      <c r="D5341" s="6">
        <v>45690</v>
      </c>
      <c r="E5341" s="3" t="str">
        <f ca="1">IF(Tabela2[[#This Row],[Dt Venc:]]&gt;TODAY(),"Em Aberto",IF(Tabela2[[#This Row],[D/venc]]="-","Enviado",IF(Tabela2[[#This Row],[Dt Venc:]]=TODAY(),"Vence Hoje","Vencida")))</f>
        <v>Enviado</v>
      </c>
      <c r="F5341" s="3" t="str">
        <f ca="1">IF(G5341=1,"-",Tabela2[[#This Row],[Dt Venc:]]-TODAY())</f>
        <v>-</v>
      </c>
      <c r="G5341" s="3">
        <v>1</v>
      </c>
      <c r="H5341" s="3"/>
    </row>
    <row r="5342" spans="1:8" hidden="1">
      <c r="A5342" s="3">
        <v>154963</v>
      </c>
      <c r="B5342" s="7" t="s">
        <v>77</v>
      </c>
      <c r="C5342" s="41">
        <v>773.33</v>
      </c>
      <c r="D5342" s="6">
        <v>45690</v>
      </c>
      <c r="E5342" s="3" t="str">
        <f ca="1">IF(Tabela2[[#This Row],[Dt Venc:]]&gt;TODAY(),"Em Aberto",IF(Tabela2[[#This Row],[D/venc]]="-","Enviado",IF(Tabela2[[#This Row],[Dt Venc:]]=TODAY(),"Vence Hoje","Vencida")))</f>
        <v>Enviado</v>
      </c>
      <c r="F5342" s="3" t="str">
        <f ca="1">IF(G5342=1,"-",Tabela2[[#This Row],[Dt Venc:]]-TODAY())</f>
        <v>-</v>
      </c>
      <c r="G5342" s="3">
        <v>1</v>
      </c>
      <c r="H5342" s="3"/>
    </row>
    <row r="5343" spans="1:8" hidden="1">
      <c r="A5343" s="3">
        <v>177406</v>
      </c>
      <c r="B5343" s="7" t="s">
        <v>174</v>
      </c>
      <c r="C5343" s="41">
        <v>990</v>
      </c>
      <c r="D5343" s="6">
        <v>45690</v>
      </c>
      <c r="E5343" s="3" t="str">
        <f ca="1">IF(Tabela2[[#This Row],[Dt Venc:]]&gt;TODAY(),"Em Aberto",IF(Tabela2[[#This Row],[D/venc]]="-","Enviado",IF(Tabela2[[#This Row],[Dt Venc:]]=TODAY(),"Vence Hoje","Vencida")))</f>
        <v>Enviado</v>
      </c>
      <c r="F5343" s="3" t="str">
        <f ca="1">IF(G5343=1,"-",Tabela2[[#This Row],[Dt Venc:]]-TODAY())</f>
        <v>-</v>
      </c>
      <c r="G5343" s="3">
        <v>1</v>
      </c>
      <c r="H5343" s="3"/>
    </row>
    <row r="5344" spans="1:8" hidden="1">
      <c r="A5344" s="3">
        <v>224398</v>
      </c>
      <c r="B5344" s="7" t="s">
        <v>127</v>
      </c>
      <c r="C5344" s="41">
        <v>1901.68</v>
      </c>
      <c r="D5344" s="6">
        <v>45690</v>
      </c>
      <c r="E5344" s="3" t="str">
        <f ca="1">IF(Tabela2[[#This Row],[Dt Venc:]]&gt;TODAY(),"Em Aberto",IF(Tabela2[[#This Row],[D/venc]]="-","Enviado",IF(Tabela2[[#This Row],[Dt Venc:]]=TODAY(),"Vence Hoje","Vencida")))</f>
        <v>Enviado</v>
      </c>
      <c r="F5344" s="3" t="str">
        <f ca="1">IF(G5344=1,"-",Tabela2[[#This Row],[Dt Venc:]]-TODAY())</f>
        <v>-</v>
      </c>
      <c r="G5344" s="3">
        <v>1</v>
      </c>
      <c r="H5344" s="3"/>
    </row>
    <row r="5345" spans="1:8" hidden="1">
      <c r="A5345" s="3">
        <v>250571</v>
      </c>
      <c r="B5345" s="7" t="s">
        <v>511</v>
      </c>
      <c r="C5345" s="41">
        <v>5320</v>
      </c>
      <c r="D5345" s="6">
        <v>45690</v>
      </c>
      <c r="E5345" s="3" t="str">
        <f ca="1">IF(Tabela2[[#This Row],[Dt Venc:]]&gt;TODAY(),"Em Aberto",IF(Tabela2[[#This Row],[D/venc]]="-","Enviado",IF(Tabela2[[#This Row],[Dt Venc:]]=TODAY(),"Vence Hoje","Vencida")))</f>
        <v>Enviado</v>
      </c>
      <c r="F5345" s="3" t="str">
        <f ca="1">IF(G5345=1,"-",Tabela2[[#This Row],[Dt Venc:]]-TODAY())</f>
        <v>-</v>
      </c>
      <c r="G5345" s="3">
        <v>1</v>
      </c>
      <c r="H5345" s="3"/>
    </row>
    <row r="5346" spans="1:8" hidden="1">
      <c r="A5346" s="3">
        <v>431415</v>
      </c>
      <c r="B5346" s="7" t="s">
        <v>89</v>
      </c>
      <c r="C5346" s="41">
        <v>1935.03</v>
      </c>
      <c r="D5346" s="6">
        <v>45690</v>
      </c>
      <c r="E5346" s="3" t="str">
        <f ca="1">IF(Tabela2[[#This Row],[Dt Venc:]]&gt;TODAY(),"Em Aberto",IF(Tabela2[[#This Row],[D/venc]]="-","Enviado",IF(Tabela2[[#This Row],[Dt Venc:]]=TODAY(),"Vence Hoje","Vencida")))</f>
        <v>Enviado</v>
      </c>
      <c r="F5346" s="3" t="str">
        <f ca="1">IF(G5346=1,"-",Tabela2[[#This Row],[Dt Venc:]]-TODAY())</f>
        <v>-</v>
      </c>
      <c r="G5346" s="3">
        <v>1</v>
      </c>
      <c r="H5346" s="3"/>
    </row>
    <row r="5347" spans="1:8" hidden="1">
      <c r="A5347" s="3">
        <v>49</v>
      </c>
      <c r="B5347" s="7" t="s">
        <v>103</v>
      </c>
      <c r="C5347" s="41">
        <v>1390</v>
      </c>
      <c r="D5347" s="6">
        <v>45691</v>
      </c>
      <c r="E5347" s="3" t="str">
        <f ca="1">IF(Tabela2[[#This Row],[Dt Venc:]]&gt;TODAY(),"Em Aberto",IF(Tabela2[[#This Row],[D/venc]]="-","Enviado",IF(Tabela2[[#This Row],[Dt Venc:]]=TODAY(),"Vence Hoje","Vencida")))</f>
        <v>Enviado</v>
      </c>
      <c r="F5347" s="3" t="str">
        <f ca="1">IF(G5347=1,"-",Tabela2[[#This Row],[Dt Venc:]]-TODAY())</f>
        <v>-</v>
      </c>
      <c r="G5347" s="3">
        <v>1</v>
      </c>
      <c r="H5347" s="3"/>
    </row>
    <row r="5348" spans="1:8" hidden="1">
      <c r="A5348" s="3">
        <v>223</v>
      </c>
      <c r="B5348" s="7" t="s">
        <v>640</v>
      </c>
      <c r="C5348" s="41">
        <v>910</v>
      </c>
      <c r="D5348" s="6">
        <v>45691</v>
      </c>
      <c r="E5348" s="3" t="str">
        <f ca="1">IF(Tabela2[[#This Row],[Dt Venc:]]&gt;TODAY(),"Em Aberto",IF(Tabela2[[#This Row],[D/venc]]="-","Enviado",IF(Tabela2[[#This Row],[Dt Venc:]]=TODAY(),"Vence Hoje","Vencida")))</f>
        <v>Enviado</v>
      </c>
      <c r="F5348" s="3" t="str">
        <f ca="1">IF(G5348=1,"-",Tabela2[[#This Row],[Dt Venc:]]-TODAY())</f>
        <v>-</v>
      </c>
      <c r="G5348" s="3">
        <v>1</v>
      </c>
      <c r="H5348" s="3"/>
    </row>
    <row r="5349" spans="1:8" hidden="1">
      <c r="A5349" s="3">
        <v>912</v>
      </c>
      <c r="B5349" s="7" t="s">
        <v>363</v>
      </c>
      <c r="C5349" s="41">
        <v>1166.67</v>
      </c>
      <c r="D5349" s="6">
        <v>45691</v>
      </c>
      <c r="E5349" s="3" t="str">
        <f ca="1">IF(Tabela2[[#This Row],[Dt Venc:]]&gt;TODAY(),"Em Aberto",IF(Tabela2[[#This Row],[D/venc]]="-","Enviado",IF(Tabela2[[#This Row],[Dt Venc:]]=TODAY(),"Vence Hoje","Vencida")))</f>
        <v>Enviado</v>
      </c>
      <c r="F5349" s="3" t="str">
        <f ca="1">IF(G5349=1,"-",Tabela2[[#This Row],[Dt Venc:]]-TODAY())</f>
        <v>-</v>
      </c>
      <c r="G5349" s="3">
        <v>1</v>
      </c>
      <c r="H5349" s="3"/>
    </row>
    <row r="5350" spans="1:8" hidden="1">
      <c r="A5350" s="3">
        <v>912</v>
      </c>
      <c r="B5350" s="7" t="s">
        <v>363</v>
      </c>
      <c r="C5350" s="41">
        <v>1166.67</v>
      </c>
      <c r="D5350" s="6">
        <v>45691</v>
      </c>
      <c r="E5350" s="3" t="str">
        <f ca="1">IF(Tabela2[[#This Row],[Dt Venc:]]&gt;TODAY(),"Em Aberto",IF(Tabela2[[#This Row],[D/venc]]="-","Enviado",IF(Tabela2[[#This Row],[Dt Venc:]]=TODAY(),"Vence Hoje","Vencida")))</f>
        <v>Enviado</v>
      </c>
      <c r="F5350" s="3" t="str">
        <f ca="1">IF(G5350=1,"-",Tabela2[[#This Row],[Dt Venc:]]-TODAY())</f>
        <v>-</v>
      </c>
      <c r="G5350" s="3">
        <v>1</v>
      </c>
      <c r="H5350" s="3"/>
    </row>
    <row r="5351" spans="1:8" hidden="1">
      <c r="A5351" s="3">
        <v>1264</v>
      </c>
      <c r="B5351" s="7" t="s">
        <v>559</v>
      </c>
      <c r="C5351" s="41">
        <v>750</v>
      </c>
      <c r="D5351" s="6">
        <v>45691</v>
      </c>
      <c r="E5351" s="3" t="str">
        <f ca="1">IF(Tabela2[[#This Row],[Dt Venc:]]&gt;TODAY(),"Em Aberto",IF(Tabela2[[#This Row],[D/venc]]="-","Enviado",IF(Tabela2[[#This Row],[Dt Venc:]]=TODAY(),"Vence Hoje","Vencida")))</f>
        <v>Enviado</v>
      </c>
      <c r="F5351" s="3" t="str">
        <f ca="1">IF(G5351=1,"-",Tabela2[[#This Row],[Dt Venc:]]-TODAY())</f>
        <v>-</v>
      </c>
      <c r="G5351" s="3">
        <v>1</v>
      </c>
      <c r="H5351" s="3"/>
    </row>
    <row r="5352" spans="1:8" hidden="1">
      <c r="A5352" s="3">
        <v>1780</v>
      </c>
      <c r="B5352" s="7" t="s">
        <v>135</v>
      </c>
      <c r="C5352" s="41">
        <v>685</v>
      </c>
      <c r="D5352" s="6">
        <v>45691</v>
      </c>
      <c r="E5352" s="3" t="str">
        <f ca="1">IF(Tabela2[[#This Row],[Dt Venc:]]&gt;TODAY(),"Em Aberto",IF(Tabela2[[#This Row],[D/venc]]="-","Enviado",IF(Tabela2[[#This Row],[Dt Venc:]]=TODAY(),"Vence Hoje","Vencida")))</f>
        <v>Enviado</v>
      </c>
      <c r="F5352" s="3" t="str">
        <f ca="1">IF(G5352=1,"-",Tabela2[[#This Row],[Dt Venc:]]-TODAY())</f>
        <v>-</v>
      </c>
      <c r="G5352" s="3">
        <v>1</v>
      </c>
      <c r="H5352" s="3"/>
    </row>
    <row r="5353" spans="1:8" hidden="1">
      <c r="A5353" s="3">
        <v>1788</v>
      </c>
      <c r="B5353" s="7" t="s">
        <v>135</v>
      </c>
      <c r="C5353" s="41">
        <v>6667.49</v>
      </c>
      <c r="D5353" s="6">
        <v>45691</v>
      </c>
      <c r="E5353" s="3" t="str">
        <f ca="1">IF(Tabela2[[#This Row],[Dt Venc:]]&gt;TODAY(),"Em Aberto",IF(Tabela2[[#This Row],[D/venc]]="-","Enviado",IF(Tabela2[[#This Row],[Dt Venc:]]=TODAY(),"Vence Hoje","Vencida")))</f>
        <v>Enviado</v>
      </c>
      <c r="F5353" s="3" t="str">
        <f ca="1">IF(G5353=1,"-",Tabela2[[#This Row],[Dt Venc:]]-TODAY())</f>
        <v>-</v>
      </c>
      <c r="G5353" s="3">
        <v>1</v>
      </c>
      <c r="H5353" s="3"/>
    </row>
    <row r="5354" spans="1:8" hidden="1">
      <c r="A5354" s="3">
        <v>1802</v>
      </c>
      <c r="B5354" s="7" t="s">
        <v>135</v>
      </c>
      <c r="C5354" s="41">
        <v>6846.94</v>
      </c>
      <c r="D5354" s="6">
        <v>45691</v>
      </c>
      <c r="E5354" s="3" t="str">
        <f ca="1">IF(Tabela2[[#This Row],[Dt Venc:]]&gt;TODAY(),"Em Aberto",IF(Tabela2[[#This Row],[D/venc]]="-","Enviado",IF(Tabela2[[#This Row],[Dt Venc:]]=TODAY(),"Vence Hoje","Vencida")))</f>
        <v>Enviado</v>
      </c>
      <c r="F5354" s="3" t="str">
        <f ca="1">IF(G5354=1,"-",Tabela2[[#This Row],[Dt Venc:]]-TODAY())</f>
        <v>-</v>
      </c>
      <c r="G5354" s="3">
        <v>1</v>
      </c>
      <c r="H5354" s="3"/>
    </row>
    <row r="5355" spans="1:8" hidden="1">
      <c r="A5355" s="3">
        <v>3109</v>
      </c>
      <c r="B5355" s="7" t="s">
        <v>518</v>
      </c>
      <c r="C5355" s="41">
        <v>386.34</v>
      </c>
      <c r="D5355" s="6">
        <v>45691</v>
      </c>
      <c r="E5355" s="3" t="str">
        <f ca="1">IF(Tabela2[[#This Row],[Dt Venc:]]&gt;TODAY(),"Em Aberto",IF(Tabela2[[#This Row],[D/venc]]="-","Enviado",IF(Tabela2[[#This Row],[Dt Venc:]]=TODAY(),"Vence Hoje","Vencida")))</f>
        <v>Enviado</v>
      </c>
      <c r="F5355" s="3" t="str">
        <f ca="1">IF(G5355=1,"-",Tabela2[[#This Row],[Dt Venc:]]-TODAY())</f>
        <v>-</v>
      </c>
      <c r="G5355" s="3">
        <v>1</v>
      </c>
      <c r="H5355" s="3"/>
    </row>
    <row r="5356" spans="1:8" hidden="1">
      <c r="A5356" s="3">
        <v>5088</v>
      </c>
      <c r="B5356" s="7" t="s">
        <v>463</v>
      </c>
      <c r="C5356" s="41">
        <v>2227.85</v>
      </c>
      <c r="D5356" s="6">
        <v>45691</v>
      </c>
      <c r="E5356" s="3" t="str">
        <f ca="1">IF(Tabela2[[#This Row],[Dt Venc:]]&gt;TODAY(),"Em Aberto",IF(Tabela2[[#This Row],[D/venc]]="-","Enviado",IF(Tabela2[[#This Row],[Dt Venc:]]=TODAY(),"Vence Hoje","Vencida")))</f>
        <v>Enviado</v>
      </c>
      <c r="F5356" s="3" t="str">
        <f ca="1">IF(G5356=1,"-",Tabela2[[#This Row],[Dt Venc:]]-TODAY())</f>
        <v>-</v>
      </c>
      <c r="G5356" s="3">
        <v>1</v>
      </c>
      <c r="H5356" s="3"/>
    </row>
    <row r="5357" spans="1:8" hidden="1">
      <c r="A5357" s="3">
        <v>5552</v>
      </c>
      <c r="B5357" s="7" t="s">
        <v>515</v>
      </c>
      <c r="C5357" s="41">
        <v>485.75</v>
      </c>
      <c r="D5357" s="6">
        <v>45691</v>
      </c>
      <c r="E5357" s="3" t="str">
        <f ca="1">IF(Tabela2[[#This Row],[Dt Venc:]]&gt;TODAY(),"Em Aberto",IF(Tabela2[[#This Row],[D/venc]]="-","Enviado",IF(Tabela2[[#This Row],[Dt Venc:]]=TODAY(),"Vence Hoje","Vencida")))</f>
        <v>Enviado</v>
      </c>
      <c r="F5357" s="3" t="str">
        <f ca="1">IF(G5357=1,"-",Tabela2[[#This Row],[Dt Venc:]]-TODAY())</f>
        <v>-</v>
      </c>
      <c r="G5357" s="3">
        <v>1</v>
      </c>
      <c r="H5357" s="3"/>
    </row>
    <row r="5358" spans="1:8" hidden="1">
      <c r="A5358" s="3">
        <v>6123</v>
      </c>
      <c r="B5358" s="7" t="s">
        <v>140</v>
      </c>
      <c r="C5358" s="41">
        <v>2682</v>
      </c>
      <c r="D5358" s="6">
        <v>45691</v>
      </c>
      <c r="E5358" s="3" t="str">
        <f ca="1">IF(Tabela2[[#This Row],[Dt Venc:]]&gt;TODAY(),"Em Aberto",IF(Tabela2[[#This Row],[D/venc]]="-","Enviado",IF(Tabela2[[#This Row],[Dt Venc:]]=TODAY(),"Vence Hoje","Vencida")))</f>
        <v>Enviado</v>
      </c>
      <c r="F5358" s="3" t="str">
        <f ca="1">IF(G5358=1,"-",Tabela2[[#This Row],[Dt Venc:]]-TODAY())</f>
        <v>-</v>
      </c>
      <c r="G5358" s="3">
        <v>1</v>
      </c>
      <c r="H5358" s="3"/>
    </row>
    <row r="5359" spans="1:8" hidden="1">
      <c r="A5359" s="3">
        <v>6237</v>
      </c>
      <c r="B5359" s="7" t="s">
        <v>47</v>
      </c>
      <c r="C5359" s="41">
        <v>2040.36</v>
      </c>
      <c r="D5359" s="6">
        <v>45691</v>
      </c>
      <c r="E5359" s="3" t="str">
        <f ca="1">IF(Tabela2[[#This Row],[Dt Venc:]]&gt;TODAY(),"Em Aberto",IF(Tabela2[[#This Row],[D/venc]]="-","Enviado",IF(Tabela2[[#This Row],[Dt Venc:]]=TODAY(),"Vence Hoje","Vencida")))</f>
        <v>Enviado</v>
      </c>
      <c r="F5359" s="3" t="str">
        <f ca="1">IF(G5359=1,"-",Tabela2[[#This Row],[Dt Venc:]]-TODAY())</f>
        <v>-</v>
      </c>
      <c r="G5359" s="3">
        <v>1</v>
      </c>
      <c r="H5359" s="3"/>
    </row>
    <row r="5360" spans="1:8" hidden="1">
      <c r="A5360" s="3">
        <v>6518</v>
      </c>
      <c r="B5360" s="7" t="s">
        <v>291</v>
      </c>
      <c r="C5360" s="41">
        <v>5872.5</v>
      </c>
      <c r="D5360" s="6">
        <v>45691</v>
      </c>
      <c r="E5360" s="3" t="str">
        <f ca="1">IF(Tabela2[[#This Row],[Dt Venc:]]&gt;TODAY(),"Em Aberto",IF(Tabela2[[#This Row],[D/venc]]="-","Enviado",IF(Tabela2[[#This Row],[Dt Venc:]]=TODAY(),"Vence Hoje","Vencida")))</f>
        <v>Enviado</v>
      </c>
      <c r="F5360" s="3" t="str">
        <f ca="1">IF(G5360=1,"-",Tabela2[[#This Row],[Dt Venc:]]-TODAY())</f>
        <v>-</v>
      </c>
      <c r="G5360" s="3">
        <v>1</v>
      </c>
      <c r="H5360" s="3"/>
    </row>
    <row r="5361" spans="1:8" hidden="1">
      <c r="A5361" s="3">
        <v>13582</v>
      </c>
      <c r="B5361" s="7" t="s">
        <v>105</v>
      </c>
      <c r="C5361" s="41">
        <v>4000</v>
      </c>
      <c r="D5361" s="6">
        <v>45691</v>
      </c>
      <c r="E5361" s="3" t="str">
        <f ca="1">IF(Tabela2[[#This Row],[Dt Venc:]]&gt;TODAY(),"Em Aberto",IF(Tabela2[[#This Row],[D/venc]]="-","Enviado",IF(Tabela2[[#This Row],[Dt Venc:]]=TODAY(),"Vence Hoje","Vencida")))</f>
        <v>Enviado</v>
      </c>
      <c r="F5361" s="3" t="str">
        <f ca="1">IF(G5361=1,"-",Tabela2[[#This Row],[Dt Venc:]]-TODAY())</f>
        <v>-</v>
      </c>
      <c r="G5361" s="3">
        <v>1</v>
      </c>
      <c r="H5361" s="3"/>
    </row>
    <row r="5362" spans="1:8" hidden="1">
      <c r="A5362" s="3">
        <v>24019</v>
      </c>
      <c r="B5362" s="7" t="s">
        <v>38</v>
      </c>
      <c r="C5362" s="41">
        <v>400</v>
      </c>
      <c r="D5362" s="6">
        <v>45691</v>
      </c>
      <c r="E5362" s="3" t="str">
        <f ca="1">IF(Tabela2[[#This Row],[Dt Venc:]]&gt;TODAY(),"Em Aberto",IF(Tabela2[[#This Row],[D/venc]]="-","Enviado",IF(Tabela2[[#This Row],[Dt Venc:]]=TODAY(),"Vence Hoje","Vencida")))</f>
        <v>Enviado</v>
      </c>
      <c r="F5362" s="3" t="str">
        <f ca="1">IF(G5362=1,"-",Tabela2[[#This Row],[Dt Venc:]]-TODAY())</f>
        <v>-</v>
      </c>
      <c r="G5362" s="3">
        <v>1</v>
      </c>
      <c r="H5362" s="3"/>
    </row>
    <row r="5363" spans="1:8" hidden="1">
      <c r="A5363" s="3">
        <v>24036</v>
      </c>
      <c r="B5363" s="7" t="s">
        <v>600</v>
      </c>
      <c r="C5363" s="41">
        <v>639.33000000000004</v>
      </c>
      <c r="D5363" s="6">
        <v>45691</v>
      </c>
      <c r="E5363" s="3" t="str">
        <f ca="1">IF(Tabela2[[#This Row],[Dt Venc:]]&gt;TODAY(),"Em Aberto",IF(Tabela2[[#This Row],[D/venc]]="-","Enviado",IF(Tabela2[[#This Row],[Dt Venc:]]=TODAY(),"Vence Hoje","Vencida")))</f>
        <v>Enviado</v>
      </c>
      <c r="F5363" s="3" t="str">
        <f ca="1">IF(G5363=1,"-",Tabela2[[#This Row],[Dt Venc:]]-TODAY())</f>
        <v>-</v>
      </c>
      <c r="G5363" s="3">
        <v>1</v>
      </c>
      <c r="H5363" s="3"/>
    </row>
    <row r="5364" spans="1:8" hidden="1">
      <c r="A5364" s="3">
        <v>30582</v>
      </c>
      <c r="B5364" s="7" t="s">
        <v>97</v>
      </c>
      <c r="C5364" s="41">
        <v>1711</v>
      </c>
      <c r="D5364" s="6">
        <v>45691</v>
      </c>
      <c r="E5364" s="3" t="str">
        <f ca="1">IF(Tabela2[[#This Row],[Dt Venc:]]&gt;TODAY(),"Em Aberto",IF(Tabela2[[#This Row],[D/venc]]="-","Enviado",IF(Tabela2[[#This Row],[Dt Venc:]]=TODAY(),"Vence Hoje","Vencida")))</f>
        <v>Enviado</v>
      </c>
      <c r="F5364" s="3" t="str">
        <f ca="1">IF(G5364=1,"-",Tabela2[[#This Row],[Dt Venc:]]-TODAY())</f>
        <v>-</v>
      </c>
      <c r="G5364" s="3">
        <v>1</v>
      </c>
      <c r="H5364" s="3"/>
    </row>
    <row r="5365" spans="1:8" hidden="1">
      <c r="A5365" s="3">
        <v>33999</v>
      </c>
      <c r="B5365" s="7" t="s">
        <v>70</v>
      </c>
      <c r="C5365" s="41">
        <v>2214.0300000000002</v>
      </c>
      <c r="D5365" s="6">
        <v>45691</v>
      </c>
      <c r="E5365" s="3" t="str">
        <f ca="1">IF(Tabela2[[#This Row],[Dt Venc:]]&gt;TODAY(),"Em Aberto",IF(Tabela2[[#This Row],[D/venc]]="-","Enviado",IF(Tabela2[[#This Row],[Dt Venc:]]=TODAY(),"Vence Hoje","Vencida")))</f>
        <v>Enviado</v>
      </c>
      <c r="F5365" s="3" t="str">
        <f ca="1">IF(G5365=1,"-",Tabela2[[#This Row],[Dt Venc:]]-TODAY())</f>
        <v>-</v>
      </c>
      <c r="G5365" s="3">
        <v>1</v>
      </c>
      <c r="H5365" s="3"/>
    </row>
    <row r="5366" spans="1:8" hidden="1">
      <c r="A5366" s="3">
        <v>34085</v>
      </c>
      <c r="B5366" s="7" t="s">
        <v>70</v>
      </c>
      <c r="C5366" s="41">
        <v>640.54</v>
      </c>
      <c r="D5366" s="6">
        <v>45691</v>
      </c>
      <c r="E5366" s="3" t="str">
        <f ca="1">IF(Tabela2[[#This Row],[Dt Venc:]]&gt;TODAY(),"Em Aberto",IF(Tabela2[[#This Row],[D/venc]]="-","Enviado",IF(Tabela2[[#This Row],[Dt Venc:]]=TODAY(),"Vence Hoje","Vencida")))</f>
        <v>Enviado</v>
      </c>
      <c r="F5366" s="3" t="str">
        <f ca="1">IF(G5366=1,"-",Tabela2[[#This Row],[Dt Venc:]]-TODAY())</f>
        <v>-</v>
      </c>
      <c r="G5366" s="3">
        <v>1</v>
      </c>
      <c r="H5366" s="3"/>
    </row>
    <row r="5367" spans="1:8" hidden="1">
      <c r="A5367" s="3">
        <v>34354</v>
      </c>
      <c r="B5367" s="7" t="s">
        <v>362</v>
      </c>
      <c r="C5367" s="41">
        <v>600</v>
      </c>
      <c r="D5367" s="6">
        <v>45691</v>
      </c>
      <c r="E5367" s="3" t="str">
        <f ca="1">IF(Tabela2[[#This Row],[Dt Venc:]]&gt;TODAY(),"Em Aberto",IF(Tabela2[[#This Row],[D/venc]]="-","Enviado",IF(Tabela2[[#This Row],[Dt Venc:]]=TODAY(),"Vence Hoje","Vencida")))</f>
        <v>Enviado</v>
      </c>
      <c r="F5367" s="3" t="str">
        <f ca="1">IF(G5367=1,"-",Tabela2[[#This Row],[Dt Venc:]]-TODAY())</f>
        <v>-</v>
      </c>
      <c r="G5367" s="3">
        <v>1</v>
      </c>
      <c r="H5367" s="3"/>
    </row>
    <row r="5368" spans="1:8" hidden="1">
      <c r="A5368" s="3">
        <v>36033</v>
      </c>
      <c r="B5368" s="7" t="s">
        <v>70</v>
      </c>
      <c r="C5368" s="41">
        <v>2811.23</v>
      </c>
      <c r="D5368" s="6">
        <v>45691</v>
      </c>
      <c r="E5368" s="3" t="str">
        <f ca="1">IF(Tabela2[[#This Row],[Dt Venc:]]&gt;TODAY(),"Em Aberto",IF(Tabela2[[#This Row],[D/venc]]="-","Enviado",IF(Tabela2[[#This Row],[Dt Venc:]]=TODAY(),"Vence Hoje","Vencida")))</f>
        <v>Enviado</v>
      </c>
      <c r="F5368" s="3" t="str">
        <f ca="1">IF(G5368=1,"-",Tabela2[[#This Row],[Dt Venc:]]-TODAY())</f>
        <v>-</v>
      </c>
      <c r="G5368" s="3">
        <v>1</v>
      </c>
      <c r="H5368" s="3"/>
    </row>
    <row r="5369" spans="1:8" hidden="1">
      <c r="A5369" s="3">
        <v>38191</v>
      </c>
      <c r="B5369" s="7" t="s">
        <v>70</v>
      </c>
      <c r="C5369" s="41">
        <v>745.44</v>
      </c>
      <c r="D5369" s="6">
        <v>45691</v>
      </c>
      <c r="E5369" s="3" t="str">
        <f ca="1">IF(Tabela2[[#This Row],[Dt Venc:]]&gt;TODAY(),"Em Aberto",IF(Tabela2[[#This Row],[D/venc]]="-","Enviado",IF(Tabela2[[#This Row],[Dt Venc:]]=TODAY(),"Vence Hoje","Vencida")))</f>
        <v>Enviado</v>
      </c>
      <c r="F5369" s="3" t="str">
        <f ca="1">IF(G5369=1,"-",Tabela2[[#This Row],[Dt Venc:]]-TODAY())</f>
        <v>-</v>
      </c>
      <c r="G5369" s="3">
        <v>1</v>
      </c>
      <c r="H5369" s="3"/>
    </row>
    <row r="5370" spans="1:8" hidden="1">
      <c r="A5370" s="3">
        <v>40290</v>
      </c>
      <c r="B5370" s="7" t="s">
        <v>670</v>
      </c>
      <c r="C5370" s="41">
        <v>348.08</v>
      </c>
      <c r="D5370" s="6">
        <v>45691</v>
      </c>
      <c r="E5370" s="3" t="str">
        <f ca="1">IF(Tabela2[[#This Row],[Dt Venc:]]&gt;TODAY(),"Em Aberto",IF(Tabela2[[#This Row],[D/venc]]="-","Enviado",IF(Tabela2[[#This Row],[Dt Venc:]]=TODAY(),"Vence Hoje","Vencida")))</f>
        <v>Enviado</v>
      </c>
      <c r="F5370" s="3" t="str">
        <f ca="1">IF(G5370=1,"-",Tabela2[[#This Row],[Dt Venc:]]-TODAY())</f>
        <v>-</v>
      </c>
      <c r="G5370" s="3">
        <v>1</v>
      </c>
      <c r="H5370" s="3"/>
    </row>
    <row r="5371" spans="1:8" hidden="1">
      <c r="A5371" s="3">
        <v>43147</v>
      </c>
      <c r="B5371" s="7" t="s">
        <v>70</v>
      </c>
      <c r="C5371" s="41">
        <v>4878.5600000000004</v>
      </c>
      <c r="D5371" s="6">
        <v>45691</v>
      </c>
      <c r="E5371" s="3" t="str">
        <f ca="1">IF(Tabela2[[#This Row],[Dt Venc:]]&gt;TODAY(),"Em Aberto",IF(Tabela2[[#This Row],[D/venc]]="-","Enviado",IF(Tabela2[[#This Row],[Dt Venc:]]=TODAY(),"Vence Hoje","Vencida")))</f>
        <v>Enviado</v>
      </c>
      <c r="F5371" s="3" t="str">
        <f ca="1">IF(G5371=1,"-",Tabela2[[#This Row],[Dt Venc:]]-TODAY())</f>
        <v>-</v>
      </c>
      <c r="G5371" s="3">
        <v>1</v>
      </c>
      <c r="H5371" s="3"/>
    </row>
    <row r="5372" spans="1:8" hidden="1">
      <c r="A5372" s="3">
        <v>49673</v>
      </c>
      <c r="B5372" s="7" t="s">
        <v>144</v>
      </c>
      <c r="C5372" s="41">
        <v>494.34</v>
      </c>
      <c r="D5372" s="6">
        <v>45691</v>
      </c>
      <c r="E5372" s="3" t="str">
        <f ca="1">IF(Tabela2[[#This Row],[Dt Venc:]]&gt;TODAY(),"Em Aberto",IF(Tabela2[[#This Row],[D/venc]]="-","Enviado",IF(Tabela2[[#This Row],[Dt Venc:]]=TODAY(),"Vence Hoje","Vencida")))</f>
        <v>Enviado</v>
      </c>
      <c r="F5372" s="3" t="str">
        <f ca="1">IF(G5372=1,"-",Tabela2[[#This Row],[Dt Venc:]]-TODAY())</f>
        <v>-</v>
      </c>
      <c r="G5372" s="3">
        <v>1</v>
      </c>
      <c r="H5372" s="3"/>
    </row>
    <row r="5373" spans="1:8" hidden="1">
      <c r="A5373" s="3">
        <v>52905</v>
      </c>
      <c r="B5373" s="7" t="s">
        <v>117</v>
      </c>
      <c r="C5373" s="41">
        <v>886.65</v>
      </c>
      <c r="D5373" s="6">
        <v>45691</v>
      </c>
      <c r="E5373" s="3" t="str">
        <f ca="1">IF(Tabela2[[#This Row],[Dt Venc:]]&gt;TODAY(),"Em Aberto",IF(Tabela2[[#This Row],[D/venc]]="-","Enviado",IF(Tabela2[[#This Row],[Dt Venc:]]=TODAY(),"Vence Hoje","Vencida")))</f>
        <v>Enviado</v>
      </c>
      <c r="F5373" s="3" t="str">
        <f ca="1">IF(G5373=1,"-",Tabela2[[#This Row],[Dt Venc:]]-TODAY())</f>
        <v>-</v>
      </c>
      <c r="G5373" s="3">
        <v>1</v>
      </c>
      <c r="H5373" s="3"/>
    </row>
    <row r="5374" spans="1:8" hidden="1">
      <c r="A5374" s="3">
        <v>54330</v>
      </c>
      <c r="B5374" s="7" t="s">
        <v>35</v>
      </c>
      <c r="C5374" s="41">
        <v>773.89</v>
      </c>
      <c r="D5374" s="6">
        <v>45691</v>
      </c>
      <c r="E5374" s="3" t="str">
        <f ca="1">IF(Tabela2[[#This Row],[Dt Venc:]]&gt;TODAY(),"Em Aberto",IF(Tabela2[[#This Row],[D/venc]]="-","Enviado",IF(Tabela2[[#This Row],[Dt Venc:]]=TODAY(),"Vence Hoje","Vencida")))</f>
        <v>Enviado</v>
      </c>
      <c r="F5374" s="3" t="str">
        <f ca="1">IF(G5374=1,"-",Tabela2[[#This Row],[Dt Venc:]]-TODAY())</f>
        <v>-</v>
      </c>
      <c r="G5374" s="3">
        <v>1</v>
      </c>
      <c r="H5374" s="3"/>
    </row>
    <row r="5375" spans="1:8" hidden="1">
      <c r="A5375" s="3">
        <v>54971</v>
      </c>
      <c r="B5375" s="7" t="s">
        <v>35</v>
      </c>
      <c r="C5375" s="41">
        <v>567.08000000000004</v>
      </c>
      <c r="D5375" s="6">
        <v>45691</v>
      </c>
      <c r="E5375" s="3" t="str">
        <f ca="1">IF(Tabela2[[#This Row],[Dt Venc:]]&gt;TODAY(),"Em Aberto",IF(Tabela2[[#This Row],[D/venc]]="-","Enviado",IF(Tabela2[[#This Row],[Dt Venc:]]=TODAY(),"Vence Hoje","Vencida")))</f>
        <v>Enviado</v>
      </c>
      <c r="F5375" s="3" t="str">
        <f ca="1">IF(G5375=1,"-",Tabela2[[#This Row],[Dt Venc:]]-TODAY())</f>
        <v>-</v>
      </c>
      <c r="G5375" s="3">
        <v>1</v>
      </c>
      <c r="H5375" s="3"/>
    </row>
    <row r="5376" spans="1:8" hidden="1">
      <c r="A5376" s="3">
        <v>72804</v>
      </c>
      <c r="B5376" s="7" t="s">
        <v>76</v>
      </c>
      <c r="C5376" s="41">
        <v>1513.48</v>
      </c>
      <c r="D5376" s="6">
        <v>45691</v>
      </c>
      <c r="E5376" s="3" t="str">
        <f ca="1">IF(Tabela2[[#This Row],[Dt Venc:]]&gt;TODAY(),"Em Aberto",IF(Tabela2[[#This Row],[D/venc]]="-","Enviado",IF(Tabela2[[#This Row],[Dt Venc:]]=TODAY(),"Vence Hoje","Vencida")))</f>
        <v>Enviado</v>
      </c>
      <c r="F5376" s="3" t="str">
        <f ca="1">IF(G5376=1,"-",Tabela2[[#This Row],[Dt Venc:]]-TODAY())</f>
        <v>-</v>
      </c>
      <c r="G5376" s="3">
        <v>1</v>
      </c>
      <c r="H5376" s="3"/>
    </row>
    <row r="5377" spans="1:8" hidden="1">
      <c r="A5377" s="3">
        <v>74720</v>
      </c>
      <c r="B5377" s="7" t="s">
        <v>76</v>
      </c>
      <c r="C5377" s="41">
        <v>515.82000000000005</v>
      </c>
      <c r="D5377" s="6">
        <v>45691</v>
      </c>
      <c r="E5377" s="3" t="str">
        <f ca="1">IF(Tabela2[[#This Row],[Dt Venc:]]&gt;TODAY(),"Em Aberto",IF(Tabela2[[#This Row],[D/venc]]="-","Enviado",IF(Tabela2[[#This Row],[Dt Venc:]]=TODAY(),"Vence Hoje","Vencida")))</f>
        <v>Enviado</v>
      </c>
      <c r="F5377" s="3" t="str">
        <f ca="1">IF(G5377=1,"-",Tabela2[[#This Row],[Dt Venc:]]-TODAY())</f>
        <v>-</v>
      </c>
      <c r="G5377" s="3">
        <v>1</v>
      </c>
      <c r="H5377" s="3"/>
    </row>
    <row r="5378" spans="1:8" hidden="1">
      <c r="A5378" s="3">
        <v>74722</v>
      </c>
      <c r="B5378" s="7" t="s">
        <v>76</v>
      </c>
      <c r="C5378" s="41">
        <v>744.68</v>
      </c>
      <c r="D5378" s="6">
        <v>45691</v>
      </c>
      <c r="E5378" s="3" t="str">
        <f ca="1">IF(Tabela2[[#This Row],[Dt Venc:]]&gt;TODAY(),"Em Aberto",IF(Tabela2[[#This Row],[D/venc]]="-","Enviado",IF(Tabela2[[#This Row],[Dt Venc:]]=TODAY(),"Vence Hoje","Vencida")))</f>
        <v>Enviado</v>
      </c>
      <c r="F5378" s="3" t="str">
        <f ca="1">IF(G5378=1,"-",Tabela2[[#This Row],[Dt Venc:]]-TODAY())</f>
        <v>-</v>
      </c>
      <c r="G5378" s="3">
        <v>1</v>
      </c>
      <c r="H5378" s="3"/>
    </row>
    <row r="5379" spans="1:8" hidden="1">
      <c r="A5379" s="3">
        <v>114743</v>
      </c>
      <c r="B5379" s="7" t="s">
        <v>209</v>
      </c>
      <c r="C5379" s="41">
        <v>539.33000000000004</v>
      </c>
      <c r="D5379" s="6">
        <v>45691</v>
      </c>
      <c r="E5379" s="3" t="str">
        <f ca="1">IF(Tabela2[[#This Row],[Dt Venc:]]&gt;TODAY(),"Em Aberto",IF(Tabela2[[#This Row],[D/venc]]="-","Enviado",IF(Tabela2[[#This Row],[Dt Venc:]]=TODAY(),"Vence Hoje","Vencida")))</f>
        <v>Enviado</v>
      </c>
      <c r="F5379" s="3" t="str">
        <f ca="1">IF(G5379=1,"-",Tabela2[[#This Row],[Dt Venc:]]-TODAY())</f>
        <v>-</v>
      </c>
      <c r="G5379" s="3">
        <v>1</v>
      </c>
      <c r="H5379" s="3"/>
    </row>
    <row r="5380" spans="1:8" hidden="1">
      <c r="A5380" s="3">
        <v>135188</v>
      </c>
      <c r="B5380" s="7" t="s">
        <v>89</v>
      </c>
      <c r="C5380" s="41">
        <v>559.41</v>
      </c>
      <c r="D5380" s="6">
        <v>45691</v>
      </c>
      <c r="E5380" s="3" t="str">
        <f ca="1">IF(Tabela2[[#This Row],[Dt Venc:]]&gt;TODAY(),"Em Aberto",IF(Tabela2[[#This Row],[D/venc]]="-","Enviado",IF(Tabela2[[#This Row],[Dt Venc:]]=TODAY(),"Vence Hoje","Vencida")))</f>
        <v>Enviado</v>
      </c>
      <c r="F5380" s="3" t="str">
        <f ca="1">IF(G5380=1,"-",Tabela2[[#This Row],[Dt Venc:]]-TODAY())</f>
        <v>-</v>
      </c>
      <c r="G5380" s="3">
        <v>1</v>
      </c>
      <c r="H5380" s="3"/>
    </row>
    <row r="5381" spans="1:8" hidden="1">
      <c r="A5381" s="3">
        <v>138152</v>
      </c>
      <c r="B5381" s="7" t="s">
        <v>197</v>
      </c>
      <c r="C5381" s="41">
        <v>470</v>
      </c>
      <c r="D5381" s="6">
        <v>45691</v>
      </c>
      <c r="E5381" s="3" t="str">
        <f ca="1">IF(Tabela2[[#This Row],[Dt Venc:]]&gt;TODAY(),"Em Aberto",IF(Tabela2[[#This Row],[D/venc]]="-","Enviado",IF(Tabela2[[#This Row],[Dt Venc:]]=TODAY(),"Vence Hoje","Vencida")))</f>
        <v>Enviado</v>
      </c>
      <c r="F5381" s="3" t="str">
        <f ca="1">IF(G5381=1,"-",Tabela2[[#This Row],[Dt Venc:]]-TODAY())</f>
        <v>-</v>
      </c>
      <c r="G5381" s="3">
        <v>1</v>
      </c>
      <c r="H5381" s="3"/>
    </row>
    <row r="5382" spans="1:8" hidden="1">
      <c r="A5382" s="3">
        <v>142922</v>
      </c>
      <c r="B5382" s="7" t="s">
        <v>484</v>
      </c>
      <c r="C5382" s="41">
        <v>390</v>
      </c>
      <c r="D5382" s="6">
        <v>45691</v>
      </c>
      <c r="E5382" s="3" t="str">
        <f ca="1">IF(Tabela2[[#This Row],[Dt Venc:]]&gt;TODAY(),"Em Aberto",IF(Tabela2[[#This Row],[D/venc]]="-","Enviado",IF(Tabela2[[#This Row],[Dt Venc:]]=TODAY(),"Vence Hoje","Vencida")))</f>
        <v>Enviado</v>
      </c>
      <c r="F5382" s="3" t="str">
        <f ca="1">IF(G5382=1,"-",Tabela2[[#This Row],[Dt Venc:]]-TODAY())</f>
        <v>-</v>
      </c>
      <c r="G5382" s="3">
        <v>1</v>
      </c>
      <c r="H5382" s="3"/>
    </row>
    <row r="5383" spans="1:8" hidden="1">
      <c r="A5383" s="3">
        <v>154162</v>
      </c>
      <c r="B5383" s="7" t="s">
        <v>77</v>
      </c>
      <c r="C5383" s="41">
        <v>433.33</v>
      </c>
      <c r="D5383" s="6">
        <v>45691</v>
      </c>
      <c r="E5383" s="3" t="str">
        <f ca="1">IF(Tabela2[[#This Row],[Dt Venc:]]&gt;TODAY(),"Em Aberto",IF(Tabela2[[#This Row],[D/venc]]="-","Enviado",IF(Tabela2[[#This Row],[Dt Venc:]]=TODAY(),"Vence Hoje","Vencida")))</f>
        <v>Enviado</v>
      </c>
      <c r="F5383" s="3" t="str">
        <f ca="1">IF(G5383=1,"-",Tabela2[[#This Row],[Dt Venc:]]-TODAY())</f>
        <v>-</v>
      </c>
      <c r="G5383" s="3">
        <v>1</v>
      </c>
      <c r="H5383" s="3"/>
    </row>
    <row r="5384" spans="1:8" hidden="1">
      <c r="A5384" s="3">
        <v>188251</v>
      </c>
      <c r="B5384" s="7" t="s">
        <v>172</v>
      </c>
      <c r="C5384" s="41">
        <v>3371.98</v>
      </c>
      <c r="D5384" s="6">
        <v>45691</v>
      </c>
      <c r="E5384" s="3" t="str">
        <f ca="1">IF(Tabela2[[#This Row],[Dt Venc:]]&gt;TODAY(),"Em Aberto",IF(Tabela2[[#This Row],[D/venc]]="-","Enviado",IF(Tabela2[[#This Row],[Dt Venc:]]=TODAY(),"Vence Hoje","Vencida")))</f>
        <v>Enviado</v>
      </c>
      <c r="F5384" s="3" t="str">
        <f ca="1">IF(G5384=1,"-",Tabela2[[#This Row],[Dt Venc:]]-TODAY())</f>
        <v>-</v>
      </c>
      <c r="G5384" s="3">
        <v>1</v>
      </c>
      <c r="H5384" s="3"/>
    </row>
    <row r="5385" spans="1:8" hidden="1">
      <c r="A5385" s="3">
        <v>204369</v>
      </c>
      <c r="B5385" s="7" t="s">
        <v>200</v>
      </c>
      <c r="C5385" s="41">
        <v>917.63</v>
      </c>
      <c r="D5385" s="6">
        <v>45691</v>
      </c>
      <c r="E5385" s="3" t="str">
        <f ca="1">IF(Tabela2[[#This Row],[Dt Venc:]]&gt;TODAY(),"Em Aberto",IF(Tabela2[[#This Row],[D/venc]]="-","Enviado",IF(Tabela2[[#This Row],[Dt Venc:]]=TODAY(),"Vence Hoje","Vencida")))</f>
        <v>Enviado</v>
      </c>
      <c r="F5385" s="3" t="str">
        <f ca="1">IF(G5385=1,"-",Tabela2[[#This Row],[Dt Venc:]]-TODAY())</f>
        <v>-</v>
      </c>
      <c r="G5385" s="3">
        <v>1</v>
      </c>
      <c r="H5385" s="3"/>
    </row>
    <row r="5386" spans="1:8" hidden="1">
      <c r="A5386" s="3">
        <v>217999</v>
      </c>
      <c r="B5386" s="7" t="s">
        <v>59</v>
      </c>
      <c r="C5386" s="41">
        <v>55994</v>
      </c>
      <c r="D5386" s="6">
        <v>45691</v>
      </c>
      <c r="E5386" s="3" t="str">
        <f ca="1">IF(Tabela2[[#This Row],[Dt Venc:]]&gt;TODAY(),"Em Aberto",IF(Tabela2[[#This Row],[D/venc]]="-","Enviado",IF(Tabela2[[#This Row],[Dt Venc:]]=TODAY(),"Vence Hoje","Vencida")))</f>
        <v>Enviado</v>
      </c>
      <c r="F5386" s="3" t="str">
        <f ca="1">IF(G5386=1,"-",Tabela2[[#This Row],[Dt Venc:]]-TODAY())</f>
        <v>-</v>
      </c>
      <c r="G5386" s="3">
        <v>1</v>
      </c>
      <c r="H5386" s="3"/>
    </row>
    <row r="5387" spans="1:8" hidden="1">
      <c r="A5387" s="3">
        <v>235415</v>
      </c>
      <c r="B5387" s="7" t="s">
        <v>40</v>
      </c>
      <c r="C5387" s="41">
        <v>900</v>
      </c>
      <c r="D5387" s="6">
        <v>45691</v>
      </c>
      <c r="E5387" s="3" t="str">
        <f ca="1">IF(Tabela2[[#This Row],[Dt Venc:]]&gt;TODAY(),"Em Aberto",IF(Tabela2[[#This Row],[D/venc]]="-","Enviado",IF(Tabela2[[#This Row],[Dt Venc:]]=TODAY(),"Vence Hoje","Vencida")))</f>
        <v>Enviado</v>
      </c>
      <c r="F5387" s="3" t="str">
        <f ca="1">IF(G5387=1,"-",Tabela2[[#This Row],[Dt Venc:]]-TODAY())</f>
        <v>-</v>
      </c>
      <c r="G5387" s="3">
        <v>1</v>
      </c>
      <c r="H5387" s="3"/>
    </row>
    <row r="5388" spans="1:8" hidden="1">
      <c r="A5388" s="3">
        <v>239660</v>
      </c>
      <c r="B5388" s="7" t="s">
        <v>43</v>
      </c>
      <c r="C5388" s="41">
        <v>3227.85</v>
      </c>
      <c r="D5388" s="6">
        <v>45691</v>
      </c>
      <c r="E5388" s="3" t="str">
        <f ca="1">IF(Tabela2[[#This Row],[Dt Venc:]]&gt;TODAY(),"Em Aberto",IF(Tabela2[[#This Row],[D/venc]]="-","Enviado",IF(Tabela2[[#This Row],[Dt Venc:]]=TODAY(),"Vence Hoje","Vencida")))</f>
        <v>Enviado</v>
      </c>
      <c r="F5388" s="3" t="str">
        <f ca="1">IF(G5388=1,"-",Tabela2[[#This Row],[Dt Venc:]]-TODAY())</f>
        <v>-</v>
      </c>
      <c r="G5388" s="3">
        <v>1</v>
      </c>
      <c r="H5388" s="3"/>
    </row>
    <row r="5389" spans="1:8" hidden="1">
      <c r="A5389" s="3">
        <v>255544</v>
      </c>
      <c r="B5389" s="7" t="s">
        <v>534</v>
      </c>
      <c r="C5389" s="41">
        <v>425.26</v>
      </c>
      <c r="D5389" s="6">
        <v>45691</v>
      </c>
      <c r="E5389" s="3" t="str">
        <f ca="1">IF(Tabela2[[#This Row],[Dt Venc:]]&gt;TODAY(),"Em Aberto",IF(Tabela2[[#This Row],[D/venc]]="-","Enviado",IF(Tabela2[[#This Row],[Dt Venc:]]=TODAY(),"Vence Hoje","Vencida")))</f>
        <v>Enviado</v>
      </c>
      <c r="F5389" s="3" t="str">
        <f ca="1">IF(G5389=1,"-",Tabela2[[#This Row],[Dt Venc:]]-TODAY())</f>
        <v>-</v>
      </c>
      <c r="G5389" s="3">
        <v>1</v>
      </c>
      <c r="H5389" s="3"/>
    </row>
    <row r="5390" spans="1:8" hidden="1">
      <c r="A5390" s="3">
        <v>259101</v>
      </c>
      <c r="B5390" s="7" t="s">
        <v>49</v>
      </c>
      <c r="C5390" s="41">
        <v>686.66</v>
      </c>
      <c r="D5390" s="6">
        <v>45691</v>
      </c>
      <c r="E5390" s="3" t="str">
        <f ca="1">IF(Tabela2[[#This Row],[Dt Venc:]]&gt;TODAY(),"Em Aberto",IF(Tabela2[[#This Row],[D/venc]]="-","Enviado",IF(Tabela2[[#This Row],[Dt Venc:]]=TODAY(),"Vence Hoje","Vencida")))</f>
        <v>Enviado</v>
      </c>
      <c r="F5390" s="3" t="str">
        <f ca="1">IF(G5390=1,"-",Tabela2[[#This Row],[Dt Venc:]]-TODAY())</f>
        <v>-</v>
      </c>
      <c r="G5390" s="3">
        <v>1</v>
      </c>
      <c r="H5390" s="3"/>
    </row>
    <row r="5391" spans="1:8" hidden="1">
      <c r="A5391" s="3">
        <v>259212</v>
      </c>
      <c r="B5391" s="7" t="s">
        <v>49</v>
      </c>
      <c r="C5391" s="41">
        <v>1716.66</v>
      </c>
      <c r="D5391" s="6">
        <v>45691</v>
      </c>
      <c r="E5391" s="3" t="str">
        <f ca="1">IF(Tabela2[[#This Row],[Dt Venc:]]&gt;TODAY(),"Em Aberto",IF(Tabela2[[#This Row],[D/venc]]="-","Enviado",IF(Tabela2[[#This Row],[Dt Venc:]]=TODAY(),"Vence Hoje","Vencida")))</f>
        <v>Enviado</v>
      </c>
      <c r="F5391" s="3" t="str">
        <f ca="1">IF(G5391=1,"-",Tabela2[[#This Row],[Dt Venc:]]-TODAY())</f>
        <v>-</v>
      </c>
      <c r="G5391" s="3">
        <v>1</v>
      </c>
      <c r="H5391" s="3"/>
    </row>
    <row r="5392" spans="1:8" hidden="1">
      <c r="A5392" s="3">
        <v>259220</v>
      </c>
      <c r="B5392" s="7" t="s">
        <v>49</v>
      </c>
      <c r="C5392" s="41">
        <v>686.66</v>
      </c>
      <c r="D5392" s="6">
        <v>45691</v>
      </c>
      <c r="E5392" s="3" t="str">
        <f ca="1">IF(Tabela2[[#This Row],[Dt Venc:]]&gt;TODAY(),"Em Aberto",IF(Tabela2[[#This Row],[D/venc]]="-","Enviado",IF(Tabela2[[#This Row],[Dt Venc:]]=TODAY(),"Vence Hoje","Vencida")))</f>
        <v>Enviado</v>
      </c>
      <c r="F5392" s="3" t="str">
        <f ca="1">IF(G5392=1,"-",Tabela2[[#This Row],[Dt Venc:]]-TODAY())</f>
        <v>-</v>
      </c>
      <c r="G5392" s="3">
        <v>1</v>
      </c>
      <c r="H5392" s="3"/>
    </row>
    <row r="5393" spans="1:8" hidden="1">
      <c r="A5393" s="3">
        <v>365939</v>
      </c>
      <c r="B5393" s="7" t="s">
        <v>59</v>
      </c>
      <c r="C5393" s="41">
        <v>56538</v>
      </c>
      <c r="D5393" s="6">
        <v>45691</v>
      </c>
      <c r="E5393" s="3" t="str">
        <f ca="1">IF(Tabela2[[#This Row],[Dt Venc:]]&gt;TODAY(),"Em Aberto",IF(Tabela2[[#This Row],[D/venc]]="-","Enviado",IF(Tabela2[[#This Row],[Dt Venc:]]=TODAY(),"Vence Hoje","Vencida")))</f>
        <v>Enviado</v>
      </c>
      <c r="F5393" s="3" t="str">
        <f ca="1">IF(G5393=1,"-",Tabela2[[#This Row],[Dt Venc:]]-TODAY())</f>
        <v>-</v>
      </c>
      <c r="G5393" s="3">
        <v>1</v>
      </c>
      <c r="H5393" s="3"/>
    </row>
    <row r="5394" spans="1:8" hidden="1">
      <c r="A5394" s="3">
        <v>374163</v>
      </c>
      <c r="B5394" s="7" t="s">
        <v>39</v>
      </c>
      <c r="C5394" s="41">
        <v>398.36</v>
      </c>
      <c r="D5394" s="6">
        <v>45691</v>
      </c>
      <c r="E5394" s="3" t="str">
        <f ca="1">IF(Tabela2[[#This Row],[Dt Venc:]]&gt;TODAY(),"Em Aberto",IF(Tabela2[[#This Row],[D/venc]]="-","Enviado",IF(Tabela2[[#This Row],[Dt Venc:]]=TODAY(),"Vence Hoje","Vencida")))</f>
        <v>Enviado</v>
      </c>
      <c r="F5394" s="3" t="str">
        <f ca="1">IF(G5394=1,"-",Tabela2[[#This Row],[Dt Venc:]]-TODAY())</f>
        <v>-</v>
      </c>
      <c r="G5394" s="3">
        <v>1</v>
      </c>
      <c r="H5394" s="3"/>
    </row>
    <row r="5395" spans="1:8" hidden="1">
      <c r="A5395" s="3">
        <v>374224</v>
      </c>
      <c r="B5395" s="7" t="s">
        <v>39</v>
      </c>
      <c r="C5395" s="41">
        <v>1187.72</v>
      </c>
      <c r="D5395" s="6">
        <v>45691</v>
      </c>
      <c r="E5395" s="3" t="str">
        <f ca="1">IF(Tabela2[[#This Row],[Dt Venc:]]&gt;TODAY(),"Em Aberto",IF(Tabela2[[#This Row],[D/venc]]="-","Enviado",IF(Tabela2[[#This Row],[Dt Venc:]]=TODAY(),"Vence Hoje","Vencida")))</f>
        <v>Enviado</v>
      </c>
      <c r="F5395" s="3" t="str">
        <f ca="1">IF(G5395=1,"-",Tabela2[[#This Row],[Dt Venc:]]-TODAY())</f>
        <v>-</v>
      </c>
      <c r="G5395" s="3">
        <v>1</v>
      </c>
      <c r="H5395" s="3"/>
    </row>
    <row r="5396" spans="1:8" hidden="1">
      <c r="A5396" s="3">
        <v>374265</v>
      </c>
      <c r="B5396" s="7" t="s">
        <v>39</v>
      </c>
      <c r="C5396" s="41">
        <v>1946.82</v>
      </c>
      <c r="D5396" s="6">
        <v>45691</v>
      </c>
      <c r="E5396" s="3" t="str">
        <f ca="1">IF(Tabela2[[#This Row],[Dt Venc:]]&gt;TODAY(),"Em Aberto",IF(Tabela2[[#This Row],[D/venc]]="-","Enviado",IF(Tabela2[[#This Row],[Dt Venc:]]=TODAY(),"Vence Hoje","Vencida")))</f>
        <v>Enviado</v>
      </c>
      <c r="F5396" s="3" t="str">
        <f ca="1">IF(G5396=1,"-",Tabela2[[#This Row],[Dt Venc:]]-TODAY())</f>
        <v>-</v>
      </c>
      <c r="G5396" s="3">
        <v>1</v>
      </c>
      <c r="H5396" s="3"/>
    </row>
    <row r="5397" spans="1:8" hidden="1">
      <c r="A5397" s="3">
        <v>376033</v>
      </c>
      <c r="B5397" s="7" t="s">
        <v>39</v>
      </c>
      <c r="C5397" s="41">
        <v>1869.31</v>
      </c>
      <c r="D5397" s="6">
        <v>45691</v>
      </c>
      <c r="E5397" s="3" t="str">
        <f ca="1">IF(Tabela2[[#This Row],[Dt Venc:]]&gt;TODAY(),"Em Aberto",IF(Tabela2[[#This Row],[D/venc]]="-","Enviado",IF(Tabela2[[#This Row],[Dt Venc:]]=TODAY(),"Vence Hoje","Vencida")))</f>
        <v>Enviado</v>
      </c>
      <c r="F5397" s="3" t="str">
        <f ca="1">IF(G5397=1,"-",Tabela2[[#This Row],[Dt Venc:]]-TODAY())</f>
        <v>-</v>
      </c>
      <c r="G5397" s="3">
        <v>1</v>
      </c>
      <c r="H5397" s="3"/>
    </row>
    <row r="5398" spans="1:8" hidden="1">
      <c r="A5398" s="3">
        <v>561262</v>
      </c>
      <c r="B5398" s="7" t="s">
        <v>39</v>
      </c>
      <c r="C5398" s="41">
        <v>614.07000000000005</v>
      </c>
      <c r="D5398" s="6">
        <v>45691</v>
      </c>
      <c r="E5398" s="3" t="str">
        <f ca="1">IF(Tabela2[[#This Row],[Dt Venc:]]&gt;TODAY(),"Em Aberto",IF(Tabela2[[#This Row],[D/venc]]="-","Enviado",IF(Tabela2[[#This Row],[Dt Venc:]]=TODAY(),"Vence Hoje","Vencida")))</f>
        <v>Enviado</v>
      </c>
      <c r="F5398" s="3" t="str">
        <f ca="1">IF(G5398=1,"-",Tabela2[[#This Row],[Dt Venc:]]-TODAY())</f>
        <v>-</v>
      </c>
      <c r="G5398" s="3">
        <v>1</v>
      </c>
      <c r="H5398" s="3"/>
    </row>
    <row r="5399" spans="1:8" hidden="1">
      <c r="A5399" s="3" t="s">
        <v>28</v>
      </c>
      <c r="B5399" s="7" t="s">
        <v>29</v>
      </c>
      <c r="C5399" s="87" t="s">
        <v>393</v>
      </c>
      <c r="D5399" s="6">
        <v>45689</v>
      </c>
      <c r="E5399" s="3" t="str">
        <f ca="1">IF(Tabela2[[#This Row],[Dt Venc:]]&gt;TODAY(),"Em Aberto",IF(Tabela2[[#This Row],[D/venc]]="-","Enviado",IF(Tabela2[[#This Row],[Dt Venc:]]=TODAY(),"Vence Hoje","Vencida")))</f>
        <v>Enviado</v>
      </c>
      <c r="F5399" s="3" t="str">
        <f ca="1">IF(G5399=1,"-",Tabela2[[#This Row],[Dt Venc:]]-TODAY())</f>
        <v>-</v>
      </c>
      <c r="G5399" s="3">
        <v>1</v>
      </c>
      <c r="H5399" s="3"/>
    </row>
    <row r="5400" spans="1:8" hidden="1">
      <c r="A5400" s="3">
        <v>616214</v>
      </c>
      <c r="B5400" s="7" t="s">
        <v>66</v>
      </c>
      <c r="C5400" s="41">
        <v>750.42</v>
      </c>
      <c r="D5400" s="6">
        <v>45691</v>
      </c>
      <c r="E5400" s="3" t="str">
        <f ca="1">IF(Tabela2[[#This Row],[Dt Venc:]]&gt;TODAY(),"Em Aberto",IF(Tabela2[[#This Row],[D/venc]]="-","Enviado",IF(Tabela2[[#This Row],[Dt Venc:]]=TODAY(),"Vence Hoje","Vencida")))</f>
        <v>Enviado</v>
      </c>
      <c r="F5400" s="3" t="str">
        <f ca="1">IF(G5400=1,"-",Tabela2[[#This Row],[Dt Venc:]]-TODAY())</f>
        <v>-</v>
      </c>
      <c r="G5400" s="3">
        <v>1</v>
      </c>
      <c r="H5400" s="3"/>
    </row>
    <row r="5401" spans="1:8" hidden="1">
      <c r="A5401" s="3">
        <v>1419408</v>
      </c>
      <c r="B5401" s="7" t="s">
        <v>151</v>
      </c>
      <c r="C5401" s="41">
        <v>377.58</v>
      </c>
      <c r="D5401" s="6">
        <v>45691</v>
      </c>
      <c r="E5401" s="3" t="str">
        <f ca="1">IF(Tabela2[[#This Row],[Dt Venc:]]&gt;TODAY(),"Em Aberto",IF(Tabela2[[#This Row],[D/venc]]="-","Enviado",IF(Tabela2[[#This Row],[Dt Venc:]]=TODAY(),"Vence Hoje","Vencida")))</f>
        <v>Enviado</v>
      </c>
      <c r="F5401" s="3" t="str">
        <f ca="1">IF(G5401=1,"-",Tabela2[[#This Row],[Dt Venc:]]-TODAY())</f>
        <v>-</v>
      </c>
      <c r="G5401" s="3">
        <v>1</v>
      </c>
      <c r="H5401" s="3"/>
    </row>
    <row r="5402" spans="1:8" hidden="1">
      <c r="A5402" s="3">
        <v>2013186</v>
      </c>
      <c r="B5402" s="7" t="s">
        <v>59</v>
      </c>
      <c r="C5402" s="41">
        <v>82474.5</v>
      </c>
      <c r="D5402" s="6">
        <v>45691</v>
      </c>
      <c r="E5402" s="3" t="str">
        <f ca="1">IF(Tabela2[[#This Row],[Dt Venc:]]&gt;TODAY(),"Em Aberto",IF(Tabela2[[#This Row],[D/venc]]="-","Enviado",IF(Tabela2[[#This Row],[Dt Venc:]]=TODAY(),"Vence Hoje","Vencida")))</f>
        <v>Enviado</v>
      </c>
      <c r="F5402" s="3" t="str">
        <f ca="1">IF(G5402=1,"-",Tabela2[[#This Row],[Dt Venc:]]-TODAY())</f>
        <v>-</v>
      </c>
      <c r="G5402" s="3">
        <v>1</v>
      </c>
      <c r="H5402" s="3"/>
    </row>
    <row r="5403" spans="1:8" hidden="1">
      <c r="A5403" s="3">
        <v>2517710</v>
      </c>
      <c r="B5403" s="7" t="s">
        <v>59</v>
      </c>
      <c r="C5403" s="41">
        <v>81151.5</v>
      </c>
      <c r="D5403" s="6">
        <v>45691</v>
      </c>
      <c r="E5403" s="3" t="str">
        <f ca="1">IF(Tabela2[[#This Row],[Dt Venc:]]&gt;TODAY(),"Em Aberto",IF(Tabela2[[#This Row],[D/venc]]="-","Enviado",IF(Tabela2[[#This Row],[Dt Venc:]]=TODAY(),"Vence Hoje","Vencida")))</f>
        <v>Enviado</v>
      </c>
      <c r="F5403" s="3" t="str">
        <f ca="1">IF(G5403=1,"-",Tabela2[[#This Row],[Dt Venc:]]-TODAY())</f>
        <v>-</v>
      </c>
      <c r="G5403" s="3">
        <v>1</v>
      </c>
      <c r="H5403" s="3"/>
    </row>
    <row r="5404" spans="1:8" hidden="1">
      <c r="A5404" s="3">
        <v>2518160</v>
      </c>
      <c r="B5404" s="7" t="s">
        <v>671</v>
      </c>
      <c r="C5404" s="41">
        <v>54150</v>
      </c>
      <c r="D5404" s="6">
        <v>45691</v>
      </c>
      <c r="E5404" s="3" t="str">
        <f ca="1">IF(Tabela2[[#This Row],[Dt Venc:]]&gt;TODAY(),"Em Aberto",IF(Tabela2[[#This Row],[D/venc]]="-","Enviado",IF(Tabela2[[#This Row],[Dt Venc:]]=TODAY(),"Vence Hoje","Vencida")))</f>
        <v>Enviado</v>
      </c>
      <c r="F5404" s="3" t="str">
        <f ca="1">IF(G5404=1,"-",Tabela2[[#This Row],[Dt Venc:]]-TODAY())</f>
        <v>-</v>
      </c>
      <c r="G5404" s="3">
        <v>1</v>
      </c>
      <c r="H5404" s="3"/>
    </row>
    <row r="5405" spans="1:8" hidden="1">
      <c r="A5405" s="3">
        <v>444546</v>
      </c>
      <c r="B5405" s="7" t="s">
        <v>591</v>
      </c>
      <c r="C5405" s="41">
        <v>1830</v>
      </c>
      <c r="D5405" s="6">
        <v>45691</v>
      </c>
      <c r="E5405" s="3" t="str">
        <f ca="1">IF(Tabela2[[#This Row],[Dt Venc:]]&gt;TODAY(),"Em Aberto",IF(Tabela2[[#This Row],[D/venc]]="-","Enviado",IF(Tabela2[[#This Row],[Dt Venc:]]=TODAY(),"Vence Hoje","Vencida")))</f>
        <v>Enviado</v>
      </c>
      <c r="F5405" s="3" t="str">
        <f ca="1">IF(G5405=1,"-",Tabela2[[#This Row],[Dt Venc:]]-TODAY())</f>
        <v>-</v>
      </c>
      <c r="G5405" s="3">
        <v>1</v>
      </c>
      <c r="H5405" s="3"/>
    </row>
    <row r="5406" spans="1:8" hidden="1">
      <c r="A5406" s="3">
        <v>28</v>
      </c>
      <c r="B5406" s="7" t="s">
        <v>103</v>
      </c>
      <c r="C5406" s="41">
        <v>1400</v>
      </c>
      <c r="D5406" s="6">
        <v>45692</v>
      </c>
      <c r="E5406" s="3" t="str">
        <f ca="1">IF(Tabela2[[#This Row],[Dt Venc:]]&gt;TODAY(),"Em Aberto",IF(Tabela2[[#This Row],[D/venc]]="-","Enviado",IF(Tabela2[[#This Row],[Dt Venc:]]=TODAY(),"Vence Hoje","Vencida")))</f>
        <v>Enviado</v>
      </c>
      <c r="F5406" s="3" t="str">
        <f ca="1">IF(G5406=1,"-",Tabela2[[#This Row],[Dt Venc:]]-TODAY())</f>
        <v>-</v>
      </c>
      <c r="G5406" s="3">
        <v>1</v>
      </c>
      <c r="H5406" s="3"/>
    </row>
    <row r="5407" spans="1:8" hidden="1">
      <c r="A5407" s="3">
        <v>481</v>
      </c>
      <c r="B5407" s="7" t="s">
        <v>599</v>
      </c>
      <c r="C5407" s="41">
        <v>9306</v>
      </c>
      <c r="D5407" s="6">
        <v>45692</v>
      </c>
      <c r="E5407" s="3" t="str">
        <f ca="1">IF(Tabela2[[#This Row],[Dt Venc:]]&gt;TODAY(),"Em Aberto",IF(Tabela2[[#This Row],[D/venc]]="-","Enviado",IF(Tabela2[[#This Row],[Dt Venc:]]=TODAY(),"Vence Hoje","Vencida")))</f>
        <v>Enviado</v>
      </c>
      <c r="F5407" s="3" t="str">
        <f ca="1">IF(G5407=1,"-",Tabela2[[#This Row],[Dt Venc:]]-TODAY())</f>
        <v>-</v>
      </c>
      <c r="G5407" s="3">
        <v>1</v>
      </c>
      <c r="H5407" s="3"/>
    </row>
    <row r="5408" spans="1:8" hidden="1">
      <c r="A5408" s="3">
        <v>1182</v>
      </c>
      <c r="B5408" s="7" t="s">
        <v>416</v>
      </c>
      <c r="C5408" s="41">
        <v>1093.33</v>
      </c>
      <c r="D5408" s="6">
        <v>45692</v>
      </c>
      <c r="E5408" s="3" t="str">
        <f ca="1">IF(Tabela2[[#This Row],[Dt Venc:]]&gt;TODAY(),"Em Aberto",IF(Tabela2[[#This Row],[D/venc]]="-","Enviado",IF(Tabela2[[#This Row],[Dt Venc:]]=TODAY(),"Vence Hoje","Vencida")))</f>
        <v>Enviado</v>
      </c>
      <c r="F5408" s="3" t="str">
        <f ca="1">IF(G5408=1,"-",Tabela2[[#This Row],[Dt Venc:]]-TODAY())</f>
        <v>-</v>
      </c>
      <c r="G5408" s="3">
        <v>1</v>
      </c>
      <c r="H5408" s="3"/>
    </row>
    <row r="5409" spans="1:8" hidden="1">
      <c r="A5409" s="3">
        <v>1211</v>
      </c>
      <c r="B5409" s="7" t="s">
        <v>155</v>
      </c>
      <c r="C5409" s="41">
        <v>17570</v>
      </c>
      <c r="D5409" s="6">
        <v>45692</v>
      </c>
      <c r="E5409" s="3" t="str">
        <f ca="1">IF(Tabela2[[#This Row],[Dt Venc:]]&gt;TODAY(),"Em Aberto",IF(Tabela2[[#This Row],[D/venc]]="-","Enviado",IF(Tabela2[[#This Row],[Dt Venc:]]=TODAY(),"Vence Hoje","Vencida")))</f>
        <v>Enviado</v>
      </c>
      <c r="F5409" s="3" t="str">
        <f ca="1">IF(G5409=1,"-",Tabela2[[#This Row],[Dt Venc:]]-TODAY())</f>
        <v>-</v>
      </c>
      <c r="G5409" s="3">
        <v>1</v>
      </c>
      <c r="H5409" s="3"/>
    </row>
    <row r="5410" spans="1:8" hidden="1">
      <c r="A5410" s="3">
        <v>1321</v>
      </c>
      <c r="B5410" s="7" t="s">
        <v>474</v>
      </c>
      <c r="C5410" s="41">
        <v>1067</v>
      </c>
      <c r="D5410" s="6">
        <v>45692</v>
      </c>
      <c r="E5410" s="3" t="str">
        <f ca="1">IF(Tabela2[[#This Row],[Dt Venc:]]&gt;TODAY(),"Em Aberto",IF(Tabela2[[#This Row],[D/venc]]="-","Enviado",IF(Tabela2[[#This Row],[Dt Venc:]]=TODAY(),"Vence Hoje","Vencida")))</f>
        <v>Enviado</v>
      </c>
      <c r="F5410" s="3" t="str">
        <f ca="1">IF(G5410=1,"-",Tabela2[[#This Row],[Dt Venc:]]-TODAY())</f>
        <v>-</v>
      </c>
      <c r="G5410" s="3">
        <v>1</v>
      </c>
      <c r="H5410" s="3"/>
    </row>
    <row r="5411" spans="1:8" hidden="1">
      <c r="A5411" s="3">
        <v>1658</v>
      </c>
      <c r="B5411" s="7" t="s">
        <v>258</v>
      </c>
      <c r="C5411" s="41">
        <v>420</v>
      </c>
      <c r="D5411" s="6">
        <v>45692</v>
      </c>
      <c r="E5411" s="3" t="str">
        <f ca="1">IF(Tabela2[[#This Row],[Dt Venc:]]&gt;TODAY(),"Em Aberto",IF(Tabela2[[#This Row],[D/venc]]="-","Enviado",IF(Tabela2[[#This Row],[Dt Venc:]]=TODAY(),"Vence Hoje","Vencida")))</f>
        <v>Enviado</v>
      </c>
      <c r="F5411" s="3" t="str">
        <f ca="1">IF(G5411=1,"-",Tabela2[[#This Row],[Dt Venc:]]-TODAY())</f>
        <v>-</v>
      </c>
      <c r="G5411" s="3">
        <v>1</v>
      </c>
      <c r="H5411" s="3"/>
    </row>
    <row r="5412" spans="1:8" hidden="1">
      <c r="A5412" s="3">
        <v>1707</v>
      </c>
      <c r="B5412" s="7" t="s">
        <v>78</v>
      </c>
      <c r="C5412" s="41">
        <v>1737.25</v>
      </c>
      <c r="D5412" s="6">
        <v>45692</v>
      </c>
      <c r="E5412" s="3" t="str">
        <f ca="1">IF(Tabela2[[#This Row],[Dt Venc:]]&gt;TODAY(),"Em Aberto",IF(Tabela2[[#This Row],[D/venc]]="-","Enviado",IF(Tabela2[[#This Row],[Dt Venc:]]=TODAY(),"Vence Hoje","Vencida")))</f>
        <v>Enviado</v>
      </c>
      <c r="F5412" s="3" t="str">
        <f ca="1">IF(G5412=1,"-",Tabela2[[#This Row],[Dt Venc:]]-TODAY())</f>
        <v>-</v>
      </c>
      <c r="G5412" s="3">
        <v>1</v>
      </c>
      <c r="H5412" s="3"/>
    </row>
    <row r="5413" spans="1:8" hidden="1">
      <c r="A5413" s="3">
        <v>2011</v>
      </c>
      <c r="B5413" s="7" t="s">
        <v>507</v>
      </c>
      <c r="C5413" s="41">
        <v>6563.5</v>
      </c>
      <c r="D5413" s="6">
        <v>45692</v>
      </c>
      <c r="E5413" s="3" t="str">
        <f ca="1">IF(Tabela2[[#This Row],[Dt Venc:]]&gt;TODAY(),"Em Aberto",IF(Tabela2[[#This Row],[D/venc]]="-","Enviado",IF(Tabela2[[#This Row],[Dt Venc:]]=TODAY(),"Vence Hoje","Vencida")))</f>
        <v>Enviado</v>
      </c>
      <c r="F5413" s="3" t="str">
        <f ca="1">IF(G5413=1,"-",Tabela2[[#This Row],[Dt Venc:]]-TODAY())</f>
        <v>-</v>
      </c>
      <c r="G5413" s="3">
        <v>1</v>
      </c>
      <c r="H5413" s="3"/>
    </row>
    <row r="5414" spans="1:8" hidden="1">
      <c r="A5414" s="3">
        <v>2364</v>
      </c>
      <c r="B5414" s="7" t="s">
        <v>45</v>
      </c>
      <c r="C5414" s="41">
        <v>1312</v>
      </c>
      <c r="D5414" s="6">
        <v>45692</v>
      </c>
      <c r="E5414" s="3" t="str">
        <f ca="1">IF(Tabela2[[#This Row],[Dt Venc:]]&gt;TODAY(),"Em Aberto",IF(Tabela2[[#This Row],[D/venc]]="-","Enviado",IF(Tabela2[[#This Row],[Dt Venc:]]=TODAY(),"Vence Hoje","Vencida")))</f>
        <v>Enviado</v>
      </c>
      <c r="F5414" s="3" t="str">
        <f ca="1">IF(G5414=1,"-",Tabela2[[#This Row],[Dt Venc:]]-TODAY())</f>
        <v>-</v>
      </c>
      <c r="G5414" s="3">
        <v>1</v>
      </c>
      <c r="H5414" s="3"/>
    </row>
    <row r="5415" spans="1:8" hidden="1">
      <c r="A5415" s="3">
        <v>2822</v>
      </c>
      <c r="B5415" s="7" t="s">
        <v>58</v>
      </c>
      <c r="C5415" s="41">
        <v>3607.6</v>
      </c>
      <c r="D5415" s="6">
        <v>45692</v>
      </c>
      <c r="E5415" s="3" t="str">
        <f ca="1">IF(Tabela2[[#This Row],[Dt Venc:]]&gt;TODAY(),"Em Aberto",IF(Tabela2[[#This Row],[D/venc]]="-","Enviado",IF(Tabela2[[#This Row],[Dt Venc:]]=TODAY(),"Vence Hoje","Vencida")))</f>
        <v>Enviado</v>
      </c>
      <c r="F5415" s="3" t="str">
        <f ca="1">IF(G5415=1,"-",Tabela2[[#This Row],[Dt Venc:]]-TODAY())</f>
        <v>-</v>
      </c>
      <c r="G5415" s="3">
        <v>1</v>
      </c>
      <c r="H5415" s="3"/>
    </row>
    <row r="5416" spans="1:8" hidden="1">
      <c r="A5416" s="3">
        <v>2895</v>
      </c>
      <c r="B5416" s="7" t="s">
        <v>198</v>
      </c>
      <c r="C5416" s="41">
        <v>490</v>
      </c>
      <c r="D5416" s="6">
        <v>45692</v>
      </c>
      <c r="E5416" s="3" t="str">
        <f ca="1">IF(Tabela2[[#This Row],[Dt Venc:]]&gt;TODAY(),"Em Aberto",IF(Tabela2[[#This Row],[D/venc]]="-","Enviado",IF(Tabela2[[#This Row],[Dt Venc:]]=TODAY(),"Vence Hoje","Vencida")))</f>
        <v>Enviado</v>
      </c>
      <c r="F5416" s="3" t="str">
        <f ca="1">IF(G5416=1,"-",Tabela2[[#This Row],[Dt Venc:]]-TODAY())</f>
        <v>-</v>
      </c>
      <c r="G5416" s="3">
        <v>1</v>
      </c>
      <c r="H5416" s="3"/>
    </row>
    <row r="5417" spans="1:8" hidden="1">
      <c r="A5417" s="3">
        <v>4411</v>
      </c>
      <c r="B5417" s="7" t="s">
        <v>672</v>
      </c>
      <c r="C5417" s="41">
        <v>810.2</v>
      </c>
      <c r="D5417" s="6">
        <v>45692</v>
      </c>
      <c r="E5417" s="3" t="str">
        <f ca="1">IF(Tabela2[[#This Row],[Dt Venc:]]&gt;TODAY(),"Em Aberto",IF(Tabela2[[#This Row],[D/venc]]="-","Enviado",IF(Tabela2[[#This Row],[Dt Venc:]]=TODAY(),"Vence Hoje","Vencida")))</f>
        <v>Enviado</v>
      </c>
      <c r="F5417" s="3" t="str">
        <f ca="1">IF(G5417=1,"-",Tabela2[[#This Row],[Dt Venc:]]-TODAY())</f>
        <v>-</v>
      </c>
      <c r="G5417" s="3">
        <v>1</v>
      </c>
      <c r="H5417" s="3"/>
    </row>
    <row r="5418" spans="1:8" hidden="1">
      <c r="A5418" s="3">
        <v>7291</v>
      </c>
      <c r="B5418" s="7" t="s">
        <v>495</v>
      </c>
      <c r="C5418" s="41">
        <v>651</v>
      </c>
      <c r="D5418" s="6">
        <v>45692</v>
      </c>
      <c r="E5418" s="3" t="str">
        <f ca="1">IF(Tabela2[[#This Row],[Dt Venc:]]&gt;TODAY(),"Em Aberto",IF(Tabela2[[#This Row],[D/venc]]="-","Enviado",IF(Tabela2[[#This Row],[Dt Venc:]]=TODAY(),"Vence Hoje","Vencida")))</f>
        <v>Enviado</v>
      </c>
      <c r="F5418" s="3" t="str">
        <f ca="1">IF(G5418=1,"-",Tabela2[[#This Row],[Dt Venc:]]-TODAY())</f>
        <v>-</v>
      </c>
      <c r="G5418" s="3">
        <v>1</v>
      </c>
      <c r="H5418" s="3"/>
    </row>
    <row r="5419" spans="1:8" hidden="1">
      <c r="A5419" s="3">
        <v>11108</v>
      </c>
      <c r="B5419" s="7" t="s">
        <v>33</v>
      </c>
      <c r="C5419" s="41">
        <v>1976.6</v>
      </c>
      <c r="D5419" s="6">
        <v>45692</v>
      </c>
      <c r="E5419" s="3" t="str">
        <f ca="1">IF(Tabela2[[#This Row],[Dt Venc:]]&gt;TODAY(),"Em Aberto",IF(Tabela2[[#This Row],[D/venc]]="-","Enviado",IF(Tabela2[[#This Row],[Dt Venc:]]=TODAY(),"Vence Hoje","Vencida")))</f>
        <v>Enviado</v>
      </c>
      <c r="F5419" s="3" t="str">
        <f ca="1">IF(G5419=1,"-",Tabela2[[#This Row],[Dt Venc:]]-TODAY())</f>
        <v>-</v>
      </c>
      <c r="G5419" s="3">
        <v>1</v>
      </c>
      <c r="H5419" s="3"/>
    </row>
    <row r="5420" spans="1:8" hidden="1">
      <c r="A5420" s="3">
        <v>11196</v>
      </c>
      <c r="B5420" s="7" t="s">
        <v>33</v>
      </c>
      <c r="C5420" s="41">
        <v>1993.33</v>
      </c>
      <c r="D5420" s="6">
        <v>45692</v>
      </c>
      <c r="E5420" s="3" t="str">
        <f ca="1">IF(Tabela2[[#This Row],[Dt Venc:]]&gt;TODAY(),"Em Aberto",IF(Tabela2[[#This Row],[D/venc]]="-","Enviado",IF(Tabela2[[#This Row],[Dt Venc:]]=TODAY(),"Vence Hoje","Vencida")))</f>
        <v>Enviado</v>
      </c>
      <c r="F5420" s="3" t="str">
        <f ca="1">IF(G5420=1,"-",Tabela2[[#This Row],[Dt Venc:]]-TODAY())</f>
        <v>-</v>
      </c>
      <c r="G5420" s="3">
        <v>1</v>
      </c>
      <c r="H5420" s="3"/>
    </row>
    <row r="5421" spans="1:8" hidden="1">
      <c r="A5421" s="3">
        <v>12391</v>
      </c>
      <c r="B5421" s="7" t="s">
        <v>402</v>
      </c>
      <c r="C5421" s="41">
        <v>1420.5</v>
      </c>
      <c r="D5421" s="6">
        <v>45692</v>
      </c>
      <c r="E5421" s="3" t="str">
        <f ca="1">IF(Tabela2[[#This Row],[Dt Venc:]]&gt;TODAY(),"Em Aberto",IF(Tabela2[[#This Row],[D/venc]]="-","Enviado",IF(Tabela2[[#This Row],[Dt Venc:]]=TODAY(),"Vence Hoje","Vencida")))</f>
        <v>Enviado</v>
      </c>
      <c r="F5421" s="3" t="str">
        <f ca="1">IF(G5421=1,"-",Tabela2[[#This Row],[Dt Venc:]]-TODAY())</f>
        <v>-</v>
      </c>
      <c r="G5421" s="3">
        <v>1</v>
      </c>
      <c r="H5421" s="3"/>
    </row>
    <row r="5422" spans="1:8" hidden="1">
      <c r="A5422" s="3">
        <v>13814</v>
      </c>
      <c r="B5422" s="7" t="s">
        <v>400</v>
      </c>
      <c r="C5422" s="41">
        <v>498.6</v>
      </c>
      <c r="D5422" s="6">
        <v>45692</v>
      </c>
      <c r="E5422" s="3" t="str">
        <f ca="1">IF(Tabela2[[#This Row],[Dt Venc:]]&gt;TODAY(),"Em Aberto",IF(Tabela2[[#This Row],[D/venc]]="-","Enviado",IF(Tabela2[[#This Row],[Dt Venc:]]=TODAY(),"Vence Hoje","Vencida")))</f>
        <v>Enviado</v>
      </c>
      <c r="F5422" s="3" t="str">
        <f ca="1">IF(G5422=1,"-",Tabela2[[#This Row],[Dt Venc:]]-TODAY())</f>
        <v>-</v>
      </c>
      <c r="G5422" s="3">
        <v>1</v>
      </c>
      <c r="H5422" s="3"/>
    </row>
    <row r="5423" spans="1:8" hidden="1">
      <c r="A5423" s="3">
        <v>13849</v>
      </c>
      <c r="B5423" s="7" t="s">
        <v>602</v>
      </c>
      <c r="C5423" s="41">
        <v>112.56</v>
      </c>
      <c r="D5423" s="6">
        <v>45692</v>
      </c>
      <c r="E5423" s="3" t="str">
        <f ca="1">IF(Tabela2[[#This Row],[Dt Venc:]]&gt;TODAY(),"Em Aberto",IF(Tabela2[[#This Row],[D/venc]]="-","Enviado",IF(Tabela2[[#This Row],[Dt Venc:]]=TODAY(),"Vence Hoje","Vencida")))</f>
        <v>Enviado</v>
      </c>
      <c r="F5423" s="3" t="str">
        <f ca="1">IF(G5423=1,"-",Tabela2[[#This Row],[Dt Venc:]]-TODAY())</f>
        <v>-</v>
      </c>
      <c r="G5423" s="3">
        <v>1</v>
      </c>
      <c r="H5423" s="3"/>
    </row>
    <row r="5424" spans="1:8" hidden="1">
      <c r="A5424" s="3">
        <v>15392</v>
      </c>
      <c r="B5424" s="7" t="s">
        <v>99</v>
      </c>
      <c r="C5424" s="41">
        <v>425</v>
      </c>
      <c r="D5424" s="6">
        <v>45692</v>
      </c>
      <c r="E5424" s="3" t="str">
        <f ca="1">IF(Tabela2[[#This Row],[Dt Venc:]]&gt;TODAY(),"Em Aberto",IF(Tabela2[[#This Row],[D/venc]]="-","Enviado",IF(Tabela2[[#This Row],[Dt Venc:]]=TODAY(),"Vence Hoje","Vencida")))</f>
        <v>Enviado</v>
      </c>
      <c r="F5424" s="3" t="str">
        <f ca="1">IF(G5424=1,"-",Tabela2[[#This Row],[Dt Venc:]]-TODAY())</f>
        <v>-</v>
      </c>
      <c r="G5424" s="3">
        <v>1</v>
      </c>
      <c r="H5424" s="3"/>
    </row>
    <row r="5425" spans="1:8" hidden="1">
      <c r="A5425" s="3">
        <v>15393</v>
      </c>
      <c r="B5425" s="7" t="s">
        <v>99</v>
      </c>
      <c r="C5425" s="41">
        <v>1062.5</v>
      </c>
      <c r="D5425" s="6">
        <v>45692</v>
      </c>
      <c r="E5425" s="3" t="str">
        <f ca="1">IF(Tabela2[[#This Row],[Dt Venc:]]&gt;TODAY(),"Em Aberto",IF(Tabela2[[#This Row],[D/venc]]="-","Enviado",IF(Tabela2[[#This Row],[Dt Venc:]]=TODAY(),"Vence Hoje","Vencida")))</f>
        <v>Enviado</v>
      </c>
      <c r="F5425" s="3" t="str">
        <f ca="1">IF(G5425=1,"-",Tabela2[[#This Row],[Dt Venc:]]-TODAY())</f>
        <v>-</v>
      </c>
      <c r="G5425" s="3">
        <v>1</v>
      </c>
      <c r="H5425" s="3"/>
    </row>
    <row r="5426" spans="1:8" hidden="1">
      <c r="A5426" s="3">
        <v>19767</v>
      </c>
      <c r="B5426" s="7" t="s">
        <v>367</v>
      </c>
      <c r="C5426" s="41">
        <v>830</v>
      </c>
      <c r="D5426" s="6">
        <v>45692</v>
      </c>
      <c r="E5426" s="3" t="str">
        <f ca="1">IF(Tabela2[[#This Row],[Dt Venc:]]&gt;TODAY(),"Em Aberto",IF(Tabela2[[#This Row],[D/venc]]="-","Enviado",IF(Tabela2[[#This Row],[Dt Venc:]]=TODAY(),"Vence Hoje","Vencida")))</f>
        <v>Enviado</v>
      </c>
      <c r="F5426" s="3" t="str">
        <f ca="1">IF(G5426=1,"-",Tabela2[[#This Row],[Dt Venc:]]-TODAY())</f>
        <v>-</v>
      </c>
      <c r="G5426" s="3">
        <v>1</v>
      </c>
      <c r="H5426" s="3"/>
    </row>
    <row r="5427" spans="1:8" hidden="1">
      <c r="A5427" s="3">
        <v>20570</v>
      </c>
      <c r="B5427" s="7" t="s">
        <v>233</v>
      </c>
      <c r="C5427" s="41">
        <v>1500</v>
      </c>
      <c r="D5427" s="6">
        <v>45692</v>
      </c>
      <c r="E5427" s="3" t="str">
        <f ca="1">IF(Tabela2[[#This Row],[Dt Venc:]]&gt;TODAY(),"Em Aberto",IF(Tabela2[[#This Row],[D/venc]]="-","Enviado",IF(Tabela2[[#This Row],[Dt Venc:]]=TODAY(),"Vence Hoje","Vencida")))</f>
        <v>Enviado</v>
      </c>
      <c r="F5427" s="3" t="str">
        <f ca="1">IF(G5427=1,"-",Tabela2[[#This Row],[Dt Venc:]]-TODAY())</f>
        <v>-</v>
      </c>
      <c r="G5427" s="3">
        <v>1</v>
      </c>
      <c r="H5427" s="3"/>
    </row>
    <row r="5428" spans="1:8" hidden="1">
      <c r="A5428" s="3">
        <v>23610</v>
      </c>
      <c r="B5428" s="7" t="s">
        <v>38</v>
      </c>
      <c r="C5428" s="41">
        <v>523.33000000000004</v>
      </c>
      <c r="D5428" s="6">
        <v>45692</v>
      </c>
      <c r="E5428" s="3" t="str">
        <f ca="1">IF(Tabela2[[#This Row],[Dt Venc:]]&gt;TODAY(),"Em Aberto",IF(Tabela2[[#This Row],[D/venc]]="-","Enviado",IF(Tabela2[[#This Row],[Dt Venc:]]=TODAY(),"Vence Hoje","Vencida")))</f>
        <v>Enviado</v>
      </c>
      <c r="F5428" s="3" t="str">
        <f ca="1">IF(G5428=1,"-",Tabela2[[#This Row],[Dt Venc:]]-TODAY())</f>
        <v>-</v>
      </c>
      <c r="G5428" s="3">
        <v>1</v>
      </c>
      <c r="H5428" s="3"/>
    </row>
    <row r="5429" spans="1:8" hidden="1">
      <c r="A5429" s="3">
        <v>30202</v>
      </c>
      <c r="B5429" s="7" t="s">
        <v>97</v>
      </c>
      <c r="C5429" s="42">
        <v>3140</v>
      </c>
      <c r="D5429" s="6">
        <v>45692</v>
      </c>
      <c r="E5429" s="3" t="str">
        <f ca="1">IF(Tabela2[[#This Row],[Dt Venc:]]&gt;TODAY(),"Em Aberto",IF(Tabela2[[#This Row],[D/venc]]="-","Enviado",IF(Tabela2[[#This Row],[Dt Venc:]]=TODAY(),"Vence Hoje","Vencida")))</f>
        <v>Enviado</v>
      </c>
      <c r="F5429" s="3" t="str">
        <f ca="1">IF(G5429=1,"-",Tabela2[[#This Row],[Dt Venc:]]-TODAY())</f>
        <v>-</v>
      </c>
      <c r="G5429" s="3">
        <v>1</v>
      </c>
      <c r="H5429" s="3"/>
    </row>
    <row r="5430" spans="1:8" hidden="1">
      <c r="A5430" s="3">
        <v>30918</v>
      </c>
      <c r="B5430" s="7" t="s">
        <v>97</v>
      </c>
      <c r="C5430" s="41">
        <v>1940</v>
      </c>
      <c r="D5430" s="6">
        <v>45692</v>
      </c>
      <c r="E5430" s="3" t="str">
        <f ca="1">IF(Tabela2[[#This Row],[Dt Venc:]]&gt;TODAY(),"Em Aberto",IF(Tabela2[[#This Row],[D/venc]]="-","Enviado",IF(Tabela2[[#This Row],[Dt Venc:]]=TODAY(),"Vence Hoje","Vencida")))</f>
        <v>Enviado</v>
      </c>
      <c r="F5430" s="3" t="str">
        <f ca="1">IF(G5430=1,"-",Tabela2[[#This Row],[Dt Venc:]]-TODAY())</f>
        <v>-</v>
      </c>
      <c r="G5430" s="3">
        <v>1</v>
      </c>
      <c r="H5430" s="3"/>
    </row>
    <row r="5431" spans="1:8" hidden="1">
      <c r="A5431" s="3">
        <v>31702</v>
      </c>
      <c r="B5431" s="7" t="s">
        <v>542</v>
      </c>
      <c r="C5431" s="41">
        <v>2106.67</v>
      </c>
      <c r="D5431" s="6">
        <v>45692</v>
      </c>
      <c r="E5431" s="3" t="str">
        <f ca="1">IF(Tabela2[[#This Row],[Dt Venc:]]&gt;TODAY(),"Em Aberto",IF(Tabela2[[#This Row],[D/venc]]="-","Enviado",IF(Tabela2[[#This Row],[Dt Venc:]]=TODAY(),"Vence Hoje","Vencida")))</f>
        <v>Enviado</v>
      </c>
      <c r="F5431" s="3" t="str">
        <f ca="1">IF(G5431=1,"-",Tabela2[[#This Row],[Dt Venc:]]-TODAY())</f>
        <v>-</v>
      </c>
      <c r="G5431" s="3">
        <v>1</v>
      </c>
      <c r="H5431" s="3"/>
    </row>
    <row r="5432" spans="1:8" hidden="1">
      <c r="A5432" s="3">
        <v>49938</v>
      </c>
      <c r="B5432" s="7" t="s">
        <v>144</v>
      </c>
      <c r="C5432" s="41">
        <v>3280</v>
      </c>
      <c r="D5432" s="6">
        <v>45692</v>
      </c>
      <c r="E5432" s="3" t="str">
        <f ca="1">IF(Tabela2[[#This Row],[Dt Venc:]]&gt;TODAY(),"Em Aberto",IF(Tabela2[[#This Row],[D/venc]]="-","Enviado",IF(Tabela2[[#This Row],[Dt Venc:]]=TODAY(),"Vence Hoje","Vencida")))</f>
        <v>Enviado</v>
      </c>
      <c r="F5432" s="3" t="str">
        <f ca="1">IF(G5432=1,"-",Tabela2[[#This Row],[Dt Venc:]]-TODAY())</f>
        <v>-</v>
      </c>
      <c r="G5432" s="3">
        <v>1</v>
      </c>
      <c r="H5432" s="3"/>
    </row>
    <row r="5433" spans="1:8" hidden="1">
      <c r="A5433" s="3">
        <v>54298</v>
      </c>
      <c r="B5433" s="7" t="s">
        <v>602</v>
      </c>
      <c r="C5433" s="41">
        <v>1513.33</v>
      </c>
      <c r="D5433" s="6">
        <v>45692</v>
      </c>
      <c r="E5433" s="3" t="str">
        <f ca="1">IF(Tabela2[[#This Row],[Dt Venc:]]&gt;TODAY(),"Em Aberto",IF(Tabela2[[#This Row],[D/venc]]="-","Enviado",IF(Tabela2[[#This Row],[Dt Venc:]]=TODAY(),"Vence Hoje","Vencida")))</f>
        <v>Enviado</v>
      </c>
      <c r="F5433" s="3" t="str">
        <f ca="1">IF(G5433=1,"-",Tabela2[[#This Row],[Dt Venc:]]-TODAY())</f>
        <v>-</v>
      </c>
      <c r="G5433" s="3">
        <v>1</v>
      </c>
      <c r="H5433" s="3"/>
    </row>
    <row r="5434" spans="1:8" hidden="1">
      <c r="A5434" s="3">
        <v>54332</v>
      </c>
      <c r="B5434" s="7" t="s">
        <v>602</v>
      </c>
      <c r="C5434" s="41">
        <v>661.04</v>
      </c>
      <c r="D5434" s="6">
        <v>45692</v>
      </c>
      <c r="E5434" s="3" t="str">
        <f ca="1">IF(Tabela2[[#This Row],[Dt Venc:]]&gt;TODAY(),"Em Aberto",IF(Tabela2[[#This Row],[D/venc]]="-","Enviado",IF(Tabela2[[#This Row],[Dt Venc:]]=TODAY(),"Vence Hoje","Vencida")))</f>
        <v>Enviado</v>
      </c>
      <c r="F5434" s="3" t="str">
        <f ca="1">IF(G5434=1,"-",Tabela2[[#This Row],[Dt Venc:]]-TODAY())</f>
        <v>-</v>
      </c>
      <c r="G5434" s="3">
        <v>1</v>
      </c>
      <c r="H5434" s="3"/>
    </row>
    <row r="5435" spans="1:8" hidden="1">
      <c r="A5435" s="3">
        <v>108740</v>
      </c>
      <c r="B5435" s="7" t="s">
        <v>504</v>
      </c>
      <c r="C5435" s="41">
        <v>1106.67</v>
      </c>
      <c r="D5435" s="6">
        <v>45692</v>
      </c>
      <c r="E5435" s="3" t="str">
        <f ca="1">IF(Tabela2[[#This Row],[Dt Venc:]]&gt;TODAY(),"Em Aberto",IF(Tabela2[[#This Row],[D/venc]]="-","Enviado",IF(Tabela2[[#This Row],[Dt Venc:]]=TODAY(),"Vence Hoje","Vencida")))</f>
        <v>Enviado</v>
      </c>
      <c r="F5435" s="3" t="str">
        <f ca="1">IF(G5435=1,"-",Tabela2[[#This Row],[Dt Venc:]]-TODAY())</f>
        <v>-</v>
      </c>
      <c r="G5435" s="3">
        <v>1</v>
      </c>
      <c r="H5435" s="3"/>
    </row>
    <row r="5436" spans="1:8" hidden="1">
      <c r="A5436" s="3">
        <v>131348</v>
      </c>
      <c r="B5436" s="7" t="s">
        <v>389</v>
      </c>
      <c r="C5436" s="41">
        <v>386.98</v>
      </c>
      <c r="D5436" s="6">
        <v>45692</v>
      </c>
      <c r="E5436" s="3" t="str">
        <f ca="1">IF(Tabela2[[#This Row],[Dt Venc:]]&gt;TODAY(),"Em Aberto",IF(Tabela2[[#This Row],[D/venc]]="-","Enviado",IF(Tabela2[[#This Row],[Dt Venc:]]=TODAY(),"Vence Hoje","Vencida")))</f>
        <v>Enviado</v>
      </c>
      <c r="F5436" s="3" t="str">
        <f ca="1">IF(G5436=1,"-",Tabela2[[#This Row],[Dt Venc:]]-TODAY())</f>
        <v>-</v>
      </c>
      <c r="G5436" s="3">
        <v>1</v>
      </c>
      <c r="H5436" s="3"/>
    </row>
    <row r="5437" spans="1:8" hidden="1">
      <c r="A5437" s="3">
        <v>142945</v>
      </c>
      <c r="B5437" s="7" t="s">
        <v>484</v>
      </c>
      <c r="C5437" s="41">
        <v>390</v>
      </c>
      <c r="D5437" s="6">
        <v>45692</v>
      </c>
      <c r="E5437" s="3" t="str">
        <f ca="1">IF(Tabela2[[#This Row],[Dt Venc:]]&gt;TODAY(),"Em Aberto",IF(Tabela2[[#This Row],[D/venc]]="-","Enviado",IF(Tabela2[[#This Row],[Dt Venc:]]=TODAY(),"Vence Hoje","Vencida")))</f>
        <v>Enviado</v>
      </c>
      <c r="F5437" s="3" t="str">
        <f ca="1">IF(G5437=1,"-",Tabela2[[#This Row],[Dt Venc:]]-TODAY())</f>
        <v>-</v>
      </c>
      <c r="G5437" s="3">
        <v>1</v>
      </c>
      <c r="H5437" s="3"/>
    </row>
    <row r="5438" spans="1:8" hidden="1">
      <c r="A5438" s="3">
        <v>147571</v>
      </c>
      <c r="B5438" s="7" t="s">
        <v>127</v>
      </c>
      <c r="C5438" s="41">
        <v>560</v>
      </c>
      <c r="D5438" s="6">
        <v>45692</v>
      </c>
      <c r="E5438" s="3" t="str">
        <f ca="1">IF(Tabela2[[#This Row],[Dt Venc:]]&gt;TODAY(),"Em Aberto",IF(Tabela2[[#This Row],[D/venc]]="-","Enviado",IF(Tabela2[[#This Row],[Dt Venc:]]=TODAY(),"Vence Hoje","Vencida")))</f>
        <v>Enviado</v>
      </c>
      <c r="F5438" s="3" t="str">
        <f ca="1">IF(G5438=1,"-",Tabela2[[#This Row],[Dt Venc:]]-TODAY())</f>
        <v>-</v>
      </c>
      <c r="G5438" s="3">
        <v>1</v>
      </c>
      <c r="H5438" s="3"/>
    </row>
    <row r="5439" spans="1:8" hidden="1">
      <c r="A5439" s="3">
        <v>147572</v>
      </c>
      <c r="B5439" s="7" t="s">
        <v>127</v>
      </c>
      <c r="C5439" s="41">
        <v>560</v>
      </c>
      <c r="D5439" s="6">
        <v>45692</v>
      </c>
      <c r="E5439" s="3" t="str">
        <f ca="1">IF(Tabela2[[#This Row],[Dt Venc:]]&gt;TODAY(),"Em Aberto",IF(Tabela2[[#This Row],[D/venc]]="-","Enviado",IF(Tabela2[[#This Row],[Dt Venc:]]=TODAY(),"Vence Hoje","Vencida")))</f>
        <v>Enviado</v>
      </c>
      <c r="F5439" s="3" t="str">
        <f ca="1">IF(G5439=1,"-",Tabela2[[#This Row],[Dt Venc:]]-TODAY())</f>
        <v>-</v>
      </c>
      <c r="G5439" s="3">
        <v>1</v>
      </c>
      <c r="H5439" s="3"/>
    </row>
    <row r="5440" spans="1:8" hidden="1">
      <c r="A5440" s="3">
        <v>218159</v>
      </c>
      <c r="B5440" s="7" t="s">
        <v>59</v>
      </c>
      <c r="C5440" s="41">
        <v>28046.5</v>
      </c>
      <c r="D5440" s="6">
        <v>45692</v>
      </c>
      <c r="E5440" s="3" t="str">
        <f ca="1">IF(Tabela2[[#This Row],[Dt Venc:]]&gt;TODAY(),"Em Aberto",IF(Tabela2[[#This Row],[D/venc]]="-","Enviado",IF(Tabela2[[#This Row],[Dt Venc:]]=TODAY(),"Vence Hoje","Vencida")))</f>
        <v>Enviado</v>
      </c>
      <c r="F5440" s="3" t="str">
        <f ca="1">IF(G5440=1,"-",Tabela2[[#This Row],[Dt Venc:]]-TODAY())</f>
        <v>-</v>
      </c>
      <c r="G5440" s="3">
        <v>1</v>
      </c>
      <c r="H5440" s="3"/>
    </row>
    <row r="5441" spans="1:8" hidden="1">
      <c r="A5441" s="3">
        <v>233380</v>
      </c>
      <c r="B5441" s="7" t="s">
        <v>40</v>
      </c>
      <c r="C5441" s="41">
        <v>900</v>
      </c>
      <c r="D5441" s="6">
        <v>45692</v>
      </c>
      <c r="E5441" s="3" t="str">
        <f ca="1">IF(Tabela2[[#This Row],[Dt Venc:]]&gt;TODAY(),"Em Aberto",IF(Tabela2[[#This Row],[D/venc]]="-","Enviado",IF(Tabela2[[#This Row],[Dt Venc:]]=TODAY(),"Vence Hoje","Vencida")))</f>
        <v>Enviado</v>
      </c>
      <c r="F5441" s="3" t="str">
        <f ca="1">IF(G5441=1,"-",Tabela2[[#This Row],[Dt Venc:]]-TODAY())</f>
        <v>-</v>
      </c>
      <c r="G5441" s="3">
        <v>1</v>
      </c>
      <c r="H5441" s="3"/>
    </row>
    <row r="5442" spans="1:8" hidden="1">
      <c r="A5442" s="3">
        <v>240304</v>
      </c>
      <c r="B5442" s="7" t="s">
        <v>43</v>
      </c>
      <c r="C5442" s="41">
        <v>1295.55</v>
      </c>
      <c r="D5442" s="6">
        <v>45692</v>
      </c>
      <c r="E5442" s="3" t="str">
        <f ca="1">IF(Tabela2[[#This Row],[Dt Venc:]]&gt;TODAY(),"Em Aberto",IF(Tabela2[[#This Row],[D/venc]]="-","Enviado",IF(Tabela2[[#This Row],[Dt Venc:]]=TODAY(),"Vence Hoje","Vencida")))</f>
        <v>Enviado</v>
      </c>
      <c r="F5442" s="3" t="str">
        <f ca="1">IF(G5442=1,"-",Tabela2[[#This Row],[Dt Venc:]]-TODAY())</f>
        <v>-</v>
      </c>
      <c r="G5442" s="3">
        <v>1</v>
      </c>
      <c r="H5442" s="3"/>
    </row>
    <row r="5443" spans="1:8" hidden="1">
      <c r="A5443" s="3">
        <v>259441</v>
      </c>
      <c r="B5443" s="7" t="s">
        <v>49</v>
      </c>
      <c r="C5443" s="41">
        <v>1716.66</v>
      </c>
      <c r="D5443" s="6">
        <v>45692</v>
      </c>
      <c r="E5443" s="3" t="str">
        <f ca="1">IF(Tabela2[[#This Row],[Dt Venc:]]&gt;TODAY(),"Em Aberto",IF(Tabela2[[#This Row],[D/venc]]="-","Enviado",IF(Tabela2[[#This Row],[Dt Venc:]]=TODAY(),"Vence Hoje","Vencida")))</f>
        <v>Enviado</v>
      </c>
      <c r="F5443" s="3" t="str">
        <f ca="1">IF(G5443=1,"-",Tabela2[[#This Row],[Dt Venc:]]-TODAY())</f>
        <v>-</v>
      </c>
      <c r="G5443" s="3">
        <v>1</v>
      </c>
      <c r="H5443" s="3"/>
    </row>
    <row r="5444" spans="1:8" hidden="1">
      <c r="A5444" s="3">
        <v>265131</v>
      </c>
      <c r="B5444" s="7" t="s">
        <v>43</v>
      </c>
      <c r="C5444" s="41">
        <v>2658.18</v>
      </c>
      <c r="D5444" s="6">
        <v>45692</v>
      </c>
      <c r="E5444" s="3" t="str">
        <f ca="1">IF(Tabela2[[#This Row],[Dt Venc:]]&gt;TODAY(),"Em Aberto",IF(Tabela2[[#This Row],[D/venc]]="-","Enviado",IF(Tabela2[[#This Row],[Dt Venc:]]=TODAY(),"Vence Hoje","Vencida")))</f>
        <v>Enviado</v>
      </c>
      <c r="F5444" s="3" t="str">
        <f ca="1">IF(G5444=1,"-",Tabela2[[#This Row],[Dt Venc:]]-TODAY())</f>
        <v>-</v>
      </c>
      <c r="G5444" s="3">
        <v>1</v>
      </c>
      <c r="H5444" s="3"/>
    </row>
    <row r="5445" spans="1:8" hidden="1">
      <c r="A5445" s="3">
        <v>265431</v>
      </c>
      <c r="B5445" s="7" t="s">
        <v>43</v>
      </c>
      <c r="C5445" s="41">
        <v>1361.08</v>
      </c>
      <c r="D5445" s="6">
        <v>45692</v>
      </c>
      <c r="E5445" s="3" t="str">
        <f ca="1">IF(Tabela2[[#This Row],[Dt Venc:]]&gt;TODAY(),"Em Aberto",IF(Tabela2[[#This Row],[D/venc]]="-","Enviado",IF(Tabela2[[#This Row],[Dt Venc:]]=TODAY(),"Vence Hoje","Vencida")))</f>
        <v>Enviado</v>
      </c>
      <c r="F5445" s="3" t="str">
        <f ca="1">IF(G5445=1,"-",Tabela2[[#This Row],[Dt Venc:]]-TODAY())</f>
        <v>-</v>
      </c>
      <c r="G5445" s="3">
        <v>1</v>
      </c>
      <c r="H5445" s="3"/>
    </row>
    <row r="5446" spans="1:8" hidden="1">
      <c r="A5446" s="3">
        <v>268080</v>
      </c>
      <c r="B5446" s="7" t="s">
        <v>358</v>
      </c>
      <c r="C5446" s="41">
        <v>760</v>
      </c>
      <c r="D5446" s="6">
        <v>45692</v>
      </c>
      <c r="E5446" s="3" t="str">
        <f ca="1">IF(Tabela2[[#This Row],[Dt Venc:]]&gt;TODAY(),"Em Aberto",IF(Tabela2[[#This Row],[D/venc]]="-","Enviado",IF(Tabela2[[#This Row],[Dt Venc:]]=TODAY(),"Vence Hoje","Vencida")))</f>
        <v>Enviado</v>
      </c>
      <c r="F5446" s="3" t="str">
        <f ca="1">IF(G5446=1,"-",Tabela2[[#This Row],[Dt Venc:]]-TODAY())</f>
        <v>-</v>
      </c>
      <c r="G5446" s="3">
        <v>1</v>
      </c>
      <c r="H5446" s="3"/>
    </row>
    <row r="5447" spans="1:8" hidden="1">
      <c r="A5447" s="3">
        <v>274375</v>
      </c>
      <c r="B5447" s="7" t="s">
        <v>43</v>
      </c>
      <c r="C5447" s="41">
        <v>567.72</v>
      </c>
      <c r="D5447" s="6">
        <v>45692</v>
      </c>
      <c r="E5447" s="3" t="str">
        <f ca="1">IF(Tabela2[[#This Row],[Dt Venc:]]&gt;TODAY(),"Em Aberto",IF(Tabela2[[#This Row],[D/venc]]="-","Enviado",IF(Tabela2[[#This Row],[Dt Venc:]]=TODAY(),"Vence Hoje","Vencida")))</f>
        <v>Enviado</v>
      </c>
      <c r="F5447" s="3" t="str">
        <f ca="1">IF(G5447=1,"-",Tabela2[[#This Row],[Dt Venc:]]-TODAY())</f>
        <v>-</v>
      </c>
      <c r="G5447" s="3">
        <v>1</v>
      </c>
      <c r="H5447" s="3"/>
    </row>
    <row r="5448" spans="1:8" hidden="1">
      <c r="A5448" s="3">
        <v>303800</v>
      </c>
      <c r="B5448" s="7" t="s">
        <v>506</v>
      </c>
      <c r="C5448" s="41">
        <v>3073.8</v>
      </c>
      <c r="D5448" s="6">
        <v>45692</v>
      </c>
      <c r="E5448" s="3" t="str">
        <f ca="1">IF(Tabela2[[#This Row],[Dt Venc:]]&gt;TODAY(),"Em Aberto",IF(Tabela2[[#This Row],[D/venc]]="-","Enviado",IF(Tabela2[[#This Row],[Dt Venc:]]=TODAY(),"Vence Hoje","Vencida")))</f>
        <v>Enviado</v>
      </c>
      <c r="F5448" s="3" t="str">
        <f ca="1">IF(G5448=1,"-",Tabela2[[#This Row],[Dt Venc:]]-TODAY())</f>
        <v>-</v>
      </c>
      <c r="G5448" s="3">
        <v>1</v>
      </c>
      <c r="H5448" s="3"/>
    </row>
    <row r="5449" spans="1:8" hidden="1">
      <c r="A5449" s="3">
        <v>305978</v>
      </c>
      <c r="B5449" s="7" t="s">
        <v>572</v>
      </c>
      <c r="C5449" s="41">
        <v>1048.6600000000001</v>
      </c>
      <c r="D5449" s="6">
        <v>45692</v>
      </c>
      <c r="E5449" s="3" t="str">
        <f ca="1">IF(Tabela2[[#This Row],[Dt Venc:]]&gt;TODAY(),"Em Aberto",IF(Tabela2[[#This Row],[D/venc]]="-","Enviado",IF(Tabela2[[#This Row],[Dt Venc:]]=TODAY(),"Vence Hoje","Vencida")))</f>
        <v>Enviado</v>
      </c>
      <c r="F5449" s="3" t="str">
        <f ca="1">IF(G5449=1,"-",Tabela2[[#This Row],[Dt Venc:]]-TODAY())</f>
        <v>-</v>
      </c>
      <c r="G5449" s="3">
        <v>1</v>
      </c>
      <c r="H5449" s="3"/>
    </row>
    <row r="5450" spans="1:8" hidden="1">
      <c r="A5450" s="3">
        <v>306004</v>
      </c>
      <c r="B5450" s="7" t="s">
        <v>506</v>
      </c>
      <c r="C5450" s="41">
        <v>3476.08</v>
      </c>
      <c r="D5450" s="6">
        <v>45692</v>
      </c>
      <c r="E5450" s="3" t="str">
        <f ca="1">IF(Tabela2[[#This Row],[Dt Venc:]]&gt;TODAY(),"Em Aberto",IF(Tabela2[[#This Row],[D/venc]]="-","Enviado",IF(Tabela2[[#This Row],[Dt Venc:]]=TODAY(),"Vence Hoje","Vencida")))</f>
        <v>Enviado</v>
      </c>
      <c r="F5450" s="3" t="str">
        <f ca="1">IF(G5450=1,"-",Tabela2[[#This Row],[Dt Venc:]]-TODAY())</f>
        <v>-</v>
      </c>
      <c r="G5450" s="3">
        <v>1</v>
      </c>
      <c r="H5450" s="3"/>
    </row>
    <row r="5451" spans="1:8" hidden="1">
      <c r="A5451" s="3">
        <v>328413</v>
      </c>
      <c r="B5451" s="7" t="s">
        <v>77</v>
      </c>
      <c r="C5451" s="41">
        <v>606.66999999999996</v>
      </c>
      <c r="D5451" s="6">
        <v>45692</v>
      </c>
      <c r="E5451" s="3" t="str">
        <f ca="1">IF(Tabela2[[#This Row],[Dt Venc:]]&gt;TODAY(),"Em Aberto",IF(Tabela2[[#This Row],[D/venc]]="-","Enviado",IF(Tabela2[[#This Row],[Dt Venc:]]=TODAY(),"Vence Hoje","Vencida")))</f>
        <v>Enviado</v>
      </c>
      <c r="F5451" s="3" t="str">
        <f ca="1">IF(G5451=1,"-",Tabela2[[#This Row],[Dt Venc:]]-TODAY())</f>
        <v>-</v>
      </c>
      <c r="G5451" s="3">
        <v>1</v>
      </c>
      <c r="H5451" s="3"/>
    </row>
    <row r="5452" spans="1:8" hidden="1">
      <c r="A5452" s="3">
        <v>372166</v>
      </c>
      <c r="B5452" s="7" t="s">
        <v>39</v>
      </c>
      <c r="C5452" s="41">
        <v>609.72</v>
      </c>
      <c r="D5452" s="6">
        <v>45692</v>
      </c>
      <c r="E5452" s="3" t="str">
        <f ca="1">IF(Tabela2[[#This Row],[Dt Venc:]]&gt;TODAY(),"Em Aberto",IF(Tabela2[[#This Row],[D/venc]]="-","Enviado",IF(Tabela2[[#This Row],[Dt Venc:]]=TODAY(),"Vence Hoje","Vencida")))</f>
        <v>Enviado</v>
      </c>
      <c r="F5452" s="3" t="str">
        <f ca="1">IF(G5452=1,"-",Tabela2[[#This Row],[Dt Venc:]]-TODAY())</f>
        <v>-</v>
      </c>
      <c r="G5452" s="3">
        <v>1</v>
      </c>
      <c r="H5452" s="3"/>
    </row>
    <row r="5453" spans="1:8" hidden="1">
      <c r="A5453" s="3">
        <v>374511</v>
      </c>
      <c r="B5453" s="7" t="s">
        <v>39</v>
      </c>
      <c r="C5453" s="41">
        <v>503.44</v>
      </c>
      <c r="D5453" s="6">
        <v>45692</v>
      </c>
      <c r="E5453" s="3" t="str">
        <f ca="1">IF(Tabela2[[#This Row],[Dt Venc:]]&gt;TODAY(),"Em Aberto",IF(Tabela2[[#This Row],[D/venc]]="-","Enviado",IF(Tabela2[[#This Row],[Dt Venc:]]=TODAY(),"Vence Hoje","Vencida")))</f>
        <v>Enviado</v>
      </c>
      <c r="F5453" s="3" t="str">
        <f ca="1">IF(G5453=1,"-",Tabela2[[#This Row],[Dt Venc:]]-TODAY())</f>
        <v>-</v>
      </c>
      <c r="G5453" s="3">
        <v>1</v>
      </c>
      <c r="H5453" s="3"/>
    </row>
    <row r="5454" spans="1:8" hidden="1">
      <c r="A5454" s="3">
        <v>583800</v>
      </c>
      <c r="B5454" s="7" t="s">
        <v>79</v>
      </c>
      <c r="C5454" s="41">
        <v>4960.62</v>
      </c>
      <c r="D5454" s="6">
        <v>45692</v>
      </c>
      <c r="E5454" s="3" t="str">
        <f ca="1">IF(Tabela2[[#This Row],[Dt Venc:]]&gt;TODAY(),"Em Aberto",IF(Tabela2[[#This Row],[D/venc]]="-","Enviado",IF(Tabela2[[#This Row],[Dt Venc:]]=TODAY(),"Vence Hoje","Vencida")))</f>
        <v>Enviado</v>
      </c>
      <c r="F5454" s="3" t="str">
        <f ca="1">IF(G5454=1,"-",Tabela2[[#This Row],[Dt Venc:]]-TODAY())</f>
        <v>-</v>
      </c>
      <c r="G5454" s="3">
        <v>1</v>
      </c>
      <c r="H5454" s="3"/>
    </row>
    <row r="5455" spans="1:8" hidden="1">
      <c r="A5455" s="3">
        <v>616429</v>
      </c>
      <c r="B5455" s="7" t="s">
        <v>66</v>
      </c>
      <c r="C5455" s="41">
        <v>2838.78</v>
      </c>
      <c r="D5455" s="6">
        <v>45692</v>
      </c>
      <c r="E5455" s="3" t="str">
        <f ca="1">IF(Tabela2[[#This Row],[Dt Venc:]]&gt;TODAY(),"Em Aberto",IF(Tabela2[[#This Row],[D/venc]]="-","Enviado",IF(Tabela2[[#This Row],[Dt Venc:]]=TODAY(),"Vence Hoje","Vencida")))</f>
        <v>Enviado</v>
      </c>
      <c r="F5455" s="3" t="str">
        <f ca="1">IF(G5455=1,"-",Tabela2[[#This Row],[Dt Venc:]]-TODAY())</f>
        <v>-</v>
      </c>
      <c r="G5455" s="3">
        <v>1</v>
      </c>
      <c r="H5455" s="3"/>
    </row>
    <row r="5456" spans="1:8" hidden="1">
      <c r="A5456" s="3">
        <v>616465</v>
      </c>
      <c r="B5456" s="7" t="s">
        <v>66</v>
      </c>
      <c r="C5456" s="41">
        <v>462</v>
      </c>
      <c r="D5456" s="6">
        <v>45692</v>
      </c>
      <c r="E5456" s="3" t="str">
        <f ca="1">IF(Tabela2[[#This Row],[Dt Venc:]]&gt;TODAY(),"Em Aberto",IF(Tabela2[[#This Row],[D/venc]]="-","Enviado",IF(Tabela2[[#This Row],[Dt Venc:]]=TODAY(),"Vence Hoje","Vencida")))</f>
        <v>Enviado</v>
      </c>
      <c r="F5456" s="3" t="str">
        <f ca="1">IF(G5456=1,"-",Tabela2[[#This Row],[Dt Venc:]]-TODAY())</f>
        <v>-</v>
      </c>
      <c r="G5456" s="3">
        <v>1</v>
      </c>
      <c r="H5456" s="3"/>
    </row>
    <row r="5457" spans="1:8" hidden="1">
      <c r="A5457" s="3">
        <v>620230</v>
      </c>
      <c r="B5457" s="7" t="s">
        <v>66</v>
      </c>
      <c r="C5457" s="41">
        <v>3353.79</v>
      </c>
      <c r="D5457" s="6">
        <v>45692</v>
      </c>
      <c r="E5457" s="3" t="str">
        <f ca="1">IF(Tabela2[[#This Row],[Dt Venc:]]&gt;TODAY(),"Em Aberto",IF(Tabela2[[#This Row],[D/venc]]="-","Enviado",IF(Tabela2[[#This Row],[Dt Venc:]]=TODAY(),"Vence Hoje","Vencida")))</f>
        <v>Enviado</v>
      </c>
      <c r="F5457" s="3" t="str">
        <f ca="1">IF(G5457=1,"-",Tabela2[[#This Row],[Dt Venc:]]-TODAY())</f>
        <v>-</v>
      </c>
      <c r="G5457" s="3">
        <v>1</v>
      </c>
      <c r="H5457" s="3"/>
    </row>
    <row r="5458" spans="1:8" hidden="1">
      <c r="A5458" s="3">
        <v>762032</v>
      </c>
      <c r="B5458" s="7" t="s">
        <v>127</v>
      </c>
      <c r="C5458" s="41">
        <v>469.5</v>
      </c>
      <c r="D5458" s="6">
        <v>45692</v>
      </c>
      <c r="E5458" s="3" t="str">
        <f ca="1">IF(Tabela2[[#This Row],[Dt Venc:]]&gt;TODAY(),"Em Aberto",IF(Tabela2[[#This Row],[D/venc]]="-","Enviado",IF(Tabela2[[#This Row],[Dt Venc:]]=TODAY(),"Vence Hoje","Vencida")))</f>
        <v>Enviado</v>
      </c>
      <c r="F5458" s="3" t="str">
        <f ca="1">IF(G5458=1,"-",Tabela2[[#This Row],[Dt Venc:]]-TODAY())</f>
        <v>-</v>
      </c>
      <c r="G5458" s="3">
        <v>1</v>
      </c>
      <c r="H5458" s="3"/>
    </row>
    <row r="5459" spans="1:8" hidden="1">
      <c r="A5459" s="3">
        <v>762033</v>
      </c>
      <c r="B5459" s="7" t="s">
        <v>127</v>
      </c>
      <c r="C5459" s="41">
        <v>469.5</v>
      </c>
      <c r="D5459" s="6">
        <v>45692</v>
      </c>
      <c r="E5459" s="3" t="str">
        <f ca="1">IF(Tabela2[[#This Row],[Dt Venc:]]&gt;TODAY(),"Em Aberto",IF(Tabela2[[#This Row],[D/venc]]="-","Enviado",IF(Tabela2[[#This Row],[Dt Venc:]]=TODAY(),"Vence Hoje","Vencida")))</f>
        <v>Enviado</v>
      </c>
      <c r="F5459" s="3" t="str">
        <f ca="1">IF(G5459=1,"-",Tabela2[[#This Row],[Dt Venc:]]-TODAY())</f>
        <v>-</v>
      </c>
      <c r="G5459" s="3">
        <v>1</v>
      </c>
      <c r="H5459" s="3"/>
    </row>
    <row r="5460" spans="1:8" hidden="1">
      <c r="A5460" s="3">
        <v>1000278</v>
      </c>
      <c r="B5460" s="7" t="s">
        <v>673</v>
      </c>
      <c r="C5460" s="41">
        <v>3600</v>
      </c>
      <c r="D5460" s="6">
        <v>45692</v>
      </c>
      <c r="E5460" s="3" t="str">
        <f ca="1">IF(Tabela2[[#This Row],[Dt Venc:]]&gt;TODAY(),"Em Aberto",IF(Tabela2[[#This Row],[D/venc]]="-","Enviado",IF(Tabela2[[#This Row],[Dt Venc:]]=TODAY(),"Vence Hoje","Vencida")))</f>
        <v>Enviado</v>
      </c>
      <c r="F5460" s="3" t="str">
        <f ca="1">IF(G5460=1,"-",Tabela2[[#This Row],[Dt Venc:]]-TODAY())</f>
        <v>-</v>
      </c>
      <c r="G5460" s="3">
        <v>1</v>
      </c>
      <c r="H5460" s="3"/>
    </row>
    <row r="5461" spans="1:8" hidden="1">
      <c r="A5461" s="3">
        <v>1412616</v>
      </c>
      <c r="B5461" s="7" t="s">
        <v>151</v>
      </c>
      <c r="C5461" s="41">
        <v>504.32</v>
      </c>
      <c r="D5461" s="6">
        <v>45692</v>
      </c>
      <c r="E5461" s="3" t="str">
        <f ca="1">IF(Tabela2[[#This Row],[Dt Venc:]]&gt;TODAY(),"Em Aberto",IF(Tabela2[[#This Row],[D/venc]]="-","Enviado",IF(Tabela2[[#This Row],[Dt Venc:]]=TODAY(),"Vence Hoje","Vencida")))</f>
        <v>Enviado</v>
      </c>
      <c r="F5461" s="3" t="str">
        <f ca="1">IF(G5461=1,"-",Tabela2[[#This Row],[Dt Venc:]]-TODAY())</f>
        <v>-</v>
      </c>
      <c r="G5461" s="3">
        <v>1</v>
      </c>
      <c r="H5461" s="3"/>
    </row>
    <row r="5462" spans="1:8" hidden="1">
      <c r="A5462" s="3">
        <v>2290959</v>
      </c>
      <c r="B5462" s="7" t="s">
        <v>59</v>
      </c>
      <c r="C5462" s="41">
        <v>55564</v>
      </c>
      <c r="D5462" s="6">
        <v>45692</v>
      </c>
      <c r="E5462" s="3" t="str">
        <f ca="1">IF(Tabela2[[#This Row],[Dt Venc:]]&gt;TODAY(),"Em Aberto",IF(Tabela2[[#This Row],[D/venc]]="-","Enviado",IF(Tabela2[[#This Row],[Dt Venc:]]=TODAY(),"Vence Hoje","Vencida")))</f>
        <v>Enviado</v>
      </c>
      <c r="F5462" s="3" t="str">
        <f ca="1">IF(G5462=1,"-",Tabela2[[#This Row],[Dt Venc:]]-TODAY())</f>
        <v>-</v>
      </c>
      <c r="G5462" s="3">
        <v>1</v>
      </c>
      <c r="H5462" s="3"/>
    </row>
    <row r="5463" spans="1:8" hidden="1">
      <c r="A5463" s="3">
        <v>2518457</v>
      </c>
      <c r="B5463" s="7" t="s">
        <v>671</v>
      </c>
      <c r="C5463" s="41">
        <v>81151.5</v>
      </c>
      <c r="D5463" s="6">
        <v>45692</v>
      </c>
      <c r="E5463" s="3" t="str">
        <f ca="1">IF(Tabela2[[#This Row],[Dt Venc:]]&gt;TODAY(),"Em Aberto",IF(Tabela2[[#This Row],[D/venc]]="-","Enviado",IF(Tabela2[[#This Row],[Dt Venc:]]=TODAY(),"Vence Hoje","Vencida")))</f>
        <v>Enviado</v>
      </c>
      <c r="F5463" s="3" t="str">
        <f ca="1">IF(G5463=1,"-",Tabela2[[#This Row],[Dt Venc:]]-TODAY())</f>
        <v>-</v>
      </c>
      <c r="G5463" s="3">
        <v>1</v>
      </c>
      <c r="H5463" s="3"/>
    </row>
    <row r="5464" spans="1:8" hidden="1">
      <c r="A5464" s="3">
        <v>75</v>
      </c>
      <c r="B5464" s="7" t="s">
        <v>674</v>
      </c>
      <c r="C5464" s="41">
        <v>720</v>
      </c>
      <c r="D5464" s="6">
        <v>45693</v>
      </c>
      <c r="E5464" s="3" t="str">
        <f ca="1">IF(Tabela2[[#This Row],[Dt Venc:]]&gt;TODAY(),"Em Aberto",IF(Tabela2[[#This Row],[D/venc]]="-","Enviado",IF(Tabela2[[#This Row],[Dt Venc:]]=TODAY(),"Vence Hoje","Vencida")))</f>
        <v>Enviado</v>
      </c>
      <c r="F5464" s="3" t="str">
        <f ca="1">IF(G5464=1,"-",Tabela2[[#This Row],[Dt Venc:]]-TODAY())</f>
        <v>-</v>
      </c>
      <c r="G5464" s="3">
        <v>1</v>
      </c>
      <c r="H5464" s="3"/>
    </row>
    <row r="5465" spans="1:8" hidden="1">
      <c r="A5465" s="3">
        <v>549</v>
      </c>
      <c r="B5465" s="7" t="s">
        <v>363</v>
      </c>
      <c r="C5465" s="41">
        <v>1133.33</v>
      </c>
      <c r="D5465" s="6">
        <v>45693</v>
      </c>
      <c r="E5465" s="3" t="str">
        <f ca="1">IF(Tabela2[[#This Row],[Dt Venc:]]&gt;TODAY(),"Em Aberto",IF(Tabela2[[#This Row],[D/venc]]="-","Enviado",IF(Tabela2[[#This Row],[Dt Venc:]]=TODAY(),"Vence Hoje","Vencida")))</f>
        <v>Enviado</v>
      </c>
      <c r="F5465" s="3" t="str">
        <f ca="1">IF(G5465=1,"-",Tabela2[[#This Row],[Dt Venc:]]-TODAY())</f>
        <v>-</v>
      </c>
      <c r="G5465" s="3">
        <v>1</v>
      </c>
      <c r="H5465" s="3"/>
    </row>
    <row r="5466" spans="1:8" hidden="1">
      <c r="A5466" s="3">
        <v>1221</v>
      </c>
      <c r="B5466" s="7" t="s">
        <v>416</v>
      </c>
      <c r="C5466" s="41">
        <v>1553.33</v>
      </c>
      <c r="D5466" s="6">
        <v>45693</v>
      </c>
      <c r="E5466" s="3" t="str">
        <f ca="1">IF(Tabela2[[#This Row],[Dt Venc:]]&gt;TODAY(),"Em Aberto",IF(Tabela2[[#This Row],[D/venc]]="-","Enviado",IF(Tabela2[[#This Row],[Dt Venc:]]=TODAY(),"Vence Hoje","Vencida")))</f>
        <v>Enviado</v>
      </c>
      <c r="F5466" s="3" t="str">
        <f ca="1">IF(G5466=1,"-",Tabela2[[#This Row],[Dt Venc:]]-TODAY())</f>
        <v>-</v>
      </c>
      <c r="G5466" s="3">
        <v>1</v>
      </c>
      <c r="H5466" s="3"/>
    </row>
    <row r="5467" spans="1:8" hidden="1">
      <c r="A5467" s="3">
        <v>1470</v>
      </c>
      <c r="B5467" s="7" t="s">
        <v>352</v>
      </c>
      <c r="C5467" s="41">
        <v>395</v>
      </c>
      <c r="D5467" s="6">
        <v>45693</v>
      </c>
      <c r="E5467" s="3" t="str">
        <f ca="1">IF(Tabela2[[#This Row],[Dt Venc:]]&gt;TODAY(),"Em Aberto",IF(Tabela2[[#This Row],[D/venc]]="-","Enviado",IF(Tabela2[[#This Row],[Dt Venc:]]=TODAY(),"Vence Hoje","Vencida")))</f>
        <v>Enviado</v>
      </c>
      <c r="F5467" s="3" t="str">
        <f ca="1">IF(G5467=1,"-",Tabela2[[#This Row],[Dt Venc:]]-TODAY())</f>
        <v>-</v>
      </c>
      <c r="G5467" s="3">
        <v>1</v>
      </c>
      <c r="H5467" s="3"/>
    </row>
    <row r="5468" spans="1:8" hidden="1">
      <c r="A5468" s="3">
        <v>1806</v>
      </c>
      <c r="B5468" s="7" t="s">
        <v>135</v>
      </c>
      <c r="C5468" s="41">
        <v>1370</v>
      </c>
      <c r="D5468" s="6">
        <v>45693</v>
      </c>
      <c r="E5468" s="3" t="str">
        <f ca="1">IF(Tabela2[[#This Row],[Dt Venc:]]&gt;TODAY(),"Em Aberto",IF(Tabela2[[#This Row],[D/venc]]="-","Enviado",IF(Tabela2[[#This Row],[Dt Venc:]]=TODAY(),"Vence Hoje","Vencida")))</f>
        <v>Enviado</v>
      </c>
      <c r="F5468" s="3" t="str">
        <f ca="1">IF(G5468=1,"-",Tabela2[[#This Row],[Dt Venc:]]-TODAY())</f>
        <v>-</v>
      </c>
      <c r="G5468" s="3">
        <v>1</v>
      </c>
      <c r="H5468" s="3"/>
    </row>
    <row r="5469" spans="1:8" hidden="1">
      <c r="A5469" s="3">
        <v>1861</v>
      </c>
      <c r="B5469" s="7" t="s">
        <v>352</v>
      </c>
      <c r="C5469" s="41">
        <v>200</v>
      </c>
      <c r="D5469" s="6">
        <v>45693</v>
      </c>
      <c r="E5469" s="3" t="str">
        <f ca="1">IF(Tabela2[[#This Row],[Dt Venc:]]&gt;TODAY(),"Em Aberto",IF(Tabela2[[#This Row],[D/venc]]="-","Enviado",IF(Tabela2[[#This Row],[Dt Venc:]]=TODAY(),"Vence Hoje","Vencida")))</f>
        <v>Enviado</v>
      </c>
      <c r="F5469" s="3" t="str">
        <f ca="1">IF(G5469=1,"-",Tabela2[[#This Row],[Dt Venc:]]-TODAY())</f>
        <v>-</v>
      </c>
      <c r="G5469" s="3">
        <v>1</v>
      </c>
      <c r="H5469" s="3"/>
    </row>
    <row r="5470" spans="1:8" hidden="1">
      <c r="A5470" s="3" t="s">
        <v>28</v>
      </c>
      <c r="B5470" s="7" t="s">
        <v>255</v>
      </c>
      <c r="C5470" s="86" t="s">
        <v>30</v>
      </c>
      <c r="D5470" s="6">
        <v>45689</v>
      </c>
      <c r="E5470" s="3" t="str">
        <f ca="1">IF(Tabela2[[#This Row],[Dt Venc:]]&gt;TODAY(),"Em Aberto",IF(Tabela2[[#This Row],[D/venc]]="-","Enviado",IF(Tabela2[[#This Row],[Dt Venc:]]=TODAY(),"Vence Hoje","Vencida")))</f>
        <v>Enviado</v>
      </c>
      <c r="F5470" s="3" t="str">
        <f ca="1">IF(G5470=1,"-",Tabela2[[#This Row],[Dt Venc:]]-TODAY())</f>
        <v>-</v>
      </c>
      <c r="G5470" s="3">
        <v>1</v>
      </c>
      <c r="H5470" s="3"/>
    </row>
    <row r="5471" spans="1:8" hidden="1">
      <c r="A5471" s="3" t="s">
        <v>68</v>
      </c>
      <c r="B5471" s="7" t="s">
        <v>69</v>
      </c>
      <c r="C5471" s="88" t="s">
        <v>30</v>
      </c>
      <c r="D5471" s="6">
        <v>45690</v>
      </c>
      <c r="E5471" s="3" t="str">
        <f ca="1">IF(Tabela2[[#This Row],[Dt Venc:]]&gt;TODAY(),"Em Aberto",IF(Tabela2[[#This Row],[D/venc]]="-","Enviado",IF(Tabela2[[#This Row],[Dt Venc:]]=TODAY(),"Vence Hoje","Vencida")))</f>
        <v>Enviado</v>
      </c>
      <c r="F5471" s="3" t="str">
        <f ca="1">IF(G5471=1,"-",Tabela2[[#This Row],[Dt Venc:]]-TODAY())</f>
        <v>-</v>
      </c>
      <c r="G5471" s="3">
        <v>1</v>
      </c>
      <c r="H5471" s="3"/>
    </row>
    <row r="5472" spans="1:8" hidden="1">
      <c r="A5472" s="3">
        <v>2341</v>
      </c>
      <c r="B5472" s="7" t="s">
        <v>45</v>
      </c>
      <c r="C5472" s="41">
        <v>1420</v>
      </c>
      <c r="D5472" s="6">
        <v>45693</v>
      </c>
      <c r="E5472" s="3" t="str">
        <f ca="1">IF(Tabela2[[#This Row],[Dt Venc:]]&gt;TODAY(),"Em Aberto",IF(Tabela2[[#This Row],[D/venc]]="-","Enviado",IF(Tabela2[[#This Row],[Dt Venc:]]=TODAY(),"Vence Hoje","Vencida")))</f>
        <v>Enviado</v>
      </c>
      <c r="F5472" s="3" t="str">
        <f ca="1">IF(G5472=1,"-",Tabela2[[#This Row],[Dt Venc:]]-TODAY())</f>
        <v>-</v>
      </c>
      <c r="G5472" s="3">
        <v>1</v>
      </c>
      <c r="H5472" s="3"/>
    </row>
    <row r="5473" spans="1:8" hidden="1">
      <c r="A5473" s="3">
        <v>3195</v>
      </c>
      <c r="B5473" s="7" t="s">
        <v>114</v>
      </c>
      <c r="C5473" s="42">
        <v>160</v>
      </c>
      <c r="D5473" s="6">
        <v>45693</v>
      </c>
      <c r="E5473" s="3" t="str">
        <f ca="1">IF(Tabela2[[#This Row],[Dt Venc:]]&gt;TODAY(),"Em Aberto",IF(Tabela2[[#This Row],[D/venc]]="-","Enviado",IF(Tabela2[[#This Row],[Dt Venc:]]=TODAY(),"Vence Hoje","Vencida")))</f>
        <v>Enviado</v>
      </c>
      <c r="F5473" s="3" t="str">
        <f ca="1">IF(G5473=1,"-",Tabela2[[#This Row],[Dt Venc:]]-TODAY())</f>
        <v>-</v>
      </c>
      <c r="G5473" s="3">
        <v>1</v>
      </c>
      <c r="H5473" s="3"/>
    </row>
    <row r="5474" spans="1:8" hidden="1">
      <c r="A5474" s="3">
        <v>5647</v>
      </c>
      <c r="B5474" s="7" t="s">
        <v>515</v>
      </c>
      <c r="C5474" s="41">
        <v>1013.65</v>
      </c>
      <c r="D5474" s="6">
        <v>45693</v>
      </c>
      <c r="E5474" s="3" t="str">
        <f ca="1">IF(Tabela2[[#This Row],[Dt Venc:]]&gt;TODAY(),"Em Aberto",IF(Tabela2[[#This Row],[D/venc]]="-","Enviado",IF(Tabela2[[#This Row],[Dt Venc:]]=TODAY(),"Vence Hoje","Vencida")))</f>
        <v>Enviado</v>
      </c>
      <c r="F5474" s="3" t="str">
        <f ca="1">IF(G5474=1,"-",Tabela2[[#This Row],[Dt Venc:]]-TODAY())</f>
        <v>-</v>
      </c>
      <c r="G5474" s="3">
        <v>1</v>
      </c>
      <c r="H5474" s="3"/>
    </row>
    <row r="5475" spans="1:8" hidden="1">
      <c r="A5475" s="3">
        <v>6914</v>
      </c>
      <c r="B5475" s="7" t="s">
        <v>43</v>
      </c>
      <c r="C5475" s="41">
        <v>380.66</v>
      </c>
      <c r="D5475" s="6">
        <v>45693</v>
      </c>
      <c r="E5475" s="3" t="str">
        <f ca="1">IF(Tabela2[[#This Row],[Dt Venc:]]&gt;TODAY(),"Em Aberto",IF(Tabela2[[#This Row],[D/venc]]="-","Enviado",IF(Tabela2[[#This Row],[Dt Venc:]]=TODAY(),"Vence Hoje","Vencida")))</f>
        <v>Enviado</v>
      </c>
      <c r="F5475" s="3" t="str">
        <f ca="1">IF(G5475=1,"-",Tabela2[[#This Row],[Dt Venc:]]-TODAY())</f>
        <v>-</v>
      </c>
      <c r="G5475" s="3">
        <v>1</v>
      </c>
      <c r="H5475" s="3"/>
    </row>
    <row r="5476" spans="1:8" hidden="1">
      <c r="A5476" s="3">
        <v>11199</v>
      </c>
      <c r="B5476" s="7" t="s">
        <v>33</v>
      </c>
      <c r="C5476" s="41">
        <v>2000</v>
      </c>
      <c r="D5476" s="6">
        <v>45693</v>
      </c>
      <c r="E5476" s="3" t="str">
        <f ca="1">IF(Tabela2[[#This Row],[Dt Venc:]]&gt;TODAY(),"Em Aberto",IF(Tabela2[[#This Row],[D/venc]]="-","Enviado",IF(Tabela2[[#This Row],[Dt Venc:]]=TODAY(),"Vence Hoje","Vencida")))</f>
        <v>Enviado</v>
      </c>
      <c r="F5476" s="3" t="str">
        <f ca="1">IF(G5476=1,"-",Tabela2[[#This Row],[Dt Venc:]]-TODAY())</f>
        <v>-</v>
      </c>
      <c r="G5476" s="3">
        <v>1</v>
      </c>
      <c r="H5476" s="3"/>
    </row>
    <row r="5477" spans="1:8" hidden="1">
      <c r="A5477" s="3">
        <v>11886</v>
      </c>
      <c r="B5477" s="7" t="s">
        <v>434</v>
      </c>
      <c r="C5477" s="41">
        <v>760</v>
      </c>
      <c r="D5477" s="6">
        <v>45693</v>
      </c>
      <c r="E5477" s="3" t="str">
        <f ca="1">IF(Tabela2[[#This Row],[Dt Venc:]]&gt;TODAY(),"Em Aberto",IF(Tabela2[[#This Row],[D/venc]]="-","Enviado",IF(Tabela2[[#This Row],[Dt Venc:]]=TODAY(),"Vence Hoje","Vencida")))</f>
        <v>Enviado</v>
      </c>
      <c r="F5477" s="3" t="str">
        <f ca="1">IF(G5477=1,"-",Tabela2[[#This Row],[Dt Venc:]]-TODAY())</f>
        <v>-</v>
      </c>
      <c r="G5477" s="3">
        <v>1</v>
      </c>
      <c r="H5477" s="3"/>
    </row>
    <row r="5478" spans="1:8" hidden="1">
      <c r="A5478" s="3">
        <v>12513</v>
      </c>
      <c r="B5478" s="7" t="s">
        <v>211</v>
      </c>
      <c r="C5478" s="41">
        <v>790</v>
      </c>
      <c r="D5478" s="6">
        <v>45693</v>
      </c>
      <c r="E5478" s="3" t="str">
        <f ca="1">IF(Tabela2[[#This Row],[Dt Venc:]]&gt;TODAY(),"Em Aberto",IF(Tabela2[[#This Row],[D/venc]]="-","Enviado",IF(Tabela2[[#This Row],[Dt Venc:]]=TODAY(),"Vence Hoje","Vencida")))</f>
        <v>Enviado</v>
      </c>
      <c r="F5478" s="3" t="str">
        <f ca="1">IF(G5478=1,"-",Tabela2[[#This Row],[Dt Venc:]]-TODAY())</f>
        <v>-</v>
      </c>
      <c r="G5478" s="3">
        <v>1</v>
      </c>
      <c r="H5478" s="3"/>
    </row>
    <row r="5479" spans="1:8" hidden="1">
      <c r="A5479" s="3">
        <v>13599</v>
      </c>
      <c r="B5479" s="7" t="s">
        <v>675</v>
      </c>
      <c r="C5479" s="41">
        <v>2971.59</v>
      </c>
      <c r="D5479" s="6">
        <v>45693</v>
      </c>
      <c r="E5479" s="3" t="str">
        <f ca="1">IF(Tabela2[[#This Row],[Dt Venc:]]&gt;TODAY(),"Em Aberto",IF(Tabela2[[#This Row],[D/venc]]="-","Enviado",IF(Tabela2[[#This Row],[Dt Venc:]]=TODAY(),"Vence Hoje","Vencida")))</f>
        <v>Enviado</v>
      </c>
      <c r="F5479" s="3" t="str">
        <f ca="1">IF(G5479=1,"-",Tabela2[[#This Row],[Dt Venc:]]-TODAY())</f>
        <v>-</v>
      </c>
      <c r="G5479" s="3">
        <v>1</v>
      </c>
      <c r="H5479" s="3"/>
    </row>
    <row r="5480" spans="1:8" hidden="1">
      <c r="A5480" s="3">
        <v>14100</v>
      </c>
      <c r="B5480" s="7" t="s">
        <v>400</v>
      </c>
      <c r="C5480" s="41">
        <v>586.12</v>
      </c>
      <c r="D5480" s="6">
        <v>45693</v>
      </c>
      <c r="E5480" s="3" t="str">
        <f ca="1">IF(Tabela2[[#This Row],[Dt Venc:]]&gt;TODAY(),"Em Aberto",IF(Tabela2[[#This Row],[D/venc]]="-","Enviado",IF(Tabela2[[#This Row],[Dt Venc:]]=TODAY(),"Vence Hoje","Vencida")))</f>
        <v>Enviado</v>
      </c>
      <c r="F5480" s="3" t="str">
        <f ca="1">IF(G5480=1,"-",Tabela2[[#This Row],[Dt Venc:]]-TODAY())</f>
        <v>-</v>
      </c>
      <c r="G5480" s="3">
        <v>1</v>
      </c>
      <c r="H5480" s="3"/>
    </row>
    <row r="5481" spans="1:8" hidden="1">
      <c r="A5481" s="3">
        <v>14324</v>
      </c>
      <c r="B5481" s="7" t="s">
        <v>614</v>
      </c>
      <c r="C5481" s="41">
        <v>733.33</v>
      </c>
      <c r="D5481" s="6">
        <v>45693</v>
      </c>
      <c r="E5481" s="3" t="str">
        <f ca="1">IF(Tabela2[[#This Row],[Dt Venc:]]&gt;TODAY(),"Em Aberto",IF(Tabela2[[#This Row],[D/venc]]="-","Enviado",IF(Tabela2[[#This Row],[Dt Venc:]]=TODAY(),"Vence Hoje","Vencida")))</f>
        <v>Enviado</v>
      </c>
      <c r="F5481" s="3" t="str">
        <f ca="1">IF(G5481=1,"-",Tabela2[[#This Row],[Dt Venc:]]-TODAY())</f>
        <v>-</v>
      </c>
      <c r="G5481" s="3">
        <v>1</v>
      </c>
      <c r="H5481" s="3"/>
    </row>
    <row r="5482" spans="1:8" hidden="1">
      <c r="A5482" s="3">
        <v>15361</v>
      </c>
      <c r="B5482" s="7" t="s">
        <v>44</v>
      </c>
      <c r="C5482" s="41">
        <v>850</v>
      </c>
      <c r="D5482" s="6">
        <v>45693</v>
      </c>
      <c r="E5482" s="3" t="str">
        <f ca="1">IF(Tabela2[[#This Row],[Dt Venc:]]&gt;TODAY(),"Em Aberto",IF(Tabela2[[#This Row],[D/venc]]="-","Enviado",IF(Tabela2[[#This Row],[Dt Venc:]]=TODAY(),"Vence Hoje","Vencida")))</f>
        <v>Enviado</v>
      </c>
      <c r="F5482" s="3" t="str">
        <f ca="1">IF(G5482=1,"-",Tabela2[[#This Row],[Dt Venc:]]-TODAY())</f>
        <v>-</v>
      </c>
      <c r="G5482" s="3">
        <v>1</v>
      </c>
      <c r="H5482" s="3"/>
    </row>
    <row r="5483" spans="1:8" hidden="1">
      <c r="A5483" s="3">
        <v>16152</v>
      </c>
      <c r="B5483" s="7" t="s">
        <v>289</v>
      </c>
      <c r="C5483" s="41">
        <v>500</v>
      </c>
      <c r="D5483" s="6">
        <v>45693</v>
      </c>
      <c r="E5483" s="3" t="str">
        <f ca="1">IF(Tabela2[[#This Row],[Dt Venc:]]&gt;TODAY(),"Em Aberto",IF(Tabela2[[#This Row],[D/venc]]="-","Enviado",IF(Tabela2[[#This Row],[Dt Venc:]]=TODAY(),"Vence Hoje","Vencida")))</f>
        <v>Enviado</v>
      </c>
      <c r="F5483" s="3" t="str">
        <f ca="1">IF(G5483=1,"-",Tabela2[[#This Row],[Dt Venc:]]-TODAY())</f>
        <v>-</v>
      </c>
      <c r="G5483" s="3">
        <v>1</v>
      </c>
      <c r="H5483" s="3"/>
    </row>
    <row r="5484" spans="1:8" hidden="1">
      <c r="A5484" s="3">
        <v>23309</v>
      </c>
      <c r="B5484" s="7" t="s">
        <v>510</v>
      </c>
      <c r="C5484" s="41">
        <v>1047.67</v>
      </c>
      <c r="D5484" s="6">
        <v>45693</v>
      </c>
      <c r="E5484" s="3" t="str">
        <f ca="1">IF(Tabela2[[#This Row],[Dt Venc:]]&gt;TODAY(),"Em Aberto",IF(Tabela2[[#This Row],[D/venc]]="-","Enviado",IF(Tabela2[[#This Row],[Dt Venc:]]=TODAY(),"Vence Hoje","Vencida")))</f>
        <v>Enviado</v>
      </c>
      <c r="F5484" s="3" t="str">
        <f ca="1">IF(G5484=1,"-",Tabela2[[#This Row],[Dt Venc:]]-TODAY())</f>
        <v>-</v>
      </c>
      <c r="G5484" s="3">
        <v>1</v>
      </c>
      <c r="H5484" s="3"/>
    </row>
    <row r="5485" spans="1:8" hidden="1">
      <c r="A5485" s="3">
        <v>23633</v>
      </c>
      <c r="B5485" s="7" t="s">
        <v>38</v>
      </c>
      <c r="C5485" s="41">
        <v>1140</v>
      </c>
      <c r="D5485" s="6">
        <v>45693</v>
      </c>
      <c r="E5485" s="3" t="str">
        <f ca="1">IF(Tabela2[[#This Row],[Dt Venc:]]&gt;TODAY(),"Em Aberto",IF(Tabela2[[#This Row],[D/venc]]="-","Enviado",IF(Tabela2[[#This Row],[Dt Venc:]]=TODAY(),"Vence Hoje","Vencida")))</f>
        <v>Enviado</v>
      </c>
      <c r="F5485" s="3" t="str">
        <f ca="1">IF(G5485=1,"-",Tabela2[[#This Row],[Dt Venc:]]-TODAY())</f>
        <v>-</v>
      </c>
      <c r="G5485" s="3">
        <v>1</v>
      </c>
      <c r="H5485" s="3"/>
    </row>
    <row r="5486" spans="1:8" hidden="1">
      <c r="A5486" s="3">
        <v>29426</v>
      </c>
      <c r="B5486" s="7" t="s">
        <v>97</v>
      </c>
      <c r="C5486" s="42">
        <v>3250</v>
      </c>
      <c r="D5486" s="6">
        <v>45693</v>
      </c>
      <c r="E5486" s="3" t="str">
        <f ca="1">IF(Tabela2[[#This Row],[Dt Venc:]]&gt;TODAY(),"Em Aberto",IF(Tabela2[[#This Row],[D/venc]]="-","Enviado",IF(Tabela2[[#This Row],[Dt Venc:]]=TODAY(),"Vence Hoje","Vencida")))</f>
        <v>Enviado</v>
      </c>
      <c r="F5486" s="3" t="str">
        <f ca="1">IF(G5486=1,"-",Tabela2[[#This Row],[Dt Venc:]]-TODAY())</f>
        <v>-</v>
      </c>
      <c r="G5486" s="3">
        <v>1</v>
      </c>
      <c r="H5486" s="3"/>
    </row>
    <row r="5487" spans="1:8" hidden="1">
      <c r="A5487" s="3">
        <v>30512</v>
      </c>
      <c r="B5487" s="7" t="s">
        <v>501</v>
      </c>
      <c r="C5487" s="41">
        <v>1560</v>
      </c>
      <c r="D5487" s="6">
        <v>45693</v>
      </c>
      <c r="E5487" s="3" t="str">
        <f ca="1">IF(Tabela2[[#This Row],[Dt Venc:]]&gt;TODAY(),"Em Aberto",IF(Tabela2[[#This Row],[D/venc]]="-","Enviado",IF(Tabela2[[#This Row],[Dt Venc:]]=TODAY(),"Vence Hoje","Vencida")))</f>
        <v>Enviado</v>
      </c>
      <c r="F5487" s="3" t="str">
        <f ca="1">IF(G5487=1,"-",Tabela2[[#This Row],[Dt Venc:]]-TODAY())</f>
        <v>-</v>
      </c>
      <c r="G5487" s="3">
        <v>1</v>
      </c>
      <c r="H5487" s="3"/>
    </row>
    <row r="5488" spans="1:8" hidden="1">
      <c r="A5488" s="3">
        <v>34049</v>
      </c>
      <c r="B5488" s="7" t="s">
        <v>573</v>
      </c>
      <c r="C5488" s="41">
        <v>2550</v>
      </c>
      <c r="D5488" s="6">
        <v>45693</v>
      </c>
      <c r="E5488" s="3" t="str">
        <f ca="1">IF(Tabela2[[#This Row],[Dt Venc:]]&gt;TODAY(),"Em Aberto",IF(Tabela2[[#This Row],[D/venc]]="-","Enviado",IF(Tabela2[[#This Row],[Dt Venc:]]=TODAY(),"Vence Hoje","Vencida")))</f>
        <v>Enviado</v>
      </c>
      <c r="F5488" s="3" t="str">
        <f ca="1">IF(G5488=1,"-",Tabela2[[#This Row],[Dt Venc:]]-TODAY())</f>
        <v>-</v>
      </c>
      <c r="G5488" s="3">
        <v>1</v>
      </c>
      <c r="H5488" s="3"/>
    </row>
    <row r="5489" spans="1:8" hidden="1">
      <c r="A5489" s="3">
        <v>46674</v>
      </c>
      <c r="B5489" s="7" t="s">
        <v>439</v>
      </c>
      <c r="C5489" s="41">
        <v>638.65</v>
      </c>
      <c r="D5489" s="6">
        <v>45693</v>
      </c>
      <c r="E5489" s="3" t="str">
        <f ca="1">IF(Tabela2[[#This Row],[Dt Venc:]]&gt;TODAY(),"Em Aberto",IF(Tabela2[[#This Row],[D/venc]]="-","Enviado",IF(Tabela2[[#This Row],[Dt Venc:]]=TODAY(),"Vence Hoje","Vencida")))</f>
        <v>Enviado</v>
      </c>
      <c r="F5489" s="3" t="str">
        <f ca="1">IF(G5489=1,"-",Tabela2[[#This Row],[Dt Venc:]]-TODAY())</f>
        <v>-</v>
      </c>
      <c r="G5489" s="3">
        <v>1</v>
      </c>
      <c r="H5489" s="3"/>
    </row>
    <row r="5490" spans="1:8" hidden="1">
      <c r="A5490" s="3">
        <v>46674</v>
      </c>
      <c r="B5490" s="7" t="s">
        <v>676</v>
      </c>
      <c r="C5490" s="41">
        <v>638.64</v>
      </c>
      <c r="D5490" s="6">
        <v>45693</v>
      </c>
      <c r="E5490" s="3" t="str">
        <f ca="1">IF(Tabela2[[#This Row],[Dt Venc:]]&gt;TODAY(),"Em Aberto",IF(Tabela2[[#This Row],[D/venc]]="-","Enviado",IF(Tabela2[[#This Row],[Dt Venc:]]=TODAY(),"Vence Hoje","Vencida")))</f>
        <v>Enviado</v>
      </c>
      <c r="F5490" s="3" t="str">
        <f ca="1">IF(G5490=1,"-",Tabela2[[#This Row],[Dt Venc:]]-TODAY())</f>
        <v>-</v>
      </c>
      <c r="G5490" s="3">
        <v>1</v>
      </c>
      <c r="H5490" s="3"/>
    </row>
    <row r="5491" spans="1:8" hidden="1">
      <c r="A5491" s="3">
        <v>52079</v>
      </c>
      <c r="B5491" s="7" t="s">
        <v>144</v>
      </c>
      <c r="C5491" s="41">
        <v>2052</v>
      </c>
      <c r="D5491" s="6">
        <v>45693</v>
      </c>
      <c r="E5491" s="3" t="str">
        <f ca="1">IF(Tabela2[[#This Row],[Dt Venc:]]&gt;TODAY(),"Em Aberto",IF(Tabela2[[#This Row],[D/venc]]="-","Enviado",IF(Tabela2[[#This Row],[Dt Venc:]]=TODAY(),"Vence Hoje","Vencida")))</f>
        <v>Enviado</v>
      </c>
      <c r="F5491" s="3" t="str">
        <f ca="1">IF(G5491=1,"-",Tabela2[[#This Row],[Dt Venc:]]-TODAY())</f>
        <v>-</v>
      </c>
      <c r="G5491" s="3">
        <v>1</v>
      </c>
      <c r="H5491" s="3"/>
    </row>
    <row r="5492" spans="1:8" hidden="1">
      <c r="A5492" s="3">
        <v>53641</v>
      </c>
      <c r="B5492" s="7" t="s">
        <v>677</v>
      </c>
      <c r="C5492" s="41">
        <v>1026.06</v>
      </c>
      <c r="D5492" s="6">
        <v>45693</v>
      </c>
      <c r="E5492" s="3" t="str">
        <f ca="1">IF(Tabela2[[#This Row],[Dt Venc:]]&gt;TODAY(),"Em Aberto",IF(Tabela2[[#This Row],[D/venc]]="-","Enviado",IF(Tabela2[[#This Row],[Dt Venc:]]=TODAY(),"Vence Hoje","Vencida")))</f>
        <v>Enviado</v>
      </c>
      <c r="F5492" s="3" t="str">
        <f ca="1">IF(G5492=1,"-",Tabela2[[#This Row],[Dt Venc:]]-TODAY())</f>
        <v>-</v>
      </c>
      <c r="G5492" s="3">
        <v>1</v>
      </c>
      <c r="H5492" s="3"/>
    </row>
    <row r="5493" spans="1:8" hidden="1">
      <c r="A5493" s="3">
        <v>58974</v>
      </c>
      <c r="B5493" s="7" t="s">
        <v>678</v>
      </c>
      <c r="C5493" s="41">
        <v>870</v>
      </c>
      <c r="D5493" s="6">
        <v>45693</v>
      </c>
      <c r="E5493" s="3" t="str">
        <f ca="1">IF(Tabela2[[#This Row],[Dt Venc:]]&gt;TODAY(),"Em Aberto",IF(Tabela2[[#This Row],[D/venc]]="-","Enviado",IF(Tabela2[[#This Row],[Dt Venc:]]=TODAY(),"Vence Hoje","Vencida")))</f>
        <v>Enviado</v>
      </c>
      <c r="F5493" s="3" t="str">
        <f ca="1">IF(G5493=1,"-",Tabela2[[#This Row],[Dt Venc:]]-TODAY())</f>
        <v>-</v>
      </c>
      <c r="G5493" s="3">
        <v>1</v>
      </c>
      <c r="H5493" s="3"/>
    </row>
    <row r="5494" spans="1:8" hidden="1">
      <c r="A5494" s="3">
        <v>68845</v>
      </c>
      <c r="B5494" s="7" t="s">
        <v>143</v>
      </c>
      <c r="C5494" s="41">
        <v>736</v>
      </c>
      <c r="D5494" s="6">
        <v>45693</v>
      </c>
      <c r="E5494" s="3" t="str">
        <f ca="1">IF(Tabela2[[#This Row],[Dt Venc:]]&gt;TODAY(),"Em Aberto",IF(Tabela2[[#This Row],[D/venc]]="-","Enviado",IF(Tabela2[[#This Row],[Dt Venc:]]=TODAY(),"Vence Hoje","Vencida")))</f>
        <v>Enviado</v>
      </c>
      <c r="F5494" s="3" t="str">
        <f ca="1">IF(G5494=1,"-",Tabela2[[#This Row],[Dt Venc:]]-TODAY())</f>
        <v>-</v>
      </c>
      <c r="G5494" s="3">
        <v>1</v>
      </c>
      <c r="H5494" s="3"/>
    </row>
    <row r="5495" spans="1:8" hidden="1">
      <c r="A5495" s="3">
        <v>90595</v>
      </c>
      <c r="B5495" s="7" t="s">
        <v>429</v>
      </c>
      <c r="C5495" s="41">
        <v>1350</v>
      </c>
      <c r="D5495" s="6">
        <v>45693</v>
      </c>
      <c r="E5495" s="3" t="str">
        <f ca="1">IF(Tabela2[[#This Row],[Dt Venc:]]&gt;TODAY(),"Em Aberto",IF(Tabela2[[#This Row],[D/venc]]="-","Enviado",IF(Tabela2[[#This Row],[Dt Venc:]]=TODAY(),"Vence Hoje","Vencida")))</f>
        <v>Enviado</v>
      </c>
      <c r="F5495" s="3" t="str">
        <f ca="1">IF(G5495=1,"-",Tabela2[[#This Row],[Dt Venc:]]-TODAY())</f>
        <v>-</v>
      </c>
      <c r="G5495" s="3">
        <v>1</v>
      </c>
      <c r="H5495" s="3"/>
    </row>
    <row r="5496" spans="1:8" hidden="1">
      <c r="A5496" s="3">
        <v>91566</v>
      </c>
      <c r="B5496" s="7" t="s">
        <v>48</v>
      </c>
      <c r="C5496" s="41">
        <v>1924.65</v>
      </c>
      <c r="D5496" s="6">
        <v>45693</v>
      </c>
      <c r="E5496" s="3" t="str">
        <f ca="1">IF(Tabela2[[#This Row],[Dt Venc:]]&gt;TODAY(),"Em Aberto",IF(Tabela2[[#This Row],[D/venc]]="-","Enviado",IF(Tabela2[[#This Row],[Dt Venc:]]=TODAY(),"Vence Hoje","Vencida")))</f>
        <v>Enviado</v>
      </c>
      <c r="F5496" s="3" t="str">
        <f ca="1">IF(G5496=1,"-",Tabela2[[#This Row],[Dt Venc:]]-TODAY())</f>
        <v>-</v>
      </c>
      <c r="G5496" s="3">
        <v>1</v>
      </c>
      <c r="H5496" s="3"/>
    </row>
    <row r="5497" spans="1:8" hidden="1">
      <c r="A5497" s="3">
        <v>91571</v>
      </c>
      <c r="B5497" s="7" t="s">
        <v>48</v>
      </c>
      <c r="C5497" s="41">
        <v>531.20000000000005</v>
      </c>
      <c r="D5497" s="6">
        <v>45693</v>
      </c>
      <c r="E5497" s="3" t="str">
        <f ca="1">IF(Tabela2[[#This Row],[Dt Venc:]]&gt;TODAY(),"Em Aberto",IF(Tabela2[[#This Row],[D/venc]]="-","Enviado",IF(Tabela2[[#This Row],[Dt Venc:]]=TODAY(),"Vence Hoje","Vencida")))</f>
        <v>Enviado</v>
      </c>
      <c r="F5497" s="3" t="str">
        <f ca="1">IF(G5497=1,"-",Tabela2[[#This Row],[Dt Venc:]]-TODAY())</f>
        <v>-</v>
      </c>
      <c r="G5497" s="3">
        <v>1</v>
      </c>
      <c r="H5497" s="3"/>
    </row>
    <row r="5498" spans="1:8" hidden="1">
      <c r="A5498" s="3">
        <v>155626</v>
      </c>
      <c r="B5498" s="7" t="s">
        <v>261</v>
      </c>
      <c r="C5498" s="41">
        <v>433.33</v>
      </c>
      <c r="D5498" s="6">
        <v>45693</v>
      </c>
      <c r="E5498" s="3" t="str">
        <f ca="1">IF(Tabela2[[#This Row],[Dt Venc:]]&gt;TODAY(),"Em Aberto",IF(Tabela2[[#This Row],[D/venc]]="-","Enviado",IF(Tabela2[[#This Row],[Dt Venc:]]=TODAY(),"Vence Hoje","Vencida")))</f>
        <v>Enviado</v>
      </c>
      <c r="F5498" s="3" t="str">
        <f ca="1">IF(G5498=1,"-",Tabela2[[#This Row],[Dt Venc:]]-TODAY())</f>
        <v>-</v>
      </c>
      <c r="G5498" s="3">
        <v>1</v>
      </c>
      <c r="H5498" s="3"/>
    </row>
    <row r="5499" spans="1:8" hidden="1">
      <c r="A5499" s="3">
        <v>155630</v>
      </c>
      <c r="B5499" s="7" t="s">
        <v>261</v>
      </c>
      <c r="C5499" s="41">
        <v>433.33</v>
      </c>
      <c r="D5499" s="6">
        <v>45693</v>
      </c>
      <c r="E5499" s="3" t="str">
        <f ca="1">IF(Tabela2[[#This Row],[Dt Venc:]]&gt;TODAY(),"Em Aberto",IF(Tabela2[[#This Row],[D/venc]]="-","Enviado",IF(Tabela2[[#This Row],[Dt Venc:]]=TODAY(),"Vence Hoje","Vencida")))</f>
        <v>Enviado</v>
      </c>
      <c r="F5499" s="3" t="str">
        <f ca="1">IF(G5499=1,"-",Tabela2[[#This Row],[Dt Venc:]]-TODAY())</f>
        <v>-</v>
      </c>
      <c r="G5499" s="3">
        <v>1</v>
      </c>
      <c r="H5499" s="3"/>
    </row>
    <row r="5500" spans="1:8" hidden="1">
      <c r="A5500" s="3">
        <v>155656</v>
      </c>
      <c r="B5500" s="7" t="s">
        <v>261</v>
      </c>
      <c r="C5500" s="41">
        <v>866.67</v>
      </c>
      <c r="D5500" s="6">
        <v>45693</v>
      </c>
      <c r="E5500" s="3" t="str">
        <f ca="1">IF(Tabela2[[#This Row],[Dt Venc:]]&gt;TODAY(),"Em Aberto",IF(Tabela2[[#This Row],[D/venc]]="-","Enviado",IF(Tabela2[[#This Row],[Dt Venc:]]=TODAY(),"Vence Hoje","Vencida")))</f>
        <v>Enviado</v>
      </c>
      <c r="F5500" s="3" t="str">
        <f ca="1">IF(G5500=1,"-",Tabela2[[#This Row],[Dt Venc:]]-TODAY())</f>
        <v>-</v>
      </c>
      <c r="G5500" s="3">
        <v>1</v>
      </c>
      <c r="H5500" s="3"/>
    </row>
    <row r="5501" spans="1:8" hidden="1">
      <c r="A5501" s="3">
        <v>306019</v>
      </c>
      <c r="B5501" s="7" t="s">
        <v>506</v>
      </c>
      <c r="C5501" s="41">
        <v>236.73</v>
      </c>
      <c r="D5501" s="6">
        <v>45693</v>
      </c>
      <c r="E5501" s="3" t="str">
        <f ca="1">IF(Tabela2[[#This Row],[Dt Venc:]]&gt;TODAY(),"Em Aberto",IF(Tabela2[[#This Row],[D/venc]]="-","Enviado",IF(Tabela2[[#This Row],[Dt Venc:]]=TODAY(),"Vence Hoje","Vencida")))</f>
        <v>Enviado</v>
      </c>
      <c r="F5501" s="3" t="str">
        <f ca="1">IF(G5501=1,"-",Tabela2[[#This Row],[Dt Venc:]]-TODAY())</f>
        <v>-</v>
      </c>
      <c r="G5501" s="3">
        <v>1</v>
      </c>
      <c r="H5501" s="3"/>
    </row>
    <row r="5502" spans="1:8" hidden="1">
      <c r="A5502" s="3">
        <v>372257</v>
      </c>
      <c r="B5502" s="7" t="s">
        <v>39</v>
      </c>
      <c r="C5502" s="41">
        <v>1343.1</v>
      </c>
      <c r="D5502" s="6">
        <v>45693</v>
      </c>
      <c r="E5502" s="3" t="str">
        <f ca="1">IF(Tabela2[[#This Row],[Dt Venc:]]&gt;TODAY(),"Em Aberto",IF(Tabela2[[#This Row],[D/venc]]="-","Enviado",IF(Tabela2[[#This Row],[Dt Venc:]]=TODAY(),"Vence Hoje","Vencida")))</f>
        <v>Enviado</v>
      </c>
      <c r="F5502" s="3" t="str">
        <f ca="1">IF(G5502=1,"-",Tabela2[[#This Row],[Dt Venc:]]-TODAY())</f>
        <v>-</v>
      </c>
      <c r="G5502" s="3">
        <v>1</v>
      </c>
      <c r="H5502" s="3"/>
    </row>
    <row r="5503" spans="1:8" hidden="1">
      <c r="A5503" s="3" t="s">
        <v>123</v>
      </c>
      <c r="B5503" s="7" t="s">
        <v>503</v>
      </c>
      <c r="C5503" s="85" t="s">
        <v>32</v>
      </c>
      <c r="D5503" s="6">
        <v>45693</v>
      </c>
      <c r="E5503" s="3" t="str">
        <f ca="1">IF(Tabela2[[#This Row],[Dt Venc:]]&gt;TODAY(),"Em Aberto",IF(Tabela2[[#This Row],[D/venc]]="-","Enviado",IF(Tabela2[[#This Row],[Dt Venc:]]=TODAY(),"Vence Hoje","Vencida")))</f>
        <v>Enviado</v>
      </c>
      <c r="F5503" s="3" t="str">
        <f ca="1">IF(G5503=1,"-",Tabela2[[#This Row],[Dt Venc:]]-TODAY())</f>
        <v>-</v>
      </c>
      <c r="G5503" s="3">
        <v>1</v>
      </c>
      <c r="H5503" s="3"/>
    </row>
    <row r="5504" spans="1:8" hidden="1">
      <c r="A5504" s="3">
        <v>376099</v>
      </c>
      <c r="B5504" s="7" t="s">
        <v>39</v>
      </c>
      <c r="C5504" s="41">
        <v>717.09</v>
      </c>
      <c r="D5504" s="6">
        <v>45693</v>
      </c>
      <c r="E5504" s="3" t="str">
        <f ca="1">IF(Tabela2[[#This Row],[Dt Venc:]]&gt;TODAY(),"Em Aberto",IF(Tabela2[[#This Row],[D/venc]]="-","Enviado",IF(Tabela2[[#This Row],[Dt Venc:]]=TODAY(),"Vence Hoje","Vencida")))</f>
        <v>Enviado</v>
      </c>
      <c r="F5504" s="3" t="str">
        <f ca="1">IF(G5504=1,"-",Tabela2[[#This Row],[Dt Venc:]]-TODAY())</f>
        <v>-</v>
      </c>
      <c r="G5504" s="3">
        <v>1</v>
      </c>
      <c r="H5504" s="3"/>
    </row>
    <row r="5505" spans="1:8" hidden="1">
      <c r="A5505" s="3">
        <v>447558</v>
      </c>
      <c r="B5505" s="7" t="s">
        <v>59</v>
      </c>
      <c r="C5505" s="41">
        <v>28088.5</v>
      </c>
      <c r="D5505" s="6">
        <v>45693</v>
      </c>
      <c r="E5505" s="3" t="str">
        <f ca="1">IF(Tabela2[[#This Row],[Dt Venc:]]&gt;TODAY(),"Em Aberto",IF(Tabela2[[#This Row],[D/venc]]="-","Enviado",IF(Tabela2[[#This Row],[Dt Venc:]]=TODAY(),"Vence Hoje","Vencida")))</f>
        <v>Enviado</v>
      </c>
      <c r="F5505" s="3" t="str">
        <f ca="1">IF(G5505=1,"-",Tabela2[[#This Row],[Dt Venc:]]-TODAY())</f>
        <v>-</v>
      </c>
      <c r="G5505" s="3">
        <v>1</v>
      </c>
      <c r="H5505" s="3"/>
    </row>
    <row r="5506" spans="1:8" hidden="1">
      <c r="A5506" s="3">
        <v>1113287</v>
      </c>
      <c r="B5506" s="7" t="s">
        <v>141</v>
      </c>
      <c r="C5506" s="41">
        <v>1700.86</v>
      </c>
      <c r="D5506" s="6">
        <v>45693</v>
      </c>
      <c r="E5506" s="3" t="str">
        <f ca="1">IF(Tabela2[[#This Row],[Dt Venc:]]&gt;TODAY(),"Em Aberto",IF(Tabela2[[#This Row],[D/venc]]="-","Enviado",IF(Tabela2[[#This Row],[Dt Venc:]]=TODAY(),"Vence Hoje","Vencida")))</f>
        <v>Enviado</v>
      </c>
      <c r="F5506" s="3" t="str">
        <f ca="1">IF(G5506=1,"-",Tabela2[[#This Row],[Dt Venc:]]-TODAY())</f>
        <v>-</v>
      </c>
      <c r="G5506" s="3">
        <v>1</v>
      </c>
      <c r="H5506" s="3"/>
    </row>
    <row r="5507" spans="1:8" hidden="1">
      <c r="A5507" s="3">
        <v>1113290</v>
      </c>
      <c r="B5507" s="7" t="s">
        <v>141</v>
      </c>
      <c r="C5507" s="41">
        <v>1703.67</v>
      </c>
      <c r="D5507" s="6">
        <v>45693</v>
      </c>
      <c r="E5507" s="3" t="str">
        <f ca="1">IF(Tabela2[[#This Row],[Dt Venc:]]&gt;TODAY(),"Em Aberto",IF(Tabela2[[#This Row],[D/venc]]="-","Enviado",IF(Tabela2[[#This Row],[Dt Venc:]]=TODAY(),"Vence Hoje","Vencida")))</f>
        <v>Enviado</v>
      </c>
      <c r="F5507" s="3" t="str">
        <f ca="1">IF(G5507=1,"-",Tabela2[[#This Row],[Dt Venc:]]-TODAY())</f>
        <v>-</v>
      </c>
      <c r="G5507" s="3">
        <v>1</v>
      </c>
      <c r="H5507" s="3"/>
    </row>
    <row r="5508" spans="1:8" hidden="1">
      <c r="A5508" s="3">
        <v>1113291</v>
      </c>
      <c r="B5508" s="7" t="s">
        <v>141</v>
      </c>
      <c r="C5508" s="41">
        <v>1604.66</v>
      </c>
      <c r="D5508" s="6">
        <v>45693</v>
      </c>
      <c r="E5508" s="3" t="str">
        <f ca="1">IF(Tabela2[[#This Row],[Dt Venc:]]&gt;TODAY(),"Em Aberto",IF(Tabela2[[#This Row],[D/venc]]="-","Enviado",IF(Tabela2[[#This Row],[Dt Venc:]]=TODAY(),"Vence Hoje","Vencida")))</f>
        <v>Enviado</v>
      </c>
      <c r="F5508" s="3" t="str">
        <f ca="1">IF(G5508=1,"-",Tabela2[[#This Row],[Dt Venc:]]-TODAY())</f>
        <v>-</v>
      </c>
      <c r="G5508" s="3">
        <v>1</v>
      </c>
      <c r="H5508" s="3"/>
    </row>
    <row r="5509" spans="1:8" hidden="1">
      <c r="A5509" s="3">
        <v>1113293</v>
      </c>
      <c r="B5509" s="7" t="s">
        <v>141</v>
      </c>
      <c r="C5509" s="41">
        <v>1658.55</v>
      </c>
      <c r="D5509" s="6">
        <v>45693</v>
      </c>
      <c r="E5509" s="3" t="str">
        <f ca="1">IF(Tabela2[[#This Row],[Dt Venc:]]&gt;TODAY(),"Em Aberto",IF(Tabela2[[#This Row],[D/venc]]="-","Enviado",IF(Tabela2[[#This Row],[Dt Venc:]]=TODAY(),"Vence Hoje","Vencida")))</f>
        <v>Enviado</v>
      </c>
      <c r="F5509" s="3" t="str">
        <f ca="1">IF(G5509=1,"-",Tabela2[[#This Row],[Dt Venc:]]-TODAY())</f>
        <v>-</v>
      </c>
      <c r="G5509" s="3">
        <v>1</v>
      </c>
      <c r="H5509" s="3"/>
    </row>
    <row r="5510" spans="1:8" hidden="1">
      <c r="A5510" s="3">
        <v>1171353</v>
      </c>
      <c r="B5510" s="7" t="s">
        <v>646</v>
      </c>
      <c r="C5510" s="41">
        <v>612</v>
      </c>
      <c r="D5510" s="6">
        <v>45693</v>
      </c>
      <c r="E5510" s="3" t="str">
        <f ca="1">IF(Tabela2[[#This Row],[Dt Venc:]]&gt;TODAY(),"Em Aberto",IF(Tabela2[[#This Row],[D/venc]]="-","Enviado",IF(Tabela2[[#This Row],[Dt Venc:]]=TODAY(),"Vence Hoje","Vencida")))</f>
        <v>Enviado</v>
      </c>
      <c r="F5510" s="3" t="str">
        <f ca="1">IF(G5510=1,"-",Tabela2[[#This Row],[Dt Venc:]]-TODAY())</f>
        <v>-</v>
      </c>
      <c r="G5510" s="3">
        <v>1</v>
      </c>
      <c r="H5510" s="3"/>
    </row>
    <row r="5511" spans="1:8" hidden="1">
      <c r="A5511" s="3">
        <v>2013912</v>
      </c>
      <c r="B5511" s="7" t="s">
        <v>59</v>
      </c>
      <c r="C5511" s="41">
        <v>109874</v>
      </c>
      <c r="D5511" s="6">
        <v>45693</v>
      </c>
      <c r="E5511" s="3" t="str">
        <f ca="1">IF(Tabela2[[#This Row],[Dt Venc:]]&gt;TODAY(),"Em Aberto",IF(Tabela2[[#This Row],[D/venc]]="-","Enviado",IF(Tabela2[[#This Row],[Dt Venc:]]=TODAY(),"Vence Hoje","Vencida")))</f>
        <v>Enviado</v>
      </c>
      <c r="F5511" s="3" t="str">
        <f ca="1">IF(G5511=1,"-",Tabela2[[#This Row],[Dt Venc:]]-TODAY())</f>
        <v>-</v>
      </c>
      <c r="G5511" s="3">
        <v>1</v>
      </c>
      <c r="H5511" s="3"/>
    </row>
    <row r="5512" spans="1:8" hidden="1">
      <c r="A5512" s="3">
        <v>2518861</v>
      </c>
      <c r="B5512" s="7" t="s">
        <v>671</v>
      </c>
      <c r="C5512" s="41">
        <v>54150</v>
      </c>
      <c r="D5512" s="6">
        <v>45693</v>
      </c>
      <c r="E5512" s="3" t="str">
        <f ca="1">IF(Tabela2[[#This Row],[Dt Venc:]]&gt;TODAY(),"Em Aberto",IF(Tabela2[[#This Row],[D/venc]]="-","Enviado",IF(Tabela2[[#This Row],[Dt Venc:]]=TODAY(),"Vence Hoje","Vencida")))</f>
        <v>Enviado</v>
      </c>
      <c r="F5512" s="3" t="str">
        <f ca="1">IF(G5512=1,"-",Tabela2[[#This Row],[Dt Venc:]]-TODAY())</f>
        <v>-</v>
      </c>
      <c r="G5512" s="3">
        <v>1</v>
      </c>
      <c r="H5512" s="3"/>
    </row>
    <row r="5513" spans="1:8" hidden="1">
      <c r="A5513" s="3">
        <v>1293</v>
      </c>
      <c r="B5513" s="7" t="s">
        <v>474</v>
      </c>
      <c r="C5513" s="41">
        <v>906.67</v>
      </c>
      <c r="D5513" s="6">
        <v>45694</v>
      </c>
      <c r="E5513" s="3" t="str">
        <f ca="1">IF(Tabela2[[#This Row],[Dt Venc:]]&gt;TODAY(),"Em Aberto",IF(Tabela2[[#This Row],[D/venc]]="-","Enviado",IF(Tabela2[[#This Row],[Dt Venc:]]=TODAY(),"Vence Hoje","Vencida")))</f>
        <v>Em Aberto</v>
      </c>
      <c r="F5513" s="3" t="str">
        <f ca="1">IF(G5513=1,"-",Tabela2[[#This Row],[Dt Venc:]]-TODAY())</f>
        <v>-</v>
      </c>
      <c r="G5513" s="3">
        <v>1</v>
      </c>
      <c r="H5513" s="3"/>
    </row>
    <row r="5514" spans="1:8" hidden="1">
      <c r="A5514" s="3">
        <v>2369</v>
      </c>
      <c r="B5514" s="7" t="s">
        <v>45</v>
      </c>
      <c r="C5514" s="41">
        <v>810</v>
      </c>
      <c r="D5514" s="6">
        <v>45694</v>
      </c>
      <c r="E5514" s="3" t="str">
        <f ca="1">IF(Tabela2[[#This Row],[Dt Venc:]]&gt;TODAY(),"Em Aberto",IF(Tabela2[[#This Row],[D/venc]]="-","Enviado",IF(Tabela2[[#This Row],[Dt Venc:]]=TODAY(),"Vence Hoje","Vencida")))</f>
        <v>Em Aberto</v>
      </c>
      <c r="F5514" s="3" t="str">
        <f ca="1">IF(G5514=1,"-",Tabela2[[#This Row],[Dt Venc:]]-TODAY())</f>
        <v>-</v>
      </c>
      <c r="G5514" s="3">
        <v>1</v>
      </c>
      <c r="H5514" s="3"/>
    </row>
    <row r="5515" spans="1:8" hidden="1">
      <c r="A5515" s="3">
        <v>2589</v>
      </c>
      <c r="B5515" s="7" t="s">
        <v>354</v>
      </c>
      <c r="C5515" s="41">
        <v>565</v>
      </c>
      <c r="D5515" s="6">
        <v>45694</v>
      </c>
      <c r="E5515" s="3" t="str">
        <f ca="1">IF(Tabela2[[#This Row],[Dt Venc:]]&gt;TODAY(),"Em Aberto",IF(Tabela2[[#This Row],[D/venc]]="-","Enviado",IF(Tabela2[[#This Row],[Dt Venc:]]=TODAY(),"Vence Hoje","Vencida")))</f>
        <v>Em Aberto</v>
      </c>
      <c r="F5515" s="3" t="str">
        <f ca="1">IF(G5515=1,"-",Tabela2[[#This Row],[Dt Venc:]]-TODAY())</f>
        <v>-</v>
      </c>
      <c r="G5515" s="3">
        <v>1</v>
      </c>
      <c r="H5515" s="3"/>
    </row>
    <row r="5516" spans="1:8" hidden="1">
      <c r="A5516" s="3">
        <v>6043</v>
      </c>
      <c r="B5516" s="7" t="s">
        <v>140</v>
      </c>
      <c r="C5516" s="41">
        <v>2469.6</v>
      </c>
      <c r="D5516" s="6">
        <v>45694</v>
      </c>
      <c r="E5516" s="3" t="str">
        <f ca="1">IF(Tabela2[[#This Row],[Dt Venc:]]&gt;TODAY(),"Em Aberto",IF(Tabela2[[#This Row],[D/venc]]="-","Enviado",IF(Tabela2[[#This Row],[Dt Venc:]]=TODAY(),"Vence Hoje","Vencida")))</f>
        <v>Em Aberto</v>
      </c>
      <c r="F5516" s="3" t="str">
        <f ca="1">IF(G5516=1,"-",Tabela2[[#This Row],[Dt Venc:]]-TODAY())</f>
        <v>-</v>
      </c>
      <c r="G5516" s="3">
        <v>1</v>
      </c>
      <c r="H5516" s="3"/>
    </row>
    <row r="5517" spans="1:8" hidden="1">
      <c r="A5517" s="3">
        <v>6125</v>
      </c>
      <c r="B5517" s="7" t="s">
        <v>47</v>
      </c>
      <c r="C5517" s="41">
        <v>774.7</v>
      </c>
      <c r="D5517" s="6">
        <v>45694</v>
      </c>
      <c r="E5517" s="3" t="str">
        <f ca="1">IF(Tabela2[[#This Row],[Dt Venc:]]&gt;TODAY(),"Em Aberto",IF(Tabela2[[#This Row],[D/venc]]="-","Enviado",IF(Tabela2[[#This Row],[Dt Venc:]]=TODAY(),"Vence Hoje","Vencida")))</f>
        <v>Em Aberto</v>
      </c>
      <c r="F5517" s="3" t="str">
        <f ca="1">IF(G5517=1,"-",Tabela2[[#This Row],[Dt Venc:]]-TODAY())</f>
        <v>-</v>
      </c>
      <c r="G5517" s="3">
        <v>1</v>
      </c>
      <c r="H5517" s="3"/>
    </row>
    <row r="5518" spans="1:8" hidden="1">
      <c r="A5518" s="3">
        <v>7067</v>
      </c>
      <c r="B5518" s="7" t="s">
        <v>43</v>
      </c>
      <c r="C5518" s="41">
        <v>458</v>
      </c>
      <c r="D5518" s="6">
        <v>45694</v>
      </c>
      <c r="E5518" s="3" t="str">
        <f ca="1">IF(Tabela2[[#This Row],[Dt Venc:]]&gt;TODAY(),"Em Aberto",IF(Tabela2[[#This Row],[D/venc]]="-","Enviado",IF(Tabela2[[#This Row],[Dt Venc:]]=TODAY(),"Vence Hoje","Vencida")))</f>
        <v>Em Aberto</v>
      </c>
      <c r="F5518" s="3" t="str">
        <f ca="1">IF(G5518=1,"-",Tabela2[[#This Row],[Dt Venc:]]-TODAY())</f>
        <v>-</v>
      </c>
      <c r="G5518" s="3">
        <v>1</v>
      </c>
      <c r="H5518" s="3"/>
    </row>
    <row r="5519" spans="1:8" hidden="1">
      <c r="A5519" s="3">
        <v>9199</v>
      </c>
      <c r="B5519" s="7" t="s">
        <v>618</v>
      </c>
      <c r="C5519" s="41">
        <v>466.66</v>
      </c>
      <c r="D5519" s="6">
        <v>45694</v>
      </c>
      <c r="E5519" s="3" t="str">
        <f ca="1">IF(Tabela2[[#This Row],[Dt Venc:]]&gt;TODAY(),"Em Aberto",IF(Tabela2[[#This Row],[D/venc]]="-","Enviado",IF(Tabela2[[#This Row],[Dt Venc:]]=TODAY(),"Vence Hoje","Vencida")))</f>
        <v>Em Aberto</v>
      </c>
      <c r="F5519" s="3" t="str">
        <f ca="1">IF(G5519=1,"-",Tabela2[[#This Row],[Dt Venc:]]-TODAY())</f>
        <v>-</v>
      </c>
      <c r="G5519" s="3">
        <v>1</v>
      </c>
      <c r="H5519" s="3"/>
    </row>
    <row r="5520" spans="1:8" hidden="1">
      <c r="A5520" s="3">
        <v>11492</v>
      </c>
      <c r="B5520" s="7" t="s">
        <v>76</v>
      </c>
      <c r="C5520" s="41">
        <v>636.67999999999995</v>
      </c>
      <c r="D5520" s="6">
        <v>45694</v>
      </c>
      <c r="E5520" s="3" t="str">
        <f ca="1">IF(Tabela2[[#This Row],[Dt Venc:]]&gt;TODAY(),"Em Aberto",IF(Tabela2[[#This Row],[D/venc]]="-","Enviado",IF(Tabela2[[#This Row],[Dt Venc:]]=TODAY(),"Vence Hoje","Vencida")))</f>
        <v>Em Aberto</v>
      </c>
      <c r="F5520" s="3" t="str">
        <f ca="1">IF(G5520=1,"-",Tabela2[[#This Row],[Dt Venc:]]-TODAY())</f>
        <v>-</v>
      </c>
      <c r="G5520" s="3">
        <v>1</v>
      </c>
      <c r="H5520" s="3"/>
    </row>
    <row r="5521" spans="1:8" hidden="1">
      <c r="A5521" s="3">
        <v>16080</v>
      </c>
      <c r="B5521" s="7" t="s">
        <v>289</v>
      </c>
      <c r="C5521" s="41">
        <v>750</v>
      </c>
      <c r="D5521" s="6">
        <v>45694</v>
      </c>
      <c r="E5521" s="3" t="str">
        <f ca="1">IF(Tabela2[[#This Row],[Dt Venc:]]&gt;TODAY(),"Em Aberto",IF(Tabela2[[#This Row],[D/venc]]="-","Enviado",IF(Tabela2[[#This Row],[Dt Venc:]]=TODAY(),"Vence Hoje","Vencida")))</f>
        <v>Em Aberto</v>
      </c>
      <c r="F5521" s="3" t="str">
        <f ca="1">IF(G5521=1,"-",Tabela2[[#This Row],[Dt Venc:]]-TODAY())</f>
        <v>-</v>
      </c>
      <c r="G5521" s="3">
        <v>1</v>
      </c>
      <c r="H5521" s="3"/>
    </row>
    <row r="5522" spans="1:8" hidden="1">
      <c r="A5522" s="3">
        <v>18436</v>
      </c>
      <c r="B5522" s="7" t="s">
        <v>292</v>
      </c>
      <c r="C5522" s="41">
        <v>4994</v>
      </c>
      <c r="D5522" s="6">
        <v>45694</v>
      </c>
      <c r="E5522" s="3" t="str">
        <f ca="1">IF(Tabela2[[#This Row],[Dt Venc:]]&gt;TODAY(),"Em Aberto",IF(Tabela2[[#This Row],[D/venc]]="-","Enviado",IF(Tabela2[[#This Row],[Dt Venc:]]=TODAY(),"Vence Hoje","Vencida")))</f>
        <v>Em Aberto</v>
      </c>
      <c r="F5522" s="3" t="str">
        <f ca="1">IF(G5522=1,"-",Tabela2[[#This Row],[Dt Venc:]]-TODAY())</f>
        <v>-</v>
      </c>
      <c r="G5522" s="3">
        <v>1</v>
      </c>
      <c r="H5522" s="3"/>
    </row>
    <row r="5523" spans="1:8" hidden="1">
      <c r="A5523" s="3">
        <v>24294</v>
      </c>
      <c r="B5523" s="7" t="s">
        <v>38</v>
      </c>
      <c r="C5523" s="41">
        <v>1521.5</v>
      </c>
      <c r="D5523" s="6">
        <v>45694</v>
      </c>
      <c r="E5523" s="3" t="str">
        <f ca="1">IF(Tabela2[[#This Row],[Dt Venc:]]&gt;TODAY(),"Em Aberto",IF(Tabela2[[#This Row],[D/venc]]="-","Enviado",IF(Tabela2[[#This Row],[Dt Venc:]]=TODAY(),"Vence Hoje","Vencida")))</f>
        <v>Em Aberto</v>
      </c>
      <c r="F5523" s="3" t="str">
        <f ca="1">IF(G5523=1,"-",Tabela2[[#This Row],[Dt Venc:]]-TODAY())</f>
        <v>-</v>
      </c>
      <c r="G5523" s="3">
        <v>1</v>
      </c>
      <c r="H5523" s="3"/>
    </row>
    <row r="5524" spans="1:8" hidden="1">
      <c r="A5524" s="3">
        <v>30840</v>
      </c>
      <c r="B5524" s="7" t="s">
        <v>97</v>
      </c>
      <c r="C5524" s="41">
        <v>2285</v>
      </c>
      <c r="D5524" s="6">
        <v>45694</v>
      </c>
      <c r="E5524" s="3" t="str">
        <f ca="1">IF(Tabela2[[#This Row],[Dt Venc:]]&gt;TODAY(),"Em Aberto",IF(Tabela2[[#This Row],[D/venc]]="-","Enviado",IF(Tabela2[[#This Row],[Dt Venc:]]=TODAY(),"Vence Hoje","Vencida")))</f>
        <v>Em Aberto</v>
      </c>
      <c r="F5524" s="3" t="str">
        <f ca="1">IF(G5524=1,"-",Tabela2[[#This Row],[Dt Venc:]]-TODAY())</f>
        <v>-</v>
      </c>
      <c r="G5524" s="3">
        <v>1</v>
      </c>
      <c r="H5524" s="3"/>
    </row>
    <row r="5525" spans="1:8" hidden="1">
      <c r="A5525" s="3">
        <v>37254</v>
      </c>
      <c r="B5525" s="7" t="s">
        <v>554</v>
      </c>
      <c r="C5525" s="41">
        <v>122100</v>
      </c>
      <c r="D5525" s="6">
        <v>45694</v>
      </c>
      <c r="E5525" s="3" t="str">
        <f ca="1">IF(Tabela2[[#This Row],[Dt Venc:]]&gt;TODAY(),"Em Aberto",IF(Tabela2[[#This Row],[D/venc]]="-","Enviado",IF(Tabela2[[#This Row],[Dt Venc:]]=TODAY(),"Vence Hoje","Vencida")))</f>
        <v>Em Aberto</v>
      </c>
      <c r="F5525" s="3" t="str">
        <f ca="1">IF(G5525=1,"-",Tabela2[[#This Row],[Dt Venc:]]-TODAY())</f>
        <v>-</v>
      </c>
      <c r="G5525" s="3">
        <v>1</v>
      </c>
      <c r="H5525" s="3"/>
    </row>
    <row r="5526" spans="1:8" hidden="1">
      <c r="A5526" s="3">
        <v>46716</v>
      </c>
      <c r="B5526" s="7" t="s">
        <v>439</v>
      </c>
      <c r="C5526" s="41">
        <v>120.22</v>
      </c>
      <c r="D5526" s="6">
        <v>45694</v>
      </c>
      <c r="E5526" s="3" t="str">
        <f ca="1">IF(Tabela2[[#This Row],[Dt Venc:]]&gt;TODAY(),"Em Aberto",IF(Tabela2[[#This Row],[D/venc]]="-","Enviado",IF(Tabela2[[#This Row],[Dt Venc:]]=TODAY(),"Vence Hoje","Vencida")))</f>
        <v>Em Aberto</v>
      </c>
      <c r="F5526" s="3" t="str">
        <f ca="1">IF(G5526=1,"-",Tabela2[[#This Row],[Dt Venc:]]-TODAY())</f>
        <v>-</v>
      </c>
      <c r="G5526" s="3">
        <v>1</v>
      </c>
      <c r="H5526" s="3"/>
    </row>
    <row r="5527" spans="1:8" hidden="1">
      <c r="A5527" s="3">
        <v>52156</v>
      </c>
      <c r="B5527" s="7" t="s">
        <v>144</v>
      </c>
      <c r="C5527" s="41">
        <v>1103.5</v>
      </c>
      <c r="D5527" s="6">
        <v>45694</v>
      </c>
      <c r="E5527" s="3" t="str">
        <f ca="1">IF(Tabela2[[#This Row],[Dt Venc:]]&gt;TODAY(),"Em Aberto",IF(Tabela2[[#This Row],[D/venc]]="-","Enviado",IF(Tabela2[[#This Row],[Dt Venc:]]=TODAY(),"Vence Hoje","Vencida")))</f>
        <v>Em Aberto</v>
      </c>
      <c r="F5527" s="3" t="str">
        <f ca="1">IF(G5527=1,"-",Tabela2[[#This Row],[Dt Venc:]]-TODAY())</f>
        <v>-</v>
      </c>
      <c r="G5527" s="3">
        <v>1</v>
      </c>
      <c r="H5527" s="3"/>
    </row>
    <row r="5528" spans="1:8" hidden="1">
      <c r="A5528" s="3">
        <v>74839</v>
      </c>
      <c r="B5528" s="7" t="s">
        <v>76</v>
      </c>
      <c r="C5528" s="41">
        <v>2578.9899999999998</v>
      </c>
      <c r="D5528" s="6">
        <v>45694</v>
      </c>
      <c r="E5528" s="3" t="str">
        <f ca="1">IF(Tabela2[[#This Row],[Dt Venc:]]&gt;TODAY(),"Em Aberto",IF(Tabela2[[#This Row],[D/venc]]="-","Enviado",IF(Tabela2[[#This Row],[Dt Venc:]]=TODAY(),"Vence Hoje","Vencida")))</f>
        <v>Em Aberto</v>
      </c>
      <c r="F5528" s="3" t="str">
        <f ca="1">IF(G5528=1,"-",Tabela2[[#This Row],[Dt Venc:]]-TODAY())</f>
        <v>-</v>
      </c>
      <c r="G5528" s="3">
        <v>1</v>
      </c>
      <c r="H5528" s="3"/>
    </row>
    <row r="5529" spans="1:8" hidden="1">
      <c r="A5529" s="3">
        <v>74844</v>
      </c>
      <c r="B5529" s="7" t="s">
        <v>76</v>
      </c>
      <c r="C5529" s="41">
        <v>428.49</v>
      </c>
      <c r="D5529" s="6">
        <v>45694</v>
      </c>
      <c r="E5529" s="3" t="str">
        <f ca="1">IF(Tabela2[[#This Row],[Dt Venc:]]&gt;TODAY(),"Em Aberto",IF(Tabela2[[#This Row],[D/venc]]="-","Enviado",IF(Tabela2[[#This Row],[Dt Venc:]]=TODAY(),"Vence Hoje","Vencida")))</f>
        <v>Em Aberto</v>
      </c>
      <c r="F5529" s="3" t="str">
        <f ca="1">IF(G5529=1,"-",Tabela2[[#This Row],[Dt Venc:]]-TODAY())</f>
        <v>-</v>
      </c>
      <c r="G5529" s="3">
        <v>1</v>
      </c>
      <c r="H5529" s="3"/>
    </row>
    <row r="5530" spans="1:8" hidden="1">
      <c r="A5530" s="3">
        <v>155674</v>
      </c>
      <c r="B5530" s="7" t="s">
        <v>77</v>
      </c>
      <c r="C5530" s="41">
        <v>1233.33</v>
      </c>
      <c r="D5530" s="6">
        <v>45694</v>
      </c>
      <c r="E5530" s="3" t="str">
        <f ca="1">IF(Tabela2[[#This Row],[Dt Venc:]]&gt;TODAY(),"Em Aberto",IF(Tabela2[[#This Row],[D/venc]]="-","Enviado",IF(Tabela2[[#This Row],[Dt Venc:]]=TODAY(),"Vence Hoje","Vencida")))</f>
        <v>Em Aberto</v>
      </c>
      <c r="F5530" s="3" t="str">
        <f ca="1">IF(G5530=1,"-",Tabela2[[#This Row],[Dt Venc:]]-TODAY())</f>
        <v>-</v>
      </c>
      <c r="G5530" s="3">
        <v>1</v>
      </c>
      <c r="H5530" s="3"/>
    </row>
    <row r="5531" spans="1:8" hidden="1">
      <c r="A5531" s="3">
        <v>162059</v>
      </c>
      <c r="B5531" s="7" t="s">
        <v>679</v>
      </c>
      <c r="C5531" s="41">
        <v>696</v>
      </c>
      <c r="D5531" s="6">
        <v>45694</v>
      </c>
      <c r="E5531" s="3" t="str">
        <f ca="1">IF(Tabela2[[#This Row],[Dt Venc:]]&gt;TODAY(),"Em Aberto",IF(Tabela2[[#This Row],[D/venc]]="-","Enviado",IF(Tabela2[[#This Row],[Dt Venc:]]=TODAY(),"Vence Hoje","Vencida")))</f>
        <v>Em Aberto</v>
      </c>
      <c r="F5531" s="3" t="str">
        <f ca="1">IF(G5531=1,"-",Tabela2[[#This Row],[Dt Venc:]]-TODAY())</f>
        <v>-</v>
      </c>
      <c r="G5531" s="3">
        <v>1</v>
      </c>
      <c r="H5531" s="3"/>
    </row>
    <row r="5532" spans="1:8" hidden="1">
      <c r="A5532" s="3">
        <v>179319</v>
      </c>
      <c r="B5532" s="7" t="s">
        <v>211</v>
      </c>
      <c r="C5532" s="41">
        <v>990</v>
      </c>
      <c r="D5532" s="6">
        <v>45694</v>
      </c>
      <c r="E5532" s="3" t="str">
        <f ca="1">IF(Tabela2[[#This Row],[Dt Venc:]]&gt;TODAY(),"Em Aberto",IF(Tabela2[[#This Row],[D/venc]]="-","Enviado",IF(Tabela2[[#This Row],[Dt Venc:]]=TODAY(),"Vence Hoje","Vencida")))</f>
        <v>Em Aberto</v>
      </c>
      <c r="F5532" s="3" t="str">
        <f ca="1">IF(G5532=1,"-",Tabela2[[#This Row],[Dt Venc:]]-TODAY())</f>
        <v>-</v>
      </c>
      <c r="G5532" s="3">
        <v>1</v>
      </c>
      <c r="H5532" s="3"/>
    </row>
    <row r="5533" spans="1:8" hidden="1">
      <c r="A5533" s="3">
        <v>277281</v>
      </c>
      <c r="B5533" s="7" t="s">
        <v>36</v>
      </c>
      <c r="C5533" s="41">
        <v>557.33000000000004</v>
      </c>
      <c r="D5533" s="6">
        <v>45694</v>
      </c>
      <c r="E5533" s="3" t="str">
        <f ca="1">IF(Tabela2[[#This Row],[Dt Venc:]]&gt;TODAY(),"Em Aberto",IF(Tabela2[[#This Row],[D/venc]]="-","Enviado",IF(Tabela2[[#This Row],[Dt Venc:]]=TODAY(),"Vence Hoje","Vencida")))</f>
        <v>Em Aberto</v>
      </c>
      <c r="F5533" s="3" t="str">
        <f ca="1">IF(G5533=1,"-",Tabela2[[#This Row],[Dt Venc:]]-TODAY())</f>
        <v>-</v>
      </c>
      <c r="G5533" s="3">
        <v>1</v>
      </c>
      <c r="H5533" s="3"/>
    </row>
    <row r="5534" spans="1:8" hidden="1">
      <c r="A5534" s="3">
        <v>376144</v>
      </c>
      <c r="B5534" s="7" t="s">
        <v>39</v>
      </c>
      <c r="C5534" s="41">
        <v>1252.3599999999999</v>
      </c>
      <c r="D5534" s="6">
        <v>45694</v>
      </c>
      <c r="E5534" s="3" t="str">
        <f ca="1">IF(Tabela2[[#This Row],[Dt Venc:]]&gt;TODAY(),"Em Aberto",IF(Tabela2[[#This Row],[D/venc]]="-","Enviado",IF(Tabela2[[#This Row],[Dt Venc:]]=TODAY(),"Vence Hoje","Vencida")))</f>
        <v>Em Aberto</v>
      </c>
      <c r="F5534" s="3" t="str">
        <f ca="1">IF(G5534=1,"-",Tabela2[[#This Row],[Dt Venc:]]-TODAY())</f>
        <v>-</v>
      </c>
      <c r="G5534" s="3">
        <v>1</v>
      </c>
      <c r="H5534" s="3"/>
    </row>
    <row r="5535" spans="1:8" hidden="1">
      <c r="A5535" s="3">
        <v>376178</v>
      </c>
      <c r="B5535" s="7" t="s">
        <v>39</v>
      </c>
      <c r="C5535" s="41">
        <v>3644.71</v>
      </c>
      <c r="D5535" s="6">
        <v>45694</v>
      </c>
      <c r="E5535" s="3" t="str">
        <f ca="1">IF(Tabela2[[#This Row],[Dt Venc:]]&gt;TODAY(),"Em Aberto",IF(Tabela2[[#This Row],[D/venc]]="-","Enviado",IF(Tabela2[[#This Row],[Dt Venc:]]=TODAY(),"Vence Hoje","Vencida")))</f>
        <v>Em Aberto</v>
      </c>
      <c r="F5535" s="3" t="str">
        <f ca="1">IF(G5535=1,"-",Tabela2[[#This Row],[Dt Venc:]]-TODAY())</f>
        <v>-</v>
      </c>
      <c r="G5535" s="3">
        <v>1</v>
      </c>
      <c r="H5535" s="3"/>
    </row>
    <row r="5536" spans="1:8" hidden="1">
      <c r="A5536" s="3">
        <v>376202</v>
      </c>
      <c r="B5536" s="7" t="s">
        <v>39</v>
      </c>
      <c r="C5536" s="41">
        <v>3094.69</v>
      </c>
      <c r="D5536" s="6">
        <v>45694</v>
      </c>
      <c r="E5536" s="3" t="str">
        <f ca="1">IF(Tabela2[[#This Row],[Dt Venc:]]&gt;TODAY(),"Em Aberto",IF(Tabela2[[#This Row],[D/venc]]="-","Enviado",IF(Tabela2[[#This Row],[Dt Venc:]]=TODAY(),"Vence Hoje","Vencida")))</f>
        <v>Em Aberto</v>
      </c>
      <c r="F5536" s="3" t="str">
        <f ca="1">IF(G5536=1,"-",Tabela2[[#This Row],[Dt Venc:]]-TODAY())</f>
        <v>-</v>
      </c>
      <c r="G5536" s="3">
        <v>1</v>
      </c>
      <c r="H5536" s="3"/>
    </row>
    <row r="5537" spans="1:8" hidden="1">
      <c r="A5537" s="3">
        <v>446156</v>
      </c>
      <c r="B5537" s="7" t="s">
        <v>512</v>
      </c>
      <c r="C5537" s="41">
        <v>772.85</v>
      </c>
      <c r="D5537" s="6">
        <v>45694</v>
      </c>
      <c r="E5537" s="3" t="str">
        <f ca="1">IF(Tabela2[[#This Row],[Dt Venc:]]&gt;TODAY(),"Em Aberto",IF(Tabela2[[#This Row],[D/venc]]="-","Enviado",IF(Tabela2[[#This Row],[Dt Venc:]]=TODAY(),"Vence Hoje","Vencida")))</f>
        <v>Em Aberto</v>
      </c>
      <c r="F5537" s="3" t="str">
        <f ca="1">IF(G5537=1,"-",Tabela2[[#This Row],[Dt Venc:]]-TODAY())</f>
        <v>-</v>
      </c>
      <c r="G5537" s="3">
        <v>1</v>
      </c>
      <c r="H5537" s="3"/>
    </row>
    <row r="5538" spans="1:8" hidden="1">
      <c r="A5538" s="3">
        <v>446170</v>
      </c>
      <c r="B5538" s="7" t="s">
        <v>512</v>
      </c>
      <c r="C5538" s="41">
        <v>194.69</v>
      </c>
      <c r="D5538" s="6">
        <v>45694</v>
      </c>
      <c r="E5538" s="3" t="str">
        <f ca="1">IF(Tabela2[[#This Row],[Dt Venc:]]&gt;TODAY(),"Em Aberto",IF(Tabela2[[#This Row],[D/venc]]="-","Enviado",IF(Tabela2[[#This Row],[Dt Venc:]]=TODAY(),"Vence Hoje","Vencida")))</f>
        <v>Em Aberto</v>
      </c>
      <c r="F5538" s="3" t="str">
        <f ca="1">IF(G5538=1,"-",Tabela2[[#This Row],[Dt Venc:]]-TODAY())</f>
        <v>-</v>
      </c>
      <c r="G5538" s="3">
        <v>1</v>
      </c>
      <c r="H5538" s="3"/>
    </row>
    <row r="5539" spans="1:8" hidden="1">
      <c r="A5539" s="3">
        <v>450069</v>
      </c>
      <c r="B5539" s="7" t="s">
        <v>680</v>
      </c>
      <c r="C5539" s="41">
        <v>1052.95</v>
      </c>
      <c r="D5539" s="6">
        <v>45694</v>
      </c>
      <c r="E5539" s="3" t="str">
        <f ca="1">IF(Tabela2[[#This Row],[Dt Venc:]]&gt;TODAY(),"Em Aberto",IF(Tabela2[[#This Row],[D/venc]]="-","Enviado",IF(Tabela2[[#This Row],[Dt Venc:]]=TODAY(),"Vence Hoje","Vencida")))</f>
        <v>Em Aberto</v>
      </c>
      <c r="F5539" s="3" t="str">
        <f ca="1">IF(G5539=1,"-",Tabela2[[#This Row],[Dt Venc:]]-TODAY())</f>
        <v>-</v>
      </c>
      <c r="G5539" s="3">
        <v>1</v>
      </c>
      <c r="H5539" s="3"/>
    </row>
    <row r="5540" spans="1:8" hidden="1">
      <c r="A5540" s="3">
        <v>616911</v>
      </c>
      <c r="B5540" s="7" t="s">
        <v>66</v>
      </c>
      <c r="C5540" s="41">
        <v>681.12</v>
      </c>
      <c r="D5540" s="6">
        <v>45694</v>
      </c>
      <c r="E5540" s="3" t="str">
        <f ca="1">IF(Tabela2[[#This Row],[Dt Venc:]]&gt;TODAY(),"Em Aberto",IF(Tabela2[[#This Row],[D/venc]]="-","Enviado",IF(Tabela2[[#This Row],[Dt Venc:]]=TODAY(),"Vence Hoje","Vencida")))</f>
        <v>Em Aberto</v>
      </c>
      <c r="F5540" s="3" t="str">
        <f ca="1">IF(G5540=1,"-",Tabela2[[#This Row],[Dt Venc:]]-TODAY())</f>
        <v>-</v>
      </c>
      <c r="G5540" s="3">
        <v>1</v>
      </c>
      <c r="H5540" s="3"/>
    </row>
    <row r="5541" spans="1:8" hidden="1">
      <c r="A5541" s="3">
        <v>19</v>
      </c>
      <c r="B5541" s="7" t="s">
        <v>681</v>
      </c>
      <c r="C5541" s="41">
        <v>1400</v>
      </c>
      <c r="D5541" s="6">
        <v>45695</v>
      </c>
      <c r="E5541" s="3" t="str">
        <f ca="1">IF(Tabela2[[#This Row],[Dt Venc:]]&gt;TODAY(),"Em Aberto",IF(Tabela2[[#This Row],[D/venc]]="-","Enviado",IF(Tabela2[[#This Row],[Dt Venc:]]=TODAY(),"Vence Hoje","Vencida")))</f>
        <v>Em Aberto</v>
      </c>
      <c r="F5541" s="3" t="str">
        <f ca="1">IF(G5541=1,"-",Tabela2[[#This Row],[Dt Venc:]]-TODAY())</f>
        <v>-</v>
      </c>
      <c r="G5541" s="3">
        <v>1</v>
      </c>
      <c r="H5541" s="3"/>
    </row>
    <row r="5542" spans="1:8" hidden="1">
      <c r="A5542" s="3">
        <v>69</v>
      </c>
      <c r="B5542" s="7" t="s">
        <v>631</v>
      </c>
      <c r="C5542" s="41">
        <v>625</v>
      </c>
      <c r="D5542" s="6">
        <v>45695</v>
      </c>
      <c r="E5542" s="3" t="str">
        <f ca="1">IF(Tabela2[[#This Row],[Dt Venc:]]&gt;TODAY(),"Em Aberto",IF(Tabela2[[#This Row],[D/venc]]="-","Enviado",IF(Tabela2[[#This Row],[Dt Venc:]]=TODAY(),"Vence Hoje","Vencida")))</f>
        <v>Em Aberto</v>
      </c>
      <c r="F5542" s="3" t="str">
        <f ca="1">IF(G5542=1,"-",Tabela2[[#This Row],[Dt Venc:]]-TODAY())</f>
        <v>-</v>
      </c>
      <c r="G5542" s="3">
        <v>1</v>
      </c>
      <c r="H5542" s="3"/>
    </row>
    <row r="5543" spans="1:8" hidden="1">
      <c r="A5543" s="3">
        <v>1219</v>
      </c>
      <c r="B5543" s="7" t="s">
        <v>682</v>
      </c>
      <c r="C5543" s="41">
        <v>10040</v>
      </c>
      <c r="D5543" s="6">
        <v>45695</v>
      </c>
      <c r="E5543" s="3" t="str">
        <f ca="1">IF(Tabela2[[#This Row],[Dt Venc:]]&gt;TODAY(),"Em Aberto",IF(Tabela2[[#This Row],[D/venc]]="-","Enviado",IF(Tabela2[[#This Row],[Dt Venc:]]=TODAY(),"Vence Hoje","Vencida")))</f>
        <v>Em Aberto</v>
      </c>
      <c r="F5543" s="3" t="str">
        <f ca="1">IF(G5543=1,"-",Tabela2[[#This Row],[Dt Venc:]]-TODAY())</f>
        <v>-</v>
      </c>
      <c r="G5543" s="3">
        <v>1</v>
      </c>
      <c r="H5543" s="3"/>
    </row>
    <row r="5544" spans="1:8" hidden="1">
      <c r="A5544" s="3">
        <v>1270</v>
      </c>
      <c r="B5544" s="7" t="s">
        <v>559</v>
      </c>
      <c r="C5544" s="41">
        <v>600</v>
      </c>
      <c r="D5544" s="6">
        <v>45695</v>
      </c>
      <c r="E5544" s="3" t="str">
        <f ca="1">IF(Tabela2[[#This Row],[Dt Venc:]]&gt;TODAY(),"Em Aberto",IF(Tabela2[[#This Row],[D/venc]]="-","Enviado",IF(Tabela2[[#This Row],[Dt Venc:]]=TODAY(),"Vence Hoje","Vencida")))</f>
        <v>Em Aberto</v>
      </c>
      <c r="F5544" s="3" t="str">
        <f ca="1">IF(G5544=1,"-",Tabela2[[#This Row],[Dt Venc:]]-TODAY())</f>
        <v>-</v>
      </c>
      <c r="G5544" s="3">
        <v>1</v>
      </c>
      <c r="H5544" s="3"/>
    </row>
    <row r="5545" spans="1:8" hidden="1">
      <c r="A5545" s="3">
        <v>1275</v>
      </c>
      <c r="B5545" s="7" t="s">
        <v>683</v>
      </c>
      <c r="C5545" s="41">
        <v>900</v>
      </c>
      <c r="D5545" s="6">
        <v>45695</v>
      </c>
      <c r="E5545" s="3" t="str">
        <f ca="1">IF(Tabela2[[#This Row],[Dt Venc:]]&gt;TODAY(),"Em Aberto",IF(Tabela2[[#This Row],[D/venc]]="-","Enviado",IF(Tabela2[[#This Row],[Dt Venc:]]=TODAY(),"Vence Hoje","Vencida")))</f>
        <v>Em Aberto</v>
      </c>
      <c r="F5545" s="3" t="str">
        <f ca="1">IF(G5545=1,"-",Tabela2[[#This Row],[Dt Venc:]]-TODAY())</f>
        <v>-</v>
      </c>
      <c r="G5545" s="3">
        <v>1</v>
      </c>
      <c r="H5545" s="3"/>
    </row>
    <row r="5546" spans="1:8" hidden="1">
      <c r="A5546" s="3">
        <v>1478</v>
      </c>
      <c r="B5546" s="7" t="s">
        <v>241</v>
      </c>
      <c r="C5546" s="41">
        <v>690</v>
      </c>
      <c r="D5546" s="6">
        <v>45695</v>
      </c>
      <c r="E5546" s="3" t="str">
        <f ca="1">IF(Tabela2[[#This Row],[Dt Venc:]]&gt;TODAY(),"Em Aberto",IF(Tabela2[[#This Row],[D/venc]]="-","Enviado",IF(Tabela2[[#This Row],[Dt Venc:]]=TODAY(),"Vence Hoje","Vencida")))</f>
        <v>Em Aberto</v>
      </c>
      <c r="F5546" s="3" t="str">
        <f ca="1">IF(G5546=1,"-",Tabela2[[#This Row],[Dt Venc:]]-TODAY())</f>
        <v>-</v>
      </c>
      <c r="G5546" s="3">
        <v>1</v>
      </c>
      <c r="H5546" s="3"/>
    </row>
    <row r="5547" spans="1:8" hidden="1">
      <c r="A5547" s="3">
        <v>2318</v>
      </c>
      <c r="B5547" s="7" t="s">
        <v>45</v>
      </c>
      <c r="C5547" s="41">
        <v>2240</v>
      </c>
      <c r="D5547" s="6">
        <v>45695</v>
      </c>
      <c r="E5547" s="3" t="str">
        <f ca="1">IF(Tabela2[[#This Row],[Dt Venc:]]&gt;TODAY(),"Em Aberto",IF(Tabela2[[#This Row],[D/venc]]="-","Enviado",IF(Tabela2[[#This Row],[Dt Venc:]]=TODAY(),"Vence Hoje","Vencida")))</f>
        <v>Em Aberto</v>
      </c>
      <c r="F5547" s="3" t="str">
        <f ca="1">IF(G5547=1,"-",Tabela2[[#This Row],[Dt Venc:]]-TODAY())</f>
        <v>-</v>
      </c>
      <c r="G5547" s="3">
        <v>1</v>
      </c>
      <c r="H5547" s="3"/>
    </row>
    <row r="5548" spans="1:8" hidden="1">
      <c r="A5548" s="3">
        <v>2896</v>
      </c>
      <c r="B5548" s="7" t="s">
        <v>58</v>
      </c>
      <c r="C5548" s="41">
        <v>2255.14</v>
      </c>
      <c r="D5548" s="6">
        <v>45695</v>
      </c>
      <c r="E5548" s="3" t="str">
        <f ca="1">IF(Tabela2[[#This Row],[Dt Venc:]]&gt;TODAY(),"Em Aberto",IF(Tabela2[[#This Row],[D/venc]]="-","Enviado",IF(Tabela2[[#This Row],[Dt Venc:]]=TODAY(),"Vence Hoje","Vencida")))</f>
        <v>Em Aberto</v>
      </c>
      <c r="F5548" s="3" t="str">
        <f ca="1">IF(G5548=1,"-",Tabela2[[#This Row],[Dt Venc:]]-TODAY())</f>
        <v>-</v>
      </c>
      <c r="G5548" s="3">
        <v>1</v>
      </c>
      <c r="H5548" s="3"/>
    </row>
    <row r="5549" spans="1:8" hidden="1">
      <c r="A5549" s="3">
        <v>2955</v>
      </c>
      <c r="B5549" s="7" t="s">
        <v>58</v>
      </c>
      <c r="C5549" s="41">
        <v>3315.4</v>
      </c>
      <c r="D5549" s="6">
        <v>45695</v>
      </c>
      <c r="E5549" s="3" t="str">
        <f ca="1">IF(Tabela2[[#This Row],[Dt Venc:]]&gt;TODAY(),"Em Aberto",IF(Tabela2[[#This Row],[D/venc]]="-","Enviado",IF(Tabela2[[#This Row],[Dt Venc:]]=TODAY(),"Vence Hoje","Vencida")))</f>
        <v>Em Aberto</v>
      </c>
      <c r="F5549" s="3" t="str">
        <f ca="1">IF(G5549=1,"-",Tabela2[[#This Row],[Dt Venc:]]-TODAY())</f>
        <v>-</v>
      </c>
      <c r="G5549" s="3">
        <v>1</v>
      </c>
      <c r="H5549" s="3"/>
    </row>
    <row r="5550" spans="1:8" hidden="1">
      <c r="A5550" s="3">
        <v>5166</v>
      </c>
      <c r="B5550" s="7" t="s">
        <v>463</v>
      </c>
      <c r="C5550" s="41">
        <v>2001.3</v>
      </c>
      <c r="D5550" s="6">
        <v>45695</v>
      </c>
      <c r="E5550" s="3" t="str">
        <f ca="1">IF(Tabela2[[#This Row],[Dt Venc:]]&gt;TODAY(),"Em Aberto",IF(Tabela2[[#This Row],[D/venc]]="-","Enviado",IF(Tabela2[[#This Row],[Dt Venc:]]=TODAY(),"Vence Hoje","Vencida")))</f>
        <v>Em Aberto</v>
      </c>
      <c r="F5550" s="3" t="str">
        <f ca="1">IF(G5550=1,"-",Tabela2[[#This Row],[Dt Venc:]]-TODAY())</f>
        <v>-</v>
      </c>
      <c r="G5550" s="3">
        <v>1</v>
      </c>
      <c r="H5550" s="3"/>
    </row>
    <row r="5551" spans="1:8" hidden="1">
      <c r="A5551" s="3">
        <v>5943</v>
      </c>
      <c r="B5551" s="7" t="s">
        <v>47</v>
      </c>
      <c r="C5551" s="41">
        <v>1873.68</v>
      </c>
      <c r="D5551" s="6">
        <v>45695</v>
      </c>
      <c r="E5551" s="3" t="str">
        <f ca="1">IF(Tabela2[[#This Row],[Dt Venc:]]&gt;TODAY(),"Em Aberto",IF(Tabela2[[#This Row],[D/venc]]="-","Enviado",IF(Tabela2[[#This Row],[Dt Venc:]]=TODAY(),"Vence Hoje","Vencida")))</f>
        <v>Em Aberto</v>
      </c>
      <c r="F5551" s="3" t="str">
        <f ca="1">IF(G5551=1,"-",Tabela2[[#This Row],[Dt Venc:]]-TODAY())</f>
        <v>-</v>
      </c>
      <c r="G5551" s="3">
        <v>1</v>
      </c>
      <c r="H5551" s="3"/>
    </row>
    <row r="5552" spans="1:8" hidden="1">
      <c r="A5552" s="3">
        <v>6290</v>
      </c>
      <c r="B5552" s="7" t="s">
        <v>620</v>
      </c>
      <c r="C5552" s="41">
        <v>701.45</v>
      </c>
      <c r="D5552" s="6">
        <v>45695</v>
      </c>
      <c r="E5552" s="3" t="str">
        <f ca="1">IF(Tabela2[[#This Row],[Dt Venc:]]&gt;TODAY(),"Em Aberto",IF(Tabela2[[#This Row],[D/venc]]="-","Enviado",IF(Tabela2[[#This Row],[Dt Venc:]]=TODAY(),"Vence Hoje","Vencida")))</f>
        <v>Em Aberto</v>
      </c>
      <c r="F5552" s="3" t="str">
        <f ca="1">IF(G5552=1,"-",Tabela2[[#This Row],[Dt Venc:]]-TODAY())</f>
        <v>-</v>
      </c>
      <c r="G5552" s="3">
        <v>1</v>
      </c>
      <c r="H5552" s="3"/>
    </row>
    <row r="5553" spans="1:8" hidden="1">
      <c r="A5553" s="3">
        <v>10622</v>
      </c>
      <c r="B5553" s="7" t="s">
        <v>105</v>
      </c>
      <c r="C5553" s="41">
        <v>1600</v>
      </c>
      <c r="D5553" s="6">
        <v>45695</v>
      </c>
      <c r="E5553" s="3" t="str">
        <f ca="1">IF(Tabela2[[#This Row],[Dt Venc:]]&gt;TODAY(),"Em Aberto",IF(Tabela2[[#This Row],[D/venc]]="-","Enviado",IF(Tabela2[[#This Row],[Dt Venc:]]=TODAY(),"Vence Hoje","Vencida")))</f>
        <v>Em Aberto</v>
      </c>
      <c r="F5553" s="3" t="str">
        <f ca="1">IF(G5553=1,"-",Tabela2[[#This Row],[Dt Venc:]]-TODAY())</f>
        <v>-</v>
      </c>
      <c r="G5553" s="3">
        <v>1</v>
      </c>
      <c r="H5553" s="3"/>
    </row>
    <row r="5554" spans="1:8" hidden="1">
      <c r="A5554" s="3">
        <v>11024</v>
      </c>
      <c r="B5554" s="7" t="s">
        <v>76</v>
      </c>
      <c r="C5554" s="41">
        <v>1488.01</v>
      </c>
      <c r="D5554" s="6">
        <v>45695</v>
      </c>
      <c r="E5554" s="3" t="str">
        <f ca="1">IF(Tabela2[[#This Row],[Dt Venc:]]&gt;TODAY(),"Em Aberto",IF(Tabela2[[#This Row],[D/venc]]="-","Enviado",IF(Tabela2[[#This Row],[Dt Venc:]]=TODAY(),"Vence Hoje","Vencida")))</f>
        <v>Em Aberto</v>
      </c>
      <c r="F5554" s="3" t="str">
        <f ca="1">IF(G5554=1,"-",Tabela2[[#This Row],[Dt Venc:]]-TODAY())</f>
        <v>-</v>
      </c>
      <c r="G5554" s="3">
        <v>1</v>
      </c>
      <c r="H5554" s="3"/>
    </row>
    <row r="5555" spans="1:8" hidden="1">
      <c r="A5555" s="3">
        <v>11121</v>
      </c>
      <c r="B5555" s="7" t="s">
        <v>33</v>
      </c>
      <c r="C5555" s="41">
        <v>1930</v>
      </c>
      <c r="D5555" s="6">
        <v>45695</v>
      </c>
      <c r="E5555" s="3" t="str">
        <f ca="1">IF(Tabela2[[#This Row],[Dt Venc:]]&gt;TODAY(),"Em Aberto",IF(Tabela2[[#This Row],[D/venc]]="-","Enviado",IF(Tabela2[[#This Row],[Dt Venc:]]=TODAY(),"Vence Hoje","Vencida")))</f>
        <v>Em Aberto</v>
      </c>
      <c r="F5555" s="3" t="str">
        <f ca="1">IF(G5555=1,"-",Tabela2[[#This Row],[Dt Venc:]]-TODAY())</f>
        <v>-</v>
      </c>
      <c r="G5555" s="3">
        <v>1</v>
      </c>
      <c r="H5555" s="3"/>
    </row>
    <row r="5556" spans="1:8" hidden="1">
      <c r="A5556" s="3">
        <v>11122</v>
      </c>
      <c r="B5556" s="7" t="s">
        <v>33</v>
      </c>
      <c r="C5556" s="41">
        <v>400</v>
      </c>
      <c r="D5556" s="6">
        <v>45695</v>
      </c>
      <c r="E5556" s="3" t="str">
        <f ca="1">IF(Tabela2[[#This Row],[Dt Venc:]]&gt;TODAY(),"Em Aberto",IF(Tabela2[[#This Row],[D/venc]]="-","Enviado",IF(Tabela2[[#This Row],[Dt Venc:]]=TODAY(),"Vence Hoje","Vencida")))</f>
        <v>Em Aberto</v>
      </c>
      <c r="F5556" s="3" t="str">
        <f ca="1">IF(G5556=1,"-",Tabela2[[#This Row],[Dt Venc:]]-TODAY())</f>
        <v>-</v>
      </c>
      <c r="G5556" s="3">
        <v>1</v>
      </c>
      <c r="H5556" s="3"/>
    </row>
    <row r="5557" spans="1:8" hidden="1">
      <c r="A5557" s="3">
        <v>11304</v>
      </c>
      <c r="B5557" s="7" t="s">
        <v>33</v>
      </c>
      <c r="C5557" s="41">
        <v>800</v>
      </c>
      <c r="D5557" s="6">
        <v>45695</v>
      </c>
      <c r="E5557" s="3" t="str">
        <f ca="1">IF(Tabela2[[#This Row],[Dt Venc:]]&gt;TODAY(),"Em Aberto",IF(Tabela2[[#This Row],[D/venc]]="-","Enviado",IF(Tabela2[[#This Row],[Dt Venc:]]=TODAY(),"Vence Hoje","Vencida")))</f>
        <v>Em Aberto</v>
      </c>
      <c r="F5557" s="3" t="str">
        <f ca="1">IF(G5557=1,"-",Tabela2[[#This Row],[Dt Venc:]]-TODAY())</f>
        <v>-</v>
      </c>
      <c r="G5557" s="3">
        <v>1</v>
      </c>
      <c r="H5557" s="3"/>
    </row>
    <row r="5558" spans="1:8" hidden="1">
      <c r="A5558" s="3">
        <v>15336</v>
      </c>
      <c r="B5558" s="7" t="s">
        <v>99</v>
      </c>
      <c r="C5558" s="41">
        <v>743.75</v>
      </c>
      <c r="D5558" s="6">
        <v>45695</v>
      </c>
      <c r="E5558" s="3" t="str">
        <f ca="1">IF(Tabela2[[#This Row],[Dt Venc:]]&gt;TODAY(),"Em Aberto",IF(Tabela2[[#This Row],[D/venc]]="-","Enviado",IF(Tabela2[[#This Row],[Dt Venc:]]=TODAY(),"Vence Hoje","Vencida")))</f>
        <v>Em Aberto</v>
      </c>
      <c r="F5558" s="3" t="str">
        <f ca="1">IF(G5558=1,"-",Tabela2[[#This Row],[Dt Venc:]]-TODAY())</f>
        <v>-</v>
      </c>
      <c r="G5558" s="3">
        <v>1</v>
      </c>
      <c r="H5558" s="3"/>
    </row>
    <row r="5559" spans="1:8" hidden="1">
      <c r="A5559" s="3">
        <v>19895</v>
      </c>
      <c r="B5559" s="7" t="s">
        <v>41</v>
      </c>
      <c r="C5559" s="41">
        <v>466.66</v>
      </c>
      <c r="D5559" s="6">
        <v>45695</v>
      </c>
      <c r="E5559" s="3" t="str">
        <f ca="1">IF(Tabela2[[#This Row],[Dt Venc:]]&gt;TODAY(),"Em Aberto",IF(Tabela2[[#This Row],[D/venc]]="-","Enviado",IF(Tabela2[[#This Row],[Dt Venc:]]=TODAY(),"Vence Hoje","Vencida")))</f>
        <v>Em Aberto</v>
      </c>
      <c r="F5559" s="3" t="str">
        <f ca="1">IF(G5559=1,"-",Tabela2[[#This Row],[Dt Venc:]]-TODAY())</f>
        <v>-</v>
      </c>
      <c r="G5559" s="3">
        <v>1</v>
      </c>
      <c r="H5559" s="3"/>
    </row>
    <row r="5560" spans="1:8" hidden="1">
      <c r="A5560" s="3">
        <v>24062</v>
      </c>
      <c r="B5560" s="7" t="s">
        <v>38</v>
      </c>
      <c r="C5560" s="41">
        <v>1201</v>
      </c>
      <c r="D5560" s="6">
        <v>45695</v>
      </c>
      <c r="E5560" s="3" t="str">
        <f ca="1">IF(Tabela2[[#This Row],[Dt Venc:]]&gt;TODAY(),"Em Aberto",IF(Tabela2[[#This Row],[D/venc]]="-","Enviado",IF(Tabela2[[#This Row],[Dt Venc:]]=TODAY(),"Vence Hoje","Vencida")))</f>
        <v>Em Aberto</v>
      </c>
      <c r="F5560" s="3" t="str">
        <f ca="1">IF(G5560=1,"-",Tabela2[[#This Row],[Dt Venc:]]-TODAY())</f>
        <v>-</v>
      </c>
      <c r="G5560" s="3">
        <v>1</v>
      </c>
      <c r="H5560" s="3"/>
    </row>
    <row r="5561" spans="1:8" hidden="1">
      <c r="A5561" s="3">
        <v>24067</v>
      </c>
      <c r="B5561" s="7" t="s">
        <v>38</v>
      </c>
      <c r="C5561" s="41">
        <v>720</v>
      </c>
      <c r="D5561" s="6">
        <v>45695</v>
      </c>
      <c r="E5561" s="3" t="str">
        <f ca="1">IF(Tabela2[[#This Row],[Dt Venc:]]&gt;TODAY(),"Em Aberto",IF(Tabela2[[#This Row],[D/venc]]="-","Enviado",IF(Tabela2[[#This Row],[Dt Venc:]]=TODAY(),"Vence Hoje","Vencida")))</f>
        <v>Em Aberto</v>
      </c>
      <c r="F5561" s="3" t="str">
        <f ca="1">IF(G5561=1,"-",Tabela2[[#This Row],[Dt Venc:]]-TODAY())</f>
        <v>-</v>
      </c>
      <c r="G5561" s="3">
        <v>1</v>
      </c>
      <c r="H5561" s="3"/>
    </row>
    <row r="5562" spans="1:8" hidden="1">
      <c r="A5562" s="3">
        <v>24305</v>
      </c>
      <c r="B5562" s="7" t="s">
        <v>38</v>
      </c>
      <c r="C5562" s="41">
        <v>1340</v>
      </c>
      <c r="D5562" s="6">
        <v>45695</v>
      </c>
      <c r="E5562" s="3" t="str">
        <f ca="1">IF(Tabela2[[#This Row],[Dt Venc:]]&gt;TODAY(),"Em Aberto",IF(Tabela2[[#This Row],[D/venc]]="-","Enviado",IF(Tabela2[[#This Row],[Dt Venc:]]=TODAY(),"Vence Hoje","Vencida")))</f>
        <v>Em Aberto</v>
      </c>
      <c r="F5562" s="3" t="str">
        <f ca="1">IF(G5562=1,"-",Tabela2[[#This Row],[Dt Venc:]]-TODAY())</f>
        <v>-</v>
      </c>
      <c r="G5562" s="3">
        <v>1</v>
      </c>
      <c r="H5562" s="3"/>
    </row>
    <row r="5563" spans="1:8" hidden="1">
      <c r="A5563" s="3">
        <v>36799</v>
      </c>
      <c r="B5563" s="7" t="s">
        <v>70</v>
      </c>
      <c r="C5563" s="41">
        <v>548.48</v>
      </c>
      <c r="D5563" s="6">
        <v>45695</v>
      </c>
      <c r="E5563" s="3" t="str">
        <f ca="1">IF(Tabela2[[#This Row],[Dt Venc:]]&gt;TODAY(),"Em Aberto",IF(Tabela2[[#This Row],[D/venc]]="-","Enviado",IF(Tabela2[[#This Row],[Dt Venc:]]=TODAY(),"Vence Hoje","Vencida")))</f>
        <v>Em Aberto</v>
      </c>
      <c r="F5563" s="3" t="str">
        <f ca="1">IF(G5563=1,"-",Tabela2[[#This Row],[Dt Venc:]]-TODAY())</f>
        <v>-</v>
      </c>
      <c r="G5563" s="3">
        <v>1</v>
      </c>
      <c r="H5563" s="3"/>
    </row>
    <row r="5564" spans="1:8" hidden="1">
      <c r="A5564" s="3">
        <v>69887</v>
      </c>
      <c r="B5564" s="7" t="s">
        <v>143</v>
      </c>
      <c r="C5564" s="41">
        <v>731.83</v>
      </c>
      <c r="D5564" s="6">
        <v>45695</v>
      </c>
      <c r="E5564" s="3" t="str">
        <f ca="1">IF(Tabela2[[#This Row],[Dt Venc:]]&gt;TODAY(),"Em Aberto",IF(Tabela2[[#This Row],[D/venc]]="-","Enviado",IF(Tabela2[[#This Row],[Dt Venc:]]=TODAY(),"Vence Hoje","Vencida")))</f>
        <v>Em Aberto</v>
      </c>
      <c r="F5564" s="3" t="str">
        <f ca="1">IF(G5564=1,"-",Tabela2[[#This Row],[Dt Venc:]]-TODAY())</f>
        <v>-</v>
      </c>
      <c r="G5564" s="3">
        <v>1</v>
      </c>
      <c r="H5564" s="3"/>
    </row>
    <row r="5565" spans="1:8" hidden="1">
      <c r="A5565" s="3">
        <v>109685</v>
      </c>
      <c r="B5565" s="7" t="s">
        <v>612</v>
      </c>
      <c r="C5565" s="41">
        <v>2393.33</v>
      </c>
      <c r="D5565" s="6">
        <v>45695</v>
      </c>
      <c r="E5565" s="3" t="str">
        <f ca="1">IF(Tabela2[[#This Row],[Dt Venc:]]&gt;TODAY(),"Em Aberto",IF(Tabela2[[#This Row],[D/venc]]="-","Enviado",IF(Tabela2[[#This Row],[Dt Venc:]]=TODAY(),"Vence Hoje","Vencida")))</f>
        <v>Em Aberto</v>
      </c>
      <c r="F5565" s="3" t="str">
        <f ca="1">IF(G5565=1,"-",Tabela2[[#This Row],[Dt Venc:]]-TODAY())</f>
        <v>-</v>
      </c>
      <c r="G5565" s="3">
        <v>1</v>
      </c>
      <c r="H5565" s="3"/>
    </row>
    <row r="5566" spans="1:8" hidden="1">
      <c r="A5566" s="3">
        <v>206434</v>
      </c>
      <c r="B5566" s="7" t="s">
        <v>200</v>
      </c>
      <c r="C5566" s="41">
        <v>881.66</v>
      </c>
      <c r="D5566" s="6">
        <v>45695</v>
      </c>
      <c r="E5566" s="3" t="str">
        <f ca="1">IF(Tabela2[[#This Row],[Dt Venc:]]&gt;TODAY(),"Em Aberto",IF(Tabela2[[#This Row],[D/venc]]="-","Enviado",IF(Tabela2[[#This Row],[Dt Venc:]]=TODAY(),"Vence Hoje","Vencida")))</f>
        <v>Em Aberto</v>
      </c>
      <c r="F5566" s="3" t="str">
        <f ca="1">IF(G5566=1,"-",Tabela2[[#This Row],[Dt Venc:]]-TODAY())</f>
        <v>-</v>
      </c>
      <c r="G5566" s="3">
        <v>1</v>
      </c>
      <c r="H5566" s="3"/>
    </row>
    <row r="5567" spans="1:8" hidden="1">
      <c r="A5567" s="3">
        <v>224917</v>
      </c>
      <c r="B5567" s="7" t="s">
        <v>39</v>
      </c>
      <c r="C5567" s="41">
        <v>21465</v>
      </c>
      <c r="D5567" s="6">
        <v>45695</v>
      </c>
      <c r="E5567" s="3" t="str">
        <f ca="1">IF(Tabela2[[#This Row],[Dt Venc:]]&gt;TODAY(),"Em Aberto",IF(Tabela2[[#This Row],[D/venc]]="-","Enviado",IF(Tabela2[[#This Row],[Dt Venc:]]=TODAY(),"Vence Hoje","Vencida")))</f>
        <v>Em Aberto</v>
      </c>
      <c r="F5567" s="3" t="str">
        <f ca="1">IF(G5567=1,"-",Tabela2[[#This Row],[Dt Venc:]]-TODAY())</f>
        <v>-</v>
      </c>
      <c r="G5567" s="3">
        <v>1</v>
      </c>
      <c r="H5567" s="3"/>
    </row>
    <row r="5568" spans="1:8" hidden="1">
      <c r="A5568" s="3">
        <v>248099</v>
      </c>
      <c r="B5568" s="7" t="s">
        <v>43</v>
      </c>
      <c r="C5568" s="41">
        <v>1369.24</v>
      </c>
      <c r="D5568" s="6">
        <v>45695</v>
      </c>
      <c r="E5568" s="3" t="str">
        <f ca="1">IF(Tabela2[[#This Row],[Dt Venc:]]&gt;TODAY(),"Em Aberto",IF(Tabela2[[#This Row],[D/venc]]="-","Enviado",IF(Tabela2[[#This Row],[Dt Venc:]]=TODAY(),"Vence Hoje","Vencida")))</f>
        <v>Em Aberto</v>
      </c>
      <c r="F5568" s="3" t="str">
        <f ca="1">IF(G5568=1,"-",Tabela2[[#This Row],[Dt Venc:]]-TODAY())</f>
        <v>-</v>
      </c>
      <c r="G5568" s="3">
        <v>1</v>
      </c>
      <c r="H5568" s="3"/>
    </row>
    <row r="5569" spans="1:8" hidden="1">
      <c r="A5569" s="3">
        <v>259340</v>
      </c>
      <c r="B5569" s="7" t="s">
        <v>49</v>
      </c>
      <c r="C5569" s="41">
        <v>1373.34</v>
      </c>
      <c r="D5569" s="6">
        <v>45695</v>
      </c>
      <c r="E5569" s="3" t="str">
        <f ca="1">IF(Tabela2[[#This Row],[Dt Venc:]]&gt;TODAY(),"Em Aberto",IF(Tabela2[[#This Row],[D/venc]]="-","Enviado",IF(Tabela2[[#This Row],[Dt Venc:]]=TODAY(),"Vence Hoje","Vencida")))</f>
        <v>Em Aberto</v>
      </c>
      <c r="F5569" s="3" t="str">
        <f ca="1">IF(G5569=1,"-",Tabela2[[#This Row],[Dt Venc:]]-TODAY())</f>
        <v>-</v>
      </c>
      <c r="G5569" s="3">
        <v>1</v>
      </c>
      <c r="H5569" s="3"/>
    </row>
    <row r="5570" spans="1:8" hidden="1">
      <c r="A5570" s="3">
        <v>259550</v>
      </c>
      <c r="B5570" s="7" t="s">
        <v>49</v>
      </c>
      <c r="C5570" s="41">
        <v>1373.34</v>
      </c>
      <c r="D5570" s="6">
        <v>45695</v>
      </c>
      <c r="E5570" s="3" t="str">
        <f ca="1">IF(Tabela2[[#This Row],[Dt Venc:]]&gt;TODAY(),"Em Aberto",IF(Tabela2[[#This Row],[D/venc]]="-","Enviado",IF(Tabela2[[#This Row],[Dt Venc:]]=TODAY(),"Vence Hoje","Vencida")))</f>
        <v>Em Aberto</v>
      </c>
      <c r="F5570" s="3" t="str">
        <f ca="1">IF(G5570=1,"-",Tabela2[[#This Row],[Dt Venc:]]-TODAY())</f>
        <v>-</v>
      </c>
      <c r="G5570" s="3">
        <v>1</v>
      </c>
      <c r="H5570" s="3"/>
    </row>
    <row r="5571" spans="1:8" hidden="1">
      <c r="A5571" s="3">
        <v>276695</v>
      </c>
      <c r="B5571" s="7" t="s">
        <v>43</v>
      </c>
      <c r="C5571" s="41">
        <v>2099.3200000000002</v>
      </c>
      <c r="D5571" s="6">
        <v>45695</v>
      </c>
      <c r="E5571" s="3" t="str">
        <f ca="1">IF(Tabela2[[#This Row],[Dt Venc:]]&gt;TODAY(),"Em Aberto",IF(Tabela2[[#This Row],[D/venc]]="-","Enviado",IF(Tabela2[[#This Row],[Dt Venc:]]=TODAY(),"Vence Hoje","Vencida")))</f>
        <v>Em Aberto</v>
      </c>
      <c r="F5571" s="3" t="str">
        <f ca="1">IF(G5571=1,"-",Tabela2[[#This Row],[Dt Venc:]]-TODAY())</f>
        <v>-</v>
      </c>
      <c r="G5571" s="3">
        <v>1</v>
      </c>
      <c r="H5571" s="3"/>
    </row>
    <row r="5572" spans="1:8" hidden="1">
      <c r="A5572" s="3">
        <v>306145</v>
      </c>
      <c r="B5572" s="7" t="s">
        <v>506</v>
      </c>
      <c r="C5572" s="41">
        <v>3126.36</v>
      </c>
      <c r="D5572" s="6">
        <v>45695</v>
      </c>
      <c r="E5572" s="3" t="str">
        <f ca="1">IF(Tabela2[[#This Row],[Dt Venc:]]&gt;TODAY(),"Em Aberto",IF(Tabela2[[#This Row],[D/venc]]="-","Enviado",IF(Tabela2[[#This Row],[Dt Venc:]]=TODAY(),"Vence Hoje","Vencida")))</f>
        <v>Em Aberto</v>
      </c>
      <c r="F5572" s="3" t="str">
        <f ca="1">IF(G5572=1,"-",Tabela2[[#This Row],[Dt Venc:]]-TODAY())</f>
        <v>-</v>
      </c>
      <c r="G5572" s="3">
        <v>1</v>
      </c>
      <c r="H5572" s="3"/>
    </row>
    <row r="5573" spans="1:8" hidden="1">
      <c r="A5573" s="3">
        <v>307002</v>
      </c>
      <c r="B5573" s="7" t="s">
        <v>189</v>
      </c>
      <c r="C5573" s="41">
        <v>612.47</v>
      </c>
      <c r="D5573" s="6">
        <v>45695</v>
      </c>
      <c r="E5573" s="3" t="str">
        <f ca="1">IF(Tabela2[[#This Row],[Dt Venc:]]&gt;TODAY(),"Em Aberto",IF(Tabela2[[#This Row],[D/venc]]="-","Enviado",IF(Tabela2[[#This Row],[Dt Venc:]]=TODAY(),"Vence Hoje","Vencida")))</f>
        <v>Em Aberto</v>
      </c>
      <c r="F5573" s="3" t="str">
        <f ca="1">IF(G5573=1,"-",Tabela2[[#This Row],[Dt Venc:]]-TODAY())</f>
        <v>-</v>
      </c>
      <c r="G5573" s="3">
        <v>1</v>
      </c>
      <c r="H5573" s="3"/>
    </row>
    <row r="5574" spans="1:8" hidden="1">
      <c r="A5574" s="3">
        <v>376260</v>
      </c>
      <c r="B5574" s="7" t="s">
        <v>39</v>
      </c>
      <c r="C5574" s="41">
        <v>486.71</v>
      </c>
      <c r="D5574" s="6">
        <v>45695</v>
      </c>
      <c r="E5574" s="3" t="str">
        <f ca="1">IF(Tabela2[[#This Row],[Dt Venc:]]&gt;TODAY(),"Em Aberto",IF(Tabela2[[#This Row],[D/venc]]="-","Enviado",IF(Tabela2[[#This Row],[Dt Venc:]]=TODAY(),"Vence Hoje","Vencida")))</f>
        <v>Em Aberto</v>
      </c>
      <c r="F5574" s="3" t="str">
        <f ca="1">IF(G5574=1,"-",Tabela2[[#This Row],[Dt Venc:]]-TODAY())</f>
        <v>-</v>
      </c>
      <c r="G5574" s="3">
        <v>1</v>
      </c>
      <c r="H5574" s="3"/>
    </row>
    <row r="5575" spans="1:8" hidden="1">
      <c r="A5575" s="3">
        <v>398725</v>
      </c>
      <c r="B5575" s="7" t="s">
        <v>136</v>
      </c>
      <c r="C5575" s="41">
        <v>1870</v>
      </c>
      <c r="D5575" s="6">
        <v>45695</v>
      </c>
      <c r="E5575" s="3" t="str">
        <f ca="1">IF(Tabela2[[#This Row],[Dt Venc:]]&gt;TODAY(),"Em Aberto",IF(Tabela2[[#This Row],[D/venc]]="-","Enviado",IF(Tabela2[[#This Row],[Dt Venc:]]=TODAY(),"Vence Hoje","Vencida")))</f>
        <v>Em Aberto</v>
      </c>
      <c r="F5575" s="3" t="str">
        <f ca="1">IF(G5575=1,"-",Tabela2[[#This Row],[Dt Venc:]]-TODAY())</f>
        <v>-</v>
      </c>
      <c r="G5575" s="3">
        <v>1</v>
      </c>
      <c r="H5575" s="3"/>
    </row>
    <row r="5576" spans="1:8" hidden="1">
      <c r="A5576" s="3">
        <v>431636</v>
      </c>
      <c r="B5576" s="7" t="s">
        <v>89</v>
      </c>
      <c r="C5576" s="41">
        <v>1298</v>
      </c>
      <c r="D5576" s="6">
        <v>45695</v>
      </c>
      <c r="E5576" s="3" t="str">
        <f ca="1">IF(Tabela2[[#This Row],[Dt Venc:]]&gt;TODAY(),"Em Aberto",IF(Tabela2[[#This Row],[D/venc]]="-","Enviado",IF(Tabela2[[#This Row],[Dt Venc:]]=TODAY(),"Vence Hoje","Vencida")))</f>
        <v>Em Aberto</v>
      </c>
      <c r="F5576" s="3" t="str">
        <f ca="1">IF(G5576=1,"-",Tabela2[[#This Row],[Dt Venc:]]-TODAY())</f>
        <v>-</v>
      </c>
      <c r="G5576" s="3">
        <v>1</v>
      </c>
      <c r="H5576" s="3"/>
    </row>
    <row r="5577" spans="1:8" hidden="1">
      <c r="A5577" s="3">
        <v>431654</v>
      </c>
      <c r="B5577" s="7" t="s">
        <v>89</v>
      </c>
      <c r="C5577" s="41">
        <v>1381.51</v>
      </c>
      <c r="D5577" s="6">
        <v>45695</v>
      </c>
      <c r="E5577" s="3" t="str">
        <f ca="1">IF(Tabela2[[#This Row],[Dt Venc:]]&gt;TODAY(),"Em Aberto",IF(Tabela2[[#This Row],[D/venc]]="-","Enviado",IF(Tabela2[[#This Row],[Dt Venc:]]=TODAY(),"Vence Hoje","Vencida")))</f>
        <v>Em Aberto</v>
      </c>
      <c r="F5577" s="3" t="str">
        <f ca="1">IF(G5577=1,"-",Tabela2[[#This Row],[Dt Venc:]]-TODAY())</f>
        <v>-</v>
      </c>
      <c r="G5577" s="3">
        <v>1</v>
      </c>
      <c r="H5577" s="3"/>
    </row>
    <row r="5578" spans="1:8" hidden="1">
      <c r="A5578" s="3">
        <v>448312</v>
      </c>
      <c r="B5578" s="7" t="s">
        <v>512</v>
      </c>
      <c r="C5578" s="41">
        <v>353.21</v>
      </c>
      <c r="D5578" s="6">
        <v>45695</v>
      </c>
      <c r="E5578" s="3" t="str">
        <f ca="1">IF(Tabela2[[#This Row],[Dt Venc:]]&gt;TODAY(),"Em Aberto",IF(Tabela2[[#This Row],[D/venc]]="-","Enviado",IF(Tabela2[[#This Row],[Dt Venc:]]=TODAY(),"Vence Hoje","Vencida")))</f>
        <v>Em Aberto</v>
      </c>
      <c r="F5578" s="3" t="str">
        <f ca="1">IF(G5578=1,"-",Tabela2[[#This Row],[Dt Venc:]]-TODAY())</f>
        <v>-</v>
      </c>
      <c r="G5578" s="3">
        <v>1</v>
      </c>
      <c r="H5578" s="3"/>
    </row>
    <row r="5579" spans="1:8" hidden="1">
      <c r="A5579" s="3">
        <v>620937</v>
      </c>
      <c r="B5579" s="7" t="s">
        <v>66</v>
      </c>
      <c r="C5579" s="41">
        <v>1314.31</v>
      </c>
      <c r="D5579" s="6">
        <v>45695</v>
      </c>
      <c r="E5579" s="3" t="str">
        <f ca="1">IF(Tabela2[[#This Row],[Dt Venc:]]&gt;TODAY(),"Em Aberto",IF(Tabela2[[#This Row],[D/venc]]="-","Enviado",IF(Tabela2[[#This Row],[Dt Venc:]]=TODAY(),"Vence Hoje","Vencida")))</f>
        <v>Em Aberto</v>
      </c>
      <c r="F5579" s="3" t="str">
        <f ca="1">IF(G5579=1,"-",Tabela2[[#This Row],[Dt Venc:]]-TODAY())</f>
        <v>-</v>
      </c>
      <c r="G5579" s="3">
        <v>1</v>
      </c>
      <c r="H5579" s="3"/>
    </row>
    <row r="5580" spans="1:8" hidden="1">
      <c r="A5580" s="3">
        <v>623980</v>
      </c>
      <c r="B5580" s="7" t="s">
        <v>66</v>
      </c>
      <c r="C5580" s="41">
        <v>2785.2</v>
      </c>
      <c r="D5580" s="6">
        <v>45695</v>
      </c>
      <c r="E5580" s="3" t="str">
        <f ca="1">IF(Tabela2[[#This Row],[Dt Venc:]]&gt;TODAY(),"Em Aberto",IF(Tabela2[[#This Row],[D/venc]]="-","Enviado",IF(Tabela2[[#This Row],[Dt Venc:]]=TODAY(),"Vence Hoje","Vencida")))</f>
        <v>Em Aberto</v>
      </c>
      <c r="F5580" s="3" t="str">
        <f ca="1">IF(G5580=1,"-",Tabela2[[#This Row],[Dt Venc:]]-TODAY())</f>
        <v>-</v>
      </c>
      <c r="G5580" s="3">
        <v>1</v>
      </c>
      <c r="H5580" s="3"/>
    </row>
    <row r="5581" spans="1:8" hidden="1">
      <c r="A5581" s="3">
        <v>1421039</v>
      </c>
      <c r="B5581" s="7" t="s">
        <v>151</v>
      </c>
      <c r="C5581" s="41">
        <v>730.27</v>
      </c>
      <c r="D5581" s="6">
        <v>45695</v>
      </c>
      <c r="E5581" s="3" t="str">
        <f ca="1">IF(Tabela2[[#This Row],[Dt Venc:]]&gt;TODAY(),"Em Aberto",IF(Tabela2[[#This Row],[D/venc]]="-","Enviado",IF(Tabela2[[#This Row],[Dt Venc:]]=TODAY(),"Vence Hoje","Vencida")))</f>
        <v>Em Aberto</v>
      </c>
      <c r="F5581" s="3" t="str">
        <f ca="1">IF(G5581=1,"-",Tabela2[[#This Row],[Dt Venc:]]-TODAY())</f>
        <v>-</v>
      </c>
      <c r="G5581" s="3">
        <v>1</v>
      </c>
      <c r="H5581" s="3"/>
    </row>
    <row r="5582" spans="1:8" hidden="1">
      <c r="A5582" s="3">
        <v>2014437</v>
      </c>
      <c r="B5582" s="7" t="s">
        <v>59</v>
      </c>
      <c r="C5582" s="41">
        <v>82474.5</v>
      </c>
      <c r="D5582" s="6">
        <v>45695</v>
      </c>
      <c r="E5582" s="3" t="str">
        <f ca="1">IF(Tabela2[[#This Row],[Dt Venc:]]&gt;TODAY(),"Em Aberto",IF(Tabela2[[#This Row],[D/venc]]="-","Enviado",IF(Tabela2[[#This Row],[Dt Venc:]]=TODAY(),"Vence Hoje","Vencida")))</f>
        <v>Em Aberto</v>
      </c>
      <c r="F5582" s="3" t="str">
        <f ca="1">IF(G5582=1,"-",Tabela2[[#This Row],[Dt Venc:]]-TODAY())</f>
        <v>-</v>
      </c>
      <c r="G5582" s="3">
        <v>1</v>
      </c>
      <c r="H5582" s="3"/>
    </row>
    <row r="5583" spans="1:8" hidden="1">
      <c r="A5583" s="3">
        <v>2292431</v>
      </c>
      <c r="B5583" s="7" t="s">
        <v>59</v>
      </c>
      <c r="C5583" s="41">
        <v>55564</v>
      </c>
      <c r="D5583" s="6">
        <v>45695</v>
      </c>
      <c r="E5583" s="3" t="str">
        <f ca="1">IF(Tabela2[[#This Row],[Dt Venc:]]&gt;TODAY(),"Em Aberto",IF(Tabela2[[#This Row],[D/venc]]="-","Enviado",IF(Tabela2[[#This Row],[Dt Venc:]]=TODAY(),"Vence Hoje","Vencida")))</f>
        <v>Em Aberto</v>
      </c>
      <c r="F5583" s="3" t="str">
        <f ca="1">IF(G5583=1,"-",Tabela2[[#This Row],[Dt Venc:]]-TODAY())</f>
        <v>-</v>
      </c>
      <c r="G5583" s="3">
        <v>1</v>
      </c>
      <c r="H5583" s="3"/>
    </row>
    <row r="5584" spans="1:8" hidden="1">
      <c r="A5584" s="3">
        <v>2024</v>
      </c>
      <c r="B5584" s="7" t="s">
        <v>342</v>
      </c>
      <c r="C5584" s="41">
        <v>760</v>
      </c>
      <c r="D5584" s="6">
        <v>45691</v>
      </c>
      <c r="E5584" s="3" t="str">
        <f ca="1">IF(Tabela2[[#This Row],[Dt Venc:]]&gt;TODAY(),"Em Aberto",IF(Tabela2[[#This Row],[D/venc]]="-","Enviado",IF(Tabela2[[#This Row],[Dt Venc:]]=TODAY(),"Vence Hoje","Vencida")))</f>
        <v>Enviado</v>
      </c>
      <c r="F5584" s="3" t="str">
        <f ca="1">IF(G5584=1,"-",Tabela2[[#This Row],[Dt Venc:]]-TODAY())</f>
        <v>-</v>
      </c>
      <c r="G5584" s="3">
        <v>1</v>
      </c>
      <c r="H5584" s="3"/>
    </row>
    <row r="5585" spans="1:8" hidden="1">
      <c r="A5585" s="3">
        <v>3222</v>
      </c>
      <c r="B5585" s="7" t="s">
        <v>60</v>
      </c>
      <c r="C5585" s="41">
        <v>1000</v>
      </c>
      <c r="D5585" s="6">
        <v>45691</v>
      </c>
      <c r="E5585" s="3" t="str">
        <f ca="1">IF(Tabela2[[#This Row],[Dt Venc:]]&gt;TODAY(),"Em Aberto",IF(Tabela2[[#This Row],[D/venc]]="-","Enviado",IF(Tabela2[[#This Row],[Dt Venc:]]=TODAY(),"Vence Hoje","Vencida")))</f>
        <v>Enviado</v>
      </c>
      <c r="F5585" s="3" t="str">
        <f ca="1">IF(G5585=1,"-",Tabela2[[#This Row],[Dt Venc:]]-TODAY())</f>
        <v>-</v>
      </c>
      <c r="G5585" s="3">
        <v>1</v>
      </c>
      <c r="H5585" s="3"/>
    </row>
    <row r="5586" spans="1:8" hidden="1">
      <c r="A5586" s="3">
        <v>46</v>
      </c>
      <c r="B5586" s="7" t="s">
        <v>103</v>
      </c>
      <c r="C5586" s="41">
        <v>1566.66</v>
      </c>
      <c r="D5586" s="6">
        <v>45693</v>
      </c>
      <c r="E5586" s="3" t="str">
        <f ca="1">IF(Tabela2[[#This Row],[Dt Venc:]]&gt;TODAY(),"Em Aberto",IF(Tabela2[[#This Row],[D/venc]]="-","Enviado",IF(Tabela2[[#This Row],[Dt Venc:]]=TODAY(),"Vence Hoje","Vencida")))</f>
        <v>Enviado</v>
      </c>
      <c r="F5586" s="3" t="str">
        <f ca="1">IF(G5586=1,"-",Tabela2[[#This Row],[Dt Venc:]]-TODAY())</f>
        <v>-</v>
      </c>
      <c r="G5586" s="3">
        <v>1</v>
      </c>
      <c r="H5586" s="3"/>
    </row>
    <row r="5587" spans="1:8" hidden="1">
      <c r="A5587" s="3">
        <v>143027</v>
      </c>
      <c r="B5587" s="7" t="s">
        <v>60</v>
      </c>
      <c r="C5587" s="41">
        <v>390</v>
      </c>
      <c r="D5587" s="6">
        <v>45695</v>
      </c>
      <c r="E5587" s="3" t="str">
        <f ca="1">IF(Tabela2[[#This Row],[Dt Venc:]]&gt;TODAY(),"Em Aberto",IF(Tabela2[[#This Row],[D/venc]]="-","Enviado",IF(Tabela2[[#This Row],[Dt Venc:]]=TODAY(),"Vence Hoje","Vencida")))</f>
        <v>Em Aberto</v>
      </c>
      <c r="F5587" s="3" t="str">
        <f ca="1">IF(G5587=1,"-",Tabela2[[#This Row],[Dt Venc:]]-TODAY())</f>
        <v>-</v>
      </c>
      <c r="G5587" s="3">
        <v>1</v>
      </c>
      <c r="H5587" s="3"/>
    </row>
    <row r="5588" spans="1:8" hidden="1">
      <c r="A5588" s="3">
        <v>143035</v>
      </c>
      <c r="B5588" s="7" t="s">
        <v>60</v>
      </c>
      <c r="C5588" s="41">
        <v>390</v>
      </c>
      <c r="D5588" s="6">
        <v>45695</v>
      </c>
      <c r="E5588" s="3" t="str">
        <f ca="1">IF(Tabela2[[#This Row],[Dt Venc:]]&gt;TODAY(),"Em Aberto",IF(Tabela2[[#This Row],[D/venc]]="-","Enviado",IF(Tabela2[[#This Row],[Dt Venc:]]=TODAY(),"Vence Hoje","Vencida")))</f>
        <v>Em Aberto</v>
      </c>
      <c r="F5588" s="3" t="str">
        <f ca="1">IF(G5588=1,"-",Tabela2[[#This Row],[Dt Venc:]]-TODAY())</f>
        <v>-</v>
      </c>
      <c r="G5588" s="3">
        <v>1</v>
      </c>
      <c r="H5588" s="3"/>
    </row>
    <row r="5589" spans="1:8" hidden="1">
      <c r="A5589" s="3">
        <v>143041</v>
      </c>
      <c r="B5589" s="7" t="s">
        <v>60</v>
      </c>
      <c r="C5589" s="41">
        <v>390</v>
      </c>
      <c r="D5589" s="6">
        <v>45695</v>
      </c>
      <c r="E5589" s="3" t="str">
        <f ca="1">IF(Tabela2[[#This Row],[Dt Venc:]]&gt;TODAY(),"Em Aberto",IF(Tabela2[[#This Row],[D/venc]]="-","Enviado",IF(Tabela2[[#This Row],[Dt Venc:]]=TODAY(),"Vence Hoje","Vencida")))</f>
        <v>Em Aberto</v>
      </c>
      <c r="F5589" s="3" t="str">
        <f ca="1">IF(G5589=1,"-",Tabela2[[#This Row],[Dt Venc:]]-TODAY())</f>
        <v>-</v>
      </c>
      <c r="G5589" s="3">
        <v>1</v>
      </c>
      <c r="H5589" s="3"/>
    </row>
    <row r="5590" spans="1:8" hidden="1">
      <c r="A5590" s="3">
        <v>143051</v>
      </c>
      <c r="B5590" s="7" t="s">
        <v>60</v>
      </c>
      <c r="C5590" s="41">
        <v>390</v>
      </c>
      <c r="D5590" s="6">
        <v>45695</v>
      </c>
      <c r="E5590" s="3" t="str">
        <f ca="1">IF(Tabela2[[#This Row],[Dt Venc:]]&gt;TODAY(),"Em Aberto",IF(Tabela2[[#This Row],[D/venc]]="-","Enviado",IF(Tabela2[[#This Row],[Dt Venc:]]=TODAY(),"Vence Hoje","Vencida")))</f>
        <v>Em Aberto</v>
      </c>
      <c r="F5590" s="3" t="str">
        <f ca="1">IF(G5590=1,"-",Tabela2[[#This Row],[Dt Venc:]]-TODAY())</f>
        <v>-</v>
      </c>
      <c r="G5590" s="3">
        <v>1</v>
      </c>
      <c r="H5590" s="3"/>
    </row>
    <row r="5591" spans="1:8" hidden="1">
      <c r="A5591" s="3">
        <v>742</v>
      </c>
      <c r="B5591" s="7" t="s">
        <v>684</v>
      </c>
      <c r="C5591" s="41">
        <v>1760</v>
      </c>
      <c r="D5591" s="6">
        <v>45694</v>
      </c>
      <c r="E5591" s="3" t="str">
        <f ca="1">IF(Tabela2[[#This Row],[Dt Venc:]]&gt;TODAY(),"Em Aberto",IF(Tabela2[[#This Row],[D/venc]]="-","Enviado",IF(Tabela2[[#This Row],[Dt Venc:]]=TODAY(),"Vence Hoje","Vencida")))</f>
        <v>Em Aberto</v>
      </c>
      <c r="F5591" s="3" t="str">
        <f ca="1">IF(G5591=1,"-",Tabela2[[#This Row],[Dt Venc:]]-TODAY())</f>
        <v>-</v>
      </c>
      <c r="G5591" s="3">
        <v>1</v>
      </c>
      <c r="H5591" s="3"/>
    </row>
    <row r="5592" spans="1:8" hidden="1">
      <c r="A5592" s="3">
        <v>43</v>
      </c>
      <c r="B5592" s="7" t="s">
        <v>173</v>
      </c>
      <c r="C5592" s="41">
        <v>1416.6</v>
      </c>
      <c r="D5592" s="6">
        <v>45696</v>
      </c>
      <c r="E5592" s="3" t="str">
        <f ca="1">IF(Tabela2[[#This Row],[Dt Venc:]]&gt;TODAY(),"Em Aberto",IF(Tabela2[[#This Row],[D/venc]]="-","Enviado",IF(Tabela2[[#This Row],[Dt Venc:]]=TODAY(),"Vence Hoje","Vencida")))</f>
        <v>Em Aberto</v>
      </c>
      <c r="F5592" s="3" t="str">
        <f ca="1">IF(G5592=1,"-",Tabela2[[#This Row],[Dt Venc:]]-TODAY())</f>
        <v>-</v>
      </c>
      <c r="G5592" s="3">
        <v>1</v>
      </c>
      <c r="H5592" s="3"/>
    </row>
    <row r="5593" spans="1:8" hidden="1">
      <c r="A5593" s="3">
        <v>54</v>
      </c>
      <c r="B5593" s="7" t="s">
        <v>103</v>
      </c>
      <c r="C5593" s="41">
        <v>1250</v>
      </c>
      <c r="D5593" s="6">
        <v>45696</v>
      </c>
      <c r="E5593" s="3" t="str">
        <f ca="1">IF(Tabela2[[#This Row],[Dt Venc:]]&gt;TODAY(),"Em Aberto",IF(Tabela2[[#This Row],[D/venc]]="-","Enviado",IF(Tabela2[[#This Row],[Dt Venc:]]=TODAY(),"Vence Hoje","Vencida")))</f>
        <v>Em Aberto</v>
      </c>
      <c r="F5593" s="3" t="str">
        <f ca="1">IF(G5593=1,"-",Tabela2[[#This Row],[Dt Venc:]]-TODAY())</f>
        <v>-</v>
      </c>
      <c r="G5593" s="3">
        <v>1</v>
      </c>
      <c r="H5593" s="3"/>
    </row>
    <row r="5594" spans="1:8" hidden="1">
      <c r="A5594" s="3">
        <v>1325</v>
      </c>
      <c r="B5594" s="7" t="s">
        <v>474</v>
      </c>
      <c r="C5594" s="41">
        <v>1753.5</v>
      </c>
      <c r="D5594" s="6">
        <v>45696</v>
      </c>
      <c r="E5594" s="3" t="str">
        <f ca="1">IF(Tabela2[[#This Row],[Dt Venc:]]&gt;TODAY(),"Em Aberto",IF(Tabela2[[#This Row],[D/venc]]="-","Enviado",IF(Tabela2[[#This Row],[Dt Venc:]]=TODAY(),"Vence Hoje","Vencida")))</f>
        <v>Em Aberto</v>
      </c>
      <c r="F5594" s="3" t="str">
        <f ca="1">IF(G5594=1,"-",Tabela2[[#This Row],[Dt Venc:]]-TODAY())</f>
        <v>-</v>
      </c>
      <c r="G5594" s="3">
        <v>1</v>
      </c>
      <c r="H5594" s="3"/>
    </row>
    <row r="5595" spans="1:8" hidden="1">
      <c r="A5595" s="3">
        <v>5167</v>
      </c>
      <c r="B5595" s="7" t="s">
        <v>463</v>
      </c>
      <c r="C5595" s="41">
        <v>2001.3</v>
      </c>
      <c r="D5595" s="6">
        <v>45696</v>
      </c>
      <c r="E5595" s="3" t="str">
        <f ca="1">IF(Tabela2[[#This Row],[Dt Venc:]]&gt;TODAY(),"Em Aberto",IF(Tabela2[[#This Row],[D/venc]]="-","Enviado",IF(Tabela2[[#This Row],[Dt Venc:]]=TODAY(),"Vence Hoje","Vencida")))</f>
        <v>Em Aberto</v>
      </c>
      <c r="F5595" s="3" t="str">
        <f ca="1">IF(G5595=1,"-",Tabela2[[#This Row],[Dt Venc:]]-TODAY())</f>
        <v>-</v>
      </c>
      <c r="G5595" s="3">
        <v>1</v>
      </c>
      <c r="H5595" s="3"/>
    </row>
    <row r="5596" spans="1:8" hidden="1">
      <c r="A5596" s="3">
        <v>5843</v>
      </c>
      <c r="B5596" s="7" t="s">
        <v>685</v>
      </c>
      <c r="C5596" s="41">
        <v>137.66</v>
      </c>
      <c r="D5596" s="6">
        <v>45696</v>
      </c>
      <c r="E5596" s="3" t="str">
        <f ca="1">IF(Tabela2[[#This Row],[Dt Venc:]]&gt;TODAY(),"Em Aberto",IF(Tabela2[[#This Row],[D/venc]]="-","Enviado",IF(Tabela2[[#This Row],[Dt Venc:]]=TODAY(),"Vence Hoje","Vencida")))</f>
        <v>Em Aberto</v>
      </c>
      <c r="F5596" s="3" t="str">
        <f ca="1">IF(G5596=1,"-",Tabela2[[#This Row],[Dt Venc:]]-TODAY())</f>
        <v>-</v>
      </c>
      <c r="G5596" s="3">
        <v>1</v>
      </c>
      <c r="H5596" s="3"/>
    </row>
    <row r="5597" spans="1:8" hidden="1">
      <c r="A5597" s="3">
        <v>20925</v>
      </c>
      <c r="B5597" s="7" t="s">
        <v>616</v>
      </c>
      <c r="C5597" s="41">
        <v>1462.5</v>
      </c>
      <c r="D5597" s="6">
        <v>45696</v>
      </c>
      <c r="E5597" s="3" t="str">
        <f ca="1">IF(Tabela2[[#This Row],[Dt Venc:]]&gt;TODAY(),"Em Aberto",IF(Tabela2[[#This Row],[D/venc]]="-","Enviado",IF(Tabela2[[#This Row],[Dt Venc:]]=TODAY(),"Vence Hoje","Vencida")))</f>
        <v>Em Aberto</v>
      </c>
      <c r="F5597" s="3" t="str">
        <f ca="1">IF(G5597=1,"-",Tabela2[[#This Row],[Dt Venc:]]-TODAY())</f>
        <v>-</v>
      </c>
      <c r="G5597" s="3">
        <v>1</v>
      </c>
      <c r="H5597" s="3"/>
    </row>
    <row r="5598" spans="1:8" hidden="1">
      <c r="A5598" s="3">
        <v>24089</v>
      </c>
      <c r="B5598" s="7" t="s">
        <v>38</v>
      </c>
      <c r="C5598" s="41">
        <v>2343.6</v>
      </c>
      <c r="D5598" s="6">
        <v>45696</v>
      </c>
      <c r="E5598" s="3" t="str">
        <f ca="1">IF(Tabela2[[#This Row],[Dt Venc:]]&gt;TODAY(),"Em Aberto",IF(Tabela2[[#This Row],[D/venc]]="-","Enviado",IF(Tabela2[[#This Row],[Dt Venc:]]=TODAY(),"Vence Hoje","Vencida")))</f>
        <v>Em Aberto</v>
      </c>
      <c r="F5598" s="3" t="str">
        <f ca="1">IF(G5598=1,"-",Tabela2[[#This Row],[Dt Venc:]]-TODAY())</f>
        <v>-</v>
      </c>
      <c r="G5598" s="3">
        <v>1</v>
      </c>
      <c r="H5598" s="3"/>
    </row>
    <row r="5599" spans="1:8" hidden="1">
      <c r="A5599" s="3">
        <v>30919</v>
      </c>
      <c r="B5599" s="7" t="s">
        <v>97</v>
      </c>
      <c r="C5599" s="41">
        <v>1542</v>
      </c>
      <c r="D5599" s="6">
        <v>45696</v>
      </c>
      <c r="E5599" s="3" t="str">
        <f ca="1">IF(Tabela2[[#This Row],[Dt Venc:]]&gt;TODAY(),"Em Aberto",IF(Tabela2[[#This Row],[D/venc]]="-","Enviado",IF(Tabela2[[#This Row],[Dt Venc:]]=TODAY(),"Vence Hoje","Vencida")))</f>
        <v>Em Aberto</v>
      </c>
      <c r="F5599" s="3" t="str">
        <f ca="1">IF(G5599=1,"-",Tabela2[[#This Row],[Dt Venc:]]-TODAY())</f>
        <v>-</v>
      </c>
      <c r="G5599" s="3">
        <v>1</v>
      </c>
      <c r="H5599" s="3"/>
    </row>
    <row r="5600" spans="1:8" hidden="1">
      <c r="A5600" s="3">
        <v>64038</v>
      </c>
      <c r="B5600" s="7" t="s">
        <v>435</v>
      </c>
      <c r="C5600" s="41">
        <v>614</v>
      </c>
      <c r="D5600" s="6">
        <v>45696</v>
      </c>
      <c r="E5600" s="3" t="str">
        <f ca="1">IF(Tabela2[[#This Row],[Dt Venc:]]&gt;TODAY(),"Em Aberto",IF(Tabela2[[#This Row],[D/venc]]="-","Enviado",IF(Tabela2[[#This Row],[Dt Venc:]]=TODAY(),"Vence Hoje","Vencida")))</f>
        <v>Em Aberto</v>
      </c>
      <c r="F5600" s="3" t="str">
        <f ca="1">IF(G5600=1,"-",Tabela2[[#This Row],[Dt Venc:]]-TODAY())</f>
        <v>-</v>
      </c>
      <c r="G5600" s="3">
        <v>1</v>
      </c>
      <c r="H5600" s="3"/>
    </row>
    <row r="5601" spans="1:8" hidden="1">
      <c r="A5601" s="3">
        <v>115744</v>
      </c>
      <c r="B5601" s="7" t="s">
        <v>209</v>
      </c>
      <c r="C5601" s="41">
        <v>707.33</v>
      </c>
      <c r="D5601" s="6">
        <v>45696</v>
      </c>
      <c r="E5601" s="3" t="str">
        <f ca="1">IF(Tabela2[[#This Row],[Dt Venc:]]&gt;TODAY(),"Em Aberto",IF(Tabela2[[#This Row],[D/venc]]="-","Enviado",IF(Tabela2[[#This Row],[Dt Venc:]]=TODAY(),"Vence Hoje","Vencida")))</f>
        <v>Em Aberto</v>
      </c>
      <c r="F5601" s="3" t="str">
        <f ca="1">IF(G5601=1,"-",Tabela2[[#This Row],[Dt Venc:]]-TODAY())</f>
        <v>-</v>
      </c>
      <c r="G5601" s="3">
        <v>1</v>
      </c>
      <c r="H5601" s="3"/>
    </row>
    <row r="5602" spans="1:8" hidden="1">
      <c r="A5602" s="3">
        <v>117304</v>
      </c>
      <c r="B5602" s="7" t="s">
        <v>686</v>
      </c>
      <c r="C5602" s="41">
        <v>1315.87</v>
      </c>
      <c r="D5602" s="6">
        <v>45696</v>
      </c>
      <c r="E5602" s="3" t="str">
        <f ca="1">IF(Tabela2[[#This Row],[Dt Venc:]]&gt;TODAY(),"Em Aberto",IF(Tabela2[[#This Row],[D/venc]]="-","Enviado",IF(Tabela2[[#This Row],[Dt Venc:]]=TODAY(),"Vence Hoje","Vencida")))</f>
        <v>Em Aberto</v>
      </c>
      <c r="F5602" s="3" t="str">
        <f ca="1">IF(G5602=1,"-",Tabela2[[#This Row],[Dt Venc:]]-TODAY())</f>
        <v>-</v>
      </c>
      <c r="G5602" s="3">
        <v>1</v>
      </c>
      <c r="H5602" s="3"/>
    </row>
    <row r="5603" spans="1:8" hidden="1">
      <c r="A5603" s="3">
        <v>177798</v>
      </c>
      <c r="B5603" s="7" t="s">
        <v>72</v>
      </c>
      <c r="C5603" s="41">
        <v>548</v>
      </c>
      <c r="D5603" s="6">
        <v>45696</v>
      </c>
      <c r="E5603" s="3" t="str">
        <f ca="1">IF(Tabela2[[#This Row],[Dt Venc:]]&gt;TODAY(),"Em Aberto",IF(Tabela2[[#This Row],[D/venc]]="-","Enviado",IF(Tabela2[[#This Row],[Dt Venc:]]=TODAY(),"Vence Hoje","Vencida")))</f>
        <v>Em Aberto</v>
      </c>
      <c r="F5603" s="3" t="str">
        <f ca="1">IF(G5603=1,"-",Tabela2[[#This Row],[Dt Venc:]]-TODAY())</f>
        <v>-</v>
      </c>
      <c r="G5603" s="3">
        <v>1</v>
      </c>
      <c r="H5603" s="3"/>
    </row>
    <row r="5604" spans="1:8" hidden="1">
      <c r="A5604" s="3">
        <v>226879</v>
      </c>
      <c r="B5604" s="7" t="s">
        <v>127</v>
      </c>
      <c r="C5604" s="41">
        <v>604.79999999999995</v>
      </c>
      <c r="D5604" s="6">
        <v>45696</v>
      </c>
      <c r="E5604" s="3" t="str">
        <f ca="1">IF(Tabela2[[#This Row],[Dt Venc:]]&gt;TODAY(),"Em Aberto",IF(Tabela2[[#This Row],[D/venc]]="-","Enviado",IF(Tabela2[[#This Row],[Dt Venc:]]=TODAY(),"Vence Hoje","Vencida")))</f>
        <v>Em Aberto</v>
      </c>
      <c r="F5604" s="3" t="str">
        <f ca="1">IF(G5604=1,"-",Tabela2[[#This Row],[Dt Venc:]]-TODAY())</f>
        <v>-</v>
      </c>
      <c r="G5604" s="3">
        <v>1</v>
      </c>
      <c r="H5604" s="3"/>
    </row>
    <row r="5605" spans="1:8" hidden="1">
      <c r="A5605" s="3">
        <v>267501</v>
      </c>
      <c r="B5605" s="7" t="s">
        <v>43</v>
      </c>
      <c r="C5605" s="41">
        <v>846.16</v>
      </c>
      <c r="D5605" s="6">
        <v>45696</v>
      </c>
      <c r="E5605" s="3" t="str">
        <f ca="1">IF(Tabela2[[#This Row],[Dt Venc:]]&gt;TODAY(),"Em Aberto",IF(Tabela2[[#This Row],[D/venc]]="-","Enviado",IF(Tabela2[[#This Row],[Dt Venc:]]=TODAY(),"Vence Hoje","Vencida")))</f>
        <v>Em Aberto</v>
      </c>
      <c r="F5605" s="3" t="str">
        <f ca="1">IF(G5605=1,"-",Tabela2[[#This Row],[Dt Venc:]]-TODAY())</f>
        <v>-</v>
      </c>
      <c r="G5605" s="3">
        <v>1</v>
      </c>
      <c r="H5605" s="3"/>
    </row>
    <row r="5606" spans="1:8" hidden="1">
      <c r="A5606" s="3">
        <v>273923</v>
      </c>
      <c r="B5606" s="7" t="s">
        <v>36</v>
      </c>
      <c r="C5606" s="41">
        <v>356.67</v>
      </c>
      <c r="D5606" s="6">
        <v>45696</v>
      </c>
      <c r="E5606" s="3" t="str">
        <f ca="1">IF(Tabela2[[#This Row],[Dt Venc:]]&gt;TODAY(),"Em Aberto",IF(Tabela2[[#This Row],[D/venc]]="-","Enviado",IF(Tabela2[[#This Row],[Dt Venc:]]=TODAY(),"Vence Hoje","Vencida")))</f>
        <v>Em Aberto</v>
      </c>
      <c r="F5606" s="3" t="str">
        <f ca="1">IF(G5606=1,"-",Tabela2[[#This Row],[Dt Venc:]]-TODAY())</f>
        <v>-</v>
      </c>
      <c r="G5606" s="3">
        <v>1</v>
      </c>
      <c r="H5606" s="3"/>
    </row>
    <row r="5607" spans="1:8" hidden="1">
      <c r="A5607" s="3">
        <v>448365</v>
      </c>
      <c r="B5607" s="7" t="s">
        <v>617</v>
      </c>
      <c r="C5607" s="41">
        <v>230.16</v>
      </c>
      <c r="D5607" s="6">
        <v>45696</v>
      </c>
      <c r="E5607" s="3" t="str">
        <f ca="1">IF(Tabela2[[#This Row],[Dt Venc:]]&gt;TODAY(),"Em Aberto",IF(Tabela2[[#This Row],[D/venc]]="-","Enviado",IF(Tabela2[[#This Row],[Dt Venc:]]=TODAY(),"Vence Hoje","Vencida")))</f>
        <v>Em Aberto</v>
      </c>
      <c r="F5607" s="3" t="str">
        <f ca="1">IF(G5607=1,"-",Tabela2[[#This Row],[Dt Venc:]]-TODAY())</f>
        <v>-</v>
      </c>
      <c r="G5607" s="3">
        <v>1</v>
      </c>
      <c r="H5607" s="3"/>
    </row>
    <row r="5608" spans="1:8" hidden="1">
      <c r="A5608" s="3">
        <v>14</v>
      </c>
      <c r="B5608" s="7" t="s">
        <v>626</v>
      </c>
      <c r="C5608" s="41">
        <v>900</v>
      </c>
      <c r="D5608" s="6">
        <v>45697</v>
      </c>
      <c r="E5608" s="3" t="str">
        <f ca="1">IF(Tabela2[[#This Row],[Dt Venc:]]&gt;TODAY(),"Em Aberto",IF(Tabela2[[#This Row],[D/venc]]="-","Enviado",IF(Tabela2[[#This Row],[Dt Venc:]]=TODAY(),"Vence Hoje","Vencida")))</f>
        <v>Em Aberto</v>
      </c>
      <c r="F5608" s="3" t="str">
        <f ca="1">IF(G5608=1,"-",Tabela2[[#This Row],[Dt Venc:]]-TODAY())</f>
        <v>-</v>
      </c>
      <c r="G5608" s="3">
        <v>1</v>
      </c>
      <c r="H5608" s="3"/>
    </row>
    <row r="5609" spans="1:8" hidden="1">
      <c r="A5609" s="3">
        <v>54</v>
      </c>
      <c r="B5609" s="7" t="s">
        <v>517</v>
      </c>
      <c r="C5609" s="41">
        <v>3266.67</v>
      </c>
      <c r="D5609" s="6">
        <v>45697</v>
      </c>
      <c r="E5609" s="3" t="str">
        <f ca="1">IF(Tabela2[[#This Row],[Dt Venc:]]&gt;TODAY(),"Em Aberto",IF(Tabela2[[#This Row],[D/venc]]="-","Enviado",IF(Tabela2[[#This Row],[Dt Venc:]]=TODAY(),"Vence Hoje","Vencida")))</f>
        <v>Em Aberto</v>
      </c>
      <c r="F5609" s="3" t="str">
        <f ca="1">IF(G5609=1,"-",Tabela2[[#This Row],[Dt Venc:]]-TODAY())</f>
        <v>-</v>
      </c>
      <c r="G5609" s="3">
        <v>1</v>
      </c>
      <c r="H5609" s="3"/>
    </row>
    <row r="5610" spans="1:8" hidden="1">
      <c r="A5610" s="3">
        <v>340</v>
      </c>
      <c r="B5610" s="7" t="s">
        <v>530</v>
      </c>
      <c r="C5610" s="41">
        <v>1876.67</v>
      </c>
      <c r="D5610" s="6">
        <v>45697</v>
      </c>
      <c r="E5610" s="3" t="str">
        <f ca="1">IF(Tabela2[[#This Row],[Dt Venc:]]&gt;TODAY(),"Em Aberto",IF(Tabela2[[#This Row],[D/venc]]="-","Enviado",IF(Tabela2[[#This Row],[Dt Venc:]]=TODAY(),"Vence Hoje","Vencida")))</f>
        <v>Em Aberto</v>
      </c>
      <c r="F5610" s="3" t="str">
        <f ca="1">IF(G5610=1,"-",Tabela2[[#This Row],[Dt Venc:]]-TODAY())</f>
        <v>-</v>
      </c>
      <c r="G5610" s="3">
        <v>1</v>
      </c>
      <c r="H5610" s="3"/>
    </row>
    <row r="5611" spans="1:8" hidden="1">
      <c r="A5611" s="3">
        <v>1326</v>
      </c>
      <c r="B5611" s="7" t="s">
        <v>474</v>
      </c>
      <c r="C5611" s="41">
        <v>1515</v>
      </c>
      <c r="D5611" s="6">
        <v>45697</v>
      </c>
      <c r="E5611" s="3" t="str">
        <f ca="1">IF(Tabela2[[#This Row],[Dt Venc:]]&gt;TODAY(),"Em Aberto",IF(Tabela2[[#This Row],[D/venc]]="-","Enviado",IF(Tabela2[[#This Row],[Dt Venc:]]=TODAY(),"Vence Hoje","Vencida")))</f>
        <v>Em Aberto</v>
      </c>
      <c r="F5611" s="3" t="str">
        <f ca="1">IF(G5611=1,"-",Tabela2[[#This Row],[Dt Venc:]]-TODAY())</f>
        <v>-</v>
      </c>
      <c r="G5611" s="3">
        <v>1</v>
      </c>
      <c r="H5611" s="3"/>
    </row>
    <row r="5612" spans="1:8" hidden="1">
      <c r="A5612" s="3">
        <v>2879</v>
      </c>
      <c r="B5612" s="7" t="s">
        <v>301</v>
      </c>
      <c r="C5612" s="41">
        <v>1626.67</v>
      </c>
      <c r="D5612" s="6">
        <v>45697</v>
      </c>
      <c r="E5612" s="3" t="str">
        <f ca="1">IF(Tabela2[[#This Row],[Dt Venc:]]&gt;TODAY(),"Em Aberto",IF(Tabela2[[#This Row],[D/venc]]="-","Enviado",IF(Tabela2[[#This Row],[Dt Venc:]]=TODAY(),"Vence Hoje","Vencida")))</f>
        <v>Em Aberto</v>
      </c>
      <c r="F5612" s="3" t="str">
        <f ca="1">IF(G5612=1,"-",Tabela2[[#This Row],[Dt Venc:]]-TODAY())</f>
        <v>-</v>
      </c>
      <c r="G5612" s="3">
        <v>1</v>
      </c>
      <c r="H5612" s="3"/>
    </row>
    <row r="5613" spans="1:8" hidden="1">
      <c r="A5613" s="3">
        <v>6357</v>
      </c>
      <c r="B5613" s="7" t="s">
        <v>47</v>
      </c>
      <c r="C5613" s="41">
        <v>1192.08</v>
      </c>
      <c r="D5613" s="6">
        <v>45697</v>
      </c>
      <c r="E5613" s="3" t="str">
        <f ca="1">IF(Tabela2[[#This Row],[Dt Venc:]]&gt;TODAY(),"Em Aberto",IF(Tabela2[[#This Row],[D/venc]]="-","Enviado",IF(Tabela2[[#This Row],[Dt Venc:]]=TODAY(),"Vence Hoje","Vencida")))</f>
        <v>Em Aberto</v>
      </c>
      <c r="F5613" s="3" t="str">
        <f ca="1">IF(G5613=1,"-",Tabela2[[#This Row],[Dt Venc:]]-TODAY())</f>
        <v>-</v>
      </c>
      <c r="G5613" s="3">
        <v>1</v>
      </c>
      <c r="H5613" s="3"/>
    </row>
    <row r="5614" spans="1:8" hidden="1">
      <c r="A5614" s="3">
        <v>8289</v>
      </c>
      <c r="B5614" s="7" t="s">
        <v>623</v>
      </c>
      <c r="C5614" s="41">
        <v>1666.66</v>
      </c>
      <c r="D5614" s="6">
        <v>45697</v>
      </c>
      <c r="E5614" s="3" t="str">
        <f ca="1">IF(Tabela2[[#This Row],[Dt Venc:]]&gt;TODAY(),"Em Aberto",IF(Tabela2[[#This Row],[D/venc]]="-","Enviado",IF(Tabela2[[#This Row],[Dt Venc:]]=TODAY(),"Vence Hoje","Vencida")))</f>
        <v>Em Aberto</v>
      </c>
      <c r="F5614" s="3" t="str">
        <f ca="1">IF(G5614=1,"-",Tabela2[[#This Row],[Dt Venc:]]-TODAY())</f>
        <v>-</v>
      </c>
      <c r="G5614" s="3">
        <v>1</v>
      </c>
      <c r="H5614" s="3"/>
    </row>
    <row r="5615" spans="1:8" hidden="1">
      <c r="A5615" s="3">
        <v>11213</v>
      </c>
      <c r="B5615" s="7" t="s">
        <v>33</v>
      </c>
      <c r="C5615" s="41">
        <v>1200</v>
      </c>
      <c r="D5615" s="6">
        <v>45697</v>
      </c>
      <c r="E5615" s="3" t="str">
        <f ca="1">IF(Tabela2[[#This Row],[Dt Venc:]]&gt;TODAY(),"Em Aberto",IF(Tabela2[[#This Row],[D/venc]]="-","Enviado",IF(Tabela2[[#This Row],[Dt Venc:]]=TODAY(),"Vence Hoje","Vencida")))</f>
        <v>Em Aberto</v>
      </c>
      <c r="F5615" s="3" t="str">
        <f ca="1">IF(G5615=1,"-",Tabela2[[#This Row],[Dt Venc:]]-TODAY())</f>
        <v>-</v>
      </c>
      <c r="G5615" s="3">
        <v>1</v>
      </c>
      <c r="H5615" s="3"/>
    </row>
    <row r="5616" spans="1:8" hidden="1">
      <c r="A5616" s="3">
        <v>11214</v>
      </c>
      <c r="B5616" s="7" t="s">
        <v>33</v>
      </c>
      <c r="C5616" s="41">
        <v>1723.3</v>
      </c>
      <c r="D5616" s="6">
        <v>45697</v>
      </c>
      <c r="E5616" s="3" t="str">
        <f ca="1">IF(Tabela2[[#This Row],[Dt Venc:]]&gt;TODAY(),"Em Aberto",IF(Tabela2[[#This Row],[D/venc]]="-","Enviado",IF(Tabela2[[#This Row],[Dt Venc:]]=TODAY(),"Vence Hoje","Vencida")))</f>
        <v>Em Aberto</v>
      </c>
      <c r="F5616" s="3" t="str">
        <f ca="1">IF(G5616=1,"-",Tabela2[[#This Row],[Dt Venc:]]-TODAY())</f>
        <v>-</v>
      </c>
      <c r="G5616" s="3">
        <v>1</v>
      </c>
      <c r="H5616" s="3"/>
    </row>
    <row r="5617" spans="1:8" hidden="1">
      <c r="A5617" s="3">
        <v>11319</v>
      </c>
      <c r="B5617" s="7" t="s">
        <v>33</v>
      </c>
      <c r="C5617" s="41">
        <v>1933.34</v>
      </c>
      <c r="D5617" s="6">
        <v>45697</v>
      </c>
      <c r="E5617" s="3" t="str">
        <f ca="1">IF(Tabela2[[#This Row],[Dt Venc:]]&gt;TODAY(),"Em Aberto",IF(Tabela2[[#This Row],[D/venc]]="-","Enviado",IF(Tabela2[[#This Row],[Dt Venc:]]=TODAY(),"Vence Hoje","Vencida")))</f>
        <v>Em Aberto</v>
      </c>
      <c r="F5617" s="3" t="str">
        <f ca="1">IF(G5617=1,"-",Tabela2[[#This Row],[Dt Venc:]]-TODAY())</f>
        <v>-</v>
      </c>
      <c r="G5617" s="3">
        <v>1</v>
      </c>
      <c r="H5617" s="3"/>
    </row>
    <row r="5618" spans="1:8" hidden="1">
      <c r="A5618" s="3">
        <v>12576</v>
      </c>
      <c r="B5618" s="7" t="s">
        <v>72</v>
      </c>
      <c r="C5618" s="41">
        <v>812.34</v>
      </c>
      <c r="D5618" s="6">
        <v>45697</v>
      </c>
      <c r="E5618" s="3" t="str">
        <f ca="1">IF(Tabela2[[#This Row],[Dt Venc:]]&gt;TODAY(),"Em Aberto",IF(Tabela2[[#This Row],[D/venc]]="-","Enviado",IF(Tabela2[[#This Row],[Dt Venc:]]=TODAY(),"Vence Hoje","Vencida")))</f>
        <v>Em Aberto</v>
      </c>
      <c r="F5618" s="3" t="str">
        <f ca="1">IF(G5618=1,"-",Tabela2[[#This Row],[Dt Venc:]]-TODAY())</f>
        <v>-</v>
      </c>
      <c r="G5618" s="3">
        <v>1</v>
      </c>
      <c r="H5618" s="3"/>
    </row>
    <row r="5619" spans="1:8" hidden="1">
      <c r="A5619" s="3">
        <v>20981</v>
      </c>
      <c r="B5619" s="7" t="s">
        <v>653</v>
      </c>
      <c r="C5619" s="41">
        <v>975</v>
      </c>
      <c r="D5619" s="6">
        <v>45697</v>
      </c>
      <c r="E5619" s="3" t="str">
        <f ca="1">IF(Tabela2[[#This Row],[Dt Venc:]]&gt;TODAY(),"Em Aberto",IF(Tabela2[[#This Row],[D/venc]]="-","Enviado",IF(Tabela2[[#This Row],[Dt Venc:]]=TODAY(),"Vence Hoje","Vencida")))</f>
        <v>Em Aberto</v>
      </c>
      <c r="F5619" s="3" t="str">
        <f ca="1">IF(G5619=1,"-",Tabela2[[#This Row],[Dt Venc:]]-TODAY())</f>
        <v>-</v>
      </c>
      <c r="G5619" s="3">
        <v>1</v>
      </c>
      <c r="H5619" s="3"/>
    </row>
    <row r="5620" spans="1:8" hidden="1">
      <c r="A5620" s="3">
        <v>23678</v>
      </c>
      <c r="B5620" s="7" t="s">
        <v>38</v>
      </c>
      <c r="C5620" s="41">
        <v>496.67</v>
      </c>
      <c r="D5620" s="6">
        <v>45697</v>
      </c>
      <c r="E5620" s="3" t="str">
        <f ca="1">IF(Tabela2[[#This Row],[Dt Venc:]]&gt;TODAY(),"Em Aberto",IF(Tabela2[[#This Row],[D/venc]]="-","Enviado",IF(Tabela2[[#This Row],[Dt Venc:]]=TODAY(),"Vence Hoje","Vencida")))</f>
        <v>Em Aberto</v>
      </c>
      <c r="F5620" s="3" t="str">
        <f ca="1">IF(G5620=1,"-",Tabela2[[#This Row],[Dt Venc:]]-TODAY())</f>
        <v>-</v>
      </c>
      <c r="G5620" s="3">
        <v>1</v>
      </c>
      <c r="H5620" s="3"/>
    </row>
    <row r="5621" spans="1:8" hidden="1">
      <c r="A5621" s="3">
        <v>30645</v>
      </c>
      <c r="B5621" s="7" t="s">
        <v>226</v>
      </c>
      <c r="C5621" s="41">
        <v>2274</v>
      </c>
      <c r="D5621" s="6">
        <v>45697</v>
      </c>
      <c r="E5621" s="3" t="str">
        <f ca="1">IF(Tabela2[[#This Row],[Dt Venc:]]&gt;TODAY(),"Em Aberto",IF(Tabela2[[#This Row],[D/venc]]="-","Enviado",IF(Tabela2[[#This Row],[Dt Venc:]]=TODAY(),"Vence Hoje","Vencida")))</f>
        <v>Em Aberto</v>
      </c>
      <c r="F5621" s="3" t="str">
        <f ca="1">IF(G5621=1,"-",Tabela2[[#This Row],[Dt Venc:]]-TODAY())</f>
        <v>-</v>
      </c>
      <c r="G5621" s="3">
        <v>1</v>
      </c>
      <c r="H5621" s="3"/>
    </row>
    <row r="5622" spans="1:8" hidden="1">
      <c r="A5622" s="3">
        <v>31249</v>
      </c>
      <c r="B5622" s="7" t="s">
        <v>97</v>
      </c>
      <c r="C5622" s="41">
        <v>2170</v>
      </c>
      <c r="D5622" s="6">
        <v>45697</v>
      </c>
      <c r="E5622" s="3" t="str">
        <f ca="1">IF(Tabela2[[#This Row],[Dt Venc:]]&gt;TODAY(),"Em Aberto",IF(Tabela2[[#This Row],[D/venc]]="-","Enviado",IF(Tabela2[[#This Row],[Dt Venc:]]=TODAY(),"Vence Hoje","Vencida")))</f>
        <v>Em Aberto</v>
      </c>
      <c r="F5622" s="3" t="str">
        <f ca="1">IF(G5622=1,"-",Tabela2[[#This Row],[Dt Venc:]]-TODAY())</f>
        <v>-</v>
      </c>
      <c r="G5622" s="3">
        <v>1</v>
      </c>
      <c r="H5622" s="3"/>
    </row>
    <row r="5623" spans="1:8" hidden="1">
      <c r="A5623" s="3">
        <v>31393</v>
      </c>
      <c r="B5623" s="7" t="s">
        <v>524</v>
      </c>
      <c r="C5623" s="41">
        <v>2296</v>
      </c>
      <c r="D5623" s="6">
        <v>45697</v>
      </c>
      <c r="E5623" s="3" t="str">
        <f ca="1">IF(Tabela2[[#This Row],[Dt Venc:]]&gt;TODAY(),"Em Aberto",IF(Tabela2[[#This Row],[D/venc]]="-","Enviado",IF(Tabela2[[#This Row],[Dt Venc:]]=TODAY(),"Vence Hoje","Vencida")))</f>
        <v>Em Aberto</v>
      </c>
      <c r="F5623" s="3" t="str">
        <f ca="1">IF(G5623=1,"-",Tabela2[[#This Row],[Dt Venc:]]-TODAY())</f>
        <v>-</v>
      </c>
      <c r="G5623" s="3">
        <v>1</v>
      </c>
      <c r="H5623" s="3"/>
    </row>
    <row r="5624" spans="1:8" hidden="1">
      <c r="A5624" s="3">
        <v>37167</v>
      </c>
      <c r="B5624" s="7" t="s">
        <v>624</v>
      </c>
      <c r="C5624" s="41">
        <v>413.34</v>
      </c>
      <c r="D5624" s="6">
        <v>45697</v>
      </c>
      <c r="E5624" s="3" t="str">
        <f ca="1">IF(Tabela2[[#This Row],[Dt Venc:]]&gt;TODAY(),"Em Aberto",IF(Tabela2[[#This Row],[D/venc]]="-","Enviado",IF(Tabela2[[#This Row],[Dt Venc:]]=TODAY(),"Vence Hoje","Vencida")))</f>
        <v>Em Aberto</v>
      </c>
      <c r="F5624" s="3" t="str">
        <f ca="1">IF(G5624=1,"-",Tabela2[[#This Row],[Dt Venc:]]-TODAY())</f>
        <v>-</v>
      </c>
      <c r="G5624" s="3">
        <v>1</v>
      </c>
      <c r="H5624" s="3"/>
    </row>
    <row r="5625" spans="1:8" hidden="1">
      <c r="A5625" s="3">
        <v>89200</v>
      </c>
      <c r="B5625" s="7" t="s">
        <v>207</v>
      </c>
      <c r="C5625" s="41">
        <v>900</v>
      </c>
      <c r="D5625" s="6">
        <v>45697</v>
      </c>
      <c r="E5625" s="3" t="str">
        <f ca="1">IF(Tabela2[[#This Row],[Dt Venc:]]&gt;TODAY(),"Em Aberto",IF(Tabela2[[#This Row],[D/venc]]="-","Enviado",IF(Tabela2[[#This Row],[Dt Venc:]]=TODAY(),"Vence Hoje","Vencida")))</f>
        <v>Em Aberto</v>
      </c>
      <c r="F5625" s="3" t="str">
        <f ca="1">IF(G5625=1,"-",Tabela2[[#This Row],[Dt Venc:]]-TODAY())</f>
        <v>-</v>
      </c>
      <c r="G5625" s="3">
        <v>1</v>
      </c>
      <c r="H5625" s="3"/>
    </row>
    <row r="5626" spans="1:8" hidden="1">
      <c r="A5626" s="3">
        <v>154344</v>
      </c>
      <c r="B5626" s="7" t="s">
        <v>77</v>
      </c>
      <c r="C5626" s="41">
        <v>450</v>
      </c>
      <c r="D5626" s="6">
        <v>45697</v>
      </c>
      <c r="E5626" s="3" t="str">
        <f ca="1">IF(Tabela2[[#This Row],[Dt Venc:]]&gt;TODAY(),"Em Aberto",IF(Tabela2[[#This Row],[D/venc]]="-","Enviado",IF(Tabela2[[#This Row],[Dt Venc:]]=TODAY(),"Vence Hoje","Vencida")))</f>
        <v>Em Aberto</v>
      </c>
      <c r="F5626" s="3" t="str">
        <f ca="1">IF(G5626=1,"-",Tabela2[[#This Row],[Dt Venc:]]-TODAY())</f>
        <v>-</v>
      </c>
      <c r="G5626" s="3">
        <v>1</v>
      </c>
      <c r="H5626" s="3"/>
    </row>
    <row r="5627" spans="1:8" hidden="1">
      <c r="A5627" s="3">
        <v>155787</v>
      </c>
      <c r="B5627" s="7" t="s">
        <v>77</v>
      </c>
      <c r="C5627" s="41">
        <v>433.33</v>
      </c>
      <c r="D5627" s="6">
        <v>45697</v>
      </c>
      <c r="E5627" s="3" t="str">
        <f ca="1">IF(Tabela2[[#This Row],[Dt Venc:]]&gt;TODAY(),"Em Aberto",IF(Tabela2[[#This Row],[D/venc]]="-","Enviado",IF(Tabela2[[#This Row],[Dt Venc:]]=TODAY(),"Vence Hoje","Vencida")))</f>
        <v>Em Aberto</v>
      </c>
      <c r="F5627" s="3" t="str">
        <f ca="1">IF(G5627=1,"-",Tabela2[[#This Row],[Dt Venc:]]-TODAY())</f>
        <v>-</v>
      </c>
      <c r="G5627" s="3">
        <v>1</v>
      </c>
      <c r="H5627" s="3"/>
    </row>
    <row r="5628" spans="1:8" hidden="1">
      <c r="A5628" s="3">
        <v>175814</v>
      </c>
      <c r="B5628" s="7" t="s">
        <v>211</v>
      </c>
      <c r="C5628" s="41">
        <v>900</v>
      </c>
      <c r="D5628" s="6">
        <v>45697</v>
      </c>
      <c r="E5628" s="3" t="str">
        <f ca="1">IF(Tabela2[[#This Row],[Dt Venc:]]&gt;TODAY(),"Em Aberto",IF(Tabela2[[#This Row],[D/venc]]="-","Enviado",IF(Tabela2[[#This Row],[Dt Venc:]]=TODAY(),"Vence Hoje","Vencida")))</f>
        <v>Em Aberto</v>
      </c>
      <c r="F5628" s="3" t="str">
        <f ca="1">IF(G5628=1,"-",Tabela2[[#This Row],[Dt Venc:]]-TODAY())</f>
        <v>-</v>
      </c>
      <c r="G5628" s="3">
        <v>1</v>
      </c>
      <c r="H5628" s="3"/>
    </row>
    <row r="5629" spans="1:8" hidden="1">
      <c r="A5629" s="3">
        <v>175844</v>
      </c>
      <c r="B5629" s="7" t="s">
        <v>211</v>
      </c>
      <c r="C5629" s="41">
        <v>526.66</v>
      </c>
      <c r="D5629" s="6">
        <v>45697</v>
      </c>
      <c r="E5629" s="3" t="str">
        <f ca="1">IF(Tabela2[[#This Row],[Dt Venc:]]&gt;TODAY(),"Em Aberto",IF(Tabela2[[#This Row],[D/venc]]="-","Enviado",IF(Tabela2[[#This Row],[Dt Venc:]]=TODAY(),"Vence Hoje","Vencida")))</f>
        <v>Em Aberto</v>
      </c>
      <c r="F5629" s="3" t="str">
        <f ca="1">IF(G5629=1,"-",Tabela2[[#This Row],[Dt Venc:]]-TODAY())</f>
        <v>-</v>
      </c>
      <c r="G5629" s="3">
        <v>1</v>
      </c>
      <c r="H5629" s="3"/>
    </row>
    <row r="5630" spans="1:8" hidden="1">
      <c r="A5630" s="3">
        <v>179546</v>
      </c>
      <c r="B5630" s="7" t="s">
        <v>211</v>
      </c>
      <c r="C5630" s="41">
        <v>579.34</v>
      </c>
      <c r="D5630" s="6">
        <v>45697</v>
      </c>
      <c r="E5630" s="3" t="str">
        <f ca="1">IF(Tabela2[[#This Row],[Dt Venc:]]&gt;TODAY(),"Em Aberto",IF(Tabela2[[#This Row],[D/venc]]="-","Enviado",IF(Tabela2[[#This Row],[Dt Venc:]]=TODAY(),"Vence Hoje","Vencida")))</f>
        <v>Em Aberto</v>
      </c>
      <c r="F5630" s="3" t="str">
        <f ca="1">IF(G5630=1,"-",Tabela2[[#This Row],[Dt Venc:]]-TODAY())</f>
        <v>-</v>
      </c>
      <c r="G5630" s="3">
        <v>1</v>
      </c>
      <c r="H5630" s="3"/>
    </row>
    <row r="5631" spans="1:8" hidden="1">
      <c r="A5631" s="3">
        <v>179573</v>
      </c>
      <c r="B5631" s="7" t="s">
        <v>211</v>
      </c>
      <c r="C5631" s="41">
        <v>993.34</v>
      </c>
      <c r="D5631" s="6">
        <v>45697</v>
      </c>
      <c r="E5631" s="3" t="str">
        <f ca="1">IF(Tabela2[[#This Row],[Dt Venc:]]&gt;TODAY(),"Em Aberto",IF(Tabela2[[#This Row],[D/venc]]="-","Enviado",IF(Tabela2[[#This Row],[Dt Venc:]]=TODAY(),"Vence Hoje","Vencida")))</f>
        <v>Em Aberto</v>
      </c>
      <c r="F5631" s="3" t="str">
        <f ca="1">IF(G5631=1,"-",Tabela2[[#This Row],[Dt Venc:]]-TODAY())</f>
        <v>-</v>
      </c>
      <c r="G5631" s="3">
        <v>1</v>
      </c>
      <c r="H5631" s="3"/>
    </row>
    <row r="5632" spans="1:8" hidden="1">
      <c r="A5632" s="3">
        <v>179599</v>
      </c>
      <c r="B5632" s="7" t="s">
        <v>211</v>
      </c>
      <c r="C5632" s="41">
        <v>1118.6600000000001</v>
      </c>
      <c r="D5632" s="6">
        <v>45697</v>
      </c>
      <c r="E5632" s="3" t="str">
        <f ca="1">IF(Tabela2[[#This Row],[Dt Venc:]]&gt;TODAY(),"Em Aberto",IF(Tabela2[[#This Row],[D/venc]]="-","Enviado",IF(Tabela2[[#This Row],[Dt Venc:]]=TODAY(),"Vence Hoje","Vencida")))</f>
        <v>Em Aberto</v>
      </c>
      <c r="F5632" s="3" t="str">
        <f ca="1">IF(G5632=1,"-",Tabela2[[#This Row],[Dt Venc:]]-TODAY())</f>
        <v>-</v>
      </c>
      <c r="G5632" s="3">
        <v>1</v>
      </c>
      <c r="H5632" s="3"/>
    </row>
    <row r="5633" spans="1:8" hidden="1">
      <c r="A5633" s="3">
        <v>191416</v>
      </c>
      <c r="B5633" s="7" t="s">
        <v>128</v>
      </c>
      <c r="C5633" s="41">
        <v>1729.12</v>
      </c>
      <c r="D5633" s="6">
        <v>45697</v>
      </c>
      <c r="E5633" s="3" t="str">
        <f ca="1">IF(Tabela2[[#This Row],[Dt Venc:]]&gt;TODAY(),"Em Aberto",IF(Tabela2[[#This Row],[D/venc]]="-","Enviado",IF(Tabela2[[#This Row],[Dt Venc:]]=TODAY(),"Vence Hoje","Vencida")))</f>
        <v>Em Aberto</v>
      </c>
      <c r="F5633" s="3" t="str">
        <f ca="1">IF(G5633=1,"-",Tabela2[[#This Row],[Dt Venc:]]-TODAY())</f>
        <v>-</v>
      </c>
      <c r="G5633" s="3">
        <v>1</v>
      </c>
      <c r="H5633" s="3"/>
    </row>
    <row r="5634" spans="1:8" hidden="1">
      <c r="A5634" s="3">
        <v>265534</v>
      </c>
      <c r="B5634" s="7" t="s">
        <v>358</v>
      </c>
      <c r="C5634" s="41">
        <v>658.68</v>
      </c>
      <c r="D5634" s="6">
        <v>45697</v>
      </c>
      <c r="E5634" s="3" t="str">
        <f ca="1">IF(Tabela2[[#This Row],[Dt Venc:]]&gt;TODAY(),"Em Aberto",IF(Tabela2[[#This Row],[D/venc]]="-","Enviado",IF(Tabela2[[#This Row],[Dt Venc:]]=TODAY(),"Vence Hoje","Vencida")))</f>
        <v>Em Aberto</v>
      </c>
      <c r="F5634" s="3" t="str">
        <f ca="1">IF(G5634=1,"-",Tabela2[[#This Row],[Dt Venc:]]-TODAY())</f>
        <v>-</v>
      </c>
      <c r="G5634" s="3">
        <v>1</v>
      </c>
      <c r="H5634" s="3"/>
    </row>
    <row r="5635" spans="1:8" hidden="1">
      <c r="A5635" s="3">
        <v>307145</v>
      </c>
      <c r="B5635" s="7" t="s">
        <v>625</v>
      </c>
      <c r="C5635" s="41">
        <v>293.49</v>
      </c>
      <c r="D5635" s="6">
        <v>45697</v>
      </c>
      <c r="E5635" s="3" t="str">
        <f ca="1">IF(Tabela2[[#This Row],[Dt Venc:]]&gt;TODAY(),"Em Aberto",IF(Tabela2[[#This Row],[D/venc]]="-","Enviado",IF(Tabela2[[#This Row],[Dt Venc:]]=TODAY(),"Vence Hoje","Vencida")))</f>
        <v>Em Aberto</v>
      </c>
      <c r="F5635" s="3" t="str">
        <f ca="1">IF(G5635=1,"-",Tabela2[[#This Row],[Dt Venc:]]-TODAY())</f>
        <v>-</v>
      </c>
      <c r="G5635" s="3">
        <v>1</v>
      </c>
      <c r="H5635" s="3"/>
    </row>
    <row r="5636" spans="1:8">
      <c r="A5636" s="3" t="s">
        <v>110</v>
      </c>
      <c r="B5636" s="7" t="s">
        <v>183</v>
      </c>
      <c r="C5636" s="42" t="s">
        <v>32</v>
      </c>
      <c r="D5636" s="6">
        <v>45698</v>
      </c>
      <c r="E5636" s="3" t="str">
        <f ca="1">IF(Tabela2[[#This Row],[Dt Venc:]]&gt;TODAY(),"Em Aberto",IF(Tabela2[[#This Row],[D/venc]]="-","Enviado",IF(Tabela2[[#This Row],[Dt Venc:]]=TODAY(),"Vence Hoje","Vencida")))</f>
        <v>Em Aberto</v>
      </c>
      <c r="F5636" s="3">
        <f ca="1">IF(G5636=1,"-",Tabela2[[#This Row],[Dt Venc:]]-TODAY())</f>
        <v>5</v>
      </c>
      <c r="G5636" s="3"/>
      <c r="H5636" s="3"/>
    </row>
    <row r="5637" spans="1:8" hidden="1">
      <c r="A5637" s="3">
        <v>28629</v>
      </c>
      <c r="B5637" s="7" t="s">
        <v>182</v>
      </c>
      <c r="C5637" s="100" t="s">
        <v>32</v>
      </c>
      <c r="D5637" s="6">
        <v>45698</v>
      </c>
      <c r="E5637" s="3" t="str">
        <f ca="1">IF(Tabela2[[#This Row],[Dt Venc:]]&gt;TODAY(),"Em Aberto",IF(Tabela2[[#This Row],[D/venc]]="-","Enviado",IF(Tabela2[[#This Row],[Dt Venc:]]=TODAY(),"Vence Hoje","Vencida")))</f>
        <v>Em Aberto</v>
      </c>
      <c r="F5637" s="3" t="str">
        <f ca="1">IF(G5637=1,"-",Tabela2[[#This Row],[Dt Venc:]]-TODAY())</f>
        <v>-</v>
      </c>
      <c r="G5637" s="3">
        <v>1</v>
      </c>
      <c r="H5637" s="3"/>
    </row>
    <row r="5638" spans="1:8" hidden="1">
      <c r="A5638" s="3">
        <v>111736</v>
      </c>
      <c r="B5638" s="7" t="s">
        <v>182</v>
      </c>
      <c r="C5638" s="87" t="s">
        <v>32</v>
      </c>
      <c r="D5638" s="6">
        <v>45702</v>
      </c>
      <c r="E5638" s="3" t="str">
        <f ca="1">IF(Tabela2[[#This Row],[Dt Venc:]]&gt;TODAY(),"Em Aberto",IF(Tabela2[[#This Row],[D/venc]]="-","Enviado",IF(Tabela2[[#This Row],[Dt Venc:]]=TODAY(),"Vence Hoje","Vencida")))</f>
        <v>Em Aberto</v>
      </c>
      <c r="F5638" s="3" t="str">
        <f ca="1">IF(G5638=1,"-",Tabela2[[#This Row],[Dt Venc:]]-TODAY())</f>
        <v>-</v>
      </c>
      <c r="G5638" s="3">
        <v>1</v>
      </c>
      <c r="H5638" s="3"/>
    </row>
    <row r="5639" spans="1:8" hidden="1">
      <c r="A5639" s="3" t="s">
        <v>110</v>
      </c>
      <c r="B5639" s="7" t="s">
        <v>181</v>
      </c>
      <c r="C5639" s="42" t="s">
        <v>32</v>
      </c>
      <c r="D5639" s="6">
        <v>45698</v>
      </c>
      <c r="E5639" s="3" t="str">
        <f ca="1">IF(Tabela2[[#This Row],[Dt Venc:]]&gt;TODAY(),"Em Aberto",IF(Tabela2[[#This Row],[D/venc]]="-","Enviado",IF(Tabela2[[#This Row],[Dt Venc:]]=TODAY(),"Vence Hoje","Vencida")))</f>
        <v>Em Aberto</v>
      </c>
      <c r="F5639" s="3" t="str">
        <f ca="1">IF(G5639=1,"-",Tabela2[[#This Row],[Dt Venc:]]-TODAY())</f>
        <v>-</v>
      </c>
      <c r="G5639" s="3">
        <v>1</v>
      </c>
      <c r="H5639" s="3"/>
    </row>
    <row r="5640" spans="1:8" hidden="1">
      <c r="A5640" s="3">
        <v>50</v>
      </c>
      <c r="B5640" s="7" t="s">
        <v>687</v>
      </c>
      <c r="C5640" s="41">
        <v>24625</v>
      </c>
      <c r="D5640" s="6">
        <v>45698</v>
      </c>
      <c r="E5640" s="3" t="str">
        <f ca="1">IF(Tabela2[[#This Row],[Dt Venc:]]&gt;TODAY(),"Em Aberto",IF(Tabela2[[#This Row],[D/venc]]="-","Enviado",IF(Tabela2[[#This Row],[Dt Venc:]]=TODAY(),"Vence Hoje","Vencida")))</f>
        <v>Em Aberto</v>
      </c>
      <c r="F5640" s="3" t="str">
        <f ca="1">IF(G5640=1,"-",Tabela2[[#This Row],[Dt Venc:]]-TODAY())</f>
        <v>-</v>
      </c>
      <c r="G5640" s="3">
        <v>1</v>
      </c>
      <c r="H5640" s="3"/>
    </row>
    <row r="5641" spans="1:8" hidden="1">
      <c r="A5641" s="3">
        <v>1210</v>
      </c>
      <c r="B5641" s="7" t="s">
        <v>113</v>
      </c>
      <c r="C5641" s="41">
        <v>1226.6600000000001</v>
      </c>
      <c r="D5641" s="6">
        <v>45698</v>
      </c>
      <c r="E5641" s="3" t="str">
        <f ca="1">IF(Tabela2[[#This Row],[Dt Venc:]]&gt;TODAY(),"Em Aberto",IF(Tabela2[[#This Row],[D/venc]]="-","Enviado",IF(Tabela2[[#This Row],[Dt Venc:]]=TODAY(),"Vence Hoje","Vencida")))</f>
        <v>Em Aberto</v>
      </c>
      <c r="F5641" s="3" t="str">
        <f ca="1">IF(G5641=1,"-",Tabela2[[#This Row],[Dt Venc:]]-TODAY())</f>
        <v>-</v>
      </c>
      <c r="G5641" s="3">
        <v>1</v>
      </c>
      <c r="H5641" s="3"/>
    </row>
    <row r="5642" spans="1:8" hidden="1">
      <c r="A5642" s="3">
        <v>1264</v>
      </c>
      <c r="B5642" s="7" t="s">
        <v>559</v>
      </c>
      <c r="C5642" s="41">
        <v>750</v>
      </c>
      <c r="D5642" s="6">
        <v>45698</v>
      </c>
      <c r="E5642" s="3" t="str">
        <f ca="1">IF(Tabela2[[#This Row],[Dt Venc:]]&gt;TODAY(),"Em Aberto",IF(Tabela2[[#This Row],[D/venc]]="-","Enviado",IF(Tabela2[[#This Row],[Dt Venc:]]=TODAY(),"Vence Hoje","Vencida")))</f>
        <v>Em Aberto</v>
      </c>
      <c r="F5642" s="3" t="str">
        <f ca="1">IF(G5642=1,"-",Tabela2[[#This Row],[Dt Venc:]]-TODAY())</f>
        <v>-</v>
      </c>
      <c r="G5642" s="3">
        <v>1</v>
      </c>
      <c r="H5642" s="3"/>
    </row>
    <row r="5643" spans="1:8" hidden="1">
      <c r="A5643" s="3">
        <v>1767</v>
      </c>
      <c r="B5643" s="7" t="s">
        <v>92</v>
      </c>
      <c r="C5643" s="41">
        <v>452.5</v>
      </c>
      <c r="D5643" s="6">
        <v>45698</v>
      </c>
      <c r="E5643" s="3" t="str">
        <f ca="1">IF(Tabela2[[#This Row],[Dt Venc:]]&gt;TODAY(),"Em Aberto",IF(Tabela2[[#This Row],[D/venc]]="-","Enviado",IF(Tabela2[[#This Row],[Dt Venc:]]=TODAY(),"Vence Hoje","Vencida")))</f>
        <v>Em Aberto</v>
      </c>
      <c r="F5643" s="3" t="str">
        <f ca="1">IF(G5643=1,"-",Tabela2[[#This Row],[Dt Venc:]]-TODAY())</f>
        <v>-</v>
      </c>
      <c r="G5643" s="3">
        <v>1</v>
      </c>
      <c r="H5643" s="3"/>
    </row>
    <row r="5644" spans="1:8" hidden="1">
      <c r="A5644" s="3">
        <v>1862</v>
      </c>
      <c r="B5644" s="7" t="s">
        <v>352</v>
      </c>
      <c r="C5644" s="41">
        <v>400</v>
      </c>
      <c r="D5644" s="6">
        <v>45698</v>
      </c>
      <c r="E5644" s="3" t="str">
        <f ca="1">IF(Tabela2[[#This Row],[Dt Venc:]]&gt;TODAY(),"Em Aberto",IF(Tabela2[[#This Row],[D/venc]]="-","Enviado",IF(Tabela2[[#This Row],[Dt Venc:]]=TODAY(),"Vence Hoje","Vencida")))</f>
        <v>Em Aberto</v>
      </c>
      <c r="F5644" s="3" t="str">
        <f ca="1">IF(G5644=1,"-",Tabela2[[#This Row],[Dt Venc:]]-TODAY())</f>
        <v>-</v>
      </c>
      <c r="G5644" s="3">
        <v>1</v>
      </c>
      <c r="H5644" s="3"/>
    </row>
    <row r="5645" spans="1:8" hidden="1">
      <c r="A5645" s="3">
        <v>2050</v>
      </c>
      <c r="B5645" s="7" t="s">
        <v>194</v>
      </c>
      <c r="C5645" s="41">
        <v>2100</v>
      </c>
      <c r="D5645" s="6">
        <v>45698</v>
      </c>
      <c r="E5645" s="3" t="str">
        <f ca="1">IF(Tabela2[[#This Row],[Dt Venc:]]&gt;TODAY(),"Em Aberto",IF(Tabela2[[#This Row],[D/venc]]="-","Enviado",IF(Tabela2[[#This Row],[Dt Venc:]]=TODAY(),"Vence Hoje","Vencida")))</f>
        <v>Em Aberto</v>
      </c>
      <c r="F5645" s="3" t="str">
        <f ca="1">IF(G5645=1,"-",Tabela2[[#This Row],[Dt Venc:]]-TODAY())</f>
        <v>-</v>
      </c>
      <c r="G5645" s="3">
        <v>1</v>
      </c>
      <c r="H5645" s="3"/>
    </row>
    <row r="5646" spans="1:8" hidden="1">
      <c r="A5646" s="3">
        <v>2841</v>
      </c>
      <c r="B5646" s="7" t="s">
        <v>473</v>
      </c>
      <c r="C5646" s="41">
        <v>2080.8000000000002</v>
      </c>
      <c r="D5646" s="6">
        <v>45698</v>
      </c>
      <c r="E5646" s="3" t="str">
        <f ca="1">IF(Tabela2[[#This Row],[Dt Venc:]]&gt;TODAY(),"Em Aberto",IF(Tabela2[[#This Row],[D/venc]]="-","Enviado",IF(Tabela2[[#This Row],[Dt Venc:]]=TODAY(),"Vence Hoje","Vencida")))</f>
        <v>Em Aberto</v>
      </c>
      <c r="F5646" s="3" t="str">
        <f ca="1">IF(G5646=1,"-",Tabela2[[#This Row],[Dt Venc:]]-TODAY())</f>
        <v>-</v>
      </c>
      <c r="G5646" s="3">
        <v>1</v>
      </c>
      <c r="H5646" s="3"/>
    </row>
    <row r="5647" spans="1:8" hidden="1">
      <c r="A5647" s="3">
        <v>3602</v>
      </c>
      <c r="B5647" s="7" t="s">
        <v>129</v>
      </c>
      <c r="C5647" s="41">
        <v>2118.1999999999998</v>
      </c>
      <c r="D5647" s="6">
        <v>45698</v>
      </c>
      <c r="E5647" s="3" t="str">
        <f ca="1">IF(Tabela2[[#This Row],[Dt Venc:]]&gt;TODAY(),"Em Aberto",IF(Tabela2[[#This Row],[D/venc]]="-","Enviado",IF(Tabela2[[#This Row],[Dt Venc:]]=TODAY(),"Vence Hoje","Vencida")))</f>
        <v>Em Aberto</v>
      </c>
      <c r="F5647" s="3" t="str">
        <f ca="1">IF(G5647=1,"-",Tabela2[[#This Row],[Dt Venc:]]-TODAY())</f>
        <v>-</v>
      </c>
      <c r="G5647" s="3">
        <v>1</v>
      </c>
      <c r="H5647" s="3"/>
    </row>
    <row r="5648" spans="1:8" hidden="1">
      <c r="A5648" s="3">
        <v>5192</v>
      </c>
      <c r="B5648" s="7" t="s">
        <v>463</v>
      </c>
      <c r="C5648" s="41">
        <v>2001.3</v>
      </c>
      <c r="D5648" s="6">
        <v>45698</v>
      </c>
      <c r="E5648" s="3" t="str">
        <f ca="1">IF(Tabela2[[#This Row],[Dt Venc:]]&gt;TODAY(),"Em Aberto",IF(Tabela2[[#This Row],[D/venc]]="-","Enviado",IF(Tabela2[[#This Row],[Dt Venc:]]=TODAY(),"Vence Hoje","Vencida")))</f>
        <v>Em Aberto</v>
      </c>
      <c r="F5648" s="3" t="str">
        <f ca="1">IF(G5648=1,"-",Tabela2[[#This Row],[Dt Venc:]]-TODAY())</f>
        <v>-</v>
      </c>
      <c r="G5648" s="3">
        <v>1</v>
      </c>
      <c r="H5648" s="3"/>
    </row>
    <row r="5649" spans="1:8" hidden="1">
      <c r="A5649" s="3">
        <v>6142</v>
      </c>
      <c r="B5649" s="7" t="s">
        <v>47</v>
      </c>
      <c r="C5649" s="41">
        <v>697.9</v>
      </c>
      <c r="D5649" s="6">
        <v>45698</v>
      </c>
      <c r="E5649" s="3" t="str">
        <f ca="1">IF(Tabela2[[#This Row],[Dt Venc:]]&gt;TODAY(),"Em Aberto",IF(Tabela2[[#This Row],[D/venc]]="-","Enviado",IF(Tabela2[[#This Row],[Dt Venc:]]=TODAY(),"Vence Hoje","Vencida")))</f>
        <v>Em Aberto</v>
      </c>
      <c r="F5649" s="3" t="str">
        <f ca="1">IF(G5649=1,"-",Tabela2[[#This Row],[Dt Venc:]]-TODAY())</f>
        <v>-</v>
      </c>
      <c r="G5649" s="3">
        <v>1</v>
      </c>
      <c r="H5649" s="3"/>
    </row>
    <row r="5650" spans="1:8" hidden="1">
      <c r="A5650" s="3">
        <v>6229</v>
      </c>
      <c r="B5650" s="7" t="s">
        <v>140</v>
      </c>
      <c r="C5650" s="41">
        <v>2086</v>
      </c>
      <c r="D5650" s="6">
        <v>45698</v>
      </c>
      <c r="E5650" s="3" t="str">
        <f ca="1">IF(Tabela2[[#This Row],[Dt Venc:]]&gt;TODAY(),"Em Aberto",IF(Tabela2[[#This Row],[D/venc]]="-","Enviado",IF(Tabela2[[#This Row],[Dt Venc:]]=TODAY(),"Vence Hoje","Vencida")))</f>
        <v>Em Aberto</v>
      </c>
      <c r="F5650" s="3" t="str">
        <f ca="1">IF(G5650=1,"-",Tabela2[[#This Row],[Dt Venc:]]-TODAY())</f>
        <v>-</v>
      </c>
      <c r="G5650" s="3">
        <v>1</v>
      </c>
      <c r="H5650" s="3"/>
    </row>
    <row r="5651" spans="1:8" hidden="1">
      <c r="A5651" s="3">
        <v>7336</v>
      </c>
      <c r="B5651" s="7" t="s">
        <v>43</v>
      </c>
      <c r="C5651" s="41">
        <v>460</v>
      </c>
      <c r="D5651" s="6">
        <v>45698</v>
      </c>
      <c r="E5651" s="3" t="str">
        <f ca="1">IF(Tabela2[[#This Row],[Dt Venc:]]&gt;TODAY(),"Em Aberto",IF(Tabela2[[#This Row],[D/venc]]="-","Enviado",IF(Tabela2[[#This Row],[Dt Venc:]]=TODAY(),"Vence Hoje","Vencida")))</f>
        <v>Em Aberto</v>
      </c>
      <c r="F5651" s="3" t="str">
        <f ca="1">IF(G5651=1,"-",Tabela2[[#This Row],[Dt Venc:]]-TODAY())</f>
        <v>-</v>
      </c>
      <c r="G5651" s="3">
        <v>1</v>
      </c>
      <c r="H5651" s="3"/>
    </row>
    <row r="5652" spans="1:8" hidden="1">
      <c r="A5652" s="3">
        <v>8588</v>
      </c>
      <c r="B5652" s="7" t="s">
        <v>242</v>
      </c>
      <c r="C5652" s="41">
        <v>83</v>
      </c>
      <c r="D5652" s="6">
        <v>45698</v>
      </c>
      <c r="E5652" s="3" t="str">
        <f ca="1">IF(Tabela2[[#This Row],[Dt Venc:]]&gt;TODAY(),"Em Aberto",IF(Tabela2[[#This Row],[D/venc]]="-","Enviado",IF(Tabela2[[#This Row],[Dt Venc:]]=TODAY(),"Vence Hoje","Vencida")))</f>
        <v>Em Aberto</v>
      </c>
      <c r="F5652" s="3" t="str">
        <f ca="1">IF(G5652=1,"-",Tabela2[[#This Row],[Dt Venc:]]-TODAY())</f>
        <v>-</v>
      </c>
      <c r="G5652" s="3">
        <v>1</v>
      </c>
      <c r="H5652" s="3"/>
    </row>
    <row r="5653" spans="1:8" hidden="1">
      <c r="A5653" s="3">
        <v>8712</v>
      </c>
      <c r="B5653" s="7" t="s">
        <v>113</v>
      </c>
      <c r="C5653" s="41">
        <v>1226.6600000000001</v>
      </c>
      <c r="D5653" s="6">
        <v>45698</v>
      </c>
      <c r="E5653" s="3" t="str">
        <f ca="1">IF(Tabela2[[#This Row],[Dt Venc:]]&gt;TODAY(),"Em Aberto",IF(Tabela2[[#This Row],[D/venc]]="-","Enviado",IF(Tabela2[[#This Row],[Dt Venc:]]=TODAY(),"Vence Hoje","Vencida")))</f>
        <v>Em Aberto</v>
      </c>
      <c r="F5653" s="3" t="str">
        <f ca="1">IF(G5653=1,"-",Tabela2[[#This Row],[Dt Venc:]]-TODAY())</f>
        <v>-</v>
      </c>
      <c r="G5653" s="3">
        <v>1</v>
      </c>
      <c r="H5653" s="3"/>
    </row>
    <row r="5654" spans="1:8" hidden="1">
      <c r="A5654" s="3">
        <v>11121</v>
      </c>
      <c r="B5654" s="7" t="s">
        <v>76</v>
      </c>
      <c r="C5654" s="41">
        <v>731.57</v>
      </c>
      <c r="D5654" s="6">
        <v>45698</v>
      </c>
      <c r="E5654" s="3" t="str">
        <f ca="1">IF(Tabela2[[#This Row],[Dt Venc:]]&gt;TODAY(),"Em Aberto",IF(Tabela2[[#This Row],[D/venc]]="-","Enviado",IF(Tabela2[[#This Row],[Dt Venc:]]=TODAY(),"Vence Hoje","Vencida")))</f>
        <v>Em Aberto</v>
      </c>
      <c r="F5654" s="3" t="str">
        <f ca="1">IF(G5654=1,"-",Tabela2[[#This Row],[Dt Venc:]]-TODAY())</f>
        <v>-</v>
      </c>
      <c r="G5654" s="3">
        <v>1</v>
      </c>
      <c r="H5654" s="3"/>
    </row>
    <row r="5655" spans="1:8" hidden="1">
      <c r="A5655" s="3">
        <v>11219</v>
      </c>
      <c r="B5655" s="7" t="s">
        <v>33</v>
      </c>
      <c r="C5655" s="41">
        <v>800</v>
      </c>
      <c r="D5655" s="6">
        <v>45698</v>
      </c>
      <c r="E5655" s="3" t="str">
        <f ca="1">IF(Tabela2[[#This Row],[Dt Venc:]]&gt;TODAY(),"Em Aberto",IF(Tabela2[[#This Row],[D/venc]]="-","Enviado",IF(Tabela2[[#This Row],[Dt Venc:]]=TODAY(),"Vence Hoje","Vencida")))</f>
        <v>Em Aberto</v>
      </c>
      <c r="F5655" s="3" t="str">
        <f ca="1">IF(G5655=1,"-",Tabela2[[#This Row],[Dt Venc:]]-TODAY())</f>
        <v>-</v>
      </c>
      <c r="G5655" s="3">
        <v>1</v>
      </c>
      <c r="H5655" s="3"/>
    </row>
    <row r="5656" spans="1:8" hidden="1">
      <c r="A5656" s="3">
        <v>11223</v>
      </c>
      <c r="B5656" s="7" t="s">
        <v>33</v>
      </c>
      <c r="C5656" s="41">
        <v>325</v>
      </c>
      <c r="D5656" s="6">
        <v>45698</v>
      </c>
      <c r="E5656" s="3" t="str">
        <f ca="1">IF(Tabela2[[#This Row],[Dt Venc:]]&gt;TODAY(),"Em Aberto",IF(Tabela2[[#This Row],[D/venc]]="-","Enviado",IF(Tabela2[[#This Row],[Dt Venc:]]=TODAY(),"Vence Hoje","Vencida")))</f>
        <v>Em Aberto</v>
      </c>
      <c r="F5656" s="3" t="str">
        <f ca="1">IF(G5656=1,"-",Tabela2[[#This Row],[Dt Venc:]]-TODAY())</f>
        <v>-</v>
      </c>
      <c r="G5656" s="3">
        <v>1</v>
      </c>
      <c r="H5656" s="3"/>
    </row>
    <row r="5657" spans="1:8" hidden="1">
      <c r="A5657" s="3">
        <v>13877</v>
      </c>
      <c r="B5657" s="7" t="s">
        <v>622</v>
      </c>
      <c r="C5657" s="41">
        <v>263.5</v>
      </c>
      <c r="D5657" s="6">
        <v>45698</v>
      </c>
      <c r="E5657" s="3" t="str">
        <f ca="1">IF(Tabela2[[#This Row],[Dt Venc:]]&gt;TODAY(),"Em Aberto",IF(Tabela2[[#This Row],[D/venc]]="-","Enviado",IF(Tabela2[[#This Row],[Dt Venc:]]=TODAY(),"Vence Hoje","Vencida")))</f>
        <v>Em Aberto</v>
      </c>
      <c r="F5657" s="3" t="str">
        <f ca="1">IF(G5657=1,"-",Tabela2[[#This Row],[Dt Venc:]]-TODAY())</f>
        <v>-</v>
      </c>
      <c r="G5657" s="3">
        <v>1</v>
      </c>
      <c r="H5657" s="3"/>
    </row>
    <row r="5658" spans="1:8" hidden="1">
      <c r="A5658" s="3">
        <v>13929</v>
      </c>
      <c r="B5658" s="7" t="s">
        <v>105</v>
      </c>
      <c r="C5658" s="41">
        <v>3000</v>
      </c>
      <c r="D5658" s="6">
        <v>45698</v>
      </c>
      <c r="E5658" s="3" t="str">
        <f ca="1">IF(Tabela2[[#This Row],[Dt Venc:]]&gt;TODAY(),"Em Aberto",IF(Tabela2[[#This Row],[D/venc]]="-","Enviado",IF(Tabela2[[#This Row],[Dt Venc:]]=TODAY(),"Vence Hoje","Vencida")))</f>
        <v>Em Aberto</v>
      </c>
      <c r="F5658" s="3" t="str">
        <f ca="1">IF(G5658=1,"-",Tabela2[[#This Row],[Dt Venc:]]-TODAY())</f>
        <v>-</v>
      </c>
      <c r="G5658" s="3">
        <v>1</v>
      </c>
      <c r="H5658" s="3"/>
    </row>
    <row r="5659" spans="1:8" hidden="1">
      <c r="A5659" s="3">
        <v>13943</v>
      </c>
      <c r="B5659" s="7" t="s">
        <v>688</v>
      </c>
      <c r="C5659" s="41">
        <v>448.4</v>
      </c>
      <c r="D5659" s="6">
        <v>45698</v>
      </c>
      <c r="E5659" s="3" t="str">
        <f ca="1">IF(Tabela2[[#This Row],[Dt Venc:]]&gt;TODAY(),"Em Aberto",IF(Tabela2[[#This Row],[D/venc]]="-","Enviado",IF(Tabela2[[#This Row],[Dt Venc:]]=TODAY(),"Vence Hoje","Vencida")))</f>
        <v>Em Aberto</v>
      </c>
      <c r="F5659" s="3" t="str">
        <f ca="1">IF(G5659=1,"-",Tabela2[[#This Row],[Dt Venc:]]-TODAY())</f>
        <v>-</v>
      </c>
      <c r="G5659" s="3">
        <v>1</v>
      </c>
      <c r="H5659" s="3" t="s">
        <v>689</v>
      </c>
    </row>
    <row r="5660" spans="1:8" hidden="1">
      <c r="A5660" s="3">
        <v>15367</v>
      </c>
      <c r="B5660" s="7" t="s">
        <v>44</v>
      </c>
      <c r="C5660" s="41">
        <v>956.25</v>
      </c>
      <c r="D5660" s="6">
        <v>45698</v>
      </c>
      <c r="E5660" s="3" t="str">
        <f ca="1">IF(Tabela2[[#This Row],[Dt Venc:]]&gt;TODAY(),"Em Aberto",IF(Tabela2[[#This Row],[D/venc]]="-","Enviado",IF(Tabela2[[#This Row],[Dt Venc:]]=TODAY(),"Vence Hoje","Vencida")))</f>
        <v>Em Aberto</v>
      </c>
      <c r="F5660" s="3" t="str">
        <f ca="1">IF(G5660=1,"-",Tabela2[[#This Row],[Dt Venc:]]-TODAY())</f>
        <v>-</v>
      </c>
      <c r="G5660" s="3">
        <v>1</v>
      </c>
      <c r="H5660" s="3"/>
    </row>
    <row r="5661" spans="1:8" hidden="1">
      <c r="A5661" s="3">
        <v>15966</v>
      </c>
      <c r="B5661" s="7" t="s">
        <v>688</v>
      </c>
      <c r="C5661" s="41">
        <v>42351.82</v>
      </c>
      <c r="D5661" s="6">
        <v>45698</v>
      </c>
      <c r="E5661" s="3" t="str">
        <f ca="1">IF(Tabela2[[#This Row],[Dt Venc:]]&gt;TODAY(),"Em Aberto",IF(Tabela2[[#This Row],[D/venc]]="-","Enviado",IF(Tabela2[[#This Row],[Dt Venc:]]=TODAY(),"Vence Hoje","Vencida")))</f>
        <v>Em Aberto</v>
      </c>
      <c r="F5661" s="3" t="str">
        <f ca="1">IF(G5661=1,"-",Tabela2[[#This Row],[Dt Venc:]]-TODAY())</f>
        <v>-</v>
      </c>
      <c r="G5661" s="3">
        <v>1</v>
      </c>
      <c r="H5661" s="3" t="s">
        <v>689</v>
      </c>
    </row>
    <row r="5662" spans="1:8" hidden="1">
      <c r="A5662" s="3">
        <v>16518</v>
      </c>
      <c r="B5662" s="7" t="s">
        <v>74</v>
      </c>
      <c r="C5662" s="41">
        <v>645</v>
      </c>
      <c r="D5662" s="6">
        <v>45698</v>
      </c>
      <c r="E5662" s="3" t="str">
        <f ca="1">IF(Tabela2[[#This Row],[Dt Venc:]]&gt;TODAY(),"Em Aberto",IF(Tabela2[[#This Row],[D/venc]]="-","Enviado",IF(Tabela2[[#This Row],[Dt Venc:]]=TODAY(),"Vence Hoje","Vencida")))</f>
        <v>Em Aberto</v>
      </c>
      <c r="F5662" s="3" t="str">
        <f ca="1">IF(G5662=1,"-",Tabela2[[#This Row],[Dt Venc:]]-TODAY())</f>
        <v>-</v>
      </c>
      <c r="G5662" s="3">
        <v>1</v>
      </c>
      <c r="H5662" s="3"/>
    </row>
    <row r="5663" spans="1:8" hidden="1">
      <c r="A5663" s="3">
        <v>18304</v>
      </c>
      <c r="B5663" s="7" t="s">
        <v>292</v>
      </c>
      <c r="C5663" s="41">
        <v>1645</v>
      </c>
      <c r="D5663" s="6">
        <v>45698</v>
      </c>
      <c r="E5663" s="3" t="str">
        <f ca="1">IF(Tabela2[[#This Row],[Dt Venc:]]&gt;TODAY(),"Em Aberto",IF(Tabela2[[#This Row],[D/venc]]="-","Enviado",IF(Tabela2[[#This Row],[Dt Venc:]]=TODAY(),"Vence Hoje","Vencida")))</f>
        <v>Em Aberto</v>
      </c>
      <c r="F5663" s="3" t="str">
        <f ca="1">IF(G5663=1,"-",Tabela2[[#This Row],[Dt Venc:]]-TODAY())</f>
        <v>-</v>
      </c>
      <c r="G5663" s="3">
        <v>1</v>
      </c>
      <c r="H5663" s="3"/>
    </row>
    <row r="5664" spans="1:8" hidden="1">
      <c r="A5664" s="3">
        <v>18305</v>
      </c>
      <c r="B5664" s="7" t="s">
        <v>292</v>
      </c>
      <c r="C5664" s="41">
        <v>3506</v>
      </c>
      <c r="D5664" s="6">
        <v>45698</v>
      </c>
      <c r="E5664" s="3" t="str">
        <f ca="1">IF(Tabela2[[#This Row],[Dt Venc:]]&gt;TODAY(),"Em Aberto",IF(Tabela2[[#This Row],[D/venc]]="-","Enviado",IF(Tabela2[[#This Row],[Dt Venc:]]=TODAY(),"Vence Hoje","Vencida")))</f>
        <v>Em Aberto</v>
      </c>
      <c r="F5664" s="3" t="str">
        <f ca="1">IF(G5664=1,"-",Tabela2[[#This Row],[Dt Venc:]]-TODAY())</f>
        <v>-</v>
      </c>
      <c r="G5664" s="3">
        <v>1</v>
      </c>
      <c r="H5664" s="3"/>
    </row>
    <row r="5665" spans="1:8" hidden="1">
      <c r="A5665" s="3">
        <v>22727</v>
      </c>
      <c r="B5665" s="7" t="s">
        <v>40</v>
      </c>
      <c r="C5665" s="41">
        <v>7933.34</v>
      </c>
      <c r="D5665" s="6">
        <v>45698</v>
      </c>
      <c r="E5665" s="3" t="str">
        <f ca="1">IF(Tabela2[[#This Row],[Dt Venc:]]&gt;TODAY(),"Em Aberto",IF(Tabela2[[#This Row],[D/venc]]="-","Enviado",IF(Tabela2[[#This Row],[Dt Venc:]]=TODAY(),"Vence Hoje","Vencida")))</f>
        <v>Em Aberto</v>
      </c>
      <c r="F5665" s="3" t="str">
        <f ca="1">IF(G5665=1,"-",Tabela2[[#This Row],[Dt Venc:]]-TODAY())</f>
        <v>-</v>
      </c>
      <c r="G5665" s="3">
        <v>1</v>
      </c>
      <c r="H5665" s="3"/>
    </row>
    <row r="5666" spans="1:8" hidden="1">
      <c r="A5666" s="3">
        <v>756561</v>
      </c>
      <c r="B5666" s="7" t="s">
        <v>166</v>
      </c>
      <c r="C5666" s="100" t="s">
        <v>32</v>
      </c>
      <c r="D5666" s="6">
        <v>45697</v>
      </c>
      <c r="E5666" s="3" t="str">
        <f ca="1">IF(Tabela2[[#This Row],[Dt Venc:]]&gt;TODAY(),"Em Aberto",IF(Tabela2[[#This Row],[D/venc]]="-","Enviado",IF(Tabela2[[#This Row],[Dt Venc:]]=TODAY(),"Vence Hoje","Vencida")))</f>
        <v>Em Aberto</v>
      </c>
      <c r="F5666" s="3" t="str">
        <f ca="1">IF(G5666=1,"-",Tabela2[[#This Row],[Dt Venc:]]-TODAY())</f>
        <v>-</v>
      </c>
      <c r="G5666" s="3">
        <v>1</v>
      </c>
      <c r="H5666" s="3"/>
    </row>
    <row r="5667" spans="1:8" hidden="1">
      <c r="A5667" s="3">
        <v>23554</v>
      </c>
      <c r="B5667" s="7" t="s">
        <v>632</v>
      </c>
      <c r="C5667" s="41">
        <v>1725</v>
      </c>
      <c r="D5667" s="6">
        <v>45698</v>
      </c>
      <c r="E5667" s="3" t="str">
        <f ca="1">IF(Tabela2[[#This Row],[Dt Venc:]]&gt;TODAY(),"Em Aberto",IF(Tabela2[[#This Row],[D/venc]]="-","Enviado",IF(Tabela2[[#This Row],[Dt Venc:]]=TODAY(),"Vence Hoje","Vencida")))</f>
        <v>Em Aberto</v>
      </c>
      <c r="F5667" s="3" t="str">
        <f ca="1">IF(G5667=1,"-",Tabela2[[#This Row],[Dt Venc:]]-TODAY())</f>
        <v>-</v>
      </c>
      <c r="G5667" s="3">
        <v>1</v>
      </c>
      <c r="H5667" s="3"/>
    </row>
    <row r="5668" spans="1:8" hidden="1">
      <c r="A5668" s="3">
        <v>30841</v>
      </c>
      <c r="B5668" s="7" t="s">
        <v>97</v>
      </c>
      <c r="C5668" s="41">
        <v>1507</v>
      </c>
      <c r="D5668" s="6">
        <v>45698</v>
      </c>
      <c r="E5668" s="3" t="str">
        <f ca="1">IF(Tabela2[[#This Row],[Dt Venc:]]&gt;TODAY(),"Em Aberto",IF(Tabela2[[#This Row],[D/venc]]="-","Enviado",IF(Tabela2[[#This Row],[Dt Venc:]]=TODAY(),"Vence Hoje","Vencida")))</f>
        <v>Em Aberto</v>
      </c>
      <c r="F5668" s="3" t="str">
        <f ca="1">IF(G5668=1,"-",Tabela2[[#This Row],[Dt Venc:]]-TODAY())</f>
        <v>-</v>
      </c>
      <c r="G5668" s="3">
        <v>1</v>
      </c>
      <c r="H5668" s="3"/>
    </row>
    <row r="5669" spans="1:8" hidden="1">
      <c r="A5669" s="3">
        <v>30920</v>
      </c>
      <c r="B5669" s="7" t="s">
        <v>97</v>
      </c>
      <c r="C5669" s="41">
        <v>1975</v>
      </c>
      <c r="D5669" s="6">
        <v>45698</v>
      </c>
      <c r="E5669" s="3" t="str">
        <f ca="1">IF(Tabela2[[#This Row],[Dt Venc:]]&gt;TODAY(),"Em Aberto",IF(Tabela2[[#This Row],[D/venc]]="-","Enviado",IF(Tabela2[[#This Row],[Dt Venc:]]=TODAY(),"Vence Hoje","Vencida")))</f>
        <v>Em Aberto</v>
      </c>
      <c r="F5669" s="3" t="str">
        <f ca="1">IF(G5669=1,"-",Tabela2[[#This Row],[Dt Venc:]]-TODAY())</f>
        <v>-</v>
      </c>
      <c r="G5669" s="3">
        <v>1</v>
      </c>
      <c r="H5669" s="3"/>
    </row>
    <row r="5670" spans="1:8" hidden="1">
      <c r="A5670" s="3">
        <v>31135</v>
      </c>
      <c r="B5670" s="7" t="s">
        <v>97</v>
      </c>
      <c r="C5670" s="41">
        <v>2055</v>
      </c>
      <c r="D5670" s="6">
        <v>45698</v>
      </c>
      <c r="E5670" s="3" t="str">
        <f ca="1">IF(Tabela2[[#This Row],[Dt Venc:]]&gt;TODAY(),"Em Aberto",IF(Tabela2[[#This Row],[D/venc]]="-","Enviado",IF(Tabela2[[#This Row],[Dt Venc:]]=TODAY(),"Vence Hoje","Vencida")))</f>
        <v>Em Aberto</v>
      </c>
      <c r="F5670" s="3" t="str">
        <f ca="1">IF(G5670=1,"-",Tabela2[[#This Row],[Dt Venc:]]-TODAY())</f>
        <v>-</v>
      </c>
      <c r="G5670" s="3">
        <v>1</v>
      </c>
      <c r="H5670" s="3"/>
    </row>
    <row r="5671" spans="1:8" hidden="1">
      <c r="A5671" s="3">
        <v>37157</v>
      </c>
      <c r="B5671" s="7" t="s">
        <v>70</v>
      </c>
      <c r="C5671" s="41">
        <v>3194.12</v>
      </c>
      <c r="D5671" s="6">
        <v>45698</v>
      </c>
      <c r="E5671" s="3" t="str">
        <f ca="1">IF(Tabela2[[#This Row],[Dt Venc:]]&gt;TODAY(),"Em Aberto",IF(Tabela2[[#This Row],[D/venc]]="-","Enviado",IF(Tabela2[[#This Row],[Dt Venc:]]=TODAY(),"Vence Hoje","Vencida")))</f>
        <v>Em Aberto</v>
      </c>
      <c r="F5671" s="3" t="str">
        <f ca="1">IF(G5671=1,"-",Tabela2[[#This Row],[Dt Venc:]]-TODAY())</f>
        <v>-</v>
      </c>
      <c r="G5671" s="3">
        <v>1</v>
      </c>
      <c r="H5671" s="3"/>
    </row>
    <row r="5672" spans="1:8" hidden="1">
      <c r="A5672" s="3">
        <v>37265</v>
      </c>
      <c r="B5672" s="7" t="s">
        <v>70</v>
      </c>
      <c r="C5672" s="41">
        <v>402.45</v>
      </c>
      <c r="D5672" s="6">
        <v>45698</v>
      </c>
      <c r="E5672" s="3" t="str">
        <f ca="1">IF(Tabela2[[#This Row],[Dt Venc:]]&gt;TODAY(),"Em Aberto",IF(Tabela2[[#This Row],[D/venc]]="-","Enviado",IF(Tabela2[[#This Row],[Dt Venc:]]=TODAY(),"Vence Hoje","Vencida")))</f>
        <v>Em Aberto</v>
      </c>
      <c r="F5672" s="3" t="str">
        <f ca="1">IF(G5672=1,"-",Tabela2[[#This Row],[Dt Venc:]]-TODAY())</f>
        <v>-</v>
      </c>
      <c r="G5672" s="3">
        <v>1</v>
      </c>
      <c r="H5672" s="3"/>
    </row>
    <row r="5673" spans="1:8" hidden="1">
      <c r="A5673" s="3">
        <v>43626</v>
      </c>
      <c r="B5673" s="7" t="s">
        <v>529</v>
      </c>
      <c r="C5673" s="41">
        <v>1424.33</v>
      </c>
      <c r="D5673" s="6">
        <v>45698</v>
      </c>
      <c r="E5673" s="3" t="str">
        <f ca="1">IF(Tabela2[[#This Row],[Dt Venc:]]&gt;TODAY(),"Em Aberto",IF(Tabela2[[#This Row],[D/venc]]="-","Enviado",IF(Tabela2[[#This Row],[Dt Venc:]]=TODAY(),"Vence Hoje","Vencida")))</f>
        <v>Em Aberto</v>
      </c>
      <c r="F5673" s="3" t="str">
        <f ca="1">IF(G5673=1,"-",Tabela2[[#This Row],[Dt Venc:]]-TODAY())</f>
        <v>-</v>
      </c>
      <c r="G5673" s="3">
        <v>1</v>
      </c>
      <c r="H5673" s="3"/>
    </row>
    <row r="5674" spans="1:8" hidden="1">
      <c r="A5674" s="3">
        <v>54125</v>
      </c>
      <c r="B5674" s="7" t="s">
        <v>575</v>
      </c>
      <c r="C5674" s="41">
        <v>145.52000000000001</v>
      </c>
      <c r="D5674" s="6">
        <v>45698</v>
      </c>
      <c r="E5674" s="3" t="str">
        <f ca="1">IF(Tabela2[[#This Row],[Dt Venc:]]&gt;TODAY(),"Em Aberto",IF(Tabela2[[#This Row],[D/venc]]="-","Enviado",IF(Tabela2[[#This Row],[Dt Venc:]]=TODAY(),"Vence Hoje","Vencida")))</f>
        <v>Em Aberto</v>
      </c>
      <c r="F5674" s="3" t="str">
        <f ca="1">IF(G5674=1,"-",Tabela2[[#This Row],[Dt Venc:]]-TODAY())</f>
        <v>-</v>
      </c>
      <c r="G5674" s="3">
        <v>1</v>
      </c>
      <c r="H5674" s="3"/>
    </row>
    <row r="5675" spans="1:8" hidden="1">
      <c r="A5675" s="3">
        <v>54382</v>
      </c>
      <c r="B5675" s="7" t="s">
        <v>622</v>
      </c>
      <c r="C5675" s="41">
        <v>720.24</v>
      </c>
      <c r="D5675" s="6">
        <v>45698</v>
      </c>
      <c r="E5675" s="3" t="str">
        <f ca="1">IF(Tabela2[[#This Row],[Dt Venc:]]&gt;TODAY(),"Em Aberto",IF(Tabela2[[#This Row],[D/venc]]="-","Enviado",IF(Tabela2[[#This Row],[Dt Venc:]]=TODAY(),"Vence Hoje","Vencida")))</f>
        <v>Em Aberto</v>
      </c>
      <c r="F5675" s="3" t="str">
        <f ca="1">IF(G5675=1,"-",Tabela2[[#This Row],[Dt Venc:]]-TODAY())</f>
        <v>-</v>
      </c>
      <c r="G5675" s="3">
        <v>1</v>
      </c>
      <c r="H5675" s="3"/>
    </row>
    <row r="5676" spans="1:8" hidden="1">
      <c r="A5676" s="3">
        <v>54383</v>
      </c>
      <c r="B5676" s="7" t="s">
        <v>622</v>
      </c>
      <c r="C5676" s="41">
        <v>574.5</v>
      </c>
      <c r="D5676" s="6">
        <v>45698</v>
      </c>
      <c r="E5676" s="3" t="str">
        <f ca="1">IF(Tabela2[[#This Row],[Dt Venc:]]&gt;TODAY(),"Em Aberto",IF(Tabela2[[#This Row],[D/venc]]="-","Enviado",IF(Tabela2[[#This Row],[Dt Venc:]]=TODAY(),"Vence Hoje","Vencida")))</f>
        <v>Em Aberto</v>
      </c>
      <c r="F5676" s="3" t="str">
        <f ca="1">IF(G5676=1,"-",Tabela2[[#This Row],[Dt Venc:]]-TODAY())</f>
        <v>-</v>
      </c>
      <c r="G5676" s="3">
        <v>1</v>
      </c>
      <c r="H5676" s="3"/>
    </row>
    <row r="5677" spans="1:8" hidden="1">
      <c r="A5677" s="3">
        <v>64298</v>
      </c>
      <c r="B5677" s="7" t="s">
        <v>435</v>
      </c>
      <c r="C5677" s="41">
        <v>666</v>
      </c>
      <c r="D5677" s="6">
        <v>45698</v>
      </c>
      <c r="E5677" s="3" t="str">
        <f ca="1">IF(Tabela2[[#This Row],[Dt Venc:]]&gt;TODAY(),"Em Aberto",IF(Tabela2[[#This Row],[D/venc]]="-","Enviado",IF(Tabela2[[#This Row],[Dt Venc:]]=TODAY(),"Vence Hoje","Vencida")))</f>
        <v>Em Aberto</v>
      </c>
      <c r="F5677" s="3" t="str">
        <f ca="1">IF(G5677=1,"-",Tabela2[[#This Row],[Dt Venc:]]-TODAY())</f>
        <v>-</v>
      </c>
      <c r="G5677" s="3">
        <v>1</v>
      </c>
      <c r="H5677" s="3"/>
    </row>
    <row r="5678" spans="1:8" hidden="1">
      <c r="A5678" s="3">
        <v>69902</v>
      </c>
      <c r="B5678" s="7" t="s">
        <v>143</v>
      </c>
      <c r="C5678" s="41">
        <v>559</v>
      </c>
      <c r="D5678" s="6">
        <v>45698</v>
      </c>
      <c r="E5678" s="3" t="str">
        <f ca="1">IF(Tabela2[[#This Row],[Dt Venc:]]&gt;TODAY(),"Em Aberto",IF(Tabela2[[#This Row],[D/venc]]="-","Enviado",IF(Tabela2[[#This Row],[Dt Venc:]]=TODAY(),"Vence Hoje","Vencida")))</f>
        <v>Em Aberto</v>
      </c>
      <c r="F5678" s="3" t="str">
        <f ca="1">IF(G5678=1,"-",Tabela2[[#This Row],[Dt Venc:]]-TODAY())</f>
        <v>-</v>
      </c>
      <c r="G5678" s="3">
        <v>1</v>
      </c>
      <c r="H5678" s="3"/>
    </row>
    <row r="5679" spans="1:8" hidden="1">
      <c r="A5679" s="3">
        <v>72091</v>
      </c>
      <c r="B5679" s="7" t="s">
        <v>66</v>
      </c>
      <c r="C5679" s="41">
        <v>687.72</v>
      </c>
      <c r="D5679" s="6">
        <v>45698</v>
      </c>
      <c r="E5679" s="3" t="str">
        <f ca="1">IF(Tabela2[[#This Row],[Dt Venc:]]&gt;TODAY(),"Em Aberto",IF(Tabela2[[#This Row],[D/venc]]="-","Enviado",IF(Tabela2[[#This Row],[Dt Venc:]]=TODAY(),"Vence Hoje","Vencida")))</f>
        <v>Em Aberto</v>
      </c>
      <c r="F5679" s="3" t="str">
        <f ca="1">IF(G5679=1,"-",Tabela2[[#This Row],[Dt Venc:]]-TODAY())</f>
        <v>-</v>
      </c>
      <c r="G5679" s="3">
        <v>1</v>
      </c>
      <c r="H5679" s="3"/>
    </row>
    <row r="5680" spans="1:8" hidden="1">
      <c r="A5680" s="3">
        <v>73103</v>
      </c>
      <c r="B5680" s="7" t="s">
        <v>76</v>
      </c>
      <c r="C5680" s="41">
        <v>1535.47</v>
      </c>
      <c r="D5680" s="6">
        <v>45698</v>
      </c>
      <c r="E5680" s="3" t="str">
        <f ca="1">IF(Tabela2[[#This Row],[Dt Venc:]]&gt;TODAY(),"Em Aberto",IF(Tabela2[[#This Row],[D/venc]]="-","Enviado",IF(Tabela2[[#This Row],[Dt Venc:]]=TODAY(),"Vence Hoje","Vencida")))</f>
        <v>Em Aberto</v>
      </c>
      <c r="F5680" s="3" t="str">
        <f ca="1">IF(G5680=1,"-",Tabela2[[#This Row],[Dt Venc:]]-TODAY())</f>
        <v>-</v>
      </c>
      <c r="G5680" s="3">
        <v>1</v>
      </c>
      <c r="H5680" s="3"/>
    </row>
    <row r="5681" spans="1:8" hidden="1">
      <c r="A5681" s="3">
        <v>74095</v>
      </c>
      <c r="B5681" s="7" t="s">
        <v>76</v>
      </c>
      <c r="C5681" s="41">
        <v>1369.97</v>
      </c>
      <c r="D5681" s="6">
        <v>45698</v>
      </c>
      <c r="E5681" s="3" t="str">
        <f ca="1">IF(Tabela2[[#This Row],[Dt Venc:]]&gt;TODAY(),"Em Aberto",IF(Tabela2[[#This Row],[D/venc]]="-","Enviado",IF(Tabela2[[#This Row],[Dt Venc:]]=TODAY(),"Vence Hoje","Vencida")))</f>
        <v>Em Aberto</v>
      </c>
      <c r="F5681" s="3" t="str">
        <f ca="1">IF(G5681=1,"-",Tabela2[[#This Row],[Dt Venc:]]-TODAY())</f>
        <v>-</v>
      </c>
      <c r="G5681" s="3">
        <v>1</v>
      </c>
      <c r="H5681" s="3"/>
    </row>
    <row r="5682" spans="1:8" hidden="1">
      <c r="A5682" s="3">
        <v>74890</v>
      </c>
      <c r="B5682" s="7" t="s">
        <v>76</v>
      </c>
      <c r="C5682" s="41">
        <v>75.150000000000006</v>
      </c>
      <c r="D5682" s="6">
        <v>45698</v>
      </c>
      <c r="E5682" s="3" t="str">
        <f ca="1">IF(Tabela2[[#This Row],[Dt Venc:]]&gt;TODAY(),"Em Aberto",IF(Tabela2[[#This Row],[D/venc]]="-","Enviado",IF(Tabela2[[#This Row],[Dt Venc:]]=TODAY(),"Vence Hoje","Vencida")))</f>
        <v>Em Aberto</v>
      </c>
      <c r="F5682" s="3" t="str">
        <f ca="1">IF(G5682=1,"-",Tabela2[[#This Row],[Dt Venc:]]-TODAY())</f>
        <v>-</v>
      </c>
      <c r="G5682" s="3">
        <v>1</v>
      </c>
      <c r="H5682" s="3"/>
    </row>
    <row r="5683" spans="1:8" hidden="1">
      <c r="A5683" s="3">
        <v>74969</v>
      </c>
      <c r="B5683" s="7" t="s">
        <v>76</v>
      </c>
      <c r="C5683" s="41">
        <v>64.739999999999995</v>
      </c>
      <c r="D5683" s="6">
        <v>45698</v>
      </c>
      <c r="E5683" s="3" t="str">
        <f ca="1">IF(Tabela2[[#This Row],[Dt Venc:]]&gt;TODAY(),"Em Aberto",IF(Tabela2[[#This Row],[D/venc]]="-","Enviado",IF(Tabela2[[#This Row],[Dt Venc:]]=TODAY(),"Vence Hoje","Vencida")))</f>
        <v>Em Aberto</v>
      </c>
      <c r="F5683" s="3" t="str">
        <f ca="1">IF(G5683=1,"-",Tabela2[[#This Row],[Dt Venc:]]-TODAY())</f>
        <v>-</v>
      </c>
      <c r="G5683" s="3">
        <v>1</v>
      </c>
      <c r="H5683" s="3"/>
    </row>
    <row r="5684" spans="1:8" hidden="1">
      <c r="A5684" s="3">
        <v>92000</v>
      </c>
      <c r="B5684" s="7" t="s">
        <v>533</v>
      </c>
      <c r="C5684" s="41">
        <v>1000</v>
      </c>
      <c r="D5684" s="6">
        <v>45698</v>
      </c>
      <c r="E5684" s="3" t="str">
        <f ca="1">IF(Tabela2[[#This Row],[Dt Venc:]]&gt;TODAY(),"Em Aberto",IF(Tabela2[[#This Row],[D/venc]]="-","Enviado",IF(Tabela2[[#This Row],[Dt Venc:]]=TODAY(),"Vence Hoje","Vencida")))</f>
        <v>Em Aberto</v>
      </c>
      <c r="F5684" s="3" t="str">
        <f ca="1">IF(G5684=1,"-",Tabela2[[#This Row],[Dt Venc:]]-TODAY())</f>
        <v>-</v>
      </c>
      <c r="G5684" s="3">
        <v>1</v>
      </c>
      <c r="H5684" s="3"/>
    </row>
    <row r="5685" spans="1:8" hidden="1">
      <c r="A5685" s="3">
        <v>147748</v>
      </c>
      <c r="B5685" s="7" t="s">
        <v>127</v>
      </c>
      <c r="C5685" s="41">
        <v>802.67</v>
      </c>
      <c r="D5685" s="6">
        <v>45698</v>
      </c>
      <c r="E5685" s="3" t="str">
        <f ca="1">IF(Tabela2[[#This Row],[Dt Venc:]]&gt;TODAY(),"Em Aberto",IF(Tabela2[[#This Row],[D/venc]]="-","Enviado",IF(Tabela2[[#This Row],[Dt Venc:]]=TODAY(),"Vence Hoje","Vencida")))</f>
        <v>Em Aberto</v>
      </c>
      <c r="F5685" s="3" t="str">
        <f ca="1">IF(G5685=1,"-",Tabela2[[#This Row],[Dt Venc:]]-TODAY())</f>
        <v>-</v>
      </c>
      <c r="G5685" s="3">
        <v>1</v>
      </c>
      <c r="H5685" s="3"/>
    </row>
    <row r="5686" spans="1:8" hidden="1">
      <c r="A5686" s="3">
        <v>147751</v>
      </c>
      <c r="B5686" s="7" t="s">
        <v>127</v>
      </c>
      <c r="C5686" s="41">
        <v>802.67</v>
      </c>
      <c r="D5686" s="6">
        <v>45698</v>
      </c>
      <c r="E5686" s="3" t="str">
        <f ca="1">IF(Tabela2[[#This Row],[Dt Venc:]]&gt;TODAY(),"Em Aberto",IF(Tabela2[[#This Row],[D/venc]]="-","Enviado",IF(Tabela2[[#This Row],[Dt Venc:]]=TODAY(),"Vence Hoje","Vencida")))</f>
        <v>Em Aberto</v>
      </c>
      <c r="F5686" s="3" t="str">
        <f ca="1">IF(G5686=1,"-",Tabela2[[#This Row],[Dt Venc:]]-TODAY())</f>
        <v>-</v>
      </c>
      <c r="G5686" s="3">
        <v>1</v>
      </c>
      <c r="H5686" s="3"/>
    </row>
    <row r="5687" spans="1:8" hidden="1">
      <c r="A5687" s="3">
        <v>179633</v>
      </c>
      <c r="B5687" s="7" t="s">
        <v>211</v>
      </c>
      <c r="C5687" s="41">
        <v>905</v>
      </c>
      <c r="D5687" s="6">
        <v>45698</v>
      </c>
      <c r="E5687" s="3" t="str">
        <f ca="1">IF(Tabela2[[#This Row],[Dt Venc:]]&gt;TODAY(),"Em Aberto",IF(Tabela2[[#This Row],[D/venc]]="-","Enviado",IF(Tabela2[[#This Row],[Dt Venc:]]=TODAY(),"Vence Hoje","Vencida")))</f>
        <v>Em Aberto</v>
      </c>
      <c r="F5687" s="3" t="str">
        <f ca="1">IF(G5687=1,"-",Tabela2[[#This Row],[Dt Venc:]]-TODAY())</f>
        <v>-</v>
      </c>
      <c r="G5687" s="3">
        <v>1</v>
      </c>
      <c r="H5687" s="3"/>
    </row>
    <row r="5688" spans="1:8" hidden="1">
      <c r="A5688" s="3">
        <v>182645</v>
      </c>
      <c r="B5688" s="7" t="s">
        <v>84</v>
      </c>
      <c r="C5688" s="41">
        <v>832.74</v>
      </c>
      <c r="D5688" s="6">
        <v>45698</v>
      </c>
      <c r="E5688" s="3" t="str">
        <f ca="1">IF(Tabela2[[#This Row],[Dt Venc:]]&gt;TODAY(),"Em Aberto",IF(Tabela2[[#This Row],[D/venc]]="-","Enviado",IF(Tabela2[[#This Row],[Dt Venc:]]=TODAY(),"Vence Hoje","Vencida")))</f>
        <v>Em Aberto</v>
      </c>
      <c r="F5688" s="3" t="str">
        <f ca="1">IF(G5688=1,"-",Tabela2[[#This Row],[Dt Venc:]]-TODAY())</f>
        <v>-</v>
      </c>
      <c r="G5688" s="3">
        <v>1</v>
      </c>
      <c r="H5688" s="3"/>
    </row>
    <row r="5689" spans="1:8" hidden="1">
      <c r="A5689" s="3">
        <v>184963</v>
      </c>
      <c r="B5689" s="7" t="s">
        <v>42</v>
      </c>
      <c r="C5689" s="41">
        <v>866.66</v>
      </c>
      <c r="D5689" s="6">
        <v>45698</v>
      </c>
      <c r="E5689" s="3" t="str">
        <f ca="1">IF(Tabela2[[#This Row],[Dt Venc:]]&gt;TODAY(),"Em Aberto",IF(Tabela2[[#This Row],[D/venc]]="-","Enviado",IF(Tabela2[[#This Row],[Dt Venc:]]=TODAY(),"Vence Hoje","Vencida")))</f>
        <v>Em Aberto</v>
      </c>
      <c r="F5689" s="3" t="str">
        <f ca="1">IF(G5689=1,"-",Tabela2[[#This Row],[Dt Venc:]]-TODAY())</f>
        <v>-</v>
      </c>
      <c r="G5689" s="3">
        <v>1</v>
      </c>
      <c r="H5689" s="3"/>
    </row>
    <row r="5690" spans="1:8" hidden="1">
      <c r="A5690" s="3">
        <v>212123</v>
      </c>
      <c r="B5690" s="7" t="s">
        <v>329</v>
      </c>
      <c r="C5690" s="41">
        <v>7980</v>
      </c>
      <c r="D5690" s="6">
        <v>45698</v>
      </c>
      <c r="E5690" s="3" t="str">
        <f ca="1">IF(Tabela2[[#This Row],[Dt Venc:]]&gt;TODAY(),"Em Aberto",IF(Tabela2[[#This Row],[D/venc]]="-","Enviado",IF(Tabela2[[#This Row],[Dt Venc:]]=TODAY(),"Vence Hoje","Vencida")))</f>
        <v>Em Aberto</v>
      </c>
      <c r="F5690" s="3" t="str">
        <f ca="1">IF(G5690=1,"-",Tabela2[[#This Row],[Dt Venc:]]-TODAY())</f>
        <v>-</v>
      </c>
      <c r="G5690" s="3">
        <v>1</v>
      </c>
      <c r="H5690" s="3"/>
    </row>
    <row r="5691" spans="1:8" hidden="1">
      <c r="A5691" s="3">
        <v>221405</v>
      </c>
      <c r="B5691" s="7" t="s">
        <v>80</v>
      </c>
      <c r="C5691" s="42">
        <v>35775</v>
      </c>
      <c r="D5691" s="6">
        <v>45698</v>
      </c>
      <c r="E5691" s="3" t="str">
        <f ca="1">IF(Tabela2[[#This Row],[Dt Venc:]]&gt;TODAY(),"Em Aberto",IF(Tabela2[[#This Row],[D/venc]]="-","Enviado",IF(Tabela2[[#This Row],[Dt Venc:]]=TODAY(),"Vence Hoje","Vencida")))</f>
        <v>Em Aberto</v>
      </c>
      <c r="F5691" s="3" t="str">
        <f ca="1">IF(G5691=1,"-",Tabela2[[#This Row],[Dt Venc:]]-TODAY())</f>
        <v>-</v>
      </c>
      <c r="G5691" s="3">
        <v>1</v>
      </c>
      <c r="H5691" s="3"/>
    </row>
    <row r="5692" spans="1:8" hidden="1">
      <c r="A5692" s="3">
        <v>241758</v>
      </c>
      <c r="B5692" s="7" t="s">
        <v>509</v>
      </c>
      <c r="C5692" s="41">
        <v>990</v>
      </c>
      <c r="D5692" s="6">
        <v>45698</v>
      </c>
      <c r="E5692" s="3" t="str">
        <f ca="1">IF(Tabela2[[#This Row],[Dt Venc:]]&gt;TODAY(),"Em Aberto",IF(Tabela2[[#This Row],[D/venc]]="-","Enviado",IF(Tabela2[[#This Row],[Dt Venc:]]=TODAY(),"Vence Hoje","Vencida")))</f>
        <v>Em Aberto</v>
      </c>
      <c r="F5692" s="3" t="str">
        <f ca="1">IF(G5692=1,"-",Tabela2[[#This Row],[Dt Venc:]]-TODAY())</f>
        <v>-</v>
      </c>
      <c r="G5692" s="3">
        <v>1</v>
      </c>
      <c r="H5692" s="3"/>
    </row>
    <row r="5693" spans="1:8" hidden="1">
      <c r="A5693" s="3">
        <v>248756</v>
      </c>
      <c r="B5693" s="7" t="s">
        <v>43</v>
      </c>
      <c r="C5693" s="41">
        <v>2091.5300000000002</v>
      </c>
      <c r="D5693" s="6">
        <v>45698</v>
      </c>
      <c r="E5693" s="3" t="str">
        <f ca="1">IF(Tabela2[[#This Row],[Dt Venc:]]&gt;TODAY(),"Em Aberto",IF(Tabela2[[#This Row],[D/venc]]="-","Enviado",IF(Tabela2[[#This Row],[Dt Venc:]]=TODAY(),"Vence Hoje","Vencida")))</f>
        <v>Em Aberto</v>
      </c>
      <c r="F5693" s="3" t="str">
        <f ca="1">IF(G5693=1,"-",Tabela2[[#This Row],[Dt Venc:]]-TODAY())</f>
        <v>-</v>
      </c>
      <c r="G5693" s="3">
        <v>1</v>
      </c>
      <c r="H5693" s="3"/>
    </row>
    <row r="5694" spans="1:8" hidden="1">
      <c r="A5694" s="3">
        <v>254590</v>
      </c>
      <c r="B5694" s="7" t="s">
        <v>43</v>
      </c>
      <c r="C5694" s="41">
        <v>1395.4</v>
      </c>
      <c r="D5694" s="6">
        <v>45698</v>
      </c>
      <c r="E5694" s="3" t="str">
        <f ca="1">IF(Tabela2[[#This Row],[Dt Venc:]]&gt;TODAY(),"Em Aberto",IF(Tabela2[[#This Row],[D/venc]]="-","Enviado",IF(Tabela2[[#This Row],[Dt Venc:]]=TODAY(),"Vence Hoje","Vencida")))</f>
        <v>Em Aberto</v>
      </c>
      <c r="F5694" s="3" t="str">
        <f ca="1">IF(G5694=1,"-",Tabela2[[#This Row],[Dt Venc:]]-TODAY())</f>
        <v>-</v>
      </c>
      <c r="G5694" s="3">
        <v>1</v>
      </c>
      <c r="H5694" s="3"/>
    </row>
    <row r="5695" spans="1:8" hidden="1">
      <c r="A5695" s="3">
        <v>259212</v>
      </c>
      <c r="B5695" s="7" t="s">
        <v>49</v>
      </c>
      <c r="C5695" s="41">
        <v>1716.66</v>
      </c>
      <c r="D5695" s="6">
        <v>45698</v>
      </c>
      <c r="E5695" s="3" t="str">
        <f ca="1">IF(Tabela2[[#This Row],[Dt Venc:]]&gt;TODAY(),"Em Aberto",IF(Tabela2[[#This Row],[D/venc]]="-","Enviado",IF(Tabela2[[#This Row],[Dt Venc:]]=TODAY(),"Vence Hoje","Vencida")))</f>
        <v>Em Aberto</v>
      </c>
      <c r="F5695" s="3" t="str">
        <f ca="1">IF(G5695=1,"-",Tabela2[[#This Row],[Dt Venc:]]-TODAY())</f>
        <v>-</v>
      </c>
      <c r="G5695" s="3">
        <v>1</v>
      </c>
      <c r="H5695" s="3"/>
    </row>
    <row r="5696" spans="1:8" hidden="1">
      <c r="A5696" s="3">
        <v>259220</v>
      </c>
      <c r="B5696" s="7" t="s">
        <v>49</v>
      </c>
      <c r="C5696" s="41">
        <v>686.66</v>
      </c>
      <c r="D5696" s="6">
        <v>45698</v>
      </c>
      <c r="E5696" s="3" t="str">
        <f ca="1">IF(Tabela2[[#This Row],[Dt Venc:]]&gt;TODAY(),"Em Aberto",IF(Tabela2[[#This Row],[D/venc]]="-","Enviado",IF(Tabela2[[#This Row],[Dt Venc:]]=TODAY(),"Vence Hoje","Vencida")))</f>
        <v>Em Aberto</v>
      </c>
      <c r="F5696" s="3" t="str">
        <f ca="1">IF(G5696=1,"-",Tabela2[[#This Row],[Dt Venc:]]-TODAY())</f>
        <v>-</v>
      </c>
      <c r="G5696" s="3">
        <v>1</v>
      </c>
      <c r="H5696" s="3"/>
    </row>
    <row r="5697" spans="1:8" hidden="1">
      <c r="A5697" s="3">
        <v>277521</v>
      </c>
      <c r="B5697" s="7" t="s">
        <v>43</v>
      </c>
      <c r="C5697" s="41">
        <v>1600.64</v>
      </c>
      <c r="D5697" s="6">
        <v>45698</v>
      </c>
      <c r="E5697" s="3" t="str">
        <f ca="1">IF(Tabela2[[#This Row],[Dt Venc:]]&gt;TODAY(),"Em Aberto",IF(Tabela2[[#This Row],[D/venc]]="-","Enviado",IF(Tabela2[[#This Row],[Dt Venc:]]=TODAY(),"Vence Hoje","Vencida")))</f>
        <v>Em Aberto</v>
      </c>
      <c r="F5697" s="3" t="str">
        <f ca="1">IF(G5697=1,"-",Tabela2[[#This Row],[Dt Venc:]]-TODAY())</f>
        <v>-</v>
      </c>
      <c r="G5697" s="3">
        <v>1</v>
      </c>
      <c r="H5697" s="3"/>
    </row>
    <row r="5698" spans="1:8" hidden="1">
      <c r="A5698" s="3">
        <v>305226</v>
      </c>
      <c r="B5698" s="7" t="s">
        <v>628</v>
      </c>
      <c r="C5698" s="41">
        <v>3996.26</v>
      </c>
      <c r="D5698" s="6">
        <v>45698</v>
      </c>
      <c r="E5698" s="3" t="str">
        <f ca="1">IF(Tabela2[[#This Row],[Dt Venc:]]&gt;TODAY(),"Em Aberto",IF(Tabela2[[#This Row],[D/venc]]="-","Enviado",IF(Tabela2[[#This Row],[Dt Venc:]]=TODAY(),"Vence Hoje","Vencida")))</f>
        <v>Em Aberto</v>
      </c>
      <c r="F5698" s="3" t="str">
        <f ca="1">IF(G5698=1,"-",Tabela2[[#This Row],[Dt Venc:]]-TODAY())</f>
        <v>-</v>
      </c>
      <c r="G5698" s="3">
        <v>1</v>
      </c>
      <c r="H5698" s="3"/>
    </row>
    <row r="5699" spans="1:8" hidden="1">
      <c r="A5699" s="3">
        <v>306167</v>
      </c>
      <c r="B5699" s="7" t="s">
        <v>506</v>
      </c>
      <c r="C5699" s="41">
        <v>672.16</v>
      </c>
      <c r="D5699" s="6">
        <v>45698</v>
      </c>
      <c r="E5699" s="3" t="str">
        <f ca="1">IF(Tabela2[[#This Row],[Dt Venc:]]&gt;TODAY(),"Em Aberto",IF(Tabela2[[#This Row],[D/venc]]="-","Enviado",IF(Tabela2[[#This Row],[Dt Venc:]]=TODAY(),"Vence Hoje","Vencida")))</f>
        <v>Em Aberto</v>
      </c>
      <c r="F5699" s="3" t="str">
        <f ca="1">IF(G5699=1,"-",Tabela2[[#This Row],[Dt Venc:]]-TODAY())</f>
        <v>-</v>
      </c>
      <c r="G5699" s="3">
        <v>1</v>
      </c>
      <c r="H5699" s="3"/>
    </row>
    <row r="5700" spans="1:8" hidden="1">
      <c r="A5700" s="3">
        <v>325936</v>
      </c>
      <c r="B5700" s="7" t="s">
        <v>202</v>
      </c>
      <c r="C5700" s="41">
        <v>90</v>
      </c>
      <c r="D5700" s="6">
        <v>45698</v>
      </c>
      <c r="E5700" s="3" t="str">
        <f ca="1">IF(Tabela2[[#This Row],[Dt Venc:]]&gt;TODAY(),"Em Aberto",IF(Tabela2[[#This Row],[D/venc]]="-","Enviado",IF(Tabela2[[#This Row],[Dt Venc:]]=TODAY(),"Vence Hoje","Vencida")))</f>
        <v>Em Aberto</v>
      </c>
      <c r="F5700" s="3" t="str">
        <f ca="1">IF(G5700=1,"-",Tabela2[[#This Row],[Dt Venc:]]-TODAY())</f>
        <v>-</v>
      </c>
      <c r="G5700" s="3">
        <v>1</v>
      </c>
      <c r="H5700" s="3"/>
    </row>
    <row r="5701" spans="1:8" hidden="1">
      <c r="A5701" s="3">
        <v>374653</v>
      </c>
      <c r="B5701" s="7" t="s">
        <v>39</v>
      </c>
      <c r="C5701" s="41">
        <v>697.58</v>
      </c>
      <c r="D5701" s="6">
        <v>45698</v>
      </c>
      <c r="E5701" s="3" t="str">
        <f ca="1">IF(Tabela2[[#This Row],[Dt Venc:]]&gt;TODAY(),"Em Aberto",IF(Tabela2[[#This Row],[D/venc]]="-","Enviado",IF(Tabela2[[#This Row],[Dt Venc:]]=TODAY(),"Vence Hoje","Vencida")))</f>
        <v>Em Aberto</v>
      </c>
      <c r="F5701" s="3" t="str">
        <f ca="1">IF(G5701=1,"-",Tabela2[[#This Row],[Dt Venc:]]-TODAY())</f>
        <v>-</v>
      </c>
      <c r="G5701" s="3">
        <v>1</v>
      </c>
      <c r="H5701" s="3"/>
    </row>
    <row r="5702" spans="1:8" hidden="1">
      <c r="A5702" s="3">
        <v>374665</v>
      </c>
      <c r="B5702" s="7" t="s">
        <v>39</v>
      </c>
      <c r="C5702" s="41">
        <v>463.5</v>
      </c>
      <c r="D5702" s="6">
        <v>45698</v>
      </c>
      <c r="E5702" s="3" t="str">
        <f ca="1">IF(Tabela2[[#This Row],[Dt Venc:]]&gt;TODAY(),"Em Aberto",IF(Tabela2[[#This Row],[D/venc]]="-","Enviado",IF(Tabela2[[#This Row],[Dt Venc:]]=TODAY(),"Vence Hoje","Vencida")))</f>
        <v>Em Aberto</v>
      </c>
      <c r="F5702" s="3" t="str">
        <f ca="1">IF(G5702=1,"-",Tabela2[[#This Row],[Dt Venc:]]-TODAY())</f>
        <v>-</v>
      </c>
      <c r="G5702" s="3">
        <v>1</v>
      </c>
      <c r="H5702" s="3"/>
    </row>
    <row r="5703" spans="1:8" hidden="1">
      <c r="A5703" s="3">
        <v>374783</v>
      </c>
      <c r="B5703" s="7" t="s">
        <v>39</v>
      </c>
      <c r="C5703" s="41">
        <v>503.44</v>
      </c>
      <c r="D5703" s="6">
        <v>45698</v>
      </c>
      <c r="E5703" s="3" t="str">
        <f ca="1">IF(Tabela2[[#This Row],[Dt Venc:]]&gt;TODAY(),"Em Aberto",IF(Tabela2[[#This Row],[D/venc]]="-","Enviado",IF(Tabela2[[#This Row],[Dt Venc:]]=TODAY(),"Vence Hoje","Vencida")))</f>
        <v>Em Aberto</v>
      </c>
      <c r="F5703" s="3" t="str">
        <f ca="1">IF(G5703=1,"-",Tabela2[[#This Row],[Dt Venc:]]-TODAY())</f>
        <v>-</v>
      </c>
      <c r="G5703" s="3">
        <v>1</v>
      </c>
      <c r="H5703" s="3"/>
    </row>
    <row r="5704" spans="1:8" hidden="1">
      <c r="A5704" s="3">
        <v>376384</v>
      </c>
      <c r="B5704" s="7" t="s">
        <v>39</v>
      </c>
      <c r="C5704" s="41">
        <v>1114.95</v>
      </c>
      <c r="D5704" s="6">
        <v>45698</v>
      </c>
      <c r="E5704" s="3" t="str">
        <f ca="1">IF(Tabela2[[#This Row],[Dt Venc:]]&gt;TODAY(),"Em Aberto",IF(Tabela2[[#This Row],[D/venc]]="-","Enviado",IF(Tabela2[[#This Row],[Dt Venc:]]=TODAY(),"Vence Hoje","Vencida")))</f>
        <v>Em Aberto</v>
      </c>
      <c r="F5704" s="3" t="str">
        <f ca="1">IF(G5704=1,"-",Tabela2[[#This Row],[Dt Venc:]]-TODAY())</f>
        <v>-</v>
      </c>
      <c r="G5704" s="3">
        <v>1</v>
      </c>
      <c r="H5704" s="3"/>
    </row>
    <row r="5705" spans="1:8" hidden="1">
      <c r="A5705" s="3">
        <v>389643</v>
      </c>
      <c r="B5705" s="7" t="s">
        <v>202</v>
      </c>
      <c r="C5705" s="41">
        <v>30</v>
      </c>
      <c r="D5705" s="6">
        <v>45698</v>
      </c>
      <c r="E5705" s="3" t="str">
        <f ca="1">IF(Tabela2[[#This Row],[Dt Venc:]]&gt;TODAY(),"Em Aberto",IF(Tabela2[[#This Row],[D/venc]]="-","Enviado",IF(Tabela2[[#This Row],[Dt Venc:]]=TODAY(),"Vence Hoje","Vencida")))</f>
        <v>Em Aberto</v>
      </c>
      <c r="F5705" s="3" t="str">
        <f ca="1">IF(G5705=1,"-",Tabela2[[#This Row],[Dt Venc:]]-TODAY())</f>
        <v>-</v>
      </c>
      <c r="G5705" s="3">
        <v>1</v>
      </c>
      <c r="H5705" s="3"/>
    </row>
    <row r="5706" spans="1:8" hidden="1">
      <c r="A5706" s="3">
        <v>400625</v>
      </c>
      <c r="B5706" s="7" t="s">
        <v>596</v>
      </c>
      <c r="C5706" s="41">
        <v>1870</v>
      </c>
      <c r="D5706" s="6">
        <v>45698</v>
      </c>
      <c r="E5706" s="3" t="str">
        <f ca="1">IF(Tabela2[[#This Row],[Dt Venc:]]&gt;TODAY(),"Em Aberto",IF(Tabela2[[#This Row],[D/venc]]="-","Enviado",IF(Tabela2[[#This Row],[Dt Venc:]]=TODAY(),"Vence Hoje","Vencida")))</f>
        <v>Em Aberto</v>
      </c>
      <c r="F5706" s="3" t="str">
        <f ca="1">IF(G5706=1,"-",Tabela2[[#This Row],[Dt Venc:]]-TODAY())</f>
        <v>-</v>
      </c>
      <c r="G5706" s="3">
        <v>1</v>
      </c>
      <c r="H5706" s="3"/>
    </row>
    <row r="5707" spans="1:8" hidden="1">
      <c r="A5707" s="3">
        <v>415787</v>
      </c>
      <c r="B5707" s="7" t="s">
        <v>532</v>
      </c>
      <c r="C5707" s="41">
        <v>3704.91</v>
      </c>
      <c r="D5707" s="6">
        <v>45698</v>
      </c>
      <c r="E5707" s="3" t="str">
        <f ca="1">IF(Tabela2[[#This Row],[Dt Venc:]]&gt;TODAY(),"Em Aberto",IF(Tabela2[[#This Row],[D/venc]]="-","Enviado",IF(Tabela2[[#This Row],[Dt Venc:]]=TODAY(),"Vence Hoje","Vencida")))</f>
        <v>Em Aberto</v>
      </c>
      <c r="F5707" s="3" t="str">
        <f ca="1">IF(G5707=1,"-",Tabela2[[#This Row],[Dt Venc:]]-TODAY())</f>
        <v>-</v>
      </c>
      <c r="G5707" s="3">
        <v>1</v>
      </c>
      <c r="H5707" s="3"/>
    </row>
    <row r="5708" spans="1:8" hidden="1">
      <c r="A5708" s="3">
        <v>446407</v>
      </c>
      <c r="B5708" s="7" t="s">
        <v>90</v>
      </c>
      <c r="C5708" s="41">
        <v>219.72</v>
      </c>
      <c r="D5708" s="6">
        <v>45698</v>
      </c>
      <c r="E5708" s="3" t="str">
        <f ca="1">IF(Tabela2[[#This Row],[Dt Venc:]]&gt;TODAY(),"Em Aberto",IF(Tabela2[[#This Row],[D/venc]]="-","Enviado",IF(Tabela2[[#This Row],[Dt Venc:]]=TODAY(),"Vence Hoje","Vencida")))</f>
        <v>Em Aberto</v>
      </c>
      <c r="F5708" s="3" t="str">
        <f ca="1">IF(G5708=1,"-",Tabela2[[#This Row],[Dt Venc:]]-TODAY())</f>
        <v>-</v>
      </c>
      <c r="G5708" s="3">
        <v>1</v>
      </c>
      <c r="H5708" s="3"/>
    </row>
    <row r="5709" spans="1:8" hidden="1">
      <c r="A5709" s="3">
        <v>447748</v>
      </c>
      <c r="B5709" s="7" t="s">
        <v>59</v>
      </c>
      <c r="C5709" s="41">
        <v>56077</v>
      </c>
      <c r="D5709" s="6">
        <v>45698</v>
      </c>
      <c r="E5709" s="3" t="str">
        <f ca="1">IF(Tabela2[[#This Row],[Dt Venc:]]&gt;TODAY(),"Em Aberto",IF(Tabela2[[#This Row],[D/venc]]="-","Enviado",IF(Tabela2[[#This Row],[Dt Venc:]]=TODAY(),"Vence Hoje","Vencida")))</f>
        <v>Em Aberto</v>
      </c>
      <c r="F5709" s="3" t="str">
        <f ca="1">IF(G5709=1,"-",Tabela2[[#This Row],[Dt Venc:]]-TODAY())</f>
        <v>-</v>
      </c>
      <c r="G5709" s="3">
        <v>1</v>
      </c>
      <c r="H5709" s="3"/>
    </row>
    <row r="5710" spans="1:8" hidden="1">
      <c r="A5710" s="3">
        <v>624217</v>
      </c>
      <c r="B5710" s="7" t="s">
        <v>690</v>
      </c>
      <c r="C5710" s="41">
        <v>1189.46</v>
      </c>
      <c r="D5710" s="6">
        <v>45698</v>
      </c>
      <c r="E5710" s="3" t="str">
        <f ca="1">IF(Tabela2[[#This Row],[Dt Venc:]]&gt;TODAY(),"Em Aberto",IF(Tabela2[[#This Row],[D/venc]]="-","Enviado",IF(Tabela2[[#This Row],[Dt Venc:]]=TODAY(),"Vence Hoje","Vencida")))</f>
        <v>Em Aberto</v>
      </c>
      <c r="F5710" s="3" t="str">
        <f ca="1">IF(G5710=1,"-",Tabela2[[#This Row],[Dt Venc:]]-TODAY())</f>
        <v>-</v>
      </c>
      <c r="G5710" s="3">
        <v>1</v>
      </c>
      <c r="H5710" s="3"/>
    </row>
    <row r="5711" spans="1:8" hidden="1">
      <c r="A5711" s="3">
        <v>724314</v>
      </c>
      <c r="B5711" s="7" t="s">
        <v>79</v>
      </c>
      <c r="C5711" s="41">
        <v>1400</v>
      </c>
      <c r="D5711" s="6">
        <v>45698</v>
      </c>
      <c r="E5711" s="3" t="str">
        <f ca="1">IF(Tabela2[[#This Row],[Dt Venc:]]&gt;TODAY(),"Em Aberto",IF(Tabela2[[#This Row],[D/venc]]="-","Enviado",IF(Tabela2[[#This Row],[Dt Venc:]]=TODAY(),"Vence Hoje","Vencida")))</f>
        <v>Em Aberto</v>
      </c>
      <c r="F5711" s="3" t="str">
        <f ca="1">IF(G5711=1,"-",Tabela2[[#This Row],[Dt Venc:]]-TODAY())</f>
        <v>-</v>
      </c>
      <c r="G5711" s="3">
        <v>1</v>
      </c>
      <c r="H5711" s="3"/>
    </row>
    <row r="5712" spans="1:8" hidden="1">
      <c r="A5712" s="3">
        <v>762603</v>
      </c>
      <c r="B5712" s="7" t="s">
        <v>127</v>
      </c>
      <c r="C5712" s="41">
        <v>342.56</v>
      </c>
      <c r="D5712" s="6">
        <v>45698</v>
      </c>
      <c r="E5712" s="3" t="str">
        <f ca="1">IF(Tabela2[[#This Row],[Dt Venc:]]&gt;TODAY(),"Em Aberto",IF(Tabela2[[#This Row],[D/venc]]="-","Enviado",IF(Tabela2[[#This Row],[Dt Venc:]]=TODAY(),"Vence Hoje","Vencida")))</f>
        <v>Em Aberto</v>
      </c>
      <c r="F5712" s="3" t="str">
        <f ca="1">IF(G5712=1,"-",Tabela2[[#This Row],[Dt Venc:]]-TODAY())</f>
        <v>-</v>
      </c>
      <c r="G5712" s="3">
        <v>1</v>
      </c>
      <c r="H5712" s="3"/>
    </row>
    <row r="5713" spans="1:8" hidden="1">
      <c r="A5713" s="3">
        <v>762609</v>
      </c>
      <c r="B5713" s="7" t="s">
        <v>127</v>
      </c>
      <c r="C5713" s="41">
        <v>342.56</v>
      </c>
      <c r="D5713" s="6">
        <v>45698</v>
      </c>
      <c r="E5713" s="3" t="str">
        <f ca="1">IF(Tabela2[[#This Row],[Dt Venc:]]&gt;TODAY(),"Em Aberto",IF(Tabela2[[#This Row],[D/venc]]="-","Enviado",IF(Tabela2[[#This Row],[Dt Venc:]]=TODAY(),"Vence Hoje","Vencida")))</f>
        <v>Em Aberto</v>
      </c>
      <c r="F5713" s="3" t="str">
        <f ca="1">IF(G5713=1,"-",Tabela2[[#This Row],[Dt Venc:]]-TODAY())</f>
        <v>-</v>
      </c>
      <c r="G5713" s="3">
        <v>1</v>
      </c>
      <c r="H5713" s="3"/>
    </row>
    <row r="5714" spans="1:8" hidden="1">
      <c r="A5714" s="3">
        <v>1116282</v>
      </c>
      <c r="B5714" s="7" t="s">
        <v>141</v>
      </c>
      <c r="C5714" s="41">
        <v>1886.78</v>
      </c>
      <c r="D5714" s="6">
        <v>45698</v>
      </c>
      <c r="E5714" s="3" t="str">
        <f ca="1">IF(Tabela2[[#This Row],[Dt Venc:]]&gt;TODAY(),"Em Aberto",IF(Tabela2[[#This Row],[D/venc]]="-","Enviado",IF(Tabela2[[#This Row],[Dt Venc:]]=TODAY(),"Vence Hoje","Vencida")))</f>
        <v>Em Aberto</v>
      </c>
      <c r="F5714" s="3" t="str">
        <f ca="1">IF(G5714=1,"-",Tabela2[[#This Row],[Dt Venc:]]-TODAY())</f>
        <v>-</v>
      </c>
      <c r="G5714" s="3">
        <v>1</v>
      </c>
      <c r="H5714" s="3"/>
    </row>
    <row r="5715" spans="1:8" hidden="1">
      <c r="A5715" s="3">
        <v>1116287</v>
      </c>
      <c r="B5715" s="7" t="s">
        <v>141</v>
      </c>
      <c r="C5715" s="41">
        <v>1397.82</v>
      </c>
      <c r="D5715" s="6">
        <v>45698</v>
      </c>
      <c r="E5715" s="3" t="str">
        <f ca="1">IF(Tabela2[[#This Row],[Dt Venc:]]&gt;TODAY(),"Em Aberto",IF(Tabela2[[#This Row],[D/venc]]="-","Enviado",IF(Tabela2[[#This Row],[Dt Venc:]]=TODAY(),"Vence Hoje","Vencida")))</f>
        <v>Em Aberto</v>
      </c>
      <c r="F5715" s="3" t="str">
        <f ca="1">IF(G5715=1,"-",Tabela2[[#This Row],[Dt Venc:]]-TODAY())</f>
        <v>-</v>
      </c>
      <c r="G5715" s="3">
        <v>1</v>
      </c>
      <c r="H5715" s="3"/>
    </row>
    <row r="5716" spans="1:8" hidden="1">
      <c r="A5716" s="3">
        <v>1413763</v>
      </c>
      <c r="B5716" s="7" t="s">
        <v>151</v>
      </c>
      <c r="C5716" s="41">
        <v>644.84</v>
      </c>
      <c r="D5716" s="6">
        <v>45698</v>
      </c>
      <c r="E5716" s="3" t="str">
        <f ca="1">IF(Tabela2[[#This Row],[Dt Venc:]]&gt;TODAY(),"Em Aberto",IF(Tabela2[[#This Row],[D/venc]]="-","Enviado",IF(Tabela2[[#This Row],[Dt Venc:]]=TODAY(),"Vence Hoje","Vencida")))</f>
        <v>Em Aberto</v>
      </c>
      <c r="F5716" s="3" t="str">
        <f ca="1">IF(G5716=1,"-",Tabela2[[#This Row],[Dt Venc:]]-TODAY())</f>
        <v>-</v>
      </c>
      <c r="G5716" s="3">
        <v>1</v>
      </c>
      <c r="H5716" s="3"/>
    </row>
    <row r="5717" spans="1:8" hidden="1">
      <c r="A5717" s="3">
        <v>1421626</v>
      </c>
      <c r="B5717" s="7" t="s">
        <v>151</v>
      </c>
      <c r="C5717" s="41">
        <v>1547.96</v>
      </c>
      <c r="D5717" s="6">
        <v>45698</v>
      </c>
      <c r="E5717" s="3" t="str">
        <f ca="1">IF(Tabela2[[#This Row],[Dt Venc:]]&gt;TODAY(),"Em Aberto",IF(Tabela2[[#This Row],[D/venc]]="-","Enviado",IF(Tabela2[[#This Row],[Dt Venc:]]=TODAY(),"Vence Hoje","Vencida")))</f>
        <v>Em Aberto</v>
      </c>
      <c r="F5717" s="3" t="str">
        <f ca="1">IF(G5717=1,"-",Tabela2[[#This Row],[Dt Venc:]]-TODAY())</f>
        <v>-</v>
      </c>
      <c r="G5717" s="3">
        <v>1</v>
      </c>
      <c r="H5717" s="3"/>
    </row>
    <row r="5718" spans="1:8" hidden="1">
      <c r="A5718" s="3">
        <v>2015038</v>
      </c>
      <c r="B5718" s="7" t="s">
        <v>59</v>
      </c>
      <c r="C5718" s="41">
        <v>109874</v>
      </c>
      <c r="D5718" s="6">
        <v>45698</v>
      </c>
      <c r="E5718" s="3" t="str">
        <f ca="1">IF(Tabela2[[#This Row],[Dt Venc:]]&gt;TODAY(),"Em Aberto",IF(Tabela2[[#This Row],[D/venc]]="-","Enviado",IF(Tabela2[[#This Row],[Dt Venc:]]=TODAY(),"Vence Hoje","Vencida")))</f>
        <v>Em Aberto</v>
      </c>
      <c r="F5718" s="3" t="str">
        <f ca="1">IF(G5718=1,"-",Tabela2[[#This Row],[Dt Venc:]]-TODAY())</f>
        <v>-</v>
      </c>
      <c r="G5718" s="3">
        <v>1</v>
      </c>
      <c r="H5718" s="3"/>
    </row>
    <row r="5719" spans="1:8" hidden="1">
      <c r="A5719" s="3">
        <v>2519951</v>
      </c>
      <c r="B5719" s="7" t="s">
        <v>59</v>
      </c>
      <c r="C5719" s="41">
        <v>108114</v>
      </c>
      <c r="D5719" s="6">
        <v>45698</v>
      </c>
      <c r="E5719" s="3" t="str">
        <f ca="1">IF(Tabela2[[#This Row],[Dt Venc:]]&gt;TODAY(),"Em Aberto",IF(Tabela2[[#This Row],[D/venc]]="-","Enviado",IF(Tabela2[[#This Row],[Dt Venc:]]=TODAY(),"Vence Hoje","Vencida")))</f>
        <v>Em Aberto</v>
      </c>
      <c r="F5719" s="3" t="str">
        <f ca="1">IF(G5719=1,"-",Tabela2[[#This Row],[Dt Venc:]]-TODAY())</f>
        <v>-</v>
      </c>
      <c r="G5719" s="3">
        <v>1</v>
      </c>
      <c r="H5719" s="3"/>
    </row>
    <row r="5720" spans="1:8" hidden="1">
      <c r="A5720" s="3">
        <v>2520686</v>
      </c>
      <c r="B5720" s="7" t="s">
        <v>59</v>
      </c>
      <c r="C5720" s="41">
        <v>54150</v>
      </c>
      <c r="D5720" s="6">
        <v>45698</v>
      </c>
      <c r="E5720" s="3" t="str">
        <f ca="1">IF(Tabela2[[#This Row],[Dt Venc:]]&gt;TODAY(),"Em Aberto",IF(Tabela2[[#This Row],[D/venc]]="-","Enviado",IF(Tabela2[[#This Row],[Dt Venc:]]=TODAY(),"Vence Hoje","Vencida")))</f>
        <v>Em Aberto</v>
      </c>
      <c r="F5720" s="3" t="str">
        <f ca="1">IF(G5720=1,"-",Tabela2[[#This Row],[Dt Venc:]]-TODAY())</f>
        <v>-</v>
      </c>
      <c r="G5720" s="3">
        <v>1</v>
      </c>
      <c r="H5720" s="3"/>
    </row>
    <row r="5721" spans="1:8" hidden="1">
      <c r="A5721" s="3">
        <v>4534531</v>
      </c>
      <c r="B5721" s="7" t="s">
        <v>90</v>
      </c>
      <c r="C5721" s="41">
        <v>1356.36</v>
      </c>
      <c r="D5721" s="6">
        <v>45698</v>
      </c>
      <c r="E5721" s="3" t="str">
        <f ca="1">IF(Tabela2[[#This Row],[Dt Venc:]]&gt;TODAY(),"Em Aberto",IF(Tabela2[[#This Row],[D/venc]]="-","Enviado",IF(Tabela2[[#This Row],[Dt Venc:]]=TODAY(),"Vence Hoje","Vencida")))</f>
        <v>Em Aberto</v>
      </c>
      <c r="F5721" s="3" t="str">
        <f ca="1">IF(G5721=1,"-",Tabela2[[#This Row],[Dt Venc:]]-TODAY())</f>
        <v>-</v>
      </c>
      <c r="G5721" s="3">
        <v>1</v>
      </c>
      <c r="H5721" s="3"/>
    </row>
    <row r="5722" spans="1:8" hidden="1">
      <c r="A5722" s="3">
        <v>37292</v>
      </c>
      <c r="B5722" s="7" t="s">
        <v>167</v>
      </c>
      <c r="C5722" s="100" t="s">
        <v>32</v>
      </c>
      <c r="D5722" s="6">
        <v>45699</v>
      </c>
      <c r="E5722" s="3" t="str">
        <f ca="1">IF(Tabela2[[#This Row],[Dt Venc:]]&gt;TODAY(),"Em Aberto",IF(Tabela2[[#This Row],[D/venc]]="-","Enviado",IF(Tabela2[[#This Row],[Dt Venc:]]=TODAY(),"Vence Hoje","Vencida")))</f>
        <v>Em Aberto</v>
      </c>
      <c r="F5722" s="3" t="str">
        <f ca="1">IF(G5722=1,"-",Tabela2[[#This Row],[Dt Venc:]]-TODAY())</f>
        <v>-</v>
      </c>
      <c r="G5722" s="3">
        <v>1</v>
      </c>
      <c r="H5722" s="3"/>
    </row>
    <row r="5723" spans="1:8" hidden="1">
      <c r="A5723" s="3">
        <v>37327</v>
      </c>
      <c r="B5723" s="7" t="s">
        <v>167</v>
      </c>
      <c r="C5723" s="100" t="s">
        <v>32</v>
      </c>
      <c r="D5723" s="6">
        <v>45699</v>
      </c>
      <c r="E5723" s="3" t="str">
        <f ca="1">IF(Tabela2[[#This Row],[Dt Venc:]]&gt;TODAY(),"Em Aberto",IF(Tabela2[[#This Row],[D/venc]]="-","Enviado",IF(Tabela2[[#This Row],[Dt Venc:]]=TODAY(),"Vence Hoje","Vencida")))</f>
        <v>Em Aberto</v>
      </c>
      <c r="F5723" s="3" t="str">
        <f ca="1">IF(G5723=1,"-",Tabela2[[#This Row],[Dt Venc:]]-TODAY())</f>
        <v>-</v>
      </c>
      <c r="G5723" s="3">
        <v>1</v>
      </c>
      <c r="H5723" s="3"/>
    </row>
    <row r="5724" spans="1:8" hidden="1">
      <c r="A5724" s="3">
        <v>284620</v>
      </c>
      <c r="B5724" s="7" t="s">
        <v>153</v>
      </c>
      <c r="C5724" s="100" t="s">
        <v>32</v>
      </c>
      <c r="D5724" s="6">
        <v>45696</v>
      </c>
      <c r="E5724" s="3" t="str">
        <f ca="1">IF(Tabela2[[#This Row],[Dt Venc:]]&gt;TODAY(),"Em Aberto",IF(Tabela2[[#This Row],[D/venc]]="-","Enviado",IF(Tabela2[[#This Row],[Dt Venc:]]=TODAY(),"Vence Hoje","Vencida")))</f>
        <v>Em Aberto</v>
      </c>
      <c r="F5724" s="3" t="str">
        <f ca="1">IF(G5724=1,"-",Tabela2[[#This Row],[Dt Venc:]]-TODAY())</f>
        <v>-</v>
      </c>
      <c r="G5724" s="3">
        <v>1</v>
      </c>
      <c r="H5724" s="3"/>
    </row>
    <row r="5725" spans="1:8" hidden="1">
      <c r="A5725" s="3">
        <v>4586130</v>
      </c>
      <c r="B5725" s="7" t="s">
        <v>90</v>
      </c>
      <c r="C5725" s="41">
        <v>631.33000000000004</v>
      </c>
      <c r="D5725" s="6">
        <v>45698</v>
      </c>
      <c r="E5725" s="3" t="str">
        <f ca="1">IF(Tabela2[[#This Row],[Dt Venc:]]&gt;TODAY(),"Em Aberto",IF(Tabela2[[#This Row],[D/venc]]="-","Enviado",IF(Tabela2[[#This Row],[Dt Venc:]]=TODAY(),"Vence Hoje","Vencida")))</f>
        <v>Em Aberto</v>
      </c>
      <c r="F5725" s="3" t="str">
        <f ca="1">IF(G5725=1,"-",Tabela2[[#This Row],[Dt Venc:]]-TODAY())</f>
        <v>-</v>
      </c>
      <c r="G5725" s="3">
        <v>1</v>
      </c>
      <c r="H5725" s="3"/>
    </row>
    <row r="5726" spans="1:8">
      <c r="A5726" s="3" t="s">
        <v>123</v>
      </c>
      <c r="B5726" s="7" t="s">
        <v>418</v>
      </c>
      <c r="C5726" s="42" t="s">
        <v>32</v>
      </c>
      <c r="D5726" s="6">
        <v>45698</v>
      </c>
      <c r="E5726" s="3" t="str">
        <f ca="1">IF(Tabela2[[#This Row],[Dt Venc:]]&gt;TODAY(),"Em Aberto",IF(Tabela2[[#This Row],[D/venc]]="-","Enviado",IF(Tabela2[[#This Row],[Dt Venc:]]=TODAY(),"Vence Hoje","Vencida")))</f>
        <v>Em Aberto</v>
      </c>
      <c r="F5726" s="3">
        <f ca="1">IF(G5726=1,"-",Tabela2[[#This Row],[Dt Venc:]]-TODAY())</f>
        <v>5</v>
      </c>
      <c r="G5726" s="3"/>
      <c r="H5726" s="3"/>
    </row>
    <row r="5727" spans="1:8" hidden="1">
      <c r="A5727" s="3" t="s">
        <v>28</v>
      </c>
      <c r="B5727" s="7" t="s">
        <v>186</v>
      </c>
      <c r="C5727" s="100" t="s">
        <v>32</v>
      </c>
      <c r="D5727" s="6">
        <v>45698</v>
      </c>
      <c r="E5727" s="3" t="str">
        <f ca="1">IF(Tabela2[[#This Row],[Dt Venc:]]&gt;TODAY(),"Em Aberto",IF(Tabela2[[#This Row],[D/venc]]="-","Enviado",IF(Tabela2[[#This Row],[Dt Venc:]]=TODAY(),"Vence Hoje","Vencida")))</f>
        <v>Em Aberto</v>
      </c>
      <c r="F5727" s="3" t="str">
        <f ca="1">IF(G5727=1,"-",Tabela2[[#This Row],[Dt Venc:]]-TODAY())</f>
        <v>-</v>
      </c>
      <c r="G5727" s="3">
        <v>1</v>
      </c>
      <c r="H5727" s="3"/>
    </row>
    <row r="5728" spans="1:8" hidden="1">
      <c r="A5728" s="3">
        <v>2043</v>
      </c>
      <c r="B5728" s="7" t="s">
        <v>96</v>
      </c>
      <c r="C5728" s="41">
        <v>1260</v>
      </c>
      <c r="D5728" s="6">
        <v>45698</v>
      </c>
      <c r="E5728" s="3" t="str">
        <f ca="1">IF(Tabela2[[#This Row],[Dt Venc:]]&gt;TODAY(),"Em Aberto",IF(Tabela2[[#This Row],[D/venc]]="-","Enviado",IF(Tabela2[[#This Row],[Dt Venc:]]=TODAY(),"Vence Hoje","Vencida")))</f>
        <v>Em Aberto</v>
      </c>
      <c r="F5728" s="3" t="str">
        <f ca="1">IF(G5728=1,"-",Tabela2[[#This Row],[Dt Venc:]]-TODAY())</f>
        <v>-</v>
      </c>
      <c r="G5728" s="3">
        <v>1</v>
      </c>
      <c r="H5728" s="3"/>
    </row>
    <row r="5729" spans="1:8">
      <c r="A5729" s="3" t="s">
        <v>110</v>
      </c>
      <c r="B5729" s="7" t="s">
        <v>205</v>
      </c>
      <c r="C5729" s="42" t="s">
        <v>32</v>
      </c>
      <c r="D5729" s="6">
        <v>45699</v>
      </c>
      <c r="E5729" s="3" t="str">
        <f ca="1">IF(Tabela2[[#This Row],[Dt Venc:]]&gt;TODAY(),"Em Aberto",IF(Tabela2[[#This Row],[D/venc]]="-","Enviado",IF(Tabela2[[#This Row],[Dt Venc:]]=TODAY(),"Vence Hoje","Vencida")))</f>
        <v>Em Aberto</v>
      </c>
      <c r="F5729" s="3">
        <f ca="1">IF(G5729=1,"-",Tabela2[[#This Row],[Dt Venc:]]-TODAY())</f>
        <v>6</v>
      </c>
      <c r="G5729" s="3"/>
      <c r="H5729" s="3"/>
    </row>
    <row r="5730" spans="1:8" hidden="1">
      <c r="A5730" s="3">
        <v>45</v>
      </c>
      <c r="B5730" s="7" t="s">
        <v>103</v>
      </c>
      <c r="C5730" s="41">
        <v>1600</v>
      </c>
      <c r="D5730" s="6">
        <v>45699</v>
      </c>
      <c r="E5730" s="3" t="str">
        <f ca="1">IF(Tabela2[[#This Row],[Dt Venc:]]&gt;TODAY(),"Em Aberto",IF(Tabela2[[#This Row],[D/venc]]="-","Enviado",IF(Tabela2[[#This Row],[Dt Venc:]]=TODAY(),"Vence Hoje","Vencida")))</f>
        <v>Em Aberto</v>
      </c>
      <c r="F5730" s="3" t="str">
        <f ca="1">IF(G5730=1,"-",Tabela2[[#This Row],[Dt Venc:]]-TODAY())</f>
        <v>-</v>
      </c>
      <c r="G5730" s="3">
        <v>1</v>
      </c>
      <c r="H5730" s="3"/>
    </row>
    <row r="5731" spans="1:8" hidden="1">
      <c r="A5731" s="3">
        <v>621</v>
      </c>
      <c r="B5731" s="7" t="s">
        <v>535</v>
      </c>
      <c r="C5731" s="41">
        <v>666.67</v>
      </c>
      <c r="D5731" s="6">
        <v>45699</v>
      </c>
      <c r="E5731" s="3" t="str">
        <f ca="1">IF(Tabela2[[#This Row],[Dt Venc:]]&gt;TODAY(),"Em Aberto",IF(Tabela2[[#This Row],[D/venc]]="-","Enviado",IF(Tabela2[[#This Row],[Dt Venc:]]=TODAY(),"Vence Hoje","Vencida")))</f>
        <v>Em Aberto</v>
      </c>
      <c r="F5731" s="3" t="str">
        <f ca="1">IF(G5731=1,"-",Tabela2[[#This Row],[Dt Venc:]]-TODAY())</f>
        <v>-</v>
      </c>
      <c r="G5731" s="3">
        <v>1</v>
      </c>
      <c r="H5731" s="3"/>
    </row>
    <row r="5732" spans="1:8" hidden="1">
      <c r="A5732" s="3">
        <v>1227</v>
      </c>
      <c r="B5732" s="7" t="s">
        <v>155</v>
      </c>
      <c r="C5732" s="41">
        <v>12550</v>
      </c>
      <c r="D5732" s="6">
        <v>45699</v>
      </c>
      <c r="E5732" s="3" t="str">
        <f ca="1">IF(Tabela2[[#This Row],[Dt Venc:]]&gt;TODAY(),"Em Aberto",IF(Tabela2[[#This Row],[D/venc]]="-","Enviado",IF(Tabela2[[#This Row],[Dt Venc:]]=TODAY(),"Vence Hoje","Vencida")))</f>
        <v>Em Aberto</v>
      </c>
      <c r="F5732" s="3" t="str">
        <f ca="1">IF(G5732=1,"-",Tabela2[[#This Row],[Dt Venc:]]-TODAY())</f>
        <v>-</v>
      </c>
      <c r="G5732" s="3">
        <v>1</v>
      </c>
      <c r="H5732" s="3"/>
    </row>
    <row r="5733" spans="1:8" hidden="1">
      <c r="A5733" s="3">
        <v>1278</v>
      </c>
      <c r="B5733" s="7" t="s">
        <v>559</v>
      </c>
      <c r="C5733" s="41">
        <v>750</v>
      </c>
      <c r="D5733" s="6">
        <v>45699</v>
      </c>
      <c r="E5733" s="3" t="str">
        <f ca="1">IF(Tabela2[[#This Row],[Dt Venc:]]&gt;TODAY(),"Em Aberto",IF(Tabela2[[#This Row],[D/venc]]="-","Enviado",IF(Tabela2[[#This Row],[Dt Venc:]]=TODAY(),"Vence Hoje","Vencida")))</f>
        <v>Em Aberto</v>
      </c>
      <c r="F5733" s="3" t="str">
        <f ca="1">IF(G5733=1,"-",Tabela2[[#This Row],[Dt Venc:]]-TODAY())</f>
        <v>-</v>
      </c>
      <c r="G5733" s="3">
        <v>1</v>
      </c>
      <c r="H5733" s="3"/>
    </row>
    <row r="5734" spans="1:8" hidden="1">
      <c r="A5734" s="3">
        <v>1483</v>
      </c>
      <c r="B5734" s="7" t="s">
        <v>352</v>
      </c>
      <c r="C5734" s="41">
        <v>10</v>
      </c>
      <c r="D5734" s="6">
        <v>45699</v>
      </c>
      <c r="E5734" s="3" t="str">
        <f ca="1">IF(Tabela2[[#This Row],[Dt Venc:]]&gt;TODAY(),"Em Aberto",IF(Tabela2[[#This Row],[D/venc]]="-","Enviado",IF(Tabela2[[#This Row],[Dt Venc:]]=TODAY(),"Vence Hoje","Vencida")))</f>
        <v>Em Aberto</v>
      </c>
      <c r="F5734" s="3" t="str">
        <f ca="1">IF(G5734=1,"-",Tabela2[[#This Row],[Dt Venc:]]-TODAY())</f>
        <v>-</v>
      </c>
      <c r="G5734" s="3">
        <v>1</v>
      </c>
      <c r="H5734" s="3"/>
    </row>
    <row r="5735" spans="1:8" hidden="1">
      <c r="A5735" s="3">
        <v>1484</v>
      </c>
      <c r="B5735" s="7" t="s">
        <v>352</v>
      </c>
      <c r="C5735" s="41">
        <v>125</v>
      </c>
      <c r="D5735" s="6">
        <v>45699</v>
      </c>
      <c r="E5735" s="3" t="str">
        <f ca="1">IF(Tabela2[[#This Row],[Dt Venc:]]&gt;TODAY(),"Em Aberto",IF(Tabela2[[#This Row],[D/venc]]="-","Enviado",IF(Tabela2[[#This Row],[Dt Venc:]]=TODAY(),"Vence Hoje","Vencida")))</f>
        <v>Em Aberto</v>
      </c>
      <c r="F5735" s="3" t="str">
        <f ca="1">IF(G5735=1,"-",Tabela2[[#This Row],[Dt Venc:]]-TODAY())</f>
        <v>-</v>
      </c>
      <c r="G5735" s="3">
        <v>1</v>
      </c>
      <c r="H5735" s="3"/>
    </row>
    <row r="5736" spans="1:8" hidden="1">
      <c r="A5736" s="3">
        <v>1485</v>
      </c>
      <c r="B5736" s="7" t="s">
        <v>352</v>
      </c>
      <c r="C5736" s="41">
        <v>27.5</v>
      </c>
      <c r="D5736" s="6">
        <v>45699</v>
      </c>
      <c r="E5736" s="3" t="str">
        <f ca="1">IF(Tabela2[[#This Row],[Dt Venc:]]&gt;TODAY(),"Em Aberto",IF(Tabela2[[#This Row],[D/venc]]="-","Enviado",IF(Tabela2[[#This Row],[Dt Venc:]]=TODAY(),"Vence Hoje","Vencida")))</f>
        <v>Em Aberto</v>
      </c>
      <c r="F5736" s="3" t="str">
        <f ca="1">IF(G5736=1,"-",Tabela2[[#This Row],[Dt Venc:]]-TODAY())</f>
        <v>-</v>
      </c>
      <c r="G5736" s="3">
        <v>1</v>
      </c>
      <c r="H5736" s="3"/>
    </row>
    <row r="5737" spans="1:8" hidden="1">
      <c r="A5737" s="3">
        <v>1486</v>
      </c>
      <c r="B5737" s="7" t="s">
        <v>352</v>
      </c>
      <c r="C5737" s="41">
        <v>115</v>
      </c>
      <c r="D5737" s="6">
        <v>45699</v>
      </c>
      <c r="E5737" s="3" t="str">
        <f ca="1">IF(Tabela2[[#This Row],[Dt Venc:]]&gt;TODAY(),"Em Aberto",IF(Tabela2[[#This Row],[D/venc]]="-","Enviado",IF(Tabela2[[#This Row],[Dt Venc:]]=TODAY(),"Vence Hoje","Vencida")))</f>
        <v>Em Aberto</v>
      </c>
      <c r="F5737" s="3" t="str">
        <f ca="1">IF(G5737=1,"-",Tabela2[[#This Row],[Dt Venc:]]-TODAY())</f>
        <v>-</v>
      </c>
      <c r="G5737" s="3">
        <v>1</v>
      </c>
      <c r="H5737" s="3"/>
    </row>
    <row r="5738" spans="1:8" hidden="1">
      <c r="A5738" s="3">
        <v>2354</v>
      </c>
      <c r="B5738" s="7" t="s">
        <v>45</v>
      </c>
      <c r="C5738" s="41">
        <v>1856</v>
      </c>
      <c r="D5738" s="6">
        <v>45699</v>
      </c>
      <c r="E5738" s="3" t="str">
        <f ca="1">IF(Tabela2[[#This Row],[Dt Venc:]]&gt;TODAY(),"Em Aberto",IF(Tabela2[[#This Row],[D/venc]]="-","Enviado",IF(Tabela2[[#This Row],[Dt Venc:]]=TODAY(),"Vence Hoje","Vencida")))</f>
        <v>Em Aberto</v>
      </c>
      <c r="F5738" s="3" t="str">
        <f ca="1">IF(G5738=1,"-",Tabela2[[#This Row],[Dt Venc:]]-TODAY())</f>
        <v>-</v>
      </c>
      <c r="G5738" s="3">
        <v>1</v>
      </c>
      <c r="H5738" s="3"/>
    </row>
    <row r="5739" spans="1:8" hidden="1">
      <c r="A5739" s="3">
        <v>2965</v>
      </c>
      <c r="B5739" s="7" t="s">
        <v>58</v>
      </c>
      <c r="C5739" s="41">
        <v>2077</v>
      </c>
      <c r="D5739" s="6">
        <v>45699</v>
      </c>
      <c r="E5739" s="3" t="str">
        <f ca="1">IF(Tabela2[[#This Row],[Dt Venc:]]&gt;TODAY(),"Em Aberto",IF(Tabela2[[#This Row],[D/venc]]="-","Enviado",IF(Tabela2[[#This Row],[Dt Venc:]]=TODAY(),"Vence Hoje","Vencida")))</f>
        <v>Em Aberto</v>
      </c>
      <c r="F5739" s="3" t="str">
        <f ca="1">IF(G5739=1,"-",Tabela2[[#This Row],[Dt Venc:]]-TODAY())</f>
        <v>-</v>
      </c>
      <c r="G5739" s="3">
        <v>1</v>
      </c>
      <c r="H5739" s="3"/>
    </row>
    <row r="5740" spans="1:8" hidden="1">
      <c r="A5740" s="3">
        <v>2965</v>
      </c>
      <c r="B5740" s="7" t="s">
        <v>58</v>
      </c>
      <c r="C5740" s="41">
        <v>2077.0700000000002</v>
      </c>
      <c r="D5740" s="6">
        <v>45699</v>
      </c>
      <c r="E5740" s="3" t="str">
        <f ca="1">IF(Tabela2[[#This Row],[Dt Venc:]]&gt;TODAY(),"Em Aberto",IF(Tabela2[[#This Row],[D/venc]]="-","Enviado",IF(Tabela2[[#This Row],[Dt Venc:]]=TODAY(),"Vence Hoje","Vencida")))</f>
        <v>Em Aberto</v>
      </c>
      <c r="F5740" s="3" t="str">
        <f ca="1">IF(G5740=1,"-",Tabela2[[#This Row],[Dt Venc:]]-TODAY())</f>
        <v>-</v>
      </c>
      <c r="G5740" s="3">
        <v>1</v>
      </c>
      <c r="H5740" s="3"/>
    </row>
    <row r="5741" spans="1:8" hidden="1">
      <c r="A5741" s="3">
        <v>4135</v>
      </c>
      <c r="B5741" s="7" t="s">
        <v>293</v>
      </c>
      <c r="C5741" s="41">
        <v>1875</v>
      </c>
      <c r="D5741" s="6">
        <v>45699</v>
      </c>
      <c r="E5741" s="3" t="str">
        <f ca="1">IF(Tabela2[[#This Row],[Dt Venc:]]&gt;TODAY(),"Em Aberto",IF(Tabela2[[#This Row],[D/venc]]="-","Enviado",IF(Tabela2[[#This Row],[Dt Venc:]]=TODAY(),"Vence Hoje","Vencida")))</f>
        <v>Em Aberto</v>
      </c>
      <c r="F5741" s="3" t="str">
        <f ca="1">IF(G5741=1,"-",Tabela2[[#This Row],[Dt Venc:]]-TODAY())</f>
        <v>-</v>
      </c>
      <c r="G5741" s="3">
        <v>1</v>
      </c>
      <c r="H5741" s="3"/>
    </row>
    <row r="5742" spans="1:8" hidden="1">
      <c r="A5742" s="3">
        <v>6159</v>
      </c>
      <c r="B5742" s="7" t="s">
        <v>140</v>
      </c>
      <c r="C5742" s="41">
        <v>2285.33</v>
      </c>
      <c r="D5742" s="6">
        <v>45699</v>
      </c>
      <c r="E5742" s="3" t="str">
        <f ca="1">IF(Tabela2[[#This Row],[Dt Venc:]]&gt;TODAY(),"Em Aberto",IF(Tabela2[[#This Row],[D/venc]]="-","Enviado",IF(Tabela2[[#This Row],[Dt Venc:]]=TODAY(),"Vence Hoje","Vencida")))</f>
        <v>Em Aberto</v>
      </c>
      <c r="F5742" s="3" t="str">
        <f ca="1">IF(G5742=1,"-",Tabela2[[#This Row],[Dt Venc:]]-TODAY())</f>
        <v>-</v>
      </c>
      <c r="G5742" s="3">
        <v>1</v>
      </c>
      <c r="H5742" s="3"/>
    </row>
    <row r="5743" spans="1:8" hidden="1">
      <c r="A5743" s="3">
        <v>6272</v>
      </c>
      <c r="B5743" s="7" t="s">
        <v>47</v>
      </c>
      <c r="C5743" s="41">
        <v>2149.75</v>
      </c>
      <c r="D5743" s="6">
        <v>45699</v>
      </c>
      <c r="E5743" s="3" t="str">
        <f ca="1">IF(Tabela2[[#This Row],[Dt Venc:]]&gt;TODAY(),"Em Aberto",IF(Tabela2[[#This Row],[D/venc]]="-","Enviado",IF(Tabela2[[#This Row],[Dt Venc:]]=TODAY(),"Vence Hoje","Vencida")))</f>
        <v>Em Aberto</v>
      </c>
      <c r="F5743" s="3" t="str">
        <f ca="1">IF(G5743=1,"-",Tabela2[[#This Row],[Dt Venc:]]-TODAY())</f>
        <v>-</v>
      </c>
      <c r="G5743" s="3">
        <v>1</v>
      </c>
      <c r="H5743" s="3"/>
    </row>
    <row r="5744" spans="1:8" hidden="1">
      <c r="A5744" s="3">
        <v>9279</v>
      </c>
      <c r="B5744" s="7" t="s">
        <v>691</v>
      </c>
      <c r="C5744" s="41">
        <v>1480</v>
      </c>
      <c r="D5744" s="6">
        <v>45699</v>
      </c>
      <c r="E5744" s="3" t="str">
        <f ca="1">IF(Tabela2[[#This Row],[Dt Venc:]]&gt;TODAY(),"Em Aberto",IF(Tabela2[[#This Row],[D/venc]]="-","Enviado",IF(Tabela2[[#This Row],[Dt Venc:]]=TODAY(),"Vence Hoje","Vencida")))</f>
        <v>Em Aberto</v>
      </c>
      <c r="F5744" s="3" t="str">
        <f ca="1">IF(G5744=1,"-",Tabela2[[#This Row],[Dt Venc:]]-TODAY())</f>
        <v>-</v>
      </c>
      <c r="G5744" s="3">
        <v>1</v>
      </c>
      <c r="H5744" s="3"/>
    </row>
    <row r="5745" spans="1:8" hidden="1">
      <c r="A5745" s="3">
        <v>10617</v>
      </c>
      <c r="B5745" s="7" t="s">
        <v>76</v>
      </c>
      <c r="C5745" s="41">
        <v>828.12</v>
      </c>
      <c r="D5745" s="6">
        <v>45699</v>
      </c>
      <c r="E5745" s="3" t="str">
        <f ca="1">IF(Tabela2[[#This Row],[Dt Venc:]]&gt;TODAY(),"Em Aberto",IF(Tabela2[[#This Row],[D/venc]]="-","Enviado",IF(Tabela2[[#This Row],[Dt Venc:]]=TODAY(),"Vence Hoje","Vencida")))</f>
        <v>Em Aberto</v>
      </c>
      <c r="F5745" s="3" t="str">
        <f ca="1">IF(G5745=1,"-",Tabela2[[#This Row],[Dt Venc:]]-TODAY())</f>
        <v>-</v>
      </c>
      <c r="G5745" s="3">
        <v>1</v>
      </c>
      <c r="H5745" s="3"/>
    </row>
    <row r="5746" spans="1:8" hidden="1">
      <c r="A5746" s="3">
        <v>11127</v>
      </c>
      <c r="B5746" s="7" t="s">
        <v>33</v>
      </c>
      <c r="C5746" s="41">
        <v>1988.33</v>
      </c>
      <c r="D5746" s="6">
        <v>45699</v>
      </c>
      <c r="E5746" s="3" t="str">
        <f ca="1">IF(Tabela2[[#This Row],[Dt Venc:]]&gt;TODAY(),"Em Aberto",IF(Tabela2[[#This Row],[D/venc]]="-","Enviado",IF(Tabela2[[#This Row],[Dt Venc:]]=TODAY(),"Vence Hoje","Vencida")))</f>
        <v>Em Aberto</v>
      </c>
      <c r="F5746" s="3" t="str">
        <f ca="1">IF(G5746=1,"-",Tabela2[[#This Row],[Dt Venc:]]-TODAY())</f>
        <v>-</v>
      </c>
      <c r="G5746" s="3">
        <v>1</v>
      </c>
      <c r="H5746" s="3"/>
    </row>
    <row r="5747" spans="1:8" hidden="1">
      <c r="A5747" s="3">
        <v>11225</v>
      </c>
      <c r="B5747" s="7" t="s">
        <v>33</v>
      </c>
      <c r="C5747" s="41">
        <v>1551.6</v>
      </c>
      <c r="D5747" s="6">
        <v>45699</v>
      </c>
      <c r="E5747" s="3" t="str">
        <f ca="1">IF(Tabela2[[#This Row],[Dt Venc:]]&gt;TODAY(),"Em Aberto",IF(Tabela2[[#This Row],[D/venc]]="-","Enviado",IF(Tabela2[[#This Row],[Dt Venc:]]=TODAY(),"Vence Hoje","Vencida")))</f>
        <v>Em Aberto</v>
      </c>
      <c r="F5747" s="3" t="str">
        <f ca="1">IF(G5747=1,"-",Tabela2[[#This Row],[Dt Venc:]]-TODAY())</f>
        <v>-</v>
      </c>
      <c r="G5747" s="3">
        <v>1</v>
      </c>
      <c r="H5747" s="3"/>
    </row>
    <row r="5748" spans="1:8" hidden="1">
      <c r="A5748" s="3">
        <v>11226</v>
      </c>
      <c r="B5748" s="7" t="s">
        <v>33</v>
      </c>
      <c r="C5748" s="41">
        <v>325</v>
      </c>
      <c r="D5748" s="6">
        <v>45699</v>
      </c>
      <c r="E5748" s="3" t="str">
        <f ca="1">IF(Tabela2[[#This Row],[Dt Venc:]]&gt;TODAY(),"Em Aberto",IF(Tabela2[[#This Row],[D/venc]]="-","Enviado",IF(Tabela2[[#This Row],[Dt Venc:]]=TODAY(),"Vence Hoje","Vencida")))</f>
        <v>Em Aberto</v>
      </c>
      <c r="F5748" s="3" t="str">
        <f ca="1">IF(G5748=1,"-",Tabela2[[#This Row],[Dt Venc:]]-TODAY())</f>
        <v>-</v>
      </c>
      <c r="G5748" s="3">
        <v>1</v>
      </c>
      <c r="H5748" s="3"/>
    </row>
    <row r="5749" spans="1:8" hidden="1">
      <c r="A5749" s="3" t="s">
        <v>179</v>
      </c>
      <c r="B5749" s="7" t="s">
        <v>180</v>
      </c>
      <c r="C5749" s="100" t="s">
        <v>32</v>
      </c>
      <c r="D5749" s="6">
        <v>45697</v>
      </c>
      <c r="E5749" s="3" t="str">
        <f ca="1">IF(Tabela2[[#This Row],[Dt Venc:]]&gt;TODAY(),"Em Aberto",IF(Tabela2[[#This Row],[D/venc]]="-","Enviado",IF(Tabela2[[#This Row],[Dt Venc:]]=TODAY(),"Vence Hoje","Vencida")))</f>
        <v>Em Aberto</v>
      </c>
      <c r="F5749" s="3" t="str">
        <f ca="1">IF(G5749=1,"-",Tabela2[[#This Row],[Dt Venc:]]-TODAY())</f>
        <v>-</v>
      </c>
      <c r="G5749" s="3">
        <v>1</v>
      </c>
      <c r="H5749" s="3"/>
    </row>
    <row r="5750" spans="1:8" hidden="1">
      <c r="A5750" s="3" t="s">
        <v>179</v>
      </c>
      <c r="B5750" s="7" t="s">
        <v>190</v>
      </c>
      <c r="C5750" s="100" t="s">
        <v>32</v>
      </c>
      <c r="D5750" s="6">
        <v>45698</v>
      </c>
      <c r="E5750" s="3" t="str">
        <f ca="1">IF(Tabela2[[#This Row],[Dt Venc:]]&gt;TODAY(),"Em Aberto",IF(Tabela2[[#This Row],[D/venc]]="-","Enviado",IF(Tabela2[[#This Row],[Dt Venc:]]=TODAY(),"Vence Hoje","Vencida")))</f>
        <v>Em Aberto</v>
      </c>
      <c r="F5750" s="3" t="str">
        <f ca="1">IF(G5750=1,"-",Tabela2[[#This Row],[Dt Venc:]]-TODAY())</f>
        <v>-</v>
      </c>
      <c r="G5750" s="3">
        <v>1</v>
      </c>
      <c r="H5750" s="3"/>
    </row>
    <row r="5751" spans="1:8" hidden="1">
      <c r="A5751" s="3">
        <v>23365</v>
      </c>
      <c r="B5751" s="7" t="s">
        <v>632</v>
      </c>
      <c r="C5751" s="41">
        <v>545</v>
      </c>
      <c r="D5751" s="6">
        <v>45699</v>
      </c>
      <c r="E5751" s="3" t="str">
        <f ca="1">IF(Tabela2[[#This Row],[Dt Venc:]]&gt;TODAY(),"Em Aberto",IF(Tabela2[[#This Row],[D/venc]]="-","Enviado",IF(Tabela2[[#This Row],[Dt Venc:]]=TODAY(),"Vence Hoje","Vencida")))</f>
        <v>Em Aberto</v>
      </c>
      <c r="F5751" s="3" t="str">
        <f ca="1">IF(G5751=1,"-",Tabela2[[#This Row],[Dt Venc:]]-TODAY())</f>
        <v>-</v>
      </c>
      <c r="G5751" s="3">
        <v>1</v>
      </c>
      <c r="H5751" s="3"/>
    </row>
    <row r="5752" spans="1:8" hidden="1">
      <c r="A5752" s="3">
        <v>30672</v>
      </c>
      <c r="B5752" s="7" t="s">
        <v>97</v>
      </c>
      <c r="C5752" s="41">
        <v>1826</v>
      </c>
      <c r="D5752" s="6">
        <v>45699</v>
      </c>
      <c r="E5752" s="3" t="str">
        <f ca="1">IF(Tabela2[[#This Row],[Dt Venc:]]&gt;TODAY(),"Em Aberto",IF(Tabela2[[#This Row],[D/venc]]="-","Enviado",IF(Tabela2[[#This Row],[Dt Venc:]]=TODAY(),"Vence Hoje","Vencida")))</f>
        <v>Em Aberto</v>
      </c>
      <c r="F5752" s="3" t="str">
        <f ca="1">IF(G5752=1,"-",Tabela2[[#This Row],[Dt Venc:]]-TODAY())</f>
        <v>-</v>
      </c>
      <c r="G5752" s="3">
        <v>1</v>
      </c>
      <c r="H5752" s="3"/>
    </row>
    <row r="5753" spans="1:8" hidden="1">
      <c r="A5753" s="3">
        <v>44137</v>
      </c>
      <c r="B5753" s="7" t="s">
        <v>529</v>
      </c>
      <c r="C5753" s="41">
        <v>1424.33</v>
      </c>
      <c r="D5753" s="6">
        <v>45699</v>
      </c>
      <c r="E5753" s="3" t="str">
        <f ca="1">IF(Tabela2[[#This Row],[Dt Venc:]]&gt;TODAY(),"Em Aberto",IF(Tabela2[[#This Row],[D/venc]]="-","Enviado",IF(Tabela2[[#This Row],[Dt Venc:]]=TODAY(),"Vence Hoje","Vencida")))</f>
        <v>Em Aberto</v>
      </c>
      <c r="F5753" s="3" t="str">
        <f ca="1">IF(G5753=1,"-",Tabela2[[#This Row],[Dt Venc:]]-TODAY())</f>
        <v>-</v>
      </c>
      <c r="G5753" s="3">
        <v>1</v>
      </c>
      <c r="H5753" s="3"/>
    </row>
    <row r="5754" spans="1:8" hidden="1">
      <c r="A5754" s="3">
        <v>55106</v>
      </c>
      <c r="B5754" s="7" t="s">
        <v>35</v>
      </c>
      <c r="C5754" s="41">
        <v>230</v>
      </c>
      <c r="D5754" s="6">
        <v>45699</v>
      </c>
      <c r="E5754" s="3" t="str">
        <f ca="1">IF(Tabela2[[#This Row],[Dt Venc:]]&gt;TODAY(),"Em Aberto",IF(Tabela2[[#This Row],[D/venc]]="-","Enviado",IF(Tabela2[[#This Row],[Dt Venc:]]=TODAY(),"Vence Hoje","Vencida")))</f>
        <v>Em Aberto</v>
      </c>
      <c r="F5754" s="3" t="str">
        <f ca="1">IF(G5754=1,"-",Tabela2[[#This Row],[Dt Venc:]]-TODAY())</f>
        <v>-</v>
      </c>
      <c r="G5754" s="3">
        <v>1</v>
      </c>
      <c r="H5754" s="3"/>
    </row>
    <row r="5755" spans="1:8" hidden="1">
      <c r="A5755" s="3">
        <v>90169</v>
      </c>
      <c r="B5755" s="7" t="s">
        <v>207</v>
      </c>
      <c r="C5755" s="41">
        <v>675</v>
      </c>
      <c r="D5755" s="6">
        <v>45699</v>
      </c>
      <c r="E5755" s="3" t="str">
        <f ca="1">IF(Tabela2[[#This Row],[Dt Venc:]]&gt;TODAY(),"Em Aberto",IF(Tabela2[[#This Row],[D/venc]]="-","Enviado",IF(Tabela2[[#This Row],[Dt Venc:]]=TODAY(),"Vence Hoje","Vencida")))</f>
        <v>Em Aberto</v>
      </c>
      <c r="F5755" s="3" t="str">
        <f ca="1">IF(G5755=1,"-",Tabela2[[#This Row],[Dt Venc:]]-TODAY())</f>
        <v>-</v>
      </c>
      <c r="G5755" s="3">
        <v>1</v>
      </c>
      <c r="H5755" s="3"/>
    </row>
    <row r="5756" spans="1:8" hidden="1">
      <c r="A5756" s="3">
        <v>131348</v>
      </c>
      <c r="B5756" s="7" t="s">
        <v>389</v>
      </c>
      <c r="C5756" s="41">
        <v>386.98</v>
      </c>
      <c r="D5756" s="6">
        <v>45699</v>
      </c>
      <c r="E5756" s="3" t="str">
        <f ca="1">IF(Tabela2[[#This Row],[Dt Venc:]]&gt;TODAY(),"Em Aberto",IF(Tabela2[[#This Row],[D/venc]]="-","Enviado",IF(Tabela2[[#This Row],[Dt Venc:]]=TODAY(),"Vence Hoje","Vencida")))</f>
        <v>Em Aberto</v>
      </c>
      <c r="F5756" s="3" t="str">
        <f ca="1">IF(G5756=1,"-",Tabela2[[#This Row],[Dt Venc:]]-TODAY())</f>
        <v>-</v>
      </c>
      <c r="G5756" s="3">
        <v>1</v>
      </c>
      <c r="H5756" s="3"/>
    </row>
    <row r="5757" spans="1:8" hidden="1">
      <c r="A5757" s="3">
        <v>135340</v>
      </c>
      <c r="B5757" s="7" t="s">
        <v>534</v>
      </c>
      <c r="C5757" s="41">
        <v>470.24</v>
      </c>
      <c r="D5757" s="6">
        <v>45699</v>
      </c>
      <c r="E5757" s="3" t="str">
        <f ca="1">IF(Tabela2[[#This Row],[Dt Venc:]]&gt;TODAY(),"Em Aberto",IF(Tabela2[[#This Row],[D/venc]]="-","Enviado",IF(Tabela2[[#This Row],[Dt Venc:]]=TODAY(),"Vence Hoje","Vencida")))</f>
        <v>Em Aberto</v>
      </c>
      <c r="F5757" s="3" t="str">
        <f ca="1">IF(G5757=1,"-",Tabela2[[#This Row],[Dt Venc:]]-TODAY())</f>
        <v>-</v>
      </c>
      <c r="G5757" s="3">
        <v>1</v>
      </c>
      <c r="H5757" s="3"/>
    </row>
    <row r="5758" spans="1:8" hidden="1">
      <c r="A5758" s="3">
        <v>137675</v>
      </c>
      <c r="B5758" s="7" t="s">
        <v>77</v>
      </c>
      <c r="C5758" s="41">
        <v>649.33000000000004</v>
      </c>
      <c r="D5758" s="6">
        <v>45699</v>
      </c>
      <c r="E5758" s="3" t="str">
        <f ca="1">IF(Tabela2[[#This Row],[Dt Venc:]]&gt;TODAY(),"Em Aberto",IF(Tabela2[[#This Row],[D/venc]]="-","Enviado",IF(Tabela2[[#This Row],[Dt Venc:]]=TODAY(),"Vence Hoje","Vencida")))</f>
        <v>Em Aberto</v>
      </c>
      <c r="F5758" s="3" t="str">
        <f ca="1">IF(G5758=1,"-",Tabela2[[#This Row],[Dt Venc:]]-TODAY())</f>
        <v>-</v>
      </c>
      <c r="G5758" s="3">
        <v>1</v>
      </c>
      <c r="H5758" s="3"/>
    </row>
    <row r="5759" spans="1:8" hidden="1">
      <c r="A5759" s="3">
        <v>154402</v>
      </c>
      <c r="B5759" s="7" t="s">
        <v>77</v>
      </c>
      <c r="C5759" s="41">
        <v>450</v>
      </c>
      <c r="D5759" s="6">
        <v>45699</v>
      </c>
      <c r="E5759" s="3" t="str">
        <f ca="1">IF(Tabela2[[#This Row],[Dt Venc:]]&gt;TODAY(),"Em Aberto",IF(Tabela2[[#This Row],[D/venc]]="-","Enviado",IF(Tabela2[[#This Row],[Dt Venc:]]=TODAY(),"Vence Hoje","Vencida")))</f>
        <v>Em Aberto</v>
      </c>
      <c r="F5759" s="3" t="str">
        <f ca="1">IF(G5759=1,"-",Tabela2[[#This Row],[Dt Venc:]]-TODAY())</f>
        <v>-</v>
      </c>
      <c r="G5759" s="3">
        <v>1</v>
      </c>
      <c r="H5759" s="3"/>
    </row>
    <row r="5760" spans="1:8" hidden="1">
      <c r="A5760" s="3">
        <v>154404</v>
      </c>
      <c r="B5760" s="7" t="s">
        <v>77</v>
      </c>
      <c r="C5760" s="41">
        <v>773.33</v>
      </c>
      <c r="D5760" s="6">
        <v>45699</v>
      </c>
      <c r="E5760" s="3" t="str">
        <f ca="1">IF(Tabela2[[#This Row],[Dt Venc:]]&gt;TODAY(),"Em Aberto",IF(Tabela2[[#This Row],[D/venc]]="-","Enviado",IF(Tabela2[[#This Row],[Dt Venc:]]=TODAY(),"Vence Hoje","Vencida")))</f>
        <v>Em Aberto</v>
      </c>
      <c r="F5760" s="3" t="str">
        <f ca="1">IF(G5760=1,"-",Tabela2[[#This Row],[Dt Venc:]]-TODAY())</f>
        <v>-</v>
      </c>
      <c r="G5760" s="3">
        <v>1</v>
      </c>
      <c r="H5760" s="3"/>
    </row>
    <row r="5761" spans="1:8" hidden="1">
      <c r="A5761" s="3">
        <v>155188</v>
      </c>
      <c r="B5761" s="7" t="s">
        <v>77</v>
      </c>
      <c r="C5761" s="41">
        <v>1233.33</v>
      </c>
      <c r="D5761" s="6">
        <v>45699</v>
      </c>
      <c r="E5761" s="3" t="str">
        <f ca="1">IF(Tabela2[[#This Row],[Dt Venc:]]&gt;TODAY(),"Em Aberto",IF(Tabela2[[#This Row],[D/venc]]="-","Enviado",IF(Tabela2[[#This Row],[Dt Venc:]]=TODAY(),"Vence Hoje","Vencida")))</f>
        <v>Em Aberto</v>
      </c>
      <c r="F5761" s="3" t="str">
        <f ca="1">IF(G5761=1,"-",Tabela2[[#This Row],[Dt Venc:]]-TODAY())</f>
        <v>-</v>
      </c>
      <c r="G5761" s="3">
        <v>1</v>
      </c>
      <c r="H5761" s="3"/>
    </row>
    <row r="5762" spans="1:8" hidden="1">
      <c r="A5762" s="3">
        <v>178074</v>
      </c>
      <c r="B5762" s="7" t="s">
        <v>211</v>
      </c>
      <c r="C5762" s="41">
        <v>500</v>
      </c>
      <c r="D5762" s="6">
        <v>45699</v>
      </c>
      <c r="E5762" s="3" t="str">
        <f ca="1">IF(Tabela2[[#This Row],[Dt Venc:]]&gt;TODAY(),"Em Aberto",IF(Tabela2[[#This Row],[D/venc]]="-","Enviado",IF(Tabela2[[#This Row],[Dt Venc:]]=TODAY(),"Vence Hoje","Vencida")))</f>
        <v>Em Aberto</v>
      </c>
      <c r="F5762" s="3" t="str">
        <f ca="1">IF(G5762=1,"-",Tabela2[[#This Row],[Dt Venc:]]-TODAY())</f>
        <v>-</v>
      </c>
      <c r="G5762" s="3">
        <v>1</v>
      </c>
      <c r="H5762" s="3"/>
    </row>
    <row r="5763" spans="1:8" hidden="1">
      <c r="A5763" s="3">
        <v>185013</v>
      </c>
      <c r="B5763" s="7" t="s">
        <v>692</v>
      </c>
      <c r="C5763" s="41">
        <v>550</v>
      </c>
      <c r="D5763" s="6">
        <v>45699</v>
      </c>
      <c r="E5763" s="3" t="str">
        <f ca="1">IF(Tabela2[[#This Row],[Dt Venc:]]&gt;TODAY(),"Em Aberto",IF(Tabela2[[#This Row],[D/venc]]="-","Enviado",IF(Tabela2[[#This Row],[Dt Venc:]]=TODAY(),"Vence Hoje","Vencida")))</f>
        <v>Em Aberto</v>
      </c>
      <c r="F5763" s="3" t="str">
        <f ca="1">IF(G5763=1,"-",Tabela2[[#This Row],[Dt Venc:]]-TODAY())</f>
        <v>-</v>
      </c>
      <c r="G5763" s="3">
        <v>1</v>
      </c>
      <c r="H5763" s="3"/>
    </row>
    <row r="5764" spans="1:8" hidden="1">
      <c r="A5764" s="3">
        <v>255551</v>
      </c>
      <c r="B5764" s="7" t="s">
        <v>43</v>
      </c>
      <c r="C5764" s="41">
        <v>2694.79</v>
      </c>
      <c r="D5764" s="6">
        <v>45699</v>
      </c>
      <c r="E5764" s="3" t="str">
        <f ca="1">IF(Tabela2[[#This Row],[Dt Venc:]]&gt;TODAY(),"Em Aberto",IF(Tabela2[[#This Row],[D/venc]]="-","Enviado",IF(Tabela2[[#This Row],[Dt Venc:]]=TODAY(),"Vence Hoje","Vencida")))</f>
        <v>Em Aberto</v>
      </c>
      <c r="F5764" s="3" t="str">
        <f ca="1">IF(G5764=1,"-",Tabela2[[#This Row],[Dt Venc:]]-TODAY())</f>
        <v>-</v>
      </c>
      <c r="G5764" s="3">
        <v>1</v>
      </c>
      <c r="H5764" s="3"/>
    </row>
    <row r="5765" spans="1:8" hidden="1">
      <c r="A5765" s="3">
        <v>259441</v>
      </c>
      <c r="B5765" s="7" t="s">
        <v>49</v>
      </c>
      <c r="C5765" s="41">
        <v>1716.66</v>
      </c>
      <c r="D5765" s="6">
        <v>45699</v>
      </c>
      <c r="E5765" s="3" t="str">
        <f ca="1">IF(Tabela2[[#This Row],[Dt Venc:]]&gt;TODAY(),"Em Aberto",IF(Tabela2[[#This Row],[D/venc]]="-","Enviado",IF(Tabela2[[#This Row],[Dt Venc:]]=TODAY(),"Vence Hoje","Vencida")))</f>
        <v>Em Aberto</v>
      </c>
      <c r="F5765" s="3" t="str">
        <f ca="1">IF(G5765=1,"-",Tabela2[[#This Row],[Dt Venc:]]-TODAY())</f>
        <v>-</v>
      </c>
      <c r="G5765" s="3">
        <v>1</v>
      </c>
      <c r="H5765" s="3"/>
    </row>
    <row r="5766" spans="1:8" hidden="1">
      <c r="A5766" s="3">
        <v>259691</v>
      </c>
      <c r="B5766" s="7" t="s">
        <v>326</v>
      </c>
      <c r="C5766" s="41">
        <v>1716.66</v>
      </c>
      <c r="D5766" s="6">
        <v>45699</v>
      </c>
      <c r="E5766" s="3" t="str">
        <f ca="1">IF(Tabela2[[#This Row],[Dt Venc:]]&gt;TODAY(),"Em Aberto",IF(Tabela2[[#This Row],[D/venc]]="-","Enviado",IF(Tabela2[[#This Row],[Dt Venc:]]=TODAY(),"Vence Hoje","Vencida")))</f>
        <v>Em Aberto</v>
      </c>
      <c r="F5766" s="3" t="str">
        <f ca="1">IF(G5766=1,"-",Tabela2[[#This Row],[Dt Venc:]]-TODAY())</f>
        <v>-</v>
      </c>
      <c r="G5766" s="3">
        <v>1</v>
      </c>
      <c r="H5766" s="3"/>
    </row>
    <row r="5767" spans="1:8" hidden="1">
      <c r="A5767" s="3">
        <v>274572</v>
      </c>
      <c r="B5767" s="7" t="s">
        <v>36</v>
      </c>
      <c r="C5767" s="41">
        <v>1760</v>
      </c>
      <c r="D5767" s="6">
        <v>45699</v>
      </c>
      <c r="E5767" s="3" t="str">
        <f ca="1">IF(Tabela2[[#This Row],[Dt Venc:]]&gt;TODAY(),"Em Aberto",IF(Tabela2[[#This Row],[D/venc]]="-","Enviado",IF(Tabela2[[#This Row],[Dt Venc:]]=TODAY(),"Vence Hoje","Vencida")))</f>
        <v>Em Aberto</v>
      </c>
      <c r="F5767" s="3" t="str">
        <f ca="1">IF(G5767=1,"-",Tabela2[[#This Row],[Dt Venc:]]-TODAY())</f>
        <v>-</v>
      </c>
      <c r="G5767" s="3">
        <v>1</v>
      </c>
      <c r="H5767" s="3"/>
    </row>
    <row r="5768" spans="1:8" hidden="1">
      <c r="A5768" s="3">
        <v>278455</v>
      </c>
      <c r="B5768" s="7" t="s">
        <v>43</v>
      </c>
      <c r="C5768" s="41">
        <v>518</v>
      </c>
      <c r="D5768" s="6">
        <v>45699</v>
      </c>
      <c r="E5768" s="3" t="str">
        <f ca="1">IF(Tabela2[[#This Row],[Dt Venc:]]&gt;TODAY(),"Em Aberto",IF(Tabela2[[#This Row],[D/venc]]="-","Enviado",IF(Tabela2[[#This Row],[Dt Venc:]]=TODAY(),"Vence Hoje","Vencida")))</f>
        <v>Em Aberto</v>
      </c>
      <c r="F5768" s="3" t="str">
        <f ca="1">IF(G5768=1,"-",Tabela2[[#This Row],[Dt Venc:]]-TODAY())</f>
        <v>-</v>
      </c>
      <c r="G5768" s="3">
        <v>1</v>
      </c>
      <c r="H5768" s="3"/>
    </row>
    <row r="5769" spans="1:8" hidden="1">
      <c r="A5769" s="3">
        <v>330462</v>
      </c>
      <c r="B5769" s="7" t="s">
        <v>77</v>
      </c>
      <c r="C5769" s="41">
        <v>438.33</v>
      </c>
      <c r="D5769" s="6">
        <v>45699</v>
      </c>
      <c r="E5769" s="3" t="str">
        <f ca="1">IF(Tabela2[[#This Row],[Dt Venc:]]&gt;TODAY(),"Em Aberto",IF(Tabela2[[#This Row],[D/venc]]="-","Enviado",IF(Tabela2[[#This Row],[Dt Venc:]]=TODAY(),"Vence Hoje","Vencida")))</f>
        <v>Em Aberto</v>
      </c>
      <c r="F5769" s="3" t="str">
        <f ca="1">IF(G5769=1,"-",Tabela2[[#This Row],[Dt Venc:]]-TODAY())</f>
        <v>-</v>
      </c>
      <c r="G5769" s="3">
        <v>1</v>
      </c>
      <c r="H5769" s="3"/>
    </row>
    <row r="5770" spans="1:8" hidden="1">
      <c r="A5770" s="3">
        <v>366980</v>
      </c>
      <c r="B5770" s="7" t="s">
        <v>59</v>
      </c>
      <c r="C5770" s="41">
        <v>56788</v>
      </c>
      <c r="D5770" s="6">
        <v>45699</v>
      </c>
      <c r="E5770" s="3" t="str">
        <f ca="1">IF(Tabela2[[#This Row],[Dt Venc:]]&gt;TODAY(),"Em Aberto",IF(Tabela2[[#This Row],[D/venc]]="-","Enviado",IF(Tabela2[[#This Row],[Dt Venc:]]=TODAY(),"Vence Hoje","Vencida")))</f>
        <v>Em Aberto</v>
      </c>
      <c r="F5770" s="3" t="str">
        <f ca="1">IF(G5770=1,"-",Tabela2[[#This Row],[Dt Venc:]]-TODAY())</f>
        <v>-</v>
      </c>
      <c r="G5770" s="3">
        <v>1</v>
      </c>
      <c r="H5770" s="3"/>
    </row>
    <row r="5771" spans="1:8" hidden="1">
      <c r="A5771" s="3">
        <v>372665</v>
      </c>
      <c r="B5771" s="7" t="s">
        <v>39</v>
      </c>
      <c r="C5771" s="41">
        <v>2025.78</v>
      </c>
      <c r="D5771" s="6">
        <v>45699</v>
      </c>
      <c r="E5771" s="3" t="str">
        <f ca="1">IF(Tabela2[[#This Row],[Dt Venc:]]&gt;TODAY(),"Em Aberto",IF(Tabela2[[#This Row],[D/venc]]="-","Enviado",IF(Tabela2[[#This Row],[Dt Venc:]]=TODAY(),"Vence Hoje","Vencida")))</f>
        <v>Em Aberto</v>
      </c>
      <c r="F5771" s="3" t="str">
        <f ca="1">IF(G5771=1,"-",Tabela2[[#This Row],[Dt Venc:]]-TODAY())</f>
        <v>-</v>
      </c>
      <c r="G5771" s="3">
        <v>1</v>
      </c>
      <c r="H5771" s="3"/>
    </row>
    <row r="5772" spans="1:8" hidden="1">
      <c r="A5772" s="3">
        <v>391193</v>
      </c>
      <c r="B5772" s="7" t="s">
        <v>43</v>
      </c>
      <c r="C5772" s="41">
        <v>776.56</v>
      </c>
      <c r="D5772" s="6">
        <v>45699</v>
      </c>
      <c r="E5772" s="3" t="str">
        <f ca="1">IF(Tabela2[[#This Row],[Dt Venc:]]&gt;TODAY(),"Em Aberto",IF(Tabela2[[#This Row],[D/venc]]="-","Enviado",IF(Tabela2[[#This Row],[Dt Venc:]]=TODAY(),"Vence Hoje","Vencida")))</f>
        <v>Em Aberto</v>
      </c>
      <c r="F5772" s="3" t="str">
        <f ca="1">IF(G5772=1,"-",Tabela2[[#This Row],[Dt Venc:]]-TODAY())</f>
        <v>-</v>
      </c>
      <c r="G5772" s="3">
        <v>1</v>
      </c>
      <c r="H5772" s="3"/>
    </row>
    <row r="5773" spans="1:8" hidden="1">
      <c r="A5773" s="3" t="s">
        <v>123</v>
      </c>
      <c r="B5773" s="7" t="s">
        <v>201</v>
      </c>
      <c r="C5773" s="87" t="s">
        <v>32</v>
      </c>
      <c r="D5773" s="6">
        <v>45698</v>
      </c>
      <c r="E5773" s="3" t="str">
        <f ca="1">IF(Tabela2[[#This Row],[Dt Venc:]]&gt;TODAY(),"Em Aberto",IF(Tabela2[[#This Row],[D/venc]]="-","Enviado",IF(Tabela2[[#This Row],[Dt Venc:]]=TODAY(),"Vence Hoje","Vencida")))</f>
        <v>Em Aberto</v>
      </c>
      <c r="F5773" s="3" t="str">
        <f ca="1">IF(G5773=1,"-",Tabela2[[#This Row],[Dt Venc:]]-TODAY())</f>
        <v>-</v>
      </c>
      <c r="G5773" s="3">
        <v>1</v>
      </c>
      <c r="H5773" s="3"/>
    </row>
    <row r="5774" spans="1:8" hidden="1">
      <c r="A5774" s="3">
        <v>430471</v>
      </c>
      <c r="B5774" s="7" t="s">
        <v>89</v>
      </c>
      <c r="C5774" s="41">
        <v>2575.52</v>
      </c>
      <c r="D5774" s="6">
        <v>45699</v>
      </c>
      <c r="E5774" s="3" t="str">
        <f ca="1">IF(Tabela2[[#This Row],[Dt Venc:]]&gt;TODAY(),"Em Aberto",IF(Tabela2[[#This Row],[D/venc]]="-","Enviado",IF(Tabela2[[#This Row],[Dt Venc:]]=TODAY(),"Vence Hoje","Vencida")))</f>
        <v>Em Aberto</v>
      </c>
      <c r="F5774" s="3" t="str">
        <f ca="1">IF(G5774=1,"-",Tabela2[[#This Row],[Dt Venc:]]-TODAY())</f>
        <v>-</v>
      </c>
      <c r="G5774" s="3">
        <v>1</v>
      </c>
      <c r="H5774" s="3"/>
    </row>
    <row r="5775" spans="1:8" hidden="1">
      <c r="A5775" s="3">
        <v>2520993</v>
      </c>
      <c r="B5775" s="7" t="s">
        <v>59</v>
      </c>
      <c r="C5775" s="41">
        <v>81151.5</v>
      </c>
      <c r="D5775" s="6">
        <v>45699</v>
      </c>
      <c r="E5775" s="3" t="str">
        <f ca="1">IF(Tabela2[[#This Row],[Dt Venc:]]&gt;TODAY(),"Em Aberto",IF(Tabela2[[#This Row],[D/venc]]="-","Enviado",IF(Tabela2[[#This Row],[Dt Venc:]]=TODAY(),"Vence Hoje","Vencida")))</f>
        <v>Em Aberto</v>
      </c>
      <c r="F5775" s="3" t="str">
        <f ca="1">IF(G5775=1,"-",Tabela2[[#This Row],[Dt Venc:]]-TODAY())</f>
        <v>-</v>
      </c>
      <c r="G5775" s="3">
        <v>1</v>
      </c>
      <c r="H5775" s="3"/>
    </row>
    <row r="5776" spans="1:8" hidden="1">
      <c r="A5776" s="3">
        <v>9</v>
      </c>
      <c r="B5776" s="7" t="s">
        <v>246</v>
      </c>
      <c r="C5776" s="41">
        <v>144919.32</v>
      </c>
      <c r="D5776" s="6">
        <v>45700</v>
      </c>
      <c r="E5776" s="3" t="str">
        <f ca="1">IF(Tabela2[[#This Row],[Dt Venc:]]&gt;TODAY(),"Em Aberto",IF(Tabela2[[#This Row],[D/venc]]="-","Enviado",IF(Tabela2[[#This Row],[Dt Venc:]]=TODAY(),"Vence Hoje","Vencida")))</f>
        <v>Em Aberto</v>
      </c>
      <c r="F5776" s="3" t="str">
        <f ca="1">IF(G5776=1,"-",Tabela2[[#This Row],[Dt Venc:]]-TODAY())</f>
        <v>-</v>
      </c>
      <c r="G5776" s="3">
        <v>1</v>
      </c>
      <c r="H5776" s="3"/>
    </row>
    <row r="5777" spans="1:8" hidden="1">
      <c r="A5777" s="3">
        <v>4206</v>
      </c>
      <c r="B5777" s="7" t="s">
        <v>539</v>
      </c>
      <c r="C5777" s="41">
        <v>964.45</v>
      </c>
      <c r="D5777" s="6">
        <v>45700</v>
      </c>
      <c r="E5777" s="3" t="str">
        <f ca="1">IF(Tabela2[[#This Row],[Dt Venc:]]&gt;TODAY(),"Em Aberto",IF(Tabela2[[#This Row],[D/venc]]="-","Enviado",IF(Tabela2[[#This Row],[Dt Venc:]]=TODAY(),"Vence Hoje","Vencida")))</f>
        <v>Em Aberto</v>
      </c>
      <c r="F5777" s="3" t="str">
        <f ca="1">IF(G5777=1,"-",Tabela2[[#This Row],[Dt Venc:]]-TODAY())</f>
        <v>-</v>
      </c>
      <c r="G5777" s="3">
        <v>1</v>
      </c>
      <c r="H5777" s="3"/>
    </row>
    <row r="5778" spans="1:8" hidden="1">
      <c r="A5778" s="3">
        <v>5649</v>
      </c>
      <c r="B5778" s="7" t="s">
        <v>43</v>
      </c>
      <c r="C5778" s="41">
        <v>280</v>
      </c>
      <c r="D5778" s="6">
        <v>45700</v>
      </c>
      <c r="E5778" s="3" t="str">
        <f ca="1">IF(Tabela2[[#This Row],[Dt Venc:]]&gt;TODAY(),"Em Aberto",IF(Tabela2[[#This Row],[D/venc]]="-","Enviado",IF(Tabela2[[#This Row],[Dt Venc:]]=TODAY(),"Vence Hoje","Vencida")))</f>
        <v>Em Aberto</v>
      </c>
      <c r="F5778" s="3" t="str">
        <f ca="1">IF(G5778=1,"-",Tabela2[[#This Row],[Dt Venc:]]-TODAY())</f>
        <v>-</v>
      </c>
      <c r="G5778" s="3">
        <v>1</v>
      </c>
      <c r="H5778" s="3"/>
    </row>
    <row r="5779" spans="1:8" hidden="1">
      <c r="A5779" s="3">
        <v>6146</v>
      </c>
      <c r="B5779" s="7" t="s">
        <v>47</v>
      </c>
      <c r="C5779" s="41">
        <v>370.67</v>
      </c>
      <c r="D5779" s="6">
        <v>45700</v>
      </c>
      <c r="E5779" s="3" t="str">
        <f ca="1">IF(Tabela2[[#This Row],[Dt Venc:]]&gt;TODAY(),"Em Aberto",IF(Tabela2[[#This Row],[D/venc]]="-","Enviado",IF(Tabela2[[#This Row],[Dt Venc:]]=TODAY(),"Vence Hoje","Vencida")))</f>
        <v>Em Aberto</v>
      </c>
      <c r="F5779" s="3" t="str">
        <f ca="1">IF(G5779=1,"-",Tabela2[[#This Row],[Dt Venc:]]-TODAY())</f>
        <v>-</v>
      </c>
      <c r="G5779" s="3">
        <v>1</v>
      </c>
      <c r="H5779" s="3"/>
    </row>
    <row r="5780" spans="1:8" hidden="1">
      <c r="A5780" s="3">
        <v>6154</v>
      </c>
      <c r="B5780" s="7" t="s">
        <v>47</v>
      </c>
      <c r="C5780" s="41">
        <v>1675.33</v>
      </c>
      <c r="D5780" s="6">
        <v>45700</v>
      </c>
      <c r="E5780" s="3" t="str">
        <f ca="1">IF(Tabela2[[#This Row],[Dt Venc:]]&gt;TODAY(),"Em Aberto",IF(Tabela2[[#This Row],[D/venc]]="-","Enviado",IF(Tabela2[[#This Row],[Dt Venc:]]=TODAY(),"Vence Hoje","Vencida")))</f>
        <v>Em Aberto</v>
      </c>
      <c r="F5780" s="3" t="str">
        <f ca="1">IF(G5780=1,"-",Tabela2[[#This Row],[Dt Venc:]]-TODAY())</f>
        <v>-</v>
      </c>
      <c r="G5780" s="3">
        <v>1</v>
      </c>
      <c r="H5780" s="3"/>
    </row>
    <row r="5781" spans="1:8" hidden="1">
      <c r="A5781" s="3">
        <v>6155</v>
      </c>
      <c r="B5781" s="7" t="s">
        <v>47</v>
      </c>
      <c r="C5781" s="41">
        <v>2369.0100000000002</v>
      </c>
      <c r="D5781" s="6">
        <v>45700</v>
      </c>
      <c r="E5781" s="3" t="str">
        <f ca="1">IF(Tabela2[[#This Row],[Dt Venc:]]&gt;TODAY(),"Em Aberto",IF(Tabela2[[#This Row],[D/venc]]="-","Enviado",IF(Tabela2[[#This Row],[Dt Venc:]]=TODAY(),"Vence Hoje","Vencida")))</f>
        <v>Em Aberto</v>
      </c>
      <c r="F5781" s="3" t="str">
        <f ca="1">IF(G5781=1,"-",Tabela2[[#This Row],[Dt Venc:]]-TODAY())</f>
        <v>-</v>
      </c>
      <c r="G5781" s="3">
        <v>1</v>
      </c>
      <c r="H5781" s="3"/>
    </row>
    <row r="5782" spans="1:8" hidden="1">
      <c r="A5782" s="3">
        <v>6231</v>
      </c>
      <c r="B5782" s="7" t="s">
        <v>140</v>
      </c>
      <c r="C5782" s="41">
        <v>645</v>
      </c>
      <c r="D5782" s="6">
        <v>45700</v>
      </c>
      <c r="E5782" s="3" t="str">
        <f ca="1">IF(Tabela2[[#This Row],[Dt Venc:]]&gt;TODAY(),"Em Aberto",IF(Tabela2[[#This Row],[D/venc]]="-","Enviado",IF(Tabela2[[#This Row],[Dt Venc:]]=TODAY(),"Vence Hoje","Vencida")))</f>
        <v>Em Aberto</v>
      </c>
      <c r="F5782" s="3" t="str">
        <f ca="1">IF(G5782=1,"-",Tabela2[[#This Row],[Dt Venc:]]-TODAY())</f>
        <v>-</v>
      </c>
      <c r="G5782" s="3">
        <v>1</v>
      </c>
      <c r="H5782" s="3"/>
    </row>
    <row r="5783" spans="1:8" hidden="1">
      <c r="A5783" s="3">
        <v>6237</v>
      </c>
      <c r="B5783" s="7" t="s">
        <v>314</v>
      </c>
      <c r="C5783" s="41">
        <v>566.66999999999996</v>
      </c>
      <c r="D5783" s="6">
        <v>45700</v>
      </c>
      <c r="E5783" s="3" t="str">
        <f ca="1">IF(Tabela2[[#This Row],[Dt Venc:]]&gt;TODAY(),"Em Aberto",IF(Tabela2[[#This Row],[D/venc]]="-","Enviado",IF(Tabela2[[#This Row],[Dt Venc:]]=TODAY(),"Vence Hoje","Vencida")))</f>
        <v>Em Aberto</v>
      </c>
      <c r="F5783" s="3" t="str">
        <f ca="1">IF(G5783=1,"-",Tabela2[[#This Row],[Dt Venc:]]-TODAY())</f>
        <v>-</v>
      </c>
      <c r="G5783" s="3">
        <v>1</v>
      </c>
      <c r="H5783" s="3"/>
    </row>
    <row r="5784" spans="1:8" hidden="1">
      <c r="A5784" s="3">
        <v>9417</v>
      </c>
      <c r="B5784" s="7" t="s">
        <v>536</v>
      </c>
      <c r="C5784" s="41">
        <v>528</v>
      </c>
      <c r="D5784" s="6">
        <v>45700</v>
      </c>
      <c r="E5784" s="3" t="str">
        <f ca="1">IF(Tabela2[[#This Row],[Dt Venc:]]&gt;TODAY(),"Em Aberto",IF(Tabela2[[#This Row],[D/venc]]="-","Enviado",IF(Tabela2[[#This Row],[Dt Venc:]]=TODAY(),"Vence Hoje","Vencida")))</f>
        <v>Em Aberto</v>
      </c>
      <c r="F5784" s="3" t="str">
        <f ca="1">IF(G5784=1,"-",Tabela2[[#This Row],[Dt Venc:]]-TODAY())</f>
        <v>-</v>
      </c>
      <c r="G5784" s="3">
        <v>1</v>
      </c>
      <c r="H5784" s="3"/>
    </row>
    <row r="5785" spans="1:8" hidden="1">
      <c r="A5785" s="3">
        <v>11881</v>
      </c>
      <c r="B5785" s="7" t="s">
        <v>540</v>
      </c>
      <c r="C5785" s="41">
        <v>12165.45</v>
      </c>
      <c r="D5785" s="6">
        <v>45700</v>
      </c>
      <c r="E5785" s="3" t="str">
        <f ca="1">IF(Tabela2[[#This Row],[Dt Venc:]]&gt;TODAY(),"Em Aberto",IF(Tabela2[[#This Row],[D/venc]]="-","Enviado",IF(Tabela2[[#This Row],[Dt Venc:]]=TODAY(),"Vence Hoje","Vencida")))</f>
        <v>Em Aberto</v>
      </c>
      <c r="F5785" s="3" t="str">
        <f ca="1">IF(G5785=1,"-",Tabela2[[#This Row],[Dt Venc:]]-TODAY())</f>
        <v>-</v>
      </c>
      <c r="G5785" s="3">
        <v>1</v>
      </c>
      <c r="H5785" s="3"/>
    </row>
    <row r="5786" spans="1:8" hidden="1">
      <c r="A5786" s="3">
        <v>14372</v>
      </c>
      <c r="B5786" s="7" t="s">
        <v>102</v>
      </c>
      <c r="C5786" s="41">
        <v>450</v>
      </c>
      <c r="D5786" s="6">
        <v>45700</v>
      </c>
      <c r="E5786" s="3" t="str">
        <f ca="1">IF(Tabela2[[#This Row],[Dt Venc:]]&gt;TODAY(),"Em Aberto",IF(Tabela2[[#This Row],[D/venc]]="-","Enviado",IF(Tabela2[[#This Row],[Dt Venc:]]=TODAY(),"Vence Hoje","Vencida")))</f>
        <v>Em Aberto</v>
      </c>
      <c r="F5786" s="3" t="str">
        <f ca="1">IF(G5786=1,"-",Tabela2[[#This Row],[Dt Venc:]]-TODAY())</f>
        <v>-</v>
      </c>
      <c r="G5786" s="3">
        <v>1</v>
      </c>
      <c r="H5786" s="3"/>
    </row>
    <row r="5787" spans="1:8" hidden="1">
      <c r="A5787" s="3">
        <v>16148</v>
      </c>
      <c r="B5787" s="7" t="s">
        <v>289</v>
      </c>
      <c r="C5787" s="41">
        <v>450</v>
      </c>
      <c r="D5787" s="6">
        <v>45700</v>
      </c>
      <c r="E5787" s="3" t="str">
        <f ca="1">IF(Tabela2[[#This Row],[Dt Venc:]]&gt;TODAY(),"Em Aberto",IF(Tabela2[[#This Row],[D/venc]]="-","Enviado",IF(Tabela2[[#This Row],[Dt Venc:]]=TODAY(),"Vence Hoje","Vencida")))</f>
        <v>Em Aberto</v>
      </c>
      <c r="F5787" s="3" t="str">
        <f ca="1">IF(G5787=1,"-",Tabela2[[#This Row],[Dt Venc:]]-TODAY())</f>
        <v>-</v>
      </c>
      <c r="G5787" s="3">
        <v>1</v>
      </c>
      <c r="H5787" s="3"/>
    </row>
    <row r="5788" spans="1:8" hidden="1">
      <c r="A5788" s="3">
        <v>16148</v>
      </c>
      <c r="B5788" s="7" t="s">
        <v>289</v>
      </c>
      <c r="C5788" s="41">
        <v>450</v>
      </c>
      <c r="D5788" s="6">
        <v>45700</v>
      </c>
      <c r="E5788" s="3" t="str">
        <f ca="1">IF(Tabela2[[#This Row],[Dt Venc:]]&gt;TODAY(),"Em Aberto",IF(Tabela2[[#This Row],[D/venc]]="-","Enviado",IF(Tabela2[[#This Row],[Dt Venc:]]=TODAY(),"Vence Hoje","Vencida")))</f>
        <v>Em Aberto</v>
      </c>
      <c r="F5788" s="3" t="str">
        <f ca="1">IF(G5788=1,"-",Tabela2[[#This Row],[Dt Venc:]]-TODAY())</f>
        <v>-</v>
      </c>
      <c r="G5788" s="3">
        <v>1</v>
      </c>
      <c r="H5788" s="3"/>
    </row>
    <row r="5789" spans="1:8" hidden="1">
      <c r="A5789" s="3">
        <v>29920</v>
      </c>
      <c r="B5789" s="7" t="s">
        <v>226</v>
      </c>
      <c r="C5789" s="42">
        <v>2925</v>
      </c>
      <c r="D5789" s="6">
        <v>45700</v>
      </c>
      <c r="E5789" s="3" t="str">
        <f ca="1">IF(Tabela2[[#This Row],[Dt Venc:]]&gt;TODAY(),"Em Aberto",IF(Tabela2[[#This Row],[D/venc]]="-","Enviado",IF(Tabela2[[#This Row],[Dt Venc:]]=TODAY(),"Vence Hoje","Vencida")))</f>
        <v>Em Aberto</v>
      </c>
      <c r="F5789" s="3" t="str">
        <f ca="1">IF(G5789=1,"-",Tabela2[[#This Row],[Dt Venc:]]-TODAY())</f>
        <v>-</v>
      </c>
      <c r="G5789" s="3">
        <v>1</v>
      </c>
      <c r="H5789" s="3"/>
    </row>
    <row r="5790" spans="1:8" hidden="1">
      <c r="A5790" s="3">
        <v>31437</v>
      </c>
      <c r="B5790" s="7" t="s">
        <v>542</v>
      </c>
      <c r="C5790" s="41">
        <v>3070.66</v>
      </c>
      <c r="D5790" s="6">
        <v>45700</v>
      </c>
      <c r="E5790" s="3" t="str">
        <f ca="1">IF(Tabela2[[#This Row],[Dt Venc:]]&gt;TODAY(),"Em Aberto",IF(Tabela2[[#This Row],[D/venc]]="-","Enviado",IF(Tabela2[[#This Row],[Dt Venc:]]=TODAY(),"Vence Hoje","Vencida")))</f>
        <v>Em Aberto</v>
      </c>
      <c r="F5790" s="3" t="str">
        <f ca="1">IF(G5790=1,"-",Tabela2[[#This Row],[Dt Venc:]]-TODAY())</f>
        <v>-</v>
      </c>
      <c r="G5790" s="3">
        <v>1</v>
      </c>
      <c r="H5790" s="3"/>
    </row>
    <row r="5791" spans="1:8" hidden="1">
      <c r="A5791" s="3">
        <v>31578</v>
      </c>
      <c r="B5791" s="7" t="s">
        <v>538</v>
      </c>
      <c r="C5791" s="41">
        <v>1310</v>
      </c>
      <c r="D5791" s="6">
        <v>45700</v>
      </c>
      <c r="E5791" s="3" t="str">
        <f ca="1">IF(Tabela2[[#This Row],[Dt Venc:]]&gt;TODAY(),"Em Aberto",IF(Tabela2[[#This Row],[D/venc]]="-","Enviado",IF(Tabela2[[#This Row],[Dt Venc:]]=TODAY(),"Vence Hoje","Vencida")))</f>
        <v>Em Aberto</v>
      </c>
      <c r="F5791" s="3" t="str">
        <f ca="1">IF(G5791=1,"-",Tabela2[[#This Row],[Dt Venc:]]-TODAY())</f>
        <v>-</v>
      </c>
      <c r="G5791" s="3">
        <v>1</v>
      </c>
      <c r="H5791" s="3"/>
    </row>
    <row r="5792" spans="1:8" hidden="1">
      <c r="A5792" s="3">
        <v>32627</v>
      </c>
      <c r="B5792" s="7" t="s">
        <v>98</v>
      </c>
      <c r="C5792" s="41">
        <v>462.12</v>
      </c>
      <c r="D5792" s="6">
        <v>45700</v>
      </c>
      <c r="E5792" s="3" t="str">
        <f ca="1">IF(Tabela2[[#This Row],[Dt Venc:]]&gt;TODAY(),"Em Aberto",IF(Tabela2[[#This Row],[D/venc]]="-","Enviado",IF(Tabela2[[#This Row],[Dt Venc:]]=TODAY(),"Vence Hoje","Vencida")))</f>
        <v>Em Aberto</v>
      </c>
      <c r="F5792" s="3" t="str">
        <f ca="1">IF(G5792=1,"-",Tabela2[[#This Row],[Dt Venc:]]-TODAY())</f>
        <v>-</v>
      </c>
      <c r="G5792" s="3">
        <v>1</v>
      </c>
      <c r="H5792" s="3"/>
    </row>
    <row r="5793" spans="1:8" hidden="1">
      <c r="A5793" s="3">
        <v>39472</v>
      </c>
      <c r="B5793" s="97" t="s">
        <v>693</v>
      </c>
      <c r="C5793" s="41">
        <v>71</v>
      </c>
      <c r="D5793" s="6">
        <v>45700</v>
      </c>
      <c r="E5793" s="3" t="str">
        <f ca="1">IF(Tabela2[[#This Row],[Dt Venc:]]&gt;TODAY(),"Em Aberto",IF(Tabela2[[#This Row],[D/venc]]="-","Enviado",IF(Tabela2[[#This Row],[Dt Venc:]]=TODAY(),"Vence Hoje","Vencida")))</f>
        <v>Em Aberto</v>
      </c>
      <c r="F5793" s="3" t="str">
        <f ca="1">IF(G5793=1,"-",Tabela2[[#This Row],[Dt Venc:]]-TODAY())</f>
        <v>-</v>
      </c>
      <c r="G5793" s="3">
        <v>1</v>
      </c>
      <c r="H5793" s="3"/>
    </row>
    <row r="5794" spans="1:8" hidden="1">
      <c r="A5794" s="3">
        <v>46857</v>
      </c>
      <c r="B5794" s="7" t="s">
        <v>439</v>
      </c>
      <c r="C5794" s="41">
        <v>213.4</v>
      </c>
      <c r="D5794" s="6">
        <v>45700</v>
      </c>
      <c r="E5794" s="3" t="str">
        <f ca="1">IF(Tabela2[[#This Row],[Dt Venc:]]&gt;TODAY(),"Em Aberto",IF(Tabela2[[#This Row],[D/venc]]="-","Enviado",IF(Tabela2[[#This Row],[Dt Venc:]]=TODAY(),"Vence Hoje","Vencida")))</f>
        <v>Em Aberto</v>
      </c>
      <c r="F5794" s="3" t="str">
        <f ca="1">IF(G5794=1,"-",Tabela2[[#This Row],[Dt Venc:]]-TODAY())</f>
        <v>-</v>
      </c>
      <c r="G5794" s="3">
        <v>1</v>
      </c>
      <c r="H5794" s="3"/>
    </row>
    <row r="5795" spans="1:8" hidden="1">
      <c r="A5795" s="3">
        <v>48330</v>
      </c>
      <c r="B5795" s="7" t="s">
        <v>144</v>
      </c>
      <c r="C5795" s="41">
        <v>2046.97</v>
      </c>
      <c r="D5795" s="6">
        <v>45700</v>
      </c>
      <c r="E5795" s="3" t="str">
        <f ca="1">IF(Tabela2[[#This Row],[Dt Venc:]]&gt;TODAY(),"Em Aberto",IF(Tabela2[[#This Row],[D/venc]]="-","Enviado",IF(Tabela2[[#This Row],[Dt Venc:]]=TODAY(),"Vence Hoje","Vencida")))</f>
        <v>Em Aberto</v>
      </c>
      <c r="F5795" s="3" t="str">
        <f ca="1">IF(G5795=1,"-",Tabela2[[#This Row],[Dt Venc:]]-TODAY())</f>
        <v>-</v>
      </c>
      <c r="G5795" s="3">
        <v>1</v>
      </c>
      <c r="H5795" s="3"/>
    </row>
    <row r="5796" spans="1:8" hidden="1">
      <c r="A5796" s="3">
        <v>64468</v>
      </c>
      <c r="B5796" s="7" t="s">
        <v>435</v>
      </c>
      <c r="C5796" s="41">
        <v>273.5</v>
      </c>
      <c r="D5796" s="6">
        <v>45700</v>
      </c>
      <c r="E5796" s="3" t="str">
        <f ca="1">IF(Tabela2[[#This Row],[Dt Venc:]]&gt;TODAY(),"Em Aberto",IF(Tabela2[[#This Row],[D/venc]]="-","Enviado",IF(Tabela2[[#This Row],[Dt Venc:]]=TODAY(),"Vence Hoje","Vencida")))</f>
        <v>Em Aberto</v>
      </c>
      <c r="F5796" s="3" t="str">
        <f ca="1">IF(G5796=1,"-",Tabela2[[#This Row],[Dt Venc:]]-TODAY())</f>
        <v>-</v>
      </c>
      <c r="G5796" s="3">
        <v>1</v>
      </c>
      <c r="H5796" s="3"/>
    </row>
    <row r="5797" spans="1:8" hidden="1">
      <c r="A5797" s="3">
        <v>64470</v>
      </c>
      <c r="B5797" s="7" t="s">
        <v>435</v>
      </c>
      <c r="C5797" s="41">
        <v>99.5</v>
      </c>
      <c r="D5797" s="6">
        <v>45700</v>
      </c>
      <c r="E5797" s="3" t="str">
        <f ca="1">IF(Tabela2[[#This Row],[Dt Venc:]]&gt;TODAY(),"Em Aberto",IF(Tabela2[[#This Row],[D/venc]]="-","Enviado",IF(Tabela2[[#This Row],[Dt Venc:]]=TODAY(),"Vence Hoje","Vencida")))</f>
        <v>Em Aberto</v>
      </c>
      <c r="F5797" s="3" t="str">
        <f ca="1">IF(G5797=1,"-",Tabela2[[#This Row],[Dt Venc:]]-TODAY())</f>
        <v>-</v>
      </c>
      <c r="G5797" s="3">
        <v>1</v>
      </c>
      <c r="H5797" s="3"/>
    </row>
    <row r="5798" spans="1:8" hidden="1">
      <c r="A5798" s="3">
        <v>73174</v>
      </c>
      <c r="B5798" s="7" t="s">
        <v>76</v>
      </c>
      <c r="C5798" s="41">
        <v>5782.41</v>
      </c>
      <c r="D5798" s="6">
        <v>45700</v>
      </c>
      <c r="E5798" s="3" t="str">
        <f ca="1">IF(Tabela2[[#This Row],[Dt Venc:]]&gt;TODAY(),"Em Aberto",IF(Tabela2[[#This Row],[D/venc]]="-","Enviado",IF(Tabela2[[#This Row],[Dt Venc:]]=TODAY(),"Vence Hoje","Vencida")))</f>
        <v>Em Aberto</v>
      </c>
      <c r="F5798" s="3" t="str">
        <f ca="1">IF(G5798=1,"-",Tabela2[[#This Row],[Dt Venc:]]-TODAY())</f>
        <v>-</v>
      </c>
      <c r="G5798" s="3">
        <v>1</v>
      </c>
      <c r="H5798" s="3"/>
    </row>
    <row r="5799" spans="1:8" hidden="1">
      <c r="A5799" s="3">
        <v>75141</v>
      </c>
      <c r="B5799" s="7" t="s">
        <v>579</v>
      </c>
      <c r="C5799" s="41">
        <v>540</v>
      </c>
      <c r="D5799" s="6">
        <v>45700</v>
      </c>
      <c r="E5799" s="3" t="str">
        <f ca="1">IF(Tabela2[[#This Row],[Dt Venc:]]&gt;TODAY(),"Em Aberto",IF(Tabela2[[#This Row],[D/venc]]="-","Enviado",IF(Tabela2[[#This Row],[Dt Venc:]]=TODAY(),"Vence Hoje","Vencida")))</f>
        <v>Em Aberto</v>
      </c>
      <c r="F5799" s="3" t="str">
        <f ca="1">IF(G5799=1,"-",Tabela2[[#This Row],[Dt Venc:]]-TODAY())</f>
        <v>-</v>
      </c>
      <c r="G5799" s="3">
        <v>1</v>
      </c>
      <c r="H5799" s="3"/>
    </row>
    <row r="5800" spans="1:8" hidden="1">
      <c r="A5800" s="3">
        <v>77984</v>
      </c>
      <c r="B5800" s="7" t="s">
        <v>693</v>
      </c>
      <c r="C5800" s="41">
        <v>611</v>
      </c>
      <c r="D5800" s="6">
        <v>45700</v>
      </c>
      <c r="E5800" s="3" t="str">
        <f ca="1">IF(Tabela2[[#This Row],[Dt Venc:]]&gt;TODAY(),"Em Aberto",IF(Tabela2[[#This Row],[D/venc]]="-","Enviado",IF(Tabela2[[#This Row],[Dt Venc:]]=TODAY(),"Vence Hoje","Vencida")))</f>
        <v>Em Aberto</v>
      </c>
      <c r="F5800" s="3" t="str">
        <f ca="1">IF(G5800=1,"-",Tabela2[[#This Row],[Dt Venc:]]-TODAY())</f>
        <v>-</v>
      </c>
      <c r="G5800" s="3">
        <v>1</v>
      </c>
      <c r="H5800" s="3"/>
    </row>
    <row r="5801" spans="1:8" hidden="1">
      <c r="A5801" s="3">
        <v>143193</v>
      </c>
      <c r="B5801" s="7" t="s">
        <v>516</v>
      </c>
      <c r="C5801" s="41">
        <v>517.86</v>
      </c>
      <c r="D5801" s="6">
        <v>45700</v>
      </c>
      <c r="E5801" s="3" t="str">
        <f ca="1">IF(Tabela2[[#This Row],[Dt Venc:]]&gt;TODAY(),"Em Aberto",IF(Tabela2[[#This Row],[D/venc]]="-","Enviado",IF(Tabela2[[#This Row],[Dt Venc:]]=TODAY(),"Vence Hoje","Vencida")))</f>
        <v>Em Aberto</v>
      </c>
      <c r="F5801" s="3" t="str">
        <f ca="1">IF(G5801=1,"-",Tabela2[[#This Row],[Dt Venc:]]-TODAY())</f>
        <v>-</v>
      </c>
      <c r="G5801" s="3">
        <v>1</v>
      </c>
      <c r="H5801" s="3"/>
    </row>
    <row r="5802" spans="1:8" hidden="1">
      <c r="A5802" s="3">
        <v>148207</v>
      </c>
      <c r="B5802" s="7" t="s">
        <v>127</v>
      </c>
      <c r="C5802" s="41">
        <v>602</v>
      </c>
      <c r="D5802" s="6">
        <v>45700</v>
      </c>
      <c r="E5802" s="3" t="str">
        <f ca="1">IF(Tabela2[[#This Row],[Dt Venc:]]&gt;TODAY(),"Em Aberto",IF(Tabela2[[#This Row],[D/venc]]="-","Enviado",IF(Tabela2[[#This Row],[Dt Venc:]]=TODAY(),"Vence Hoje","Vencida")))</f>
        <v>Em Aberto</v>
      </c>
      <c r="F5802" s="3" t="str">
        <f ca="1">IF(G5802=1,"-",Tabela2[[#This Row],[Dt Venc:]]-TODAY())</f>
        <v>-</v>
      </c>
      <c r="G5802" s="3">
        <v>1</v>
      </c>
      <c r="H5802" s="3"/>
    </row>
    <row r="5803" spans="1:8" hidden="1">
      <c r="A5803" s="3">
        <v>148208</v>
      </c>
      <c r="B5803" s="7" t="s">
        <v>127</v>
      </c>
      <c r="C5803" s="41">
        <v>602</v>
      </c>
      <c r="D5803" s="6">
        <v>45700</v>
      </c>
      <c r="E5803" s="3" t="str">
        <f ca="1">IF(Tabela2[[#This Row],[Dt Venc:]]&gt;TODAY(),"Em Aberto",IF(Tabela2[[#This Row],[D/venc]]="-","Enviado",IF(Tabela2[[#This Row],[Dt Venc:]]=TODAY(),"Vence Hoje","Vencida")))</f>
        <v>Em Aberto</v>
      </c>
      <c r="F5803" s="3" t="str">
        <f ca="1">IF(G5803=1,"-",Tabela2[[#This Row],[Dt Venc:]]-TODAY())</f>
        <v>-</v>
      </c>
      <c r="G5803" s="3">
        <v>1</v>
      </c>
      <c r="H5803" s="3"/>
    </row>
    <row r="5804" spans="1:8" hidden="1">
      <c r="A5804" s="3">
        <v>238253</v>
      </c>
      <c r="B5804" s="7" t="s">
        <v>40</v>
      </c>
      <c r="C5804" s="41">
        <v>980</v>
      </c>
      <c r="D5804" s="6">
        <v>45700</v>
      </c>
      <c r="E5804" s="3" t="str">
        <f ca="1">IF(Tabela2[[#This Row],[Dt Venc:]]&gt;TODAY(),"Em Aberto",IF(Tabela2[[#This Row],[D/venc]]="-","Enviado",IF(Tabela2[[#This Row],[Dt Venc:]]=TODAY(),"Vence Hoje","Vencida")))</f>
        <v>Em Aberto</v>
      </c>
      <c r="F5804" s="3" t="str">
        <f ca="1">IF(G5804=1,"-",Tabela2[[#This Row],[Dt Venc:]]-TODAY())</f>
        <v>-</v>
      </c>
      <c r="G5804" s="3">
        <v>1</v>
      </c>
      <c r="H5804" s="3"/>
    </row>
    <row r="5805" spans="1:8" hidden="1">
      <c r="A5805" s="3">
        <v>241309</v>
      </c>
      <c r="B5805" s="7" t="s">
        <v>139</v>
      </c>
      <c r="C5805" s="41">
        <v>1105</v>
      </c>
      <c r="D5805" s="6">
        <v>45700</v>
      </c>
      <c r="E5805" s="3" t="str">
        <f ca="1">IF(Tabela2[[#This Row],[Dt Venc:]]&gt;TODAY(),"Em Aberto",IF(Tabela2[[#This Row],[D/venc]]="-","Enviado",IF(Tabela2[[#This Row],[Dt Venc:]]=TODAY(),"Vence Hoje","Vencida")))</f>
        <v>Em Aberto</v>
      </c>
      <c r="F5805" s="3" t="str">
        <f ca="1">IF(G5805=1,"-",Tabela2[[#This Row],[Dt Venc:]]-TODAY())</f>
        <v>-</v>
      </c>
      <c r="G5805" s="3">
        <v>1</v>
      </c>
      <c r="H5805" s="3"/>
    </row>
    <row r="5806" spans="1:8" hidden="1">
      <c r="A5806" s="3">
        <v>278385</v>
      </c>
      <c r="B5806" s="7" t="s">
        <v>36</v>
      </c>
      <c r="C5806" s="41">
        <v>603.46</v>
      </c>
      <c r="D5806" s="6">
        <v>45700</v>
      </c>
      <c r="E5806" s="3" t="str">
        <f ca="1">IF(Tabela2[[#This Row],[Dt Venc:]]&gt;TODAY(),"Em Aberto",IF(Tabela2[[#This Row],[D/venc]]="-","Enviado",IF(Tabela2[[#This Row],[Dt Venc:]]=TODAY(),"Vence Hoje","Vencida")))</f>
        <v>Em Aberto</v>
      </c>
      <c r="F5806" s="3" t="str">
        <f ca="1">IF(G5806=1,"-",Tabela2[[#This Row],[Dt Venc:]]-TODAY())</f>
        <v>-</v>
      </c>
      <c r="G5806" s="3">
        <v>1</v>
      </c>
      <c r="H5806" s="3"/>
    </row>
    <row r="5807" spans="1:8" hidden="1">
      <c r="A5807" s="3">
        <v>305359</v>
      </c>
      <c r="B5807" s="7" t="s">
        <v>635</v>
      </c>
      <c r="C5807" s="41">
        <v>341.23</v>
      </c>
      <c r="D5807" s="6">
        <v>45700</v>
      </c>
      <c r="E5807" s="3" t="str">
        <f ca="1">IF(Tabela2[[#This Row],[Dt Venc:]]&gt;TODAY(),"Em Aberto",IF(Tabela2[[#This Row],[D/venc]]="-","Enviado",IF(Tabela2[[#This Row],[Dt Venc:]]=TODAY(),"Vence Hoje","Vencida")))</f>
        <v>Em Aberto</v>
      </c>
      <c r="F5807" s="3" t="str">
        <f ca="1">IF(G5807=1,"-",Tabela2[[#This Row],[Dt Venc:]]-TODAY())</f>
        <v>-</v>
      </c>
      <c r="G5807" s="3">
        <v>1</v>
      </c>
      <c r="H5807" s="3"/>
    </row>
    <row r="5808" spans="1:8" hidden="1">
      <c r="A5808" s="3">
        <v>305359</v>
      </c>
      <c r="B5808" s="7" t="s">
        <v>628</v>
      </c>
      <c r="C5808" s="41">
        <v>341.23</v>
      </c>
      <c r="D5808" s="6">
        <v>45700</v>
      </c>
      <c r="E5808" s="3" t="str">
        <f ca="1">IF(Tabela2[[#This Row],[Dt Venc:]]&gt;TODAY(),"Em Aberto",IF(Tabela2[[#This Row],[D/venc]]="-","Enviado",IF(Tabela2[[#This Row],[Dt Venc:]]=TODAY(),"Vence Hoje","Vencida")))</f>
        <v>Em Aberto</v>
      </c>
      <c r="F5808" s="3" t="str">
        <f ca="1">IF(G5808=1,"-",Tabela2[[#This Row],[Dt Venc:]]-TODAY())</f>
        <v>-</v>
      </c>
      <c r="G5808" s="3">
        <v>1</v>
      </c>
      <c r="H5808" s="3"/>
    </row>
    <row r="5809" spans="1:8" hidden="1">
      <c r="A5809" s="3">
        <v>400755</v>
      </c>
      <c r="B5809" s="7" t="s">
        <v>596</v>
      </c>
      <c r="C5809" s="41">
        <v>4067.07</v>
      </c>
      <c r="D5809" s="6">
        <v>45700</v>
      </c>
      <c r="E5809" s="3" t="str">
        <f ca="1">IF(Tabela2[[#This Row],[Dt Venc:]]&gt;TODAY(),"Em Aberto",IF(Tabela2[[#This Row],[D/venc]]="-","Enviado",IF(Tabela2[[#This Row],[Dt Venc:]]=TODAY(),"Vence Hoje","Vencida")))</f>
        <v>Em Aberto</v>
      </c>
      <c r="F5809" s="3" t="str">
        <f ca="1">IF(G5809=1,"-",Tabela2[[#This Row],[Dt Venc:]]-TODAY())</f>
        <v>-</v>
      </c>
      <c r="G5809" s="3">
        <v>1</v>
      </c>
      <c r="H5809" s="3"/>
    </row>
    <row r="5810" spans="1:8" hidden="1">
      <c r="A5810" s="3">
        <v>443157</v>
      </c>
      <c r="B5810" s="7" t="s">
        <v>601</v>
      </c>
      <c r="C5810" s="41">
        <v>2849</v>
      </c>
      <c r="D5810" s="6">
        <v>45700</v>
      </c>
      <c r="E5810" s="3" t="str">
        <f ca="1">IF(Tabela2[[#This Row],[Dt Venc:]]&gt;TODAY(),"Em Aberto",IF(Tabela2[[#This Row],[D/venc]]="-","Enviado",IF(Tabela2[[#This Row],[Dt Venc:]]=TODAY(),"Vence Hoje","Vencida")))</f>
        <v>Em Aberto</v>
      </c>
      <c r="F5810" s="3" t="str">
        <f ca="1">IF(G5810=1,"-",Tabela2[[#This Row],[Dt Venc:]]-TODAY())</f>
        <v>-</v>
      </c>
      <c r="G5810" s="3">
        <v>1</v>
      </c>
      <c r="H5810" s="3"/>
    </row>
    <row r="5811" spans="1:8" hidden="1">
      <c r="A5811" s="3">
        <v>446592</v>
      </c>
      <c r="B5811" s="7" t="s">
        <v>512</v>
      </c>
      <c r="C5811" s="41">
        <v>474.45</v>
      </c>
      <c r="D5811" s="6">
        <v>45700</v>
      </c>
      <c r="E5811" s="3" t="str">
        <f ca="1">IF(Tabela2[[#This Row],[Dt Venc:]]&gt;TODAY(),"Em Aberto",IF(Tabela2[[#This Row],[D/venc]]="-","Enviado",IF(Tabela2[[#This Row],[Dt Venc:]]=TODAY(),"Vence Hoje","Vencida")))</f>
        <v>Em Aberto</v>
      </c>
      <c r="F5811" s="3" t="str">
        <f ca="1">IF(G5811=1,"-",Tabela2[[#This Row],[Dt Venc:]]-TODAY())</f>
        <v>-</v>
      </c>
      <c r="G5811" s="3">
        <v>1</v>
      </c>
      <c r="H5811" s="3"/>
    </row>
    <row r="5812" spans="1:8" hidden="1">
      <c r="A5812" s="3">
        <v>447919</v>
      </c>
      <c r="B5812" s="7" t="s">
        <v>59</v>
      </c>
      <c r="C5812" s="41">
        <v>28089</v>
      </c>
      <c r="D5812" s="6">
        <v>45700</v>
      </c>
      <c r="E5812" s="3" t="str">
        <f ca="1">IF(Tabela2[[#This Row],[Dt Venc:]]&gt;TODAY(),"Em Aberto",IF(Tabela2[[#This Row],[D/venc]]="-","Enviado",IF(Tabela2[[#This Row],[Dt Venc:]]=TODAY(),"Vence Hoje","Vencida")))</f>
        <v>Em Aberto</v>
      </c>
      <c r="F5812" s="3" t="str">
        <f ca="1">IF(G5812=1,"-",Tabela2[[#This Row],[Dt Venc:]]-TODAY())</f>
        <v>-</v>
      </c>
      <c r="G5812" s="3">
        <v>1</v>
      </c>
      <c r="H5812" s="3"/>
    </row>
    <row r="5813" spans="1:8" hidden="1">
      <c r="A5813" s="3">
        <v>613469</v>
      </c>
      <c r="B5813" s="7" t="s">
        <v>66</v>
      </c>
      <c r="C5813" s="41">
        <v>2978.21</v>
      </c>
      <c r="D5813" s="6">
        <v>45700</v>
      </c>
      <c r="E5813" s="3" t="str">
        <f ca="1">IF(Tabela2[[#This Row],[Dt Venc:]]&gt;TODAY(),"Em Aberto",IF(Tabela2[[#This Row],[D/venc]]="-","Enviado",IF(Tabela2[[#This Row],[Dt Venc:]]=TODAY(),"Vence Hoje","Vencida")))</f>
        <v>Em Aberto</v>
      </c>
      <c r="F5813" s="3" t="str">
        <f ca="1">IF(G5813=1,"-",Tabela2[[#This Row],[Dt Venc:]]-TODAY())</f>
        <v>-</v>
      </c>
      <c r="G5813" s="3">
        <v>1</v>
      </c>
      <c r="H5813" s="3"/>
    </row>
    <row r="5814" spans="1:8" hidden="1">
      <c r="A5814" s="3">
        <v>764562</v>
      </c>
      <c r="B5814" s="7" t="s">
        <v>127</v>
      </c>
      <c r="C5814" s="41">
        <v>543.01</v>
      </c>
      <c r="D5814" s="6">
        <v>45700</v>
      </c>
      <c r="E5814" s="3" t="str">
        <f ca="1">IF(Tabela2[[#This Row],[Dt Venc:]]&gt;TODAY(),"Em Aberto",IF(Tabela2[[#This Row],[D/venc]]="-","Enviado",IF(Tabela2[[#This Row],[Dt Venc:]]=TODAY(),"Vence Hoje","Vencida")))</f>
        <v>Em Aberto</v>
      </c>
      <c r="F5814" s="3" t="str">
        <f ca="1">IF(G5814=1,"-",Tabela2[[#This Row],[Dt Venc:]]-TODAY())</f>
        <v>-</v>
      </c>
      <c r="G5814" s="3">
        <v>1</v>
      </c>
      <c r="H5814" s="3"/>
    </row>
    <row r="5815" spans="1:8" hidden="1">
      <c r="A5815" s="3">
        <v>764562</v>
      </c>
      <c r="B5815" s="7" t="s">
        <v>127</v>
      </c>
      <c r="C5815" s="41">
        <v>543.01</v>
      </c>
      <c r="D5815" s="6">
        <v>45700</v>
      </c>
      <c r="E5815" s="3" t="str">
        <f ca="1">IF(Tabela2[[#This Row],[Dt Venc:]]&gt;TODAY(),"Em Aberto",IF(Tabela2[[#This Row],[D/venc]]="-","Enviado",IF(Tabela2[[#This Row],[Dt Venc:]]=TODAY(),"Vence Hoje","Vencida")))</f>
        <v>Em Aberto</v>
      </c>
      <c r="F5815" s="3" t="str">
        <f ca="1">IF(G5815=1,"-",Tabela2[[#This Row],[Dt Venc:]]-TODAY())</f>
        <v>-</v>
      </c>
      <c r="G5815" s="3">
        <v>1</v>
      </c>
      <c r="H5815" s="3"/>
    </row>
    <row r="5816" spans="1:8" hidden="1">
      <c r="A5816" s="3">
        <v>764565</v>
      </c>
      <c r="B5816" s="7" t="s">
        <v>127</v>
      </c>
      <c r="C5816" s="41">
        <v>543.01</v>
      </c>
      <c r="D5816" s="6">
        <v>45700</v>
      </c>
      <c r="E5816" s="3" t="str">
        <f ca="1">IF(Tabela2[[#This Row],[Dt Venc:]]&gt;TODAY(),"Em Aberto",IF(Tabela2[[#This Row],[D/venc]]="-","Enviado",IF(Tabela2[[#This Row],[Dt Venc:]]=TODAY(),"Vence Hoje","Vencida")))</f>
        <v>Em Aberto</v>
      </c>
      <c r="F5816" s="3" t="str">
        <f ca="1">IF(G5816=1,"-",Tabela2[[#This Row],[Dt Venc:]]-TODAY())</f>
        <v>-</v>
      </c>
      <c r="G5816" s="3">
        <v>1</v>
      </c>
      <c r="H5816" s="3"/>
    </row>
    <row r="5817" spans="1:8" hidden="1">
      <c r="A5817" s="3">
        <v>764565</v>
      </c>
      <c r="B5817" s="7" t="s">
        <v>127</v>
      </c>
      <c r="C5817" s="41">
        <v>543.01</v>
      </c>
      <c r="D5817" s="6">
        <v>45700</v>
      </c>
      <c r="E5817" s="3" t="str">
        <f ca="1">IF(Tabela2[[#This Row],[Dt Venc:]]&gt;TODAY(),"Em Aberto",IF(Tabela2[[#This Row],[D/venc]]="-","Enviado",IF(Tabela2[[#This Row],[Dt Venc:]]=TODAY(),"Vence Hoje","Vencida")))</f>
        <v>Em Aberto</v>
      </c>
      <c r="F5817" s="3" t="str">
        <f ca="1">IF(G5817=1,"-",Tabela2[[#This Row],[Dt Venc:]]-TODAY())</f>
        <v>-</v>
      </c>
      <c r="G5817" s="3">
        <v>1</v>
      </c>
      <c r="H5817" s="3"/>
    </row>
    <row r="5818" spans="1:8" hidden="1">
      <c r="A5818" s="3">
        <v>1266178</v>
      </c>
      <c r="B5818" s="7" t="s">
        <v>64</v>
      </c>
      <c r="C5818" s="41">
        <v>1726.66</v>
      </c>
      <c r="D5818" s="6">
        <v>45700</v>
      </c>
      <c r="E5818" s="3" t="str">
        <f ca="1">IF(Tabela2[[#This Row],[Dt Venc:]]&gt;TODAY(),"Em Aberto",IF(Tabela2[[#This Row],[D/venc]]="-","Enviado",IF(Tabela2[[#This Row],[Dt Venc:]]=TODAY(),"Vence Hoje","Vencida")))</f>
        <v>Em Aberto</v>
      </c>
      <c r="F5818" s="3" t="str">
        <f ca="1">IF(G5818=1,"-",Tabela2[[#This Row],[Dt Venc:]]-TODAY())</f>
        <v>-</v>
      </c>
      <c r="G5818" s="3">
        <v>1</v>
      </c>
      <c r="H5818" s="3"/>
    </row>
    <row r="5819" spans="1:8" hidden="1">
      <c r="A5819" s="3">
        <v>2294062</v>
      </c>
      <c r="B5819" s="7" t="s">
        <v>59</v>
      </c>
      <c r="C5819" s="41">
        <v>55714</v>
      </c>
      <c r="D5819" s="6">
        <v>45700</v>
      </c>
      <c r="E5819" s="3" t="str">
        <f ca="1">IF(Tabela2[[#This Row],[Dt Venc:]]&gt;TODAY(),"Em Aberto",IF(Tabela2[[#This Row],[D/venc]]="-","Enviado",IF(Tabela2[[#This Row],[Dt Venc:]]=TODAY(),"Vence Hoje","Vencida")))</f>
        <v>Em Aberto</v>
      </c>
      <c r="F5819" s="3" t="str">
        <f ca="1">IF(G5819=1,"-",Tabela2[[#This Row],[Dt Venc:]]-TODAY())</f>
        <v>-</v>
      </c>
      <c r="G5819" s="3">
        <v>1</v>
      </c>
      <c r="H5819" s="3"/>
    </row>
    <row r="5820" spans="1:8" hidden="1">
      <c r="A5820" s="3">
        <v>4718276</v>
      </c>
      <c r="B5820" s="7" t="s">
        <v>694</v>
      </c>
      <c r="C5820" s="41">
        <v>1451.72</v>
      </c>
      <c r="D5820" s="6">
        <v>45700</v>
      </c>
      <c r="E5820" s="3" t="str">
        <f ca="1">IF(Tabela2[[#This Row],[Dt Venc:]]&gt;TODAY(),"Em Aberto",IF(Tabela2[[#This Row],[D/venc]]="-","Enviado",IF(Tabela2[[#This Row],[Dt Venc:]]=TODAY(),"Vence Hoje","Vencida")))</f>
        <v>Em Aberto</v>
      </c>
      <c r="F5820" s="3" t="str">
        <f ca="1">IF(G5820=1,"-",Tabela2[[#This Row],[Dt Venc:]]-TODAY())</f>
        <v>-</v>
      </c>
      <c r="G5820" s="3">
        <v>1</v>
      </c>
      <c r="H5820" s="3"/>
    </row>
    <row r="5821" spans="1:8" hidden="1">
      <c r="A5821" s="3">
        <v>31</v>
      </c>
      <c r="B5821" s="7" t="s">
        <v>103</v>
      </c>
      <c r="C5821" s="41">
        <v>600</v>
      </c>
      <c r="D5821" s="6">
        <v>45701</v>
      </c>
      <c r="E5821" s="3" t="str">
        <f ca="1">IF(Tabela2[[#This Row],[Dt Venc:]]&gt;TODAY(),"Em Aberto",IF(Tabela2[[#This Row],[D/venc]]="-","Enviado",IF(Tabela2[[#This Row],[Dt Venc:]]=TODAY(),"Vence Hoje","Vencida")))</f>
        <v>Em Aberto</v>
      </c>
      <c r="F5821" s="3" t="str">
        <f ca="1">IF(G5821=1,"-",Tabela2[[#This Row],[Dt Venc:]]-TODAY())</f>
        <v>-</v>
      </c>
      <c r="G5821" s="3">
        <v>1</v>
      </c>
      <c r="H5821" s="3"/>
    </row>
    <row r="5822" spans="1:8" hidden="1">
      <c r="A5822" s="3">
        <v>1231</v>
      </c>
      <c r="B5822" s="7" t="s">
        <v>155</v>
      </c>
      <c r="C5822" s="41">
        <v>10040</v>
      </c>
      <c r="D5822" s="6">
        <v>45701</v>
      </c>
      <c r="E5822" s="3" t="str">
        <f ca="1">IF(Tabela2[[#This Row],[Dt Venc:]]&gt;TODAY(),"Em Aberto",IF(Tabela2[[#This Row],[D/venc]]="-","Enviado",IF(Tabela2[[#This Row],[Dt Venc:]]=TODAY(),"Vence Hoje","Vencida")))</f>
        <v>Em Aberto</v>
      </c>
      <c r="F5822" s="3" t="str">
        <f ca="1">IF(G5822=1,"-",Tabela2[[#This Row],[Dt Venc:]]-TODAY())</f>
        <v>-</v>
      </c>
      <c r="G5822" s="3">
        <v>1</v>
      </c>
      <c r="H5822" s="3"/>
    </row>
    <row r="5823" spans="1:8" hidden="1">
      <c r="A5823" s="3">
        <v>1815</v>
      </c>
      <c r="B5823" s="7" t="s">
        <v>135</v>
      </c>
      <c r="C5823" s="41">
        <v>228</v>
      </c>
      <c r="D5823" s="6">
        <v>45701</v>
      </c>
      <c r="E5823" s="3" t="str">
        <f ca="1">IF(Tabela2[[#This Row],[Dt Venc:]]&gt;TODAY(),"Em Aberto",IF(Tabela2[[#This Row],[D/venc]]="-","Enviado",IF(Tabela2[[#This Row],[Dt Venc:]]=TODAY(),"Vence Hoje","Vencida")))</f>
        <v>Em Aberto</v>
      </c>
      <c r="F5823" s="3" t="str">
        <f ca="1">IF(G5823=1,"-",Tabela2[[#This Row],[Dt Venc:]]-TODAY())</f>
        <v>-</v>
      </c>
      <c r="G5823" s="3">
        <v>1</v>
      </c>
      <c r="H5823" s="3"/>
    </row>
    <row r="5824" spans="1:8" hidden="1">
      <c r="A5824" s="3">
        <v>5790</v>
      </c>
      <c r="B5824" s="7" t="s">
        <v>43</v>
      </c>
      <c r="C5824" s="41">
        <v>494</v>
      </c>
      <c r="D5824" s="6">
        <v>45701</v>
      </c>
      <c r="E5824" s="3" t="str">
        <f ca="1">IF(Tabela2[[#This Row],[Dt Venc:]]&gt;TODAY(),"Em Aberto",IF(Tabela2[[#This Row],[D/venc]]="-","Enviado",IF(Tabela2[[#This Row],[Dt Venc:]]=TODAY(),"Vence Hoje","Vencida")))</f>
        <v>Em Aberto</v>
      </c>
      <c r="F5824" s="3" t="str">
        <f ca="1">IF(G5824=1,"-",Tabela2[[#This Row],[Dt Venc:]]-TODAY())</f>
        <v>-</v>
      </c>
      <c r="G5824" s="3">
        <v>1</v>
      </c>
      <c r="H5824" s="3"/>
    </row>
    <row r="5825" spans="1:8" hidden="1">
      <c r="A5825" s="3">
        <v>5851</v>
      </c>
      <c r="B5825" s="7" t="s">
        <v>640</v>
      </c>
      <c r="C5825" s="41">
        <v>1905.7</v>
      </c>
      <c r="D5825" s="6">
        <v>45701</v>
      </c>
      <c r="E5825" s="3" t="str">
        <f ca="1">IF(Tabela2[[#This Row],[Dt Venc:]]&gt;TODAY(),"Em Aberto",IF(Tabela2[[#This Row],[D/venc]]="-","Enviado",IF(Tabela2[[#This Row],[Dt Venc:]]=TODAY(),"Vence Hoje","Vencida")))</f>
        <v>Em Aberto</v>
      </c>
      <c r="F5825" s="3" t="str">
        <f ca="1">IF(G5825=1,"-",Tabela2[[#This Row],[Dt Venc:]]-TODAY())</f>
        <v>-</v>
      </c>
      <c r="G5825" s="3">
        <v>1</v>
      </c>
      <c r="H5825" s="3"/>
    </row>
    <row r="5826" spans="1:8" hidden="1">
      <c r="A5826" s="3">
        <v>5851</v>
      </c>
      <c r="B5826" s="7" t="s">
        <v>685</v>
      </c>
      <c r="C5826" s="41">
        <v>1905.7</v>
      </c>
      <c r="D5826" s="6">
        <v>45701</v>
      </c>
      <c r="E5826" s="3" t="str">
        <f ca="1">IF(Tabela2[[#This Row],[Dt Venc:]]&gt;TODAY(),"Em Aberto",IF(Tabela2[[#This Row],[D/venc]]="-","Enviado",IF(Tabela2[[#This Row],[Dt Venc:]]=TODAY(),"Vence Hoje","Vencida")))</f>
        <v>Em Aberto</v>
      </c>
      <c r="F5826" s="3" t="str">
        <f ca="1">IF(G5826=1,"-",Tabela2[[#This Row],[Dt Venc:]]-TODAY())</f>
        <v>-</v>
      </c>
      <c r="G5826" s="3">
        <v>1</v>
      </c>
      <c r="H5826" s="3"/>
    </row>
    <row r="5827" spans="1:8" hidden="1">
      <c r="A5827" s="3">
        <v>6243</v>
      </c>
      <c r="B5827" s="7" t="s">
        <v>140</v>
      </c>
      <c r="C5827" s="41">
        <v>1423.33</v>
      </c>
      <c r="D5827" s="6">
        <v>45701</v>
      </c>
      <c r="E5827" s="3" t="str">
        <f ca="1">IF(Tabela2[[#This Row],[Dt Venc:]]&gt;TODAY(),"Em Aberto",IF(Tabela2[[#This Row],[D/venc]]="-","Enviado",IF(Tabela2[[#This Row],[Dt Venc:]]=TODAY(),"Vence Hoje","Vencida")))</f>
        <v>Em Aberto</v>
      </c>
      <c r="F5827" s="3" t="str">
        <f ca="1">IF(G5827=1,"-",Tabela2[[#This Row],[Dt Venc:]]-TODAY())</f>
        <v>-</v>
      </c>
      <c r="G5827" s="3">
        <v>1</v>
      </c>
      <c r="H5827" s="3"/>
    </row>
    <row r="5828" spans="1:8" hidden="1">
      <c r="A5828" s="3">
        <v>7319</v>
      </c>
      <c r="B5828" s="7" t="s">
        <v>495</v>
      </c>
      <c r="C5828" s="41">
        <v>579</v>
      </c>
      <c r="D5828" s="6">
        <v>45701</v>
      </c>
      <c r="E5828" s="3" t="str">
        <f ca="1">IF(Tabela2[[#This Row],[Dt Venc:]]&gt;TODAY(),"Em Aberto",IF(Tabela2[[#This Row],[D/venc]]="-","Enviado",IF(Tabela2[[#This Row],[Dt Venc:]]=TODAY(),"Vence Hoje","Vencida")))</f>
        <v>Em Aberto</v>
      </c>
      <c r="F5828" s="3" t="str">
        <f ca="1">IF(G5828=1,"-",Tabela2[[#This Row],[Dt Venc:]]-TODAY())</f>
        <v>-</v>
      </c>
      <c r="G5828" s="3">
        <v>1</v>
      </c>
      <c r="H5828" s="3"/>
    </row>
    <row r="5829" spans="1:8" hidden="1">
      <c r="A5829" s="3">
        <v>7737</v>
      </c>
      <c r="B5829" s="7" t="s">
        <v>43</v>
      </c>
      <c r="C5829" s="41">
        <v>330</v>
      </c>
      <c r="D5829" s="6">
        <v>45701</v>
      </c>
      <c r="E5829" s="3" t="str">
        <f ca="1">IF(Tabela2[[#This Row],[Dt Venc:]]&gt;TODAY(),"Em Aberto",IF(Tabela2[[#This Row],[D/venc]]="-","Enviado",IF(Tabela2[[#This Row],[Dt Venc:]]=TODAY(),"Vence Hoje","Vencida")))</f>
        <v>Em Aberto</v>
      </c>
      <c r="F5829" s="3" t="str">
        <f ca="1">IF(G5829=1,"-",Tabela2[[#This Row],[Dt Venc:]]-TODAY())</f>
        <v>-</v>
      </c>
      <c r="G5829" s="3">
        <v>1</v>
      </c>
      <c r="H5829" s="3"/>
    </row>
    <row r="5830" spans="1:8" hidden="1">
      <c r="A5830" s="3">
        <v>11234</v>
      </c>
      <c r="B5830" s="7" t="s">
        <v>33</v>
      </c>
      <c r="C5830" s="41">
        <v>560</v>
      </c>
      <c r="D5830" s="6">
        <v>45701</v>
      </c>
      <c r="E5830" s="3" t="str">
        <f ca="1">IF(Tabela2[[#This Row],[Dt Venc:]]&gt;TODAY(),"Em Aberto",IF(Tabela2[[#This Row],[D/venc]]="-","Enviado",IF(Tabela2[[#This Row],[Dt Venc:]]=TODAY(),"Vence Hoje","Vencida")))</f>
        <v>Em Aberto</v>
      </c>
      <c r="F5830" s="3" t="str">
        <f ca="1">IF(G5830=1,"-",Tabela2[[#This Row],[Dt Venc:]]-TODAY())</f>
        <v>-</v>
      </c>
      <c r="G5830" s="3">
        <v>1</v>
      </c>
      <c r="H5830" s="3"/>
    </row>
    <row r="5831" spans="1:8" hidden="1">
      <c r="A5831" s="3">
        <v>15417</v>
      </c>
      <c r="B5831" s="7" t="s">
        <v>99</v>
      </c>
      <c r="C5831" s="41">
        <v>850</v>
      </c>
      <c r="D5831" s="6">
        <v>45701</v>
      </c>
      <c r="E5831" s="3" t="str">
        <f ca="1">IF(Tabela2[[#This Row],[Dt Venc:]]&gt;TODAY(),"Em Aberto",IF(Tabela2[[#This Row],[D/venc]]="-","Enviado",IF(Tabela2[[#This Row],[Dt Venc:]]=TODAY(),"Vence Hoje","Vencida")))</f>
        <v>Em Aberto</v>
      </c>
      <c r="F5831" s="3" t="str">
        <f ca="1">IF(G5831=1,"-",Tabela2[[#This Row],[Dt Venc:]]-TODAY())</f>
        <v>-</v>
      </c>
      <c r="G5831" s="3">
        <v>1</v>
      </c>
      <c r="H5831" s="3"/>
    </row>
    <row r="5832" spans="1:8" hidden="1">
      <c r="A5832" s="3">
        <v>30317</v>
      </c>
      <c r="B5832" s="7" t="s">
        <v>107</v>
      </c>
      <c r="C5832" s="41">
        <v>1950</v>
      </c>
      <c r="D5832" s="6">
        <v>45701</v>
      </c>
      <c r="E5832" s="3" t="str">
        <f ca="1">IF(Tabela2[[#This Row],[Dt Venc:]]&gt;TODAY(),"Em Aberto",IF(Tabela2[[#This Row],[D/venc]]="-","Enviado",IF(Tabela2[[#This Row],[Dt Venc:]]=TODAY(),"Vence Hoje","Vencida")))</f>
        <v>Em Aberto</v>
      </c>
      <c r="F5832" s="3" t="str">
        <f ca="1">IF(G5832=1,"-",Tabela2[[#This Row],[Dt Venc:]]-TODAY())</f>
        <v>-</v>
      </c>
      <c r="G5832" s="3">
        <v>1</v>
      </c>
      <c r="H5832" s="3"/>
    </row>
    <row r="5833" spans="1:8" hidden="1">
      <c r="A5833" s="3">
        <v>35727</v>
      </c>
      <c r="B5833" s="7" t="s">
        <v>288</v>
      </c>
      <c r="C5833" s="41">
        <v>533.5</v>
      </c>
      <c r="D5833" s="6">
        <v>45701</v>
      </c>
      <c r="E5833" s="3" t="str">
        <f ca="1">IF(Tabela2[[#This Row],[Dt Venc:]]&gt;TODAY(),"Em Aberto",IF(Tabela2[[#This Row],[D/venc]]="-","Enviado",IF(Tabela2[[#This Row],[Dt Venc:]]=TODAY(),"Vence Hoje","Vencida")))</f>
        <v>Em Aberto</v>
      </c>
      <c r="F5833" s="3" t="str">
        <f ca="1">IF(G5833=1,"-",Tabela2[[#This Row],[Dt Venc:]]-TODAY())</f>
        <v>-</v>
      </c>
      <c r="G5833" s="3">
        <v>1</v>
      </c>
      <c r="H5833" s="3"/>
    </row>
    <row r="5834" spans="1:8" hidden="1">
      <c r="A5834" s="3">
        <v>37336</v>
      </c>
      <c r="B5834" s="7" t="s">
        <v>554</v>
      </c>
      <c r="C5834" s="41">
        <v>122100</v>
      </c>
      <c r="D5834" s="6">
        <v>45701</v>
      </c>
      <c r="E5834" s="3" t="str">
        <f ca="1">IF(Tabela2[[#This Row],[Dt Venc:]]&gt;TODAY(),"Em Aberto",IF(Tabela2[[#This Row],[D/venc]]="-","Enviado",IF(Tabela2[[#This Row],[Dt Venc:]]=TODAY(),"Vence Hoje","Vencida")))</f>
        <v>Em Aberto</v>
      </c>
      <c r="F5834" s="3" t="str">
        <f ca="1">IF(G5834=1,"-",Tabela2[[#This Row],[Dt Venc:]]-TODAY())</f>
        <v>-</v>
      </c>
      <c r="G5834" s="3">
        <v>1</v>
      </c>
      <c r="H5834" s="3"/>
    </row>
    <row r="5835" spans="1:8" hidden="1">
      <c r="A5835" s="3">
        <v>44462</v>
      </c>
      <c r="B5835" s="7" t="s">
        <v>529</v>
      </c>
      <c r="C5835" s="41">
        <v>693.69</v>
      </c>
      <c r="D5835" s="6">
        <v>45701</v>
      </c>
      <c r="E5835" s="3" t="str">
        <f ca="1">IF(Tabela2[[#This Row],[Dt Venc:]]&gt;TODAY(),"Em Aberto",IF(Tabela2[[#This Row],[D/venc]]="-","Enviado",IF(Tabela2[[#This Row],[Dt Venc:]]=TODAY(),"Vence Hoje","Vencida")))</f>
        <v>Em Aberto</v>
      </c>
      <c r="F5835" s="3" t="str">
        <f ca="1">IF(G5835=1,"-",Tabela2[[#This Row],[Dt Venc:]]-TODAY())</f>
        <v>-</v>
      </c>
      <c r="G5835" s="3">
        <v>1</v>
      </c>
      <c r="H5835" s="3"/>
    </row>
    <row r="5836" spans="1:8" hidden="1">
      <c r="A5836" s="3">
        <v>138457</v>
      </c>
      <c r="B5836" s="7" t="s">
        <v>695</v>
      </c>
      <c r="C5836" s="41">
        <v>329.25</v>
      </c>
      <c r="D5836" s="6">
        <v>45701</v>
      </c>
      <c r="E5836" s="3" t="str">
        <f ca="1">IF(Tabela2[[#This Row],[Dt Venc:]]&gt;TODAY(),"Em Aberto",IF(Tabela2[[#This Row],[D/venc]]="-","Enviado",IF(Tabela2[[#This Row],[Dt Venc:]]=TODAY(),"Vence Hoje","Vencida")))</f>
        <v>Em Aberto</v>
      </c>
      <c r="F5836" s="3" t="str">
        <f ca="1">IF(G5836=1,"-",Tabela2[[#This Row],[Dt Venc:]]-TODAY())</f>
        <v>-</v>
      </c>
      <c r="G5836" s="3">
        <v>1</v>
      </c>
      <c r="H5836" s="3"/>
    </row>
    <row r="5837" spans="1:8" hidden="1">
      <c r="A5837" s="3">
        <v>141200</v>
      </c>
      <c r="B5837" s="7" t="s">
        <v>506</v>
      </c>
      <c r="C5837" s="41">
        <v>1635.71</v>
      </c>
      <c r="D5837" s="6">
        <v>45701</v>
      </c>
      <c r="E5837" s="3" t="str">
        <f ca="1">IF(Tabela2[[#This Row],[Dt Venc:]]&gt;TODAY(),"Em Aberto",IF(Tabela2[[#This Row],[D/venc]]="-","Enviado",IF(Tabela2[[#This Row],[Dt Venc:]]=TODAY(),"Vence Hoje","Vencida")))</f>
        <v>Em Aberto</v>
      </c>
      <c r="F5837" s="3" t="str">
        <f ca="1">IF(G5837=1,"-",Tabela2[[#This Row],[Dt Venc:]]-TODAY())</f>
        <v>-</v>
      </c>
      <c r="G5837" s="3">
        <v>1</v>
      </c>
      <c r="H5837" s="3"/>
    </row>
    <row r="5838" spans="1:8" hidden="1">
      <c r="A5838" s="3">
        <v>229034</v>
      </c>
      <c r="B5838" s="7" t="s">
        <v>127</v>
      </c>
      <c r="C5838" s="41">
        <v>591.16</v>
      </c>
      <c r="D5838" s="6">
        <v>45701</v>
      </c>
      <c r="E5838" s="3" t="str">
        <f ca="1">IF(Tabela2[[#This Row],[Dt Venc:]]&gt;TODAY(),"Em Aberto",IF(Tabela2[[#This Row],[D/venc]]="-","Enviado",IF(Tabela2[[#This Row],[Dt Venc:]]=TODAY(),"Vence Hoje","Vencida")))</f>
        <v>Em Aberto</v>
      </c>
      <c r="F5838" s="3" t="str">
        <f ca="1">IF(G5838=1,"-",Tabela2[[#This Row],[Dt Venc:]]-TODAY())</f>
        <v>-</v>
      </c>
      <c r="G5838" s="3">
        <v>1</v>
      </c>
      <c r="H5838" s="3"/>
    </row>
    <row r="5839" spans="1:8" hidden="1">
      <c r="A5839" s="3">
        <v>238405</v>
      </c>
      <c r="B5839" s="7" t="s">
        <v>40</v>
      </c>
      <c r="C5839" s="41">
        <v>740</v>
      </c>
      <c r="D5839" s="6">
        <v>45701</v>
      </c>
      <c r="E5839" s="3" t="str">
        <f ca="1">IF(Tabela2[[#This Row],[Dt Venc:]]&gt;TODAY(),"Em Aberto",IF(Tabela2[[#This Row],[D/venc]]="-","Enviado",IF(Tabela2[[#This Row],[Dt Venc:]]=TODAY(),"Vence Hoje","Vencida")))</f>
        <v>Em Aberto</v>
      </c>
      <c r="F5839" s="3" t="str">
        <f ca="1">IF(G5839=1,"-",Tabela2[[#This Row],[Dt Venc:]]-TODAY())</f>
        <v>-</v>
      </c>
      <c r="G5839" s="3">
        <v>1</v>
      </c>
      <c r="H5839" s="3"/>
    </row>
    <row r="5840" spans="1:8" hidden="1">
      <c r="A5840" s="3">
        <v>238406</v>
      </c>
      <c r="B5840" s="7" t="s">
        <v>40</v>
      </c>
      <c r="C5840" s="41">
        <v>493.34</v>
      </c>
      <c r="D5840" s="6">
        <v>45701</v>
      </c>
      <c r="E5840" s="3" t="str">
        <f ca="1">IF(Tabela2[[#This Row],[Dt Venc:]]&gt;TODAY(),"Em Aberto",IF(Tabela2[[#This Row],[D/venc]]="-","Enviado",IF(Tabela2[[#This Row],[Dt Venc:]]=TODAY(),"Vence Hoje","Vencida")))</f>
        <v>Em Aberto</v>
      </c>
      <c r="F5840" s="3" t="str">
        <f ca="1">IF(G5840=1,"-",Tabela2[[#This Row],[Dt Venc:]]-TODAY())</f>
        <v>-</v>
      </c>
      <c r="G5840" s="3">
        <v>1</v>
      </c>
      <c r="H5840" s="3"/>
    </row>
    <row r="5841" spans="1:8" hidden="1">
      <c r="A5841" s="3">
        <v>274975</v>
      </c>
      <c r="B5841" s="7" t="s">
        <v>696</v>
      </c>
      <c r="C5841" s="41">
        <v>260.77</v>
      </c>
      <c r="D5841" s="6">
        <v>45701</v>
      </c>
      <c r="E5841" s="3" t="str">
        <f ca="1">IF(Tabela2[[#This Row],[Dt Venc:]]&gt;TODAY(),"Em Aberto",IF(Tabela2[[#This Row],[D/venc]]="-","Enviado",IF(Tabela2[[#This Row],[Dt Venc:]]=TODAY(),"Vence Hoje","Vencida")))</f>
        <v>Em Aberto</v>
      </c>
      <c r="F5841" s="3" t="str">
        <f ca="1">IF(G5841=1,"-",Tabela2[[#This Row],[Dt Venc:]]-TODAY())</f>
        <v>-</v>
      </c>
      <c r="G5841" s="3">
        <v>1</v>
      </c>
      <c r="H5841" s="3"/>
    </row>
    <row r="5842" spans="1:8" hidden="1">
      <c r="A5842" s="3">
        <v>275010</v>
      </c>
      <c r="B5842" s="7" t="s">
        <v>696</v>
      </c>
      <c r="C5842" s="41">
        <v>1868.33</v>
      </c>
      <c r="D5842" s="6">
        <v>45701</v>
      </c>
      <c r="E5842" s="3" t="str">
        <f ca="1">IF(Tabela2[[#This Row],[Dt Venc:]]&gt;TODAY(),"Em Aberto",IF(Tabela2[[#This Row],[D/venc]]="-","Enviado",IF(Tabela2[[#This Row],[Dt Venc:]]=TODAY(),"Vence Hoje","Vencida")))</f>
        <v>Em Aberto</v>
      </c>
      <c r="F5842" s="3" t="str">
        <f ca="1">IF(G5842=1,"-",Tabela2[[#This Row],[Dt Venc:]]-TODAY())</f>
        <v>-</v>
      </c>
      <c r="G5842" s="3">
        <v>1</v>
      </c>
      <c r="H5842" s="3"/>
    </row>
    <row r="5843" spans="1:8" hidden="1">
      <c r="A5843" s="3">
        <v>275037</v>
      </c>
      <c r="B5843" s="7" t="s">
        <v>696</v>
      </c>
      <c r="C5843" s="41">
        <v>36.51</v>
      </c>
      <c r="D5843" s="6">
        <v>45701</v>
      </c>
      <c r="E5843" s="3" t="str">
        <f ca="1">IF(Tabela2[[#This Row],[Dt Venc:]]&gt;TODAY(),"Em Aberto",IF(Tabela2[[#This Row],[D/venc]]="-","Enviado",IF(Tabela2[[#This Row],[Dt Venc:]]=TODAY(),"Vence Hoje","Vencida")))</f>
        <v>Em Aberto</v>
      </c>
      <c r="F5843" s="3" t="str">
        <f ca="1">IF(G5843=1,"-",Tabela2[[#This Row],[Dt Venc:]]-TODAY())</f>
        <v>-</v>
      </c>
      <c r="G5843" s="3">
        <v>1</v>
      </c>
      <c r="H5843" s="3"/>
    </row>
    <row r="5844" spans="1:8" hidden="1">
      <c r="A5844" s="3">
        <v>279920</v>
      </c>
      <c r="B5844" s="7" t="s">
        <v>43</v>
      </c>
      <c r="C5844" s="41">
        <v>2467.15</v>
      </c>
      <c r="D5844" s="6">
        <v>45701</v>
      </c>
      <c r="E5844" s="3" t="str">
        <f ca="1">IF(Tabela2[[#This Row],[Dt Venc:]]&gt;TODAY(),"Em Aberto",IF(Tabela2[[#This Row],[D/venc]]="-","Enviado",IF(Tabela2[[#This Row],[Dt Venc:]]=TODAY(),"Vence Hoje","Vencida")))</f>
        <v>Em Aberto</v>
      </c>
      <c r="F5844" s="3" t="str">
        <f ca="1">IF(G5844=1,"-",Tabela2[[#This Row],[Dt Venc:]]-TODAY())</f>
        <v>-</v>
      </c>
      <c r="G5844" s="3">
        <v>1</v>
      </c>
      <c r="H5844" s="3"/>
    </row>
    <row r="5845" spans="1:8" hidden="1">
      <c r="A5845" s="3">
        <v>304134</v>
      </c>
      <c r="B5845" s="7" t="s">
        <v>506</v>
      </c>
      <c r="C5845" s="41">
        <v>1762.78</v>
      </c>
      <c r="D5845" s="6">
        <v>45701</v>
      </c>
      <c r="E5845" s="3" t="str">
        <f ca="1">IF(Tabela2[[#This Row],[Dt Venc:]]&gt;TODAY(),"Em Aberto",IF(Tabela2[[#This Row],[D/venc]]="-","Enviado",IF(Tabela2[[#This Row],[Dt Venc:]]=TODAY(),"Vence Hoje","Vencida")))</f>
        <v>Em Aberto</v>
      </c>
      <c r="F5845" s="3" t="str">
        <f ca="1">IF(G5845=1,"-",Tabela2[[#This Row],[Dt Venc:]]-TODAY())</f>
        <v>-</v>
      </c>
      <c r="G5845" s="3">
        <v>1</v>
      </c>
      <c r="H5845" s="3"/>
    </row>
    <row r="5846" spans="1:8" hidden="1">
      <c r="A5846" s="3">
        <v>376746</v>
      </c>
      <c r="B5846" s="7" t="s">
        <v>39</v>
      </c>
      <c r="C5846" s="41">
        <v>336.36</v>
      </c>
      <c r="D5846" s="6">
        <v>45701</v>
      </c>
      <c r="E5846" s="3" t="str">
        <f ca="1">IF(Tabela2[[#This Row],[Dt Venc:]]&gt;TODAY(),"Em Aberto",IF(Tabela2[[#This Row],[D/venc]]="-","Enviado",IF(Tabela2[[#This Row],[Dt Venc:]]=TODAY(),"Vence Hoje","Vencida")))</f>
        <v>Em Aberto</v>
      </c>
      <c r="F5846" s="3" t="str">
        <f ca="1">IF(G5846=1,"-",Tabela2[[#This Row],[Dt Venc:]]-TODAY())</f>
        <v>-</v>
      </c>
      <c r="G5846" s="3">
        <v>1</v>
      </c>
      <c r="H5846" s="3"/>
    </row>
    <row r="5847" spans="1:8" hidden="1">
      <c r="A5847" s="3">
        <v>447978</v>
      </c>
      <c r="B5847" s="7" t="s">
        <v>59</v>
      </c>
      <c r="C5847" s="41">
        <v>28089</v>
      </c>
      <c r="D5847" s="6">
        <v>45701</v>
      </c>
      <c r="E5847" s="3" t="str">
        <f ca="1">IF(Tabela2[[#This Row],[Dt Venc:]]&gt;TODAY(),"Em Aberto",IF(Tabela2[[#This Row],[D/venc]]="-","Enviado",IF(Tabela2[[#This Row],[Dt Venc:]]=TODAY(),"Vence Hoje","Vencida")))</f>
        <v>Em Aberto</v>
      </c>
      <c r="F5847" s="3" t="str">
        <f ca="1">IF(G5847=1,"-",Tabela2[[#This Row],[Dt Venc:]]-TODAY())</f>
        <v>-</v>
      </c>
      <c r="G5847" s="3">
        <v>1</v>
      </c>
      <c r="H5847" s="3"/>
    </row>
    <row r="5848" spans="1:8" hidden="1">
      <c r="A5848" s="3">
        <v>621643</v>
      </c>
      <c r="B5848" s="7" t="s">
        <v>66</v>
      </c>
      <c r="C5848" s="41">
        <v>2357.48</v>
      </c>
      <c r="D5848" s="6">
        <v>45701</v>
      </c>
      <c r="E5848" s="3" t="str">
        <f ca="1">IF(Tabela2[[#This Row],[Dt Venc:]]&gt;TODAY(),"Em Aberto",IF(Tabela2[[#This Row],[D/venc]]="-","Enviado",IF(Tabela2[[#This Row],[Dt Venc:]]=TODAY(),"Vence Hoje","Vencida")))</f>
        <v>Em Aberto</v>
      </c>
      <c r="F5848" s="3" t="str">
        <f ca="1">IF(G5848=1,"-",Tabela2[[#This Row],[Dt Venc:]]-TODAY())</f>
        <v>-</v>
      </c>
      <c r="G5848" s="3">
        <v>1</v>
      </c>
      <c r="H5848" s="3"/>
    </row>
    <row r="5849" spans="1:8" hidden="1">
      <c r="A5849" s="3">
        <v>624812</v>
      </c>
      <c r="B5849" s="7" t="s">
        <v>66</v>
      </c>
      <c r="C5849" s="41">
        <v>555.12</v>
      </c>
      <c r="D5849" s="6">
        <v>45701</v>
      </c>
      <c r="E5849" s="3" t="str">
        <f ca="1">IF(Tabela2[[#This Row],[Dt Venc:]]&gt;TODAY(),"Em Aberto",IF(Tabela2[[#This Row],[D/venc]]="-","Enviado",IF(Tabela2[[#This Row],[Dt Venc:]]=TODAY(),"Vence Hoje","Vencida")))</f>
        <v>Em Aberto</v>
      </c>
      <c r="F5849" s="3" t="str">
        <f ca="1">IF(G5849=1,"-",Tabela2[[#This Row],[Dt Venc:]]-TODAY())</f>
        <v>-</v>
      </c>
      <c r="G5849" s="3">
        <v>1</v>
      </c>
      <c r="H5849" s="3"/>
    </row>
    <row r="5850" spans="1:8" hidden="1">
      <c r="A5850" s="3">
        <v>1271838</v>
      </c>
      <c r="B5850" s="7" t="s">
        <v>64</v>
      </c>
      <c r="C5850" s="41">
        <v>643.11</v>
      </c>
      <c r="D5850" s="6">
        <v>45701</v>
      </c>
      <c r="E5850" s="3" t="str">
        <f ca="1">IF(Tabela2[[#This Row],[Dt Venc:]]&gt;TODAY(),"Em Aberto",IF(Tabela2[[#This Row],[D/venc]]="-","Enviado",IF(Tabela2[[#This Row],[Dt Venc:]]=TODAY(),"Vence Hoje","Vencida")))</f>
        <v>Em Aberto</v>
      </c>
      <c r="F5850" s="3" t="str">
        <f ca="1">IF(G5850=1,"-",Tabela2[[#This Row],[Dt Venc:]]-TODAY())</f>
        <v>-</v>
      </c>
      <c r="G5850" s="3">
        <v>1</v>
      </c>
      <c r="H5850" s="3"/>
    </row>
    <row r="5851" spans="1:8" hidden="1">
      <c r="A5851" s="3">
        <v>2016058</v>
      </c>
      <c r="B5851" s="7" t="s">
        <v>59</v>
      </c>
      <c r="C5851" s="41">
        <v>109874</v>
      </c>
      <c r="D5851" s="6">
        <v>45701</v>
      </c>
      <c r="E5851" s="3" t="str">
        <f ca="1">IF(Tabela2[[#This Row],[Dt Venc:]]&gt;TODAY(),"Em Aberto",IF(Tabela2[[#This Row],[D/venc]]="-","Enviado",IF(Tabela2[[#This Row],[Dt Venc:]]=TODAY(),"Vence Hoje","Vencida")))</f>
        <v>Em Aberto</v>
      </c>
      <c r="F5851" s="3" t="str">
        <f ca="1">IF(G5851=1,"-",Tabela2[[#This Row],[Dt Venc:]]-TODAY())</f>
        <v>-</v>
      </c>
      <c r="G5851" s="3">
        <v>1</v>
      </c>
      <c r="H5851" s="3"/>
    </row>
    <row r="5852" spans="1:8" hidden="1">
      <c r="A5852" s="3">
        <v>1270</v>
      </c>
      <c r="B5852" s="7" t="s">
        <v>559</v>
      </c>
      <c r="C5852" s="41">
        <v>600</v>
      </c>
      <c r="D5852" s="6">
        <v>45702</v>
      </c>
      <c r="E5852" s="3" t="str">
        <f ca="1">IF(Tabela2[[#This Row],[Dt Venc:]]&gt;TODAY(),"Em Aberto",IF(Tabela2[[#This Row],[D/venc]]="-","Enviado",IF(Tabela2[[#This Row],[Dt Venc:]]=TODAY(),"Vence Hoje","Vencida")))</f>
        <v>Em Aberto</v>
      </c>
      <c r="F5852" s="3" t="str">
        <f ca="1">IF(G5852=1,"-",Tabela2[[#This Row],[Dt Venc:]]-TODAY())</f>
        <v>-</v>
      </c>
      <c r="G5852" s="3">
        <v>1</v>
      </c>
      <c r="H5852" s="3"/>
    </row>
    <row r="5853" spans="1:8" hidden="1">
      <c r="A5853" s="3">
        <v>1748</v>
      </c>
      <c r="B5853" s="7" t="s">
        <v>258</v>
      </c>
      <c r="C5853" s="41">
        <v>200</v>
      </c>
      <c r="D5853" s="6">
        <v>45702</v>
      </c>
      <c r="E5853" s="3" t="str">
        <f ca="1">IF(Tabela2[[#This Row],[Dt Venc:]]&gt;TODAY(),"Em Aberto",IF(Tabela2[[#This Row],[D/venc]]="-","Enviado",IF(Tabela2[[#This Row],[Dt Venc:]]=TODAY(),"Vence Hoje","Vencida")))</f>
        <v>Em Aberto</v>
      </c>
      <c r="F5853" s="3" t="str">
        <f ca="1">IF(G5853=1,"-",Tabela2[[#This Row],[Dt Venc:]]-TODAY())</f>
        <v>-</v>
      </c>
      <c r="G5853" s="3">
        <v>1</v>
      </c>
      <c r="H5853" s="3"/>
    </row>
    <row r="5854" spans="1:8" hidden="1">
      <c r="A5854" s="3">
        <v>1751</v>
      </c>
      <c r="B5854" s="7" t="s">
        <v>560</v>
      </c>
      <c r="C5854" s="41">
        <v>855.33</v>
      </c>
      <c r="D5854" s="6">
        <v>45702</v>
      </c>
      <c r="E5854" s="3" t="str">
        <f ca="1">IF(Tabela2[[#This Row],[Dt Venc:]]&gt;TODAY(),"Em Aberto",IF(Tabela2[[#This Row],[D/venc]]="-","Enviado",IF(Tabela2[[#This Row],[Dt Venc:]]=TODAY(),"Vence Hoje","Vencida")))</f>
        <v>Em Aberto</v>
      </c>
      <c r="F5854" s="3" t="str">
        <f ca="1">IF(G5854=1,"-",Tabela2[[#This Row],[Dt Venc:]]-TODAY())</f>
        <v>-</v>
      </c>
      <c r="G5854" s="3">
        <v>1</v>
      </c>
      <c r="H5854" s="3"/>
    </row>
    <row r="5855" spans="1:8" hidden="1">
      <c r="A5855" s="3">
        <v>1812</v>
      </c>
      <c r="B5855" s="7" t="s">
        <v>135</v>
      </c>
      <c r="C5855" s="41">
        <v>7095.57</v>
      </c>
      <c r="D5855" s="6">
        <v>45702</v>
      </c>
      <c r="E5855" s="3" t="str">
        <f ca="1">IF(Tabela2[[#This Row],[Dt Venc:]]&gt;TODAY(),"Em Aberto",IF(Tabela2[[#This Row],[D/venc]]="-","Enviado",IF(Tabela2[[#This Row],[Dt Venc:]]=TODAY(),"Vence Hoje","Vencida")))</f>
        <v>Em Aberto</v>
      </c>
      <c r="F5855" s="3" t="str">
        <f ca="1">IF(G5855=1,"-",Tabela2[[#This Row],[Dt Venc:]]-TODAY())</f>
        <v>-</v>
      </c>
      <c r="G5855" s="3">
        <v>1</v>
      </c>
      <c r="H5855" s="3"/>
    </row>
    <row r="5856" spans="1:8" hidden="1">
      <c r="A5856" s="3">
        <v>3291</v>
      </c>
      <c r="B5856" s="7" t="s">
        <v>43</v>
      </c>
      <c r="C5856" s="41">
        <v>600</v>
      </c>
      <c r="D5856" s="6">
        <v>45702</v>
      </c>
      <c r="E5856" s="3" t="str">
        <f ca="1">IF(Tabela2[[#This Row],[Dt Venc:]]&gt;TODAY(),"Em Aberto",IF(Tabela2[[#This Row],[D/venc]]="-","Enviado",IF(Tabela2[[#This Row],[Dt Venc:]]=TODAY(),"Vence Hoje","Vencida")))</f>
        <v>Em Aberto</v>
      </c>
      <c r="F5856" s="3" t="str">
        <f ca="1">IF(G5856=1,"-",Tabela2[[#This Row],[Dt Venc:]]-TODAY())</f>
        <v>-</v>
      </c>
      <c r="G5856" s="3">
        <v>1</v>
      </c>
      <c r="H5856" s="3"/>
    </row>
    <row r="5857" spans="1:8" hidden="1">
      <c r="A5857" s="3">
        <v>4192</v>
      </c>
      <c r="B5857" s="7" t="s">
        <v>479</v>
      </c>
      <c r="C5857" s="41">
        <v>395.26</v>
      </c>
      <c r="D5857" s="6">
        <v>45702</v>
      </c>
      <c r="E5857" s="3" t="str">
        <f ca="1">IF(Tabela2[[#This Row],[Dt Venc:]]&gt;TODAY(),"Em Aberto",IF(Tabela2[[#This Row],[D/venc]]="-","Enviado",IF(Tabela2[[#This Row],[Dt Venc:]]=TODAY(),"Vence Hoje","Vencida")))</f>
        <v>Em Aberto</v>
      </c>
      <c r="F5857" s="3" t="str">
        <f ca="1">IF(G5857=1,"-",Tabela2[[#This Row],[Dt Venc:]]-TODAY())</f>
        <v>-</v>
      </c>
      <c r="G5857" s="3">
        <v>1</v>
      </c>
      <c r="H5857" s="3"/>
    </row>
    <row r="5858" spans="1:8" hidden="1">
      <c r="A5858" s="3">
        <v>6376</v>
      </c>
      <c r="B5858" s="7" t="s">
        <v>47</v>
      </c>
      <c r="C5858" s="41">
        <v>2895.74</v>
      </c>
      <c r="D5858" s="6">
        <v>45702</v>
      </c>
      <c r="E5858" s="3" t="str">
        <f ca="1">IF(Tabela2[[#This Row],[Dt Venc:]]&gt;TODAY(),"Em Aberto",IF(Tabela2[[#This Row],[D/venc]]="-","Enviado",IF(Tabela2[[#This Row],[Dt Venc:]]=TODAY(),"Vence Hoje","Vencida")))</f>
        <v>Em Aberto</v>
      </c>
      <c r="F5858" s="3" t="str">
        <f ca="1">IF(G5858=1,"-",Tabela2[[#This Row],[Dt Venc:]]-TODAY())</f>
        <v>-</v>
      </c>
      <c r="G5858" s="3">
        <v>1</v>
      </c>
      <c r="H5858" s="3"/>
    </row>
    <row r="5859" spans="1:8" hidden="1">
      <c r="A5859" s="3">
        <v>10945</v>
      </c>
      <c r="B5859" s="7" t="s">
        <v>105</v>
      </c>
      <c r="C5859" s="41">
        <v>1600</v>
      </c>
      <c r="D5859" s="6">
        <v>45702</v>
      </c>
      <c r="E5859" s="3" t="str">
        <f ca="1">IF(Tabela2[[#This Row],[Dt Venc:]]&gt;TODAY(),"Em Aberto",IF(Tabela2[[#This Row],[D/venc]]="-","Enviado",IF(Tabela2[[#This Row],[Dt Venc:]]=TODAY(),"Vence Hoje","Vencida")))</f>
        <v>Em Aberto</v>
      </c>
      <c r="F5859" s="3" t="str">
        <f ca="1">IF(G5859=1,"-",Tabela2[[#This Row],[Dt Venc:]]-TODAY())</f>
        <v>-</v>
      </c>
      <c r="G5859" s="3">
        <v>1</v>
      </c>
      <c r="H5859" s="3"/>
    </row>
    <row r="5860" spans="1:8" hidden="1">
      <c r="A5860" s="3">
        <v>11137</v>
      </c>
      <c r="B5860" s="7" t="s">
        <v>33</v>
      </c>
      <c r="C5860" s="41">
        <v>1905</v>
      </c>
      <c r="D5860" s="6">
        <v>45702</v>
      </c>
      <c r="E5860" s="3" t="str">
        <f ca="1">IF(Tabela2[[#This Row],[Dt Venc:]]&gt;TODAY(),"Em Aberto",IF(Tabela2[[#This Row],[D/venc]]="-","Enviado",IF(Tabela2[[#This Row],[Dt Venc:]]=TODAY(),"Vence Hoje","Vencida")))</f>
        <v>Em Aberto</v>
      </c>
      <c r="F5860" s="3" t="str">
        <f ca="1">IF(G5860=1,"-",Tabela2[[#This Row],[Dt Venc:]]-TODAY())</f>
        <v>-</v>
      </c>
      <c r="G5860" s="3">
        <v>1</v>
      </c>
      <c r="H5860" s="3"/>
    </row>
    <row r="5861" spans="1:8" hidden="1">
      <c r="A5861" s="3">
        <v>11327</v>
      </c>
      <c r="B5861" s="7" t="s">
        <v>33</v>
      </c>
      <c r="C5861" s="41">
        <v>1783.34</v>
      </c>
      <c r="D5861" s="6">
        <v>45702</v>
      </c>
      <c r="E5861" s="3" t="str">
        <f ca="1">IF(Tabela2[[#This Row],[Dt Venc:]]&gt;TODAY(),"Em Aberto",IF(Tabela2[[#This Row],[D/venc]]="-","Enviado",IF(Tabela2[[#This Row],[Dt Venc:]]=TODAY(),"Vence Hoje","Vencida")))</f>
        <v>Em Aberto</v>
      </c>
      <c r="F5861" s="3" t="str">
        <f ca="1">IF(G5861=1,"-",Tabela2[[#This Row],[Dt Venc:]]-TODAY())</f>
        <v>-</v>
      </c>
      <c r="G5861" s="3">
        <v>1</v>
      </c>
      <c r="H5861" s="3"/>
    </row>
    <row r="5862" spans="1:8" hidden="1">
      <c r="A5862" s="3">
        <v>13028</v>
      </c>
      <c r="B5862" s="7" t="s">
        <v>72</v>
      </c>
      <c r="C5862" s="41">
        <v>1071.3399999999999</v>
      </c>
      <c r="D5862" s="6">
        <v>45702</v>
      </c>
      <c r="E5862" s="3" t="str">
        <f ca="1">IF(Tabela2[[#This Row],[Dt Venc:]]&gt;TODAY(),"Em Aberto",IF(Tabela2[[#This Row],[D/venc]]="-","Enviado",IF(Tabela2[[#This Row],[Dt Venc:]]=TODAY(),"Vence Hoje","Vencida")))</f>
        <v>Em Aberto</v>
      </c>
      <c r="F5862" s="3" t="str">
        <f ca="1">IF(G5862=1,"-",Tabela2[[#This Row],[Dt Venc:]]-TODAY())</f>
        <v>-</v>
      </c>
      <c r="G5862" s="3">
        <v>1</v>
      </c>
      <c r="H5862" s="3"/>
    </row>
    <row r="5863" spans="1:8" hidden="1">
      <c r="A5863" s="3">
        <v>14245</v>
      </c>
      <c r="B5863" s="7" t="s">
        <v>408</v>
      </c>
      <c r="C5863" s="41">
        <v>462.6</v>
      </c>
      <c r="D5863" s="6">
        <v>45702</v>
      </c>
      <c r="E5863" s="3" t="str">
        <f ca="1">IF(Tabela2[[#This Row],[Dt Venc:]]&gt;TODAY(),"Em Aberto",IF(Tabela2[[#This Row],[D/venc]]="-","Enviado",IF(Tabela2[[#This Row],[Dt Venc:]]=TODAY(),"Vence Hoje","Vencida")))</f>
        <v>Em Aberto</v>
      </c>
      <c r="F5863" s="3" t="str">
        <f ca="1">IF(G5863=1,"-",Tabela2[[#This Row],[Dt Venc:]]-TODAY())</f>
        <v>-</v>
      </c>
      <c r="G5863" s="3">
        <v>1</v>
      </c>
      <c r="H5863" s="3"/>
    </row>
    <row r="5864" spans="1:8" hidden="1">
      <c r="A5864" s="3">
        <v>14444</v>
      </c>
      <c r="B5864" s="7" t="s">
        <v>303</v>
      </c>
      <c r="C5864" s="41">
        <v>1330</v>
      </c>
      <c r="D5864" s="6">
        <v>45702</v>
      </c>
      <c r="E5864" s="3" t="str">
        <f ca="1">IF(Tabela2[[#This Row],[Dt Venc:]]&gt;TODAY(),"Em Aberto",IF(Tabela2[[#This Row],[D/venc]]="-","Enviado",IF(Tabela2[[#This Row],[Dt Venc:]]=TODAY(),"Vence Hoje","Vencida")))</f>
        <v>Em Aberto</v>
      </c>
      <c r="F5864" s="3" t="str">
        <f ca="1">IF(G5864=1,"-",Tabela2[[#This Row],[Dt Venc:]]-TODAY())</f>
        <v>-</v>
      </c>
      <c r="G5864" s="3">
        <v>1</v>
      </c>
      <c r="H5864" s="3"/>
    </row>
    <row r="5865" spans="1:8" hidden="1">
      <c r="A5865" s="3">
        <v>31298</v>
      </c>
      <c r="B5865" s="7" t="s">
        <v>97</v>
      </c>
      <c r="C5865" s="41">
        <v>2285</v>
      </c>
      <c r="D5865" s="6">
        <v>45702</v>
      </c>
      <c r="E5865" s="3" t="str">
        <f ca="1">IF(Tabela2[[#This Row],[Dt Venc:]]&gt;TODAY(),"Em Aberto",IF(Tabela2[[#This Row],[D/venc]]="-","Enviado",IF(Tabela2[[#This Row],[Dt Venc:]]=TODAY(),"Vence Hoje","Vencida")))</f>
        <v>Em Aberto</v>
      </c>
      <c r="F5865" s="3" t="str">
        <f ca="1">IF(G5865=1,"-",Tabela2[[#This Row],[Dt Venc:]]-TODAY())</f>
        <v>-</v>
      </c>
      <c r="G5865" s="3">
        <v>1</v>
      </c>
      <c r="H5865" s="3"/>
    </row>
    <row r="5866" spans="1:8" hidden="1">
      <c r="A5866" s="3">
        <v>35407</v>
      </c>
      <c r="B5866" s="7" t="s">
        <v>70</v>
      </c>
      <c r="C5866" s="41">
        <v>743.86</v>
      </c>
      <c r="D5866" s="6">
        <v>45702</v>
      </c>
      <c r="E5866" s="3" t="str">
        <f ca="1">IF(Tabela2[[#This Row],[Dt Venc:]]&gt;TODAY(),"Em Aberto",IF(Tabela2[[#This Row],[D/venc]]="-","Enviado",IF(Tabela2[[#This Row],[Dt Venc:]]=TODAY(),"Vence Hoje","Vencida")))</f>
        <v>Em Aberto</v>
      </c>
      <c r="F5866" s="3" t="str">
        <f ca="1">IF(G5866=1,"-",Tabela2[[#This Row],[Dt Venc:]]-TODAY())</f>
        <v>-</v>
      </c>
      <c r="G5866" s="3">
        <v>1</v>
      </c>
      <c r="H5866" s="3"/>
    </row>
    <row r="5867" spans="1:8" hidden="1">
      <c r="A5867" s="3">
        <v>42393</v>
      </c>
      <c r="B5867" s="7" t="s">
        <v>70</v>
      </c>
      <c r="C5867" s="41">
        <v>480.79</v>
      </c>
      <c r="D5867" s="6">
        <v>45702</v>
      </c>
      <c r="E5867" s="3" t="str">
        <f ca="1">IF(Tabela2[[#This Row],[Dt Venc:]]&gt;TODAY(),"Em Aberto",IF(Tabela2[[#This Row],[D/venc]]="-","Enviado",IF(Tabela2[[#This Row],[Dt Venc:]]=TODAY(),"Vence Hoje","Vencida")))</f>
        <v>Em Aberto</v>
      </c>
      <c r="F5867" s="3" t="str">
        <f ca="1">IF(G5867=1,"-",Tabela2[[#This Row],[Dt Venc:]]-TODAY())</f>
        <v>-</v>
      </c>
      <c r="G5867" s="3">
        <v>1</v>
      </c>
      <c r="H5867" s="3"/>
    </row>
    <row r="5868" spans="1:8" hidden="1">
      <c r="A5868" s="3">
        <v>52981</v>
      </c>
      <c r="B5868" s="7" t="s">
        <v>197</v>
      </c>
      <c r="C5868" s="41">
        <v>709.34</v>
      </c>
      <c r="D5868" s="6">
        <v>45702</v>
      </c>
      <c r="E5868" s="3" t="str">
        <f ca="1">IF(Tabela2[[#This Row],[Dt Venc:]]&gt;TODAY(),"Em Aberto",IF(Tabela2[[#This Row],[D/venc]]="-","Enviado",IF(Tabela2[[#This Row],[Dt Venc:]]=TODAY(),"Vence Hoje","Vencida")))</f>
        <v>Em Aberto</v>
      </c>
      <c r="F5868" s="3" t="str">
        <f ca="1">IF(G5868=1,"-",Tabela2[[#This Row],[Dt Venc:]]-TODAY())</f>
        <v>-</v>
      </c>
      <c r="G5868" s="3">
        <v>1</v>
      </c>
      <c r="H5868" s="3"/>
    </row>
    <row r="5869" spans="1:8" hidden="1">
      <c r="A5869" s="3">
        <v>1</v>
      </c>
      <c r="B5869" s="7" t="s">
        <v>165</v>
      </c>
      <c r="C5869" s="87" t="s">
        <v>32</v>
      </c>
      <c r="D5869" s="6">
        <v>45696</v>
      </c>
      <c r="E5869" s="3" t="str">
        <f ca="1">IF(Tabela2[[#This Row],[Dt Venc:]]&gt;TODAY(),"Em Aberto",IF(Tabela2[[#This Row],[D/venc]]="-","Enviado",IF(Tabela2[[#This Row],[Dt Venc:]]=TODAY(),"Vence Hoje","Vencida")))</f>
        <v>Em Aberto</v>
      </c>
      <c r="F5869" s="3" t="str">
        <f ca="1">IF(G5869=1,"-",Tabela2[[#This Row],[Dt Venc:]]-TODAY())</f>
        <v>-</v>
      </c>
      <c r="G5869" s="3">
        <v>1</v>
      </c>
      <c r="H5869" s="3"/>
    </row>
    <row r="5870" spans="1:8" hidden="1">
      <c r="A5870" s="3">
        <v>75103</v>
      </c>
      <c r="B5870" s="7" t="s">
        <v>76</v>
      </c>
      <c r="C5870" s="41">
        <v>1728.17</v>
      </c>
      <c r="D5870" s="6">
        <v>45702</v>
      </c>
      <c r="E5870" s="3" t="str">
        <f ca="1">IF(Tabela2[[#This Row],[Dt Venc:]]&gt;TODAY(),"Em Aberto",IF(Tabela2[[#This Row],[D/venc]]="-","Enviado",IF(Tabela2[[#This Row],[Dt Venc:]]=TODAY(),"Vence Hoje","Vencida")))</f>
        <v>Em Aberto</v>
      </c>
      <c r="F5870" s="3" t="str">
        <f ca="1">IF(G5870=1,"-",Tabela2[[#This Row],[Dt Venc:]]-TODAY())</f>
        <v>-</v>
      </c>
      <c r="G5870" s="3">
        <v>1</v>
      </c>
      <c r="H5870" s="3"/>
    </row>
    <row r="5871" spans="1:8" hidden="1">
      <c r="A5871" s="3">
        <v>75105</v>
      </c>
      <c r="B5871" s="7" t="s">
        <v>76</v>
      </c>
      <c r="C5871" s="41">
        <v>257.2</v>
      </c>
      <c r="D5871" s="6">
        <v>45702</v>
      </c>
      <c r="E5871" s="3" t="str">
        <f ca="1">IF(Tabela2[[#This Row],[Dt Venc:]]&gt;TODAY(),"Em Aberto",IF(Tabela2[[#This Row],[D/venc]]="-","Enviado",IF(Tabela2[[#This Row],[Dt Venc:]]=TODAY(),"Vence Hoje","Vencida")))</f>
        <v>Em Aberto</v>
      </c>
      <c r="F5871" s="3" t="str">
        <f ca="1">IF(G5871=1,"-",Tabela2[[#This Row],[Dt Venc:]]-TODAY())</f>
        <v>-</v>
      </c>
      <c r="G5871" s="3">
        <v>1</v>
      </c>
      <c r="H5871" s="3"/>
    </row>
    <row r="5872" spans="1:8" hidden="1">
      <c r="A5872" s="3">
        <v>114318</v>
      </c>
      <c r="B5872" s="7" t="s">
        <v>556</v>
      </c>
      <c r="C5872" s="41">
        <v>639.71</v>
      </c>
      <c r="D5872" s="6">
        <v>45702</v>
      </c>
      <c r="E5872" s="3" t="str">
        <f ca="1">IF(Tabela2[[#This Row],[Dt Venc:]]&gt;TODAY(),"Em Aberto",IF(Tabela2[[#This Row],[D/venc]]="-","Enviado",IF(Tabela2[[#This Row],[Dt Venc:]]=TODAY(),"Vence Hoje","Vencida")))</f>
        <v>Em Aberto</v>
      </c>
      <c r="F5872" s="3" t="str">
        <f ca="1">IF(G5872=1,"-",Tabela2[[#This Row],[Dt Venc:]]-TODAY())</f>
        <v>-</v>
      </c>
      <c r="G5872" s="3">
        <v>1</v>
      </c>
      <c r="H5872" s="3"/>
    </row>
    <row r="5873" spans="1:8" hidden="1">
      <c r="A5873" s="3">
        <v>131290</v>
      </c>
      <c r="B5873" s="7" t="s">
        <v>157</v>
      </c>
      <c r="C5873" s="41">
        <v>608.37</v>
      </c>
      <c r="D5873" s="6">
        <v>45702</v>
      </c>
      <c r="E5873" s="3" t="str">
        <f ca="1">IF(Tabela2[[#This Row],[Dt Venc:]]&gt;TODAY(),"Em Aberto",IF(Tabela2[[#This Row],[D/venc]]="-","Enviado",IF(Tabela2[[#This Row],[Dt Venc:]]=TODAY(),"Vence Hoje","Vencida")))</f>
        <v>Em Aberto</v>
      </c>
      <c r="F5873" s="3" t="str">
        <f ca="1">IF(G5873=1,"-",Tabela2[[#This Row],[Dt Venc:]]-TODAY())</f>
        <v>-</v>
      </c>
      <c r="G5873" s="3">
        <v>1</v>
      </c>
      <c r="H5873" s="3"/>
    </row>
    <row r="5874" spans="1:8" hidden="1">
      <c r="A5874" s="3">
        <v>138506</v>
      </c>
      <c r="B5874" s="7" t="s">
        <v>695</v>
      </c>
      <c r="C5874" s="41">
        <v>263</v>
      </c>
      <c r="D5874" s="6">
        <v>45702</v>
      </c>
      <c r="E5874" s="3" t="str">
        <f ca="1">IF(Tabela2[[#This Row],[Dt Venc:]]&gt;TODAY(),"Em Aberto",IF(Tabela2[[#This Row],[D/venc]]="-","Enviado",IF(Tabela2[[#This Row],[Dt Venc:]]=TODAY(),"Vence Hoje","Vencida")))</f>
        <v>Em Aberto</v>
      </c>
      <c r="F5874" s="3" t="str">
        <f ca="1">IF(G5874=1,"-",Tabela2[[#This Row],[Dt Venc:]]-TODAY())</f>
        <v>-</v>
      </c>
      <c r="G5874" s="3">
        <v>1</v>
      </c>
      <c r="H5874" s="3"/>
    </row>
    <row r="5875" spans="1:8" hidden="1">
      <c r="A5875" s="3">
        <v>155207</v>
      </c>
      <c r="B5875" s="7" t="s">
        <v>77</v>
      </c>
      <c r="C5875" s="41">
        <v>433.33</v>
      </c>
      <c r="D5875" s="6">
        <v>45702</v>
      </c>
      <c r="E5875" s="3" t="str">
        <f ca="1">IF(Tabela2[[#This Row],[Dt Venc:]]&gt;TODAY(),"Em Aberto",IF(Tabela2[[#This Row],[D/venc]]="-","Enviado",IF(Tabela2[[#This Row],[Dt Venc:]]=TODAY(),"Vence Hoje","Vencida")))</f>
        <v>Em Aberto</v>
      </c>
      <c r="F5875" s="3" t="str">
        <f ca="1">IF(G5875=1,"-",Tabela2[[#This Row],[Dt Venc:]]-TODAY())</f>
        <v>-</v>
      </c>
      <c r="G5875" s="3">
        <v>1</v>
      </c>
      <c r="H5875" s="3"/>
    </row>
    <row r="5876" spans="1:8" hidden="1">
      <c r="A5876" s="3">
        <v>155695</v>
      </c>
      <c r="B5876" s="7" t="s">
        <v>486</v>
      </c>
      <c r="C5876" s="41">
        <v>1722</v>
      </c>
      <c r="D5876" s="6">
        <v>45702</v>
      </c>
      <c r="E5876" s="3" t="str">
        <f ca="1">IF(Tabela2[[#This Row],[Dt Venc:]]&gt;TODAY(),"Em Aberto",IF(Tabela2[[#This Row],[D/venc]]="-","Enviado",IF(Tabela2[[#This Row],[Dt Venc:]]=TODAY(),"Vence Hoje","Vencida")))</f>
        <v>Em Aberto</v>
      </c>
      <c r="F5876" s="3" t="str">
        <f ca="1">IF(G5876=1,"-",Tabela2[[#This Row],[Dt Venc:]]-TODAY())</f>
        <v>-</v>
      </c>
      <c r="G5876" s="3">
        <v>1</v>
      </c>
      <c r="H5876" s="3"/>
    </row>
    <row r="5877" spans="1:8" hidden="1">
      <c r="A5877" s="3">
        <v>155872</v>
      </c>
      <c r="B5877" s="7" t="s">
        <v>77</v>
      </c>
      <c r="C5877" s="41">
        <v>1233.33</v>
      </c>
      <c r="D5877" s="6">
        <v>45702</v>
      </c>
      <c r="E5877" s="3" t="str">
        <f ca="1">IF(Tabela2[[#This Row],[Dt Venc:]]&gt;TODAY(),"Em Aberto",IF(Tabela2[[#This Row],[D/venc]]="-","Enviado",IF(Tabela2[[#This Row],[Dt Venc:]]=TODAY(),"Vence Hoje","Vencida")))</f>
        <v>Em Aberto</v>
      </c>
      <c r="F5877" s="3" t="str">
        <f ca="1">IF(G5877=1,"-",Tabela2[[#This Row],[Dt Venc:]]-TODAY())</f>
        <v>-</v>
      </c>
      <c r="G5877" s="3">
        <v>1</v>
      </c>
      <c r="H5877" s="3"/>
    </row>
    <row r="5878" spans="1:8" hidden="1">
      <c r="A5878" s="3">
        <v>155890</v>
      </c>
      <c r="B5878" s="7" t="s">
        <v>77</v>
      </c>
      <c r="C5878" s="41">
        <v>1233.33</v>
      </c>
      <c r="D5878" s="6">
        <v>45702</v>
      </c>
      <c r="E5878" s="3" t="str">
        <f ca="1">IF(Tabela2[[#This Row],[Dt Venc:]]&gt;TODAY(),"Em Aberto",IF(Tabela2[[#This Row],[D/venc]]="-","Enviado",IF(Tabela2[[#This Row],[Dt Venc:]]=TODAY(),"Vence Hoje","Vencida")))</f>
        <v>Em Aberto</v>
      </c>
      <c r="F5878" s="3" t="str">
        <f ca="1">IF(G5878=1,"-",Tabela2[[#This Row],[Dt Venc:]]-TODAY())</f>
        <v>-</v>
      </c>
      <c r="G5878" s="3">
        <v>1</v>
      </c>
      <c r="H5878" s="3"/>
    </row>
    <row r="5879" spans="1:8" hidden="1">
      <c r="A5879" s="3">
        <v>185221</v>
      </c>
      <c r="B5879" s="7" t="s">
        <v>84</v>
      </c>
      <c r="C5879" s="41">
        <v>879.82</v>
      </c>
      <c r="D5879" s="6">
        <v>45702</v>
      </c>
      <c r="E5879" s="3" t="str">
        <f ca="1">IF(Tabela2[[#This Row],[Dt Venc:]]&gt;TODAY(),"Em Aberto",IF(Tabela2[[#This Row],[D/venc]]="-","Enviado",IF(Tabela2[[#This Row],[Dt Venc:]]=TODAY(),"Vence Hoje","Vencida")))</f>
        <v>Em Aberto</v>
      </c>
      <c r="F5879" s="3" t="str">
        <f ca="1">IF(G5879=1,"-",Tabela2[[#This Row],[Dt Venc:]]-TODAY())</f>
        <v>-</v>
      </c>
      <c r="G5879" s="3">
        <v>1</v>
      </c>
      <c r="H5879" s="3"/>
    </row>
    <row r="5880" spans="1:8" hidden="1">
      <c r="A5880" s="3">
        <v>204704</v>
      </c>
      <c r="B5880" s="7" t="s">
        <v>200</v>
      </c>
      <c r="C5880" s="41">
        <v>1196.6600000000001</v>
      </c>
      <c r="D5880" s="6">
        <v>45702</v>
      </c>
      <c r="E5880" s="3" t="str">
        <f ca="1">IF(Tabela2[[#This Row],[Dt Venc:]]&gt;TODAY(),"Em Aberto",IF(Tabela2[[#This Row],[D/venc]]="-","Enviado",IF(Tabela2[[#This Row],[Dt Venc:]]=TODAY(),"Vence Hoje","Vencida")))</f>
        <v>Em Aberto</v>
      </c>
      <c r="F5880" s="3" t="str">
        <f ca="1">IF(G5880=1,"-",Tabela2[[#This Row],[Dt Venc:]]-TODAY())</f>
        <v>-</v>
      </c>
      <c r="G5880" s="3">
        <v>1</v>
      </c>
      <c r="H5880" s="3"/>
    </row>
    <row r="5881" spans="1:8" hidden="1">
      <c r="A5881" s="3">
        <v>205812</v>
      </c>
      <c r="B5881" s="7" t="s">
        <v>204</v>
      </c>
      <c r="C5881" s="41">
        <v>1085.0999999999999</v>
      </c>
      <c r="D5881" s="6">
        <v>45702</v>
      </c>
      <c r="E5881" s="3" t="str">
        <f ca="1">IF(Tabela2[[#This Row],[Dt Venc:]]&gt;TODAY(),"Em Aberto",IF(Tabela2[[#This Row],[D/venc]]="-","Enviado",IF(Tabela2[[#This Row],[Dt Venc:]]=TODAY(),"Vence Hoje","Vencida")))</f>
        <v>Em Aberto</v>
      </c>
      <c r="F5881" s="3" t="str">
        <f ca="1">IF(G5881=1,"-",Tabela2[[#This Row],[Dt Venc:]]-TODAY())</f>
        <v>-</v>
      </c>
      <c r="G5881" s="3">
        <v>1</v>
      </c>
      <c r="H5881" s="3"/>
    </row>
    <row r="5882" spans="1:8" hidden="1">
      <c r="A5882" s="3">
        <v>209196</v>
      </c>
      <c r="B5882" s="7" t="s">
        <v>697</v>
      </c>
      <c r="C5882" s="41">
        <v>419</v>
      </c>
      <c r="D5882" s="6">
        <v>45702</v>
      </c>
      <c r="E5882" s="3" t="str">
        <f ca="1">IF(Tabela2[[#This Row],[Dt Venc:]]&gt;TODAY(),"Em Aberto",IF(Tabela2[[#This Row],[D/venc]]="-","Enviado",IF(Tabela2[[#This Row],[Dt Venc:]]=TODAY(),"Vence Hoje","Vencida")))</f>
        <v>Em Aberto</v>
      </c>
      <c r="F5882" s="3" t="str">
        <f ca="1">IF(G5882=1,"-",Tabela2[[#This Row],[Dt Venc:]]-TODAY())</f>
        <v>-</v>
      </c>
      <c r="G5882" s="3">
        <v>1</v>
      </c>
      <c r="H5882" s="3"/>
    </row>
    <row r="5883" spans="1:8" hidden="1">
      <c r="A5883" s="3">
        <v>225178</v>
      </c>
      <c r="B5883" s="7" t="s">
        <v>39</v>
      </c>
      <c r="C5883" s="41">
        <v>21465</v>
      </c>
      <c r="D5883" s="6">
        <v>45702</v>
      </c>
      <c r="E5883" s="3" t="str">
        <f ca="1">IF(Tabela2[[#This Row],[Dt Venc:]]&gt;TODAY(),"Em Aberto",IF(Tabela2[[#This Row],[D/venc]]="-","Enviado",IF(Tabela2[[#This Row],[Dt Venc:]]=TODAY(),"Vence Hoje","Vencida")))</f>
        <v>Em Aberto</v>
      </c>
      <c r="F5883" s="3" t="str">
        <f ca="1">IF(G5883=1,"-",Tabela2[[#This Row],[Dt Venc:]]-TODAY())</f>
        <v>-</v>
      </c>
      <c r="G5883" s="3">
        <v>1</v>
      </c>
      <c r="H5883" s="3"/>
    </row>
    <row r="5884" spans="1:8" hidden="1">
      <c r="A5884" s="3">
        <v>242021</v>
      </c>
      <c r="B5884" s="7" t="s">
        <v>139</v>
      </c>
      <c r="C5884" s="41">
        <v>1120</v>
      </c>
      <c r="D5884" s="6">
        <v>45702</v>
      </c>
      <c r="E5884" s="3" t="str">
        <f ca="1">IF(Tabela2[[#This Row],[Dt Venc:]]&gt;TODAY(),"Em Aberto",IF(Tabela2[[#This Row],[D/venc]]="-","Enviado",IF(Tabela2[[#This Row],[Dt Venc:]]=TODAY(),"Vence Hoje","Vencida")))</f>
        <v>Em Aberto</v>
      </c>
      <c r="F5884" s="3" t="str">
        <f ca="1">IF(G5884=1,"-",Tabela2[[#This Row],[Dt Venc:]]-TODAY())</f>
        <v>-</v>
      </c>
      <c r="G5884" s="3">
        <v>1</v>
      </c>
      <c r="H5884" s="3"/>
    </row>
    <row r="5885" spans="1:8" hidden="1">
      <c r="A5885" s="3">
        <v>257112</v>
      </c>
      <c r="B5885" s="7" t="s">
        <v>43</v>
      </c>
      <c r="C5885" s="41">
        <v>1492.34</v>
      </c>
      <c r="D5885" s="6">
        <v>45702</v>
      </c>
      <c r="E5885" s="3" t="str">
        <f ca="1">IF(Tabela2[[#This Row],[Dt Venc:]]&gt;TODAY(),"Em Aberto",IF(Tabela2[[#This Row],[D/venc]]="-","Enviado",IF(Tabela2[[#This Row],[Dt Venc:]]=TODAY(),"Vence Hoje","Vencida")))</f>
        <v>Em Aberto</v>
      </c>
      <c r="F5885" s="3" t="str">
        <f ca="1">IF(G5885=1,"-",Tabela2[[#This Row],[Dt Venc:]]-TODAY())</f>
        <v>-</v>
      </c>
      <c r="G5885" s="3">
        <v>1</v>
      </c>
      <c r="H5885" s="3"/>
    </row>
    <row r="5886" spans="1:8" hidden="1">
      <c r="A5886" s="3">
        <v>259340</v>
      </c>
      <c r="B5886" s="7" t="s">
        <v>49</v>
      </c>
      <c r="C5886" s="41">
        <v>1373.34</v>
      </c>
      <c r="D5886" s="6">
        <v>45702</v>
      </c>
      <c r="E5886" s="3" t="str">
        <f ca="1">IF(Tabela2[[#This Row],[Dt Venc:]]&gt;TODAY(),"Em Aberto",IF(Tabela2[[#This Row],[D/venc]]="-","Enviado",IF(Tabela2[[#This Row],[Dt Venc:]]=TODAY(),"Vence Hoje","Vencida")))</f>
        <v>Em Aberto</v>
      </c>
      <c r="F5886" s="3" t="str">
        <f ca="1">IF(G5886=1,"-",Tabela2[[#This Row],[Dt Venc:]]-TODAY())</f>
        <v>-</v>
      </c>
      <c r="G5886" s="3">
        <v>1</v>
      </c>
      <c r="H5886" s="3"/>
    </row>
    <row r="5887" spans="1:8" hidden="1">
      <c r="A5887" s="3">
        <v>259550</v>
      </c>
      <c r="B5887" s="7" t="s">
        <v>49</v>
      </c>
      <c r="C5887" s="41">
        <v>1373.34</v>
      </c>
      <c r="D5887" s="6">
        <v>45702</v>
      </c>
      <c r="E5887" s="3" t="str">
        <f ca="1">IF(Tabela2[[#This Row],[Dt Venc:]]&gt;TODAY(),"Em Aberto",IF(Tabela2[[#This Row],[D/venc]]="-","Enviado",IF(Tabela2[[#This Row],[Dt Venc:]]=TODAY(),"Vence Hoje","Vencida")))</f>
        <v>Em Aberto</v>
      </c>
      <c r="F5887" s="3" t="str">
        <f ca="1">IF(G5887=1,"-",Tabela2[[#This Row],[Dt Venc:]]-TODAY())</f>
        <v>-</v>
      </c>
      <c r="G5887" s="3">
        <v>1</v>
      </c>
      <c r="H5887" s="3"/>
    </row>
    <row r="5888" spans="1:8" hidden="1">
      <c r="A5888" s="3">
        <v>259813</v>
      </c>
      <c r="B5888" s="7" t="s">
        <v>49</v>
      </c>
      <c r="C5888" s="41">
        <v>1373.34</v>
      </c>
      <c r="D5888" s="6">
        <v>45702</v>
      </c>
      <c r="E5888" s="3" t="str">
        <f ca="1">IF(Tabela2[[#This Row],[Dt Venc:]]&gt;TODAY(),"Em Aberto",IF(Tabela2[[#This Row],[D/venc]]="-","Enviado",IF(Tabela2[[#This Row],[Dt Venc:]]=TODAY(),"Vence Hoje","Vencida")))</f>
        <v>Em Aberto</v>
      </c>
      <c r="F5888" s="3" t="str">
        <f ca="1">IF(G5888=1,"-",Tabela2[[#This Row],[Dt Venc:]]-TODAY())</f>
        <v>-</v>
      </c>
      <c r="G5888" s="3">
        <v>1</v>
      </c>
      <c r="H5888" s="3"/>
    </row>
    <row r="5889" spans="1:8" hidden="1">
      <c r="A5889" s="3">
        <v>270666</v>
      </c>
      <c r="B5889" s="7" t="s">
        <v>43</v>
      </c>
      <c r="C5889" s="41">
        <v>1068.0899999999999</v>
      </c>
      <c r="D5889" s="6">
        <v>45702</v>
      </c>
      <c r="E5889" s="3" t="str">
        <f ca="1">IF(Tabela2[[#This Row],[Dt Venc:]]&gt;TODAY(),"Em Aberto",IF(Tabela2[[#This Row],[D/venc]]="-","Enviado",IF(Tabela2[[#This Row],[Dt Venc:]]=TODAY(),"Vence Hoje","Vencida")))</f>
        <v>Em Aberto</v>
      </c>
      <c r="F5889" s="3" t="str">
        <f ca="1">IF(G5889=1,"-",Tabela2[[#This Row],[Dt Venc:]]-TODAY())</f>
        <v>-</v>
      </c>
      <c r="G5889" s="3">
        <v>1</v>
      </c>
      <c r="H5889" s="3"/>
    </row>
    <row r="5890" spans="1:8" hidden="1">
      <c r="A5890" s="3">
        <v>280547</v>
      </c>
      <c r="B5890" s="7" t="s">
        <v>43</v>
      </c>
      <c r="C5890" s="41">
        <v>3214.44</v>
      </c>
      <c r="D5890" s="6">
        <v>45702</v>
      </c>
      <c r="E5890" s="3" t="str">
        <f ca="1">IF(Tabela2[[#This Row],[Dt Venc:]]&gt;TODAY(),"Em Aberto",IF(Tabela2[[#This Row],[D/venc]]="-","Enviado",IF(Tabela2[[#This Row],[Dt Venc:]]=TODAY(),"Vence Hoje","Vencida")))</f>
        <v>Em Aberto</v>
      </c>
      <c r="F5890" s="3" t="str">
        <f ca="1">IF(G5890=1,"-",Tabela2[[#This Row],[Dt Venc:]]-TODAY())</f>
        <v>-</v>
      </c>
      <c r="G5890" s="3">
        <v>1</v>
      </c>
      <c r="H5890" s="3"/>
    </row>
    <row r="5891" spans="1:8" hidden="1">
      <c r="A5891" s="3">
        <v>305503</v>
      </c>
      <c r="B5891" s="7" t="s">
        <v>635</v>
      </c>
      <c r="C5891" s="41">
        <v>307.98</v>
      </c>
      <c r="D5891" s="6">
        <v>45702</v>
      </c>
      <c r="E5891" s="3" t="str">
        <f ca="1">IF(Tabela2[[#This Row],[Dt Venc:]]&gt;TODAY(),"Em Aberto",IF(Tabela2[[#This Row],[D/venc]]="-","Enviado",IF(Tabela2[[#This Row],[Dt Venc:]]=TODAY(),"Vence Hoje","Vencida")))</f>
        <v>Em Aberto</v>
      </c>
      <c r="F5891" s="3" t="str">
        <f ca="1">IF(G5891=1,"-",Tabela2[[#This Row],[Dt Venc:]]-TODAY())</f>
        <v>-</v>
      </c>
      <c r="G5891" s="3">
        <v>1</v>
      </c>
      <c r="H5891" s="3"/>
    </row>
    <row r="5892" spans="1:8" hidden="1">
      <c r="A5892" s="3">
        <v>330499</v>
      </c>
      <c r="B5892" s="7" t="s">
        <v>77</v>
      </c>
      <c r="C5892" s="41">
        <v>1736.931</v>
      </c>
      <c r="D5892" s="6">
        <v>45702</v>
      </c>
      <c r="E5892" s="3" t="str">
        <f ca="1">IF(Tabela2[[#This Row],[Dt Venc:]]&gt;TODAY(),"Em Aberto",IF(Tabela2[[#This Row],[D/venc]]="-","Enviado",IF(Tabela2[[#This Row],[Dt Venc:]]=TODAY(),"Vence Hoje","Vencida")))</f>
        <v>Em Aberto</v>
      </c>
      <c r="F5892" s="3" t="str">
        <f ca="1">IF(G5892=1,"-",Tabela2[[#This Row],[Dt Venc:]]-TODAY())</f>
        <v>-</v>
      </c>
      <c r="G5892" s="3">
        <v>1</v>
      </c>
      <c r="H5892" s="3"/>
    </row>
    <row r="5893" spans="1:8" hidden="1">
      <c r="A5893" s="3">
        <v>331733</v>
      </c>
      <c r="B5893" s="7" t="s">
        <v>77</v>
      </c>
      <c r="C5893" s="41">
        <v>438.33</v>
      </c>
      <c r="D5893" s="6">
        <v>45702</v>
      </c>
      <c r="E5893" s="3" t="str">
        <f ca="1">IF(Tabela2[[#This Row],[Dt Venc:]]&gt;TODAY(),"Em Aberto",IF(Tabela2[[#This Row],[D/venc]]="-","Enviado",IF(Tabela2[[#This Row],[Dt Venc:]]=TODAY(),"Vence Hoje","Vencida")))</f>
        <v>Em Aberto</v>
      </c>
      <c r="F5893" s="3" t="str">
        <f ca="1">IF(G5893=1,"-",Tabela2[[#This Row],[Dt Venc:]]-TODAY())</f>
        <v>-</v>
      </c>
      <c r="G5893" s="3">
        <v>1</v>
      </c>
      <c r="H5893" s="3"/>
    </row>
    <row r="5894" spans="1:8" hidden="1">
      <c r="A5894" s="3">
        <v>375211</v>
      </c>
      <c r="B5894" s="7" t="s">
        <v>39</v>
      </c>
      <c r="C5894" s="41">
        <v>416.73</v>
      </c>
      <c r="D5894" s="6">
        <v>45702</v>
      </c>
      <c r="E5894" s="3" t="str">
        <f ca="1">IF(Tabela2[[#This Row],[Dt Venc:]]&gt;TODAY(),"Em Aberto",IF(Tabela2[[#This Row],[D/venc]]="-","Enviado",IF(Tabela2[[#This Row],[Dt Venc:]]=TODAY(),"Vence Hoje","Vencida")))</f>
        <v>Em Aberto</v>
      </c>
      <c r="F5894" s="3" t="str">
        <f ca="1">IF(G5894=1,"-",Tabela2[[#This Row],[Dt Venc:]]-TODAY())</f>
        <v>-</v>
      </c>
      <c r="G5894" s="3">
        <v>1</v>
      </c>
      <c r="H5894" s="3"/>
    </row>
    <row r="5895" spans="1:8" hidden="1">
      <c r="A5895" s="3">
        <v>381596</v>
      </c>
      <c r="B5895" s="7" t="s">
        <v>567</v>
      </c>
      <c r="C5895" s="41">
        <v>657.87</v>
      </c>
      <c r="D5895" s="6">
        <v>45702</v>
      </c>
      <c r="E5895" s="3" t="str">
        <f ca="1">IF(Tabela2[[#This Row],[Dt Venc:]]&gt;TODAY(),"Em Aberto",IF(Tabela2[[#This Row],[D/venc]]="-","Enviado",IF(Tabela2[[#This Row],[Dt Venc:]]=TODAY(),"Vence Hoje","Vencida")))</f>
        <v>Em Aberto</v>
      </c>
      <c r="F5895" s="3" t="str">
        <f ca="1">IF(G5895=1,"-",Tabela2[[#This Row],[Dt Venc:]]-TODAY())</f>
        <v>-</v>
      </c>
      <c r="G5895" s="3">
        <v>1</v>
      </c>
      <c r="H5895" s="3"/>
    </row>
    <row r="5896" spans="1:8" hidden="1">
      <c r="A5896" s="3">
        <v>450617</v>
      </c>
      <c r="B5896" s="7" t="s">
        <v>512</v>
      </c>
      <c r="C5896" s="41">
        <v>631.77</v>
      </c>
      <c r="D5896" s="6">
        <v>45702</v>
      </c>
      <c r="E5896" s="3" t="str">
        <f ca="1">IF(Tabela2[[#This Row],[Dt Venc:]]&gt;TODAY(),"Em Aberto",IF(Tabela2[[#This Row],[D/venc]]="-","Enviado",IF(Tabela2[[#This Row],[Dt Venc:]]=TODAY(),"Vence Hoje","Vencida")))</f>
        <v>Em Aberto</v>
      </c>
      <c r="F5896" s="3" t="str">
        <f ca="1">IF(G5896=1,"-",Tabela2[[#This Row],[Dt Venc:]]-TODAY())</f>
        <v>-</v>
      </c>
      <c r="G5896" s="3">
        <v>1</v>
      </c>
      <c r="H5896" s="3"/>
    </row>
    <row r="5897" spans="1:8" hidden="1">
      <c r="A5897" s="3">
        <v>474414</v>
      </c>
      <c r="B5897" s="7" t="s">
        <v>698</v>
      </c>
      <c r="C5897" s="41">
        <v>332.8</v>
      </c>
      <c r="D5897" s="6">
        <v>45702</v>
      </c>
      <c r="E5897" s="3" t="str">
        <f ca="1">IF(Tabela2[[#This Row],[Dt Venc:]]&gt;TODAY(),"Em Aberto",IF(Tabela2[[#This Row],[D/venc]]="-","Enviado",IF(Tabela2[[#This Row],[Dt Venc:]]=TODAY(),"Vence Hoje","Vencida")))</f>
        <v>Em Aberto</v>
      </c>
      <c r="F5897" s="3" t="str">
        <f ca="1">IF(G5897=1,"-",Tabela2[[#This Row],[Dt Venc:]]-TODAY())</f>
        <v>-</v>
      </c>
      <c r="G5897" s="3">
        <v>1</v>
      </c>
      <c r="H5897" s="3"/>
    </row>
    <row r="5898" spans="1:8" hidden="1">
      <c r="A5898" s="3">
        <v>474414</v>
      </c>
      <c r="B5898" s="7" t="s">
        <v>698</v>
      </c>
      <c r="C5898" s="41">
        <v>332.8</v>
      </c>
      <c r="D5898" s="6">
        <v>45702</v>
      </c>
      <c r="E5898" s="3" t="str">
        <f ca="1">IF(Tabela2[[#This Row],[Dt Venc:]]&gt;TODAY(),"Em Aberto",IF(Tabela2[[#This Row],[D/venc]]="-","Enviado",IF(Tabela2[[#This Row],[Dt Venc:]]=TODAY(),"Vence Hoje","Vencida")))</f>
        <v>Em Aberto</v>
      </c>
      <c r="F5898" s="3" t="str">
        <f ca="1">IF(G5898=1,"-",Tabela2[[#This Row],[Dt Venc:]]-TODAY())</f>
        <v>-</v>
      </c>
      <c r="G5898" s="3">
        <v>1</v>
      </c>
      <c r="H5898" s="3"/>
    </row>
    <row r="5899" spans="1:8" hidden="1">
      <c r="A5899" s="3">
        <v>617798</v>
      </c>
      <c r="B5899" s="7" t="s">
        <v>66</v>
      </c>
      <c r="C5899" s="41">
        <v>4486.43</v>
      </c>
      <c r="D5899" s="6">
        <v>45702</v>
      </c>
      <c r="E5899" s="3" t="str">
        <f ca="1">IF(Tabela2[[#This Row],[Dt Venc:]]&gt;TODAY(),"Em Aberto",IF(Tabela2[[#This Row],[D/venc]]="-","Enviado",IF(Tabela2[[#This Row],[Dt Venc:]]=TODAY(),"Vence Hoje","Vencida")))</f>
        <v>Em Aberto</v>
      </c>
      <c r="F5899" s="3" t="str">
        <f ca="1">IF(G5899=1,"-",Tabela2[[#This Row],[Dt Venc:]]-TODAY())</f>
        <v>-</v>
      </c>
      <c r="G5899" s="3">
        <v>1</v>
      </c>
      <c r="H5899" s="3"/>
    </row>
    <row r="5900" spans="1:8" hidden="1">
      <c r="A5900" s="3">
        <v>2016464</v>
      </c>
      <c r="B5900" s="7" t="s">
        <v>59</v>
      </c>
      <c r="C5900" s="41">
        <v>109874</v>
      </c>
      <c r="D5900" s="6">
        <v>45702</v>
      </c>
      <c r="E5900" s="3" t="str">
        <f ca="1">IF(Tabela2[[#This Row],[Dt Venc:]]&gt;TODAY(),"Em Aberto",IF(Tabela2[[#This Row],[D/venc]]="-","Enviado",IF(Tabela2[[#This Row],[Dt Venc:]]=TODAY(),"Vence Hoje","Vencida")))</f>
        <v>Em Aberto</v>
      </c>
      <c r="F5900" s="3" t="str">
        <f ca="1">IF(G5900=1,"-",Tabela2[[#This Row],[Dt Venc:]]-TODAY())</f>
        <v>-</v>
      </c>
      <c r="G5900" s="3">
        <v>1</v>
      </c>
      <c r="H5900" s="3"/>
    </row>
    <row r="5901" spans="1:8" hidden="1">
      <c r="A5901" s="3">
        <v>2294882</v>
      </c>
      <c r="B5901" s="7" t="s">
        <v>59</v>
      </c>
      <c r="C5901" s="41">
        <v>55714</v>
      </c>
      <c r="D5901" s="6">
        <v>45702</v>
      </c>
      <c r="E5901" s="3" t="str">
        <f ca="1">IF(Tabela2[[#This Row],[Dt Venc:]]&gt;TODAY(),"Em Aberto",IF(Tabela2[[#This Row],[D/venc]]="-","Enviado",IF(Tabela2[[#This Row],[Dt Venc:]]=TODAY(),"Vence Hoje","Vencida")))</f>
        <v>Em Aberto</v>
      </c>
      <c r="F5901" s="3" t="str">
        <f ca="1">IF(G5901=1,"-",Tabela2[[#This Row],[Dt Venc:]]-TODAY())</f>
        <v>-</v>
      </c>
      <c r="G5901" s="3">
        <v>1</v>
      </c>
      <c r="H5901" s="3"/>
    </row>
    <row r="5902" spans="1:8" hidden="1">
      <c r="A5902" s="3">
        <v>2522354</v>
      </c>
      <c r="B5902" s="7" t="s">
        <v>699</v>
      </c>
      <c r="C5902" s="41">
        <v>81151.5</v>
      </c>
      <c r="D5902" s="6">
        <v>45702</v>
      </c>
      <c r="E5902" s="3" t="str">
        <f ca="1">IF(Tabela2[[#This Row],[Dt Venc:]]&gt;TODAY(),"Em Aberto",IF(Tabela2[[#This Row],[D/venc]]="-","Enviado",IF(Tabela2[[#This Row],[Dt Venc:]]=TODAY(),"Vence Hoje","Vencida")))</f>
        <v>Em Aberto</v>
      </c>
      <c r="F5902" s="3" t="str">
        <f ca="1">IF(G5902=1,"-",Tabela2[[#This Row],[Dt Venc:]]-TODAY())</f>
        <v>-</v>
      </c>
      <c r="G5902" s="3">
        <v>1</v>
      </c>
      <c r="H5902" s="3"/>
    </row>
    <row r="5903" spans="1:8">
      <c r="A5903" s="3">
        <v>59</v>
      </c>
      <c r="B5903" s="7" t="s">
        <v>173</v>
      </c>
      <c r="C5903" s="41">
        <v>1483.34</v>
      </c>
      <c r="D5903" s="6">
        <v>45703</v>
      </c>
      <c r="E5903" s="3" t="str">
        <f ca="1">IF(Tabela2[[#This Row],[Dt Venc:]]&gt;TODAY(),"Em Aberto",IF(Tabela2[[#This Row],[D/venc]]="-","Enviado",IF(Tabela2[[#This Row],[Dt Venc:]]=TODAY(),"Vence Hoje","Vencida")))</f>
        <v>Em Aberto</v>
      </c>
      <c r="F5903" s="3">
        <f ca="1">IF(G5903=1,"-",Tabela2[[#This Row],[Dt Venc:]]-TODAY())</f>
        <v>10</v>
      </c>
      <c r="G5903" s="3"/>
      <c r="H5903" s="3"/>
    </row>
    <row r="5904" spans="1:8">
      <c r="A5904" s="3">
        <v>562</v>
      </c>
      <c r="B5904" s="7" t="s">
        <v>251</v>
      </c>
      <c r="C5904" s="100" t="s">
        <v>32</v>
      </c>
      <c r="D5904" s="6">
        <v>45703</v>
      </c>
      <c r="E5904" s="3" t="str">
        <f ca="1">IF(Tabela2[[#This Row],[Dt Venc:]]&gt;TODAY(),"Em Aberto",IF(Tabela2[[#This Row],[D/venc]]="-","Enviado",IF(Tabela2[[#This Row],[Dt Venc:]]=TODAY(),"Vence Hoje","Vencida")))</f>
        <v>Em Aberto</v>
      </c>
      <c r="F5904" s="3">
        <f ca="1">IF(G5904=1,"-",Tabela2[[#This Row],[Dt Venc:]]-TODAY())</f>
        <v>10</v>
      </c>
      <c r="G5904" s="3"/>
      <c r="H5904" s="3"/>
    </row>
    <row r="5905" spans="1:8">
      <c r="A5905" s="3">
        <v>1791</v>
      </c>
      <c r="B5905" s="7" t="s">
        <v>560</v>
      </c>
      <c r="C5905" s="41">
        <v>462.5</v>
      </c>
      <c r="D5905" s="6">
        <v>45703</v>
      </c>
      <c r="E5905" s="3" t="str">
        <f ca="1">IF(Tabela2[[#This Row],[Dt Venc:]]&gt;TODAY(),"Em Aberto",IF(Tabela2[[#This Row],[D/venc]]="-","Enviado",IF(Tabela2[[#This Row],[Dt Venc:]]=TODAY(),"Vence Hoje","Vencida")))</f>
        <v>Em Aberto</v>
      </c>
      <c r="F5905" s="3">
        <f ca="1">IF(G5905=1,"-",Tabela2[[#This Row],[Dt Venc:]]-TODAY())</f>
        <v>10</v>
      </c>
      <c r="G5905" s="3"/>
      <c r="H5905" s="3"/>
    </row>
    <row r="5906" spans="1:8">
      <c r="A5906" s="3">
        <v>2851</v>
      </c>
      <c r="B5906" s="7" t="s">
        <v>58</v>
      </c>
      <c r="C5906" s="41">
        <v>2187.27</v>
      </c>
      <c r="D5906" s="6">
        <v>45703</v>
      </c>
      <c r="E5906" s="3" t="str">
        <f ca="1">IF(Tabela2[[#This Row],[Dt Venc:]]&gt;TODAY(),"Em Aberto",IF(Tabela2[[#This Row],[D/venc]]="-","Enviado",IF(Tabela2[[#This Row],[Dt Venc:]]=TODAY(),"Vence Hoje","Vencida")))</f>
        <v>Em Aberto</v>
      </c>
      <c r="F5906" s="3">
        <f ca="1">IF(G5906=1,"-",Tabela2[[#This Row],[Dt Venc:]]-TODAY())</f>
        <v>10</v>
      </c>
      <c r="G5906" s="3"/>
      <c r="H5906" s="3"/>
    </row>
    <row r="5907" spans="1:8">
      <c r="A5907" s="3">
        <v>2884</v>
      </c>
      <c r="B5907" s="7" t="s">
        <v>301</v>
      </c>
      <c r="C5907" s="41">
        <v>2440</v>
      </c>
      <c r="D5907" s="6">
        <v>45703</v>
      </c>
      <c r="E5907" s="3" t="str">
        <f ca="1">IF(Tabela2[[#This Row],[Dt Venc:]]&gt;TODAY(),"Em Aberto",IF(Tabela2[[#This Row],[D/venc]]="-","Enviado",IF(Tabela2[[#This Row],[Dt Venc:]]=TODAY(),"Vence Hoje","Vencida")))</f>
        <v>Em Aberto</v>
      </c>
      <c r="F5907" s="3">
        <f ca="1">IF(G5907=1,"-",Tabela2[[#This Row],[Dt Venc:]]-TODAY())</f>
        <v>10</v>
      </c>
      <c r="G5907" s="3"/>
      <c r="H5907" s="3"/>
    </row>
    <row r="5908" spans="1:8">
      <c r="A5908" s="3">
        <v>2919</v>
      </c>
      <c r="B5908" s="7" t="s">
        <v>58</v>
      </c>
      <c r="C5908" s="41">
        <v>2195.8000000000002</v>
      </c>
      <c r="D5908" s="6">
        <v>45703</v>
      </c>
      <c r="E5908" s="3" t="str">
        <f ca="1">IF(Tabela2[[#This Row],[Dt Venc:]]&gt;TODAY(),"Em Aberto",IF(Tabela2[[#This Row],[D/venc]]="-","Enviado",IF(Tabela2[[#This Row],[Dt Venc:]]=TODAY(),"Vence Hoje","Vencida")))</f>
        <v>Em Aberto</v>
      </c>
      <c r="F5908" s="3">
        <f ca="1">IF(G5908=1,"-",Tabela2[[#This Row],[Dt Venc:]]-TODAY())</f>
        <v>10</v>
      </c>
      <c r="G5908" s="3"/>
      <c r="H5908" s="3"/>
    </row>
    <row r="5909" spans="1:8">
      <c r="A5909" s="3">
        <v>4450</v>
      </c>
      <c r="B5909" s="7" t="s">
        <v>700</v>
      </c>
      <c r="C5909" s="41">
        <v>25</v>
      </c>
      <c r="D5909" s="6">
        <v>45703</v>
      </c>
      <c r="E5909" s="3" t="str">
        <f ca="1">IF(Tabela2[[#This Row],[Dt Venc:]]&gt;TODAY(),"Em Aberto",IF(Tabela2[[#This Row],[D/venc]]="-","Enviado",IF(Tabela2[[#This Row],[Dt Venc:]]=TODAY(),"Vence Hoje","Vencida")))</f>
        <v>Em Aberto</v>
      </c>
      <c r="F5909" s="3">
        <f ca="1">IF(G5909=1,"-",Tabela2[[#This Row],[Dt Venc:]]-TODAY())</f>
        <v>10</v>
      </c>
      <c r="G5909" s="3"/>
      <c r="H5909" s="3"/>
    </row>
    <row r="5910" spans="1:8">
      <c r="A5910" s="3">
        <v>6389</v>
      </c>
      <c r="B5910" s="7" t="s">
        <v>47</v>
      </c>
      <c r="C5910" s="41">
        <v>2028.67</v>
      </c>
      <c r="D5910" s="6">
        <v>45703</v>
      </c>
      <c r="E5910" s="3" t="str">
        <f ca="1">IF(Tabela2[[#This Row],[Dt Venc:]]&gt;TODAY(),"Em Aberto",IF(Tabela2[[#This Row],[D/venc]]="-","Enviado",IF(Tabela2[[#This Row],[Dt Venc:]]=TODAY(),"Vence Hoje","Vencida")))</f>
        <v>Em Aberto</v>
      </c>
      <c r="F5910" s="3">
        <f ca="1">IF(G5910=1,"-",Tabela2[[#This Row],[Dt Venc:]]-TODAY())</f>
        <v>10</v>
      </c>
      <c r="G5910" s="3"/>
      <c r="H5910" s="3"/>
    </row>
    <row r="5911" spans="1:8">
      <c r="A5911" s="3">
        <v>8374</v>
      </c>
      <c r="B5911" s="7" t="s">
        <v>623</v>
      </c>
      <c r="C5911" s="41">
        <v>833.34</v>
      </c>
      <c r="D5911" s="6">
        <v>45703</v>
      </c>
      <c r="E5911" s="3" t="str">
        <f ca="1">IF(Tabela2[[#This Row],[Dt Venc:]]&gt;TODAY(),"Em Aberto",IF(Tabela2[[#This Row],[D/venc]]="-","Enviado",IF(Tabela2[[#This Row],[Dt Venc:]]=TODAY(),"Vence Hoje","Vencida")))</f>
        <v>Em Aberto</v>
      </c>
      <c r="F5911" s="3">
        <f ca="1">IF(G5911=1,"-",Tabela2[[#This Row],[Dt Venc:]]-TODAY())</f>
        <v>10</v>
      </c>
      <c r="G5911" s="3"/>
      <c r="H5911" s="3"/>
    </row>
    <row r="5912" spans="1:8">
      <c r="A5912" s="3">
        <v>24208</v>
      </c>
      <c r="B5912" s="7" t="s">
        <v>38</v>
      </c>
      <c r="C5912" s="41">
        <v>1020</v>
      </c>
      <c r="D5912" s="6">
        <v>45703</v>
      </c>
      <c r="E5912" s="3" t="str">
        <f ca="1">IF(Tabela2[[#This Row],[Dt Venc:]]&gt;TODAY(),"Em Aberto",IF(Tabela2[[#This Row],[D/venc]]="-","Enviado",IF(Tabela2[[#This Row],[Dt Venc:]]=TODAY(),"Vence Hoje","Vencida")))</f>
        <v>Em Aberto</v>
      </c>
      <c r="F5912" s="3">
        <f ca="1">IF(G5912=1,"-",Tabela2[[#This Row],[Dt Venc:]]-TODAY())</f>
        <v>10</v>
      </c>
      <c r="G5912" s="3"/>
      <c r="H5912" s="3"/>
    </row>
    <row r="5913" spans="1:8">
      <c r="A5913" s="3">
        <v>24408</v>
      </c>
      <c r="B5913" s="7" t="s">
        <v>600</v>
      </c>
      <c r="C5913" s="41">
        <v>594</v>
      </c>
      <c r="D5913" s="6">
        <v>45703</v>
      </c>
      <c r="E5913" s="3" t="str">
        <f ca="1">IF(Tabela2[[#This Row],[Dt Venc:]]&gt;TODAY(),"Em Aberto",IF(Tabela2[[#This Row],[D/venc]]="-","Enviado",IF(Tabela2[[#This Row],[Dt Venc:]]=TODAY(),"Vence Hoje","Vencida")))</f>
        <v>Em Aberto</v>
      </c>
      <c r="F5913" s="3">
        <f ca="1">IF(G5913=1,"-",Tabela2[[#This Row],[Dt Venc:]]-TODAY())</f>
        <v>10</v>
      </c>
      <c r="G5913" s="3"/>
      <c r="H5913" s="3"/>
    </row>
    <row r="5914" spans="1:8">
      <c r="A5914" s="3">
        <v>24411</v>
      </c>
      <c r="B5914" s="7" t="s">
        <v>38</v>
      </c>
      <c r="C5914" s="41">
        <v>455.93</v>
      </c>
      <c r="D5914" s="6">
        <v>45703</v>
      </c>
      <c r="E5914" s="3" t="str">
        <f ca="1">IF(Tabela2[[#This Row],[Dt Venc:]]&gt;TODAY(),"Em Aberto",IF(Tabela2[[#This Row],[D/venc]]="-","Enviado",IF(Tabela2[[#This Row],[Dt Venc:]]=TODAY(),"Vence Hoje","Vencida")))</f>
        <v>Em Aberto</v>
      </c>
      <c r="F5914" s="3">
        <f ca="1">IF(G5914=1,"-",Tabela2[[#This Row],[Dt Venc:]]-TODAY())</f>
        <v>10</v>
      </c>
      <c r="G5914" s="3"/>
      <c r="H5914" s="3"/>
    </row>
    <row r="5915" spans="1:8">
      <c r="A5915" s="3">
        <v>27002</v>
      </c>
      <c r="B5915" s="7" t="s">
        <v>248</v>
      </c>
      <c r="C5915" s="41">
        <v>2189.83</v>
      </c>
      <c r="D5915" s="6">
        <v>45703</v>
      </c>
      <c r="E5915" s="3" t="str">
        <f ca="1">IF(Tabela2[[#This Row],[Dt Venc:]]&gt;TODAY(),"Em Aberto",IF(Tabela2[[#This Row],[D/venc]]="-","Enviado",IF(Tabela2[[#This Row],[Dt Venc:]]=TODAY(),"Vence Hoje","Vencida")))</f>
        <v>Em Aberto</v>
      </c>
      <c r="F5915" s="3">
        <f ca="1">IF(G5915=1,"-",Tabela2[[#This Row],[Dt Venc:]]-TODAY())</f>
        <v>10</v>
      </c>
      <c r="G5915" s="3"/>
      <c r="H5915" s="3"/>
    </row>
    <row r="5916" spans="1:8">
      <c r="A5916" s="3">
        <v>30374</v>
      </c>
      <c r="B5916" s="7" t="s">
        <v>226</v>
      </c>
      <c r="C5916" s="41">
        <v>2730</v>
      </c>
      <c r="D5916" s="6">
        <v>45703</v>
      </c>
      <c r="E5916" s="3" t="str">
        <f ca="1">IF(Tabela2[[#This Row],[Dt Venc:]]&gt;TODAY(),"Em Aberto",IF(Tabela2[[#This Row],[D/venc]]="-","Enviado",IF(Tabela2[[#This Row],[Dt Venc:]]=TODAY(),"Vence Hoje","Vencida")))</f>
        <v>Em Aberto</v>
      </c>
      <c r="F5916" s="3">
        <f ca="1">IF(G5916=1,"-",Tabela2[[#This Row],[Dt Venc:]]-TODAY())</f>
        <v>10</v>
      </c>
      <c r="G5916" s="3"/>
      <c r="H5916" s="3"/>
    </row>
    <row r="5917" spans="1:8">
      <c r="A5917" s="3">
        <v>31038</v>
      </c>
      <c r="B5917" s="7" t="s">
        <v>97</v>
      </c>
      <c r="C5917" s="41">
        <v>3425</v>
      </c>
      <c r="D5917" s="6">
        <v>45703</v>
      </c>
      <c r="E5917" s="3" t="str">
        <f ca="1">IF(Tabela2[[#This Row],[Dt Venc:]]&gt;TODAY(),"Em Aberto",IF(Tabela2[[#This Row],[D/venc]]="-","Enviado",IF(Tabela2[[#This Row],[Dt Venc:]]=TODAY(),"Vence Hoje","Vencida")))</f>
        <v>Em Aberto</v>
      </c>
      <c r="F5917" s="3">
        <f ca="1">IF(G5917=1,"-",Tabela2[[#This Row],[Dt Venc:]]-TODAY())</f>
        <v>10</v>
      </c>
      <c r="G5917" s="3"/>
      <c r="H5917" s="3"/>
    </row>
    <row r="5918" spans="1:8">
      <c r="A5918" s="3">
        <v>31136</v>
      </c>
      <c r="B5918" s="7" t="s">
        <v>97</v>
      </c>
      <c r="C5918" s="41">
        <v>1370</v>
      </c>
      <c r="D5918" s="6">
        <v>45703</v>
      </c>
      <c r="E5918" s="3" t="str">
        <f ca="1">IF(Tabela2[[#This Row],[Dt Venc:]]&gt;TODAY(),"Em Aberto",IF(Tabela2[[#This Row],[D/venc]]="-","Enviado",IF(Tabela2[[#This Row],[Dt Venc:]]=TODAY(),"Vence Hoje","Vencida")))</f>
        <v>Em Aberto</v>
      </c>
      <c r="F5918" s="3">
        <f ca="1">IF(G5918=1,"-",Tabela2[[#This Row],[Dt Venc:]]-TODAY())</f>
        <v>10</v>
      </c>
      <c r="G5918" s="3"/>
      <c r="H5918" s="3"/>
    </row>
    <row r="5919" spans="1:8">
      <c r="A5919" s="3">
        <v>31250</v>
      </c>
      <c r="B5919" s="7" t="s">
        <v>97</v>
      </c>
      <c r="C5919" s="41">
        <v>2170</v>
      </c>
      <c r="D5919" s="6">
        <v>45703</v>
      </c>
      <c r="E5919" s="3" t="str">
        <f ca="1">IF(Tabela2[[#This Row],[Dt Venc:]]&gt;TODAY(),"Em Aberto",IF(Tabela2[[#This Row],[D/venc]]="-","Enviado",IF(Tabela2[[#This Row],[Dt Venc:]]=TODAY(),"Vence Hoje","Vencida")))</f>
        <v>Em Aberto</v>
      </c>
      <c r="F5919" s="3">
        <f ca="1">IF(G5919=1,"-",Tabela2[[#This Row],[Dt Venc:]]-TODAY())</f>
        <v>10</v>
      </c>
      <c r="G5919" s="3"/>
      <c r="H5919" s="3"/>
    </row>
    <row r="5920" spans="1:8">
      <c r="A5920" s="3">
        <v>31802</v>
      </c>
      <c r="B5920" s="7" t="s">
        <v>524</v>
      </c>
      <c r="C5920" s="41">
        <v>716.67</v>
      </c>
      <c r="D5920" s="6">
        <v>45703</v>
      </c>
      <c r="E5920" s="3" t="str">
        <f ca="1">IF(Tabela2[[#This Row],[Dt Venc:]]&gt;TODAY(),"Em Aberto",IF(Tabela2[[#This Row],[D/venc]]="-","Enviado",IF(Tabela2[[#This Row],[Dt Venc:]]=TODAY(),"Vence Hoje","Vencida")))</f>
        <v>Em Aberto</v>
      </c>
      <c r="F5920" s="3">
        <f ca="1">IF(G5920=1,"-",Tabela2[[#This Row],[Dt Venc:]]-TODAY())</f>
        <v>10</v>
      </c>
      <c r="G5920" s="3"/>
      <c r="H5920" s="3"/>
    </row>
    <row r="5921" spans="1:8">
      <c r="A5921" s="3">
        <v>31857</v>
      </c>
      <c r="B5921" s="7" t="s">
        <v>98</v>
      </c>
      <c r="C5921" s="41">
        <v>569.6</v>
      </c>
      <c r="D5921" s="6">
        <v>45703</v>
      </c>
      <c r="E5921" s="3" t="str">
        <f ca="1">IF(Tabela2[[#This Row],[Dt Venc:]]&gt;TODAY(),"Em Aberto",IF(Tabela2[[#This Row],[D/venc]]="-","Enviado",IF(Tabela2[[#This Row],[Dt Venc:]]=TODAY(),"Vence Hoje","Vencida")))</f>
        <v>Em Aberto</v>
      </c>
      <c r="F5921" s="3">
        <f ca="1">IF(G5921=1,"-",Tabela2[[#This Row],[Dt Venc:]]-TODAY())</f>
        <v>10</v>
      </c>
      <c r="G5921" s="3"/>
      <c r="H5921" s="3"/>
    </row>
    <row r="5922" spans="1:8">
      <c r="A5922" s="3">
        <v>36846</v>
      </c>
      <c r="B5922" s="7" t="s">
        <v>167</v>
      </c>
      <c r="C5922" s="100" t="s">
        <v>32</v>
      </c>
      <c r="D5922" s="6">
        <v>45703</v>
      </c>
      <c r="E5922" s="3" t="str">
        <f ca="1">IF(Tabela2[[#This Row],[Dt Venc:]]&gt;TODAY(),"Em Aberto",IF(Tabela2[[#This Row],[D/venc]]="-","Enviado",IF(Tabela2[[#This Row],[Dt Venc:]]=TODAY(),"Vence Hoje","Vencida")))</f>
        <v>Em Aberto</v>
      </c>
      <c r="F5922" s="3">
        <f ca="1">IF(G5922=1,"-",Tabela2[[#This Row],[Dt Venc:]]-TODAY())</f>
        <v>10</v>
      </c>
      <c r="G5922" s="3"/>
      <c r="H5922" s="3"/>
    </row>
    <row r="5923" spans="1:8">
      <c r="A5923" s="3">
        <v>103015</v>
      </c>
      <c r="B5923" s="7" t="s">
        <v>252</v>
      </c>
      <c r="C5923" s="100" t="s">
        <v>32</v>
      </c>
      <c r="D5923" s="6">
        <v>45703</v>
      </c>
      <c r="E5923" s="3" t="str">
        <f ca="1">IF(Tabela2[[#This Row],[Dt Venc:]]&gt;TODAY(),"Em Aberto",IF(Tabela2[[#This Row],[D/venc]]="-","Enviado",IF(Tabela2[[#This Row],[Dt Venc:]]=TODAY(),"Vence Hoje","Vencida")))</f>
        <v>Em Aberto</v>
      </c>
      <c r="F5923" s="3">
        <f ca="1">IF(G5923=1,"-",Tabela2[[#This Row],[Dt Venc:]]-TODAY())</f>
        <v>10</v>
      </c>
      <c r="G5923" s="3"/>
      <c r="H5923" s="3"/>
    </row>
    <row r="5924" spans="1:8">
      <c r="A5924" s="3">
        <v>103077</v>
      </c>
      <c r="B5924" s="7" t="s">
        <v>252</v>
      </c>
      <c r="C5924" s="100" t="s">
        <v>32</v>
      </c>
      <c r="D5924" s="6">
        <v>45703</v>
      </c>
      <c r="E5924" s="3" t="str">
        <f ca="1">IF(Tabela2[[#This Row],[Dt Venc:]]&gt;TODAY(),"Em Aberto",IF(Tabela2[[#This Row],[D/venc]]="-","Enviado",IF(Tabela2[[#This Row],[Dt Venc:]]=TODAY(),"Vence Hoje","Vencida")))</f>
        <v>Em Aberto</v>
      </c>
      <c r="F5924" s="3">
        <f ca="1">IF(G5924=1,"-",Tabela2[[#This Row],[Dt Venc:]]-TODAY())</f>
        <v>10</v>
      </c>
      <c r="G5924" s="3"/>
      <c r="H5924" s="3"/>
    </row>
    <row r="5925" spans="1:8">
      <c r="A5925" s="3">
        <v>103153</v>
      </c>
      <c r="B5925" s="7" t="s">
        <v>252</v>
      </c>
      <c r="C5925" s="87" t="s">
        <v>32</v>
      </c>
      <c r="D5925" s="6">
        <v>45703</v>
      </c>
      <c r="E5925" s="3" t="str">
        <f ca="1">IF(Tabela2[[#This Row],[Dt Venc:]]&gt;TODAY(),"Em Aberto",IF(Tabela2[[#This Row],[D/venc]]="-","Enviado",IF(Tabela2[[#This Row],[Dt Venc:]]=TODAY(),"Vence Hoje","Vencida")))</f>
        <v>Em Aberto</v>
      </c>
      <c r="F5925" s="3">
        <f ca="1">IF(G5925=1,"-",Tabela2[[#This Row],[Dt Venc:]]-TODAY())</f>
        <v>10</v>
      </c>
      <c r="G5925" s="3"/>
      <c r="H5925" s="3"/>
    </row>
    <row r="5926" spans="1:8">
      <c r="A5926" s="3">
        <v>103154</v>
      </c>
      <c r="B5926" s="7" t="s">
        <v>252</v>
      </c>
      <c r="C5926" s="100" t="s">
        <v>32</v>
      </c>
      <c r="D5926" s="6">
        <v>45703</v>
      </c>
      <c r="E5926" s="3" t="str">
        <f ca="1">IF(Tabela2[[#This Row],[Dt Venc:]]&gt;TODAY(),"Em Aberto",IF(Tabela2[[#This Row],[D/venc]]="-","Enviado",IF(Tabela2[[#This Row],[Dt Venc:]]=TODAY(),"Vence Hoje","Vencida")))</f>
        <v>Em Aberto</v>
      </c>
      <c r="F5926" s="3">
        <f ca="1">IF(G5926=1,"-",Tabela2[[#This Row],[Dt Venc:]]-TODAY())</f>
        <v>10</v>
      </c>
      <c r="G5926" s="3"/>
      <c r="H5926" s="3"/>
    </row>
    <row r="5927" spans="1:8">
      <c r="A5927" s="3">
        <v>106007</v>
      </c>
      <c r="B5927" s="7" t="s">
        <v>252</v>
      </c>
      <c r="C5927" s="99" t="s">
        <v>32</v>
      </c>
      <c r="D5927" s="6">
        <v>45703</v>
      </c>
      <c r="E5927" s="3" t="str">
        <f ca="1">IF(Tabela2[[#This Row],[Dt Venc:]]&gt;TODAY(),"Em Aberto",IF(Tabela2[[#This Row],[D/venc]]="-","Enviado",IF(Tabela2[[#This Row],[Dt Venc:]]=TODAY(),"Vence Hoje","Vencida")))</f>
        <v>Em Aberto</v>
      </c>
      <c r="F5927" s="3">
        <f ca="1">IF(G5927=1,"-",Tabela2[[#This Row],[Dt Venc:]]-TODAY())</f>
        <v>10</v>
      </c>
      <c r="G5927" s="3"/>
      <c r="H5927" s="3"/>
    </row>
    <row r="5928" spans="1:8">
      <c r="A5928" s="3">
        <v>106043</v>
      </c>
      <c r="B5928" s="7" t="s">
        <v>252</v>
      </c>
      <c r="C5928" s="100" t="s">
        <v>32</v>
      </c>
      <c r="D5928" s="6">
        <v>45703</v>
      </c>
      <c r="E5928" s="3" t="str">
        <f ca="1">IF(Tabela2[[#This Row],[Dt Venc:]]&gt;TODAY(),"Em Aberto",IF(Tabela2[[#This Row],[D/venc]]="-","Enviado",IF(Tabela2[[#This Row],[Dt Venc:]]=TODAY(),"Vence Hoje","Vencida")))</f>
        <v>Em Aberto</v>
      </c>
      <c r="F5928" s="3">
        <f ca="1">IF(G5928=1,"-",Tabela2[[#This Row],[Dt Venc:]]-TODAY())</f>
        <v>10</v>
      </c>
      <c r="G5928" s="3"/>
      <c r="H5928" s="3"/>
    </row>
    <row r="5929" spans="1:8">
      <c r="A5929" s="3">
        <v>107829</v>
      </c>
      <c r="B5929" s="7" t="s">
        <v>252</v>
      </c>
      <c r="C5929" s="100" t="s">
        <v>32</v>
      </c>
      <c r="D5929" s="6">
        <v>45703</v>
      </c>
      <c r="E5929" s="3" t="str">
        <f ca="1">IF(Tabela2[[#This Row],[Dt Venc:]]&gt;TODAY(),"Em Aberto",IF(Tabela2[[#This Row],[D/venc]]="-","Enviado",IF(Tabela2[[#This Row],[Dt Venc:]]=TODAY(),"Vence Hoje","Vencida")))</f>
        <v>Em Aberto</v>
      </c>
      <c r="F5929" s="3">
        <f ca="1">IF(G5929=1,"-",Tabela2[[#This Row],[Dt Venc:]]-TODAY())</f>
        <v>10</v>
      </c>
      <c r="G5929" s="3"/>
      <c r="H5929" s="3"/>
    </row>
    <row r="5930" spans="1:8">
      <c r="A5930" s="3">
        <v>107830</v>
      </c>
      <c r="B5930" s="7" t="s">
        <v>252</v>
      </c>
      <c r="C5930" s="87" t="s">
        <v>32</v>
      </c>
      <c r="D5930" s="6">
        <v>45703</v>
      </c>
      <c r="E5930" s="3" t="str">
        <f ca="1">IF(Tabela2[[#This Row],[Dt Venc:]]&gt;TODAY(),"Em Aberto",IF(Tabela2[[#This Row],[D/venc]]="-","Enviado",IF(Tabela2[[#This Row],[Dt Venc:]]=TODAY(),"Vence Hoje","Vencida")))</f>
        <v>Em Aberto</v>
      </c>
      <c r="F5930" s="3">
        <f ca="1">IF(G5930=1,"-",Tabela2[[#This Row],[Dt Venc:]]-TODAY())</f>
        <v>10</v>
      </c>
      <c r="G5930" s="3"/>
      <c r="H5930" s="3"/>
    </row>
    <row r="5931" spans="1:8">
      <c r="A5931" s="3">
        <v>107831</v>
      </c>
      <c r="B5931" s="7" t="s">
        <v>252</v>
      </c>
      <c r="C5931" s="99" t="s">
        <v>32</v>
      </c>
      <c r="D5931" s="6">
        <v>45703</v>
      </c>
      <c r="E5931" s="3" t="str">
        <f ca="1">IF(Tabela2[[#This Row],[Dt Venc:]]&gt;TODAY(),"Em Aberto",IF(Tabela2[[#This Row],[D/venc]]="-","Enviado",IF(Tabela2[[#This Row],[Dt Venc:]]=TODAY(),"Vence Hoje","Vencida")))</f>
        <v>Em Aberto</v>
      </c>
      <c r="F5931" s="3">
        <f ca="1">IF(G5931=1,"-",Tabela2[[#This Row],[Dt Venc:]]-TODAY())</f>
        <v>10</v>
      </c>
      <c r="G5931" s="3"/>
      <c r="H5931" s="3"/>
    </row>
    <row r="5932" spans="1:8">
      <c r="A5932" s="3">
        <v>107832</v>
      </c>
      <c r="B5932" s="7" t="s">
        <v>252</v>
      </c>
      <c r="C5932" s="100" t="s">
        <v>32</v>
      </c>
      <c r="D5932" s="6">
        <v>45703</v>
      </c>
      <c r="E5932" s="3" t="str">
        <f ca="1">IF(Tabela2[[#This Row],[Dt Venc:]]&gt;TODAY(),"Em Aberto",IF(Tabela2[[#This Row],[D/venc]]="-","Enviado",IF(Tabela2[[#This Row],[Dt Venc:]]=TODAY(),"Vence Hoje","Vencida")))</f>
        <v>Em Aberto</v>
      </c>
      <c r="F5932" s="3">
        <f ca="1">IF(G5932=1,"-",Tabela2[[#This Row],[Dt Venc:]]-TODAY())</f>
        <v>10</v>
      </c>
      <c r="G5932" s="3"/>
      <c r="H5932" s="3"/>
    </row>
    <row r="5933" spans="1:8">
      <c r="A5933" s="3">
        <v>110541</v>
      </c>
      <c r="B5933" s="7" t="s">
        <v>612</v>
      </c>
      <c r="C5933" s="41">
        <v>11436.67</v>
      </c>
      <c r="D5933" s="6">
        <v>45703</v>
      </c>
      <c r="E5933" s="3" t="str">
        <f ca="1">IF(Tabela2[[#This Row],[Dt Venc:]]&gt;TODAY(),"Em Aberto",IF(Tabela2[[#This Row],[D/venc]]="-","Enviado",IF(Tabela2[[#This Row],[Dt Venc:]]=TODAY(),"Vence Hoje","Vencida")))</f>
        <v>Em Aberto</v>
      </c>
      <c r="F5933" s="3">
        <f ca="1">IF(G5933=1,"-",Tabela2[[#This Row],[Dt Venc:]]-TODAY())</f>
        <v>10</v>
      </c>
      <c r="G5933" s="3"/>
      <c r="H5933" s="3"/>
    </row>
    <row r="5934" spans="1:8">
      <c r="A5934" s="3">
        <v>110541</v>
      </c>
      <c r="B5934" s="7" t="s">
        <v>612</v>
      </c>
      <c r="C5934" s="41">
        <v>11436.67</v>
      </c>
      <c r="D5934" s="6">
        <v>45703</v>
      </c>
      <c r="E5934" s="3" t="str">
        <f ca="1">IF(Tabela2[[#This Row],[Dt Venc:]]&gt;TODAY(),"Em Aberto",IF(Tabela2[[#This Row],[D/venc]]="-","Enviado",IF(Tabela2[[#This Row],[Dt Venc:]]=TODAY(),"Vence Hoje","Vencida")))</f>
        <v>Em Aberto</v>
      </c>
      <c r="F5934" s="3">
        <f ca="1">IF(G5934=1,"-",Tabela2[[#This Row],[Dt Venc:]]-TODAY())</f>
        <v>10</v>
      </c>
      <c r="G5934" s="3"/>
      <c r="H5934" s="3"/>
    </row>
    <row r="5935" spans="1:8">
      <c r="A5935" s="3">
        <v>155810</v>
      </c>
      <c r="B5935" s="7" t="s">
        <v>486</v>
      </c>
      <c r="C5935" s="41">
        <v>2152.5</v>
      </c>
      <c r="D5935" s="6">
        <v>45703</v>
      </c>
      <c r="E5935" s="3" t="str">
        <f ca="1">IF(Tabela2[[#This Row],[Dt Venc:]]&gt;TODAY(),"Em Aberto",IF(Tabela2[[#This Row],[D/venc]]="-","Enviado",IF(Tabela2[[#This Row],[Dt Venc:]]=TODAY(),"Vence Hoje","Vencida")))</f>
        <v>Em Aberto</v>
      </c>
      <c r="F5935" s="3">
        <f ca="1">IF(G5935=1,"-",Tabela2[[#This Row],[Dt Venc:]]-TODAY())</f>
        <v>10</v>
      </c>
      <c r="G5935" s="3"/>
      <c r="H5935" s="3"/>
    </row>
    <row r="5936" spans="1:8">
      <c r="A5936" s="3">
        <v>155811</v>
      </c>
      <c r="B5936" s="7" t="s">
        <v>486</v>
      </c>
      <c r="C5936" s="41">
        <v>2786.61</v>
      </c>
      <c r="D5936" s="6">
        <v>45703</v>
      </c>
      <c r="E5936" s="3" t="str">
        <f ca="1">IF(Tabela2[[#This Row],[Dt Venc:]]&gt;TODAY(),"Em Aberto",IF(Tabela2[[#This Row],[D/venc]]="-","Enviado",IF(Tabela2[[#This Row],[Dt Venc:]]=TODAY(),"Vence Hoje","Vencida")))</f>
        <v>Em Aberto</v>
      </c>
      <c r="F5936" s="3">
        <f ca="1">IF(G5936=1,"-",Tabela2[[#This Row],[Dt Venc:]]-TODAY())</f>
        <v>10</v>
      </c>
      <c r="G5936" s="3"/>
      <c r="H5936" s="3"/>
    </row>
    <row r="5937" spans="1:8">
      <c r="A5937" s="3">
        <v>178215</v>
      </c>
      <c r="B5937" s="7" t="s">
        <v>211</v>
      </c>
      <c r="C5937" s="41">
        <v>526.66</v>
      </c>
      <c r="D5937" s="6">
        <v>45703</v>
      </c>
      <c r="E5937" s="3" t="str">
        <f ca="1">IF(Tabela2[[#This Row],[Dt Venc:]]&gt;TODAY(),"Em Aberto",IF(Tabela2[[#This Row],[D/venc]]="-","Enviado",IF(Tabela2[[#This Row],[Dt Venc:]]=TODAY(),"Vence Hoje","Vencida")))</f>
        <v>Em Aberto</v>
      </c>
      <c r="F5937" s="3">
        <f ca="1">IF(G5937=1,"-",Tabela2[[#This Row],[Dt Venc:]]-TODAY())</f>
        <v>10</v>
      </c>
      <c r="G5937" s="3"/>
      <c r="H5937" s="3"/>
    </row>
    <row r="5938" spans="1:8">
      <c r="A5938" s="3">
        <v>178305</v>
      </c>
      <c r="B5938" s="7" t="s">
        <v>211</v>
      </c>
      <c r="C5938" s="41">
        <v>493.34</v>
      </c>
      <c r="D5938" s="6">
        <v>45703</v>
      </c>
      <c r="E5938" s="3" t="str">
        <f ca="1">IF(Tabela2[[#This Row],[Dt Venc:]]&gt;TODAY(),"Em Aberto",IF(Tabela2[[#This Row],[D/venc]]="-","Enviado",IF(Tabela2[[#This Row],[Dt Venc:]]=TODAY(),"Vence Hoje","Vencida")))</f>
        <v>Em Aberto</v>
      </c>
      <c r="F5938" s="3">
        <f ca="1">IF(G5938=1,"-",Tabela2[[#This Row],[Dt Venc:]]-TODAY())</f>
        <v>10</v>
      </c>
      <c r="G5938" s="3"/>
      <c r="H5938" s="3"/>
    </row>
    <row r="5939" spans="1:8">
      <c r="A5939" s="3">
        <v>227527</v>
      </c>
      <c r="B5939" s="7" t="s">
        <v>127</v>
      </c>
      <c r="C5939" s="41">
        <v>411.65</v>
      </c>
      <c r="D5939" s="6">
        <v>45703</v>
      </c>
      <c r="E5939" s="3" t="str">
        <f ca="1">IF(Tabela2[[#This Row],[Dt Venc:]]&gt;TODAY(),"Em Aberto",IF(Tabela2[[#This Row],[D/venc]]="-","Enviado",IF(Tabela2[[#This Row],[Dt Venc:]]=TODAY(),"Vence Hoje","Vencida")))</f>
        <v>Em Aberto</v>
      </c>
      <c r="F5939" s="3">
        <f ca="1">IF(G5939=1,"-",Tabela2[[#This Row],[Dt Venc:]]-TODAY())</f>
        <v>10</v>
      </c>
      <c r="G5939" s="3"/>
      <c r="H5939" s="3"/>
    </row>
    <row r="5940" spans="1:8">
      <c r="A5940" s="3">
        <v>361229</v>
      </c>
      <c r="B5940" s="7" t="s">
        <v>250</v>
      </c>
      <c r="C5940" s="100" t="s">
        <v>32</v>
      </c>
      <c r="D5940" s="6">
        <v>45703</v>
      </c>
      <c r="E5940" s="3" t="str">
        <f ca="1">IF(Tabela2[[#This Row],[Dt Venc:]]&gt;TODAY(),"Em Aberto",IF(Tabela2[[#This Row],[D/venc]]="-","Enviado",IF(Tabela2[[#This Row],[Dt Venc:]]=TODAY(),"Vence Hoje","Vencida")))</f>
        <v>Em Aberto</v>
      </c>
      <c r="F5940" s="3">
        <f ca="1">IF(G5940=1,"-",Tabela2[[#This Row],[Dt Venc:]]-TODAY())</f>
        <v>10</v>
      </c>
      <c r="G5940" s="3"/>
      <c r="H5940" s="3"/>
    </row>
    <row r="5941" spans="1:8">
      <c r="A5941" s="3">
        <v>361237</v>
      </c>
      <c r="B5941" s="7" t="s">
        <v>250</v>
      </c>
      <c r="C5941" s="100" t="s">
        <v>32</v>
      </c>
      <c r="D5941" s="6">
        <v>45703</v>
      </c>
      <c r="E5941" s="3" t="str">
        <f ca="1">IF(Tabela2[[#This Row],[Dt Venc:]]&gt;TODAY(),"Em Aberto",IF(Tabela2[[#This Row],[D/venc]]="-","Enviado",IF(Tabela2[[#This Row],[Dt Venc:]]=TODAY(),"Vence Hoje","Vencida")))</f>
        <v>Em Aberto</v>
      </c>
      <c r="F5941" s="3">
        <f ca="1">IF(G5941=1,"-",Tabela2[[#This Row],[Dt Venc:]]-TODAY())</f>
        <v>10</v>
      </c>
      <c r="G5941" s="3"/>
      <c r="H5941" s="3"/>
    </row>
    <row r="5942" spans="1:8">
      <c r="A5942" s="3">
        <v>365658</v>
      </c>
      <c r="B5942" s="7" t="s">
        <v>250</v>
      </c>
      <c r="C5942" s="100" t="s">
        <v>32</v>
      </c>
      <c r="D5942" s="6">
        <v>45703</v>
      </c>
      <c r="E5942" s="3" t="str">
        <f ca="1">IF(Tabela2[[#This Row],[Dt Venc:]]&gt;TODAY(),"Em Aberto",IF(Tabela2[[#This Row],[D/venc]]="-","Enviado",IF(Tabela2[[#This Row],[Dt Venc:]]=TODAY(),"Vence Hoje","Vencida")))</f>
        <v>Em Aberto</v>
      </c>
      <c r="F5942" s="3">
        <f ca="1">IF(G5942=1,"-",Tabela2[[#This Row],[Dt Venc:]]-TODAY())</f>
        <v>10</v>
      </c>
      <c r="G5942" s="3"/>
      <c r="H5942" s="3"/>
    </row>
    <row r="5943" spans="1:8">
      <c r="A5943" s="3">
        <v>365666</v>
      </c>
      <c r="B5943" s="7" t="s">
        <v>250</v>
      </c>
      <c r="C5943" s="100" t="s">
        <v>32</v>
      </c>
      <c r="D5943" s="6">
        <v>45703</v>
      </c>
      <c r="E5943" s="3" t="str">
        <f ca="1">IF(Tabela2[[#This Row],[Dt Venc:]]&gt;TODAY(),"Em Aberto",IF(Tabela2[[#This Row],[D/venc]]="-","Enviado",IF(Tabela2[[#This Row],[Dt Venc:]]=TODAY(),"Vence Hoje","Vencida")))</f>
        <v>Em Aberto</v>
      </c>
      <c r="F5943" s="3">
        <f ca="1">IF(G5943=1,"-",Tabela2[[#This Row],[Dt Venc:]]-TODAY())</f>
        <v>10</v>
      </c>
      <c r="G5943" s="3"/>
      <c r="H5943" s="3"/>
    </row>
    <row r="5944" spans="1:8">
      <c r="A5944" s="3">
        <v>365674</v>
      </c>
      <c r="B5944" s="7" t="s">
        <v>250</v>
      </c>
      <c r="C5944" s="100" t="s">
        <v>32</v>
      </c>
      <c r="D5944" s="6">
        <v>45703</v>
      </c>
      <c r="E5944" s="3" t="str">
        <f ca="1">IF(Tabela2[[#This Row],[Dt Venc:]]&gt;TODAY(),"Em Aberto",IF(Tabela2[[#This Row],[D/venc]]="-","Enviado",IF(Tabela2[[#This Row],[Dt Venc:]]=TODAY(),"Vence Hoje","Vencida")))</f>
        <v>Em Aberto</v>
      </c>
      <c r="F5944" s="3">
        <f ca="1">IF(G5944=1,"-",Tabela2[[#This Row],[Dt Venc:]]-TODAY())</f>
        <v>10</v>
      </c>
      <c r="G5944" s="3"/>
      <c r="H5944" s="3"/>
    </row>
    <row r="5945" spans="1:8">
      <c r="A5945" s="3">
        <v>365682</v>
      </c>
      <c r="B5945" s="7" t="s">
        <v>250</v>
      </c>
      <c r="C5945" s="100" t="s">
        <v>32</v>
      </c>
      <c r="D5945" s="6">
        <v>45703</v>
      </c>
      <c r="E5945" s="3" t="str">
        <f ca="1">IF(Tabela2[[#This Row],[Dt Venc:]]&gt;TODAY(),"Em Aberto",IF(Tabela2[[#This Row],[D/venc]]="-","Enviado",IF(Tabela2[[#This Row],[Dt Venc:]]=TODAY(),"Vence Hoje","Vencida")))</f>
        <v>Em Aberto</v>
      </c>
      <c r="F5945" s="3">
        <f ca="1">IF(G5945=1,"-",Tabela2[[#This Row],[Dt Venc:]]-TODAY())</f>
        <v>10</v>
      </c>
      <c r="G5945" s="3"/>
      <c r="H5945" s="3"/>
    </row>
    <row r="5946" spans="1:8">
      <c r="A5946" s="3">
        <v>371160</v>
      </c>
      <c r="B5946" s="7" t="s">
        <v>633</v>
      </c>
      <c r="C5946" s="85" t="s">
        <v>32</v>
      </c>
      <c r="D5946" s="6">
        <v>45703</v>
      </c>
      <c r="E5946" s="3" t="str">
        <f ca="1">IF(Tabela2[[#This Row],[Dt Venc:]]&gt;TODAY(),"Em Aberto",IF(Tabela2[[#This Row],[D/venc]]="-","Enviado",IF(Tabela2[[#This Row],[Dt Venc:]]=TODAY(),"Vence Hoje","Vencida")))</f>
        <v>Em Aberto</v>
      </c>
      <c r="F5946" s="3">
        <f ca="1">IF(G5946=1,"-",Tabela2[[#This Row],[Dt Venc:]]-TODAY())</f>
        <v>10</v>
      </c>
      <c r="G5946" s="3"/>
      <c r="H5946" s="3"/>
    </row>
    <row r="5947" spans="1:8">
      <c r="A5947" s="3">
        <v>376215</v>
      </c>
      <c r="B5947" s="7" t="s">
        <v>441</v>
      </c>
      <c r="C5947" s="41">
        <v>471.1</v>
      </c>
      <c r="D5947" s="6">
        <v>45703</v>
      </c>
      <c r="E5947" s="3" t="str">
        <f ca="1">IF(Tabela2[[#This Row],[Dt Venc:]]&gt;TODAY(),"Em Aberto",IF(Tabela2[[#This Row],[D/venc]]="-","Enviado",IF(Tabela2[[#This Row],[Dt Venc:]]=TODAY(),"Vence Hoje","Vencida")))</f>
        <v>Em Aberto</v>
      </c>
      <c r="F5947" s="3">
        <f ca="1">IF(G5947=1,"-",Tabela2[[#This Row],[Dt Venc:]]-TODAY())</f>
        <v>10</v>
      </c>
      <c r="G5947" s="3"/>
      <c r="H5947" s="3"/>
    </row>
    <row r="5948" spans="1:8">
      <c r="A5948" s="3">
        <v>430719</v>
      </c>
      <c r="B5948" s="7" t="s">
        <v>89</v>
      </c>
      <c r="C5948" s="41">
        <v>3802.5</v>
      </c>
      <c r="D5948" s="6">
        <v>45703</v>
      </c>
      <c r="E5948" s="3" t="str">
        <f ca="1">IF(Tabela2[[#This Row],[Dt Venc:]]&gt;TODAY(),"Em Aberto",IF(Tabela2[[#This Row],[D/venc]]="-","Enviado",IF(Tabela2[[#This Row],[Dt Venc:]]=TODAY(),"Vence Hoje","Vencida")))</f>
        <v>Em Aberto</v>
      </c>
      <c r="F5948" s="3">
        <f ca="1">IF(G5948=1,"-",Tabela2[[#This Row],[Dt Venc:]]-TODAY())</f>
        <v>10</v>
      </c>
      <c r="G5948" s="3"/>
      <c r="H5948" s="3"/>
    </row>
    <row r="5949" spans="1:8">
      <c r="A5949" s="3">
        <v>432223</v>
      </c>
      <c r="B5949" s="7" t="s">
        <v>89</v>
      </c>
      <c r="C5949" s="41">
        <v>2240.5</v>
      </c>
      <c r="D5949" s="6">
        <v>45703</v>
      </c>
      <c r="E5949" s="3" t="str">
        <f ca="1">IF(Tabela2[[#This Row],[Dt Venc:]]&gt;TODAY(),"Em Aberto",IF(Tabela2[[#This Row],[D/venc]]="-","Enviado",IF(Tabela2[[#This Row],[Dt Venc:]]=TODAY(),"Vence Hoje","Vencida")))</f>
        <v>Em Aberto</v>
      </c>
      <c r="F5949" s="3">
        <f ca="1">IF(G5949=1,"-",Tabela2[[#This Row],[Dt Venc:]]-TODAY())</f>
        <v>10</v>
      </c>
      <c r="G5949" s="3"/>
      <c r="H5949" s="3"/>
    </row>
    <row r="5950" spans="1:8">
      <c r="A5950" s="3">
        <v>441298</v>
      </c>
      <c r="B5950" s="7" t="s">
        <v>591</v>
      </c>
      <c r="C5950" s="41">
        <v>1509.45</v>
      </c>
      <c r="D5950" s="6">
        <v>45703</v>
      </c>
      <c r="E5950" s="3" t="str">
        <f ca="1">IF(Tabela2[[#This Row],[Dt Venc:]]&gt;TODAY(),"Em Aberto",IF(Tabela2[[#This Row],[D/venc]]="-","Enviado",IF(Tabela2[[#This Row],[Dt Venc:]]=TODAY(),"Vence Hoje","Vencida")))</f>
        <v>Em Aberto</v>
      </c>
      <c r="F5950" s="3">
        <f ca="1">IF(G5950=1,"-",Tabela2[[#This Row],[Dt Venc:]]-TODAY())</f>
        <v>10</v>
      </c>
      <c r="G5950" s="3"/>
      <c r="H5950" s="3"/>
    </row>
    <row r="5951" spans="1:8">
      <c r="A5951" s="3">
        <v>748099</v>
      </c>
      <c r="B5951" s="7" t="s">
        <v>81</v>
      </c>
      <c r="C5951" s="100" t="s">
        <v>32</v>
      </c>
      <c r="D5951" s="6">
        <v>45703</v>
      </c>
      <c r="E5951" s="3" t="str">
        <f ca="1">IF(Tabela2[[#This Row],[Dt Venc:]]&gt;TODAY(),"Em Aberto",IF(Tabela2[[#This Row],[D/venc]]="-","Enviado",IF(Tabela2[[#This Row],[Dt Venc:]]=TODAY(),"Vence Hoje","Vencida")))</f>
        <v>Em Aberto</v>
      </c>
      <c r="F5951" s="3">
        <f ca="1">IF(G5951=1,"-",Tabela2[[#This Row],[Dt Venc:]]-TODAY())</f>
        <v>10</v>
      </c>
      <c r="G5951" s="3"/>
      <c r="H5951" s="3"/>
    </row>
    <row r="5952" spans="1:8">
      <c r="A5952" s="3">
        <v>880609</v>
      </c>
      <c r="B5952" s="7" t="s">
        <v>267</v>
      </c>
      <c r="C5952" s="42">
        <v>450</v>
      </c>
      <c r="D5952" s="6">
        <v>45703</v>
      </c>
      <c r="E5952" s="3" t="str">
        <f ca="1">IF(Tabela2[[#This Row],[Dt Venc:]]&gt;TODAY(),"Em Aberto",IF(Tabela2[[#This Row],[D/venc]]="-","Enviado",IF(Tabela2[[#This Row],[Dt Venc:]]=TODAY(),"Vence Hoje","Vencida")))</f>
        <v>Em Aberto</v>
      </c>
      <c r="F5952" s="3">
        <f ca="1">IF(G5952=1,"-",Tabela2[[#This Row],[Dt Venc:]]-TODAY())</f>
        <v>10</v>
      </c>
      <c r="G5952" s="3"/>
      <c r="H5952" s="3"/>
    </row>
    <row r="5953" spans="1:8">
      <c r="A5953" s="3">
        <v>892178</v>
      </c>
      <c r="B5953" s="7" t="s">
        <v>253</v>
      </c>
      <c r="C5953" s="100" t="s">
        <v>32</v>
      </c>
      <c r="D5953" s="6">
        <v>45703</v>
      </c>
      <c r="E5953" s="3" t="str">
        <f ca="1">IF(Tabela2[[#This Row],[Dt Venc:]]&gt;TODAY(),"Em Aberto",IF(Tabela2[[#This Row],[D/venc]]="-","Enviado",IF(Tabela2[[#This Row],[Dt Venc:]]=TODAY(),"Vence Hoje","Vencida")))</f>
        <v>Em Aberto</v>
      </c>
      <c r="F5953" s="3">
        <f ca="1">IF(G5953=1,"-",Tabela2[[#This Row],[Dt Venc:]]-TODAY())</f>
        <v>10</v>
      </c>
      <c r="G5953" s="3"/>
      <c r="H5953" s="3"/>
    </row>
    <row r="5954" spans="1:8">
      <c r="A5954" s="3">
        <v>894135</v>
      </c>
      <c r="B5954" s="7" t="s">
        <v>253</v>
      </c>
      <c r="C5954" s="100" t="s">
        <v>32</v>
      </c>
      <c r="D5954" s="6">
        <v>45703</v>
      </c>
      <c r="E5954" s="3" t="str">
        <f ca="1">IF(Tabela2[[#This Row],[Dt Venc:]]&gt;TODAY(),"Em Aberto",IF(Tabela2[[#This Row],[D/venc]]="-","Enviado",IF(Tabela2[[#This Row],[Dt Venc:]]=TODAY(),"Vence Hoje","Vencida")))</f>
        <v>Em Aberto</v>
      </c>
      <c r="F5954" s="3">
        <f ca="1">IF(G5954=1,"-",Tabela2[[#This Row],[Dt Venc:]]-TODAY())</f>
        <v>10</v>
      </c>
      <c r="G5954" s="3"/>
      <c r="H5954" s="3"/>
    </row>
    <row r="5955" spans="1:8">
      <c r="A5955" s="3">
        <v>896565</v>
      </c>
      <c r="B5955" s="7" t="s">
        <v>253</v>
      </c>
      <c r="C5955" s="100" t="s">
        <v>32</v>
      </c>
      <c r="D5955" s="6">
        <v>45703</v>
      </c>
      <c r="E5955" s="3" t="str">
        <f ca="1">IF(Tabela2[[#This Row],[Dt Venc:]]&gt;TODAY(),"Em Aberto",IF(Tabela2[[#This Row],[D/venc]]="-","Enviado",IF(Tabela2[[#This Row],[Dt Venc:]]=TODAY(),"Vence Hoje","Vencida")))</f>
        <v>Em Aberto</v>
      </c>
      <c r="F5955" s="3">
        <f ca="1">IF(G5955=1,"-",Tabela2[[#This Row],[Dt Venc:]]-TODAY())</f>
        <v>10</v>
      </c>
      <c r="G5955" s="3"/>
      <c r="H5955" s="3"/>
    </row>
    <row r="5956" spans="1:8">
      <c r="A5956" s="3">
        <v>900386</v>
      </c>
      <c r="B5956" s="7" t="s">
        <v>253</v>
      </c>
      <c r="C5956" s="100" t="s">
        <v>32</v>
      </c>
      <c r="D5956" s="6">
        <v>45703</v>
      </c>
      <c r="E5956" s="3" t="str">
        <f ca="1">IF(Tabela2[[#This Row],[Dt Venc:]]&gt;TODAY(),"Em Aberto",IF(Tabela2[[#This Row],[D/venc]]="-","Enviado",IF(Tabela2[[#This Row],[Dt Venc:]]=TODAY(),"Vence Hoje","Vencida")))</f>
        <v>Em Aberto</v>
      </c>
      <c r="F5956" s="3">
        <f ca="1">IF(G5956=1,"-",Tabela2[[#This Row],[Dt Venc:]]-TODAY())</f>
        <v>10</v>
      </c>
      <c r="G5956" s="3"/>
      <c r="H5956" s="3"/>
    </row>
    <row r="5957" spans="1:8">
      <c r="A5957" s="3">
        <v>901787</v>
      </c>
      <c r="B5957" s="7" t="s">
        <v>253</v>
      </c>
      <c r="C5957" s="100" t="s">
        <v>32</v>
      </c>
      <c r="D5957" s="6">
        <v>45703</v>
      </c>
      <c r="E5957" s="3" t="str">
        <f ca="1">IF(Tabela2[[#This Row],[Dt Venc:]]&gt;TODAY(),"Em Aberto",IF(Tabela2[[#This Row],[D/venc]]="-","Enviado",IF(Tabela2[[#This Row],[Dt Venc:]]=TODAY(),"Vence Hoje","Vencida")))</f>
        <v>Em Aberto</v>
      </c>
      <c r="F5957" s="3">
        <f ca="1">IF(G5957=1,"-",Tabela2[[#This Row],[Dt Venc:]]-TODAY())</f>
        <v>10</v>
      </c>
      <c r="G5957" s="3"/>
      <c r="H5957" s="3"/>
    </row>
    <row r="5958" spans="1:8">
      <c r="A5958" s="3">
        <v>901788</v>
      </c>
      <c r="B5958" s="7" t="s">
        <v>253</v>
      </c>
      <c r="C5958" s="100" t="s">
        <v>32</v>
      </c>
      <c r="D5958" s="6">
        <v>45703</v>
      </c>
      <c r="E5958" s="3" t="str">
        <f ca="1">IF(Tabela2[[#This Row],[Dt Venc:]]&gt;TODAY(),"Em Aberto",IF(Tabela2[[#This Row],[D/venc]]="-","Enviado",IF(Tabela2[[#This Row],[Dt Venc:]]=TODAY(),"Vence Hoje","Vencida")))</f>
        <v>Em Aberto</v>
      </c>
      <c r="F5958" s="3">
        <f ca="1">IF(G5958=1,"-",Tabela2[[#This Row],[Dt Venc:]]-TODAY())</f>
        <v>10</v>
      </c>
      <c r="G5958" s="3"/>
      <c r="H5958" s="3"/>
    </row>
    <row r="5959" spans="1:8">
      <c r="A5959" s="3">
        <v>901789</v>
      </c>
      <c r="B5959" s="7" t="s">
        <v>253</v>
      </c>
      <c r="C5959" s="100" t="s">
        <v>32</v>
      </c>
      <c r="D5959" s="6">
        <v>45703</v>
      </c>
      <c r="E5959" s="3" t="str">
        <f ca="1">IF(Tabela2[[#This Row],[Dt Venc:]]&gt;TODAY(),"Em Aberto",IF(Tabela2[[#This Row],[D/venc]]="-","Enviado",IF(Tabela2[[#This Row],[Dt Venc:]]=TODAY(),"Vence Hoje","Vencida")))</f>
        <v>Em Aberto</v>
      </c>
      <c r="F5959" s="3">
        <f ca="1">IF(G5959=1,"-",Tabela2[[#This Row],[Dt Venc:]]-TODAY())</f>
        <v>10</v>
      </c>
      <c r="G5959" s="3"/>
      <c r="H5959" s="3"/>
    </row>
    <row r="5960" spans="1:8">
      <c r="A5960" s="3">
        <v>912703</v>
      </c>
      <c r="B5960" s="7" t="s">
        <v>253</v>
      </c>
      <c r="C5960" s="100" t="s">
        <v>32</v>
      </c>
      <c r="D5960" s="6">
        <v>45703</v>
      </c>
      <c r="E5960" s="3" t="str">
        <f ca="1">IF(Tabela2[[#This Row],[Dt Venc:]]&gt;TODAY(),"Em Aberto",IF(Tabela2[[#This Row],[D/venc]]="-","Enviado",IF(Tabela2[[#This Row],[Dt Venc:]]=TODAY(),"Vence Hoje","Vencida")))</f>
        <v>Em Aberto</v>
      </c>
      <c r="F5960" s="3">
        <f ca="1">IF(G5960=1,"-",Tabela2[[#This Row],[Dt Venc:]]-TODAY())</f>
        <v>10</v>
      </c>
      <c r="G5960" s="3"/>
      <c r="H5960" s="3"/>
    </row>
    <row r="5961" spans="1:8">
      <c r="A5961" s="3">
        <v>912704</v>
      </c>
      <c r="B5961" s="7" t="s">
        <v>253</v>
      </c>
      <c r="C5961" s="100" t="s">
        <v>32</v>
      </c>
      <c r="D5961" s="6">
        <v>45703</v>
      </c>
      <c r="E5961" s="3" t="str">
        <f ca="1">IF(Tabela2[[#This Row],[Dt Venc:]]&gt;TODAY(),"Em Aberto",IF(Tabela2[[#This Row],[D/venc]]="-","Enviado",IF(Tabela2[[#This Row],[Dt Venc:]]=TODAY(),"Vence Hoje","Vencida")))</f>
        <v>Em Aberto</v>
      </c>
      <c r="F5961" s="3">
        <f ca="1">IF(G5961=1,"-",Tabela2[[#This Row],[Dt Venc:]]-TODAY())</f>
        <v>10</v>
      </c>
      <c r="G5961" s="3"/>
      <c r="H5961" s="3"/>
    </row>
    <row r="5962" spans="1:8">
      <c r="A5962" s="3">
        <v>919728</v>
      </c>
      <c r="B5962" s="7" t="s">
        <v>253</v>
      </c>
      <c r="C5962" s="87" t="s">
        <v>32</v>
      </c>
      <c r="D5962" s="6">
        <v>45703</v>
      </c>
      <c r="E5962" s="3" t="str">
        <f ca="1">IF(Tabela2[[#This Row],[Dt Venc:]]&gt;TODAY(),"Em Aberto",IF(Tabela2[[#This Row],[D/venc]]="-","Enviado",IF(Tabela2[[#This Row],[Dt Venc:]]=TODAY(),"Vence Hoje","Vencida")))</f>
        <v>Em Aberto</v>
      </c>
      <c r="F5962" s="3">
        <f ca="1">IF(G5962=1,"-",Tabela2[[#This Row],[Dt Venc:]]-TODAY())</f>
        <v>10</v>
      </c>
      <c r="G5962" s="3"/>
      <c r="H5962" s="3"/>
    </row>
    <row r="5963" spans="1:8">
      <c r="A5963" s="3">
        <v>919729</v>
      </c>
      <c r="B5963" s="7" t="s">
        <v>253</v>
      </c>
      <c r="C5963" s="87" t="s">
        <v>32</v>
      </c>
      <c r="D5963" s="6">
        <v>45703</v>
      </c>
      <c r="E5963" s="3" t="str">
        <f ca="1">IF(Tabela2[[#This Row],[Dt Venc:]]&gt;TODAY(),"Em Aberto",IF(Tabela2[[#This Row],[D/venc]]="-","Enviado",IF(Tabela2[[#This Row],[Dt Venc:]]=TODAY(),"Vence Hoje","Vencida")))</f>
        <v>Em Aberto</v>
      </c>
      <c r="F5963" s="3">
        <f ca="1">IF(G5963=1,"-",Tabela2[[#This Row],[Dt Venc:]]-TODAY())</f>
        <v>10</v>
      </c>
      <c r="G5963" s="3"/>
      <c r="H5963" s="3"/>
    </row>
    <row r="5964" spans="1:8">
      <c r="A5964" s="3">
        <v>1261511</v>
      </c>
      <c r="B5964" s="7" t="s">
        <v>64</v>
      </c>
      <c r="C5964" s="41">
        <v>739.02</v>
      </c>
      <c r="D5964" s="6">
        <v>45703</v>
      </c>
      <c r="E5964" s="3" t="str">
        <f ca="1">IF(Tabela2[[#This Row],[Dt Venc:]]&gt;TODAY(),"Em Aberto",IF(Tabela2[[#This Row],[D/venc]]="-","Enviado",IF(Tabela2[[#This Row],[Dt Venc:]]=TODAY(),"Vence Hoje","Vencida")))</f>
        <v>Em Aberto</v>
      </c>
      <c r="F5964" s="3">
        <f ca="1">IF(G5964=1,"-",Tabela2[[#This Row],[Dt Venc:]]-TODAY())</f>
        <v>10</v>
      </c>
      <c r="G5964" s="3"/>
      <c r="H5964" s="3"/>
    </row>
    <row r="5965" spans="1:8">
      <c r="A5965" s="3" t="s">
        <v>179</v>
      </c>
      <c r="B5965" s="7" t="s">
        <v>265</v>
      </c>
      <c r="C5965" s="100" t="s">
        <v>32</v>
      </c>
      <c r="D5965" s="6">
        <v>45703</v>
      </c>
      <c r="E5965" s="3" t="str">
        <f ca="1">IF(Tabela2[[#This Row],[Dt Venc:]]&gt;TODAY(),"Em Aberto",IF(Tabela2[[#This Row],[D/venc]]="-","Enviado",IF(Tabela2[[#This Row],[Dt Venc:]]=TODAY(),"Vence Hoje","Vencida")))</f>
        <v>Em Aberto</v>
      </c>
      <c r="F5965" s="3">
        <f ca="1">IF(G5965=1,"-",Tabela2[[#This Row],[Dt Venc:]]-TODAY())</f>
        <v>10</v>
      </c>
      <c r="G5965" s="3"/>
      <c r="H5965" s="3"/>
    </row>
    <row r="5966" spans="1:8">
      <c r="A5966" s="3">
        <v>46973</v>
      </c>
      <c r="B5966" s="7" t="s">
        <v>527</v>
      </c>
      <c r="C5966" s="41">
        <v>548.16999999999996</v>
      </c>
      <c r="D5966" s="6">
        <v>45703</v>
      </c>
      <c r="E5966" s="3" t="str">
        <f ca="1">IF(Tabela2[[#This Row],[Dt Venc:]]&gt;TODAY(),"Em Aberto",IF(Tabela2[[#This Row],[D/venc]]="-","Enviado",IF(Tabela2[[#This Row],[Dt Venc:]]=TODAY(),"Vence Hoje","Vencida")))</f>
        <v>Em Aberto</v>
      </c>
      <c r="F5966" s="3">
        <f ca="1">IF(G5966=1,"-",Tabela2[[#This Row],[Dt Venc:]]-TODAY())</f>
        <v>10</v>
      </c>
      <c r="G5966" s="3"/>
      <c r="H5966" s="3"/>
    </row>
    <row r="5967" spans="1:8">
      <c r="A5967" s="3">
        <v>14607</v>
      </c>
      <c r="B5967" s="7" t="s">
        <v>432</v>
      </c>
      <c r="C5967" s="41">
        <v>637</v>
      </c>
      <c r="D5967" s="6">
        <v>45703</v>
      </c>
      <c r="E5967" s="3" t="str">
        <f ca="1">IF(Tabela2[[#This Row],[Dt Venc:]]&gt;TODAY(),"Em Aberto",IF(Tabela2[[#This Row],[D/venc]]="-","Enviado",IF(Tabela2[[#This Row],[Dt Venc:]]=TODAY(),"Vence Hoje","Vencida")))</f>
        <v>Em Aberto</v>
      </c>
      <c r="F5967" s="3">
        <f ca="1">IF(G5967=1,"-",Tabela2[[#This Row],[Dt Venc:]]-TODAY())</f>
        <v>10</v>
      </c>
      <c r="G5967" s="3"/>
      <c r="H5967" s="3"/>
    </row>
    <row r="5968" spans="1:8">
      <c r="A5968" s="3">
        <v>3290</v>
      </c>
      <c r="B5968" s="7" t="s">
        <v>639</v>
      </c>
      <c r="C5968" s="41">
        <v>1000</v>
      </c>
      <c r="D5968" s="6">
        <v>45704</v>
      </c>
      <c r="E5968" s="3" t="str">
        <f ca="1">IF(Tabela2[[#This Row],[Dt Venc:]]&gt;TODAY(),"Em Aberto",IF(Tabela2[[#This Row],[D/venc]]="-","Enviado",IF(Tabela2[[#This Row],[Dt Venc:]]=TODAY(),"Vence Hoje","Vencida")))</f>
        <v>Em Aberto</v>
      </c>
      <c r="F5968" s="3">
        <f ca="1">IF(G5968=1,"-",Tabela2[[#This Row],[Dt Venc:]]-TODAY())</f>
        <v>11</v>
      </c>
      <c r="G5968" s="3"/>
      <c r="H5968" s="3"/>
    </row>
    <row r="5969" spans="1:8">
      <c r="A5969" s="3">
        <v>6263</v>
      </c>
      <c r="B5969" s="7" t="s">
        <v>140</v>
      </c>
      <c r="C5969" s="41">
        <v>737</v>
      </c>
      <c r="D5969" s="6">
        <v>45704</v>
      </c>
      <c r="E5969" s="3" t="str">
        <f ca="1">IF(Tabela2[[#This Row],[Dt Venc:]]&gt;TODAY(),"Em Aberto",IF(Tabela2[[#This Row],[D/venc]]="-","Enviado",IF(Tabela2[[#This Row],[Dt Venc:]]=TODAY(),"Vence Hoje","Vencida")))</f>
        <v>Em Aberto</v>
      </c>
      <c r="F5969" s="3">
        <f ca="1">IF(G5969=1,"-",Tabela2[[#This Row],[Dt Venc:]]-TODAY())</f>
        <v>11</v>
      </c>
      <c r="G5969" s="3"/>
      <c r="H5969" s="3"/>
    </row>
    <row r="5970" spans="1:8">
      <c r="A5970" s="3">
        <v>6263</v>
      </c>
      <c r="B5970" s="7" t="s">
        <v>140</v>
      </c>
      <c r="C5970" s="41">
        <v>737</v>
      </c>
      <c r="D5970" s="6">
        <v>45704</v>
      </c>
      <c r="E5970" s="3" t="str">
        <f ca="1">IF(Tabela2[[#This Row],[Dt Venc:]]&gt;TODAY(),"Em Aberto",IF(Tabela2[[#This Row],[D/venc]]="-","Enviado",IF(Tabela2[[#This Row],[Dt Venc:]]=TODAY(),"Vence Hoje","Vencida")))</f>
        <v>Em Aberto</v>
      </c>
      <c r="F5970" s="3">
        <f ca="1">IF(G5970=1,"-",Tabela2[[#This Row],[Dt Venc:]]-TODAY())</f>
        <v>11</v>
      </c>
      <c r="G5970" s="3"/>
      <c r="H5970" s="3"/>
    </row>
    <row r="5971" spans="1:8">
      <c r="A5971" s="3">
        <v>11339</v>
      </c>
      <c r="B5971" s="7" t="s">
        <v>33</v>
      </c>
      <c r="C5971" s="41">
        <v>800</v>
      </c>
      <c r="D5971" s="6">
        <v>45704</v>
      </c>
      <c r="E5971" s="3" t="str">
        <f ca="1">IF(Tabela2[[#This Row],[Dt Venc:]]&gt;TODAY(),"Em Aberto",IF(Tabela2[[#This Row],[D/venc]]="-","Enviado",IF(Tabela2[[#This Row],[Dt Venc:]]=TODAY(),"Vence Hoje","Vencida")))</f>
        <v>Em Aberto</v>
      </c>
      <c r="F5971" s="3">
        <f ca="1">IF(G5971=1,"-",Tabela2[[#This Row],[Dt Venc:]]-TODAY())</f>
        <v>11</v>
      </c>
      <c r="G5971" s="3"/>
      <c r="H5971" s="3"/>
    </row>
    <row r="5972" spans="1:8">
      <c r="A5972" s="3">
        <v>12076</v>
      </c>
      <c r="B5972" s="7" t="s">
        <v>72</v>
      </c>
      <c r="C5972" s="41">
        <v>1566.66</v>
      </c>
      <c r="D5972" s="6">
        <v>45704</v>
      </c>
      <c r="E5972" s="3" t="str">
        <f ca="1">IF(Tabela2[[#This Row],[Dt Venc:]]&gt;TODAY(),"Em Aberto",IF(Tabela2[[#This Row],[D/venc]]="-","Enviado",IF(Tabela2[[#This Row],[Dt Venc:]]=TODAY(),"Vence Hoje","Vencida")))</f>
        <v>Em Aberto</v>
      </c>
      <c r="F5972" s="3">
        <f ca="1">IF(G5972=1,"-",Tabela2[[#This Row],[Dt Venc:]]-TODAY())</f>
        <v>11</v>
      </c>
      <c r="G5972" s="3"/>
      <c r="H5972" s="3"/>
    </row>
    <row r="5973" spans="1:8">
      <c r="A5973" s="3">
        <v>17938</v>
      </c>
      <c r="B5973" s="7" t="s">
        <v>75</v>
      </c>
      <c r="C5973" s="41">
        <v>16095.78</v>
      </c>
      <c r="D5973" s="6">
        <v>45704</v>
      </c>
      <c r="E5973" s="3" t="str">
        <f ca="1">IF(Tabela2[[#This Row],[Dt Venc:]]&gt;TODAY(),"Em Aberto",IF(Tabela2[[#This Row],[D/venc]]="-","Enviado",IF(Tabela2[[#This Row],[Dt Venc:]]=TODAY(),"Vence Hoje","Vencida")))</f>
        <v>Em Aberto</v>
      </c>
      <c r="F5973" s="3">
        <f ca="1">IF(G5973=1,"-",Tabela2[[#This Row],[Dt Venc:]]-TODAY())</f>
        <v>11</v>
      </c>
      <c r="G5973" s="3"/>
      <c r="H5973" s="3"/>
    </row>
    <row r="5974" spans="1:8">
      <c r="A5974" s="3">
        <v>21214</v>
      </c>
      <c r="B5974" s="7" t="s">
        <v>701</v>
      </c>
      <c r="C5974" s="41">
        <v>425</v>
      </c>
      <c r="D5974" s="6">
        <v>45704</v>
      </c>
      <c r="E5974" s="3" t="str">
        <f ca="1">IF(Tabela2[[#This Row],[Dt Venc:]]&gt;TODAY(),"Em Aberto",IF(Tabela2[[#This Row],[D/venc]]="-","Enviado",IF(Tabela2[[#This Row],[Dt Venc:]]=TODAY(),"Vence Hoje","Vencida")))</f>
        <v>Em Aberto</v>
      </c>
      <c r="F5974" s="3">
        <f ca="1">IF(G5974=1,"-",Tabela2[[#This Row],[Dt Venc:]]-TODAY())</f>
        <v>11</v>
      </c>
      <c r="G5974" s="3"/>
      <c r="H5974" s="3"/>
    </row>
    <row r="5975" spans="1:8">
      <c r="A5975" s="3">
        <v>24423</v>
      </c>
      <c r="B5975" s="7" t="s">
        <v>38</v>
      </c>
      <c r="C5975" s="41">
        <v>430</v>
      </c>
      <c r="D5975" s="6">
        <v>45704</v>
      </c>
      <c r="E5975" s="3" t="str">
        <f ca="1">IF(Tabela2[[#This Row],[Dt Venc:]]&gt;TODAY(),"Em Aberto",IF(Tabela2[[#This Row],[D/venc]]="-","Enviado",IF(Tabela2[[#This Row],[Dt Venc:]]=TODAY(),"Vence Hoje","Vencida")))</f>
        <v>Em Aberto</v>
      </c>
      <c r="F5975" s="3">
        <f ca="1">IF(G5975=1,"-",Tabela2[[#This Row],[Dt Venc:]]-TODAY())</f>
        <v>11</v>
      </c>
      <c r="G5975" s="3"/>
      <c r="H5975" s="3"/>
    </row>
    <row r="5976" spans="1:8">
      <c r="A5976" s="3">
        <v>29564</v>
      </c>
      <c r="B5976" s="7" t="s">
        <v>97</v>
      </c>
      <c r="C5976" s="42">
        <v>2710</v>
      </c>
      <c r="D5976" s="6">
        <v>45704</v>
      </c>
      <c r="E5976" s="3" t="str">
        <f ca="1">IF(Tabela2[[#This Row],[Dt Venc:]]&gt;TODAY(),"Em Aberto",IF(Tabela2[[#This Row],[D/venc]]="-","Enviado",IF(Tabela2[[#This Row],[Dt Venc:]]=TODAY(),"Vence Hoje","Vencida")))</f>
        <v>Em Aberto</v>
      </c>
      <c r="F5976" s="3">
        <f ca="1">IF(G5976=1,"-",Tabela2[[#This Row],[Dt Venc:]]-TODAY())</f>
        <v>11</v>
      </c>
      <c r="G5976" s="3"/>
      <c r="H5976" s="3"/>
    </row>
    <row r="5977" spans="1:8">
      <c r="A5977" s="3">
        <v>35733</v>
      </c>
      <c r="B5977" s="7" t="s">
        <v>637</v>
      </c>
      <c r="C5977" s="41">
        <v>1347.5</v>
      </c>
      <c r="D5977" s="6">
        <v>45704</v>
      </c>
      <c r="E5977" s="3" t="str">
        <f ca="1">IF(Tabela2[[#This Row],[Dt Venc:]]&gt;TODAY(),"Em Aberto",IF(Tabela2[[#This Row],[D/venc]]="-","Enviado",IF(Tabela2[[#This Row],[Dt Venc:]]=TODAY(),"Vence Hoje","Vencida")))</f>
        <v>Em Aberto</v>
      </c>
      <c r="F5977" s="3">
        <f ca="1">IF(G5977=1,"-",Tabela2[[#This Row],[Dt Venc:]]-TODAY())</f>
        <v>11</v>
      </c>
      <c r="G5977" s="3"/>
      <c r="H5977" s="3"/>
    </row>
    <row r="5978" spans="1:8">
      <c r="A5978" s="3">
        <v>46391</v>
      </c>
      <c r="B5978" s="7" t="s">
        <v>527</v>
      </c>
      <c r="C5978" s="41">
        <v>436.49</v>
      </c>
      <c r="D5978" s="6">
        <v>45704</v>
      </c>
      <c r="E5978" s="3" t="str">
        <f ca="1">IF(Tabela2[[#This Row],[Dt Venc:]]&gt;TODAY(),"Em Aberto",IF(Tabela2[[#This Row],[D/venc]]="-","Enviado",IF(Tabela2[[#This Row],[Dt Venc:]]=TODAY(),"Vence Hoje","Vencida")))</f>
        <v>Em Aberto</v>
      </c>
      <c r="F5978" s="3">
        <f ca="1">IF(G5978=1,"-",Tabela2[[#This Row],[Dt Venc:]]-TODAY())</f>
        <v>11</v>
      </c>
      <c r="G5978" s="3"/>
      <c r="H5978" s="3"/>
    </row>
    <row r="5979" spans="1:8">
      <c r="A5979" s="3">
        <v>109939</v>
      </c>
      <c r="B5979" s="7" t="s">
        <v>612</v>
      </c>
      <c r="C5979" s="41">
        <v>1910</v>
      </c>
      <c r="D5979" s="6">
        <v>45704</v>
      </c>
      <c r="E5979" s="3" t="str">
        <f ca="1">IF(Tabela2[[#This Row],[Dt Venc:]]&gt;TODAY(),"Em Aberto",IF(Tabela2[[#This Row],[D/venc]]="-","Enviado",IF(Tabela2[[#This Row],[Dt Venc:]]=TODAY(),"Vence Hoje","Vencida")))</f>
        <v>Em Aberto</v>
      </c>
      <c r="F5979" s="3">
        <f ca="1">IF(G5979=1,"-",Tabela2[[#This Row],[Dt Venc:]]-TODAY())</f>
        <v>11</v>
      </c>
      <c r="G5979" s="3"/>
      <c r="H5979" s="3"/>
    </row>
    <row r="5980" spans="1:8">
      <c r="A5980" s="3">
        <v>148380</v>
      </c>
      <c r="B5980" s="7" t="s">
        <v>127</v>
      </c>
      <c r="C5980" s="41">
        <v>624.5</v>
      </c>
      <c r="D5980" s="6">
        <v>45704</v>
      </c>
      <c r="E5980" s="3" t="str">
        <f ca="1">IF(Tabela2[[#This Row],[Dt Venc:]]&gt;TODAY(),"Em Aberto",IF(Tabela2[[#This Row],[D/venc]]="-","Enviado",IF(Tabela2[[#This Row],[Dt Venc:]]=TODAY(),"Vence Hoje","Vencida")))</f>
        <v>Em Aberto</v>
      </c>
      <c r="F5980" s="3">
        <f ca="1">IF(G5980=1,"-",Tabela2[[#This Row],[Dt Venc:]]-TODAY())</f>
        <v>11</v>
      </c>
      <c r="G5980" s="3"/>
      <c r="H5980" s="3"/>
    </row>
    <row r="5981" spans="1:8">
      <c r="A5981" s="3">
        <v>148381</v>
      </c>
      <c r="B5981" s="7" t="s">
        <v>127</v>
      </c>
      <c r="C5981" s="41">
        <v>624.5</v>
      </c>
      <c r="D5981" s="6">
        <v>45704</v>
      </c>
      <c r="E5981" s="3" t="str">
        <f ca="1">IF(Tabela2[[#This Row],[Dt Venc:]]&gt;TODAY(),"Em Aberto",IF(Tabela2[[#This Row],[D/venc]]="-","Enviado",IF(Tabela2[[#This Row],[Dt Venc:]]=TODAY(),"Vence Hoje","Vencida")))</f>
        <v>Em Aberto</v>
      </c>
      <c r="F5981" s="3">
        <f ca="1">IF(G5981=1,"-",Tabela2[[#This Row],[Dt Venc:]]-TODAY())</f>
        <v>11</v>
      </c>
      <c r="G5981" s="3"/>
      <c r="H5981" s="3"/>
    </row>
    <row r="5982" spans="1:8">
      <c r="A5982" s="3">
        <v>153932</v>
      </c>
      <c r="B5982" s="7" t="s">
        <v>486</v>
      </c>
      <c r="C5982" s="41">
        <v>1722</v>
      </c>
      <c r="D5982" s="6">
        <v>45704</v>
      </c>
      <c r="E5982" s="3" t="str">
        <f ca="1">IF(Tabela2[[#This Row],[Dt Venc:]]&gt;TODAY(),"Em Aberto",IF(Tabela2[[#This Row],[D/venc]]="-","Enviado",IF(Tabela2[[#This Row],[Dt Venc:]]=TODAY(),"Vence Hoje","Vencida")))</f>
        <v>Em Aberto</v>
      </c>
      <c r="F5982" s="3">
        <f ca="1">IF(G5982=1,"-",Tabela2[[#This Row],[Dt Venc:]]-TODAY())</f>
        <v>11</v>
      </c>
      <c r="G5982" s="3"/>
      <c r="H5982" s="3"/>
    </row>
    <row r="5983" spans="1:8">
      <c r="A5983" s="3">
        <v>155944</v>
      </c>
      <c r="B5983" s="7" t="s">
        <v>77</v>
      </c>
      <c r="C5983" s="41">
        <v>433.33</v>
      </c>
      <c r="D5983" s="6">
        <v>45704</v>
      </c>
      <c r="E5983" s="3" t="str">
        <f ca="1">IF(Tabela2[[#This Row],[Dt Venc:]]&gt;TODAY(),"Em Aberto",IF(Tabela2[[#This Row],[D/venc]]="-","Enviado",IF(Tabela2[[#This Row],[Dt Venc:]]=TODAY(),"Vence Hoje","Vencida")))</f>
        <v>Em Aberto</v>
      </c>
      <c r="F5983" s="3">
        <f ca="1">IF(G5983=1,"-",Tabela2[[#This Row],[Dt Venc:]]-TODAY())</f>
        <v>11</v>
      </c>
      <c r="G5983" s="3"/>
      <c r="H5983" s="3"/>
    </row>
    <row r="5984" spans="1:8">
      <c r="A5984" s="3">
        <v>180028</v>
      </c>
      <c r="B5984" s="7" t="s">
        <v>702</v>
      </c>
      <c r="C5984" s="41">
        <v>2501.34</v>
      </c>
      <c r="D5984" s="6">
        <v>45704</v>
      </c>
      <c r="E5984" s="3" t="str">
        <f ca="1">IF(Tabela2[[#This Row],[Dt Venc:]]&gt;TODAY(),"Em Aberto",IF(Tabela2[[#This Row],[D/venc]]="-","Enviado",IF(Tabela2[[#This Row],[Dt Venc:]]=TODAY(),"Vence Hoje","Vencida")))</f>
        <v>Em Aberto</v>
      </c>
      <c r="F5984" s="3">
        <f ca="1">IF(G5984=1,"-",Tabela2[[#This Row],[Dt Venc:]]-TODAY())</f>
        <v>11</v>
      </c>
      <c r="G5984" s="3"/>
      <c r="H5984" s="3"/>
    </row>
    <row r="5985" spans="1:8">
      <c r="A5985" s="3">
        <v>225353</v>
      </c>
      <c r="B5985" s="7" t="s">
        <v>127</v>
      </c>
      <c r="C5985" s="41">
        <v>874.83</v>
      </c>
      <c r="D5985" s="6">
        <v>45704</v>
      </c>
      <c r="E5985" s="3" t="str">
        <f ca="1">IF(Tabela2[[#This Row],[Dt Venc:]]&gt;TODAY(),"Em Aberto",IF(Tabela2[[#This Row],[D/venc]]="-","Enviado",IF(Tabela2[[#This Row],[Dt Venc:]]=TODAY(),"Vence Hoje","Vencida")))</f>
        <v>Em Aberto</v>
      </c>
      <c r="F5985" s="3">
        <f ca="1">IF(G5985=1,"-",Tabela2[[#This Row],[Dt Venc:]]-TODAY())</f>
        <v>11</v>
      </c>
      <c r="G5985" s="3"/>
      <c r="H5985" s="3"/>
    </row>
    <row r="5986" spans="1:8">
      <c r="A5986" s="3">
        <v>225363</v>
      </c>
      <c r="B5986" s="7" t="s">
        <v>127</v>
      </c>
      <c r="C5986" s="41">
        <v>2418.27</v>
      </c>
      <c r="D5986" s="6">
        <v>45704</v>
      </c>
      <c r="E5986" s="3" t="str">
        <f ca="1">IF(Tabela2[[#This Row],[Dt Venc:]]&gt;TODAY(),"Em Aberto",IF(Tabela2[[#This Row],[D/venc]]="-","Enviado",IF(Tabela2[[#This Row],[Dt Venc:]]=TODAY(),"Vence Hoje","Vencida")))</f>
        <v>Em Aberto</v>
      </c>
      <c r="F5986" s="3">
        <f ca="1">IF(G5986=1,"-",Tabela2[[#This Row],[Dt Venc:]]-TODAY())</f>
        <v>11</v>
      </c>
      <c r="G5986" s="3"/>
      <c r="H5986" s="3"/>
    </row>
    <row r="5987" spans="1:8">
      <c r="A5987" s="3">
        <v>269915</v>
      </c>
      <c r="B5987" s="7" t="s">
        <v>36</v>
      </c>
      <c r="C5987" s="41">
        <v>2142.13</v>
      </c>
      <c r="D5987" s="6">
        <v>45704</v>
      </c>
      <c r="E5987" s="3" t="str">
        <f ca="1">IF(Tabela2[[#This Row],[Dt Venc:]]&gt;TODAY(),"Em Aberto",IF(Tabela2[[#This Row],[D/venc]]="-","Enviado",IF(Tabela2[[#This Row],[Dt Venc:]]=TODAY(),"Vence Hoje","Vencida")))</f>
        <v>Em Aberto</v>
      </c>
      <c r="F5987" s="3">
        <f ca="1">IF(G5987=1,"-",Tabela2[[#This Row],[Dt Venc:]]-TODAY())</f>
        <v>11</v>
      </c>
      <c r="G5987" s="3"/>
      <c r="H5987" s="3"/>
    </row>
    <row r="5988" spans="1:8">
      <c r="A5988" s="3">
        <v>275136</v>
      </c>
      <c r="B5988" s="7" t="s">
        <v>36</v>
      </c>
      <c r="C5988" s="41">
        <v>492</v>
      </c>
      <c r="D5988" s="6">
        <v>45704</v>
      </c>
      <c r="E5988" s="3" t="str">
        <f ca="1">IF(Tabela2[[#This Row],[Dt Venc:]]&gt;TODAY(),"Em Aberto",IF(Tabela2[[#This Row],[D/venc]]="-","Enviado",IF(Tabela2[[#This Row],[Dt Venc:]]=TODAY(),"Vence Hoje","Vencida")))</f>
        <v>Em Aberto</v>
      </c>
      <c r="F5988" s="3">
        <f ca="1">IF(G5988=1,"-",Tabela2[[#This Row],[Dt Venc:]]-TODAY())</f>
        <v>11</v>
      </c>
      <c r="G5988" s="3"/>
      <c r="H5988" s="3"/>
    </row>
    <row r="5989" spans="1:8">
      <c r="A5989" s="3">
        <v>279301</v>
      </c>
      <c r="B5989" s="7" t="s">
        <v>36</v>
      </c>
      <c r="C5989" s="41">
        <v>520</v>
      </c>
      <c r="D5989" s="6">
        <v>45704</v>
      </c>
      <c r="E5989" s="3" t="str">
        <f ca="1">IF(Tabela2[[#This Row],[Dt Venc:]]&gt;TODAY(),"Em Aberto",IF(Tabela2[[#This Row],[D/venc]]="-","Enviado",IF(Tabela2[[#This Row],[Dt Venc:]]=TODAY(),"Vence Hoje","Vencida")))</f>
        <v>Em Aberto</v>
      </c>
      <c r="F5989" s="3">
        <f ca="1">IF(G5989=1,"-",Tabela2[[#This Row],[Dt Venc:]]-TODAY())</f>
        <v>11</v>
      </c>
      <c r="G5989" s="3"/>
      <c r="H5989" s="3"/>
    </row>
    <row r="5990" spans="1:8">
      <c r="A5990" s="3">
        <v>304143</v>
      </c>
      <c r="B5990" s="7" t="s">
        <v>189</v>
      </c>
      <c r="C5990" s="41">
        <v>15565</v>
      </c>
      <c r="D5990" s="6">
        <v>45704</v>
      </c>
      <c r="E5990" s="3" t="str">
        <f ca="1">IF(Tabela2[[#This Row],[Dt Venc:]]&gt;TODAY(),"Em Aberto",IF(Tabela2[[#This Row],[D/venc]]="-","Enviado",IF(Tabela2[[#This Row],[Dt Venc:]]=TODAY(),"Vence Hoje","Vencida")))</f>
        <v>Em Aberto</v>
      </c>
      <c r="F5990" s="3">
        <f ca="1">IF(G5990=1,"-",Tabela2[[#This Row],[Dt Venc:]]-TODAY())</f>
        <v>11</v>
      </c>
      <c r="G5990" s="3"/>
      <c r="H5990" s="3"/>
    </row>
    <row r="5991" spans="1:8">
      <c r="A5991" s="3">
        <v>304144</v>
      </c>
      <c r="B5991" s="7" t="s">
        <v>189</v>
      </c>
      <c r="C5991" s="41">
        <v>16036.67</v>
      </c>
      <c r="D5991" s="6">
        <v>45704</v>
      </c>
      <c r="E5991" s="3" t="str">
        <f ca="1">IF(Tabela2[[#This Row],[Dt Venc:]]&gt;TODAY(),"Em Aberto",IF(Tabela2[[#This Row],[D/venc]]="-","Enviado",IF(Tabela2[[#This Row],[Dt Venc:]]=TODAY(),"Vence Hoje","Vencida")))</f>
        <v>Em Aberto</v>
      </c>
      <c r="F5991" s="3">
        <f ca="1">IF(G5991=1,"-",Tabela2[[#This Row],[Dt Venc:]]-TODAY())</f>
        <v>11</v>
      </c>
      <c r="G5991" s="3"/>
      <c r="H5991" s="3"/>
    </row>
    <row r="5992" spans="1:8">
      <c r="A5992" s="3">
        <v>304145</v>
      </c>
      <c r="B5992" s="7" t="s">
        <v>189</v>
      </c>
      <c r="C5992" s="41">
        <v>15565</v>
      </c>
      <c r="D5992" s="6">
        <v>45704</v>
      </c>
      <c r="E5992" s="3" t="str">
        <f ca="1">IF(Tabela2[[#This Row],[Dt Venc:]]&gt;TODAY(),"Em Aberto",IF(Tabela2[[#This Row],[D/venc]]="-","Enviado",IF(Tabela2[[#This Row],[Dt Venc:]]=TODAY(),"Vence Hoje","Vencida")))</f>
        <v>Em Aberto</v>
      </c>
      <c r="F5992" s="3">
        <f ca="1">IF(G5992=1,"-",Tabela2[[#This Row],[Dt Venc:]]-TODAY())</f>
        <v>11</v>
      </c>
      <c r="G5992" s="3"/>
      <c r="H5992" s="3"/>
    </row>
    <row r="5993" spans="1:8">
      <c r="A5993" s="3">
        <v>306385</v>
      </c>
      <c r="B5993" s="7" t="s">
        <v>506</v>
      </c>
      <c r="C5993" s="41">
        <v>143.08000000000001</v>
      </c>
      <c r="D5993" s="6">
        <v>45704</v>
      </c>
      <c r="E5993" s="3" t="str">
        <f ca="1">IF(Tabela2[[#This Row],[Dt Venc:]]&gt;TODAY(),"Em Aberto",IF(Tabela2[[#This Row],[D/venc]]="-","Enviado",IF(Tabela2[[#This Row],[Dt Venc:]]=TODAY(),"Vence Hoje","Vencida")))</f>
        <v>Em Aberto</v>
      </c>
      <c r="F5993" s="3">
        <f ca="1">IF(G5993=1,"-",Tabela2[[#This Row],[Dt Venc:]]-TODAY())</f>
        <v>11</v>
      </c>
      <c r="G5993" s="3"/>
      <c r="H5993" s="3"/>
    </row>
    <row r="5994" spans="1:8">
      <c r="A5994" s="3">
        <v>328982</v>
      </c>
      <c r="B5994" s="7" t="s">
        <v>261</v>
      </c>
      <c r="C5994" s="41">
        <v>613</v>
      </c>
      <c r="D5994" s="6">
        <v>45704</v>
      </c>
      <c r="E5994" s="3" t="str">
        <f ca="1">IF(Tabela2[[#This Row],[Dt Venc:]]&gt;TODAY(),"Em Aberto",IF(Tabela2[[#This Row],[D/venc]]="-","Enviado",IF(Tabela2[[#This Row],[Dt Venc:]]=TODAY(),"Vence Hoje","Vencida")))</f>
        <v>Em Aberto</v>
      </c>
      <c r="F5994" s="3">
        <f ca="1">IF(G5994=1,"-",Tabela2[[#This Row],[Dt Venc:]]-TODAY())</f>
        <v>11</v>
      </c>
      <c r="G5994" s="3"/>
      <c r="H5994" s="3"/>
    </row>
    <row r="5995" spans="1:8">
      <c r="A5995" s="3">
        <v>765208</v>
      </c>
      <c r="B5995" s="7" t="s">
        <v>127</v>
      </c>
      <c r="C5995" s="41">
        <v>399.5</v>
      </c>
      <c r="D5995" s="6">
        <v>45704</v>
      </c>
      <c r="E5995" s="3" t="str">
        <f ca="1">IF(Tabela2[[#This Row],[Dt Venc:]]&gt;TODAY(),"Em Aberto",IF(Tabela2[[#This Row],[D/venc]]="-","Enviado",IF(Tabela2[[#This Row],[Dt Venc:]]=TODAY(),"Vence Hoje","Vencida")))</f>
        <v>Em Aberto</v>
      </c>
      <c r="F5995" s="3">
        <f ca="1">IF(G5995=1,"-",Tabela2[[#This Row],[Dt Venc:]]-TODAY())</f>
        <v>11</v>
      </c>
      <c r="G5995" s="3"/>
      <c r="H5995" s="3"/>
    </row>
    <row r="5996" spans="1:8">
      <c r="A5996" s="3">
        <v>765210</v>
      </c>
      <c r="B5996" s="7" t="s">
        <v>127</v>
      </c>
      <c r="C5996" s="41">
        <v>399.5</v>
      </c>
      <c r="D5996" s="6">
        <v>45704</v>
      </c>
      <c r="E5996" s="3" t="str">
        <f ca="1">IF(Tabela2[[#This Row],[Dt Venc:]]&gt;TODAY(),"Em Aberto",IF(Tabela2[[#This Row],[D/venc]]="-","Enviado",IF(Tabela2[[#This Row],[Dt Venc:]]=TODAY(),"Vence Hoje","Vencida")))</f>
        <v>Em Aberto</v>
      </c>
      <c r="F5996" s="3">
        <f ca="1">IF(G5996=1,"-",Tabela2[[#This Row],[Dt Venc:]]-TODAY())</f>
        <v>11</v>
      </c>
      <c r="G5996" s="3"/>
      <c r="H5996" s="3"/>
    </row>
    <row r="5997" spans="1:8">
      <c r="A5997" s="3">
        <v>1897</v>
      </c>
      <c r="B5997" s="7" t="s">
        <v>352</v>
      </c>
      <c r="C5997" s="41">
        <v>400</v>
      </c>
      <c r="D5997" s="6">
        <v>45704</v>
      </c>
      <c r="E5997" s="3" t="str">
        <f ca="1">IF(Tabela2[[#This Row],[Dt Venc:]]&gt;TODAY(),"Em Aberto",IF(Tabela2[[#This Row],[D/venc]]="-","Enviado",IF(Tabela2[[#This Row],[Dt Venc:]]=TODAY(),"Vence Hoje","Vencida")))</f>
        <v>Em Aberto</v>
      </c>
      <c r="F5997" s="3">
        <f ca="1">IF(G5997=1,"-",Tabela2[[#This Row],[Dt Venc:]]-TODAY())</f>
        <v>11</v>
      </c>
      <c r="G5997" s="3"/>
      <c r="H5997" s="3"/>
    </row>
    <row r="5998" spans="1:8">
      <c r="A5998" s="3">
        <v>1495</v>
      </c>
      <c r="B5998" s="7" t="s">
        <v>352</v>
      </c>
      <c r="C5998" s="41">
        <v>300</v>
      </c>
      <c r="D5998" s="6">
        <v>45704</v>
      </c>
      <c r="E5998" s="3" t="str">
        <f ca="1">IF(Tabela2[[#This Row],[Dt Venc:]]&gt;TODAY(),"Em Aberto",IF(Tabela2[[#This Row],[D/venc]]="-","Enviado",IF(Tabela2[[#This Row],[Dt Venc:]]=TODAY(),"Vence Hoje","Vencida")))</f>
        <v>Em Aberto</v>
      </c>
      <c r="F5998" s="3">
        <f ca="1">IF(G5998=1,"-",Tabela2[[#This Row],[Dt Venc:]]-TODAY())</f>
        <v>11</v>
      </c>
      <c r="G5998" s="3"/>
      <c r="H5998" s="3"/>
    </row>
    <row r="5999" spans="1:8">
      <c r="A5999" s="3">
        <v>61</v>
      </c>
      <c r="B5999" s="7" t="s">
        <v>103</v>
      </c>
      <c r="C5999" s="41">
        <v>433.34</v>
      </c>
      <c r="D5999" s="6">
        <v>45705</v>
      </c>
      <c r="E5999" s="3" t="str">
        <f ca="1">IF(Tabela2[[#This Row],[Dt Venc:]]&gt;TODAY(),"Em Aberto",IF(Tabela2[[#This Row],[D/venc]]="-","Enviado",IF(Tabela2[[#This Row],[Dt Venc:]]=TODAY(),"Vence Hoje","Vencida")))</f>
        <v>Em Aberto</v>
      </c>
      <c r="F5999" s="3">
        <f ca="1">IF(G5999=1,"-",Tabela2[[#This Row],[Dt Venc:]]-TODAY())</f>
        <v>12</v>
      </c>
      <c r="G5999" s="3"/>
      <c r="H5999" s="3"/>
    </row>
    <row r="6000" spans="1:8">
      <c r="A6000" s="3">
        <v>1131</v>
      </c>
      <c r="B6000" s="7" t="s">
        <v>703</v>
      </c>
      <c r="C6000" s="41">
        <v>8593.33</v>
      </c>
      <c r="D6000" s="6">
        <v>45705</v>
      </c>
      <c r="E6000" s="3" t="str">
        <f ca="1">IF(Tabela2[[#This Row],[Dt Venc:]]&gt;TODAY(),"Em Aberto",IF(Tabela2[[#This Row],[D/venc]]="-","Enviado",IF(Tabela2[[#This Row],[Dt Venc:]]=TODAY(),"Vence Hoje","Vencida")))</f>
        <v>Em Aberto</v>
      </c>
      <c r="F6000" s="3">
        <f ca="1">IF(G6000=1,"-",Tabela2[[#This Row],[Dt Venc:]]-TODAY())</f>
        <v>12</v>
      </c>
      <c r="G6000" s="3"/>
      <c r="H6000" s="3"/>
    </row>
    <row r="6001" spans="1:8">
      <c r="A6001" s="3">
        <v>1302</v>
      </c>
      <c r="B6001" s="7" t="s">
        <v>474</v>
      </c>
      <c r="C6001" s="41">
        <v>1972.5</v>
      </c>
      <c r="D6001" s="6">
        <v>45705</v>
      </c>
      <c r="E6001" s="3" t="str">
        <f ca="1">IF(Tabela2[[#This Row],[Dt Venc:]]&gt;TODAY(),"Em Aberto",IF(Tabela2[[#This Row],[D/venc]]="-","Enviado",IF(Tabela2[[#This Row],[Dt Venc:]]=TODAY(),"Vence Hoje","Vencida")))</f>
        <v>Em Aberto</v>
      </c>
      <c r="F6001" s="3">
        <f ca="1">IF(G6001=1,"-",Tabela2[[#This Row],[Dt Venc:]]-TODAY())</f>
        <v>12</v>
      </c>
      <c r="G6001" s="3"/>
      <c r="H6001" s="3"/>
    </row>
    <row r="6002" spans="1:8">
      <c r="A6002" s="3">
        <v>1303</v>
      </c>
      <c r="B6002" s="7" t="s">
        <v>474</v>
      </c>
      <c r="C6002" s="41">
        <v>596.66999999999996</v>
      </c>
      <c r="D6002" s="6">
        <v>45705</v>
      </c>
      <c r="E6002" s="3" t="str">
        <f ca="1">IF(Tabela2[[#This Row],[Dt Venc:]]&gt;TODAY(),"Em Aberto",IF(Tabela2[[#This Row],[D/venc]]="-","Enviado",IF(Tabela2[[#This Row],[Dt Venc:]]=TODAY(),"Vence Hoje","Vencida")))</f>
        <v>Em Aberto</v>
      </c>
      <c r="F6002" s="3">
        <f ca="1">IF(G6002=1,"-",Tabela2[[#This Row],[Dt Venc:]]-TODAY())</f>
        <v>12</v>
      </c>
      <c r="G6002" s="3"/>
      <c r="H6002" s="3"/>
    </row>
    <row r="6003" spans="1:8">
      <c r="A6003" s="3">
        <v>1681</v>
      </c>
      <c r="B6003" s="7" t="s">
        <v>560</v>
      </c>
      <c r="C6003" s="41">
        <v>346.67</v>
      </c>
      <c r="D6003" s="6">
        <v>45705</v>
      </c>
      <c r="E6003" s="3" t="str">
        <f ca="1">IF(Tabela2[[#This Row],[Dt Venc:]]&gt;TODAY(),"Em Aberto",IF(Tabela2[[#This Row],[D/venc]]="-","Enviado",IF(Tabela2[[#This Row],[Dt Venc:]]=TODAY(),"Vence Hoje","Vencida")))</f>
        <v>Em Aberto</v>
      </c>
      <c r="F6003" s="3">
        <f ca="1">IF(G6003=1,"-",Tabela2[[#This Row],[Dt Venc:]]-TODAY())</f>
        <v>12</v>
      </c>
      <c r="G6003" s="3"/>
      <c r="H6003" s="3"/>
    </row>
    <row r="6004" spans="1:8">
      <c r="A6004" s="3">
        <v>1802</v>
      </c>
      <c r="B6004" s="7" t="s">
        <v>135</v>
      </c>
      <c r="C6004" s="41">
        <v>6846.94</v>
      </c>
      <c r="D6004" s="6">
        <v>45705</v>
      </c>
      <c r="E6004" s="3" t="str">
        <f ca="1">IF(Tabela2[[#This Row],[Dt Venc:]]&gt;TODAY(),"Em Aberto",IF(Tabela2[[#This Row],[D/venc]]="-","Enviado",IF(Tabela2[[#This Row],[Dt Venc:]]=TODAY(),"Vence Hoje","Vencida")))</f>
        <v>Em Aberto</v>
      </c>
      <c r="F6004" s="3">
        <f ca="1">IF(G6004=1,"-",Tabela2[[#This Row],[Dt Venc:]]-TODAY())</f>
        <v>12</v>
      </c>
      <c r="G6004" s="3"/>
      <c r="H6004" s="3"/>
    </row>
    <row r="6005" spans="1:8">
      <c r="A6005" s="3">
        <v>5793</v>
      </c>
      <c r="B6005" s="7" t="s">
        <v>434</v>
      </c>
      <c r="C6005" s="41">
        <v>1500</v>
      </c>
      <c r="D6005" s="6">
        <v>45705</v>
      </c>
      <c r="E6005" s="3" t="str">
        <f ca="1">IF(Tabela2[[#This Row],[Dt Venc:]]&gt;TODAY(),"Em Aberto",IF(Tabela2[[#This Row],[D/venc]]="-","Enviado",IF(Tabela2[[#This Row],[Dt Venc:]]=TODAY(),"Vence Hoje","Vencida")))</f>
        <v>Em Aberto</v>
      </c>
      <c r="F6005" s="3">
        <f ca="1">IF(G6005=1,"-",Tabela2[[#This Row],[Dt Venc:]]-TODAY())</f>
        <v>12</v>
      </c>
      <c r="G6005" s="3"/>
      <c r="H6005" s="3"/>
    </row>
    <row r="6006" spans="1:8">
      <c r="A6006" s="3">
        <v>6171</v>
      </c>
      <c r="B6006" s="7" t="s">
        <v>47</v>
      </c>
      <c r="C6006" s="41">
        <v>1758.06</v>
      </c>
      <c r="D6006" s="6">
        <v>45705</v>
      </c>
      <c r="E6006" s="3" t="str">
        <f ca="1">IF(Tabela2[[#This Row],[Dt Venc:]]&gt;TODAY(),"Em Aberto",IF(Tabela2[[#This Row],[D/venc]]="-","Enviado",IF(Tabela2[[#This Row],[Dt Venc:]]=TODAY(),"Vence Hoje","Vencida")))</f>
        <v>Em Aberto</v>
      </c>
      <c r="F6006" s="3">
        <f ca="1">IF(G6006=1,"-",Tabela2[[#This Row],[Dt Venc:]]-TODAY())</f>
        <v>12</v>
      </c>
      <c r="G6006" s="3"/>
      <c r="H6006" s="3"/>
    </row>
    <row r="6007" spans="1:8">
      <c r="A6007" s="3">
        <v>6299</v>
      </c>
      <c r="B6007" s="7" t="s">
        <v>47</v>
      </c>
      <c r="C6007" s="41">
        <v>2014.12</v>
      </c>
      <c r="D6007" s="6">
        <v>45705</v>
      </c>
      <c r="E6007" s="3" t="str">
        <f ca="1">IF(Tabela2[[#This Row],[Dt Venc:]]&gt;TODAY(),"Em Aberto",IF(Tabela2[[#This Row],[D/venc]]="-","Enviado",IF(Tabela2[[#This Row],[Dt Venc:]]=TODAY(),"Vence Hoje","Vencida")))</f>
        <v>Em Aberto</v>
      </c>
      <c r="F6007" s="3">
        <f ca="1">IF(G6007=1,"-",Tabela2[[#This Row],[Dt Venc:]]-TODAY())</f>
        <v>12</v>
      </c>
      <c r="G6007" s="3"/>
      <c r="H6007" s="3"/>
    </row>
    <row r="6008" spans="1:8">
      <c r="A6008" s="3">
        <v>7313</v>
      </c>
      <c r="B6008" s="7" t="s">
        <v>318</v>
      </c>
      <c r="C6008" s="41">
        <v>931</v>
      </c>
      <c r="D6008" s="6">
        <v>45705</v>
      </c>
      <c r="E6008" s="3" t="str">
        <f ca="1">IF(Tabela2[[#This Row],[Dt Venc:]]&gt;TODAY(),"Em Aberto",IF(Tabela2[[#This Row],[D/venc]]="-","Enviado",IF(Tabela2[[#This Row],[Dt Venc:]]=TODAY(),"Vence Hoje","Vencida")))</f>
        <v>Em Aberto</v>
      </c>
      <c r="F6008" s="3">
        <f ca="1">IF(G6008=1,"-",Tabela2[[#This Row],[Dt Venc:]]-TODAY())</f>
        <v>12</v>
      </c>
      <c r="G6008" s="3"/>
      <c r="H6008" s="3"/>
    </row>
    <row r="6009" spans="1:8">
      <c r="A6009" s="3">
        <v>8052</v>
      </c>
      <c r="B6009" s="7" t="s">
        <v>43</v>
      </c>
      <c r="C6009" s="41">
        <v>380</v>
      </c>
      <c r="D6009" s="6">
        <v>45705</v>
      </c>
      <c r="E6009" s="3" t="str">
        <f ca="1">IF(Tabela2[[#This Row],[Dt Venc:]]&gt;TODAY(),"Em Aberto",IF(Tabela2[[#This Row],[D/venc]]="-","Enviado",IF(Tabela2[[#This Row],[Dt Venc:]]=TODAY(),"Vence Hoje","Vencida")))</f>
        <v>Em Aberto</v>
      </c>
      <c r="F6009" s="3">
        <f ca="1">IF(G6009=1,"-",Tabela2[[#This Row],[Dt Venc:]]-TODAY())</f>
        <v>12</v>
      </c>
      <c r="G6009" s="3"/>
      <c r="H6009" s="3"/>
    </row>
    <row r="6010" spans="1:8">
      <c r="A6010" s="3">
        <v>11242</v>
      </c>
      <c r="B6010" s="7" t="s">
        <v>33</v>
      </c>
      <c r="C6010" s="41">
        <v>1993.3</v>
      </c>
      <c r="D6010" s="6">
        <v>45705</v>
      </c>
      <c r="E6010" s="3" t="str">
        <f ca="1">IF(Tabela2[[#This Row],[Dt Venc:]]&gt;TODAY(),"Em Aberto",IF(Tabela2[[#This Row],[D/venc]]="-","Enviado",IF(Tabela2[[#This Row],[Dt Venc:]]=TODAY(),"Vence Hoje","Vencida")))</f>
        <v>Em Aberto</v>
      </c>
      <c r="F6010" s="3">
        <f ca="1">IF(G6010=1,"-",Tabela2[[#This Row],[Dt Venc:]]-TODAY())</f>
        <v>12</v>
      </c>
      <c r="G6010" s="3"/>
      <c r="H6010" s="3"/>
    </row>
    <row r="6011" spans="1:8">
      <c r="A6011" s="3">
        <v>11345</v>
      </c>
      <c r="B6011" s="7" t="s">
        <v>33</v>
      </c>
      <c r="C6011" s="41">
        <v>1200</v>
      </c>
      <c r="D6011" s="6">
        <v>45705</v>
      </c>
      <c r="E6011" s="3" t="str">
        <f ca="1">IF(Tabela2[[#This Row],[Dt Venc:]]&gt;TODAY(),"Em Aberto",IF(Tabela2[[#This Row],[D/venc]]="-","Enviado",IF(Tabela2[[#This Row],[Dt Venc:]]=TODAY(),"Vence Hoje","Vencida")))</f>
        <v>Em Aberto</v>
      </c>
      <c r="F6011" s="3">
        <f ca="1">IF(G6011=1,"-",Tabela2[[#This Row],[Dt Venc:]]-TODAY())</f>
        <v>12</v>
      </c>
      <c r="G6011" s="3"/>
      <c r="H6011" s="3"/>
    </row>
    <row r="6012" spans="1:8">
      <c r="A6012" s="3">
        <v>12099</v>
      </c>
      <c r="B6012" s="7" t="s">
        <v>211</v>
      </c>
      <c r="C6012" s="41">
        <v>526.66</v>
      </c>
      <c r="D6012" s="6">
        <v>45705</v>
      </c>
      <c r="E6012" s="3" t="str">
        <f ca="1">IF(Tabela2[[#This Row],[Dt Venc:]]&gt;TODAY(),"Em Aberto",IF(Tabela2[[#This Row],[D/venc]]="-","Enviado",IF(Tabela2[[#This Row],[Dt Venc:]]=TODAY(),"Vence Hoje","Vencida")))</f>
        <v>Em Aberto</v>
      </c>
      <c r="F6012" s="3">
        <f ca="1">IF(G6012=1,"-",Tabela2[[#This Row],[Dt Venc:]]-TODAY())</f>
        <v>12</v>
      </c>
      <c r="G6012" s="3"/>
      <c r="H6012" s="3"/>
    </row>
    <row r="6013" spans="1:8">
      <c r="A6013" s="3">
        <v>14521</v>
      </c>
      <c r="B6013" s="7" t="s">
        <v>303</v>
      </c>
      <c r="C6013" s="41">
        <v>1446.68</v>
      </c>
      <c r="D6013" s="6">
        <v>45705</v>
      </c>
      <c r="E6013" s="3" t="str">
        <f ca="1">IF(Tabela2[[#This Row],[Dt Venc:]]&gt;TODAY(),"Em Aberto",IF(Tabela2[[#This Row],[D/venc]]="-","Enviado",IF(Tabela2[[#This Row],[Dt Venc:]]=TODAY(),"Vence Hoje","Vencida")))</f>
        <v>Em Aberto</v>
      </c>
      <c r="F6013" s="3">
        <f ca="1">IF(G6013=1,"-",Tabela2[[#This Row],[Dt Venc:]]-TODAY())</f>
        <v>12</v>
      </c>
      <c r="G6013" s="3"/>
      <c r="H6013" s="3"/>
    </row>
    <row r="6014" spans="1:8">
      <c r="A6014" s="3">
        <v>15422</v>
      </c>
      <c r="B6014" s="7" t="s">
        <v>44</v>
      </c>
      <c r="C6014" s="41">
        <v>850</v>
      </c>
      <c r="D6014" s="6">
        <v>45705</v>
      </c>
      <c r="E6014" s="3" t="str">
        <f ca="1">IF(Tabela2[[#This Row],[Dt Venc:]]&gt;TODAY(),"Em Aberto",IF(Tabela2[[#This Row],[D/venc]]="-","Enviado",IF(Tabela2[[#This Row],[Dt Venc:]]=TODAY(),"Vence Hoje","Vencida")))</f>
        <v>Em Aberto</v>
      </c>
      <c r="F6014" s="3">
        <f ca="1">IF(G6014=1,"-",Tabela2[[#This Row],[Dt Venc:]]-TODAY())</f>
        <v>12</v>
      </c>
      <c r="G6014" s="3"/>
      <c r="H6014" s="3"/>
    </row>
    <row r="6015" spans="1:8">
      <c r="A6015" s="3">
        <v>20028</v>
      </c>
      <c r="B6015" s="7" t="s">
        <v>41</v>
      </c>
      <c r="C6015" s="41">
        <v>700</v>
      </c>
      <c r="D6015" s="6">
        <v>45705</v>
      </c>
      <c r="E6015" s="3" t="str">
        <f ca="1">IF(Tabela2[[#This Row],[Dt Venc:]]&gt;TODAY(),"Em Aberto",IF(Tabela2[[#This Row],[D/venc]]="-","Enviado",IF(Tabela2[[#This Row],[Dt Venc:]]=TODAY(),"Vence Hoje","Vencida")))</f>
        <v>Em Aberto</v>
      </c>
      <c r="F6015" s="3">
        <f ca="1">IF(G6015=1,"-",Tabela2[[#This Row],[Dt Venc:]]-TODAY())</f>
        <v>12</v>
      </c>
      <c r="G6015" s="3"/>
      <c r="H6015" s="3"/>
    </row>
    <row r="6016" spans="1:8">
      <c r="A6016" s="3">
        <v>23629</v>
      </c>
      <c r="B6016" s="7" t="s">
        <v>632</v>
      </c>
      <c r="C6016" s="41">
        <v>350</v>
      </c>
      <c r="D6016" s="6">
        <v>45705</v>
      </c>
      <c r="E6016" s="3" t="str">
        <f ca="1">IF(Tabela2[[#This Row],[Dt Venc:]]&gt;TODAY(),"Em Aberto",IF(Tabela2[[#This Row],[D/venc]]="-","Enviado",IF(Tabela2[[#This Row],[Dt Venc:]]=TODAY(),"Vence Hoje","Vencida")))</f>
        <v>Em Aberto</v>
      </c>
      <c r="F6016" s="3">
        <f ca="1">IF(G6016=1,"-",Tabela2[[#This Row],[Dt Venc:]]-TODAY())</f>
        <v>12</v>
      </c>
      <c r="G6016" s="3"/>
      <c r="H6016" s="3"/>
    </row>
    <row r="6017" spans="1:10">
      <c r="A6017" s="3">
        <v>23782</v>
      </c>
      <c r="B6017" s="7" t="s">
        <v>38</v>
      </c>
      <c r="C6017" s="41">
        <v>2335.5</v>
      </c>
      <c r="D6017" s="6">
        <v>45705</v>
      </c>
      <c r="E6017" s="3" t="str">
        <f ca="1">IF(Tabela2[[#This Row],[Dt Venc:]]&gt;TODAY(),"Em Aberto",IF(Tabela2[[#This Row],[D/venc]]="-","Enviado",IF(Tabela2[[#This Row],[Dt Venc:]]=TODAY(),"Vence Hoje","Vencida")))</f>
        <v>Em Aberto</v>
      </c>
      <c r="F6017" s="3">
        <f ca="1">IF(G6017=1,"-",Tabela2[[#This Row],[Dt Venc:]]-TODAY())</f>
        <v>12</v>
      </c>
      <c r="G6017" s="3"/>
      <c r="H6017" s="3"/>
    </row>
    <row r="6018" spans="1:10">
      <c r="A6018" s="3">
        <v>30721</v>
      </c>
      <c r="B6018" s="7" t="s">
        <v>226</v>
      </c>
      <c r="C6018" s="41">
        <v>4680</v>
      </c>
      <c r="D6018" s="6">
        <v>45705</v>
      </c>
      <c r="E6018" s="3" t="str">
        <f ca="1">IF(Tabela2[[#This Row],[Dt Venc:]]&gt;TODAY(),"Em Aberto",IF(Tabela2[[#This Row],[D/venc]]="-","Enviado",IF(Tabela2[[#This Row],[Dt Venc:]]=TODAY(),"Vence Hoje","Vencida")))</f>
        <v>Em Aberto</v>
      </c>
      <c r="F6018" s="3">
        <f ca="1">IF(G6018=1,"-",Tabela2[[#This Row],[Dt Venc:]]-TODAY())</f>
        <v>12</v>
      </c>
      <c r="G6018" s="3"/>
      <c r="H6018" s="3"/>
    </row>
    <row r="6019" spans="1:10">
      <c r="A6019" s="3">
        <v>31062</v>
      </c>
      <c r="B6019" s="7" t="s">
        <v>97</v>
      </c>
      <c r="C6019" s="41">
        <v>2055</v>
      </c>
      <c r="D6019" s="6">
        <v>45705</v>
      </c>
      <c r="E6019" s="3" t="str">
        <f ca="1">IF(Tabela2[[#This Row],[Dt Venc:]]&gt;TODAY(),"Em Aberto",IF(Tabela2[[#This Row],[D/venc]]="-","Enviado",IF(Tabela2[[#This Row],[Dt Venc:]]=TODAY(),"Vence Hoje","Vencida")))</f>
        <v>Em Aberto</v>
      </c>
      <c r="F6019" s="3">
        <f ca="1">IF(G6019=1,"-",Tabela2[[#This Row],[Dt Venc:]]-TODAY())</f>
        <v>12</v>
      </c>
      <c r="G6019" s="3"/>
      <c r="H6019" s="3"/>
      <c r="J6019" t="s">
        <v>704</v>
      </c>
    </row>
    <row r="6020" spans="1:10">
      <c r="A6020" s="3">
        <v>31871</v>
      </c>
      <c r="B6020" s="7" t="s">
        <v>524</v>
      </c>
      <c r="C6020" s="41">
        <v>4135</v>
      </c>
      <c r="D6020" s="6">
        <v>45705</v>
      </c>
      <c r="E6020" s="3" t="str">
        <f ca="1">IF(Tabela2[[#This Row],[Dt Venc:]]&gt;TODAY(),"Em Aberto",IF(Tabela2[[#This Row],[D/venc]]="-","Enviado",IF(Tabela2[[#This Row],[Dt Venc:]]=TODAY(),"Vence Hoje","Vencida")))</f>
        <v>Em Aberto</v>
      </c>
      <c r="F6020" s="3">
        <f ca="1">IF(G6020=1,"-",Tabela2[[#This Row],[Dt Venc:]]-TODAY())</f>
        <v>12</v>
      </c>
      <c r="G6020" s="3"/>
      <c r="H6020" s="3"/>
    </row>
    <row r="6021" spans="1:10">
      <c r="A6021" s="3">
        <v>37196</v>
      </c>
      <c r="B6021" s="7" t="s">
        <v>167</v>
      </c>
      <c r="C6021" s="85" t="s">
        <v>32</v>
      </c>
      <c r="D6021" s="6">
        <v>45705</v>
      </c>
      <c r="E6021" s="3" t="str">
        <f ca="1">IF(Tabela2[[#This Row],[Dt Venc:]]&gt;TODAY(),"Em Aberto",IF(Tabela2[[#This Row],[D/venc]]="-","Enviado",IF(Tabela2[[#This Row],[Dt Venc:]]=TODAY(),"Vence Hoje","Vencida")))</f>
        <v>Em Aberto</v>
      </c>
      <c r="F6021" s="3">
        <f ca="1">IF(G6021=1,"-",Tabela2[[#This Row],[Dt Venc:]]-TODAY())</f>
        <v>12</v>
      </c>
      <c r="G6021" s="3"/>
      <c r="H6021" s="3"/>
    </row>
    <row r="6022" spans="1:10">
      <c r="A6022" s="3">
        <v>37300</v>
      </c>
      <c r="B6022" s="7" t="s">
        <v>167</v>
      </c>
      <c r="C6022" s="100" t="s">
        <v>32</v>
      </c>
      <c r="D6022" s="6">
        <v>45705</v>
      </c>
      <c r="E6022" s="3" t="str">
        <f ca="1">IF(Tabela2[[#This Row],[Dt Venc:]]&gt;TODAY(),"Em Aberto",IF(Tabela2[[#This Row],[D/venc]]="-","Enviado",IF(Tabela2[[#This Row],[Dt Venc:]]=TODAY(),"Vence Hoje","Vencida")))</f>
        <v>Em Aberto</v>
      </c>
      <c r="F6022" s="3">
        <f ca="1">IF(G6022=1,"-",Tabela2[[#This Row],[Dt Venc:]]-TODAY())</f>
        <v>12</v>
      </c>
      <c r="G6022" s="3"/>
      <c r="H6022" s="3"/>
    </row>
    <row r="6023" spans="1:10">
      <c r="A6023" s="3">
        <v>43759</v>
      </c>
      <c r="B6023" s="7" t="s">
        <v>529</v>
      </c>
      <c r="C6023" s="41">
        <v>1618.75</v>
      </c>
      <c r="D6023" s="6">
        <v>45705</v>
      </c>
      <c r="E6023" s="3" t="str">
        <f ca="1">IF(Tabela2[[#This Row],[Dt Venc:]]&gt;TODAY(),"Em Aberto",IF(Tabela2[[#This Row],[D/venc]]="-","Enviado",IF(Tabela2[[#This Row],[Dt Venc:]]=TODAY(),"Vence Hoje","Vencida")))</f>
        <v>Em Aberto</v>
      </c>
      <c r="F6023" s="3">
        <f ca="1">IF(G6023=1,"-",Tabela2[[#This Row],[Dt Venc:]]-TODAY())</f>
        <v>12</v>
      </c>
      <c r="G6023" s="3"/>
      <c r="H6023" s="3"/>
    </row>
    <row r="6024" spans="1:10">
      <c r="A6024" s="3">
        <v>48454</v>
      </c>
      <c r="B6024" s="7" t="s">
        <v>144</v>
      </c>
      <c r="C6024" s="41">
        <v>1216.6600000000001</v>
      </c>
      <c r="D6024" s="6">
        <v>45705</v>
      </c>
      <c r="E6024" s="3" t="str">
        <f ca="1">IF(Tabela2[[#This Row],[Dt Venc:]]&gt;TODAY(),"Em Aberto",IF(Tabela2[[#This Row],[D/venc]]="-","Enviado",IF(Tabela2[[#This Row],[Dt Venc:]]=TODAY(),"Vence Hoje","Vencida")))</f>
        <v>Em Aberto</v>
      </c>
      <c r="F6024" s="3">
        <f ca="1">IF(G6024=1,"-",Tabela2[[#This Row],[Dt Venc:]]-TODAY())</f>
        <v>12</v>
      </c>
      <c r="G6024" s="3"/>
      <c r="H6024" s="3"/>
    </row>
    <row r="6025" spans="1:10">
      <c r="A6025" s="3">
        <v>50919</v>
      </c>
      <c r="B6025" s="7" t="s">
        <v>144</v>
      </c>
      <c r="C6025" s="41">
        <v>339.66</v>
      </c>
      <c r="D6025" s="6">
        <v>45705</v>
      </c>
      <c r="E6025" s="3" t="str">
        <f ca="1">IF(Tabela2[[#This Row],[Dt Venc:]]&gt;TODAY(),"Em Aberto",IF(Tabela2[[#This Row],[D/venc]]="-","Enviado",IF(Tabela2[[#This Row],[Dt Venc:]]=TODAY(),"Vence Hoje","Vencida")))</f>
        <v>Em Aberto</v>
      </c>
      <c r="F6025" s="3">
        <f ca="1">IF(G6025=1,"-",Tabela2[[#This Row],[Dt Venc:]]-TODAY())</f>
        <v>12</v>
      </c>
      <c r="G6025" s="3"/>
      <c r="H6025" s="3"/>
    </row>
    <row r="6026" spans="1:10">
      <c r="A6026" s="3">
        <v>52905</v>
      </c>
      <c r="B6026" s="7" t="s">
        <v>117</v>
      </c>
      <c r="C6026" s="41">
        <v>886.65</v>
      </c>
      <c r="D6026" s="6">
        <v>45705</v>
      </c>
      <c r="E6026" s="3" t="str">
        <f ca="1">IF(Tabela2[[#This Row],[Dt Venc:]]&gt;TODAY(),"Em Aberto",IF(Tabela2[[#This Row],[D/venc]]="-","Enviado",IF(Tabela2[[#This Row],[Dt Venc:]]=TODAY(),"Vence Hoje","Vencida")))</f>
        <v>Em Aberto</v>
      </c>
      <c r="F6026" s="3">
        <f ca="1">IF(G6026=1,"-",Tabela2[[#This Row],[Dt Venc:]]-TODAY())</f>
        <v>12</v>
      </c>
      <c r="G6026" s="3"/>
      <c r="H6026" s="3"/>
    </row>
    <row r="6027" spans="1:10">
      <c r="A6027" s="3">
        <v>54971</v>
      </c>
      <c r="B6027" s="7" t="s">
        <v>35</v>
      </c>
      <c r="C6027" s="41">
        <v>567.08000000000004</v>
      </c>
      <c r="D6027" s="6">
        <v>45705</v>
      </c>
      <c r="E6027" s="3" t="str">
        <f ca="1">IF(Tabela2[[#This Row],[Dt Venc:]]&gt;TODAY(),"Em Aberto",IF(Tabela2[[#This Row],[D/venc]]="-","Enviado",IF(Tabela2[[#This Row],[Dt Venc:]]=TODAY(),"Vence Hoje","Vencida")))</f>
        <v>Em Aberto</v>
      </c>
      <c r="F6027" s="3">
        <f ca="1">IF(G6027=1,"-",Tabela2[[#This Row],[Dt Venc:]]-TODAY())</f>
        <v>12</v>
      </c>
      <c r="G6027" s="3"/>
      <c r="H6027" s="3"/>
    </row>
    <row r="6028" spans="1:10">
      <c r="A6028" s="3">
        <v>73251</v>
      </c>
      <c r="B6028" s="7" t="s">
        <v>76</v>
      </c>
      <c r="C6028" s="41">
        <v>1508.76</v>
      </c>
      <c r="D6028" s="6">
        <v>45705</v>
      </c>
      <c r="E6028" s="3" t="str">
        <f ca="1">IF(Tabela2[[#This Row],[Dt Venc:]]&gt;TODAY(),"Em Aberto",IF(Tabela2[[#This Row],[D/venc]]="-","Enviado",IF(Tabela2[[#This Row],[Dt Venc:]]=TODAY(),"Vence Hoje","Vencida")))</f>
        <v>Em Aberto</v>
      </c>
      <c r="F6028" s="3">
        <f ca="1">IF(G6028=1,"-",Tabela2[[#This Row],[Dt Venc:]]-TODAY())</f>
        <v>12</v>
      </c>
      <c r="G6028" s="3"/>
      <c r="H6028" s="3"/>
    </row>
    <row r="6029" spans="1:10">
      <c r="A6029" s="3">
        <v>73320</v>
      </c>
      <c r="B6029" s="7" t="s">
        <v>76</v>
      </c>
      <c r="C6029" s="41">
        <v>932.87</v>
      </c>
      <c r="D6029" s="6">
        <v>45705</v>
      </c>
      <c r="E6029" s="3" t="str">
        <f ca="1">IF(Tabela2[[#This Row],[Dt Venc:]]&gt;TODAY(),"Em Aberto",IF(Tabela2[[#This Row],[D/venc]]="-","Enviado",IF(Tabela2[[#This Row],[Dt Venc:]]=TODAY(),"Vence Hoje","Vencida")))</f>
        <v>Em Aberto</v>
      </c>
      <c r="F6029" s="3">
        <f ca="1">IF(G6029=1,"-",Tabela2[[#This Row],[Dt Venc:]]-TODAY())</f>
        <v>12</v>
      </c>
      <c r="G6029" s="3"/>
      <c r="H6029" s="3"/>
    </row>
    <row r="6030" spans="1:10">
      <c r="A6030" s="3">
        <v>73324</v>
      </c>
      <c r="B6030" s="7" t="s">
        <v>76</v>
      </c>
      <c r="C6030" s="41">
        <v>2626.69</v>
      </c>
      <c r="D6030" s="6">
        <v>45705</v>
      </c>
      <c r="E6030" s="3" t="str">
        <f ca="1">IF(Tabela2[[#This Row],[Dt Venc:]]&gt;TODAY(),"Em Aberto",IF(Tabela2[[#This Row],[D/venc]]="-","Enviado",IF(Tabela2[[#This Row],[Dt Venc:]]=TODAY(),"Vence Hoje","Vencida")))</f>
        <v>Em Aberto</v>
      </c>
      <c r="F6030" s="3">
        <f ca="1">IF(G6030=1,"-",Tabela2[[#This Row],[Dt Venc:]]-TODAY())</f>
        <v>12</v>
      </c>
      <c r="G6030" s="3"/>
      <c r="H6030" s="3"/>
    </row>
    <row r="6031" spans="1:10">
      <c r="A6031" s="3">
        <v>74374</v>
      </c>
      <c r="B6031" s="7" t="s">
        <v>76</v>
      </c>
      <c r="C6031" s="41">
        <v>2578.9899999999998</v>
      </c>
      <c r="D6031" s="6">
        <v>45705</v>
      </c>
      <c r="E6031" s="3" t="str">
        <f ca="1">IF(Tabela2[[#This Row],[Dt Venc:]]&gt;TODAY(),"Em Aberto",IF(Tabela2[[#This Row],[D/venc]]="-","Enviado",IF(Tabela2[[#This Row],[Dt Venc:]]=TODAY(),"Vence Hoje","Vencida")))</f>
        <v>Em Aberto</v>
      </c>
      <c r="F6031" s="3">
        <f ca="1">IF(G6031=1,"-",Tabela2[[#This Row],[Dt Venc:]]-TODAY())</f>
        <v>12</v>
      </c>
      <c r="G6031" s="3"/>
      <c r="H6031" s="3"/>
    </row>
    <row r="6032" spans="1:10">
      <c r="A6032" s="3">
        <v>81213</v>
      </c>
      <c r="B6032" s="7" t="s">
        <v>302</v>
      </c>
      <c r="C6032" s="42">
        <v>150.32</v>
      </c>
      <c r="D6032" s="6">
        <v>45705</v>
      </c>
      <c r="E6032" s="3" t="str">
        <f ca="1">IF(Tabela2[[#This Row],[Dt Venc:]]&gt;TODAY(),"Em Aberto",IF(Tabela2[[#This Row],[D/venc]]="-","Enviado",IF(Tabela2[[#This Row],[Dt Venc:]]=TODAY(),"Vence Hoje","Vencida")))</f>
        <v>Em Aberto</v>
      </c>
      <c r="F6032" s="3">
        <f ca="1">IF(G6032=1,"-",Tabela2[[#This Row],[Dt Venc:]]-TODAY())</f>
        <v>12</v>
      </c>
      <c r="G6032" s="3"/>
      <c r="H6032" s="3"/>
    </row>
    <row r="6033" spans="1:8">
      <c r="A6033" s="3">
        <v>81215</v>
      </c>
      <c r="B6033" s="7" t="s">
        <v>302</v>
      </c>
      <c r="C6033" s="42">
        <v>690</v>
      </c>
      <c r="D6033" s="6">
        <v>45705</v>
      </c>
      <c r="E6033" s="3" t="str">
        <f ca="1">IF(Tabela2[[#This Row],[Dt Venc:]]&gt;TODAY(),"Em Aberto",IF(Tabela2[[#This Row],[D/venc]]="-","Enviado",IF(Tabela2[[#This Row],[Dt Venc:]]=TODAY(),"Vence Hoje","Vencida")))</f>
        <v>Em Aberto</v>
      </c>
      <c r="F6033" s="3">
        <f ca="1">IF(G6033=1,"-",Tabela2[[#This Row],[Dt Venc:]]-TODAY())</f>
        <v>12</v>
      </c>
      <c r="G6033" s="3"/>
      <c r="H6033" s="3"/>
    </row>
    <row r="6034" spans="1:8">
      <c r="A6034" s="3">
        <v>81740</v>
      </c>
      <c r="B6034" s="7" t="s">
        <v>39</v>
      </c>
      <c r="C6034" s="41">
        <v>795.98</v>
      </c>
      <c r="D6034" s="6">
        <v>45705</v>
      </c>
      <c r="E6034" s="3" t="str">
        <f ca="1">IF(Tabela2[[#This Row],[Dt Venc:]]&gt;TODAY(),"Em Aberto",IF(Tabela2[[#This Row],[D/venc]]="-","Enviado",IF(Tabela2[[#This Row],[Dt Venc:]]=TODAY(),"Vence Hoje","Vencida")))</f>
        <v>Em Aberto</v>
      </c>
      <c r="F6034" s="3">
        <f ca="1">IF(G6034=1,"-",Tabela2[[#This Row],[Dt Venc:]]-TODAY())</f>
        <v>12</v>
      </c>
      <c r="G6034" s="3"/>
      <c r="H6034" s="3"/>
    </row>
    <row r="6035" spans="1:8">
      <c r="A6035" s="3">
        <v>89418</v>
      </c>
      <c r="B6035" s="7" t="s">
        <v>207</v>
      </c>
      <c r="C6035" s="41">
        <v>833.33</v>
      </c>
      <c r="D6035" s="6">
        <v>45705</v>
      </c>
      <c r="E6035" s="3" t="str">
        <f ca="1">IF(Tabela2[[#This Row],[Dt Venc:]]&gt;TODAY(),"Em Aberto",IF(Tabela2[[#This Row],[D/venc]]="-","Enviado",IF(Tabela2[[#This Row],[Dt Venc:]]=TODAY(),"Vence Hoje","Vencida")))</f>
        <v>Em Aberto</v>
      </c>
      <c r="F6035" s="3">
        <f ca="1">IF(G6035=1,"-",Tabela2[[#This Row],[Dt Venc:]]-TODAY())</f>
        <v>12</v>
      </c>
      <c r="G6035" s="3"/>
      <c r="H6035" s="3"/>
    </row>
    <row r="6036" spans="1:8">
      <c r="A6036" s="3">
        <v>102128</v>
      </c>
      <c r="B6036" s="7" t="s">
        <v>70</v>
      </c>
      <c r="C6036" s="41">
        <v>796.86</v>
      </c>
      <c r="D6036" s="6">
        <v>45705</v>
      </c>
      <c r="E6036" s="3" t="str">
        <f ca="1">IF(Tabela2[[#This Row],[Dt Venc:]]&gt;TODAY(),"Em Aberto",IF(Tabela2[[#This Row],[D/venc]]="-","Enviado",IF(Tabela2[[#This Row],[Dt Venc:]]=TODAY(),"Vence Hoje","Vencida")))</f>
        <v>Em Aberto</v>
      </c>
      <c r="F6036" s="3">
        <f ca="1">IF(G6036=1,"-",Tabela2[[#This Row],[Dt Venc:]]-TODAY())</f>
        <v>12</v>
      </c>
      <c r="G6036" s="3"/>
      <c r="H6036" s="3"/>
    </row>
    <row r="6037" spans="1:8">
      <c r="A6037" s="3">
        <v>109986</v>
      </c>
      <c r="B6037" s="7" t="s">
        <v>612</v>
      </c>
      <c r="C6037" s="41">
        <v>3278.33</v>
      </c>
      <c r="D6037" s="6">
        <v>45705</v>
      </c>
      <c r="E6037" s="3" t="str">
        <f ca="1">IF(Tabela2[[#This Row],[Dt Venc:]]&gt;TODAY(),"Em Aberto",IF(Tabela2[[#This Row],[D/venc]]="-","Enviado",IF(Tabela2[[#This Row],[Dt Venc:]]=TODAY(),"Vence Hoje","Vencida")))</f>
        <v>Em Aberto</v>
      </c>
      <c r="F6037" s="3">
        <f ca="1">IF(G6037=1,"-",Tabela2[[#This Row],[Dt Venc:]]-TODAY())</f>
        <v>12</v>
      </c>
      <c r="G6037" s="3"/>
      <c r="H6037" s="3"/>
    </row>
    <row r="6038" spans="1:8">
      <c r="A6038" s="3">
        <v>137812</v>
      </c>
      <c r="B6038" s="7" t="s">
        <v>144</v>
      </c>
      <c r="C6038" s="41">
        <v>304</v>
      </c>
      <c r="D6038" s="6">
        <v>45705</v>
      </c>
      <c r="E6038" s="3" t="str">
        <f ca="1">IF(Tabela2[[#This Row],[Dt Venc:]]&gt;TODAY(),"Em Aberto",IF(Tabela2[[#This Row],[D/venc]]="-","Enviado",IF(Tabela2[[#This Row],[Dt Venc:]]=TODAY(),"Vence Hoje","Vencida")))</f>
        <v>Em Aberto</v>
      </c>
      <c r="F6038" s="3">
        <f ca="1">IF(G6038=1,"-",Tabela2[[#This Row],[Dt Venc:]]-TODAY())</f>
        <v>12</v>
      </c>
      <c r="G6038" s="3"/>
      <c r="H6038" s="3"/>
    </row>
    <row r="6039" spans="1:8">
      <c r="A6039" s="3">
        <v>180050</v>
      </c>
      <c r="B6039" s="7" t="s">
        <v>702</v>
      </c>
      <c r="C6039" s="41">
        <v>856.66</v>
      </c>
      <c r="D6039" s="6">
        <v>45705</v>
      </c>
      <c r="E6039" s="3" t="str">
        <f ca="1">IF(Tabela2[[#This Row],[Dt Venc:]]&gt;TODAY(),"Em Aberto",IF(Tabela2[[#This Row],[D/venc]]="-","Enviado",IF(Tabela2[[#This Row],[Dt Venc:]]=TODAY(),"Vence Hoje","Vencida")))</f>
        <v>Em Aberto</v>
      </c>
      <c r="F6039" s="3">
        <f ca="1">IF(G6039=1,"-",Tabela2[[#This Row],[Dt Venc:]]-TODAY())</f>
        <v>12</v>
      </c>
      <c r="G6039" s="3"/>
      <c r="H6039" s="3"/>
    </row>
    <row r="6040" spans="1:8">
      <c r="A6040" s="3">
        <v>180051</v>
      </c>
      <c r="B6040" s="7" t="s">
        <v>702</v>
      </c>
      <c r="C6040" s="41">
        <v>606</v>
      </c>
      <c r="D6040" s="6">
        <v>45705</v>
      </c>
      <c r="E6040" s="3" t="str">
        <f ca="1">IF(Tabela2[[#This Row],[Dt Venc:]]&gt;TODAY(),"Em Aberto",IF(Tabela2[[#This Row],[D/venc]]="-","Enviado",IF(Tabela2[[#This Row],[Dt Venc:]]=TODAY(),"Vence Hoje","Vencida")))</f>
        <v>Em Aberto</v>
      </c>
      <c r="F6040" s="3">
        <f ca="1">IF(G6040=1,"-",Tabela2[[#This Row],[Dt Venc:]]-TODAY())</f>
        <v>12</v>
      </c>
      <c r="G6040" s="3"/>
      <c r="H6040" s="3"/>
    </row>
    <row r="6041" spans="1:8">
      <c r="A6041" s="3">
        <v>180056</v>
      </c>
      <c r="B6041" s="7" t="s">
        <v>702</v>
      </c>
      <c r="C6041" s="41">
        <v>700</v>
      </c>
      <c r="D6041" s="6">
        <v>45705</v>
      </c>
      <c r="E6041" s="3" t="str">
        <f ca="1">IF(Tabela2[[#This Row],[Dt Venc:]]&gt;TODAY(),"Em Aberto",IF(Tabela2[[#This Row],[D/venc]]="-","Enviado",IF(Tabela2[[#This Row],[Dt Venc:]]=TODAY(),"Vence Hoje","Vencida")))</f>
        <v>Em Aberto</v>
      </c>
      <c r="F6041" s="3">
        <f ca="1">IF(G6041=1,"-",Tabela2[[#This Row],[Dt Venc:]]-TODAY())</f>
        <v>12</v>
      </c>
      <c r="G6041" s="3"/>
      <c r="H6041" s="3"/>
    </row>
    <row r="6042" spans="1:8">
      <c r="A6042" s="3">
        <v>188251</v>
      </c>
      <c r="B6042" s="7" t="s">
        <v>172</v>
      </c>
      <c r="C6042" s="41">
        <v>3371.98</v>
      </c>
      <c r="D6042" s="6">
        <v>45705</v>
      </c>
      <c r="E6042" s="3" t="str">
        <f ca="1">IF(Tabela2[[#This Row],[Dt Venc:]]&gt;TODAY(),"Em Aberto",IF(Tabela2[[#This Row],[D/venc]]="-","Enviado",IF(Tabela2[[#This Row],[Dt Venc:]]=TODAY(),"Vence Hoje","Vencida")))</f>
        <v>Em Aberto</v>
      </c>
      <c r="F6042" s="3">
        <f ca="1">IF(G6042=1,"-",Tabela2[[#This Row],[Dt Venc:]]-TODAY())</f>
        <v>12</v>
      </c>
      <c r="G6042" s="3"/>
      <c r="H6042" s="3"/>
    </row>
    <row r="6043" spans="1:8">
      <c r="A6043" s="3">
        <v>368073</v>
      </c>
      <c r="B6043" s="7" t="s">
        <v>302</v>
      </c>
      <c r="C6043" s="42">
        <v>350.16</v>
      </c>
      <c r="D6043" s="6">
        <v>45705</v>
      </c>
      <c r="E6043" s="3" t="str">
        <f ca="1">IF(Tabela2[[#This Row],[Dt Venc:]]&gt;TODAY(),"Em Aberto",IF(Tabela2[[#This Row],[D/venc]]="-","Enviado",IF(Tabela2[[#This Row],[Dt Venc:]]=TODAY(),"Vence Hoje","Vencida")))</f>
        <v>Em Aberto</v>
      </c>
      <c r="F6043" s="3">
        <f ca="1">IF(G6043=1,"-",Tabela2[[#This Row],[Dt Venc:]]-TODAY())</f>
        <v>12</v>
      </c>
      <c r="G6043" s="3"/>
      <c r="H6043" s="3"/>
    </row>
    <row r="6044" spans="1:8">
      <c r="A6044" s="3">
        <v>368077</v>
      </c>
      <c r="B6044" s="7" t="s">
        <v>302</v>
      </c>
      <c r="C6044" s="42">
        <v>350.16</v>
      </c>
      <c r="D6044" s="6">
        <v>45705</v>
      </c>
      <c r="E6044" s="3" t="str">
        <f ca="1">IF(Tabela2[[#This Row],[Dt Venc:]]&gt;TODAY(),"Em Aberto",IF(Tabela2[[#This Row],[D/venc]]="-","Enviado",IF(Tabela2[[#This Row],[Dt Venc:]]=TODAY(),"Vence Hoje","Vencida")))</f>
        <v>Em Aberto</v>
      </c>
      <c r="F6044" s="3">
        <f ca="1">IF(G6044=1,"-",Tabela2[[#This Row],[Dt Venc:]]-TODAY())</f>
        <v>12</v>
      </c>
      <c r="G6044" s="3"/>
      <c r="H6044" s="3"/>
    </row>
    <row r="6045" spans="1:8">
      <c r="A6045" s="3">
        <v>370551</v>
      </c>
      <c r="B6045" s="7" t="s">
        <v>39</v>
      </c>
      <c r="C6045" s="41">
        <v>238.11</v>
      </c>
      <c r="D6045" s="6">
        <v>45705</v>
      </c>
      <c r="E6045" s="3" t="str">
        <f ca="1">IF(Tabela2[[#This Row],[Dt Venc:]]&gt;TODAY(),"Em Aberto",IF(Tabela2[[#This Row],[D/venc]]="-","Enviado",IF(Tabela2[[#This Row],[Dt Venc:]]=TODAY(),"Vence Hoje","Vencida")))</f>
        <v>Em Aberto</v>
      </c>
      <c r="F6045" s="3">
        <f ca="1">IF(G6045=1,"-",Tabela2[[#This Row],[Dt Venc:]]-TODAY())</f>
        <v>12</v>
      </c>
      <c r="G6045" s="3"/>
      <c r="H6045" s="3"/>
    </row>
    <row r="6046" spans="1:8">
      <c r="A6046" s="3">
        <v>375524</v>
      </c>
      <c r="B6046" s="7" t="s">
        <v>39</v>
      </c>
      <c r="C6046" s="41">
        <v>1099.1199999999999</v>
      </c>
      <c r="D6046" s="6">
        <v>45705</v>
      </c>
      <c r="E6046" s="3" t="str">
        <f ca="1">IF(Tabela2[[#This Row],[Dt Venc:]]&gt;TODAY(),"Em Aberto",IF(Tabela2[[#This Row],[D/venc]]="-","Enviado",IF(Tabela2[[#This Row],[Dt Venc:]]=TODAY(),"Vence Hoje","Vencida")))</f>
        <v>Em Aberto</v>
      </c>
      <c r="F6046" s="3">
        <f ca="1">IF(G6046=1,"-",Tabela2[[#This Row],[Dt Venc:]]-TODAY())</f>
        <v>12</v>
      </c>
      <c r="G6046" s="3"/>
      <c r="H6046" s="3"/>
    </row>
    <row r="6047" spans="1:8">
      <c r="A6047" s="3">
        <v>376931</v>
      </c>
      <c r="B6047" s="7" t="s">
        <v>39</v>
      </c>
      <c r="C6047" s="41">
        <v>528.67999999999995</v>
      </c>
      <c r="D6047" s="6">
        <v>45705</v>
      </c>
      <c r="E6047" s="3" t="str">
        <f ca="1">IF(Tabela2[[#This Row],[Dt Venc:]]&gt;TODAY(),"Em Aberto",IF(Tabela2[[#This Row],[D/venc]]="-","Enviado",IF(Tabela2[[#This Row],[Dt Venc:]]=TODAY(),"Vence Hoje","Vencida")))</f>
        <v>Em Aberto</v>
      </c>
      <c r="F6047" s="3">
        <f ca="1">IF(G6047=1,"-",Tabela2[[#This Row],[Dt Venc:]]-TODAY())</f>
        <v>12</v>
      </c>
      <c r="G6047" s="3"/>
      <c r="H6047" s="3"/>
    </row>
    <row r="6048" spans="1:8">
      <c r="A6048" s="3">
        <v>376985</v>
      </c>
      <c r="B6048" s="7" t="s">
        <v>43</v>
      </c>
      <c r="C6048" s="41">
        <v>1612.02</v>
      </c>
      <c r="D6048" s="6">
        <v>45705</v>
      </c>
      <c r="E6048" s="3" t="str">
        <f ca="1">IF(Tabela2[[#This Row],[Dt Venc:]]&gt;TODAY(),"Em Aberto",IF(Tabela2[[#This Row],[D/venc]]="-","Enviado",IF(Tabela2[[#This Row],[Dt Venc:]]=TODAY(),"Vence Hoje","Vencida")))</f>
        <v>Em Aberto</v>
      </c>
      <c r="F6048" s="3">
        <f ca="1">IF(G6048=1,"-",Tabela2[[#This Row],[Dt Venc:]]-TODAY())</f>
        <v>12</v>
      </c>
      <c r="G6048" s="3"/>
      <c r="H6048" s="3"/>
    </row>
    <row r="6049" spans="1:8">
      <c r="A6049" s="3">
        <v>377019</v>
      </c>
      <c r="B6049" s="7" t="s">
        <v>39</v>
      </c>
      <c r="C6049" s="41">
        <v>305.16000000000003</v>
      </c>
      <c r="D6049" s="6">
        <v>45705</v>
      </c>
      <c r="E6049" s="3" t="str">
        <f ca="1">IF(Tabela2[[#This Row],[Dt Venc:]]&gt;TODAY(),"Em Aberto",IF(Tabela2[[#This Row],[D/venc]]="-","Enviado",IF(Tabela2[[#This Row],[Dt Venc:]]=TODAY(),"Vence Hoje","Vencida")))</f>
        <v>Em Aberto</v>
      </c>
      <c r="F6049" s="3">
        <f ca="1">IF(G6049=1,"-",Tabela2[[#This Row],[Dt Venc:]]-TODAY())</f>
        <v>12</v>
      </c>
      <c r="G6049" s="3"/>
      <c r="H6049" s="3"/>
    </row>
    <row r="6050" spans="1:8">
      <c r="A6050" s="3">
        <v>377066</v>
      </c>
      <c r="B6050" s="7" t="s">
        <v>39</v>
      </c>
      <c r="C6050" s="41">
        <v>528.67999999999995</v>
      </c>
      <c r="D6050" s="6">
        <v>45705</v>
      </c>
      <c r="E6050" s="3" t="str">
        <f ca="1">IF(Tabela2[[#This Row],[Dt Venc:]]&gt;TODAY(),"Em Aberto",IF(Tabela2[[#This Row],[D/venc]]="-","Enviado",IF(Tabela2[[#This Row],[Dt Venc:]]=TODAY(),"Vence Hoje","Vencida")))</f>
        <v>Em Aberto</v>
      </c>
      <c r="F6050" s="3">
        <f ca="1">IF(G6050=1,"-",Tabela2[[#This Row],[Dt Venc:]]-TODAY())</f>
        <v>12</v>
      </c>
      <c r="G6050" s="3"/>
      <c r="H6050" s="3"/>
    </row>
    <row r="6051" spans="1:8">
      <c r="A6051" s="3">
        <v>377068</v>
      </c>
      <c r="B6051" s="7" t="s">
        <v>39</v>
      </c>
      <c r="C6051" s="41">
        <v>981.17</v>
      </c>
      <c r="D6051" s="6">
        <v>45705</v>
      </c>
      <c r="E6051" s="3" t="str">
        <f ca="1">IF(Tabela2[[#This Row],[Dt Venc:]]&gt;TODAY(),"Em Aberto",IF(Tabela2[[#This Row],[D/venc]]="-","Enviado",IF(Tabela2[[#This Row],[Dt Venc:]]=TODAY(),"Vence Hoje","Vencida")))</f>
        <v>Em Aberto</v>
      </c>
      <c r="F6051" s="3">
        <f ca="1">IF(G6051=1,"-",Tabela2[[#This Row],[Dt Venc:]]-TODAY())</f>
        <v>12</v>
      </c>
      <c r="G6051" s="3"/>
      <c r="H6051" s="3"/>
    </row>
    <row r="6052" spans="1:8">
      <c r="A6052" s="3">
        <v>565720</v>
      </c>
      <c r="B6052" s="7" t="s">
        <v>39</v>
      </c>
      <c r="C6052" s="41">
        <v>2448.4699999999998</v>
      </c>
      <c r="D6052" s="6">
        <v>45705</v>
      </c>
      <c r="E6052" s="3" t="str">
        <f ca="1">IF(Tabela2[[#This Row],[Dt Venc:]]&gt;TODAY(),"Em Aberto",IF(Tabela2[[#This Row],[D/venc]]="-","Enviado",IF(Tabela2[[#This Row],[Dt Venc:]]=TODAY(),"Vence Hoje","Vencida")))</f>
        <v>Em Aberto</v>
      </c>
      <c r="F6052" s="3">
        <f ca="1">IF(G6052=1,"-",Tabela2[[#This Row],[Dt Venc:]]-TODAY())</f>
        <v>12</v>
      </c>
      <c r="G6052" s="3"/>
      <c r="H6052" s="3"/>
    </row>
    <row r="6053" spans="1:8">
      <c r="A6053" s="3">
        <v>617963</v>
      </c>
      <c r="B6053" s="7" t="s">
        <v>66</v>
      </c>
      <c r="C6053" s="41">
        <v>2338.75</v>
      </c>
      <c r="D6053" s="6">
        <v>45705</v>
      </c>
      <c r="E6053" s="3" t="str">
        <f ca="1">IF(Tabela2[[#This Row],[Dt Venc:]]&gt;TODAY(),"Em Aberto",IF(Tabela2[[#This Row],[D/venc]]="-","Enviado",IF(Tabela2[[#This Row],[Dt Venc:]]=TODAY(),"Vence Hoje","Vencida")))</f>
        <v>Em Aberto</v>
      </c>
      <c r="F6053" s="3">
        <f ca="1">IF(G6053=1,"-",Tabela2[[#This Row],[Dt Venc:]]-TODAY())</f>
        <v>12</v>
      </c>
      <c r="G6053" s="3"/>
      <c r="H6053" s="3"/>
    </row>
    <row r="6054" spans="1:8">
      <c r="A6054" s="3">
        <v>1415714</v>
      </c>
      <c r="B6054" s="7" t="s">
        <v>151</v>
      </c>
      <c r="C6054" s="41">
        <v>887.8</v>
      </c>
      <c r="D6054" s="6">
        <v>45705</v>
      </c>
      <c r="E6054" s="3" t="str">
        <f ca="1">IF(Tabela2[[#This Row],[Dt Venc:]]&gt;TODAY(),"Em Aberto",IF(Tabela2[[#This Row],[D/venc]]="-","Enviado",IF(Tabela2[[#This Row],[Dt Venc:]]=TODAY(),"Vence Hoje","Vencida")))</f>
        <v>Em Aberto</v>
      </c>
      <c r="F6054" s="3">
        <f ca="1">IF(G6054=1,"-",Tabela2[[#This Row],[Dt Venc:]]-TODAY())</f>
        <v>12</v>
      </c>
      <c r="G6054" s="3"/>
      <c r="H6054" s="3"/>
    </row>
    <row r="6055" spans="1:8">
      <c r="A6055" s="3">
        <v>1428509</v>
      </c>
      <c r="B6055" s="7" t="s">
        <v>151</v>
      </c>
      <c r="C6055" s="41">
        <v>385.14</v>
      </c>
      <c r="D6055" s="6">
        <v>45705</v>
      </c>
      <c r="E6055" s="3" t="str">
        <f ca="1">IF(Tabela2[[#This Row],[Dt Venc:]]&gt;TODAY(),"Em Aberto",IF(Tabela2[[#This Row],[D/venc]]="-","Enviado",IF(Tabela2[[#This Row],[Dt Venc:]]=TODAY(),"Vence Hoje","Vencida")))</f>
        <v>Em Aberto</v>
      </c>
      <c r="F6055" s="3">
        <f ca="1">IF(G6055=1,"-",Tabela2[[#This Row],[Dt Venc:]]-TODAY())</f>
        <v>12</v>
      </c>
      <c r="G6055" s="3"/>
      <c r="H6055" s="3"/>
    </row>
    <row r="6056" spans="1:8">
      <c r="A6056" s="3">
        <v>1428922</v>
      </c>
      <c r="B6056" s="7" t="s">
        <v>151</v>
      </c>
      <c r="C6056" s="41">
        <v>1613.4</v>
      </c>
      <c r="D6056" s="6">
        <v>45705</v>
      </c>
      <c r="E6056" s="3" t="str">
        <f ca="1">IF(Tabela2[[#This Row],[Dt Venc:]]&gt;TODAY(),"Em Aberto",IF(Tabela2[[#This Row],[D/venc]]="-","Enviado",IF(Tabela2[[#This Row],[Dt Venc:]]=TODAY(),"Vence Hoje","Vencida")))</f>
        <v>Em Aberto</v>
      </c>
      <c r="F6056" s="3">
        <f ca="1">IF(G6056=1,"-",Tabela2[[#This Row],[Dt Venc:]]-TODAY())</f>
        <v>12</v>
      </c>
      <c r="G6056" s="3"/>
      <c r="H6056" s="3"/>
    </row>
    <row r="6057" spans="1:8">
      <c r="A6057" s="3">
        <v>448129</v>
      </c>
      <c r="B6057" s="7" t="s">
        <v>59</v>
      </c>
      <c r="C6057" s="41">
        <v>56077</v>
      </c>
      <c r="D6057" s="6">
        <v>45705</v>
      </c>
      <c r="E6057" s="3" t="str">
        <f ca="1">IF(Tabela2[[#This Row],[Dt Venc:]]&gt;TODAY(),"Em Aberto",IF(Tabela2[[#This Row],[D/venc]]="-","Enviado",IF(Tabela2[[#This Row],[Dt Venc:]]=TODAY(),"Vence Hoje","Vencida")))</f>
        <v>Em Aberto</v>
      </c>
      <c r="F6057" s="3">
        <f ca="1">IF(G6057=1,"-",Tabela2[[#This Row],[Dt Venc:]]-TODAY())</f>
        <v>12</v>
      </c>
      <c r="G6057" s="3"/>
      <c r="H6057" s="3"/>
    </row>
    <row r="6058" spans="1:8">
      <c r="A6058" s="3">
        <v>14239</v>
      </c>
      <c r="B6058" s="7" t="s">
        <v>105</v>
      </c>
      <c r="C6058" s="41">
        <v>3625</v>
      </c>
      <c r="D6058" s="6">
        <v>45705</v>
      </c>
      <c r="E6058" s="3" t="str">
        <f ca="1">IF(Tabela2[[#This Row],[Dt Venc:]]&gt;TODAY(),"Em Aberto",IF(Tabela2[[#This Row],[D/venc]]="-","Enviado",IF(Tabela2[[#This Row],[Dt Venc:]]=TODAY(),"Vence Hoje","Vencida")))</f>
        <v>Em Aberto</v>
      </c>
      <c r="F6058" s="3">
        <f ca="1">IF(G6058=1,"-",Tabela2[[#This Row],[Dt Venc:]]-TODAY())</f>
        <v>12</v>
      </c>
      <c r="G6058" s="3"/>
      <c r="H6058" s="3"/>
    </row>
    <row r="6059" spans="1:8">
      <c r="A6059" s="3">
        <v>201708</v>
      </c>
      <c r="B6059" s="7" t="s">
        <v>59</v>
      </c>
      <c r="C6059" s="41">
        <v>115680</v>
      </c>
      <c r="D6059" s="6">
        <v>45705</v>
      </c>
      <c r="E6059" s="3" t="str">
        <f ca="1">IF(Tabela2[[#This Row],[Dt Venc:]]&gt;TODAY(),"Em Aberto",IF(Tabela2[[#This Row],[D/venc]]="-","Enviado",IF(Tabela2[[#This Row],[Dt Venc:]]=TODAY(),"Vence Hoje","Vencida")))</f>
        <v>Em Aberto</v>
      </c>
      <c r="F6059" s="3">
        <f ca="1">IF(G6059=1,"-",Tabela2[[#This Row],[Dt Venc:]]-TODAY())</f>
        <v>12</v>
      </c>
      <c r="G6059" s="3"/>
      <c r="H6059" s="3"/>
    </row>
    <row r="6060" spans="1:8">
      <c r="A6060" s="3">
        <v>2523302</v>
      </c>
      <c r="B6060" s="7" t="s">
        <v>59</v>
      </c>
      <c r="C6060" s="41">
        <v>86041.5</v>
      </c>
      <c r="D6060" s="6">
        <v>45705</v>
      </c>
      <c r="E6060" s="3" t="str">
        <f ca="1">IF(Tabela2[[#This Row],[Dt Venc:]]&gt;TODAY(),"Em Aberto",IF(Tabela2[[#This Row],[D/venc]]="-","Enviado",IF(Tabela2[[#This Row],[Dt Venc:]]=TODAY(),"Vence Hoje","Vencida")))</f>
        <v>Em Aberto</v>
      </c>
      <c r="F6060" s="3">
        <f ca="1">IF(G6060=1,"-",Tabela2[[#This Row],[Dt Venc:]]-TODAY())</f>
        <v>12</v>
      </c>
      <c r="G6060" s="3"/>
      <c r="H6060" s="3"/>
    </row>
    <row r="6061" spans="1:8">
      <c r="A6061" s="3">
        <v>16660</v>
      </c>
      <c r="B6061" s="7" t="s">
        <v>322</v>
      </c>
      <c r="C6061" s="41">
        <v>1133.5</v>
      </c>
      <c r="D6061" s="6">
        <v>45705</v>
      </c>
      <c r="E6061" s="3" t="str">
        <f ca="1">IF(Tabela2[[#This Row],[Dt Venc:]]&gt;TODAY(),"Em Aberto",IF(Tabela2[[#This Row],[D/venc]]="-","Enviado",IF(Tabela2[[#This Row],[Dt Venc:]]=TODAY(),"Vence Hoje","Vencida")))</f>
        <v>Em Aberto</v>
      </c>
      <c r="F6061" s="3">
        <f ca="1">IF(G6061=1,"-",Tabela2[[#This Row],[Dt Venc:]]-TODAY())</f>
        <v>12</v>
      </c>
      <c r="G6061" s="3"/>
      <c r="H6061" s="3"/>
    </row>
    <row r="6062" spans="1:8">
      <c r="A6062" s="3">
        <v>14</v>
      </c>
      <c r="B6062" s="7" t="s">
        <v>705</v>
      </c>
      <c r="C6062" s="41">
        <v>180</v>
      </c>
      <c r="D6062" s="6">
        <v>45706</v>
      </c>
      <c r="E6062" s="3" t="str">
        <f ca="1">IF(Tabela2[[#This Row],[Dt Venc:]]&gt;TODAY(),"Em Aberto",IF(Tabela2[[#This Row],[D/venc]]="-","Enviado",IF(Tabela2[[#This Row],[Dt Venc:]]=TODAY(),"Vence Hoje","Vencida")))</f>
        <v>Em Aberto</v>
      </c>
      <c r="F6062" s="3">
        <f ca="1">IF(G6062=1,"-",Tabela2[[#This Row],[Dt Venc:]]-TODAY())</f>
        <v>13</v>
      </c>
      <c r="G6062" s="3"/>
      <c r="H6062" s="3"/>
    </row>
    <row r="6063" spans="1:8">
      <c r="A6063" s="3">
        <v>33</v>
      </c>
      <c r="B6063" s="7" t="s">
        <v>551</v>
      </c>
      <c r="C6063" s="41">
        <v>1240</v>
      </c>
      <c r="D6063" s="6">
        <v>45706</v>
      </c>
      <c r="E6063" s="3" t="str">
        <f ca="1">IF(Tabela2[[#This Row],[Dt Venc:]]&gt;TODAY(),"Em Aberto",IF(Tabela2[[#This Row],[D/venc]]="-","Enviado",IF(Tabela2[[#This Row],[Dt Venc:]]=TODAY(),"Vence Hoje","Vencida")))</f>
        <v>Em Aberto</v>
      </c>
      <c r="F6063" s="3">
        <f ca="1">IF(G6063=1,"-",Tabela2[[#This Row],[Dt Venc:]]-TODAY())</f>
        <v>13</v>
      </c>
      <c r="G6063" s="3"/>
      <c r="H6063" s="3"/>
    </row>
    <row r="6064" spans="1:8">
      <c r="A6064" s="3">
        <v>46</v>
      </c>
      <c r="B6064" s="7" t="s">
        <v>103</v>
      </c>
      <c r="C6064" s="41">
        <v>1566.66</v>
      </c>
      <c r="D6064" s="6">
        <v>45706</v>
      </c>
      <c r="E6064" s="3" t="str">
        <f ca="1">IF(Tabela2[[#This Row],[Dt Venc:]]&gt;TODAY(),"Em Aberto",IF(Tabela2[[#This Row],[D/venc]]="-","Enviado",IF(Tabela2[[#This Row],[Dt Venc:]]=TODAY(),"Vence Hoje","Vencida")))</f>
        <v>Em Aberto</v>
      </c>
      <c r="F6064" s="3">
        <f ca="1">IF(G6064=1,"-",Tabela2[[#This Row],[Dt Venc:]]-TODAY())</f>
        <v>13</v>
      </c>
      <c r="G6064" s="3"/>
      <c r="H6064" s="3"/>
    </row>
    <row r="6065" spans="1:8">
      <c r="A6065" s="3">
        <v>214</v>
      </c>
      <c r="B6065" s="7" t="s">
        <v>706</v>
      </c>
      <c r="C6065" s="41">
        <v>398</v>
      </c>
      <c r="D6065" s="6">
        <v>45706</v>
      </c>
      <c r="E6065" s="3" t="str">
        <f ca="1">IF(Tabela2[[#This Row],[Dt Venc:]]&gt;TODAY(),"Em Aberto",IF(Tabela2[[#This Row],[D/venc]]="-","Enviado",IF(Tabela2[[#This Row],[Dt Venc:]]=TODAY(),"Vence Hoje","Vencida")))</f>
        <v>Em Aberto</v>
      </c>
      <c r="F6065" s="3">
        <f ca="1">IF(G6065=1,"-",Tabela2[[#This Row],[Dt Venc:]]-TODAY())</f>
        <v>13</v>
      </c>
      <c r="G6065" s="3"/>
      <c r="H6065" s="3"/>
    </row>
    <row r="6066" spans="1:8">
      <c r="A6066" s="3">
        <v>223</v>
      </c>
      <c r="B6066" s="7" t="s">
        <v>640</v>
      </c>
      <c r="C6066" s="41">
        <v>910</v>
      </c>
      <c r="D6066" s="6">
        <v>45706</v>
      </c>
      <c r="E6066" s="3" t="str">
        <f ca="1">IF(Tabela2[[#This Row],[Dt Venc:]]&gt;TODAY(),"Em Aberto",IF(Tabela2[[#This Row],[D/venc]]="-","Enviado",IF(Tabela2[[#This Row],[Dt Venc:]]=TODAY(),"Vence Hoje","Vencida")))</f>
        <v>Em Aberto</v>
      </c>
      <c r="F6066" s="3">
        <f ca="1">IF(G6066=1,"-",Tabela2[[#This Row],[Dt Venc:]]-TODAY())</f>
        <v>13</v>
      </c>
      <c r="G6066" s="3"/>
      <c r="H6066" s="3"/>
    </row>
    <row r="6067" spans="1:8">
      <c r="A6067" s="3">
        <v>1234</v>
      </c>
      <c r="B6067" s="7" t="s">
        <v>155</v>
      </c>
      <c r="C6067" s="41">
        <v>22590</v>
      </c>
      <c r="D6067" s="6">
        <v>45706</v>
      </c>
      <c r="E6067" s="3" t="str">
        <f ca="1">IF(Tabela2[[#This Row],[Dt Venc:]]&gt;TODAY(),"Em Aberto",IF(Tabela2[[#This Row],[D/venc]]="-","Enviado",IF(Tabela2[[#This Row],[Dt Venc:]]=TODAY(),"Vence Hoje","Vencida")))</f>
        <v>Em Aberto</v>
      </c>
      <c r="F6067" s="3">
        <f ca="1">IF(G6067=1,"-",Tabela2[[#This Row],[Dt Venc:]]-TODAY())</f>
        <v>13</v>
      </c>
      <c r="G6067" s="3"/>
      <c r="H6067" s="3"/>
    </row>
    <row r="6068" spans="1:8">
      <c r="A6068" s="3">
        <v>1278</v>
      </c>
      <c r="B6068" s="7" t="s">
        <v>559</v>
      </c>
      <c r="C6068" s="41">
        <v>750</v>
      </c>
      <c r="D6068" s="6">
        <v>45706</v>
      </c>
      <c r="E6068" s="3" t="str">
        <f ca="1">IF(Tabela2[[#This Row],[Dt Venc:]]&gt;TODAY(),"Em Aberto",IF(Tabela2[[#This Row],[D/venc]]="-","Enviado",IF(Tabela2[[#This Row],[Dt Venc:]]=TODAY(),"Vence Hoje","Vencida")))</f>
        <v>Em Aberto</v>
      </c>
      <c r="F6068" s="3">
        <f ca="1">IF(G6068=1,"-",Tabela2[[#This Row],[Dt Venc:]]-TODAY())</f>
        <v>13</v>
      </c>
      <c r="G6068" s="3"/>
      <c r="H6068" s="3"/>
    </row>
    <row r="6069" spans="1:8">
      <c r="A6069" s="3">
        <v>1958</v>
      </c>
      <c r="B6069" s="7" t="s">
        <v>637</v>
      </c>
      <c r="C6069" s="41">
        <v>517.5</v>
      </c>
      <c r="D6069" s="6">
        <v>45706</v>
      </c>
      <c r="E6069" s="3" t="str">
        <f ca="1">IF(Tabela2[[#This Row],[Dt Venc:]]&gt;TODAY(),"Em Aberto",IF(Tabela2[[#This Row],[D/venc]]="-","Enviado",IF(Tabela2[[#This Row],[Dt Venc:]]=TODAY(),"Vence Hoje","Vencida")))</f>
        <v>Em Aberto</v>
      </c>
      <c r="F6069" s="3">
        <f ca="1">IF(G6069=1,"-",Tabela2[[#This Row],[Dt Venc:]]-TODAY())</f>
        <v>13</v>
      </c>
      <c r="G6069" s="3"/>
      <c r="H6069" s="3"/>
    </row>
    <row r="6070" spans="1:8">
      <c r="A6070" s="3">
        <v>4736</v>
      </c>
      <c r="B6070" s="7" t="s">
        <v>707</v>
      </c>
      <c r="C6070" s="41">
        <v>405.99</v>
      </c>
      <c r="D6070" s="6">
        <v>45706</v>
      </c>
      <c r="E6070" s="3" t="str">
        <f ca="1">IF(Tabela2[[#This Row],[Dt Venc:]]&gt;TODAY(),"Em Aberto",IF(Tabela2[[#This Row],[D/venc]]="-","Enviado",IF(Tabela2[[#This Row],[Dt Venc:]]=TODAY(),"Vence Hoje","Vencida")))</f>
        <v>Em Aberto</v>
      </c>
      <c r="F6070" s="3">
        <f ca="1">IF(G6070=1,"-",Tabela2[[#This Row],[Dt Venc:]]-TODAY())</f>
        <v>13</v>
      </c>
      <c r="G6070" s="3"/>
      <c r="H6070" s="3"/>
    </row>
    <row r="6071" spans="1:8">
      <c r="A6071" s="3">
        <v>6185</v>
      </c>
      <c r="B6071" s="7" t="s">
        <v>140</v>
      </c>
      <c r="C6071" s="41">
        <v>1529</v>
      </c>
      <c r="D6071" s="6">
        <v>45706</v>
      </c>
      <c r="E6071" s="3" t="str">
        <f ca="1">IF(Tabela2[[#This Row],[Dt Venc:]]&gt;TODAY(),"Em Aberto",IF(Tabela2[[#This Row],[D/venc]]="-","Enviado",IF(Tabela2[[#This Row],[Dt Venc:]]=TODAY(),"Vence Hoje","Vencida")))</f>
        <v>Em Aberto</v>
      </c>
      <c r="F6071" s="3">
        <f ca="1">IF(G6071=1,"-",Tabela2[[#This Row],[Dt Venc:]]-TODAY())</f>
        <v>13</v>
      </c>
      <c r="G6071" s="3"/>
      <c r="H6071" s="3"/>
    </row>
    <row r="6072" spans="1:8">
      <c r="A6072" s="3">
        <v>6301</v>
      </c>
      <c r="B6072" s="7" t="s">
        <v>581</v>
      </c>
      <c r="C6072" s="41">
        <v>578.53</v>
      </c>
      <c r="D6072" s="6">
        <v>45706</v>
      </c>
      <c r="E6072" s="3" t="str">
        <f ca="1">IF(Tabela2[[#This Row],[Dt Venc:]]&gt;TODAY(),"Em Aberto",IF(Tabela2[[#This Row],[D/venc]]="-","Enviado",IF(Tabela2[[#This Row],[Dt Venc:]]=TODAY(),"Vence Hoje","Vencida")))</f>
        <v>Em Aberto</v>
      </c>
      <c r="F6072" s="3">
        <f ca="1">IF(G6072=1,"-",Tabela2[[#This Row],[Dt Venc:]]-TODAY())</f>
        <v>13</v>
      </c>
      <c r="G6072" s="3"/>
      <c r="H6072" s="3"/>
    </row>
    <row r="6073" spans="1:8">
      <c r="A6073" s="3">
        <v>8144</v>
      </c>
      <c r="B6073" s="7" t="s">
        <v>43</v>
      </c>
      <c r="C6073" s="41">
        <v>582.4</v>
      </c>
      <c r="D6073" s="6">
        <v>45706</v>
      </c>
      <c r="E6073" s="3" t="str">
        <f ca="1">IF(Tabela2[[#This Row],[Dt Venc:]]&gt;TODAY(),"Em Aberto",IF(Tabela2[[#This Row],[D/venc]]="-","Enviado",IF(Tabela2[[#This Row],[Dt Venc:]]=TODAY(),"Vence Hoje","Vencida")))</f>
        <v>Em Aberto</v>
      </c>
      <c r="F6073" s="3">
        <f ca="1">IF(G6073=1,"-",Tabela2[[#This Row],[Dt Venc:]]-TODAY())</f>
        <v>13</v>
      </c>
      <c r="G6073" s="3"/>
      <c r="H6073" s="3"/>
    </row>
    <row r="6074" spans="1:8">
      <c r="A6074" s="3">
        <v>11139</v>
      </c>
      <c r="B6074" s="7" t="s">
        <v>33</v>
      </c>
      <c r="C6074" s="41">
        <v>800</v>
      </c>
      <c r="D6074" s="6">
        <v>45706</v>
      </c>
      <c r="E6074" s="3" t="str">
        <f ca="1">IF(Tabela2[[#This Row],[Dt Venc:]]&gt;TODAY(),"Em Aberto",IF(Tabela2[[#This Row],[D/venc]]="-","Enviado",IF(Tabela2[[#This Row],[Dt Venc:]]=TODAY(),"Vence Hoje","Vencida")))</f>
        <v>Em Aberto</v>
      </c>
      <c r="F6074" s="3">
        <f ca="1">IF(G6074=1,"-",Tabela2[[#This Row],[Dt Venc:]]-TODAY())</f>
        <v>13</v>
      </c>
      <c r="G6074" s="3"/>
      <c r="H6074" s="3"/>
    </row>
    <row r="6075" spans="1:8">
      <c r="A6075" s="3">
        <v>11142</v>
      </c>
      <c r="B6075" s="7" t="s">
        <v>33</v>
      </c>
      <c r="C6075" s="41">
        <v>1900</v>
      </c>
      <c r="D6075" s="6">
        <v>45706</v>
      </c>
      <c r="E6075" s="3" t="str">
        <f ca="1">IF(Tabela2[[#This Row],[Dt Venc:]]&gt;TODAY(),"Em Aberto",IF(Tabela2[[#This Row],[D/venc]]="-","Enviado",IF(Tabela2[[#This Row],[Dt Venc:]]=TODAY(),"Vence Hoje","Vencida")))</f>
        <v>Em Aberto</v>
      </c>
      <c r="F6075" s="3">
        <f ca="1">IF(G6075=1,"-",Tabela2[[#This Row],[Dt Venc:]]-TODAY())</f>
        <v>13</v>
      </c>
      <c r="G6075" s="3"/>
      <c r="H6075" s="3"/>
    </row>
    <row r="6076" spans="1:8">
      <c r="A6076" s="3">
        <v>11259</v>
      </c>
      <c r="B6076" s="7" t="s">
        <v>33</v>
      </c>
      <c r="C6076" s="41">
        <v>1411.66</v>
      </c>
      <c r="D6076" s="6">
        <v>45706</v>
      </c>
      <c r="E6076" s="3" t="str">
        <f ca="1">IF(Tabela2[[#This Row],[Dt Venc:]]&gt;TODAY(),"Em Aberto",IF(Tabela2[[#This Row],[D/venc]]="-","Enviado",IF(Tabela2[[#This Row],[Dt Venc:]]=TODAY(),"Vence Hoje","Vencida")))</f>
        <v>Em Aberto</v>
      </c>
      <c r="F6076" s="3">
        <f ca="1">IF(G6076=1,"-",Tabela2[[#This Row],[Dt Venc:]]-TODAY())</f>
        <v>13</v>
      </c>
      <c r="G6076" s="3"/>
      <c r="H6076" s="3"/>
    </row>
    <row r="6077" spans="1:8">
      <c r="A6077" s="3">
        <v>15393</v>
      </c>
      <c r="B6077" s="7" t="s">
        <v>99</v>
      </c>
      <c r="C6077" s="41">
        <v>1062.5</v>
      </c>
      <c r="D6077" s="6">
        <v>45706</v>
      </c>
      <c r="E6077" s="3" t="str">
        <f ca="1">IF(Tabela2[[#This Row],[Dt Venc:]]&gt;TODAY(),"Em Aberto",IF(Tabela2[[#This Row],[D/venc]]="-","Enviado",IF(Tabela2[[#This Row],[Dt Venc:]]=TODAY(),"Vence Hoje","Vencida")))</f>
        <v>Em Aberto</v>
      </c>
      <c r="F6077" s="3">
        <f ca="1">IF(G6077=1,"-",Tabela2[[#This Row],[Dt Venc:]]-TODAY())</f>
        <v>13</v>
      </c>
      <c r="G6077" s="3"/>
      <c r="H6077" s="3"/>
    </row>
    <row r="6078" spans="1:8">
      <c r="A6078" s="3">
        <v>30001</v>
      </c>
      <c r="B6078" s="7" t="s">
        <v>107</v>
      </c>
      <c r="C6078" s="42">
        <v>3358</v>
      </c>
      <c r="D6078" s="6">
        <v>45706</v>
      </c>
      <c r="E6078" s="3" t="str">
        <f ca="1">IF(Tabela2[[#This Row],[Dt Venc:]]&gt;TODAY(),"Em Aberto",IF(Tabela2[[#This Row],[D/venc]]="-","Enviado",IF(Tabela2[[#This Row],[Dt Venc:]]=TODAY(),"Vence Hoje","Vencida")))</f>
        <v>Em Aberto</v>
      </c>
      <c r="F6078" s="3">
        <f ca="1">IF(G6078=1,"-",Tabela2[[#This Row],[Dt Venc:]]-TODAY())</f>
        <v>13</v>
      </c>
      <c r="G6078" s="3"/>
      <c r="H6078" s="3"/>
    </row>
    <row r="6079" spans="1:8">
      <c r="A6079" s="3">
        <v>31251</v>
      </c>
      <c r="B6079" s="7" t="s">
        <v>97</v>
      </c>
      <c r="C6079" s="41">
        <v>857</v>
      </c>
      <c r="D6079" s="6">
        <v>45706</v>
      </c>
      <c r="E6079" s="3" t="str">
        <f ca="1">IF(Tabela2[[#This Row],[Dt Venc:]]&gt;TODAY(),"Em Aberto",IF(Tabela2[[#This Row],[D/venc]]="-","Enviado",IF(Tabela2[[#This Row],[Dt Venc:]]=TODAY(),"Vence Hoje","Vencida")))</f>
        <v>Em Aberto</v>
      </c>
      <c r="F6079" s="3">
        <f ca="1">IF(G6079=1,"-",Tabela2[[#This Row],[Dt Venc:]]-TODAY())</f>
        <v>13</v>
      </c>
      <c r="G6079" s="3"/>
      <c r="H6079" s="3"/>
    </row>
    <row r="6080" spans="1:8">
      <c r="A6080" s="3">
        <v>46441</v>
      </c>
      <c r="B6080" s="7" t="s">
        <v>527</v>
      </c>
      <c r="C6080" s="41">
        <v>894.28</v>
      </c>
      <c r="D6080" s="6">
        <v>45706</v>
      </c>
      <c r="E6080" s="3" t="str">
        <f ca="1">IF(Tabela2[[#This Row],[Dt Venc:]]&gt;TODAY(),"Em Aberto",IF(Tabela2[[#This Row],[D/venc]]="-","Enviado",IF(Tabela2[[#This Row],[Dt Venc:]]=TODAY(),"Vence Hoje","Vencida")))</f>
        <v>Em Aberto</v>
      </c>
      <c r="F6080" s="3">
        <f ca="1">IF(G6080=1,"-",Tabela2[[#This Row],[Dt Venc:]]-TODAY())</f>
        <v>13</v>
      </c>
      <c r="G6080" s="3"/>
      <c r="H6080" s="3"/>
    </row>
    <row r="6081" spans="1:8">
      <c r="A6081" s="3">
        <v>73715</v>
      </c>
      <c r="B6081" s="7" t="s">
        <v>333</v>
      </c>
      <c r="C6081" s="41">
        <v>718.67</v>
      </c>
      <c r="D6081" s="6">
        <v>45706</v>
      </c>
      <c r="E6081" s="3" t="str">
        <f ca="1">IF(Tabela2[[#This Row],[Dt Venc:]]&gt;TODAY(),"Em Aberto",IF(Tabela2[[#This Row],[D/venc]]="-","Enviado",IF(Tabela2[[#This Row],[Dt Venc:]]=TODAY(),"Vence Hoje","Vencida")))</f>
        <v>Em Aberto</v>
      </c>
      <c r="F6081" s="3">
        <f ca="1">IF(G6081=1,"-",Tabela2[[#This Row],[Dt Venc:]]-TODAY())</f>
        <v>13</v>
      </c>
      <c r="G6081" s="3"/>
      <c r="H6081" s="3"/>
    </row>
    <row r="6082" spans="1:8">
      <c r="A6082" s="3">
        <v>73715</v>
      </c>
      <c r="B6082" s="7" t="s">
        <v>333</v>
      </c>
      <c r="C6082" s="41">
        <v>718.67</v>
      </c>
      <c r="D6082" s="6">
        <v>45706</v>
      </c>
      <c r="E6082" s="3" t="str">
        <f ca="1">IF(Tabela2[[#This Row],[Dt Venc:]]&gt;TODAY(),"Em Aberto",IF(Tabela2[[#This Row],[D/venc]]="-","Enviado",IF(Tabela2[[#This Row],[Dt Venc:]]=TODAY(),"Vence Hoje","Vencida")))</f>
        <v>Em Aberto</v>
      </c>
      <c r="F6082" s="3">
        <f ca="1">IF(G6082=1,"-",Tabela2[[#This Row],[Dt Venc:]]-TODAY())</f>
        <v>13</v>
      </c>
      <c r="G6082" s="3"/>
      <c r="H6082" s="3"/>
    </row>
    <row r="6083" spans="1:8">
      <c r="A6083" s="3">
        <v>237189</v>
      </c>
      <c r="B6083" s="7" t="s">
        <v>40</v>
      </c>
      <c r="C6083" s="41">
        <v>980</v>
      </c>
      <c r="D6083" s="6">
        <v>45706</v>
      </c>
      <c r="E6083" s="3" t="str">
        <f ca="1">IF(Tabela2[[#This Row],[Dt Venc:]]&gt;TODAY(),"Em Aberto",IF(Tabela2[[#This Row],[D/venc]]="-","Enviado",IF(Tabela2[[#This Row],[Dt Venc:]]=TODAY(),"Vence Hoje","Vencida")))</f>
        <v>Em Aberto</v>
      </c>
      <c r="F6083" s="3">
        <f ca="1">IF(G6083=1,"-",Tabela2[[#This Row],[Dt Venc:]]-TODAY())</f>
        <v>13</v>
      </c>
      <c r="G6083" s="3"/>
      <c r="H6083" s="3"/>
    </row>
    <row r="6084" spans="1:8">
      <c r="A6084" s="3">
        <v>237190</v>
      </c>
      <c r="B6084" s="7" t="s">
        <v>40</v>
      </c>
      <c r="C6084" s="41">
        <v>653.34</v>
      </c>
      <c r="D6084" s="6">
        <v>45706</v>
      </c>
      <c r="E6084" s="3" t="str">
        <f ca="1">IF(Tabela2[[#This Row],[Dt Venc:]]&gt;TODAY(),"Em Aberto",IF(Tabela2[[#This Row],[D/venc]]="-","Enviado",IF(Tabela2[[#This Row],[Dt Venc:]]=TODAY(),"Vence Hoje","Vencida")))</f>
        <v>Em Aberto</v>
      </c>
      <c r="F6084" s="3">
        <f ca="1">IF(G6084=1,"-",Tabela2[[#This Row],[Dt Venc:]]-TODAY())</f>
        <v>13</v>
      </c>
      <c r="G6084" s="3"/>
      <c r="H6084" s="3"/>
    </row>
    <row r="6085" spans="1:8">
      <c r="A6085" s="3">
        <v>258553</v>
      </c>
      <c r="B6085" s="7" t="s">
        <v>43</v>
      </c>
      <c r="C6085" s="41">
        <v>664</v>
      </c>
      <c r="D6085" s="6">
        <v>45706</v>
      </c>
      <c r="E6085" s="3" t="str">
        <f ca="1">IF(Tabela2[[#This Row],[Dt Venc:]]&gt;TODAY(),"Em Aberto",IF(Tabela2[[#This Row],[D/venc]]="-","Enviado",IF(Tabela2[[#This Row],[Dt Venc:]]=TODAY(),"Vence Hoje","Vencida")))</f>
        <v>Em Aberto</v>
      </c>
      <c r="F6085" s="3">
        <f ca="1">IF(G6085=1,"-",Tabela2[[#This Row],[Dt Venc:]]-TODAY())</f>
        <v>13</v>
      </c>
      <c r="G6085" s="3"/>
      <c r="H6085" s="3"/>
    </row>
    <row r="6086" spans="1:8">
      <c r="A6086" s="3">
        <v>259441</v>
      </c>
      <c r="B6086" s="7" t="s">
        <v>49</v>
      </c>
      <c r="C6086" s="41">
        <v>1716.66</v>
      </c>
      <c r="D6086" s="6">
        <v>45706</v>
      </c>
      <c r="E6086" s="3" t="str">
        <f ca="1">IF(Tabela2[[#This Row],[Dt Venc:]]&gt;TODAY(),"Em Aberto",IF(Tabela2[[#This Row],[D/venc]]="-","Enviado",IF(Tabela2[[#This Row],[Dt Venc:]]=TODAY(),"Vence Hoje","Vencida")))</f>
        <v>Em Aberto</v>
      </c>
      <c r="F6086" s="3">
        <f ca="1">IF(G6086=1,"-",Tabela2[[#This Row],[Dt Venc:]]-TODAY())</f>
        <v>13</v>
      </c>
      <c r="G6086" s="3"/>
      <c r="H6086" s="3"/>
    </row>
    <row r="6087" spans="1:8">
      <c r="A6087" s="3">
        <v>259691</v>
      </c>
      <c r="B6087" s="7" t="s">
        <v>326</v>
      </c>
      <c r="C6087" s="41">
        <v>1716.66</v>
      </c>
      <c r="D6087" s="6">
        <v>45706</v>
      </c>
      <c r="E6087" s="3" t="str">
        <f ca="1">IF(Tabela2[[#This Row],[Dt Venc:]]&gt;TODAY(),"Em Aberto",IF(Tabela2[[#This Row],[D/venc]]="-","Enviado",IF(Tabela2[[#This Row],[Dt Venc:]]=TODAY(),"Vence Hoje","Vencida")))</f>
        <v>Em Aberto</v>
      </c>
      <c r="F6087" s="3">
        <f ca="1">IF(G6087=1,"-",Tabela2[[#This Row],[Dt Venc:]]-TODAY())</f>
        <v>13</v>
      </c>
      <c r="G6087" s="3"/>
      <c r="H6087" s="3"/>
    </row>
    <row r="6088" spans="1:8">
      <c r="A6088" s="3">
        <v>259949</v>
      </c>
      <c r="B6088" s="7" t="s">
        <v>49</v>
      </c>
      <c r="C6088" s="41">
        <v>1716.66</v>
      </c>
      <c r="D6088" s="6">
        <v>45706</v>
      </c>
      <c r="E6088" s="3" t="str">
        <f ca="1">IF(Tabela2[[#This Row],[Dt Venc:]]&gt;TODAY(),"Em Aberto",IF(Tabela2[[#This Row],[D/venc]]="-","Enviado",IF(Tabela2[[#This Row],[Dt Venc:]]=TODAY(),"Vence Hoje","Vencida")))</f>
        <v>Em Aberto</v>
      </c>
      <c r="F6088" s="3">
        <f ca="1">IF(G6088=1,"-",Tabela2[[#This Row],[Dt Venc:]]-TODAY())</f>
        <v>13</v>
      </c>
      <c r="G6088" s="3"/>
      <c r="H6088" s="3"/>
    </row>
    <row r="6089" spans="1:8">
      <c r="A6089" s="3">
        <v>282081</v>
      </c>
      <c r="B6089" s="7" t="s">
        <v>43</v>
      </c>
      <c r="C6089" s="41">
        <v>1667.98</v>
      </c>
      <c r="D6089" s="6">
        <v>45706</v>
      </c>
      <c r="E6089" s="3" t="str">
        <f ca="1">IF(Tabela2[[#This Row],[Dt Venc:]]&gt;TODAY(),"Em Aberto",IF(Tabela2[[#This Row],[D/venc]]="-","Enviado",IF(Tabela2[[#This Row],[Dt Venc:]]=TODAY(),"Vence Hoje","Vencida")))</f>
        <v>Em Aberto</v>
      </c>
      <c r="F6089" s="3">
        <f ca="1">IF(G6089=1,"-",Tabela2[[#This Row],[Dt Venc:]]-TODAY())</f>
        <v>13</v>
      </c>
      <c r="G6089" s="3"/>
      <c r="H6089" s="3"/>
    </row>
    <row r="6090" spans="1:8">
      <c r="A6090" s="3">
        <v>282094</v>
      </c>
      <c r="B6090" s="7" t="s">
        <v>43</v>
      </c>
      <c r="C6090" s="41">
        <v>1433.31</v>
      </c>
      <c r="D6090" s="6">
        <v>45706</v>
      </c>
      <c r="E6090" s="3" t="str">
        <f ca="1">IF(Tabela2[[#This Row],[Dt Venc:]]&gt;TODAY(),"Em Aberto",IF(Tabela2[[#This Row],[D/venc]]="-","Enviado",IF(Tabela2[[#This Row],[Dt Venc:]]=TODAY(),"Vence Hoje","Vencida")))</f>
        <v>Em Aberto</v>
      </c>
      <c r="F6090" s="3">
        <f ca="1">IF(G6090=1,"-",Tabela2[[#This Row],[Dt Venc:]]-TODAY())</f>
        <v>13</v>
      </c>
      <c r="G6090" s="3"/>
      <c r="H6090" s="3"/>
    </row>
    <row r="6091" spans="1:8">
      <c r="A6091" s="3">
        <v>282095</v>
      </c>
      <c r="B6091" s="7" t="s">
        <v>43</v>
      </c>
      <c r="C6091" s="41">
        <v>1282.76</v>
      </c>
      <c r="D6091" s="6">
        <v>45706</v>
      </c>
      <c r="E6091" s="3" t="str">
        <f ca="1">IF(Tabela2[[#This Row],[Dt Venc:]]&gt;TODAY(),"Em Aberto",IF(Tabela2[[#This Row],[D/venc]]="-","Enviado",IF(Tabela2[[#This Row],[Dt Venc:]]=TODAY(),"Vence Hoje","Vencida")))</f>
        <v>Em Aberto</v>
      </c>
      <c r="F6091" s="3">
        <f ca="1">IF(G6091=1,"-",Tabela2[[#This Row],[Dt Venc:]]-TODAY())</f>
        <v>13</v>
      </c>
      <c r="G6091" s="3"/>
      <c r="H6091" s="3"/>
    </row>
    <row r="6092" spans="1:8">
      <c r="A6092" s="3">
        <v>300771</v>
      </c>
      <c r="B6092" s="7" t="s">
        <v>79</v>
      </c>
      <c r="C6092" s="41">
        <v>752.24</v>
      </c>
      <c r="D6092" s="6">
        <v>45706</v>
      </c>
      <c r="E6092" s="3" t="str">
        <f ca="1">IF(Tabela2[[#This Row],[Dt Venc:]]&gt;TODAY(),"Em Aberto",IF(Tabela2[[#This Row],[D/venc]]="-","Enviado",IF(Tabela2[[#This Row],[Dt Venc:]]=TODAY(),"Vence Hoje","Vencida")))</f>
        <v>Em Aberto</v>
      </c>
      <c r="F6092" s="3">
        <f ca="1">IF(G6092=1,"-",Tabela2[[#This Row],[Dt Venc:]]-TODAY())</f>
        <v>13</v>
      </c>
      <c r="G6092" s="3"/>
      <c r="H6092" s="3"/>
    </row>
    <row r="6093" spans="1:8">
      <c r="A6093" s="3">
        <v>306510</v>
      </c>
      <c r="B6093" s="7" t="s">
        <v>506</v>
      </c>
      <c r="C6093" s="41">
        <v>1369.34</v>
      </c>
      <c r="D6093" s="6">
        <v>45706</v>
      </c>
      <c r="E6093" s="3" t="str">
        <f ca="1">IF(Tabela2[[#This Row],[Dt Venc:]]&gt;TODAY(),"Em Aberto",IF(Tabela2[[#This Row],[D/venc]]="-","Enviado",IF(Tabela2[[#This Row],[Dt Venc:]]=TODAY(),"Vence Hoje","Vencida")))</f>
        <v>Em Aberto</v>
      </c>
      <c r="F6093" s="3">
        <f ca="1">IF(G6093=1,"-",Tabela2[[#This Row],[Dt Venc:]]-TODAY())</f>
        <v>13</v>
      </c>
      <c r="G6093" s="3"/>
      <c r="H6093" s="3"/>
    </row>
    <row r="6094" spans="1:8">
      <c r="A6094" s="3">
        <v>375591</v>
      </c>
      <c r="B6094" s="7" t="s">
        <v>39</v>
      </c>
      <c r="C6094" s="41">
        <v>680.6</v>
      </c>
      <c r="D6094" s="6">
        <v>45706</v>
      </c>
      <c r="E6094" s="3" t="str">
        <f ca="1">IF(Tabela2[[#This Row],[Dt Venc:]]&gt;TODAY(),"Em Aberto",IF(Tabela2[[#This Row],[D/venc]]="-","Enviado",IF(Tabela2[[#This Row],[Dt Venc:]]=TODAY(),"Vence Hoje","Vencida")))</f>
        <v>Em Aberto</v>
      </c>
      <c r="F6094" s="3">
        <f ca="1">IF(G6094=1,"-",Tabela2[[#This Row],[Dt Venc:]]-TODAY())</f>
        <v>13</v>
      </c>
      <c r="G6094" s="3"/>
      <c r="H6094" s="3"/>
    </row>
    <row r="6095" spans="1:8">
      <c r="A6095" s="3">
        <v>625431</v>
      </c>
      <c r="B6095" s="7" t="s">
        <v>66</v>
      </c>
      <c r="C6095" s="41">
        <v>964</v>
      </c>
      <c r="D6095" s="6">
        <v>45706</v>
      </c>
      <c r="E6095" s="3" t="str">
        <f ca="1">IF(Tabela2[[#This Row],[Dt Venc:]]&gt;TODAY(),"Em Aberto",IF(Tabela2[[#This Row],[D/venc]]="-","Enviado",IF(Tabela2[[#This Row],[Dt Venc:]]=TODAY(),"Vence Hoje","Vencida")))</f>
        <v>Em Aberto</v>
      </c>
      <c r="F6095" s="3">
        <f ca="1">IF(G6095=1,"-",Tabela2[[#This Row],[Dt Venc:]]-TODAY())</f>
        <v>13</v>
      </c>
      <c r="G6095" s="3"/>
      <c r="H6095" s="3"/>
    </row>
    <row r="6096" spans="1:8">
      <c r="A6096" s="3">
        <v>5207</v>
      </c>
      <c r="B6096" s="7" t="s">
        <v>463</v>
      </c>
      <c r="C6096" s="41">
        <v>923.75</v>
      </c>
      <c r="D6096" s="6">
        <v>45706</v>
      </c>
      <c r="E6096" s="3" t="str">
        <f ca="1">IF(Tabela2[[#This Row],[Dt Venc:]]&gt;TODAY(),"Em Aberto",IF(Tabela2[[#This Row],[D/venc]]="-","Enviado",IF(Tabela2[[#This Row],[Dt Venc:]]=TODAY(),"Vence Hoje","Vencida")))</f>
        <v>Em Aberto</v>
      </c>
      <c r="F6096" s="3">
        <f ca="1">IF(G6096=1,"-",Tabela2[[#This Row],[Dt Venc:]]-TODAY())</f>
        <v>13</v>
      </c>
      <c r="G6096" s="3"/>
      <c r="H6096" s="3"/>
    </row>
    <row r="6097" spans="1:8">
      <c r="A6097" s="3">
        <v>2296428</v>
      </c>
      <c r="B6097" s="7" t="s">
        <v>59</v>
      </c>
      <c r="C6097" s="41">
        <v>58498</v>
      </c>
      <c r="D6097" s="6">
        <v>45706</v>
      </c>
      <c r="E6097" s="3" t="str">
        <f ca="1">IF(Tabela2[[#This Row],[Dt Venc:]]&gt;TODAY(),"Em Aberto",IF(Tabela2[[#This Row],[D/venc]]="-","Enviado",IF(Tabela2[[#This Row],[Dt Venc:]]=TODAY(),"Vence Hoje","Vencida")))</f>
        <v>Em Aberto</v>
      </c>
      <c r="F6097" s="3">
        <f ca="1">IF(G6097=1,"-",Tabela2[[#This Row],[Dt Venc:]]-TODAY())</f>
        <v>13</v>
      </c>
      <c r="G6097" s="3"/>
      <c r="H6097" s="3"/>
    </row>
    <row r="6098" spans="1:8">
      <c r="A6098" s="3">
        <v>65</v>
      </c>
      <c r="B6098" s="7" t="s">
        <v>132</v>
      </c>
      <c r="C6098" s="41">
        <v>480</v>
      </c>
      <c r="D6098" s="6">
        <v>45707</v>
      </c>
      <c r="E6098" s="3" t="str">
        <f ca="1">IF(Tabela2[[#This Row],[Dt Venc:]]&gt;TODAY(),"Em Aberto",IF(Tabela2[[#This Row],[D/venc]]="-","Enviado",IF(Tabela2[[#This Row],[Dt Venc:]]=TODAY(),"Vence Hoje","Vencida")))</f>
        <v>Em Aberto</v>
      </c>
      <c r="F6098" s="3">
        <f ca="1">IF(G6098=1,"-",Tabela2[[#This Row],[Dt Venc:]]-TODAY())</f>
        <v>14</v>
      </c>
      <c r="G6098" s="3"/>
      <c r="H6098" s="3"/>
    </row>
    <row r="6099" spans="1:8">
      <c r="A6099" s="3">
        <v>1367</v>
      </c>
      <c r="B6099" s="7" t="s">
        <v>360</v>
      </c>
      <c r="C6099" s="41">
        <v>1043.3399999999999</v>
      </c>
      <c r="D6099" s="6">
        <v>45707</v>
      </c>
      <c r="E6099" s="3" t="str">
        <f ca="1">IF(Tabela2[[#This Row],[Dt Venc:]]&gt;TODAY(),"Em Aberto",IF(Tabela2[[#This Row],[D/venc]]="-","Enviado",IF(Tabela2[[#This Row],[Dt Venc:]]=TODAY(),"Vence Hoje","Vencida")))</f>
        <v>Em Aberto</v>
      </c>
      <c r="F6099" s="3">
        <f ca="1">IF(G6099=1,"-",Tabela2[[#This Row],[Dt Venc:]]-TODAY())</f>
        <v>14</v>
      </c>
      <c r="G6099" s="3"/>
      <c r="H6099" s="3"/>
    </row>
    <row r="6100" spans="1:8">
      <c r="A6100" s="3">
        <v>1805</v>
      </c>
      <c r="B6100" s="7" t="s">
        <v>560</v>
      </c>
      <c r="C6100" s="41">
        <v>439</v>
      </c>
      <c r="D6100" s="6">
        <v>45707</v>
      </c>
      <c r="E6100" s="3" t="str">
        <f ca="1">IF(Tabela2[[#This Row],[Dt Venc:]]&gt;TODAY(),"Em Aberto",IF(Tabela2[[#This Row],[D/venc]]="-","Enviado",IF(Tabela2[[#This Row],[Dt Venc:]]=TODAY(),"Vence Hoje","Vencida")))</f>
        <v>Em Aberto</v>
      </c>
      <c r="F6100" s="3">
        <f ca="1">IF(G6100=1,"-",Tabela2[[#This Row],[Dt Venc:]]-TODAY())</f>
        <v>14</v>
      </c>
      <c r="G6100" s="3"/>
      <c r="H6100" s="3"/>
    </row>
    <row r="6101" spans="1:8">
      <c r="A6101" s="3">
        <v>2011</v>
      </c>
      <c r="B6101" s="7" t="s">
        <v>507</v>
      </c>
      <c r="C6101" s="41">
        <v>6563.5</v>
      </c>
      <c r="D6101" s="6">
        <v>45707</v>
      </c>
      <c r="E6101" s="3" t="str">
        <f ca="1">IF(Tabela2[[#This Row],[Dt Venc:]]&gt;TODAY(),"Em Aberto",IF(Tabela2[[#This Row],[D/venc]]="-","Enviado",IF(Tabela2[[#This Row],[Dt Venc:]]=TODAY(),"Vence Hoje","Vencida")))</f>
        <v>Em Aberto</v>
      </c>
      <c r="F6101" s="3">
        <f ca="1">IF(G6101=1,"-",Tabela2[[#This Row],[Dt Venc:]]-TODAY())</f>
        <v>14</v>
      </c>
      <c r="G6101" s="3"/>
      <c r="H6101" s="3"/>
    </row>
    <row r="6102" spans="1:8">
      <c r="A6102" s="3">
        <v>2980</v>
      </c>
      <c r="B6102" s="7" t="s">
        <v>58</v>
      </c>
      <c r="C6102" s="41">
        <v>600</v>
      </c>
      <c r="D6102" s="6">
        <v>45707</v>
      </c>
      <c r="E6102" s="3" t="str">
        <f ca="1">IF(Tabela2[[#This Row],[Dt Venc:]]&gt;TODAY(),"Em Aberto",IF(Tabela2[[#This Row],[D/venc]]="-","Enviado",IF(Tabela2[[#This Row],[Dt Venc:]]=TODAY(),"Vence Hoje","Vencida")))</f>
        <v>Em Aberto</v>
      </c>
      <c r="F6102" s="3">
        <f ca="1">IF(G6102=1,"-",Tabela2[[#This Row],[Dt Venc:]]-TODAY())</f>
        <v>14</v>
      </c>
      <c r="G6102" s="3"/>
      <c r="H6102" s="3"/>
    </row>
    <row r="6103" spans="1:8">
      <c r="A6103" s="3">
        <v>3018</v>
      </c>
      <c r="B6103" s="7" t="s">
        <v>301</v>
      </c>
      <c r="C6103" s="41">
        <v>2440</v>
      </c>
      <c r="D6103" s="6">
        <v>45707</v>
      </c>
      <c r="E6103" s="3" t="str">
        <f ca="1">IF(Tabela2[[#This Row],[Dt Venc:]]&gt;TODAY(),"Em Aberto",IF(Tabela2[[#This Row],[D/venc]]="-","Enviado",IF(Tabela2[[#This Row],[Dt Venc:]]=TODAY(),"Vence Hoje","Vencida")))</f>
        <v>Em Aberto</v>
      </c>
      <c r="F6103" s="3">
        <f ca="1">IF(G6103=1,"-",Tabela2[[#This Row],[Dt Venc:]]-TODAY())</f>
        <v>14</v>
      </c>
      <c r="G6103" s="3"/>
      <c r="H6103" s="3"/>
    </row>
    <row r="6104" spans="1:8">
      <c r="A6104" s="3">
        <v>3459</v>
      </c>
      <c r="B6104" s="7" t="s">
        <v>129</v>
      </c>
      <c r="C6104" s="41">
        <v>2118.1999999999998</v>
      </c>
      <c r="D6104" s="6">
        <v>45707</v>
      </c>
      <c r="E6104" s="3" t="str">
        <f ca="1">IF(Tabela2[[#This Row],[Dt Venc:]]&gt;TODAY(),"Em Aberto",IF(Tabela2[[#This Row],[D/venc]]="-","Enviado",IF(Tabela2[[#This Row],[Dt Venc:]]=TODAY(),"Vence Hoje","Vencida")))</f>
        <v>Em Aberto</v>
      </c>
      <c r="F6104" s="3">
        <f ca="1">IF(G6104=1,"-",Tabela2[[#This Row],[Dt Venc:]]-TODAY())</f>
        <v>14</v>
      </c>
      <c r="G6104" s="3"/>
      <c r="H6104" s="3"/>
    </row>
    <row r="6105" spans="1:8">
      <c r="A6105" s="3">
        <v>5970</v>
      </c>
      <c r="B6105" s="7" t="s">
        <v>586</v>
      </c>
      <c r="C6105" s="41">
        <v>503</v>
      </c>
      <c r="D6105" s="6">
        <v>45707</v>
      </c>
      <c r="E6105" s="3" t="str">
        <f ca="1">IF(Tabela2[[#This Row],[Dt Venc:]]&gt;TODAY(),"Em Aberto",IF(Tabela2[[#This Row],[D/venc]]="-","Enviado",IF(Tabela2[[#This Row],[Dt Venc:]]=TODAY(),"Vence Hoje","Vencida")))</f>
        <v>Em Aberto</v>
      </c>
      <c r="F6105" s="3">
        <f ca="1">IF(G6105=1,"-",Tabela2[[#This Row],[Dt Venc:]]-TODAY())</f>
        <v>14</v>
      </c>
      <c r="G6105" s="3"/>
      <c r="H6105" s="3"/>
    </row>
    <row r="6106" spans="1:8" hidden="1">
      <c r="A6106" s="3">
        <v>36910</v>
      </c>
      <c r="B6106" s="7" t="s">
        <v>167</v>
      </c>
      <c r="C6106" s="100" t="s">
        <v>32</v>
      </c>
      <c r="D6106" s="6">
        <v>45689</v>
      </c>
      <c r="E6106" s="3" t="str">
        <f ca="1">IF(Tabela2[[#This Row],[Dt Venc:]]&gt;TODAY(),"Em Aberto",IF(Tabela2[[#This Row],[D/venc]]="-","Enviado",IF(Tabela2[[#This Row],[Dt Venc:]]=TODAY(),"Vence Hoje","Vencida")))</f>
        <v>Enviado</v>
      </c>
      <c r="F6106" s="3" t="str">
        <f ca="1">IF(G6106=1,"-",Tabela2[[#This Row],[Dt Venc:]]-TODAY())</f>
        <v>-</v>
      </c>
      <c r="G6106" s="3">
        <v>1</v>
      </c>
      <c r="H6106" s="3"/>
    </row>
    <row r="6107" spans="1:8">
      <c r="A6107" s="3">
        <v>6402</v>
      </c>
      <c r="B6107" s="7" t="s">
        <v>47</v>
      </c>
      <c r="C6107" s="41">
        <v>1133.33</v>
      </c>
      <c r="D6107" s="6">
        <v>45707</v>
      </c>
      <c r="E6107" s="3" t="str">
        <f ca="1">IF(Tabela2[[#This Row],[Dt Venc:]]&gt;TODAY(),"Em Aberto",IF(Tabela2[[#This Row],[D/venc]]="-","Enviado",IF(Tabela2[[#This Row],[Dt Venc:]]=TODAY(),"Vence Hoje","Vencida")))</f>
        <v>Em Aberto</v>
      </c>
      <c r="F6107" s="3">
        <f ca="1">IF(G6107=1,"-",Tabela2[[#This Row],[Dt Venc:]]-TODAY())</f>
        <v>14</v>
      </c>
      <c r="G6107" s="3"/>
      <c r="H6107" s="3"/>
    </row>
    <row r="6108" spans="1:8">
      <c r="A6108" s="3">
        <v>8336</v>
      </c>
      <c r="B6108" s="7" t="s">
        <v>43</v>
      </c>
      <c r="C6108" s="41">
        <v>549.1</v>
      </c>
      <c r="D6108" s="6">
        <v>45707</v>
      </c>
      <c r="E6108" s="3" t="str">
        <f ca="1">IF(Tabela2[[#This Row],[Dt Venc:]]&gt;TODAY(),"Em Aberto",IF(Tabela2[[#This Row],[D/venc]]="-","Enviado",IF(Tabela2[[#This Row],[Dt Venc:]]=TODAY(),"Vence Hoje","Vencida")))</f>
        <v>Em Aberto</v>
      </c>
      <c r="F6108" s="3">
        <f ca="1">IF(G6108=1,"-",Tabela2[[#This Row],[Dt Venc:]]-TODAY())</f>
        <v>14</v>
      </c>
      <c r="G6108" s="3"/>
      <c r="H6108" s="3"/>
    </row>
    <row r="6109" spans="1:8">
      <c r="A6109" s="3">
        <v>8654</v>
      </c>
      <c r="B6109" s="7" t="s">
        <v>242</v>
      </c>
      <c r="C6109" s="41">
        <v>170</v>
      </c>
      <c r="D6109" s="6">
        <v>45707</v>
      </c>
      <c r="E6109" s="3" t="str">
        <f ca="1">IF(Tabela2[[#This Row],[Dt Venc:]]&gt;TODAY(),"Em Aberto",IF(Tabela2[[#This Row],[D/venc]]="-","Enviado",IF(Tabela2[[#This Row],[Dt Venc:]]=TODAY(),"Vence Hoje","Vencida")))</f>
        <v>Em Aberto</v>
      </c>
      <c r="F6109" s="3">
        <f ca="1">IF(G6109=1,"-",Tabela2[[#This Row],[Dt Venc:]]-TODAY())</f>
        <v>14</v>
      </c>
      <c r="G6109" s="3"/>
      <c r="H6109" s="3"/>
    </row>
    <row r="6110" spans="1:8">
      <c r="A6110" s="3">
        <v>12391</v>
      </c>
      <c r="B6110" s="7" t="s">
        <v>402</v>
      </c>
      <c r="C6110" s="41">
        <v>1420.5</v>
      </c>
      <c r="D6110" s="6">
        <v>45707</v>
      </c>
      <c r="E6110" s="3" t="str">
        <f ca="1">IF(Tabela2[[#This Row],[Dt Venc:]]&gt;TODAY(),"Em Aberto",IF(Tabela2[[#This Row],[D/venc]]="-","Enviado",IF(Tabela2[[#This Row],[Dt Venc:]]=TODAY(),"Vence Hoje","Vencida")))</f>
        <v>Em Aberto</v>
      </c>
      <c r="F6110" s="3">
        <f ca="1">IF(G6110=1,"-",Tabela2[[#This Row],[Dt Venc:]]-TODAY())</f>
        <v>14</v>
      </c>
      <c r="G6110" s="3"/>
      <c r="H6110" s="3"/>
    </row>
    <row r="6111" spans="1:8">
      <c r="A6111" s="3">
        <v>12794</v>
      </c>
      <c r="B6111" s="7" t="s">
        <v>211</v>
      </c>
      <c r="C6111" s="41">
        <v>1033.3399999999999</v>
      </c>
      <c r="D6111" s="6">
        <v>45707</v>
      </c>
      <c r="E6111" s="3" t="str">
        <f ca="1">IF(Tabela2[[#This Row],[Dt Venc:]]&gt;TODAY(),"Em Aberto",IF(Tabela2[[#This Row],[D/venc]]="-","Enviado",IF(Tabela2[[#This Row],[Dt Venc:]]=TODAY(),"Vence Hoje","Vencida")))</f>
        <v>Em Aberto</v>
      </c>
      <c r="F6111" s="3">
        <f ca="1">IF(G6111=1,"-",Tabela2[[#This Row],[Dt Venc:]]-TODAY())</f>
        <v>14</v>
      </c>
      <c r="G6111" s="3"/>
      <c r="H6111" s="3"/>
    </row>
    <row r="6112" spans="1:8">
      <c r="A6112" s="3">
        <v>14399</v>
      </c>
      <c r="B6112" s="7" t="s">
        <v>102</v>
      </c>
      <c r="C6112" s="41">
        <v>600</v>
      </c>
      <c r="D6112" s="6">
        <v>45707</v>
      </c>
      <c r="E6112" s="3" t="str">
        <f ca="1">IF(Tabela2[[#This Row],[Dt Venc:]]&gt;TODAY(),"Em Aberto",IF(Tabela2[[#This Row],[D/venc]]="-","Enviado",IF(Tabela2[[#This Row],[Dt Venc:]]=TODAY(),"Vence Hoje","Vencida")))</f>
        <v>Em Aberto</v>
      </c>
      <c r="F6112" s="3">
        <f ca="1">IF(G6112=1,"-",Tabela2[[#This Row],[Dt Venc:]]-TODAY())</f>
        <v>14</v>
      </c>
      <c r="G6112" s="3"/>
      <c r="H6112" s="3"/>
    </row>
    <row r="6113" spans="1:8">
      <c r="A6113" s="3">
        <v>15361</v>
      </c>
      <c r="B6113" s="7" t="s">
        <v>44</v>
      </c>
      <c r="C6113" s="41">
        <v>850</v>
      </c>
      <c r="D6113" s="6">
        <v>45707</v>
      </c>
      <c r="E6113" s="3" t="str">
        <f ca="1">IF(Tabela2[[#This Row],[Dt Venc:]]&gt;TODAY(),"Em Aberto",IF(Tabela2[[#This Row],[D/venc]]="-","Enviado",IF(Tabela2[[#This Row],[Dt Venc:]]=TODAY(),"Vence Hoje","Vencida")))</f>
        <v>Em Aberto</v>
      </c>
      <c r="F6113" s="3">
        <f ca="1">IF(G6113=1,"-",Tabela2[[#This Row],[Dt Venc:]]-TODAY())</f>
        <v>14</v>
      </c>
      <c r="G6113" s="3"/>
      <c r="H6113" s="3"/>
    </row>
    <row r="6114" spans="1:8">
      <c r="A6114" s="3">
        <v>24444</v>
      </c>
      <c r="B6114" s="7" t="s">
        <v>38</v>
      </c>
      <c r="C6114" s="41">
        <v>445.33</v>
      </c>
      <c r="D6114" s="6">
        <v>45707</v>
      </c>
      <c r="E6114" s="3" t="str">
        <f ca="1">IF(Tabela2[[#This Row],[Dt Venc:]]&gt;TODAY(),"Em Aberto",IF(Tabela2[[#This Row],[D/venc]]="-","Enviado",IF(Tabela2[[#This Row],[Dt Venc:]]=TODAY(),"Vence Hoje","Vencida")))</f>
        <v>Em Aberto</v>
      </c>
      <c r="F6114" s="3">
        <f ca="1">IF(G6114=1,"-",Tabela2[[#This Row],[Dt Venc:]]-TODAY())</f>
        <v>14</v>
      </c>
      <c r="G6114" s="3"/>
      <c r="H6114" s="3"/>
    </row>
    <row r="6115" spans="1:8">
      <c r="A6115" s="3">
        <v>31300</v>
      </c>
      <c r="B6115" s="7" t="s">
        <v>97</v>
      </c>
      <c r="C6115" s="41">
        <v>2510</v>
      </c>
      <c r="D6115" s="6">
        <v>45707</v>
      </c>
      <c r="E6115" s="3" t="str">
        <f ca="1">IF(Tabela2[[#This Row],[Dt Venc:]]&gt;TODAY(),"Em Aberto",IF(Tabela2[[#This Row],[D/venc]]="-","Enviado",IF(Tabela2[[#This Row],[Dt Venc:]]=TODAY(),"Vence Hoje","Vencida")))</f>
        <v>Em Aberto</v>
      </c>
      <c r="F6115" s="3">
        <f ca="1">IF(G6115=1,"-",Tabela2[[#This Row],[Dt Venc:]]-TODAY())</f>
        <v>14</v>
      </c>
      <c r="G6115" s="3"/>
      <c r="H6115" s="3"/>
    </row>
    <row r="6116" spans="1:8">
      <c r="A6116" s="3">
        <v>34707</v>
      </c>
      <c r="B6116" s="7" t="s">
        <v>70</v>
      </c>
      <c r="C6116" s="41">
        <v>259.52</v>
      </c>
      <c r="D6116" s="6">
        <v>45707</v>
      </c>
      <c r="E6116" s="3" t="str">
        <f ca="1">IF(Tabela2[[#This Row],[Dt Venc:]]&gt;TODAY(),"Em Aberto",IF(Tabela2[[#This Row],[D/venc]]="-","Enviado",IF(Tabela2[[#This Row],[Dt Venc:]]=TODAY(),"Vence Hoje","Vencida")))</f>
        <v>Em Aberto</v>
      </c>
      <c r="F6116" s="3">
        <f ca="1">IF(G6116=1,"-",Tabela2[[#This Row],[Dt Venc:]]-TODAY())</f>
        <v>14</v>
      </c>
      <c r="G6116" s="3"/>
      <c r="H6116" s="3"/>
    </row>
    <row r="6117" spans="1:8">
      <c r="A6117" s="3">
        <v>45083</v>
      </c>
      <c r="B6117" s="7" t="s">
        <v>70</v>
      </c>
      <c r="C6117" s="41">
        <v>259.52</v>
      </c>
      <c r="D6117" s="6">
        <v>45707</v>
      </c>
      <c r="E6117" s="3" t="str">
        <f ca="1">IF(Tabela2[[#This Row],[Dt Venc:]]&gt;TODAY(),"Em Aberto",IF(Tabela2[[#This Row],[D/venc]]="-","Enviado",IF(Tabela2[[#This Row],[Dt Venc:]]=TODAY(),"Vence Hoje","Vencida")))</f>
        <v>Em Aberto</v>
      </c>
      <c r="F6117" s="3">
        <f ca="1">IF(G6117=1,"-",Tabela2[[#This Row],[Dt Venc:]]-TODAY())</f>
        <v>14</v>
      </c>
      <c r="G6117" s="3"/>
      <c r="H6117" s="3"/>
    </row>
    <row r="6118" spans="1:8">
      <c r="A6118" s="3">
        <v>73407</v>
      </c>
      <c r="B6118" s="7" t="s">
        <v>76</v>
      </c>
      <c r="C6118" s="41">
        <v>1890.58</v>
      </c>
      <c r="D6118" s="6">
        <v>45707</v>
      </c>
      <c r="E6118" s="3" t="str">
        <f ca="1">IF(Tabela2[[#This Row],[Dt Venc:]]&gt;TODAY(),"Em Aberto",IF(Tabela2[[#This Row],[D/venc]]="-","Enviado",IF(Tabela2[[#This Row],[Dt Venc:]]=TODAY(),"Vence Hoje","Vencida")))</f>
        <v>Em Aberto</v>
      </c>
      <c r="F6118" s="3">
        <f ca="1">IF(G6118=1,"-",Tabela2[[#This Row],[Dt Venc:]]-TODAY())</f>
        <v>14</v>
      </c>
      <c r="G6118" s="3"/>
      <c r="H6118" s="3"/>
    </row>
    <row r="6119" spans="1:8">
      <c r="A6119" s="3">
        <v>75283</v>
      </c>
      <c r="B6119" s="7" t="s">
        <v>76</v>
      </c>
      <c r="C6119" s="41">
        <v>719.67</v>
      </c>
      <c r="D6119" s="6">
        <v>45707</v>
      </c>
      <c r="E6119" s="3" t="str">
        <f ca="1">IF(Tabela2[[#This Row],[Dt Venc:]]&gt;TODAY(),"Em Aberto",IF(Tabela2[[#This Row],[D/venc]]="-","Enviado",IF(Tabela2[[#This Row],[Dt Venc:]]=TODAY(),"Vence Hoje","Vencida")))</f>
        <v>Em Aberto</v>
      </c>
      <c r="F6119" s="3">
        <f ca="1">IF(G6119=1,"-",Tabela2[[#This Row],[Dt Venc:]]-TODAY())</f>
        <v>14</v>
      </c>
      <c r="G6119" s="3"/>
      <c r="H6119" s="3"/>
    </row>
    <row r="6120" spans="1:8">
      <c r="A6120" s="3">
        <v>91022</v>
      </c>
      <c r="B6120" s="7" t="s">
        <v>207</v>
      </c>
      <c r="C6120" s="41">
        <v>1250</v>
      </c>
      <c r="D6120" s="6">
        <v>45707</v>
      </c>
      <c r="E6120" s="3" t="str">
        <f ca="1">IF(Tabela2[[#This Row],[Dt Venc:]]&gt;TODAY(),"Em Aberto",IF(Tabela2[[#This Row],[D/venc]]="-","Enviado",IF(Tabela2[[#This Row],[Dt Venc:]]=TODAY(),"Vence Hoje","Vencida")))</f>
        <v>Em Aberto</v>
      </c>
      <c r="F6120" s="3">
        <f ca="1">IF(G6120=1,"-",Tabela2[[#This Row],[Dt Venc:]]-TODAY())</f>
        <v>14</v>
      </c>
      <c r="G6120" s="3"/>
      <c r="H6120" s="3"/>
    </row>
    <row r="6121" spans="1:8">
      <c r="A6121" s="3">
        <v>154589</v>
      </c>
      <c r="B6121" s="7" t="s">
        <v>261</v>
      </c>
      <c r="C6121" s="41">
        <v>450</v>
      </c>
      <c r="D6121" s="6">
        <v>45707</v>
      </c>
      <c r="E6121" s="3" t="str">
        <f ca="1">IF(Tabela2[[#This Row],[Dt Venc:]]&gt;TODAY(),"Em Aberto",IF(Tabela2[[#This Row],[D/venc]]="-","Enviado",IF(Tabela2[[#This Row],[Dt Venc:]]=TODAY(),"Vence Hoje","Vencida")))</f>
        <v>Em Aberto</v>
      </c>
      <c r="F6121" s="3">
        <f ca="1">IF(G6121=1,"-",Tabela2[[#This Row],[Dt Venc:]]-TODAY())</f>
        <v>14</v>
      </c>
      <c r="G6121" s="3"/>
      <c r="H6121" s="3"/>
    </row>
    <row r="6122" spans="1:8">
      <c r="A6122" s="3">
        <v>154595</v>
      </c>
      <c r="B6122" s="7" t="s">
        <v>261</v>
      </c>
      <c r="C6122" s="41">
        <v>674</v>
      </c>
      <c r="D6122" s="6">
        <v>45707</v>
      </c>
      <c r="E6122" s="3" t="str">
        <f ca="1">IF(Tabela2[[#This Row],[Dt Venc:]]&gt;TODAY(),"Em Aberto",IF(Tabela2[[#This Row],[D/venc]]="-","Enviado",IF(Tabela2[[#This Row],[Dt Venc:]]=TODAY(),"Vence Hoje","Vencida")))</f>
        <v>Em Aberto</v>
      </c>
      <c r="F6122" s="3">
        <f ca="1">IF(G6122=1,"-",Tabela2[[#This Row],[Dt Venc:]]-TODAY())</f>
        <v>14</v>
      </c>
      <c r="G6122" s="3"/>
      <c r="H6122" s="3"/>
    </row>
    <row r="6123" spans="1:8">
      <c r="A6123" s="3">
        <v>154601</v>
      </c>
      <c r="B6123" s="7" t="s">
        <v>261</v>
      </c>
      <c r="C6123" s="41">
        <v>674</v>
      </c>
      <c r="D6123" s="6">
        <v>45707</v>
      </c>
      <c r="E6123" s="3" t="str">
        <f ca="1">IF(Tabela2[[#This Row],[Dt Venc:]]&gt;TODAY(),"Em Aberto",IF(Tabela2[[#This Row],[D/venc]]="-","Enviado",IF(Tabela2[[#This Row],[Dt Venc:]]=TODAY(),"Vence Hoje","Vencida")))</f>
        <v>Em Aberto</v>
      </c>
      <c r="F6123" s="3">
        <f ca="1">IF(G6123=1,"-",Tabela2[[#This Row],[Dt Venc:]]-TODAY())</f>
        <v>14</v>
      </c>
      <c r="G6123" s="3"/>
      <c r="H6123" s="3"/>
    </row>
    <row r="6124" spans="1:8">
      <c r="A6124" s="3">
        <v>155995</v>
      </c>
      <c r="B6124" s="7" t="s">
        <v>77</v>
      </c>
      <c r="C6124" s="41">
        <v>773.33</v>
      </c>
      <c r="D6124" s="6">
        <v>45707</v>
      </c>
      <c r="E6124" s="3" t="str">
        <f ca="1">IF(Tabela2[[#This Row],[Dt Venc:]]&gt;TODAY(),"Em Aberto",IF(Tabela2[[#This Row],[D/venc]]="-","Enviado",IF(Tabela2[[#This Row],[Dt Venc:]]=TODAY(),"Vence Hoje","Vencida")))</f>
        <v>Em Aberto</v>
      </c>
      <c r="F6124" s="3">
        <f ca="1">IF(G6124=1,"-",Tabela2[[#This Row],[Dt Venc:]]-TODAY())</f>
        <v>14</v>
      </c>
      <c r="G6124" s="3"/>
      <c r="H6124" s="3"/>
    </row>
    <row r="6125" spans="1:8">
      <c r="A6125" s="3">
        <v>176474</v>
      </c>
      <c r="B6125" s="7" t="s">
        <v>211</v>
      </c>
      <c r="C6125" s="41">
        <v>506.66</v>
      </c>
      <c r="D6125" s="6">
        <v>45707</v>
      </c>
      <c r="E6125" s="3" t="str">
        <f ca="1">IF(Tabela2[[#This Row],[Dt Venc:]]&gt;TODAY(),"Em Aberto",IF(Tabela2[[#This Row],[D/venc]]="-","Enviado",IF(Tabela2[[#This Row],[Dt Venc:]]=TODAY(),"Vence Hoje","Vencida")))</f>
        <v>Em Aberto</v>
      </c>
      <c r="F6125" s="3">
        <f ca="1">IF(G6125=1,"-",Tabela2[[#This Row],[Dt Venc:]]-TODAY())</f>
        <v>14</v>
      </c>
      <c r="G6125" s="3"/>
      <c r="H6125" s="3"/>
    </row>
    <row r="6126" spans="1:8">
      <c r="A6126" s="3">
        <v>178612</v>
      </c>
      <c r="B6126" s="7" t="s">
        <v>211</v>
      </c>
      <c r="C6126" s="41">
        <v>526.66</v>
      </c>
      <c r="D6126" s="6">
        <v>45707</v>
      </c>
      <c r="E6126" s="3" t="str">
        <f ca="1">IF(Tabela2[[#This Row],[Dt Venc:]]&gt;TODAY(),"Em Aberto",IF(Tabela2[[#This Row],[D/venc]]="-","Enviado",IF(Tabela2[[#This Row],[Dt Venc:]]=TODAY(),"Vence Hoje","Vencida")))</f>
        <v>Em Aberto</v>
      </c>
      <c r="F6126" s="3">
        <f ca="1">IF(G6126=1,"-",Tabela2[[#This Row],[Dt Venc:]]-TODAY())</f>
        <v>14</v>
      </c>
      <c r="G6126" s="3"/>
      <c r="H6126" s="3"/>
    </row>
    <row r="6127" spans="1:8">
      <c r="A6127" s="3">
        <v>259055</v>
      </c>
      <c r="B6127" s="7" t="s">
        <v>43</v>
      </c>
      <c r="C6127" s="41">
        <v>1428.84</v>
      </c>
      <c r="D6127" s="6">
        <v>45707</v>
      </c>
      <c r="E6127" s="3" t="str">
        <f ca="1">IF(Tabela2[[#This Row],[Dt Venc:]]&gt;TODAY(),"Em Aberto",IF(Tabela2[[#This Row],[D/venc]]="-","Enviado",IF(Tabela2[[#This Row],[Dt Venc:]]=TODAY(),"Vence Hoje","Vencida")))</f>
        <v>Em Aberto</v>
      </c>
      <c r="F6127" s="3">
        <f ca="1">IF(G6127=1,"-",Tabela2[[#This Row],[Dt Venc:]]-TODAY())</f>
        <v>14</v>
      </c>
      <c r="G6127" s="3"/>
      <c r="H6127" s="3"/>
    </row>
    <row r="6128" spans="1:8">
      <c r="A6128" s="3">
        <v>270576</v>
      </c>
      <c r="B6128" s="7" t="s">
        <v>36</v>
      </c>
      <c r="C6128" s="41">
        <v>980</v>
      </c>
      <c r="D6128" s="6">
        <v>45707</v>
      </c>
      <c r="E6128" s="3" t="str">
        <f ca="1">IF(Tabela2[[#This Row],[Dt Venc:]]&gt;TODAY(),"Em Aberto",IF(Tabela2[[#This Row],[D/venc]]="-","Enviado",IF(Tabela2[[#This Row],[Dt Venc:]]=TODAY(),"Vence Hoje","Vencida")))</f>
        <v>Em Aberto</v>
      </c>
      <c r="F6128" s="3">
        <f ca="1">IF(G6128=1,"-",Tabela2[[#This Row],[Dt Venc:]]-TODAY())</f>
        <v>14</v>
      </c>
      <c r="G6128" s="3"/>
      <c r="H6128" s="3"/>
    </row>
    <row r="6129" spans="1:8">
      <c r="A6129" s="3">
        <v>381900</v>
      </c>
      <c r="B6129" s="7" t="s">
        <v>567</v>
      </c>
      <c r="C6129" s="41">
        <v>558.02</v>
      </c>
      <c r="D6129" s="6">
        <v>45707</v>
      </c>
      <c r="E6129" s="3" t="str">
        <f ca="1">IF(Tabela2[[#This Row],[Dt Venc:]]&gt;TODAY(),"Em Aberto",IF(Tabela2[[#This Row],[D/venc]]="-","Enviado",IF(Tabela2[[#This Row],[Dt Venc:]]=TODAY(),"Vence Hoje","Vencida")))</f>
        <v>Em Aberto</v>
      </c>
      <c r="F6129" s="3">
        <f ca="1">IF(G6129=1,"-",Tabela2[[#This Row],[Dt Venc:]]-TODAY())</f>
        <v>14</v>
      </c>
      <c r="G6129" s="3"/>
      <c r="H6129" s="3"/>
    </row>
    <row r="6130" spans="1:8">
      <c r="A6130" s="3">
        <v>446836</v>
      </c>
      <c r="B6130" s="7" t="s">
        <v>512</v>
      </c>
      <c r="C6130" s="41">
        <v>631.77</v>
      </c>
      <c r="D6130" s="6">
        <v>45707</v>
      </c>
      <c r="E6130" s="3" t="str">
        <f ca="1">IF(Tabela2[[#This Row],[Dt Venc:]]&gt;TODAY(),"Em Aberto",IF(Tabela2[[#This Row],[D/venc]]="-","Enviado",IF(Tabela2[[#This Row],[Dt Venc:]]=TODAY(),"Vence Hoje","Vencida")))</f>
        <v>Em Aberto</v>
      </c>
      <c r="F6130" s="3">
        <f ca="1">IF(G6130=1,"-",Tabela2[[#This Row],[Dt Venc:]]-TODAY())</f>
        <v>14</v>
      </c>
      <c r="G6130" s="3"/>
      <c r="H6130" s="3"/>
    </row>
    <row r="6131" spans="1:8">
      <c r="A6131" s="3">
        <v>618315</v>
      </c>
      <c r="B6131" s="7" t="s">
        <v>66</v>
      </c>
      <c r="C6131" s="41">
        <v>1306.8</v>
      </c>
      <c r="D6131" s="6">
        <v>45707</v>
      </c>
      <c r="E6131" s="3" t="str">
        <f ca="1">IF(Tabela2[[#This Row],[Dt Venc:]]&gt;TODAY(),"Em Aberto",IF(Tabela2[[#This Row],[D/venc]]="-","Enviado",IF(Tabela2[[#This Row],[Dt Venc:]]=TODAY(),"Vence Hoje","Vencida")))</f>
        <v>Em Aberto</v>
      </c>
      <c r="F6131" s="3">
        <f ca="1">IF(G6131=1,"-",Tabela2[[#This Row],[Dt Venc:]]-TODAY())</f>
        <v>14</v>
      </c>
      <c r="G6131" s="3"/>
      <c r="H6131" s="3"/>
    </row>
    <row r="6132" spans="1:8">
      <c r="A6132" s="3">
        <v>4733097</v>
      </c>
      <c r="B6132" s="7" t="s">
        <v>90</v>
      </c>
      <c r="C6132" s="41">
        <v>461.99</v>
      </c>
      <c r="D6132" s="6">
        <v>45707</v>
      </c>
      <c r="E6132" s="3" t="str">
        <f ca="1">IF(Tabela2[[#This Row],[Dt Venc:]]&gt;TODAY(),"Em Aberto",IF(Tabela2[[#This Row],[D/venc]]="-","Enviado",IF(Tabela2[[#This Row],[Dt Venc:]]=TODAY(),"Vence Hoje","Vencida")))</f>
        <v>Em Aberto</v>
      </c>
      <c r="F6132" s="3">
        <f ca="1">IF(G6132=1,"-",Tabela2[[#This Row],[Dt Venc:]]-TODAY())</f>
        <v>14</v>
      </c>
      <c r="G6132" s="3"/>
      <c r="H6132" s="3"/>
    </row>
    <row r="6133" spans="1:8">
      <c r="A6133" s="3">
        <v>14401</v>
      </c>
      <c r="B6133" s="7" t="s">
        <v>51</v>
      </c>
      <c r="C6133" s="41">
        <v>600</v>
      </c>
      <c r="D6133" s="6">
        <v>45707</v>
      </c>
      <c r="E6133" s="3" t="str">
        <f ca="1">IF(Tabela2[[#This Row],[Dt Venc:]]&gt;TODAY(),"Em Aberto",IF(Tabela2[[#This Row],[D/venc]]="-","Enviado",IF(Tabela2[[#This Row],[Dt Venc:]]=TODAY(),"Vence Hoje","Vencida")))</f>
        <v>Em Aberto</v>
      </c>
      <c r="F6133" s="3">
        <f ca="1">IF(G6133=1,"-",Tabela2[[#This Row],[Dt Venc:]]-TODAY())</f>
        <v>14</v>
      </c>
      <c r="G6133" s="3"/>
      <c r="H6133" s="3"/>
    </row>
    <row r="6134" spans="1:8">
      <c r="A6134" s="3">
        <v>1274273</v>
      </c>
      <c r="B6134" s="7" t="s">
        <v>64</v>
      </c>
      <c r="C6134" s="41">
        <v>2341.36</v>
      </c>
      <c r="D6134" s="6">
        <v>45707</v>
      </c>
      <c r="E6134" s="3" t="str">
        <f ca="1">IF(Tabela2[[#This Row],[Dt Venc:]]&gt;TODAY(),"Em Aberto",IF(Tabela2[[#This Row],[D/venc]]="-","Enviado",IF(Tabela2[[#This Row],[Dt Venc:]]=TODAY(),"Vence Hoje","Vencida")))</f>
        <v>Em Aberto</v>
      </c>
      <c r="F6134" s="3">
        <f ca="1">IF(G6134=1,"-",Tabela2[[#This Row],[Dt Venc:]]-TODAY())</f>
        <v>14</v>
      </c>
      <c r="G6134" s="3"/>
      <c r="H6134" s="3"/>
    </row>
    <row r="6135" spans="1:8">
      <c r="A6135" s="3">
        <v>2383</v>
      </c>
      <c r="B6135" s="7" t="s">
        <v>45</v>
      </c>
      <c r="C6135" s="41">
        <v>745</v>
      </c>
      <c r="D6135" s="6">
        <v>45707</v>
      </c>
      <c r="E6135" s="3" t="str">
        <f ca="1">IF(Tabela2[[#This Row],[Dt Venc:]]&gt;TODAY(),"Em Aberto",IF(Tabela2[[#This Row],[D/venc]]="-","Enviado",IF(Tabela2[[#This Row],[Dt Venc:]]=TODAY(),"Vence Hoje","Vencida")))</f>
        <v>Em Aberto</v>
      </c>
      <c r="F6135" s="3">
        <f ca="1">IF(G6135=1,"-",Tabela2[[#This Row],[Dt Venc:]]-TODAY())</f>
        <v>14</v>
      </c>
      <c r="G6135" s="3"/>
      <c r="H6135" s="3"/>
    </row>
    <row r="6136" spans="1:8">
      <c r="A6136" s="3">
        <v>1763</v>
      </c>
      <c r="B6136" s="7" t="s">
        <v>258</v>
      </c>
      <c r="C6136" s="41">
        <v>956.67</v>
      </c>
      <c r="D6136" s="6">
        <v>45708</v>
      </c>
      <c r="E6136" s="3" t="str">
        <f ca="1">IF(Tabela2[[#This Row],[Dt Venc:]]&gt;TODAY(),"Em Aberto",IF(Tabela2[[#This Row],[D/venc]]="-","Enviado",IF(Tabela2[[#This Row],[Dt Venc:]]=TODAY(),"Vence Hoje","Vencida")))</f>
        <v>Em Aberto</v>
      </c>
      <c r="F6136" s="3">
        <f ca="1">IF(G6136=1,"-",Tabela2[[#This Row],[Dt Venc:]]-TODAY())</f>
        <v>15</v>
      </c>
      <c r="G6136" s="3"/>
      <c r="H6136" s="3"/>
    </row>
    <row r="6137" spans="1:8">
      <c r="A6137" s="3">
        <v>3300</v>
      </c>
      <c r="B6137" s="7" t="s">
        <v>639</v>
      </c>
      <c r="C6137" s="41">
        <v>1000</v>
      </c>
      <c r="D6137" s="6">
        <v>45708</v>
      </c>
      <c r="E6137" s="3" t="str">
        <f ca="1">IF(Tabela2[[#This Row],[Dt Venc:]]&gt;TODAY(),"Em Aberto",IF(Tabela2[[#This Row],[D/venc]]="-","Enviado",IF(Tabela2[[#This Row],[Dt Venc:]]=TODAY(),"Vence Hoje","Vencida")))</f>
        <v>Em Aberto</v>
      </c>
      <c r="F6137" s="3">
        <f ca="1">IF(G6137=1,"-",Tabela2[[#This Row],[Dt Venc:]]-TODAY())</f>
        <v>15</v>
      </c>
      <c r="G6137" s="3"/>
      <c r="H6137" s="3"/>
    </row>
    <row r="6138" spans="1:8">
      <c r="A6138" s="3">
        <v>3300</v>
      </c>
      <c r="B6138" s="7" t="s">
        <v>708</v>
      </c>
      <c r="C6138" s="41">
        <v>1000</v>
      </c>
      <c r="D6138" s="6">
        <v>45708</v>
      </c>
      <c r="E6138" s="3" t="str">
        <f ca="1">IF(Tabela2[[#This Row],[Dt Venc:]]&gt;TODAY(),"Em Aberto",IF(Tabela2[[#This Row],[D/venc]]="-","Enviado",IF(Tabela2[[#This Row],[Dt Venc:]]=TODAY(),"Vence Hoje","Vencida")))</f>
        <v>Em Aberto</v>
      </c>
      <c r="F6138" s="3">
        <f ca="1">IF(G6138=1,"-",Tabela2[[#This Row],[Dt Venc:]]-TODAY())</f>
        <v>15</v>
      </c>
      <c r="G6138" s="3"/>
      <c r="H6138" s="3"/>
    </row>
    <row r="6139" spans="1:8">
      <c r="A6139" s="3">
        <v>3767</v>
      </c>
      <c r="B6139" s="7" t="s">
        <v>641</v>
      </c>
      <c r="C6139" s="41">
        <v>2460</v>
      </c>
      <c r="D6139" s="6">
        <v>45708</v>
      </c>
      <c r="E6139" s="3" t="str">
        <f ca="1">IF(Tabela2[[#This Row],[Dt Venc:]]&gt;TODAY(),"Em Aberto",IF(Tabela2[[#This Row],[D/venc]]="-","Enviado",IF(Tabela2[[#This Row],[Dt Venc:]]=TODAY(),"Vence Hoje","Vencida")))</f>
        <v>Em Aberto</v>
      </c>
      <c r="F6139" s="3">
        <f ca="1">IF(G6139=1,"-",Tabela2[[#This Row],[Dt Venc:]]-TODAY())</f>
        <v>15</v>
      </c>
      <c r="G6139" s="3"/>
      <c r="H6139" s="3"/>
    </row>
    <row r="6140" spans="1:8">
      <c r="A6140" s="3">
        <v>4843</v>
      </c>
      <c r="B6140" s="7" t="s">
        <v>307</v>
      </c>
      <c r="C6140" s="42">
        <v>9150</v>
      </c>
      <c r="D6140" s="6">
        <v>45708</v>
      </c>
      <c r="E6140" s="3" t="str">
        <f ca="1">IF(Tabela2[[#This Row],[Dt Venc:]]&gt;TODAY(),"Em Aberto",IF(Tabela2[[#This Row],[D/venc]]="-","Enviado",IF(Tabela2[[#This Row],[Dt Venc:]]=TODAY(),"Vence Hoje","Vencida")))</f>
        <v>Em Aberto</v>
      </c>
      <c r="F6140" s="3">
        <f ca="1">IF(G6140=1,"-",Tabela2[[#This Row],[Dt Venc:]]-TODAY())</f>
        <v>15</v>
      </c>
      <c r="G6140" s="3"/>
      <c r="H6140" s="3"/>
    </row>
    <row r="6141" spans="1:8">
      <c r="A6141" s="3">
        <v>6079</v>
      </c>
      <c r="B6141" s="7" t="s">
        <v>140</v>
      </c>
      <c r="C6141" s="41">
        <v>1502.67</v>
      </c>
      <c r="D6141" s="6">
        <v>45708</v>
      </c>
      <c r="E6141" s="3" t="str">
        <f ca="1">IF(Tabela2[[#This Row],[Dt Venc:]]&gt;TODAY(),"Em Aberto",IF(Tabela2[[#This Row],[D/venc]]="-","Enviado",IF(Tabela2[[#This Row],[Dt Venc:]]=TODAY(),"Vence Hoje","Vencida")))</f>
        <v>Em Aberto</v>
      </c>
      <c r="F6141" s="3">
        <f ca="1">IF(G6141=1,"-",Tabela2[[#This Row],[Dt Venc:]]-TODAY())</f>
        <v>15</v>
      </c>
      <c r="G6141" s="3"/>
      <c r="H6141" s="3"/>
    </row>
    <row r="6142" spans="1:8">
      <c r="A6142" s="3">
        <v>6083</v>
      </c>
      <c r="B6142" s="7" t="s">
        <v>140</v>
      </c>
      <c r="C6142" s="41">
        <v>429.33</v>
      </c>
      <c r="D6142" s="6">
        <v>45708</v>
      </c>
      <c r="E6142" s="3" t="str">
        <f ca="1">IF(Tabela2[[#This Row],[Dt Venc:]]&gt;TODAY(),"Em Aberto",IF(Tabela2[[#This Row],[D/venc]]="-","Enviado",IF(Tabela2[[#This Row],[Dt Venc:]]=TODAY(),"Vence Hoje","Vencida")))</f>
        <v>Em Aberto</v>
      </c>
      <c r="F6142" s="3">
        <f ca="1">IF(G6142=1,"-",Tabela2[[#This Row],[Dt Venc:]]-TODAY())</f>
        <v>15</v>
      </c>
      <c r="G6142" s="3"/>
      <c r="H6142" s="3"/>
    </row>
    <row r="6143" spans="1:8">
      <c r="A6143" s="3">
        <v>9524</v>
      </c>
      <c r="B6143" s="7" t="s">
        <v>709</v>
      </c>
      <c r="C6143" s="41">
        <v>388.4</v>
      </c>
      <c r="D6143" s="6">
        <v>45708</v>
      </c>
      <c r="E6143" s="3" t="str">
        <f ca="1">IF(Tabela2[[#This Row],[Dt Venc:]]&gt;TODAY(),"Em Aberto",IF(Tabela2[[#This Row],[D/venc]]="-","Enviado",IF(Tabela2[[#This Row],[Dt Venc:]]=TODAY(),"Vence Hoje","Vencida")))</f>
        <v>Em Aberto</v>
      </c>
      <c r="F6143" s="3">
        <f ca="1">IF(G6143=1,"-",Tabela2[[#This Row],[Dt Venc:]]-TODAY())</f>
        <v>15</v>
      </c>
      <c r="G6143" s="3"/>
      <c r="H6143" s="3"/>
    </row>
    <row r="6144" spans="1:8">
      <c r="A6144" s="3">
        <v>10540</v>
      </c>
      <c r="B6144" s="7" t="s">
        <v>88</v>
      </c>
      <c r="C6144" s="41">
        <v>584.4</v>
      </c>
      <c r="D6144" s="6">
        <v>45708</v>
      </c>
      <c r="E6144" s="3" t="str">
        <f ca="1">IF(Tabela2[[#This Row],[Dt Venc:]]&gt;TODAY(),"Em Aberto",IF(Tabela2[[#This Row],[D/venc]]="-","Enviado",IF(Tabela2[[#This Row],[Dt Venc:]]=TODAY(),"Vence Hoje","Vencida")))</f>
        <v>Em Aberto</v>
      </c>
      <c r="F6144" s="3">
        <f ca="1">IF(G6144=1,"-",Tabela2[[#This Row],[Dt Venc:]]-TODAY())</f>
        <v>15</v>
      </c>
      <c r="G6144" s="3"/>
      <c r="H6144" s="3"/>
    </row>
    <row r="6145" spans="1:8">
      <c r="A6145" s="3">
        <v>11268</v>
      </c>
      <c r="B6145" s="7" t="s">
        <v>33</v>
      </c>
      <c r="C6145" s="41">
        <v>1588.33</v>
      </c>
      <c r="D6145" s="6">
        <v>45708</v>
      </c>
      <c r="E6145" s="3" t="str">
        <f ca="1">IF(Tabela2[[#This Row],[Dt Venc:]]&gt;TODAY(),"Em Aberto",IF(Tabela2[[#This Row],[D/venc]]="-","Enviado",IF(Tabela2[[#This Row],[Dt Venc:]]=TODAY(),"Vence Hoje","Vencida")))</f>
        <v>Em Aberto</v>
      </c>
      <c r="F6145" s="3">
        <f ca="1">IF(G6145=1,"-",Tabela2[[#This Row],[Dt Venc:]]-TODAY())</f>
        <v>15</v>
      </c>
      <c r="G6145" s="3"/>
      <c r="H6145" s="3"/>
    </row>
    <row r="6146" spans="1:8">
      <c r="A6146" s="3">
        <v>14346</v>
      </c>
      <c r="B6146" s="7" t="s">
        <v>303</v>
      </c>
      <c r="C6146" s="41">
        <v>1143.33</v>
      </c>
      <c r="D6146" s="6">
        <v>45708</v>
      </c>
      <c r="E6146" s="3" t="str">
        <f ca="1">IF(Tabela2[[#This Row],[Dt Venc:]]&gt;TODAY(),"Em Aberto",IF(Tabela2[[#This Row],[D/venc]]="-","Enviado",IF(Tabela2[[#This Row],[Dt Venc:]]=TODAY(),"Vence Hoje","Vencida")))</f>
        <v>Em Aberto</v>
      </c>
      <c r="F6146" s="3">
        <f ca="1">IF(G6146=1,"-",Tabela2[[#This Row],[Dt Venc:]]-TODAY())</f>
        <v>15</v>
      </c>
      <c r="G6146" s="3"/>
      <c r="H6146" s="3"/>
    </row>
    <row r="6147" spans="1:8">
      <c r="A6147" s="3">
        <v>15995</v>
      </c>
      <c r="B6147" s="7" t="s">
        <v>649</v>
      </c>
      <c r="C6147" s="41">
        <v>1163.33</v>
      </c>
      <c r="D6147" s="6">
        <v>45708</v>
      </c>
      <c r="E6147" s="3" t="str">
        <f ca="1">IF(Tabela2[[#This Row],[Dt Venc:]]&gt;TODAY(),"Em Aberto",IF(Tabela2[[#This Row],[D/venc]]="-","Enviado",IF(Tabela2[[#This Row],[Dt Venc:]]=TODAY(),"Vence Hoje","Vencida")))</f>
        <v>Em Aberto</v>
      </c>
      <c r="F6147" s="3">
        <f ca="1">IF(G6147=1,"-",Tabela2[[#This Row],[Dt Venc:]]-TODAY())</f>
        <v>15</v>
      </c>
      <c r="G6147" s="3"/>
      <c r="H6147" s="3"/>
    </row>
    <row r="6148" spans="1:8">
      <c r="A6148" s="3">
        <v>26963</v>
      </c>
      <c r="B6148" s="7" t="s">
        <v>710</v>
      </c>
      <c r="C6148" s="41">
        <v>5688.07</v>
      </c>
      <c r="D6148" s="6">
        <v>45708</v>
      </c>
      <c r="E6148" s="3" t="str">
        <f ca="1">IF(Tabela2[[#This Row],[Dt Venc:]]&gt;TODAY(),"Em Aberto",IF(Tabela2[[#This Row],[D/venc]]="-","Enviado",IF(Tabela2[[#This Row],[Dt Venc:]]=TODAY(),"Vence Hoje","Vencida")))</f>
        <v>Em Aberto</v>
      </c>
      <c r="F6148" s="3">
        <f ca="1">IF(G6148=1,"-",Tabela2[[#This Row],[Dt Venc:]]-TODAY())</f>
        <v>15</v>
      </c>
      <c r="G6148" s="3"/>
      <c r="H6148" s="3"/>
    </row>
    <row r="6149" spans="1:8">
      <c r="A6149" s="3">
        <v>30420</v>
      </c>
      <c r="B6149" s="7" t="s">
        <v>18</v>
      </c>
      <c r="C6149" s="41">
        <v>2925</v>
      </c>
      <c r="D6149" s="6">
        <v>45708</v>
      </c>
      <c r="E6149" s="3" t="str">
        <f ca="1">IF(Tabela2[[#This Row],[Dt Venc:]]&gt;TODAY(),"Em Aberto",IF(Tabela2[[#This Row],[D/venc]]="-","Enviado",IF(Tabela2[[#This Row],[Dt Venc:]]=TODAY(),"Vence Hoje","Vencida")))</f>
        <v>Em Aberto</v>
      </c>
      <c r="F6149" s="3">
        <f ca="1">IF(G6149=1,"-",Tabela2[[#This Row],[Dt Venc:]]-TODAY())</f>
        <v>15</v>
      </c>
      <c r="G6149" s="3"/>
      <c r="H6149" s="3"/>
    </row>
    <row r="6150" spans="1:8">
      <c r="A6150" s="3">
        <v>35727</v>
      </c>
      <c r="B6150" s="7" t="s">
        <v>288</v>
      </c>
      <c r="C6150" s="41">
        <v>533.5</v>
      </c>
      <c r="D6150" s="6">
        <v>45708</v>
      </c>
      <c r="E6150" s="3" t="str">
        <f ca="1">IF(Tabela2[[#This Row],[Dt Venc:]]&gt;TODAY(),"Em Aberto",IF(Tabela2[[#This Row],[D/venc]]="-","Enviado",IF(Tabela2[[#This Row],[Dt Venc:]]=TODAY(),"Vence Hoje","Vencida")))</f>
        <v>Em Aberto</v>
      </c>
      <c r="F6150" s="3">
        <f ca="1">IF(G6150=1,"-",Tabela2[[#This Row],[Dt Venc:]]-TODAY())</f>
        <v>15</v>
      </c>
      <c r="G6150" s="3"/>
      <c r="H6150" s="3"/>
    </row>
    <row r="6151" spans="1:8">
      <c r="A6151" s="3">
        <v>36519</v>
      </c>
      <c r="B6151" s="7" t="s">
        <v>281</v>
      </c>
      <c r="C6151" s="41">
        <v>242</v>
      </c>
      <c r="D6151" s="6">
        <v>45708</v>
      </c>
      <c r="E6151" s="3" t="str">
        <f ca="1">IF(Tabela2[[#This Row],[Dt Venc:]]&gt;TODAY(),"Em Aberto",IF(Tabela2[[#This Row],[D/venc]]="-","Enviado",IF(Tabela2[[#This Row],[Dt Venc:]]=TODAY(),"Vence Hoje","Vencida")))</f>
        <v>Em Aberto</v>
      </c>
      <c r="F6151" s="3">
        <f ca="1">IF(G6151=1,"-",Tabela2[[#This Row],[Dt Venc:]]-TODAY())</f>
        <v>15</v>
      </c>
      <c r="G6151" s="3"/>
      <c r="H6151" s="3"/>
    </row>
    <row r="6152" spans="1:8">
      <c r="A6152" s="3">
        <v>36567</v>
      </c>
      <c r="B6152" s="7" t="s">
        <v>70</v>
      </c>
      <c r="C6152" s="41">
        <v>567.66</v>
      </c>
      <c r="D6152" s="6">
        <v>45708</v>
      </c>
      <c r="E6152" s="3" t="str">
        <f ca="1">IF(Tabela2[[#This Row],[Dt Venc:]]&gt;TODAY(),"Em Aberto",IF(Tabela2[[#This Row],[D/venc]]="-","Enviado",IF(Tabela2[[#This Row],[Dt Venc:]]=TODAY(),"Vence Hoje","Vencida")))</f>
        <v>Em Aberto</v>
      </c>
      <c r="F6152" s="3">
        <f ca="1">IF(G6152=1,"-",Tabela2[[#This Row],[Dt Venc:]]-TODAY())</f>
        <v>15</v>
      </c>
      <c r="G6152" s="3"/>
      <c r="H6152" s="3"/>
    </row>
    <row r="6153" spans="1:8">
      <c r="A6153" s="3">
        <v>39549</v>
      </c>
      <c r="B6153" s="7" t="s">
        <v>693</v>
      </c>
      <c r="C6153" s="41">
        <v>60</v>
      </c>
      <c r="D6153" s="6">
        <v>45708</v>
      </c>
      <c r="E6153" s="3" t="str">
        <f ca="1">IF(Tabela2[[#This Row],[Dt Venc:]]&gt;TODAY(),"Em Aberto",IF(Tabela2[[#This Row],[D/venc]]="-","Enviado",IF(Tabela2[[#This Row],[Dt Venc:]]=TODAY(),"Vence Hoje","Vencida")))</f>
        <v>Em Aberto</v>
      </c>
      <c r="F6153" s="3">
        <f ca="1">IF(G6153=1,"-",Tabela2[[#This Row],[Dt Venc:]]-TODAY())</f>
        <v>15</v>
      </c>
      <c r="G6153" s="3"/>
      <c r="H6153" s="3"/>
    </row>
    <row r="6154" spans="1:8">
      <c r="A6154" s="3">
        <v>75314</v>
      </c>
      <c r="B6154" s="7" t="s">
        <v>76</v>
      </c>
      <c r="C6154" s="41">
        <v>75.260000000000005</v>
      </c>
      <c r="D6154" s="6">
        <v>45708</v>
      </c>
      <c r="E6154" s="3" t="str">
        <f ca="1">IF(Tabela2[[#This Row],[Dt Venc:]]&gt;TODAY(),"Em Aberto",IF(Tabela2[[#This Row],[D/venc]]="-","Enviado",IF(Tabela2[[#This Row],[Dt Venc:]]=TODAY(),"Vence Hoje","Vencida")))</f>
        <v>Em Aberto</v>
      </c>
      <c r="F6154" s="3">
        <f ca="1">IF(G6154=1,"-",Tabela2[[#This Row],[Dt Venc:]]-TODAY())</f>
        <v>15</v>
      </c>
      <c r="G6154" s="3"/>
      <c r="H6154" s="3"/>
    </row>
    <row r="6155" spans="1:8">
      <c r="A6155" s="3">
        <v>78122</v>
      </c>
      <c r="B6155" s="7" t="s">
        <v>693</v>
      </c>
      <c r="C6155" s="41">
        <v>390</v>
      </c>
      <c r="D6155" s="6">
        <v>45708</v>
      </c>
      <c r="E6155" s="3" t="str">
        <f ca="1">IF(Tabela2[[#This Row],[Dt Venc:]]&gt;TODAY(),"Em Aberto",IF(Tabela2[[#This Row],[D/venc]]="-","Enviado",IF(Tabela2[[#This Row],[Dt Venc:]]=TODAY(),"Vence Hoje","Vencida")))</f>
        <v>Em Aberto</v>
      </c>
      <c r="F6155" s="3">
        <f ca="1">IF(G6155=1,"-",Tabela2[[#This Row],[Dt Venc:]]-TODAY())</f>
        <v>15</v>
      </c>
      <c r="G6155" s="3"/>
      <c r="H6155" s="3"/>
    </row>
    <row r="6156" spans="1:8">
      <c r="A6156" s="3">
        <v>154244</v>
      </c>
      <c r="B6156" s="7" t="s">
        <v>486</v>
      </c>
      <c r="C6156" s="41">
        <v>1822</v>
      </c>
      <c r="D6156" s="6">
        <v>45708</v>
      </c>
      <c r="E6156" s="3" t="str">
        <f ca="1">IF(Tabela2[[#This Row],[Dt Venc:]]&gt;TODAY(),"Em Aberto",IF(Tabela2[[#This Row],[D/venc]]="-","Enviado",IF(Tabela2[[#This Row],[Dt Venc:]]=TODAY(),"Vence Hoje","Vencida")))</f>
        <v>Em Aberto</v>
      </c>
      <c r="F6156" s="3">
        <f ca="1">IF(G6156=1,"-",Tabela2[[#This Row],[Dt Venc:]]-TODAY())</f>
        <v>15</v>
      </c>
      <c r="G6156" s="3"/>
      <c r="H6156" s="3"/>
    </row>
    <row r="6157" spans="1:8">
      <c r="A6157" s="3">
        <v>180176</v>
      </c>
      <c r="B6157" s="7" t="s">
        <v>174</v>
      </c>
      <c r="C6157" s="41">
        <v>926.66</v>
      </c>
      <c r="D6157" s="6">
        <v>45708</v>
      </c>
      <c r="E6157" s="3" t="str">
        <f ca="1">IF(Tabela2[[#This Row],[Dt Venc:]]&gt;TODAY(),"Em Aberto",IF(Tabela2[[#This Row],[D/venc]]="-","Enviado",IF(Tabela2[[#This Row],[Dt Venc:]]=TODAY(),"Vence Hoje","Vencida")))</f>
        <v>Em Aberto</v>
      </c>
      <c r="F6157" s="3">
        <f ca="1">IF(G6157=1,"-",Tabela2[[#This Row],[Dt Venc:]]-TODAY())</f>
        <v>15</v>
      </c>
      <c r="G6157" s="3"/>
      <c r="H6157" s="3"/>
    </row>
    <row r="6158" spans="1:8">
      <c r="A6158" s="3">
        <v>225728</v>
      </c>
      <c r="B6158" s="7" t="s">
        <v>127</v>
      </c>
      <c r="C6158" s="41">
        <v>503.44</v>
      </c>
      <c r="D6158" s="6">
        <v>45708</v>
      </c>
      <c r="E6158" s="3" t="str">
        <f ca="1">IF(Tabela2[[#This Row],[Dt Venc:]]&gt;TODAY(),"Em Aberto",IF(Tabela2[[#This Row],[D/venc]]="-","Enviado",IF(Tabela2[[#This Row],[Dt Venc:]]=TODAY(),"Vence Hoje","Vencida")))</f>
        <v>Em Aberto</v>
      </c>
      <c r="F6158" s="3">
        <f ca="1">IF(G6158=1,"-",Tabela2[[#This Row],[Dt Venc:]]-TODAY())</f>
        <v>15</v>
      </c>
      <c r="G6158" s="3"/>
      <c r="H6158" s="3"/>
    </row>
    <row r="6159" spans="1:8">
      <c r="A6159" s="3">
        <v>260043</v>
      </c>
      <c r="B6159" s="7" t="s">
        <v>43</v>
      </c>
      <c r="C6159" s="41">
        <v>531.15</v>
      </c>
      <c r="D6159" s="6">
        <v>45708</v>
      </c>
      <c r="E6159" s="3" t="str">
        <f ca="1">IF(Tabela2[[#This Row],[Dt Venc:]]&gt;TODAY(),"Em Aberto",IF(Tabela2[[#This Row],[D/venc]]="-","Enviado",IF(Tabela2[[#This Row],[Dt Venc:]]=TODAY(),"Vence Hoje","Vencida")))</f>
        <v>Em Aberto</v>
      </c>
      <c r="F6159" s="3">
        <f ca="1">IF(G6159=1,"-",Tabela2[[#This Row],[Dt Venc:]]-TODAY())</f>
        <v>15</v>
      </c>
      <c r="G6159" s="3"/>
      <c r="H6159" s="3"/>
    </row>
    <row r="6160" spans="1:8">
      <c r="A6160" s="3">
        <v>270822</v>
      </c>
      <c r="B6160" s="7" t="s">
        <v>36</v>
      </c>
      <c r="C6160" s="41">
        <v>1835.98</v>
      </c>
      <c r="D6160" s="6">
        <v>45708</v>
      </c>
      <c r="E6160" s="3" t="str">
        <f ca="1">IF(Tabela2[[#This Row],[Dt Venc:]]&gt;TODAY(),"Em Aberto",IF(Tabela2[[#This Row],[D/venc]]="-","Enviado",IF(Tabela2[[#This Row],[Dt Venc:]]=TODAY(),"Vence Hoje","Vencida")))</f>
        <v>Em Aberto</v>
      </c>
      <c r="F6160" s="3">
        <f ca="1">IF(G6160=1,"-",Tabela2[[#This Row],[Dt Venc:]]-TODAY())</f>
        <v>15</v>
      </c>
      <c r="G6160" s="3"/>
      <c r="H6160" s="3"/>
    </row>
    <row r="6161" spans="1:8">
      <c r="A6161" s="3">
        <v>271234</v>
      </c>
      <c r="B6161" s="7" t="s">
        <v>43</v>
      </c>
      <c r="C6161" s="41">
        <v>409.76</v>
      </c>
      <c r="D6161" s="6">
        <v>45708</v>
      </c>
      <c r="E6161" s="3" t="str">
        <f ca="1">IF(Tabela2[[#This Row],[Dt Venc:]]&gt;TODAY(),"Em Aberto",IF(Tabela2[[#This Row],[D/venc]]="-","Enviado",IF(Tabela2[[#This Row],[Dt Venc:]]=TODAY(),"Vence Hoje","Vencida")))</f>
        <v>Em Aberto</v>
      </c>
      <c r="F6161" s="3">
        <f ca="1">IF(G6161=1,"-",Tabela2[[#This Row],[Dt Venc:]]-TODAY())</f>
        <v>15</v>
      </c>
      <c r="G6161" s="3"/>
      <c r="H6161" s="3"/>
    </row>
    <row r="6162" spans="1:8">
      <c r="A6162" s="3">
        <v>300839</v>
      </c>
      <c r="B6162" s="7" t="s">
        <v>79</v>
      </c>
      <c r="C6162" s="41">
        <v>740.96</v>
      </c>
      <c r="D6162" s="6">
        <v>45708</v>
      </c>
      <c r="E6162" s="3" t="str">
        <f ca="1">IF(Tabela2[[#This Row],[Dt Venc:]]&gt;TODAY(),"Em Aberto",IF(Tabela2[[#This Row],[D/venc]]="-","Enviado",IF(Tabela2[[#This Row],[Dt Venc:]]=TODAY(),"Vence Hoje","Vencida")))</f>
        <v>Em Aberto</v>
      </c>
      <c r="F6162" s="3">
        <f ca="1">IF(G6162=1,"-",Tabela2[[#This Row],[Dt Venc:]]-TODAY())</f>
        <v>15</v>
      </c>
      <c r="G6162" s="3"/>
      <c r="H6162" s="3"/>
    </row>
    <row r="6163" spans="1:8">
      <c r="A6163" s="3">
        <v>304435</v>
      </c>
      <c r="B6163" s="7" t="s">
        <v>572</v>
      </c>
      <c r="C6163" s="41">
        <v>3072.3</v>
      </c>
      <c r="D6163" s="6">
        <v>45708</v>
      </c>
      <c r="E6163" s="3" t="str">
        <f ca="1">IF(Tabela2[[#This Row],[Dt Venc:]]&gt;TODAY(),"Em Aberto",IF(Tabela2[[#This Row],[D/venc]]="-","Enviado",IF(Tabela2[[#This Row],[Dt Venc:]]=TODAY(),"Vence Hoje","Vencida")))</f>
        <v>Em Aberto</v>
      </c>
      <c r="F6163" s="3">
        <f ca="1">IF(G6163=1,"-",Tabela2[[#This Row],[Dt Venc:]]-TODAY())</f>
        <v>15</v>
      </c>
      <c r="G6163" s="3"/>
      <c r="H6163" s="3"/>
    </row>
    <row r="6164" spans="1:8">
      <c r="A6164" s="3">
        <v>329280</v>
      </c>
      <c r="B6164" s="7" t="s">
        <v>261</v>
      </c>
      <c r="C6164" s="41">
        <v>463.33</v>
      </c>
      <c r="D6164" s="6">
        <v>45708</v>
      </c>
      <c r="E6164" s="3" t="str">
        <f ca="1">IF(Tabela2[[#This Row],[Dt Venc:]]&gt;TODAY(),"Em Aberto",IF(Tabela2[[#This Row],[D/venc]]="-","Enviado",IF(Tabela2[[#This Row],[Dt Venc:]]=TODAY(),"Vence Hoje","Vencida")))</f>
        <v>Em Aberto</v>
      </c>
      <c r="F6164" s="3">
        <f ca="1">IF(G6164=1,"-",Tabela2[[#This Row],[Dt Venc:]]-TODAY())</f>
        <v>15</v>
      </c>
      <c r="G6164" s="3"/>
      <c r="H6164" s="3"/>
    </row>
    <row r="6165" spans="1:8">
      <c r="A6165" s="3">
        <v>401307</v>
      </c>
      <c r="B6165" s="7" t="s">
        <v>596</v>
      </c>
      <c r="C6165" s="41">
        <v>1870</v>
      </c>
      <c r="D6165" s="6">
        <v>45708</v>
      </c>
      <c r="E6165" s="3" t="str">
        <f ca="1">IF(Tabela2[[#This Row],[Dt Venc:]]&gt;TODAY(),"Em Aberto",IF(Tabela2[[#This Row],[D/venc]]="-","Enviado",IF(Tabela2[[#This Row],[Dt Venc:]]=TODAY(),"Vence Hoje","Vencida")))</f>
        <v>Em Aberto</v>
      </c>
      <c r="F6165" s="3">
        <f ca="1">IF(G6165=1,"-",Tabela2[[#This Row],[Dt Venc:]]-TODAY())</f>
        <v>15</v>
      </c>
      <c r="G6165" s="3"/>
      <c r="H6165" s="3"/>
    </row>
    <row r="6166" spans="1:8">
      <c r="A6166" s="3">
        <v>432511</v>
      </c>
      <c r="B6166" s="7" t="s">
        <v>89</v>
      </c>
      <c r="C6166" s="41">
        <v>961.26</v>
      </c>
      <c r="D6166" s="6">
        <v>45708</v>
      </c>
      <c r="E6166" s="3" t="str">
        <f ca="1">IF(Tabela2[[#This Row],[Dt Venc:]]&gt;TODAY(),"Em Aberto",IF(Tabela2[[#This Row],[D/venc]]="-","Enviado",IF(Tabela2[[#This Row],[Dt Venc:]]=TODAY(),"Vence Hoje","Vencida")))</f>
        <v>Em Aberto</v>
      </c>
      <c r="F6166" s="3">
        <f ca="1">IF(G6166=1,"-",Tabela2[[#This Row],[Dt Venc:]]-TODAY())</f>
        <v>15</v>
      </c>
      <c r="G6166" s="3"/>
      <c r="H6166" s="3"/>
    </row>
    <row r="6167" spans="1:8">
      <c r="A6167" s="3">
        <v>446920</v>
      </c>
      <c r="B6167" s="7" t="s">
        <v>512</v>
      </c>
      <c r="C6167" s="41">
        <v>690.55</v>
      </c>
      <c r="D6167" s="6">
        <v>45708</v>
      </c>
      <c r="E6167" s="3" t="str">
        <f ca="1">IF(Tabela2[[#This Row],[Dt Venc:]]&gt;TODAY(),"Em Aberto",IF(Tabela2[[#This Row],[D/venc]]="-","Enviado",IF(Tabela2[[#This Row],[Dt Venc:]]=TODAY(),"Vence Hoje","Vencida")))</f>
        <v>Em Aberto</v>
      </c>
      <c r="F6167" s="3">
        <f ca="1">IF(G6167=1,"-",Tabela2[[#This Row],[Dt Venc:]]-TODAY())</f>
        <v>15</v>
      </c>
      <c r="G6167" s="3"/>
      <c r="H6167" s="3"/>
    </row>
    <row r="6168" spans="1:8">
      <c r="A6168" s="3">
        <v>622205</v>
      </c>
      <c r="B6168" s="7" t="s">
        <v>66</v>
      </c>
      <c r="C6168" s="41">
        <v>546.13</v>
      </c>
      <c r="D6168" s="6">
        <v>45708</v>
      </c>
      <c r="E6168" s="3" t="str">
        <f ca="1">IF(Tabela2[[#This Row],[Dt Venc:]]&gt;TODAY(),"Em Aberto",IF(Tabela2[[#This Row],[D/venc]]="-","Enviado",IF(Tabela2[[#This Row],[Dt Venc:]]=TODAY(),"Vence Hoje","Vencida")))</f>
        <v>Em Aberto</v>
      </c>
      <c r="F6168" s="3">
        <f ca="1">IF(G6168=1,"-",Tabela2[[#This Row],[Dt Venc:]]-TODAY())</f>
        <v>15</v>
      </c>
      <c r="G6168" s="3"/>
      <c r="H6168" s="3"/>
    </row>
    <row r="6169" spans="1:8">
      <c r="A6169" s="3">
        <v>625808</v>
      </c>
      <c r="B6169" s="7" t="s">
        <v>66</v>
      </c>
      <c r="C6169" s="41">
        <v>900.9</v>
      </c>
      <c r="D6169" s="6">
        <v>45708</v>
      </c>
      <c r="E6169" s="3" t="str">
        <f ca="1">IF(Tabela2[[#This Row],[Dt Venc:]]&gt;TODAY(),"Em Aberto",IF(Tabela2[[#This Row],[D/venc]]="-","Enviado",IF(Tabela2[[#This Row],[Dt Venc:]]=TODAY(),"Vence Hoje","Vencida")))</f>
        <v>Em Aberto</v>
      </c>
      <c r="F6169" s="3">
        <f ca="1">IF(G6169=1,"-",Tabela2[[#This Row],[Dt Venc:]]-TODAY())</f>
        <v>15</v>
      </c>
      <c r="G6169" s="3"/>
      <c r="H6169" s="3"/>
    </row>
    <row r="6170" spans="1:8">
      <c r="A6170" s="3">
        <v>15441</v>
      </c>
      <c r="B6170" s="7" t="s">
        <v>44</v>
      </c>
      <c r="C6170" s="41">
        <v>1062.5</v>
      </c>
      <c r="D6170" s="6">
        <v>45708</v>
      </c>
      <c r="E6170" s="3" t="str">
        <f ca="1">IF(Tabela2[[#This Row],[Dt Venc:]]&gt;TODAY(),"Em Aberto",IF(Tabela2[[#This Row],[D/venc]]="-","Enviado",IF(Tabela2[[#This Row],[Dt Venc:]]=TODAY(),"Vence Hoje","Vencida")))</f>
        <v>Em Aberto</v>
      </c>
      <c r="F6170" s="3">
        <f ca="1">IF(G6170=1,"-",Tabela2[[#This Row],[Dt Venc:]]-TODAY())</f>
        <v>15</v>
      </c>
      <c r="G6170" s="3"/>
      <c r="H6170" s="3"/>
    </row>
    <row r="6171" spans="1:8">
      <c r="A6171" s="3">
        <v>306617</v>
      </c>
      <c r="B6171" s="7" t="s">
        <v>506</v>
      </c>
      <c r="C6171" s="41">
        <v>155.04</v>
      </c>
      <c r="D6171" s="6">
        <v>45708</v>
      </c>
      <c r="E6171" s="3" t="str">
        <f ca="1">IF(Tabela2[[#This Row],[Dt Venc:]]&gt;TODAY(),"Em Aberto",IF(Tabela2[[#This Row],[D/venc]]="-","Enviado",IF(Tabela2[[#This Row],[Dt Venc:]]=TODAY(),"Vence Hoje","Vencida")))</f>
        <v>Em Aberto</v>
      </c>
      <c r="F6171" s="3">
        <f ca="1">IF(G6171=1,"-",Tabela2[[#This Row],[Dt Venc:]]-TODAY())</f>
        <v>15</v>
      </c>
      <c r="G6171" s="3"/>
      <c r="H6171" s="3"/>
    </row>
    <row r="6172" spans="1:8">
      <c r="A6172" s="3">
        <v>2981</v>
      </c>
      <c r="B6172" s="7" t="s">
        <v>58</v>
      </c>
      <c r="C6172" s="41">
        <v>1700.6</v>
      </c>
      <c r="D6172" s="6">
        <v>45708</v>
      </c>
      <c r="E6172" s="3" t="str">
        <f ca="1">IF(Tabela2[[#This Row],[Dt Venc:]]&gt;TODAY(),"Em Aberto",IF(Tabela2[[#This Row],[D/venc]]="-","Enviado",IF(Tabela2[[#This Row],[Dt Venc:]]=TODAY(),"Vence Hoje","Vencida")))</f>
        <v>Em Aberto</v>
      </c>
      <c r="F6172" s="3">
        <f ca="1">IF(G6172=1,"-",Tabela2[[#This Row],[Dt Venc:]]-TODAY())</f>
        <v>15</v>
      </c>
      <c r="G6172" s="3"/>
      <c r="H6172" s="3"/>
    </row>
    <row r="6173" spans="1:8">
      <c r="A6173" s="3">
        <v>69</v>
      </c>
      <c r="B6173" s="7" t="s">
        <v>631</v>
      </c>
      <c r="C6173" s="41">
        <v>625</v>
      </c>
      <c r="D6173" s="6">
        <v>45709</v>
      </c>
      <c r="E6173" s="3" t="str">
        <f ca="1">IF(Tabela2[[#This Row],[Dt Venc:]]&gt;TODAY(),"Em Aberto",IF(Tabela2[[#This Row],[D/venc]]="-","Enviado",IF(Tabela2[[#This Row],[Dt Venc:]]=TODAY(),"Vence Hoje","Vencida")))</f>
        <v>Em Aberto</v>
      </c>
      <c r="F6173" s="3">
        <f ca="1">IF(G6173=1,"-",Tabela2[[#This Row],[Dt Venc:]]-TODAY())</f>
        <v>16</v>
      </c>
      <c r="G6173" s="3"/>
      <c r="H6173" s="3"/>
    </row>
    <row r="6174" spans="1:8">
      <c r="A6174" s="3">
        <v>217</v>
      </c>
      <c r="B6174" s="7" t="s">
        <v>706</v>
      </c>
      <c r="C6174" s="41">
        <v>447</v>
      </c>
      <c r="D6174" s="6">
        <v>45709</v>
      </c>
      <c r="E6174" s="3" t="str">
        <f ca="1">IF(Tabela2[[#This Row],[Dt Venc:]]&gt;TODAY(),"Em Aberto",IF(Tabela2[[#This Row],[D/venc]]="-","Enviado",IF(Tabela2[[#This Row],[Dt Venc:]]=TODAY(),"Vence Hoje","Vencida")))</f>
        <v>Em Aberto</v>
      </c>
      <c r="F6174" s="3">
        <f ca="1">IF(G6174=1,"-",Tabela2[[#This Row],[Dt Venc:]]-TODAY())</f>
        <v>16</v>
      </c>
      <c r="G6174" s="3"/>
      <c r="H6174" s="3"/>
    </row>
    <row r="6175" spans="1:8">
      <c r="A6175" s="3">
        <v>1414</v>
      </c>
      <c r="B6175" s="7" t="s">
        <v>113</v>
      </c>
      <c r="C6175" s="41">
        <v>1316.66</v>
      </c>
      <c r="D6175" s="6">
        <v>45709</v>
      </c>
      <c r="E6175" s="3" t="str">
        <f ca="1">IF(Tabela2[[#This Row],[Dt Venc:]]&gt;TODAY(),"Em Aberto",IF(Tabela2[[#This Row],[D/venc]]="-","Enviado",IF(Tabela2[[#This Row],[Dt Venc:]]=TODAY(),"Vence Hoje","Vencida")))</f>
        <v>Em Aberto</v>
      </c>
      <c r="F6175" s="3">
        <f ca="1">IF(G6175=1,"-",Tabela2[[#This Row],[Dt Venc:]]-TODAY())</f>
        <v>16</v>
      </c>
      <c r="G6175" s="3"/>
      <c r="H6175" s="3"/>
    </row>
    <row r="6176" spans="1:8">
      <c r="A6176" s="3">
        <v>2863</v>
      </c>
      <c r="B6176" s="7" t="s">
        <v>58</v>
      </c>
      <c r="C6176" s="41">
        <v>1749.87</v>
      </c>
      <c r="D6176" s="6">
        <v>45709</v>
      </c>
      <c r="E6176" s="3" t="str">
        <f ca="1">IF(Tabela2[[#This Row],[Dt Venc:]]&gt;TODAY(),"Em Aberto",IF(Tabela2[[#This Row],[D/venc]]="-","Enviado",IF(Tabela2[[#This Row],[Dt Venc:]]=TODAY(),"Vence Hoje","Vencida")))</f>
        <v>Em Aberto</v>
      </c>
      <c r="F6176" s="3">
        <f ca="1">IF(G6176=1,"-",Tabela2[[#This Row],[Dt Venc:]]-TODAY())</f>
        <v>16</v>
      </c>
      <c r="G6176" s="3"/>
      <c r="H6176" s="3"/>
    </row>
    <row r="6177" spans="1:8">
      <c r="A6177" s="3">
        <v>8399</v>
      </c>
      <c r="B6177" s="7" t="s">
        <v>647</v>
      </c>
      <c r="C6177" s="41">
        <v>212</v>
      </c>
      <c r="D6177" s="6">
        <v>45709</v>
      </c>
      <c r="E6177" s="3" t="str">
        <f ca="1">IF(Tabela2[[#This Row],[Dt Venc:]]&gt;TODAY(),"Em Aberto",IF(Tabela2[[#This Row],[D/venc]]="-","Enviado",IF(Tabela2[[#This Row],[Dt Venc:]]=TODAY(),"Vence Hoje","Vencida")))</f>
        <v>Em Aberto</v>
      </c>
      <c r="F6177" s="3">
        <f ca="1">IF(G6177=1,"-",Tabela2[[#This Row],[Dt Venc:]]-TODAY())</f>
        <v>16</v>
      </c>
      <c r="G6177" s="3"/>
      <c r="H6177" s="3"/>
    </row>
    <row r="6178" spans="1:8">
      <c r="A6178" s="3">
        <v>11149</v>
      </c>
      <c r="B6178" s="7" t="s">
        <v>33</v>
      </c>
      <c r="C6178" s="41">
        <v>800</v>
      </c>
      <c r="D6178" s="6">
        <v>45709</v>
      </c>
      <c r="E6178" s="3" t="str">
        <f ca="1">IF(Tabela2[[#This Row],[Dt Venc:]]&gt;TODAY(),"Em Aberto",IF(Tabela2[[#This Row],[D/venc]]="-","Enviado",IF(Tabela2[[#This Row],[Dt Venc:]]=TODAY(),"Vence Hoje","Vencida")))</f>
        <v>Em Aberto</v>
      </c>
      <c r="F6178" s="3">
        <f ca="1">IF(G6178=1,"-",Tabela2[[#This Row],[Dt Venc:]]-TODAY())</f>
        <v>16</v>
      </c>
      <c r="G6178" s="3"/>
      <c r="H6178" s="3"/>
    </row>
    <row r="6179" spans="1:8">
      <c r="A6179" s="3">
        <v>12186</v>
      </c>
      <c r="B6179" s="7" t="s">
        <v>211</v>
      </c>
      <c r="C6179" s="41">
        <v>1070</v>
      </c>
      <c r="D6179" s="6">
        <v>45709</v>
      </c>
      <c r="E6179" s="3" t="str">
        <f ca="1">IF(Tabela2[[#This Row],[Dt Venc:]]&gt;TODAY(),"Em Aberto",IF(Tabela2[[#This Row],[D/venc]]="-","Enviado",IF(Tabela2[[#This Row],[Dt Venc:]]=TODAY(),"Vence Hoje","Vencida")))</f>
        <v>Em Aberto</v>
      </c>
      <c r="F6179" s="3">
        <f ca="1">IF(G6179=1,"-",Tabela2[[#This Row],[Dt Venc:]]-TODAY())</f>
        <v>16</v>
      </c>
      <c r="G6179" s="3"/>
      <c r="H6179" s="3"/>
    </row>
    <row r="6180" spans="1:8">
      <c r="A6180" s="3">
        <v>13413</v>
      </c>
      <c r="B6180" s="7" t="s">
        <v>70</v>
      </c>
      <c r="C6180" s="41">
        <v>573.64</v>
      </c>
      <c r="D6180" s="6">
        <v>45709</v>
      </c>
      <c r="E6180" s="3" t="str">
        <f ca="1">IF(Tabela2[[#This Row],[Dt Venc:]]&gt;TODAY(),"Em Aberto",IF(Tabela2[[#This Row],[D/venc]]="-","Enviado",IF(Tabela2[[#This Row],[Dt Venc:]]=TODAY(),"Vence Hoje","Vencida")))</f>
        <v>Em Aberto</v>
      </c>
      <c r="F6180" s="3">
        <f ca="1">IF(G6180=1,"-",Tabela2[[#This Row],[Dt Venc:]]-TODAY())</f>
        <v>16</v>
      </c>
      <c r="G6180" s="3"/>
      <c r="H6180" s="3"/>
    </row>
    <row r="6181" spans="1:8">
      <c r="A6181" s="3">
        <v>15323</v>
      </c>
      <c r="B6181" s="7" t="s">
        <v>99</v>
      </c>
      <c r="C6181" s="41">
        <v>1168.75</v>
      </c>
      <c r="D6181" s="6">
        <v>45709</v>
      </c>
      <c r="E6181" s="3" t="str">
        <f ca="1">IF(Tabela2[[#This Row],[Dt Venc:]]&gt;TODAY(),"Em Aberto",IF(Tabela2[[#This Row],[D/venc]]="-","Enviado",IF(Tabela2[[#This Row],[Dt Venc:]]=TODAY(),"Vence Hoje","Vencida")))</f>
        <v>Em Aberto</v>
      </c>
      <c r="F6181" s="3">
        <f ca="1">IF(G6181=1,"-",Tabela2[[#This Row],[Dt Venc:]]-TODAY())</f>
        <v>16</v>
      </c>
      <c r="G6181" s="3"/>
      <c r="H6181" s="3"/>
    </row>
    <row r="6182" spans="1:8">
      <c r="A6182" s="3">
        <v>30058</v>
      </c>
      <c r="B6182" s="7" t="s">
        <v>97</v>
      </c>
      <c r="C6182" s="42">
        <v>4765</v>
      </c>
      <c r="D6182" s="6">
        <v>45709</v>
      </c>
      <c r="E6182" s="3" t="str">
        <f ca="1">IF(Tabela2[[#This Row],[Dt Venc:]]&gt;TODAY(),"Em Aberto",IF(Tabela2[[#This Row],[D/venc]]="-","Enviado",IF(Tabela2[[#This Row],[Dt Venc:]]=TODAY(),"Vence Hoje","Vencida")))</f>
        <v>Em Aberto</v>
      </c>
      <c r="F6182" s="3">
        <f ca="1">IF(G6182=1,"-",Tabela2[[#This Row],[Dt Venc:]]-TODAY())</f>
        <v>16</v>
      </c>
      <c r="G6182" s="3"/>
      <c r="H6182" s="3"/>
    </row>
    <row r="6183" spans="1:8">
      <c r="A6183" s="3">
        <v>156053</v>
      </c>
      <c r="B6183" s="7" t="s">
        <v>77</v>
      </c>
      <c r="C6183" s="41">
        <v>773.33</v>
      </c>
      <c r="D6183" s="6">
        <v>45709</v>
      </c>
      <c r="E6183" s="3" t="str">
        <f ca="1">IF(Tabela2[[#This Row],[Dt Venc:]]&gt;TODAY(),"Em Aberto",IF(Tabela2[[#This Row],[D/venc]]="-","Enviado",IF(Tabela2[[#This Row],[Dt Venc:]]=TODAY(),"Vence Hoje","Vencida")))</f>
        <v>Em Aberto</v>
      </c>
      <c r="F6183" s="3">
        <f ca="1">IF(G6183=1,"-",Tabela2[[#This Row],[Dt Venc:]]-TODAY())</f>
        <v>16</v>
      </c>
      <c r="G6183" s="3"/>
      <c r="H6183" s="3"/>
    </row>
    <row r="6184" spans="1:8">
      <c r="A6184" s="3">
        <v>156054</v>
      </c>
      <c r="B6184" s="7" t="s">
        <v>77</v>
      </c>
      <c r="C6184" s="41">
        <v>1233.33</v>
      </c>
      <c r="D6184" s="6">
        <v>45709</v>
      </c>
      <c r="E6184" s="3" t="str">
        <f ca="1">IF(Tabela2[[#This Row],[Dt Venc:]]&gt;TODAY(),"Em Aberto",IF(Tabela2[[#This Row],[D/venc]]="-","Enviado",IF(Tabela2[[#This Row],[Dt Venc:]]=TODAY(),"Vence Hoje","Vencida")))</f>
        <v>Em Aberto</v>
      </c>
      <c r="F6184" s="3">
        <f ca="1">IF(G6184=1,"-",Tabela2[[#This Row],[Dt Venc:]]-TODAY())</f>
        <v>16</v>
      </c>
      <c r="G6184" s="3"/>
      <c r="H6184" s="3"/>
    </row>
    <row r="6185" spans="1:8">
      <c r="A6185" s="3">
        <v>229739</v>
      </c>
      <c r="B6185" s="7" t="s">
        <v>127</v>
      </c>
      <c r="C6185" s="41">
        <v>321.13</v>
      </c>
      <c r="D6185" s="6">
        <v>45709</v>
      </c>
      <c r="E6185" s="3" t="str">
        <f ca="1">IF(Tabela2[[#This Row],[Dt Venc:]]&gt;TODAY(),"Em Aberto",IF(Tabela2[[#This Row],[D/venc]]="-","Enviado",IF(Tabela2[[#This Row],[Dt Venc:]]=TODAY(),"Vence Hoje","Vencida")))</f>
        <v>Em Aberto</v>
      </c>
      <c r="F6185" s="3">
        <f ca="1">IF(G6185=1,"-",Tabela2[[#This Row],[Dt Venc:]]-TODAY())</f>
        <v>16</v>
      </c>
      <c r="G6185" s="3"/>
      <c r="H6185" s="3"/>
    </row>
    <row r="6186" spans="1:8">
      <c r="A6186" s="3">
        <v>241758</v>
      </c>
      <c r="B6186" s="7" t="s">
        <v>509</v>
      </c>
      <c r="C6186" s="41">
        <v>990</v>
      </c>
      <c r="D6186" s="6">
        <v>45709</v>
      </c>
      <c r="E6186" s="3" t="str">
        <f ca="1">IF(Tabela2[[#This Row],[Dt Venc:]]&gt;TODAY(),"Em Aberto",IF(Tabela2[[#This Row],[D/venc]]="-","Enviado",IF(Tabela2[[#This Row],[Dt Venc:]]=TODAY(),"Vence Hoje","Vencida")))</f>
        <v>Em Aberto</v>
      </c>
      <c r="F6186" s="3">
        <f ca="1">IF(G6186=1,"-",Tabela2[[#This Row],[Dt Venc:]]-TODAY())</f>
        <v>16</v>
      </c>
      <c r="G6186" s="3"/>
      <c r="H6186" s="3"/>
    </row>
    <row r="6187" spans="1:8">
      <c r="A6187" s="3">
        <v>259550</v>
      </c>
      <c r="B6187" s="7" t="s">
        <v>49</v>
      </c>
      <c r="C6187" s="41">
        <v>1373.34</v>
      </c>
      <c r="D6187" s="6">
        <v>45709</v>
      </c>
      <c r="E6187" s="3" t="str">
        <f ca="1">IF(Tabela2[[#This Row],[Dt Venc:]]&gt;TODAY(),"Em Aberto",IF(Tabela2[[#This Row],[D/venc]]="-","Enviado",IF(Tabela2[[#This Row],[Dt Venc:]]=TODAY(),"Vence Hoje","Vencida")))</f>
        <v>Em Aberto</v>
      </c>
      <c r="F6187" s="3">
        <f ca="1">IF(G6187=1,"-",Tabela2[[#This Row],[Dt Venc:]]-TODAY())</f>
        <v>16</v>
      </c>
      <c r="G6187" s="3"/>
      <c r="H6187" s="3"/>
    </row>
    <row r="6188" spans="1:8">
      <c r="A6188" s="3">
        <v>259813</v>
      </c>
      <c r="B6188" s="7" t="s">
        <v>49</v>
      </c>
      <c r="C6188" s="41">
        <v>1373.34</v>
      </c>
      <c r="D6188" s="6">
        <v>45709</v>
      </c>
      <c r="E6188" s="3" t="str">
        <f ca="1">IF(Tabela2[[#This Row],[Dt Venc:]]&gt;TODAY(),"Em Aberto",IF(Tabela2[[#This Row],[D/venc]]="-","Enviado",IF(Tabela2[[#This Row],[Dt Venc:]]=TODAY(),"Vence Hoje","Vencida")))</f>
        <v>Em Aberto</v>
      </c>
      <c r="F6188" s="3">
        <f ca="1">IF(G6188=1,"-",Tabela2[[#This Row],[Dt Venc:]]-TODAY())</f>
        <v>16</v>
      </c>
      <c r="G6188" s="3"/>
      <c r="H6188" s="3"/>
    </row>
    <row r="6189" spans="1:8">
      <c r="A6189" s="3">
        <v>260117</v>
      </c>
      <c r="B6189" s="7" t="s">
        <v>49</v>
      </c>
      <c r="C6189" s="41">
        <v>1030</v>
      </c>
      <c r="D6189" s="6">
        <v>45709</v>
      </c>
      <c r="E6189" s="3" t="str">
        <f ca="1">IF(Tabela2[[#This Row],[Dt Venc:]]&gt;TODAY(),"Em Aberto",IF(Tabela2[[#This Row],[D/venc]]="-","Enviado",IF(Tabela2[[#This Row],[Dt Venc:]]=TODAY(),"Vence Hoje","Vencida")))</f>
        <v>Em Aberto</v>
      </c>
      <c r="F6189" s="3">
        <f ca="1">IF(G6189=1,"-",Tabela2[[#This Row],[Dt Venc:]]-TODAY())</f>
        <v>16</v>
      </c>
      <c r="G6189" s="3"/>
      <c r="H6189" s="3"/>
    </row>
    <row r="6190" spans="1:8">
      <c r="A6190" s="3">
        <v>305700</v>
      </c>
      <c r="B6190" s="7" t="s">
        <v>506</v>
      </c>
      <c r="C6190" s="41">
        <v>3072.34</v>
      </c>
      <c r="D6190" s="6">
        <v>45709</v>
      </c>
      <c r="E6190" s="3" t="str">
        <f ca="1">IF(Tabela2[[#This Row],[Dt Venc:]]&gt;TODAY(),"Em Aberto",IF(Tabela2[[#This Row],[D/venc]]="-","Enviado",IF(Tabela2[[#This Row],[Dt Venc:]]=TODAY(),"Vence Hoje","Vencida")))</f>
        <v>Em Aberto</v>
      </c>
      <c r="F6190" s="3">
        <f ca="1">IF(G6190=1,"-",Tabela2[[#This Row],[Dt Venc:]]-TODAY())</f>
        <v>16</v>
      </c>
      <c r="G6190" s="3"/>
      <c r="H6190" s="3"/>
    </row>
    <row r="6191" spans="1:8">
      <c r="A6191" s="3">
        <v>368056</v>
      </c>
      <c r="B6191" s="7" t="s">
        <v>333</v>
      </c>
      <c r="C6191" s="41">
        <v>925.3</v>
      </c>
      <c r="D6191" s="6">
        <v>45709</v>
      </c>
      <c r="E6191" s="3" t="str">
        <f ca="1">IF(Tabela2[[#This Row],[Dt Venc:]]&gt;TODAY(),"Em Aberto",IF(Tabela2[[#This Row],[D/venc]]="-","Enviado",IF(Tabela2[[#This Row],[Dt Venc:]]=TODAY(),"Vence Hoje","Vencida")))</f>
        <v>Em Aberto</v>
      </c>
      <c r="F6191" s="3">
        <f ca="1">IF(G6191=1,"-",Tabela2[[#This Row],[Dt Venc:]]-TODAY())</f>
        <v>16</v>
      </c>
      <c r="G6191" s="3"/>
      <c r="H6191" s="3"/>
    </row>
    <row r="6192" spans="1:8">
      <c r="A6192" s="3">
        <v>371022</v>
      </c>
      <c r="B6192" s="7" t="s">
        <v>39</v>
      </c>
      <c r="C6192" s="41">
        <v>1295.69</v>
      </c>
      <c r="D6192" s="6">
        <v>45709</v>
      </c>
      <c r="E6192" s="3" t="str">
        <f ca="1">IF(Tabela2[[#This Row],[Dt Venc:]]&gt;TODAY(),"Em Aberto",IF(Tabela2[[#This Row],[D/venc]]="-","Enviado",IF(Tabela2[[#This Row],[Dt Venc:]]=TODAY(),"Vence Hoje","Vencida")))</f>
        <v>Em Aberto</v>
      </c>
      <c r="F6192" s="3">
        <f ca="1">IF(G6192=1,"-",Tabela2[[#This Row],[Dt Venc:]]-TODAY())</f>
        <v>16</v>
      </c>
      <c r="G6192" s="3"/>
      <c r="H6192" s="3"/>
    </row>
    <row r="6193" spans="1:8">
      <c r="A6193" s="3">
        <v>625901</v>
      </c>
      <c r="B6193" s="7" t="s">
        <v>66</v>
      </c>
      <c r="C6193" s="41">
        <v>460</v>
      </c>
      <c r="D6193" s="6">
        <v>45709</v>
      </c>
      <c r="E6193" s="3" t="str">
        <f ca="1">IF(Tabela2[[#This Row],[Dt Venc:]]&gt;TODAY(),"Em Aberto",IF(Tabela2[[#This Row],[D/venc]]="-","Enviado",IF(Tabela2[[#This Row],[Dt Venc:]]=TODAY(),"Vence Hoje","Vencida")))</f>
        <v>Em Aberto</v>
      </c>
      <c r="F6193" s="3">
        <f ca="1">IF(G6193=1,"-",Tabela2[[#This Row],[Dt Venc:]]-TODAY())</f>
        <v>16</v>
      </c>
      <c r="G6193" s="3"/>
      <c r="H6193" s="3"/>
    </row>
    <row r="6194" spans="1:8">
      <c r="A6194" s="3">
        <v>5216</v>
      </c>
      <c r="B6194" s="7" t="s">
        <v>176</v>
      </c>
      <c r="C6194" s="41">
        <v>1460</v>
      </c>
      <c r="D6194" s="6">
        <v>45709</v>
      </c>
      <c r="E6194" s="3" t="str">
        <f ca="1">IF(Tabela2[[#This Row],[Dt Venc:]]&gt;TODAY(),"Em Aberto",IF(Tabela2[[#This Row],[D/venc]]="-","Enviado",IF(Tabela2[[#This Row],[Dt Venc:]]=TODAY(),"Vence Hoje","Vencida")))</f>
        <v>Em Aberto</v>
      </c>
      <c r="F6194" s="3">
        <f ca="1">IF(G6194=1,"-",Tabela2[[#This Row],[Dt Venc:]]-TODAY())</f>
        <v>16</v>
      </c>
      <c r="G6194" s="3"/>
      <c r="H6194" s="3"/>
    </row>
    <row r="6195" spans="1:8">
      <c r="A6195" s="3">
        <v>4741</v>
      </c>
      <c r="B6195" s="7" t="s">
        <v>707</v>
      </c>
      <c r="C6195" s="41">
        <v>295.99</v>
      </c>
      <c r="D6195" s="6">
        <v>45709</v>
      </c>
      <c r="E6195" s="3" t="str">
        <f ca="1">IF(Tabela2[[#This Row],[Dt Venc:]]&gt;TODAY(),"Em Aberto",IF(Tabela2[[#This Row],[D/venc]]="-","Enviado",IF(Tabela2[[#This Row],[Dt Venc:]]=TODAY(),"Vence Hoje","Vencida")))</f>
        <v>Em Aberto</v>
      </c>
      <c r="F6195" s="3">
        <f ca="1">IF(G6195=1,"-",Tabela2[[#This Row],[Dt Venc:]]-TODAY())</f>
        <v>16</v>
      </c>
      <c r="G6195" s="3"/>
      <c r="H6195" s="3"/>
    </row>
    <row r="6196" spans="1:8">
      <c r="A6196" s="3">
        <v>217</v>
      </c>
      <c r="B6196" s="7" t="s">
        <v>711</v>
      </c>
      <c r="C6196" s="41">
        <v>447</v>
      </c>
      <c r="D6196" s="6">
        <v>45709</v>
      </c>
      <c r="E6196" s="3" t="str">
        <f ca="1">IF(Tabela2[[#This Row],[Dt Venc:]]&gt;TODAY(),"Em Aberto",IF(Tabela2[[#This Row],[D/venc]]="-","Enviado",IF(Tabela2[[#This Row],[Dt Venc:]]=TODAY(),"Vence Hoje","Vencida")))</f>
        <v>Em Aberto</v>
      </c>
      <c r="F6196" s="3">
        <f ca="1">IF(G6196=1,"-",Tabela2[[#This Row],[Dt Venc:]]-TODAY())</f>
        <v>16</v>
      </c>
      <c r="G6196" s="3"/>
      <c r="H6196" s="3"/>
    </row>
    <row r="6197" spans="1:8">
      <c r="A6197" s="3">
        <v>306658</v>
      </c>
      <c r="B6197" s="7" t="s">
        <v>506</v>
      </c>
      <c r="C6197" s="41">
        <v>1138</v>
      </c>
      <c r="D6197" s="6">
        <v>45709</v>
      </c>
      <c r="E6197" s="3" t="str">
        <f ca="1">IF(Tabela2[[#This Row],[Dt Venc:]]&gt;TODAY(),"Em Aberto",IF(Tabela2[[#This Row],[D/venc]]="-","Enviado",IF(Tabela2[[#This Row],[Dt Venc:]]=TODAY(),"Vence Hoje","Vencida")))</f>
        <v>Em Aberto</v>
      </c>
      <c r="F6197" s="3">
        <f ca="1">IF(G6197=1,"-",Tabela2[[#This Row],[Dt Venc:]]-TODAY())</f>
        <v>16</v>
      </c>
      <c r="G6197" s="3"/>
      <c r="H6197" s="3"/>
    </row>
    <row r="6198" spans="1:8">
      <c r="A6198" s="3">
        <v>306658</v>
      </c>
      <c r="B6198" s="7" t="s">
        <v>506</v>
      </c>
      <c r="C6198" s="41">
        <v>1138</v>
      </c>
      <c r="D6198" s="6">
        <v>45709</v>
      </c>
      <c r="E6198" s="3" t="str">
        <f ca="1">IF(Tabela2[[#This Row],[Dt Venc:]]&gt;TODAY(),"Em Aberto",IF(Tabela2[[#This Row],[D/venc]]="-","Enviado",IF(Tabela2[[#This Row],[Dt Venc:]]=TODAY(),"Vence Hoje","Vencida")))</f>
        <v>Em Aberto</v>
      </c>
      <c r="F6198" s="3">
        <f ca="1">IF(G6198=1,"-",Tabela2[[#This Row],[Dt Venc:]]-TODAY())</f>
        <v>16</v>
      </c>
      <c r="G6198" s="3"/>
      <c r="H6198" s="3"/>
    </row>
    <row r="6199" spans="1:8">
      <c r="A6199" s="3">
        <v>23703</v>
      </c>
      <c r="B6199" s="7" t="s">
        <v>712</v>
      </c>
      <c r="C6199" s="41">
        <v>862.5</v>
      </c>
      <c r="D6199" s="6">
        <v>45709</v>
      </c>
      <c r="E6199" s="3" t="str">
        <f ca="1">IF(Tabela2[[#This Row],[Dt Venc:]]&gt;TODAY(),"Em Aberto",IF(Tabela2[[#This Row],[D/venc]]="-","Enviado",IF(Tabela2[[#This Row],[Dt Venc:]]=TODAY(),"Vence Hoje","Vencida")))</f>
        <v>Em Aberto</v>
      </c>
      <c r="F6199" s="3">
        <f ca="1">IF(G6199=1,"-",Tabela2[[#This Row],[Dt Venc:]]-TODAY())</f>
        <v>16</v>
      </c>
      <c r="G6199" s="3"/>
      <c r="H6199" s="3"/>
    </row>
    <row r="6200" spans="1:8">
      <c r="A6200" s="3">
        <v>36</v>
      </c>
      <c r="B6200" s="7" t="s">
        <v>103</v>
      </c>
      <c r="C6200" s="41">
        <v>583.29999999999995</v>
      </c>
      <c r="D6200" s="6">
        <v>45710</v>
      </c>
      <c r="E6200" s="3" t="str">
        <f ca="1">IF(Tabela2[[#This Row],[Dt Venc:]]&gt;TODAY(),"Em Aberto",IF(Tabela2[[#This Row],[D/venc]]="-","Enviado",IF(Tabela2[[#This Row],[Dt Venc:]]=TODAY(),"Vence Hoje","Vencida")))</f>
        <v>Em Aberto</v>
      </c>
      <c r="F6200" s="3">
        <f ca="1">IF(G6200=1,"-",Tabela2[[#This Row],[Dt Venc:]]-TODAY())</f>
        <v>17</v>
      </c>
      <c r="G6200" s="3"/>
      <c r="H6200" s="3"/>
    </row>
    <row r="6201" spans="1:8">
      <c r="A6201" s="3">
        <v>2896</v>
      </c>
      <c r="B6201" s="7" t="s">
        <v>301</v>
      </c>
      <c r="C6201" s="41">
        <v>2846.67</v>
      </c>
      <c r="D6201" s="6">
        <v>45710</v>
      </c>
      <c r="E6201" s="3" t="str">
        <f ca="1">IF(Tabela2[[#This Row],[Dt Venc:]]&gt;TODAY(),"Em Aberto",IF(Tabela2[[#This Row],[D/venc]]="-","Enviado",IF(Tabela2[[#This Row],[Dt Venc:]]=TODAY(),"Vence Hoje","Vencida")))</f>
        <v>Em Aberto</v>
      </c>
      <c r="F6201" s="3">
        <f ca="1">IF(G6201=1,"-",Tabela2[[#This Row],[Dt Venc:]]-TODAY())</f>
        <v>17</v>
      </c>
      <c r="G6201" s="3"/>
      <c r="H6201" s="3"/>
    </row>
    <row r="6202" spans="1:8">
      <c r="A6202" s="3">
        <v>11156</v>
      </c>
      <c r="B6202" s="7" t="s">
        <v>33</v>
      </c>
      <c r="C6202" s="41">
        <v>1728.3</v>
      </c>
      <c r="D6202" s="6">
        <v>45710</v>
      </c>
      <c r="E6202" s="3" t="str">
        <f ca="1">IF(Tabela2[[#This Row],[Dt Venc:]]&gt;TODAY(),"Em Aberto",IF(Tabela2[[#This Row],[D/venc]]="-","Enviado",IF(Tabela2[[#This Row],[Dt Venc:]]=TODAY(),"Vence Hoje","Vencida")))</f>
        <v>Em Aberto</v>
      </c>
      <c r="F6202" s="3">
        <f ca="1">IF(G6202=1,"-",Tabela2[[#This Row],[Dt Venc:]]-TODAY())</f>
        <v>17</v>
      </c>
      <c r="G6202" s="3"/>
      <c r="H6202" s="3"/>
    </row>
    <row r="6203" spans="1:8">
      <c r="A6203" s="3">
        <v>18500</v>
      </c>
      <c r="B6203" s="7" t="s">
        <v>115</v>
      </c>
      <c r="C6203" s="41">
        <v>2363.5</v>
      </c>
      <c r="D6203" s="6">
        <v>45710</v>
      </c>
      <c r="E6203" s="3" t="str">
        <f ca="1">IF(Tabela2[[#This Row],[Dt Venc:]]&gt;TODAY(),"Em Aberto",IF(Tabela2[[#This Row],[D/venc]]="-","Enviado",IF(Tabela2[[#This Row],[Dt Venc:]]=TODAY(),"Vence Hoje","Vencida")))</f>
        <v>Em Aberto</v>
      </c>
      <c r="F6203" s="3">
        <f ca="1">IF(G6203=1,"-",Tabela2[[#This Row],[Dt Venc:]]-TODAY())</f>
        <v>17</v>
      </c>
      <c r="G6203" s="3"/>
      <c r="H6203" s="3"/>
    </row>
    <row r="6204" spans="1:8">
      <c r="A6204" s="3">
        <v>29640</v>
      </c>
      <c r="B6204" s="7" t="s">
        <v>97</v>
      </c>
      <c r="C6204" s="42">
        <v>4585</v>
      </c>
      <c r="D6204" s="6">
        <v>45710</v>
      </c>
      <c r="E6204" s="3" t="str">
        <f ca="1">IF(Tabela2[[#This Row],[Dt Venc:]]&gt;TODAY(),"Em Aberto",IF(Tabela2[[#This Row],[D/venc]]="-","Enviado",IF(Tabela2[[#This Row],[Dt Venc:]]=TODAY(),"Vence Hoje","Vencida")))</f>
        <v>Em Aberto</v>
      </c>
      <c r="F6204" s="3">
        <f ca="1">IF(G6204=1,"-",Tabela2[[#This Row],[Dt Venc:]]-TODAY())</f>
        <v>17</v>
      </c>
      <c r="G6204" s="3"/>
      <c r="H6204" s="3"/>
    </row>
    <row r="6205" spans="1:8">
      <c r="A6205" s="3">
        <v>31063</v>
      </c>
      <c r="B6205" s="7" t="s">
        <v>97</v>
      </c>
      <c r="C6205" s="41">
        <v>2395</v>
      </c>
      <c r="D6205" s="6">
        <v>45710</v>
      </c>
      <c r="E6205" s="3" t="str">
        <f ca="1">IF(Tabela2[[#This Row],[Dt Venc:]]&gt;TODAY(),"Em Aberto",IF(Tabela2[[#This Row],[D/venc]]="-","Enviado",IF(Tabela2[[#This Row],[Dt Venc:]]=TODAY(),"Vence Hoje","Vencida")))</f>
        <v>Em Aberto</v>
      </c>
      <c r="F6205" s="3">
        <f ca="1">IF(G6205=1,"-",Tabela2[[#This Row],[Dt Venc:]]-TODAY())</f>
        <v>17</v>
      </c>
      <c r="G6205" s="3"/>
      <c r="H6205" s="3"/>
    </row>
    <row r="6206" spans="1:8">
      <c r="A6206" s="3">
        <v>31397</v>
      </c>
      <c r="B6206" s="7" t="s">
        <v>97</v>
      </c>
      <c r="C6206" s="41">
        <v>1710</v>
      </c>
      <c r="D6206" s="6">
        <v>45710</v>
      </c>
      <c r="E6206" s="3" t="str">
        <f ca="1">IF(Tabela2[[#This Row],[Dt Venc:]]&gt;TODAY(),"Em Aberto",IF(Tabela2[[#This Row],[D/venc]]="-","Enviado",IF(Tabela2[[#This Row],[Dt Venc:]]=TODAY(),"Vence Hoje","Vencida")))</f>
        <v>Em Aberto</v>
      </c>
      <c r="F6206" s="3">
        <f ca="1">IF(G6206=1,"-",Tabela2[[#This Row],[Dt Venc:]]-TODAY())</f>
        <v>17</v>
      </c>
      <c r="G6206" s="3"/>
      <c r="H6206" s="3"/>
    </row>
    <row r="6207" spans="1:8">
      <c r="A6207" s="3">
        <v>37348</v>
      </c>
      <c r="B6207" s="7" t="s">
        <v>167</v>
      </c>
      <c r="C6207" s="100" t="s">
        <v>32</v>
      </c>
      <c r="D6207" s="6">
        <v>45710</v>
      </c>
      <c r="E6207" s="3" t="str">
        <f ca="1">IF(Tabela2[[#This Row],[Dt Venc:]]&gt;TODAY(),"Em Aberto",IF(Tabela2[[#This Row],[D/venc]]="-","Enviado",IF(Tabela2[[#This Row],[Dt Venc:]]=TODAY(),"Vence Hoje","Vencida")))</f>
        <v>Em Aberto</v>
      </c>
      <c r="F6207" s="3">
        <f ca="1">IF(G6207=1,"-",Tabela2[[#This Row],[Dt Venc:]]-TODAY())</f>
        <v>17</v>
      </c>
      <c r="G6207" s="3"/>
      <c r="H6207" s="3"/>
    </row>
    <row r="6208" spans="1:8">
      <c r="A6208" s="3">
        <v>178715</v>
      </c>
      <c r="B6208" s="7" t="s">
        <v>211</v>
      </c>
      <c r="C6208" s="41">
        <v>926.66</v>
      </c>
      <c r="D6208" s="6">
        <v>45710</v>
      </c>
      <c r="E6208" s="3" t="str">
        <f ca="1">IF(Tabela2[[#This Row],[Dt Venc:]]&gt;TODAY(),"Em Aberto",IF(Tabela2[[#This Row],[D/venc]]="-","Enviado",IF(Tabela2[[#This Row],[Dt Venc:]]=TODAY(),"Vence Hoje","Vencida")))</f>
        <v>Em Aberto</v>
      </c>
      <c r="F6208" s="3">
        <f ca="1">IF(G6208=1,"-",Tabela2[[#This Row],[Dt Venc:]]-TODAY())</f>
        <v>17</v>
      </c>
      <c r="G6208" s="3"/>
      <c r="H6208" s="3"/>
    </row>
    <row r="6209" spans="1:8">
      <c r="A6209" s="3">
        <v>179405</v>
      </c>
      <c r="B6209" s="7" t="s">
        <v>211</v>
      </c>
      <c r="C6209" s="41">
        <v>2700</v>
      </c>
      <c r="D6209" s="6">
        <v>45710</v>
      </c>
      <c r="E6209" s="3" t="str">
        <f ca="1">IF(Tabela2[[#This Row],[Dt Venc:]]&gt;TODAY(),"Em Aberto",IF(Tabela2[[#This Row],[D/venc]]="-","Enviado",IF(Tabela2[[#This Row],[Dt Venc:]]=TODAY(),"Vence Hoje","Vencida")))</f>
        <v>Em Aberto</v>
      </c>
      <c r="F6209" s="3">
        <f ca="1">IF(G6209=1,"-",Tabela2[[#This Row],[Dt Venc:]]-TODAY())</f>
        <v>17</v>
      </c>
      <c r="G6209" s="3"/>
      <c r="H6209" s="3"/>
    </row>
    <row r="6210" spans="1:8">
      <c r="A6210" s="3">
        <v>432664</v>
      </c>
      <c r="B6210" s="7" t="s">
        <v>89</v>
      </c>
      <c r="C6210" s="41">
        <v>326</v>
      </c>
      <c r="D6210" s="6">
        <v>45710</v>
      </c>
      <c r="E6210" s="3" t="str">
        <f ca="1">IF(Tabela2[[#This Row],[Dt Venc:]]&gt;TODAY(),"Em Aberto",IF(Tabela2[[#This Row],[D/venc]]="-","Enviado",IF(Tabela2[[#This Row],[Dt Venc:]]=TODAY(),"Vence Hoje","Vencida")))</f>
        <v>Em Aberto</v>
      </c>
      <c r="F6210" s="3">
        <f ca="1">IF(G6210=1,"-",Tabela2[[#This Row],[Dt Venc:]]-TODAY())</f>
        <v>17</v>
      </c>
      <c r="G6210" s="3"/>
      <c r="H6210" s="3"/>
    </row>
    <row r="6211" spans="1:8">
      <c r="A6211" s="3">
        <v>451097</v>
      </c>
      <c r="B6211" s="7" t="s">
        <v>512</v>
      </c>
      <c r="C6211" s="41">
        <v>2380.4499999999998</v>
      </c>
      <c r="D6211" s="6">
        <v>45710</v>
      </c>
      <c r="E6211" s="3" t="str">
        <f ca="1">IF(Tabela2[[#This Row],[Dt Venc:]]&gt;TODAY(),"Em Aberto",IF(Tabela2[[#This Row],[D/venc]]="-","Enviado",IF(Tabela2[[#This Row],[Dt Venc:]]=TODAY(),"Vence Hoje","Vencida")))</f>
        <v>Em Aberto</v>
      </c>
      <c r="F6211" s="3">
        <f ca="1">IF(G6211=1,"-",Tabela2[[#This Row],[Dt Venc:]]-TODAY())</f>
        <v>17</v>
      </c>
      <c r="G6211" s="3"/>
      <c r="H6211" s="3"/>
    </row>
    <row r="6212" spans="1:8">
      <c r="A6212" s="3">
        <v>64097</v>
      </c>
      <c r="B6212" s="7" t="s">
        <v>713</v>
      </c>
      <c r="C6212" s="41">
        <v>600</v>
      </c>
      <c r="D6212" s="6">
        <v>45710</v>
      </c>
      <c r="E6212" s="3" t="str">
        <f ca="1">IF(Tabela2[[#This Row],[Dt Venc:]]&gt;TODAY(),"Em Aberto",IF(Tabela2[[#This Row],[D/venc]]="-","Enviado",IF(Tabela2[[#This Row],[Dt Venc:]]=TODAY(),"Vence Hoje","Vencida")))</f>
        <v>Em Aberto</v>
      </c>
      <c r="F6212" s="3">
        <f ca="1">IF(G6212=1,"-",Tabela2[[#This Row],[Dt Venc:]]-TODAY())</f>
        <v>17</v>
      </c>
      <c r="G6212" s="3"/>
      <c r="H6212" s="3"/>
    </row>
    <row r="6213" spans="1:8">
      <c r="A6213" s="3">
        <v>6284</v>
      </c>
      <c r="B6213" s="7" t="s">
        <v>140</v>
      </c>
      <c r="C6213" s="41">
        <v>555</v>
      </c>
      <c r="D6213" s="6">
        <v>45710</v>
      </c>
      <c r="E6213" s="3" t="str">
        <f ca="1">IF(Tabela2[[#This Row],[Dt Venc:]]&gt;TODAY(),"Em Aberto",IF(Tabela2[[#This Row],[D/venc]]="-","Enviado",IF(Tabela2[[#This Row],[Dt Venc:]]=TODAY(),"Vence Hoje","Vencida")))</f>
        <v>Em Aberto</v>
      </c>
      <c r="F6213" s="3">
        <f ca="1">IF(G6213=1,"-",Tabela2[[#This Row],[Dt Venc:]]-TODAY())</f>
        <v>17</v>
      </c>
      <c r="G6213" s="3"/>
      <c r="H6213" s="3"/>
    </row>
    <row r="6214" spans="1:8">
      <c r="A6214" s="3" t="s">
        <v>110</v>
      </c>
      <c r="B6214" s="7" t="s">
        <v>337</v>
      </c>
      <c r="C6214" s="42" t="s">
        <v>32</v>
      </c>
      <c r="D6214" s="6">
        <v>45711</v>
      </c>
      <c r="E6214" s="3" t="str">
        <f ca="1">IF(Tabela2[[#This Row],[Dt Venc:]]&gt;TODAY(),"Em Aberto",IF(Tabela2[[#This Row],[D/venc]]="-","Enviado",IF(Tabela2[[#This Row],[Dt Venc:]]=TODAY(),"Vence Hoje","Vencida")))</f>
        <v>Em Aberto</v>
      </c>
      <c r="F6214" s="3">
        <f ca="1">IF(G6214=1,"-",Tabela2[[#This Row],[Dt Venc:]]-TODAY())</f>
        <v>18</v>
      </c>
      <c r="G6214" s="3"/>
      <c r="H6214" s="3"/>
    </row>
    <row r="6215" spans="1:8">
      <c r="A6215" s="3">
        <v>1309</v>
      </c>
      <c r="B6215" s="7" t="s">
        <v>474</v>
      </c>
      <c r="C6215" s="41">
        <v>760</v>
      </c>
      <c r="D6215" s="6">
        <v>45711</v>
      </c>
      <c r="E6215" s="3" t="str">
        <f ca="1">IF(Tabela2[[#This Row],[Dt Venc:]]&gt;TODAY(),"Em Aberto",IF(Tabela2[[#This Row],[D/venc]]="-","Enviado",IF(Tabela2[[#This Row],[Dt Venc:]]=TODAY(),"Vence Hoje","Vencida")))</f>
        <v>Em Aberto</v>
      </c>
      <c r="F6215" s="3">
        <f ca="1">IF(G6215=1,"-",Tabela2[[#This Row],[Dt Venc:]]-TODAY())</f>
        <v>18</v>
      </c>
      <c r="G6215" s="3"/>
      <c r="H6215" s="3"/>
    </row>
    <row r="6216" spans="1:8">
      <c r="A6216" s="3">
        <v>1622</v>
      </c>
      <c r="B6216" s="7" t="s">
        <v>566</v>
      </c>
      <c r="C6216" s="41">
        <v>1053.33</v>
      </c>
      <c r="D6216" s="6">
        <v>45711</v>
      </c>
      <c r="E6216" s="3" t="str">
        <f ca="1">IF(Tabela2[[#This Row],[Dt Venc:]]&gt;TODAY(),"Em Aberto",IF(Tabela2[[#This Row],[D/venc]]="-","Enviado",IF(Tabela2[[#This Row],[Dt Venc:]]=TODAY(),"Vence Hoje","Vencida")))</f>
        <v>Em Aberto</v>
      </c>
      <c r="F6216" s="3">
        <f ca="1">IF(G6216=1,"-",Tabela2[[#This Row],[Dt Venc:]]-TODAY())</f>
        <v>18</v>
      </c>
      <c r="G6216" s="3"/>
      <c r="H6216" s="3"/>
    </row>
    <row r="6217" spans="1:8">
      <c r="A6217" s="3">
        <v>2032</v>
      </c>
      <c r="B6217" s="7" t="s">
        <v>409</v>
      </c>
      <c r="C6217" s="41">
        <v>483.33</v>
      </c>
      <c r="D6217" s="6">
        <v>45711</v>
      </c>
      <c r="E6217" s="3" t="str">
        <f ca="1">IF(Tabela2[[#This Row],[Dt Venc:]]&gt;TODAY(),"Em Aberto",IF(Tabela2[[#This Row],[D/venc]]="-","Enviado",IF(Tabela2[[#This Row],[Dt Venc:]]=TODAY(),"Vence Hoje","Vencida")))</f>
        <v>Em Aberto</v>
      </c>
      <c r="F6217" s="3">
        <f ca="1">IF(G6217=1,"-",Tabela2[[#This Row],[Dt Venc:]]-TODAY())</f>
        <v>18</v>
      </c>
      <c r="G6217" s="3"/>
      <c r="H6217" s="3"/>
    </row>
    <row r="6218" spans="1:8">
      <c r="A6218" s="3">
        <v>5843</v>
      </c>
      <c r="B6218" s="7" t="s">
        <v>685</v>
      </c>
      <c r="C6218" s="41">
        <v>137.66</v>
      </c>
      <c r="D6218" s="6">
        <v>45711</v>
      </c>
      <c r="E6218" s="3" t="str">
        <f ca="1">IF(Tabela2[[#This Row],[Dt Venc:]]&gt;TODAY(),"Em Aberto",IF(Tabela2[[#This Row],[D/venc]]="-","Enviado",IF(Tabela2[[#This Row],[Dt Venc:]]=TODAY(),"Vence Hoje","Vencida")))</f>
        <v>Em Aberto</v>
      </c>
      <c r="F6218" s="3">
        <f ca="1">IF(G6218=1,"-",Tabela2[[#This Row],[Dt Venc:]]-TODAY())</f>
        <v>18</v>
      </c>
      <c r="G6218" s="3"/>
      <c r="H6218" s="3"/>
    </row>
    <row r="6219" spans="1:8">
      <c r="A6219" s="3">
        <v>6195</v>
      </c>
      <c r="B6219" s="7" t="s">
        <v>47</v>
      </c>
      <c r="C6219" s="41">
        <v>1177.8399999999999</v>
      </c>
      <c r="D6219" s="6">
        <v>45711</v>
      </c>
      <c r="E6219" s="3" t="str">
        <f ca="1">IF(Tabela2[[#This Row],[Dt Venc:]]&gt;TODAY(),"Em Aberto",IF(Tabela2[[#This Row],[D/venc]]="-","Enviado",IF(Tabela2[[#This Row],[Dt Venc:]]=TODAY(),"Vence Hoje","Vencida")))</f>
        <v>Em Aberto</v>
      </c>
      <c r="F6219" s="3">
        <f ca="1">IF(G6219=1,"-",Tabela2[[#This Row],[Dt Venc:]]-TODAY())</f>
        <v>18</v>
      </c>
      <c r="G6219" s="3"/>
      <c r="H6219" s="3"/>
    </row>
    <row r="6220" spans="1:8">
      <c r="A6220" s="3">
        <v>11278</v>
      </c>
      <c r="B6220" s="7" t="s">
        <v>33</v>
      </c>
      <c r="C6220" s="41">
        <v>1905</v>
      </c>
      <c r="D6220" s="6">
        <v>45711</v>
      </c>
      <c r="E6220" s="3" t="str">
        <f ca="1">IF(Tabela2[[#This Row],[Dt Venc:]]&gt;TODAY(),"Em Aberto",IF(Tabela2[[#This Row],[D/venc]]="-","Enviado",IF(Tabela2[[#This Row],[Dt Venc:]]=TODAY(),"Vence Hoje","Vencida")))</f>
        <v>Em Aberto</v>
      </c>
      <c r="F6220" s="3">
        <f ca="1">IF(G6220=1,"-",Tabela2[[#This Row],[Dt Venc:]]-TODAY())</f>
        <v>18</v>
      </c>
      <c r="G6220" s="3"/>
      <c r="H6220" s="3"/>
    </row>
    <row r="6221" spans="1:8">
      <c r="A6221" s="3">
        <v>11369</v>
      </c>
      <c r="B6221" s="7" t="s">
        <v>33</v>
      </c>
      <c r="C6221" s="41">
        <v>1676.66</v>
      </c>
      <c r="D6221" s="6">
        <v>45711</v>
      </c>
      <c r="E6221" s="3" t="str">
        <f ca="1">IF(Tabela2[[#This Row],[Dt Venc:]]&gt;TODAY(),"Em Aberto",IF(Tabela2[[#This Row],[D/venc]]="-","Enviado",IF(Tabela2[[#This Row],[Dt Venc:]]=TODAY(),"Vence Hoje","Vencida")))</f>
        <v>Em Aberto</v>
      </c>
      <c r="F6221" s="3">
        <f ca="1">IF(G6221=1,"-",Tabela2[[#This Row],[Dt Venc:]]-TODAY())</f>
        <v>18</v>
      </c>
      <c r="G6221" s="3"/>
      <c r="H6221" s="3"/>
    </row>
    <row r="6222" spans="1:8">
      <c r="A6222" s="3">
        <v>23857</v>
      </c>
      <c r="B6222" s="7" t="s">
        <v>38</v>
      </c>
      <c r="C6222" s="41">
        <v>366.67</v>
      </c>
      <c r="D6222" s="6">
        <v>45711</v>
      </c>
      <c r="E6222" s="3" t="str">
        <f ca="1">IF(Tabela2[[#This Row],[Dt Venc:]]&gt;TODAY(),"Em Aberto",IF(Tabela2[[#This Row],[D/venc]]="-","Enviado",IF(Tabela2[[#This Row],[Dt Venc:]]=TODAY(),"Vence Hoje","Vencida")))</f>
        <v>Em Aberto</v>
      </c>
      <c r="F6222" s="3">
        <f ca="1">IF(G6222=1,"-",Tabela2[[#This Row],[Dt Venc:]]-TODAY())</f>
        <v>18</v>
      </c>
      <c r="G6222" s="3"/>
      <c r="H6222" s="3"/>
    </row>
    <row r="6223" spans="1:8">
      <c r="A6223" s="3">
        <v>45738</v>
      </c>
      <c r="B6223" s="7" t="s">
        <v>527</v>
      </c>
      <c r="C6223" s="41">
        <v>473.72</v>
      </c>
      <c r="D6223" s="6">
        <v>45711</v>
      </c>
      <c r="E6223" s="3" t="str">
        <f ca="1">IF(Tabela2[[#This Row],[Dt Venc:]]&gt;TODAY(),"Em Aberto",IF(Tabela2[[#This Row],[D/venc]]="-","Enviado",IF(Tabela2[[#This Row],[Dt Venc:]]=TODAY(),"Vence Hoje","Vencida")))</f>
        <v>Em Aberto</v>
      </c>
      <c r="F6223" s="3">
        <f ca="1">IF(G6223=1,"-",Tabela2[[#This Row],[Dt Venc:]]-TODAY())</f>
        <v>18</v>
      </c>
      <c r="G6223" s="3"/>
      <c r="H6223" s="3"/>
    </row>
    <row r="6224" spans="1:8">
      <c r="A6224" s="3">
        <v>89543</v>
      </c>
      <c r="B6224" s="7" t="s">
        <v>565</v>
      </c>
      <c r="C6224" s="41">
        <v>1516.67</v>
      </c>
      <c r="D6224" s="6">
        <v>45711</v>
      </c>
      <c r="E6224" s="3" t="str">
        <f ca="1">IF(Tabela2[[#This Row],[Dt Venc:]]&gt;TODAY(),"Em Aberto",IF(Tabela2[[#This Row],[D/venc]]="-","Enviado",IF(Tabela2[[#This Row],[Dt Venc:]]=TODAY(),"Vence Hoje","Vencida")))</f>
        <v>Em Aberto</v>
      </c>
      <c r="F6224" s="3">
        <f ca="1">IF(G6224=1,"-",Tabela2[[#This Row],[Dt Venc:]]-TODAY())</f>
        <v>18</v>
      </c>
      <c r="G6224" s="3"/>
      <c r="H6224" s="3"/>
    </row>
    <row r="6225" spans="1:8">
      <c r="A6225" s="3">
        <v>115744</v>
      </c>
      <c r="B6225" s="7" t="s">
        <v>209</v>
      </c>
      <c r="C6225" s="41">
        <v>707.33</v>
      </c>
      <c r="D6225" s="6">
        <v>45711</v>
      </c>
      <c r="E6225" s="3" t="str">
        <f ca="1">IF(Tabela2[[#This Row],[Dt Venc:]]&gt;TODAY(),"Em Aberto",IF(Tabela2[[#This Row],[D/venc]]="-","Enviado",IF(Tabela2[[#This Row],[Dt Venc:]]=TODAY(),"Vence Hoje","Vencida")))</f>
        <v>Em Aberto</v>
      </c>
      <c r="F6225" s="3">
        <f ca="1">IF(G6225=1,"-",Tabela2[[#This Row],[Dt Venc:]]-TODAY())</f>
        <v>18</v>
      </c>
      <c r="G6225" s="3"/>
      <c r="H6225" s="3"/>
    </row>
    <row r="6226" spans="1:8">
      <c r="A6226" s="3">
        <v>147289</v>
      </c>
      <c r="B6226" s="7" t="s">
        <v>127</v>
      </c>
      <c r="C6226" s="41">
        <v>802.67</v>
      </c>
      <c r="D6226" s="6">
        <v>45711</v>
      </c>
      <c r="E6226" s="3" t="str">
        <f ca="1">IF(Tabela2[[#This Row],[Dt Venc:]]&gt;TODAY(),"Em Aberto",IF(Tabela2[[#This Row],[D/venc]]="-","Enviado",IF(Tabela2[[#This Row],[Dt Venc:]]=TODAY(),"Vence Hoje","Vencida")))</f>
        <v>Em Aberto</v>
      </c>
      <c r="F6226" s="3">
        <f ca="1">IF(G6226=1,"-",Tabela2[[#This Row],[Dt Venc:]]-TODAY())</f>
        <v>18</v>
      </c>
      <c r="G6226" s="3"/>
      <c r="H6226" s="3"/>
    </row>
    <row r="6227" spans="1:8">
      <c r="A6227" s="3">
        <v>147291</v>
      </c>
      <c r="B6227" s="7" t="s">
        <v>127</v>
      </c>
      <c r="C6227" s="41">
        <v>802.67</v>
      </c>
      <c r="D6227" s="6">
        <v>45711</v>
      </c>
      <c r="E6227" s="3" t="str">
        <f ca="1">IF(Tabela2[[#This Row],[Dt Venc:]]&gt;TODAY(),"Em Aberto",IF(Tabela2[[#This Row],[D/venc]]="-","Enviado",IF(Tabela2[[#This Row],[Dt Venc:]]=TODAY(),"Vence Hoje","Vencida")))</f>
        <v>Em Aberto</v>
      </c>
      <c r="F6227" s="3">
        <f ca="1">IF(G6227=1,"-",Tabela2[[#This Row],[Dt Venc:]]-TODAY())</f>
        <v>18</v>
      </c>
      <c r="G6227" s="3"/>
      <c r="H6227" s="3"/>
    </row>
    <row r="6228" spans="1:8">
      <c r="A6228" s="3">
        <v>157332</v>
      </c>
      <c r="B6228" s="7" t="s">
        <v>486</v>
      </c>
      <c r="C6228" s="41">
        <v>1722</v>
      </c>
      <c r="D6228" s="6">
        <v>45711</v>
      </c>
      <c r="E6228" s="3" t="str">
        <f ca="1">IF(Tabela2[[#This Row],[Dt Venc:]]&gt;TODAY(),"Em Aberto",IF(Tabela2[[#This Row],[D/venc]]="-","Enviado",IF(Tabela2[[#This Row],[Dt Venc:]]=TODAY(),"Vence Hoje","Vencida")))</f>
        <v>Em Aberto</v>
      </c>
      <c r="F6228" s="3">
        <f ca="1">IF(G6228=1,"-",Tabela2[[#This Row],[Dt Venc:]]-TODAY())</f>
        <v>18</v>
      </c>
      <c r="G6228" s="3"/>
      <c r="H6228" s="3"/>
    </row>
    <row r="6229" spans="1:8">
      <c r="A6229" s="3">
        <v>176666</v>
      </c>
      <c r="B6229" s="7" t="s">
        <v>211</v>
      </c>
      <c r="C6229" s="41">
        <v>900</v>
      </c>
      <c r="D6229" s="6">
        <v>45711</v>
      </c>
      <c r="E6229" s="3" t="str">
        <f ca="1">IF(Tabela2[[#This Row],[Dt Venc:]]&gt;TODAY(),"Em Aberto",IF(Tabela2[[#This Row],[D/venc]]="-","Enviado",IF(Tabela2[[#This Row],[Dt Venc:]]=TODAY(),"Vence Hoje","Vencida")))</f>
        <v>Em Aberto</v>
      </c>
      <c r="F6229" s="3">
        <f ca="1">IF(G6229=1,"-",Tabela2[[#This Row],[Dt Venc:]]-TODAY())</f>
        <v>18</v>
      </c>
      <c r="G6229" s="3"/>
      <c r="H6229" s="3"/>
    </row>
    <row r="6230" spans="1:8">
      <c r="A6230" s="3">
        <v>378409</v>
      </c>
      <c r="B6230" s="7" t="s">
        <v>567</v>
      </c>
      <c r="C6230" s="41">
        <v>960.74</v>
      </c>
      <c r="D6230" s="6">
        <v>45711</v>
      </c>
      <c r="E6230" s="3" t="str">
        <f ca="1">IF(Tabela2[[#This Row],[Dt Venc:]]&gt;TODAY(),"Em Aberto",IF(Tabela2[[#This Row],[D/venc]]="-","Enviado",IF(Tabela2[[#This Row],[Dt Venc:]]=TODAY(),"Vence Hoje","Vencida")))</f>
        <v>Em Aberto</v>
      </c>
      <c r="F6230" s="3">
        <f ca="1">IF(G6230=1,"-",Tabela2[[#This Row],[Dt Venc:]]-TODAY())</f>
        <v>18</v>
      </c>
      <c r="G6230" s="3"/>
      <c r="H6230" s="3"/>
    </row>
    <row r="6231" spans="1:8">
      <c r="A6231" s="3">
        <v>382329</v>
      </c>
      <c r="B6231" s="7" t="s">
        <v>567</v>
      </c>
      <c r="C6231" s="41">
        <v>504</v>
      </c>
      <c r="D6231" s="6">
        <v>45711</v>
      </c>
      <c r="E6231" s="3" t="str">
        <f ca="1">IF(Tabela2[[#This Row],[Dt Venc:]]&gt;TODAY(),"Em Aberto",IF(Tabela2[[#This Row],[D/venc]]="-","Enviado",IF(Tabela2[[#This Row],[Dt Venc:]]=TODAY(),"Vence Hoje","Vencida")))</f>
        <v>Em Aberto</v>
      </c>
      <c r="F6231" s="3">
        <f ca="1">IF(G6231=1,"-",Tabela2[[#This Row],[Dt Venc:]]-TODAY())</f>
        <v>18</v>
      </c>
      <c r="G6231" s="3"/>
      <c r="H6231" s="3"/>
    </row>
    <row r="6232" spans="1:8">
      <c r="A6232" s="3">
        <v>444546</v>
      </c>
      <c r="B6232" s="7" t="s">
        <v>591</v>
      </c>
      <c r="C6232" s="41">
        <v>1830</v>
      </c>
      <c r="D6232" s="6">
        <v>45711</v>
      </c>
      <c r="E6232" s="3" t="str">
        <f ca="1">IF(Tabela2[[#This Row],[Dt Venc:]]&gt;TODAY(),"Em Aberto",IF(Tabela2[[#This Row],[D/venc]]="-","Enviado",IF(Tabela2[[#This Row],[Dt Venc:]]=TODAY(),"Vence Hoje","Vencida")))</f>
        <v>Em Aberto</v>
      </c>
      <c r="F6232" s="3">
        <f ca="1">IF(G6232=1,"-",Tabela2[[#This Row],[Dt Venc:]]-TODAY())</f>
        <v>18</v>
      </c>
      <c r="G6232" s="3"/>
      <c r="H6232" s="3"/>
    </row>
    <row r="6233" spans="1:8">
      <c r="A6233" s="3">
        <v>654537</v>
      </c>
      <c r="B6233" s="7" t="s">
        <v>648</v>
      </c>
      <c r="C6233" s="87" t="s">
        <v>32</v>
      </c>
      <c r="D6233" s="6">
        <v>45711</v>
      </c>
      <c r="E6233" s="3" t="str">
        <f ca="1">IF(Tabela2[[#This Row],[Dt Venc:]]&gt;TODAY(),"Em Aberto",IF(Tabela2[[#This Row],[D/venc]]="-","Enviado",IF(Tabela2[[#This Row],[Dt Venc:]]=TODAY(),"Vence Hoje","Vencida")))</f>
        <v>Em Aberto</v>
      </c>
      <c r="F6233" s="3">
        <f ca="1">IF(G6233=1,"-",Tabela2[[#This Row],[Dt Venc:]]-TODAY())</f>
        <v>18</v>
      </c>
      <c r="G6233" s="3"/>
      <c r="H6233" s="3"/>
    </row>
    <row r="6234" spans="1:8">
      <c r="A6234" s="3">
        <v>760968</v>
      </c>
      <c r="B6234" s="7" t="s">
        <v>127</v>
      </c>
      <c r="C6234" s="41">
        <v>342.56</v>
      </c>
      <c r="D6234" s="6">
        <v>45711</v>
      </c>
      <c r="E6234" s="3" t="str">
        <f ca="1">IF(Tabela2[[#This Row],[Dt Venc:]]&gt;TODAY(),"Em Aberto",IF(Tabela2[[#This Row],[D/venc]]="-","Enviado",IF(Tabela2[[#This Row],[Dt Venc:]]=TODAY(),"Vence Hoje","Vencida")))</f>
        <v>Em Aberto</v>
      </c>
      <c r="F6234" s="3">
        <f ca="1">IF(G6234=1,"-",Tabela2[[#This Row],[Dt Venc:]]-TODAY())</f>
        <v>18</v>
      </c>
      <c r="G6234" s="3"/>
      <c r="H6234" s="3"/>
    </row>
    <row r="6235" spans="1:8">
      <c r="A6235" s="3">
        <v>760970</v>
      </c>
      <c r="B6235" s="7" t="s">
        <v>127</v>
      </c>
      <c r="C6235" s="41">
        <v>342.56</v>
      </c>
      <c r="D6235" s="6">
        <v>45711</v>
      </c>
      <c r="E6235" s="3" t="str">
        <f ca="1">IF(Tabela2[[#This Row],[Dt Venc:]]&gt;TODAY(),"Em Aberto",IF(Tabela2[[#This Row],[D/venc]]="-","Enviado",IF(Tabela2[[#This Row],[Dt Venc:]]=TODAY(),"Vence Hoje","Vencida")))</f>
        <v>Em Aberto</v>
      </c>
      <c r="F6235" s="3">
        <f ca="1">IF(G6235=1,"-",Tabela2[[#This Row],[Dt Venc:]]-TODAY())</f>
        <v>18</v>
      </c>
      <c r="G6235" s="3"/>
      <c r="H6235" s="3"/>
    </row>
    <row r="6236" spans="1:8">
      <c r="A6236" s="3">
        <v>3342741</v>
      </c>
      <c r="B6236" s="7" t="s">
        <v>71</v>
      </c>
      <c r="C6236" s="41">
        <v>1993.96</v>
      </c>
      <c r="D6236" s="6">
        <v>45711</v>
      </c>
      <c r="E6236" s="3" t="str">
        <f ca="1">IF(Tabela2[[#This Row],[Dt Venc:]]&gt;TODAY(),"Em Aberto",IF(Tabela2[[#This Row],[D/venc]]="-","Enviado",IF(Tabela2[[#This Row],[Dt Venc:]]=TODAY(),"Vence Hoje","Vencida")))</f>
        <v>Em Aberto</v>
      </c>
      <c r="F6236" s="3">
        <f ca="1">IF(G6236=1,"-",Tabela2[[#This Row],[Dt Venc:]]-TODAY())</f>
        <v>18</v>
      </c>
      <c r="G6236" s="3"/>
      <c r="H6236" s="3"/>
    </row>
    <row r="6237" spans="1:8">
      <c r="A6237" s="3">
        <v>4615903</v>
      </c>
      <c r="B6237" s="7" t="s">
        <v>90</v>
      </c>
      <c r="C6237" s="41">
        <v>1198.67</v>
      </c>
      <c r="D6237" s="6">
        <v>45711</v>
      </c>
      <c r="E6237" s="3" t="str">
        <f ca="1">IF(Tabela2[[#This Row],[Dt Venc:]]&gt;TODAY(),"Em Aberto",IF(Tabela2[[#This Row],[D/venc]]="-","Enviado",IF(Tabela2[[#This Row],[Dt Venc:]]=TODAY(),"Vence Hoje","Vencida")))</f>
        <v>Em Aberto</v>
      </c>
      <c r="F6237" s="3">
        <f ca="1">IF(G6237=1,"-",Tabela2[[#This Row],[Dt Venc:]]-TODAY())</f>
        <v>18</v>
      </c>
      <c r="G6237" s="3"/>
      <c r="H6237" s="3"/>
    </row>
    <row r="6238" spans="1:8">
      <c r="A6238" s="3">
        <v>4741911</v>
      </c>
      <c r="B6238" s="7" t="s">
        <v>90</v>
      </c>
      <c r="C6238" s="41">
        <v>2297.9299999999998</v>
      </c>
      <c r="D6238" s="6">
        <v>45711</v>
      </c>
      <c r="E6238" s="3" t="str">
        <f ca="1">IF(Tabela2[[#This Row],[Dt Venc:]]&gt;TODAY(),"Em Aberto",IF(Tabela2[[#This Row],[D/venc]]="-","Enviado",IF(Tabela2[[#This Row],[Dt Venc:]]=TODAY(),"Vence Hoje","Vencida")))</f>
        <v>Em Aberto</v>
      </c>
      <c r="F6238" s="3">
        <f ca="1">IF(G6238=1,"-",Tabela2[[#This Row],[Dt Venc:]]-TODAY())</f>
        <v>18</v>
      </c>
      <c r="G6238" s="3"/>
      <c r="H6238" s="3"/>
    </row>
    <row r="6239" spans="1:8">
      <c r="A6239" s="3">
        <v>309175</v>
      </c>
      <c r="B6239" s="7" t="s">
        <v>189</v>
      </c>
      <c r="C6239" s="41">
        <v>267.95999999999998</v>
      </c>
      <c r="D6239" s="6">
        <v>45711</v>
      </c>
      <c r="E6239" s="3" t="str">
        <f ca="1">IF(Tabela2[[#This Row],[Dt Venc:]]&gt;TODAY(),"Em Aberto",IF(Tabela2[[#This Row],[D/venc]]="-","Enviado",IF(Tabela2[[#This Row],[Dt Venc:]]=TODAY(),"Vence Hoje","Vencida")))</f>
        <v>Em Aberto</v>
      </c>
      <c r="F6239" s="3">
        <f ca="1">IF(G6239=1,"-",Tabela2[[#This Row],[Dt Venc:]]-TODAY())</f>
        <v>18</v>
      </c>
      <c r="G6239" s="3"/>
      <c r="H6239" s="3"/>
    </row>
    <row r="6240" spans="1:8">
      <c r="A6240" s="3">
        <v>1350</v>
      </c>
      <c r="B6240" s="7" t="s">
        <v>474</v>
      </c>
      <c r="C6240" s="41">
        <v>500</v>
      </c>
      <c r="D6240" s="6">
        <v>45711</v>
      </c>
      <c r="E6240" s="3" t="str">
        <f ca="1">IF(Tabela2[[#This Row],[Dt Venc:]]&gt;TODAY(),"Em Aberto",IF(Tabela2[[#This Row],[D/venc]]="-","Enviado",IF(Tabela2[[#This Row],[Dt Venc:]]=TODAY(),"Vence Hoje","Vencida")))</f>
        <v>Em Aberto</v>
      </c>
      <c r="F6240" s="3">
        <f ca="1">IF(G6240=1,"-",Tabela2[[#This Row],[Dt Venc:]]-TODAY())</f>
        <v>18</v>
      </c>
      <c r="G6240" s="3"/>
      <c r="H6240" s="3"/>
    </row>
    <row r="6241" spans="1:8">
      <c r="A6241" s="3">
        <v>280509</v>
      </c>
      <c r="B6241" s="7" t="s">
        <v>315</v>
      </c>
      <c r="C6241" s="41">
        <v>440</v>
      </c>
      <c r="D6241" s="6">
        <v>45711</v>
      </c>
      <c r="E6241" s="3" t="str">
        <f ca="1">IF(Tabela2[[#This Row],[Dt Venc:]]&gt;TODAY(),"Em Aberto",IF(Tabela2[[#This Row],[D/venc]]="-","Enviado",IF(Tabela2[[#This Row],[Dt Venc:]]=TODAY(),"Vence Hoje","Vencida")))</f>
        <v>Em Aberto</v>
      </c>
      <c r="F6241" s="3">
        <f ca="1">IF(G6241=1,"-",Tabela2[[#This Row],[Dt Venc:]]-TODAY())</f>
        <v>18</v>
      </c>
      <c r="G6241" s="3"/>
      <c r="H6241" s="3"/>
    </row>
    <row r="6242" spans="1:8">
      <c r="A6242" s="3">
        <v>280647</v>
      </c>
      <c r="B6242" s="7" t="s">
        <v>36</v>
      </c>
      <c r="C6242" s="41">
        <v>1468.33</v>
      </c>
      <c r="D6242" s="6">
        <v>45711</v>
      </c>
      <c r="E6242" s="3" t="str">
        <f ca="1">IF(Tabela2[[#This Row],[Dt Venc:]]&gt;TODAY(),"Em Aberto",IF(Tabela2[[#This Row],[D/venc]]="-","Enviado",IF(Tabela2[[#This Row],[Dt Venc:]]=TODAY(),"Vence Hoje","Vencida")))</f>
        <v>Em Aberto</v>
      </c>
      <c r="F6242" s="3">
        <f ca="1">IF(G6242=1,"-",Tabela2[[#This Row],[Dt Venc:]]-TODAY())</f>
        <v>18</v>
      </c>
      <c r="G6242" s="3"/>
      <c r="H6242" s="3"/>
    </row>
    <row r="6243" spans="1:8">
      <c r="A6243" s="3">
        <v>1347</v>
      </c>
      <c r="B6243" s="7" t="s">
        <v>474</v>
      </c>
      <c r="C6243" s="41">
        <v>506.67</v>
      </c>
      <c r="D6243" s="6">
        <v>45711</v>
      </c>
      <c r="E6243" s="3" t="str">
        <f ca="1">IF(Tabela2[[#This Row],[Dt Venc:]]&gt;TODAY(),"Em Aberto",IF(Tabela2[[#This Row],[D/venc]]="-","Enviado",IF(Tabela2[[#This Row],[Dt Venc:]]=TODAY(),"Vence Hoje","Vencida")))</f>
        <v>Em Aberto</v>
      </c>
      <c r="F6243" s="3">
        <f ca="1">IF(G6243=1,"-",Tabela2[[#This Row],[Dt Venc:]]-TODAY())</f>
        <v>18</v>
      </c>
      <c r="G6243" s="3"/>
      <c r="H6243" s="3"/>
    </row>
    <row r="6244" spans="1:8">
      <c r="A6244" s="3">
        <v>6431</v>
      </c>
      <c r="B6244" s="7" t="s">
        <v>47</v>
      </c>
      <c r="C6244" s="41">
        <v>1250.93</v>
      </c>
      <c r="D6244" s="6">
        <v>45711</v>
      </c>
      <c r="E6244" s="3" t="str">
        <f ca="1">IF(Tabela2[[#This Row],[Dt Venc:]]&gt;TODAY(),"Em Aberto",IF(Tabela2[[#This Row],[D/venc]]="-","Enviado",IF(Tabela2[[#This Row],[Dt Venc:]]=TODAY(),"Vence Hoje","Vencida")))</f>
        <v>Em Aberto</v>
      </c>
      <c r="F6244" s="3">
        <f ca="1">IF(G6244=1,"-",Tabela2[[#This Row],[Dt Venc:]]-TODAY())</f>
        <v>18</v>
      </c>
      <c r="G6244" s="3"/>
      <c r="H6244" s="3"/>
    </row>
    <row r="6245" spans="1:8">
      <c r="A6245" s="3">
        <v>1516</v>
      </c>
      <c r="B6245" s="7" t="s">
        <v>363</v>
      </c>
      <c r="C6245" s="41">
        <v>768</v>
      </c>
      <c r="D6245" s="6">
        <v>45711</v>
      </c>
      <c r="E6245" s="3" t="str">
        <f ca="1">IF(Tabela2[[#This Row],[Dt Venc:]]&gt;TODAY(),"Em Aberto",IF(Tabela2[[#This Row],[D/venc]]="-","Enviado",IF(Tabela2[[#This Row],[Dt Venc:]]=TODAY(),"Vence Hoje","Vencida")))</f>
        <v>Em Aberto</v>
      </c>
      <c r="F6245" s="3">
        <f ca="1">IF(G6245=1,"-",Tabela2[[#This Row],[Dt Venc:]]-TODAY())</f>
        <v>18</v>
      </c>
      <c r="G6245" s="3"/>
      <c r="H6245" s="3"/>
    </row>
    <row r="6246" spans="1:8">
      <c r="A6246" s="3">
        <v>3320</v>
      </c>
      <c r="B6246" s="7" t="s">
        <v>639</v>
      </c>
      <c r="C6246" s="41">
        <v>1000</v>
      </c>
      <c r="D6246" s="6">
        <v>45711</v>
      </c>
      <c r="E6246" s="3" t="str">
        <f ca="1">IF(Tabela2[[#This Row],[Dt Venc:]]&gt;TODAY(),"Em Aberto",IF(Tabela2[[#This Row],[D/venc]]="-","Enviado",IF(Tabela2[[#This Row],[Dt Venc:]]=TODAY(),"Vence Hoje","Vencida")))</f>
        <v>Em Aberto</v>
      </c>
      <c r="F6246" s="3">
        <f ca="1">IF(G6246=1,"-",Tabela2[[#This Row],[Dt Venc:]]-TODAY())</f>
        <v>18</v>
      </c>
      <c r="G6246" s="3"/>
      <c r="H6246" s="3"/>
    </row>
    <row r="6247" spans="1:8">
      <c r="A6247" s="3">
        <v>432730</v>
      </c>
      <c r="B6247" s="7" t="s">
        <v>89</v>
      </c>
      <c r="C6247" s="41">
        <v>180</v>
      </c>
      <c r="D6247" s="6">
        <v>45711</v>
      </c>
      <c r="E6247" s="3" t="str">
        <f ca="1">IF(Tabela2[[#This Row],[Dt Venc:]]&gt;TODAY(),"Em Aberto",IF(Tabela2[[#This Row],[D/venc]]="-","Enviado",IF(Tabela2[[#This Row],[Dt Venc:]]=TODAY(),"Vence Hoje","Vencida")))</f>
        <v>Em Aberto</v>
      </c>
      <c r="F6247" s="3">
        <f ca="1">IF(G6247=1,"-",Tabela2[[#This Row],[Dt Venc:]]-TODAY())</f>
        <v>18</v>
      </c>
      <c r="G6247" s="3"/>
      <c r="H6247" s="3"/>
    </row>
    <row r="6248" spans="1:8">
      <c r="A6248" s="3">
        <v>6434</v>
      </c>
      <c r="B6248" s="7" t="s">
        <v>47</v>
      </c>
      <c r="C6248" s="41">
        <v>1458.54</v>
      </c>
      <c r="D6248" s="6">
        <v>45711</v>
      </c>
      <c r="E6248" s="3" t="str">
        <f ca="1">IF(Tabela2[[#This Row],[Dt Venc:]]&gt;TODAY(),"Em Aberto",IF(Tabela2[[#This Row],[D/venc]]="-","Enviado",IF(Tabela2[[#This Row],[Dt Venc:]]=TODAY(),"Vence Hoje","Vencida")))</f>
        <v>Em Aberto</v>
      </c>
      <c r="F6248" s="3">
        <f ca="1">IF(G6248=1,"-",Tabela2[[#This Row],[Dt Venc:]]-TODAY())</f>
        <v>18</v>
      </c>
      <c r="G6248" s="3"/>
      <c r="H6248" s="3"/>
    </row>
    <row r="6249" spans="1:8">
      <c r="A6249" s="3">
        <v>13170</v>
      </c>
      <c r="B6249" s="7" t="s">
        <v>211</v>
      </c>
      <c r="C6249" s="41">
        <v>976.66</v>
      </c>
      <c r="D6249" s="6">
        <v>45711</v>
      </c>
      <c r="E6249" s="3" t="str">
        <f ca="1">IF(Tabela2[[#This Row],[Dt Venc:]]&gt;TODAY(),"Em Aberto",IF(Tabela2[[#This Row],[D/venc]]="-","Enviado",IF(Tabela2[[#This Row],[Dt Venc:]]=TODAY(),"Vence Hoje","Vencida")))</f>
        <v>Em Aberto</v>
      </c>
      <c r="F6249" s="3">
        <f ca="1">IF(G6249=1,"-",Tabela2[[#This Row],[Dt Venc:]]-TODAY())</f>
        <v>18</v>
      </c>
      <c r="G6249" s="3"/>
      <c r="H6249" s="3"/>
    </row>
    <row r="6250" spans="1:8">
      <c r="A6250" s="3">
        <v>2455</v>
      </c>
      <c r="B6250" s="7" t="s">
        <v>714</v>
      </c>
      <c r="C6250" s="41">
        <v>255</v>
      </c>
      <c r="D6250" s="6">
        <v>45711</v>
      </c>
      <c r="E6250" s="3" t="str">
        <f ca="1">IF(Tabela2[[#This Row],[Dt Venc:]]&gt;TODAY(),"Em Aberto",IF(Tabela2[[#This Row],[D/venc]]="-","Enviado",IF(Tabela2[[#This Row],[Dt Venc:]]=TODAY(),"Vence Hoje","Vencida")))</f>
        <v>Em Aberto</v>
      </c>
      <c r="F6250" s="3">
        <f ca="1">IF(G6250=1,"-",Tabela2[[#This Row],[Dt Venc:]]-TODAY())</f>
        <v>18</v>
      </c>
      <c r="G6250" s="3"/>
      <c r="H6250" s="3"/>
    </row>
    <row r="6251" spans="1:8">
      <c r="A6251" s="3">
        <v>540</v>
      </c>
      <c r="B6251" s="7" t="s">
        <v>631</v>
      </c>
      <c r="C6251" s="41">
        <v>1233.3399999999999</v>
      </c>
      <c r="D6251" s="6">
        <v>45712</v>
      </c>
      <c r="E6251" s="3" t="str">
        <f ca="1">IF(Tabela2[[#This Row],[Dt Venc:]]&gt;TODAY(),"Em Aberto",IF(Tabela2[[#This Row],[D/venc]]="-","Enviado",IF(Tabela2[[#This Row],[Dt Venc:]]=TODAY(),"Vence Hoje","Vencida")))</f>
        <v>Em Aberto</v>
      </c>
      <c r="F6251" s="3">
        <f ca="1">IF(G6251=1,"-",Tabela2[[#This Row],[Dt Venc:]]-TODAY())</f>
        <v>19</v>
      </c>
      <c r="G6251" s="3"/>
      <c r="H6251" s="3"/>
    </row>
    <row r="6252" spans="1:8">
      <c r="A6252" s="3">
        <v>1248</v>
      </c>
      <c r="B6252" s="7" t="s">
        <v>155</v>
      </c>
      <c r="C6252" s="41">
        <v>22590</v>
      </c>
      <c r="D6252" s="6">
        <v>45712</v>
      </c>
      <c r="E6252" s="3" t="str">
        <f ca="1">IF(Tabela2[[#This Row],[Dt Venc:]]&gt;TODAY(),"Em Aberto",IF(Tabela2[[#This Row],[D/venc]]="-","Enviado",IF(Tabela2[[#This Row],[Dt Venc:]]=TODAY(),"Vence Hoje","Vencida")))</f>
        <v>Em Aberto</v>
      </c>
      <c r="F6252" s="3">
        <f ca="1">IF(G6252=1,"-",Tabela2[[#This Row],[Dt Venc:]]-TODAY())</f>
        <v>19</v>
      </c>
      <c r="G6252" s="3"/>
      <c r="H6252" s="3"/>
    </row>
    <row r="6253" spans="1:8">
      <c r="A6253" s="3">
        <v>2937</v>
      </c>
      <c r="B6253" s="7" t="s">
        <v>58</v>
      </c>
      <c r="C6253" s="41">
        <v>3329.6</v>
      </c>
      <c r="D6253" s="6">
        <v>45712</v>
      </c>
      <c r="E6253" s="3" t="str">
        <f ca="1">IF(Tabela2[[#This Row],[Dt Venc:]]&gt;TODAY(),"Em Aberto",IF(Tabela2[[#This Row],[D/venc]]="-","Enviado",IF(Tabela2[[#This Row],[Dt Venc:]]=TODAY(),"Vence Hoje","Vencida")))</f>
        <v>Em Aberto</v>
      </c>
      <c r="F6253" s="3">
        <f ca="1">IF(G6253=1,"-",Tabela2[[#This Row],[Dt Venc:]]-TODAY())</f>
        <v>19</v>
      </c>
      <c r="G6253" s="3"/>
      <c r="H6253" s="3"/>
    </row>
    <row r="6254" spans="1:8">
      <c r="A6254" s="3">
        <v>2990</v>
      </c>
      <c r="B6254" s="7" t="s">
        <v>58</v>
      </c>
      <c r="C6254" s="41">
        <v>2141.67</v>
      </c>
      <c r="D6254" s="6">
        <v>45712</v>
      </c>
      <c r="E6254" s="3" t="str">
        <f ca="1">IF(Tabela2[[#This Row],[Dt Venc:]]&gt;TODAY(),"Em Aberto",IF(Tabela2[[#This Row],[D/venc]]="-","Enviado",IF(Tabela2[[#This Row],[Dt Venc:]]=TODAY(),"Vence Hoje","Vencida")))</f>
        <v>Em Aberto</v>
      </c>
      <c r="F6254" s="3">
        <f ca="1">IF(G6254=1,"-",Tabela2[[#This Row],[Dt Venc:]]-TODAY())</f>
        <v>19</v>
      </c>
      <c r="G6254" s="3"/>
      <c r="H6254" s="3"/>
    </row>
    <row r="6255" spans="1:8">
      <c r="A6255" s="3">
        <v>6313</v>
      </c>
      <c r="B6255" s="7" t="s">
        <v>47</v>
      </c>
      <c r="C6255" s="41">
        <v>675.2</v>
      </c>
      <c r="D6255" s="6">
        <v>45712</v>
      </c>
      <c r="E6255" s="3" t="str">
        <f ca="1">IF(Tabela2[[#This Row],[Dt Venc:]]&gt;TODAY(),"Em Aberto",IF(Tabela2[[#This Row],[D/venc]]="-","Enviado",IF(Tabela2[[#This Row],[Dt Venc:]]=TODAY(),"Vence Hoje","Vencida")))</f>
        <v>Em Aberto</v>
      </c>
      <c r="F6255" s="3">
        <f ca="1">IF(G6255=1,"-",Tabela2[[#This Row],[Dt Venc:]]-TODAY())</f>
        <v>19</v>
      </c>
      <c r="G6255" s="3"/>
      <c r="H6255" s="3"/>
    </row>
    <row r="6256" spans="1:8">
      <c r="A6256" s="3">
        <v>12827</v>
      </c>
      <c r="B6256" s="7" t="s">
        <v>211</v>
      </c>
      <c r="C6256" s="41">
        <v>1293.3399999999999</v>
      </c>
      <c r="D6256" s="6">
        <v>45712</v>
      </c>
      <c r="E6256" s="3" t="str">
        <f ca="1">IF(Tabela2[[#This Row],[Dt Venc:]]&gt;TODAY(),"Em Aberto",IF(Tabela2[[#This Row],[D/venc]]="-","Enviado",IF(Tabela2[[#This Row],[Dt Venc:]]=TODAY(),"Vence Hoje","Vencida")))</f>
        <v>Em Aberto</v>
      </c>
      <c r="F6256" s="3">
        <f ca="1">IF(G6256=1,"-",Tabela2[[#This Row],[Dt Venc:]]-TODAY())</f>
        <v>19</v>
      </c>
      <c r="G6256" s="3"/>
      <c r="H6256" s="3"/>
    </row>
    <row r="6257" spans="1:8">
      <c r="A6257" s="3">
        <v>16220</v>
      </c>
      <c r="B6257" s="7" t="s">
        <v>289</v>
      </c>
      <c r="C6257" s="41">
        <v>500</v>
      </c>
      <c r="D6257" s="6">
        <v>45712</v>
      </c>
      <c r="E6257" s="3" t="str">
        <f ca="1">IF(Tabela2[[#This Row],[Dt Venc:]]&gt;TODAY(),"Em Aberto",IF(Tabela2[[#This Row],[D/venc]]="-","Enviado",IF(Tabela2[[#This Row],[Dt Venc:]]=TODAY(),"Vence Hoje","Vencida")))</f>
        <v>Em Aberto</v>
      </c>
      <c r="F6257" s="3">
        <f ca="1">IF(G6257=1,"-",Tabela2[[#This Row],[Dt Venc:]]-TODAY())</f>
        <v>19</v>
      </c>
      <c r="G6257" s="3"/>
      <c r="H6257" s="3"/>
    </row>
    <row r="6258" spans="1:8">
      <c r="A6258" s="3">
        <v>16628</v>
      </c>
      <c r="B6258" s="7" t="s">
        <v>74</v>
      </c>
      <c r="C6258" s="41">
        <v>960</v>
      </c>
      <c r="D6258" s="6">
        <v>45712</v>
      </c>
      <c r="E6258" s="3" t="str">
        <f ca="1">IF(Tabela2[[#This Row],[Dt Venc:]]&gt;TODAY(),"Em Aberto",IF(Tabela2[[#This Row],[D/venc]]="-","Enviado",IF(Tabela2[[#This Row],[Dt Venc:]]=TODAY(),"Vence Hoje","Vencida")))</f>
        <v>Em Aberto</v>
      </c>
      <c r="F6258" s="3">
        <f ca="1">IF(G6258=1,"-",Tabela2[[#This Row],[Dt Venc:]]-TODAY())</f>
        <v>19</v>
      </c>
      <c r="G6258" s="3"/>
      <c r="H6258" s="3"/>
    </row>
    <row r="6259" spans="1:8">
      <c r="A6259" s="3">
        <v>17358</v>
      </c>
      <c r="B6259" s="7" t="s">
        <v>585</v>
      </c>
      <c r="C6259" s="41">
        <v>560</v>
      </c>
      <c r="D6259" s="6">
        <v>45712</v>
      </c>
      <c r="E6259" s="3" t="str">
        <f ca="1">IF(Tabela2[[#This Row],[Dt Venc:]]&gt;TODAY(),"Em Aberto",IF(Tabela2[[#This Row],[D/venc]]="-","Enviado",IF(Tabela2[[#This Row],[Dt Venc:]]=TODAY(),"Vence Hoje","Vencida")))</f>
        <v>Em Aberto</v>
      </c>
      <c r="F6259" s="3">
        <f ca="1">IF(G6259=1,"-",Tabela2[[#This Row],[Dt Venc:]]-TODAY())</f>
        <v>19</v>
      </c>
      <c r="G6259" s="3"/>
      <c r="H6259" s="3"/>
    </row>
    <row r="6260" spans="1:8">
      <c r="A6260" s="3">
        <v>17361</v>
      </c>
      <c r="B6260" s="7" t="s">
        <v>585</v>
      </c>
      <c r="C6260" s="41">
        <v>560</v>
      </c>
      <c r="D6260" s="6">
        <v>45712</v>
      </c>
      <c r="E6260" s="3" t="str">
        <f ca="1">IF(Tabela2[[#This Row],[Dt Venc:]]&gt;TODAY(),"Em Aberto",IF(Tabela2[[#This Row],[D/venc]]="-","Enviado",IF(Tabela2[[#This Row],[Dt Venc:]]=TODAY(),"Vence Hoje","Vencida")))</f>
        <v>Em Aberto</v>
      </c>
      <c r="F6260" s="3">
        <f ca="1">IF(G6260=1,"-",Tabela2[[#This Row],[Dt Venc:]]-TODAY())</f>
        <v>19</v>
      </c>
      <c r="G6260" s="3"/>
      <c r="H6260" s="3"/>
    </row>
    <row r="6261" spans="1:8">
      <c r="A6261" s="3">
        <v>20981</v>
      </c>
      <c r="B6261" s="7" t="s">
        <v>653</v>
      </c>
      <c r="C6261" s="41">
        <v>975</v>
      </c>
      <c r="D6261" s="6">
        <v>45712</v>
      </c>
      <c r="E6261" s="3" t="str">
        <f ca="1">IF(Tabela2[[#This Row],[Dt Venc:]]&gt;TODAY(),"Em Aberto",IF(Tabela2[[#This Row],[D/venc]]="-","Enviado",IF(Tabela2[[#This Row],[Dt Venc:]]=TODAY(),"Vence Hoje","Vencida")))</f>
        <v>Em Aberto</v>
      </c>
      <c r="F6261" s="3">
        <f ca="1">IF(G6261=1,"-",Tabela2[[#This Row],[Dt Venc:]]-TODAY())</f>
        <v>19</v>
      </c>
      <c r="G6261" s="3"/>
      <c r="H6261" s="3"/>
    </row>
    <row r="6262" spans="1:8">
      <c r="A6262" s="3">
        <v>22060</v>
      </c>
      <c r="B6262" s="7" t="s">
        <v>39</v>
      </c>
      <c r="C6262" s="41">
        <v>200</v>
      </c>
      <c r="D6262" s="6">
        <v>45712</v>
      </c>
      <c r="E6262" s="3" t="str">
        <f ca="1">IF(Tabela2[[#This Row],[Dt Venc:]]&gt;TODAY(),"Em Aberto",IF(Tabela2[[#This Row],[D/venc]]="-","Enviado",IF(Tabela2[[#This Row],[Dt Venc:]]=TODAY(),"Vence Hoje","Vencida")))</f>
        <v>Em Aberto</v>
      </c>
      <c r="F6262" s="3">
        <f ca="1">IF(G6262=1,"-",Tabela2[[#This Row],[Dt Venc:]]-TODAY())</f>
        <v>19</v>
      </c>
      <c r="G6262" s="3"/>
      <c r="H6262" s="3"/>
    </row>
    <row r="6263" spans="1:8">
      <c r="A6263" s="3">
        <v>31301</v>
      </c>
      <c r="B6263" s="7" t="s">
        <v>97</v>
      </c>
      <c r="C6263" s="41">
        <v>1825</v>
      </c>
      <c r="D6263" s="6">
        <v>45712</v>
      </c>
      <c r="E6263" s="3" t="str">
        <f ca="1">IF(Tabela2[[#This Row],[Dt Venc:]]&gt;TODAY(),"Em Aberto",IF(Tabela2[[#This Row],[D/venc]]="-","Enviado",IF(Tabela2[[#This Row],[Dt Venc:]]=TODAY(),"Vence Hoje","Vencida")))</f>
        <v>Em Aberto</v>
      </c>
      <c r="F6263" s="3">
        <f ca="1">IF(G6263=1,"-",Tabela2[[#This Row],[Dt Venc:]]-TODAY())</f>
        <v>19</v>
      </c>
      <c r="G6263" s="3"/>
      <c r="H6263" s="3"/>
    </row>
    <row r="6264" spans="1:8">
      <c r="A6264" s="3">
        <v>43280</v>
      </c>
      <c r="B6264" s="7" t="s">
        <v>70</v>
      </c>
      <c r="C6264" s="41">
        <v>732.2</v>
      </c>
      <c r="D6264" s="6">
        <v>45712</v>
      </c>
      <c r="E6264" s="3" t="str">
        <f ca="1">IF(Tabela2[[#This Row],[Dt Venc:]]&gt;TODAY(),"Em Aberto",IF(Tabela2[[#This Row],[D/venc]]="-","Enviado",IF(Tabela2[[#This Row],[Dt Venc:]]=TODAY(),"Vence Hoje","Vencida")))</f>
        <v>Em Aberto</v>
      </c>
      <c r="F6264" s="3">
        <f ca="1">IF(G6264=1,"-",Tabela2[[#This Row],[Dt Venc:]]-TODAY())</f>
        <v>19</v>
      </c>
      <c r="G6264" s="3"/>
      <c r="H6264" s="3"/>
    </row>
    <row r="6265" spans="1:8">
      <c r="A6265" s="3">
        <v>53778</v>
      </c>
      <c r="B6265" s="7" t="s">
        <v>144</v>
      </c>
      <c r="C6265" s="41">
        <v>1096</v>
      </c>
      <c r="D6265" s="6">
        <v>45712</v>
      </c>
      <c r="E6265" s="3" t="str">
        <f ca="1">IF(Tabela2[[#This Row],[Dt Venc:]]&gt;TODAY(),"Em Aberto",IF(Tabela2[[#This Row],[D/venc]]="-","Enviado",IF(Tabela2[[#This Row],[Dt Venc:]]=TODAY(),"Vence Hoje","Vencida")))</f>
        <v>Em Aberto</v>
      </c>
      <c r="F6265" s="3">
        <f ca="1">IF(G6265=1,"-",Tabela2[[#This Row],[Dt Venc:]]-TODAY())</f>
        <v>19</v>
      </c>
      <c r="G6265" s="3"/>
      <c r="H6265" s="3"/>
    </row>
    <row r="6266" spans="1:8">
      <c r="A6266" s="3">
        <v>72476</v>
      </c>
      <c r="B6266" s="7" t="s">
        <v>573</v>
      </c>
      <c r="C6266" s="41">
        <v>539</v>
      </c>
      <c r="D6266" s="6">
        <v>45712</v>
      </c>
      <c r="E6266" s="3" t="str">
        <f ca="1">IF(Tabela2[[#This Row],[Dt Venc:]]&gt;TODAY(),"Em Aberto",IF(Tabela2[[#This Row],[D/venc]]="-","Enviado",IF(Tabela2[[#This Row],[Dt Venc:]]=TODAY(),"Vence Hoje","Vencida")))</f>
        <v>Em Aberto</v>
      </c>
      <c r="F6266" s="3">
        <f ca="1">IF(G6266=1,"-",Tabela2[[#This Row],[Dt Venc:]]-TODAY())</f>
        <v>19</v>
      </c>
      <c r="G6266" s="3"/>
      <c r="H6266" s="3"/>
    </row>
    <row r="6267" spans="1:8">
      <c r="A6267" s="3">
        <v>91237</v>
      </c>
      <c r="B6267" s="7" t="s">
        <v>207</v>
      </c>
      <c r="C6267" s="41">
        <v>416.67</v>
      </c>
      <c r="D6267" s="6">
        <v>45712</v>
      </c>
      <c r="E6267" s="3" t="str">
        <f ca="1">IF(Tabela2[[#This Row],[Dt Venc:]]&gt;TODAY(),"Em Aberto",IF(Tabela2[[#This Row],[D/venc]]="-","Enviado",IF(Tabela2[[#This Row],[Dt Venc:]]=TODAY(),"Vence Hoje","Vencida")))</f>
        <v>Em Aberto</v>
      </c>
      <c r="F6267" s="3">
        <f ca="1">IF(G6267=1,"-",Tabela2[[#This Row],[Dt Venc:]]-TODAY())</f>
        <v>19</v>
      </c>
      <c r="G6267" s="3"/>
      <c r="H6267" s="3"/>
    </row>
    <row r="6268" spans="1:8">
      <c r="A6268" s="3">
        <v>103816</v>
      </c>
      <c r="B6268" s="7" t="s">
        <v>70</v>
      </c>
      <c r="C6268" s="41">
        <v>1254.8699999999999</v>
      </c>
      <c r="D6268" s="6">
        <v>45712</v>
      </c>
      <c r="E6268" s="3" t="str">
        <f ca="1">IF(Tabela2[[#This Row],[Dt Venc:]]&gt;TODAY(),"Em Aberto",IF(Tabela2[[#This Row],[D/venc]]="-","Enviado",IF(Tabela2[[#This Row],[Dt Venc:]]=TODAY(),"Vence Hoje","Vencida")))</f>
        <v>Em Aberto</v>
      </c>
      <c r="F6268" s="3">
        <f ca="1">IF(G6268=1,"-",Tabela2[[#This Row],[Dt Venc:]]-TODAY())</f>
        <v>19</v>
      </c>
      <c r="G6268" s="3"/>
      <c r="H6268" s="3"/>
    </row>
    <row r="6269" spans="1:8">
      <c r="A6269" s="3">
        <v>137941</v>
      </c>
      <c r="B6269" s="7" t="s">
        <v>144</v>
      </c>
      <c r="C6269" s="41">
        <v>836.66</v>
      </c>
      <c r="D6269" s="6">
        <v>45712</v>
      </c>
      <c r="E6269" s="3" t="str">
        <f ca="1">IF(Tabela2[[#This Row],[Dt Venc:]]&gt;TODAY(),"Em Aberto",IF(Tabela2[[#This Row],[D/venc]]="-","Enviado",IF(Tabela2[[#This Row],[Dt Venc:]]=TODAY(),"Vence Hoje","Vencida")))</f>
        <v>Em Aberto</v>
      </c>
      <c r="F6269" s="3">
        <f ca="1">IF(G6269=1,"-",Tabela2[[#This Row],[Dt Venc:]]-TODAY())</f>
        <v>19</v>
      </c>
      <c r="G6269" s="3"/>
      <c r="H6269" s="3"/>
    </row>
    <row r="6270" spans="1:8">
      <c r="A6270" s="3">
        <v>138806</v>
      </c>
      <c r="B6270" s="7" t="s">
        <v>144</v>
      </c>
      <c r="C6270" s="41">
        <v>427.46</v>
      </c>
      <c r="D6270" s="6">
        <v>45712</v>
      </c>
      <c r="E6270" s="3" t="str">
        <f ca="1">IF(Tabela2[[#This Row],[Dt Venc:]]&gt;TODAY(),"Em Aberto",IF(Tabela2[[#This Row],[D/venc]]="-","Enviado",IF(Tabela2[[#This Row],[Dt Venc:]]=TODAY(),"Vence Hoje","Vencida")))</f>
        <v>Em Aberto</v>
      </c>
      <c r="F6270" s="3">
        <f ca="1">IF(G6270=1,"-",Tabela2[[#This Row],[Dt Venc:]]-TODAY())</f>
        <v>19</v>
      </c>
      <c r="G6270" s="3"/>
      <c r="H6270" s="3"/>
    </row>
    <row r="6271" spans="1:8">
      <c r="A6271" s="3">
        <v>154716</v>
      </c>
      <c r="B6271" s="7" t="s">
        <v>77</v>
      </c>
      <c r="C6271" s="41">
        <v>1233.33</v>
      </c>
      <c r="D6271" s="6">
        <v>45712</v>
      </c>
      <c r="E6271" s="3" t="str">
        <f ca="1">IF(Tabela2[[#This Row],[Dt Venc:]]&gt;TODAY(),"Em Aberto",IF(Tabela2[[#This Row],[D/venc]]="-","Enviado",IF(Tabela2[[#This Row],[Dt Venc:]]=TODAY(),"Vence Hoje","Vencida")))</f>
        <v>Em Aberto</v>
      </c>
      <c r="F6271" s="3">
        <f ca="1">IF(G6271=1,"-",Tabela2[[#This Row],[Dt Venc:]]-TODAY())</f>
        <v>19</v>
      </c>
      <c r="G6271" s="3"/>
      <c r="H6271" s="3"/>
    </row>
    <row r="6272" spans="1:8">
      <c r="A6272" s="3">
        <v>154743</v>
      </c>
      <c r="B6272" s="7" t="s">
        <v>77</v>
      </c>
      <c r="C6272" s="41">
        <v>1233.33</v>
      </c>
      <c r="D6272" s="6">
        <v>45712</v>
      </c>
      <c r="E6272" s="3" t="str">
        <f ca="1">IF(Tabela2[[#This Row],[Dt Venc:]]&gt;TODAY(),"Em Aberto",IF(Tabela2[[#This Row],[D/venc]]="-","Enviado",IF(Tabela2[[#This Row],[Dt Venc:]]=TODAY(),"Vence Hoje","Vencida")))</f>
        <v>Em Aberto</v>
      </c>
      <c r="F6272" s="3">
        <f ca="1">IF(G6272=1,"-",Tabela2[[#This Row],[Dt Venc:]]-TODAY())</f>
        <v>19</v>
      </c>
      <c r="G6272" s="3"/>
      <c r="H6272" s="3"/>
    </row>
    <row r="6273" spans="1:8">
      <c r="A6273" s="3">
        <v>155424</v>
      </c>
      <c r="B6273" s="7" t="s">
        <v>77</v>
      </c>
      <c r="C6273" s="41">
        <v>450</v>
      </c>
      <c r="D6273" s="6">
        <v>45712</v>
      </c>
      <c r="E6273" s="3" t="str">
        <f ca="1">IF(Tabela2[[#This Row],[Dt Venc:]]&gt;TODAY(),"Em Aberto",IF(Tabela2[[#This Row],[D/venc]]="-","Enviado",IF(Tabela2[[#This Row],[Dt Venc:]]=TODAY(),"Vence Hoje","Vencida")))</f>
        <v>Em Aberto</v>
      </c>
      <c r="F6273" s="3">
        <f ca="1">IF(G6273=1,"-",Tabela2[[#This Row],[Dt Venc:]]-TODAY())</f>
        <v>19</v>
      </c>
      <c r="G6273" s="3"/>
      <c r="H6273" s="3"/>
    </row>
    <row r="6274" spans="1:8">
      <c r="A6274" s="3">
        <v>155435</v>
      </c>
      <c r="B6274" s="7" t="s">
        <v>77</v>
      </c>
      <c r="C6274" s="41">
        <v>1233.33</v>
      </c>
      <c r="D6274" s="6">
        <v>45712</v>
      </c>
      <c r="E6274" s="3" t="str">
        <f ca="1">IF(Tabela2[[#This Row],[Dt Venc:]]&gt;TODAY(),"Em Aberto",IF(Tabela2[[#This Row],[D/venc]]="-","Enviado",IF(Tabela2[[#This Row],[Dt Venc:]]=TODAY(),"Vence Hoje","Vencida")))</f>
        <v>Em Aberto</v>
      </c>
      <c r="F6274" s="3">
        <f ca="1">IF(G6274=1,"-",Tabela2[[#This Row],[Dt Venc:]]-TODAY())</f>
        <v>19</v>
      </c>
      <c r="G6274" s="3"/>
      <c r="H6274" s="3"/>
    </row>
    <row r="6275" spans="1:8">
      <c r="A6275" s="3">
        <v>155436</v>
      </c>
      <c r="B6275" s="7" t="s">
        <v>77</v>
      </c>
      <c r="C6275" s="41">
        <v>450</v>
      </c>
      <c r="D6275" s="6">
        <v>45712</v>
      </c>
      <c r="E6275" s="3" t="str">
        <f ca="1">IF(Tabela2[[#This Row],[Dt Venc:]]&gt;TODAY(),"Em Aberto",IF(Tabela2[[#This Row],[D/venc]]="-","Enviado",IF(Tabela2[[#This Row],[Dt Venc:]]=TODAY(),"Vence Hoje","Vencida")))</f>
        <v>Em Aberto</v>
      </c>
      <c r="F6275" s="3">
        <f ca="1">IF(G6275=1,"-",Tabela2[[#This Row],[Dt Venc:]]-TODAY())</f>
        <v>19</v>
      </c>
      <c r="G6275" s="3"/>
      <c r="H6275" s="3"/>
    </row>
    <row r="6276" spans="1:8">
      <c r="A6276" s="3">
        <v>185589</v>
      </c>
      <c r="B6276" s="7" t="s">
        <v>42</v>
      </c>
      <c r="C6276" s="41">
        <v>500.3</v>
      </c>
      <c r="D6276" s="6">
        <v>45712</v>
      </c>
      <c r="E6276" s="3" t="str">
        <f ca="1">IF(Tabela2[[#This Row],[Dt Venc:]]&gt;TODAY(),"Em Aberto",IF(Tabela2[[#This Row],[D/venc]]="-","Enviado",IF(Tabela2[[#This Row],[Dt Venc:]]=TODAY(),"Vence Hoje","Vencida")))</f>
        <v>Em Aberto</v>
      </c>
      <c r="F6276" s="3">
        <f ca="1">IF(G6276=1,"-",Tabela2[[#This Row],[Dt Venc:]]-TODAY())</f>
        <v>19</v>
      </c>
      <c r="G6276" s="3"/>
      <c r="H6276" s="3"/>
    </row>
    <row r="6277" spans="1:8">
      <c r="A6277" s="3">
        <v>185602</v>
      </c>
      <c r="B6277" s="7" t="s">
        <v>42</v>
      </c>
      <c r="C6277" s="41">
        <v>1379.86</v>
      </c>
      <c r="D6277" s="6">
        <v>45712</v>
      </c>
      <c r="E6277" s="3" t="str">
        <f ca="1">IF(Tabela2[[#This Row],[Dt Venc:]]&gt;TODAY(),"Em Aberto",IF(Tabela2[[#This Row],[D/venc]]="-","Enviado",IF(Tabela2[[#This Row],[Dt Venc:]]=TODAY(),"Vence Hoje","Vencida")))</f>
        <v>Em Aberto</v>
      </c>
      <c r="F6277" s="3">
        <f ca="1">IF(G6277=1,"-",Tabela2[[#This Row],[Dt Venc:]]-TODAY())</f>
        <v>19</v>
      </c>
      <c r="G6277" s="3"/>
      <c r="H6277" s="3"/>
    </row>
    <row r="6278" spans="1:8">
      <c r="A6278" s="3">
        <v>224652</v>
      </c>
      <c r="B6278" s="7" t="s">
        <v>39</v>
      </c>
      <c r="C6278" s="41">
        <v>21465</v>
      </c>
      <c r="D6278" s="6">
        <v>45712</v>
      </c>
      <c r="E6278" s="3" t="str">
        <f ca="1">IF(Tabela2[[#This Row],[Dt Venc:]]&gt;TODAY(),"Em Aberto",IF(Tabela2[[#This Row],[D/venc]]="-","Enviado",IF(Tabela2[[#This Row],[Dt Venc:]]=TODAY(),"Vence Hoje","Vencida")))</f>
        <v>Em Aberto</v>
      </c>
      <c r="F6278" s="3">
        <f ca="1">IF(G6278=1,"-",Tabela2[[#This Row],[Dt Venc:]]-TODAY())</f>
        <v>19</v>
      </c>
      <c r="G6278" s="3"/>
      <c r="H6278" s="3"/>
    </row>
    <row r="6279" spans="1:8">
      <c r="A6279" s="3">
        <v>227233</v>
      </c>
      <c r="B6279" s="7" t="s">
        <v>39</v>
      </c>
      <c r="C6279" s="41">
        <v>597.51</v>
      </c>
      <c r="D6279" s="6">
        <v>45712</v>
      </c>
      <c r="E6279" s="3" t="str">
        <f ca="1">IF(Tabela2[[#This Row],[Dt Venc:]]&gt;TODAY(),"Em Aberto",IF(Tabela2[[#This Row],[D/venc]]="-","Enviado",IF(Tabela2[[#This Row],[Dt Venc:]]=TODAY(),"Vence Hoje","Vencida")))</f>
        <v>Em Aberto</v>
      </c>
      <c r="F6279" s="3">
        <f ca="1">IF(G6279=1,"-",Tabela2[[#This Row],[Dt Venc:]]-TODAY())</f>
        <v>19</v>
      </c>
      <c r="G6279" s="3"/>
      <c r="H6279" s="3"/>
    </row>
    <row r="6280" spans="1:8">
      <c r="A6280" s="3">
        <v>254590</v>
      </c>
      <c r="B6280" s="7" t="s">
        <v>43</v>
      </c>
      <c r="C6280" s="41">
        <v>1395.4</v>
      </c>
      <c r="D6280" s="6">
        <v>45712</v>
      </c>
      <c r="E6280" s="3" t="str">
        <f ca="1">IF(Tabela2[[#This Row],[Dt Venc:]]&gt;TODAY(),"Em Aberto",IF(Tabela2[[#This Row],[D/venc]]="-","Enviado",IF(Tabela2[[#This Row],[Dt Venc:]]=TODAY(),"Vence Hoje","Vencida")))</f>
        <v>Em Aberto</v>
      </c>
      <c r="F6280" s="3">
        <f ca="1">IF(G6280=1,"-",Tabela2[[#This Row],[Dt Venc:]]-TODAY())</f>
        <v>19</v>
      </c>
      <c r="G6280" s="3"/>
      <c r="H6280" s="3"/>
    </row>
    <row r="6281" spans="1:8">
      <c r="A6281" s="3">
        <v>267324</v>
      </c>
      <c r="B6281" s="7" t="s">
        <v>189</v>
      </c>
      <c r="C6281" s="41">
        <v>246.67</v>
      </c>
      <c r="D6281" s="6">
        <v>45712</v>
      </c>
      <c r="E6281" s="3" t="str">
        <f ca="1">IF(Tabela2[[#This Row],[Dt Venc:]]&gt;TODAY(),"Em Aberto",IF(Tabela2[[#This Row],[D/venc]]="-","Enviado",IF(Tabela2[[#This Row],[Dt Venc:]]=TODAY(),"Vence Hoje","Vencida")))</f>
        <v>Em Aberto</v>
      </c>
      <c r="F6281" s="3">
        <f ca="1">IF(G6281=1,"-",Tabela2[[#This Row],[Dt Venc:]]-TODAY())</f>
        <v>19</v>
      </c>
      <c r="G6281" s="3"/>
      <c r="H6281" s="3"/>
    </row>
    <row r="6282" spans="1:8">
      <c r="A6282" s="3">
        <v>284876</v>
      </c>
      <c r="B6282" s="7" t="s">
        <v>43</v>
      </c>
      <c r="C6282" s="41">
        <v>365.92</v>
      </c>
      <c r="D6282" s="6">
        <v>45712</v>
      </c>
      <c r="E6282" s="3" t="str">
        <f ca="1">IF(Tabela2[[#This Row],[Dt Venc:]]&gt;TODAY(),"Em Aberto",IF(Tabela2[[#This Row],[D/venc]]="-","Enviado",IF(Tabela2[[#This Row],[Dt Venc:]]=TODAY(),"Vence Hoje","Vencida")))</f>
        <v>Em Aberto</v>
      </c>
      <c r="F6282" s="3">
        <f ca="1">IF(G6282=1,"-",Tabela2[[#This Row],[Dt Venc:]]-TODAY())</f>
        <v>19</v>
      </c>
      <c r="G6282" s="3"/>
      <c r="H6282" s="3"/>
    </row>
    <row r="6283" spans="1:8">
      <c r="A6283" s="3">
        <v>284957</v>
      </c>
      <c r="B6283" s="7" t="s">
        <v>43</v>
      </c>
      <c r="C6283" s="41">
        <v>335.16</v>
      </c>
      <c r="D6283" s="6">
        <v>45712</v>
      </c>
      <c r="E6283" s="3" t="str">
        <f ca="1">IF(Tabela2[[#This Row],[Dt Venc:]]&gt;TODAY(),"Em Aberto",IF(Tabela2[[#This Row],[D/venc]]="-","Enviado",IF(Tabela2[[#This Row],[Dt Venc:]]=TODAY(),"Vence Hoje","Vencida")))</f>
        <v>Em Aberto</v>
      </c>
      <c r="F6283" s="3">
        <f ca="1">IF(G6283=1,"-",Tabela2[[#This Row],[Dt Venc:]]-TODAY())</f>
        <v>19</v>
      </c>
      <c r="G6283" s="3"/>
      <c r="H6283" s="3"/>
    </row>
    <row r="6284" spans="1:8">
      <c r="A6284" s="3">
        <v>329375</v>
      </c>
      <c r="B6284" s="7" t="s">
        <v>77</v>
      </c>
      <c r="C6284" s="41">
        <v>438.33</v>
      </c>
      <c r="D6284" s="6">
        <v>45712</v>
      </c>
      <c r="E6284" s="3" t="str">
        <f ca="1">IF(Tabela2[[#This Row],[Dt Venc:]]&gt;TODAY(),"Em Aberto",IF(Tabela2[[#This Row],[D/venc]]="-","Enviado",IF(Tabela2[[#This Row],[Dt Venc:]]=TODAY(),"Vence Hoje","Vencida")))</f>
        <v>Em Aberto</v>
      </c>
      <c r="F6284" s="3">
        <f ca="1">IF(G6284=1,"-",Tabela2[[#This Row],[Dt Venc:]]-TODAY())</f>
        <v>19</v>
      </c>
      <c r="G6284" s="3"/>
      <c r="H6284" s="3"/>
    </row>
    <row r="6285" spans="1:8">
      <c r="A6285" s="3">
        <v>329424</v>
      </c>
      <c r="B6285" s="7" t="s">
        <v>77</v>
      </c>
      <c r="C6285" s="41">
        <v>438.33</v>
      </c>
      <c r="D6285" s="6">
        <v>45712</v>
      </c>
      <c r="E6285" s="3" t="str">
        <f ca="1">IF(Tabela2[[#This Row],[Dt Venc:]]&gt;TODAY(),"Em Aberto",IF(Tabela2[[#This Row],[D/venc]]="-","Enviado",IF(Tabela2[[#This Row],[Dt Venc:]]=TODAY(),"Vence Hoje","Vencida")))</f>
        <v>Em Aberto</v>
      </c>
      <c r="F6285" s="3">
        <f ca="1">IF(G6285=1,"-",Tabela2[[#This Row],[Dt Venc:]]-TODAY())</f>
        <v>19</v>
      </c>
      <c r="G6285" s="3"/>
      <c r="H6285" s="3"/>
    </row>
    <row r="6286" spans="1:8">
      <c r="A6286" s="3">
        <v>330883</v>
      </c>
      <c r="B6286" s="7" t="s">
        <v>77</v>
      </c>
      <c r="C6286" s="41">
        <v>438.33</v>
      </c>
      <c r="D6286" s="6">
        <v>45712</v>
      </c>
      <c r="E6286" s="3" t="str">
        <f ca="1">IF(Tabela2[[#This Row],[Dt Venc:]]&gt;TODAY(),"Em Aberto",IF(Tabela2[[#This Row],[D/venc]]="-","Enviado",IF(Tabela2[[#This Row],[Dt Venc:]]=TODAY(),"Vence Hoje","Vencida")))</f>
        <v>Em Aberto</v>
      </c>
      <c r="F6286" s="3">
        <f ca="1">IF(G6286=1,"-",Tabela2[[#This Row],[Dt Venc:]]-TODAY())</f>
        <v>19</v>
      </c>
      <c r="G6286" s="3"/>
      <c r="H6286" s="3"/>
    </row>
    <row r="6287" spans="1:8">
      <c r="A6287" s="3">
        <v>373352</v>
      </c>
      <c r="B6287" s="7" t="s">
        <v>39</v>
      </c>
      <c r="C6287" s="41">
        <v>2298.4899999999998</v>
      </c>
      <c r="D6287" s="6">
        <v>45712</v>
      </c>
      <c r="E6287" s="3" t="str">
        <f ca="1">IF(Tabela2[[#This Row],[Dt Venc:]]&gt;TODAY(),"Em Aberto",IF(Tabela2[[#This Row],[D/venc]]="-","Enviado",IF(Tabela2[[#This Row],[Dt Venc:]]=TODAY(),"Vence Hoje","Vencida")))</f>
        <v>Em Aberto</v>
      </c>
      <c r="F6287" s="3">
        <f ca="1">IF(G6287=1,"-",Tabela2[[#This Row],[Dt Venc:]]-TODAY())</f>
        <v>19</v>
      </c>
      <c r="G6287" s="3"/>
      <c r="H6287" s="3"/>
    </row>
    <row r="6288" spans="1:8">
      <c r="A6288" s="3">
        <v>373444</v>
      </c>
      <c r="B6288" s="7" t="s">
        <v>39</v>
      </c>
      <c r="C6288" s="41">
        <v>554.51</v>
      </c>
      <c r="D6288" s="6">
        <v>45712</v>
      </c>
      <c r="E6288" s="3" t="str">
        <f ca="1">IF(Tabela2[[#This Row],[Dt Venc:]]&gt;TODAY(),"Em Aberto",IF(Tabela2[[#This Row],[D/venc]]="-","Enviado",IF(Tabela2[[#This Row],[Dt Venc:]]=TODAY(),"Vence Hoje","Vencida")))</f>
        <v>Em Aberto</v>
      </c>
      <c r="F6288" s="3">
        <f ca="1">IF(G6288=1,"-",Tabela2[[#This Row],[Dt Venc:]]-TODAY())</f>
        <v>19</v>
      </c>
      <c r="G6288" s="3"/>
      <c r="H6288" s="3"/>
    </row>
    <row r="6289" spans="1:8">
      <c r="A6289" s="3">
        <v>373535</v>
      </c>
      <c r="B6289" s="7" t="s">
        <v>39</v>
      </c>
      <c r="C6289" s="41">
        <v>650.1</v>
      </c>
      <c r="D6289" s="6">
        <v>45712</v>
      </c>
      <c r="E6289" s="3" t="str">
        <f ca="1">IF(Tabela2[[#This Row],[Dt Venc:]]&gt;TODAY(),"Em Aberto",IF(Tabela2[[#This Row],[D/venc]]="-","Enviado",IF(Tabela2[[#This Row],[Dt Venc:]]=TODAY(),"Vence Hoje","Vencida")))</f>
        <v>Em Aberto</v>
      </c>
      <c r="F6289" s="3">
        <f ca="1">IF(G6289=1,"-",Tabela2[[#This Row],[Dt Venc:]]-TODAY())</f>
        <v>19</v>
      </c>
      <c r="G6289" s="3"/>
      <c r="H6289" s="3"/>
    </row>
    <row r="6290" spans="1:8">
      <c r="A6290" s="3">
        <v>432146</v>
      </c>
      <c r="B6290" s="7" t="s">
        <v>601</v>
      </c>
      <c r="C6290" s="41">
        <v>196.98</v>
      </c>
      <c r="D6290" s="6">
        <v>45712</v>
      </c>
      <c r="E6290" s="3" t="str">
        <f ca="1">IF(Tabela2[[#This Row],[Dt Venc:]]&gt;TODAY(),"Em Aberto",IF(Tabela2[[#This Row],[D/venc]]="-","Enviado",IF(Tabela2[[#This Row],[Dt Venc:]]=TODAY(),"Vence Hoje","Vencida")))</f>
        <v>Em Aberto</v>
      </c>
      <c r="F6290" s="3">
        <f ca="1">IF(G6290=1,"-",Tabela2[[#This Row],[Dt Venc:]]-TODAY())</f>
        <v>19</v>
      </c>
      <c r="G6290" s="3"/>
      <c r="H6290" s="3"/>
    </row>
    <row r="6291" spans="1:8">
      <c r="A6291" s="3">
        <v>447197</v>
      </c>
      <c r="B6291" s="7" t="s">
        <v>512</v>
      </c>
      <c r="C6291" s="41">
        <v>1177.78</v>
      </c>
      <c r="D6291" s="6">
        <v>45712</v>
      </c>
      <c r="E6291" s="3" t="str">
        <f ca="1">IF(Tabela2[[#This Row],[Dt Venc:]]&gt;TODAY(),"Em Aberto",IF(Tabela2[[#This Row],[D/venc]]="-","Enviado",IF(Tabela2[[#This Row],[Dt Venc:]]=TODAY(),"Vence Hoje","Vencida")))</f>
        <v>Em Aberto</v>
      </c>
      <c r="F6291" s="3">
        <f ca="1">IF(G6291=1,"-",Tabela2[[#This Row],[Dt Venc:]]-TODAY())</f>
        <v>19</v>
      </c>
      <c r="G6291" s="3"/>
      <c r="H6291" s="3"/>
    </row>
    <row r="6292" spans="1:8">
      <c r="A6292" s="3">
        <v>615163</v>
      </c>
      <c r="B6292" s="7" t="s">
        <v>66</v>
      </c>
      <c r="C6292" s="41">
        <v>6654.92</v>
      </c>
      <c r="D6292" s="6">
        <v>45712</v>
      </c>
      <c r="E6292" s="3" t="str">
        <f ca="1">IF(Tabela2[[#This Row],[Dt Venc:]]&gt;TODAY(),"Em Aberto",IF(Tabela2[[#This Row],[D/venc]]="-","Enviado",IF(Tabela2[[#This Row],[Dt Venc:]]=TODAY(),"Vence Hoje","Vencida")))</f>
        <v>Em Aberto</v>
      </c>
      <c r="F6292" s="3">
        <f ca="1">IF(G6292=1,"-",Tabela2[[#This Row],[Dt Venc:]]-TODAY())</f>
        <v>19</v>
      </c>
      <c r="G6292" s="3"/>
      <c r="H6292" s="3"/>
    </row>
    <row r="6293" spans="1:8">
      <c r="A6293" s="3">
        <v>1</v>
      </c>
      <c r="B6293" s="7" t="s">
        <v>715</v>
      </c>
      <c r="C6293" s="41">
        <v>1258.56</v>
      </c>
      <c r="D6293" s="6">
        <v>45712</v>
      </c>
      <c r="E6293" s="3" t="str">
        <f ca="1">IF(Tabela2[[#This Row],[Dt Venc:]]&gt;TODAY(),"Em Aberto",IF(Tabela2[[#This Row],[D/venc]]="-","Enviado",IF(Tabela2[[#This Row],[Dt Venc:]]=TODAY(),"Vence Hoje","Vencida")))</f>
        <v>Em Aberto</v>
      </c>
      <c r="F6293" s="3">
        <f ca="1">IF(G6293=1,"-",Tabela2[[#This Row],[Dt Venc:]]-TODAY())</f>
        <v>19</v>
      </c>
      <c r="G6293" s="3"/>
      <c r="H6293" s="3"/>
    </row>
    <row r="6294" spans="1:8">
      <c r="A6294" s="3">
        <v>426686</v>
      </c>
      <c r="B6294" s="7" t="s">
        <v>716</v>
      </c>
      <c r="C6294" s="41">
        <v>14336.73</v>
      </c>
      <c r="D6294" s="6">
        <v>45712</v>
      </c>
      <c r="E6294" s="3" t="str">
        <f ca="1">IF(Tabela2[[#This Row],[Dt Venc:]]&gt;TODAY(),"Em Aberto",IF(Tabela2[[#This Row],[D/venc]]="-","Enviado",IF(Tabela2[[#This Row],[Dt Venc:]]=TODAY(),"Vence Hoje","Vencida")))</f>
        <v>Em Aberto</v>
      </c>
      <c r="F6294" s="3">
        <f ca="1">IF(G6294=1,"-",Tabela2[[#This Row],[Dt Venc:]]-TODAY())</f>
        <v>19</v>
      </c>
      <c r="G6294" s="3"/>
      <c r="H6294" s="3"/>
    </row>
    <row r="6295" spans="1:8">
      <c r="A6295" s="3">
        <v>11421</v>
      </c>
      <c r="B6295" s="7" t="s">
        <v>717</v>
      </c>
      <c r="C6295" s="41">
        <v>380</v>
      </c>
      <c r="D6295" s="6">
        <v>45712</v>
      </c>
      <c r="E6295" s="3" t="str">
        <f ca="1">IF(Tabela2[[#This Row],[Dt Venc:]]&gt;TODAY(),"Em Aberto",IF(Tabela2[[#This Row],[D/venc]]="-","Enviado",IF(Tabela2[[#This Row],[Dt Venc:]]=TODAY(),"Vence Hoje","Vencida")))</f>
        <v>Em Aberto</v>
      </c>
      <c r="F6295" s="3">
        <f ca="1">IF(G6295=1,"-",Tabela2[[#This Row],[Dt Venc:]]-TODAY())</f>
        <v>19</v>
      </c>
      <c r="G6295" s="3"/>
      <c r="H6295" s="3"/>
    </row>
    <row r="6296" spans="1:8">
      <c r="A6296" s="3">
        <v>53286</v>
      </c>
      <c r="B6296" s="7" t="s">
        <v>70</v>
      </c>
      <c r="C6296" s="41">
        <v>270.32</v>
      </c>
      <c r="D6296" s="6">
        <v>45712</v>
      </c>
      <c r="E6296" s="3" t="str">
        <f ca="1">IF(Tabela2[[#This Row],[Dt Venc:]]&gt;TODAY(),"Em Aberto",IF(Tabela2[[#This Row],[D/venc]]="-","Enviado",IF(Tabela2[[#This Row],[Dt Venc:]]=TODAY(),"Vence Hoje","Vencida")))</f>
        <v>Em Aberto</v>
      </c>
      <c r="F6296" s="3">
        <f ca="1">IF(G6296=1,"-",Tabela2[[#This Row],[Dt Venc:]]-TODAY())</f>
        <v>19</v>
      </c>
      <c r="G6296" s="3"/>
      <c r="H6296" s="3"/>
    </row>
    <row r="6297" spans="1:8">
      <c r="A6297" s="3">
        <v>4557</v>
      </c>
      <c r="B6297" s="7" t="s">
        <v>672</v>
      </c>
      <c r="C6297" s="41">
        <v>314.27999999999997</v>
      </c>
      <c r="D6297" s="6">
        <v>45712</v>
      </c>
      <c r="E6297" s="3" t="str">
        <f ca="1">IF(Tabela2[[#This Row],[Dt Venc:]]&gt;TODAY(),"Em Aberto",IF(Tabela2[[#This Row],[D/venc]]="-","Enviado",IF(Tabela2[[#This Row],[Dt Venc:]]=TODAY(),"Vence Hoje","Vencida")))</f>
        <v>Em Aberto</v>
      </c>
      <c r="F6297" s="3">
        <f ca="1">IF(G6297=1,"-",Tabela2[[#This Row],[Dt Venc:]]-TODAY())</f>
        <v>19</v>
      </c>
      <c r="G6297" s="3"/>
      <c r="H6297" s="3"/>
    </row>
    <row r="6298" spans="1:8">
      <c r="A6298" s="3">
        <v>4514</v>
      </c>
      <c r="B6298" s="7" t="s">
        <v>717</v>
      </c>
      <c r="C6298" s="41">
        <v>895</v>
      </c>
      <c r="D6298" s="6">
        <v>45712</v>
      </c>
      <c r="E6298" s="3" t="str">
        <f ca="1">IF(Tabela2[[#This Row],[Dt Venc:]]&gt;TODAY(),"Em Aberto",IF(Tabela2[[#This Row],[D/venc]]="-","Enviado",IF(Tabela2[[#This Row],[Dt Venc:]]=TODAY(),"Vence Hoje","Vencida")))</f>
        <v>Em Aberto</v>
      </c>
      <c r="F6298" s="3">
        <f ca="1">IF(G6298=1,"-",Tabela2[[#This Row],[Dt Venc:]]-TODAY())</f>
        <v>19</v>
      </c>
      <c r="G6298" s="3"/>
      <c r="H6298" s="3"/>
    </row>
    <row r="6299" spans="1:8">
      <c r="A6299" s="3">
        <v>38472</v>
      </c>
      <c r="B6299" s="7" t="s">
        <v>70</v>
      </c>
      <c r="C6299" s="41">
        <v>1164.6300000000001</v>
      </c>
      <c r="D6299" s="6">
        <v>45712</v>
      </c>
      <c r="E6299" s="3" t="str">
        <f ca="1">IF(Tabela2[[#This Row],[Dt Venc:]]&gt;TODAY(),"Em Aberto",IF(Tabela2[[#This Row],[D/venc]]="-","Enviado",IF(Tabela2[[#This Row],[Dt Venc:]]=TODAY(),"Vence Hoje","Vencida")))</f>
        <v>Em Aberto</v>
      </c>
      <c r="F6299" s="3">
        <f ca="1">IF(G6299=1,"-",Tabela2[[#This Row],[Dt Venc:]]-TODAY())</f>
        <v>19</v>
      </c>
      <c r="G6299" s="3"/>
      <c r="H6299" s="3"/>
    </row>
    <row r="6300" spans="1:8">
      <c r="A6300" s="3">
        <v>1821</v>
      </c>
      <c r="B6300" s="7" t="s">
        <v>78</v>
      </c>
      <c r="C6300" s="41">
        <v>451</v>
      </c>
      <c r="D6300" s="6">
        <v>45712</v>
      </c>
      <c r="E6300" s="3" t="str">
        <f ca="1">IF(Tabela2[[#This Row],[Dt Venc:]]&gt;TODAY(),"Em Aberto",IF(Tabela2[[#This Row],[D/venc]]="-","Enviado",IF(Tabela2[[#This Row],[Dt Venc:]]=TODAY(),"Vence Hoje","Vencida")))</f>
        <v>Em Aberto</v>
      </c>
      <c r="F6300" s="3">
        <f ca="1">IF(G6300=1,"-",Tabela2[[#This Row],[Dt Venc:]]-TODAY())</f>
        <v>19</v>
      </c>
      <c r="G6300" s="3"/>
      <c r="H6300" s="3"/>
    </row>
    <row r="6301" spans="1:8">
      <c r="A6301" s="3">
        <v>75455</v>
      </c>
      <c r="B6301" s="7" t="s">
        <v>76</v>
      </c>
      <c r="C6301" s="41">
        <v>451.51</v>
      </c>
      <c r="D6301" s="6">
        <v>45712</v>
      </c>
      <c r="E6301" s="3" t="str">
        <f ca="1">IF(Tabela2[[#This Row],[Dt Venc:]]&gt;TODAY(),"Em Aberto",IF(Tabela2[[#This Row],[D/venc]]="-","Enviado",IF(Tabela2[[#This Row],[Dt Venc:]]=TODAY(),"Vence Hoje","Vencida")))</f>
        <v>Em Aberto</v>
      </c>
      <c r="F6301" s="3">
        <f ca="1">IF(G6301=1,"-",Tabela2[[#This Row],[Dt Venc:]]-TODAY())</f>
        <v>19</v>
      </c>
      <c r="G6301" s="3"/>
      <c r="H6301" s="3"/>
    </row>
    <row r="6302" spans="1:8">
      <c r="A6302" s="3">
        <v>92049</v>
      </c>
      <c r="B6302" s="7" t="s">
        <v>48</v>
      </c>
      <c r="C6302" s="41">
        <v>390.6</v>
      </c>
      <c r="D6302" s="6">
        <v>45712</v>
      </c>
      <c r="E6302" s="3" t="str">
        <f ca="1">IF(Tabela2[[#This Row],[Dt Venc:]]&gt;TODAY(),"Em Aberto",IF(Tabela2[[#This Row],[D/venc]]="-","Enviado",IF(Tabela2[[#This Row],[Dt Venc:]]=TODAY(),"Vence Hoje","Vencida")))</f>
        <v>Em Aberto</v>
      </c>
      <c r="F6302" s="3">
        <f ca="1">IF(G6302=1,"-",Tabela2[[#This Row],[Dt Venc:]]-TODAY())</f>
        <v>19</v>
      </c>
      <c r="G6302" s="3"/>
      <c r="H6302" s="3"/>
    </row>
    <row r="6303" spans="1:8">
      <c r="A6303" s="3">
        <v>92047</v>
      </c>
      <c r="B6303" s="7" t="s">
        <v>48</v>
      </c>
      <c r="C6303" s="41">
        <v>753.33</v>
      </c>
      <c r="D6303" s="6">
        <v>45712</v>
      </c>
      <c r="E6303" s="3" t="str">
        <f ca="1">IF(Tabela2[[#This Row],[Dt Venc:]]&gt;TODAY(),"Em Aberto",IF(Tabela2[[#This Row],[D/venc]]="-","Enviado",IF(Tabela2[[#This Row],[Dt Venc:]]=TODAY(),"Vence Hoje","Vencida")))</f>
        <v>Em Aberto</v>
      </c>
      <c r="F6303" s="3">
        <f ca="1">IF(G6303=1,"-",Tabela2[[#This Row],[Dt Venc:]]-TODAY())</f>
        <v>19</v>
      </c>
      <c r="G6303" s="3"/>
      <c r="H6303" s="3"/>
    </row>
    <row r="6304" spans="1:8">
      <c r="A6304" s="3">
        <v>12</v>
      </c>
      <c r="B6304" s="7" t="s">
        <v>718</v>
      </c>
      <c r="C6304" s="41">
        <v>1000</v>
      </c>
      <c r="D6304" s="6">
        <v>45712</v>
      </c>
      <c r="E6304" s="3" t="str">
        <f ca="1">IF(Tabela2[[#This Row],[Dt Venc:]]&gt;TODAY(),"Em Aberto",IF(Tabela2[[#This Row],[D/venc]]="-","Enviado",IF(Tabela2[[#This Row],[Dt Venc:]]=TODAY(),"Vence Hoje","Vencida")))</f>
        <v>Em Aberto</v>
      </c>
      <c r="F6304" s="3">
        <f ca="1">IF(G6304=1,"-",Tabela2[[#This Row],[Dt Venc:]]-TODAY())</f>
        <v>19</v>
      </c>
      <c r="G6304" s="3"/>
      <c r="H6304" s="3"/>
    </row>
    <row r="6305" spans="1:8">
      <c r="A6305" s="3">
        <v>70397</v>
      </c>
      <c r="B6305" s="7" t="s">
        <v>143</v>
      </c>
      <c r="C6305" s="41">
        <v>907</v>
      </c>
      <c r="D6305" s="6">
        <v>45712</v>
      </c>
      <c r="E6305" s="3" t="str">
        <f ca="1">IF(Tabela2[[#This Row],[Dt Venc:]]&gt;TODAY(),"Em Aberto",IF(Tabela2[[#This Row],[D/venc]]="-","Enviado",IF(Tabela2[[#This Row],[Dt Venc:]]=TODAY(),"Vence Hoje","Vencida")))</f>
        <v>Em Aberto</v>
      </c>
      <c r="F6305" s="3">
        <f ca="1">IF(G6305=1,"-",Tabela2[[#This Row],[Dt Venc:]]-TODAY())</f>
        <v>19</v>
      </c>
      <c r="G6305" s="3"/>
      <c r="H6305" s="3"/>
    </row>
    <row r="6306" spans="1:8">
      <c r="A6306" s="3">
        <v>14550</v>
      </c>
      <c r="B6306" s="7" t="s">
        <v>105</v>
      </c>
      <c r="C6306" s="41">
        <v>3250</v>
      </c>
      <c r="D6306" s="6">
        <v>45712</v>
      </c>
      <c r="E6306" s="3" t="str">
        <f ca="1">IF(Tabela2[[#This Row],[Dt Venc:]]&gt;TODAY(),"Em Aberto",IF(Tabela2[[#This Row],[D/venc]]="-","Enviado",IF(Tabela2[[#This Row],[Dt Venc:]]=TODAY(),"Vence Hoje","Vencida")))</f>
        <v>Em Aberto</v>
      </c>
      <c r="F6306" s="3">
        <f ca="1">IF(G6306=1,"-",Tabela2[[#This Row],[Dt Venc:]]-TODAY())</f>
        <v>19</v>
      </c>
      <c r="G6306" s="3"/>
      <c r="H6306" s="3"/>
    </row>
    <row r="6307" spans="1:8">
      <c r="A6307" s="3">
        <v>290</v>
      </c>
      <c r="B6307" s="7" t="s">
        <v>719</v>
      </c>
      <c r="C6307" s="41">
        <v>298</v>
      </c>
      <c r="D6307" s="6">
        <v>45712</v>
      </c>
      <c r="E6307" s="3" t="str">
        <f ca="1">IF(Tabela2[[#This Row],[Dt Venc:]]&gt;TODAY(),"Em Aberto",IF(Tabela2[[#This Row],[D/venc]]="-","Enviado",IF(Tabela2[[#This Row],[Dt Venc:]]=TODAY(),"Vence Hoje","Vencida")))</f>
        <v>Em Aberto</v>
      </c>
      <c r="F6307" s="3">
        <f ca="1">IF(G6307=1,"-",Tabela2[[#This Row],[Dt Venc:]]-TODAY())</f>
        <v>19</v>
      </c>
      <c r="G6307" s="3"/>
      <c r="H6307" s="3"/>
    </row>
    <row r="6308" spans="1:8">
      <c r="A6308" s="3">
        <v>1286</v>
      </c>
      <c r="B6308" s="7" t="s">
        <v>720</v>
      </c>
      <c r="C6308" s="41">
        <v>1350</v>
      </c>
      <c r="D6308" s="6">
        <v>45712</v>
      </c>
      <c r="E6308" s="3" t="str">
        <f ca="1">IF(Tabela2[[#This Row],[Dt Venc:]]&gt;TODAY(),"Em Aberto",IF(Tabela2[[#This Row],[D/venc]]="-","Enviado",IF(Tabela2[[#This Row],[Dt Venc:]]=TODAY(),"Vence Hoje","Vencida")))</f>
        <v>Em Aberto</v>
      </c>
      <c r="F6308" s="3">
        <f ca="1">IF(G6308=1,"-",Tabela2[[#This Row],[Dt Venc:]]-TODAY())</f>
        <v>19</v>
      </c>
      <c r="G6308" s="3"/>
      <c r="H6308" s="3"/>
    </row>
    <row r="6309" spans="1:8">
      <c r="A6309" s="3">
        <v>75398</v>
      </c>
      <c r="B6309" s="7" t="s">
        <v>76</v>
      </c>
      <c r="C6309" s="41">
        <v>1917.47</v>
      </c>
      <c r="D6309" s="6">
        <v>45712</v>
      </c>
      <c r="E6309" s="3" t="str">
        <f ca="1">IF(Tabela2[[#This Row],[Dt Venc:]]&gt;TODAY(),"Em Aberto",IF(Tabela2[[#This Row],[D/venc]]="-","Enviado",IF(Tabela2[[#This Row],[Dt Venc:]]=TODAY(),"Vence Hoje","Vencida")))</f>
        <v>Em Aberto</v>
      </c>
      <c r="F6309" s="3">
        <f ca="1">IF(G6309=1,"-",Tabela2[[#This Row],[Dt Venc:]]-TODAY())</f>
        <v>19</v>
      </c>
      <c r="G6309" s="3"/>
      <c r="H6309" s="3"/>
    </row>
    <row r="6310" spans="1:8">
      <c r="A6310" s="3">
        <v>2389</v>
      </c>
      <c r="B6310" s="7" t="s">
        <v>45</v>
      </c>
      <c r="C6310" s="41">
        <v>751</v>
      </c>
      <c r="D6310" s="6">
        <v>45712</v>
      </c>
      <c r="E6310" s="3" t="str">
        <f ca="1">IF(Tabela2[[#This Row],[Dt Venc:]]&gt;TODAY(),"Em Aberto",IF(Tabela2[[#This Row],[D/venc]]="-","Enviado",IF(Tabela2[[#This Row],[Dt Venc:]]=TODAY(),"Vence Hoje","Vencida")))</f>
        <v>Em Aberto</v>
      </c>
      <c r="F6310" s="3">
        <f ca="1">IF(G6310=1,"-",Tabela2[[#This Row],[Dt Venc:]]-TODAY())</f>
        <v>19</v>
      </c>
      <c r="G6310" s="3"/>
      <c r="H6310" s="3"/>
    </row>
    <row r="6311" spans="1:8">
      <c r="A6311" s="3">
        <v>734624</v>
      </c>
      <c r="B6311" s="7" t="s">
        <v>79</v>
      </c>
      <c r="C6311" s="41">
        <v>255.86</v>
      </c>
      <c r="D6311" s="6">
        <v>45712</v>
      </c>
      <c r="E6311" s="3" t="str">
        <f ca="1">IF(Tabela2[[#This Row],[Dt Venc:]]&gt;TODAY(),"Em Aberto",IF(Tabela2[[#This Row],[D/venc]]="-","Enviado",IF(Tabela2[[#This Row],[Dt Venc:]]=TODAY(),"Vence Hoje","Vencida")))</f>
        <v>Em Aberto</v>
      </c>
      <c r="F6311" s="3">
        <f ca="1">IF(G6311=1,"-",Tabela2[[#This Row],[Dt Venc:]]-TODAY())</f>
        <v>19</v>
      </c>
      <c r="G6311" s="3"/>
      <c r="H6311" s="3"/>
    </row>
    <row r="6312" spans="1:8">
      <c r="A6312" s="3">
        <v>1281</v>
      </c>
      <c r="B6312" s="7" t="s">
        <v>474</v>
      </c>
      <c r="C6312" s="41">
        <v>2300</v>
      </c>
      <c r="D6312" s="6">
        <v>45713</v>
      </c>
      <c r="E6312" s="3" t="str">
        <f ca="1">IF(Tabela2[[#This Row],[Dt Venc:]]&gt;TODAY(),"Em Aberto",IF(Tabela2[[#This Row],[D/venc]]="-","Enviado",IF(Tabela2[[#This Row],[Dt Venc:]]=TODAY(),"Vence Hoje","Vencida")))</f>
        <v>Em Aberto</v>
      </c>
      <c r="F6312" s="3">
        <f ca="1">IF(G6312=1,"-",Tabela2[[#This Row],[Dt Venc:]]-TODAY())</f>
        <v>20</v>
      </c>
      <c r="G6312" s="3"/>
      <c r="H6312" s="3"/>
    </row>
    <row r="6313" spans="1:8">
      <c r="A6313" s="3">
        <v>1470</v>
      </c>
      <c r="B6313" s="7" t="s">
        <v>352</v>
      </c>
      <c r="C6313" s="41">
        <v>395</v>
      </c>
      <c r="D6313" s="6">
        <v>45713</v>
      </c>
      <c r="E6313" s="3" t="str">
        <f ca="1">IF(Tabela2[[#This Row],[Dt Venc:]]&gt;TODAY(),"Em Aberto",IF(Tabela2[[#This Row],[D/venc]]="-","Enviado",IF(Tabela2[[#This Row],[Dt Venc:]]=TODAY(),"Vence Hoje","Vencida")))</f>
        <v>Em Aberto</v>
      </c>
      <c r="F6313" s="3">
        <f ca="1">IF(G6313=1,"-",Tabela2[[#This Row],[Dt Venc:]]-TODAY())</f>
        <v>20</v>
      </c>
      <c r="G6313" s="3"/>
      <c r="H6313" s="3"/>
    </row>
    <row r="6314" spans="1:8">
      <c r="A6314" s="3">
        <v>1861</v>
      </c>
      <c r="B6314" s="7" t="s">
        <v>352</v>
      </c>
      <c r="C6314" s="41">
        <v>200</v>
      </c>
      <c r="D6314" s="6">
        <v>45713</v>
      </c>
      <c r="E6314" s="3" t="str">
        <f ca="1">IF(Tabela2[[#This Row],[Dt Venc:]]&gt;TODAY(),"Em Aberto",IF(Tabela2[[#This Row],[D/venc]]="-","Enviado",IF(Tabela2[[#This Row],[Dt Venc:]]=TODAY(),"Vence Hoje","Vencida")))</f>
        <v>Em Aberto</v>
      </c>
      <c r="F6314" s="3">
        <f ca="1">IF(G6314=1,"-",Tabela2[[#This Row],[Dt Venc:]]-TODAY())</f>
        <v>20</v>
      </c>
      <c r="G6314" s="3"/>
      <c r="H6314" s="3"/>
    </row>
    <row r="6315" spans="1:8">
      <c r="A6315" s="3">
        <v>2870</v>
      </c>
      <c r="B6315" s="7" t="s">
        <v>58</v>
      </c>
      <c r="C6315" s="41">
        <v>2216</v>
      </c>
      <c r="D6315" s="6">
        <v>45713</v>
      </c>
      <c r="E6315" s="3" t="str">
        <f ca="1">IF(Tabela2[[#This Row],[Dt Venc:]]&gt;TODAY(),"Em Aberto",IF(Tabela2[[#This Row],[D/venc]]="-","Enviado",IF(Tabela2[[#This Row],[Dt Venc:]]=TODAY(),"Vence Hoje","Vencida")))</f>
        <v>Em Aberto</v>
      </c>
      <c r="F6315" s="3">
        <f ca="1">IF(G6315=1,"-",Tabela2[[#This Row],[Dt Venc:]]-TODAY())</f>
        <v>20</v>
      </c>
      <c r="G6315" s="3"/>
      <c r="H6315" s="3"/>
    </row>
    <row r="6316" spans="1:8">
      <c r="A6316" s="3">
        <v>6213</v>
      </c>
      <c r="B6316" s="7" t="s">
        <v>47</v>
      </c>
      <c r="C6316" s="41">
        <v>1671.67</v>
      </c>
      <c r="D6316" s="6">
        <v>45713</v>
      </c>
      <c r="E6316" s="3" t="str">
        <f ca="1">IF(Tabela2[[#This Row],[Dt Venc:]]&gt;TODAY(),"Em Aberto",IF(Tabela2[[#This Row],[D/venc]]="-","Enviado",IF(Tabela2[[#This Row],[Dt Venc:]]=TODAY(),"Vence Hoje","Vencida")))</f>
        <v>Em Aberto</v>
      </c>
      <c r="F6316" s="3">
        <f ca="1">IF(G6316=1,"-",Tabela2[[#This Row],[Dt Venc:]]-TODAY())</f>
        <v>20</v>
      </c>
      <c r="G6316" s="3"/>
      <c r="H6316" s="3"/>
    </row>
    <row r="6317" spans="1:8">
      <c r="A6317" s="3">
        <v>11163</v>
      </c>
      <c r="B6317" s="7" t="s">
        <v>33</v>
      </c>
      <c r="C6317" s="41">
        <v>800</v>
      </c>
      <c r="D6317" s="6">
        <v>45713</v>
      </c>
      <c r="E6317" s="3" t="str">
        <f ca="1">IF(Tabela2[[#This Row],[Dt Venc:]]&gt;TODAY(),"Em Aberto",IF(Tabela2[[#This Row],[D/venc]]="-","Enviado",IF(Tabela2[[#This Row],[Dt Venc:]]=TODAY(),"Vence Hoje","Vencida")))</f>
        <v>Em Aberto</v>
      </c>
      <c r="F6317" s="3">
        <f ca="1">IF(G6317=1,"-",Tabela2[[#This Row],[Dt Venc:]]-TODAY())</f>
        <v>20</v>
      </c>
      <c r="G6317" s="3"/>
      <c r="H6317" s="3"/>
    </row>
    <row r="6318" spans="1:8">
      <c r="A6318" s="3">
        <v>11174</v>
      </c>
      <c r="B6318" s="7" t="s">
        <v>33</v>
      </c>
      <c r="C6318" s="41">
        <v>2000</v>
      </c>
      <c r="D6318" s="6">
        <v>45713</v>
      </c>
      <c r="E6318" s="3" t="str">
        <f ca="1">IF(Tabela2[[#This Row],[Dt Venc:]]&gt;TODAY(),"Em Aberto",IF(Tabela2[[#This Row],[D/venc]]="-","Enviado",IF(Tabela2[[#This Row],[Dt Venc:]]=TODAY(),"Vence Hoje","Vencida")))</f>
        <v>Em Aberto</v>
      </c>
      <c r="F6318" s="3">
        <f ca="1">IF(G6318=1,"-",Tabela2[[#This Row],[Dt Venc:]]-TODAY())</f>
        <v>20</v>
      </c>
      <c r="G6318" s="3"/>
      <c r="H6318" s="3"/>
    </row>
    <row r="6319" spans="1:8">
      <c r="A6319" s="3">
        <v>20509</v>
      </c>
      <c r="B6319" s="7" t="s">
        <v>233</v>
      </c>
      <c r="C6319" s="41">
        <v>900</v>
      </c>
      <c r="D6319" s="6">
        <v>45713</v>
      </c>
      <c r="E6319" s="3" t="str">
        <f ca="1">IF(Tabela2[[#This Row],[Dt Venc:]]&gt;TODAY(),"Em Aberto",IF(Tabela2[[#This Row],[D/venc]]="-","Enviado",IF(Tabela2[[#This Row],[Dt Venc:]]=TODAY(),"Vence Hoje","Vencida")))</f>
        <v>Em Aberto</v>
      </c>
      <c r="F6319" s="3">
        <f ca="1">IF(G6319=1,"-",Tabela2[[#This Row],[Dt Venc:]]-TODAY())</f>
        <v>20</v>
      </c>
      <c r="G6319" s="3"/>
      <c r="H6319" s="3"/>
    </row>
    <row r="6320" spans="1:8">
      <c r="A6320" s="3">
        <v>30421</v>
      </c>
      <c r="B6320" s="7" t="s">
        <v>18</v>
      </c>
      <c r="C6320" s="41">
        <v>975</v>
      </c>
      <c r="D6320" s="6">
        <v>45713</v>
      </c>
      <c r="E6320" s="3" t="str">
        <f ca="1">IF(Tabela2[[#This Row],[Dt Venc:]]&gt;TODAY(),"Em Aberto",IF(Tabela2[[#This Row],[D/venc]]="-","Enviado",IF(Tabela2[[#This Row],[Dt Venc:]]=TODAY(),"Vence Hoje","Vencida")))</f>
        <v>Em Aberto</v>
      </c>
      <c r="F6320" s="3">
        <f ca="1">IF(G6320=1,"-",Tabela2[[#This Row],[Dt Venc:]]-TODAY())</f>
        <v>20</v>
      </c>
      <c r="G6320" s="3"/>
      <c r="H6320" s="3"/>
    </row>
    <row r="6321" spans="1:8">
      <c r="A6321" s="3">
        <v>73927</v>
      </c>
      <c r="B6321" s="7" t="s">
        <v>333</v>
      </c>
      <c r="C6321" s="41">
        <v>864.67</v>
      </c>
      <c r="D6321" s="6">
        <v>45713</v>
      </c>
      <c r="E6321" s="3" t="str">
        <f ca="1">IF(Tabela2[[#This Row],[Dt Venc:]]&gt;TODAY(),"Em Aberto",IF(Tabela2[[#This Row],[D/venc]]="-","Enviado",IF(Tabela2[[#This Row],[Dt Venc:]]=TODAY(),"Vence Hoje","Vencida")))</f>
        <v>Em Aberto</v>
      </c>
      <c r="F6321" s="3">
        <f ca="1">IF(G6321=1,"-",Tabela2[[#This Row],[Dt Venc:]]-TODAY())</f>
        <v>20</v>
      </c>
      <c r="G6321" s="3"/>
      <c r="H6321" s="3"/>
    </row>
    <row r="6322" spans="1:8">
      <c r="A6322" s="3">
        <v>89647</v>
      </c>
      <c r="B6322" s="7" t="s">
        <v>207</v>
      </c>
      <c r="C6322" s="41">
        <v>1393.33</v>
      </c>
      <c r="D6322" s="6">
        <v>45713</v>
      </c>
      <c r="E6322" s="3" t="str">
        <f ca="1">IF(Tabela2[[#This Row],[Dt Venc:]]&gt;TODAY(),"Em Aberto",IF(Tabela2[[#This Row],[D/venc]]="-","Enviado",IF(Tabela2[[#This Row],[Dt Venc:]]=TODAY(),"Vence Hoje","Vencida")))</f>
        <v>Em Aberto</v>
      </c>
      <c r="F6322" s="3">
        <f ca="1">IF(G6322=1,"-",Tabela2[[#This Row],[Dt Venc:]]-TODAY())</f>
        <v>20</v>
      </c>
      <c r="G6322" s="3"/>
      <c r="H6322" s="3"/>
    </row>
    <row r="6323" spans="1:8">
      <c r="A6323" s="3">
        <v>183684</v>
      </c>
      <c r="B6323" s="7" t="s">
        <v>592</v>
      </c>
      <c r="C6323" s="41">
        <v>1288.08</v>
      </c>
      <c r="D6323" s="6">
        <v>45713</v>
      </c>
      <c r="E6323" s="3" t="str">
        <f ca="1">IF(Tabela2[[#This Row],[Dt Venc:]]&gt;TODAY(),"Em Aberto",IF(Tabela2[[#This Row],[D/venc]]="-","Enviado",IF(Tabela2[[#This Row],[Dt Venc:]]=TODAY(),"Vence Hoje","Vencida")))</f>
        <v>Em Aberto</v>
      </c>
      <c r="F6323" s="3">
        <f ca="1">IF(G6323=1,"-",Tabela2[[#This Row],[Dt Venc:]]-TODAY())</f>
        <v>20</v>
      </c>
      <c r="G6323" s="3"/>
      <c r="H6323" s="3"/>
    </row>
    <row r="6324" spans="1:8">
      <c r="A6324" s="3">
        <v>223792</v>
      </c>
      <c r="B6324" s="7" t="s">
        <v>127</v>
      </c>
      <c r="C6324" s="41">
        <v>1165.5999999999999</v>
      </c>
      <c r="D6324" s="6">
        <v>45713</v>
      </c>
      <c r="E6324" s="3" t="str">
        <f ca="1">IF(Tabela2[[#This Row],[Dt Venc:]]&gt;TODAY(),"Em Aberto",IF(Tabela2[[#This Row],[D/venc]]="-","Enviado",IF(Tabela2[[#This Row],[Dt Venc:]]=TODAY(),"Vence Hoje","Vencida")))</f>
        <v>Em Aberto</v>
      </c>
      <c r="F6324" s="3">
        <f ca="1">IF(G6324=1,"-",Tabela2[[#This Row],[Dt Venc:]]-TODAY())</f>
        <v>20</v>
      </c>
      <c r="G6324" s="3"/>
      <c r="H6324" s="3"/>
    </row>
    <row r="6325" spans="1:8">
      <c r="A6325" s="3">
        <v>225999</v>
      </c>
      <c r="B6325" s="7" t="s">
        <v>127</v>
      </c>
      <c r="C6325" s="41">
        <v>599.94000000000005</v>
      </c>
      <c r="D6325" s="6">
        <v>45713</v>
      </c>
      <c r="E6325" s="3" t="str">
        <f ca="1">IF(Tabela2[[#This Row],[Dt Venc:]]&gt;TODAY(),"Em Aberto",IF(Tabela2[[#This Row],[D/venc]]="-","Enviado",IF(Tabela2[[#This Row],[Dt Venc:]]=TODAY(),"Vence Hoje","Vencida")))</f>
        <v>Em Aberto</v>
      </c>
      <c r="F6325" s="3">
        <f ca="1">IF(G6325=1,"-",Tabela2[[#This Row],[Dt Venc:]]-TODAY())</f>
        <v>20</v>
      </c>
      <c r="G6325" s="3"/>
      <c r="H6325" s="3"/>
    </row>
    <row r="6326" spans="1:8">
      <c r="A6326" s="3">
        <v>226032</v>
      </c>
      <c r="B6326" s="7" t="s">
        <v>127</v>
      </c>
      <c r="C6326" s="41">
        <v>396.85</v>
      </c>
      <c r="D6326" s="6">
        <v>45713</v>
      </c>
      <c r="E6326" s="3" t="str">
        <f ca="1">IF(Tabela2[[#This Row],[Dt Venc:]]&gt;TODAY(),"Em Aberto",IF(Tabela2[[#This Row],[D/venc]]="-","Enviado",IF(Tabela2[[#This Row],[Dt Venc:]]=TODAY(),"Vence Hoje","Vencida")))</f>
        <v>Em Aberto</v>
      </c>
      <c r="F6326" s="3">
        <f ca="1">IF(G6326=1,"-",Tabela2[[#This Row],[Dt Venc:]]-TODAY())</f>
        <v>20</v>
      </c>
      <c r="G6326" s="3"/>
      <c r="H6326" s="3"/>
    </row>
    <row r="6327" spans="1:8">
      <c r="A6327" s="3">
        <v>255551</v>
      </c>
      <c r="B6327" s="7" t="s">
        <v>43</v>
      </c>
      <c r="C6327" s="41">
        <v>2694.79</v>
      </c>
      <c r="D6327" s="6">
        <v>45713</v>
      </c>
      <c r="E6327" s="3" t="str">
        <f ca="1">IF(Tabela2[[#This Row],[Dt Venc:]]&gt;TODAY(),"Em Aberto",IF(Tabela2[[#This Row],[D/venc]]="-","Enviado",IF(Tabela2[[#This Row],[Dt Venc:]]=TODAY(),"Vence Hoje","Vencida")))</f>
        <v>Em Aberto</v>
      </c>
      <c r="F6327" s="3">
        <f ca="1">IF(G6327=1,"-",Tabela2[[#This Row],[Dt Venc:]]-TODAY())</f>
        <v>20</v>
      </c>
      <c r="G6327" s="3"/>
      <c r="H6327" s="3"/>
    </row>
    <row r="6328" spans="1:8">
      <c r="A6328" s="3">
        <v>259691</v>
      </c>
      <c r="B6328" s="7" t="s">
        <v>326</v>
      </c>
      <c r="C6328" s="41">
        <v>1716.66</v>
      </c>
      <c r="D6328" s="6">
        <v>45713</v>
      </c>
      <c r="E6328" s="3" t="str">
        <f ca="1">IF(Tabela2[[#This Row],[Dt Venc:]]&gt;TODAY(),"Em Aberto",IF(Tabela2[[#This Row],[D/venc]]="-","Enviado",IF(Tabela2[[#This Row],[Dt Venc:]]=TODAY(),"Vence Hoje","Vencida")))</f>
        <v>Em Aberto</v>
      </c>
      <c r="F6328" s="3">
        <f ca="1">IF(G6328=1,"-",Tabela2[[#This Row],[Dt Venc:]]-TODAY())</f>
        <v>20</v>
      </c>
      <c r="G6328" s="3"/>
      <c r="H6328" s="3"/>
    </row>
    <row r="6329" spans="1:8">
      <c r="A6329" s="3">
        <v>259949</v>
      </c>
      <c r="B6329" s="7" t="s">
        <v>49</v>
      </c>
      <c r="C6329" s="41">
        <v>1716.66</v>
      </c>
      <c r="D6329" s="6">
        <v>45713</v>
      </c>
      <c r="E6329" s="3" t="str">
        <f ca="1">IF(Tabela2[[#This Row],[Dt Venc:]]&gt;TODAY(),"Em Aberto",IF(Tabela2[[#This Row],[D/venc]]="-","Enviado",IF(Tabela2[[#This Row],[Dt Venc:]]=TODAY(),"Vence Hoje","Vencida")))</f>
        <v>Em Aberto</v>
      </c>
      <c r="F6329" s="3">
        <f ca="1">IF(G6329=1,"-",Tabela2[[#This Row],[Dt Venc:]]-TODAY())</f>
        <v>20</v>
      </c>
      <c r="G6329" s="3"/>
      <c r="H6329" s="3"/>
    </row>
    <row r="6330" spans="1:8">
      <c r="A6330" s="3">
        <v>261667</v>
      </c>
      <c r="B6330" s="7" t="s">
        <v>43</v>
      </c>
      <c r="C6330" s="41">
        <v>1591.54</v>
      </c>
      <c r="D6330" s="6">
        <v>45713</v>
      </c>
      <c r="E6330" s="3" t="str">
        <f ca="1">IF(Tabela2[[#This Row],[Dt Venc:]]&gt;TODAY(),"Em Aberto",IF(Tabela2[[#This Row],[D/venc]]="-","Enviado",IF(Tabela2[[#This Row],[Dt Venc:]]=TODAY(),"Vence Hoje","Vencida")))</f>
        <v>Em Aberto</v>
      </c>
      <c r="F6330" s="3">
        <f ca="1">IF(G6330=1,"-",Tabela2[[#This Row],[Dt Venc:]]-TODAY())</f>
        <v>20</v>
      </c>
      <c r="G6330" s="3"/>
      <c r="H6330" s="3"/>
    </row>
    <row r="6331" spans="1:8">
      <c r="A6331" s="3">
        <v>399913</v>
      </c>
      <c r="B6331" s="7" t="s">
        <v>136</v>
      </c>
      <c r="C6331" s="41">
        <v>1870</v>
      </c>
      <c r="D6331" s="6">
        <v>45713</v>
      </c>
      <c r="E6331" s="3" t="str">
        <f ca="1">IF(Tabela2[[#This Row],[Dt Venc:]]&gt;TODAY(),"Em Aberto",IF(Tabela2[[#This Row],[D/venc]]="-","Enviado",IF(Tabela2[[#This Row],[Dt Venc:]]=TODAY(),"Vence Hoje","Vencida")))</f>
        <v>Em Aberto</v>
      </c>
      <c r="F6331" s="3">
        <f ca="1">IF(G6331=1,"-",Tabela2[[#This Row],[Dt Venc:]]-TODAY())</f>
        <v>20</v>
      </c>
      <c r="G6331" s="3"/>
      <c r="H6331" s="3"/>
    </row>
    <row r="6332" spans="1:8">
      <c r="A6332" s="3">
        <v>399914</v>
      </c>
      <c r="B6332" s="7" t="s">
        <v>136</v>
      </c>
      <c r="C6332" s="41">
        <v>1621.07</v>
      </c>
      <c r="D6332" s="6">
        <v>45713</v>
      </c>
      <c r="E6332" s="3" t="str">
        <f ca="1">IF(Tabela2[[#This Row],[Dt Venc:]]&gt;TODAY(),"Em Aberto",IF(Tabela2[[#This Row],[D/venc]]="-","Enviado",IF(Tabela2[[#This Row],[Dt Venc:]]=TODAY(),"Vence Hoje","Vencida")))</f>
        <v>Em Aberto</v>
      </c>
      <c r="F6332" s="3">
        <f ca="1">IF(G6332=1,"-",Tabela2[[#This Row],[Dt Venc:]]-TODAY())</f>
        <v>20</v>
      </c>
      <c r="G6332" s="3"/>
      <c r="H6332" s="3"/>
    </row>
    <row r="6333" spans="1:8">
      <c r="A6333" s="3">
        <v>495914</v>
      </c>
      <c r="B6333" s="7" t="s">
        <v>153</v>
      </c>
      <c r="C6333" s="100" t="s">
        <v>32</v>
      </c>
      <c r="D6333" s="6">
        <v>45713</v>
      </c>
      <c r="E6333" s="3" t="str">
        <f ca="1">IF(Tabela2[[#This Row],[Dt Venc:]]&gt;TODAY(),"Em Aberto",IF(Tabela2[[#This Row],[D/venc]]="-","Enviado",IF(Tabela2[[#This Row],[Dt Venc:]]=TODAY(),"Vence Hoje","Vencida")))</f>
        <v>Em Aberto</v>
      </c>
      <c r="F6333" s="3">
        <f ca="1">IF(G6333=1,"-",Tabela2[[#This Row],[Dt Venc:]]-TODAY())</f>
        <v>20</v>
      </c>
      <c r="G6333" s="3"/>
      <c r="H6333" s="3"/>
    </row>
    <row r="6334" spans="1:8">
      <c r="A6334" s="3">
        <v>619245</v>
      </c>
      <c r="B6334" s="7" t="s">
        <v>66</v>
      </c>
      <c r="C6334" s="41">
        <v>8015.79</v>
      </c>
      <c r="D6334" s="6">
        <v>45713</v>
      </c>
      <c r="E6334" s="3" t="str">
        <f ca="1">IF(Tabela2[[#This Row],[Dt Venc:]]&gt;TODAY(),"Em Aberto",IF(Tabela2[[#This Row],[D/venc]]="-","Enviado",IF(Tabela2[[#This Row],[Dt Venc:]]=TODAY(),"Vence Hoje","Vencida")))</f>
        <v>Em Aberto</v>
      </c>
      <c r="F6334" s="3">
        <f ca="1">IF(G6334=1,"-",Tabela2[[#This Row],[Dt Venc:]]-TODAY())</f>
        <v>20</v>
      </c>
      <c r="G6334" s="3"/>
      <c r="H6334" s="3"/>
    </row>
    <row r="6335" spans="1:8">
      <c r="A6335" s="3">
        <v>720348</v>
      </c>
      <c r="B6335" s="7" t="s">
        <v>79</v>
      </c>
      <c r="C6335" s="41">
        <v>10647.48</v>
      </c>
      <c r="D6335" s="6">
        <v>45713</v>
      </c>
      <c r="E6335" s="3" t="str">
        <f ca="1">IF(Tabela2[[#This Row],[Dt Venc:]]&gt;TODAY(),"Em Aberto",IF(Tabela2[[#This Row],[D/venc]]="-","Enviado",IF(Tabela2[[#This Row],[Dt Venc:]]=TODAY(),"Vence Hoje","Vencida")))</f>
        <v>Em Aberto</v>
      </c>
      <c r="F6335" s="3">
        <f ca="1">IF(G6335=1,"-",Tabela2[[#This Row],[Dt Venc:]]-TODAY())</f>
        <v>20</v>
      </c>
      <c r="G6335" s="3"/>
      <c r="H6335" s="3"/>
    </row>
    <row r="6336" spans="1:8">
      <c r="A6336" s="3" t="s">
        <v>110</v>
      </c>
      <c r="B6336" s="7" t="s">
        <v>271</v>
      </c>
      <c r="C6336" s="85" t="s">
        <v>30</v>
      </c>
      <c r="D6336" s="6">
        <v>45713</v>
      </c>
      <c r="E6336" s="3" t="str">
        <f ca="1">IF(Tabela2[[#This Row],[Dt Venc:]]&gt;TODAY(),"Em Aberto",IF(Tabela2[[#This Row],[D/venc]]="-","Enviado",IF(Tabela2[[#This Row],[Dt Venc:]]=TODAY(),"Vence Hoje","Vencida")))</f>
        <v>Em Aberto</v>
      </c>
      <c r="F6336" s="3">
        <f ca="1">IF(G6336=1,"-",Tabela2[[#This Row],[Dt Venc:]]-TODAY())</f>
        <v>20</v>
      </c>
      <c r="G6336" s="3"/>
      <c r="H6336" s="3"/>
    </row>
    <row r="6337" spans="1:8">
      <c r="A6337" s="3">
        <v>14358</v>
      </c>
      <c r="B6337" s="7" t="s">
        <v>721</v>
      </c>
      <c r="C6337" s="41">
        <v>398.14</v>
      </c>
      <c r="D6337" s="6">
        <v>45713</v>
      </c>
      <c r="E6337" s="3" t="str">
        <f ca="1">IF(Tabela2[[#This Row],[Dt Venc:]]&gt;TODAY(),"Em Aberto",IF(Tabela2[[#This Row],[D/venc]]="-","Enviado",IF(Tabela2[[#This Row],[Dt Venc:]]=TODAY(),"Vence Hoje","Vencida")))</f>
        <v>Em Aberto</v>
      </c>
      <c r="F6337" s="3">
        <f ca="1">IF(G6337=1,"-",Tabela2[[#This Row],[Dt Venc:]]-TODAY())</f>
        <v>20</v>
      </c>
      <c r="G6337" s="3"/>
      <c r="H6337" s="3"/>
    </row>
    <row r="6338" spans="1:8">
      <c r="A6338" s="3">
        <v>188785</v>
      </c>
      <c r="B6338" s="7" t="s">
        <v>462</v>
      </c>
      <c r="C6338" s="41">
        <v>1289.81</v>
      </c>
      <c r="D6338" s="6">
        <v>45713</v>
      </c>
      <c r="E6338" s="3" t="str">
        <f ca="1">IF(Tabela2[[#This Row],[Dt Venc:]]&gt;TODAY(),"Em Aberto",IF(Tabela2[[#This Row],[D/venc]]="-","Enviado",IF(Tabela2[[#This Row],[Dt Venc:]]=TODAY(),"Vence Hoje","Vencida")))</f>
        <v>Em Aberto</v>
      </c>
      <c r="F6338" s="3">
        <f ca="1">IF(G6338=1,"-",Tabela2[[#This Row],[Dt Venc:]]-TODAY())</f>
        <v>20</v>
      </c>
      <c r="G6338" s="3"/>
      <c r="H6338" s="3"/>
    </row>
    <row r="6339" spans="1:8">
      <c r="A6339" s="3">
        <v>15447</v>
      </c>
      <c r="B6339" s="7" t="s">
        <v>44</v>
      </c>
      <c r="C6339" s="41">
        <v>1062.5</v>
      </c>
      <c r="D6339" s="6">
        <v>45713</v>
      </c>
      <c r="E6339" s="3" t="str">
        <f ca="1">IF(Tabela2[[#This Row],[Dt Venc:]]&gt;TODAY(),"Em Aberto",IF(Tabela2[[#This Row],[D/venc]]="-","Enviado",IF(Tabela2[[#This Row],[Dt Venc:]]=TODAY(),"Vence Hoje","Vencida")))</f>
        <v>Em Aberto</v>
      </c>
      <c r="F6339" s="3">
        <f ca="1">IF(G6339=1,"-",Tabela2[[#This Row],[Dt Venc:]]-TODAY())</f>
        <v>20</v>
      </c>
      <c r="G6339" s="3"/>
      <c r="H6339" s="3"/>
    </row>
    <row r="6340" spans="1:8">
      <c r="A6340" s="3">
        <v>242698</v>
      </c>
      <c r="B6340" s="7" t="s">
        <v>509</v>
      </c>
      <c r="C6340" s="41">
        <v>1120</v>
      </c>
      <c r="D6340" s="6">
        <v>45713</v>
      </c>
      <c r="E6340" s="3" t="str">
        <f ca="1">IF(Tabela2[[#This Row],[Dt Venc:]]&gt;TODAY(),"Em Aberto",IF(Tabela2[[#This Row],[D/venc]]="-","Enviado",IF(Tabela2[[#This Row],[Dt Venc:]]=TODAY(),"Vence Hoje","Vencida")))</f>
        <v>Em Aberto</v>
      </c>
      <c r="F6340" s="3">
        <f ca="1">IF(G6340=1,"-",Tabela2[[#This Row],[Dt Venc:]]-TODAY())</f>
        <v>20</v>
      </c>
      <c r="G6340" s="3"/>
      <c r="H6340" s="3"/>
    </row>
    <row r="6341" spans="1:8">
      <c r="A6341" s="3">
        <v>185671</v>
      </c>
      <c r="B6341" s="7" t="s">
        <v>42</v>
      </c>
      <c r="C6341" s="41">
        <v>1170.6600000000001</v>
      </c>
      <c r="D6341" s="6">
        <v>45713</v>
      </c>
      <c r="E6341" s="3" t="str">
        <f ca="1">IF(Tabela2[[#This Row],[Dt Venc:]]&gt;TODAY(),"Em Aberto",IF(Tabela2[[#This Row],[D/venc]]="-","Enviado",IF(Tabela2[[#This Row],[Dt Venc:]]=TODAY(),"Vence Hoje","Vencida")))</f>
        <v>Em Aberto</v>
      </c>
      <c r="F6341" s="3">
        <f ca="1">IF(G6341=1,"-",Tabela2[[#This Row],[Dt Venc:]]-TODAY())</f>
        <v>20</v>
      </c>
      <c r="G6341" s="3"/>
      <c r="H6341" s="3"/>
    </row>
    <row r="6342" spans="1:8">
      <c r="A6342" s="3">
        <v>260234</v>
      </c>
      <c r="B6342" s="7" t="s">
        <v>49</v>
      </c>
      <c r="C6342" s="41">
        <v>1716.66</v>
      </c>
      <c r="D6342" s="6">
        <v>45713</v>
      </c>
      <c r="E6342" s="3" t="str">
        <f ca="1">IF(Tabela2[[#This Row],[Dt Venc:]]&gt;TODAY(),"Em Aberto",IF(Tabela2[[#This Row],[D/venc]]="-","Enviado",IF(Tabela2[[#This Row],[Dt Venc:]]=TODAY(),"Vence Hoje","Vencida")))</f>
        <v>Em Aberto</v>
      </c>
      <c r="F6342" s="3">
        <f ca="1">IF(G6342=1,"-",Tabela2[[#This Row],[Dt Venc:]]-TODAY())</f>
        <v>20</v>
      </c>
      <c r="G6342" s="3"/>
      <c r="H6342" s="3"/>
    </row>
    <row r="6343" spans="1:8">
      <c r="A6343" s="3">
        <v>306791</v>
      </c>
      <c r="B6343" s="7" t="s">
        <v>506</v>
      </c>
      <c r="C6343" s="41">
        <v>3286.68</v>
      </c>
      <c r="D6343" s="6">
        <v>45713</v>
      </c>
      <c r="E6343" s="3" t="str">
        <f ca="1">IF(Tabela2[[#This Row],[Dt Venc:]]&gt;TODAY(),"Em Aberto",IF(Tabela2[[#This Row],[D/venc]]="-","Enviado",IF(Tabela2[[#This Row],[Dt Venc:]]=TODAY(),"Vence Hoje","Vencida")))</f>
        <v>Em Aberto</v>
      </c>
      <c r="F6343" s="3">
        <f ca="1">IF(G6343=1,"-",Tabela2[[#This Row],[Dt Venc:]]-TODAY())</f>
        <v>20</v>
      </c>
      <c r="G6343" s="3"/>
      <c r="H6343" s="3"/>
    </row>
    <row r="6344" spans="1:8">
      <c r="A6344" s="3">
        <v>207057</v>
      </c>
      <c r="B6344" s="7" t="s">
        <v>200</v>
      </c>
      <c r="C6344" s="41">
        <v>1200</v>
      </c>
      <c r="D6344" s="6">
        <v>45713</v>
      </c>
      <c r="E6344" s="3" t="str">
        <f ca="1">IF(Tabela2[[#This Row],[Dt Venc:]]&gt;TODAY(),"Em Aberto",IF(Tabela2[[#This Row],[D/venc]]="-","Enviado",IF(Tabela2[[#This Row],[Dt Venc:]]=TODAY(),"Vence Hoje","Vencida")))</f>
        <v>Em Aberto</v>
      </c>
      <c r="F6344" s="3">
        <f ca="1">IF(G6344=1,"-",Tabela2[[#This Row],[Dt Venc:]]-TODAY())</f>
        <v>20</v>
      </c>
      <c r="G6344" s="3"/>
      <c r="H6344" s="3"/>
    </row>
    <row r="6345" spans="1:8">
      <c r="A6345" s="3">
        <v>47</v>
      </c>
      <c r="B6345" s="7" t="s">
        <v>103</v>
      </c>
      <c r="C6345" s="41">
        <v>950</v>
      </c>
      <c r="D6345" s="6">
        <v>45714</v>
      </c>
      <c r="E6345" s="3" t="str">
        <f ca="1">IF(Tabela2[[#This Row],[Dt Venc:]]&gt;TODAY(),"Em Aberto",IF(Tabela2[[#This Row],[D/venc]]="-","Enviado",IF(Tabela2[[#This Row],[Dt Venc:]]=TODAY(),"Vence Hoje","Vencida")))</f>
        <v>Em Aberto</v>
      </c>
      <c r="F6345" s="3">
        <f ca="1">IF(G6345=1,"-",Tabela2[[#This Row],[Dt Venc:]]-TODAY())</f>
        <v>21</v>
      </c>
      <c r="G6345" s="3"/>
      <c r="H6345" s="3"/>
    </row>
    <row r="6346" spans="1:8">
      <c r="A6346" s="3">
        <v>56</v>
      </c>
      <c r="B6346" s="7" t="s">
        <v>517</v>
      </c>
      <c r="C6346" s="41">
        <v>1016.67</v>
      </c>
      <c r="D6346" s="6">
        <v>45714</v>
      </c>
      <c r="E6346" s="3" t="str">
        <f ca="1">IF(Tabela2[[#This Row],[Dt Venc:]]&gt;TODAY(),"Em Aberto",IF(Tabela2[[#This Row],[D/venc]]="-","Enviado",IF(Tabela2[[#This Row],[Dt Venc:]]=TODAY(),"Vence Hoje","Vencida")))</f>
        <v>Em Aberto</v>
      </c>
      <c r="F6346" s="3">
        <f ca="1">IF(G6346=1,"-",Tabela2[[#This Row],[Dt Venc:]]-TODAY())</f>
        <v>21</v>
      </c>
      <c r="G6346" s="3"/>
      <c r="H6346" s="3"/>
    </row>
    <row r="6347" spans="1:8">
      <c r="A6347" s="3">
        <v>1661</v>
      </c>
      <c r="B6347" s="7" t="s">
        <v>556</v>
      </c>
      <c r="C6347" s="41">
        <v>912</v>
      </c>
      <c r="D6347" s="6">
        <v>45714</v>
      </c>
      <c r="E6347" s="3" t="str">
        <f ca="1">IF(Tabela2[[#This Row],[Dt Venc:]]&gt;TODAY(),"Em Aberto",IF(Tabela2[[#This Row],[D/venc]]="-","Enviado",IF(Tabela2[[#This Row],[Dt Venc:]]=TODAY(),"Vence Hoje","Vencida")))</f>
        <v>Em Aberto</v>
      </c>
      <c r="F6347" s="3">
        <f ca="1">IF(G6347=1,"-",Tabela2[[#This Row],[Dt Venc:]]-TODAY())</f>
        <v>21</v>
      </c>
      <c r="G6347" s="3"/>
      <c r="H6347" s="3"/>
    </row>
    <row r="6348" spans="1:8" ht="37.5" hidden="1">
      <c r="A6348" s="3">
        <v>442283</v>
      </c>
      <c r="B6348" s="7" t="s">
        <v>601</v>
      </c>
      <c r="C6348" s="41">
        <v>1881.17</v>
      </c>
      <c r="D6348" s="6">
        <v>45714</v>
      </c>
      <c r="E6348" s="3" t="str">
        <f ca="1">IF(Tabela2[[#This Row],[Dt Venc:]]&gt;TODAY(),"Em Aberto",IF(Tabela2[[#This Row],[D/venc]]="-","Enviado",IF(Tabela2[[#This Row],[Dt Venc:]]=TODAY(),"Vence Hoje","Vencida")))</f>
        <v>Em Aberto</v>
      </c>
      <c r="F6348" s="3">
        <f ca="1">IF(G6348=1,"-",Tabela2[[#This Row],[Dt Venc:]]-TODAY())</f>
        <v>21</v>
      </c>
      <c r="G6348" s="3">
        <v>0</v>
      </c>
      <c r="H6348" s="7" t="s">
        <v>658</v>
      </c>
    </row>
    <row r="6349" spans="1:8">
      <c r="A6349" s="3">
        <v>2939</v>
      </c>
      <c r="B6349" s="7" t="s">
        <v>58</v>
      </c>
      <c r="C6349" s="41">
        <v>974.67</v>
      </c>
      <c r="D6349" s="6">
        <v>45714</v>
      </c>
      <c r="E6349" s="3" t="str">
        <f ca="1">IF(Tabela2[[#This Row],[Dt Venc:]]&gt;TODAY(),"Em Aberto",IF(Tabela2[[#This Row],[D/venc]]="-","Enviado",IF(Tabela2[[#This Row],[Dt Venc:]]=TODAY(),"Vence Hoje","Vencida")))</f>
        <v>Em Aberto</v>
      </c>
      <c r="F6349" s="3">
        <f ca="1">IF(G6349=1,"-",Tabela2[[#This Row],[Dt Venc:]]-TODAY())</f>
        <v>21</v>
      </c>
      <c r="G6349" s="3"/>
      <c r="H6349" s="3"/>
    </row>
    <row r="6350" spans="1:8">
      <c r="A6350" s="3">
        <v>4231</v>
      </c>
      <c r="B6350" s="7" t="s">
        <v>479</v>
      </c>
      <c r="C6350" s="41">
        <v>579.71</v>
      </c>
      <c r="D6350" s="6">
        <v>45714</v>
      </c>
      <c r="E6350" s="3" t="str">
        <f ca="1">IF(Tabela2[[#This Row],[Dt Venc:]]&gt;TODAY(),"Em Aberto",IF(Tabela2[[#This Row],[D/venc]]="-","Enviado",IF(Tabela2[[#This Row],[Dt Venc:]]=TODAY(),"Vence Hoje","Vencida")))</f>
        <v>Em Aberto</v>
      </c>
      <c r="F6350" s="3">
        <f ca="1">IF(G6350=1,"-",Tabela2[[#This Row],[Dt Venc:]]-TODAY())</f>
        <v>21</v>
      </c>
      <c r="G6350" s="3"/>
      <c r="H6350" s="3"/>
    </row>
    <row r="6351" spans="1:8">
      <c r="A6351" s="3">
        <v>6218</v>
      </c>
      <c r="B6351" s="7" t="s">
        <v>47</v>
      </c>
      <c r="C6351" s="41">
        <v>1759</v>
      </c>
      <c r="D6351" s="6">
        <v>45714</v>
      </c>
      <c r="E6351" s="3" t="str">
        <f ca="1">IF(Tabela2[[#This Row],[Dt Venc:]]&gt;TODAY(),"Em Aberto",IF(Tabela2[[#This Row],[D/venc]]="-","Enviado",IF(Tabela2[[#This Row],[Dt Venc:]]=TODAY(),"Vence Hoje","Vencida")))</f>
        <v>Em Aberto</v>
      </c>
      <c r="F6351" s="3">
        <f ca="1">IF(G6351=1,"-",Tabela2[[#This Row],[Dt Venc:]]-TODAY())</f>
        <v>21</v>
      </c>
      <c r="G6351" s="3"/>
      <c r="H6351" s="3"/>
    </row>
    <row r="6352" spans="1:8">
      <c r="A6352" s="3">
        <v>10986</v>
      </c>
      <c r="B6352" s="7" t="s">
        <v>175</v>
      </c>
      <c r="C6352" s="41">
        <v>324.68</v>
      </c>
      <c r="D6352" s="6">
        <v>45714</v>
      </c>
      <c r="E6352" s="3" t="str">
        <f ca="1">IF(Tabela2[[#This Row],[Dt Venc:]]&gt;TODAY(),"Em Aberto",IF(Tabela2[[#This Row],[D/venc]]="-","Enviado",IF(Tabela2[[#This Row],[Dt Venc:]]=TODAY(),"Vence Hoje","Vencida")))</f>
        <v>Em Aberto</v>
      </c>
      <c r="F6352" s="3">
        <f ca="1">IF(G6352=1,"-",Tabela2[[#This Row],[Dt Venc:]]-TODAY())</f>
        <v>21</v>
      </c>
      <c r="G6352" s="3"/>
      <c r="H6352" s="3"/>
    </row>
    <row r="6353" spans="1:8">
      <c r="A6353" s="3">
        <v>11166</v>
      </c>
      <c r="B6353" s="7" t="s">
        <v>33</v>
      </c>
      <c r="C6353" s="41">
        <v>1968.33</v>
      </c>
      <c r="D6353" s="6">
        <v>45714</v>
      </c>
      <c r="E6353" s="3" t="str">
        <f ca="1">IF(Tabela2[[#This Row],[Dt Venc:]]&gt;TODAY(),"Em Aberto",IF(Tabela2[[#This Row],[D/venc]]="-","Enviado",IF(Tabela2[[#This Row],[Dt Venc:]]=TODAY(),"Vence Hoje","Vencida")))</f>
        <v>Em Aberto</v>
      </c>
      <c r="F6353" s="3">
        <f ca="1">IF(G6353=1,"-",Tabela2[[#This Row],[Dt Venc:]]-TODAY())</f>
        <v>21</v>
      </c>
      <c r="G6353" s="3"/>
      <c r="H6353" s="3"/>
    </row>
    <row r="6354" spans="1:8">
      <c r="A6354" s="3">
        <v>14372</v>
      </c>
      <c r="B6354" s="7" t="s">
        <v>102</v>
      </c>
      <c r="C6354" s="41">
        <v>450</v>
      </c>
      <c r="D6354" s="6">
        <v>45714</v>
      </c>
      <c r="E6354" s="3" t="str">
        <f ca="1">IF(Tabela2[[#This Row],[Dt Venc:]]&gt;TODAY(),"Em Aberto",IF(Tabela2[[#This Row],[D/venc]]="-","Enviado",IF(Tabela2[[#This Row],[Dt Venc:]]=TODAY(),"Vence Hoje","Vencida")))</f>
        <v>Em Aberto</v>
      </c>
      <c r="F6354" s="3">
        <f ca="1">IF(G6354=1,"-",Tabela2[[#This Row],[Dt Venc:]]-TODAY())</f>
        <v>21</v>
      </c>
      <c r="G6354" s="3"/>
      <c r="H6354" s="3"/>
    </row>
    <row r="6355" spans="1:8">
      <c r="A6355" s="3">
        <v>45712</v>
      </c>
      <c r="B6355" s="7" t="s">
        <v>70</v>
      </c>
      <c r="C6355" s="41">
        <v>982.94</v>
      </c>
      <c r="D6355" s="6">
        <v>45714</v>
      </c>
      <c r="E6355" s="3" t="str">
        <f ca="1">IF(Tabela2[[#This Row],[Dt Venc:]]&gt;TODAY(),"Em Aberto",IF(Tabela2[[#This Row],[D/venc]]="-","Enviado",IF(Tabela2[[#This Row],[Dt Venc:]]=TODAY(),"Vence Hoje","Vencida")))</f>
        <v>Em Aberto</v>
      </c>
      <c r="F6355" s="3">
        <f ca="1">IF(G6355=1,"-",Tabela2[[#This Row],[Dt Venc:]]-TODAY())</f>
        <v>21</v>
      </c>
      <c r="G6355" s="3"/>
      <c r="H6355" s="3"/>
    </row>
    <row r="6356" spans="1:8">
      <c r="A6356" s="3">
        <v>65334</v>
      </c>
      <c r="B6356" s="7" t="s">
        <v>435</v>
      </c>
      <c r="C6356" s="41">
        <v>967</v>
      </c>
      <c r="D6356" s="6">
        <v>45714</v>
      </c>
      <c r="E6356" s="3" t="str">
        <f ca="1">IF(Tabela2[[#This Row],[Dt Venc:]]&gt;TODAY(),"Em Aberto",IF(Tabela2[[#This Row],[D/venc]]="-","Enviado",IF(Tabela2[[#This Row],[Dt Venc:]]=TODAY(),"Vence Hoje","Vencida")))</f>
        <v>Em Aberto</v>
      </c>
      <c r="F6356" s="3">
        <f ca="1">IF(G6356=1,"-",Tabela2[[#This Row],[Dt Venc:]]-TODAY())</f>
        <v>21</v>
      </c>
      <c r="G6356" s="3"/>
      <c r="H6356" s="3"/>
    </row>
    <row r="6357" spans="1:8">
      <c r="A6357" s="3">
        <v>88077</v>
      </c>
      <c r="B6357" s="7" t="s">
        <v>70</v>
      </c>
      <c r="C6357" s="41">
        <v>1176.22</v>
      </c>
      <c r="D6357" s="6">
        <v>45714</v>
      </c>
      <c r="E6357" s="3" t="str">
        <f ca="1">IF(Tabela2[[#This Row],[Dt Venc:]]&gt;TODAY(),"Em Aberto",IF(Tabela2[[#This Row],[D/venc]]="-","Enviado",IF(Tabela2[[#This Row],[Dt Venc:]]=TODAY(),"Vence Hoje","Vencida")))</f>
        <v>Em Aberto</v>
      </c>
      <c r="F6357" s="3">
        <f ca="1">IF(G6357=1,"-",Tabela2[[#This Row],[Dt Venc:]]-TODAY())</f>
        <v>21</v>
      </c>
      <c r="G6357" s="3"/>
      <c r="H6357" s="3"/>
    </row>
    <row r="6358" spans="1:8">
      <c r="A6358" s="3">
        <v>146691</v>
      </c>
      <c r="B6358" s="7" t="s">
        <v>127</v>
      </c>
      <c r="C6358" s="41">
        <v>602</v>
      </c>
      <c r="D6358" s="6">
        <v>45714</v>
      </c>
      <c r="E6358" s="3" t="str">
        <f ca="1">IF(Tabela2[[#This Row],[Dt Venc:]]&gt;TODAY(),"Em Aberto",IF(Tabela2[[#This Row],[D/venc]]="-","Enviado",IF(Tabela2[[#This Row],[Dt Venc:]]=TODAY(),"Vence Hoje","Vencida")))</f>
        <v>Em Aberto</v>
      </c>
      <c r="F6358" s="3">
        <f ca="1">IF(G6358=1,"-",Tabela2[[#This Row],[Dt Venc:]]-TODAY())</f>
        <v>21</v>
      </c>
      <c r="G6358" s="3"/>
      <c r="H6358" s="3"/>
    </row>
    <row r="6359" spans="1:8">
      <c r="A6359" s="3">
        <v>147364</v>
      </c>
      <c r="B6359" s="7" t="s">
        <v>127</v>
      </c>
      <c r="C6359" s="41">
        <v>802.67</v>
      </c>
      <c r="D6359" s="6">
        <v>45714</v>
      </c>
      <c r="E6359" s="3" t="str">
        <f ca="1">IF(Tabela2[[#This Row],[Dt Venc:]]&gt;TODAY(),"Em Aberto",IF(Tabela2[[#This Row],[D/venc]]="-","Enviado",IF(Tabela2[[#This Row],[Dt Venc:]]=TODAY(),"Vence Hoje","Vencida")))</f>
        <v>Em Aberto</v>
      </c>
      <c r="F6359" s="3">
        <f ca="1">IF(G6359=1,"-",Tabela2[[#This Row],[Dt Venc:]]-TODAY())</f>
        <v>21</v>
      </c>
      <c r="G6359" s="3"/>
      <c r="H6359" s="3"/>
    </row>
    <row r="6360" spans="1:8">
      <c r="A6360" s="3">
        <v>180507</v>
      </c>
      <c r="B6360" s="7" t="s">
        <v>211</v>
      </c>
      <c r="C6360" s="41">
        <v>593.34</v>
      </c>
      <c r="D6360" s="6">
        <v>45714</v>
      </c>
      <c r="E6360" s="3" t="str">
        <f ca="1">IF(Tabela2[[#This Row],[Dt Venc:]]&gt;TODAY(),"Em Aberto",IF(Tabela2[[#This Row],[D/venc]]="-","Enviado",IF(Tabela2[[#This Row],[Dt Venc:]]=TODAY(),"Vence Hoje","Vencida")))</f>
        <v>Em Aberto</v>
      </c>
      <c r="F6360" s="3">
        <f ca="1">IF(G6360=1,"-",Tabela2[[#This Row],[Dt Venc:]]-TODAY())</f>
        <v>21</v>
      </c>
      <c r="G6360" s="3"/>
      <c r="H6360" s="3"/>
    </row>
    <row r="6361" spans="1:8">
      <c r="A6361" s="3">
        <v>190464</v>
      </c>
      <c r="B6361" s="7" t="s">
        <v>128</v>
      </c>
      <c r="C6361" s="41">
        <v>1718.48</v>
      </c>
      <c r="D6361" s="6">
        <v>45714</v>
      </c>
      <c r="E6361" s="3" t="str">
        <f ca="1">IF(Tabela2[[#This Row],[Dt Venc:]]&gt;TODAY(),"Em Aberto",IF(Tabela2[[#This Row],[D/venc]]="-","Enviado",IF(Tabela2[[#This Row],[Dt Venc:]]=TODAY(),"Vence Hoje","Vencida")))</f>
        <v>Em Aberto</v>
      </c>
      <c r="F6361" s="3">
        <f ca="1">IF(G6361=1,"-",Tabela2[[#This Row],[Dt Venc:]]-TODAY())</f>
        <v>21</v>
      </c>
      <c r="G6361" s="3"/>
      <c r="H6361" s="3"/>
    </row>
    <row r="6362" spans="1:8">
      <c r="A6362" s="3">
        <v>234930</v>
      </c>
      <c r="B6362" s="7" t="s">
        <v>40</v>
      </c>
      <c r="C6362" s="41">
        <v>900</v>
      </c>
      <c r="D6362" s="6">
        <v>45714</v>
      </c>
      <c r="E6362" s="3" t="str">
        <f ca="1">IF(Tabela2[[#This Row],[Dt Venc:]]&gt;TODAY(),"Em Aberto",IF(Tabela2[[#This Row],[D/venc]]="-","Enviado",IF(Tabela2[[#This Row],[Dt Venc:]]=TODAY(),"Vence Hoje","Vencida")))</f>
        <v>Em Aberto</v>
      </c>
      <c r="F6362" s="3">
        <f ca="1">IF(G6362=1,"-",Tabela2[[#This Row],[Dt Venc:]]-TODAY())</f>
        <v>21</v>
      </c>
      <c r="G6362" s="3"/>
      <c r="H6362" s="3"/>
    </row>
    <row r="6363" spans="1:8">
      <c r="A6363" s="3">
        <v>262519</v>
      </c>
      <c r="B6363" s="7" t="s">
        <v>43</v>
      </c>
      <c r="C6363" s="41">
        <v>674.48</v>
      </c>
      <c r="D6363" s="6">
        <v>45714</v>
      </c>
      <c r="E6363" s="3" t="str">
        <f ca="1">IF(Tabela2[[#This Row],[Dt Venc:]]&gt;TODAY(),"Em Aberto",IF(Tabela2[[#This Row],[D/venc]]="-","Enviado",IF(Tabela2[[#This Row],[Dt Venc:]]=TODAY(),"Vence Hoje","Vencida")))</f>
        <v>Em Aberto</v>
      </c>
      <c r="F6363" s="3">
        <f ca="1">IF(G6363=1,"-",Tabela2[[#This Row],[Dt Venc:]]-TODAY())</f>
        <v>21</v>
      </c>
      <c r="G6363" s="3"/>
      <c r="H6363" s="3"/>
    </row>
    <row r="6364" spans="1:8">
      <c r="A6364" s="3">
        <v>371387</v>
      </c>
      <c r="B6364" s="7" t="s">
        <v>39</v>
      </c>
      <c r="C6364" s="41">
        <v>1690.68</v>
      </c>
      <c r="D6364" s="6">
        <v>45714</v>
      </c>
      <c r="E6364" s="3" t="str">
        <f ca="1">IF(Tabela2[[#This Row],[Dt Venc:]]&gt;TODAY(),"Em Aberto",IF(Tabela2[[#This Row],[D/venc]]="-","Enviado",IF(Tabela2[[#This Row],[Dt Venc:]]=TODAY(),"Vence Hoje","Vencida")))</f>
        <v>Em Aberto</v>
      </c>
      <c r="F6364" s="3">
        <f ca="1">IF(G6364=1,"-",Tabela2[[#This Row],[Dt Venc:]]-TODAY())</f>
        <v>21</v>
      </c>
      <c r="G6364" s="3"/>
      <c r="H6364" s="3"/>
    </row>
    <row r="6365" spans="1:8">
      <c r="A6365" s="3">
        <v>371402</v>
      </c>
      <c r="B6365" s="7" t="s">
        <v>39</v>
      </c>
      <c r="C6365" s="41">
        <v>456.2</v>
      </c>
      <c r="D6365" s="6">
        <v>45714</v>
      </c>
      <c r="E6365" s="3" t="str">
        <f ca="1">IF(Tabela2[[#This Row],[Dt Venc:]]&gt;TODAY(),"Em Aberto",IF(Tabela2[[#This Row],[D/venc]]="-","Enviado",IF(Tabela2[[#This Row],[Dt Venc:]]=TODAY(),"Vence Hoje","Vencida")))</f>
        <v>Em Aberto</v>
      </c>
      <c r="F6365" s="3">
        <f ca="1">IF(G6365=1,"-",Tabela2[[#This Row],[Dt Venc:]]-TODAY())</f>
        <v>21</v>
      </c>
      <c r="G6365" s="3"/>
      <c r="H6365" s="3"/>
    </row>
    <row r="6366" spans="1:8">
      <c r="A6366" s="3">
        <v>377691</v>
      </c>
      <c r="B6366" s="7" t="s">
        <v>39</v>
      </c>
      <c r="C6366" s="41">
        <v>812.79</v>
      </c>
      <c r="D6366" s="6">
        <v>45714</v>
      </c>
      <c r="E6366" s="3" t="str">
        <f ca="1">IF(Tabela2[[#This Row],[Dt Venc:]]&gt;TODAY(),"Em Aberto",IF(Tabela2[[#This Row],[D/venc]]="-","Enviado",IF(Tabela2[[#This Row],[Dt Venc:]]=TODAY(),"Vence Hoje","Vencida")))</f>
        <v>Em Aberto</v>
      </c>
      <c r="F6366" s="3">
        <f ca="1">IF(G6366=1,"-",Tabela2[[#This Row],[Dt Venc:]]-TODAY())</f>
        <v>21</v>
      </c>
      <c r="G6366" s="3"/>
      <c r="H6366" s="3"/>
    </row>
    <row r="6367" spans="1:8">
      <c r="A6367" s="3">
        <v>432853</v>
      </c>
      <c r="B6367" s="7" t="s">
        <v>89</v>
      </c>
      <c r="C6367" s="41">
        <v>1065</v>
      </c>
      <c r="D6367" s="6">
        <v>45714</v>
      </c>
      <c r="E6367" s="3" t="str">
        <f ca="1">IF(Tabela2[[#This Row],[Dt Venc:]]&gt;TODAY(),"Em Aberto",IF(Tabela2[[#This Row],[D/venc]]="-","Enviado",IF(Tabela2[[#This Row],[Dt Venc:]]=TODAY(),"Vence Hoje","Vencida")))</f>
        <v>Em Aberto</v>
      </c>
      <c r="F6367" s="3">
        <f ca="1">IF(G6367=1,"-",Tabela2[[#This Row],[Dt Venc:]]-TODAY())</f>
        <v>21</v>
      </c>
      <c r="G6367" s="3"/>
      <c r="H6367" s="3"/>
    </row>
    <row r="6368" spans="1:8">
      <c r="A6368" s="3">
        <v>758538</v>
      </c>
      <c r="B6368" s="7" t="s">
        <v>127</v>
      </c>
      <c r="C6368" s="41">
        <v>256.92</v>
      </c>
      <c r="D6368" s="6">
        <v>45714</v>
      </c>
      <c r="E6368" s="3" t="str">
        <f ca="1">IF(Tabela2[[#This Row],[Dt Venc:]]&gt;TODAY(),"Em Aberto",IF(Tabela2[[#This Row],[D/venc]]="-","Enviado",IF(Tabela2[[#This Row],[Dt Venc:]]=TODAY(),"Vence Hoje","Vencida")))</f>
        <v>Em Aberto</v>
      </c>
      <c r="F6368" s="3">
        <f ca="1">IF(G6368=1,"-",Tabela2[[#This Row],[Dt Venc:]]-TODAY())</f>
        <v>21</v>
      </c>
      <c r="G6368" s="3"/>
      <c r="H6368" s="3"/>
    </row>
    <row r="6369" spans="1:8">
      <c r="A6369" s="3">
        <v>761283</v>
      </c>
      <c r="B6369" s="7" t="s">
        <v>127</v>
      </c>
      <c r="C6369" s="41">
        <v>342.56</v>
      </c>
      <c r="D6369" s="6">
        <v>45714</v>
      </c>
      <c r="E6369" s="3" t="str">
        <f ca="1">IF(Tabela2[[#This Row],[Dt Venc:]]&gt;TODAY(),"Em Aberto",IF(Tabela2[[#This Row],[D/venc]]="-","Enviado",IF(Tabela2[[#This Row],[Dt Venc:]]=TODAY(),"Vence Hoje","Vencida")))</f>
        <v>Em Aberto</v>
      </c>
      <c r="F6369" s="3">
        <f ca="1">IF(G6369=1,"-",Tabela2[[#This Row],[Dt Venc:]]-TODAY())</f>
        <v>21</v>
      </c>
      <c r="G6369" s="3"/>
      <c r="H6369" s="3"/>
    </row>
    <row r="6370" spans="1:8">
      <c r="A6370" s="3">
        <v>626524</v>
      </c>
      <c r="B6370" s="7" t="s">
        <v>66</v>
      </c>
      <c r="C6370" s="41">
        <v>408.1</v>
      </c>
      <c r="D6370" s="6">
        <v>45714</v>
      </c>
      <c r="E6370" s="3" t="str">
        <f ca="1">IF(Tabela2[[#This Row],[Dt Venc:]]&gt;TODAY(),"Em Aberto",IF(Tabela2[[#This Row],[D/venc]]="-","Enviado",IF(Tabela2[[#This Row],[Dt Venc:]]=TODAY(),"Vence Hoje","Vencida")))</f>
        <v>Em Aberto</v>
      </c>
      <c r="F6370" s="3">
        <f ca="1">IF(G6370=1,"-",Tabela2[[#This Row],[Dt Venc:]]-TODAY())</f>
        <v>21</v>
      </c>
      <c r="G6370" s="3"/>
      <c r="H6370" s="3"/>
    </row>
    <row r="6371" spans="1:8">
      <c r="A6371" s="3">
        <v>14374</v>
      </c>
      <c r="B6371" s="7" t="s">
        <v>400</v>
      </c>
      <c r="C6371" s="41">
        <v>597.20000000000005</v>
      </c>
      <c r="D6371" s="6">
        <v>45714</v>
      </c>
      <c r="E6371" s="3" t="str">
        <f ca="1">IF(Tabela2[[#This Row],[Dt Venc:]]&gt;TODAY(),"Em Aberto",IF(Tabela2[[#This Row],[D/venc]]="-","Enviado",IF(Tabela2[[#This Row],[Dt Venc:]]=TODAY(),"Vence Hoje","Vencida")))</f>
        <v>Em Aberto</v>
      </c>
      <c r="F6371" s="3">
        <f ca="1">IF(G6371=1,"-",Tabela2[[#This Row],[Dt Venc:]]-TODAY())</f>
        <v>21</v>
      </c>
      <c r="G6371" s="3"/>
      <c r="H6371" s="3"/>
    </row>
    <row r="6372" spans="1:8">
      <c r="A6372" s="3">
        <v>20075</v>
      </c>
      <c r="B6372" s="7" t="s">
        <v>41</v>
      </c>
      <c r="C6372" s="41">
        <v>700</v>
      </c>
      <c r="D6372" s="6">
        <v>45714</v>
      </c>
      <c r="E6372" s="3" t="str">
        <f ca="1">IF(Tabela2[[#This Row],[Dt Venc:]]&gt;TODAY(),"Em Aberto",IF(Tabela2[[#This Row],[D/venc]]="-","Enviado",IF(Tabela2[[#This Row],[Dt Venc:]]=TODAY(),"Vence Hoje","Vencida")))</f>
        <v>Em Aberto</v>
      </c>
      <c r="F6372" s="3">
        <f ca="1">IF(G6372=1,"-",Tabela2[[#This Row],[Dt Venc:]]-TODAY())</f>
        <v>21</v>
      </c>
      <c r="G6372" s="3"/>
      <c r="H6372" s="3"/>
    </row>
    <row r="6373" spans="1:8">
      <c r="A6373" s="3">
        <v>21</v>
      </c>
      <c r="B6373" s="7" t="s">
        <v>722</v>
      </c>
      <c r="C6373" s="41">
        <v>1400</v>
      </c>
      <c r="D6373" s="6">
        <v>45714</v>
      </c>
      <c r="E6373" s="3" t="str">
        <f ca="1">IF(Tabela2[[#This Row],[Dt Venc:]]&gt;TODAY(),"Em Aberto",IF(Tabela2[[#This Row],[D/venc]]="-","Enviado",IF(Tabela2[[#This Row],[Dt Venc:]]=TODAY(),"Vence Hoje","Vencida")))</f>
        <v>Em Aberto</v>
      </c>
      <c r="F6373" s="3">
        <f ca="1">IF(G6373=1,"-",Tabela2[[#This Row],[Dt Venc:]]-TODAY())</f>
        <v>21</v>
      </c>
      <c r="G6373" s="3"/>
      <c r="H6373" s="3"/>
    </row>
    <row r="6374" spans="1:8">
      <c r="A6374" s="3">
        <v>5560</v>
      </c>
      <c r="B6374" s="7" t="s">
        <v>102</v>
      </c>
      <c r="C6374" s="41">
        <v>300</v>
      </c>
      <c r="D6374" s="6">
        <v>45714</v>
      </c>
      <c r="E6374" s="3" t="str">
        <f ca="1">IF(Tabela2[[#This Row],[Dt Venc:]]&gt;TODAY(),"Em Aberto",IF(Tabela2[[#This Row],[D/venc]]="-","Enviado",IF(Tabela2[[#This Row],[Dt Venc:]]=TODAY(),"Vence Hoje","Vencida")))</f>
        <v>Em Aberto</v>
      </c>
      <c r="F6374" s="3">
        <f ca="1">IF(G6374=1,"-",Tabela2[[#This Row],[Dt Venc:]]-TODAY())</f>
        <v>21</v>
      </c>
      <c r="G6374" s="3"/>
      <c r="H6374" s="3"/>
    </row>
    <row r="6375" spans="1:8">
      <c r="A6375" s="3">
        <v>16249</v>
      </c>
      <c r="B6375" s="7" t="s">
        <v>289</v>
      </c>
      <c r="C6375" s="41">
        <v>520</v>
      </c>
      <c r="D6375" s="6">
        <v>45714</v>
      </c>
      <c r="E6375" s="3" t="str">
        <f ca="1">IF(Tabela2[[#This Row],[Dt Venc:]]&gt;TODAY(),"Em Aberto",IF(Tabela2[[#This Row],[D/venc]]="-","Enviado",IF(Tabela2[[#This Row],[Dt Venc:]]=TODAY(),"Vence Hoje","Vencida")))</f>
        <v>Em Aberto</v>
      </c>
      <c r="F6375" s="3">
        <f ca="1">IF(G6375=1,"-",Tabela2[[#This Row],[Dt Venc:]]-TODAY())</f>
        <v>21</v>
      </c>
      <c r="G6375" s="3"/>
      <c r="H6375" s="3"/>
    </row>
    <row r="6376" spans="1:8">
      <c r="A6376" s="3">
        <v>16240</v>
      </c>
      <c r="B6376" s="7" t="s">
        <v>289</v>
      </c>
      <c r="C6376" s="41">
        <v>500</v>
      </c>
      <c r="D6376" s="6">
        <v>45714</v>
      </c>
      <c r="E6376" s="3" t="str">
        <f ca="1">IF(Tabela2[[#This Row],[Dt Venc:]]&gt;TODAY(),"Em Aberto",IF(Tabela2[[#This Row],[D/venc]]="-","Enviado",IF(Tabela2[[#This Row],[Dt Venc:]]=TODAY(),"Vence Hoje","Vencida")))</f>
        <v>Em Aberto</v>
      </c>
      <c r="F6376" s="3">
        <f ca="1">IF(G6376=1,"-",Tabela2[[#This Row],[Dt Venc:]]-TODAY())</f>
        <v>21</v>
      </c>
      <c r="G6376" s="3"/>
      <c r="H6376" s="3"/>
    </row>
    <row r="6377" spans="1:8">
      <c r="A6377" s="3">
        <v>16246</v>
      </c>
      <c r="B6377" s="7" t="s">
        <v>289</v>
      </c>
      <c r="C6377" s="41">
        <v>500</v>
      </c>
      <c r="D6377" s="6">
        <v>45714</v>
      </c>
      <c r="E6377" s="3" t="str">
        <f ca="1">IF(Tabela2[[#This Row],[Dt Venc:]]&gt;TODAY(),"Em Aberto",IF(Tabela2[[#This Row],[D/venc]]="-","Enviado",IF(Tabela2[[#This Row],[Dt Venc:]]=TODAY(),"Vence Hoje","Vencida")))</f>
        <v>Em Aberto</v>
      </c>
      <c r="F6377" s="3">
        <f ca="1">IF(G6377=1,"-",Tabela2[[#This Row],[Dt Venc:]]-TODAY())</f>
        <v>21</v>
      </c>
      <c r="G6377" s="3"/>
      <c r="H6377" s="3"/>
    </row>
    <row r="6378" spans="1:8">
      <c r="A6378" s="3">
        <v>16243</v>
      </c>
      <c r="B6378" s="7" t="s">
        <v>289</v>
      </c>
      <c r="C6378" s="41">
        <v>277.5</v>
      </c>
      <c r="D6378" s="6">
        <v>45714</v>
      </c>
      <c r="E6378" s="3" t="str">
        <f ca="1">IF(Tabela2[[#This Row],[Dt Venc:]]&gt;TODAY(),"Em Aberto",IF(Tabela2[[#This Row],[D/venc]]="-","Enviado",IF(Tabela2[[#This Row],[Dt Venc:]]=TODAY(),"Vence Hoje","Vencida")))</f>
        <v>Em Aberto</v>
      </c>
      <c r="F6378" s="3">
        <f ca="1">IF(G6378=1,"-",Tabela2[[#This Row],[Dt Venc:]]-TODAY())</f>
        <v>21</v>
      </c>
      <c r="G6378" s="3"/>
      <c r="H6378" s="3"/>
    </row>
    <row r="6379" spans="1:8">
      <c r="A6379" s="3">
        <v>626591</v>
      </c>
      <c r="B6379" s="7" t="s">
        <v>66</v>
      </c>
      <c r="C6379" s="41">
        <v>429</v>
      </c>
      <c r="D6379" s="6">
        <v>45714</v>
      </c>
      <c r="E6379" s="3" t="str">
        <f ca="1">IF(Tabela2[[#This Row],[Dt Venc:]]&gt;TODAY(),"Em Aberto",IF(Tabela2[[#This Row],[D/venc]]="-","Enviado",IF(Tabela2[[#This Row],[Dt Venc:]]=TODAY(),"Vence Hoje","Vencida")))</f>
        <v>Em Aberto</v>
      </c>
      <c r="F6379" s="3">
        <f ca="1">IF(G6379=1,"-",Tabela2[[#This Row],[Dt Venc:]]-TODAY())</f>
        <v>21</v>
      </c>
      <c r="G6379" s="3"/>
      <c r="H6379" s="3"/>
    </row>
    <row r="6380" spans="1:8">
      <c r="A6380" s="3">
        <v>6295</v>
      </c>
      <c r="B6380" s="7" t="s">
        <v>398</v>
      </c>
      <c r="C6380" s="41">
        <v>1538.33</v>
      </c>
      <c r="D6380" s="6">
        <v>45714</v>
      </c>
      <c r="E6380" s="3" t="str">
        <f ca="1">IF(Tabela2[[#This Row],[Dt Venc:]]&gt;TODAY(),"Em Aberto",IF(Tabela2[[#This Row],[D/venc]]="-","Enviado",IF(Tabela2[[#This Row],[Dt Venc:]]=TODAY(),"Vence Hoje","Vencida")))</f>
        <v>Em Aberto</v>
      </c>
      <c r="F6380" s="3">
        <f ca="1">IF(G6380=1,"-",Tabela2[[#This Row],[Dt Venc:]]-TODAY())</f>
        <v>21</v>
      </c>
      <c r="G6380" s="3"/>
      <c r="H6380" s="3"/>
    </row>
    <row r="6381" spans="1:8">
      <c r="A6381" s="3">
        <v>286186</v>
      </c>
      <c r="B6381" s="7" t="s">
        <v>43</v>
      </c>
      <c r="C6381" s="41">
        <v>719.64</v>
      </c>
      <c r="D6381" s="6">
        <v>45714</v>
      </c>
      <c r="E6381" s="3" t="str">
        <f ca="1">IF(Tabela2[[#This Row],[Dt Venc:]]&gt;TODAY(),"Em Aberto",IF(Tabela2[[#This Row],[D/venc]]="-","Enviado",IF(Tabela2[[#This Row],[Dt Venc:]]=TODAY(),"Vence Hoje","Vencida")))</f>
        <v>Em Aberto</v>
      </c>
      <c r="F6381" s="3">
        <f ca="1">IF(G6381=1,"-",Tabela2[[#This Row],[Dt Venc:]]-TODAY())</f>
        <v>21</v>
      </c>
      <c r="G6381" s="3"/>
      <c r="H6381" s="3"/>
    </row>
    <row r="6382" spans="1:8">
      <c r="A6382" s="3">
        <v>306838</v>
      </c>
      <c r="B6382" s="7" t="s">
        <v>506</v>
      </c>
      <c r="C6382" s="41">
        <v>358.5</v>
      </c>
      <c r="D6382" s="6">
        <v>45714</v>
      </c>
      <c r="E6382" s="3" t="str">
        <f ca="1">IF(Tabela2[[#This Row],[Dt Venc:]]&gt;TODAY(),"Em Aberto",IF(Tabela2[[#This Row],[D/venc]]="-","Enviado",IF(Tabela2[[#This Row],[Dt Venc:]]=TODAY(),"Vence Hoje","Vencida")))</f>
        <v>Em Aberto</v>
      </c>
      <c r="F6382" s="3">
        <f ca="1">IF(G6382=1,"-",Tabela2[[#This Row],[Dt Venc:]]-TODAY())</f>
        <v>21</v>
      </c>
      <c r="G6382" s="3"/>
      <c r="H6382" s="3"/>
    </row>
    <row r="6383" spans="1:8">
      <c r="A6383" s="3">
        <v>156168</v>
      </c>
      <c r="B6383" s="7" t="s">
        <v>77</v>
      </c>
      <c r="C6383" s="41">
        <v>1233.33</v>
      </c>
      <c r="D6383" s="6">
        <v>45714</v>
      </c>
      <c r="E6383" s="3" t="str">
        <f ca="1">IF(Tabela2[[#This Row],[Dt Venc:]]&gt;TODAY(),"Em Aberto",IF(Tabela2[[#This Row],[D/venc]]="-","Enviado",IF(Tabela2[[#This Row],[Dt Venc:]]=TODAY(),"Vence Hoje","Vencida")))</f>
        <v>Em Aberto</v>
      </c>
      <c r="F6383" s="3">
        <f ca="1">IF(G6383=1,"-",Tabela2[[#This Row],[Dt Venc:]]-TODAY())</f>
        <v>21</v>
      </c>
      <c r="G6383" s="3"/>
      <c r="H6383" s="3"/>
    </row>
    <row r="6384" spans="1:8">
      <c r="A6384" s="3">
        <v>92061</v>
      </c>
      <c r="B6384" s="7" t="s">
        <v>48</v>
      </c>
      <c r="C6384" s="41">
        <v>1050.1400000000001</v>
      </c>
      <c r="D6384" s="6">
        <v>45714</v>
      </c>
      <c r="E6384" s="3" t="str">
        <f ca="1">IF(Tabela2[[#This Row],[Dt Venc:]]&gt;TODAY(),"Em Aberto",IF(Tabela2[[#This Row],[D/venc]]="-","Enviado",IF(Tabela2[[#This Row],[Dt Venc:]]=TODAY(),"Vence Hoje","Vencida")))</f>
        <v>Em Aberto</v>
      </c>
      <c r="F6384" s="3">
        <f ca="1">IF(G6384=1,"-",Tabela2[[#This Row],[Dt Venc:]]-TODAY())</f>
        <v>21</v>
      </c>
      <c r="G6384" s="3"/>
      <c r="H6384" s="3"/>
    </row>
    <row r="6385" spans="1:8">
      <c r="A6385" s="3">
        <v>92063</v>
      </c>
      <c r="B6385" s="7" t="s">
        <v>48</v>
      </c>
      <c r="C6385" s="41">
        <v>787.33</v>
      </c>
      <c r="D6385" s="6">
        <v>45714</v>
      </c>
      <c r="E6385" s="3" t="str">
        <f ca="1">IF(Tabela2[[#This Row],[Dt Venc:]]&gt;TODAY(),"Em Aberto",IF(Tabela2[[#This Row],[D/venc]]="-","Enviado",IF(Tabela2[[#This Row],[Dt Venc:]]=TODAY(),"Vence Hoje","Vencida")))</f>
        <v>Em Aberto</v>
      </c>
      <c r="F6385" s="3">
        <f ca="1">IF(G6385=1,"-",Tabela2[[#This Row],[Dt Venc:]]-TODAY())</f>
        <v>21</v>
      </c>
      <c r="G6385" s="3"/>
      <c r="H6385" s="3"/>
    </row>
    <row r="6386" spans="1:8">
      <c r="A6386" s="3">
        <v>16235</v>
      </c>
      <c r="B6386" s="7" t="s">
        <v>289</v>
      </c>
      <c r="C6386" s="41">
        <v>500</v>
      </c>
      <c r="D6386" s="6">
        <v>45714</v>
      </c>
      <c r="E6386" s="3" t="str">
        <f ca="1">IF(Tabela2[[#This Row],[Dt Venc:]]&gt;TODAY(),"Em Aberto",IF(Tabela2[[#This Row],[D/venc]]="-","Enviado",IF(Tabela2[[#This Row],[Dt Venc:]]=TODAY(),"Vence Hoje","Vencida")))</f>
        <v>Em Aberto</v>
      </c>
      <c r="F6386" s="3">
        <f ca="1">IF(G6386=1,"-",Tabela2[[#This Row],[Dt Venc:]]-TODAY())</f>
        <v>21</v>
      </c>
      <c r="G6386" s="3"/>
      <c r="H6386" s="3"/>
    </row>
    <row r="6387" spans="1:8">
      <c r="A6387" s="3">
        <v>766010</v>
      </c>
      <c r="B6387" s="7" t="s">
        <v>127</v>
      </c>
      <c r="C6387" s="41">
        <v>399.5</v>
      </c>
      <c r="D6387" s="6">
        <v>45714</v>
      </c>
      <c r="E6387" s="3" t="str">
        <f ca="1">IF(Tabela2[[#This Row],[Dt Venc:]]&gt;TODAY(),"Em Aberto",IF(Tabela2[[#This Row],[D/venc]]="-","Enviado",IF(Tabela2[[#This Row],[Dt Venc:]]=TODAY(),"Vence Hoje","Vencida")))</f>
        <v>Em Aberto</v>
      </c>
      <c r="F6387" s="3">
        <f ca="1">IF(G6387=1,"-",Tabela2[[#This Row],[Dt Venc:]]-TODAY())</f>
        <v>21</v>
      </c>
      <c r="G6387" s="3"/>
      <c r="H6387" s="3"/>
    </row>
    <row r="6388" spans="1:8">
      <c r="A6388" s="3">
        <v>148551</v>
      </c>
      <c r="B6388" s="7" t="s">
        <v>127</v>
      </c>
      <c r="C6388" s="41">
        <v>624.5</v>
      </c>
      <c r="D6388" s="6">
        <v>45714</v>
      </c>
      <c r="E6388" s="3" t="str">
        <f ca="1">IF(Tabela2[[#This Row],[Dt Venc:]]&gt;TODAY(),"Em Aberto",IF(Tabela2[[#This Row],[D/venc]]="-","Enviado",IF(Tabela2[[#This Row],[Dt Venc:]]=TODAY(),"Vence Hoje","Vencida")))</f>
        <v>Em Aberto</v>
      </c>
      <c r="F6388" s="3">
        <f ca="1">IF(G6388=1,"-",Tabela2[[#This Row],[Dt Venc:]]-TODAY())</f>
        <v>21</v>
      </c>
      <c r="G6388" s="3"/>
      <c r="H6388" s="3"/>
    </row>
    <row r="6389" spans="1:8">
      <c r="A6389" s="3">
        <v>148552</v>
      </c>
      <c r="B6389" s="7" t="s">
        <v>127</v>
      </c>
      <c r="C6389" s="41">
        <v>624.5</v>
      </c>
      <c r="D6389" s="6">
        <v>45714</v>
      </c>
      <c r="E6389" s="3" t="str">
        <f ca="1">IF(Tabela2[[#This Row],[Dt Venc:]]&gt;TODAY(),"Em Aberto",IF(Tabela2[[#This Row],[D/venc]]="-","Enviado",IF(Tabela2[[#This Row],[Dt Venc:]]=TODAY(),"Vence Hoje","Vencida")))</f>
        <v>Em Aberto</v>
      </c>
      <c r="F6389" s="3">
        <f ca="1">IF(G6389=1,"-",Tabela2[[#This Row],[Dt Venc:]]-TODAY())</f>
        <v>21</v>
      </c>
      <c r="G6389" s="3"/>
      <c r="H6389" s="3"/>
    </row>
    <row r="6390" spans="1:8">
      <c r="A6390" s="3">
        <v>766013</v>
      </c>
      <c r="B6390" s="7" t="s">
        <v>127</v>
      </c>
      <c r="C6390" s="41">
        <v>399.5</v>
      </c>
      <c r="D6390" s="6">
        <v>45714</v>
      </c>
      <c r="E6390" s="3" t="str">
        <f ca="1">IF(Tabela2[[#This Row],[Dt Venc:]]&gt;TODAY(),"Em Aberto",IF(Tabela2[[#This Row],[D/venc]]="-","Enviado",IF(Tabela2[[#This Row],[Dt Venc:]]=TODAY(),"Vence Hoje","Vencida")))</f>
        <v>Em Aberto</v>
      </c>
      <c r="F6390" s="3">
        <f ca="1">IF(G6390=1,"-",Tabela2[[#This Row],[Dt Venc:]]-TODAY())</f>
        <v>21</v>
      </c>
      <c r="G6390" s="3"/>
      <c r="H6390" s="3"/>
    </row>
    <row r="6391" spans="1:8">
      <c r="A6391" s="3">
        <v>8990</v>
      </c>
      <c r="B6391" s="7" t="s">
        <v>43</v>
      </c>
      <c r="C6391" s="41">
        <v>288.83999999999997</v>
      </c>
      <c r="D6391" s="6">
        <v>45714</v>
      </c>
      <c r="E6391" s="3" t="str">
        <f ca="1">IF(Tabela2[[#This Row],[Dt Venc:]]&gt;TODAY(),"Em Aberto",IF(Tabela2[[#This Row],[D/venc]]="-","Enviado",IF(Tabela2[[#This Row],[Dt Venc:]]=TODAY(),"Vence Hoje","Vencida")))</f>
        <v>Em Aberto</v>
      </c>
      <c r="F6391" s="3">
        <f ca="1">IF(G6391=1,"-",Tabela2[[#This Row],[Dt Venc:]]-TODAY())</f>
        <v>21</v>
      </c>
      <c r="G6391" s="3"/>
      <c r="H6391" s="3"/>
    </row>
    <row r="6392" spans="1:8">
      <c r="A6392" s="3">
        <v>1990</v>
      </c>
      <c r="B6392" s="7" t="s">
        <v>43</v>
      </c>
      <c r="C6392" s="41">
        <v>199</v>
      </c>
      <c r="D6392" s="6">
        <v>45714</v>
      </c>
      <c r="E6392" s="3" t="str">
        <f ca="1">IF(Tabela2[[#This Row],[Dt Venc:]]&gt;TODAY(),"Em Aberto",IF(Tabela2[[#This Row],[D/venc]]="-","Enviado",IF(Tabela2[[#This Row],[Dt Venc:]]=TODAY(),"Vence Hoje","Vencida")))</f>
        <v>Em Aberto</v>
      </c>
      <c r="F6392" s="3">
        <f ca="1">IF(G6392=1,"-",Tabela2[[#This Row],[Dt Venc:]]-TODAY())</f>
        <v>21</v>
      </c>
      <c r="G6392" s="3"/>
      <c r="H6392" s="3"/>
    </row>
    <row r="6393" spans="1:8">
      <c r="A6393" s="3">
        <v>65547</v>
      </c>
      <c r="B6393" s="7" t="s">
        <v>435</v>
      </c>
      <c r="C6393" s="41">
        <v>764</v>
      </c>
      <c r="D6393" s="6">
        <v>45714</v>
      </c>
      <c r="E6393" s="3" t="str">
        <f ca="1">IF(Tabela2[[#This Row],[Dt Venc:]]&gt;TODAY(),"Em Aberto",IF(Tabela2[[#This Row],[D/venc]]="-","Enviado",IF(Tabela2[[#This Row],[Dt Venc:]]=TODAY(),"Vence Hoje","Vencida")))</f>
        <v>Em Aberto</v>
      </c>
      <c r="F6393" s="3">
        <f ca="1">IF(G6393=1,"-",Tabela2[[#This Row],[Dt Venc:]]-TODAY())</f>
        <v>21</v>
      </c>
      <c r="G6393" s="3"/>
      <c r="H6393" s="3"/>
    </row>
    <row r="6394" spans="1:8">
      <c r="A6394" s="3">
        <v>4419</v>
      </c>
      <c r="B6394" s="7" t="s">
        <v>723</v>
      </c>
      <c r="C6394" s="41">
        <v>2934.25</v>
      </c>
      <c r="D6394" s="6">
        <v>45714</v>
      </c>
      <c r="E6394" s="3" t="str">
        <f ca="1">IF(Tabela2[[#This Row],[Dt Venc:]]&gt;TODAY(),"Em Aberto",IF(Tabela2[[#This Row],[D/venc]]="-","Enviado",IF(Tabela2[[#This Row],[Dt Venc:]]=TODAY(),"Vence Hoje","Vencida")))</f>
        <v>Em Aberto</v>
      </c>
      <c r="F6394" s="3">
        <f ca="1">IF(G6394=1,"-",Tabela2[[#This Row],[Dt Venc:]]-TODAY())</f>
        <v>21</v>
      </c>
      <c r="G6394" s="3"/>
      <c r="H6394" s="3"/>
    </row>
    <row r="6395" spans="1:8">
      <c r="A6395" s="3">
        <v>54024</v>
      </c>
      <c r="B6395" s="7" t="s">
        <v>144</v>
      </c>
      <c r="C6395" s="41">
        <v>1586.86</v>
      </c>
      <c r="D6395" s="6">
        <v>45714</v>
      </c>
      <c r="E6395" s="3" t="str">
        <f ca="1">IF(Tabela2[[#This Row],[Dt Venc:]]&gt;TODAY(),"Em Aberto",IF(Tabela2[[#This Row],[D/venc]]="-","Enviado",IF(Tabela2[[#This Row],[Dt Venc:]]=TODAY(),"Vence Hoje","Vencida")))</f>
        <v>Em Aberto</v>
      </c>
      <c r="F6395" s="3">
        <f ca="1">IF(G6395=1,"-",Tabela2[[#This Row],[Dt Venc:]]-TODAY())</f>
        <v>21</v>
      </c>
      <c r="G6395" s="3"/>
      <c r="H6395" s="3"/>
    </row>
    <row r="6396" spans="1:8">
      <c r="A6396" s="3">
        <v>1661</v>
      </c>
      <c r="B6396" s="7" t="s">
        <v>479</v>
      </c>
      <c r="C6396" s="41">
        <v>725.17</v>
      </c>
      <c r="D6396" s="6">
        <v>45715</v>
      </c>
      <c r="E6396" s="3" t="str">
        <f ca="1">IF(Tabela2[[#This Row],[Dt Venc:]]&gt;TODAY(),"Em Aberto",IF(Tabela2[[#This Row],[D/venc]]="-","Enviado",IF(Tabela2[[#This Row],[Dt Venc:]]=TODAY(),"Vence Hoje","Vencida")))</f>
        <v>Em Aberto</v>
      </c>
      <c r="F6396" s="3">
        <f ca="1">IF(G6396=1,"-",Tabela2[[#This Row],[Dt Venc:]]-TODAY())</f>
        <v>22</v>
      </c>
      <c r="G6396" s="3"/>
      <c r="H6396" s="3"/>
    </row>
    <row r="6397" spans="1:8">
      <c r="A6397" s="3">
        <v>1824</v>
      </c>
      <c r="B6397" s="7" t="s">
        <v>724</v>
      </c>
      <c r="C6397" s="41">
        <v>423.5</v>
      </c>
      <c r="D6397" s="6">
        <v>45715</v>
      </c>
      <c r="E6397" s="3" t="str">
        <f ca="1">IF(Tabela2[[#This Row],[Dt Venc:]]&gt;TODAY(),"Em Aberto",IF(Tabela2[[#This Row],[D/venc]]="-","Enviado",IF(Tabela2[[#This Row],[Dt Venc:]]=TODAY(),"Vence Hoje","Vencida")))</f>
        <v>Em Aberto</v>
      </c>
      <c r="F6397" s="3">
        <f ca="1">IF(G6397=1,"-",Tabela2[[#This Row],[Dt Venc:]]-TODAY())</f>
        <v>22</v>
      </c>
      <c r="G6397" s="3"/>
      <c r="H6397" s="3"/>
    </row>
    <row r="6398" spans="1:8">
      <c r="A6398" s="3">
        <v>2969</v>
      </c>
      <c r="B6398" s="7" t="s">
        <v>301</v>
      </c>
      <c r="C6398" s="41">
        <v>2440</v>
      </c>
      <c r="D6398" s="6">
        <v>45715</v>
      </c>
      <c r="E6398" s="3" t="str">
        <f ca="1">IF(Tabela2[[#This Row],[Dt Venc:]]&gt;TODAY(),"Em Aberto",IF(Tabela2[[#This Row],[D/venc]]="-","Enviado",IF(Tabela2[[#This Row],[Dt Venc:]]=TODAY(),"Vence Hoje","Vencida")))</f>
        <v>Em Aberto</v>
      </c>
      <c r="F6398" s="3">
        <f ca="1">IF(G6398=1,"-",Tabela2[[#This Row],[Dt Venc:]]-TODAY())</f>
        <v>22</v>
      </c>
      <c r="G6398" s="3"/>
      <c r="H6398" s="3"/>
    </row>
    <row r="6399" spans="1:8">
      <c r="A6399" s="3">
        <v>5690</v>
      </c>
      <c r="B6399" s="7" t="s">
        <v>122</v>
      </c>
      <c r="C6399" s="100" t="s">
        <v>32</v>
      </c>
      <c r="D6399" s="6">
        <v>45715</v>
      </c>
      <c r="E6399" s="3" t="str">
        <f ca="1">IF(Tabela2[[#This Row],[Dt Venc:]]&gt;TODAY(),"Em Aberto",IF(Tabela2[[#This Row],[D/venc]]="-","Enviado",IF(Tabela2[[#This Row],[Dt Venc:]]=TODAY(),"Vence Hoje","Vencida")))</f>
        <v>Em Aberto</v>
      </c>
      <c r="F6399" s="3">
        <f ca="1">IF(G6399=1,"-",Tabela2[[#This Row],[Dt Venc:]]-TODAY())</f>
        <v>22</v>
      </c>
      <c r="G6399" s="3"/>
      <c r="H6399" s="3"/>
    </row>
    <row r="6400" spans="1:8">
      <c r="A6400" s="3">
        <v>5970</v>
      </c>
      <c r="B6400" s="7" t="s">
        <v>586</v>
      </c>
      <c r="C6400" s="41">
        <v>503</v>
      </c>
      <c r="D6400" s="6">
        <v>45715</v>
      </c>
      <c r="E6400" s="3" t="str">
        <f ca="1">IF(Tabela2[[#This Row],[Dt Venc:]]&gt;TODAY(),"Em Aberto",IF(Tabela2[[#This Row],[D/venc]]="-","Enviado",IF(Tabela2[[#This Row],[Dt Venc:]]=TODAY(),"Vence Hoje","Vencida")))</f>
        <v>Em Aberto</v>
      </c>
      <c r="F6400" s="3">
        <f ca="1">IF(G6400=1,"-",Tabela2[[#This Row],[Dt Venc:]]-TODAY())</f>
        <v>22</v>
      </c>
      <c r="G6400" s="3"/>
      <c r="H6400" s="3"/>
    </row>
    <row r="6401" spans="1:8">
      <c r="A6401" s="3">
        <v>6091</v>
      </c>
      <c r="B6401" s="7" t="s">
        <v>47</v>
      </c>
      <c r="C6401" s="41">
        <v>2723.31</v>
      </c>
      <c r="D6401" s="6">
        <v>45715</v>
      </c>
      <c r="E6401" s="3" t="str">
        <f ca="1">IF(Tabela2[[#This Row],[Dt Venc:]]&gt;TODAY(),"Em Aberto",IF(Tabela2[[#This Row],[D/venc]]="-","Enviado",IF(Tabela2[[#This Row],[Dt Venc:]]=TODAY(),"Vence Hoje","Vencida")))</f>
        <v>Em Aberto</v>
      </c>
      <c r="F6401" s="3">
        <f ca="1">IF(G6401=1,"-",Tabela2[[#This Row],[Dt Venc:]]-TODAY())</f>
        <v>22</v>
      </c>
      <c r="G6401" s="3"/>
      <c r="H6401" s="3"/>
    </row>
    <row r="6402" spans="1:8">
      <c r="A6402" s="3">
        <v>6101</v>
      </c>
      <c r="B6402" s="7" t="s">
        <v>140</v>
      </c>
      <c r="C6402" s="41">
        <v>904.33</v>
      </c>
      <c r="D6402" s="6">
        <v>45715</v>
      </c>
      <c r="E6402" s="3" t="str">
        <f ca="1">IF(Tabela2[[#This Row],[Dt Venc:]]&gt;TODAY(),"Em Aberto",IF(Tabela2[[#This Row],[D/venc]]="-","Enviado",IF(Tabela2[[#This Row],[Dt Venc:]]=TODAY(),"Vence Hoje","Vencida")))</f>
        <v>Em Aberto</v>
      </c>
      <c r="F6402" s="3">
        <f ca="1">IF(G6402=1,"-",Tabela2[[#This Row],[Dt Venc:]]-TODAY())</f>
        <v>22</v>
      </c>
      <c r="G6402" s="3"/>
      <c r="H6402" s="3"/>
    </row>
    <row r="6403" spans="1:8">
      <c r="A6403" s="3">
        <v>6229</v>
      </c>
      <c r="B6403" s="7" t="s">
        <v>581</v>
      </c>
      <c r="C6403" s="41">
        <v>2220.3000000000002</v>
      </c>
      <c r="D6403" s="6">
        <v>45715</v>
      </c>
      <c r="E6403" s="3" t="str">
        <f ca="1">IF(Tabela2[[#This Row],[Dt Venc:]]&gt;TODAY(),"Em Aberto",IF(Tabela2[[#This Row],[D/venc]]="-","Enviado",IF(Tabela2[[#This Row],[Dt Venc:]]=TODAY(),"Vence Hoje","Vencida")))</f>
        <v>Em Aberto</v>
      </c>
      <c r="F6403" s="3">
        <f ca="1">IF(G6403=1,"-",Tabela2[[#This Row],[Dt Venc:]]-TODAY())</f>
        <v>22</v>
      </c>
      <c r="G6403" s="3"/>
      <c r="H6403" s="3"/>
    </row>
    <row r="6404" spans="1:8">
      <c r="A6404" s="3">
        <v>9524</v>
      </c>
      <c r="B6404" s="7" t="s">
        <v>709</v>
      </c>
      <c r="C6404" s="41">
        <v>388.4</v>
      </c>
      <c r="D6404" s="6">
        <v>45715</v>
      </c>
      <c r="E6404" s="3" t="str">
        <f ca="1">IF(Tabela2[[#This Row],[Dt Venc:]]&gt;TODAY(),"Em Aberto",IF(Tabela2[[#This Row],[D/venc]]="-","Enviado",IF(Tabela2[[#This Row],[Dt Venc:]]=TODAY(),"Vence Hoje","Vencida")))</f>
        <v>Em Aberto</v>
      </c>
      <c r="F6404" s="3">
        <f ca="1">IF(G6404=1,"-",Tabela2[[#This Row],[Dt Venc:]]-TODAY())</f>
        <v>22</v>
      </c>
      <c r="G6404" s="3"/>
      <c r="H6404" s="3"/>
    </row>
    <row r="6405" spans="1:8">
      <c r="A6405" s="3">
        <v>11289</v>
      </c>
      <c r="B6405" s="7" t="s">
        <v>33</v>
      </c>
      <c r="C6405" s="41">
        <v>1926.66</v>
      </c>
      <c r="D6405" s="6">
        <v>45715</v>
      </c>
      <c r="E6405" s="3" t="str">
        <f ca="1">IF(Tabela2[[#This Row],[Dt Venc:]]&gt;TODAY(),"Em Aberto",IF(Tabela2[[#This Row],[D/venc]]="-","Enviado",IF(Tabela2[[#This Row],[Dt Venc:]]=TODAY(),"Vence Hoje","Vencida")))</f>
        <v>Em Aberto</v>
      </c>
      <c r="F6405" s="3">
        <f ca="1">IF(G6405=1,"-",Tabela2[[#This Row],[Dt Venc:]]-TODAY())</f>
        <v>22</v>
      </c>
      <c r="G6405" s="3"/>
      <c r="H6405" s="3"/>
    </row>
    <row r="6406" spans="1:8">
      <c r="A6406" s="3">
        <v>23927</v>
      </c>
      <c r="B6406" s="7" t="s">
        <v>38</v>
      </c>
      <c r="C6406" s="41">
        <v>1242.67</v>
      </c>
      <c r="D6406" s="6">
        <v>45715</v>
      </c>
      <c r="E6406" s="3" t="str">
        <f ca="1">IF(Tabela2[[#This Row],[Dt Venc:]]&gt;TODAY(),"Em Aberto",IF(Tabela2[[#This Row],[D/venc]]="-","Enviado",IF(Tabela2[[#This Row],[Dt Venc:]]=TODAY(),"Vence Hoje","Vencida")))</f>
        <v>Em Aberto</v>
      </c>
      <c r="F6406" s="3">
        <f ca="1">IF(G6406=1,"-",Tabela2[[#This Row],[Dt Venc:]]-TODAY())</f>
        <v>22</v>
      </c>
      <c r="G6406" s="3"/>
      <c r="H6406" s="3"/>
    </row>
    <row r="6407" spans="1:8">
      <c r="A6407" s="3">
        <v>23934</v>
      </c>
      <c r="B6407" s="7" t="s">
        <v>38</v>
      </c>
      <c r="C6407" s="41">
        <v>1837.5</v>
      </c>
      <c r="D6407" s="6">
        <v>45715</v>
      </c>
      <c r="E6407" s="3" t="str">
        <f ca="1">IF(Tabela2[[#This Row],[Dt Venc:]]&gt;TODAY(),"Em Aberto",IF(Tabela2[[#This Row],[D/venc]]="-","Enviado",IF(Tabela2[[#This Row],[Dt Venc:]]=TODAY(),"Vence Hoje","Vencida")))</f>
        <v>Em Aberto</v>
      </c>
      <c r="F6407" s="3">
        <f ca="1">IF(G6407=1,"-",Tabela2[[#This Row],[Dt Venc:]]-TODAY())</f>
        <v>22</v>
      </c>
      <c r="G6407" s="3"/>
      <c r="H6407" s="3"/>
    </row>
    <row r="6408" spans="1:8">
      <c r="A6408" s="3">
        <v>23961</v>
      </c>
      <c r="B6408" s="7" t="s">
        <v>38</v>
      </c>
      <c r="C6408" s="41">
        <v>1180</v>
      </c>
      <c r="D6408" s="6">
        <v>45715</v>
      </c>
      <c r="E6408" s="3" t="str">
        <f ca="1">IF(Tabela2[[#This Row],[Dt Venc:]]&gt;TODAY(),"Em Aberto",IF(Tabela2[[#This Row],[D/venc]]="-","Enviado",IF(Tabela2[[#This Row],[Dt Venc:]]=TODAY(),"Vence Hoje","Vencida")))</f>
        <v>Em Aberto</v>
      </c>
      <c r="F6408" s="3">
        <f ca="1">IF(G6408=1,"-",Tabela2[[#This Row],[Dt Venc:]]-TODAY())</f>
        <v>22</v>
      </c>
      <c r="G6408" s="3"/>
      <c r="H6408" s="3"/>
    </row>
    <row r="6409" spans="1:8">
      <c r="A6409" s="3">
        <v>28594</v>
      </c>
      <c r="B6409" s="7" t="s">
        <v>662</v>
      </c>
      <c r="C6409" s="41">
        <v>625</v>
      </c>
      <c r="D6409" s="6">
        <v>45715</v>
      </c>
      <c r="E6409" s="3" t="str">
        <f ca="1">IF(Tabela2[[#This Row],[Dt Venc:]]&gt;TODAY(),"Em Aberto",IF(Tabela2[[#This Row],[D/venc]]="-","Enviado",IF(Tabela2[[#This Row],[Dt Venc:]]=TODAY(),"Vence Hoje","Vencida")))</f>
        <v>Em Aberto</v>
      </c>
      <c r="F6409" s="3">
        <f ca="1">IF(G6409=1,"-",Tabela2[[#This Row],[Dt Venc:]]-TODAY())</f>
        <v>22</v>
      </c>
      <c r="G6409" s="3"/>
      <c r="H6409" s="3"/>
    </row>
    <row r="6410" spans="1:8">
      <c r="A6410" s="3">
        <v>30511</v>
      </c>
      <c r="B6410" s="7" t="s">
        <v>226</v>
      </c>
      <c r="C6410" s="41">
        <v>1690</v>
      </c>
      <c r="D6410" s="6">
        <v>45715</v>
      </c>
      <c r="E6410" s="3" t="str">
        <f ca="1">IF(Tabela2[[#This Row],[Dt Venc:]]&gt;TODAY(),"Em Aberto",IF(Tabela2[[#This Row],[D/venc]]="-","Enviado",IF(Tabela2[[#This Row],[Dt Venc:]]=TODAY(),"Vence Hoje","Vencida")))</f>
        <v>Em Aberto</v>
      </c>
      <c r="F6410" s="3">
        <f ca="1">IF(G6410=1,"-",Tabela2[[#This Row],[Dt Venc:]]-TODAY())</f>
        <v>22</v>
      </c>
      <c r="G6410" s="3"/>
      <c r="H6410" s="3"/>
    </row>
    <row r="6411" spans="1:8">
      <c r="A6411" s="3">
        <v>32041</v>
      </c>
      <c r="B6411" s="7" t="s">
        <v>663</v>
      </c>
      <c r="C6411" s="41">
        <v>963.81</v>
      </c>
      <c r="D6411" s="6">
        <v>45715</v>
      </c>
      <c r="E6411" s="3" t="str">
        <f ca="1">IF(Tabela2[[#This Row],[Dt Venc:]]&gt;TODAY(),"Em Aberto",IF(Tabela2[[#This Row],[D/venc]]="-","Enviado",IF(Tabela2[[#This Row],[Dt Venc:]]=TODAY(),"Vence Hoje","Vencida")))</f>
        <v>Em Aberto</v>
      </c>
      <c r="F6411" s="3">
        <f ca="1">IF(G6411=1,"-",Tabela2[[#This Row],[Dt Venc:]]-TODAY())</f>
        <v>22</v>
      </c>
      <c r="G6411" s="3"/>
      <c r="H6411" s="3"/>
    </row>
    <row r="6412" spans="1:8">
      <c r="A6412" s="3">
        <v>54921</v>
      </c>
      <c r="B6412" s="7" t="s">
        <v>35</v>
      </c>
      <c r="C6412" s="41">
        <v>315.97000000000003</v>
      </c>
      <c r="D6412" s="6">
        <v>45715</v>
      </c>
      <c r="E6412" s="3" t="str">
        <f ca="1">IF(Tabela2[[#This Row],[Dt Venc:]]&gt;TODAY(),"Em Aberto",IF(Tabela2[[#This Row],[D/venc]]="-","Enviado",IF(Tabela2[[#This Row],[Dt Venc:]]=TODAY(),"Vence Hoje","Vencida")))</f>
        <v>Em Aberto</v>
      </c>
      <c r="F6412" s="3">
        <f ca="1">IF(G6412=1,"-",Tabela2[[#This Row],[Dt Venc:]]-TODAY())</f>
        <v>22</v>
      </c>
      <c r="G6412" s="3"/>
      <c r="H6412" s="3"/>
    </row>
    <row r="6413" spans="1:8">
      <c r="A6413" s="3">
        <v>74622</v>
      </c>
      <c r="B6413" s="7" t="s">
        <v>579</v>
      </c>
      <c r="C6413" s="41">
        <v>1180.33</v>
      </c>
      <c r="D6413" s="6">
        <v>45715</v>
      </c>
      <c r="E6413" s="3" t="str">
        <f ca="1">IF(Tabela2[[#This Row],[Dt Venc:]]&gt;TODAY(),"Em Aberto",IF(Tabela2[[#This Row],[D/venc]]="-","Enviado",IF(Tabela2[[#This Row],[Dt Venc:]]=TODAY(),"Vence Hoje","Vencida")))</f>
        <v>Em Aberto</v>
      </c>
      <c r="F6413" s="3">
        <f ca="1">IF(G6413=1,"-",Tabela2[[#This Row],[Dt Venc:]]-TODAY())</f>
        <v>22</v>
      </c>
      <c r="G6413" s="3"/>
      <c r="H6413" s="3"/>
    </row>
    <row r="6414" spans="1:8">
      <c r="A6414" s="3">
        <v>91028</v>
      </c>
      <c r="B6414" s="7" t="s">
        <v>48</v>
      </c>
      <c r="C6414" s="41">
        <v>2954.7</v>
      </c>
      <c r="D6414" s="6">
        <v>45715</v>
      </c>
      <c r="E6414" s="3" t="str">
        <f ca="1">IF(Tabela2[[#This Row],[Dt Venc:]]&gt;TODAY(),"Em Aberto",IF(Tabela2[[#This Row],[D/venc]]="-","Enviado",IF(Tabela2[[#This Row],[Dt Venc:]]=TODAY(),"Vence Hoje","Vencida")))</f>
        <v>Em Aberto</v>
      </c>
      <c r="F6414" s="3">
        <f ca="1">IF(G6414=1,"-",Tabela2[[#This Row],[Dt Venc:]]-TODAY())</f>
        <v>22</v>
      </c>
      <c r="G6414" s="3"/>
      <c r="H6414" s="3"/>
    </row>
    <row r="6415" spans="1:8">
      <c r="A6415" s="3">
        <v>146728</v>
      </c>
      <c r="B6415" s="7" t="s">
        <v>127</v>
      </c>
      <c r="C6415" s="41">
        <v>602</v>
      </c>
      <c r="D6415" s="6">
        <v>45715</v>
      </c>
      <c r="E6415" s="3" t="str">
        <f ca="1">IF(Tabela2[[#This Row],[Dt Venc:]]&gt;TODAY(),"Em Aberto",IF(Tabela2[[#This Row],[D/venc]]="-","Enviado",IF(Tabela2[[#This Row],[Dt Venc:]]=TODAY(),"Vence Hoje","Vencida")))</f>
        <v>Em Aberto</v>
      </c>
      <c r="F6415" s="3">
        <f ca="1">IF(G6415=1,"-",Tabela2[[#This Row],[Dt Venc:]]-TODAY())</f>
        <v>22</v>
      </c>
      <c r="G6415" s="3"/>
      <c r="H6415" s="3"/>
    </row>
    <row r="6416" spans="1:8">
      <c r="A6416" s="3">
        <v>154831</v>
      </c>
      <c r="B6416" s="7" t="s">
        <v>77</v>
      </c>
      <c r="C6416" s="41">
        <v>450</v>
      </c>
      <c r="D6416" s="6">
        <v>45715</v>
      </c>
      <c r="E6416" s="3" t="str">
        <f ca="1">IF(Tabela2[[#This Row],[Dt Venc:]]&gt;TODAY(),"Em Aberto",IF(Tabela2[[#This Row],[D/venc]]="-","Enviado",IF(Tabela2[[#This Row],[Dt Venc:]]=TODAY(),"Vence Hoje","Vencida")))</f>
        <v>Em Aberto</v>
      </c>
      <c r="F6416" s="3">
        <f ca="1">IF(G6416=1,"-",Tabela2[[#This Row],[Dt Venc:]]-TODAY())</f>
        <v>22</v>
      </c>
      <c r="G6416" s="3"/>
      <c r="H6416" s="3"/>
    </row>
    <row r="6417" spans="1:8">
      <c r="A6417" s="3">
        <v>177080</v>
      </c>
      <c r="B6417" s="7" t="s">
        <v>72</v>
      </c>
      <c r="C6417" s="41">
        <v>1016.66</v>
      </c>
      <c r="D6417" s="6">
        <v>45715</v>
      </c>
      <c r="E6417" s="3" t="str">
        <f ca="1">IF(Tabela2[[#This Row],[Dt Venc:]]&gt;TODAY(),"Em Aberto",IF(Tabela2[[#This Row],[D/venc]]="-","Enviado",IF(Tabela2[[#This Row],[Dt Venc:]]=TODAY(),"Vence Hoje","Vencida")))</f>
        <v>Em Aberto</v>
      </c>
      <c r="F6417" s="3">
        <f ca="1">IF(G6417=1,"-",Tabela2[[#This Row],[Dt Venc:]]-TODAY())</f>
        <v>22</v>
      </c>
      <c r="G6417" s="3"/>
      <c r="H6417" s="3"/>
    </row>
    <row r="6418" spans="1:8">
      <c r="A6418" s="3">
        <v>263006</v>
      </c>
      <c r="B6418" s="7" t="s">
        <v>43</v>
      </c>
      <c r="C6418" s="41">
        <v>1504.5</v>
      </c>
      <c r="D6418" s="6">
        <v>45715</v>
      </c>
      <c r="E6418" s="3" t="str">
        <f ca="1">IF(Tabela2[[#This Row],[Dt Venc:]]&gt;TODAY(),"Em Aberto",IF(Tabela2[[#This Row],[D/venc]]="-","Enviado",IF(Tabela2[[#This Row],[Dt Venc:]]=TODAY(),"Vence Hoje","Vencida")))</f>
        <v>Em Aberto</v>
      </c>
      <c r="F6418" s="3">
        <f ca="1">IF(G6418=1,"-",Tabela2[[#This Row],[Dt Venc:]]-TODAY())</f>
        <v>22</v>
      </c>
      <c r="G6418" s="3"/>
      <c r="H6418" s="3"/>
    </row>
    <row r="6419" spans="1:8">
      <c r="A6419" s="3">
        <v>263199</v>
      </c>
      <c r="B6419" s="7" t="s">
        <v>43</v>
      </c>
      <c r="C6419" s="41">
        <v>1026.93</v>
      </c>
      <c r="D6419" s="6">
        <v>45715</v>
      </c>
      <c r="E6419" s="3" t="str">
        <f ca="1">IF(Tabela2[[#This Row],[Dt Venc:]]&gt;TODAY(),"Em Aberto",IF(Tabela2[[#This Row],[D/venc]]="-","Enviado",IF(Tabela2[[#This Row],[Dt Venc:]]=TODAY(),"Vence Hoje","Vencida")))</f>
        <v>Em Aberto</v>
      </c>
      <c r="F6419" s="3">
        <f ca="1">IF(G6419=1,"-",Tabela2[[#This Row],[Dt Venc:]]-TODAY())</f>
        <v>22</v>
      </c>
      <c r="G6419" s="3"/>
      <c r="H6419" s="3"/>
    </row>
    <row r="6420" spans="1:8">
      <c r="A6420" s="3">
        <v>263296</v>
      </c>
      <c r="B6420" s="7" t="s">
        <v>43</v>
      </c>
      <c r="C6420" s="41">
        <v>742</v>
      </c>
      <c r="D6420" s="6">
        <v>45715</v>
      </c>
      <c r="E6420" s="3" t="str">
        <f ca="1">IF(Tabela2[[#This Row],[Dt Venc:]]&gt;TODAY(),"Em Aberto",IF(Tabela2[[#This Row],[D/venc]]="-","Enviado",IF(Tabela2[[#This Row],[Dt Venc:]]=TODAY(),"Vence Hoje","Vencida")))</f>
        <v>Em Aberto</v>
      </c>
      <c r="F6420" s="3">
        <f ca="1">IF(G6420=1,"-",Tabela2[[#This Row],[Dt Venc:]]-TODAY())</f>
        <v>22</v>
      </c>
      <c r="G6420" s="3"/>
      <c r="H6420" s="3"/>
    </row>
    <row r="6421" spans="1:8">
      <c r="A6421" s="3">
        <v>272505</v>
      </c>
      <c r="B6421" s="7" t="s">
        <v>43</v>
      </c>
      <c r="C6421" s="41">
        <v>1561.85</v>
      </c>
      <c r="D6421" s="6">
        <v>45715</v>
      </c>
      <c r="E6421" s="3" t="str">
        <f ca="1">IF(Tabela2[[#This Row],[Dt Venc:]]&gt;TODAY(),"Em Aberto",IF(Tabela2[[#This Row],[D/venc]]="-","Enviado",IF(Tabela2[[#This Row],[Dt Venc:]]=TODAY(),"Vence Hoje","Vencida")))</f>
        <v>Em Aberto</v>
      </c>
      <c r="F6421" s="3">
        <f ca="1">IF(G6421=1,"-",Tabela2[[#This Row],[Dt Venc:]]-TODAY())</f>
        <v>22</v>
      </c>
      <c r="G6421" s="3"/>
      <c r="H6421" s="3"/>
    </row>
    <row r="6422" spans="1:8">
      <c r="A6422" s="3">
        <v>305820</v>
      </c>
      <c r="B6422" s="7" t="s">
        <v>572</v>
      </c>
      <c r="C6422" s="41">
        <v>187.86</v>
      </c>
      <c r="D6422" s="6">
        <v>45715</v>
      </c>
      <c r="E6422" s="3" t="str">
        <f ca="1">IF(Tabela2[[#This Row],[Dt Venc:]]&gt;TODAY(),"Em Aberto",IF(Tabela2[[#This Row],[D/venc]]="-","Enviado",IF(Tabela2[[#This Row],[Dt Venc:]]=TODAY(),"Vence Hoje","Vencida")))</f>
        <v>Em Aberto</v>
      </c>
      <c r="F6422" s="3">
        <f ca="1">IF(G6422=1,"-",Tabela2[[#This Row],[Dt Venc:]]-TODAY())</f>
        <v>22</v>
      </c>
      <c r="G6422" s="3"/>
      <c r="H6422" s="3"/>
    </row>
    <row r="6423" spans="1:8">
      <c r="A6423" s="3">
        <v>305820</v>
      </c>
      <c r="B6423" s="7" t="s">
        <v>572</v>
      </c>
      <c r="C6423" s="41">
        <v>187.86</v>
      </c>
      <c r="D6423" s="6">
        <v>45715</v>
      </c>
      <c r="E6423" s="3" t="str">
        <f ca="1">IF(Tabela2[[#This Row],[Dt Venc:]]&gt;TODAY(),"Em Aberto",IF(Tabela2[[#This Row],[D/venc]]="-","Enviado",IF(Tabela2[[#This Row],[Dt Venc:]]=TODAY(),"Vence Hoje","Vencida")))</f>
        <v>Em Aberto</v>
      </c>
      <c r="F6423" s="3">
        <f ca="1">IF(G6423=1,"-",Tabela2[[#This Row],[Dt Venc:]]-TODAY())</f>
        <v>22</v>
      </c>
      <c r="G6423" s="3"/>
      <c r="H6423" s="3"/>
    </row>
    <row r="6424" spans="1:8">
      <c r="A6424" s="3">
        <v>373983</v>
      </c>
      <c r="B6424" s="7" t="s">
        <v>39</v>
      </c>
      <c r="C6424" s="41">
        <v>4319.75</v>
      </c>
      <c r="D6424" s="6">
        <v>45715</v>
      </c>
      <c r="E6424" s="3" t="str">
        <f ca="1">IF(Tabela2[[#This Row],[Dt Venc:]]&gt;TODAY(),"Em Aberto",IF(Tabela2[[#This Row],[D/venc]]="-","Enviado",IF(Tabela2[[#This Row],[Dt Venc:]]=TODAY(),"Vence Hoje","Vencida")))</f>
        <v>Em Aberto</v>
      </c>
      <c r="F6424" s="3">
        <f ca="1">IF(G6424=1,"-",Tabela2[[#This Row],[Dt Venc:]]-TODAY())</f>
        <v>22</v>
      </c>
      <c r="G6424" s="3"/>
      <c r="H6424" s="3"/>
    </row>
    <row r="6425" spans="1:8">
      <c r="A6425" s="3">
        <v>482095</v>
      </c>
      <c r="B6425" s="7" t="s">
        <v>108</v>
      </c>
      <c r="C6425" s="41">
        <v>338.59</v>
      </c>
      <c r="D6425" s="6">
        <v>45715</v>
      </c>
      <c r="E6425" s="3" t="str">
        <f ca="1">IF(Tabela2[[#This Row],[Dt Venc:]]&gt;TODAY(),"Em Aberto",IF(Tabela2[[#This Row],[D/venc]]="-","Enviado",IF(Tabela2[[#This Row],[Dt Venc:]]=TODAY(),"Vence Hoje","Vencida")))</f>
        <v>Em Aberto</v>
      </c>
      <c r="F6425" s="3">
        <f ca="1">IF(G6425=1,"-",Tabela2[[#This Row],[Dt Venc:]]-TODAY())</f>
        <v>22</v>
      </c>
      <c r="G6425" s="3"/>
      <c r="H6425" s="3"/>
    </row>
    <row r="6426" spans="1:8">
      <c r="A6426" s="3">
        <v>619652</v>
      </c>
      <c r="B6426" s="7" t="s">
        <v>66</v>
      </c>
      <c r="C6426" s="41">
        <v>1960.2</v>
      </c>
      <c r="D6426" s="6">
        <v>45715</v>
      </c>
      <c r="E6426" s="3" t="str">
        <f ca="1">IF(Tabela2[[#This Row],[Dt Venc:]]&gt;TODAY(),"Em Aberto",IF(Tabela2[[#This Row],[D/venc]]="-","Enviado",IF(Tabela2[[#This Row],[Dt Venc:]]=TODAY(),"Vence Hoje","Vencida")))</f>
        <v>Em Aberto</v>
      </c>
      <c r="F6426" s="3">
        <f ca="1">IF(G6426=1,"-",Tabela2[[#This Row],[Dt Venc:]]-TODAY())</f>
        <v>22</v>
      </c>
      <c r="G6426" s="3"/>
      <c r="H6426" s="3"/>
    </row>
    <row r="6427" spans="1:8">
      <c r="A6427" s="3">
        <v>758635</v>
      </c>
      <c r="B6427" s="7" t="s">
        <v>127</v>
      </c>
      <c r="C6427" s="41">
        <v>256.92</v>
      </c>
      <c r="D6427" s="6">
        <v>45715</v>
      </c>
      <c r="E6427" s="3" t="str">
        <f ca="1">IF(Tabela2[[#This Row],[Dt Venc:]]&gt;TODAY(),"Em Aberto",IF(Tabela2[[#This Row],[D/venc]]="-","Enviado",IF(Tabela2[[#This Row],[Dt Venc:]]=TODAY(),"Vence Hoje","Vencida")))</f>
        <v>Em Aberto</v>
      </c>
      <c r="F6427" s="3">
        <f ca="1">IF(G6427=1,"-",Tabela2[[#This Row],[Dt Venc:]]-TODAY())</f>
        <v>22</v>
      </c>
      <c r="G6427" s="3"/>
      <c r="H6427" s="3"/>
    </row>
    <row r="6428" spans="1:8">
      <c r="A6428" s="3">
        <v>1418581</v>
      </c>
      <c r="B6428" s="7" t="s">
        <v>151</v>
      </c>
      <c r="C6428" s="41">
        <v>527.52</v>
      </c>
      <c r="D6428" s="6">
        <v>45715</v>
      </c>
      <c r="E6428" s="3" t="str">
        <f ca="1">IF(Tabela2[[#This Row],[Dt Venc:]]&gt;TODAY(),"Em Aberto",IF(Tabela2[[#This Row],[D/venc]]="-","Enviado",IF(Tabela2[[#This Row],[Dt Venc:]]=TODAY(),"Vence Hoje","Vencida")))</f>
        <v>Em Aberto</v>
      </c>
      <c r="F6428" s="3">
        <f ca="1">IF(G6428=1,"-",Tabela2[[#This Row],[Dt Venc:]]-TODAY())</f>
        <v>22</v>
      </c>
      <c r="G6428" s="3"/>
      <c r="H6428" s="3"/>
    </row>
    <row r="6429" spans="1:8">
      <c r="A6429" s="3">
        <v>6446</v>
      </c>
      <c r="B6429" s="7" t="s">
        <v>47</v>
      </c>
      <c r="C6429" s="41">
        <v>1620.8</v>
      </c>
      <c r="D6429" s="6">
        <v>45715</v>
      </c>
      <c r="E6429" s="3" t="str">
        <f ca="1">IF(Tabela2[[#This Row],[Dt Venc:]]&gt;TODAY(),"Em Aberto",IF(Tabela2[[#This Row],[D/venc]]="-","Enviado",IF(Tabela2[[#This Row],[Dt Venc:]]=TODAY(),"Vence Hoje","Vencida")))</f>
        <v>Em Aberto</v>
      </c>
      <c r="F6429" s="3">
        <f ca="1">IF(G6429=1,"-",Tabela2[[#This Row],[Dt Venc:]]-TODAY())</f>
        <v>22</v>
      </c>
      <c r="G6429" s="3"/>
      <c r="H6429" s="3"/>
    </row>
    <row r="6430" spans="1:8">
      <c r="A6430" s="3">
        <v>567022</v>
      </c>
      <c r="B6430" s="7" t="s">
        <v>39</v>
      </c>
      <c r="C6430" s="41">
        <v>1377.36</v>
      </c>
      <c r="D6430" s="6">
        <v>45715</v>
      </c>
      <c r="E6430" s="3" t="str">
        <f ca="1">IF(Tabela2[[#This Row],[Dt Venc:]]&gt;TODAY(),"Em Aberto",IF(Tabela2[[#This Row],[D/venc]]="-","Enviado",IF(Tabela2[[#This Row],[Dt Venc:]]=TODAY(),"Vence Hoje","Vencida")))</f>
        <v>Em Aberto</v>
      </c>
      <c r="F6430" s="3">
        <f ca="1">IF(G6430=1,"-",Tabela2[[#This Row],[Dt Venc:]]-TODAY())</f>
        <v>22</v>
      </c>
      <c r="G6430" s="3"/>
      <c r="H6430" s="3"/>
    </row>
    <row r="6431" spans="1:8">
      <c r="A6431" s="3">
        <v>433145</v>
      </c>
      <c r="B6431" s="7" t="s">
        <v>89</v>
      </c>
      <c r="C6431" s="41">
        <v>808.56</v>
      </c>
      <c r="D6431" s="6">
        <v>45715</v>
      </c>
      <c r="E6431" s="3" t="str">
        <f ca="1">IF(Tabela2[[#This Row],[Dt Venc:]]&gt;TODAY(),"Em Aberto",IF(Tabela2[[#This Row],[D/venc]]="-","Enviado",IF(Tabela2[[#This Row],[Dt Venc:]]=TODAY(),"Vence Hoje","Vencida")))</f>
        <v>Em Aberto</v>
      </c>
      <c r="F6431" s="3">
        <f ca="1">IF(G6431=1,"-",Tabela2[[#This Row],[Dt Venc:]]-TODAY())</f>
        <v>22</v>
      </c>
      <c r="G6431" s="3"/>
      <c r="H6431" s="3"/>
    </row>
    <row r="6432" spans="1:8">
      <c r="A6432" s="3">
        <v>377786</v>
      </c>
      <c r="B6432" s="7" t="s">
        <v>39</v>
      </c>
      <c r="C6432" s="41">
        <v>632.12</v>
      </c>
      <c r="D6432" s="6">
        <v>45715</v>
      </c>
      <c r="E6432" s="3" t="str">
        <f ca="1">IF(Tabela2[[#This Row],[Dt Venc:]]&gt;TODAY(),"Em Aberto",IF(Tabela2[[#This Row],[D/venc]]="-","Enviado",IF(Tabela2[[#This Row],[Dt Venc:]]=TODAY(),"Vence Hoje","Vencida")))</f>
        <v>Em Aberto</v>
      </c>
      <c r="F6432" s="3">
        <f ca="1">IF(G6432=1,"-",Tabela2[[#This Row],[Dt Venc:]]-TODAY())</f>
        <v>22</v>
      </c>
      <c r="G6432" s="3"/>
      <c r="H6432" s="3"/>
    </row>
    <row r="6433" spans="1:8">
      <c r="A6433" s="3">
        <v>2872</v>
      </c>
      <c r="B6433" s="7" t="s">
        <v>541</v>
      </c>
      <c r="C6433" s="41">
        <v>660.7</v>
      </c>
      <c r="D6433" s="6">
        <v>45715</v>
      </c>
      <c r="E6433" s="3" t="str">
        <f ca="1">IF(Tabela2[[#This Row],[Dt Venc:]]&gt;TODAY(),"Em Aberto",IF(Tabela2[[#This Row],[D/venc]]="-","Enviado",IF(Tabela2[[#This Row],[Dt Venc:]]=TODAY(),"Vence Hoje","Vencida")))</f>
        <v>Em Aberto</v>
      </c>
      <c r="F6433" s="3">
        <f ca="1">IF(G6433=1,"-",Tabela2[[#This Row],[Dt Venc:]]-TODAY())</f>
        <v>22</v>
      </c>
      <c r="G6433" s="3"/>
      <c r="H6433" s="3"/>
    </row>
    <row r="6434" spans="1:8">
      <c r="A6434" s="3">
        <v>180642</v>
      </c>
      <c r="B6434" s="7" t="s">
        <v>211</v>
      </c>
      <c r="C6434" s="41">
        <v>726.66</v>
      </c>
      <c r="D6434" s="6">
        <v>45715</v>
      </c>
      <c r="E6434" s="3" t="str">
        <f ca="1">IF(Tabela2[[#This Row],[Dt Venc:]]&gt;TODAY(),"Em Aberto",IF(Tabela2[[#This Row],[D/venc]]="-","Enviado",IF(Tabela2[[#This Row],[Dt Venc:]]=TODAY(),"Vence Hoje","Vencida")))</f>
        <v>Em Aberto</v>
      </c>
      <c r="F6434" s="3">
        <f ca="1">IF(G6434=1,"-",Tabela2[[#This Row],[Dt Venc:]]-TODAY())</f>
        <v>22</v>
      </c>
      <c r="G6434" s="3"/>
      <c r="H6434" s="3"/>
    </row>
    <row r="6435" spans="1:8">
      <c r="A6435" s="3">
        <v>156214</v>
      </c>
      <c r="B6435" s="7" t="s">
        <v>77</v>
      </c>
      <c r="C6435" s="41">
        <v>1233.33</v>
      </c>
      <c r="D6435" s="6">
        <v>45715</v>
      </c>
      <c r="E6435" s="3" t="str">
        <f ca="1">IF(Tabela2[[#This Row],[Dt Venc:]]&gt;TODAY(),"Em Aberto",IF(Tabela2[[#This Row],[D/venc]]="-","Enviado",IF(Tabela2[[#This Row],[Dt Venc:]]=TODAY(),"Vence Hoje","Vencida")))</f>
        <v>Em Aberto</v>
      </c>
      <c r="F6435" s="3">
        <f ca="1">IF(G6435=1,"-",Tabela2[[#This Row],[Dt Venc:]]-TODAY())</f>
        <v>22</v>
      </c>
      <c r="G6435" s="3"/>
      <c r="H6435" s="3"/>
    </row>
    <row r="6436" spans="1:8">
      <c r="A6436" s="3">
        <v>567026</v>
      </c>
      <c r="B6436" s="7" t="s">
        <v>39</v>
      </c>
      <c r="C6436" s="41">
        <v>1347.79</v>
      </c>
      <c r="D6436" s="6">
        <v>45715</v>
      </c>
      <c r="E6436" s="3" t="str">
        <f ca="1">IF(Tabela2[[#This Row],[Dt Venc:]]&gt;TODAY(),"Em Aberto",IF(Tabela2[[#This Row],[D/venc]]="-","Enviado",IF(Tabela2[[#This Row],[Dt Venc:]]=TODAY(),"Vence Hoje","Vencida")))</f>
        <v>Em Aberto</v>
      </c>
      <c r="F6436" s="3">
        <f ca="1">IF(G6436=1,"-",Tabela2[[#This Row],[Dt Venc:]]-TODAY())</f>
        <v>22</v>
      </c>
      <c r="G6436" s="3"/>
      <c r="H6436" s="3"/>
    </row>
    <row r="6437" spans="1:8">
      <c r="A6437" s="3">
        <v>225860</v>
      </c>
      <c r="B6437" s="7" t="s">
        <v>39</v>
      </c>
      <c r="C6437" s="41">
        <v>35775</v>
      </c>
      <c r="D6437" s="6">
        <v>45715</v>
      </c>
      <c r="E6437" s="3" t="str">
        <f ca="1">IF(Tabela2[[#This Row],[Dt Venc:]]&gt;TODAY(),"Em Aberto",IF(Tabela2[[#This Row],[D/venc]]="-","Enviado",IF(Tabela2[[#This Row],[Dt Venc:]]=TODAY(),"Vence Hoje","Vencida")))</f>
        <v>Em Aberto</v>
      </c>
      <c r="F6437" s="3">
        <f ca="1">IF(G6437=1,"-",Tabela2[[#This Row],[Dt Venc:]]-TODAY())</f>
        <v>22</v>
      </c>
      <c r="G6437" s="3"/>
      <c r="H6437" s="3"/>
    </row>
    <row r="6438" spans="1:8">
      <c r="A6438" s="3">
        <v>9216</v>
      </c>
      <c r="B6438" s="7" t="s">
        <v>43</v>
      </c>
      <c r="C6438" s="41">
        <v>113.76</v>
      </c>
      <c r="D6438" s="6">
        <v>45715</v>
      </c>
      <c r="E6438" s="3" t="str">
        <f ca="1">IF(Tabela2[[#This Row],[Dt Venc:]]&gt;TODAY(),"Em Aberto",IF(Tabela2[[#This Row],[D/venc]]="-","Enviado",IF(Tabela2[[#This Row],[Dt Venc:]]=TODAY(),"Vence Hoje","Vencida")))</f>
        <v>Em Aberto</v>
      </c>
      <c r="F6438" s="3">
        <f ca="1">IF(G6438=1,"-",Tabela2[[#This Row],[Dt Venc:]]-TODAY())</f>
        <v>22</v>
      </c>
      <c r="G6438" s="3"/>
      <c r="H6438" s="3"/>
    </row>
    <row r="6439" spans="1:8">
      <c r="A6439" s="3">
        <v>17010</v>
      </c>
      <c r="B6439" s="7" t="s">
        <v>595</v>
      </c>
      <c r="C6439" s="41">
        <v>592</v>
      </c>
      <c r="D6439" s="6">
        <v>45715</v>
      </c>
      <c r="E6439" s="3" t="str">
        <f ca="1">IF(Tabela2[[#This Row],[Dt Venc:]]&gt;TODAY(),"Em Aberto",IF(Tabela2[[#This Row],[D/venc]]="-","Enviado",IF(Tabela2[[#This Row],[Dt Venc:]]=TODAY(),"Vence Hoje","Vencida")))</f>
        <v>Em Aberto</v>
      </c>
      <c r="F6439" s="3">
        <f ca="1">IF(G6439=1,"-",Tabela2[[#This Row],[Dt Venc:]]-TODAY())</f>
        <v>22</v>
      </c>
      <c r="G6439" s="3"/>
      <c r="H6439" s="3"/>
    </row>
    <row r="6440" spans="1:8">
      <c r="A6440" s="3">
        <v>844338</v>
      </c>
      <c r="B6440" s="7" t="s">
        <v>725</v>
      </c>
      <c r="C6440" s="41">
        <v>1077.9000000000001</v>
      </c>
      <c r="D6440" s="6">
        <v>45715</v>
      </c>
      <c r="E6440" s="3" t="str">
        <f ca="1">IF(Tabela2[[#This Row],[Dt Venc:]]&gt;TODAY(),"Em Aberto",IF(Tabela2[[#This Row],[D/venc]]="-","Enviado",IF(Tabela2[[#This Row],[Dt Venc:]]=TODAY(),"Vence Hoje","Vencida")))</f>
        <v>Em Aberto</v>
      </c>
      <c r="F6440" s="3">
        <f ca="1">IF(G6440=1,"-",Tabela2[[#This Row],[Dt Venc:]]-TODAY())</f>
        <v>22</v>
      </c>
      <c r="G6440" s="3"/>
      <c r="H6440" s="3"/>
    </row>
    <row r="6441" spans="1:8">
      <c r="A6441" s="3">
        <v>75050</v>
      </c>
      <c r="B6441" s="7" t="s">
        <v>573</v>
      </c>
      <c r="C6441" s="41">
        <v>1078</v>
      </c>
      <c r="D6441" s="6">
        <v>45715</v>
      </c>
      <c r="E6441" s="3" t="str">
        <f ca="1">IF(Tabela2[[#This Row],[Dt Venc:]]&gt;TODAY(),"Em Aberto",IF(Tabela2[[#This Row],[D/venc]]="-","Enviado",IF(Tabela2[[#This Row],[Dt Venc:]]=TODAY(),"Vence Hoje","Vencida")))</f>
        <v>Em Aberto</v>
      </c>
      <c r="F6441" s="3">
        <f ca="1">IF(G6441=1,"-",Tabela2[[#This Row],[Dt Venc:]]-TODAY())</f>
        <v>22</v>
      </c>
      <c r="G6441" s="3"/>
      <c r="H6441" s="3"/>
    </row>
    <row r="6442" spans="1:8">
      <c r="A6442" s="3">
        <v>377889</v>
      </c>
      <c r="B6442" s="7" t="s">
        <v>187</v>
      </c>
      <c r="C6442" s="41">
        <v>1555.42</v>
      </c>
      <c r="D6442" s="6">
        <v>45715</v>
      </c>
      <c r="E6442" s="3" t="str">
        <f ca="1">IF(Tabela2[[#This Row],[Dt Venc:]]&gt;TODAY(),"Em Aberto",IF(Tabela2[[#This Row],[D/venc]]="-","Enviado",IF(Tabela2[[#This Row],[Dt Venc:]]=TODAY(),"Vence Hoje","Vencida")))</f>
        <v>Em Aberto</v>
      </c>
      <c r="F6442" s="3">
        <f ca="1">IF(G6442=1,"-",Tabela2[[#This Row],[Dt Venc:]]-TODAY())</f>
        <v>22</v>
      </c>
      <c r="G6442" s="3"/>
      <c r="H6442" s="3"/>
    </row>
    <row r="6443" spans="1:8">
      <c r="A6443" s="3">
        <v>297</v>
      </c>
      <c r="B6443" s="7" t="s">
        <v>580</v>
      </c>
      <c r="C6443" s="41">
        <v>925</v>
      </c>
      <c r="D6443" s="6">
        <v>45716</v>
      </c>
      <c r="E6443" s="3" t="str">
        <f ca="1">IF(Tabela2[[#This Row],[Dt Venc:]]&gt;TODAY(),"Em Aberto",IF(Tabela2[[#This Row],[D/venc]]="-","Enviado",IF(Tabela2[[#This Row],[Dt Venc:]]=TODAY(),"Vence Hoje","Vencida")))</f>
        <v>Em Aberto</v>
      </c>
      <c r="F6443" s="3">
        <f ca="1">IF(G6443=1,"-",Tabela2[[#This Row],[Dt Venc:]]-TODAY())</f>
        <v>23</v>
      </c>
      <c r="G6443" s="3"/>
      <c r="H6443" s="3"/>
    </row>
    <row r="6444" spans="1:8">
      <c r="A6444" s="3">
        <v>1289</v>
      </c>
      <c r="B6444" s="7" t="s">
        <v>474</v>
      </c>
      <c r="C6444" s="41">
        <v>1340</v>
      </c>
      <c r="D6444" s="6">
        <v>45716</v>
      </c>
      <c r="E6444" s="3" t="str">
        <f ca="1">IF(Tabela2[[#This Row],[Dt Venc:]]&gt;TODAY(),"Em Aberto",IF(Tabela2[[#This Row],[D/venc]]="-","Enviado",IF(Tabela2[[#This Row],[Dt Venc:]]=TODAY(),"Vence Hoje","Vencida")))</f>
        <v>Em Aberto</v>
      </c>
      <c r="F6444" s="3">
        <f ca="1">IF(G6444=1,"-",Tabela2[[#This Row],[Dt Venc:]]-TODAY())</f>
        <v>23</v>
      </c>
      <c r="G6444" s="3"/>
      <c r="H6444" s="3"/>
    </row>
    <row r="6445" spans="1:8">
      <c r="A6445" s="3">
        <v>2359</v>
      </c>
      <c r="B6445" s="7" t="s">
        <v>45</v>
      </c>
      <c r="C6445" s="41">
        <v>760</v>
      </c>
      <c r="D6445" s="6">
        <v>45716</v>
      </c>
      <c r="E6445" s="3" t="str">
        <f ca="1">IF(Tabela2[[#This Row],[Dt Venc:]]&gt;TODAY(),"Em Aberto",IF(Tabela2[[#This Row],[D/venc]]="-","Enviado",IF(Tabela2[[#This Row],[Dt Venc:]]=TODAY(),"Vence Hoje","Vencida")))</f>
        <v>Em Aberto</v>
      </c>
      <c r="F6445" s="3">
        <f ca="1">IF(G6445=1,"-",Tabela2[[#This Row],[Dt Venc:]]-TODAY())</f>
        <v>23</v>
      </c>
      <c r="G6445" s="3"/>
      <c r="H6445" s="3"/>
    </row>
    <row r="6446" spans="1:8">
      <c r="A6446" s="3">
        <v>2925</v>
      </c>
      <c r="B6446" s="7" t="s">
        <v>301</v>
      </c>
      <c r="C6446" s="41">
        <v>2440</v>
      </c>
      <c r="D6446" s="6">
        <v>45716</v>
      </c>
      <c r="E6446" s="3" t="str">
        <f ca="1">IF(Tabela2[[#This Row],[Dt Venc:]]&gt;TODAY(),"Em Aberto",IF(Tabela2[[#This Row],[D/venc]]="-","Enviado",IF(Tabela2[[#This Row],[Dt Venc:]]=TODAY(),"Vence Hoje","Vencida")))</f>
        <v>Em Aberto</v>
      </c>
      <c r="F6446" s="3">
        <f ca="1">IF(G6446=1,"-",Tabela2[[#This Row],[Dt Venc:]]-TODAY())</f>
        <v>23</v>
      </c>
      <c r="G6446" s="3"/>
      <c r="H6446" s="3"/>
    </row>
    <row r="6447" spans="1:8">
      <c r="A6447" s="3">
        <v>5088</v>
      </c>
      <c r="B6447" s="7" t="s">
        <v>463</v>
      </c>
      <c r="C6447" s="41">
        <v>2227.85</v>
      </c>
      <c r="D6447" s="6">
        <v>45716</v>
      </c>
      <c r="E6447" s="3" t="str">
        <f ca="1">IF(Tabela2[[#This Row],[Dt Venc:]]&gt;TODAY(),"Em Aberto",IF(Tabela2[[#This Row],[D/venc]]="-","Enviado",IF(Tabela2[[#This Row],[Dt Venc:]]=TODAY(),"Vence Hoje","Vencida")))</f>
        <v>Em Aberto</v>
      </c>
      <c r="F6447" s="3">
        <f ca="1">IF(G6447=1,"-",Tabela2[[#This Row],[Dt Venc:]]-TODAY())</f>
        <v>23</v>
      </c>
      <c r="G6447" s="3"/>
      <c r="H6447" s="3"/>
    </row>
    <row r="6448" spans="1:8">
      <c r="A6448" s="3">
        <v>5851</v>
      </c>
      <c r="B6448" s="7" t="s">
        <v>640</v>
      </c>
      <c r="C6448" s="41">
        <v>1905.7</v>
      </c>
      <c r="D6448" s="6">
        <v>45716</v>
      </c>
      <c r="E6448" s="3" t="str">
        <f ca="1">IF(Tabela2[[#This Row],[Dt Venc:]]&gt;TODAY(),"Em Aberto",IF(Tabela2[[#This Row],[D/venc]]="-","Enviado",IF(Tabela2[[#This Row],[Dt Venc:]]=TODAY(),"Vence Hoje","Vencida")))</f>
        <v>Em Aberto</v>
      </c>
      <c r="F6448" s="3">
        <f ca="1">IF(G6448=1,"-",Tabela2[[#This Row],[Dt Venc:]]-TODAY())</f>
        <v>23</v>
      </c>
      <c r="G6448" s="3"/>
      <c r="H6448" s="3"/>
    </row>
    <row r="6449" spans="1:8">
      <c r="A6449" s="3">
        <v>5851</v>
      </c>
      <c r="B6449" s="7" t="s">
        <v>685</v>
      </c>
      <c r="C6449" s="41">
        <v>1905.7</v>
      </c>
      <c r="D6449" s="6">
        <v>45716</v>
      </c>
      <c r="E6449" s="3" t="str">
        <f ca="1">IF(Tabela2[[#This Row],[Dt Venc:]]&gt;TODAY(),"Em Aberto",IF(Tabela2[[#This Row],[D/venc]]="-","Enviado",IF(Tabela2[[#This Row],[Dt Venc:]]=TODAY(),"Vence Hoje","Vencida")))</f>
        <v>Em Aberto</v>
      </c>
      <c r="F6449" s="3">
        <f ca="1">IF(G6449=1,"-",Tabela2[[#This Row],[Dt Venc:]]-TODAY())</f>
        <v>23</v>
      </c>
      <c r="G6449" s="3"/>
      <c r="H6449" s="3"/>
    </row>
    <row r="6450" spans="1:8">
      <c r="A6450" s="3">
        <v>5976</v>
      </c>
      <c r="B6450" s="7" t="s">
        <v>726</v>
      </c>
      <c r="C6450" s="41">
        <v>355</v>
      </c>
      <c r="D6450" s="6">
        <v>45716</v>
      </c>
      <c r="E6450" s="3" t="str">
        <f ca="1">IF(Tabela2[[#This Row],[Dt Venc:]]&gt;TODAY(),"Em Aberto",IF(Tabela2[[#This Row],[D/venc]]="-","Enviado",IF(Tabela2[[#This Row],[Dt Venc:]]=TODAY(),"Vence Hoje","Vencida")))</f>
        <v>Em Aberto</v>
      </c>
      <c r="F6450" s="3">
        <f ca="1">IF(G6450=1,"-",Tabela2[[#This Row],[Dt Venc:]]-TODAY())</f>
        <v>23</v>
      </c>
      <c r="G6450" s="3"/>
      <c r="H6450" s="3"/>
    </row>
    <row r="6451" spans="1:8">
      <c r="A6451" s="3">
        <v>6326</v>
      </c>
      <c r="B6451" s="7" t="s">
        <v>47</v>
      </c>
      <c r="C6451" s="41">
        <v>1705</v>
      </c>
      <c r="D6451" s="6">
        <v>45716</v>
      </c>
      <c r="E6451" s="3" t="str">
        <f ca="1">IF(Tabela2[[#This Row],[Dt Venc:]]&gt;TODAY(),"Em Aberto",IF(Tabela2[[#This Row],[D/venc]]="-","Enviado",IF(Tabela2[[#This Row],[Dt Venc:]]=TODAY(),"Vence Hoje","Vencida")))</f>
        <v>Em Aberto</v>
      </c>
      <c r="F6451" s="3">
        <f ca="1">IF(G6451=1,"-",Tabela2[[#This Row],[Dt Venc:]]-TODAY())</f>
        <v>23</v>
      </c>
      <c r="G6451" s="3"/>
      <c r="H6451" s="3"/>
    </row>
    <row r="6452" spans="1:8">
      <c r="A6452" s="3">
        <v>11184</v>
      </c>
      <c r="B6452" s="7" t="s">
        <v>33</v>
      </c>
      <c r="C6452" s="41">
        <v>400</v>
      </c>
      <c r="D6452" s="6">
        <v>45716</v>
      </c>
      <c r="E6452" s="3" t="str">
        <f ca="1">IF(Tabela2[[#This Row],[Dt Venc:]]&gt;TODAY(),"Em Aberto",IF(Tabela2[[#This Row],[D/venc]]="-","Enviado",IF(Tabela2[[#This Row],[Dt Venc:]]=TODAY(),"Vence Hoje","Vencida")))</f>
        <v>Em Aberto</v>
      </c>
      <c r="F6452" s="3">
        <f ca="1">IF(G6452=1,"-",Tabela2[[#This Row],[Dt Venc:]]-TODAY())</f>
        <v>23</v>
      </c>
      <c r="G6452" s="3"/>
      <c r="H6452" s="3"/>
    </row>
    <row r="6453" spans="1:8">
      <c r="A6453" s="3">
        <v>11186</v>
      </c>
      <c r="B6453" s="7" t="s">
        <v>33</v>
      </c>
      <c r="C6453" s="41">
        <v>1823.3</v>
      </c>
      <c r="D6453" s="6">
        <v>45716</v>
      </c>
      <c r="E6453" s="3" t="str">
        <f ca="1">IF(Tabela2[[#This Row],[Dt Venc:]]&gt;TODAY(),"Em Aberto",IF(Tabela2[[#This Row],[D/venc]]="-","Enviado",IF(Tabela2[[#This Row],[Dt Venc:]]=TODAY(),"Vence Hoje","Vencida")))</f>
        <v>Em Aberto</v>
      </c>
      <c r="F6453" s="3">
        <f ca="1">IF(G6453=1,"-",Tabela2[[#This Row],[Dt Venc:]]-TODAY())</f>
        <v>23</v>
      </c>
      <c r="G6453" s="3"/>
      <c r="H6453" s="3"/>
    </row>
    <row r="6454" spans="1:8">
      <c r="A6454" s="3">
        <v>11291</v>
      </c>
      <c r="B6454" s="7" t="s">
        <v>33</v>
      </c>
      <c r="C6454" s="41">
        <v>726.66</v>
      </c>
      <c r="D6454" s="6">
        <v>45716</v>
      </c>
      <c r="E6454" s="3" t="str">
        <f ca="1">IF(Tabela2[[#This Row],[Dt Venc:]]&gt;TODAY(),"Em Aberto",IF(Tabela2[[#This Row],[D/venc]]="-","Enviado",IF(Tabela2[[#This Row],[Dt Venc:]]=TODAY(),"Vence Hoje","Vencida")))</f>
        <v>Em Aberto</v>
      </c>
      <c r="F6454" s="3">
        <f ca="1">IF(G6454=1,"-",Tabela2[[#This Row],[Dt Venc:]]-TODAY())</f>
        <v>23</v>
      </c>
      <c r="G6454" s="3"/>
      <c r="H6454" s="3"/>
    </row>
    <row r="6455" spans="1:8">
      <c r="A6455" s="3">
        <v>11681</v>
      </c>
      <c r="B6455" s="7" t="s">
        <v>82</v>
      </c>
      <c r="C6455" s="87" t="s">
        <v>30</v>
      </c>
      <c r="D6455" s="6">
        <v>45716</v>
      </c>
      <c r="E6455" s="3" t="str">
        <f ca="1">IF(Tabela2[[#This Row],[Dt Venc:]]&gt;TODAY(),"Em Aberto",IF(Tabela2[[#This Row],[D/venc]]="-","Enviado",IF(Tabela2[[#This Row],[Dt Venc:]]=TODAY(),"Vence Hoje","Vencida")))</f>
        <v>Em Aberto</v>
      </c>
      <c r="F6455" s="3">
        <f ca="1">IF(G6455=1,"-",Tabela2[[#This Row],[Dt Venc:]]-TODAY())</f>
        <v>23</v>
      </c>
      <c r="G6455" s="3"/>
      <c r="H6455" s="3"/>
    </row>
    <row r="6456" spans="1:8">
      <c r="A6456" s="3">
        <v>15336</v>
      </c>
      <c r="B6456" s="7" t="s">
        <v>99</v>
      </c>
      <c r="C6456" s="41">
        <v>743.75</v>
      </c>
      <c r="D6456" s="6">
        <v>45716</v>
      </c>
      <c r="E6456" s="3" t="str">
        <f ca="1">IF(Tabela2[[#This Row],[Dt Venc:]]&gt;TODAY(),"Em Aberto",IF(Tabela2[[#This Row],[D/venc]]="-","Enviado",IF(Tabela2[[#This Row],[Dt Venc:]]=TODAY(),"Vence Hoje","Vencida")))</f>
        <v>Em Aberto</v>
      </c>
      <c r="F6456" s="3">
        <f ca="1">IF(G6456=1,"-",Tabela2[[#This Row],[Dt Venc:]]-TODAY())</f>
        <v>23</v>
      </c>
      <c r="G6456" s="3"/>
      <c r="H6456" s="3"/>
    </row>
    <row r="6457" spans="1:8">
      <c r="A6457" s="3">
        <v>15359</v>
      </c>
      <c r="B6457" s="7" t="s">
        <v>44</v>
      </c>
      <c r="C6457" s="41">
        <v>566.66</v>
      </c>
      <c r="D6457" s="6">
        <v>45716</v>
      </c>
      <c r="E6457" s="3" t="str">
        <f ca="1">IF(Tabela2[[#This Row],[Dt Venc:]]&gt;TODAY(),"Em Aberto",IF(Tabela2[[#This Row],[D/venc]]="-","Enviado",IF(Tabela2[[#This Row],[Dt Venc:]]=TODAY(),"Vence Hoje","Vencida")))</f>
        <v>Em Aberto</v>
      </c>
      <c r="F6457" s="3">
        <f ca="1">IF(G6457=1,"-",Tabela2[[#This Row],[Dt Venc:]]-TODAY())</f>
        <v>23</v>
      </c>
      <c r="G6457" s="3"/>
      <c r="H6457" s="3"/>
    </row>
    <row r="6458" spans="1:8">
      <c r="A6458" s="3">
        <v>30152</v>
      </c>
      <c r="B6458" s="7" t="s">
        <v>97</v>
      </c>
      <c r="C6458" s="42">
        <v>3360</v>
      </c>
      <c r="D6458" s="6">
        <v>45716</v>
      </c>
      <c r="E6458" s="3" t="str">
        <f ca="1">IF(Tabela2[[#This Row],[Dt Venc:]]&gt;TODAY(),"Em Aberto",IF(Tabela2[[#This Row],[D/venc]]="-","Enviado",IF(Tabela2[[#This Row],[Dt Venc:]]=TODAY(),"Vence Hoje","Vencida")))</f>
        <v>Em Aberto</v>
      </c>
      <c r="F6458" s="3">
        <f ca="1">IF(G6458=1,"-",Tabela2[[#This Row],[Dt Venc:]]-TODAY())</f>
        <v>23</v>
      </c>
      <c r="G6458" s="3"/>
      <c r="H6458" s="3"/>
    </row>
    <row r="6459" spans="1:8">
      <c r="A6459" s="3">
        <v>30839</v>
      </c>
      <c r="B6459" s="7" t="s">
        <v>97</v>
      </c>
      <c r="C6459" s="41">
        <v>2395</v>
      </c>
      <c r="D6459" s="6">
        <v>45716</v>
      </c>
      <c r="E6459" s="3" t="str">
        <f ca="1">IF(Tabela2[[#This Row],[Dt Venc:]]&gt;TODAY(),"Em Aberto",IF(Tabela2[[#This Row],[D/venc]]="-","Enviado",IF(Tabela2[[#This Row],[Dt Venc:]]=TODAY(),"Vence Hoje","Vencida")))</f>
        <v>Em Aberto</v>
      </c>
      <c r="F6459" s="3">
        <f ca="1">IF(G6459=1,"-",Tabela2[[#This Row],[Dt Venc:]]-TODAY())</f>
        <v>23</v>
      </c>
      <c r="G6459" s="3"/>
      <c r="H6459" s="3"/>
    </row>
    <row r="6460" spans="1:8">
      <c r="A6460" s="3">
        <v>31064</v>
      </c>
      <c r="B6460" s="7" t="s">
        <v>97</v>
      </c>
      <c r="C6460" s="41">
        <v>1711</v>
      </c>
      <c r="D6460" s="6">
        <v>45716</v>
      </c>
      <c r="E6460" s="3" t="str">
        <f ca="1">IF(Tabela2[[#This Row],[Dt Venc:]]&gt;TODAY(),"Em Aberto",IF(Tabela2[[#This Row],[D/venc]]="-","Enviado",IF(Tabela2[[#This Row],[Dt Venc:]]=TODAY(),"Vence Hoje","Vencida")))</f>
        <v>Em Aberto</v>
      </c>
      <c r="F6460" s="3">
        <f ca="1">IF(G6460=1,"-",Tabela2[[#This Row],[Dt Venc:]]-TODAY())</f>
        <v>23</v>
      </c>
      <c r="G6460" s="3"/>
      <c r="H6460" s="3"/>
    </row>
    <row r="6461" spans="1:8">
      <c r="A6461" s="3">
        <v>31398</v>
      </c>
      <c r="B6461" s="7" t="s">
        <v>97</v>
      </c>
      <c r="C6461" s="41">
        <v>2055</v>
      </c>
      <c r="D6461" s="6">
        <v>45716</v>
      </c>
      <c r="E6461" s="3" t="str">
        <f ca="1">IF(Tabela2[[#This Row],[Dt Venc:]]&gt;TODAY(),"Em Aberto",IF(Tabela2[[#This Row],[D/venc]]="-","Enviado",IF(Tabela2[[#This Row],[Dt Venc:]]=TODAY(),"Vence Hoje","Vencida")))</f>
        <v>Em Aberto</v>
      </c>
      <c r="F6461" s="3">
        <f ca="1">IF(G6461=1,"-",Tabela2[[#This Row],[Dt Venc:]]-TODAY())</f>
        <v>23</v>
      </c>
      <c r="G6461" s="3"/>
      <c r="H6461" s="3"/>
    </row>
    <row r="6462" spans="1:8">
      <c r="A6462" s="3">
        <v>35664</v>
      </c>
      <c r="B6462" s="7" t="s">
        <v>70</v>
      </c>
      <c r="C6462" s="41">
        <v>460.29</v>
      </c>
      <c r="D6462" s="6">
        <v>45716</v>
      </c>
      <c r="E6462" s="3" t="str">
        <f ca="1">IF(Tabela2[[#This Row],[Dt Venc:]]&gt;TODAY(),"Em Aberto",IF(Tabela2[[#This Row],[D/venc]]="-","Enviado",IF(Tabela2[[#This Row],[Dt Venc:]]=TODAY(),"Vence Hoje","Vencida")))</f>
        <v>Em Aberto</v>
      </c>
      <c r="F6462" s="3">
        <f ca="1">IF(G6462=1,"-",Tabela2[[#This Row],[Dt Venc:]]-TODAY())</f>
        <v>23</v>
      </c>
      <c r="G6462" s="3"/>
      <c r="H6462" s="3"/>
    </row>
    <row r="6463" spans="1:8">
      <c r="A6463" s="3">
        <v>178915</v>
      </c>
      <c r="B6463" s="7" t="s">
        <v>211</v>
      </c>
      <c r="C6463" s="41">
        <v>1600</v>
      </c>
      <c r="D6463" s="6">
        <v>45716</v>
      </c>
      <c r="E6463" s="3" t="str">
        <f ca="1">IF(Tabela2[[#This Row],[Dt Venc:]]&gt;TODAY(),"Em Aberto",IF(Tabela2[[#This Row],[D/venc]]="-","Enviado",IF(Tabela2[[#This Row],[Dt Venc:]]=TODAY(),"Vence Hoje","Vencida")))</f>
        <v>Em Aberto</v>
      </c>
      <c r="F6463" s="3">
        <f ca="1">IF(G6463=1,"-",Tabela2[[#This Row],[Dt Venc:]]-TODAY())</f>
        <v>23</v>
      </c>
      <c r="G6463" s="3"/>
      <c r="H6463" s="3"/>
    </row>
    <row r="6464" spans="1:8">
      <c r="A6464" s="3">
        <v>224188</v>
      </c>
      <c r="B6464" s="7" t="s">
        <v>127</v>
      </c>
      <c r="C6464" s="41">
        <v>2201.34</v>
      </c>
      <c r="D6464" s="6">
        <v>45716</v>
      </c>
      <c r="E6464" s="3" t="str">
        <f ca="1">IF(Tabela2[[#This Row],[Dt Venc:]]&gt;TODAY(),"Em Aberto",IF(Tabela2[[#This Row],[D/venc]]="-","Enviado",IF(Tabela2[[#This Row],[Dt Venc:]]=TODAY(),"Vence Hoje","Vencida")))</f>
        <v>Em Aberto</v>
      </c>
      <c r="F6464" s="3">
        <f ca="1">IF(G6464=1,"-",Tabela2[[#This Row],[Dt Venc:]]-TODAY())</f>
        <v>23</v>
      </c>
      <c r="G6464" s="3"/>
      <c r="H6464" s="3"/>
    </row>
    <row r="6465" spans="1:8">
      <c r="A6465" s="3">
        <v>259813</v>
      </c>
      <c r="B6465" s="7" t="s">
        <v>49</v>
      </c>
      <c r="C6465" s="41">
        <v>1373.34</v>
      </c>
      <c r="D6465" s="6">
        <v>45716</v>
      </c>
      <c r="E6465" s="3" t="str">
        <f ca="1">IF(Tabela2[[#This Row],[Dt Venc:]]&gt;TODAY(),"Em Aberto",IF(Tabela2[[#This Row],[D/venc]]="-","Enviado",IF(Tabela2[[#This Row],[Dt Venc:]]=TODAY(),"Vence Hoje","Vencida")))</f>
        <v>Em Aberto</v>
      </c>
      <c r="F6465" s="3">
        <f ca="1">IF(G6465=1,"-",Tabela2[[#This Row],[Dt Venc:]]-TODAY())</f>
        <v>23</v>
      </c>
      <c r="G6465" s="3"/>
      <c r="H6465" s="3"/>
    </row>
    <row r="6466" spans="1:8">
      <c r="A6466" s="3">
        <v>260117</v>
      </c>
      <c r="B6466" s="7" t="s">
        <v>49</v>
      </c>
      <c r="C6466" s="41">
        <v>1030</v>
      </c>
      <c r="D6466" s="6">
        <v>45716</v>
      </c>
      <c r="E6466" s="3" t="str">
        <f ca="1">IF(Tabela2[[#This Row],[Dt Venc:]]&gt;TODAY(),"Em Aberto",IF(Tabela2[[#This Row],[D/venc]]="-","Enviado",IF(Tabela2[[#This Row],[Dt Venc:]]=TODAY(),"Vence Hoje","Vencida")))</f>
        <v>Em Aberto</v>
      </c>
      <c r="F6466" s="3">
        <f ca="1">IF(G6466=1,"-",Tabela2[[#This Row],[Dt Venc:]]-TODAY())</f>
        <v>23</v>
      </c>
      <c r="G6466" s="3"/>
      <c r="H6466" s="3"/>
    </row>
    <row r="6467" spans="1:8">
      <c r="A6467" s="3">
        <v>263538</v>
      </c>
      <c r="B6467" s="7" t="s">
        <v>43</v>
      </c>
      <c r="C6467" s="41">
        <v>583.46</v>
      </c>
      <c r="D6467" s="6">
        <v>45716</v>
      </c>
      <c r="E6467" s="3" t="str">
        <f ca="1">IF(Tabela2[[#This Row],[Dt Venc:]]&gt;TODAY(),"Em Aberto",IF(Tabela2[[#This Row],[D/venc]]="-","Enviado",IF(Tabela2[[#This Row],[Dt Venc:]]=TODAY(),"Vence Hoje","Vencida")))</f>
        <v>Em Aberto</v>
      </c>
      <c r="F6467" s="3">
        <f ca="1">IF(G6467=1,"-",Tabela2[[#This Row],[Dt Venc:]]-TODAY())</f>
        <v>23</v>
      </c>
      <c r="G6467" s="3"/>
      <c r="H6467" s="3"/>
    </row>
    <row r="6468" spans="1:8">
      <c r="A6468" s="3">
        <v>273214</v>
      </c>
      <c r="B6468" s="7" t="s">
        <v>43</v>
      </c>
      <c r="C6468" s="41">
        <v>1441.06</v>
      </c>
      <c r="D6468" s="6">
        <v>45716</v>
      </c>
      <c r="E6468" s="3" t="str">
        <f ca="1">IF(Tabela2[[#This Row],[Dt Venc:]]&gt;TODAY(),"Em Aberto",IF(Tabela2[[#This Row],[D/venc]]="-","Enviado",IF(Tabela2[[#This Row],[Dt Venc:]]=TODAY(),"Vence Hoje","Vencida")))</f>
        <v>Em Aberto</v>
      </c>
      <c r="F6468" s="3">
        <f ca="1">IF(G6468=1,"-",Tabela2[[#This Row],[Dt Venc:]]-TODAY())</f>
        <v>23</v>
      </c>
      <c r="G6468" s="3"/>
      <c r="H6468" s="3"/>
    </row>
    <row r="6469" spans="1:8">
      <c r="A6469" s="3">
        <v>449598</v>
      </c>
      <c r="B6469" s="7" t="s">
        <v>661</v>
      </c>
      <c r="C6469" s="41">
        <v>844.4</v>
      </c>
      <c r="D6469" s="6">
        <v>45716</v>
      </c>
      <c r="E6469" s="3" t="str">
        <f ca="1">IF(Tabela2[[#This Row],[Dt Venc:]]&gt;TODAY(),"Em Aberto",IF(Tabela2[[#This Row],[D/venc]]="-","Enviado",IF(Tabela2[[#This Row],[Dt Venc:]]=TODAY(),"Vence Hoje","Vencida")))</f>
        <v>Em Aberto</v>
      </c>
      <c r="F6469" s="3">
        <f ca="1">IF(G6469=1,"-",Tabela2[[#This Row],[Dt Venc:]]-TODAY())</f>
        <v>23</v>
      </c>
      <c r="G6469" s="3"/>
      <c r="H6469" s="3"/>
    </row>
    <row r="6470" spans="1:8">
      <c r="A6470" s="3">
        <v>587914</v>
      </c>
      <c r="B6470" s="7" t="s">
        <v>79</v>
      </c>
      <c r="C6470" s="41">
        <v>1197.6600000000001</v>
      </c>
      <c r="D6470" s="6">
        <v>45716</v>
      </c>
      <c r="E6470" s="3" t="str">
        <f ca="1">IF(Tabela2[[#This Row],[Dt Venc:]]&gt;TODAY(),"Em Aberto",IF(Tabela2[[#This Row],[D/venc]]="-","Enviado",IF(Tabela2[[#This Row],[Dt Venc:]]=TODAY(),"Vence Hoje","Vencida")))</f>
        <v>Em Aberto</v>
      </c>
      <c r="F6470" s="3">
        <f ca="1">IF(G6470=1,"-",Tabela2[[#This Row],[Dt Venc:]]-TODAY())</f>
        <v>23</v>
      </c>
      <c r="G6470" s="3"/>
      <c r="H6470" s="3"/>
    </row>
    <row r="6471" spans="1:8">
      <c r="A6471" s="3">
        <v>767402</v>
      </c>
      <c r="B6471" s="7" t="s">
        <v>79</v>
      </c>
      <c r="C6471" s="41">
        <v>3433.77</v>
      </c>
      <c r="D6471" s="6">
        <v>45716</v>
      </c>
      <c r="E6471" s="3" t="str">
        <f ca="1">IF(Tabela2[[#This Row],[Dt Venc:]]&gt;TODAY(),"Em Aberto",IF(Tabela2[[#This Row],[D/venc]]="-","Enviado",IF(Tabela2[[#This Row],[Dt Venc:]]=TODAY(),"Vence Hoje","Vencida")))</f>
        <v>Em Aberto</v>
      </c>
      <c r="F6471" s="3">
        <f ca="1">IF(G6471=1,"-",Tabela2[[#This Row],[Dt Venc:]]-TODAY())</f>
        <v>23</v>
      </c>
      <c r="G6471" s="3"/>
      <c r="H6471" s="3"/>
    </row>
    <row r="6472" spans="1:8">
      <c r="A6472" s="3">
        <v>912180</v>
      </c>
      <c r="B6472" s="7" t="s">
        <v>375</v>
      </c>
      <c r="C6472" s="99" t="s">
        <v>32</v>
      </c>
      <c r="D6472" s="6">
        <v>45716</v>
      </c>
      <c r="E6472" s="3" t="str">
        <f ca="1">IF(Tabela2[[#This Row],[Dt Venc:]]&gt;TODAY(),"Em Aberto",IF(Tabela2[[#This Row],[D/venc]]="-","Enviado",IF(Tabela2[[#This Row],[Dt Venc:]]=TODAY(),"Vence Hoje","Vencida")))</f>
        <v>Em Aberto</v>
      </c>
      <c r="F6472" s="3">
        <f ca="1">IF(G6472=1,"-",Tabela2[[#This Row],[Dt Venc:]]-TODAY())</f>
        <v>23</v>
      </c>
      <c r="G6472" s="3"/>
      <c r="H6472" s="3"/>
    </row>
    <row r="6473" spans="1:8">
      <c r="A6473" s="3">
        <v>1266178</v>
      </c>
      <c r="B6473" s="7" t="s">
        <v>64</v>
      </c>
      <c r="C6473" s="41">
        <v>1726.66</v>
      </c>
      <c r="D6473" s="6">
        <v>45716</v>
      </c>
      <c r="E6473" s="3" t="str">
        <f ca="1">IF(Tabela2[[#This Row],[Dt Venc:]]&gt;TODAY(),"Em Aberto",IF(Tabela2[[#This Row],[D/venc]]="-","Enviado",IF(Tabela2[[#This Row],[Dt Venc:]]=TODAY(),"Vence Hoje","Vencida")))</f>
        <v>Em Aberto</v>
      </c>
      <c r="F6473" s="3">
        <f ca="1">IF(G6473=1,"-",Tabela2[[#This Row],[Dt Venc:]]-TODAY())</f>
        <v>23</v>
      </c>
      <c r="G6473" s="3"/>
      <c r="H6473" s="3"/>
    </row>
    <row r="6474" spans="1:8">
      <c r="A6474" s="3" t="s">
        <v>28</v>
      </c>
      <c r="B6474" s="7" t="s">
        <v>391</v>
      </c>
      <c r="C6474" s="85" t="s">
        <v>30</v>
      </c>
      <c r="D6474" s="6">
        <v>45716</v>
      </c>
      <c r="E6474" s="3" t="str">
        <f ca="1">IF(Tabela2[[#This Row],[Dt Venc:]]&gt;TODAY(),"Em Aberto",IF(Tabela2[[#This Row],[D/venc]]="-","Enviado",IF(Tabela2[[#This Row],[Dt Venc:]]=TODAY(),"Vence Hoje","Vencida")))</f>
        <v>Em Aberto</v>
      </c>
      <c r="F6474" s="3">
        <f ca="1">IF(G6474=1,"-",Tabela2[[#This Row],[Dt Venc:]]-TODAY())</f>
        <v>23</v>
      </c>
      <c r="G6474" s="3"/>
      <c r="H6474" s="3"/>
    </row>
    <row r="6475" spans="1:8">
      <c r="A6475" s="3" t="s">
        <v>123</v>
      </c>
      <c r="B6475" s="7" t="s">
        <v>386</v>
      </c>
      <c r="C6475" s="87" t="s">
        <v>32</v>
      </c>
      <c r="D6475" s="6">
        <v>45716</v>
      </c>
      <c r="E6475" s="3" t="str">
        <f ca="1">IF(Tabela2[[#This Row],[Dt Venc:]]&gt;TODAY(),"Em Aberto",IF(Tabela2[[#This Row],[D/venc]]="-","Enviado",IF(Tabela2[[#This Row],[Dt Venc:]]=TODAY(),"Vence Hoje","Vencida")))</f>
        <v>Em Aberto</v>
      </c>
      <c r="F6475" s="3">
        <f ca="1">IF(G6475=1,"-",Tabela2[[#This Row],[Dt Venc:]]-TODAY())</f>
        <v>23</v>
      </c>
      <c r="G6475" s="3"/>
      <c r="H6475" s="3"/>
    </row>
    <row r="6476" spans="1:8">
      <c r="A6476" s="3" t="s">
        <v>110</v>
      </c>
      <c r="B6476" s="7" t="s">
        <v>373</v>
      </c>
      <c r="C6476" s="42" t="s">
        <v>32</v>
      </c>
      <c r="D6476" s="6">
        <v>45716</v>
      </c>
      <c r="E6476" s="3" t="str">
        <f ca="1">IF(Tabela2[[#This Row],[Dt Venc:]]&gt;TODAY(),"Em Aberto",IF(Tabela2[[#This Row],[D/venc]]="-","Enviado",IF(Tabela2[[#This Row],[Dt Venc:]]=TODAY(),"Vence Hoje","Vencida")))</f>
        <v>Em Aberto</v>
      </c>
      <c r="F6476" s="3">
        <f ca="1">IF(G6476=1,"-",Tabela2[[#This Row],[Dt Venc:]]-TODAY())</f>
        <v>23</v>
      </c>
      <c r="G6476" s="3"/>
      <c r="H6476" s="3"/>
    </row>
    <row r="6477" spans="1:8">
      <c r="A6477" s="3">
        <v>1263</v>
      </c>
      <c r="B6477" s="7" t="s">
        <v>155</v>
      </c>
      <c r="C6477" s="41">
        <v>5020</v>
      </c>
      <c r="D6477" s="6">
        <v>45716</v>
      </c>
      <c r="E6477" s="3" t="str">
        <f ca="1">IF(Tabela2[[#This Row],[Dt Venc:]]&gt;TODAY(),"Em Aberto",IF(Tabela2[[#This Row],[D/venc]]="-","Enviado",IF(Tabela2[[#This Row],[Dt Venc:]]=TODAY(),"Vence Hoje","Vencida")))</f>
        <v>Em Aberto</v>
      </c>
      <c r="F6477" s="3">
        <f ca="1">IF(G6477=1,"-",Tabela2[[#This Row],[Dt Venc:]]-TODAY())</f>
        <v>23</v>
      </c>
      <c r="G6477" s="3"/>
      <c r="H6477" s="3"/>
    </row>
    <row r="6478" spans="1:8">
      <c r="A6478" s="3">
        <v>567104</v>
      </c>
      <c r="B6478" s="7" t="s">
        <v>187</v>
      </c>
      <c r="C6478" s="41">
        <v>528.67999999999995</v>
      </c>
      <c r="D6478" s="6">
        <v>45716</v>
      </c>
      <c r="E6478" s="3" t="str">
        <f ca="1">IF(Tabela2[[#This Row],[Dt Venc:]]&gt;TODAY(),"Em Aberto",IF(Tabela2[[#This Row],[D/venc]]="-","Enviado",IF(Tabela2[[#This Row],[Dt Venc:]]=TODAY(),"Vence Hoje","Vencida")))</f>
        <v>Em Aberto</v>
      </c>
      <c r="F6478" s="3">
        <f ca="1">IF(G6478=1,"-",Tabela2[[#This Row],[Dt Venc:]]-TODAY())</f>
        <v>23</v>
      </c>
      <c r="G6478" s="3"/>
      <c r="H6478" s="3"/>
    </row>
    <row r="6479" spans="1:8">
      <c r="A6479" s="3">
        <v>1356</v>
      </c>
      <c r="B6479" s="7" t="s">
        <v>474</v>
      </c>
      <c r="C6479" s="41">
        <v>573.33000000000004</v>
      </c>
      <c r="D6479" s="6">
        <v>45716</v>
      </c>
      <c r="E6479" s="3" t="str">
        <f ca="1">IF(Tabela2[[#This Row],[Dt Venc:]]&gt;TODAY(),"Em Aberto",IF(Tabela2[[#This Row],[D/venc]]="-","Enviado",IF(Tabela2[[#This Row],[Dt Venc:]]=TODAY(),"Vence Hoje","Vencida")))</f>
        <v>Em Aberto</v>
      </c>
      <c r="F6479" s="3">
        <f ca="1">IF(G6479=1,"-",Tabela2[[#This Row],[Dt Venc:]]-TODAY())</f>
        <v>23</v>
      </c>
      <c r="G6479" s="3"/>
      <c r="H6479" s="3"/>
    </row>
    <row r="6480" spans="1:8">
      <c r="A6480" s="3">
        <v>11388</v>
      </c>
      <c r="B6480" s="7" t="s">
        <v>33</v>
      </c>
      <c r="C6480" s="41">
        <v>1200</v>
      </c>
      <c r="D6480" s="6">
        <v>45716</v>
      </c>
      <c r="E6480" s="3" t="str">
        <f ca="1">IF(Tabela2[[#This Row],[Dt Venc:]]&gt;TODAY(),"Em Aberto",IF(Tabela2[[#This Row],[D/venc]]="-","Enviado",IF(Tabela2[[#This Row],[Dt Venc:]]=TODAY(),"Vence Hoje","Vencida")))</f>
        <v>Em Aberto</v>
      </c>
      <c r="F6480" s="3">
        <f ca="1">IF(G6480=1,"-",Tabela2[[#This Row],[Dt Venc:]]-TODAY())</f>
        <v>23</v>
      </c>
      <c r="G6480" s="3"/>
      <c r="H6480" s="3"/>
    </row>
    <row r="6481" spans="1:8">
      <c r="A6481" s="3">
        <v>273038</v>
      </c>
      <c r="B6481" s="7" t="s">
        <v>358</v>
      </c>
      <c r="C6481" s="41">
        <v>813.34</v>
      </c>
      <c r="D6481" s="6">
        <v>45716</v>
      </c>
      <c r="E6481" s="3" t="str">
        <f ca="1">IF(Tabela2[[#This Row],[Dt Venc:]]&gt;TODAY(),"Em Aberto",IF(Tabela2[[#This Row],[D/venc]]="-","Enviado",IF(Tabela2[[#This Row],[Dt Venc:]]=TODAY(),"Vence Hoje","Vencida")))</f>
        <v>Em Aberto</v>
      </c>
      <c r="F6481" s="3">
        <f ca="1">IF(G6481=1,"-",Tabela2[[#This Row],[Dt Venc:]]-TODAY())</f>
        <v>23</v>
      </c>
      <c r="G6481" s="3"/>
      <c r="H6481" s="3"/>
    </row>
    <row r="6482" spans="1:8">
      <c r="A6482" s="3">
        <v>11382</v>
      </c>
      <c r="B6482" s="7" t="s">
        <v>33</v>
      </c>
      <c r="C6482" s="41">
        <v>800</v>
      </c>
      <c r="D6482" s="6">
        <v>45716</v>
      </c>
      <c r="E6482" s="3" t="str">
        <f ca="1">IF(Tabela2[[#This Row],[Dt Venc:]]&gt;TODAY(),"Em Aberto",IF(Tabela2[[#This Row],[D/venc]]="-","Enviado",IF(Tabela2[[#This Row],[Dt Venc:]]=TODAY(),"Vence Hoje","Vencida")))</f>
        <v>Em Aberto</v>
      </c>
      <c r="F6482" s="3">
        <f ca="1">IF(G6482=1,"-",Tabela2[[#This Row],[Dt Venc:]]-TODAY())</f>
        <v>23</v>
      </c>
      <c r="G6482" s="3"/>
      <c r="H6482" s="3"/>
    </row>
    <row r="6483" spans="1:8">
      <c r="A6483" s="3">
        <v>75640</v>
      </c>
      <c r="B6483" s="7" t="s">
        <v>76</v>
      </c>
      <c r="C6483" s="41">
        <v>1056.8699999999999</v>
      </c>
      <c r="D6483" s="6">
        <v>45716</v>
      </c>
      <c r="E6483" s="3" t="str">
        <f ca="1">IF(Tabela2[[#This Row],[Dt Venc:]]&gt;TODAY(),"Em Aberto",IF(Tabela2[[#This Row],[D/venc]]="-","Enviado",IF(Tabela2[[#This Row],[Dt Venc:]]=TODAY(),"Vence Hoje","Vencida")))</f>
        <v>Em Aberto</v>
      </c>
      <c r="F6483" s="3">
        <f ca="1">IF(G6483=1,"-",Tabela2[[#This Row],[Dt Venc:]]-TODAY())</f>
        <v>23</v>
      </c>
      <c r="G6483" s="3"/>
      <c r="H6483" s="3"/>
    </row>
    <row r="6484" spans="1:8">
      <c r="A6484" s="3">
        <v>1588</v>
      </c>
      <c r="B6484" s="7" t="s">
        <v>363</v>
      </c>
      <c r="C6484" s="41">
        <v>1166.67</v>
      </c>
      <c r="D6484" s="6">
        <v>45716</v>
      </c>
      <c r="E6484" s="3" t="str">
        <f ca="1">IF(Tabela2[[#This Row],[Dt Venc:]]&gt;TODAY(),"Em Aberto",IF(Tabela2[[#This Row],[D/venc]]="-","Enviado",IF(Tabela2[[#This Row],[Dt Venc:]]=TODAY(),"Vence Hoje","Vencida")))</f>
        <v>Em Aberto</v>
      </c>
      <c r="F6484" s="3">
        <f ca="1">IF(G6484=1,"-",Tabela2[[#This Row],[Dt Venc:]]-TODAY())</f>
        <v>23</v>
      </c>
      <c r="G6484" s="3"/>
      <c r="H6484" s="3"/>
    </row>
    <row r="6485" spans="1:8">
      <c r="A6485" s="3">
        <v>75632</v>
      </c>
      <c r="B6485" s="7" t="s">
        <v>76</v>
      </c>
      <c r="C6485" s="41">
        <v>963.01</v>
      </c>
      <c r="D6485" s="6">
        <v>45716</v>
      </c>
      <c r="E6485" s="3" t="str">
        <f ca="1">IF(Tabela2[[#This Row],[Dt Venc:]]&gt;TODAY(),"Em Aberto",IF(Tabela2[[#This Row],[D/venc]]="-","Enviado",IF(Tabela2[[#This Row],[Dt Venc:]]=TODAY(),"Vence Hoje","Vencida")))</f>
        <v>Em Aberto</v>
      </c>
      <c r="F6485" s="3">
        <f ca="1">IF(G6485=1,"-",Tabela2[[#This Row],[Dt Venc:]]-TODAY())</f>
        <v>23</v>
      </c>
      <c r="G6485" s="3"/>
      <c r="H6485" s="3"/>
    </row>
    <row r="6486" spans="1:8">
      <c r="A6486" s="3">
        <v>75636</v>
      </c>
      <c r="B6486" s="7" t="s">
        <v>76</v>
      </c>
      <c r="C6486" s="41">
        <v>1934.79</v>
      </c>
      <c r="D6486" s="6">
        <v>45716</v>
      </c>
      <c r="E6486" s="3" t="str">
        <f ca="1">IF(Tabela2[[#This Row],[Dt Venc:]]&gt;TODAY(),"Em Aberto",IF(Tabela2[[#This Row],[D/venc]]="-","Enviado",IF(Tabela2[[#This Row],[Dt Venc:]]=TODAY(),"Vence Hoje","Vencida")))</f>
        <v>Em Aberto</v>
      </c>
      <c r="F6486" s="3">
        <f ca="1">IF(G6486=1,"-",Tabela2[[#This Row],[Dt Venc:]]-TODAY())</f>
        <v>23</v>
      </c>
      <c r="G6486" s="3"/>
      <c r="H6486" s="3"/>
    </row>
    <row r="6487" spans="1:8">
      <c r="A6487" s="3">
        <v>239571</v>
      </c>
      <c r="B6487" s="7" t="s">
        <v>40</v>
      </c>
      <c r="C6487" s="41">
        <v>950</v>
      </c>
      <c r="D6487" s="6">
        <v>45716</v>
      </c>
      <c r="E6487" s="3" t="str">
        <f ca="1">IF(Tabela2[[#This Row],[Dt Venc:]]&gt;TODAY(),"Em Aberto",IF(Tabela2[[#This Row],[D/venc]]="-","Enviado",IF(Tabela2[[#This Row],[Dt Venc:]]=TODAY(),"Vence Hoje","Vencida")))</f>
        <v>Em Aberto</v>
      </c>
      <c r="F6487" s="3">
        <f ca="1">IF(G6487=1,"-",Tabela2[[#This Row],[Dt Venc:]]-TODAY())</f>
        <v>23</v>
      </c>
      <c r="G6487" s="3"/>
      <c r="H6487" s="3"/>
    </row>
    <row r="6488" spans="1:8">
      <c r="A6488" s="3">
        <v>239600</v>
      </c>
      <c r="B6488" s="7" t="s">
        <v>40</v>
      </c>
      <c r="C6488" s="41">
        <v>1233.3399999999999</v>
      </c>
      <c r="D6488" s="6">
        <v>45716</v>
      </c>
      <c r="E6488" s="3" t="str">
        <f ca="1">IF(Tabela2[[#This Row],[Dt Venc:]]&gt;TODAY(),"Em Aberto",IF(Tabela2[[#This Row],[D/venc]]="-","Enviado",IF(Tabela2[[#This Row],[Dt Venc:]]=TODAY(),"Vence Hoje","Vencida")))</f>
        <v>Em Aberto</v>
      </c>
      <c r="F6488" s="3">
        <f ca="1">IF(G6488=1,"-",Tabela2[[#This Row],[Dt Venc:]]-TODAY())</f>
        <v>23</v>
      </c>
      <c r="G6488" s="3"/>
      <c r="H6488" s="3"/>
    </row>
    <row r="6489" spans="1:8">
      <c r="A6489" s="3">
        <v>260390</v>
      </c>
      <c r="B6489" s="7" t="s">
        <v>49</v>
      </c>
      <c r="C6489" s="41">
        <v>1030</v>
      </c>
      <c r="D6489" s="6">
        <v>45716</v>
      </c>
      <c r="E6489" s="3" t="str">
        <f ca="1">IF(Tabela2[[#This Row],[Dt Venc:]]&gt;TODAY(),"Em Aberto",IF(Tabela2[[#This Row],[D/venc]]="-","Enviado",IF(Tabela2[[#This Row],[Dt Venc:]]=TODAY(),"Vence Hoje","Vencida")))</f>
        <v>Em Aberto</v>
      </c>
      <c r="F6489" s="3">
        <f ca="1">IF(G6489=1,"-",Tabela2[[#This Row],[Dt Venc:]]-TODAY())</f>
        <v>23</v>
      </c>
      <c r="G6489" s="3"/>
      <c r="H6489" s="3"/>
    </row>
    <row r="6490" spans="1:8">
      <c r="A6490" s="3">
        <v>14420</v>
      </c>
      <c r="B6490" s="7" t="s">
        <v>67</v>
      </c>
      <c r="C6490" s="41">
        <v>450</v>
      </c>
      <c r="D6490" s="6">
        <v>45716</v>
      </c>
      <c r="E6490" s="3" t="str">
        <f ca="1">IF(Tabela2[[#This Row],[Dt Venc:]]&gt;TODAY(),"Em Aberto",IF(Tabela2[[#This Row],[D/venc]]="-","Enviado",IF(Tabela2[[#This Row],[Dt Venc:]]=TODAY(),"Vence Hoje","Vencida")))</f>
        <v>Em Aberto</v>
      </c>
      <c r="F6490" s="3">
        <f ca="1">IF(G6490=1,"-",Tabela2[[#This Row],[Dt Venc:]]-TODAY())</f>
        <v>23</v>
      </c>
      <c r="G6490" s="3"/>
      <c r="H6490" s="3"/>
    </row>
    <row r="6491" spans="1:8">
      <c r="A6491" s="3">
        <v>502</v>
      </c>
      <c r="B6491" s="7" t="s">
        <v>727</v>
      </c>
      <c r="C6491" s="41">
        <v>3055.14</v>
      </c>
      <c r="D6491" s="6">
        <v>45716</v>
      </c>
      <c r="E6491" s="3" t="str">
        <f ca="1">IF(Tabela2[[#This Row],[Dt Venc:]]&gt;TODAY(),"Em Aberto",IF(Tabela2[[#This Row],[D/venc]]="-","Enviado",IF(Tabela2[[#This Row],[Dt Venc:]]=TODAY(),"Vence Hoje","Vencida")))</f>
        <v>Em Aberto</v>
      </c>
      <c r="F6491" s="3">
        <f ca="1">IF(G6491=1,"-",Tabela2[[#This Row],[Dt Venc:]]-TODAY())</f>
        <v>23</v>
      </c>
      <c r="G6491" s="3"/>
      <c r="H6491" s="3"/>
    </row>
    <row r="6492" spans="1:8">
      <c r="A6492" s="3">
        <v>132070</v>
      </c>
      <c r="B6492" s="7" t="s">
        <v>728</v>
      </c>
      <c r="C6492" s="41">
        <v>1016.92</v>
      </c>
      <c r="D6492" s="6">
        <v>45716</v>
      </c>
      <c r="E6492" s="3" t="str">
        <f ca="1">IF(Tabela2[[#This Row],[Dt Venc:]]&gt;TODAY(),"Em Aberto",IF(Tabela2[[#This Row],[D/venc]]="-","Enviado",IF(Tabela2[[#This Row],[Dt Venc:]]=TODAY(),"Vence Hoje","Vencida")))</f>
        <v>Em Aberto</v>
      </c>
      <c r="F6492" s="3">
        <f ca="1">IF(G6492=1,"-",Tabela2[[#This Row],[Dt Venc:]]-TODAY())</f>
        <v>23</v>
      </c>
      <c r="G6492" s="3"/>
      <c r="H6492" s="3"/>
    </row>
    <row r="6493" spans="1:8">
      <c r="A6493" s="3">
        <v>11473</v>
      </c>
      <c r="B6493" s="7" t="s">
        <v>105</v>
      </c>
      <c r="C6493" s="41">
        <v>1440</v>
      </c>
      <c r="D6493" s="6">
        <v>45716</v>
      </c>
      <c r="E6493" s="3" t="str">
        <f ca="1">IF(Tabela2[[#This Row],[Dt Venc:]]&gt;TODAY(),"Em Aberto",IF(Tabela2[[#This Row],[D/venc]]="-","Enviado",IF(Tabela2[[#This Row],[Dt Venc:]]=TODAY(),"Vence Hoje","Vencida")))</f>
        <v>Em Aberto</v>
      </c>
      <c r="F6493" s="3">
        <f ca="1">IF(G6493=1,"-",Tabela2[[#This Row],[Dt Venc:]]-TODAY())</f>
        <v>23</v>
      </c>
      <c r="G6493" s="3"/>
      <c r="H6493" s="3"/>
    </row>
    <row r="6494" spans="1:8">
      <c r="A6494" s="3">
        <v>55365</v>
      </c>
      <c r="B6494" s="7" t="s">
        <v>35</v>
      </c>
      <c r="C6494" s="41">
        <v>239</v>
      </c>
      <c r="D6494" s="6">
        <v>45716</v>
      </c>
      <c r="E6494" s="3" t="str">
        <f ca="1">IF(Tabela2[[#This Row],[Dt Venc:]]&gt;TODAY(),"Em Aberto",IF(Tabela2[[#This Row],[D/venc]]="-","Enviado",IF(Tabela2[[#This Row],[Dt Venc:]]=TODAY(),"Vence Hoje","Vencida")))</f>
        <v>Em Aberto</v>
      </c>
      <c r="F6494" s="3">
        <f ca="1">IF(G6494=1,"-",Tabela2[[#This Row],[Dt Venc:]]-TODAY())</f>
        <v>23</v>
      </c>
      <c r="G6494" s="3"/>
      <c r="H6494" s="3"/>
    </row>
    <row r="6495" spans="1:8">
      <c r="A6495" s="3">
        <v>180750</v>
      </c>
      <c r="B6495" s="7" t="s">
        <v>174</v>
      </c>
      <c r="C6495" s="41">
        <v>8406.66</v>
      </c>
      <c r="D6495" s="6">
        <v>45716</v>
      </c>
      <c r="E6495" s="3" t="str">
        <f ca="1">IF(Tabela2[[#This Row],[Dt Venc:]]&gt;TODAY(),"Em Aberto",IF(Tabela2[[#This Row],[D/venc]]="-","Enviado",IF(Tabela2[[#This Row],[Dt Venc:]]=TODAY(),"Vence Hoje","Vencida")))</f>
        <v>Em Aberto</v>
      </c>
      <c r="F6495" s="3">
        <f ca="1">IF(G6495=1,"-",Tabela2[[#This Row],[Dt Venc:]]-TODAY())</f>
        <v>23</v>
      </c>
      <c r="G6495" s="3"/>
      <c r="H6495" s="3"/>
    </row>
    <row r="6496" spans="1:8">
      <c r="A6496" s="3">
        <v>62</v>
      </c>
      <c r="B6496" s="7" t="s">
        <v>173</v>
      </c>
      <c r="C6496" s="41">
        <v>1786.66</v>
      </c>
      <c r="D6496" s="6">
        <v>45716</v>
      </c>
      <c r="E6496" s="3" t="str">
        <f ca="1">IF(Tabela2[[#This Row],[Dt Venc:]]&gt;TODAY(),"Em Aberto",IF(Tabela2[[#This Row],[D/venc]]="-","Enviado",IF(Tabela2[[#This Row],[Dt Venc:]]=TODAY(),"Vence Hoje","Vencida")))</f>
        <v>Em Aberto</v>
      </c>
      <c r="F6496" s="3">
        <f ca="1">IF(G6496=1,"-",Tabela2[[#This Row],[Dt Venc:]]-TODAY())</f>
        <v>23</v>
      </c>
      <c r="G6496" s="3"/>
      <c r="H6496" s="3"/>
    </row>
    <row r="6497" spans="1:8">
      <c r="A6497" s="3">
        <v>32140</v>
      </c>
      <c r="B6497" s="7" t="s">
        <v>542</v>
      </c>
      <c r="C6497" s="41">
        <v>497.99</v>
      </c>
      <c r="D6497" s="6">
        <v>45716</v>
      </c>
      <c r="E6497" s="3" t="str">
        <f ca="1">IF(Tabela2[[#This Row],[Dt Venc:]]&gt;TODAY(),"Em Aberto",IF(Tabela2[[#This Row],[D/venc]]="-","Enviado",IF(Tabela2[[#This Row],[Dt Venc:]]=TODAY(),"Vence Hoje","Vencida")))</f>
        <v>Em Aberto</v>
      </c>
      <c r="F6497" s="3">
        <f ca="1">IF(G6497=1,"-",Tabela2[[#This Row],[Dt Venc:]]-TODAY())</f>
        <v>23</v>
      </c>
      <c r="G6497" s="3"/>
      <c r="H6497" s="3"/>
    </row>
    <row r="6498" spans="1:8">
      <c r="A6498" s="3">
        <v>626955</v>
      </c>
      <c r="B6498" s="7" t="s">
        <v>66</v>
      </c>
      <c r="C6498" s="41">
        <v>393.52</v>
      </c>
      <c r="D6498" s="6">
        <v>45716</v>
      </c>
      <c r="E6498" s="3" t="str">
        <f ca="1">IF(Tabela2[[#This Row],[Dt Venc:]]&gt;TODAY(),"Em Aberto",IF(Tabela2[[#This Row],[D/venc]]="-","Enviado",IF(Tabela2[[#This Row],[Dt Venc:]]=TODAY(),"Vence Hoje","Vencida")))</f>
        <v>Em Aberto</v>
      </c>
      <c r="F6498" s="3">
        <f ca="1">IF(G6498=1,"-",Tabela2[[#This Row],[Dt Venc:]]-TODAY())</f>
        <v>23</v>
      </c>
      <c r="G6498" s="3"/>
      <c r="H6498" s="3"/>
    </row>
    <row r="6499" spans="1:8">
      <c r="A6499" s="3">
        <v>287668</v>
      </c>
      <c r="B6499" s="7" t="s">
        <v>43</v>
      </c>
      <c r="C6499" s="41">
        <v>1977.8</v>
      </c>
      <c r="D6499" s="6">
        <v>45716</v>
      </c>
      <c r="E6499" s="3" t="str">
        <f ca="1">IF(Tabela2[[#This Row],[Dt Venc:]]&gt;TODAY(),"Em Aberto",IF(Tabela2[[#This Row],[D/venc]]="-","Enviado",IF(Tabela2[[#This Row],[Dt Venc:]]=TODAY(),"Vence Hoje","Vencida")))</f>
        <v>Em Aberto</v>
      </c>
      <c r="F6499" s="3">
        <f ca="1">IF(G6499=1,"-",Tabela2[[#This Row],[Dt Venc:]]-TODAY())</f>
        <v>23</v>
      </c>
      <c r="G6499" s="3"/>
      <c r="H6499" s="3"/>
    </row>
    <row r="6500" spans="1:8">
      <c r="A6500" s="3">
        <v>382598</v>
      </c>
      <c r="B6500" s="7" t="s">
        <v>441</v>
      </c>
      <c r="C6500" s="41">
        <v>518.44000000000005</v>
      </c>
      <c r="D6500" s="6">
        <v>45716</v>
      </c>
      <c r="E6500" s="3" t="str">
        <f ca="1">IF(Tabela2[[#This Row],[Dt Venc:]]&gt;TODAY(),"Em Aberto",IF(Tabela2[[#This Row],[D/venc]]="-","Enviado",IF(Tabela2[[#This Row],[Dt Venc:]]=TODAY(),"Vence Hoje","Vencida")))</f>
        <v>Em Aberto</v>
      </c>
      <c r="F6500" s="3">
        <f ca="1">IF(G6500=1,"-",Tabela2[[#This Row],[Dt Venc:]]-TODAY())</f>
        <v>23</v>
      </c>
      <c r="G6500" s="3"/>
      <c r="H6500" s="3"/>
    </row>
    <row r="6501" spans="1:8">
      <c r="A6501" s="3">
        <v>2879</v>
      </c>
      <c r="B6501" s="7" t="s">
        <v>58</v>
      </c>
      <c r="C6501" s="41">
        <v>3788.47</v>
      </c>
      <c r="D6501" s="6">
        <v>45717</v>
      </c>
      <c r="E6501" s="3" t="str">
        <f ca="1">IF(Tabela2[[#This Row],[Dt Venc:]]&gt;TODAY(),"Em Aberto",IF(Tabela2[[#This Row],[D/venc]]="-","Enviado",IF(Tabela2[[#This Row],[Dt Venc:]]=TODAY(),"Vence Hoje","Vencida")))</f>
        <v>Em Aberto</v>
      </c>
      <c r="F6501" s="3">
        <f ca="1">IF(G6501=1,"-",Tabela2[[#This Row],[Dt Venc:]]-TODAY())</f>
        <v>24</v>
      </c>
      <c r="G6501" s="3"/>
      <c r="H6501" s="3"/>
    </row>
    <row r="6502" spans="1:8">
      <c r="A6502" s="3">
        <v>36910</v>
      </c>
      <c r="B6502" s="7" t="s">
        <v>167</v>
      </c>
      <c r="C6502" s="99" t="s">
        <v>32</v>
      </c>
      <c r="D6502" s="6">
        <v>45717</v>
      </c>
      <c r="E6502" s="3" t="str">
        <f ca="1">IF(Tabela2[[#This Row],[Dt Venc:]]&gt;TODAY(),"Em Aberto",IF(Tabela2[[#This Row],[D/venc]]="-","Enviado",IF(Tabela2[[#This Row],[Dt Venc:]]=TODAY(),"Vence Hoje","Vencida")))</f>
        <v>Em Aberto</v>
      </c>
      <c r="F6502" s="3">
        <f ca="1">IF(G6502=1,"-",Tabela2[[#This Row],[Dt Venc:]]-TODAY())</f>
        <v>24</v>
      </c>
      <c r="G6502" s="3"/>
      <c r="H6502" s="3"/>
    </row>
    <row r="6503" spans="1:8">
      <c r="A6503" s="3" t="s">
        <v>28</v>
      </c>
      <c r="B6503" s="7" t="s">
        <v>29</v>
      </c>
      <c r="C6503" s="87" t="s">
        <v>393</v>
      </c>
      <c r="D6503" s="6">
        <v>45717</v>
      </c>
      <c r="E6503" s="3" t="str">
        <f ca="1">IF(Tabela2[[#This Row],[Dt Venc:]]&gt;TODAY(),"Em Aberto",IF(Tabela2[[#This Row],[D/venc]]="-","Enviado",IF(Tabela2[[#This Row],[Dt Venc:]]=TODAY(),"Vence Hoje","Vencida")))</f>
        <v>Em Aberto</v>
      </c>
      <c r="F6503" s="3">
        <f ca="1">IF(G6503=1,"-",Tabela2[[#This Row],[Dt Venc:]]-TODAY())</f>
        <v>24</v>
      </c>
      <c r="G6503" s="3"/>
      <c r="H6503" s="3"/>
    </row>
    <row r="6504" spans="1:8">
      <c r="A6504" s="3" t="s">
        <v>110</v>
      </c>
      <c r="B6504" s="7" t="s">
        <v>395</v>
      </c>
      <c r="C6504" s="42" t="s">
        <v>32</v>
      </c>
      <c r="D6504" s="6">
        <v>45717</v>
      </c>
      <c r="E6504" s="3" t="str">
        <f ca="1">IF(Tabela2[[#This Row],[Dt Venc:]]&gt;TODAY(),"Em Aberto",IF(Tabela2[[#This Row],[D/venc]]="-","Enviado",IF(Tabela2[[#This Row],[Dt Venc:]]=TODAY(),"Vence Hoje","Vencida")))</f>
        <v>Em Aberto</v>
      </c>
      <c r="F6504" s="3">
        <f ca="1">IF(G6504=1,"-",Tabela2[[#This Row],[Dt Venc:]]-TODAY())</f>
        <v>24</v>
      </c>
      <c r="G6504" s="3"/>
      <c r="H6504" s="3"/>
    </row>
    <row r="6505" spans="1:8">
      <c r="A6505" s="3">
        <v>6464</v>
      </c>
      <c r="B6505" s="7" t="s">
        <v>47</v>
      </c>
      <c r="C6505" s="41">
        <v>739.99</v>
      </c>
      <c r="D6505" s="6">
        <v>45717</v>
      </c>
      <c r="E6505" s="3" t="str">
        <f ca="1">IF(Tabela2[[#This Row],[Dt Venc:]]&gt;TODAY(),"Em Aberto",IF(Tabela2[[#This Row],[D/venc]]="-","Enviado",IF(Tabela2[[#This Row],[Dt Venc:]]=TODAY(),"Vence Hoje","Vencida")))</f>
        <v>Em Aberto</v>
      </c>
      <c r="F6505" s="3">
        <f ca="1">IF(G6505=1,"-",Tabela2[[#This Row],[Dt Venc:]]-TODAY())</f>
        <v>24</v>
      </c>
      <c r="G6505" s="3"/>
      <c r="H6505" s="3"/>
    </row>
    <row r="6506" spans="1:8">
      <c r="A6506" s="3">
        <v>3565</v>
      </c>
      <c r="B6506" s="7" t="s">
        <v>290</v>
      </c>
      <c r="C6506" s="41">
        <v>2271.38</v>
      </c>
      <c r="D6506" s="6">
        <v>45717</v>
      </c>
      <c r="E6506" s="3" t="str">
        <f ca="1">IF(Tabela2[[#This Row],[Dt Venc:]]&gt;TODAY(),"Em Aberto",IF(Tabela2[[#This Row],[D/venc]]="-","Enviado",IF(Tabela2[[#This Row],[Dt Venc:]]=TODAY(),"Vence Hoje","Vencida")))</f>
        <v>Em Aberto</v>
      </c>
      <c r="F6506" s="3">
        <f ca="1">IF(G6506=1,"-",Tabela2[[#This Row],[Dt Venc:]]-TODAY())</f>
        <v>24</v>
      </c>
      <c r="G6506" s="3"/>
      <c r="H6506" s="3"/>
    </row>
    <row r="6507" spans="1:8">
      <c r="A6507" s="3">
        <v>31498</v>
      </c>
      <c r="B6507" s="7" t="s">
        <v>97</v>
      </c>
      <c r="C6507" s="41">
        <v>2395</v>
      </c>
      <c r="D6507" s="6">
        <v>45717</v>
      </c>
      <c r="E6507" s="3" t="str">
        <f ca="1">IF(Tabela2[[#This Row],[Dt Venc:]]&gt;TODAY(),"Em Aberto",IF(Tabela2[[#This Row],[D/venc]]="-","Enviado",IF(Tabela2[[#This Row],[Dt Venc:]]=TODAY(),"Vence Hoje","Vencida")))</f>
        <v>Em Aberto</v>
      </c>
      <c r="F6507" s="3">
        <f ca="1">IF(G6507=1,"-",Tabela2[[#This Row],[Dt Venc:]]-TODAY())</f>
        <v>24</v>
      </c>
      <c r="G6507" s="3"/>
      <c r="H6507" s="3"/>
    </row>
    <row r="6508" spans="1:8">
      <c r="A6508" s="3">
        <v>36553</v>
      </c>
      <c r="B6508" s="7" t="s">
        <v>281</v>
      </c>
      <c r="C6508" s="41">
        <v>756</v>
      </c>
      <c r="D6508" s="6">
        <v>45717</v>
      </c>
      <c r="E6508" s="3" t="str">
        <f ca="1">IF(Tabela2[[#This Row],[Dt Venc:]]&gt;TODAY(),"Em Aberto",IF(Tabela2[[#This Row],[D/venc]]="-","Enviado",IF(Tabela2[[#This Row],[Dt Venc:]]=TODAY(),"Vence Hoje","Vencida")))</f>
        <v>Em Aberto</v>
      </c>
      <c r="F6508" s="3">
        <f ca="1">IF(G6508=1,"-",Tabela2[[#This Row],[Dt Venc:]]-TODAY())</f>
        <v>24</v>
      </c>
      <c r="G6508" s="3"/>
      <c r="H6508" s="3"/>
    </row>
    <row r="6509" spans="1:8">
      <c r="A6509" s="3">
        <v>9605</v>
      </c>
      <c r="B6509" s="7" t="s">
        <v>709</v>
      </c>
      <c r="C6509" s="41">
        <v>450</v>
      </c>
      <c r="D6509" s="6">
        <v>45717</v>
      </c>
      <c r="E6509" s="3" t="str">
        <f ca="1">IF(Tabela2[[#This Row],[Dt Venc:]]&gt;TODAY(),"Em Aberto",IF(Tabela2[[#This Row],[D/venc]]="-","Enviado",IF(Tabela2[[#This Row],[Dt Venc:]]=TODAY(),"Vence Hoje","Vencida")))</f>
        <v>Em Aberto</v>
      </c>
      <c r="F6509" s="3">
        <f ca="1">IF(G6509=1,"-",Tabela2[[#This Row],[Dt Venc:]]-TODAY())</f>
        <v>24</v>
      </c>
      <c r="G6509" s="3"/>
      <c r="H6509" s="3"/>
    </row>
    <row r="6510" spans="1:8">
      <c r="A6510" s="3">
        <v>11397</v>
      </c>
      <c r="B6510" s="7" t="s">
        <v>33</v>
      </c>
      <c r="C6510" s="41">
        <v>1960</v>
      </c>
      <c r="D6510" s="6">
        <v>45717</v>
      </c>
      <c r="E6510" s="3" t="str">
        <f ca="1">IF(Tabela2[[#This Row],[Dt Venc:]]&gt;TODAY(),"Em Aberto",IF(Tabela2[[#This Row],[D/venc]]="-","Enviado",IF(Tabela2[[#This Row],[Dt Venc:]]=TODAY(),"Vence Hoje","Vencida")))</f>
        <v>Em Aberto</v>
      </c>
      <c r="F6510" s="3">
        <f ca="1">IF(G6510=1,"-",Tabela2[[#This Row],[Dt Venc:]]-TODAY())</f>
        <v>24</v>
      </c>
      <c r="G6510" s="3"/>
      <c r="H6510" s="3"/>
    </row>
    <row r="6511" spans="1:8">
      <c r="A6511" s="3">
        <v>2076</v>
      </c>
      <c r="B6511" s="7" t="s">
        <v>477</v>
      </c>
      <c r="C6511" s="41">
        <v>616.97</v>
      </c>
      <c r="D6511" s="6">
        <v>45717</v>
      </c>
      <c r="E6511" s="3" t="str">
        <f ca="1">IF(Tabela2[[#This Row],[Dt Venc:]]&gt;TODAY(),"Em Aberto",IF(Tabela2[[#This Row],[D/venc]]="-","Enviado",IF(Tabela2[[#This Row],[Dt Venc:]]=TODAY(),"Vence Hoje","Vencida")))</f>
        <v>Em Aberto</v>
      </c>
      <c r="F6511" s="3">
        <f ca="1">IF(G6511=1,"-",Tabela2[[#This Row],[Dt Venc:]]-TODAY())</f>
        <v>24</v>
      </c>
      <c r="G6511" s="3"/>
      <c r="H6511" s="3"/>
    </row>
    <row r="6512" spans="1:8">
      <c r="A6512" s="3">
        <v>3003</v>
      </c>
      <c r="B6512" s="7" t="s">
        <v>58</v>
      </c>
      <c r="C6512" s="41">
        <v>830</v>
      </c>
      <c r="D6512" s="6">
        <v>45717</v>
      </c>
      <c r="E6512" s="3" t="str">
        <f ca="1">IF(Tabela2[[#This Row],[Dt Venc:]]&gt;TODAY(),"Em Aberto",IF(Tabela2[[#This Row],[D/venc]]="-","Enviado",IF(Tabela2[[#This Row],[Dt Venc:]]=TODAY(),"Vence Hoje","Vencida")))</f>
        <v>Em Aberto</v>
      </c>
      <c r="F6512" s="3">
        <f ca="1">IF(G6512=1,"-",Tabela2[[#This Row],[Dt Venc:]]-TODAY())</f>
        <v>24</v>
      </c>
      <c r="G6512" s="3"/>
      <c r="H6512" s="3"/>
    </row>
    <row r="6513" spans="1:8">
      <c r="A6513" s="3">
        <v>2076</v>
      </c>
      <c r="B6513" s="7" t="s">
        <v>477</v>
      </c>
      <c r="C6513" s="41">
        <v>616.97</v>
      </c>
      <c r="D6513" s="6">
        <v>45717</v>
      </c>
      <c r="E6513" s="3" t="str">
        <f ca="1">IF(Tabela2[[#This Row],[Dt Venc:]]&gt;TODAY(),"Em Aberto",IF(Tabela2[[#This Row],[D/venc]]="-","Enviado",IF(Tabela2[[#This Row],[Dt Venc:]]=TODAY(),"Vence Hoje","Vencida")))</f>
        <v>Em Aberto</v>
      </c>
      <c r="F6513" s="3">
        <f ca="1">IF(G6513=1,"-",Tabela2[[#This Row],[Dt Venc:]]-TODAY())</f>
        <v>24</v>
      </c>
      <c r="G6513" s="3"/>
      <c r="H6513" s="3"/>
    </row>
    <row r="6514" spans="1:8">
      <c r="A6514" s="3">
        <v>6307</v>
      </c>
      <c r="B6514" s="7" t="s">
        <v>140</v>
      </c>
      <c r="C6514" s="41">
        <v>1168.67</v>
      </c>
      <c r="D6514" s="6">
        <v>45717</v>
      </c>
      <c r="E6514" s="3" t="str">
        <f ca="1">IF(Tabela2[[#This Row],[Dt Venc:]]&gt;TODAY(),"Em Aberto",IF(Tabela2[[#This Row],[D/venc]]="-","Enviado",IF(Tabela2[[#This Row],[Dt Venc:]]=TODAY(),"Vence Hoje","Vencida")))</f>
        <v>Em Aberto</v>
      </c>
      <c r="F6514" s="3">
        <f ca="1">IF(G6514=1,"-",Tabela2[[#This Row],[Dt Venc:]]-TODAY())</f>
        <v>24</v>
      </c>
      <c r="G6514" s="3"/>
      <c r="H6514" s="3"/>
    </row>
    <row r="6515" spans="1:8">
      <c r="A6515" s="3">
        <v>40</v>
      </c>
      <c r="B6515" s="7" t="s">
        <v>103</v>
      </c>
      <c r="C6515" s="41">
        <v>1650</v>
      </c>
      <c r="D6515" s="6">
        <v>45718</v>
      </c>
      <c r="E6515" s="3" t="str">
        <f ca="1">IF(Tabela2[[#This Row],[Dt Venc:]]&gt;TODAY(),"Em Aberto",IF(Tabela2[[#This Row],[D/venc]]="-","Enviado",IF(Tabela2[[#This Row],[Dt Venc:]]=TODAY(),"Vence Hoje","Vencida")))</f>
        <v>Em Aberto</v>
      </c>
      <c r="F6515" s="3">
        <f ca="1">IF(G6515=1,"-",Tabela2[[#This Row],[Dt Venc:]]-TODAY())</f>
        <v>25</v>
      </c>
      <c r="G6515" s="3"/>
      <c r="H6515" s="3"/>
    </row>
    <row r="6516" spans="1:8">
      <c r="A6516" s="3">
        <v>60</v>
      </c>
      <c r="B6516" s="7" t="s">
        <v>132</v>
      </c>
      <c r="C6516" s="41">
        <v>475</v>
      </c>
      <c r="D6516" s="6">
        <v>45718</v>
      </c>
      <c r="E6516" s="3" t="str">
        <f ca="1">IF(Tabela2[[#This Row],[Dt Venc:]]&gt;TODAY(),"Em Aberto",IF(Tabela2[[#This Row],[D/venc]]="-","Enviado",IF(Tabela2[[#This Row],[Dt Venc:]]=TODAY(),"Vence Hoje","Vencida")))</f>
        <v>Em Aberto</v>
      </c>
      <c r="F6516" s="3">
        <f ca="1">IF(G6516=1,"-",Tabela2[[#This Row],[Dt Venc:]]-TODAY())</f>
        <v>25</v>
      </c>
      <c r="G6516" s="3"/>
      <c r="H6516" s="3"/>
    </row>
    <row r="6517" spans="1:8">
      <c r="A6517" s="3">
        <v>2883</v>
      </c>
      <c r="B6517" s="7" t="s">
        <v>58</v>
      </c>
      <c r="C6517" s="41">
        <v>2813.74</v>
      </c>
      <c r="D6517" s="6">
        <v>45718</v>
      </c>
      <c r="E6517" s="3" t="str">
        <f ca="1">IF(Tabela2[[#This Row],[Dt Venc:]]&gt;TODAY(),"Em Aberto",IF(Tabela2[[#This Row],[D/venc]]="-","Enviado",IF(Tabela2[[#This Row],[Dt Venc:]]=TODAY(),"Vence Hoje","Vencida")))</f>
        <v>Em Aberto</v>
      </c>
      <c r="F6517" s="3">
        <f ca="1">IF(G6517=1,"-",Tabela2[[#This Row],[Dt Venc:]]-TODAY())</f>
        <v>25</v>
      </c>
      <c r="G6517" s="3"/>
      <c r="H6517" s="3"/>
    </row>
    <row r="6518" spans="1:8">
      <c r="A6518" s="3">
        <v>5192</v>
      </c>
      <c r="B6518" s="7" t="s">
        <v>463</v>
      </c>
      <c r="C6518" s="41">
        <v>2001.3</v>
      </c>
      <c r="D6518" s="6">
        <v>45718</v>
      </c>
      <c r="E6518" s="3" t="str">
        <f ca="1">IF(Tabela2[[#This Row],[Dt Venc:]]&gt;TODAY(),"Em Aberto",IF(Tabela2[[#This Row],[D/venc]]="-","Enviado",IF(Tabela2[[#This Row],[Dt Venc:]]=TODAY(),"Vence Hoje","Vencida")))</f>
        <v>Em Aberto</v>
      </c>
      <c r="F6518" s="3">
        <f ca="1">IF(G6518=1,"-",Tabela2[[#This Row],[Dt Venc:]]-TODAY())</f>
        <v>25</v>
      </c>
      <c r="G6518" s="3"/>
      <c r="H6518" s="3"/>
    </row>
    <row r="6519" spans="1:8">
      <c r="A6519" s="3">
        <v>6615</v>
      </c>
      <c r="B6519" s="7" t="s">
        <v>189</v>
      </c>
      <c r="C6519" s="41">
        <v>169</v>
      </c>
      <c r="D6519" s="6">
        <v>45718</v>
      </c>
      <c r="E6519" s="3" t="str">
        <f ca="1">IF(Tabela2[[#This Row],[Dt Venc:]]&gt;TODAY(),"Em Aberto",IF(Tabela2[[#This Row],[D/venc]]="-","Enviado",IF(Tabela2[[#This Row],[Dt Venc:]]=TODAY(),"Vence Hoje","Vencida")))</f>
        <v>Em Aberto</v>
      </c>
      <c r="F6519" s="3">
        <f ca="1">IF(G6519=1,"-",Tabela2[[#This Row],[Dt Venc:]]-TODAY())</f>
        <v>25</v>
      </c>
      <c r="G6519" s="3"/>
      <c r="H6519" s="3"/>
    </row>
    <row r="6520" spans="1:8">
      <c r="A6520" s="3">
        <v>11298</v>
      </c>
      <c r="B6520" s="7" t="s">
        <v>33</v>
      </c>
      <c r="C6520" s="41">
        <v>1303.3399999999999</v>
      </c>
      <c r="D6520" s="6">
        <v>45718</v>
      </c>
      <c r="E6520" s="3" t="str">
        <f ca="1">IF(Tabela2[[#This Row],[Dt Venc:]]&gt;TODAY(),"Em Aberto",IF(Tabela2[[#This Row],[D/venc]]="-","Enviado",IF(Tabela2[[#This Row],[Dt Venc:]]=TODAY(),"Vence Hoje","Vencida")))</f>
        <v>Em Aberto</v>
      </c>
      <c r="F6520" s="3">
        <f ca="1">IF(G6520=1,"-",Tabela2[[#This Row],[Dt Venc:]]-TODAY())</f>
        <v>25</v>
      </c>
      <c r="G6520" s="3"/>
      <c r="H6520" s="3"/>
    </row>
    <row r="6521" spans="1:8">
      <c r="A6521" s="3">
        <v>16823</v>
      </c>
      <c r="B6521" s="7" t="s">
        <v>595</v>
      </c>
      <c r="C6521" s="41">
        <v>736</v>
      </c>
      <c r="D6521" s="6">
        <v>45718</v>
      </c>
      <c r="E6521" s="3" t="str">
        <f ca="1">IF(Tabela2[[#This Row],[Dt Venc:]]&gt;TODAY(),"Em Aberto",IF(Tabela2[[#This Row],[D/venc]]="-","Enviado",IF(Tabela2[[#This Row],[Dt Venc:]]=TODAY(),"Vence Hoje","Vencida")))</f>
        <v>Em Aberto</v>
      </c>
      <c r="F6521" s="3">
        <f ca="1">IF(G6521=1,"-",Tabela2[[#This Row],[Dt Venc:]]-TODAY())</f>
        <v>25</v>
      </c>
      <c r="G6521" s="3"/>
      <c r="H6521" s="3"/>
    </row>
    <row r="6522" spans="1:8">
      <c r="A6522" s="3">
        <v>31622</v>
      </c>
      <c r="B6522" s="7" t="s">
        <v>542</v>
      </c>
      <c r="C6522" s="41">
        <v>3416.25</v>
      </c>
      <c r="D6522" s="6">
        <v>45718</v>
      </c>
      <c r="E6522" s="3" t="str">
        <f ca="1">IF(Tabela2[[#This Row],[Dt Venc:]]&gt;TODAY(),"Em Aberto",IF(Tabela2[[#This Row],[D/venc]]="-","Enviado",IF(Tabela2[[#This Row],[Dt Venc:]]=TODAY(),"Vence Hoje","Vencida")))</f>
        <v>Em Aberto</v>
      </c>
      <c r="F6522" s="3">
        <f ca="1">IF(G6522=1,"-",Tabela2[[#This Row],[Dt Venc:]]-TODAY())</f>
        <v>25</v>
      </c>
      <c r="G6522" s="3"/>
      <c r="H6522" s="3"/>
    </row>
    <row r="6523" spans="1:8">
      <c r="A6523" s="3">
        <v>89804</v>
      </c>
      <c r="B6523" s="7" t="s">
        <v>207</v>
      </c>
      <c r="C6523" s="41">
        <v>833.33</v>
      </c>
      <c r="D6523" s="6">
        <v>45718</v>
      </c>
      <c r="E6523" s="3" t="str">
        <f ca="1">IF(Tabela2[[#This Row],[Dt Venc:]]&gt;TODAY(),"Em Aberto",IF(Tabela2[[#This Row],[D/venc]]="-","Enviado",IF(Tabela2[[#This Row],[Dt Venc:]]=TODAY(),"Vence Hoje","Vencida")))</f>
        <v>Em Aberto</v>
      </c>
      <c r="F6523" s="3">
        <f ca="1">IF(G6523=1,"-",Tabela2[[#This Row],[Dt Venc:]]-TODAY())</f>
        <v>25</v>
      </c>
      <c r="G6523" s="3"/>
      <c r="H6523" s="3"/>
    </row>
    <row r="6524" spans="1:8">
      <c r="A6524" s="3">
        <v>267747</v>
      </c>
      <c r="B6524" s="7" t="s">
        <v>189</v>
      </c>
      <c r="C6524" s="41">
        <v>268.58</v>
      </c>
      <c r="D6524" s="6">
        <v>45718</v>
      </c>
      <c r="E6524" s="3" t="str">
        <f ca="1">IF(Tabela2[[#This Row],[Dt Venc:]]&gt;TODAY(),"Em Aberto",IF(Tabela2[[#This Row],[D/venc]]="-","Enviado",IF(Tabela2[[#This Row],[Dt Venc:]]=TODAY(),"Vence Hoje","Vencida")))</f>
        <v>Em Aberto</v>
      </c>
      <c r="F6524" s="3">
        <f ca="1">IF(G6524=1,"-",Tabela2[[#This Row],[Dt Venc:]]-TODAY())</f>
        <v>25</v>
      </c>
      <c r="G6524" s="3"/>
      <c r="H6524" s="3"/>
    </row>
    <row r="6525" spans="1:8">
      <c r="A6525" s="3">
        <v>818909</v>
      </c>
      <c r="B6525" s="7" t="s">
        <v>81</v>
      </c>
      <c r="C6525" s="85" t="s">
        <v>32</v>
      </c>
      <c r="D6525" s="6">
        <v>45718</v>
      </c>
      <c r="E6525" s="3" t="str">
        <f ca="1">IF(Tabela2[[#This Row],[Dt Venc:]]&gt;TODAY(),"Em Aberto",IF(Tabela2[[#This Row],[D/venc]]="-","Enviado",IF(Tabela2[[#This Row],[Dt Venc:]]=TODAY(),"Vence Hoje","Vencida")))</f>
        <v>Em Aberto</v>
      </c>
      <c r="F6525" s="3">
        <f ca="1">IF(G6525=1,"-",Tabela2[[#This Row],[Dt Venc:]]-TODAY())</f>
        <v>25</v>
      </c>
      <c r="G6525" s="3"/>
      <c r="H6525" s="3"/>
    </row>
    <row r="6526" spans="1:8">
      <c r="A6526" s="3">
        <v>4638399</v>
      </c>
      <c r="B6526" s="7" t="s">
        <v>90</v>
      </c>
      <c r="C6526" s="41">
        <v>1096.79</v>
      </c>
      <c r="D6526" s="6">
        <v>45718</v>
      </c>
      <c r="E6526" s="3" t="str">
        <f ca="1">IF(Tabela2[[#This Row],[Dt Venc:]]&gt;TODAY(),"Em Aberto",IF(Tabela2[[#This Row],[D/venc]]="-","Enviado",IF(Tabela2[[#This Row],[Dt Venc:]]=TODAY(),"Vence Hoje","Vencida")))</f>
        <v>Em Aberto</v>
      </c>
      <c r="F6526" s="3">
        <f ca="1">IF(G6526=1,"-",Tabela2[[#This Row],[Dt Venc:]]-TODAY())</f>
        <v>25</v>
      </c>
      <c r="G6526" s="3"/>
      <c r="H6526" s="3"/>
    </row>
    <row r="6527" spans="1:8">
      <c r="A6527" s="3" t="s">
        <v>68</v>
      </c>
      <c r="B6527" s="7" t="s">
        <v>69</v>
      </c>
      <c r="C6527" s="88" t="s">
        <v>30</v>
      </c>
      <c r="D6527" s="6">
        <v>45718</v>
      </c>
      <c r="E6527" s="3" t="str">
        <f ca="1">IF(Tabela2[[#This Row],[Dt Venc:]]&gt;TODAY(),"Em Aberto",IF(Tabela2[[#This Row],[D/venc]]="-","Enviado",IF(Tabela2[[#This Row],[Dt Venc:]]=TODAY(),"Vence Hoje","Vencida")))</f>
        <v>Em Aberto</v>
      </c>
      <c r="F6527" s="3">
        <f ca="1">IF(G6527=1,"-",Tabela2[[#This Row],[Dt Venc:]]-TODAY())</f>
        <v>25</v>
      </c>
      <c r="G6527" s="3"/>
      <c r="H6527" s="3"/>
    </row>
    <row r="6528" spans="1:8">
      <c r="A6528" s="3">
        <v>8462</v>
      </c>
      <c r="B6528" s="7" t="s">
        <v>729</v>
      </c>
      <c r="C6528" s="41">
        <v>421.8</v>
      </c>
      <c r="D6528" s="6">
        <v>45718</v>
      </c>
      <c r="E6528" s="3" t="str">
        <f ca="1">IF(Tabela2[[#This Row],[Dt Venc:]]&gt;TODAY(),"Em Aberto",IF(Tabela2[[#This Row],[D/venc]]="-","Enviado",IF(Tabela2[[#This Row],[Dt Venc:]]=TODAY(),"Vence Hoje","Vencida")))</f>
        <v>Em Aberto</v>
      </c>
      <c r="F6528" s="3">
        <f ca="1">IF(G6528=1,"-",Tabela2[[#This Row],[Dt Venc:]]-TODAY())</f>
        <v>25</v>
      </c>
      <c r="G6528" s="3"/>
      <c r="H6528" s="3"/>
    </row>
    <row r="6529" spans="1:8">
      <c r="A6529" s="3">
        <v>10502</v>
      </c>
      <c r="B6529" s="7" t="s">
        <v>354</v>
      </c>
      <c r="C6529" s="41">
        <v>1320</v>
      </c>
      <c r="D6529" s="6">
        <v>45718</v>
      </c>
      <c r="E6529" s="3" t="str">
        <f ca="1">IF(Tabela2[[#This Row],[Dt Venc:]]&gt;TODAY(),"Em Aberto",IF(Tabela2[[#This Row],[D/venc]]="-","Enviado",IF(Tabela2[[#This Row],[Dt Venc:]]=TODAY(),"Vence Hoje","Vencida")))</f>
        <v>Em Aberto</v>
      </c>
      <c r="F6529" s="3">
        <f ca="1">IF(G6529=1,"-",Tabela2[[#This Row],[Dt Venc:]]-TODAY())</f>
        <v>25</v>
      </c>
      <c r="G6529" s="3"/>
      <c r="H6529" s="3"/>
    </row>
    <row r="6530" spans="1:8">
      <c r="A6530" s="3">
        <v>49</v>
      </c>
      <c r="B6530" s="7" t="s">
        <v>103</v>
      </c>
      <c r="C6530" s="41">
        <v>1390</v>
      </c>
      <c r="D6530" s="6">
        <v>45719</v>
      </c>
      <c r="E6530" s="3" t="str">
        <f ca="1">IF(Tabela2[[#This Row],[Dt Venc:]]&gt;TODAY(),"Em Aberto",IF(Tabela2[[#This Row],[D/venc]]="-","Enviado",IF(Tabela2[[#This Row],[Dt Venc:]]=TODAY(),"Vence Hoje","Vencida")))</f>
        <v>Em Aberto</v>
      </c>
      <c r="F6530" s="3">
        <f ca="1">IF(G6530=1,"-",Tabela2[[#This Row],[Dt Venc:]]-TODAY())</f>
        <v>26</v>
      </c>
      <c r="G6530" s="3"/>
      <c r="H6530" s="3"/>
    </row>
    <row r="6531" spans="1:8">
      <c r="A6531" s="3">
        <v>1483</v>
      </c>
      <c r="B6531" s="7" t="s">
        <v>352</v>
      </c>
      <c r="C6531" s="41">
        <v>10</v>
      </c>
      <c r="D6531" s="6">
        <v>45719</v>
      </c>
      <c r="E6531" s="3" t="str">
        <f ca="1">IF(Tabela2[[#This Row],[Dt Venc:]]&gt;TODAY(),"Em Aberto",IF(Tabela2[[#This Row],[D/venc]]="-","Enviado",IF(Tabela2[[#This Row],[Dt Venc:]]=TODAY(),"Vence Hoje","Vencida")))</f>
        <v>Em Aberto</v>
      </c>
      <c r="F6531" s="3">
        <f ca="1">IF(G6531=1,"-",Tabela2[[#This Row],[Dt Venc:]]-TODAY())</f>
        <v>26</v>
      </c>
      <c r="G6531" s="3"/>
      <c r="H6531" s="3"/>
    </row>
    <row r="6532" spans="1:8">
      <c r="A6532" s="3">
        <v>1484</v>
      </c>
      <c r="B6532" s="7" t="s">
        <v>352</v>
      </c>
      <c r="C6532" s="41">
        <v>125</v>
      </c>
      <c r="D6532" s="6">
        <v>45719</v>
      </c>
      <c r="E6532" s="3" t="str">
        <f ca="1">IF(Tabela2[[#This Row],[Dt Venc:]]&gt;TODAY(),"Em Aberto",IF(Tabela2[[#This Row],[D/venc]]="-","Enviado",IF(Tabela2[[#This Row],[Dt Venc:]]=TODAY(),"Vence Hoje","Vencida")))</f>
        <v>Em Aberto</v>
      </c>
      <c r="F6532" s="3">
        <f ca="1">IF(G6532=1,"-",Tabela2[[#This Row],[Dt Venc:]]-TODAY())</f>
        <v>26</v>
      </c>
      <c r="G6532" s="3"/>
      <c r="H6532" s="3"/>
    </row>
    <row r="6533" spans="1:8">
      <c r="A6533" s="3">
        <v>1485</v>
      </c>
      <c r="B6533" s="7" t="s">
        <v>352</v>
      </c>
      <c r="C6533" s="41">
        <v>27.5</v>
      </c>
      <c r="D6533" s="6">
        <v>45719</v>
      </c>
      <c r="E6533" s="3" t="str">
        <f ca="1">IF(Tabela2[[#This Row],[Dt Venc:]]&gt;TODAY(),"Em Aberto",IF(Tabela2[[#This Row],[D/venc]]="-","Enviado",IF(Tabela2[[#This Row],[Dt Venc:]]=TODAY(),"Vence Hoje","Vencida")))</f>
        <v>Em Aberto</v>
      </c>
      <c r="F6533" s="3">
        <f ca="1">IF(G6533=1,"-",Tabela2[[#This Row],[Dt Venc:]]-TODAY())</f>
        <v>26</v>
      </c>
      <c r="G6533" s="3"/>
      <c r="H6533" s="3"/>
    </row>
    <row r="6534" spans="1:8">
      <c r="A6534" s="3">
        <v>1486</v>
      </c>
      <c r="B6534" s="7" t="s">
        <v>352</v>
      </c>
      <c r="C6534" s="41">
        <v>115</v>
      </c>
      <c r="D6534" s="6">
        <v>45719</v>
      </c>
      <c r="E6534" s="3" t="str">
        <f ca="1">IF(Tabela2[[#This Row],[Dt Venc:]]&gt;TODAY(),"Em Aberto",IF(Tabela2[[#This Row],[D/venc]]="-","Enviado",IF(Tabela2[[#This Row],[Dt Venc:]]=TODAY(),"Vence Hoje","Vencida")))</f>
        <v>Em Aberto</v>
      </c>
      <c r="F6534" s="3">
        <f ca="1">IF(G6534=1,"-",Tabela2[[#This Row],[Dt Venc:]]-TODAY())</f>
        <v>26</v>
      </c>
      <c r="G6534" s="3"/>
      <c r="H6534" s="3"/>
    </row>
    <row r="6535" spans="1:8">
      <c r="A6535" s="3">
        <v>2946</v>
      </c>
      <c r="B6535" s="7" t="s">
        <v>58</v>
      </c>
      <c r="C6535" s="41">
        <v>1143.74</v>
      </c>
      <c r="D6535" s="6">
        <v>45719</v>
      </c>
      <c r="E6535" s="3" t="str">
        <f ca="1">IF(Tabela2[[#This Row],[Dt Venc:]]&gt;TODAY(),"Em Aberto",IF(Tabela2[[#This Row],[D/venc]]="-","Enviado",IF(Tabela2[[#This Row],[Dt Venc:]]=TODAY(),"Vence Hoje","Vencida")))</f>
        <v>Em Aberto</v>
      </c>
      <c r="F6535" s="3">
        <f ca="1">IF(G6535=1,"-",Tabela2[[#This Row],[Dt Venc:]]-TODAY())</f>
        <v>26</v>
      </c>
      <c r="G6535" s="3"/>
      <c r="H6535" s="3"/>
    </row>
    <row r="6536" spans="1:8">
      <c r="A6536" s="3">
        <v>10494</v>
      </c>
      <c r="B6536" s="7" t="s">
        <v>82</v>
      </c>
      <c r="C6536" s="88" t="s">
        <v>30</v>
      </c>
      <c r="D6536" s="6">
        <v>45719</v>
      </c>
      <c r="E6536" s="3" t="str">
        <f ca="1">IF(Tabela2[[#This Row],[Dt Venc:]]&gt;TODAY(),"Em Aberto",IF(Tabela2[[#This Row],[D/venc]]="-","Enviado",IF(Tabela2[[#This Row],[Dt Venc:]]=TODAY(),"Vence Hoje","Vencida")))</f>
        <v>Em Aberto</v>
      </c>
      <c r="F6536" s="3">
        <f ca="1">IF(G6536=1,"-",Tabela2[[#This Row],[Dt Venc:]]-TODAY())</f>
        <v>26</v>
      </c>
      <c r="G6536" s="3"/>
      <c r="H6536" s="3"/>
    </row>
    <row r="6537" spans="1:8">
      <c r="A6537" s="3">
        <v>11765</v>
      </c>
      <c r="B6537" s="7" t="s">
        <v>598</v>
      </c>
      <c r="C6537" s="41">
        <v>380.94</v>
      </c>
      <c r="D6537" s="6">
        <v>45719</v>
      </c>
      <c r="E6537" s="3" t="str">
        <f ca="1">IF(Tabela2[[#This Row],[Dt Venc:]]&gt;TODAY(),"Em Aberto",IF(Tabela2[[#This Row],[D/venc]]="-","Enviado",IF(Tabela2[[#This Row],[Dt Venc:]]=TODAY(),"Vence Hoje","Vencida")))</f>
        <v>Em Aberto</v>
      </c>
      <c r="F6537" s="3">
        <f ca="1">IF(G6537=1,"-",Tabela2[[#This Row],[Dt Venc:]]-TODAY())</f>
        <v>26</v>
      </c>
      <c r="G6537" s="3"/>
      <c r="H6537" s="3"/>
    </row>
    <row r="6538" spans="1:8">
      <c r="A6538" s="3">
        <v>12415</v>
      </c>
      <c r="B6538" s="7" t="s">
        <v>72</v>
      </c>
      <c r="C6538" s="41">
        <v>1150</v>
      </c>
      <c r="D6538" s="6">
        <v>45719</v>
      </c>
      <c r="E6538" s="3" t="str">
        <f ca="1">IF(Tabela2[[#This Row],[Dt Venc:]]&gt;TODAY(),"Em Aberto",IF(Tabela2[[#This Row],[D/venc]]="-","Enviado",IF(Tabela2[[#This Row],[Dt Venc:]]=TODAY(),"Vence Hoje","Vencida")))</f>
        <v>Em Aberto</v>
      </c>
      <c r="F6538" s="3">
        <f ca="1">IF(G6538=1,"-",Tabela2[[#This Row],[Dt Venc:]]-TODAY())</f>
        <v>26</v>
      </c>
      <c r="G6538" s="3"/>
      <c r="H6538" s="3"/>
    </row>
    <row r="6539" spans="1:8">
      <c r="A6539" s="3">
        <v>14298</v>
      </c>
      <c r="B6539" s="7" t="s">
        <v>51</v>
      </c>
      <c r="C6539" s="41">
        <v>1000</v>
      </c>
      <c r="D6539" s="6">
        <v>45719</v>
      </c>
      <c r="E6539" s="3" t="str">
        <f ca="1">IF(Tabela2[[#This Row],[Dt Venc:]]&gt;TODAY(),"Em Aberto",IF(Tabela2[[#This Row],[D/venc]]="-","Enviado",IF(Tabela2[[#This Row],[Dt Venc:]]=TODAY(),"Vence Hoje","Vencida")))</f>
        <v>Em Aberto</v>
      </c>
      <c r="F6539" s="3">
        <f ca="1">IF(G6539=1,"-",Tabela2[[#This Row],[Dt Venc:]]-TODAY())</f>
        <v>26</v>
      </c>
      <c r="G6539" s="3"/>
      <c r="H6539" s="3"/>
    </row>
    <row r="6540" spans="1:8">
      <c r="A6540" s="3">
        <v>20028</v>
      </c>
      <c r="B6540" s="7" t="s">
        <v>41</v>
      </c>
      <c r="C6540" s="41">
        <v>700</v>
      </c>
      <c r="D6540" s="6">
        <v>45719</v>
      </c>
      <c r="E6540" s="3" t="str">
        <f ca="1">IF(Tabela2[[#This Row],[Dt Venc:]]&gt;TODAY(),"Em Aberto",IF(Tabela2[[#This Row],[D/venc]]="-","Enviado",IF(Tabela2[[#This Row],[Dt Venc:]]=TODAY(),"Vence Hoje","Vencida")))</f>
        <v>Em Aberto</v>
      </c>
      <c r="F6540" s="3">
        <f ca="1">IF(G6540=1,"-",Tabela2[[#This Row],[Dt Venc:]]-TODAY())</f>
        <v>26</v>
      </c>
      <c r="G6540" s="3"/>
      <c r="H6540" s="3"/>
    </row>
    <row r="6541" spans="1:8">
      <c r="A6541" s="3">
        <v>23988</v>
      </c>
      <c r="B6541" s="7" t="s">
        <v>38</v>
      </c>
      <c r="C6541" s="41">
        <v>1168</v>
      </c>
      <c r="D6541" s="6">
        <v>45719</v>
      </c>
      <c r="E6541" s="3" t="str">
        <f ca="1">IF(Tabela2[[#This Row],[Dt Venc:]]&gt;TODAY(),"Em Aberto",IF(Tabela2[[#This Row],[D/venc]]="-","Enviado",IF(Tabela2[[#This Row],[Dt Venc:]]=TODAY(),"Vence Hoje","Vencida")))</f>
        <v>Em Aberto</v>
      </c>
      <c r="F6541" s="3">
        <f ca="1">IF(G6541=1,"-",Tabela2[[#This Row],[Dt Venc:]]-TODAY())</f>
        <v>26</v>
      </c>
      <c r="G6541" s="3"/>
      <c r="H6541" s="3"/>
    </row>
    <row r="6542" spans="1:8">
      <c r="A6542" s="3">
        <v>29805</v>
      </c>
      <c r="B6542" s="7" t="s">
        <v>107</v>
      </c>
      <c r="C6542" s="42">
        <v>2817</v>
      </c>
      <c r="D6542" s="6">
        <v>45719</v>
      </c>
      <c r="E6542" s="3" t="str">
        <f ca="1">IF(Tabela2[[#This Row],[Dt Venc:]]&gt;TODAY(),"Em Aberto",IF(Tabela2[[#This Row],[D/venc]]="-","Enviado",IF(Tabela2[[#This Row],[Dt Venc:]]=TODAY(),"Vence Hoje","Vencida")))</f>
        <v>Em Aberto</v>
      </c>
      <c r="F6542" s="3">
        <f ca="1">IF(G6542=1,"-",Tabela2[[#This Row],[Dt Venc:]]-TODAY())</f>
        <v>26</v>
      </c>
      <c r="G6542" s="3"/>
      <c r="H6542" s="3"/>
    </row>
    <row r="6543" spans="1:8">
      <c r="A6543" s="3">
        <v>54971</v>
      </c>
      <c r="B6543" s="7" t="s">
        <v>35</v>
      </c>
      <c r="C6543" s="41">
        <v>567.08000000000004</v>
      </c>
      <c r="D6543" s="6">
        <v>45719</v>
      </c>
      <c r="E6543" s="3" t="str">
        <f ca="1">IF(Tabela2[[#This Row],[Dt Venc:]]&gt;TODAY(),"Em Aberto",IF(Tabela2[[#This Row],[D/venc]]="-","Enviado",IF(Tabela2[[#This Row],[Dt Venc:]]=TODAY(),"Vence Hoje","Vencida")))</f>
        <v>Em Aberto</v>
      </c>
      <c r="F6543" s="3">
        <f ca="1">IF(G6543=1,"-",Tabela2[[#This Row],[Dt Venc:]]-TODAY())</f>
        <v>26</v>
      </c>
      <c r="G6543" s="3"/>
      <c r="H6543" s="3"/>
    </row>
    <row r="6544" spans="1:8">
      <c r="A6544" s="3">
        <v>155536</v>
      </c>
      <c r="B6544" s="7" t="s">
        <v>240</v>
      </c>
      <c r="C6544" s="41">
        <v>1233.33</v>
      </c>
      <c r="D6544" s="6">
        <v>45719</v>
      </c>
      <c r="E6544" s="3" t="str">
        <f ca="1">IF(Tabela2[[#This Row],[Dt Venc:]]&gt;TODAY(),"Em Aberto",IF(Tabela2[[#This Row],[D/venc]]="-","Enviado",IF(Tabela2[[#This Row],[Dt Venc:]]=TODAY(),"Vence Hoje","Vencida")))</f>
        <v>Em Aberto</v>
      </c>
      <c r="F6544" s="3">
        <f ca="1">IF(G6544=1,"-",Tabela2[[#This Row],[Dt Venc:]]-TODAY())</f>
        <v>26</v>
      </c>
      <c r="G6544" s="3"/>
      <c r="H6544" s="3"/>
    </row>
    <row r="6545" spans="1:8">
      <c r="A6545" s="3">
        <v>188251</v>
      </c>
      <c r="B6545" s="7" t="s">
        <v>172</v>
      </c>
      <c r="C6545" s="41">
        <v>3371.98</v>
      </c>
      <c r="D6545" s="6">
        <v>45719</v>
      </c>
      <c r="E6545" s="3" t="str">
        <f ca="1">IF(Tabela2[[#This Row],[Dt Venc:]]&gt;TODAY(),"Em Aberto",IF(Tabela2[[#This Row],[D/venc]]="-","Enviado",IF(Tabela2[[#This Row],[Dt Venc:]]=TODAY(),"Vence Hoje","Vencida")))</f>
        <v>Em Aberto</v>
      </c>
      <c r="F6545" s="3">
        <f ca="1">IF(G6545=1,"-",Tabela2[[#This Row],[Dt Venc:]]-TODAY())</f>
        <v>26</v>
      </c>
      <c r="G6545" s="3"/>
      <c r="H6545" s="3"/>
    </row>
    <row r="6546" spans="1:8">
      <c r="A6546" s="3">
        <v>204369</v>
      </c>
      <c r="B6546" s="7" t="s">
        <v>200</v>
      </c>
      <c r="C6546" s="41">
        <v>917.63</v>
      </c>
      <c r="D6546" s="6">
        <v>45719</v>
      </c>
      <c r="E6546" s="3" t="str">
        <f ca="1">IF(Tabela2[[#This Row],[Dt Venc:]]&gt;TODAY(),"Em Aberto",IF(Tabela2[[#This Row],[D/venc]]="-","Enviado",IF(Tabela2[[#This Row],[Dt Venc:]]=TODAY(),"Vence Hoje","Vencida")))</f>
        <v>Em Aberto</v>
      </c>
      <c r="F6546" s="3">
        <f ca="1">IF(G6546=1,"-",Tabela2[[#This Row],[Dt Venc:]]-TODAY())</f>
        <v>26</v>
      </c>
      <c r="G6546" s="3"/>
      <c r="H6546" s="3"/>
    </row>
    <row r="6547" spans="1:8">
      <c r="A6547" s="3">
        <v>235415</v>
      </c>
      <c r="B6547" s="7" t="s">
        <v>40</v>
      </c>
      <c r="C6547" s="41">
        <v>900</v>
      </c>
      <c r="D6547" s="6">
        <v>45719</v>
      </c>
      <c r="E6547" s="3" t="str">
        <f ca="1">IF(Tabela2[[#This Row],[Dt Venc:]]&gt;TODAY(),"Em Aberto",IF(Tabela2[[#This Row],[D/venc]]="-","Enviado",IF(Tabela2[[#This Row],[Dt Venc:]]=TODAY(),"Vence Hoje","Vencida")))</f>
        <v>Em Aberto</v>
      </c>
      <c r="F6547" s="3">
        <f ca="1">IF(G6547=1,"-",Tabela2[[#This Row],[Dt Venc:]]-TODAY())</f>
        <v>26</v>
      </c>
      <c r="G6547" s="3"/>
      <c r="H6547" s="3"/>
    </row>
    <row r="6548" spans="1:8">
      <c r="A6548" s="3">
        <v>331118</v>
      </c>
      <c r="B6548" s="7" t="s">
        <v>240</v>
      </c>
      <c r="C6548" s="41">
        <v>817.33</v>
      </c>
      <c r="D6548" s="6">
        <v>45719</v>
      </c>
      <c r="E6548" s="3" t="str">
        <f ca="1">IF(Tabela2[[#This Row],[Dt Venc:]]&gt;TODAY(),"Em Aberto",IF(Tabela2[[#This Row],[D/venc]]="-","Enviado",IF(Tabela2[[#This Row],[Dt Venc:]]=TODAY(),"Vence Hoje","Vencida")))</f>
        <v>Em Aberto</v>
      </c>
      <c r="F6548" s="3">
        <f ca="1">IF(G6548=1,"-",Tabela2[[#This Row],[Dt Venc:]]-TODAY())</f>
        <v>26</v>
      </c>
      <c r="G6548" s="3"/>
      <c r="H6548" s="3"/>
    </row>
    <row r="6549" spans="1:8">
      <c r="A6549" s="3">
        <v>374163</v>
      </c>
      <c r="B6549" s="7" t="s">
        <v>39</v>
      </c>
      <c r="C6549" s="41">
        <v>398.36</v>
      </c>
      <c r="D6549" s="6">
        <v>45719</v>
      </c>
      <c r="E6549" s="3" t="str">
        <f ca="1">IF(Tabela2[[#This Row],[Dt Venc:]]&gt;TODAY(),"Em Aberto",IF(Tabela2[[#This Row],[D/venc]]="-","Enviado",IF(Tabela2[[#This Row],[Dt Venc:]]=TODAY(),"Vence Hoje","Vencida")))</f>
        <v>Em Aberto</v>
      </c>
      <c r="F6549" s="3">
        <f ca="1">IF(G6549=1,"-",Tabela2[[#This Row],[Dt Venc:]]-TODAY())</f>
        <v>26</v>
      </c>
      <c r="G6549" s="3"/>
      <c r="H6549" s="3"/>
    </row>
    <row r="6550" spans="1:8">
      <c r="A6550" s="3">
        <v>374224</v>
      </c>
      <c r="B6550" s="7" t="s">
        <v>39</v>
      </c>
      <c r="C6550" s="41">
        <v>1187.72</v>
      </c>
      <c r="D6550" s="6">
        <v>45719</v>
      </c>
      <c r="E6550" s="3" t="str">
        <f ca="1">IF(Tabela2[[#This Row],[Dt Venc:]]&gt;TODAY(),"Em Aberto",IF(Tabela2[[#This Row],[D/venc]]="-","Enviado",IF(Tabela2[[#This Row],[Dt Venc:]]=TODAY(),"Vence Hoje","Vencida")))</f>
        <v>Em Aberto</v>
      </c>
      <c r="F6550" s="3">
        <f ca="1">IF(G6550=1,"-",Tabela2[[#This Row],[Dt Venc:]]-TODAY())</f>
        <v>26</v>
      </c>
      <c r="G6550" s="3"/>
      <c r="H6550" s="3"/>
    </row>
    <row r="6551" spans="1:8">
      <c r="A6551" s="3">
        <v>379023</v>
      </c>
      <c r="B6551" s="7" t="s">
        <v>441</v>
      </c>
      <c r="C6551" s="41">
        <v>1349.4</v>
      </c>
      <c r="D6551" s="6">
        <v>45719</v>
      </c>
      <c r="E6551" s="3" t="str">
        <f ca="1">IF(Tabela2[[#This Row],[Dt Venc:]]&gt;TODAY(),"Em Aberto",IF(Tabela2[[#This Row],[D/venc]]="-","Enviado",IF(Tabela2[[#This Row],[Dt Venc:]]=TODAY(),"Vence Hoje","Vencida")))</f>
        <v>Em Aberto</v>
      </c>
      <c r="F6551" s="3">
        <f ca="1">IF(G6551=1,"-",Tabela2[[#This Row],[Dt Venc:]]-TODAY())</f>
        <v>26</v>
      </c>
      <c r="G6551" s="3"/>
      <c r="H6551" s="3"/>
    </row>
    <row r="6552" spans="1:8">
      <c r="A6552" s="3">
        <v>398238</v>
      </c>
      <c r="B6552" s="7" t="s">
        <v>596</v>
      </c>
      <c r="C6552" s="41">
        <v>2493.33</v>
      </c>
      <c r="D6552" s="6">
        <v>45719</v>
      </c>
      <c r="E6552" s="3" t="str">
        <f ca="1">IF(Tabela2[[#This Row],[Dt Venc:]]&gt;TODAY(),"Em Aberto",IF(Tabela2[[#This Row],[D/venc]]="-","Enviado",IF(Tabela2[[#This Row],[Dt Venc:]]=TODAY(),"Vence Hoje","Vencida")))</f>
        <v>Em Aberto</v>
      </c>
      <c r="F6552" s="3">
        <f ca="1">IF(G6552=1,"-",Tabela2[[#This Row],[Dt Venc:]]-TODAY())</f>
        <v>26</v>
      </c>
      <c r="G6552" s="3"/>
      <c r="H6552" s="3"/>
    </row>
    <row r="6553" spans="1:8">
      <c r="A6553" s="3">
        <v>561262</v>
      </c>
      <c r="B6553" s="7" t="s">
        <v>39</v>
      </c>
      <c r="C6553" s="41">
        <v>614.07000000000005</v>
      </c>
      <c r="D6553" s="6">
        <v>45719</v>
      </c>
      <c r="E6553" s="3" t="str">
        <f ca="1">IF(Tabela2[[#This Row],[Dt Venc:]]&gt;TODAY(),"Em Aberto",IF(Tabela2[[#This Row],[D/venc]]="-","Enviado",IF(Tabela2[[#This Row],[Dt Venc:]]=TODAY(),"Vence Hoje","Vencida")))</f>
        <v>Em Aberto</v>
      </c>
      <c r="F6553" s="3">
        <f ca="1">IF(G6553=1,"-",Tabela2[[#This Row],[Dt Venc:]]-TODAY())</f>
        <v>26</v>
      </c>
      <c r="G6553" s="3"/>
      <c r="H6553" s="3"/>
    </row>
    <row r="6554" spans="1:8">
      <c r="A6554" s="3">
        <v>23169</v>
      </c>
      <c r="B6554" s="7" t="s">
        <v>40</v>
      </c>
      <c r="C6554" s="41">
        <v>5950</v>
      </c>
      <c r="D6554" s="6">
        <v>45719</v>
      </c>
      <c r="E6554" s="3" t="str">
        <f ca="1">IF(Tabela2[[#This Row],[Dt Venc:]]&gt;TODAY(),"Em Aberto",IF(Tabela2[[#This Row],[D/venc]]="-","Enviado",IF(Tabela2[[#This Row],[Dt Venc:]]=TODAY(),"Vence Hoje","Vencida")))</f>
        <v>Em Aberto</v>
      </c>
      <c r="F6554" s="3">
        <f ca="1">IF(G6554=1,"-",Tabela2[[#This Row],[Dt Venc:]]-TODAY())</f>
        <v>26</v>
      </c>
      <c r="G6554" s="3"/>
      <c r="H6554" s="3"/>
    </row>
    <row r="6555" spans="1:8">
      <c r="A6555" s="3">
        <v>567669</v>
      </c>
      <c r="B6555" s="7" t="s">
        <v>39</v>
      </c>
      <c r="C6555" s="41">
        <v>1085.48</v>
      </c>
      <c r="D6555" s="6">
        <v>45719</v>
      </c>
      <c r="E6555" s="3" t="str">
        <f ca="1">IF(Tabela2[[#This Row],[Dt Venc:]]&gt;TODAY(),"Em Aberto",IF(Tabela2[[#This Row],[D/venc]]="-","Enviado",IF(Tabela2[[#This Row],[Dt Venc:]]=TODAY(),"Vence Hoje","Vencida")))</f>
        <v>Em Aberto</v>
      </c>
      <c r="F6555" s="3">
        <f ca="1">IF(G6555=1,"-",Tabela2[[#This Row],[Dt Venc:]]-TODAY())</f>
        <v>26</v>
      </c>
      <c r="G6555" s="3"/>
      <c r="H6555" s="3"/>
    </row>
    <row r="6556" spans="1:8">
      <c r="A6556" s="3">
        <v>8771</v>
      </c>
      <c r="B6556" s="7" t="s">
        <v>242</v>
      </c>
      <c r="C6556" s="41">
        <v>283</v>
      </c>
      <c r="D6556" s="6">
        <v>45719</v>
      </c>
      <c r="E6556" s="3" t="str">
        <f ca="1">IF(Tabela2[[#This Row],[Dt Venc:]]&gt;TODAY(),"Em Aberto",IF(Tabela2[[#This Row],[D/venc]]="-","Enviado",IF(Tabela2[[#This Row],[Dt Venc:]]=TODAY(),"Vence Hoje","Vencida")))</f>
        <v>Em Aberto</v>
      </c>
      <c r="F6556" s="3">
        <f ca="1">IF(G6556=1,"-",Tabela2[[#This Row],[Dt Venc:]]-TODAY())</f>
        <v>26</v>
      </c>
      <c r="G6556" s="3"/>
      <c r="H6556" s="3"/>
    </row>
    <row r="6557" spans="1:8">
      <c r="A6557" s="3">
        <v>1286</v>
      </c>
      <c r="B6557" s="7" t="s">
        <v>720</v>
      </c>
      <c r="C6557" s="41">
        <v>1350</v>
      </c>
      <c r="D6557" s="6">
        <v>45719</v>
      </c>
      <c r="E6557" s="3" t="str">
        <f ca="1">IF(Tabela2[[#This Row],[Dt Venc:]]&gt;TODAY(),"Em Aberto",IF(Tabela2[[#This Row],[D/venc]]="-","Enviado",IF(Tabela2[[#This Row],[Dt Venc:]]=TODAY(),"Vence Hoje","Vencida")))</f>
        <v>Em Aberto</v>
      </c>
      <c r="F6557" s="3">
        <f ca="1">IF(G6557=1,"-",Tabela2[[#This Row],[Dt Venc:]]-TODAY())</f>
        <v>26</v>
      </c>
      <c r="G6557" s="3"/>
      <c r="H6557" s="3"/>
    </row>
    <row r="6558" spans="1:8">
      <c r="A6558" s="3">
        <v>378079</v>
      </c>
      <c r="B6558" s="7" t="s">
        <v>39</v>
      </c>
      <c r="C6558" s="41">
        <v>664.34</v>
      </c>
      <c r="D6558" s="6">
        <v>45719</v>
      </c>
      <c r="E6558" s="3" t="str">
        <f ca="1">IF(Tabela2[[#This Row],[Dt Venc:]]&gt;TODAY(),"Em Aberto",IF(Tabela2[[#This Row],[D/venc]]="-","Enviado",IF(Tabela2[[#This Row],[Dt Venc:]]=TODAY(),"Vence Hoje","Vencida")))</f>
        <v>Em Aberto</v>
      </c>
      <c r="F6558" s="3">
        <f ca="1">IF(G6558=1,"-",Tabela2[[#This Row],[Dt Venc:]]-TODAY())</f>
        <v>26</v>
      </c>
      <c r="G6558" s="3"/>
      <c r="H6558" s="3"/>
    </row>
    <row r="6559" spans="1:8">
      <c r="A6559" s="3">
        <v>23189</v>
      </c>
      <c r="B6559" s="7" t="s">
        <v>40</v>
      </c>
      <c r="C6559" s="41">
        <v>1983.34</v>
      </c>
      <c r="D6559" s="6">
        <v>45719</v>
      </c>
      <c r="E6559" s="3" t="str">
        <f ca="1">IF(Tabela2[[#This Row],[Dt Venc:]]&gt;TODAY(),"Em Aberto",IF(Tabela2[[#This Row],[D/venc]]="-","Enviado",IF(Tabela2[[#This Row],[Dt Venc:]]=TODAY(),"Vence Hoje","Vencida")))</f>
        <v>Em Aberto</v>
      </c>
      <c r="F6559" s="3">
        <f ca="1">IF(G6559=1,"-",Tabela2[[#This Row],[Dt Venc:]]-TODAY())</f>
        <v>26</v>
      </c>
      <c r="G6559" s="3"/>
      <c r="H6559" s="3"/>
    </row>
    <row r="6560" spans="1:8">
      <c r="A6560" s="3">
        <v>11400</v>
      </c>
      <c r="B6560" s="7" t="s">
        <v>33</v>
      </c>
      <c r="C6560" s="41">
        <v>1995</v>
      </c>
      <c r="D6560" s="6">
        <v>45719</v>
      </c>
      <c r="E6560" s="3" t="str">
        <f ca="1">IF(Tabela2[[#This Row],[Dt Venc:]]&gt;TODAY(),"Em Aberto",IF(Tabela2[[#This Row],[D/venc]]="-","Enviado",IF(Tabela2[[#This Row],[Dt Venc:]]=TODAY(),"Vence Hoje","Vencida")))</f>
        <v>Em Aberto</v>
      </c>
      <c r="F6560" s="3">
        <f ca="1">IF(G6560=1,"-",Tabela2[[#This Row],[Dt Venc:]]-TODAY())</f>
        <v>26</v>
      </c>
      <c r="G6560" s="3"/>
      <c r="H6560" s="3"/>
    </row>
    <row r="6561" spans="1:8">
      <c r="A6561" s="3">
        <v>734624</v>
      </c>
      <c r="B6561" s="7" t="s">
        <v>79</v>
      </c>
      <c r="C6561" s="41">
        <v>255.86</v>
      </c>
      <c r="D6561" s="6">
        <v>45719</v>
      </c>
      <c r="E6561" s="3" t="str">
        <f ca="1">IF(Tabela2[[#This Row],[Dt Venc:]]&gt;TODAY(),"Em Aberto",IF(Tabela2[[#This Row],[D/venc]]="-","Enviado",IF(Tabela2[[#This Row],[Dt Venc:]]=TODAY(),"Vence Hoje","Vencida")))</f>
        <v>Em Aberto</v>
      </c>
      <c r="F6561" s="3">
        <f ca="1">IF(G6561=1,"-",Tabela2[[#This Row],[Dt Venc:]]-TODAY())</f>
        <v>26</v>
      </c>
      <c r="G6561" s="3"/>
      <c r="H6561" s="3"/>
    </row>
    <row r="6562" spans="1:8">
      <c r="A6562" s="3">
        <v>567359</v>
      </c>
      <c r="B6562" s="7" t="s">
        <v>39</v>
      </c>
      <c r="C6562" s="41">
        <v>3060.59</v>
      </c>
      <c r="D6562" s="6">
        <v>45719</v>
      </c>
      <c r="E6562" s="3" t="str">
        <f ca="1">IF(Tabela2[[#This Row],[Dt Venc:]]&gt;TODAY(),"Em Aberto",IF(Tabela2[[#This Row],[D/venc]]="-","Enviado",IF(Tabela2[[#This Row],[Dt Venc:]]=TODAY(),"Vence Hoje","Vencida")))</f>
        <v>Em Aberto</v>
      </c>
      <c r="F6562" s="3">
        <f ca="1">IF(G6562=1,"-",Tabela2[[#This Row],[Dt Venc:]]-TODAY())</f>
        <v>26</v>
      </c>
      <c r="G6562" s="3"/>
      <c r="H6562" s="3"/>
    </row>
    <row r="6563" spans="1:8">
      <c r="A6563" s="3">
        <v>60</v>
      </c>
      <c r="B6563" s="7" t="s">
        <v>451</v>
      </c>
      <c r="C6563" s="41">
        <v>1996</v>
      </c>
      <c r="D6563" s="6">
        <v>45720</v>
      </c>
      <c r="E6563" s="3" t="str">
        <f ca="1">IF(Tabela2[[#This Row],[Dt Venc:]]&gt;TODAY(),"Em Aberto",IF(Tabela2[[#This Row],[D/venc]]="-","Enviado",IF(Tabela2[[#This Row],[Dt Venc:]]=TODAY(),"Vence Hoje","Vencida")))</f>
        <v>Em Aberto</v>
      </c>
      <c r="F6563" s="3">
        <f ca="1">IF(G6563=1,"-",Tabela2[[#This Row],[Dt Venc:]]-TODAY())</f>
        <v>27</v>
      </c>
      <c r="G6563" s="3"/>
      <c r="H6563" s="3"/>
    </row>
    <row r="6564" spans="1:8">
      <c r="A6564" s="3">
        <v>2364</v>
      </c>
      <c r="B6564" s="7" t="s">
        <v>45</v>
      </c>
      <c r="C6564" s="41">
        <v>1312</v>
      </c>
      <c r="D6564" s="6">
        <v>45720</v>
      </c>
      <c r="E6564" s="3" t="str">
        <f ca="1">IF(Tabela2[[#This Row],[Dt Venc:]]&gt;TODAY(),"Em Aberto",IF(Tabela2[[#This Row],[D/venc]]="-","Enviado",IF(Tabela2[[#This Row],[Dt Venc:]]=TODAY(),"Vence Hoje","Vencida")))</f>
        <v>Em Aberto</v>
      </c>
      <c r="F6564" s="3">
        <f ca="1">IF(G6564=1,"-",Tabela2[[#This Row],[Dt Venc:]]-TODAY())</f>
        <v>27</v>
      </c>
      <c r="G6564" s="3"/>
      <c r="H6564" s="3"/>
    </row>
    <row r="6565" spans="1:8">
      <c r="A6565" s="3">
        <v>5166</v>
      </c>
      <c r="B6565" s="7" t="s">
        <v>463</v>
      </c>
      <c r="C6565" s="41">
        <v>2001.3</v>
      </c>
      <c r="D6565" s="6">
        <v>45720</v>
      </c>
      <c r="E6565" s="3" t="str">
        <f ca="1">IF(Tabela2[[#This Row],[Dt Venc:]]&gt;TODAY(),"Em Aberto",IF(Tabela2[[#This Row],[D/venc]]="-","Enviado",IF(Tabela2[[#This Row],[Dt Venc:]]=TODAY(),"Vence Hoje","Vencida")))</f>
        <v>Em Aberto</v>
      </c>
      <c r="F6565" s="3">
        <f ca="1">IF(G6565=1,"-",Tabela2[[#This Row],[Dt Venc:]]-TODAY())</f>
        <v>27</v>
      </c>
      <c r="G6565" s="3"/>
      <c r="H6565" s="3"/>
    </row>
    <row r="6566" spans="1:8">
      <c r="A6566" s="3">
        <v>11196</v>
      </c>
      <c r="B6566" s="7" t="s">
        <v>33</v>
      </c>
      <c r="C6566" s="41">
        <v>1993.33</v>
      </c>
      <c r="D6566" s="6">
        <v>45720</v>
      </c>
      <c r="E6566" s="3" t="str">
        <f ca="1">IF(Tabela2[[#This Row],[Dt Venc:]]&gt;TODAY(),"Em Aberto",IF(Tabela2[[#This Row],[D/venc]]="-","Enviado",IF(Tabela2[[#This Row],[Dt Venc:]]=TODAY(),"Vence Hoje","Vencida")))</f>
        <v>Em Aberto</v>
      </c>
      <c r="F6566" s="3">
        <f ca="1">IF(G6566=1,"-",Tabela2[[#This Row],[Dt Venc:]]-TODAY())</f>
        <v>27</v>
      </c>
      <c r="G6566" s="3"/>
      <c r="H6566" s="3"/>
    </row>
    <row r="6567" spans="1:8">
      <c r="A6567" s="3">
        <v>12429</v>
      </c>
      <c r="B6567" s="7" t="s">
        <v>72</v>
      </c>
      <c r="C6567" s="41">
        <v>1033.3399999999999</v>
      </c>
      <c r="D6567" s="6">
        <v>45720</v>
      </c>
      <c r="E6567" s="3" t="str">
        <f ca="1">IF(Tabela2[[#This Row],[Dt Venc:]]&gt;TODAY(),"Em Aberto",IF(Tabela2[[#This Row],[D/venc]]="-","Enviado",IF(Tabela2[[#This Row],[Dt Venc:]]=TODAY(),"Vence Hoje","Vencida")))</f>
        <v>Em Aberto</v>
      </c>
      <c r="F6567" s="3">
        <f ca="1">IF(G6567=1,"-",Tabela2[[#This Row],[Dt Venc:]]-TODAY())</f>
        <v>27</v>
      </c>
      <c r="G6567" s="3"/>
      <c r="H6567" s="3"/>
    </row>
    <row r="6568" spans="1:8">
      <c r="A6568" s="3">
        <v>12430</v>
      </c>
      <c r="B6568" s="7" t="s">
        <v>72</v>
      </c>
      <c r="C6568" s="41">
        <v>1033.3399999999999</v>
      </c>
      <c r="D6568" s="6">
        <v>45720</v>
      </c>
      <c r="E6568" s="3" t="str">
        <f ca="1">IF(Tabela2[[#This Row],[Dt Venc:]]&gt;TODAY(),"Em Aberto",IF(Tabela2[[#This Row],[D/venc]]="-","Enviado",IF(Tabela2[[#This Row],[Dt Venc:]]=TODAY(),"Vence Hoje","Vencida")))</f>
        <v>Em Aberto</v>
      </c>
      <c r="F6568" s="3">
        <f ca="1">IF(G6568=1,"-",Tabela2[[#This Row],[Dt Venc:]]-TODAY())</f>
        <v>27</v>
      </c>
      <c r="G6568" s="3"/>
      <c r="H6568" s="3"/>
    </row>
    <row r="6569" spans="1:8">
      <c r="A6569" s="3">
        <v>12442</v>
      </c>
      <c r="B6569" s="7" t="s">
        <v>174</v>
      </c>
      <c r="C6569" s="41">
        <v>1566.66</v>
      </c>
      <c r="D6569" s="6">
        <v>45720</v>
      </c>
      <c r="E6569" s="3" t="str">
        <f ca="1">IF(Tabela2[[#This Row],[Dt Venc:]]&gt;TODAY(),"Em Aberto",IF(Tabela2[[#This Row],[D/venc]]="-","Enviado",IF(Tabela2[[#This Row],[Dt Venc:]]=TODAY(),"Vence Hoje","Vencida")))</f>
        <v>Em Aberto</v>
      </c>
      <c r="F6569" s="3">
        <f ca="1">IF(G6569=1,"-",Tabela2[[#This Row],[Dt Venc:]]-TODAY())</f>
        <v>27</v>
      </c>
      <c r="G6569" s="3"/>
      <c r="H6569" s="3"/>
    </row>
    <row r="6570" spans="1:8">
      <c r="A6570" s="3">
        <v>15393</v>
      </c>
      <c r="B6570" s="7" t="s">
        <v>99</v>
      </c>
      <c r="C6570" s="41">
        <v>1062.5</v>
      </c>
      <c r="D6570" s="6">
        <v>45720</v>
      </c>
      <c r="E6570" s="3" t="str">
        <f ca="1">IF(Tabela2[[#This Row],[Dt Venc:]]&gt;TODAY(),"Em Aberto",IF(Tabela2[[#This Row],[D/venc]]="-","Enviado",IF(Tabela2[[#This Row],[Dt Venc:]]=TODAY(),"Vence Hoje","Vencida")))</f>
        <v>Em Aberto</v>
      </c>
      <c r="F6570" s="3">
        <f ca="1">IF(G6570=1,"-",Tabela2[[#This Row],[Dt Venc:]]-TODAY())</f>
        <v>27</v>
      </c>
      <c r="G6570" s="3"/>
      <c r="H6570" s="3"/>
    </row>
    <row r="6571" spans="1:8">
      <c r="A6571" s="3">
        <v>31134</v>
      </c>
      <c r="B6571" s="7" t="s">
        <v>97</v>
      </c>
      <c r="C6571" s="41">
        <v>2285</v>
      </c>
      <c r="D6571" s="6">
        <v>45720</v>
      </c>
      <c r="E6571" s="3" t="str">
        <f ca="1">IF(Tabela2[[#This Row],[Dt Venc:]]&gt;TODAY(),"Em Aberto",IF(Tabela2[[#This Row],[D/venc]]="-","Enviado",IF(Tabela2[[#This Row],[Dt Venc:]]=TODAY(),"Vence Hoje","Vencida")))</f>
        <v>Em Aberto</v>
      </c>
      <c r="F6571" s="3">
        <f ca="1">IF(G6571=1,"-",Tabela2[[#This Row],[Dt Venc:]]-TODAY())</f>
        <v>27</v>
      </c>
      <c r="G6571" s="3"/>
      <c r="H6571" s="3"/>
    </row>
    <row r="6572" spans="1:8">
      <c r="A6572" s="3">
        <v>49673</v>
      </c>
      <c r="B6572" s="7" t="s">
        <v>144</v>
      </c>
      <c r="C6572" s="41">
        <v>494.34</v>
      </c>
      <c r="D6572" s="6">
        <v>45720</v>
      </c>
      <c r="E6572" s="3" t="str">
        <f ca="1">IF(Tabela2[[#This Row],[Dt Venc:]]&gt;TODAY(),"Em Aberto",IF(Tabela2[[#This Row],[D/venc]]="-","Enviado",IF(Tabela2[[#This Row],[Dt Venc:]]=TODAY(),"Vence Hoje","Vencida")))</f>
        <v>Em Aberto</v>
      </c>
      <c r="F6572" s="3">
        <f ca="1">IF(G6572=1,"-",Tabela2[[#This Row],[Dt Venc:]]-TODAY())</f>
        <v>27</v>
      </c>
      <c r="G6572" s="3"/>
      <c r="H6572" s="3"/>
    </row>
    <row r="6573" spans="1:8">
      <c r="A6573" s="3">
        <v>138152</v>
      </c>
      <c r="B6573" s="7" t="s">
        <v>197</v>
      </c>
      <c r="C6573" s="41">
        <v>470</v>
      </c>
      <c r="D6573" s="6">
        <v>45720</v>
      </c>
      <c r="E6573" s="3" t="str">
        <f ca="1">IF(Tabela2[[#This Row],[Dt Venc:]]&gt;TODAY(),"Em Aberto",IF(Tabela2[[#This Row],[D/venc]]="-","Enviado",IF(Tabela2[[#This Row],[Dt Venc:]]=TODAY(),"Vence Hoje","Vencida")))</f>
        <v>Em Aberto</v>
      </c>
      <c r="F6573" s="3">
        <f ca="1">IF(G6573=1,"-",Tabela2[[#This Row],[Dt Venc:]]-TODAY())</f>
        <v>27</v>
      </c>
      <c r="G6573" s="3"/>
      <c r="H6573" s="3"/>
    </row>
    <row r="6574" spans="1:8">
      <c r="A6574" s="3">
        <v>154963</v>
      </c>
      <c r="B6574" s="7" t="s">
        <v>77</v>
      </c>
      <c r="C6574" s="41">
        <v>773.33</v>
      </c>
      <c r="D6574" s="6">
        <v>45720</v>
      </c>
      <c r="E6574" s="3" t="str">
        <f ca="1">IF(Tabela2[[#This Row],[Dt Venc:]]&gt;TODAY(),"Em Aberto",IF(Tabela2[[#This Row],[D/venc]]="-","Enviado",IF(Tabela2[[#This Row],[Dt Venc:]]=TODAY(),"Vence Hoje","Vencida")))</f>
        <v>Em Aberto</v>
      </c>
      <c r="F6574" s="3">
        <f ca="1">IF(G6574=1,"-",Tabela2[[#This Row],[Dt Venc:]]-TODAY())</f>
        <v>27</v>
      </c>
      <c r="G6574" s="3"/>
      <c r="H6574" s="3"/>
    </row>
    <row r="6575" spans="1:8">
      <c r="A6575" s="3">
        <v>177406</v>
      </c>
      <c r="B6575" s="7" t="s">
        <v>174</v>
      </c>
      <c r="C6575" s="41">
        <v>990</v>
      </c>
      <c r="D6575" s="6">
        <v>45720</v>
      </c>
      <c r="E6575" s="3" t="str">
        <f ca="1">IF(Tabela2[[#This Row],[Dt Venc:]]&gt;TODAY(),"Em Aberto",IF(Tabela2[[#This Row],[D/venc]]="-","Enviado",IF(Tabela2[[#This Row],[Dt Venc:]]=TODAY(),"Vence Hoje","Vencida")))</f>
        <v>Em Aberto</v>
      </c>
      <c r="F6575" s="3">
        <f ca="1">IF(G6575=1,"-",Tabela2[[#This Row],[Dt Venc:]]-TODAY())</f>
        <v>27</v>
      </c>
      <c r="G6575" s="3"/>
      <c r="H6575" s="3"/>
    </row>
    <row r="6576" spans="1:8">
      <c r="A6576" s="3">
        <v>224398</v>
      </c>
      <c r="B6576" s="7" t="s">
        <v>127</v>
      </c>
      <c r="C6576" s="41">
        <v>1901.68</v>
      </c>
      <c r="D6576" s="6">
        <v>45720</v>
      </c>
      <c r="E6576" s="3" t="str">
        <f ca="1">IF(Tabela2[[#This Row],[Dt Venc:]]&gt;TODAY(),"Em Aberto",IF(Tabela2[[#This Row],[D/venc]]="-","Enviado",IF(Tabela2[[#This Row],[Dt Venc:]]=TODAY(),"Vence Hoje","Vencida")))</f>
        <v>Em Aberto</v>
      </c>
      <c r="F6576" s="3">
        <f ca="1">IF(G6576=1,"-",Tabela2[[#This Row],[Dt Venc:]]-TODAY())</f>
        <v>27</v>
      </c>
      <c r="G6576" s="3"/>
      <c r="H6576" s="3"/>
    </row>
    <row r="6577" spans="1:8">
      <c r="A6577" s="3">
        <v>259949</v>
      </c>
      <c r="B6577" s="7" t="s">
        <v>49</v>
      </c>
      <c r="C6577" s="41">
        <v>1716.66</v>
      </c>
      <c r="D6577" s="6">
        <v>45720</v>
      </c>
      <c r="E6577" s="3" t="str">
        <f ca="1">IF(Tabela2[[#This Row],[Dt Venc:]]&gt;TODAY(),"Em Aberto",IF(Tabela2[[#This Row],[D/venc]]="-","Enviado",IF(Tabela2[[#This Row],[Dt Venc:]]=TODAY(),"Vence Hoje","Vencida")))</f>
        <v>Em Aberto</v>
      </c>
      <c r="F6577" s="3">
        <f ca="1">IF(G6577=1,"-",Tabela2[[#This Row],[Dt Venc:]]-TODAY())</f>
        <v>27</v>
      </c>
      <c r="G6577" s="3"/>
      <c r="H6577" s="3"/>
    </row>
    <row r="6578" spans="1:8">
      <c r="A6578" s="3">
        <v>265131</v>
      </c>
      <c r="B6578" s="7" t="s">
        <v>43</v>
      </c>
      <c r="C6578" s="41">
        <v>2658.18</v>
      </c>
      <c r="D6578" s="6">
        <v>45720</v>
      </c>
      <c r="E6578" s="3" t="str">
        <f ca="1">IF(Tabela2[[#This Row],[Dt Venc:]]&gt;TODAY(),"Em Aberto",IF(Tabela2[[#This Row],[D/venc]]="-","Enviado",IF(Tabela2[[#This Row],[Dt Venc:]]=TODAY(),"Vence Hoje","Vencida")))</f>
        <v>Em Aberto</v>
      </c>
      <c r="F6578" s="3">
        <f ca="1">IF(G6578=1,"-",Tabela2[[#This Row],[Dt Venc:]]-TODAY())</f>
        <v>27</v>
      </c>
      <c r="G6578" s="3"/>
      <c r="H6578" s="3"/>
    </row>
    <row r="6579" spans="1:8">
      <c r="A6579" s="3">
        <v>265431</v>
      </c>
      <c r="B6579" s="7" t="s">
        <v>43</v>
      </c>
      <c r="C6579" s="41">
        <v>1361.08</v>
      </c>
      <c r="D6579" s="6">
        <v>45720</v>
      </c>
      <c r="E6579" s="3" t="str">
        <f ca="1">IF(Tabela2[[#This Row],[Dt Venc:]]&gt;TODAY(),"Em Aberto",IF(Tabela2[[#This Row],[D/venc]]="-","Enviado",IF(Tabela2[[#This Row],[Dt Venc:]]=TODAY(),"Vence Hoje","Vencida")))</f>
        <v>Em Aberto</v>
      </c>
      <c r="F6579" s="3">
        <f ca="1">IF(G6579=1,"-",Tabela2[[#This Row],[Dt Venc:]]-TODAY())</f>
        <v>27</v>
      </c>
      <c r="G6579" s="3"/>
      <c r="H6579" s="3"/>
    </row>
    <row r="6580" spans="1:8">
      <c r="A6580" s="3">
        <v>274375</v>
      </c>
      <c r="B6580" s="7" t="s">
        <v>43</v>
      </c>
      <c r="C6580" s="41">
        <v>567.72</v>
      </c>
      <c r="D6580" s="6">
        <v>45720</v>
      </c>
      <c r="E6580" s="3" t="str">
        <f ca="1">IF(Tabela2[[#This Row],[Dt Venc:]]&gt;TODAY(),"Em Aberto",IF(Tabela2[[#This Row],[D/venc]]="-","Enviado",IF(Tabela2[[#This Row],[Dt Venc:]]=TODAY(),"Vence Hoje","Vencida")))</f>
        <v>Em Aberto</v>
      </c>
      <c r="F6580" s="3">
        <f ca="1">IF(G6580=1,"-",Tabela2[[#This Row],[Dt Venc:]]-TODAY())</f>
        <v>27</v>
      </c>
      <c r="G6580" s="3"/>
      <c r="H6580" s="3"/>
    </row>
    <row r="6581" spans="1:8">
      <c r="A6581" s="3">
        <v>305978</v>
      </c>
      <c r="B6581" s="7" t="s">
        <v>572</v>
      </c>
      <c r="C6581" s="41">
        <v>1048.6600000000001</v>
      </c>
      <c r="D6581" s="6">
        <v>45720</v>
      </c>
      <c r="E6581" s="3" t="str">
        <f ca="1">IF(Tabela2[[#This Row],[Dt Venc:]]&gt;TODAY(),"Em Aberto",IF(Tabela2[[#This Row],[D/venc]]="-","Enviado",IF(Tabela2[[#This Row],[Dt Venc:]]=TODAY(),"Vence Hoje","Vencida")))</f>
        <v>Em Aberto</v>
      </c>
      <c r="F6581" s="3">
        <f ca="1">IF(G6581=1,"-",Tabela2[[#This Row],[Dt Venc:]]-TODAY())</f>
        <v>27</v>
      </c>
      <c r="G6581" s="3"/>
      <c r="H6581" s="3"/>
    </row>
    <row r="6582" spans="1:8">
      <c r="A6582" s="3">
        <v>374265</v>
      </c>
      <c r="B6582" s="7" t="s">
        <v>39</v>
      </c>
      <c r="C6582" s="41">
        <v>1946.82</v>
      </c>
      <c r="D6582" s="6">
        <v>45720</v>
      </c>
      <c r="E6582" s="3" t="str">
        <f ca="1">IF(Tabela2[[#This Row],[Dt Venc:]]&gt;TODAY(),"Em Aberto",IF(Tabela2[[#This Row],[D/venc]]="-","Enviado",IF(Tabela2[[#This Row],[Dt Venc:]]=TODAY(),"Vence Hoje","Vencida")))</f>
        <v>Em Aberto</v>
      </c>
      <c r="F6582" s="3">
        <f ca="1">IF(G6582=1,"-",Tabela2[[#This Row],[Dt Venc:]]-TODAY())</f>
        <v>27</v>
      </c>
      <c r="G6582" s="3"/>
      <c r="H6582" s="3"/>
    </row>
    <row r="6583" spans="1:8">
      <c r="A6583" s="3">
        <v>376033</v>
      </c>
      <c r="B6583" s="7" t="s">
        <v>39</v>
      </c>
      <c r="C6583" s="41">
        <v>1869.31</v>
      </c>
      <c r="D6583" s="6">
        <v>45720</v>
      </c>
      <c r="E6583" s="3" t="str">
        <f ca="1">IF(Tabela2[[#This Row],[Dt Venc:]]&gt;TODAY(),"Em Aberto",IF(Tabela2[[#This Row],[D/venc]]="-","Enviado",IF(Tabela2[[#This Row],[Dt Venc:]]=TODAY(),"Vence Hoje","Vencida")))</f>
        <v>Em Aberto</v>
      </c>
      <c r="F6583" s="3">
        <f ca="1">IF(G6583=1,"-",Tabela2[[#This Row],[Dt Venc:]]-TODAY())</f>
        <v>27</v>
      </c>
      <c r="G6583" s="3"/>
      <c r="H6583" s="3"/>
    </row>
    <row r="6584" spans="1:8">
      <c r="A6584" s="3">
        <v>431415</v>
      </c>
      <c r="B6584" s="7" t="s">
        <v>89</v>
      </c>
      <c r="C6584" s="41">
        <v>1935.03</v>
      </c>
      <c r="D6584" s="6">
        <v>45720</v>
      </c>
      <c r="E6584" s="3" t="str">
        <f ca="1">IF(Tabela2[[#This Row],[Dt Venc:]]&gt;TODAY(),"Em Aberto",IF(Tabela2[[#This Row],[D/venc]]="-","Enviado",IF(Tabela2[[#This Row],[Dt Venc:]]=TODAY(),"Vence Hoje","Vencida")))</f>
        <v>Em Aberto</v>
      </c>
      <c r="F6584" s="3">
        <f ca="1">IF(G6584=1,"-",Tabela2[[#This Row],[Dt Venc:]]-TODAY())</f>
        <v>27</v>
      </c>
      <c r="G6584" s="3"/>
      <c r="H6584" s="3"/>
    </row>
    <row r="6585" spans="1:8">
      <c r="A6585" s="3">
        <v>616429</v>
      </c>
      <c r="B6585" s="7" t="s">
        <v>66</v>
      </c>
      <c r="C6585" s="41">
        <v>2838.78</v>
      </c>
      <c r="D6585" s="6">
        <v>45720</v>
      </c>
      <c r="E6585" s="3" t="str">
        <f ca="1">IF(Tabela2[[#This Row],[Dt Venc:]]&gt;TODAY(),"Em Aberto",IF(Tabela2[[#This Row],[D/venc]]="-","Enviado",IF(Tabela2[[#This Row],[Dt Venc:]]=TODAY(),"Vence Hoje","Vencida")))</f>
        <v>Em Aberto</v>
      </c>
      <c r="F6585" s="3">
        <f ca="1">IF(G6585=1,"-",Tabela2[[#This Row],[Dt Venc:]]-TODAY())</f>
        <v>27</v>
      </c>
      <c r="G6585" s="3"/>
      <c r="H6585" s="3"/>
    </row>
    <row r="6586" spans="1:8">
      <c r="A6586" s="3">
        <v>620230</v>
      </c>
      <c r="B6586" s="7" t="s">
        <v>66</v>
      </c>
      <c r="C6586" s="41">
        <v>3353.79</v>
      </c>
      <c r="D6586" s="6">
        <v>45720</v>
      </c>
      <c r="E6586" s="3" t="str">
        <f ca="1">IF(Tabela2[[#This Row],[Dt Venc:]]&gt;TODAY(),"Em Aberto",IF(Tabela2[[#This Row],[D/venc]]="-","Enviado",IF(Tabela2[[#This Row],[Dt Venc:]]=TODAY(),"Vence Hoje","Vencida")))</f>
        <v>Em Aberto</v>
      </c>
      <c r="F6586" s="3">
        <f ca="1">IF(G6586=1,"-",Tabela2[[#This Row],[Dt Venc:]]-TODAY())</f>
        <v>27</v>
      </c>
      <c r="G6586" s="3"/>
      <c r="H6586" s="3"/>
    </row>
    <row r="6587" spans="1:8">
      <c r="A6587" s="3">
        <v>260234</v>
      </c>
      <c r="B6587" s="7" t="s">
        <v>49</v>
      </c>
      <c r="C6587" s="41">
        <v>1716.66</v>
      </c>
      <c r="D6587" s="6">
        <v>45720</v>
      </c>
      <c r="E6587" s="3" t="str">
        <f ca="1">IF(Tabela2[[#This Row],[Dt Venc:]]&gt;TODAY(),"Em Aberto",IF(Tabela2[[#This Row],[D/venc]]="-","Enviado",IF(Tabela2[[#This Row],[Dt Venc:]]=TODAY(),"Vence Hoje","Vencida")))</f>
        <v>Em Aberto</v>
      </c>
      <c r="F6587" s="3">
        <f ca="1">IF(G6587=1,"-",Tabela2[[#This Row],[Dt Venc:]]-TODAY())</f>
        <v>27</v>
      </c>
      <c r="G6587" s="3"/>
      <c r="H6587" s="3"/>
    </row>
    <row r="6588" spans="1:8">
      <c r="A6588" s="3">
        <v>912</v>
      </c>
      <c r="B6588" s="7" t="s">
        <v>363</v>
      </c>
      <c r="C6588" s="41">
        <v>1166.67</v>
      </c>
      <c r="D6588" s="6">
        <v>45721</v>
      </c>
      <c r="E6588" s="3" t="str">
        <f ca="1">IF(Tabela2[[#This Row],[Dt Venc:]]&gt;TODAY(),"Em Aberto",IF(Tabela2[[#This Row],[D/venc]]="-","Enviado",IF(Tabela2[[#This Row],[Dt Venc:]]=TODAY(),"Vence Hoje","Vencida")))</f>
        <v>Em Aberto</v>
      </c>
      <c r="F6588" s="3">
        <f ca="1">IF(G6588=1,"-",Tabela2[[#This Row],[Dt Venc:]]-TODAY())</f>
        <v>28</v>
      </c>
      <c r="G6588" s="3"/>
      <c r="H6588" s="3"/>
    </row>
    <row r="6589" spans="1:8">
      <c r="A6589" s="3">
        <v>912</v>
      </c>
      <c r="B6589" s="7" t="s">
        <v>363</v>
      </c>
      <c r="C6589" s="41">
        <v>1166.67</v>
      </c>
      <c r="D6589" s="6">
        <v>45721</v>
      </c>
      <c r="E6589" s="3" t="str">
        <f ca="1">IF(Tabela2[[#This Row],[Dt Venc:]]&gt;TODAY(),"Em Aberto",IF(Tabela2[[#This Row],[D/venc]]="-","Enviado",IF(Tabela2[[#This Row],[Dt Venc:]]=TODAY(),"Vence Hoje","Vencida")))</f>
        <v>Em Aberto</v>
      </c>
      <c r="F6589" s="3">
        <f ca="1">IF(G6589=1,"-",Tabela2[[#This Row],[Dt Venc:]]-TODAY())</f>
        <v>28</v>
      </c>
      <c r="G6589" s="3"/>
      <c r="H6589" s="3"/>
    </row>
    <row r="6590" spans="1:8">
      <c r="A6590" s="3">
        <v>1221</v>
      </c>
      <c r="B6590" s="7" t="s">
        <v>416</v>
      </c>
      <c r="C6590" s="41">
        <v>1553.33</v>
      </c>
      <c r="D6590" s="6">
        <v>45721</v>
      </c>
      <c r="E6590" s="3" t="str">
        <f ca="1">IF(Tabela2[[#This Row],[Dt Venc:]]&gt;TODAY(),"Em Aberto",IF(Tabela2[[#This Row],[D/venc]]="-","Enviado",IF(Tabela2[[#This Row],[Dt Venc:]]=TODAY(),"Vence Hoje","Vencida")))</f>
        <v>Em Aberto</v>
      </c>
      <c r="F6590" s="3">
        <f ca="1">IF(G6590=1,"-",Tabela2[[#This Row],[Dt Venc:]]-TODAY())</f>
        <v>28</v>
      </c>
      <c r="G6590" s="3"/>
      <c r="H6590" s="3"/>
    </row>
    <row r="6591" spans="1:8">
      <c r="A6591" s="3">
        <v>3195</v>
      </c>
      <c r="B6591" s="7" t="s">
        <v>114</v>
      </c>
      <c r="C6591" s="42">
        <v>160</v>
      </c>
      <c r="D6591" s="6">
        <v>45721</v>
      </c>
      <c r="E6591" s="3" t="str">
        <f ca="1">IF(Tabela2[[#This Row],[Dt Venc:]]&gt;TODAY(),"Em Aberto",IF(Tabela2[[#This Row],[D/venc]]="-","Enviado",IF(Tabela2[[#This Row],[Dt Venc:]]=TODAY(),"Vence Hoje","Vencida")))</f>
        <v>Em Aberto</v>
      </c>
      <c r="F6591" s="3">
        <f ca="1">IF(G6591=1,"-",Tabela2[[#This Row],[Dt Venc:]]-TODAY())</f>
        <v>28</v>
      </c>
      <c r="G6591" s="3"/>
      <c r="H6591" s="3"/>
    </row>
    <row r="6592" spans="1:8">
      <c r="A6592" s="3">
        <v>5167</v>
      </c>
      <c r="B6592" s="7" t="s">
        <v>463</v>
      </c>
      <c r="C6592" s="41">
        <v>2001.3</v>
      </c>
      <c r="D6592" s="6">
        <v>45721</v>
      </c>
      <c r="E6592" s="3" t="str">
        <f ca="1">IF(Tabela2[[#This Row],[Dt Venc:]]&gt;TODAY(),"Em Aberto",IF(Tabela2[[#This Row],[D/venc]]="-","Enviado",IF(Tabela2[[#This Row],[Dt Venc:]]=TODAY(),"Vence Hoje","Vencida")))</f>
        <v>Em Aberto</v>
      </c>
      <c r="F6592" s="3">
        <f ca="1">IF(G6592=1,"-",Tabela2[[#This Row],[Dt Venc:]]-TODAY())</f>
        <v>28</v>
      </c>
      <c r="G6592" s="3"/>
      <c r="H6592" s="3"/>
    </row>
    <row r="6593" spans="1:8">
      <c r="A6593" s="3">
        <v>5680</v>
      </c>
      <c r="B6593" s="7" t="s">
        <v>122</v>
      </c>
      <c r="C6593" s="99" t="s">
        <v>32</v>
      </c>
      <c r="D6593" s="6">
        <v>45721</v>
      </c>
      <c r="E6593" s="3" t="str">
        <f ca="1">IF(Tabela2[[#This Row],[Dt Venc:]]&gt;TODAY(),"Em Aberto",IF(Tabela2[[#This Row],[D/venc]]="-","Enviado",IF(Tabela2[[#This Row],[Dt Venc:]]=TODAY(),"Vence Hoje","Vencida")))</f>
        <v>Em Aberto</v>
      </c>
      <c r="F6593" s="3">
        <f ca="1">IF(G6593=1,"-",Tabela2[[#This Row],[Dt Venc:]]-TODAY())</f>
        <v>28</v>
      </c>
      <c r="G6593" s="3"/>
      <c r="H6593" s="3"/>
    </row>
    <row r="6594" spans="1:8">
      <c r="A6594" s="3">
        <v>6123</v>
      </c>
      <c r="B6594" s="7" t="s">
        <v>140</v>
      </c>
      <c r="C6594" s="41">
        <v>2682</v>
      </c>
      <c r="D6594" s="6">
        <v>45721</v>
      </c>
      <c r="E6594" s="3" t="str">
        <f ca="1">IF(Tabela2[[#This Row],[Dt Venc:]]&gt;TODAY(),"Em Aberto",IF(Tabela2[[#This Row],[D/venc]]="-","Enviado",IF(Tabela2[[#This Row],[Dt Venc:]]=TODAY(),"Vence Hoje","Vencida")))</f>
        <v>Em Aberto</v>
      </c>
      <c r="F6594" s="3">
        <f ca="1">IF(G6594=1,"-",Tabela2[[#This Row],[Dt Venc:]]-TODAY())</f>
        <v>28</v>
      </c>
      <c r="G6594" s="3"/>
      <c r="H6594" s="3"/>
    </row>
    <row r="6595" spans="1:8">
      <c r="A6595" s="3">
        <v>6237</v>
      </c>
      <c r="B6595" s="7" t="s">
        <v>47</v>
      </c>
      <c r="C6595" s="41">
        <v>2040.36</v>
      </c>
      <c r="D6595" s="6">
        <v>45721</v>
      </c>
      <c r="E6595" s="3" t="str">
        <f ca="1">IF(Tabela2[[#This Row],[Dt Venc:]]&gt;TODAY(),"Em Aberto",IF(Tabela2[[#This Row],[D/venc]]="-","Enviado",IF(Tabela2[[#This Row],[Dt Venc:]]=TODAY(),"Vence Hoje","Vencida")))</f>
        <v>Em Aberto</v>
      </c>
      <c r="F6595" s="3">
        <f ca="1">IF(G6595=1,"-",Tabela2[[#This Row],[Dt Venc:]]-TODAY())</f>
        <v>28</v>
      </c>
      <c r="G6595" s="3"/>
      <c r="H6595" s="3"/>
    </row>
    <row r="6596" spans="1:8">
      <c r="A6596" s="3">
        <v>6914</v>
      </c>
      <c r="B6596" s="7" t="s">
        <v>43</v>
      </c>
      <c r="C6596" s="41">
        <v>380.66</v>
      </c>
      <c r="D6596" s="6">
        <v>45721</v>
      </c>
      <c r="E6596" s="3" t="str">
        <f ca="1">IF(Tabela2[[#This Row],[Dt Venc:]]&gt;TODAY(),"Em Aberto",IF(Tabela2[[#This Row],[D/venc]]="-","Enviado",IF(Tabela2[[#This Row],[Dt Venc:]]=TODAY(),"Vence Hoje","Vencida")))</f>
        <v>Em Aberto</v>
      </c>
      <c r="F6596" s="3">
        <f ca="1">IF(G6596=1,"-",Tabela2[[#This Row],[Dt Venc:]]-TODAY())</f>
        <v>28</v>
      </c>
      <c r="G6596" s="3"/>
      <c r="H6596" s="3"/>
    </row>
    <row r="6597" spans="1:8">
      <c r="A6597" s="3">
        <v>10353</v>
      </c>
      <c r="B6597" s="7" t="s">
        <v>82</v>
      </c>
      <c r="C6597" s="100" t="s">
        <v>32</v>
      </c>
      <c r="D6597" s="6">
        <v>45721</v>
      </c>
      <c r="E6597" s="3" t="str">
        <f ca="1">IF(Tabela2[[#This Row],[Dt Venc:]]&gt;TODAY(),"Em Aberto",IF(Tabela2[[#This Row],[D/venc]]="-","Enviado",IF(Tabela2[[#This Row],[Dt Venc:]]=TODAY(),"Vence Hoje","Vencida")))</f>
        <v>Em Aberto</v>
      </c>
      <c r="F6597" s="3">
        <f ca="1">IF(G6597=1,"-",Tabela2[[#This Row],[Dt Venc:]]-TODAY())</f>
        <v>28</v>
      </c>
      <c r="G6597" s="3"/>
      <c r="H6597" s="3"/>
    </row>
    <row r="6598" spans="1:8">
      <c r="A6598" s="3">
        <v>11199</v>
      </c>
      <c r="B6598" s="7" t="s">
        <v>33</v>
      </c>
      <c r="C6598" s="41">
        <v>2000</v>
      </c>
      <c r="D6598" s="6">
        <v>45721</v>
      </c>
      <c r="E6598" s="3" t="str">
        <f ca="1">IF(Tabela2[[#This Row],[Dt Venc:]]&gt;TODAY(),"Em Aberto",IF(Tabela2[[#This Row],[D/venc]]="-","Enviado",IF(Tabela2[[#This Row],[Dt Venc:]]=TODAY(),"Vence Hoje","Vencida")))</f>
        <v>Em Aberto</v>
      </c>
      <c r="F6598" s="3">
        <f ca="1">IF(G6598=1,"-",Tabela2[[#This Row],[Dt Venc:]]-TODAY())</f>
        <v>28</v>
      </c>
      <c r="G6598" s="3"/>
      <c r="H6598" s="3"/>
    </row>
    <row r="6599" spans="1:8">
      <c r="A6599" s="3">
        <v>14100</v>
      </c>
      <c r="B6599" s="7" t="s">
        <v>400</v>
      </c>
      <c r="C6599" s="41">
        <v>586.12</v>
      </c>
      <c r="D6599" s="6">
        <v>45721</v>
      </c>
      <c r="E6599" s="3" t="str">
        <f ca="1">IF(Tabela2[[#This Row],[Dt Venc:]]&gt;TODAY(),"Em Aberto",IF(Tabela2[[#This Row],[D/venc]]="-","Enviado",IF(Tabela2[[#This Row],[Dt Venc:]]=TODAY(),"Vence Hoje","Vencida")))</f>
        <v>Em Aberto</v>
      </c>
      <c r="F6599" s="3">
        <f ca="1">IF(G6599=1,"-",Tabela2[[#This Row],[Dt Venc:]]-TODAY())</f>
        <v>28</v>
      </c>
      <c r="G6599" s="3"/>
      <c r="H6599" s="3"/>
    </row>
    <row r="6600" spans="1:8">
      <c r="A6600" s="3">
        <v>14324</v>
      </c>
      <c r="B6600" s="7" t="s">
        <v>614</v>
      </c>
      <c r="C6600" s="41">
        <v>733.33</v>
      </c>
      <c r="D6600" s="6">
        <v>45721</v>
      </c>
      <c r="E6600" s="3" t="str">
        <f ca="1">IF(Tabela2[[#This Row],[Dt Venc:]]&gt;TODAY(),"Em Aberto",IF(Tabela2[[#This Row],[D/venc]]="-","Enviado",IF(Tabela2[[#This Row],[Dt Venc:]]=TODAY(),"Vence Hoje","Vencida")))</f>
        <v>Em Aberto</v>
      </c>
      <c r="F6600" s="3">
        <f ca="1">IF(G6600=1,"-",Tabela2[[#This Row],[Dt Venc:]]-TODAY())</f>
        <v>28</v>
      </c>
      <c r="G6600" s="3"/>
      <c r="H6600" s="3"/>
    </row>
    <row r="6601" spans="1:8">
      <c r="A6601" s="3">
        <v>24036</v>
      </c>
      <c r="B6601" s="7" t="s">
        <v>600</v>
      </c>
      <c r="C6601" s="41">
        <v>639.33000000000004</v>
      </c>
      <c r="D6601" s="6">
        <v>45721</v>
      </c>
      <c r="E6601" s="3" t="str">
        <f ca="1">IF(Tabela2[[#This Row],[Dt Venc:]]&gt;TODAY(),"Em Aberto",IF(Tabela2[[#This Row],[D/venc]]="-","Enviado",IF(Tabela2[[#This Row],[Dt Venc:]]=TODAY(),"Vence Hoje","Vencida")))</f>
        <v>Em Aberto</v>
      </c>
      <c r="F6601" s="3">
        <f ca="1">IF(G6601=1,"-",Tabela2[[#This Row],[Dt Venc:]]-TODAY())</f>
        <v>28</v>
      </c>
      <c r="G6601" s="3"/>
      <c r="H6601" s="3"/>
    </row>
    <row r="6602" spans="1:8">
      <c r="A6602" s="3">
        <v>30512</v>
      </c>
      <c r="B6602" s="7" t="s">
        <v>501</v>
      </c>
      <c r="C6602" s="41">
        <v>1560</v>
      </c>
      <c r="D6602" s="6">
        <v>45721</v>
      </c>
      <c r="E6602" s="3" t="str">
        <f ca="1">IF(Tabela2[[#This Row],[Dt Venc:]]&gt;TODAY(),"Em Aberto",IF(Tabela2[[#This Row],[D/venc]]="-","Enviado",IF(Tabela2[[#This Row],[Dt Venc:]]=TODAY(),"Vence Hoje","Vencida")))</f>
        <v>Em Aberto</v>
      </c>
      <c r="F6602" s="3">
        <f ca="1">IF(G6602=1,"-",Tabela2[[#This Row],[Dt Venc:]]-TODAY())</f>
        <v>28</v>
      </c>
      <c r="G6602" s="3"/>
      <c r="H6602" s="3"/>
    </row>
    <row r="6603" spans="1:8">
      <c r="A6603" s="3">
        <v>30582</v>
      </c>
      <c r="B6603" s="7" t="s">
        <v>97</v>
      </c>
      <c r="C6603" s="41">
        <v>1711</v>
      </c>
      <c r="D6603" s="6">
        <v>45721</v>
      </c>
      <c r="E6603" s="3" t="str">
        <f ca="1">IF(Tabela2[[#This Row],[Dt Venc:]]&gt;TODAY(),"Em Aberto",IF(Tabela2[[#This Row],[D/venc]]="-","Enviado",IF(Tabela2[[#This Row],[Dt Venc:]]=TODAY(),"Vence Hoje","Vencida")))</f>
        <v>Em Aberto</v>
      </c>
      <c r="F6603" s="3">
        <f ca="1">IF(G6603=1,"-",Tabela2[[#This Row],[Dt Venc:]]-TODAY())</f>
        <v>28</v>
      </c>
      <c r="G6603" s="3"/>
      <c r="H6603" s="3"/>
    </row>
    <row r="6604" spans="1:8">
      <c r="A6604" s="3">
        <v>33999</v>
      </c>
      <c r="B6604" s="7" t="s">
        <v>70</v>
      </c>
      <c r="C6604" s="41">
        <v>2214.0300000000002</v>
      </c>
      <c r="D6604" s="6">
        <v>45721</v>
      </c>
      <c r="E6604" s="3" t="str">
        <f ca="1">IF(Tabela2[[#This Row],[Dt Venc:]]&gt;TODAY(),"Em Aberto",IF(Tabela2[[#This Row],[D/venc]]="-","Enviado",IF(Tabela2[[#This Row],[Dt Venc:]]=TODAY(),"Vence Hoje","Vencida")))</f>
        <v>Em Aberto</v>
      </c>
      <c r="F6604" s="3">
        <f ca="1">IF(G6604=1,"-",Tabela2[[#This Row],[Dt Venc:]]-TODAY())</f>
        <v>28</v>
      </c>
      <c r="G6604" s="3"/>
      <c r="H6604" s="3"/>
    </row>
    <row r="6605" spans="1:8">
      <c r="A6605" s="3">
        <v>34085</v>
      </c>
      <c r="B6605" s="7" t="s">
        <v>70</v>
      </c>
      <c r="C6605" s="41">
        <v>640.54</v>
      </c>
      <c r="D6605" s="6">
        <v>45721</v>
      </c>
      <c r="E6605" s="3" t="str">
        <f ca="1">IF(Tabela2[[#This Row],[Dt Venc:]]&gt;TODAY(),"Em Aberto",IF(Tabela2[[#This Row],[D/venc]]="-","Enviado",IF(Tabela2[[#This Row],[Dt Venc:]]=TODAY(),"Vence Hoje","Vencida")))</f>
        <v>Em Aberto</v>
      </c>
      <c r="F6605" s="3">
        <f ca="1">IF(G6605=1,"-",Tabela2[[#This Row],[Dt Venc:]]-TODAY())</f>
        <v>28</v>
      </c>
      <c r="G6605" s="3"/>
      <c r="H6605" s="3"/>
    </row>
    <row r="6606" spans="1:8">
      <c r="A6606" s="3">
        <v>36033</v>
      </c>
      <c r="B6606" s="7" t="s">
        <v>70</v>
      </c>
      <c r="C6606" s="41">
        <v>2811.23</v>
      </c>
      <c r="D6606" s="6">
        <v>45721</v>
      </c>
      <c r="E6606" s="3" t="str">
        <f ca="1">IF(Tabela2[[#This Row],[Dt Venc:]]&gt;TODAY(),"Em Aberto",IF(Tabela2[[#This Row],[D/venc]]="-","Enviado",IF(Tabela2[[#This Row],[Dt Venc:]]=TODAY(),"Vence Hoje","Vencida")))</f>
        <v>Em Aberto</v>
      </c>
      <c r="F6606" s="3">
        <f ca="1">IF(G6606=1,"-",Tabela2[[#This Row],[Dt Venc:]]-TODAY())</f>
        <v>28</v>
      </c>
      <c r="G6606" s="3"/>
      <c r="H6606" s="3"/>
    </row>
    <row r="6607" spans="1:8">
      <c r="A6607" s="3">
        <v>42575</v>
      </c>
      <c r="B6607" s="7" t="s">
        <v>70</v>
      </c>
      <c r="C6607" s="41">
        <v>616.65</v>
      </c>
      <c r="D6607" s="6">
        <v>45721</v>
      </c>
      <c r="E6607" s="3" t="str">
        <f ca="1">IF(Tabela2[[#This Row],[Dt Venc:]]&gt;TODAY(),"Em Aberto",IF(Tabela2[[#This Row],[D/venc]]="-","Enviado",IF(Tabela2[[#This Row],[Dt Venc:]]=TODAY(),"Vence Hoje","Vencida")))</f>
        <v>Em Aberto</v>
      </c>
      <c r="F6607" s="3">
        <f ca="1">IF(G6607=1,"-",Tabela2[[#This Row],[Dt Venc:]]-TODAY())</f>
        <v>28</v>
      </c>
      <c r="G6607" s="3"/>
      <c r="H6607" s="3"/>
    </row>
    <row r="6608" spans="1:8">
      <c r="A6608" s="3">
        <v>52905</v>
      </c>
      <c r="B6608" s="7" t="s">
        <v>117</v>
      </c>
      <c r="C6608" s="41">
        <v>886.65</v>
      </c>
      <c r="D6608" s="6">
        <v>45721</v>
      </c>
      <c r="E6608" s="3" t="str">
        <f ca="1">IF(Tabela2[[#This Row],[Dt Venc:]]&gt;TODAY(),"Em Aberto",IF(Tabela2[[#This Row],[D/venc]]="-","Enviado",IF(Tabela2[[#This Row],[Dt Venc:]]=TODAY(),"Vence Hoje","Vencida")))</f>
        <v>Em Aberto</v>
      </c>
      <c r="F6608" s="3">
        <f ca="1">IF(G6608=1,"-",Tabela2[[#This Row],[Dt Venc:]]-TODAY())</f>
        <v>28</v>
      </c>
      <c r="G6608" s="3"/>
      <c r="H6608" s="3"/>
    </row>
    <row r="6609" spans="1:8">
      <c r="A6609" s="3">
        <v>58974</v>
      </c>
      <c r="B6609" s="7" t="s">
        <v>678</v>
      </c>
      <c r="C6609" s="41">
        <v>870</v>
      </c>
      <c r="D6609" s="6">
        <v>45721</v>
      </c>
      <c r="E6609" s="3" t="str">
        <f ca="1">IF(Tabela2[[#This Row],[Dt Venc:]]&gt;TODAY(),"Em Aberto",IF(Tabela2[[#This Row],[D/venc]]="-","Enviado",IF(Tabela2[[#This Row],[Dt Venc:]]=TODAY(),"Vence Hoje","Vencida")))</f>
        <v>Em Aberto</v>
      </c>
      <c r="F6609" s="3">
        <f ca="1">IF(G6609=1,"-",Tabela2[[#This Row],[Dt Venc:]]-TODAY())</f>
        <v>28</v>
      </c>
      <c r="G6609" s="3"/>
      <c r="H6609" s="3"/>
    </row>
    <row r="6610" spans="1:8">
      <c r="A6610" s="3">
        <v>74720</v>
      </c>
      <c r="B6610" s="7" t="s">
        <v>76</v>
      </c>
      <c r="C6610" s="41">
        <v>515.82000000000005</v>
      </c>
      <c r="D6610" s="6">
        <v>45721</v>
      </c>
      <c r="E6610" s="3" t="str">
        <f ca="1">IF(Tabela2[[#This Row],[Dt Venc:]]&gt;TODAY(),"Em Aberto",IF(Tabela2[[#This Row],[D/venc]]="-","Enviado",IF(Tabela2[[#This Row],[Dt Venc:]]=TODAY(),"Vence Hoje","Vencida")))</f>
        <v>Em Aberto</v>
      </c>
      <c r="F6610" s="3">
        <f ca="1">IF(G6610=1,"-",Tabela2[[#This Row],[Dt Venc:]]-TODAY())</f>
        <v>28</v>
      </c>
      <c r="G6610" s="3"/>
      <c r="H6610" s="3"/>
    </row>
    <row r="6611" spans="1:8">
      <c r="A6611" s="3">
        <v>74722</v>
      </c>
      <c r="B6611" s="7" t="s">
        <v>76</v>
      </c>
      <c r="C6611" s="41">
        <v>744.68</v>
      </c>
      <c r="D6611" s="6">
        <v>45721</v>
      </c>
      <c r="E6611" s="3" t="str">
        <f ca="1">IF(Tabela2[[#This Row],[Dt Venc:]]&gt;TODAY(),"Em Aberto",IF(Tabela2[[#This Row],[D/venc]]="-","Enviado",IF(Tabela2[[#This Row],[Dt Venc:]]=TODAY(),"Vence Hoje","Vencida")))</f>
        <v>Em Aberto</v>
      </c>
      <c r="F6611" s="3">
        <f ca="1">IF(G6611=1,"-",Tabela2[[#This Row],[Dt Venc:]]-TODAY())</f>
        <v>28</v>
      </c>
      <c r="G6611" s="3"/>
      <c r="H6611" s="3"/>
    </row>
    <row r="6612" spans="1:8">
      <c r="A6612" s="3">
        <v>241758</v>
      </c>
      <c r="B6612" s="7" t="s">
        <v>509</v>
      </c>
      <c r="C6612" s="41">
        <v>990</v>
      </c>
      <c r="D6612" s="6">
        <v>45721</v>
      </c>
      <c r="E6612" s="3" t="str">
        <f ca="1">IF(Tabela2[[#This Row],[Dt Venc:]]&gt;TODAY(),"Em Aberto",IF(Tabela2[[#This Row],[D/venc]]="-","Enviado",IF(Tabela2[[#This Row],[Dt Venc:]]=TODAY(),"Vence Hoje","Vencida")))</f>
        <v>Em Aberto</v>
      </c>
      <c r="F6612" s="3">
        <f ca="1">IF(G6612=1,"-",Tabela2[[#This Row],[Dt Venc:]]-TODAY())</f>
        <v>28</v>
      </c>
      <c r="G6612" s="3"/>
      <c r="H6612" s="3"/>
    </row>
    <row r="6613" spans="1:8">
      <c r="A6613" s="3">
        <v>259055</v>
      </c>
      <c r="B6613" s="7" t="s">
        <v>43</v>
      </c>
      <c r="C6613" s="41">
        <v>1428.84</v>
      </c>
      <c r="D6613" s="6">
        <v>45721</v>
      </c>
      <c r="E6613" s="3" t="str">
        <f ca="1">IF(Tabela2[[#This Row],[Dt Venc:]]&gt;TODAY(),"Em Aberto",IF(Tabela2[[#This Row],[D/venc]]="-","Enviado",IF(Tabela2[[#This Row],[Dt Venc:]]=TODAY(),"Vence Hoje","Vencida")))</f>
        <v>Em Aberto</v>
      </c>
      <c r="F6613" s="3">
        <f ca="1">IF(G6613=1,"-",Tabela2[[#This Row],[Dt Venc:]]-TODAY())</f>
        <v>28</v>
      </c>
      <c r="G6613" s="3"/>
      <c r="H6613" s="3"/>
    </row>
    <row r="6614" spans="1:8">
      <c r="A6614" s="3">
        <v>372001</v>
      </c>
      <c r="B6614" s="7" t="s">
        <v>39</v>
      </c>
      <c r="C6614" s="41">
        <v>1172.92</v>
      </c>
      <c r="D6614" s="6">
        <v>45721</v>
      </c>
      <c r="E6614" s="3" t="str">
        <f ca="1">IF(Tabela2[[#This Row],[Dt Venc:]]&gt;TODAY(),"Em Aberto",IF(Tabela2[[#This Row],[D/venc]]="-","Enviado",IF(Tabela2[[#This Row],[Dt Venc:]]=TODAY(),"Vence Hoje","Vencida")))</f>
        <v>Em Aberto</v>
      </c>
      <c r="F6614" s="3">
        <f ca="1">IF(G6614=1,"-",Tabela2[[#This Row],[Dt Venc:]]-TODAY())</f>
        <v>28</v>
      </c>
      <c r="G6614" s="3"/>
      <c r="H6614" s="3"/>
    </row>
    <row r="6615" spans="1:8">
      <c r="A6615" s="3">
        <v>1419408</v>
      </c>
      <c r="B6615" s="7" t="s">
        <v>151</v>
      </c>
      <c r="C6615" s="41">
        <v>377.58</v>
      </c>
      <c r="D6615" s="6">
        <v>45721</v>
      </c>
      <c r="E6615" s="3" t="str">
        <f ca="1">IF(Tabela2[[#This Row],[Dt Venc:]]&gt;TODAY(),"Em Aberto",IF(Tabela2[[#This Row],[D/venc]]="-","Enviado",IF(Tabela2[[#This Row],[Dt Venc:]]=TODAY(),"Vence Hoje","Vencida")))</f>
        <v>Em Aberto</v>
      </c>
      <c r="F6615" s="3">
        <f ca="1">IF(G6615=1,"-",Tabela2[[#This Row],[Dt Venc:]]-TODAY())</f>
        <v>28</v>
      </c>
      <c r="G6615" s="3"/>
      <c r="H6615" s="3"/>
    </row>
    <row r="6616" spans="1:8">
      <c r="A6616" s="3" t="s">
        <v>28</v>
      </c>
      <c r="B6616" s="7" t="s">
        <v>124</v>
      </c>
      <c r="C6616" s="100" t="s">
        <v>32</v>
      </c>
      <c r="D6616" s="6">
        <v>45721</v>
      </c>
      <c r="E6616" s="3" t="str">
        <f ca="1">IF(Tabela2[[#This Row],[Dt Venc:]]&gt;TODAY(),"Em Aberto",IF(Tabela2[[#This Row],[D/venc]]="-","Enviado",IF(Tabela2[[#This Row],[Dt Venc:]]=TODAY(),"Vence Hoje","Vencida")))</f>
        <v>Em Aberto</v>
      </c>
      <c r="F6616" s="3">
        <f ca="1">IF(G6616=1,"-",Tabela2[[#This Row],[Dt Venc:]]-TODAY())</f>
        <v>28</v>
      </c>
      <c r="G6616" s="3"/>
      <c r="H6616" s="3"/>
    </row>
    <row r="6617" spans="1:8">
      <c r="A6617" s="3" t="s">
        <v>123</v>
      </c>
      <c r="B6617" s="7" t="s">
        <v>503</v>
      </c>
      <c r="C6617" s="87" t="s">
        <v>32</v>
      </c>
      <c r="D6617" s="6">
        <v>45721</v>
      </c>
      <c r="E6617" s="3" t="str">
        <f ca="1">IF(Tabela2[[#This Row],[Dt Venc:]]&gt;TODAY(),"Em Aberto",IF(Tabela2[[#This Row],[D/venc]]="-","Enviado",IF(Tabela2[[#This Row],[Dt Venc:]]=TODAY(),"Vence Hoje","Vencida")))</f>
        <v>Em Aberto</v>
      </c>
      <c r="F6617" s="3">
        <f ca="1">IF(G6617=1,"-",Tabela2[[#This Row],[Dt Venc:]]-TODAY())</f>
        <v>28</v>
      </c>
      <c r="G6617" s="3"/>
      <c r="H6617" s="3"/>
    </row>
    <row r="6618" spans="1:8">
      <c r="A6618" s="3">
        <v>1828</v>
      </c>
      <c r="B6618" s="7" t="s">
        <v>135</v>
      </c>
      <c r="C6618" s="41">
        <v>2914.96</v>
      </c>
      <c r="D6618" s="6">
        <v>45721</v>
      </c>
      <c r="E6618" s="3" t="str">
        <f ca="1">IF(Tabela2[[#This Row],[Dt Venc:]]&gt;TODAY(),"Em Aberto",IF(Tabela2[[#This Row],[D/venc]]="-","Enviado",IF(Tabela2[[#This Row],[Dt Venc:]]=TODAY(),"Vence Hoje","Vencida")))</f>
        <v>Em Aberto</v>
      </c>
      <c r="F6618" s="3">
        <f ca="1">IF(G6618=1,"-",Tabela2[[#This Row],[Dt Venc:]]-TODAY())</f>
        <v>28</v>
      </c>
      <c r="G6618" s="3"/>
      <c r="H6618" s="3"/>
    </row>
    <row r="6619" spans="1:8">
      <c r="A6619" s="3">
        <v>1827</v>
      </c>
      <c r="B6619" s="7" t="s">
        <v>135</v>
      </c>
      <c r="C6619" s="41">
        <v>7372.23</v>
      </c>
      <c r="D6619" s="6">
        <v>45721</v>
      </c>
      <c r="E6619" s="3" t="str">
        <f ca="1">IF(Tabela2[[#This Row],[Dt Venc:]]&gt;TODAY(),"Em Aberto",IF(Tabela2[[#This Row],[D/venc]]="-","Enviado",IF(Tabela2[[#This Row],[Dt Venc:]]=TODAY(),"Vence Hoje","Vencida")))</f>
        <v>Em Aberto</v>
      </c>
      <c r="F6619" s="3">
        <f ca="1">IF(G6619=1,"-",Tabela2[[#This Row],[Dt Venc:]]-TODAY())</f>
        <v>28</v>
      </c>
      <c r="G6619" s="3"/>
      <c r="H6619" s="3"/>
    </row>
    <row r="6620" spans="1:8">
      <c r="A6620" s="3">
        <v>139059</v>
      </c>
      <c r="B6620" s="7" t="s">
        <v>730</v>
      </c>
      <c r="C6620" s="41">
        <v>460</v>
      </c>
      <c r="D6620" s="6">
        <v>45721</v>
      </c>
      <c r="E6620" s="3" t="str">
        <f ca="1">IF(Tabela2[[#This Row],[Dt Venc:]]&gt;TODAY(),"Em Aberto",IF(Tabela2[[#This Row],[D/venc]]="-","Enviado",IF(Tabela2[[#This Row],[Dt Venc:]]=TODAY(),"Vence Hoje","Vencida")))</f>
        <v>Em Aberto</v>
      </c>
      <c r="F6620" s="3">
        <f ca="1">IF(G6620=1,"-",Tabela2[[#This Row],[Dt Venc:]]-TODAY())</f>
        <v>28</v>
      </c>
      <c r="G6620" s="3"/>
      <c r="H6620" s="3"/>
    </row>
    <row r="6621" spans="1:8">
      <c r="A6621" s="3">
        <v>2399</v>
      </c>
      <c r="B6621" s="7" t="s">
        <v>45</v>
      </c>
      <c r="C6621" s="41">
        <v>730</v>
      </c>
      <c r="D6621" s="6">
        <v>45721</v>
      </c>
      <c r="E6621" s="3" t="str">
        <f ca="1">IF(Tabela2[[#This Row],[Dt Venc:]]&gt;TODAY(),"Em Aberto",IF(Tabela2[[#This Row],[D/venc]]="-","Enviado",IF(Tabela2[[#This Row],[Dt Venc:]]=TODAY(),"Vence Hoje","Vencida")))</f>
        <v>Em Aberto</v>
      </c>
      <c r="F6621" s="3">
        <f ca="1">IF(G6621=1,"-",Tabela2[[#This Row],[Dt Venc:]]-TODAY())</f>
        <v>28</v>
      </c>
      <c r="G6621" s="3"/>
      <c r="H6621" s="3"/>
    </row>
    <row r="6622" spans="1:8">
      <c r="A6622" s="3">
        <v>21122</v>
      </c>
      <c r="B6622" s="7" t="s">
        <v>653</v>
      </c>
      <c r="C6622" s="41">
        <v>1462.5</v>
      </c>
      <c r="D6622" s="6">
        <v>45721</v>
      </c>
      <c r="E6622" s="3" t="str">
        <f ca="1">IF(Tabela2[[#This Row],[Dt Venc:]]&gt;TODAY(),"Em Aberto",IF(Tabela2[[#This Row],[D/venc]]="-","Enviado",IF(Tabela2[[#This Row],[Dt Venc:]]=TODAY(),"Vence Hoje","Vencida")))</f>
        <v>Em Aberto</v>
      </c>
      <c r="F6622" s="3">
        <f ca="1">IF(G6622=1,"-",Tabela2[[#This Row],[Dt Venc:]]-TODAY())</f>
        <v>28</v>
      </c>
      <c r="G6622" s="3"/>
      <c r="H6622" s="3"/>
    </row>
    <row r="6623" spans="1:8">
      <c r="A6623" s="3">
        <v>4419</v>
      </c>
      <c r="B6623" s="7" t="s">
        <v>723</v>
      </c>
      <c r="C6623" s="41">
        <v>2934.25</v>
      </c>
      <c r="D6623" s="6">
        <v>45721</v>
      </c>
      <c r="E6623" s="3" t="str">
        <f ca="1">IF(Tabela2[[#This Row],[Dt Venc:]]&gt;TODAY(),"Em Aberto",IF(Tabela2[[#This Row],[D/venc]]="-","Enviado",IF(Tabela2[[#This Row],[Dt Venc:]]=TODAY(),"Vence Hoje","Vencida")))</f>
        <v>Em Aberto</v>
      </c>
      <c r="F6623" s="3">
        <f ca="1">IF(G6623=1,"-",Tabela2[[#This Row],[Dt Venc:]]-TODAY())</f>
        <v>28</v>
      </c>
      <c r="G6623" s="3"/>
      <c r="H6623" s="3"/>
    </row>
    <row r="6624" spans="1:8">
      <c r="A6624" s="3">
        <v>75755</v>
      </c>
      <c r="B6624" s="7" t="s">
        <v>76</v>
      </c>
      <c r="C6624" s="41">
        <v>1940.38</v>
      </c>
      <c r="D6624" s="6">
        <v>45721</v>
      </c>
      <c r="E6624" s="3" t="str">
        <f ca="1">IF(Tabela2[[#This Row],[Dt Venc:]]&gt;TODAY(),"Em Aberto",IF(Tabela2[[#This Row],[D/venc]]="-","Enviado",IF(Tabela2[[#This Row],[Dt Venc:]]=TODAY(),"Vence Hoje","Vencida")))</f>
        <v>Em Aberto</v>
      </c>
      <c r="F6624" s="3">
        <f ca="1">IF(G6624=1,"-",Tabela2[[#This Row],[Dt Venc:]]-TODAY())</f>
        <v>28</v>
      </c>
      <c r="G6624" s="3"/>
      <c r="H6624" s="3"/>
    </row>
    <row r="6625" spans="1:8">
      <c r="A6625" s="3">
        <v>100828</v>
      </c>
      <c r="B6625" s="7" t="s">
        <v>731</v>
      </c>
      <c r="C6625" s="41">
        <v>1019</v>
      </c>
      <c r="D6625" s="6">
        <v>45721</v>
      </c>
      <c r="E6625" s="3" t="str">
        <f ca="1">IF(Tabela2[[#This Row],[Dt Venc:]]&gt;TODAY(),"Em Aberto",IF(Tabela2[[#This Row],[D/venc]]="-","Enviado",IF(Tabela2[[#This Row],[Dt Venc:]]=TODAY(),"Vence Hoje","Vencida")))</f>
        <v>Em Aberto</v>
      </c>
      <c r="F6625" s="3">
        <f ca="1">IF(G6625=1,"-",Tabela2[[#This Row],[Dt Venc:]]-TODAY())</f>
        <v>28</v>
      </c>
      <c r="G6625" s="3"/>
      <c r="H6625" s="3"/>
    </row>
    <row r="6626" spans="1:8">
      <c r="A6626" s="3">
        <v>1321</v>
      </c>
      <c r="B6626" s="7" t="s">
        <v>474</v>
      </c>
      <c r="C6626" s="41">
        <v>1067</v>
      </c>
      <c r="D6626" s="6">
        <v>45722</v>
      </c>
      <c r="E6626" s="3" t="str">
        <f ca="1">IF(Tabela2[[#This Row],[Dt Venc:]]&gt;TODAY(),"Em Aberto",IF(Tabela2[[#This Row],[D/venc]]="-","Enviado",IF(Tabela2[[#This Row],[Dt Venc:]]=TODAY(),"Vence Hoje","Vencida")))</f>
        <v>Em Aberto</v>
      </c>
      <c r="F6626" s="3">
        <f ca="1">IF(G6626=1,"-",Tabela2[[#This Row],[Dt Venc:]]-TODAY())</f>
        <v>29</v>
      </c>
      <c r="G6626" s="3"/>
      <c r="H6626" s="3"/>
    </row>
    <row r="6627" spans="1:8">
      <c r="A6627" s="3">
        <v>1658</v>
      </c>
      <c r="B6627" s="7" t="s">
        <v>258</v>
      </c>
      <c r="C6627" s="41">
        <v>420</v>
      </c>
      <c r="D6627" s="6">
        <v>45722</v>
      </c>
      <c r="E6627" s="3" t="str">
        <f ca="1">IF(Tabela2[[#This Row],[Dt Venc:]]&gt;TODAY(),"Em Aberto",IF(Tabela2[[#This Row],[D/venc]]="-","Enviado",IF(Tabela2[[#This Row],[Dt Venc:]]=TODAY(),"Vence Hoje","Vencida")))</f>
        <v>Em Aberto</v>
      </c>
      <c r="F6627" s="3">
        <f ca="1">IF(G6627=1,"-",Tabela2[[#This Row],[Dt Venc:]]-TODAY())</f>
        <v>29</v>
      </c>
      <c r="G6627" s="3"/>
      <c r="H6627" s="3"/>
    </row>
    <row r="6628" spans="1:8">
      <c r="A6628" s="3">
        <v>1707</v>
      </c>
      <c r="B6628" s="7" t="s">
        <v>78</v>
      </c>
      <c r="C6628" s="41">
        <v>1737.25</v>
      </c>
      <c r="D6628" s="6">
        <v>45722</v>
      </c>
      <c r="E6628" s="3" t="str">
        <f ca="1">IF(Tabela2[[#This Row],[Dt Venc:]]&gt;TODAY(),"Em Aberto",IF(Tabela2[[#This Row],[D/venc]]="-","Enviado",IF(Tabela2[[#This Row],[Dt Venc:]]=TODAY(),"Vence Hoje","Vencida")))</f>
        <v>Em Aberto</v>
      </c>
      <c r="F6628" s="3">
        <f ca="1">IF(G6628=1,"-",Tabela2[[#This Row],[Dt Venc:]]-TODAY())</f>
        <v>29</v>
      </c>
      <c r="G6628" s="3"/>
      <c r="H6628" s="3"/>
    </row>
    <row r="6629" spans="1:8">
      <c r="A6629" s="3">
        <v>7067</v>
      </c>
      <c r="B6629" s="7" t="s">
        <v>43</v>
      </c>
      <c r="C6629" s="41">
        <v>458</v>
      </c>
      <c r="D6629" s="6">
        <v>45722</v>
      </c>
      <c r="E6629" s="3" t="str">
        <f ca="1">IF(Tabela2[[#This Row],[Dt Venc:]]&gt;TODAY(),"Em Aberto",IF(Tabela2[[#This Row],[D/venc]]="-","Enviado",IF(Tabela2[[#This Row],[Dt Venc:]]=TODAY(),"Vence Hoje","Vencida")))</f>
        <v>Em Aberto</v>
      </c>
      <c r="F6629" s="3">
        <f ca="1">IF(G6629=1,"-",Tabela2[[#This Row],[Dt Venc:]]-TODAY())</f>
        <v>29</v>
      </c>
      <c r="G6629" s="3"/>
      <c r="H6629" s="3"/>
    </row>
    <row r="6630" spans="1:8">
      <c r="A6630" s="3">
        <v>10540</v>
      </c>
      <c r="B6630" s="7" t="s">
        <v>88</v>
      </c>
      <c r="C6630" s="41">
        <v>584.4</v>
      </c>
      <c r="D6630" s="6">
        <v>45722</v>
      </c>
      <c r="E6630" s="3" t="str">
        <f ca="1">IF(Tabela2[[#This Row],[Dt Venc:]]&gt;TODAY(),"Em Aberto",IF(Tabela2[[#This Row],[D/venc]]="-","Enviado",IF(Tabela2[[#This Row],[Dt Venc:]]=TODAY(),"Vence Hoje","Vencida")))</f>
        <v>Em Aberto</v>
      </c>
      <c r="F6630" s="3">
        <f ca="1">IF(G6630=1,"-",Tabela2[[#This Row],[Dt Venc:]]-TODAY())</f>
        <v>29</v>
      </c>
      <c r="G6630" s="3"/>
      <c r="H6630" s="3"/>
    </row>
    <row r="6631" spans="1:8">
      <c r="A6631" s="3">
        <v>13849</v>
      </c>
      <c r="B6631" s="7" t="s">
        <v>602</v>
      </c>
      <c r="C6631" s="41">
        <v>112.56</v>
      </c>
      <c r="D6631" s="6">
        <v>45722</v>
      </c>
      <c r="E6631" s="3" t="str">
        <f ca="1">IF(Tabela2[[#This Row],[Dt Venc:]]&gt;TODAY(),"Em Aberto",IF(Tabela2[[#This Row],[D/venc]]="-","Enviado",IF(Tabela2[[#This Row],[Dt Venc:]]=TODAY(),"Vence Hoje","Vencida")))</f>
        <v>Em Aberto</v>
      </c>
      <c r="F6631" s="3">
        <f ca="1">IF(G6631=1,"-",Tabela2[[#This Row],[Dt Venc:]]-TODAY())</f>
        <v>29</v>
      </c>
      <c r="G6631" s="3"/>
      <c r="H6631" s="3"/>
    </row>
    <row r="6632" spans="1:8">
      <c r="A6632" s="3">
        <v>16080</v>
      </c>
      <c r="B6632" s="7" t="s">
        <v>289</v>
      </c>
      <c r="C6632" s="41">
        <v>750</v>
      </c>
      <c r="D6632" s="6">
        <v>45722</v>
      </c>
      <c r="E6632" s="3" t="str">
        <f ca="1">IF(Tabela2[[#This Row],[Dt Venc:]]&gt;TODAY(),"Em Aberto",IF(Tabela2[[#This Row],[D/venc]]="-","Enviado",IF(Tabela2[[#This Row],[Dt Venc:]]=TODAY(),"Vence Hoje","Vencida")))</f>
        <v>Em Aberto</v>
      </c>
      <c r="F6632" s="3">
        <f ca="1">IF(G6632=1,"-",Tabela2[[#This Row],[Dt Venc:]]-TODAY())</f>
        <v>29</v>
      </c>
      <c r="G6632" s="3"/>
      <c r="H6632" s="3"/>
    </row>
    <row r="6633" spans="1:8">
      <c r="A6633" s="3">
        <v>19767</v>
      </c>
      <c r="B6633" s="7" t="s">
        <v>367</v>
      </c>
      <c r="C6633" s="41">
        <v>830</v>
      </c>
      <c r="D6633" s="6">
        <v>45722</v>
      </c>
      <c r="E6633" s="3" t="str">
        <f ca="1">IF(Tabela2[[#This Row],[Dt Venc:]]&gt;TODAY(),"Em Aberto",IF(Tabela2[[#This Row],[D/venc]]="-","Enviado",IF(Tabela2[[#This Row],[Dt Venc:]]=TODAY(),"Vence Hoje","Vencida")))</f>
        <v>Em Aberto</v>
      </c>
      <c r="F6633" s="3">
        <f ca="1">IF(G6633=1,"-",Tabela2[[#This Row],[Dt Venc:]]-TODAY())</f>
        <v>29</v>
      </c>
      <c r="G6633" s="3"/>
      <c r="H6633" s="3"/>
    </row>
    <row r="6634" spans="1:8">
      <c r="A6634" s="3">
        <v>30202</v>
      </c>
      <c r="B6634" s="7" t="s">
        <v>97</v>
      </c>
      <c r="C6634" s="42">
        <v>3140</v>
      </c>
      <c r="D6634" s="6">
        <v>45722</v>
      </c>
      <c r="E6634" s="3" t="str">
        <f ca="1">IF(Tabela2[[#This Row],[Dt Venc:]]&gt;TODAY(),"Em Aberto",IF(Tabela2[[#This Row],[D/venc]]="-","Enviado",IF(Tabela2[[#This Row],[Dt Venc:]]=TODAY(),"Vence Hoje","Vencida")))</f>
        <v>Em Aberto</v>
      </c>
      <c r="F6634" s="3">
        <f ca="1">IF(G6634=1,"-",Tabela2[[#This Row],[Dt Venc:]]-TODAY())</f>
        <v>29</v>
      </c>
      <c r="G6634" s="3"/>
      <c r="H6634" s="3"/>
    </row>
    <row r="6635" spans="1:8">
      <c r="A6635" s="3">
        <v>30840</v>
      </c>
      <c r="B6635" s="7" t="s">
        <v>97</v>
      </c>
      <c r="C6635" s="41">
        <v>2285</v>
      </c>
      <c r="D6635" s="6">
        <v>45722</v>
      </c>
      <c r="E6635" s="3" t="str">
        <f ca="1">IF(Tabela2[[#This Row],[Dt Venc:]]&gt;TODAY(),"Em Aberto",IF(Tabela2[[#This Row],[D/venc]]="-","Enviado",IF(Tabela2[[#This Row],[Dt Venc:]]=TODAY(),"Vence Hoje","Vencida")))</f>
        <v>Em Aberto</v>
      </c>
      <c r="F6635" s="3">
        <f ca="1">IF(G6635=1,"-",Tabela2[[#This Row],[Dt Venc:]]-TODAY())</f>
        <v>29</v>
      </c>
      <c r="G6635" s="3"/>
      <c r="H6635" s="3"/>
    </row>
    <row r="6636" spans="1:8">
      <c r="A6636" s="3">
        <v>30918</v>
      </c>
      <c r="B6636" s="7" t="s">
        <v>97</v>
      </c>
      <c r="C6636" s="41">
        <v>1940</v>
      </c>
      <c r="D6636" s="6">
        <v>45722</v>
      </c>
      <c r="E6636" s="3" t="str">
        <f ca="1">IF(Tabela2[[#This Row],[Dt Venc:]]&gt;TODAY(),"Em Aberto",IF(Tabela2[[#This Row],[D/venc]]="-","Enviado",IF(Tabela2[[#This Row],[Dt Venc:]]=TODAY(),"Vence Hoje","Vencida")))</f>
        <v>Em Aberto</v>
      </c>
      <c r="F6636" s="3">
        <f ca="1">IF(G6636=1,"-",Tabela2[[#This Row],[Dt Venc:]]-TODAY())</f>
        <v>29</v>
      </c>
      <c r="G6636" s="3"/>
      <c r="H6636" s="3"/>
    </row>
    <row r="6637" spans="1:8">
      <c r="A6637" s="3">
        <v>31399</v>
      </c>
      <c r="B6637" s="7" t="s">
        <v>97</v>
      </c>
      <c r="C6637" s="41">
        <v>1825</v>
      </c>
      <c r="D6637" s="6">
        <v>45722</v>
      </c>
      <c r="E6637" s="3" t="str">
        <f ca="1">IF(Tabela2[[#This Row],[Dt Venc:]]&gt;TODAY(),"Em Aberto",IF(Tabela2[[#This Row],[D/venc]]="-","Enviado",IF(Tabela2[[#This Row],[Dt Venc:]]=TODAY(),"Vence Hoje","Vencida")))</f>
        <v>Em Aberto</v>
      </c>
      <c r="F6637" s="3">
        <f ca="1">IF(G6637=1,"-",Tabela2[[#This Row],[Dt Venc:]]-TODAY())</f>
        <v>29</v>
      </c>
      <c r="G6637" s="3"/>
      <c r="H6637" s="3"/>
    </row>
    <row r="6638" spans="1:8">
      <c r="A6638" s="3">
        <v>31702</v>
      </c>
      <c r="B6638" s="7" t="s">
        <v>542</v>
      </c>
      <c r="C6638" s="41">
        <v>2106.67</v>
      </c>
      <c r="D6638" s="6">
        <v>45722</v>
      </c>
      <c r="E6638" s="3" t="str">
        <f ca="1">IF(Tabela2[[#This Row],[Dt Venc:]]&gt;TODAY(),"Em Aberto",IF(Tabela2[[#This Row],[D/venc]]="-","Enviado",IF(Tabela2[[#This Row],[Dt Venc:]]=TODAY(),"Vence Hoje","Vencida")))</f>
        <v>Em Aberto</v>
      </c>
      <c r="F6638" s="3">
        <f ca="1">IF(G6638=1,"-",Tabela2[[#This Row],[Dt Venc:]]-TODAY())</f>
        <v>29</v>
      </c>
      <c r="G6638" s="3"/>
      <c r="H6638" s="3"/>
    </row>
    <row r="6639" spans="1:8">
      <c r="A6639" s="3">
        <v>49938</v>
      </c>
      <c r="B6639" s="7" t="s">
        <v>144</v>
      </c>
      <c r="C6639" s="41">
        <v>3280</v>
      </c>
      <c r="D6639" s="6">
        <v>45722</v>
      </c>
      <c r="E6639" s="3" t="str">
        <f ca="1">IF(Tabela2[[#This Row],[Dt Venc:]]&gt;TODAY(),"Em Aberto",IF(Tabela2[[#This Row],[D/venc]]="-","Enviado",IF(Tabela2[[#This Row],[Dt Venc:]]=TODAY(),"Vence Hoje","Vencida")))</f>
        <v>Em Aberto</v>
      </c>
      <c r="F6639" s="3">
        <f ca="1">IF(G6639=1,"-",Tabela2[[#This Row],[Dt Venc:]]-TODAY())</f>
        <v>29</v>
      </c>
      <c r="G6639" s="3"/>
      <c r="H6639" s="3"/>
    </row>
    <row r="6640" spans="1:8">
      <c r="A6640" s="3">
        <v>54298</v>
      </c>
      <c r="B6640" s="7" t="s">
        <v>602</v>
      </c>
      <c r="C6640" s="41">
        <v>1513.33</v>
      </c>
      <c r="D6640" s="6">
        <v>45722</v>
      </c>
      <c r="E6640" s="3" t="str">
        <f ca="1">IF(Tabela2[[#This Row],[Dt Venc:]]&gt;TODAY(),"Em Aberto",IF(Tabela2[[#This Row],[D/venc]]="-","Enviado",IF(Tabela2[[#This Row],[Dt Venc:]]=TODAY(),"Vence Hoje","Vencida")))</f>
        <v>Em Aberto</v>
      </c>
      <c r="F6640" s="3">
        <f ca="1">IF(G6640=1,"-",Tabela2[[#This Row],[Dt Venc:]]-TODAY())</f>
        <v>29</v>
      </c>
      <c r="G6640" s="3"/>
      <c r="H6640" s="3"/>
    </row>
    <row r="6641" spans="1:8">
      <c r="A6641" s="3">
        <v>54332</v>
      </c>
      <c r="B6641" s="7" t="s">
        <v>602</v>
      </c>
      <c r="C6641" s="41">
        <v>661.04</v>
      </c>
      <c r="D6641" s="6">
        <v>45722</v>
      </c>
      <c r="E6641" s="3" t="str">
        <f ca="1">IF(Tabela2[[#This Row],[Dt Venc:]]&gt;TODAY(),"Em Aberto",IF(Tabela2[[#This Row],[D/venc]]="-","Enviado",IF(Tabela2[[#This Row],[Dt Venc:]]=TODAY(),"Vence Hoje","Vencida")))</f>
        <v>Em Aberto</v>
      </c>
      <c r="F6641" s="3">
        <f ca="1">IF(G6641=1,"-",Tabela2[[#This Row],[Dt Venc:]]-TODAY())</f>
        <v>29</v>
      </c>
      <c r="G6641" s="3"/>
      <c r="H6641" s="3"/>
    </row>
    <row r="6642" spans="1:8">
      <c r="A6642" s="3">
        <v>147571</v>
      </c>
      <c r="B6642" s="7" t="s">
        <v>127</v>
      </c>
      <c r="C6642" s="41">
        <v>560</v>
      </c>
      <c r="D6642" s="6">
        <v>45722</v>
      </c>
      <c r="E6642" s="3" t="str">
        <f ca="1">IF(Tabela2[[#This Row],[Dt Venc:]]&gt;TODAY(),"Em Aberto",IF(Tabela2[[#This Row],[D/venc]]="-","Enviado",IF(Tabela2[[#This Row],[Dt Venc:]]=TODAY(),"Vence Hoje","Vencida")))</f>
        <v>Em Aberto</v>
      </c>
      <c r="F6642" s="3">
        <f ca="1">IF(G6642=1,"-",Tabela2[[#This Row],[Dt Venc:]]-TODAY())</f>
        <v>29</v>
      </c>
      <c r="G6642" s="3"/>
      <c r="H6642" s="3"/>
    </row>
    <row r="6643" spans="1:8">
      <c r="A6643" s="3">
        <v>147572</v>
      </c>
      <c r="B6643" s="7" t="s">
        <v>127</v>
      </c>
      <c r="C6643" s="41">
        <v>560</v>
      </c>
      <c r="D6643" s="6">
        <v>45722</v>
      </c>
      <c r="E6643" s="3" t="str">
        <f ca="1">IF(Tabela2[[#This Row],[Dt Venc:]]&gt;TODAY(),"Em Aberto",IF(Tabela2[[#This Row],[D/venc]]="-","Enviado",IF(Tabela2[[#This Row],[Dt Venc:]]=TODAY(),"Vence Hoje","Vencida")))</f>
        <v>Em Aberto</v>
      </c>
      <c r="F6643" s="3">
        <f ca="1">IF(G6643=1,"-",Tabela2[[#This Row],[Dt Venc:]]-TODAY())</f>
        <v>29</v>
      </c>
      <c r="G6643" s="3"/>
      <c r="H6643" s="3"/>
    </row>
    <row r="6644" spans="1:8">
      <c r="A6644" s="3">
        <v>255544</v>
      </c>
      <c r="B6644" s="7" t="s">
        <v>534</v>
      </c>
      <c r="C6644" s="41">
        <v>425.26</v>
      </c>
      <c r="D6644" s="6">
        <v>45722</v>
      </c>
      <c r="E6644" s="3" t="str">
        <f ca="1">IF(Tabela2[[#This Row],[Dt Venc:]]&gt;TODAY(),"Em Aberto",IF(Tabela2[[#This Row],[D/venc]]="-","Enviado",IF(Tabela2[[#This Row],[Dt Venc:]]=TODAY(),"Vence Hoje","Vencida")))</f>
        <v>Em Aberto</v>
      </c>
      <c r="F6644" s="3">
        <f ca="1">IF(G6644=1,"-",Tabela2[[#This Row],[Dt Venc:]]-TODAY())</f>
        <v>29</v>
      </c>
      <c r="G6644" s="3"/>
      <c r="H6644" s="3"/>
    </row>
    <row r="6645" spans="1:8">
      <c r="A6645" s="3">
        <v>268080</v>
      </c>
      <c r="B6645" s="7" t="s">
        <v>358</v>
      </c>
      <c r="C6645" s="41">
        <v>760</v>
      </c>
      <c r="D6645" s="6">
        <v>45722</v>
      </c>
      <c r="E6645" s="3" t="str">
        <f ca="1">IF(Tabela2[[#This Row],[Dt Venc:]]&gt;TODAY(),"Em Aberto",IF(Tabela2[[#This Row],[D/venc]]="-","Enviado",IF(Tabela2[[#This Row],[Dt Venc:]]=TODAY(),"Vence Hoje","Vencida")))</f>
        <v>Em Aberto</v>
      </c>
      <c r="F6645" s="3">
        <f ca="1">IF(G6645=1,"-",Tabela2[[#This Row],[Dt Venc:]]-TODAY())</f>
        <v>29</v>
      </c>
      <c r="G6645" s="3"/>
      <c r="H6645" s="3"/>
    </row>
    <row r="6646" spans="1:8">
      <c r="A6646" s="3">
        <v>374511</v>
      </c>
      <c r="B6646" s="7" t="s">
        <v>39</v>
      </c>
      <c r="C6646" s="41">
        <v>503.44</v>
      </c>
      <c r="D6646" s="6">
        <v>45722</v>
      </c>
      <c r="E6646" s="3" t="str">
        <f ca="1">IF(Tabela2[[#This Row],[Dt Venc:]]&gt;TODAY(),"Em Aberto",IF(Tabela2[[#This Row],[D/venc]]="-","Enviado",IF(Tabela2[[#This Row],[Dt Venc:]]=TODAY(),"Vence Hoje","Vencida")))</f>
        <v>Em Aberto</v>
      </c>
      <c r="F6646" s="3">
        <f ca="1">IF(G6646=1,"-",Tabela2[[#This Row],[Dt Venc:]]-TODAY())</f>
        <v>29</v>
      </c>
      <c r="G6646" s="3"/>
      <c r="H6646" s="3"/>
    </row>
    <row r="6647" spans="1:8">
      <c r="A6647" s="3">
        <v>762032</v>
      </c>
      <c r="B6647" s="7" t="s">
        <v>127</v>
      </c>
      <c r="C6647" s="41">
        <v>469.5</v>
      </c>
      <c r="D6647" s="6">
        <v>45722</v>
      </c>
      <c r="E6647" s="3" t="str">
        <f ca="1">IF(Tabela2[[#This Row],[Dt Venc:]]&gt;TODAY(),"Em Aberto",IF(Tabela2[[#This Row],[D/venc]]="-","Enviado",IF(Tabela2[[#This Row],[Dt Venc:]]=TODAY(),"Vence Hoje","Vencida")))</f>
        <v>Em Aberto</v>
      </c>
      <c r="F6647" s="3">
        <f ca="1">IF(G6647=1,"-",Tabela2[[#This Row],[Dt Venc:]]-TODAY())</f>
        <v>29</v>
      </c>
      <c r="G6647" s="3"/>
      <c r="H6647" s="3"/>
    </row>
    <row r="6648" spans="1:8">
      <c r="A6648" s="3">
        <v>762033</v>
      </c>
      <c r="B6648" s="7" t="s">
        <v>127</v>
      </c>
      <c r="C6648" s="41">
        <v>469.5</v>
      </c>
      <c r="D6648" s="6">
        <v>45722</v>
      </c>
      <c r="E6648" s="3" t="str">
        <f ca="1">IF(Tabela2[[#This Row],[Dt Venc:]]&gt;TODAY(),"Em Aberto",IF(Tabela2[[#This Row],[D/venc]]="-","Enviado",IF(Tabela2[[#This Row],[Dt Venc:]]=TODAY(),"Vence Hoje","Vencida")))</f>
        <v>Em Aberto</v>
      </c>
      <c r="F6648" s="3">
        <f ca="1">IF(G6648=1,"-",Tabela2[[#This Row],[Dt Venc:]]-TODAY())</f>
        <v>29</v>
      </c>
      <c r="G6648" s="3"/>
      <c r="H6648" s="3"/>
    </row>
    <row r="6649" spans="1:8">
      <c r="A6649" s="3">
        <v>15441</v>
      </c>
      <c r="B6649" s="7" t="s">
        <v>44</v>
      </c>
      <c r="C6649" s="41">
        <v>1062.5</v>
      </c>
      <c r="D6649" s="6">
        <v>45722</v>
      </c>
      <c r="E6649" s="3" t="str">
        <f ca="1">IF(Tabela2[[#This Row],[Dt Venc:]]&gt;TODAY(),"Em Aberto",IF(Tabela2[[#This Row],[D/venc]]="-","Enviado",IF(Tabela2[[#This Row],[Dt Venc:]]=TODAY(),"Vence Hoje","Vencida")))</f>
        <v>Em Aberto</v>
      </c>
      <c r="F6649" s="3">
        <f ca="1">IF(G6649=1,"-",Tabela2[[#This Row],[Dt Venc:]]-TODAY())</f>
        <v>29</v>
      </c>
      <c r="G6649" s="3"/>
      <c r="H6649" s="3"/>
    </row>
    <row r="6650" spans="1:8">
      <c r="A6650" s="3">
        <v>31500</v>
      </c>
      <c r="B6650" s="7" t="s">
        <v>97</v>
      </c>
      <c r="C6650" s="41">
        <v>2170</v>
      </c>
      <c r="D6650" s="6">
        <v>45722</v>
      </c>
      <c r="E6650" s="3" t="str">
        <f ca="1">IF(Tabela2[[#This Row],[Dt Venc:]]&gt;TODAY(),"Em Aberto",IF(Tabela2[[#This Row],[D/venc]]="-","Enviado",IF(Tabela2[[#This Row],[Dt Venc:]]=TODAY(),"Vence Hoje","Vencida")))</f>
        <v>Em Aberto</v>
      </c>
      <c r="F6650" s="3">
        <f ca="1">IF(G6650=1,"-",Tabela2[[#This Row],[Dt Venc:]]-TODAY())</f>
        <v>29</v>
      </c>
      <c r="G6650" s="3"/>
      <c r="H6650" s="3"/>
    </row>
    <row r="6651" spans="1:8">
      <c r="A6651" s="3">
        <v>11304</v>
      </c>
      <c r="B6651" s="7" t="s">
        <v>33</v>
      </c>
      <c r="C6651" s="41">
        <v>800</v>
      </c>
      <c r="D6651" s="6">
        <v>45723</v>
      </c>
      <c r="E6651" s="3" t="str">
        <f ca="1">IF(Tabela2[[#This Row],[Dt Venc:]]&gt;TODAY(),"Em Aberto",IF(Tabela2[[#This Row],[D/venc]]="-","Enviado",IF(Tabela2[[#This Row],[Dt Venc:]]=TODAY(),"Vence Hoje","Vencida")))</f>
        <v>Em Aberto</v>
      </c>
      <c r="F6651" s="3">
        <f ca="1">IF(G6651=1,"-",Tabela2[[#This Row],[Dt Venc:]]-TODAY())</f>
        <v>30</v>
      </c>
      <c r="G6651" s="3"/>
      <c r="H6651" s="3"/>
    </row>
    <row r="6652" spans="1:8">
      <c r="A6652" s="3">
        <v>46674</v>
      </c>
      <c r="B6652" s="7" t="s">
        <v>527</v>
      </c>
      <c r="C6652" s="41">
        <v>638.65</v>
      </c>
      <c r="D6652" s="6">
        <v>45723</v>
      </c>
      <c r="E6652" s="3" t="str">
        <f ca="1">IF(Tabela2[[#This Row],[Dt Venc:]]&gt;TODAY(),"Em Aberto",IF(Tabela2[[#This Row],[D/venc]]="-","Enviado",IF(Tabela2[[#This Row],[Dt Venc:]]=TODAY(),"Vence Hoje","Vencida")))</f>
        <v>Em Aberto</v>
      </c>
      <c r="F6652" s="3">
        <f ca="1">IF(G6652=1,"-",Tabela2[[#This Row],[Dt Venc:]]-TODAY())</f>
        <v>30</v>
      </c>
      <c r="G6652" s="3"/>
      <c r="H6652" s="3"/>
    </row>
    <row r="6653" spans="1:8">
      <c r="A6653" s="3">
        <v>46674</v>
      </c>
      <c r="B6653" s="7" t="s">
        <v>676</v>
      </c>
      <c r="C6653" s="41">
        <v>638.64</v>
      </c>
      <c r="D6653" s="6">
        <v>45723</v>
      </c>
      <c r="E6653" s="3" t="str">
        <f ca="1">IF(Tabela2[[#This Row],[Dt Venc:]]&gt;TODAY(),"Em Aberto",IF(Tabela2[[#This Row],[D/venc]]="-","Enviado",IF(Tabela2[[#This Row],[Dt Venc:]]=TODAY(),"Vence Hoje","Vencida")))</f>
        <v>Em Aberto</v>
      </c>
      <c r="F6653" s="3">
        <f ca="1">IF(G6653=1,"-",Tabela2[[#This Row],[Dt Venc:]]-TODAY())</f>
        <v>30</v>
      </c>
      <c r="G6653" s="3"/>
      <c r="H6653" s="3"/>
    </row>
    <row r="6654" spans="1:8">
      <c r="A6654" s="3">
        <v>52079</v>
      </c>
      <c r="B6654" s="7" t="s">
        <v>144</v>
      </c>
      <c r="C6654" s="41">
        <v>2052</v>
      </c>
      <c r="D6654" s="6">
        <v>45723</v>
      </c>
      <c r="E6654" s="3" t="str">
        <f ca="1">IF(Tabela2[[#This Row],[Dt Venc:]]&gt;TODAY(),"Em Aberto",IF(Tabela2[[#This Row],[D/venc]]="-","Enviado",IF(Tabela2[[#This Row],[Dt Venc:]]=TODAY(),"Vence Hoje","Vencida")))</f>
        <v>Em Aberto</v>
      </c>
      <c r="F6654" s="3">
        <f ca="1">IF(G6654=1,"-",Tabela2[[#This Row],[Dt Venc:]]-TODAY())</f>
        <v>30</v>
      </c>
      <c r="G6654" s="3"/>
      <c r="H6654" s="3"/>
    </row>
    <row r="6655" spans="1:8">
      <c r="A6655" s="3">
        <v>90595</v>
      </c>
      <c r="B6655" s="7" t="s">
        <v>429</v>
      </c>
      <c r="C6655" s="41">
        <v>1350</v>
      </c>
      <c r="D6655" s="6">
        <v>45723</v>
      </c>
      <c r="E6655" s="3" t="str">
        <f ca="1">IF(Tabela2[[#This Row],[Dt Venc:]]&gt;TODAY(),"Em Aberto",IF(Tabela2[[#This Row],[D/venc]]="-","Enviado",IF(Tabela2[[#This Row],[Dt Venc:]]=TODAY(),"Vence Hoje","Vencida")))</f>
        <v>Em Aberto</v>
      </c>
      <c r="F6655" s="3">
        <f ca="1">IF(G6655=1,"-",Tabela2[[#This Row],[Dt Venc:]]-TODAY())</f>
        <v>30</v>
      </c>
      <c r="G6655" s="3"/>
      <c r="H6655" s="3"/>
    </row>
    <row r="6656" spans="1:8">
      <c r="A6656" s="3">
        <v>91566</v>
      </c>
      <c r="B6656" s="7" t="s">
        <v>48</v>
      </c>
      <c r="C6656" s="41">
        <v>1924.65</v>
      </c>
      <c r="D6656" s="6">
        <v>45723</v>
      </c>
      <c r="E6656" s="3" t="str">
        <f ca="1">IF(Tabela2[[#This Row],[Dt Venc:]]&gt;TODAY(),"Em Aberto",IF(Tabela2[[#This Row],[D/venc]]="-","Enviado",IF(Tabela2[[#This Row],[Dt Venc:]]=TODAY(),"Vence Hoje","Vencida")))</f>
        <v>Em Aberto</v>
      </c>
      <c r="F6656" s="3">
        <f ca="1">IF(G6656=1,"-",Tabela2[[#This Row],[Dt Venc:]]-TODAY())</f>
        <v>30</v>
      </c>
      <c r="G6656" s="3"/>
      <c r="H6656" s="3"/>
    </row>
    <row r="6657" spans="1:8">
      <c r="A6657" s="3">
        <v>91571</v>
      </c>
      <c r="B6657" s="7" t="s">
        <v>48</v>
      </c>
      <c r="C6657" s="41">
        <v>531.20000000000005</v>
      </c>
      <c r="D6657" s="6">
        <v>45723</v>
      </c>
      <c r="E6657" s="3" t="str">
        <f ca="1">IF(Tabela2[[#This Row],[Dt Venc:]]&gt;TODAY(),"Em Aberto",IF(Tabela2[[#This Row],[D/venc]]="-","Enviado",IF(Tabela2[[#This Row],[Dt Venc:]]=TODAY(),"Vence Hoje","Vencida")))</f>
        <v>Em Aberto</v>
      </c>
      <c r="F6657" s="3">
        <f ca="1">IF(G6657=1,"-",Tabela2[[#This Row],[Dt Venc:]]-TODAY())</f>
        <v>30</v>
      </c>
      <c r="G6657" s="3"/>
      <c r="H6657" s="3"/>
    </row>
    <row r="6658" spans="1:8">
      <c r="A6658" s="3">
        <v>155626</v>
      </c>
      <c r="B6658" s="7" t="s">
        <v>261</v>
      </c>
      <c r="C6658" s="41">
        <v>433.33</v>
      </c>
      <c r="D6658" s="6">
        <v>45723</v>
      </c>
      <c r="E6658" s="3" t="str">
        <f ca="1">IF(Tabela2[[#This Row],[Dt Venc:]]&gt;TODAY(),"Em Aberto",IF(Tabela2[[#This Row],[D/venc]]="-","Enviado",IF(Tabela2[[#This Row],[Dt Venc:]]=TODAY(),"Vence Hoje","Vencida")))</f>
        <v>Em Aberto</v>
      </c>
      <c r="F6658" s="3">
        <f ca="1">IF(G6658=1,"-",Tabela2[[#This Row],[Dt Venc:]]-TODAY())</f>
        <v>30</v>
      </c>
      <c r="G6658" s="3"/>
      <c r="H6658" s="3"/>
    </row>
    <row r="6659" spans="1:8">
      <c r="A6659" s="3">
        <v>155630</v>
      </c>
      <c r="B6659" s="7" t="s">
        <v>261</v>
      </c>
      <c r="C6659" s="41">
        <v>433.33</v>
      </c>
      <c r="D6659" s="6">
        <v>45723</v>
      </c>
      <c r="E6659" s="3" t="str">
        <f ca="1">IF(Tabela2[[#This Row],[Dt Venc:]]&gt;TODAY(),"Em Aberto",IF(Tabela2[[#This Row],[D/venc]]="-","Enviado",IF(Tabela2[[#This Row],[Dt Venc:]]=TODAY(),"Vence Hoje","Vencida")))</f>
        <v>Em Aberto</v>
      </c>
      <c r="F6659" s="3">
        <f ca="1">IF(G6659=1,"-",Tabela2[[#This Row],[Dt Venc:]]-TODAY())</f>
        <v>30</v>
      </c>
      <c r="G6659" s="3"/>
      <c r="H6659" s="3"/>
    </row>
    <row r="6660" spans="1:8">
      <c r="A6660" s="3">
        <v>155656</v>
      </c>
      <c r="B6660" s="7" t="s">
        <v>261</v>
      </c>
      <c r="C6660" s="41">
        <v>866.67</v>
      </c>
      <c r="D6660" s="6">
        <v>45723</v>
      </c>
      <c r="E6660" s="3" t="str">
        <f ca="1">IF(Tabela2[[#This Row],[Dt Venc:]]&gt;TODAY(),"Em Aberto",IF(Tabela2[[#This Row],[D/venc]]="-","Enviado",IF(Tabela2[[#This Row],[Dt Venc:]]=TODAY(),"Vence Hoje","Vencida")))</f>
        <v>Em Aberto</v>
      </c>
      <c r="F6660" s="3">
        <f ca="1">IF(G6660=1,"-",Tabela2[[#This Row],[Dt Venc:]]-TODAY())</f>
        <v>30</v>
      </c>
      <c r="G6660" s="3"/>
      <c r="H6660" s="3"/>
    </row>
    <row r="6661" spans="1:8">
      <c r="A6661" s="3">
        <v>206434</v>
      </c>
      <c r="B6661" s="7" t="s">
        <v>200</v>
      </c>
      <c r="C6661" s="41">
        <v>881.66</v>
      </c>
      <c r="D6661" s="6">
        <v>45723</v>
      </c>
      <c r="E6661" s="3" t="str">
        <f ca="1">IF(Tabela2[[#This Row],[Dt Venc:]]&gt;TODAY(),"Em Aberto",IF(Tabela2[[#This Row],[D/venc]]="-","Enviado",IF(Tabela2[[#This Row],[Dt Venc:]]=TODAY(),"Vence Hoje","Vencida")))</f>
        <v>Em Aberto</v>
      </c>
      <c r="F6661" s="3">
        <f ca="1">IF(G6661=1,"-",Tabela2[[#This Row],[Dt Venc:]]-TODAY())</f>
        <v>30</v>
      </c>
      <c r="G6661" s="3"/>
      <c r="H6661" s="3"/>
    </row>
    <row r="6662" spans="1:8">
      <c r="A6662" s="3">
        <v>260117</v>
      </c>
      <c r="B6662" s="7" t="s">
        <v>49</v>
      </c>
      <c r="C6662" s="41">
        <v>1030</v>
      </c>
      <c r="D6662" s="6">
        <v>45723</v>
      </c>
      <c r="E6662" s="3" t="str">
        <f ca="1">IF(Tabela2[[#This Row],[Dt Venc:]]&gt;TODAY(),"Em Aberto",IF(Tabela2[[#This Row],[D/venc]]="-","Enviado",IF(Tabela2[[#This Row],[Dt Venc:]]=TODAY(),"Vence Hoje","Vencida")))</f>
        <v>Em Aberto</v>
      </c>
      <c r="F6662" s="3">
        <f ca="1">IF(G6662=1,"-",Tabela2[[#This Row],[Dt Venc:]]-TODAY())</f>
        <v>30</v>
      </c>
      <c r="G6662" s="3"/>
      <c r="H6662" s="3"/>
    </row>
    <row r="6663" spans="1:8">
      <c r="A6663" s="3">
        <v>276695</v>
      </c>
      <c r="B6663" s="7" t="s">
        <v>43</v>
      </c>
      <c r="C6663" s="41">
        <v>2099.3200000000002</v>
      </c>
      <c r="D6663" s="6">
        <v>45723</v>
      </c>
      <c r="E6663" s="3" t="str">
        <f ca="1">IF(Tabela2[[#This Row],[Dt Venc:]]&gt;TODAY(),"Em Aberto",IF(Tabela2[[#This Row],[D/venc]]="-","Enviado",IF(Tabela2[[#This Row],[Dt Venc:]]=TODAY(),"Vence Hoje","Vencida")))</f>
        <v>Em Aberto</v>
      </c>
      <c r="F6663" s="3">
        <f ca="1">IF(G6663=1,"-",Tabela2[[#This Row],[Dt Venc:]]-TODAY())</f>
        <v>30</v>
      </c>
      <c r="G6663" s="3"/>
      <c r="H6663" s="3"/>
    </row>
    <row r="6664" spans="1:8">
      <c r="A6664" s="3">
        <v>306145</v>
      </c>
      <c r="B6664" s="7" t="s">
        <v>506</v>
      </c>
      <c r="C6664" s="41">
        <v>3126.36</v>
      </c>
      <c r="D6664" s="6">
        <v>45723</v>
      </c>
      <c r="E6664" s="3" t="str">
        <f ca="1">IF(Tabela2[[#This Row],[Dt Venc:]]&gt;TODAY(),"Em Aberto",IF(Tabela2[[#This Row],[D/venc]]="-","Enviado",IF(Tabela2[[#This Row],[Dt Venc:]]=TODAY(),"Vence Hoje","Vencida")))</f>
        <v>Em Aberto</v>
      </c>
      <c r="F6664" s="3">
        <f ca="1">IF(G6664=1,"-",Tabela2[[#This Row],[Dt Venc:]]-TODAY())</f>
        <v>30</v>
      </c>
      <c r="G6664" s="3"/>
      <c r="H6664" s="3"/>
    </row>
    <row r="6665" spans="1:8">
      <c r="A6665" s="3">
        <v>376099</v>
      </c>
      <c r="B6665" s="7" t="s">
        <v>39</v>
      </c>
      <c r="C6665" s="41">
        <v>717.09</v>
      </c>
      <c r="D6665" s="6">
        <v>45723</v>
      </c>
      <c r="E6665" s="3" t="str">
        <f ca="1">IF(Tabela2[[#This Row],[Dt Venc:]]&gt;TODAY(),"Em Aberto",IF(Tabela2[[#This Row],[D/venc]]="-","Enviado",IF(Tabela2[[#This Row],[Dt Venc:]]=TODAY(),"Vence Hoje","Vencida")))</f>
        <v>Em Aberto</v>
      </c>
      <c r="F6665" s="3">
        <f ca="1">IF(G6665=1,"-",Tabela2[[#This Row],[Dt Venc:]]-TODAY())</f>
        <v>30</v>
      </c>
      <c r="G6665" s="3"/>
      <c r="H6665" s="3"/>
    </row>
    <row r="6666" spans="1:8">
      <c r="A6666" s="3">
        <v>620937</v>
      </c>
      <c r="B6666" s="7" t="s">
        <v>66</v>
      </c>
      <c r="C6666" s="41">
        <v>1314.31</v>
      </c>
      <c r="D6666" s="6">
        <v>45723</v>
      </c>
      <c r="E6666" s="3" t="str">
        <f ca="1">IF(Tabela2[[#This Row],[Dt Venc:]]&gt;TODAY(),"Em Aberto",IF(Tabela2[[#This Row],[D/venc]]="-","Enviado",IF(Tabela2[[#This Row],[Dt Venc:]]=TODAY(),"Vence Hoje","Vencida")))</f>
        <v>Em Aberto</v>
      </c>
      <c r="F6666" s="3">
        <f ca="1">IF(G6666=1,"-",Tabela2[[#This Row],[Dt Venc:]]-TODAY())</f>
        <v>30</v>
      </c>
      <c r="G6666" s="3"/>
      <c r="H6666" s="3"/>
    </row>
    <row r="6667" spans="1:8">
      <c r="A6667" s="3">
        <v>623980</v>
      </c>
      <c r="B6667" s="7" t="s">
        <v>66</v>
      </c>
      <c r="C6667" s="41">
        <v>2785.2</v>
      </c>
      <c r="D6667" s="6">
        <v>45723</v>
      </c>
      <c r="E6667" s="3" t="str">
        <f ca="1">IF(Tabela2[[#This Row],[Dt Venc:]]&gt;TODAY(),"Em Aberto",IF(Tabela2[[#This Row],[D/venc]]="-","Enviado",IF(Tabela2[[#This Row],[Dt Venc:]]=TODAY(),"Vence Hoje","Vencida")))</f>
        <v>Em Aberto</v>
      </c>
      <c r="F6667" s="3">
        <f ca="1">IF(G6667=1,"-",Tabela2[[#This Row],[Dt Venc:]]-TODAY())</f>
        <v>30</v>
      </c>
      <c r="G6667" s="3"/>
      <c r="H6667" s="3"/>
    </row>
    <row r="6668" spans="1:8">
      <c r="A6668" s="3">
        <v>260390</v>
      </c>
      <c r="B6668" s="7" t="s">
        <v>49</v>
      </c>
      <c r="C6668" s="41">
        <v>1030</v>
      </c>
      <c r="D6668" s="6">
        <v>45723</v>
      </c>
      <c r="E6668" s="3" t="str">
        <f ca="1">IF(Tabela2[[#This Row],[Dt Venc:]]&gt;TODAY(),"Em Aberto",IF(Tabela2[[#This Row],[D/venc]]="-","Enviado",IF(Tabela2[[#This Row],[Dt Venc:]]=TODAY(),"Vence Hoje","Vencida")))</f>
        <v>Em Aberto</v>
      </c>
      <c r="F6668" s="3">
        <f ca="1">IF(G6668=1,"-",Tabela2[[#This Row],[Dt Venc:]]-TODAY())</f>
        <v>30</v>
      </c>
      <c r="G6668" s="3"/>
      <c r="H6668" s="3"/>
    </row>
    <row r="6669" spans="1:8">
      <c r="A6669" s="3">
        <v>1</v>
      </c>
      <c r="B6669" s="7" t="s">
        <v>165</v>
      </c>
      <c r="C6669" s="87" t="s">
        <v>32</v>
      </c>
      <c r="D6669" s="6">
        <v>45724</v>
      </c>
      <c r="E6669" s="3" t="str">
        <f ca="1">IF(Tabela2[[#This Row],[Dt Venc:]]&gt;TODAY(),"Em Aberto",IF(Tabela2[[#This Row],[D/venc]]="-","Enviado",IF(Tabela2[[#This Row],[Dt Venc:]]=TODAY(),"Vence Hoje","Vencida")))</f>
        <v>Em Aberto</v>
      </c>
      <c r="F6669" s="3">
        <f ca="1">IF(G6669=1,"-",Tabela2[[#This Row],[Dt Venc:]]-TODAY())</f>
        <v>31</v>
      </c>
      <c r="G6669" s="3"/>
      <c r="H6669" s="3"/>
    </row>
    <row r="6670" spans="1:8">
      <c r="A6670" s="3">
        <v>43</v>
      </c>
      <c r="B6670" s="7" t="s">
        <v>173</v>
      </c>
      <c r="C6670" s="41">
        <v>1416.6</v>
      </c>
      <c r="D6670" s="6">
        <v>45724</v>
      </c>
      <c r="E6670" s="3" t="str">
        <f ca="1">IF(Tabela2[[#This Row],[Dt Venc:]]&gt;TODAY(),"Em Aberto",IF(Tabela2[[#This Row],[D/venc]]="-","Enviado",IF(Tabela2[[#This Row],[Dt Venc:]]=TODAY(),"Vence Hoje","Vencida")))</f>
        <v>Em Aberto</v>
      </c>
      <c r="F6670" s="3">
        <f ca="1">IF(G6670=1,"-",Tabela2[[#This Row],[Dt Venc:]]-TODAY())</f>
        <v>31</v>
      </c>
      <c r="G6670" s="3"/>
      <c r="H6670" s="3"/>
    </row>
    <row r="6671" spans="1:8">
      <c r="A6671" s="3">
        <v>54</v>
      </c>
      <c r="B6671" s="7" t="s">
        <v>103</v>
      </c>
      <c r="C6671" s="41">
        <v>1250</v>
      </c>
      <c r="D6671" s="6">
        <v>45724</v>
      </c>
      <c r="E6671" s="3" t="str">
        <f ca="1">IF(Tabela2[[#This Row],[Dt Venc:]]&gt;TODAY(),"Em Aberto",IF(Tabela2[[#This Row],[D/venc]]="-","Enviado",IF(Tabela2[[#This Row],[Dt Venc:]]=TODAY(),"Vence Hoje","Vencida")))</f>
        <v>Em Aberto</v>
      </c>
      <c r="F6671" s="3">
        <f ca="1">IF(G6671=1,"-",Tabela2[[#This Row],[Dt Venc:]]-TODAY())</f>
        <v>31</v>
      </c>
      <c r="G6671" s="3"/>
      <c r="H6671" s="3"/>
    </row>
    <row r="6672" spans="1:8">
      <c r="A6672" s="3">
        <v>2589</v>
      </c>
      <c r="B6672" s="7" t="s">
        <v>354</v>
      </c>
      <c r="C6672" s="41">
        <v>565</v>
      </c>
      <c r="D6672" s="6">
        <v>45724</v>
      </c>
      <c r="E6672" s="3" t="str">
        <f ca="1">IF(Tabela2[[#This Row],[Dt Venc:]]&gt;TODAY(),"Em Aberto",IF(Tabela2[[#This Row],[D/venc]]="-","Enviado",IF(Tabela2[[#This Row],[Dt Venc:]]=TODAY(),"Vence Hoje","Vencida")))</f>
        <v>Em Aberto</v>
      </c>
      <c r="F6672" s="3">
        <f ca="1">IF(G6672=1,"-",Tabela2[[#This Row],[Dt Venc:]]-TODAY())</f>
        <v>31</v>
      </c>
      <c r="G6672" s="3"/>
      <c r="H6672" s="3"/>
    </row>
    <row r="6673" spans="1:8">
      <c r="A6673" s="3">
        <v>4135</v>
      </c>
      <c r="B6673" s="7" t="s">
        <v>293</v>
      </c>
      <c r="C6673" s="41">
        <v>1875</v>
      </c>
      <c r="D6673" s="6">
        <v>45724</v>
      </c>
      <c r="E6673" s="3" t="str">
        <f ca="1">IF(Tabela2[[#This Row],[Dt Venc:]]&gt;TODAY(),"Em Aberto",IF(Tabela2[[#This Row],[D/venc]]="-","Enviado",IF(Tabela2[[#This Row],[Dt Venc:]]=TODAY(),"Vence Hoje","Vencida")))</f>
        <v>Em Aberto</v>
      </c>
      <c r="F6673" s="3">
        <f ca="1">IF(G6673=1,"-",Tabela2[[#This Row],[Dt Venc:]]-TODAY())</f>
        <v>31</v>
      </c>
      <c r="G6673" s="3"/>
      <c r="H6673" s="3"/>
    </row>
    <row r="6674" spans="1:8">
      <c r="A6674" s="3">
        <v>18436</v>
      </c>
      <c r="B6674" s="7" t="s">
        <v>292</v>
      </c>
      <c r="C6674" s="41">
        <v>4994</v>
      </c>
      <c r="D6674" s="6">
        <v>45724</v>
      </c>
      <c r="E6674" s="3" t="str">
        <f ca="1">IF(Tabela2[[#This Row],[Dt Venc:]]&gt;TODAY(),"Em Aberto",IF(Tabela2[[#This Row],[D/venc]]="-","Enviado",IF(Tabela2[[#This Row],[Dt Venc:]]=TODAY(),"Vence Hoje","Vencida")))</f>
        <v>Em Aberto</v>
      </c>
      <c r="F6674" s="3">
        <f ca="1">IF(G6674=1,"-",Tabela2[[#This Row],[Dt Venc:]]-TODAY())</f>
        <v>31</v>
      </c>
      <c r="G6674" s="3"/>
      <c r="H6674" s="3"/>
    </row>
    <row r="6675" spans="1:8">
      <c r="A6675" s="3">
        <v>24294</v>
      </c>
      <c r="B6675" s="7" t="s">
        <v>38</v>
      </c>
      <c r="C6675" s="41">
        <v>1521.5</v>
      </c>
      <c r="D6675" s="6">
        <v>45724</v>
      </c>
      <c r="E6675" s="3" t="str">
        <f ca="1">IF(Tabela2[[#This Row],[Dt Venc:]]&gt;TODAY(),"Em Aberto",IF(Tabela2[[#This Row],[D/venc]]="-","Enviado",IF(Tabela2[[#This Row],[Dt Venc:]]=TODAY(),"Vence Hoje","Vencida")))</f>
        <v>Em Aberto</v>
      </c>
      <c r="F6675" s="3">
        <f ca="1">IF(G6675=1,"-",Tabela2[[#This Row],[Dt Venc:]]-TODAY())</f>
        <v>31</v>
      </c>
      <c r="G6675" s="3"/>
      <c r="H6675" s="3"/>
    </row>
    <row r="6676" spans="1:8">
      <c r="A6676" s="3">
        <v>30919</v>
      </c>
      <c r="B6676" s="7" t="s">
        <v>97</v>
      </c>
      <c r="C6676" s="41">
        <v>1542</v>
      </c>
      <c r="D6676" s="6">
        <v>45724</v>
      </c>
      <c r="E6676" s="3" t="str">
        <f ca="1">IF(Tabela2[[#This Row],[Dt Venc:]]&gt;TODAY(),"Em Aberto",IF(Tabela2[[#This Row],[D/venc]]="-","Enviado",IF(Tabela2[[#This Row],[Dt Venc:]]=TODAY(),"Vence Hoje","Vencida")))</f>
        <v>Em Aberto</v>
      </c>
      <c r="F6676" s="3">
        <f ca="1">IF(G6676=1,"-",Tabela2[[#This Row],[Dt Venc:]]-TODAY())</f>
        <v>31</v>
      </c>
      <c r="G6676" s="3"/>
      <c r="H6676" s="3"/>
    </row>
    <row r="6677" spans="1:8">
      <c r="A6677" s="3">
        <v>155674</v>
      </c>
      <c r="B6677" s="7" t="s">
        <v>77</v>
      </c>
      <c r="C6677" s="41">
        <v>1233.33</v>
      </c>
      <c r="D6677" s="6">
        <v>45724</v>
      </c>
      <c r="E6677" s="3" t="str">
        <f ca="1">IF(Tabela2[[#This Row],[Dt Venc:]]&gt;TODAY(),"Em Aberto",IF(Tabela2[[#This Row],[D/venc]]="-","Enviado",IF(Tabela2[[#This Row],[Dt Venc:]]=TODAY(),"Vence Hoje","Vencida")))</f>
        <v>Em Aberto</v>
      </c>
      <c r="F6677" s="3">
        <f ca="1">IF(G6677=1,"-",Tabela2[[#This Row],[Dt Venc:]]-TODAY())</f>
        <v>31</v>
      </c>
      <c r="G6677" s="3"/>
      <c r="H6677" s="3"/>
    </row>
    <row r="6678" spans="1:8">
      <c r="A6678" s="3">
        <v>179319</v>
      </c>
      <c r="B6678" s="7" t="s">
        <v>211</v>
      </c>
      <c r="C6678" s="41">
        <v>990</v>
      </c>
      <c r="D6678" s="6">
        <v>45724</v>
      </c>
      <c r="E6678" s="3" t="str">
        <f ca="1">IF(Tabela2[[#This Row],[Dt Venc:]]&gt;TODAY(),"Em Aberto",IF(Tabela2[[#This Row],[D/venc]]="-","Enviado",IF(Tabela2[[#This Row],[Dt Venc:]]=TODAY(),"Vence Hoje","Vencida")))</f>
        <v>Em Aberto</v>
      </c>
      <c r="F6678" s="3">
        <f ca="1">IF(G6678=1,"-",Tabela2[[#This Row],[Dt Venc:]]-TODAY())</f>
        <v>31</v>
      </c>
      <c r="G6678" s="3"/>
      <c r="H6678" s="3"/>
    </row>
    <row r="6679" spans="1:8">
      <c r="A6679" s="3">
        <v>267501</v>
      </c>
      <c r="B6679" s="7" t="s">
        <v>43</v>
      </c>
      <c r="C6679" s="41">
        <v>846.16</v>
      </c>
      <c r="D6679" s="6">
        <v>45724</v>
      </c>
      <c r="E6679" s="3" t="str">
        <f ca="1">IF(Tabela2[[#This Row],[Dt Venc:]]&gt;TODAY(),"Em Aberto",IF(Tabela2[[#This Row],[D/venc]]="-","Enviado",IF(Tabela2[[#This Row],[Dt Venc:]]=TODAY(),"Vence Hoje","Vencida")))</f>
        <v>Em Aberto</v>
      </c>
      <c r="F6679" s="3">
        <f ca="1">IF(G6679=1,"-",Tabela2[[#This Row],[Dt Venc:]]-TODAY())</f>
        <v>31</v>
      </c>
      <c r="G6679" s="3"/>
      <c r="H6679" s="3"/>
    </row>
    <row r="6680" spans="1:8">
      <c r="A6680" s="3">
        <v>277281</v>
      </c>
      <c r="B6680" s="7" t="s">
        <v>36</v>
      </c>
      <c r="C6680" s="41">
        <v>557.33000000000004</v>
      </c>
      <c r="D6680" s="6">
        <v>45724</v>
      </c>
      <c r="E6680" s="3" t="str">
        <f ca="1">IF(Tabela2[[#This Row],[Dt Venc:]]&gt;TODAY(),"Em Aberto",IF(Tabela2[[#This Row],[D/venc]]="-","Enviado",IF(Tabela2[[#This Row],[Dt Venc:]]=TODAY(),"Vence Hoje","Vencida")))</f>
        <v>Em Aberto</v>
      </c>
      <c r="F6680" s="3">
        <f ca="1">IF(G6680=1,"-",Tabela2[[#This Row],[Dt Venc:]]-TODAY())</f>
        <v>31</v>
      </c>
      <c r="G6680" s="3"/>
      <c r="H6680" s="3"/>
    </row>
    <row r="6681" spans="1:8">
      <c r="A6681" s="3">
        <v>284620</v>
      </c>
      <c r="B6681" s="7" t="s">
        <v>153</v>
      </c>
      <c r="C6681" s="99" t="s">
        <v>32</v>
      </c>
      <c r="D6681" s="6">
        <v>45724</v>
      </c>
      <c r="E6681" s="3" t="str">
        <f ca="1">IF(Tabela2[[#This Row],[Dt Venc:]]&gt;TODAY(),"Em Aberto",IF(Tabela2[[#This Row],[D/venc]]="-","Enviado",IF(Tabela2[[#This Row],[Dt Venc:]]=TODAY(),"Vence Hoje","Vencida")))</f>
        <v>Em Aberto</v>
      </c>
      <c r="F6681" s="3">
        <f ca="1">IF(G6681=1,"-",Tabela2[[#This Row],[Dt Venc:]]-TODAY())</f>
        <v>31</v>
      </c>
      <c r="G6681" s="3"/>
      <c r="H6681" s="3"/>
    </row>
    <row r="6682" spans="1:8">
      <c r="A6682" s="3">
        <v>450069</v>
      </c>
      <c r="B6682" s="7" t="s">
        <v>680</v>
      </c>
      <c r="C6682" s="41">
        <v>1052.95</v>
      </c>
      <c r="D6682" s="6">
        <v>45724</v>
      </c>
      <c r="E6682" s="3" t="str">
        <f ca="1">IF(Tabela2[[#This Row],[Dt Venc:]]&gt;TODAY(),"Em Aberto",IF(Tabela2[[#This Row],[D/venc]]="-","Enviado",IF(Tabela2[[#This Row],[Dt Venc:]]=TODAY(),"Vence Hoje","Vencida")))</f>
        <v>Em Aberto</v>
      </c>
      <c r="F6682" s="3">
        <f ca="1">IF(G6682=1,"-",Tabela2[[#This Row],[Dt Venc:]]-TODAY())</f>
        <v>31</v>
      </c>
      <c r="G6682" s="3"/>
      <c r="H6682" s="3"/>
    </row>
    <row r="6683" spans="1:8">
      <c r="A6683" s="3">
        <v>2896</v>
      </c>
      <c r="B6683" s="7" t="s">
        <v>58</v>
      </c>
      <c r="C6683" s="41">
        <v>2255.14</v>
      </c>
      <c r="D6683" s="6">
        <v>45725</v>
      </c>
      <c r="E6683" s="3" t="str">
        <f ca="1">IF(Tabela2[[#This Row],[Dt Venc:]]&gt;TODAY(),"Em Aberto",IF(Tabela2[[#This Row],[D/venc]]="-","Enviado",IF(Tabela2[[#This Row],[Dt Venc:]]=TODAY(),"Vence Hoje","Vencida")))</f>
        <v>Em Aberto</v>
      </c>
      <c r="F6683" s="3">
        <f ca="1">IF(G6683=1,"-",Tabela2[[#This Row],[Dt Venc:]]-TODAY())</f>
        <v>32</v>
      </c>
      <c r="G6683" s="3"/>
      <c r="H6683" s="3"/>
    </row>
    <row r="6684" spans="1:8">
      <c r="A6684" s="3">
        <v>2955</v>
      </c>
      <c r="B6684" s="7" t="s">
        <v>58</v>
      </c>
      <c r="C6684" s="41">
        <v>3315.4</v>
      </c>
      <c r="D6684" s="6">
        <v>45725</v>
      </c>
      <c r="E6684" s="3" t="str">
        <f ca="1">IF(Tabela2[[#This Row],[Dt Venc:]]&gt;TODAY(),"Em Aberto",IF(Tabela2[[#This Row],[D/venc]]="-","Enviado",IF(Tabela2[[#This Row],[Dt Venc:]]=TODAY(),"Vence Hoje","Vencida")))</f>
        <v>Em Aberto</v>
      </c>
      <c r="F6684" s="3">
        <f ca="1">IF(G6684=1,"-",Tabela2[[#This Row],[Dt Venc:]]-TODAY())</f>
        <v>32</v>
      </c>
      <c r="G6684" s="3"/>
      <c r="H6684" s="3"/>
    </row>
    <row r="6685" spans="1:8">
      <c r="A6685" s="3">
        <v>11213</v>
      </c>
      <c r="B6685" s="7" t="s">
        <v>33</v>
      </c>
      <c r="C6685" s="41">
        <v>1200</v>
      </c>
      <c r="D6685" s="6">
        <v>45725</v>
      </c>
      <c r="E6685" s="3" t="str">
        <f ca="1">IF(Tabela2[[#This Row],[Dt Venc:]]&gt;TODAY(),"Em Aberto",IF(Tabela2[[#This Row],[D/venc]]="-","Enviado",IF(Tabela2[[#This Row],[Dt Venc:]]=TODAY(),"Vence Hoje","Vencida")))</f>
        <v>Em Aberto</v>
      </c>
      <c r="F6685" s="3">
        <f ca="1">IF(G6685=1,"-",Tabela2[[#This Row],[Dt Venc:]]-TODAY())</f>
        <v>32</v>
      </c>
      <c r="G6685" s="3"/>
      <c r="H6685" s="3"/>
    </row>
    <row r="6686" spans="1:8">
      <c r="A6686" s="3">
        <v>11214</v>
      </c>
      <c r="B6686" s="7" t="s">
        <v>33</v>
      </c>
      <c r="C6686" s="41">
        <v>1723.3</v>
      </c>
      <c r="D6686" s="6">
        <v>45725</v>
      </c>
      <c r="E6686" s="3" t="str">
        <f ca="1">IF(Tabela2[[#This Row],[Dt Venc:]]&gt;TODAY(),"Em Aberto",IF(Tabela2[[#This Row],[D/venc]]="-","Enviado",IF(Tabela2[[#This Row],[Dt Venc:]]=TODAY(),"Vence Hoje","Vencida")))</f>
        <v>Em Aberto</v>
      </c>
      <c r="F6686" s="3">
        <f ca="1">IF(G6686=1,"-",Tabela2[[#This Row],[Dt Venc:]]-TODAY())</f>
        <v>32</v>
      </c>
      <c r="G6686" s="3"/>
      <c r="H6686" s="3"/>
    </row>
    <row r="6687" spans="1:8">
      <c r="A6687" s="3">
        <v>11319</v>
      </c>
      <c r="B6687" s="7" t="s">
        <v>33</v>
      </c>
      <c r="C6687" s="41">
        <v>1933.34</v>
      </c>
      <c r="D6687" s="6">
        <v>45725</v>
      </c>
      <c r="E6687" s="3" t="str">
        <f ca="1">IF(Tabela2[[#This Row],[Dt Venc:]]&gt;TODAY(),"Em Aberto",IF(Tabela2[[#This Row],[D/venc]]="-","Enviado",IF(Tabela2[[#This Row],[Dt Venc:]]=TODAY(),"Vence Hoje","Vencida")))</f>
        <v>Em Aberto</v>
      </c>
      <c r="F6687" s="3">
        <f ca="1">IF(G6687=1,"-",Tabela2[[#This Row],[Dt Venc:]]-TODAY())</f>
        <v>32</v>
      </c>
      <c r="G6687" s="3"/>
      <c r="H6687" s="3"/>
    </row>
    <row r="6688" spans="1:8">
      <c r="A6688" s="3">
        <v>24062</v>
      </c>
      <c r="B6688" s="7" t="s">
        <v>38</v>
      </c>
      <c r="C6688" s="41">
        <v>1201</v>
      </c>
      <c r="D6688" s="6">
        <v>45725</v>
      </c>
      <c r="E6688" s="3" t="str">
        <f ca="1">IF(Tabela2[[#This Row],[Dt Venc:]]&gt;TODAY(),"Em Aberto",IF(Tabela2[[#This Row],[D/venc]]="-","Enviado",IF(Tabela2[[#This Row],[Dt Venc:]]=TODAY(),"Vence Hoje","Vencida")))</f>
        <v>Em Aberto</v>
      </c>
      <c r="F6688" s="3">
        <f ca="1">IF(G6688=1,"-",Tabela2[[#This Row],[Dt Venc:]]-TODAY())</f>
        <v>32</v>
      </c>
      <c r="G6688" s="3"/>
      <c r="H6688" s="3"/>
    </row>
    <row r="6689" spans="1:8">
      <c r="A6689" s="3">
        <v>24067</v>
      </c>
      <c r="B6689" s="7" t="s">
        <v>38</v>
      </c>
      <c r="C6689" s="41">
        <v>720</v>
      </c>
      <c r="D6689" s="6">
        <v>45725</v>
      </c>
      <c r="E6689" s="3" t="str">
        <f ca="1">IF(Tabela2[[#This Row],[Dt Venc:]]&gt;TODAY(),"Em Aberto",IF(Tabela2[[#This Row],[D/venc]]="-","Enviado",IF(Tabela2[[#This Row],[Dt Venc:]]=TODAY(),"Vence Hoje","Vencida")))</f>
        <v>Em Aberto</v>
      </c>
      <c r="F6689" s="3">
        <f ca="1">IF(G6689=1,"-",Tabela2[[#This Row],[Dt Venc:]]-TODAY())</f>
        <v>32</v>
      </c>
      <c r="G6689" s="3"/>
      <c r="H6689" s="3"/>
    </row>
    <row r="6690" spans="1:8">
      <c r="A6690" s="3">
        <v>24305</v>
      </c>
      <c r="B6690" s="7" t="s">
        <v>38</v>
      </c>
      <c r="C6690" s="41">
        <v>1340</v>
      </c>
      <c r="D6690" s="6">
        <v>45725</v>
      </c>
      <c r="E6690" s="3" t="str">
        <f ca="1">IF(Tabela2[[#This Row],[Dt Venc:]]&gt;TODAY(),"Em Aberto",IF(Tabela2[[#This Row],[D/venc]]="-","Enviado",IF(Tabela2[[#This Row],[Dt Venc:]]=TODAY(),"Vence Hoje","Vencida")))</f>
        <v>Em Aberto</v>
      </c>
      <c r="F6690" s="3">
        <f ca="1">IF(G6690=1,"-",Tabela2[[#This Row],[Dt Venc:]]-TODAY())</f>
        <v>32</v>
      </c>
      <c r="G6690" s="3"/>
      <c r="H6690" s="3"/>
    </row>
    <row r="6691" spans="1:8">
      <c r="A6691" s="3">
        <v>36949</v>
      </c>
      <c r="B6691" s="7" t="s">
        <v>167</v>
      </c>
      <c r="C6691" s="99" t="s">
        <v>32</v>
      </c>
      <c r="D6691" s="6">
        <v>45725</v>
      </c>
      <c r="E6691" s="3" t="str">
        <f ca="1">IF(Tabela2[[#This Row],[Dt Venc:]]&gt;TODAY(),"Em Aberto",IF(Tabela2[[#This Row],[D/venc]]="-","Enviado",IF(Tabela2[[#This Row],[Dt Venc:]]=TODAY(),"Vence Hoje","Vencida")))</f>
        <v>Em Aberto</v>
      </c>
      <c r="F6691" s="3">
        <f ca="1">IF(G6691=1,"-",Tabela2[[#This Row],[Dt Venc:]]-TODAY())</f>
        <v>32</v>
      </c>
      <c r="G6691" s="3"/>
      <c r="H6691" s="3"/>
    </row>
    <row r="6692" spans="1:8">
      <c r="A6692" s="3">
        <v>109685</v>
      </c>
      <c r="B6692" s="7" t="s">
        <v>612</v>
      </c>
      <c r="C6692" s="41">
        <v>2393.33</v>
      </c>
      <c r="D6692" s="6">
        <v>45725</v>
      </c>
      <c r="E6692" s="3" t="str">
        <f ca="1">IF(Tabela2[[#This Row],[Dt Venc:]]&gt;TODAY(),"Em Aberto",IF(Tabela2[[#This Row],[D/venc]]="-","Enviado",IF(Tabela2[[#This Row],[Dt Venc:]]=TODAY(),"Vence Hoje","Vencida")))</f>
        <v>Em Aberto</v>
      </c>
      <c r="F6692" s="3">
        <f ca="1">IF(G6692=1,"-",Tabela2[[#This Row],[Dt Venc:]]-TODAY())</f>
        <v>32</v>
      </c>
      <c r="G6692" s="3"/>
      <c r="H6692" s="3"/>
    </row>
    <row r="6693" spans="1:8">
      <c r="A6693" s="3">
        <v>307002</v>
      </c>
      <c r="B6693" s="7" t="s">
        <v>189</v>
      </c>
      <c r="C6693" s="41">
        <v>612.47</v>
      </c>
      <c r="D6693" s="6">
        <v>45725</v>
      </c>
      <c r="E6693" s="3" t="str">
        <f ca="1">IF(Tabela2[[#This Row],[Dt Venc:]]&gt;TODAY(),"Em Aberto",IF(Tabela2[[#This Row],[D/venc]]="-","Enviado",IF(Tabela2[[#This Row],[Dt Venc:]]=TODAY(),"Vence Hoje","Vencida")))</f>
        <v>Em Aberto</v>
      </c>
      <c r="F6693" s="3">
        <f ca="1">IF(G6693=1,"-",Tabela2[[#This Row],[Dt Venc:]]-TODAY())</f>
        <v>32</v>
      </c>
      <c r="G6693" s="3"/>
      <c r="H6693" s="3"/>
    </row>
    <row r="6694" spans="1:8">
      <c r="A6694" s="3">
        <v>431636</v>
      </c>
      <c r="B6694" s="7" t="s">
        <v>89</v>
      </c>
      <c r="C6694" s="41">
        <v>1298</v>
      </c>
      <c r="D6694" s="6">
        <v>45725</v>
      </c>
      <c r="E6694" s="3" t="str">
        <f ca="1">IF(Tabela2[[#This Row],[Dt Venc:]]&gt;TODAY(),"Em Aberto",IF(Tabela2[[#This Row],[D/venc]]="-","Enviado",IF(Tabela2[[#This Row],[Dt Venc:]]=TODAY(),"Vence Hoje","Vencida")))</f>
        <v>Em Aberto</v>
      </c>
      <c r="F6694" s="3">
        <f ca="1">IF(G6694=1,"-",Tabela2[[#This Row],[Dt Venc:]]-TODAY())</f>
        <v>32</v>
      </c>
      <c r="G6694" s="3"/>
      <c r="H6694" s="3"/>
    </row>
    <row r="6695" spans="1:8">
      <c r="A6695" s="3">
        <v>431654</v>
      </c>
      <c r="B6695" s="7" t="s">
        <v>89</v>
      </c>
      <c r="C6695" s="41">
        <v>1381.51</v>
      </c>
      <c r="D6695" s="6">
        <v>45725</v>
      </c>
      <c r="E6695" s="3" t="str">
        <f ca="1">IF(Tabela2[[#This Row],[Dt Venc:]]&gt;TODAY(),"Em Aberto",IF(Tabela2[[#This Row],[D/venc]]="-","Enviado",IF(Tabela2[[#This Row],[Dt Venc:]]=TODAY(),"Vence Hoje","Vencida")))</f>
        <v>Em Aberto</v>
      </c>
      <c r="F6695" s="3">
        <f ca="1">IF(G6695=1,"-",Tabela2[[#This Row],[Dt Venc:]]-TODAY())</f>
        <v>32</v>
      </c>
      <c r="G6695" s="3"/>
      <c r="H6695" s="3"/>
    </row>
    <row r="6696" spans="1:8">
      <c r="A6696" s="3">
        <v>756561</v>
      </c>
      <c r="B6696" s="7" t="s">
        <v>166</v>
      </c>
      <c r="C6696" s="99" t="s">
        <v>32</v>
      </c>
      <c r="D6696" s="6">
        <v>45725</v>
      </c>
      <c r="E6696" s="3" t="str">
        <f ca="1">IF(Tabela2[[#This Row],[Dt Venc:]]&gt;TODAY(),"Em Aberto",IF(Tabela2[[#This Row],[D/venc]]="-","Enviado",IF(Tabela2[[#This Row],[Dt Venc:]]=TODAY(),"Vence Hoje","Vencida")))</f>
        <v>Em Aberto</v>
      </c>
      <c r="F6696" s="3">
        <f ca="1">IF(G6696=1,"-",Tabela2[[#This Row],[Dt Venc:]]-TODAY())</f>
        <v>32</v>
      </c>
      <c r="G6696" s="3"/>
      <c r="H6696" s="3"/>
    </row>
    <row r="6697" spans="1:8">
      <c r="A6697" s="3" t="s">
        <v>179</v>
      </c>
      <c r="B6697" s="7" t="s">
        <v>180</v>
      </c>
      <c r="C6697" s="99" t="s">
        <v>32</v>
      </c>
      <c r="D6697" s="6">
        <v>45725</v>
      </c>
      <c r="E6697" s="3" t="str">
        <f ca="1">IF(Tabela2[[#This Row],[Dt Venc:]]&gt;TODAY(),"Em Aberto",IF(Tabela2[[#This Row],[D/venc]]="-","Enviado",IF(Tabela2[[#This Row],[Dt Venc:]]=TODAY(),"Vence Hoje","Vencida")))</f>
        <v>Em Aberto</v>
      </c>
      <c r="F6697" s="3">
        <f ca="1">IF(G6697=1,"-",Tabela2[[#This Row],[Dt Venc:]]-TODAY())</f>
        <v>32</v>
      </c>
      <c r="G6697" s="3"/>
      <c r="H6697" s="3"/>
    </row>
    <row r="6698" spans="1:8">
      <c r="A6698" s="3">
        <v>540</v>
      </c>
      <c r="B6698" s="7" t="s">
        <v>631</v>
      </c>
      <c r="C6698" s="41">
        <v>1233.3399999999999</v>
      </c>
      <c r="D6698" s="6">
        <v>45726</v>
      </c>
      <c r="E6698" s="3" t="str">
        <f ca="1">IF(Tabela2[[#This Row],[Dt Venc:]]&gt;TODAY(),"Em Aberto",IF(Tabela2[[#This Row],[D/venc]]="-","Enviado",IF(Tabela2[[#This Row],[Dt Venc:]]=TODAY(),"Vence Hoje","Vencida")))</f>
        <v>Em Aberto</v>
      </c>
      <c r="F6698" s="3">
        <f ca="1">IF(G6698=1,"-",Tabela2[[#This Row],[Dt Venc:]]-TODAY())</f>
        <v>33</v>
      </c>
      <c r="G6698" s="3"/>
      <c r="H6698" s="3"/>
    </row>
    <row r="6699" spans="1:8">
      <c r="A6699" s="3">
        <v>1325</v>
      </c>
      <c r="B6699" s="7" t="s">
        <v>474</v>
      </c>
      <c r="C6699" s="41">
        <v>1753.5</v>
      </c>
      <c r="D6699" s="6">
        <v>45726</v>
      </c>
      <c r="E6699" s="3" t="str">
        <f ca="1">IF(Tabela2[[#This Row],[Dt Venc:]]&gt;TODAY(),"Em Aberto",IF(Tabela2[[#This Row],[D/venc]]="-","Enviado",IF(Tabela2[[#This Row],[Dt Venc:]]=TODAY(),"Vence Hoje","Vencida")))</f>
        <v>Em Aberto</v>
      </c>
      <c r="F6699" s="3">
        <f ca="1">IF(G6699=1,"-",Tabela2[[#This Row],[Dt Venc:]]-TODAY())</f>
        <v>33</v>
      </c>
      <c r="G6699" s="3"/>
      <c r="H6699" s="3"/>
    </row>
    <row r="6700" spans="1:8">
      <c r="A6700" s="3">
        <v>5843</v>
      </c>
      <c r="B6700" s="7" t="s">
        <v>685</v>
      </c>
      <c r="C6700" s="41">
        <v>137.66</v>
      </c>
      <c r="D6700" s="6">
        <v>45726</v>
      </c>
      <c r="E6700" s="3" t="str">
        <f ca="1">IF(Tabela2[[#This Row],[Dt Venc:]]&gt;TODAY(),"Em Aberto",IF(Tabela2[[#This Row],[D/venc]]="-","Enviado",IF(Tabela2[[#This Row],[Dt Venc:]]=TODAY(),"Vence Hoje","Vencida")))</f>
        <v>Em Aberto</v>
      </c>
      <c r="F6700" s="3">
        <f ca="1">IF(G6700=1,"-",Tabela2[[#This Row],[Dt Venc:]]-TODAY())</f>
        <v>33</v>
      </c>
      <c r="G6700" s="3"/>
      <c r="H6700" s="3"/>
    </row>
    <row r="6701" spans="1:8">
      <c r="A6701" s="3">
        <v>7336</v>
      </c>
      <c r="B6701" s="7" t="s">
        <v>43</v>
      </c>
      <c r="C6701" s="41">
        <v>460</v>
      </c>
      <c r="D6701" s="6">
        <v>45726</v>
      </c>
      <c r="E6701" s="3" t="str">
        <f ca="1">IF(Tabela2[[#This Row],[Dt Venc:]]&gt;TODAY(),"Em Aberto",IF(Tabela2[[#This Row],[D/venc]]="-","Enviado",IF(Tabela2[[#This Row],[Dt Venc:]]=TODAY(),"Vence Hoje","Vencida")))</f>
        <v>Em Aberto</v>
      </c>
      <c r="F6701" s="3">
        <f ca="1">IF(G6701=1,"-",Tabela2[[#This Row],[Dt Venc:]]-TODAY())</f>
        <v>33</v>
      </c>
      <c r="G6701" s="3"/>
      <c r="H6701" s="3"/>
    </row>
    <row r="6702" spans="1:8">
      <c r="A6702" s="3">
        <v>11024</v>
      </c>
      <c r="B6702" s="7" t="s">
        <v>76</v>
      </c>
      <c r="C6702" s="41">
        <v>1488.01</v>
      </c>
      <c r="D6702" s="6">
        <v>45726</v>
      </c>
      <c r="E6702" s="3" t="str">
        <f ca="1">IF(Tabela2[[#This Row],[Dt Venc:]]&gt;TODAY(),"Em Aberto",IF(Tabela2[[#This Row],[D/venc]]="-","Enviado",IF(Tabela2[[#This Row],[Dt Venc:]]=TODAY(),"Vence Hoje","Vencida")))</f>
        <v>Em Aberto</v>
      </c>
      <c r="F6702" s="3">
        <f ca="1">IF(G6702=1,"-",Tabela2[[#This Row],[Dt Venc:]]-TODAY())</f>
        <v>33</v>
      </c>
      <c r="G6702" s="3"/>
      <c r="H6702" s="3"/>
    </row>
    <row r="6703" spans="1:8">
      <c r="A6703" s="3">
        <v>11219</v>
      </c>
      <c r="B6703" s="7" t="s">
        <v>33</v>
      </c>
      <c r="C6703" s="41">
        <v>800</v>
      </c>
      <c r="D6703" s="6">
        <v>45726</v>
      </c>
      <c r="E6703" s="3" t="str">
        <f ca="1">IF(Tabela2[[#This Row],[Dt Venc:]]&gt;TODAY(),"Em Aberto",IF(Tabela2[[#This Row],[D/venc]]="-","Enviado",IF(Tabela2[[#This Row],[Dt Venc:]]=TODAY(),"Vence Hoje","Vencida")))</f>
        <v>Em Aberto</v>
      </c>
      <c r="F6703" s="3">
        <f ca="1">IF(G6703=1,"-",Tabela2[[#This Row],[Dt Venc:]]-TODAY())</f>
        <v>33</v>
      </c>
      <c r="G6703" s="3"/>
      <c r="H6703" s="3"/>
    </row>
    <row r="6704" spans="1:8">
      <c r="A6704" s="3">
        <v>13877</v>
      </c>
      <c r="B6704" s="7" t="s">
        <v>622</v>
      </c>
      <c r="C6704" s="41">
        <v>263.5</v>
      </c>
      <c r="D6704" s="6">
        <v>45726</v>
      </c>
      <c r="E6704" s="3" t="str">
        <f ca="1">IF(Tabela2[[#This Row],[Dt Venc:]]&gt;TODAY(),"Em Aberto",IF(Tabela2[[#This Row],[D/venc]]="-","Enviado",IF(Tabela2[[#This Row],[Dt Venc:]]=TODAY(),"Vence Hoje","Vencida")))</f>
        <v>Em Aberto</v>
      </c>
      <c r="F6704" s="3">
        <f ca="1">IF(G6704=1,"-",Tabela2[[#This Row],[Dt Venc:]]-TODAY())</f>
        <v>33</v>
      </c>
      <c r="G6704" s="3"/>
      <c r="H6704" s="3"/>
    </row>
    <row r="6705" spans="1:8">
      <c r="A6705" s="3">
        <v>15367</v>
      </c>
      <c r="B6705" s="7" t="s">
        <v>44</v>
      </c>
      <c r="C6705" s="41">
        <v>956.25</v>
      </c>
      <c r="D6705" s="6">
        <v>45726</v>
      </c>
      <c r="E6705" s="3" t="str">
        <f ca="1">IF(Tabela2[[#This Row],[Dt Venc:]]&gt;TODAY(),"Em Aberto",IF(Tabela2[[#This Row],[D/venc]]="-","Enviado",IF(Tabela2[[#This Row],[Dt Venc:]]=TODAY(),"Vence Hoje","Vencida")))</f>
        <v>Em Aberto</v>
      </c>
      <c r="F6705" s="3">
        <f ca="1">IF(G6705=1,"-",Tabela2[[#This Row],[Dt Venc:]]-TODAY())</f>
        <v>33</v>
      </c>
      <c r="G6705" s="3"/>
      <c r="H6705" s="3"/>
    </row>
    <row r="6706" spans="1:8">
      <c r="A6706" s="3">
        <v>16518</v>
      </c>
      <c r="B6706" s="7" t="s">
        <v>74</v>
      </c>
      <c r="C6706" s="41">
        <v>645</v>
      </c>
      <c r="D6706" s="6">
        <v>45726</v>
      </c>
      <c r="E6706" s="3" t="str">
        <f ca="1">IF(Tabela2[[#This Row],[Dt Venc:]]&gt;TODAY(),"Em Aberto",IF(Tabela2[[#This Row],[D/venc]]="-","Enviado",IF(Tabela2[[#This Row],[Dt Venc:]]=TODAY(),"Vence Hoje","Vencida")))</f>
        <v>Em Aberto</v>
      </c>
      <c r="F6706" s="3">
        <f ca="1">IF(G6706=1,"-",Tabela2[[#This Row],[Dt Venc:]]-TODAY())</f>
        <v>33</v>
      </c>
      <c r="G6706" s="3"/>
      <c r="H6706" s="3"/>
    </row>
    <row r="6707" spans="1:8">
      <c r="A6707" s="3">
        <v>22727</v>
      </c>
      <c r="B6707" s="7" t="s">
        <v>40</v>
      </c>
      <c r="C6707" s="41">
        <v>7933.34</v>
      </c>
      <c r="D6707" s="6">
        <v>45726</v>
      </c>
      <c r="E6707" s="3" t="str">
        <f ca="1">IF(Tabela2[[#This Row],[Dt Venc:]]&gt;TODAY(),"Em Aberto",IF(Tabela2[[#This Row],[D/venc]]="-","Enviado",IF(Tabela2[[#This Row],[Dt Venc:]]=TODAY(),"Vence Hoje","Vencida")))</f>
        <v>Em Aberto</v>
      </c>
      <c r="F6707" s="3">
        <f ca="1">IF(G6707=1,"-",Tabela2[[#This Row],[Dt Venc:]]-TODAY())</f>
        <v>33</v>
      </c>
      <c r="G6707" s="3"/>
      <c r="H6707" s="3"/>
    </row>
    <row r="6708" spans="1:8">
      <c r="A6708" s="3">
        <v>24089</v>
      </c>
      <c r="B6708" s="7" t="s">
        <v>38</v>
      </c>
      <c r="C6708" s="41">
        <v>2343.6</v>
      </c>
      <c r="D6708" s="6">
        <v>45726</v>
      </c>
      <c r="E6708" s="3" t="str">
        <f ca="1">IF(Tabela2[[#This Row],[Dt Venc:]]&gt;TODAY(),"Em Aberto",IF(Tabela2[[#This Row],[D/venc]]="-","Enviado",IF(Tabela2[[#This Row],[Dt Venc:]]=TODAY(),"Vence Hoje","Vencida")))</f>
        <v>Em Aberto</v>
      </c>
      <c r="F6708" s="3">
        <f ca="1">IF(G6708=1,"-",Tabela2[[#This Row],[Dt Venc:]]-TODAY())</f>
        <v>33</v>
      </c>
      <c r="G6708" s="3"/>
      <c r="H6708" s="3"/>
    </row>
    <row r="6709" spans="1:8">
      <c r="A6709" s="3">
        <v>28629</v>
      </c>
      <c r="B6709" s="7" t="s">
        <v>182</v>
      </c>
      <c r="C6709" s="99" t="s">
        <v>32</v>
      </c>
      <c r="D6709" s="6">
        <v>45726</v>
      </c>
      <c r="E6709" s="3" t="str">
        <f ca="1">IF(Tabela2[[#This Row],[Dt Venc:]]&gt;TODAY(),"Em Aberto",IF(Tabela2[[#This Row],[D/venc]]="-","Enviado",IF(Tabela2[[#This Row],[Dt Venc:]]=TODAY(),"Vence Hoje","Vencida")))</f>
        <v>Em Aberto</v>
      </c>
      <c r="F6709" s="3">
        <f ca="1">IF(G6709=1,"-",Tabela2[[#This Row],[Dt Venc:]]-TODAY())</f>
        <v>33</v>
      </c>
      <c r="G6709" s="3"/>
      <c r="H6709" s="3"/>
    </row>
    <row r="6710" spans="1:8">
      <c r="A6710" s="3">
        <v>30841</v>
      </c>
      <c r="B6710" s="7" t="s">
        <v>97</v>
      </c>
      <c r="C6710" s="41">
        <v>1507</v>
      </c>
      <c r="D6710" s="6">
        <v>45726</v>
      </c>
      <c r="E6710" s="3" t="str">
        <f ca="1">IF(Tabela2[[#This Row],[Dt Venc:]]&gt;TODAY(),"Em Aberto",IF(Tabela2[[#This Row],[D/venc]]="-","Enviado",IF(Tabela2[[#This Row],[Dt Venc:]]=TODAY(),"Vence Hoje","Vencida")))</f>
        <v>Em Aberto</v>
      </c>
      <c r="F6710" s="3">
        <f ca="1">IF(G6710=1,"-",Tabela2[[#This Row],[Dt Venc:]]-TODAY())</f>
        <v>33</v>
      </c>
      <c r="G6710" s="3"/>
      <c r="H6710" s="3"/>
    </row>
    <row r="6711" spans="1:8">
      <c r="A6711" s="3">
        <v>30920</v>
      </c>
      <c r="B6711" s="7" t="s">
        <v>97</v>
      </c>
      <c r="C6711" s="41">
        <v>1975</v>
      </c>
      <c r="D6711" s="6">
        <v>45726</v>
      </c>
      <c r="E6711" s="3" t="str">
        <f ca="1">IF(Tabela2[[#This Row],[Dt Venc:]]&gt;TODAY(),"Em Aberto",IF(Tabela2[[#This Row],[D/venc]]="-","Enviado",IF(Tabela2[[#This Row],[Dt Venc:]]=TODAY(),"Vence Hoje","Vencida")))</f>
        <v>Em Aberto</v>
      </c>
      <c r="F6711" s="3">
        <f ca="1">IF(G6711=1,"-",Tabela2[[#This Row],[Dt Venc:]]-TODAY())</f>
        <v>33</v>
      </c>
      <c r="G6711" s="3"/>
      <c r="H6711" s="3"/>
    </row>
    <row r="6712" spans="1:8">
      <c r="A6712" s="3">
        <v>31135</v>
      </c>
      <c r="B6712" s="7" t="s">
        <v>97</v>
      </c>
      <c r="C6712" s="41">
        <v>2055</v>
      </c>
      <c r="D6712" s="6">
        <v>45726</v>
      </c>
      <c r="E6712" s="3" t="str">
        <f ca="1">IF(Tabela2[[#This Row],[Dt Venc:]]&gt;TODAY(),"Em Aberto",IF(Tabela2[[#This Row],[D/venc]]="-","Enviado",IF(Tabela2[[#This Row],[Dt Venc:]]=TODAY(),"Vence Hoje","Vencida")))</f>
        <v>Em Aberto</v>
      </c>
      <c r="F6712" s="3">
        <f ca="1">IF(G6712=1,"-",Tabela2[[#This Row],[Dt Venc:]]-TODAY())</f>
        <v>33</v>
      </c>
      <c r="G6712" s="3"/>
      <c r="H6712" s="3"/>
    </row>
    <row r="6713" spans="1:8">
      <c r="A6713" s="3">
        <v>36799</v>
      </c>
      <c r="B6713" s="7" t="s">
        <v>70</v>
      </c>
      <c r="C6713" s="41">
        <v>548.48</v>
      </c>
      <c r="D6713" s="6">
        <v>45726</v>
      </c>
      <c r="E6713" s="3" t="str">
        <f ca="1">IF(Tabela2[[#This Row],[Dt Venc:]]&gt;TODAY(),"Em Aberto",IF(Tabela2[[#This Row],[D/venc]]="-","Enviado",IF(Tabela2[[#This Row],[Dt Venc:]]=TODAY(),"Vence Hoje","Vencida")))</f>
        <v>Em Aberto</v>
      </c>
      <c r="F6713" s="3">
        <f ca="1">IF(G6713=1,"-",Tabela2[[#This Row],[Dt Venc:]]-TODAY())</f>
        <v>33</v>
      </c>
      <c r="G6713" s="3"/>
      <c r="H6713" s="3"/>
    </row>
    <row r="6714" spans="1:8">
      <c r="A6714" s="3">
        <v>52156</v>
      </c>
      <c r="B6714" s="7" t="s">
        <v>144</v>
      </c>
      <c r="C6714" s="41">
        <v>1103.5</v>
      </c>
      <c r="D6714" s="6">
        <v>45726</v>
      </c>
      <c r="E6714" s="3" t="str">
        <f ca="1">IF(Tabela2[[#This Row],[Dt Venc:]]&gt;TODAY(),"Em Aberto",IF(Tabela2[[#This Row],[D/venc]]="-","Enviado",IF(Tabela2[[#This Row],[Dt Venc:]]=TODAY(),"Vence Hoje","Vencida")))</f>
        <v>Em Aberto</v>
      </c>
      <c r="F6714" s="3">
        <f ca="1">IF(G6714=1,"-",Tabela2[[#This Row],[Dt Venc:]]-TODAY())</f>
        <v>33</v>
      </c>
      <c r="G6714" s="3"/>
      <c r="H6714" s="3"/>
    </row>
    <row r="6715" spans="1:8">
      <c r="A6715" s="3">
        <v>54382</v>
      </c>
      <c r="B6715" s="7" t="s">
        <v>622</v>
      </c>
      <c r="C6715" s="41">
        <v>720.24</v>
      </c>
      <c r="D6715" s="6">
        <v>45726</v>
      </c>
      <c r="E6715" s="3" t="str">
        <f ca="1">IF(Tabela2[[#This Row],[Dt Venc:]]&gt;TODAY(),"Em Aberto",IF(Tabela2[[#This Row],[D/venc]]="-","Enviado",IF(Tabela2[[#This Row],[Dt Venc:]]=TODAY(),"Vence Hoje","Vencida")))</f>
        <v>Em Aberto</v>
      </c>
      <c r="F6715" s="3">
        <f ca="1">IF(G6715=1,"-",Tabela2[[#This Row],[Dt Venc:]]-TODAY())</f>
        <v>33</v>
      </c>
      <c r="G6715" s="3"/>
      <c r="H6715" s="3"/>
    </row>
    <row r="6716" spans="1:8">
      <c r="A6716" s="3">
        <v>54383</v>
      </c>
      <c r="B6716" s="7" t="s">
        <v>622</v>
      </c>
      <c r="C6716" s="41">
        <v>574.5</v>
      </c>
      <c r="D6716" s="6">
        <v>45726</v>
      </c>
      <c r="E6716" s="3" t="str">
        <f ca="1">IF(Tabela2[[#This Row],[Dt Venc:]]&gt;TODAY(),"Em Aberto",IF(Tabela2[[#This Row],[D/venc]]="-","Enviado",IF(Tabela2[[#This Row],[Dt Venc:]]=TODAY(),"Vence Hoje","Vencida")))</f>
        <v>Em Aberto</v>
      </c>
      <c r="F6716" s="3">
        <f ca="1">IF(G6716=1,"-",Tabela2[[#This Row],[Dt Venc:]]-TODAY())</f>
        <v>33</v>
      </c>
      <c r="G6716" s="3"/>
      <c r="H6716" s="3"/>
    </row>
    <row r="6717" spans="1:8">
      <c r="A6717" s="3">
        <v>64038</v>
      </c>
      <c r="B6717" s="7" t="s">
        <v>435</v>
      </c>
      <c r="C6717" s="41">
        <v>614</v>
      </c>
      <c r="D6717" s="6">
        <v>45726</v>
      </c>
      <c r="E6717" s="3" t="str">
        <f ca="1">IF(Tabela2[[#This Row],[Dt Venc:]]&gt;TODAY(),"Em Aberto",IF(Tabela2[[#This Row],[D/venc]]="-","Enviado",IF(Tabela2[[#This Row],[Dt Venc:]]=TODAY(),"Vence Hoje","Vencida")))</f>
        <v>Em Aberto</v>
      </c>
      <c r="F6717" s="3">
        <f ca="1">IF(G6717=1,"-",Tabela2[[#This Row],[Dt Venc:]]-TODAY())</f>
        <v>33</v>
      </c>
      <c r="G6717" s="3"/>
      <c r="H6717" s="3"/>
    </row>
    <row r="6718" spans="1:8">
      <c r="A6718" s="3">
        <v>74095</v>
      </c>
      <c r="B6718" s="7" t="s">
        <v>76</v>
      </c>
      <c r="C6718" s="41">
        <v>1369.97</v>
      </c>
      <c r="D6718" s="6">
        <v>45726</v>
      </c>
      <c r="E6718" s="3" t="str">
        <f ca="1">IF(Tabela2[[#This Row],[Dt Venc:]]&gt;TODAY(),"Em Aberto",IF(Tabela2[[#This Row],[D/venc]]="-","Enviado",IF(Tabela2[[#This Row],[Dt Venc:]]=TODAY(),"Vence Hoje","Vencida")))</f>
        <v>Em Aberto</v>
      </c>
      <c r="F6718" s="3">
        <f ca="1">IF(G6718=1,"-",Tabela2[[#This Row],[Dt Venc:]]-TODAY())</f>
        <v>33</v>
      </c>
      <c r="G6718" s="3"/>
      <c r="H6718" s="3"/>
    </row>
    <row r="6719" spans="1:8">
      <c r="A6719" s="3">
        <v>74839</v>
      </c>
      <c r="B6719" s="7" t="s">
        <v>76</v>
      </c>
      <c r="C6719" s="41">
        <v>2578.9899999999998</v>
      </c>
      <c r="D6719" s="6">
        <v>45726</v>
      </c>
      <c r="E6719" s="3" t="str">
        <f ca="1">IF(Tabela2[[#This Row],[Dt Venc:]]&gt;TODAY(),"Em Aberto",IF(Tabela2[[#This Row],[D/venc]]="-","Enviado",IF(Tabela2[[#This Row],[Dt Venc:]]=TODAY(),"Vence Hoje","Vencida")))</f>
        <v>Em Aberto</v>
      </c>
      <c r="F6719" s="3">
        <f ca="1">IF(G6719=1,"-",Tabela2[[#This Row],[Dt Venc:]]-TODAY())</f>
        <v>33</v>
      </c>
      <c r="G6719" s="3"/>
      <c r="H6719" s="3"/>
    </row>
    <row r="6720" spans="1:8">
      <c r="A6720" s="3">
        <v>91237</v>
      </c>
      <c r="B6720" s="7" t="s">
        <v>207</v>
      </c>
      <c r="C6720" s="41">
        <v>416.67</v>
      </c>
      <c r="D6720" s="6">
        <v>45726</v>
      </c>
      <c r="E6720" s="3" t="str">
        <f ca="1">IF(Tabela2[[#This Row],[Dt Venc:]]&gt;TODAY(),"Em Aberto",IF(Tabela2[[#This Row],[D/venc]]="-","Enviado",IF(Tabela2[[#This Row],[Dt Venc:]]=TODAY(),"Vence Hoje","Vencida")))</f>
        <v>Em Aberto</v>
      </c>
      <c r="F6720" s="3">
        <f ca="1">IF(G6720=1,"-",Tabela2[[#This Row],[Dt Venc:]]-TODAY())</f>
        <v>33</v>
      </c>
      <c r="G6720" s="3"/>
      <c r="H6720" s="3"/>
    </row>
    <row r="6721" spans="1:8">
      <c r="A6721" s="3">
        <v>115744</v>
      </c>
      <c r="B6721" s="7" t="s">
        <v>209</v>
      </c>
      <c r="C6721" s="41">
        <v>707.33</v>
      </c>
      <c r="D6721" s="6">
        <v>45726</v>
      </c>
      <c r="E6721" s="3" t="str">
        <f ca="1">IF(Tabela2[[#This Row],[Dt Venc:]]&gt;TODAY(),"Em Aberto",IF(Tabela2[[#This Row],[D/venc]]="-","Enviado",IF(Tabela2[[#This Row],[Dt Venc:]]=TODAY(),"Vence Hoje","Vencida")))</f>
        <v>Em Aberto</v>
      </c>
      <c r="F6721" s="3">
        <f ca="1">IF(G6721=1,"-",Tabela2[[#This Row],[Dt Venc:]]-TODAY())</f>
        <v>33</v>
      </c>
      <c r="G6721" s="3"/>
      <c r="H6721" s="3"/>
    </row>
    <row r="6722" spans="1:8">
      <c r="A6722" s="3">
        <v>117304</v>
      </c>
      <c r="B6722" s="7" t="s">
        <v>686</v>
      </c>
      <c r="C6722" s="41">
        <v>1315.87</v>
      </c>
      <c r="D6722" s="6">
        <v>45726</v>
      </c>
      <c r="E6722" s="3" t="str">
        <f ca="1">IF(Tabela2[[#This Row],[Dt Venc:]]&gt;TODAY(),"Em Aberto",IF(Tabela2[[#This Row],[D/venc]]="-","Enviado",IF(Tabela2[[#This Row],[Dt Venc:]]=TODAY(),"Vence Hoje","Vencida")))</f>
        <v>Em Aberto</v>
      </c>
      <c r="F6722" s="3">
        <f ca="1">IF(G6722=1,"-",Tabela2[[#This Row],[Dt Venc:]]-TODAY())</f>
        <v>33</v>
      </c>
      <c r="G6722" s="3"/>
      <c r="H6722" s="3"/>
    </row>
    <row r="6723" spans="1:8">
      <c r="A6723" s="3">
        <v>177798</v>
      </c>
      <c r="B6723" s="7" t="s">
        <v>72</v>
      </c>
      <c r="C6723" s="41">
        <v>548</v>
      </c>
      <c r="D6723" s="6">
        <v>45726</v>
      </c>
      <c r="E6723" s="3" t="str">
        <f ca="1">IF(Tabela2[[#This Row],[Dt Venc:]]&gt;TODAY(),"Em Aberto",IF(Tabela2[[#This Row],[D/venc]]="-","Enviado",IF(Tabela2[[#This Row],[Dt Venc:]]=TODAY(),"Vence Hoje","Vencida")))</f>
        <v>Em Aberto</v>
      </c>
      <c r="F6723" s="3">
        <f ca="1">IF(G6723=1,"-",Tabela2[[#This Row],[Dt Venc:]]-TODAY())</f>
        <v>33</v>
      </c>
      <c r="G6723" s="3"/>
      <c r="H6723" s="3"/>
    </row>
    <row r="6724" spans="1:8">
      <c r="A6724" s="3">
        <v>184963</v>
      </c>
      <c r="B6724" s="7" t="s">
        <v>42</v>
      </c>
      <c r="C6724" s="41">
        <v>866.66</v>
      </c>
      <c r="D6724" s="6">
        <v>45726</v>
      </c>
      <c r="E6724" s="3" t="str">
        <f ca="1">IF(Tabela2[[#This Row],[Dt Venc:]]&gt;TODAY(),"Em Aberto",IF(Tabela2[[#This Row],[D/venc]]="-","Enviado",IF(Tabela2[[#This Row],[Dt Venc:]]=TODAY(),"Vence Hoje","Vencida")))</f>
        <v>Em Aberto</v>
      </c>
      <c r="F6724" s="3">
        <f ca="1">IF(G6724=1,"-",Tabela2[[#This Row],[Dt Venc:]]-TODAY())</f>
        <v>33</v>
      </c>
      <c r="G6724" s="3"/>
      <c r="H6724" s="3"/>
    </row>
    <row r="6725" spans="1:8">
      <c r="A6725" s="3">
        <v>224917</v>
      </c>
      <c r="B6725" s="7" t="s">
        <v>39</v>
      </c>
      <c r="C6725" s="41">
        <v>21465</v>
      </c>
      <c r="D6725" s="6">
        <v>45726</v>
      </c>
      <c r="E6725" s="3" t="str">
        <f ca="1">IF(Tabela2[[#This Row],[Dt Venc:]]&gt;TODAY(),"Em Aberto",IF(Tabela2[[#This Row],[D/venc]]="-","Enviado",IF(Tabela2[[#This Row],[Dt Venc:]]=TODAY(),"Vence Hoje","Vencida")))</f>
        <v>Em Aberto</v>
      </c>
      <c r="F6725" s="3">
        <f ca="1">IF(G6725=1,"-",Tabela2[[#This Row],[Dt Venc:]]-TODAY())</f>
        <v>33</v>
      </c>
      <c r="G6725" s="3"/>
      <c r="H6725" s="3"/>
    </row>
    <row r="6726" spans="1:8">
      <c r="A6726" s="3">
        <v>254590</v>
      </c>
      <c r="B6726" s="7" t="s">
        <v>43</v>
      </c>
      <c r="C6726" s="41">
        <v>1395.4</v>
      </c>
      <c r="D6726" s="6">
        <v>45726</v>
      </c>
      <c r="E6726" s="3" t="str">
        <f ca="1">IF(Tabela2[[#This Row],[Dt Venc:]]&gt;TODAY(),"Em Aberto",IF(Tabela2[[#This Row],[D/venc]]="-","Enviado",IF(Tabela2[[#This Row],[Dt Venc:]]=TODAY(),"Vence Hoje","Vencida")))</f>
        <v>Em Aberto</v>
      </c>
      <c r="F6726" s="3">
        <f ca="1">IF(G6726=1,"-",Tabela2[[#This Row],[Dt Venc:]]-TODAY())</f>
        <v>33</v>
      </c>
      <c r="G6726" s="3"/>
      <c r="H6726" s="3"/>
    </row>
    <row r="6727" spans="1:8">
      <c r="A6727" s="3">
        <v>273923</v>
      </c>
      <c r="B6727" s="7" t="s">
        <v>36</v>
      </c>
      <c r="C6727" s="41">
        <v>356.67</v>
      </c>
      <c r="D6727" s="6">
        <v>45726</v>
      </c>
      <c r="E6727" s="3" t="str">
        <f ca="1">IF(Tabela2[[#This Row],[Dt Venc:]]&gt;TODAY(),"Em Aberto",IF(Tabela2[[#This Row],[D/venc]]="-","Enviado",IF(Tabela2[[#This Row],[Dt Venc:]]=TODAY(),"Vence Hoje","Vencida")))</f>
        <v>Em Aberto</v>
      </c>
      <c r="F6727" s="3">
        <f ca="1">IF(G6727=1,"-",Tabela2[[#This Row],[Dt Venc:]]-TODAY())</f>
        <v>33</v>
      </c>
      <c r="G6727" s="3"/>
      <c r="H6727" s="3"/>
    </row>
    <row r="6728" spans="1:8">
      <c r="A6728" s="3">
        <v>277521</v>
      </c>
      <c r="B6728" s="7" t="s">
        <v>43</v>
      </c>
      <c r="C6728" s="41">
        <v>1600.64</v>
      </c>
      <c r="D6728" s="6">
        <v>45726</v>
      </c>
      <c r="E6728" s="3" t="str">
        <f ca="1">IF(Tabela2[[#This Row],[Dt Venc:]]&gt;TODAY(),"Em Aberto",IF(Tabela2[[#This Row],[D/venc]]="-","Enviado",IF(Tabela2[[#This Row],[Dt Venc:]]=TODAY(),"Vence Hoje","Vencida")))</f>
        <v>Em Aberto</v>
      </c>
      <c r="F6728" s="3">
        <f ca="1">IF(G6728=1,"-",Tabela2[[#This Row],[Dt Venc:]]-TODAY())</f>
        <v>33</v>
      </c>
      <c r="G6728" s="3"/>
      <c r="H6728" s="3"/>
    </row>
    <row r="6729" spans="1:8">
      <c r="A6729" s="3">
        <v>305226</v>
      </c>
      <c r="B6729" s="7" t="s">
        <v>628</v>
      </c>
      <c r="C6729" s="41">
        <v>3996.26</v>
      </c>
      <c r="D6729" s="6">
        <v>45726</v>
      </c>
      <c r="E6729" s="3" t="str">
        <f ca="1">IF(Tabela2[[#This Row],[Dt Venc:]]&gt;TODAY(),"Em Aberto",IF(Tabela2[[#This Row],[D/venc]]="-","Enviado",IF(Tabela2[[#This Row],[Dt Venc:]]=TODAY(),"Vence Hoje","Vencida")))</f>
        <v>Em Aberto</v>
      </c>
      <c r="F6729" s="3">
        <f ca="1">IF(G6729=1,"-",Tabela2[[#This Row],[Dt Venc:]]-TODAY())</f>
        <v>33</v>
      </c>
      <c r="G6729" s="3"/>
      <c r="H6729" s="3"/>
    </row>
    <row r="6730" spans="1:8">
      <c r="A6730" s="3">
        <v>306167</v>
      </c>
      <c r="B6730" s="7" t="s">
        <v>506</v>
      </c>
      <c r="C6730" s="41">
        <v>672.16</v>
      </c>
      <c r="D6730" s="6">
        <v>45726</v>
      </c>
      <c r="E6730" s="3" t="str">
        <f ca="1">IF(Tabela2[[#This Row],[Dt Venc:]]&gt;TODAY(),"Em Aberto",IF(Tabela2[[#This Row],[D/venc]]="-","Enviado",IF(Tabela2[[#This Row],[Dt Venc:]]=TODAY(),"Vence Hoje","Vencida")))</f>
        <v>Em Aberto</v>
      </c>
      <c r="F6730" s="3">
        <f ca="1">IF(G6730=1,"-",Tabela2[[#This Row],[Dt Venc:]]-TODAY())</f>
        <v>33</v>
      </c>
      <c r="G6730" s="3"/>
      <c r="H6730" s="3"/>
    </row>
    <row r="6731" spans="1:8">
      <c r="A6731" s="3">
        <v>374653</v>
      </c>
      <c r="B6731" s="7" t="s">
        <v>39</v>
      </c>
      <c r="C6731" s="41">
        <v>697.58</v>
      </c>
      <c r="D6731" s="6">
        <v>45726</v>
      </c>
      <c r="E6731" s="3" t="str">
        <f ca="1">IF(Tabela2[[#This Row],[Dt Venc:]]&gt;TODAY(),"Em Aberto",IF(Tabela2[[#This Row],[D/venc]]="-","Enviado",IF(Tabela2[[#This Row],[Dt Venc:]]=TODAY(),"Vence Hoje","Vencida")))</f>
        <v>Em Aberto</v>
      </c>
      <c r="F6731" s="3">
        <f ca="1">IF(G6731=1,"-",Tabela2[[#This Row],[Dt Venc:]]-TODAY())</f>
        <v>33</v>
      </c>
      <c r="G6731" s="3"/>
      <c r="H6731" s="3"/>
    </row>
    <row r="6732" spans="1:8">
      <c r="A6732" s="3">
        <v>376144</v>
      </c>
      <c r="B6732" s="7" t="s">
        <v>39</v>
      </c>
      <c r="C6732" s="41">
        <v>1252.3599999999999</v>
      </c>
      <c r="D6732" s="6">
        <v>45726</v>
      </c>
      <c r="E6732" s="3" t="str">
        <f ca="1">IF(Tabela2[[#This Row],[Dt Venc:]]&gt;TODAY(),"Em Aberto",IF(Tabela2[[#This Row],[D/venc]]="-","Enviado",IF(Tabela2[[#This Row],[Dt Venc:]]=TODAY(),"Vence Hoje","Vencida")))</f>
        <v>Em Aberto</v>
      </c>
      <c r="F6732" s="3">
        <f ca="1">IF(G6732=1,"-",Tabela2[[#This Row],[Dt Venc:]]-TODAY())</f>
        <v>33</v>
      </c>
      <c r="G6732" s="3"/>
      <c r="H6732" s="3"/>
    </row>
    <row r="6733" spans="1:8">
      <c r="A6733" s="3">
        <v>376178</v>
      </c>
      <c r="B6733" s="7" t="s">
        <v>39</v>
      </c>
      <c r="C6733" s="41">
        <v>3644.71</v>
      </c>
      <c r="D6733" s="6">
        <v>45726</v>
      </c>
      <c r="E6733" s="3" t="str">
        <f ca="1">IF(Tabela2[[#This Row],[Dt Venc:]]&gt;TODAY(),"Em Aberto",IF(Tabela2[[#This Row],[D/venc]]="-","Enviado",IF(Tabela2[[#This Row],[Dt Venc:]]=TODAY(),"Vence Hoje","Vencida")))</f>
        <v>Em Aberto</v>
      </c>
      <c r="F6733" s="3">
        <f ca="1">IF(G6733=1,"-",Tabela2[[#This Row],[Dt Venc:]]-TODAY())</f>
        <v>33</v>
      </c>
      <c r="G6733" s="3"/>
      <c r="H6733" s="3"/>
    </row>
    <row r="6734" spans="1:8">
      <c r="A6734" s="3">
        <v>376202</v>
      </c>
      <c r="B6734" s="7" t="s">
        <v>39</v>
      </c>
      <c r="C6734" s="41">
        <v>3094.69</v>
      </c>
      <c r="D6734" s="6">
        <v>45726</v>
      </c>
      <c r="E6734" s="3" t="str">
        <f ca="1">IF(Tabela2[[#This Row],[Dt Venc:]]&gt;TODAY(),"Em Aberto",IF(Tabela2[[#This Row],[D/venc]]="-","Enviado",IF(Tabela2[[#This Row],[Dt Venc:]]=TODAY(),"Vence Hoje","Vencida")))</f>
        <v>Em Aberto</v>
      </c>
      <c r="F6734" s="3">
        <f ca="1">IF(G6734=1,"-",Tabela2[[#This Row],[Dt Venc:]]-TODAY())</f>
        <v>33</v>
      </c>
      <c r="G6734" s="3"/>
      <c r="H6734" s="3"/>
    </row>
    <row r="6735" spans="1:8">
      <c r="A6735" s="3">
        <v>376260</v>
      </c>
      <c r="B6735" s="7" t="s">
        <v>39</v>
      </c>
      <c r="C6735" s="41">
        <v>486.71</v>
      </c>
      <c r="D6735" s="6">
        <v>45726</v>
      </c>
      <c r="E6735" s="3" t="str">
        <f ca="1">IF(Tabela2[[#This Row],[Dt Venc:]]&gt;TODAY(),"Em Aberto",IF(Tabela2[[#This Row],[D/venc]]="-","Enviado",IF(Tabela2[[#This Row],[Dt Venc:]]=TODAY(),"Vence Hoje","Vencida")))</f>
        <v>Em Aberto</v>
      </c>
      <c r="F6735" s="3">
        <f ca="1">IF(G6735=1,"-",Tabela2[[#This Row],[Dt Venc:]]-TODAY())</f>
        <v>33</v>
      </c>
      <c r="G6735" s="3"/>
      <c r="H6735" s="3"/>
    </row>
    <row r="6736" spans="1:8">
      <c r="A6736" s="3">
        <v>376384</v>
      </c>
      <c r="B6736" s="7" t="s">
        <v>39</v>
      </c>
      <c r="C6736" s="41">
        <v>1114.95</v>
      </c>
      <c r="D6736" s="6">
        <v>45726</v>
      </c>
      <c r="E6736" s="3" t="str">
        <f ca="1">IF(Tabela2[[#This Row],[Dt Venc:]]&gt;TODAY(),"Em Aberto",IF(Tabela2[[#This Row],[D/venc]]="-","Enviado",IF(Tabela2[[#This Row],[Dt Venc:]]=TODAY(),"Vence Hoje","Vencida")))</f>
        <v>Em Aberto</v>
      </c>
      <c r="F6736" s="3">
        <f ca="1">IF(G6736=1,"-",Tabela2[[#This Row],[Dt Venc:]]-TODAY())</f>
        <v>33</v>
      </c>
      <c r="G6736" s="3"/>
      <c r="H6736" s="3"/>
    </row>
    <row r="6737" spans="1:8">
      <c r="A6737" s="3">
        <v>398725</v>
      </c>
      <c r="B6737" s="7" t="s">
        <v>136</v>
      </c>
      <c r="C6737" s="41">
        <v>1870</v>
      </c>
      <c r="D6737" s="6">
        <v>45726</v>
      </c>
      <c r="E6737" s="3" t="str">
        <f ca="1">IF(Tabela2[[#This Row],[Dt Venc:]]&gt;TODAY(),"Em Aberto",IF(Tabela2[[#This Row],[D/venc]]="-","Enviado",IF(Tabela2[[#This Row],[Dt Venc:]]=TODAY(),"Vence Hoje","Vencida")))</f>
        <v>Em Aberto</v>
      </c>
      <c r="F6737" s="3">
        <f ca="1">IF(G6737=1,"-",Tabela2[[#This Row],[Dt Venc:]]-TODAY())</f>
        <v>33</v>
      </c>
      <c r="G6737" s="3"/>
      <c r="H6737" s="3"/>
    </row>
    <row r="6738" spans="1:8">
      <c r="A6738" s="3">
        <v>400625</v>
      </c>
      <c r="B6738" s="7" t="s">
        <v>596</v>
      </c>
      <c r="C6738" s="41">
        <v>1870</v>
      </c>
      <c r="D6738" s="6">
        <v>45726</v>
      </c>
      <c r="E6738" s="3" t="str">
        <f ca="1">IF(Tabela2[[#This Row],[Dt Venc:]]&gt;TODAY(),"Em Aberto",IF(Tabela2[[#This Row],[D/venc]]="-","Enviado",IF(Tabela2[[#This Row],[Dt Venc:]]=TODAY(),"Vence Hoje","Vencida")))</f>
        <v>Em Aberto</v>
      </c>
      <c r="F6738" s="3">
        <f ca="1">IF(G6738=1,"-",Tabela2[[#This Row],[Dt Venc:]]-TODAY())</f>
        <v>33</v>
      </c>
      <c r="G6738" s="3"/>
      <c r="H6738" s="3"/>
    </row>
    <row r="6739" spans="1:8">
      <c r="A6739" s="3">
        <v>624217</v>
      </c>
      <c r="B6739" s="7" t="s">
        <v>690</v>
      </c>
      <c r="C6739" s="41">
        <v>1189.46</v>
      </c>
      <c r="D6739" s="6">
        <v>45726</v>
      </c>
      <c r="E6739" s="3" t="str">
        <f ca="1">IF(Tabela2[[#This Row],[Dt Venc:]]&gt;TODAY(),"Em Aberto",IF(Tabela2[[#This Row],[D/venc]]="-","Enviado",IF(Tabela2[[#This Row],[Dt Venc:]]=TODAY(),"Vence Hoje","Vencida")))</f>
        <v>Em Aberto</v>
      </c>
      <c r="F6739" s="3">
        <f ca="1">IF(G6739=1,"-",Tabela2[[#This Row],[Dt Venc:]]-TODAY())</f>
        <v>33</v>
      </c>
      <c r="G6739" s="3"/>
      <c r="H6739" s="3"/>
    </row>
    <row r="6740" spans="1:8">
      <c r="A6740" s="3">
        <v>724314</v>
      </c>
      <c r="B6740" s="7" t="s">
        <v>79</v>
      </c>
      <c r="C6740" s="41">
        <v>1400</v>
      </c>
      <c r="D6740" s="6">
        <v>45726</v>
      </c>
      <c r="E6740" s="3" t="str">
        <f ca="1">IF(Tabela2[[#This Row],[Dt Venc:]]&gt;TODAY(),"Em Aberto",IF(Tabela2[[#This Row],[D/venc]]="-","Enviado",IF(Tabela2[[#This Row],[Dt Venc:]]=TODAY(),"Vence Hoje","Vencida")))</f>
        <v>Em Aberto</v>
      </c>
      <c r="F6740" s="3">
        <f ca="1">IF(G6740=1,"-",Tabela2[[#This Row],[Dt Venc:]]-TODAY())</f>
        <v>33</v>
      </c>
      <c r="G6740" s="3"/>
      <c r="H6740" s="3"/>
    </row>
    <row r="6741" spans="1:8">
      <c r="A6741" s="3">
        <v>1421039</v>
      </c>
      <c r="B6741" s="7" t="s">
        <v>151</v>
      </c>
      <c r="C6741" s="41">
        <v>730.27</v>
      </c>
      <c r="D6741" s="6">
        <v>45726</v>
      </c>
      <c r="E6741" s="3" t="str">
        <f ca="1">IF(Tabela2[[#This Row],[Dt Venc:]]&gt;TODAY(),"Em Aberto",IF(Tabela2[[#This Row],[D/venc]]="-","Enviado",IF(Tabela2[[#This Row],[Dt Venc:]]=TODAY(),"Vence Hoje","Vencida")))</f>
        <v>Em Aberto</v>
      </c>
      <c r="F6741" s="3">
        <f ca="1">IF(G6741=1,"-",Tabela2[[#This Row],[Dt Venc:]]-TODAY())</f>
        <v>33</v>
      </c>
      <c r="G6741" s="3"/>
      <c r="H6741" s="3"/>
    </row>
    <row r="6742" spans="1:8">
      <c r="A6742" s="3">
        <v>1421626</v>
      </c>
      <c r="B6742" s="7" t="s">
        <v>151</v>
      </c>
      <c r="C6742" s="41">
        <v>1547.96</v>
      </c>
      <c r="D6742" s="6">
        <v>45726</v>
      </c>
      <c r="E6742" s="3" t="str">
        <f ca="1">IF(Tabela2[[#This Row],[Dt Venc:]]&gt;TODAY(),"Em Aberto",IF(Tabela2[[#This Row],[D/venc]]="-","Enviado",IF(Tabela2[[#This Row],[Dt Venc:]]=TODAY(),"Vence Hoje","Vencida")))</f>
        <v>Em Aberto</v>
      </c>
      <c r="F6742" s="3">
        <f ca="1">IF(G6742=1,"-",Tabela2[[#This Row],[Dt Venc:]]-TODAY())</f>
        <v>33</v>
      </c>
      <c r="G6742" s="3"/>
      <c r="H6742" s="3"/>
    </row>
    <row r="6743" spans="1:8">
      <c r="A6743" s="3" t="s">
        <v>123</v>
      </c>
      <c r="B6743" s="7" t="s">
        <v>418</v>
      </c>
      <c r="C6743" s="42" t="s">
        <v>32</v>
      </c>
      <c r="D6743" s="6">
        <v>45726</v>
      </c>
      <c r="E6743" s="3" t="str">
        <f ca="1">IF(Tabela2[[#This Row],[Dt Venc:]]&gt;TODAY(),"Em Aberto",IF(Tabela2[[#This Row],[D/venc]]="-","Enviado",IF(Tabela2[[#This Row],[Dt Venc:]]=TODAY(),"Vence Hoje","Vencida")))</f>
        <v>Em Aberto</v>
      </c>
      <c r="F6743" s="3">
        <f ca="1">IF(G6743=1,"-",Tabela2[[#This Row],[Dt Venc:]]-TODAY())</f>
        <v>33</v>
      </c>
      <c r="G6743" s="3"/>
      <c r="H6743" s="3"/>
    </row>
    <row r="6744" spans="1:8">
      <c r="A6744" s="3" t="s">
        <v>28</v>
      </c>
      <c r="B6744" s="7" t="s">
        <v>186</v>
      </c>
      <c r="C6744" s="99" t="s">
        <v>32</v>
      </c>
      <c r="D6744" s="6">
        <v>45726</v>
      </c>
      <c r="E6744" s="3" t="str">
        <f ca="1">IF(Tabela2[[#This Row],[Dt Venc:]]&gt;TODAY(),"Em Aberto",IF(Tabela2[[#This Row],[D/venc]]="-","Enviado",IF(Tabela2[[#This Row],[Dt Venc:]]=TODAY(),"Vence Hoje","Vencida")))</f>
        <v>Em Aberto</v>
      </c>
      <c r="F6744" s="3">
        <f ca="1">IF(G6744=1,"-",Tabela2[[#This Row],[Dt Venc:]]-TODAY())</f>
        <v>33</v>
      </c>
      <c r="G6744" s="3"/>
      <c r="H6744" s="3"/>
    </row>
    <row r="6745" spans="1:8">
      <c r="A6745" s="3" t="s">
        <v>123</v>
      </c>
      <c r="B6745" s="7" t="s">
        <v>201</v>
      </c>
      <c r="C6745" s="87" t="s">
        <v>32</v>
      </c>
      <c r="D6745" s="6">
        <v>45726</v>
      </c>
      <c r="E6745" s="3" t="str">
        <f ca="1">IF(Tabela2[[#This Row],[Dt Venc:]]&gt;TODAY(),"Em Aberto",IF(Tabela2[[#This Row],[D/venc]]="-","Enviado",IF(Tabela2[[#This Row],[Dt Venc:]]=TODAY(),"Vence Hoje","Vencida")))</f>
        <v>Em Aberto</v>
      </c>
      <c r="F6745" s="3">
        <f ca="1">IF(G6745=1,"-",Tabela2[[#This Row],[Dt Venc:]]-TODAY())</f>
        <v>33</v>
      </c>
      <c r="G6745" s="3"/>
      <c r="H6745" s="3"/>
    </row>
    <row r="6746" spans="1:8">
      <c r="A6746" s="3" t="s">
        <v>110</v>
      </c>
      <c r="B6746" s="7" t="s">
        <v>183</v>
      </c>
      <c r="C6746" s="42" t="s">
        <v>32</v>
      </c>
      <c r="D6746" s="6">
        <v>45726</v>
      </c>
      <c r="E6746" s="3" t="str">
        <f ca="1">IF(Tabela2[[#This Row],[Dt Venc:]]&gt;TODAY(),"Em Aberto",IF(Tabela2[[#This Row],[D/venc]]="-","Enviado",IF(Tabela2[[#This Row],[Dt Venc:]]=TODAY(),"Vence Hoje","Vencida")))</f>
        <v>Em Aberto</v>
      </c>
      <c r="F6746" s="3">
        <f ca="1">IF(G6746=1,"-",Tabela2[[#This Row],[Dt Venc:]]-TODAY())</f>
        <v>33</v>
      </c>
      <c r="G6746" s="3"/>
      <c r="H6746" s="3"/>
    </row>
    <row r="6747" spans="1:8">
      <c r="A6747" s="3" t="s">
        <v>179</v>
      </c>
      <c r="B6747" s="7" t="s">
        <v>190</v>
      </c>
      <c r="C6747" s="99" t="s">
        <v>32</v>
      </c>
      <c r="D6747" s="6">
        <v>45726</v>
      </c>
      <c r="E6747" s="3" t="str">
        <f ca="1">IF(Tabela2[[#This Row],[Dt Venc:]]&gt;TODAY(),"Em Aberto",IF(Tabela2[[#This Row],[D/venc]]="-","Enviado",IF(Tabela2[[#This Row],[Dt Venc:]]=TODAY(),"Vence Hoje","Vencida")))</f>
        <v>Em Aberto</v>
      </c>
      <c r="F6747" s="3">
        <f ca="1">IF(G6747=1,"-",Tabela2[[#This Row],[Dt Venc:]]-TODAY())</f>
        <v>33</v>
      </c>
      <c r="G6747" s="3"/>
      <c r="H6747" s="3"/>
    </row>
    <row r="6748" spans="1:8">
      <c r="A6748" s="3" t="s">
        <v>110</v>
      </c>
      <c r="B6748" s="7" t="s">
        <v>181</v>
      </c>
      <c r="C6748" s="42" t="s">
        <v>32</v>
      </c>
      <c r="D6748" s="6">
        <v>45726</v>
      </c>
      <c r="E6748" s="3" t="str">
        <f ca="1">IF(Tabela2[[#This Row],[Dt Venc:]]&gt;TODAY(),"Em Aberto",IF(Tabela2[[#This Row],[D/venc]]="-","Enviado",IF(Tabela2[[#This Row],[Dt Venc:]]=TODAY(),"Vence Hoje","Vencida")))</f>
        <v>Em Aberto</v>
      </c>
      <c r="F6748" s="3">
        <f ca="1">IF(G6748=1,"-",Tabela2[[#This Row],[Dt Venc:]]-TODAY())</f>
        <v>33</v>
      </c>
      <c r="G6748" s="3"/>
      <c r="H6748" s="3"/>
    </row>
    <row r="6749" spans="1:8">
      <c r="A6749" s="3">
        <v>5207</v>
      </c>
      <c r="B6749" s="7" t="s">
        <v>463</v>
      </c>
      <c r="C6749" s="41">
        <v>923.75</v>
      </c>
      <c r="D6749" s="6">
        <v>45726</v>
      </c>
      <c r="E6749" s="3" t="str">
        <f ca="1">IF(Tabela2[[#This Row],[Dt Venc:]]&gt;TODAY(),"Em Aberto",IF(Tabela2[[#This Row],[D/venc]]="-","Enviado",IF(Tabela2[[#This Row],[Dt Venc:]]=TODAY(),"Vence Hoje","Vencida")))</f>
        <v>Em Aberto</v>
      </c>
      <c r="F6749" s="3">
        <f ca="1">IF(G6749=1,"-",Tabela2[[#This Row],[Dt Venc:]]-TODAY())</f>
        <v>33</v>
      </c>
      <c r="G6749" s="3"/>
      <c r="H6749" s="3"/>
    </row>
    <row r="6750" spans="1:8">
      <c r="A6750" s="3">
        <v>12</v>
      </c>
      <c r="B6750" s="7" t="s">
        <v>718</v>
      </c>
      <c r="C6750" s="41">
        <v>1000</v>
      </c>
      <c r="D6750" s="6">
        <v>45726</v>
      </c>
      <c r="E6750" s="3" t="str">
        <f ca="1">IF(Tabela2[[#This Row],[Dt Venc:]]&gt;TODAY(),"Em Aberto",IF(Tabela2[[#This Row],[D/venc]]="-","Enviado",IF(Tabela2[[#This Row],[Dt Venc:]]=TODAY(),"Vence Hoje","Vencida")))</f>
        <v>Em Aberto</v>
      </c>
      <c r="F6750" s="3">
        <f ca="1">IF(G6750=1,"-",Tabela2[[#This Row],[Dt Venc:]]-TODAY())</f>
        <v>33</v>
      </c>
      <c r="G6750" s="3"/>
      <c r="H6750" s="3"/>
    </row>
    <row r="6751" spans="1:8">
      <c r="A6751" s="3">
        <v>734624</v>
      </c>
      <c r="B6751" s="7" t="s">
        <v>79</v>
      </c>
      <c r="C6751" s="41">
        <v>255.86</v>
      </c>
      <c r="D6751" s="6">
        <v>45726</v>
      </c>
      <c r="E6751" s="3" t="str">
        <f ca="1">IF(Tabela2[[#This Row],[Dt Venc:]]&gt;TODAY(),"Em Aberto",IF(Tabela2[[#This Row],[D/venc]]="-","Enviado",IF(Tabela2[[#This Row],[Dt Venc:]]=TODAY(),"Vence Hoje","Vencida")))</f>
        <v>Em Aberto</v>
      </c>
      <c r="F6751" s="3">
        <f ca="1">IF(G6751=1,"-",Tabela2[[#This Row],[Dt Venc:]]-TODAY())</f>
        <v>33</v>
      </c>
      <c r="G6751" s="3"/>
      <c r="H6751" s="3"/>
    </row>
    <row r="6752" spans="1:8">
      <c r="A6752" s="3">
        <v>45</v>
      </c>
      <c r="B6752" s="7" t="s">
        <v>103</v>
      </c>
      <c r="C6752" s="41">
        <v>1600</v>
      </c>
      <c r="D6752" s="6">
        <v>45727</v>
      </c>
      <c r="E6752" s="3" t="str">
        <f ca="1">IF(Tabela2[[#This Row],[Dt Venc:]]&gt;TODAY(),"Em Aberto",IF(Tabela2[[#This Row],[D/venc]]="-","Enviado",IF(Tabela2[[#This Row],[Dt Venc:]]=TODAY(),"Vence Hoje","Vencida")))</f>
        <v>Em Aberto</v>
      </c>
      <c r="F6752" s="3">
        <f ca="1">IF(G6752=1,"-",Tabela2[[#This Row],[Dt Venc:]]-TODAY())</f>
        <v>34</v>
      </c>
      <c r="G6752" s="3"/>
      <c r="H6752" s="3"/>
    </row>
    <row r="6753" spans="1:8">
      <c r="A6753" s="3">
        <v>1326</v>
      </c>
      <c r="B6753" s="7" t="s">
        <v>474</v>
      </c>
      <c r="C6753" s="41">
        <v>1515</v>
      </c>
      <c r="D6753" s="6">
        <v>45727</v>
      </c>
      <c r="E6753" s="3" t="str">
        <f ca="1">IF(Tabela2[[#This Row],[Dt Venc:]]&gt;TODAY(),"Em Aberto",IF(Tabela2[[#This Row],[D/venc]]="-","Enviado",IF(Tabela2[[#This Row],[Dt Venc:]]=TODAY(),"Vence Hoje","Vencida")))</f>
        <v>Em Aberto</v>
      </c>
      <c r="F6753" s="3">
        <f ca="1">IF(G6753=1,"-",Tabela2[[#This Row],[Dt Venc:]]-TODAY())</f>
        <v>34</v>
      </c>
      <c r="G6753" s="3"/>
      <c r="H6753" s="3"/>
    </row>
    <row r="6754" spans="1:8">
      <c r="A6754" s="3">
        <v>2354</v>
      </c>
      <c r="B6754" s="7" t="s">
        <v>45</v>
      </c>
      <c r="C6754" s="41">
        <v>1856</v>
      </c>
      <c r="D6754" s="6">
        <v>45727</v>
      </c>
      <c r="E6754" s="3" t="str">
        <f ca="1">IF(Tabela2[[#This Row],[Dt Venc:]]&gt;TODAY(),"Em Aberto",IF(Tabela2[[#This Row],[D/venc]]="-","Enviado",IF(Tabela2[[#This Row],[Dt Venc:]]=TODAY(),"Vence Hoje","Vencida")))</f>
        <v>Em Aberto</v>
      </c>
      <c r="F6754" s="3">
        <f ca="1">IF(G6754=1,"-",Tabela2[[#This Row],[Dt Venc:]]-TODAY())</f>
        <v>34</v>
      </c>
      <c r="G6754" s="3"/>
      <c r="H6754" s="3"/>
    </row>
    <row r="6755" spans="1:8">
      <c r="A6755" s="3">
        <v>6357</v>
      </c>
      <c r="B6755" s="7" t="s">
        <v>47</v>
      </c>
      <c r="C6755" s="41">
        <v>1192.08</v>
      </c>
      <c r="D6755" s="6">
        <v>45727</v>
      </c>
      <c r="E6755" s="3" t="str">
        <f ca="1">IF(Tabela2[[#This Row],[Dt Venc:]]&gt;TODAY(),"Em Aberto",IF(Tabela2[[#This Row],[D/venc]]="-","Enviado",IF(Tabela2[[#This Row],[Dt Venc:]]=TODAY(),"Vence Hoje","Vencida")))</f>
        <v>Em Aberto</v>
      </c>
      <c r="F6755" s="3">
        <f ca="1">IF(G6755=1,"-",Tabela2[[#This Row],[Dt Venc:]]-TODAY())</f>
        <v>34</v>
      </c>
      <c r="G6755" s="3"/>
      <c r="H6755" s="3"/>
    </row>
    <row r="6756" spans="1:8">
      <c r="A6756" s="3">
        <v>8289</v>
      </c>
      <c r="B6756" s="7" t="s">
        <v>623</v>
      </c>
      <c r="C6756" s="41">
        <v>1666.66</v>
      </c>
      <c r="D6756" s="6">
        <v>45727</v>
      </c>
      <c r="E6756" s="3" t="str">
        <f ca="1">IF(Tabela2[[#This Row],[Dt Venc:]]&gt;TODAY(),"Em Aberto",IF(Tabela2[[#This Row],[D/venc]]="-","Enviado",IF(Tabela2[[#This Row],[Dt Venc:]]=TODAY(),"Vence Hoje","Vencida")))</f>
        <v>Em Aberto</v>
      </c>
      <c r="F6756" s="3">
        <f ca="1">IF(G6756=1,"-",Tabela2[[#This Row],[Dt Venc:]]-TODAY())</f>
        <v>34</v>
      </c>
      <c r="G6756" s="3"/>
      <c r="H6756" s="3"/>
    </row>
    <row r="6757" spans="1:8">
      <c r="A6757" s="3">
        <v>11225</v>
      </c>
      <c r="B6757" s="7" t="s">
        <v>33</v>
      </c>
      <c r="C6757" s="41">
        <v>1551.6</v>
      </c>
      <c r="D6757" s="6">
        <v>45727</v>
      </c>
      <c r="E6757" s="3" t="str">
        <f ca="1">IF(Tabela2[[#This Row],[Dt Venc:]]&gt;TODAY(),"Em Aberto",IF(Tabela2[[#This Row],[D/venc]]="-","Enviado",IF(Tabela2[[#This Row],[Dt Venc:]]=TODAY(),"Vence Hoje","Vencida")))</f>
        <v>Em Aberto</v>
      </c>
      <c r="F6757" s="3">
        <f ca="1">IF(G6757=1,"-",Tabela2[[#This Row],[Dt Venc:]]-TODAY())</f>
        <v>34</v>
      </c>
      <c r="G6757" s="3"/>
      <c r="H6757" s="3"/>
    </row>
    <row r="6758" spans="1:8">
      <c r="A6758" s="3">
        <v>12576</v>
      </c>
      <c r="B6758" s="7" t="s">
        <v>72</v>
      </c>
      <c r="C6758" s="41">
        <v>812.34</v>
      </c>
      <c r="D6758" s="6">
        <v>45727</v>
      </c>
      <c r="E6758" s="3" t="str">
        <f ca="1">IF(Tabela2[[#This Row],[Dt Venc:]]&gt;TODAY(),"Em Aberto",IF(Tabela2[[#This Row],[D/venc]]="-","Enviado",IF(Tabela2[[#This Row],[Dt Venc:]]=TODAY(),"Vence Hoje","Vencida")))</f>
        <v>Em Aberto</v>
      </c>
      <c r="F6758" s="3">
        <f ca="1">IF(G6758=1,"-",Tabela2[[#This Row],[Dt Venc:]]-TODAY())</f>
        <v>34</v>
      </c>
      <c r="G6758" s="3"/>
      <c r="H6758" s="3"/>
    </row>
    <row r="6759" spans="1:8">
      <c r="A6759" s="3">
        <v>23365</v>
      </c>
      <c r="B6759" s="7" t="s">
        <v>632</v>
      </c>
      <c r="C6759" s="41">
        <v>545</v>
      </c>
      <c r="D6759" s="6">
        <v>45727</v>
      </c>
      <c r="E6759" s="3" t="str">
        <f ca="1">IF(Tabela2[[#This Row],[Dt Venc:]]&gt;TODAY(),"Em Aberto",IF(Tabela2[[#This Row],[D/venc]]="-","Enviado",IF(Tabela2[[#This Row],[Dt Venc:]]=TODAY(),"Vence Hoje","Vencida")))</f>
        <v>Em Aberto</v>
      </c>
      <c r="F6759" s="3">
        <f ca="1">IF(G6759=1,"-",Tabela2[[#This Row],[Dt Venc:]]-TODAY())</f>
        <v>34</v>
      </c>
      <c r="G6759" s="3"/>
      <c r="H6759" s="3"/>
    </row>
    <row r="6760" spans="1:8">
      <c r="A6760" s="3">
        <v>30645</v>
      </c>
      <c r="B6760" s="7" t="s">
        <v>226</v>
      </c>
      <c r="C6760" s="41">
        <v>2274</v>
      </c>
      <c r="D6760" s="6">
        <v>45727</v>
      </c>
      <c r="E6760" s="3" t="str">
        <f ca="1">IF(Tabela2[[#This Row],[Dt Venc:]]&gt;TODAY(),"Em Aberto",IF(Tabela2[[#This Row],[D/venc]]="-","Enviado",IF(Tabela2[[#This Row],[Dt Venc:]]=TODAY(),"Vence Hoje","Vencida")))</f>
        <v>Em Aberto</v>
      </c>
      <c r="F6760" s="3">
        <f ca="1">IF(G6760=1,"-",Tabela2[[#This Row],[Dt Venc:]]-TODAY())</f>
        <v>34</v>
      </c>
      <c r="G6760" s="3"/>
      <c r="H6760" s="3"/>
    </row>
    <row r="6761" spans="1:8">
      <c r="A6761" s="3">
        <v>31249</v>
      </c>
      <c r="B6761" s="7" t="s">
        <v>97</v>
      </c>
      <c r="C6761" s="41">
        <v>2170</v>
      </c>
      <c r="D6761" s="6">
        <v>45727</v>
      </c>
      <c r="E6761" s="3" t="str">
        <f ca="1">IF(Tabela2[[#This Row],[Dt Venc:]]&gt;TODAY(),"Em Aberto",IF(Tabela2[[#This Row],[D/venc]]="-","Enviado",IF(Tabela2[[#This Row],[Dt Venc:]]=TODAY(),"Vence Hoje","Vencida")))</f>
        <v>Em Aberto</v>
      </c>
      <c r="F6761" s="3">
        <f ca="1">IF(G6761=1,"-",Tabela2[[#This Row],[Dt Venc:]]-TODAY())</f>
        <v>34</v>
      </c>
      <c r="G6761" s="3"/>
      <c r="H6761" s="3"/>
    </row>
    <row r="6762" spans="1:8">
      <c r="A6762" s="3">
        <v>37167</v>
      </c>
      <c r="B6762" s="7" t="s">
        <v>624</v>
      </c>
      <c r="C6762" s="41">
        <v>413.34</v>
      </c>
      <c r="D6762" s="6">
        <v>45727</v>
      </c>
      <c r="E6762" s="3" t="str">
        <f ca="1">IF(Tabela2[[#This Row],[Dt Venc:]]&gt;TODAY(),"Em Aberto",IF(Tabela2[[#This Row],[D/venc]]="-","Enviado",IF(Tabela2[[#This Row],[Dt Venc:]]=TODAY(),"Vence Hoje","Vencida")))</f>
        <v>Em Aberto</v>
      </c>
      <c r="F6762" s="3">
        <f ca="1">IF(G6762=1,"-",Tabela2[[#This Row],[Dt Venc:]]-TODAY())</f>
        <v>34</v>
      </c>
      <c r="G6762" s="3"/>
      <c r="H6762" s="3"/>
    </row>
    <row r="6763" spans="1:8">
      <c r="A6763" s="3">
        <v>37292</v>
      </c>
      <c r="B6763" s="7" t="s">
        <v>167</v>
      </c>
      <c r="C6763" s="99" t="s">
        <v>32</v>
      </c>
      <c r="D6763" s="6">
        <v>45727</v>
      </c>
      <c r="E6763" s="3" t="str">
        <f ca="1">IF(Tabela2[[#This Row],[Dt Venc:]]&gt;TODAY(),"Em Aberto",IF(Tabela2[[#This Row],[D/venc]]="-","Enviado",IF(Tabela2[[#This Row],[Dt Venc:]]=TODAY(),"Vence Hoje","Vencida")))</f>
        <v>Em Aberto</v>
      </c>
      <c r="F6763" s="3">
        <f ca="1">IF(G6763=1,"-",Tabela2[[#This Row],[Dt Venc:]]-TODAY())</f>
        <v>34</v>
      </c>
      <c r="G6763" s="3"/>
      <c r="H6763" s="3"/>
    </row>
    <row r="6764" spans="1:8">
      <c r="A6764" s="3">
        <v>37327</v>
      </c>
      <c r="B6764" s="7" t="s">
        <v>167</v>
      </c>
      <c r="C6764" s="99" t="s">
        <v>32</v>
      </c>
      <c r="D6764" s="6">
        <v>45727</v>
      </c>
      <c r="E6764" s="3" t="str">
        <f ca="1">IF(Tabela2[[#This Row],[Dt Venc:]]&gt;TODAY(),"Em Aberto",IF(Tabela2[[#This Row],[D/venc]]="-","Enviado",IF(Tabela2[[#This Row],[Dt Venc:]]=TODAY(),"Vence Hoje","Vencida")))</f>
        <v>Em Aberto</v>
      </c>
      <c r="F6764" s="3">
        <f ca="1">IF(G6764=1,"-",Tabela2[[#This Row],[Dt Venc:]]-TODAY())</f>
        <v>34</v>
      </c>
      <c r="G6764" s="3"/>
      <c r="H6764" s="3"/>
    </row>
    <row r="6765" spans="1:8">
      <c r="A6765" s="3">
        <v>155787</v>
      </c>
      <c r="B6765" s="7" t="s">
        <v>77</v>
      </c>
      <c r="C6765" s="41">
        <v>433.33</v>
      </c>
      <c r="D6765" s="6">
        <v>45727</v>
      </c>
      <c r="E6765" s="3" t="str">
        <f ca="1">IF(Tabela2[[#This Row],[Dt Venc:]]&gt;TODAY(),"Em Aberto",IF(Tabela2[[#This Row],[D/venc]]="-","Enviado",IF(Tabela2[[#This Row],[Dt Venc:]]=TODAY(),"Vence Hoje","Vencida")))</f>
        <v>Em Aberto</v>
      </c>
      <c r="F6765" s="3">
        <f ca="1">IF(G6765=1,"-",Tabela2[[#This Row],[Dt Venc:]]-TODAY())</f>
        <v>34</v>
      </c>
      <c r="G6765" s="3"/>
      <c r="H6765" s="3"/>
    </row>
    <row r="6766" spans="1:8">
      <c r="A6766" s="3">
        <v>179546</v>
      </c>
      <c r="B6766" s="7" t="s">
        <v>211</v>
      </c>
      <c r="C6766" s="41">
        <v>579.34</v>
      </c>
      <c r="D6766" s="6">
        <v>45727</v>
      </c>
      <c r="E6766" s="3" t="str">
        <f ca="1">IF(Tabela2[[#This Row],[Dt Venc:]]&gt;TODAY(),"Em Aberto",IF(Tabela2[[#This Row],[D/venc]]="-","Enviado",IF(Tabela2[[#This Row],[Dt Venc:]]=TODAY(),"Vence Hoje","Vencida")))</f>
        <v>Em Aberto</v>
      </c>
      <c r="F6766" s="3">
        <f ca="1">IF(G6766=1,"-",Tabela2[[#This Row],[Dt Venc:]]-TODAY())</f>
        <v>34</v>
      </c>
      <c r="G6766" s="3"/>
      <c r="H6766" s="3"/>
    </row>
    <row r="6767" spans="1:8">
      <c r="A6767" s="3">
        <v>179573</v>
      </c>
      <c r="B6767" s="7" t="s">
        <v>211</v>
      </c>
      <c r="C6767" s="41">
        <v>993.34</v>
      </c>
      <c r="D6767" s="6">
        <v>45727</v>
      </c>
      <c r="E6767" s="3" t="str">
        <f ca="1">IF(Tabela2[[#This Row],[Dt Venc:]]&gt;TODAY(),"Em Aberto",IF(Tabela2[[#This Row],[D/venc]]="-","Enviado",IF(Tabela2[[#This Row],[Dt Venc:]]=TODAY(),"Vence Hoje","Vencida")))</f>
        <v>Em Aberto</v>
      </c>
      <c r="F6767" s="3">
        <f ca="1">IF(G6767=1,"-",Tabela2[[#This Row],[Dt Venc:]]-TODAY())</f>
        <v>34</v>
      </c>
      <c r="G6767" s="3"/>
      <c r="H6767" s="3"/>
    </row>
    <row r="6768" spans="1:8">
      <c r="A6768" s="3">
        <v>179599</v>
      </c>
      <c r="B6768" s="7" t="s">
        <v>211</v>
      </c>
      <c r="C6768" s="41">
        <v>1118.6600000000001</v>
      </c>
      <c r="D6768" s="6">
        <v>45727</v>
      </c>
      <c r="E6768" s="3" t="str">
        <f ca="1">IF(Tabela2[[#This Row],[Dt Venc:]]&gt;TODAY(),"Em Aberto",IF(Tabela2[[#This Row],[D/venc]]="-","Enviado",IF(Tabela2[[#This Row],[Dt Venc:]]=TODAY(),"Vence Hoje","Vencida")))</f>
        <v>Em Aberto</v>
      </c>
      <c r="F6768" s="3">
        <f ca="1">IF(G6768=1,"-",Tabela2[[#This Row],[Dt Venc:]]-TODAY())</f>
        <v>34</v>
      </c>
      <c r="G6768" s="3"/>
      <c r="H6768" s="3"/>
    </row>
    <row r="6769" spans="1:8">
      <c r="A6769" s="3">
        <v>185013</v>
      </c>
      <c r="B6769" s="7" t="s">
        <v>692</v>
      </c>
      <c r="C6769" s="41">
        <v>550</v>
      </c>
      <c r="D6769" s="6">
        <v>45727</v>
      </c>
      <c r="E6769" s="3" t="str">
        <f ca="1">IF(Tabela2[[#This Row],[Dt Venc:]]&gt;TODAY(),"Em Aberto",IF(Tabela2[[#This Row],[D/venc]]="-","Enviado",IF(Tabela2[[#This Row],[Dt Venc:]]=TODAY(),"Vence Hoje","Vencida")))</f>
        <v>Em Aberto</v>
      </c>
      <c r="F6769" s="3">
        <f ca="1">IF(G6769=1,"-",Tabela2[[#This Row],[Dt Venc:]]-TODAY())</f>
        <v>34</v>
      </c>
      <c r="G6769" s="3"/>
      <c r="H6769" s="3"/>
    </row>
    <row r="6770" spans="1:8">
      <c r="A6770" s="3">
        <v>191416</v>
      </c>
      <c r="B6770" s="7" t="s">
        <v>128</v>
      </c>
      <c r="C6770" s="41">
        <v>1729.12</v>
      </c>
      <c r="D6770" s="6">
        <v>45727</v>
      </c>
      <c r="E6770" s="3" t="str">
        <f ca="1">IF(Tabela2[[#This Row],[Dt Venc:]]&gt;TODAY(),"Em Aberto",IF(Tabela2[[#This Row],[D/venc]]="-","Enviado",IF(Tabela2[[#This Row],[Dt Venc:]]=TODAY(),"Vence Hoje","Vencida")))</f>
        <v>Em Aberto</v>
      </c>
      <c r="F6770" s="3">
        <f ca="1">IF(G6770=1,"-",Tabela2[[#This Row],[Dt Venc:]]-TODAY())</f>
        <v>34</v>
      </c>
      <c r="G6770" s="3"/>
      <c r="H6770" s="3"/>
    </row>
    <row r="6771" spans="1:8">
      <c r="A6771" s="3">
        <v>300771</v>
      </c>
      <c r="B6771" s="7" t="s">
        <v>79</v>
      </c>
      <c r="C6771" s="41">
        <v>752.24</v>
      </c>
      <c r="D6771" s="6">
        <v>45727</v>
      </c>
      <c r="E6771" s="3" t="str">
        <f ca="1">IF(Tabela2[[#This Row],[Dt Venc:]]&gt;TODAY(),"Em Aberto",IF(Tabela2[[#This Row],[D/venc]]="-","Enviado",IF(Tabela2[[#This Row],[Dt Venc:]]=TODAY(),"Vence Hoje","Vencida")))</f>
        <v>Em Aberto</v>
      </c>
      <c r="F6771" s="3">
        <f ca="1">IF(G6771=1,"-",Tabela2[[#This Row],[Dt Venc:]]-TODAY())</f>
        <v>34</v>
      </c>
      <c r="G6771" s="3"/>
      <c r="H6771" s="3"/>
    </row>
    <row r="6772" spans="1:8">
      <c r="A6772" s="3">
        <v>307145</v>
      </c>
      <c r="B6772" s="7" t="s">
        <v>625</v>
      </c>
      <c r="C6772" s="41">
        <v>293.49</v>
      </c>
      <c r="D6772" s="6">
        <v>45727</v>
      </c>
      <c r="E6772" s="3" t="str">
        <f ca="1">IF(Tabela2[[#This Row],[Dt Venc:]]&gt;TODAY(),"Em Aberto",IF(Tabela2[[#This Row],[D/venc]]="-","Enviado",IF(Tabela2[[#This Row],[Dt Venc:]]=TODAY(),"Vence Hoje","Vencida")))</f>
        <v>Em Aberto</v>
      </c>
      <c r="F6772" s="3">
        <f ca="1">IF(G6772=1,"-",Tabela2[[#This Row],[Dt Venc:]]-TODAY())</f>
        <v>34</v>
      </c>
      <c r="G6772" s="3"/>
      <c r="H6772" s="3"/>
    </row>
    <row r="6773" spans="1:8">
      <c r="A6773" s="3">
        <v>374783</v>
      </c>
      <c r="B6773" s="7" t="s">
        <v>39</v>
      </c>
      <c r="C6773" s="41">
        <v>503.44</v>
      </c>
      <c r="D6773" s="6">
        <v>45727</v>
      </c>
      <c r="E6773" s="3" t="str">
        <f ca="1">IF(Tabela2[[#This Row],[Dt Venc:]]&gt;TODAY(),"Em Aberto",IF(Tabela2[[#This Row],[D/venc]]="-","Enviado",IF(Tabela2[[#This Row],[Dt Venc:]]=TODAY(),"Vence Hoje","Vencida")))</f>
        <v>Em Aberto</v>
      </c>
      <c r="F6773" s="3">
        <f ca="1">IF(G6773=1,"-",Tabela2[[#This Row],[Dt Venc:]]-TODAY())</f>
        <v>34</v>
      </c>
      <c r="G6773" s="3"/>
      <c r="H6773" s="3"/>
    </row>
    <row r="6774" spans="1:8">
      <c r="A6774" s="3">
        <v>4733097</v>
      </c>
      <c r="B6774" s="7" t="s">
        <v>90</v>
      </c>
      <c r="C6774" s="41">
        <v>264.81</v>
      </c>
      <c r="D6774" s="6">
        <v>45727</v>
      </c>
      <c r="E6774" s="3" t="str">
        <f ca="1">IF(Tabela2[[#This Row],[Dt Venc:]]&gt;TODAY(),"Em Aberto",IF(Tabela2[[#This Row],[D/venc]]="-","Enviado",IF(Tabela2[[#This Row],[Dt Venc:]]=TODAY(),"Vence Hoje","Vencida")))</f>
        <v>Em Aberto</v>
      </c>
      <c r="F6774" s="3">
        <f ca="1">IF(G6774=1,"-",Tabela2[[#This Row],[Dt Venc:]]-TODAY())</f>
        <v>34</v>
      </c>
      <c r="G6774" s="3"/>
      <c r="H6774" s="3"/>
    </row>
    <row r="6775" spans="1:8">
      <c r="A6775" s="3" t="s">
        <v>110</v>
      </c>
      <c r="B6775" s="7" t="s">
        <v>205</v>
      </c>
      <c r="C6775" s="42" t="s">
        <v>32</v>
      </c>
      <c r="D6775" s="6">
        <v>45727</v>
      </c>
      <c r="E6775" s="3" t="str">
        <f ca="1">IF(Tabela2[[#This Row],[Dt Venc:]]&gt;TODAY(),"Em Aberto",IF(Tabela2[[#This Row],[D/venc]]="-","Enviado",IF(Tabela2[[#This Row],[Dt Venc:]]=TODAY(),"Vence Hoje","Vencida")))</f>
        <v>Em Aberto</v>
      </c>
      <c r="F6775" s="3">
        <f ca="1">IF(G6775=1,"-",Tabela2[[#This Row],[Dt Venc:]]-TODAY())</f>
        <v>34</v>
      </c>
      <c r="G6775" s="3"/>
      <c r="H6775" s="3"/>
    </row>
    <row r="6776" spans="1:8">
      <c r="A6776" s="3">
        <v>188785</v>
      </c>
      <c r="B6776" s="7" t="s">
        <v>462</v>
      </c>
      <c r="C6776" s="41">
        <v>1289.81</v>
      </c>
      <c r="D6776" s="6">
        <v>45727</v>
      </c>
      <c r="E6776" s="3" t="str">
        <f ca="1">IF(Tabela2[[#This Row],[Dt Venc:]]&gt;TODAY(),"Em Aberto",IF(Tabela2[[#This Row],[D/venc]]="-","Enviado",IF(Tabela2[[#This Row],[Dt Venc:]]=TODAY(),"Vence Hoje","Vencida")))</f>
        <v>Em Aberto</v>
      </c>
      <c r="F6776" s="3">
        <f ca="1">IF(G6776=1,"-",Tabela2[[#This Row],[Dt Venc:]]-TODAY())</f>
        <v>34</v>
      </c>
      <c r="G6776" s="3"/>
      <c r="H6776" s="3"/>
    </row>
    <row r="6777" spans="1:8">
      <c r="A6777" s="3">
        <v>15447</v>
      </c>
      <c r="B6777" s="7" t="s">
        <v>44</v>
      </c>
      <c r="C6777" s="41">
        <v>1062.5</v>
      </c>
      <c r="D6777" s="6">
        <v>45727</v>
      </c>
      <c r="E6777" s="3" t="str">
        <f ca="1">IF(Tabela2[[#This Row],[Dt Venc:]]&gt;TODAY(),"Em Aberto",IF(Tabela2[[#This Row],[D/venc]]="-","Enviado",IF(Tabela2[[#This Row],[Dt Venc:]]=TODAY(),"Vence Hoje","Vencida")))</f>
        <v>Em Aberto</v>
      </c>
      <c r="F6777" s="3">
        <f ca="1">IF(G6777=1,"-",Tabela2[[#This Row],[Dt Venc:]]-TODAY())</f>
        <v>34</v>
      </c>
      <c r="G6777" s="3"/>
      <c r="H6777" s="3"/>
    </row>
    <row r="6778" spans="1:8">
      <c r="A6778" s="3">
        <v>260234</v>
      </c>
      <c r="B6778" s="7" t="s">
        <v>49</v>
      </c>
      <c r="C6778" s="41">
        <v>1716.66</v>
      </c>
      <c r="D6778" s="6">
        <v>45727</v>
      </c>
      <c r="E6778" s="3" t="str">
        <f ca="1">IF(Tabela2[[#This Row],[Dt Venc:]]&gt;TODAY(),"Em Aberto",IF(Tabela2[[#This Row],[D/venc]]="-","Enviado",IF(Tabela2[[#This Row],[Dt Venc:]]=TODAY(),"Vence Hoje","Vencida")))</f>
        <v>Em Aberto</v>
      </c>
      <c r="F6778" s="3">
        <f ca="1">IF(G6778=1,"-",Tabela2[[#This Row],[Dt Venc:]]-TODAY())</f>
        <v>34</v>
      </c>
      <c r="G6778" s="3"/>
      <c r="H6778" s="3"/>
    </row>
    <row r="6779" spans="1:8">
      <c r="A6779" s="3">
        <v>31501</v>
      </c>
      <c r="B6779" s="7" t="s">
        <v>97</v>
      </c>
      <c r="C6779" s="41">
        <v>1825</v>
      </c>
      <c r="D6779" s="6">
        <v>45727</v>
      </c>
      <c r="E6779" s="3" t="str">
        <f ca="1">IF(Tabela2[[#This Row],[Dt Venc:]]&gt;TODAY(),"Em Aberto",IF(Tabela2[[#This Row],[D/venc]]="-","Enviado",IF(Tabela2[[#This Row],[Dt Venc:]]=TODAY(),"Vence Hoje","Vencida")))</f>
        <v>Em Aberto</v>
      </c>
      <c r="F6779" s="3">
        <f ca="1">IF(G6779=1,"-",Tabela2[[#This Row],[Dt Venc:]]-TODAY())</f>
        <v>34</v>
      </c>
      <c r="G6779" s="3"/>
      <c r="H6779" s="3"/>
    </row>
    <row r="6780" spans="1:8">
      <c r="A6780" s="3">
        <v>3602</v>
      </c>
      <c r="B6780" s="7" t="s">
        <v>129</v>
      </c>
      <c r="C6780" s="41">
        <v>2118.1999999999998</v>
      </c>
      <c r="D6780" s="6">
        <v>45728</v>
      </c>
      <c r="E6780" s="3" t="str">
        <f ca="1">IF(Tabela2[[#This Row],[Dt Venc:]]&gt;TODAY(),"Em Aberto",IF(Tabela2[[#This Row],[D/venc]]="-","Enviado",IF(Tabela2[[#This Row],[Dt Venc:]]=TODAY(),"Vence Hoje","Vencida")))</f>
        <v>Em Aberto</v>
      </c>
      <c r="F6780" s="3">
        <f ca="1">IF(G6780=1,"-",Tabela2[[#This Row],[Dt Venc:]]-TODAY())</f>
        <v>35</v>
      </c>
      <c r="G6780" s="3"/>
      <c r="H6780" s="3"/>
    </row>
    <row r="6781" spans="1:8">
      <c r="A6781" s="3">
        <v>6229</v>
      </c>
      <c r="B6781" s="7" t="s">
        <v>140</v>
      </c>
      <c r="C6781" s="41">
        <v>2086</v>
      </c>
      <c r="D6781" s="6">
        <v>45728</v>
      </c>
      <c r="E6781" s="3" t="str">
        <f ca="1">IF(Tabela2[[#This Row],[Dt Venc:]]&gt;TODAY(),"Em Aberto",IF(Tabela2[[#This Row],[D/venc]]="-","Enviado",IF(Tabela2[[#This Row],[Dt Venc:]]=TODAY(),"Vence Hoje","Vencida")))</f>
        <v>Em Aberto</v>
      </c>
      <c r="F6781" s="3">
        <f ca="1">IF(G6781=1,"-",Tabela2[[#This Row],[Dt Venc:]]-TODAY())</f>
        <v>35</v>
      </c>
      <c r="G6781" s="3"/>
      <c r="H6781" s="3"/>
    </row>
    <row r="6782" spans="1:8">
      <c r="A6782" s="3">
        <v>16148</v>
      </c>
      <c r="B6782" s="7" t="s">
        <v>289</v>
      </c>
      <c r="C6782" s="41">
        <v>450</v>
      </c>
      <c r="D6782" s="6">
        <v>45728</v>
      </c>
      <c r="E6782" s="3" t="str">
        <f ca="1">IF(Tabela2[[#This Row],[Dt Venc:]]&gt;TODAY(),"Em Aberto",IF(Tabela2[[#This Row],[D/venc]]="-","Enviado",IF(Tabela2[[#This Row],[Dt Venc:]]=TODAY(),"Vence Hoje","Vencida")))</f>
        <v>Em Aberto</v>
      </c>
      <c r="F6782" s="3">
        <f ca="1">IF(G6782=1,"-",Tabela2[[#This Row],[Dt Venc:]]-TODAY())</f>
        <v>35</v>
      </c>
      <c r="G6782" s="3"/>
      <c r="H6782" s="3"/>
    </row>
    <row r="6783" spans="1:8">
      <c r="A6783" s="3">
        <v>16148</v>
      </c>
      <c r="B6783" s="7" t="s">
        <v>289</v>
      </c>
      <c r="C6783" s="41">
        <v>450</v>
      </c>
      <c r="D6783" s="6">
        <v>45728</v>
      </c>
      <c r="E6783" s="3" t="str">
        <f ca="1">IF(Tabela2[[#This Row],[Dt Venc:]]&gt;TODAY(),"Em Aberto",IF(Tabela2[[#This Row],[D/venc]]="-","Enviado",IF(Tabela2[[#This Row],[Dt Venc:]]=TODAY(),"Vence Hoje","Vencida")))</f>
        <v>Em Aberto</v>
      </c>
      <c r="F6783" s="3">
        <f ca="1">IF(G6783=1,"-",Tabela2[[#This Row],[Dt Venc:]]-TODAY())</f>
        <v>35</v>
      </c>
      <c r="G6783" s="3"/>
      <c r="H6783" s="3"/>
    </row>
    <row r="6784" spans="1:8">
      <c r="A6784" s="3">
        <v>23554</v>
      </c>
      <c r="B6784" s="7" t="s">
        <v>632</v>
      </c>
      <c r="C6784" s="41">
        <v>1725</v>
      </c>
      <c r="D6784" s="6">
        <v>45728</v>
      </c>
      <c r="E6784" s="3" t="str">
        <f ca="1">IF(Tabela2[[#This Row],[Dt Venc:]]&gt;TODAY(),"Em Aberto",IF(Tabela2[[#This Row],[D/venc]]="-","Enviado",IF(Tabela2[[#This Row],[Dt Venc:]]=TODAY(),"Vence Hoje","Vencida")))</f>
        <v>Em Aberto</v>
      </c>
      <c r="F6784" s="3">
        <f ca="1">IF(G6784=1,"-",Tabela2[[#This Row],[Dt Venc:]]-TODAY())</f>
        <v>35</v>
      </c>
      <c r="G6784" s="3"/>
      <c r="H6784" s="3"/>
    </row>
    <row r="6785" spans="1:8">
      <c r="A6785" s="3">
        <v>29920</v>
      </c>
      <c r="B6785" s="7" t="s">
        <v>226</v>
      </c>
      <c r="C6785" s="42">
        <v>2925</v>
      </c>
      <c r="D6785" s="6">
        <v>45728</v>
      </c>
      <c r="E6785" s="3" t="str">
        <f ca="1">IF(Tabela2[[#This Row],[Dt Venc:]]&gt;TODAY(),"Em Aberto",IF(Tabela2[[#This Row],[D/venc]]="-","Enviado",IF(Tabela2[[#This Row],[Dt Venc:]]=TODAY(),"Vence Hoje","Vencida")))</f>
        <v>Em Aberto</v>
      </c>
      <c r="F6785" s="3">
        <f ca="1">IF(G6785=1,"-",Tabela2[[#This Row],[Dt Venc:]]-TODAY())</f>
        <v>35</v>
      </c>
      <c r="G6785" s="3"/>
      <c r="H6785" s="3"/>
    </row>
    <row r="6786" spans="1:8">
      <c r="A6786" s="3">
        <v>32627</v>
      </c>
      <c r="B6786" s="7" t="s">
        <v>98</v>
      </c>
      <c r="C6786" s="41">
        <v>462.12</v>
      </c>
      <c r="D6786" s="6">
        <v>45728</v>
      </c>
      <c r="E6786" s="3" t="str">
        <f ca="1">IF(Tabela2[[#This Row],[Dt Venc:]]&gt;TODAY(),"Em Aberto",IF(Tabela2[[#This Row],[D/venc]]="-","Enviado",IF(Tabela2[[#This Row],[Dt Venc:]]=TODAY(),"Vence Hoje","Vencida")))</f>
        <v>Em Aberto</v>
      </c>
      <c r="F6786" s="3">
        <f ca="1">IF(G6786=1,"-",Tabela2[[#This Row],[Dt Venc:]]-TODAY())</f>
        <v>35</v>
      </c>
      <c r="G6786" s="3"/>
      <c r="H6786" s="3"/>
    </row>
    <row r="6787" spans="1:8">
      <c r="A6787" s="3">
        <v>37157</v>
      </c>
      <c r="B6787" s="7" t="s">
        <v>70</v>
      </c>
      <c r="C6787" s="41">
        <v>3194.12</v>
      </c>
      <c r="D6787" s="6">
        <v>45728</v>
      </c>
      <c r="E6787" s="3" t="str">
        <f ca="1">IF(Tabela2[[#This Row],[Dt Venc:]]&gt;TODAY(),"Em Aberto",IF(Tabela2[[#This Row],[D/venc]]="-","Enviado",IF(Tabela2[[#This Row],[Dt Venc:]]=TODAY(),"Vence Hoje","Vencida")))</f>
        <v>Em Aberto</v>
      </c>
      <c r="F6787" s="3">
        <f ca="1">IF(G6787=1,"-",Tabela2[[#This Row],[Dt Venc:]]-TODAY())</f>
        <v>35</v>
      </c>
      <c r="G6787" s="3"/>
      <c r="H6787" s="3"/>
    </row>
    <row r="6788" spans="1:8">
      <c r="A6788" s="3">
        <v>143193</v>
      </c>
      <c r="B6788" s="7" t="s">
        <v>516</v>
      </c>
      <c r="C6788" s="41">
        <v>517.86</v>
      </c>
      <c r="D6788" s="6">
        <v>45728</v>
      </c>
      <c r="E6788" s="3" t="str">
        <f ca="1">IF(Tabela2[[#This Row],[Dt Venc:]]&gt;TODAY(),"Em Aberto",IF(Tabela2[[#This Row],[D/venc]]="-","Enviado",IF(Tabela2[[#This Row],[Dt Venc:]]=TODAY(),"Vence Hoje","Vencida")))</f>
        <v>Em Aberto</v>
      </c>
      <c r="F6788" s="3">
        <f ca="1">IF(G6788=1,"-",Tabela2[[#This Row],[Dt Venc:]]-TODAY())</f>
        <v>35</v>
      </c>
      <c r="G6788" s="3"/>
      <c r="H6788" s="3"/>
    </row>
    <row r="6789" spans="1:8">
      <c r="A6789" s="3">
        <v>147748</v>
      </c>
      <c r="B6789" s="7" t="s">
        <v>127</v>
      </c>
      <c r="C6789" s="41">
        <v>802.67</v>
      </c>
      <c r="D6789" s="6">
        <v>45728</v>
      </c>
      <c r="E6789" s="3" t="str">
        <f ca="1">IF(Tabela2[[#This Row],[Dt Venc:]]&gt;TODAY(),"Em Aberto",IF(Tabela2[[#This Row],[D/venc]]="-","Enviado",IF(Tabela2[[#This Row],[Dt Venc:]]=TODAY(),"Vence Hoje","Vencida")))</f>
        <v>Em Aberto</v>
      </c>
      <c r="F6789" s="3">
        <f ca="1">IF(G6789=1,"-",Tabela2[[#This Row],[Dt Venc:]]-TODAY())</f>
        <v>35</v>
      </c>
      <c r="G6789" s="3"/>
      <c r="H6789" s="3"/>
    </row>
    <row r="6790" spans="1:8">
      <c r="A6790" s="3">
        <v>147751</v>
      </c>
      <c r="B6790" s="7" t="s">
        <v>127</v>
      </c>
      <c r="C6790" s="41">
        <v>802.67</v>
      </c>
      <c r="D6790" s="6">
        <v>45728</v>
      </c>
      <c r="E6790" s="3" t="str">
        <f ca="1">IF(Tabela2[[#This Row],[Dt Venc:]]&gt;TODAY(),"Em Aberto",IF(Tabela2[[#This Row],[D/venc]]="-","Enviado",IF(Tabela2[[#This Row],[Dt Venc:]]=TODAY(),"Vence Hoje","Vencida")))</f>
        <v>Em Aberto</v>
      </c>
      <c r="F6790" s="3">
        <f ca="1">IF(G6790=1,"-",Tabela2[[#This Row],[Dt Venc:]]-TODAY())</f>
        <v>35</v>
      </c>
      <c r="G6790" s="3"/>
      <c r="H6790" s="3"/>
    </row>
    <row r="6791" spans="1:8">
      <c r="A6791" s="3">
        <v>179633</v>
      </c>
      <c r="B6791" s="7" t="s">
        <v>211</v>
      </c>
      <c r="C6791" s="41">
        <v>905</v>
      </c>
      <c r="D6791" s="6">
        <v>45728</v>
      </c>
      <c r="E6791" s="3" t="str">
        <f ca="1">IF(Tabela2[[#This Row],[Dt Venc:]]&gt;TODAY(),"Em Aberto",IF(Tabela2[[#This Row],[D/venc]]="-","Enviado",IF(Tabela2[[#This Row],[Dt Venc:]]=TODAY(),"Vence Hoje","Vencida")))</f>
        <v>Em Aberto</v>
      </c>
      <c r="F6791" s="3">
        <f ca="1">IF(G6791=1,"-",Tabela2[[#This Row],[Dt Venc:]]-TODAY())</f>
        <v>35</v>
      </c>
      <c r="G6791" s="3"/>
      <c r="H6791" s="3"/>
    </row>
    <row r="6792" spans="1:8">
      <c r="A6792" s="3">
        <v>305359</v>
      </c>
      <c r="B6792" s="7" t="s">
        <v>635</v>
      </c>
      <c r="C6792" s="41">
        <v>341.23</v>
      </c>
      <c r="D6792" s="6">
        <v>45728</v>
      </c>
      <c r="E6792" s="3" t="str">
        <f ca="1">IF(Tabela2[[#This Row],[Dt Venc:]]&gt;TODAY(),"Em Aberto",IF(Tabela2[[#This Row],[D/venc]]="-","Enviado",IF(Tabela2[[#This Row],[Dt Venc:]]=TODAY(),"Vence Hoje","Vencida")))</f>
        <v>Em Aberto</v>
      </c>
      <c r="F6792" s="3">
        <f ca="1">IF(G6792=1,"-",Tabela2[[#This Row],[Dt Venc:]]-TODAY())</f>
        <v>35</v>
      </c>
      <c r="G6792" s="3"/>
      <c r="H6792" s="3"/>
    </row>
    <row r="6793" spans="1:8">
      <c r="A6793" s="3">
        <v>305359</v>
      </c>
      <c r="B6793" s="7" t="s">
        <v>628</v>
      </c>
      <c r="C6793" s="41">
        <v>341.23</v>
      </c>
      <c r="D6793" s="6">
        <v>45728</v>
      </c>
      <c r="E6793" s="3" t="str">
        <f ca="1">IF(Tabela2[[#This Row],[Dt Venc:]]&gt;TODAY(),"Em Aberto",IF(Tabela2[[#This Row],[D/venc]]="-","Enviado",IF(Tabela2[[#This Row],[Dt Venc:]]=TODAY(),"Vence Hoje","Vencida")))</f>
        <v>Em Aberto</v>
      </c>
      <c r="F6793" s="3">
        <f ca="1">IF(G6793=1,"-",Tabela2[[#This Row],[Dt Venc:]]-TODAY())</f>
        <v>35</v>
      </c>
      <c r="G6793" s="3"/>
      <c r="H6793" s="3"/>
    </row>
    <row r="6794" spans="1:8">
      <c r="A6794" s="3">
        <v>762603</v>
      </c>
      <c r="B6794" s="7" t="s">
        <v>127</v>
      </c>
      <c r="C6794" s="41">
        <v>342.56</v>
      </c>
      <c r="D6794" s="6">
        <v>45728</v>
      </c>
      <c r="E6794" s="3" t="str">
        <f ca="1">IF(Tabela2[[#This Row],[Dt Venc:]]&gt;TODAY(),"Em Aberto",IF(Tabela2[[#This Row],[D/venc]]="-","Enviado",IF(Tabela2[[#This Row],[Dt Venc:]]=TODAY(),"Vence Hoje","Vencida")))</f>
        <v>Em Aberto</v>
      </c>
      <c r="F6794" s="3">
        <f ca="1">IF(G6794=1,"-",Tabela2[[#This Row],[Dt Venc:]]-TODAY())</f>
        <v>35</v>
      </c>
      <c r="G6794" s="3"/>
      <c r="H6794" s="3"/>
    </row>
    <row r="6795" spans="1:8">
      <c r="A6795" s="3">
        <v>762609</v>
      </c>
      <c r="B6795" s="7" t="s">
        <v>127</v>
      </c>
      <c r="C6795" s="41">
        <v>342.56</v>
      </c>
      <c r="D6795" s="6">
        <v>45728</v>
      </c>
      <c r="E6795" s="3" t="str">
        <f ca="1">IF(Tabela2[[#This Row],[Dt Venc:]]&gt;TODAY(),"Em Aberto",IF(Tabela2[[#This Row],[D/venc]]="-","Enviado",IF(Tabela2[[#This Row],[Dt Venc:]]=TODAY(),"Vence Hoje","Vencida")))</f>
        <v>Em Aberto</v>
      </c>
      <c r="F6795" s="3">
        <f ca="1">IF(G6795=1,"-",Tabela2[[#This Row],[Dt Venc:]]-TODAY())</f>
        <v>35</v>
      </c>
      <c r="G6795" s="3"/>
      <c r="H6795" s="3"/>
    </row>
    <row r="6796" spans="1:8">
      <c r="A6796" s="3">
        <v>20075</v>
      </c>
      <c r="B6796" s="7" t="s">
        <v>41</v>
      </c>
      <c r="C6796" s="41">
        <v>700</v>
      </c>
      <c r="D6796" s="6">
        <v>45728</v>
      </c>
      <c r="E6796" s="3" t="str">
        <f ca="1">IF(Tabela2[[#This Row],[Dt Venc:]]&gt;TODAY(),"Em Aberto",IF(Tabela2[[#This Row],[D/venc]]="-","Enviado",IF(Tabela2[[#This Row],[Dt Venc:]]=TODAY(),"Vence Hoje","Vencida")))</f>
        <v>Em Aberto</v>
      </c>
      <c r="F6796" s="3">
        <f ca="1">IF(G6796=1,"-",Tabela2[[#This Row],[Dt Venc:]]-TODAY())</f>
        <v>35</v>
      </c>
      <c r="G6796" s="3"/>
      <c r="H6796" s="3"/>
    </row>
    <row r="6797" spans="1:8">
      <c r="A6797" s="3">
        <v>1824</v>
      </c>
      <c r="B6797" s="7" t="s">
        <v>724</v>
      </c>
      <c r="C6797" s="41">
        <v>423.5</v>
      </c>
      <c r="D6797" s="6">
        <v>45729</v>
      </c>
      <c r="E6797" s="3" t="str">
        <f ca="1">IF(Tabela2[[#This Row],[Dt Venc:]]&gt;TODAY(),"Em Aberto",IF(Tabela2[[#This Row],[D/venc]]="-","Enviado",IF(Tabela2[[#This Row],[Dt Venc:]]=TODAY(),"Vence Hoje","Vencida")))</f>
        <v>Em Aberto</v>
      </c>
      <c r="F6797" s="3">
        <f ca="1">IF(G6797=1,"-",Tabela2[[#This Row],[Dt Venc:]]-TODAY())</f>
        <v>36</v>
      </c>
      <c r="G6797" s="3"/>
      <c r="H6797" s="3"/>
    </row>
    <row r="6798" spans="1:8">
      <c r="A6798" s="3">
        <v>2965</v>
      </c>
      <c r="B6798" s="7" t="s">
        <v>58</v>
      </c>
      <c r="C6798" s="41">
        <v>2077</v>
      </c>
      <c r="D6798" s="6">
        <v>45729</v>
      </c>
      <c r="E6798" s="3" t="str">
        <f ca="1">IF(Tabela2[[#This Row],[Dt Venc:]]&gt;TODAY(),"Em Aberto",IF(Tabela2[[#This Row],[D/venc]]="-","Enviado",IF(Tabela2[[#This Row],[Dt Venc:]]=TODAY(),"Vence Hoje","Vencida")))</f>
        <v>Em Aberto</v>
      </c>
      <c r="F6798" s="3">
        <f ca="1">IF(G6798=1,"-",Tabela2[[#This Row],[Dt Venc:]]-TODAY())</f>
        <v>36</v>
      </c>
      <c r="G6798" s="3"/>
      <c r="H6798" s="3"/>
    </row>
    <row r="6799" spans="1:8">
      <c r="A6799" s="3">
        <v>2965</v>
      </c>
      <c r="B6799" s="7" t="s">
        <v>58</v>
      </c>
      <c r="C6799" s="41">
        <v>2077.0700000000002</v>
      </c>
      <c r="D6799" s="6">
        <v>45729</v>
      </c>
      <c r="E6799" s="3" t="str">
        <f ca="1">IF(Tabela2[[#This Row],[Dt Venc:]]&gt;TODAY(),"Em Aberto",IF(Tabela2[[#This Row],[D/venc]]="-","Enviado",IF(Tabela2[[#This Row],[Dt Venc:]]=TODAY(),"Vence Hoje","Vencida")))</f>
        <v>Em Aberto</v>
      </c>
      <c r="F6799" s="3">
        <f ca="1">IF(G6799=1,"-",Tabela2[[#This Row],[Dt Venc:]]-TODAY())</f>
        <v>36</v>
      </c>
      <c r="G6799" s="3"/>
      <c r="H6799" s="3"/>
    </row>
    <row r="6800" spans="1:8">
      <c r="A6800" s="3">
        <v>6159</v>
      </c>
      <c r="B6800" s="7" t="s">
        <v>140</v>
      </c>
      <c r="C6800" s="41">
        <v>2285.33</v>
      </c>
      <c r="D6800" s="6">
        <v>45729</v>
      </c>
      <c r="E6800" s="3" t="str">
        <f ca="1">IF(Tabela2[[#This Row],[Dt Venc:]]&gt;TODAY(),"Em Aberto",IF(Tabela2[[#This Row],[D/venc]]="-","Enviado",IF(Tabela2[[#This Row],[Dt Venc:]]=TODAY(),"Vence Hoje","Vencida")))</f>
        <v>Em Aberto</v>
      </c>
      <c r="F6800" s="3">
        <f ca="1">IF(G6800=1,"-",Tabela2[[#This Row],[Dt Venc:]]-TODAY())</f>
        <v>36</v>
      </c>
      <c r="G6800" s="3"/>
      <c r="H6800" s="3"/>
    </row>
    <row r="6801" spans="1:8">
      <c r="A6801" s="3">
        <v>6272</v>
      </c>
      <c r="B6801" s="7" t="s">
        <v>47</v>
      </c>
      <c r="C6801" s="41">
        <v>2149.75</v>
      </c>
      <c r="D6801" s="6">
        <v>45729</v>
      </c>
      <c r="E6801" s="3" t="str">
        <f ca="1">IF(Tabela2[[#This Row],[Dt Venc:]]&gt;TODAY(),"Em Aberto",IF(Tabela2[[#This Row],[D/venc]]="-","Enviado",IF(Tabela2[[#This Row],[Dt Venc:]]=TODAY(),"Vence Hoje","Vencida")))</f>
        <v>Em Aberto</v>
      </c>
      <c r="F6801" s="3">
        <f ca="1">IF(G6801=1,"-",Tabela2[[#This Row],[Dt Venc:]]-TODAY())</f>
        <v>36</v>
      </c>
      <c r="G6801" s="3"/>
      <c r="H6801" s="3"/>
    </row>
    <row r="6802" spans="1:8">
      <c r="A6802" s="3">
        <v>11234</v>
      </c>
      <c r="B6802" s="7" t="s">
        <v>33</v>
      </c>
      <c r="C6802" s="41">
        <v>560</v>
      </c>
      <c r="D6802" s="6">
        <v>45729</v>
      </c>
      <c r="E6802" s="3" t="str">
        <f ca="1">IF(Tabela2[[#This Row],[Dt Venc:]]&gt;TODAY(),"Em Aberto",IF(Tabela2[[#This Row],[D/venc]]="-","Enviado",IF(Tabela2[[#This Row],[Dt Venc:]]=TODAY(),"Vence Hoje","Vencida")))</f>
        <v>Em Aberto</v>
      </c>
      <c r="F6802" s="3">
        <f ca="1">IF(G6802=1,"-",Tabela2[[#This Row],[Dt Venc:]]-TODAY())</f>
        <v>36</v>
      </c>
      <c r="G6802" s="3"/>
      <c r="H6802" s="3"/>
    </row>
    <row r="6803" spans="1:8">
      <c r="A6803" s="3">
        <v>15417</v>
      </c>
      <c r="B6803" s="7" t="s">
        <v>99</v>
      </c>
      <c r="C6803" s="41">
        <v>850</v>
      </c>
      <c r="D6803" s="6">
        <v>45729</v>
      </c>
      <c r="E6803" s="3" t="str">
        <f ca="1">IF(Tabela2[[#This Row],[Dt Venc:]]&gt;TODAY(),"Em Aberto",IF(Tabela2[[#This Row],[D/venc]]="-","Enviado",IF(Tabela2[[#This Row],[Dt Venc:]]=TODAY(),"Vence Hoje","Vencida")))</f>
        <v>Em Aberto</v>
      </c>
      <c r="F6803" s="3">
        <f ca="1">IF(G6803=1,"-",Tabela2[[#This Row],[Dt Venc:]]-TODAY())</f>
        <v>36</v>
      </c>
      <c r="G6803" s="3"/>
      <c r="H6803" s="3"/>
    </row>
    <row r="6804" spans="1:8">
      <c r="A6804" s="3">
        <v>44137</v>
      </c>
      <c r="B6804" s="7" t="s">
        <v>529</v>
      </c>
      <c r="C6804" s="41">
        <v>1424.33</v>
      </c>
      <c r="D6804" s="6">
        <v>45729</v>
      </c>
      <c r="E6804" s="3" t="str">
        <f ca="1">IF(Tabela2[[#This Row],[Dt Venc:]]&gt;TODAY(),"Em Aberto",IF(Tabela2[[#This Row],[D/venc]]="-","Enviado",IF(Tabela2[[#This Row],[Dt Venc:]]=TODAY(),"Vence Hoje","Vencida")))</f>
        <v>Em Aberto</v>
      </c>
      <c r="F6804" s="3">
        <f ca="1">IF(G6804=1,"-",Tabela2[[#This Row],[Dt Venc:]]-TODAY())</f>
        <v>36</v>
      </c>
      <c r="G6804" s="3"/>
      <c r="H6804" s="3"/>
    </row>
    <row r="6805" spans="1:8">
      <c r="A6805" s="3">
        <v>141200</v>
      </c>
      <c r="B6805" s="7" t="s">
        <v>506</v>
      </c>
      <c r="C6805" s="41">
        <v>1635.71</v>
      </c>
      <c r="D6805" s="6">
        <v>45729</v>
      </c>
      <c r="E6805" s="3" t="str">
        <f ca="1">IF(Tabela2[[#This Row],[Dt Venc:]]&gt;TODAY(),"Em Aberto",IF(Tabela2[[#This Row],[D/venc]]="-","Enviado",IF(Tabela2[[#This Row],[Dt Venc:]]=TODAY(),"Vence Hoje","Vencida")))</f>
        <v>Em Aberto</v>
      </c>
      <c r="F6805" s="3">
        <f ca="1">IF(G6805=1,"-",Tabela2[[#This Row],[Dt Venc:]]-TODAY())</f>
        <v>36</v>
      </c>
      <c r="G6805" s="3"/>
      <c r="H6805" s="3"/>
    </row>
    <row r="6806" spans="1:8">
      <c r="A6806" s="3">
        <v>155188</v>
      </c>
      <c r="B6806" s="7" t="s">
        <v>77</v>
      </c>
      <c r="C6806" s="41">
        <v>1233.33</v>
      </c>
      <c r="D6806" s="6">
        <v>45729</v>
      </c>
      <c r="E6806" s="3" t="str">
        <f ca="1">IF(Tabela2[[#This Row],[Dt Venc:]]&gt;TODAY(),"Em Aberto",IF(Tabela2[[#This Row],[D/venc]]="-","Enviado",IF(Tabela2[[#This Row],[Dt Venc:]]=TODAY(),"Vence Hoje","Vencida")))</f>
        <v>Em Aberto</v>
      </c>
      <c r="F6806" s="3">
        <f ca="1">IF(G6806=1,"-",Tabela2[[#This Row],[Dt Venc:]]-TODAY())</f>
        <v>36</v>
      </c>
      <c r="G6806" s="3"/>
      <c r="H6806" s="3"/>
    </row>
    <row r="6807" spans="1:8">
      <c r="A6807" s="3">
        <v>178074</v>
      </c>
      <c r="B6807" s="7" t="s">
        <v>211</v>
      </c>
      <c r="C6807" s="41">
        <v>500</v>
      </c>
      <c r="D6807" s="6">
        <v>45729</v>
      </c>
      <c r="E6807" s="3" t="str">
        <f ca="1">IF(Tabela2[[#This Row],[Dt Venc:]]&gt;TODAY(),"Em Aberto",IF(Tabela2[[#This Row],[D/venc]]="-","Enviado",IF(Tabela2[[#This Row],[Dt Venc:]]=TODAY(),"Vence Hoje","Vencida")))</f>
        <v>Em Aberto</v>
      </c>
      <c r="F6807" s="3">
        <f ca="1">IF(G6807=1,"-",Tabela2[[#This Row],[Dt Venc:]]-TODAY())</f>
        <v>36</v>
      </c>
      <c r="G6807" s="3"/>
      <c r="H6807" s="3"/>
    </row>
    <row r="6808" spans="1:8">
      <c r="A6808" s="3">
        <v>263006</v>
      </c>
      <c r="B6808" s="7" t="s">
        <v>43</v>
      </c>
      <c r="C6808" s="41">
        <v>1504.5</v>
      </c>
      <c r="D6808" s="6">
        <v>45729</v>
      </c>
      <c r="E6808" s="3" t="str">
        <f ca="1">IF(Tabela2[[#This Row],[Dt Venc:]]&gt;TODAY(),"Em Aberto",IF(Tabela2[[#This Row],[D/venc]]="-","Enviado",IF(Tabela2[[#This Row],[Dt Venc:]]=TODAY(),"Vence Hoje","Vencida")))</f>
        <v>Em Aberto</v>
      </c>
      <c r="F6808" s="3">
        <f ca="1">IF(G6808=1,"-",Tabela2[[#This Row],[Dt Venc:]]-TODAY())</f>
        <v>36</v>
      </c>
      <c r="G6808" s="3"/>
      <c r="H6808" s="3"/>
    </row>
    <row r="6809" spans="1:8">
      <c r="A6809" s="3">
        <v>263199</v>
      </c>
      <c r="B6809" s="7" t="s">
        <v>43</v>
      </c>
      <c r="C6809" s="41">
        <v>1026.93</v>
      </c>
      <c r="D6809" s="6">
        <v>45729</v>
      </c>
      <c r="E6809" s="3" t="str">
        <f ca="1">IF(Tabela2[[#This Row],[Dt Venc:]]&gt;TODAY(),"Em Aberto",IF(Tabela2[[#This Row],[D/venc]]="-","Enviado",IF(Tabela2[[#This Row],[Dt Venc:]]=TODAY(),"Vence Hoje","Vencida")))</f>
        <v>Em Aberto</v>
      </c>
      <c r="F6809" s="3">
        <f ca="1">IF(G6809=1,"-",Tabela2[[#This Row],[Dt Venc:]]-TODAY())</f>
        <v>36</v>
      </c>
      <c r="G6809" s="3"/>
      <c r="H6809" s="3"/>
    </row>
    <row r="6810" spans="1:8">
      <c r="A6810" s="3">
        <v>274572</v>
      </c>
      <c r="B6810" s="7" t="s">
        <v>36</v>
      </c>
      <c r="C6810" s="41">
        <v>1760</v>
      </c>
      <c r="D6810" s="6">
        <v>45729</v>
      </c>
      <c r="E6810" s="3" t="str">
        <f ca="1">IF(Tabela2[[#This Row],[Dt Venc:]]&gt;TODAY(),"Em Aberto",IF(Tabela2[[#This Row],[D/venc]]="-","Enviado",IF(Tabela2[[#This Row],[Dt Venc:]]=TODAY(),"Vence Hoje","Vencida")))</f>
        <v>Em Aberto</v>
      </c>
      <c r="F6810" s="3">
        <f ca="1">IF(G6810=1,"-",Tabela2[[#This Row],[Dt Venc:]]-TODAY())</f>
        <v>36</v>
      </c>
      <c r="G6810" s="3"/>
      <c r="H6810" s="3"/>
    </row>
    <row r="6811" spans="1:8">
      <c r="A6811" s="3">
        <v>279920</v>
      </c>
      <c r="B6811" s="7" t="s">
        <v>43</v>
      </c>
      <c r="C6811" s="41">
        <v>2467.15</v>
      </c>
      <c r="D6811" s="6">
        <v>45729</v>
      </c>
      <c r="E6811" s="3" t="str">
        <f ca="1">IF(Tabela2[[#This Row],[Dt Venc:]]&gt;TODAY(),"Em Aberto",IF(Tabela2[[#This Row],[D/venc]]="-","Enviado",IF(Tabela2[[#This Row],[Dt Venc:]]=TODAY(),"Vence Hoje","Vencida")))</f>
        <v>Em Aberto</v>
      </c>
      <c r="F6811" s="3">
        <f ca="1">IF(G6811=1,"-",Tabela2[[#This Row],[Dt Venc:]]-TODAY())</f>
        <v>36</v>
      </c>
      <c r="G6811" s="3"/>
      <c r="H6811" s="3"/>
    </row>
    <row r="6812" spans="1:8">
      <c r="A6812" s="3">
        <v>300839</v>
      </c>
      <c r="B6812" s="7" t="s">
        <v>79</v>
      </c>
      <c r="C6812" s="41">
        <v>740.96</v>
      </c>
      <c r="D6812" s="6">
        <v>45729</v>
      </c>
      <c r="E6812" s="3" t="str">
        <f ca="1">IF(Tabela2[[#This Row],[Dt Venc:]]&gt;TODAY(),"Em Aberto",IF(Tabela2[[#This Row],[D/venc]]="-","Enviado",IF(Tabela2[[#This Row],[Dt Venc:]]=TODAY(),"Vence Hoje","Vencida")))</f>
        <v>Em Aberto</v>
      </c>
      <c r="F6812" s="3">
        <f ca="1">IF(G6812=1,"-",Tabela2[[#This Row],[Dt Venc:]]-TODAY())</f>
        <v>36</v>
      </c>
      <c r="G6812" s="3"/>
      <c r="H6812" s="3"/>
    </row>
    <row r="6813" spans="1:8">
      <c r="A6813" s="3">
        <v>304134</v>
      </c>
      <c r="B6813" s="7" t="s">
        <v>506</v>
      </c>
      <c r="C6813" s="41">
        <v>1762.78</v>
      </c>
      <c r="D6813" s="6">
        <v>45729</v>
      </c>
      <c r="E6813" s="3" t="str">
        <f ca="1">IF(Tabela2[[#This Row],[Dt Venc:]]&gt;TODAY(),"Em Aberto",IF(Tabela2[[#This Row],[D/venc]]="-","Enviado",IF(Tabela2[[#This Row],[Dt Venc:]]=TODAY(),"Vence Hoje","Vencida")))</f>
        <v>Em Aberto</v>
      </c>
      <c r="F6813" s="3">
        <f ca="1">IF(G6813=1,"-",Tabela2[[#This Row],[Dt Venc:]]-TODAY())</f>
        <v>36</v>
      </c>
      <c r="G6813" s="3"/>
      <c r="H6813" s="3"/>
    </row>
    <row r="6814" spans="1:8">
      <c r="A6814" s="3">
        <v>330462</v>
      </c>
      <c r="B6814" s="7" t="s">
        <v>77</v>
      </c>
      <c r="C6814" s="41">
        <v>438.33</v>
      </c>
      <c r="D6814" s="6">
        <v>45729</v>
      </c>
      <c r="E6814" s="3" t="str">
        <f ca="1">IF(Tabela2[[#This Row],[Dt Venc:]]&gt;TODAY(),"Em Aberto",IF(Tabela2[[#This Row],[D/venc]]="-","Enviado",IF(Tabela2[[#This Row],[Dt Venc:]]=TODAY(),"Vence Hoje","Vencida")))</f>
        <v>Em Aberto</v>
      </c>
      <c r="F6814" s="3">
        <f ca="1">IF(G6814=1,"-",Tabela2[[#This Row],[Dt Venc:]]-TODAY())</f>
        <v>36</v>
      </c>
      <c r="G6814" s="3"/>
      <c r="H6814" s="3"/>
    </row>
    <row r="6815" spans="1:8">
      <c r="A6815" s="3">
        <v>372665</v>
      </c>
      <c r="B6815" s="7" t="s">
        <v>39</v>
      </c>
      <c r="C6815" s="41">
        <v>2025.78</v>
      </c>
      <c r="D6815" s="6">
        <v>45729</v>
      </c>
      <c r="E6815" s="3" t="str">
        <f ca="1">IF(Tabela2[[#This Row],[Dt Venc:]]&gt;TODAY(),"Em Aberto",IF(Tabela2[[#This Row],[D/venc]]="-","Enviado",IF(Tabela2[[#This Row],[Dt Venc:]]=TODAY(),"Vence Hoje","Vencida")))</f>
        <v>Em Aberto</v>
      </c>
      <c r="F6815" s="3">
        <f ca="1">IF(G6815=1,"-",Tabela2[[#This Row],[Dt Venc:]]-TODAY())</f>
        <v>36</v>
      </c>
      <c r="G6815" s="3"/>
      <c r="H6815" s="3"/>
    </row>
    <row r="6816" spans="1:8">
      <c r="A6816" s="3">
        <v>621643</v>
      </c>
      <c r="B6816" s="7" t="s">
        <v>66</v>
      </c>
      <c r="C6816" s="41">
        <v>2357.48</v>
      </c>
      <c r="D6816" s="6">
        <v>45729</v>
      </c>
      <c r="E6816" s="3" t="str">
        <f ca="1">IF(Tabela2[[#This Row],[Dt Venc:]]&gt;TODAY(),"Em Aberto",IF(Tabela2[[#This Row],[D/venc]]="-","Enviado",IF(Tabela2[[#This Row],[Dt Venc:]]=TODAY(),"Vence Hoje","Vencida")))</f>
        <v>Em Aberto</v>
      </c>
      <c r="F6816" s="3">
        <f ca="1">IF(G6816=1,"-",Tabela2[[#This Row],[Dt Venc:]]-TODAY())</f>
        <v>36</v>
      </c>
      <c r="G6816" s="3"/>
      <c r="H6816" s="3"/>
    </row>
    <row r="6817" spans="1:8">
      <c r="A6817" s="3">
        <v>624812</v>
      </c>
      <c r="B6817" s="7" t="s">
        <v>66</v>
      </c>
      <c r="C6817" s="41">
        <v>555.12</v>
      </c>
      <c r="D6817" s="6">
        <v>45729</v>
      </c>
      <c r="E6817" s="3" t="str">
        <f ca="1">IF(Tabela2[[#This Row],[Dt Venc:]]&gt;TODAY(),"Em Aberto",IF(Tabela2[[#This Row],[D/venc]]="-","Enviado",IF(Tabela2[[#This Row],[Dt Venc:]]=TODAY(),"Vence Hoje","Vencida")))</f>
        <v>Em Aberto</v>
      </c>
      <c r="F6817" s="3">
        <f ca="1">IF(G6817=1,"-",Tabela2[[#This Row],[Dt Venc:]]-TODAY())</f>
        <v>36</v>
      </c>
      <c r="G6817" s="3"/>
      <c r="H6817" s="3"/>
    </row>
    <row r="6818" spans="1:8">
      <c r="A6818" s="3">
        <v>1751</v>
      </c>
      <c r="B6818" s="7" t="s">
        <v>560</v>
      </c>
      <c r="C6818" s="41">
        <v>855.33</v>
      </c>
      <c r="D6818" s="6">
        <v>45730</v>
      </c>
      <c r="E6818" s="3" t="str">
        <f ca="1">IF(Tabela2[[#This Row],[Dt Venc:]]&gt;TODAY(),"Em Aberto",IF(Tabela2[[#This Row],[D/venc]]="-","Enviado",IF(Tabela2[[#This Row],[Dt Venc:]]=TODAY(),"Vence Hoje","Vencida")))</f>
        <v>Em Aberto</v>
      </c>
      <c r="F6818" s="3">
        <f ca="1">IF(G6818=1,"-",Tabela2[[#This Row],[Dt Venc:]]-TODAY())</f>
        <v>37</v>
      </c>
      <c r="G6818" s="3"/>
      <c r="H6818" s="3"/>
    </row>
    <row r="6819" spans="1:8">
      <c r="A6819" s="3">
        <v>3291</v>
      </c>
      <c r="B6819" s="7" t="s">
        <v>43</v>
      </c>
      <c r="C6819" s="41">
        <v>600</v>
      </c>
      <c r="D6819" s="6">
        <v>45730</v>
      </c>
      <c r="E6819" s="3" t="str">
        <f ca="1">IF(Tabela2[[#This Row],[Dt Venc:]]&gt;TODAY(),"Em Aberto",IF(Tabela2[[#This Row],[D/venc]]="-","Enviado",IF(Tabela2[[#This Row],[Dt Venc:]]=TODAY(),"Vence Hoje","Vencida")))</f>
        <v>Em Aberto</v>
      </c>
      <c r="F6819" s="3">
        <f ca="1">IF(G6819=1,"-",Tabela2[[#This Row],[Dt Venc:]]-TODAY())</f>
        <v>37</v>
      </c>
      <c r="G6819" s="3"/>
      <c r="H6819" s="3"/>
    </row>
    <row r="6820" spans="1:8">
      <c r="A6820" s="3">
        <v>6155</v>
      </c>
      <c r="B6820" s="7" t="s">
        <v>47</v>
      </c>
      <c r="C6820" s="41">
        <v>2369.0100000000002</v>
      </c>
      <c r="D6820" s="6">
        <v>45730</v>
      </c>
      <c r="E6820" s="3" t="str">
        <f ca="1">IF(Tabela2[[#This Row],[Dt Venc:]]&gt;TODAY(),"Em Aberto",IF(Tabela2[[#This Row],[D/venc]]="-","Enviado",IF(Tabela2[[#This Row],[Dt Venc:]]=TODAY(),"Vence Hoje","Vencida")))</f>
        <v>Em Aberto</v>
      </c>
      <c r="F6820" s="3">
        <f ca="1">IF(G6820=1,"-",Tabela2[[#This Row],[Dt Venc:]]-TODAY())</f>
        <v>37</v>
      </c>
      <c r="G6820" s="3"/>
      <c r="H6820" s="3"/>
    </row>
    <row r="6821" spans="1:8">
      <c r="A6821" s="3">
        <v>6237</v>
      </c>
      <c r="B6821" s="7" t="s">
        <v>314</v>
      </c>
      <c r="C6821" s="41">
        <v>566.66999999999996</v>
      </c>
      <c r="D6821" s="6">
        <v>45730</v>
      </c>
      <c r="E6821" s="3" t="str">
        <f ca="1">IF(Tabela2[[#This Row],[Dt Venc:]]&gt;TODAY(),"Em Aberto",IF(Tabela2[[#This Row],[D/venc]]="-","Enviado",IF(Tabela2[[#This Row],[Dt Venc:]]=TODAY(),"Vence Hoje","Vencida")))</f>
        <v>Em Aberto</v>
      </c>
      <c r="F6821" s="3">
        <f ca="1">IF(G6821=1,"-",Tabela2[[#This Row],[Dt Venc:]]-TODAY())</f>
        <v>37</v>
      </c>
      <c r="G6821" s="3"/>
      <c r="H6821" s="3"/>
    </row>
    <row r="6822" spans="1:8">
      <c r="A6822" s="3">
        <v>11327</v>
      </c>
      <c r="B6822" s="7" t="s">
        <v>33</v>
      </c>
      <c r="C6822" s="41">
        <v>1783.34</v>
      </c>
      <c r="D6822" s="6">
        <v>45730</v>
      </c>
      <c r="E6822" s="3" t="str">
        <f ca="1">IF(Tabela2[[#This Row],[Dt Venc:]]&gt;TODAY(),"Em Aberto",IF(Tabela2[[#This Row],[D/venc]]="-","Enviado",IF(Tabela2[[#This Row],[Dt Venc:]]=TODAY(),"Vence Hoje","Vencida")))</f>
        <v>Em Aberto</v>
      </c>
      <c r="F6822" s="3">
        <f ca="1">IF(G6822=1,"-",Tabela2[[#This Row],[Dt Venc:]]-TODAY())</f>
        <v>37</v>
      </c>
      <c r="G6822" s="3"/>
      <c r="H6822" s="3"/>
    </row>
    <row r="6823" spans="1:8">
      <c r="A6823" s="3">
        <v>111736</v>
      </c>
      <c r="B6823" s="7" t="s">
        <v>182</v>
      </c>
      <c r="C6823" s="87" t="s">
        <v>32</v>
      </c>
      <c r="D6823" s="6">
        <v>45730</v>
      </c>
      <c r="E6823" s="3" t="str">
        <f ca="1">IF(Tabela2[[#This Row],[Dt Venc:]]&gt;TODAY(),"Em Aberto",IF(Tabela2[[#This Row],[D/venc]]="-","Enviado",IF(Tabela2[[#This Row],[Dt Venc:]]=TODAY(),"Vence Hoje","Vencida")))</f>
        <v>Em Aberto</v>
      </c>
      <c r="F6823" s="3">
        <f ca="1">IF(G6823=1,"-",Tabela2[[#This Row],[Dt Venc:]]-TODAY())</f>
        <v>37</v>
      </c>
      <c r="G6823" s="3"/>
      <c r="H6823" s="3"/>
    </row>
    <row r="6824" spans="1:8">
      <c r="A6824" s="3">
        <v>148207</v>
      </c>
      <c r="B6824" s="7" t="s">
        <v>127</v>
      </c>
      <c r="C6824" s="41">
        <v>602</v>
      </c>
      <c r="D6824" s="6">
        <v>45730</v>
      </c>
      <c r="E6824" s="3" t="str">
        <f ca="1">IF(Tabela2[[#This Row],[Dt Venc:]]&gt;TODAY(),"Em Aberto",IF(Tabela2[[#This Row],[D/venc]]="-","Enviado",IF(Tabela2[[#This Row],[Dt Venc:]]=TODAY(),"Vence Hoje","Vencida")))</f>
        <v>Em Aberto</v>
      </c>
      <c r="F6824" s="3">
        <f ca="1">IF(G6824=1,"-",Tabela2[[#This Row],[Dt Venc:]]-TODAY())</f>
        <v>37</v>
      </c>
      <c r="G6824" s="3"/>
      <c r="H6824" s="3"/>
    </row>
    <row r="6825" spans="1:8">
      <c r="A6825" s="3">
        <v>148208</v>
      </c>
      <c r="B6825" s="7" t="s">
        <v>127</v>
      </c>
      <c r="C6825" s="41">
        <v>602</v>
      </c>
      <c r="D6825" s="6">
        <v>45730</v>
      </c>
      <c r="E6825" s="3" t="str">
        <f ca="1">IF(Tabela2[[#This Row],[Dt Venc:]]&gt;TODAY(),"Em Aberto",IF(Tabela2[[#This Row],[D/venc]]="-","Enviado",IF(Tabela2[[#This Row],[Dt Venc:]]=TODAY(),"Vence Hoje","Vencida")))</f>
        <v>Em Aberto</v>
      </c>
      <c r="F6825" s="3">
        <f ca="1">IF(G6825=1,"-",Tabela2[[#This Row],[Dt Venc:]]-TODAY())</f>
        <v>37</v>
      </c>
      <c r="G6825" s="3"/>
      <c r="H6825" s="3"/>
    </row>
    <row r="6826" spans="1:8">
      <c r="A6826" s="3">
        <v>185221</v>
      </c>
      <c r="B6826" s="7" t="s">
        <v>84</v>
      </c>
      <c r="C6826" s="41">
        <v>879.82</v>
      </c>
      <c r="D6826" s="6">
        <v>45730</v>
      </c>
      <c r="E6826" s="3" t="str">
        <f ca="1">IF(Tabela2[[#This Row],[Dt Venc:]]&gt;TODAY(),"Em Aberto",IF(Tabela2[[#This Row],[D/venc]]="-","Enviado",IF(Tabela2[[#This Row],[Dt Venc:]]=TODAY(),"Vence Hoje","Vencida")))</f>
        <v>Em Aberto</v>
      </c>
      <c r="F6826" s="3">
        <f ca="1">IF(G6826=1,"-",Tabela2[[#This Row],[Dt Venc:]]-TODAY())</f>
        <v>37</v>
      </c>
      <c r="G6826" s="3"/>
      <c r="H6826" s="3"/>
    </row>
    <row r="6827" spans="1:8">
      <c r="A6827" s="3">
        <v>205812</v>
      </c>
      <c r="B6827" s="7" t="s">
        <v>204</v>
      </c>
      <c r="C6827" s="41">
        <v>1085.0999999999999</v>
      </c>
      <c r="D6827" s="6">
        <v>45730</v>
      </c>
      <c r="E6827" s="3" t="str">
        <f ca="1">IF(Tabela2[[#This Row],[Dt Venc:]]&gt;TODAY(),"Em Aberto",IF(Tabela2[[#This Row],[D/venc]]="-","Enviado",IF(Tabela2[[#This Row],[Dt Venc:]]=TODAY(),"Vence Hoje","Vencida")))</f>
        <v>Em Aberto</v>
      </c>
      <c r="F6827" s="3">
        <f ca="1">IF(G6827=1,"-",Tabela2[[#This Row],[Dt Venc:]]-TODAY())</f>
        <v>37</v>
      </c>
      <c r="G6827" s="3"/>
      <c r="H6827" s="3"/>
    </row>
    <row r="6828" spans="1:8">
      <c r="A6828" s="3">
        <v>238253</v>
      </c>
      <c r="B6828" s="7" t="s">
        <v>40</v>
      </c>
      <c r="C6828" s="41">
        <v>980</v>
      </c>
      <c r="D6828" s="6">
        <v>45730</v>
      </c>
      <c r="E6828" s="3" t="str">
        <f ca="1">IF(Tabela2[[#This Row],[Dt Venc:]]&gt;TODAY(),"Em Aberto",IF(Tabela2[[#This Row],[D/venc]]="-","Enviado",IF(Tabela2[[#This Row],[Dt Venc:]]=TODAY(),"Vence Hoje","Vencida")))</f>
        <v>Em Aberto</v>
      </c>
      <c r="F6828" s="3">
        <f ca="1">IF(G6828=1,"-",Tabela2[[#This Row],[Dt Venc:]]-TODAY())</f>
        <v>37</v>
      </c>
      <c r="G6828" s="3"/>
      <c r="H6828" s="3"/>
    </row>
    <row r="6829" spans="1:8">
      <c r="A6829" s="3">
        <v>270666</v>
      </c>
      <c r="B6829" s="7" t="s">
        <v>43</v>
      </c>
      <c r="C6829" s="41">
        <v>1068.0899999999999</v>
      </c>
      <c r="D6829" s="6">
        <v>45730</v>
      </c>
      <c r="E6829" s="3" t="str">
        <f ca="1">IF(Tabela2[[#This Row],[Dt Venc:]]&gt;TODAY(),"Em Aberto",IF(Tabela2[[#This Row],[D/venc]]="-","Enviado",IF(Tabela2[[#This Row],[Dt Venc:]]=TODAY(),"Vence Hoje","Vencida")))</f>
        <v>Em Aberto</v>
      </c>
      <c r="F6829" s="3">
        <f ca="1">IF(G6829=1,"-",Tabela2[[#This Row],[Dt Venc:]]-TODAY())</f>
        <v>37</v>
      </c>
      <c r="G6829" s="3"/>
      <c r="H6829" s="3"/>
    </row>
    <row r="6830" spans="1:8">
      <c r="A6830" s="3">
        <v>278385</v>
      </c>
      <c r="B6830" s="7" t="s">
        <v>36</v>
      </c>
      <c r="C6830" s="41">
        <v>603.46</v>
      </c>
      <c r="D6830" s="6">
        <v>45730</v>
      </c>
      <c r="E6830" s="3" t="str">
        <f ca="1">IF(Tabela2[[#This Row],[Dt Venc:]]&gt;TODAY(),"Em Aberto",IF(Tabela2[[#This Row],[D/venc]]="-","Enviado",IF(Tabela2[[#This Row],[Dt Venc:]]=TODAY(),"Vence Hoje","Vencida")))</f>
        <v>Em Aberto</v>
      </c>
      <c r="F6830" s="3">
        <f ca="1">IF(G6830=1,"-",Tabela2[[#This Row],[Dt Venc:]]-TODAY())</f>
        <v>37</v>
      </c>
      <c r="G6830" s="3"/>
      <c r="H6830" s="3"/>
    </row>
    <row r="6831" spans="1:8">
      <c r="A6831" s="3">
        <v>280547</v>
      </c>
      <c r="B6831" s="7" t="s">
        <v>43</v>
      </c>
      <c r="C6831" s="41">
        <v>3214.44</v>
      </c>
      <c r="D6831" s="6">
        <v>45730</v>
      </c>
      <c r="E6831" s="3" t="str">
        <f ca="1">IF(Tabela2[[#This Row],[Dt Venc:]]&gt;TODAY(),"Em Aberto",IF(Tabela2[[#This Row],[D/venc]]="-","Enviado",IF(Tabela2[[#This Row],[Dt Venc:]]=TODAY(),"Vence Hoje","Vencida")))</f>
        <v>Em Aberto</v>
      </c>
      <c r="F6831" s="3">
        <f ca="1">IF(G6831=1,"-",Tabela2[[#This Row],[Dt Venc:]]-TODAY())</f>
        <v>37</v>
      </c>
      <c r="G6831" s="3"/>
      <c r="H6831" s="3"/>
    </row>
    <row r="6832" spans="1:8">
      <c r="A6832" s="3">
        <v>305503</v>
      </c>
      <c r="B6832" s="7" t="s">
        <v>635</v>
      </c>
      <c r="C6832" s="41">
        <v>307.98</v>
      </c>
      <c r="D6832" s="6">
        <v>45730</v>
      </c>
      <c r="E6832" s="3" t="str">
        <f ca="1">IF(Tabela2[[#This Row],[Dt Venc:]]&gt;TODAY(),"Em Aberto",IF(Tabela2[[#This Row],[D/venc]]="-","Enviado",IF(Tabela2[[#This Row],[Dt Venc:]]=TODAY(),"Vence Hoje","Vencida")))</f>
        <v>Em Aberto</v>
      </c>
      <c r="F6832" s="3">
        <f ca="1">IF(G6832=1,"-",Tabela2[[#This Row],[Dt Venc:]]-TODAY())</f>
        <v>37</v>
      </c>
      <c r="G6832" s="3"/>
      <c r="H6832" s="3"/>
    </row>
    <row r="6833" spans="1:8">
      <c r="A6833" s="3">
        <v>400755</v>
      </c>
      <c r="B6833" s="7" t="s">
        <v>596</v>
      </c>
      <c r="C6833" s="41">
        <v>4067.07</v>
      </c>
      <c r="D6833" s="6">
        <v>45730</v>
      </c>
      <c r="E6833" s="3" t="str">
        <f ca="1">IF(Tabela2[[#This Row],[Dt Venc:]]&gt;TODAY(),"Em Aberto",IF(Tabela2[[#This Row],[D/venc]]="-","Enviado",IF(Tabela2[[#This Row],[Dt Venc:]]=TODAY(),"Vence Hoje","Vencida")))</f>
        <v>Em Aberto</v>
      </c>
      <c r="F6833" s="3">
        <f ca="1">IF(G6833=1,"-",Tabela2[[#This Row],[Dt Venc:]]-TODAY())</f>
        <v>37</v>
      </c>
      <c r="G6833" s="3"/>
      <c r="H6833" s="3"/>
    </row>
    <row r="6834" spans="1:8">
      <c r="A6834" s="3">
        <v>443157</v>
      </c>
      <c r="B6834" s="7" t="s">
        <v>601</v>
      </c>
      <c r="C6834" s="41">
        <v>2849</v>
      </c>
      <c r="D6834" s="6">
        <v>45730</v>
      </c>
      <c r="E6834" s="3" t="str">
        <f ca="1">IF(Tabela2[[#This Row],[Dt Venc:]]&gt;TODAY(),"Em Aberto",IF(Tabela2[[#This Row],[D/venc]]="-","Enviado",IF(Tabela2[[#This Row],[Dt Venc:]]=TODAY(),"Vence Hoje","Vencida")))</f>
        <v>Em Aberto</v>
      </c>
      <c r="F6834" s="3">
        <f ca="1">IF(G6834=1,"-",Tabela2[[#This Row],[Dt Venc:]]-TODAY())</f>
        <v>37</v>
      </c>
      <c r="G6834" s="3"/>
      <c r="H6834" s="3"/>
    </row>
    <row r="6835" spans="1:8">
      <c r="A6835" s="3">
        <v>617798</v>
      </c>
      <c r="B6835" s="7" t="s">
        <v>66</v>
      </c>
      <c r="C6835" s="41">
        <v>4486.43</v>
      </c>
      <c r="D6835" s="6">
        <v>45730</v>
      </c>
      <c r="E6835" s="3" t="str">
        <f ca="1">IF(Tabela2[[#This Row],[Dt Venc:]]&gt;TODAY(),"Em Aberto",IF(Tabela2[[#This Row],[D/venc]]="-","Enviado",IF(Tabela2[[#This Row],[Dt Venc:]]=TODAY(),"Vence Hoje","Vencida")))</f>
        <v>Em Aberto</v>
      </c>
      <c r="F6835" s="3">
        <f ca="1">IF(G6835=1,"-",Tabela2[[#This Row],[Dt Venc:]]-TODAY())</f>
        <v>37</v>
      </c>
      <c r="G6835" s="3"/>
      <c r="H6835" s="3"/>
    </row>
    <row r="6836" spans="1:8">
      <c r="A6836" s="3">
        <v>764562</v>
      </c>
      <c r="B6836" s="7" t="s">
        <v>127</v>
      </c>
      <c r="C6836" s="41">
        <v>543.01</v>
      </c>
      <c r="D6836" s="6">
        <v>45730</v>
      </c>
      <c r="E6836" s="3" t="str">
        <f ca="1">IF(Tabela2[[#This Row],[Dt Venc:]]&gt;TODAY(),"Em Aberto",IF(Tabela2[[#This Row],[D/venc]]="-","Enviado",IF(Tabela2[[#This Row],[Dt Venc:]]=TODAY(),"Vence Hoje","Vencida")))</f>
        <v>Em Aberto</v>
      </c>
      <c r="F6836" s="3">
        <f ca="1">IF(G6836=1,"-",Tabela2[[#This Row],[Dt Venc:]]-TODAY())</f>
        <v>37</v>
      </c>
      <c r="G6836" s="3"/>
      <c r="H6836" s="3"/>
    </row>
    <row r="6837" spans="1:8">
      <c r="A6837" s="3">
        <v>764562</v>
      </c>
      <c r="B6837" s="7" t="s">
        <v>127</v>
      </c>
      <c r="C6837" s="41">
        <v>543.01</v>
      </c>
      <c r="D6837" s="6">
        <v>45730</v>
      </c>
      <c r="E6837" s="3" t="str">
        <f ca="1">IF(Tabela2[[#This Row],[Dt Venc:]]&gt;TODAY(),"Em Aberto",IF(Tabela2[[#This Row],[D/venc]]="-","Enviado",IF(Tabela2[[#This Row],[Dt Venc:]]=TODAY(),"Vence Hoje","Vencida")))</f>
        <v>Em Aberto</v>
      </c>
      <c r="F6837" s="3">
        <f ca="1">IF(G6837=1,"-",Tabela2[[#This Row],[Dt Venc:]]-TODAY())</f>
        <v>37</v>
      </c>
      <c r="G6837" s="3"/>
      <c r="H6837" s="3"/>
    </row>
    <row r="6838" spans="1:8">
      <c r="A6838" s="3">
        <v>764565</v>
      </c>
      <c r="B6838" s="7" t="s">
        <v>127</v>
      </c>
      <c r="C6838" s="41">
        <v>543.01</v>
      </c>
      <c r="D6838" s="6">
        <v>45730</v>
      </c>
      <c r="E6838" s="3" t="str">
        <f ca="1">IF(Tabela2[[#This Row],[Dt Venc:]]&gt;TODAY(),"Em Aberto",IF(Tabela2[[#This Row],[D/venc]]="-","Enviado",IF(Tabela2[[#This Row],[Dt Venc:]]=TODAY(),"Vence Hoje","Vencida")))</f>
        <v>Em Aberto</v>
      </c>
      <c r="F6838" s="3">
        <f ca="1">IF(G6838=1,"-",Tabela2[[#This Row],[Dt Venc:]]-TODAY())</f>
        <v>37</v>
      </c>
      <c r="G6838" s="3"/>
      <c r="H6838" s="3"/>
    </row>
    <row r="6839" spans="1:8">
      <c r="A6839" s="3">
        <v>764565</v>
      </c>
      <c r="B6839" s="7" t="s">
        <v>127</v>
      </c>
      <c r="C6839" s="41">
        <v>543.01</v>
      </c>
      <c r="D6839" s="6">
        <v>45730</v>
      </c>
      <c r="E6839" s="3" t="str">
        <f ca="1">IF(Tabela2[[#This Row],[Dt Venc:]]&gt;TODAY(),"Em Aberto",IF(Tabela2[[#This Row],[D/venc]]="-","Enviado",IF(Tabela2[[#This Row],[Dt Venc:]]=TODAY(),"Vence Hoje","Vencida")))</f>
        <v>Em Aberto</v>
      </c>
      <c r="F6839" s="3">
        <f ca="1">IF(G6839=1,"-",Tabela2[[#This Row],[Dt Venc:]]-TODAY())</f>
        <v>37</v>
      </c>
      <c r="G6839" s="3"/>
      <c r="H6839" s="3"/>
    </row>
    <row r="6840" spans="1:8">
      <c r="A6840" s="3">
        <v>4718276</v>
      </c>
      <c r="B6840" s="7" t="s">
        <v>694</v>
      </c>
      <c r="C6840" s="41">
        <v>1190.3900000000001</v>
      </c>
      <c r="D6840" s="6">
        <v>45730</v>
      </c>
      <c r="E6840" s="3" t="str">
        <f ca="1">IF(Tabela2[[#This Row],[Dt Venc:]]&gt;TODAY(),"Em Aberto",IF(Tabela2[[#This Row],[D/venc]]="-","Enviado",IF(Tabela2[[#This Row],[Dt Venc:]]=TODAY(),"Vence Hoje","Vencida")))</f>
        <v>Em Aberto</v>
      </c>
      <c r="F6840" s="3">
        <f ca="1">IF(G6840=1,"-",Tabela2[[#This Row],[Dt Venc:]]-TODAY())</f>
        <v>37</v>
      </c>
      <c r="G6840" s="3"/>
      <c r="H6840" s="3"/>
    </row>
    <row r="6841" spans="1:8">
      <c r="A6841" s="3">
        <v>260390</v>
      </c>
      <c r="B6841" s="7" t="s">
        <v>49</v>
      </c>
      <c r="C6841" s="41">
        <v>1030</v>
      </c>
      <c r="D6841" s="6">
        <v>45730</v>
      </c>
      <c r="E6841" s="3" t="str">
        <f ca="1">IF(Tabela2[[#This Row],[Dt Venc:]]&gt;TODAY(),"Em Aberto",IF(Tabela2[[#This Row],[D/venc]]="-","Enviado",IF(Tabela2[[#This Row],[Dt Venc:]]=TODAY(),"Vence Hoje","Vencida")))</f>
        <v>Em Aberto</v>
      </c>
      <c r="F6841" s="3">
        <f ca="1">IF(G6841=1,"-",Tabela2[[#This Row],[Dt Venc:]]-TODAY())</f>
        <v>37</v>
      </c>
      <c r="G6841" s="3"/>
      <c r="H6841" s="3"/>
    </row>
    <row r="6842" spans="1:8">
      <c r="A6842" s="3">
        <v>59</v>
      </c>
      <c r="B6842" s="7" t="s">
        <v>173</v>
      </c>
      <c r="C6842" s="41">
        <v>1483.34</v>
      </c>
      <c r="D6842" s="6">
        <v>45731</v>
      </c>
      <c r="E6842" s="3" t="str">
        <f ca="1">IF(Tabela2[[#This Row],[Dt Venc:]]&gt;TODAY(),"Em Aberto",IF(Tabela2[[#This Row],[D/venc]]="-","Enviado",IF(Tabela2[[#This Row],[Dt Venc:]]=TODAY(),"Vence Hoje","Vencida")))</f>
        <v>Em Aberto</v>
      </c>
      <c r="F6842" s="3">
        <f ca="1">IF(G6842=1,"-",Tabela2[[#This Row],[Dt Venc:]]-TODAY())</f>
        <v>38</v>
      </c>
      <c r="G6842" s="3"/>
      <c r="H6842" s="3"/>
    </row>
    <row r="6843" spans="1:8">
      <c r="A6843" s="3">
        <v>562</v>
      </c>
      <c r="B6843" s="7" t="s">
        <v>251</v>
      </c>
      <c r="C6843" s="99" t="s">
        <v>32</v>
      </c>
      <c r="D6843" s="6">
        <v>45731</v>
      </c>
      <c r="E6843" s="3" t="str">
        <f ca="1">IF(Tabela2[[#This Row],[Dt Venc:]]&gt;TODAY(),"Em Aberto",IF(Tabela2[[#This Row],[D/venc]]="-","Enviado",IF(Tabela2[[#This Row],[Dt Venc:]]=TODAY(),"Vence Hoje","Vencida")))</f>
        <v>Em Aberto</v>
      </c>
      <c r="F6843" s="3">
        <f ca="1">IF(G6843=1,"-",Tabela2[[#This Row],[Dt Venc:]]-TODAY())</f>
        <v>38</v>
      </c>
      <c r="G6843" s="3"/>
      <c r="H6843" s="3"/>
    </row>
    <row r="6844" spans="1:8">
      <c r="A6844" s="3">
        <v>1064</v>
      </c>
      <c r="B6844" s="7" t="s">
        <v>546</v>
      </c>
      <c r="C6844" s="41">
        <v>39770</v>
      </c>
      <c r="D6844" s="6">
        <v>45731</v>
      </c>
      <c r="E6844" s="3" t="str">
        <f ca="1">IF(Tabela2[[#This Row],[Dt Venc:]]&gt;TODAY(),"Em Aberto",IF(Tabela2[[#This Row],[D/venc]]="-","Enviado",IF(Tabela2[[#This Row],[Dt Venc:]]=TODAY(),"Vence Hoje","Vencida")))</f>
        <v>Em Aberto</v>
      </c>
      <c r="F6844" s="3">
        <f ca="1">IF(G6844=1,"-",Tabela2[[#This Row],[Dt Venc:]]-TODAY())</f>
        <v>38</v>
      </c>
      <c r="G6844" s="3"/>
      <c r="H6844" s="3"/>
    </row>
    <row r="6845" spans="1:8">
      <c r="A6845" s="3">
        <v>5851</v>
      </c>
      <c r="B6845" s="7" t="s">
        <v>640</v>
      </c>
      <c r="C6845" s="41">
        <v>1905.7</v>
      </c>
      <c r="D6845" s="6">
        <v>45731</v>
      </c>
      <c r="E6845" s="3" t="str">
        <f ca="1">IF(Tabela2[[#This Row],[Dt Venc:]]&gt;TODAY(),"Em Aberto",IF(Tabela2[[#This Row],[D/venc]]="-","Enviado",IF(Tabela2[[#This Row],[Dt Venc:]]=TODAY(),"Vence Hoje","Vencida")))</f>
        <v>Em Aberto</v>
      </c>
      <c r="F6845" s="3">
        <f ca="1">IF(G6845=1,"-",Tabela2[[#This Row],[Dt Venc:]]-TODAY())</f>
        <v>38</v>
      </c>
      <c r="G6845" s="3"/>
      <c r="H6845" s="3"/>
    </row>
    <row r="6846" spans="1:8">
      <c r="A6846" s="3">
        <v>5851</v>
      </c>
      <c r="B6846" s="7" t="s">
        <v>685</v>
      </c>
      <c r="C6846" s="41">
        <v>1905.7</v>
      </c>
      <c r="D6846" s="6">
        <v>45731</v>
      </c>
      <c r="E6846" s="3" t="str">
        <f ca="1">IF(Tabela2[[#This Row],[Dt Venc:]]&gt;TODAY(),"Em Aberto",IF(Tabela2[[#This Row],[D/venc]]="-","Enviado",IF(Tabela2[[#This Row],[Dt Venc:]]=TODAY(),"Vence Hoje","Vencida")))</f>
        <v>Em Aberto</v>
      </c>
      <c r="F6846" s="3">
        <f ca="1">IF(G6846=1,"-",Tabela2[[#This Row],[Dt Venc:]]-TODAY())</f>
        <v>38</v>
      </c>
      <c r="G6846" s="3"/>
      <c r="H6846" s="3"/>
    </row>
    <row r="6847" spans="1:8">
      <c r="A6847" s="3">
        <v>6243</v>
      </c>
      <c r="B6847" s="7" t="s">
        <v>140</v>
      </c>
      <c r="C6847" s="41">
        <v>1423.33</v>
      </c>
      <c r="D6847" s="6">
        <v>45731</v>
      </c>
      <c r="E6847" s="3" t="str">
        <f ca="1">IF(Tabela2[[#This Row],[Dt Venc:]]&gt;TODAY(),"Em Aberto",IF(Tabela2[[#This Row],[D/venc]]="-","Enviado",IF(Tabela2[[#This Row],[Dt Venc:]]=TODAY(),"Vence Hoje","Vencida")))</f>
        <v>Em Aberto</v>
      </c>
      <c r="F6847" s="3">
        <f ca="1">IF(G6847=1,"-",Tabela2[[#This Row],[Dt Venc:]]-TODAY())</f>
        <v>38</v>
      </c>
      <c r="G6847" s="3"/>
      <c r="H6847" s="3"/>
    </row>
    <row r="6848" spans="1:8">
      <c r="A6848" s="3">
        <v>30317</v>
      </c>
      <c r="B6848" s="7" t="s">
        <v>107</v>
      </c>
      <c r="C6848" s="41">
        <v>1950</v>
      </c>
      <c r="D6848" s="6">
        <v>45731</v>
      </c>
      <c r="E6848" s="3" t="str">
        <f ca="1">IF(Tabela2[[#This Row],[Dt Venc:]]&gt;TODAY(),"Em Aberto",IF(Tabela2[[#This Row],[D/venc]]="-","Enviado",IF(Tabela2[[#This Row],[Dt Venc:]]=TODAY(),"Vence Hoje","Vencida")))</f>
        <v>Em Aberto</v>
      </c>
      <c r="F6848" s="3">
        <f ca="1">IF(G6848=1,"-",Tabela2[[#This Row],[Dt Venc:]]-TODAY())</f>
        <v>38</v>
      </c>
      <c r="G6848" s="3"/>
      <c r="H6848" s="3"/>
    </row>
    <row r="6849" spans="1:8">
      <c r="A6849" s="3">
        <v>31136</v>
      </c>
      <c r="B6849" s="7" t="s">
        <v>97</v>
      </c>
      <c r="C6849" s="41">
        <v>1370</v>
      </c>
      <c r="D6849" s="6">
        <v>45731</v>
      </c>
      <c r="E6849" s="3" t="str">
        <f ca="1">IF(Tabela2[[#This Row],[Dt Venc:]]&gt;TODAY(),"Em Aberto",IF(Tabela2[[#This Row],[D/venc]]="-","Enviado",IF(Tabela2[[#This Row],[Dt Venc:]]=TODAY(),"Vence Hoje","Vencida")))</f>
        <v>Em Aberto</v>
      </c>
      <c r="F6849" s="3">
        <f ca="1">IF(G6849=1,"-",Tabela2[[#This Row],[Dt Venc:]]-TODAY())</f>
        <v>38</v>
      </c>
      <c r="G6849" s="3"/>
      <c r="H6849" s="3"/>
    </row>
    <row r="6850" spans="1:8">
      <c r="A6850" s="3">
        <v>31250</v>
      </c>
      <c r="B6850" s="7" t="s">
        <v>97</v>
      </c>
      <c r="C6850" s="41">
        <v>2170</v>
      </c>
      <c r="D6850" s="6">
        <v>45731</v>
      </c>
      <c r="E6850" s="3" t="str">
        <f ca="1">IF(Tabela2[[#This Row],[Dt Venc:]]&gt;TODAY(),"Em Aberto",IF(Tabela2[[#This Row],[D/venc]]="-","Enviado",IF(Tabela2[[#This Row],[Dt Venc:]]=TODAY(),"Vence Hoje","Vencida")))</f>
        <v>Em Aberto</v>
      </c>
      <c r="F6850" s="3">
        <f ca="1">IF(G6850=1,"-",Tabela2[[#This Row],[Dt Venc:]]-TODAY())</f>
        <v>38</v>
      </c>
      <c r="G6850" s="3"/>
      <c r="H6850" s="3"/>
    </row>
    <row r="6851" spans="1:8">
      <c r="A6851" s="3">
        <v>36846</v>
      </c>
      <c r="B6851" s="7" t="s">
        <v>167</v>
      </c>
      <c r="C6851" s="99" t="s">
        <v>32</v>
      </c>
      <c r="D6851" s="6">
        <v>45731</v>
      </c>
      <c r="E6851" s="3" t="str">
        <f ca="1">IF(Tabela2[[#This Row],[Dt Venc:]]&gt;TODAY(),"Em Aberto",IF(Tabela2[[#This Row],[D/venc]]="-","Enviado",IF(Tabela2[[#This Row],[Dt Venc:]]=TODAY(),"Vence Hoje","Vencida")))</f>
        <v>Em Aberto</v>
      </c>
      <c r="F6851" s="3">
        <f ca="1">IF(G6851=1,"-",Tabela2[[#This Row],[Dt Venc:]]-TODAY())</f>
        <v>38</v>
      </c>
      <c r="G6851" s="3"/>
      <c r="H6851" s="3"/>
    </row>
    <row r="6852" spans="1:8">
      <c r="A6852" s="3">
        <v>103015</v>
      </c>
      <c r="B6852" s="7" t="s">
        <v>252</v>
      </c>
      <c r="C6852" s="99" t="s">
        <v>32</v>
      </c>
      <c r="D6852" s="6">
        <v>45731</v>
      </c>
      <c r="E6852" s="3" t="str">
        <f ca="1">IF(Tabela2[[#This Row],[Dt Venc:]]&gt;TODAY(),"Em Aberto",IF(Tabela2[[#This Row],[D/venc]]="-","Enviado",IF(Tabela2[[#This Row],[Dt Venc:]]=TODAY(),"Vence Hoje","Vencida")))</f>
        <v>Em Aberto</v>
      </c>
      <c r="F6852" s="3">
        <f ca="1">IF(G6852=1,"-",Tabela2[[#This Row],[Dt Venc:]]-TODAY())</f>
        <v>38</v>
      </c>
      <c r="G6852" s="3"/>
      <c r="H6852" s="3"/>
    </row>
    <row r="6853" spans="1:8">
      <c r="A6853" s="3">
        <v>103077</v>
      </c>
      <c r="B6853" s="7" t="s">
        <v>252</v>
      </c>
      <c r="C6853" s="99" t="s">
        <v>32</v>
      </c>
      <c r="D6853" s="6">
        <v>45731</v>
      </c>
      <c r="E6853" s="3" t="str">
        <f ca="1">IF(Tabela2[[#This Row],[Dt Venc:]]&gt;TODAY(),"Em Aberto",IF(Tabela2[[#This Row],[D/venc]]="-","Enviado",IF(Tabela2[[#This Row],[Dt Venc:]]=TODAY(),"Vence Hoje","Vencida")))</f>
        <v>Em Aberto</v>
      </c>
      <c r="F6853" s="3">
        <f ca="1">IF(G6853=1,"-",Tabela2[[#This Row],[Dt Venc:]]-TODAY())</f>
        <v>38</v>
      </c>
      <c r="G6853" s="3"/>
      <c r="H6853" s="3"/>
    </row>
    <row r="6854" spans="1:8">
      <c r="A6854" s="3">
        <v>103153</v>
      </c>
      <c r="B6854" s="7" t="s">
        <v>252</v>
      </c>
      <c r="C6854" s="85" t="s">
        <v>32</v>
      </c>
      <c r="D6854" s="6">
        <v>45731</v>
      </c>
      <c r="E6854" s="3" t="str">
        <f ca="1">IF(Tabela2[[#This Row],[Dt Venc:]]&gt;TODAY(),"Em Aberto",IF(Tabela2[[#This Row],[D/venc]]="-","Enviado",IF(Tabela2[[#This Row],[Dt Venc:]]=TODAY(),"Vence Hoje","Vencida")))</f>
        <v>Em Aberto</v>
      </c>
      <c r="F6854" s="3">
        <f ca="1">IF(G6854=1,"-",Tabela2[[#This Row],[Dt Venc:]]-TODAY())</f>
        <v>38</v>
      </c>
      <c r="G6854" s="3"/>
      <c r="H6854" s="3"/>
    </row>
    <row r="6855" spans="1:8">
      <c r="A6855" s="3">
        <v>103154</v>
      </c>
      <c r="B6855" s="7" t="s">
        <v>252</v>
      </c>
      <c r="C6855" s="99" t="s">
        <v>32</v>
      </c>
      <c r="D6855" s="6">
        <v>45731</v>
      </c>
      <c r="E6855" s="3" t="str">
        <f ca="1">IF(Tabela2[[#This Row],[Dt Venc:]]&gt;TODAY(),"Em Aberto",IF(Tabela2[[#This Row],[D/venc]]="-","Enviado",IF(Tabela2[[#This Row],[Dt Venc:]]=TODAY(),"Vence Hoje","Vencida")))</f>
        <v>Em Aberto</v>
      </c>
      <c r="F6855" s="3">
        <f ca="1">IF(G6855=1,"-",Tabela2[[#This Row],[Dt Venc:]]-TODAY())</f>
        <v>38</v>
      </c>
      <c r="G6855" s="3"/>
      <c r="H6855" s="3"/>
    </row>
    <row r="6856" spans="1:8">
      <c r="A6856" s="3">
        <v>106007</v>
      </c>
      <c r="B6856" s="7" t="s">
        <v>252</v>
      </c>
      <c r="C6856" s="99" t="s">
        <v>32</v>
      </c>
      <c r="D6856" s="6">
        <v>45731</v>
      </c>
      <c r="E6856" s="3" t="str">
        <f ca="1">IF(Tabela2[[#This Row],[Dt Venc:]]&gt;TODAY(),"Em Aberto",IF(Tabela2[[#This Row],[D/venc]]="-","Enviado",IF(Tabela2[[#This Row],[Dt Venc:]]=TODAY(),"Vence Hoje","Vencida")))</f>
        <v>Em Aberto</v>
      </c>
      <c r="F6856" s="3">
        <f ca="1">IF(G6856=1,"-",Tabela2[[#This Row],[Dt Venc:]]-TODAY())</f>
        <v>38</v>
      </c>
      <c r="G6856" s="3"/>
      <c r="H6856" s="3"/>
    </row>
    <row r="6857" spans="1:8">
      <c r="A6857" s="3">
        <v>106043</v>
      </c>
      <c r="B6857" s="7" t="s">
        <v>252</v>
      </c>
      <c r="C6857" s="99" t="s">
        <v>32</v>
      </c>
      <c r="D6857" s="6">
        <v>45731</v>
      </c>
      <c r="E6857" s="3" t="str">
        <f ca="1">IF(Tabela2[[#This Row],[Dt Venc:]]&gt;TODAY(),"Em Aberto",IF(Tabela2[[#This Row],[D/venc]]="-","Enviado",IF(Tabela2[[#This Row],[Dt Venc:]]=TODAY(),"Vence Hoje","Vencida")))</f>
        <v>Em Aberto</v>
      </c>
      <c r="F6857" s="3">
        <f ca="1">IF(G6857=1,"-",Tabela2[[#This Row],[Dt Venc:]]-TODAY())</f>
        <v>38</v>
      </c>
      <c r="G6857" s="3"/>
      <c r="H6857" s="3"/>
    </row>
    <row r="6858" spans="1:8">
      <c r="A6858" s="3">
        <v>107829</v>
      </c>
      <c r="B6858" s="7" t="s">
        <v>252</v>
      </c>
      <c r="C6858" s="99" t="s">
        <v>32</v>
      </c>
      <c r="D6858" s="6">
        <v>45731</v>
      </c>
      <c r="E6858" s="3" t="str">
        <f ca="1">IF(Tabela2[[#This Row],[Dt Venc:]]&gt;TODAY(),"Em Aberto",IF(Tabela2[[#This Row],[D/venc]]="-","Enviado",IF(Tabela2[[#This Row],[Dt Venc:]]=TODAY(),"Vence Hoje","Vencida")))</f>
        <v>Em Aberto</v>
      </c>
      <c r="F6858" s="3">
        <f ca="1">IF(G6858=1,"-",Tabela2[[#This Row],[Dt Venc:]]-TODAY())</f>
        <v>38</v>
      </c>
      <c r="G6858" s="3"/>
      <c r="H6858" s="3"/>
    </row>
    <row r="6859" spans="1:8">
      <c r="A6859" s="3">
        <v>107830</v>
      </c>
      <c r="B6859" s="7" t="s">
        <v>252</v>
      </c>
      <c r="C6859" s="85" t="s">
        <v>32</v>
      </c>
      <c r="D6859" s="6">
        <v>45731</v>
      </c>
      <c r="E6859" s="3" t="str">
        <f ca="1">IF(Tabela2[[#This Row],[Dt Venc:]]&gt;TODAY(),"Em Aberto",IF(Tabela2[[#This Row],[D/venc]]="-","Enviado",IF(Tabela2[[#This Row],[Dt Venc:]]=TODAY(),"Vence Hoje","Vencida")))</f>
        <v>Em Aberto</v>
      </c>
      <c r="F6859" s="3">
        <f ca="1">IF(G6859=1,"-",Tabela2[[#This Row],[Dt Venc:]]-TODAY())</f>
        <v>38</v>
      </c>
      <c r="G6859" s="3"/>
      <c r="H6859" s="3"/>
    </row>
    <row r="6860" spans="1:8">
      <c r="A6860" s="3">
        <v>107831</v>
      </c>
      <c r="B6860" s="7" t="s">
        <v>252</v>
      </c>
      <c r="C6860" s="99" t="s">
        <v>32</v>
      </c>
      <c r="D6860" s="6">
        <v>45731</v>
      </c>
      <c r="E6860" s="3" t="str">
        <f ca="1">IF(Tabela2[[#This Row],[Dt Venc:]]&gt;TODAY(),"Em Aberto",IF(Tabela2[[#This Row],[D/venc]]="-","Enviado",IF(Tabela2[[#This Row],[Dt Venc:]]=TODAY(),"Vence Hoje","Vencida")))</f>
        <v>Em Aberto</v>
      </c>
      <c r="F6860" s="3">
        <f ca="1">IF(G6860=1,"-",Tabela2[[#This Row],[Dt Venc:]]-TODAY())</f>
        <v>38</v>
      </c>
      <c r="G6860" s="3"/>
      <c r="H6860" s="3"/>
    </row>
    <row r="6861" spans="1:8">
      <c r="A6861" s="3">
        <v>107832</v>
      </c>
      <c r="B6861" s="7" t="s">
        <v>252</v>
      </c>
      <c r="C6861" s="99" t="s">
        <v>32</v>
      </c>
      <c r="D6861" s="6">
        <v>45731</v>
      </c>
      <c r="E6861" s="3" t="str">
        <f ca="1">IF(Tabela2[[#This Row],[Dt Venc:]]&gt;TODAY(),"Em Aberto",IF(Tabela2[[#This Row],[D/venc]]="-","Enviado",IF(Tabela2[[#This Row],[Dt Venc:]]=TODAY(),"Vence Hoje","Vencida")))</f>
        <v>Em Aberto</v>
      </c>
      <c r="F6861" s="3">
        <f ca="1">IF(G6861=1,"-",Tabela2[[#This Row],[Dt Venc:]]-TODAY())</f>
        <v>38</v>
      </c>
      <c r="G6861" s="3"/>
      <c r="H6861" s="3"/>
    </row>
    <row r="6862" spans="1:8">
      <c r="A6862" s="3">
        <v>229034</v>
      </c>
      <c r="B6862" s="7" t="s">
        <v>127</v>
      </c>
      <c r="C6862" s="41">
        <v>591.16</v>
      </c>
      <c r="D6862" s="6">
        <v>45731</v>
      </c>
      <c r="E6862" s="3" t="str">
        <f ca="1">IF(Tabela2[[#This Row],[Dt Venc:]]&gt;TODAY(),"Em Aberto",IF(Tabela2[[#This Row],[D/venc]]="-","Enviado",IF(Tabela2[[#This Row],[Dt Venc:]]=TODAY(),"Vence Hoje","Vencida")))</f>
        <v>Em Aberto</v>
      </c>
      <c r="F6862" s="3">
        <f ca="1">IF(G6862=1,"-",Tabela2[[#This Row],[Dt Venc:]]-TODAY())</f>
        <v>38</v>
      </c>
      <c r="G6862" s="3"/>
      <c r="H6862" s="3"/>
    </row>
    <row r="6863" spans="1:8">
      <c r="A6863" s="3">
        <v>361229</v>
      </c>
      <c r="B6863" s="7" t="s">
        <v>250</v>
      </c>
      <c r="C6863" s="99" t="s">
        <v>32</v>
      </c>
      <c r="D6863" s="6">
        <v>45731</v>
      </c>
      <c r="E6863" s="3" t="str">
        <f ca="1">IF(Tabela2[[#This Row],[Dt Venc:]]&gt;TODAY(),"Em Aberto",IF(Tabela2[[#This Row],[D/venc]]="-","Enviado",IF(Tabela2[[#This Row],[Dt Venc:]]=TODAY(),"Vence Hoje","Vencida")))</f>
        <v>Em Aberto</v>
      </c>
      <c r="F6863" s="3">
        <f ca="1">IF(G6863=1,"-",Tabela2[[#This Row],[Dt Venc:]]-TODAY())</f>
        <v>38</v>
      </c>
      <c r="G6863" s="3"/>
      <c r="H6863" s="3"/>
    </row>
    <row r="6864" spans="1:8">
      <c r="A6864" s="3">
        <v>361237</v>
      </c>
      <c r="B6864" s="7" t="s">
        <v>250</v>
      </c>
      <c r="C6864" s="99" t="s">
        <v>32</v>
      </c>
      <c r="D6864" s="6">
        <v>45731</v>
      </c>
      <c r="E6864" s="3" t="str">
        <f ca="1">IF(Tabela2[[#This Row],[Dt Venc:]]&gt;TODAY(),"Em Aberto",IF(Tabela2[[#This Row],[D/venc]]="-","Enviado",IF(Tabela2[[#This Row],[Dt Venc:]]=TODAY(),"Vence Hoje","Vencida")))</f>
        <v>Em Aberto</v>
      </c>
      <c r="F6864" s="3">
        <f ca="1">IF(G6864=1,"-",Tabela2[[#This Row],[Dt Venc:]]-TODAY())</f>
        <v>38</v>
      </c>
      <c r="G6864" s="3"/>
      <c r="H6864" s="3"/>
    </row>
    <row r="6865" spans="1:8">
      <c r="A6865" s="3">
        <v>365658</v>
      </c>
      <c r="B6865" s="7" t="s">
        <v>250</v>
      </c>
      <c r="C6865" s="99" t="s">
        <v>32</v>
      </c>
      <c r="D6865" s="6">
        <v>45731</v>
      </c>
      <c r="E6865" s="3" t="str">
        <f ca="1">IF(Tabela2[[#This Row],[Dt Venc:]]&gt;TODAY(),"Em Aberto",IF(Tabela2[[#This Row],[D/venc]]="-","Enviado",IF(Tabela2[[#This Row],[Dt Venc:]]=TODAY(),"Vence Hoje","Vencida")))</f>
        <v>Em Aberto</v>
      </c>
      <c r="F6865" s="3">
        <f ca="1">IF(G6865=1,"-",Tabela2[[#This Row],[Dt Venc:]]-TODAY())</f>
        <v>38</v>
      </c>
      <c r="G6865" s="3"/>
      <c r="H6865" s="3"/>
    </row>
    <row r="6866" spans="1:8">
      <c r="A6866" s="3">
        <v>365666</v>
      </c>
      <c r="B6866" s="7" t="s">
        <v>250</v>
      </c>
      <c r="C6866" s="99" t="s">
        <v>32</v>
      </c>
      <c r="D6866" s="6">
        <v>45731</v>
      </c>
      <c r="E6866" s="3" t="str">
        <f ca="1">IF(Tabela2[[#This Row],[Dt Venc:]]&gt;TODAY(),"Em Aberto",IF(Tabela2[[#This Row],[D/venc]]="-","Enviado",IF(Tabela2[[#This Row],[Dt Venc:]]=TODAY(),"Vence Hoje","Vencida")))</f>
        <v>Em Aberto</v>
      </c>
      <c r="F6866" s="3">
        <f ca="1">IF(G6866=1,"-",Tabela2[[#This Row],[Dt Venc:]]-TODAY())</f>
        <v>38</v>
      </c>
      <c r="G6866" s="3"/>
      <c r="H6866" s="3"/>
    </row>
    <row r="6867" spans="1:8">
      <c r="A6867" s="3">
        <v>365674</v>
      </c>
      <c r="B6867" s="7" t="s">
        <v>250</v>
      </c>
      <c r="C6867" s="99" t="s">
        <v>32</v>
      </c>
      <c r="D6867" s="6">
        <v>45731</v>
      </c>
      <c r="E6867" s="3" t="str">
        <f ca="1">IF(Tabela2[[#This Row],[Dt Venc:]]&gt;TODAY(),"Em Aberto",IF(Tabela2[[#This Row],[D/venc]]="-","Enviado",IF(Tabela2[[#This Row],[Dt Venc:]]=TODAY(),"Vence Hoje","Vencida")))</f>
        <v>Em Aberto</v>
      </c>
      <c r="F6867" s="3">
        <f ca="1">IF(G6867=1,"-",Tabela2[[#This Row],[Dt Venc:]]-TODAY())</f>
        <v>38</v>
      </c>
      <c r="G6867" s="3"/>
      <c r="H6867" s="3"/>
    </row>
    <row r="6868" spans="1:8">
      <c r="A6868" s="3">
        <v>365682</v>
      </c>
      <c r="B6868" s="7" t="s">
        <v>250</v>
      </c>
      <c r="C6868" s="99" t="s">
        <v>32</v>
      </c>
      <c r="D6868" s="6">
        <v>45731</v>
      </c>
      <c r="E6868" s="3" t="str">
        <f ca="1">IF(Tabela2[[#This Row],[Dt Venc:]]&gt;TODAY(),"Em Aberto",IF(Tabela2[[#This Row],[D/venc]]="-","Enviado",IF(Tabela2[[#This Row],[Dt Venc:]]=TODAY(),"Vence Hoje","Vencida")))</f>
        <v>Em Aberto</v>
      </c>
      <c r="F6868" s="3">
        <f ca="1">IF(G6868=1,"-",Tabela2[[#This Row],[Dt Venc:]]-TODAY())</f>
        <v>38</v>
      </c>
      <c r="G6868" s="3"/>
      <c r="H6868" s="3"/>
    </row>
    <row r="6869" spans="1:8">
      <c r="A6869" s="3">
        <v>748099</v>
      </c>
      <c r="B6869" s="7" t="s">
        <v>81</v>
      </c>
      <c r="C6869" s="99" t="s">
        <v>32</v>
      </c>
      <c r="D6869" s="6">
        <v>45731</v>
      </c>
      <c r="E6869" s="3" t="str">
        <f ca="1">IF(Tabela2[[#This Row],[Dt Venc:]]&gt;TODAY(),"Em Aberto",IF(Tabela2[[#This Row],[D/venc]]="-","Enviado",IF(Tabela2[[#This Row],[Dt Venc:]]=TODAY(),"Vence Hoje","Vencida")))</f>
        <v>Em Aberto</v>
      </c>
      <c r="F6869" s="3">
        <f ca="1">IF(G6869=1,"-",Tabela2[[#This Row],[Dt Venc:]]-TODAY())</f>
        <v>38</v>
      </c>
      <c r="G6869" s="3"/>
      <c r="H6869" s="3"/>
    </row>
    <row r="6870" spans="1:8">
      <c r="A6870" s="3">
        <v>880609</v>
      </c>
      <c r="B6870" s="7" t="s">
        <v>267</v>
      </c>
      <c r="C6870" s="42">
        <v>450</v>
      </c>
      <c r="D6870" s="6">
        <v>45731</v>
      </c>
      <c r="E6870" s="3" t="str">
        <f ca="1">IF(Tabela2[[#This Row],[Dt Venc:]]&gt;TODAY(),"Em Aberto",IF(Tabela2[[#This Row],[D/venc]]="-","Enviado",IF(Tabela2[[#This Row],[Dt Venc:]]=TODAY(),"Vence Hoje","Vencida")))</f>
        <v>Em Aberto</v>
      </c>
      <c r="F6870" s="3">
        <f ca="1">IF(G6870=1,"-",Tabela2[[#This Row],[Dt Venc:]]-TODAY())</f>
        <v>38</v>
      </c>
      <c r="G6870" s="3"/>
      <c r="H6870" s="3"/>
    </row>
    <row r="6871" spans="1:8">
      <c r="A6871" s="3">
        <v>892178</v>
      </c>
      <c r="B6871" s="7" t="s">
        <v>253</v>
      </c>
      <c r="C6871" s="99" t="s">
        <v>32</v>
      </c>
      <c r="D6871" s="6">
        <v>45731</v>
      </c>
      <c r="E6871" s="3" t="str">
        <f ca="1">IF(Tabela2[[#This Row],[Dt Venc:]]&gt;TODAY(),"Em Aberto",IF(Tabela2[[#This Row],[D/venc]]="-","Enviado",IF(Tabela2[[#This Row],[Dt Venc:]]=TODAY(),"Vence Hoje","Vencida")))</f>
        <v>Em Aberto</v>
      </c>
      <c r="F6871" s="3">
        <f ca="1">IF(G6871=1,"-",Tabela2[[#This Row],[Dt Venc:]]-TODAY())</f>
        <v>38</v>
      </c>
      <c r="G6871" s="3"/>
      <c r="H6871" s="3"/>
    </row>
    <row r="6872" spans="1:8">
      <c r="A6872" s="3">
        <v>894135</v>
      </c>
      <c r="B6872" s="7" t="s">
        <v>253</v>
      </c>
      <c r="C6872" s="99" t="s">
        <v>32</v>
      </c>
      <c r="D6872" s="6">
        <v>45731</v>
      </c>
      <c r="E6872" s="3" t="str">
        <f ca="1">IF(Tabela2[[#This Row],[Dt Venc:]]&gt;TODAY(),"Em Aberto",IF(Tabela2[[#This Row],[D/venc]]="-","Enviado",IF(Tabela2[[#This Row],[Dt Venc:]]=TODAY(),"Vence Hoje","Vencida")))</f>
        <v>Em Aberto</v>
      </c>
      <c r="F6872" s="3">
        <f ca="1">IF(G6872=1,"-",Tabela2[[#This Row],[Dt Venc:]]-TODAY())</f>
        <v>38</v>
      </c>
      <c r="G6872" s="3"/>
      <c r="H6872" s="3"/>
    </row>
    <row r="6873" spans="1:8">
      <c r="A6873" s="3">
        <v>896565</v>
      </c>
      <c r="B6873" s="7" t="s">
        <v>253</v>
      </c>
      <c r="C6873" s="99" t="s">
        <v>32</v>
      </c>
      <c r="D6873" s="6">
        <v>45731</v>
      </c>
      <c r="E6873" s="3" t="str">
        <f ca="1">IF(Tabela2[[#This Row],[Dt Venc:]]&gt;TODAY(),"Em Aberto",IF(Tabela2[[#This Row],[D/venc]]="-","Enviado",IF(Tabela2[[#This Row],[Dt Venc:]]=TODAY(),"Vence Hoje","Vencida")))</f>
        <v>Em Aberto</v>
      </c>
      <c r="F6873" s="3">
        <f ca="1">IF(G6873=1,"-",Tabela2[[#This Row],[Dt Venc:]]-TODAY())</f>
        <v>38</v>
      </c>
      <c r="G6873" s="3"/>
      <c r="H6873" s="3"/>
    </row>
    <row r="6874" spans="1:8">
      <c r="A6874" s="3">
        <v>900386</v>
      </c>
      <c r="B6874" s="7" t="s">
        <v>253</v>
      </c>
      <c r="C6874" s="99" t="s">
        <v>32</v>
      </c>
      <c r="D6874" s="6">
        <v>45731</v>
      </c>
      <c r="E6874" s="3" t="str">
        <f ca="1">IF(Tabela2[[#This Row],[Dt Venc:]]&gt;TODAY(),"Em Aberto",IF(Tabela2[[#This Row],[D/venc]]="-","Enviado",IF(Tabela2[[#This Row],[Dt Venc:]]=TODAY(),"Vence Hoje","Vencida")))</f>
        <v>Em Aberto</v>
      </c>
      <c r="F6874" s="3">
        <f ca="1">IF(G6874=1,"-",Tabela2[[#This Row],[Dt Venc:]]-TODAY())</f>
        <v>38</v>
      </c>
      <c r="G6874" s="3"/>
      <c r="H6874" s="3"/>
    </row>
    <row r="6875" spans="1:8">
      <c r="A6875" s="3">
        <v>901787</v>
      </c>
      <c r="B6875" s="7" t="s">
        <v>253</v>
      </c>
      <c r="C6875" s="99" t="s">
        <v>32</v>
      </c>
      <c r="D6875" s="6">
        <v>45731</v>
      </c>
      <c r="E6875" s="3" t="str">
        <f ca="1">IF(Tabela2[[#This Row],[Dt Venc:]]&gt;TODAY(),"Em Aberto",IF(Tabela2[[#This Row],[D/venc]]="-","Enviado",IF(Tabela2[[#This Row],[Dt Venc:]]=TODAY(),"Vence Hoje","Vencida")))</f>
        <v>Em Aberto</v>
      </c>
      <c r="F6875" s="3">
        <f ca="1">IF(G6875=1,"-",Tabela2[[#This Row],[Dt Venc:]]-TODAY())</f>
        <v>38</v>
      </c>
      <c r="G6875" s="3"/>
      <c r="H6875" s="3"/>
    </row>
    <row r="6876" spans="1:8">
      <c r="A6876" s="3">
        <v>901788</v>
      </c>
      <c r="B6876" s="7" t="s">
        <v>253</v>
      </c>
      <c r="C6876" s="99" t="s">
        <v>32</v>
      </c>
      <c r="D6876" s="6">
        <v>45731</v>
      </c>
      <c r="E6876" s="3" t="str">
        <f ca="1">IF(Tabela2[[#This Row],[Dt Venc:]]&gt;TODAY(),"Em Aberto",IF(Tabela2[[#This Row],[D/venc]]="-","Enviado",IF(Tabela2[[#This Row],[Dt Venc:]]=TODAY(),"Vence Hoje","Vencida")))</f>
        <v>Em Aberto</v>
      </c>
      <c r="F6876" s="3">
        <f ca="1">IF(G6876=1,"-",Tabela2[[#This Row],[Dt Venc:]]-TODAY())</f>
        <v>38</v>
      </c>
      <c r="G6876" s="3"/>
      <c r="H6876" s="3"/>
    </row>
    <row r="6877" spans="1:8">
      <c r="A6877" s="3">
        <v>901789</v>
      </c>
      <c r="B6877" s="7" t="s">
        <v>253</v>
      </c>
      <c r="C6877" s="99" t="s">
        <v>32</v>
      </c>
      <c r="D6877" s="6">
        <v>45731</v>
      </c>
      <c r="E6877" s="3" t="str">
        <f ca="1">IF(Tabela2[[#This Row],[Dt Venc:]]&gt;TODAY(),"Em Aberto",IF(Tabela2[[#This Row],[D/venc]]="-","Enviado",IF(Tabela2[[#This Row],[Dt Venc:]]=TODAY(),"Vence Hoje","Vencida")))</f>
        <v>Em Aberto</v>
      </c>
      <c r="F6877" s="3">
        <f ca="1">IF(G6877=1,"-",Tabela2[[#This Row],[Dt Venc:]]-TODAY())</f>
        <v>38</v>
      </c>
      <c r="G6877" s="3"/>
      <c r="H6877" s="3"/>
    </row>
    <row r="6878" spans="1:8">
      <c r="A6878" s="3">
        <v>912703</v>
      </c>
      <c r="B6878" s="7" t="s">
        <v>253</v>
      </c>
      <c r="C6878" s="99" t="s">
        <v>32</v>
      </c>
      <c r="D6878" s="6">
        <v>45731</v>
      </c>
      <c r="E6878" s="3" t="str">
        <f ca="1">IF(Tabela2[[#This Row],[Dt Venc:]]&gt;TODAY(),"Em Aberto",IF(Tabela2[[#This Row],[D/venc]]="-","Enviado",IF(Tabela2[[#This Row],[Dt Venc:]]=TODAY(),"Vence Hoje","Vencida")))</f>
        <v>Em Aberto</v>
      </c>
      <c r="F6878" s="3">
        <f ca="1">IF(G6878=1,"-",Tabela2[[#This Row],[Dt Venc:]]-TODAY())</f>
        <v>38</v>
      </c>
      <c r="G6878" s="3"/>
      <c r="H6878" s="3"/>
    </row>
    <row r="6879" spans="1:8">
      <c r="A6879" s="3">
        <v>912704</v>
      </c>
      <c r="B6879" s="7" t="s">
        <v>253</v>
      </c>
      <c r="C6879" s="99" t="s">
        <v>32</v>
      </c>
      <c r="D6879" s="6">
        <v>45731</v>
      </c>
      <c r="E6879" s="3" t="str">
        <f ca="1">IF(Tabela2[[#This Row],[Dt Venc:]]&gt;TODAY(),"Em Aberto",IF(Tabela2[[#This Row],[D/venc]]="-","Enviado",IF(Tabela2[[#This Row],[Dt Venc:]]=TODAY(),"Vence Hoje","Vencida")))</f>
        <v>Em Aberto</v>
      </c>
      <c r="F6879" s="3">
        <f ca="1">IF(G6879=1,"-",Tabela2[[#This Row],[Dt Venc:]]-TODAY())</f>
        <v>38</v>
      </c>
      <c r="G6879" s="3"/>
      <c r="H6879" s="3"/>
    </row>
    <row r="6880" spans="1:8">
      <c r="A6880" s="3">
        <v>919728</v>
      </c>
      <c r="B6880" s="7" t="s">
        <v>253</v>
      </c>
      <c r="C6880" s="87" t="s">
        <v>32</v>
      </c>
      <c r="D6880" s="6">
        <v>45731</v>
      </c>
      <c r="E6880" s="3" t="str">
        <f ca="1">IF(Tabela2[[#This Row],[Dt Venc:]]&gt;TODAY(),"Em Aberto",IF(Tabela2[[#This Row],[D/venc]]="-","Enviado",IF(Tabela2[[#This Row],[Dt Venc:]]=TODAY(),"Vence Hoje","Vencida")))</f>
        <v>Em Aberto</v>
      </c>
      <c r="F6880" s="3">
        <f ca="1">IF(G6880=1,"-",Tabela2[[#This Row],[Dt Venc:]]-TODAY())</f>
        <v>38</v>
      </c>
      <c r="G6880" s="3"/>
      <c r="H6880" s="3"/>
    </row>
    <row r="6881" spans="1:8">
      <c r="A6881" s="3">
        <v>919729</v>
      </c>
      <c r="B6881" s="7" t="s">
        <v>253</v>
      </c>
      <c r="C6881" s="87" t="s">
        <v>32</v>
      </c>
      <c r="D6881" s="6">
        <v>45731</v>
      </c>
      <c r="E6881" s="3" t="str">
        <f ca="1">IF(Tabela2[[#This Row],[Dt Venc:]]&gt;TODAY(),"Em Aberto",IF(Tabela2[[#This Row],[D/venc]]="-","Enviado",IF(Tabela2[[#This Row],[Dt Venc:]]=TODAY(),"Vence Hoje","Vencida")))</f>
        <v>Em Aberto</v>
      </c>
      <c r="F6881" s="3">
        <f ca="1">IF(G6881=1,"-",Tabela2[[#This Row],[Dt Venc:]]-TODAY())</f>
        <v>38</v>
      </c>
      <c r="G6881" s="3"/>
      <c r="H6881" s="3"/>
    </row>
    <row r="6882" spans="1:8">
      <c r="A6882" s="3" t="s">
        <v>179</v>
      </c>
      <c r="B6882" s="7" t="s">
        <v>265</v>
      </c>
      <c r="C6882" s="99" t="s">
        <v>32</v>
      </c>
      <c r="D6882" s="6">
        <v>45731</v>
      </c>
      <c r="E6882" s="3" t="str">
        <f ca="1">IF(Tabela2[[#This Row],[Dt Venc:]]&gt;TODAY(),"Em Aberto",IF(Tabela2[[#This Row],[D/venc]]="-","Enviado",IF(Tabela2[[#This Row],[Dt Venc:]]=TODAY(),"Vence Hoje","Vencida")))</f>
        <v>Em Aberto</v>
      </c>
      <c r="F6882" s="3">
        <f ca="1">IF(G6882=1,"-",Tabela2[[#This Row],[Dt Venc:]]-TODAY())</f>
        <v>38</v>
      </c>
      <c r="G6882" s="3"/>
      <c r="H6882" s="3"/>
    </row>
    <row r="6883" spans="1:8">
      <c r="A6883" s="3">
        <v>3565</v>
      </c>
      <c r="B6883" s="7" t="s">
        <v>290</v>
      </c>
      <c r="C6883" s="41">
        <v>2271.38</v>
      </c>
      <c r="D6883" s="6">
        <v>45731</v>
      </c>
      <c r="E6883" s="3" t="str">
        <f ca="1">IF(Tabela2[[#This Row],[Dt Venc:]]&gt;TODAY(),"Em Aberto",IF(Tabela2[[#This Row],[D/venc]]="-","Enviado",IF(Tabela2[[#This Row],[Dt Venc:]]=TODAY(),"Vence Hoje","Vencida")))</f>
        <v>Em Aberto</v>
      </c>
      <c r="F6883" s="3">
        <f ca="1">IF(G6883=1,"-",Tabela2[[#This Row],[Dt Venc:]]-TODAY())</f>
        <v>38</v>
      </c>
      <c r="G6883" s="3"/>
      <c r="H6883" s="3"/>
    </row>
    <row r="6884" spans="1:8">
      <c r="A6884" s="3">
        <v>1748</v>
      </c>
      <c r="B6884" s="7" t="s">
        <v>258</v>
      </c>
      <c r="C6884" s="41">
        <v>200</v>
      </c>
      <c r="D6884" s="6">
        <v>45732</v>
      </c>
      <c r="E6884" s="3" t="str">
        <f ca="1">IF(Tabela2[[#This Row],[Dt Venc:]]&gt;TODAY(),"Em Aberto",IF(Tabela2[[#This Row],[D/venc]]="-","Enviado",IF(Tabela2[[#This Row],[Dt Venc:]]=TODAY(),"Vence Hoje","Vencida")))</f>
        <v>Em Aberto</v>
      </c>
      <c r="F6884" s="3">
        <f ca="1">IF(G6884=1,"-",Tabela2[[#This Row],[Dt Venc:]]-TODAY())</f>
        <v>39</v>
      </c>
      <c r="G6884" s="3"/>
      <c r="H6884" s="3"/>
    </row>
    <row r="6885" spans="1:8">
      <c r="A6885" s="3">
        <v>6376</v>
      </c>
      <c r="B6885" s="7" t="s">
        <v>47</v>
      </c>
      <c r="C6885" s="41">
        <v>2895.74</v>
      </c>
      <c r="D6885" s="6">
        <v>45732</v>
      </c>
      <c r="E6885" s="3" t="str">
        <f ca="1">IF(Tabela2[[#This Row],[Dt Venc:]]&gt;TODAY(),"Em Aberto",IF(Tabela2[[#This Row],[D/venc]]="-","Enviado",IF(Tabela2[[#This Row],[Dt Venc:]]=TODAY(),"Vence Hoje","Vencida")))</f>
        <v>Em Aberto</v>
      </c>
      <c r="F6885" s="3">
        <f ca="1">IF(G6885=1,"-",Tabela2[[#This Row],[Dt Venc:]]-TODAY())</f>
        <v>39</v>
      </c>
      <c r="G6885" s="3"/>
      <c r="H6885" s="3"/>
    </row>
    <row r="6886" spans="1:8">
      <c r="A6886" s="3">
        <v>11339</v>
      </c>
      <c r="B6886" s="7" t="s">
        <v>33</v>
      </c>
      <c r="C6886" s="41">
        <v>800</v>
      </c>
      <c r="D6886" s="6">
        <v>45732</v>
      </c>
      <c r="E6886" s="3" t="str">
        <f ca="1">IF(Tabela2[[#This Row],[Dt Venc:]]&gt;TODAY(),"Em Aberto",IF(Tabela2[[#This Row],[D/venc]]="-","Enviado",IF(Tabela2[[#This Row],[Dt Venc:]]=TODAY(),"Vence Hoje","Vencida")))</f>
        <v>Em Aberto</v>
      </c>
      <c r="F6886" s="3">
        <f ca="1">IF(G6886=1,"-",Tabela2[[#This Row],[Dt Venc:]]-TODAY())</f>
        <v>39</v>
      </c>
      <c r="G6886" s="3"/>
      <c r="H6886" s="3"/>
    </row>
    <row r="6887" spans="1:8">
      <c r="A6887" s="3">
        <v>13028</v>
      </c>
      <c r="B6887" s="7" t="s">
        <v>72</v>
      </c>
      <c r="C6887" s="41">
        <v>1071.3399999999999</v>
      </c>
      <c r="D6887" s="6">
        <v>45732</v>
      </c>
      <c r="E6887" s="3" t="str">
        <f ca="1">IF(Tabela2[[#This Row],[Dt Venc:]]&gt;TODAY(),"Em Aberto",IF(Tabela2[[#This Row],[D/venc]]="-","Enviado",IF(Tabela2[[#This Row],[Dt Venc:]]=TODAY(),"Vence Hoje","Vencida")))</f>
        <v>Em Aberto</v>
      </c>
      <c r="F6887" s="3">
        <f ca="1">IF(G6887=1,"-",Tabela2[[#This Row],[Dt Venc:]]-TODAY())</f>
        <v>39</v>
      </c>
      <c r="G6887" s="3"/>
      <c r="H6887" s="3"/>
    </row>
    <row r="6888" spans="1:8">
      <c r="A6888" s="3">
        <v>31298</v>
      </c>
      <c r="B6888" s="7" t="s">
        <v>97</v>
      </c>
      <c r="C6888" s="41">
        <v>2285</v>
      </c>
      <c r="D6888" s="6">
        <v>45732</v>
      </c>
      <c r="E6888" s="3" t="str">
        <f ca="1">IF(Tabela2[[#This Row],[Dt Venc:]]&gt;TODAY(),"Em Aberto",IF(Tabela2[[#This Row],[D/venc]]="-","Enviado",IF(Tabela2[[#This Row],[Dt Venc:]]=TODAY(),"Vence Hoje","Vencida")))</f>
        <v>Em Aberto</v>
      </c>
      <c r="F6888" s="3">
        <f ca="1">IF(G6888=1,"-",Tabela2[[#This Row],[Dt Venc:]]-TODAY())</f>
        <v>39</v>
      </c>
      <c r="G6888" s="3"/>
      <c r="H6888" s="3"/>
    </row>
    <row r="6889" spans="1:8">
      <c r="A6889" s="3">
        <v>155207</v>
      </c>
      <c r="B6889" s="7" t="s">
        <v>77</v>
      </c>
      <c r="C6889" s="41">
        <v>433.33</v>
      </c>
      <c r="D6889" s="6">
        <v>45732</v>
      </c>
      <c r="E6889" s="3" t="str">
        <f ca="1">IF(Tabela2[[#This Row],[Dt Venc:]]&gt;TODAY(),"Em Aberto",IF(Tabela2[[#This Row],[D/venc]]="-","Enviado",IF(Tabela2[[#This Row],[Dt Venc:]]=TODAY(),"Vence Hoje","Vencida")))</f>
        <v>Em Aberto</v>
      </c>
      <c r="F6889" s="3">
        <f ca="1">IF(G6889=1,"-",Tabela2[[#This Row],[Dt Venc:]]-TODAY())</f>
        <v>39</v>
      </c>
      <c r="G6889" s="3"/>
      <c r="H6889" s="3"/>
    </row>
    <row r="6890" spans="1:8">
      <c r="A6890" s="3">
        <v>155695</v>
      </c>
      <c r="B6890" s="7" t="s">
        <v>486</v>
      </c>
      <c r="C6890" s="41">
        <v>1722</v>
      </c>
      <c r="D6890" s="6">
        <v>45732</v>
      </c>
      <c r="E6890" s="3" t="str">
        <f ca="1">IF(Tabela2[[#This Row],[Dt Venc:]]&gt;TODAY(),"Em Aberto",IF(Tabela2[[#This Row],[D/venc]]="-","Enviado",IF(Tabela2[[#This Row],[Dt Venc:]]=TODAY(),"Vence Hoje","Vencida")))</f>
        <v>Em Aberto</v>
      </c>
      <c r="F6890" s="3">
        <f ca="1">IF(G6890=1,"-",Tabela2[[#This Row],[Dt Venc:]]-TODAY())</f>
        <v>39</v>
      </c>
      <c r="G6890" s="3"/>
      <c r="H6890" s="3"/>
    </row>
    <row r="6891" spans="1:8">
      <c r="A6891" s="3">
        <v>155872</v>
      </c>
      <c r="B6891" s="7" t="s">
        <v>77</v>
      </c>
      <c r="C6891" s="41">
        <v>1233.33</v>
      </c>
      <c r="D6891" s="6">
        <v>45732</v>
      </c>
      <c r="E6891" s="3" t="str">
        <f ca="1">IF(Tabela2[[#This Row],[Dt Venc:]]&gt;TODAY(),"Em Aberto",IF(Tabela2[[#This Row],[D/venc]]="-","Enviado",IF(Tabela2[[#This Row],[Dt Venc:]]=TODAY(),"Vence Hoje","Vencida")))</f>
        <v>Em Aberto</v>
      </c>
      <c r="F6891" s="3">
        <f ca="1">IF(G6891=1,"-",Tabela2[[#This Row],[Dt Venc:]]-TODAY())</f>
        <v>39</v>
      </c>
      <c r="G6891" s="3"/>
      <c r="H6891" s="3"/>
    </row>
    <row r="6892" spans="1:8">
      <c r="A6892" s="3">
        <v>155890</v>
      </c>
      <c r="B6892" s="7" t="s">
        <v>77</v>
      </c>
      <c r="C6892" s="41">
        <v>1233.33</v>
      </c>
      <c r="D6892" s="6">
        <v>45732</v>
      </c>
      <c r="E6892" s="3" t="str">
        <f ca="1">IF(Tabela2[[#This Row],[Dt Venc:]]&gt;TODAY(),"Em Aberto",IF(Tabela2[[#This Row],[D/venc]]="-","Enviado",IF(Tabela2[[#This Row],[Dt Venc:]]=TODAY(),"Vence Hoje","Vencida")))</f>
        <v>Em Aberto</v>
      </c>
      <c r="F6892" s="3">
        <f ca="1">IF(G6892=1,"-",Tabela2[[#This Row],[Dt Venc:]]-TODAY())</f>
        <v>39</v>
      </c>
      <c r="G6892" s="3"/>
      <c r="H6892" s="3"/>
    </row>
    <row r="6893" spans="1:8">
      <c r="A6893" s="3">
        <v>330499</v>
      </c>
      <c r="B6893" s="7" t="s">
        <v>77</v>
      </c>
      <c r="C6893" s="41">
        <v>1736.931</v>
      </c>
      <c r="D6893" s="6">
        <v>45732</v>
      </c>
      <c r="E6893" s="3" t="str">
        <f ca="1">IF(Tabela2[[#This Row],[Dt Venc:]]&gt;TODAY(),"Em Aberto",IF(Tabela2[[#This Row],[D/venc]]="-","Enviado",IF(Tabela2[[#This Row],[Dt Venc:]]=TODAY(),"Vence Hoje","Vencida")))</f>
        <v>Em Aberto</v>
      </c>
      <c r="F6893" s="3">
        <f ca="1">IF(G6893=1,"-",Tabela2[[#This Row],[Dt Venc:]]-TODAY())</f>
        <v>39</v>
      </c>
      <c r="G6893" s="3"/>
      <c r="H6893" s="3"/>
    </row>
    <row r="6894" spans="1:8">
      <c r="A6894" s="3">
        <v>331733</v>
      </c>
      <c r="B6894" s="7" t="s">
        <v>77</v>
      </c>
      <c r="C6894" s="41">
        <v>438.33</v>
      </c>
      <c r="D6894" s="6">
        <v>45732</v>
      </c>
      <c r="E6894" s="3" t="str">
        <f ca="1">IF(Tabela2[[#This Row],[Dt Venc:]]&gt;TODAY(),"Em Aberto",IF(Tabela2[[#This Row],[D/venc]]="-","Enviado",IF(Tabela2[[#This Row],[Dt Venc:]]=TODAY(),"Vence Hoje","Vencida")))</f>
        <v>Em Aberto</v>
      </c>
      <c r="F6894" s="3">
        <f ca="1">IF(G6894=1,"-",Tabela2[[#This Row],[Dt Venc:]]-TODAY())</f>
        <v>39</v>
      </c>
      <c r="G6894" s="3"/>
      <c r="H6894" s="3"/>
    </row>
    <row r="6895" spans="1:8">
      <c r="A6895" s="3">
        <v>381596</v>
      </c>
      <c r="B6895" s="7" t="s">
        <v>567</v>
      </c>
      <c r="C6895" s="41">
        <v>657.87</v>
      </c>
      <c r="D6895" s="6">
        <v>45732</v>
      </c>
      <c r="E6895" s="3" t="str">
        <f ca="1">IF(Tabela2[[#This Row],[Dt Venc:]]&gt;TODAY(),"Em Aberto",IF(Tabela2[[#This Row],[D/venc]]="-","Enviado",IF(Tabela2[[#This Row],[Dt Venc:]]=TODAY(),"Vence Hoje","Vencida")))</f>
        <v>Em Aberto</v>
      </c>
      <c r="F6895" s="3">
        <f ca="1">IF(G6895=1,"-",Tabela2[[#This Row],[Dt Venc:]]-TODAY())</f>
        <v>39</v>
      </c>
      <c r="G6895" s="3"/>
      <c r="H6895" s="3"/>
    </row>
    <row r="6896" spans="1:8">
      <c r="A6896" s="3">
        <v>450617</v>
      </c>
      <c r="B6896" s="7" t="s">
        <v>512</v>
      </c>
      <c r="C6896" s="41">
        <v>631.77</v>
      </c>
      <c r="D6896" s="6">
        <v>45732</v>
      </c>
      <c r="E6896" s="3" t="str">
        <f ca="1">IF(Tabela2[[#This Row],[Dt Venc:]]&gt;TODAY(),"Em Aberto",IF(Tabela2[[#This Row],[D/venc]]="-","Enviado",IF(Tabela2[[#This Row],[Dt Venc:]]=TODAY(),"Vence Hoje","Vencida")))</f>
        <v>Em Aberto</v>
      </c>
      <c r="F6896" s="3">
        <f ca="1">IF(G6896=1,"-",Tabela2[[#This Row],[Dt Venc:]]-TODAY())</f>
        <v>39</v>
      </c>
      <c r="G6896" s="3"/>
      <c r="H6896" s="3"/>
    </row>
    <row r="6897" spans="1:8">
      <c r="A6897" s="3">
        <v>31502</v>
      </c>
      <c r="B6897" s="7" t="s">
        <v>97</v>
      </c>
      <c r="C6897" s="41">
        <v>914</v>
      </c>
      <c r="D6897" s="6">
        <v>45732</v>
      </c>
      <c r="E6897" s="3" t="str">
        <f ca="1">IF(Tabela2[[#This Row],[Dt Venc:]]&gt;TODAY(),"Em Aberto",IF(Tabela2[[#This Row],[D/venc]]="-","Enviado",IF(Tabela2[[#This Row],[Dt Venc:]]=TODAY(),"Vence Hoje","Vencida")))</f>
        <v>Em Aberto</v>
      </c>
      <c r="F6897" s="3">
        <f ca="1">IF(G6897=1,"-",Tabela2[[#This Row],[Dt Venc:]]-TODAY())</f>
        <v>39</v>
      </c>
      <c r="G6897" s="3"/>
      <c r="H6897" s="3"/>
    </row>
    <row r="6898" spans="1:8">
      <c r="A6898" s="3">
        <v>2076</v>
      </c>
      <c r="B6898" s="7" t="s">
        <v>477</v>
      </c>
      <c r="C6898" s="41">
        <v>616.97</v>
      </c>
      <c r="D6898" s="6">
        <v>45732</v>
      </c>
      <c r="E6898" s="3" t="str">
        <f ca="1">IF(Tabela2[[#This Row],[Dt Venc:]]&gt;TODAY(),"Em Aberto",IF(Tabela2[[#This Row],[D/venc]]="-","Enviado",IF(Tabela2[[#This Row],[Dt Venc:]]=TODAY(),"Vence Hoje","Vencida")))</f>
        <v>Em Aberto</v>
      </c>
      <c r="F6898" s="3">
        <f ca="1">IF(G6898=1,"-",Tabela2[[#This Row],[Dt Venc:]]-TODAY())</f>
        <v>39</v>
      </c>
      <c r="G6898" s="3"/>
      <c r="H6898" s="3"/>
    </row>
    <row r="6899" spans="1:8">
      <c r="A6899" s="3">
        <v>2076</v>
      </c>
      <c r="B6899" s="7" t="s">
        <v>477</v>
      </c>
      <c r="C6899" s="41">
        <v>616.97</v>
      </c>
      <c r="D6899" s="6">
        <v>45732</v>
      </c>
      <c r="E6899" s="3" t="str">
        <f ca="1">IF(Tabela2[[#This Row],[Dt Venc:]]&gt;TODAY(),"Em Aberto",IF(Tabela2[[#This Row],[D/venc]]="-","Enviado",IF(Tabela2[[#This Row],[Dt Venc:]]=TODAY(),"Vence Hoje","Vencida")))</f>
        <v>Em Aberto</v>
      </c>
      <c r="F6899" s="3">
        <f ca="1">IF(G6899=1,"-",Tabela2[[#This Row],[Dt Venc:]]-TODAY())</f>
        <v>39</v>
      </c>
      <c r="G6899" s="3"/>
      <c r="H6899" s="3"/>
    </row>
    <row r="6900" spans="1:8">
      <c r="A6900" s="3">
        <v>61</v>
      </c>
      <c r="B6900" s="7" t="s">
        <v>103</v>
      </c>
      <c r="C6900" s="41">
        <v>433.34</v>
      </c>
      <c r="D6900" s="6">
        <v>45733</v>
      </c>
      <c r="E6900" s="3" t="str">
        <f ca="1">IF(Tabela2[[#This Row],[Dt Venc:]]&gt;TODAY(),"Em Aberto",IF(Tabela2[[#This Row],[D/venc]]="-","Enviado",IF(Tabela2[[#This Row],[Dt Venc:]]=TODAY(),"Vence Hoje","Vencida")))</f>
        <v>Em Aberto</v>
      </c>
      <c r="F6900" s="3">
        <f ca="1">IF(G6900=1,"-",Tabela2[[#This Row],[Dt Venc:]]-TODAY())</f>
        <v>40</v>
      </c>
      <c r="G6900" s="3"/>
      <c r="H6900" s="3"/>
    </row>
    <row r="6901" spans="1:8">
      <c r="A6901" s="3">
        <v>1131</v>
      </c>
      <c r="B6901" s="7" t="s">
        <v>703</v>
      </c>
      <c r="C6901" s="41">
        <v>8593.33</v>
      </c>
      <c r="D6901" s="6">
        <v>45733</v>
      </c>
      <c r="E6901" s="3" t="str">
        <f ca="1">IF(Tabela2[[#This Row],[Dt Venc:]]&gt;TODAY(),"Em Aberto",IF(Tabela2[[#This Row],[D/venc]]="-","Enviado",IF(Tabela2[[#This Row],[Dt Venc:]]=TODAY(),"Vence Hoje","Vencida")))</f>
        <v>Em Aberto</v>
      </c>
      <c r="F6901" s="3">
        <f ca="1">IF(G6901=1,"-",Tabela2[[#This Row],[Dt Venc:]]-TODAY())</f>
        <v>40</v>
      </c>
      <c r="G6901" s="3"/>
      <c r="H6901" s="3"/>
    </row>
    <row r="6902" spans="1:8">
      <c r="A6902" s="3">
        <v>1791</v>
      </c>
      <c r="B6902" s="7" t="s">
        <v>560</v>
      </c>
      <c r="C6902" s="41">
        <v>462.5</v>
      </c>
      <c r="D6902" s="6">
        <v>45733</v>
      </c>
      <c r="E6902" s="3" t="str">
        <f ca="1">IF(Tabela2[[#This Row],[Dt Venc:]]&gt;TODAY(),"Em Aberto",IF(Tabela2[[#This Row],[D/venc]]="-","Enviado",IF(Tabela2[[#This Row],[Dt Venc:]]=TODAY(),"Vence Hoje","Vencida")))</f>
        <v>Em Aberto</v>
      </c>
      <c r="F6902" s="3">
        <f ca="1">IF(G6902=1,"-",Tabela2[[#This Row],[Dt Venc:]]-TODAY())</f>
        <v>40</v>
      </c>
      <c r="G6902" s="3"/>
      <c r="H6902" s="3"/>
    </row>
    <row r="6903" spans="1:8">
      <c r="A6903" s="3">
        <v>2919</v>
      </c>
      <c r="B6903" s="7" t="s">
        <v>58</v>
      </c>
      <c r="C6903" s="41">
        <v>2195.8000000000002</v>
      </c>
      <c r="D6903" s="6">
        <v>45733</v>
      </c>
      <c r="E6903" s="3" t="str">
        <f ca="1">IF(Tabela2[[#This Row],[Dt Venc:]]&gt;TODAY(),"Em Aberto",IF(Tabela2[[#This Row],[D/venc]]="-","Enviado",IF(Tabela2[[#This Row],[Dt Venc:]]=TODAY(),"Vence Hoje","Vencida")))</f>
        <v>Em Aberto</v>
      </c>
      <c r="F6903" s="3">
        <f ca="1">IF(G6903=1,"-",Tabela2[[#This Row],[Dt Venc:]]-TODAY())</f>
        <v>40</v>
      </c>
      <c r="G6903" s="3"/>
      <c r="H6903" s="3"/>
    </row>
    <row r="6904" spans="1:8">
      <c r="A6904" s="3">
        <v>6389</v>
      </c>
      <c r="B6904" s="7" t="s">
        <v>47</v>
      </c>
      <c r="C6904" s="41">
        <v>2028.67</v>
      </c>
      <c r="D6904" s="6">
        <v>45733</v>
      </c>
      <c r="E6904" s="3" t="str">
        <f ca="1">IF(Tabela2[[#This Row],[Dt Venc:]]&gt;TODAY(),"Em Aberto",IF(Tabela2[[#This Row],[D/venc]]="-","Enviado",IF(Tabela2[[#This Row],[Dt Venc:]]=TODAY(),"Vence Hoje","Vencida")))</f>
        <v>Em Aberto</v>
      </c>
      <c r="F6904" s="3">
        <f ca="1">IF(G6904=1,"-",Tabela2[[#This Row],[Dt Venc:]]-TODAY())</f>
        <v>40</v>
      </c>
      <c r="G6904" s="3"/>
      <c r="H6904" s="3"/>
    </row>
    <row r="6905" spans="1:8">
      <c r="A6905" s="3">
        <v>8374</v>
      </c>
      <c r="B6905" s="7" t="s">
        <v>623</v>
      </c>
      <c r="C6905" s="41">
        <v>833.34</v>
      </c>
      <c r="D6905" s="6">
        <v>45733</v>
      </c>
      <c r="E6905" s="3" t="str">
        <f ca="1">IF(Tabela2[[#This Row],[Dt Venc:]]&gt;TODAY(),"Em Aberto",IF(Tabela2[[#This Row],[D/venc]]="-","Enviado",IF(Tabela2[[#This Row],[Dt Venc:]]=TODAY(),"Vence Hoje","Vencida")))</f>
        <v>Em Aberto</v>
      </c>
      <c r="F6905" s="3">
        <f ca="1">IF(G6905=1,"-",Tabela2[[#This Row],[Dt Venc:]]-TODAY())</f>
        <v>40</v>
      </c>
      <c r="G6905" s="3"/>
      <c r="H6905" s="3"/>
    </row>
    <row r="6906" spans="1:8">
      <c r="A6906" s="3">
        <v>11242</v>
      </c>
      <c r="B6906" s="7" t="s">
        <v>33</v>
      </c>
      <c r="C6906" s="41">
        <v>1993.3</v>
      </c>
      <c r="D6906" s="6">
        <v>45733</v>
      </c>
      <c r="E6906" s="3" t="str">
        <f ca="1">IF(Tabela2[[#This Row],[Dt Venc:]]&gt;TODAY(),"Em Aberto",IF(Tabela2[[#This Row],[D/venc]]="-","Enviado",IF(Tabela2[[#This Row],[Dt Venc:]]=TODAY(),"Vence Hoje","Vencida")))</f>
        <v>Em Aberto</v>
      </c>
      <c r="F6906" s="3">
        <f ca="1">IF(G6906=1,"-",Tabela2[[#This Row],[Dt Venc:]]-TODAY())</f>
        <v>40</v>
      </c>
      <c r="G6906" s="3"/>
      <c r="H6906" s="3"/>
    </row>
    <row r="6907" spans="1:8">
      <c r="A6907" s="3">
        <v>11345</v>
      </c>
      <c r="B6907" s="7" t="s">
        <v>33</v>
      </c>
      <c r="C6907" s="41">
        <v>1200</v>
      </c>
      <c r="D6907" s="6">
        <v>45733</v>
      </c>
      <c r="E6907" s="3" t="str">
        <f ca="1">IF(Tabela2[[#This Row],[Dt Venc:]]&gt;TODAY(),"Em Aberto",IF(Tabela2[[#This Row],[D/venc]]="-","Enviado",IF(Tabela2[[#This Row],[Dt Venc:]]=TODAY(),"Vence Hoje","Vencida")))</f>
        <v>Em Aberto</v>
      </c>
      <c r="F6907" s="3">
        <f ca="1">IF(G6907=1,"-",Tabela2[[#This Row],[Dt Venc:]]-TODAY())</f>
        <v>40</v>
      </c>
      <c r="G6907" s="3"/>
      <c r="H6907" s="3"/>
    </row>
    <row r="6908" spans="1:8">
      <c r="A6908" s="3">
        <v>15422</v>
      </c>
      <c r="B6908" s="7" t="s">
        <v>44</v>
      </c>
      <c r="C6908" s="41">
        <v>850</v>
      </c>
      <c r="D6908" s="6">
        <v>45733</v>
      </c>
      <c r="E6908" s="3" t="str">
        <f ca="1">IF(Tabela2[[#This Row],[Dt Venc:]]&gt;TODAY(),"Em Aberto",IF(Tabela2[[#This Row],[D/venc]]="-","Enviado",IF(Tabela2[[#This Row],[Dt Venc:]]=TODAY(),"Vence Hoje","Vencida")))</f>
        <v>Em Aberto</v>
      </c>
      <c r="F6908" s="3">
        <f ca="1">IF(G6908=1,"-",Tabela2[[#This Row],[Dt Venc:]]-TODAY())</f>
        <v>40</v>
      </c>
      <c r="G6908" s="3"/>
      <c r="H6908" s="3"/>
    </row>
    <row r="6909" spans="1:8">
      <c r="A6909" s="3">
        <v>24208</v>
      </c>
      <c r="B6909" s="7" t="s">
        <v>38</v>
      </c>
      <c r="C6909" s="41">
        <v>1020</v>
      </c>
      <c r="D6909" s="6">
        <v>45733</v>
      </c>
      <c r="E6909" s="3" t="str">
        <f ca="1">IF(Tabela2[[#This Row],[Dt Venc:]]&gt;TODAY(),"Em Aberto",IF(Tabela2[[#This Row],[D/venc]]="-","Enviado",IF(Tabela2[[#This Row],[Dt Venc:]]=TODAY(),"Vence Hoje","Vencida")))</f>
        <v>Em Aberto</v>
      </c>
      <c r="F6909" s="3">
        <f ca="1">IF(G6909=1,"-",Tabela2[[#This Row],[Dt Venc:]]-TODAY())</f>
        <v>40</v>
      </c>
      <c r="G6909" s="3"/>
      <c r="H6909" s="3"/>
    </row>
    <row r="6910" spans="1:8">
      <c r="A6910" s="3">
        <v>24411</v>
      </c>
      <c r="B6910" s="7" t="s">
        <v>38</v>
      </c>
      <c r="C6910" s="41">
        <v>455.93</v>
      </c>
      <c r="D6910" s="6">
        <v>45733</v>
      </c>
      <c r="E6910" s="3" t="str">
        <f ca="1">IF(Tabela2[[#This Row],[Dt Venc:]]&gt;TODAY(),"Em Aberto",IF(Tabela2[[#This Row],[D/venc]]="-","Enviado",IF(Tabela2[[#This Row],[Dt Venc:]]=TODAY(),"Vence Hoje","Vencida")))</f>
        <v>Em Aberto</v>
      </c>
      <c r="F6910" s="3">
        <f ca="1">IF(G6910=1,"-",Tabela2[[#This Row],[Dt Venc:]]-TODAY())</f>
        <v>40</v>
      </c>
      <c r="G6910" s="3"/>
      <c r="H6910" s="3"/>
    </row>
    <row r="6911" spans="1:8">
      <c r="A6911" s="3">
        <v>30374</v>
      </c>
      <c r="B6911" s="7" t="s">
        <v>226</v>
      </c>
      <c r="C6911" s="41">
        <v>2730</v>
      </c>
      <c r="D6911" s="6">
        <v>45733</v>
      </c>
      <c r="E6911" s="3" t="str">
        <f ca="1">IF(Tabela2[[#This Row],[Dt Venc:]]&gt;TODAY(),"Em Aberto",IF(Tabela2[[#This Row],[D/venc]]="-","Enviado",IF(Tabela2[[#This Row],[Dt Venc:]]=TODAY(),"Vence Hoje","Vencida")))</f>
        <v>Em Aberto</v>
      </c>
      <c r="F6911" s="3">
        <f ca="1">IF(G6911=1,"-",Tabela2[[#This Row],[Dt Venc:]]-TODAY())</f>
        <v>40</v>
      </c>
      <c r="G6911" s="3"/>
      <c r="H6911" s="3"/>
    </row>
    <row r="6912" spans="1:8">
      <c r="A6912" s="3">
        <v>31038</v>
      </c>
      <c r="B6912" s="7" t="s">
        <v>97</v>
      </c>
      <c r="C6912" s="41">
        <v>3425</v>
      </c>
      <c r="D6912" s="6">
        <v>45733</v>
      </c>
      <c r="E6912" s="3" t="str">
        <f ca="1">IF(Tabela2[[#This Row],[Dt Venc:]]&gt;TODAY(),"Em Aberto",IF(Tabela2[[#This Row],[D/venc]]="-","Enviado",IF(Tabela2[[#This Row],[Dt Venc:]]=TODAY(),"Vence Hoje","Vencida")))</f>
        <v>Em Aberto</v>
      </c>
      <c r="F6912" s="3">
        <f ca="1">IF(G6912=1,"-",Tabela2[[#This Row],[Dt Venc:]]-TODAY())</f>
        <v>40</v>
      </c>
      <c r="G6912" s="3"/>
      <c r="H6912" s="3"/>
    </row>
    <row r="6913" spans="1:8">
      <c r="A6913" s="3">
        <v>31802</v>
      </c>
      <c r="B6913" s="7" t="s">
        <v>524</v>
      </c>
      <c r="C6913" s="41">
        <v>716.67</v>
      </c>
      <c r="D6913" s="6">
        <v>45733</v>
      </c>
      <c r="E6913" s="3" t="str">
        <f ca="1">IF(Tabela2[[#This Row],[Dt Venc:]]&gt;TODAY(),"Em Aberto",IF(Tabela2[[#This Row],[D/venc]]="-","Enviado",IF(Tabela2[[#This Row],[Dt Venc:]]=TODAY(),"Vence Hoje","Vencida")))</f>
        <v>Em Aberto</v>
      </c>
      <c r="F6913" s="3">
        <f ca="1">IF(G6913=1,"-",Tabela2[[#This Row],[Dt Venc:]]-TODAY())</f>
        <v>40</v>
      </c>
      <c r="G6913" s="3"/>
      <c r="H6913" s="3"/>
    </row>
    <row r="6914" spans="1:8">
      <c r="A6914" s="3">
        <v>35407</v>
      </c>
      <c r="B6914" s="7" t="s">
        <v>70</v>
      </c>
      <c r="C6914" s="41">
        <v>743.86</v>
      </c>
      <c r="D6914" s="6">
        <v>45733</v>
      </c>
      <c r="E6914" s="3" t="str">
        <f ca="1">IF(Tabela2[[#This Row],[Dt Venc:]]&gt;TODAY(),"Em Aberto",IF(Tabela2[[#This Row],[D/venc]]="-","Enviado",IF(Tabela2[[#This Row],[Dt Venc:]]=TODAY(),"Vence Hoje","Vencida")))</f>
        <v>Em Aberto</v>
      </c>
      <c r="F6914" s="3">
        <f ca="1">IF(G6914=1,"-",Tabela2[[#This Row],[Dt Venc:]]-TODAY())</f>
        <v>40</v>
      </c>
      <c r="G6914" s="3"/>
      <c r="H6914" s="3"/>
    </row>
    <row r="6915" spans="1:8">
      <c r="A6915" s="3">
        <v>37196</v>
      </c>
      <c r="B6915" s="7" t="s">
        <v>167</v>
      </c>
      <c r="C6915" s="85" t="s">
        <v>32</v>
      </c>
      <c r="D6915" s="6">
        <v>45733</v>
      </c>
      <c r="E6915" s="3" t="str">
        <f ca="1">IF(Tabela2[[#This Row],[Dt Venc:]]&gt;TODAY(),"Em Aberto",IF(Tabela2[[#This Row],[D/venc]]="-","Enviado",IF(Tabela2[[#This Row],[Dt Venc:]]=TODAY(),"Vence Hoje","Vencida")))</f>
        <v>Em Aberto</v>
      </c>
      <c r="F6915" s="3">
        <f ca="1">IF(G6915=1,"-",Tabela2[[#This Row],[Dt Venc:]]-TODAY())</f>
        <v>40</v>
      </c>
      <c r="G6915" s="3"/>
      <c r="H6915" s="3"/>
    </row>
    <row r="6916" spans="1:8">
      <c r="A6916" s="3">
        <v>37300</v>
      </c>
      <c r="B6916" s="7" t="s">
        <v>167</v>
      </c>
      <c r="C6916" s="99" t="s">
        <v>32</v>
      </c>
      <c r="D6916" s="6">
        <v>45733</v>
      </c>
      <c r="E6916" s="3" t="str">
        <f ca="1">IF(Tabela2[[#This Row],[Dt Venc:]]&gt;TODAY(),"Em Aberto",IF(Tabela2[[#This Row],[D/venc]]="-","Enviado",IF(Tabela2[[#This Row],[Dt Venc:]]=TODAY(),"Vence Hoje","Vencida")))</f>
        <v>Em Aberto</v>
      </c>
      <c r="F6916" s="3">
        <f ca="1">IF(G6916=1,"-",Tabela2[[#This Row],[Dt Venc:]]-TODAY())</f>
        <v>40</v>
      </c>
      <c r="G6916" s="3"/>
      <c r="H6916" s="3"/>
    </row>
    <row r="6917" spans="1:8">
      <c r="A6917" s="3">
        <v>42393</v>
      </c>
      <c r="B6917" s="7" t="s">
        <v>70</v>
      </c>
      <c r="C6917" s="41">
        <v>480.79</v>
      </c>
      <c r="D6917" s="6">
        <v>45733</v>
      </c>
      <c r="E6917" s="3" t="str">
        <f ca="1">IF(Tabela2[[#This Row],[Dt Venc:]]&gt;TODAY(),"Em Aberto",IF(Tabela2[[#This Row],[D/venc]]="-","Enviado",IF(Tabela2[[#This Row],[Dt Venc:]]=TODAY(),"Vence Hoje","Vencida")))</f>
        <v>Em Aberto</v>
      </c>
      <c r="F6917" s="3">
        <f ca="1">IF(G6917=1,"-",Tabela2[[#This Row],[Dt Venc:]]-TODAY())</f>
        <v>40</v>
      </c>
      <c r="G6917" s="3"/>
      <c r="H6917" s="3"/>
    </row>
    <row r="6918" spans="1:8">
      <c r="A6918" s="3">
        <v>52981</v>
      </c>
      <c r="B6918" s="7" t="s">
        <v>197</v>
      </c>
      <c r="C6918" s="41">
        <v>709.34</v>
      </c>
      <c r="D6918" s="6">
        <v>45733</v>
      </c>
      <c r="E6918" s="3" t="str">
        <f ca="1">IF(Tabela2[[#This Row],[Dt Venc:]]&gt;TODAY(),"Em Aberto",IF(Tabela2[[#This Row],[D/venc]]="-","Enviado",IF(Tabela2[[#This Row],[Dt Venc:]]=TODAY(),"Vence Hoje","Vencida")))</f>
        <v>Em Aberto</v>
      </c>
      <c r="F6918" s="3">
        <f ca="1">IF(G6918=1,"-",Tabela2[[#This Row],[Dt Venc:]]-TODAY())</f>
        <v>40</v>
      </c>
      <c r="G6918" s="3"/>
      <c r="H6918" s="3"/>
    </row>
    <row r="6919" spans="1:8">
      <c r="A6919" s="3">
        <v>54971</v>
      </c>
      <c r="B6919" s="7" t="s">
        <v>35</v>
      </c>
      <c r="C6919" s="41">
        <v>567.08000000000004</v>
      </c>
      <c r="D6919" s="6">
        <v>45733</v>
      </c>
      <c r="E6919" s="3" t="str">
        <f ca="1">IF(Tabela2[[#This Row],[Dt Venc:]]&gt;TODAY(),"Em Aberto",IF(Tabela2[[#This Row],[D/venc]]="-","Enviado",IF(Tabela2[[#This Row],[Dt Venc:]]=TODAY(),"Vence Hoje","Vencida")))</f>
        <v>Em Aberto</v>
      </c>
      <c r="F6919" s="3">
        <f ca="1">IF(G6919=1,"-",Tabela2[[#This Row],[Dt Venc:]]-TODAY())</f>
        <v>40</v>
      </c>
      <c r="G6919" s="3"/>
      <c r="H6919" s="3"/>
    </row>
    <row r="6920" spans="1:8">
      <c r="A6920" s="3">
        <v>75103</v>
      </c>
      <c r="B6920" s="7" t="s">
        <v>76</v>
      </c>
      <c r="C6920" s="41">
        <v>1728.17</v>
      </c>
      <c r="D6920" s="6">
        <v>45733</v>
      </c>
      <c r="E6920" s="3" t="str">
        <f ca="1">IF(Tabela2[[#This Row],[Dt Venc:]]&gt;TODAY(),"Em Aberto",IF(Tabela2[[#This Row],[D/venc]]="-","Enviado",IF(Tabela2[[#This Row],[Dt Venc:]]=TODAY(),"Vence Hoje","Vencida")))</f>
        <v>Em Aberto</v>
      </c>
      <c r="F6920" s="3">
        <f ca="1">IF(G6920=1,"-",Tabela2[[#This Row],[Dt Venc:]]-TODAY())</f>
        <v>40</v>
      </c>
      <c r="G6920" s="3"/>
      <c r="H6920" s="3"/>
    </row>
    <row r="6921" spans="1:8">
      <c r="A6921" s="3">
        <v>81740</v>
      </c>
      <c r="B6921" s="7" t="s">
        <v>39</v>
      </c>
      <c r="C6921" s="41">
        <v>795.98</v>
      </c>
      <c r="D6921" s="6">
        <v>45733</v>
      </c>
      <c r="E6921" s="3" t="str">
        <f ca="1">IF(Tabela2[[#This Row],[Dt Venc:]]&gt;TODAY(),"Em Aberto",IF(Tabela2[[#This Row],[D/venc]]="-","Enviado",IF(Tabela2[[#This Row],[Dt Venc:]]=TODAY(),"Vence Hoje","Vencida")))</f>
        <v>Em Aberto</v>
      </c>
      <c r="F6921" s="3">
        <f ca="1">IF(G6921=1,"-",Tabela2[[#This Row],[Dt Venc:]]-TODAY())</f>
        <v>40</v>
      </c>
      <c r="G6921" s="3"/>
      <c r="H6921" s="3"/>
    </row>
    <row r="6922" spans="1:8">
      <c r="A6922" s="3">
        <v>110541</v>
      </c>
      <c r="B6922" s="7" t="s">
        <v>612</v>
      </c>
      <c r="C6922" s="41">
        <v>11436.67</v>
      </c>
      <c r="D6922" s="6">
        <v>45733</v>
      </c>
      <c r="E6922" s="3" t="str">
        <f ca="1">IF(Tabela2[[#This Row],[Dt Venc:]]&gt;TODAY(),"Em Aberto",IF(Tabela2[[#This Row],[D/venc]]="-","Enviado",IF(Tabela2[[#This Row],[Dt Venc:]]=TODAY(),"Vence Hoje","Vencida")))</f>
        <v>Em Aberto</v>
      </c>
      <c r="F6922" s="3">
        <f ca="1">IF(G6922=1,"-",Tabela2[[#This Row],[Dt Venc:]]-TODAY())</f>
        <v>40</v>
      </c>
      <c r="G6922" s="3"/>
      <c r="H6922" s="3"/>
    </row>
    <row r="6923" spans="1:8">
      <c r="A6923" s="3">
        <v>110541</v>
      </c>
      <c r="B6923" s="7" t="s">
        <v>612</v>
      </c>
      <c r="C6923" s="41">
        <v>11436.67</v>
      </c>
      <c r="D6923" s="6">
        <v>45733</v>
      </c>
      <c r="E6923" s="3" t="str">
        <f ca="1">IF(Tabela2[[#This Row],[Dt Venc:]]&gt;TODAY(),"Em Aberto",IF(Tabela2[[#This Row],[D/venc]]="-","Enviado",IF(Tabela2[[#This Row],[Dt Venc:]]=TODAY(),"Vence Hoje","Vencida")))</f>
        <v>Em Aberto</v>
      </c>
      <c r="F6923" s="3">
        <f ca="1">IF(G6923=1,"-",Tabela2[[#This Row],[Dt Venc:]]-TODAY())</f>
        <v>40</v>
      </c>
      <c r="G6923" s="3"/>
      <c r="H6923" s="3"/>
    </row>
    <row r="6924" spans="1:8">
      <c r="A6924" s="3">
        <v>138457</v>
      </c>
      <c r="B6924" s="7" t="s">
        <v>695</v>
      </c>
      <c r="C6924" s="41">
        <v>329.25</v>
      </c>
      <c r="D6924" s="6">
        <v>45733</v>
      </c>
      <c r="E6924" s="3" t="str">
        <f ca="1">IF(Tabela2[[#This Row],[Dt Venc:]]&gt;TODAY(),"Em Aberto",IF(Tabela2[[#This Row],[D/venc]]="-","Enviado",IF(Tabela2[[#This Row],[Dt Venc:]]=TODAY(),"Vence Hoje","Vencida")))</f>
        <v>Em Aberto</v>
      </c>
      <c r="F6924" s="3">
        <f ca="1">IF(G6924=1,"-",Tabela2[[#This Row],[Dt Venc:]]-TODAY())</f>
        <v>40</v>
      </c>
      <c r="G6924" s="3"/>
      <c r="H6924" s="3"/>
    </row>
    <row r="6925" spans="1:8">
      <c r="A6925" s="3">
        <v>138506</v>
      </c>
      <c r="B6925" s="7" t="s">
        <v>695</v>
      </c>
      <c r="C6925" s="41">
        <v>263</v>
      </c>
      <c r="D6925" s="6">
        <v>45733</v>
      </c>
      <c r="E6925" s="3" t="str">
        <f ca="1">IF(Tabela2[[#This Row],[Dt Venc:]]&gt;TODAY(),"Em Aberto",IF(Tabela2[[#This Row],[D/venc]]="-","Enviado",IF(Tabela2[[#This Row],[Dt Venc:]]=TODAY(),"Vence Hoje","Vencida")))</f>
        <v>Em Aberto</v>
      </c>
      <c r="F6925" s="3">
        <f ca="1">IF(G6925=1,"-",Tabela2[[#This Row],[Dt Venc:]]-TODAY())</f>
        <v>40</v>
      </c>
      <c r="G6925" s="3"/>
      <c r="H6925" s="3"/>
    </row>
    <row r="6926" spans="1:8">
      <c r="A6926" s="3">
        <v>155810</v>
      </c>
      <c r="B6926" s="7" t="s">
        <v>486</v>
      </c>
      <c r="C6926" s="41">
        <v>2152.5</v>
      </c>
      <c r="D6926" s="6">
        <v>45733</v>
      </c>
      <c r="E6926" s="3" t="str">
        <f ca="1">IF(Tabela2[[#This Row],[Dt Venc:]]&gt;TODAY(),"Em Aberto",IF(Tabela2[[#This Row],[D/venc]]="-","Enviado",IF(Tabela2[[#This Row],[Dt Venc:]]=TODAY(),"Vence Hoje","Vencida")))</f>
        <v>Em Aberto</v>
      </c>
      <c r="F6926" s="3">
        <f ca="1">IF(G6926=1,"-",Tabela2[[#This Row],[Dt Venc:]]-TODAY())</f>
        <v>40</v>
      </c>
      <c r="G6926" s="3"/>
      <c r="H6926" s="3"/>
    </row>
    <row r="6927" spans="1:8">
      <c r="A6927" s="3">
        <v>155811</v>
      </c>
      <c r="B6927" s="7" t="s">
        <v>486</v>
      </c>
      <c r="C6927" s="41">
        <v>2786.61</v>
      </c>
      <c r="D6927" s="6">
        <v>45733</v>
      </c>
      <c r="E6927" s="3" t="str">
        <f ca="1">IF(Tabela2[[#This Row],[Dt Venc:]]&gt;TODAY(),"Em Aberto",IF(Tabela2[[#This Row],[D/venc]]="-","Enviado",IF(Tabela2[[#This Row],[Dt Venc:]]=TODAY(),"Vence Hoje","Vencida")))</f>
        <v>Em Aberto</v>
      </c>
      <c r="F6927" s="3">
        <f ca="1">IF(G6927=1,"-",Tabela2[[#This Row],[Dt Venc:]]-TODAY())</f>
        <v>40</v>
      </c>
      <c r="G6927" s="3"/>
      <c r="H6927" s="3"/>
    </row>
    <row r="6928" spans="1:8">
      <c r="A6928" s="3">
        <v>178215</v>
      </c>
      <c r="B6928" s="7" t="s">
        <v>211</v>
      </c>
      <c r="C6928" s="41">
        <v>526.66</v>
      </c>
      <c r="D6928" s="6">
        <v>45733</v>
      </c>
      <c r="E6928" s="3" t="str">
        <f ca="1">IF(Tabela2[[#This Row],[Dt Venc:]]&gt;TODAY(),"Em Aberto",IF(Tabela2[[#This Row],[D/venc]]="-","Enviado",IF(Tabela2[[#This Row],[Dt Venc:]]=TODAY(),"Vence Hoje","Vencida")))</f>
        <v>Em Aberto</v>
      </c>
      <c r="F6928" s="3">
        <f ca="1">IF(G6928=1,"-",Tabela2[[#This Row],[Dt Venc:]]-TODAY())</f>
        <v>40</v>
      </c>
      <c r="G6928" s="3"/>
      <c r="H6928" s="3"/>
    </row>
    <row r="6929" spans="1:8">
      <c r="A6929" s="3">
        <v>178305</v>
      </c>
      <c r="B6929" s="7" t="s">
        <v>211</v>
      </c>
      <c r="C6929" s="41">
        <v>493.34</v>
      </c>
      <c r="D6929" s="6">
        <v>45733</v>
      </c>
      <c r="E6929" s="3" t="str">
        <f ca="1">IF(Tabela2[[#This Row],[Dt Venc:]]&gt;TODAY(),"Em Aberto",IF(Tabela2[[#This Row],[D/venc]]="-","Enviado",IF(Tabela2[[#This Row],[Dt Venc:]]=TODAY(),"Vence Hoje","Vencida")))</f>
        <v>Em Aberto</v>
      </c>
      <c r="F6929" s="3">
        <f ca="1">IF(G6929=1,"-",Tabela2[[#This Row],[Dt Venc:]]-TODAY())</f>
        <v>40</v>
      </c>
      <c r="G6929" s="3"/>
      <c r="H6929" s="3"/>
    </row>
    <row r="6930" spans="1:8">
      <c r="A6930" s="3">
        <v>225178</v>
      </c>
      <c r="B6930" s="7" t="s">
        <v>39</v>
      </c>
      <c r="C6930" s="41">
        <v>21465</v>
      </c>
      <c r="D6930" s="6">
        <v>45733</v>
      </c>
      <c r="E6930" s="3" t="str">
        <f ca="1">IF(Tabela2[[#This Row],[Dt Venc:]]&gt;TODAY(),"Em Aberto",IF(Tabela2[[#This Row],[D/venc]]="-","Enviado",IF(Tabela2[[#This Row],[Dt Venc:]]=TODAY(),"Vence Hoje","Vencida")))</f>
        <v>Em Aberto</v>
      </c>
      <c r="F6930" s="3">
        <f ca="1">IF(G6930=1,"-",Tabela2[[#This Row],[Dt Venc:]]-TODAY())</f>
        <v>40</v>
      </c>
      <c r="G6930" s="3"/>
      <c r="H6930" s="3"/>
    </row>
    <row r="6931" spans="1:8">
      <c r="A6931" s="3">
        <v>238405</v>
      </c>
      <c r="B6931" s="7" t="s">
        <v>40</v>
      </c>
      <c r="C6931" s="41">
        <v>740</v>
      </c>
      <c r="D6931" s="6">
        <v>45733</v>
      </c>
      <c r="E6931" s="3" t="str">
        <f ca="1">IF(Tabela2[[#This Row],[Dt Venc:]]&gt;TODAY(),"Em Aberto",IF(Tabela2[[#This Row],[D/venc]]="-","Enviado",IF(Tabela2[[#This Row],[Dt Venc:]]=TODAY(),"Vence Hoje","Vencida")))</f>
        <v>Em Aberto</v>
      </c>
      <c r="F6931" s="3">
        <f ca="1">IF(G6931=1,"-",Tabela2[[#This Row],[Dt Venc:]]-TODAY())</f>
        <v>40</v>
      </c>
      <c r="G6931" s="3"/>
      <c r="H6931" s="3"/>
    </row>
    <row r="6932" spans="1:8">
      <c r="A6932" s="3">
        <v>238406</v>
      </c>
      <c r="B6932" s="7" t="s">
        <v>40</v>
      </c>
      <c r="C6932" s="41">
        <v>493.34</v>
      </c>
      <c r="D6932" s="6">
        <v>45733</v>
      </c>
      <c r="E6932" s="3" t="str">
        <f ca="1">IF(Tabela2[[#This Row],[Dt Venc:]]&gt;TODAY(),"Em Aberto",IF(Tabela2[[#This Row],[D/venc]]="-","Enviado",IF(Tabela2[[#This Row],[Dt Venc:]]=TODAY(),"Vence Hoje","Vencida")))</f>
        <v>Em Aberto</v>
      </c>
      <c r="F6932" s="3">
        <f ca="1">IF(G6932=1,"-",Tabela2[[#This Row],[Dt Venc:]]-TODAY())</f>
        <v>40</v>
      </c>
      <c r="G6932" s="3"/>
      <c r="H6932" s="3"/>
    </row>
    <row r="6933" spans="1:8">
      <c r="A6933" s="3">
        <v>370551</v>
      </c>
      <c r="B6933" s="7" t="s">
        <v>39</v>
      </c>
      <c r="C6933" s="41">
        <v>238.11</v>
      </c>
      <c r="D6933" s="6">
        <v>45733</v>
      </c>
      <c r="E6933" s="3" t="str">
        <f ca="1">IF(Tabela2[[#This Row],[Dt Venc:]]&gt;TODAY(),"Em Aberto",IF(Tabela2[[#This Row],[D/venc]]="-","Enviado",IF(Tabela2[[#This Row],[Dt Venc:]]=TODAY(),"Vence Hoje","Vencida")))</f>
        <v>Em Aberto</v>
      </c>
      <c r="F6933" s="3">
        <f ca="1">IF(G6933=1,"-",Tabela2[[#This Row],[Dt Venc:]]-TODAY())</f>
        <v>40</v>
      </c>
      <c r="G6933" s="3"/>
      <c r="H6933" s="3"/>
    </row>
    <row r="6934" spans="1:8">
      <c r="A6934" s="3">
        <v>375211</v>
      </c>
      <c r="B6934" s="7" t="s">
        <v>39</v>
      </c>
      <c r="C6934" s="41">
        <v>416.73</v>
      </c>
      <c r="D6934" s="6">
        <v>45733</v>
      </c>
      <c r="E6934" s="3" t="str">
        <f ca="1">IF(Tabela2[[#This Row],[Dt Venc:]]&gt;TODAY(),"Em Aberto",IF(Tabela2[[#This Row],[D/venc]]="-","Enviado",IF(Tabela2[[#This Row],[Dt Venc:]]=TODAY(),"Vence Hoje","Vencida")))</f>
        <v>Em Aberto</v>
      </c>
      <c r="F6934" s="3">
        <f ca="1">IF(G6934=1,"-",Tabela2[[#This Row],[Dt Venc:]]-TODAY())</f>
        <v>40</v>
      </c>
      <c r="G6934" s="3"/>
      <c r="H6934" s="3"/>
    </row>
    <row r="6935" spans="1:8">
      <c r="A6935" s="3">
        <v>376931</v>
      </c>
      <c r="B6935" s="7" t="s">
        <v>39</v>
      </c>
      <c r="C6935" s="41">
        <v>528.67999999999995</v>
      </c>
      <c r="D6935" s="6">
        <v>45733</v>
      </c>
      <c r="E6935" s="3" t="str">
        <f ca="1">IF(Tabela2[[#This Row],[Dt Venc:]]&gt;TODAY(),"Em Aberto",IF(Tabela2[[#This Row],[D/venc]]="-","Enviado",IF(Tabela2[[#This Row],[Dt Venc:]]=TODAY(),"Vence Hoje","Vencida")))</f>
        <v>Em Aberto</v>
      </c>
      <c r="F6935" s="3">
        <f ca="1">IF(G6935=1,"-",Tabela2[[#This Row],[Dt Venc:]]-TODAY())</f>
        <v>40</v>
      </c>
      <c r="G6935" s="3"/>
      <c r="H6935" s="3"/>
    </row>
    <row r="6936" spans="1:8">
      <c r="A6936" s="3">
        <v>376985</v>
      </c>
      <c r="B6936" s="7" t="s">
        <v>43</v>
      </c>
      <c r="C6936" s="41">
        <v>1612.02</v>
      </c>
      <c r="D6936" s="6">
        <v>45733</v>
      </c>
      <c r="E6936" s="3" t="str">
        <f ca="1">IF(Tabela2[[#This Row],[Dt Venc:]]&gt;TODAY(),"Em Aberto",IF(Tabela2[[#This Row],[D/venc]]="-","Enviado",IF(Tabela2[[#This Row],[Dt Venc:]]=TODAY(),"Vence Hoje","Vencida")))</f>
        <v>Em Aberto</v>
      </c>
      <c r="F6936" s="3">
        <f ca="1">IF(G6936=1,"-",Tabela2[[#This Row],[Dt Venc:]]-TODAY())</f>
        <v>40</v>
      </c>
      <c r="G6936" s="3"/>
      <c r="H6936" s="3"/>
    </row>
    <row r="6937" spans="1:8">
      <c r="A6937" s="3">
        <v>432223</v>
      </c>
      <c r="B6937" s="7" t="s">
        <v>89</v>
      </c>
      <c r="C6937" s="41">
        <v>2240.5</v>
      </c>
      <c r="D6937" s="6">
        <v>45733</v>
      </c>
      <c r="E6937" s="3" t="str">
        <f ca="1">IF(Tabela2[[#This Row],[Dt Venc:]]&gt;TODAY(),"Em Aberto",IF(Tabela2[[#This Row],[D/venc]]="-","Enviado",IF(Tabela2[[#This Row],[Dt Venc:]]=TODAY(),"Vence Hoje","Vencida")))</f>
        <v>Em Aberto</v>
      </c>
      <c r="F6937" s="3">
        <f ca="1">IF(G6937=1,"-",Tabela2[[#This Row],[Dt Venc:]]-TODAY())</f>
        <v>40</v>
      </c>
      <c r="G6937" s="3"/>
      <c r="H6937" s="3"/>
    </row>
    <row r="6938" spans="1:8">
      <c r="A6938" s="3">
        <v>1428509</v>
      </c>
      <c r="B6938" s="7" t="s">
        <v>151</v>
      </c>
      <c r="C6938" s="41">
        <v>385.14</v>
      </c>
      <c r="D6938" s="6">
        <v>45733</v>
      </c>
      <c r="E6938" s="3" t="str">
        <f ca="1">IF(Tabela2[[#This Row],[Dt Venc:]]&gt;TODAY(),"Em Aberto",IF(Tabela2[[#This Row],[D/venc]]="-","Enviado",IF(Tabela2[[#This Row],[Dt Venc:]]=TODAY(),"Vence Hoje","Vencida")))</f>
        <v>Em Aberto</v>
      </c>
      <c r="F6938" s="3">
        <f ca="1">IF(G6938=1,"-",Tabela2[[#This Row],[Dt Venc:]]-TODAY())</f>
        <v>40</v>
      </c>
      <c r="G6938" s="3"/>
      <c r="H6938" s="3"/>
    </row>
    <row r="6939" spans="1:8">
      <c r="A6939" s="3">
        <v>46973</v>
      </c>
      <c r="B6939" s="7" t="s">
        <v>527</v>
      </c>
      <c r="C6939" s="41">
        <v>548.16999999999996</v>
      </c>
      <c r="D6939" s="6">
        <v>45733</v>
      </c>
      <c r="E6939" s="3" t="str">
        <f ca="1">IF(Tabela2[[#This Row],[Dt Venc:]]&gt;TODAY(),"Em Aberto",IF(Tabela2[[#This Row],[D/venc]]="-","Enviado",IF(Tabela2[[#This Row],[Dt Venc:]]=TODAY(),"Vence Hoje","Vencida")))</f>
        <v>Em Aberto</v>
      </c>
      <c r="F6939" s="3">
        <f ca="1">IF(G6939=1,"-",Tabela2[[#This Row],[Dt Venc:]]-TODAY())</f>
        <v>40</v>
      </c>
      <c r="G6939" s="3"/>
      <c r="H6939" s="3"/>
    </row>
    <row r="6940" spans="1:8">
      <c r="A6940" s="3">
        <v>1828</v>
      </c>
      <c r="B6940" s="7" t="s">
        <v>135</v>
      </c>
      <c r="C6940" s="41">
        <v>2914.96</v>
      </c>
      <c r="D6940" s="6">
        <v>45733</v>
      </c>
      <c r="E6940" s="3" t="str">
        <f ca="1">IF(Tabela2[[#This Row],[Dt Venc:]]&gt;TODAY(),"Em Aberto",IF(Tabela2[[#This Row],[D/venc]]="-","Enviado",IF(Tabela2[[#This Row],[Dt Venc:]]=TODAY(),"Vence Hoje","Vencida")))</f>
        <v>Em Aberto</v>
      </c>
      <c r="F6940" s="3">
        <f ca="1">IF(G6940=1,"-",Tabela2[[#This Row],[Dt Venc:]]-TODAY())</f>
        <v>40</v>
      </c>
      <c r="G6940" s="3"/>
      <c r="H6940" s="3"/>
    </row>
    <row r="6941" spans="1:8">
      <c r="A6941" s="3">
        <v>1827</v>
      </c>
      <c r="B6941" s="7" t="s">
        <v>135</v>
      </c>
      <c r="C6941" s="41">
        <v>7372.23</v>
      </c>
      <c r="D6941" s="6">
        <v>45733</v>
      </c>
      <c r="E6941" s="3" t="str">
        <f ca="1">IF(Tabela2[[#This Row],[Dt Venc:]]&gt;TODAY(),"Em Aberto",IF(Tabela2[[#This Row],[D/venc]]="-","Enviado",IF(Tabela2[[#This Row],[Dt Venc:]]=TODAY(),"Vence Hoje","Vencida")))</f>
        <v>Em Aberto</v>
      </c>
      <c r="F6941" s="3">
        <f ca="1">IF(G6941=1,"-",Tabela2[[#This Row],[Dt Venc:]]-TODAY())</f>
        <v>40</v>
      </c>
      <c r="G6941" s="3"/>
      <c r="H6941" s="3"/>
    </row>
    <row r="6942" spans="1:8">
      <c r="A6942" s="3">
        <v>7351</v>
      </c>
      <c r="B6942" s="7" t="s">
        <v>318</v>
      </c>
      <c r="C6942" s="41">
        <v>931</v>
      </c>
      <c r="D6942" s="6">
        <v>45733</v>
      </c>
      <c r="E6942" s="3" t="str">
        <f ca="1">IF(Tabela2[[#This Row],[Dt Venc:]]&gt;TODAY(),"Em Aberto",IF(Tabela2[[#This Row],[D/venc]]="-","Enviado",IF(Tabela2[[#This Row],[Dt Venc:]]=TODAY(),"Vence Hoje","Vencida")))</f>
        <v>Em Aberto</v>
      </c>
      <c r="F6942" s="3">
        <f ca="1">IF(G6942=1,"-",Tabela2[[#This Row],[Dt Venc:]]-TODAY())</f>
        <v>40</v>
      </c>
      <c r="G6942" s="3"/>
      <c r="H6942" s="3"/>
    </row>
    <row r="6943" spans="1:8">
      <c r="A6943" s="3">
        <v>75056</v>
      </c>
      <c r="B6943" s="7" t="s">
        <v>76</v>
      </c>
      <c r="C6943" s="41">
        <v>1943.19</v>
      </c>
      <c r="D6943" s="6">
        <v>45733</v>
      </c>
      <c r="E6943" s="3" t="str">
        <f ca="1">IF(Tabela2[[#This Row],[Dt Venc:]]&gt;TODAY(),"Em Aberto",IF(Tabela2[[#This Row],[D/venc]]="-","Enviado",IF(Tabela2[[#This Row],[Dt Venc:]]=TODAY(),"Vence Hoje","Vencida")))</f>
        <v>Em Aberto</v>
      </c>
      <c r="F6943" s="3">
        <f ca="1">IF(G6943=1,"-",Tabela2[[#This Row],[Dt Venc:]]-TODAY())</f>
        <v>40</v>
      </c>
      <c r="G6943" s="3"/>
      <c r="H6943" s="3"/>
    </row>
    <row r="6944" spans="1:8">
      <c r="A6944" s="3">
        <v>16660</v>
      </c>
      <c r="B6944" s="7" t="s">
        <v>322</v>
      </c>
      <c r="C6944" s="41">
        <v>1133.5</v>
      </c>
      <c r="D6944" s="6">
        <v>45733</v>
      </c>
      <c r="E6944" s="3" t="str">
        <f ca="1">IF(Tabela2[[#This Row],[Dt Venc:]]&gt;TODAY(),"Em Aberto",IF(Tabela2[[#This Row],[D/venc]]="-","Enviado",IF(Tabela2[[#This Row],[Dt Venc:]]=TODAY(),"Vence Hoje","Vencida")))</f>
        <v>Em Aberto</v>
      </c>
      <c r="F6944" s="3">
        <f ca="1">IF(G6944=1,"-",Tabela2[[#This Row],[Dt Venc:]]-TODAY())</f>
        <v>40</v>
      </c>
      <c r="G6944" s="3"/>
      <c r="H6944" s="3"/>
    </row>
    <row r="6945" spans="1:8">
      <c r="A6945" s="3">
        <v>46</v>
      </c>
      <c r="B6945" s="7" t="s">
        <v>103</v>
      </c>
      <c r="C6945" s="41">
        <v>1566.66</v>
      </c>
      <c r="D6945" s="6">
        <v>45734</v>
      </c>
      <c r="E6945" s="3" t="str">
        <f ca="1">IF(Tabela2[[#This Row],[Dt Venc:]]&gt;TODAY(),"Em Aberto",IF(Tabela2[[#This Row],[D/venc]]="-","Enviado",IF(Tabela2[[#This Row],[Dt Venc:]]=TODAY(),"Vence Hoje","Vencida")))</f>
        <v>Em Aberto</v>
      </c>
      <c r="F6945" s="3">
        <f ca="1">IF(G6945=1,"-",Tabela2[[#This Row],[Dt Venc:]]-TODAY())</f>
        <v>41</v>
      </c>
      <c r="G6945" s="3"/>
      <c r="H6945" s="3"/>
    </row>
    <row r="6946" spans="1:8">
      <c r="A6946" s="3">
        <v>6263</v>
      </c>
      <c r="B6946" s="7" t="s">
        <v>140</v>
      </c>
      <c r="C6946" s="41">
        <v>737</v>
      </c>
      <c r="D6946" s="6">
        <v>45734</v>
      </c>
      <c r="E6946" s="3" t="str">
        <f ca="1">IF(Tabela2[[#This Row],[Dt Venc:]]&gt;TODAY(),"Em Aberto",IF(Tabela2[[#This Row],[D/venc]]="-","Enviado",IF(Tabela2[[#This Row],[Dt Venc:]]=TODAY(),"Vence Hoje","Vencida")))</f>
        <v>Em Aberto</v>
      </c>
      <c r="F6946" s="3">
        <f ca="1">IF(G6946=1,"-",Tabela2[[#This Row],[Dt Venc:]]-TODAY())</f>
        <v>41</v>
      </c>
      <c r="G6946" s="3"/>
      <c r="H6946" s="3"/>
    </row>
    <row r="6947" spans="1:8">
      <c r="A6947" s="3">
        <v>6263</v>
      </c>
      <c r="B6947" s="7" t="s">
        <v>140</v>
      </c>
      <c r="C6947" s="41">
        <v>737</v>
      </c>
      <c r="D6947" s="6">
        <v>45734</v>
      </c>
      <c r="E6947" s="3" t="str">
        <f ca="1">IF(Tabela2[[#This Row],[Dt Venc:]]&gt;TODAY(),"Em Aberto",IF(Tabela2[[#This Row],[D/venc]]="-","Enviado",IF(Tabela2[[#This Row],[Dt Venc:]]=TODAY(),"Vence Hoje","Vencida")))</f>
        <v>Em Aberto</v>
      </c>
      <c r="F6947" s="3">
        <f ca="1">IF(G6947=1,"-",Tabela2[[#This Row],[Dt Venc:]]-TODAY())</f>
        <v>41</v>
      </c>
      <c r="G6947" s="3"/>
      <c r="H6947" s="3"/>
    </row>
    <row r="6948" spans="1:8">
      <c r="A6948" s="3">
        <v>11259</v>
      </c>
      <c r="B6948" s="7" t="s">
        <v>33</v>
      </c>
      <c r="C6948" s="41">
        <v>1411.66</v>
      </c>
      <c r="D6948" s="6">
        <v>45734</v>
      </c>
      <c r="E6948" s="3" t="str">
        <f ca="1">IF(Tabela2[[#This Row],[Dt Venc:]]&gt;TODAY(),"Em Aberto",IF(Tabela2[[#This Row],[D/venc]]="-","Enviado",IF(Tabela2[[#This Row],[Dt Venc:]]=TODAY(),"Vence Hoje","Vencida")))</f>
        <v>Em Aberto</v>
      </c>
      <c r="F6948" s="3">
        <f ca="1">IF(G6948=1,"-",Tabela2[[#This Row],[Dt Venc:]]-TODAY())</f>
        <v>41</v>
      </c>
      <c r="G6948" s="3"/>
      <c r="H6948" s="3"/>
    </row>
    <row r="6949" spans="1:8">
      <c r="A6949" s="3">
        <v>14444</v>
      </c>
      <c r="B6949" s="7" t="s">
        <v>303</v>
      </c>
      <c r="C6949" s="41">
        <v>1330</v>
      </c>
      <c r="D6949" s="6">
        <v>45734</v>
      </c>
      <c r="E6949" s="3" t="str">
        <f ca="1">IF(Tabela2[[#This Row],[Dt Venc:]]&gt;TODAY(),"Em Aberto",IF(Tabela2[[#This Row],[D/venc]]="-","Enviado",IF(Tabela2[[#This Row],[Dt Venc:]]=TODAY(),"Vence Hoje","Vencida")))</f>
        <v>Em Aberto</v>
      </c>
      <c r="F6949" s="3">
        <f ca="1">IF(G6949=1,"-",Tabela2[[#This Row],[Dt Venc:]]-TODAY())</f>
        <v>41</v>
      </c>
      <c r="G6949" s="3"/>
      <c r="H6949" s="3"/>
    </row>
    <row r="6950" spans="1:8">
      <c r="A6950" s="3">
        <v>14521</v>
      </c>
      <c r="B6950" s="7" t="s">
        <v>303</v>
      </c>
      <c r="C6950" s="41">
        <v>1446.68</v>
      </c>
      <c r="D6950" s="6">
        <v>45734</v>
      </c>
      <c r="E6950" s="3" t="str">
        <f ca="1">IF(Tabela2[[#This Row],[Dt Venc:]]&gt;TODAY(),"Em Aberto",IF(Tabela2[[#This Row],[D/venc]]="-","Enviado",IF(Tabela2[[#This Row],[Dt Venc:]]=TODAY(),"Vence Hoje","Vencida")))</f>
        <v>Em Aberto</v>
      </c>
      <c r="F6950" s="3">
        <f ca="1">IF(G6950=1,"-",Tabela2[[#This Row],[Dt Venc:]]-TODAY())</f>
        <v>41</v>
      </c>
      <c r="G6950" s="3"/>
      <c r="H6950" s="3"/>
    </row>
    <row r="6951" spans="1:8">
      <c r="A6951" s="3">
        <v>15393</v>
      </c>
      <c r="B6951" s="7" t="s">
        <v>99</v>
      </c>
      <c r="C6951" s="41">
        <v>1062.5</v>
      </c>
      <c r="D6951" s="6">
        <v>45734</v>
      </c>
      <c r="E6951" s="3" t="str">
        <f ca="1">IF(Tabela2[[#This Row],[Dt Venc:]]&gt;TODAY(),"Em Aberto",IF(Tabela2[[#This Row],[D/venc]]="-","Enviado",IF(Tabela2[[#This Row],[Dt Venc:]]=TODAY(),"Vence Hoje","Vencida")))</f>
        <v>Em Aberto</v>
      </c>
      <c r="F6951" s="3">
        <f ca="1">IF(G6951=1,"-",Tabela2[[#This Row],[Dt Venc:]]-TODAY())</f>
        <v>41</v>
      </c>
      <c r="G6951" s="3"/>
      <c r="H6951" s="3"/>
    </row>
    <row r="6952" spans="1:8">
      <c r="A6952" s="3">
        <v>24423</v>
      </c>
      <c r="B6952" s="7" t="s">
        <v>38</v>
      </c>
      <c r="C6952" s="41">
        <v>430</v>
      </c>
      <c r="D6952" s="6">
        <v>45734</v>
      </c>
      <c r="E6952" s="3" t="str">
        <f ca="1">IF(Tabela2[[#This Row],[Dt Venc:]]&gt;TODAY(),"Em Aberto",IF(Tabela2[[#This Row],[D/venc]]="-","Enviado",IF(Tabela2[[#This Row],[Dt Venc:]]=TODAY(),"Vence Hoje","Vencida")))</f>
        <v>Em Aberto</v>
      </c>
      <c r="F6952" s="3">
        <f ca="1">IF(G6952=1,"-",Tabela2[[#This Row],[Dt Venc:]]-TODAY())</f>
        <v>41</v>
      </c>
      <c r="G6952" s="3"/>
      <c r="H6952" s="3"/>
    </row>
    <row r="6953" spans="1:8">
      <c r="A6953" s="3">
        <v>30001</v>
      </c>
      <c r="B6953" s="7" t="s">
        <v>107</v>
      </c>
      <c r="C6953" s="42">
        <v>3358</v>
      </c>
      <c r="D6953" s="6">
        <v>45734</v>
      </c>
      <c r="E6953" s="3" t="str">
        <f ca="1">IF(Tabela2[[#This Row],[Dt Venc:]]&gt;TODAY(),"Em Aberto",IF(Tabela2[[#This Row],[D/venc]]="-","Enviado",IF(Tabela2[[#This Row],[Dt Venc:]]=TODAY(),"Vence Hoje","Vencida")))</f>
        <v>Em Aberto</v>
      </c>
      <c r="F6953" s="3">
        <f ca="1">IF(G6953=1,"-",Tabela2[[#This Row],[Dt Venc:]]-TODAY())</f>
        <v>41</v>
      </c>
      <c r="G6953" s="3"/>
      <c r="H6953" s="3"/>
    </row>
    <row r="6954" spans="1:8">
      <c r="A6954" s="3">
        <v>31251</v>
      </c>
      <c r="B6954" s="7" t="s">
        <v>97</v>
      </c>
      <c r="C6954" s="41">
        <v>857</v>
      </c>
      <c r="D6954" s="6">
        <v>45734</v>
      </c>
      <c r="E6954" s="3" t="str">
        <f ca="1">IF(Tabela2[[#This Row],[Dt Venc:]]&gt;TODAY(),"Em Aberto",IF(Tabela2[[#This Row],[D/venc]]="-","Enviado",IF(Tabela2[[#This Row],[Dt Venc:]]=TODAY(),"Vence Hoje","Vencida")))</f>
        <v>Em Aberto</v>
      </c>
      <c r="F6954" s="3">
        <f ca="1">IF(G6954=1,"-",Tabela2[[#This Row],[Dt Venc:]]-TODAY())</f>
        <v>41</v>
      </c>
      <c r="G6954" s="3"/>
      <c r="H6954" s="3"/>
    </row>
    <row r="6955" spans="1:8">
      <c r="A6955" s="3">
        <v>46391</v>
      </c>
      <c r="B6955" s="7" t="s">
        <v>527</v>
      </c>
      <c r="C6955" s="41">
        <v>436.49</v>
      </c>
      <c r="D6955" s="6">
        <v>45734</v>
      </c>
      <c r="E6955" s="3" t="str">
        <f ca="1">IF(Tabela2[[#This Row],[Dt Venc:]]&gt;TODAY(),"Em Aberto",IF(Tabela2[[#This Row],[D/venc]]="-","Enviado",IF(Tabela2[[#This Row],[Dt Venc:]]=TODAY(),"Vence Hoje","Vencida")))</f>
        <v>Em Aberto</v>
      </c>
      <c r="F6955" s="3">
        <f ca="1">IF(G6955=1,"-",Tabela2[[#This Row],[Dt Venc:]]-TODAY())</f>
        <v>41</v>
      </c>
      <c r="G6955" s="3"/>
      <c r="H6955" s="3"/>
    </row>
    <row r="6956" spans="1:8">
      <c r="A6956" s="3">
        <v>109939</v>
      </c>
      <c r="B6956" s="7" t="s">
        <v>612</v>
      </c>
      <c r="C6956" s="41">
        <v>1910</v>
      </c>
      <c r="D6956" s="6">
        <v>45734</v>
      </c>
      <c r="E6956" s="3" t="str">
        <f ca="1">IF(Tabela2[[#This Row],[Dt Venc:]]&gt;TODAY(),"Em Aberto",IF(Tabela2[[#This Row],[D/venc]]="-","Enviado",IF(Tabela2[[#This Row],[Dt Venc:]]=TODAY(),"Vence Hoje","Vencida")))</f>
        <v>Em Aberto</v>
      </c>
      <c r="F6956" s="3">
        <f ca="1">IF(G6956=1,"-",Tabela2[[#This Row],[Dt Venc:]]-TODAY())</f>
        <v>41</v>
      </c>
      <c r="G6956" s="3"/>
      <c r="H6956" s="3"/>
    </row>
    <row r="6957" spans="1:8">
      <c r="A6957" s="3">
        <v>148380</v>
      </c>
      <c r="B6957" s="7" t="s">
        <v>127</v>
      </c>
      <c r="C6957" s="41">
        <v>624.5</v>
      </c>
      <c r="D6957" s="6">
        <v>45734</v>
      </c>
      <c r="E6957" s="3" t="str">
        <f ca="1">IF(Tabela2[[#This Row],[Dt Venc:]]&gt;TODAY(),"Em Aberto",IF(Tabela2[[#This Row],[D/venc]]="-","Enviado",IF(Tabela2[[#This Row],[Dt Venc:]]=TODAY(),"Vence Hoje","Vencida")))</f>
        <v>Em Aberto</v>
      </c>
      <c r="F6957" s="3">
        <f ca="1">IF(G6957=1,"-",Tabela2[[#This Row],[Dt Venc:]]-TODAY())</f>
        <v>41</v>
      </c>
      <c r="G6957" s="3"/>
      <c r="H6957" s="3"/>
    </row>
    <row r="6958" spans="1:8">
      <c r="A6958" s="3">
        <v>148381</v>
      </c>
      <c r="B6958" s="7" t="s">
        <v>127</v>
      </c>
      <c r="C6958" s="41">
        <v>624.5</v>
      </c>
      <c r="D6958" s="6">
        <v>45734</v>
      </c>
      <c r="E6958" s="3" t="str">
        <f ca="1">IF(Tabela2[[#This Row],[Dt Venc:]]&gt;TODAY(),"Em Aberto",IF(Tabela2[[#This Row],[D/venc]]="-","Enviado",IF(Tabela2[[#This Row],[Dt Venc:]]=TODAY(),"Vence Hoje","Vencida")))</f>
        <v>Em Aberto</v>
      </c>
      <c r="F6958" s="3">
        <f ca="1">IF(G6958=1,"-",Tabela2[[#This Row],[Dt Venc:]]-TODAY())</f>
        <v>41</v>
      </c>
      <c r="G6958" s="3"/>
      <c r="H6958" s="3"/>
    </row>
    <row r="6959" spans="1:8">
      <c r="A6959" s="3">
        <v>155944</v>
      </c>
      <c r="B6959" s="7" t="s">
        <v>77</v>
      </c>
      <c r="C6959" s="41">
        <v>433.33</v>
      </c>
      <c r="D6959" s="6">
        <v>45734</v>
      </c>
      <c r="E6959" s="3" t="str">
        <f ca="1">IF(Tabela2[[#This Row],[Dt Venc:]]&gt;TODAY(),"Em Aberto",IF(Tabela2[[#This Row],[D/venc]]="-","Enviado",IF(Tabela2[[#This Row],[Dt Venc:]]=TODAY(),"Vence Hoje","Vencida")))</f>
        <v>Em Aberto</v>
      </c>
      <c r="F6959" s="3">
        <f ca="1">IF(G6959=1,"-",Tabela2[[#This Row],[Dt Venc:]]-TODAY())</f>
        <v>41</v>
      </c>
      <c r="G6959" s="3"/>
      <c r="H6959" s="3"/>
    </row>
    <row r="6960" spans="1:8">
      <c r="A6960" s="3">
        <v>180028</v>
      </c>
      <c r="B6960" s="7" t="s">
        <v>702</v>
      </c>
      <c r="C6960" s="41">
        <v>2501.34</v>
      </c>
      <c r="D6960" s="6">
        <v>45734</v>
      </c>
      <c r="E6960" s="3" t="str">
        <f ca="1">IF(Tabela2[[#This Row],[Dt Venc:]]&gt;TODAY(),"Em Aberto",IF(Tabela2[[#This Row],[D/venc]]="-","Enviado",IF(Tabela2[[#This Row],[Dt Venc:]]=TODAY(),"Vence Hoje","Vencida")))</f>
        <v>Em Aberto</v>
      </c>
      <c r="F6960" s="3">
        <f ca="1">IF(G6960=1,"-",Tabela2[[#This Row],[Dt Venc:]]-TODAY())</f>
        <v>41</v>
      </c>
      <c r="G6960" s="3"/>
      <c r="H6960" s="3"/>
    </row>
    <row r="6961" spans="1:8">
      <c r="A6961" s="3">
        <v>225353</v>
      </c>
      <c r="B6961" s="7" t="s">
        <v>127</v>
      </c>
      <c r="C6961" s="41">
        <v>874.83</v>
      </c>
      <c r="D6961" s="6">
        <v>45734</v>
      </c>
      <c r="E6961" s="3" t="str">
        <f ca="1">IF(Tabela2[[#This Row],[Dt Venc:]]&gt;TODAY(),"Em Aberto",IF(Tabela2[[#This Row],[D/venc]]="-","Enviado",IF(Tabela2[[#This Row],[Dt Venc:]]=TODAY(),"Vence Hoje","Vencida")))</f>
        <v>Em Aberto</v>
      </c>
      <c r="F6961" s="3">
        <f ca="1">IF(G6961=1,"-",Tabela2[[#This Row],[Dt Venc:]]-TODAY())</f>
        <v>41</v>
      </c>
      <c r="G6961" s="3"/>
      <c r="H6961" s="3"/>
    </row>
    <row r="6962" spans="1:8">
      <c r="A6962" s="3">
        <v>225363</v>
      </c>
      <c r="B6962" s="7" t="s">
        <v>127</v>
      </c>
      <c r="C6962" s="41">
        <v>2418.27</v>
      </c>
      <c r="D6962" s="6">
        <v>45734</v>
      </c>
      <c r="E6962" s="3" t="str">
        <f ca="1">IF(Tabela2[[#This Row],[Dt Venc:]]&gt;TODAY(),"Em Aberto",IF(Tabela2[[#This Row],[D/venc]]="-","Enviado",IF(Tabela2[[#This Row],[Dt Venc:]]=TODAY(),"Vence Hoje","Vencida")))</f>
        <v>Em Aberto</v>
      </c>
      <c r="F6962" s="3">
        <f ca="1">IF(G6962=1,"-",Tabela2[[#This Row],[Dt Venc:]]-TODAY())</f>
        <v>41</v>
      </c>
      <c r="G6962" s="3"/>
      <c r="H6962" s="3"/>
    </row>
    <row r="6963" spans="1:8">
      <c r="A6963" s="3">
        <v>265131</v>
      </c>
      <c r="B6963" s="7" t="s">
        <v>43</v>
      </c>
      <c r="C6963" s="41">
        <v>2658.18</v>
      </c>
      <c r="D6963" s="6">
        <v>45734</v>
      </c>
      <c r="E6963" s="3" t="str">
        <f ca="1">IF(Tabela2[[#This Row],[Dt Venc:]]&gt;TODAY(),"Em Aberto",IF(Tabela2[[#This Row],[D/venc]]="-","Enviado",IF(Tabela2[[#This Row],[Dt Venc:]]=TODAY(),"Vence Hoje","Vencida")))</f>
        <v>Em Aberto</v>
      </c>
      <c r="F6963" s="3">
        <f ca="1">IF(G6963=1,"-",Tabela2[[#This Row],[Dt Venc:]]-TODAY())</f>
        <v>41</v>
      </c>
      <c r="G6963" s="3"/>
      <c r="H6963" s="3"/>
    </row>
    <row r="6964" spans="1:8">
      <c r="A6964" s="3">
        <v>265431</v>
      </c>
      <c r="B6964" s="7" t="s">
        <v>43</v>
      </c>
      <c r="C6964" s="41">
        <v>1361.08</v>
      </c>
      <c r="D6964" s="6">
        <v>45734</v>
      </c>
      <c r="E6964" s="3" t="str">
        <f ca="1">IF(Tabela2[[#This Row],[Dt Venc:]]&gt;TODAY(),"Em Aberto",IF(Tabela2[[#This Row],[D/venc]]="-","Enviado",IF(Tabela2[[#This Row],[Dt Venc:]]=TODAY(),"Vence Hoje","Vencida")))</f>
        <v>Em Aberto</v>
      </c>
      <c r="F6964" s="3">
        <f ca="1">IF(G6964=1,"-",Tabela2[[#This Row],[Dt Venc:]]-TODAY())</f>
        <v>41</v>
      </c>
      <c r="G6964" s="3"/>
      <c r="H6964" s="3"/>
    </row>
    <row r="6965" spans="1:8">
      <c r="A6965" s="3">
        <v>275136</v>
      </c>
      <c r="B6965" s="7" t="s">
        <v>36</v>
      </c>
      <c r="C6965" s="41">
        <v>492</v>
      </c>
      <c r="D6965" s="6">
        <v>45734</v>
      </c>
      <c r="E6965" s="3" t="str">
        <f ca="1">IF(Tabela2[[#This Row],[Dt Venc:]]&gt;TODAY(),"Em Aberto",IF(Tabela2[[#This Row],[D/venc]]="-","Enviado",IF(Tabela2[[#This Row],[Dt Venc:]]=TODAY(),"Vence Hoje","Vencida")))</f>
        <v>Em Aberto</v>
      </c>
      <c r="F6965" s="3">
        <f ca="1">IF(G6965=1,"-",Tabela2[[#This Row],[Dt Venc:]]-TODAY())</f>
        <v>41</v>
      </c>
      <c r="G6965" s="3"/>
      <c r="H6965" s="3"/>
    </row>
    <row r="6966" spans="1:8">
      <c r="A6966" s="3">
        <v>279301</v>
      </c>
      <c r="B6966" s="7" t="s">
        <v>36</v>
      </c>
      <c r="C6966" s="41">
        <v>520</v>
      </c>
      <c r="D6966" s="6">
        <v>45734</v>
      </c>
      <c r="E6966" s="3" t="str">
        <f ca="1">IF(Tabela2[[#This Row],[Dt Venc:]]&gt;TODAY(),"Em Aberto",IF(Tabela2[[#This Row],[D/venc]]="-","Enviado",IF(Tabela2[[#This Row],[Dt Venc:]]=TODAY(),"Vence Hoje","Vencida")))</f>
        <v>Em Aberto</v>
      </c>
      <c r="F6966" s="3">
        <f ca="1">IF(G6966=1,"-",Tabela2[[#This Row],[Dt Venc:]]-TODAY())</f>
        <v>41</v>
      </c>
      <c r="G6966" s="3"/>
      <c r="H6966" s="3"/>
    </row>
    <row r="6967" spans="1:8">
      <c r="A6967" s="3">
        <v>282081</v>
      </c>
      <c r="B6967" s="7" t="s">
        <v>43</v>
      </c>
      <c r="C6967" s="41">
        <v>1667.98</v>
      </c>
      <c r="D6967" s="6">
        <v>45734</v>
      </c>
      <c r="E6967" s="3" t="str">
        <f ca="1">IF(Tabela2[[#This Row],[Dt Venc:]]&gt;TODAY(),"Em Aberto",IF(Tabela2[[#This Row],[D/venc]]="-","Enviado",IF(Tabela2[[#This Row],[Dt Venc:]]=TODAY(),"Vence Hoje","Vencida")))</f>
        <v>Em Aberto</v>
      </c>
      <c r="F6967" s="3">
        <f ca="1">IF(G6967=1,"-",Tabela2[[#This Row],[Dt Venc:]]-TODAY())</f>
        <v>41</v>
      </c>
      <c r="G6967" s="3"/>
      <c r="H6967" s="3"/>
    </row>
    <row r="6968" spans="1:8">
      <c r="A6968" s="3">
        <v>282094</v>
      </c>
      <c r="B6968" s="7" t="s">
        <v>43</v>
      </c>
      <c r="C6968" s="41">
        <v>1433.31</v>
      </c>
      <c r="D6968" s="6">
        <v>45734</v>
      </c>
      <c r="E6968" s="3" t="str">
        <f ca="1">IF(Tabela2[[#This Row],[Dt Venc:]]&gt;TODAY(),"Em Aberto",IF(Tabela2[[#This Row],[D/venc]]="-","Enviado",IF(Tabela2[[#This Row],[Dt Venc:]]=TODAY(),"Vence Hoje","Vencida")))</f>
        <v>Em Aberto</v>
      </c>
      <c r="F6968" s="3">
        <f ca="1">IF(G6968=1,"-",Tabela2[[#This Row],[Dt Venc:]]-TODAY())</f>
        <v>41</v>
      </c>
      <c r="G6968" s="3"/>
      <c r="H6968" s="3"/>
    </row>
    <row r="6969" spans="1:8">
      <c r="A6969" s="3">
        <v>282095</v>
      </c>
      <c r="B6969" s="7" t="s">
        <v>43</v>
      </c>
      <c r="C6969" s="41">
        <v>1282.76</v>
      </c>
      <c r="D6969" s="6">
        <v>45734</v>
      </c>
      <c r="E6969" s="3" t="str">
        <f ca="1">IF(Tabela2[[#This Row],[Dt Venc:]]&gt;TODAY(),"Em Aberto",IF(Tabela2[[#This Row],[D/venc]]="-","Enviado",IF(Tabela2[[#This Row],[Dt Venc:]]=TODAY(),"Vence Hoje","Vencida")))</f>
        <v>Em Aberto</v>
      </c>
      <c r="F6969" s="3">
        <f ca="1">IF(G6969=1,"-",Tabela2[[#This Row],[Dt Venc:]]-TODAY())</f>
        <v>41</v>
      </c>
      <c r="G6969" s="3"/>
      <c r="H6969" s="3"/>
    </row>
    <row r="6970" spans="1:8">
      <c r="A6970" s="3">
        <v>304143</v>
      </c>
      <c r="B6970" s="7" t="s">
        <v>189</v>
      </c>
      <c r="C6970" s="41">
        <v>15565</v>
      </c>
      <c r="D6970" s="6">
        <v>45734</v>
      </c>
      <c r="E6970" s="3" t="str">
        <f ca="1">IF(Tabela2[[#This Row],[Dt Venc:]]&gt;TODAY(),"Em Aberto",IF(Tabela2[[#This Row],[D/venc]]="-","Enviado",IF(Tabela2[[#This Row],[Dt Venc:]]=TODAY(),"Vence Hoje","Vencida")))</f>
        <v>Em Aberto</v>
      </c>
      <c r="F6970" s="3">
        <f ca="1">IF(G6970=1,"-",Tabela2[[#This Row],[Dt Venc:]]-TODAY())</f>
        <v>41</v>
      </c>
      <c r="G6970" s="3"/>
      <c r="H6970" s="3"/>
    </row>
    <row r="6971" spans="1:8">
      <c r="A6971" s="3">
        <v>304144</v>
      </c>
      <c r="B6971" s="7" t="s">
        <v>189</v>
      </c>
      <c r="C6971" s="41">
        <v>16036.67</v>
      </c>
      <c r="D6971" s="6">
        <v>45734</v>
      </c>
      <c r="E6971" s="3" t="str">
        <f ca="1">IF(Tabela2[[#This Row],[Dt Venc:]]&gt;TODAY(),"Em Aberto",IF(Tabela2[[#This Row],[D/venc]]="-","Enviado",IF(Tabela2[[#This Row],[Dt Venc:]]=TODAY(),"Vence Hoje","Vencida")))</f>
        <v>Em Aberto</v>
      </c>
      <c r="F6971" s="3">
        <f ca="1">IF(G6971=1,"-",Tabela2[[#This Row],[Dt Venc:]]-TODAY())</f>
        <v>41</v>
      </c>
      <c r="G6971" s="3"/>
      <c r="H6971" s="3"/>
    </row>
    <row r="6972" spans="1:8">
      <c r="A6972" s="3">
        <v>304145</v>
      </c>
      <c r="B6972" s="7" t="s">
        <v>189</v>
      </c>
      <c r="C6972" s="41">
        <v>15565</v>
      </c>
      <c r="D6972" s="6">
        <v>45734</v>
      </c>
      <c r="E6972" s="3" t="str">
        <f ca="1">IF(Tabela2[[#This Row],[Dt Venc:]]&gt;TODAY(),"Em Aberto",IF(Tabela2[[#This Row],[D/venc]]="-","Enviado",IF(Tabela2[[#This Row],[Dt Venc:]]=TODAY(),"Vence Hoje","Vencida")))</f>
        <v>Em Aberto</v>
      </c>
      <c r="F6972" s="3">
        <f ca="1">IF(G6972=1,"-",Tabela2[[#This Row],[Dt Venc:]]-TODAY())</f>
        <v>41</v>
      </c>
      <c r="G6972" s="3"/>
      <c r="H6972" s="3"/>
    </row>
    <row r="6973" spans="1:8">
      <c r="A6973" s="3">
        <v>306510</v>
      </c>
      <c r="B6973" s="7" t="s">
        <v>506</v>
      </c>
      <c r="C6973" s="41">
        <v>1369.34</v>
      </c>
      <c r="D6973" s="6">
        <v>45734</v>
      </c>
      <c r="E6973" s="3" t="str">
        <f ca="1">IF(Tabela2[[#This Row],[Dt Venc:]]&gt;TODAY(),"Em Aberto",IF(Tabela2[[#This Row],[D/venc]]="-","Enviado",IF(Tabela2[[#This Row],[Dt Venc:]]=TODAY(),"Vence Hoje","Vencida")))</f>
        <v>Em Aberto</v>
      </c>
      <c r="F6973" s="3">
        <f ca="1">IF(G6973=1,"-",Tabela2[[#This Row],[Dt Venc:]]-TODAY())</f>
        <v>41</v>
      </c>
      <c r="G6973" s="3"/>
      <c r="H6973" s="3"/>
    </row>
    <row r="6974" spans="1:8">
      <c r="A6974" s="3">
        <v>377066</v>
      </c>
      <c r="B6974" s="7" t="s">
        <v>39</v>
      </c>
      <c r="C6974" s="41">
        <v>528.67999999999995</v>
      </c>
      <c r="D6974" s="6">
        <v>45734</v>
      </c>
      <c r="E6974" s="3" t="str">
        <f ca="1">IF(Tabela2[[#This Row],[Dt Venc:]]&gt;TODAY(),"Em Aberto",IF(Tabela2[[#This Row],[D/venc]]="-","Enviado",IF(Tabela2[[#This Row],[Dt Venc:]]=TODAY(),"Vence Hoje","Vencida")))</f>
        <v>Em Aberto</v>
      </c>
      <c r="F6974" s="3">
        <f ca="1">IF(G6974=1,"-",Tabela2[[#This Row],[Dt Venc:]]-TODAY())</f>
        <v>41</v>
      </c>
      <c r="G6974" s="3"/>
      <c r="H6974" s="3"/>
    </row>
    <row r="6975" spans="1:8">
      <c r="A6975" s="3">
        <v>565720</v>
      </c>
      <c r="B6975" s="7" t="s">
        <v>39</v>
      </c>
      <c r="C6975" s="41">
        <v>2448.4699999999998</v>
      </c>
      <c r="D6975" s="6">
        <v>45734</v>
      </c>
      <c r="E6975" s="3" t="str">
        <f ca="1">IF(Tabela2[[#This Row],[Dt Venc:]]&gt;TODAY(),"Em Aberto",IF(Tabela2[[#This Row],[D/venc]]="-","Enviado",IF(Tabela2[[#This Row],[Dt Venc:]]=TODAY(),"Vence Hoje","Vencida")))</f>
        <v>Em Aberto</v>
      </c>
      <c r="F6975" s="3">
        <f ca="1">IF(G6975=1,"-",Tabela2[[#This Row],[Dt Venc:]]-TODAY())</f>
        <v>41</v>
      </c>
      <c r="G6975" s="3"/>
      <c r="H6975" s="3"/>
    </row>
    <row r="6976" spans="1:8">
      <c r="A6976" s="3">
        <v>625431</v>
      </c>
      <c r="B6976" s="7" t="s">
        <v>66</v>
      </c>
      <c r="C6976" s="41">
        <v>964</v>
      </c>
      <c r="D6976" s="6">
        <v>45734</v>
      </c>
      <c r="E6976" s="3" t="str">
        <f ca="1">IF(Tabela2[[#This Row],[Dt Venc:]]&gt;TODAY(),"Em Aberto",IF(Tabela2[[#This Row],[D/venc]]="-","Enviado",IF(Tabela2[[#This Row],[Dt Venc:]]=TODAY(),"Vence Hoje","Vencida")))</f>
        <v>Em Aberto</v>
      </c>
      <c r="F6976" s="3">
        <f ca="1">IF(G6976=1,"-",Tabela2[[#This Row],[Dt Venc:]]-TODAY())</f>
        <v>41</v>
      </c>
      <c r="G6976" s="3"/>
      <c r="H6976" s="3"/>
    </row>
    <row r="6977" spans="1:8">
      <c r="A6977" s="3">
        <v>765208</v>
      </c>
      <c r="B6977" s="7" t="s">
        <v>127</v>
      </c>
      <c r="C6977" s="41">
        <v>399.5</v>
      </c>
      <c r="D6977" s="6">
        <v>45734</v>
      </c>
      <c r="E6977" s="3" t="str">
        <f ca="1">IF(Tabela2[[#This Row],[Dt Venc:]]&gt;TODAY(),"Em Aberto",IF(Tabela2[[#This Row],[D/venc]]="-","Enviado",IF(Tabela2[[#This Row],[Dt Venc:]]=TODAY(),"Vence Hoje","Vencida")))</f>
        <v>Em Aberto</v>
      </c>
      <c r="F6977" s="3">
        <f ca="1">IF(G6977=1,"-",Tabela2[[#This Row],[Dt Venc:]]-TODAY())</f>
        <v>41</v>
      </c>
      <c r="G6977" s="3"/>
      <c r="H6977" s="3"/>
    </row>
    <row r="6978" spans="1:8">
      <c r="A6978" s="3">
        <v>765210</v>
      </c>
      <c r="B6978" s="7" t="s">
        <v>127</v>
      </c>
      <c r="C6978" s="41">
        <v>399.5</v>
      </c>
      <c r="D6978" s="6">
        <v>45734</v>
      </c>
      <c r="E6978" s="3" t="str">
        <f ca="1">IF(Tabela2[[#This Row],[Dt Venc:]]&gt;TODAY(),"Em Aberto",IF(Tabela2[[#This Row],[D/venc]]="-","Enviado",IF(Tabela2[[#This Row],[Dt Venc:]]=TODAY(),"Vence Hoje","Vencida")))</f>
        <v>Em Aberto</v>
      </c>
      <c r="F6978" s="3">
        <f ca="1">IF(G6978=1,"-",Tabela2[[#This Row],[Dt Venc:]]-TODAY())</f>
        <v>41</v>
      </c>
      <c r="G6978" s="3"/>
      <c r="H6978" s="3"/>
    </row>
    <row r="6979" spans="1:8">
      <c r="A6979" s="3">
        <v>1428922</v>
      </c>
      <c r="B6979" s="7" t="s">
        <v>151</v>
      </c>
      <c r="C6979" s="41">
        <v>1613.4</v>
      </c>
      <c r="D6979" s="6">
        <v>45734</v>
      </c>
      <c r="E6979" s="3" t="str">
        <f ca="1">IF(Tabela2[[#This Row],[Dt Venc:]]&gt;TODAY(),"Em Aberto",IF(Tabela2[[#This Row],[D/venc]]="-","Enviado",IF(Tabela2[[#This Row],[Dt Venc:]]=TODAY(),"Vence Hoje","Vencida")))</f>
        <v>Em Aberto</v>
      </c>
      <c r="F6979" s="3">
        <f ca="1">IF(G6979=1,"-",Tabela2[[#This Row],[Dt Venc:]]-TODAY())</f>
        <v>41</v>
      </c>
      <c r="G6979" s="3"/>
      <c r="H6979" s="3"/>
    </row>
    <row r="6980" spans="1:8">
      <c r="A6980" s="3">
        <v>1302</v>
      </c>
      <c r="B6980" s="7" t="s">
        <v>474</v>
      </c>
      <c r="C6980" s="41">
        <v>1972.5</v>
      </c>
      <c r="D6980" s="6">
        <v>45735</v>
      </c>
      <c r="E6980" s="3" t="str">
        <f ca="1">IF(Tabela2[[#This Row],[Dt Venc:]]&gt;TODAY(),"Em Aberto",IF(Tabela2[[#This Row],[D/venc]]="-","Enviado",IF(Tabela2[[#This Row],[Dt Venc:]]=TODAY(),"Vence Hoje","Vencida")))</f>
        <v>Em Aberto</v>
      </c>
      <c r="F6980" s="3">
        <f ca="1">IF(G6980=1,"-",Tabela2[[#This Row],[Dt Venc:]]-TODAY())</f>
        <v>42</v>
      </c>
      <c r="G6980" s="3"/>
      <c r="H6980" s="3"/>
    </row>
    <row r="6981" spans="1:8">
      <c r="A6981" s="3">
        <v>3018</v>
      </c>
      <c r="B6981" s="7" t="s">
        <v>301</v>
      </c>
      <c r="C6981" s="41">
        <v>2440</v>
      </c>
      <c r="D6981" s="6">
        <v>45735</v>
      </c>
      <c r="E6981" s="3" t="str">
        <f ca="1">IF(Tabela2[[#This Row],[Dt Venc:]]&gt;TODAY(),"Em Aberto",IF(Tabela2[[#This Row],[D/venc]]="-","Enviado",IF(Tabela2[[#This Row],[Dt Venc:]]=TODAY(),"Vence Hoje","Vencida")))</f>
        <v>Em Aberto</v>
      </c>
      <c r="F6981" s="3">
        <f ca="1">IF(G6981=1,"-",Tabela2[[#This Row],[Dt Venc:]]-TODAY())</f>
        <v>42</v>
      </c>
      <c r="G6981" s="3"/>
      <c r="H6981" s="3"/>
    </row>
    <row r="6982" spans="1:8">
      <c r="A6982" s="3">
        <v>5793</v>
      </c>
      <c r="B6982" s="7" t="s">
        <v>434</v>
      </c>
      <c r="C6982" s="41">
        <v>1500</v>
      </c>
      <c r="D6982" s="6">
        <v>45735</v>
      </c>
      <c r="E6982" s="3" t="str">
        <f ca="1">IF(Tabela2[[#This Row],[Dt Venc:]]&gt;TODAY(),"Em Aberto",IF(Tabela2[[#This Row],[D/venc]]="-","Enviado",IF(Tabela2[[#This Row],[Dt Venc:]]=TODAY(),"Vence Hoje","Vencida")))</f>
        <v>Em Aberto</v>
      </c>
      <c r="F6982" s="3">
        <f ca="1">IF(G6982=1,"-",Tabela2[[#This Row],[Dt Venc:]]-TODAY())</f>
        <v>42</v>
      </c>
      <c r="G6982" s="3"/>
      <c r="H6982" s="3"/>
    </row>
    <row r="6983" spans="1:8">
      <c r="A6983" s="3">
        <v>6299</v>
      </c>
      <c r="B6983" s="7" t="s">
        <v>47</v>
      </c>
      <c r="C6983" s="41">
        <v>2014.12</v>
      </c>
      <c r="D6983" s="6">
        <v>45735</v>
      </c>
      <c r="E6983" s="3" t="str">
        <f ca="1">IF(Tabela2[[#This Row],[Dt Venc:]]&gt;TODAY(),"Em Aberto",IF(Tabela2[[#This Row],[D/venc]]="-","Enviado",IF(Tabela2[[#This Row],[Dt Venc:]]=TODAY(),"Vence Hoje","Vencida")))</f>
        <v>Em Aberto</v>
      </c>
      <c r="F6983" s="3">
        <f ca="1">IF(G6983=1,"-",Tabela2[[#This Row],[Dt Venc:]]-TODAY())</f>
        <v>42</v>
      </c>
      <c r="G6983" s="3"/>
      <c r="H6983" s="3"/>
    </row>
    <row r="6984" spans="1:8">
      <c r="A6984" s="3">
        <v>8336</v>
      </c>
      <c r="B6984" s="7" t="s">
        <v>43</v>
      </c>
      <c r="C6984" s="41">
        <v>549.1</v>
      </c>
      <c r="D6984" s="6">
        <v>45735</v>
      </c>
      <c r="E6984" s="3" t="str">
        <f ca="1">IF(Tabela2[[#This Row],[Dt Venc:]]&gt;TODAY(),"Em Aberto",IF(Tabela2[[#This Row],[D/venc]]="-","Enviado",IF(Tabela2[[#This Row],[Dt Venc:]]=TODAY(),"Vence Hoje","Vencida")))</f>
        <v>Em Aberto</v>
      </c>
      <c r="F6984" s="3">
        <f ca="1">IF(G6984=1,"-",Tabela2[[#This Row],[Dt Venc:]]-TODAY())</f>
        <v>42</v>
      </c>
      <c r="G6984" s="3"/>
      <c r="H6984" s="3"/>
    </row>
    <row r="6985" spans="1:8">
      <c r="A6985" s="3">
        <v>23629</v>
      </c>
      <c r="B6985" s="7" t="s">
        <v>632</v>
      </c>
      <c r="C6985" s="41">
        <v>350</v>
      </c>
      <c r="D6985" s="6">
        <v>45735</v>
      </c>
      <c r="E6985" s="3" t="str">
        <f ca="1">IF(Tabela2[[#This Row],[Dt Venc:]]&gt;TODAY(),"Em Aberto",IF(Tabela2[[#This Row],[D/venc]]="-","Enviado",IF(Tabela2[[#This Row],[Dt Venc:]]=TODAY(),"Vence Hoje","Vencida")))</f>
        <v>Em Aberto</v>
      </c>
      <c r="F6985" s="3">
        <f ca="1">IF(G6985=1,"-",Tabela2[[#This Row],[Dt Venc:]]-TODAY())</f>
        <v>42</v>
      </c>
      <c r="G6985" s="3"/>
      <c r="H6985" s="3"/>
    </row>
    <row r="6986" spans="1:8">
      <c r="A6986" s="3">
        <v>23782</v>
      </c>
      <c r="B6986" s="7" t="s">
        <v>38</v>
      </c>
      <c r="C6986" s="41">
        <v>2335.5</v>
      </c>
      <c r="D6986" s="6">
        <v>45735</v>
      </c>
      <c r="E6986" s="3" t="str">
        <f ca="1">IF(Tabela2[[#This Row],[Dt Venc:]]&gt;TODAY(),"Em Aberto",IF(Tabela2[[#This Row],[D/venc]]="-","Enviado",IF(Tabela2[[#This Row],[Dt Venc:]]=TODAY(),"Vence Hoje","Vencida")))</f>
        <v>Em Aberto</v>
      </c>
      <c r="F6986" s="3">
        <f ca="1">IF(G6986=1,"-",Tabela2[[#This Row],[Dt Venc:]]-TODAY())</f>
        <v>42</v>
      </c>
      <c r="G6986" s="3"/>
      <c r="H6986" s="3"/>
    </row>
    <row r="6987" spans="1:8">
      <c r="A6987" s="3">
        <v>30721</v>
      </c>
      <c r="B6987" s="7" t="s">
        <v>226</v>
      </c>
      <c r="C6987" s="41">
        <v>4680</v>
      </c>
      <c r="D6987" s="6">
        <v>45735</v>
      </c>
      <c r="E6987" s="3" t="str">
        <f ca="1">IF(Tabela2[[#This Row],[Dt Venc:]]&gt;TODAY(),"Em Aberto",IF(Tabela2[[#This Row],[D/venc]]="-","Enviado",IF(Tabela2[[#This Row],[Dt Venc:]]=TODAY(),"Vence Hoje","Vencida")))</f>
        <v>Em Aberto</v>
      </c>
      <c r="F6987" s="3">
        <f ca="1">IF(G6987=1,"-",Tabela2[[#This Row],[Dt Venc:]]-TODAY())</f>
        <v>42</v>
      </c>
      <c r="G6987" s="3"/>
      <c r="H6987" s="3"/>
    </row>
    <row r="6988" spans="1:8">
      <c r="A6988" s="3">
        <v>31062</v>
      </c>
      <c r="B6988" s="7" t="s">
        <v>97</v>
      </c>
      <c r="C6988" s="41">
        <v>2055</v>
      </c>
      <c r="D6988" s="6">
        <v>45735</v>
      </c>
      <c r="E6988" s="3" t="str">
        <f ca="1">IF(Tabela2[[#This Row],[Dt Venc:]]&gt;TODAY(),"Em Aberto",IF(Tabela2[[#This Row],[D/venc]]="-","Enviado",IF(Tabela2[[#This Row],[Dt Venc:]]=TODAY(),"Vence Hoje","Vencida")))</f>
        <v>Em Aberto</v>
      </c>
      <c r="F6988" s="3">
        <f ca="1">IF(G6988=1,"-",Tabela2[[#This Row],[Dt Venc:]]-TODAY())</f>
        <v>42</v>
      </c>
      <c r="G6988" s="3"/>
      <c r="H6988" s="3"/>
    </row>
    <row r="6989" spans="1:8">
      <c r="A6989" s="3">
        <v>31871</v>
      </c>
      <c r="B6989" s="7" t="s">
        <v>524</v>
      </c>
      <c r="C6989" s="41">
        <v>4135</v>
      </c>
      <c r="D6989" s="6">
        <v>45735</v>
      </c>
      <c r="E6989" s="3" t="str">
        <f ca="1">IF(Tabela2[[#This Row],[Dt Venc:]]&gt;TODAY(),"Em Aberto",IF(Tabela2[[#This Row],[D/venc]]="-","Enviado",IF(Tabela2[[#This Row],[Dt Venc:]]=TODAY(),"Vence Hoje","Vencida")))</f>
        <v>Em Aberto</v>
      </c>
      <c r="F6989" s="3">
        <f ca="1">IF(G6989=1,"-",Tabela2[[#This Row],[Dt Venc:]]-TODAY())</f>
        <v>42</v>
      </c>
      <c r="G6989" s="3"/>
      <c r="H6989" s="3"/>
    </row>
    <row r="6990" spans="1:8">
      <c r="A6990" s="3">
        <v>50919</v>
      </c>
      <c r="B6990" s="7" t="s">
        <v>144</v>
      </c>
      <c r="C6990" s="41">
        <v>339.66</v>
      </c>
      <c r="D6990" s="6">
        <v>45735</v>
      </c>
      <c r="E6990" s="3" t="str">
        <f ca="1">IF(Tabela2[[#This Row],[Dt Venc:]]&gt;TODAY(),"Em Aberto",IF(Tabela2[[#This Row],[D/venc]]="-","Enviado",IF(Tabela2[[#This Row],[Dt Venc:]]=TODAY(),"Vence Hoje","Vencida")))</f>
        <v>Em Aberto</v>
      </c>
      <c r="F6990" s="3">
        <f ca="1">IF(G6990=1,"-",Tabela2[[#This Row],[Dt Venc:]]-TODAY())</f>
        <v>42</v>
      </c>
      <c r="G6990" s="3"/>
      <c r="H6990" s="3"/>
    </row>
    <row r="6991" spans="1:8">
      <c r="A6991" s="3">
        <v>74374</v>
      </c>
      <c r="B6991" s="7" t="s">
        <v>76</v>
      </c>
      <c r="C6991" s="41">
        <v>2578.9899999999998</v>
      </c>
      <c r="D6991" s="6">
        <v>45735</v>
      </c>
      <c r="E6991" s="3" t="str">
        <f ca="1">IF(Tabela2[[#This Row],[Dt Venc:]]&gt;TODAY(),"Em Aberto",IF(Tabela2[[#This Row],[D/venc]]="-","Enviado",IF(Tabela2[[#This Row],[Dt Venc:]]=TODAY(),"Vence Hoje","Vencida")))</f>
        <v>Em Aberto</v>
      </c>
      <c r="F6991" s="3">
        <f ca="1">IF(G6991=1,"-",Tabela2[[#This Row],[Dt Venc:]]-TODAY())</f>
        <v>42</v>
      </c>
      <c r="G6991" s="3"/>
      <c r="H6991" s="3"/>
    </row>
    <row r="6992" spans="1:8">
      <c r="A6992" s="3">
        <v>102128</v>
      </c>
      <c r="B6992" s="7" t="s">
        <v>70</v>
      </c>
      <c r="C6992" s="41">
        <v>796.86</v>
      </c>
      <c r="D6992" s="6">
        <v>45735</v>
      </c>
      <c r="E6992" s="3" t="str">
        <f ca="1">IF(Tabela2[[#This Row],[Dt Venc:]]&gt;TODAY(),"Em Aberto",IF(Tabela2[[#This Row],[D/venc]]="-","Enviado",IF(Tabela2[[#This Row],[Dt Venc:]]=TODAY(),"Vence Hoje","Vencida")))</f>
        <v>Em Aberto</v>
      </c>
      <c r="F6992" s="3">
        <f ca="1">IF(G6992=1,"-",Tabela2[[#This Row],[Dt Venc:]]-TODAY())</f>
        <v>42</v>
      </c>
      <c r="G6992" s="3"/>
      <c r="H6992" s="3"/>
    </row>
    <row r="6993" spans="1:8">
      <c r="A6993" s="3">
        <v>109986</v>
      </c>
      <c r="B6993" s="7" t="s">
        <v>612</v>
      </c>
      <c r="C6993" s="41">
        <v>3278.33</v>
      </c>
      <c r="D6993" s="6">
        <v>45735</v>
      </c>
      <c r="E6993" s="3" t="str">
        <f ca="1">IF(Tabela2[[#This Row],[Dt Venc:]]&gt;TODAY(),"Em Aberto",IF(Tabela2[[#This Row],[D/venc]]="-","Enviado",IF(Tabela2[[#This Row],[Dt Venc:]]=TODAY(),"Vence Hoje","Vencida")))</f>
        <v>Em Aberto</v>
      </c>
      <c r="F6993" s="3">
        <f ca="1">IF(G6993=1,"-",Tabela2[[#This Row],[Dt Venc:]]-TODAY())</f>
        <v>42</v>
      </c>
      <c r="G6993" s="3"/>
      <c r="H6993" s="3"/>
    </row>
    <row r="6994" spans="1:8">
      <c r="A6994" s="3">
        <v>180050</v>
      </c>
      <c r="B6994" s="7" t="s">
        <v>702</v>
      </c>
      <c r="C6994" s="41">
        <v>856.66</v>
      </c>
      <c r="D6994" s="6">
        <v>45735</v>
      </c>
      <c r="E6994" s="3" t="str">
        <f ca="1">IF(Tabela2[[#This Row],[Dt Venc:]]&gt;TODAY(),"Em Aberto",IF(Tabela2[[#This Row],[D/venc]]="-","Enviado",IF(Tabela2[[#This Row],[Dt Venc:]]=TODAY(),"Vence Hoje","Vencida")))</f>
        <v>Em Aberto</v>
      </c>
      <c r="F6994" s="3">
        <f ca="1">IF(G6994=1,"-",Tabela2[[#This Row],[Dt Venc:]]-TODAY())</f>
        <v>42</v>
      </c>
      <c r="G6994" s="3"/>
      <c r="H6994" s="3"/>
    </row>
    <row r="6995" spans="1:8">
      <c r="A6995" s="3">
        <v>180051</v>
      </c>
      <c r="B6995" s="7" t="s">
        <v>702</v>
      </c>
      <c r="C6995" s="41">
        <v>606</v>
      </c>
      <c r="D6995" s="6">
        <v>45735</v>
      </c>
      <c r="E6995" s="3" t="str">
        <f ca="1">IF(Tabela2[[#This Row],[Dt Venc:]]&gt;TODAY(),"Em Aberto",IF(Tabela2[[#This Row],[D/venc]]="-","Enviado",IF(Tabela2[[#This Row],[Dt Venc:]]=TODAY(),"Vence Hoje","Vencida")))</f>
        <v>Em Aberto</v>
      </c>
      <c r="F6995" s="3">
        <f ca="1">IF(G6995=1,"-",Tabela2[[#This Row],[Dt Venc:]]-TODAY())</f>
        <v>42</v>
      </c>
      <c r="G6995" s="3"/>
      <c r="H6995" s="3"/>
    </row>
    <row r="6996" spans="1:8">
      <c r="A6996" s="3">
        <v>180056</v>
      </c>
      <c r="B6996" s="7" t="s">
        <v>702</v>
      </c>
      <c r="C6996" s="41">
        <v>700</v>
      </c>
      <c r="D6996" s="6">
        <v>45735</v>
      </c>
      <c r="E6996" s="3" t="str">
        <f ca="1">IF(Tabela2[[#This Row],[Dt Venc:]]&gt;TODAY(),"Em Aberto",IF(Tabela2[[#This Row],[D/venc]]="-","Enviado",IF(Tabela2[[#This Row],[Dt Venc:]]=TODAY(),"Vence Hoje","Vencida")))</f>
        <v>Em Aberto</v>
      </c>
      <c r="F6996" s="3">
        <f ca="1">IF(G6996=1,"-",Tabela2[[#This Row],[Dt Venc:]]-TODAY())</f>
        <v>42</v>
      </c>
      <c r="G6996" s="3"/>
      <c r="H6996" s="3"/>
    </row>
    <row r="6997" spans="1:8">
      <c r="A6997" s="3">
        <v>375524</v>
      </c>
      <c r="B6997" s="7" t="s">
        <v>39</v>
      </c>
      <c r="C6997" s="41">
        <v>1099.1199999999999</v>
      </c>
      <c r="D6997" s="6">
        <v>45735</v>
      </c>
      <c r="E6997" s="3" t="str">
        <f ca="1">IF(Tabela2[[#This Row],[Dt Venc:]]&gt;TODAY(),"Em Aberto",IF(Tabela2[[#This Row],[D/venc]]="-","Enviado",IF(Tabela2[[#This Row],[Dt Venc:]]=TODAY(),"Vence Hoje","Vencida")))</f>
        <v>Em Aberto</v>
      </c>
      <c r="F6997" s="3">
        <f ca="1">IF(G6997=1,"-",Tabela2[[#This Row],[Dt Venc:]]-TODAY())</f>
        <v>42</v>
      </c>
      <c r="G6997" s="3"/>
      <c r="H6997" s="3"/>
    </row>
    <row r="6998" spans="1:8">
      <c r="A6998" s="3">
        <v>1274273</v>
      </c>
      <c r="B6998" s="7" t="s">
        <v>64</v>
      </c>
      <c r="C6998" s="41">
        <v>2341.36</v>
      </c>
      <c r="D6998" s="6">
        <v>45735</v>
      </c>
      <c r="E6998" s="3" t="str">
        <f ca="1">IF(Tabela2[[#This Row],[Dt Venc:]]&gt;TODAY(),"Em Aberto",IF(Tabela2[[#This Row],[D/venc]]="-","Enviado",IF(Tabela2[[#This Row],[Dt Venc:]]=TODAY(),"Vence Hoje","Vencida")))</f>
        <v>Em Aberto</v>
      </c>
      <c r="F6998" s="3">
        <f ca="1">IF(G6998=1,"-",Tabela2[[#This Row],[Dt Venc:]]-TODAY())</f>
        <v>42</v>
      </c>
      <c r="G6998" s="3"/>
      <c r="H6998" s="3"/>
    </row>
    <row r="6999" spans="1:8">
      <c r="A6999" s="3">
        <v>4843</v>
      </c>
      <c r="B6999" s="7" t="s">
        <v>307</v>
      </c>
      <c r="C6999" s="42">
        <v>9150</v>
      </c>
      <c r="D6999" s="6">
        <v>45736</v>
      </c>
      <c r="E6999" s="3" t="str">
        <f ca="1">IF(Tabela2[[#This Row],[Dt Venc:]]&gt;TODAY(),"Em Aberto",IF(Tabela2[[#This Row],[D/venc]]="-","Enviado",IF(Tabela2[[#This Row],[Dt Venc:]]=TODAY(),"Vence Hoje","Vencida")))</f>
        <v>Em Aberto</v>
      </c>
      <c r="F6999" s="3">
        <f ca="1">IF(G6999=1,"-",Tabela2[[#This Row],[Dt Venc:]]-TODAY())</f>
        <v>43</v>
      </c>
      <c r="G6999" s="3"/>
      <c r="H6999" s="3"/>
    </row>
    <row r="7000" spans="1:8">
      <c r="A7000" s="3">
        <v>6185</v>
      </c>
      <c r="B7000" s="7" t="s">
        <v>140</v>
      </c>
      <c r="C7000" s="41">
        <v>1529</v>
      </c>
      <c r="D7000" s="6">
        <v>45736</v>
      </c>
      <c r="E7000" s="3" t="str">
        <f ca="1">IF(Tabela2[[#This Row],[Dt Venc:]]&gt;TODAY(),"Em Aberto",IF(Tabela2[[#This Row],[D/venc]]="-","Enviado",IF(Tabela2[[#This Row],[Dt Venc:]]=TODAY(),"Vence Hoje","Vencida")))</f>
        <v>Em Aberto</v>
      </c>
      <c r="F7000" s="3">
        <f ca="1">IF(G7000=1,"-",Tabela2[[#This Row],[Dt Venc:]]-TODAY())</f>
        <v>43</v>
      </c>
      <c r="G7000" s="3"/>
      <c r="H7000" s="3"/>
    </row>
    <row r="7001" spans="1:8">
      <c r="A7001" s="3">
        <v>6301</v>
      </c>
      <c r="B7001" s="7" t="s">
        <v>581</v>
      </c>
      <c r="C7001" s="41">
        <v>578.53</v>
      </c>
      <c r="D7001" s="6">
        <v>45736</v>
      </c>
      <c r="E7001" s="3" t="str">
        <f ca="1">IF(Tabela2[[#This Row],[Dt Venc:]]&gt;TODAY(),"Em Aberto",IF(Tabela2[[#This Row],[D/venc]]="-","Enviado",IF(Tabela2[[#This Row],[Dt Venc:]]=TODAY(),"Vence Hoje","Vencida")))</f>
        <v>Em Aberto</v>
      </c>
      <c r="F7001" s="3">
        <f ca="1">IF(G7001=1,"-",Tabela2[[#This Row],[Dt Venc:]]-TODAY())</f>
        <v>43</v>
      </c>
      <c r="G7001" s="3"/>
      <c r="H7001" s="3"/>
    </row>
    <row r="7002" spans="1:8">
      <c r="A7002" s="3">
        <v>11268</v>
      </c>
      <c r="B7002" s="7" t="s">
        <v>33</v>
      </c>
      <c r="C7002" s="41">
        <v>1588.33</v>
      </c>
      <c r="D7002" s="6">
        <v>45736</v>
      </c>
      <c r="E7002" s="3" t="str">
        <f ca="1">IF(Tabela2[[#This Row],[Dt Venc:]]&gt;TODAY(),"Em Aberto",IF(Tabela2[[#This Row],[D/venc]]="-","Enviado",IF(Tabela2[[#This Row],[Dt Venc:]]=TODAY(),"Vence Hoje","Vencida")))</f>
        <v>Em Aberto</v>
      </c>
      <c r="F7002" s="3">
        <f ca="1">IF(G7002=1,"-",Tabela2[[#This Row],[Dt Venc:]]-TODAY())</f>
        <v>43</v>
      </c>
      <c r="G7002" s="3"/>
      <c r="H7002" s="3"/>
    </row>
    <row r="7003" spans="1:8">
      <c r="A7003" s="3">
        <v>15995</v>
      </c>
      <c r="B7003" s="7" t="s">
        <v>649</v>
      </c>
      <c r="C7003" s="41">
        <v>1163.33</v>
      </c>
      <c r="D7003" s="6">
        <v>45736</v>
      </c>
      <c r="E7003" s="3" t="str">
        <f ca="1">IF(Tabela2[[#This Row],[Dt Venc:]]&gt;TODAY(),"Em Aberto",IF(Tabela2[[#This Row],[D/venc]]="-","Enviado",IF(Tabela2[[#This Row],[Dt Venc:]]=TODAY(),"Vence Hoje","Vencida")))</f>
        <v>Em Aberto</v>
      </c>
      <c r="F7003" s="3">
        <f ca="1">IF(G7003=1,"-",Tabela2[[#This Row],[Dt Venc:]]-TODAY())</f>
        <v>43</v>
      </c>
      <c r="G7003" s="3"/>
      <c r="H7003" s="3"/>
    </row>
    <row r="7004" spans="1:8">
      <c r="A7004" s="3">
        <v>73715</v>
      </c>
      <c r="B7004" s="7" t="s">
        <v>333</v>
      </c>
      <c r="C7004" s="41">
        <v>718.67</v>
      </c>
      <c r="D7004" s="6">
        <v>45736</v>
      </c>
      <c r="E7004" s="3" t="str">
        <f ca="1">IF(Tabela2[[#This Row],[Dt Venc:]]&gt;TODAY(),"Em Aberto",IF(Tabela2[[#This Row],[D/venc]]="-","Enviado",IF(Tabela2[[#This Row],[Dt Venc:]]=TODAY(),"Vence Hoje","Vencida")))</f>
        <v>Em Aberto</v>
      </c>
      <c r="F7004" s="3">
        <f ca="1">IF(G7004=1,"-",Tabela2[[#This Row],[Dt Venc:]]-TODAY())</f>
        <v>43</v>
      </c>
      <c r="G7004" s="3"/>
      <c r="H7004" s="3"/>
    </row>
    <row r="7005" spans="1:8">
      <c r="A7005" s="3">
        <v>73715</v>
      </c>
      <c r="B7005" s="7" t="s">
        <v>333</v>
      </c>
      <c r="C7005" s="41">
        <v>718.67</v>
      </c>
      <c r="D7005" s="6">
        <v>45736</v>
      </c>
      <c r="E7005" s="3" t="str">
        <f ca="1">IF(Tabela2[[#This Row],[Dt Venc:]]&gt;TODAY(),"Em Aberto",IF(Tabela2[[#This Row],[D/venc]]="-","Enviado",IF(Tabela2[[#This Row],[Dt Venc:]]=TODAY(),"Vence Hoje","Vencida")))</f>
        <v>Em Aberto</v>
      </c>
      <c r="F7005" s="3">
        <f ca="1">IF(G7005=1,"-",Tabela2[[#This Row],[Dt Venc:]]-TODAY())</f>
        <v>43</v>
      </c>
      <c r="G7005" s="3"/>
      <c r="H7005" s="3"/>
    </row>
    <row r="7006" spans="1:8">
      <c r="A7006" s="3">
        <v>237189</v>
      </c>
      <c r="B7006" s="7" t="s">
        <v>40</v>
      </c>
      <c r="C7006" s="41">
        <v>980</v>
      </c>
      <c r="D7006" s="6">
        <v>45736</v>
      </c>
      <c r="E7006" s="3" t="str">
        <f ca="1">IF(Tabela2[[#This Row],[Dt Venc:]]&gt;TODAY(),"Em Aberto",IF(Tabela2[[#This Row],[D/venc]]="-","Enviado",IF(Tabela2[[#This Row],[Dt Venc:]]=TODAY(),"Vence Hoje","Vencida")))</f>
        <v>Em Aberto</v>
      </c>
      <c r="F7006" s="3">
        <f ca="1">IF(G7006=1,"-",Tabela2[[#This Row],[Dt Venc:]]-TODAY())</f>
        <v>43</v>
      </c>
      <c r="G7006" s="3"/>
      <c r="H7006" s="3"/>
    </row>
    <row r="7007" spans="1:8">
      <c r="A7007" s="3">
        <v>237190</v>
      </c>
      <c r="B7007" s="7" t="s">
        <v>40</v>
      </c>
      <c r="C7007" s="41">
        <v>653.34</v>
      </c>
      <c r="D7007" s="6">
        <v>45736</v>
      </c>
      <c r="E7007" s="3" t="str">
        <f ca="1">IF(Tabela2[[#This Row],[Dt Venc:]]&gt;TODAY(),"Em Aberto",IF(Tabela2[[#This Row],[D/venc]]="-","Enviado",IF(Tabela2[[#This Row],[Dt Venc:]]=TODAY(),"Vence Hoje","Vencida")))</f>
        <v>Em Aberto</v>
      </c>
      <c r="F7007" s="3">
        <f ca="1">IF(G7007=1,"-",Tabela2[[#This Row],[Dt Venc:]]-TODAY())</f>
        <v>43</v>
      </c>
      <c r="G7007" s="3"/>
      <c r="H7007" s="3"/>
    </row>
    <row r="7008" spans="1:8">
      <c r="A7008" s="3">
        <v>271234</v>
      </c>
      <c r="B7008" s="7" t="s">
        <v>43</v>
      </c>
      <c r="C7008" s="41">
        <v>409.76</v>
      </c>
      <c r="D7008" s="6">
        <v>45736</v>
      </c>
      <c r="E7008" s="3" t="str">
        <f ca="1">IF(Tabela2[[#This Row],[Dt Venc:]]&gt;TODAY(),"Em Aberto",IF(Tabela2[[#This Row],[D/venc]]="-","Enviado",IF(Tabela2[[#This Row],[Dt Venc:]]=TODAY(),"Vence Hoje","Vencida")))</f>
        <v>Em Aberto</v>
      </c>
      <c r="F7008" s="3">
        <f ca="1">IF(G7008=1,"-",Tabela2[[#This Row],[Dt Venc:]]-TODAY())</f>
        <v>43</v>
      </c>
      <c r="G7008" s="3"/>
      <c r="H7008" s="3"/>
    </row>
    <row r="7009" spans="1:8">
      <c r="A7009" s="3">
        <v>622205</v>
      </c>
      <c r="B7009" s="7" t="s">
        <v>66</v>
      </c>
      <c r="C7009" s="41">
        <v>546.13</v>
      </c>
      <c r="D7009" s="6">
        <v>45736</v>
      </c>
      <c r="E7009" s="3" t="str">
        <f ca="1">IF(Tabela2[[#This Row],[Dt Venc:]]&gt;TODAY(),"Em Aberto",IF(Tabela2[[#This Row],[D/venc]]="-","Enviado",IF(Tabela2[[#This Row],[Dt Venc:]]=TODAY(),"Vence Hoje","Vencida")))</f>
        <v>Em Aberto</v>
      </c>
      <c r="F7009" s="3">
        <f ca="1">IF(G7009=1,"-",Tabela2[[#This Row],[Dt Venc:]]-TODAY())</f>
        <v>43</v>
      </c>
      <c r="G7009" s="3"/>
      <c r="H7009" s="3"/>
    </row>
    <row r="7010" spans="1:8">
      <c r="A7010" s="3">
        <v>625808</v>
      </c>
      <c r="B7010" s="7" t="s">
        <v>66</v>
      </c>
      <c r="C7010" s="41">
        <v>900.9</v>
      </c>
      <c r="D7010" s="6">
        <v>45736</v>
      </c>
      <c r="E7010" s="3" t="str">
        <f ca="1">IF(Tabela2[[#This Row],[Dt Venc:]]&gt;TODAY(),"Em Aberto",IF(Tabela2[[#This Row],[D/venc]]="-","Enviado",IF(Tabela2[[#This Row],[Dt Venc:]]=TODAY(),"Vence Hoje","Vencida")))</f>
        <v>Em Aberto</v>
      </c>
      <c r="F7010" s="3">
        <f ca="1">IF(G7010=1,"-",Tabela2[[#This Row],[Dt Venc:]]-TODAY())</f>
        <v>43</v>
      </c>
      <c r="G7010" s="3"/>
      <c r="H7010" s="3"/>
    </row>
    <row r="7011" spans="1:8">
      <c r="A7011" s="3">
        <v>15441</v>
      </c>
      <c r="B7011" s="7" t="s">
        <v>44</v>
      </c>
      <c r="C7011" s="41">
        <v>1062.5</v>
      </c>
      <c r="D7011" s="6">
        <v>45736</v>
      </c>
      <c r="E7011" s="3" t="str">
        <f ca="1">IF(Tabela2[[#This Row],[Dt Venc:]]&gt;TODAY(),"Em Aberto",IF(Tabela2[[#This Row],[D/venc]]="-","Enviado",IF(Tabela2[[#This Row],[Dt Venc:]]=TODAY(),"Vence Hoje","Vencida")))</f>
        <v>Em Aberto</v>
      </c>
      <c r="F7011" s="3">
        <f ca="1">IF(G7011=1,"-",Tabela2[[#This Row],[Dt Venc:]]-TODAY())</f>
        <v>43</v>
      </c>
      <c r="G7011" s="3"/>
      <c r="H7011" s="3"/>
    </row>
    <row r="7012" spans="1:8">
      <c r="A7012" s="3">
        <v>306617</v>
      </c>
      <c r="B7012" s="7" t="s">
        <v>506</v>
      </c>
      <c r="C7012" s="41">
        <v>155.04</v>
      </c>
      <c r="D7012" s="6">
        <v>45736</v>
      </c>
      <c r="E7012" s="3" t="str">
        <f ca="1">IF(Tabela2[[#This Row],[Dt Venc:]]&gt;TODAY(),"Em Aberto",IF(Tabela2[[#This Row],[D/venc]]="-","Enviado",IF(Tabela2[[#This Row],[Dt Venc:]]=TODAY(),"Vence Hoje","Vencida")))</f>
        <v>Em Aberto</v>
      </c>
      <c r="F7012" s="3">
        <f ca="1">IF(G7012=1,"-",Tabela2[[#This Row],[Dt Venc:]]-TODAY())</f>
        <v>43</v>
      </c>
      <c r="G7012" s="3"/>
      <c r="H7012" s="3"/>
    </row>
    <row r="7013" spans="1:8">
      <c r="A7013" s="3">
        <v>1805</v>
      </c>
      <c r="B7013" s="7" t="s">
        <v>560</v>
      </c>
      <c r="C7013" s="41">
        <v>439</v>
      </c>
      <c r="D7013" s="6">
        <v>45737</v>
      </c>
      <c r="E7013" s="3" t="str">
        <f ca="1">IF(Tabela2[[#This Row],[Dt Venc:]]&gt;TODAY(),"Em Aberto",IF(Tabela2[[#This Row],[D/venc]]="-","Enviado",IF(Tabela2[[#This Row],[Dt Venc:]]=TODAY(),"Vence Hoje","Vencida")))</f>
        <v>Em Aberto</v>
      </c>
      <c r="F7013" s="3">
        <f ca="1">IF(G7013=1,"-",Tabela2[[#This Row],[Dt Venc:]]-TODAY())</f>
        <v>44</v>
      </c>
      <c r="G7013" s="3"/>
      <c r="H7013" s="3"/>
    </row>
    <row r="7014" spans="1:8">
      <c r="A7014" s="3">
        <v>6402</v>
      </c>
      <c r="B7014" s="7" t="s">
        <v>47</v>
      </c>
      <c r="C7014" s="41">
        <v>1133.33</v>
      </c>
      <c r="D7014" s="6">
        <v>45737</v>
      </c>
      <c r="E7014" s="3" t="str">
        <f ca="1">IF(Tabela2[[#This Row],[Dt Venc:]]&gt;TODAY(),"Em Aberto",IF(Tabela2[[#This Row],[D/venc]]="-","Enviado",IF(Tabela2[[#This Row],[Dt Venc:]]=TODAY(),"Vence Hoje","Vencida")))</f>
        <v>Em Aberto</v>
      </c>
      <c r="F7014" s="3">
        <f ca="1">IF(G7014=1,"-",Tabela2[[#This Row],[Dt Venc:]]-TODAY())</f>
        <v>44</v>
      </c>
      <c r="G7014" s="3"/>
      <c r="H7014" s="3"/>
    </row>
    <row r="7015" spans="1:8">
      <c r="A7015" s="3">
        <v>12794</v>
      </c>
      <c r="B7015" s="7" t="s">
        <v>211</v>
      </c>
      <c r="C7015" s="41">
        <v>1033.3399999999999</v>
      </c>
      <c r="D7015" s="6">
        <v>45737</v>
      </c>
      <c r="E7015" s="3" t="str">
        <f ca="1">IF(Tabela2[[#This Row],[Dt Venc:]]&gt;TODAY(),"Em Aberto",IF(Tabela2[[#This Row],[D/venc]]="-","Enviado",IF(Tabela2[[#This Row],[Dt Venc:]]=TODAY(),"Vence Hoje","Vencida")))</f>
        <v>Em Aberto</v>
      </c>
      <c r="F7015" s="3">
        <f ca="1">IF(G7015=1,"-",Tabela2[[#This Row],[Dt Venc:]]-TODAY())</f>
        <v>44</v>
      </c>
      <c r="G7015" s="3"/>
      <c r="H7015" s="3"/>
    </row>
    <row r="7016" spans="1:8">
      <c r="A7016" s="3">
        <v>24444</v>
      </c>
      <c r="B7016" s="7" t="s">
        <v>38</v>
      </c>
      <c r="C7016" s="41">
        <v>445.33</v>
      </c>
      <c r="D7016" s="6">
        <v>45737</v>
      </c>
      <c r="E7016" s="3" t="str">
        <f ca="1">IF(Tabela2[[#This Row],[Dt Venc:]]&gt;TODAY(),"Em Aberto",IF(Tabela2[[#This Row],[D/venc]]="-","Enviado",IF(Tabela2[[#This Row],[Dt Venc:]]=TODAY(),"Vence Hoje","Vencida")))</f>
        <v>Em Aberto</v>
      </c>
      <c r="F7016" s="3">
        <f ca="1">IF(G7016=1,"-",Tabela2[[#This Row],[Dt Venc:]]-TODAY())</f>
        <v>44</v>
      </c>
      <c r="G7016" s="3"/>
      <c r="H7016" s="3"/>
    </row>
    <row r="7017" spans="1:8">
      <c r="A7017" s="3">
        <v>31300</v>
      </c>
      <c r="B7017" s="7" t="s">
        <v>97</v>
      </c>
      <c r="C7017" s="41">
        <v>2510</v>
      </c>
      <c r="D7017" s="6">
        <v>45737</v>
      </c>
      <c r="E7017" s="3" t="str">
        <f ca="1">IF(Tabela2[[#This Row],[Dt Venc:]]&gt;TODAY(),"Em Aberto",IF(Tabela2[[#This Row],[D/venc]]="-","Enviado",IF(Tabela2[[#This Row],[Dt Venc:]]=TODAY(),"Vence Hoje","Vencida")))</f>
        <v>Em Aberto</v>
      </c>
      <c r="F7017" s="3">
        <f ca="1">IF(G7017=1,"-",Tabela2[[#This Row],[Dt Venc:]]-TODAY())</f>
        <v>44</v>
      </c>
      <c r="G7017" s="3"/>
      <c r="H7017" s="3"/>
    </row>
    <row r="7018" spans="1:8">
      <c r="A7018" s="3">
        <v>91022</v>
      </c>
      <c r="B7018" s="7" t="s">
        <v>207</v>
      </c>
      <c r="C7018" s="41">
        <v>1250</v>
      </c>
      <c r="D7018" s="6">
        <v>45737</v>
      </c>
      <c r="E7018" s="3" t="str">
        <f ca="1">IF(Tabela2[[#This Row],[Dt Venc:]]&gt;TODAY(),"Em Aberto",IF(Tabela2[[#This Row],[D/venc]]="-","Enviado",IF(Tabela2[[#This Row],[Dt Venc:]]=TODAY(),"Vence Hoje","Vencida")))</f>
        <v>Em Aberto</v>
      </c>
      <c r="F7018" s="3">
        <f ca="1">IF(G7018=1,"-",Tabela2[[#This Row],[Dt Venc:]]-TODAY())</f>
        <v>44</v>
      </c>
      <c r="G7018" s="3"/>
      <c r="H7018" s="3"/>
    </row>
    <row r="7019" spans="1:8">
      <c r="A7019" s="3">
        <v>155995</v>
      </c>
      <c r="B7019" s="7" t="s">
        <v>77</v>
      </c>
      <c r="C7019" s="41">
        <v>773.33</v>
      </c>
      <c r="D7019" s="6">
        <v>45737</v>
      </c>
      <c r="E7019" s="3" t="str">
        <f ca="1">IF(Tabela2[[#This Row],[Dt Venc:]]&gt;TODAY(),"Em Aberto",IF(Tabela2[[#This Row],[D/venc]]="-","Enviado",IF(Tabela2[[#This Row],[Dt Venc:]]=TODAY(),"Vence Hoje","Vencida")))</f>
        <v>Em Aberto</v>
      </c>
      <c r="F7019" s="3">
        <f ca="1">IF(G7019=1,"-",Tabela2[[#This Row],[Dt Venc:]]-TODAY())</f>
        <v>44</v>
      </c>
      <c r="G7019" s="3"/>
      <c r="H7019" s="3"/>
    </row>
    <row r="7020" spans="1:8">
      <c r="A7020" s="3">
        <v>178612</v>
      </c>
      <c r="B7020" s="7" t="s">
        <v>211</v>
      </c>
      <c r="C7020" s="41">
        <v>526.66</v>
      </c>
      <c r="D7020" s="6">
        <v>45737</v>
      </c>
      <c r="E7020" s="3" t="str">
        <f ca="1">IF(Tabela2[[#This Row],[Dt Venc:]]&gt;TODAY(),"Em Aberto",IF(Tabela2[[#This Row],[D/venc]]="-","Enviado",IF(Tabela2[[#This Row],[Dt Venc:]]=TODAY(),"Vence Hoje","Vencida")))</f>
        <v>Em Aberto</v>
      </c>
      <c r="F7020" s="3">
        <f ca="1">IF(G7020=1,"-",Tabela2[[#This Row],[Dt Venc:]]-TODAY())</f>
        <v>44</v>
      </c>
      <c r="G7020" s="3"/>
      <c r="H7020" s="3"/>
    </row>
    <row r="7021" spans="1:8">
      <c r="A7021" s="3">
        <v>305700</v>
      </c>
      <c r="B7021" s="7" t="s">
        <v>506</v>
      </c>
      <c r="C7021" s="41">
        <v>3072.34</v>
      </c>
      <c r="D7021" s="6">
        <v>45737</v>
      </c>
      <c r="E7021" s="3" t="str">
        <f ca="1">IF(Tabela2[[#This Row],[Dt Venc:]]&gt;TODAY(),"Em Aberto",IF(Tabela2[[#This Row],[D/venc]]="-","Enviado",IF(Tabela2[[#This Row],[Dt Venc:]]=TODAY(),"Vence Hoje","Vencida")))</f>
        <v>Em Aberto</v>
      </c>
      <c r="F7021" s="3">
        <f ca="1">IF(G7021=1,"-",Tabela2[[#This Row],[Dt Venc:]]-TODAY())</f>
        <v>44</v>
      </c>
      <c r="G7021" s="3"/>
      <c r="H7021" s="3"/>
    </row>
    <row r="7022" spans="1:8">
      <c r="A7022" s="3">
        <v>381900</v>
      </c>
      <c r="B7022" s="7" t="s">
        <v>567</v>
      </c>
      <c r="C7022" s="41">
        <v>558.02</v>
      </c>
      <c r="D7022" s="6">
        <v>45737</v>
      </c>
      <c r="E7022" s="3" t="str">
        <f ca="1">IF(Tabela2[[#This Row],[Dt Venc:]]&gt;TODAY(),"Em Aberto",IF(Tabela2[[#This Row],[D/venc]]="-","Enviado",IF(Tabela2[[#This Row],[Dt Venc:]]=TODAY(),"Vence Hoje","Vencida")))</f>
        <v>Em Aberto</v>
      </c>
      <c r="F7022" s="3">
        <f ca="1">IF(G7022=1,"-",Tabela2[[#This Row],[Dt Venc:]]-TODAY())</f>
        <v>44</v>
      </c>
      <c r="G7022" s="3"/>
      <c r="H7022" s="3"/>
    </row>
    <row r="7023" spans="1:8">
      <c r="A7023" s="3">
        <v>306658</v>
      </c>
      <c r="B7023" s="7" t="s">
        <v>506</v>
      </c>
      <c r="C7023" s="41">
        <v>1138</v>
      </c>
      <c r="D7023" s="6">
        <v>45737</v>
      </c>
      <c r="E7023" s="3" t="str">
        <f ca="1">IF(Tabela2[[#This Row],[Dt Venc:]]&gt;TODAY(),"Em Aberto",IF(Tabela2[[#This Row],[D/venc]]="-","Enviado",IF(Tabela2[[#This Row],[Dt Venc:]]=TODAY(),"Vence Hoje","Vencida")))</f>
        <v>Em Aberto</v>
      </c>
      <c r="F7023" s="3">
        <f ca="1">IF(G7023=1,"-",Tabela2[[#This Row],[Dt Venc:]]-TODAY())</f>
        <v>44</v>
      </c>
      <c r="G7023" s="3"/>
      <c r="H7023" s="3"/>
    </row>
    <row r="7024" spans="1:8">
      <c r="A7024" s="3">
        <v>2383</v>
      </c>
      <c r="B7024" s="7" t="s">
        <v>45</v>
      </c>
      <c r="C7024" s="41">
        <v>745</v>
      </c>
      <c r="D7024" s="6">
        <v>45737</v>
      </c>
      <c r="E7024" s="3" t="str">
        <f ca="1">IF(Tabela2[[#This Row],[Dt Venc:]]&gt;TODAY(),"Em Aberto",IF(Tabela2[[#This Row],[D/venc]]="-","Enviado",IF(Tabela2[[#This Row],[Dt Venc:]]=TODAY(),"Vence Hoje","Vencida")))</f>
        <v>Em Aberto</v>
      </c>
      <c r="F7024" s="3">
        <f ca="1">IF(G7024=1,"-",Tabela2[[#This Row],[Dt Venc:]]-TODAY())</f>
        <v>44</v>
      </c>
      <c r="G7024" s="3"/>
      <c r="H7024" s="3"/>
    </row>
    <row r="7025" spans="1:8">
      <c r="A7025" s="3">
        <v>306658</v>
      </c>
      <c r="B7025" s="7" t="s">
        <v>506</v>
      </c>
      <c r="C7025" s="41">
        <v>1138</v>
      </c>
      <c r="D7025" s="6">
        <v>45737</v>
      </c>
      <c r="E7025" s="3" t="str">
        <f ca="1">IF(Tabela2[[#This Row],[Dt Venc:]]&gt;TODAY(),"Em Aberto",IF(Tabela2[[#This Row],[D/venc]]="-","Enviado",IF(Tabela2[[#This Row],[Dt Venc:]]=TODAY(),"Vence Hoje","Vencida")))</f>
        <v>Em Aberto</v>
      </c>
      <c r="F7025" s="3">
        <f ca="1">IF(G7025=1,"-",Tabela2[[#This Row],[Dt Venc:]]-TODAY())</f>
        <v>44</v>
      </c>
      <c r="G7025" s="3"/>
      <c r="H7025" s="3"/>
    </row>
    <row r="7026" spans="1:8">
      <c r="A7026" s="3">
        <v>1763</v>
      </c>
      <c r="B7026" s="7" t="s">
        <v>258</v>
      </c>
      <c r="C7026" s="41">
        <v>956.67</v>
      </c>
      <c r="D7026" s="6">
        <v>45738</v>
      </c>
      <c r="E7026" s="3" t="str">
        <f ca="1">IF(Tabela2[[#This Row],[Dt Venc:]]&gt;TODAY(),"Em Aberto",IF(Tabela2[[#This Row],[D/venc]]="-","Enviado",IF(Tabela2[[#This Row],[Dt Venc:]]=TODAY(),"Vence Hoje","Vencida")))</f>
        <v>Em Aberto</v>
      </c>
      <c r="F7026" s="3">
        <f ca="1">IF(G7026=1,"-",Tabela2[[#This Row],[Dt Venc:]]-TODAY())</f>
        <v>45</v>
      </c>
      <c r="G7026" s="3"/>
      <c r="H7026" s="3"/>
    </row>
    <row r="7027" spans="1:8">
      <c r="A7027" s="3">
        <v>5192</v>
      </c>
      <c r="B7027" s="7" t="s">
        <v>463</v>
      </c>
      <c r="C7027" s="41">
        <v>2001.3</v>
      </c>
      <c r="D7027" s="6">
        <v>45738</v>
      </c>
      <c r="E7027" s="3" t="str">
        <f ca="1">IF(Tabela2[[#This Row],[Dt Venc:]]&gt;TODAY(),"Em Aberto",IF(Tabela2[[#This Row],[D/venc]]="-","Enviado",IF(Tabela2[[#This Row],[Dt Venc:]]=TODAY(),"Vence Hoje","Vencida")))</f>
        <v>Em Aberto</v>
      </c>
      <c r="F7027" s="3">
        <f ca="1">IF(G7027=1,"-",Tabela2[[#This Row],[Dt Venc:]]-TODAY())</f>
        <v>45</v>
      </c>
      <c r="G7027" s="3"/>
      <c r="H7027" s="3"/>
    </row>
    <row r="7028" spans="1:8">
      <c r="A7028" s="3">
        <v>30420</v>
      </c>
      <c r="B7028" s="7" t="s">
        <v>18</v>
      </c>
      <c r="C7028" s="41">
        <v>2925</v>
      </c>
      <c r="D7028" s="6">
        <v>45738</v>
      </c>
      <c r="E7028" s="3" t="str">
        <f ca="1">IF(Tabela2[[#This Row],[Dt Venc:]]&gt;TODAY(),"Em Aberto",IF(Tabela2[[#This Row],[D/venc]]="-","Enviado",IF(Tabela2[[#This Row],[Dt Venc:]]=TODAY(),"Vence Hoje","Vencida")))</f>
        <v>Em Aberto</v>
      </c>
      <c r="F7028" s="3">
        <f ca="1">IF(G7028=1,"-",Tabela2[[#This Row],[Dt Venc:]]-TODAY())</f>
        <v>45</v>
      </c>
      <c r="G7028" s="3"/>
      <c r="H7028" s="3"/>
    </row>
    <row r="7029" spans="1:8">
      <c r="A7029" s="3">
        <v>31063</v>
      </c>
      <c r="B7029" s="7" t="s">
        <v>97</v>
      </c>
      <c r="C7029" s="41">
        <v>2395</v>
      </c>
      <c r="D7029" s="6">
        <v>45738</v>
      </c>
      <c r="E7029" s="3" t="str">
        <f ca="1">IF(Tabela2[[#This Row],[Dt Venc:]]&gt;TODAY(),"Em Aberto",IF(Tabela2[[#This Row],[D/venc]]="-","Enviado",IF(Tabela2[[#This Row],[Dt Venc:]]=TODAY(),"Vence Hoje","Vencida")))</f>
        <v>Em Aberto</v>
      </c>
      <c r="F7029" s="3">
        <f ca="1">IF(G7029=1,"-",Tabela2[[#This Row],[Dt Venc:]]-TODAY())</f>
        <v>45</v>
      </c>
      <c r="G7029" s="3"/>
      <c r="H7029" s="3"/>
    </row>
    <row r="7030" spans="1:8">
      <c r="A7030" s="3">
        <v>37348</v>
      </c>
      <c r="B7030" s="7" t="s">
        <v>167</v>
      </c>
      <c r="C7030" s="99" t="s">
        <v>32</v>
      </c>
      <c r="D7030" s="6">
        <v>45738</v>
      </c>
      <c r="E7030" s="3" t="str">
        <f ca="1">IF(Tabela2[[#This Row],[Dt Venc:]]&gt;TODAY(),"Em Aberto",IF(Tabela2[[#This Row],[D/venc]]="-","Enviado",IF(Tabela2[[#This Row],[Dt Venc:]]=TODAY(),"Vence Hoje","Vencida")))</f>
        <v>Em Aberto</v>
      </c>
      <c r="F7030" s="3">
        <f ca="1">IF(G7030=1,"-",Tabela2[[#This Row],[Dt Venc:]]-TODAY())</f>
        <v>45</v>
      </c>
      <c r="G7030" s="3"/>
      <c r="H7030" s="3"/>
    </row>
    <row r="7031" spans="1:8">
      <c r="A7031" s="3">
        <v>180176</v>
      </c>
      <c r="B7031" s="7" t="s">
        <v>174</v>
      </c>
      <c r="C7031" s="41">
        <v>926.66</v>
      </c>
      <c r="D7031" s="6">
        <v>45738</v>
      </c>
      <c r="E7031" s="3" t="str">
        <f ca="1">IF(Tabela2[[#This Row],[Dt Venc:]]&gt;TODAY(),"Em Aberto",IF(Tabela2[[#This Row],[D/venc]]="-","Enviado",IF(Tabela2[[#This Row],[Dt Venc:]]=TODAY(),"Vence Hoje","Vencida")))</f>
        <v>Em Aberto</v>
      </c>
      <c r="F7031" s="3">
        <f ca="1">IF(G7031=1,"-",Tabela2[[#This Row],[Dt Venc:]]-TODAY())</f>
        <v>45</v>
      </c>
      <c r="G7031" s="3"/>
      <c r="H7031" s="3"/>
    </row>
    <row r="7032" spans="1:8">
      <c r="A7032" s="3">
        <v>432511</v>
      </c>
      <c r="B7032" s="7" t="s">
        <v>89</v>
      </c>
      <c r="C7032" s="41">
        <v>961.26</v>
      </c>
      <c r="D7032" s="6">
        <v>45738</v>
      </c>
      <c r="E7032" s="3" t="str">
        <f ca="1">IF(Tabela2[[#This Row],[Dt Venc:]]&gt;TODAY(),"Em Aberto",IF(Tabela2[[#This Row],[D/venc]]="-","Enviado",IF(Tabela2[[#This Row],[Dt Venc:]]=TODAY(),"Vence Hoje","Vencida")))</f>
        <v>Em Aberto</v>
      </c>
      <c r="F7032" s="3">
        <f ca="1">IF(G7032=1,"-",Tabela2[[#This Row],[Dt Venc:]]-TODAY())</f>
        <v>45</v>
      </c>
      <c r="G7032" s="3"/>
      <c r="H7032" s="3"/>
    </row>
    <row r="7033" spans="1:8">
      <c r="A7033" s="3">
        <v>2981</v>
      </c>
      <c r="B7033" s="7" t="s">
        <v>58</v>
      </c>
      <c r="C7033" s="41">
        <v>1700.6</v>
      </c>
      <c r="D7033" s="6">
        <v>45738</v>
      </c>
      <c r="E7033" s="3" t="str">
        <f ca="1">IF(Tabela2[[#This Row],[Dt Venc:]]&gt;TODAY(),"Em Aberto",IF(Tabela2[[#This Row],[D/venc]]="-","Enviado",IF(Tabela2[[#This Row],[Dt Venc:]]=TODAY(),"Vence Hoje","Vencida")))</f>
        <v>Em Aberto</v>
      </c>
      <c r="F7033" s="3">
        <f ca="1">IF(G7033=1,"-",Tabela2[[#This Row],[Dt Venc:]]-TODAY())</f>
        <v>45</v>
      </c>
      <c r="G7033" s="3"/>
      <c r="H7033" s="3"/>
    </row>
    <row r="7034" spans="1:8">
      <c r="A7034" s="3" t="s">
        <v>110</v>
      </c>
      <c r="B7034" s="7" t="s">
        <v>337</v>
      </c>
      <c r="C7034" s="42" t="s">
        <v>32</v>
      </c>
      <c r="D7034" s="6">
        <v>45739</v>
      </c>
      <c r="E7034" s="3" t="str">
        <f ca="1">IF(Tabela2[[#This Row],[Dt Venc:]]&gt;TODAY(),"Em Aberto",IF(Tabela2[[#This Row],[D/venc]]="-","Enviado",IF(Tabela2[[#This Row],[Dt Venc:]]=TODAY(),"Vence Hoje","Vencida")))</f>
        <v>Em Aberto</v>
      </c>
      <c r="F7034" s="3">
        <f ca="1">IF(G7034=1,"-",Tabela2[[#This Row],[Dt Venc:]]-TODAY())</f>
        <v>46</v>
      </c>
      <c r="G7034" s="3"/>
      <c r="H7034" s="3"/>
    </row>
    <row r="7035" spans="1:8">
      <c r="A7035" s="3">
        <v>1414</v>
      </c>
      <c r="B7035" s="7" t="s">
        <v>113</v>
      </c>
      <c r="C7035" s="41">
        <v>1316.66</v>
      </c>
      <c r="D7035" s="6">
        <v>45739</v>
      </c>
      <c r="E7035" s="3" t="str">
        <f ca="1">IF(Tabela2[[#This Row],[Dt Venc:]]&gt;TODAY(),"Em Aberto",IF(Tabela2[[#This Row],[D/venc]]="-","Enviado",IF(Tabela2[[#This Row],[Dt Venc:]]=TODAY(),"Vence Hoje","Vencida")))</f>
        <v>Em Aberto</v>
      </c>
      <c r="F7035" s="3">
        <f ca="1">IF(G7035=1,"-",Tabela2[[#This Row],[Dt Venc:]]-TODAY())</f>
        <v>46</v>
      </c>
      <c r="G7035" s="3"/>
      <c r="H7035" s="3"/>
    </row>
    <row r="7036" spans="1:8">
      <c r="A7036" s="3">
        <v>6313</v>
      </c>
      <c r="B7036" s="7" t="s">
        <v>47</v>
      </c>
      <c r="C7036" s="41">
        <v>675.2</v>
      </c>
      <c r="D7036" s="6">
        <v>45739</v>
      </c>
      <c r="E7036" s="3" t="str">
        <f ca="1">IF(Tabela2[[#This Row],[Dt Venc:]]&gt;TODAY(),"Em Aberto",IF(Tabela2[[#This Row],[D/venc]]="-","Enviado",IF(Tabela2[[#This Row],[Dt Venc:]]=TODAY(),"Vence Hoje","Vencida")))</f>
        <v>Em Aberto</v>
      </c>
      <c r="F7036" s="3">
        <f ca="1">IF(G7036=1,"-",Tabela2[[#This Row],[Dt Venc:]]-TODAY())</f>
        <v>46</v>
      </c>
      <c r="G7036" s="3"/>
      <c r="H7036" s="3"/>
    </row>
    <row r="7037" spans="1:8">
      <c r="A7037" s="3">
        <v>11278</v>
      </c>
      <c r="B7037" s="7" t="s">
        <v>33</v>
      </c>
      <c r="C7037" s="41">
        <v>1905</v>
      </c>
      <c r="D7037" s="6">
        <v>45739</v>
      </c>
      <c r="E7037" s="3" t="str">
        <f ca="1">IF(Tabela2[[#This Row],[Dt Venc:]]&gt;TODAY(),"Em Aberto",IF(Tabela2[[#This Row],[D/venc]]="-","Enviado",IF(Tabela2[[#This Row],[Dt Venc:]]=TODAY(),"Vence Hoje","Vencida")))</f>
        <v>Em Aberto</v>
      </c>
      <c r="F7037" s="3">
        <f ca="1">IF(G7037=1,"-",Tabela2[[#This Row],[Dt Venc:]]-TODAY())</f>
        <v>46</v>
      </c>
      <c r="G7037" s="3"/>
      <c r="H7037" s="3"/>
    </row>
    <row r="7038" spans="1:8">
      <c r="A7038" s="3">
        <v>11369</v>
      </c>
      <c r="B7038" s="7" t="s">
        <v>33</v>
      </c>
      <c r="C7038" s="41">
        <v>1676.66</v>
      </c>
      <c r="D7038" s="6">
        <v>45739</v>
      </c>
      <c r="E7038" s="3" t="str">
        <f ca="1">IF(Tabela2[[#This Row],[Dt Venc:]]&gt;TODAY(),"Em Aberto",IF(Tabela2[[#This Row],[D/venc]]="-","Enviado",IF(Tabela2[[#This Row],[Dt Venc:]]=TODAY(),"Vence Hoje","Vencida")))</f>
        <v>Em Aberto</v>
      </c>
      <c r="F7038" s="3">
        <f ca="1">IF(G7038=1,"-",Tabela2[[#This Row],[Dt Venc:]]-TODAY())</f>
        <v>46</v>
      </c>
      <c r="G7038" s="3"/>
      <c r="H7038" s="3"/>
    </row>
    <row r="7039" spans="1:8">
      <c r="A7039" s="3">
        <v>30058</v>
      </c>
      <c r="B7039" s="7" t="s">
        <v>97</v>
      </c>
      <c r="C7039" s="42">
        <v>4765</v>
      </c>
      <c r="D7039" s="6">
        <v>45739</v>
      </c>
      <c r="E7039" s="3" t="str">
        <f ca="1">IF(Tabela2[[#This Row],[Dt Venc:]]&gt;TODAY(),"Em Aberto",IF(Tabela2[[#This Row],[D/venc]]="-","Enviado",IF(Tabela2[[#This Row],[Dt Venc:]]=TODAY(),"Vence Hoje","Vencida")))</f>
        <v>Em Aberto</v>
      </c>
      <c r="F7039" s="3">
        <f ca="1">IF(G7039=1,"-",Tabela2[[#This Row],[Dt Venc:]]-TODAY())</f>
        <v>46</v>
      </c>
      <c r="G7039" s="3"/>
      <c r="H7039" s="3"/>
    </row>
    <row r="7040" spans="1:8">
      <c r="A7040" s="3">
        <v>156053</v>
      </c>
      <c r="B7040" s="7" t="s">
        <v>77</v>
      </c>
      <c r="C7040" s="41">
        <v>773.33</v>
      </c>
      <c r="D7040" s="6">
        <v>45739</v>
      </c>
      <c r="E7040" s="3" t="str">
        <f ca="1">IF(Tabela2[[#This Row],[Dt Venc:]]&gt;TODAY(),"Em Aberto",IF(Tabela2[[#This Row],[D/venc]]="-","Enviado",IF(Tabela2[[#This Row],[Dt Venc:]]=TODAY(),"Vence Hoje","Vencida")))</f>
        <v>Em Aberto</v>
      </c>
      <c r="F7040" s="3">
        <f ca="1">IF(G7040=1,"-",Tabela2[[#This Row],[Dt Venc:]]-TODAY())</f>
        <v>46</v>
      </c>
      <c r="G7040" s="3"/>
      <c r="H7040" s="3"/>
    </row>
    <row r="7041" spans="1:8">
      <c r="A7041" s="3">
        <v>156054</v>
      </c>
      <c r="B7041" s="7" t="s">
        <v>77</v>
      </c>
      <c r="C7041" s="41">
        <v>1233.33</v>
      </c>
      <c r="D7041" s="6">
        <v>45739</v>
      </c>
      <c r="E7041" s="3" t="str">
        <f ca="1">IF(Tabela2[[#This Row],[Dt Venc:]]&gt;TODAY(),"Em Aberto",IF(Tabela2[[#This Row],[D/venc]]="-","Enviado",IF(Tabela2[[#This Row],[Dt Venc:]]=TODAY(),"Vence Hoje","Vencida")))</f>
        <v>Em Aberto</v>
      </c>
      <c r="F7041" s="3">
        <f ca="1">IF(G7041=1,"-",Tabela2[[#This Row],[Dt Venc:]]-TODAY())</f>
        <v>46</v>
      </c>
      <c r="G7041" s="3"/>
      <c r="H7041" s="3"/>
    </row>
    <row r="7042" spans="1:8">
      <c r="A7042" s="3">
        <v>229739</v>
      </c>
      <c r="B7042" s="7" t="s">
        <v>127</v>
      </c>
      <c r="C7042" s="41">
        <v>321.13</v>
      </c>
      <c r="D7042" s="6">
        <v>45739</v>
      </c>
      <c r="E7042" s="3" t="str">
        <f ca="1">IF(Tabela2[[#This Row],[Dt Venc:]]&gt;TODAY(),"Em Aberto",IF(Tabela2[[#This Row],[D/venc]]="-","Enviado",IF(Tabela2[[#This Row],[Dt Venc:]]=TODAY(),"Vence Hoje","Vencida")))</f>
        <v>Em Aberto</v>
      </c>
      <c r="F7042" s="3">
        <f ca="1">IF(G7042=1,"-",Tabela2[[#This Row],[Dt Venc:]]-TODAY())</f>
        <v>46</v>
      </c>
      <c r="G7042" s="3"/>
      <c r="H7042" s="3"/>
    </row>
    <row r="7043" spans="1:8">
      <c r="A7043" s="3">
        <v>654537</v>
      </c>
      <c r="B7043" s="7" t="s">
        <v>648</v>
      </c>
      <c r="C7043" s="87" t="s">
        <v>32</v>
      </c>
      <c r="D7043" s="6">
        <v>45739</v>
      </c>
      <c r="E7043" s="3" t="str">
        <f ca="1">IF(Tabela2[[#This Row],[Dt Venc:]]&gt;TODAY(),"Em Aberto",IF(Tabela2[[#This Row],[D/venc]]="-","Enviado",IF(Tabela2[[#This Row],[Dt Venc:]]=TODAY(),"Vence Hoje","Vencida")))</f>
        <v>Em Aberto</v>
      </c>
      <c r="F7043" s="3">
        <f ca="1">IF(G7043=1,"-",Tabela2[[#This Row],[Dt Venc:]]-TODAY())</f>
        <v>46</v>
      </c>
      <c r="G7043" s="3"/>
      <c r="H7043" s="3"/>
    </row>
    <row r="7044" spans="1:8">
      <c r="A7044" s="3">
        <v>540</v>
      </c>
      <c r="B7044" s="7" t="s">
        <v>631</v>
      </c>
      <c r="C7044" s="41">
        <v>1233.3399999999999</v>
      </c>
      <c r="D7044" s="6">
        <v>45740</v>
      </c>
      <c r="E7044" s="3" t="str">
        <f ca="1">IF(Tabela2[[#This Row],[Dt Venc:]]&gt;TODAY(),"Em Aberto",IF(Tabela2[[#This Row],[D/venc]]="-","Enviado",IF(Tabela2[[#This Row],[Dt Venc:]]=TODAY(),"Vence Hoje","Vencida")))</f>
        <v>Em Aberto</v>
      </c>
      <c r="F7044" s="3">
        <f ca="1">IF(G7044=1,"-",Tabela2[[#This Row],[Dt Venc:]]-TODAY())</f>
        <v>47</v>
      </c>
      <c r="G7044" s="3"/>
      <c r="H7044" s="3"/>
    </row>
    <row r="7045" spans="1:8">
      <c r="A7045" s="3">
        <v>18500</v>
      </c>
      <c r="B7045" s="7" t="s">
        <v>115</v>
      </c>
      <c r="C7045" s="41">
        <v>2363.5</v>
      </c>
      <c r="D7045" s="6">
        <v>45740</v>
      </c>
      <c r="E7045" s="3" t="str">
        <f ca="1">IF(Tabela2[[#This Row],[Dt Venc:]]&gt;TODAY(),"Em Aberto",IF(Tabela2[[#This Row],[D/venc]]="-","Enviado",IF(Tabela2[[#This Row],[Dt Venc:]]=TODAY(),"Vence Hoje","Vencida")))</f>
        <v>Em Aberto</v>
      </c>
      <c r="F7045" s="3">
        <f ca="1">IF(G7045=1,"-",Tabela2[[#This Row],[Dt Venc:]]-TODAY())</f>
        <v>47</v>
      </c>
      <c r="G7045" s="3"/>
      <c r="H7045" s="3"/>
    </row>
    <row r="7046" spans="1:8">
      <c r="A7046" s="3">
        <v>31397</v>
      </c>
      <c r="B7046" s="7" t="s">
        <v>97</v>
      </c>
      <c r="C7046" s="41">
        <v>1710</v>
      </c>
      <c r="D7046" s="6">
        <v>45740</v>
      </c>
      <c r="E7046" s="3" t="str">
        <f ca="1">IF(Tabela2[[#This Row],[Dt Venc:]]&gt;TODAY(),"Em Aberto",IF(Tabela2[[#This Row],[D/venc]]="-","Enviado",IF(Tabela2[[#This Row],[Dt Venc:]]=TODAY(),"Vence Hoje","Vencida")))</f>
        <v>Em Aberto</v>
      </c>
      <c r="F7046" s="3">
        <f ca="1">IF(G7046=1,"-",Tabela2[[#This Row],[Dt Venc:]]-TODAY())</f>
        <v>47</v>
      </c>
      <c r="G7046" s="3"/>
      <c r="H7046" s="3"/>
    </row>
    <row r="7047" spans="1:8">
      <c r="A7047" s="3">
        <v>53778</v>
      </c>
      <c r="B7047" s="7" t="s">
        <v>144</v>
      </c>
      <c r="C7047" s="41">
        <v>1096</v>
      </c>
      <c r="D7047" s="6">
        <v>45740</v>
      </c>
      <c r="E7047" s="3" t="str">
        <f ca="1">IF(Tabela2[[#This Row],[Dt Venc:]]&gt;TODAY(),"Em Aberto",IF(Tabela2[[#This Row],[D/venc]]="-","Enviado",IF(Tabela2[[#This Row],[Dt Venc:]]=TODAY(),"Vence Hoje","Vencida")))</f>
        <v>Em Aberto</v>
      </c>
      <c r="F7047" s="3">
        <f ca="1">IF(G7047=1,"-",Tabela2[[#This Row],[Dt Venc:]]-TODAY())</f>
        <v>47</v>
      </c>
      <c r="G7047" s="3"/>
      <c r="H7047" s="3"/>
    </row>
    <row r="7048" spans="1:8">
      <c r="A7048" s="3">
        <v>91237</v>
      </c>
      <c r="B7048" s="7" t="s">
        <v>207</v>
      </c>
      <c r="C7048" s="41">
        <v>416.67</v>
      </c>
      <c r="D7048" s="6">
        <v>45740</v>
      </c>
      <c r="E7048" s="3" t="str">
        <f ca="1">IF(Tabela2[[#This Row],[Dt Venc:]]&gt;TODAY(),"Em Aberto",IF(Tabela2[[#This Row],[D/venc]]="-","Enviado",IF(Tabela2[[#This Row],[Dt Venc:]]=TODAY(),"Vence Hoje","Vencida")))</f>
        <v>Em Aberto</v>
      </c>
      <c r="F7048" s="3">
        <f ca="1">IF(G7048=1,"-",Tabela2[[#This Row],[Dt Venc:]]-TODAY())</f>
        <v>47</v>
      </c>
      <c r="G7048" s="3"/>
      <c r="H7048" s="3"/>
    </row>
    <row r="7049" spans="1:8">
      <c r="A7049" s="3">
        <v>137941</v>
      </c>
      <c r="B7049" s="7" t="s">
        <v>144</v>
      </c>
      <c r="C7049" s="41">
        <v>836.66</v>
      </c>
      <c r="D7049" s="6">
        <v>45740</v>
      </c>
      <c r="E7049" s="3" t="str">
        <f ca="1">IF(Tabela2[[#This Row],[Dt Venc:]]&gt;TODAY(),"Em Aberto",IF(Tabela2[[#This Row],[D/venc]]="-","Enviado",IF(Tabela2[[#This Row],[Dt Venc:]]=TODAY(),"Vence Hoje","Vencida")))</f>
        <v>Em Aberto</v>
      </c>
      <c r="F7049" s="3">
        <f ca="1">IF(G7049=1,"-",Tabela2[[#This Row],[Dt Venc:]]-TODAY())</f>
        <v>47</v>
      </c>
      <c r="G7049" s="3"/>
      <c r="H7049" s="3"/>
    </row>
    <row r="7050" spans="1:8">
      <c r="A7050" s="3">
        <v>178715</v>
      </c>
      <c r="B7050" s="7" t="s">
        <v>211</v>
      </c>
      <c r="C7050" s="41">
        <v>926.66</v>
      </c>
      <c r="D7050" s="6">
        <v>45740</v>
      </c>
      <c r="E7050" s="3" t="str">
        <f ca="1">IF(Tabela2[[#This Row],[Dt Venc:]]&gt;TODAY(),"Em Aberto",IF(Tabela2[[#This Row],[D/venc]]="-","Enviado",IF(Tabela2[[#This Row],[Dt Venc:]]=TODAY(),"Vence Hoje","Vencida")))</f>
        <v>Em Aberto</v>
      </c>
      <c r="F7050" s="3">
        <f ca="1">IF(G7050=1,"-",Tabela2[[#This Row],[Dt Venc:]]-TODAY())</f>
        <v>47</v>
      </c>
      <c r="G7050" s="3"/>
      <c r="H7050" s="3"/>
    </row>
    <row r="7051" spans="1:8">
      <c r="A7051" s="3">
        <v>185589</v>
      </c>
      <c r="B7051" s="7" t="s">
        <v>42</v>
      </c>
      <c r="C7051" s="41">
        <v>500.3</v>
      </c>
      <c r="D7051" s="6">
        <v>45740</v>
      </c>
      <c r="E7051" s="3" t="str">
        <f ca="1">IF(Tabela2[[#This Row],[Dt Venc:]]&gt;TODAY(),"Em Aberto",IF(Tabela2[[#This Row],[D/venc]]="-","Enviado",IF(Tabela2[[#This Row],[Dt Venc:]]=TODAY(),"Vence Hoje","Vencida")))</f>
        <v>Em Aberto</v>
      </c>
      <c r="F7051" s="3">
        <f ca="1">IF(G7051=1,"-",Tabela2[[#This Row],[Dt Venc:]]-TODAY())</f>
        <v>47</v>
      </c>
      <c r="G7051" s="3"/>
      <c r="H7051" s="3"/>
    </row>
    <row r="7052" spans="1:8">
      <c r="A7052" s="3">
        <v>185602</v>
      </c>
      <c r="B7052" s="7" t="s">
        <v>42</v>
      </c>
      <c r="C7052" s="41">
        <v>1379.86</v>
      </c>
      <c r="D7052" s="6">
        <v>45740</v>
      </c>
      <c r="E7052" s="3" t="str">
        <f ca="1">IF(Tabela2[[#This Row],[Dt Venc:]]&gt;TODAY(),"Em Aberto",IF(Tabela2[[#This Row],[D/venc]]="-","Enviado",IF(Tabela2[[#This Row],[Dt Venc:]]=TODAY(),"Vence Hoje","Vencida")))</f>
        <v>Em Aberto</v>
      </c>
      <c r="F7052" s="3">
        <f ca="1">IF(G7052=1,"-",Tabela2[[#This Row],[Dt Venc:]]-TODAY())</f>
        <v>47</v>
      </c>
      <c r="G7052" s="3"/>
      <c r="H7052" s="3"/>
    </row>
    <row r="7053" spans="1:8">
      <c r="A7053" s="3">
        <v>284876</v>
      </c>
      <c r="B7053" s="7" t="s">
        <v>43</v>
      </c>
      <c r="C7053" s="41">
        <v>365.92</v>
      </c>
      <c r="D7053" s="6">
        <v>45740</v>
      </c>
      <c r="E7053" s="3" t="str">
        <f ca="1">IF(Tabela2[[#This Row],[Dt Venc:]]&gt;TODAY(),"Em Aberto",IF(Tabela2[[#This Row],[D/venc]]="-","Enviado",IF(Tabela2[[#This Row],[Dt Venc:]]=TODAY(),"Vence Hoje","Vencida")))</f>
        <v>Em Aberto</v>
      </c>
      <c r="F7053" s="3">
        <f ca="1">IF(G7053=1,"-",Tabela2[[#This Row],[Dt Venc:]]-TODAY())</f>
        <v>47</v>
      </c>
      <c r="G7053" s="3"/>
      <c r="H7053" s="3"/>
    </row>
    <row r="7054" spans="1:8">
      <c r="A7054" s="3">
        <v>284957</v>
      </c>
      <c r="B7054" s="7" t="s">
        <v>43</v>
      </c>
      <c r="C7054" s="41">
        <v>335.16</v>
      </c>
      <c r="D7054" s="6">
        <v>45740</v>
      </c>
      <c r="E7054" s="3" t="str">
        <f ca="1">IF(Tabela2[[#This Row],[Dt Venc:]]&gt;TODAY(),"Em Aberto",IF(Tabela2[[#This Row],[D/venc]]="-","Enviado",IF(Tabela2[[#This Row],[Dt Venc:]]=TODAY(),"Vence Hoje","Vencida")))</f>
        <v>Em Aberto</v>
      </c>
      <c r="F7054" s="3">
        <f ca="1">IF(G7054=1,"-",Tabela2[[#This Row],[Dt Venc:]]-TODAY())</f>
        <v>47</v>
      </c>
      <c r="G7054" s="3"/>
      <c r="H7054" s="3"/>
    </row>
    <row r="7055" spans="1:8">
      <c r="A7055" s="3">
        <v>401307</v>
      </c>
      <c r="B7055" s="7" t="s">
        <v>596</v>
      </c>
      <c r="C7055" s="41">
        <v>1870</v>
      </c>
      <c r="D7055" s="6">
        <v>45740</v>
      </c>
      <c r="E7055" s="3" t="str">
        <f ca="1">IF(Tabela2[[#This Row],[Dt Venc:]]&gt;TODAY(),"Em Aberto",IF(Tabela2[[#This Row],[D/venc]]="-","Enviado",IF(Tabela2[[#This Row],[Dt Venc:]]=TODAY(),"Vence Hoje","Vencida")))</f>
        <v>Em Aberto</v>
      </c>
      <c r="F7055" s="3">
        <f ca="1">IF(G7055=1,"-",Tabela2[[#This Row],[Dt Venc:]]-TODAY())</f>
        <v>47</v>
      </c>
      <c r="G7055" s="3"/>
      <c r="H7055" s="3"/>
    </row>
    <row r="7056" spans="1:8">
      <c r="A7056" s="3">
        <v>451097</v>
      </c>
      <c r="B7056" s="7" t="s">
        <v>512</v>
      </c>
      <c r="C7056" s="41">
        <v>2380.4499999999998</v>
      </c>
      <c r="D7056" s="6">
        <v>45740</v>
      </c>
      <c r="E7056" s="3" t="str">
        <f ca="1">IF(Tabela2[[#This Row],[Dt Venc:]]&gt;TODAY(),"Em Aberto",IF(Tabela2[[#This Row],[D/venc]]="-","Enviado",IF(Tabela2[[#This Row],[Dt Venc:]]=TODAY(),"Vence Hoje","Vencida")))</f>
        <v>Em Aberto</v>
      </c>
      <c r="F7056" s="3">
        <f ca="1">IF(G7056=1,"-",Tabela2[[#This Row],[Dt Venc:]]-TODAY())</f>
        <v>47</v>
      </c>
      <c r="G7056" s="3"/>
      <c r="H7056" s="3"/>
    </row>
    <row r="7057" spans="1:8" ht="37.5" hidden="1">
      <c r="A7057" s="3">
        <v>442283</v>
      </c>
      <c r="B7057" s="7" t="s">
        <v>601</v>
      </c>
      <c r="C7057" s="41">
        <v>1881.17</v>
      </c>
      <c r="D7057" s="6">
        <v>45744</v>
      </c>
      <c r="E7057" s="3" t="str">
        <f ca="1">IF(Tabela2[[#This Row],[Dt Venc:]]&gt;TODAY(),"Em Aberto",IF(Tabela2[[#This Row],[D/venc]]="-","Enviado",IF(Tabela2[[#This Row],[Dt Venc:]]=TODAY(),"Vence Hoje","Vencida")))</f>
        <v>Em Aberto</v>
      </c>
      <c r="F7057" s="3">
        <f ca="1">IF(G7057=1,"-",Tabela2[[#This Row],[Dt Venc:]]-TODAY())</f>
        <v>51</v>
      </c>
      <c r="G7057" s="3">
        <v>0</v>
      </c>
      <c r="H7057" s="7" t="s">
        <v>658</v>
      </c>
    </row>
    <row r="7058" spans="1:8">
      <c r="A7058" s="3">
        <v>4514</v>
      </c>
      <c r="B7058" s="7" t="s">
        <v>717</v>
      </c>
      <c r="C7058" s="41">
        <v>895</v>
      </c>
      <c r="D7058" s="6">
        <v>45740</v>
      </c>
      <c r="E7058" s="3" t="str">
        <f ca="1">IF(Tabela2[[#This Row],[Dt Venc:]]&gt;TODAY(),"Em Aberto",IF(Tabela2[[#This Row],[D/venc]]="-","Enviado",IF(Tabela2[[#This Row],[Dt Venc:]]=TODAY(),"Vence Hoje","Vencida")))</f>
        <v>Em Aberto</v>
      </c>
      <c r="F7058" s="3">
        <f ca="1">IF(G7058=1,"-",Tabela2[[#This Row],[Dt Venc:]]-TODAY())</f>
        <v>47</v>
      </c>
      <c r="G7058" s="3"/>
      <c r="H7058" s="3"/>
    </row>
    <row r="7059" spans="1:8">
      <c r="A7059" s="3">
        <v>1821</v>
      </c>
      <c r="B7059" s="7" t="s">
        <v>78</v>
      </c>
      <c r="C7059" s="41">
        <v>451</v>
      </c>
      <c r="D7059" s="6">
        <v>45740</v>
      </c>
      <c r="E7059" s="3" t="str">
        <f ca="1">IF(Tabela2[[#This Row],[Dt Venc:]]&gt;TODAY(),"Em Aberto",IF(Tabela2[[#This Row],[D/venc]]="-","Enviado",IF(Tabela2[[#This Row],[Dt Venc:]]=TODAY(),"Vence Hoje","Vencida")))</f>
        <v>Em Aberto</v>
      </c>
      <c r="F7059" s="3">
        <f ca="1">IF(G7059=1,"-",Tabela2[[#This Row],[Dt Venc:]]-TODAY())</f>
        <v>47</v>
      </c>
      <c r="G7059" s="3"/>
      <c r="H7059" s="3"/>
    </row>
    <row r="7060" spans="1:8">
      <c r="A7060" s="3">
        <v>75398</v>
      </c>
      <c r="B7060" s="7" t="s">
        <v>76</v>
      </c>
      <c r="C7060" s="41">
        <v>1917.47</v>
      </c>
      <c r="D7060" s="6">
        <v>45740</v>
      </c>
      <c r="E7060" s="3" t="str">
        <f ca="1">IF(Tabela2[[#This Row],[Dt Venc:]]&gt;TODAY(),"Em Aberto",IF(Tabela2[[#This Row],[D/venc]]="-","Enviado",IF(Tabela2[[#This Row],[Dt Venc:]]=TODAY(),"Vence Hoje","Vencida")))</f>
        <v>Em Aberto</v>
      </c>
      <c r="F7060" s="3">
        <f ca="1">IF(G7060=1,"-",Tabela2[[#This Row],[Dt Venc:]]-TODAY())</f>
        <v>47</v>
      </c>
      <c r="G7060" s="3"/>
      <c r="H7060" s="3"/>
    </row>
    <row r="7061" spans="1:8">
      <c r="A7061" s="3">
        <v>2389</v>
      </c>
      <c r="B7061" s="7" t="s">
        <v>45</v>
      </c>
      <c r="C7061" s="41">
        <v>751</v>
      </c>
      <c r="D7061" s="6">
        <v>45740</v>
      </c>
      <c r="E7061" s="3" t="str">
        <f ca="1">IF(Tabela2[[#This Row],[Dt Venc:]]&gt;TODAY(),"Em Aberto",IF(Tabela2[[#This Row],[D/venc]]="-","Enviado",IF(Tabela2[[#This Row],[Dt Venc:]]=TODAY(),"Vence Hoje","Vencida")))</f>
        <v>Em Aberto</v>
      </c>
      <c r="F7061" s="3">
        <f ca="1">IF(G7061=1,"-",Tabela2[[#This Row],[Dt Venc:]]-TODAY())</f>
        <v>47</v>
      </c>
      <c r="G7061" s="3"/>
      <c r="H7061" s="3"/>
    </row>
    <row r="7062" spans="1:8">
      <c r="A7062" s="3">
        <v>23703</v>
      </c>
      <c r="B7062" s="7" t="s">
        <v>712</v>
      </c>
      <c r="C7062" s="41">
        <v>862.5</v>
      </c>
      <c r="D7062" s="6">
        <v>45740</v>
      </c>
      <c r="E7062" s="3" t="str">
        <f ca="1">IF(Tabela2[[#This Row],[Dt Venc:]]&gt;TODAY(),"Em Aberto",IF(Tabela2[[#This Row],[D/venc]]="-","Enviado",IF(Tabela2[[#This Row],[Dt Venc:]]=TODAY(),"Vence Hoje","Vencida")))</f>
        <v>Em Aberto</v>
      </c>
      <c r="F7062" s="3">
        <f ca="1">IF(G7062=1,"-",Tabela2[[#This Row],[Dt Venc:]]-TODAY())</f>
        <v>47</v>
      </c>
      <c r="G7062" s="3"/>
      <c r="H7062" s="3"/>
    </row>
    <row r="7063" spans="1:8">
      <c r="A7063" s="3">
        <v>138806</v>
      </c>
      <c r="B7063" s="7" t="s">
        <v>144</v>
      </c>
      <c r="C7063" s="41">
        <v>427.46</v>
      </c>
      <c r="D7063" s="6">
        <v>45741</v>
      </c>
      <c r="E7063" s="3" t="str">
        <f ca="1">IF(Tabela2[[#This Row],[Dt Venc:]]&gt;TODAY(),"Em Aberto",IF(Tabela2[[#This Row],[D/venc]]="-","Enviado",IF(Tabela2[[#This Row],[Dt Venc:]]=TODAY(),"Vence Hoje","Vencida")))</f>
        <v>Em Aberto</v>
      </c>
      <c r="F7063" s="3">
        <f ca="1">IF(G7063=1,"-",Tabela2[[#This Row],[Dt Venc:]]-TODAY())</f>
        <v>48</v>
      </c>
      <c r="G7063" s="3"/>
      <c r="H7063" s="3"/>
    </row>
    <row r="7064" spans="1:8">
      <c r="A7064" s="3">
        <v>157332</v>
      </c>
      <c r="B7064" s="7" t="s">
        <v>486</v>
      </c>
      <c r="C7064" s="41">
        <v>1722</v>
      </c>
      <c r="D7064" s="6">
        <v>45741</v>
      </c>
      <c r="E7064" s="3" t="str">
        <f ca="1">IF(Tabela2[[#This Row],[Dt Venc:]]&gt;TODAY(),"Em Aberto",IF(Tabela2[[#This Row],[D/venc]]="-","Enviado",IF(Tabela2[[#This Row],[Dt Venc:]]=TODAY(),"Vence Hoje","Vencida")))</f>
        <v>Em Aberto</v>
      </c>
      <c r="F7064" s="3">
        <f ca="1">IF(G7064=1,"-",Tabela2[[#This Row],[Dt Venc:]]-TODAY())</f>
        <v>48</v>
      </c>
      <c r="G7064" s="3"/>
      <c r="H7064" s="3"/>
    </row>
    <row r="7065" spans="1:8">
      <c r="A7065" s="3">
        <v>373352</v>
      </c>
      <c r="B7065" s="7" t="s">
        <v>39</v>
      </c>
      <c r="C7065" s="41">
        <v>2298.4899999999998</v>
      </c>
      <c r="D7065" s="6">
        <v>45741</v>
      </c>
      <c r="E7065" s="3" t="str">
        <f ca="1">IF(Tabela2[[#This Row],[Dt Venc:]]&gt;TODAY(),"Em Aberto",IF(Tabela2[[#This Row],[D/venc]]="-","Enviado",IF(Tabela2[[#This Row],[Dt Venc:]]=TODAY(),"Vence Hoje","Vencida")))</f>
        <v>Em Aberto</v>
      </c>
      <c r="F7065" s="3">
        <f ca="1">IF(G7065=1,"-",Tabela2[[#This Row],[Dt Venc:]]-TODAY())</f>
        <v>48</v>
      </c>
      <c r="G7065" s="3"/>
      <c r="H7065" s="3"/>
    </row>
    <row r="7066" spans="1:8">
      <c r="A7066" s="3">
        <v>378409</v>
      </c>
      <c r="B7066" s="7" t="s">
        <v>567</v>
      </c>
      <c r="C7066" s="41">
        <v>960.74</v>
      </c>
      <c r="D7066" s="6">
        <v>45741</v>
      </c>
      <c r="E7066" s="3" t="str">
        <f ca="1">IF(Tabela2[[#This Row],[Dt Venc:]]&gt;TODAY(),"Em Aberto",IF(Tabela2[[#This Row],[D/venc]]="-","Enviado",IF(Tabela2[[#This Row],[Dt Venc:]]=TODAY(),"Vence Hoje","Vencida")))</f>
        <v>Em Aberto</v>
      </c>
      <c r="F7066" s="3">
        <f ca="1">IF(G7066=1,"-",Tabela2[[#This Row],[Dt Venc:]]-TODAY())</f>
        <v>48</v>
      </c>
      <c r="G7066" s="3"/>
      <c r="H7066" s="3"/>
    </row>
    <row r="7067" spans="1:8">
      <c r="A7067" s="3">
        <v>444546</v>
      </c>
      <c r="B7067" s="7" t="s">
        <v>591</v>
      </c>
      <c r="C7067" s="41">
        <v>1830</v>
      </c>
      <c r="D7067" s="6">
        <v>45741</v>
      </c>
      <c r="E7067" s="3" t="str">
        <f ca="1">IF(Tabela2[[#This Row],[Dt Venc:]]&gt;TODAY(),"Em Aberto",IF(Tabela2[[#This Row],[D/venc]]="-","Enviado",IF(Tabela2[[#This Row],[Dt Venc:]]=TODAY(),"Vence Hoje","Vencida")))</f>
        <v>Em Aberto</v>
      </c>
      <c r="F7067" s="3">
        <f ca="1">IF(G7067=1,"-",Tabela2[[#This Row],[Dt Venc:]]-TODAY())</f>
        <v>48</v>
      </c>
      <c r="G7067" s="3"/>
      <c r="H7067" s="3"/>
    </row>
    <row r="7068" spans="1:8">
      <c r="A7068" s="3">
        <v>495914</v>
      </c>
      <c r="B7068" s="7" t="s">
        <v>153</v>
      </c>
      <c r="C7068" s="99" t="s">
        <v>32</v>
      </c>
      <c r="D7068" s="6">
        <v>45741</v>
      </c>
      <c r="E7068" s="3" t="str">
        <f ca="1">IF(Tabela2[[#This Row],[Dt Venc:]]&gt;TODAY(),"Em Aberto",IF(Tabela2[[#This Row],[D/venc]]="-","Enviado",IF(Tabela2[[#This Row],[Dt Venc:]]=TODAY(),"Vence Hoje","Vencida")))</f>
        <v>Em Aberto</v>
      </c>
      <c r="F7068" s="3">
        <f ca="1">IF(G7068=1,"-",Tabela2[[#This Row],[Dt Venc:]]-TODAY())</f>
        <v>48</v>
      </c>
      <c r="G7068" s="3"/>
      <c r="H7068" s="3"/>
    </row>
    <row r="7069" spans="1:8">
      <c r="A7069" s="3">
        <v>619245</v>
      </c>
      <c r="B7069" s="7" t="s">
        <v>66</v>
      </c>
      <c r="C7069" s="41">
        <v>8015.79</v>
      </c>
      <c r="D7069" s="6">
        <v>45741</v>
      </c>
      <c r="E7069" s="3" t="str">
        <f ca="1">IF(Tabela2[[#This Row],[Dt Venc:]]&gt;TODAY(),"Em Aberto",IF(Tabela2[[#This Row],[D/venc]]="-","Enviado",IF(Tabela2[[#This Row],[Dt Venc:]]=TODAY(),"Vence Hoje","Vencida")))</f>
        <v>Em Aberto</v>
      </c>
      <c r="F7069" s="3">
        <f ca="1">IF(G7069=1,"-",Tabela2[[#This Row],[Dt Venc:]]-TODAY())</f>
        <v>48</v>
      </c>
      <c r="G7069" s="3"/>
      <c r="H7069" s="3"/>
    </row>
    <row r="7070" spans="1:8">
      <c r="A7070" s="3">
        <v>3342741</v>
      </c>
      <c r="B7070" s="7" t="s">
        <v>71</v>
      </c>
      <c r="C7070" s="41">
        <v>1993.96</v>
      </c>
      <c r="D7070" s="6">
        <v>45741</v>
      </c>
      <c r="E7070" s="3" t="str">
        <f ca="1">IF(Tabela2[[#This Row],[Dt Venc:]]&gt;TODAY(),"Em Aberto",IF(Tabela2[[#This Row],[D/venc]]="-","Enviado",IF(Tabela2[[#This Row],[Dt Venc:]]=TODAY(),"Vence Hoje","Vencida")))</f>
        <v>Em Aberto</v>
      </c>
      <c r="F7070" s="3">
        <f ca="1">IF(G7070=1,"-",Tabela2[[#This Row],[Dt Venc:]]-TODAY())</f>
        <v>48</v>
      </c>
      <c r="G7070" s="3"/>
      <c r="H7070" s="3"/>
    </row>
    <row r="7071" spans="1:8">
      <c r="A7071" s="3">
        <v>4741911</v>
      </c>
      <c r="B7071" s="7" t="s">
        <v>90</v>
      </c>
      <c r="C7071" s="41">
        <v>2297.9299999999998</v>
      </c>
      <c r="D7071" s="6">
        <v>45741</v>
      </c>
      <c r="E7071" s="3" t="str">
        <f ca="1">IF(Tabela2[[#This Row],[Dt Venc:]]&gt;TODAY(),"Em Aberto",IF(Tabela2[[#This Row],[D/venc]]="-","Enviado",IF(Tabela2[[#This Row],[Dt Venc:]]=TODAY(),"Vence Hoje","Vencida")))</f>
        <v>Em Aberto</v>
      </c>
      <c r="F7071" s="3">
        <f ca="1">IF(G7071=1,"-",Tabela2[[#This Row],[Dt Venc:]]-TODAY())</f>
        <v>48</v>
      </c>
      <c r="G7071" s="3"/>
      <c r="H7071" s="3"/>
    </row>
    <row r="7072" spans="1:8">
      <c r="A7072" s="3">
        <v>2</v>
      </c>
      <c r="B7072" s="7" t="s">
        <v>715</v>
      </c>
      <c r="C7072" s="41">
        <v>1258.56</v>
      </c>
      <c r="D7072" s="6">
        <v>45741</v>
      </c>
      <c r="E7072" s="3" t="str">
        <f ca="1">IF(Tabela2[[#This Row],[Dt Venc:]]&gt;TODAY(),"Em Aberto",IF(Tabela2[[#This Row],[D/venc]]="-","Enviado",IF(Tabela2[[#This Row],[Dt Venc:]]=TODAY(),"Vence Hoje","Vencida")))</f>
        <v>Em Aberto</v>
      </c>
      <c r="F7072" s="3">
        <f ca="1">IF(G7072=1,"-",Tabela2[[#This Row],[Dt Venc:]]-TODAY())</f>
        <v>48</v>
      </c>
      <c r="G7072" s="3"/>
      <c r="H7072" s="3"/>
    </row>
    <row r="7073" spans="1:8">
      <c r="A7073" s="3">
        <v>280509</v>
      </c>
      <c r="B7073" s="7" t="s">
        <v>315</v>
      </c>
      <c r="C7073" s="41">
        <v>440</v>
      </c>
      <c r="D7073" s="6">
        <v>45741</v>
      </c>
      <c r="E7073" s="3" t="str">
        <f ca="1">IF(Tabela2[[#This Row],[Dt Venc:]]&gt;TODAY(),"Em Aberto",IF(Tabela2[[#This Row],[D/venc]]="-","Enviado",IF(Tabela2[[#This Row],[Dt Venc:]]=TODAY(),"Vence Hoje","Vencida")))</f>
        <v>Em Aberto</v>
      </c>
      <c r="F7073" s="3">
        <f ca="1">IF(G7073=1,"-",Tabela2[[#This Row],[Dt Venc:]]-TODAY())</f>
        <v>48</v>
      </c>
      <c r="G7073" s="3"/>
      <c r="H7073" s="3"/>
    </row>
    <row r="7074" spans="1:8">
      <c r="A7074" s="3">
        <v>14358</v>
      </c>
      <c r="B7074" s="7" t="s">
        <v>721</v>
      </c>
      <c r="C7074" s="41">
        <v>398.14</v>
      </c>
      <c r="D7074" s="6">
        <v>45741</v>
      </c>
      <c r="E7074" s="3" t="str">
        <f ca="1">IF(Tabela2[[#This Row],[Dt Venc:]]&gt;TODAY(),"Em Aberto",IF(Tabela2[[#This Row],[D/venc]]="-","Enviado",IF(Tabela2[[#This Row],[Dt Venc:]]=TODAY(),"Vence Hoje","Vencida")))</f>
        <v>Em Aberto</v>
      </c>
      <c r="F7074" s="3">
        <f ca="1">IF(G7074=1,"-",Tabela2[[#This Row],[Dt Venc:]]-TODAY())</f>
        <v>48</v>
      </c>
      <c r="G7074" s="3"/>
      <c r="H7074" s="3"/>
    </row>
    <row r="7075" spans="1:8">
      <c r="A7075" s="3">
        <v>188785</v>
      </c>
      <c r="B7075" s="7" t="s">
        <v>462</v>
      </c>
      <c r="C7075" s="41">
        <v>1289.81</v>
      </c>
      <c r="D7075" s="6">
        <v>45741</v>
      </c>
      <c r="E7075" s="3" t="str">
        <f ca="1">IF(Tabela2[[#This Row],[Dt Venc:]]&gt;TODAY(),"Em Aberto",IF(Tabela2[[#This Row],[D/venc]]="-","Enviado",IF(Tabela2[[#This Row],[Dt Venc:]]=TODAY(),"Vence Hoje","Vencida")))</f>
        <v>Em Aberto</v>
      </c>
      <c r="F7075" s="3">
        <f ca="1">IF(G7075=1,"-",Tabela2[[#This Row],[Dt Venc:]]-TODAY())</f>
        <v>48</v>
      </c>
      <c r="G7075" s="3"/>
      <c r="H7075" s="3"/>
    </row>
    <row r="7076" spans="1:8">
      <c r="A7076" s="3">
        <v>280647</v>
      </c>
      <c r="B7076" s="7" t="s">
        <v>36</v>
      </c>
      <c r="C7076" s="41">
        <v>1468.33</v>
      </c>
      <c r="D7076" s="6">
        <v>45741</v>
      </c>
      <c r="E7076" s="3" t="str">
        <f ca="1">IF(Tabela2[[#This Row],[Dt Venc:]]&gt;TODAY(),"Em Aberto",IF(Tabela2[[#This Row],[D/venc]]="-","Enviado",IF(Tabela2[[#This Row],[Dt Venc:]]=TODAY(),"Vence Hoje","Vencida")))</f>
        <v>Em Aberto</v>
      </c>
      <c r="F7076" s="3">
        <f ca="1">IF(G7076=1,"-",Tabela2[[#This Row],[Dt Venc:]]-TODAY())</f>
        <v>48</v>
      </c>
      <c r="G7076" s="3"/>
      <c r="H7076" s="3"/>
    </row>
    <row r="7077" spans="1:8">
      <c r="A7077" s="3">
        <v>1347</v>
      </c>
      <c r="B7077" s="7" t="s">
        <v>474</v>
      </c>
      <c r="C7077" s="41">
        <v>506.67</v>
      </c>
      <c r="D7077" s="6">
        <v>45741</v>
      </c>
      <c r="E7077" s="3" t="str">
        <f ca="1">IF(Tabela2[[#This Row],[Dt Venc:]]&gt;TODAY(),"Em Aberto",IF(Tabela2[[#This Row],[D/venc]]="-","Enviado",IF(Tabela2[[#This Row],[Dt Venc:]]=TODAY(),"Vence Hoje","Vencida")))</f>
        <v>Em Aberto</v>
      </c>
      <c r="F7077" s="3">
        <f ca="1">IF(G7077=1,"-",Tabela2[[#This Row],[Dt Venc:]]-TODAY())</f>
        <v>48</v>
      </c>
      <c r="G7077" s="3"/>
      <c r="H7077" s="3"/>
    </row>
    <row r="7078" spans="1:8">
      <c r="A7078" s="3">
        <v>6431</v>
      </c>
      <c r="B7078" s="7" t="s">
        <v>47</v>
      </c>
      <c r="C7078" s="41">
        <v>1250.93</v>
      </c>
      <c r="D7078" s="6">
        <v>45741</v>
      </c>
      <c r="E7078" s="3" t="str">
        <f ca="1">IF(Tabela2[[#This Row],[Dt Venc:]]&gt;TODAY(),"Em Aberto",IF(Tabela2[[#This Row],[D/venc]]="-","Enviado",IF(Tabela2[[#This Row],[Dt Venc:]]=TODAY(),"Vence Hoje","Vencida")))</f>
        <v>Em Aberto</v>
      </c>
      <c r="F7078" s="3">
        <f ca="1">IF(G7078=1,"-",Tabela2[[#This Row],[Dt Venc:]]-TODAY())</f>
        <v>48</v>
      </c>
      <c r="G7078" s="3"/>
      <c r="H7078" s="3"/>
    </row>
    <row r="7079" spans="1:8">
      <c r="A7079" s="3">
        <v>15447</v>
      </c>
      <c r="B7079" s="7" t="s">
        <v>44</v>
      </c>
      <c r="C7079" s="41">
        <v>1062.5</v>
      </c>
      <c r="D7079" s="6">
        <v>45741</v>
      </c>
      <c r="E7079" s="3" t="str">
        <f ca="1">IF(Tabela2[[#This Row],[Dt Venc:]]&gt;TODAY(),"Em Aberto",IF(Tabela2[[#This Row],[D/venc]]="-","Enviado",IF(Tabela2[[#This Row],[Dt Venc:]]=TODAY(),"Vence Hoje","Vencida")))</f>
        <v>Em Aberto</v>
      </c>
      <c r="F7079" s="3">
        <f ca="1">IF(G7079=1,"-",Tabela2[[#This Row],[Dt Venc:]]-TODAY())</f>
        <v>48</v>
      </c>
      <c r="G7079" s="3"/>
      <c r="H7079" s="3"/>
    </row>
    <row r="7080" spans="1:8">
      <c r="A7080" s="3">
        <v>432730</v>
      </c>
      <c r="B7080" s="7" t="s">
        <v>89</v>
      </c>
      <c r="C7080" s="41">
        <v>180</v>
      </c>
      <c r="D7080" s="6">
        <v>45741</v>
      </c>
      <c r="E7080" s="3" t="str">
        <f ca="1">IF(Tabela2[[#This Row],[Dt Venc:]]&gt;TODAY(),"Em Aberto",IF(Tabela2[[#This Row],[D/venc]]="-","Enviado",IF(Tabela2[[#This Row],[Dt Venc:]]=TODAY(),"Vence Hoje","Vencida")))</f>
        <v>Em Aberto</v>
      </c>
      <c r="F7080" s="3">
        <f ca="1">IF(G7080=1,"-",Tabela2[[#This Row],[Dt Venc:]]-TODAY())</f>
        <v>48</v>
      </c>
      <c r="G7080" s="3"/>
      <c r="H7080" s="3"/>
    </row>
    <row r="7081" spans="1:8">
      <c r="A7081" s="3">
        <v>33187</v>
      </c>
      <c r="B7081" s="7" t="s">
        <v>98</v>
      </c>
      <c r="C7081" s="41">
        <v>871.6</v>
      </c>
      <c r="D7081" s="6">
        <v>45741</v>
      </c>
      <c r="E7081" s="3" t="str">
        <f ca="1">IF(Tabela2[[#This Row],[Dt Venc:]]&gt;TODAY(),"Em Aberto",IF(Tabela2[[#This Row],[D/venc]]="-","Enviado",IF(Tabela2[[#This Row],[Dt Venc:]]=TODAY(),"Vence Hoje","Vencida")))</f>
        <v>Em Aberto</v>
      </c>
      <c r="F7081" s="3">
        <f ca="1">IF(G7081=1,"-",Tabela2[[#This Row],[Dt Venc:]]-TODAY())</f>
        <v>48</v>
      </c>
      <c r="G7081" s="3"/>
      <c r="H7081" s="3"/>
    </row>
    <row r="7082" spans="1:8">
      <c r="A7082" s="3">
        <v>33187</v>
      </c>
      <c r="B7082" s="7" t="s">
        <v>98</v>
      </c>
      <c r="C7082" s="41">
        <v>829.6</v>
      </c>
      <c r="D7082" s="6">
        <v>45741</v>
      </c>
      <c r="E7082" s="3" t="str">
        <f ca="1">IF(Tabela2[[#This Row],[Dt Venc:]]&gt;TODAY(),"Em Aberto",IF(Tabela2[[#This Row],[D/venc]]="-","Enviado",IF(Tabela2[[#This Row],[Dt Venc:]]=TODAY(),"Vence Hoje","Vencida")))</f>
        <v>Em Aberto</v>
      </c>
      <c r="F7082" s="3">
        <f ca="1">IF(G7082=1,"-",Tabela2[[#This Row],[Dt Venc:]]-TODAY())</f>
        <v>48</v>
      </c>
      <c r="G7082" s="3"/>
      <c r="H7082" s="3"/>
    </row>
    <row r="7083" spans="1:8">
      <c r="A7083" s="3">
        <v>6434</v>
      </c>
      <c r="B7083" s="7" t="s">
        <v>47</v>
      </c>
      <c r="C7083" s="41">
        <v>1458.54</v>
      </c>
      <c r="D7083" s="6">
        <v>45741</v>
      </c>
      <c r="E7083" s="3" t="str">
        <f ca="1">IF(Tabela2[[#This Row],[Dt Venc:]]&gt;TODAY(),"Em Aberto",IF(Tabela2[[#This Row],[D/venc]]="-","Enviado",IF(Tabela2[[#This Row],[Dt Venc:]]=TODAY(),"Vence Hoje","Vencida")))</f>
        <v>Em Aberto</v>
      </c>
      <c r="F7083" s="3">
        <f ca="1">IF(G7083=1,"-",Tabela2[[#This Row],[Dt Venc:]]-TODAY())</f>
        <v>48</v>
      </c>
      <c r="G7083" s="3"/>
      <c r="H7083" s="3"/>
    </row>
    <row r="7084" spans="1:8">
      <c r="A7084" s="3">
        <v>185671</v>
      </c>
      <c r="B7084" s="7" t="s">
        <v>42</v>
      </c>
      <c r="C7084" s="41">
        <v>1170.6600000000001</v>
      </c>
      <c r="D7084" s="6">
        <v>45741</v>
      </c>
      <c r="E7084" s="3" t="str">
        <f ca="1">IF(Tabela2[[#This Row],[Dt Venc:]]&gt;TODAY(),"Em Aberto",IF(Tabela2[[#This Row],[D/venc]]="-","Enviado",IF(Tabela2[[#This Row],[Dt Venc:]]=TODAY(),"Vence Hoje","Vencida")))</f>
        <v>Em Aberto</v>
      </c>
      <c r="F7084" s="3">
        <f ca="1">IF(G7084=1,"-",Tabela2[[#This Row],[Dt Venc:]]-TODAY())</f>
        <v>48</v>
      </c>
      <c r="G7084" s="3"/>
      <c r="H7084" s="3"/>
    </row>
    <row r="7085" spans="1:8">
      <c r="A7085" s="3">
        <v>13170</v>
      </c>
      <c r="B7085" s="7" t="s">
        <v>211</v>
      </c>
      <c r="C7085" s="41">
        <v>976.66</v>
      </c>
      <c r="D7085" s="6">
        <v>45741</v>
      </c>
      <c r="E7085" s="3" t="str">
        <f ca="1">IF(Tabela2[[#This Row],[Dt Venc:]]&gt;TODAY(),"Em Aberto",IF(Tabela2[[#This Row],[D/venc]]="-","Enviado",IF(Tabela2[[#This Row],[Dt Venc:]]=TODAY(),"Vence Hoje","Vencida")))</f>
        <v>Em Aberto</v>
      </c>
      <c r="F7085" s="3">
        <f ca="1">IF(G7085=1,"-",Tabela2[[#This Row],[Dt Venc:]]-TODAY())</f>
        <v>48</v>
      </c>
      <c r="G7085" s="3"/>
      <c r="H7085" s="3"/>
    </row>
    <row r="7086" spans="1:8">
      <c r="A7086" s="3">
        <v>75455</v>
      </c>
      <c r="B7086" s="7" t="s">
        <v>76</v>
      </c>
      <c r="C7086" s="41">
        <v>451.51</v>
      </c>
      <c r="D7086" s="6">
        <v>45741</v>
      </c>
      <c r="E7086" s="3" t="str">
        <f ca="1">IF(Tabela2[[#This Row],[Dt Venc:]]&gt;TODAY(),"Em Aberto",IF(Tabela2[[#This Row],[D/venc]]="-","Enviado",IF(Tabela2[[#This Row],[Dt Venc:]]=TODAY(),"Vence Hoje","Vencida")))</f>
        <v>Em Aberto</v>
      </c>
      <c r="F7086" s="3">
        <f ca="1">IF(G7086=1,"-",Tabela2[[#This Row],[Dt Venc:]]-TODAY())</f>
        <v>48</v>
      </c>
      <c r="G7086" s="3"/>
      <c r="H7086" s="3"/>
    </row>
    <row r="7087" spans="1:8">
      <c r="A7087" s="3">
        <v>92049</v>
      </c>
      <c r="B7087" s="7" t="s">
        <v>48</v>
      </c>
      <c r="C7087" s="41">
        <v>390.6</v>
      </c>
      <c r="D7087" s="6">
        <v>45741</v>
      </c>
      <c r="E7087" s="3" t="str">
        <f ca="1">IF(Tabela2[[#This Row],[Dt Venc:]]&gt;TODAY(),"Em Aberto",IF(Tabela2[[#This Row],[D/venc]]="-","Enviado",IF(Tabela2[[#This Row],[Dt Venc:]]=TODAY(),"Vence Hoje","Vencida")))</f>
        <v>Em Aberto</v>
      </c>
      <c r="F7087" s="3">
        <f ca="1">IF(G7087=1,"-",Tabela2[[#This Row],[Dt Venc:]]-TODAY())</f>
        <v>48</v>
      </c>
      <c r="G7087" s="3"/>
      <c r="H7087" s="3"/>
    </row>
    <row r="7088" spans="1:8">
      <c r="A7088" s="3">
        <v>92047</v>
      </c>
      <c r="B7088" s="7" t="s">
        <v>48</v>
      </c>
      <c r="C7088" s="41">
        <v>753.33</v>
      </c>
      <c r="D7088" s="6">
        <v>45741</v>
      </c>
      <c r="E7088" s="3" t="str">
        <f ca="1">IF(Tabela2[[#This Row],[Dt Venc:]]&gt;TODAY(),"Em Aberto",IF(Tabela2[[#This Row],[D/venc]]="-","Enviado",IF(Tabela2[[#This Row],[Dt Venc:]]=TODAY(),"Vence Hoje","Vencida")))</f>
        <v>Em Aberto</v>
      </c>
      <c r="F7088" s="3">
        <f ca="1">IF(G7088=1,"-",Tabela2[[#This Row],[Dt Venc:]]-TODAY())</f>
        <v>48</v>
      </c>
      <c r="G7088" s="3"/>
      <c r="H7088" s="3"/>
    </row>
    <row r="7089" spans="1:8">
      <c r="A7089" s="3">
        <v>306791</v>
      </c>
      <c r="B7089" s="7" t="s">
        <v>506</v>
      </c>
      <c r="C7089" s="41">
        <v>3286.68</v>
      </c>
      <c r="D7089" s="6">
        <v>45741</v>
      </c>
      <c r="E7089" s="3" t="str">
        <f ca="1">IF(Tabela2[[#This Row],[Dt Venc:]]&gt;TODAY(),"Em Aberto",IF(Tabela2[[#This Row],[D/venc]]="-","Enviado",IF(Tabela2[[#This Row],[Dt Venc:]]=TODAY(),"Vence Hoje","Vencida")))</f>
        <v>Em Aberto</v>
      </c>
      <c r="F7089" s="3">
        <f ca="1">IF(G7089=1,"-",Tabela2[[#This Row],[Dt Venc:]]-TODAY())</f>
        <v>48</v>
      </c>
      <c r="G7089" s="3"/>
      <c r="H7089" s="3"/>
    </row>
    <row r="7090" spans="1:8">
      <c r="A7090" s="3">
        <v>207057</v>
      </c>
      <c r="B7090" s="7" t="s">
        <v>200</v>
      </c>
      <c r="C7090" s="41">
        <v>1200</v>
      </c>
      <c r="D7090" s="6">
        <v>45741</v>
      </c>
      <c r="E7090" s="3" t="str">
        <f ca="1">IF(Tabela2[[#This Row],[Dt Venc:]]&gt;TODAY(),"Em Aberto",IF(Tabela2[[#This Row],[D/venc]]="-","Enviado",IF(Tabela2[[#This Row],[Dt Venc:]]=TODAY(),"Vence Hoje","Vencida")))</f>
        <v>Em Aberto</v>
      </c>
      <c r="F7090" s="3">
        <f ca="1">IF(G7090=1,"-",Tabela2[[#This Row],[Dt Venc:]]-TODAY())</f>
        <v>48</v>
      </c>
      <c r="G7090" s="3"/>
      <c r="H7090" s="3"/>
    </row>
    <row r="7091" spans="1:8">
      <c r="A7091" s="3">
        <v>47</v>
      </c>
      <c r="B7091" s="7" t="s">
        <v>103</v>
      </c>
      <c r="C7091" s="41">
        <v>950</v>
      </c>
      <c r="D7091" s="6">
        <v>45742</v>
      </c>
      <c r="E7091" s="3" t="str">
        <f ca="1">IF(Tabela2[[#This Row],[Dt Venc:]]&gt;TODAY(),"Em Aberto",IF(Tabela2[[#This Row],[D/venc]]="-","Enviado",IF(Tabela2[[#This Row],[Dt Venc:]]=TODAY(),"Vence Hoje","Vencida")))</f>
        <v>Em Aberto</v>
      </c>
      <c r="F7091" s="3">
        <f ca="1">IF(G7091=1,"-",Tabela2[[#This Row],[Dt Venc:]]-TODAY())</f>
        <v>49</v>
      </c>
      <c r="G7091" s="3"/>
      <c r="H7091" s="3"/>
    </row>
    <row r="7092" spans="1:8">
      <c r="A7092" s="3">
        <v>2937</v>
      </c>
      <c r="B7092" s="7" t="s">
        <v>58</v>
      </c>
      <c r="C7092" s="41">
        <v>3329.6</v>
      </c>
      <c r="D7092" s="6">
        <v>45742</v>
      </c>
      <c r="E7092" s="3" t="str">
        <f ca="1">IF(Tabela2[[#This Row],[Dt Venc:]]&gt;TODAY(),"Em Aberto",IF(Tabela2[[#This Row],[D/venc]]="-","Enviado",IF(Tabela2[[#This Row],[Dt Venc:]]=TODAY(),"Vence Hoje","Vencida")))</f>
        <v>Em Aberto</v>
      </c>
      <c r="F7092" s="3">
        <f ca="1">IF(G7092=1,"-",Tabela2[[#This Row],[Dt Venc:]]-TODAY())</f>
        <v>49</v>
      </c>
      <c r="G7092" s="3"/>
      <c r="H7092" s="3"/>
    </row>
    <row r="7093" spans="1:8">
      <c r="A7093" s="3">
        <v>2990</v>
      </c>
      <c r="B7093" s="7" t="s">
        <v>58</v>
      </c>
      <c r="C7093" s="41">
        <v>2141.67</v>
      </c>
      <c r="D7093" s="6">
        <v>45742</v>
      </c>
      <c r="E7093" s="3" t="str">
        <f ca="1">IF(Tabela2[[#This Row],[Dt Venc:]]&gt;TODAY(),"Em Aberto",IF(Tabela2[[#This Row],[D/venc]]="-","Enviado",IF(Tabela2[[#This Row],[Dt Venc:]]=TODAY(),"Vence Hoje","Vencida")))</f>
        <v>Em Aberto</v>
      </c>
      <c r="F7093" s="3">
        <f ca="1">IF(G7093=1,"-",Tabela2[[#This Row],[Dt Venc:]]-TODAY())</f>
        <v>49</v>
      </c>
      <c r="G7093" s="3"/>
      <c r="H7093" s="3"/>
    </row>
    <row r="7094" spans="1:8">
      <c r="A7094" s="3">
        <v>12827</v>
      </c>
      <c r="B7094" s="7" t="s">
        <v>211</v>
      </c>
      <c r="C7094" s="41">
        <v>1293.3399999999999</v>
      </c>
      <c r="D7094" s="6">
        <v>45742</v>
      </c>
      <c r="E7094" s="3" t="str">
        <f ca="1">IF(Tabela2[[#This Row],[Dt Venc:]]&gt;TODAY(),"Em Aberto",IF(Tabela2[[#This Row],[D/venc]]="-","Enviado",IF(Tabela2[[#This Row],[Dt Venc:]]=TODAY(),"Vence Hoje","Vencida")))</f>
        <v>Em Aberto</v>
      </c>
      <c r="F7094" s="3">
        <f ca="1">IF(G7094=1,"-",Tabela2[[#This Row],[Dt Venc:]]-TODAY())</f>
        <v>49</v>
      </c>
      <c r="G7094" s="3"/>
      <c r="H7094" s="3"/>
    </row>
    <row r="7095" spans="1:8">
      <c r="A7095" s="3">
        <v>31301</v>
      </c>
      <c r="B7095" s="7" t="s">
        <v>97</v>
      </c>
      <c r="C7095" s="41">
        <v>1825</v>
      </c>
      <c r="D7095" s="6">
        <v>45742</v>
      </c>
      <c r="E7095" s="3" t="str">
        <f ca="1">IF(Tabela2[[#This Row],[Dt Venc:]]&gt;TODAY(),"Em Aberto",IF(Tabela2[[#This Row],[D/venc]]="-","Enviado",IF(Tabela2[[#This Row],[Dt Venc:]]=TODAY(),"Vence Hoje","Vencida")))</f>
        <v>Em Aberto</v>
      </c>
      <c r="F7095" s="3">
        <f ca="1">IF(G7095=1,"-",Tabela2[[#This Row],[Dt Venc:]]-TODAY())</f>
        <v>49</v>
      </c>
      <c r="G7095" s="3"/>
      <c r="H7095" s="3"/>
    </row>
    <row r="7096" spans="1:8">
      <c r="A7096" s="3">
        <v>43280</v>
      </c>
      <c r="B7096" s="7" t="s">
        <v>70</v>
      </c>
      <c r="C7096" s="41">
        <v>732.2</v>
      </c>
      <c r="D7096" s="6">
        <v>45742</v>
      </c>
      <c r="E7096" s="3" t="str">
        <f ca="1">IF(Tabela2[[#This Row],[Dt Venc:]]&gt;TODAY(),"Em Aberto",IF(Tabela2[[#This Row],[D/venc]]="-","Enviado",IF(Tabela2[[#This Row],[Dt Venc:]]=TODAY(),"Vence Hoje","Vencida")))</f>
        <v>Em Aberto</v>
      </c>
      <c r="F7096" s="3">
        <f ca="1">IF(G7096=1,"-",Tabela2[[#This Row],[Dt Venc:]]-TODAY())</f>
        <v>49</v>
      </c>
      <c r="G7096" s="3"/>
      <c r="H7096" s="3"/>
    </row>
    <row r="7097" spans="1:8">
      <c r="A7097" s="3">
        <v>103816</v>
      </c>
      <c r="B7097" s="7" t="s">
        <v>70</v>
      </c>
      <c r="C7097" s="41">
        <v>1254.8699999999999</v>
      </c>
      <c r="D7097" s="6">
        <v>45742</v>
      </c>
      <c r="E7097" s="3" t="str">
        <f ca="1">IF(Tabela2[[#This Row],[Dt Venc:]]&gt;TODAY(),"Em Aberto",IF(Tabela2[[#This Row],[D/venc]]="-","Enviado",IF(Tabela2[[#This Row],[Dt Venc:]]=TODAY(),"Vence Hoje","Vencida")))</f>
        <v>Em Aberto</v>
      </c>
      <c r="F7097" s="3">
        <f ca="1">IF(G7097=1,"-",Tabela2[[#This Row],[Dt Venc:]]-TODAY())</f>
        <v>49</v>
      </c>
      <c r="G7097" s="3"/>
      <c r="H7097" s="3"/>
    </row>
    <row r="7098" spans="1:8">
      <c r="A7098" s="3">
        <v>155424</v>
      </c>
      <c r="B7098" s="7" t="s">
        <v>77</v>
      </c>
      <c r="C7098" s="41">
        <v>450</v>
      </c>
      <c r="D7098" s="6">
        <v>45742</v>
      </c>
      <c r="E7098" s="3" t="str">
        <f ca="1">IF(Tabela2[[#This Row],[Dt Venc:]]&gt;TODAY(),"Em Aberto",IF(Tabela2[[#This Row],[D/venc]]="-","Enviado",IF(Tabela2[[#This Row],[Dt Venc:]]=TODAY(),"Vence Hoje","Vencida")))</f>
        <v>Em Aberto</v>
      </c>
      <c r="F7098" s="3">
        <f ca="1">IF(G7098=1,"-",Tabela2[[#This Row],[Dt Venc:]]-TODAY())</f>
        <v>49</v>
      </c>
      <c r="G7098" s="3"/>
      <c r="H7098" s="3"/>
    </row>
    <row r="7099" spans="1:8">
      <c r="A7099" s="3">
        <v>155435</v>
      </c>
      <c r="B7099" s="7" t="s">
        <v>77</v>
      </c>
      <c r="C7099" s="41">
        <v>1233.33</v>
      </c>
      <c r="D7099" s="6">
        <v>45742</v>
      </c>
      <c r="E7099" s="3" t="str">
        <f ca="1">IF(Tabela2[[#This Row],[Dt Venc:]]&gt;TODAY(),"Em Aberto",IF(Tabela2[[#This Row],[D/venc]]="-","Enviado",IF(Tabela2[[#This Row],[Dt Venc:]]=TODAY(),"Vence Hoje","Vencida")))</f>
        <v>Em Aberto</v>
      </c>
      <c r="F7099" s="3">
        <f ca="1">IF(G7099=1,"-",Tabela2[[#This Row],[Dt Venc:]]-TODAY())</f>
        <v>49</v>
      </c>
      <c r="G7099" s="3"/>
      <c r="H7099" s="3"/>
    </row>
    <row r="7100" spans="1:8">
      <c r="A7100" s="3">
        <v>155436</v>
      </c>
      <c r="B7100" s="7" t="s">
        <v>77</v>
      </c>
      <c r="C7100" s="41">
        <v>450</v>
      </c>
      <c r="D7100" s="6">
        <v>45742</v>
      </c>
      <c r="E7100" s="3" t="str">
        <f ca="1">IF(Tabela2[[#This Row],[Dt Venc:]]&gt;TODAY(),"Em Aberto",IF(Tabela2[[#This Row],[D/venc]]="-","Enviado",IF(Tabela2[[#This Row],[Dt Venc:]]=TODAY(),"Vence Hoje","Vencida")))</f>
        <v>Em Aberto</v>
      </c>
      <c r="F7100" s="3">
        <f ca="1">IF(G7100=1,"-",Tabela2[[#This Row],[Dt Venc:]]-TODAY())</f>
        <v>49</v>
      </c>
      <c r="G7100" s="3"/>
      <c r="H7100" s="3"/>
    </row>
    <row r="7101" spans="1:8">
      <c r="A7101" s="3">
        <v>224652</v>
      </c>
      <c r="B7101" s="7" t="s">
        <v>39</v>
      </c>
      <c r="C7101" s="41">
        <v>21465</v>
      </c>
      <c r="D7101" s="6">
        <v>45742</v>
      </c>
      <c r="E7101" s="3" t="str">
        <f ca="1">IF(Tabela2[[#This Row],[Dt Venc:]]&gt;TODAY(),"Em Aberto",IF(Tabela2[[#This Row],[D/venc]]="-","Enviado",IF(Tabela2[[#This Row],[Dt Venc:]]=TODAY(),"Vence Hoje","Vencida")))</f>
        <v>Em Aberto</v>
      </c>
      <c r="F7101" s="3">
        <f ca="1">IF(G7101=1,"-",Tabela2[[#This Row],[Dt Venc:]]-TODAY())</f>
        <v>49</v>
      </c>
      <c r="G7101" s="3"/>
      <c r="H7101" s="3"/>
    </row>
    <row r="7102" spans="1:8">
      <c r="A7102" s="3">
        <v>330883</v>
      </c>
      <c r="B7102" s="7" t="s">
        <v>77</v>
      </c>
      <c r="C7102" s="41">
        <v>438.33</v>
      </c>
      <c r="D7102" s="6">
        <v>45742</v>
      </c>
      <c r="E7102" s="3" t="str">
        <f ca="1">IF(Tabela2[[#This Row],[Dt Venc:]]&gt;TODAY(),"Em Aberto",IF(Tabela2[[#This Row],[D/venc]]="-","Enviado",IF(Tabela2[[#This Row],[Dt Venc:]]=TODAY(),"Vence Hoje","Vencida")))</f>
        <v>Em Aberto</v>
      </c>
      <c r="F7102" s="3">
        <f ca="1">IF(G7102=1,"-",Tabela2[[#This Row],[Dt Venc:]]-TODAY())</f>
        <v>49</v>
      </c>
      <c r="G7102" s="3"/>
      <c r="H7102" s="3"/>
    </row>
    <row r="7103" spans="1:8">
      <c r="A7103" s="3">
        <v>373444</v>
      </c>
      <c r="B7103" s="7" t="s">
        <v>39</v>
      </c>
      <c r="C7103" s="41">
        <v>554.51</v>
      </c>
      <c r="D7103" s="6">
        <v>45742</v>
      </c>
      <c r="E7103" s="3" t="str">
        <f ca="1">IF(Tabela2[[#This Row],[Dt Venc:]]&gt;TODAY(),"Em Aberto",IF(Tabela2[[#This Row],[D/venc]]="-","Enviado",IF(Tabela2[[#This Row],[Dt Venc:]]=TODAY(),"Vence Hoje","Vencida")))</f>
        <v>Em Aberto</v>
      </c>
      <c r="F7103" s="3">
        <f ca="1">IF(G7103=1,"-",Tabela2[[#This Row],[Dt Venc:]]-TODAY())</f>
        <v>49</v>
      </c>
      <c r="G7103" s="3"/>
      <c r="H7103" s="3"/>
    </row>
    <row r="7104" spans="1:8">
      <c r="A7104" s="3">
        <v>432146</v>
      </c>
      <c r="B7104" s="7" t="s">
        <v>601</v>
      </c>
      <c r="C7104" s="41">
        <v>196.98</v>
      </c>
      <c r="D7104" s="6">
        <v>45742</v>
      </c>
      <c r="E7104" s="3" t="str">
        <f ca="1">IF(Tabela2[[#This Row],[Dt Venc:]]&gt;TODAY(),"Em Aberto",IF(Tabela2[[#This Row],[D/venc]]="-","Enviado",IF(Tabela2[[#This Row],[Dt Venc:]]=TODAY(),"Vence Hoje","Vencida")))</f>
        <v>Em Aberto</v>
      </c>
      <c r="F7104" s="3">
        <f ca="1">IF(G7104=1,"-",Tabela2[[#This Row],[Dt Venc:]]-TODAY())</f>
        <v>49</v>
      </c>
      <c r="G7104" s="3"/>
      <c r="H7104" s="3"/>
    </row>
    <row r="7105" spans="1:8">
      <c r="A7105" s="3">
        <v>16243</v>
      </c>
      <c r="B7105" s="7" t="s">
        <v>289</v>
      </c>
      <c r="C7105" s="41">
        <v>277.5</v>
      </c>
      <c r="D7105" s="6">
        <v>45742</v>
      </c>
      <c r="E7105" s="3" t="str">
        <f ca="1">IF(Tabela2[[#This Row],[Dt Venc:]]&gt;TODAY(),"Em Aberto",IF(Tabela2[[#This Row],[D/venc]]="-","Enviado",IF(Tabela2[[#This Row],[Dt Venc:]]=TODAY(),"Vence Hoje","Vencida")))</f>
        <v>Em Aberto</v>
      </c>
      <c r="F7105" s="3">
        <f ca="1">IF(G7105=1,"-",Tabela2[[#This Row],[Dt Venc:]]-TODAY())</f>
        <v>49</v>
      </c>
      <c r="G7105" s="3"/>
      <c r="H7105" s="3"/>
    </row>
    <row r="7106" spans="1:8">
      <c r="A7106" s="3">
        <v>626591</v>
      </c>
      <c r="B7106" s="7" t="s">
        <v>66</v>
      </c>
      <c r="C7106" s="41">
        <v>429</v>
      </c>
      <c r="D7106" s="6">
        <v>45742</v>
      </c>
      <c r="E7106" s="3" t="str">
        <f ca="1">IF(Tabela2[[#This Row],[Dt Venc:]]&gt;TODAY(),"Em Aberto",IF(Tabela2[[#This Row],[D/venc]]="-","Enviado",IF(Tabela2[[#This Row],[Dt Venc:]]=TODAY(),"Vence Hoje","Vencida")))</f>
        <v>Em Aberto</v>
      </c>
      <c r="F7106" s="3">
        <f ca="1">IF(G7106=1,"-",Tabela2[[#This Row],[Dt Venc:]]-TODAY())</f>
        <v>49</v>
      </c>
      <c r="G7106" s="3"/>
      <c r="H7106" s="3"/>
    </row>
    <row r="7107" spans="1:8">
      <c r="A7107" s="3">
        <v>286186</v>
      </c>
      <c r="B7107" s="7" t="s">
        <v>43</v>
      </c>
      <c r="C7107" s="41">
        <v>719.64</v>
      </c>
      <c r="D7107" s="6">
        <v>45742</v>
      </c>
      <c r="E7107" s="3" t="str">
        <f ca="1">IF(Tabela2[[#This Row],[Dt Venc:]]&gt;TODAY(),"Em Aberto",IF(Tabela2[[#This Row],[D/venc]]="-","Enviado",IF(Tabela2[[#This Row],[Dt Venc:]]=TODAY(),"Vence Hoje","Vencida")))</f>
        <v>Em Aberto</v>
      </c>
      <c r="F7107" s="3">
        <f ca="1">IF(G7107=1,"-",Tabela2[[#This Row],[Dt Venc:]]-TODAY())</f>
        <v>49</v>
      </c>
      <c r="G7107" s="3"/>
      <c r="H7107" s="3"/>
    </row>
    <row r="7108" spans="1:8">
      <c r="A7108" s="3">
        <v>306838</v>
      </c>
      <c r="B7108" s="7" t="s">
        <v>506</v>
      </c>
      <c r="C7108" s="41">
        <v>358.5</v>
      </c>
      <c r="D7108" s="6">
        <v>45742</v>
      </c>
      <c r="E7108" s="3" t="str">
        <f ca="1">IF(Tabela2[[#This Row],[Dt Venc:]]&gt;TODAY(),"Em Aberto",IF(Tabela2[[#This Row],[D/venc]]="-","Enviado",IF(Tabela2[[#This Row],[Dt Venc:]]=TODAY(),"Vence Hoje","Vencida")))</f>
        <v>Em Aberto</v>
      </c>
      <c r="F7108" s="3">
        <f ca="1">IF(G7108=1,"-",Tabela2[[#This Row],[Dt Venc:]]-TODAY())</f>
        <v>49</v>
      </c>
      <c r="G7108" s="3"/>
      <c r="H7108" s="3"/>
    </row>
    <row r="7109" spans="1:8">
      <c r="A7109" s="3">
        <v>16235</v>
      </c>
      <c r="B7109" s="7" t="s">
        <v>289</v>
      </c>
      <c r="C7109" s="41">
        <v>500</v>
      </c>
      <c r="D7109" s="6">
        <v>45742</v>
      </c>
      <c r="E7109" s="3" t="str">
        <f ca="1">IF(Tabela2[[#This Row],[Dt Venc:]]&gt;TODAY(),"Em Aberto",IF(Tabela2[[#This Row],[D/venc]]="-","Enviado",IF(Tabela2[[#This Row],[Dt Venc:]]=TODAY(),"Vence Hoje","Vencida")))</f>
        <v>Em Aberto</v>
      </c>
      <c r="F7109" s="3">
        <f ca="1">IF(G7109=1,"-",Tabela2[[#This Row],[Dt Venc:]]-TODAY())</f>
        <v>49</v>
      </c>
      <c r="G7109" s="3"/>
      <c r="H7109" s="3"/>
    </row>
    <row r="7110" spans="1:8">
      <c r="A7110" s="3">
        <v>2969</v>
      </c>
      <c r="B7110" s="7" t="s">
        <v>301</v>
      </c>
      <c r="C7110" s="41">
        <v>2440</v>
      </c>
      <c r="D7110" s="6">
        <v>45743</v>
      </c>
      <c r="E7110" s="3" t="str">
        <f ca="1">IF(Tabela2[[#This Row],[Dt Venc:]]&gt;TODAY(),"Em Aberto",IF(Tabela2[[#This Row],[D/venc]]="-","Enviado",IF(Tabela2[[#This Row],[Dt Venc:]]=TODAY(),"Vence Hoje","Vencida")))</f>
        <v>Em Aberto</v>
      </c>
      <c r="F7110" s="3">
        <f ca="1">IF(G7110=1,"-",Tabela2[[#This Row],[Dt Venc:]]-TODAY())</f>
        <v>50</v>
      </c>
      <c r="G7110" s="3"/>
      <c r="H7110" s="3"/>
    </row>
    <row r="7111" spans="1:8">
      <c r="A7111" s="3">
        <v>5167</v>
      </c>
      <c r="B7111" s="7" t="s">
        <v>463</v>
      </c>
      <c r="C7111" s="41">
        <v>2001.3</v>
      </c>
      <c r="D7111" s="6">
        <v>45743</v>
      </c>
      <c r="E7111" s="3" t="str">
        <f ca="1">IF(Tabela2[[#This Row],[Dt Venc:]]&gt;TODAY(),"Em Aberto",IF(Tabela2[[#This Row],[D/venc]]="-","Enviado",IF(Tabela2[[#This Row],[Dt Venc:]]=TODAY(),"Vence Hoje","Vencida")))</f>
        <v>Em Aberto</v>
      </c>
      <c r="F7111" s="3">
        <f ca="1">IF(G7111=1,"-",Tabela2[[#This Row],[Dt Venc:]]-TODAY())</f>
        <v>50</v>
      </c>
      <c r="G7111" s="3"/>
      <c r="H7111" s="3"/>
    </row>
    <row r="7112" spans="1:8">
      <c r="A7112" s="3">
        <v>5690</v>
      </c>
      <c r="B7112" s="7" t="s">
        <v>122</v>
      </c>
      <c r="C7112" s="99" t="s">
        <v>32</v>
      </c>
      <c r="D7112" s="6">
        <v>45743</v>
      </c>
      <c r="E7112" s="3" t="str">
        <f ca="1">IF(Tabela2[[#This Row],[Dt Venc:]]&gt;TODAY(),"Em Aberto",IF(Tabela2[[#This Row],[D/venc]]="-","Enviado",IF(Tabela2[[#This Row],[Dt Venc:]]=TODAY(),"Vence Hoje","Vencida")))</f>
        <v>Em Aberto</v>
      </c>
      <c r="F7112" s="3">
        <f ca="1">IF(G7112=1,"-",Tabela2[[#This Row],[Dt Venc:]]-TODAY())</f>
        <v>50</v>
      </c>
      <c r="G7112" s="3"/>
      <c r="H7112" s="3"/>
    </row>
    <row r="7113" spans="1:8">
      <c r="A7113" s="3">
        <v>11174</v>
      </c>
      <c r="B7113" s="7" t="s">
        <v>33</v>
      </c>
      <c r="C7113" s="41">
        <v>2000</v>
      </c>
      <c r="D7113" s="6">
        <v>45743</v>
      </c>
      <c r="E7113" s="3" t="str">
        <f ca="1">IF(Tabela2[[#This Row],[Dt Venc:]]&gt;TODAY(),"Em Aberto",IF(Tabela2[[#This Row],[D/venc]]="-","Enviado",IF(Tabela2[[#This Row],[Dt Venc:]]=TODAY(),"Vence Hoje","Vencida")))</f>
        <v>Em Aberto</v>
      </c>
      <c r="F7113" s="3">
        <f ca="1">IF(G7113=1,"-",Tabela2[[#This Row],[Dt Venc:]]-TODAY())</f>
        <v>50</v>
      </c>
      <c r="G7113" s="3"/>
      <c r="H7113" s="3"/>
    </row>
    <row r="7114" spans="1:8">
      <c r="A7114" s="3">
        <v>11289</v>
      </c>
      <c r="B7114" s="7" t="s">
        <v>33</v>
      </c>
      <c r="C7114" s="41">
        <v>1926.66</v>
      </c>
      <c r="D7114" s="6">
        <v>45743</v>
      </c>
      <c r="E7114" s="3" t="str">
        <f ca="1">IF(Tabela2[[#This Row],[Dt Venc:]]&gt;TODAY(),"Em Aberto",IF(Tabela2[[#This Row],[D/venc]]="-","Enviado",IF(Tabela2[[#This Row],[Dt Venc:]]=TODAY(),"Vence Hoje","Vencida")))</f>
        <v>Em Aberto</v>
      </c>
      <c r="F7114" s="3">
        <f ca="1">IF(G7114=1,"-",Tabela2[[#This Row],[Dt Venc:]]-TODAY())</f>
        <v>50</v>
      </c>
      <c r="G7114" s="3"/>
      <c r="H7114" s="3"/>
    </row>
    <row r="7115" spans="1:8">
      <c r="A7115" s="3">
        <v>20509</v>
      </c>
      <c r="B7115" s="7" t="s">
        <v>233</v>
      </c>
      <c r="C7115" s="41">
        <v>900</v>
      </c>
      <c r="D7115" s="6">
        <v>45743</v>
      </c>
      <c r="E7115" s="3" t="str">
        <f ca="1">IF(Tabela2[[#This Row],[Dt Venc:]]&gt;TODAY(),"Em Aberto",IF(Tabela2[[#This Row],[D/venc]]="-","Enviado",IF(Tabela2[[#This Row],[Dt Venc:]]=TODAY(),"Vence Hoje","Vencida")))</f>
        <v>Em Aberto</v>
      </c>
      <c r="F7115" s="3">
        <f ca="1">IF(G7115=1,"-",Tabela2[[#This Row],[Dt Venc:]]-TODAY())</f>
        <v>50</v>
      </c>
      <c r="G7115" s="3"/>
      <c r="H7115" s="3"/>
    </row>
    <row r="7116" spans="1:8">
      <c r="A7116" s="3">
        <v>32041</v>
      </c>
      <c r="B7116" s="7" t="s">
        <v>663</v>
      </c>
      <c r="C7116" s="41">
        <v>963.81</v>
      </c>
      <c r="D7116" s="6">
        <v>45743</v>
      </c>
      <c r="E7116" s="3" t="str">
        <f ca="1">IF(Tabela2[[#This Row],[Dt Venc:]]&gt;TODAY(),"Em Aberto",IF(Tabela2[[#This Row],[D/venc]]="-","Enviado",IF(Tabela2[[#This Row],[Dt Venc:]]=TODAY(),"Vence Hoje","Vencida")))</f>
        <v>Em Aberto</v>
      </c>
      <c r="F7116" s="3">
        <f ca="1">IF(G7116=1,"-",Tabela2[[#This Row],[Dt Venc:]]-TODAY())</f>
        <v>50</v>
      </c>
      <c r="G7116" s="3"/>
      <c r="H7116" s="3"/>
    </row>
    <row r="7117" spans="1:8">
      <c r="A7117" s="3">
        <v>54921</v>
      </c>
      <c r="B7117" s="7" t="s">
        <v>35</v>
      </c>
      <c r="C7117" s="41">
        <v>315.97000000000003</v>
      </c>
      <c r="D7117" s="6">
        <v>45743</v>
      </c>
      <c r="E7117" s="3" t="str">
        <f ca="1">IF(Tabela2[[#This Row],[Dt Venc:]]&gt;TODAY(),"Em Aberto",IF(Tabela2[[#This Row],[D/venc]]="-","Enviado",IF(Tabela2[[#This Row],[Dt Venc:]]=TODAY(),"Vence Hoje","Vencida")))</f>
        <v>Em Aberto</v>
      </c>
      <c r="F7117" s="3">
        <f ca="1">IF(G7117=1,"-",Tabela2[[#This Row],[Dt Venc:]]-TODAY())</f>
        <v>50</v>
      </c>
      <c r="G7117" s="3"/>
      <c r="H7117" s="3"/>
    </row>
    <row r="7118" spans="1:8">
      <c r="A7118" s="3">
        <v>73927</v>
      </c>
      <c r="B7118" s="7" t="s">
        <v>333</v>
      </c>
      <c r="C7118" s="41">
        <v>864.67</v>
      </c>
      <c r="D7118" s="6">
        <v>45743</v>
      </c>
      <c r="E7118" s="3" t="str">
        <f ca="1">IF(Tabela2[[#This Row],[Dt Venc:]]&gt;TODAY(),"Em Aberto",IF(Tabela2[[#This Row],[D/venc]]="-","Enviado",IF(Tabela2[[#This Row],[Dt Venc:]]=TODAY(),"Vence Hoje","Vencida")))</f>
        <v>Em Aberto</v>
      </c>
      <c r="F7118" s="3">
        <f ca="1">IF(G7118=1,"-",Tabela2[[#This Row],[Dt Venc:]]-TODAY())</f>
        <v>50</v>
      </c>
      <c r="G7118" s="3"/>
      <c r="H7118" s="3"/>
    </row>
    <row r="7119" spans="1:8">
      <c r="A7119" s="3">
        <v>223792</v>
      </c>
      <c r="B7119" s="7" t="s">
        <v>127</v>
      </c>
      <c r="C7119" s="41">
        <v>1165.5999999999999</v>
      </c>
      <c r="D7119" s="6">
        <v>45743</v>
      </c>
      <c r="E7119" s="3" t="str">
        <f ca="1">IF(Tabela2[[#This Row],[Dt Venc:]]&gt;TODAY(),"Em Aberto",IF(Tabela2[[#This Row],[D/venc]]="-","Enviado",IF(Tabela2[[#This Row],[Dt Venc:]]=TODAY(),"Vence Hoje","Vencida")))</f>
        <v>Em Aberto</v>
      </c>
      <c r="F7119" s="3">
        <f ca="1">IF(G7119=1,"-",Tabela2[[#This Row],[Dt Venc:]]-TODAY())</f>
        <v>50</v>
      </c>
      <c r="G7119" s="3"/>
      <c r="H7119" s="3"/>
    </row>
    <row r="7120" spans="1:8">
      <c r="A7120" s="3">
        <v>225999</v>
      </c>
      <c r="B7120" s="7" t="s">
        <v>127</v>
      </c>
      <c r="C7120" s="41">
        <v>599.94000000000005</v>
      </c>
      <c r="D7120" s="6">
        <v>45743</v>
      </c>
      <c r="E7120" s="3" t="str">
        <f ca="1">IF(Tabela2[[#This Row],[Dt Venc:]]&gt;TODAY(),"Em Aberto",IF(Tabela2[[#This Row],[D/venc]]="-","Enviado",IF(Tabela2[[#This Row],[Dt Venc:]]=TODAY(),"Vence Hoje","Vencida")))</f>
        <v>Em Aberto</v>
      </c>
      <c r="F7120" s="3">
        <f ca="1">IF(G7120=1,"-",Tabela2[[#This Row],[Dt Venc:]]-TODAY())</f>
        <v>50</v>
      </c>
      <c r="G7120" s="3"/>
      <c r="H7120" s="3"/>
    </row>
    <row r="7121" spans="1:8">
      <c r="A7121" s="3">
        <v>272505</v>
      </c>
      <c r="B7121" s="7" t="s">
        <v>43</v>
      </c>
      <c r="C7121" s="41">
        <v>1561.85</v>
      </c>
      <c r="D7121" s="6">
        <v>45743</v>
      </c>
      <c r="E7121" s="3" t="str">
        <f ca="1">IF(Tabela2[[#This Row],[Dt Venc:]]&gt;TODAY(),"Em Aberto",IF(Tabela2[[#This Row],[D/venc]]="-","Enviado",IF(Tabela2[[#This Row],[Dt Venc:]]=TODAY(),"Vence Hoje","Vencida")))</f>
        <v>Em Aberto</v>
      </c>
      <c r="F7121" s="3">
        <f ca="1">IF(G7121=1,"-",Tabela2[[#This Row],[Dt Venc:]]-TODAY())</f>
        <v>50</v>
      </c>
      <c r="G7121" s="3"/>
      <c r="H7121" s="3"/>
    </row>
    <row r="7122" spans="1:8">
      <c r="A7122" s="3">
        <v>305820</v>
      </c>
      <c r="B7122" s="7" t="s">
        <v>572</v>
      </c>
      <c r="C7122" s="41">
        <v>187.86</v>
      </c>
      <c r="D7122" s="6">
        <v>45743</v>
      </c>
      <c r="E7122" s="3" t="str">
        <f ca="1">IF(Tabela2[[#This Row],[Dt Venc:]]&gt;TODAY(),"Em Aberto",IF(Tabela2[[#This Row],[D/venc]]="-","Enviado",IF(Tabela2[[#This Row],[Dt Venc:]]=TODAY(),"Vence Hoje","Vencida")))</f>
        <v>Em Aberto</v>
      </c>
      <c r="F7122" s="3">
        <f ca="1">IF(G7122=1,"-",Tabela2[[#This Row],[Dt Venc:]]-TODAY())</f>
        <v>50</v>
      </c>
      <c r="G7122" s="3"/>
      <c r="H7122" s="3"/>
    </row>
    <row r="7123" spans="1:8">
      <c r="A7123" s="3">
        <v>305820</v>
      </c>
      <c r="B7123" s="7" t="s">
        <v>572</v>
      </c>
      <c r="C7123" s="41">
        <v>187.86</v>
      </c>
      <c r="D7123" s="6">
        <v>45743</v>
      </c>
      <c r="E7123" s="3" t="str">
        <f ca="1">IF(Tabela2[[#This Row],[Dt Venc:]]&gt;TODAY(),"Em Aberto",IF(Tabela2[[#This Row],[D/venc]]="-","Enviado",IF(Tabela2[[#This Row],[Dt Venc:]]=TODAY(),"Vence Hoje","Vencida")))</f>
        <v>Em Aberto</v>
      </c>
      <c r="F7123" s="3">
        <f ca="1">IF(G7123=1,"-",Tabela2[[#This Row],[Dt Venc:]]-TODAY())</f>
        <v>50</v>
      </c>
      <c r="G7123" s="3"/>
      <c r="H7123" s="3"/>
    </row>
    <row r="7124" spans="1:8">
      <c r="A7124" s="3">
        <v>399913</v>
      </c>
      <c r="B7124" s="7" t="s">
        <v>136</v>
      </c>
      <c r="C7124" s="41">
        <v>1870</v>
      </c>
      <c r="D7124" s="6">
        <v>45743</v>
      </c>
      <c r="E7124" s="3" t="str">
        <f ca="1">IF(Tabela2[[#This Row],[Dt Venc:]]&gt;TODAY(),"Em Aberto",IF(Tabela2[[#This Row],[D/venc]]="-","Enviado",IF(Tabela2[[#This Row],[Dt Venc:]]=TODAY(),"Vence Hoje","Vencida")))</f>
        <v>Em Aberto</v>
      </c>
      <c r="F7124" s="3">
        <f ca="1">IF(G7124=1,"-",Tabela2[[#This Row],[Dt Venc:]]-TODAY())</f>
        <v>50</v>
      </c>
      <c r="G7124" s="3"/>
      <c r="H7124" s="3"/>
    </row>
    <row r="7125" spans="1:8">
      <c r="A7125" s="3">
        <v>399914</v>
      </c>
      <c r="B7125" s="7" t="s">
        <v>136</v>
      </c>
      <c r="C7125" s="41">
        <v>1621.07</v>
      </c>
      <c r="D7125" s="6">
        <v>45743</v>
      </c>
      <c r="E7125" s="3" t="str">
        <f ca="1">IF(Tabela2[[#This Row],[Dt Venc:]]&gt;TODAY(),"Em Aberto",IF(Tabela2[[#This Row],[D/venc]]="-","Enviado",IF(Tabela2[[#This Row],[Dt Venc:]]=TODAY(),"Vence Hoje","Vencida")))</f>
        <v>Em Aberto</v>
      </c>
      <c r="F7125" s="3">
        <f ca="1">IF(G7125=1,"-",Tabela2[[#This Row],[Dt Venc:]]-TODAY())</f>
        <v>50</v>
      </c>
      <c r="G7125" s="3"/>
      <c r="H7125" s="3"/>
    </row>
    <row r="7126" spans="1:8">
      <c r="A7126" s="3">
        <v>38472</v>
      </c>
      <c r="B7126" s="7" t="s">
        <v>70</v>
      </c>
      <c r="C7126" s="41">
        <v>1164.6300000000001</v>
      </c>
      <c r="D7126" s="6">
        <v>45743</v>
      </c>
      <c r="E7126" s="3" t="str">
        <f ca="1">IF(Tabela2[[#This Row],[Dt Venc:]]&gt;TODAY(),"Em Aberto",IF(Tabela2[[#This Row],[D/venc]]="-","Enviado",IF(Tabela2[[#This Row],[Dt Venc:]]=TODAY(),"Vence Hoje","Vencida")))</f>
        <v>Em Aberto</v>
      </c>
      <c r="F7126" s="3">
        <f ca="1">IF(G7126=1,"-",Tabela2[[#This Row],[Dt Venc:]]-TODAY())</f>
        <v>50</v>
      </c>
      <c r="G7126" s="3"/>
      <c r="H7126" s="3"/>
    </row>
    <row r="7127" spans="1:8">
      <c r="A7127" s="3">
        <v>2939</v>
      </c>
      <c r="B7127" s="7" t="s">
        <v>58</v>
      </c>
      <c r="C7127" s="41">
        <v>974.67</v>
      </c>
      <c r="D7127" s="6">
        <v>45744</v>
      </c>
      <c r="E7127" s="3" t="str">
        <f ca="1">IF(Tabela2[[#This Row],[Dt Venc:]]&gt;TODAY(),"Em Aberto",IF(Tabela2[[#This Row],[D/venc]]="-","Enviado",IF(Tabela2[[#This Row],[Dt Venc:]]=TODAY(),"Vence Hoje","Vencida")))</f>
        <v>Em Aberto</v>
      </c>
      <c r="F7127" s="3">
        <f ca="1">IF(G7127=1,"-",Tabela2[[#This Row],[Dt Venc:]]-TODAY())</f>
        <v>51</v>
      </c>
      <c r="G7127" s="3"/>
      <c r="H7127" s="3"/>
    </row>
    <row r="7128" spans="1:8">
      <c r="A7128" s="3">
        <v>31064</v>
      </c>
      <c r="B7128" s="7" t="s">
        <v>97</v>
      </c>
      <c r="C7128" s="41">
        <v>1711</v>
      </c>
      <c r="D7128" s="6">
        <v>45744</v>
      </c>
      <c r="E7128" s="3" t="str">
        <f ca="1">IF(Tabela2[[#This Row],[Dt Venc:]]&gt;TODAY(),"Em Aberto",IF(Tabela2[[#This Row],[D/venc]]="-","Enviado",IF(Tabela2[[#This Row],[Dt Venc:]]=TODAY(),"Vence Hoje","Vencida")))</f>
        <v>Em Aberto</v>
      </c>
      <c r="F7128" s="3">
        <f ca="1">IF(G7128=1,"-",Tabela2[[#This Row],[Dt Venc:]]-TODAY())</f>
        <v>51</v>
      </c>
      <c r="G7128" s="3"/>
      <c r="H7128" s="3"/>
    </row>
    <row r="7129" spans="1:8">
      <c r="A7129" s="3">
        <v>65334</v>
      </c>
      <c r="B7129" s="7" t="s">
        <v>435</v>
      </c>
      <c r="C7129" s="41">
        <v>967</v>
      </c>
      <c r="D7129" s="6">
        <v>45744</v>
      </c>
      <c r="E7129" s="3" t="str">
        <f ca="1">IF(Tabela2[[#This Row],[Dt Venc:]]&gt;TODAY(),"Em Aberto",IF(Tabela2[[#This Row],[D/venc]]="-","Enviado",IF(Tabela2[[#This Row],[Dt Venc:]]=TODAY(),"Vence Hoje","Vencida")))</f>
        <v>Em Aberto</v>
      </c>
      <c r="F7129" s="3">
        <f ca="1">IF(G7129=1,"-",Tabela2[[#This Row],[Dt Venc:]]-TODAY())</f>
        <v>51</v>
      </c>
      <c r="G7129" s="3"/>
      <c r="H7129" s="3"/>
    </row>
    <row r="7130" spans="1:8">
      <c r="A7130" s="3">
        <v>180507</v>
      </c>
      <c r="B7130" s="7" t="s">
        <v>211</v>
      </c>
      <c r="C7130" s="41">
        <v>593.34</v>
      </c>
      <c r="D7130" s="6">
        <v>45744</v>
      </c>
      <c r="E7130" s="3" t="str">
        <f ca="1">IF(Tabela2[[#This Row],[Dt Venc:]]&gt;TODAY(),"Em Aberto",IF(Tabela2[[#This Row],[D/venc]]="-","Enviado",IF(Tabela2[[#This Row],[Dt Venc:]]=TODAY(),"Vence Hoje","Vencida")))</f>
        <v>Em Aberto</v>
      </c>
      <c r="F7130" s="3">
        <f ca="1">IF(G7130=1,"-",Tabela2[[#This Row],[Dt Venc:]]-TODAY())</f>
        <v>51</v>
      </c>
      <c r="G7130" s="3"/>
      <c r="H7130" s="3"/>
    </row>
    <row r="7131" spans="1:8">
      <c r="A7131" s="3">
        <v>273214</v>
      </c>
      <c r="B7131" s="7" t="s">
        <v>43</v>
      </c>
      <c r="C7131" s="41">
        <v>1441.06</v>
      </c>
      <c r="D7131" s="6">
        <v>45744</v>
      </c>
      <c r="E7131" s="3" t="str">
        <f ca="1">IF(Tabela2[[#This Row],[Dt Venc:]]&gt;TODAY(),"Em Aberto",IF(Tabela2[[#This Row],[D/venc]]="-","Enviado",IF(Tabela2[[#This Row],[Dt Venc:]]=TODAY(),"Vence Hoje","Vencida")))</f>
        <v>Em Aberto</v>
      </c>
      <c r="F7131" s="3">
        <f ca="1">IF(G7131=1,"-",Tabela2[[#This Row],[Dt Venc:]]-TODAY())</f>
        <v>51</v>
      </c>
      <c r="G7131" s="3"/>
      <c r="H7131" s="3"/>
    </row>
    <row r="7132" spans="1:8">
      <c r="A7132" s="3">
        <v>371387</v>
      </c>
      <c r="B7132" s="7" t="s">
        <v>39</v>
      </c>
      <c r="C7132" s="41">
        <v>1690.68</v>
      </c>
      <c r="D7132" s="6">
        <v>45744</v>
      </c>
      <c r="E7132" s="3" t="str">
        <f ca="1">IF(Tabela2[[#This Row],[Dt Venc:]]&gt;TODAY(),"Em Aberto",IF(Tabela2[[#This Row],[D/venc]]="-","Enviado",IF(Tabela2[[#This Row],[Dt Venc:]]=TODAY(),"Vence Hoje","Vencida")))</f>
        <v>Em Aberto</v>
      </c>
      <c r="F7132" s="3">
        <f ca="1">IF(G7132=1,"-",Tabela2[[#This Row],[Dt Venc:]]-TODAY())</f>
        <v>51</v>
      </c>
      <c r="G7132" s="3"/>
      <c r="H7132" s="3"/>
    </row>
    <row r="7133" spans="1:8">
      <c r="A7133" s="3">
        <v>432853</v>
      </c>
      <c r="B7133" s="7" t="s">
        <v>89</v>
      </c>
      <c r="C7133" s="41">
        <v>1065</v>
      </c>
      <c r="D7133" s="6">
        <v>45744</v>
      </c>
      <c r="E7133" s="3" t="str">
        <f ca="1">IF(Tabela2[[#This Row],[Dt Venc:]]&gt;TODAY(),"Em Aberto",IF(Tabela2[[#This Row],[D/venc]]="-","Enviado",IF(Tabela2[[#This Row],[Dt Venc:]]=TODAY(),"Vence Hoje","Vencida")))</f>
        <v>Em Aberto</v>
      </c>
      <c r="F7133" s="3">
        <f ca="1">IF(G7133=1,"-",Tabela2[[#This Row],[Dt Venc:]]-TODAY())</f>
        <v>51</v>
      </c>
      <c r="G7133" s="3"/>
      <c r="H7133" s="3"/>
    </row>
    <row r="7134" spans="1:8">
      <c r="A7134" s="3">
        <v>587914</v>
      </c>
      <c r="B7134" s="7" t="s">
        <v>79</v>
      </c>
      <c r="C7134" s="41">
        <v>1197.6600000000001</v>
      </c>
      <c r="D7134" s="6">
        <v>45744</v>
      </c>
      <c r="E7134" s="3" t="str">
        <f ca="1">IF(Tabela2[[#This Row],[Dt Venc:]]&gt;TODAY(),"Em Aberto",IF(Tabela2[[#This Row],[D/venc]]="-","Enviado",IF(Tabela2[[#This Row],[Dt Venc:]]=TODAY(),"Vence Hoje","Vencida")))</f>
        <v>Em Aberto</v>
      </c>
      <c r="F7134" s="3">
        <f ca="1">IF(G7134=1,"-",Tabela2[[#This Row],[Dt Venc:]]-TODAY())</f>
        <v>51</v>
      </c>
      <c r="G7134" s="3"/>
      <c r="H7134" s="3"/>
    </row>
    <row r="7135" spans="1:8">
      <c r="A7135" s="3">
        <v>767402</v>
      </c>
      <c r="B7135" s="7" t="s">
        <v>79</v>
      </c>
      <c r="C7135" s="41">
        <v>3433.77</v>
      </c>
      <c r="D7135" s="6">
        <v>45744</v>
      </c>
      <c r="E7135" s="3" t="str">
        <f ca="1">IF(Tabela2[[#This Row],[Dt Venc:]]&gt;TODAY(),"Em Aberto",IF(Tabela2[[#This Row],[D/venc]]="-","Enviado",IF(Tabela2[[#This Row],[Dt Venc:]]=TODAY(),"Vence Hoje","Vencida")))</f>
        <v>Em Aberto</v>
      </c>
      <c r="F7135" s="3">
        <f ca="1">IF(G7135=1,"-",Tabela2[[#This Row],[Dt Venc:]]-TODAY())</f>
        <v>51</v>
      </c>
      <c r="G7135" s="3"/>
      <c r="H7135" s="3"/>
    </row>
    <row r="7136" spans="1:8">
      <c r="A7136" s="3" t="s">
        <v>110</v>
      </c>
      <c r="B7136" s="7" t="s">
        <v>373</v>
      </c>
      <c r="C7136" s="42" t="s">
        <v>32</v>
      </c>
      <c r="D7136" s="6">
        <v>45744</v>
      </c>
      <c r="E7136" s="3" t="str">
        <f ca="1">IF(Tabela2[[#This Row],[Dt Venc:]]&gt;TODAY(),"Em Aberto",IF(Tabela2[[#This Row],[D/venc]]="-","Enviado",IF(Tabela2[[#This Row],[Dt Venc:]]=TODAY(),"Vence Hoje","Vencida")))</f>
        <v>Em Aberto</v>
      </c>
      <c r="F7136" s="3">
        <f ca="1">IF(G7136=1,"-",Tabela2[[#This Row],[Dt Venc:]]-TODAY())</f>
        <v>51</v>
      </c>
      <c r="G7136" s="3"/>
      <c r="H7136" s="3"/>
    </row>
    <row r="7137" spans="1:8">
      <c r="A7137" s="3">
        <v>11388</v>
      </c>
      <c r="B7137" s="7" t="s">
        <v>33</v>
      </c>
      <c r="C7137" s="41">
        <v>1200</v>
      </c>
      <c r="D7137" s="6">
        <v>45744</v>
      </c>
      <c r="E7137" s="3" t="str">
        <f ca="1">IF(Tabela2[[#This Row],[Dt Venc:]]&gt;TODAY(),"Em Aberto",IF(Tabela2[[#This Row],[D/venc]]="-","Enviado",IF(Tabela2[[#This Row],[Dt Venc:]]=TODAY(),"Vence Hoje","Vencida")))</f>
        <v>Em Aberto</v>
      </c>
      <c r="F7137" s="3">
        <f ca="1">IF(G7137=1,"-",Tabela2[[#This Row],[Dt Venc:]]-TODAY())</f>
        <v>51</v>
      </c>
      <c r="G7137" s="3"/>
      <c r="H7137" s="3"/>
    </row>
    <row r="7138" spans="1:8">
      <c r="A7138" s="3">
        <v>11382</v>
      </c>
      <c r="B7138" s="7" t="s">
        <v>33</v>
      </c>
      <c r="C7138" s="41">
        <v>800</v>
      </c>
      <c r="D7138" s="6">
        <v>45744</v>
      </c>
      <c r="E7138" s="3" t="str">
        <f ca="1">IF(Tabela2[[#This Row],[Dt Venc:]]&gt;TODAY(),"Em Aberto",IF(Tabela2[[#This Row],[D/venc]]="-","Enviado",IF(Tabela2[[#This Row],[Dt Venc:]]=TODAY(),"Vence Hoje","Vencida")))</f>
        <v>Em Aberto</v>
      </c>
      <c r="F7138" s="3">
        <f ca="1">IF(G7138=1,"-",Tabela2[[#This Row],[Dt Venc:]]-TODAY())</f>
        <v>51</v>
      </c>
      <c r="G7138" s="3"/>
      <c r="H7138" s="3"/>
    </row>
    <row r="7139" spans="1:8">
      <c r="A7139" s="3">
        <v>6295</v>
      </c>
      <c r="B7139" s="7" t="s">
        <v>398</v>
      </c>
      <c r="C7139" s="41">
        <v>1538.33</v>
      </c>
      <c r="D7139" s="6">
        <v>45744</v>
      </c>
      <c r="E7139" s="3" t="str">
        <f ca="1">IF(Tabela2[[#This Row],[Dt Venc:]]&gt;TODAY(),"Em Aberto",IF(Tabela2[[#This Row],[D/venc]]="-","Enviado",IF(Tabela2[[#This Row],[Dt Venc:]]=TODAY(),"Vence Hoje","Vencida")))</f>
        <v>Em Aberto</v>
      </c>
      <c r="F7139" s="3">
        <f ca="1">IF(G7139=1,"-",Tabela2[[#This Row],[Dt Venc:]]-TODAY())</f>
        <v>51</v>
      </c>
      <c r="G7139" s="3"/>
      <c r="H7139" s="3"/>
    </row>
    <row r="7140" spans="1:8">
      <c r="A7140" s="3">
        <v>156168</v>
      </c>
      <c r="B7140" s="7" t="s">
        <v>77</v>
      </c>
      <c r="C7140" s="41">
        <v>1233.33</v>
      </c>
      <c r="D7140" s="6">
        <v>45744</v>
      </c>
      <c r="E7140" s="3" t="str">
        <f ca="1">IF(Tabela2[[#This Row],[Dt Venc:]]&gt;TODAY(),"Em Aberto",IF(Tabela2[[#This Row],[D/venc]]="-","Enviado",IF(Tabela2[[#This Row],[Dt Venc:]]=TODAY(),"Vence Hoje","Vencida")))</f>
        <v>Em Aberto</v>
      </c>
      <c r="F7140" s="3">
        <f ca="1">IF(G7140=1,"-",Tabela2[[#This Row],[Dt Venc:]]-TODAY())</f>
        <v>51</v>
      </c>
      <c r="G7140" s="3"/>
      <c r="H7140" s="3"/>
    </row>
    <row r="7141" spans="1:8">
      <c r="A7141" s="3">
        <v>92061</v>
      </c>
      <c r="B7141" s="7" t="s">
        <v>48</v>
      </c>
      <c r="C7141" s="41">
        <v>1050.1400000000001</v>
      </c>
      <c r="D7141" s="6">
        <v>45744</v>
      </c>
      <c r="E7141" s="3" t="str">
        <f ca="1">IF(Tabela2[[#This Row],[Dt Venc:]]&gt;TODAY(),"Em Aberto",IF(Tabela2[[#This Row],[D/venc]]="-","Enviado",IF(Tabela2[[#This Row],[Dt Venc:]]=TODAY(),"Vence Hoje","Vencida")))</f>
        <v>Em Aberto</v>
      </c>
      <c r="F7141" s="3">
        <f ca="1">IF(G7141=1,"-",Tabela2[[#This Row],[Dt Venc:]]-TODAY())</f>
        <v>51</v>
      </c>
      <c r="G7141" s="3"/>
      <c r="H7141" s="3"/>
    </row>
    <row r="7142" spans="1:8">
      <c r="A7142" s="3">
        <v>92063</v>
      </c>
      <c r="B7142" s="7" t="s">
        <v>48</v>
      </c>
      <c r="C7142" s="41">
        <v>787.33</v>
      </c>
      <c r="D7142" s="6">
        <v>45744</v>
      </c>
      <c r="E7142" s="3" t="str">
        <f ca="1">IF(Tabela2[[#This Row],[Dt Venc:]]&gt;TODAY(),"Em Aberto",IF(Tabela2[[#This Row],[D/venc]]="-","Enviado",IF(Tabela2[[#This Row],[Dt Venc:]]=TODAY(),"Vence Hoje","Vencida")))</f>
        <v>Em Aberto</v>
      </c>
      <c r="F7142" s="3">
        <f ca="1">IF(G7142=1,"-",Tabela2[[#This Row],[Dt Venc:]]-TODAY())</f>
        <v>51</v>
      </c>
      <c r="G7142" s="3"/>
      <c r="H7142" s="3"/>
    </row>
    <row r="7143" spans="1:8">
      <c r="A7143" s="3">
        <v>766010</v>
      </c>
      <c r="B7143" s="7" t="s">
        <v>127</v>
      </c>
      <c r="C7143" s="41">
        <v>399.5</v>
      </c>
      <c r="D7143" s="6">
        <v>45744</v>
      </c>
      <c r="E7143" s="3" t="str">
        <f ca="1">IF(Tabela2[[#This Row],[Dt Venc:]]&gt;TODAY(),"Em Aberto",IF(Tabela2[[#This Row],[D/venc]]="-","Enviado",IF(Tabela2[[#This Row],[Dt Venc:]]=TODAY(),"Vence Hoje","Vencida")))</f>
        <v>Em Aberto</v>
      </c>
      <c r="F7143" s="3">
        <f ca="1">IF(G7143=1,"-",Tabela2[[#This Row],[Dt Venc:]]-TODAY())</f>
        <v>51</v>
      </c>
      <c r="G7143" s="3"/>
      <c r="H7143" s="3"/>
    </row>
    <row r="7144" spans="1:8">
      <c r="A7144" s="3">
        <v>148551</v>
      </c>
      <c r="B7144" s="7" t="s">
        <v>127</v>
      </c>
      <c r="C7144" s="41">
        <v>624.5</v>
      </c>
      <c r="D7144" s="6">
        <v>45744</v>
      </c>
      <c r="E7144" s="3" t="str">
        <f ca="1">IF(Tabela2[[#This Row],[Dt Venc:]]&gt;TODAY(),"Em Aberto",IF(Tabela2[[#This Row],[D/venc]]="-","Enviado",IF(Tabela2[[#This Row],[Dt Venc:]]=TODAY(),"Vence Hoje","Vencida")))</f>
        <v>Em Aberto</v>
      </c>
      <c r="F7144" s="3">
        <f ca="1">IF(G7144=1,"-",Tabela2[[#This Row],[Dt Venc:]]-TODAY())</f>
        <v>51</v>
      </c>
      <c r="G7144" s="3"/>
      <c r="H7144" s="3"/>
    </row>
    <row r="7145" spans="1:8">
      <c r="A7145" s="3">
        <v>148552</v>
      </c>
      <c r="B7145" s="7" t="s">
        <v>127</v>
      </c>
      <c r="C7145" s="41">
        <v>624.5</v>
      </c>
      <c r="D7145" s="6">
        <v>45744</v>
      </c>
      <c r="E7145" s="3" t="str">
        <f ca="1">IF(Tabela2[[#This Row],[Dt Venc:]]&gt;TODAY(),"Em Aberto",IF(Tabela2[[#This Row],[D/venc]]="-","Enviado",IF(Tabela2[[#This Row],[Dt Venc:]]=TODAY(),"Vence Hoje","Vencida")))</f>
        <v>Em Aberto</v>
      </c>
      <c r="F7145" s="3">
        <f ca="1">IF(G7145=1,"-",Tabela2[[#This Row],[Dt Venc:]]-TODAY())</f>
        <v>51</v>
      </c>
      <c r="G7145" s="3"/>
      <c r="H7145" s="3"/>
    </row>
    <row r="7146" spans="1:8">
      <c r="A7146" s="3">
        <v>766013</v>
      </c>
      <c r="B7146" s="7" t="s">
        <v>127</v>
      </c>
      <c r="C7146" s="41">
        <v>399.5</v>
      </c>
      <c r="D7146" s="6">
        <v>45744</v>
      </c>
      <c r="E7146" s="3" t="str">
        <f ca="1">IF(Tabela2[[#This Row],[Dt Venc:]]&gt;TODAY(),"Em Aberto",IF(Tabela2[[#This Row],[D/venc]]="-","Enviado",IF(Tabela2[[#This Row],[Dt Venc:]]=TODAY(),"Vence Hoje","Vencida")))</f>
        <v>Em Aberto</v>
      </c>
      <c r="F7146" s="3">
        <f ca="1">IF(G7146=1,"-",Tabela2[[#This Row],[Dt Venc:]]-TODAY())</f>
        <v>51</v>
      </c>
      <c r="G7146" s="3"/>
      <c r="H7146" s="3"/>
    </row>
    <row r="7147" spans="1:8">
      <c r="A7147" s="3">
        <v>62</v>
      </c>
      <c r="B7147" s="7" t="s">
        <v>173</v>
      </c>
      <c r="C7147" s="41">
        <v>1786.66</v>
      </c>
      <c r="D7147" s="6">
        <v>45744</v>
      </c>
      <c r="E7147" s="3" t="str">
        <f ca="1">IF(Tabela2[[#This Row],[Dt Venc:]]&gt;TODAY(),"Em Aberto",IF(Tabela2[[#This Row],[D/venc]]="-","Enviado",IF(Tabela2[[#This Row],[Dt Venc:]]=TODAY(),"Vence Hoje","Vencida")))</f>
        <v>Em Aberto</v>
      </c>
      <c r="F7147" s="3">
        <f ca="1">IF(G7147=1,"-",Tabela2[[#This Row],[Dt Venc:]]-TODAY())</f>
        <v>51</v>
      </c>
      <c r="G7147" s="3"/>
      <c r="H7147" s="3"/>
    </row>
    <row r="7148" spans="1:8">
      <c r="A7148" s="3">
        <v>626955</v>
      </c>
      <c r="B7148" s="7" t="s">
        <v>66</v>
      </c>
      <c r="C7148" s="41">
        <v>393.52</v>
      </c>
      <c r="D7148" s="6">
        <v>45744</v>
      </c>
      <c r="E7148" s="3" t="str">
        <f ca="1">IF(Tabela2[[#This Row],[Dt Venc:]]&gt;TODAY(),"Em Aberto",IF(Tabela2[[#This Row],[D/venc]]="-","Enviado",IF(Tabela2[[#This Row],[Dt Venc:]]=TODAY(),"Vence Hoje","Vencida")))</f>
        <v>Em Aberto</v>
      </c>
      <c r="F7148" s="3">
        <f ca="1">IF(G7148=1,"-",Tabela2[[#This Row],[Dt Venc:]]-TODAY())</f>
        <v>51</v>
      </c>
      <c r="G7148" s="3"/>
      <c r="H7148" s="3"/>
    </row>
    <row r="7149" spans="1:8">
      <c r="A7149" s="3">
        <v>54024</v>
      </c>
      <c r="B7149" s="7" t="s">
        <v>144</v>
      </c>
      <c r="C7149" s="41">
        <v>1586.86</v>
      </c>
      <c r="D7149" s="6">
        <v>45744</v>
      </c>
      <c r="E7149" s="3" t="str">
        <f ca="1">IF(Tabela2[[#This Row],[Dt Venc:]]&gt;TODAY(),"Em Aberto",IF(Tabela2[[#This Row],[D/venc]]="-","Enviado",IF(Tabela2[[#This Row],[Dt Venc:]]=TODAY(),"Vence Hoje","Vencida")))</f>
        <v>Em Aberto</v>
      </c>
      <c r="F7149" s="3">
        <f ca="1">IF(G7149=1,"-",Tabela2[[#This Row],[Dt Venc:]]-TODAY())</f>
        <v>51</v>
      </c>
      <c r="G7149" s="3"/>
      <c r="H7149" s="3"/>
    </row>
    <row r="7150" spans="1:8">
      <c r="A7150" s="3">
        <v>287668</v>
      </c>
      <c r="B7150" s="7" t="s">
        <v>43</v>
      </c>
      <c r="C7150" s="41">
        <v>1977.8</v>
      </c>
      <c r="D7150" s="6">
        <v>45744</v>
      </c>
      <c r="E7150" s="3" t="str">
        <f ca="1">IF(Tabela2[[#This Row],[Dt Venc:]]&gt;TODAY(),"Em Aberto",IF(Tabela2[[#This Row],[D/venc]]="-","Enviado",IF(Tabela2[[#This Row],[Dt Venc:]]=TODAY(),"Vence Hoje","Vencida")))</f>
        <v>Em Aberto</v>
      </c>
      <c r="F7150" s="3">
        <f ca="1">IF(G7150=1,"-",Tabela2[[#This Row],[Dt Venc:]]-TODAY())</f>
        <v>51</v>
      </c>
      <c r="G7150" s="3"/>
      <c r="H7150" s="3"/>
    </row>
    <row r="7151" spans="1:8">
      <c r="A7151" s="3">
        <v>5166</v>
      </c>
      <c r="B7151" s="7" t="s">
        <v>463</v>
      </c>
      <c r="C7151" s="41">
        <v>2001.3</v>
      </c>
      <c r="D7151" s="6">
        <v>45745</v>
      </c>
      <c r="E7151" s="3" t="str">
        <f ca="1">IF(Tabela2[[#This Row],[Dt Venc:]]&gt;TODAY(),"Em Aberto",IF(Tabela2[[#This Row],[D/venc]]="-","Enviado",IF(Tabela2[[#This Row],[Dt Venc:]]=TODAY(),"Vence Hoje","Vencida")))</f>
        <v>Em Aberto</v>
      </c>
      <c r="F7151" s="3">
        <f ca="1">IF(G7151=1,"-",Tabela2[[#This Row],[Dt Venc:]]-TODAY())</f>
        <v>52</v>
      </c>
      <c r="G7151" s="3"/>
      <c r="H7151" s="3"/>
    </row>
    <row r="7152" spans="1:8">
      <c r="A7152" s="3">
        <v>23934</v>
      </c>
      <c r="B7152" s="7" t="s">
        <v>38</v>
      </c>
      <c r="C7152" s="41">
        <v>1837.5</v>
      </c>
      <c r="D7152" s="6">
        <v>45745</v>
      </c>
      <c r="E7152" s="3" t="str">
        <f ca="1">IF(Tabela2[[#This Row],[Dt Venc:]]&gt;TODAY(),"Em Aberto",IF(Tabela2[[#This Row],[D/venc]]="-","Enviado",IF(Tabela2[[#This Row],[Dt Venc:]]=TODAY(),"Vence Hoje","Vencida")))</f>
        <v>Em Aberto</v>
      </c>
      <c r="F7152" s="3">
        <f ca="1">IF(G7152=1,"-",Tabela2[[#This Row],[Dt Venc:]]-TODAY())</f>
        <v>52</v>
      </c>
      <c r="G7152" s="3"/>
      <c r="H7152" s="3"/>
    </row>
    <row r="7153" spans="1:8">
      <c r="A7153" s="3">
        <v>30511</v>
      </c>
      <c r="B7153" s="7" t="s">
        <v>226</v>
      </c>
      <c r="C7153" s="41">
        <v>1690</v>
      </c>
      <c r="D7153" s="6">
        <v>45745</v>
      </c>
      <c r="E7153" s="3" t="str">
        <f ca="1">IF(Tabela2[[#This Row],[Dt Venc:]]&gt;TODAY(),"Em Aberto",IF(Tabela2[[#This Row],[D/venc]]="-","Enviado",IF(Tabela2[[#This Row],[Dt Venc:]]=TODAY(),"Vence Hoje","Vencida")))</f>
        <v>Em Aberto</v>
      </c>
      <c r="F7153" s="3">
        <f ca="1">IF(G7153=1,"-",Tabela2[[#This Row],[Dt Venc:]]-TODAY())</f>
        <v>52</v>
      </c>
      <c r="G7153" s="3"/>
      <c r="H7153" s="3"/>
    </row>
    <row r="7154" spans="1:8">
      <c r="A7154" s="3">
        <v>30839</v>
      </c>
      <c r="B7154" s="7" t="s">
        <v>97</v>
      </c>
      <c r="C7154" s="41">
        <v>2395</v>
      </c>
      <c r="D7154" s="6">
        <v>45745</v>
      </c>
      <c r="E7154" s="3" t="str">
        <f ca="1">IF(Tabela2[[#This Row],[Dt Venc:]]&gt;TODAY(),"Em Aberto",IF(Tabela2[[#This Row],[D/venc]]="-","Enviado",IF(Tabela2[[#This Row],[Dt Venc:]]=TODAY(),"Vence Hoje","Vencida")))</f>
        <v>Em Aberto</v>
      </c>
      <c r="F7154" s="3">
        <f ca="1">IF(G7154=1,"-",Tabela2[[#This Row],[Dt Venc:]]-TODAY())</f>
        <v>52</v>
      </c>
      <c r="G7154" s="3"/>
      <c r="H7154" s="3"/>
    </row>
    <row r="7155" spans="1:8">
      <c r="A7155" s="3">
        <v>912180</v>
      </c>
      <c r="B7155" s="7" t="s">
        <v>375</v>
      </c>
      <c r="C7155" s="99" t="s">
        <v>32</v>
      </c>
      <c r="D7155" s="6">
        <v>45745</v>
      </c>
      <c r="E7155" s="3" t="str">
        <f ca="1">IF(Tabela2[[#This Row],[Dt Venc:]]&gt;TODAY(),"Em Aberto",IF(Tabela2[[#This Row],[D/venc]]="-","Enviado",IF(Tabela2[[#This Row],[Dt Venc:]]=TODAY(),"Vence Hoje","Vencida")))</f>
        <v>Em Aberto</v>
      </c>
      <c r="F7155" s="3">
        <f ca="1">IF(G7155=1,"-",Tabela2[[#This Row],[Dt Venc:]]-TODAY())</f>
        <v>52</v>
      </c>
      <c r="G7155" s="3"/>
      <c r="H7155" s="3"/>
    </row>
    <row r="7156" spans="1:8">
      <c r="A7156" s="3">
        <v>6446</v>
      </c>
      <c r="B7156" s="7" t="s">
        <v>47</v>
      </c>
      <c r="C7156" s="41">
        <v>1620.8</v>
      </c>
      <c r="D7156" s="6">
        <v>45745</v>
      </c>
      <c r="E7156" s="3" t="str">
        <f ca="1">IF(Tabela2[[#This Row],[Dt Venc:]]&gt;TODAY(),"Em Aberto",IF(Tabela2[[#This Row],[D/venc]]="-","Enviado",IF(Tabela2[[#This Row],[Dt Venc:]]=TODAY(),"Vence Hoje","Vencida")))</f>
        <v>Em Aberto</v>
      </c>
      <c r="F7156" s="3">
        <f ca="1">IF(G7156=1,"-",Tabela2[[#This Row],[Dt Venc:]]-TODAY())</f>
        <v>52</v>
      </c>
      <c r="G7156" s="3"/>
      <c r="H7156" s="3"/>
    </row>
    <row r="7157" spans="1:8">
      <c r="A7157" s="3">
        <v>433145</v>
      </c>
      <c r="B7157" s="7" t="s">
        <v>89</v>
      </c>
      <c r="C7157" s="41">
        <v>808.56</v>
      </c>
      <c r="D7157" s="6">
        <v>45745</v>
      </c>
      <c r="E7157" s="3" t="str">
        <f ca="1">IF(Tabela2[[#This Row],[Dt Venc:]]&gt;TODAY(),"Em Aberto",IF(Tabela2[[#This Row],[D/venc]]="-","Enviado",IF(Tabela2[[#This Row],[Dt Venc:]]=TODAY(),"Vence Hoje","Vencida")))</f>
        <v>Em Aberto</v>
      </c>
      <c r="F7157" s="3">
        <f ca="1">IF(G7157=1,"-",Tabela2[[#This Row],[Dt Venc:]]-TODAY())</f>
        <v>52</v>
      </c>
      <c r="G7157" s="3"/>
      <c r="H7157" s="3"/>
    </row>
    <row r="7158" spans="1:8">
      <c r="A7158" s="3">
        <v>2872</v>
      </c>
      <c r="B7158" s="7" t="s">
        <v>541</v>
      </c>
      <c r="C7158" s="41">
        <v>660.7</v>
      </c>
      <c r="D7158" s="6">
        <v>45745</v>
      </c>
      <c r="E7158" s="3" t="str">
        <f ca="1">IF(Tabela2[[#This Row],[Dt Venc:]]&gt;TODAY(),"Em Aberto",IF(Tabela2[[#This Row],[D/venc]]="-","Enviado",IF(Tabela2[[#This Row],[Dt Venc:]]=TODAY(),"Vence Hoje","Vencida")))</f>
        <v>Em Aberto</v>
      </c>
      <c r="F7158" s="3">
        <f ca="1">IF(G7158=1,"-",Tabela2[[#This Row],[Dt Venc:]]-TODAY())</f>
        <v>52</v>
      </c>
      <c r="G7158" s="3"/>
      <c r="H7158" s="3"/>
    </row>
    <row r="7159" spans="1:8">
      <c r="A7159" s="3">
        <v>180642</v>
      </c>
      <c r="B7159" s="7" t="s">
        <v>211</v>
      </c>
      <c r="C7159" s="41">
        <v>726.66</v>
      </c>
      <c r="D7159" s="6">
        <v>45745</v>
      </c>
      <c r="E7159" s="3" t="str">
        <f ca="1">IF(Tabela2[[#This Row],[Dt Venc:]]&gt;TODAY(),"Em Aberto",IF(Tabela2[[#This Row],[D/venc]]="-","Enviado",IF(Tabela2[[#This Row],[Dt Venc:]]=TODAY(),"Vence Hoje","Vencida")))</f>
        <v>Em Aberto</v>
      </c>
      <c r="F7159" s="3">
        <f ca="1">IF(G7159=1,"-",Tabela2[[#This Row],[Dt Venc:]]-TODAY())</f>
        <v>52</v>
      </c>
      <c r="G7159" s="3"/>
      <c r="H7159" s="3"/>
    </row>
    <row r="7160" spans="1:8">
      <c r="A7160" s="3">
        <v>156214</v>
      </c>
      <c r="B7160" s="7" t="s">
        <v>77</v>
      </c>
      <c r="C7160" s="41">
        <v>1233.33</v>
      </c>
      <c r="D7160" s="6">
        <v>45745</v>
      </c>
      <c r="E7160" s="3" t="str">
        <f ca="1">IF(Tabela2[[#This Row],[Dt Venc:]]&gt;TODAY(),"Em Aberto",IF(Tabela2[[#This Row],[D/venc]]="-","Enviado",IF(Tabela2[[#This Row],[Dt Venc:]]=TODAY(),"Vence Hoje","Vencida")))</f>
        <v>Em Aberto</v>
      </c>
      <c r="F7160" s="3">
        <f ca="1">IF(G7160=1,"-",Tabela2[[#This Row],[Dt Venc:]]-TODAY())</f>
        <v>52</v>
      </c>
      <c r="G7160" s="3"/>
      <c r="H7160" s="3"/>
    </row>
    <row r="7161" spans="1:8">
      <c r="A7161" s="3">
        <v>17010</v>
      </c>
      <c r="B7161" s="7" t="s">
        <v>595</v>
      </c>
      <c r="C7161" s="41">
        <v>592</v>
      </c>
      <c r="D7161" s="6">
        <v>45745</v>
      </c>
      <c r="E7161" s="3" t="str">
        <f ca="1">IF(Tabela2[[#This Row],[Dt Venc:]]&gt;TODAY(),"Em Aberto",IF(Tabela2[[#This Row],[D/venc]]="-","Enviado",IF(Tabela2[[#This Row],[Dt Venc:]]=TODAY(),"Vence Hoje","Vencida")))</f>
        <v>Em Aberto</v>
      </c>
      <c r="F7161" s="3">
        <f ca="1">IF(G7161=1,"-",Tabela2[[#This Row],[Dt Venc:]]-TODAY())</f>
        <v>52</v>
      </c>
      <c r="G7161" s="3"/>
      <c r="H7161" s="3"/>
    </row>
    <row r="7162" spans="1:8">
      <c r="A7162" s="3">
        <v>844338</v>
      </c>
      <c r="B7162" s="7" t="s">
        <v>725</v>
      </c>
      <c r="C7162" s="41">
        <v>1077.9000000000001</v>
      </c>
      <c r="D7162" s="6">
        <v>45745</v>
      </c>
      <c r="E7162" s="3" t="str">
        <f ca="1">IF(Tabela2[[#This Row],[Dt Venc:]]&gt;TODAY(),"Em Aberto",IF(Tabela2[[#This Row],[D/venc]]="-","Enviado",IF(Tabela2[[#This Row],[Dt Venc:]]=TODAY(),"Vence Hoje","Vencida")))</f>
        <v>Em Aberto</v>
      </c>
      <c r="F7162" s="3">
        <f ca="1">IF(G7162=1,"-",Tabela2[[#This Row],[Dt Venc:]]-TODAY())</f>
        <v>52</v>
      </c>
      <c r="G7162" s="3"/>
      <c r="H7162" s="3"/>
    </row>
    <row r="7163" spans="1:8">
      <c r="A7163" s="3">
        <v>75050</v>
      </c>
      <c r="B7163" s="7" t="s">
        <v>573</v>
      </c>
      <c r="C7163" s="41">
        <v>1078</v>
      </c>
      <c r="D7163" s="6">
        <v>45745</v>
      </c>
      <c r="E7163" s="3" t="str">
        <f ca="1">IF(Tabela2[[#This Row],[Dt Venc:]]&gt;TODAY(),"Em Aberto",IF(Tabela2[[#This Row],[D/venc]]="-","Enviado",IF(Tabela2[[#This Row],[Dt Venc:]]=TODAY(),"Vence Hoje","Vencida")))</f>
        <v>Em Aberto</v>
      </c>
      <c r="F7163" s="3">
        <f ca="1">IF(G7163=1,"-",Tabela2[[#This Row],[Dt Venc:]]-TODAY())</f>
        <v>52</v>
      </c>
      <c r="G7163" s="3"/>
      <c r="H7163" s="3"/>
    </row>
    <row r="7164" spans="1:8">
      <c r="A7164" s="3">
        <v>6326</v>
      </c>
      <c r="B7164" s="7" t="s">
        <v>47</v>
      </c>
      <c r="C7164" s="41">
        <v>1705</v>
      </c>
      <c r="D7164" s="6">
        <v>45746</v>
      </c>
      <c r="E7164" s="3" t="str">
        <f ca="1">IF(Tabela2[[#This Row],[Dt Venc:]]&gt;TODAY(),"Em Aberto",IF(Tabela2[[#This Row],[D/venc]]="-","Enviado",IF(Tabela2[[#This Row],[Dt Venc:]]=TODAY(),"Vence Hoje","Vencida")))</f>
        <v>Em Aberto</v>
      </c>
      <c r="F7164" s="3">
        <f ca="1">IF(G7164=1,"-",Tabela2[[#This Row],[Dt Venc:]]-TODAY())</f>
        <v>53</v>
      </c>
      <c r="G7164" s="3"/>
      <c r="H7164" s="3"/>
    </row>
    <row r="7165" spans="1:8">
      <c r="A7165" s="3">
        <v>11291</v>
      </c>
      <c r="B7165" s="7" t="s">
        <v>33</v>
      </c>
      <c r="C7165" s="41">
        <v>726.66</v>
      </c>
      <c r="D7165" s="6">
        <v>45746</v>
      </c>
      <c r="E7165" s="3" t="str">
        <f ca="1">IF(Tabela2[[#This Row],[Dt Venc:]]&gt;TODAY(),"Em Aberto",IF(Tabela2[[#This Row],[D/venc]]="-","Enviado",IF(Tabela2[[#This Row],[Dt Venc:]]=TODAY(),"Vence Hoje","Vencida")))</f>
        <v>Em Aberto</v>
      </c>
      <c r="F7165" s="3">
        <f ca="1">IF(G7165=1,"-",Tabela2[[#This Row],[Dt Venc:]]-TODAY())</f>
        <v>53</v>
      </c>
      <c r="G7165" s="3"/>
      <c r="H7165" s="3"/>
    </row>
    <row r="7166" spans="1:8">
      <c r="A7166" s="3">
        <v>30152</v>
      </c>
      <c r="B7166" s="7" t="s">
        <v>97</v>
      </c>
      <c r="C7166" s="42">
        <v>3360</v>
      </c>
      <c r="D7166" s="6">
        <v>45746</v>
      </c>
      <c r="E7166" s="3" t="str">
        <f ca="1">IF(Tabela2[[#This Row],[Dt Venc:]]&gt;TODAY(),"Em Aberto",IF(Tabela2[[#This Row],[D/venc]]="-","Enviado",IF(Tabela2[[#This Row],[Dt Venc:]]=TODAY(),"Vence Hoje","Vencida")))</f>
        <v>Em Aberto</v>
      </c>
      <c r="F7166" s="3">
        <f ca="1">IF(G7166=1,"-",Tabela2[[#This Row],[Dt Venc:]]-TODAY())</f>
        <v>53</v>
      </c>
      <c r="G7166" s="3"/>
      <c r="H7166" s="3"/>
    </row>
    <row r="7167" spans="1:8">
      <c r="A7167" s="3">
        <v>31398</v>
      </c>
      <c r="B7167" s="7" t="s">
        <v>97</v>
      </c>
      <c r="C7167" s="41">
        <v>2055</v>
      </c>
      <c r="D7167" s="6">
        <v>45746</v>
      </c>
      <c r="E7167" s="3" t="str">
        <f ca="1">IF(Tabela2[[#This Row],[Dt Venc:]]&gt;TODAY(),"Em Aberto",IF(Tabela2[[#This Row],[D/venc]]="-","Enviado",IF(Tabela2[[#This Row],[Dt Venc:]]=TODAY(),"Vence Hoje","Vencida")))</f>
        <v>Em Aberto</v>
      </c>
      <c r="F7167" s="3">
        <f ca="1">IF(G7167=1,"-",Tabela2[[#This Row],[Dt Venc:]]-TODAY())</f>
        <v>53</v>
      </c>
      <c r="G7167" s="3"/>
      <c r="H7167" s="3"/>
    </row>
    <row r="7168" spans="1:8">
      <c r="A7168" s="3">
        <v>178915</v>
      </c>
      <c r="B7168" s="7" t="s">
        <v>211</v>
      </c>
      <c r="C7168" s="41">
        <v>1600</v>
      </c>
      <c r="D7168" s="6">
        <v>45746</v>
      </c>
      <c r="E7168" s="3" t="str">
        <f ca="1">IF(Tabela2[[#This Row],[Dt Venc:]]&gt;TODAY(),"Em Aberto",IF(Tabela2[[#This Row],[D/venc]]="-","Enviado",IF(Tabela2[[#This Row],[Dt Venc:]]=TODAY(),"Vence Hoje","Vencida")))</f>
        <v>Em Aberto</v>
      </c>
      <c r="F7168" s="3">
        <f ca="1">IF(G7168=1,"-",Tabela2[[#This Row],[Dt Venc:]]-TODAY())</f>
        <v>53</v>
      </c>
      <c r="G7168" s="3"/>
      <c r="H7168" s="3"/>
    </row>
    <row r="7169" spans="1:8">
      <c r="A7169" s="3">
        <v>224188</v>
      </c>
      <c r="B7169" s="7" t="s">
        <v>127</v>
      </c>
      <c r="C7169" s="41">
        <v>2201.34</v>
      </c>
      <c r="D7169" s="6">
        <v>45746</v>
      </c>
      <c r="E7169" s="3" t="str">
        <f ca="1">IF(Tabela2[[#This Row],[Dt Venc:]]&gt;TODAY(),"Em Aberto",IF(Tabela2[[#This Row],[D/venc]]="-","Enviado",IF(Tabela2[[#This Row],[Dt Venc:]]=TODAY(),"Vence Hoje","Vencida")))</f>
        <v>Em Aberto</v>
      </c>
      <c r="F7169" s="3">
        <f ca="1">IF(G7169=1,"-",Tabela2[[#This Row],[Dt Venc:]]-TODAY())</f>
        <v>53</v>
      </c>
      <c r="G7169" s="3"/>
      <c r="H7169" s="3"/>
    </row>
    <row r="7170" spans="1:8">
      <c r="A7170" s="3">
        <v>449598</v>
      </c>
      <c r="B7170" s="7" t="s">
        <v>661</v>
      </c>
      <c r="C7170" s="41">
        <v>844.4</v>
      </c>
      <c r="D7170" s="6">
        <v>45746</v>
      </c>
      <c r="E7170" s="3" t="str">
        <f ca="1">IF(Tabela2[[#This Row],[Dt Venc:]]&gt;TODAY(),"Em Aberto",IF(Tabela2[[#This Row],[D/venc]]="-","Enviado",IF(Tabela2[[#This Row],[Dt Venc:]]=TODAY(),"Vence Hoje","Vencida")))</f>
        <v>Em Aberto</v>
      </c>
      <c r="F7170" s="3">
        <f ca="1">IF(G7170=1,"-",Tabela2[[#This Row],[Dt Venc:]]-TODAY())</f>
        <v>53</v>
      </c>
      <c r="G7170" s="3"/>
      <c r="H7170" s="3"/>
    </row>
    <row r="7171" spans="1:8">
      <c r="A7171" s="3" t="s">
        <v>123</v>
      </c>
      <c r="B7171" s="7" t="s">
        <v>386</v>
      </c>
      <c r="C7171" s="87" t="s">
        <v>32</v>
      </c>
      <c r="D7171" s="6">
        <v>45746</v>
      </c>
      <c r="E7171" s="3" t="str">
        <f ca="1">IF(Tabela2[[#This Row],[Dt Venc:]]&gt;TODAY(),"Em Aberto",IF(Tabela2[[#This Row],[D/venc]]="-","Enviado",IF(Tabela2[[#This Row],[Dt Venc:]]=TODAY(),"Vence Hoje","Vencida")))</f>
        <v>Em Aberto</v>
      </c>
      <c r="F7171" s="3">
        <f ca="1">IF(G7171=1,"-",Tabela2[[#This Row],[Dt Venc:]]-TODAY())</f>
        <v>53</v>
      </c>
      <c r="G7171" s="3"/>
      <c r="H7171" s="3"/>
    </row>
    <row r="7172" spans="1:8">
      <c r="A7172" s="3">
        <v>1356</v>
      </c>
      <c r="B7172" s="7" t="s">
        <v>474</v>
      </c>
      <c r="C7172" s="41">
        <v>573.33000000000004</v>
      </c>
      <c r="D7172" s="6">
        <v>45746</v>
      </c>
      <c r="E7172" s="3" t="str">
        <f ca="1">IF(Tabela2[[#This Row],[Dt Venc:]]&gt;TODAY(),"Em Aberto",IF(Tabela2[[#This Row],[D/venc]]="-","Enviado",IF(Tabela2[[#This Row],[Dt Venc:]]=TODAY(),"Vence Hoje","Vencida")))</f>
        <v>Em Aberto</v>
      </c>
      <c r="F7172" s="3">
        <f ca="1">IF(G7172=1,"-",Tabela2[[#This Row],[Dt Venc:]]-TODAY())</f>
        <v>53</v>
      </c>
      <c r="G7172" s="3"/>
      <c r="H7172" s="3"/>
    </row>
    <row r="7173" spans="1:8">
      <c r="A7173" s="3">
        <v>273038</v>
      </c>
      <c r="B7173" s="7" t="s">
        <v>358</v>
      </c>
      <c r="C7173" s="41">
        <v>813.34</v>
      </c>
      <c r="D7173" s="6">
        <v>45746</v>
      </c>
      <c r="E7173" s="3" t="str">
        <f ca="1">IF(Tabela2[[#This Row],[Dt Venc:]]&gt;TODAY(),"Em Aberto",IF(Tabela2[[#This Row],[D/venc]]="-","Enviado",IF(Tabela2[[#This Row],[Dt Venc:]]=TODAY(),"Vence Hoje","Vencida")))</f>
        <v>Em Aberto</v>
      </c>
      <c r="F7173" s="3">
        <f ca="1">IF(G7173=1,"-",Tabela2[[#This Row],[Dt Venc:]]-TODAY())</f>
        <v>53</v>
      </c>
      <c r="G7173" s="3"/>
      <c r="H7173" s="3"/>
    </row>
    <row r="7174" spans="1:8">
      <c r="A7174" s="3">
        <v>3565</v>
      </c>
      <c r="B7174" s="7" t="s">
        <v>290</v>
      </c>
      <c r="C7174" s="41">
        <v>2271.38</v>
      </c>
      <c r="D7174" s="6">
        <v>45746</v>
      </c>
      <c r="E7174" s="3" t="str">
        <f ca="1">IF(Tabela2[[#This Row],[Dt Venc:]]&gt;TODAY(),"Em Aberto",IF(Tabela2[[#This Row],[D/venc]]="-","Enviado",IF(Tabela2[[#This Row],[Dt Venc:]]=TODAY(),"Vence Hoje","Vencida")))</f>
        <v>Em Aberto</v>
      </c>
      <c r="F7174" s="3">
        <f ca="1">IF(G7174=1,"-",Tabela2[[#This Row],[Dt Venc:]]-TODAY())</f>
        <v>53</v>
      </c>
      <c r="G7174" s="3"/>
      <c r="H7174" s="3"/>
    </row>
    <row r="7175" spans="1:8">
      <c r="A7175" s="3">
        <v>1588</v>
      </c>
      <c r="B7175" s="7" t="s">
        <v>363</v>
      </c>
      <c r="C7175" s="41">
        <v>1166.67</v>
      </c>
      <c r="D7175" s="6">
        <v>45746</v>
      </c>
      <c r="E7175" s="3" t="str">
        <f ca="1">IF(Tabela2[[#This Row],[Dt Venc:]]&gt;TODAY(),"Em Aberto",IF(Tabela2[[#This Row],[D/venc]]="-","Enviado",IF(Tabela2[[#This Row],[Dt Venc:]]=TODAY(),"Vence Hoje","Vencida")))</f>
        <v>Em Aberto</v>
      </c>
      <c r="F7175" s="3">
        <f ca="1">IF(G7175=1,"-",Tabela2[[#This Row],[Dt Venc:]]-TODAY())</f>
        <v>53</v>
      </c>
      <c r="G7175" s="3"/>
      <c r="H7175" s="3"/>
    </row>
    <row r="7176" spans="1:8">
      <c r="A7176" s="3">
        <v>5207</v>
      </c>
      <c r="B7176" s="7" t="s">
        <v>463</v>
      </c>
      <c r="C7176" s="41">
        <v>923.75</v>
      </c>
      <c r="D7176" s="6">
        <v>45746</v>
      </c>
      <c r="E7176" s="3" t="str">
        <f ca="1">IF(Tabela2[[#This Row],[Dt Venc:]]&gt;TODAY(),"Em Aberto",IF(Tabela2[[#This Row],[D/venc]]="-","Enviado",IF(Tabela2[[#This Row],[Dt Venc:]]=TODAY(),"Vence Hoje","Vencida")))</f>
        <v>Em Aberto</v>
      </c>
      <c r="F7176" s="3">
        <f ca="1">IF(G7176=1,"-",Tabela2[[#This Row],[Dt Venc:]]-TODAY())</f>
        <v>53</v>
      </c>
      <c r="G7176" s="3"/>
      <c r="H7176" s="3"/>
    </row>
    <row r="7177" spans="1:8">
      <c r="A7177" s="3">
        <v>180750</v>
      </c>
      <c r="B7177" s="7" t="s">
        <v>174</v>
      </c>
      <c r="C7177" s="41">
        <v>8406.66</v>
      </c>
      <c r="D7177" s="6">
        <v>45746</v>
      </c>
      <c r="E7177" s="3" t="str">
        <f ca="1">IF(Tabela2[[#This Row],[Dt Venc:]]&gt;TODAY(),"Em Aberto",IF(Tabela2[[#This Row],[D/venc]]="-","Enviado",IF(Tabela2[[#This Row],[Dt Venc:]]=TODAY(),"Vence Hoje","Vencida")))</f>
        <v>Em Aberto</v>
      </c>
      <c r="F7177" s="3">
        <f ca="1">IF(G7177=1,"-",Tabela2[[#This Row],[Dt Venc:]]-TODAY())</f>
        <v>53</v>
      </c>
      <c r="G7177" s="3"/>
      <c r="H7177" s="3"/>
    </row>
    <row r="7178" spans="1:8">
      <c r="A7178" s="3">
        <v>32140</v>
      </c>
      <c r="B7178" s="7" t="s">
        <v>542</v>
      </c>
      <c r="C7178" s="41">
        <v>497.99</v>
      </c>
      <c r="D7178" s="6">
        <v>45746</v>
      </c>
      <c r="E7178" s="3" t="str">
        <f ca="1">IF(Tabela2[[#This Row],[Dt Venc:]]&gt;TODAY(),"Em Aberto",IF(Tabela2[[#This Row],[D/venc]]="-","Enviado",IF(Tabela2[[#This Row],[Dt Venc:]]=TODAY(),"Vence Hoje","Vencida")))</f>
        <v>Em Aberto</v>
      </c>
      <c r="F7178" s="3">
        <f ca="1">IF(G7178=1,"-",Tabela2[[#This Row],[Dt Venc:]]-TODAY())</f>
        <v>53</v>
      </c>
      <c r="G7178" s="3"/>
      <c r="H7178" s="3"/>
    </row>
    <row r="7179" spans="1:8">
      <c r="A7179" s="3">
        <v>382598</v>
      </c>
      <c r="B7179" s="7" t="s">
        <v>441</v>
      </c>
      <c r="C7179" s="41">
        <v>518.44000000000005</v>
      </c>
      <c r="D7179" s="6">
        <v>45746</v>
      </c>
      <c r="E7179" s="3" t="str">
        <f ca="1">IF(Tabela2[[#This Row],[Dt Venc:]]&gt;TODAY(),"Em Aberto",IF(Tabela2[[#This Row],[D/venc]]="-","Enviado",IF(Tabela2[[#This Row],[Dt Venc:]]=TODAY(),"Vence Hoje","Vencida")))</f>
        <v>Em Aberto</v>
      </c>
      <c r="F7179" s="3">
        <f ca="1">IF(G7179=1,"-",Tabela2[[#This Row],[Dt Venc:]]-TODAY())</f>
        <v>53</v>
      </c>
      <c r="G7179" s="3"/>
      <c r="H7179" s="3"/>
    </row>
    <row r="7180" spans="1:8">
      <c r="A7180" s="3">
        <v>11681</v>
      </c>
      <c r="B7180" s="7" t="s">
        <v>82</v>
      </c>
      <c r="C7180" s="87" t="s">
        <v>30</v>
      </c>
      <c r="D7180" s="6">
        <v>45747</v>
      </c>
      <c r="E7180" s="3" t="str">
        <f ca="1">IF(Tabela2[[#This Row],[Dt Venc:]]&gt;TODAY(),"Em Aberto",IF(Tabela2[[#This Row],[D/venc]]="-","Enviado",IF(Tabela2[[#This Row],[Dt Venc:]]=TODAY(),"Vence Hoje","Vencida")))</f>
        <v>Em Aberto</v>
      </c>
      <c r="F7180" s="3">
        <f ca="1">IF(G7180=1,"-",Tabela2[[#This Row],[Dt Venc:]]-TODAY())</f>
        <v>54</v>
      </c>
      <c r="G7180" s="3"/>
      <c r="H7180" s="3"/>
    </row>
    <row r="7181" spans="1:8">
      <c r="A7181" s="3">
        <v>54971</v>
      </c>
      <c r="B7181" s="7" t="s">
        <v>35</v>
      </c>
      <c r="C7181" s="41">
        <v>567.08000000000004</v>
      </c>
      <c r="D7181" s="6">
        <v>45747</v>
      </c>
      <c r="E7181" s="3" t="str">
        <f ca="1">IF(Tabela2[[#This Row],[Dt Venc:]]&gt;TODAY(),"Em Aberto",IF(Tabela2[[#This Row],[D/venc]]="-","Enviado",IF(Tabela2[[#This Row],[Dt Venc:]]=TODAY(),"Vence Hoje","Vencida")))</f>
        <v>Em Aberto</v>
      </c>
      <c r="F7181" s="3">
        <f ca="1">IF(G7181=1,"-",Tabela2[[#This Row],[Dt Venc:]]-TODAY())</f>
        <v>54</v>
      </c>
      <c r="G7181" s="3"/>
      <c r="H7181" s="3"/>
    </row>
    <row r="7182" spans="1:8">
      <c r="A7182" s="3">
        <v>373983</v>
      </c>
      <c r="B7182" s="7" t="s">
        <v>39</v>
      </c>
      <c r="C7182" s="41">
        <v>4319.75</v>
      </c>
      <c r="D7182" s="6">
        <v>45747</v>
      </c>
      <c r="E7182" s="3" t="str">
        <f ca="1">IF(Tabela2[[#This Row],[Dt Venc:]]&gt;TODAY(),"Em Aberto",IF(Tabela2[[#This Row],[D/venc]]="-","Enviado",IF(Tabela2[[#This Row],[Dt Venc:]]=TODAY(),"Vence Hoje","Vencida")))</f>
        <v>Em Aberto</v>
      </c>
      <c r="F7182" s="3">
        <f ca="1">IF(G7182=1,"-",Tabela2[[#This Row],[Dt Venc:]]-TODAY())</f>
        <v>54</v>
      </c>
      <c r="G7182" s="3"/>
      <c r="H7182" s="3"/>
    </row>
    <row r="7183" spans="1:8">
      <c r="A7183" s="3">
        <v>4733097</v>
      </c>
      <c r="B7183" s="7" t="s">
        <v>90</v>
      </c>
      <c r="C7183" s="41">
        <v>264.81</v>
      </c>
      <c r="D7183" s="6">
        <v>45747</v>
      </c>
      <c r="E7183" s="3" t="str">
        <f ca="1">IF(Tabela2[[#This Row],[Dt Venc:]]&gt;TODAY(),"Em Aberto",IF(Tabela2[[#This Row],[D/venc]]="-","Enviado",IF(Tabela2[[#This Row],[Dt Venc:]]=TODAY(),"Vence Hoje","Vencida")))</f>
        <v>Em Aberto</v>
      </c>
      <c r="F7183" s="3">
        <f ca="1">IF(G7183=1,"-",Tabela2[[#This Row],[Dt Venc:]]-TODAY())</f>
        <v>54</v>
      </c>
      <c r="G7183" s="3"/>
      <c r="H7183" s="3"/>
    </row>
    <row r="7184" spans="1:8">
      <c r="A7184" s="3" t="s">
        <v>28</v>
      </c>
      <c r="B7184" s="7" t="s">
        <v>391</v>
      </c>
      <c r="C7184" s="85" t="s">
        <v>30</v>
      </c>
      <c r="D7184" s="6">
        <v>45747</v>
      </c>
      <c r="E7184" s="3" t="str">
        <f ca="1">IF(Tabela2[[#This Row],[Dt Venc:]]&gt;TODAY(),"Em Aberto",IF(Tabela2[[#This Row],[D/venc]]="-","Enviado",IF(Tabela2[[#This Row],[Dt Venc:]]=TODAY(),"Vence Hoje","Vencida")))</f>
        <v>Em Aberto</v>
      </c>
      <c r="F7184" s="3">
        <f ca="1">IF(G7184=1,"-",Tabela2[[#This Row],[Dt Venc:]]-TODAY())</f>
        <v>54</v>
      </c>
      <c r="G7184" s="3"/>
      <c r="H7184" s="3"/>
    </row>
    <row r="7185" spans="1:8">
      <c r="A7185" s="3">
        <v>6464</v>
      </c>
      <c r="B7185" s="7" t="s">
        <v>47</v>
      </c>
      <c r="C7185" s="41">
        <v>739.99</v>
      </c>
      <c r="D7185" s="6">
        <v>45747</v>
      </c>
      <c r="E7185" s="3" t="str">
        <f ca="1">IF(Tabela2[[#This Row],[Dt Venc:]]&gt;TODAY(),"Em Aberto",IF(Tabela2[[#This Row],[D/venc]]="-","Enviado",IF(Tabela2[[#This Row],[Dt Venc:]]=TODAY(),"Vence Hoje","Vencida")))</f>
        <v>Em Aberto</v>
      </c>
      <c r="F7185" s="3">
        <f ca="1">IF(G7185=1,"-",Tabela2[[#This Row],[Dt Venc:]]-TODAY())</f>
        <v>54</v>
      </c>
      <c r="G7185" s="3"/>
      <c r="H7185" s="3"/>
    </row>
    <row r="7186" spans="1:8">
      <c r="A7186" s="3">
        <v>567104</v>
      </c>
      <c r="B7186" s="7" t="s">
        <v>187</v>
      </c>
      <c r="C7186" s="41">
        <v>528.67999999999995</v>
      </c>
      <c r="D7186" s="6">
        <v>45747</v>
      </c>
      <c r="E7186" s="3" t="str">
        <f ca="1">IF(Tabela2[[#This Row],[Dt Venc:]]&gt;TODAY(),"Em Aberto",IF(Tabela2[[#This Row],[D/venc]]="-","Enviado",IF(Tabela2[[#This Row],[Dt Venc:]]=TODAY(),"Vence Hoje","Vencida")))</f>
        <v>Em Aberto</v>
      </c>
      <c r="F7186" s="3">
        <f ca="1">IF(G7186=1,"-",Tabela2[[#This Row],[Dt Venc:]]-TODAY())</f>
        <v>54</v>
      </c>
      <c r="G7186" s="3"/>
      <c r="H7186" s="3"/>
    </row>
    <row r="7187" spans="1:8">
      <c r="A7187" s="3">
        <v>75640</v>
      </c>
      <c r="B7187" s="7" t="s">
        <v>76</v>
      </c>
      <c r="C7187" s="41">
        <v>1056.8699999999999</v>
      </c>
      <c r="D7187" s="6">
        <v>45747</v>
      </c>
      <c r="E7187" s="3" t="str">
        <f ca="1">IF(Tabela2[[#This Row],[Dt Venc:]]&gt;TODAY(),"Em Aberto",IF(Tabela2[[#This Row],[D/venc]]="-","Enviado",IF(Tabela2[[#This Row],[Dt Venc:]]=TODAY(),"Vence Hoje","Vencida")))</f>
        <v>Em Aberto</v>
      </c>
      <c r="F7187" s="3">
        <f ca="1">IF(G7187=1,"-",Tabela2[[#This Row],[Dt Venc:]]-TODAY())</f>
        <v>54</v>
      </c>
      <c r="G7187" s="3"/>
      <c r="H7187" s="3"/>
    </row>
    <row r="7188" spans="1:8">
      <c r="A7188" s="3">
        <v>377786</v>
      </c>
      <c r="B7188" s="7" t="s">
        <v>39</v>
      </c>
      <c r="C7188" s="41">
        <v>632.12</v>
      </c>
      <c r="D7188" s="6">
        <v>45747</v>
      </c>
      <c r="E7188" s="3" t="str">
        <f ca="1">IF(Tabela2[[#This Row],[Dt Venc:]]&gt;TODAY(),"Em Aberto",IF(Tabela2[[#This Row],[D/venc]]="-","Enviado",IF(Tabela2[[#This Row],[Dt Venc:]]=TODAY(),"Vence Hoje","Vencida")))</f>
        <v>Em Aberto</v>
      </c>
      <c r="F7188" s="3">
        <f ca="1">IF(G7188=1,"-",Tabela2[[#This Row],[Dt Venc:]]-TODAY())</f>
        <v>54</v>
      </c>
      <c r="G7188" s="3"/>
      <c r="H7188" s="3"/>
    </row>
    <row r="7189" spans="1:8">
      <c r="A7189" s="3">
        <v>75632</v>
      </c>
      <c r="B7189" s="7" t="s">
        <v>76</v>
      </c>
      <c r="C7189" s="41">
        <v>963.01</v>
      </c>
      <c r="D7189" s="6">
        <v>45747</v>
      </c>
      <c r="E7189" s="3" t="str">
        <f ca="1">IF(Tabela2[[#This Row],[Dt Venc:]]&gt;TODAY(),"Em Aberto",IF(Tabela2[[#This Row],[D/venc]]="-","Enviado",IF(Tabela2[[#This Row],[Dt Venc:]]=TODAY(),"Vence Hoje","Vencida")))</f>
        <v>Em Aberto</v>
      </c>
      <c r="F7189" s="3">
        <f ca="1">IF(G7189=1,"-",Tabela2[[#This Row],[Dt Venc:]]-TODAY())</f>
        <v>54</v>
      </c>
      <c r="G7189" s="3"/>
      <c r="H7189" s="3"/>
    </row>
    <row r="7190" spans="1:8">
      <c r="A7190" s="3">
        <v>75636</v>
      </c>
      <c r="B7190" s="7" t="s">
        <v>76</v>
      </c>
      <c r="C7190" s="41">
        <v>1934.79</v>
      </c>
      <c r="D7190" s="6">
        <v>45747</v>
      </c>
      <c r="E7190" s="3" t="str">
        <f ca="1">IF(Tabela2[[#This Row],[Dt Venc:]]&gt;TODAY(),"Em Aberto",IF(Tabela2[[#This Row],[D/venc]]="-","Enviado",IF(Tabela2[[#This Row],[Dt Venc:]]=TODAY(),"Vence Hoje","Vencida")))</f>
        <v>Em Aberto</v>
      </c>
      <c r="F7190" s="3">
        <f ca="1">IF(G7190=1,"-",Tabela2[[#This Row],[Dt Venc:]]-TODAY())</f>
        <v>54</v>
      </c>
      <c r="G7190" s="3"/>
      <c r="H7190" s="3"/>
    </row>
    <row r="7191" spans="1:8">
      <c r="A7191" s="3">
        <v>567026</v>
      </c>
      <c r="B7191" s="7" t="s">
        <v>39</v>
      </c>
      <c r="C7191" s="41">
        <v>1347.79</v>
      </c>
      <c r="D7191" s="6">
        <v>45747</v>
      </c>
      <c r="E7191" s="3" t="str">
        <f ca="1">IF(Tabela2[[#This Row],[Dt Venc:]]&gt;TODAY(),"Em Aberto",IF(Tabela2[[#This Row],[D/venc]]="-","Enviado",IF(Tabela2[[#This Row],[Dt Venc:]]=TODAY(),"Vence Hoje","Vencida")))</f>
        <v>Em Aberto</v>
      </c>
      <c r="F7191" s="3">
        <f ca="1">IF(G7191=1,"-",Tabela2[[#This Row],[Dt Venc:]]-TODAY())</f>
        <v>54</v>
      </c>
      <c r="G7191" s="3"/>
      <c r="H7191" s="3"/>
    </row>
    <row r="7192" spans="1:8">
      <c r="A7192" s="3">
        <v>23169</v>
      </c>
      <c r="B7192" s="7" t="s">
        <v>40</v>
      </c>
      <c r="C7192" s="41">
        <v>5950</v>
      </c>
      <c r="D7192" s="6">
        <v>45747</v>
      </c>
      <c r="E7192" s="3" t="str">
        <f ca="1">IF(Tabela2[[#This Row],[Dt Venc:]]&gt;TODAY(),"Em Aberto",IF(Tabela2[[#This Row],[D/venc]]="-","Enviado",IF(Tabela2[[#This Row],[Dt Venc:]]=TODAY(),"Vence Hoje","Vencida")))</f>
        <v>Em Aberto</v>
      </c>
      <c r="F7192" s="3">
        <f ca="1">IF(G7192=1,"-",Tabela2[[#This Row],[Dt Venc:]]-TODAY())</f>
        <v>54</v>
      </c>
      <c r="G7192" s="3"/>
      <c r="H7192" s="3"/>
    </row>
    <row r="7193" spans="1:8">
      <c r="A7193" s="3">
        <v>239571</v>
      </c>
      <c r="B7193" s="7" t="s">
        <v>40</v>
      </c>
      <c r="C7193" s="41">
        <v>950</v>
      </c>
      <c r="D7193" s="6">
        <v>45747</v>
      </c>
      <c r="E7193" s="3" t="str">
        <f ca="1">IF(Tabela2[[#This Row],[Dt Venc:]]&gt;TODAY(),"Em Aberto",IF(Tabela2[[#This Row],[D/venc]]="-","Enviado",IF(Tabela2[[#This Row],[Dt Venc:]]=TODAY(),"Vence Hoje","Vencida")))</f>
        <v>Em Aberto</v>
      </c>
      <c r="F7193" s="3">
        <f ca="1">IF(G7193=1,"-",Tabela2[[#This Row],[Dt Venc:]]-TODAY())</f>
        <v>54</v>
      </c>
      <c r="G7193" s="3"/>
      <c r="H7193" s="3"/>
    </row>
    <row r="7194" spans="1:8">
      <c r="A7194" s="3">
        <v>239600</v>
      </c>
      <c r="B7194" s="7" t="s">
        <v>40</v>
      </c>
      <c r="C7194" s="41">
        <v>1233.3399999999999</v>
      </c>
      <c r="D7194" s="6">
        <v>45747</v>
      </c>
      <c r="E7194" s="3" t="str">
        <f ca="1">IF(Tabela2[[#This Row],[Dt Venc:]]&gt;TODAY(),"Em Aberto",IF(Tabela2[[#This Row],[D/venc]]="-","Enviado",IF(Tabela2[[#This Row],[Dt Venc:]]=TODAY(),"Vence Hoje","Vencida")))</f>
        <v>Em Aberto</v>
      </c>
      <c r="F7194" s="3">
        <f ca="1">IF(G7194=1,"-",Tabela2[[#This Row],[Dt Venc:]]-TODAY())</f>
        <v>54</v>
      </c>
      <c r="G7194" s="3"/>
      <c r="H7194" s="3"/>
    </row>
    <row r="7195" spans="1:8">
      <c r="A7195" s="3">
        <v>225860</v>
      </c>
      <c r="B7195" s="7" t="s">
        <v>39</v>
      </c>
      <c r="C7195" s="41">
        <v>35775</v>
      </c>
      <c r="D7195" s="6">
        <v>45747</v>
      </c>
      <c r="E7195" s="3" t="str">
        <f ca="1">IF(Tabela2[[#This Row],[Dt Venc:]]&gt;TODAY(),"Em Aberto",IF(Tabela2[[#This Row],[D/venc]]="-","Enviado",IF(Tabela2[[#This Row],[Dt Venc:]]=TODAY(),"Vence Hoje","Vencida")))</f>
        <v>Em Aberto</v>
      </c>
      <c r="F7195" s="3">
        <f ca="1">IF(G7195=1,"-",Tabela2[[#This Row],[Dt Venc:]]-TODAY())</f>
        <v>54</v>
      </c>
      <c r="G7195" s="3"/>
      <c r="H7195" s="3"/>
    </row>
    <row r="7196" spans="1:8">
      <c r="A7196" s="3">
        <v>31498</v>
      </c>
      <c r="B7196" s="7" t="s">
        <v>97</v>
      </c>
      <c r="C7196" s="41">
        <v>2395</v>
      </c>
      <c r="D7196" s="6">
        <v>45747</v>
      </c>
      <c r="E7196" s="3" t="str">
        <f ca="1">IF(Tabela2[[#This Row],[Dt Venc:]]&gt;TODAY(),"Em Aberto",IF(Tabela2[[#This Row],[D/venc]]="-","Enviado",IF(Tabela2[[#This Row],[Dt Venc:]]=TODAY(),"Vence Hoje","Vencida")))</f>
        <v>Em Aberto</v>
      </c>
      <c r="F7196" s="3">
        <f ca="1">IF(G7196=1,"-",Tabela2[[#This Row],[Dt Venc:]]-TODAY())</f>
        <v>54</v>
      </c>
      <c r="G7196" s="3"/>
      <c r="H7196" s="3"/>
    </row>
    <row r="7197" spans="1:8">
      <c r="A7197" s="3">
        <v>378079</v>
      </c>
      <c r="B7197" s="7" t="s">
        <v>39</v>
      </c>
      <c r="C7197" s="41">
        <v>664.34</v>
      </c>
      <c r="D7197" s="6">
        <v>45747</v>
      </c>
      <c r="E7197" s="3" t="str">
        <f ca="1">IF(Tabela2[[#This Row],[Dt Venc:]]&gt;TODAY(),"Em Aberto",IF(Tabela2[[#This Row],[D/venc]]="-","Enviado",IF(Tabela2[[#This Row],[Dt Venc:]]=TODAY(),"Vence Hoje","Vencida")))</f>
        <v>Em Aberto</v>
      </c>
      <c r="F7197" s="3">
        <f ca="1">IF(G7197=1,"-",Tabela2[[#This Row],[Dt Venc:]]-TODAY())</f>
        <v>54</v>
      </c>
      <c r="G7197" s="3"/>
      <c r="H7197" s="3"/>
    </row>
    <row r="7198" spans="1:8">
      <c r="A7198" s="3">
        <v>2076</v>
      </c>
      <c r="B7198" s="7" t="s">
        <v>477</v>
      </c>
      <c r="C7198" s="41">
        <v>616.97</v>
      </c>
      <c r="D7198" s="6">
        <v>45747</v>
      </c>
      <c r="E7198" s="3" t="str">
        <f ca="1">IF(Tabela2[[#This Row],[Dt Venc:]]&gt;TODAY(),"Em Aberto",IF(Tabela2[[#This Row],[D/venc]]="-","Enviado",IF(Tabela2[[#This Row],[Dt Venc:]]=TODAY(),"Vence Hoje","Vencida")))</f>
        <v>Em Aberto</v>
      </c>
      <c r="F7198" s="3">
        <f ca="1">IF(G7198=1,"-",Tabela2[[#This Row],[Dt Venc:]]-TODAY())</f>
        <v>54</v>
      </c>
      <c r="G7198" s="3"/>
      <c r="H7198" s="3"/>
    </row>
    <row r="7199" spans="1:8">
      <c r="A7199" s="3">
        <v>3003</v>
      </c>
      <c r="B7199" s="7" t="s">
        <v>58</v>
      </c>
      <c r="C7199" s="41">
        <v>830</v>
      </c>
      <c r="D7199" s="6">
        <v>45747</v>
      </c>
      <c r="E7199" s="3" t="str">
        <f ca="1">IF(Tabela2[[#This Row],[Dt Venc:]]&gt;TODAY(),"Em Aberto",IF(Tabela2[[#This Row],[D/venc]]="-","Enviado",IF(Tabela2[[#This Row],[Dt Venc:]]=TODAY(),"Vence Hoje","Vencida")))</f>
        <v>Em Aberto</v>
      </c>
      <c r="F7199" s="3">
        <f ca="1">IF(G7199=1,"-",Tabela2[[#This Row],[Dt Venc:]]-TODAY())</f>
        <v>54</v>
      </c>
      <c r="G7199" s="3"/>
      <c r="H7199" s="3"/>
    </row>
    <row r="7200" spans="1:8">
      <c r="A7200" s="3">
        <v>2076</v>
      </c>
      <c r="B7200" s="7" t="s">
        <v>477</v>
      </c>
      <c r="C7200" s="41">
        <v>616.97</v>
      </c>
      <c r="D7200" s="6">
        <v>45747</v>
      </c>
      <c r="E7200" s="3" t="str">
        <f ca="1">IF(Tabela2[[#This Row],[Dt Venc:]]&gt;TODAY(),"Em Aberto",IF(Tabela2[[#This Row],[D/venc]]="-","Enviado",IF(Tabela2[[#This Row],[Dt Venc:]]=TODAY(),"Vence Hoje","Vencida")))</f>
        <v>Em Aberto</v>
      </c>
      <c r="F7200" s="3">
        <f ca="1">IF(G7200=1,"-",Tabela2[[#This Row],[Dt Venc:]]-TODAY())</f>
        <v>54</v>
      </c>
      <c r="G7200" s="3"/>
      <c r="H7200" s="3"/>
    </row>
    <row r="7201" spans="1:8">
      <c r="A7201" s="3">
        <v>6307</v>
      </c>
      <c r="B7201" s="7" t="s">
        <v>140</v>
      </c>
      <c r="C7201" s="41">
        <v>1168.67</v>
      </c>
      <c r="D7201" s="6">
        <v>45747</v>
      </c>
      <c r="E7201" s="3" t="str">
        <f ca="1">IF(Tabela2[[#This Row],[Dt Venc:]]&gt;TODAY(),"Em Aberto",IF(Tabela2[[#This Row],[D/venc]]="-","Enviado",IF(Tabela2[[#This Row],[Dt Venc:]]=TODAY(),"Vence Hoje","Vencida")))</f>
        <v>Em Aberto</v>
      </c>
      <c r="F7201" s="3">
        <f ca="1">IF(G7201=1,"-",Tabela2[[#This Row],[Dt Venc:]]-TODAY())</f>
        <v>54</v>
      </c>
      <c r="G7201" s="3"/>
      <c r="H7201" s="3"/>
    </row>
    <row r="7202" spans="1:8">
      <c r="A7202" s="3">
        <v>377889</v>
      </c>
      <c r="B7202" s="7" t="s">
        <v>187</v>
      </c>
      <c r="C7202" s="41">
        <v>1555.42</v>
      </c>
      <c r="D7202" s="6">
        <v>45747</v>
      </c>
      <c r="E7202" s="3" t="str">
        <f ca="1">IF(Tabela2[[#This Row],[Dt Venc:]]&gt;TODAY(),"Em Aberto",IF(Tabela2[[#This Row],[D/venc]]="-","Enviado",IF(Tabela2[[#This Row],[Dt Venc:]]=TODAY(),"Vence Hoje","Vencida")))</f>
        <v>Em Aberto</v>
      </c>
      <c r="F7202" s="3">
        <f ca="1">IF(G7202=1,"-",Tabela2[[#This Row],[Dt Venc:]]-TODAY())</f>
        <v>54</v>
      </c>
      <c r="G7202" s="3"/>
      <c r="H7202" s="3"/>
    </row>
    <row r="7203" spans="1:8">
      <c r="A7203" s="3">
        <v>567359</v>
      </c>
      <c r="B7203" s="7" t="s">
        <v>39</v>
      </c>
      <c r="C7203" s="41">
        <v>3060.59</v>
      </c>
      <c r="D7203" s="6">
        <v>45747</v>
      </c>
      <c r="E7203" s="3" t="str">
        <f ca="1">IF(Tabela2[[#This Row],[Dt Venc:]]&gt;TODAY(),"Em Aberto",IF(Tabela2[[#This Row],[D/venc]]="-","Enviado",IF(Tabela2[[#This Row],[Dt Venc:]]=TODAY(),"Vence Hoje","Vencida")))</f>
        <v>Em Aberto</v>
      </c>
      <c r="F7203" s="3">
        <f ca="1">IF(G7203=1,"-",Tabela2[[#This Row],[Dt Venc:]]-TODAY())</f>
        <v>54</v>
      </c>
      <c r="G7203" s="3"/>
      <c r="H7203" s="3"/>
    </row>
    <row r="7204" spans="1:8">
      <c r="A7204" s="3">
        <v>31622</v>
      </c>
      <c r="B7204" s="7" t="s">
        <v>542</v>
      </c>
      <c r="C7204" s="41">
        <v>3416.25</v>
      </c>
      <c r="D7204" s="6">
        <v>45748</v>
      </c>
      <c r="E7204" s="3" t="str">
        <f ca="1">IF(Tabela2[[#This Row],[Dt Venc:]]&gt;TODAY(),"Em Aberto",IF(Tabela2[[#This Row],[D/venc]]="-","Enviado",IF(Tabela2[[#This Row],[Dt Venc:]]=TODAY(),"Vence Hoje","Vencida")))</f>
        <v>Em Aberto</v>
      </c>
      <c r="F7204" s="3">
        <f ca="1">IF(G7204=1,"-",Tabela2[[#This Row],[Dt Venc:]]-TODAY())</f>
        <v>55</v>
      </c>
      <c r="G7204" s="3"/>
      <c r="H7204" s="3"/>
    </row>
    <row r="7205" spans="1:8">
      <c r="A7205" s="3">
        <v>36910</v>
      </c>
      <c r="B7205" s="7" t="s">
        <v>167</v>
      </c>
      <c r="C7205" s="100" t="s">
        <v>32</v>
      </c>
      <c r="D7205" s="6">
        <v>45748</v>
      </c>
      <c r="E7205" s="3" t="str">
        <f ca="1">IF(Tabela2[[#This Row],[Dt Venc:]]&gt;TODAY(),"Em Aberto",IF(Tabela2[[#This Row],[D/venc]]="-","Enviado",IF(Tabela2[[#This Row],[Dt Venc:]]=TODAY(),"Vence Hoje","Vencida")))</f>
        <v>Em Aberto</v>
      </c>
      <c r="F7205" s="3">
        <f ca="1">IF(G7205=1,"-",Tabela2[[#This Row],[Dt Venc:]]-TODAY())</f>
        <v>55</v>
      </c>
      <c r="G7205" s="3"/>
      <c r="H7205" s="3"/>
    </row>
    <row r="7206" spans="1:8">
      <c r="A7206" s="3">
        <v>274375</v>
      </c>
      <c r="B7206" s="7" t="s">
        <v>43</v>
      </c>
      <c r="C7206" s="41">
        <v>567.72</v>
      </c>
      <c r="D7206" s="6">
        <v>45748</v>
      </c>
      <c r="E7206" s="3" t="str">
        <f ca="1">IF(Tabela2[[#This Row],[Dt Venc:]]&gt;TODAY(),"Em Aberto",IF(Tabela2[[#This Row],[D/venc]]="-","Enviado",IF(Tabela2[[#This Row],[Dt Venc:]]=TODAY(),"Vence Hoje","Vencida")))</f>
        <v>Em Aberto</v>
      </c>
      <c r="F7206" s="3">
        <f ca="1">IF(G7206=1,"-",Tabela2[[#This Row],[Dt Venc:]]-TODAY())</f>
        <v>55</v>
      </c>
      <c r="G7206" s="3"/>
      <c r="H7206" s="3"/>
    </row>
    <row r="7207" spans="1:8">
      <c r="A7207" s="3">
        <v>300771</v>
      </c>
      <c r="B7207" s="7" t="s">
        <v>79</v>
      </c>
      <c r="C7207" s="41">
        <v>752.24</v>
      </c>
      <c r="D7207" s="6">
        <v>45748</v>
      </c>
      <c r="E7207" s="3" t="str">
        <f ca="1">IF(Tabela2[[#This Row],[Dt Venc:]]&gt;TODAY(),"Em Aberto",IF(Tabela2[[#This Row],[D/venc]]="-","Enviado",IF(Tabela2[[#This Row],[Dt Venc:]]=TODAY(),"Vence Hoje","Vencida")))</f>
        <v>Em Aberto</v>
      </c>
      <c r="F7207" s="3">
        <f ca="1">IF(G7207=1,"-",Tabela2[[#This Row],[Dt Venc:]]-TODAY())</f>
        <v>55</v>
      </c>
      <c r="G7207" s="3"/>
      <c r="H7207" s="3"/>
    </row>
    <row r="7208" spans="1:8">
      <c r="A7208" s="3">
        <v>305978</v>
      </c>
      <c r="B7208" s="7" t="s">
        <v>572</v>
      </c>
      <c r="C7208" s="41">
        <v>1048.6600000000001</v>
      </c>
      <c r="D7208" s="6">
        <v>45748</v>
      </c>
      <c r="E7208" s="3" t="str">
        <f ca="1">IF(Tabela2[[#This Row],[Dt Venc:]]&gt;TODAY(),"Em Aberto",IF(Tabela2[[#This Row],[D/venc]]="-","Enviado",IF(Tabela2[[#This Row],[Dt Venc:]]=TODAY(),"Vence Hoje","Vencida")))</f>
        <v>Em Aberto</v>
      </c>
      <c r="F7208" s="3">
        <f ca="1">IF(G7208=1,"-",Tabela2[[#This Row],[Dt Venc:]]-TODAY())</f>
        <v>55</v>
      </c>
      <c r="G7208" s="3"/>
      <c r="H7208" s="3"/>
    </row>
    <row r="7209" spans="1:8">
      <c r="A7209" s="3" t="s">
        <v>28</v>
      </c>
      <c r="B7209" s="7" t="s">
        <v>29</v>
      </c>
      <c r="C7209" s="87" t="s">
        <v>393</v>
      </c>
      <c r="D7209" s="6">
        <v>45748</v>
      </c>
      <c r="E7209" s="3" t="str">
        <f ca="1">IF(Tabela2[[#This Row],[Dt Venc:]]&gt;TODAY(),"Em Aberto",IF(Tabela2[[#This Row],[D/venc]]="-","Enviado",IF(Tabela2[[#This Row],[Dt Venc:]]=TODAY(),"Vence Hoje","Vencida")))</f>
        <v>Em Aberto</v>
      </c>
      <c r="F7209" s="3">
        <f ca="1">IF(G7209=1,"-",Tabela2[[#This Row],[Dt Venc:]]-TODAY())</f>
        <v>55</v>
      </c>
      <c r="G7209" s="3"/>
      <c r="H7209" s="3"/>
    </row>
    <row r="7210" spans="1:8">
      <c r="A7210" s="3" t="s">
        <v>110</v>
      </c>
      <c r="B7210" s="7" t="s">
        <v>395</v>
      </c>
      <c r="C7210" s="42" t="s">
        <v>32</v>
      </c>
      <c r="D7210" s="6">
        <v>45748</v>
      </c>
      <c r="E7210" s="3" t="str">
        <f ca="1">IF(Tabela2[[#This Row],[Dt Venc:]]&gt;TODAY(),"Em Aberto",IF(Tabela2[[#This Row],[D/venc]]="-","Enviado",IF(Tabela2[[#This Row],[Dt Venc:]]=TODAY(),"Vence Hoje","Vencida")))</f>
        <v>Em Aberto</v>
      </c>
      <c r="F7210" s="3">
        <f ca="1">IF(G7210=1,"-",Tabela2[[#This Row],[Dt Venc:]]-TODAY())</f>
        <v>55</v>
      </c>
      <c r="G7210" s="3"/>
      <c r="H7210" s="3"/>
    </row>
    <row r="7211" spans="1:8">
      <c r="A7211" s="3">
        <v>23189</v>
      </c>
      <c r="B7211" s="7" t="s">
        <v>40</v>
      </c>
      <c r="C7211" s="41">
        <v>1983.34</v>
      </c>
      <c r="D7211" s="6">
        <v>45748</v>
      </c>
      <c r="E7211" s="3" t="str">
        <f ca="1">IF(Tabela2[[#This Row],[Dt Venc:]]&gt;TODAY(),"Em Aberto",IF(Tabela2[[#This Row],[D/venc]]="-","Enviado",IF(Tabela2[[#This Row],[Dt Venc:]]=TODAY(),"Vence Hoje","Vencida")))</f>
        <v>Em Aberto</v>
      </c>
      <c r="F7211" s="3">
        <f ca="1">IF(G7211=1,"-",Tabela2[[#This Row],[Dt Venc:]]-TODAY())</f>
        <v>55</v>
      </c>
      <c r="G7211" s="3"/>
      <c r="H7211" s="3"/>
    </row>
    <row r="7212" spans="1:8">
      <c r="A7212" s="3">
        <v>11397</v>
      </c>
      <c r="B7212" s="7" t="s">
        <v>33</v>
      </c>
      <c r="C7212" s="41">
        <v>1960</v>
      </c>
      <c r="D7212" s="6">
        <v>45748</v>
      </c>
      <c r="E7212" s="3" t="str">
        <f ca="1">IF(Tabela2[[#This Row],[Dt Venc:]]&gt;TODAY(),"Em Aberto",IF(Tabela2[[#This Row],[D/venc]]="-","Enviado",IF(Tabela2[[#This Row],[Dt Venc:]]=TODAY(),"Vence Hoje","Vencida")))</f>
        <v>Em Aberto</v>
      </c>
      <c r="F7212" s="3">
        <f ca="1">IF(G7212=1,"-",Tabela2[[#This Row],[Dt Venc:]]-TODAY())</f>
        <v>55</v>
      </c>
      <c r="G7212" s="3"/>
      <c r="H7212" s="3"/>
    </row>
    <row r="7213" spans="1:8">
      <c r="A7213" s="3">
        <v>75755</v>
      </c>
      <c r="B7213" s="7" t="s">
        <v>76</v>
      </c>
      <c r="C7213" s="41">
        <v>1940.38</v>
      </c>
      <c r="D7213" s="6">
        <v>45748</v>
      </c>
      <c r="E7213" s="3" t="str">
        <f ca="1">IF(Tabela2[[#This Row],[Dt Venc:]]&gt;TODAY(),"Em Aberto",IF(Tabela2[[#This Row],[D/venc]]="-","Enviado",IF(Tabela2[[#This Row],[Dt Venc:]]=TODAY(),"Vence Hoje","Vencida")))</f>
        <v>Em Aberto</v>
      </c>
      <c r="F7213" s="3">
        <f ca="1">IF(G7213=1,"-",Tabela2[[#This Row],[Dt Venc:]]-TODAY())</f>
        <v>55</v>
      </c>
      <c r="G7213" s="3"/>
      <c r="H7213" s="3"/>
    </row>
    <row r="7214" spans="1:8">
      <c r="A7214" s="3">
        <v>10502</v>
      </c>
      <c r="B7214" s="7" t="s">
        <v>354</v>
      </c>
      <c r="C7214" s="41">
        <v>1320</v>
      </c>
      <c r="D7214" s="6">
        <v>45748</v>
      </c>
      <c r="E7214" s="3" t="str">
        <f ca="1">IF(Tabela2[[#This Row],[Dt Venc:]]&gt;TODAY(),"Em Aberto",IF(Tabela2[[#This Row],[D/venc]]="-","Enviado",IF(Tabela2[[#This Row],[Dt Venc:]]=TODAY(),"Vence Hoje","Vencida")))</f>
        <v>Em Aberto</v>
      </c>
      <c r="F7214" s="3">
        <f ca="1">IF(G7214=1,"-",Tabela2[[#This Row],[Dt Venc:]]-TODAY())</f>
        <v>55</v>
      </c>
      <c r="G7214" s="3"/>
      <c r="H7214" s="3"/>
    </row>
    <row r="7215" spans="1:8">
      <c r="A7215" s="3">
        <v>2946</v>
      </c>
      <c r="B7215" s="7" t="s">
        <v>58</v>
      </c>
      <c r="C7215" s="41">
        <v>1143.74</v>
      </c>
      <c r="D7215" s="6">
        <v>45749</v>
      </c>
      <c r="E7215" s="3" t="str">
        <f ca="1">IF(Tabela2[[#This Row],[Dt Venc:]]&gt;TODAY(),"Em Aberto",IF(Tabela2[[#This Row],[D/venc]]="-","Enviado",IF(Tabela2[[#This Row],[Dt Venc:]]=TODAY(),"Vence Hoje","Vencida")))</f>
        <v>Em Aberto</v>
      </c>
      <c r="F7215" s="3">
        <f ca="1">IF(G7215=1,"-",Tabela2[[#This Row],[Dt Venc:]]-TODAY())</f>
        <v>56</v>
      </c>
      <c r="G7215" s="3"/>
      <c r="H7215" s="3"/>
    </row>
    <row r="7216" spans="1:8">
      <c r="A7216" s="3">
        <v>6914</v>
      </c>
      <c r="B7216" s="7" t="s">
        <v>43</v>
      </c>
      <c r="C7216" s="41">
        <v>380.66</v>
      </c>
      <c r="D7216" s="6">
        <v>45749</v>
      </c>
      <c r="E7216" s="3" t="str">
        <f ca="1">IF(Tabela2[[#This Row],[Dt Venc:]]&gt;TODAY(),"Em Aberto",IF(Tabela2[[#This Row],[D/venc]]="-","Enviado",IF(Tabela2[[#This Row],[Dt Venc:]]=TODAY(),"Vence Hoje","Vencida")))</f>
        <v>Em Aberto</v>
      </c>
      <c r="F7216" s="3">
        <f ca="1">IF(G7216=1,"-",Tabela2[[#This Row],[Dt Venc:]]-TODAY())</f>
        <v>56</v>
      </c>
      <c r="G7216" s="3"/>
      <c r="H7216" s="3"/>
    </row>
    <row r="7217" spans="1:8">
      <c r="A7217" s="3">
        <v>11298</v>
      </c>
      <c r="B7217" s="7" t="s">
        <v>33</v>
      </c>
      <c r="C7217" s="41">
        <v>1303.3399999999999</v>
      </c>
      <c r="D7217" s="6">
        <v>45749</v>
      </c>
      <c r="E7217" s="3" t="str">
        <f ca="1">IF(Tabela2[[#This Row],[Dt Venc:]]&gt;TODAY(),"Em Aberto",IF(Tabela2[[#This Row],[D/venc]]="-","Enviado",IF(Tabela2[[#This Row],[Dt Venc:]]=TODAY(),"Vence Hoje","Vencida")))</f>
        <v>Em Aberto</v>
      </c>
      <c r="F7217" s="3">
        <f ca="1">IF(G7217=1,"-",Tabela2[[#This Row],[Dt Venc:]]-TODAY())</f>
        <v>56</v>
      </c>
      <c r="G7217" s="3"/>
      <c r="H7217" s="3"/>
    </row>
    <row r="7218" spans="1:8">
      <c r="A7218" s="3">
        <v>14100</v>
      </c>
      <c r="B7218" s="7" t="s">
        <v>400</v>
      </c>
      <c r="C7218" s="41">
        <v>586.12</v>
      </c>
      <c r="D7218" s="6">
        <v>45749</v>
      </c>
      <c r="E7218" s="3" t="str">
        <f ca="1">IF(Tabela2[[#This Row],[Dt Venc:]]&gt;TODAY(),"Em Aberto",IF(Tabela2[[#This Row],[D/venc]]="-","Enviado",IF(Tabela2[[#This Row],[Dt Venc:]]=TODAY(),"Vence Hoje","Vencida")))</f>
        <v>Em Aberto</v>
      </c>
      <c r="F7218" s="3">
        <f ca="1">IF(G7218=1,"-",Tabela2[[#This Row],[Dt Venc:]]-TODAY())</f>
        <v>56</v>
      </c>
      <c r="G7218" s="3"/>
      <c r="H7218" s="3"/>
    </row>
    <row r="7219" spans="1:8">
      <c r="A7219" s="3">
        <v>155536</v>
      </c>
      <c r="B7219" s="7" t="s">
        <v>240</v>
      </c>
      <c r="C7219" s="41">
        <v>1233.33</v>
      </c>
      <c r="D7219" s="6">
        <v>45749</v>
      </c>
      <c r="E7219" s="3" t="str">
        <f ca="1">IF(Tabela2[[#This Row],[Dt Venc:]]&gt;TODAY(),"Em Aberto",IF(Tabela2[[#This Row],[D/venc]]="-","Enviado",IF(Tabela2[[#This Row],[Dt Venc:]]=TODAY(),"Vence Hoje","Vencida")))</f>
        <v>Em Aberto</v>
      </c>
      <c r="F7219" s="3">
        <f ca="1">IF(G7219=1,"-",Tabela2[[#This Row],[Dt Venc:]]-TODAY())</f>
        <v>56</v>
      </c>
      <c r="G7219" s="3"/>
      <c r="H7219" s="3"/>
    </row>
    <row r="7220" spans="1:8">
      <c r="A7220" s="3">
        <v>331118</v>
      </c>
      <c r="B7220" s="7" t="s">
        <v>240</v>
      </c>
      <c r="C7220" s="41">
        <v>817.33</v>
      </c>
      <c r="D7220" s="6">
        <v>45749</v>
      </c>
      <c r="E7220" s="3" t="str">
        <f ca="1">IF(Tabela2[[#This Row],[Dt Venc:]]&gt;TODAY(),"Em Aberto",IF(Tabela2[[#This Row],[D/venc]]="-","Enviado",IF(Tabela2[[#This Row],[Dt Venc:]]=TODAY(),"Vence Hoje","Vencida")))</f>
        <v>Em Aberto</v>
      </c>
      <c r="F7220" s="3">
        <f ca="1">IF(G7220=1,"-",Tabela2[[#This Row],[Dt Venc:]]-TODAY())</f>
        <v>56</v>
      </c>
      <c r="G7220" s="3"/>
      <c r="H7220" s="3"/>
    </row>
    <row r="7221" spans="1:8">
      <c r="A7221" s="3">
        <v>374163</v>
      </c>
      <c r="B7221" s="7" t="s">
        <v>39</v>
      </c>
      <c r="C7221" s="41">
        <v>398.36</v>
      </c>
      <c r="D7221" s="6">
        <v>45749</v>
      </c>
      <c r="E7221" s="3" t="str">
        <f ca="1">IF(Tabela2[[#This Row],[Dt Venc:]]&gt;TODAY(),"Em Aberto",IF(Tabela2[[#This Row],[D/venc]]="-","Enviado",IF(Tabela2[[#This Row],[Dt Venc:]]=TODAY(),"Vence Hoje","Vencida")))</f>
        <v>Em Aberto</v>
      </c>
      <c r="F7221" s="3">
        <f ca="1">IF(G7221=1,"-",Tabela2[[#This Row],[Dt Venc:]]-TODAY())</f>
        <v>56</v>
      </c>
      <c r="G7221" s="3"/>
      <c r="H7221" s="3"/>
    </row>
    <row r="7222" spans="1:8">
      <c r="A7222" s="3">
        <v>374224</v>
      </c>
      <c r="B7222" s="7" t="s">
        <v>39</v>
      </c>
      <c r="C7222" s="41">
        <v>1187.72</v>
      </c>
      <c r="D7222" s="6">
        <v>45749</v>
      </c>
      <c r="E7222" s="3" t="str">
        <f ca="1">IF(Tabela2[[#This Row],[Dt Venc:]]&gt;TODAY(),"Em Aberto",IF(Tabela2[[#This Row],[D/venc]]="-","Enviado",IF(Tabela2[[#This Row],[Dt Venc:]]=TODAY(),"Vence Hoje","Vencida")))</f>
        <v>Em Aberto</v>
      </c>
      <c r="F7222" s="3">
        <f ca="1">IF(G7222=1,"-",Tabela2[[#This Row],[Dt Venc:]]-TODAY())</f>
        <v>56</v>
      </c>
      <c r="G7222" s="3"/>
      <c r="H7222" s="3"/>
    </row>
    <row r="7223" spans="1:8">
      <c r="A7223" s="3">
        <v>379023</v>
      </c>
      <c r="B7223" s="7" t="s">
        <v>441</v>
      </c>
      <c r="C7223" s="41">
        <v>1349.4</v>
      </c>
      <c r="D7223" s="6">
        <v>45749</v>
      </c>
      <c r="E7223" s="3" t="str">
        <f ca="1">IF(Tabela2[[#This Row],[Dt Venc:]]&gt;TODAY(),"Em Aberto",IF(Tabela2[[#This Row],[D/venc]]="-","Enviado",IF(Tabela2[[#This Row],[Dt Venc:]]=TODAY(),"Vence Hoje","Vencida")))</f>
        <v>Em Aberto</v>
      </c>
      <c r="F7223" s="3">
        <f ca="1">IF(G7223=1,"-",Tabela2[[#This Row],[Dt Venc:]]-TODAY())</f>
        <v>56</v>
      </c>
      <c r="G7223" s="3"/>
      <c r="H7223" s="3"/>
    </row>
    <row r="7224" spans="1:8">
      <c r="A7224" s="3">
        <v>818909</v>
      </c>
      <c r="B7224" s="7" t="s">
        <v>81</v>
      </c>
      <c r="C7224" s="87" t="s">
        <v>32</v>
      </c>
      <c r="D7224" s="6">
        <v>45749</v>
      </c>
      <c r="E7224" s="3" t="str">
        <f ca="1">IF(Tabela2[[#This Row],[Dt Venc:]]&gt;TODAY(),"Em Aberto",IF(Tabela2[[#This Row],[D/venc]]="-","Enviado",IF(Tabela2[[#This Row],[Dt Venc:]]=TODAY(),"Vence Hoje","Vencida")))</f>
        <v>Em Aberto</v>
      </c>
      <c r="F7224" s="3">
        <f ca="1">IF(G7224=1,"-",Tabela2[[#This Row],[Dt Venc:]]-TODAY())</f>
        <v>56</v>
      </c>
      <c r="G7224" s="3"/>
      <c r="H7224" s="3"/>
    </row>
    <row r="7225" spans="1:8">
      <c r="A7225" s="3" t="s">
        <v>68</v>
      </c>
      <c r="B7225" s="7" t="s">
        <v>69</v>
      </c>
      <c r="C7225" s="86" t="s">
        <v>30</v>
      </c>
      <c r="D7225" s="6">
        <v>45749</v>
      </c>
      <c r="E7225" s="3" t="str">
        <f ca="1">IF(Tabela2[[#This Row],[Dt Venc:]]&gt;TODAY(),"Em Aberto",IF(Tabela2[[#This Row],[D/venc]]="-","Enviado",IF(Tabela2[[#This Row],[Dt Venc:]]=TODAY(),"Vence Hoje","Vencida")))</f>
        <v>Em Aberto</v>
      </c>
      <c r="F7225" s="3">
        <f ca="1">IF(G7225=1,"-",Tabela2[[#This Row],[Dt Venc:]]-TODAY())</f>
        <v>56</v>
      </c>
      <c r="G7225" s="3"/>
      <c r="H7225" s="3"/>
    </row>
    <row r="7226" spans="1:8">
      <c r="A7226" s="3">
        <v>49</v>
      </c>
      <c r="B7226" s="7" t="s">
        <v>103</v>
      </c>
      <c r="C7226" s="41">
        <v>1390</v>
      </c>
      <c r="D7226" s="6">
        <v>45750</v>
      </c>
      <c r="E7226" s="3" t="str">
        <f ca="1">IF(Tabela2[[#This Row],[Dt Venc:]]&gt;TODAY(),"Em Aberto",IF(Tabela2[[#This Row],[D/venc]]="-","Enviado",IF(Tabela2[[#This Row],[Dt Venc:]]=TODAY(),"Vence Hoje","Vencida")))</f>
        <v>Em Aberto</v>
      </c>
      <c r="F7226" s="3">
        <f ca="1">IF(G7226=1,"-",Tabela2[[#This Row],[Dt Venc:]]-TODAY())</f>
        <v>57</v>
      </c>
      <c r="G7226" s="3"/>
      <c r="H7226" s="3"/>
    </row>
    <row r="7227" spans="1:8">
      <c r="A7227" s="3">
        <v>7067</v>
      </c>
      <c r="B7227" s="7" t="s">
        <v>43</v>
      </c>
      <c r="C7227" s="41">
        <v>458</v>
      </c>
      <c r="D7227" s="6">
        <v>45750</v>
      </c>
      <c r="E7227" s="3" t="str">
        <f ca="1">IF(Tabela2[[#This Row],[Dt Venc:]]&gt;TODAY(),"Em Aberto",IF(Tabela2[[#This Row],[D/venc]]="-","Enviado",IF(Tabela2[[#This Row],[Dt Venc:]]=TODAY(),"Vence Hoje","Vencida")))</f>
        <v>Em Aberto</v>
      </c>
      <c r="F7227" s="3">
        <f ca="1">IF(G7227=1,"-",Tabela2[[#This Row],[Dt Venc:]]-TODAY())</f>
        <v>57</v>
      </c>
      <c r="G7227" s="3"/>
      <c r="H7227" s="3"/>
    </row>
    <row r="7228" spans="1:8">
      <c r="A7228" s="3">
        <v>10494</v>
      </c>
      <c r="B7228" s="7" t="s">
        <v>82</v>
      </c>
      <c r="C7228" s="86" t="s">
        <v>30</v>
      </c>
      <c r="D7228" s="6">
        <v>45750</v>
      </c>
      <c r="E7228" s="3" t="str">
        <f ca="1">IF(Tabela2[[#This Row],[Dt Venc:]]&gt;TODAY(),"Em Aberto",IF(Tabela2[[#This Row],[D/venc]]="-","Enviado",IF(Tabela2[[#This Row],[Dt Venc:]]=TODAY(),"Vence Hoje","Vencida")))</f>
        <v>Em Aberto</v>
      </c>
      <c r="F7228" s="3">
        <f ca="1">IF(G7228=1,"-",Tabela2[[#This Row],[Dt Venc:]]-TODAY())</f>
        <v>57</v>
      </c>
      <c r="G7228" s="3"/>
      <c r="H7228" s="3"/>
    </row>
    <row r="7229" spans="1:8">
      <c r="A7229" s="3">
        <v>31134</v>
      </c>
      <c r="B7229" s="7" t="s">
        <v>97</v>
      </c>
      <c r="C7229" s="41">
        <v>2285</v>
      </c>
      <c r="D7229" s="6">
        <v>45750</v>
      </c>
      <c r="E7229" s="3" t="str">
        <f ca="1">IF(Tabela2[[#This Row],[Dt Venc:]]&gt;TODAY(),"Em Aberto",IF(Tabela2[[#This Row],[D/venc]]="-","Enviado",IF(Tabela2[[#This Row],[Dt Venc:]]=TODAY(),"Vence Hoje","Vencida")))</f>
        <v>Em Aberto</v>
      </c>
      <c r="F7229" s="3">
        <f ca="1">IF(G7229=1,"-",Tabela2[[#This Row],[Dt Venc:]]-TODAY())</f>
        <v>57</v>
      </c>
      <c r="G7229" s="3"/>
      <c r="H7229" s="3"/>
    </row>
    <row r="7230" spans="1:8">
      <c r="A7230" s="3">
        <v>74720</v>
      </c>
      <c r="B7230" s="7" t="s">
        <v>76</v>
      </c>
      <c r="C7230" s="41">
        <v>515.82000000000005</v>
      </c>
      <c r="D7230" s="6">
        <v>45750</v>
      </c>
      <c r="E7230" s="3" t="str">
        <f ca="1">IF(Tabela2[[#This Row],[Dt Venc:]]&gt;TODAY(),"Em Aberto",IF(Tabela2[[#This Row],[D/venc]]="-","Enviado",IF(Tabela2[[#This Row],[Dt Venc:]]=TODAY(),"Vence Hoje","Vencida")))</f>
        <v>Em Aberto</v>
      </c>
      <c r="F7230" s="3">
        <f ca="1">IF(G7230=1,"-",Tabela2[[#This Row],[Dt Venc:]]-TODAY())</f>
        <v>57</v>
      </c>
      <c r="G7230" s="3"/>
      <c r="H7230" s="3"/>
    </row>
    <row r="7231" spans="1:8">
      <c r="A7231" s="3">
        <v>74722</v>
      </c>
      <c r="B7231" s="7" t="s">
        <v>76</v>
      </c>
      <c r="C7231" s="41">
        <v>744.68</v>
      </c>
      <c r="D7231" s="6">
        <v>45750</v>
      </c>
      <c r="E7231" s="3" t="str">
        <f ca="1">IF(Tabela2[[#This Row],[Dt Venc:]]&gt;TODAY(),"Em Aberto",IF(Tabela2[[#This Row],[D/venc]]="-","Enviado",IF(Tabela2[[#This Row],[Dt Venc:]]=TODAY(),"Vence Hoje","Vencida")))</f>
        <v>Em Aberto</v>
      </c>
      <c r="F7231" s="3">
        <f ca="1">IF(G7231=1,"-",Tabela2[[#This Row],[Dt Venc:]]-TODAY())</f>
        <v>57</v>
      </c>
      <c r="G7231" s="3"/>
      <c r="H7231" s="3"/>
    </row>
    <row r="7232" spans="1:8">
      <c r="A7232" s="3">
        <v>138152</v>
      </c>
      <c r="B7232" s="7" t="s">
        <v>197</v>
      </c>
      <c r="C7232" s="41">
        <v>470</v>
      </c>
      <c r="D7232" s="6">
        <v>45750</v>
      </c>
      <c r="E7232" s="3" t="str">
        <f ca="1">IF(Tabela2[[#This Row],[Dt Venc:]]&gt;TODAY(),"Em Aberto",IF(Tabela2[[#This Row],[D/venc]]="-","Enviado",IF(Tabela2[[#This Row],[Dt Venc:]]=TODAY(),"Vence Hoje","Vencida")))</f>
        <v>Em Aberto</v>
      </c>
      <c r="F7232" s="3">
        <f ca="1">IF(G7232=1,"-",Tabela2[[#This Row],[Dt Venc:]]-TODAY())</f>
        <v>57</v>
      </c>
      <c r="G7232" s="3"/>
      <c r="H7232" s="3"/>
    </row>
    <row r="7233" spans="1:8">
      <c r="A7233" s="3">
        <v>255544</v>
      </c>
      <c r="B7233" s="7" t="s">
        <v>534</v>
      </c>
      <c r="C7233" s="41">
        <v>425.26</v>
      </c>
      <c r="D7233" s="6">
        <v>45750</v>
      </c>
      <c r="E7233" s="3" t="str">
        <f ca="1">IF(Tabela2[[#This Row],[Dt Venc:]]&gt;TODAY(),"Em Aberto",IF(Tabela2[[#This Row],[D/venc]]="-","Enviado",IF(Tabela2[[#This Row],[Dt Venc:]]=TODAY(),"Vence Hoje","Vencida")))</f>
        <v>Em Aberto</v>
      </c>
      <c r="F7233" s="3">
        <f ca="1">IF(G7233=1,"-",Tabela2[[#This Row],[Dt Venc:]]-TODAY())</f>
        <v>57</v>
      </c>
      <c r="G7233" s="3"/>
      <c r="H7233" s="3"/>
    </row>
    <row r="7234" spans="1:8">
      <c r="A7234" s="3">
        <v>300839</v>
      </c>
      <c r="B7234" s="7" t="s">
        <v>79</v>
      </c>
      <c r="C7234" s="41">
        <v>740.96</v>
      </c>
      <c r="D7234" s="6">
        <v>45750</v>
      </c>
      <c r="E7234" s="3" t="str">
        <f ca="1">IF(Tabela2[[#This Row],[Dt Venc:]]&gt;TODAY(),"Em Aberto",IF(Tabela2[[#This Row],[D/venc]]="-","Enviado",IF(Tabela2[[#This Row],[Dt Venc:]]=TODAY(),"Vence Hoje","Vencida")))</f>
        <v>Em Aberto</v>
      </c>
      <c r="F7234" s="3">
        <f ca="1">IF(G7234=1,"-",Tabela2[[#This Row],[Dt Venc:]]-TODAY())</f>
        <v>57</v>
      </c>
      <c r="G7234" s="3"/>
      <c r="H7234" s="3"/>
    </row>
    <row r="7235" spans="1:8">
      <c r="A7235" s="3">
        <v>374265</v>
      </c>
      <c r="B7235" s="7" t="s">
        <v>39</v>
      </c>
      <c r="C7235" s="41">
        <v>1946.82</v>
      </c>
      <c r="D7235" s="6">
        <v>45750</v>
      </c>
      <c r="E7235" s="3" t="str">
        <f ca="1">IF(Tabela2[[#This Row],[Dt Venc:]]&gt;TODAY(),"Em Aberto",IF(Tabela2[[#This Row],[D/venc]]="-","Enviado",IF(Tabela2[[#This Row],[Dt Venc:]]=TODAY(),"Vence Hoje","Vencida")))</f>
        <v>Em Aberto</v>
      </c>
      <c r="F7235" s="3">
        <f ca="1">IF(G7235=1,"-",Tabela2[[#This Row],[Dt Venc:]]-TODAY())</f>
        <v>57</v>
      </c>
      <c r="G7235" s="3"/>
      <c r="H7235" s="3"/>
    </row>
    <row r="7236" spans="1:8">
      <c r="A7236" s="3">
        <v>376033</v>
      </c>
      <c r="B7236" s="7" t="s">
        <v>39</v>
      </c>
      <c r="C7236" s="41">
        <v>1869.31</v>
      </c>
      <c r="D7236" s="6">
        <v>45750</v>
      </c>
      <c r="E7236" s="3" t="str">
        <f ca="1">IF(Tabela2[[#This Row],[Dt Venc:]]&gt;TODAY(),"Em Aberto",IF(Tabela2[[#This Row],[D/venc]]="-","Enviado",IF(Tabela2[[#This Row],[Dt Venc:]]=TODAY(),"Vence Hoje","Vencida")))</f>
        <v>Em Aberto</v>
      </c>
      <c r="F7236" s="3">
        <f ca="1">IF(G7236=1,"-",Tabela2[[#This Row],[Dt Venc:]]-TODAY())</f>
        <v>57</v>
      </c>
      <c r="G7236" s="3"/>
      <c r="H7236" s="3"/>
    </row>
    <row r="7237" spans="1:8">
      <c r="A7237" s="3">
        <v>15441</v>
      </c>
      <c r="B7237" s="7" t="s">
        <v>44</v>
      </c>
      <c r="C7237" s="41">
        <v>1062.5</v>
      </c>
      <c r="D7237" s="6">
        <v>45750</v>
      </c>
      <c r="E7237" s="3" t="str">
        <f ca="1">IF(Tabela2[[#This Row],[Dt Venc:]]&gt;TODAY(),"Em Aberto",IF(Tabela2[[#This Row],[D/venc]]="-","Enviado",IF(Tabela2[[#This Row],[Dt Venc:]]=TODAY(),"Vence Hoje","Vencida")))</f>
        <v>Em Aberto</v>
      </c>
      <c r="F7237" s="3">
        <f ca="1">IF(G7237=1,"-",Tabela2[[#This Row],[Dt Venc:]]-TODAY())</f>
        <v>57</v>
      </c>
      <c r="G7237" s="3"/>
      <c r="H7237" s="3"/>
    </row>
    <row r="7238" spans="1:8">
      <c r="A7238" s="3">
        <v>11400</v>
      </c>
      <c r="B7238" s="7" t="s">
        <v>33</v>
      </c>
      <c r="C7238" s="41">
        <v>1995</v>
      </c>
      <c r="D7238" s="6">
        <v>45750</v>
      </c>
      <c r="E7238" s="3" t="str">
        <f ca="1">IF(Tabela2[[#This Row],[Dt Venc:]]&gt;TODAY(),"Em Aberto",IF(Tabela2[[#This Row],[D/venc]]="-","Enviado",IF(Tabela2[[#This Row],[Dt Venc:]]=TODAY(),"Vence Hoje","Vencida")))</f>
        <v>Em Aberto</v>
      </c>
      <c r="F7238" s="3">
        <f ca="1">IF(G7238=1,"-",Tabela2[[#This Row],[Dt Venc:]]-TODAY())</f>
        <v>57</v>
      </c>
      <c r="G7238" s="3"/>
      <c r="H7238" s="3"/>
    </row>
    <row r="7239" spans="1:8">
      <c r="A7239" s="3">
        <v>2364</v>
      </c>
      <c r="B7239" s="7" t="s">
        <v>45</v>
      </c>
      <c r="C7239" s="41">
        <v>1312</v>
      </c>
      <c r="D7239" s="6">
        <v>45751</v>
      </c>
      <c r="E7239" s="3" t="str">
        <f ca="1">IF(Tabela2[[#This Row],[Dt Venc:]]&gt;TODAY(),"Em Aberto",IF(Tabela2[[#This Row],[D/venc]]="-","Enviado",IF(Tabela2[[#This Row],[Dt Venc:]]=TODAY(),"Vence Hoje","Vencida")))</f>
        <v>Em Aberto</v>
      </c>
      <c r="F7239" s="3">
        <f ca="1">IF(G7239=1,"-",Tabela2[[#This Row],[Dt Venc:]]-TODAY())</f>
        <v>58</v>
      </c>
      <c r="G7239" s="3"/>
      <c r="H7239" s="3"/>
    </row>
    <row r="7240" spans="1:8">
      <c r="A7240" s="3">
        <v>33999</v>
      </c>
      <c r="B7240" s="7" t="s">
        <v>70</v>
      </c>
      <c r="C7240" s="41">
        <v>2214.0300000000002</v>
      </c>
      <c r="D7240" s="6">
        <v>45751</v>
      </c>
      <c r="E7240" s="3" t="str">
        <f ca="1">IF(Tabela2[[#This Row],[Dt Venc:]]&gt;TODAY(),"Em Aberto",IF(Tabela2[[#This Row],[D/venc]]="-","Enviado",IF(Tabela2[[#This Row],[Dt Venc:]]=TODAY(),"Vence Hoje","Vencida")))</f>
        <v>Em Aberto</v>
      </c>
      <c r="F7240" s="3">
        <f ca="1">IF(G7240=1,"-",Tabela2[[#This Row],[Dt Venc:]]-TODAY())</f>
        <v>58</v>
      </c>
      <c r="G7240" s="3"/>
      <c r="H7240" s="3"/>
    </row>
    <row r="7241" spans="1:8">
      <c r="A7241" s="3">
        <v>36033</v>
      </c>
      <c r="B7241" s="7" t="s">
        <v>70</v>
      </c>
      <c r="C7241" s="41">
        <v>2811.23</v>
      </c>
      <c r="D7241" s="6">
        <v>45751</v>
      </c>
      <c r="E7241" s="3" t="str">
        <f ca="1">IF(Tabela2[[#This Row],[Dt Venc:]]&gt;TODAY(),"Em Aberto",IF(Tabela2[[#This Row],[D/venc]]="-","Enviado",IF(Tabela2[[#This Row],[Dt Venc:]]=TODAY(),"Vence Hoje","Vencida")))</f>
        <v>Em Aberto</v>
      </c>
      <c r="F7241" s="3">
        <f ca="1">IF(G7241=1,"-",Tabela2[[#This Row],[Dt Venc:]]-TODAY())</f>
        <v>58</v>
      </c>
      <c r="G7241" s="3"/>
      <c r="H7241" s="3"/>
    </row>
    <row r="7242" spans="1:8">
      <c r="A7242" s="3">
        <v>206434</v>
      </c>
      <c r="B7242" s="7" t="s">
        <v>200</v>
      </c>
      <c r="C7242" s="41">
        <v>881.66</v>
      </c>
      <c r="D7242" s="6">
        <v>45751</v>
      </c>
      <c r="E7242" s="3" t="str">
        <f ca="1">IF(Tabela2[[#This Row],[Dt Venc:]]&gt;TODAY(),"Em Aberto",IF(Tabela2[[#This Row],[D/venc]]="-","Enviado",IF(Tabela2[[#This Row],[Dt Venc:]]=TODAY(),"Vence Hoje","Vencida")))</f>
        <v>Em Aberto</v>
      </c>
      <c r="F7242" s="3">
        <f ca="1">IF(G7242=1,"-",Tabela2[[#This Row],[Dt Venc:]]-TODAY())</f>
        <v>58</v>
      </c>
      <c r="G7242" s="3"/>
      <c r="H7242" s="3"/>
    </row>
    <row r="7243" spans="1:8">
      <c r="A7243" s="3">
        <v>276695</v>
      </c>
      <c r="B7243" s="7" t="s">
        <v>43</v>
      </c>
      <c r="C7243" s="41">
        <v>2099.3200000000002</v>
      </c>
      <c r="D7243" s="6">
        <v>45751</v>
      </c>
      <c r="E7243" s="3" t="str">
        <f ca="1">IF(Tabela2[[#This Row],[Dt Venc:]]&gt;TODAY(),"Em Aberto",IF(Tabela2[[#This Row],[D/venc]]="-","Enviado",IF(Tabela2[[#This Row],[Dt Venc:]]=TODAY(),"Vence Hoje","Vencida")))</f>
        <v>Em Aberto</v>
      </c>
      <c r="F7243" s="3">
        <f ca="1">IF(G7243=1,"-",Tabela2[[#This Row],[Dt Venc:]]-TODAY())</f>
        <v>58</v>
      </c>
      <c r="G7243" s="3"/>
      <c r="H7243" s="3"/>
    </row>
    <row r="7244" spans="1:8">
      <c r="A7244" s="3">
        <v>306145</v>
      </c>
      <c r="B7244" s="7" t="s">
        <v>506</v>
      </c>
      <c r="C7244" s="41">
        <v>3126.36</v>
      </c>
      <c r="D7244" s="6">
        <v>45751</v>
      </c>
      <c r="E7244" s="3" t="str">
        <f ca="1">IF(Tabela2[[#This Row],[Dt Venc:]]&gt;TODAY(),"Em Aberto",IF(Tabela2[[#This Row],[D/venc]]="-","Enviado",IF(Tabela2[[#This Row],[Dt Venc:]]=TODAY(),"Vence Hoje","Vencida")))</f>
        <v>Em Aberto</v>
      </c>
      <c r="F7244" s="3">
        <f ca="1">IF(G7244=1,"-",Tabela2[[#This Row],[Dt Venc:]]-TODAY())</f>
        <v>58</v>
      </c>
      <c r="G7244" s="3"/>
      <c r="H7244" s="3"/>
    </row>
    <row r="7245" spans="1:8">
      <c r="A7245" s="3">
        <v>623980</v>
      </c>
      <c r="B7245" s="7" t="s">
        <v>66</v>
      </c>
      <c r="C7245" s="41">
        <v>2785.2</v>
      </c>
      <c r="D7245" s="6">
        <v>45751</v>
      </c>
      <c r="E7245" s="3" t="str">
        <f ca="1">IF(Tabela2[[#This Row],[Dt Venc:]]&gt;TODAY(),"Em Aberto",IF(Tabela2[[#This Row],[D/venc]]="-","Enviado",IF(Tabela2[[#This Row],[Dt Venc:]]=TODAY(),"Vence Hoje","Vencida")))</f>
        <v>Em Aberto</v>
      </c>
      <c r="F7245" s="3">
        <f ca="1">IF(G7245=1,"-",Tabela2[[#This Row],[Dt Venc:]]-TODAY())</f>
        <v>58</v>
      </c>
      <c r="G7245" s="3"/>
      <c r="H7245" s="3"/>
    </row>
    <row r="7246" spans="1:8">
      <c r="A7246" s="3">
        <v>21122</v>
      </c>
      <c r="B7246" s="7" t="s">
        <v>653</v>
      </c>
      <c r="C7246" s="41">
        <v>1462.5</v>
      </c>
      <c r="D7246" s="6">
        <v>45751</v>
      </c>
      <c r="E7246" s="3" t="str">
        <f ca="1">IF(Tabela2[[#This Row],[Dt Venc:]]&gt;TODAY(),"Em Aberto",IF(Tabela2[[#This Row],[D/venc]]="-","Enviado",IF(Tabela2[[#This Row],[Dt Venc:]]=TODAY(),"Vence Hoje","Vencida")))</f>
        <v>Em Aberto</v>
      </c>
      <c r="F7246" s="3">
        <f ca="1">IF(G7246=1,"-",Tabela2[[#This Row],[Dt Venc:]]-TODAY())</f>
        <v>58</v>
      </c>
      <c r="G7246" s="3"/>
      <c r="H7246" s="3"/>
    </row>
    <row r="7247" spans="1:8">
      <c r="A7247" s="3">
        <v>100828</v>
      </c>
      <c r="B7247" s="7" t="s">
        <v>731</v>
      </c>
      <c r="C7247" s="41">
        <v>1019</v>
      </c>
      <c r="D7247" s="6">
        <v>45751</v>
      </c>
      <c r="E7247" s="3" t="str">
        <f ca="1">IF(Tabela2[[#This Row],[Dt Venc:]]&gt;TODAY(),"Em Aberto",IF(Tabela2[[#This Row],[D/venc]]="-","Enviado",IF(Tabela2[[#This Row],[Dt Venc:]]=TODAY(),"Vence Hoje","Vencida")))</f>
        <v>Em Aberto</v>
      </c>
      <c r="F7247" s="3">
        <f ca="1">IF(G7247=1,"-",Tabela2[[#This Row],[Dt Venc:]]-TODAY())</f>
        <v>58</v>
      </c>
      <c r="G7247" s="3"/>
      <c r="H7247" s="3"/>
    </row>
    <row r="7248" spans="1:8">
      <c r="A7248" s="3">
        <v>1321</v>
      </c>
      <c r="B7248" s="7" t="s">
        <v>474</v>
      </c>
      <c r="C7248" s="41">
        <v>1067</v>
      </c>
      <c r="D7248" s="6">
        <v>45752</v>
      </c>
      <c r="E7248" s="3" t="str">
        <f ca="1">IF(Tabela2[[#This Row],[Dt Venc:]]&gt;TODAY(),"Em Aberto",IF(Tabela2[[#This Row],[D/venc]]="-","Enviado",IF(Tabela2[[#This Row],[Dt Venc:]]=TODAY(),"Vence Hoje","Vencida")))</f>
        <v>Em Aberto</v>
      </c>
      <c r="F7248" s="3">
        <f ca="1">IF(G7248=1,"-",Tabela2[[#This Row],[Dt Venc:]]-TODAY())</f>
        <v>59</v>
      </c>
      <c r="G7248" s="3"/>
      <c r="H7248" s="3"/>
    </row>
    <row r="7249" spans="1:8">
      <c r="A7249" s="3">
        <v>1707</v>
      </c>
      <c r="B7249" s="7" t="s">
        <v>78</v>
      </c>
      <c r="C7249" s="41">
        <v>1737.25</v>
      </c>
      <c r="D7249" s="6">
        <v>45752</v>
      </c>
      <c r="E7249" s="3" t="str">
        <f ca="1">IF(Tabela2[[#This Row],[Dt Venc:]]&gt;TODAY(),"Em Aberto",IF(Tabela2[[#This Row],[D/venc]]="-","Enviado",IF(Tabela2[[#This Row],[Dt Venc:]]=TODAY(),"Vence Hoje","Vencida")))</f>
        <v>Em Aberto</v>
      </c>
      <c r="F7249" s="3">
        <f ca="1">IF(G7249=1,"-",Tabela2[[#This Row],[Dt Venc:]]-TODAY())</f>
        <v>59</v>
      </c>
      <c r="G7249" s="3"/>
      <c r="H7249" s="3"/>
    </row>
    <row r="7250" spans="1:8">
      <c r="A7250" s="3">
        <v>3195</v>
      </c>
      <c r="B7250" s="7" t="s">
        <v>114</v>
      </c>
      <c r="C7250" s="42">
        <v>160</v>
      </c>
      <c r="D7250" s="6">
        <v>45752</v>
      </c>
      <c r="E7250" s="3" t="str">
        <f ca="1">IF(Tabela2[[#This Row],[Dt Venc:]]&gt;TODAY(),"Em Aberto",IF(Tabela2[[#This Row],[D/venc]]="-","Enviado",IF(Tabela2[[#This Row],[Dt Venc:]]=TODAY(),"Vence Hoje","Vencida")))</f>
        <v>Em Aberto</v>
      </c>
      <c r="F7250" s="3">
        <f ca="1">IF(G7250=1,"-",Tabela2[[#This Row],[Dt Venc:]]-TODAY())</f>
        <v>59</v>
      </c>
      <c r="G7250" s="3"/>
      <c r="H7250" s="3"/>
    </row>
    <row r="7251" spans="1:8">
      <c r="A7251" s="3">
        <v>5680</v>
      </c>
      <c r="B7251" s="7" t="s">
        <v>122</v>
      </c>
      <c r="C7251" s="99" t="s">
        <v>32</v>
      </c>
      <c r="D7251" s="6">
        <v>45752</v>
      </c>
      <c r="E7251" s="3" t="str">
        <f ca="1">IF(Tabela2[[#This Row],[Dt Venc:]]&gt;TODAY(),"Em Aberto",IF(Tabela2[[#This Row],[D/venc]]="-","Enviado",IF(Tabela2[[#This Row],[Dt Venc:]]=TODAY(),"Vence Hoje","Vencida")))</f>
        <v>Em Aberto</v>
      </c>
      <c r="F7251" s="3">
        <f ca="1">IF(G7251=1,"-",Tabela2[[#This Row],[Dt Venc:]]-TODAY())</f>
        <v>59</v>
      </c>
      <c r="G7251" s="3"/>
      <c r="H7251" s="3"/>
    </row>
    <row r="7252" spans="1:8">
      <c r="A7252" s="3">
        <v>10353</v>
      </c>
      <c r="B7252" s="7" t="s">
        <v>82</v>
      </c>
      <c r="C7252" s="99" t="s">
        <v>32</v>
      </c>
      <c r="D7252" s="6">
        <v>45752</v>
      </c>
      <c r="E7252" s="3" t="str">
        <f ca="1">IF(Tabela2[[#This Row],[Dt Venc:]]&gt;TODAY(),"Em Aberto",IF(Tabela2[[#This Row],[D/venc]]="-","Enviado",IF(Tabela2[[#This Row],[Dt Venc:]]=TODAY(),"Vence Hoje","Vencida")))</f>
        <v>Em Aberto</v>
      </c>
      <c r="F7252" s="3">
        <f ca="1">IF(G7252=1,"-",Tabela2[[#This Row],[Dt Venc:]]-TODAY())</f>
        <v>59</v>
      </c>
      <c r="G7252" s="3"/>
      <c r="H7252" s="3"/>
    </row>
    <row r="7253" spans="1:8">
      <c r="A7253" s="3">
        <v>11199</v>
      </c>
      <c r="B7253" s="7" t="s">
        <v>33</v>
      </c>
      <c r="C7253" s="41">
        <v>2000</v>
      </c>
      <c r="D7253" s="6">
        <v>45752</v>
      </c>
      <c r="E7253" s="3" t="str">
        <f ca="1">IF(Tabela2[[#This Row],[Dt Venc:]]&gt;TODAY(),"Em Aberto",IF(Tabela2[[#This Row],[D/venc]]="-","Enviado",IF(Tabela2[[#This Row],[Dt Venc:]]=TODAY(),"Vence Hoje","Vencida")))</f>
        <v>Em Aberto</v>
      </c>
      <c r="F7253" s="3">
        <f ca="1">IF(G7253=1,"-",Tabela2[[#This Row],[Dt Venc:]]-TODAY())</f>
        <v>59</v>
      </c>
      <c r="G7253" s="3"/>
      <c r="H7253" s="3"/>
    </row>
    <row r="7254" spans="1:8">
      <c r="A7254" s="3">
        <v>30202</v>
      </c>
      <c r="B7254" s="7" t="s">
        <v>97</v>
      </c>
      <c r="C7254" s="42">
        <v>3140</v>
      </c>
      <c r="D7254" s="6">
        <v>45752</v>
      </c>
      <c r="E7254" s="3" t="str">
        <f ca="1">IF(Tabela2[[#This Row],[Dt Venc:]]&gt;TODAY(),"Em Aberto",IF(Tabela2[[#This Row],[D/venc]]="-","Enviado",IF(Tabela2[[#This Row],[Dt Venc:]]=TODAY(),"Vence Hoje","Vencida")))</f>
        <v>Em Aberto</v>
      </c>
      <c r="F7254" s="3">
        <f ca="1">IF(G7254=1,"-",Tabela2[[#This Row],[Dt Venc:]]-TODAY())</f>
        <v>59</v>
      </c>
      <c r="G7254" s="3"/>
      <c r="H7254" s="3"/>
    </row>
    <row r="7255" spans="1:8">
      <c r="A7255" s="3">
        <v>30512</v>
      </c>
      <c r="B7255" s="7" t="s">
        <v>501</v>
      </c>
      <c r="C7255" s="41">
        <v>1560</v>
      </c>
      <c r="D7255" s="6">
        <v>45752</v>
      </c>
      <c r="E7255" s="3" t="str">
        <f ca="1">IF(Tabela2[[#This Row],[Dt Venc:]]&gt;TODAY(),"Em Aberto",IF(Tabela2[[#This Row],[D/venc]]="-","Enviado",IF(Tabela2[[#This Row],[Dt Venc:]]=TODAY(),"Vence Hoje","Vencida")))</f>
        <v>Em Aberto</v>
      </c>
      <c r="F7255" s="3">
        <f ca="1">IF(G7255=1,"-",Tabela2[[#This Row],[Dt Venc:]]-TODAY())</f>
        <v>59</v>
      </c>
      <c r="G7255" s="3"/>
      <c r="H7255" s="3"/>
    </row>
    <row r="7256" spans="1:8">
      <c r="A7256" s="3">
        <v>30918</v>
      </c>
      <c r="B7256" s="7" t="s">
        <v>97</v>
      </c>
      <c r="C7256" s="41">
        <v>1940</v>
      </c>
      <c r="D7256" s="6">
        <v>45752</v>
      </c>
      <c r="E7256" s="3" t="str">
        <f ca="1">IF(Tabela2[[#This Row],[Dt Venc:]]&gt;TODAY(),"Em Aberto",IF(Tabela2[[#This Row],[D/venc]]="-","Enviado",IF(Tabela2[[#This Row],[Dt Venc:]]=TODAY(),"Vence Hoje","Vencida")))</f>
        <v>Em Aberto</v>
      </c>
      <c r="F7256" s="3">
        <f ca="1">IF(G7256=1,"-",Tabela2[[#This Row],[Dt Venc:]]-TODAY())</f>
        <v>59</v>
      </c>
      <c r="G7256" s="3"/>
      <c r="H7256" s="3"/>
    </row>
    <row r="7257" spans="1:8">
      <c r="A7257" s="3">
        <v>31399</v>
      </c>
      <c r="B7257" s="7" t="s">
        <v>97</v>
      </c>
      <c r="C7257" s="41">
        <v>1825</v>
      </c>
      <c r="D7257" s="6">
        <v>45752</v>
      </c>
      <c r="E7257" s="3" t="str">
        <f ca="1">IF(Tabela2[[#This Row],[Dt Venc:]]&gt;TODAY(),"Em Aberto",IF(Tabela2[[#This Row],[D/venc]]="-","Enviado",IF(Tabela2[[#This Row],[Dt Venc:]]=TODAY(),"Vence Hoje","Vencida")))</f>
        <v>Em Aberto</v>
      </c>
      <c r="F7257" s="3">
        <f ca="1">IF(G7257=1,"-",Tabela2[[#This Row],[Dt Venc:]]-TODAY())</f>
        <v>59</v>
      </c>
      <c r="G7257" s="3"/>
      <c r="H7257" s="3"/>
    </row>
    <row r="7258" spans="1:8">
      <c r="A7258" s="3">
        <v>147571</v>
      </c>
      <c r="B7258" s="7" t="s">
        <v>127</v>
      </c>
      <c r="C7258" s="41">
        <v>560</v>
      </c>
      <c r="D7258" s="6">
        <v>45752</v>
      </c>
      <c r="E7258" s="3" t="str">
        <f ca="1">IF(Tabela2[[#This Row],[Dt Venc:]]&gt;TODAY(),"Em Aberto",IF(Tabela2[[#This Row],[D/venc]]="-","Enviado",IF(Tabela2[[#This Row],[Dt Venc:]]=TODAY(),"Vence Hoje","Vencida")))</f>
        <v>Em Aberto</v>
      </c>
      <c r="F7258" s="3">
        <f ca="1">IF(G7258=1,"-",Tabela2[[#This Row],[Dt Venc:]]-TODAY())</f>
        <v>59</v>
      </c>
      <c r="G7258" s="3"/>
      <c r="H7258" s="3"/>
    </row>
    <row r="7259" spans="1:8">
      <c r="A7259" s="3">
        <v>147572</v>
      </c>
      <c r="B7259" s="7" t="s">
        <v>127</v>
      </c>
      <c r="C7259" s="41">
        <v>560</v>
      </c>
      <c r="D7259" s="6">
        <v>45752</v>
      </c>
      <c r="E7259" s="3" t="str">
        <f ca="1">IF(Tabela2[[#This Row],[Dt Venc:]]&gt;TODAY(),"Em Aberto",IF(Tabela2[[#This Row],[D/venc]]="-","Enviado",IF(Tabela2[[#This Row],[Dt Venc:]]=TODAY(),"Vence Hoje","Vencida")))</f>
        <v>Em Aberto</v>
      </c>
      <c r="F7259" s="3">
        <f ca="1">IF(G7259=1,"-",Tabela2[[#This Row],[Dt Venc:]]-TODAY())</f>
        <v>59</v>
      </c>
      <c r="G7259" s="3"/>
      <c r="H7259" s="3"/>
    </row>
    <row r="7260" spans="1:8">
      <c r="A7260" s="3">
        <v>762032</v>
      </c>
      <c r="B7260" s="7" t="s">
        <v>127</v>
      </c>
      <c r="C7260" s="41">
        <v>469.5</v>
      </c>
      <c r="D7260" s="6">
        <v>45752</v>
      </c>
      <c r="E7260" s="3" t="str">
        <f ca="1">IF(Tabela2[[#This Row],[Dt Venc:]]&gt;TODAY(),"Em Aberto",IF(Tabela2[[#This Row],[D/venc]]="-","Enviado",IF(Tabela2[[#This Row],[Dt Venc:]]=TODAY(),"Vence Hoje","Vencida")))</f>
        <v>Em Aberto</v>
      </c>
      <c r="F7260" s="3">
        <f ca="1">IF(G7260=1,"-",Tabela2[[#This Row],[Dt Venc:]]-TODAY())</f>
        <v>59</v>
      </c>
      <c r="G7260" s="3"/>
      <c r="H7260" s="3"/>
    </row>
    <row r="7261" spans="1:8">
      <c r="A7261" s="3" t="s">
        <v>28</v>
      </c>
      <c r="B7261" s="7" t="s">
        <v>124</v>
      </c>
      <c r="C7261" s="99" t="s">
        <v>32</v>
      </c>
      <c r="D7261" s="6">
        <v>45752</v>
      </c>
      <c r="E7261" s="3" t="str">
        <f ca="1">IF(Tabela2[[#This Row],[Dt Venc:]]&gt;TODAY(),"Em Aberto",IF(Tabela2[[#This Row],[D/venc]]="-","Enviado",IF(Tabela2[[#This Row],[Dt Venc:]]=TODAY(),"Vence Hoje","Vencida")))</f>
        <v>Em Aberto</v>
      </c>
      <c r="F7261" s="3">
        <f ca="1">IF(G7261=1,"-",Tabela2[[#This Row],[Dt Venc:]]-TODAY())</f>
        <v>59</v>
      </c>
      <c r="G7261" s="3"/>
      <c r="H7261" s="3"/>
    </row>
    <row r="7262" spans="1:8">
      <c r="A7262" s="3" t="s">
        <v>123</v>
      </c>
      <c r="B7262" s="7" t="s">
        <v>503</v>
      </c>
      <c r="C7262" s="87" t="s">
        <v>32</v>
      </c>
      <c r="D7262" s="6">
        <v>45752</v>
      </c>
      <c r="E7262" s="3" t="str">
        <f ca="1">IF(Tabela2[[#This Row],[Dt Venc:]]&gt;TODAY(),"Em Aberto",IF(Tabela2[[#This Row],[D/venc]]="-","Enviado",IF(Tabela2[[#This Row],[Dt Venc:]]=TODAY(),"Vence Hoje","Vencida")))</f>
        <v>Em Aberto</v>
      </c>
      <c r="F7262" s="3">
        <f ca="1">IF(G7262=1,"-",Tabela2[[#This Row],[Dt Venc:]]-TODAY())</f>
        <v>59</v>
      </c>
      <c r="G7262" s="3"/>
      <c r="H7262" s="3"/>
    </row>
    <row r="7263" spans="1:8">
      <c r="A7263" s="3">
        <v>31500</v>
      </c>
      <c r="B7263" s="7" t="s">
        <v>97</v>
      </c>
      <c r="C7263" s="41">
        <v>2170</v>
      </c>
      <c r="D7263" s="6">
        <v>45752</v>
      </c>
      <c r="E7263" s="3" t="str">
        <f ca="1">IF(Tabela2[[#This Row],[Dt Venc:]]&gt;TODAY(),"Em Aberto",IF(Tabela2[[#This Row],[D/venc]]="-","Enviado",IF(Tabela2[[#This Row],[Dt Venc:]]=TODAY(),"Vence Hoje","Vencida")))</f>
        <v>Em Aberto</v>
      </c>
      <c r="F7263" s="3">
        <f ca="1">IF(G7263=1,"-",Tabela2[[#This Row],[Dt Venc:]]-TODAY())</f>
        <v>59</v>
      </c>
      <c r="G7263" s="3"/>
      <c r="H7263" s="3"/>
    </row>
    <row r="7264" spans="1:8">
      <c r="A7264" s="3">
        <v>2399</v>
      </c>
      <c r="B7264" s="7" t="s">
        <v>45</v>
      </c>
      <c r="C7264" s="41">
        <v>730</v>
      </c>
      <c r="D7264" s="6">
        <v>45752</v>
      </c>
      <c r="E7264" s="3" t="str">
        <f ca="1">IF(Tabela2[[#This Row],[Dt Venc:]]&gt;TODAY(),"Em Aberto",IF(Tabela2[[#This Row],[D/venc]]="-","Enviado",IF(Tabela2[[#This Row],[Dt Venc:]]=TODAY(),"Vence Hoje","Vencida")))</f>
        <v>Em Aberto</v>
      </c>
      <c r="F7264" s="3">
        <f ca="1">IF(G7264=1,"-",Tabela2[[#This Row],[Dt Venc:]]-TODAY())</f>
        <v>59</v>
      </c>
      <c r="G7264" s="3"/>
      <c r="H7264" s="3"/>
    </row>
    <row r="7265" spans="1:8">
      <c r="A7265" s="3">
        <v>30840</v>
      </c>
      <c r="B7265" s="7" t="s">
        <v>97</v>
      </c>
      <c r="C7265" s="41">
        <v>2285</v>
      </c>
      <c r="D7265" s="6">
        <v>45753</v>
      </c>
      <c r="E7265" s="3" t="str">
        <f ca="1">IF(Tabela2[[#This Row],[Dt Venc:]]&gt;TODAY(),"Em Aberto",IF(Tabela2[[#This Row],[D/venc]]="-","Enviado",IF(Tabela2[[#This Row],[Dt Venc:]]=TODAY(),"Vence Hoje","Vencida")))</f>
        <v>Em Aberto</v>
      </c>
      <c r="F7265" s="3">
        <f ca="1">IF(G7265=1,"-",Tabela2[[#This Row],[Dt Venc:]]-TODAY())</f>
        <v>60</v>
      </c>
      <c r="G7265" s="3"/>
      <c r="H7265" s="3"/>
    </row>
    <row r="7266" spans="1:8">
      <c r="A7266" s="3">
        <v>155626</v>
      </c>
      <c r="B7266" s="7" t="s">
        <v>261</v>
      </c>
      <c r="C7266" s="41">
        <v>433.33</v>
      </c>
      <c r="D7266" s="6">
        <v>45753</v>
      </c>
      <c r="E7266" s="3" t="str">
        <f ca="1">IF(Tabela2[[#This Row],[Dt Venc:]]&gt;TODAY(),"Em Aberto",IF(Tabela2[[#This Row],[D/venc]]="-","Enviado",IF(Tabela2[[#This Row],[Dt Venc:]]=TODAY(),"Vence Hoje","Vencida")))</f>
        <v>Em Aberto</v>
      </c>
      <c r="F7266" s="3">
        <f ca="1">IF(G7266=1,"-",Tabela2[[#This Row],[Dt Venc:]]-TODAY())</f>
        <v>60</v>
      </c>
      <c r="G7266" s="3"/>
      <c r="H7266" s="3"/>
    </row>
    <row r="7267" spans="1:8">
      <c r="A7267" s="3">
        <v>155630</v>
      </c>
      <c r="B7267" s="7" t="s">
        <v>261</v>
      </c>
      <c r="C7267" s="41">
        <v>433.33</v>
      </c>
      <c r="D7267" s="6">
        <v>45753</v>
      </c>
      <c r="E7267" s="3" t="str">
        <f ca="1">IF(Tabela2[[#This Row],[Dt Venc:]]&gt;TODAY(),"Em Aberto",IF(Tabela2[[#This Row],[D/venc]]="-","Enviado",IF(Tabela2[[#This Row],[Dt Venc:]]=TODAY(),"Vence Hoje","Vencida")))</f>
        <v>Em Aberto</v>
      </c>
      <c r="F7267" s="3">
        <f ca="1">IF(G7267=1,"-",Tabela2[[#This Row],[Dt Venc:]]-TODAY())</f>
        <v>60</v>
      </c>
      <c r="G7267" s="3"/>
      <c r="H7267" s="3"/>
    </row>
    <row r="7268" spans="1:8">
      <c r="A7268" s="3">
        <v>155656</v>
      </c>
      <c r="B7268" s="7" t="s">
        <v>261</v>
      </c>
      <c r="C7268" s="41">
        <v>866.67</v>
      </c>
      <c r="D7268" s="6">
        <v>45753</v>
      </c>
      <c r="E7268" s="3" t="str">
        <f ca="1">IF(Tabela2[[#This Row],[Dt Venc:]]&gt;TODAY(),"Em Aberto",IF(Tabela2[[#This Row],[D/venc]]="-","Enviado",IF(Tabela2[[#This Row],[Dt Venc:]]=TODAY(),"Vence Hoje","Vencida")))</f>
        <v>Em Aberto</v>
      </c>
      <c r="F7268" s="3">
        <f ca="1">IF(G7268=1,"-",Tabela2[[#This Row],[Dt Venc:]]-TODAY())</f>
        <v>60</v>
      </c>
      <c r="G7268" s="3"/>
      <c r="H7268" s="3"/>
    </row>
    <row r="7269" spans="1:8">
      <c r="A7269" s="3">
        <v>7336</v>
      </c>
      <c r="B7269" s="7" t="s">
        <v>43</v>
      </c>
      <c r="C7269" s="41">
        <v>460</v>
      </c>
      <c r="D7269" s="6">
        <v>45754</v>
      </c>
      <c r="E7269" s="3" t="str">
        <f ca="1">IF(Tabela2[[#This Row],[Dt Venc:]]&gt;TODAY(),"Em Aberto",IF(Tabela2[[#This Row],[D/venc]]="-","Enviado",IF(Tabela2[[#This Row],[Dt Venc:]]=TODAY(),"Vence Hoje","Vencida")))</f>
        <v>Em Aberto</v>
      </c>
      <c r="F7269" s="3">
        <f ca="1">IF(G7269=1,"-",Tabela2[[#This Row],[Dt Venc:]]-TODAY())</f>
        <v>61</v>
      </c>
      <c r="G7269" s="3"/>
      <c r="H7269" s="3"/>
    </row>
    <row r="7270" spans="1:8">
      <c r="A7270" s="3">
        <v>11304</v>
      </c>
      <c r="B7270" s="7" t="s">
        <v>33</v>
      </c>
      <c r="C7270" s="41">
        <v>800</v>
      </c>
      <c r="D7270" s="6">
        <v>45754</v>
      </c>
      <c r="E7270" s="3" t="str">
        <f ca="1">IF(Tabela2[[#This Row],[Dt Venc:]]&gt;TODAY(),"Em Aberto",IF(Tabela2[[#This Row],[D/venc]]="-","Enviado",IF(Tabela2[[#This Row],[Dt Venc:]]=TODAY(),"Vence Hoje","Vencida")))</f>
        <v>Em Aberto</v>
      </c>
      <c r="F7270" s="3">
        <f ca="1">IF(G7270=1,"-",Tabela2[[#This Row],[Dt Venc:]]-TODAY())</f>
        <v>61</v>
      </c>
      <c r="G7270" s="3"/>
      <c r="H7270" s="3"/>
    </row>
    <row r="7271" spans="1:8">
      <c r="A7271" s="3">
        <v>18436</v>
      </c>
      <c r="B7271" s="7" t="s">
        <v>292</v>
      </c>
      <c r="C7271" s="41">
        <v>4994</v>
      </c>
      <c r="D7271" s="6">
        <v>45754</v>
      </c>
      <c r="E7271" s="3" t="str">
        <f ca="1">IF(Tabela2[[#This Row],[Dt Venc:]]&gt;TODAY(),"Em Aberto",IF(Tabela2[[#This Row],[D/venc]]="-","Enviado",IF(Tabela2[[#This Row],[Dt Venc:]]=TODAY(),"Vence Hoje","Vencida")))</f>
        <v>Em Aberto</v>
      </c>
      <c r="F7271" s="3">
        <f ca="1">IF(G7271=1,"-",Tabela2[[#This Row],[Dt Venc:]]-TODAY())</f>
        <v>61</v>
      </c>
      <c r="G7271" s="3"/>
      <c r="H7271" s="3"/>
    </row>
    <row r="7272" spans="1:8">
      <c r="A7272" s="3">
        <v>24294</v>
      </c>
      <c r="B7272" s="7" t="s">
        <v>38</v>
      </c>
      <c r="C7272" s="41">
        <v>1521.5</v>
      </c>
      <c r="D7272" s="6">
        <v>45754</v>
      </c>
      <c r="E7272" s="3" t="str">
        <f ca="1">IF(Tabela2[[#This Row],[Dt Venc:]]&gt;TODAY(),"Em Aberto",IF(Tabela2[[#This Row],[D/venc]]="-","Enviado",IF(Tabela2[[#This Row],[Dt Venc:]]=TODAY(),"Vence Hoje","Vencida")))</f>
        <v>Em Aberto</v>
      </c>
      <c r="F7272" s="3">
        <f ca="1">IF(G7272=1,"-",Tabela2[[#This Row],[Dt Venc:]]-TODAY())</f>
        <v>61</v>
      </c>
      <c r="G7272" s="3"/>
      <c r="H7272" s="3"/>
    </row>
    <row r="7273" spans="1:8">
      <c r="A7273" s="3">
        <v>52079</v>
      </c>
      <c r="B7273" s="7" t="s">
        <v>144</v>
      </c>
      <c r="C7273" s="41">
        <v>2052</v>
      </c>
      <c r="D7273" s="6">
        <v>45754</v>
      </c>
      <c r="E7273" s="3" t="str">
        <f ca="1">IF(Tabela2[[#This Row],[Dt Venc:]]&gt;TODAY(),"Em Aberto",IF(Tabela2[[#This Row],[D/venc]]="-","Enviado",IF(Tabela2[[#This Row],[Dt Venc:]]=TODAY(),"Vence Hoje","Vencida")))</f>
        <v>Em Aberto</v>
      </c>
      <c r="F7273" s="3">
        <f ca="1">IF(G7273=1,"-",Tabela2[[#This Row],[Dt Venc:]]-TODAY())</f>
        <v>61</v>
      </c>
      <c r="G7273" s="3"/>
      <c r="H7273" s="3"/>
    </row>
    <row r="7274" spans="1:8">
      <c r="A7274" s="3">
        <v>52156</v>
      </c>
      <c r="B7274" s="7" t="s">
        <v>144</v>
      </c>
      <c r="C7274" s="41">
        <v>1103.5</v>
      </c>
      <c r="D7274" s="6">
        <v>45754</v>
      </c>
      <c r="E7274" s="3" t="str">
        <f ca="1">IF(Tabela2[[#This Row],[Dt Venc:]]&gt;TODAY(),"Em Aberto",IF(Tabela2[[#This Row],[D/venc]]="-","Enviado",IF(Tabela2[[#This Row],[Dt Venc:]]=TODAY(),"Vence Hoje","Vencida")))</f>
        <v>Em Aberto</v>
      </c>
      <c r="F7274" s="3">
        <f ca="1">IF(G7274=1,"-",Tabela2[[#This Row],[Dt Venc:]]-TODAY())</f>
        <v>61</v>
      </c>
      <c r="G7274" s="3"/>
      <c r="H7274" s="3"/>
    </row>
    <row r="7275" spans="1:8">
      <c r="A7275" s="3">
        <v>74839</v>
      </c>
      <c r="B7275" s="7" t="s">
        <v>76</v>
      </c>
      <c r="C7275" s="41">
        <v>2578.9899999999998</v>
      </c>
      <c r="D7275" s="6">
        <v>45754</v>
      </c>
      <c r="E7275" s="3" t="str">
        <f ca="1">IF(Tabela2[[#This Row],[Dt Venc:]]&gt;TODAY(),"Em Aberto",IF(Tabela2[[#This Row],[D/venc]]="-","Enviado",IF(Tabela2[[#This Row],[Dt Venc:]]=TODAY(),"Vence Hoje","Vencida")))</f>
        <v>Em Aberto</v>
      </c>
      <c r="F7275" s="3">
        <f ca="1">IF(G7275=1,"-",Tabela2[[#This Row],[Dt Venc:]]-TODAY())</f>
        <v>61</v>
      </c>
      <c r="G7275" s="3"/>
      <c r="H7275" s="3"/>
    </row>
    <row r="7276" spans="1:8">
      <c r="A7276" s="3">
        <v>91566</v>
      </c>
      <c r="B7276" s="7" t="s">
        <v>48</v>
      </c>
      <c r="C7276" s="41">
        <v>1924.65</v>
      </c>
      <c r="D7276" s="6">
        <v>45754</v>
      </c>
      <c r="E7276" s="3" t="str">
        <f ca="1">IF(Tabela2[[#This Row],[Dt Venc:]]&gt;TODAY(),"Em Aberto",IF(Tabela2[[#This Row],[D/venc]]="-","Enviado",IF(Tabela2[[#This Row],[Dt Venc:]]=TODAY(),"Vence Hoje","Vencida")))</f>
        <v>Em Aberto</v>
      </c>
      <c r="F7276" s="3">
        <f ca="1">IF(G7276=1,"-",Tabela2[[#This Row],[Dt Venc:]]-TODAY())</f>
        <v>61</v>
      </c>
      <c r="G7276" s="3"/>
      <c r="H7276" s="3"/>
    </row>
    <row r="7277" spans="1:8">
      <c r="A7277" s="3">
        <v>91571</v>
      </c>
      <c r="B7277" s="7" t="s">
        <v>48</v>
      </c>
      <c r="C7277" s="41">
        <v>531.20000000000005</v>
      </c>
      <c r="D7277" s="6">
        <v>45754</v>
      </c>
      <c r="E7277" s="3" t="str">
        <f ca="1">IF(Tabela2[[#This Row],[Dt Venc:]]&gt;TODAY(),"Em Aberto",IF(Tabela2[[#This Row],[D/venc]]="-","Enviado",IF(Tabela2[[#This Row],[Dt Venc:]]=TODAY(),"Vence Hoje","Vencida")))</f>
        <v>Em Aberto</v>
      </c>
      <c r="F7277" s="3">
        <f ca="1">IF(G7277=1,"-",Tabela2[[#This Row],[Dt Venc:]]-TODAY())</f>
        <v>61</v>
      </c>
      <c r="G7277" s="3"/>
      <c r="H7277" s="3"/>
    </row>
    <row r="7278" spans="1:8">
      <c r="A7278" s="3">
        <v>155674</v>
      </c>
      <c r="B7278" s="7" t="s">
        <v>77</v>
      </c>
      <c r="C7278" s="41">
        <v>1233.33</v>
      </c>
      <c r="D7278" s="6">
        <v>45754</v>
      </c>
      <c r="E7278" s="3" t="str">
        <f ca="1">IF(Tabela2[[#This Row],[Dt Venc:]]&gt;TODAY(),"Em Aberto",IF(Tabela2[[#This Row],[D/venc]]="-","Enviado",IF(Tabela2[[#This Row],[Dt Venc:]]=TODAY(),"Vence Hoje","Vencida")))</f>
        <v>Em Aberto</v>
      </c>
      <c r="F7278" s="3">
        <f ca="1">IF(G7278=1,"-",Tabela2[[#This Row],[Dt Venc:]]-TODAY())</f>
        <v>61</v>
      </c>
      <c r="G7278" s="3"/>
      <c r="H7278" s="3"/>
    </row>
    <row r="7279" spans="1:8">
      <c r="A7279" s="3">
        <v>179319</v>
      </c>
      <c r="B7279" s="7" t="s">
        <v>211</v>
      </c>
      <c r="C7279" s="41">
        <v>990</v>
      </c>
      <c r="D7279" s="6">
        <v>45754</v>
      </c>
      <c r="E7279" s="3" t="str">
        <f ca="1">IF(Tabela2[[#This Row],[Dt Venc:]]&gt;TODAY(),"Em Aberto",IF(Tabela2[[#This Row],[D/venc]]="-","Enviado",IF(Tabela2[[#This Row],[Dt Venc:]]=TODAY(),"Vence Hoje","Vencida")))</f>
        <v>Em Aberto</v>
      </c>
      <c r="F7279" s="3">
        <f ca="1">IF(G7279=1,"-",Tabela2[[#This Row],[Dt Venc:]]-TODAY())</f>
        <v>61</v>
      </c>
      <c r="G7279" s="3"/>
      <c r="H7279" s="3"/>
    </row>
    <row r="7280" spans="1:8">
      <c r="A7280" s="3">
        <v>184963</v>
      </c>
      <c r="B7280" s="7" t="s">
        <v>42</v>
      </c>
      <c r="C7280" s="41">
        <v>866.66</v>
      </c>
      <c r="D7280" s="6">
        <v>45754</v>
      </c>
      <c r="E7280" s="3" t="str">
        <f ca="1">IF(Tabela2[[#This Row],[Dt Venc:]]&gt;TODAY(),"Em Aberto",IF(Tabela2[[#This Row],[D/venc]]="-","Enviado",IF(Tabela2[[#This Row],[Dt Venc:]]=TODAY(),"Vence Hoje","Vencida")))</f>
        <v>Em Aberto</v>
      </c>
      <c r="F7280" s="3">
        <f ca="1">IF(G7280=1,"-",Tabela2[[#This Row],[Dt Venc:]]-TODAY())</f>
        <v>61</v>
      </c>
      <c r="G7280" s="3"/>
      <c r="H7280" s="3"/>
    </row>
    <row r="7281" spans="1:8">
      <c r="A7281" s="3">
        <v>277281</v>
      </c>
      <c r="B7281" s="7" t="s">
        <v>36</v>
      </c>
      <c r="C7281" s="41">
        <v>557.33000000000004</v>
      </c>
      <c r="D7281" s="6">
        <v>45754</v>
      </c>
      <c r="E7281" s="3" t="str">
        <f ca="1">IF(Tabela2[[#This Row],[Dt Venc:]]&gt;TODAY(),"Em Aberto",IF(Tabela2[[#This Row],[D/venc]]="-","Enviado",IF(Tabela2[[#This Row],[Dt Venc:]]=TODAY(),"Vence Hoje","Vencida")))</f>
        <v>Em Aberto</v>
      </c>
      <c r="F7281" s="3">
        <f ca="1">IF(G7281=1,"-",Tabela2[[#This Row],[Dt Venc:]]-TODAY())</f>
        <v>61</v>
      </c>
      <c r="G7281" s="3"/>
      <c r="H7281" s="3"/>
    </row>
    <row r="7282" spans="1:8">
      <c r="A7282" s="3">
        <v>277521</v>
      </c>
      <c r="B7282" s="7" t="s">
        <v>43</v>
      </c>
      <c r="C7282" s="41">
        <v>1600.64</v>
      </c>
      <c r="D7282" s="6">
        <v>45754</v>
      </c>
      <c r="E7282" s="3" t="str">
        <f ca="1">IF(Tabela2[[#This Row],[Dt Venc:]]&gt;TODAY(),"Em Aberto",IF(Tabela2[[#This Row],[D/venc]]="-","Enviado",IF(Tabela2[[#This Row],[Dt Venc:]]=TODAY(),"Vence Hoje","Vencida")))</f>
        <v>Em Aberto</v>
      </c>
      <c r="F7282" s="3">
        <f ca="1">IF(G7282=1,"-",Tabela2[[#This Row],[Dt Venc:]]-TODAY())</f>
        <v>61</v>
      </c>
      <c r="G7282" s="3"/>
      <c r="H7282" s="3"/>
    </row>
    <row r="7283" spans="1:8">
      <c r="A7283" s="3">
        <v>306167</v>
      </c>
      <c r="B7283" s="7" t="s">
        <v>506</v>
      </c>
      <c r="C7283" s="41">
        <v>672.16</v>
      </c>
      <c r="D7283" s="6">
        <v>45754</v>
      </c>
      <c r="E7283" s="3" t="str">
        <f ca="1">IF(Tabela2[[#This Row],[Dt Venc:]]&gt;TODAY(),"Em Aberto",IF(Tabela2[[#This Row],[D/venc]]="-","Enviado",IF(Tabela2[[#This Row],[Dt Venc:]]=TODAY(),"Vence Hoje","Vencida")))</f>
        <v>Em Aberto</v>
      </c>
      <c r="F7283" s="3">
        <f ca="1">IF(G7283=1,"-",Tabela2[[#This Row],[Dt Venc:]]-TODAY())</f>
        <v>61</v>
      </c>
      <c r="G7283" s="3"/>
      <c r="H7283" s="3"/>
    </row>
    <row r="7284" spans="1:8">
      <c r="A7284" s="3">
        <v>376099</v>
      </c>
      <c r="B7284" s="7" t="s">
        <v>39</v>
      </c>
      <c r="C7284" s="41">
        <v>717.09</v>
      </c>
      <c r="D7284" s="6">
        <v>45754</v>
      </c>
      <c r="E7284" s="3" t="str">
        <f ca="1">IF(Tabela2[[#This Row],[Dt Venc:]]&gt;TODAY(),"Em Aberto",IF(Tabela2[[#This Row],[D/venc]]="-","Enviado",IF(Tabela2[[#This Row],[Dt Venc:]]=TODAY(),"Vence Hoje","Vencida")))</f>
        <v>Em Aberto</v>
      </c>
      <c r="F7284" s="3">
        <f ca="1">IF(G7284=1,"-",Tabela2[[#This Row],[Dt Venc:]]-TODAY())</f>
        <v>61</v>
      </c>
      <c r="G7284" s="3"/>
      <c r="H7284" s="3"/>
    </row>
    <row r="7285" spans="1:8">
      <c r="A7285" s="3">
        <v>376144</v>
      </c>
      <c r="B7285" s="7" t="s">
        <v>39</v>
      </c>
      <c r="C7285" s="41">
        <v>1252.3599999999999</v>
      </c>
      <c r="D7285" s="6">
        <v>45754</v>
      </c>
      <c r="E7285" s="3" t="str">
        <f ca="1">IF(Tabela2[[#This Row],[Dt Venc:]]&gt;TODAY(),"Em Aberto",IF(Tabela2[[#This Row],[D/venc]]="-","Enviado",IF(Tabela2[[#This Row],[Dt Venc:]]=TODAY(),"Vence Hoje","Vencida")))</f>
        <v>Em Aberto</v>
      </c>
      <c r="F7285" s="3">
        <f ca="1">IF(G7285=1,"-",Tabela2[[#This Row],[Dt Venc:]]-TODAY())</f>
        <v>61</v>
      </c>
      <c r="G7285" s="3"/>
      <c r="H7285" s="3"/>
    </row>
    <row r="7286" spans="1:8">
      <c r="A7286" s="3">
        <v>376178</v>
      </c>
      <c r="B7286" s="7" t="s">
        <v>39</v>
      </c>
      <c r="C7286" s="41">
        <v>3644.71</v>
      </c>
      <c r="D7286" s="6">
        <v>45754</v>
      </c>
      <c r="E7286" s="3" t="str">
        <f ca="1">IF(Tabela2[[#This Row],[Dt Venc:]]&gt;TODAY(),"Em Aberto",IF(Tabela2[[#This Row],[D/venc]]="-","Enviado",IF(Tabela2[[#This Row],[Dt Venc:]]=TODAY(),"Vence Hoje","Vencida")))</f>
        <v>Em Aberto</v>
      </c>
      <c r="F7286" s="3">
        <f ca="1">IF(G7286=1,"-",Tabela2[[#This Row],[Dt Venc:]]-TODAY())</f>
        <v>61</v>
      </c>
      <c r="G7286" s="3"/>
      <c r="H7286" s="3"/>
    </row>
    <row r="7287" spans="1:8">
      <c r="A7287" s="3">
        <v>376202</v>
      </c>
      <c r="B7287" s="7" t="s">
        <v>39</v>
      </c>
      <c r="C7287" s="41">
        <v>3094.69</v>
      </c>
      <c r="D7287" s="6">
        <v>45754</v>
      </c>
      <c r="E7287" s="3" t="str">
        <f ca="1">IF(Tabela2[[#This Row],[Dt Venc:]]&gt;TODAY(),"Em Aberto",IF(Tabela2[[#This Row],[D/venc]]="-","Enviado",IF(Tabela2[[#This Row],[Dt Venc:]]=TODAY(),"Vence Hoje","Vencida")))</f>
        <v>Em Aberto</v>
      </c>
      <c r="F7287" s="3">
        <f ca="1">IF(G7287=1,"-",Tabela2[[#This Row],[Dt Venc:]]-TODAY())</f>
        <v>61</v>
      </c>
      <c r="G7287" s="3"/>
      <c r="H7287" s="3"/>
    </row>
    <row r="7288" spans="1:8">
      <c r="A7288" s="3">
        <v>450069</v>
      </c>
      <c r="B7288" s="7" t="s">
        <v>680</v>
      </c>
      <c r="C7288" s="41">
        <v>1052.95</v>
      </c>
      <c r="D7288" s="6">
        <v>45754</v>
      </c>
      <c r="E7288" s="3" t="str">
        <f ca="1">IF(Tabela2[[#This Row],[Dt Venc:]]&gt;TODAY(),"Em Aberto",IF(Tabela2[[#This Row],[D/venc]]="-","Enviado",IF(Tabela2[[#This Row],[Dt Venc:]]=TODAY(),"Vence Hoje","Vencida")))</f>
        <v>Em Aberto</v>
      </c>
      <c r="F7288" s="3">
        <f ca="1">IF(G7288=1,"-",Tabela2[[#This Row],[Dt Venc:]]-TODAY())</f>
        <v>61</v>
      </c>
      <c r="G7288" s="3"/>
      <c r="H7288" s="3"/>
    </row>
    <row r="7289" spans="1:8">
      <c r="A7289" s="3">
        <v>624217</v>
      </c>
      <c r="B7289" s="7" t="s">
        <v>690</v>
      </c>
      <c r="C7289" s="41">
        <v>1189.46</v>
      </c>
      <c r="D7289" s="6">
        <v>45754</v>
      </c>
      <c r="E7289" s="3" t="str">
        <f ca="1">IF(Tabela2[[#This Row],[Dt Venc:]]&gt;TODAY(),"Em Aberto",IF(Tabela2[[#This Row],[D/venc]]="-","Enviado",IF(Tabela2[[#This Row],[Dt Venc:]]=TODAY(),"Vence Hoje","Vencida")))</f>
        <v>Em Aberto</v>
      </c>
      <c r="F7289" s="3">
        <f ca="1">IF(G7289=1,"-",Tabela2[[#This Row],[Dt Venc:]]-TODAY())</f>
        <v>61</v>
      </c>
      <c r="G7289" s="3"/>
      <c r="H7289" s="3"/>
    </row>
    <row r="7290" spans="1:8">
      <c r="A7290" s="3">
        <v>1</v>
      </c>
      <c r="B7290" s="7" t="s">
        <v>165</v>
      </c>
      <c r="C7290" s="85" t="s">
        <v>32</v>
      </c>
      <c r="D7290" s="6">
        <v>45755</v>
      </c>
      <c r="E7290" s="3" t="str">
        <f ca="1">IF(Tabela2[[#This Row],[Dt Venc:]]&gt;TODAY(),"Em Aberto",IF(Tabela2[[#This Row],[D/venc]]="-","Enviado",IF(Tabela2[[#This Row],[Dt Venc:]]=TODAY(),"Vence Hoje","Vencida")))</f>
        <v>Em Aberto</v>
      </c>
      <c r="F7290" s="3">
        <f ca="1">IF(G7290=1,"-",Tabela2[[#This Row],[Dt Venc:]]-TODAY())</f>
        <v>62</v>
      </c>
      <c r="G7290" s="3"/>
      <c r="H7290" s="3"/>
    </row>
    <row r="7291" spans="1:8">
      <c r="A7291" s="3">
        <v>54</v>
      </c>
      <c r="B7291" s="7" t="s">
        <v>103</v>
      </c>
      <c r="C7291" s="41">
        <v>1250</v>
      </c>
      <c r="D7291" s="6">
        <v>45755</v>
      </c>
      <c r="E7291" s="3" t="str">
        <f ca="1">IF(Tabela2[[#This Row],[Dt Venc:]]&gt;TODAY(),"Em Aberto",IF(Tabela2[[#This Row],[D/venc]]="-","Enviado",IF(Tabela2[[#This Row],[Dt Venc:]]=TODAY(),"Vence Hoje","Vencida")))</f>
        <v>Em Aberto</v>
      </c>
      <c r="F7291" s="3">
        <f ca="1">IF(G7291=1,"-",Tabela2[[#This Row],[Dt Venc:]]-TODAY())</f>
        <v>62</v>
      </c>
      <c r="G7291" s="3"/>
      <c r="H7291" s="3"/>
    </row>
    <row r="7292" spans="1:8">
      <c r="A7292" s="3">
        <v>2955</v>
      </c>
      <c r="B7292" s="7" t="s">
        <v>58</v>
      </c>
      <c r="C7292" s="41">
        <v>3315.4</v>
      </c>
      <c r="D7292" s="6">
        <v>45755</v>
      </c>
      <c r="E7292" s="3" t="str">
        <f ca="1">IF(Tabela2[[#This Row],[Dt Venc:]]&gt;TODAY(),"Em Aberto",IF(Tabela2[[#This Row],[D/venc]]="-","Enviado",IF(Tabela2[[#This Row],[Dt Venc:]]=TODAY(),"Vence Hoje","Vencida")))</f>
        <v>Em Aberto</v>
      </c>
      <c r="F7292" s="3">
        <f ca="1">IF(G7292=1,"-",Tabela2[[#This Row],[Dt Venc:]]-TODAY())</f>
        <v>62</v>
      </c>
      <c r="G7292" s="3"/>
      <c r="H7292" s="3"/>
    </row>
    <row r="7293" spans="1:8">
      <c r="A7293" s="3">
        <v>23365</v>
      </c>
      <c r="B7293" s="7" t="s">
        <v>632</v>
      </c>
      <c r="C7293" s="41">
        <v>545</v>
      </c>
      <c r="D7293" s="6">
        <v>45755</v>
      </c>
      <c r="E7293" s="3" t="str">
        <f ca="1">IF(Tabela2[[#This Row],[Dt Venc:]]&gt;TODAY(),"Em Aberto",IF(Tabela2[[#This Row],[D/venc]]="-","Enviado",IF(Tabela2[[#This Row],[Dt Venc:]]=TODAY(),"Vence Hoje","Vencida")))</f>
        <v>Em Aberto</v>
      </c>
      <c r="F7293" s="3">
        <f ca="1">IF(G7293=1,"-",Tabela2[[#This Row],[Dt Venc:]]-TODAY())</f>
        <v>62</v>
      </c>
      <c r="G7293" s="3"/>
      <c r="H7293" s="3"/>
    </row>
    <row r="7294" spans="1:8">
      <c r="A7294" s="3">
        <v>24062</v>
      </c>
      <c r="B7294" s="7" t="s">
        <v>38</v>
      </c>
      <c r="C7294" s="41">
        <v>1201</v>
      </c>
      <c r="D7294" s="6">
        <v>45755</v>
      </c>
      <c r="E7294" s="3" t="str">
        <f ca="1">IF(Tabela2[[#This Row],[Dt Venc:]]&gt;TODAY(),"Em Aberto",IF(Tabela2[[#This Row],[D/venc]]="-","Enviado",IF(Tabela2[[#This Row],[Dt Venc:]]=TODAY(),"Vence Hoje","Vencida")))</f>
        <v>Em Aberto</v>
      </c>
      <c r="F7294" s="3">
        <f ca="1">IF(G7294=1,"-",Tabela2[[#This Row],[Dt Venc:]]-TODAY())</f>
        <v>62</v>
      </c>
      <c r="G7294" s="3"/>
      <c r="H7294" s="3"/>
    </row>
    <row r="7295" spans="1:8">
      <c r="A7295" s="3">
        <v>24305</v>
      </c>
      <c r="B7295" s="7" t="s">
        <v>38</v>
      </c>
      <c r="C7295" s="41">
        <v>1340</v>
      </c>
      <c r="D7295" s="6">
        <v>45755</v>
      </c>
      <c r="E7295" s="3" t="str">
        <f ca="1">IF(Tabela2[[#This Row],[Dt Venc:]]&gt;TODAY(),"Em Aberto",IF(Tabela2[[#This Row],[D/venc]]="-","Enviado",IF(Tabela2[[#This Row],[Dt Venc:]]=TODAY(),"Vence Hoje","Vencida")))</f>
        <v>Em Aberto</v>
      </c>
      <c r="F7295" s="3">
        <f ca="1">IF(G7295=1,"-",Tabela2[[#This Row],[Dt Venc:]]-TODAY())</f>
        <v>62</v>
      </c>
      <c r="G7295" s="3"/>
      <c r="H7295" s="3"/>
    </row>
    <row r="7296" spans="1:8">
      <c r="A7296" s="3">
        <v>30919</v>
      </c>
      <c r="B7296" s="7" t="s">
        <v>97</v>
      </c>
      <c r="C7296" s="41">
        <v>1542</v>
      </c>
      <c r="D7296" s="6">
        <v>45755</v>
      </c>
      <c r="E7296" s="3" t="str">
        <f ca="1">IF(Tabela2[[#This Row],[Dt Venc:]]&gt;TODAY(),"Em Aberto",IF(Tabela2[[#This Row],[D/venc]]="-","Enviado",IF(Tabela2[[#This Row],[Dt Venc:]]=TODAY(),"Vence Hoje","Vencida")))</f>
        <v>Em Aberto</v>
      </c>
      <c r="F7296" s="3">
        <f ca="1">IF(G7296=1,"-",Tabela2[[#This Row],[Dt Venc:]]-TODAY())</f>
        <v>62</v>
      </c>
      <c r="G7296" s="3"/>
      <c r="H7296" s="3"/>
    </row>
    <row r="7297" spans="1:8">
      <c r="A7297" s="3">
        <v>185013</v>
      </c>
      <c r="B7297" s="7" t="s">
        <v>692</v>
      </c>
      <c r="C7297" s="41">
        <v>550</v>
      </c>
      <c r="D7297" s="6">
        <v>45755</v>
      </c>
      <c r="E7297" s="3" t="str">
        <f ca="1">IF(Tabela2[[#This Row],[Dt Venc:]]&gt;TODAY(),"Em Aberto",IF(Tabela2[[#This Row],[D/venc]]="-","Enviado",IF(Tabela2[[#This Row],[Dt Venc:]]=TODAY(),"Vence Hoje","Vencida")))</f>
        <v>Em Aberto</v>
      </c>
      <c r="F7297" s="3">
        <f ca="1">IF(G7297=1,"-",Tabela2[[#This Row],[Dt Venc:]]-TODAY())</f>
        <v>62</v>
      </c>
      <c r="G7297" s="3"/>
      <c r="H7297" s="3"/>
    </row>
    <row r="7298" spans="1:8">
      <c r="A7298" s="3">
        <v>224917</v>
      </c>
      <c r="B7298" s="7" t="s">
        <v>39</v>
      </c>
      <c r="C7298" s="41">
        <v>21465</v>
      </c>
      <c r="D7298" s="6">
        <v>45755</v>
      </c>
      <c r="E7298" s="3" t="str">
        <f ca="1">IF(Tabela2[[#This Row],[Dt Venc:]]&gt;TODAY(),"Em Aberto",IF(Tabela2[[#This Row],[D/venc]]="-","Enviado",IF(Tabela2[[#This Row],[Dt Venc:]]=TODAY(),"Vence Hoje","Vencida")))</f>
        <v>Em Aberto</v>
      </c>
      <c r="F7298" s="3">
        <f ca="1">IF(G7298=1,"-",Tabela2[[#This Row],[Dt Venc:]]-TODAY())</f>
        <v>62</v>
      </c>
      <c r="G7298" s="3"/>
      <c r="H7298" s="3"/>
    </row>
    <row r="7299" spans="1:8">
      <c r="A7299" s="3">
        <v>284620</v>
      </c>
      <c r="B7299" s="7" t="s">
        <v>153</v>
      </c>
      <c r="C7299" s="99" t="s">
        <v>32</v>
      </c>
      <c r="D7299" s="6">
        <v>45755</v>
      </c>
      <c r="E7299" s="3" t="str">
        <f ca="1">IF(Tabela2[[#This Row],[Dt Venc:]]&gt;TODAY(),"Em Aberto",IF(Tabela2[[#This Row],[D/venc]]="-","Enviado",IF(Tabela2[[#This Row],[Dt Venc:]]=TODAY(),"Vence Hoje","Vencida")))</f>
        <v>Em Aberto</v>
      </c>
      <c r="F7299" s="3">
        <f ca="1">IF(G7299=1,"-",Tabela2[[#This Row],[Dt Venc:]]-TODAY())</f>
        <v>62</v>
      </c>
      <c r="G7299" s="3"/>
      <c r="H7299" s="3"/>
    </row>
    <row r="7300" spans="1:8">
      <c r="A7300" s="3">
        <v>15447</v>
      </c>
      <c r="B7300" s="7" t="s">
        <v>44</v>
      </c>
      <c r="C7300" s="41">
        <v>1062.5</v>
      </c>
      <c r="D7300" s="6">
        <v>45755</v>
      </c>
      <c r="E7300" s="3" t="str">
        <f ca="1">IF(Tabela2[[#This Row],[Dt Venc:]]&gt;TODAY(),"Em Aberto",IF(Tabela2[[#This Row],[D/venc]]="-","Enviado",IF(Tabela2[[#This Row],[Dt Venc:]]=TODAY(),"Vence Hoje","Vencida")))</f>
        <v>Em Aberto</v>
      </c>
      <c r="F7300" s="3">
        <f ca="1">IF(G7300=1,"-",Tabela2[[#This Row],[Dt Venc:]]-TODAY())</f>
        <v>62</v>
      </c>
      <c r="G7300" s="3"/>
      <c r="H7300" s="3"/>
    </row>
    <row r="7301" spans="1:8">
      <c r="A7301" s="3">
        <v>1325</v>
      </c>
      <c r="B7301" s="7" t="s">
        <v>474</v>
      </c>
      <c r="C7301" s="41">
        <v>1753.5</v>
      </c>
      <c r="D7301" s="6">
        <v>45756</v>
      </c>
      <c r="E7301" s="3" t="str">
        <f ca="1">IF(Tabela2[[#This Row],[Dt Venc:]]&gt;TODAY(),"Em Aberto",IF(Tabela2[[#This Row],[D/venc]]="-","Enviado",IF(Tabela2[[#This Row],[Dt Venc:]]=TODAY(),"Vence Hoje","Vencida")))</f>
        <v>Em Aberto</v>
      </c>
      <c r="F7301" s="3">
        <f ca="1">IF(G7301=1,"-",Tabela2[[#This Row],[Dt Venc:]]-TODAY())</f>
        <v>63</v>
      </c>
      <c r="G7301" s="3"/>
      <c r="H7301" s="3"/>
    </row>
    <row r="7302" spans="1:8">
      <c r="A7302" s="3">
        <v>11319</v>
      </c>
      <c r="B7302" s="7" t="s">
        <v>33</v>
      </c>
      <c r="C7302" s="41">
        <v>1933.34</v>
      </c>
      <c r="D7302" s="6">
        <v>45756</v>
      </c>
      <c r="E7302" s="3" t="str">
        <f ca="1">IF(Tabela2[[#This Row],[Dt Venc:]]&gt;TODAY(),"Em Aberto",IF(Tabela2[[#This Row],[D/venc]]="-","Enviado",IF(Tabela2[[#This Row],[Dt Venc:]]=TODAY(),"Vence Hoje","Vencida")))</f>
        <v>Em Aberto</v>
      </c>
      <c r="F7302" s="3">
        <f ca="1">IF(G7302=1,"-",Tabela2[[#This Row],[Dt Venc:]]-TODAY())</f>
        <v>63</v>
      </c>
      <c r="G7302" s="3"/>
      <c r="H7302" s="3"/>
    </row>
    <row r="7303" spans="1:8">
      <c r="A7303" s="3">
        <v>13877</v>
      </c>
      <c r="B7303" s="7" t="s">
        <v>622</v>
      </c>
      <c r="C7303" s="41">
        <v>263.5</v>
      </c>
      <c r="D7303" s="6">
        <v>45756</v>
      </c>
      <c r="E7303" s="3" t="str">
        <f ca="1">IF(Tabela2[[#This Row],[Dt Venc:]]&gt;TODAY(),"Em Aberto",IF(Tabela2[[#This Row],[D/venc]]="-","Enviado",IF(Tabela2[[#This Row],[Dt Venc:]]=TODAY(),"Vence Hoje","Vencida")))</f>
        <v>Em Aberto</v>
      </c>
      <c r="F7303" s="3">
        <f ca="1">IF(G7303=1,"-",Tabela2[[#This Row],[Dt Venc:]]-TODAY())</f>
        <v>63</v>
      </c>
      <c r="G7303" s="3"/>
      <c r="H7303" s="3"/>
    </row>
    <row r="7304" spans="1:8">
      <c r="A7304" s="3">
        <v>16148</v>
      </c>
      <c r="B7304" s="7" t="s">
        <v>289</v>
      </c>
      <c r="C7304" s="41">
        <v>450</v>
      </c>
      <c r="D7304" s="6">
        <v>45756</v>
      </c>
      <c r="E7304" s="3" t="str">
        <f ca="1">IF(Tabela2[[#This Row],[Dt Venc:]]&gt;TODAY(),"Em Aberto",IF(Tabela2[[#This Row],[D/venc]]="-","Enviado",IF(Tabela2[[#This Row],[Dt Venc:]]=TODAY(),"Vence Hoje","Vencida")))</f>
        <v>Em Aberto</v>
      </c>
      <c r="F7304" s="3">
        <f ca="1">IF(G7304=1,"-",Tabela2[[#This Row],[Dt Venc:]]-TODAY())</f>
        <v>63</v>
      </c>
      <c r="G7304" s="3"/>
      <c r="H7304" s="3"/>
    </row>
    <row r="7305" spans="1:8">
      <c r="A7305" s="3">
        <v>16148</v>
      </c>
      <c r="B7305" s="7" t="s">
        <v>289</v>
      </c>
      <c r="C7305" s="41">
        <v>450</v>
      </c>
      <c r="D7305" s="6">
        <v>45756</v>
      </c>
      <c r="E7305" s="3" t="str">
        <f ca="1">IF(Tabela2[[#This Row],[Dt Venc:]]&gt;TODAY(),"Em Aberto",IF(Tabela2[[#This Row],[D/venc]]="-","Enviado",IF(Tabela2[[#This Row],[Dt Venc:]]=TODAY(),"Vence Hoje","Vencida")))</f>
        <v>Em Aberto</v>
      </c>
      <c r="F7305" s="3">
        <f ca="1">IF(G7305=1,"-",Tabela2[[#This Row],[Dt Venc:]]-TODAY())</f>
        <v>63</v>
      </c>
      <c r="G7305" s="3"/>
      <c r="H7305" s="3"/>
    </row>
    <row r="7306" spans="1:8">
      <c r="A7306" s="3">
        <v>24089</v>
      </c>
      <c r="B7306" s="7" t="s">
        <v>38</v>
      </c>
      <c r="C7306" s="41">
        <v>2343.6</v>
      </c>
      <c r="D7306" s="6">
        <v>45756</v>
      </c>
      <c r="E7306" s="3" t="str">
        <f ca="1">IF(Tabela2[[#This Row],[Dt Venc:]]&gt;TODAY(),"Em Aberto",IF(Tabela2[[#This Row],[D/venc]]="-","Enviado",IF(Tabela2[[#This Row],[Dt Venc:]]=TODAY(),"Vence Hoje","Vencida")))</f>
        <v>Em Aberto</v>
      </c>
      <c r="F7306" s="3">
        <f ca="1">IF(G7306=1,"-",Tabela2[[#This Row],[Dt Venc:]]-TODAY())</f>
        <v>63</v>
      </c>
      <c r="G7306" s="3"/>
      <c r="H7306" s="3"/>
    </row>
    <row r="7307" spans="1:8">
      <c r="A7307" s="3">
        <v>36949</v>
      </c>
      <c r="B7307" s="7" t="s">
        <v>167</v>
      </c>
      <c r="C7307" s="99" t="s">
        <v>32</v>
      </c>
      <c r="D7307" s="6">
        <v>45756</v>
      </c>
      <c r="E7307" s="3" t="str">
        <f ca="1">IF(Tabela2[[#This Row],[Dt Venc:]]&gt;TODAY(),"Em Aberto",IF(Tabela2[[#This Row],[D/venc]]="-","Enviado",IF(Tabela2[[#This Row],[Dt Venc:]]=TODAY(),"Vence Hoje","Vencida")))</f>
        <v>Em Aberto</v>
      </c>
      <c r="F7307" s="3">
        <f ca="1">IF(G7307=1,"-",Tabela2[[#This Row],[Dt Venc:]]-TODAY())</f>
        <v>63</v>
      </c>
      <c r="G7307" s="3"/>
      <c r="H7307" s="3"/>
    </row>
    <row r="7308" spans="1:8">
      <c r="A7308" s="3">
        <v>54382</v>
      </c>
      <c r="B7308" s="7" t="s">
        <v>622</v>
      </c>
      <c r="C7308" s="41">
        <v>720.24</v>
      </c>
      <c r="D7308" s="6">
        <v>45756</v>
      </c>
      <c r="E7308" s="3" t="str">
        <f ca="1">IF(Tabela2[[#This Row],[Dt Venc:]]&gt;TODAY(),"Em Aberto",IF(Tabela2[[#This Row],[D/venc]]="-","Enviado",IF(Tabela2[[#This Row],[Dt Venc:]]=TODAY(),"Vence Hoje","Vencida")))</f>
        <v>Em Aberto</v>
      </c>
      <c r="F7308" s="3">
        <f ca="1">IF(G7308=1,"-",Tabela2[[#This Row],[Dt Venc:]]-TODAY())</f>
        <v>63</v>
      </c>
      <c r="G7308" s="3"/>
      <c r="H7308" s="3"/>
    </row>
    <row r="7309" spans="1:8">
      <c r="A7309" s="3">
        <v>54383</v>
      </c>
      <c r="B7309" s="7" t="s">
        <v>622</v>
      </c>
      <c r="C7309" s="41">
        <v>574.5</v>
      </c>
      <c r="D7309" s="6">
        <v>45756</v>
      </c>
      <c r="E7309" s="3" t="str">
        <f ca="1">IF(Tabela2[[#This Row],[Dt Venc:]]&gt;TODAY(),"Em Aberto",IF(Tabela2[[#This Row],[D/venc]]="-","Enviado",IF(Tabela2[[#This Row],[Dt Venc:]]=TODAY(),"Vence Hoje","Vencida")))</f>
        <v>Em Aberto</v>
      </c>
      <c r="F7309" s="3">
        <f ca="1">IF(G7309=1,"-",Tabela2[[#This Row],[Dt Venc:]]-TODAY())</f>
        <v>63</v>
      </c>
      <c r="G7309" s="3"/>
      <c r="H7309" s="3"/>
    </row>
    <row r="7310" spans="1:8">
      <c r="A7310" s="3">
        <v>117304</v>
      </c>
      <c r="B7310" s="7" t="s">
        <v>686</v>
      </c>
      <c r="C7310" s="41">
        <v>1315.87</v>
      </c>
      <c r="D7310" s="6">
        <v>45756</v>
      </c>
      <c r="E7310" s="3" t="str">
        <f ca="1">IF(Tabela2[[#This Row],[Dt Venc:]]&gt;TODAY(),"Em Aberto",IF(Tabela2[[#This Row],[D/venc]]="-","Enviado",IF(Tabela2[[#This Row],[Dt Venc:]]=TODAY(),"Vence Hoje","Vencida")))</f>
        <v>Em Aberto</v>
      </c>
      <c r="F7310" s="3">
        <f ca="1">IF(G7310=1,"-",Tabela2[[#This Row],[Dt Venc:]]-TODAY())</f>
        <v>63</v>
      </c>
      <c r="G7310" s="3"/>
      <c r="H7310" s="3"/>
    </row>
    <row r="7311" spans="1:8">
      <c r="A7311" s="3">
        <v>400625</v>
      </c>
      <c r="B7311" s="7" t="s">
        <v>596</v>
      </c>
      <c r="C7311" s="41">
        <v>1870</v>
      </c>
      <c r="D7311" s="6">
        <v>45756</v>
      </c>
      <c r="E7311" s="3" t="str">
        <f ca="1">IF(Tabela2[[#This Row],[Dt Venc:]]&gt;TODAY(),"Em Aberto",IF(Tabela2[[#This Row],[D/venc]]="-","Enviado",IF(Tabela2[[#This Row],[Dt Venc:]]=TODAY(),"Vence Hoje","Vencida")))</f>
        <v>Em Aberto</v>
      </c>
      <c r="F7311" s="3">
        <f ca="1">IF(G7311=1,"-",Tabela2[[#This Row],[Dt Venc:]]-TODAY())</f>
        <v>63</v>
      </c>
      <c r="G7311" s="3"/>
      <c r="H7311" s="3"/>
    </row>
    <row r="7312" spans="1:8">
      <c r="A7312" s="3">
        <v>756561</v>
      </c>
      <c r="B7312" s="7" t="s">
        <v>166</v>
      </c>
      <c r="C7312" s="99" t="s">
        <v>32</v>
      </c>
      <c r="D7312" s="6">
        <v>45756</v>
      </c>
      <c r="E7312" s="3" t="str">
        <f ca="1">IF(Tabela2[[#This Row],[Dt Venc:]]&gt;TODAY(),"Em Aberto",IF(Tabela2[[#This Row],[D/venc]]="-","Enviado",IF(Tabela2[[#This Row],[Dt Venc:]]=TODAY(),"Vence Hoje","Vencida")))</f>
        <v>Em Aberto</v>
      </c>
      <c r="F7312" s="3">
        <f ca="1">IF(G7312=1,"-",Tabela2[[#This Row],[Dt Venc:]]-TODAY())</f>
        <v>63</v>
      </c>
      <c r="G7312" s="3"/>
      <c r="H7312" s="3"/>
    </row>
    <row r="7313" spans="1:8">
      <c r="A7313" s="3" t="s">
        <v>179</v>
      </c>
      <c r="B7313" s="7" t="s">
        <v>180</v>
      </c>
      <c r="C7313" s="99" t="s">
        <v>32</v>
      </c>
      <c r="D7313" s="6">
        <v>45756</v>
      </c>
      <c r="E7313" s="3" t="str">
        <f ca="1">IF(Tabela2[[#This Row],[Dt Venc:]]&gt;TODAY(),"Em Aberto",IF(Tabela2[[#This Row],[D/venc]]="-","Enviado",IF(Tabela2[[#This Row],[Dt Venc:]]=TODAY(),"Vence Hoje","Vencida")))</f>
        <v>Em Aberto</v>
      </c>
      <c r="F7313" s="3">
        <f ca="1">IF(G7313=1,"-",Tabela2[[#This Row],[Dt Venc:]]-TODAY())</f>
        <v>63</v>
      </c>
      <c r="G7313" s="3"/>
      <c r="H7313" s="3"/>
    </row>
    <row r="7314" spans="1:8">
      <c r="A7314" s="3" t="s">
        <v>110</v>
      </c>
      <c r="B7314" s="7" t="s">
        <v>183</v>
      </c>
      <c r="C7314" s="42" t="s">
        <v>32</v>
      </c>
      <c r="D7314" s="6">
        <v>45757</v>
      </c>
      <c r="E7314" s="3" t="str">
        <f ca="1">IF(Tabela2[[#This Row],[Dt Venc:]]&gt;TODAY(),"Em Aberto",IF(Tabela2[[#This Row],[D/venc]]="-","Enviado",IF(Tabela2[[#This Row],[Dt Venc:]]=TODAY(),"Vence Hoje","Vencida")))</f>
        <v>Em Aberto</v>
      </c>
      <c r="F7314" s="3">
        <f ca="1">IF(G7314=1,"-",Tabela2[[#This Row],[Dt Venc:]]-TODAY())</f>
        <v>64</v>
      </c>
      <c r="G7314" s="3"/>
      <c r="H7314" s="3"/>
    </row>
    <row r="7315" spans="1:8">
      <c r="A7315" s="3">
        <v>1326</v>
      </c>
      <c r="B7315" s="7" t="s">
        <v>474</v>
      </c>
      <c r="C7315" s="41">
        <v>1515</v>
      </c>
      <c r="D7315" s="6">
        <v>45757</v>
      </c>
      <c r="E7315" s="3" t="str">
        <f ca="1">IF(Tabela2[[#This Row],[Dt Venc:]]&gt;TODAY(),"Em Aberto",IF(Tabela2[[#This Row],[D/venc]]="-","Enviado",IF(Tabela2[[#This Row],[Dt Venc:]]=TODAY(),"Vence Hoje","Vencida")))</f>
        <v>Em Aberto</v>
      </c>
      <c r="F7315" s="3">
        <f ca="1">IF(G7315=1,"-",Tabela2[[#This Row],[Dt Venc:]]-TODAY())</f>
        <v>64</v>
      </c>
      <c r="G7315" s="3"/>
      <c r="H7315" s="3"/>
    </row>
    <row r="7316" spans="1:8">
      <c r="A7316" s="3">
        <v>6357</v>
      </c>
      <c r="B7316" s="7" t="s">
        <v>47</v>
      </c>
      <c r="C7316" s="41">
        <v>1192.08</v>
      </c>
      <c r="D7316" s="6">
        <v>45757</v>
      </c>
      <c r="E7316" s="3" t="str">
        <f ca="1">IF(Tabela2[[#This Row],[Dt Venc:]]&gt;TODAY(),"Em Aberto",IF(Tabela2[[#This Row],[D/venc]]="-","Enviado",IF(Tabela2[[#This Row],[Dt Venc:]]=TODAY(),"Vence Hoje","Vencida")))</f>
        <v>Em Aberto</v>
      </c>
      <c r="F7316" s="3">
        <f ca="1">IF(G7316=1,"-",Tabela2[[#This Row],[Dt Venc:]]-TODAY())</f>
        <v>64</v>
      </c>
      <c r="G7316" s="3"/>
      <c r="H7316" s="3"/>
    </row>
    <row r="7317" spans="1:8">
      <c r="A7317" s="3">
        <v>15417</v>
      </c>
      <c r="B7317" s="7" t="s">
        <v>99</v>
      </c>
      <c r="C7317" s="41">
        <v>850</v>
      </c>
      <c r="D7317" s="6">
        <v>45757</v>
      </c>
      <c r="E7317" s="3" t="str">
        <f ca="1">IF(Tabela2[[#This Row],[Dt Venc:]]&gt;TODAY(),"Em Aberto",IF(Tabela2[[#This Row],[D/venc]]="-","Enviado",IF(Tabela2[[#This Row],[Dt Venc:]]=TODAY(),"Vence Hoje","Vencida")))</f>
        <v>Em Aberto</v>
      </c>
      <c r="F7317" s="3">
        <f ca="1">IF(G7317=1,"-",Tabela2[[#This Row],[Dt Venc:]]-TODAY())</f>
        <v>64</v>
      </c>
      <c r="G7317" s="3"/>
      <c r="H7317" s="3"/>
    </row>
    <row r="7318" spans="1:8">
      <c r="A7318" s="3">
        <v>28629</v>
      </c>
      <c r="B7318" s="7" t="s">
        <v>182</v>
      </c>
      <c r="C7318" s="99" t="s">
        <v>32</v>
      </c>
      <c r="D7318" s="6">
        <v>45757</v>
      </c>
      <c r="E7318" s="3" t="str">
        <f ca="1">IF(Tabela2[[#This Row],[Dt Venc:]]&gt;TODAY(),"Em Aberto",IF(Tabela2[[#This Row],[D/venc]]="-","Enviado",IF(Tabela2[[#This Row],[Dt Venc:]]=TODAY(),"Vence Hoje","Vencida")))</f>
        <v>Em Aberto</v>
      </c>
      <c r="F7318" s="3">
        <f ca="1">IF(G7318=1,"-",Tabela2[[#This Row],[Dt Venc:]]-TODAY())</f>
        <v>64</v>
      </c>
      <c r="G7318" s="3"/>
      <c r="H7318" s="3"/>
    </row>
    <row r="7319" spans="1:8">
      <c r="A7319" s="3">
        <v>30645</v>
      </c>
      <c r="B7319" s="7" t="s">
        <v>226</v>
      </c>
      <c r="C7319" s="41">
        <v>2274</v>
      </c>
      <c r="D7319" s="6">
        <v>45757</v>
      </c>
      <c r="E7319" s="3" t="str">
        <f ca="1">IF(Tabela2[[#This Row],[Dt Venc:]]&gt;TODAY(),"Em Aberto",IF(Tabela2[[#This Row],[D/venc]]="-","Enviado",IF(Tabela2[[#This Row],[Dt Venc:]]=TODAY(),"Vence Hoje","Vencida")))</f>
        <v>Em Aberto</v>
      </c>
      <c r="F7319" s="3">
        <f ca="1">IF(G7319=1,"-",Tabela2[[#This Row],[Dt Venc:]]-TODAY())</f>
        <v>64</v>
      </c>
      <c r="G7319" s="3"/>
      <c r="H7319" s="3"/>
    </row>
    <row r="7320" spans="1:8">
      <c r="A7320" s="3">
        <v>30841</v>
      </c>
      <c r="B7320" s="7" t="s">
        <v>97</v>
      </c>
      <c r="C7320" s="41">
        <v>1507</v>
      </c>
      <c r="D7320" s="6">
        <v>45757</v>
      </c>
      <c r="E7320" s="3" t="str">
        <f ca="1">IF(Tabela2[[#This Row],[Dt Venc:]]&gt;TODAY(),"Em Aberto",IF(Tabela2[[#This Row],[D/venc]]="-","Enviado",IF(Tabela2[[#This Row],[Dt Venc:]]=TODAY(),"Vence Hoje","Vencida")))</f>
        <v>Em Aberto</v>
      </c>
      <c r="F7320" s="3">
        <f ca="1">IF(G7320=1,"-",Tabela2[[#This Row],[Dt Venc:]]-TODAY())</f>
        <v>64</v>
      </c>
      <c r="G7320" s="3"/>
      <c r="H7320" s="3"/>
    </row>
    <row r="7321" spans="1:8">
      <c r="A7321" s="3">
        <v>30920</v>
      </c>
      <c r="B7321" s="7" t="s">
        <v>97</v>
      </c>
      <c r="C7321" s="41">
        <v>1975</v>
      </c>
      <c r="D7321" s="6">
        <v>45757</v>
      </c>
      <c r="E7321" s="3" t="str">
        <f ca="1">IF(Tabela2[[#This Row],[Dt Venc:]]&gt;TODAY(),"Em Aberto",IF(Tabela2[[#This Row],[D/venc]]="-","Enviado",IF(Tabela2[[#This Row],[Dt Venc:]]=TODAY(),"Vence Hoje","Vencida")))</f>
        <v>Em Aberto</v>
      </c>
      <c r="F7321" s="3">
        <f ca="1">IF(G7321=1,"-",Tabela2[[#This Row],[Dt Venc:]]-TODAY())</f>
        <v>64</v>
      </c>
      <c r="G7321" s="3"/>
      <c r="H7321" s="3"/>
    </row>
    <row r="7322" spans="1:8">
      <c r="A7322" s="3">
        <v>31135</v>
      </c>
      <c r="B7322" s="7" t="s">
        <v>97</v>
      </c>
      <c r="C7322" s="41">
        <v>2055</v>
      </c>
      <c r="D7322" s="6">
        <v>45757</v>
      </c>
      <c r="E7322" s="3" t="str">
        <f ca="1">IF(Tabela2[[#This Row],[Dt Venc:]]&gt;TODAY(),"Em Aberto",IF(Tabela2[[#This Row],[D/venc]]="-","Enviado",IF(Tabela2[[#This Row],[Dt Venc:]]=TODAY(),"Vence Hoje","Vencida")))</f>
        <v>Em Aberto</v>
      </c>
      <c r="F7322" s="3">
        <f ca="1">IF(G7322=1,"-",Tabela2[[#This Row],[Dt Venc:]]-TODAY())</f>
        <v>64</v>
      </c>
      <c r="G7322" s="3"/>
      <c r="H7322" s="3"/>
    </row>
    <row r="7323" spans="1:8">
      <c r="A7323" s="3">
        <v>31249</v>
      </c>
      <c r="B7323" s="7" t="s">
        <v>97</v>
      </c>
      <c r="C7323" s="41">
        <v>2170</v>
      </c>
      <c r="D7323" s="6">
        <v>45757</v>
      </c>
      <c r="E7323" s="3" t="str">
        <f ca="1">IF(Tabela2[[#This Row],[Dt Venc:]]&gt;TODAY(),"Em Aberto",IF(Tabela2[[#This Row],[D/venc]]="-","Enviado",IF(Tabela2[[#This Row],[Dt Venc:]]=TODAY(),"Vence Hoje","Vencida")))</f>
        <v>Em Aberto</v>
      </c>
      <c r="F7323" s="3">
        <f ca="1">IF(G7323=1,"-",Tabela2[[#This Row],[Dt Venc:]]-TODAY())</f>
        <v>64</v>
      </c>
      <c r="G7323" s="3"/>
      <c r="H7323" s="3"/>
    </row>
    <row r="7324" spans="1:8">
      <c r="A7324" s="3">
        <v>155787</v>
      </c>
      <c r="B7324" s="7" t="s">
        <v>77</v>
      </c>
      <c r="C7324" s="41">
        <v>433.33</v>
      </c>
      <c r="D7324" s="6">
        <v>45757</v>
      </c>
      <c r="E7324" s="3" t="str">
        <f ca="1">IF(Tabela2[[#This Row],[Dt Venc:]]&gt;TODAY(),"Em Aberto",IF(Tabela2[[#This Row],[D/venc]]="-","Enviado",IF(Tabela2[[#This Row],[Dt Venc:]]=TODAY(),"Vence Hoje","Vencida")))</f>
        <v>Em Aberto</v>
      </c>
      <c r="F7324" s="3">
        <f ca="1">IF(G7324=1,"-",Tabela2[[#This Row],[Dt Venc:]]-TODAY())</f>
        <v>64</v>
      </c>
      <c r="G7324" s="3"/>
      <c r="H7324" s="3"/>
    </row>
    <row r="7325" spans="1:8">
      <c r="A7325" s="3">
        <v>179546</v>
      </c>
      <c r="B7325" s="7" t="s">
        <v>211</v>
      </c>
      <c r="C7325" s="41">
        <v>579.34</v>
      </c>
      <c r="D7325" s="6">
        <v>45757</v>
      </c>
      <c r="E7325" s="3" t="str">
        <f ca="1">IF(Tabela2[[#This Row],[Dt Venc:]]&gt;TODAY(),"Em Aberto",IF(Tabela2[[#This Row],[D/venc]]="-","Enviado",IF(Tabela2[[#This Row],[Dt Venc:]]=TODAY(),"Vence Hoje","Vencida")))</f>
        <v>Em Aberto</v>
      </c>
      <c r="F7325" s="3">
        <f ca="1">IF(G7325=1,"-",Tabela2[[#This Row],[Dt Venc:]]-TODAY())</f>
        <v>64</v>
      </c>
      <c r="G7325" s="3"/>
      <c r="H7325" s="3"/>
    </row>
    <row r="7326" spans="1:8">
      <c r="A7326" s="3">
        <v>179573</v>
      </c>
      <c r="B7326" s="7" t="s">
        <v>211</v>
      </c>
      <c r="C7326" s="41">
        <v>993.34</v>
      </c>
      <c r="D7326" s="6">
        <v>45757</v>
      </c>
      <c r="E7326" s="3" t="str">
        <f ca="1">IF(Tabela2[[#This Row],[Dt Venc:]]&gt;TODAY(),"Em Aberto",IF(Tabela2[[#This Row],[D/venc]]="-","Enviado",IF(Tabela2[[#This Row],[Dt Venc:]]=TODAY(),"Vence Hoje","Vencida")))</f>
        <v>Em Aberto</v>
      </c>
      <c r="F7326" s="3">
        <f ca="1">IF(G7326=1,"-",Tabela2[[#This Row],[Dt Venc:]]-TODAY())</f>
        <v>64</v>
      </c>
      <c r="G7326" s="3"/>
      <c r="H7326" s="3"/>
    </row>
    <row r="7327" spans="1:8">
      <c r="A7327" s="3">
        <v>179599</v>
      </c>
      <c r="B7327" s="7" t="s">
        <v>211</v>
      </c>
      <c r="C7327" s="41">
        <v>1118.6600000000001</v>
      </c>
      <c r="D7327" s="6">
        <v>45757</v>
      </c>
      <c r="E7327" s="3" t="str">
        <f ca="1">IF(Tabela2[[#This Row],[Dt Venc:]]&gt;TODAY(),"Em Aberto",IF(Tabela2[[#This Row],[D/venc]]="-","Enviado",IF(Tabela2[[#This Row],[Dt Venc:]]=TODAY(),"Vence Hoje","Vencida")))</f>
        <v>Em Aberto</v>
      </c>
      <c r="F7327" s="3">
        <f ca="1">IF(G7327=1,"-",Tabela2[[#This Row],[Dt Venc:]]-TODAY())</f>
        <v>64</v>
      </c>
      <c r="G7327" s="3"/>
      <c r="H7327" s="3"/>
    </row>
    <row r="7328" spans="1:8">
      <c r="A7328" s="3">
        <v>191416</v>
      </c>
      <c r="B7328" s="7" t="s">
        <v>128</v>
      </c>
      <c r="C7328" s="41">
        <v>1729.12</v>
      </c>
      <c r="D7328" s="6">
        <v>45757</v>
      </c>
      <c r="E7328" s="3" t="str">
        <f ca="1">IF(Tabela2[[#This Row],[Dt Venc:]]&gt;TODAY(),"Em Aberto",IF(Tabela2[[#This Row],[D/venc]]="-","Enviado",IF(Tabela2[[#This Row],[Dt Venc:]]=TODAY(),"Vence Hoje","Vencida")))</f>
        <v>Em Aberto</v>
      </c>
      <c r="F7328" s="3">
        <f ca="1">IF(G7328=1,"-",Tabela2[[#This Row],[Dt Venc:]]-TODAY())</f>
        <v>64</v>
      </c>
      <c r="G7328" s="3"/>
      <c r="H7328" s="3"/>
    </row>
    <row r="7329" spans="1:8">
      <c r="A7329" s="3">
        <v>279920</v>
      </c>
      <c r="B7329" s="7" t="s">
        <v>43</v>
      </c>
      <c r="C7329" s="41">
        <v>2467.15</v>
      </c>
      <c r="D7329" s="6">
        <v>45757</v>
      </c>
      <c r="E7329" s="3" t="str">
        <f ca="1">IF(Tabela2[[#This Row],[Dt Venc:]]&gt;TODAY(),"Em Aberto",IF(Tabela2[[#This Row],[D/venc]]="-","Enviado",IF(Tabela2[[#This Row],[Dt Venc:]]=TODAY(),"Vence Hoje","Vencida")))</f>
        <v>Em Aberto</v>
      </c>
      <c r="F7329" s="3">
        <f ca="1">IF(G7329=1,"-",Tabela2[[#This Row],[Dt Venc:]]-TODAY())</f>
        <v>64</v>
      </c>
      <c r="G7329" s="3"/>
      <c r="H7329" s="3"/>
    </row>
    <row r="7330" spans="1:8">
      <c r="A7330" s="3">
        <v>624812</v>
      </c>
      <c r="B7330" s="7" t="s">
        <v>66</v>
      </c>
      <c r="C7330" s="41">
        <v>555.12</v>
      </c>
      <c r="D7330" s="6">
        <v>45757</v>
      </c>
      <c r="E7330" s="3" t="str">
        <f ca="1">IF(Tabela2[[#This Row],[Dt Venc:]]&gt;TODAY(),"Em Aberto",IF(Tabela2[[#This Row],[D/venc]]="-","Enviado",IF(Tabela2[[#This Row],[Dt Venc:]]=TODAY(),"Vence Hoje","Vencida")))</f>
        <v>Em Aberto</v>
      </c>
      <c r="F7330" s="3">
        <f ca="1">IF(G7330=1,"-",Tabela2[[#This Row],[Dt Venc:]]-TODAY())</f>
        <v>64</v>
      </c>
      <c r="G7330" s="3"/>
      <c r="H7330" s="3"/>
    </row>
    <row r="7331" spans="1:8">
      <c r="A7331" s="3" t="s">
        <v>123</v>
      </c>
      <c r="B7331" s="7" t="s">
        <v>418</v>
      </c>
      <c r="C7331" s="42" t="s">
        <v>32</v>
      </c>
      <c r="D7331" s="6">
        <v>45757</v>
      </c>
      <c r="E7331" s="3" t="str">
        <f ca="1">IF(Tabela2[[#This Row],[Dt Venc:]]&gt;TODAY(),"Em Aberto",IF(Tabela2[[#This Row],[D/venc]]="-","Enviado",IF(Tabela2[[#This Row],[Dt Venc:]]=TODAY(),"Vence Hoje","Vencida")))</f>
        <v>Em Aberto</v>
      </c>
      <c r="F7331" s="3">
        <f ca="1">IF(G7331=1,"-",Tabela2[[#This Row],[Dt Venc:]]-TODAY())</f>
        <v>64</v>
      </c>
      <c r="G7331" s="3"/>
      <c r="H7331" s="3"/>
    </row>
    <row r="7332" spans="1:8">
      <c r="A7332" s="3" t="s">
        <v>123</v>
      </c>
      <c r="B7332" s="7" t="s">
        <v>201</v>
      </c>
      <c r="C7332" s="87" t="s">
        <v>32</v>
      </c>
      <c r="D7332" s="6">
        <v>45757</v>
      </c>
      <c r="E7332" s="3" t="str">
        <f ca="1">IF(Tabela2[[#This Row],[Dt Venc:]]&gt;TODAY(),"Em Aberto",IF(Tabela2[[#This Row],[D/venc]]="-","Enviado",IF(Tabela2[[#This Row],[Dt Venc:]]=TODAY(),"Vence Hoje","Vencida")))</f>
        <v>Em Aberto</v>
      </c>
      <c r="F7332" s="3">
        <f ca="1">IF(G7332=1,"-",Tabela2[[#This Row],[Dt Venc:]]-TODAY())</f>
        <v>64</v>
      </c>
      <c r="G7332" s="3"/>
      <c r="H7332" s="3"/>
    </row>
    <row r="7333" spans="1:8">
      <c r="A7333" s="3" t="s">
        <v>110</v>
      </c>
      <c r="B7333" s="7" t="s">
        <v>181</v>
      </c>
      <c r="C7333" s="42" t="s">
        <v>32</v>
      </c>
      <c r="D7333" s="6">
        <v>45757</v>
      </c>
      <c r="E7333" s="3" t="str">
        <f ca="1">IF(Tabela2[[#This Row],[Dt Venc:]]&gt;TODAY(),"Em Aberto",IF(Tabela2[[#This Row],[D/venc]]="-","Enviado",IF(Tabela2[[#This Row],[Dt Venc:]]=TODAY(),"Vence Hoje","Vencida")))</f>
        <v>Em Aberto</v>
      </c>
      <c r="F7333" s="3">
        <f ca="1">IF(G7333=1,"-",Tabela2[[#This Row],[Dt Venc:]]-TODAY())</f>
        <v>64</v>
      </c>
      <c r="G7333" s="3"/>
      <c r="H7333" s="3"/>
    </row>
    <row r="7334" spans="1:8">
      <c r="A7334" s="3" t="s">
        <v>179</v>
      </c>
      <c r="B7334" s="7" t="s">
        <v>190</v>
      </c>
      <c r="C7334" s="99" t="s">
        <v>32</v>
      </c>
      <c r="D7334" s="6">
        <v>45757</v>
      </c>
      <c r="E7334" s="3" t="str">
        <f ca="1">IF(Tabela2[[#This Row],[Dt Venc:]]&gt;TODAY(),"Em Aberto",IF(Tabela2[[#This Row],[D/venc]]="-","Enviado",IF(Tabela2[[#This Row],[Dt Venc:]]=TODAY(),"Vence Hoje","Vencida")))</f>
        <v>Em Aberto</v>
      </c>
      <c r="F7334" s="3">
        <f ca="1">IF(G7334=1,"-",Tabela2[[#This Row],[Dt Venc:]]-TODAY())</f>
        <v>64</v>
      </c>
      <c r="G7334" s="3"/>
      <c r="H7334" s="3"/>
    </row>
    <row r="7335" spans="1:8">
      <c r="A7335" s="3">
        <v>31501</v>
      </c>
      <c r="B7335" s="7" t="s">
        <v>97</v>
      </c>
      <c r="C7335" s="41">
        <v>1825</v>
      </c>
      <c r="D7335" s="6">
        <v>45757</v>
      </c>
      <c r="E7335" s="3" t="str">
        <f ca="1">IF(Tabela2[[#This Row],[Dt Venc:]]&gt;TODAY(),"Em Aberto",IF(Tabela2[[#This Row],[D/venc]]="-","Enviado",IF(Tabela2[[#This Row],[Dt Venc:]]=TODAY(),"Vence Hoje","Vencida")))</f>
        <v>Em Aberto</v>
      </c>
      <c r="F7335" s="3">
        <f ca="1">IF(G7335=1,"-",Tabela2[[#This Row],[Dt Venc:]]-TODAY())</f>
        <v>64</v>
      </c>
      <c r="G7335" s="3"/>
      <c r="H7335" s="3"/>
    </row>
    <row r="7336" spans="1:8">
      <c r="A7336" s="3">
        <v>3291</v>
      </c>
      <c r="B7336" s="7" t="s">
        <v>43</v>
      </c>
      <c r="C7336" s="41">
        <v>600</v>
      </c>
      <c r="D7336" s="6">
        <v>45758</v>
      </c>
      <c r="E7336" s="3" t="str">
        <f ca="1">IF(Tabela2[[#This Row],[Dt Venc:]]&gt;TODAY(),"Em Aberto",IF(Tabela2[[#This Row],[D/venc]]="-","Enviado",IF(Tabela2[[#This Row],[Dt Venc:]]=TODAY(),"Vence Hoje","Vencida")))</f>
        <v>Em Aberto</v>
      </c>
      <c r="F7336" s="3">
        <f ca="1">IF(G7336=1,"-",Tabela2[[#This Row],[Dt Venc:]]-TODAY())</f>
        <v>65</v>
      </c>
      <c r="G7336" s="3"/>
      <c r="H7336" s="3"/>
    </row>
    <row r="7337" spans="1:8">
      <c r="A7337" s="3">
        <v>5192</v>
      </c>
      <c r="B7337" s="7" t="s">
        <v>463</v>
      </c>
      <c r="C7337" s="41">
        <v>2001.3</v>
      </c>
      <c r="D7337" s="6">
        <v>45758</v>
      </c>
      <c r="E7337" s="3" t="str">
        <f ca="1">IF(Tabela2[[#This Row],[Dt Venc:]]&gt;TODAY(),"Em Aberto",IF(Tabela2[[#This Row],[D/venc]]="-","Enviado",IF(Tabela2[[#This Row],[Dt Venc:]]=TODAY(),"Vence Hoje","Vencida")))</f>
        <v>Em Aberto</v>
      </c>
      <c r="F7337" s="3">
        <f ca="1">IF(G7337=1,"-",Tabela2[[#This Row],[Dt Venc:]]-TODAY())</f>
        <v>65</v>
      </c>
      <c r="G7337" s="3"/>
      <c r="H7337" s="3"/>
    </row>
    <row r="7338" spans="1:8">
      <c r="A7338" s="3">
        <v>6229</v>
      </c>
      <c r="B7338" s="7" t="s">
        <v>140</v>
      </c>
      <c r="C7338" s="41">
        <v>2086</v>
      </c>
      <c r="D7338" s="6">
        <v>45758</v>
      </c>
      <c r="E7338" s="3" t="str">
        <f ca="1">IF(Tabela2[[#This Row],[Dt Venc:]]&gt;TODAY(),"Em Aberto",IF(Tabela2[[#This Row],[D/venc]]="-","Enviado",IF(Tabela2[[#This Row],[Dt Venc:]]=TODAY(),"Vence Hoje","Vencida")))</f>
        <v>Em Aberto</v>
      </c>
      <c r="F7338" s="3">
        <f ca="1">IF(G7338=1,"-",Tabela2[[#This Row],[Dt Venc:]]-TODAY())</f>
        <v>65</v>
      </c>
      <c r="G7338" s="3"/>
      <c r="H7338" s="3"/>
    </row>
    <row r="7339" spans="1:8">
      <c r="A7339" s="3">
        <v>23554</v>
      </c>
      <c r="B7339" s="7" t="s">
        <v>632</v>
      </c>
      <c r="C7339" s="41">
        <v>1725</v>
      </c>
      <c r="D7339" s="6">
        <v>45758</v>
      </c>
      <c r="E7339" s="3" t="str">
        <f ca="1">IF(Tabela2[[#This Row],[Dt Venc:]]&gt;TODAY(),"Em Aberto",IF(Tabela2[[#This Row],[D/venc]]="-","Enviado",IF(Tabela2[[#This Row],[Dt Venc:]]=TODAY(),"Vence Hoje","Vencida")))</f>
        <v>Em Aberto</v>
      </c>
      <c r="F7339" s="3">
        <f ca="1">IF(G7339=1,"-",Tabela2[[#This Row],[Dt Venc:]]-TODAY())</f>
        <v>65</v>
      </c>
      <c r="G7339" s="3"/>
      <c r="H7339" s="3"/>
    </row>
    <row r="7340" spans="1:8">
      <c r="A7340" s="3">
        <v>37157</v>
      </c>
      <c r="B7340" s="7" t="s">
        <v>70</v>
      </c>
      <c r="C7340" s="41">
        <v>3194.12</v>
      </c>
      <c r="D7340" s="6">
        <v>45758</v>
      </c>
      <c r="E7340" s="3" t="str">
        <f ca="1">IF(Tabela2[[#This Row],[Dt Venc:]]&gt;TODAY(),"Em Aberto",IF(Tabela2[[#This Row],[D/venc]]="-","Enviado",IF(Tabela2[[#This Row],[Dt Venc:]]=TODAY(),"Vence Hoje","Vencida")))</f>
        <v>Em Aberto</v>
      </c>
      <c r="F7340" s="3">
        <f ca="1">IF(G7340=1,"-",Tabela2[[#This Row],[Dt Venc:]]-TODAY())</f>
        <v>65</v>
      </c>
      <c r="G7340" s="3"/>
      <c r="H7340" s="3"/>
    </row>
    <row r="7341" spans="1:8">
      <c r="A7341" s="3">
        <v>37292</v>
      </c>
      <c r="B7341" s="7" t="s">
        <v>167</v>
      </c>
      <c r="C7341" s="99" t="s">
        <v>32</v>
      </c>
      <c r="D7341" s="6">
        <v>45758</v>
      </c>
      <c r="E7341" s="3" t="str">
        <f ca="1">IF(Tabela2[[#This Row],[Dt Venc:]]&gt;TODAY(),"Em Aberto",IF(Tabela2[[#This Row],[D/venc]]="-","Enviado",IF(Tabela2[[#This Row],[Dt Venc:]]=TODAY(),"Vence Hoje","Vencida")))</f>
        <v>Em Aberto</v>
      </c>
      <c r="F7341" s="3">
        <f ca="1">IF(G7341=1,"-",Tabela2[[#This Row],[Dt Venc:]]-TODAY())</f>
        <v>65</v>
      </c>
      <c r="G7341" s="3"/>
      <c r="H7341" s="3"/>
    </row>
    <row r="7342" spans="1:8">
      <c r="A7342" s="3">
        <v>37327</v>
      </c>
      <c r="B7342" s="7" t="s">
        <v>167</v>
      </c>
      <c r="C7342" s="99" t="s">
        <v>32</v>
      </c>
      <c r="D7342" s="6">
        <v>45758</v>
      </c>
      <c r="E7342" s="3" t="str">
        <f ca="1">IF(Tabela2[[#This Row],[Dt Venc:]]&gt;TODAY(),"Em Aberto",IF(Tabela2[[#This Row],[D/venc]]="-","Enviado",IF(Tabela2[[#This Row],[Dt Venc:]]=TODAY(),"Vence Hoje","Vencida")))</f>
        <v>Em Aberto</v>
      </c>
      <c r="F7342" s="3">
        <f ca="1">IF(G7342=1,"-",Tabela2[[#This Row],[Dt Venc:]]-TODAY())</f>
        <v>65</v>
      </c>
      <c r="G7342" s="3"/>
      <c r="H7342" s="3"/>
    </row>
    <row r="7343" spans="1:8">
      <c r="A7343" s="3">
        <v>179633</v>
      </c>
      <c r="B7343" s="7" t="s">
        <v>211</v>
      </c>
      <c r="C7343" s="41">
        <v>905</v>
      </c>
      <c r="D7343" s="6">
        <v>45758</v>
      </c>
      <c r="E7343" s="3" t="str">
        <f ca="1">IF(Tabela2[[#This Row],[Dt Venc:]]&gt;TODAY(),"Em Aberto",IF(Tabela2[[#This Row],[D/venc]]="-","Enviado",IF(Tabela2[[#This Row],[Dt Venc:]]=TODAY(),"Vence Hoje","Vencida")))</f>
        <v>Em Aberto</v>
      </c>
      <c r="F7343" s="3">
        <f ca="1">IF(G7343=1,"-",Tabela2[[#This Row],[Dt Venc:]]-TODAY())</f>
        <v>65</v>
      </c>
      <c r="G7343" s="3"/>
      <c r="H7343" s="3"/>
    </row>
    <row r="7344" spans="1:8">
      <c r="A7344" s="3">
        <v>185221</v>
      </c>
      <c r="B7344" s="7" t="s">
        <v>84</v>
      </c>
      <c r="C7344" s="41">
        <v>879.82</v>
      </c>
      <c r="D7344" s="6">
        <v>45758</v>
      </c>
      <c r="E7344" s="3" t="str">
        <f ca="1">IF(Tabela2[[#This Row],[Dt Venc:]]&gt;TODAY(),"Em Aberto",IF(Tabela2[[#This Row],[D/venc]]="-","Enviado",IF(Tabela2[[#This Row],[Dt Venc:]]=TODAY(),"Vence Hoje","Vencida")))</f>
        <v>Em Aberto</v>
      </c>
      <c r="F7344" s="3">
        <f ca="1">IF(G7344=1,"-",Tabela2[[#This Row],[Dt Venc:]]-TODAY())</f>
        <v>65</v>
      </c>
      <c r="G7344" s="3"/>
      <c r="H7344" s="3"/>
    </row>
    <row r="7345" spans="1:8">
      <c r="A7345" s="3">
        <v>280547</v>
      </c>
      <c r="B7345" s="7" t="s">
        <v>43</v>
      </c>
      <c r="C7345" s="41">
        <v>3214.44</v>
      </c>
      <c r="D7345" s="6">
        <v>45758</v>
      </c>
      <c r="E7345" s="3" t="str">
        <f ca="1">IF(Tabela2[[#This Row],[Dt Venc:]]&gt;TODAY(),"Em Aberto",IF(Tabela2[[#This Row],[D/venc]]="-","Enviado",IF(Tabela2[[#This Row],[Dt Venc:]]=TODAY(),"Vence Hoje","Vencida")))</f>
        <v>Em Aberto</v>
      </c>
      <c r="F7345" s="3">
        <f ca="1">IF(G7345=1,"-",Tabela2[[#This Row],[Dt Venc:]]-TODAY())</f>
        <v>65</v>
      </c>
      <c r="G7345" s="3"/>
      <c r="H7345" s="3"/>
    </row>
    <row r="7346" spans="1:8">
      <c r="A7346" s="3" t="s">
        <v>110</v>
      </c>
      <c r="B7346" s="7" t="s">
        <v>205</v>
      </c>
      <c r="C7346" s="42" t="s">
        <v>32</v>
      </c>
      <c r="D7346" s="6">
        <v>45758</v>
      </c>
      <c r="E7346" s="3" t="str">
        <f ca="1">IF(Tabela2[[#This Row],[Dt Venc:]]&gt;TODAY(),"Em Aberto",IF(Tabela2[[#This Row],[D/venc]]="-","Enviado",IF(Tabela2[[#This Row],[Dt Venc:]]=TODAY(),"Vence Hoje","Vencida")))</f>
        <v>Em Aberto</v>
      </c>
      <c r="F7346" s="3">
        <f ca="1">IF(G7346=1,"-",Tabela2[[#This Row],[Dt Venc:]]-TODAY())</f>
        <v>65</v>
      </c>
      <c r="G7346" s="3"/>
      <c r="H7346" s="3"/>
    </row>
    <row r="7347" spans="1:8">
      <c r="A7347" s="3">
        <v>2965</v>
      </c>
      <c r="B7347" s="7" t="s">
        <v>58</v>
      </c>
      <c r="C7347" s="41">
        <v>2077</v>
      </c>
      <c r="D7347" s="6">
        <v>45759</v>
      </c>
      <c r="E7347" s="3" t="str">
        <f ca="1">IF(Tabela2[[#This Row],[Dt Venc:]]&gt;TODAY(),"Em Aberto",IF(Tabela2[[#This Row],[D/venc]]="-","Enviado",IF(Tabela2[[#This Row],[Dt Venc:]]=TODAY(),"Vence Hoje","Vencida")))</f>
        <v>Em Aberto</v>
      </c>
      <c r="F7347" s="3">
        <f ca="1">IF(G7347=1,"-",Tabela2[[#This Row],[Dt Venc:]]-TODAY())</f>
        <v>66</v>
      </c>
      <c r="G7347" s="3"/>
      <c r="H7347" s="3"/>
    </row>
    <row r="7348" spans="1:8">
      <c r="A7348" s="3">
        <v>2965</v>
      </c>
      <c r="B7348" s="7" t="s">
        <v>58</v>
      </c>
      <c r="C7348" s="41">
        <v>2077.0700000000002</v>
      </c>
      <c r="D7348" s="6">
        <v>45759</v>
      </c>
      <c r="E7348" s="3" t="str">
        <f ca="1">IF(Tabela2[[#This Row],[Dt Venc:]]&gt;TODAY(),"Em Aberto",IF(Tabela2[[#This Row],[D/venc]]="-","Enviado",IF(Tabela2[[#This Row],[Dt Venc:]]=TODAY(),"Vence Hoje","Vencida")))</f>
        <v>Em Aberto</v>
      </c>
      <c r="F7348" s="3">
        <f ca="1">IF(G7348=1,"-",Tabela2[[#This Row],[Dt Venc:]]-TODAY())</f>
        <v>66</v>
      </c>
      <c r="G7348" s="3"/>
      <c r="H7348" s="3"/>
    </row>
    <row r="7349" spans="1:8">
      <c r="A7349" s="3">
        <v>6272</v>
      </c>
      <c r="B7349" s="7" t="s">
        <v>47</v>
      </c>
      <c r="C7349" s="41">
        <v>2149.75</v>
      </c>
      <c r="D7349" s="6">
        <v>45759</v>
      </c>
      <c r="E7349" s="3" t="str">
        <f ca="1">IF(Tabela2[[#This Row],[Dt Venc:]]&gt;TODAY(),"Em Aberto",IF(Tabela2[[#This Row],[D/venc]]="-","Enviado",IF(Tabela2[[#This Row],[Dt Venc:]]=TODAY(),"Vence Hoje","Vencida")))</f>
        <v>Em Aberto</v>
      </c>
      <c r="F7349" s="3">
        <f ca="1">IF(G7349=1,"-",Tabela2[[#This Row],[Dt Venc:]]-TODAY())</f>
        <v>66</v>
      </c>
      <c r="G7349" s="3"/>
      <c r="H7349" s="3"/>
    </row>
    <row r="7350" spans="1:8">
      <c r="A7350" s="3">
        <v>143193</v>
      </c>
      <c r="B7350" s="7" t="s">
        <v>516</v>
      </c>
      <c r="C7350" s="41">
        <v>517.86</v>
      </c>
      <c r="D7350" s="6">
        <v>45759</v>
      </c>
      <c r="E7350" s="3" t="str">
        <f ca="1">IF(Tabela2[[#This Row],[Dt Venc:]]&gt;TODAY(),"Em Aberto",IF(Tabela2[[#This Row],[D/venc]]="-","Enviado",IF(Tabela2[[#This Row],[Dt Venc:]]=TODAY(),"Vence Hoje","Vencida")))</f>
        <v>Em Aberto</v>
      </c>
      <c r="F7350" s="3">
        <f ca="1">IF(G7350=1,"-",Tabela2[[#This Row],[Dt Venc:]]-TODAY())</f>
        <v>66</v>
      </c>
      <c r="G7350" s="3"/>
      <c r="H7350" s="3"/>
    </row>
    <row r="7351" spans="1:8">
      <c r="A7351" s="3">
        <v>6237</v>
      </c>
      <c r="B7351" s="7" t="s">
        <v>314</v>
      </c>
      <c r="C7351" s="41">
        <v>566.66999999999996</v>
      </c>
      <c r="D7351" s="6">
        <v>45760</v>
      </c>
      <c r="E7351" s="3" t="str">
        <f ca="1">IF(Tabela2[[#This Row],[Dt Venc:]]&gt;TODAY(),"Em Aberto",IF(Tabela2[[#This Row],[D/venc]]="-","Enviado",IF(Tabela2[[#This Row],[Dt Venc:]]=TODAY(),"Vence Hoje","Vencida")))</f>
        <v>Em Aberto</v>
      </c>
      <c r="F7351" s="3">
        <f ca="1">IF(G7351=1,"-",Tabela2[[#This Row],[Dt Venc:]]-TODAY())</f>
        <v>67</v>
      </c>
      <c r="G7351" s="3"/>
      <c r="H7351" s="3"/>
    </row>
    <row r="7352" spans="1:8">
      <c r="A7352" s="3">
        <v>148207</v>
      </c>
      <c r="B7352" s="7" t="s">
        <v>127</v>
      </c>
      <c r="C7352" s="41">
        <v>602</v>
      </c>
      <c r="D7352" s="6">
        <v>45760</v>
      </c>
      <c r="E7352" s="3" t="str">
        <f ca="1">IF(Tabela2[[#This Row],[Dt Venc:]]&gt;TODAY(),"Em Aberto",IF(Tabela2[[#This Row],[D/venc]]="-","Enviado",IF(Tabela2[[#This Row],[Dt Venc:]]=TODAY(),"Vence Hoje","Vencida")))</f>
        <v>Em Aberto</v>
      </c>
      <c r="F7352" s="3">
        <f ca="1">IF(G7352=1,"-",Tabela2[[#This Row],[Dt Venc:]]-TODAY())</f>
        <v>67</v>
      </c>
      <c r="G7352" s="3"/>
      <c r="H7352" s="3"/>
    </row>
    <row r="7353" spans="1:8">
      <c r="A7353" s="3">
        <v>148208</v>
      </c>
      <c r="B7353" s="7" t="s">
        <v>127</v>
      </c>
      <c r="C7353" s="41">
        <v>602</v>
      </c>
      <c r="D7353" s="6">
        <v>45760</v>
      </c>
      <c r="E7353" s="3" t="str">
        <f ca="1">IF(Tabela2[[#This Row],[Dt Venc:]]&gt;TODAY(),"Em Aberto",IF(Tabela2[[#This Row],[D/venc]]="-","Enviado",IF(Tabela2[[#This Row],[Dt Venc:]]=TODAY(),"Vence Hoje","Vencida")))</f>
        <v>Em Aberto</v>
      </c>
      <c r="F7353" s="3">
        <f ca="1">IF(G7353=1,"-",Tabela2[[#This Row],[Dt Venc:]]-TODAY())</f>
        <v>67</v>
      </c>
      <c r="G7353" s="3"/>
      <c r="H7353" s="3"/>
    </row>
    <row r="7354" spans="1:8">
      <c r="A7354" s="3">
        <v>278385</v>
      </c>
      <c r="B7354" s="7" t="s">
        <v>36</v>
      </c>
      <c r="C7354" s="41">
        <v>603.46</v>
      </c>
      <c r="D7354" s="6">
        <v>45760</v>
      </c>
      <c r="E7354" s="3" t="str">
        <f ca="1">IF(Tabela2[[#This Row],[Dt Venc:]]&gt;TODAY(),"Em Aberto",IF(Tabela2[[#This Row],[D/venc]]="-","Enviado",IF(Tabela2[[#This Row],[Dt Venc:]]=TODAY(),"Vence Hoje","Vencida")))</f>
        <v>Em Aberto</v>
      </c>
      <c r="F7354" s="3">
        <f ca="1">IF(G7354=1,"-",Tabela2[[#This Row],[Dt Venc:]]-TODAY())</f>
        <v>67</v>
      </c>
      <c r="G7354" s="3"/>
      <c r="H7354" s="3"/>
    </row>
    <row r="7355" spans="1:8">
      <c r="A7355" s="3">
        <v>443157</v>
      </c>
      <c r="B7355" s="7" t="s">
        <v>601</v>
      </c>
      <c r="C7355" s="41">
        <v>2849</v>
      </c>
      <c r="D7355" s="6">
        <v>45760</v>
      </c>
      <c r="E7355" s="3" t="str">
        <f ca="1">IF(Tabela2[[#This Row],[Dt Venc:]]&gt;TODAY(),"Em Aberto",IF(Tabela2[[#This Row],[D/venc]]="-","Enviado",IF(Tabela2[[#This Row],[Dt Venc:]]=TODAY(),"Vence Hoje","Vencida")))</f>
        <v>Em Aberto</v>
      </c>
      <c r="F7355" s="3">
        <f ca="1">IF(G7355=1,"-",Tabela2[[#This Row],[Dt Venc:]]-TODAY())</f>
        <v>67</v>
      </c>
      <c r="G7355" s="3"/>
      <c r="H7355" s="3"/>
    </row>
    <row r="7356" spans="1:8">
      <c r="A7356" s="3">
        <v>764562</v>
      </c>
      <c r="B7356" s="7" t="s">
        <v>127</v>
      </c>
      <c r="C7356" s="41">
        <v>543.01</v>
      </c>
      <c r="D7356" s="6">
        <v>45760</v>
      </c>
      <c r="E7356" s="3" t="str">
        <f ca="1">IF(Tabela2[[#This Row],[Dt Venc:]]&gt;TODAY(),"Em Aberto",IF(Tabela2[[#This Row],[D/venc]]="-","Enviado",IF(Tabela2[[#This Row],[Dt Venc:]]=TODAY(),"Vence Hoje","Vencida")))</f>
        <v>Em Aberto</v>
      </c>
      <c r="F7356" s="3">
        <f ca="1">IF(G7356=1,"-",Tabela2[[#This Row],[Dt Venc:]]-TODAY())</f>
        <v>67</v>
      </c>
      <c r="G7356" s="3"/>
      <c r="H7356" s="3"/>
    </row>
    <row r="7357" spans="1:8">
      <c r="A7357" s="3">
        <v>764562</v>
      </c>
      <c r="B7357" s="7" t="s">
        <v>127</v>
      </c>
      <c r="C7357" s="41">
        <v>543.01</v>
      </c>
      <c r="D7357" s="6">
        <v>45760</v>
      </c>
      <c r="E7357" s="3" t="str">
        <f ca="1">IF(Tabela2[[#This Row],[Dt Venc:]]&gt;TODAY(),"Em Aberto",IF(Tabela2[[#This Row],[D/venc]]="-","Enviado",IF(Tabela2[[#This Row],[Dt Venc:]]=TODAY(),"Vence Hoje","Vencida")))</f>
        <v>Em Aberto</v>
      </c>
      <c r="F7357" s="3">
        <f ca="1">IF(G7357=1,"-",Tabela2[[#This Row],[Dt Venc:]]-TODAY())</f>
        <v>67</v>
      </c>
      <c r="G7357" s="3"/>
      <c r="H7357" s="3"/>
    </row>
    <row r="7358" spans="1:8">
      <c r="A7358" s="3">
        <v>764565</v>
      </c>
      <c r="B7358" s="7" t="s">
        <v>127</v>
      </c>
      <c r="C7358" s="41">
        <v>543.01</v>
      </c>
      <c r="D7358" s="6">
        <v>45760</v>
      </c>
      <c r="E7358" s="3" t="str">
        <f ca="1">IF(Tabela2[[#This Row],[Dt Venc:]]&gt;TODAY(),"Em Aberto",IF(Tabela2[[#This Row],[D/venc]]="-","Enviado",IF(Tabela2[[#This Row],[Dt Venc:]]=TODAY(),"Vence Hoje","Vencida")))</f>
        <v>Em Aberto</v>
      </c>
      <c r="F7358" s="3">
        <f ca="1">IF(G7358=1,"-",Tabela2[[#This Row],[Dt Venc:]]-TODAY())</f>
        <v>67</v>
      </c>
      <c r="G7358" s="3"/>
      <c r="H7358" s="3"/>
    </row>
    <row r="7359" spans="1:8">
      <c r="A7359" s="3">
        <v>764565</v>
      </c>
      <c r="B7359" s="7" t="s">
        <v>127</v>
      </c>
      <c r="C7359" s="41">
        <v>543.01</v>
      </c>
      <c r="D7359" s="6">
        <v>45760</v>
      </c>
      <c r="E7359" s="3" t="str">
        <f ca="1">IF(Tabela2[[#This Row],[Dt Venc:]]&gt;TODAY(),"Em Aberto",IF(Tabela2[[#This Row],[D/venc]]="-","Enviado",IF(Tabela2[[#This Row],[Dt Venc:]]=TODAY(),"Vence Hoje","Vencida")))</f>
        <v>Em Aberto</v>
      </c>
      <c r="F7359" s="3">
        <f ca="1">IF(G7359=1,"-",Tabela2[[#This Row],[Dt Venc:]]-TODAY())</f>
        <v>67</v>
      </c>
      <c r="G7359" s="3"/>
      <c r="H7359" s="3"/>
    </row>
    <row r="7360" spans="1:8">
      <c r="A7360" s="3">
        <v>4718276</v>
      </c>
      <c r="B7360" s="7" t="s">
        <v>694</v>
      </c>
      <c r="C7360" s="41">
        <v>1190.3900000000001</v>
      </c>
      <c r="D7360" s="6">
        <v>45760</v>
      </c>
      <c r="E7360" s="3" t="str">
        <f ca="1">IF(Tabela2[[#This Row],[Dt Venc:]]&gt;TODAY(),"Em Aberto",IF(Tabela2[[#This Row],[D/venc]]="-","Enviado",IF(Tabela2[[#This Row],[Dt Venc:]]=TODAY(),"Vence Hoje","Vencida")))</f>
        <v>Em Aberto</v>
      </c>
      <c r="F7360" s="3">
        <f ca="1">IF(G7360=1,"-",Tabela2[[#This Row],[Dt Venc:]]-TODAY())</f>
        <v>67</v>
      </c>
      <c r="G7360" s="3"/>
      <c r="H7360" s="3"/>
    </row>
    <row r="7361" spans="1:8">
      <c r="A7361" s="3">
        <v>6243</v>
      </c>
      <c r="B7361" s="7" t="s">
        <v>140</v>
      </c>
      <c r="C7361" s="41">
        <v>1423.33</v>
      </c>
      <c r="D7361" s="6">
        <v>45761</v>
      </c>
      <c r="E7361" s="3" t="str">
        <f ca="1">IF(Tabela2[[#This Row],[Dt Venc:]]&gt;TODAY(),"Em Aberto",IF(Tabela2[[#This Row],[D/venc]]="-","Enviado",IF(Tabela2[[#This Row],[Dt Venc:]]=TODAY(),"Vence Hoje","Vencida")))</f>
        <v>Em Aberto</v>
      </c>
      <c r="F7361" s="3">
        <f ca="1">IF(G7361=1,"-",Tabela2[[#This Row],[Dt Venc:]]-TODAY())</f>
        <v>68</v>
      </c>
      <c r="G7361" s="3"/>
      <c r="H7361" s="3"/>
    </row>
    <row r="7362" spans="1:8">
      <c r="A7362" s="3">
        <v>11327</v>
      </c>
      <c r="B7362" s="7" t="s">
        <v>33</v>
      </c>
      <c r="C7362" s="41">
        <v>1783.34</v>
      </c>
      <c r="D7362" s="6">
        <v>45761</v>
      </c>
      <c r="E7362" s="3" t="str">
        <f ca="1">IF(Tabela2[[#This Row],[Dt Venc:]]&gt;TODAY(),"Em Aberto",IF(Tabela2[[#This Row],[D/venc]]="-","Enviado",IF(Tabela2[[#This Row],[Dt Venc:]]=TODAY(),"Vence Hoje","Vencida")))</f>
        <v>Em Aberto</v>
      </c>
      <c r="F7362" s="3">
        <f ca="1">IF(G7362=1,"-",Tabela2[[#This Row],[Dt Venc:]]-TODAY())</f>
        <v>68</v>
      </c>
      <c r="G7362" s="3"/>
      <c r="H7362" s="3"/>
    </row>
    <row r="7363" spans="1:8">
      <c r="A7363" s="3">
        <v>15422</v>
      </c>
      <c r="B7363" s="7" t="s">
        <v>44</v>
      </c>
      <c r="C7363" s="41">
        <v>850</v>
      </c>
      <c r="D7363" s="6">
        <v>45761</v>
      </c>
      <c r="E7363" s="3" t="str">
        <f ca="1">IF(Tabela2[[#This Row],[Dt Venc:]]&gt;TODAY(),"Em Aberto",IF(Tabela2[[#This Row],[D/venc]]="-","Enviado",IF(Tabela2[[#This Row],[Dt Venc:]]=TODAY(),"Vence Hoje","Vencida")))</f>
        <v>Em Aberto</v>
      </c>
      <c r="F7363" s="3">
        <f ca="1">IF(G7363=1,"-",Tabela2[[#This Row],[Dt Venc:]]-TODAY())</f>
        <v>68</v>
      </c>
      <c r="G7363" s="3"/>
      <c r="H7363" s="3"/>
    </row>
    <row r="7364" spans="1:8">
      <c r="A7364" s="3">
        <v>54971</v>
      </c>
      <c r="B7364" s="7" t="s">
        <v>35</v>
      </c>
      <c r="C7364" s="41">
        <v>567.08000000000004</v>
      </c>
      <c r="D7364" s="6">
        <v>45761</v>
      </c>
      <c r="E7364" s="3" t="str">
        <f ca="1">IF(Tabela2[[#This Row],[Dt Venc:]]&gt;TODAY(),"Em Aberto",IF(Tabela2[[#This Row],[D/venc]]="-","Enviado",IF(Tabela2[[#This Row],[Dt Venc:]]=TODAY(),"Vence Hoje","Vencida")))</f>
        <v>Em Aberto</v>
      </c>
      <c r="F7364" s="3">
        <f ca="1">IF(G7364=1,"-",Tabela2[[#This Row],[Dt Venc:]]-TODAY())</f>
        <v>68</v>
      </c>
      <c r="G7364" s="3"/>
      <c r="H7364" s="3"/>
    </row>
    <row r="7365" spans="1:8">
      <c r="A7365" s="3">
        <v>111736</v>
      </c>
      <c r="B7365" s="7" t="s">
        <v>182</v>
      </c>
      <c r="C7365" s="87" t="s">
        <v>32</v>
      </c>
      <c r="D7365" s="6">
        <v>45761</v>
      </c>
      <c r="E7365" s="3" t="str">
        <f ca="1">IF(Tabela2[[#This Row],[Dt Venc:]]&gt;TODAY(),"Em Aberto",IF(Tabela2[[#This Row],[D/venc]]="-","Enviado",IF(Tabela2[[#This Row],[Dt Venc:]]=TODAY(),"Vence Hoje","Vencida")))</f>
        <v>Em Aberto</v>
      </c>
      <c r="F7365" s="3">
        <f ca="1">IF(G7365=1,"-",Tabela2[[#This Row],[Dt Venc:]]-TODAY())</f>
        <v>68</v>
      </c>
      <c r="G7365" s="3"/>
      <c r="H7365" s="3"/>
    </row>
    <row r="7366" spans="1:8">
      <c r="A7366" s="3">
        <v>229034</v>
      </c>
      <c r="B7366" s="7" t="s">
        <v>127</v>
      </c>
      <c r="C7366" s="41">
        <v>591.16</v>
      </c>
      <c r="D7366" s="6">
        <v>45761</v>
      </c>
      <c r="E7366" s="3" t="str">
        <f ca="1">IF(Tabela2[[#This Row],[Dt Venc:]]&gt;TODAY(),"Em Aberto",IF(Tabela2[[#This Row],[D/venc]]="-","Enviado",IF(Tabela2[[#This Row],[Dt Venc:]]=TODAY(),"Vence Hoje","Vencida")))</f>
        <v>Em Aberto</v>
      </c>
      <c r="F7366" s="3">
        <f ca="1">IF(G7366=1,"-",Tabela2[[#This Row],[Dt Venc:]]-TODAY())</f>
        <v>68</v>
      </c>
      <c r="G7366" s="3"/>
      <c r="H7366" s="3"/>
    </row>
    <row r="7367" spans="1:8">
      <c r="A7367" s="3">
        <v>238253</v>
      </c>
      <c r="B7367" s="7" t="s">
        <v>40</v>
      </c>
      <c r="C7367" s="41">
        <v>980</v>
      </c>
      <c r="D7367" s="6">
        <v>45761</v>
      </c>
      <c r="E7367" s="3" t="str">
        <f ca="1">IF(Tabela2[[#This Row],[Dt Venc:]]&gt;TODAY(),"Em Aberto",IF(Tabela2[[#This Row],[D/venc]]="-","Enviado",IF(Tabela2[[#This Row],[Dt Venc:]]=TODAY(),"Vence Hoje","Vencida")))</f>
        <v>Em Aberto</v>
      </c>
      <c r="F7367" s="3">
        <f ca="1">IF(G7367=1,"-",Tabela2[[#This Row],[Dt Venc:]]-TODAY())</f>
        <v>68</v>
      </c>
      <c r="G7367" s="3"/>
      <c r="H7367" s="3"/>
    </row>
    <row r="7368" spans="1:8">
      <c r="A7368" s="3">
        <v>238405</v>
      </c>
      <c r="B7368" s="7" t="s">
        <v>40</v>
      </c>
      <c r="C7368" s="41">
        <v>740</v>
      </c>
      <c r="D7368" s="6">
        <v>45761</v>
      </c>
      <c r="E7368" s="3" t="str">
        <f ca="1">IF(Tabela2[[#This Row],[Dt Venc:]]&gt;TODAY(),"Em Aberto",IF(Tabela2[[#This Row],[D/venc]]="-","Enviado",IF(Tabela2[[#This Row],[Dt Venc:]]=TODAY(),"Vence Hoje","Vencida")))</f>
        <v>Em Aberto</v>
      </c>
      <c r="F7368" s="3">
        <f ca="1">IF(G7368=1,"-",Tabela2[[#This Row],[Dt Venc:]]-TODAY())</f>
        <v>68</v>
      </c>
      <c r="G7368" s="3"/>
      <c r="H7368" s="3"/>
    </row>
    <row r="7369" spans="1:8">
      <c r="A7369" s="3">
        <v>238406</v>
      </c>
      <c r="B7369" s="7" t="s">
        <v>40</v>
      </c>
      <c r="C7369" s="41">
        <v>493.34</v>
      </c>
      <c r="D7369" s="6">
        <v>45761</v>
      </c>
      <c r="E7369" s="3" t="str">
        <f ca="1">IF(Tabela2[[#This Row],[Dt Venc:]]&gt;TODAY(),"Em Aberto",IF(Tabela2[[#This Row],[D/venc]]="-","Enviado",IF(Tabela2[[#This Row],[Dt Venc:]]=TODAY(),"Vence Hoje","Vencida")))</f>
        <v>Em Aberto</v>
      </c>
      <c r="F7369" s="3">
        <f ca="1">IF(G7369=1,"-",Tabela2[[#This Row],[Dt Venc:]]-TODAY())</f>
        <v>68</v>
      </c>
      <c r="G7369" s="3"/>
      <c r="H7369" s="3"/>
    </row>
    <row r="7370" spans="1:8">
      <c r="A7370" s="3">
        <v>400755</v>
      </c>
      <c r="B7370" s="7" t="s">
        <v>596</v>
      </c>
      <c r="C7370" s="41">
        <v>4067.07</v>
      </c>
      <c r="D7370" s="6">
        <v>45761</v>
      </c>
      <c r="E7370" s="3" t="str">
        <f ca="1">IF(Tabela2[[#This Row],[Dt Venc:]]&gt;TODAY(),"Em Aberto",IF(Tabela2[[#This Row],[D/venc]]="-","Enviado",IF(Tabela2[[#This Row],[Dt Venc:]]=TODAY(),"Vence Hoje","Vencida")))</f>
        <v>Em Aberto</v>
      </c>
      <c r="F7370" s="3">
        <f ca="1">IF(G7370=1,"-",Tabela2[[#This Row],[Dt Venc:]]-TODAY())</f>
        <v>68</v>
      </c>
      <c r="G7370" s="3"/>
      <c r="H7370" s="3"/>
    </row>
    <row r="7371" spans="1:8">
      <c r="A7371" s="3">
        <v>75056</v>
      </c>
      <c r="B7371" s="7" t="s">
        <v>76</v>
      </c>
      <c r="C7371" s="41">
        <v>1943.19</v>
      </c>
      <c r="D7371" s="6">
        <v>45761</v>
      </c>
      <c r="E7371" s="3" t="str">
        <f ca="1">IF(Tabela2[[#This Row],[Dt Venc:]]&gt;TODAY(),"Em Aberto",IF(Tabela2[[#This Row],[D/venc]]="-","Enviado",IF(Tabela2[[#This Row],[Dt Venc:]]=TODAY(),"Vence Hoje","Vencida")))</f>
        <v>Em Aberto</v>
      </c>
      <c r="F7371" s="3">
        <f ca="1">IF(G7371=1,"-",Tabela2[[#This Row],[Dt Venc:]]-TODAY())</f>
        <v>68</v>
      </c>
      <c r="G7371" s="3"/>
      <c r="H7371" s="3"/>
    </row>
    <row r="7372" spans="1:8">
      <c r="A7372" s="3">
        <v>59</v>
      </c>
      <c r="B7372" s="7" t="s">
        <v>173</v>
      </c>
      <c r="C7372" s="41">
        <v>1483.34</v>
      </c>
      <c r="D7372" s="6">
        <v>45762</v>
      </c>
      <c r="E7372" s="3" t="str">
        <f ca="1">IF(Tabela2[[#This Row],[Dt Venc:]]&gt;TODAY(),"Em Aberto",IF(Tabela2[[#This Row],[D/venc]]="-","Enviado",IF(Tabela2[[#This Row],[Dt Venc:]]=TODAY(),"Vence Hoje","Vencida")))</f>
        <v>Em Aberto</v>
      </c>
      <c r="F7372" s="3">
        <f ca="1">IF(G7372=1,"-",Tabela2[[#This Row],[Dt Venc:]]-TODAY())</f>
        <v>69</v>
      </c>
      <c r="G7372" s="3"/>
      <c r="H7372" s="3"/>
    </row>
    <row r="7373" spans="1:8">
      <c r="A7373" s="3">
        <v>562</v>
      </c>
      <c r="B7373" s="7" t="s">
        <v>251</v>
      </c>
      <c r="C7373" s="99" t="s">
        <v>32</v>
      </c>
      <c r="D7373" s="6">
        <v>45762</v>
      </c>
      <c r="E7373" s="3" t="str">
        <f ca="1">IF(Tabela2[[#This Row],[Dt Venc:]]&gt;TODAY(),"Em Aberto",IF(Tabela2[[#This Row],[D/venc]]="-","Enviado",IF(Tabela2[[#This Row],[Dt Venc:]]=TODAY(),"Vence Hoje","Vencida")))</f>
        <v>Em Aberto</v>
      </c>
      <c r="F7373" s="3">
        <f ca="1">IF(G7373=1,"-",Tabela2[[#This Row],[Dt Venc:]]-TODAY())</f>
        <v>69</v>
      </c>
      <c r="G7373" s="3"/>
      <c r="H7373" s="3"/>
    </row>
    <row r="7374" spans="1:8">
      <c r="A7374" s="3">
        <v>1748</v>
      </c>
      <c r="B7374" s="7" t="s">
        <v>258</v>
      </c>
      <c r="C7374" s="41">
        <v>200</v>
      </c>
      <c r="D7374" s="6">
        <v>45762</v>
      </c>
      <c r="E7374" s="3" t="str">
        <f ca="1">IF(Tabela2[[#This Row],[Dt Venc:]]&gt;TODAY(),"Em Aberto",IF(Tabela2[[#This Row],[D/venc]]="-","Enviado",IF(Tabela2[[#This Row],[Dt Venc:]]=TODAY(),"Vence Hoje","Vencida")))</f>
        <v>Em Aberto</v>
      </c>
      <c r="F7374" s="3">
        <f ca="1">IF(G7374=1,"-",Tabela2[[#This Row],[Dt Venc:]]-TODAY())</f>
        <v>69</v>
      </c>
      <c r="G7374" s="3"/>
      <c r="H7374" s="3"/>
    </row>
    <row r="7375" spans="1:8">
      <c r="A7375" s="3">
        <v>6376</v>
      </c>
      <c r="B7375" s="7" t="s">
        <v>47</v>
      </c>
      <c r="C7375" s="41">
        <v>2895.74</v>
      </c>
      <c r="D7375" s="6">
        <v>45762</v>
      </c>
      <c r="E7375" s="3" t="str">
        <f ca="1">IF(Tabela2[[#This Row],[Dt Venc:]]&gt;TODAY(),"Em Aberto",IF(Tabela2[[#This Row],[D/venc]]="-","Enviado",IF(Tabela2[[#This Row],[Dt Venc:]]=TODAY(),"Vence Hoje","Vencida")))</f>
        <v>Em Aberto</v>
      </c>
      <c r="F7375" s="3">
        <f ca="1">IF(G7375=1,"-",Tabela2[[#This Row],[Dt Venc:]]-TODAY())</f>
        <v>69</v>
      </c>
      <c r="G7375" s="3"/>
      <c r="H7375" s="3"/>
    </row>
    <row r="7376" spans="1:8">
      <c r="A7376" s="3">
        <v>13028</v>
      </c>
      <c r="B7376" s="7" t="s">
        <v>72</v>
      </c>
      <c r="C7376" s="41">
        <v>1071.3399999999999</v>
      </c>
      <c r="D7376" s="6">
        <v>45762</v>
      </c>
      <c r="E7376" s="3" t="str">
        <f ca="1">IF(Tabela2[[#This Row],[Dt Venc:]]&gt;TODAY(),"Em Aberto",IF(Tabela2[[#This Row],[D/venc]]="-","Enviado",IF(Tabela2[[#This Row],[Dt Venc:]]=TODAY(),"Vence Hoje","Vencida")))</f>
        <v>Em Aberto</v>
      </c>
      <c r="F7376" s="3">
        <f ca="1">IF(G7376=1,"-",Tabela2[[#This Row],[Dt Venc:]]-TODAY())</f>
        <v>69</v>
      </c>
      <c r="G7376" s="3"/>
      <c r="H7376" s="3"/>
    </row>
    <row r="7377" spans="1:8">
      <c r="A7377" s="3">
        <v>31136</v>
      </c>
      <c r="B7377" s="7" t="s">
        <v>97</v>
      </c>
      <c r="C7377" s="41">
        <v>1370</v>
      </c>
      <c r="D7377" s="6">
        <v>45762</v>
      </c>
      <c r="E7377" s="3" t="str">
        <f ca="1">IF(Tabela2[[#This Row],[Dt Venc:]]&gt;TODAY(),"Em Aberto",IF(Tabela2[[#This Row],[D/venc]]="-","Enviado",IF(Tabela2[[#This Row],[Dt Venc:]]=TODAY(),"Vence Hoje","Vencida")))</f>
        <v>Em Aberto</v>
      </c>
      <c r="F7377" s="3">
        <f ca="1">IF(G7377=1,"-",Tabela2[[#This Row],[Dt Venc:]]-TODAY())</f>
        <v>69</v>
      </c>
      <c r="G7377" s="3"/>
      <c r="H7377" s="3"/>
    </row>
    <row r="7378" spans="1:8">
      <c r="A7378" s="3">
        <v>31250</v>
      </c>
      <c r="B7378" s="7" t="s">
        <v>97</v>
      </c>
      <c r="C7378" s="41">
        <v>2170</v>
      </c>
      <c r="D7378" s="6">
        <v>45762</v>
      </c>
      <c r="E7378" s="3" t="str">
        <f ca="1">IF(Tabela2[[#This Row],[Dt Venc:]]&gt;TODAY(),"Em Aberto",IF(Tabela2[[#This Row],[D/venc]]="-","Enviado",IF(Tabela2[[#This Row],[Dt Venc:]]=TODAY(),"Vence Hoje","Vencida")))</f>
        <v>Em Aberto</v>
      </c>
      <c r="F7378" s="3">
        <f ca="1">IF(G7378=1,"-",Tabela2[[#This Row],[Dt Venc:]]-TODAY())</f>
        <v>69</v>
      </c>
      <c r="G7378" s="3"/>
      <c r="H7378" s="3"/>
    </row>
    <row r="7379" spans="1:8">
      <c r="A7379" s="3">
        <v>31298</v>
      </c>
      <c r="B7379" s="7" t="s">
        <v>97</v>
      </c>
      <c r="C7379" s="41">
        <v>2285</v>
      </c>
      <c r="D7379" s="6">
        <v>45762</v>
      </c>
      <c r="E7379" s="3" t="str">
        <f ca="1">IF(Tabela2[[#This Row],[Dt Venc:]]&gt;TODAY(),"Em Aberto",IF(Tabela2[[#This Row],[D/venc]]="-","Enviado",IF(Tabela2[[#This Row],[Dt Venc:]]=TODAY(),"Vence Hoje","Vencida")))</f>
        <v>Em Aberto</v>
      </c>
      <c r="F7379" s="3">
        <f ca="1">IF(G7379=1,"-",Tabela2[[#This Row],[Dt Venc:]]-TODAY())</f>
        <v>69</v>
      </c>
      <c r="G7379" s="3"/>
      <c r="H7379" s="3"/>
    </row>
    <row r="7380" spans="1:8">
      <c r="A7380" s="3">
        <v>36846</v>
      </c>
      <c r="B7380" s="7" t="s">
        <v>167</v>
      </c>
      <c r="C7380" s="99" t="s">
        <v>32</v>
      </c>
      <c r="D7380" s="6">
        <v>45762</v>
      </c>
      <c r="E7380" s="3" t="str">
        <f ca="1">IF(Tabela2[[#This Row],[Dt Venc:]]&gt;TODAY(),"Em Aberto",IF(Tabela2[[#This Row],[D/venc]]="-","Enviado",IF(Tabela2[[#This Row],[Dt Venc:]]=TODAY(),"Vence Hoje","Vencida")))</f>
        <v>Em Aberto</v>
      </c>
      <c r="F7380" s="3">
        <f ca="1">IF(G7380=1,"-",Tabela2[[#This Row],[Dt Venc:]]-TODAY())</f>
        <v>69</v>
      </c>
      <c r="G7380" s="3"/>
      <c r="H7380" s="3"/>
    </row>
    <row r="7381" spans="1:8">
      <c r="A7381" s="3">
        <v>52981</v>
      </c>
      <c r="B7381" s="7" t="s">
        <v>197</v>
      </c>
      <c r="C7381" s="41">
        <v>709.34</v>
      </c>
      <c r="D7381" s="6">
        <v>45762</v>
      </c>
      <c r="E7381" s="3" t="str">
        <f ca="1">IF(Tabela2[[#This Row],[Dt Venc:]]&gt;TODAY(),"Em Aberto",IF(Tabela2[[#This Row],[D/venc]]="-","Enviado",IF(Tabela2[[#This Row],[Dt Venc:]]=TODAY(),"Vence Hoje","Vencida")))</f>
        <v>Em Aberto</v>
      </c>
      <c r="F7381" s="3">
        <f ca="1">IF(G7381=1,"-",Tabela2[[#This Row],[Dt Venc:]]-TODAY())</f>
        <v>69</v>
      </c>
      <c r="G7381" s="3"/>
      <c r="H7381" s="3"/>
    </row>
    <row r="7382" spans="1:8">
      <c r="A7382" s="3">
        <v>75103</v>
      </c>
      <c r="B7382" s="7" t="s">
        <v>76</v>
      </c>
      <c r="C7382" s="41">
        <v>1728.17</v>
      </c>
      <c r="D7382" s="6">
        <v>45762</v>
      </c>
      <c r="E7382" s="3" t="str">
        <f ca="1">IF(Tabela2[[#This Row],[Dt Venc:]]&gt;TODAY(),"Em Aberto",IF(Tabela2[[#This Row],[D/venc]]="-","Enviado",IF(Tabela2[[#This Row],[Dt Venc:]]=TODAY(),"Vence Hoje","Vencida")))</f>
        <v>Em Aberto</v>
      </c>
      <c r="F7382" s="3">
        <f ca="1">IF(G7382=1,"-",Tabela2[[#This Row],[Dt Venc:]]-TODAY())</f>
        <v>69</v>
      </c>
      <c r="G7382" s="3"/>
      <c r="H7382" s="3"/>
    </row>
    <row r="7383" spans="1:8">
      <c r="A7383" s="3">
        <v>103015</v>
      </c>
      <c r="B7383" s="7" t="s">
        <v>252</v>
      </c>
      <c r="C7383" s="99" t="s">
        <v>32</v>
      </c>
      <c r="D7383" s="6">
        <v>45762</v>
      </c>
      <c r="E7383" s="3" t="str">
        <f ca="1">IF(Tabela2[[#This Row],[Dt Venc:]]&gt;TODAY(),"Em Aberto",IF(Tabela2[[#This Row],[D/venc]]="-","Enviado",IF(Tabela2[[#This Row],[Dt Venc:]]=TODAY(),"Vence Hoje","Vencida")))</f>
        <v>Em Aberto</v>
      </c>
      <c r="F7383" s="3">
        <f ca="1">IF(G7383=1,"-",Tabela2[[#This Row],[Dt Venc:]]-TODAY())</f>
        <v>69</v>
      </c>
      <c r="G7383" s="3"/>
      <c r="H7383" s="3"/>
    </row>
    <row r="7384" spans="1:8">
      <c r="A7384" s="3">
        <v>103077</v>
      </c>
      <c r="B7384" s="7" t="s">
        <v>252</v>
      </c>
      <c r="C7384" s="99" t="s">
        <v>32</v>
      </c>
      <c r="D7384" s="6">
        <v>45762</v>
      </c>
      <c r="E7384" s="3" t="str">
        <f ca="1">IF(Tabela2[[#This Row],[Dt Venc:]]&gt;TODAY(),"Em Aberto",IF(Tabela2[[#This Row],[D/venc]]="-","Enviado",IF(Tabela2[[#This Row],[Dt Venc:]]=TODAY(),"Vence Hoje","Vencida")))</f>
        <v>Em Aberto</v>
      </c>
      <c r="F7384" s="3">
        <f ca="1">IF(G7384=1,"-",Tabela2[[#This Row],[Dt Venc:]]-TODAY())</f>
        <v>69</v>
      </c>
      <c r="G7384" s="3"/>
      <c r="H7384" s="3"/>
    </row>
    <row r="7385" spans="1:8">
      <c r="A7385" s="3">
        <v>103153</v>
      </c>
      <c r="B7385" s="7" t="s">
        <v>252</v>
      </c>
      <c r="C7385" s="85" t="s">
        <v>32</v>
      </c>
      <c r="D7385" s="6">
        <v>45762</v>
      </c>
      <c r="E7385" s="3" t="str">
        <f ca="1">IF(Tabela2[[#This Row],[Dt Venc:]]&gt;TODAY(),"Em Aberto",IF(Tabela2[[#This Row],[D/venc]]="-","Enviado",IF(Tabela2[[#This Row],[Dt Venc:]]=TODAY(),"Vence Hoje","Vencida")))</f>
        <v>Em Aberto</v>
      </c>
      <c r="F7385" s="3">
        <f ca="1">IF(G7385=1,"-",Tabela2[[#This Row],[Dt Venc:]]-TODAY())</f>
        <v>69</v>
      </c>
      <c r="G7385" s="3"/>
      <c r="H7385" s="3"/>
    </row>
    <row r="7386" spans="1:8">
      <c r="A7386" s="3">
        <v>103154</v>
      </c>
      <c r="B7386" s="7" t="s">
        <v>252</v>
      </c>
      <c r="C7386" s="99" t="s">
        <v>32</v>
      </c>
      <c r="D7386" s="6">
        <v>45762</v>
      </c>
      <c r="E7386" s="3" t="str">
        <f ca="1">IF(Tabela2[[#This Row],[Dt Venc:]]&gt;TODAY(),"Em Aberto",IF(Tabela2[[#This Row],[D/venc]]="-","Enviado",IF(Tabela2[[#This Row],[Dt Venc:]]=TODAY(),"Vence Hoje","Vencida")))</f>
        <v>Em Aberto</v>
      </c>
      <c r="F7386" s="3">
        <f ca="1">IF(G7386=1,"-",Tabela2[[#This Row],[Dt Venc:]]-TODAY())</f>
        <v>69</v>
      </c>
      <c r="G7386" s="3"/>
      <c r="H7386" s="3"/>
    </row>
    <row r="7387" spans="1:8">
      <c r="A7387" s="3">
        <v>106007</v>
      </c>
      <c r="B7387" s="7" t="s">
        <v>252</v>
      </c>
      <c r="C7387" s="99" t="s">
        <v>32</v>
      </c>
      <c r="D7387" s="6">
        <v>45762</v>
      </c>
      <c r="E7387" s="3" t="str">
        <f ca="1">IF(Tabela2[[#This Row],[Dt Venc:]]&gt;TODAY(),"Em Aberto",IF(Tabela2[[#This Row],[D/venc]]="-","Enviado",IF(Tabela2[[#This Row],[Dt Venc:]]=TODAY(),"Vence Hoje","Vencida")))</f>
        <v>Em Aberto</v>
      </c>
      <c r="F7387" s="3">
        <f ca="1">IF(G7387=1,"-",Tabela2[[#This Row],[Dt Venc:]]-TODAY())</f>
        <v>69</v>
      </c>
      <c r="G7387" s="3"/>
      <c r="H7387" s="3"/>
    </row>
    <row r="7388" spans="1:8">
      <c r="A7388" s="3">
        <v>106043</v>
      </c>
      <c r="B7388" s="7" t="s">
        <v>252</v>
      </c>
      <c r="C7388" s="99" t="s">
        <v>32</v>
      </c>
      <c r="D7388" s="6">
        <v>45762</v>
      </c>
      <c r="E7388" s="3" t="str">
        <f ca="1">IF(Tabela2[[#This Row],[Dt Venc:]]&gt;TODAY(),"Em Aberto",IF(Tabela2[[#This Row],[D/venc]]="-","Enviado",IF(Tabela2[[#This Row],[Dt Venc:]]=TODAY(),"Vence Hoje","Vencida")))</f>
        <v>Em Aberto</v>
      </c>
      <c r="F7388" s="3">
        <f ca="1">IF(G7388=1,"-",Tabela2[[#This Row],[Dt Venc:]]-TODAY())</f>
        <v>69</v>
      </c>
      <c r="G7388" s="3"/>
      <c r="H7388" s="3"/>
    </row>
    <row r="7389" spans="1:8">
      <c r="A7389" s="3">
        <v>107829</v>
      </c>
      <c r="B7389" s="7" t="s">
        <v>252</v>
      </c>
      <c r="C7389" s="99" t="s">
        <v>32</v>
      </c>
      <c r="D7389" s="6">
        <v>45762</v>
      </c>
      <c r="E7389" s="3" t="str">
        <f ca="1">IF(Tabela2[[#This Row],[Dt Venc:]]&gt;TODAY(),"Em Aberto",IF(Tabela2[[#This Row],[D/venc]]="-","Enviado",IF(Tabela2[[#This Row],[Dt Venc:]]=TODAY(),"Vence Hoje","Vencida")))</f>
        <v>Em Aberto</v>
      </c>
      <c r="F7389" s="3">
        <f ca="1">IF(G7389=1,"-",Tabela2[[#This Row],[Dt Venc:]]-TODAY())</f>
        <v>69</v>
      </c>
      <c r="G7389" s="3"/>
      <c r="H7389" s="3"/>
    </row>
    <row r="7390" spans="1:8">
      <c r="A7390" s="3">
        <v>107830</v>
      </c>
      <c r="B7390" s="7" t="s">
        <v>252</v>
      </c>
      <c r="C7390" s="85" t="s">
        <v>32</v>
      </c>
      <c r="D7390" s="6">
        <v>45762</v>
      </c>
      <c r="E7390" s="3" t="str">
        <f ca="1">IF(Tabela2[[#This Row],[Dt Venc:]]&gt;TODAY(),"Em Aberto",IF(Tabela2[[#This Row],[D/venc]]="-","Enviado",IF(Tabela2[[#This Row],[Dt Venc:]]=TODAY(),"Vence Hoje","Vencida")))</f>
        <v>Em Aberto</v>
      </c>
      <c r="F7390" s="3">
        <f ca="1">IF(G7390=1,"-",Tabela2[[#This Row],[Dt Venc:]]-TODAY())</f>
        <v>69</v>
      </c>
      <c r="G7390" s="3"/>
      <c r="H7390" s="3"/>
    </row>
    <row r="7391" spans="1:8">
      <c r="A7391" s="3">
        <v>107831</v>
      </c>
      <c r="B7391" s="7" t="s">
        <v>252</v>
      </c>
      <c r="C7391" s="99" t="s">
        <v>32</v>
      </c>
      <c r="D7391" s="6">
        <v>45762</v>
      </c>
      <c r="E7391" s="3" t="str">
        <f ca="1">IF(Tabela2[[#This Row],[Dt Venc:]]&gt;TODAY(),"Em Aberto",IF(Tabela2[[#This Row],[D/venc]]="-","Enviado",IF(Tabela2[[#This Row],[Dt Venc:]]=TODAY(),"Vence Hoje","Vencida")))</f>
        <v>Em Aberto</v>
      </c>
      <c r="F7391" s="3">
        <f ca="1">IF(G7391=1,"-",Tabela2[[#This Row],[Dt Venc:]]-TODAY())</f>
        <v>69</v>
      </c>
      <c r="G7391" s="3"/>
      <c r="H7391" s="3"/>
    </row>
    <row r="7392" spans="1:8">
      <c r="A7392" s="3">
        <v>107832</v>
      </c>
      <c r="B7392" s="7" t="s">
        <v>252</v>
      </c>
      <c r="C7392" s="99" t="s">
        <v>32</v>
      </c>
      <c r="D7392" s="6">
        <v>45762</v>
      </c>
      <c r="E7392" s="3" t="str">
        <f ca="1">IF(Tabela2[[#This Row],[Dt Venc:]]&gt;TODAY(),"Em Aberto",IF(Tabela2[[#This Row],[D/venc]]="-","Enviado",IF(Tabela2[[#This Row],[Dt Venc:]]=TODAY(),"Vence Hoje","Vencida")))</f>
        <v>Em Aberto</v>
      </c>
      <c r="F7392" s="3">
        <f ca="1">IF(G7392=1,"-",Tabela2[[#This Row],[Dt Venc:]]-TODAY())</f>
        <v>69</v>
      </c>
      <c r="G7392" s="3"/>
      <c r="H7392" s="3"/>
    </row>
    <row r="7393" spans="1:8">
      <c r="A7393" s="3">
        <v>155872</v>
      </c>
      <c r="B7393" s="7" t="s">
        <v>77</v>
      </c>
      <c r="C7393" s="41">
        <v>1233.33</v>
      </c>
      <c r="D7393" s="6">
        <v>45762</v>
      </c>
      <c r="E7393" s="3" t="str">
        <f ca="1">IF(Tabela2[[#This Row],[Dt Venc:]]&gt;TODAY(),"Em Aberto",IF(Tabela2[[#This Row],[D/venc]]="-","Enviado",IF(Tabela2[[#This Row],[Dt Venc:]]=TODAY(),"Vence Hoje","Vencida")))</f>
        <v>Em Aberto</v>
      </c>
      <c r="F7393" s="3">
        <f ca="1">IF(G7393=1,"-",Tabela2[[#This Row],[Dt Venc:]]-TODAY())</f>
        <v>69</v>
      </c>
      <c r="G7393" s="3"/>
      <c r="H7393" s="3"/>
    </row>
    <row r="7394" spans="1:8">
      <c r="A7394" s="3">
        <v>155890</v>
      </c>
      <c r="B7394" s="7" t="s">
        <v>77</v>
      </c>
      <c r="C7394" s="41">
        <v>1233.33</v>
      </c>
      <c r="D7394" s="6">
        <v>45762</v>
      </c>
      <c r="E7394" s="3" t="str">
        <f ca="1">IF(Tabela2[[#This Row],[Dt Venc:]]&gt;TODAY(),"Em Aberto",IF(Tabela2[[#This Row],[D/venc]]="-","Enviado",IF(Tabela2[[#This Row],[Dt Venc:]]=TODAY(),"Vence Hoje","Vencida")))</f>
        <v>Em Aberto</v>
      </c>
      <c r="F7394" s="3">
        <f ca="1">IF(G7394=1,"-",Tabela2[[#This Row],[Dt Venc:]]-TODAY())</f>
        <v>69</v>
      </c>
      <c r="G7394" s="3"/>
      <c r="H7394" s="3"/>
    </row>
    <row r="7395" spans="1:8">
      <c r="A7395" s="3">
        <v>225178</v>
      </c>
      <c r="B7395" s="7" t="s">
        <v>39</v>
      </c>
      <c r="C7395" s="41">
        <v>21465</v>
      </c>
      <c r="D7395" s="6">
        <v>45762</v>
      </c>
      <c r="E7395" s="3" t="str">
        <f ca="1">IF(Tabela2[[#This Row],[Dt Venc:]]&gt;TODAY(),"Em Aberto",IF(Tabela2[[#This Row],[D/venc]]="-","Enviado",IF(Tabela2[[#This Row],[Dt Venc:]]=TODAY(),"Vence Hoje","Vencida")))</f>
        <v>Em Aberto</v>
      </c>
      <c r="F7395" s="3">
        <f ca="1">IF(G7395=1,"-",Tabela2[[#This Row],[Dt Venc:]]-TODAY())</f>
        <v>69</v>
      </c>
      <c r="G7395" s="3"/>
      <c r="H7395" s="3"/>
    </row>
    <row r="7396" spans="1:8">
      <c r="A7396" s="3">
        <v>282081</v>
      </c>
      <c r="B7396" s="7" t="s">
        <v>43</v>
      </c>
      <c r="C7396" s="41">
        <v>1667.98</v>
      </c>
      <c r="D7396" s="6">
        <v>45762</v>
      </c>
      <c r="E7396" s="3" t="str">
        <f ca="1">IF(Tabela2[[#This Row],[Dt Venc:]]&gt;TODAY(),"Em Aberto",IF(Tabela2[[#This Row],[D/venc]]="-","Enviado",IF(Tabela2[[#This Row],[Dt Venc:]]=TODAY(),"Vence Hoje","Vencida")))</f>
        <v>Em Aberto</v>
      </c>
      <c r="F7396" s="3">
        <f ca="1">IF(G7396=1,"-",Tabela2[[#This Row],[Dt Venc:]]-TODAY())</f>
        <v>69</v>
      </c>
      <c r="G7396" s="3"/>
      <c r="H7396" s="3"/>
    </row>
    <row r="7397" spans="1:8">
      <c r="A7397" s="3">
        <v>282094</v>
      </c>
      <c r="B7397" s="7" t="s">
        <v>43</v>
      </c>
      <c r="C7397" s="41">
        <v>1433.31</v>
      </c>
      <c r="D7397" s="6">
        <v>45762</v>
      </c>
      <c r="E7397" s="3" t="str">
        <f ca="1">IF(Tabela2[[#This Row],[Dt Venc:]]&gt;TODAY(),"Em Aberto",IF(Tabela2[[#This Row],[D/venc]]="-","Enviado",IF(Tabela2[[#This Row],[Dt Venc:]]=TODAY(),"Vence Hoje","Vencida")))</f>
        <v>Em Aberto</v>
      </c>
      <c r="F7397" s="3">
        <f ca="1">IF(G7397=1,"-",Tabela2[[#This Row],[Dt Venc:]]-TODAY())</f>
        <v>69</v>
      </c>
      <c r="G7397" s="3"/>
      <c r="H7397" s="3"/>
    </row>
    <row r="7398" spans="1:8">
      <c r="A7398" s="3">
        <v>282095</v>
      </c>
      <c r="B7398" s="7" t="s">
        <v>43</v>
      </c>
      <c r="C7398" s="41">
        <v>1282.76</v>
      </c>
      <c r="D7398" s="6">
        <v>45762</v>
      </c>
      <c r="E7398" s="3" t="str">
        <f ca="1">IF(Tabela2[[#This Row],[Dt Venc:]]&gt;TODAY(),"Em Aberto",IF(Tabela2[[#This Row],[D/venc]]="-","Enviado",IF(Tabela2[[#This Row],[Dt Venc:]]=TODAY(),"Vence Hoje","Vencida")))</f>
        <v>Em Aberto</v>
      </c>
      <c r="F7398" s="3">
        <f ca="1">IF(G7398=1,"-",Tabela2[[#This Row],[Dt Venc:]]-TODAY())</f>
        <v>69</v>
      </c>
      <c r="G7398" s="3"/>
      <c r="H7398" s="3"/>
    </row>
    <row r="7399" spans="1:8">
      <c r="A7399" s="3">
        <v>306510</v>
      </c>
      <c r="B7399" s="7" t="s">
        <v>506</v>
      </c>
      <c r="C7399" s="41">
        <v>1369.34</v>
      </c>
      <c r="D7399" s="6">
        <v>45762</v>
      </c>
      <c r="E7399" s="3" t="str">
        <f ca="1">IF(Tabela2[[#This Row],[Dt Venc:]]&gt;TODAY(),"Em Aberto",IF(Tabela2[[#This Row],[D/venc]]="-","Enviado",IF(Tabela2[[#This Row],[Dt Venc:]]=TODAY(),"Vence Hoje","Vencida")))</f>
        <v>Em Aberto</v>
      </c>
      <c r="F7399" s="3">
        <f ca="1">IF(G7399=1,"-",Tabela2[[#This Row],[Dt Venc:]]-TODAY())</f>
        <v>69</v>
      </c>
      <c r="G7399" s="3"/>
      <c r="H7399" s="3"/>
    </row>
    <row r="7400" spans="1:8">
      <c r="A7400" s="3">
        <v>331733</v>
      </c>
      <c r="B7400" s="7" t="s">
        <v>77</v>
      </c>
      <c r="C7400" s="41">
        <v>438.33</v>
      </c>
      <c r="D7400" s="6">
        <v>45762</v>
      </c>
      <c r="E7400" s="3" t="str">
        <f ca="1">IF(Tabela2[[#This Row],[Dt Venc:]]&gt;TODAY(),"Em Aberto",IF(Tabela2[[#This Row],[D/venc]]="-","Enviado",IF(Tabela2[[#This Row],[Dt Venc:]]=TODAY(),"Vence Hoje","Vencida")))</f>
        <v>Em Aberto</v>
      </c>
      <c r="F7400" s="3">
        <f ca="1">IF(G7400=1,"-",Tabela2[[#This Row],[Dt Venc:]]-TODAY())</f>
        <v>69</v>
      </c>
      <c r="G7400" s="3"/>
      <c r="H7400" s="3"/>
    </row>
    <row r="7401" spans="1:8">
      <c r="A7401" s="3">
        <v>361229</v>
      </c>
      <c r="B7401" s="7" t="s">
        <v>250</v>
      </c>
      <c r="C7401" s="99" t="s">
        <v>32</v>
      </c>
      <c r="D7401" s="6">
        <v>45762</v>
      </c>
      <c r="E7401" s="3" t="str">
        <f ca="1">IF(Tabela2[[#This Row],[Dt Venc:]]&gt;TODAY(),"Em Aberto",IF(Tabela2[[#This Row],[D/venc]]="-","Enviado",IF(Tabela2[[#This Row],[Dt Venc:]]=TODAY(),"Vence Hoje","Vencida")))</f>
        <v>Em Aberto</v>
      </c>
      <c r="F7401" s="3">
        <f ca="1">IF(G7401=1,"-",Tabela2[[#This Row],[Dt Venc:]]-TODAY())</f>
        <v>69</v>
      </c>
      <c r="G7401" s="3"/>
      <c r="H7401" s="3"/>
    </row>
    <row r="7402" spans="1:8">
      <c r="A7402" s="3">
        <v>361237</v>
      </c>
      <c r="B7402" s="7" t="s">
        <v>250</v>
      </c>
      <c r="C7402" s="99" t="s">
        <v>32</v>
      </c>
      <c r="D7402" s="6">
        <v>45762</v>
      </c>
      <c r="E7402" s="3" t="str">
        <f ca="1">IF(Tabela2[[#This Row],[Dt Venc:]]&gt;TODAY(),"Em Aberto",IF(Tabela2[[#This Row],[D/venc]]="-","Enviado",IF(Tabela2[[#This Row],[Dt Venc:]]=TODAY(),"Vence Hoje","Vencida")))</f>
        <v>Em Aberto</v>
      </c>
      <c r="F7402" s="3">
        <f ca="1">IF(G7402=1,"-",Tabela2[[#This Row],[Dt Venc:]]-TODAY())</f>
        <v>69</v>
      </c>
      <c r="G7402" s="3"/>
      <c r="H7402" s="3"/>
    </row>
    <row r="7403" spans="1:8">
      <c r="A7403" s="3">
        <v>365658</v>
      </c>
      <c r="B7403" s="7" t="s">
        <v>250</v>
      </c>
      <c r="C7403" s="99" t="s">
        <v>32</v>
      </c>
      <c r="D7403" s="6">
        <v>45762</v>
      </c>
      <c r="E7403" s="3" t="str">
        <f ca="1">IF(Tabela2[[#This Row],[Dt Venc:]]&gt;TODAY(),"Em Aberto",IF(Tabela2[[#This Row],[D/venc]]="-","Enviado",IF(Tabela2[[#This Row],[Dt Venc:]]=TODAY(),"Vence Hoje","Vencida")))</f>
        <v>Em Aberto</v>
      </c>
      <c r="F7403" s="3">
        <f ca="1">IF(G7403=1,"-",Tabela2[[#This Row],[Dt Venc:]]-TODAY())</f>
        <v>69</v>
      </c>
      <c r="G7403" s="3"/>
      <c r="H7403" s="3"/>
    </row>
    <row r="7404" spans="1:8">
      <c r="A7404" s="3">
        <v>365666</v>
      </c>
      <c r="B7404" s="7" t="s">
        <v>250</v>
      </c>
      <c r="C7404" s="99" t="s">
        <v>32</v>
      </c>
      <c r="D7404" s="6">
        <v>45762</v>
      </c>
      <c r="E7404" s="3" t="str">
        <f ca="1">IF(Tabela2[[#This Row],[Dt Venc:]]&gt;TODAY(),"Em Aberto",IF(Tabela2[[#This Row],[D/venc]]="-","Enviado",IF(Tabela2[[#This Row],[Dt Venc:]]=TODAY(),"Vence Hoje","Vencida")))</f>
        <v>Em Aberto</v>
      </c>
      <c r="F7404" s="3">
        <f ca="1">IF(G7404=1,"-",Tabela2[[#This Row],[Dt Venc:]]-TODAY())</f>
        <v>69</v>
      </c>
      <c r="G7404" s="3"/>
      <c r="H7404" s="3"/>
    </row>
    <row r="7405" spans="1:8">
      <c r="A7405" s="3">
        <v>365674</v>
      </c>
      <c r="B7405" s="7" t="s">
        <v>250</v>
      </c>
      <c r="C7405" s="99" t="s">
        <v>32</v>
      </c>
      <c r="D7405" s="6">
        <v>45762</v>
      </c>
      <c r="E7405" s="3" t="str">
        <f ca="1">IF(Tabela2[[#This Row],[Dt Venc:]]&gt;TODAY(),"Em Aberto",IF(Tabela2[[#This Row],[D/venc]]="-","Enviado",IF(Tabela2[[#This Row],[Dt Venc:]]=TODAY(),"Vence Hoje","Vencida")))</f>
        <v>Em Aberto</v>
      </c>
      <c r="F7405" s="3">
        <f ca="1">IF(G7405=1,"-",Tabela2[[#This Row],[Dt Venc:]]-TODAY())</f>
        <v>69</v>
      </c>
      <c r="G7405" s="3"/>
      <c r="H7405" s="3"/>
    </row>
    <row r="7406" spans="1:8">
      <c r="A7406" s="3">
        <v>365682</v>
      </c>
      <c r="B7406" s="7" t="s">
        <v>250</v>
      </c>
      <c r="C7406" s="99" t="s">
        <v>32</v>
      </c>
      <c r="D7406" s="6">
        <v>45762</v>
      </c>
      <c r="E7406" s="3" t="str">
        <f ca="1">IF(Tabela2[[#This Row],[Dt Venc:]]&gt;TODAY(),"Em Aberto",IF(Tabela2[[#This Row],[D/venc]]="-","Enviado",IF(Tabela2[[#This Row],[Dt Venc:]]=TODAY(),"Vence Hoje","Vencida")))</f>
        <v>Em Aberto</v>
      </c>
      <c r="F7406" s="3">
        <f ca="1">IF(G7406=1,"-",Tabela2[[#This Row],[Dt Venc:]]-TODAY())</f>
        <v>69</v>
      </c>
      <c r="G7406" s="3"/>
      <c r="H7406" s="3"/>
    </row>
    <row r="7407" spans="1:8">
      <c r="A7407" s="3">
        <v>369335</v>
      </c>
      <c r="B7407" s="7" t="s">
        <v>543</v>
      </c>
      <c r="C7407" s="87" t="s">
        <v>32</v>
      </c>
      <c r="D7407" s="6">
        <v>45762</v>
      </c>
      <c r="E7407" s="3" t="str">
        <f ca="1">IF(Tabela2[[#This Row],[Dt Venc:]]&gt;TODAY(),"Em Aberto",IF(Tabela2[[#This Row],[D/venc]]="-","Enviado",IF(Tabela2[[#This Row],[Dt Venc:]]=TODAY(),"Vence Hoje","Vencida")))</f>
        <v>Em Aberto</v>
      </c>
      <c r="F7407" s="3">
        <f ca="1">IF(G7407=1,"-",Tabela2[[#This Row],[Dt Venc:]]-TODAY())</f>
        <v>69</v>
      </c>
      <c r="G7407" s="3"/>
      <c r="H7407" s="3"/>
    </row>
    <row r="7408" spans="1:8">
      <c r="A7408" s="3">
        <v>369696</v>
      </c>
      <c r="B7408" s="7" t="s">
        <v>543</v>
      </c>
      <c r="C7408" s="87" t="s">
        <v>32</v>
      </c>
      <c r="D7408" s="6">
        <v>45762</v>
      </c>
      <c r="E7408" s="3" t="str">
        <f ca="1">IF(Tabela2[[#This Row],[Dt Venc:]]&gt;TODAY(),"Em Aberto",IF(Tabela2[[#This Row],[D/venc]]="-","Enviado",IF(Tabela2[[#This Row],[Dt Venc:]]=TODAY(),"Vence Hoje","Vencida")))</f>
        <v>Em Aberto</v>
      </c>
      <c r="F7408" s="3">
        <f ca="1">IF(G7408=1,"-",Tabela2[[#This Row],[Dt Venc:]]-TODAY())</f>
        <v>69</v>
      </c>
      <c r="G7408" s="3"/>
      <c r="H7408" s="3"/>
    </row>
    <row r="7409" spans="1:8">
      <c r="A7409" s="3">
        <v>369726</v>
      </c>
      <c r="B7409" s="7" t="s">
        <v>543</v>
      </c>
      <c r="C7409" s="87" t="s">
        <v>32</v>
      </c>
      <c r="D7409" s="6">
        <v>45762</v>
      </c>
      <c r="E7409" s="3" t="str">
        <f ca="1">IF(Tabela2[[#This Row],[Dt Venc:]]&gt;TODAY(),"Em Aberto",IF(Tabela2[[#This Row],[D/venc]]="-","Enviado",IF(Tabela2[[#This Row],[Dt Venc:]]=TODAY(),"Vence Hoje","Vencida")))</f>
        <v>Em Aberto</v>
      </c>
      <c r="F7409" s="3">
        <f ca="1">IF(G7409=1,"-",Tabela2[[#This Row],[Dt Venc:]]-TODAY())</f>
        <v>69</v>
      </c>
      <c r="G7409" s="3"/>
      <c r="H7409" s="3"/>
    </row>
    <row r="7410" spans="1:8">
      <c r="A7410" s="3">
        <v>369751</v>
      </c>
      <c r="B7410" s="7" t="s">
        <v>543</v>
      </c>
      <c r="C7410" s="87" t="s">
        <v>32</v>
      </c>
      <c r="D7410" s="6">
        <v>45762</v>
      </c>
      <c r="E7410" s="3" t="str">
        <f ca="1">IF(Tabela2[[#This Row],[Dt Venc:]]&gt;TODAY(),"Em Aberto",IF(Tabela2[[#This Row],[D/venc]]="-","Enviado",IF(Tabela2[[#This Row],[Dt Venc:]]=TODAY(),"Vence Hoje","Vencida")))</f>
        <v>Em Aberto</v>
      </c>
      <c r="F7410" s="3">
        <f ca="1">IF(G7410=1,"-",Tabela2[[#This Row],[Dt Venc:]]-TODAY())</f>
        <v>69</v>
      </c>
      <c r="G7410" s="3"/>
      <c r="H7410" s="3"/>
    </row>
    <row r="7411" spans="1:8">
      <c r="A7411" s="3">
        <v>370201</v>
      </c>
      <c r="B7411" s="7" t="s">
        <v>543</v>
      </c>
      <c r="C7411" s="87" t="s">
        <v>32</v>
      </c>
      <c r="D7411" s="6">
        <v>45762</v>
      </c>
      <c r="E7411" s="3" t="str">
        <f ca="1">IF(Tabela2[[#This Row],[Dt Venc:]]&gt;TODAY(),"Em Aberto",IF(Tabela2[[#This Row],[D/venc]]="-","Enviado",IF(Tabela2[[#This Row],[Dt Venc:]]=TODAY(),"Vence Hoje","Vencida")))</f>
        <v>Em Aberto</v>
      </c>
      <c r="F7411" s="3">
        <f ca="1">IF(G7411=1,"-",Tabela2[[#This Row],[Dt Venc:]]-TODAY())</f>
        <v>69</v>
      </c>
      <c r="G7411" s="3"/>
      <c r="H7411" s="3"/>
    </row>
    <row r="7412" spans="1:8">
      <c r="A7412" s="3">
        <v>381596</v>
      </c>
      <c r="B7412" s="7" t="s">
        <v>567</v>
      </c>
      <c r="C7412" s="41">
        <v>657.87</v>
      </c>
      <c r="D7412" s="6">
        <v>45762</v>
      </c>
      <c r="E7412" s="3" t="str">
        <f ca="1">IF(Tabela2[[#This Row],[Dt Venc:]]&gt;TODAY(),"Em Aberto",IF(Tabela2[[#This Row],[D/venc]]="-","Enviado",IF(Tabela2[[#This Row],[Dt Venc:]]=TODAY(),"Vence Hoje","Vencida")))</f>
        <v>Em Aberto</v>
      </c>
      <c r="F7412" s="3">
        <f ca="1">IF(G7412=1,"-",Tabela2[[#This Row],[Dt Venc:]]-TODAY())</f>
        <v>69</v>
      </c>
      <c r="G7412" s="3"/>
      <c r="H7412" s="3"/>
    </row>
    <row r="7413" spans="1:8">
      <c r="A7413" s="3">
        <v>450617</v>
      </c>
      <c r="B7413" s="7" t="s">
        <v>512</v>
      </c>
      <c r="C7413" s="41">
        <v>631.77</v>
      </c>
      <c r="D7413" s="6">
        <v>45762</v>
      </c>
      <c r="E7413" s="3" t="str">
        <f ca="1">IF(Tabela2[[#This Row],[Dt Venc:]]&gt;TODAY(),"Em Aberto",IF(Tabela2[[#This Row],[D/venc]]="-","Enviado",IF(Tabela2[[#This Row],[Dt Venc:]]=TODAY(),"Vence Hoje","Vencida")))</f>
        <v>Em Aberto</v>
      </c>
      <c r="F7413" s="3">
        <f ca="1">IF(G7413=1,"-",Tabela2[[#This Row],[Dt Venc:]]-TODAY())</f>
        <v>69</v>
      </c>
      <c r="G7413" s="3"/>
      <c r="H7413" s="3"/>
    </row>
    <row r="7414" spans="1:8">
      <c r="A7414" s="3">
        <v>625431</v>
      </c>
      <c r="B7414" s="7" t="s">
        <v>66</v>
      </c>
      <c r="C7414" s="41">
        <v>964</v>
      </c>
      <c r="D7414" s="6">
        <v>45762</v>
      </c>
      <c r="E7414" s="3" t="str">
        <f ca="1">IF(Tabela2[[#This Row],[Dt Venc:]]&gt;TODAY(),"Em Aberto",IF(Tabela2[[#This Row],[D/venc]]="-","Enviado",IF(Tabela2[[#This Row],[Dt Venc:]]=TODAY(),"Vence Hoje","Vencida")))</f>
        <v>Em Aberto</v>
      </c>
      <c r="F7414" s="3">
        <f ca="1">IF(G7414=1,"-",Tabela2[[#This Row],[Dt Venc:]]-TODAY())</f>
        <v>69</v>
      </c>
      <c r="G7414" s="3"/>
      <c r="H7414" s="3"/>
    </row>
    <row r="7415" spans="1:8">
      <c r="A7415" s="3">
        <v>748099</v>
      </c>
      <c r="B7415" s="7" t="s">
        <v>81</v>
      </c>
      <c r="C7415" s="99" t="s">
        <v>32</v>
      </c>
      <c r="D7415" s="6">
        <v>45762</v>
      </c>
      <c r="E7415" s="3" t="str">
        <f ca="1">IF(Tabela2[[#This Row],[Dt Venc:]]&gt;TODAY(),"Em Aberto",IF(Tabela2[[#This Row],[D/venc]]="-","Enviado",IF(Tabela2[[#This Row],[Dt Venc:]]=TODAY(),"Vence Hoje","Vencida")))</f>
        <v>Em Aberto</v>
      </c>
      <c r="F7415" s="3">
        <f ca="1">IF(G7415=1,"-",Tabela2[[#This Row],[Dt Venc:]]-TODAY())</f>
        <v>69</v>
      </c>
      <c r="G7415" s="3"/>
      <c r="H7415" s="3"/>
    </row>
    <row r="7416" spans="1:8">
      <c r="A7416" s="3">
        <v>892178</v>
      </c>
      <c r="B7416" s="7" t="s">
        <v>253</v>
      </c>
      <c r="C7416" s="99" t="s">
        <v>32</v>
      </c>
      <c r="D7416" s="6">
        <v>45762</v>
      </c>
      <c r="E7416" s="3" t="str">
        <f ca="1">IF(Tabela2[[#This Row],[Dt Venc:]]&gt;TODAY(),"Em Aberto",IF(Tabela2[[#This Row],[D/venc]]="-","Enviado",IF(Tabela2[[#This Row],[Dt Venc:]]=TODAY(),"Vence Hoje","Vencida")))</f>
        <v>Em Aberto</v>
      </c>
      <c r="F7416" s="3">
        <f ca="1">IF(G7416=1,"-",Tabela2[[#This Row],[Dt Venc:]]-TODAY())</f>
        <v>69</v>
      </c>
      <c r="G7416" s="3"/>
      <c r="H7416" s="3"/>
    </row>
    <row r="7417" spans="1:8">
      <c r="A7417" s="3">
        <v>894135</v>
      </c>
      <c r="B7417" s="7" t="s">
        <v>253</v>
      </c>
      <c r="C7417" s="99" t="s">
        <v>32</v>
      </c>
      <c r="D7417" s="6">
        <v>45762</v>
      </c>
      <c r="E7417" s="3" t="str">
        <f ca="1">IF(Tabela2[[#This Row],[Dt Venc:]]&gt;TODAY(),"Em Aberto",IF(Tabela2[[#This Row],[D/venc]]="-","Enviado",IF(Tabela2[[#This Row],[Dt Venc:]]=TODAY(),"Vence Hoje","Vencida")))</f>
        <v>Em Aberto</v>
      </c>
      <c r="F7417" s="3">
        <f ca="1">IF(G7417=1,"-",Tabela2[[#This Row],[Dt Venc:]]-TODAY())</f>
        <v>69</v>
      </c>
      <c r="G7417" s="3"/>
      <c r="H7417" s="3"/>
    </row>
    <row r="7418" spans="1:8">
      <c r="A7418" s="3">
        <v>896565</v>
      </c>
      <c r="B7418" s="7" t="s">
        <v>253</v>
      </c>
      <c r="C7418" s="99" t="s">
        <v>32</v>
      </c>
      <c r="D7418" s="6">
        <v>45762</v>
      </c>
      <c r="E7418" s="3" t="str">
        <f ca="1">IF(Tabela2[[#This Row],[Dt Venc:]]&gt;TODAY(),"Em Aberto",IF(Tabela2[[#This Row],[D/venc]]="-","Enviado",IF(Tabela2[[#This Row],[Dt Venc:]]=TODAY(),"Vence Hoje","Vencida")))</f>
        <v>Em Aberto</v>
      </c>
      <c r="F7418" s="3">
        <f ca="1">IF(G7418=1,"-",Tabela2[[#This Row],[Dt Venc:]]-TODAY())</f>
        <v>69</v>
      </c>
      <c r="G7418" s="3"/>
      <c r="H7418" s="3"/>
    </row>
    <row r="7419" spans="1:8">
      <c r="A7419" s="3">
        <v>900386</v>
      </c>
      <c r="B7419" s="7" t="s">
        <v>253</v>
      </c>
      <c r="C7419" s="99" t="s">
        <v>32</v>
      </c>
      <c r="D7419" s="6">
        <v>45762</v>
      </c>
      <c r="E7419" s="3" t="str">
        <f ca="1">IF(Tabela2[[#This Row],[Dt Venc:]]&gt;TODAY(),"Em Aberto",IF(Tabela2[[#This Row],[D/venc]]="-","Enviado",IF(Tabela2[[#This Row],[Dt Venc:]]=TODAY(),"Vence Hoje","Vencida")))</f>
        <v>Em Aberto</v>
      </c>
      <c r="F7419" s="3">
        <f ca="1">IF(G7419=1,"-",Tabela2[[#This Row],[Dt Venc:]]-TODAY())</f>
        <v>69</v>
      </c>
      <c r="G7419" s="3"/>
      <c r="H7419" s="3"/>
    </row>
    <row r="7420" spans="1:8">
      <c r="A7420" s="3">
        <v>901787</v>
      </c>
      <c r="B7420" s="7" t="s">
        <v>253</v>
      </c>
      <c r="C7420" s="99" t="s">
        <v>32</v>
      </c>
      <c r="D7420" s="6">
        <v>45762</v>
      </c>
      <c r="E7420" s="3" t="str">
        <f ca="1">IF(Tabela2[[#This Row],[Dt Venc:]]&gt;TODAY(),"Em Aberto",IF(Tabela2[[#This Row],[D/venc]]="-","Enviado",IF(Tabela2[[#This Row],[Dt Venc:]]=TODAY(),"Vence Hoje","Vencida")))</f>
        <v>Em Aberto</v>
      </c>
      <c r="F7420" s="3">
        <f ca="1">IF(G7420=1,"-",Tabela2[[#This Row],[Dt Venc:]]-TODAY())</f>
        <v>69</v>
      </c>
      <c r="G7420" s="3"/>
      <c r="H7420" s="3"/>
    </row>
    <row r="7421" spans="1:8">
      <c r="A7421" s="3">
        <v>901788</v>
      </c>
      <c r="B7421" s="7" t="s">
        <v>253</v>
      </c>
      <c r="C7421" s="100" t="s">
        <v>32</v>
      </c>
      <c r="D7421" s="6">
        <v>45762</v>
      </c>
      <c r="E7421" s="3" t="str">
        <f ca="1">IF(Tabela2[[#This Row],[Dt Venc:]]&gt;TODAY(),"Em Aberto",IF(Tabela2[[#This Row],[D/venc]]="-","Enviado",IF(Tabela2[[#This Row],[Dt Venc:]]=TODAY(),"Vence Hoje","Vencida")))</f>
        <v>Em Aberto</v>
      </c>
      <c r="F7421" s="3">
        <f ca="1">IF(G7421=1,"-",Tabela2[[#This Row],[Dt Venc:]]-TODAY())</f>
        <v>69</v>
      </c>
      <c r="G7421" s="3"/>
      <c r="H7421" s="3"/>
    </row>
    <row r="7422" spans="1:8">
      <c r="A7422" s="3">
        <v>901789</v>
      </c>
      <c r="B7422" s="7" t="s">
        <v>253</v>
      </c>
      <c r="C7422" s="100" t="s">
        <v>32</v>
      </c>
      <c r="D7422" s="6">
        <v>45762</v>
      </c>
      <c r="E7422" s="3" t="str">
        <f ca="1">IF(Tabela2[[#This Row],[Dt Venc:]]&gt;TODAY(),"Em Aberto",IF(Tabela2[[#This Row],[D/venc]]="-","Enviado",IF(Tabela2[[#This Row],[Dt Venc:]]=TODAY(),"Vence Hoje","Vencida")))</f>
        <v>Em Aberto</v>
      </c>
      <c r="F7422" s="3">
        <f ca="1">IF(G7422=1,"-",Tabela2[[#This Row],[Dt Venc:]]-TODAY())</f>
        <v>69</v>
      </c>
      <c r="G7422" s="3"/>
      <c r="H7422" s="3"/>
    </row>
    <row r="7423" spans="1:8">
      <c r="A7423" s="3">
        <v>912703</v>
      </c>
      <c r="B7423" s="7" t="s">
        <v>253</v>
      </c>
      <c r="C7423" s="100" t="s">
        <v>32</v>
      </c>
      <c r="D7423" s="6">
        <v>45762</v>
      </c>
      <c r="E7423" s="3" t="str">
        <f ca="1">IF(Tabela2[[#This Row],[Dt Venc:]]&gt;TODAY(),"Em Aberto",IF(Tabela2[[#This Row],[D/venc]]="-","Enviado",IF(Tabela2[[#This Row],[Dt Venc:]]=TODAY(),"Vence Hoje","Vencida")))</f>
        <v>Em Aberto</v>
      </c>
      <c r="F7423" s="3">
        <f ca="1">IF(G7423=1,"-",Tabela2[[#This Row],[Dt Venc:]]-TODAY())</f>
        <v>69</v>
      </c>
      <c r="G7423" s="3"/>
      <c r="H7423" s="3"/>
    </row>
    <row r="7424" spans="1:8">
      <c r="A7424" s="3">
        <v>912704</v>
      </c>
      <c r="B7424" s="7" t="s">
        <v>253</v>
      </c>
      <c r="C7424" s="100" t="s">
        <v>32</v>
      </c>
      <c r="D7424" s="6">
        <v>45762</v>
      </c>
      <c r="E7424" s="3" t="str">
        <f ca="1">IF(Tabela2[[#This Row],[Dt Venc:]]&gt;TODAY(),"Em Aberto",IF(Tabela2[[#This Row],[D/venc]]="-","Enviado",IF(Tabela2[[#This Row],[Dt Venc:]]=TODAY(),"Vence Hoje","Vencida")))</f>
        <v>Em Aberto</v>
      </c>
      <c r="F7424" s="3">
        <f ca="1">IF(G7424=1,"-",Tabela2[[#This Row],[Dt Venc:]]-TODAY())</f>
        <v>69</v>
      </c>
      <c r="G7424" s="3"/>
      <c r="H7424" s="3"/>
    </row>
    <row r="7425" spans="1:8">
      <c r="A7425" s="3">
        <v>919728</v>
      </c>
      <c r="B7425" s="7" t="s">
        <v>253</v>
      </c>
      <c r="C7425" s="87" t="s">
        <v>32</v>
      </c>
      <c r="D7425" s="6">
        <v>45762</v>
      </c>
      <c r="E7425" s="3" t="str">
        <f ca="1">IF(Tabela2[[#This Row],[Dt Venc:]]&gt;TODAY(),"Em Aberto",IF(Tabela2[[#This Row],[D/venc]]="-","Enviado",IF(Tabela2[[#This Row],[Dt Venc:]]=TODAY(),"Vence Hoje","Vencida")))</f>
        <v>Em Aberto</v>
      </c>
      <c r="F7425" s="3">
        <f ca="1">IF(G7425=1,"-",Tabela2[[#This Row],[Dt Venc:]]-TODAY())</f>
        <v>69</v>
      </c>
      <c r="G7425" s="3"/>
      <c r="H7425" s="3"/>
    </row>
    <row r="7426" spans="1:8">
      <c r="A7426" s="3">
        <v>919729</v>
      </c>
      <c r="B7426" s="7" t="s">
        <v>253</v>
      </c>
      <c r="C7426" s="87" t="s">
        <v>32</v>
      </c>
      <c r="D7426" s="6">
        <v>45762</v>
      </c>
      <c r="E7426" s="3" t="str">
        <f ca="1">IF(Tabela2[[#This Row],[Dt Venc:]]&gt;TODAY(),"Em Aberto",IF(Tabela2[[#This Row],[D/venc]]="-","Enviado",IF(Tabela2[[#This Row],[Dt Venc:]]=TODAY(),"Vence Hoje","Vencida")))</f>
        <v>Em Aberto</v>
      </c>
      <c r="F7426" s="3">
        <f ca="1">IF(G7426=1,"-",Tabela2[[#This Row],[Dt Venc:]]-TODAY())</f>
        <v>69</v>
      </c>
      <c r="G7426" s="3"/>
      <c r="H7426" s="3"/>
    </row>
    <row r="7427" spans="1:8">
      <c r="A7427" s="3" t="s">
        <v>179</v>
      </c>
      <c r="B7427" s="7" t="s">
        <v>265</v>
      </c>
      <c r="C7427" s="100" t="s">
        <v>32</v>
      </c>
      <c r="D7427" s="6">
        <v>45762</v>
      </c>
      <c r="E7427" s="3" t="str">
        <f ca="1">IF(Tabela2[[#This Row],[Dt Venc:]]&gt;TODAY(),"Em Aberto",IF(Tabela2[[#This Row],[D/venc]]="-","Enviado",IF(Tabela2[[#This Row],[Dt Venc:]]=TODAY(),"Vence Hoje","Vencida")))</f>
        <v>Em Aberto</v>
      </c>
      <c r="F7427" s="3">
        <f ca="1">IF(G7427=1,"-",Tabela2[[#This Row],[Dt Venc:]]-TODAY())</f>
        <v>69</v>
      </c>
      <c r="G7427" s="3"/>
      <c r="H7427" s="3"/>
    </row>
    <row r="7428" spans="1:8">
      <c r="A7428" s="3">
        <v>1131</v>
      </c>
      <c r="B7428" s="7" t="s">
        <v>703</v>
      </c>
      <c r="C7428" s="41">
        <v>8593.33</v>
      </c>
      <c r="D7428" s="6">
        <v>45763</v>
      </c>
      <c r="E7428" s="3" t="str">
        <f ca="1">IF(Tabela2[[#This Row],[Dt Venc:]]&gt;TODAY(),"Em Aberto",IF(Tabela2[[#This Row],[D/venc]]="-","Enviado",IF(Tabela2[[#This Row],[Dt Venc:]]=TODAY(),"Vence Hoje","Vencida")))</f>
        <v>Em Aberto</v>
      </c>
      <c r="F7428" s="3">
        <f ca="1">IF(G7428=1,"-",Tabela2[[#This Row],[Dt Venc:]]-TODAY())</f>
        <v>70</v>
      </c>
      <c r="G7428" s="3"/>
      <c r="H7428" s="3"/>
    </row>
    <row r="7429" spans="1:8">
      <c r="A7429" s="3">
        <v>6389</v>
      </c>
      <c r="B7429" s="7" t="s">
        <v>47</v>
      </c>
      <c r="C7429" s="41">
        <v>2028.67</v>
      </c>
      <c r="D7429" s="6">
        <v>45763</v>
      </c>
      <c r="E7429" s="3" t="str">
        <f ca="1">IF(Tabela2[[#This Row],[Dt Venc:]]&gt;TODAY(),"Em Aberto",IF(Tabela2[[#This Row],[D/venc]]="-","Enviado",IF(Tabela2[[#This Row],[Dt Venc:]]=TODAY(),"Vence Hoje","Vencida")))</f>
        <v>Em Aberto</v>
      </c>
      <c r="F7429" s="3">
        <f ca="1">IF(G7429=1,"-",Tabela2[[#This Row],[Dt Venc:]]-TODAY())</f>
        <v>70</v>
      </c>
      <c r="G7429" s="3"/>
      <c r="H7429" s="3"/>
    </row>
    <row r="7430" spans="1:8">
      <c r="A7430" s="3">
        <v>11339</v>
      </c>
      <c r="B7430" s="7" t="s">
        <v>33</v>
      </c>
      <c r="C7430" s="41">
        <v>800</v>
      </c>
      <c r="D7430" s="6">
        <v>45763</v>
      </c>
      <c r="E7430" s="3" t="str">
        <f ca="1">IF(Tabela2[[#This Row],[Dt Venc:]]&gt;TODAY(),"Em Aberto",IF(Tabela2[[#This Row],[D/venc]]="-","Enviado",IF(Tabela2[[#This Row],[Dt Venc:]]=TODAY(),"Vence Hoje","Vencida")))</f>
        <v>Em Aberto</v>
      </c>
      <c r="F7430" s="3">
        <f ca="1">IF(G7430=1,"-",Tabela2[[#This Row],[Dt Venc:]]-TODAY())</f>
        <v>70</v>
      </c>
      <c r="G7430" s="3"/>
      <c r="H7430" s="3"/>
    </row>
    <row r="7431" spans="1:8">
      <c r="A7431" s="3">
        <v>24208</v>
      </c>
      <c r="B7431" s="7" t="s">
        <v>38</v>
      </c>
      <c r="C7431" s="41">
        <v>1020</v>
      </c>
      <c r="D7431" s="6">
        <v>45763</v>
      </c>
      <c r="E7431" s="3" t="str">
        <f ca="1">IF(Tabela2[[#This Row],[Dt Venc:]]&gt;TODAY(),"Em Aberto",IF(Tabela2[[#This Row],[D/venc]]="-","Enviado",IF(Tabela2[[#This Row],[Dt Venc:]]=TODAY(),"Vence Hoje","Vencida")))</f>
        <v>Em Aberto</v>
      </c>
      <c r="F7431" s="3">
        <f ca="1">IF(G7431=1,"-",Tabela2[[#This Row],[Dt Venc:]]-TODAY())</f>
        <v>70</v>
      </c>
      <c r="G7431" s="3"/>
      <c r="H7431" s="3"/>
    </row>
    <row r="7432" spans="1:8">
      <c r="A7432" s="3">
        <v>24411</v>
      </c>
      <c r="B7432" s="7" t="s">
        <v>38</v>
      </c>
      <c r="C7432" s="41">
        <v>455.93</v>
      </c>
      <c r="D7432" s="6">
        <v>45763</v>
      </c>
      <c r="E7432" s="3" t="str">
        <f ca="1">IF(Tabela2[[#This Row],[Dt Venc:]]&gt;TODAY(),"Em Aberto",IF(Tabela2[[#This Row],[D/venc]]="-","Enviado",IF(Tabela2[[#This Row],[Dt Venc:]]=TODAY(),"Vence Hoje","Vencida")))</f>
        <v>Em Aberto</v>
      </c>
      <c r="F7432" s="3">
        <f ca="1">IF(G7432=1,"-",Tabela2[[#This Row],[Dt Venc:]]-TODAY())</f>
        <v>70</v>
      </c>
      <c r="G7432" s="3"/>
      <c r="H7432" s="3"/>
    </row>
    <row r="7433" spans="1:8">
      <c r="A7433" s="3">
        <v>31038</v>
      </c>
      <c r="B7433" s="7" t="s">
        <v>97</v>
      </c>
      <c r="C7433" s="41">
        <v>3425</v>
      </c>
      <c r="D7433" s="6">
        <v>45763</v>
      </c>
      <c r="E7433" s="3" t="str">
        <f ca="1">IF(Tabela2[[#This Row],[Dt Venc:]]&gt;TODAY(),"Em Aberto",IF(Tabela2[[#This Row],[D/venc]]="-","Enviado",IF(Tabela2[[#This Row],[Dt Venc:]]=TODAY(),"Vence Hoje","Vencida")))</f>
        <v>Em Aberto</v>
      </c>
      <c r="F7433" s="3">
        <f ca="1">IF(G7433=1,"-",Tabela2[[#This Row],[Dt Venc:]]-TODAY())</f>
        <v>70</v>
      </c>
      <c r="G7433" s="3"/>
      <c r="H7433" s="3"/>
    </row>
    <row r="7434" spans="1:8">
      <c r="A7434" s="3">
        <v>37300</v>
      </c>
      <c r="B7434" s="7" t="s">
        <v>167</v>
      </c>
      <c r="C7434" s="100" t="s">
        <v>32</v>
      </c>
      <c r="D7434" s="6">
        <v>45763</v>
      </c>
      <c r="E7434" s="3" t="str">
        <f ca="1">IF(Tabela2[[#This Row],[Dt Venc:]]&gt;TODAY(),"Em Aberto",IF(Tabela2[[#This Row],[D/venc]]="-","Enviado",IF(Tabela2[[#This Row],[Dt Venc:]]=TODAY(),"Vence Hoje","Vencida")))</f>
        <v>Em Aberto</v>
      </c>
      <c r="F7434" s="3">
        <f ca="1">IF(G7434=1,"-",Tabela2[[#This Row],[Dt Venc:]]-TODAY())</f>
        <v>70</v>
      </c>
      <c r="G7434" s="3"/>
      <c r="H7434" s="3"/>
    </row>
    <row r="7435" spans="1:8">
      <c r="A7435" s="3">
        <v>42393</v>
      </c>
      <c r="B7435" s="7" t="s">
        <v>70</v>
      </c>
      <c r="C7435" s="41">
        <v>480.79</v>
      </c>
      <c r="D7435" s="6">
        <v>45763</v>
      </c>
      <c r="E7435" s="3" t="str">
        <f ca="1">IF(Tabela2[[#This Row],[Dt Venc:]]&gt;TODAY(),"Em Aberto",IF(Tabela2[[#This Row],[D/venc]]="-","Enviado",IF(Tabela2[[#This Row],[Dt Venc:]]=TODAY(),"Vence Hoje","Vencida")))</f>
        <v>Em Aberto</v>
      </c>
      <c r="F7435" s="3">
        <f ca="1">IF(G7435=1,"-",Tabela2[[#This Row],[Dt Venc:]]-TODAY())</f>
        <v>70</v>
      </c>
      <c r="G7435" s="3"/>
      <c r="H7435" s="3"/>
    </row>
    <row r="7436" spans="1:8">
      <c r="A7436" s="3">
        <v>110541</v>
      </c>
      <c r="B7436" s="7" t="s">
        <v>612</v>
      </c>
      <c r="C7436" s="41">
        <v>11436.67</v>
      </c>
      <c r="D7436" s="6">
        <v>45763</v>
      </c>
      <c r="E7436" s="3" t="str">
        <f ca="1">IF(Tabela2[[#This Row],[Dt Venc:]]&gt;TODAY(),"Em Aberto",IF(Tabela2[[#This Row],[D/venc]]="-","Enviado",IF(Tabela2[[#This Row],[Dt Venc:]]=TODAY(),"Vence Hoje","Vencida")))</f>
        <v>Em Aberto</v>
      </c>
      <c r="F7436" s="3">
        <f ca="1">IF(G7436=1,"-",Tabela2[[#This Row],[Dt Venc:]]-TODAY())</f>
        <v>70</v>
      </c>
      <c r="G7436" s="3"/>
      <c r="H7436" s="3"/>
    </row>
    <row r="7437" spans="1:8">
      <c r="A7437" s="3">
        <v>110541</v>
      </c>
      <c r="B7437" s="7" t="s">
        <v>612</v>
      </c>
      <c r="C7437" s="41">
        <v>11436.67</v>
      </c>
      <c r="D7437" s="6">
        <v>45763</v>
      </c>
      <c r="E7437" s="3" t="str">
        <f ca="1">IF(Tabela2[[#This Row],[Dt Venc:]]&gt;TODAY(),"Em Aberto",IF(Tabela2[[#This Row],[D/venc]]="-","Enviado",IF(Tabela2[[#This Row],[Dt Venc:]]=TODAY(),"Vence Hoje","Vencida")))</f>
        <v>Em Aberto</v>
      </c>
      <c r="F7437" s="3">
        <f ca="1">IF(G7437=1,"-",Tabela2[[#This Row],[Dt Venc:]]-TODAY())</f>
        <v>70</v>
      </c>
      <c r="G7437" s="3"/>
      <c r="H7437" s="3"/>
    </row>
    <row r="7438" spans="1:8">
      <c r="A7438" s="3">
        <v>155810</v>
      </c>
      <c r="B7438" s="7" t="s">
        <v>486</v>
      </c>
      <c r="C7438" s="41">
        <v>2152.5</v>
      </c>
      <c r="D7438" s="6">
        <v>45763</v>
      </c>
      <c r="E7438" s="3" t="str">
        <f ca="1">IF(Tabela2[[#This Row],[Dt Venc:]]&gt;TODAY(),"Em Aberto",IF(Tabela2[[#This Row],[D/venc]]="-","Enviado",IF(Tabela2[[#This Row],[Dt Venc:]]=TODAY(),"Vence Hoje","Vencida")))</f>
        <v>Em Aberto</v>
      </c>
      <c r="F7438" s="3">
        <f ca="1">IF(G7438=1,"-",Tabela2[[#This Row],[Dt Venc:]]-TODAY())</f>
        <v>70</v>
      </c>
      <c r="G7438" s="3"/>
      <c r="H7438" s="3"/>
    </row>
    <row r="7439" spans="1:8">
      <c r="A7439" s="3">
        <v>155811</v>
      </c>
      <c r="B7439" s="7" t="s">
        <v>486</v>
      </c>
      <c r="C7439" s="41">
        <v>2786.61</v>
      </c>
      <c r="D7439" s="6">
        <v>45763</v>
      </c>
      <c r="E7439" s="3" t="str">
        <f ca="1">IF(Tabela2[[#This Row],[Dt Venc:]]&gt;TODAY(),"Em Aberto",IF(Tabela2[[#This Row],[D/venc]]="-","Enviado",IF(Tabela2[[#This Row],[Dt Venc:]]=TODAY(),"Vence Hoje","Vencida")))</f>
        <v>Em Aberto</v>
      </c>
      <c r="F7439" s="3">
        <f ca="1">IF(G7439=1,"-",Tabela2[[#This Row],[Dt Venc:]]-TODAY())</f>
        <v>70</v>
      </c>
      <c r="G7439" s="3"/>
      <c r="H7439" s="3"/>
    </row>
    <row r="7440" spans="1:8">
      <c r="A7440" s="3">
        <v>376931</v>
      </c>
      <c r="B7440" s="7" t="s">
        <v>39</v>
      </c>
      <c r="C7440" s="41">
        <v>528.67999999999995</v>
      </c>
      <c r="D7440" s="6">
        <v>45763</v>
      </c>
      <c r="E7440" s="3" t="str">
        <f ca="1">IF(Tabela2[[#This Row],[Dt Venc:]]&gt;TODAY(),"Em Aberto",IF(Tabela2[[#This Row],[D/venc]]="-","Enviado",IF(Tabela2[[#This Row],[Dt Venc:]]=TODAY(),"Vence Hoje","Vencida")))</f>
        <v>Em Aberto</v>
      </c>
      <c r="F7440" s="3">
        <f ca="1">IF(G7440=1,"-",Tabela2[[#This Row],[Dt Venc:]]-TODAY())</f>
        <v>70</v>
      </c>
      <c r="G7440" s="3"/>
      <c r="H7440" s="3"/>
    </row>
    <row r="7441" spans="1:8">
      <c r="A7441" s="3">
        <v>376985</v>
      </c>
      <c r="B7441" s="7" t="s">
        <v>43</v>
      </c>
      <c r="C7441" s="41">
        <v>1612.02</v>
      </c>
      <c r="D7441" s="6">
        <v>45763</v>
      </c>
      <c r="E7441" s="3" t="str">
        <f ca="1">IF(Tabela2[[#This Row],[Dt Venc:]]&gt;TODAY(),"Em Aberto",IF(Tabela2[[#This Row],[D/venc]]="-","Enviado",IF(Tabela2[[#This Row],[Dt Venc:]]=TODAY(),"Vence Hoje","Vencida")))</f>
        <v>Em Aberto</v>
      </c>
      <c r="F7441" s="3">
        <f ca="1">IF(G7441=1,"-",Tabela2[[#This Row],[Dt Venc:]]-TODAY())</f>
        <v>70</v>
      </c>
      <c r="G7441" s="3"/>
      <c r="H7441" s="3"/>
    </row>
    <row r="7442" spans="1:8">
      <c r="A7442" s="3">
        <v>1428509</v>
      </c>
      <c r="B7442" s="7" t="s">
        <v>151</v>
      </c>
      <c r="C7442" s="41">
        <v>385.14</v>
      </c>
      <c r="D7442" s="6">
        <v>45763</v>
      </c>
      <c r="E7442" s="3" t="str">
        <f ca="1">IF(Tabela2[[#This Row],[Dt Venc:]]&gt;TODAY(),"Em Aberto",IF(Tabela2[[#This Row],[D/venc]]="-","Enviado",IF(Tabela2[[#This Row],[Dt Venc:]]=TODAY(),"Vence Hoje","Vencida")))</f>
        <v>Em Aberto</v>
      </c>
      <c r="F7442" s="3">
        <f ca="1">IF(G7442=1,"-",Tabela2[[#This Row],[Dt Venc:]]-TODAY())</f>
        <v>70</v>
      </c>
      <c r="G7442" s="3"/>
      <c r="H7442" s="3"/>
    </row>
    <row r="7443" spans="1:8">
      <c r="A7443" s="3">
        <v>31502</v>
      </c>
      <c r="B7443" s="7" t="s">
        <v>97</v>
      </c>
      <c r="C7443" s="41">
        <v>914</v>
      </c>
      <c r="D7443" s="6">
        <v>45763</v>
      </c>
      <c r="E7443" s="3" t="str">
        <f ca="1">IF(Tabela2[[#This Row],[Dt Venc:]]&gt;TODAY(),"Em Aberto",IF(Tabela2[[#This Row],[D/venc]]="-","Enviado",IF(Tabela2[[#This Row],[Dt Venc:]]=TODAY(),"Vence Hoje","Vencida")))</f>
        <v>Em Aberto</v>
      </c>
      <c r="F7443" s="3">
        <f ca="1">IF(G7443=1,"-",Tabela2[[#This Row],[Dt Venc:]]-TODAY())</f>
        <v>70</v>
      </c>
      <c r="G7443" s="3"/>
      <c r="H7443" s="3"/>
    </row>
    <row r="7444" spans="1:8">
      <c r="A7444" s="3">
        <v>1274273</v>
      </c>
      <c r="B7444" s="7" t="s">
        <v>64</v>
      </c>
      <c r="C7444" s="41">
        <v>2341.36</v>
      </c>
      <c r="D7444" s="6">
        <v>45763</v>
      </c>
      <c r="E7444" s="3" t="str">
        <f ca="1">IF(Tabela2[[#This Row],[Dt Venc:]]&gt;TODAY(),"Em Aberto",IF(Tabela2[[#This Row],[D/venc]]="-","Enviado",IF(Tabela2[[#This Row],[Dt Venc:]]=TODAY(),"Vence Hoje","Vencida")))</f>
        <v>Em Aberto</v>
      </c>
      <c r="F7444" s="3">
        <f ca="1">IF(G7444=1,"-",Tabela2[[#This Row],[Dt Venc:]]-TODAY())</f>
        <v>70</v>
      </c>
      <c r="G7444" s="3"/>
      <c r="H7444" s="3"/>
    </row>
    <row r="7445" spans="1:8">
      <c r="A7445" s="3">
        <v>61</v>
      </c>
      <c r="B7445" s="7" t="s">
        <v>103</v>
      </c>
      <c r="C7445" s="41">
        <v>433.34</v>
      </c>
      <c r="D7445" s="6">
        <v>45764</v>
      </c>
      <c r="E7445" s="3" t="str">
        <f ca="1">IF(Tabela2[[#This Row],[Dt Venc:]]&gt;TODAY(),"Em Aberto",IF(Tabela2[[#This Row],[D/venc]]="-","Enviado",IF(Tabela2[[#This Row],[Dt Venc:]]=TODAY(),"Vence Hoje","Vencida")))</f>
        <v>Em Aberto</v>
      </c>
      <c r="F7445" s="3">
        <f ca="1">IF(G7445=1,"-",Tabela2[[#This Row],[Dt Venc:]]-TODAY())</f>
        <v>71</v>
      </c>
      <c r="G7445" s="3"/>
      <c r="H7445" s="3"/>
    </row>
    <row r="7446" spans="1:8">
      <c r="A7446" s="3">
        <v>6263</v>
      </c>
      <c r="B7446" s="7" t="s">
        <v>140</v>
      </c>
      <c r="C7446" s="41">
        <v>737</v>
      </c>
      <c r="D7446" s="6">
        <v>45764</v>
      </c>
      <c r="E7446" s="3" t="str">
        <f ca="1">IF(Tabela2[[#This Row],[Dt Venc:]]&gt;TODAY(),"Em Aberto",IF(Tabela2[[#This Row],[D/venc]]="-","Enviado",IF(Tabela2[[#This Row],[Dt Venc:]]=TODAY(),"Vence Hoje","Vencida")))</f>
        <v>Em Aberto</v>
      </c>
      <c r="F7446" s="3">
        <f ca="1">IF(G7446=1,"-",Tabela2[[#This Row],[Dt Venc:]]-TODAY())</f>
        <v>71</v>
      </c>
      <c r="G7446" s="3"/>
      <c r="H7446" s="3"/>
    </row>
    <row r="7447" spans="1:8">
      <c r="A7447" s="3">
        <v>6263</v>
      </c>
      <c r="B7447" s="7" t="s">
        <v>140</v>
      </c>
      <c r="C7447" s="41">
        <v>737</v>
      </c>
      <c r="D7447" s="6">
        <v>45764</v>
      </c>
      <c r="E7447" s="3" t="str">
        <f ca="1">IF(Tabela2[[#This Row],[Dt Venc:]]&gt;TODAY(),"Em Aberto",IF(Tabela2[[#This Row],[D/venc]]="-","Enviado",IF(Tabela2[[#This Row],[Dt Venc:]]=TODAY(),"Vence Hoje","Vencida")))</f>
        <v>Em Aberto</v>
      </c>
      <c r="F7447" s="3">
        <f ca="1">IF(G7447=1,"-",Tabela2[[#This Row],[Dt Venc:]]-TODAY())</f>
        <v>71</v>
      </c>
      <c r="G7447" s="3"/>
      <c r="H7447" s="3"/>
    </row>
    <row r="7448" spans="1:8">
      <c r="A7448" s="3">
        <v>11345</v>
      </c>
      <c r="B7448" s="7" t="s">
        <v>33</v>
      </c>
      <c r="C7448" s="41">
        <v>1200</v>
      </c>
      <c r="D7448" s="6">
        <v>45764</v>
      </c>
      <c r="E7448" s="3" t="str">
        <f ca="1">IF(Tabela2[[#This Row],[Dt Venc:]]&gt;TODAY(),"Em Aberto",IF(Tabela2[[#This Row],[D/venc]]="-","Enviado",IF(Tabela2[[#This Row],[Dt Venc:]]=TODAY(),"Vence Hoje","Vencida")))</f>
        <v>Em Aberto</v>
      </c>
      <c r="F7448" s="3">
        <f ca="1">IF(G7448=1,"-",Tabela2[[#This Row],[Dt Venc:]]-TODAY())</f>
        <v>71</v>
      </c>
      <c r="G7448" s="3"/>
      <c r="H7448" s="3"/>
    </row>
    <row r="7449" spans="1:8">
      <c r="A7449" s="3">
        <v>14521</v>
      </c>
      <c r="B7449" s="7" t="s">
        <v>303</v>
      </c>
      <c r="C7449" s="41">
        <v>1446.68</v>
      </c>
      <c r="D7449" s="6">
        <v>45764</v>
      </c>
      <c r="E7449" s="3" t="str">
        <f ca="1">IF(Tabela2[[#This Row],[Dt Venc:]]&gt;TODAY(),"Em Aberto",IF(Tabela2[[#This Row],[D/venc]]="-","Enviado",IF(Tabela2[[#This Row],[Dt Venc:]]=TODAY(),"Vence Hoje","Vencida")))</f>
        <v>Em Aberto</v>
      </c>
      <c r="F7449" s="3">
        <f ca="1">IF(G7449=1,"-",Tabela2[[#This Row],[Dt Venc:]]-TODAY())</f>
        <v>71</v>
      </c>
      <c r="G7449" s="3"/>
      <c r="H7449" s="3"/>
    </row>
    <row r="7450" spans="1:8">
      <c r="A7450" s="3">
        <v>24423</v>
      </c>
      <c r="B7450" s="7" t="s">
        <v>38</v>
      </c>
      <c r="C7450" s="41">
        <v>430</v>
      </c>
      <c r="D7450" s="6">
        <v>45764</v>
      </c>
      <c r="E7450" s="3" t="str">
        <f ca="1">IF(Tabela2[[#This Row],[Dt Venc:]]&gt;TODAY(),"Em Aberto",IF(Tabela2[[#This Row],[D/venc]]="-","Enviado",IF(Tabela2[[#This Row],[Dt Venc:]]=TODAY(),"Vence Hoje","Vencida")))</f>
        <v>Em Aberto</v>
      </c>
      <c r="F7450" s="3">
        <f ca="1">IF(G7450=1,"-",Tabela2[[#This Row],[Dt Venc:]]-TODAY())</f>
        <v>71</v>
      </c>
      <c r="G7450" s="3"/>
      <c r="H7450" s="3"/>
    </row>
    <row r="7451" spans="1:8">
      <c r="A7451" s="3">
        <v>37196</v>
      </c>
      <c r="B7451" s="7" t="s">
        <v>167</v>
      </c>
      <c r="C7451" s="87" t="s">
        <v>32</v>
      </c>
      <c r="D7451" s="6">
        <v>45764</v>
      </c>
      <c r="E7451" s="3" t="str">
        <f ca="1">IF(Tabela2[[#This Row],[Dt Venc:]]&gt;TODAY(),"Em Aberto",IF(Tabela2[[#This Row],[D/venc]]="-","Enviado",IF(Tabela2[[#This Row],[Dt Venc:]]=TODAY(),"Vence Hoje","Vencida")))</f>
        <v>Em Aberto</v>
      </c>
      <c r="F7451" s="3">
        <f ca="1">IF(G7451=1,"-",Tabela2[[#This Row],[Dt Venc:]]-TODAY())</f>
        <v>71</v>
      </c>
      <c r="G7451" s="3"/>
      <c r="H7451" s="3"/>
    </row>
    <row r="7452" spans="1:8">
      <c r="A7452" s="3">
        <v>148380</v>
      </c>
      <c r="B7452" s="7" t="s">
        <v>127</v>
      </c>
      <c r="C7452" s="41">
        <v>624.5</v>
      </c>
      <c r="D7452" s="6">
        <v>45764</v>
      </c>
      <c r="E7452" s="3" t="str">
        <f ca="1">IF(Tabela2[[#This Row],[Dt Venc:]]&gt;TODAY(),"Em Aberto",IF(Tabela2[[#This Row],[D/venc]]="-","Enviado",IF(Tabela2[[#This Row],[Dt Venc:]]=TODAY(),"Vence Hoje","Vencida")))</f>
        <v>Em Aberto</v>
      </c>
      <c r="F7452" s="3">
        <f ca="1">IF(G7452=1,"-",Tabela2[[#This Row],[Dt Venc:]]-TODAY())</f>
        <v>71</v>
      </c>
      <c r="G7452" s="3"/>
      <c r="H7452" s="3"/>
    </row>
    <row r="7453" spans="1:8">
      <c r="A7453" s="3">
        <v>148381</v>
      </c>
      <c r="B7453" s="7" t="s">
        <v>127</v>
      </c>
      <c r="C7453" s="41">
        <v>624.5</v>
      </c>
      <c r="D7453" s="6">
        <v>45764</v>
      </c>
      <c r="E7453" s="3" t="str">
        <f ca="1">IF(Tabela2[[#This Row],[Dt Venc:]]&gt;TODAY(),"Em Aberto",IF(Tabela2[[#This Row],[D/venc]]="-","Enviado",IF(Tabela2[[#This Row],[Dt Venc:]]=TODAY(),"Vence Hoje","Vencida")))</f>
        <v>Em Aberto</v>
      </c>
      <c r="F7453" s="3">
        <f ca="1">IF(G7453=1,"-",Tabela2[[#This Row],[Dt Venc:]]-TODAY())</f>
        <v>71</v>
      </c>
      <c r="G7453" s="3"/>
      <c r="H7453" s="3"/>
    </row>
    <row r="7454" spans="1:8">
      <c r="A7454" s="3">
        <v>155944</v>
      </c>
      <c r="B7454" s="7" t="s">
        <v>77</v>
      </c>
      <c r="C7454" s="41">
        <v>433.33</v>
      </c>
      <c r="D7454" s="6">
        <v>45764</v>
      </c>
      <c r="E7454" s="3" t="str">
        <f ca="1">IF(Tabela2[[#This Row],[Dt Venc:]]&gt;TODAY(),"Em Aberto",IF(Tabela2[[#This Row],[D/venc]]="-","Enviado",IF(Tabela2[[#This Row],[Dt Venc:]]=TODAY(),"Vence Hoje","Vencida")))</f>
        <v>Em Aberto</v>
      </c>
      <c r="F7454" s="3">
        <f ca="1">IF(G7454=1,"-",Tabela2[[#This Row],[Dt Venc:]]-TODAY())</f>
        <v>71</v>
      </c>
      <c r="G7454" s="3"/>
      <c r="H7454" s="3"/>
    </row>
    <row r="7455" spans="1:8">
      <c r="A7455" s="3">
        <v>180028</v>
      </c>
      <c r="B7455" s="7" t="s">
        <v>702</v>
      </c>
      <c r="C7455" s="41">
        <v>2501.34</v>
      </c>
      <c r="D7455" s="6">
        <v>45764</v>
      </c>
      <c r="E7455" s="3" t="str">
        <f ca="1">IF(Tabela2[[#This Row],[Dt Venc:]]&gt;TODAY(),"Em Aberto",IF(Tabela2[[#This Row],[D/venc]]="-","Enviado",IF(Tabela2[[#This Row],[Dt Venc:]]=TODAY(),"Vence Hoje","Vencida")))</f>
        <v>Em Aberto</v>
      </c>
      <c r="F7455" s="3">
        <f ca="1">IF(G7455=1,"-",Tabela2[[#This Row],[Dt Venc:]]-TODAY())</f>
        <v>71</v>
      </c>
      <c r="G7455" s="3"/>
      <c r="H7455" s="3"/>
    </row>
    <row r="7456" spans="1:8">
      <c r="A7456" s="3">
        <v>279301</v>
      </c>
      <c r="B7456" s="7" t="s">
        <v>36</v>
      </c>
      <c r="C7456" s="41">
        <v>520</v>
      </c>
      <c r="D7456" s="6">
        <v>45764</v>
      </c>
      <c r="E7456" s="3" t="str">
        <f ca="1">IF(Tabela2[[#This Row],[Dt Venc:]]&gt;TODAY(),"Em Aberto",IF(Tabela2[[#This Row],[D/venc]]="-","Enviado",IF(Tabela2[[#This Row],[Dt Venc:]]=TODAY(),"Vence Hoje","Vencida")))</f>
        <v>Em Aberto</v>
      </c>
      <c r="F7456" s="3">
        <f ca="1">IF(G7456=1,"-",Tabela2[[#This Row],[Dt Venc:]]-TODAY())</f>
        <v>71</v>
      </c>
      <c r="G7456" s="3"/>
      <c r="H7456" s="3"/>
    </row>
    <row r="7457" spans="1:8">
      <c r="A7457" s="3">
        <v>304143</v>
      </c>
      <c r="B7457" s="7" t="s">
        <v>189</v>
      </c>
      <c r="C7457" s="41">
        <v>15565</v>
      </c>
      <c r="D7457" s="6">
        <v>45764</v>
      </c>
      <c r="E7457" s="3" t="str">
        <f ca="1">IF(Tabela2[[#This Row],[Dt Venc:]]&gt;TODAY(),"Em Aberto",IF(Tabela2[[#This Row],[D/venc]]="-","Enviado",IF(Tabela2[[#This Row],[Dt Venc:]]=TODAY(),"Vence Hoje","Vencida")))</f>
        <v>Em Aberto</v>
      </c>
      <c r="F7457" s="3">
        <f ca="1">IF(G7457=1,"-",Tabela2[[#This Row],[Dt Venc:]]-TODAY())</f>
        <v>71</v>
      </c>
      <c r="G7457" s="3"/>
      <c r="H7457" s="3"/>
    </row>
    <row r="7458" spans="1:8">
      <c r="A7458" s="3">
        <v>304144</v>
      </c>
      <c r="B7458" s="7" t="s">
        <v>189</v>
      </c>
      <c r="C7458" s="41">
        <v>16036.67</v>
      </c>
      <c r="D7458" s="6">
        <v>45764</v>
      </c>
      <c r="E7458" s="3" t="str">
        <f ca="1">IF(Tabela2[[#This Row],[Dt Venc:]]&gt;TODAY(),"Em Aberto",IF(Tabela2[[#This Row],[D/venc]]="-","Enviado",IF(Tabela2[[#This Row],[Dt Venc:]]=TODAY(),"Vence Hoje","Vencida")))</f>
        <v>Em Aberto</v>
      </c>
      <c r="F7458" s="3">
        <f ca="1">IF(G7458=1,"-",Tabela2[[#This Row],[Dt Venc:]]-TODAY())</f>
        <v>71</v>
      </c>
      <c r="G7458" s="3"/>
      <c r="H7458" s="3"/>
    </row>
    <row r="7459" spans="1:8">
      <c r="A7459" s="3">
        <v>304145</v>
      </c>
      <c r="B7459" s="7" t="s">
        <v>189</v>
      </c>
      <c r="C7459" s="41">
        <v>15565</v>
      </c>
      <c r="D7459" s="6">
        <v>45764</v>
      </c>
      <c r="E7459" s="3" t="str">
        <f ca="1">IF(Tabela2[[#This Row],[Dt Venc:]]&gt;TODAY(),"Em Aberto",IF(Tabela2[[#This Row],[D/venc]]="-","Enviado",IF(Tabela2[[#This Row],[Dt Venc:]]=TODAY(),"Vence Hoje","Vencida")))</f>
        <v>Em Aberto</v>
      </c>
      <c r="F7459" s="3">
        <f ca="1">IF(G7459=1,"-",Tabela2[[#This Row],[Dt Venc:]]-TODAY())</f>
        <v>71</v>
      </c>
      <c r="G7459" s="3"/>
      <c r="H7459" s="3"/>
    </row>
    <row r="7460" spans="1:8">
      <c r="A7460" s="3">
        <v>377066</v>
      </c>
      <c r="B7460" s="7" t="s">
        <v>39</v>
      </c>
      <c r="C7460" s="41">
        <v>528.67999999999995</v>
      </c>
      <c r="D7460" s="6">
        <v>45764</v>
      </c>
      <c r="E7460" s="3" t="str">
        <f ca="1">IF(Tabela2[[#This Row],[Dt Venc:]]&gt;TODAY(),"Em Aberto",IF(Tabela2[[#This Row],[D/venc]]="-","Enviado",IF(Tabela2[[#This Row],[Dt Venc:]]=TODAY(),"Vence Hoje","Vencida")))</f>
        <v>Em Aberto</v>
      </c>
      <c r="F7460" s="3">
        <f ca="1">IF(G7460=1,"-",Tabela2[[#This Row],[Dt Venc:]]-TODAY())</f>
        <v>71</v>
      </c>
      <c r="G7460" s="3"/>
      <c r="H7460" s="3"/>
    </row>
    <row r="7461" spans="1:8">
      <c r="A7461" s="3">
        <v>565720</v>
      </c>
      <c r="B7461" s="7" t="s">
        <v>39</v>
      </c>
      <c r="C7461" s="41">
        <v>2448.4699999999998</v>
      </c>
      <c r="D7461" s="6">
        <v>45764</v>
      </c>
      <c r="E7461" s="3" t="str">
        <f ca="1">IF(Tabela2[[#This Row],[Dt Venc:]]&gt;TODAY(),"Em Aberto",IF(Tabela2[[#This Row],[D/venc]]="-","Enviado",IF(Tabela2[[#This Row],[Dt Venc:]]=TODAY(),"Vence Hoje","Vencida")))</f>
        <v>Em Aberto</v>
      </c>
      <c r="F7461" s="3">
        <f ca="1">IF(G7461=1,"-",Tabela2[[#This Row],[Dt Venc:]]-TODAY())</f>
        <v>71</v>
      </c>
      <c r="G7461" s="3"/>
      <c r="H7461" s="3"/>
    </row>
    <row r="7462" spans="1:8">
      <c r="A7462" s="3">
        <v>625808</v>
      </c>
      <c r="B7462" s="7" t="s">
        <v>66</v>
      </c>
      <c r="C7462" s="41">
        <v>900.9</v>
      </c>
      <c r="D7462" s="6">
        <v>45764</v>
      </c>
      <c r="E7462" s="3" t="str">
        <f ca="1">IF(Tabela2[[#This Row],[Dt Venc:]]&gt;TODAY(),"Em Aberto",IF(Tabela2[[#This Row],[D/venc]]="-","Enviado",IF(Tabela2[[#This Row],[Dt Venc:]]=TODAY(),"Vence Hoje","Vencida")))</f>
        <v>Em Aberto</v>
      </c>
      <c r="F7462" s="3">
        <f ca="1">IF(G7462=1,"-",Tabela2[[#This Row],[Dt Venc:]]-TODAY())</f>
        <v>71</v>
      </c>
      <c r="G7462" s="3"/>
      <c r="H7462" s="3"/>
    </row>
    <row r="7463" spans="1:8">
      <c r="A7463" s="3">
        <v>765208</v>
      </c>
      <c r="B7463" s="7" t="s">
        <v>127</v>
      </c>
      <c r="C7463" s="41">
        <v>399.5</v>
      </c>
      <c r="D7463" s="6">
        <v>45764</v>
      </c>
      <c r="E7463" s="3" t="str">
        <f ca="1">IF(Tabela2[[#This Row],[Dt Venc:]]&gt;TODAY(),"Em Aberto",IF(Tabela2[[#This Row],[D/venc]]="-","Enviado",IF(Tabela2[[#This Row],[Dt Venc:]]=TODAY(),"Vence Hoje","Vencida")))</f>
        <v>Em Aberto</v>
      </c>
      <c r="F7463" s="3">
        <f ca="1">IF(G7463=1,"-",Tabela2[[#This Row],[Dt Venc:]]-TODAY())</f>
        <v>71</v>
      </c>
      <c r="G7463" s="3"/>
      <c r="H7463" s="3"/>
    </row>
    <row r="7464" spans="1:8">
      <c r="A7464" s="3">
        <v>765210</v>
      </c>
      <c r="B7464" s="7" t="s">
        <v>127</v>
      </c>
      <c r="C7464" s="41">
        <v>399.5</v>
      </c>
      <c r="D7464" s="6">
        <v>45764</v>
      </c>
      <c r="E7464" s="3" t="str">
        <f ca="1">IF(Tabela2[[#This Row],[Dt Venc:]]&gt;TODAY(),"Em Aberto",IF(Tabela2[[#This Row],[D/venc]]="-","Enviado",IF(Tabela2[[#This Row],[Dt Venc:]]=TODAY(),"Vence Hoje","Vencida")))</f>
        <v>Em Aberto</v>
      </c>
      <c r="F7464" s="3">
        <f ca="1">IF(G7464=1,"-",Tabela2[[#This Row],[Dt Venc:]]-TODAY())</f>
        <v>71</v>
      </c>
      <c r="G7464" s="3"/>
      <c r="H7464" s="3"/>
    </row>
    <row r="7465" spans="1:8">
      <c r="A7465" s="3">
        <v>1428922</v>
      </c>
      <c r="B7465" s="7" t="s">
        <v>151</v>
      </c>
      <c r="C7465" s="41">
        <v>1613.4</v>
      </c>
      <c r="D7465" s="6">
        <v>45764</v>
      </c>
      <c r="E7465" s="3" t="str">
        <f ca="1">IF(Tabela2[[#This Row],[Dt Venc:]]&gt;TODAY(),"Em Aberto",IF(Tabela2[[#This Row],[D/venc]]="-","Enviado",IF(Tabela2[[#This Row],[Dt Venc:]]=TODAY(),"Vence Hoje","Vencida")))</f>
        <v>Em Aberto</v>
      </c>
      <c r="F7465" s="3">
        <f ca="1">IF(G7465=1,"-",Tabela2[[#This Row],[Dt Venc:]]-TODAY())</f>
        <v>71</v>
      </c>
      <c r="G7465" s="3"/>
      <c r="H7465" s="3"/>
    </row>
    <row r="7466" spans="1:8">
      <c r="A7466" s="3">
        <v>306617</v>
      </c>
      <c r="B7466" s="7" t="s">
        <v>506</v>
      </c>
      <c r="C7466" s="41">
        <v>155.04</v>
      </c>
      <c r="D7466" s="6">
        <v>45764</v>
      </c>
      <c r="E7466" s="3" t="str">
        <f ca="1">IF(Tabela2[[#This Row],[Dt Venc:]]&gt;TODAY(),"Em Aberto",IF(Tabela2[[#This Row],[D/venc]]="-","Enviado",IF(Tabela2[[#This Row],[Dt Venc:]]=TODAY(),"Vence Hoje","Vencida")))</f>
        <v>Em Aberto</v>
      </c>
      <c r="F7466" s="3">
        <f ca="1">IF(G7466=1,"-",Tabela2[[#This Row],[Dt Venc:]]-TODAY())</f>
        <v>71</v>
      </c>
      <c r="G7466" s="3"/>
      <c r="H7466" s="3"/>
    </row>
    <row r="7467" spans="1:8">
      <c r="A7467" s="3">
        <v>5793</v>
      </c>
      <c r="B7467" s="7" t="s">
        <v>434</v>
      </c>
      <c r="C7467" s="41">
        <v>1500</v>
      </c>
      <c r="D7467" s="6">
        <v>45765</v>
      </c>
      <c r="E7467" s="3" t="str">
        <f ca="1">IF(Tabela2[[#This Row],[Dt Venc:]]&gt;TODAY(),"Em Aberto",IF(Tabela2[[#This Row],[D/venc]]="-","Enviado",IF(Tabela2[[#This Row],[Dt Venc:]]=TODAY(),"Vence Hoje","Vencida")))</f>
        <v>Em Aberto</v>
      </c>
      <c r="F7467" s="3">
        <f ca="1">IF(G7467=1,"-",Tabela2[[#This Row],[Dt Venc:]]-TODAY())</f>
        <v>72</v>
      </c>
      <c r="G7467" s="3"/>
      <c r="H7467" s="3"/>
    </row>
    <row r="7468" spans="1:8">
      <c r="A7468" s="3">
        <v>23629</v>
      </c>
      <c r="B7468" s="7" t="s">
        <v>632</v>
      </c>
      <c r="C7468" s="41">
        <v>350</v>
      </c>
      <c r="D7468" s="6">
        <v>45765</v>
      </c>
      <c r="E7468" s="3" t="str">
        <f ca="1">IF(Tabela2[[#This Row],[Dt Venc:]]&gt;TODAY(),"Em Aberto",IF(Tabela2[[#This Row],[D/venc]]="-","Enviado",IF(Tabela2[[#This Row],[Dt Venc:]]=TODAY(),"Vence Hoje","Vencida")))</f>
        <v>Em Aberto</v>
      </c>
      <c r="F7468" s="3">
        <f ca="1">IF(G7468=1,"-",Tabela2[[#This Row],[Dt Venc:]]-TODAY())</f>
        <v>72</v>
      </c>
      <c r="G7468" s="3"/>
      <c r="H7468" s="3"/>
    </row>
    <row r="7469" spans="1:8">
      <c r="A7469" s="3">
        <v>30721</v>
      </c>
      <c r="B7469" s="7" t="s">
        <v>226</v>
      </c>
      <c r="C7469" s="41">
        <v>4680</v>
      </c>
      <c r="D7469" s="6">
        <v>45765</v>
      </c>
      <c r="E7469" s="3" t="str">
        <f ca="1">IF(Tabela2[[#This Row],[Dt Venc:]]&gt;TODAY(),"Em Aberto",IF(Tabela2[[#This Row],[D/venc]]="-","Enviado",IF(Tabela2[[#This Row],[Dt Venc:]]=TODAY(),"Vence Hoje","Vencida")))</f>
        <v>Em Aberto</v>
      </c>
      <c r="F7469" s="3">
        <f ca="1">IF(G7469=1,"-",Tabela2[[#This Row],[Dt Venc:]]-TODAY())</f>
        <v>72</v>
      </c>
      <c r="G7469" s="3"/>
      <c r="H7469" s="3"/>
    </row>
    <row r="7470" spans="1:8">
      <c r="A7470" s="3">
        <v>31062</v>
      </c>
      <c r="B7470" s="7" t="s">
        <v>97</v>
      </c>
      <c r="C7470" s="41">
        <v>2055</v>
      </c>
      <c r="D7470" s="6">
        <v>45765</v>
      </c>
      <c r="E7470" s="3" t="str">
        <f ca="1">IF(Tabela2[[#This Row],[Dt Venc:]]&gt;TODAY(),"Em Aberto",IF(Tabela2[[#This Row],[D/venc]]="-","Enviado",IF(Tabela2[[#This Row],[Dt Venc:]]=TODAY(),"Vence Hoje","Vencida")))</f>
        <v>Em Aberto</v>
      </c>
      <c r="F7470" s="3">
        <f ca="1">IF(G7470=1,"-",Tabela2[[#This Row],[Dt Venc:]]-TODAY())</f>
        <v>72</v>
      </c>
      <c r="G7470" s="3"/>
      <c r="H7470" s="3"/>
    </row>
    <row r="7471" spans="1:8">
      <c r="A7471" s="3">
        <v>31251</v>
      </c>
      <c r="B7471" s="7" t="s">
        <v>97</v>
      </c>
      <c r="C7471" s="41">
        <v>857</v>
      </c>
      <c r="D7471" s="6">
        <v>45765</v>
      </c>
      <c r="E7471" s="3" t="str">
        <f ca="1">IF(Tabela2[[#This Row],[Dt Venc:]]&gt;TODAY(),"Em Aberto",IF(Tabela2[[#This Row],[D/venc]]="-","Enviado",IF(Tabela2[[#This Row],[Dt Venc:]]=TODAY(),"Vence Hoje","Vencida")))</f>
        <v>Em Aberto</v>
      </c>
      <c r="F7471" s="3">
        <f ca="1">IF(G7471=1,"-",Tabela2[[#This Row],[Dt Venc:]]-TODAY())</f>
        <v>72</v>
      </c>
      <c r="G7471" s="3"/>
      <c r="H7471" s="3"/>
    </row>
    <row r="7472" spans="1:8">
      <c r="A7472" s="3">
        <v>31871</v>
      </c>
      <c r="B7472" s="7" t="s">
        <v>524</v>
      </c>
      <c r="C7472" s="41">
        <v>4135</v>
      </c>
      <c r="D7472" s="6">
        <v>45765</v>
      </c>
      <c r="E7472" s="3" t="str">
        <f ca="1">IF(Tabela2[[#This Row],[Dt Venc:]]&gt;TODAY(),"Em Aberto",IF(Tabela2[[#This Row],[D/venc]]="-","Enviado",IF(Tabela2[[#This Row],[Dt Venc:]]=TODAY(),"Vence Hoje","Vencida")))</f>
        <v>Em Aberto</v>
      </c>
      <c r="F7472" s="3">
        <f ca="1">IF(G7472=1,"-",Tabela2[[#This Row],[Dt Venc:]]-TODAY())</f>
        <v>72</v>
      </c>
      <c r="G7472" s="3"/>
      <c r="H7472" s="3"/>
    </row>
    <row r="7473" spans="1:8">
      <c r="A7473" s="3">
        <v>180050</v>
      </c>
      <c r="B7473" s="7" t="s">
        <v>702</v>
      </c>
      <c r="C7473" s="41">
        <v>856.66</v>
      </c>
      <c r="D7473" s="6">
        <v>45765</v>
      </c>
      <c r="E7473" s="3" t="str">
        <f ca="1">IF(Tabela2[[#This Row],[Dt Venc:]]&gt;TODAY(),"Em Aberto",IF(Tabela2[[#This Row],[D/venc]]="-","Enviado",IF(Tabela2[[#This Row],[Dt Venc:]]=TODAY(),"Vence Hoje","Vencida")))</f>
        <v>Em Aberto</v>
      </c>
      <c r="F7473" s="3">
        <f ca="1">IF(G7473=1,"-",Tabela2[[#This Row],[Dt Venc:]]-TODAY())</f>
        <v>72</v>
      </c>
      <c r="G7473" s="3"/>
      <c r="H7473" s="3"/>
    </row>
    <row r="7474" spans="1:8">
      <c r="A7474" s="3">
        <v>180051</v>
      </c>
      <c r="B7474" s="7" t="s">
        <v>702</v>
      </c>
      <c r="C7474" s="41">
        <v>606</v>
      </c>
      <c r="D7474" s="6">
        <v>45765</v>
      </c>
      <c r="E7474" s="3" t="str">
        <f ca="1">IF(Tabela2[[#This Row],[Dt Venc:]]&gt;TODAY(),"Em Aberto",IF(Tabela2[[#This Row],[D/venc]]="-","Enviado",IF(Tabela2[[#This Row],[Dt Venc:]]=TODAY(),"Vence Hoje","Vencida")))</f>
        <v>Em Aberto</v>
      </c>
      <c r="F7474" s="3">
        <f ca="1">IF(G7474=1,"-",Tabela2[[#This Row],[Dt Venc:]]-TODAY())</f>
        <v>72</v>
      </c>
      <c r="G7474" s="3"/>
      <c r="H7474" s="3"/>
    </row>
    <row r="7475" spans="1:8">
      <c r="A7475" s="3">
        <v>180056</v>
      </c>
      <c r="B7475" s="7" t="s">
        <v>702</v>
      </c>
      <c r="C7475" s="41">
        <v>700</v>
      </c>
      <c r="D7475" s="6">
        <v>45765</v>
      </c>
      <c r="E7475" s="3" t="str">
        <f ca="1">IF(Tabela2[[#This Row],[Dt Venc:]]&gt;TODAY(),"Em Aberto",IF(Tabela2[[#This Row],[D/venc]]="-","Enviado",IF(Tabela2[[#This Row],[Dt Venc:]]=TODAY(),"Vence Hoje","Vencida")))</f>
        <v>Em Aberto</v>
      </c>
      <c r="F7475" s="3">
        <f ca="1">IF(G7475=1,"-",Tabela2[[#This Row],[Dt Venc:]]-TODAY())</f>
        <v>72</v>
      </c>
      <c r="G7475" s="3"/>
      <c r="H7475" s="3"/>
    </row>
    <row r="7476" spans="1:8">
      <c r="A7476" s="3">
        <v>276695</v>
      </c>
      <c r="B7476" s="7" t="s">
        <v>43</v>
      </c>
      <c r="C7476" s="41">
        <v>2099.3200000000002</v>
      </c>
      <c r="D7476" s="6">
        <v>45765</v>
      </c>
      <c r="E7476" s="3" t="str">
        <f ca="1">IF(Tabela2[[#This Row],[Dt Venc:]]&gt;TODAY(),"Em Aberto",IF(Tabela2[[#This Row],[D/venc]]="-","Enviado",IF(Tabela2[[#This Row],[Dt Venc:]]=TODAY(),"Vence Hoje","Vencida")))</f>
        <v>Em Aberto</v>
      </c>
      <c r="F7476" s="3">
        <f ca="1">IF(G7476=1,"-",Tabela2[[#This Row],[Dt Venc:]]-TODAY())</f>
        <v>72</v>
      </c>
      <c r="G7476" s="3"/>
      <c r="H7476" s="3"/>
    </row>
    <row r="7477" spans="1:8">
      <c r="A7477" s="3">
        <v>306658</v>
      </c>
      <c r="B7477" s="7" t="s">
        <v>506</v>
      </c>
      <c r="C7477" s="41">
        <v>1138</v>
      </c>
      <c r="D7477" s="6">
        <v>45765</v>
      </c>
      <c r="E7477" s="3" t="str">
        <f ca="1">IF(Tabela2[[#This Row],[Dt Venc:]]&gt;TODAY(),"Em Aberto",IF(Tabela2[[#This Row],[D/venc]]="-","Enviado",IF(Tabela2[[#This Row],[Dt Venc:]]=TODAY(),"Vence Hoje","Vencida")))</f>
        <v>Em Aberto</v>
      </c>
      <c r="F7477" s="3">
        <f ca="1">IF(G7477=1,"-",Tabela2[[#This Row],[Dt Venc:]]-TODAY())</f>
        <v>72</v>
      </c>
      <c r="G7477" s="3"/>
      <c r="H7477" s="3"/>
    </row>
    <row r="7478" spans="1:8">
      <c r="A7478" s="3">
        <v>306658</v>
      </c>
      <c r="B7478" s="7" t="s">
        <v>506</v>
      </c>
      <c r="C7478" s="41">
        <v>1138</v>
      </c>
      <c r="D7478" s="6">
        <v>45765</v>
      </c>
      <c r="E7478" s="3" t="str">
        <f ca="1">IF(Tabela2[[#This Row],[Dt Venc:]]&gt;TODAY(),"Em Aberto",IF(Tabela2[[#This Row],[D/venc]]="-","Enviado",IF(Tabela2[[#This Row],[Dt Venc:]]=TODAY(),"Vence Hoje","Vencida")))</f>
        <v>Em Aberto</v>
      </c>
      <c r="F7478" s="3">
        <f ca="1">IF(G7478=1,"-",Tabela2[[#This Row],[Dt Venc:]]-TODAY())</f>
        <v>72</v>
      </c>
      <c r="G7478" s="3"/>
      <c r="H7478" s="3"/>
    </row>
    <row r="7479" spans="1:8">
      <c r="A7479" s="3">
        <v>3018</v>
      </c>
      <c r="B7479" s="7" t="s">
        <v>301</v>
      </c>
      <c r="C7479" s="41">
        <v>2440</v>
      </c>
      <c r="D7479" s="6">
        <v>45766</v>
      </c>
      <c r="E7479" s="3" t="str">
        <f ca="1">IF(Tabela2[[#This Row],[Dt Venc:]]&gt;TODAY(),"Em Aberto",IF(Tabela2[[#This Row],[D/venc]]="-","Enviado",IF(Tabela2[[#This Row],[Dt Venc:]]=TODAY(),"Vence Hoje","Vencida")))</f>
        <v>Em Aberto</v>
      </c>
      <c r="F7479" s="3">
        <f ca="1">IF(G7479=1,"-",Tabela2[[#This Row],[Dt Venc:]]-TODAY())</f>
        <v>73</v>
      </c>
      <c r="G7479" s="3"/>
      <c r="H7479" s="3"/>
    </row>
    <row r="7480" spans="1:8">
      <c r="A7480" s="3">
        <v>5207</v>
      </c>
      <c r="B7480" s="7" t="s">
        <v>463</v>
      </c>
      <c r="C7480" s="41">
        <v>923.75</v>
      </c>
      <c r="D7480" s="6">
        <v>45766</v>
      </c>
      <c r="E7480" s="3" t="str">
        <f ca="1">IF(Tabela2[[#This Row],[Dt Venc:]]&gt;TODAY(),"Em Aberto",IF(Tabela2[[#This Row],[D/venc]]="-","Enviado",IF(Tabela2[[#This Row],[Dt Venc:]]=TODAY(),"Vence Hoje","Vencida")))</f>
        <v>Em Aberto</v>
      </c>
      <c r="F7480" s="3">
        <f ca="1">IF(G7480=1,"-",Tabela2[[#This Row],[Dt Venc:]]-TODAY())</f>
        <v>73</v>
      </c>
      <c r="G7480" s="3"/>
      <c r="H7480" s="3"/>
    </row>
    <row r="7481" spans="1:8">
      <c r="A7481" s="3">
        <v>1805</v>
      </c>
      <c r="B7481" s="7" t="s">
        <v>560</v>
      </c>
      <c r="C7481" s="41">
        <v>439</v>
      </c>
      <c r="D7481" s="6">
        <v>45767</v>
      </c>
      <c r="E7481" s="3" t="str">
        <f ca="1">IF(Tabela2[[#This Row],[Dt Venc:]]&gt;TODAY(),"Em Aberto",IF(Tabela2[[#This Row],[D/venc]]="-","Enviado",IF(Tabela2[[#This Row],[Dt Venc:]]=TODAY(),"Vence Hoje","Vencida")))</f>
        <v>Em Aberto</v>
      </c>
      <c r="F7481" s="3">
        <f ca="1">IF(G7481=1,"-",Tabela2[[#This Row],[Dt Venc:]]-TODAY())</f>
        <v>74</v>
      </c>
      <c r="G7481" s="3"/>
      <c r="H7481" s="3"/>
    </row>
    <row r="7482" spans="1:8">
      <c r="A7482" s="3">
        <v>4843</v>
      </c>
      <c r="B7482" s="7" t="s">
        <v>307</v>
      </c>
      <c r="C7482" s="42">
        <v>9150</v>
      </c>
      <c r="D7482" s="6">
        <v>45767</v>
      </c>
      <c r="E7482" s="3" t="str">
        <f ca="1">IF(Tabela2[[#This Row],[Dt Venc:]]&gt;TODAY(),"Em Aberto",IF(Tabela2[[#This Row],[D/venc]]="-","Enviado",IF(Tabela2[[#This Row],[Dt Venc:]]=TODAY(),"Vence Hoje","Vencida")))</f>
        <v>Em Aberto</v>
      </c>
      <c r="F7482" s="3">
        <f ca="1">IF(G7482=1,"-",Tabela2[[#This Row],[Dt Venc:]]-TODAY())</f>
        <v>74</v>
      </c>
      <c r="G7482" s="3"/>
      <c r="H7482" s="3"/>
    </row>
    <row r="7483" spans="1:8">
      <c r="A7483" s="3">
        <v>6402</v>
      </c>
      <c r="B7483" s="7" t="s">
        <v>47</v>
      </c>
      <c r="C7483" s="41">
        <v>1133.33</v>
      </c>
      <c r="D7483" s="6">
        <v>45767</v>
      </c>
      <c r="E7483" s="3" t="str">
        <f ca="1">IF(Tabela2[[#This Row],[Dt Venc:]]&gt;TODAY(),"Em Aberto",IF(Tabela2[[#This Row],[D/venc]]="-","Enviado",IF(Tabela2[[#This Row],[Dt Venc:]]=TODAY(),"Vence Hoje","Vencida")))</f>
        <v>Em Aberto</v>
      </c>
      <c r="F7483" s="3">
        <f ca="1">IF(G7483=1,"-",Tabela2[[#This Row],[Dt Venc:]]-TODAY())</f>
        <v>74</v>
      </c>
      <c r="G7483" s="3"/>
      <c r="H7483" s="3"/>
    </row>
    <row r="7484" spans="1:8">
      <c r="A7484" s="3">
        <v>24444</v>
      </c>
      <c r="B7484" s="7" t="s">
        <v>38</v>
      </c>
      <c r="C7484" s="41">
        <v>445.33</v>
      </c>
      <c r="D7484" s="6">
        <v>45767</v>
      </c>
      <c r="E7484" s="3" t="str">
        <f ca="1">IF(Tabela2[[#This Row],[Dt Venc:]]&gt;TODAY(),"Em Aberto",IF(Tabela2[[#This Row],[D/venc]]="-","Enviado",IF(Tabela2[[#This Row],[Dt Venc:]]=TODAY(),"Vence Hoje","Vencida")))</f>
        <v>Em Aberto</v>
      </c>
      <c r="F7484" s="3">
        <f ca="1">IF(G7484=1,"-",Tabela2[[#This Row],[Dt Venc:]]-TODAY())</f>
        <v>74</v>
      </c>
      <c r="G7484" s="3"/>
      <c r="H7484" s="3"/>
    </row>
    <row r="7485" spans="1:8">
      <c r="A7485" s="3">
        <v>31300</v>
      </c>
      <c r="B7485" s="7" t="s">
        <v>97</v>
      </c>
      <c r="C7485" s="41">
        <v>2510</v>
      </c>
      <c r="D7485" s="6">
        <v>45767</v>
      </c>
      <c r="E7485" s="3" t="str">
        <f ca="1">IF(Tabela2[[#This Row],[Dt Venc:]]&gt;TODAY(),"Em Aberto",IF(Tabela2[[#This Row],[D/venc]]="-","Enviado",IF(Tabela2[[#This Row],[Dt Venc:]]=TODAY(),"Vence Hoje","Vencida")))</f>
        <v>Em Aberto</v>
      </c>
      <c r="F7485" s="3">
        <f ca="1">IF(G7485=1,"-",Tabela2[[#This Row],[Dt Venc:]]-TODAY())</f>
        <v>74</v>
      </c>
      <c r="G7485" s="3"/>
      <c r="H7485" s="3"/>
    </row>
    <row r="7486" spans="1:8">
      <c r="A7486" s="3">
        <v>155995</v>
      </c>
      <c r="B7486" s="7" t="s">
        <v>77</v>
      </c>
      <c r="C7486" s="41">
        <v>773.33</v>
      </c>
      <c r="D7486" s="6">
        <v>45767</v>
      </c>
      <c r="E7486" s="3" t="str">
        <f ca="1">IF(Tabela2[[#This Row],[Dt Venc:]]&gt;TODAY(),"Em Aberto",IF(Tabela2[[#This Row],[D/venc]]="-","Enviado",IF(Tabela2[[#This Row],[Dt Venc:]]=TODAY(),"Vence Hoje","Vencida")))</f>
        <v>Em Aberto</v>
      </c>
      <c r="F7486" s="3">
        <f ca="1">IF(G7486=1,"-",Tabela2[[#This Row],[Dt Venc:]]-TODAY())</f>
        <v>74</v>
      </c>
      <c r="G7486" s="3"/>
      <c r="H7486" s="3"/>
    </row>
    <row r="7487" spans="1:8">
      <c r="A7487" s="3">
        <v>381900</v>
      </c>
      <c r="B7487" s="7" t="s">
        <v>567</v>
      </c>
      <c r="C7487" s="41">
        <v>558.02</v>
      </c>
      <c r="D7487" s="6">
        <v>45767</v>
      </c>
      <c r="E7487" s="3" t="str">
        <f ca="1">IF(Tabela2[[#This Row],[Dt Venc:]]&gt;TODAY(),"Em Aberto",IF(Tabela2[[#This Row],[D/venc]]="-","Enviado",IF(Tabela2[[#This Row],[Dt Venc:]]=TODAY(),"Vence Hoje","Vencida")))</f>
        <v>Em Aberto</v>
      </c>
      <c r="F7487" s="3">
        <f ca="1">IF(G7487=1,"-",Tabela2[[#This Row],[Dt Venc:]]-TODAY())</f>
        <v>74</v>
      </c>
      <c r="G7487" s="3"/>
      <c r="H7487" s="3"/>
    </row>
    <row r="7488" spans="1:8">
      <c r="A7488" s="3">
        <v>1763</v>
      </c>
      <c r="B7488" s="7" t="s">
        <v>258</v>
      </c>
      <c r="C7488" s="41">
        <v>956.67</v>
      </c>
      <c r="D7488" s="6">
        <v>45768</v>
      </c>
      <c r="E7488" s="3" t="str">
        <f ca="1">IF(Tabela2[[#This Row],[Dt Venc:]]&gt;TODAY(),"Em Aberto",IF(Tabela2[[#This Row],[D/venc]]="-","Enviado",IF(Tabela2[[#This Row],[Dt Venc:]]=TODAY(),"Vence Hoje","Vencida")))</f>
        <v>Em Aberto</v>
      </c>
      <c r="F7488" s="3">
        <f ca="1">IF(G7488=1,"-",Tabela2[[#This Row],[Dt Venc:]]-TODAY())</f>
        <v>75</v>
      </c>
      <c r="G7488" s="3"/>
      <c r="H7488" s="3"/>
    </row>
    <row r="7489" spans="1:8">
      <c r="A7489" s="3">
        <v>5167</v>
      </c>
      <c r="B7489" s="7" t="s">
        <v>463</v>
      </c>
      <c r="C7489" s="41">
        <v>2001.3</v>
      </c>
      <c r="D7489" s="6">
        <v>45768</v>
      </c>
      <c r="E7489" s="3" t="str">
        <f ca="1">IF(Tabela2[[#This Row],[Dt Venc:]]&gt;TODAY(),"Em Aberto",IF(Tabela2[[#This Row],[D/venc]]="-","Enviado",IF(Tabela2[[#This Row],[Dt Venc:]]=TODAY(),"Vence Hoje","Vencida")))</f>
        <v>Em Aberto</v>
      </c>
      <c r="F7489" s="3">
        <f ca="1">IF(G7489=1,"-",Tabela2[[#This Row],[Dt Venc:]]-TODAY())</f>
        <v>75</v>
      </c>
      <c r="G7489" s="3"/>
      <c r="H7489" s="3"/>
    </row>
    <row r="7490" spans="1:8">
      <c r="A7490" s="3">
        <v>30420</v>
      </c>
      <c r="B7490" s="7" t="s">
        <v>18</v>
      </c>
      <c r="C7490" s="41">
        <v>2925</v>
      </c>
      <c r="D7490" s="6">
        <v>45768</v>
      </c>
      <c r="E7490" s="3" t="str">
        <f ca="1">IF(Tabela2[[#This Row],[Dt Venc:]]&gt;TODAY(),"Em Aberto",IF(Tabela2[[#This Row],[D/venc]]="-","Enviado",IF(Tabela2[[#This Row],[Dt Venc:]]=TODAY(),"Vence Hoje","Vencida")))</f>
        <v>Em Aberto</v>
      </c>
      <c r="F7490" s="3">
        <f ca="1">IF(G7490=1,"-",Tabela2[[#This Row],[Dt Venc:]]-TODAY())</f>
        <v>75</v>
      </c>
      <c r="G7490" s="3"/>
      <c r="H7490" s="3"/>
    </row>
    <row r="7491" spans="1:8">
      <c r="A7491" s="3">
        <v>180176</v>
      </c>
      <c r="B7491" s="7" t="s">
        <v>174</v>
      </c>
      <c r="C7491" s="41">
        <v>926.66</v>
      </c>
      <c r="D7491" s="6">
        <v>45768</v>
      </c>
      <c r="E7491" s="3" t="str">
        <f ca="1">IF(Tabela2[[#This Row],[Dt Venc:]]&gt;TODAY(),"Em Aberto",IF(Tabela2[[#This Row],[D/venc]]="-","Enviado",IF(Tabela2[[#This Row],[Dt Venc:]]=TODAY(),"Vence Hoje","Vencida")))</f>
        <v>Em Aberto</v>
      </c>
      <c r="F7491" s="3">
        <f ca="1">IF(G7491=1,"-",Tabela2[[#This Row],[Dt Venc:]]-TODAY())</f>
        <v>75</v>
      </c>
      <c r="G7491" s="3"/>
      <c r="H7491" s="3"/>
    </row>
    <row r="7492" spans="1:8">
      <c r="A7492" s="3">
        <v>185589</v>
      </c>
      <c r="B7492" s="7" t="s">
        <v>42</v>
      </c>
      <c r="C7492" s="41">
        <v>500.3</v>
      </c>
      <c r="D7492" s="6">
        <v>45768</v>
      </c>
      <c r="E7492" s="3" t="str">
        <f ca="1">IF(Tabela2[[#This Row],[Dt Venc:]]&gt;TODAY(),"Em Aberto",IF(Tabela2[[#This Row],[D/venc]]="-","Enviado",IF(Tabela2[[#This Row],[Dt Venc:]]=TODAY(),"Vence Hoje","Vencida")))</f>
        <v>Em Aberto</v>
      </c>
      <c r="F7492" s="3">
        <f ca="1">IF(G7492=1,"-",Tabela2[[#This Row],[Dt Venc:]]-TODAY())</f>
        <v>75</v>
      </c>
      <c r="G7492" s="3"/>
      <c r="H7492" s="3"/>
    </row>
    <row r="7493" spans="1:8">
      <c r="A7493" s="3">
        <v>185602</v>
      </c>
      <c r="B7493" s="7" t="s">
        <v>42</v>
      </c>
      <c r="C7493" s="41">
        <v>1379.86</v>
      </c>
      <c r="D7493" s="6">
        <v>45768</v>
      </c>
      <c r="E7493" s="3" t="str">
        <f ca="1">IF(Tabela2[[#This Row],[Dt Venc:]]&gt;TODAY(),"Em Aberto",IF(Tabela2[[#This Row],[D/venc]]="-","Enviado",IF(Tabela2[[#This Row],[Dt Venc:]]=TODAY(),"Vence Hoje","Vencida")))</f>
        <v>Em Aberto</v>
      </c>
      <c r="F7493" s="3">
        <f ca="1">IF(G7493=1,"-",Tabela2[[#This Row],[Dt Venc:]]-TODAY())</f>
        <v>75</v>
      </c>
      <c r="G7493" s="3"/>
      <c r="H7493" s="3"/>
    </row>
    <row r="7494" spans="1:8">
      <c r="A7494" s="3">
        <v>401307</v>
      </c>
      <c r="B7494" s="7" t="s">
        <v>596</v>
      </c>
      <c r="C7494" s="41">
        <v>1870</v>
      </c>
      <c r="D7494" s="6">
        <v>45768</v>
      </c>
      <c r="E7494" s="3" t="str">
        <f ca="1">IF(Tabela2[[#This Row],[Dt Venc:]]&gt;TODAY(),"Em Aberto",IF(Tabela2[[#This Row],[D/venc]]="-","Enviado",IF(Tabela2[[#This Row],[Dt Venc:]]=TODAY(),"Vence Hoje","Vencida")))</f>
        <v>Em Aberto</v>
      </c>
      <c r="F7494" s="3">
        <f ca="1">IF(G7494=1,"-",Tabela2[[#This Row],[Dt Venc:]]-TODAY())</f>
        <v>75</v>
      </c>
      <c r="G7494" s="3"/>
      <c r="H7494" s="3"/>
    </row>
    <row r="7495" spans="1:8">
      <c r="A7495" s="3">
        <v>2981</v>
      </c>
      <c r="B7495" s="7" t="s">
        <v>58</v>
      </c>
      <c r="C7495" s="41">
        <v>1700.6</v>
      </c>
      <c r="D7495" s="6">
        <v>45768</v>
      </c>
      <c r="E7495" s="3" t="str">
        <f ca="1">IF(Tabela2[[#This Row],[Dt Venc:]]&gt;TODAY(),"Em Aberto",IF(Tabela2[[#This Row],[D/venc]]="-","Enviado",IF(Tabela2[[#This Row],[Dt Venc:]]=TODAY(),"Vence Hoje","Vencida")))</f>
        <v>Em Aberto</v>
      </c>
      <c r="F7495" s="3">
        <f ca="1">IF(G7495=1,"-",Tabela2[[#This Row],[Dt Venc:]]-TODAY())</f>
        <v>75</v>
      </c>
      <c r="G7495" s="3"/>
      <c r="H7495" s="3"/>
    </row>
    <row r="7496" spans="1:8">
      <c r="A7496" s="3">
        <v>1821</v>
      </c>
      <c r="B7496" s="7" t="s">
        <v>78</v>
      </c>
      <c r="C7496" s="41">
        <v>451</v>
      </c>
      <c r="D7496" s="6">
        <v>45768</v>
      </c>
      <c r="E7496" s="3" t="str">
        <f ca="1">IF(Tabela2[[#This Row],[Dt Venc:]]&gt;TODAY(),"Em Aberto",IF(Tabela2[[#This Row],[D/venc]]="-","Enviado",IF(Tabela2[[#This Row],[Dt Venc:]]=TODAY(),"Vence Hoje","Vencida")))</f>
        <v>Em Aberto</v>
      </c>
      <c r="F7496" s="3">
        <f ca="1">IF(G7496=1,"-",Tabela2[[#This Row],[Dt Venc:]]-TODAY())</f>
        <v>75</v>
      </c>
      <c r="G7496" s="3"/>
      <c r="H7496" s="3"/>
    </row>
    <row r="7497" spans="1:8">
      <c r="A7497" s="3">
        <v>2389</v>
      </c>
      <c r="B7497" s="7" t="s">
        <v>45</v>
      </c>
      <c r="C7497" s="41">
        <v>751</v>
      </c>
      <c r="D7497" s="6">
        <v>45768</v>
      </c>
      <c r="E7497" s="3" t="str">
        <f ca="1">IF(Tabela2[[#This Row],[Dt Venc:]]&gt;TODAY(),"Em Aberto",IF(Tabela2[[#This Row],[D/venc]]="-","Enviado",IF(Tabela2[[#This Row],[Dt Venc:]]=TODAY(),"Vence Hoje","Vencida")))</f>
        <v>Em Aberto</v>
      </c>
      <c r="F7497" s="3">
        <f ca="1">IF(G7497=1,"-",Tabela2[[#This Row],[Dt Venc:]]-TODAY())</f>
        <v>75</v>
      </c>
      <c r="G7497" s="3"/>
      <c r="H7497" s="3"/>
    </row>
    <row r="7498" spans="1:8">
      <c r="A7498" s="3">
        <v>1414</v>
      </c>
      <c r="B7498" s="7" t="s">
        <v>113</v>
      </c>
      <c r="C7498" s="41">
        <v>1316.66</v>
      </c>
      <c r="D7498" s="6">
        <v>45769</v>
      </c>
      <c r="E7498" s="3" t="str">
        <f ca="1">IF(Tabela2[[#This Row],[Dt Venc:]]&gt;TODAY(),"Em Aberto",IF(Tabela2[[#This Row],[D/venc]]="-","Enviado",IF(Tabela2[[#This Row],[Dt Venc:]]=TODAY(),"Vence Hoje","Vencida")))</f>
        <v>Em Aberto</v>
      </c>
      <c r="F7498" s="3">
        <f ca="1">IF(G7498=1,"-",Tabela2[[#This Row],[Dt Venc:]]-TODAY())</f>
        <v>76</v>
      </c>
      <c r="G7498" s="3"/>
      <c r="H7498" s="3"/>
    </row>
    <row r="7499" spans="1:8">
      <c r="A7499" s="3">
        <v>31063</v>
      </c>
      <c r="B7499" s="7" t="s">
        <v>97</v>
      </c>
      <c r="C7499" s="41">
        <v>2395</v>
      </c>
      <c r="D7499" s="6">
        <v>45769</v>
      </c>
      <c r="E7499" s="3" t="str">
        <f ca="1">IF(Tabela2[[#This Row],[Dt Venc:]]&gt;TODAY(),"Em Aberto",IF(Tabela2[[#This Row],[D/venc]]="-","Enviado",IF(Tabela2[[#This Row],[Dt Venc:]]=TODAY(),"Vence Hoje","Vencida")))</f>
        <v>Em Aberto</v>
      </c>
      <c r="F7499" s="3">
        <f ca="1">IF(G7499=1,"-",Tabela2[[#This Row],[Dt Venc:]]-TODAY())</f>
        <v>76</v>
      </c>
      <c r="G7499" s="3"/>
      <c r="H7499" s="3"/>
    </row>
    <row r="7500" spans="1:8">
      <c r="A7500" s="3">
        <v>37348</v>
      </c>
      <c r="B7500" s="7" t="s">
        <v>167</v>
      </c>
      <c r="C7500" s="100" t="s">
        <v>32</v>
      </c>
      <c r="D7500" s="6">
        <v>45769</v>
      </c>
      <c r="E7500" s="3" t="str">
        <f ca="1">IF(Tabela2[[#This Row],[Dt Venc:]]&gt;TODAY(),"Em Aberto",IF(Tabela2[[#This Row],[D/venc]]="-","Enviado",IF(Tabela2[[#This Row],[Dt Venc:]]=TODAY(),"Vence Hoje","Vencida")))</f>
        <v>Em Aberto</v>
      </c>
      <c r="F7500" s="3">
        <f ca="1">IF(G7500=1,"-",Tabela2[[#This Row],[Dt Venc:]]-TODAY())</f>
        <v>76</v>
      </c>
      <c r="G7500" s="3"/>
      <c r="H7500" s="3"/>
    </row>
    <row r="7501" spans="1:8">
      <c r="A7501" s="3">
        <v>102128</v>
      </c>
      <c r="B7501" s="7" t="s">
        <v>70</v>
      </c>
      <c r="C7501" s="41">
        <v>796.86</v>
      </c>
      <c r="D7501" s="6">
        <v>45769</v>
      </c>
      <c r="E7501" s="3" t="str">
        <f ca="1">IF(Tabela2[[#This Row],[Dt Venc:]]&gt;TODAY(),"Em Aberto",IF(Tabela2[[#This Row],[D/venc]]="-","Enviado",IF(Tabela2[[#This Row],[Dt Venc:]]=TODAY(),"Vence Hoje","Vencida")))</f>
        <v>Em Aberto</v>
      </c>
      <c r="F7501" s="3">
        <f ca="1">IF(G7501=1,"-",Tabela2[[#This Row],[Dt Venc:]]-TODAY())</f>
        <v>76</v>
      </c>
      <c r="G7501" s="3"/>
      <c r="H7501" s="3"/>
    </row>
    <row r="7502" spans="1:8">
      <c r="A7502" s="3">
        <v>156053</v>
      </c>
      <c r="B7502" s="7" t="s">
        <v>77</v>
      </c>
      <c r="C7502" s="41">
        <v>773.33</v>
      </c>
      <c r="D7502" s="6">
        <v>45769</v>
      </c>
      <c r="E7502" s="3" t="str">
        <f ca="1">IF(Tabela2[[#This Row],[Dt Venc:]]&gt;TODAY(),"Em Aberto",IF(Tabela2[[#This Row],[D/venc]]="-","Enviado",IF(Tabela2[[#This Row],[Dt Venc:]]=TODAY(),"Vence Hoje","Vencida")))</f>
        <v>Em Aberto</v>
      </c>
      <c r="F7502" s="3">
        <f ca="1">IF(G7502=1,"-",Tabela2[[#This Row],[Dt Venc:]]-TODAY())</f>
        <v>76</v>
      </c>
      <c r="G7502" s="3"/>
      <c r="H7502" s="3"/>
    </row>
    <row r="7503" spans="1:8">
      <c r="A7503" s="3">
        <v>156054</v>
      </c>
      <c r="B7503" s="7" t="s">
        <v>77</v>
      </c>
      <c r="C7503" s="41">
        <v>1233.33</v>
      </c>
      <c r="D7503" s="6">
        <v>45769</v>
      </c>
      <c r="E7503" s="3" t="str">
        <f ca="1">IF(Tabela2[[#This Row],[Dt Venc:]]&gt;TODAY(),"Em Aberto",IF(Tabela2[[#This Row],[D/venc]]="-","Enviado",IF(Tabela2[[#This Row],[Dt Venc:]]=TODAY(),"Vence Hoje","Vencida")))</f>
        <v>Em Aberto</v>
      </c>
      <c r="F7503" s="3">
        <f ca="1">IF(G7503=1,"-",Tabela2[[#This Row],[Dt Venc:]]-TODAY())</f>
        <v>76</v>
      </c>
      <c r="G7503" s="3"/>
      <c r="H7503" s="3"/>
    </row>
    <row r="7504" spans="1:8">
      <c r="A7504" s="3">
        <v>14358</v>
      </c>
      <c r="B7504" s="7" t="s">
        <v>721</v>
      </c>
      <c r="C7504" s="41">
        <v>398.14</v>
      </c>
      <c r="D7504" s="6">
        <v>45769</v>
      </c>
      <c r="E7504" s="3" t="str">
        <f ca="1">IF(Tabela2[[#This Row],[Dt Venc:]]&gt;TODAY(),"Em Aberto",IF(Tabela2[[#This Row],[D/venc]]="-","Enviado",IF(Tabela2[[#This Row],[Dt Venc:]]=TODAY(),"Vence Hoje","Vencida")))</f>
        <v>Em Aberto</v>
      </c>
      <c r="F7504" s="3">
        <f ca="1">IF(G7504=1,"-",Tabela2[[#This Row],[Dt Venc:]]-TODAY())</f>
        <v>76</v>
      </c>
      <c r="G7504" s="3"/>
      <c r="H7504" s="3"/>
    </row>
    <row r="7505" spans="1:8">
      <c r="A7505" s="3">
        <v>33187</v>
      </c>
      <c r="B7505" s="7" t="s">
        <v>98</v>
      </c>
      <c r="C7505" s="41">
        <v>829.6</v>
      </c>
      <c r="D7505" s="6">
        <v>45769</v>
      </c>
      <c r="E7505" s="3" t="str">
        <f ca="1">IF(Tabela2[[#This Row],[Dt Venc:]]&gt;TODAY(),"Em Aberto",IF(Tabela2[[#This Row],[D/venc]]="-","Enviado",IF(Tabela2[[#This Row],[Dt Venc:]]=TODAY(),"Vence Hoje","Vencida")))</f>
        <v>Em Aberto</v>
      </c>
      <c r="F7505" s="3">
        <f ca="1">IF(G7505=1,"-",Tabela2[[#This Row],[Dt Venc:]]-TODAY())</f>
        <v>76</v>
      </c>
      <c r="G7505" s="3"/>
      <c r="H7505" s="3"/>
    </row>
    <row r="7506" spans="1:8">
      <c r="A7506" s="3">
        <v>185671</v>
      </c>
      <c r="B7506" s="7" t="s">
        <v>42</v>
      </c>
      <c r="C7506" s="41">
        <v>1170.6600000000001</v>
      </c>
      <c r="D7506" s="6">
        <v>45769</v>
      </c>
      <c r="E7506" s="3" t="str">
        <f ca="1">IF(Tabela2[[#This Row],[Dt Venc:]]&gt;TODAY(),"Em Aberto",IF(Tabela2[[#This Row],[D/venc]]="-","Enviado",IF(Tabela2[[#This Row],[Dt Venc:]]=TODAY(),"Vence Hoje","Vencida")))</f>
        <v>Em Aberto</v>
      </c>
      <c r="F7506" s="3">
        <f ca="1">IF(G7506=1,"-",Tabela2[[#This Row],[Dt Venc:]]-TODAY())</f>
        <v>76</v>
      </c>
      <c r="G7506" s="3"/>
      <c r="H7506" s="3"/>
    </row>
    <row r="7507" spans="1:8">
      <c r="A7507" s="3">
        <v>306791</v>
      </c>
      <c r="B7507" s="7" t="s">
        <v>506</v>
      </c>
      <c r="C7507" s="41">
        <v>3286.68</v>
      </c>
      <c r="D7507" s="6">
        <v>45769</v>
      </c>
      <c r="E7507" s="3" t="str">
        <f ca="1">IF(Tabela2[[#This Row],[Dt Venc:]]&gt;TODAY(),"Em Aberto",IF(Tabela2[[#This Row],[D/venc]]="-","Enviado",IF(Tabela2[[#This Row],[Dt Venc:]]=TODAY(),"Vence Hoje","Vencida")))</f>
        <v>Em Aberto</v>
      </c>
      <c r="F7507" s="3">
        <f ca="1">IF(G7507=1,"-",Tabela2[[#This Row],[Dt Venc:]]-TODAY())</f>
        <v>76</v>
      </c>
      <c r="G7507" s="3"/>
      <c r="H7507" s="3"/>
    </row>
    <row r="7508" spans="1:8">
      <c r="A7508" s="3">
        <v>207057</v>
      </c>
      <c r="B7508" s="7" t="s">
        <v>200</v>
      </c>
      <c r="C7508" s="41">
        <v>1200</v>
      </c>
      <c r="D7508" s="6">
        <v>45769</v>
      </c>
      <c r="E7508" s="3" t="str">
        <f ca="1">IF(Tabela2[[#This Row],[Dt Venc:]]&gt;TODAY(),"Em Aberto",IF(Tabela2[[#This Row],[D/venc]]="-","Enviado",IF(Tabela2[[#This Row],[Dt Venc:]]=TODAY(),"Vence Hoje","Vencida")))</f>
        <v>Em Aberto</v>
      </c>
      <c r="F7508" s="3">
        <f ca="1">IF(G7508=1,"-",Tabela2[[#This Row],[Dt Venc:]]-TODAY())</f>
        <v>76</v>
      </c>
      <c r="G7508" s="3"/>
      <c r="H7508" s="3"/>
    </row>
    <row r="7509" spans="1:8">
      <c r="A7509" s="3" t="s">
        <v>110</v>
      </c>
      <c r="B7509" s="7" t="s">
        <v>337</v>
      </c>
      <c r="C7509" s="42" t="s">
        <v>32</v>
      </c>
      <c r="D7509" s="6">
        <v>45770</v>
      </c>
      <c r="E7509" s="3" t="str">
        <f ca="1">IF(Tabela2[[#This Row],[Dt Venc:]]&gt;TODAY(),"Em Aberto",IF(Tabela2[[#This Row],[D/venc]]="-","Enviado",IF(Tabela2[[#This Row],[Dt Venc:]]=TODAY(),"Vence Hoje","Vencida")))</f>
        <v>Em Aberto</v>
      </c>
      <c r="F7509" s="3">
        <f ca="1">IF(G7509=1,"-",Tabela2[[#This Row],[Dt Venc:]]-TODAY())</f>
        <v>77</v>
      </c>
      <c r="G7509" s="3"/>
      <c r="H7509" s="3"/>
    </row>
    <row r="7510" spans="1:8">
      <c r="A7510" s="3">
        <v>5166</v>
      </c>
      <c r="B7510" s="7" t="s">
        <v>463</v>
      </c>
      <c r="C7510" s="41">
        <v>2001.3</v>
      </c>
      <c r="D7510" s="6">
        <v>45770</v>
      </c>
      <c r="E7510" s="3" t="str">
        <f ca="1">IF(Tabela2[[#This Row],[Dt Venc:]]&gt;TODAY(),"Em Aberto",IF(Tabela2[[#This Row],[D/venc]]="-","Enviado",IF(Tabela2[[#This Row],[Dt Venc:]]=TODAY(),"Vence Hoje","Vencida")))</f>
        <v>Em Aberto</v>
      </c>
      <c r="F7510" s="3">
        <f ca="1">IF(G7510=1,"-",Tabela2[[#This Row],[Dt Venc:]]-TODAY())</f>
        <v>77</v>
      </c>
      <c r="G7510" s="3"/>
      <c r="H7510" s="3"/>
    </row>
    <row r="7511" spans="1:8">
      <c r="A7511" s="3">
        <v>11369</v>
      </c>
      <c r="B7511" s="7" t="s">
        <v>33</v>
      </c>
      <c r="C7511" s="41">
        <v>1676.66</v>
      </c>
      <c r="D7511" s="6">
        <v>45770</v>
      </c>
      <c r="E7511" s="3" t="str">
        <f ca="1">IF(Tabela2[[#This Row],[Dt Venc:]]&gt;TODAY(),"Em Aberto",IF(Tabela2[[#This Row],[D/venc]]="-","Enviado",IF(Tabela2[[#This Row],[Dt Venc:]]=TODAY(),"Vence Hoje","Vencida")))</f>
        <v>Em Aberto</v>
      </c>
      <c r="F7511" s="3">
        <f ca="1">IF(G7511=1,"-",Tabela2[[#This Row],[Dt Venc:]]-TODAY())</f>
        <v>77</v>
      </c>
      <c r="G7511" s="3"/>
      <c r="H7511" s="3"/>
    </row>
    <row r="7512" spans="1:8">
      <c r="A7512" s="3">
        <v>31397</v>
      </c>
      <c r="B7512" s="7" t="s">
        <v>97</v>
      </c>
      <c r="C7512" s="41">
        <v>1710</v>
      </c>
      <c r="D7512" s="6">
        <v>45770</v>
      </c>
      <c r="E7512" s="3" t="str">
        <f ca="1">IF(Tabela2[[#This Row],[Dt Venc:]]&gt;TODAY(),"Em Aberto",IF(Tabela2[[#This Row],[D/venc]]="-","Enviado",IF(Tabela2[[#This Row],[Dt Venc:]]=TODAY(),"Vence Hoje","Vencida")))</f>
        <v>Em Aberto</v>
      </c>
      <c r="F7512" s="3">
        <f ca="1">IF(G7512=1,"-",Tabela2[[#This Row],[Dt Venc:]]-TODAY())</f>
        <v>77</v>
      </c>
      <c r="G7512" s="3"/>
      <c r="H7512" s="3"/>
    </row>
    <row r="7513" spans="1:8">
      <c r="A7513" s="3">
        <v>53778</v>
      </c>
      <c r="B7513" s="7" t="s">
        <v>144</v>
      </c>
      <c r="C7513" s="41">
        <v>1096</v>
      </c>
      <c r="D7513" s="6">
        <v>45770</v>
      </c>
      <c r="E7513" s="3" t="str">
        <f ca="1">IF(Tabela2[[#This Row],[Dt Venc:]]&gt;TODAY(),"Em Aberto",IF(Tabela2[[#This Row],[D/venc]]="-","Enviado",IF(Tabela2[[#This Row],[Dt Venc:]]=TODAY(),"Vence Hoje","Vencida")))</f>
        <v>Em Aberto</v>
      </c>
      <c r="F7513" s="3">
        <f ca="1">IF(G7513=1,"-",Tabela2[[#This Row],[Dt Venc:]]-TODAY())</f>
        <v>77</v>
      </c>
      <c r="G7513" s="3"/>
      <c r="H7513" s="3"/>
    </row>
    <row r="7514" spans="1:8">
      <c r="A7514" s="3">
        <v>451097</v>
      </c>
      <c r="B7514" s="7" t="s">
        <v>512</v>
      </c>
      <c r="C7514" s="41">
        <v>2380.4499999999998</v>
      </c>
      <c r="D7514" s="6">
        <v>45770</v>
      </c>
      <c r="E7514" s="3" t="str">
        <f ca="1">IF(Tabela2[[#This Row],[Dt Venc:]]&gt;TODAY(),"Em Aberto",IF(Tabela2[[#This Row],[D/venc]]="-","Enviado",IF(Tabela2[[#This Row],[Dt Venc:]]=TODAY(),"Vence Hoje","Vencida")))</f>
        <v>Em Aberto</v>
      </c>
      <c r="F7514" s="3">
        <f ca="1">IF(G7514=1,"-",Tabela2[[#This Row],[Dt Venc:]]-TODAY())</f>
        <v>77</v>
      </c>
      <c r="G7514" s="3"/>
      <c r="H7514" s="3"/>
    </row>
    <row r="7515" spans="1:8">
      <c r="A7515" s="3">
        <v>654537</v>
      </c>
      <c r="B7515" s="7" t="s">
        <v>648</v>
      </c>
      <c r="C7515" s="87" t="s">
        <v>32</v>
      </c>
      <c r="D7515" s="6">
        <v>45770</v>
      </c>
      <c r="E7515" s="3" t="str">
        <f ca="1">IF(Tabela2[[#This Row],[Dt Venc:]]&gt;TODAY(),"Em Aberto",IF(Tabela2[[#This Row],[D/venc]]="-","Enviado",IF(Tabela2[[#This Row],[Dt Venc:]]=TODAY(),"Vence Hoje","Vencida")))</f>
        <v>Em Aberto</v>
      </c>
      <c r="F7515" s="3">
        <f ca="1">IF(G7515=1,"-",Tabela2[[#This Row],[Dt Venc:]]-TODAY())</f>
        <v>77</v>
      </c>
      <c r="G7515" s="3"/>
      <c r="H7515" s="3"/>
    </row>
    <row r="7516" spans="1:8">
      <c r="A7516" s="3">
        <v>626591</v>
      </c>
      <c r="B7516" s="7" t="s">
        <v>66</v>
      </c>
      <c r="C7516" s="41">
        <v>429</v>
      </c>
      <c r="D7516" s="6">
        <v>45770</v>
      </c>
      <c r="E7516" s="3" t="str">
        <f ca="1">IF(Tabela2[[#This Row],[Dt Venc:]]&gt;TODAY(),"Em Aberto",IF(Tabela2[[#This Row],[D/venc]]="-","Enviado",IF(Tabela2[[#This Row],[Dt Venc:]]=TODAY(),"Vence Hoje","Vencida")))</f>
        <v>Em Aberto</v>
      </c>
      <c r="F7516" s="3">
        <f ca="1">IF(G7516=1,"-",Tabela2[[#This Row],[Dt Venc:]]-TODAY())</f>
        <v>77</v>
      </c>
      <c r="G7516" s="3"/>
      <c r="H7516" s="3"/>
    </row>
    <row r="7517" spans="1:8">
      <c r="A7517" s="3">
        <v>286186</v>
      </c>
      <c r="B7517" s="7" t="s">
        <v>43</v>
      </c>
      <c r="C7517" s="41">
        <v>719.64</v>
      </c>
      <c r="D7517" s="6">
        <v>45770</v>
      </c>
      <c r="E7517" s="3" t="str">
        <f ca="1">IF(Tabela2[[#This Row],[Dt Venc:]]&gt;TODAY(),"Em Aberto",IF(Tabela2[[#This Row],[D/venc]]="-","Enviado",IF(Tabela2[[#This Row],[Dt Venc:]]=TODAY(),"Vence Hoje","Vencida")))</f>
        <v>Em Aberto</v>
      </c>
      <c r="F7517" s="3">
        <f ca="1">IF(G7517=1,"-",Tabela2[[#This Row],[Dt Venc:]]-TODAY())</f>
        <v>77</v>
      </c>
      <c r="G7517" s="3"/>
      <c r="H7517" s="3"/>
    </row>
    <row r="7518" spans="1:8">
      <c r="A7518" s="3">
        <v>306838</v>
      </c>
      <c r="B7518" s="7" t="s">
        <v>506</v>
      </c>
      <c r="C7518" s="41">
        <v>358.5</v>
      </c>
      <c r="D7518" s="6">
        <v>45770</v>
      </c>
      <c r="E7518" s="3" t="str">
        <f ca="1">IF(Tabela2[[#This Row],[Dt Venc:]]&gt;TODAY(),"Em Aberto",IF(Tabela2[[#This Row],[D/venc]]="-","Enviado",IF(Tabela2[[#This Row],[Dt Venc:]]=TODAY(),"Vence Hoje","Vencida")))</f>
        <v>Em Aberto</v>
      </c>
      <c r="F7518" s="3">
        <f ca="1">IF(G7518=1,"-",Tabela2[[#This Row],[Dt Venc:]]-TODAY())</f>
        <v>77</v>
      </c>
      <c r="G7518" s="3"/>
      <c r="H7518" s="3"/>
    </row>
    <row r="7519" spans="1:8">
      <c r="A7519" s="3">
        <v>16235</v>
      </c>
      <c r="B7519" s="7" t="s">
        <v>289</v>
      </c>
      <c r="C7519" s="41">
        <v>500</v>
      </c>
      <c r="D7519" s="6">
        <v>45770</v>
      </c>
      <c r="E7519" s="3" t="str">
        <f ca="1">IF(Tabela2[[#This Row],[Dt Venc:]]&gt;TODAY(),"Em Aberto",IF(Tabela2[[#This Row],[D/venc]]="-","Enviado",IF(Tabela2[[#This Row],[Dt Venc:]]=TODAY(),"Vence Hoje","Vencida")))</f>
        <v>Em Aberto</v>
      </c>
      <c r="F7519" s="3">
        <f ca="1">IF(G7519=1,"-",Tabela2[[#This Row],[Dt Venc:]]-TODAY())</f>
        <v>77</v>
      </c>
      <c r="G7519" s="3"/>
      <c r="H7519" s="3"/>
    </row>
    <row r="7520" spans="1:8">
      <c r="A7520" s="3">
        <v>75398</v>
      </c>
      <c r="B7520" s="7" t="s">
        <v>76</v>
      </c>
      <c r="C7520" s="41">
        <v>1917.47</v>
      </c>
      <c r="D7520" s="6">
        <v>45770</v>
      </c>
      <c r="E7520" s="3" t="str">
        <f ca="1">IF(Tabela2[[#This Row],[Dt Venc:]]&gt;TODAY(),"Em Aberto",IF(Tabela2[[#This Row],[D/venc]]="-","Enviado",IF(Tabela2[[#This Row],[Dt Venc:]]=TODAY(),"Vence Hoje","Vencida")))</f>
        <v>Em Aberto</v>
      </c>
      <c r="F7520" s="3">
        <f ca="1">IF(G7520=1,"-",Tabela2[[#This Row],[Dt Venc:]]-TODAY())</f>
        <v>77</v>
      </c>
      <c r="G7520" s="3"/>
      <c r="H7520" s="3"/>
    </row>
    <row r="7521" spans="1:8">
      <c r="A7521" s="3">
        <v>23703</v>
      </c>
      <c r="B7521" s="7" t="s">
        <v>712</v>
      </c>
      <c r="C7521" s="41">
        <v>862.5</v>
      </c>
      <c r="D7521" s="6">
        <v>45770</v>
      </c>
      <c r="E7521" s="3" t="str">
        <f ca="1">IF(Tabela2[[#This Row],[Dt Venc:]]&gt;TODAY(),"Em Aberto",IF(Tabela2[[#This Row],[D/venc]]="-","Enviado",IF(Tabela2[[#This Row],[Dt Venc:]]=TODAY(),"Vence Hoje","Vencida")))</f>
        <v>Em Aberto</v>
      </c>
      <c r="F7521" s="3">
        <f ca="1">IF(G7521=1,"-",Tabela2[[#This Row],[Dt Venc:]]-TODAY())</f>
        <v>77</v>
      </c>
      <c r="G7521" s="3"/>
      <c r="H7521" s="3"/>
    </row>
    <row r="7522" spans="1:8">
      <c r="A7522" s="3">
        <v>138806</v>
      </c>
      <c r="B7522" s="7" t="s">
        <v>144</v>
      </c>
      <c r="C7522" s="41">
        <v>427.46</v>
      </c>
      <c r="D7522" s="6">
        <v>45771</v>
      </c>
      <c r="E7522" s="3" t="str">
        <f ca="1">IF(Tabela2[[#This Row],[Dt Venc:]]&gt;TODAY(),"Em Aberto",IF(Tabela2[[#This Row],[D/venc]]="-","Enviado",IF(Tabela2[[#This Row],[Dt Venc:]]=TODAY(),"Vence Hoje","Vencida")))</f>
        <v>Em Aberto</v>
      </c>
      <c r="F7522" s="3">
        <f ca="1">IF(G7522=1,"-",Tabela2[[#This Row],[Dt Venc:]]-TODAY())</f>
        <v>78</v>
      </c>
      <c r="G7522" s="3"/>
      <c r="H7522" s="3"/>
    </row>
    <row r="7523" spans="1:8">
      <c r="A7523" s="3">
        <v>157332</v>
      </c>
      <c r="B7523" s="7" t="s">
        <v>486</v>
      </c>
      <c r="C7523" s="41">
        <v>1722</v>
      </c>
      <c r="D7523" s="6">
        <v>45771</v>
      </c>
      <c r="E7523" s="3" t="str">
        <f ca="1">IF(Tabela2[[#This Row],[Dt Venc:]]&gt;TODAY(),"Em Aberto",IF(Tabela2[[#This Row],[D/venc]]="-","Enviado",IF(Tabela2[[#This Row],[Dt Venc:]]=TODAY(),"Vence Hoje","Vencida")))</f>
        <v>Em Aberto</v>
      </c>
      <c r="F7523" s="3">
        <f ca="1">IF(G7523=1,"-",Tabela2[[#This Row],[Dt Venc:]]-TODAY())</f>
        <v>78</v>
      </c>
      <c r="G7523" s="3"/>
      <c r="H7523" s="3"/>
    </row>
    <row r="7524" spans="1:8">
      <c r="A7524" s="3">
        <v>279920</v>
      </c>
      <c r="B7524" s="7" t="s">
        <v>43</v>
      </c>
      <c r="C7524" s="41">
        <v>2467.15</v>
      </c>
      <c r="D7524" s="6">
        <v>45771</v>
      </c>
      <c r="E7524" s="3" t="str">
        <f ca="1">IF(Tabela2[[#This Row],[Dt Venc:]]&gt;TODAY(),"Em Aberto",IF(Tabela2[[#This Row],[D/venc]]="-","Enviado",IF(Tabela2[[#This Row],[Dt Venc:]]=TODAY(),"Vence Hoje","Vencida")))</f>
        <v>Em Aberto</v>
      </c>
      <c r="F7524" s="3">
        <f ca="1">IF(G7524=1,"-",Tabela2[[#This Row],[Dt Venc:]]-TODAY())</f>
        <v>78</v>
      </c>
      <c r="G7524" s="3"/>
      <c r="H7524" s="3"/>
    </row>
    <row r="7525" spans="1:8">
      <c r="A7525" s="3">
        <v>3342741</v>
      </c>
      <c r="B7525" s="7" t="s">
        <v>71</v>
      </c>
      <c r="C7525" s="41">
        <v>1993.96</v>
      </c>
      <c r="D7525" s="6">
        <v>45771</v>
      </c>
      <c r="E7525" s="3" t="str">
        <f ca="1">IF(Tabela2[[#This Row],[Dt Venc:]]&gt;TODAY(),"Em Aberto",IF(Tabela2[[#This Row],[D/venc]]="-","Enviado",IF(Tabela2[[#This Row],[Dt Venc:]]=TODAY(),"Vence Hoje","Vencida")))</f>
        <v>Em Aberto</v>
      </c>
      <c r="F7525" s="3">
        <f ca="1">IF(G7525=1,"-",Tabela2[[#This Row],[Dt Venc:]]-TODAY())</f>
        <v>78</v>
      </c>
      <c r="G7525" s="3"/>
      <c r="H7525" s="3"/>
    </row>
    <row r="7526" spans="1:8">
      <c r="A7526" s="3">
        <v>4741911</v>
      </c>
      <c r="B7526" s="7" t="s">
        <v>90</v>
      </c>
      <c r="C7526" s="41">
        <v>2297.9299999999998</v>
      </c>
      <c r="D7526" s="6">
        <v>45771</v>
      </c>
      <c r="E7526" s="3" t="str">
        <f ca="1">IF(Tabela2[[#This Row],[Dt Venc:]]&gt;TODAY(),"Em Aberto",IF(Tabela2[[#This Row],[D/venc]]="-","Enviado",IF(Tabela2[[#This Row],[Dt Venc:]]=TODAY(),"Vence Hoje","Vencida")))</f>
        <v>Em Aberto</v>
      </c>
      <c r="F7526" s="3">
        <f ca="1">IF(G7526=1,"-",Tabela2[[#This Row],[Dt Venc:]]-TODAY())</f>
        <v>78</v>
      </c>
      <c r="G7526" s="3"/>
      <c r="H7526" s="3"/>
    </row>
    <row r="7527" spans="1:8">
      <c r="A7527" s="3">
        <v>280647</v>
      </c>
      <c r="B7527" s="7" t="s">
        <v>36</v>
      </c>
      <c r="C7527" s="41">
        <v>1468.33</v>
      </c>
      <c r="D7527" s="6">
        <v>45771</v>
      </c>
      <c r="E7527" s="3" t="str">
        <f ca="1">IF(Tabela2[[#This Row],[Dt Venc:]]&gt;TODAY(),"Em Aberto",IF(Tabela2[[#This Row],[D/venc]]="-","Enviado",IF(Tabela2[[#This Row],[Dt Venc:]]=TODAY(),"Vence Hoje","Vencida")))</f>
        <v>Em Aberto</v>
      </c>
      <c r="F7527" s="3">
        <f ca="1">IF(G7527=1,"-",Tabela2[[#This Row],[Dt Venc:]]-TODAY())</f>
        <v>78</v>
      </c>
      <c r="G7527" s="3"/>
      <c r="H7527" s="3"/>
    </row>
    <row r="7528" spans="1:8">
      <c r="A7528" s="3">
        <v>1347</v>
      </c>
      <c r="B7528" s="7" t="s">
        <v>474</v>
      </c>
      <c r="C7528" s="41">
        <v>506.67</v>
      </c>
      <c r="D7528" s="6">
        <v>45771</v>
      </c>
      <c r="E7528" s="3" t="str">
        <f ca="1">IF(Tabela2[[#This Row],[Dt Venc:]]&gt;TODAY(),"Em Aberto",IF(Tabela2[[#This Row],[D/venc]]="-","Enviado",IF(Tabela2[[#This Row],[Dt Venc:]]=TODAY(),"Vence Hoje","Vencida")))</f>
        <v>Em Aberto</v>
      </c>
      <c r="F7528" s="3">
        <f ca="1">IF(G7528=1,"-",Tabela2[[#This Row],[Dt Venc:]]-TODAY())</f>
        <v>78</v>
      </c>
      <c r="G7528" s="3"/>
      <c r="H7528" s="3"/>
    </row>
    <row r="7529" spans="1:8">
      <c r="A7529" s="3">
        <v>6431</v>
      </c>
      <c r="B7529" s="7" t="s">
        <v>47</v>
      </c>
      <c r="C7529" s="41">
        <v>1250.93</v>
      </c>
      <c r="D7529" s="6">
        <v>45771</v>
      </c>
      <c r="E7529" s="3" t="str">
        <f ca="1">IF(Tabela2[[#This Row],[Dt Venc:]]&gt;TODAY(),"Em Aberto",IF(Tabela2[[#This Row],[D/venc]]="-","Enviado",IF(Tabela2[[#This Row],[Dt Venc:]]=TODAY(),"Vence Hoje","Vencida")))</f>
        <v>Em Aberto</v>
      </c>
      <c r="F7529" s="3">
        <f ca="1">IF(G7529=1,"-",Tabela2[[#This Row],[Dt Venc:]]-TODAY())</f>
        <v>78</v>
      </c>
      <c r="G7529" s="3"/>
      <c r="H7529" s="3"/>
    </row>
    <row r="7530" spans="1:8">
      <c r="A7530" s="3">
        <v>4514</v>
      </c>
      <c r="B7530" s="7" t="s">
        <v>717</v>
      </c>
      <c r="C7530" s="41">
        <v>895</v>
      </c>
      <c r="D7530" s="6">
        <v>45771</v>
      </c>
      <c r="E7530" s="3" t="str">
        <f ca="1">IF(Tabela2[[#This Row],[Dt Venc:]]&gt;TODAY(),"Em Aberto",IF(Tabela2[[#This Row],[D/venc]]="-","Enviado",IF(Tabela2[[#This Row],[Dt Venc:]]=TODAY(),"Vence Hoje","Vencida")))</f>
        <v>Em Aberto</v>
      </c>
      <c r="F7530" s="3">
        <f ca="1">IF(G7530=1,"-",Tabela2[[#This Row],[Dt Venc:]]-TODAY())</f>
        <v>78</v>
      </c>
      <c r="G7530" s="3"/>
      <c r="H7530" s="3"/>
    </row>
    <row r="7531" spans="1:8">
      <c r="A7531" s="3">
        <v>6434</v>
      </c>
      <c r="B7531" s="7" t="s">
        <v>47</v>
      </c>
      <c r="C7531" s="41">
        <v>1458.54</v>
      </c>
      <c r="D7531" s="6">
        <v>45771</v>
      </c>
      <c r="E7531" s="3" t="str">
        <f ca="1">IF(Tabela2[[#This Row],[Dt Venc:]]&gt;TODAY(),"Em Aberto",IF(Tabela2[[#This Row],[D/venc]]="-","Enviado",IF(Tabela2[[#This Row],[Dt Venc:]]=TODAY(),"Vence Hoje","Vencida")))</f>
        <v>Em Aberto</v>
      </c>
      <c r="F7531" s="3">
        <f ca="1">IF(G7531=1,"-",Tabela2[[#This Row],[Dt Venc:]]-TODAY())</f>
        <v>78</v>
      </c>
      <c r="G7531" s="3"/>
      <c r="H7531" s="3"/>
    </row>
    <row r="7532" spans="1:8">
      <c r="A7532" s="3">
        <v>13170</v>
      </c>
      <c r="B7532" s="7" t="s">
        <v>211</v>
      </c>
      <c r="C7532" s="41">
        <v>976.66</v>
      </c>
      <c r="D7532" s="6">
        <v>45771</v>
      </c>
      <c r="E7532" s="3" t="str">
        <f ca="1">IF(Tabela2[[#This Row],[Dt Venc:]]&gt;TODAY(),"Em Aberto",IF(Tabela2[[#This Row],[D/venc]]="-","Enviado",IF(Tabela2[[#This Row],[Dt Venc:]]=TODAY(),"Vence Hoje","Vencida")))</f>
        <v>Em Aberto</v>
      </c>
      <c r="F7532" s="3">
        <f ca="1">IF(G7532=1,"-",Tabela2[[#This Row],[Dt Venc:]]-TODAY())</f>
        <v>78</v>
      </c>
      <c r="G7532" s="3"/>
      <c r="H7532" s="3"/>
    </row>
    <row r="7533" spans="1:8">
      <c r="A7533" s="3">
        <v>75455</v>
      </c>
      <c r="B7533" s="7" t="s">
        <v>76</v>
      </c>
      <c r="C7533" s="41">
        <v>451.51</v>
      </c>
      <c r="D7533" s="6">
        <v>45771</v>
      </c>
      <c r="E7533" s="3" t="str">
        <f ca="1">IF(Tabela2[[#This Row],[Dt Venc:]]&gt;TODAY(),"Em Aberto",IF(Tabela2[[#This Row],[D/venc]]="-","Enviado",IF(Tabela2[[#This Row],[Dt Venc:]]=TODAY(),"Vence Hoje","Vencida")))</f>
        <v>Em Aberto</v>
      </c>
      <c r="F7533" s="3">
        <f ca="1">IF(G7533=1,"-",Tabela2[[#This Row],[Dt Venc:]]-TODAY())</f>
        <v>78</v>
      </c>
      <c r="G7533" s="3"/>
      <c r="H7533" s="3"/>
    </row>
    <row r="7534" spans="1:8">
      <c r="A7534" s="3">
        <v>92049</v>
      </c>
      <c r="B7534" s="7" t="s">
        <v>48</v>
      </c>
      <c r="C7534" s="41">
        <v>390.6</v>
      </c>
      <c r="D7534" s="6">
        <v>45771</v>
      </c>
      <c r="E7534" s="3" t="str">
        <f ca="1">IF(Tabela2[[#This Row],[Dt Venc:]]&gt;TODAY(),"Em Aberto",IF(Tabela2[[#This Row],[D/venc]]="-","Enviado",IF(Tabela2[[#This Row],[Dt Venc:]]=TODAY(),"Vence Hoje","Vencida")))</f>
        <v>Em Aberto</v>
      </c>
      <c r="F7534" s="3">
        <f ca="1">IF(G7534=1,"-",Tabela2[[#This Row],[Dt Venc:]]-TODAY())</f>
        <v>78</v>
      </c>
      <c r="G7534" s="3"/>
      <c r="H7534" s="3"/>
    </row>
    <row r="7535" spans="1:8">
      <c r="A7535" s="3">
        <v>92047</v>
      </c>
      <c r="B7535" s="7" t="s">
        <v>48</v>
      </c>
      <c r="C7535" s="41">
        <v>753.33</v>
      </c>
      <c r="D7535" s="6">
        <v>45771</v>
      </c>
      <c r="E7535" s="3" t="str">
        <f ca="1">IF(Tabela2[[#This Row],[Dt Venc:]]&gt;TODAY(),"Em Aberto",IF(Tabela2[[#This Row],[D/venc]]="-","Enviado",IF(Tabela2[[#This Row],[Dt Venc:]]=TODAY(),"Vence Hoje","Vencida")))</f>
        <v>Em Aberto</v>
      </c>
      <c r="F7535" s="3">
        <f ca="1">IF(G7535=1,"-",Tabela2[[#This Row],[Dt Venc:]]-TODAY())</f>
        <v>78</v>
      </c>
      <c r="G7535" s="3"/>
      <c r="H7535" s="3"/>
    </row>
    <row r="7536" spans="1:8">
      <c r="A7536" s="3">
        <v>2990</v>
      </c>
      <c r="B7536" s="7" t="s">
        <v>58</v>
      </c>
      <c r="C7536" s="41">
        <v>2141.67</v>
      </c>
      <c r="D7536" s="6">
        <v>45772</v>
      </c>
      <c r="E7536" s="3" t="str">
        <f ca="1">IF(Tabela2[[#This Row],[Dt Venc:]]&gt;TODAY(),"Em Aberto",IF(Tabela2[[#This Row],[D/venc]]="-","Enviado",IF(Tabela2[[#This Row],[Dt Venc:]]=TODAY(),"Vence Hoje","Vencida")))</f>
        <v>Em Aberto</v>
      </c>
      <c r="F7536" s="3">
        <f ca="1">IF(G7536=1,"-",Tabela2[[#This Row],[Dt Venc:]]-TODAY())</f>
        <v>79</v>
      </c>
      <c r="G7536" s="3"/>
      <c r="H7536" s="3"/>
    </row>
    <row r="7537" spans="1:8">
      <c r="A7537" s="3">
        <v>31301</v>
      </c>
      <c r="B7537" s="7" t="s">
        <v>97</v>
      </c>
      <c r="C7537" s="41">
        <v>1825</v>
      </c>
      <c r="D7537" s="6">
        <v>45772</v>
      </c>
      <c r="E7537" s="3" t="str">
        <f ca="1">IF(Tabela2[[#This Row],[Dt Venc:]]&gt;TODAY(),"Em Aberto",IF(Tabela2[[#This Row],[D/venc]]="-","Enviado",IF(Tabela2[[#This Row],[Dt Venc:]]=TODAY(),"Vence Hoje","Vencida")))</f>
        <v>Em Aberto</v>
      </c>
      <c r="F7537" s="3">
        <f ca="1">IF(G7537=1,"-",Tabela2[[#This Row],[Dt Venc:]]-TODAY())</f>
        <v>79</v>
      </c>
      <c r="G7537" s="3"/>
      <c r="H7537" s="3"/>
    </row>
    <row r="7538" spans="1:8">
      <c r="A7538" s="3">
        <v>43280</v>
      </c>
      <c r="B7538" s="7" t="s">
        <v>70</v>
      </c>
      <c r="C7538" s="41">
        <v>732.2</v>
      </c>
      <c r="D7538" s="6">
        <v>45772</v>
      </c>
      <c r="E7538" s="3" t="str">
        <f ca="1">IF(Tabela2[[#This Row],[Dt Venc:]]&gt;TODAY(),"Em Aberto",IF(Tabela2[[#This Row],[D/venc]]="-","Enviado",IF(Tabela2[[#This Row],[Dt Venc:]]=TODAY(),"Vence Hoje","Vencida")))</f>
        <v>Em Aberto</v>
      </c>
      <c r="F7538" s="3">
        <f ca="1">IF(G7538=1,"-",Tabela2[[#This Row],[Dt Venc:]]-TODAY())</f>
        <v>79</v>
      </c>
      <c r="G7538" s="3"/>
      <c r="H7538" s="3"/>
    </row>
    <row r="7539" spans="1:8">
      <c r="A7539" s="3">
        <v>103816</v>
      </c>
      <c r="B7539" s="7" t="s">
        <v>70</v>
      </c>
      <c r="C7539" s="41">
        <v>1254.8699999999999</v>
      </c>
      <c r="D7539" s="6">
        <v>45772</v>
      </c>
      <c r="E7539" s="3" t="str">
        <f ca="1">IF(Tabela2[[#This Row],[Dt Venc:]]&gt;TODAY(),"Em Aberto",IF(Tabela2[[#This Row],[D/venc]]="-","Enviado",IF(Tabela2[[#This Row],[Dt Venc:]]=TODAY(),"Vence Hoje","Vencida")))</f>
        <v>Em Aberto</v>
      </c>
      <c r="F7539" s="3">
        <f ca="1">IF(G7539=1,"-",Tabela2[[#This Row],[Dt Venc:]]-TODAY())</f>
        <v>79</v>
      </c>
      <c r="G7539" s="3"/>
      <c r="H7539" s="3"/>
    </row>
    <row r="7540" spans="1:8">
      <c r="A7540" s="3">
        <v>224652</v>
      </c>
      <c r="B7540" s="7" t="s">
        <v>39</v>
      </c>
      <c r="C7540" s="41">
        <v>21465</v>
      </c>
      <c r="D7540" s="6">
        <v>45772</v>
      </c>
      <c r="E7540" s="3" t="str">
        <f ca="1">IF(Tabela2[[#This Row],[Dt Venc:]]&gt;TODAY(),"Em Aberto",IF(Tabela2[[#This Row],[D/venc]]="-","Enviado",IF(Tabela2[[#This Row],[Dt Venc:]]=TODAY(),"Vence Hoje","Vencida")))</f>
        <v>Em Aberto</v>
      </c>
      <c r="F7540" s="3">
        <f ca="1">IF(G7540=1,"-",Tabela2[[#This Row],[Dt Venc:]]-TODAY())</f>
        <v>79</v>
      </c>
      <c r="G7540" s="3"/>
      <c r="H7540" s="3"/>
    </row>
    <row r="7541" spans="1:8">
      <c r="A7541" s="3">
        <v>280547</v>
      </c>
      <c r="B7541" s="7" t="s">
        <v>43</v>
      </c>
      <c r="C7541" s="41">
        <v>3214.44</v>
      </c>
      <c r="D7541" s="6">
        <v>45772</v>
      </c>
      <c r="E7541" s="3" t="str">
        <f ca="1">IF(Tabela2[[#This Row],[Dt Venc:]]&gt;TODAY(),"Em Aberto",IF(Tabela2[[#This Row],[D/venc]]="-","Enviado",IF(Tabela2[[#This Row],[Dt Venc:]]=TODAY(),"Vence Hoje","Vencida")))</f>
        <v>Em Aberto</v>
      </c>
      <c r="F7541" s="3">
        <f ca="1">IF(G7541=1,"-",Tabela2[[#This Row],[Dt Venc:]]-TODAY())</f>
        <v>79</v>
      </c>
      <c r="G7541" s="3"/>
      <c r="H7541" s="3"/>
    </row>
    <row r="7542" spans="1:8">
      <c r="A7542" s="3">
        <v>495914</v>
      </c>
      <c r="B7542" s="7" t="s">
        <v>153</v>
      </c>
      <c r="C7542" s="99" t="s">
        <v>32</v>
      </c>
      <c r="D7542" s="6">
        <v>45772</v>
      </c>
      <c r="E7542" s="3" t="str">
        <f ca="1">IF(Tabela2[[#This Row],[Dt Venc:]]&gt;TODAY(),"Em Aberto",IF(Tabela2[[#This Row],[D/venc]]="-","Enviado",IF(Tabela2[[#This Row],[Dt Venc:]]=TODAY(),"Vence Hoje","Vencida")))</f>
        <v>Em Aberto</v>
      </c>
      <c r="F7542" s="3">
        <f ca="1">IF(G7542=1,"-",Tabela2[[#This Row],[Dt Venc:]]-TODAY())</f>
        <v>79</v>
      </c>
      <c r="G7542" s="3"/>
      <c r="H7542" s="3"/>
    </row>
    <row r="7543" spans="1:8">
      <c r="A7543" s="3">
        <v>3</v>
      </c>
      <c r="B7543" s="7" t="s">
        <v>715</v>
      </c>
      <c r="C7543" s="41">
        <v>1258.56</v>
      </c>
      <c r="D7543" s="6">
        <v>45772</v>
      </c>
      <c r="E7543" s="3" t="str">
        <f ca="1">IF(Tabela2[[#This Row],[Dt Venc:]]&gt;TODAY(),"Em Aberto",IF(Tabela2[[#This Row],[D/venc]]="-","Enviado",IF(Tabela2[[#This Row],[Dt Venc:]]=TODAY(),"Vence Hoje","Vencida")))</f>
        <v>Em Aberto</v>
      </c>
      <c r="F7543" s="3">
        <f ca="1">IF(G7543=1,"-",Tabela2[[#This Row],[Dt Venc:]]-TODAY())</f>
        <v>79</v>
      </c>
      <c r="G7543" s="3"/>
      <c r="H7543" s="3"/>
    </row>
    <row r="7544" spans="1:8">
      <c r="A7544" s="3">
        <v>626955</v>
      </c>
      <c r="B7544" s="7" t="s">
        <v>66</v>
      </c>
      <c r="C7544" s="41">
        <v>393.52</v>
      </c>
      <c r="D7544" s="6">
        <v>45772</v>
      </c>
      <c r="E7544" s="3" t="str">
        <f ca="1">IF(Tabela2[[#This Row],[Dt Venc:]]&gt;TODAY(),"Em Aberto",IF(Tabela2[[#This Row],[D/venc]]="-","Enviado",IF(Tabela2[[#This Row],[Dt Venc:]]=TODAY(),"Vence Hoje","Vencida")))</f>
        <v>Em Aberto</v>
      </c>
      <c r="F7544" s="3">
        <f ca="1">IF(G7544=1,"-",Tabela2[[#This Row],[Dt Venc:]]-TODAY())</f>
        <v>79</v>
      </c>
      <c r="G7544" s="3"/>
      <c r="H7544" s="3"/>
    </row>
    <row r="7545" spans="1:8">
      <c r="A7545" s="3">
        <v>287668</v>
      </c>
      <c r="B7545" s="7" t="s">
        <v>43</v>
      </c>
      <c r="C7545" s="41">
        <v>1977.8</v>
      </c>
      <c r="D7545" s="6">
        <v>45772</v>
      </c>
      <c r="E7545" s="3" t="str">
        <f ca="1">IF(Tabela2[[#This Row],[Dt Venc:]]&gt;TODAY(),"Em Aberto",IF(Tabela2[[#This Row],[D/venc]]="-","Enviado",IF(Tabela2[[#This Row],[Dt Venc:]]=TODAY(),"Vence Hoje","Vencida")))</f>
        <v>Em Aberto</v>
      </c>
      <c r="F7545" s="3">
        <f ca="1">IF(G7545=1,"-",Tabela2[[#This Row],[Dt Venc:]]-TODAY())</f>
        <v>79</v>
      </c>
      <c r="G7545" s="3"/>
      <c r="H7545" s="3"/>
    </row>
    <row r="7546" spans="1:8">
      <c r="A7546" s="3">
        <v>223792</v>
      </c>
      <c r="B7546" s="7" t="s">
        <v>127</v>
      </c>
      <c r="C7546" s="41">
        <v>1165.5999999999999</v>
      </c>
      <c r="D7546" s="6">
        <v>45773</v>
      </c>
      <c r="E7546" s="3" t="str">
        <f ca="1">IF(Tabela2[[#This Row],[Dt Venc:]]&gt;TODAY(),"Em Aberto",IF(Tabela2[[#This Row],[D/venc]]="-","Enviado",IF(Tabela2[[#This Row],[Dt Venc:]]=TODAY(),"Vence Hoje","Vencida")))</f>
        <v>Em Aberto</v>
      </c>
      <c r="F7546" s="3">
        <f ca="1">IF(G7546=1,"-",Tabela2[[#This Row],[Dt Venc:]]-TODAY())</f>
        <v>80</v>
      </c>
      <c r="G7546" s="3"/>
      <c r="H7546" s="3"/>
    </row>
    <row r="7547" spans="1:8">
      <c r="A7547" s="3">
        <v>5690</v>
      </c>
      <c r="B7547" s="7" t="s">
        <v>122</v>
      </c>
      <c r="C7547" s="100" t="s">
        <v>32</v>
      </c>
      <c r="D7547" s="6">
        <v>45774</v>
      </c>
      <c r="E7547" s="3" t="str">
        <f ca="1">IF(Tabela2[[#This Row],[Dt Venc:]]&gt;TODAY(),"Em Aberto",IF(Tabela2[[#This Row],[D/venc]]="-","Enviado",IF(Tabela2[[#This Row],[Dt Venc:]]=TODAY(),"Vence Hoje","Vencida")))</f>
        <v>Em Aberto</v>
      </c>
      <c r="F7547" s="3">
        <f ca="1">IF(G7547=1,"-",Tabela2[[#This Row],[Dt Venc:]]-TODAY())</f>
        <v>81</v>
      </c>
      <c r="G7547" s="3"/>
      <c r="H7547" s="3"/>
    </row>
    <row r="7548" spans="1:8">
      <c r="A7548" s="3">
        <v>180507</v>
      </c>
      <c r="B7548" s="7" t="s">
        <v>211</v>
      </c>
      <c r="C7548" s="41">
        <v>593.34</v>
      </c>
      <c r="D7548" s="6">
        <v>45774</v>
      </c>
      <c r="E7548" s="3" t="str">
        <f ca="1">IF(Tabela2[[#This Row],[Dt Venc:]]&gt;TODAY(),"Em Aberto",IF(Tabela2[[#This Row],[D/venc]]="-","Enviado",IF(Tabela2[[#This Row],[Dt Venc:]]=TODAY(),"Vence Hoje","Vencida")))</f>
        <v>Em Aberto</v>
      </c>
      <c r="F7548" s="3">
        <f ca="1">IF(G7548=1,"-",Tabela2[[#This Row],[Dt Venc:]]-TODAY())</f>
        <v>81</v>
      </c>
      <c r="G7548" s="3"/>
      <c r="H7548" s="3"/>
    </row>
    <row r="7549" spans="1:8">
      <c r="A7549" s="3">
        <v>6295</v>
      </c>
      <c r="B7549" s="7" t="s">
        <v>398</v>
      </c>
      <c r="C7549" s="41">
        <v>1538.33</v>
      </c>
      <c r="D7549" s="6">
        <v>45774</v>
      </c>
      <c r="E7549" s="3" t="str">
        <f ca="1">IF(Tabela2[[#This Row],[Dt Venc:]]&gt;TODAY(),"Em Aberto",IF(Tabela2[[#This Row],[D/venc]]="-","Enviado",IF(Tabela2[[#This Row],[Dt Venc:]]=TODAY(),"Vence Hoje","Vencida")))</f>
        <v>Em Aberto</v>
      </c>
      <c r="F7549" s="3">
        <f ca="1">IF(G7549=1,"-",Tabela2[[#This Row],[Dt Venc:]]-TODAY())</f>
        <v>81</v>
      </c>
      <c r="G7549" s="3"/>
      <c r="H7549" s="3"/>
    </row>
    <row r="7550" spans="1:8">
      <c r="A7550" s="3">
        <v>156168</v>
      </c>
      <c r="B7550" s="7" t="s">
        <v>77</v>
      </c>
      <c r="C7550" s="41">
        <v>1233.33</v>
      </c>
      <c r="D7550" s="6">
        <v>45774</v>
      </c>
      <c r="E7550" s="3" t="str">
        <f ca="1">IF(Tabela2[[#This Row],[Dt Venc:]]&gt;TODAY(),"Em Aberto",IF(Tabela2[[#This Row],[D/venc]]="-","Enviado",IF(Tabela2[[#This Row],[Dt Venc:]]=TODAY(),"Vence Hoje","Vencida")))</f>
        <v>Em Aberto</v>
      </c>
      <c r="F7550" s="3">
        <f ca="1">IF(G7550=1,"-",Tabela2[[#This Row],[Dt Venc:]]-TODAY())</f>
        <v>81</v>
      </c>
      <c r="G7550" s="3"/>
      <c r="H7550" s="3"/>
    </row>
    <row r="7551" spans="1:8">
      <c r="A7551" s="3">
        <v>766010</v>
      </c>
      <c r="B7551" s="7" t="s">
        <v>127</v>
      </c>
      <c r="C7551" s="41">
        <v>399.5</v>
      </c>
      <c r="D7551" s="6">
        <v>45774</v>
      </c>
      <c r="E7551" s="3" t="str">
        <f ca="1">IF(Tabela2[[#This Row],[Dt Venc:]]&gt;TODAY(),"Em Aberto",IF(Tabela2[[#This Row],[D/venc]]="-","Enviado",IF(Tabela2[[#This Row],[Dt Venc:]]=TODAY(),"Vence Hoje","Vencida")))</f>
        <v>Em Aberto</v>
      </c>
      <c r="F7551" s="3">
        <f ca="1">IF(G7551=1,"-",Tabela2[[#This Row],[Dt Venc:]]-TODAY())</f>
        <v>81</v>
      </c>
      <c r="G7551" s="3"/>
      <c r="H7551" s="3"/>
    </row>
    <row r="7552" spans="1:8">
      <c r="A7552" s="3">
        <v>148551</v>
      </c>
      <c r="B7552" s="7" t="s">
        <v>127</v>
      </c>
      <c r="C7552" s="41">
        <v>624.5</v>
      </c>
      <c r="D7552" s="6">
        <v>45774</v>
      </c>
      <c r="E7552" s="3" t="str">
        <f ca="1">IF(Tabela2[[#This Row],[Dt Venc:]]&gt;TODAY(),"Em Aberto",IF(Tabela2[[#This Row],[D/venc]]="-","Enviado",IF(Tabela2[[#This Row],[Dt Venc:]]=TODAY(),"Vence Hoje","Vencida")))</f>
        <v>Em Aberto</v>
      </c>
      <c r="F7552" s="3">
        <f ca="1">IF(G7552=1,"-",Tabela2[[#This Row],[Dt Venc:]]-TODAY())</f>
        <v>81</v>
      </c>
      <c r="G7552" s="3"/>
      <c r="H7552" s="3"/>
    </row>
    <row r="7553" spans="1:8">
      <c r="A7553" s="3">
        <v>148552</v>
      </c>
      <c r="B7553" s="7" t="s">
        <v>127</v>
      </c>
      <c r="C7553" s="41">
        <v>624.5</v>
      </c>
      <c r="D7553" s="6">
        <v>45774</v>
      </c>
      <c r="E7553" s="3" t="str">
        <f ca="1">IF(Tabela2[[#This Row],[Dt Venc:]]&gt;TODAY(),"Em Aberto",IF(Tabela2[[#This Row],[D/venc]]="-","Enviado",IF(Tabela2[[#This Row],[Dt Venc:]]=TODAY(),"Vence Hoje","Vencida")))</f>
        <v>Em Aberto</v>
      </c>
      <c r="F7553" s="3">
        <f ca="1">IF(G7553=1,"-",Tabela2[[#This Row],[Dt Venc:]]-TODAY())</f>
        <v>81</v>
      </c>
      <c r="G7553" s="3"/>
      <c r="H7553" s="3"/>
    </row>
    <row r="7554" spans="1:8">
      <c r="A7554" s="3">
        <v>766013</v>
      </c>
      <c r="B7554" s="7" t="s">
        <v>127</v>
      </c>
      <c r="C7554" s="41">
        <v>399.5</v>
      </c>
      <c r="D7554" s="6">
        <v>45774</v>
      </c>
      <c r="E7554" s="3" t="str">
        <f ca="1">IF(Tabela2[[#This Row],[Dt Venc:]]&gt;TODAY(),"Em Aberto",IF(Tabela2[[#This Row],[D/venc]]="-","Enviado",IF(Tabela2[[#This Row],[Dt Venc:]]=TODAY(),"Vence Hoje","Vencida")))</f>
        <v>Em Aberto</v>
      </c>
      <c r="F7554" s="3">
        <f ca="1">IF(G7554=1,"-",Tabela2[[#This Row],[Dt Venc:]]-TODAY())</f>
        <v>81</v>
      </c>
      <c r="G7554" s="3"/>
      <c r="H7554" s="3"/>
    </row>
    <row r="7555" spans="1:8">
      <c r="A7555" s="3">
        <v>31064</v>
      </c>
      <c r="B7555" s="7" t="s">
        <v>97</v>
      </c>
      <c r="C7555" s="41">
        <v>1711</v>
      </c>
      <c r="D7555" s="6">
        <v>45775</v>
      </c>
      <c r="E7555" s="3" t="str">
        <f ca="1">IF(Tabela2[[#This Row],[Dt Venc:]]&gt;TODAY(),"Em Aberto",IF(Tabela2[[#This Row],[D/venc]]="-","Enviado",IF(Tabela2[[#This Row],[Dt Venc:]]=TODAY(),"Vence Hoje","Vencida")))</f>
        <v>Em Aberto</v>
      </c>
      <c r="F7555" s="3">
        <f ca="1">IF(G7555=1,"-",Tabela2[[#This Row],[Dt Venc:]]-TODAY())</f>
        <v>82</v>
      </c>
      <c r="G7555" s="3"/>
      <c r="H7555" s="3"/>
    </row>
    <row r="7556" spans="1:8">
      <c r="A7556" s="3" t="s">
        <v>110</v>
      </c>
      <c r="B7556" s="7" t="s">
        <v>373</v>
      </c>
      <c r="C7556" s="42" t="s">
        <v>32</v>
      </c>
      <c r="D7556" s="6">
        <v>45775</v>
      </c>
      <c r="E7556" s="3" t="str">
        <f ca="1">IF(Tabela2[[#This Row],[Dt Venc:]]&gt;TODAY(),"Em Aberto",IF(Tabela2[[#This Row],[D/venc]]="-","Enviado",IF(Tabela2[[#This Row],[Dt Venc:]]=TODAY(),"Vence Hoje","Vencida")))</f>
        <v>Em Aberto</v>
      </c>
      <c r="F7556" s="3">
        <f ca="1">IF(G7556=1,"-",Tabela2[[#This Row],[Dt Venc:]]-TODAY())</f>
        <v>82</v>
      </c>
      <c r="G7556" s="3"/>
      <c r="H7556" s="3"/>
    </row>
    <row r="7557" spans="1:8">
      <c r="A7557" s="3">
        <v>6446</v>
      </c>
      <c r="B7557" s="7" t="s">
        <v>47</v>
      </c>
      <c r="C7557" s="41">
        <v>1620.8</v>
      </c>
      <c r="D7557" s="6">
        <v>45775</v>
      </c>
      <c r="E7557" s="3" t="str">
        <f ca="1">IF(Tabela2[[#This Row],[Dt Venc:]]&gt;TODAY(),"Em Aberto",IF(Tabela2[[#This Row],[D/venc]]="-","Enviado",IF(Tabela2[[#This Row],[Dt Venc:]]=TODAY(),"Vence Hoje","Vencida")))</f>
        <v>Em Aberto</v>
      </c>
      <c r="F7557" s="3">
        <f ca="1">IF(G7557=1,"-",Tabela2[[#This Row],[Dt Venc:]]-TODAY())</f>
        <v>82</v>
      </c>
      <c r="G7557" s="3"/>
      <c r="H7557" s="3"/>
    </row>
    <row r="7558" spans="1:8">
      <c r="A7558" s="3">
        <v>11388</v>
      </c>
      <c r="B7558" s="7" t="s">
        <v>33</v>
      </c>
      <c r="C7558" s="41">
        <v>1200</v>
      </c>
      <c r="D7558" s="6">
        <v>45775</v>
      </c>
      <c r="E7558" s="3" t="str">
        <f ca="1">IF(Tabela2[[#This Row],[Dt Venc:]]&gt;TODAY(),"Em Aberto",IF(Tabela2[[#This Row],[D/venc]]="-","Enviado",IF(Tabela2[[#This Row],[Dt Venc:]]=TODAY(),"Vence Hoje","Vencida")))</f>
        <v>Em Aberto</v>
      </c>
      <c r="F7558" s="3">
        <f ca="1">IF(G7558=1,"-",Tabela2[[#This Row],[Dt Venc:]]-TODAY())</f>
        <v>82</v>
      </c>
      <c r="G7558" s="3"/>
      <c r="H7558" s="3"/>
    </row>
    <row r="7559" spans="1:8">
      <c r="A7559" s="3">
        <v>11382</v>
      </c>
      <c r="B7559" s="7" t="s">
        <v>33</v>
      </c>
      <c r="C7559" s="41">
        <v>800</v>
      </c>
      <c r="D7559" s="6">
        <v>45775</v>
      </c>
      <c r="E7559" s="3" t="str">
        <f ca="1">IF(Tabela2[[#This Row],[Dt Venc:]]&gt;TODAY(),"Em Aberto",IF(Tabela2[[#This Row],[D/venc]]="-","Enviado",IF(Tabela2[[#This Row],[Dt Venc:]]=TODAY(),"Vence Hoje","Vencida")))</f>
        <v>Em Aberto</v>
      </c>
      <c r="F7559" s="3">
        <f ca="1">IF(G7559=1,"-",Tabela2[[#This Row],[Dt Venc:]]-TODAY())</f>
        <v>82</v>
      </c>
      <c r="G7559" s="3"/>
      <c r="H7559" s="3"/>
    </row>
    <row r="7560" spans="1:8">
      <c r="A7560" s="3">
        <v>2872</v>
      </c>
      <c r="B7560" s="7" t="s">
        <v>541</v>
      </c>
      <c r="C7560" s="41">
        <v>660.7</v>
      </c>
      <c r="D7560" s="6">
        <v>45775</v>
      </c>
      <c r="E7560" s="3" t="str">
        <f ca="1">IF(Tabela2[[#This Row],[Dt Venc:]]&gt;TODAY(),"Em Aberto",IF(Tabela2[[#This Row],[D/venc]]="-","Enviado",IF(Tabela2[[#This Row],[Dt Venc:]]=TODAY(),"Vence Hoje","Vencida")))</f>
        <v>Em Aberto</v>
      </c>
      <c r="F7560" s="3">
        <f ca="1">IF(G7560=1,"-",Tabela2[[#This Row],[Dt Venc:]]-TODAY())</f>
        <v>82</v>
      </c>
      <c r="G7560" s="3"/>
      <c r="H7560" s="3"/>
    </row>
    <row r="7561" spans="1:8">
      <c r="A7561" s="3">
        <v>38472</v>
      </c>
      <c r="B7561" s="7" t="s">
        <v>70</v>
      </c>
      <c r="C7561" s="41">
        <v>1164.6300000000001</v>
      </c>
      <c r="D7561" s="6">
        <v>45775</v>
      </c>
      <c r="E7561" s="3" t="str">
        <f ca="1">IF(Tabela2[[#This Row],[Dt Venc:]]&gt;TODAY(),"Em Aberto",IF(Tabela2[[#This Row],[D/venc]]="-","Enviado",IF(Tabela2[[#This Row],[Dt Venc:]]=TODAY(),"Vence Hoje","Vencida")))</f>
        <v>Em Aberto</v>
      </c>
      <c r="F7561" s="3">
        <f ca="1">IF(G7561=1,"-",Tabela2[[#This Row],[Dt Venc:]]-TODAY())</f>
        <v>82</v>
      </c>
      <c r="G7561" s="3"/>
      <c r="H7561" s="3"/>
    </row>
    <row r="7562" spans="1:8">
      <c r="A7562" s="3">
        <v>180642</v>
      </c>
      <c r="B7562" s="7" t="s">
        <v>211</v>
      </c>
      <c r="C7562" s="41">
        <v>726.66</v>
      </c>
      <c r="D7562" s="6">
        <v>45775</v>
      </c>
      <c r="E7562" s="3" t="str">
        <f ca="1">IF(Tabela2[[#This Row],[Dt Venc:]]&gt;TODAY(),"Em Aberto",IF(Tabela2[[#This Row],[D/venc]]="-","Enviado",IF(Tabela2[[#This Row],[Dt Venc:]]=TODAY(),"Vence Hoje","Vencida")))</f>
        <v>Em Aberto</v>
      </c>
      <c r="F7562" s="3">
        <f ca="1">IF(G7562=1,"-",Tabela2[[#This Row],[Dt Venc:]]-TODAY())</f>
        <v>82</v>
      </c>
      <c r="G7562" s="3"/>
      <c r="H7562" s="3"/>
    </row>
    <row r="7563" spans="1:8">
      <c r="A7563" s="3">
        <v>92061</v>
      </c>
      <c r="B7563" s="7" t="s">
        <v>48</v>
      </c>
      <c r="C7563" s="41">
        <v>1050.1400000000001</v>
      </c>
      <c r="D7563" s="6">
        <v>45775</v>
      </c>
      <c r="E7563" s="3" t="str">
        <f ca="1">IF(Tabela2[[#This Row],[Dt Venc:]]&gt;TODAY(),"Em Aberto",IF(Tabela2[[#This Row],[D/venc]]="-","Enviado",IF(Tabela2[[#This Row],[Dt Venc:]]=TODAY(),"Vence Hoje","Vencida")))</f>
        <v>Em Aberto</v>
      </c>
      <c r="F7563" s="3">
        <f ca="1">IF(G7563=1,"-",Tabela2[[#This Row],[Dt Venc:]]-TODAY())</f>
        <v>82</v>
      </c>
      <c r="G7563" s="3"/>
      <c r="H7563" s="3"/>
    </row>
    <row r="7564" spans="1:8">
      <c r="A7564" s="3">
        <v>92063</v>
      </c>
      <c r="B7564" s="7" t="s">
        <v>48</v>
      </c>
      <c r="C7564" s="41">
        <v>787.33</v>
      </c>
      <c r="D7564" s="6">
        <v>45775</v>
      </c>
      <c r="E7564" s="3" t="str">
        <f ca="1">IF(Tabela2[[#This Row],[Dt Venc:]]&gt;TODAY(),"Em Aberto",IF(Tabela2[[#This Row],[D/venc]]="-","Enviado",IF(Tabela2[[#This Row],[Dt Venc:]]=TODAY(),"Vence Hoje","Vencida")))</f>
        <v>Em Aberto</v>
      </c>
      <c r="F7564" s="3">
        <f ca="1">IF(G7564=1,"-",Tabela2[[#This Row],[Dt Venc:]]-TODAY())</f>
        <v>82</v>
      </c>
      <c r="G7564" s="3"/>
      <c r="H7564" s="3"/>
    </row>
    <row r="7565" spans="1:8">
      <c r="A7565" s="3">
        <v>156214</v>
      </c>
      <c r="B7565" s="7" t="s">
        <v>77</v>
      </c>
      <c r="C7565" s="41">
        <v>1233.33</v>
      </c>
      <c r="D7565" s="6">
        <v>45775</v>
      </c>
      <c r="E7565" s="3" t="str">
        <f ca="1">IF(Tabela2[[#This Row],[Dt Venc:]]&gt;TODAY(),"Em Aberto",IF(Tabela2[[#This Row],[D/venc]]="-","Enviado",IF(Tabela2[[#This Row],[Dt Venc:]]=TODAY(),"Vence Hoje","Vencida")))</f>
        <v>Em Aberto</v>
      </c>
      <c r="F7565" s="3">
        <f ca="1">IF(G7565=1,"-",Tabela2[[#This Row],[Dt Venc:]]-TODAY())</f>
        <v>82</v>
      </c>
      <c r="G7565" s="3"/>
      <c r="H7565" s="3"/>
    </row>
    <row r="7566" spans="1:8">
      <c r="A7566" s="3">
        <v>567026</v>
      </c>
      <c r="B7566" s="7" t="s">
        <v>39</v>
      </c>
      <c r="C7566" s="41">
        <v>1347.79</v>
      </c>
      <c r="D7566" s="6">
        <v>45775</v>
      </c>
      <c r="E7566" s="3" t="str">
        <f ca="1">IF(Tabela2[[#This Row],[Dt Venc:]]&gt;TODAY(),"Em Aberto",IF(Tabela2[[#This Row],[D/venc]]="-","Enviado",IF(Tabela2[[#This Row],[Dt Venc:]]=TODAY(),"Vence Hoje","Vencida")))</f>
        <v>Em Aberto</v>
      </c>
      <c r="F7566" s="3">
        <f ca="1">IF(G7566=1,"-",Tabela2[[#This Row],[Dt Venc:]]-TODAY())</f>
        <v>82</v>
      </c>
      <c r="G7566" s="3"/>
      <c r="H7566" s="3"/>
    </row>
    <row r="7567" spans="1:8">
      <c r="A7567" s="3">
        <v>225860</v>
      </c>
      <c r="B7567" s="7" t="s">
        <v>39</v>
      </c>
      <c r="C7567" s="41">
        <v>35775</v>
      </c>
      <c r="D7567" s="6">
        <v>45775</v>
      </c>
      <c r="E7567" s="3" t="str">
        <f ca="1">IF(Tabela2[[#This Row],[Dt Venc:]]&gt;TODAY(),"Em Aberto",IF(Tabela2[[#This Row],[D/venc]]="-","Enviado",IF(Tabela2[[#This Row],[Dt Venc:]]=TODAY(),"Vence Hoje","Vencida")))</f>
        <v>Em Aberto</v>
      </c>
      <c r="F7567" s="3">
        <f ca="1">IF(G7567=1,"-",Tabela2[[#This Row],[Dt Venc:]]-TODAY())</f>
        <v>82</v>
      </c>
      <c r="G7567" s="3"/>
      <c r="H7567" s="3"/>
    </row>
    <row r="7568" spans="1:8">
      <c r="A7568" s="3">
        <v>844338</v>
      </c>
      <c r="B7568" s="7" t="s">
        <v>725</v>
      </c>
      <c r="C7568" s="41">
        <v>1077.9000000000001</v>
      </c>
      <c r="D7568" s="6">
        <v>45775</v>
      </c>
      <c r="E7568" s="3" t="str">
        <f ca="1">IF(Tabela2[[#This Row],[Dt Venc:]]&gt;TODAY(),"Em Aberto",IF(Tabela2[[#This Row],[D/venc]]="-","Enviado",IF(Tabela2[[#This Row],[Dt Venc:]]=TODAY(),"Vence Hoje","Vencida")))</f>
        <v>Em Aberto</v>
      </c>
      <c r="F7568" s="3">
        <f ca="1">IF(G7568=1,"-",Tabela2[[#This Row],[Dt Venc:]]-TODAY())</f>
        <v>82</v>
      </c>
      <c r="G7568" s="3"/>
      <c r="H7568" s="3"/>
    </row>
    <row r="7569" spans="1:8">
      <c r="A7569" s="3">
        <v>62</v>
      </c>
      <c r="B7569" s="7" t="s">
        <v>173</v>
      </c>
      <c r="C7569" s="41">
        <v>1786.66</v>
      </c>
      <c r="D7569" s="6">
        <v>45775</v>
      </c>
      <c r="E7569" s="3" t="str">
        <f ca="1">IF(Tabela2[[#This Row],[Dt Venc:]]&gt;TODAY(),"Em Aberto",IF(Tabela2[[#This Row],[D/venc]]="-","Enviado",IF(Tabela2[[#This Row],[Dt Venc:]]=TODAY(),"Vence Hoje","Vencida")))</f>
        <v>Em Aberto</v>
      </c>
      <c r="F7569" s="3">
        <f ca="1">IF(G7569=1,"-",Tabela2[[#This Row],[Dt Venc:]]-TODAY())</f>
        <v>82</v>
      </c>
      <c r="G7569" s="3"/>
      <c r="H7569" s="3"/>
    </row>
    <row r="7570" spans="1:8">
      <c r="A7570" s="3">
        <v>54024</v>
      </c>
      <c r="B7570" s="7" t="s">
        <v>144</v>
      </c>
      <c r="C7570" s="41">
        <v>1586.86</v>
      </c>
      <c r="D7570" s="6">
        <v>45775</v>
      </c>
      <c r="E7570" s="3" t="str">
        <f ca="1">IF(Tabela2[[#This Row],[Dt Venc:]]&gt;TODAY(),"Em Aberto",IF(Tabela2[[#This Row],[D/venc]]="-","Enviado",IF(Tabela2[[#This Row],[Dt Venc:]]=TODAY(),"Vence Hoje","Vencida")))</f>
        <v>Em Aberto</v>
      </c>
      <c r="F7570" s="3">
        <f ca="1">IF(G7570=1,"-",Tabela2[[#This Row],[Dt Venc:]]-TODAY())</f>
        <v>82</v>
      </c>
      <c r="G7570" s="3"/>
      <c r="H7570" s="3"/>
    </row>
    <row r="7571" spans="1:8">
      <c r="A7571" s="3">
        <v>75050</v>
      </c>
      <c r="B7571" s="7" t="s">
        <v>573</v>
      </c>
      <c r="C7571" s="41">
        <v>1078</v>
      </c>
      <c r="D7571" s="6">
        <v>45775</v>
      </c>
      <c r="E7571" s="3" t="str">
        <f ca="1">IF(Tabela2[[#This Row],[Dt Venc:]]&gt;TODAY(),"Em Aberto",IF(Tabela2[[#This Row],[D/venc]]="-","Enviado",IF(Tabela2[[#This Row],[Dt Venc:]]=TODAY(),"Vence Hoje","Vencida")))</f>
        <v>Em Aberto</v>
      </c>
      <c r="F7571" s="3">
        <f ca="1">IF(G7571=1,"-",Tabela2[[#This Row],[Dt Venc:]]-TODAY())</f>
        <v>82</v>
      </c>
      <c r="G7571" s="3"/>
      <c r="H7571" s="3"/>
    </row>
    <row r="7572" spans="1:8">
      <c r="A7572" s="3">
        <v>377889</v>
      </c>
      <c r="B7572" s="7" t="s">
        <v>187</v>
      </c>
      <c r="C7572" s="41">
        <v>1555.42</v>
      </c>
      <c r="D7572" s="6">
        <v>45775</v>
      </c>
      <c r="E7572" s="3" t="str">
        <f ca="1">IF(Tabela2[[#This Row],[Dt Venc:]]&gt;TODAY(),"Em Aberto",IF(Tabela2[[#This Row],[D/venc]]="-","Enviado",IF(Tabela2[[#This Row],[Dt Venc:]]=TODAY(),"Vence Hoje","Vencida")))</f>
        <v>Em Aberto</v>
      </c>
      <c r="F7572" s="3">
        <f ca="1">IF(G7572=1,"-",Tabela2[[#This Row],[Dt Venc:]]-TODAY())</f>
        <v>82</v>
      </c>
      <c r="G7572" s="3"/>
      <c r="H7572" s="3"/>
    </row>
    <row r="7573" spans="1:8">
      <c r="A7573" s="3">
        <v>30839</v>
      </c>
      <c r="B7573" s="7" t="s">
        <v>97</v>
      </c>
      <c r="C7573" s="41">
        <v>2395</v>
      </c>
      <c r="D7573" s="6">
        <v>45776</v>
      </c>
      <c r="E7573" s="3" t="str">
        <f ca="1">IF(Tabela2[[#This Row],[Dt Venc:]]&gt;TODAY(),"Em Aberto",IF(Tabela2[[#This Row],[D/venc]]="-","Enviado",IF(Tabela2[[#This Row],[Dt Venc:]]=TODAY(),"Vence Hoje","Vencida")))</f>
        <v>Em Aberto</v>
      </c>
      <c r="F7573" s="3">
        <f ca="1">IF(G7573=1,"-",Tabela2[[#This Row],[Dt Venc:]]-TODAY())</f>
        <v>83</v>
      </c>
      <c r="G7573" s="3"/>
      <c r="H7573" s="3"/>
    </row>
    <row r="7574" spans="1:8">
      <c r="A7574" s="3">
        <v>31398</v>
      </c>
      <c r="B7574" s="7" t="s">
        <v>97</v>
      </c>
      <c r="C7574" s="41">
        <v>2055</v>
      </c>
      <c r="D7574" s="6">
        <v>45776</v>
      </c>
      <c r="E7574" s="3" t="str">
        <f ca="1">IF(Tabela2[[#This Row],[Dt Venc:]]&gt;TODAY(),"Em Aberto",IF(Tabela2[[#This Row],[D/venc]]="-","Enviado",IF(Tabela2[[#This Row],[Dt Venc:]]=TODAY(),"Vence Hoje","Vencida")))</f>
        <v>Em Aberto</v>
      </c>
      <c r="F7574" s="3">
        <f ca="1">IF(G7574=1,"-",Tabela2[[#This Row],[Dt Venc:]]-TODAY())</f>
        <v>83</v>
      </c>
      <c r="G7574" s="3"/>
      <c r="H7574" s="3"/>
    </row>
    <row r="7575" spans="1:8">
      <c r="A7575" s="3">
        <v>282081</v>
      </c>
      <c r="B7575" s="7" t="s">
        <v>43</v>
      </c>
      <c r="C7575" s="41">
        <v>1667.98</v>
      </c>
      <c r="D7575" s="6">
        <v>45776</v>
      </c>
      <c r="E7575" s="3" t="str">
        <f ca="1">IF(Tabela2[[#This Row],[Dt Venc:]]&gt;TODAY(),"Em Aberto",IF(Tabela2[[#This Row],[D/venc]]="-","Enviado",IF(Tabela2[[#This Row],[Dt Venc:]]=TODAY(),"Vence Hoje","Vencida")))</f>
        <v>Em Aberto</v>
      </c>
      <c r="F7575" s="3">
        <f ca="1">IF(G7575=1,"-",Tabela2[[#This Row],[Dt Venc:]]-TODAY())</f>
        <v>83</v>
      </c>
      <c r="G7575" s="3"/>
      <c r="H7575" s="3"/>
    </row>
    <row r="7576" spans="1:8">
      <c r="A7576" s="3">
        <v>282094</v>
      </c>
      <c r="B7576" s="7" t="s">
        <v>43</v>
      </c>
      <c r="C7576" s="41">
        <v>1433.31</v>
      </c>
      <c r="D7576" s="6">
        <v>45776</v>
      </c>
      <c r="E7576" s="3" t="str">
        <f ca="1">IF(Tabela2[[#This Row],[Dt Venc:]]&gt;TODAY(),"Em Aberto",IF(Tabela2[[#This Row],[D/venc]]="-","Enviado",IF(Tabela2[[#This Row],[Dt Venc:]]=TODAY(),"Vence Hoje","Vencida")))</f>
        <v>Em Aberto</v>
      </c>
      <c r="F7576" s="3">
        <f ca="1">IF(G7576=1,"-",Tabela2[[#This Row],[Dt Venc:]]-TODAY())</f>
        <v>83</v>
      </c>
      <c r="G7576" s="3"/>
      <c r="H7576" s="3"/>
    </row>
    <row r="7577" spans="1:8">
      <c r="A7577" s="3">
        <v>282095</v>
      </c>
      <c r="B7577" s="7" t="s">
        <v>43</v>
      </c>
      <c r="C7577" s="41">
        <v>1282.76</v>
      </c>
      <c r="D7577" s="6">
        <v>45776</v>
      </c>
      <c r="E7577" s="3" t="str">
        <f ca="1">IF(Tabela2[[#This Row],[Dt Venc:]]&gt;TODAY(),"Em Aberto",IF(Tabela2[[#This Row],[D/venc]]="-","Enviado",IF(Tabela2[[#This Row],[Dt Venc:]]=TODAY(),"Vence Hoje","Vencida")))</f>
        <v>Em Aberto</v>
      </c>
      <c r="F7577" s="3">
        <f ca="1">IF(G7577=1,"-",Tabela2[[#This Row],[Dt Venc:]]-TODAY())</f>
        <v>83</v>
      </c>
      <c r="G7577" s="3"/>
      <c r="H7577" s="3"/>
    </row>
    <row r="7578" spans="1:8">
      <c r="A7578" s="3">
        <v>912180</v>
      </c>
      <c r="B7578" s="7" t="s">
        <v>375</v>
      </c>
      <c r="C7578" s="100" t="s">
        <v>32</v>
      </c>
      <c r="D7578" s="6">
        <v>45776</v>
      </c>
      <c r="E7578" s="3" t="str">
        <f ca="1">IF(Tabela2[[#This Row],[Dt Venc:]]&gt;TODAY(),"Em Aberto",IF(Tabela2[[#This Row],[D/venc]]="-","Enviado",IF(Tabela2[[#This Row],[Dt Venc:]]=TODAY(),"Vence Hoje","Vencida")))</f>
        <v>Em Aberto</v>
      </c>
      <c r="F7578" s="3">
        <f ca="1">IF(G7578=1,"-",Tabela2[[#This Row],[Dt Venc:]]-TODAY())</f>
        <v>83</v>
      </c>
      <c r="G7578" s="3"/>
      <c r="H7578" s="3"/>
    </row>
    <row r="7579" spans="1:8">
      <c r="A7579" s="3">
        <v>567104</v>
      </c>
      <c r="B7579" s="7" t="s">
        <v>187</v>
      </c>
      <c r="C7579" s="41">
        <v>528.67999999999995</v>
      </c>
      <c r="D7579" s="6">
        <v>45776</v>
      </c>
      <c r="E7579" s="3" t="str">
        <f ca="1">IF(Tabela2[[#This Row],[Dt Venc:]]&gt;TODAY(),"Em Aberto",IF(Tabela2[[#This Row],[D/venc]]="-","Enviado",IF(Tabela2[[#This Row],[Dt Venc:]]=TODAY(),"Vence Hoje","Vencida")))</f>
        <v>Em Aberto</v>
      </c>
      <c r="F7579" s="3">
        <f ca="1">IF(G7579=1,"-",Tabela2[[#This Row],[Dt Venc:]]-TODAY())</f>
        <v>83</v>
      </c>
      <c r="G7579" s="3"/>
      <c r="H7579" s="3"/>
    </row>
    <row r="7580" spans="1:8">
      <c r="A7580" s="3">
        <v>1356</v>
      </c>
      <c r="B7580" s="7" t="s">
        <v>474</v>
      </c>
      <c r="C7580" s="41">
        <v>573.33000000000004</v>
      </c>
      <c r="D7580" s="6">
        <v>45776</v>
      </c>
      <c r="E7580" s="3" t="str">
        <f ca="1">IF(Tabela2[[#This Row],[Dt Venc:]]&gt;TODAY(),"Em Aberto",IF(Tabela2[[#This Row],[D/venc]]="-","Enviado",IF(Tabela2[[#This Row],[Dt Venc:]]=TODAY(),"Vence Hoje","Vencida")))</f>
        <v>Em Aberto</v>
      </c>
      <c r="F7580" s="3">
        <f ca="1">IF(G7580=1,"-",Tabela2[[#This Row],[Dt Venc:]]-TODAY())</f>
        <v>83</v>
      </c>
      <c r="G7580" s="3"/>
      <c r="H7580" s="3"/>
    </row>
    <row r="7581" spans="1:8">
      <c r="A7581" s="3">
        <v>273038</v>
      </c>
      <c r="B7581" s="7" t="s">
        <v>358</v>
      </c>
      <c r="C7581" s="41">
        <v>813.34</v>
      </c>
      <c r="D7581" s="6">
        <v>45776</v>
      </c>
      <c r="E7581" s="3" t="str">
        <f ca="1">IF(Tabela2[[#This Row],[Dt Venc:]]&gt;TODAY(),"Em Aberto",IF(Tabela2[[#This Row],[D/venc]]="-","Enviado",IF(Tabela2[[#This Row],[Dt Venc:]]=TODAY(),"Vence Hoje","Vencida")))</f>
        <v>Em Aberto</v>
      </c>
      <c r="F7581" s="3">
        <f ca="1">IF(G7581=1,"-",Tabela2[[#This Row],[Dt Venc:]]-TODAY())</f>
        <v>83</v>
      </c>
      <c r="G7581" s="3"/>
      <c r="H7581" s="3"/>
    </row>
    <row r="7582" spans="1:8">
      <c r="A7582" s="3">
        <v>1588</v>
      </c>
      <c r="B7582" s="7" t="s">
        <v>363</v>
      </c>
      <c r="C7582" s="41">
        <v>1166.67</v>
      </c>
      <c r="D7582" s="6">
        <v>45776</v>
      </c>
      <c r="E7582" s="3" t="str">
        <f ca="1">IF(Tabela2[[#This Row],[Dt Venc:]]&gt;TODAY(),"Em Aberto",IF(Tabela2[[#This Row],[D/venc]]="-","Enviado",IF(Tabela2[[#This Row],[Dt Venc:]]=TODAY(),"Vence Hoje","Vencida")))</f>
        <v>Em Aberto</v>
      </c>
      <c r="F7582" s="3">
        <f ca="1">IF(G7582=1,"-",Tabela2[[#This Row],[Dt Venc:]]-TODAY())</f>
        <v>83</v>
      </c>
      <c r="G7582" s="3"/>
      <c r="H7582" s="3"/>
    </row>
    <row r="7583" spans="1:8">
      <c r="A7583" s="3">
        <v>75632</v>
      </c>
      <c r="B7583" s="7" t="s">
        <v>76</v>
      </c>
      <c r="C7583" s="41">
        <v>963.01</v>
      </c>
      <c r="D7583" s="6">
        <v>45776</v>
      </c>
      <c r="E7583" s="3" t="str">
        <f ca="1">IF(Tabela2[[#This Row],[Dt Venc:]]&gt;TODAY(),"Em Aberto",IF(Tabela2[[#This Row],[D/venc]]="-","Enviado",IF(Tabela2[[#This Row],[Dt Venc:]]=TODAY(),"Vence Hoje","Vencida")))</f>
        <v>Em Aberto</v>
      </c>
      <c r="F7583" s="3">
        <f ca="1">IF(G7583=1,"-",Tabela2[[#This Row],[Dt Venc:]]-TODAY())</f>
        <v>83</v>
      </c>
      <c r="G7583" s="3"/>
      <c r="H7583" s="3"/>
    </row>
    <row r="7584" spans="1:8">
      <c r="A7584" s="3">
        <v>75636</v>
      </c>
      <c r="B7584" s="7" t="s">
        <v>76</v>
      </c>
      <c r="C7584" s="41">
        <v>1934.79</v>
      </c>
      <c r="D7584" s="6">
        <v>45776</v>
      </c>
      <c r="E7584" s="3" t="str">
        <f ca="1">IF(Tabela2[[#This Row],[Dt Venc:]]&gt;TODAY(),"Em Aberto",IF(Tabela2[[#This Row],[D/venc]]="-","Enviado",IF(Tabela2[[#This Row],[Dt Venc:]]=TODAY(),"Vence Hoje","Vencida")))</f>
        <v>Em Aberto</v>
      </c>
      <c r="F7584" s="3">
        <f ca="1">IF(G7584=1,"-",Tabela2[[#This Row],[Dt Venc:]]-TODAY())</f>
        <v>83</v>
      </c>
      <c r="G7584" s="3"/>
      <c r="H7584" s="3"/>
    </row>
    <row r="7585" spans="1:8">
      <c r="A7585" s="3">
        <v>239571</v>
      </c>
      <c r="B7585" s="7" t="s">
        <v>40</v>
      </c>
      <c r="C7585" s="41">
        <v>950</v>
      </c>
      <c r="D7585" s="6">
        <v>45776</v>
      </c>
      <c r="E7585" s="3" t="str">
        <f ca="1">IF(Tabela2[[#This Row],[Dt Venc:]]&gt;TODAY(),"Em Aberto",IF(Tabela2[[#This Row],[D/venc]]="-","Enviado",IF(Tabela2[[#This Row],[Dt Venc:]]=TODAY(),"Vence Hoje","Vencida")))</f>
        <v>Em Aberto</v>
      </c>
      <c r="F7585" s="3">
        <f ca="1">IF(G7585=1,"-",Tabela2[[#This Row],[Dt Venc:]]-TODAY())</f>
        <v>83</v>
      </c>
      <c r="G7585" s="3"/>
      <c r="H7585" s="3"/>
    </row>
    <row r="7586" spans="1:8">
      <c r="A7586" s="3">
        <v>239600</v>
      </c>
      <c r="B7586" s="7" t="s">
        <v>40</v>
      </c>
      <c r="C7586" s="41">
        <v>1233.3399999999999</v>
      </c>
      <c r="D7586" s="6">
        <v>45776</v>
      </c>
      <c r="E7586" s="3" t="str">
        <f ca="1">IF(Tabela2[[#This Row],[Dt Venc:]]&gt;TODAY(),"Em Aberto",IF(Tabela2[[#This Row],[D/venc]]="-","Enviado",IF(Tabela2[[#This Row],[Dt Venc:]]=TODAY(),"Vence Hoje","Vencida")))</f>
        <v>Em Aberto</v>
      </c>
      <c r="F7586" s="3">
        <f ca="1">IF(G7586=1,"-",Tabela2[[#This Row],[Dt Venc:]]-TODAY())</f>
        <v>83</v>
      </c>
      <c r="G7586" s="3"/>
      <c r="H7586" s="3"/>
    </row>
    <row r="7587" spans="1:8">
      <c r="A7587" s="3">
        <v>180750</v>
      </c>
      <c r="B7587" s="7" t="s">
        <v>174</v>
      </c>
      <c r="C7587" s="41">
        <v>8406.66</v>
      </c>
      <c r="D7587" s="6">
        <v>45776</v>
      </c>
      <c r="E7587" s="3" t="str">
        <f ca="1">IF(Tabela2[[#This Row],[Dt Venc:]]&gt;TODAY(),"Em Aberto",IF(Tabela2[[#This Row],[D/venc]]="-","Enviado",IF(Tabela2[[#This Row],[Dt Venc:]]=TODAY(),"Vence Hoje","Vencida")))</f>
        <v>Em Aberto</v>
      </c>
      <c r="F7587" s="3">
        <f ca="1">IF(G7587=1,"-",Tabela2[[#This Row],[Dt Venc:]]-TODAY())</f>
        <v>83</v>
      </c>
      <c r="G7587" s="3"/>
      <c r="H7587" s="3"/>
    </row>
    <row r="7588" spans="1:8">
      <c r="A7588" s="3">
        <v>32140</v>
      </c>
      <c r="B7588" s="7" t="s">
        <v>542</v>
      </c>
      <c r="C7588" s="41">
        <v>497.99</v>
      </c>
      <c r="D7588" s="6">
        <v>45776</v>
      </c>
      <c r="E7588" s="3" t="str">
        <f ca="1">IF(Tabela2[[#This Row],[Dt Venc:]]&gt;TODAY(),"Em Aberto",IF(Tabela2[[#This Row],[D/venc]]="-","Enviado",IF(Tabela2[[#This Row],[Dt Venc:]]=TODAY(),"Vence Hoje","Vencida")))</f>
        <v>Em Aberto</v>
      </c>
      <c r="F7588" s="3">
        <f ca="1">IF(G7588=1,"-",Tabela2[[#This Row],[Dt Venc:]]-TODAY())</f>
        <v>83</v>
      </c>
      <c r="G7588" s="3"/>
      <c r="H7588" s="3"/>
    </row>
    <row r="7589" spans="1:8">
      <c r="A7589" s="3">
        <v>382598</v>
      </c>
      <c r="B7589" s="7" t="s">
        <v>441</v>
      </c>
      <c r="C7589" s="41">
        <v>518.44000000000005</v>
      </c>
      <c r="D7589" s="6">
        <v>45776</v>
      </c>
      <c r="E7589" s="3" t="str">
        <f ca="1">IF(Tabela2[[#This Row],[Dt Venc:]]&gt;TODAY(),"Em Aberto",IF(Tabela2[[#This Row],[D/venc]]="-","Enviado",IF(Tabela2[[#This Row],[Dt Venc:]]=TODAY(),"Vence Hoje","Vencida")))</f>
        <v>Em Aberto</v>
      </c>
      <c r="F7589" s="3">
        <f ca="1">IF(G7589=1,"-",Tabela2[[#This Row],[Dt Venc:]]-TODAY())</f>
        <v>83</v>
      </c>
      <c r="G7589" s="3"/>
      <c r="H7589" s="3"/>
    </row>
    <row r="7590" spans="1:8">
      <c r="A7590" s="3">
        <v>11681</v>
      </c>
      <c r="B7590" s="7" t="s">
        <v>82</v>
      </c>
      <c r="C7590" s="87" t="s">
        <v>30</v>
      </c>
      <c r="D7590" s="6">
        <v>45777</v>
      </c>
      <c r="E7590" s="3" t="str">
        <f ca="1">IF(Tabela2[[#This Row],[Dt Venc:]]&gt;TODAY(),"Em Aberto",IF(Tabela2[[#This Row],[D/venc]]="-","Enviado",IF(Tabela2[[#This Row],[Dt Venc:]]=TODAY(),"Vence Hoje","Vencida")))</f>
        <v>Em Aberto</v>
      </c>
      <c r="F7590" s="3">
        <f ca="1">IF(G7590=1,"-",Tabela2[[#This Row],[Dt Venc:]]-TODAY())</f>
        <v>84</v>
      </c>
      <c r="G7590" s="3"/>
      <c r="H7590" s="3"/>
    </row>
    <row r="7591" spans="1:8">
      <c r="A7591" s="3" t="s">
        <v>28</v>
      </c>
      <c r="B7591" s="7" t="s">
        <v>391</v>
      </c>
      <c r="C7591" s="85" t="s">
        <v>30</v>
      </c>
      <c r="D7591" s="6">
        <v>45777</v>
      </c>
      <c r="E7591" s="3" t="str">
        <f ca="1">IF(Tabela2[[#This Row],[Dt Venc:]]&gt;TODAY(),"Em Aberto",IF(Tabela2[[#This Row],[D/venc]]="-","Enviado",IF(Tabela2[[#This Row],[Dt Venc:]]=TODAY(),"Vence Hoje","Vencida")))</f>
        <v>Em Aberto</v>
      </c>
      <c r="F7591" s="3">
        <f ca="1">IF(G7591=1,"-",Tabela2[[#This Row],[Dt Venc:]]-TODAY())</f>
        <v>84</v>
      </c>
      <c r="G7591" s="3"/>
      <c r="H7591" s="3"/>
    </row>
    <row r="7592" spans="1:8">
      <c r="A7592" s="3" t="s">
        <v>123</v>
      </c>
      <c r="B7592" s="7" t="s">
        <v>386</v>
      </c>
      <c r="C7592" s="87" t="s">
        <v>32</v>
      </c>
      <c r="D7592" s="6">
        <v>45777</v>
      </c>
      <c r="E7592" s="3" t="str">
        <f ca="1">IF(Tabela2[[#This Row],[Dt Venc:]]&gt;TODAY(),"Em Aberto",IF(Tabela2[[#This Row],[D/venc]]="-","Enviado",IF(Tabela2[[#This Row],[Dt Venc:]]=TODAY(),"Vence Hoje","Vencida")))</f>
        <v>Em Aberto</v>
      </c>
      <c r="F7592" s="3">
        <f ca="1">IF(G7592=1,"-",Tabela2[[#This Row],[Dt Venc:]]-TODAY())</f>
        <v>84</v>
      </c>
      <c r="G7592" s="3"/>
      <c r="H7592" s="3"/>
    </row>
    <row r="7593" spans="1:8">
      <c r="A7593" s="3">
        <v>6464</v>
      </c>
      <c r="B7593" s="7" t="s">
        <v>47</v>
      </c>
      <c r="C7593" s="41">
        <v>739.99</v>
      </c>
      <c r="D7593" s="6">
        <v>45777</v>
      </c>
      <c r="E7593" s="3" t="str">
        <f ca="1">IF(Tabela2[[#This Row],[Dt Venc:]]&gt;TODAY(),"Em Aberto",IF(Tabela2[[#This Row],[D/venc]]="-","Enviado",IF(Tabela2[[#This Row],[Dt Venc:]]=TODAY(),"Vence Hoje","Vencida")))</f>
        <v>Em Aberto</v>
      </c>
      <c r="F7593" s="3">
        <f ca="1">IF(G7593=1,"-",Tabela2[[#This Row],[Dt Venc:]]-TODAY())</f>
        <v>84</v>
      </c>
      <c r="G7593" s="3"/>
      <c r="H7593" s="3"/>
    </row>
    <row r="7594" spans="1:8">
      <c r="A7594" s="3">
        <v>23169</v>
      </c>
      <c r="B7594" s="7" t="s">
        <v>40</v>
      </c>
      <c r="C7594" s="41">
        <v>5950</v>
      </c>
      <c r="D7594" s="6">
        <v>45777</v>
      </c>
      <c r="E7594" s="3" t="str">
        <f ca="1">IF(Tabela2[[#This Row],[Dt Venc:]]&gt;TODAY(),"Em Aberto",IF(Tabela2[[#This Row],[D/venc]]="-","Enviado",IF(Tabela2[[#This Row],[Dt Venc:]]=TODAY(),"Vence Hoje","Vencida")))</f>
        <v>Em Aberto</v>
      </c>
      <c r="F7594" s="3">
        <f ca="1">IF(G7594=1,"-",Tabela2[[#This Row],[Dt Venc:]]-TODAY())</f>
        <v>84</v>
      </c>
      <c r="G7594" s="3"/>
      <c r="H7594" s="3"/>
    </row>
    <row r="7595" spans="1:8">
      <c r="A7595" s="3">
        <v>31498</v>
      </c>
      <c r="B7595" s="7" t="s">
        <v>97</v>
      </c>
      <c r="C7595" s="41">
        <v>2395</v>
      </c>
      <c r="D7595" s="6">
        <v>45777</v>
      </c>
      <c r="E7595" s="3" t="str">
        <f ca="1">IF(Tabela2[[#This Row],[Dt Venc:]]&gt;TODAY(),"Em Aberto",IF(Tabela2[[#This Row],[D/venc]]="-","Enviado",IF(Tabela2[[#This Row],[Dt Venc:]]=TODAY(),"Vence Hoje","Vencida")))</f>
        <v>Em Aberto</v>
      </c>
      <c r="F7595" s="3">
        <f ca="1">IF(G7595=1,"-",Tabela2[[#This Row],[Dt Venc:]]-TODAY())</f>
        <v>84</v>
      </c>
      <c r="G7595" s="3"/>
      <c r="H7595" s="3"/>
    </row>
    <row r="7596" spans="1:8">
      <c r="A7596" s="3">
        <v>3003</v>
      </c>
      <c r="B7596" s="7" t="s">
        <v>58</v>
      </c>
      <c r="C7596" s="41">
        <v>830</v>
      </c>
      <c r="D7596" s="6">
        <v>45777</v>
      </c>
      <c r="E7596" s="3" t="str">
        <f ca="1">IF(Tabela2[[#This Row],[Dt Venc:]]&gt;TODAY(),"Em Aberto",IF(Tabela2[[#This Row],[D/venc]]="-","Enviado",IF(Tabela2[[#This Row],[Dt Venc:]]=TODAY(),"Vence Hoje","Vencida")))</f>
        <v>Em Aberto</v>
      </c>
      <c r="F7596" s="3">
        <f ca="1">IF(G7596=1,"-",Tabela2[[#This Row],[Dt Venc:]]-TODAY())</f>
        <v>84</v>
      </c>
      <c r="G7596" s="3"/>
      <c r="H7596" s="3"/>
    </row>
    <row r="7597" spans="1:8">
      <c r="A7597" s="3">
        <v>6307</v>
      </c>
      <c r="B7597" s="7" t="s">
        <v>140</v>
      </c>
      <c r="C7597" s="41">
        <v>1168.67</v>
      </c>
      <c r="D7597" s="6">
        <v>45777</v>
      </c>
      <c r="E7597" s="3" t="str">
        <f ca="1">IF(Tabela2[[#This Row],[Dt Venc:]]&gt;TODAY(),"Em Aberto",IF(Tabela2[[#This Row],[D/venc]]="-","Enviado",IF(Tabela2[[#This Row],[Dt Venc:]]=TODAY(),"Vence Hoje","Vencida")))</f>
        <v>Em Aberto</v>
      </c>
      <c r="F7597" s="3">
        <f ca="1">IF(G7597=1,"-",Tabela2[[#This Row],[Dt Venc:]]-TODAY())</f>
        <v>84</v>
      </c>
      <c r="G7597" s="3"/>
      <c r="H7597" s="3"/>
    </row>
    <row r="7598" spans="1:8">
      <c r="A7598" s="3">
        <v>567359</v>
      </c>
      <c r="B7598" s="7" t="s">
        <v>39</v>
      </c>
      <c r="C7598" s="41">
        <v>3060.59</v>
      </c>
      <c r="D7598" s="6">
        <v>45777</v>
      </c>
      <c r="E7598" s="3" t="str">
        <f ca="1">IF(Tabela2[[#This Row],[Dt Venc:]]&gt;TODAY(),"Em Aberto",IF(Tabela2[[#This Row],[D/venc]]="-","Enviado",IF(Tabela2[[#This Row],[Dt Venc:]]=TODAY(),"Vence Hoje","Vencida")))</f>
        <v>Em Aberto</v>
      </c>
      <c r="F7598" s="3">
        <f ca="1">IF(G7598=1,"-",Tabela2[[#This Row],[Dt Venc:]]-TODAY())</f>
        <v>84</v>
      </c>
      <c r="G7598" s="3"/>
      <c r="H7598" s="3"/>
    </row>
    <row r="7599" spans="1:8">
      <c r="A7599" s="3">
        <v>36910</v>
      </c>
      <c r="B7599" s="7" t="s">
        <v>167</v>
      </c>
      <c r="C7599" s="100" t="s">
        <v>32</v>
      </c>
      <c r="D7599" s="6">
        <v>45778</v>
      </c>
      <c r="E7599" s="3" t="str">
        <f ca="1">IF(Tabela2[[#This Row],[Dt Venc:]]&gt;TODAY(),"Em Aberto",IF(Tabela2[[#This Row],[D/venc]]="-","Enviado",IF(Tabela2[[#This Row],[Dt Venc:]]=TODAY(),"Vence Hoje","Vencida")))</f>
        <v>Em Aberto</v>
      </c>
      <c r="F7599" s="3">
        <f ca="1">IF(G7599=1,"-",Tabela2[[#This Row],[Dt Venc:]]-TODAY())</f>
        <v>85</v>
      </c>
      <c r="G7599" s="3"/>
      <c r="H7599" s="3"/>
    </row>
    <row r="7600" spans="1:8">
      <c r="A7600" s="3" t="s">
        <v>28</v>
      </c>
      <c r="B7600" s="7" t="s">
        <v>29</v>
      </c>
      <c r="C7600" s="87" t="s">
        <v>393</v>
      </c>
      <c r="D7600" s="6">
        <v>45778</v>
      </c>
      <c r="E7600" s="3" t="str">
        <f ca="1">IF(Tabela2[[#This Row],[Dt Venc:]]&gt;TODAY(),"Em Aberto",IF(Tabela2[[#This Row],[D/venc]]="-","Enviado",IF(Tabela2[[#This Row],[Dt Venc:]]=TODAY(),"Vence Hoje","Vencida")))</f>
        <v>Em Aberto</v>
      </c>
      <c r="F7600" s="3">
        <f ca="1">IF(G7600=1,"-",Tabela2[[#This Row],[Dt Venc:]]-TODAY())</f>
        <v>85</v>
      </c>
      <c r="G7600" s="3"/>
      <c r="H7600" s="3"/>
    </row>
    <row r="7601" spans="1:8">
      <c r="A7601" s="3" t="s">
        <v>110</v>
      </c>
      <c r="B7601" s="7" t="s">
        <v>395</v>
      </c>
      <c r="C7601" s="42" t="s">
        <v>32</v>
      </c>
      <c r="D7601" s="6">
        <v>45778</v>
      </c>
      <c r="E7601" s="3" t="str">
        <f ca="1">IF(Tabela2[[#This Row],[Dt Venc:]]&gt;TODAY(),"Em Aberto",IF(Tabela2[[#This Row],[D/venc]]="-","Enviado",IF(Tabela2[[#This Row],[Dt Venc:]]=TODAY(),"Vence Hoje","Vencida")))</f>
        <v>Em Aberto</v>
      </c>
      <c r="F7601" s="3">
        <f ca="1">IF(G7601=1,"-",Tabela2[[#This Row],[Dt Venc:]]-TODAY())</f>
        <v>85</v>
      </c>
      <c r="G7601" s="3"/>
      <c r="H7601" s="3"/>
    </row>
    <row r="7602" spans="1:8">
      <c r="A7602" s="3">
        <v>11397</v>
      </c>
      <c r="B7602" s="7" t="s">
        <v>33</v>
      </c>
      <c r="C7602" s="41">
        <v>1960</v>
      </c>
      <c r="D7602" s="6">
        <v>45778</v>
      </c>
      <c r="E7602" s="3" t="str">
        <f ca="1">IF(Tabela2[[#This Row],[Dt Venc:]]&gt;TODAY(),"Em Aberto",IF(Tabela2[[#This Row],[D/venc]]="-","Enviado",IF(Tabela2[[#This Row],[Dt Venc:]]=TODAY(),"Vence Hoje","Vencida")))</f>
        <v>Em Aberto</v>
      </c>
      <c r="F7602" s="3">
        <f ca="1">IF(G7602=1,"-",Tabela2[[#This Row],[Dt Venc:]]-TODAY())</f>
        <v>85</v>
      </c>
      <c r="G7602" s="3"/>
      <c r="H7602" s="3"/>
    </row>
    <row r="7603" spans="1:8">
      <c r="A7603" s="3">
        <v>10502</v>
      </c>
      <c r="B7603" s="7" t="s">
        <v>354</v>
      </c>
      <c r="C7603" s="41">
        <v>1320</v>
      </c>
      <c r="D7603" s="6">
        <v>45778</v>
      </c>
      <c r="E7603" s="3" t="str">
        <f ca="1">IF(Tabela2[[#This Row],[Dt Venc:]]&gt;TODAY(),"Em Aberto",IF(Tabela2[[#This Row],[D/venc]]="-","Enviado",IF(Tabela2[[#This Row],[Dt Venc:]]=TODAY(),"Vence Hoje","Vencida")))</f>
        <v>Em Aberto</v>
      </c>
      <c r="F7603" s="3">
        <f ca="1">IF(G7603=1,"-",Tabela2[[#This Row],[Dt Venc:]]-TODAY())</f>
        <v>85</v>
      </c>
      <c r="G7603" s="3"/>
      <c r="H7603" s="3"/>
    </row>
    <row r="7604" spans="1:8">
      <c r="A7604" s="3">
        <v>379023</v>
      </c>
      <c r="B7604" s="7" t="s">
        <v>441</v>
      </c>
      <c r="C7604" s="41">
        <v>1349.4</v>
      </c>
      <c r="D7604" s="6">
        <v>45779</v>
      </c>
      <c r="E7604" s="3" t="str">
        <f ca="1">IF(Tabela2[[#This Row],[Dt Venc:]]&gt;TODAY(),"Em Aberto",IF(Tabela2[[#This Row],[D/venc]]="-","Enviado",IF(Tabela2[[#This Row],[Dt Venc:]]=TODAY(),"Vence Hoje","Vencida")))</f>
        <v>Em Aberto</v>
      </c>
      <c r="F7604" s="3">
        <f ca="1">IF(G7604=1,"-",Tabela2[[#This Row],[Dt Venc:]]-TODAY())</f>
        <v>86</v>
      </c>
      <c r="G7604" s="3"/>
      <c r="H7604" s="3"/>
    </row>
    <row r="7605" spans="1:8">
      <c r="A7605" s="3">
        <v>818909</v>
      </c>
      <c r="B7605" s="7" t="s">
        <v>81</v>
      </c>
      <c r="C7605" s="87" t="s">
        <v>32</v>
      </c>
      <c r="D7605" s="6">
        <v>45779</v>
      </c>
      <c r="E7605" s="3" t="str">
        <f ca="1">IF(Tabela2[[#This Row],[Dt Venc:]]&gt;TODAY(),"Em Aberto",IF(Tabela2[[#This Row],[D/venc]]="-","Enviado",IF(Tabela2[[#This Row],[Dt Venc:]]=TODAY(),"Vence Hoje","Vencida")))</f>
        <v>Em Aberto</v>
      </c>
      <c r="F7605" s="3">
        <f ca="1">IF(G7605=1,"-",Tabela2[[#This Row],[Dt Venc:]]-TODAY())</f>
        <v>86</v>
      </c>
      <c r="G7605" s="3"/>
      <c r="H7605" s="3"/>
    </row>
    <row r="7606" spans="1:8">
      <c r="A7606" s="3">
        <v>23189</v>
      </c>
      <c r="B7606" s="7" t="s">
        <v>40</v>
      </c>
      <c r="C7606" s="41">
        <v>1983.34</v>
      </c>
      <c r="D7606" s="6">
        <v>45779</v>
      </c>
      <c r="E7606" s="3" t="str">
        <f ca="1">IF(Tabela2[[#This Row],[Dt Venc:]]&gt;TODAY(),"Em Aberto",IF(Tabela2[[#This Row],[D/venc]]="-","Enviado",IF(Tabela2[[#This Row],[Dt Venc:]]=TODAY(),"Vence Hoje","Vencida")))</f>
        <v>Em Aberto</v>
      </c>
      <c r="F7606" s="3">
        <f ca="1">IF(G7606=1,"-",Tabela2[[#This Row],[Dt Venc:]]-TODAY())</f>
        <v>86</v>
      </c>
      <c r="G7606" s="3"/>
      <c r="H7606" s="3"/>
    </row>
    <row r="7607" spans="1:8">
      <c r="A7607" s="3">
        <v>75755</v>
      </c>
      <c r="B7607" s="7" t="s">
        <v>76</v>
      </c>
      <c r="C7607" s="41">
        <v>1940.38</v>
      </c>
      <c r="D7607" s="6">
        <v>45779</v>
      </c>
      <c r="E7607" s="3" t="str">
        <f ca="1">IF(Tabela2[[#This Row],[Dt Venc:]]&gt;TODAY(),"Em Aberto",IF(Tabela2[[#This Row],[D/venc]]="-","Enviado",IF(Tabela2[[#This Row],[Dt Venc:]]=TODAY(),"Vence Hoje","Vencida")))</f>
        <v>Em Aberto</v>
      </c>
      <c r="F7607" s="3">
        <f ca="1">IF(G7607=1,"-",Tabela2[[#This Row],[Dt Venc:]]-TODAY())</f>
        <v>86</v>
      </c>
      <c r="G7607" s="3"/>
      <c r="H7607" s="3"/>
    </row>
    <row r="7608" spans="1:8">
      <c r="A7608" s="3">
        <v>10494</v>
      </c>
      <c r="B7608" s="7" t="s">
        <v>82</v>
      </c>
      <c r="C7608" s="88" t="s">
        <v>30</v>
      </c>
      <c r="D7608" s="6">
        <v>45780</v>
      </c>
      <c r="E7608" s="3" t="str">
        <f ca="1">IF(Tabela2[[#This Row],[Dt Venc:]]&gt;TODAY(),"Em Aberto",IF(Tabela2[[#This Row],[D/venc]]="-","Enviado",IF(Tabela2[[#This Row],[Dt Venc:]]=TODAY(),"Vence Hoje","Vencida")))</f>
        <v>Em Aberto</v>
      </c>
      <c r="F7608" s="3">
        <f ca="1">IF(G7608=1,"-",Tabela2[[#This Row],[Dt Venc:]]-TODAY())</f>
        <v>87</v>
      </c>
      <c r="G7608" s="3"/>
      <c r="H7608" s="3"/>
    </row>
    <row r="7609" spans="1:8">
      <c r="A7609" s="3">
        <v>31134</v>
      </c>
      <c r="B7609" s="7" t="s">
        <v>97</v>
      </c>
      <c r="C7609" s="41">
        <v>2285</v>
      </c>
      <c r="D7609" s="6">
        <v>45780</v>
      </c>
      <c r="E7609" s="3" t="str">
        <f ca="1">IF(Tabela2[[#This Row],[Dt Venc:]]&gt;TODAY(),"Em Aberto",IF(Tabela2[[#This Row],[D/venc]]="-","Enviado",IF(Tabela2[[#This Row],[Dt Venc:]]=TODAY(),"Vence Hoje","Vencida")))</f>
        <v>Em Aberto</v>
      </c>
      <c r="F7609" s="3">
        <f ca="1">IF(G7609=1,"-",Tabela2[[#This Row],[Dt Venc:]]-TODAY())</f>
        <v>87</v>
      </c>
      <c r="G7609" s="3"/>
      <c r="H7609" s="3"/>
    </row>
    <row r="7610" spans="1:8">
      <c r="A7610" s="3">
        <v>11400</v>
      </c>
      <c r="B7610" s="7" t="s">
        <v>33</v>
      </c>
      <c r="C7610" s="41">
        <v>1995</v>
      </c>
      <c r="D7610" s="6">
        <v>45780</v>
      </c>
      <c r="E7610" s="3" t="str">
        <f ca="1">IF(Tabela2[[#This Row],[Dt Venc:]]&gt;TODAY(),"Em Aberto",IF(Tabela2[[#This Row],[D/venc]]="-","Enviado",IF(Tabela2[[#This Row],[Dt Venc:]]=TODAY(),"Vence Hoje","Vencida")))</f>
        <v>Em Aberto</v>
      </c>
      <c r="F7610" s="3">
        <f ca="1">IF(G7610=1,"-",Tabela2[[#This Row],[Dt Venc:]]-TODAY())</f>
        <v>87</v>
      </c>
      <c r="G7610" s="3"/>
      <c r="H7610" s="3"/>
    </row>
    <row r="7611" spans="1:8">
      <c r="A7611" s="3">
        <v>100828</v>
      </c>
      <c r="B7611" s="7" t="s">
        <v>731</v>
      </c>
      <c r="C7611" s="41">
        <v>1019</v>
      </c>
      <c r="D7611" s="6">
        <v>45781</v>
      </c>
      <c r="E7611" s="3" t="str">
        <f ca="1">IF(Tabela2[[#This Row],[Dt Venc:]]&gt;TODAY(),"Em Aberto",IF(Tabela2[[#This Row],[D/venc]]="-","Enviado",IF(Tabela2[[#This Row],[Dt Venc:]]=TODAY(),"Vence Hoje","Vencida")))</f>
        <v>Em Aberto</v>
      </c>
      <c r="F7611" s="3">
        <f ca="1">IF(G7611=1,"-",Tabela2[[#This Row],[Dt Venc:]]-TODAY())</f>
        <v>88</v>
      </c>
      <c r="G7611" s="3"/>
      <c r="H7611" s="3"/>
    </row>
    <row r="7612" spans="1:8">
      <c r="A7612" s="3">
        <v>3195</v>
      </c>
      <c r="B7612" s="7" t="s">
        <v>114</v>
      </c>
      <c r="C7612" s="42">
        <v>160</v>
      </c>
      <c r="D7612" s="6">
        <v>45782</v>
      </c>
      <c r="E7612" s="3" t="str">
        <f ca="1">IF(Tabela2[[#This Row],[Dt Venc:]]&gt;TODAY(),"Em Aberto",IF(Tabela2[[#This Row],[D/venc]]="-","Enviado",IF(Tabela2[[#This Row],[Dt Venc:]]=TODAY(),"Vence Hoje","Vencida")))</f>
        <v>Em Aberto</v>
      </c>
      <c r="F7612" s="3">
        <f ca="1">IF(G7612=1,"-",Tabela2[[#This Row],[Dt Venc:]]-TODAY())</f>
        <v>89</v>
      </c>
      <c r="G7612" s="3"/>
      <c r="H7612" s="3"/>
    </row>
    <row r="7613" spans="1:8">
      <c r="A7613" s="3">
        <v>5680</v>
      </c>
      <c r="B7613" s="7" t="s">
        <v>122</v>
      </c>
      <c r="C7613" s="99" t="s">
        <v>32</v>
      </c>
      <c r="D7613" s="6">
        <v>45782</v>
      </c>
      <c r="E7613" s="3" t="str">
        <f ca="1">IF(Tabela2[[#This Row],[Dt Venc:]]&gt;TODAY(),"Em Aberto",IF(Tabela2[[#This Row],[D/venc]]="-","Enviado",IF(Tabela2[[#This Row],[Dt Venc:]]=TODAY(),"Vence Hoje","Vencida")))</f>
        <v>Em Aberto</v>
      </c>
      <c r="F7613" s="3">
        <f ca="1">IF(G7613=1,"-",Tabela2[[#This Row],[Dt Venc:]]-TODAY())</f>
        <v>89</v>
      </c>
      <c r="G7613" s="3"/>
      <c r="H7613" s="3"/>
    </row>
    <row r="7614" spans="1:8">
      <c r="A7614" s="3">
        <v>10353</v>
      </c>
      <c r="B7614" s="7" t="s">
        <v>82</v>
      </c>
      <c r="C7614" s="100" t="s">
        <v>32</v>
      </c>
      <c r="D7614" s="6">
        <v>45782</v>
      </c>
      <c r="E7614" s="3" t="str">
        <f ca="1">IF(Tabela2[[#This Row],[Dt Venc:]]&gt;TODAY(),"Em Aberto",IF(Tabela2[[#This Row],[D/venc]]="-","Enviado",IF(Tabela2[[#This Row],[Dt Venc:]]=TODAY(),"Vence Hoje","Vencida")))</f>
        <v>Em Aberto</v>
      </c>
      <c r="F7614" s="3">
        <f ca="1">IF(G7614=1,"-",Tabela2[[#This Row],[Dt Venc:]]-TODAY())</f>
        <v>89</v>
      </c>
      <c r="G7614" s="3"/>
      <c r="H7614" s="3"/>
    </row>
    <row r="7615" spans="1:8">
      <c r="A7615" s="3">
        <v>30918</v>
      </c>
      <c r="B7615" s="7" t="s">
        <v>97</v>
      </c>
      <c r="C7615" s="41">
        <v>1940</v>
      </c>
      <c r="D7615" s="6">
        <v>45782</v>
      </c>
      <c r="E7615" s="3" t="str">
        <f ca="1">IF(Tabela2[[#This Row],[Dt Venc:]]&gt;TODAY(),"Em Aberto",IF(Tabela2[[#This Row],[D/venc]]="-","Enviado",IF(Tabela2[[#This Row],[Dt Venc:]]=TODAY(),"Vence Hoje","Vencida")))</f>
        <v>Em Aberto</v>
      </c>
      <c r="F7615" s="3">
        <f ca="1">IF(G7615=1,"-",Tabela2[[#This Row],[Dt Venc:]]-TODAY())</f>
        <v>89</v>
      </c>
      <c r="G7615" s="3"/>
      <c r="H7615" s="3"/>
    </row>
    <row r="7616" spans="1:8">
      <c r="A7616" s="3">
        <v>31399</v>
      </c>
      <c r="B7616" s="7" t="s">
        <v>97</v>
      </c>
      <c r="C7616" s="41">
        <v>1825</v>
      </c>
      <c r="D7616" s="6">
        <v>45782</v>
      </c>
      <c r="E7616" s="3" t="str">
        <f ca="1">IF(Tabela2[[#This Row],[Dt Venc:]]&gt;TODAY(),"Em Aberto",IF(Tabela2[[#This Row],[D/venc]]="-","Enviado",IF(Tabela2[[#This Row],[Dt Venc:]]=TODAY(),"Vence Hoje","Vencida")))</f>
        <v>Em Aberto</v>
      </c>
      <c r="F7616" s="3">
        <f ca="1">IF(G7616=1,"-",Tabela2[[#This Row],[Dt Venc:]]-TODAY())</f>
        <v>89</v>
      </c>
      <c r="G7616" s="3"/>
      <c r="H7616" s="3"/>
    </row>
    <row r="7617" spans="1:8">
      <c r="A7617" s="3">
        <v>374265</v>
      </c>
      <c r="B7617" s="7" t="s">
        <v>39</v>
      </c>
      <c r="C7617" s="41">
        <v>1946.82</v>
      </c>
      <c r="D7617" s="6">
        <v>45782</v>
      </c>
      <c r="E7617" s="3" t="str">
        <f ca="1">IF(Tabela2[[#This Row],[Dt Venc:]]&gt;TODAY(),"Em Aberto",IF(Tabela2[[#This Row],[D/venc]]="-","Enviado",IF(Tabela2[[#This Row],[Dt Venc:]]=TODAY(),"Vence Hoje","Vencida")))</f>
        <v>Em Aberto</v>
      </c>
      <c r="F7617" s="3">
        <f ca="1">IF(G7617=1,"-",Tabela2[[#This Row],[Dt Venc:]]-TODAY())</f>
        <v>89</v>
      </c>
      <c r="G7617" s="3"/>
      <c r="H7617" s="3"/>
    </row>
    <row r="7618" spans="1:8">
      <c r="A7618" s="3">
        <v>376033</v>
      </c>
      <c r="B7618" s="7" t="s">
        <v>39</v>
      </c>
      <c r="C7618" s="41">
        <v>1869.31</v>
      </c>
      <c r="D7618" s="6">
        <v>45782</v>
      </c>
      <c r="E7618" s="3" t="str">
        <f ca="1">IF(Tabela2[[#This Row],[Dt Venc:]]&gt;TODAY(),"Em Aberto",IF(Tabela2[[#This Row],[D/venc]]="-","Enviado",IF(Tabela2[[#This Row],[Dt Venc:]]=TODAY(),"Vence Hoje","Vencida")))</f>
        <v>Em Aberto</v>
      </c>
      <c r="F7618" s="3">
        <f ca="1">IF(G7618=1,"-",Tabela2[[#This Row],[Dt Venc:]]-TODAY())</f>
        <v>89</v>
      </c>
      <c r="G7618" s="3"/>
      <c r="H7618" s="3"/>
    </row>
    <row r="7619" spans="1:8">
      <c r="A7619" s="3" t="s">
        <v>123</v>
      </c>
      <c r="B7619" s="7" t="s">
        <v>503</v>
      </c>
      <c r="C7619" s="87" t="s">
        <v>32</v>
      </c>
      <c r="D7619" s="6">
        <v>45782</v>
      </c>
      <c r="E7619" s="3" t="str">
        <f ca="1">IF(Tabela2[[#This Row],[Dt Venc:]]&gt;TODAY(),"Em Aberto",IF(Tabela2[[#This Row],[D/venc]]="-","Enviado",IF(Tabela2[[#This Row],[Dt Venc:]]=TODAY(),"Vence Hoje","Vencida")))</f>
        <v>Em Aberto</v>
      </c>
      <c r="F7619" s="3">
        <f ca="1">IF(G7619=1,"-",Tabela2[[#This Row],[Dt Venc:]]-TODAY())</f>
        <v>89</v>
      </c>
      <c r="G7619" s="3"/>
      <c r="H7619" s="3"/>
    </row>
    <row r="7620" spans="1:8">
      <c r="A7620" s="3">
        <v>31500</v>
      </c>
      <c r="B7620" s="7" t="s">
        <v>97</v>
      </c>
      <c r="C7620" s="41">
        <v>2170</v>
      </c>
      <c r="D7620" s="6">
        <v>45782</v>
      </c>
      <c r="E7620" s="3" t="str">
        <f ca="1">IF(Tabela2[[#This Row],[Dt Venc:]]&gt;TODAY(),"Em Aberto",IF(Tabela2[[#This Row],[D/venc]]="-","Enviado",IF(Tabela2[[#This Row],[Dt Venc:]]=TODAY(),"Vence Hoje","Vencida")))</f>
        <v>Em Aberto</v>
      </c>
      <c r="F7620" s="3">
        <f ca="1">IF(G7620=1,"-",Tabela2[[#This Row],[Dt Venc:]]-TODAY())</f>
        <v>89</v>
      </c>
      <c r="G7620" s="3"/>
      <c r="H7620" s="3"/>
    </row>
    <row r="7621" spans="1:8">
      <c r="A7621" s="3">
        <v>30840</v>
      </c>
      <c r="B7621" s="7" t="s">
        <v>97</v>
      </c>
      <c r="C7621" s="41">
        <v>2285</v>
      </c>
      <c r="D7621" s="6">
        <v>45783</v>
      </c>
      <c r="E7621" s="3" t="str">
        <f ca="1">IF(Tabela2[[#This Row],[Dt Venc:]]&gt;TODAY(),"Em Aberto",IF(Tabela2[[#This Row],[D/venc]]="-","Enviado",IF(Tabela2[[#This Row],[Dt Venc:]]=TODAY(),"Vence Hoje","Vencida")))</f>
        <v>Em Aberto</v>
      </c>
      <c r="F7621" s="3">
        <f ca="1">IF(G7621=1,"-",Tabela2[[#This Row],[Dt Venc:]]-TODAY())</f>
        <v>90</v>
      </c>
      <c r="G7621" s="3"/>
      <c r="H7621" s="3"/>
    </row>
    <row r="7622" spans="1:8">
      <c r="A7622" s="3">
        <v>16148</v>
      </c>
      <c r="B7622" s="7" t="s">
        <v>289</v>
      </c>
      <c r="C7622" s="41">
        <v>450</v>
      </c>
      <c r="D7622" s="6">
        <v>45784</v>
      </c>
      <c r="E7622" s="3" t="str">
        <f ca="1">IF(Tabela2[[#This Row],[Dt Venc:]]&gt;TODAY(),"Em Aberto",IF(Tabela2[[#This Row],[D/venc]]="-","Enviado",IF(Tabela2[[#This Row],[Dt Venc:]]=TODAY(),"Vence Hoje","Vencida")))</f>
        <v>Em Aberto</v>
      </c>
      <c r="F7622" s="3">
        <f ca="1">IF(G7622=1,"-",Tabela2[[#This Row],[Dt Venc:]]-TODAY())</f>
        <v>91</v>
      </c>
      <c r="G7622" s="3"/>
      <c r="H7622" s="3"/>
    </row>
    <row r="7623" spans="1:8">
      <c r="A7623" s="3">
        <v>16148</v>
      </c>
      <c r="B7623" s="7" t="s">
        <v>289</v>
      </c>
      <c r="C7623" s="41">
        <v>450</v>
      </c>
      <c r="D7623" s="6">
        <v>45784</v>
      </c>
      <c r="E7623" s="3" t="str">
        <f ca="1">IF(Tabela2[[#This Row],[Dt Venc:]]&gt;TODAY(),"Em Aberto",IF(Tabela2[[#This Row],[D/venc]]="-","Enviado",IF(Tabela2[[#This Row],[Dt Venc:]]=TODAY(),"Vence Hoje","Vencida")))</f>
        <v>Em Aberto</v>
      </c>
      <c r="F7623" s="3">
        <f ca="1">IF(G7623=1,"-",Tabela2[[#This Row],[Dt Venc:]]-TODAY())</f>
        <v>91</v>
      </c>
      <c r="G7623" s="3"/>
      <c r="H7623" s="3"/>
    </row>
    <row r="7624" spans="1:8">
      <c r="A7624" s="3">
        <v>24294</v>
      </c>
      <c r="B7624" s="7" t="s">
        <v>38</v>
      </c>
      <c r="C7624" s="41">
        <v>1521.5</v>
      </c>
      <c r="D7624" s="6">
        <v>45784</v>
      </c>
      <c r="E7624" s="3" t="str">
        <f ca="1">IF(Tabela2[[#This Row],[Dt Venc:]]&gt;TODAY(),"Em Aberto",IF(Tabela2[[#This Row],[D/venc]]="-","Enviado",IF(Tabela2[[#This Row],[Dt Venc:]]=TODAY(),"Vence Hoje","Vencida")))</f>
        <v>Em Aberto</v>
      </c>
      <c r="F7624" s="3">
        <f ca="1">IF(G7624=1,"-",Tabela2[[#This Row],[Dt Venc:]]-TODAY())</f>
        <v>91</v>
      </c>
      <c r="G7624" s="3"/>
      <c r="H7624" s="3"/>
    </row>
    <row r="7625" spans="1:8">
      <c r="A7625" s="3">
        <v>376178</v>
      </c>
      <c r="B7625" s="7" t="s">
        <v>39</v>
      </c>
      <c r="C7625" s="41">
        <v>3644.71</v>
      </c>
      <c r="D7625" s="6">
        <v>45784</v>
      </c>
      <c r="E7625" s="3" t="str">
        <f ca="1">IF(Tabela2[[#This Row],[Dt Venc:]]&gt;TODAY(),"Em Aberto",IF(Tabela2[[#This Row],[D/venc]]="-","Enviado",IF(Tabela2[[#This Row],[Dt Venc:]]=TODAY(),"Vence Hoje","Vencida")))</f>
        <v>Em Aberto</v>
      </c>
      <c r="F7625" s="3">
        <f ca="1">IF(G7625=1,"-",Tabela2[[#This Row],[Dt Venc:]]-TODAY())</f>
        <v>91</v>
      </c>
      <c r="G7625" s="3"/>
      <c r="H7625" s="3"/>
    </row>
    <row r="7626" spans="1:8">
      <c r="A7626" s="3">
        <v>376202</v>
      </c>
      <c r="B7626" s="7" t="s">
        <v>39</v>
      </c>
      <c r="C7626" s="41">
        <v>3094.69</v>
      </c>
      <c r="D7626" s="6">
        <v>45784</v>
      </c>
      <c r="E7626" s="3" t="str">
        <f ca="1">IF(Tabela2[[#This Row],[Dt Venc:]]&gt;TODAY(),"Em Aberto",IF(Tabela2[[#This Row],[D/venc]]="-","Enviado",IF(Tabela2[[#This Row],[Dt Venc:]]=TODAY(),"Vence Hoje","Vencida")))</f>
        <v>Em Aberto</v>
      </c>
      <c r="F7626" s="3">
        <f ca="1">IF(G7626=1,"-",Tabela2[[#This Row],[Dt Venc:]]-TODAY())</f>
        <v>91</v>
      </c>
      <c r="G7626" s="3"/>
      <c r="H7626" s="3"/>
    </row>
    <row r="7627" spans="1:8">
      <c r="A7627" s="3">
        <v>1</v>
      </c>
      <c r="B7627" s="7" t="s">
        <v>165</v>
      </c>
      <c r="C7627" s="87" t="s">
        <v>32</v>
      </c>
      <c r="D7627" s="6">
        <v>45785</v>
      </c>
      <c r="E7627" s="3" t="str">
        <f ca="1">IF(Tabela2[[#This Row],[Dt Venc:]]&gt;TODAY(),"Em Aberto",IF(Tabela2[[#This Row],[D/venc]]="-","Enviado",IF(Tabela2[[#This Row],[Dt Venc:]]=TODAY(),"Vence Hoje","Vencida")))</f>
        <v>Em Aberto</v>
      </c>
      <c r="F7627" s="3">
        <f ca="1">IF(G7627=1,"-",Tabela2[[#This Row],[Dt Venc:]]-TODAY())</f>
        <v>92</v>
      </c>
      <c r="G7627" s="3"/>
      <c r="H7627" s="3"/>
    </row>
    <row r="7628" spans="1:8">
      <c r="A7628" s="3">
        <v>24305</v>
      </c>
      <c r="B7628" s="7" t="s">
        <v>38</v>
      </c>
      <c r="C7628" s="41">
        <v>1340</v>
      </c>
      <c r="D7628" s="6">
        <v>45785</v>
      </c>
      <c r="E7628" s="3" t="str">
        <f ca="1">IF(Tabela2[[#This Row],[Dt Venc:]]&gt;TODAY(),"Em Aberto",IF(Tabela2[[#This Row],[D/venc]]="-","Enviado",IF(Tabela2[[#This Row],[Dt Venc:]]=TODAY(),"Vence Hoje","Vencida")))</f>
        <v>Em Aberto</v>
      </c>
      <c r="F7628" s="3">
        <f ca="1">IF(G7628=1,"-",Tabela2[[#This Row],[Dt Venc:]]-TODAY())</f>
        <v>92</v>
      </c>
      <c r="G7628" s="3"/>
      <c r="H7628" s="3"/>
    </row>
    <row r="7629" spans="1:8">
      <c r="A7629" s="3">
        <v>224917</v>
      </c>
      <c r="B7629" s="7" t="s">
        <v>39</v>
      </c>
      <c r="C7629" s="41">
        <v>21465</v>
      </c>
      <c r="D7629" s="6">
        <v>45785</v>
      </c>
      <c r="E7629" s="3" t="str">
        <f ca="1">IF(Tabela2[[#This Row],[Dt Venc:]]&gt;TODAY(),"Em Aberto",IF(Tabela2[[#This Row],[D/venc]]="-","Enviado",IF(Tabela2[[#This Row],[Dt Venc:]]=TODAY(),"Vence Hoje","Vencida")))</f>
        <v>Em Aberto</v>
      </c>
      <c r="F7629" s="3">
        <f ca="1">IF(G7629=1,"-",Tabela2[[#This Row],[Dt Venc:]]-TODAY())</f>
        <v>92</v>
      </c>
      <c r="G7629" s="3"/>
      <c r="H7629" s="3"/>
    </row>
    <row r="7630" spans="1:8">
      <c r="A7630" s="3">
        <v>279920</v>
      </c>
      <c r="B7630" s="7" t="s">
        <v>43</v>
      </c>
      <c r="C7630" s="41">
        <v>2467.15</v>
      </c>
      <c r="D7630" s="6">
        <v>45785</v>
      </c>
      <c r="E7630" s="3" t="str">
        <f ca="1">IF(Tabela2[[#This Row],[Dt Venc:]]&gt;TODAY(),"Em Aberto",IF(Tabela2[[#This Row],[D/venc]]="-","Enviado",IF(Tabela2[[#This Row],[Dt Venc:]]=TODAY(),"Vence Hoje","Vencida")))</f>
        <v>Em Aberto</v>
      </c>
      <c r="F7630" s="3">
        <f ca="1">IF(G7630=1,"-",Tabela2[[#This Row],[Dt Venc:]]-TODAY())</f>
        <v>92</v>
      </c>
      <c r="G7630" s="3"/>
      <c r="H7630" s="3"/>
    </row>
    <row r="7631" spans="1:8">
      <c r="A7631" s="3">
        <v>284620</v>
      </c>
      <c r="B7631" s="7" t="s">
        <v>153</v>
      </c>
      <c r="C7631" s="100" t="s">
        <v>32</v>
      </c>
      <c r="D7631" s="6">
        <v>45785</v>
      </c>
      <c r="E7631" s="3" t="str">
        <f ca="1">IF(Tabela2[[#This Row],[Dt Venc:]]&gt;TODAY(),"Em Aberto",IF(Tabela2[[#This Row],[D/venc]]="-","Enviado",IF(Tabela2[[#This Row],[Dt Venc:]]=TODAY(),"Vence Hoje","Vencida")))</f>
        <v>Em Aberto</v>
      </c>
      <c r="F7631" s="3">
        <f ca="1">IF(G7631=1,"-",Tabela2[[#This Row],[Dt Venc:]]-TODAY())</f>
        <v>92</v>
      </c>
      <c r="G7631" s="3"/>
      <c r="H7631" s="3"/>
    </row>
    <row r="7632" spans="1:8">
      <c r="A7632" s="3">
        <v>36949</v>
      </c>
      <c r="B7632" s="7" t="s">
        <v>167</v>
      </c>
      <c r="C7632" s="100" t="s">
        <v>32</v>
      </c>
      <c r="D7632" s="6">
        <v>45786</v>
      </c>
      <c r="E7632" s="3" t="str">
        <f ca="1">IF(Tabela2[[#This Row],[Dt Venc:]]&gt;TODAY(),"Em Aberto",IF(Tabela2[[#This Row],[D/venc]]="-","Enviado",IF(Tabela2[[#This Row],[Dt Venc:]]=TODAY(),"Vence Hoje","Vencida")))</f>
        <v>Em Aberto</v>
      </c>
      <c r="F7632" s="3">
        <f ca="1">IF(G7632=1,"-",Tabela2[[#This Row],[Dt Venc:]]-TODAY())</f>
        <v>93</v>
      </c>
      <c r="G7632" s="3"/>
      <c r="H7632" s="3"/>
    </row>
    <row r="7633" spans="1:8">
      <c r="A7633" s="3">
        <v>756561</v>
      </c>
      <c r="B7633" s="7" t="s">
        <v>166</v>
      </c>
      <c r="C7633" s="100" t="s">
        <v>32</v>
      </c>
      <c r="D7633" s="6">
        <v>45786</v>
      </c>
      <c r="E7633" s="3" t="str">
        <f ca="1">IF(Tabela2[[#This Row],[Dt Venc:]]&gt;TODAY(),"Em Aberto",IF(Tabela2[[#This Row],[D/venc]]="-","Enviado",IF(Tabela2[[#This Row],[Dt Venc:]]=TODAY(),"Vence Hoje","Vencida")))</f>
        <v>Em Aberto</v>
      </c>
      <c r="F7633" s="3">
        <f ca="1">IF(G7633=1,"-",Tabela2[[#This Row],[Dt Venc:]]-TODAY())</f>
        <v>93</v>
      </c>
      <c r="G7633" s="3"/>
      <c r="H7633" s="3"/>
    </row>
    <row r="7634" spans="1:8">
      <c r="A7634" s="3" t="s">
        <v>179</v>
      </c>
      <c r="B7634" s="7" t="s">
        <v>180</v>
      </c>
      <c r="C7634" s="100" t="s">
        <v>32</v>
      </c>
      <c r="D7634" s="6">
        <v>45786</v>
      </c>
      <c r="E7634" s="3" t="str">
        <f ca="1">IF(Tabela2[[#This Row],[Dt Venc:]]&gt;TODAY(),"Em Aberto",IF(Tabela2[[#This Row],[D/venc]]="-","Enviado",IF(Tabela2[[#This Row],[Dt Venc:]]=TODAY(),"Vence Hoje","Vencida")))</f>
        <v>Em Aberto</v>
      </c>
      <c r="F7634" s="3">
        <f ca="1">IF(G7634=1,"-",Tabela2[[#This Row],[Dt Venc:]]-TODAY())</f>
        <v>93</v>
      </c>
      <c r="G7634" s="3"/>
      <c r="H7634" s="3"/>
    </row>
    <row r="7635" spans="1:8">
      <c r="A7635" s="3">
        <v>287668</v>
      </c>
      <c r="B7635" s="7" t="s">
        <v>43</v>
      </c>
      <c r="C7635" s="41">
        <v>1977.8</v>
      </c>
      <c r="D7635" s="6">
        <v>45786</v>
      </c>
      <c r="E7635" s="3" t="str">
        <f ca="1">IF(Tabela2[[#This Row],[Dt Venc:]]&gt;TODAY(),"Em Aberto",IF(Tabela2[[#This Row],[D/venc]]="-","Enviado",IF(Tabela2[[#This Row],[Dt Venc:]]=TODAY(),"Vence Hoje","Vencida")))</f>
        <v>Em Aberto</v>
      </c>
      <c r="F7635" s="3">
        <f ca="1">IF(G7635=1,"-",Tabela2[[#This Row],[Dt Venc:]]-TODAY())</f>
        <v>93</v>
      </c>
      <c r="G7635" s="3"/>
      <c r="H7635" s="3"/>
    </row>
    <row r="7636" spans="1:8">
      <c r="A7636" s="3" t="s">
        <v>110</v>
      </c>
      <c r="B7636" s="7" t="s">
        <v>183</v>
      </c>
      <c r="C7636" s="42" t="s">
        <v>32</v>
      </c>
      <c r="D7636" s="6">
        <v>45787</v>
      </c>
      <c r="E7636" s="3" t="str">
        <f ca="1">IF(Tabela2[[#This Row],[Dt Venc:]]&gt;TODAY(),"Em Aberto",IF(Tabela2[[#This Row],[D/venc]]="-","Enviado",IF(Tabela2[[#This Row],[Dt Venc:]]=TODAY(),"Vence Hoje","Vencida")))</f>
        <v>Em Aberto</v>
      </c>
      <c r="F7636" s="3">
        <f ca="1">IF(G7636=1,"-",Tabela2[[#This Row],[Dt Venc:]]-TODAY())</f>
        <v>94</v>
      </c>
      <c r="G7636" s="3"/>
      <c r="H7636" s="3"/>
    </row>
    <row r="7637" spans="1:8">
      <c r="A7637" s="3" t="s">
        <v>110</v>
      </c>
      <c r="B7637" s="7" t="s">
        <v>181</v>
      </c>
      <c r="C7637" s="42" t="s">
        <v>32</v>
      </c>
      <c r="D7637" s="6">
        <v>45787</v>
      </c>
      <c r="E7637" s="3" t="str">
        <f ca="1">IF(Tabela2[[#This Row],[Dt Venc:]]&gt;TODAY(),"Em Aberto",IF(Tabela2[[#This Row],[D/venc]]="-","Enviado",IF(Tabela2[[#This Row],[Dt Venc:]]=TODAY(),"Vence Hoje","Vencida")))</f>
        <v>Em Aberto</v>
      </c>
      <c r="F7637" s="3">
        <f ca="1">IF(G7637=1,"-",Tabela2[[#This Row],[Dt Venc:]]-TODAY())</f>
        <v>94</v>
      </c>
      <c r="G7637" s="3"/>
      <c r="H7637" s="3"/>
    </row>
    <row r="7638" spans="1:8">
      <c r="A7638" s="3">
        <v>28629</v>
      </c>
      <c r="B7638" s="7" t="s">
        <v>182</v>
      </c>
      <c r="C7638" s="100" t="s">
        <v>32</v>
      </c>
      <c r="D7638" s="6">
        <v>45787</v>
      </c>
      <c r="E7638" s="3" t="str">
        <f ca="1">IF(Tabela2[[#This Row],[Dt Venc:]]&gt;TODAY(),"Em Aberto",IF(Tabela2[[#This Row],[D/venc]]="-","Enviado",IF(Tabela2[[#This Row],[Dt Venc:]]=TODAY(),"Vence Hoje","Vencida")))</f>
        <v>Em Aberto</v>
      </c>
      <c r="F7638" s="3">
        <f ca="1">IF(G7638=1,"-",Tabela2[[#This Row],[Dt Venc:]]-TODAY())</f>
        <v>94</v>
      </c>
      <c r="G7638" s="3"/>
      <c r="H7638" s="3" t="s">
        <v>732</v>
      </c>
    </row>
    <row r="7639" spans="1:8">
      <c r="A7639" s="3">
        <v>30841</v>
      </c>
      <c r="B7639" s="7" t="s">
        <v>97</v>
      </c>
      <c r="C7639" s="41">
        <v>1507</v>
      </c>
      <c r="D7639" s="6">
        <v>45787</v>
      </c>
      <c r="E7639" s="3" t="str">
        <f ca="1">IF(Tabela2[[#This Row],[Dt Venc:]]&gt;TODAY(),"Em Aberto",IF(Tabela2[[#This Row],[D/venc]]="-","Enviado",IF(Tabela2[[#This Row],[Dt Venc:]]=TODAY(),"Vence Hoje","Vencida")))</f>
        <v>Em Aberto</v>
      </c>
      <c r="F7639" s="3">
        <f ca="1">IF(G7639=1,"-",Tabela2[[#This Row],[Dt Venc:]]-TODAY())</f>
        <v>94</v>
      </c>
      <c r="G7639" s="3"/>
      <c r="H7639" s="3"/>
    </row>
    <row r="7640" spans="1:8">
      <c r="A7640" s="3">
        <v>30920</v>
      </c>
      <c r="B7640" s="7" t="s">
        <v>97</v>
      </c>
      <c r="C7640" s="41">
        <v>1975</v>
      </c>
      <c r="D7640" s="6">
        <v>45787</v>
      </c>
      <c r="E7640" s="3" t="str">
        <f ca="1">IF(Tabela2[[#This Row],[Dt Venc:]]&gt;TODAY(),"Em Aberto",IF(Tabela2[[#This Row],[D/venc]]="-","Enviado",IF(Tabela2[[#This Row],[Dt Venc:]]=TODAY(),"Vence Hoje","Vencida")))</f>
        <v>Em Aberto</v>
      </c>
      <c r="F7640" s="3">
        <f ca="1">IF(G7640=1,"-",Tabela2[[#This Row],[Dt Venc:]]-TODAY())</f>
        <v>94</v>
      </c>
      <c r="G7640" s="3"/>
      <c r="H7640" s="3"/>
    </row>
    <row r="7641" spans="1:8">
      <c r="A7641" s="3">
        <v>31135</v>
      </c>
      <c r="B7641" s="7" t="s">
        <v>97</v>
      </c>
      <c r="C7641" s="41">
        <v>2055</v>
      </c>
      <c r="D7641" s="6">
        <v>45787</v>
      </c>
      <c r="E7641" s="3" t="str">
        <f ca="1">IF(Tabela2[[#This Row],[Dt Venc:]]&gt;TODAY(),"Em Aberto",IF(Tabela2[[#This Row],[D/venc]]="-","Enviado",IF(Tabela2[[#This Row],[Dt Venc:]]=TODAY(),"Vence Hoje","Vencida")))</f>
        <v>Em Aberto</v>
      </c>
      <c r="F7641" s="3">
        <f ca="1">IF(G7641=1,"-",Tabela2[[#This Row],[Dt Venc:]]-TODAY())</f>
        <v>94</v>
      </c>
      <c r="G7641" s="3"/>
      <c r="H7641" s="3"/>
    </row>
    <row r="7642" spans="1:8">
      <c r="A7642" s="3">
        <v>31249</v>
      </c>
      <c r="B7642" s="7" t="s">
        <v>97</v>
      </c>
      <c r="C7642" s="41">
        <v>2170</v>
      </c>
      <c r="D7642" s="6">
        <v>45787</v>
      </c>
      <c r="E7642" s="3" t="str">
        <f ca="1">IF(Tabela2[[#This Row],[Dt Venc:]]&gt;TODAY(),"Em Aberto",IF(Tabela2[[#This Row],[D/venc]]="-","Enviado",IF(Tabela2[[#This Row],[Dt Venc:]]=TODAY(),"Vence Hoje","Vencida")))</f>
        <v>Em Aberto</v>
      </c>
      <c r="F7642" s="3">
        <f ca="1">IF(G7642=1,"-",Tabela2[[#This Row],[Dt Venc:]]-TODAY())</f>
        <v>94</v>
      </c>
      <c r="G7642" s="3"/>
      <c r="H7642" s="3"/>
    </row>
    <row r="7643" spans="1:8">
      <c r="A7643" s="3" t="s">
        <v>123</v>
      </c>
      <c r="B7643" s="7" t="s">
        <v>418</v>
      </c>
      <c r="C7643" s="42" t="s">
        <v>32</v>
      </c>
      <c r="D7643" s="6">
        <v>45787</v>
      </c>
      <c r="E7643" s="3" t="str">
        <f ca="1">IF(Tabela2[[#This Row],[Dt Venc:]]&gt;TODAY(),"Em Aberto",IF(Tabela2[[#This Row],[D/venc]]="-","Enviado",IF(Tabela2[[#This Row],[Dt Venc:]]=TODAY(),"Vence Hoje","Vencida")))</f>
        <v>Em Aberto</v>
      </c>
      <c r="F7643" s="3">
        <f ca="1">IF(G7643=1,"-",Tabela2[[#This Row],[Dt Venc:]]-TODAY())</f>
        <v>94</v>
      </c>
      <c r="G7643" s="3"/>
      <c r="H7643" s="3"/>
    </row>
    <row r="7644" spans="1:8">
      <c r="A7644" s="3" t="s">
        <v>123</v>
      </c>
      <c r="B7644" s="7" t="s">
        <v>201</v>
      </c>
      <c r="C7644" s="87" t="s">
        <v>32</v>
      </c>
      <c r="D7644" s="6">
        <v>45787</v>
      </c>
      <c r="E7644" s="3" t="str">
        <f ca="1">IF(Tabela2[[#This Row],[Dt Venc:]]&gt;TODAY(),"Em Aberto",IF(Tabela2[[#This Row],[D/venc]]="-","Enviado",IF(Tabela2[[#This Row],[Dt Venc:]]=TODAY(),"Vence Hoje","Vencida")))</f>
        <v>Em Aberto</v>
      </c>
      <c r="F7644" s="3">
        <f ca="1">IF(G7644=1,"-",Tabela2[[#This Row],[Dt Venc:]]-TODAY())</f>
        <v>94</v>
      </c>
      <c r="G7644" s="3"/>
      <c r="H7644" s="3"/>
    </row>
    <row r="7645" spans="1:8">
      <c r="A7645" s="3" t="s">
        <v>179</v>
      </c>
      <c r="B7645" s="7" t="s">
        <v>190</v>
      </c>
      <c r="C7645" s="100" t="s">
        <v>32</v>
      </c>
      <c r="D7645" s="6">
        <v>45787</v>
      </c>
      <c r="E7645" s="3" t="str">
        <f ca="1">IF(Tabela2[[#This Row],[Dt Venc:]]&gt;TODAY(),"Em Aberto",IF(Tabela2[[#This Row],[D/venc]]="-","Enviado",IF(Tabela2[[#This Row],[Dt Venc:]]=TODAY(),"Vence Hoje","Vencida")))</f>
        <v>Em Aberto</v>
      </c>
      <c r="F7645" s="3">
        <f ca="1">IF(G7645=1,"-",Tabela2[[#This Row],[Dt Venc:]]-TODAY())</f>
        <v>94</v>
      </c>
      <c r="G7645" s="3"/>
      <c r="H7645" s="3"/>
    </row>
    <row r="7646" spans="1:8">
      <c r="A7646" s="3">
        <v>31501</v>
      </c>
      <c r="B7646" s="7" t="s">
        <v>97</v>
      </c>
      <c r="C7646" s="41">
        <v>1825</v>
      </c>
      <c r="D7646" s="6">
        <v>45787</v>
      </c>
      <c r="E7646" s="3" t="str">
        <f ca="1">IF(Tabela2[[#This Row],[Dt Venc:]]&gt;TODAY(),"Em Aberto",IF(Tabela2[[#This Row],[D/venc]]="-","Enviado",IF(Tabela2[[#This Row],[Dt Venc:]]=TODAY(),"Vence Hoje","Vencida")))</f>
        <v>Em Aberto</v>
      </c>
      <c r="F7646" s="3">
        <f ca="1">IF(G7646=1,"-",Tabela2[[#This Row],[Dt Venc:]]-TODAY())</f>
        <v>94</v>
      </c>
      <c r="G7646" s="3"/>
      <c r="H7646" s="3"/>
    </row>
    <row r="7647" spans="1:8">
      <c r="A7647" s="3">
        <v>37327</v>
      </c>
      <c r="B7647" s="7" t="s">
        <v>167</v>
      </c>
      <c r="C7647" s="100" t="s">
        <v>32</v>
      </c>
      <c r="D7647" s="6">
        <v>45788</v>
      </c>
      <c r="E7647" s="3" t="str">
        <f ca="1">IF(Tabela2[[#This Row],[Dt Venc:]]&gt;TODAY(),"Em Aberto",IF(Tabela2[[#This Row],[D/venc]]="-","Enviado",IF(Tabela2[[#This Row],[Dt Venc:]]=TODAY(),"Vence Hoje","Vencida")))</f>
        <v>Em Aberto</v>
      </c>
      <c r="F7647" s="3">
        <f ca="1">IF(G7647=1,"-",Tabela2[[#This Row],[Dt Venc:]]-TODAY())</f>
        <v>95</v>
      </c>
      <c r="G7647" s="3"/>
      <c r="H7647" s="3"/>
    </row>
    <row r="7648" spans="1:8">
      <c r="A7648" s="3" t="s">
        <v>110</v>
      </c>
      <c r="B7648" s="7" t="s">
        <v>205</v>
      </c>
      <c r="C7648" s="42" t="s">
        <v>32</v>
      </c>
      <c r="D7648" s="6">
        <v>45788</v>
      </c>
      <c r="E7648" s="3" t="str">
        <f ca="1">IF(Tabela2[[#This Row],[Dt Venc:]]&gt;TODAY(),"Em Aberto",IF(Tabela2[[#This Row],[D/venc]]="-","Enviado",IF(Tabela2[[#This Row],[Dt Venc:]]=TODAY(),"Vence Hoje","Vencida")))</f>
        <v>Em Aberto</v>
      </c>
      <c r="F7648" s="3">
        <f ca="1">IF(G7648=1,"-",Tabela2[[#This Row],[Dt Venc:]]-TODAY())</f>
        <v>95</v>
      </c>
      <c r="G7648" s="3"/>
      <c r="H7648" s="3"/>
    </row>
    <row r="7649" spans="1:8">
      <c r="A7649" s="3">
        <v>23554</v>
      </c>
      <c r="B7649" s="7" t="s">
        <v>632</v>
      </c>
      <c r="C7649" s="41">
        <v>1725</v>
      </c>
      <c r="D7649" s="6">
        <v>45789</v>
      </c>
      <c r="E7649" s="3" t="str">
        <f ca="1">IF(Tabela2[[#This Row],[Dt Venc:]]&gt;TODAY(),"Em Aberto",IF(Tabela2[[#This Row],[D/venc]]="-","Enviado",IF(Tabela2[[#This Row],[Dt Venc:]]=TODAY(),"Vence Hoje","Vencida")))</f>
        <v>Em Aberto</v>
      </c>
      <c r="F7649" s="3">
        <f ca="1">IF(G7649=1,"-",Tabela2[[#This Row],[Dt Venc:]]-TODAY())</f>
        <v>96</v>
      </c>
      <c r="G7649" s="3"/>
      <c r="H7649" s="3"/>
    </row>
    <row r="7650" spans="1:8">
      <c r="A7650" s="3">
        <v>37292</v>
      </c>
      <c r="B7650" s="7" t="s">
        <v>167</v>
      </c>
      <c r="C7650" s="100" t="s">
        <v>32</v>
      </c>
      <c r="D7650" s="6">
        <v>45789</v>
      </c>
      <c r="E7650" s="3" t="str">
        <f ca="1">IF(Tabela2[[#This Row],[Dt Venc:]]&gt;TODAY(),"Em Aberto",IF(Tabela2[[#This Row],[D/venc]]="-","Enviado",IF(Tabela2[[#This Row],[Dt Venc:]]=TODAY(),"Vence Hoje","Vencida")))</f>
        <v>Em Aberto</v>
      </c>
      <c r="F7650" s="3">
        <f ca="1">IF(G7650=1,"-",Tabela2[[#This Row],[Dt Venc:]]-TODAY())</f>
        <v>96</v>
      </c>
      <c r="G7650" s="3"/>
      <c r="H7650" s="3"/>
    </row>
    <row r="7651" spans="1:8">
      <c r="A7651" s="3">
        <v>148207</v>
      </c>
      <c r="B7651" s="7" t="s">
        <v>127</v>
      </c>
      <c r="C7651" s="41">
        <v>602</v>
      </c>
      <c r="D7651" s="6">
        <v>45790</v>
      </c>
      <c r="E7651" s="3" t="str">
        <f ca="1">IF(Tabela2[[#This Row],[Dt Venc:]]&gt;TODAY(),"Em Aberto",IF(Tabela2[[#This Row],[D/venc]]="-","Enviado",IF(Tabela2[[#This Row],[Dt Venc:]]=TODAY(),"Vence Hoje","Vencida")))</f>
        <v>Em Aberto</v>
      </c>
      <c r="F7651" s="3">
        <f ca="1">IF(G7651=1,"-",Tabela2[[#This Row],[Dt Venc:]]-TODAY())</f>
        <v>97</v>
      </c>
      <c r="G7651" s="3"/>
      <c r="H7651" s="3"/>
    </row>
    <row r="7652" spans="1:8">
      <c r="A7652" s="3">
        <v>148208</v>
      </c>
      <c r="B7652" s="7" t="s">
        <v>127</v>
      </c>
      <c r="C7652" s="41">
        <v>602</v>
      </c>
      <c r="D7652" s="6">
        <v>45790</v>
      </c>
      <c r="E7652" s="3" t="str">
        <f ca="1">IF(Tabela2[[#This Row],[Dt Venc:]]&gt;TODAY(),"Em Aberto",IF(Tabela2[[#This Row],[D/venc]]="-","Enviado",IF(Tabela2[[#This Row],[Dt Venc:]]=TODAY(),"Vence Hoje","Vencida")))</f>
        <v>Em Aberto</v>
      </c>
      <c r="F7652" s="3">
        <f ca="1">IF(G7652=1,"-",Tabela2[[#This Row],[Dt Venc:]]-TODAY())</f>
        <v>97</v>
      </c>
      <c r="G7652" s="3"/>
      <c r="H7652" s="3"/>
    </row>
    <row r="7653" spans="1:8">
      <c r="A7653" s="3">
        <v>764562</v>
      </c>
      <c r="B7653" s="7" t="s">
        <v>127</v>
      </c>
      <c r="C7653" s="41">
        <v>543.01</v>
      </c>
      <c r="D7653" s="6">
        <v>45790</v>
      </c>
      <c r="E7653" s="3" t="str">
        <f ca="1">IF(Tabela2[[#This Row],[Dt Venc:]]&gt;TODAY(),"Em Aberto",IF(Tabela2[[#This Row],[D/venc]]="-","Enviado",IF(Tabela2[[#This Row],[Dt Venc:]]=TODAY(),"Vence Hoje","Vencida")))</f>
        <v>Em Aberto</v>
      </c>
      <c r="F7653" s="3">
        <f ca="1">IF(G7653=1,"-",Tabela2[[#This Row],[Dt Venc:]]-TODAY())</f>
        <v>97</v>
      </c>
      <c r="G7653" s="3"/>
      <c r="H7653" s="3"/>
    </row>
    <row r="7654" spans="1:8">
      <c r="A7654" s="3">
        <v>764562</v>
      </c>
      <c r="B7654" s="7" t="s">
        <v>127</v>
      </c>
      <c r="C7654" s="41">
        <v>543.01</v>
      </c>
      <c r="D7654" s="6">
        <v>45790</v>
      </c>
      <c r="E7654" s="3" t="str">
        <f ca="1">IF(Tabela2[[#This Row],[Dt Venc:]]&gt;TODAY(),"Em Aberto",IF(Tabela2[[#This Row],[D/venc]]="-","Enviado",IF(Tabela2[[#This Row],[Dt Venc:]]=TODAY(),"Vence Hoje","Vencida")))</f>
        <v>Em Aberto</v>
      </c>
      <c r="F7654" s="3">
        <f ca="1">IF(G7654=1,"-",Tabela2[[#This Row],[Dt Venc:]]-TODAY())</f>
        <v>97</v>
      </c>
      <c r="G7654" s="3"/>
      <c r="H7654" s="3"/>
    </row>
    <row r="7655" spans="1:8">
      <c r="A7655" s="3">
        <v>764565</v>
      </c>
      <c r="B7655" s="7" t="s">
        <v>127</v>
      </c>
      <c r="C7655" s="41">
        <v>543.01</v>
      </c>
      <c r="D7655" s="6">
        <v>45790</v>
      </c>
      <c r="E7655" s="3" t="str">
        <f ca="1">IF(Tabela2[[#This Row],[Dt Venc:]]&gt;TODAY(),"Em Aberto",IF(Tabela2[[#This Row],[D/venc]]="-","Enviado",IF(Tabela2[[#This Row],[Dt Venc:]]=TODAY(),"Vence Hoje","Vencida")))</f>
        <v>Em Aberto</v>
      </c>
      <c r="F7655" s="3">
        <f ca="1">IF(G7655=1,"-",Tabela2[[#This Row],[Dt Venc:]]-TODAY())</f>
        <v>97</v>
      </c>
      <c r="G7655" s="3"/>
      <c r="H7655" s="3"/>
    </row>
    <row r="7656" spans="1:8">
      <c r="A7656" s="3">
        <v>764565</v>
      </c>
      <c r="B7656" s="7" t="s">
        <v>127</v>
      </c>
      <c r="C7656" s="41">
        <v>543.01</v>
      </c>
      <c r="D7656" s="6">
        <v>45790</v>
      </c>
      <c r="E7656" s="3" t="str">
        <f ca="1">IF(Tabela2[[#This Row],[Dt Venc:]]&gt;TODAY(),"Em Aberto",IF(Tabela2[[#This Row],[D/venc]]="-","Enviado",IF(Tabela2[[#This Row],[Dt Venc:]]=TODAY(),"Vence Hoje","Vencida")))</f>
        <v>Em Aberto</v>
      </c>
      <c r="F7656" s="3">
        <f ca="1">IF(G7656=1,"-",Tabela2[[#This Row],[Dt Venc:]]-TODAY())</f>
        <v>97</v>
      </c>
      <c r="G7656" s="3"/>
      <c r="H7656" s="3"/>
    </row>
    <row r="7657" spans="1:8">
      <c r="A7657" s="3">
        <v>111736</v>
      </c>
      <c r="B7657" s="7" t="s">
        <v>182</v>
      </c>
      <c r="C7657" s="87" t="s">
        <v>32</v>
      </c>
      <c r="D7657" s="6">
        <v>45791</v>
      </c>
      <c r="E7657" s="3" t="str">
        <f ca="1">IF(Tabela2[[#This Row],[Dt Venc:]]&gt;TODAY(),"Em Aberto",IF(Tabela2[[#This Row],[D/venc]]="-","Enviado",IF(Tabela2[[#This Row],[Dt Venc:]]=TODAY(),"Vence Hoje","Vencida")))</f>
        <v>Em Aberto</v>
      </c>
      <c r="F7657" s="3">
        <f ca="1">IF(G7657=1,"-",Tabela2[[#This Row],[Dt Venc:]]-TODAY())</f>
        <v>98</v>
      </c>
      <c r="G7657" s="3"/>
      <c r="H7657" s="3"/>
    </row>
    <row r="7658" spans="1:8">
      <c r="A7658" s="3">
        <v>562</v>
      </c>
      <c r="B7658" s="7" t="s">
        <v>251</v>
      </c>
      <c r="C7658" s="100" t="s">
        <v>32</v>
      </c>
      <c r="D7658" s="6">
        <v>45792</v>
      </c>
      <c r="E7658" s="3" t="str">
        <f ca="1">IF(Tabela2[[#This Row],[Dt Venc:]]&gt;TODAY(),"Em Aberto",IF(Tabela2[[#This Row],[D/venc]]="-","Enviado",IF(Tabela2[[#This Row],[Dt Venc:]]=TODAY(),"Vence Hoje","Vencida")))</f>
        <v>Em Aberto</v>
      </c>
      <c r="F7658" s="3">
        <f ca="1">IF(G7658=1,"-",Tabela2[[#This Row],[Dt Venc:]]-TODAY())</f>
        <v>99</v>
      </c>
      <c r="G7658" s="3"/>
      <c r="H7658" s="3"/>
    </row>
    <row r="7659" spans="1:8">
      <c r="A7659" s="3">
        <v>6376</v>
      </c>
      <c r="B7659" s="7" t="s">
        <v>47</v>
      </c>
      <c r="C7659" s="41">
        <v>2895.74</v>
      </c>
      <c r="D7659" s="6">
        <v>45792</v>
      </c>
      <c r="E7659" s="3" t="str">
        <f ca="1">IF(Tabela2[[#This Row],[Dt Venc:]]&gt;TODAY(),"Em Aberto",IF(Tabela2[[#This Row],[D/venc]]="-","Enviado",IF(Tabela2[[#This Row],[Dt Venc:]]=TODAY(),"Vence Hoje","Vencida")))</f>
        <v>Em Aberto</v>
      </c>
      <c r="F7659" s="3">
        <f ca="1">IF(G7659=1,"-",Tabela2[[#This Row],[Dt Venc:]]-TODAY())</f>
        <v>99</v>
      </c>
      <c r="G7659" s="3"/>
      <c r="H7659" s="3"/>
    </row>
    <row r="7660" spans="1:8">
      <c r="A7660" s="3">
        <v>31136</v>
      </c>
      <c r="B7660" s="7" t="s">
        <v>97</v>
      </c>
      <c r="C7660" s="41">
        <v>1370</v>
      </c>
      <c r="D7660" s="6">
        <v>45792</v>
      </c>
      <c r="E7660" s="3" t="str">
        <f ca="1">IF(Tabela2[[#This Row],[Dt Venc:]]&gt;TODAY(),"Em Aberto",IF(Tabela2[[#This Row],[D/venc]]="-","Enviado",IF(Tabela2[[#This Row],[Dt Venc:]]=TODAY(),"Vence Hoje","Vencida")))</f>
        <v>Em Aberto</v>
      </c>
      <c r="F7660" s="3">
        <f ca="1">IF(G7660=1,"-",Tabela2[[#This Row],[Dt Venc:]]-TODAY())</f>
        <v>99</v>
      </c>
      <c r="G7660" s="3"/>
      <c r="H7660" s="3"/>
    </row>
    <row r="7661" spans="1:8">
      <c r="A7661" s="3">
        <v>31250</v>
      </c>
      <c r="B7661" s="7" t="s">
        <v>97</v>
      </c>
      <c r="C7661" s="41">
        <v>2170</v>
      </c>
      <c r="D7661" s="6">
        <v>45792</v>
      </c>
      <c r="E7661" s="3" t="str">
        <f ca="1">IF(Tabela2[[#This Row],[Dt Venc:]]&gt;TODAY(),"Em Aberto",IF(Tabela2[[#This Row],[D/venc]]="-","Enviado",IF(Tabela2[[#This Row],[Dt Venc:]]=TODAY(),"Vence Hoje","Vencida")))</f>
        <v>Em Aberto</v>
      </c>
      <c r="F7661" s="3">
        <f ca="1">IF(G7661=1,"-",Tabela2[[#This Row],[Dt Venc:]]-TODAY())</f>
        <v>99</v>
      </c>
      <c r="G7661" s="3"/>
      <c r="H7661" s="3"/>
    </row>
    <row r="7662" spans="1:8">
      <c r="A7662" s="3">
        <v>31298</v>
      </c>
      <c r="B7662" s="7" t="s">
        <v>97</v>
      </c>
      <c r="C7662" s="41">
        <v>2285</v>
      </c>
      <c r="D7662" s="6">
        <v>45792</v>
      </c>
      <c r="E7662" s="3" t="str">
        <f ca="1">IF(Tabela2[[#This Row],[Dt Venc:]]&gt;TODAY(),"Em Aberto",IF(Tabela2[[#This Row],[D/venc]]="-","Enviado",IF(Tabela2[[#This Row],[Dt Venc:]]=TODAY(),"Vence Hoje","Vencida")))</f>
        <v>Em Aberto</v>
      </c>
      <c r="F7662" s="3">
        <f ca="1">IF(G7662=1,"-",Tabela2[[#This Row],[Dt Venc:]]-TODAY())</f>
        <v>99</v>
      </c>
      <c r="G7662" s="3"/>
      <c r="H7662" s="3"/>
    </row>
    <row r="7663" spans="1:8">
      <c r="A7663" s="3">
        <v>36846</v>
      </c>
      <c r="B7663" s="7" t="s">
        <v>167</v>
      </c>
      <c r="C7663" s="100" t="s">
        <v>32</v>
      </c>
      <c r="D7663" s="6">
        <v>45792</v>
      </c>
      <c r="E7663" s="3" t="str">
        <f ca="1">IF(Tabela2[[#This Row],[Dt Venc:]]&gt;TODAY(),"Em Aberto",IF(Tabela2[[#This Row],[D/venc]]="-","Enviado",IF(Tabela2[[#This Row],[Dt Venc:]]=TODAY(),"Vence Hoje","Vencida")))</f>
        <v>Em Aberto</v>
      </c>
      <c r="F7663" s="3">
        <f ca="1">IF(G7663=1,"-",Tabela2[[#This Row],[Dt Venc:]]-TODAY())</f>
        <v>99</v>
      </c>
      <c r="G7663" s="3"/>
      <c r="H7663" s="3"/>
    </row>
    <row r="7664" spans="1:8">
      <c r="A7664" s="3">
        <v>103015</v>
      </c>
      <c r="B7664" s="7" t="s">
        <v>252</v>
      </c>
      <c r="C7664" s="99" t="s">
        <v>32</v>
      </c>
      <c r="D7664" s="6">
        <v>45792</v>
      </c>
      <c r="E7664" s="3" t="str">
        <f ca="1">IF(Tabela2[[#This Row],[Dt Venc:]]&gt;TODAY(),"Em Aberto",IF(Tabela2[[#This Row],[D/venc]]="-","Enviado",IF(Tabela2[[#This Row],[Dt Venc:]]=TODAY(),"Vence Hoje","Vencida")))</f>
        <v>Em Aberto</v>
      </c>
      <c r="F7664" s="3">
        <f ca="1">IF(G7664=1,"-",Tabela2[[#This Row],[Dt Venc:]]-TODAY())</f>
        <v>99</v>
      </c>
      <c r="G7664" s="3"/>
      <c r="H7664" s="3"/>
    </row>
    <row r="7665" spans="1:8">
      <c r="A7665" s="3">
        <v>103077</v>
      </c>
      <c r="B7665" s="7" t="s">
        <v>252</v>
      </c>
      <c r="C7665" s="100" t="s">
        <v>32</v>
      </c>
      <c r="D7665" s="6">
        <v>45792</v>
      </c>
      <c r="E7665" s="3" t="str">
        <f ca="1">IF(Tabela2[[#This Row],[Dt Venc:]]&gt;TODAY(),"Em Aberto",IF(Tabela2[[#This Row],[D/venc]]="-","Enviado",IF(Tabela2[[#This Row],[Dt Venc:]]=TODAY(),"Vence Hoje","Vencida")))</f>
        <v>Em Aberto</v>
      </c>
      <c r="F7665" s="3">
        <f ca="1">IF(G7665=1,"-",Tabela2[[#This Row],[Dt Venc:]]-TODAY())</f>
        <v>99</v>
      </c>
      <c r="G7665" s="3"/>
      <c r="H7665" s="3"/>
    </row>
    <row r="7666" spans="1:8">
      <c r="A7666" s="3">
        <v>103153</v>
      </c>
      <c r="B7666" s="7" t="s">
        <v>252</v>
      </c>
      <c r="C7666" s="87" t="s">
        <v>32</v>
      </c>
      <c r="D7666" s="6">
        <v>45792</v>
      </c>
      <c r="E7666" s="3" t="str">
        <f ca="1">IF(Tabela2[[#This Row],[Dt Venc:]]&gt;TODAY(),"Em Aberto",IF(Tabela2[[#This Row],[D/venc]]="-","Enviado",IF(Tabela2[[#This Row],[Dt Venc:]]=TODAY(),"Vence Hoje","Vencida")))</f>
        <v>Em Aberto</v>
      </c>
      <c r="F7666" s="3">
        <f ca="1">IF(G7666=1,"-",Tabela2[[#This Row],[Dt Venc:]]-TODAY())</f>
        <v>99</v>
      </c>
      <c r="G7666" s="3"/>
      <c r="H7666" s="3"/>
    </row>
    <row r="7667" spans="1:8">
      <c r="A7667" s="3">
        <v>103154</v>
      </c>
      <c r="B7667" s="7" t="s">
        <v>252</v>
      </c>
      <c r="C7667" s="100" t="s">
        <v>32</v>
      </c>
      <c r="D7667" s="6">
        <v>45792</v>
      </c>
      <c r="E7667" s="3" t="str">
        <f ca="1">IF(Tabela2[[#This Row],[Dt Venc:]]&gt;TODAY(),"Em Aberto",IF(Tabela2[[#This Row],[D/venc]]="-","Enviado",IF(Tabela2[[#This Row],[Dt Venc:]]=TODAY(),"Vence Hoje","Vencida")))</f>
        <v>Em Aberto</v>
      </c>
      <c r="F7667" s="3">
        <f ca="1">IF(G7667=1,"-",Tabela2[[#This Row],[Dt Venc:]]-TODAY())</f>
        <v>99</v>
      </c>
      <c r="G7667" s="3"/>
      <c r="H7667" s="3"/>
    </row>
    <row r="7668" spans="1:8">
      <c r="A7668" s="3">
        <v>106007</v>
      </c>
      <c r="B7668" s="7" t="s">
        <v>252</v>
      </c>
      <c r="C7668" s="100" t="s">
        <v>32</v>
      </c>
      <c r="D7668" s="6">
        <v>45792</v>
      </c>
      <c r="E7668" s="3" t="str">
        <f ca="1">IF(Tabela2[[#This Row],[Dt Venc:]]&gt;TODAY(),"Em Aberto",IF(Tabela2[[#This Row],[D/venc]]="-","Enviado",IF(Tabela2[[#This Row],[Dt Venc:]]=TODAY(),"Vence Hoje","Vencida")))</f>
        <v>Em Aberto</v>
      </c>
      <c r="F7668" s="3">
        <f ca="1">IF(G7668=1,"-",Tabela2[[#This Row],[Dt Venc:]]-TODAY())</f>
        <v>99</v>
      </c>
      <c r="G7668" s="3"/>
      <c r="H7668" s="3"/>
    </row>
    <row r="7669" spans="1:8">
      <c r="A7669" s="3">
        <v>106043</v>
      </c>
      <c r="B7669" s="7" t="s">
        <v>252</v>
      </c>
      <c r="C7669" s="100" t="s">
        <v>32</v>
      </c>
      <c r="D7669" s="6">
        <v>45792</v>
      </c>
      <c r="E7669" s="3" t="str">
        <f ca="1">IF(Tabela2[[#This Row],[Dt Venc:]]&gt;TODAY(),"Em Aberto",IF(Tabela2[[#This Row],[D/venc]]="-","Enviado",IF(Tabela2[[#This Row],[Dt Venc:]]=TODAY(),"Vence Hoje","Vencida")))</f>
        <v>Em Aberto</v>
      </c>
      <c r="F7669" s="3">
        <f ca="1">IF(G7669=1,"-",Tabela2[[#This Row],[Dt Venc:]]-TODAY())</f>
        <v>99</v>
      </c>
      <c r="G7669" s="3"/>
      <c r="H7669" s="3"/>
    </row>
    <row r="7670" spans="1:8">
      <c r="A7670" s="3">
        <v>107829</v>
      </c>
      <c r="B7670" s="7" t="s">
        <v>252</v>
      </c>
      <c r="C7670" s="100" t="s">
        <v>32</v>
      </c>
      <c r="D7670" s="6">
        <v>45792</v>
      </c>
      <c r="E7670" s="3" t="str">
        <f ca="1">IF(Tabela2[[#This Row],[Dt Venc:]]&gt;TODAY(),"Em Aberto",IF(Tabela2[[#This Row],[D/venc]]="-","Enviado",IF(Tabela2[[#This Row],[Dt Venc:]]=TODAY(),"Vence Hoje","Vencida")))</f>
        <v>Em Aberto</v>
      </c>
      <c r="F7670" s="3">
        <f ca="1">IF(G7670=1,"-",Tabela2[[#This Row],[Dt Venc:]]-TODAY())</f>
        <v>99</v>
      </c>
      <c r="G7670" s="3"/>
      <c r="H7670" s="3"/>
    </row>
    <row r="7671" spans="1:8">
      <c r="A7671" s="3">
        <v>107830</v>
      </c>
      <c r="B7671" s="7" t="s">
        <v>252</v>
      </c>
      <c r="C7671" s="85" t="s">
        <v>32</v>
      </c>
      <c r="D7671" s="6">
        <v>45792</v>
      </c>
      <c r="E7671" s="3" t="str">
        <f ca="1">IF(Tabela2[[#This Row],[Dt Venc:]]&gt;TODAY(),"Em Aberto",IF(Tabela2[[#This Row],[D/venc]]="-","Enviado",IF(Tabela2[[#This Row],[Dt Venc:]]=TODAY(),"Vence Hoje","Vencida")))</f>
        <v>Em Aberto</v>
      </c>
      <c r="F7671" s="3">
        <f ca="1">IF(G7671=1,"-",Tabela2[[#This Row],[Dt Venc:]]-TODAY())</f>
        <v>99</v>
      </c>
      <c r="G7671" s="3"/>
      <c r="H7671" s="3"/>
    </row>
    <row r="7672" spans="1:8">
      <c r="A7672" s="3">
        <v>107831</v>
      </c>
      <c r="B7672" s="7" t="s">
        <v>252</v>
      </c>
      <c r="C7672" s="100" t="s">
        <v>32</v>
      </c>
      <c r="D7672" s="6">
        <v>45792</v>
      </c>
      <c r="E7672" s="3" t="str">
        <f ca="1">IF(Tabela2[[#This Row],[Dt Venc:]]&gt;TODAY(),"Em Aberto",IF(Tabela2[[#This Row],[D/venc]]="-","Enviado",IF(Tabela2[[#This Row],[Dt Venc:]]=TODAY(),"Vence Hoje","Vencida")))</f>
        <v>Em Aberto</v>
      </c>
      <c r="F7672" s="3">
        <f ca="1">IF(G7672=1,"-",Tabela2[[#This Row],[Dt Venc:]]-TODAY())</f>
        <v>99</v>
      </c>
      <c r="G7672" s="3"/>
      <c r="H7672" s="3"/>
    </row>
    <row r="7673" spans="1:8">
      <c r="A7673" s="3">
        <v>107832</v>
      </c>
      <c r="B7673" s="7" t="s">
        <v>252</v>
      </c>
      <c r="C7673" s="100" t="s">
        <v>32</v>
      </c>
      <c r="D7673" s="6">
        <v>45792</v>
      </c>
      <c r="E7673" s="3" t="str">
        <f ca="1">IF(Tabela2[[#This Row],[Dt Venc:]]&gt;TODAY(),"Em Aberto",IF(Tabela2[[#This Row],[D/venc]]="-","Enviado",IF(Tabela2[[#This Row],[Dt Venc:]]=TODAY(),"Vence Hoje","Vencida")))</f>
        <v>Em Aberto</v>
      </c>
      <c r="F7673" s="3">
        <f ca="1">IF(G7673=1,"-",Tabela2[[#This Row],[Dt Venc:]]-TODAY())</f>
        <v>99</v>
      </c>
      <c r="G7673" s="3"/>
      <c r="H7673" s="3"/>
    </row>
    <row r="7674" spans="1:8">
      <c r="A7674" s="3">
        <v>225178</v>
      </c>
      <c r="B7674" s="7" t="s">
        <v>39</v>
      </c>
      <c r="C7674" s="41">
        <v>21465</v>
      </c>
      <c r="D7674" s="6">
        <v>45792</v>
      </c>
      <c r="E7674" s="3" t="str">
        <f ca="1">IF(Tabela2[[#This Row],[Dt Venc:]]&gt;TODAY(),"Em Aberto",IF(Tabela2[[#This Row],[D/venc]]="-","Enviado",IF(Tabela2[[#This Row],[Dt Venc:]]=TODAY(),"Vence Hoje","Vencida")))</f>
        <v>Em Aberto</v>
      </c>
      <c r="F7674" s="3">
        <f ca="1">IF(G7674=1,"-",Tabela2[[#This Row],[Dt Venc:]]-TODAY())</f>
        <v>99</v>
      </c>
      <c r="G7674" s="3"/>
      <c r="H7674" s="3"/>
    </row>
    <row r="7675" spans="1:8">
      <c r="A7675" s="3">
        <v>361229</v>
      </c>
      <c r="B7675" s="7" t="s">
        <v>250</v>
      </c>
      <c r="C7675" s="100" t="s">
        <v>32</v>
      </c>
      <c r="D7675" s="6">
        <v>45792</v>
      </c>
      <c r="E7675" s="3" t="str">
        <f ca="1">IF(Tabela2[[#This Row],[Dt Venc:]]&gt;TODAY(),"Em Aberto",IF(Tabela2[[#This Row],[D/venc]]="-","Enviado",IF(Tabela2[[#This Row],[Dt Venc:]]=TODAY(),"Vence Hoje","Vencida")))</f>
        <v>Em Aberto</v>
      </c>
      <c r="F7675" s="3">
        <f ca="1">IF(G7675=1,"-",Tabela2[[#This Row],[Dt Venc:]]-TODAY())</f>
        <v>99</v>
      </c>
      <c r="G7675" s="3"/>
      <c r="H7675" s="3"/>
    </row>
    <row r="7676" spans="1:8">
      <c r="A7676" s="3">
        <v>361237</v>
      </c>
      <c r="B7676" s="7" t="s">
        <v>250</v>
      </c>
      <c r="C7676" s="100" t="s">
        <v>32</v>
      </c>
      <c r="D7676" s="6">
        <v>45792</v>
      </c>
      <c r="E7676" s="3" t="str">
        <f ca="1">IF(Tabela2[[#This Row],[Dt Venc:]]&gt;TODAY(),"Em Aberto",IF(Tabela2[[#This Row],[D/venc]]="-","Enviado",IF(Tabela2[[#This Row],[Dt Venc:]]=TODAY(),"Vence Hoje","Vencida")))</f>
        <v>Em Aberto</v>
      </c>
      <c r="F7676" s="3">
        <f ca="1">IF(G7676=1,"-",Tabela2[[#This Row],[Dt Venc:]]-TODAY())</f>
        <v>99</v>
      </c>
      <c r="G7676" s="3"/>
      <c r="H7676" s="3"/>
    </row>
    <row r="7677" spans="1:8">
      <c r="A7677" s="3">
        <v>365658</v>
      </c>
      <c r="B7677" s="7" t="s">
        <v>250</v>
      </c>
      <c r="C7677" s="100" t="s">
        <v>32</v>
      </c>
      <c r="D7677" s="6">
        <v>45792</v>
      </c>
      <c r="E7677" s="3" t="str">
        <f ca="1">IF(Tabela2[[#This Row],[Dt Venc:]]&gt;TODAY(),"Em Aberto",IF(Tabela2[[#This Row],[D/venc]]="-","Enviado",IF(Tabela2[[#This Row],[Dt Venc:]]=TODAY(),"Vence Hoje","Vencida")))</f>
        <v>Em Aberto</v>
      </c>
      <c r="F7677" s="3">
        <f ca="1">IF(G7677=1,"-",Tabela2[[#This Row],[Dt Venc:]]-TODAY())</f>
        <v>99</v>
      </c>
      <c r="G7677" s="3"/>
      <c r="H7677" s="3"/>
    </row>
    <row r="7678" spans="1:8">
      <c r="A7678" s="3">
        <v>365666</v>
      </c>
      <c r="B7678" s="7" t="s">
        <v>250</v>
      </c>
      <c r="C7678" s="100" t="s">
        <v>32</v>
      </c>
      <c r="D7678" s="6">
        <v>45792</v>
      </c>
      <c r="E7678" s="3" t="str">
        <f ca="1">IF(Tabela2[[#This Row],[Dt Venc:]]&gt;TODAY(),"Em Aberto",IF(Tabela2[[#This Row],[D/venc]]="-","Enviado",IF(Tabela2[[#This Row],[Dt Venc:]]=TODAY(),"Vence Hoje","Vencida")))</f>
        <v>Em Aberto</v>
      </c>
      <c r="F7678" s="3">
        <f ca="1">IF(G7678=1,"-",Tabela2[[#This Row],[Dt Venc:]]-TODAY())</f>
        <v>99</v>
      </c>
      <c r="G7678" s="3"/>
      <c r="H7678" s="3"/>
    </row>
    <row r="7679" spans="1:8">
      <c r="A7679" s="3">
        <v>365674</v>
      </c>
      <c r="B7679" s="7" t="s">
        <v>250</v>
      </c>
      <c r="C7679" s="100" t="s">
        <v>32</v>
      </c>
      <c r="D7679" s="6">
        <v>45792</v>
      </c>
      <c r="E7679" s="3" t="str">
        <f ca="1">IF(Tabela2[[#This Row],[Dt Venc:]]&gt;TODAY(),"Em Aberto",IF(Tabela2[[#This Row],[D/venc]]="-","Enviado",IF(Tabela2[[#This Row],[Dt Venc:]]=TODAY(),"Vence Hoje","Vencida")))</f>
        <v>Em Aberto</v>
      </c>
      <c r="F7679" s="3">
        <f ca="1">IF(G7679=1,"-",Tabela2[[#This Row],[Dt Venc:]]-TODAY())</f>
        <v>99</v>
      </c>
      <c r="G7679" s="3"/>
      <c r="H7679" s="3"/>
    </row>
    <row r="7680" spans="1:8">
      <c r="A7680" s="3">
        <v>365682</v>
      </c>
      <c r="B7680" s="7" t="s">
        <v>250</v>
      </c>
      <c r="C7680" s="100" t="s">
        <v>32</v>
      </c>
      <c r="D7680" s="6">
        <v>45792</v>
      </c>
      <c r="E7680" s="3" t="str">
        <f ca="1">IF(Tabela2[[#This Row],[Dt Venc:]]&gt;TODAY(),"Em Aberto",IF(Tabela2[[#This Row],[D/venc]]="-","Enviado",IF(Tabela2[[#This Row],[Dt Venc:]]=TODAY(),"Vence Hoje","Vencida")))</f>
        <v>Em Aberto</v>
      </c>
      <c r="F7680" s="3">
        <f ca="1">IF(G7680=1,"-",Tabela2[[#This Row],[Dt Venc:]]-TODAY())</f>
        <v>99</v>
      </c>
      <c r="G7680" s="3"/>
      <c r="H7680" s="3"/>
    </row>
    <row r="7681" spans="1:8">
      <c r="A7681" s="3">
        <v>369335</v>
      </c>
      <c r="B7681" s="7" t="s">
        <v>543</v>
      </c>
      <c r="C7681" s="87" t="s">
        <v>32</v>
      </c>
      <c r="D7681" s="6">
        <v>45792</v>
      </c>
      <c r="E7681" s="3" t="str">
        <f ca="1">IF(Tabela2[[#This Row],[Dt Venc:]]&gt;TODAY(),"Em Aberto",IF(Tabela2[[#This Row],[D/venc]]="-","Enviado",IF(Tabela2[[#This Row],[Dt Venc:]]=TODAY(),"Vence Hoje","Vencida")))</f>
        <v>Em Aberto</v>
      </c>
      <c r="F7681" s="3">
        <f ca="1">IF(G7681=1,"-",Tabela2[[#This Row],[Dt Venc:]]-TODAY())</f>
        <v>99</v>
      </c>
      <c r="G7681" s="3"/>
      <c r="H7681" s="3"/>
    </row>
    <row r="7682" spans="1:8">
      <c r="A7682" s="3">
        <v>369696</v>
      </c>
      <c r="B7682" s="7" t="s">
        <v>543</v>
      </c>
      <c r="C7682" s="85" t="s">
        <v>32</v>
      </c>
      <c r="D7682" s="6">
        <v>45792</v>
      </c>
      <c r="E7682" s="3" t="str">
        <f ca="1">IF(Tabela2[[#This Row],[Dt Venc:]]&gt;TODAY(),"Em Aberto",IF(Tabela2[[#This Row],[D/venc]]="-","Enviado",IF(Tabela2[[#This Row],[Dt Venc:]]=TODAY(),"Vence Hoje","Vencida")))</f>
        <v>Em Aberto</v>
      </c>
      <c r="F7682" s="3">
        <f ca="1">IF(G7682=1,"-",Tabela2[[#This Row],[Dt Venc:]]-TODAY())</f>
        <v>99</v>
      </c>
      <c r="G7682" s="3"/>
      <c r="H7682" s="3"/>
    </row>
    <row r="7683" spans="1:8">
      <c r="A7683" s="3">
        <v>369726</v>
      </c>
      <c r="B7683" s="7" t="s">
        <v>543</v>
      </c>
      <c r="C7683" s="87" t="s">
        <v>32</v>
      </c>
      <c r="D7683" s="6">
        <v>45792</v>
      </c>
      <c r="E7683" s="3" t="str">
        <f ca="1">IF(Tabela2[[#This Row],[Dt Venc:]]&gt;TODAY(),"Em Aberto",IF(Tabela2[[#This Row],[D/venc]]="-","Enviado",IF(Tabela2[[#This Row],[Dt Venc:]]=TODAY(),"Vence Hoje","Vencida")))</f>
        <v>Em Aberto</v>
      </c>
      <c r="F7683" s="3">
        <f ca="1">IF(G7683=1,"-",Tabela2[[#This Row],[Dt Venc:]]-TODAY())</f>
        <v>99</v>
      </c>
      <c r="G7683" s="3"/>
      <c r="H7683" s="3"/>
    </row>
    <row r="7684" spans="1:8">
      <c r="A7684" s="3">
        <v>369751</v>
      </c>
      <c r="B7684" s="7" t="s">
        <v>543</v>
      </c>
      <c r="C7684" s="87" t="s">
        <v>32</v>
      </c>
      <c r="D7684" s="6">
        <v>45792</v>
      </c>
      <c r="E7684" s="3" t="str">
        <f ca="1">IF(Tabela2[[#This Row],[Dt Venc:]]&gt;TODAY(),"Em Aberto",IF(Tabela2[[#This Row],[D/venc]]="-","Enviado",IF(Tabela2[[#This Row],[Dt Venc:]]=TODAY(),"Vence Hoje","Vencida")))</f>
        <v>Em Aberto</v>
      </c>
      <c r="F7684" s="3">
        <f ca="1">IF(G7684=1,"-",Tabela2[[#This Row],[Dt Venc:]]-TODAY())</f>
        <v>99</v>
      </c>
      <c r="G7684" s="3"/>
      <c r="H7684" s="3"/>
    </row>
    <row r="7685" spans="1:8">
      <c r="A7685" s="3">
        <v>370201</v>
      </c>
      <c r="B7685" s="7" t="s">
        <v>543</v>
      </c>
      <c r="C7685" s="87" t="s">
        <v>32</v>
      </c>
      <c r="D7685" s="6">
        <v>45792</v>
      </c>
      <c r="E7685" s="3" t="str">
        <f ca="1">IF(Tabela2[[#This Row],[Dt Venc:]]&gt;TODAY(),"Em Aberto",IF(Tabela2[[#This Row],[D/venc]]="-","Enviado",IF(Tabela2[[#This Row],[Dt Venc:]]=TODAY(),"Vence Hoje","Vencida")))</f>
        <v>Em Aberto</v>
      </c>
      <c r="F7685" s="3">
        <f ca="1">IF(G7685=1,"-",Tabela2[[#This Row],[Dt Venc:]]-TODAY())</f>
        <v>99</v>
      </c>
      <c r="G7685" s="3"/>
      <c r="H7685" s="3"/>
    </row>
    <row r="7686" spans="1:8">
      <c r="A7686" s="3">
        <v>370864</v>
      </c>
      <c r="B7686" s="7" t="s">
        <v>543</v>
      </c>
      <c r="C7686" s="87" t="s">
        <v>32</v>
      </c>
      <c r="D7686" s="6">
        <v>45792</v>
      </c>
      <c r="E7686" s="3" t="str">
        <f ca="1">IF(Tabela2[[#This Row],[Dt Venc:]]&gt;TODAY(),"Em Aberto",IF(Tabela2[[#This Row],[D/venc]]="-","Enviado",IF(Tabela2[[#This Row],[Dt Venc:]]=TODAY(),"Vence Hoje","Vencida")))</f>
        <v>Em Aberto</v>
      </c>
      <c r="F7686" s="3">
        <f ca="1">IF(G7686=1,"-",Tabela2[[#This Row],[Dt Venc:]]-TODAY())</f>
        <v>99</v>
      </c>
      <c r="G7686" s="3"/>
      <c r="H7686" s="3"/>
    </row>
    <row r="7687" spans="1:8">
      <c r="A7687" s="3">
        <v>371011</v>
      </c>
      <c r="B7687" s="7" t="s">
        <v>633</v>
      </c>
      <c r="C7687" s="87" t="s">
        <v>32</v>
      </c>
      <c r="D7687" s="6">
        <v>45792</v>
      </c>
      <c r="E7687" s="3" t="str">
        <f ca="1">IF(Tabela2[[#This Row],[Dt Venc:]]&gt;TODAY(),"Em Aberto",IF(Tabela2[[#This Row],[D/venc]]="-","Enviado",IF(Tabela2[[#This Row],[Dt Venc:]]=TODAY(),"Vence Hoje","Vencida")))</f>
        <v>Em Aberto</v>
      </c>
      <c r="F7687" s="3">
        <f ca="1">IF(G7687=1,"-",Tabela2[[#This Row],[Dt Venc:]]-TODAY())</f>
        <v>99</v>
      </c>
      <c r="G7687" s="3"/>
      <c r="H7687" s="3"/>
    </row>
    <row r="7688" spans="1:8">
      <c r="A7688" s="3">
        <v>381596</v>
      </c>
      <c r="B7688" s="7" t="s">
        <v>567</v>
      </c>
      <c r="C7688" s="41">
        <v>657.87</v>
      </c>
      <c r="D7688" s="6">
        <v>45792</v>
      </c>
      <c r="E7688" s="3" t="str">
        <f ca="1">IF(Tabela2[[#This Row],[Dt Venc:]]&gt;TODAY(),"Em Aberto",IF(Tabela2[[#This Row],[D/venc]]="-","Enviado",IF(Tabela2[[#This Row],[Dt Venc:]]=TODAY(),"Vence Hoje","Vencida")))</f>
        <v>Em Aberto</v>
      </c>
      <c r="F7688" s="3">
        <f ca="1">IF(G7688=1,"-",Tabela2[[#This Row],[Dt Venc:]]-TODAY())</f>
        <v>99</v>
      </c>
      <c r="G7688" s="3"/>
      <c r="H7688" s="3"/>
    </row>
    <row r="7689" spans="1:8">
      <c r="A7689" s="3">
        <v>748099</v>
      </c>
      <c r="B7689" s="7" t="s">
        <v>81</v>
      </c>
      <c r="C7689" s="100" t="s">
        <v>32</v>
      </c>
      <c r="D7689" s="6">
        <v>45792</v>
      </c>
      <c r="E7689" s="3" t="str">
        <f ca="1">IF(Tabela2[[#This Row],[Dt Venc:]]&gt;TODAY(),"Em Aberto",IF(Tabela2[[#This Row],[D/venc]]="-","Enviado",IF(Tabela2[[#This Row],[Dt Venc:]]=TODAY(),"Vence Hoje","Vencida")))</f>
        <v>Em Aberto</v>
      </c>
      <c r="F7689" s="3">
        <f ca="1">IF(G7689=1,"-",Tabela2[[#This Row],[Dt Venc:]]-TODAY())</f>
        <v>99</v>
      </c>
      <c r="G7689" s="3"/>
      <c r="H7689" s="3"/>
    </row>
    <row r="7690" spans="1:8">
      <c r="A7690" s="3">
        <v>892178</v>
      </c>
      <c r="B7690" s="7" t="s">
        <v>253</v>
      </c>
      <c r="C7690" s="100" t="s">
        <v>32</v>
      </c>
      <c r="D7690" s="6">
        <v>45792</v>
      </c>
      <c r="E7690" s="3" t="str">
        <f ca="1">IF(Tabela2[[#This Row],[Dt Venc:]]&gt;TODAY(),"Em Aberto",IF(Tabela2[[#This Row],[D/venc]]="-","Enviado",IF(Tabela2[[#This Row],[Dt Venc:]]=TODAY(),"Vence Hoje","Vencida")))</f>
        <v>Em Aberto</v>
      </c>
      <c r="F7690" s="3">
        <f ca="1">IF(G7690=1,"-",Tabela2[[#This Row],[Dt Venc:]]-TODAY())</f>
        <v>99</v>
      </c>
      <c r="G7690" s="3"/>
      <c r="H7690" s="3"/>
    </row>
    <row r="7691" spans="1:8">
      <c r="A7691" s="3">
        <v>894135</v>
      </c>
      <c r="B7691" s="7" t="s">
        <v>253</v>
      </c>
      <c r="C7691" s="99" t="s">
        <v>32</v>
      </c>
      <c r="D7691" s="6">
        <v>45792</v>
      </c>
      <c r="E7691" s="3" t="str">
        <f ca="1">IF(Tabela2[[#This Row],[Dt Venc:]]&gt;TODAY(),"Em Aberto",IF(Tabela2[[#This Row],[D/venc]]="-","Enviado",IF(Tabela2[[#This Row],[Dt Venc:]]=TODAY(),"Vence Hoje","Vencida")))</f>
        <v>Em Aberto</v>
      </c>
      <c r="F7691" s="3">
        <f ca="1">IF(G7691=1,"-",Tabela2[[#This Row],[Dt Venc:]]-TODAY())</f>
        <v>99</v>
      </c>
      <c r="G7691" s="3"/>
      <c r="H7691" s="3"/>
    </row>
    <row r="7692" spans="1:8">
      <c r="A7692" s="3">
        <v>896565</v>
      </c>
      <c r="B7692" s="7" t="s">
        <v>253</v>
      </c>
      <c r="C7692" s="99" t="s">
        <v>32</v>
      </c>
      <c r="D7692" s="6">
        <v>45792</v>
      </c>
      <c r="E7692" s="3" t="str">
        <f ca="1">IF(Tabela2[[#This Row],[Dt Venc:]]&gt;TODAY(),"Em Aberto",IF(Tabela2[[#This Row],[D/venc]]="-","Enviado",IF(Tabela2[[#This Row],[Dt Venc:]]=TODAY(),"Vence Hoje","Vencida")))</f>
        <v>Em Aberto</v>
      </c>
      <c r="F7692" s="3">
        <f ca="1">IF(G7692=1,"-",Tabela2[[#This Row],[Dt Venc:]]-TODAY())</f>
        <v>99</v>
      </c>
      <c r="G7692" s="3"/>
      <c r="H7692" s="3"/>
    </row>
    <row r="7693" spans="1:8">
      <c r="A7693" s="3">
        <v>900386</v>
      </c>
      <c r="B7693" s="7" t="s">
        <v>253</v>
      </c>
      <c r="C7693" s="100" t="s">
        <v>32</v>
      </c>
      <c r="D7693" s="6">
        <v>45792</v>
      </c>
      <c r="E7693" s="3" t="str">
        <f ca="1">IF(Tabela2[[#This Row],[Dt Venc:]]&gt;TODAY(),"Em Aberto",IF(Tabela2[[#This Row],[D/venc]]="-","Enviado",IF(Tabela2[[#This Row],[Dt Venc:]]=TODAY(),"Vence Hoje","Vencida")))</f>
        <v>Em Aberto</v>
      </c>
      <c r="F7693" s="3">
        <f ca="1">IF(G7693=1,"-",Tabela2[[#This Row],[Dt Venc:]]-TODAY())</f>
        <v>99</v>
      </c>
      <c r="G7693" s="3"/>
      <c r="H7693" s="3"/>
    </row>
    <row r="7694" spans="1:8">
      <c r="A7694" s="3">
        <v>901787</v>
      </c>
      <c r="B7694" s="7" t="s">
        <v>253</v>
      </c>
      <c r="C7694" s="100" t="s">
        <v>32</v>
      </c>
      <c r="D7694" s="6">
        <v>45792</v>
      </c>
      <c r="E7694" s="3" t="str">
        <f ca="1">IF(Tabela2[[#This Row],[Dt Venc:]]&gt;TODAY(),"Em Aberto",IF(Tabela2[[#This Row],[D/venc]]="-","Enviado",IF(Tabela2[[#This Row],[Dt Venc:]]=TODAY(),"Vence Hoje","Vencida")))</f>
        <v>Em Aberto</v>
      </c>
      <c r="F7694" s="3">
        <f ca="1">IF(G7694=1,"-",Tabela2[[#This Row],[Dt Venc:]]-TODAY())</f>
        <v>99</v>
      </c>
      <c r="G7694" s="3"/>
      <c r="H7694" s="3"/>
    </row>
    <row r="7695" spans="1:8">
      <c r="A7695" s="3">
        <v>901788</v>
      </c>
      <c r="B7695" s="7" t="s">
        <v>253</v>
      </c>
      <c r="C7695" s="100" t="s">
        <v>32</v>
      </c>
      <c r="D7695" s="6">
        <v>45792</v>
      </c>
      <c r="E7695" s="3" t="str">
        <f ca="1">IF(Tabela2[[#This Row],[Dt Venc:]]&gt;TODAY(),"Em Aberto",IF(Tabela2[[#This Row],[D/venc]]="-","Enviado",IF(Tabela2[[#This Row],[Dt Venc:]]=TODAY(),"Vence Hoje","Vencida")))</f>
        <v>Em Aberto</v>
      </c>
      <c r="F7695" s="3">
        <f ca="1">IF(G7695=1,"-",Tabela2[[#This Row],[Dt Venc:]]-TODAY())</f>
        <v>99</v>
      </c>
      <c r="G7695" s="3"/>
      <c r="H7695" s="3"/>
    </row>
    <row r="7696" spans="1:8">
      <c r="A7696" s="3">
        <v>901789</v>
      </c>
      <c r="B7696" s="7" t="s">
        <v>253</v>
      </c>
      <c r="C7696" s="100" t="s">
        <v>32</v>
      </c>
      <c r="D7696" s="6">
        <v>45792</v>
      </c>
      <c r="E7696" s="3" t="str">
        <f ca="1">IF(Tabela2[[#This Row],[Dt Venc:]]&gt;TODAY(),"Em Aberto",IF(Tabela2[[#This Row],[D/venc]]="-","Enviado",IF(Tabela2[[#This Row],[Dt Venc:]]=TODAY(),"Vence Hoje","Vencida")))</f>
        <v>Em Aberto</v>
      </c>
      <c r="F7696" s="3">
        <f ca="1">IF(G7696=1,"-",Tabela2[[#This Row],[Dt Venc:]]-TODAY())</f>
        <v>99</v>
      </c>
      <c r="G7696" s="3"/>
      <c r="H7696" s="3"/>
    </row>
    <row r="7697" spans="1:8">
      <c r="A7697" s="3">
        <v>912703</v>
      </c>
      <c r="B7697" s="7" t="s">
        <v>253</v>
      </c>
      <c r="C7697" s="100" t="s">
        <v>32</v>
      </c>
      <c r="D7697" s="6">
        <v>45792</v>
      </c>
      <c r="E7697" s="3" t="str">
        <f ca="1">IF(Tabela2[[#This Row],[Dt Venc:]]&gt;TODAY(),"Em Aberto",IF(Tabela2[[#This Row],[D/venc]]="-","Enviado",IF(Tabela2[[#This Row],[Dt Venc:]]=TODAY(),"Vence Hoje","Vencida")))</f>
        <v>Em Aberto</v>
      </c>
      <c r="F7697" s="3">
        <f ca="1">IF(G7697=1,"-",Tabela2[[#This Row],[Dt Venc:]]-TODAY())</f>
        <v>99</v>
      </c>
      <c r="G7697" s="3"/>
      <c r="H7697" s="3"/>
    </row>
    <row r="7698" spans="1:8">
      <c r="A7698" s="3">
        <v>912704</v>
      </c>
      <c r="B7698" s="7" t="s">
        <v>253</v>
      </c>
      <c r="C7698" s="100" t="s">
        <v>32</v>
      </c>
      <c r="D7698" s="6">
        <v>45792</v>
      </c>
      <c r="E7698" s="3" t="str">
        <f ca="1">IF(Tabela2[[#This Row],[Dt Venc:]]&gt;TODAY(),"Em Aberto",IF(Tabela2[[#This Row],[D/venc]]="-","Enviado",IF(Tabela2[[#This Row],[Dt Venc:]]=TODAY(),"Vence Hoje","Vencida")))</f>
        <v>Em Aberto</v>
      </c>
      <c r="F7698" s="3">
        <f ca="1">IF(G7698=1,"-",Tabela2[[#This Row],[Dt Venc:]]-TODAY())</f>
        <v>99</v>
      </c>
      <c r="G7698" s="3"/>
      <c r="H7698" s="3"/>
    </row>
    <row r="7699" spans="1:8">
      <c r="A7699" s="3">
        <v>919728</v>
      </c>
      <c r="B7699" s="7" t="s">
        <v>253</v>
      </c>
      <c r="C7699" s="87" t="s">
        <v>32</v>
      </c>
      <c r="D7699" s="6">
        <v>45792</v>
      </c>
      <c r="E7699" s="3" t="str">
        <f ca="1">IF(Tabela2[[#This Row],[Dt Venc:]]&gt;TODAY(),"Em Aberto",IF(Tabela2[[#This Row],[D/venc]]="-","Enviado",IF(Tabela2[[#This Row],[Dt Venc:]]=TODAY(),"Vence Hoje","Vencida")))</f>
        <v>Em Aberto</v>
      </c>
      <c r="F7699" s="3">
        <f ca="1">IF(G7699=1,"-",Tabela2[[#This Row],[Dt Venc:]]-TODAY())</f>
        <v>99</v>
      </c>
      <c r="G7699" s="3"/>
      <c r="H7699" s="3"/>
    </row>
    <row r="7700" spans="1:8">
      <c r="A7700" s="3">
        <v>919729</v>
      </c>
      <c r="B7700" s="7" t="s">
        <v>253</v>
      </c>
      <c r="C7700" s="87" t="s">
        <v>32</v>
      </c>
      <c r="D7700" s="6">
        <v>45792</v>
      </c>
      <c r="E7700" s="3" t="str">
        <f ca="1">IF(Tabela2[[#This Row],[Dt Venc:]]&gt;TODAY(),"Em Aberto",IF(Tabela2[[#This Row],[D/venc]]="-","Enviado",IF(Tabela2[[#This Row],[Dt Venc:]]=TODAY(),"Vence Hoje","Vencida")))</f>
        <v>Em Aberto</v>
      </c>
      <c r="F7700" s="3">
        <f ca="1">IF(G7700=1,"-",Tabela2[[#This Row],[Dt Venc:]]-TODAY())</f>
        <v>99</v>
      </c>
      <c r="G7700" s="3"/>
      <c r="H7700" s="3"/>
    </row>
    <row r="7701" spans="1:8">
      <c r="A7701" s="3" t="s">
        <v>179</v>
      </c>
      <c r="B7701" s="7" t="s">
        <v>265</v>
      </c>
      <c r="C7701" s="100" t="s">
        <v>32</v>
      </c>
      <c r="D7701" s="6">
        <v>45792</v>
      </c>
      <c r="E7701" s="3" t="str">
        <f ca="1">IF(Tabela2[[#This Row],[Dt Venc:]]&gt;TODAY(),"Em Aberto",IF(Tabela2[[#This Row],[D/venc]]="-","Enviado",IF(Tabela2[[#This Row],[Dt Venc:]]=TODAY(),"Vence Hoje","Vencida")))</f>
        <v>Em Aberto</v>
      </c>
      <c r="F7701" s="3">
        <f ca="1">IF(G7701=1,"-",Tabela2[[#This Row],[Dt Venc:]]-TODAY())</f>
        <v>99</v>
      </c>
      <c r="G7701" s="3"/>
      <c r="H7701" s="3"/>
    </row>
    <row r="7702" spans="1:8">
      <c r="A7702" s="3">
        <v>31038</v>
      </c>
      <c r="B7702" s="7" t="s">
        <v>97</v>
      </c>
      <c r="C7702" s="41">
        <v>3425</v>
      </c>
      <c r="D7702" s="6">
        <v>45793</v>
      </c>
      <c r="E7702" s="3" t="str">
        <f ca="1">IF(Tabela2[[#This Row],[Dt Venc:]]&gt;TODAY(),"Em Aberto",IF(Tabela2[[#This Row],[D/venc]]="-","Enviado",IF(Tabela2[[#This Row],[Dt Venc:]]=TODAY(),"Vence Hoje","Vencida")))</f>
        <v>Em Aberto</v>
      </c>
      <c r="F7702" s="3">
        <f ca="1">IF(G7702=1,"-",Tabela2[[#This Row],[Dt Venc:]]-TODAY())</f>
        <v>100</v>
      </c>
      <c r="G7702" s="3"/>
      <c r="H7702" s="3"/>
    </row>
    <row r="7703" spans="1:8">
      <c r="A7703" s="3">
        <v>37300</v>
      </c>
      <c r="B7703" s="7" t="s">
        <v>167</v>
      </c>
      <c r="C7703" s="100" t="s">
        <v>32</v>
      </c>
      <c r="D7703" s="6">
        <v>45793</v>
      </c>
      <c r="E7703" s="3" t="str">
        <f ca="1">IF(Tabela2[[#This Row],[Dt Venc:]]&gt;TODAY(),"Em Aberto",IF(Tabela2[[#This Row],[D/venc]]="-","Enviado",IF(Tabela2[[#This Row],[Dt Venc:]]=TODAY(),"Vence Hoje","Vencida")))</f>
        <v>Em Aberto</v>
      </c>
      <c r="F7703" s="3">
        <f ca="1">IF(G7703=1,"-",Tabela2[[#This Row],[Dt Venc:]]-TODAY())</f>
        <v>100</v>
      </c>
      <c r="G7703" s="3"/>
      <c r="H7703" s="3"/>
    </row>
    <row r="7704" spans="1:8">
      <c r="A7704" s="3">
        <v>376985</v>
      </c>
      <c r="B7704" s="7" t="s">
        <v>43</v>
      </c>
      <c r="C7704" s="41">
        <v>1612.02</v>
      </c>
      <c r="D7704" s="6">
        <v>45793</v>
      </c>
      <c r="E7704" s="3" t="str">
        <f ca="1">IF(Tabela2[[#This Row],[Dt Venc:]]&gt;TODAY(),"Em Aberto",IF(Tabela2[[#This Row],[D/venc]]="-","Enviado",IF(Tabela2[[#This Row],[Dt Venc:]]=TODAY(),"Vence Hoje","Vencida")))</f>
        <v>Em Aberto</v>
      </c>
      <c r="F7704" s="3">
        <f ca="1">IF(G7704=1,"-",Tabela2[[#This Row],[Dt Venc:]]-TODAY())</f>
        <v>100</v>
      </c>
      <c r="G7704" s="3"/>
      <c r="H7704" s="3"/>
    </row>
    <row r="7705" spans="1:8">
      <c r="A7705" s="3">
        <v>31502</v>
      </c>
      <c r="B7705" s="7" t="s">
        <v>97</v>
      </c>
      <c r="C7705" s="41">
        <v>914</v>
      </c>
      <c r="D7705" s="6">
        <v>45793</v>
      </c>
      <c r="E7705" s="3" t="str">
        <f ca="1">IF(Tabela2[[#This Row],[Dt Venc:]]&gt;TODAY(),"Em Aberto",IF(Tabela2[[#This Row],[D/venc]]="-","Enviado",IF(Tabela2[[#This Row],[Dt Venc:]]=TODAY(),"Vence Hoje","Vencida")))</f>
        <v>Em Aberto</v>
      </c>
      <c r="F7705" s="3">
        <f ca="1">IF(G7705=1,"-",Tabela2[[#This Row],[Dt Venc:]]-TODAY())</f>
        <v>100</v>
      </c>
      <c r="G7705" s="3"/>
      <c r="H7705" s="3"/>
    </row>
    <row r="7706" spans="1:8">
      <c r="A7706" s="3">
        <v>37196</v>
      </c>
      <c r="B7706" s="7" t="s">
        <v>167</v>
      </c>
      <c r="C7706" s="87" t="s">
        <v>32</v>
      </c>
      <c r="D7706" s="6">
        <v>45794</v>
      </c>
      <c r="E7706" s="3" t="str">
        <f ca="1">IF(Tabela2[[#This Row],[Dt Venc:]]&gt;TODAY(),"Em Aberto",IF(Tabela2[[#This Row],[D/venc]]="-","Enviado",IF(Tabela2[[#This Row],[Dt Venc:]]=TODAY(),"Vence Hoje","Vencida")))</f>
        <v>Em Aberto</v>
      </c>
      <c r="F7706" s="3">
        <f ca="1">IF(G7706=1,"-",Tabela2[[#This Row],[Dt Venc:]]-TODAY())</f>
        <v>101</v>
      </c>
      <c r="G7706" s="3"/>
      <c r="H7706" s="3"/>
    </row>
    <row r="7707" spans="1:8">
      <c r="A7707" s="3">
        <v>148380</v>
      </c>
      <c r="B7707" s="7" t="s">
        <v>127</v>
      </c>
      <c r="C7707" s="41">
        <v>624.5</v>
      </c>
      <c r="D7707" s="6">
        <v>45794</v>
      </c>
      <c r="E7707" s="3" t="str">
        <f ca="1">IF(Tabela2[[#This Row],[Dt Venc:]]&gt;TODAY(),"Em Aberto",IF(Tabela2[[#This Row],[D/venc]]="-","Enviado",IF(Tabela2[[#This Row],[Dt Venc:]]=TODAY(),"Vence Hoje","Vencida")))</f>
        <v>Em Aberto</v>
      </c>
      <c r="F7707" s="3">
        <f ca="1">IF(G7707=1,"-",Tabela2[[#This Row],[Dt Venc:]]-TODAY())</f>
        <v>101</v>
      </c>
      <c r="G7707" s="3"/>
      <c r="H7707" s="3"/>
    </row>
    <row r="7708" spans="1:8">
      <c r="A7708" s="3">
        <v>148381</v>
      </c>
      <c r="B7708" s="7" t="s">
        <v>127</v>
      </c>
      <c r="C7708" s="41">
        <v>624.5</v>
      </c>
      <c r="D7708" s="6">
        <v>45794</v>
      </c>
      <c r="E7708" s="3" t="str">
        <f ca="1">IF(Tabela2[[#This Row],[Dt Venc:]]&gt;TODAY(),"Em Aberto",IF(Tabela2[[#This Row],[D/venc]]="-","Enviado",IF(Tabela2[[#This Row],[Dt Venc:]]=TODAY(),"Vence Hoje","Vencida")))</f>
        <v>Em Aberto</v>
      </c>
      <c r="F7708" s="3">
        <f ca="1">IF(G7708=1,"-",Tabela2[[#This Row],[Dt Venc:]]-TODAY())</f>
        <v>101</v>
      </c>
      <c r="G7708" s="3"/>
      <c r="H7708" s="3"/>
    </row>
    <row r="7709" spans="1:8">
      <c r="A7709" s="3">
        <v>765208</v>
      </c>
      <c r="B7709" s="7" t="s">
        <v>127</v>
      </c>
      <c r="C7709" s="41">
        <v>399.5</v>
      </c>
      <c r="D7709" s="6">
        <v>45794</v>
      </c>
      <c r="E7709" s="3" t="str">
        <f ca="1">IF(Tabela2[[#This Row],[Dt Venc:]]&gt;TODAY(),"Em Aberto",IF(Tabela2[[#This Row],[D/venc]]="-","Enviado",IF(Tabela2[[#This Row],[Dt Venc:]]=TODAY(),"Vence Hoje","Vencida")))</f>
        <v>Em Aberto</v>
      </c>
      <c r="F7709" s="3">
        <f ca="1">IF(G7709=1,"-",Tabela2[[#This Row],[Dt Venc:]]-TODAY())</f>
        <v>101</v>
      </c>
      <c r="G7709" s="3"/>
      <c r="H7709" s="3"/>
    </row>
    <row r="7710" spans="1:8">
      <c r="A7710" s="3">
        <v>765210</v>
      </c>
      <c r="B7710" s="7" t="s">
        <v>127</v>
      </c>
      <c r="C7710" s="41">
        <v>399.5</v>
      </c>
      <c r="D7710" s="6">
        <v>45794</v>
      </c>
      <c r="E7710" s="3" t="str">
        <f ca="1">IF(Tabela2[[#This Row],[Dt Venc:]]&gt;TODAY(),"Em Aberto",IF(Tabela2[[#This Row],[D/venc]]="-","Enviado",IF(Tabela2[[#This Row],[Dt Venc:]]=TODAY(),"Vence Hoje","Vencida")))</f>
        <v>Em Aberto</v>
      </c>
      <c r="F7710" s="3">
        <f ca="1">IF(G7710=1,"-",Tabela2[[#This Row],[Dt Venc:]]-TODAY())</f>
        <v>101</v>
      </c>
      <c r="G7710" s="3"/>
      <c r="H7710" s="3"/>
    </row>
    <row r="7711" spans="1:8">
      <c r="A7711" s="3">
        <v>30721</v>
      </c>
      <c r="B7711" s="7" t="s">
        <v>226</v>
      </c>
      <c r="C7711" s="41">
        <v>4680</v>
      </c>
      <c r="D7711" s="6">
        <v>45795</v>
      </c>
      <c r="E7711" s="3" t="str">
        <f ca="1">IF(Tabela2[[#This Row],[Dt Venc:]]&gt;TODAY(),"Em Aberto",IF(Tabela2[[#This Row],[D/venc]]="-","Enviado",IF(Tabela2[[#This Row],[Dt Venc:]]=TODAY(),"Vence Hoje","Vencida")))</f>
        <v>Em Aberto</v>
      </c>
      <c r="F7711" s="3">
        <f ca="1">IF(G7711=1,"-",Tabela2[[#This Row],[Dt Venc:]]-TODAY())</f>
        <v>102</v>
      </c>
      <c r="G7711" s="3"/>
      <c r="H7711" s="3"/>
    </row>
    <row r="7712" spans="1:8">
      <c r="A7712" s="3">
        <v>31062</v>
      </c>
      <c r="B7712" s="7" t="s">
        <v>97</v>
      </c>
      <c r="C7712" s="41">
        <v>2055</v>
      </c>
      <c r="D7712" s="6">
        <v>45795</v>
      </c>
      <c r="E7712" s="3" t="str">
        <f ca="1">IF(Tabela2[[#This Row],[Dt Venc:]]&gt;TODAY(),"Em Aberto",IF(Tabela2[[#This Row],[D/venc]]="-","Enviado",IF(Tabela2[[#This Row],[Dt Venc:]]=TODAY(),"Vence Hoje","Vencida")))</f>
        <v>Em Aberto</v>
      </c>
      <c r="F7712" s="3">
        <f ca="1">IF(G7712=1,"-",Tabela2[[#This Row],[Dt Venc:]]-TODAY())</f>
        <v>102</v>
      </c>
      <c r="G7712" s="3"/>
      <c r="H7712" s="3"/>
    </row>
    <row r="7713" spans="1:8">
      <c r="A7713" s="3">
        <v>31251</v>
      </c>
      <c r="B7713" s="7" t="s">
        <v>97</v>
      </c>
      <c r="C7713" s="41">
        <v>857</v>
      </c>
      <c r="D7713" s="6">
        <v>45795</v>
      </c>
      <c r="E7713" s="3" t="str">
        <f ca="1">IF(Tabela2[[#This Row],[Dt Venc:]]&gt;TODAY(),"Em Aberto",IF(Tabela2[[#This Row],[D/venc]]="-","Enviado",IF(Tabela2[[#This Row],[Dt Venc:]]=TODAY(),"Vence Hoje","Vencida")))</f>
        <v>Em Aberto</v>
      </c>
      <c r="F7713" s="3">
        <f ca="1">IF(G7713=1,"-",Tabela2[[#This Row],[Dt Venc:]]-TODAY())</f>
        <v>102</v>
      </c>
      <c r="G7713" s="3"/>
      <c r="H7713" s="3"/>
    </row>
    <row r="7714" spans="1:8">
      <c r="A7714" s="3">
        <v>23629</v>
      </c>
      <c r="B7714" s="7" t="s">
        <v>632</v>
      </c>
      <c r="C7714" s="41">
        <v>350</v>
      </c>
      <c r="D7714" s="6">
        <v>45796</v>
      </c>
      <c r="E7714" s="3" t="str">
        <f ca="1">IF(Tabela2[[#This Row],[Dt Venc:]]&gt;TODAY(),"Em Aberto",IF(Tabela2[[#This Row],[D/venc]]="-","Enviado",IF(Tabela2[[#This Row],[Dt Venc:]]=TODAY(),"Vence Hoje","Vencida")))</f>
        <v>Em Aberto</v>
      </c>
      <c r="F7714" s="3">
        <f ca="1">IF(G7714=1,"-",Tabela2[[#This Row],[Dt Venc:]]-TODAY())</f>
        <v>103</v>
      </c>
      <c r="G7714" s="3"/>
      <c r="H7714" s="3"/>
    </row>
    <row r="7715" spans="1:8">
      <c r="A7715" s="3">
        <v>565720</v>
      </c>
      <c r="B7715" s="7" t="s">
        <v>39</v>
      </c>
      <c r="C7715" s="41">
        <v>2448.4699999999998</v>
      </c>
      <c r="D7715" s="6">
        <v>45796</v>
      </c>
      <c r="E7715" s="3" t="str">
        <f ca="1">IF(Tabela2[[#This Row],[Dt Venc:]]&gt;TODAY(),"Em Aberto",IF(Tabela2[[#This Row],[D/venc]]="-","Enviado",IF(Tabela2[[#This Row],[Dt Venc:]]=TODAY(),"Vence Hoje","Vencida")))</f>
        <v>Em Aberto</v>
      </c>
      <c r="F7715" s="3">
        <f ca="1">IF(G7715=1,"-",Tabela2[[#This Row],[Dt Venc:]]-TODAY())</f>
        <v>103</v>
      </c>
      <c r="G7715" s="3"/>
      <c r="H7715" s="3"/>
    </row>
    <row r="7716" spans="1:8">
      <c r="A7716" s="3">
        <v>4843</v>
      </c>
      <c r="B7716" s="7" t="s">
        <v>307</v>
      </c>
      <c r="C7716" s="42">
        <v>9150</v>
      </c>
      <c r="D7716" s="6">
        <v>45797</v>
      </c>
      <c r="E7716" s="3" t="str">
        <f ca="1">IF(Tabela2[[#This Row],[Dt Venc:]]&gt;TODAY(),"Em Aberto",IF(Tabela2[[#This Row],[D/venc]]="-","Enviado",IF(Tabela2[[#This Row],[Dt Venc:]]=TODAY(),"Vence Hoje","Vencida")))</f>
        <v>Em Aberto</v>
      </c>
      <c r="F7716" s="3">
        <f ca="1">IF(G7716=1,"-",Tabela2[[#This Row],[Dt Venc:]]-TODAY())</f>
        <v>104</v>
      </c>
      <c r="G7716" s="3"/>
      <c r="H7716" s="3"/>
    </row>
    <row r="7717" spans="1:8">
      <c r="A7717" s="3">
        <v>31300</v>
      </c>
      <c r="B7717" s="7" t="s">
        <v>97</v>
      </c>
      <c r="C7717" s="41">
        <v>2510</v>
      </c>
      <c r="D7717" s="6">
        <v>45797</v>
      </c>
      <c r="E7717" s="3" t="str">
        <f ca="1">IF(Tabela2[[#This Row],[Dt Venc:]]&gt;TODAY(),"Em Aberto",IF(Tabela2[[#This Row],[D/venc]]="-","Enviado",IF(Tabela2[[#This Row],[Dt Venc:]]=TODAY(),"Vence Hoje","Vencida")))</f>
        <v>Em Aberto</v>
      </c>
      <c r="F7717" s="3">
        <f ca="1">IF(G7717=1,"-",Tabela2[[#This Row],[Dt Venc:]]-TODAY())</f>
        <v>104</v>
      </c>
      <c r="G7717" s="3"/>
      <c r="H7717" s="3"/>
    </row>
    <row r="7718" spans="1:8">
      <c r="A7718" s="3">
        <v>381900</v>
      </c>
      <c r="B7718" s="7" t="s">
        <v>567</v>
      </c>
      <c r="C7718" s="41">
        <v>558.02</v>
      </c>
      <c r="D7718" s="6">
        <v>45797</v>
      </c>
      <c r="E7718" s="3" t="str">
        <f ca="1">IF(Tabela2[[#This Row],[Dt Venc:]]&gt;TODAY(),"Em Aberto",IF(Tabela2[[#This Row],[D/venc]]="-","Enviado",IF(Tabela2[[#This Row],[Dt Venc:]]=TODAY(),"Vence Hoje","Vencida")))</f>
        <v>Em Aberto</v>
      </c>
      <c r="F7718" s="3">
        <f ca="1">IF(G7718=1,"-",Tabela2[[#This Row],[Dt Venc:]]-TODAY())</f>
        <v>104</v>
      </c>
      <c r="G7718" s="3"/>
      <c r="H7718" s="3"/>
    </row>
    <row r="7719" spans="1:8">
      <c r="A7719" s="3">
        <v>207057</v>
      </c>
      <c r="B7719" s="7" t="s">
        <v>200</v>
      </c>
      <c r="C7719" s="41">
        <v>1200</v>
      </c>
      <c r="D7719" s="6">
        <v>45797</v>
      </c>
      <c r="E7719" s="3" t="str">
        <f ca="1">IF(Tabela2[[#This Row],[Dt Venc:]]&gt;TODAY(),"Em Aberto",IF(Tabela2[[#This Row],[D/venc]]="-","Enviado",IF(Tabela2[[#This Row],[Dt Venc:]]=TODAY(),"Vence Hoje","Vencida")))</f>
        <v>Em Aberto</v>
      </c>
      <c r="F7719" s="3">
        <f ca="1">IF(G7719=1,"-",Tabela2[[#This Row],[Dt Venc:]]-TODAY())</f>
        <v>104</v>
      </c>
      <c r="G7719" s="3"/>
      <c r="H7719" s="3"/>
    </row>
    <row r="7720" spans="1:8">
      <c r="A7720" s="3">
        <v>16235</v>
      </c>
      <c r="B7720" s="7" t="s">
        <v>289</v>
      </c>
      <c r="C7720" s="41">
        <v>500</v>
      </c>
      <c r="D7720" s="6">
        <v>45798</v>
      </c>
      <c r="E7720" s="3" t="str">
        <f ca="1">IF(Tabela2[[#This Row],[Dt Venc:]]&gt;TODAY(),"Em Aberto",IF(Tabela2[[#This Row],[D/venc]]="-","Enviado",IF(Tabela2[[#This Row],[Dt Venc:]]=TODAY(),"Vence Hoje","Vencida")))</f>
        <v>Em Aberto</v>
      </c>
      <c r="F7720" s="3">
        <f ca="1">IF(G7720=1,"-",Tabela2[[#This Row],[Dt Venc:]]-TODAY())</f>
        <v>105</v>
      </c>
      <c r="G7720" s="3"/>
      <c r="H7720" s="3"/>
    </row>
    <row r="7721" spans="1:8">
      <c r="A7721" s="3">
        <v>31063</v>
      </c>
      <c r="B7721" s="7" t="s">
        <v>97</v>
      </c>
      <c r="C7721" s="41">
        <v>2395</v>
      </c>
      <c r="D7721" s="6">
        <v>45799</v>
      </c>
      <c r="E7721" s="3" t="str">
        <f ca="1">IF(Tabela2[[#This Row],[Dt Venc:]]&gt;TODAY(),"Em Aberto",IF(Tabela2[[#This Row],[D/venc]]="-","Enviado",IF(Tabela2[[#This Row],[Dt Venc:]]=TODAY(),"Vence Hoje","Vencida")))</f>
        <v>Em Aberto</v>
      </c>
      <c r="F7721" s="3">
        <f ca="1">IF(G7721=1,"-",Tabela2[[#This Row],[Dt Venc:]]-TODAY())</f>
        <v>106</v>
      </c>
      <c r="G7721" s="3"/>
      <c r="H7721" s="3"/>
    </row>
    <row r="7722" spans="1:8">
      <c r="A7722" s="3">
        <v>37348</v>
      </c>
      <c r="B7722" s="7" t="s">
        <v>167</v>
      </c>
      <c r="C7722" s="100" t="s">
        <v>32</v>
      </c>
      <c r="D7722" s="6">
        <v>45799</v>
      </c>
      <c r="E7722" s="3" t="str">
        <f ca="1">IF(Tabela2[[#This Row],[Dt Venc:]]&gt;TODAY(),"Em Aberto",IF(Tabela2[[#This Row],[D/venc]]="-","Enviado",IF(Tabela2[[#This Row],[Dt Venc:]]=TODAY(),"Vence Hoje","Vencida")))</f>
        <v>Em Aberto</v>
      </c>
      <c r="F7722" s="3">
        <f ca="1">IF(G7722=1,"-",Tabela2[[#This Row],[Dt Venc:]]-TODAY())</f>
        <v>106</v>
      </c>
      <c r="G7722" s="3"/>
      <c r="H7722" s="3"/>
    </row>
    <row r="7723" spans="1:8">
      <c r="A7723" s="3" t="s">
        <v>110</v>
      </c>
      <c r="B7723" s="7" t="s">
        <v>337</v>
      </c>
      <c r="C7723" s="42" t="s">
        <v>32</v>
      </c>
      <c r="D7723" s="6">
        <v>45800</v>
      </c>
      <c r="E7723" s="3" t="str">
        <f ca="1">IF(Tabela2[[#This Row],[Dt Venc:]]&gt;TODAY(),"Em Aberto",IF(Tabela2[[#This Row],[D/venc]]="-","Enviado",IF(Tabela2[[#This Row],[Dt Venc:]]=TODAY(),"Vence Hoje","Vencida")))</f>
        <v>Em Aberto</v>
      </c>
      <c r="F7723" s="3">
        <f ca="1">IF(G7723=1,"-",Tabela2[[#This Row],[Dt Venc:]]-TODAY())</f>
        <v>107</v>
      </c>
      <c r="G7723" s="3"/>
      <c r="H7723" s="3"/>
    </row>
    <row r="7724" spans="1:8">
      <c r="A7724" s="3">
        <v>31397</v>
      </c>
      <c r="B7724" s="7" t="s">
        <v>97</v>
      </c>
      <c r="C7724" s="41">
        <v>1710</v>
      </c>
      <c r="D7724" s="6">
        <v>45800</v>
      </c>
      <c r="E7724" s="3" t="str">
        <f ca="1">IF(Tabela2[[#This Row],[Dt Venc:]]&gt;TODAY(),"Em Aberto",IF(Tabela2[[#This Row],[D/venc]]="-","Enviado",IF(Tabela2[[#This Row],[Dt Venc:]]=TODAY(),"Vence Hoje","Vencida")))</f>
        <v>Em Aberto</v>
      </c>
      <c r="F7724" s="3">
        <f ca="1">IF(G7724=1,"-",Tabela2[[#This Row],[Dt Venc:]]-TODAY())</f>
        <v>107</v>
      </c>
      <c r="G7724" s="3"/>
      <c r="H7724" s="3"/>
    </row>
    <row r="7725" spans="1:8">
      <c r="A7725" s="3">
        <v>654537</v>
      </c>
      <c r="B7725" s="7" t="s">
        <v>648</v>
      </c>
      <c r="C7725" s="87" t="s">
        <v>32</v>
      </c>
      <c r="D7725" s="6">
        <v>45800</v>
      </c>
      <c r="E7725" s="3" t="str">
        <f ca="1">IF(Tabela2[[#This Row],[Dt Venc:]]&gt;TODAY(),"Em Aberto",IF(Tabela2[[#This Row],[D/venc]]="-","Enviado",IF(Tabela2[[#This Row],[Dt Venc:]]=TODAY(),"Vence Hoje","Vencida")))</f>
        <v>Em Aberto</v>
      </c>
      <c r="F7725" s="3">
        <f ca="1">IF(G7725=1,"-",Tabela2[[#This Row],[Dt Venc:]]-TODAY())</f>
        <v>107</v>
      </c>
      <c r="G7725" s="3"/>
      <c r="H7725" s="3"/>
    </row>
    <row r="7726" spans="1:8">
      <c r="A7726" s="3">
        <v>23703</v>
      </c>
      <c r="B7726" s="7" t="s">
        <v>712</v>
      </c>
      <c r="C7726" s="41">
        <v>862.5</v>
      </c>
      <c r="D7726" s="6">
        <v>45800</v>
      </c>
      <c r="E7726" s="3" t="str">
        <f ca="1">IF(Tabela2[[#This Row],[Dt Venc:]]&gt;TODAY(),"Em Aberto",IF(Tabela2[[#This Row],[D/venc]]="-","Enviado",IF(Tabela2[[#This Row],[Dt Venc:]]=TODAY(),"Vence Hoje","Vencida")))</f>
        <v>Em Aberto</v>
      </c>
      <c r="F7726" s="3">
        <f ca="1">IF(G7726=1,"-",Tabela2[[#This Row],[Dt Venc:]]-TODAY())</f>
        <v>107</v>
      </c>
      <c r="G7726" s="3"/>
      <c r="H7726" s="3"/>
    </row>
    <row r="7727" spans="1:8">
      <c r="A7727" s="3">
        <v>31301</v>
      </c>
      <c r="B7727" s="7" t="s">
        <v>97</v>
      </c>
      <c r="C7727" s="41">
        <v>1825</v>
      </c>
      <c r="D7727" s="6">
        <v>45802</v>
      </c>
      <c r="E7727" s="3" t="str">
        <f ca="1">IF(Tabela2[[#This Row],[Dt Venc:]]&gt;TODAY(),"Em Aberto",IF(Tabela2[[#This Row],[D/venc]]="-","Enviado",IF(Tabela2[[#This Row],[Dt Venc:]]=TODAY(),"Vence Hoje","Vencida")))</f>
        <v>Em Aberto</v>
      </c>
      <c r="F7727" s="3">
        <f ca="1">IF(G7727=1,"-",Tabela2[[#This Row],[Dt Venc:]]-TODAY())</f>
        <v>109</v>
      </c>
      <c r="G7727" s="3"/>
      <c r="H7727" s="3"/>
    </row>
    <row r="7728" spans="1:8">
      <c r="A7728" s="3">
        <v>495914</v>
      </c>
      <c r="B7728" s="7" t="s">
        <v>153</v>
      </c>
      <c r="C7728" s="99" t="s">
        <v>32</v>
      </c>
      <c r="D7728" s="6">
        <v>45802</v>
      </c>
      <c r="E7728" s="3" t="str">
        <f ca="1">IF(Tabela2[[#This Row],[Dt Venc:]]&gt;TODAY(),"Em Aberto",IF(Tabela2[[#This Row],[D/venc]]="-","Enviado",IF(Tabela2[[#This Row],[Dt Venc:]]=TODAY(),"Vence Hoje","Vencida")))</f>
        <v>Em Aberto</v>
      </c>
      <c r="F7728" s="3">
        <f ca="1">IF(G7728=1,"-",Tabela2[[#This Row],[Dt Venc:]]-TODAY())</f>
        <v>109</v>
      </c>
      <c r="G7728" s="3"/>
      <c r="H7728" s="3"/>
    </row>
    <row r="7729" spans="1:8">
      <c r="A7729" s="3">
        <v>5690</v>
      </c>
      <c r="B7729" s="7" t="s">
        <v>122</v>
      </c>
      <c r="C7729" s="100" t="s">
        <v>32</v>
      </c>
      <c r="D7729" s="6">
        <v>45804</v>
      </c>
      <c r="E7729" s="3" t="str">
        <f ca="1">IF(Tabela2[[#This Row],[Dt Venc:]]&gt;TODAY(),"Em Aberto",IF(Tabela2[[#This Row],[D/venc]]="-","Enviado",IF(Tabela2[[#This Row],[Dt Venc:]]=TODAY(),"Vence Hoje","Vencida")))</f>
        <v>Em Aberto</v>
      </c>
      <c r="F7729" s="3">
        <f ca="1">IF(G7729=1,"-",Tabela2[[#This Row],[Dt Venc:]]-TODAY())</f>
        <v>111</v>
      </c>
      <c r="G7729" s="3"/>
      <c r="H7729" s="3"/>
    </row>
    <row r="7730" spans="1:8">
      <c r="A7730" s="3">
        <v>766010</v>
      </c>
      <c r="B7730" s="7" t="s">
        <v>127</v>
      </c>
      <c r="C7730" s="41">
        <v>399.5</v>
      </c>
      <c r="D7730" s="6">
        <v>45804</v>
      </c>
      <c r="E7730" s="3" t="str">
        <f ca="1">IF(Tabela2[[#This Row],[Dt Venc:]]&gt;TODAY(),"Em Aberto",IF(Tabela2[[#This Row],[D/venc]]="-","Enviado",IF(Tabela2[[#This Row],[Dt Venc:]]=TODAY(),"Vence Hoje","Vencida")))</f>
        <v>Em Aberto</v>
      </c>
      <c r="F7730" s="3">
        <f ca="1">IF(G7730=1,"-",Tabela2[[#This Row],[Dt Venc:]]-TODAY())</f>
        <v>111</v>
      </c>
      <c r="G7730" s="3"/>
      <c r="H7730" s="3"/>
    </row>
    <row r="7731" spans="1:8">
      <c r="A7731" s="3">
        <v>148551</v>
      </c>
      <c r="B7731" s="7" t="s">
        <v>127</v>
      </c>
      <c r="C7731" s="41">
        <v>624.5</v>
      </c>
      <c r="D7731" s="6">
        <v>45804</v>
      </c>
      <c r="E7731" s="3" t="str">
        <f ca="1">IF(Tabela2[[#This Row],[Dt Venc:]]&gt;TODAY(),"Em Aberto",IF(Tabela2[[#This Row],[D/venc]]="-","Enviado",IF(Tabela2[[#This Row],[Dt Venc:]]=TODAY(),"Vence Hoje","Vencida")))</f>
        <v>Em Aberto</v>
      </c>
      <c r="F7731" s="3">
        <f ca="1">IF(G7731=1,"-",Tabela2[[#This Row],[Dt Venc:]]-TODAY())</f>
        <v>111</v>
      </c>
      <c r="G7731" s="3"/>
      <c r="H7731" s="3"/>
    </row>
    <row r="7732" spans="1:8">
      <c r="A7732" s="3">
        <v>148552</v>
      </c>
      <c r="B7732" s="7" t="s">
        <v>127</v>
      </c>
      <c r="C7732" s="41">
        <v>624.5</v>
      </c>
      <c r="D7732" s="6">
        <v>45804</v>
      </c>
      <c r="E7732" s="3" t="str">
        <f ca="1">IF(Tabela2[[#This Row],[Dt Venc:]]&gt;TODAY(),"Em Aberto",IF(Tabela2[[#This Row],[D/venc]]="-","Enviado",IF(Tabela2[[#This Row],[Dt Venc:]]=TODAY(),"Vence Hoje","Vencida")))</f>
        <v>Em Aberto</v>
      </c>
      <c r="F7732" s="3">
        <f ca="1">IF(G7732=1,"-",Tabela2[[#This Row],[Dt Venc:]]-TODAY())</f>
        <v>111</v>
      </c>
      <c r="G7732" s="3"/>
      <c r="H7732" s="3"/>
    </row>
    <row r="7733" spans="1:8">
      <c r="A7733" s="3">
        <v>766013</v>
      </c>
      <c r="B7733" s="7" t="s">
        <v>127</v>
      </c>
      <c r="C7733" s="41">
        <v>399.5</v>
      </c>
      <c r="D7733" s="6">
        <v>45804</v>
      </c>
      <c r="E7733" s="3" t="str">
        <f ca="1">IF(Tabela2[[#This Row],[Dt Venc:]]&gt;TODAY(),"Em Aberto",IF(Tabela2[[#This Row],[D/venc]]="-","Enviado",IF(Tabela2[[#This Row],[Dt Venc:]]=TODAY(),"Vence Hoje","Vencida")))</f>
        <v>Em Aberto</v>
      </c>
      <c r="F7733" s="3">
        <f ca="1">IF(G7733=1,"-",Tabela2[[#This Row],[Dt Venc:]]-TODAY())</f>
        <v>111</v>
      </c>
      <c r="G7733" s="3"/>
      <c r="H7733" s="3"/>
    </row>
    <row r="7734" spans="1:8">
      <c r="A7734" s="3" t="s">
        <v>110</v>
      </c>
      <c r="B7734" s="7" t="s">
        <v>373</v>
      </c>
      <c r="C7734" s="42" t="s">
        <v>32</v>
      </c>
      <c r="D7734" s="6">
        <v>45805</v>
      </c>
      <c r="E7734" s="3" t="str">
        <f ca="1">IF(Tabela2[[#This Row],[Dt Venc:]]&gt;TODAY(),"Em Aberto",IF(Tabela2[[#This Row],[D/venc]]="-","Enviado",IF(Tabela2[[#This Row],[Dt Venc:]]=TODAY(),"Vence Hoje","Vencida")))</f>
        <v>Em Aberto</v>
      </c>
      <c r="F7734" s="3">
        <f ca="1">IF(G7734=1,"-",Tabela2[[#This Row],[Dt Venc:]]-TODAY())</f>
        <v>112</v>
      </c>
      <c r="G7734" s="3"/>
      <c r="H7734" s="3"/>
    </row>
    <row r="7735" spans="1:8">
      <c r="A7735" s="3">
        <v>225860</v>
      </c>
      <c r="B7735" s="7" t="s">
        <v>39</v>
      </c>
      <c r="C7735" s="41">
        <v>35775</v>
      </c>
      <c r="D7735" s="6">
        <v>45805</v>
      </c>
      <c r="E7735" s="3" t="str">
        <f ca="1">IF(Tabela2[[#This Row],[Dt Venc:]]&gt;TODAY(),"Em Aberto",IF(Tabela2[[#This Row],[D/venc]]="-","Enviado",IF(Tabela2[[#This Row],[Dt Venc:]]=TODAY(),"Vence Hoje","Vencida")))</f>
        <v>Em Aberto</v>
      </c>
      <c r="F7735" s="3">
        <f ca="1">IF(G7735=1,"-",Tabela2[[#This Row],[Dt Venc:]]-TODAY())</f>
        <v>112</v>
      </c>
      <c r="G7735" s="3"/>
      <c r="H7735" s="3"/>
    </row>
    <row r="7736" spans="1:8">
      <c r="A7736" s="3">
        <v>377889</v>
      </c>
      <c r="B7736" s="7" t="s">
        <v>187</v>
      </c>
      <c r="C7736" s="41">
        <v>1555.42</v>
      </c>
      <c r="D7736" s="6">
        <v>45805</v>
      </c>
      <c r="E7736" s="3" t="str">
        <f ca="1">IF(Tabela2[[#This Row],[Dt Venc:]]&gt;TODAY(),"Em Aberto",IF(Tabela2[[#This Row],[D/venc]]="-","Enviado",IF(Tabela2[[#This Row],[Dt Venc:]]=TODAY(),"Vence Hoje","Vencida")))</f>
        <v>Em Aberto</v>
      </c>
      <c r="F7736" s="3">
        <f ca="1">IF(G7736=1,"-",Tabela2[[#This Row],[Dt Venc:]]-TODAY())</f>
        <v>112</v>
      </c>
      <c r="G7736" s="3"/>
      <c r="H7736" s="3"/>
    </row>
    <row r="7737" spans="1:8">
      <c r="A7737" s="3">
        <v>30839</v>
      </c>
      <c r="B7737" s="7" t="s">
        <v>97</v>
      </c>
      <c r="C7737" s="41">
        <v>2395</v>
      </c>
      <c r="D7737" s="6">
        <v>45806</v>
      </c>
      <c r="E7737" s="3" t="str">
        <f ca="1">IF(Tabela2[[#This Row],[Dt Venc:]]&gt;TODAY(),"Em Aberto",IF(Tabela2[[#This Row],[D/venc]]="-","Enviado",IF(Tabela2[[#This Row],[Dt Venc:]]=TODAY(),"Vence Hoje","Vencida")))</f>
        <v>Em Aberto</v>
      </c>
      <c r="F7737" s="3">
        <f ca="1">IF(G7737=1,"-",Tabela2[[#This Row],[Dt Venc:]]-TODAY())</f>
        <v>113</v>
      </c>
      <c r="G7737" s="3"/>
      <c r="H7737" s="3"/>
    </row>
    <row r="7738" spans="1:8">
      <c r="A7738" s="3">
        <v>31398</v>
      </c>
      <c r="B7738" s="7" t="s">
        <v>97</v>
      </c>
      <c r="C7738" s="41">
        <v>2055</v>
      </c>
      <c r="D7738" s="6">
        <v>45806</v>
      </c>
      <c r="E7738" s="3" t="str">
        <f ca="1">IF(Tabela2[[#This Row],[Dt Venc:]]&gt;TODAY(),"Em Aberto",IF(Tabela2[[#This Row],[D/venc]]="-","Enviado",IF(Tabela2[[#This Row],[Dt Venc:]]=TODAY(),"Vence Hoje","Vencida")))</f>
        <v>Em Aberto</v>
      </c>
      <c r="F7738" s="3">
        <f ca="1">IF(G7738=1,"-",Tabela2[[#This Row],[Dt Venc:]]-TODAY())</f>
        <v>113</v>
      </c>
      <c r="G7738" s="3"/>
      <c r="H7738" s="3"/>
    </row>
    <row r="7739" spans="1:8">
      <c r="A7739" s="3">
        <v>912180</v>
      </c>
      <c r="B7739" s="7" t="s">
        <v>375</v>
      </c>
      <c r="C7739" s="100" t="s">
        <v>32</v>
      </c>
      <c r="D7739" s="6">
        <v>45806</v>
      </c>
      <c r="E7739" s="3" t="str">
        <f ca="1">IF(Tabela2[[#This Row],[Dt Venc:]]&gt;TODAY(),"Em Aberto",IF(Tabela2[[#This Row],[D/venc]]="-","Enviado",IF(Tabela2[[#This Row],[Dt Venc:]]=TODAY(),"Vence Hoje","Vencida")))</f>
        <v>Em Aberto</v>
      </c>
      <c r="F7739" s="3">
        <f ca="1">IF(G7739=1,"-",Tabela2[[#This Row],[Dt Venc:]]-TODAY())</f>
        <v>113</v>
      </c>
      <c r="G7739" s="3"/>
      <c r="H7739" s="3"/>
    </row>
    <row r="7740" spans="1:8">
      <c r="A7740" s="3">
        <v>382598</v>
      </c>
      <c r="B7740" s="7" t="s">
        <v>441</v>
      </c>
      <c r="C7740" s="41">
        <v>518.44000000000005</v>
      </c>
      <c r="D7740" s="6">
        <v>45806</v>
      </c>
      <c r="E7740" s="3" t="str">
        <f ca="1">IF(Tabela2[[#This Row],[Dt Venc:]]&gt;TODAY(),"Em Aberto",IF(Tabela2[[#This Row],[D/venc]]="-","Enviado",IF(Tabela2[[#This Row],[Dt Venc:]]=TODAY(),"Vence Hoje","Vencida")))</f>
        <v>Em Aberto</v>
      </c>
      <c r="F7740" s="3">
        <f ca="1">IF(G7740=1,"-",Tabela2[[#This Row],[Dt Venc:]]-TODAY())</f>
        <v>113</v>
      </c>
      <c r="G7740" s="3"/>
      <c r="H7740" s="3"/>
    </row>
    <row r="7741" spans="1:8">
      <c r="A7741" s="3" t="s">
        <v>123</v>
      </c>
      <c r="B7741" s="7" t="s">
        <v>386</v>
      </c>
      <c r="C7741" s="87" t="s">
        <v>32</v>
      </c>
      <c r="D7741" s="6">
        <v>45807</v>
      </c>
      <c r="E7741" s="3" t="str">
        <f ca="1">IF(Tabela2[[#This Row],[Dt Venc:]]&gt;TODAY(),"Em Aberto",IF(Tabela2[[#This Row],[D/venc]]="-","Enviado",IF(Tabela2[[#This Row],[Dt Venc:]]=TODAY(),"Vence Hoje","Vencida")))</f>
        <v>Em Aberto</v>
      </c>
      <c r="F7741" s="3">
        <f ca="1">IF(G7741=1,"-",Tabela2[[#This Row],[Dt Venc:]]-TODAY())</f>
        <v>114</v>
      </c>
      <c r="G7741" s="3"/>
      <c r="H7741" s="3"/>
    </row>
    <row r="7742" spans="1:8">
      <c r="A7742" s="3">
        <v>31498</v>
      </c>
      <c r="B7742" s="7" t="s">
        <v>97</v>
      </c>
      <c r="C7742" s="41">
        <v>2395</v>
      </c>
      <c r="D7742" s="6">
        <v>45807</v>
      </c>
      <c r="E7742" s="3" t="str">
        <f ca="1">IF(Tabela2[[#This Row],[Dt Venc:]]&gt;TODAY(),"Em Aberto",IF(Tabela2[[#This Row],[D/venc]]="-","Enviado",IF(Tabela2[[#This Row],[Dt Venc:]]=TODAY(),"Vence Hoje","Vencida")))</f>
        <v>Em Aberto</v>
      </c>
      <c r="F7742" s="3">
        <f ca="1">IF(G7742=1,"-",Tabela2[[#This Row],[Dt Venc:]]-TODAY())</f>
        <v>114</v>
      </c>
      <c r="G7742" s="3"/>
      <c r="H7742" s="3"/>
    </row>
    <row r="7743" spans="1:8">
      <c r="A7743" s="3">
        <v>567359</v>
      </c>
      <c r="B7743" s="7" t="s">
        <v>39</v>
      </c>
      <c r="C7743" s="41">
        <v>3060.59</v>
      </c>
      <c r="D7743" s="6">
        <v>45807</v>
      </c>
      <c r="E7743" s="3" t="str">
        <f ca="1">IF(Tabela2[[#This Row],[Dt Venc:]]&gt;TODAY(),"Em Aberto",IF(Tabela2[[#This Row],[D/venc]]="-","Enviado",IF(Tabela2[[#This Row],[Dt Venc:]]=TODAY(),"Vence Hoje","Vencida")))</f>
        <v>Em Aberto</v>
      </c>
      <c r="F7743" s="3">
        <f ca="1">IF(G7743=1,"-",Tabela2[[#This Row],[Dt Venc:]]-TODAY())</f>
        <v>114</v>
      </c>
      <c r="G7743" s="3"/>
      <c r="H7743" s="3"/>
    </row>
    <row r="7744" spans="1:8">
      <c r="A7744" s="3">
        <v>11681</v>
      </c>
      <c r="B7744" s="7" t="s">
        <v>82</v>
      </c>
      <c r="C7744" s="87" t="s">
        <v>30</v>
      </c>
      <c r="D7744" s="6">
        <v>45808</v>
      </c>
      <c r="E7744" s="3" t="str">
        <f ca="1">IF(Tabela2[[#This Row],[Dt Venc:]]&gt;TODAY(),"Em Aberto",IF(Tabela2[[#This Row],[D/venc]]="-","Enviado",IF(Tabela2[[#This Row],[Dt Venc:]]=TODAY(),"Vence Hoje","Vencida")))</f>
        <v>Em Aberto</v>
      </c>
      <c r="F7744" s="3">
        <f ca="1">IF(G7744=1,"-",Tabela2[[#This Row],[Dt Venc:]]-TODAY())</f>
        <v>115</v>
      </c>
      <c r="G7744" s="3"/>
      <c r="H7744" s="3"/>
    </row>
    <row r="7745" spans="1:8">
      <c r="A7745" s="3" t="s">
        <v>28</v>
      </c>
      <c r="B7745" s="7" t="s">
        <v>391</v>
      </c>
      <c r="C7745" s="85" t="s">
        <v>30</v>
      </c>
      <c r="D7745" s="6">
        <v>45808</v>
      </c>
      <c r="E7745" s="3" t="str">
        <f ca="1">IF(Tabela2[[#This Row],[Dt Venc:]]&gt;TODAY(),"Em Aberto",IF(Tabela2[[#This Row],[D/venc]]="-","Enviado",IF(Tabela2[[#This Row],[Dt Venc:]]=TODAY(),"Vence Hoje","Vencida")))</f>
        <v>Em Aberto</v>
      </c>
      <c r="F7745" s="3">
        <f ca="1">IF(G7745=1,"-",Tabela2[[#This Row],[Dt Venc:]]-TODAY())</f>
        <v>115</v>
      </c>
      <c r="G7745" s="3"/>
      <c r="H7745" s="3"/>
    </row>
    <row r="7746" spans="1:8">
      <c r="A7746" s="3">
        <v>36910</v>
      </c>
      <c r="B7746" s="7" t="s">
        <v>167</v>
      </c>
      <c r="C7746" s="99" t="s">
        <v>32</v>
      </c>
      <c r="D7746" s="6">
        <v>45809</v>
      </c>
      <c r="E7746" s="3" t="str">
        <f ca="1">IF(Tabela2[[#This Row],[Dt Venc:]]&gt;TODAY(),"Em Aberto",IF(Tabela2[[#This Row],[D/venc]]="-","Enviado",IF(Tabela2[[#This Row],[Dt Venc:]]=TODAY(),"Vence Hoje","Vencida")))</f>
        <v>Em Aberto</v>
      </c>
      <c r="F7746" s="3">
        <f ca="1">IF(G7746=1,"-",Tabela2[[#This Row],[Dt Venc:]]-TODAY())</f>
        <v>116</v>
      </c>
      <c r="G7746" s="3"/>
      <c r="H7746" s="3"/>
    </row>
    <row r="7747" spans="1:8">
      <c r="A7747" s="3">
        <v>379023</v>
      </c>
      <c r="B7747" s="7" t="s">
        <v>441</v>
      </c>
      <c r="C7747" s="41">
        <v>1349.4</v>
      </c>
      <c r="D7747" s="6">
        <v>45809</v>
      </c>
      <c r="E7747" s="3" t="str">
        <f ca="1">IF(Tabela2[[#This Row],[Dt Venc:]]&gt;TODAY(),"Em Aberto",IF(Tabela2[[#This Row],[D/venc]]="-","Enviado",IF(Tabela2[[#This Row],[Dt Venc:]]=TODAY(),"Vence Hoje","Vencida")))</f>
        <v>Em Aberto</v>
      </c>
      <c r="F7747" s="3">
        <f ca="1">IF(G7747=1,"-",Tabela2[[#This Row],[Dt Venc:]]-TODAY())</f>
        <v>116</v>
      </c>
      <c r="G7747" s="3"/>
      <c r="H7747" s="3"/>
    </row>
    <row r="7748" spans="1:8">
      <c r="A7748" s="3" t="s">
        <v>28</v>
      </c>
      <c r="B7748" s="7" t="s">
        <v>29</v>
      </c>
      <c r="C7748" s="87" t="s">
        <v>393</v>
      </c>
      <c r="D7748" s="6">
        <v>45809</v>
      </c>
      <c r="E7748" s="3" t="str">
        <f ca="1">IF(Tabela2[[#This Row],[Dt Venc:]]&gt;TODAY(),"Em Aberto",IF(Tabela2[[#This Row],[D/venc]]="-","Enviado",IF(Tabela2[[#This Row],[Dt Venc:]]=TODAY(),"Vence Hoje","Vencida")))</f>
        <v>Em Aberto</v>
      </c>
      <c r="F7748" s="3">
        <f ca="1">IF(G7748=1,"-",Tabela2[[#This Row],[Dt Venc:]]-TODAY())</f>
        <v>116</v>
      </c>
      <c r="G7748" s="3"/>
      <c r="H7748" s="3"/>
    </row>
    <row r="7749" spans="1:8">
      <c r="A7749" s="3" t="s">
        <v>110</v>
      </c>
      <c r="B7749" s="7" t="s">
        <v>395</v>
      </c>
      <c r="C7749" s="42" t="s">
        <v>32</v>
      </c>
      <c r="D7749" s="6">
        <v>45809</v>
      </c>
      <c r="E7749" s="3" t="str">
        <f ca="1">IF(Tabela2[[#This Row],[Dt Venc:]]&gt;TODAY(),"Em Aberto",IF(Tabela2[[#This Row],[D/venc]]="-","Enviado",IF(Tabela2[[#This Row],[Dt Venc:]]=TODAY(),"Vence Hoje","Vencida")))</f>
        <v>Em Aberto</v>
      </c>
      <c r="F7749" s="3">
        <f ca="1">IF(G7749=1,"-",Tabela2[[#This Row],[Dt Venc:]]-TODAY())</f>
        <v>116</v>
      </c>
      <c r="G7749" s="3"/>
      <c r="H7749" s="3"/>
    </row>
    <row r="7750" spans="1:8">
      <c r="A7750" s="3">
        <v>31134</v>
      </c>
      <c r="B7750" s="7" t="s">
        <v>97</v>
      </c>
      <c r="C7750" s="41">
        <v>2285</v>
      </c>
      <c r="D7750" s="6">
        <v>45810</v>
      </c>
      <c r="E7750" s="3" t="str">
        <f ca="1">IF(Tabela2[[#This Row],[Dt Venc:]]&gt;TODAY(),"Em Aberto",IF(Tabela2[[#This Row],[D/venc]]="-","Enviado",IF(Tabela2[[#This Row],[Dt Venc:]]=TODAY(),"Vence Hoje","Vencida")))</f>
        <v>Em Aberto</v>
      </c>
      <c r="F7750" s="3">
        <f ca="1">IF(G7750=1,"-",Tabela2[[#This Row],[Dt Venc:]]-TODAY())</f>
        <v>117</v>
      </c>
      <c r="G7750" s="3"/>
      <c r="H7750" s="3"/>
    </row>
    <row r="7751" spans="1:8">
      <c r="A7751" s="3">
        <v>818909</v>
      </c>
      <c r="B7751" s="7" t="s">
        <v>81</v>
      </c>
      <c r="C7751" s="87" t="s">
        <v>32</v>
      </c>
      <c r="D7751" s="6">
        <v>45810</v>
      </c>
      <c r="E7751" s="3" t="str">
        <f ca="1">IF(Tabela2[[#This Row],[Dt Venc:]]&gt;TODAY(),"Em Aberto",IF(Tabela2[[#This Row],[D/venc]]="-","Enviado",IF(Tabela2[[#This Row],[Dt Venc:]]=TODAY(),"Vence Hoje","Vencida")))</f>
        <v>Em Aberto</v>
      </c>
      <c r="F7751" s="3">
        <f ca="1">IF(G7751=1,"-",Tabela2[[#This Row],[Dt Venc:]]-TODAY())</f>
        <v>117</v>
      </c>
      <c r="G7751" s="3"/>
      <c r="H7751" s="3"/>
    </row>
    <row r="7752" spans="1:8">
      <c r="A7752" s="3">
        <v>10494</v>
      </c>
      <c r="B7752" s="7" t="s">
        <v>82</v>
      </c>
      <c r="C7752" s="88" t="s">
        <v>30</v>
      </c>
      <c r="D7752" s="6">
        <v>45811</v>
      </c>
      <c r="E7752" s="3" t="str">
        <f ca="1">IF(Tabela2[[#This Row],[Dt Venc:]]&gt;TODAY(),"Em Aberto",IF(Tabela2[[#This Row],[D/venc]]="-","Enviado",IF(Tabela2[[#This Row],[Dt Venc:]]=TODAY(),"Vence Hoje","Vencida")))</f>
        <v>Em Aberto</v>
      </c>
      <c r="F7752" s="3">
        <f ca="1">IF(G7752=1,"-",Tabela2[[#This Row],[Dt Venc:]]-TODAY())</f>
        <v>118</v>
      </c>
      <c r="G7752" s="3"/>
      <c r="H7752" s="3"/>
    </row>
    <row r="7753" spans="1:8">
      <c r="A7753" s="3">
        <v>30919</v>
      </c>
      <c r="B7753" s="7" t="s">
        <v>97</v>
      </c>
      <c r="C7753" s="41">
        <v>1542</v>
      </c>
      <c r="D7753" s="6">
        <v>45812</v>
      </c>
      <c r="E7753" s="3" t="str">
        <f ca="1">IF(Tabela2[[#This Row],[Dt Venc:]]&gt;TODAY(),"Em Aberto",IF(Tabela2[[#This Row],[D/venc]]="-","Enviado",IF(Tabela2[[#This Row],[Dt Venc:]]=TODAY(),"Vence Hoje","Vencida")))</f>
        <v>Em Aberto</v>
      </c>
      <c r="F7753" s="3">
        <f ca="1">IF(G7753=1,"-",Tabela2[[#This Row],[Dt Venc:]]-TODAY())</f>
        <v>119</v>
      </c>
      <c r="G7753" s="3"/>
      <c r="H7753" s="3"/>
    </row>
    <row r="7754" spans="1:8">
      <c r="A7754" s="3">
        <v>31399</v>
      </c>
      <c r="B7754" s="7" t="s">
        <v>97</v>
      </c>
      <c r="C7754" s="41">
        <v>1825</v>
      </c>
      <c r="D7754" s="6">
        <v>45812</v>
      </c>
      <c r="E7754" s="3" t="str">
        <f ca="1">IF(Tabela2[[#This Row],[Dt Venc:]]&gt;TODAY(),"Em Aberto",IF(Tabela2[[#This Row],[D/venc]]="-","Enviado",IF(Tabela2[[#This Row],[Dt Venc:]]=TODAY(),"Vence Hoje","Vencida")))</f>
        <v>Em Aberto</v>
      </c>
      <c r="F7754" s="3">
        <f ca="1">IF(G7754=1,"-",Tabela2[[#This Row],[Dt Venc:]]-TODAY())</f>
        <v>119</v>
      </c>
      <c r="G7754" s="3"/>
      <c r="H7754" s="3"/>
    </row>
    <row r="7755" spans="1:8">
      <c r="A7755" s="3">
        <v>31500</v>
      </c>
      <c r="B7755" s="7" t="s">
        <v>97</v>
      </c>
      <c r="C7755" s="41">
        <v>2170</v>
      </c>
      <c r="D7755" s="6">
        <v>45812</v>
      </c>
      <c r="E7755" s="3" t="str">
        <f ca="1">IF(Tabela2[[#This Row],[Dt Venc:]]&gt;TODAY(),"Em Aberto",IF(Tabela2[[#This Row],[D/venc]]="-","Enviado",IF(Tabela2[[#This Row],[Dt Venc:]]=TODAY(),"Vence Hoje","Vencida")))</f>
        <v>Em Aberto</v>
      </c>
      <c r="F7755" s="3">
        <f ca="1">IF(G7755=1,"-",Tabela2[[#This Row],[Dt Venc:]]-TODAY())</f>
        <v>119</v>
      </c>
      <c r="G7755" s="3"/>
      <c r="H7755" s="3"/>
    </row>
    <row r="7756" spans="1:8">
      <c r="A7756" s="3">
        <v>5680</v>
      </c>
      <c r="B7756" s="7" t="s">
        <v>122</v>
      </c>
      <c r="C7756" s="99" t="s">
        <v>32</v>
      </c>
      <c r="D7756" s="6">
        <v>45813</v>
      </c>
      <c r="E7756" s="3" t="str">
        <f ca="1">IF(Tabela2[[#This Row],[Dt Venc:]]&gt;TODAY(),"Em Aberto",IF(Tabela2[[#This Row],[D/venc]]="-","Enviado",IF(Tabela2[[#This Row],[Dt Venc:]]=TODAY(),"Vence Hoje","Vencida")))</f>
        <v>Em Aberto</v>
      </c>
      <c r="F7756" s="3">
        <f ca="1">IF(G7756=1,"-",Tabela2[[#This Row],[Dt Venc:]]-TODAY())</f>
        <v>120</v>
      </c>
      <c r="G7756" s="3"/>
      <c r="H7756" s="3"/>
    </row>
    <row r="7757" spans="1:8">
      <c r="A7757" s="3">
        <v>10353</v>
      </c>
      <c r="B7757" s="7" t="s">
        <v>82</v>
      </c>
      <c r="C7757" s="100" t="s">
        <v>32</v>
      </c>
      <c r="D7757" s="6">
        <v>45813</v>
      </c>
      <c r="E7757" s="3" t="str">
        <f ca="1">IF(Tabela2[[#This Row],[Dt Venc:]]&gt;TODAY(),"Em Aberto",IF(Tabela2[[#This Row],[D/venc]]="-","Enviado",IF(Tabela2[[#This Row],[Dt Venc:]]=TODAY(),"Vence Hoje","Vencida")))</f>
        <v>Em Aberto</v>
      </c>
      <c r="F7757" s="3">
        <f ca="1">IF(G7757=1,"-",Tabela2[[#This Row],[Dt Venc:]]-TODAY())</f>
        <v>120</v>
      </c>
      <c r="G7757" s="3"/>
      <c r="H7757" s="3"/>
    </row>
    <row r="7758" spans="1:8">
      <c r="A7758" s="3" t="s">
        <v>123</v>
      </c>
      <c r="B7758" s="7" t="s">
        <v>503</v>
      </c>
      <c r="C7758" s="87" t="s">
        <v>32</v>
      </c>
      <c r="D7758" s="6">
        <v>45813</v>
      </c>
      <c r="E7758" s="3" t="str">
        <f ca="1">IF(Tabela2[[#This Row],[Dt Venc:]]&gt;TODAY(),"Em Aberto",IF(Tabela2[[#This Row],[D/venc]]="-","Enviado",IF(Tabela2[[#This Row],[Dt Venc:]]=TODAY(),"Vence Hoje","Vencida")))</f>
        <v>Em Aberto</v>
      </c>
      <c r="F7758" s="3">
        <f ca="1">IF(G7758=1,"-",Tabela2[[#This Row],[Dt Venc:]]-TODAY())</f>
        <v>120</v>
      </c>
      <c r="G7758" s="3"/>
      <c r="H7758" s="3"/>
    </row>
    <row r="7759" spans="1:8">
      <c r="A7759" s="3">
        <v>30840</v>
      </c>
      <c r="B7759" s="7" t="s">
        <v>97</v>
      </c>
      <c r="C7759" s="41">
        <v>2285</v>
      </c>
      <c r="D7759" s="6">
        <v>45814</v>
      </c>
      <c r="E7759" s="3" t="str">
        <f ca="1">IF(Tabela2[[#This Row],[Dt Venc:]]&gt;TODAY(),"Em Aberto",IF(Tabela2[[#This Row],[D/venc]]="-","Enviado",IF(Tabela2[[#This Row],[Dt Venc:]]=TODAY(),"Vence Hoje","Vencida")))</f>
        <v>Em Aberto</v>
      </c>
      <c r="F7759" s="3">
        <f ca="1">IF(G7759=1,"-",Tabela2[[#This Row],[Dt Venc:]]-TODAY())</f>
        <v>121</v>
      </c>
      <c r="G7759" s="3"/>
      <c r="H7759" s="3"/>
    </row>
    <row r="7760" spans="1:8">
      <c r="A7760" s="3">
        <v>376178</v>
      </c>
      <c r="B7760" s="7" t="s">
        <v>39</v>
      </c>
      <c r="C7760" s="41">
        <v>3644.71</v>
      </c>
      <c r="D7760" s="6">
        <v>45814</v>
      </c>
      <c r="E7760" s="3" t="str">
        <f ca="1">IF(Tabela2[[#This Row],[Dt Venc:]]&gt;TODAY(),"Em Aberto",IF(Tabela2[[#This Row],[D/venc]]="-","Enviado",IF(Tabela2[[#This Row],[Dt Venc:]]=TODAY(),"Vence Hoje","Vencida")))</f>
        <v>Em Aberto</v>
      </c>
      <c r="F7760" s="3">
        <f ca="1">IF(G7760=1,"-",Tabela2[[#This Row],[Dt Venc:]]-TODAY())</f>
        <v>121</v>
      </c>
      <c r="G7760" s="3"/>
      <c r="H7760" s="3"/>
    </row>
    <row r="7761" spans="1:8">
      <c r="A7761" s="3">
        <v>376202</v>
      </c>
      <c r="B7761" s="7" t="s">
        <v>39</v>
      </c>
      <c r="C7761" s="41">
        <v>3094.69</v>
      </c>
      <c r="D7761" s="6">
        <v>45814</v>
      </c>
      <c r="E7761" s="3" t="str">
        <f ca="1">IF(Tabela2[[#This Row],[Dt Venc:]]&gt;TODAY(),"Em Aberto",IF(Tabela2[[#This Row],[D/venc]]="-","Enviado",IF(Tabela2[[#This Row],[Dt Venc:]]=TODAY(),"Vence Hoje","Vencida")))</f>
        <v>Em Aberto</v>
      </c>
      <c r="F7761" s="3">
        <f ca="1">IF(G7761=1,"-",Tabela2[[#This Row],[Dt Venc:]]-TODAY())</f>
        <v>121</v>
      </c>
      <c r="G7761" s="3"/>
      <c r="H7761" s="3"/>
    </row>
    <row r="7762" spans="1:8">
      <c r="A7762" s="3">
        <v>1</v>
      </c>
      <c r="B7762" s="7" t="s">
        <v>165</v>
      </c>
      <c r="C7762" s="87" t="s">
        <v>32</v>
      </c>
      <c r="D7762" s="6">
        <v>45816</v>
      </c>
      <c r="E7762" s="3" t="str">
        <f ca="1">IF(Tabela2[[#This Row],[Dt Venc:]]&gt;TODAY(),"Em Aberto",IF(Tabela2[[#This Row],[D/venc]]="-","Enviado",IF(Tabela2[[#This Row],[Dt Venc:]]=TODAY(),"Vence Hoje","Vencida")))</f>
        <v>Em Aberto</v>
      </c>
      <c r="F7762" s="3">
        <f ca="1">IF(G7762=1,"-",Tabela2[[#This Row],[Dt Venc:]]-TODAY())</f>
        <v>123</v>
      </c>
      <c r="G7762" s="3"/>
      <c r="H7762" s="3"/>
    </row>
    <row r="7763" spans="1:8">
      <c r="A7763" s="3">
        <v>284620</v>
      </c>
      <c r="B7763" s="7" t="s">
        <v>153</v>
      </c>
      <c r="C7763" s="99" t="s">
        <v>32</v>
      </c>
      <c r="D7763" s="6">
        <v>45816</v>
      </c>
      <c r="E7763" s="3" t="str">
        <f ca="1">IF(Tabela2[[#This Row],[Dt Venc:]]&gt;TODAY(),"Em Aberto",IF(Tabela2[[#This Row],[D/venc]]="-","Enviado",IF(Tabela2[[#This Row],[Dt Venc:]]=TODAY(),"Vence Hoje","Vencida")))</f>
        <v>Em Aberto</v>
      </c>
      <c r="F7763" s="3">
        <f ca="1">IF(G7763=1,"-",Tabela2[[#This Row],[Dt Venc:]]-TODAY())</f>
        <v>123</v>
      </c>
      <c r="G7763" s="3"/>
      <c r="H7763" s="3"/>
    </row>
    <row r="7764" spans="1:8">
      <c r="A7764" s="3">
        <v>31249</v>
      </c>
      <c r="B7764" s="7" t="s">
        <v>97</v>
      </c>
      <c r="C7764" s="41">
        <v>2170</v>
      </c>
      <c r="D7764" s="6">
        <v>45817</v>
      </c>
      <c r="E7764" s="3" t="str">
        <f ca="1">IF(Tabela2[[#This Row],[Dt Venc:]]&gt;TODAY(),"Em Aberto",IF(Tabela2[[#This Row],[D/venc]]="-","Enviado",IF(Tabela2[[#This Row],[Dt Venc:]]=TODAY(),"Vence Hoje","Vencida")))</f>
        <v>Em Aberto</v>
      </c>
      <c r="F7764" s="3">
        <f ca="1">IF(G7764=1,"-",Tabela2[[#This Row],[Dt Venc:]]-TODAY())</f>
        <v>124</v>
      </c>
      <c r="G7764" s="3"/>
      <c r="H7764" s="3"/>
    </row>
    <row r="7765" spans="1:8">
      <c r="A7765" s="3">
        <v>36949</v>
      </c>
      <c r="B7765" s="7" t="s">
        <v>167</v>
      </c>
      <c r="C7765" s="100" t="s">
        <v>32</v>
      </c>
      <c r="D7765" s="6">
        <v>45817</v>
      </c>
      <c r="E7765" s="3" t="str">
        <f ca="1">IF(Tabela2[[#This Row],[Dt Venc:]]&gt;TODAY(),"Em Aberto",IF(Tabela2[[#This Row],[D/venc]]="-","Enviado",IF(Tabela2[[#This Row],[Dt Venc:]]=TODAY(),"Vence Hoje","Vencida")))</f>
        <v>Em Aberto</v>
      </c>
      <c r="F7765" s="3">
        <f ca="1">IF(G7765=1,"-",Tabela2[[#This Row],[Dt Venc:]]-TODAY())</f>
        <v>124</v>
      </c>
      <c r="G7765" s="3"/>
      <c r="H7765" s="3"/>
    </row>
    <row r="7766" spans="1:8">
      <c r="A7766" s="3">
        <v>756561</v>
      </c>
      <c r="B7766" s="7" t="s">
        <v>166</v>
      </c>
      <c r="C7766" s="100" t="s">
        <v>32</v>
      </c>
      <c r="D7766" s="6">
        <v>45817</v>
      </c>
      <c r="E7766" s="3" t="str">
        <f ca="1">IF(Tabela2[[#This Row],[Dt Venc:]]&gt;TODAY(),"Em Aberto",IF(Tabela2[[#This Row],[D/venc]]="-","Enviado",IF(Tabela2[[#This Row],[Dt Venc:]]=TODAY(),"Vence Hoje","Vencida")))</f>
        <v>Em Aberto</v>
      </c>
      <c r="F7766" s="3">
        <f ca="1">IF(G7766=1,"-",Tabela2[[#This Row],[Dt Venc:]]-TODAY())</f>
        <v>124</v>
      </c>
      <c r="G7766" s="3"/>
      <c r="H7766" s="3"/>
    </row>
    <row r="7767" spans="1:8">
      <c r="A7767" s="3" t="s">
        <v>179</v>
      </c>
      <c r="B7767" s="7" t="s">
        <v>180</v>
      </c>
      <c r="C7767" s="100" t="s">
        <v>32</v>
      </c>
      <c r="D7767" s="6">
        <v>45817</v>
      </c>
      <c r="E7767" s="3" t="str">
        <f ca="1">IF(Tabela2[[#This Row],[Dt Venc:]]&gt;TODAY(),"Em Aberto",IF(Tabela2[[#This Row],[D/venc]]="-","Enviado",IF(Tabela2[[#This Row],[Dt Venc:]]=TODAY(),"Vence Hoje","Vencida")))</f>
        <v>Em Aberto</v>
      </c>
      <c r="F7767" s="3">
        <f ca="1">IF(G7767=1,"-",Tabela2[[#This Row],[Dt Venc:]]-TODAY())</f>
        <v>124</v>
      </c>
      <c r="G7767" s="3"/>
      <c r="H7767" s="3"/>
    </row>
    <row r="7768" spans="1:8">
      <c r="A7768" s="3">
        <v>31501</v>
      </c>
      <c r="B7768" s="7" t="s">
        <v>97</v>
      </c>
      <c r="C7768" s="41">
        <v>1825</v>
      </c>
      <c r="D7768" s="6">
        <v>45817</v>
      </c>
      <c r="E7768" s="3" t="str">
        <f ca="1">IF(Tabela2[[#This Row],[Dt Venc:]]&gt;TODAY(),"Em Aberto",IF(Tabela2[[#This Row],[D/venc]]="-","Enviado",IF(Tabela2[[#This Row],[Dt Venc:]]=TODAY(),"Vence Hoje","Vencida")))</f>
        <v>Em Aberto</v>
      </c>
      <c r="F7768" s="3">
        <f ca="1">IF(G7768=1,"-",Tabela2[[#This Row],[Dt Venc:]]-TODAY())</f>
        <v>124</v>
      </c>
      <c r="G7768" s="3"/>
      <c r="H7768" s="3"/>
    </row>
    <row r="7769" spans="1:8">
      <c r="A7769" s="3" t="s">
        <v>110</v>
      </c>
      <c r="B7769" s="7" t="s">
        <v>183</v>
      </c>
      <c r="C7769" s="42" t="s">
        <v>32</v>
      </c>
      <c r="D7769" s="6">
        <v>45818</v>
      </c>
      <c r="E7769" s="3" t="str">
        <f ca="1">IF(Tabela2[[#This Row],[Dt Venc:]]&gt;TODAY(),"Em Aberto",IF(Tabela2[[#This Row],[D/venc]]="-","Enviado",IF(Tabela2[[#This Row],[Dt Venc:]]=TODAY(),"Vence Hoje","Vencida")))</f>
        <v>Em Aberto</v>
      </c>
      <c r="F7769" s="3">
        <f ca="1">IF(G7769=1,"-",Tabela2[[#This Row],[Dt Venc:]]-TODAY())</f>
        <v>125</v>
      </c>
      <c r="G7769" s="3"/>
      <c r="H7769" s="3"/>
    </row>
    <row r="7770" spans="1:8">
      <c r="A7770" s="3" t="s">
        <v>110</v>
      </c>
      <c r="B7770" s="7" t="s">
        <v>181</v>
      </c>
      <c r="C7770" s="42" t="s">
        <v>32</v>
      </c>
      <c r="D7770" s="6">
        <v>45818</v>
      </c>
      <c r="E7770" s="3" t="str">
        <f ca="1">IF(Tabela2[[#This Row],[Dt Venc:]]&gt;TODAY(),"Em Aberto",IF(Tabela2[[#This Row],[D/venc]]="-","Enviado",IF(Tabela2[[#This Row],[Dt Venc:]]=TODAY(),"Vence Hoje","Vencida")))</f>
        <v>Em Aberto</v>
      </c>
      <c r="F7770" s="3">
        <f ca="1">IF(G7770=1,"-",Tabela2[[#This Row],[Dt Venc:]]-TODAY())</f>
        <v>125</v>
      </c>
      <c r="G7770" s="3"/>
      <c r="H7770" s="3"/>
    </row>
    <row r="7771" spans="1:8">
      <c r="A7771" s="3">
        <v>30920</v>
      </c>
      <c r="B7771" s="7" t="s">
        <v>97</v>
      </c>
      <c r="C7771" s="41">
        <v>1975</v>
      </c>
      <c r="D7771" s="6">
        <v>45818</v>
      </c>
      <c r="E7771" s="3" t="str">
        <f ca="1">IF(Tabela2[[#This Row],[Dt Venc:]]&gt;TODAY(),"Em Aberto",IF(Tabela2[[#This Row],[D/venc]]="-","Enviado",IF(Tabela2[[#This Row],[Dt Venc:]]=TODAY(),"Vence Hoje","Vencida")))</f>
        <v>Em Aberto</v>
      </c>
      <c r="F7771" s="3">
        <f ca="1">IF(G7771=1,"-",Tabela2[[#This Row],[Dt Venc:]]-TODAY())</f>
        <v>125</v>
      </c>
      <c r="G7771" s="3"/>
      <c r="H7771" s="3"/>
    </row>
    <row r="7772" spans="1:8">
      <c r="A7772" s="3">
        <v>31135</v>
      </c>
      <c r="B7772" s="7" t="s">
        <v>97</v>
      </c>
      <c r="C7772" s="41">
        <v>2055</v>
      </c>
      <c r="D7772" s="6">
        <v>45818</v>
      </c>
      <c r="E7772" s="3" t="str">
        <f ca="1">IF(Tabela2[[#This Row],[Dt Venc:]]&gt;TODAY(),"Em Aberto",IF(Tabela2[[#This Row],[D/venc]]="-","Enviado",IF(Tabela2[[#This Row],[Dt Venc:]]=TODAY(),"Vence Hoje","Vencida")))</f>
        <v>Em Aberto</v>
      </c>
      <c r="F7772" s="3">
        <f ca="1">IF(G7772=1,"-",Tabela2[[#This Row],[Dt Venc:]]-TODAY())</f>
        <v>125</v>
      </c>
      <c r="G7772" s="3"/>
      <c r="H7772" s="3"/>
    </row>
    <row r="7773" spans="1:8">
      <c r="A7773" s="3" t="s">
        <v>123</v>
      </c>
      <c r="B7773" s="7" t="s">
        <v>418</v>
      </c>
      <c r="C7773" s="42" t="s">
        <v>32</v>
      </c>
      <c r="D7773" s="6">
        <v>45818</v>
      </c>
      <c r="E7773" s="3" t="str">
        <f ca="1">IF(Tabela2[[#This Row],[Dt Venc:]]&gt;TODAY(),"Em Aberto",IF(Tabela2[[#This Row],[D/venc]]="-","Enviado",IF(Tabela2[[#This Row],[Dt Venc:]]=TODAY(),"Vence Hoje","Vencida")))</f>
        <v>Em Aberto</v>
      </c>
      <c r="F7773" s="3">
        <f ca="1">IF(G7773=1,"-",Tabela2[[#This Row],[Dt Venc:]]-TODAY())</f>
        <v>125</v>
      </c>
      <c r="G7773" s="3"/>
      <c r="H7773" s="3"/>
    </row>
    <row r="7774" spans="1:8">
      <c r="A7774" s="3" t="s">
        <v>123</v>
      </c>
      <c r="B7774" s="7" t="s">
        <v>201</v>
      </c>
      <c r="C7774" s="87" t="s">
        <v>32</v>
      </c>
      <c r="D7774" s="6">
        <v>45818</v>
      </c>
      <c r="E7774" s="3" t="str">
        <f ca="1">IF(Tabela2[[#This Row],[Dt Venc:]]&gt;TODAY(),"Em Aberto",IF(Tabela2[[#This Row],[D/venc]]="-","Enviado",IF(Tabela2[[#This Row],[Dt Venc:]]=TODAY(),"Vence Hoje","Vencida")))</f>
        <v>Em Aberto</v>
      </c>
      <c r="F7774" s="3">
        <f ca="1">IF(G7774=1,"-",Tabela2[[#This Row],[Dt Venc:]]-TODAY())</f>
        <v>125</v>
      </c>
      <c r="G7774" s="3"/>
      <c r="H7774" s="3"/>
    </row>
    <row r="7775" spans="1:8">
      <c r="A7775" s="3" t="s">
        <v>179</v>
      </c>
      <c r="B7775" s="7" t="s">
        <v>190</v>
      </c>
      <c r="C7775" s="100" t="s">
        <v>32</v>
      </c>
      <c r="D7775" s="6">
        <v>45818</v>
      </c>
      <c r="E7775" s="3" t="str">
        <f ca="1">IF(Tabela2[[#This Row],[Dt Venc:]]&gt;TODAY(),"Em Aberto",IF(Tabela2[[#This Row],[D/venc]]="-","Enviado",IF(Tabela2[[#This Row],[Dt Venc:]]=TODAY(),"Vence Hoje","Vencida")))</f>
        <v>Em Aberto</v>
      </c>
      <c r="F7775" s="3">
        <f ca="1">IF(G7775=1,"-",Tabela2[[#This Row],[Dt Venc:]]-TODAY())</f>
        <v>125</v>
      </c>
      <c r="G7775" s="3"/>
      <c r="H7775" s="3"/>
    </row>
    <row r="7776" spans="1:8">
      <c r="A7776" s="3">
        <v>37292</v>
      </c>
      <c r="B7776" s="7" t="s">
        <v>167</v>
      </c>
      <c r="C7776" s="100" t="s">
        <v>32</v>
      </c>
      <c r="D7776" s="6">
        <v>45819</v>
      </c>
      <c r="E7776" s="3" t="str">
        <f ca="1">IF(Tabela2[[#This Row],[Dt Venc:]]&gt;TODAY(),"Em Aberto",IF(Tabela2[[#This Row],[D/venc]]="-","Enviado",IF(Tabela2[[#This Row],[Dt Venc:]]=TODAY(),"Vence Hoje","Vencida")))</f>
        <v>Em Aberto</v>
      </c>
      <c r="F7776" s="3">
        <f ca="1">IF(G7776=1,"-",Tabela2[[#This Row],[Dt Venc:]]-TODAY())</f>
        <v>126</v>
      </c>
      <c r="G7776" s="3"/>
      <c r="H7776" s="3"/>
    </row>
    <row r="7777" spans="1:8">
      <c r="A7777" s="3">
        <v>37327</v>
      </c>
      <c r="B7777" s="7" t="s">
        <v>167</v>
      </c>
      <c r="C7777" s="100" t="s">
        <v>32</v>
      </c>
      <c r="D7777" s="6">
        <v>45819</v>
      </c>
      <c r="E7777" s="3" t="str">
        <f ca="1">IF(Tabela2[[#This Row],[Dt Venc:]]&gt;TODAY(),"Em Aberto",IF(Tabela2[[#This Row],[D/venc]]="-","Enviado",IF(Tabela2[[#This Row],[Dt Venc:]]=TODAY(),"Vence Hoje","Vencida")))</f>
        <v>Em Aberto</v>
      </c>
      <c r="F7777" s="3">
        <f ca="1">IF(G7777=1,"-",Tabela2[[#This Row],[Dt Venc:]]-TODAY())</f>
        <v>126</v>
      </c>
      <c r="G7777" s="3"/>
      <c r="H7777" s="3"/>
    </row>
    <row r="7778" spans="1:8">
      <c r="A7778" s="3" t="s">
        <v>110</v>
      </c>
      <c r="B7778" s="7" t="s">
        <v>205</v>
      </c>
      <c r="C7778" s="42" t="s">
        <v>32</v>
      </c>
      <c r="D7778" s="6">
        <v>45819</v>
      </c>
      <c r="E7778" s="3" t="str">
        <f ca="1">IF(Tabela2[[#This Row],[Dt Venc:]]&gt;TODAY(),"Em Aberto",IF(Tabela2[[#This Row],[D/venc]]="-","Enviado",IF(Tabela2[[#This Row],[Dt Venc:]]=TODAY(),"Vence Hoje","Vencida")))</f>
        <v>Em Aberto</v>
      </c>
      <c r="F7778" s="3">
        <f ca="1">IF(G7778=1,"-",Tabela2[[#This Row],[Dt Venc:]]-TODAY())</f>
        <v>126</v>
      </c>
      <c r="G7778" s="3"/>
      <c r="H7778" s="3"/>
    </row>
    <row r="7779" spans="1:8">
      <c r="A7779" s="3">
        <v>31298</v>
      </c>
      <c r="B7779" s="7" t="s">
        <v>97</v>
      </c>
      <c r="C7779" s="41">
        <v>2285</v>
      </c>
      <c r="D7779" s="6">
        <v>45822</v>
      </c>
      <c r="E7779" s="3" t="str">
        <f ca="1">IF(Tabela2[[#This Row],[Dt Venc:]]&gt;TODAY(),"Em Aberto",IF(Tabela2[[#This Row],[D/venc]]="-","Enviado",IF(Tabela2[[#This Row],[Dt Venc:]]=TODAY(),"Vence Hoje","Vencida")))</f>
        <v>Em Aberto</v>
      </c>
      <c r="F7779" s="3">
        <f ca="1">IF(G7779=1,"-",Tabela2[[#This Row],[Dt Venc:]]-TODAY())</f>
        <v>129</v>
      </c>
      <c r="G7779" s="3"/>
      <c r="H7779" s="3"/>
    </row>
    <row r="7780" spans="1:8">
      <c r="A7780" s="3">
        <v>111736</v>
      </c>
      <c r="B7780" s="7" t="s">
        <v>182</v>
      </c>
      <c r="C7780" s="87" t="s">
        <v>32</v>
      </c>
      <c r="D7780" s="6">
        <v>45822</v>
      </c>
      <c r="E7780" s="3" t="str">
        <f ca="1">IF(Tabela2[[#This Row],[Dt Venc:]]&gt;TODAY(),"Em Aberto",IF(Tabela2[[#This Row],[D/venc]]="-","Enviado",IF(Tabela2[[#This Row],[Dt Venc:]]=TODAY(),"Vence Hoje","Vencida")))</f>
        <v>Em Aberto</v>
      </c>
      <c r="F7780" s="3">
        <f ca="1">IF(G7780=1,"-",Tabela2[[#This Row],[Dt Venc:]]-TODAY())</f>
        <v>129</v>
      </c>
      <c r="G7780" s="3"/>
      <c r="H7780" s="3"/>
    </row>
    <row r="7781" spans="1:8">
      <c r="A7781" s="3">
        <v>381596</v>
      </c>
      <c r="B7781" s="7" t="s">
        <v>567</v>
      </c>
      <c r="C7781" s="41">
        <v>657.87</v>
      </c>
      <c r="D7781" s="6">
        <v>45822</v>
      </c>
      <c r="E7781" s="3" t="str">
        <f ca="1">IF(Tabela2[[#This Row],[Dt Venc:]]&gt;TODAY(),"Em Aberto",IF(Tabela2[[#This Row],[D/venc]]="-","Enviado",IF(Tabela2[[#This Row],[Dt Venc:]]=TODAY(),"Vence Hoje","Vencida")))</f>
        <v>Em Aberto</v>
      </c>
      <c r="F7781" s="3">
        <f ca="1">IF(G7781=1,"-",Tabela2[[#This Row],[Dt Venc:]]-TODAY())</f>
        <v>129</v>
      </c>
      <c r="G7781" s="3"/>
      <c r="H7781" s="3"/>
    </row>
    <row r="7782" spans="1:8">
      <c r="A7782" s="3">
        <v>562</v>
      </c>
      <c r="B7782" s="7" t="s">
        <v>251</v>
      </c>
      <c r="C7782" s="100" t="s">
        <v>32</v>
      </c>
      <c r="D7782" s="6">
        <v>45823</v>
      </c>
      <c r="E7782" s="3" t="str">
        <f ca="1">IF(Tabela2[[#This Row],[Dt Venc:]]&gt;TODAY(),"Em Aberto",IF(Tabela2[[#This Row],[D/venc]]="-","Enviado",IF(Tabela2[[#This Row],[Dt Venc:]]=TODAY(),"Vence Hoje","Vencida")))</f>
        <v>Em Aberto</v>
      </c>
      <c r="F7782" s="3">
        <f ca="1">IF(G7782=1,"-",Tabela2[[#This Row],[Dt Venc:]]-TODAY())</f>
        <v>130</v>
      </c>
      <c r="G7782" s="3"/>
      <c r="H7782" s="3"/>
    </row>
    <row r="7783" spans="1:8">
      <c r="A7783" s="3">
        <v>31038</v>
      </c>
      <c r="B7783" s="7" t="s">
        <v>97</v>
      </c>
      <c r="C7783" s="41">
        <v>3425</v>
      </c>
      <c r="D7783" s="6">
        <v>45823</v>
      </c>
      <c r="E7783" s="3" t="str">
        <f ca="1">IF(Tabela2[[#This Row],[Dt Venc:]]&gt;TODAY(),"Em Aberto",IF(Tabela2[[#This Row],[D/venc]]="-","Enviado",IF(Tabela2[[#This Row],[Dt Venc:]]=TODAY(),"Vence Hoje","Vencida")))</f>
        <v>Em Aberto</v>
      </c>
      <c r="F7783" s="3">
        <f ca="1">IF(G7783=1,"-",Tabela2[[#This Row],[Dt Venc:]]-TODAY())</f>
        <v>130</v>
      </c>
      <c r="G7783" s="3"/>
      <c r="H7783" s="3"/>
    </row>
    <row r="7784" spans="1:8">
      <c r="A7784" s="3">
        <v>31136</v>
      </c>
      <c r="B7784" s="7" t="s">
        <v>97</v>
      </c>
      <c r="C7784" s="41">
        <v>1370</v>
      </c>
      <c r="D7784" s="6">
        <v>45823</v>
      </c>
      <c r="E7784" s="3" t="str">
        <f ca="1">IF(Tabela2[[#This Row],[Dt Venc:]]&gt;TODAY(),"Em Aberto",IF(Tabela2[[#This Row],[D/venc]]="-","Enviado",IF(Tabela2[[#This Row],[Dt Venc:]]=TODAY(),"Vence Hoje","Vencida")))</f>
        <v>Em Aberto</v>
      </c>
      <c r="F7784" s="3">
        <f ca="1">IF(G7784=1,"-",Tabela2[[#This Row],[Dt Venc:]]-TODAY())</f>
        <v>130</v>
      </c>
      <c r="G7784" s="3"/>
      <c r="H7784" s="3"/>
    </row>
    <row r="7785" spans="1:8">
      <c r="A7785" s="3">
        <v>31250</v>
      </c>
      <c r="B7785" s="7" t="s">
        <v>97</v>
      </c>
      <c r="C7785" s="41">
        <v>2170</v>
      </c>
      <c r="D7785" s="6">
        <v>45823</v>
      </c>
      <c r="E7785" s="3" t="str">
        <f ca="1">IF(Tabela2[[#This Row],[Dt Venc:]]&gt;TODAY(),"Em Aberto",IF(Tabela2[[#This Row],[D/venc]]="-","Enviado",IF(Tabela2[[#This Row],[Dt Venc:]]=TODAY(),"Vence Hoje","Vencida")))</f>
        <v>Em Aberto</v>
      </c>
      <c r="F7785" s="3">
        <f ca="1">IF(G7785=1,"-",Tabela2[[#This Row],[Dt Venc:]]-TODAY())</f>
        <v>130</v>
      </c>
      <c r="G7785" s="3"/>
      <c r="H7785" s="3"/>
    </row>
    <row r="7786" spans="1:8">
      <c r="A7786" s="3">
        <v>36846</v>
      </c>
      <c r="B7786" s="7" t="s">
        <v>167</v>
      </c>
      <c r="C7786" s="100" t="s">
        <v>32</v>
      </c>
      <c r="D7786" s="6">
        <v>45823</v>
      </c>
      <c r="E7786" s="3" t="str">
        <f ca="1">IF(Tabela2[[#This Row],[Dt Venc:]]&gt;TODAY(),"Em Aberto",IF(Tabela2[[#This Row],[D/venc]]="-","Enviado",IF(Tabela2[[#This Row],[Dt Venc:]]=TODAY(),"Vence Hoje","Vencida")))</f>
        <v>Em Aberto</v>
      </c>
      <c r="F7786" s="3">
        <f ca="1">IF(G7786=1,"-",Tabela2[[#This Row],[Dt Venc:]]-TODAY())</f>
        <v>130</v>
      </c>
      <c r="G7786" s="3"/>
      <c r="H7786" s="3"/>
    </row>
    <row r="7787" spans="1:8">
      <c r="A7787" s="3">
        <v>103015</v>
      </c>
      <c r="B7787" s="7" t="s">
        <v>252</v>
      </c>
      <c r="C7787" s="100" t="s">
        <v>32</v>
      </c>
      <c r="D7787" s="6">
        <v>45823</v>
      </c>
      <c r="E7787" s="3" t="str">
        <f ca="1">IF(Tabela2[[#This Row],[Dt Venc:]]&gt;TODAY(),"Em Aberto",IF(Tabela2[[#This Row],[D/venc]]="-","Enviado",IF(Tabela2[[#This Row],[Dt Venc:]]=TODAY(),"Vence Hoje","Vencida")))</f>
        <v>Em Aberto</v>
      </c>
      <c r="F7787" s="3">
        <f ca="1">IF(G7787=1,"-",Tabela2[[#This Row],[Dt Venc:]]-TODAY())</f>
        <v>130</v>
      </c>
      <c r="G7787" s="3"/>
      <c r="H7787" s="3"/>
    </row>
    <row r="7788" spans="1:8">
      <c r="A7788" s="3">
        <v>103077</v>
      </c>
      <c r="B7788" s="7" t="s">
        <v>252</v>
      </c>
      <c r="C7788" s="100" t="s">
        <v>32</v>
      </c>
      <c r="D7788" s="6">
        <v>45823</v>
      </c>
      <c r="E7788" s="3" t="str">
        <f ca="1">IF(Tabela2[[#This Row],[Dt Venc:]]&gt;TODAY(),"Em Aberto",IF(Tabela2[[#This Row],[D/venc]]="-","Enviado",IF(Tabela2[[#This Row],[Dt Venc:]]=TODAY(),"Vence Hoje","Vencida")))</f>
        <v>Em Aberto</v>
      </c>
      <c r="F7788" s="3">
        <f ca="1">IF(G7788=1,"-",Tabela2[[#This Row],[Dt Venc:]]-TODAY())</f>
        <v>130</v>
      </c>
      <c r="G7788" s="3"/>
      <c r="H7788" s="3"/>
    </row>
    <row r="7789" spans="1:8">
      <c r="A7789" s="3">
        <v>103153</v>
      </c>
      <c r="B7789" s="7" t="s">
        <v>252</v>
      </c>
      <c r="C7789" s="85" t="s">
        <v>32</v>
      </c>
      <c r="D7789" s="6">
        <v>45823</v>
      </c>
      <c r="E7789" s="3" t="str">
        <f ca="1">IF(Tabela2[[#This Row],[Dt Venc:]]&gt;TODAY(),"Em Aberto",IF(Tabela2[[#This Row],[D/venc]]="-","Enviado",IF(Tabela2[[#This Row],[Dt Venc:]]=TODAY(),"Vence Hoje","Vencida")))</f>
        <v>Em Aberto</v>
      </c>
      <c r="F7789" s="3">
        <f ca="1">IF(G7789=1,"-",Tabela2[[#This Row],[Dt Venc:]]-TODAY())</f>
        <v>130</v>
      </c>
      <c r="G7789" s="3"/>
      <c r="H7789" s="3"/>
    </row>
    <row r="7790" spans="1:8">
      <c r="A7790" s="3">
        <v>103154</v>
      </c>
      <c r="B7790" s="7" t="s">
        <v>252</v>
      </c>
      <c r="C7790" s="99" t="s">
        <v>32</v>
      </c>
      <c r="D7790" s="6">
        <v>45823</v>
      </c>
      <c r="E7790" s="3" t="str">
        <f ca="1">IF(Tabela2[[#This Row],[Dt Venc:]]&gt;TODAY(),"Em Aberto",IF(Tabela2[[#This Row],[D/venc]]="-","Enviado",IF(Tabela2[[#This Row],[Dt Venc:]]=TODAY(),"Vence Hoje","Vencida")))</f>
        <v>Em Aberto</v>
      </c>
      <c r="F7790" s="3">
        <f ca="1">IF(G7790=1,"-",Tabela2[[#This Row],[Dt Venc:]]-TODAY())</f>
        <v>130</v>
      </c>
      <c r="G7790" s="3"/>
      <c r="H7790" s="3"/>
    </row>
    <row r="7791" spans="1:8">
      <c r="A7791" s="3">
        <v>106007</v>
      </c>
      <c r="B7791" s="7" t="s">
        <v>252</v>
      </c>
      <c r="C7791" s="99" t="s">
        <v>32</v>
      </c>
      <c r="D7791" s="6">
        <v>45823</v>
      </c>
      <c r="E7791" s="3" t="str">
        <f ca="1">IF(Tabela2[[#This Row],[Dt Venc:]]&gt;TODAY(),"Em Aberto",IF(Tabela2[[#This Row],[D/venc]]="-","Enviado",IF(Tabela2[[#This Row],[Dt Venc:]]=TODAY(),"Vence Hoje","Vencida")))</f>
        <v>Em Aberto</v>
      </c>
      <c r="F7791" s="3">
        <f ca="1">IF(G7791=1,"-",Tabela2[[#This Row],[Dt Venc:]]-TODAY())</f>
        <v>130</v>
      </c>
      <c r="G7791" s="3"/>
      <c r="H7791" s="3"/>
    </row>
    <row r="7792" spans="1:8">
      <c r="A7792" s="3">
        <v>106043</v>
      </c>
      <c r="B7792" s="7" t="s">
        <v>252</v>
      </c>
      <c r="C7792" s="99" t="s">
        <v>32</v>
      </c>
      <c r="D7792" s="6">
        <v>45823</v>
      </c>
      <c r="E7792" s="3" t="str">
        <f ca="1">IF(Tabela2[[#This Row],[Dt Venc:]]&gt;TODAY(),"Em Aberto",IF(Tabela2[[#This Row],[D/venc]]="-","Enviado",IF(Tabela2[[#This Row],[Dt Venc:]]=TODAY(),"Vence Hoje","Vencida")))</f>
        <v>Em Aberto</v>
      </c>
      <c r="F7792" s="3">
        <f ca="1">IF(G7792=1,"-",Tabela2[[#This Row],[Dt Venc:]]-TODAY())</f>
        <v>130</v>
      </c>
      <c r="G7792" s="3"/>
      <c r="H7792" s="3"/>
    </row>
    <row r="7793" spans="1:8">
      <c r="A7793" s="3">
        <v>107829</v>
      </c>
      <c r="B7793" s="7" t="s">
        <v>252</v>
      </c>
      <c r="C7793" s="100" t="s">
        <v>32</v>
      </c>
      <c r="D7793" s="6">
        <v>45823</v>
      </c>
      <c r="E7793" s="3" t="str">
        <f ca="1">IF(Tabela2[[#This Row],[Dt Venc:]]&gt;TODAY(),"Em Aberto",IF(Tabela2[[#This Row],[D/venc]]="-","Enviado",IF(Tabela2[[#This Row],[Dt Venc:]]=TODAY(),"Vence Hoje","Vencida")))</f>
        <v>Em Aberto</v>
      </c>
      <c r="F7793" s="3">
        <f ca="1">IF(G7793=1,"-",Tabela2[[#This Row],[Dt Venc:]]-TODAY())</f>
        <v>130</v>
      </c>
      <c r="G7793" s="3"/>
      <c r="H7793" s="3"/>
    </row>
    <row r="7794" spans="1:8">
      <c r="A7794" s="3">
        <v>107830</v>
      </c>
      <c r="B7794" s="7" t="s">
        <v>252</v>
      </c>
      <c r="C7794" s="85" t="s">
        <v>32</v>
      </c>
      <c r="D7794" s="6">
        <v>45823</v>
      </c>
      <c r="E7794" s="3" t="str">
        <f ca="1">IF(Tabela2[[#This Row],[Dt Venc:]]&gt;TODAY(),"Em Aberto",IF(Tabela2[[#This Row],[D/venc]]="-","Enviado",IF(Tabela2[[#This Row],[Dt Venc:]]=TODAY(),"Vence Hoje","Vencida")))</f>
        <v>Em Aberto</v>
      </c>
      <c r="F7794" s="3">
        <f ca="1">IF(G7794=1,"-",Tabela2[[#This Row],[Dt Venc:]]-TODAY())</f>
        <v>130</v>
      </c>
      <c r="G7794" s="3"/>
      <c r="H7794" s="3"/>
    </row>
    <row r="7795" spans="1:8">
      <c r="A7795" s="3">
        <v>107831</v>
      </c>
      <c r="B7795" s="7" t="s">
        <v>252</v>
      </c>
      <c r="C7795" s="99" t="s">
        <v>32</v>
      </c>
      <c r="D7795" s="6">
        <v>45823</v>
      </c>
      <c r="E7795" s="3" t="str">
        <f ca="1">IF(Tabela2[[#This Row],[Dt Venc:]]&gt;TODAY(),"Em Aberto",IF(Tabela2[[#This Row],[D/venc]]="-","Enviado",IF(Tabela2[[#This Row],[Dt Venc:]]=TODAY(),"Vence Hoje","Vencida")))</f>
        <v>Em Aberto</v>
      </c>
      <c r="F7795" s="3">
        <f ca="1">IF(G7795=1,"-",Tabela2[[#This Row],[Dt Venc:]]-TODAY())</f>
        <v>130</v>
      </c>
      <c r="G7795" s="3"/>
      <c r="H7795" s="3"/>
    </row>
    <row r="7796" spans="1:8">
      <c r="A7796" s="3">
        <v>107832</v>
      </c>
      <c r="B7796" s="7" t="s">
        <v>252</v>
      </c>
      <c r="C7796" s="99" t="s">
        <v>32</v>
      </c>
      <c r="D7796" s="6">
        <v>45823</v>
      </c>
      <c r="E7796" s="3" t="str">
        <f ca="1">IF(Tabela2[[#This Row],[Dt Venc:]]&gt;TODAY(),"Em Aberto",IF(Tabela2[[#This Row],[D/venc]]="-","Enviado",IF(Tabela2[[#This Row],[Dt Venc:]]=TODAY(),"Vence Hoje","Vencida")))</f>
        <v>Em Aberto</v>
      </c>
      <c r="F7796" s="3">
        <f ca="1">IF(G7796=1,"-",Tabela2[[#This Row],[Dt Venc:]]-TODAY())</f>
        <v>130</v>
      </c>
      <c r="G7796" s="3"/>
      <c r="H7796" s="3"/>
    </row>
    <row r="7797" spans="1:8">
      <c r="A7797" s="3">
        <v>361229</v>
      </c>
      <c r="B7797" s="7" t="s">
        <v>250</v>
      </c>
      <c r="C7797" s="99" t="s">
        <v>32</v>
      </c>
      <c r="D7797" s="6">
        <v>45823</v>
      </c>
      <c r="E7797" s="3" t="str">
        <f ca="1">IF(Tabela2[[#This Row],[Dt Venc:]]&gt;TODAY(),"Em Aberto",IF(Tabela2[[#This Row],[D/venc]]="-","Enviado",IF(Tabela2[[#This Row],[Dt Venc:]]=TODAY(),"Vence Hoje","Vencida")))</f>
        <v>Em Aberto</v>
      </c>
      <c r="F7797" s="3">
        <f ca="1">IF(G7797=1,"-",Tabela2[[#This Row],[Dt Venc:]]-TODAY())</f>
        <v>130</v>
      </c>
      <c r="G7797" s="3"/>
      <c r="H7797" s="3"/>
    </row>
    <row r="7798" spans="1:8">
      <c r="A7798" s="3">
        <v>361237</v>
      </c>
      <c r="B7798" s="7" t="s">
        <v>250</v>
      </c>
      <c r="C7798" s="99" t="s">
        <v>32</v>
      </c>
      <c r="D7798" s="6">
        <v>45823</v>
      </c>
      <c r="E7798" s="3" t="str">
        <f ca="1">IF(Tabela2[[#This Row],[Dt Venc:]]&gt;TODAY(),"Em Aberto",IF(Tabela2[[#This Row],[D/venc]]="-","Enviado",IF(Tabela2[[#This Row],[Dt Venc:]]=TODAY(),"Vence Hoje","Vencida")))</f>
        <v>Em Aberto</v>
      </c>
      <c r="F7798" s="3">
        <f ca="1">IF(G7798=1,"-",Tabela2[[#This Row],[Dt Venc:]]-TODAY())</f>
        <v>130</v>
      </c>
      <c r="G7798" s="3"/>
      <c r="H7798" s="3"/>
    </row>
    <row r="7799" spans="1:8">
      <c r="A7799" s="3">
        <v>365658</v>
      </c>
      <c r="B7799" s="7" t="s">
        <v>250</v>
      </c>
      <c r="C7799" s="99" t="s">
        <v>32</v>
      </c>
      <c r="D7799" s="6">
        <v>45823</v>
      </c>
      <c r="E7799" s="3" t="str">
        <f ca="1">IF(Tabela2[[#This Row],[Dt Venc:]]&gt;TODAY(),"Em Aberto",IF(Tabela2[[#This Row],[D/venc]]="-","Enviado",IF(Tabela2[[#This Row],[Dt Venc:]]=TODAY(),"Vence Hoje","Vencida")))</f>
        <v>Em Aberto</v>
      </c>
      <c r="F7799" s="3">
        <f ca="1">IF(G7799=1,"-",Tabela2[[#This Row],[Dt Venc:]]-TODAY())</f>
        <v>130</v>
      </c>
      <c r="G7799" s="3"/>
      <c r="H7799" s="3"/>
    </row>
    <row r="7800" spans="1:8">
      <c r="A7800" s="3">
        <v>365666</v>
      </c>
      <c r="B7800" s="7" t="s">
        <v>250</v>
      </c>
      <c r="C7800" s="99" t="s">
        <v>32</v>
      </c>
      <c r="D7800" s="6">
        <v>45823</v>
      </c>
      <c r="E7800" s="3" t="str">
        <f ca="1">IF(Tabela2[[#This Row],[Dt Venc:]]&gt;TODAY(),"Em Aberto",IF(Tabela2[[#This Row],[D/venc]]="-","Enviado",IF(Tabela2[[#This Row],[Dt Venc:]]=TODAY(),"Vence Hoje","Vencida")))</f>
        <v>Em Aberto</v>
      </c>
      <c r="F7800" s="3">
        <f ca="1">IF(G7800=1,"-",Tabela2[[#This Row],[Dt Venc:]]-TODAY())</f>
        <v>130</v>
      </c>
      <c r="G7800" s="3"/>
      <c r="H7800" s="3"/>
    </row>
    <row r="7801" spans="1:8">
      <c r="A7801" s="3">
        <v>365674</v>
      </c>
      <c r="B7801" s="7" t="s">
        <v>250</v>
      </c>
      <c r="C7801" s="99" t="s">
        <v>32</v>
      </c>
      <c r="D7801" s="6">
        <v>45823</v>
      </c>
      <c r="E7801" s="3" t="str">
        <f ca="1">IF(Tabela2[[#This Row],[Dt Venc:]]&gt;TODAY(),"Em Aberto",IF(Tabela2[[#This Row],[D/venc]]="-","Enviado",IF(Tabela2[[#This Row],[Dt Venc:]]=TODAY(),"Vence Hoje","Vencida")))</f>
        <v>Em Aberto</v>
      </c>
      <c r="F7801" s="3">
        <f ca="1">IF(G7801=1,"-",Tabela2[[#This Row],[Dt Venc:]]-TODAY())</f>
        <v>130</v>
      </c>
      <c r="G7801" s="3"/>
      <c r="H7801" s="3"/>
    </row>
    <row r="7802" spans="1:8">
      <c r="A7802" s="3">
        <v>365682</v>
      </c>
      <c r="B7802" s="7" t="s">
        <v>250</v>
      </c>
      <c r="C7802" s="99" t="s">
        <v>32</v>
      </c>
      <c r="D7802" s="6">
        <v>45823</v>
      </c>
      <c r="E7802" s="3" t="str">
        <f ca="1">IF(Tabela2[[#This Row],[Dt Venc:]]&gt;TODAY(),"Em Aberto",IF(Tabela2[[#This Row],[D/venc]]="-","Enviado",IF(Tabela2[[#This Row],[Dt Venc:]]=TODAY(),"Vence Hoje","Vencida")))</f>
        <v>Em Aberto</v>
      </c>
      <c r="F7802" s="3">
        <f ca="1">IF(G7802=1,"-",Tabela2[[#This Row],[Dt Venc:]]-TODAY())</f>
        <v>130</v>
      </c>
      <c r="G7802" s="3"/>
      <c r="H7802" s="3"/>
    </row>
    <row r="7803" spans="1:8">
      <c r="A7803" s="3">
        <v>369335</v>
      </c>
      <c r="B7803" s="7" t="s">
        <v>543</v>
      </c>
      <c r="C7803" s="87" t="s">
        <v>32</v>
      </c>
      <c r="D7803" s="6">
        <v>45823</v>
      </c>
      <c r="E7803" s="3" t="str">
        <f ca="1">IF(Tabela2[[#This Row],[Dt Venc:]]&gt;TODAY(),"Em Aberto",IF(Tabela2[[#This Row],[D/venc]]="-","Enviado",IF(Tabela2[[#This Row],[Dt Venc:]]=TODAY(),"Vence Hoje","Vencida")))</f>
        <v>Em Aberto</v>
      </c>
      <c r="F7803" s="3">
        <f ca="1">IF(G7803=1,"-",Tabela2[[#This Row],[Dt Venc:]]-TODAY())</f>
        <v>130</v>
      </c>
      <c r="G7803" s="3"/>
      <c r="H7803" s="3"/>
    </row>
    <row r="7804" spans="1:8">
      <c r="A7804" s="3">
        <v>369696</v>
      </c>
      <c r="B7804" s="7" t="s">
        <v>543</v>
      </c>
      <c r="C7804" s="87" t="s">
        <v>32</v>
      </c>
      <c r="D7804" s="6">
        <v>45823</v>
      </c>
      <c r="E7804" s="3" t="str">
        <f ca="1">IF(Tabela2[[#This Row],[Dt Venc:]]&gt;TODAY(),"Em Aberto",IF(Tabela2[[#This Row],[D/venc]]="-","Enviado",IF(Tabela2[[#This Row],[Dt Venc:]]=TODAY(),"Vence Hoje","Vencida")))</f>
        <v>Em Aberto</v>
      </c>
      <c r="F7804" s="3">
        <f ca="1">IF(G7804=1,"-",Tabela2[[#This Row],[Dt Venc:]]-TODAY())</f>
        <v>130</v>
      </c>
      <c r="G7804" s="3"/>
      <c r="H7804" s="3"/>
    </row>
    <row r="7805" spans="1:8">
      <c r="A7805" s="3">
        <v>369726</v>
      </c>
      <c r="B7805" s="7" t="s">
        <v>543</v>
      </c>
      <c r="C7805" s="87" t="s">
        <v>32</v>
      </c>
      <c r="D7805" s="6">
        <v>45823</v>
      </c>
      <c r="E7805" s="3" t="str">
        <f ca="1">IF(Tabela2[[#This Row],[Dt Venc:]]&gt;TODAY(),"Em Aberto",IF(Tabela2[[#This Row],[D/venc]]="-","Enviado",IF(Tabela2[[#This Row],[Dt Venc:]]=TODAY(),"Vence Hoje","Vencida")))</f>
        <v>Em Aberto</v>
      </c>
      <c r="F7805" s="3">
        <f ca="1">IF(G7805=1,"-",Tabela2[[#This Row],[Dt Venc:]]-TODAY())</f>
        <v>130</v>
      </c>
      <c r="G7805" s="3"/>
      <c r="H7805" s="3"/>
    </row>
    <row r="7806" spans="1:8">
      <c r="A7806" s="3">
        <v>369751</v>
      </c>
      <c r="B7806" s="7" t="s">
        <v>543</v>
      </c>
      <c r="C7806" s="87" t="s">
        <v>32</v>
      </c>
      <c r="D7806" s="6">
        <v>45823</v>
      </c>
      <c r="E7806" s="3" t="str">
        <f ca="1">IF(Tabela2[[#This Row],[Dt Venc:]]&gt;TODAY(),"Em Aberto",IF(Tabela2[[#This Row],[D/venc]]="-","Enviado",IF(Tabela2[[#This Row],[Dt Venc:]]=TODAY(),"Vence Hoje","Vencida")))</f>
        <v>Em Aberto</v>
      </c>
      <c r="F7806" s="3">
        <f ca="1">IF(G7806=1,"-",Tabela2[[#This Row],[Dt Venc:]]-TODAY())</f>
        <v>130</v>
      </c>
      <c r="G7806" s="3"/>
      <c r="H7806" s="3"/>
    </row>
    <row r="7807" spans="1:8">
      <c r="A7807" s="3">
        <v>370201</v>
      </c>
      <c r="B7807" s="7" t="s">
        <v>543</v>
      </c>
      <c r="C7807" s="87" t="s">
        <v>32</v>
      </c>
      <c r="D7807" s="6">
        <v>45823</v>
      </c>
      <c r="E7807" s="3" t="str">
        <f ca="1">IF(Tabela2[[#This Row],[Dt Venc:]]&gt;TODAY(),"Em Aberto",IF(Tabela2[[#This Row],[D/venc]]="-","Enviado",IF(Tabela2[[#This Row],[Dt Venc:]]=TODAY(),"Vence Hoje","Vencida")))</f>
        <v>Em Aberto</v>
      </c>
      <c r="F7807" s="3">
        <f ca="1">IF(G7807=1,"-",Tabela2[[#This Row],[Dt Venc:]]-TODAY())</f>
        <v>130</v>
      </c>
      <c r="G7807" s="3"/>
      <c r="H7807" s="3"/>
    </row>
    <row r="7808" spans="1:8">
      <c r="A7808" s="3">
        <v>370864</v>
      </c>
      <c r="B7808" s="7" t="s">
        <v>543</v>
      </c>
      <c r="C7808" s="87" t="s">
        <v>32</v>
      </c>
      <c r="D7808" s="6">
        <v>45823</v>
      </c>
      <c r="E7808" s="3" t="str">
        <f ca="1">IF(Tabela2[[#This Row],[Dt Venc:]]&gt;TODAY(),"Em Aberto",IF(Tabela2[[#This Row],[D/venc]]="-","Enviado",IF(Tabela2[[#This Row],[Dt Venc:]]=TODAY(),"Vence Hoje","Vencida")))</f>
        <v>Em Aberto</v>
      </c>
      <c r="F7808" s="3">
        <f ca="1">IF(G7808=1,"-",Tabela2[[#This Row],[Dt Venc:]]-TODAY())</f>
        <v>130</v>
      </c>
      <c r="G7808" s="3"/>
      <c r="H7808" s="3"/>
    </row>
    <row r="7809" spans="1:8">
      <c r="A7809" s="3">
        <v>371011</v>
      </c>
      <c r="B7809" s="7" t="s">
        <v>633</v>
      </c>
      <c r="C7809" s="87" t="s">
        <v>32</v>
      </c>
      <c r="D7809" s="6">
        <v>45823</v>
      </c>
      <c r="E7809" s="3" t="str">
        <f ca="1">IF(Tabela2[[#This Row],[Dt Venc:]]&gt;TODAY(),"Em Aberto",IF(Tabela2[[#This Row],[D/venc]]="-","Enviado",IF(Tabela2[[#This Row],[Dt Venc:]]=TODAY(),"Vence Hoje","Vencida")))</f>
        <v>Em Aberto</v>
      </c>
      <c r="F7809" s="3">
        <f ca="1">IF(G7809=1,"-",Tabela2[[#This Row],[Dt Venc:]]-TODAY())</f>
        <v>130</v>
      </c>
      <c r="G7809" s="3"/>
      <c r="H7809" s="3"/>
    </row>
    <row r="7810" spans="1:8">
      <c r="A7810" s="3">
        <v>371160</v>
      </c>
      <c r="B7810" s="7" t="s">
        <v>633</v>
      </c>
      <c r="C7810" s="87" t="s">
        <v>32</v>
      </c>
      <c r="D7810" s="6">
        <v>45823</v>
      </c>
      <c r="E7810" s="3" t="str">
        <f ca="1">IF(Tabela2[[#This Row],[Dt Venc:]]&gt;TODAY(),"Em Aberto",IF(Tabela2[[#This Row],[D/venc]]="-","Enviado",IF(Tabela2[[#This Row],[Dt Venc:]]=TODAY(),"Vence Hoje","Vencida")))</f>
        <v>Em Aberto</v>
      </c>
      <c r="F7810" s="3">
        <f ca="1">IF(G7810=1,"-",Tabela2[[#This Row],[Dt Venc:]]-TODAY())</f>
        <v>130</v>
      </c>
      <c r="G7810" s="3"/>
      <c r="H7810" s="3"/>
    </row>
    <row r="7811" spans="1:8">
      <c r="A7811" s="3">
        <v>748099</v>
      </c>
      <c r="B7811" s="7" t="s">
        <v>81</v>
      </c>
      <c r="C7811" s="99" t="s">
        <v>32</v>
      </c>
      <c r="D7811" s="6">
        <v>45823</v>
      </c>
      <c r="E7811" s="3" t="str">
        <f ca="1">IF(Tabela2[[#This Row],[Dt Venc:]]&gt;TODAY(),"Em Aberto",IF(Tabela2[[#This Row],[D/venc]]="-","Enviado",IF(Tabela2[[#This Row],[Dt Venc:]]=TODAY(),"Vence Hoje","Vencida")))</f>
        <v>Em Aberto</v>
      </c>
      <c r="F7811" s="3">
        <f ca="1">IF(G7811=1,"-",Tabela2[[#This Row],[Dt Venc:]]-TODAY())</f>
        <v>130</v>
      </c>
      <c r="G7811" s="3"/>
      <c r="H7811" s="3"/>
    </row>
    <row r="7812" spans="1:8">
      <c r="A7812" s="3">
        <v>892178</v>
      </c>
      <c r="B7812" s="7" t="s">
        <v>253</v>
      </c>
      <c r="C7812" s="99" t="s">
        <v>32</v>
      </c>
      <c r="D7812" s="6">
        <v>45823</v>
      </c>
      <c r="E7812" s="3" t="str">
        <f ca="1">IF(Tabela2[[#This Row],[Dt Venc:]]&gt;TODAY(),"Em Aberto",IF(Tabela2[[#This Row],[D/venc]]="-","Enviado",IF(Tabela2[[#This Row],[Dt Venc:]]=TODAY(),"Vence Hoje","Vencida")))</f>
        <v>Em Aberto</v>
      </c>
      <c r="F7812" s="3">
        <f ca="1">IF(G7812=1,"-",Tabela2[[#This Row],[Dt Venc:]]-TODAY())</f>
        <v>130</v>
      </c>
      <c r="G7812" s="3"/>
      <c r="H7812" s="3"/>
    </row>
    <row r="7813" spans="1:8">
      <c r="A7813" s="3">
        <v>894135</v>
      </c>
      <c r="B7813" s="7" t="s">
        <v>253</v>
      </c>
      <c r="C7813" s="99" t="s">
        <v>32</v>
      </c>
      <c r="D7813" s="6">
        <v>45823</v>
      </c>
      <c r="E7813" s="3" t="str">
        <f ca="1">IF(Tabela2[[#This Row],[Dt Venc:]]&gt;TODAY(),"Em Aberto",IF(Tabela2[[#This Row],[D/venc]]="-","Enviado",IF(Tabela2[[#This Row],[Dt Venc:]]=TODAY(),"Vence Hoje","Vencida")))</f>
        <v>Em Aberto</v>
      </c>
      <c r="F7813" s="3">
        <f ca="1">IF(G7813=1,"-",Tabela2[[#This Row],[Dt Venc:]]-TODAY())</f>
        <v>130</v>
      </c>
      <c r="G7813" s="3"/>
      <c r="H7813" s="3"/>
    </row>
    <row r="7814" spans="1:8">
      <c r="A7814" s="3">
        <v>896565</v>
      </c>
      <c r="B7814" s="7" t="s">
        <v>253</v>
      </c>
      <c r="C7814" s="99" t="s">
        <v>32</v>
      </c>
      <c r="D7814" s="6">
        <v>45823</v>
      </c>
      <c r="E7814" s="3" t="str">
        <f ca="1">IF(Tabela2[[#This Row],[Dt Venc:]]&gt;TODAY(),"Em Aberto",IF(Tabela2[[#This Row],[D/venc]]="-","Enviado",IF(Tabela2[[#This Row],[Dt Venc:]]=TODAY(),"Vence Hoje","Vencida")))</f>
        <v>Em Aberto</v>
      </c>
      <c r="F7814" s="3">
        <f ca="1">IF(G7814=1,"-",Tabela2[[#This Row],[Dt Venc:]]-TODAY())</f>
        <v>130</v>
      </c>
      <c r="G7814" s="3"/>
      <c r="H7814" s="3"/>
    </row>
    <row r="7815" spans="1:8">
      <c r="A7815" s="3">
        <v>900386</v>
      </c>
      <c r="B7815" s="7" t="s">
        <v>253</v>
      </c>
      <c r="C7815" s="99" t="s">
        <v>32</v>
      </c>
      <c r="D7815" s="6">
        <v>45823</v>
      </c>
      <c r="E7815" s="3" t="str">
        <f ca="1">IF(Tabela2[[#This Row],[Dt Venc:]]&gt;TODAY(),"Em Aberto",IF(Tabela2[[#This Row],[D/venc]]="-","Enviado",IF(Tabela2[[#This Row],[Dt Venc:]]=TODAY(),"Vence Hoje","Vencida")))</f>
        <v>Em Aberto</v>
      </c>
      <c r="F7815" s="3">
        <f ca="1">IF(G7815=1,"-",Tabela2[[#This Row],[Dt Venc:]]-TODAY())</f>
        <v>130</v>
      </c>
      <c r="G7815" s="3"/>
      <c r="H7815" s="3"/>
    </row>
    <row r="7816" spans="1:8">
      <c r="A7816" s="3">
        <v>901787</v>
      </c>
      <c r="B7816" s="7" t="s">
        <v>253</v>
      </c>
      <c r="C7816" s="99" t="s">
        <v>32</v>
      </c>
      <c r="D7816" s="6">
        <v>45823</v>
      </c>
      <c r="E7816" s="3" t="str">
        <f ca="1">IF(Tabela2[[#This Row],[Dt Venc:]]&gt;TODAY(),"Em Aberto",IF(Tabela2[[#This Row],[D/venc]]="-","Enviado",IF(Tabela2[[#This Row],[Dt Venc:]]=TODAY(),"Vence Hoje","Vencida")))</f>
        <v>Em Aberto</v>
      </c>
      <c r="F7816" s="3">
        <f ca="1">IF(G7816=1,"-",Tabela2[[#This Row],[Dt Venc:]]-TODAY())</f>
        <v>130</v>
      </c>
      <c r="G7816" s="3"/>
      <c r="H7816" s="3"/>
    </row>
    <row r="7817" spans="1:8">
      <c r="A7817" s="3">
        <v>901788</v>
      </c>
      <c r="B7817" s="7" t="s">
        <v>253</v>
      </c>
      <c r="C7817" s="99" t="s">
        <v>32</v>
      </c>
      <c r="D7817" s="6">
        <v>45823</v>
      </c>
      <c r="E7817" s="3" t="str">
        <f ca="1">IF(Tabela2[[#This Row],[Dt Venc:]]&gt;TODAY(),"Em Aberto",IF(Tabela2[[#This Row],[D/venc]]="-","Enviado",IF(Tabela2[[#This Row],[Dt Venc:]]=TODAY(),"Vence Hoje","Vencida")))</f>
        <v>Em Aberto</v>
      </c>
      <c r="F7817" s="3">
        <f ca="1">IF(G7817=1,"-",Tabela2[[#This Row],[Dt Venc:]]-TODAY())</f>
        <v>130</v>
      </c>
      <c r="G7817" s="3"/>
      <c r="H7817" s="3"/>
    </row>
    <row r="7818" spans="1:8">
      <c r="A7818" s="3">
        <v>901789</v>
      </c>
      <c r="B7818" s="7" t="s">
        <v>253</v>
      </c>
      <c r="C7818" s="99" t="s">
        <v>32</v>
      </c>
      <c r="D7818" s="6">
        <v>45823</v>
      </c>
      <c r="E7818" s="3" t="str">
        <f ca="1">IF(Tabela2[[#This Row],[Dt Venc:]]&gt;TODAY(),"Em Aberto",IF(Tabela2[[#This Row],[D/venc]]="-","Enviado",IF(Tabela2[[#This Row],[Dt Venc:]]=TODAY(),"Vence Hoje","Vencida")))</f>
        <v>Em Aberto</v>
      </c>
      <c r="F7818" s="3">
        <f ca="1">IF(G7818=1,"-",Tabela2[[#This Row],[Dt Venc:]]-TODAY())</f>
        <v>130</v>
      </c>
      <c r="G7818" s="3"/>
      <c r="H7818" s="3"/>
    </row>
    <row r="7819" spans="1:8">
      <c r="A7819" s="3">
        <v>912703</v>
      </c>
      <c r="B7819" s="7" t="s">
        <v>253</v>
      </c>
      <c r="C7819" s="99" t="s">
        <v>32</v>
      </c>
      <c r="D7819" s="6">
        <v>45823</v>
      </c>
      <c r="E7819" s="3" t="str">
        <f ca="1">IF(Tabela2[[#This Row],[Dt Venc:]]&gt;TODAY(),"Em Aberto",IF(Tabela2[[#This Row],[D/venc]]="-","Enviado",IF(Tabela2[[#This Row],[Dt Venc:]]=TODAY(),"Vence Hoje","Vencida")))</f>
        <v>Em Aberto</v>
      </c>
      <c r="F7819" s="3">
        <f ca="1">IF(G7819=1,"-",Tabela2[[#This Row],[Dt Venc:]]-TODAY())</f>
        <v>130</v>
      </c>
      <c r="G7819" s="3"/>
      <c r="H7819" s="3"/>
    </row>
    <row r="7820" spans="1:8">
      <c r="A7820" s="3">
        <v>912704</v>
      </c>
      <c r="B7820" s="7" t="s">
        <v>253</v>
      </c>
      <c r="C7820" s="99" t="s">
        <v>32</v>
      </c>
      <c r="D7820" s="6">
        <v>45823</v>
      </c>
      <c r="E7820" s="3" t="str">
        <f ca="1">IF(Tabela2[[#This Row],[Dt Venc:]]&gt;TODAY(),"Em Aberto",IF(Tabela2[[#This Row],[D/venc]]="-","Enviado",IF(Tabela2[[#This Row],[Dt Venc:]]=TODAY(),"Vence Hoje","Vencida")))</f>
        <v>Em Aberto</v>
      </c>
      <c r="F7820" s="3">
        <f ca="1">IF(G7820=1,"-",Tabela2[[#This Row],[Dt Venc:]]-TODAY())</f>
        <v>130</v>
      </c>
      <c r="G7820" s="3"/>
      <c r="H7820" s="3"/>
    </row>
    <row r="7821" spans="1:8">
      <c r="A7821" s="3">
        <v>919728</v>
      </c>
      <c r="B7821" s="7" t="s">
        <v>253</v>
      </c>
      <c r="C7821" s="87" t="s">
        <v>32</v>
      </c>
      <c r="D7821" s="6">
        <v>45823</v>
      </c>
      <c r="E7821" s="3" t="str">
        <f ca="1">IF(Tabela2[[#This Row],[Dt Venc:]]&gt;TODAY(),"Em Aberto",IF(Tabela2[[#This Row],[D/venc]]="-","Enviado",IF(Tabela2[[#This Row],[Dt Venc:]]=TODAY(),"Vence Hoje","Vencida")))</f>
        <v>Em Aberto</v>
      </c>
      <c r="F7821" s="3">
        <f ca="1">IF(G7821=1,"-",Tabela2[[#This Row],[Dt Venc:]]-TODAY())</f>
        <v>130</v>
      </c>
      <c r="G7821" s="3"/>
      <c r="H7821" s="3"/>
    </row>
    <row r="7822" spans="1:8">
      <c r="A7822" s="3">
        <v>919729</v>
      </c>
      <c r="B7822" s="7" t="s">
        <v>253</v>
      </c>
      <c r="C7822" s="87" t="s">
        <v>32</v>
      </c>
      <c r="D7822" s="6">
        <v>45823</v>
      </c>
      <c r="E7822" s="3" t="str">
        <f ca="1">IF(Tabela2[[#This Row],[Dt Venc:]]&gt;TODAY(),"Em Aberto",IF(Tabela2[[#This Row],[D/venc]]="-","Enviado",IF(Tabela2[[#This Row],[Dt Venc:]]=TODAY(),"Vence Hoje","Vencida")))</f>
        <v>Em Aberto</v>
      </c>
      <c r="F7822" s="3">
        <f ca="1">IF(G7822=1,"-",Tabela2[[#This Row],[Dt Venc:]]-TODAY())</f>
        <v>130</v>
      </c>
      <c r="G7822" s="3"/>
      <c r="H7822" s="3"/>
    </row>
    <row r="7823" spans="1:8">
      <c r="A7823" s="3">
        <v>37300</v>
      </c>
      <c r="B7823" s="7" t="s">
        <v>167</v>
      </c>
      <c r="C7823" s="99" t="s">
        <v>32</v>
      </c>
      <c r="D7823" s="6">
        <v>45824</v>
      </c>
      <c r="E7823" s="3" t="str">
        <f ca="1">IF(Tabela2[[#This Row],[Dt Venc:]]&gt;TODAY(),"Em Aberto",IF(Tabela2[[#This Row],[D/venc]]="-","Enviado",IF(Tabela2[[#This Row],[Dt Venc:]]=TODAY(),"Vence Hoje","Vencida")))</f>
        <v>Em Aberto</v>
      </c>
      <c r="F7823" s="3">
        <f ca="1">IF(G7823=1,"-",Tabela2[[#This Row],[Dt Venc:]]-TODAY())</f>
        <v>131</v>
      </c>
      <c r="G7823" s="3"/>
      <c r="H7823" s="3"/>
    </row>
    <row r="7824" spans="1:8">
      <c r="A7824" s="3">
        <v>376985</v>
      </c>
      <c r="B7824" s="7" t="s">
        <v>43</v>
      </c>
      <c r="C7824" s="41">
        <v>1612.02</v>
      </c>
      <c r="D7824" s="6">
        <v>45824</v>
      </c>
      <c r="E7824" s="3" t="str">
        <f ca="1">IF(Tabela2[[#This Row],[Dt Venc:]]&gt;TODAY(),"Em Aberto",IF(Tabela2[[#This Row],[D/venc]]="-","Enviado",IF(Tabela2[[#This Row],[Dt Venc:]]=TODAY(),"Vence Hoje","Vencida")))</f>
        <v>Em Aberto</v>
      </c>
      <c r="F7824" s="3">
        <f ca="1">IF(G7824=1,"-",Tabela2[[#This Row],[Dt Venc:]]-TODAY())</f>
        <v>131</v>
      </c>
      <c r="G7824" s="3"/>
      <c r="H7824" s="3"/>
    </row>
    <row r="7825" spans="1:8">
      <c r="A7825" s="3">
        <v>565720</v>
      </c>
      <c r="B7825" s="7" t="s">
        <v>39</v>
      </c>
      <c r="C7825" s="41">
        <v>2448.4699999999998</v>
      </c>
      <c r="D7825" s="6">
        <v>45824</v>
      </c>
      <c r="E7825" s="3" t="str">
        <f ca="1">IF(Tabela2[[#This Row],[Dt Venc:]]&gt;TODAY(),"Em Aberto",IF(Tabela2[[#This Row],[D/venc]]="-","Enviado",IF(Tabela2[[#This Row],[Dt Venc:]]=TODAY(),"Vence Hoje","Vencida")))</f>
        <v>Em Aberto</v>
      </c>
      <c r="F7825" s="3">
        <f ca="1">IF(G7825=1,"-",Tabela2[[#This Row],[Dt Venc:]]-TODAY())</f>
        <v>131</v>
      </c>
      <c r="G7825" s="3"/>
      <c r="H7825" s="3"/>
    </row>
    <row r="7826" spans="1:8">
      <c r="A7826" s="3">
        <v>31062</v>
      </c>
      <c r="B7826" s="7" t="s">
        <v>97</v>
      </c>
      <c r="C7826" s="41">
        <v>2055</v>
      </c>
      <c r="D7826" s="6">
        <v>45825</v>
      </c>
      <c r="E7826" s="3" t="str">
        <f ca="1">IF(Tabela2[[#This Row],[Dt Venc:]]&gt;TODAY(),"Em Aberto",IF(Tabela2[[#This Row],[D/venc]]="-","Enviado",IF(Tabela2[[#This Row],[Dt Venc:]]=TODAY(),"Vence Hoje","Vencida")))</f>
        <v>Em Aberto</v>
      </c>
      <c r="F7826" s="3">
        <f ca="1">IF(G7826=1,"-",Tabela2[[#This Row],[Dt Venc:]]-TODAY())</f>
        <v>132</v>
      </c>
      <c r="G7826" s="3"/>
      <c r="H7826" s="3"/>
    </row>
    <row r="7827" spans="1:8">
      <c r="A7827" s="3">
        <v>37196</v>
      </c>
      <c r="B7827" s="7" t="s">
        <v>167</v>
      </c>
      <c r="C7827" s="85" t="s">
        <v>32</v>
      </c>
      <c r="D7827" s="6">
        <v>45825</v>
      </c>
      <c r="E7827" s="3" t="str">
        <f ca="1">IF(Tabela2[[#This Row],[Dt Venc:]]&gt;TODAY(),"Em Aberto",IF(Tabela2[[#This Row],[D/venc]]="-","Enviado",IF(Tabela2[[#This Row],[Dt Venc:]]=TODAY(),"Vence Hoje","Vencida")))</f>
        <v>Em Aberto</v>
      </c>
      <c r="F7827" s="3">
        <f ca="1">IF(G7827=1,"-",Tabela2[[#This Row],[Dt Venc:]]-TODAY())</f>
        <v>132</v>
      </c>
      <c r="G7827" s="3"/>
      <c r="H7827" s="3"/>
    </row>
    <row r="7828" spans="1:8">
      <c r="A7828" s="3">
        <v>207057</v>
      </c>
      <c r="B7828" s="7" t="s">
        <v>200</v>
      </c>
      <c r="C7828" s="41">
        <v>1200</v>
      </c>
      <c r="D7828" s="6">
        <v>45825</v>
      </c>
      <c r="E7828" s="3" t="str">
        <f ca="1">IF(Tabela2[[#This Row],[Dt Venc:]]&gt;TODAY(),"Em Aberto",IF(Tabela2[[#This Row],[D/venc]]="-","Enviado",IF(Tabela2[[#This Row],[Dt Venc:]]=TODAY(),"Vence Hoje","Vencida")))</f>
        <v>Em Aberto</v>
      </c>
      <c r="F7828" s="3">
        <f ca="1">IF(G7828=1,"-",Tabela2[[#This Row],[Dt Venc:]]-TODAY())</f>
        <v>132</v>
      </c>
      <c r="G7828" s="3"/>
      <c r="H7828" s="3"/>
    </row>
    <row r="7829" spans="1:8">
      <c r="A7829" s="3">
        <v>31300</v>
      </c>
      <c r="B7829" s="7" t="s">
        <v>97</v>
      </c>
      <c r="C7829" s="41">
        <v>2510</v>
      </c>
      <c r="D7829" s="6">
        <v>45827</v>
      </c>
      <c r="E7829" s="3" t="str">
        <f ca="1">IF(Tabela2[[#This Row],[Dt Venc:]]&gt;TODAY(),"Em Aberto",IF(Tabela2[[#This Row],[D/venc]]="-","Enviado",IF(Tabela2[[#This Row],[Dt Venc:]]=TODAY(),"Vence Hoje","Vencida")))</f>
        <v>Em Aberto</v>
      </c>
      <c r="F7829" s="3">
        <f ca="1">IF(G7829=1,"-",Tabela2[[#This Row],[Dt Venc:]]-TODAY())</f>
        <v>134</v>
      </c>
      <c r="G7829" s="3"/>
      <c r="H7829" s="3"/>
    </row>
    <row r="7830" spans="1:8">
      <c r="A7830" s="3">
        <v>381900</v>
      </c>
      <c r="B7830" s="7" t="s">
        <v>567</v>
      </c>
      <c r="C7830" s="41">
        <v>558.02</v>
      </c>
      <c r="D7830" s="6">
        <v>45827</v>
      </c>
      <c r="E7830" s="3" t="str">
        <f ca="1">IF(Tabela2[[#This Row],[Dt Venc:]]&gt;TODAY(),"Em Aberto",IF(Tabela2[[#This Row],[D/venc]]="-","Enviado",IF(Tabela2[[#This Row],[Dt Venc:]]=TODAY(),"Vence Hoje","Vencida")))</f>
        <v>Em Aberto</v>
      </c>
      <c r="F7830" s="3">
        <f ca="1">IF(G7830=1,"-",Tabela2[[#This Row],[Dt Venc:]]-TODAY())</f>
        <v>134</v>
      </c>
      <c r="G7830" s="3"/>
      <c r="H7830" s="3"/>
    </row>
    <row r="7831" spans="1:8">
      <c r="A7831" s="3">
        <v>4843</v>
      </c>
      <c r="B7831" s="7" t="s">
        <v>307</v>
      </c>
      <c r="C7831" s="42">
        <v>9150</v>
      </c>
      <c r="D7831" s="6">
        <v>45828</v>
      </c>
      <c r="E7831" s="3" t="str">
        <f ca="1">IF(Tabela2[[#This Row],[Dt Venc:]]&gt;TODAY(),"Em Aberto",IF(Tabela2[[#This Row],[D/venc]]="-","Enviado",IF(Tabela2[[#This Row],[Dt Venc:]]=TODAY(),"Vence Hoje","Vencida")))</f>
        <v>Em Aberto</v>
      </c>
      <c r="F7831" s="3">
        <f ca="1">IF(G7831=1,"-",Tabela2[[#This Row],[Dt Venc:]]-TODAY())</f>
        <v>135</v>
      </c>
      <c r="G7831" s="3"/>
      <c r="H7831" s="3"/>
    </row>
    <row r="7832" spans="1:8">
      <c r="A7832" s="3">
        <v>31063</v>
      </c>
      <c r="B7832" s="7" t="s">
        <v>97</v>
      </c>
      <c r="C7832" s="41">
        <v>2395</v>
      </c>
      <c r="D7832" s="6">
        <v>45830</v>
      </c>
      <c r="E7832" s="3" t="str">
        <f ca="1">IF(Tabela2[[#This Row],[Dt Venc:]]&gt;TODAY(),"Em Aberto",IF(Tabela2[[#This Row],[D/venc]]="-","Enviado",IF(Tabela2[[#This Row],[Dt Venc:]]=TODAY(),"Vence Hoje","Vencida")))</f>
        <v>Em Aberto</v>
      </c>
      <c r="F7832" s="3">
        <f ca="1">IF(G7832=1,"-",Tabela2[[#This Row],[Dt Venc:]]-TODAY())</f>
        <v>137</v>
      </c>
      <c r="G7832" s="3"/>
      <c r="H7832" s="3"/>
    </row>
    <row r="7833" spans="1:8">
      <c r="A7833" s="3">
        <v>31397</v>
      </c>
      <c r="B7833" s="7" t="s">
        <v>97</v>
      </c>
      <c r="C7833" s="41">
        <v>1710</v>
      </c>
      <c r="D7833" s="6">
        <v>45830</v>
      </c>
      <c r="E7833" s="3" t="str">
        <f ca="1">IF(Tabela2[[#This Row],[Dt Venc:]]&gt;TODAY(),"Em Aberto",IF(Tabela2[[#This Row],[D/venc]]="-","Enviado",IF(Tabela2[[#This Row],[Dt Venc:]]=TODAY(),"Vence Hoje","Vencida")))</f>
        <v>Em Aberto</v>
      </c>
      <c r="F7833" s="3">
        <f ca="1">IF(G7833=1,"-",Tabela2[[#This Row],[Dt Venc:]]-TODAY())</f>
        <v>137</v>
      </c>
      <c r="G7833" s="3"/>
      <c r="H7833" s="3"/>
    </row>
    <row r="7834" spans="1:8">
      <c r="A7834" s="3">
        <v>37348</v>
      </c>
      <c r="B7834" s="7" t="s">
        <v>167</v>
      </c>
      <c r="C7834" s="99" t="s">
        <v>32</v>
      </c>
      <c r="D7834" s="6">
        <v>45830</v>
      </c>
      <c r="E7834" s="3" t="str">
        <f ca="1">IF(Tabela2[[#This Row],[Dt Venc:]]&gt;TODAY(),"Em Aberto",IF(Tabela2[[#This Row],[D/venc]]="-","Enviado",IF(Tabela2[[#This Row],[Dt Venc:]]=TODAY(),"Vence Hoje","Vencida")))</f>
        <v>Em Aberto</v>
      </c>
      <c r="F7834" s="3">
        <f ca="1">IF(G7834=1,"-",Tabela2[[#This Row],[Dt Venc:]]-TODAY())</f>
        <v>137</v>
      </c>
      <c r="G7834" s="3"/>
      <c r="H7834" s="3"/>
    </row>
    <row r="7835" spans="1:8">
      <c r="A7835" s="3" t="s">
        <v>110</v>
      </c>
      <c r="B7835" s="7" t="s">
        <v>337</v>
      </c>
      <c r="C7835" s="42" t="s">
        <v>32</v>
      </c>
      <c r="D7835" s="6">
        <v>45831</v>
      </c>
      <c r="E7835" s="3" t="str">
        <f ca="1">IF(Tabela2[[#This Row],[Dt Venc:]]&gt;TODAY(),"Em Aberto",IF(Tabela2[[#This Row],[D/venc]]="-","Enviado",IF(Tabela2[[#This Row],[Dt Venc:]]=TODAY(),"Vence Hoje","Vencida")))</f>
        <v>Em Aberto</v>
      </c>
      <c r="F7835" s="3">
        <f ca="1">IF(G7835=1,"-",Tabela2[[#This Row],[Dt Venc:]]-TODAY())</f>
        <v>138</v>
      </c>
      <c r="G7835" s="3"/>
      <c r="H7835" s="3"/>
    </row>
    <row r="7836" spans="1:8">
      <c r="A7836" s="3">
        <v>654537</v>
      </c>
      <c r="B7836" s="7" t="s">
        <v>648</v>
      </c>
      <c r="C7836" s="87" t="s">
        <v>32</v>
      </c>
      <c r="D7836" s="6">
        <v>45831</v>
      </c>
      <c r="E7836" s="3" t="str">
        <f ca="1">IF(Tabela2[[#This Row],[Dt Venc:]]&gt;TODAY(),"Em Aberto",IF(Tabela2[[#This Row],[D/venc]]="-","Enviado",IF(Tabela2[[#This Row],[Dt Venc:]]=TODAY(),"Vence Hoje","Vencida")))</f>
        <v>Em Aberto</v>
      </c>
      <c r="F7836" s="3">
        <f ca="1">IF(G7836=1,"-",Tabela2[[#This Row],[Dt Venc:]]-TODAY())</f>
        <v>138</v>
      </c>
      <c r="G7836" s="3"/>
      <c r="H7836" s="3"/>
    </row>
    <row r="7837" spans="1:8">
      <c r="A7837" s="3">
        <v>31301</v>
      </c>
      <c r="B7837" s="7" t="s">
        <v>97</v>
      </c>
      <c r="C7837" s="41">
        <v>1825</v>
      </c>
      <c r="D7837" s="6">
        <v>45832</v>
      </c>
      <c r="E7837" s="3" t="str">
        <f ca="1">IF(Tabela2[[#This Row],[Dt Venc:]]&gt;TODAY(),"Em Aberto",IF(Tabela2[[#This Row],[D/venc]]="-","Enviado",IF(Tabela2[[#This Row],[Dt Venc:]]=TODAY(),"Vence Hoje","Vencida")))</f>
        <v>Em Aberto</v>
      </c>
      <c r="F7837" s="3">
        <f ca="1">IF(G7837=1,"-",Tabela2[[#This Row],[Dt Venc:]]-TODAY())</f>
        <v>139</v>
      </c>
      <c r="G7837" s="3"/>
      <c r="H7837" s="3"/>
    </row>
    <row r="7838" spans="1:8">
      <c r="A7838" s="3">
        <v>495914</v>
      </c>
      <c r="B7838" s="7" t="s">
        <v>153</v>
      </c>
      <c r="C7838" s="99" t="s">
        <v>32</v>
      </c>
      <c r="D7838" s="6">
        <v>45833</v>
      </c>
      <c r="E7838" s="3" t="str">
        <f ca="1">IF(Tabela2[[#This Row],[Dt Venc:]]&gt;TODAY(),"Em Aberto",IF(Tabela2[[#This Row],[D/venc]]="-","Enviado",IF(Tabela2[[#This Row],[Dt Venc:]]=TODAY(),"Vence Hoje","Vencida")))</f>
        <v>Em Aberto</v>
      </c>
      <c r="F7838" s="3">
        <f ca="1">IF(G7838=1,"-",Tabela2[[#This Row],[Dt Venc:]]-TODAY())</f>
        <v>140</v>
      </c>
      <c r="G7838" s="3"/>
      <c r="H7838" s="3"/>
    </row>
    <row r="7839" spans="1:8">
      <c r="A7839" s="3">
        <v>5690</v>
      </c>
      <c r="B7839" s="7" t="s">
        <v>122</v>
      </c>
      <c r="C7839" s="99" t="s">
        <v>32</v>
      </c>
      <c r="D7839" s="6">
        <v>45835</v>
      </c>
      <c r="E7839" s="3" t="str">
        <f ca="1">IF(Tabela2[[#This Row],[Dt Venc:]]&gt;TODAY(),"Em Aberto",IF(Tabela2[[#This Row],[D/venc]]="-","Enviado",IF(Tabela2[[#This Row],[Dt Venc:]]=TODAY(),"Vence Hoje","Vencida")))</f>
        <v>Em Aberto</v>
      </c>
      <c r="F7839" s="3">
        <f ca="1">IF(G7839=1,"-",Tabela2[[#This Row],[Dt Venc:]]-TODAY())</f>
        <v>142</v>
      </c>
      <c r="G7839" s="3"/>
      <c r="H7839" s="3"/>
    </row>
    <row r="7840" spans="1:8">
      <c r="A7840" s="3">
        <v>31398</v>
      </c>
      <c r="B7840" s="7" t="s">
        <v>97</v>
      </c>
      <c r="C7840" s="41">
        <v>2055</v>
      </c>
      <c r="D7840" s="6">
        <v>45836</v>
      </c>
      <c r="E7840" s="3" t="str">
        <f ca="1">IF(Tabela2[[#This Row],[Dt Venc:]]&gt;TODAY(),"Em Aberto",IF(Tabela2[[#This Row],[D/venc]]="-","Enviado",IF(Tabela2[[#This Row],[Dt Venc:]]=TODAY(),"Vence Hoje","Vencida")))</f>
        <v>Em Aberto</v>
      </c>
      <c r="F7840" s="3">
        <f ca="1">IF(G7840=1,"-",Tabela2[[#This Row],[Dt Venc:]]-TODAY())</f>
        <v>143</v>
      </c>
      <c r="G7840" s="3"/>
      <c r="H7840" s="3"/>
    </row>
    <row r="7841" spans="1:8">
      <c r="A7841" s="3" t="s">
        <v>110</v>
      </c>
      <c r="B7841" s="7" t="s">
        <v>373</v>
      </c>
      <c r="C7841" s="42" t="s">
        <v>32</v>
      </c>
      <c r="D7841" s="6">
        <v>45836</v>
      </c>
      <c r="E7841" s="3" t="str">
        <f ca="1">IF(Tabela2[[#This Row],[Dt Venc:]]&gt;TODAY(),"Em Aberto",IF(Tabela2[[#This Row],[D/venc]]="-","Enviado",IF(Tabela2[[#This Row],[Dt Venc:]]=TODAY(),"Vence Hoje","Vencida")))</f>
        <v>Em Aberto</v>
      </c>
      <c r="F7841" s="3">
        <f ca="1">IF(G7841=1,"-",Tabela2[[#This Row],[Dt Venc:]]-TODAY())</f>
        <v>143</v>
      </c>
      <c r="G7841" s="3"/>
      <c r="H7841" s="3"/>
    </row>
    <row r="7842" spans="1:8">
      <c r="A7842" s="3">
        <v>382598</v>
      </c>
      <c r="B7842" s="7" t="s">
        <v>441</v>
      </c>
      <c r="C7842" s="41">
        <v>518.44000000000005</v>
      </c>
      <c r="D7842" s="6">
        <v>45836</v>
      </c>
      <c r="E7842" s="3" t="str">
        <f ca="1">IF(Tabela2[[#This Row],[Dt Venc:]]&gt;TODAY(),"Em Aberto",IF(Tabela2[[#This Row],[D/venc]]="-","Enviado",IF(Tabela2[[#This Row],[Dt Venc:]]=TODAY(),"Vence Hoje","Vencida")))</f>
        <v>Em Aberto</v>
      </c>
      <c r="F7842" s="3">
        <f ca="1">IF(G7842=1,"-",Tabela2[[#This Row],[Dt Venc:]]-TODAY())</f>
        <v>143</v>
      </c>
      <c r="G7842" s="3"/>
      <c r="H7842" s="3"/>
    </row>
    <row r="7843" spans="1:8">
      <c r="A7843" s="3">
        <v>912180</v>
      </c>
      <c r="B7843" s="7" t="s">
        <v>375</v>
      </c>
      <c r="C7843" s="99" t="s">
        <v>32</v>
      </c>
      <c r="D7843" s="6">
        <v>45837</v>
      </c>
      <c r="E7843" s="3" t="str">
        <f ca="1">IF(Tabela2[[#This Row],[Dt Venc:]]&gt;TODAY(),"Em Aberto",IF(Tabela2[[#This Row],[D/venc]]="-","Enviado",IF(Tabela2[[#This Row],[Dt Venc:]]=TODAY(),"Vence Hoje","Vencida")))</f>
        <v>Em Aberto</v>
      </c>
      <c r="F7843" s="3">
        <f ca="1">IF(G7843=1,"-",Tabela2[[#This Row],[Dt Venc:]]-TODAY())</f>
        <v>144</v>
      </c>
      <c r="G7843" s="3"/>
      <c r="H7843" s="3"/>
    </row>
    <row r="7844" spans="1:8">
      <c r="A7844" s="3">
        <v>31498</v>
      </c>
      <c r="B7844" s="7" t="s">
        <v>97</v>
      </c>
      <c r="C7844" s="41">
        <v>2395</v>
      </c>
      <c r="D7844" s="6">
        <v>45837</v>
      </c>
      <c r="E7844" s="3" t="str">
        <f ca="1">IF(Tabela2[[#This Row],[Dt Venc:]]&gt;TODAY(),"Em Aberto",IF(Tabela2[[#This Row],[D/venc]]="-","Enviado",IF(Tabela2[[#This Row],[Dt Venc:]]=TODAY(),"Vence Hoje","Vencida")))</f>
        <v>Em Aberto</v>
      </c>
      <c r="F7844" s="3">
        <f ca="1">IF(G7844=1,"-",Tabela2[[#This Row],[Dt Venc:]]-TODAY())</f>
        <v>144</v>
      </c>
      <c r="G7844" s="3"/>
      <c r="H7844" s="3"/>
    </row>
    <row r="7845" spans="1:8">
      <c r="A7845" s="3">
        <v>11681</v>
      </c>
      <c r="B7845" s="7" t="s">
        <v>82</v>
      </c>
      <c r="C7845" s="87" t="s">
        <v>30</v>
      </c>
      <c r="D7845" s="6">
        <v>45838</v>
      </c>
      <c r="E7845" s="3" t="str">
        <f ca="1">IF(Tabela2[[#This Row],[Dt Venc:]]&gt;TODAY(),"Em Aberto",IF(Tabela2[[#This Row],[D/venc]]="-","Enviado",IF(Tabela2[[#This Row],[Dt Venc:]]=TODAY(),"Vence Hoje","Vencida")))</f>
        <v>Em Aberto</v>
      </c>
      <c r="F7845" s="3">
        <f ca="1">IF(G7845=1,"-",Tabela2[[#This Row],[Dt Venc:]]-TODAY())</f>
        <v>145</v>
      </c>
      <c r="G7845" s="3"/>
      <c r="H7845" s="3"/>
    </row>
    <row r="7846" spans="1:8">
      <c r="A7846" s="3" t="s">
        <v>28</v>
      </c>
      <c r="B7846" s="7" t="s">
        <v>391</v>
      </c>
      <c r="C7846" s="85" t="s">
        <v>30</v>
      </c>
      <c r="D7846" s="6">
        <v>45838</v>
      </c>
      <c r="E7846" s="3" t="str">
        <f ca="1">IF(Tabela2[[#This Row],[Dt Venc:]]&gt;TODAY(),"Em Aberto",IF(Tabela2[[#This Row],[D/venc]]="-","Enviado",IF(Tabela2[[#This Row],[Dt Venc:]]=TODAY(),"Vence Hoje","Vencida")))</f>
        <v>Em Aberto</v>
      </c>
      <c r="F7846" s="3">
        <f ca="1">IF(G7846=1,"-",Tabela2[[#This Row],[Dt Venc:]]-TODAY())</f>
        <v>145</v>
      </c>
      <c r="G7846" s="3"/>
      <c r="H7846" s="3"/>
    </row>
    <row r="7847" spans="1:8">
      <c r="A7847" s="3" t="s">
        <v>123</v>
      </c>
      <c r="B7847" s="7" t="s">
        <v>386</v>
      </c>
      <c r="C7847" s="87" t="s">
        <v>32</v>
      </c>
      <c r="D7847" s="6">
        <v>45838</v>
      </c>
      <c r="E7847" s="3" t="str">
        <f ca="1">IF(Tabela2[[#This Row],[Dt Venc:]]&gt;TODAY(),"Em Aberto",IF(Tabela2[[#This Row],[D/venc]]="-","Enviado",IF(Tabela2[[#This Row],[Dt Venc:]]=TODAY(),"Vence Hoje","Vencida")))</f>
        <v>Em Aberto</v>
      </c>
      <c r="F7847" s="3">
        <f ca="1">IF(G7847=1,"-",Tabela2[[#This Row],[Dt Venc:]]-TODAY())</f>
        <v>145</v>
      </c>
      <c r="G7847" s="3"/>
      <c r="H7847" s="3"/>
    </row>
    <row r="7848" spans="1:8">
      <c r="A7848" s="3">
        <v>36910</v>
      </c>
      <c r="B7848" s="7" t="s">
        <v>167</v>
      </c>
      <c r="C7848" s="100" t="s">
        <v>32</v>
      </c>
      <c r="D7848" s="6">
        <v>45839</v>
      </c>
      <c r="E7848" s="3" t="str">
        <f ca="1">IF(Tabela2[[#This Row],[Dt Venc:]]&gt;TODAY(),"Em Aberto",IF(Tabela2[[#This Row],[D/venc]]="-","Enviado",IF(Tabela2[[#This Row],[Dt Venc:]]=TODAY(),"Vence Hoje","Vencida")))</f>
        <v>Em Aberto</v>
      </c>
      <c r="F7848" s="3">
        <f ca="1">IF(G7848=1,"-",Tabela2[[#This Row],[Dt Venc:]]-TODAY())</f>
        <v>146</v>
      </c>
      <c r="G7848" s="3"/>
      <c r="H7848" s="3"/>
    </row>
    <row r="7849" spans="1:8">
      <c r="A7849" s="3" t="s">
        <v>28</v>
      </c>
      <c r="B7849" s="7" t="s">
        <v>29</v>
      </c>
      <c r="C7849" s="87" t="s">
        <v>393</v>
      </c>
      <c r="D7849" s="6">
        <v>45839</v>
      </c>
      <c r="E7849" s="3" t="str">
        <f ca="1">IF(Tabela2[[#This Row],[Dt Venc:]]&gt;TODAY(),"Em Aberto",IF(Tabela2[[#This Row],[D/venc]]="-","Enviado",IF(Tabela2[[#This Row],[Dt Venc:]]=TODAY(),"Vence Hoje","Vencida")))</f>
        <v>Em Aberto</v>
      </c>
      <c r="F7849" s="3">
        <f ca="1">IF(G7849=1,"-",Tabela2[[#This Row],[Dt Venc:]]-TODAY())</f>
        <v>146</v>
      </c>
      <c r="G7849" s="3"/>
      <c r="H7849" s="3"/>
    </row>
    <row r="7850" spans="1:8">
      <c r="A7850" s="3" t="s">
        <v>110</v>
      </c>
      <c r="B7850" s="7" t="s">
        <v>395</v>
      </c>
      <c r="C7850" s="42" t="s">
        <v>32</v>
      </c>
      <c r="D7850" s="6">
        <v>45839</v>
      </c>
      <c r="E7850" s="3" t="str">
        <f ca="1">IF(Tabela2[[#This Row],[Dt Venc:]]&gt;TODAY(),"Em Aberto",IF(Tabela2[[#This Row],[D/venc]]="-","Enviado",IF(Tabela2[[#This Row],[Dt Venc:]]=TODAY(),"Vence Hoje","Vencida")))</f>
        <v>Em Aberto</v>
      </c>
      <c r="F7850" s="3">
        <f ca="1">IF(G7850=1,"-",Tabela2[[#This Row],[Dt Venc:]]-TODAY())</f>
        <v>146</v>
      </c>
      <c r="G7850" s="3"/>
      <c r="H7850" s="3"/>
    </row>
    <row r="7851" spans="1:8">
      <c r="A7851" s="3">
        <v>31134</v>
      </c>
      <c r="B7851" s="7" t="s">
        <v>97</v>
      </c>
      <c r="C7851" s="41">
        <v>2285</v>
      </c>
      <c r="D7851" s="6">
        <v>45840</v>
      </c>
      <c r="E7851" s="3" t="str">
        <f ca="1">IF(Tabela2[[#This Row],[Dt Venc:]]&gt;TODAY(),"Em Aberto",IF(Tabela2[[#This Row],[D/venc]]="-","Enviado",IF(Tabela2[[#This Row],[Dt Venc:]]=TODAY(),"Vence Hoje","Vencida")))</f>
        <v>Em Aberto</v>
      </c>
      <c r="F7851" s="3">
        <f ca="1">IF(G7851=1,"-",Tabela2[[#This Row],[Dt Venc:]]-TODAY())</f>
        <v>147</v>
      </c>
      <c r="G7851" s="3"/>
      <c r="H7851" s="3"/>
    </row>
    <row r="7852" spans="1:8">
      <c r="A7852" s="3">
        <v>818909</v>
      </c>
      <c r="B7852" s="7" t="s">
        <v>81</v>
      </c>
      <c r="C7852" s="87" t="s">
        <v>32</v>
      </c>
      <c r="D7852" s="6">
        <v>45840</v>
      </c>
      <c r="E7852" s="3" t="str">
        <f ca="1">IF(Tabela2[[#This Row],[Dt Venc:]]&gt;TODAY(),"Em Aberto",IF(Tabela2[[#This Row],[D/venc]]="-","Enviado",IF(Tabela2[[#This Row],[Dt Venc:]]=TODAY(),"Vence Hoje","Vencida")))</f>
        <v>Em Aberto</v>
      </c>
      <c r="F7852" s="3">
        <f ca="1">IF(G7852=1,"-",Tabela2[[#This Row],[Dt Venc:]]-TODAY())</f>
        <v>147</v>
      </c>
      <c r="G7852" s="3"/>
      <c r="H7852" s="3"/>
    </row>
    <row r="7853" spans="1:8">
      <c r="A7853" s="3">
        <v>10494</v>
      </c>
      <c r="B7853" s="7" t="s">
        <v>82</v>
      </c>
      <c r="C7853" s="86" t="s">
        <v>30</v>
      </c>
      <c r="D7853" s="6">
        <v>45841</v>
      </c>
      <c r="E7853" s="3" t="str">
        <f ca="1">IF(Tabela2[[#This Row],[Dt Venc:]]&gt;TODAY(),"Em Aberto",IF(Tabela2[[#This Row],[D/venc]]="-","Enviado",IF(Tabela2[[#This Row],[Dt Venc:]]=TODAY(),"Vence Hoje","Vencida")))</f>
        <v>Em Aberto</v>
      </c>
      <c r="F7853" s="3">
        <f ca="1">IF(G7853=1,"-",Tabela2[[#This Row],[Dt Venc:]]-TODAY())</f>
        <v>148</v>
      </c>
      <c r="G7853" s="3"/>
      <c r="H7853" s="3"/>
    </row>
    <row r="7854" spans="1:8">
      <c r="A7854" s="3">
        <v>31399</v>
      </c>
      <c r="B7854" s="7" t="s">
        <v>97</v>
      </c>
      <c r="C7854" s="41">
        <v>1825</v>
      </c>
      <c r="D7854" s="6">
        <v>45842</v>
      </c>
      <c r="E7854" s="3" t="str">
        <f ca="1">IF(Tabela2[[#This Row],[Dt Venc:]]&gt;TODAY(),"Em Aberto",IF(Tabela2[[#This Row],[D/venc]]="-","Enviado",IF(Tabela2[[#This Row],[Dt Venc:]]=TODAY(),"Vence Hoje","Vencida")))</f>
        <v>Em Aberto</v>
      </c>
      <c r="F7854" s="3">
        <f ca="1">IF(G7854=1,"-",Tabela2[[#This Row],[Dt Venc:]]-TODAY())</f>
        <v>149</v>
      </c>
      <c r="G7854" s="3"/>
      <c r="H7854" s="3"/>
    </row>
    <row r="7855" spans="1:8">
      <c r="A7855" s="3">
        <v>31500</v>
      </c>
      <c r="B7855" s="7" t="s">
        <v>97</v>
      </c>
      <c r="C7855" s="41">
        <v>2170</v>
      </c>
      <c r="D7855" s="6">
        <v>45842</v>
      </c>
      <c r="E7855" s="3" t="str">
        <f ca="1">IF(Tabela2[[#This Row],[Dt Venc:]]&gt;TODAY(),"Em Aberto",IF(Tabela2[[#This Row],[D/venc]]="-","Enviado",IF(Tabela2[[#This Row],[Dt Venc:]]=TODAY(),"Vence Hoje","Vencida")))</f>
        <v>Em Aberto</v>
      </c>
      <c r="F7855" s="3">
        <f ca="1">IF(G7855=1,"-",Tabela2[[#This Row],[Dt Venc:]]-TODAY())</f>
        <v>149</v>
      </c>
      <c r="G7855" s="3"/>
      <c r="H7855" s="3"/>
    </row>
    <row r="7856" spans="1:8">
      <c r="A7856" s="3">
        <v>5680</v>
      </c>
      <c r="B7856" s="7" t="s">
        <v>122</v>
      </c>
      <c r="C7856" s="99" t="s">
        <v>32</v>
      </c>
      <c r="D7856" s="6">
        <v>45843</v>
      </c>
      <c r="E7856" s="3" t="str">
        <f ca="1">IF(Tabela2[[#This Row],[Dt Venc:]]&gt;TODAY(),"Em Aberto",IF(Tabela2[[#This Row],[D/venc]]="-","Enviado",IF(Tabela2[[#This Row],[Dt Venc:]]=TODAY(),"Vence Hoje","Vencida")))</f>
        <v>Em Aberto</v>
      </c>
      <c r="F7856" s="3">
        <f ca="1">IF(G7856=1,"-",Tabela2[[#This Row],[Dt Venc:]]-TODAY())</f>
        <v>150</v>
      </c>
      <c r="G7856" s="3"/>
      <c r="H7856" s="3"/>
    </row>
    <row r="7857" spans="1:8">
      <c r="A7857" s="3">
        <v>10353</v>
      </c>
      <c r="B7857" s="7" t="s">
        <v>82</v>
      </c>
      <c r="C7857" s="99" t="s">
        <v>32</v>
      </c>
      <c r="D7857" s="6">
        <v>45843</v>
      </c>
      <c r="E7857" s="3" t="str">
        <f ca="1">IF(Tabela2[[#This Row],[Dt Venc:]]&gt;TODAY(),"Em Aberto",IF(Tabela2[[#This Row],[D/venc]]="-","Enviado",IF(Tabela2[[#This Row],[Dt Venc:]]=TODAY(),"Vence Hoje","Vencida")))</f>
        <v>Em Aberto</v>
      </c>
      <c r="F7857" s="3">
        <f ca="1">IF(G7857=1,"-",Tabela2[[#This Row],[Dt Venc:]]-TODAY())</f>
        <v>150</v>
      </c>
      <c r="G7857" s="3"/>
      <c r="H7857" s="3"/>
    </row>
    <row r="7858" spans="1:8">
      <c r="A7858" s="3" t="s">
        <v>123</v>
      </c>
      <c r="B7858" s="7" t="s">
        <v>503</v>
      </c>
      <c r="C7858" s="87" t="s">
        <v>32</v>
      </c>
      <c r="D7858" s="6">
        <v>45843</v>
      </c>
      <c r="E7858" s="3" t="str">
        <f ca="1">IF(Tabela2[[#This Row],[Dt Venc:]]&gt;TODAY(),"Em Aberto",IF(Tabela2[[#This Row],[D/venc]]="-","Enviado",IF(Tabela2[[#This Row],[Dt Venc:]]=TODAY(),"Vence Hoje","Vencida")))</f>
        <v>Em Aberto</v>
      </c>
      <c r="F7858" s="3">
        <f ca="1">IF(G7858=1,"-",Tabela2[[#This Row],[Dt Venc:]]-TODAY())</f>
        <v>150</v>
      </c>
      <c r="G7858" s="3"/>
      <c r="H7858" s="3"/>
    </row>
    <row r="7859" spans="1:8">
      <c r="A7859" s="3">
        <v>376178</v>
      </c>
      <c r="B7859" s="7" t="s">
        <v>39</v>
      </c>
      <c r="C7859" s="41">
        <v>3644.71</v>
      </c>
      <c r="D7859" s="6">
        <v>45845</v>
      </c>
      <c r="E7859" s="3" t="str">
        <f ca="1">IF(Tabela2[[#This Row],[Dt Venc:]]&gt;TODAY(),"Em Aberto",IF(Tabela2[[#This Row],[D/venc]]="-","Enviado",IF(Tabela2[[#This Row],[Dt Venc:]]=TODAY(),"Vence Hoje","Vencida")))</f>
        <v>Em Aberto</v>
      </c>
      <c r="F7859" s="3">
        <f ca="1">IF(G7859=1,"-",Tabela2[[#This Row],[Dt Venc:]]-TODAY())</f>
        <v>152</v>
      </c>
      <c r="G7859" s="3"/>
      <c r="H7859" s="3"/>
    </row>
    <row r="7860" spans="1:8">
      <c r="A7860" s="3">
        <v>376202</v>
      </c>
      <c r="B7860" s="7" t="s">
        <v>39</v>
      </c>
      <c r="C7860" s="41">
        <v>3094.69</v>
      </c>
      <c r="D7860" s="6">
        <v>45845</v>
      </c>
      <c r="E7860" s="3" t="str">
        <f ca="1">IF(Tabela2[[#This Row],[Dt Venc:]]&gt;TODAY(),"Em Aberto",IF(Tabela2[[#This Row],[D/venc]]="-","Enviado",IF(Tabela2[[#This Row],[Dt Venc:]]=TODAY(),"Vence Hoje","Vencida")))</f>
        <v>Em Aberto</v>
      </c>
      <c r="F7860" s="3">
        <f ca="1">IF(G7860=1,"-",Tabela2[[#This Row],[Dt Venc:]]-TODAY())</f>
        <v>152</v>
      </c>
      <c r="G7860" s="3"/>
      <c r="H7860" s="3"/>
    </row>
    <row r="7861" spans="1:8">
      <c r="A7861" s="3">
        <v>1</v>
      </c>
      <c r="B7861" s="7" t="s">
        <v>165</v>
      </c>
      <c r="C7861" s="85" t="s">
        <v>32</v>
      </c>
      <c r="D7861" s="6">
        <v>45846</v>
      </c>
      <c r="E7861" s="3" t="str">
        <f ca="1">IF(Tabela2[[#This Row],[Dt Venc:]]&gt;TODAY(),"Em Aberto",IF(Tabela2[[#This Row],[D/venc]]="-","Enviado",IF(Tabela2[[#This Row],[Dt Venc:]]=TODAY(),"Vence Hoje","Vencida")))</f>
        <v>Em Aberto</v>
      </c>
      <c r="F7861" s="3">
        <f ca="1">IF(G7861=1,"-",Tabela2[[#This Row],[Dt Venc:]]-TODAY())</f>
        <v>153</v>
      </c>
      <c r="G7861" s="3"/>
      <c r="H7861" s="3"/>
    </row>
    <row r="7862" spans="1:8">
      <c r="A7862" s="3">
        <v>284620</v>
      </c>
      <c r="B7862" s="7" t="s">
        <v>153</v>
      </c>
      <c r="C7862" s="99" t="s">
        <v>32</v>
      </c>
      <c r="D7862" s="6">
        <v>45846</v>
      </c>
      <c r="E7862" s="3" t="str">
        <f ca="1">IF(Tabela2[[#This Row],[Dt Venc:]]&gt;TODAY(),"Em Aberto",IF(Tabela2[[#This Row],[D/venc]]="-","Enviado",IF(Tabela2[[#This Row],[Dt Venc:]]=TODAY(),"Vence Hoje","Vencida")))</f>
        <v>Em Aberto</v>
      </c>
      <c r="F7862" s="3">
        <f ca="1">IF(G7862=1,"-",Tabela2[[#This Row],[Dt Venc:]]-TODAY())</f>
        <v>153</v>
      </c>
      <c r="G7862" s="3"/>
      <c r="H7862" s="3"/>
    </row>
    <row r="7863" spans="1:8">
      <c r="A7863" s="3">
        <v>31249</v>
      </c>
      <c r="B7863" s="7" t="s">
        <v>97</v>
      </c>
      <c r="C7863" s="41">
        <v>2170</v>
      </c>
      <c r="D7863" s="6">
        <v>45847</v>
      </c>
      <c r="E7863" s="3" t="str">
        <f ca="1">IF(Tabela2[[#This Row],[Dt Venc:]]&gt;TODAY(),"Em Aberto",IF(Tabela2[[#This Row],[D/venc]]="-","Enviado",IF(Tabela2[[#This Row],[Dt Venc:]]=TODAY(),"Vence Hoje","Vencida")))</f>
        <v>Em Aberto</v>
      </c>
      <c r="F7863" s="3">
        <f ca="1">IF(G7863=1,"-",Tabela2[[#This Row],[Dt Venc:]]-TODAY())</f>
        <v>154</v>
      </c>
      <c r="G7863" s="3"/>
      <c r="H7863" s="3"/>
    </row>
    <row r="7864" spans="1:8">
      <c r="A7864" s="3">
        <v>36949</v>
      </c>
      <c r="B7864" s="7" t="s">
        <v>167</v>
      </c>
      <c r="C7864" s="99" t="s">
        <v>32</v>
      </c>
      <c r="D7864" s="6">
        <v>45847</v>
      </c>
      <c r="E7864" s="3" t="str">
        <f ca="1">IF(Tabela2[[#This Row],[Dt Venc:]]&gt;TODAY(),"Em Aberto",IF(Tabela2[[#This Row],[D/venc]]="-","Enviado",IF(Tabela2[[#This Row],[Dt Venc:]]=TODAY(),"Vence Hoje","Vencida")))</f>
        <v>Em Aberto</v>
      </c>
      <c r="F7864" s="3">
        <f ca="1">IF(G7864=1,"-",Tabela2[[#This Row],[Dt Venc:]]-TODAY())</f>
        <v>154</v>
      </c>
      <c r="G7864" s="3"/>
      <c r="H7864" s="3"/>
    </row>
    <row r="7865" spans="1:8">
      <c r="A7865" s="3">
        <v>756561</v>
      </c>
      <c r="B7865" s="7" t="s">
        <v>166</v>
      </c>
      <c r="C7865" s="99" t="s">
        <v>32</v>
      </c>
      <c r="D7865" s="6">
        <v>45847</v>
      </c>
      <c r="E7865" s="3" t="str">
        <f ca="1">IF(Tabela2[[#This Row],[Dt Venc:]]&gt;TODAY(),"Em Aberto",IF(Tabela2[[#This Row],[D/venc]]="-","Enviado",IF(Tabela2[[#This Row],[Dt Venc:]]=TODAY(),"Vence Hoje","Vencida")))</f>
        <v>Em Aberto</v>
      </c>
      <c r="F7865" s="3">
        <f ca="1">IF(G7865=1,"-",Tabela2[[#This Row],[Dt Venc:]]-TODAY())</f>
        <v>154</v>
      </c>
      <c r="G7865" s="3"/>
      <c r="H7865" s="3"/>
    </row>
    <row r="7866" spans="1:8">
      <c r="A7866" s="3" t="s">
        <v>179</v>
      </c>
      <c r="B7866" s="7" t="s">
        <v>180</v>
      </c>
      <c r="C7866" s="99" t="s">
        <v>32</v>
      </c>
      <c r="D7866" s="6">
        <v>45847</v>
      </c>
      <c r="E7866" s="3" t="str">
        <f ca="1">IF(Tabela2[[#This Row],[Dt Venc:]]&gt;TODAY(),"Em Aberto",IF(Tabela2[[#This Row],[D/venc]]="-","Enviado",IF(Tabela2[[#This Row],[Dt Venc:]]=TODAY(),"Vence Hoje","Vencida")))</f>
        <v>Em Aberto</v>
      </c>
      <c r="F7866" s="3">
        <f ca="1">IF(G7866=1,"-",Tabela2[[#This Row],[Dt Venc:]]-TODAY())</f>
        <v>154</v>
      </c>
      <c r="G7866" s="3"/>
      <c r="H7866" s="3"/>
    </row>
    <row r="7867" spans="1:8">
      <c r="A7867" s="3">
        <v>31501</v>
      </c>
      <c r="B7867" s="7" t="s">
        <v>97</v>
      </c>
      <c r="C7867" s="41">
        <v>1825</v>
      </c>
      <c r="D7867" s="6">
        <v>45847</v>
      </c>
      <c r="E7867" s="3" t="str">
        <f ca="1">IF(Tabela2[[#This Row],[Dt Venc:]]&gt;TODAY(),"Em Aberto",IF(Tabela2[[#This Row],[D/venc]]="-","Enviado",IF(Tabela2[[#This Row],[Dt Venc:]]=TODAY(),"Vence Hoje","Vencida")))</f>
        <v>Em Aberto</v>
      </c>
      <c r="F7867" s="3">
        <f ca="1">IF(G7867=1,"-",Tabela2[[#This Row],[Dt Venc:]]-TODAY())</f>
        <v>154</v>
      </c>
      <c r="G7867" s="3"/>
      <c r="H7867" s="3"/>
    </row>
    <row r="7868" spans="1:8">
      <c r="A7868" s="3" t="s">
        <v>110</v>
      </c>
      <c r="B7868" s="7" t="s">
        <v>183</v>
      </c>
      <c r="C7868" s="42" t="s">
        <v>32</v>
      </c>
      <c r="D7868" s="6">
        <v>45848</v>
      </c>
      <c r="E7868" s="3" t="str">
        <f ca="1">IF(Tabela2[[#This Row],[Dt Venc:]]&gt;TODAY(),"Em Aberto",IF(Tabela2[[#This Row],[D/venc]]="-","Enviado",IF(Tabela2[[#This Row],[Dt Venc:]]=TODAY(),"Vence Hoje","Vencida")))</f>
        <v>Em Aberto</v>
      </c>
      <c r="F7868" s="3">
        <f ca="1">IF(G7868=1,"-",Tabela2[[#This Row],[Dt Venc:]]-TODAY())</f>
        <v>155</v>
      </c>
      <c r="G7868" s="3"/>
      <c r="H7868" s="3"/>
    </row>
    <row r="7869" spans="1:8">
      <c r="A7869" s="3" t="s">
        <v>110</v>
      </c>
      <c r="B7869" s="7" t="s">
        <v>181</v>
      </c>
      <c r="C7869" s="42" t="s">
        <v>32</v>
      </c>
      <c r="D7869" s="6">
        <v>45848</v>
      </c>
      <c r="E7869" s="3" t="str">
        <f ca="1">IF(Tabela2[[#This Row],[Dt Venc:]]&gt;TODAY(),"Em Aberto",IF(Tabela2[[#This Row],[D/venc]]="-","Enviado",IF(Tabela2[[#This Row],[Dt Venc:]]=TODAY(),"Vence Hoje","Vencida")))</f>
        <v>Em Aberto</v>
      </c>
      <c r="F7869" s="3">
        <f ca="1">IF(G7869=1,"-",Tabela2[[#This Row],[Dt Venc:]]-TODAY())</f>
        <v>155</v>
      </c>
      <c r="G7869" s="3"/>
      <c r="H7869" s="3"/>
    </row>
    <row r="7870" spans="1:8">
      <c r="A7870" s="3">
        <v>31135</v>
      </c>
      <c r="B7870" s="7" t="s">
        <v>97</v>
      </c>
      <c r="C7870" s="41">
        <v>2055</v>
      </c>
      <c r="D7870" s="6">
        <v>45848</v>
      </c>
      <c r="E7870" s="3" t="str">
        <f ca="1">IF(Tabela2[[#This Row],[Dt Venc:]]&gt;TODAY(),"Em Aberto",IF(Tabela2[[#This Row],[D/venc]]="-","Enviado",IF(Tabela2[[#This Row],[Dt Venc:]]=TODAY(),"Vence Hoje","Vencida")))</f>
        <v>Em Aberto</v>
      </c>
      <c r="F7870" s="3">
        <f ca="1">IF(G7870=1,"-",Tabela2[[#This Row],[Dt Venc:]]-TODAY())</f>
        <v>155</v>
      </c>
      <c r="G7870" s="3"/>
      <c r="H7870" s="3"/>
    </row>
    <row r="7871" spans="1:8">
      <c r="A7871" s="3" t="s">
        <v>123</v>
      </c>
      <c r="B7871" s="7" t="s">
        <v>418</v>
      </c>
      <c r="C7871" s="42" t="s">
        <v>32</v>
      </c>
      <c r="D7871" s="6">
        <v>45848</v>
      </c>
      <c r="E7871" s="3" t="str">
        <f ca="1">IF(Tabela2[[#This Row],[Dt Venc:]]&gt;TODAY(),"Em Aberto",IF(Tabela2[[#This Row],[D/venc]]="-","Enviado",IF(Tabela2[[#This Row],[Dt Venc:]]=TODAY(),"Vence Hoje","Vencida")))</f>
        <v>Em Aberto</v>
      </c>
      <c r="F7871" s="3">
        <f ca="1">IF(G7871=1,"-",Tabela2[[#This Row],[Dt Venc:]]-TODAY())</f>
        <v>155</v>
      </c>
      <c r="G7871" s="3"/>
      <c r="H7871" s="3"/>
    </row>
    <row r="7872" spans="1:8">
      <c r="A7872" s="3" t="s">
        <v>123</v>
      </c>
      <c r="B7872" s="7" t="s">
        <v>201</v>
      </c>
      <c r="C7872" s="87" t="s">
        <v>32</v>
      </c>
      <c r="D7872" s="6">
        <v>45848</v>
      </c>
      <c r="E7872" s="3" t="str">
        <f ca="1">IF(Tabela2[[#This Row],[Dt Venc:]]&gt;TODAY(),"Em Aberto",IF(Tabela2[[#This Row],[D/venc]]="-","Enviado",IF(Tabela2[[#This Row],[Dt Venc:]]=TODAY(),"Vence Hoje","Vencida")))</f>
        <v>Em Aberto</v>
      </c>
      <c r="F7872" s="3">
        <f ca="1">IF(G7872=1,"-",Tabela2[[#This Row],[Dt Venc:]]-TODAY())</f>
        <v>155</v>
      </c>
      <c r="G7872" s="3"/>
      <c r="H7872" s="3"/>
    </row>
    <row r="7873" spans="1:8">
      <c r="A7873" s="3" t="s">
        <v>179</v>
      </c>
      <c r="B7873" s="7" t="s">
        <v>190</v>
      </c>
      <c r="C7873" s="99" t="s">
        <v>32</v>
      </c>
      <c r="D7873" s="6">
        <v>45848</v>
      </c>
      <c r="E7873" s="3" t="str">
        <f ca="1">IF(Tabela2[[#This Row],[Dt Venc:]]&gt;TODAY(),"Em Aberto",IF(Tabela2[[#This Row],[D/venc]]="-","Enviado",IF(Tabela2[[#This Row],[Dt Venc:]]=TODAY(),"Vence Hoje","Vencida")))</f>
        <v>Em Aberto</v>
      </c>
      <c r="F7873" s="3">
        <f ca="1">IF(G7873=1,"-",Tabela2[[#This Row],[Dt Venc:]]-TODAY())</f>
        <v>155</v>
      </c>
      <c r="G7873" s="3"/>
      <c r="H7873" s="3"/>
    </row>
    <row r="7874" spans="1:8">
      <c r="A7874" s="3">
        <v>37292</v>
      </c>
      <c r="B7874" s="7" t="s">
        <v>167</v>
      </c>
      <c r="C7874" s="99" t="s">
        <v>32</v>
      </c>
      <c r="D7874" s="6">
        <v>45849</v>
      </c>
      <c r="E7874" s="3" t="str">
        <f ca="1">IF(Tabela2[[#This Row],[Dt Venc:]]&gt;TODAY(),"Em Aberto",IF(Tabela2[[#This Row],[D/venc]]="-","Enviado",IF(Tabela2[[#This Row],[Dt Venc:]]=TODAY(),"Vence Hoje","Vencida")))</f>
        <v>Em Aberto</v>
      </c>
      <c r="F7874" s="3">
        <f ca="1">IF(G7874=1,"-",Tabela2[[#This Row],[Dt Venc:]]-TODAY())</f>
        <v>156</v>
      </c>
      <c r="G7874" s="3"/>
      <c r="H7874" s="3"/>
    </row>
    <row r="7875" spans="1:8">
      <c r="A7875" s="3">
        <v>37327</v>
      </c>
      <c r="B7875" s="7" t="s">
        <v>167</v>
      </c>
      <c r="C7875" s="99" t="s">
        <v>32</v>
      </c>
      <c r="D7875" s="6">
        <v>45849</v>
      </c>
      <c r="E7875" s="3" t="str">
        <f ca="1">IF(Tabela2[[#This Row],[Dt Venc:]]&gt;TODAY(),"Em Aberto",IF(Tabela2[[#This Row],[D/venc]]="-","Enviado",IF(Tabela2[[#This Row],[Dt Venc:]]=TODAY(),"Vence Hoje","Vencida")))</f>
        <v>Em Aberto</v>
      </c>
      <c r="F7875" s="3">
        <f ca="1">IF(G7875=1,"-",Tabela2[[#This Row],[Dt Venc:]]-TODAY())</f>
        <v>156</v>
      </c>
      <c r="G7875" s="3"/>
      <c r="H7875" s="3"/>
    </row>
    <row r="7876" spans="1:8">
      <c r="A7876" s="3" t="s">
        <v>110</v>
      </c>
      <c r="B7876" s="7" t="s">
        <v>205</v>
      </c>
      <c r="C7876" s="42" t="s">
        <v>32</v>
      </c>
      <c r="D7876" s="6">
        <v>45849</v>
      </c>
      <c r="E7876" s="3" t="str">
        <f ca="1">IF(Tabela2[[#This Row],[Dt Venc:]]&gt;TODAY(),"Em Aberto",IF(Tabela2[[#This Row],[D/venc]]="-","Enviado",IF(Tabela2[[#This Row],[Dt Venc:]]=TODAY(),"Vence Hoje","Vencida")))</f>
        <v>Em Aberto</v>
      </c>
      <c r="F7876" s="3">
        <f ca="1">IF(G7876=1,"-",Tabela2[[#This Row],[Dt Venc:]]-TODAY())</f>
        <v>156</v>
      </c>
      <c r="G7876" s="3"/>
      <c r="H7876" s="3"/>
    </row>
    <row r="7877" spans="1:8">
      <c r="A7877" s="3">
        <v>31298</v>
      </c>
      <c r="B7877" s="7" t="s">
        <v>97</v>
      </c>
      <c r="C7877" s="41">
        <v>2285</v>
      </c>
      <c r="D7877" s="6">
        <v>45852</v>
      </c>
      <c r="E7877" s="3" t="str">
        <f ca="1">IF(Tabela2[[#This Row],[Dt Venc:]]&gt;TODAY(),"Em Aberto",IF(Tabela2[[#This Row],[D/venc]]="-","Enviado",IF(Tabela2[[#This Row],[Dt Venc:]]=TODAY(),"Vence Hoje","Vencida")))</f>
        <v>Em Aberto</v>
      </c>
      <c r="F7877" s="3">
        <f ca="1">IF(G7877=1,"-",Tabela2[[#This Row],[Dt Venc:]]-TODAY())</f>
        <v>159</v>
      </c>
      <c r="G7877" s="3"/>
      <c r="H7877" s="3"/>
    </row>
    <row r="7878" spans="1:8">
      <c r="A7878" s="3">
        <v>111736</v>
      </c>
      <c r="B7878" s="7" t="s">
        <v>182</v>
      </c>
      <c r="C7878" s="87" t="s">
        <v>32</v>
      </c>
      <c r="D7878" s="6">
        <v>45852</v>
      </c>
      <c r="E7878" s="3" t="str">
        <f ca="1">IF(Tabela2[[#This Row],[Dt Venc:]]&gt;TODAY(),"Em Aberto",IF(Tabela2[[#This Row],[D/venc]]="-","Enviado",IF(Tabela2[[#This Row],[Dt Venc:]]=TODAY(),"Vence Hoje","Vencida")))</f>
        <v>Em Aberto</v>
      </c>
      <c r="F7878" s="3">
        <f ca="1">IF(G7878=1,"-",Tabela2[[#This Row],[Dt Venc:]]-TODAY())</f>
        <v>159</v>
      </c>
      <c r="G7878" s="3"/>
      <c r="H7878" s="3"/>
    </row>
    <row r="7879" spans="1:8">
      <c r="A7879" s="3">
        <v>381596</v>
      </c>
      <c r="B7879" s="7" t="s">
        <v>567</v>
      </c>
      <c r="C7879" s="41">
        <v>657.87</v>
      </c>
      <c r="D7879" s="6">
        <v>45852</v>
      </c>
      <c r="E7879" s="3" t="str">
        <f ca="1">IF(Tabela2[[#This Row],[Dt Venc:]]&gt;TODAY(),"Em Aberto",IF(Tabela2[[#This Row],[D/venc]]="-","Enviado",IF(Tabela2[[#This Row],[Dt Venc:]]=TODAY(),"Vence Hoje","Vencida")))</f>
        <v>Em Aberto</v>
      </c>
      <c r="F7879" s="3">
        <f ca="1">IF(G7879=1,"-",Tabela2[[#This Row],[Dt Venc:]]-TODAY())</f>
        <v>159</v>
      </c>
      <c r="G7879" s="3"/>
      <c r="H7879" s="3"/>
    </row>
    <row r="7880" spans="1:8">
      <c r="A7880" s="3">
        <v>562</v>
      </c>
      <c r="B7880" s="7" t="s">
        <v>251</v>
      </c>
      <c r="C7880" s="99" t="s">
        <v>32</v>
      </c>
      <c r="D7880" s="6">
        <v>45853</v>
      </c>
      <c r="E7880" s="3" t="str">
        <f ca="1">IF(Tabela2[[#This Row],[Dt Venc:]]&gt;TODAY(),"Em Aberto",IF(Tabela2[[#This Row],[D/venc]]="-","Enviado",IF(Tabela2[[#This Row],[Dt Venc:]]=TODAY(),"Vence Hoje","Vencida")))</f>
        <v>Em Aberto</v>
      </c>
      <c r="F7880" s="3">
        <f ca="1">IF(G7880=1,"-",Tabela2[[#This Row],[Dt Venc:]]-TODAY())</f>
        <v>160</v>
      </c>
      <c r="G7880" s="3"/>
      <c r="H7880" s="3"/>
    </row>
    <row r="7881" spans="1:8">
      <c r="A7881" s="3">
        <v>31136</v>
      </c>
      <c r="B7881" s="7" t="s">
        <v>97</v>
      </c>
      <c r="C7881" s="41">
        <v>1370</v>
      </c>
      <c r="D7881" s="6">
        <v>45853</v>
      </c>
      <c r="E7881" s="3" t="str">
        <f ca="1">IF(Tabela2[[#This Row],[Dt Venc:]]&gt;TODAY(),"Em Aberto",IF(Tabela2[[#This Row],[D/venc]]="-","Enviado",IF(Tabela2[[#This Row],[Dt Venc:]]=TODAY(),"Vence Hoje","Vencida")))</f>
        <v>Em Aberto</v>
      </c>
      <c r="F7881" s="3">
        <f ca="1">IF(G7881=1,"-",Tabela2[[#This Row],[Dt Venc:]]-TODAY())</f>
        <v>160</v>
      </c>
      <c r="G7881" s="3"/>
      <c r="H7881" s="3"/>
    </row>
    <row r="7882" spans="1:8">
      <c r="A7882" s="3">
        <v>31250</v>
      </c>
      <c r="B7882" s="7" t="s">
        <v>97</v>
      </c>
      <c r="C7882" s="41">
        <v>2170</v>
      </c>
      <c r="D7882" s="6">
        <v>45853</v>
      </c>
      <c r="E7882" s="3" t="str">
        <f ca="1">IF(Tabela2[[#This Row],[Dt Venc:]]&gt;TODAY(),"Em Aberto",IF(Tabela2[[#This Row],[D/venc]]="-","Enviado",IF(Tabela2[[#This Row],[Dt Venc:]]=TODAY(),"Vence Hoje","Vencida")))</f>
        <v>Em Aberto</v>
      </c>
      <c r="F7882" s="3">
        <f ca="1">IF(G7882=1,"-",Tabela2[[#This Row],[Dt Venc:]]-TODAY())</f>
        <v>160</v>
      </c>
      <c r="G7882" s="3"/>
      <c r="H7882" s="3"/>
    </row>
    <row r="7883" spans="1:8">
      <c r="A7883" s="3">
        <v>36846</v>
      </c>
      <c r="B7883" s="7" t="s">
        <v>167</v>
      </c>
      <c r="C7883" s="100" t="s">
        <v>32</v>
      </c>
      <c r="D7883" s="6">
        <v>45853</v>
      </c>
      <c r="E7883" s="3" t="str">
        <f ca="1">IF(Tabela2[[#This Row],[Dt Venc:]]&gt;TODAY(),"Em Aberto",IF(Tabela2[[#This Row],[D/venc]]="-","Enviado",IF(Tabela2[[#This Row],[Dt Venc:]]=TODAY(),"Vence Hoje","Vencida")))</f>
        <v>Em Aberto</v>
      </c>
      <c r="F7883" s="3">
        <f ca="1">IF(G7883=1,"-",Tabela2[[#This Row],[Dt Venc:]]-TODAY())</f>
        <v>160</v>
      </c>
      <c r="G7883" s="3"/>
      <c r="H7883" s="3"/>
    </row>
    <row r="7884" spans="1:8">
      <c r="A7884" s="3">
        <v>103015</v>
      </c>
      <c r="B7884" s="7" t="s">
        <v>252</v>
      </c>
      <c r="C7884" s="100" t="s">
        <v>32</v>
      </c>
      <c r="D7884" s="6">
        <v>45853</v>
      </c>
      <c r="E7884" s="3" t="str">
        <f ca="1">IF(Tabela2[[#This Row],[Dt Venc:]]&gt;TODAY(),"Em Aberto",IF(Tabela2[[#This Row],[D/venc]]="-","Enviado",IF(Tabela2[[#This Row],[Dt Venc:]]=TODAY(),"Vence Hoje","Vencida")))</f>
        <v>Em Aberto</v>
      </c>
      <c r="F7884" s="3">
        <f ca="1">IF(G7884=1,"-",Tabela2[[#This Row],[Dt Venc:]]-TODAY())</f>
        <v>160</v>
      </c>
      <c r="G7884" s="3"/>
      <c r="H7884" s="3"/>
    </row>
    <row r="7885" spans="1:8">
      <c r="A7885" s="3">
        <v>103077</v>
      </c>
      <c r="B7885" s="7" t="s">
        <v>252</v>
      </c>
      <c r="C7885" s="100" t="s">
        <v>32</v>
      </c>
      <c r="D7885" s="6">
        <v>45853</v>
      </c>
      <c r="E7885" s="3" t="str">
        <f ca="1">IF(Tabela2[[#This Row],[Dt Venc:]]&gt;TODAY(),"Em Aberto",IF(Tabela2[[#This Row],[D/venc]]="-","Enviado",IF(Tabela2[[#This Row],[Dt Venc:]]=TODAY(),"Vence Hoje","Vencida")))</f>
        <v>Em Aberto</v>
      </c>
      <c r="F7885" s="3">
        <f ca="1">IF(G7885=1,"-",Tabela2[[#This Row],[Dt Venc:]]-TODAY())</f>
        <v>160</v>
      </c>
      <c r="G7885" s="3"/>
      <c r="H7885" s="3"/>
    </row>
    <row r="7886" spans="1:8">
      <c r="A7886" s="3">
        <v>103153</v>
      </c>
      <c r="B7886" s="7" t="s">
        <v>252</v>
      </c>
      <c r="C7886" s="87" t="s">
        <v>32</v>
      </c>
      <c r="D7886" s="6">
        <v>45853</v>
      </c>
      <c r="E7886" s="3" t="str">
        <f ca="1">IF(Tabela2[[#This Row],[Dt Venc:]]&gt;TODAY(),"Em Aberto",IF(Tabela2[[#This Row],[D/venc]]="-","Enviado",IF(Tabela2[[#This Row],[Dt Venc:]]=TODAY(),"Vence Hoje","Vencida")))</f>
        <v>Em Aberto</v>
      </c>
      <c r="F7886" s="3">
        <f ca="1">IF(G7886=1,"-",Tabela2[[#This Row],[Dt Venc:]]-TODAY())</f>
        <v>160</v>
      </c>
      <c r="G7886" s="3"/>
      <c r="H7886" s="3"/>
    </row>
    <row r="7887" spans="1:8">
      <c r="A7887" s="3">
        <v>103154</v>
      </c>
      <c r="B7887" s="7" t="s">
        <v>252</v>
      </c>
      <c r="C7887" s="100" t="s">
        <v>32</v>
      </c>
      <c r="D7887" s="6">
        <v>45853</v>
      </c>
      <c r="E7887" s="3" t="str">
        <f ca="1">IF(Tabela2[[#This Row],[Dt Venc:]]&gt;TODAY(),"Em Aberto",IF(Tabela2[[#This Row],[D/venc]]="-","Enviado",IF(Tabela2[[#This Row],[Dt Venc:]]=TODAY(),"Vence Hoje","Vencida")))</f>
        <v>Em Aberto</v>
      </c>
      <c r="F7887" s="3">
        <f ca="1">IF(G7887=1,"-",Tabela2[[#This Row],[Dt Venc:]]-TODAY())</f>
        <v>160</v>
      </c>
      <c r="G7887" s="3"/>
      <c r="H7887" s="3"/>
    </row>
    <row r="7888" spans="1:8">
      <c r="A7888" s="3">
        <v>106007</v>
      </c>
      <c r="B7888" s="7" t="s">
        <v>252</v>
      </c>
      <c r="C7888" s="100" t="s">
        <v>32</v>
      </c>
      <c r="D7888" s="6">
        <v>45853</v>
      </c>
      <c r="E7888" s="3" t="str">
        <f ca="1">IF(Tabela2[[#This Row],[Dt Venc:]]&gt;TODAY(),"Em Aberto",IF(Tabela2[[#This Row],[D/venc]]="-","Enviado",IF(Tabela2[[#This Row],[Dt Venc:]]=TODAY(),"Vence Hoje","Vencida")))</f>
        <v>Em Aberto</v>
      </c>
      <c r="F7888" s="3">
        <f ca="1">IF(G7888=1,"-",Tabela2[[#This Row],[Dt Venc:]]-TODAY())</f>
        <v>160</v>
      </c>
      <c r="G7888" s="3"/>
      <c r="H7888" s="3"/>
    </row>
    <row r="7889" spans="1:8">
      <c r="A7889" s="3">
        <v>106043</v>
      </c>
      <c r="B7889" s="7" t="s">
        <v>252</v>
      </c>
      <c r="C7889" s="100" t="s">
        <v>32</v>
      </c>
      <c r="D7889" s="6">
        <v>45853</v>
      </c>
      <c r="E7889" s="3" t="str">
        <f ca="1">IF(Tabela2[[#This Row],[Dt Venc:]]&gt;TODAY(),"Em Aberto",IF(Tabela2[[#This Row],[D/venc]]="-","Enviado",IF(Tabela2[[#This Row],[Dt Venc:]]=TODAY(),"Vence Hoje","Vencida")))</f>
        <v>Em Aberto</v>
      </c>
      <c r="F7889" s="3">
        <f ca="1">IF(G7889=1,"-",Tabela2[[#This Row],[Dt Venc:]]-TODAY())</f>
        <v>160</v>
      </c>
      <c r="G7889" s="3"/>
      <c r="H7889" s="3"/>
    </row>
    <row r="7890" spans="1:8">
      <c r="A7890" s="3">
        <v>107829</v>
      </c>
      <c r="B7890" s="7" t="s">
        <v>252</v>
      </c>
      <c r="C7890" s="100" t="s">
        <v>32</v>
      </c>
      <c r="D7890" s="6">
        <v>45853</v>
      </c>
      <c r="E7890" s="3" t="str">
        <f ca="1">IF(Tabela2[[#This Row],[Dt Venc:]]&gt;TODAY(),"Em Aberto",IF(Tabela2[[#This Row],[D/venc]]="-","Enviado",IF(Tabela2[[#This Row],[Dt Venc:]]=TODAY(),"Vence Hoje","Vencida")))</f>
        <v>Em Aberto</v>
      </c>
      <c r="F7890" s="3">
        <f ca="1">IF(G7890=1,"-",Tabela2[[#This Row],[Dt Venc:]]-TODAY())</f>
        <v>160</v>
      </c>
      <c r="G7890" s="3"/>
      <c r="H7890" s="3"/>
    </row>
    <row r="7891" spans="1:8">
      <c r="A7891" s="3">
        <v>107830</v>
      </c>
      <c r="B7891" s="7" t="s">
        <v>252</v>
      </c>
      <c r="C7891" s="87" t="s">
        <v>32</v>
      </c>
      <c r="D7891" s="6">
        <v>45853</v>
      </c>
      <c r="E7891" s="3" t="str">
        <f ca="1">IF(Tabela2[[#This Row],[Dt Venc:]]&gt;TODAY(),"Em Aberto",IF(Tabela2[[#This Row],[D/venc]]="-","Enviado",IF(Tabela2[[#This Row],[Dt Venc:]]=TODAY(),"Vence Hoje","Vencida")))</f>
        <v>Em Aberto</v>
      </c>
      <c r="F7891" s="3">
        <f ca="1">IF(G7891=1,"-",Tabela2[[#This Row],[Dt Venc:]]-TODAY())</f>
        <v>160</v>
      </c>
      <c r="G7891" s="3"/>
      <c r="H7891" s="3"/>
    </row>
    <row r="7892" spans="1:8">
      <c r="A7892" s="3">
        <v>107831</v>
      </c>
      <c r="B7892" s="7" t="s">
        <v>252</v>
      </c>
      <c r="C7892" s="100" t="s">
        <v>32</v>
      </c>
      <c r="D7892" s="6">
        <v>45853</v>
      </c>
      <c r="E7892" s="3" t="str">
        <f ca="1">IF(Tabela2[[#This Row],[Dt Venc:]]&gt;TODAY(),"Em Aberto",IF(Tabela2[[#This Row],[D/venc]]="-","Enviado",IF(Tabela2[[#This Row],[Dt Venc:]]=TODAY(),"Vence Hoje","Vencida")))</f>
        <v>Em Aberto</v>
      </c>
      <c r="F7892" s="3">
        <f ca="1">IF(G7892=1,"-",Tabela2[[#This Row],[Dt Venc:]]-TODAY())</f>
        <v>160</v>
      </c>
      <c r="G7892" s="3"/>
      <c r="H7892" s="3"/>
    </row>
    <row r="7893" spans="1:8">
      <c r="A7893" s="3">
        <v>107832</v>
      </c>
      <c r="B7893" s="7" t="s">
        <v>252</v>
      </c>
      <c r="C7893" s="100" t="s">
        <v>32</v>
      </c>
      <c r="D7893" s="6">
        <v>45853</v>
      </c>
      <c r="E7893" s="3" t="str">
        <f ca="1">IF(Tabela2[[#This Row],[Dt Venc:]]&gt;TODAY(),"Em Aberto",IF(Tabela2[[#This Row],[D/venc]]="-","Enviado",IF(Tabela2[[#This Row],[Dt Venc:]]=TODAY(),"Vence Hoje","Vencida")))</f>
        <v>Em Aberto</v>
      </c>
      <c r="F7893" s="3">
        <f ca="1">IF(G7893=1,"-",Tabela2[[#This Row],[Dt Venc:]]-TODAY())</f>
        <v>160</v>
      </c>
      <c r="G7893" s="3"/>
      <c r="H7893" s="3"/>
    </row>
    <row r="7894" spans="1:8">
      <c r="A7894" s="3">
        <v>361229</v>
      </c>
      <c r="B7894" s="7" t="s">
        <v>250</v>
      </c>
      <c r="C7894" s="100" t="s">
        <v>32</v>
      </c>
      <c r="D7894" s="6">
        <v>45853</v>
      </c>
      <c r="E7894" s="3" t="str">
        <f ca="1">IF(Tabela2[[#This Row],[Dt Venc:]]&gt;TODAY(),"Em Aberto",IF(Tabela2[[#This Row],[D/venc]]="-","Enviado",IF(Tabela2[[#This Row],[Dt Venc:]]=TODAY(),"Vence Hoje","Vencida")))</f>
        <v>Em Aberto</v>
      </c>
      <c r="F7894" s="3">
        <f ca="1">IF(G7894=1,"-",Tabela2[[#This Row],[Dt Venc:]]-TODAY())</f>
        <v>160</v>
      </c>
      <c r="G7894" s="3"/>
      <c r="H7894" s="3"/>
    </row>
    <row r="7895" spans="1:8">
      <c r="A7895" s="3">
        <v>361237</v>
      </c>
      <c r="B7895" s="7" t="s">
        <v>250</v>
      </c>
      <c r="C7895" s="100" t="s">
        <v>32</v>
      </c>
      <c r="D7895" s="6">
        <v>45853</v>
      </c>
      <c r="E7895" s="3" t="str">
        <f ca="1">IF(Tabela2[[#This Row],[Dt Venc:]]&gt;TODAY(),"Em Aberto",IF(Tabela2[[#This Row],[D/venc]]="-","Enviado",IF(Tabela2[[#This Row],[Dt Venc:]]=TODAY(),"Vence Hoje","Vencida")))</f>
        <v>Em Aberto</v>
      </c>
      <c r="F7895" s="3">
        <f ca="1">IF(G7895=1,"-",Tabela2[[#This Row],[Dt Venc:]]-TODAY())</f>
        <v>160</v>
      </c>
      <c r="G7895" s="3"/>
      <c r="H7895" s="3"/>
    </row>
    <row r="7896" spans="1:8">
      <c r="A7896" s="3">
        <v>365658</v>
      </c>
      <c r="B7896" s="7" t="s">
        <v>250</v>
      </c>
      <c r="C7896" s="100" t="s">
        <v>32</v>
      </c>
      <c r="D7896" s="6">
        <v>45853</v>
      </c>
      <c r="E7896" s="3" t="str">
        <f ca="1">IF(Tabela2[[#This Row],[Dt Venc:]]&gt;TODAY(),"Em Aberto",IF(Tabela2[[#This Row],[D/venc]]="-","Enviado",IF(Tabela2[[#This Row],[Dt Venc:]]=TODAY(),"Vence Hoje","Vencida")))</f>
        <v>Em Aberto</v>
      </c>
      <c r="F7896" s="3">
        <f ca="1">IF(G7896=1,"-",Tabela2[[#This Row],[Dt Venc:]]-TODAY())</f>
        <v>160</v>
      </c>
      <c r="G7896" s="3"/>
      <c r="H7896" s="3"/>
    </row>
    <row r="7897" spans="1:8">
      <c r="A7897" s="3">
        <v>365666</v>
      </c>
      <c r="B7897" s="7" t="s">
        <v>250</v>
      </c>
      <c r="C7897" s="100" t="s">
        <v>32</v>
      </c>
      <c r="D7897" s="6">
        <v>45853</v>
      </c>
      <c r="E7897" s="3" t="str">
        <f ca="1">IF(Tabela2[[#This Row],[Dt Venc:]]&gt;TODAY(),"Em Aberto",IF(Tabela2[[#This Row],[D/venc]]="-","Enviado",IF(Tabela2[[#This Row],[Dt Venc:]]=TODAY(),"Vence Hoje","Vencida")))</f>
        <v>Em Aberto</v>
      </c>
      <c r="F7897" s="3">
        <f ca="1">IF(G7897=1,"-",Tabela2[[#This Row],[Dt Venc:]]-TODAY())</f>
        <v>160</v>
      </c>
      <c r="G7897" s="3"/>
      <c r="H7897" s="3"/>
    </row>
    <row r="7898" spans="1:8">
      <c r="A7898" s="3">
        <v>365674</v>
      </c>
      <c r="B7898" s="7" t="s">
        <v>250</v>
      </c>
      <c r="C7898" s="100" t="s">
        <v>32</v>
      </c>
      <c r="D7898" s="6">
        <v>45853</v>
      </c>
      <c r="E7898" s="3" t="str">
        <f ca="1">IF(Tabela2[[#This Row],[Dt Venc:]]&gt;TODAY(),"Em Aberto",IF(Tabela2[[#This Row],[D/venc]]="-","Enviado",IF(Tabela2[[#This Row],[Dt Venc:]]=TODAY(),"Vence Hoje","Vencida")))</f>
        <v>Em Aberto</v>
      </c>
      <c r="F7898" s="3">
        <f ca="1">IF(G7898=1,"-",Tabela2[[#This Row],[Dt Venc:]]-TODAY())</f>
        <v>160</v>
      </c>
      <c r="G7898" s="3"/>
      <c r="H7898" s="3"/>
    </row>
    <row r="7899" spans="1:8">
      <c r="A7899" s="3">
        <v>365682</v>
      </c>
      <c r="B7899" s="7" t="s">
        <v>250</v>
      </c>
      <c r="C7899" s="100" t="s">
        <v>32</v>
      </c>
      <c r="D7899" s="6">
        <v>45853</v>
      </c>
      <c r="E7899" s="3" t="str">
        <f ca="1">IF(Tabela2[[#This Row],[Dt Venc:]]&gt;TODAY(),"Em Aberto",IF(Tabela2[[#This Row],[D/venc]]="-","Enviado",IF(Tabela2[[#This Row],[Dt Venc:]]=TODAY(),"Vence Hoje","Vencida")))</f>
        <v>Em Aberto</v>
      </c>
      <c r="F7899" s="3">
        <f ca="1">IF(G7899=1,"-",Tabela2[[#This Row],[Dt Venc:]]-TODAY())</f>
        <v>160</v>
      </c>
      <c r="G7899" s="3"/>
      <c r="H7899" s="3"/>
    </row>
    <row r="7900" spans="1:8">
      <c r="A7900" s="3">
        <v>369335</v>
      </c>
      <c r="B7900" s="7" t="s">
        <v>543</v>
      </c>
      <c r="C7900" s="87" t="s">
        <v>32</v>
      </c>
      <c r="D7900" s="6">
        <v>45853</v>
      </c>
      <c r="E7900" s="3" t="str">
        <f ca="1">IF(Tabela2[[#This Row],[Dt Venc:]]&gt;TODAY(),"Em Aberto",IF(Tabela2[[#This Row],[D/venc]]="-","Enviado",IF(Tabela2[[#This Row],[Dt Venc:]]=TODAY(),"Vence Hoje","Vencida")))</f>
        <v>Em Aberto</v>
      </c>
      <c r="F7900" s="3">
        <f ca="1">IF(G7900=1,"-",Tabela2[[#This Row],[Dt Venc:]]-TODAY())</f>
        <v>160</v>
      </c>
      <c r="G7900" s="3"/>
      <c r="H7900" s="3"/>
    </row>
    <row r="7901" spans="1:8">
      <c r="A7901" s="3">
        <v>369696</v>
      </c>
      <c r="B7901" s="7" t="s">
        <v>543</v>
      </c>
      <c r="C7901" s="87" t="s">
        <v>32</v>
      </c>
      <c r="D7901" s="6">
        <v>45853</v>
      </c>
      <c r="E7901" s="3" t="str">
        <f ca="1">IF(Tabela2[[#This Row],[Dt Venc:]]&gt;TODAY(),"Em Aberto",IF(Tabela2[[#This Row],[D/venc]]="-","Enviado",IF(Tabela2[[#This Row],[Dt Venc:]]=TODAY(),"Vence Hoje","Vencida")))</f>
        <v>Em Aberto</v>
      </c>
      <c r="F7901" s="3">
        <f ca="1">IF(G7901=1,"-",Tabela2[[#This Row],[Dt Venc:]]-TODAY())</f>
        <v>160</v>
      </c>
      <c r="G7901" s="3"/>
      <c r="H7901" s="3"/>
    </row>
    <row r="7902" spans="1:8">
      <c r="A7902" s="3">
        <v>369726</v>
      </c>
      <c r="B7902" s="7" t="s">
        <v>543</v>
      </c>
      <c r="C7902" s="87" t="s">
        <v>32</v>
      </c>
      <c r="D7902" s="6">
        <v>45853</v>
      </c>
      <c r="E7902" s="3" t="str">
        <f ca="1">IF(Tabela2[[#This Row],[Dt Venc:]]&gt;TODAY(),"Em Aberto",IF(Tabela2[[#This Row],[D/venc]]="-","Enviado",IF(Tabela2[[#This Row],[Dt Venc:]]=TODAY(),"Vence Hoje","Vencida")))</f>
        <v>Em Aberto</v>
      </c>
      <c r="F7902" s="3">
        <f ca="1">IF(G7902=1,"-",Tabela2[[#This Row],[Dt Venc:]]-TODAY())</f>
        <v>160</v>
      </c>
      <c r="G7902" s="3"/>
      <c r="H7902" s="3"/>
    </row>
    <row r="7903" spans="1:8">
      <c r="A7903" s="3">
        <v>369751</v>
      </c>
      <c r="B7903" s="7" t="s">
        <v>543</v>
      </c>
      <c r="C7903" s="87" t="s">
        <v>32</v>
      </c>
      <c r="D7903" s="6">
        <v>45853</v>
      </c>
      <c r="E7903" s="3" t="str">
        <f ca="1">IF(Tabela2[[#This Row],[Dt Venc:]]&gt;TODAY(),"Em Aberto",IF(Tabela2[[#This Row],[D/venc]]="-","Enviado",IF(Tabela2[[#This Row],[Dt Venc:]]=TODAY(),"Vence Hoje","Vencida")))</f>
        <v>Em Aberto</v>
      </c>
      <c r="F7903" s="3">
        <f ca="1">IF(G7903=1,"-",Tabela2[[#This Row],[Dt Venc:]]-TODAY())</f>
        <v>160</v>
      </c>
      <c r="G7903" s="3"/>
      <c r="H7903" s="3"/>
    </row>
    <row r="7904" spans="1:8">
      <c r="A7904" s="3">
        <v>370201</v>
      </c>
      <c r="B7904" s="7" t="s">
        <v>543</v>
      </c>
      <c r="C7904" s="87" t="s">
        <v>32</v>
      </c>
      <c r="D7904" s="6">
        <v>45853</v>
      </c>
      <c r="E7904" s="3" t="str">
        <f ca="1">IF(Tabela2[[#This Row],[Dt Venc:]]&gt;TODAY(),"Em Aberto",IF(Tabela2[[#This Row],[D/venc]]="-","Enviado",IF(Tabela2[[#This Row],[Dt Venc:]]=TODAY(),"Vence Hoje","Vencida")))</f>
        <v>Em Aberto</v>
      </c>
      <c r="F7904" s="3">
        <f ca="1">IF(G7904=1,"-",Tabela2[[#This Row],[Dt Venc:]]-TODAY())</f>
        <v>160</v>
      </c>
      <c r="G7904" s="3"/>
      <c r="H7904" s="3"/>
    </row>
    <row r="7905" spans="1:8">
      <c r="A7905" s="3">
        <v>370864</v>
      </c>
      <c r="B7905" s="7" t="s">
        <v>543</v>
      </c>
      <c r="C7905" s="87" t="s">
        <v>32</v>
      </c>
      <c r="D7905" s="6">
        <v>45853</v>
      </c>
      <c r="E7905" s="3" t="str">
        <f ca="1">IF(Tabela2[[#This Row],[Dt Venc:]]&gt;TODAY(),"Em Aberto",IF(Tabela2[[#This Row],[D/venc]]="-","Enviado",IF(Tabela2[[#This Row],[Dt Venc:]]=TODAY(),"Vence Hoje","Vencida")))</f>
        <v>Em Aberto</v>
      </c>
      <c r="F7905" s="3">
        <f ca="1">IF(G7905=1,"-",Tabela2[[#This Row],[Dt Venc:]]-TODAY())</f>
        <v>160</v>
      </c>
      <c r="G7905" s="3"/>
      <c r="H7905" s="3"/>
    </row>
    <row r="7906" spans="1:8">
      <c r="A7906" s="3">
        <v>371011</v>
      </c>
      <c r="B7906" s="7" t="s">
        <v>633</v>
      </c>
      <c r="C7906" s="87" t="s">
        <v>32</v>
      </c>
      <c r="D7906" s="6">
        <v>45853</v>
      </c>
      <c r="E7906" s="3" t="str">
        <f ca="1">IF(Tabela2[[#This Row],[Dt Venc:]]&gt;TODAY(),"Em Aberto",IF(Tabela2[[#This Row],[D/venc]]="-","Enviado",IF(Tabela2[[#This Row],[Dt Venc:]]=TODAY(),"Vence Hoje","Vencida")))</f>
        <v>Em Aberto</v>
      </c>
      <c r="F7906" s="3">
        <f ca="1">IF(G7906=1,"-",Tabela2[[#This Row],[Dt Venc:]]-TODAY())</f>
        <v>160</v>
      </c>
      <c r="G7906" s="3"/>
      <c r="H7906" s="3"/>
    </row>
    <row r="7907" spans="1:8">
      <c r="A7907" s="3">
        <v>371160</v>
      </c>
      <c r="B7907" s="7" t="s">
        <v>633</v>
      </c>
      <c r="C7907" s="87" t="s">
        <v>32</v>
      </c>
      <c r="D7907" s="6">
        <v>45853</v>
      </c>
      <c r="E7907" s="3" t="str">
        <f ca="1">IF(Tabela2[[#This Row],[Dt Venc:]]&gt;TODAY(),"Em Aberto",IF(Tabela2[[#This Row],[D/venc]]="-","Enviado",IF(Tabela2[[#This Row],[Dt Venc:]]=TODAY(),"Vence Hoje","Vencida")))</f>
        <v>Em Aberto</v>
      </c>
      <c r="F7907" s="3">
        <f ca="1">IF(G7907=1,"-",Tabela2[[#This Row],[Dt Venc:]]-TODAY())</f>
        <v>160</v>
      </c>
      <c r="G7907" s="3"/>
      <c r="H7907" s="3"/>
    </row>
    <row r="7908" spans="1:8">
      <c r="A7908" s="3">
        <v>748099</v>
      </c>
      <c r="B7908" s="7" t="s">
        <v>81</v>
      </c>
      <c r="C7908" s="100" t="s">
        <v>32</v>
      </c>
      <c r="D7908" s="6">
        <v>45853</v>
      </c>
      <c r="E7908" s="3" t="str">
        <f ca="1">IF(Tabela2[[#This Row],[Dt Venc:]]&gt;TODAY(),"Em Aberto",IF(Tabela2[[#This Row],[D/venc]]="-","Enviado",IF(Tabela2[[#This Row],[Dt Venc:]]=TODAY(),"Vence Hoje","Vencida")))</f>
        <v>Em Aberto</v>
      </c>
      <c r="F7908" s="3">
        <f ca="1">IF(G7908=1,"-",Tabela2[[#This Row],[Dt Venc:]]-TODAY())</f>
        <v>160</v>
      </c>
      <c r="G7908" s="3"/>
      <c r="H7908" s="3"/>
    </row>
    <row r="7909" spans="1:8">
      <c r="A7909" s="3">
        <v>892178</v>
      </c>
      <c r="B7909" s="7" t="s">
        <v>253</v>
      </c>
      <c r="C7909" s="100" t="s">
        <v>32</v>
      </c>
      <c r="D7909" s="6">
        <v>45853</v>
      </c>
      <c r="E7909" s="3" t="str">
        <f ca="1">IF(Tabela2[[#This Row],[Dt Venc:]]&gt;TODAY(),"Em Aberto",IF(Tabela2[[#This Row],[D/venc]]="-","Enviado",IF(Tabela2[[#This Row],[Dt Venc:]]=TODAY(),"Vence Hoje","Vencida")))</f>
        <v>Em Aberto</v>
      </c>
      <c r="F7909" s="3">
        <f ca="1">IF(G7909=1,"-",Tabela2[[#This Row],[Dt Venc:]]-TODAY())</f>
        <v>160</v>
      </c>
      <c r="G7909" s="3"/>
      <c r="H7909" s="3"/>
    </row>
    <row r="7910" spans="1:8">
      <c r="A7910" s="3">
        <v>894135</v>
      </c>
      <c r="B7910" s="7" t="s">
        <v>253</v>
      </c>
      <c r="C7910" s="99" t="s">
        <v>32</v>
      </c>
      <c r="D7910" s="6">
        <v>45853</v>
      </c>
      <c r="E7910" s="3" t="str">
        <f ca="1">IF(Tabela2[[#This Row],[Dt Venc:]]&gt;TODAY(),"Em Aberto",IF(Tabela2[[#This Row],[D/venc]]="-","Enviado",IF(Tabela2[[#This Row],[Dt Venc:]]=TODAY(),"Vence Hoje","Vencida")))</f>
        <v>Em Aberto</v>
      </c>
      <c r="F7910" s="3">
        <f ca="1">IF(G7910=1,"-",Tabela2[[#This Row],[Dt Venc:]]-TODAY())</f>
        <v>160</v>
      </c>
      <c r="G7910" s="3"/>
      <c r="H7910" s="3"/>
    </row>
    <row r="7911" spans="1:8">
      <c r="A7911" s="3">
        <v>896565</v>
      </c>
      <c r="B7911" s="7" t="s">
        <v>253</v>
      </c>
      <c r="C7911" s="100" t="s">
        <v>32</v>
      </c>
      <c r="D7911" s="6">
        <v>45853</v>
      </c>
      <c r="E7911" s="3" t="str">
        <f ca="1">IF(Tabela2[[#This Row],[Dt Venc:]]&gt;TODAY(),"Em Aberto",IF(Tabela2[[#This Row],[D/venc]]="-","Enviado",IF(Tabela2[[#This Row],[Dt Venc:]]=TODAY(),"Vence Hoje","Vencida")))</f>
        <v>Em Aberto</v>
      </c>
      <c r="F7911" s="3">
        <f ca="1">IF(G7911=1,"-",Tabela2[[#This Row],[Dt Venc:]]-TODAY())</f>
        <v>160</v>
      </c>
      <c r="G7911" s="3"/>
      <c r="H7911" s="3"/>
    </row>
    <row r="7912" spans="1:8">
      <c r="A7912" s="3">
        <v>900386</v>
      </c>
      <c r="B7912" s="7" t="s">
        <v>253</v>
      </c>
      <c r="C7912" s="100" t="s">
        <v>32</v>
      </c>
      <c r="D7912" s="6">
        <v>45853</v>
      </c>
      <c r="E7912" s="3" t="str">
        <f ca="1">IF(Tabela2[[#This Row],[Dt Venc:]]&gt;TODAY(),"Em Aberto",IF(Tabela2[[#This Row],[D/venc]]="-","Enviado",IF(Tabela2[[#This Row],[Dt Venc:]]=TODAY(),"Vence Hoje","Vencida")))</f>
        <v>Em Aberto</v>
      </c>
      <c r="F7912" s="3">
        <f ca="1">IF(G7912=1,"-",Tabela2[[#This Row],[Dt Venc:]]-TODAY())</f>
        <v>160</v>
      </c>
      <c r="G7912" s="3"/>
      <c r="H7912" s="3"/>
    </row>
    <row r="7913" spans="1:8">
      <c r="A7913" s="3">
        <v>901787</v>
      </c>
      <c r="B7913" s="7" t="s">
        <v>253</v>
      </c>
      <c r="C7913" s="100" t="s">
        <v>32</v>
      </c>
      <c r="D7913" s="6">
        <v>45853</v>
      </c>
      <c r="E7913" s="3" t="str">
        <f ca="1">IF(Tabela2[[#This Row],[Dt Venc:]]&gt;TODAY(),"Em Aberto",IF(Tabela2[[#This Row],[D/venc]]="-","Enviado",IF(Tabela2[[#This Row],[Dt Venc:]]=TODAY(),"Vence Hoje","Vencida")))</f>
        <v>Em Aberto</v>
      </c>
      <c r="F7913" s="3">
        <f ca="1">IF(G7913=1,"-",Tabela2[[#This Row],[Dt Venc:]]-TODAY())</f>
        <v>160</v>
      </c>
      <c r="G7913" s="3"/>
      <c r="H7913" s="3"/>
    </row>
    <row r="7914" spans="1:8">
      <c r="A7914" s="3">
        <v>901788</v>
      </c>
      <c r="B7914" s="7" t="s">
        <v>253</v>
      </c>
      <c r="C7914" s="100" t="s">
        <v>32</v>
      </c>
      <c r="D7914" s="6">
        <v>45853</v>
      </c>
      <c r="E7914" s="3" t="str">
        <f ca="1">IF(Tabela2[[#This Row],[Dt Venc:]]&gt;TODAY(),"Em Aberto",IF(Tabela2[[#This Row],[D/venc]]="-","Enviado",IF(Tabela2[[#This Row],[Dt Venc:]]=TODAY(),"Vence Hoje","Vencida")))</f>
        <v>Em Aberto</v>
      </c>
      <c r="F7914" s="3">
        <f ca="1">IF(G7914=1,"-",Tabela2[[#This Row],[Dt Venc:]]-TODAY())</f>
        <v>160</v>
      </c>
      <c r="G7914" s="3"/>
      <c r="H7914" s="3"/>
    </row>
    <row r="7915" spans="1:8">
      <c r="A7915" s="3">
        <v>901789</v>
      </c>
      <c r="B7915" s="7" t="s">
        <v>253</v>
      </c>
      <c r="C7915" s="100" t="s">
        <v>32</v>
      </c>
      <c r="D7915" s="6">
        <v>45853</v>
      </c>
      <c r="E7915" s="3" t="str">
        <f ca="1">IF(Tabela2[[#This Row],[Dt Venc:]]&gt;TODAY(),"Em Aberto",IF(Tabela2[[#This Row],[D/venc]]="-","Enviado",IF(Tabela2[[#This Row],[Dt Venc:]]=TODAY(),"Vence Hoje","Vencida")))</f>
        <v>Em Aberto</v>
      </c>
      <c r="F7915" s="3">
        <f ca="1">IF(G7915=1,"-",Tabela2[[#This Row],[Dt Venc:]]-TODAY())</f>
        <v>160</v>
      </c>
      <c r="G7915" s="3"/>
      <c r="H7915" s="3"/>
    </row>
    <row r="7916" spans="1:8">
      <c r="A7916" s="3">
        <v>912703</v>
      </c>
      <c r="B7916" s="7" t="s">
        <v>253</v>
      </c>
      <c r="C7916" s="100" t="s">
        <v>32</v>
      </c>
      <c r="D7916" s="6">
        <v>45853</v>
      </c>
      <c r="E7916" s="3" t="str">
        <f ca="1">IF(Tabela2[[#This Row],[Dt Venc:]]&gt;TODAY(),"Em Aberto",IF(Tabela2[[#This Row],[D/venc]]="-","Enviado",IF(Tabela2[[#This Row],[Dt Venc:]]=TODAY(),"Vence Hoje","Vencida")))</f>
        <v>Em Aberto</v>
      </c>
      <c r="F7916" s="3">
        <f ca="1">IF(G7916=1,"-",Tabela2[[#This Row],[Dt Venc:]]-TODAY())</f>
        <v>160</v>
      </c>
      <c r="G7916" s="3"/>
      <c r="H7916" s="3"/>
    </row>
    <row r="7917" spans="1:8">
      <c r="A7917" s="3">
        <v>912704</v>
      </c>
      <c r="B7917" s="7" t="s">
        <v>253</v>
      </c>
      <c r="C7917" s="100" t="s">
        <v>32</v>
      </c>
      <c r="D7917" s="6">
        <v>45853</v>
      </c>
      <c r="E7917" s="3" t="str">
        <f ca="1">IF(Tabela2[[#This Row],[Dt Venc:]]&gt;TODAY(),"Em Aberto",IF(Tabela2[[#This Row],[D/venc]]="-","Enviado",IF(Tabela2[[#This Row],[Dt Venc:]]=TODAY(),"Vence Hoje","Vencida")))</f>
        <v>Em Aberto</v>
      </c>
      <c r="F7917" s="3">
        <f ca="1">IF(G7917=1,"-",Tabela2[[#This Row],[Dt Venc:]]-TODAY())</f>
        <v>160</v>
      </c>
      <c r="G7917" s="3"/>
      <c r="H7917" s="3"/>
    </row>
    <row r="7918" spans="1:8">
      <c r="A7918" s="3">
        <v>919728</v>
      </c>
      <c r="B7918" s="7" t="s">
        <v>253</v>
      </c>
      <c r="C7918" s="87" t="s">
        <v>32</v>
      </c>
      <c r="D7918" s="6">
        <v>45853</v>
      </c>
      <c r="E7918" s="3" t="str">
        <f ca="1">IF(Tabela2[[#This Row],[Dt Venc:]]&gt;TODAY(),"Em Aberto",IF(Tabela2[[#This Row],[D/venc]]="-","Enviado",IF(Tabela2[[#This Row],[Dt Venc:]]=TODAY(),"Vence Hoje","Vencida")))</f>
        <v>Em Aberto</v>
      </c>
      <c r="F7918" s="3">
        <f ca="1">IF(G7918=1,"-",Tabela2[[#This Row],[Dt Venc:]]-TODAY())</f>
        <v>160</v>
      </c>
      <c r="G7918" s="3"/>
      <c r="H7918" s="3"/>
    </row>
    <row r="7919" spans="1:8">
      <c r="A7919" s="3">
        <v>919729</v>
      </c>
      <c r="B7919" s="7" t="s">
        <v>253</v>
      </c>
      <c r="C7919" s="87" t="s">
        <v>32</v>
      </c>
      <c r="D7919" s="6">
        <v>45853</v>
      </c>
      <c r="E7919" s="3" t="str">
        <f ca="1">IF(Tabela2[[#This Row],[Dt Venc:]]&gt;TODAY(),"Em Aberto",IF(Tabela2[[#This Row],[D/venc]]="-","Enviado",IF(Tabela2[[#This Row],[Dt Venc:]]=TODAY(),"Vence Hoje","Vencida")))</f>
        <v>Em Aberto</v>
      </c>
      <c r="F7919" s="3">
        <f ca="1">IF(G7919=1,"-",Tabela2[[#This Row],[Dt Venc:]]-TODAY())</f>
        <v>160</v>
      </c>
      <c r="G7919" s="3"/>
      <c r="H7919" s="3"/>
    </row>
    <row r="7920" spans="1:8">
      <c r="A7920" s="3">
        <v>37300</v>
      </c>
      <c r="B7920" s="7" t="s">
        <v>167</v>
      </c>
      <c r="C7920" s="100" t="s">
        <v>32</v>
      </c>
      <c r="D7920" s="6">
        <v>45854</v>
      </c>
      <c r="E7920" s="3" t="str">
        <f ca="1">IF(Tabela2[[#This Row],[Dt Venc:]]&gt;TODAY(),"Em Aberto",IF(Tabela2[[#This Row],[D/venc]]="-","Enviado",IF(Tabela2[[#This Row],[Dt Venc:]]=TODAY(),"Vence Hoje","Vencida")))</f>
        <v>Em Aberto</v>
      </c>
      <c r="F7920" s="3">
        <f ca="1">IF(G7920=1,"-",Tabela2[[#This Row],[Dt Venc:]]-TODAY())</f>
        <v>161</v>
      </c>
      <c r="G7920" s="3"/>
      <c r="H7920" s="3"/>
    </row>
    <row r="7921" spans="1:8">
      <c r="A7921" s="3">
        <v>37196</v>
      </c>
      <c r="B7921" s="7" t="s">
        <v>167</v>
      </c>
      <c r="C7921" s="87" t="s">
        <v>32</v>
      </c>
      <c r="D7921" s="6">
        <v>45855</v>
      </c>
      <c r="E7921" s="3" t="str">
        <f ca="1">IF(Tabela2[[#This Row],[Dt Venc:]]&gt;TODAY(),"Em Aberto",IF(Tabela2[[#This Row],[D/venc]]="-","Enviado",IF(Tabela2[[#This Row],[Dt Venc:]]=TODAY(),"Vence Hoje","Vencida")))</f>
        <v>Em Aberto</v>
      </c>
      <c r="F7921" s="3">
        <f ca="1">IF(G7921=1,"-",Tabela2[[#This Row],[Dt Venc:]]-TODAY())</f>
        <v>162</v>
      </c>
      <c r="G7921" s="3"/>
      <c r="H7921" s="3"/>
    </row>
    <row r="7922" spans="1:8">
      <c r="A7922" s="3">
        <v>31300</v>
      </c>
      <c r="B7922" s="7" t="s">
        <v>97</v>
      </c>
      <c r="C7922" s="41">
        <v>2510</v>
      </c>
      <c r="D7922" s="6">
        <v>45857</v>
      </c>
      <c r="E7922" s="3" t="str">
        <f ca="1">IF(Tabela2[[#This Row],[Dt Venc:]]&gt;TODAY(),"Em Aberto",IF(Tabela2[[#This Row],[D/venc]]="-","Enviado",IF(Tabela2[[#This Row],[Dt Venc:]]=TODAY(),"Vence Hoje","Vencida")))</f>
        <v>Em Aberto</v>
      </c>
      <c r="F7922" s="3">
        <f ca="1">IF(G7922=1,"-",Tabela2[[#This Row],[Dt Venc:]]-TODAY())</f>
        <v>164</v>
      </c>
      <c r="G7922" s="3"/>
      <c r="H7922" s="3"/>
    </row>
    <row r="7923" spans="1:8">
      <c r="A7923" s="3">
        <v>381900</v>
      </c>
      <c r="B7923" s="7" t="s">
        <v>567</v>
      </c>
      <c r="C7923" s="41">
        <v>558.02</v>
      </c>
      <c r="D7923" s="6">
        <v>45857</v>
      </c>
      <c r="E7923" s="3" t="str">
        <f ca="1">IF(Tabela2[[#This Row],[Dt Venc:]]&gt;TODAY(),"Em Aberto",IF(Tabela2[[#This Row],[D/venc]]="-","Enviado",IF(Tabela2[[#This Row],[Dt Venc:]]=TODAY(),"Vence Hoje","Vencida")))</f>
        <v>Em Aberto</v>
      </c>
      <c r="F7923" s="3">
        <f ca="1">IF(G7923=1,"-",Tabela2[[#This Row],[Dt Venc:]]-TODAY())</f>
        <v>164</v>
      </c>
      <c r="G7923" s="3"/>
      <c r="H7923" s="3"/>
    </row>
    <row r="7924" spans="1:8">
      <c r="A7924" s="3">
        <v>31397</v>
      </c>
      <c r="B7924" s="7" t="s">
        <v>97</v>
      </c>
      <c r="C7924" s="41">
        <v>1710</v>
      </c>
      <c r="D7924" s="6">
        <v>45860</v>
      </c>
      <c r="E7924" s="3" t="str">
        <f ca="1">IF(Tabela2[[#This Row],[Dt Venc:]]&gt;TODAY(),"Em Aberto",IF(Tabela2[[#This Row],[D/venc]]="-","Enviado",IF(Tabela2[[#This Row],[Dt Venc:]]=TODAY(),"Vence Hoje","Vencida")))</f>
        <v>Em Aberto</v>
      </c>
      <c r="F7924" s="3">
        <f ca="1">IF(G7924=1,"-",Tabela2[[#This Row],[Dt Venc:]]-TODAY())</f>
        <v>167</v>
      </c>
      <c r="G7924" s="3"/>
      <c r="H7924" s="3"/>
    </row>
    <row r="7925" spans="1:8">
      <c r="A7925" s="3">
        <v>37348</v>
      </c>
      <c r="B7925" s="7" t="s">
        <v>167</v>
      </c>
      <c r="C7925" s="100" t="s">
        <v>32</v>
      </c>
      <c r="D7925" s="6">
        <v>45860</v>
      </c>
      <c r="E7925" s="3" t="str">
        <f ca="1">IF(Tabela2[[#This Row],[Dt Venc:]]&gt;TODAY(),"Em Aberto",IF(Tabela2[[#This Row],[D/venc]]="-","Enviado",IF(Tabela2[[#This Row],[Dt Venc:]]=TODAY(),"Vence Hoje","Vencida")))</f>
        <v>Em Aberto</v>
      </c>
      <c r="F7925" s="3">
        <f ca="1">IF(G7925=1,"-",Tabela2[[#This Row],[Dt Venc:]]-TODAY())</f>
        <v>167</v>
      </c>
      <c r="G7925" s="3"/>
      <c r="H7925" s="3"/>
    </row>
    <row r="7926" spans="1:8">
      <c r="A7926" s="3" t="s">
        <v>110</v>
      </c>
      <c r="B7926" s="7" t="s">
        <v>337</v>
      </c>
      <c r="C7926" s="42" t="s">
        <v>32</v>
      </c>
      <c r="D7926" s="6">
        <v>45861</v>
      </c>
      <c r="E7926" s="3" t="str">
        <f ca="1">IF(Tabela2[[#This Row],[Dt Venc:]]&gt;TODAY(),"Em Aberto",IF(Tabela2[[#This Row],[D/venc]]="-","Enviado",IF(Tabela2[[#This Row],[Dt Venc:]]=TODAY(),"Vence Hoje","Vencida")))</f>
        <v>Em Aberto</v>
      </c>
      <c r="F7926" s="3">
        <f ca="1">IF(G7926=1,"-",Tabela2[[#This Row],[Dt Venc:]]-TODAY())</f>
        <v>168</v>
      </c>
      <c r="G7926" s="3"/>
      <c r="H7926" s="3"/>
    </row>
    <row r="7927" spans="1:8">
      <c r="A7927" s="3">
        <v>654537</v>
      </c>
      <c r="B7927" s="7" t="s">
        <v>648</v>
      </c>
      <c r="C7927" s="87" t="s">
        <v>32</v>
      </c>
      <c r="D7927" s="6">
        <v>45861</v>
      </c>
      <c r="E7927" s="3" t="str">
        <f ca="1">IF(Tabela2[[#This Row],[Dt Venc:]]&gt;TODAY(),"Em Aberto",IF(Tabela2[[#This Row],[D/venc]]="-","Enviado",IF(Tabela2[[#This Row],[Dt Venc:]]=TODAY(),"Vence Hoje","Vencida")))</f>
        <v>Em Aberto</v>
      </c>
      <c r="F7927" s="3">
        <f ca="1">IF(G7927=1,"-",Tabela2[[#This Row],[Dt Venc:]]-TODAY())</f>
        <v>168</v>
      </c>
      <c r="G7927" s="3"/>
      <c r="H7927" s="3"/>
    </row>
    <row r="7928" spans="1:8">
      <c r="A7928" s="3">
        <v>31301</v>
      </c>
      <c r="B7928" s="7" t="s">
        <v>97</v>
      </c>
      <c r="C7928" s="41">
        <v>1825</v>
      </c>
      <c r="D7928" s="6">
        <v>45862</v>
      </c>
      <c r="E7928" s="3" t="str">
        <f ca="1">IF(Tabela2[[#This Row],[Dt Venc:]]&gt;TODAY(),"Em Aberto",IF(Tabela2[[#This Row],[D/venc]]="-","Enviado",IF(Tabela2[[#This Row],[Dt Venc:]]=TODAY(),"Vence Hoje","Vencida")))</f>
        <v>Em Aberto</v>
      </c>
      <c r="F7928" s="3">
        <f ca="1">IF(G7928=1,"-",Tabela2[[#This Row],[Dt Venc:]]-TODAY())</f>
        <v>169</v>
      </c>
      <c r="G7928" s="3"/>
      <c r="H7928" s="3"/>
    </row>
    <row r="7929" spans="1:8">
      <c r="A7929" s="3">
        <v>495914</v>
      </c>
      <c r="B7929" s="7" t="s">
        <v>153</v>
      </c>
      <c r="C7929" s="99" t="s">
        <v>32</v>
      </c>
      <c r="D7929" s="6">
        <v>45863</v>
      </c>
      <c r="E7929" s="3" t="str">
        <f ca="1">IF(Tabela2[[#This Row],[Dt Venc:]]&gt;TODAY(),"Em Aberto",IF(Tabela2[[#This Row],[D/venc]]="-","Enviado",IF(Tabela2[[#This Row],[Dt Venc:]]=TODAY(),"Vence Hoje","Vencida")))</f>
        <v>Em Aberto</v>
      </c>
      <c r="F7929" s="3">
        <f ca="1">IF(G7929=1,"-",Tabela2[[#This Row],[Dt Venc:]]-TODAY())</f>
        <v>170</v>
      </c>
      <c r="G7929" s="3"/>
      <c r="H7929" s="3"/>
    </row>
    <row r="7930" spans="1:8">
      <c r="A7930" s="3">
        <v>5690</v>
      </c>
      <c r="B7930" s="7" t="s">
        <v>122</v>
      </c>
      <c r="C7930" s="100" t="s">
        <v>32</v>
      </c>
      <c r="D7930" s="6">
        <v>45865</v>
      </c>
      <c r="E7930" s="3" t="str">
        <f ca="1">IF(Tabela2[[#This Row],[Dt Venc:]]&gt;TODAY(),"Em Aberto",IF(Tabela2[[#This Row],[D/venc]]="-","Enviado",IF(Tabela2[[#This Row],[Dt Venc:]]=TODAY(),"Vence Hoje","Vencida")))</f>
        <v>Em Aberto</v>
      </c>
      <c r="F7930" s="3">
        <f ca="1">IF(G7930=1,"-",Tabela2[[#This Row],[Dt Venc:]]-TODAY())</f>
        <v>172</v>
      </c>
      <c r="G7930" s="3"/>
      <c r="H7930" s="3"/>
    </row>
    <row r="7931" spans="1:8">
      <c r="A7931" s="3">
        <v>31398</v>
      </c>
      <c r="B7931" s="7" t="s">
        <v>97</v>
      </c>
      <c r="C7931" s="41">
        <v>2055</v>
      </c>
      <c r="D7931" s="6">
        <v>45866</v>
      </c>
      <c r="E7931" s="3" t="str">
        <f ca="1">IF(Tabela2[[#This Row],[Dt Venc:]]&gt;TODAY(),"Em Aberto",IF(Tabela2[[#This Row],[D/venc]]="-","Enviado",IF(Tabela2[[#This Row],[Dt Venc:]]=TODAY(),"Vence Hoje","Vencida")))</f>
        <v>Em Aberto</v>
      </c>
      <c r="F7931" s="3">
        <f ca="1">IF(G7931=1,"-",Tabela2[[#This Row],[Dt Venc:]]-TODAY())</f>
        <v>173</v>
      </c>
      <c r="G7931" s="3"/>
      <c r="H7931" s="3"/>
    </row>
    <row r="7932" spans="1:8">
      <c r="A7932" s="3" t="s">
        <v>110</v>
      </c>
      <c r="B7932" s="7" t="s">
        <v>373</v>
      </c>
      <c r="C7932" s="42" t="s">
        <v>32</v>
      </c>
      <c r="D7932" s="6">
        <v>45866</v>
      </c>
      <c r="E7932" s="3" t="str">
        <f ca="1">IF(Tabela2[[#This Row],[Dt Venc:]]&gt;TODAY(),"Em Aberto",IF(Tabela2[[#This Row],[D/venc]]="-","Enviado",IF(Tabela2[[#This Row],[Dt Venc:]]=TODAY(),"Vence Hoje","Vencida")))</f>
        <v>Em Aberto</v>
      </c>
      <c r="F7932" s="3">
        <f ca="1">IF(G7932=1,"-",Tabela2[[#This Row],[Dt Venc:]]-TODAY())</f>
        <v>173</v>
      </c>
      <c r="G7932" s="3"/>
      <c r="H7932" s="3"/>
    </row>
    <row r="7933" spans="1:8">
      <c r="A7933" s="3">
        <v>382598</v>
      </c>
      <c r="B7933" s="7" t="s">
        <v>441</v>
      </c>
      <c r="C7933" s="41">
        <v>518.44000000000005</v>
      </c>
      <c r="D7933" s="6">
        <v>45866</v>
      </c>
      <c r="E7933" s="3" t="str">
        <f ca="1">IF(Tabela2[[#This Row],[Dt Venc:]]&gt;TODAY(),"Em Aberto",IF(Tabela2[[#This Row],[D/venc]]="-","Enviado",IF(Tabela2[[#This Row],[Dt Venc:]]=TODAY(),"Vence Hoje","Vencida")))</f>
        <v>Em Aberto</v>
      </c>
      <c r="F7933" s="3">
        <f ca="1">IF(G7933=1,"-",Tabela2[[#This Row],[Dt Venc:]]-TODAY())</f>
        <v>173</v>
      </c>
      <c r="G7933" s="3"/>
      <c r="H7933" s="3"/>
    </row>
    <row r="7934" spans="1:8">
      <c r="A7934" s="3">
        <v>912180</v>
      </c>
      <c r="B7934" s="7" t="s">
        <v>375</v>
      </c>
      <c r="C7934" s="100" t="s">
        <v>32</v>
      </c>
      <c r="D7934" s="6">
        <v>45867</v>
      </c>
      <c r="E7934" s="3" t="str">
        <f ca="1">IF(Tabela2[[#This Row],[Dt Venc:]]&gt;TODAY(),"Em Aberto",IF(Tabela2[[#This Row],[D/venc]]="-","Enviado",IF(Tabela2[[#This Row],[Dt Venc:]]=TODAY(),"Vence Hoje","Vencida")))</f>
        <v>Em Aberto</v>
      </c>
      <c r="F7934" s="3">
        <f ca="1">IF(G7934=1,"-",Tabela2[[#This Row],[Dt Venc:]]-TODAY())</f>
        <v>174</v>
      </c>
      <c r="G7934" s="3"/>
      <c r="H7934" s="3"/>
    </row>
    <row r="7935" spans="1:8">
      <c r="A7935" s="3">
        <v>31498</v>
      </c>
      <c r="B7935" s="7" t="s">
        <v>97</v>
      </c>
      <c r="C7935" s="41">
        <v>2395</v>
      </c>
      <c r="D7935" s="6">
        <v>45867</v>
      </c>
      <c r="E7935" s="3" t="str">
        <f ca="1">IF(Tabela2[[#This Row],[Dt Venc:]]&gt;TODAY(),"Em Aberto",IF(Tabela2[[#This Row],[D/venc]]="-","Enviado",IF(Tabela2[[#This Row],[Dt Venc:]]=TODAY(),"Vence Hoje","Vencida")))</f>
        <v>Em Aberto</v>
      </c>
      <c r="F7935" s="3">
        <f ca="1">IF(G7935=1,"-",Tabela2[[#This Row],[Dt Venc:]]-TODAY())</f>
        <v>174</v>
      </c>
      <c r="G7935" s="3"/>
      <c r="H7935" s="3"/>
    </row>
    <row r="7936" spans="1:8">
      <c r="A7936" s="3" t="s">
        <v>123</v>
      </c>
      <c r="B7936" s="7" t="s">
        <v>386</v>
      </c>
      <c r="C7936" s="87" t="s">
        <v>32</v>
      </c>
      <c r="D7936" s="6">
        <v>45868</v>
      </c>
      <c r="E7936" s="3" t="str">
        <f ca="1">IF(Tabela2[[#This Row],[Dt Venc:]]&gt;TODAY(),"Em Aberto",IF(Tabela2[[#This Row],[D/venc]]="-","Enviado",IF(Tabela2[[#This Row],[Dt Venc:]]=TODAY(),"Vence Hoje","Vencida")))</f>
        <v>Em Aberto</v>
      </c>
      <c r="F7936" s="3">
        <f ca="1">IF(G7936=1,"-",Tabela2[[#This Row],[Dt Venc:]]-TODAY())</f>
        <v>175</v>
      </c>
      <c r="G7936" s="3"/>
      <c r="H7936" s="3"/>
    </row>
    <row r="7937" spans="1:8">
      <c r="A7937" s="3">
        <v>11681</v>
      </c>
      <c r="B7937" s="7" t="s">
        <v>82</v>
      </c>
      <c r="C7937" s="87" t="s">
        <v>30</v>
      </c>
      <c r="D7937" s="6">
        <v>45869</v>
      </c>
      <c r="E7937" s="3" t="str">
        <f ca="1">IF(Tabela2[[#This Row],[Dt Venc:]]&gt;TODAY(),"Em Aberto",IF(Tabela2[[#This Row],[D/venc]]="-","Enviado",IF(Tabela2[[#This Row],[Dt Venc:]]=TODAY(),"Vence Hoje","Vencida")))</f>
        <v>Em Aberto</v>
      </c>
      <c r="F7937" s="3">
        <f ca="1">IF(G7937=1,"-",Tabela2[[#This Row],[Dt Venc:]]-TODAY())</f>
        <v>176</v>
      </c>
      <c r="G7937" s="3"/>
      <c r="H7937" s="3"/>
    </row>
    <row r="7938" spans="1:8">
      <c r="A7938" s="3" t="s">
        <v>28</v>
      </c>
      <c r="B7938" s="7" t="s">
        <v>391</v>
      </c>
      <c r="C7938" s="85" t="s">
        <v>30</v>
      </c>
      <c r="D7938" s="6">
        <v>45869</v>
      </c>
      <c r="E7938" s="3" t="str">
        <f ca="1">IF(Tabela2[[#This Row],[Dt Venc:]]&gt;TODAY(),"Em Aberto",IF(Tabela2[[#This Row],[D/venc]]="-","Enviado",IF(Tabela2[[#This Row],[Dt Venc:]]=TODAY(),"Vence Hoje","Vencida")))</f>
        <v>Em Aberto</v>
      </c>
      <c r="F7938" s="3">
        <f ca="1">IF(G7938=1,"-",Tabela2[[#This Row],[Dt Venc:]]-TODAY())</f>
        <v>176</v>
      </c>
      <c r="G7938" s="3"/>
      <c r="H7938" s="3"/>
    </row>
    <row r="7939" spans="1:8">
      <c r="A7939" s="3">
        <v>36910</v>
      </c>
      <c r="B7939" s="7" t="s">
        <v>167</v>
      </c>
      <c r="C7939" s="99" t="s">
        <v>32</v>
      </c>
      <c r="D7939" s="6">
        <v>45870</v>
      </c>
      <c r="E7939" s="3" t="str">
        <f ca="1">IF(Tabela2[[#This Row],[Dt Venc:]]&gt;TODAY(),"Em Aberto",IF(Tabela2[[#This Row],[D/venc]]="-","Enviado",IF(Tabela2[[#This Row],[Dt Venc:]]=TODAY(),"Vence Hoje","Vencida")))</f>
        <v>Em Aberto</v>
      </c>
      <c r="F7939" s="3">
        <f ca="1">IF(G7939=1,"-",Tabela2[[#This Row],[Dt Venc:]]-TODAY())</f>
        <v>177</v>
      </c>
      <c r="G7939" s="3"/>
      <c r="H7939" s="3"/>
    </row>
    <row r="7940" spans="1:8">
      <c r="A7940" s="3" t="s">
        <v>110</v>
      </c>
      <c r="B7940" s="7" t="s">
        <v>395</v>
      </c>
      <c r="C7940" s="42" t="s">
        <v>32</v>
      </c>
      <c r="D7940" s="6">
        <v>45870</v>
      </c>
      <c r="E7940" s="3" t="str">
        <f ca="1">IF(Tabela2[[#This Row],[Dt Venc:]]&gt;TODAY(),"Em Aberto",IF(Tabela2[[#This Row],[D/venc]]="-","Enviado",IF(Tabela2[[#This Row],[Dt Venc:]]=TODAY(),"Vence Hoje","Vencida")))</f>
        <v>Em Aberto</v>
      </c>
      <c r="F7940" s="3">
        <f ca="1">IF(G7940=1,"-",Tabela2[[#This Row],[Dt Venc:]]-TODAY())</f>
        <v>177</v>
      </c>
      <c r="G7940" s="3"/>
      <c r="H7940" s="3"/>
    </row>
    <row r="7941" spans="1:8">
      <c r="A7941" s="3">
        <v>818909</v>
      </c>
      <c r="B7941" s="7" t="s">
        <v>81</v>
      </c>
      <c r="C7941" s="87" t="s">
        <v>32</v>
      </c>
      <c r="D7941" s="6">
        <v>45871</v>
      </c>
      <c r="E7941" s="3" t="str">
        <f ca="1">IF(Tabela2[[#This Row],[Dt Venc:]]&gt;TODAY(),"Em Aberto",IF(Tabela2[[#This Row],[D/venc]]="-","Enviado",IF(Tabela2[[#This Row],[Dt Venc:]]=TODAY(),"Vence Hoje","Vencida")))</f>
        <v>Em Aberto</v>
      </c>
      <c r="F7941" s="3">
        <f ca="1">IF(G7941=1,"-",Tabela2[[#This Row],[Dt Venc:]]-TODAY())</f>
        <v>178</v>
      </c>
      <c r="G7941" s="3"/>
      <c r="H7941" s="3"/>
    </row>
    <row r="7942" spans="1:8">
      <c r="A7942" s="3">
        <v>10494</v>
      </c>
      <c r="B7942" s="7" t="s">
        <v>82</v>
      </c>
      <c r="C7942" s="88" t="s">
        <v>30</v>
      </c>
      <c r="D7942" s="6">
        <v>45872</v>
      </c>
      <c r="E7942" s="3" t="str">
        <f ca="1">IF(Tabela2[[#This Row],[Dt Venc:]]&gt;TODAY(),"Em Aberto",IF(Tabela2[[#This Row],[D/venc]]="-","Enviado",IF(Tabela2[[#This Row],[Dt Venc:]]=TODAY(),"Vence Hoje","Vencida")))</f>
        <v>Em Aberto</v>
      </c>
      <c r="F7942" s="3">
        <f ca="1">IF(G7942=1,"-",Tabela2[[#This Row],[Dt Venc:]]-TODAY())</f>
        <v>179</v>
      </c>
      <c r="G7942" s="3"/>
      <c r="H7942" s="3"/>
    </row>
    <row r="7943" spans="1:8">
      <c r="A7943" s="3">
        <v>31399</v>
      </c>
      <c r="B7943" s="7" t="s">
        <v>97</v>
      </c>
      <c r="C7943" s="41">
        <v>1825</v>
      </c>
      <c r="D7943" s="6">
        <v>45872</v>
      </c>
      <c r="E7943" s="3" t="str">
        <f ca="1">IF(Tabela2[[#This Row],[Dt Venc:]]&gt;TODAY(),"Em Aberto",IF(Tabela2[[#This Row],[D/venc]]="-","Enviado",IF(Tabela2[[#This Row],[Dt Venc:]]=TODAY(),"Vence Hoje","Vencida")))</f>
        <v>Em Aberto</v>
      </c>
      <c r="F7943" s="3">
        <f ca="1">IF(G7943=1,"-",Tabela2[[#This Row],[Dt Venc:]]-TODAY())</f>
        <v>179</v>
      </c>
      <c r="G7943" s="3"/>
      <c r="H7943" s="3"/>
    </row>
    <row r="7944" spans="1:8">
      <c r="A7944" s="3">
        <v>31500</v>
      </c>
      <c r="B7944" s="7" t="s">
        <v>97</v>
      </c>
      <c r="C7944" s="41">
        <v>2170</v>
      </c>
      <c r="D7944" s="6">
        <v>45872</v>
      </c>
      <c r="E7944" s="3" t="str">
        <f ca="1">IF(Tabela2[[#This Row],[Dt Venc:]]&gt;TODAY(),"Em Aberto",IF(Tabela2[[#This Row],[D/venc]]="-","Enviado",IF(Tabela2[[#This Row],[Dt Venc:]]=TODAY(),"Vence Hoje","Vencida")))</f>
        <v>Em Aberto</v>
      </c>
      <c r="F7944" s="3">
        <f ca="1">IF(G7944=1,"-",Tabela2[[#This Row],[Dt Venc:]]-TODAY())</f>
        <v>179</v>
      </c>
      <c r="G7944" s="3"/>
      <c r="H7944" s="3"/>
    </row>
    <row r="7945" spans="1:8">
      <c r="A7945" s="3">
        <v>5680</v>
      </c>
      <c r="B7945" s="7" t="s">
        <v>122</v>
      </c>
      <c r="C7945" s="99" t="s">
        <v>32</v>
      </c>
      <c r="D7945" s="6">
        <v>45874</v>
      </c>
      <c r="E7945" s="3" t="str">
        <f ca="1">IF(Tabela2[[#This Row],[Dt Venc:]]&gt;TODAY(),"Em Aberto",IF(Tabela2[[#This Row],[D/venc]]="-","Enviado",IF(Tabela2[[#This Row],[Dt Venc:]]=TODAY(),"Vence Hoje","Vencida")))</f>
        <v>Em Aberto</v>
      </c>
      <c r="F7945" s="3">
        <f ca="1">IF(G7945=1,"-",Tabela2[[#This Row],[Dt Venc:]]-TODAY())</f>
        <v>181</v>
      </c>
      <c r="G7945" s="3"/>
      <c r="H7945" s="3"/>
    </row>
    <row r="7946" spans="1:8">
      <c r="A7946" s="3">
        <v>10353</v>
      </c>
      <c r="B7946" s="7" t="s">
        <v>82</v>
      </c>
      <c r="C7946" s="100" t="s">
        <v>32</v>
      </c>
      <c r="D7946" s="6">
        <v>45874</v>
      </c>
      <c r="E7946" s="3" t="str">
        <f ca="1">IF(Tabela2[[#This Row],[Dt Venc:]]&gt;TODAY(),"Em Aberto",IF(Tabela2[[#This Row],[D/venc]]="-","Enviado",IF(Tabela2[[#This Row],[Dt Venc:]]=TODAY(),"Vence Hoje","Vencida")))</f>
        <v>Em Aberto</v>
      </c>
      <c r="F7946" s="3">
        <f ca="1">IF(G7946=1,"-",Tabela2[[#This Row],[Dt Venc:]]-TODAY())</f>
        <v>181</v>
      </c>
      <c r="G7946" s="3"/>
      <c r="H7946" s="3"/>
    </row>
    <row r="7947" spans="1:8">
      <c r="A7947" s="3" t="s">
        <v>123</v>
      </c>
      <c r="B7947" s="7" t="s">
        <v>503</v>
      </c>
      <c r="C7947" s="87" t="s">
        <v>32</v>
      </c>
      <c r="D7947" s="6">
        <v>45874</v>
      </c>
      <c r="E7947" s="3" t="str">
        <f ca="1">IF(Tabela2[[#This Row],[Dt Venc:]]&gt;TODAY(),"Em Aberto",IF(Tabela2[[#This Row],[D/venc]]="-","Enviado",IF(Tabela2[[#This Row],[Dt Venc:]]=TODAY(),"Vence Hoje","Vencida")))</f>
        <v>Em Aberto</v>
      </c>
      <c r="F7947" s="3">
        <f ca="1">IF(G7947=1,"-",Tabela2[[#This Row],[Dt Venc:]]-TODAY())</f>
        <v>181</v>
      </c>
      <c r="G7947" s="3"/>
      <c r="H7947" s="3"/>
    </row>
    <row r="7948" spans="1:8">
      <c r="A7948" s="3">
        <v>284620</v>
      </c>
      <c r="B7948" s="7" t="s">
        <v>153</v>
      </c>
      <c r="C7948" s="99" t="s">
        <v>32</v>
      </c>
      <c r="D7948" s="6">
        <v>45877</v>
      </c>
      <c r="E7948" s="3" t="str">
        <f ca="1">IF(Tabela2[[#This Row],[Dt Venc:]]&gt;TODAY(),"Em Aberto",IF(Tabela2[[#This Row],[D/venc]]="-","Enviado",IF(Tabela2[[#This Row],[Dt Venc:]]=TODAY(),"Vence Hoje","Vencida")))</f>
        <v>Em Aberto</v>
      </c>
      <c r="F7948" s="3">
        <f ca="1">IF(G7948=1,"-",Tabela2[[#This Row],[Dt Venc:]]-TODAY())</f>
        <v>184</v>
      </c>
      <c r="G7948" s="3"/>
      <c r="H7948" s="3"/>
    </row>
    <row r="7949" spans="1:8">
      <c r="A7949" s="3">
        <v>31501</v>
      </c>
      <c r="B7949" s="7" t="s">
        <v>97</v>
      </c>
      <c r="C7949" s="41">
        <v>1825</v>
      </c>
      <c r="D7949" s="6">
        <v>45877</v>
      </c>
      <c r="E7949" s="3" t="str">
        <f ca="1">IF(Tabela2[[#This Row],[Dt Venc:]]&gt;TODAY(),"Em Aberto",IF(Tabela2[[#This Row],[D/venc]]="-","Enviado",IF(Tabela2[[#This Row],[Dt Venc:]]=TODAY(),"Vence Hoje","Vencida")))</f>
        <v>Em Aberto</v>
      </c>
      <c r="F7949" s="3">
        <f ca="1">IF(G7949=1,"-",Tabela2[[#This Row],[Dt Venc:]]-TODAY())</f>
        <v>184</v>
      </c>
      <c r="G7949" s="3"/>
      <c r="H7949" s="3"/>
    </row>
    <row r="7950" spans="1:8">
      <c r="A7950" s="3">
        <v>36949</v>
      </c>
      <c r="B7950" s="7" t="s">
        <v>167</v>
      </c>
      <c r="C7950" s="100" t="s">
        <v>32</v>
      </c>
      <c r="D7950" s="6">
        <v>45878</v>
      </c>
      <c r="E7950" s="3" t="str">
        <f ca="1">IF(Tabela2[[#This Row],[Dt Venc:]]&gt;TODAY(),"Em Aberto",IF(Tabela2[[#This Row],[D/venc]]="-","Enviado",IF(Tabela2[[#This Row],[Dt Venc:]]=TODAY(),"Vence Hoje","Vencida")))</f>
        <v>Em Aberto</v>
      </c>
      <c r="F7950" s="3">
        <f ca="1">IF(G7950=1,"-",Tabela2[[#This Row],[Dt Venc:]]-TODAY())</f>
        <v>185</v>
      </c>
      <c r="G7950" s="3"/>
      <c r="H7950" s="3"/>
    </row>
    <row r="7951" spans="1:8">
      <c r="A7951" s="3">
        <v>756561</v>
      </c>
      <c r="B7951" s="7" t="s">
        <v>166</v>
      </c>
      <c r="C7951" s="100" t="s">
        <v>32</v>
      </c>
      <c r="D7951" s="6">
        <v>45878</v>
      </c>
      <c r="E7951" s="3" t="str">
        <f ca="1">IF(Tabela2[[#This Row],[Dt Venc:]]&gt;TODAY(),"Em Aberto",IF(Tabela2[[#This Row],[D/venc]]="-","Enviado",IF(Tabela2[[#This Row],[Dt Venc:]]=TODAY(),"Vence Hoje","Vencida")))</f>
        <v>Em Aberto</v>
      </c>
      <c r="F7951" s="3">
        <f ca="1">IF(G7951=1,"-",Tabela2[[#This Row],[Dt Venc:]]-TODAY())</f>
        <v>185</v>
      </c>
      <c r="G7951" s="3"/>
      <c r="H7951" s="3"/>
    </row>
    <row r="7952" spans="1:8">
      <c r="A7952" s="3" t="s">
        <v>179</v>
      </c>
      <c r="B7952" s="7" t="s">
        <v>180</v>
      </c>
      <c r="C7952" s="100" t="s">
        <v>32</v>
      </c>
      <c r="D7952" s="6">
        <v>45878</v>
      </c>
      <c r="E7952" s="3" t="str">
        <f ca="1">IF(Tabela2[[#This Row],[Dt Venc:]]&gt;TODAY(),"Em Aberto",IF(Tabela2[[#This Row],[D/venc]]="-","Enviado",IF(Tabela2[[#This Row],[Dt Venc:]]=TODAY(),"Vence Hoje","Vencida")))</f>
        <v>Em Aberto</v>
      </c>
      <c r="F7952" s="3">
        <f ca="1">IF(G7952=1,"-",Tabela2[[#This Row],[Dt Venc:]]-TODAY())</f>
        <v>185</v>
      </c>
      <c r="G7952" s="3"/>
      <c r="H7952" s="3"/>
    </row>
    <row r="7953" spans="1:8">
      <c r="A7953" s="3" t="s">
        <v>110</v>
      </c>
      <c r="B7953" s="7" t="s">
        <v>183</v>
      </c>
      <c r="C7953" s="42" t="s">
        <v>32</v>
      </c>
      <c r="D7953" s="6">
        <v>45879</v>
      </c>
      <c r="E7953" s="3" t="str">
        <f ca="1">IF(Tabela2[[#This Row],[Dt Venc:]]&gt;TODAY(),"Em Aberto",IF(Tabela2[[#This Row],[D/venc]]="-","Enviado",IF(Tabela2[[#This Row],[Dt Venc:]]=TODAY(),"Vence Hoje","Vencida")))</f>
        <v>Em Aberto</v>
      </c>
      <c r="F7953" s="3">
        <f ca="1">IF(G7953=1,"-",Tabela2[[#This Row],[Dt Venc:]]-TODAY())</f>
        <v>186</v>
      </c>
      <c r="G7953" s="3"/>
      <c r="H7953" s="3" t="s">
        <v>732</v>
      </c>
    </row>
    <row r="7954" spans="1:8">
      <c r="A7954" s="3" t="s">
        <v>110</v>
      </c>
      <c r="B7954" s="7" t="s">
        <v>181</v>
      </c>
      <c r="C7954" s="42" t="s">
        <v>32</v>
      </c>
      <c r="D7954" s="6">
        <v>45879</v>
      </c>
      <c r="E7954" s="3" t="str">
        <f ca="1">IF(Tabela2[[#This Row],[Dt Venc:]]&gt;TODAY(),"Em Aberto",IF(Tabela2[[#This Row],[D/venc]]="-","Enviado",IF(Tabela2[[#This Row],[Dt Venc:]]=TODAY(),"Vence Hoje","Vencida")))</f>
        <v>Em Aberto</v>
      </c>
      <c r="F7954" s="3">
        <f ca="1">IF(G7954=1,"-",Tabela2[[#This Row],[Dt Venc:]]-TODAY())</f>
        <v>186</v>
      </c>
      <c r="G7954" s="3"/>
      <c r="H7954" s="3" t="s">
        <v>732</v>
      </c>
    </row>
    <row r="7955" spans="1:8">
      <c r="A7955" s="3" t="s">
        <v>123</v>
      </c>
      <c r="B7955" s="7" t="s">
        <v>418</v>
      </c>
      <c r="C7955" s="42" t="s">
        <v>32</v>
      </c>
      <c r="D7955" s="6">
        <v>45879</v>
      </c>
      <c r="E7955" s="3" t="str">
        <f ca="1">IF(Tabela2[[#This Row],[Dt Venc:]]&gt;TODAY(),"Em Aberto",IF(Tabela2[[#This Row],[D/venc]]="-","Enviado",IF(Tabela2[[#This Row],[Dt Venc:]]=TODAY(),"Vence Hoje","Vencida")))</f>
        <v>Em Aberto</v>
      </c>
      <c r="F7955" s="3">
        <f ca="1">IF(G7955=1,"-",Tabela2[[#This Row],[Dt Venc:]]-TODAY())</f>
        <v>186</v>
      </c>
      <c r="G7955" s="3"/>
      <c r="H7955" s="3"/>
    </row>
    <row r="7956" spans="1:8">
      <c r="A7956" s="3" t="s">
        <v>123</v>
      </c>
      <c r="B7956" s="7" t="s">
        <v>201</v>
      </c>
      <c r="C7956" s="87" t="s">
        <v>32</v>
      </c>
      <c r="D7956" s="6">
        <v>45879</v>
      </c>
      <c r="E7956" s="3" t="str">
        <f ca="1">IF(Tabela2[[#This Row],[Dt Venc:]]&gt;TODAY(),"Em Aberto",IF(Tabela2[[#This Row],[D/venc]]="-","Enviado",IF(Tabela2[[#This Row],[Dt Venc:]]=TODAY(),"Vence Hoje","Vencida")))</f>
        <v>Em Aberto</v>
      </c>
      <c r="F7956" s="3">
        <f ca="1">IF(G7956=1,"-",Tabela2[[#This Row],[Dt Venc:]]-TODAY())</f>
        <v>186</v>
      </c>
      <c r="G7956" s="3"/>
      <c r="H7956" s="3"/>
    </row>
    <row r="7957" spans="1:8">
      <c r="A7957" s="3" t="s">
        <v>179</v>
      </c>
      <c r="B7957" s="7" t="s">
        <v>190</v>
      </c>
      <c r="C7957" s="100" t="s">
        <v>32</v>
      </c>
      <c r="D7957" s="6">
        <v>45879</v>
      </c>
      <c r="E7957" s="3" t="str">
        <f ca="1">IF(Tabela2[[#This Row],[Dt Venc:]]&gt;TODAY(),"Em Aberto",IF(Tabela2[[#This Row],[D/venc]]="-","Enviado",IF(Tabela2[[#This Row],[Dt Venc:]]=TODAY(),"Vence Hoje","Vencida")))</f>
        <v>Em Aberto</v>
      </c>
      <c r="F7957" s="3">
        <f ca="1">IF(G7957=1,"-",Tabela2[[#This Row],[Dt Venc:]]-TODAY())</f>
        <v>186</v>
      </c>
      <c r="G7957" s="3"/>
      <c r="H7957" s="3"/>
    </row>
    <row r="7958" spans="1:8">
      <c r="A7958" s="3" t="s">
        <v>110</v>
      </c>
      <c r="B7958" s="7" t="s">
        <v>205</v>
      </c>
      <c r="C7958" s="42" t="s">
        <v>32</v>
      </c>
      <c r="D7958" s="6">
        <v>45880</v>
      </c>
      <c r="E7958" s="3" t="str">
        <f ca="1">IF(Tabela2[[#This Row],[Dt Venc:]]&gt;TODAY(),"Em Aberto",IF(Tabela2[[#This Row],[D/venc]]="-","Enviado",IF(Tabela2[[#This Row],[Dt Venc:]]=TODAY(),"Vence Hoje","Vencida")))</f>
        <v>Em Aberto</v>
      </c>
      <c r="F7958" s="3">
        <f ca="1">IF(G7958=1,"-",Tabela2[[#This Row],[Dt Venc:]]-TODAY())</f>
        <v>187</v>
      </c>
      <c r="G7958" s="3"/>
      <c r="H7958" s="3"/>
    </row>
    <row r="7959" spans="1:8">
      <c r="A7959" s="3">
        <v>37292</v>
      </c>
      <c r="B7959" s="7" t="s">
        <v>167</v>
      </c>
      <c r="C7959" s="100" t="s">
        <v>32</v>
      </c>
      <c r="D7959" s="6">
        <v>45880</v>
      </c>
      <c r="E7959" s="3" t="str">
        <f ca="1">IF(Tabela2[[#This Row],[Dt Venc:]]&gt;TODAY(),"Em Aberto",IF(Tabela2[[#This Row],[D/venc]]="-","Enviado",IF(Tabela2[[#This Row],[Dt Venc:]]=TODAY(),"Vence Hoje","Vencida")))</f>
        <v>Em Aberto</v>
      </c>
      <c r="F7959" s="3">
        <f ca="1">IF(G7959=1,"-",Tabela2[[#This Row],[Dt Venc:]]-TODAY())</f>
        <v>187</v>
      </c>
      <c r="G7959" s="3"/>
      <c r="H7959" s="3"/>
    </row>
    <row r="7960" spans="1:8">
      <c r="A7960" s="3">
        <v>37327</v>
      </c>
      <c r="B7960" s="7" t="s">
        <v>167</v>
      </c>
      <c r="C7960" s="100" t="s">
        <v>32</v>
      </c>
      <c r="D7960" s="6">
        <v>45880</v>
      </c>
      <c r="E7960" s="3" t="str">
        <f ca="1">IF(Tabela2[[#This Row],[Dt Venc:]]&gt;TODAY(),"Em Aberto",IF(Tabela2[[#This Row],[D/venc]]="-","Enviado",IF(Tabela2[[#This Row],[Dt Venc:]]=TODAY(),"Vence Hoje","Vencida")))</f>
        <v>Em Aberto</v>
      </c>
      <c r="F7960" s="3">
        <f ca="1">IF(G7960=1,"-",Tabela2[[#This Row],[Dt Venc:]]-TODAY())</f>
        <v>187</v>
      </c>
      <c r="G7960" s="3"/>
      <c r="H7960" s="3"/>
    </row>
    <row r="7961" spans="1:8">
      <c r="A7961" s="3">
        <v>111736</v>
      </c>
      <c r="B7961" s="7" t="s">
        <v>182</v>
      </c>
      <c r="C7961" s="87" t="s">
        <v>32</v>
      </c>
      <c r="D7961" s="6">
        <v>45883</v>
      </c>
      <c r="E7961" s="3" t="str">
        <f ca="1">IF(Tabela2[[#This Row],[Dt Venc:]]&gt;TODAY(),"Em Aberto",IF(Tabela2[[#This Row],[D/venc]]="-","Enviado",IF(Tabela2[[#This Row],[Dt Venc:]]=TODAY(),"Vence Hoje","Vencida")))</f>
        <v>Em Aberto</v>
      </c>
      <c r="F7961" s="3">
        <f ca="1">IF(G7961=1,"-",Tabela2[[#This Row],[Dt Venc:]]-TODAY())</f>
        <v>190</v>
      </c>
      <c r="G7961" s="3"/>
      <c r="H7961" s="3"/>
    </row>
    <row r="7962" spans="1:8">
      <c r="A7962" s="3">
        <v>562</v>
      </c>
      <c r="B7962" s="7" t="s">
        <v>251</v>
      </c>
      <c r="C7962" s="100" t="s">
        <v>32</v>
      </c>
      <c r="D7962" s="6">
        <v>45884</v>
      </c>
      <c r="E7962" s="3" t="str">
        <f ca="1">IF(Tabela2[[#This Row],[Dt Venc:]]&gt;TODAY(),"Em Aberto",IF(Tabela2[[#This Row],[D/venc]]="-","Enviado",IF(Tabela2[[#This Row],[Dt Venc:]]=TODAY(),"Vence Hoje","Vencida")))</f>
        <v>Em Aberto</v>
      </c>
      <c r="F7962" s="3">
        <f ca="1">IF(G7962=1,"-",Tabela2[[#This Row],[Dt Venc:]]-TODAY())</f>
        <v>191</v>
      </c>
      <c r="G7962" s="3"/>
      <c r="H7962" s="3"/>
    </row>
    <row r="7963" spans="1:8">
      <c r="A7963" s="3">
        <v>36846</v>
      </c>
      <c r="B7963" s="7" t="s">
        <v>167</v>
      </c>
      <c r="C7963" s="100" t="s">
        <v>32</v>
      </c>
      <c r="D7963" s="6">
        <v>45884</v>
      </c>
      <c r="E7963" s="3" t="str">
        <f ca="1">IF(Tabela2[[#This Row],[Dt Venc:]]&gt;TODAY(),"Em Aberto",IF(Tabela2[[#This Row],[D/venc]]="-","Enviado",IF(Tabela2[[#This Row],[Dt Venc:]]=TODAY(),"Vence Hoje","Vencida")))</f>
        <v>Em Aberto</v>
      </c>
      <c r="F7963" s="3">
        <f ca="1">IF(G7963=1,"-",Tabela2[[#This Row],[Dt Venc:]]-TODAY())</f>
        <v>191</v>
      </c>
      <c r="G7963" s="3"/>
      <c r="H7963" s="3"/>
    </row>
    <row r="7964" spans="1:8">
      <c r="A7964" s="3">
        <v>103015</v>
      </c>
      <c r="B7964" s="7" t="s">
        <v>252</v>
      </c>
      <c r="C7964" s="100" t="s">
        <v>32</v>
      </c>
      <c r="D7964" s="6">
        <v>45884</v>
      </c>
      <c r="E7964" s="3" t="str">
        <f ca="1">IF(Tabela2[[#This Row],[Dt Venc:]]&gt;TODAY(),"Em Aberto",IF(Tabela2[[#This Row],[D/venc]]="-","Enviado",IF(Tabela2[[#This Row],[Dt Venc:]]=TODAY(),"Vence Hoje","Vencida")))</f>
        <v>Em Aberto</v>
      </c>
      <c r="F7964" s="3">
        <f ca="1">IF(G7964=1,"-",Tabela2[[#This Row],[Dt Venc:]]-TODAY())</f>
        <v>191</v>
      </c>
      <c r="G7964" s="3"/>
      <c r="H7964" s="3"/>
    </row>
    <row r="7965" spans="1:8">
      <c r="A7965" s="3">
        <v>103077</v>
      </c>
      <c r="B7965" s="7" t="s">
        <v>252</v>
      </c>
      <c r="C7965" s="100" t="s">
        <v>32</v>
      </c>
      <c r="D7965" s="6">
        <v>45884</v>
      </c>
      <c r="E7965" s="3" t="str">
        <f ca="1">IF(Tabela2[[#This Row],[Dt Venc:]]&gt;TODAY(),"Em Aberto",IF(Tabela2[[#This Row],[D/venc]]="-","Enviado",IF(Tabela2[[#This Row],[Dt Venc:]]=TODAY(),"Vence Hoje","Vencida")))</f>
        <v>Em Aberto</v>
      </c>
      <c r="F7965" s="3">
        <f ca="1">IF(G7965=1,"-",Tabela2[[#This Row],[Dt Venc:]]-TODAY())</f>
        <v>191</v>
      </c>
      <c r="G7965" s="3"/>
      <c r="H7965" s="3"/>
    </row>
    <row r="7966" spans="1:8">
      <c r="A7966" s="3">
        <v>103153</v>
      </c>
      <c r="B7966" s="7" t="s">
        <v>252</v>
      </c>
      <c r="C7966" s="87" t="s">
        <v>32</v>
      </c>
      <c r="D7966" s="6">
        <v>45884</v>
      </c>
      <c r="E7966" s="3" t="str">
        <f ca="1">IF(Tabela2[[#This Row],[Dt Venc:]]&gt;TODAY(),"Em Aberto",IF(Tabela2[[#This Row],[D/venc]]="-","Enviado",IF(Tabela2[[#This Row],[Dt Venc:]]=TODAY(),"Vence Hoje","Vencida")))</f>
        <v>Em Aberto</v>
      </c>
      <c r="F7966" s="3">
        <f ca="1">IF(G7966=1,"-",Tabela2[[#This Row],[Dt Venc:]]-TODAY())</f>
        <v>191</v>
      </c>
      <c r="G7966" s="3"/>
      <c r="H7966" s="3"/>
    </row>
    <row r="7967" spans="1:8">
      <c r="A7967" s="3">
        <v>103154</v>
      </c>
      <c r="B7967" s="7" t="s">
        <v>252</v>
      </c>
      <c r="C7967" s="100" t="s">
        <v>32</v>
      </c>
      <c r="D7967" s="6">
        <v>45884</v>
      </c>
      <c r="E7967" s="3" t="str">
        <f ca="1">IF(Tabela2[[#This Row],[Dt Venc:]]&gt;TODAY(),"Em Aberto",IF(Tabela2[[#This Row],[D/venc]]="-","Enviado",IF(Tabela2[[#This Row],[Dt Venc:]]=TODAY(),"Vence Hoje","Vencida")))</f>
        <v>Em Aberto</v>
      </c>
      <c r="F7967" s="3">
        <f ca="1">IF(G7967=1,"-",Tabela2[[#This Row],[Dt Venc:]]-TODAY())</f>
        <v>191</v>
      </c>
      <c r="G7967" s="3"/>
      <c r="H7967" s="3"/>
    </row>
    <row r="7968" spans="1:8">
      <c r="A7968" s="3">
        <v>106007</v>
      </c>
      <c r="B7968" s="7" t="s">
        <v>252</v>
      </c>
      <c r="C7968" s="100" t="s">
        <v>32</v>
      </c>
      <c r="D7968" s="6">
        <v>45884</v>
      </c>
      <c r="E7968" s="3" t="str">
        <f ca="1">IF(Tabela2[[#This Row],[Dt Venc:]]&gt;TODAY(),"Em Aberto",IF(Tabela2[[#This Row],[D/venc]]="-","Enviado",IF(Tabela2[[#This Row],[Dt Venc:]]=TODAY(),"Vence Hoje","Vencida")))</f>
        <v>Em Aberto</v>
      </c>
      <c r="F7968" s="3">
        <f ca="1">IF(G7968=1,"-",Tabela2[[#This Row],[Dt Venc:]]-TODAY())</f>
        <v>191</v>
      </c>
      <c r="G7968" s="3"/>
      <c r="H7968" s="3"/>
    </row>
    <row r="7969" spans="1:8">
      <c r="A7969" s="3">
        <v>106043</v>
      </c>
      <c r="B7969" s="7" t="s">
        <v>252</v>
      </c>
      <c r="C7969" s="100" t="s">
        <v>32</v>
      </c>
      <c r="D7969" s="6">
        <v>45884</v>
      </c>
      <c r="E7969" s="3" t="str">
        <f ca="1">IF(Tabela2[[#This Row],[Dt Venc:]]&gt;TODAY(),"Em Aberto",IF(Tabela2[[#This Row],[D/venc]]="-","Enviado",IF(Tabela2[[#This Row],[Dt Venc:]]=TODAY(),"Vence Hoje","Vencida")))</f>
        <v>Em Aberto</v>
      </c>
      <c r="F7969" s="3">
        <f ca="1">IF(G7969=1,"-",Tabela2[[#This Row],[Dt Venc:]]-TODAY())</f>
        <v>191</v>
      </c>
      <c r="G7969" s="3"/>
      <c r="H7969" s="3"/>
    </row>
    <row r="7970" spans="1:8">
      <c r="A7970" s="3">
        <v>107829</v>
      </c>
      <c r="B7970" s="7" t="s">
        <v>252</v>
      </c>
      <c r="C7970" s="100" t="s">
        <v>32</v>
      </c>
      <c r="D7970" s="6">
        <v>45884</v>
      </c>
      <c r="E7970" s="3" t="str">
        <f ca="1">IF(Tabela2[[#This Row],[Dt Venc:]]&gt;TODAY(),"Em Aberto",IF(Tabela2[[#This Row],[D/venc]]="-","Enviado",IF(Tabela2[[#This Row],[Dt Venc:]]=TODAY(),"Vence Hoje","Vencida")))</f>
        <v>Em Aberto</v>
      </c>
      <c r="F7970" s="3">
        <f ca="1">IF(G7970=1,"-",Tabela2[[#This Row],[Dt Venc:]]-TODAY())</f>
        <v>191</v>
      </c>
      <c r="G7970" s="3"/>
      <c r="H7970" s="3"/>
    </row>
    <row r="7971" spans="1:8">
      <c r="A7971" s="3">
        <v>107830</v>
      </c>
      <c r="B7971" s="7" t="s">
        <v>252</v>
      </c>
      <c r="C7971" s="87" t="s">
        <v>32</v>
      </c>
      <c r="D7971" s="6">
        <v>45884</v>
      </c>
      <c r="E7971" s="3" t="str">
        <f ca="1">IF(Tabela2[[#This Row],[Dt Venc:]]&gt;TODAY(),"Em Aberto",IF(Tabela2[[#This Row],[D/venc]]="-","Enviado",IF(Tabela2[[#This Row],[Dt Venc:]]=TODAY(),"Vence Hoje","Vencida")))</f>
        <v>Em Aberto</v>
      </c>
      <c r="F7971" s="3">
        <f ca="1">IF(G7971=1,"-",Tabela2[[#This Row],[Dt Venc:]]-TODAY())</f>
        <v>191</v>
      </c>
      <c r="G7971" s="3"/>
      <c r="H7971" s="3"/>
    </row>
    <row r="7972" spans="1:8">
      <c r="A7972" s="3">
        <v>107831</v>
      </c>
      <c r="B7972" s="7" t="s">
        <v>252</v>
      </c>
      <c r="C7972" s="100" t="s">
        <v>32</v>
      </c>
      <c r="D7972" s="6">
        <v>45884</v>
      </c>
      <c r="E7972" s="3" t="str">
        <f ca="1">IF(Tabela2[[#This Row],[Dt Venc:]]&gt;TODAY(),"Em Aberto",IF(Tabela2[[#This Row],[D/venc]]="-","Enviado",IF(Tabela2[[#This Row],[Dt Venc:]]=TODAY(),"Vence Hoje","Vencida")))</f>
        <v>Em Aberto</v>
      </c>
      <c r="F7972" s="3">
        <f ca="1">IF(G7972=1,"-",Tabela2[[#This Row],[Dt Venc:]]-TODAY())</f>
        <v>191</v>
      </c>
      <c r="G7972" s="3"/>
      <c r="H7972" s="3"/>
    </row>
    <row r="7973" spans="1:8">
      <c r="A7973" s="3">
        <v>107832</v>
      </c>
      <c r="B7973" s="7" t="s">
        <v>252</v>
      </c>
      <c r="C7973" s="100" t="s">
        <v>32</v>
      </c>
      <c r="D7973" s="6">
        <v>45884</v>
      </c>
      <c r="E7973" s="3" t="str">
        <f ca="1">IF(Tabela2[[#This Row],[Dt Venc:]]&gt;TODAY(),"Em Aberto",IF(Tabela2[[#This Row],[D/venc]]="-","Enviado",IF(Tabela2[[#This Row],[Dt Venc:]]=TODAY(),"Vence Hoje","Vencida")))</f>
        <v>Em Aberto</v>
      </c>
      <c r="F7973" s="3">
        <f ca="1">IF(G7973=1,"-",Tabela2[[#This Row],[Dt Venc:]]-TODAY())</f>
        <v>191</v>
      </c>
      <c r="G7973" s="3"/>
      <c r="H7973" s="3"/>
    </row>
    <row r="7974" spans="1:8">
      <c r="A7974" s="3">
        <v>361229</v>
      </c>
      <c r="B7974" s="7" t="s">
        <v>250</v>
      </c>
      <c r="C7974" s="100" t="s">
        <v>32</v>
      </c>
      <c r="D7974" s="6">
        <v>45884</v>
      </c>
      <c r="E7974" s="3" t="str">
        <f ca="1">IF(Tabela2[[#This Row],[Dt Venc:]]&gt;TODAY(),"Em Aberto",IF(Tabela2[[#This Row],[D/venc]]="-","Enviado",IF(Tabela2[[#This Row],[Dt Venc:]]=TODAY(),"Vence Hoje","Vencida")))</f>
        <v>Em Aberto</v>
      </c>
      <c r="F7974" s="3">
        <f ca="1">IF(G7974=1,"-",Tabela2[[#This Row],[Dt Venc:]]-TODAY())</f>
        <v>191</v>
      </c>
      <c r="G7974" s="3"/>
      <c r="H7974" s="3"/>
    </row>
    <row r="7975" spans="1:8">
      <c r="A7975" s="3">
        <v>361237</v>
      </c>
      <c r="B7975" s="7" t="s">
        <v>250</v>
      </c>
      <c r="C7975" s="100" t="s">
        <v>32</v>
      </c>
      <c r="D7975" s="6">
        <v>45884</v>
      </c>
      <c r="E7975" s="3" t="str">
        <f ca="1">IF(Tabela2[[#This Row],[Dt Venc:]]&gt;TODAY(),"Em Aberto",IF(Tabela2[[#This Row],[D/venc]]="-","Enviado",IF(Tabela2[[#This Row],[Dt Venc:]]=TODAY(),"Vence Hoje","Vencida")))</f>
        <v>Em Aberto</v>
      </c>
      <c r="F7975" s="3">
        <f ca="1">IF(G7975=1,"-",Tabela2[[#This Row],[Dt Venc:]]-TODAY())</f>
        <v>191</v>
      </c>
      <c r="G7975" s="3"/>
      <c r="H7975" s="3"/>
    </row>
    <row r="7976" spans="1:8">
      <c r="A7976" s="3">
        <v>365658</v>
      </c>
      <c r="B7976" s="7" t="s">
        <v>250</v>
      </c>
      <c r="C7976" s="100" t="s">
        <v>32</v>
      </c>
      <c r="D7976" s="6">
        <v>45884</v>
      </c>
      <c r="E7976" s="3" t="str">
        <f ca="1">IF(Tabela2[[#This Row],[Dt Venc:]]&gt;TODAY(),"Em Aberto",IF(Tabela2[[#This Row],[D/venc]]="-","Enviado",IF(Tabela2[[#This Row],[Dt Venc:]]=TODAY(),"Vence Hoje","Vencida")))</f>
        <v>Em Aberto</v>
      </c>
      <c r="F7976" s="3">
        <f ca="1">IF(G7976=1,"-",Tabela2[[#This Row],[Dt Venc:]]-TODAY())</f>
        <v>191</v>
      </c>
      <c r="G7976" s="3"/>
      <c r="H7976" s="3"/>
    </row>
    <row r="7977" spans="1:8">
      <c r="A7977" s="3">
        <v>365666</v>
      </c>
      <c r="B7977" s="7" t="s">
        <v>250</v>
      </c>
      <c r="C7977" s="100" t="s">
        <v>32</v>
      </c>
      <c r="D7977" s="6">
        <v>45884</v>
      </c>
      <c r="E7977" s="3" t="str">
        <f ca="1">IF(Tabela2[[#This Row],[Dt Venc:]]&gt;TODAY(),"Em Aberto",IF(Tabela2[[#This Row],[D/venc]]="-","Enviado",IF(Tabela2[[#This Row],[Dt Venc:]]=TODAY(),"Vence Hoje","Vencida")))</f>
        <v>Em Aberto</v>
      </c>
      <c r="F7977" s="3">
        <f ca="1">IF(G7977=1,"-",Tabela2[[#This Row],[Dt Venc:]]-TODAY())</f>
        <v>191</v>
      </c>
      <c r="G7977" s="3"/>
      <c r="H7977" s="3"/>
    </row>
    <row r="7978" spans="1:8">
      <c r="A7978" s="3">
        <v>365674</v>
      </c>
      <c r="B7978" s="7" t="s">
        <v>250</v>
      </c>
      <c r="C7978" s="100" t="s">
        <v>32</v>
      </c>
      <c r="D7978" s="6">
        <v>45884</v>
      </c>
      <c r="E7978" s="3" t="str">
        <f ca="1">IF(Tabela2[[#This Row],[Dt Venc:]]&gt;TODAY(),"Em Aberto",IF(Tabela2[[#This Row],[D/venc]]="-","Enviado",IF(Tabela2[[#This Row],[Dt Venc:]]=TODAY(),"Vence Hoje","Vencida")))</f>
        <v>Em Aberto</v>
      </c>
      <c r="F7978" s="3">
        <f ca="1">IF(G7978=1,"-",Tabela2[[#This Row],[Dt Venc:]]-TODAY())</f>
        <v>191</v>
      </c>
      <c r="G7978" s="3"/>
      <c r="H7978" s="3"/>
    </row>
    <row r="7979" spans="1:8">
      <c r="A7979" s="3">
        <v>365682</v>
      </c>
      <c r="B7979" s="7" t="s">
        <v>250</v>
      </c>
      <c r="C7979" s="99" t="s">
        <v>32</v>
      </c>
      <c r="D7979" s="6">
        <v>45884</v>
      </c>
      <c r="E7979" s="3" t="str">
        <f ca="1">IF(Tabela2[[#This Row],[Dt Venc:]]&gt;TODAY(),"Em Aberto",IF(Tabela2[[#This Row],[D/venc]]="-","Enviado",IF(Tabela2[[#This Row],[Dt Venc:]]=TODAY(),"Vence Hoje","Vencida")))</f>
        <v>Em Aberto</v>
      </c>
      <c r="F7979" s="3">
        <f ca="1">IF(G7979=1,"-",Tabela2[[#This Row],[Dt Venc:]]-TODAY())</f>
        <v>191</v>
      </c>
      <c r="G7979" s="3"/>
      <c r="H7979" s="3"/>
    </row>
    <row r="7980" spans="1:8">
      <c r="A7980" s="3">
        <v>369335</v>
      </c>
      <c r="B7980" s="7" t="s">
        <v>543</v>
      </c>
      <c r="C7980" s="85" t="s">
        <v>32</v>
      </c>
      <c r="D7980" s="6">
        <v>45884</v>
      </c>
      <c r="E7980" s="3" t="str">
        <f ca="1">IF(Tabela2[[#This Row],[Dt Venc:]]&gt;TODAY(),"Em Aberto",IF(Tabela2[[#This Row],[D/venc]]="-","Enviado",IF(Tabela2[[#This Row],[Dt Venc:]]=TODAY(),"Vence Hoje","Vencida")))</f>
        <v>Em Aberto</v>
      </c>
      <c r="F7980" s="3">
        <f ca="1">IF(G7980=1,"-",Tabela2[[#This Row],[Dt Venc:]]-TODAY())</f>
        <v>191</v>
      </c>
      <c r="G7980" s="3"/>
      <c r="H7980" s="3"/>
    </row>
    <row r="7981" spans="1:8">
      <c r="A7981" s="3">
        <v>369696</v>
      </c>
      <c r="B7981" s="7" t="s">
        <v>543</v>
      </c>
      <c r="C7981" s="87" t="s">
        <v>32</v>
      </c>
      <c r="D7981" s="6">
        <v>45884</v>
      </c>
      <c r="E7981" s="3" t="str">
        <f ca="1">IF(Tabela2[[#This Row],[Dt Venc:]]&gt;TODAY(),"Em Aberto",IF(Tabela2[[#This Row],[D/venc]]="-","Enviado",IF(Tabela2[[#This Row],[Dt Venc:]]=TODAY(),"Vence Hoje","Vencida")))</f>
        <v>Em Aberto</v>
      </c>
      <c r="F7981" s="3">
        <f ca="1">IF(G7981=1,"-",Tabela2[[#This Row],[Dt Venc:]]-TODAY())</f>
        <v>191</v>
      </c>
      <c r="G7981" s="3"/>
      <c r="H7981" s="3"/>
    </row>
    <row r="7982" spans="1:8">
      <c r="A7982" s="3">
        <v>369726</v>
      </c>
      <c r="B7982" s="7" t="s">
        <v>543</v>
      </c>
      <c r="C7982" s="87" t="s">
        <v>32</v>
      </c>
      <c r="D7982" s="6">
        <v>45884</v>
      </c>
      <c r="E7982" s="3" t="str">
        <f ca="1">IF(Tabela2[[#This Row],[Dt Venc:]]&gt;TODAY(),"Em Aberto",IF(Tabela2[[#This Row],[D/venc]]="-","Enviado",IF(Tabela2[[#This Row],[Dt Venc:]]=TODAY(),"Vence Hoje","Vencida")))</f>
        <v>Em Aberto</v>
      </c>
      <c r="F7982" s="3">
        <f ca="1">IF(G7982=1,"-",Tabela2[[#This Row],[Dt Venc:]]-TODAY())</f>
        <v>191</v>
      </c>
      <c r="G7982" s="3"/>
      <c r="H7982" s="3"/>
    </row>
    <row r="7983" spans="1:8">
      <c r="A7983" s="3">
        <v>369751</v>
      </c>
      <c r="B7983" s="7" t="s">
        <v>543</v>
      </c>
      <c r="C7983" s="87" t="s">
        <v>32</v>
      </c>
      <c r="D7983" s="6">
        <v>45884</v>
      </c>
      <c r="E7983" s="3" t="str">
        <f ca="1">IF(Tabela2[[#This Row],[Dt Venc:]]&gt;TODAY(),"Em Aberto",IF(Tabela2[[#This Row],[D/venc]]="-","Enviado",IF(Tabela2[[#This Row],[Dt Venc:]]=TODAY(),"Vence Hoje","Vencida")))</f>
        <v>Em Aberto</v>
      </c>
      <c r="F7983" s="3">
        <f ca="1">IF(G7983=1,"-",Tabela2[[#This Row],[Dt Venc:]]-TODAY())</f>
        <v>191</v>
      </c>
      <c r="G7983" s="3"/>
      <c r="H7983" s="3"/>
    </row>
    <row r="7984" spans="1:8">
      <c r="A7984" s="3">
        <v>370201</v>
      </c>
      <c r="B7984" s="7" t="s">
        <v>543</v>
      </c>
      <c r="C7984" s="87" t="s">
        <v>32</v>
      </c>
      <c r="D7984" s="6">
        <v>45884</v>
      </c>
      <c r="E7984" s="3" t="str">
        <f ca="1">IF(Tabela2[[#This Row],[Dt Venc:]]&gt;TODAY(),"Em Aberto",IF(Tabela2[[#This Row],[D/venc]]="-","Enviado",IF(Tabela2[[#This Row],[Dt Venc:]]=TODAY(),"Vence Hoje","Vencida")))</f>
        <v>Em Aberto</v>
      </c>
      <c r="F7984" s="3">
        <f ca="1">IF(G7984=1,"-",Tabela2[[#This Row],[Dt Venc:]]-TODAY())</f>
        <v>191</v>
      </c>
      <c r="G7984" s="3"/>
      <c r="H7984" s="3"/>
    </row>
    <row r="7985" spans="1:8">
      <c r="A7985" s="3">
        <v>370864</v>
      </c>
      <c r="B7985" s="7" t="s">
        <v>543</v>
      </c>
      <c r="C7985" s="87" t="s">
        <v>32</v>
      </c>
      <c r="D7985" s="6">
        <v>45884</v>
      </c>
      <c r="E7985" s="3" t="str">
        <f ca="1">IF(Tabela2[[#This Row],[Dt Venc:]]&gt;TODAY(),"Em Aberto",IF(Tabela2[[#This Row],[D/venc]]="-","Enviado",IF(Tabela2[[#This Row],[Dt Venc:]]=TODAY(),"Vence Hoje","Vencida")))</f>
        <v>Em Aberto</v>
      </c>
      <c r="F7985" s="3">
        <f ca="1">IF(G7985=1,"-",Tabela2[[#This Row],[Dt Venc:]]-TODAY())</f>
        <v>191</v>
      </c>
      <c r="G7985" s="3"/>
      <c r="H7985" s="3"/>
    </row>
    <row r="7986" spans="1:8">
      <c r="A7986" s="3">
        <v>371011</v>
      </c>
      <c r="B7986" s="7" t="s">
        <v>633</v>
      </c>
      <c r="C7986" s="87" t="s">
        <v>32</v>
      </c>
      <c r="D7986" s="6">
        <v>45884</v>
      </c>
      <c r="E7986" s="3" t="str">
        <f ca="1">IF(Tabela2[[#This Row],[Dt Venc:]]&gt;TODAY(),"Em Aberto",IF(Tabela2[[#This Row],[D/venc]]="-","Enviado",IF(Tabela2[[#This Row],[Dt Venc:]]=TODAY(),"Vence Hoje","Vencida")))</f>
        <v>Em Aberto</v>
      </c>
      <c r="F7986" s="3">
        <f ca="1">IF(G7986=1,"-",Tabela2[[#This Row],[Dt Venc:]]-TODAY())</f>
        <v>191</v>
      </c>
      <c r="G7986" s="3"/>
      <c r="H7986" s="3"/>
    </row>
    <row r="7987" spans="1:8">
      <c r="A7987" s="3">
        <v>371160</v>
      </c>
      <c r="B7987" s="7" t="s">
        <v>633</v>
      </c>
      <c r="C7987" s="85" t="s">
        <v>32</v>
      </c>
      <c r="D7987" s="6">
        <v>45884</v>
      </c>
      <c r="E7987" s="3" t="str">
        <f ca="1">IF(Tabela2[[#This Row],[Dt Venc:]]&gt;TODAY(),"Em Aberto",IF(Tabela2[[#This Row],[D/venc]]="-","Enviado",IF(Tabela2[[#This Row],[Dt Venc:]]=TODAY(),"Vence Hoje","Vencida")))</f>
        <v>Em Aberto</v>
      </c>
      <c r="F7987" s="3">
        <f ca="1">IF(G7987=1,"-",Tabela2[[#This Row],[Dt Venc:]]-TODAY())</f>
        <v>191</v>
      </c>
      <c r="G7987" s="3"/>
      <c r="H7987" s="3"/>
    </row>
    <row r="7988" spans="1:8">
      <c r="A7988" s="3">
        <v>748099</v>
      </c>
      <c r="B7988" s="7" t="s">
        <v>81</v>
      </c>
      <c r="C7988" s="99" t="s">
        <v>32</v>
      </c>
      <c r="D7988" s="6">
        <v>45884</v>
      </c>
      <c r="E7988" s="3" t="str">
        <f ca="1">IF(Tabela2[[#This Row],[Dt Venc:]]&gt;TODAY(),"Em Aberto",IF(Tabela2[[#This Row],[D/venc]]="-","Enviado",IF(Tabela2[[#This Row],[Dt Venc:]]=TODAY(),"Vence Hoje","Vencida")))</f>
        <v>Em Aberto</v>
      </c>
      <c r="F7988" s="3">
        <f ca="1">IF(G7988=1,"-",Tabela2[[#This Row],[Dt Venc:]]-TODAY())</f>
        <v>191</v>
      </c>
      <c r="G7988" s="3"/>
      <c r="H7988" s="3"/>
    </row>
    <row r="7989" spans="1:8">
      <c r="A7989" s="3">
        <v>892178</v>
      </c>
      <c r="B7989" s="7" t="s">
        <v>253</v>
      </c>
      <c r="C7989" s="99" t="s">
        <v>32</v>
      </c>
      <c r="D7989" s="6">
        <v>45884</v>
      </c>
      <c r="E7989" s="3" t="str">
        <f ca="1">IF(Tabela2[[#This Row],[Dt Venc:]]&gt;TODAY(),"Em Aberto",IF(Tabela2[[#This Row],[D/venc]]="-","Enviado",IF(Tabela2[[#This Row],[Dt Venc:]]=TODAY(),"Vence Hoje","Vencida")))</f>
        <v>Em Aberto</v>
      </c>
      <c r="F7989" s="3">
        <f ca="1">IF(G7989=1,"-",Tabela2[[#This Row],[Dt Venc:]]-TODAY())</f>
        <v>191</v>
      </c>
      <c r="G7989" s="3"/>
      <c r="H7989" s="3"/>
    </row>
    <row r="7990" spans="1:8">
      <c r="A7990" s="3">
        <v>894135</v>
      </c>
      <c r="B7990" s="7" t="s">
        <v>253</v>
      </c>
      <c r="C7990" s="99" t="s">
        <v>32</v>
      </c>
      <c r="D7990" s="6">
        <v>45884</v>
      </c>
      <c r="E7990" s="3" t="str">
        <f ca="1">IF(Tabela2[[#This Row],[Dt Venc:]]&gt;TODAY(),"Em Aberto",IF(Tabela2[[#This Row],[D/venc]]="-","Enviado",IF(Tabela2[[#This Row],[Dt Venc:]]=TODAY(),"Vence Hoje","Vencida")))</f>
        <v>Em Aberto</v>
      </c>
      <c r="F7990" s="3">
        <f ca="1">IF(G7990=1,"-",Tabela2[[#This Row],[Dt Venc:]]-TODAY())</f>
        <v>191</v>
      </c>
      <c r="G7990" s="3"/>
      <c r="H7990" s="3"/>
    </row>
    <row r="7991" spans="1:8">
      <c r="A7991" s="3">
        <v>896565</v>
      </c>
      <c r="B7991" s="7" t="s">
        <v>253</v>
      </c>
      <c r="C7991" s="99" t="s">
        <v>32</v>
      </c>
      <c r="D7991" s="6">
        <v>45884</v>
      </c>
      <c r="E7991" s="3" t="str">
        <f ca="1">IF(Tabela2[[#This Row],[Dt Venc:]]&gt;TODAY(),"Em Aberto",IF(Tabela2[[#This Row],[D/venc]]="-","Enviado",IF(Tabela2[[#This Row],[Dt Venc:]]=TODAY(),"Vence Hoje","Vencida")))</f>
        <v>Em Aberto</v>
      </c>
      <c r="F7991" s="3">
        <f ca="1">IF(G7991=1,"-",Tabela2[[#This Row],[Dt Venc:]]-TODAY())</f>
        <v>191</v>
      </c>
      <c r="G7991" s="3"/>
      <c r="H7991" s="3"/>
    </row>
    <row r="7992" spans="1:8">
      <c r="A7992" s="3">
        <v>900386</v>
      </c>
      <c r="B7992" s="7" t="s">
        <v>253</v>
      </c>
      <c r="C7992" s="99" t="s">
        <v>32</v>
      </c>
      <c r="D7992" s="6">
        <v>45884</v>
      </c>
      <c r="E7992" s="3" t="str">
        <f ca="1">IF(Tabela2[[#This Row],[Dt Venc:]]&gt;TODAY(),"Em Aberto",IF(Tabela2[[#This Row],[D/venc]]="-","Enviado",IF(Tabela2[[#This Row],[Dt Venc:]]=TODAY(),"Vence Hoje","Vencida")))</f>
        <v>Em Aberto</v>
      </c>
      <c r="F7992" s="3">
        <f ca="1">IF(G7992=1,"-",Tabela2[[#This Row],[Dt Venc:]]-TODAY())</f>
        <v>191</v>
      </c>
      <c r="G7992" s="3"/>
      <c r="H7992" s="3"/>
    </row>
    <row r="7993" spans="1:8">
      <c r="A7993" s="3">
        <v>901787</v>
      </c>
      <c r="B7993" s="7" t="s">
        <v>253</v>
      </c>
      <c r="C7993" s="99" t="s">
        <v>32</v>
      </c>
      <c r="D7993" s="6">
        <v>45884</v>
      </c>
      <c r="E7993" s="3" t="str">
        <f ca="1">IF(Tabela2[[#This Row],[Dt Venc:]]&gt;TODAY(),"Em Aberto",IF(Tabela2[[#This Row],[D/venc]]="-","Enviado",IF(Tabela2[[#This Row],[Dt Venc:]]=TODAY(),"Vence Hoje","Vencida")))</f>
        <v>Em Aberto</v>
      </c>
      <c r="F7993" s="3">
        <f ca="1">IF(G7993=1,"-",Tabela2[[#This Row],[Dt Venc:]]-TODAY())</f>
        <v>191</v>
      </c>
      <c r="G7993" s="3"/>
      <c r="H7993" s="3"/>
    </row>
    <row r="7994" spans="1:8">
      <c r="A7994" s="3">
        <v>901788</v>
      </c>
      <c r="B7994" s="7" t="s">
        <v>253</v>
      </c>
      <c r="C7994" s="99" t="s">
        <v>32</v>
      </c>
      <c r="D7994" s="6">
        <v>45884</v>
      </c>
      <c r="E7994" s="3" t="str">
        <f ca="1">IF(Tabela2[[#This Row],[Dt Venc:]]&gt;TODAY(),"Em Aberto",IF(Tabela2[[#This Row],[D/venc]]="-","Enviado",IF(Tabela2[[#This Row],[Dt Venc:]]=TODAY(),"Vence Hoje","Vencida")))</f>
        <v>Em Aberto</v>
      </c>
      <c r="F7994" s="3">
        <f ca="1">IF(G7994=1,"-",Tabela2[[#This Row],[Dt Venc:]]-TODAY())</f>
        <v>191</v>
      </c>
      <c r="G7994" s="3"/>
      <c r="H7994" s="3"/>
    </row>
    <row r="7995" spans="1:8">
      <c r="A7995" s="3">
        <v>901789</v>
      </c>
      <c r="B7995" s="7" t="s">
        <v>253</v>
      </c>
      <c r="C7995" s="99" t="s">
        <v>32</v>
      </c>
      <c r="D7995" s="6">
        <v>45884</v>
      </c>
      <c r="E7995" s="3" t="str">
        <f ca="1">IF(Tabela2[[#This Row],[Dt Venc:]]&gt;TODAY(),"Em Aberto",IF(Tabela2[[#This Row],[D/venc]]="-","Enviado",IF(Tabela2[[#This Row],[Dt Venc:]]=TODAY(),"Vence Hoje","Vencida")))</f>
        <v>Em Aberto</v>
      </c>
      <c r="F7995" s="3">
        <f ca="1">IF(G7995=1,"-",Tabela2[[#This Row],[Dt Venc:]]-TODAY())</f>
        <v>191</v>
      </c>
      <c r="G7995" s="3"/>
      <c r="H7995" s="3"/>
    </row>
    <row r="7996" spans="1:8">
      <c r="A7996" s="3">
        <v>912703</v>
      </c>
      <c r="B7996" s="7" t="s">
        <v>253</v>
      </c>
      <c r="C7996" s="99" t="s">
        <v>32</v>
      </c>
      <c r="D7996" s="6">
        <v>45884</v>
      </c>
      <c r="E7996" s="3" t="str">
        <f ca="1">IF(Tabela2[[#This Row],[Dt Venc:]]&gt;TODAY(),"Em Aberto",IF(Tabela2[[#This Row],[D/venc]]="-","Enviado",IF(Tabela2[[#This Row],[Dt Venc:]]=TODAY(),"Vence Hoje","Vencida")))</f>
        <v>Em Aberto</v>
      </c>
      <c r="F7996" s="3">
        <f ca="1">IF(G7996=1,"-",Tabela2[[#This Row],[Dt Venc:]]-TODAY())</f>
        <v>191</v>
      </c>
      <c r="G7996" s="3"/>
      <c r="H7996" s="3"/>
    </row>
    <row r="7997" spans="1:8">
      <c r="A7997" s="3">
        <v>912704</v>
      </c>
      <c r="B7997" s="7" t="s">
        <v>253</v>
      </c>
      <c r="C7997" s="99" t="s">
        <v>32</v>
      </c>
      <c r="D7997" s="6">
        <v>45884</v>
      </c>
      <c r="E7997" s="3" t="str">
        <f ca="1">IF(Tabela2[[#This Row],[Dt Venc:]]&gt;TODAY(),"Em Aberto",IF(Tabela2[[#This Row],[D/venc]]="-","Enviado",IF(Tabela2[[#This Row],[Dt Venc:]]=TODAY(),"Vence Hoje","Vencida")))</f>
        <v>Em Aberto</v>
      </c>
      <c r="F7997" s="3">
        <f ca="1">IF(G7997=1,"-",Tabela2[[#This Row],[Dt Venc:]]-TODAY())</f>
        <v>191</v>
      </c>
      <c r="G7997" s="3"/>
      <c r="H7997" s="3"/>
    </row>
    <row r="7998" spans="1:8">
      <c r="A7998" s="3">
        <v>919728</v>
      </c>
      <c r="B7998" s="7" t="s">
        <v>253</v>
      </c>
      <c r="C7998" s="87" t="s">
        <v>32</v>
      </c>
      <c r="D7998" s="6">
        <v>45884</v>
      </c>
      <c r="E7998" s="3" t="str">
        <f ca="1">IF(Tabela2[[#This Row],[Dt Venc:]]&gt;TODAY(),"Em Aberto",IF(Tabela2[[#This Row],[D/venc]]="-","Enviado",IF(Tabela2[[#This Row],[Dt Venc:]]=TODAY(),"Vence Hoje","Vencida")))</f>
        <v>Em Aberto</v>
      </c>
      <c r="F7998" s="3">
        <f ca="1">IF(G7998=1,"-",Tabela2[[#This Row],[Dt Venc:]]-TODAY())</f>
        <v>191</v>
      </c>
      <c r="G7998" s="3"/>
      <c r="H7998" s="3"/>
    </row>
    <row r="7999" spans="1:8">
      <c r="A7999" s="3">
        <v>919729</v>
      </c>
      <c r="B7999" s="7" t="s">
        <v>253</v>
      </c>
      <c r="C7999" s="87" t="s">
        <v>32</v>
      </c>
      <c r="D7999" s="6">
        <v>45884</v>
      </c>
      <c r="E7999" s="3" t="str">
        <f ca="1">IF(Tabela2[[#This Row],[Dt Venc:]]&gt;TODAY(),"Em Aberto",IF(Tabela2[[#This Row],[D/venc]]="-","Enviado",IF(Tabela2[[#This Row],[Dt Venc:]]=TODAY(),"Vence Hoje","Vencida")))</f>
        <v>Em Aberto</v>
      </c>
      <c r="F7999" s="3">
        <f ca="1">IF(G7999=1,"-",Tabela2[[#This Row],[Dt Venc:]]-TODAY())</f>
        <v>191</v>
      </c>
      <c r="G7999" s="3"/>
      <c r="H7999" s="3"/>
    </row>
    <row r="8000" spans="1:8">
      <c r="A8000" s="3">
        <v>37196</v>
      </c>
      <c r="B8000" s="7" t="s">
        <v>167</v>
      </c>
      <c r="C8000" s="85" t="s">
        <v>32</v>
      </c>
      <c r="D8000" s="6">
        <v>45886</v>
      </c>
      <c r="E8000" s="3" t="str">
        <f ca="1">IF(Tabela2[[#This Row],[Dt Venc:]]&gt;TODAY(),"Em Aberto",IF(Tabela2[[#This Row],[D/venc]]="-","Enviado",IF(Tabela2[[#This Row],[Dt Venc:]]=TODAY(),"Vence Hoje","Vencida")))</f>
        <v>Em Aberto</v>
      </c>
      <c r="F8000" s="3">
        <f ca="1">IF(G8000=1,"-",Tabela2[[#This Row],[Dt Venc:]]-TODAY())</f>
        <v>193</v>
      </c>
      <c r="G8000" s="3"/>
      <c r="H8000" s="3"/>
    </row>
    <row r="8001" spans="1:8">
      <c r="A8001" s="3">
        <v>37300</v>
      </c>
      <c r="B8001" s="7" t="s">
        <v>167</v>
      </c>
      <c r="C8001" s="99" t="s">
        <v>32</v>
      </c>
      <c r="D8001" s="6">
        <v>45887</v>
      </c>
      <c r="E8001" s="3" t="str">
        <f ca="1">IF(Tabela2[[#This Row],[Dt Venc:]]&gt;TODAY(),"Em Aberto",IF(Tabela2[[#This Row],[D/venc]]="-","Enviado",IF(Tabela2[[#This Row],[Dt Venc:]]=TODAY(),"Vence Hoje","Vencida")))</f>
        <v>Em Aberto</v>
      </c>
      <c r="F8001" s="3">
        <f ca="1">IF(G8001=1,"-",Tabela2[[#This Row],[Dt Venc:]]-TODAY())</f>
        <v>194</v>
      </c>
      <c r="G8001" s="3"/>
      <c r="H8001" s="3"/>
    </row>
    <row r="8002" spans="1:8">
      <c r="A8002" s="3">
        <v>37348</v>
      </c>
      <c r="B8002" s="7" t="s">
        <v>167</v>
      </c>
      <c r="C8002" s="99" t="s">
        <v>32</v>
      </c>
      <c r="D8002" s="6">
        <v>45891</v>
      </c>
      <c r="E8002" s="3" t="str">
        <f ca="1">IF(Tabela2[[#This Row],[Dt Venc:]]&gt;TODAY(),"Em Aberto",IF(Tabela2[[#This Row],[D/venc]]="-","Enviado",IF(Tabela2[[#This Row],[Dt Venc:]]=TODAY(),"Vence Hoje","Vencida")))</f>
        <v>Em Aberto</v>
      </c>
      <c r="F8002" s="3">
        <f ca="1">IF(G8002=1,"-",Tabela2[[#This Row],[Dt Venc:]]-TODAY())</f>
        <v>198</v>
      </c>
      <c r="G8002" s="3"/>
      <c r="H8002" s="3"/>
    </row>
    <row r="8003" spans="1:8">
      <c r="A8003" s="3" t="s">
        <v>110</v>
      </c>
      <c r="B8003" s="7" t="s">
        <v>337</v>
      </c>
      <c r="C8003" s="42" t="s">
        <v>32</v>
      </c>
      <c r="D8003" s="6">
        <v>45892</v>
      </c>
      <c r="E8003" s="3" t="str">
        <f ca="1">IF(Tabela2[[#This Row],[Dt Venc:]]&gt;TODAY(),"Em Aberto",IF(Tabela2[[#This Row],[D/venc]]="-","Enviado",IF(Tabela2[[#This Row],[Dt Venc:]]=TODAY(),"Vence Hoje","Vencida")))</f>
        <v>Em Aberto</v>
      </c>
      <c r="F8003" s="3">
        <f ca="1">IF(G8003=1,"-",Tabela2[[#This Row],[Dt Venc:]]-TODAY())</f>
        <v>199</v>
      </c>
      <c r="G8003" s="3"/>
      <c r="H8003" s="3"/>
    </row>
    <row r="8004" spans="1:8">
      <c r="A8004" s="3">
        <v>654537</v>
      </c>
      <c r="B8004" s="7" t="s">
        <v>648</v>
      </c>
      <c r="C8004" s="87" t="s">
        <v>32</v>
      </c>
      <c r="D8004" s="6">
        <v>45892</v>
      </c>
      <c r="E8004" s="3" t="str">
        <f ca="1">IF(Tabela2[[#This Row],[Dt Venc:]]&gt;TODAY(),"Em Aberto",IF(Tabela2[[#This Row],[D/venc]]="-","Enviado",IF(Tabela2[[#This Row],[Dt Venc:]]=TODAY(),"Vence Hoje","Vencida")))</f>
        <v>Em Aberto</v>
      </c>
      <c r="F8004" s="3">
        <f ca="1">IF(G8004=1,"-",Tabela2[[#This Row],[Dt Venc:]]-TODAY())</f>
        <v>199</v>
      </c>
      <c r="G8004" s="3"/>
      <c r="H8004" s="3"/>
    </row>
    <row r="8005" spans="1:8">
      <c r="A8005" s="3">
        <v>495914</v>
      </c>
      <c r="B8005" s="7" t="s">
        <v>153</v>
      </c>
      <c r="C8005" s="99" t="s">
        <v>32</v>
      </c>
      <c r="D8005" s="6">
        <v>45894</v>
      </c>
      <c r="E8005" s="3" t="str">
        <f ca="1">IF(Tabela2[[#This Row],[Dt Venc:]]&gt;TODAY(),"Em Aberto",IF(Tabela2[[#This Row],[D/venc]]="-","Enviado",IF(Tabela2[[#This Row],[Dt Venc:]]=TODAY(),"Vence Hoje","Vencida")))</f>
        <v>Em Aberto</v>
      </c>
      <c r="F8005" s="3">
        <f ca="1">IF(G8005=1,"-",Tabela2[[#This Row],[Dt Venc:]]-TODAY())</f>
        <v>201</v>
      </c>
      <c r="G8005" s="3"/>
      <c r="H8005" s="3"/>
    </row>
    <row r="8006" spans="1:8">
      <c r="A8006" s="3">
        <v>5690</v>
      </c>
      <c r="B8006" s="7" t="s">
        <v>122</v>
      </c>
      <c r="C8006" s="99" t="s">
        <v>32</v>
      </c>
      <c r="D8006" s="6">
        <v>45896</v>
      </c>
      <c r="E8006" s="3" t="str">
        <f ca="1">IF(Tabela2[[#This Row],[Dt Venc:]]&gt;TODAY(),"Em Aberto",IF(Tabela2[[#This Row],[D/venc]]="-","Enviado",IF(Tabela2[[#This Row],[Dt Venc:]]=TODAY(),"Vence Hoje","Vencida")))</f>
        <v>Em Aberto</v>
      </c>
      <c r="F8006" s="3">
        <f ca="1">IF(G8006=1,"-",Tabela2[[#This Row],[Dt Venc:]]-TODAY())</f>
        <v>203</v>
      </c>
      <c r="G8006" s="3"/>
      <c r="H8006" s="3"/>
    </row>
    <row r="8007" spans="1:8">
      <c r="A8007" s="3" t="s">
        <v>110</v>
      </c>
      <c r="B8007" s="7" t="s">
        <v>373</v>
      </c>
      <c r="C8007" s="42" t="s">
        <v>32</v>
      </c>
      <c r="D8007" s="6">
        <v>45897</v>
      </c>
      <c r="E8007" s="3" t="str">
        <f ca="1">IF(Tabela2[[#This Row],[Dt Venc:]]&gt;TODAY(),"Em Aberto",IF(Tabela2[[#This Row],[D/venc]]="-","Enviado",IF(Tabela2[[#This Row],[Dt Venc:]]=TODAY(),"Vence Hoje","Vencida")))</f>
        <v>Em Aberto</v>
      </c>
      <c r="F8007" s="3">
        <f ca="1">IF(G8007=1,"-",Tabela2[[#This Row],[Dt Venc:]]-TODAY())</f>
        <v>204</v>
      </c>
      <c r="G8007" s="3"/>
      <c r="H8007" s="3"/>
    </row>
    <row r="8008" spans="1:8">
      <c r="A8008" s="3">
        <v>912180</v>
      </c>
      <c r="B8008" s="7" t="s">
        <v>375</v>
      </c>
      <c r="C8008" s="99" t="s">
        <v>32</v>
      </c>
      <c r="D8008" s="6">
        <v>45898</v>
      </c>
      <c r="E8008" s="3" t="str">
        <f ca="1">IF(Tabela2[[#This Row],[Dt Venc:]]&gt;TODAY(),"Em Aberto",IF(Tabela2[[#This Row],[D/venc]]="-","Enviado",IF(Tabela2[[#This Row],[Dt Venc:]]=TODAY(),"Vence Hoje","Vencida")))</f>
        <v>Em Aberto</v>
      </c>
      <c r="F8008" s="3">
        <f ca="1">IF(G8008=1,"-",Tabela2[[#This Row],[Dt Venc:]]-TODAY())</f>
        <v>205</v>
      </c>
      <c r="G8008" s="3"/>
      <c r="H8008" s="3"/>
    </row>
    <row r="8009" spans="1:8">
      <c r="A8009" s="3" t="s">
        <v>123</v>
      </c>
      <c r="B8009" s="7" t="s">
        <v>386</v>
      </c>
      <c r="C8009" s="87" t="s">
        <v>32</v>
      </c>
      <c r="D8009" s="6">
        <v>45899</v>
      </c>
      <c r="E8009" s="3" t="str">
        <f ca="1">IF(Tabela2[[#This Row],[Dt Venc:]]&gt;TODAY(),"Em Aberto",IF(Tabela2[[#This Row],[D/venc]]="-","Enviado",IF(Tabela2[[#This Row],[Dt Venc:]]=TODAY(),"Vence Hoje","Vencida")))</f>
        <v>Em Aberto</v>
      </c>
      <c r="F8009" s="3">
        <f ca="1">IF(G8009=1,"-",Tabela2[[#This Row],[Dt Venc:]]-TODAY())</f>
        <v>206</v>
      </c>
      <c r="G8009" s="3"/>
      <c r="H8009" s="3"/>
    </row>
    <row r="8010" spans="1:8">
      <c r="A8010" s="3">
        <v>11681</v>
      </c>
      <c r="B8010" s="7" t="s">
        <v>82</v>
      </c>
      <c r="C8010" s="87" t="s">
        <v>30</v>
      </c>
      <c r="D8010" s="6">
        <v>45900</v>
      </c>
      <c r="E8010" s="3" t="str">
        <f ca="1">IF(Tabela2[[#This Row],[Dt Venc:]]&gt;TODAY(),"Em Aberto",IF(Tabela2[[#This Row],[D/venc]]="-","Enviado",IF(Tabela2[[#This Row],[Dt Venc:]]=TODAY(),"Vence Hoje","Vencida")))</f>
        <v>Em Aberto</v>
      </c>
      <c r="F8010" s="3">
        <f ca="1">IF(G8010=1,"-",Tabela2[[#This Row],[Dt Venc:]]-TODAY())</f>
        <v>207</v>
      </c>
      <c r="G8010" s="3"/>
      <c r="H8010" s="3"/>
    </row>
    <row r="8011" spans="1:8">
      <c r="A8011" s="3" t="s">
        <v>28</v>
      </c>
      <c r="B8011" s="7" t="s">
        <v>391</v>
      </c>
      <c r="C8011" s="85" t="s">
        <v>30</v>
      </c>
      <c r="D8011" s="6">
        <v>45900</v>
      </c>
      <c r="E8011" s="3" t="str">
        <f ca="1">IF(Tabela2[[#This Row],[Dt Venc:]]&gt;TODAY(),"Em Aberto",IF(Tabela2[[#This Row],[D/venc]]="-","Enviado",IF(Tabela2[[#This Row],[Dt Venc:]]=TODAY(),"Vence Hoje","Vencida")))</f>
        <v>Em Aberto</v>
      </c>
      <c r="F8011" s="3">
        <f ca="1">IF(G8011=1,"-",Tabela2[[#This Row],[Dt Venc:]]-TODAY())</f>
        <v>207</v>
      </c>
      <c r="G8011" s="3"/>
      <c r="H8011" s="3"/>
    </row>
    <row r="8012" spans="1:8">
      <c r="A8012" s="3" t="s">
        <v>110</v>
      </c>
      <c r="B8012" s="7" t="s">
        <v>395</v>
      </c>
      <c r="C8012" s="42" t="s">
        <v>32</v>
      </c>
      <c r="D8012" s="6">
        <v>45901</v>
      </c>
      <c r="E8012" s="3" t="str">
        <f ca="1">IF(Tabela2[[#This Row],[Dt Venc:]]&gt;TODAY(),"Em Aberto",IF(Tabela2[[#This Row],[D/venc]]="-","Enviado",IF(Tabela2[[#This Row],[Dt Venc:]]=TODAY(),"Vence Hoje","Vencida")))</f>
        <v>Em Aberto</v>
      </c>
      <c r="F8012" s="3">
        <f ca="1">IF(G8012=1,"-",Tabela2[[#This Row],[Dt Venc:]]-TODAY())</f>
        <v>208</v>
      </c>
      <c r="G8012" s="3"/>
      <c r="H8012" s="3"/>
    </row>
    <row r="8013" spans="1:8">
      <c r="A8013" s="3">
        <v>36910</v>
      </c>
      <c r="B8013" s="7" t="s">
        <v>167</v>
      </c>
      <c r="C8013" s="99" t="s">
        <v>32</v>
      </c>
      <c r="D8013" s="6">
        <v>45901</v>
      </c>
      <c r="E8013" s="3" t="str">
        <f ca="1">IF(Tabela2[[#This Row],[Dt Venc:]]&gt;TODAY(),"Em Aberto",IF(Tabela2[[#This Row],[D/venc]]="-","Enviado",IF(Tabela2[[#This Row],[Dt Venc:]]=TODAY(),"Vence Hoje","Vencida")))</f>
        <v>Em Aberto</v>
      </c>
      <c r="F8013" s="3">
        <f ca="1">IF(G8013=1,"-",Tabela2[[#This Row],[Dt Venc:]]-TODAY())</f>
        <v>208</v>
      </c>
      <c r="G8013" s="3"/>
      <c r="H8013" s="3"/>
    </row>
    <row r="8014" spans="1:8">
      <c r="A8014" s="3">
        <v>818909</v>
      </c>
      <c r="B8014" s="7" t="s">
        <v>81</v>
      </c>
      <c r="C8014" s="87" t="s">
        <v>32</v>
      </c>
      <c r="D8014" s="6">
        <v>45902</v>
      </c>
      <c r="E8014" s="3" t="str">
        <f ca="1">IF(Tabela2[[#This Row],[Dt Venc:]]&gt;TODAY(),"Em Aberto",IF(Tabela2[[#This Row],[D/venc]]="-","Enviado",IF(Tabela2[[#This Row],[Dt Venc:]]=TODAY(),"Vence Hoje","Vencida")))</f>
        <v>Em Aberto</v>
      </c>
      <c r="F8014" s="3">
        <f ca="1">IF(G8014=1,"-",Tabela2[[#This Row],[Dt Venc:]]-TODAY())</f>
        <v>209</v>
      </c>
      <c r="G8014" s="3"/>
      <c r="H8014" s="3"/>
    </row>
    <row r="8015" spans="1:8">
      <c r="A8015" s="3">
        <v>10494</v>
      </c>
      <c r="B8015" s="7" t="s">
        <v>82</v>
      </c>
      <c r="C8015" s="86" t="s">
        <v>30</v>
      </c>
      <c r="D8015" s="6">
        <v>45903</v>
      </c>
      <c r="E8015" s="3" t="str">
        <f ca="1">IF(Tabela2[[#This Row],[Dt Venc:]]&gt;TODAY(),"Em Aberto",IF(Tabela2[[#This Row],[D/venc]]="-","Enviado",IF(Tabela2[[#This Row],[Dt Venc:]]=TODAY(),"Vence Hoje","Vencida")))</f>
        <v>Em Aberto</v>
      </c>
      <c r="F8015" s="3">
        <f ca="1">IF(G8015=1,"-",Tabela2[[#This Row],[Dt Venc:]]-TODAY())</f>
        <v>210</v>
      </c>
      <c r="G8015" s="3"/>
      <c r="H8015" s="3"/>
    </row>
    <row r="8016" spans="1:8">
      <c r="A8016" s="3">
        <v>5680</v>
      </c>
      <c r="B8016" s="7" t="s">
        <v>122</v>
      </c>
      <c r="C8016" s="99" t="s">
        <v>32</v>
      </c>
      <c r="D8016" s="6">
        <v>45905</v>
      </c>
      <c r="E8016" s="3" t="str">
        <f ca="1">IF(Tabela2[[#This Row],[Dt Venc:]]&gt;TODAY(),"Em Aberto",IF(Tabela2[[#This Row],[D/venc]]="-","Enviado",IF(Tabela2[[#This Row],[Dt Venc:]]=TODAY(),"Vence Hoje","Vencida")))</f>
        <v>Em Aberto</v>
      </c>
      <c r="F8016" s="3">
        <f ca="1">IF(G8016=1,"-",Tabela2[[#This Row],[Dt Venc:]]-TODAY())</f>
        <v>212</v>
      </c>
      <c r="G8016" s="3"/>
      <c r="H8016" s="3"/>
    </row>
    <row r="8017" spans="1:8">
      <c r="A8017" s="3">
        <v>10353</v>
      </c>
      <c r="B8017" s="7" t="s">
        <v>82</v>
      </c>
      <c r="C8017" s="99" t="s">
        <v>32</v>
      </c>
      <c r="D8017" s="6">
        <v>45905</v>
      </c>
      <c r="E8017" s="3" t="str">
        <f ca="1">IF(Tabela2[[#This Row],[Dt Venc:]]&gt;TODAY(),"Em Aberto",IF(Tabela2[[#This Row],[D/venc]]="-","Enviado",IF(Tabela2[[#This Row],[Dt Venc:]]=TODAY(),"Vence Hoje","Vencida")))</f>
        <v>Em Aberto</v>
      </c>
      <c r="F8017" s="3">
        <f ca="1">IF(G8017=1,"-",Tabela2[[#This Row],[Dt Venc:]]-TODAY())</f>
        <v>212</v>
      </c>
      <c r="G8017" s="3"/>
      <c r="H8017" s="3"/>
    </row>
    <row r="8018" spans="1:8">
      <c r="A8018" s="3" t="s">
        <v>123</v>
      </c>
      <c r="B8018" s="7" t="s">
        <v>503</v>
      </c>
      <c r="C8018" s="87" t="s">
        <v>32</v>
      </c>
      <c r="D8018" s="6">
        <v>45905</v>
      </c>
      <c r="E8018" s="3" t="str">
        <f ca="1">IF(Tabela2[[#This Row],[Dt Venc:]]&gt;TODAY(),"Em Aberto",IF(Tabela2[[#This Row],[D/venc]]="-","Enviado",IF(Tabela2[[#This Row],[Dt Venc:]]=TODAY(),"Vence Hoje","Vencida")))</f>
        <v>Em Aberto</v>
      </c>
      <c r="F8018" s="3">
        <f ca="1">IF(G8018=1,"-",Tabela2[[#This Row],[Dt Venc:]]-TODAY())</f>
        <v>212</v>
      </c>
      <c r="G8018" s="3"/>
      <c r="H8018" s="3"/>
    </row>
    <row r="8019" spans="1:8">
      <c r="A8019" s="3">
        <v>284620</v>
      </c>
      <c r="B8019" s="7" t="s">
        <v>153</v>
      </c>
      <c r="C8019" s="99" t="s">
        <v>32</v>
      </c>
      <c r="D8019" s="6">
        <v>45908</v>
      </c>
      <c r="E8019" s="3" t="str">
        <f ca="1">IF(Tabela2[[#This Row],[Dt Venc:]]&gt;TODAY(),"Em Aberto",IF(Tabela2[[#This Row],[D/venc]]="-","Enviado",IF(Tabela2[[#This Row],[Dt Venc:]]=TODAY(),"Vence Hoje","Vencida")))</f>
        <v>Em Aberto</v>
      </c>
      <c r="F8019" s="3">
        <f ca="1">IF(G8019=1,"-",Tabela2[[#This Row],[Dt Venc:]]-TODAY())</f>
        <v>215</v>
      </c>
      <c r="G8019" s="3"/>
      <c r="H8019" s="3"/>
    </row>
    <row r="8020" spans="1:8">
      <c r="A8020" s="3">
        <v>36949</v>
      </c>
      <c r="B8020" s="7" t="s">
        <v>167</v>
      </c>
      <c r="C8020" s="99" t="s">
        <v>32</v>
      </c>
      <c r="D8020" s="6">
        <v>45909</v>
      </c>
      <c r="E8020" s="3" t="str">
        <f ca="1">IF(Tabela2[[#This Row],[Dt Venc:]]&gt;TODAY(),"Em Aberto",IF(Tabela2[[#This Row],[D/venc]]="-","Enviado",IF(Tabela2[[#This Row],[Dt Venc:]]=TODAY(),"Vence Hoje","Vencida")))</f>
        <v>Em Aberto</v>
      </c>
      <c r="F8020" s="3">
        <f ca="1">IF(G8020=1,"-",Tabela2[[#This Row],[Dt Venc:]]-TODAY())</f>
        <v>216</v>
      </c>
      <c r="G8020" s="3"/>
      <c r="H8020" s="3"/>
    </row>
    <row r="8021" spans="1:8">
      <c r="A8021" s="3">
        <v>756561</v>
      </c>
      <c r="B8021" s="7" t="s">
        <v>166</v>
      </c>
      <c r="C8021" s="99" t="s">
        <v>32</v>
      </c>
      <c r="D8021" s="6">
        <v>45909</v>
      </c>
      <c r="E8021" s="3" t="str">
        <f ca="1">IF(Tabela2[[#This Row],[Dt Venc:]]&gt;TODAY(),"Em Aberto",IF(Tabela2[[#This Row],[D/venc]]="-","Enviado",IF(Tabela2[[#This Row],[Dt Venc:]]=TODAY(),"Vence Hoje","Vencida")))</f>
        <v>Em Aberto</v>
      </c>
      <c r="F8021" s="3">
        <f ca="1">IF(G8021=1,"-",Tabela2[[#This Row],[Dt Venc:]]-TODAY())</f>
        <v>216</v>
      </c>
      <c r="G8021" s="3"/>
      <c r="H8021" s="3"/>
    </row>
    <row r="8022" spans="1:8">
      <c r="A8022" s="3" t="s">
        <v>179</v>
      </c>
      <c r="B8022" s="7" t="s">
        <v>180</v>
      </c>
      <c r="C8022" s="99" t="s">
        <v>32</v>
      </c>
      <c r="D8022" s="6">
        <v>45909</v>
      </c>
      <c r="E8022" s="3" t="str">
        <f ca="1">IF(Tabela2[[#This Row],[Dt Venc:]]&gt;TODAY(),"Em Aberto",IF(Tabela2[[#This Row],[D/venc]]="-","Enviado",IF(Tabela2[[#This Row],[Dt Venc:]]=TODAY(),"Vence Hoje","Vencida")))</f>
        <v>Em Aberto</v>
      </c>
      <c r="F8022" s="3">
        <f ca="1">IF(G8022=1,"-",Tabela2[[#This Row],[Dt Venc:]]-TODAY())</f>
        <v>216</v>
      </c>
      <c r="G8022" s="3"/>
      <c r="H8022" s="3"/>
    </row>
    <row r="8023" spans="1:8">
      <c r="A8023" s="3" t="s">
        <v>123</v>
      </c>
      <c r="B8023" s="7" t="s">
        <v>418</v>
      </c>
      <c r="C8023" s="42" t="s">
        <v>32</v>
      </c>
      <c r="D8023" s="6">
        <v>45910</v>
      </c>
      <c r="E8023" s="3" t="str">
        <f ca="1">IF(Tabela2[[#This Row],[Dt Venc:]]&gt;TODAY(),"Em Aberto",IF(Tabela2[[#This Row],[D/venc]]="-","Enviado",IF(Tabela2[[#This Row],[Dt Venc:]]=TODAY(),"Vence Hoje","Vencida")))</f>
        <v>Em Aberto</v>
      </c>
      <c r="F8023" s="3">
        <f ca="1">IF(G8023=1,"-",Tabela2[[#This Row],[Dt Venc:]]-TODAY())</f>
        <v>217</v>
      </c>
      <c r="G8023" s="3"/>
      <c r="H8023" s="3"/>
    </row>
    <row r="8024" spans="1:8">
      <c r="A8024" s="3" t="s">
        <v>179</v>
      </c>
      <c r="B8024" s="7" t="s">
        <v>190</v>
      </c>
      <c r="C8024" s="99" t="s">
        <v>32</v>
      </c>
      <c r="D8024" s="6">
        <v>45910</v>
      </c>
      <c r="E8024" s="3" t="str">
        <f ca="1">IF(Tabela2[[#This Row],[Dt Venc:]]&gt;TODAY(),"Em Aberto",IF(Tabela2[[#This Row],[D/venc]]="-","Enviado",IF(Tabela2[[#This Row],[Dt Venc:]]=TODAY(),"Vence Hoje","Vencida")))</f>
        <v>Em Aberto</v>
      </c>
      <c r="F8024" s="3">
        <f ca="1">IF(G8024=1,"-",Tabela2[[#This Row],[Dt Venc:]]-TODAY())</f>
        <v>217</v>
      </c>
      <c r="G8024" s="3"/>
      <c r="H8024" s="3"/>
    </row>
    <row r="8025" spans="1:8">
      <c r="A8025" s="3">
        <v>37292</v>
      </c>
      <c r="B8025" s="7" t="s">
        <v>167</v>
      </c>
      <c r="C8025" s="99" t="s">
        <v>32</v>
      </c>
      <c r="D8025" s="6">
        <v>45911</v>
      </c>
      <c r="E8025" s="3" t="str">
        <f ca="1">IF(Tabela2[[#This Row],[Dt Venc:]]&gt;TODAY(),"Em Aberto",IF(Tabela2[[#This Row],[D/venc]]="-","Enviado",IF(Tabela2[[#This Row],[Dt Venc:]]=TODAY(),"Vence Hoje","Vencida")))</f>
        <v>Em Aberto</v>
      </c>
      <c r="F8025" s="3">
        <f ca="1">IF(G8025=1,"-",Tabela2[[#This Row],[Dt Venc:]]-TODAY())</f>
        <v>218</v>
      </c>
      <c r="G8025" s="3"/>
      <c r="H8025" s="3"/>
    </row>
    <row r="8026" spans="1:8">
      <c r="A8026" s="3">
        <v>37327</v>
      </c>
      <c r="B8026" s="7" t="s">
        <v>167</v>
      </c>
      <c r="C8026" s="99" t="s">
        <v>32</v>
      </c>
      <c r="D8026" s="6">
        <v>45911</v>
      </c>
      <c r="E8026" s="3" t="str">
        <f ca="1">IF(Tabela2[[#This Row],[Dt Venc:]]&gt;TODAY(),"Em Aberto",IF(Tabela2[[#This Row],[D/venc]]="-","Enviado",IF(Tabela2[[#This Row],[Dt Venc:]]=TODAY(),"Vence Hoje","Vencida")))</f>
        <v>Em Aberto</v>
      </c>
      <c r="F8026" s="3">
        <f ca="1">IF(G8026=1,"-",Tabela2[[#This Row],[Dt Venc:]]-TODAY())</f>
        <v>218</v>
      </c>
      <c r="G8026" s="3"/>
      <c r="H8026" s="3"/>
    </row>
    <row r="8027" spans="1:8">
      <c r="A8027" s="3">
        <v>111736</v>
      </c>
      <c r="B8027" s="7" t="s">
        <v>182</v>
      </c>
      <c r="C8027" s="87" t="s">
        <v>32</v>
      </c>
      <c r="D8027" s="6">
        <v>45914</v>
      </c>
      <c r="E8027" s="3" t="str">
        <f ca="1">IF(Tabela2[[#This Row],[Dt Venc:]]&gt;TODAY(),"Em Aberto",IF(Tabela2[[#This Row],[D/venc]]="-","Enviado",IF(Tabela2[[#This Row],[Dt Venc:]]=TODAY(),"Vence Hoje","Vencida")))</f>
        <v>Em Aberto</v>
      </c>
      <c r="F8027" s="3">
        <f ca="1">IF(G8027=1,"-",Tabela2[[#This Row],[Dt Venc:]]-TODAY())</f>
        <v>221</v>
      </c>
      <c r="G8027" s="3"/>
      <c r="H8027" s="3"/>
    </row>
    <row r="8028" spans="1:8">
      <c r="A8028" s="3">
        <v>562</v>
      </c>
      <c r="B8028" s="7" t="s">
        <v>251</v>
      </c>
      <c r="C8028" s="99" t="s">
        <v>32</v>
      </c>
      <c r="D8028" s="6">
        <v>45915</v>
      </c>
      <c r="E8028" s="3" t="str">
        <f ca="1">IF(Tabela2[[#This Row],[Dt Venc:]]&gt;TODAY(),"Em Aberto",IF(Tabela2[[#This Row],[D/venc]]="-","Enviado",IF(Tabela2[[#This Row],[Dt Venc:]]=TODAY(),"Vence Hoje","Vencida")))</f>
        <v>Em Aberto</v>
      </c>
      <c r="F8028" s="3">
        <f ca="1">IF(G8028=1,"-",Tabela2[[#This Row],[Dt Venc:]]-TODAY())</f>
        <v>222</v>
      </c>
      <c r="G8028" s="3"/>
      <c r="H8028" s="3"/>
    </row>
    <row r="8029" spans="1:8">
      <c r="A8029" s="3">
        <v>36846</v>
      </c>
      <c r="B8029" s="7" t="s">
        <v>167</v>
      </c>
      <c r="C8029" s="99" t="s">
        <v>32</v>
      </c>
      <c r="D8029" s="6">
        <v>45915</v>
      </c>
      <c r="E8029" s="3" t="str">
        <f ca="1">IF(Tabela2[[#This Row],[Dt Venc:]]&gt;TODAY(),"Em Aberto",IF(Tabela2[[#This Row],[D/venc]]="-","Enviado",IF(Tabela2[[#This Row],[Dt Venc:]]=TODAY(),"Vence Hoje","Vencida")))</f>
        <v>Em Aberto</v>
      </c>
      <c r="F8029" s="3">
        <f ca="1">IF(G8029=1,"-",Tabela2[[#This Row],[Dt Venc:]]-TODAY())</f>
        <v>222</v>
      </c>
      <c r="G8029" s="3"/>
      <c r="H8029" s="3"/>
    </row>
    <row r="8030" spans="1:8">
      <c r="A8030" s="3">
        <v>103015</v>
      </c>
      <c r="B8030" s="7" t="s">
        <v>252</v>
      </c>
      <c r="C8030" s="99" t="s">
        <v>32</v>
      </c>
      <c r="D8030" s="6">
        <v>45915</v>
      </c>
      <c r="E8030" s="3" t="str">
        <f ca="1">IF(Tabela2[[#This Row],[Dt Venc:]]&gt;TODAY(),"Em Aberto",IF(Tabela2[[#This Row],[D/venc]]="-","Enviado",IF(Tabela2[[#This Row],[Dt Venc:]]=TODAY(),"Vence Hoje","Vencida")))</f>
        <v>Em Aberto</v>
      </c>
      <c r="F8030" s="3">
        <f ca="1">IF(G8030=1,"-",Tabela2[[#This Row],[Dt Venc:]]-TODAY())</f>
        <v>222</v>
      </c>
      <c r="G8030" s="3"/>
      <c r="H8030" s="3"/>
    </row>
    <row r="8031" spans="1:8">
      <c r="A8031" s="3">
        <v>103077</v>
      </c>
      <c r="B8031" s="7" t="s">
        <v>252</v>
      </c>
      <c r="C8031" s="99" t="s">
        <v>32</v>
      </c>
      <c r="D8031" s="6">
        <v>45915</v>
      </c>
      <c r="E8031" s="3" t="str">
        <f ca="1">IF(Tabela2[[#This Row],[Dt Venc:]]&gt;TODAY(),"Em Aberto",IF(Tabela2[[#This Row],[D/venc]]="-","Enviado",IF(Tabela2[[#This Row],[Dt Venc:]]=TODAY(),"Vence Hoje","Vencida")))</f>
        <v>Em Aberto</v>
      </c>
      <c r="F8031" s="3">
        <f ca="1">IF(G8031=1,"-",Tabela2[[#This Row],[Dt Venc:]]-TODAY())</f>
        <v>222</v>
      </c>
      <c r="G8031" s="3"/>
      <c r="H8031" s="3"/>
    </row>
    <row r="8032" spans="1:8">
      <c r="A8032" s="3">
        <v>103153</v>
      </c>
      <c r="B8032" s="7" t="s">
        <v>252</v>
      </c>
      <c r="C8032" s="85" t="s">
        <v>32</v>
      </c>
      <c r="D8032" s="6">
        <v>45915</v>
      </c>
      <c r="E8032" s="3" t="str">
        <f ca="1">IF(Tabela2[[#This Row],[Dt Venc:]]&gt;TODAY(),"Em Aberto",IF(Tabela2[[#This Row],[D/venc]]="-","Enviado",IF(Tabela2[[#This Row],[Dt Venc:]]=TODAY(),"Vence Hoje","Vencida")))</f>
        <v>Em Aberto</v>
      </c>
      <c r="F8032" s="3">
        <f ca="1">IF(G8032=1,"-",Tabela2[[#This Row],[Dt Venc:]]-TODAY())</f>
        <v>222</v>
      </c>
      <c r="G8032" s="3"/>
      <c r="H8032" s="3"/>
    </row>
    <row r="8033" spans="1:8">
      <c r="A8033" s="3">
        <v>103154</v>
      </c>
      <c r="B8033" s="7" t="s">
        <v>252</v>
      </c>
      <c r="C8033" s="99" t="s">
        <v>32</v>
      </c>
      <c r="D8033" s="6">
        <v>45915</v>
      </c>
      <c r="E8033" s="3" t="str">
        <f ca="1">IF(Tabela2[[#This Row],[Dt Venc:]]&gt;TODAY(),"Em Aberto",IF(Tabela2[[#This Row],[D/venc]]="-","Enviado",IF(Tabela2[[#This Row],[Dt Venc:]]=TODAY(),"Vence Hoje","Vencida")))</f>
        <v>Em Aberto</v>
      </c>
      <c r="F8033" s="3">
        <f ca="1">IF(G8033=1,"-",Tabela2[[#This Row],[Dt Venc:]]-TODAY())</f>
        <v>222</v>
      </c>
      <c r="G8033" s="3"/>
      <c r="H8033" s="3"/>
    </row>
    <row r="8034" spans="1:8">
      <c r="A8034" s="3">
        <v>106007</v>
      </c>
      <c r="B8034" s="7" t="s">
        <v>252</v>
      </c>
      <c r="C8034" s="99" t="s">
        <v>32</v>
      </c>
      <c r="D8034" s="6">
        <v>45915</v>
      </c>
      <c r="E8034" s="3" t="str">
        <f ca="1">IF(Tabela2[[#This Row],[Dt Venc:]]&gt;TODAY(),"Em Aberto",IF(Tabela2[[#This Row],[D/venc]]="-","Enviado",IF(Tabela2[[#This Row],[Dt Venc:]]=TODAY(),"Vence Hoje","Vencida")))</f>
        <v>Em Aberto</v>
      </c>
      <c r="F8034" s="3">
        <f ca="1">IF(G8034=1,"-",Tabela2[[#This Row],[Dt Venc:]]-TODAY())</f>
        <v>222</v>
      </c>
      <c r="G8034" s="3"/>
      <c r="H8034" s="3"/>
    </row>
    <row r="8035" spans="1:8">
      <c r="A8035" s="3">
        <v>106043</v>
      </c>
      <c r="B8035" s="7" t="s">
        <v>252</v>
      </c>
      <c r="C8035" s="99" t="s">
        <v>32</v>
      </c>
      <c r="D8035" s="6">
        <v>45915</v>
      </c>
      <c r="E8035" s="3" t="str">
        <f ca="1">IF(Tabela2[[#This Row],[Dt Venc:]]&gt;TODAY(),"Em Aberto",IF(Tabela2[[#This Row],[D/venc]]="-","Enviado",IF(Tabela2[[#This Row],[Dt Venc:]]=TODAY(),"Vence Hoje","Vencida")))</f>
        <v>Em Aberto</v>
      </c>
      <c r="F8035" s="3">
        <f ca="1">IF(G8035=1,"-",Tabela2[[#This Row],[Dt Venc:]]-TODAY())</f>
        <v>222</v>
      </c>
      <c r="G8035" s="3"/>
      <c r="H8035" s="3"/>
    </row>
    <row r="8036" spans="1:8">
      <c r="A8036" s="3">
        <v>107829</v>
      </c>
      <c r="B8036" s="7" t="s">
        <v>252</v>
      </c>
      <c r="C8036" s="99" t="s">
        <v>32</v>
      </c>
      <c r="D8036" s="6">
        <v>45915</v>
      </c>
      <c r="E8036" s="3" t="str">
        <f ca="1">IF(Tabela2[[#This Row],[Dt Venc:]]&gt;TODAY(),"Em Aberto",IF(Tabela2[[#This Row],[D/venc]]="-","Enviado",IF(Tabela2[[#This Row],[Dt Venc:]]=TODAY(),"Vence Hoje","Vencida")))</f>
        <v>Em Aberto</v>
      </c>
      <c r="F8036" s="3">
        <f ca="1">IF(G8036=1,"-",Tabela2[[#This Row],[Dt Venc:]]-TODAY())</f>
        <v>222</v>
      </c>
      <c r="G8036" s="3"/>
      <c r="H8036" s="3"/>
    </row>
    <row r="8037" spans="1:8">
      <c r="A8037" s="3">
        <v>107830</v>
      </c>
      <c r="B8037" s="7" t="s">
        <v>252</v>
      </c>
      <c r="C8037" s="85" t="s">
        <v>32</v>
      </c>
      <c r="D8037" s="6">
        <v>45915</v>
      </c>
      <c r="E8037" s="3" t="str">
        <f ca="1">IF(Tabela2[[#This Row],[Dt Venc:]]&gt;TODAY(),"Em Aberto",IF(Tabela2[[#This Row],[D/venc]]="-","Enviado",IF(Tabela2[[#This Row],[Dt Venc:]]=TODAY(),"Vence Hoje","Vencida")))</f>
        <v>Em Aberto</v>
      </c>
      <c r="F8037" s="3">
        <f ca="1">IF(G8037=1,"-",Tabela2[[#This Row],[Dt Venc:]]-TODAY())</f>
        <v>222</v>
      </c>
      <c r="G8037" s="3"/>
      <c r="H8037" s="3"/>
    </row>
    <row r="8038" spans="1:8">
      <c r="A8038" s="3">
        <v>107831</v>
      </c>
      <c r="B8038" s="7" t="s">
        <v>252</v>
      </c>
      <c r="C8038" s="99" t="s">
        <v>32</v>
      </c>
      <c r="D8038" s="6">
        <v>45915</v>
      </c>
      <c r="E8038" s="3" t="str">
        <f ca="1">IF(Tabela2[[#This Row],[Dt Venc:]]&gt;TODAY(),"Em Aberto",IF(Tabela2[[#This Row],[D/venc]]="-","Enviado",IF(Tabela2[[#This Row],[Dt Venc:]]=TODAY(),"Vence Hoje","Vencida")))</f>
        <v>Em Aberto</v>
      </c>
      <c r="F8038" s="3">
        <f ca="1">IF(G8038=1,"-",Tabela2[[#This Row],[Dt Venc:]]-TODAY())</f>
        <v>222</v>
      </c>
      <c r="G8038" s="3"/>
      <c r="H8038" s="3"/>
    </row>
    <row r="8039" spans="1:8">
      <c r="A8039" s="3">
        <v>107832</v>
      </c>
      <c r="B8039" s="7" t="s">
        <v>252</v>
      </c>
      <c r="C8039" s="99" t="s">
        <v>32</v>
      </c>
      <c r="D8039" s="6">
        <v>45915</v>
      </c>
      <c r="E8039" s="3" t="str">
        <f ca="1">IF(Tabela2[[#This Row],[Dt Venc:]]&gt;TODAY(),"Em Aberto",IF(Tabela2[[#This Row],[D/venc]]="-","Enviado",IF(Tabela2[[#This Row],[Dt Venc:]]=TODAY(),"Vence Hoje","Vencida")))</f>
        <v>Em Aberto</v>
      </c>
      <c r="F8039" s="3">
        <f ca="1">IF(G8039=1,"-",Tabela2[[#This Row],[Dt Venc:]]-TODAY())</f>
        <v>222</v>
      </c>
      <c r="G8039" s="3"/>
      <c r="H8039" s="3"/>
    </row>
    <row r="8040" spans="1:8">
      <c r="A8040" s="3">
        <v>361229</v>
      </c>
      <c r="B8040" s="7" t="s">
        <v>250</v>
      </c>
      <c r="C8040" s="99" t="s">
        <v>32</v>
      </c>
      <c r="D8040" s="6">
        <v>45915</v>
      </c>
      <c r="E8040" s="3" t="str">
        <f ca="1">IF(Tabela2[[#This Row],[Dt Venc:]]&gt;TODAY(),"Em Aberto",IF(Tabela2[[#This Row],[D/venc]]="-","Enviado",IF(Tabela2[[#This Row],[Dt Venc:]]=TODAY(),"Vence Hoje","Vencida")))</f>
        <v>Em Aberto</v>
      </c>
      <c r="F8040" s="3">
        <f ca="1">IF(G8040=1,"-",Tabela2[[#This Row],[Dt Venc:]]-TODAY())</f>
        <v>222</v>
      </c>
      <c r="G8040" s="3"/>
      <c r="H8040" s="3"/>
    </row>
    <row r="8041" spans="1:8">
      <c r="A8041" s="3">
        <v>361237</v>
      </c>
      <c r="B8041" s="7" t="s">
        <v>250</v>
      </c>
      <c r="C8041" s="99" t="s">
        <v>32</v>
      </c>
      <c r="D8041" s="6">
        <v>45915</v>
      </c>
      <c r="E8041" s="3" t="str">
        <f ca="1">IF(Tabela2[[#This Row],[Dt Venc:]]&gt;TODAY(),"Em Aberto",IF(Tabela2[[#This Row],[D/venc]]="-","Enviado",IF(Tabela2[[#This Row],[Dt Venc:]]=TODAY(),"Vence Hoje","Vencida")))</f>
        <v>Em Aberto</v>
      </c>
      <c r="F8041" s="3">
        <f ca="1">IF(G8041=1,"-",Tabela2[[#This Row],[Dt Venc:]]-TODAY())</f>
        <v>222</v>
      </c>
      <c r="G8041" s="3"/>
      <c r="H8041" s="3"/>
    </row>
    <row r="8042" spans="1:8">
      <c r="A8042" s="3">
        <v>365658</v>
      </c>
      <c r="B8042" s="7" t="s">
        <v>250</v>
      </c>
      <c r="C8042" s="99" t="s">
        <v>32</v>
      </c>
      <c r="D8042" s="6">
        <v>45915</v>
      </c>
      <c r="E8042" s="3" t="str">
        <f ca="1">IF(Tabela2[[#This Row],[Dt Venc:]]&gt;TODAY(),"Em Aberto",IF(Tabela2[[#This Row],[D/venc]]="-","Enviado",IF(Tabela2[[#This Row],[Dt Venc:]]=TODAY(),"Vence Hoje","Vencida")))</f>
        <v>Em Aberto</v>
      </c>
      <c r="F8042" s="3">
        <f ca="1">IF(G8042=1,"-",Tabela2[[#This Row],[Dt Venc:]]-TODAY())</f>
        <v>222</v>
      </c>
      <c r="G8042" s="3"/>
      <c r="H8042" s="3"/>
    </row>
    <row r="8043" spans="1:8">
      <c r="A8043" s="3">
        <v>365666</v>
      </c>
      <c r="B8043" s="7" t="s">
        <v>250</v>
      </c>
      <c r="C8043" s="99" t="s">
        <v>32</v>
      </c>
      <c r="D8043" s="6">
        <v>45915</v>
      </c>
      <c r="E8043" s="3" t="str">
        <f ca="1">IF(Tabela2[[#This Row],[Dt Venc:]]&gt;TODAY(),"Em Aberto",IF(Tabela2[[#This Row],[D/venc]]="-","Enviado",IF(Tabela2[[#This Row],[Dt Venc:]]=TODAY(),"Vence Hoje","Vencida")))</f>
        <v>Em Aberto</v>
      </c>
      <c r="F8043" s="3">
        <f ca="1">IF(G8043=1,"-",Tabela2[[#This Row],[Dt Venc:]]-TODAY())</f>
        <v>222</v>
      </c>
      <c r="G8043" s="3"/>
      <c r="H8043" s="3"/>
    </row>
    <row r="8044" spans="1:8">
      <c r="A8044" s="3">
        <v>365674</v>
      </c>
      <c r="B8044" s="7" t="s">
        <v>250</v>
      </c>
      <c r="C8044" s="99" t="s">
        <v>32</v>
      </c>
      <c r="D8044" s="6">
        <v>45915</v>
      </c>
      <c r="E8044" s="3" t="str">
        <f ca="1">IF(Tabela2[[#This Row],[Dt Venc:]]&gt;TODAY(),"Em Aberto",IF(Tabela2[[#This Row],[D/venc]]="-","Enviado",IF(Tabela2[[#This Row],[Dt Venc:]]=TODAY(),"Vence Hoje","Vencida")))</f>
        <v>Em Aberto</v>
      </c>
      <c r="F8044" s="3">
        <f ca="1">IF(G8044=1,"-",Tabela2[[#This Row],[Dt Venc:]]-TODAY())</f>
        <v>222</v>
      </c>
      <c r="G8044" s="3"/>
      <c r="H8044" s="3"/>
    </row>
    <row r="8045" spans="1:8">
      <c r="A8045" s="3">
        <v>365682</v>
      </c>
      <c r="B8045" s="7" t="s">
        <v>250</v>
      </c>
      <c r="C8045" s="99" t="s">
        <v>32</v>
      </c>
      <c r="D8045" s="6">
        <v>45915</v>
      </c>
      <c r="E8045" s="3" t="str">
        <f ca="1">IF(Tabela2[[#This Row],[Dt Venc:]]&gt;TODAY(),"Em Aberto",IF(Tabela2[[#This Row],[D/venc]]="-","Enviado",IF(Tabela2[[#This Row],[Dt Venc:]]=TODAY(),"Vence Hoje","Vencida")))</f>
        <v>Em Aberto</v>
      </c>
      <c r="F8045" s="3">
        <f ca="1">IF(G8045=1,"-",Tabela2[[#This Row],[Dt Venc:]]-TODAY())</f>
        <v>222</v>
      </c>
      <c r="G8045" s="3"/>
      <c r="H8045" s="3"/>
    </row>
    <row r="8046" spans="1:8">
      <c r="A8046" s="3">
        <v>369335</v>
      </c>
      <c r="B8046" s="7" t="s">
        <v>543</v>
      </c>
      <c r="C8046" s="87" t="s">
        <v>32</v>
      </c>
      <c r="D8046" s="6">
        <v>45915</v>
      </c>
      <c r="E8046" s="3" t="str">
        <f ca="1">IF(Tabela2[[#This Row],[Dt Venc:]]&gt;TODAY(),"Em Aberto",IF(Tabela2[[#This Row],[D/venc]]="-","Enviado",IF(Tabela2[[#This Row],[Dt Venc:]]=TODAY(),"Vence Hoje","Vencida")))</f>
        <v>Em Aberto</v>
      </c>
      <c r="F8046" s="3">
        <f ca="1">IF(G8046=1,"-",Tabela2[[#This Row],[Dt Venc:]]-TODAY())</f>
        <v>222</v>
      </c>
      <c r="G8046" s="3"/>
      <c r="H8046" s="3"/>
    </row>
    <row r="8047" spans="1:8">
      <c r="A8047" s="3">
        <v>369696</v>
      </c>
      <c r="B8047" s="7" t="s">
        <v>543</v>
      </c>
      <c r="C8047" s="87" t="s">
        <v>32</v>
      </c>
      <c r="D8047" s="6">
        <v>45915</v>
      </c>
      <c r="E8047" s="3" t="str">
        <f ca="1">IF(Tabela2[[#This Row],[Dt Venc:]]&gt;TODAY(),"Em Aberto",IF(Tabela2[[#This Row],[D/venc]]="-","Enviado",IF(Tabela2[[#This Row],[Dt Venc:]]=TODAY(),"Vence Hoje","Vencida")))</f>
        <v>Em Aberto</v>
      </c>
      <c r="F8047" s="3">
        <f ca="1">IF(G8047=1,"-",Tabela2[[#This Row],[Dt Venc:]]-TODAY())</f>
        <v>222</v>
      </c>
      <c r="G8047" s="3"/>
      <c r="H8047" s="3"/>
    </row>
    <row r="8048" spans="1:8">
      <c r="A8048" s="3">
        <v>369726</v>
      </c>
      <c r="B8048" s="7" t="s">
        <v>543</v>
      </c>
      <c r="C8048" s="87" t="s">
        <v>32</v>
      </c>
      <c r="D8048" s="6">
        <v>45915</v>
      </c>
      <c r="E8048" s="3" t="str">
        <f ca="1">IF(Tabela2[[#This Row],[Dt Venc:]]&gt;TODAY(),"Em Aberto",IF(Tabela2[[#This Row],[D/venc]]="-","Enviado",IF(Tabela2[[#This Row],[Dt Venc:]]=TODAY(),"Vence Hoje","Vencida")))</f>
        <v>Em Aberto</v>
      </c>
      <c r="F8048" s="3">
        <f ca="1">IF(G8048=1,"-",Tabela2[[#This Row],[Dt Venc:]]-TODAY())</f>
        <v>222</v>
      </c>
      <c r="G8048" s="3"/>
      <c r="H8048" s="3"/>
    </row>
    <row r="8049" spans="1:8">
      <c r="A8049" s="3">
        <v>369751</v>
      </c>
      <c r="B8049" s="7" t="s">
        <v>543</v>
      </c>
      <c r="C8049" s="87" t="s">
        <v>32</v>
      </c>
      <c r="D8049" s="6">
        <v>45915</v>
      </c>
      <c r="E8049" s="3" t="str">
        <f ca="1">IF(Tabela2[[#This Row],[Dt Venc:]]&gt;TODAY(),"Em Aberto",IF(Tabela2[[#This Row],[D/venc]]="-","Enviado",IF(Tabela2[[#This Row],[Dt Venc:]]=TODAY(),"Vence Hoje","Vencida")))</f>
        <v>Em Aberto</v>
      </c>
      <c r="F8049" s="3">
        <f ca="1">IF(G8049=1,"-",Tabela2[[#This Row],[Dt Venc:]]-TODAY())</f>
        <v>222</v>
      </c>
      <c r="G8049" s="3"/>
      <c r="H8049" s="3"/>
    </row>
    <row r="8050" spans="1:8">
      <c r="A8050" s="3">
        <v>370201</v>
      </c>
      <c r="B8050" s="7" t="s">
        <v>543</v>
      </c>
      <c r="C8050" s="87" t="s">
        <v>32</v>
      </c>
      <c r="D8050" s="6">
        <v>45915</v>
      </c>
      <c r="E8050" s="3" t="str">
        <f ca="1">IF(Tabela2[[#This Row],[Dt Venc:]]&gt;TODAY(),"Em Aberto",IF(Tabela2[[#This Row],[D/venc]]="-","Enviado",IF(Tabela2[[#This Row],[Dt Venc:]]=TODAY(),"Vence Hoje","Vencida")))</f>
        <v>Em Aberto</v>
      </c>
      <c r="F8050" s="3">
        <f ca="1">IF(G8050=1,"-",Tabela2[[#This Row],[Dt Venc:]]-TODAY())</f>
        <v>222</v>
      </c>
      <c r="G8050" s="3"/>
      <c r="H8050" s="3"/>
    </row>
    <row r="8051" spans="1:8">
      <c r="A8051" s="3">
        <v>370864</v>
      </c>
      <c r="B8051" s="7" t="s">
        <v>543</v>
      </c>
      <c r="C8051" s="87" t="s">
        <v>32</v>
      </c>
      <c r="D8051" s="6">
        <v>45915</v>
      </c>
      <c r="E8051" s="3" t="str">
        <f ca="1">IF(Tabela2[[#This Row],[Dt Venc:]]&gt;TODAY(),"Em Aberto",IF(Tabela2[[#This Row],[D/venc]]="-","Enviado",IF(Tabela2[[#This Row],[Dt Venc:]]=TODAY(),"Vence Hoje","Vencida")))</f>
        <v>Em Aberto</v>
      </c>
      <c r="F8051" s="3">
        <f ca="1">IF(G8051=1,"-",Tabela2[[#This Row],[Dt Venc:]]-TODAY())</f>
        <v>222</v>
      </c>
      <c r="G8051" s="3"/>
      <c r="H8051" s="3"/>
    </row>
    <row r="8052" spans="1:8">
      <c r="A8052" s="3">
        <v>371011</v>
      </c>
      <c r="B8052" s="7" t="s">
        <v>633</v>
      </c>
      <c r="C8052" s="87" t="s">
        <v>32</v>
      </c>
      <c r="D8052" s="6">
        <v>45915</v>
      </c>
      <c r="E8052" s="3" t="str">
        <f ca="1">IF(Tabela2[[#This Row],[Dt Venc:]]&gt;TODAY(),"Em Aberto",IF(Tabela2[[#This Row],[D/venc]]="-","Enviado",IF(Tabela2[[#This Row],[Dt Venc:]]=TODAY(),"Vence Hoje","Vencida")))</f>
        <v>Em Aberto</v>
      </c>
      <c r="F8052" s="3">
        <f ca="1">IF(G8052=1,"-",Tabela2[[#This Row],[Dt Venc:]]-TODAY())</f>
        <v>222</v>
      </c>
      <c r="G8052" s="3"/>
      <c r="H8052" s="3"/>
    </row>
    <row r="8053" spans="1:8">
      <c r="A8053" s="3">
        <v>371160</v>
      </c>
      <c r="B8053" s="7" t="s">
        <v>633</v>
      </c>
      <c r="C8053" s="87" t="s">
        <v>32</v>
      </c>
      <c r="D8053" s="6">
        <v>45915</v>
      </c>
      <c r="E8053" s="3" t="str">
        <f ca="1">IF(Tabela2[[#This Row],[Dt Venc:]]&gt;TODAY(),"Em Aberto",IF(Tabela2[[#This Row],[D/venc]]="-","Enviado",IF(Tabela2[[#This Row],[Dt Venc:]]=TODAY(),"Vence Hoje","Vencida")))</f>
        <v>Em Aberto</v>
      </c>
      <c r="F8053" s="3">
        <f ca="1">IF(G8053=1,"-",Tabela2[[#This Row],[Dt Venc:]]-TODAY())</f>
        <v>222</v>
      </c>
      <c r="G8053" s="3"/>
      <c r="H8053" s="3"/>
    </row>
    <row r="8054" spans="1:8">
      <c r="A8054" s="3">
        <v>748099</v>
      </c>
      <c r="B8054" s="7" t="s">
        <v>81</v>
      </c>
      <c r="C8054" s="99" t="s">
        <v>32</v>
      </c>
      <c r="D8054" s="6">
        <v>45915</v>
      </c>
      <c r="E8054" s="3" t="str">
        <f ca="1">IF(Tabela2[[#This Row],[Dt Venc:]]&gt;TODAY(),"Em Aberto",IF(Tabela2[[#This Row],[D/venc]]="-","Enviado",IF(Tabela2[[#This Row],[Dt Venc:]]=TODAY(),"Vence Hoje","Vencida")))</f>
        <v>Em Aberto</v>
      </c>
      <c r="F8054" s="3">
        <f ca="1">IF(G8054=1,"-",Tabela2[[#This Row],[Dt Venc:]]-TODAY())</f>
        <v>222</v>
      </c>
      <c r="G8054" s="3"/>
      <c r="H8054" s="3"/>
    </row>
    <row r="8055" spans="1:8">
      <c r="A8055" s="3">
        <v>892178</v>
      </c>
      <c r="B8055" s="7" t="s">
        <v>253</v>
      </c>
      <c r="C8055" s="99" t="s">
        <v>32</v>
      </c>
      <c r="D8055" s="6">
        <v>45915</v>
      </c>
      <c r="E8055" s="3" t="str">
        <f ca="1">IF(Tabela2[[#This Row],[Dt Venc:]]&gt;TODAY(),"Em Aberto",IF(Tabela2[[#This Row],[D/venc]]="-","Enviado",IF(Tabela2[[#This Row],[Dt Venc:]]=TODAY(),"Vence Hoje","Vencida")))</f>
        <v>Em Aberto</v>
      </c>
      <c r="F8055" s="3">
        <f ca="1">IF(G8055=1,"-",Tabela2[[#This Row],[Dt Venc:]]-TODAY())</f>
        <v>222</v>
      </c>
      <c r="G8055" s="3"/>
      <c r="H8055" s="3"/>
    </row>
    <row r="8056" spans="1:8">
      <c r="A8056" s="3">
        <v>894135</v>
      </c>
      <c r="B8056" s="7" t="s">
        <v>253</v>
      </c>
      <c r="C8056" s="99" t="s">
        <v>32</v>
      </c>
      <c r="D8056" s="6">
        <v>45915</v>
      </c>
      <c r="E8056" s="3" t="str">
        <f ca="1">IF(Tabela2[[#This Row],[Dt Venc:]]&gt;TODAY(),"Em Aberto",IF(Tabela2[[#This Row],[D/venc]]="-","Enviado",IF(Tabela2[[#This Row],[Dt Venc:]]=TODAY(),"Vence Hoje","Vencida")))</f>
        <v>Em Aberto</v>
      </c>
      <c r="F8056" s="3">
        <f ca="1">IF(G8056=1,"-",Tabela2[[#This Row],[Dt Venc:]]-TODAY())</f>
        <v>222</v>
      </c>
      <c r="G8056" s="3"/>
      <c r="H8056" s="3"/>
    </row>
    <row r="8057" spans="1:8">
      <c r="A8057" s="3">
        <v>896565</v>
      </c>
      <c r="B8057" s="7" t="s">
        <v>253</v>
      </c>
      <c r="C8057" s="99" t="s">
        <v>32</v>
      </c>
      <c r="D8057" s="6">
        <v>45915</v>
      </c>
      <c r="E8057" s="3" t="str">
        <f ca="1">IF(Tabela2[[#This Row],[Dt Venc:]]&gt;TODAY(),"Em Aberto",IF(Tabela2[[#This Row],[D/venc]]="-","Enviado",IF(Tabela2[[#This Row],[Dt Venc:]]=TODAY(),"Vence Hoje","Vencida")))</f>
        <v>Em Aberto</v>
      </c>
      <c r="F8057" s="3">
        <f ca="1">IF(G8057=1,"-",Tabela2[[#This Row],[Dt Venc:]]-TODAY())</f>
        <v>222</v>
      </c>
      <c r="G8057" s="3"/>
      <c r="H8057" s="3"/>
    </row>
    <row r="8058" spans="1:8">
      <c r="A8058" s="3">
        <v>900386</v>
      </c>
      <c r="B8058" s="7" t="s">
        <v>253</v>
      </c>
      <c r="C8058" s="99" t="s">
        <v>32</v>
      </c>
      <c r="D8058" s="6">
        <v>45915</v>
      </c>
      <c r="E8058" s="3" t="str">
        <f ca="1">IF(Tabela2[[#This Row],[Dt Venc:]]&gt;TODAY(),"Em Aberto",IF(Tabela2[[#This Row],[D/venc]]="-","Enviado",IF(Tabela2[[#This Row],[Dt Venc:]]=TODAY(),"Vence Hoje","Vencida")))</f>
        <v>Em Aberto</v>
      </c>
      <c r="F8058" s="3">
        <f ca="1">IF(G8058=1,"-",Tabela2[[#This Row],[Dt Venc:]]-TODAY())</f>
        <v>222</v>
      </c>
      <c r="G8058" s="3"/>
      <c r="H8058" s="3"/>
    </row>
    <row r="8059" spans="1:8">
      <c r="A8059" s="3">
        <v>901787</v>
      </c>
      <c r="B8059" s="7" t="s">
        <v>253</v>
      </c>
      <c r="C8059" s="99" t="s">
        <v>32</v>
      </c>
      <c r="D8059" s="6">
        <v>45915</v>
      </c>
      <c r="E8059" s="3" t="str">
        <f ca="1">IF(Tabela2[[#This Row],[Dt Venc:]]&gt;TODAY(),"Em Aberto",IF(Tabela2[[#This Row],[D/venc]]="-","Enviado",IF(Tabela2[[#This Row],[Dt Venc:]]=TODAY(),"Vence Hoje","Vencida")))</f>
        <v>Em Aberto</v>
      </c>
      <c r="F8059" s="3">
        <f ca="1">IF(G8059=1,"-",Tabela2[[#This Row],[Dt Venc:]]-TODAY())</f>
        <v>222</v>
      </c>
      <c r="G8059" s="3"/>
      <c r="H8059" s="3"/>
    </row>
    <row r="8060" spans="1:8">
      <c r="A8060" s="3">
        <v>901788</v>
      </c>
      <c r="B8060" s="7" t="s">
        <v>253</v>
      </c>
      <c r="C8060" s="99" t="s">
        <v>32</v>
      </c>
      <c r="D8060" s="6">
        <v>45915</v>
      </c>
      <c r="E8060" s="3" t="str">
        <f ca="1">IF(Tabela2[[#This Row],[Dt Venc:]]&gt;TODAY(),"Em Aberto",IF(Tabela2[[#This Row],[D/venc]]="-","Enviado",IF(Tabela2[[#This Row],[Dt Venc:]]=TODAY(),"Vence Hoje","Vencida")))</f>
        <v>Em Aberto</v>
      </c>
      <c r="F8060" s="3">
        <f ca="1">IF(G8060=1,"-",Tabela2[[#This Row],[Dt Venc:]]-TODAY())</f>
        <v>222</v>
      </c>
      <c r="G8060" s="3"/>
      <c r="H8060" s="3"/>
    </row>
    <row r="8061" spans="1:8">
      <c r="A8061" s="3">
        <v>901789</v>
      </c>
      <c r="B8061" s="7" t="s">
        <v>253</v>
      </c>
      <c r="C8061" s="99" t="s">
        <v>32</v>
      </c>
      <c r="D8061" s="6">
        <v>45915</v>
      </c>
      <c r="E8061" s="3" t="str">
        <f ca="1">IF(Tabela2[[#This Row],[Dt Venc:]]&gt;TODAY(),"Em Aberto",IF(Tabela2[[#This Row],[D/venc]]="-","Enviado",IF(Tabela2[[#This Row],[Dt Venc:]]=TODAY(),"Vence Hoje","Vencida")))</f>
        <v>Em Aberto</v>
      </c>
      <c r="F8061" s="3">
        <f ca="1">IF(G8061=1,"-",Tabela2[[#This Row],[Dt Venc:]]-TODAY())</f>
        <v>222</v>
      </c>
      <c r="G8061" s="3"/>
      <c r="H8061" s="3"/>
    </row>
    <row r="8062" spans="1:8">
      <c r="A8062" s="3">
        <v>912703</v>
      </c>
      <c r="B8062" s="7" t="s">
        <v>253</v>
      </c>
      <c r="C8062" s="99" t="s">
        <v>32</v>
      </c>
      <c r="D8062" s="6">
        <v>45915</v>
      </c>
      <c r="E8062" s="3" t="str">
        <f ca="1">IF(Tabela2[[#This Row],[Dt Venc:]]&gt;TODAY(),"Em Aberto",IF(Tabela2[[#This Row],[D/venc]]="-","Enviado",IF(Tabela2[[#This Row],[Dt Venc:]]=TODAY(),"Vence Hoje","Vencida")))</f>
        <v>Em Aberto</v>
      </c>
      <c r="F8062" s="3">
        <f ca="1">IF(G8062=1,"-",Tabela2[[#This Row],[Dt Venc:]]-TODAY())</f>
        <v>222</v>
      </c>
      <c r="G8062" s="3"/>
      <c r="H8062" s="3"/>
    </row>
    <row r="8063" spans="1:8">
      <c r="A8063" s="3">
        <v>912704</v>
      </c>
      <c r="B8063" s="7" t="s">
        <v>253</v>
      </c>
      <c r="C8063" s="99" t="s">
        <v>32</v>
      </c>
      <c r="D8063" s="6">
        <v>45915</v>
      </c>
      <c r="E8063" s="3" t="str">
        <f ca="1">IF(Tabela2[[#This Row],[Dt Venc:]]&gt;TODAY(),"Em Aberto",IF(Tabela2[[#This Row],[D/venc]]="-","Enviado",IF(Tabela2[[#This Row],[Dt Venc:]]=TODAY(),"Vence Hoje","Vencida")))</f>
        <v>Em Aberto</v>
      </c>
      <c r="F8063" s="3">
        <f ca="1">IF(G8063=1,"-",Tabela2[[#This Row],[Dt Venc:]]-TODAY())</f>
        <v>222</v>
      </c>
      <c r="G8063" s="3"/>
      <c r="H8063" s="3"/>
    </row>
    <row r="8064" spans="1:8">
      <c r="A8064" s="3">
        <v>919728</v>
      </c>
      <c r="B8064" s="7" t="s">
        <v>253</v>
      </c>
      <c r="C8064" s="87" t="s">
        <v>32</v>
      </c>
      <c r="D8064" s="6">
        <v>45915</v>
      </c>
      <c r="E8064" s="3" t="str">
        <f ca="1">IF(Tabela2[[#This Row],[Dt Venc:]]&gt;TODAY(),"Em Aberto",IF(Tabela2[[#This Row],[D/venc]]="-","Enviado",IF(Tabela2[[#This Row],[Dt Venc:]]=TODAY(),"Vence Hoje","Vencida")))</f>
        <v>Em Aberto</v>
      </c>
      <c r="F8064" s="3">
        <f ca="1">IF(G8064=1,"-",Tabela2[[#This Row],[Dt Venc:]]-TODAY())</f>
        <v>222</v>
      </c>
      <c r="G8064" s="3"/>
      <c r="H8064" s="3"/>
    </row>
    <row r="8065" spans="1:8">
      <c r="A8065" s="3">
        <v>919729</v>
      </c>
      <c r="B8065" s="7" t="s">
        <v>253</v>
      </c>
      <c r="C8065" s="87" t="s">
        <v>32</v>
      </c>
      <c r="D8065" s="6">
        <v>45915</v>
      </c>
      <c r="E8065" s="3" t="str">
        <f ca="1">IF(Tabela2[[#This Row],[Dt Venc:]]&gt;TODAY(),"Em Aberto",IF(Tabela2[[#This Row],[D/venc]]="-","Enviado",IF(Tabela2[[#This Row],[Dt Venc:]]=TODAY(),"Vence Hoje","Vencida")))</f>
        <v>Em Aberto</v>
      </c>
      <c r="F8065" s="3">
        <f ca="1">IF(G8065=1,"-",Tabela2[[#This Row],[Dt Venc:]]-TODAY())</f>
        <v>222</v>
      </c>
      <c r="G8065" s="3"/>
      <c r="H8065" s="3"/>
    </row>
    <row r="8066" spans="1:8">
      <c r="A8066" s="3">
        <v>37300</v>
      </c>
      <c r="B8066" s="7" t="s">
        <v>167</v>
      </c>
      <c r="C8066" s="99" t="s">
        <v>32</v>
      </c>
      <c r="D8066" s="6">
        <v>45916</v>
      </c>
      <c r="E8066" s="3" t="str">
        <f ca="1">IF(Tabela2[[#This Row],[Dt Venc:]]&gt;TODAY(),"Em Aberto",IF(Tabela2[[#This Row],[D/venc]]="-","Enviado",IF(Tabela2[[#This Row],[Dt Venc:]]=TODAY(),"Vence Hoje","Vencida")))</f>
        <v>Em Aberto</v>
      </c>
      <c r="F8066" s="3">
        <f ca="1">IF(G8066=1,"-",Tabela2[[#This Row],[Dt Venc:]]-TODAY())</f>
        <v>223</v>
      </c>
      <c r="G8066" s="3"/>
      <c r="H8066" s="3"/>
    </row>
    <row r="8067" spans="1:8">
      <c r="A8067" s="3">
        <v>37196</v>
      </c>
      <c r="B8067" s="7" t="s">
        <v>167</v>
      </c>
      <c r="C8067" s="85" t="s">
        <v>32</v>
      </c>
      <c r="D8067" s="6">
        <v>45917</v>
      </c>
      <c r="E8067" s="3" t="str">
        <f ca="1">IF(Tabela2[[#This Row],[Dt Venc:]]&gt;TODAY(),"Em Aberto",IF(Tabela2[[#This Row],[D/venc]]="-","Enviado",IF(Tabela2[[#This Row],[Dt Venc:]]=TODAY(),"Vence Hoje","Vencida")))</f>
        <v>Em Aberto</v>
      </c>
      <c r="F8067" s="3">
        <f ca="1">IF(G8067=1,"-",Tabela2[[#This Row],[Dt Venc:]]-TODAY())</f>
        <v>224</v>
      </c>
      <c r="G8067" s="3"/>
      <c r="H8067" s="3"/>
    </row>
    <row r="8068" spans="1:8">
      <c r="A8068" s="3">
        <v>37348</v>
      </c>
      <c r="B8068" s="7" t="s">
        <v>167</v>
      </c>
      <c r="C8068" s="99" t="s">
        <v>32</v>
      </c>
      <c r="D8068" s="6">
        <v>45922</v>
      </c>
      <c r="E8068" s="3" t="str">
        <f ca="1">IF(Tabela2[[#This Row],[Dt Venc:]]&gt;TODAY(),"Em Aberto",IF(Tabela2[[#This Row],[D/venc]]="-","Enviado",IF(Tabela2[[#This Row],[Dt Venc:]]=TODAY(),"Vence Hoje","Vencida")))</f>
        <v>Em Aberto</v>
      </c>
      <c r="F8068" s="3">
        <f ca="1">IF(G8068=1,"-",Tabela2[[#This Row],[Dt Venc:]]-TODAY())</f>
        <v>229</v>
      </c>
      <c r="G8068" s="3"/>
      <c r="H8068" s="3"/>
    </row>
    <row r="8069" spans="1:8">
      <c r="A8069" s="3" t="s">
        <v>110</v>
      </c>
      <c r="B8069" s="7" t="s">
        <v>337</v>
      </c>
      <c r="C8069" s="42" t="s">
        <v>32</v>
      </c>
      <c r="D8069" s="6">
        <v>45923</v>
      </c>
      <c r="E8069" s="3" t="str">
        <f ca="1">IF(Tabela2[[#This Row],[Dt Venc:]]&gt;TODAY(),"Em Aberto",IF(Tabela2[[#This Row],[D/venc]]="-","Enviado",IF(Tabela2[[#This Row],[Dt Venc:]]=TODAY(),"Vence Hoje","Vencida")))</f>
        <v>Em Aberto</v>
      </c>
      <c r="F8069" s="3">
        <f ca="1">IF(G8069=1,"-",Tabela2[[#This Row],[Dt Venc:]]-TODAY())</f>
        <v>230</v>
      </c>
      <c r="G8069" s="3"/>
      <c r="H8069" s="3" t="s">
        <v>732</v>
      </c>
    </row>
    <row r="8070" spans="1:8">
      <c r="A8070" s="3">
        <v>654537</v>
      </c>
      <c r="B8070" s="7" t="s">
        <v>648</v>
      </c>
      <c r="C8070" s="87" t="s">
        <v>32</v>
      </c>
      <c r="D8070" s="6">
        <v>45923</v>
      </c>
      <c r="E8070" s="3" t="str">
        <f ca="1">IF(Tabela2[[#This Row],[Dt Venc:]]&gt;TODAY(),"Em Aberto",IF(Tabela2[[#This Row],[D/venc]]="-","Enviado",IF(Tabela2[[#This Row],[Dt Venc:]]=TODAY(),"Vence Hoje","Vencida")))</f>
        <v>Em Aberto</v>
      </c>
      <c r="F8070" s="3">
        <f ca="1">IF(G8070=1,"-",Tabela2[[#This Row],[Dt Venc:]]-TODAY())</f>
        <v>230</v>
      </c>
      <c r="G8070" s="3"/>
      <c r="H8070" s="3"/>
    </row>
    <row r="8071" spans="1:8">
      <c r="A8071" s="3">
        <v>495914</v>
      </c>
      <c r="B8071" s="7" t="s">
        <v>153</v>
      </c>
      <c r="C8071" s="99" t="s">
        <v>32</v>
      </c>
      <c r="D8071" s="6">
        <v>45925</v>
      </c>
      <c r="E8071" s="3" t="str">
        <f ca="1">IF(Tabela2[[#This Row],[Dt Venc:]]&gt;TODAY(),"Em Aberto",IF(Tabela2[[#This Row],[D/venc]]="-","Enviado",IF(Tabela2[[#This Row],[Dt Venc:]]=TODAY(),"Vence Hoje","Vencida")))</f>
        <v>Em Aberto</v>
      </c>
      <c r="F8071" s="3">
        <f ca="1">IF(G8071=1,"-",Tabela2[[#This Row],[Dt Venc:]]-TODAY())</f>
        <v>232</v>
      </c>
      <c r="G8071" s="3"/>
      <c r="H8071" s="3"/>
    </row>
    <row r="8072" spans="1:8">
      <c r="A8072" s="3">
        <v>5690</v>
      </c>
      <c r="B8072" s="7" t="s">
        <v>122</v>
      </c>
      <c r="C8072" s="99" t="s">
        <v>32</v>
      </c>
      <c r="D8072" s="6">
        <v>45927</v>
      </c>
      <c r="E8072" s="3" t="str">
        <f ca="1">IF(Tabela2[[#This Row],[Dt Venc:]]&gt;TODAY(),"Em Aberto",IF(Tabela2[[#This Row],[D/venc]]="-","Enviado",IF(Tabela2[[#This Row],[Dt Venc:]]=TODAY(),"Vence Hoje","Vencida")))</f>
        <v>Em Aberto</v>
      </c>
      <c r="F8072" s="3">
        <f ca="1">IF(G8072=1,"-",Tabela2[[#This Row],[Dt Venc:]]-TODAY())</f>
        <v>234</v>
      </c>
      <c r="G8072" s="3"/>
      <c r="H8072" s="3"/>
    </row>
    <row r="8073" spans="1:8">
      <c r="A8073" s="3" t="s">
        <v>110</v>
      </c>
      <c r="B8073" s="7" t="s">
        <v>373</v>
      </c>
      <c r="C8073" s="42" t="s">
        <v>32</v>
      </c>
      <c r="D8073" s="6">
        <v>45928</v>
      </c>
      <c r="E8073" s="3" t="str">
        <f ca="1">IF(Tabela2[[#This Row],[Dt Venc:]]&gt;TODAY(),"Em Aberto",IF(Tabela2[[#This Row],[D/venc]]="-","Enviado",IF(Tabela2[[#This Row],[Dt Venc:]]=TODAY(),"Vence Hoje","Vencida")))</f>
        <v>Em Aberto</v>
      </c>
      <c r="F8073" s="3">
        <f ca="1">IF(G8073=1,"-",Tabela2[[#This Row],[Dt Venc:]]-TODAY())</f>
        <v>235</v>
      </c>
      <c r="G8073" s="3"/>
      <c r="H8073" s="3"/>
    </row>
    <row r="8074" spans="1:8">
      <c r="A8074" s="3">
        <v>912180</v>
      </c>
      <c r="B8074" s="7" t="s">
        <v>375</v>
      </c>
      <c r="C8074" s="99" t="s">
        <v>32</v>
      </c>
      <c r="D8074" s="6">
        <v>45929</v>
      </c>
      <c r="E8074" s="3" t="str">
        <f ca="1">IF(Tabela2[[#This Row],[Dt Venc:]]&gt;TODAY(),"Em Aberto",IF(Tabela2[[#This Row],[D/venc]]="-","Enviado",IF(Tabela2[[#This Row],[Dt Venc:]]=TODAY(),"Vence Hoje","Vencida")))</f>
        <v>Em Aberto</v>
      </c>
      <c r="F8074" s="3">
        <f ca="1">IF(G8074=1,"-",Tabela2[[#This Row],[Dt Venc:]]-TODAY())</f>
        <v>236</v>
      </c>
      <c r="G8074" s="3"/>
      <c r="H8074" s="3"/>
    </row>
    <row r="8075" spans="1:8">
      <c r="A8075" s="3">
        <v>11681</v>
      </c>
      <c r="B8075" s="7" t="s">
        <v>82</v>
      </c>
      <c r="C8075" s="87" t="s">
        <v>30</v>
      </c>
      <c r="D8075" s="6">
        <v>45930</v>
      </c>
      <c r="E8075" s="3" t="str">
        <f ca="1">IF(Tabela2[[#This Row],[Dt Venc:]]&gt;TODAY(),"Em Aberto",IF(Tabela2[[#This Row],[D/venc]]="-","Enviado",IF(Tabela2[[#This Row],[Dt Venc:]]=TODAY(),"Vence Hoje","Vencida")))</f>
        <v>Em Aberto</v>
      </c>
      <c r="F8075" s="3">
        <f ca="1">IF(G8075=1,"-",Tabela2[[#This Row],[Dt Venc:]]-TODAY())</f>
        <v>237</v>
      </c>
      <c r="G8075" s="3"/>
      <c r="H8075" s="3"/>
    </row>
    <row r="8076" spans="1:8">
      <c r="A8076" s="3" t="s">
        <v>28</v>
      </c>
      <c r="B8076" s="7" t="s">
        <v>391</v>
      </c>
      <c r="C8076" s="85" t="s">
        <v>30</v>
      </c>
      <c r="D8076" s="6">
        <v>45930</v>
      </c>
      <c r="E8076" s="3" t="str">
        <f ca="1">IF(Tabela2[[#This Row],[Dt Venc:]]&gt;TODAY(),"Em Aberto",IF(Tabela2[[#This Row],[D/venc]]="-","Enviado",IF(Tabela2[[#This Row],[Dt Venc:]]=TODAY(),"Vence Hoje","Vencida")))</f>
        <v>Em Aberto</v>
      </c>
      <c r="F8076" s="3">
        <f ca="1">IF(G8076=1,"-",Tabela2[[#This Row],[Dt Venc:]]-TODAY())</f>
        <v>237</v>
      </c>
      <c r="G8076" s="3"/>
      <c r="H8076" s="3"/>
    </row>
    <row r="8077" spans="1:8">
      <c r="A8077" s="3" t="s">
        <v>123</v>
      </c>
      <c r="B8077" s="7" t="s">
        <v>386</v>
      </c>
      <c r="C8077" s="87" t="s">
        <v>32</v>
      </c>
      <c r="D8077" s="6">
        <v>45930</v>
      </c>
      <c r="E8077" s="3" t="str">
        <f ca="1">IF(Tabela2[[#This Row],[Dt Venc:]]&gt;TODAY(),"Em Aberto",IF(Tabela2[[#This Row],[D/venc]]="-","Enviado",IF(Tabela2[[#This Row],[Dt Venc:]]=TODAY(),"Vence Hoje","Vencida")))</f>
        <v>Em Aberto</v>
      </c>
      <c r="F8077" s="3">
        <f ca="1">IF(G8077=1,"-",Tabela2[[#This Row],[Dt Venc:]]-TODAY())</f>
        <v>237</v>
      </c>
      <c r="G8077" s="3"/>
      <c r="H8077" s="3"/>
    </row>
    <row r="8078" spans="1:8">
      <c r="A8078" s="3" t="s">
        <v>110</v>
      </c>
      <c r="B8078" s="7" t="s">
        <v>395</v>
      </c>
      <c r="C8078" s="42" t="s">
        <v>32</v>
      </c>
      <c r="D8078" s="6">
        <v>45931</v>
      </c>
      <c r="E8078" s="3" t="str">
        <f ca="1">IF(Tabela2[[#This Row],[Dt Venc:]]&gt;TODAY(),"Em Aberto",IF(Tabela2[[#This Row],[D/venc]]="-","Enviado",IF(Tabela2[[#This Row],[Dt Venc:]]=TODAY(),"Vence Hoje","Vencida")))</f>
        <v>Em Aberto</v>
      </c>
      <c r="F8078" s="3">
        <f ca="1">IF(G8078=1,"-",Tabela2[[#This Row],[Dt Venc:]]-TODAY())</f>
        <v>238</v>
      </c>
      <c r="G8078" s="3"/>
      <c r="H8078" s="3"/>
    </row>
    <row r="8079" spans="1:8">
      <c r="A8079" s="3">
        <v>36910</v>
      </c>
      <c r="B8079" s="7" t="s">
        <v>167</v>
      </c>
      <c r="C8079" s="100" t="s">
        <v>32</v>
      </c>
      <c r="D8079" s="6">
        <v>45931</v>
      </c>
      <c r="E8079" s="3" t="str">
        <f ca="1">IF(Tabela2[[#This Row],[Dt Venc:]]&gt;TODAY(),"Em Aberto",IF(Tabela2[[#This Row],[D/venc]]="-","Enviado",IF(Tabela2[[#This Row],[Dt Venc:]]=TODAY(),"Vence Hoje","Vencida")))</f>
        <v>Em Aberto</v>
      </c>
      <c r="F8079" s="3">
        <f ca="1">IF(G8079=1,"-",Tabela2[[#This Row],[Dt Venc:]]-TODAY())</f>
        <v>238</v>
      </c>
      <c r="G8079" s="3"/>
      <c r="H8079" s="3"/>
    </row>
    <row r="8080" spans="1:8">
      <c r="A8080" s="3">
        <v>10494</v>
      </c>
      <c r="B8080" s="7" t="s">
        <v>82</v>
      </c>
      <c r="C8080" s="86" t="s">
        <v>30</v>
      </c>
      <c r="D8080" s="6">
        <v>45933</v>
      </c>
      <c r="E8080" s="3" t="str">
        <f ca="1">IF(Tabela2[[#This Row],[Dt Venc:]]&gt;TODAY(),"Em Aberto",IF(Tabela2[[#This Row],[D/venc]]="-","Enviado",IF(Tabela2[[#This Row],[Dt Venc:]]=TODAY(),"Vence Hoje","Vencida")))</f>
        <v>Em Aberto</v>
      </c>
      <c r="F8080" s="3">
        <f ca="1">IF(G8080=1,"-",Tabela2[[#This Row],[Dt Venc:]]-TODAY())</f>
        <v>240</v>
      </c>
      <c r="G8080" s="3"/>
      <c r="H8080" s="3"/>
    </row>
    <row r="8081" spans="1:8">
      <c r="A8081" s="3">
        <v>5680</v>
      </c>
      <c r="B8081" s="7" t="s">
        <v>122</v>
      </c>
      <c r="C8081" s="99" t="s">
        <v>32</v>
      </c>
      <c r="D8081" s="6">
        <v>45935</v>
      </c>
      <c r="E8081" s="3" t="str">
        <f ca="1">IF(Tabela2[[#This Row],[Dt Venc:]]&gt;TODAY(),"Em Aberto",IF(Tabela2[[#This Row],[D/venc]]="-","Enviado",IF(Tabela2[[#This Row],[Dt Venc:]]=TODAY(),"Vence Hoje","Vencida")))</f>
        <v>Em Aberto</v>
      </c>
      <c r="F8081" s="3">
        <f ca="1">IF(G8081=1,"-",Tabela2[[#This Row],[Dt Venc:]]-TODAY())</f>
        <v>242</v>
      </c>
      <c r="G8081" s="3"/>
      <c r="H8081" s="3"/>
    </row>
    <row r="8082" spans="1:8">
      <c r="A8082" s="3">
        <v>10353</v>
      </c>
      <c r="B8082" s="7" t="s">
        <v>82</v>
      </c>
      <c r="C8082" s="99" t="s">
        <v>32</v>
      </c>
      <c r="D8082" s="6">
        <v>45935</v>
      </c>
      <c r="E8082" s="3" t="str">
        <f ca="1">IF(Tabela2[[#This Row],[Dt Venc:]]&gt;TODAY(),"Em Aberto",IF(Tabela2[[#This Row],[D/venc]]="-","Enviado",IF(Tabela2[[#This Row],[Dt Venc:]]=TODAY(),"Vence Hoje","Vencida")))</f>
        <v>Em Aberto</v>
      </c>
      <c r="F8082" s="3">
        <f ca="1">IF(G8082=1,"-",Tabela2[[#This Row],[Dt Venc:]]-TODAY())</f>
        <v>242</v>
      </c>
      <c r="G8082" s="3"/>
      <c r="H8082" s="3"/>
    </row>
    <row r="8083" spans="1:8">
      <c r="A8083" s="3" t="s">
        <v>123</v>
      </c>
      <c r="B8083" s="7" t="s">
        <v>503</v>
      </c>
      <c r="C8083" s="87" t="s">
        <v>32</v>
      </c>
      <c r="D8083" s="6">
        <v>45935</v>
      </c>
      <c r="E8083" s="3" t="str">
        <f ca="1">IF(Tabela2[[#This Row],[Dt Venc:]]&gt;TODAY(),"Em Aberto",IF(Tabela2[[#This Row],[D/venc]]="-","Enviado",IF(Tabela2[[#This Row],[Dt Venc:]]=TODAY(),"Vence Hoje","Vencida")))</f>
        <v>Em Aberto</v>
      </c>
      <c r="F8083" s="3">
        <f ca="1">IF(G8083=1,"-",Tabela2[[#This Row],[Dt Venc:]]-TODAY())</f>
        <v>242</v>
      </c>
      <c r="G8083" s="3"/>
      <c r="H8083" s="3"/>
    </row>
    <row r="8084" spans="1:8">
      <c r="A8084" s="3">
        <v>284620</v>
      </c>
      <c r="B8084" s="7" t="s">
        <v>153</v>
      </c>
      <c r="C8084" s="99" t="s">
        <v>32</v>
      </c>
      <c r="D8084" s="6">
        <v>45938</v>
      </c>
      <c r="E8084" s="3" t="str">
        <f ca="1">IF(Tabela2[[#This Row],[Dt Venc:]]&gt;TODAY(),"Em Aberto",IF(Tabela2[[#This Row],[D/venc]]="-","Enviado",IF(Tabela2[[#This Row],[Dt Venc:]]=TODAY(),"Vence Hoje","Vencida")))</f>
        <v>Em Aberto</v>
      </c>
      <c r="F8084" s="3">
        <f ca="1">IF(G8084=1,"-",Tabela2[[#This Row],[Dt Venc:]]-TODAY())</f>
        <v>245</v>
      </c>
      <c r="G8084" s="3"/>
      <c r="H8084" s="3"/>
    </row>
    <row r="8085" spans="1:8">
      <c r="A8085" s="3">
        <v>36949</v>
      </c>
      <c r="B8085" s="7" t="s">
        <v>167</v>
      </c>
      <c r="C8085" s="100" t="s">
        <v>32</v>
      </c>
      <c r="D8085" s="6">
        <v>45939</v>
      </c>
      <c r="E8085" s="3" t="str">
        <f ca="1">IF(Tabela2[[#This Row],[Dt Venc:]]&gt;TODAY(),"Em Aberto",IF(Tabela2[[#This Row],[D/venc]]="-","Enviado",IF(Tabela2[[#This Row],[Dt Venc:]]=TODAY(),"Vence Hoje","Vencida")))</f>
        <v>Em Aberto</v>
      </c>
      <c r="F8085" s="3">
        <f ca="1">IF(G8085=1,"-",Tabela2[[#This Row],[Dt Venc:]]-TODAY())</f>
        <v>246</v>
      </c>
      <c r="G8085" s="3"/>
      <c r="H8085" s="3"/>
    </row>
    <row r="8086" spans="1:8">
      <c r="A8086" s="3">
        <v>756561</v>
      </c>
      <c r="B8086" s="7" t="s">
        <v>166</v>
      </c>
      <c r="C8086" s="100" t="s">
        <v>32</v>
      </c>
      <c r="D8086" s="6">
        <v>45939</v>
      </c>
      <c r="E8086" s="3" t="str">
        <f ca="1">IF(Tabela2[[#This Row],[Dt Venc:]]&gt;TODAY(),"Em Aberto",IF(Tabela2[[#This Row],[D/venc]]="-","Enviado",IF(Tabela2[[#This Row],[Dt Venc:]]=TODAY(),"Vence Hoje","Vencida")))</f>
        <v>Em Aberto</v>
      </c>
      <c r="F8086" s="3">
        <f ca="1">IF(G8086=1,"-",Tabela2[[#This Row],[Dt Venc:]]-TODAY())</f>
        <v>246</v>
      </c>
      <c r="G8086" s="3"/>
      <c r="H8086" s="3"/>
    </row>
    <row r="8087" spans="1:8">
      <c r="A8087" s="3" t="s">
        <v>179</v>
      </c>
      <c r="B8087" s="7" t="s">
        <v>180</v>
      </c>
      <c r="C8087" s="100" t="s">
        <v>32</v>
      </c>
      <c r="D8087" s="6">
        <v>45939</v>
      </c>
      <c r="E8087" s="3" t="str">
        <f ca="1">IF(Tabela2[[#This Row],[Dt Venc:]]&gt;TODAY(),"Em Aberto",IF(Tabela2[[#This Row],[D/venc]]="-","Enviado",IF(Tabela2[[#This Row],[Dt Venc:]]=TODAY(),"Vence Hoje","Vencida")))</f>
        <v>Em Aberto</v>
      </c>
      <c r="F8087" s="3">
        <f ca="1">IF(G8087=1,"-",Tabela2[[#This Row],[Dt Venc:]]-TODAY())</f>
        <v>246</v>
      </c>
      <c r="G8087" s="3"/>
      <c r="H8087" s="3"/>
    </row>
    <row r="8088" spans="1:8">
      <c r="A8088" s="3" t="s">
        <v>123</v>
      </c>
      <c r="B8088" s="7" t="s">
        <v>418</v>
      </c>
      <c r="C8088" s="42" t="s">
        <v>32</v>
      </c>
      <c r="D8088" s="6">
        <v>45940</v>
      </c>
      <c r="E8088" s="3" t="str">
        <f ca="1">IF(Tabela2[[#This Row],[Dt Venc:]]&gt;TODAY(),"Em Aberto",IF(Tabela2[[#This Row],[D/venc]]="-","Enviado",IF(Tabela2[[#This Row],[Dt Venc:]]=TODAY(),"Vence Hoje","Vencida")))</f>
        <v>Em Aberto</v>
      </c>
      <c r="F8088" s="3">
        <f ca="1">IF(G8088=1,"-",Tabela2[[#This Row],[Dt Venc:]]-TODAY())</f>
        <v>247</v>
      </c>
      <c r="G8088" s="3"/>
      <c r="H8088" s="3"/>
    </row>
    <row r="8089" spans="1:8">
      <c r="A8089" s="3" t="s">
        <v>179</v>
      </c>
      <c r="B8089" s="7" t="s">
        <v>190</v>
      </c>
      <c r="C8089" s="100" t="s">
        <v>32</v>
      </c>
      <c r="D8089" s="6">
        <v>45940</v>
      </c>
      <c r="E8089" s="3" t="str">
        <f ca="1">IF(Tabela2[[#This Row],[Dt Venc:]]&gt;TODAY(),"Em Aberto",IF(Tabela2[[#This Row],[D/venc]]="-","Enviado",IF(Tabela2[[#This Row],[Dt Venc:]]=TODAY(),"Vence Hoje","Vencida")))</f>
        <v>Em Aberto</v>
      </c>
      <c r="F8089" s="3">
        <f ca="1">IF(G8089=1,"-",Tabela2[[#This Row],[Dt Venc:]]-TODAY())</f>
        <v>247</v>
      </c>
      <c r="G8089" s="3"/>
      <c r="H8089" s="3"/>
    </row>
    <row r="8090" spans="1:8">
      <c r="A8090" s="3">
        <v>37327</v>
      </c>
      <c r="B8090" s="7" t="s">
        <v>167</v>
      </c>
      <c r="C8090" s="100" t="s">
        <v>32</v>
      </c>
      <c r="D8090" s="6">
        <v>45941</v>
      </c>
      <c r="E8090" s="3" t="str">
        <f ca="1">IF(Tabela2[[#This Row],[Dt Venc:]]&gt;TODAY(),"Em Aberto",IF(Tabela2[[#This Row],[D/venc]]="-","Enviado",IF(Tabela2[[#This Row],[Dt Venc:]]=TODAY(),"Vence Hoje","Vencida")))</f>
        <v>Em Aberto</v>
      </c>
      <c r="F8090" s="3">
        <f ca="1">IF(G8090=1,"-",Tabela2[[#This Row],[Dt Venc:]]-TODAY())</f>
        <v>248</v>
      </c>
      <c r="G8090" s="3"/>
      <c r="H8090" s="3"/>
    </row>
    <row r="8091" spans="1:8">
      <c r="A8091" s="3">
        <v>37292</v>
      </c>
      <c r="B8091" s="7" t="s">
        <v>167</v>
      </c>
      <c r="C8091" s="100" t="s">
        <v>32</v>
      </c>
      <c r="D8091" s="6">
        <v>45943</v>
      </c>
      <c r="E8091" s="3" t="str">
        <f ca="1">IF(Tabela2[[#This Row],[Dt Venc:]]&gt;TODAY(),"Em Aberto",IF(Tabela2[[#This Row],[D/venc]]="-","Enviado",IF(Tabela2[[#This Row],[Dt Venc:]]=TODAY(),"Vence Hoje","Vencida")))</f>
        <v>Em Aberto</v>
      </c>
      <c r="F8091" s="3">
        <f ca="1">IF(G8091=1,"-",Tabela2[[#This Row],[Dt Venc:]]-TODAY())</f>
        <v>250</v>
      </c>
      <c r="G8091" s="3"/>
      <c r="H8091" s="3"/>
    </row>
    <row r="8092" spans="1:8">
      <c r="A8092" s="3">
        <v>111736</v>
      </c>
      <c r="B8092" s="7" t="s">
        <v>182</v>
      </c>
      <c r="C8092" s="87" t="s">
        <v>32</v>
      </c>
      <c r="D8092" s="6">
        <v>45944</v>
      </c>
      <c r="E8092" s="3" t="str">
        <f ca="1">IF(Tabela2[[#This Row],[Dt Venc:]]&gt;TODAY(),"Em Aberto",IF(Tabela2[[#This Row],[D/venc]]="-","Enviado",IF(Tabela2[[#This Row],[Dt Venc:]]=TODAY(),"Vence Hoje","Vencida")))</f>
        <v>Em Aberto</v>
      </c>
      <c r="F8092" s="3">
        <f ca="1">IF(G8092=1,"-",Tabela2[[#This Row],[Dt Venc:]]-TODAY())</f>
        <v>251</v>
      </c>
      <c r="G8092" s="3"/>
      <c r="H8092" s="3"/>
    </row>
    <row r="8093" spans="1:8">
      <c r="A8093" s="3">
        <v>562</v>
      </c>
      <c r="B8093" s="7" t="s">
        <v>251</v>
      </c>
      <c r="C8093" s="100" t="s">
        <v>32</v>
      </c>
      <c r="D8093" s="6">
        <v>45945</v>
      </c>
      <c r="E8093" s="3" t="str">
        <f ca="1">IF(Tabela2[[#This Row],[Dt Venc:]]&gt;TODAY(),"Em Aberto",IF(Tabela2[[#This Row],[D/venc]]="-","Enviado",IF(Tabela2[[#This Row],[Dt Venc:]]=TODAY(),"Vence Hoje","Vencida")))</f>
        <v>Em Aberto</v>
      </c>
      <c r="F8093" s="3">
        <f ca="1">IF(G8093=1,"-",Tabela2[[#This Row],[Dt Venc:]]-TODAY())</f>
        <v>252</v>
      </c>
      <c r="G8093" s="3"/>
      <c r="H8093" s="3"/>
    </row>
    <row r="8094" spans="1:8">
      <c r="A8094" s="3">
        <v>36846</v>
      </c>
      <c r="B8094" s="7" t="s">
        <v>167</v>
      </c>
      <c r="C8094" s="100" t="s">
        <v>32</v>
      </c>
      <c r="D8094" s="6">
        <v>45945</v>
      </c>
      <c r="E8094" s="3" t="str">
        <f ca="1">IF(Tabela2[[#This Row],[Dt Venc:]]&gt;TODAY(),"Em Aberto",IF(Tabela2[[#This Row],[D/venc]]="-","Enviado",IF(Tabela2[[#This Row],[Dt Venc:]]=TODAY(),"Vence Hoje","Vencida")))</f>
        <v>Em Aberto</v>
      </c>
      <c r="F8094" s="3">
        <f ca="1">IF(G8094=1,"-",Tabela2[[#This Row],[Dt Venc:]]-TODAY())</f>
        <v>252</v>
      </c>
      <c r="G8094" s="3"/>
      <c r="H8094" s="3"/>
    </row>
    <row r="8095" spans="1:8">
      <c r="A8095" s="3">
        <v>103015</v>
      </c>
      <c r="B8095" s="7" t="s">
        <v>252</v>
      </c>
      <c r="C8095" s="100" t="s">
        <v>32</v>
      </c>
      <c r="D8095" s="6">
        <v>45945</v>
      </c>
      <c r="E8095" s="3" t="str">
        <f ca="1">IF(Tabela2[[#This Row],[Dt Venc:]]&gt;TODAY(),"Em Aberto",IF(Tabela2[[#This Row],[D/venc]]="-","Enviado",IF(Tabela2[[#This Row],[Dt Venc:]]=TODAY(),"Vence Hoje","Vencida")))</f>
        <v>Em Aberto</v>
      </c>
      <c r="F8095" s="3">
        <f ca="1">IF(G8095=1,"-",Tabela2[[#This Row],[Dt Venc:]]-TODAY())</f>
        <v>252</v>
      </c>
      <c r="G8095" s="3"/>
      <c r="H8095" s="3"/>
    </row>
    <row r="8096" spans="1:8">
      <c r="A8096" s="3">
        <v>103077</v>
      </c>
      <c r="B8096" s="7" t="s">
        <v>252</v>
      </c>
      <c r="C8096" s="100" t="s">
        <v>32</v>
      </c>
      <c r="D8096" s="6">
        <v>45945</v>
      </c>
      <c r="E8096" s="3" t="str">
        <f ca="1">IF(Tabela2[[#This Row],[Dt Venc:]]&gt;TODAY(),"Em Aberto",IF(Tabela2[[#This Row],[D/venc]]="-","Enviado",IF(Tabela2[[#This Row],[Dt Venc:]]=TODAY(),"Vence Hoje","Vencida")))</f>
        <v>Em Aberto</v>
      </c>
      <c r="F8096" s="3">
        <f ca="1">IF(G8096=1,"-",Tabela2[[#This Row],[Dt Venc:]]-TODAY())</f>
        <v>252</v>
      </c>
      <c r="G8096" s="3"/>
      <c r="H8096" s="3"/>
    </row>
    <row r="8097" spans="1:8">
      <c r="A8097" s="3">
        <v>103153</v>
      </c>
      <c r="B8097" s="7" t="s">
        <v>252</v>
      </c>
      <c r="C8097" s="87" t="s">
        <v>32</v>
      </c>
      <c r="D8097" s="6">
        <v>45945</v>
      </c>
      <c r="E8097" s="3" t="str">
        <f ca="1">IF(Tabela2[[#This Row],[Dt Venc:]]&gt;TODAY(),"Em Aberto",IF(Tabela2[[#This Row],[D/venc]]="-","Enviado",IF(Tabela2[[#This Row],[Dt Venc:]]=TODAY(),"Vence Hoje","Vencida")))</f>
        <v>Em Aberto</v>
      </c>
      <c r="F8097" s="3">
        <f ca="1">IF(G8097=1,"-",Tabela2[[#This Row],[Dt Venc:]]-TODAY())</f>
        <v>252</v>
      </c>
      <c r="G8097" s="3"/>
      <c r="H8097" s="3"/>
    </row>
    <row r="8098" spans="1:8">
      <c r="A8098" s="3">
        <v>103154</v>
      </c>
      <c r="B8098" s="7" t="s">
        <v>252</v>
      </c>
      <c r="C8098" s="100" t="s">
        <v>32</v>
      </c>
      <c r="D8098" s="6">
        <v>45945</v>
      </c>
      <c r="E8098" s="3" t="str">
        <f ca="1">IF(Tabela2[[#This Row],[Dt Venc:]]&gt;TODAY(),"Em Aberto",IF(Tabela2[[#This Row],[D/venc]]="-","Enviado",IF(Tabela2[[#This Row],[Dt Venc:]]=TODAY(),"Vence Hoje","Vencida")))</f>
        <v>Em Aberto</v>
      </c>
      <c r="F8098" s="3">
        <f ca="1">IF(G8098=1,"-",Tabela2[[#This Row],[Dt Venc:]]-TODAY())</f>
        <v>252</v>
      </c>
      <c r="G8098" s="3"/>
      <c r="H8098" s="3"/>
    </row>
    <row r="8099" spans="1:8">
      <c r="A8099" s="3">
        <v>106007</v>
      </c>
      <c r="B8099" s="7" t="s">
        <v>252</v>
      </c>
      <c r="C8099" s="100" t="s">
        <v>32</v>
      </c>
      <c r="D8099" s="6">
        <v>45945</v>
      </c>
      <c r="E8099" s="3" t="str">
        <f ca="1">IF(Tabela2[[#This Row],[Dt Venc:]]&gt;TODAY(),"Em Aberto",IF(Tabela2[[#This Row],[D/venc]]="-","Enviado",IF(Tabela2[[#This Row],[Dt Venc:]]=TODAY(),"Vence Hoje","Vencida")))</f>
        <v>Em Aberto</v>
      </c>
      <c r="F8099" s="3">
        <f ca="1">IF(G8099=1,"-",Tabela2[[#This Row],[Dt Venc:]]-TODAY())</f>
        <v>252</v>
      </c>
      <c r="G8099" s="3"/>
      <c r="H8099" s="3"/>
    </row>
    <row r="8100" spans="1:8">
      <c r="A8100" s="3">
        <v>106043</v>
      </c>
      <c r="B8100" s="7" t="s">
        <v>252</v>
      </c>
      <c r="C8100" s="100" t="s">
        <v>32</v>
      </c>
      <c r="D8100" s="6">
        <v>45945</v>
      </c>
      <c r="E8100" s="3" t="str">
        <f ca="1">IF(Tabela2[[#This Row],[Dt Venc:]]&gt;TODAY(),"Em Aberto",IF(Tabela2[[#This Row],[D/venc]]="-","Enviado",IF(Tabela2[[#This Row],[Dt Venc:]]=TODAY(),"Vence Hoje","Vencida")))</f>
        <v>Em Aberto</v>
      </c>
      <c r="F8100" s="3">
        <f ca="1">IF(G8100=1,"-",Tabela2[[#This Row],[Dt Venc:]]-TODAY())</f>
        <v>252</v>
      </c>
      <c r="G8100" s="3"/>
      <c r="H8100" s="3"/>
    </row>
    <row r="8101" spans="1:8">
      <c r="A8101" s="3">
        <v>107829</v>
      </c>
      <c r="B8101" s="7" t="s">
        <v>252</v>
      </c>
      <c r="C8101" s="100" t="s">
        <v>32</v>
      </c>
      <c r="D8101" s="6">
        <v>45945</v>
      </c>
      <c r="E8101" s="3" t="str">
        <f ca="1">IF(Tabela2[[#This Row],[Dt Venc:]]&gt;TODAY(),"Em Aberto",IF(Tabela2[[#This Row],[D/venc]]="-","Enviado",IF(Tabela2[[#This Row],[Dt Venc:]]=TODAY(),"Vence Hoje","Vencida")))</f>
        <v>Em Aberto</v>
      </c>
      <c r="F8101" s="3">
        <f ca="1">IF(G8101=1,"-",Tabela2[[#This Row],[Dt Venc:]]-TODAY())</f>
        <v>252</v>
      </c>
      <c r="G8101" s="3"/>
      <c r="H8101" s="3"/>
    </row>
    <row r="8102" spans="1:8">
      <c r="A8102" s="3">
        <v>107830</v>
      </c>
      <c r="B8102" s="7" t="s">
        <v>252</v>
      </c>
      <c r="C8102" s="87" t="s">
        <v>32</v>
      </c>
      <c r="D8102" s="6">
        <v>45945</v>
      </c>
      <c r="E8102" s="3" t="str">
        <f ca="1">IF(Tabela2[[#This Row],[Dt Venc:]]&gt;TODAY(),"Em Aberto",IF(Tabela2[[#This Row],[D/venc]]="-","Enviado",IF(Tabela2[[#This Row],[Dt Venc:]]=TODAY(),"Vence Hoje","Vencida")))</f>
        <v>Em Aberto</v>
      </c>
      <c r="F8102" s="3">
        <f ca="1">IF(G8102=1,"-",Tabela2[[#This Row],[Dt Venc:]]-TODAY())</f>
        <v>252</v>
      </c>
      <c r="G8102" s="3"/>
      <c r="H8102" s="3"/>
    </row>
    <row r="8103" spans="1:8">
      <c r="A8103" s="3">
        <v>107831</v>
      </c>
      <c r="B8103" s="7" t="s">
        <v>252</v>
      </c>
      <c r="C8103" s="100" t="s">
        <v>32</v>
      </c>
      <c r="D8103" s="6">
        <v>45945</v>
      </c>
      <c r="E8103" s="3" t="str">
        <f ca="1">IF(Tabela2[[#This Row],[Dt Venc:]]&gt;TODAY(),"Em Aberto",IF(Tabela2[[#This Row],[D/venc]]="-","Enviado",IF(Tabela2[[#This Row],[Dt Venc:]]=TODAY(),"Vence Hoje","Vencida")))</f>
        <v>Em Aberto</v>
      </c>
      <c r="F8103" s="3">
        <f ca="1">IF(G8103=1,"-",Tabela2[[#This Row],[Dt Venc:]]-TODAY())</f>
        <v>252</v>
      </c>
      <c r="G8103" s="3"/>
      <c r="H8103" s="3"/>
    </row>
    <row r="8104" spans="1:8">
      <c r="A8104" s="3">
        <v>107832</v>
      </c>
      <c r="B8104" s="7" t="s">
        <v>252</v>
      </c>
      <c r="C8104" s="100" t="s">
        <v>32</v>
      </c>
      <c r="D8104" s="6">
        <v>45945</v>
      </c>
      <c r="E8104" s="3" t="str">
        <f ca="1">IF(Tabela2[[#This Row],[Dt Venc:]]&gt;TODAY(),"Em Aberto",IF(Tabela2[[#This Row],[D/venc]]="-","Enviado",IF(Tabela2[[#This Row],[Dt Venc:]]=TODAY(),"Vence Hoje","Vencida")))</f>
        <v>Em Aberto</v>
      </c>
      <c r="F8104" s="3">
        <f ca="1">IF(G8104=1,"-",Tabela2[[#This Row],[Dt Venc:]]-TODAY())</f>
        <v>252</v>
      </c>
      <c r="G8104" s="3"/>
      <c r="H8104" s="3"/>
    </row>
    <row r="8105" spans="1:8">
      <c r="A8105" s="3">
        <v>361229</v>
      </c>
      <c r="B8105" s="7" t="s">
        <v>250</v>
      </c>
      <c r="C8105" s="100" t="s">
        <v>32</v>
      </c>
      <c r="D8105" s="6">
        <v>45945</v>
      </c>
      <c r="E8105" s="3" t="str">
        <f ca="1">IF(Tabela2[[#This Row],[Dt Venc:]]&gt;TODAY(),"Em Aberto",IF(Tabela2[[#This Row],[D/venc]]="-","Enviado",IF(Tabela2[[#This Row],[Dt Venc:]]=TODAY(),"Vence Hoje","Vencida")))</f>
        <v>Em Aberto</v>
      </c>
      <c r="F8105" s="3">
        <f ca="1">IF(G8105=1,"-",Tabela2[[#This Row],[Dt Venc:]]-TODAY())</f>
        <v>252</v>
      </c>
      <c r="G8105" s="3"/>
      <c r="H8105" s="3"/>
    </row>
    <row r="8106" spans="1:8">
      <c r="A8106" s="3">
        <v>361237</v>
      </c>
      <c r="B8106" s="7" t="s">
        <v>250</v>
      </c>
      <c r="C8106" s="100" t="s">
        <v>32</v>
      </c>
      <c r="D8106" s="6">
        <v>45945</v>
      </c>
      <c r="E8106" s="3" t="str">
        <f ca="1">IF(Tabela2[[#This Row],[Dt Venc:]]&gt;TODAY(),"Em Aberto",IF(Tabela2[[#This Row],[D/venc]]="-","Enviado",IF(Tabela2[[#This Row],[Dt Venc:]]=TODAY(),"Vence Hoje","Vencida")))</f>
        <v>Em Aberto</v>
      </c>
      <c r="F8106" s="3">
        <f ca="1">IF(G8106=1,"-",Tabela2[[#This Row],[Dt Venc:]]-TODAY())</f>
        <v>252</v>
      </c>
      <c r="G8106" s="3"/>
      <c r="H8106" s="3"/>
    </row>
    <row r="8107" spans="1:8">
      <c r="A8107" s="3">
        <v>365658</v>
      </c>
      <c r="B8107" s="7" t="s">
        <v>250</v>
      </c>
      <c r="C8107" s="100" t="s">
        <v>32</v>
      </c>
      <c r="D8107" s="6">
        <v>45945</v>
      </c>
      <c r="E8107" s="3" t="str">
        <f ca="1">IF(Tabela2[[#This Row],[Dt Venc:]]&gt;TODAY(),"Em Aberto",IF(Tabela2[[#This Row],[D/venc]]="-","Enviado",IF(Tabela2[[#This Row],[Dt Venc:]]=TODAY(),"Vence Hoje","Vencida")))</f>
        <v>Em Aberto</v>
      </c>
      <c r="F8107" s="3">
        <f ca="1">IF(G8107=1,"-",Tabela2[[#This Row],[Dt Venc:]]-TODAY())</f>
        <v>252</v>
      </c>
      <c r="G8107" s="3"/>
      <c r="H8107" s="3"/>
    </row>
    <row r="8108" spans="1:8">
      <c r="A8108" s="3">
        <v>365666</v>
      </c>
      <c r="B8108" s="7" t="s">
        <v>250</v>
      </c>
      <c r="C8108" s="100" t="s">
        <v>32</v>
      </c>
      <c r="D8108" s="6">
        <v>45945</v>
      </c>
      <c r="E8108" s="3" t="str">
        <f ca="1">IF(Tabela2[[#This Row],[Dt Venc:]]&gt;TODAY(),"Em Aberto",IF(Tabela2[[#This Row],[D/venc]]="-","Enviado",IF(Tabela2[[#This Row],[Dt Venc:]]=TODAY(),"Vence Hoje","Vencida")))</f>
        <v>Em Aberto</v>
      </c>
      <c r="F8108" s="3">
        <f ca="1">IF(G8108=1,"-",Tabela2[[#This Row],[Dt Venc:]]-TODAY())</f>
        <v>252</v>
      </c>
      <c r="G8108" s="3"/>
      <c r="H8108" s="3"/>
    </row>
    <row r="8109" spans="1:8">
      <c r="A8109" s="3">
        <v>365674</v>
      </c>
      <c r="B8109" s="7" t="s">
        <v>250</v>
      </c>
      <c r="C8109" s="100" t="s">
        <v>32</v>
      </c>
      <c r="D8109" s="6">
        <v>45945</v>
      </c>
      <c r="E8109" s="3" t="str">
        <f ca="1">IF(Tabela2[[#This Row],[Dt Venc:]]&gt;TODAY(),"Em Aberto",IF(Tabela2[[#This Row],[D/venc]]="-","Enviado",IF(Tabela2[[#This Row],[Dt Venc:]]=TODAY(),"Vence Hoje","Vencida")))</f>
        <v>Em Aberto</v>
      </c>
      <c r="F8109" s="3">
        <f ca="1">IF(G8109=1,"-",Tabela2[[#This Row],[Dt Venc:]]-TODAY())</f>
        <v>252</v>
      </c>
      <c r="G8109" s="3"/>
      <c r="H8109" s="3"/>
    </row>
    <row r="8110" spans="1:8">
      <c r="A8110" s="3">
        <v>365682</v>
      </c>
      <c r="B8110" s="7" t="s">
        <v>250</v>
      </c>
      <c r="C8110" s="99" t="s">
        <v>32</v>
      </c>
      <c r="D8110" s="6">
        <v>45945</v>
      </c>
      <c r="E8110" s="3" t="str">
        <f ca="1">IF(Tabela2[[#This Row],[Dt Venc:]]&gt;TODAY(),"Em Aberto",IF(Tabela2[[#This Row],[D/venc]]="-","Enviado",IF(Tabela2[[#This Row],[Dt Venc:]]=TODAY(),"Vence Hoje","Vencida")))</f>
        <v>Em Aberto</v>
      </c>
      <c r="F8110" s="3">
        <f ca="1">IF(G8110=1,"-",Tabela2[[#This Row],[Dt Venc:]]-TODAY())</f>
        <v>252</v>
      </c>
      <c r="G8110" s="3"/>
      <c r="H8110" s="3"/>
    </row>
    <row r="8111" spans="1:8">
      <c r="A8111" s="3">
        <v>369335</v>
      </c>
      <c r="B8111" s="7" t="s">
        <v>543</v>
      </c>
      <c r="C8111" s="87" t="s">
        <v>32</v>
      </c>
      <c r="D8111" s="6">
        <v>45945</v>
      </c>
      <c r="E8111" s="3" t="str">
        <f ca="1">IF(Tabela2[[#This Row],[Dt Venc:]]&gt;TODAY(),"Em Aberto",IF(Tabela2[[#This Row],[D/venc]]="-","Enviado",IF(Tabela2[[#This Row],[Dt Venc:]]=TODAY(),"Vence Hoje","Vencida")))</f>
        <v>Em Aberto</v>
      </c>
      <c r="F8111" s="3">
        <f ca="1">IF(G8111=1,"-",Tabela2[[#This Row],[Dt Venc:]]-TODAY())</f>
        <v>252</v>
      </c>
      <c r="G8111" s="3"/>
      <c r="H8111" s="3"/>
    </row>
    <row r="8112" spans="1:8">
      <c r="A8112" s="3">
        <v>369696</v>
      </c>
      <c r="B8112" s="7" t="s">
        <v>543</v>
      </c>
      <c r="C8112" s="87" t="s">
        <v>32</v>
      </c>
      <c r="D8112" s="6">
        <v>45945</v>
      </c>
      <c r="E8112" s="3" t="str">
        <f ca="1">IF(Tabela2[[#This Row],[Dt Venc:]]&gt;TODAY(),"Em Aberto",IF(Tabela2[[#This Row],[D/venc]]="-","Enviado",IF(Tabela2[[#This Row],[Dt Venc:]]=TODAY(),"Vence Hoje","Vencida")))</f>
        <v>Em Aberto</v>
      </c>
      <c r="F8112" s="3">
        <f ca="1">IF(G8112=1,"-",Tabela2[[#This Row],[Dt Venc:]]-TODAY())</f>
        <v>252</v>
      </c>
      <c r="G8112" s="3"/>
      <c r="H8112" s="3"/>
    </row>
    <row r="8113" spans="1:8">
      <c r="A8113" s="3">
        <v>369726</v>
      </c>
      <c r="B8113" s="7" t="s">
        <v>543</v>
      </c>
      <c r="C8113" s="87" t="s">
        <v>32</v>
      </c>
      <c r="D8113" s="6">
        <v>45945</v>
      </c>
      <c r="E8113" s="3" t="str">
        <f ca="1">IF(Tabela2[[#This Row],[Dt Venc:]]&gt;TODAY(),"Em Aberto",IF(Tabela2[[#This Row],[D/venc]]="-","Enviado",IF(Tabela2[[#This Row],[Dt Venc:]]=TODAY(),"Vence Hoje","Vencida")))</f>
        <v>Em Aberto</v>
      </c>
      <c r="F8113" s="3">
        <f ca="1">IF(G8113=1,"-",Tabela2[[#This Row],[Dt Venc:]]-TODAY())</f>
        <v>252</v>
      </c>
      <c r="G8113" s="3"/>
      <c r="H8113" s="3"/>
    </row>
    <row r="8114" spans="1:8">
      <c r="A8114" s="3">
        <v>369751</v>
      </c>
      <c r="B8114" s="7" t="s">
        <v>543</v>
      </c>
      <c r="C8114" s="87" t="s">
        <v>32</v>
      </c>
      <c r="D8114" s="6">
        <v>45945</v>
      </c>
      <c r="E8114" s="3" t="str">
        <f ca="1">IF(Tabela2[[#This Row],[Dt Venc:]]&gt;TODAY(),"Em Aberto",IF(Tabela2[[#This Row],[D/venc]]="-","Enviado",IF(Tabela2[[#This Row],[Dt Venc:]]=TODAY(),"Vence Hoje","Vencida")))</f>
        <v>Em Aberto</v>
      </c>
      <c r="F8114" s="3">
        <f ca="1">IF(G8114=1,"-",Tabela2[[#This Row],[Dt Venc:]]-TODAY())</f>
        <v>252</v>
      </c>
      <c r="G8114" s="3"/>
      <c r="H8114" s="3"/>
    </row>
    <row r="8115" spans="1:8">
      <c r="A8115" s="3">
        <v>370201</v>
      </c>
      <c r="B8115" s="7" t="s">
        <v>543</v>
      </c>
      <c r="C8115" s="87" t="s">
        <v>32</v>
      </c>
      <c r="D8115" s="6">
        <v>45945</v>
      </c>
      <c r="E8115" s="3" t="str">
        <f ca="1">IF(Tabela2[[#This Row],[Dt Venc:]]&gt;TODAY(),"Em Aberto",IF(Tabela2[[#This Row],[D/venc]]="-","Enviado",IF(Tabela2[[#This Row],[Dt Venc:]]=TODAY(),"Vence Hoje","Vencida")))</f>
        <v>Em Aberto</v>
      </c>
      <c r="F8115" s="3">
        <f ca="1">IF(G8115=1,"-",Tabela2[[#This Row],[Dt Venc:]]-TODAY())</f>
        <v>252</v>
      </c>
      <c r="G8115" s="3"/>
      <c r="H8115" s="3"/>
    </row>
    <row r="8116" spans="1:8">
      <c r="A8116" s="3">
        <v>370864</v>
      </c>
      <c r="B8116" s="7" t="s">
        <v>543</v>
      </c>
      <c r="C8116" s="87" t="s">
        <v>32</v>
      </c>
      <c r="D8116" s="6">
        <v>45945</v>
      </c>
      <c r="E8116" s="3" t="str">
        <f ca="1">IF(Tabela2[[#This Row],[Dt Venc:]]&gt;TODAY(),"Em Aberto",IF(Tabela2[[#This Row],[D/venc]]="-","Enviado",IF(Tabela2[[#This Row],[Dt Venc:]]=TODAY(),"Vence Hoje","Vencida")))</f>
        <v>Em Aberto</v>
      </c>
      <c r="F8116" s="3">
        <f ca="1">IF(G8116=1,"-",Tabela2[[#This Row],[Dt Venc:]]-TODAY())</f>
        <v>252</v>
      </c>
      <c r="G8116" s="3"/>
      <c r="H8116" s="3"/>
    </row>
    <row r="8117" spans="1:8">
      <c r="A8117" s="3">
        <v>371011</v>
      </c>
      <c r="B8117" s="7" t="s">
        <v>633</v>
      </c>
      <c r="C8117" s="87" t="s">
        <v>32</v>
      </c>
      <c r="D8117" s="6">
        <v>45945</v>
      </c>
      <c r="E8117" s="3" t="str">
        <f ca="1">IF(Tabela2[[#This Row],[Dt Venc:]]&gt;TODAY(),"Em Aberto",IF(Tabela2[[#This Row],[D/venc]]="-","Enviado",IF(Tabela2[[#This Row],[Dt Venc:]]=TODAY(),"Vence Hoje","Vencida")))</f>
        <v>Em Aberto</v>
      </c>
      <c r="F8117" s="3">
        <f ca="1">IF(G8117=1,"-",Tabela2[[#This Row],[Dt Venc:]]-TODAY())</f>
        <v>252</v>
      </c>
      <c r="G8117" s="3"/>
      <c r="H8117" s="3"/>
    </row>
    <row r="8118" spans="1:8">
      <c r="A8118" s="3">
        <v>371160</v>
      </c>
      <c r="B8118" s="7" t="s">
        <v>633</v>
      </c>
      <c r="C8118" s="87" t="s">
        <v>32</v>
      </c>
      <c r="D8118" s="6">
        <v>45945</v>
      </c>
      <c r="E8118" s="3" t="str">
        <f ca="1">IF(Tabela2[[#This Row],[Dt Venc:]]&gt;TODAY(),"Em Aberto",IF(Tabela2[[#This Row],[D/venc]]="-","Enviado",IF(Tabela2[[#This Row],[Dt Venc:]]=TODAY(),"Vence Hoje","Vencida")))</f>
        <v>Em Aberto</v>
      </c>
      <c r="F8118" s="3">
        <f ca="1">IF(G8118=1,"-",Tabela2[[#This Row],[Dt Venc:]]-TODAY())</f>
        <v>252</v>
      </c>
      <c r="G8118" s="3"/>
      <c r="H8118" s="3"/>
    </row>
    <row r="8119" spans="1:8">
      <c r="A8119" s="3">
        <v>748099</v>
      </c>
      <c r="B8119" s="7" t="s">
        <v>81</v>
      </c>
      <c r="C8119" s="100" t="s">
        <v>32</v>
      </c>
      <c r="D8119" s="6">
        <v>45945</v>
      </c>
      <c r="E8119" s="3" t="str">
        <f ca="1">IF(Tabela2[[#This Row],[Dt Venc:]]&gt;TODAY(),"Em Aberto",IF(Tabela2[[#This Row],[D/venc]]="-","Enviado",IF(Tabela2[[#This Row],[Dt Venc:]]=TODAY(),"Vence Hoje","Vencida")))</f>
        <v>Em Aberto</v>
      </c>
      <c r="F8119" s="3">
        <f ca="1">IF(G8119=1,"-",Tabela2[[#This Row],[Dt Venc:]]-TODAY())</f>
        <v>252</v>
      </c>
      <c r="G8119" s="3"/>
      <c r="H8119" s="3"/>
    </row>
    <row r="8120" spans="1:8">
      <c r="A8120" s="3">
        <v>892178</v>
      </c>
      <c r="B8120" s="7" t="s">
        <v>253</v>
      </c>
      <c r="C8120" s="100" t="s">
        <v>32</v>
      </c>
      <c r="D8120" s="6">
        <v>45945</v>
      </c>
      <c r="E8120" s="3" t="str">
        <f ca="1">IF(Tabela2[[#This Row],[Dt Venc:]]&gt;TODAY(),"Em Aberto",IF(Tabela2[[#This Row],[D/venc]]="-","Enviado",IF(Tabela2[[#This Row],[Dt Venc:]]=TODAY(),"Vence Hoje","Vencida")))</f>
        <v>Em Aberto</v>
      </c>
      <c r="F8120" s="3">
        <f ca="1">IF(G8120=1,"-",Tabela2[[#This Row],[Dt Venc:]]-TODAY())</f>
        <v>252</v>
      </c>
      <c r="G8120" s="3"/>
      <c r="H8120" s="3"/>
    </row>
    <row r="8121" spans="1:8">
      <c r="A8121" s="3">
        <v>894135</v>
      </c>
      <c r="B8121" s="7" t="s">
        <v>253</v>
      </c>
      <c r="C8121" s="100" t="s">
        <v>32</v>
      </c>
      <c r="D8121" s="6">
        <v>45945</v>
      </c>
      <c r="E8121" s="3" t="str">
        <f ca="1">IF(Tabela2[[#This Row],[Dt Venc:]]&gt;TODAY(),"Em Aberto",IF(Tabela2[[#This Row],[D/venc]]="-","Enviado",IF(Tabela2[[#This Row],[Dt Venc:]]=TODAY(),"Vence Hoje","Vencida")))</f>
        <v>Em Aberto</v>
      </c>
      <c r="F8121" s="3">
        <f ca="1">IF(G8121=1,"-",Tabela2[[#This Row],[Dt Venc:]]-TODAY())</f>
        <v>252</v>
      </c>
      <c r="G8121" s="3"/>
      <c r="H8121" s="3"/>
    </row>
    <row r="8122" spans="1:8">
      <c r="A8122" s="3">
        <v>896565</v>
      </c>
      <c r="B8122" s="7" t="s">
        <v>253</v>
      </c>
      <c r="C8122" s="100" t="s">
        <v>32</v>
      </c>
      <c r="D8122" s="6">
        <v>45945</v>
      </c>
      <c r="E8122" s="3" t="str">
        <f ca="1">IF(Tabela2[[#This Row],[Dt Venc:]]&gt;TODAY(),"Em Aberto",IF(Tabela2[[#This Row],[D/venc]]="-","Enviado",IF(Tabela2[[#This Row],[Dt Venc:]]=TODAY(),"Vence Hoje","Vencida")))</f>
        <v>Em Aberto</v>
      </c>
      <c r="F8122" s="3">
        <f ca="1">IF(G8122=1,"-",Tabela2[[#This Row],[Dt Venc:]]-TODAY())</f>
        <v>252</v>
      </c>
      <c r="G8122" s="3"/>
      <c r="H8122" s="3"/>
    </row>
    <row r="8123" spans="1:8">
      <c r="A8123" s="3">
        <v>900386</v>
      </c>
      <c r="B8123" s="7" t="s">
        <v>253</v>
      </c>
      <c r="C8123" s="100" t="s">
        <v>32</v>
      </c>
      <c r="D8123" s="6">
        <v>45945</v>
      </c>
      <c r="E8123" s="3" t="str">
        <f ca="1">IF(Tabela2[[#This Row],[Dt Venc:]]&gt;TODAY(),"Em Aberto",IF(Tabela2[[#This Row],[D/venc]]="-","Enviado",IF(Tabela2[[#This Row],[Dt Venc:]]=TODAY(),"Vence Hoje","Vencida")))</f>
        <v>Em Aberto</v>
      </c>
      <c r="F8123" s="3">
        <f ca="1">IF(G8123=1,"-",Tabela2[[#This Row],[Dt Venc:]]-TODAY())</f>
        <v>252</v>
      </c>
      <c r="G8123" s="3"/>
      <c r="H8123" s="3"/>
    </row>
    <row r="8124" spans="1:8">
      <c r="A8124" s="3">
        <v>901787</v>
      </c>
      <c r="B8124" s="7" t="s">
        <v>253</v>
      </c>
      <c r="C8124" s="100" t="s">
        <v>32</v>
      </c>
      <c r="D8124" s="6">
        <v>45945</v>
      </c>
      <c r="E8124" s="3" t="str">
        <f ca="1">IF(Tabela2[[#This Row],[Dt Venc:]]&gt;TODAY(),"Em Aberto",IF(Tabela2[[#This Row],[D/venc]]="-","Enviado",IF(Tabela2[[#This Row],[Dt Venc:]]=TODAY(),"Vence Hoje","Vencida")))</f>
        <v>Em Aberto</v>
      </c>
      <c r="F8124" s="3">
        <f ca="1">IF(G8124=1,"-",Tabela2[[#This Row],[Dt Venc:]]-TODAY())</f>
        <v>252</v>
      </c>
      <c r="G8124" s="3"/>
      <c r="H8124" s="3"/>
    </row>
    <row r="8125" spans="1:8">
      <c r="A8125" s="3">
        <v>901788</v>
      </c>
      <c r="B8125" s="7" t="s">
        <v>253</v>
      </c>
      <c r="C8125" s="100" t="s">
        <v>32</v>
      </c>
      <c r="D8125" s="6">
        <v>45945</v>
      </c>
      <c r="E8125" s="3" t="str">
        <f ca="1">IF(Tabela2[[#This Row],[Dt Venc:]]&gt;TODAY(),"Em Aberto",IF(Tabela2[[#This Row],[D/venc]]="-","Enviado",IF(Tabela2[[#This Row],[Dt Venc:]]=TODAY(),"Vence Hoje","Vencida")))</f>
        <v>Em Aberto</v>
      </c>
      <c r="F8125" s="3">
        <f ca="1">IF(G8125=1,"-",Tabela2[[#This Row],[Dt Venc:]]-TODAY())</f>
        <v>252</v>
      </c>
      <c r="G8125" s="3"/>
      <c r="H8125" s="3"/>
    </row>
    <row r="8126" spans="1:8">
      <c r="A8126" s="3">
        <v>901789</v>
      </c>
      <c r="B8126" s="7" t="s">
        <v>253</v>
      </c>
      <c r="C8126" s="100" t="s">
        <v>32</v>
      </c>
      <c r="D8126" s="6">
        <v>45945</v>
      </c>
      <c r="E8126" s="3" t="str">
        <f ca="1">IF(Tabela2[[#This Row],[Dt Venc:]]&gt;TODAY(),"Em Aberto",IF(Tabela2[[#This Row],[D/venc]]="-","Enviado",IF(Tabela2[[#This Row],[Dt Venc:]]=TODAY(),"Vence Hoje","Vencida")))</f>
        <v>Em Aberto</v>
      </c>
      <c r="F8126" s="3">
        <f ca="1">IF(G8126=1,"-",Tabela2[[#This Row],[Dt Venc:]]-TODAY())</f>
        <v>252</v>
      </c>
      <c r="G8126" s="3"/>
      <c r="H8126" s="3"/>
    </row>
    <row r="8127" spans="1:8">
      <c r="A8127" s="3">
        <v>912703</v>
      </c>
      <c r="B8127" s="7" t="s">
        <v>253</v>
      </c>
      <c r="C8127" s="100" t="s">
        <v>32</v>
      </c>
      <c r="D8127" s="6">
        <v>45945</v>
      </c>
      <c r="E8127" s="3" t="str">
        <f ca="1">IF(Tabela2[[#This Row],[Dt Venc:]]&gt;TODAY(),"Em Aberto",IF(Tabela2[[#This Row],[D/venc]]="-","Enviado",IF(Tabela2[[#This Row],[Dt Venc:]]=TODAY(),"Vence Hoje","Vencida")))</f>
        <v>Em Aberto</v>
      </c>
      <c r="F8127" s="3">
        <f ca="1">IF(G8127=1,"-",Tabela2[[#This Row],[Dt Venc:]]-TODAY())</f>
        <v>252</v>
      </c>
      <c r="G8127" s="3"/>
      <c r="H8127" s="3"/>
    </row>
    <row r="8128" spans="1:8">
      <c r="A8128" s="3">
        <v>912704</v>
      </c>
      <c r="B8128" s="7" t="s">
        <v>253</v>
      </c>
      <c r="C8128" s="100" t="s">
        <v>32</v>
      </c>
      <c r="D8128" s="6">
        <v>45945</v>
      </c>
      <c r="E8128" s="3" t="str">
        <f ca="1">IF(Tabela2[[#This Row],[Dt Venc:]]&gt;TODAY(),"Em Aberto",IF(Tabela2[[#This Row],[D/venc]]="-","Enviado",IF(Tabela2[[#This Row],[Dt Venc:]]=TODAY(),"Vence Hoje","Vencida")))</f>
        <v>Em Aberto</v>
      </c>
      <c r="F8128" s="3">
        <f ca="1">IF(G8128=1,"-",Tabela2[[#This Row],[Dt Venc:]]-TODAY())</f>
        <v>252</v>
      </c>
      <c r="G8128" s="3"/>
      <c r="H8128" s="3"/>
    </row>
    <row r="8129" spans="1:8">
      <c r="A8129" s="3">
        <v>919728</v>
      </c>
      <c r="B8129" s="7" t="s">
        <v>253</v>
      </c>
      <c r="C8129" s="87" t="s">
        <v>32</v>
      </c>
      <c r="D8129" s="6">
        <v>45945</v>
      </c>
      <c r="E8129" s="3" t="str">
        <f ca="1">IF(Tabela2[[#This Row],[Dt Venc:]]&gt;TODAY(),"Em Aberto",IF(Tabela2[[#This Row],[D/venc]]="-","Enviado",IF(Tabela2[[#This Row],[Dt Venc:]]=TODAY(),"Vence Hoje","Vencida")))</f>
        <v>Em Aberto</v>
      </c>
      <c r="F8129" s="3">
        <f ca="1">IF(G8129=1,"-",Tabela2[[#This Row],[Dt Venc:]]-TODAY())</f>
        <v>252</v>
      </c>
      <c r="G8129" s="3"/>
      <c r="H8129" s="3"/>
    </row>
    <row r="8130" spans="1:8">
      <c r="A8130" s="3">
        <v>919729</v>
      </c>
      <c r="B8130" s="7" t="s">
        <v>253</v>
      </c>
      <c r="C8130" s="87" t="s">
        <v>32</v>
      </c>
      <c r="D8130" s="6">
        <v>45945</v>
      </c>
      <c r="E8130" s="3" t="str">
        <f ca="1">IF(Tabela2[[#This Row],[Dt Venc:]]&gt;TODAY(),"Em Aberto",IF(Tabela2[[#This Row],[D/venc]]="-","Enviado",IF(Tabela2[[#This Row],[Dt Venc:]]=TODAY(),"Vence Hoje","Vencida")))</f>
        <v>Em Aberto</v>
      </c>
      <c r="F8130" s="3">
        <f ca="1">IF(G8130=1,"-",Tabela2[[#This Row],[Dt Venc:]]-TODAY())</f>
        <v>252</v>
      </c>
      <c r="G8130" s="3"/>
      <c r="H8130" s="3"/>
    </row>
    <row r="8131" spans="1:8">
      <c r="A8131" s="3">
        <v>37300</v>
      </c>
      <c r="B8131" s="7" t="s">
        <v>167</v>
      </c>
      <c r="C8131" s="100" t="s">
        <v>32</v>
      </c>
      <c r="D8131" s="6">
        <v>45946</v>
      </c>
      <c r="E8131" s="3" t="str">
        <f ca="1">IF(Tabela2[[#This Row],[Dt Venc:]]&gt;TODAY(),"Em Aberto",IF(Tabela2[[#This Row],[D/venc]]="-","Enviado",IF(Tabela2[[#This Row],[Dt Venc:]]=TODAY(),"Vence Hoje","Vencida")))</f>
        <v>Em Aberto</v>
      </c>
      <c r="F8131" s="3">
        <f ca="1">IF(G8131=1,"-",Tabela2[[#This Row],[Dt Venc:]]-TODAY())</f>
        <v>253</v>
      </c>
      <c r="G8131" s="3"/>
      <c r="H8131" s="3"/>
    </row>
    <row r="8132" spans="1:8">
      <c r="A8132" s="3">
        <v>37196</v>
      </c>
      <c r="B8132" s="7" t="s">
        <v>167</v>
      </c>
      <c r="C8132" s="87" t="s">
        <v>32</v>
      </c>
      <c r="D8132" s="6">
        <v>45947</v>
      </c>
      <c r="E8132" s="3" t="str">
        <f ca="1">IF(Tabela2[[#This Row],[Dt Venc:]]&gt;TODAY(),"Em Aberto",IF(Tabela2[[#This Row],[D/venc]]="-","Enviado",IF(Tabela2[[#This Row],[Dt Venc:]]=TODAY(),"Vence Hoje","Vencida")))</f>
        <v>Em Aberto</v>
      </c>
      <c r="F8132" s="3">
        <f ca="1">IF(G8132=1,"-",Tabela2[[#This Row],[Dt Venc:]]-TODAY())</f>
        <v>254</v>
      </c>
      <c r="G8132" s="3"/>
      <c r="H8132" s="3"/>
    </row>
    <row r="8133" spans="1:8">
      <c r="A8133" s="3">
        <v>37348</v>
      </c>
      <c r="B8133" s="7" t="s">
        <v>167</v>
      </c>
      <c r="C8133" s="100" t="s">
        <v>32</v>
      </c>
      <c r="D8133" s="6">
        <v>45952</v>
      </c>
      <c r="E8133" s="3" t="str">
        <f ca="1">IF(Tabela2[[#This Row],[Dt Venc:]]&gt;TODAY(),"Em Aberto",IF(Tabela2[[#This Row],[D/venc]]="-","Enviado",IF(Tabela2[[#This Row],[Dt Venc:]]=TODAY(),"Vence Hoje","Vencida")))</f>
        <v>Em Aberto</v>
      </c>
      <c r="F8133" s="3">
        <f ca="1">IF(G8133=1,"-",Tabela2[[#This Row],[Dt Venc:]]-TODAY())</f>
        <v>259</v>
      </c>
      <c r="G8133" s="3"/>
      <c r="H8133" s="3"/>
    </row>
    <row r="8134" spans="1:8">
      <c r="A8134" s="3">
        <v>654537</v>
      </c>
      <c r="B8134" s="7" t="s">
        <v>648</v>
      </c>
      <c r="C8134" s="87" t="s">
        <v>32</v>
      </c>
      <c r="D8134" s="6">
        <v>45953</v>
      </c>
      <c r="E8134" s="3" t="str">
        <f ca="1">IF(Tabela2[[#This Row],[Dt Venc:]]&gt;TODAY(),"Em Aberto",IF(Tabela2[[#This Row],[D/venc]]="-","Enviado",IF(Tabela2[[#This Row],[Dt Venc:]]=TODAY(),"Vence Hoje","Vencida")))</f>
        <v>Em Aberto</v>
      </c>
      <c r="F8134" s="3">
        <f ca="1">IF(G8134=1,"-",Tabela2[[#This Row],[Dt Venc:]]-TODAY())</f>
        <v>260</v>
      </c>
      <c r="G8134" s="3"/>
      <c r="H8134" s="3"/>
    </row>
    <row r="8135" spans="1:8">
      <c r="A8135" s="3">
        <v>495914</v>
      </c>
      <c r="B8135" s="7" t="s">
        <v>153</v>
      </c>
      <c r="C8135" s="99" t="s">
        <v>32</v>
      </c>
      <c r="D8135" s="6">
        <v>45955</v>
      </c>
      <c r="E8135" s="3" t="str">
        <f ca="1">IF(Tabela2[[#This Row],[Dt Venc:]]&gt;TODAY(),"Em Aberto",IF(Tabela2[[#This Row],[D/venc]]="-","Enviado",IF(Tabela2[[#This Row],[Dt Venc:]]=TODAY(),"Vence Hoje","Vencida")))</f>
        <v>Em Aberto</v>
      </c>
      <c r="F8135" s="3">
        <f ca="1">IF(G8135=1,"-",Tabela2[[#This Row],[Dt Venc:]]-TODAY())</f>
        <v>262</v>
      </c>
      <c r="G8135" s="3"/>
      <c r="H8135" s="3"/>
    </row>
    <row r="8136" spans="1:8">
      <c r="A8136" s="3">
        <v>5690</v>
      </c>
      <c r="B8136" s="7" t="s">
        <v>122</v>
      </c>
      <c r="C8136" s="100" t="s">
        <v>32</v>
      </c>
      <c r="D8136" s="6">
        <v>45957</v>
      </c>
      <c r="E8136" s="3" t="str">
        <f ca="1">IF(Tabela2[[#This Row],[Dt Venc:]]&gt;TODAY(),"Em Aberto",IF(Tabela2[[#This Row],[D/venc]]="-","Enviado",IF(Tabela2[[#This Row],[Dt Venc:]]=TODAY(),"Vence Hoje","Vencida")))</f>
        <v>Em Aberto</v>
      </c>
      <c r="F8136" s="3">
        <f ca="1">IF(G8136=1,"-",Tabela2[[#This Row],[Dt Venc:]]-TODAY())</f>
        <v>264</v>
      </c>
      <c r="G8136" s="3"/>
      <c r="H8136" s="3"/>
    </row>
    <row r="8137" spans="1:8">
      <c r="A8137" s="3" t="s">
        <v>110</v>
      </c>
      <c r="B8137" s="7" t="s">
        <v>373</v>
      </c>
      <c r="C8137" s="42" t="s">
        <v>32</v>
      </c>
      <c r="D8137" s="6">
        <v>45958</v>
      </c>
      <c r="E8137" s="3" t="str">
        <f ca="1">IF(Tabela2[[#This Row],[Dt Venc:]]&gt;TODAY(),"Em Aberto",IF(Tabela2[[#This Row],[D/venc]]="-","Enviado",IF(Tabela2[[#This Row],[Dt Venc:]]=TODAY(),"Vence Hoje","Vencida")))</f>
        <v>Em Aberto</v>
      </c>
      <c r="F8137" s="3">
        <f ca="1">IF(G8137=1,"-",Tabela2[[#This Row],[Dt Venc:]]-TODAY())</f>
        <v>265</v>
      </c>
      <c r="G8137" s="3"/>
      <c r="H8137" s="3"/>
    </row>
    <row r="8138" spans="1:8">
      <c r="A8138" s="3">
        <v>912180</v>
      </c>
      <c r="B8138" s="7" t="s">
        <v>375</v>
      </c>
      <c r="C8138" s="100" t="s">
        <v>32</v>
      </c>
      <c r="D8138" s="6">
        <v>45959</v>
      </c>
      <c r="E8138" s="3" t="str">
        <f ca="1">IF(Tabela2[[#This Row],[Dt Venc:]]&gt;TODAY(),"Em Aberto",IF(Tabela2[[#This Row],[D/venc]]="-","Enviado",IF(Tabela2[[#This Row],[Dt Venc:]]=TODAY(),"Vence Hoje","Vencida")))</f>
        <v>Em Aberto</v>
      </c>
      <c r="F8138" s="3">
        <f ca="1">IF(G8138=1,"-",Tabela2[[#This Row],[Dt Venc:]]-TODAY())</f>
        <v>266</v>
      </c>
      <c r="G8138" s="3"/>
      <c r="H8138" s="3"/>
    </row>
    <row r="8139" spans="1:8">
      <c r="A8139" s="3" t="s">
        <v>123</v>
      </c>
      <c r="B8139" s="7" t="s">
        <v>386</v>
      </c>
      <c r="C8139" s="87" t="s">
        <v>32</v>
      </c>
      <c r="D8139" s="6">
        <v>45960</v>
      </c>
      <c r="E8139" s="3" t="str">
        <f ca="1">IF(Tabela2[[#This Row],[Dt Venc:]]&gt;TODAY(),"Em Aberto",IF(Tabela2[[#This Row],[D/venc]]="-","Enviado",IF(Tabela2[[#This Row],[Dt Venc:]]=TODAY(),"Vence Hoje","Vencida")))</f>
        <v>Em Aberto</v>
      </c>
      <c r="F8139" s="3">
        <f ca="1">IF(G8139=1,"-",Tabela2[[#This Row],[Dt Venc:]]-TODAY())</f>
        <v>267</v>
      </c>
      <c r="G8139" s="3"/>
      <c r="H8139" s="3"/>
    </row>
    <row r="8140" spans="1:8">
      <c r="A8140" s="3">
        <v>11681</v>
      </c>
      <c r="B8140" s="7" t="s">
        <v>82</v>
      </c>
      <c r="C8140" s="87" t="s">
        <v>30</v>
      </c>
      <c r="D8140" s="6">
        <v>45961</v>
      </c>
      <c r="E8140" s="3" t="str">
        <f ca="1">IF(Tabela2[[#This Row],[Dt Venc:]]&gt;TODAY(),"Em Aberto",IF(Tabela2[[#This Row],[D/venc]]="-","Enviado",IF(Tabela2[[#This Row],[Dt Venc:]]=TODAY(),"Vence Hoje","Vencida")))</f>
        <v>Em Aberto</v>
      </c>
      <c r="F8140" s="3">
        <f ca="1">IF(G8140=1,"-",Tabela2[[#This Row],[Dt Venc:]]-TODAY())</f>
        <v>268</v>
      </c>
      <c r="G8140" s="3"/>
      <c r="H8140" s="3"/>
    </row>
    <row r="8141" spans="1:8">
      <c r="A8141" s="3" t="s">
        <v>28</v>
      </c>
      <c r="B8141" s="7" t="s">
        <v>391</v>
      </c>
      <c r="C8141" s="85" t="s">
        <v>30</v>
      </c>
      <c r="D8141" s="6">
        <v>45961</v>
      </c>
      <c r="E8141" s="3" t="str">
        <f ca="1">IF(Tabela2[[#This Row],[Dt Venc:]]&gt;TODAY(),"Em Aberto",IF(Tabela2[[#This Row],[D/venc]]="-","Enviado",IF(Tabela2[[#This Row],[Dt Venc:]]=TODAY(),"Vence Hoje","Vencida")))</f>
        <v>Em Aberto</v>
      </c>
      <c r="F8141" s="3">
        <f ca="1">IF(G8141=1,"-",Tabela2[[#This Row],[Dt Venc:]]-TODAY())</f>
        <v>268</v>
      </c>
      <c r="G8141" s="3"/>
      <c r="H8141" s="3"/>
    </row>
    <row r="8142" spans="1:8">
      <c r="A8142" s="3" t="s">
        <v>110</v>
      </c>
      <c r="B8142" s="7" t="s">
        <v>395</v>
      </c>
      <c r="C8142" s="42" t="s">
        <v>32</v>
      </c>
      <c r="D8142" s="6">
        <v>45962</v>
      </c>
      <c r="E8142" s="3" t="str">
        <f ca="1">IF(Tabela2[[#This Row],[Dt Venc:]]&gt;TODAY(),"Em Aberto",IF(Tabela2[[#This Row],[D/venc]]="-","Enviado",IF(Tabela2[[#This Row],[Dt Venc:]]=TODAY(),"Vence Hoje","Vencida")))</f>
        <v>Em Aberto</v>
      </c>
      <c r="F8142" s="3">
        <f ca="1">IF(G8142=1,"-",Tabela2[[#This Row],[Dt Venc:]]-TODAY())</f>
        <v>269</v>
      </c>
      <c r="G8142" s="3"/>
      <c r="H8142" s="3"/>
    </row>
    <row r="8143" spans="1:8">
      <c r="A8143" s="3">
        <v>36910</v>
      </c>
      <c r="B8143" s="7" t="s">
        <v>167</v>
      </c>
      <c r="C8143" s="100" t="s">
        <v>32</v>
      </c>
      <c r="D8143" s="6">
        <v>45962</v>
      </c>
      <c r="E8143" s="3" t="str">
        <f ca="1">IF(Tabela2[[#This Row],[Dt Venc:]]&gt;TODAY(),"Em Aberto",IF(Tabela2[[#This Row],[D/venc]]="-","Enviado",IF(Tabela2[[#This Row],[Dt Venc:]]=TODAY(),"Vence Hoje","Vencida")))</f>
        <v>Em Aberto</v>
      </c>
      <c r="F8143" s="3">
        <f ca="1">IF(G8143=1,"-",Tabela2[[#This Row],[Dt Venc:]]-TODAY())</f>
        <v>269</v>
      </c>
      <c r="G8143" s="3"/>
      <c r="H8143" s="3"/>
    </row>
    <row r="8144" spans="1:8">
      <c r="A8144" s="3">
        <v>10494</v>
      </c>
      <c r="B8144" s="7" t="s">
        <v>82</v>
      </c>
      <c r="C8144" s="88" t="s">
        <v>30</v>
      </c>
      <c r="D8144" s="6">
        <v>45964</v>
      </c>
      <c r="E8144" s="3" t="str">
        <f ca="1">IF(Tabela2[[#This Row],[Dt Venc:]]&gt;TODAY(),"Em Aberto",IF(Tabela2[[#This Row],[D/venc]]="-","Enviado",IF(Tabela2[[#This Row],[Dt Venc:]]=TODAY(),"Vence Hoje","Vencida")))</f>
        <v>Em Aberto</v>
      </c>
      <c r="F8144" s="3">
        <f ca="1">IF(G8144=1,"-",Tabela2[[#This Row],[Dt Venc:]]-TODAY())</f>
        <v>271</v>
      </c>
      <c r="G8144" s="3"/>
      <c r="H8144" s="3"/>
    </row>
    <row r="8145" spans="1:8">
      <c r="A8145" s="3">
        <v>5680</v>
      </c>
      <c r="B8145" s="7" t="s">
        <v>122</v>
      </c>
      <c r="C8145" s="99" t="s">
        <v>32</v>
      </c>
      <c r="D8145" s="6">
        <v>45966</v>
      </c>
      <c r="E8145" s="3" t="str">
        <f ca="1">IF(Tabela2[[#This Row],[Dt Venc:]]&gt;TODAY(),"Em Aberto",IF(Tabela2[[#This Row],[D/venc]]="-","Enviado",IF(Tabela2[[#This Row],[Dt Venc:]]=TODAY(),"Vence Hoje","Vencida")))</f>
        <v>Em Aberto</v>
      </c>
      <c r="F8145" s="3">
        <f ca="1">IF(G8145=1,"-",Tabela2[[#This Row],[Dt Venc:]]-TODAY())</f>
        <v>273</v>
      </c>
      <c r="G8145" s="3"/>
      <c r="H8145" s="3"/>
    </row>
    <row r="8146" spans="1:8">
      <c r="A8146" s="3">
        <v>10353</v>
      </c>
      <c r="B8146" s="7" t="s">
        <v>82</v>
      </c>
      <c r="C8146" s="100" t="s">
        <v>32</v>
      </c>
      <c r="D8146" s="6">
        <v>45966</v>
      </c>
      <c r="E8146" s="3" t="str">
        <f ca="1">IF(Tabela2[[#This Row],[Dt Venc:]]&gt;TODAY(),"Em Aberto",IF(Tabela2[[#This Row],[D/venc]]="-","Enviado",IF(Tabela2[[#This Row],[Dt Venc:]]=TODAY(),"Vence Hoje","Vencida")))</f>
        <v>Em Aberto</v>
      </c>
      <c r="F8146" s="3">
        <f ca="1">IF(G8146=1,"-",Tabela2[[#This Row],[Dt Venc:]]-TODAY())</f>
        <v>273</v>
      </c>
      <c r="G8146" s="3"/>
      <c r="H8146" s="3"/>
    </row>
    <row r="8147" spans="1:8">
      <c r="A8147" s="3" t="s">
        <v>123</v>
      </c>
      <c r="B8147" s="7" t="s">
        <v>503</v>
      </c>
      <c r="C8147" s="87" t="s">
        <v>32</v>
      </c>
      <c r="D8147" s="6">
        <v>45966</v>
      </c>
      <c r="E8147" s="3" t="str">
        <f ca="1">IF(Tabela2[[#This Row],[Dt Venc:]]&gt;TODAY(),"Em Aberto",IF(Tabela2[[#This Row],[D/venc]]="-","Enviado",IF(Tabela2[[#This Row],[Dt Venc:]]=TODAY(),"Vence Hoje","Vencida")))</f>
        <v>Em Aberto</v>
      </c>
      <c r="F8147" s="3">
        <f ca="1">IF(G8147=1,"-",Tabela2[[#This Row],[Dt Venc:]]-TODAY())</f>
        <v>273</v>
      </c>
      <c r="G8147" s="3"/>
      <c r="H8147" s="3"/>
    </row>
    <row r="8148" spans="1:8">
      <c r="A8148" s="3">
        <v>284620</v>
      </c>
      <c r="B8148" s="7" t="s">
        <v>153</v>
      </c>
      <c r="C8148" s="99" t="s">
        <v>32</v>
      </c>
      <c r="D8148" s="6">
        <v>45969</v>
      </c>
      <c r="E8148" s="3" t="str">
        <f ca="1">IF(Tabela2[[#This Row],[Dt Venc:]]&gt;TODAY(),"Em Aberto",IF(Tabela2[[#This Row],[D/venc]]="-","Enviado",IF(Tabela2[[#This Row],[Dt Venc:]]=TODAY(),"Vence Hoje","Vencida")))</f>
        <v>Em Aberto</v>
      </c>
      <c r="F8148" s="3">
        <f ca="1">IF(G8148=1,"-",Tabela2[[#This Row],[Dt Venc:]]-TODAY())</f>
        <v>276</v>
      </c>
      <c r="G8148" s="3"/>
      <c r="H8148" s="3"/>
    </row>
    <row r="8149" spans="1:8">
      <c r="A8149" s="3">
        <v>36949</v>
      </c>
      <c r="B8149" s="7" t="s">
        <v>167</v>
      </c>
      <c r="C8149" s="100" t="s">
        <v>32</v>
      </c>
      <c r="D8149" s="6">
        <v>45970</v>
      </c>
      <c r="E8149" s="3" t="str">
        <f ca="1">IF(Tabela2[[#This Row],[Dt Venc:]]&gt;TODAY(),"Em Aberto",IF(Tabela2[[#This Row],[D/venc]]="-","Enviado",IF(Tabela2[[#This Row],[Dt Venc:]]=TODAY(),"Vence Hoje","Vencida")))</f>
        <v>Em Aberto</v>
      </c>
      <c r="F8149" s="3">
        <f ca="1">IF(G8149=1,"-",Tabela2[[#This Row],[Dt Venc:]]-TODAY())</f>
        <v>277</v>
      </c>
      <c r="G8149" s="3"/>
      <c r="H8149" s="3"/>
    </row>
    <row r="8150" spans="1:8">
      <c r="A8150" s="3">
        <v>756561</v>
      </c>
      <c r="B8150" s="7" t="s">
        <v>166</v>
      </c>
      <c r="C8150" s="100" t="s">
        <v>32</v>
      </c>
      <c r="D8150" s="6">
        <v>45970</v>
      </c>
      <c r="E8150" s="3" t="str">
        <f ca="1">IF(Tabela2[[#This Row],[Dt Venc:]]&gt;TODAY(),"Em Aberto",IF(Tabela2[[#This Row],[D/venc]]="-","Enviado",IF(Tabela2[[#This Row],[Dt Venc:]]=TODAY(),"Vence Hoje","Vencida")))</f>
        <v>Em Aberto</v>
      </c>
      <c r="F8150" s="3">
        <f ca="1">IF(G8150=1,"-",Tabela2[[#This Row],[Dt Venc:]]-TODAY())</f>
        <v>277</v>
      </c>
      <c r="G8150" s="3"/>
      <c r="H8150" s="3"/>
    </row>
    <row r="8151" spans="1:8">
      <c r="A8151" s="3" t="s">
        <v>179</v>
      </c>
      <c r="B8151" s="7" t="s">
        <v>180</v>
      </c>
      <c r="C8151" s="100" t="s">
        <v>32</v>
      </c>
      <c r="D8151" s="6">
        <v>45970</v>
      </c>
      <c r="E8151" s="3" t="str">
        <f ca="1">IF(Tabela2[[#This Row],[Dt Venc:]]&gt;TODAY(),"Em Aberto",IF(Tabela2[[#This Row],[D/venc]]="-","Enviado",IF(Tabela2[[#This Row],[Dt Venc:]]=TODAY(),"Vence Hoje","Vencida")))</f>
        <v>Em Aberto</v>
      </c>
      <c r="F8151" s="3">
        <f ca="1">IF(G8151=1,"-",Tabela2[[#This Row],[Dt Venc:]]-TODAY())</f>
        <v>277</v>
      </c>
      <c r="G8151" s="3"/>
      <c r="H8151" s="3"/>
    </row>
    <row r="8152" spans="1:8">
      <c r="A8152" s="3" t="s">
        <v>123</v>
      </c>
      <c r="B8152" s="7" t="s">
        <v>418</v>
      </c>
      <c r="C8152" s="42" t="s">
        <v>32</v>
      </c>
      <c r="D8152" s="6">
        <v>45971</v>
      </c>
      <c r="E8152" s="3" t="str">
        <f ca="1">IF(Tabela2[[#This Row],[Dt Venc:]]&gt;TODAY(),"Em Aberto",IF(Tabela2[[#This Row],[D/venc]]="-","Enviado",IF(Tabela2[[#This Row],[Dt Venc:]]=TODAY(),"Vence Hoje","Vencida")))</f>
        <v>Em Aberto</v>
      </c>
      <c r="F8152" s="3">
        <f ca="1">IF(G8152=1,"-",Tabela2[[#This Row],[Dt Venc:]]-TODAY())</f>
        <v>278</v>
      </c>
      <c r="G8152" s="3"/>
      <c r="H8152" s="3"/>
    </row>
    <row r="8153" spans="1:8">
      <c r="A8153" s="3" t="s">
        <v>179</v>
      </c>
      <c r="B8153" s="7" t="s">
        <v>190</v>
      </c>
      <c r="C8153" s="100" t="s">
        <v>32</v>
      </c>
      <c r="D8153" s="6">
        <v>45971</v>
      </c>
      <c r="E8153" s="3" t="str">
        <f ca="1">IF(Tabela2[[#This Row],[Dt Venc:]]&gt;TODAY(),"Em Aberto",IF(Tabela2[[#This Row],[D/venc]]="-","Enviado",IF(Tabela2[[#This Row],[Dt Venc:]]=TODAY(),"Vence Hoje","Vencida")))</f>
        <v>Em Aberto</v>
      </c>
      <c r="F8153" s="3">
        <f ca="1">IF(G8153=1,"-",Tabela2[[#This Row],[Dt Venc:]]-TODAY())</f>
        <v>278</v>
      </c>
      <c r="G8153" s="3"/>
      <c r="H8153" s="3"/>
    </row>
    <row r="8154" spans="1:8">
      <c r="A8154" s="3">
        <v>37292</v>
      </c>
      <c r="B8154" s="7" t="s">
        <v>167</v>
      </c>
      <c r="C8154" s="100" t="s">
        <v>32</v>
      </c>
      <c r="D8154" s="6">
        <v>45972</v>
      </c>
      <c r="E8154" s="3" t="str">
        <f ca="1">IF(Tabela2[[#This Row],[Dt Venc:]]&gt;TODAY(),"Em Aberto",IF(Tabela2[[#This Row],[D/venc]]="-","Enviado",IF(Tabela2[[#This Row],[Dt Venc:]]=TODAY(),"Vence Hoje","Vencida")))</f>
        <v>Em Aberto</v>
      </c>
      <c r="F8154" s="3">
        <f ca="1">IF(G8154=1,"-",Tabela2[[#This Row],[Dt Venc:]]-TODAY())</f>
        <v>279</v>
      </c>
      <c r="G8154" s="3"/>
      <c r="H8154" s="3"/>
    </row>
    <row r="8155" spans="1:8">
      <c r="A8155" s="3">
        <v>37327</v>
      </c>
      <c r="B8155" s="7" t="s">
        <v>167</v>
      </c>
      <c r="C8155" s="100" t="s">
        <v>32</v>
      </c>
      <c r="D8155" s="6">
        <v>45972</v>
      </c>
      <c r="E8155" s="3" t="str">
        <f ca="1">IF(Tabela2[[#This Row],[Dt Venc:]]&gt;TODAY(),"Em Aberto",IF(Tabela2[[#This Row],[D/venc]]="-","Enviado",IF(Tabela2[[#This Row],[Dt Venc:]]=TODAY(),"Vence Hoje","Vencida")))</f>
        <v>Em Aberto</v>
      </c>
      <c r="F8155" s="3">
        <f ca="1">IF(G8155=1,"-",Tabela2[[#This Row],[Dt Venc:]]-TODAY())</f>
        <v>279</v>
      </c>
      <c r="G8155" s="3"/>
      <c r="H8155" s="3"/>
    </row>
    <row r="8156" spans="1:8">
      <c r="A8156" s="3">
        <v>562</v>
      </c>
      <c r="B8156" s="7" t="s">
        <v>251</v>
      </c>
      <c r="C8156" s="100" t="s">
        <v>32</v>
      </c>
      <c r="D8156" s="6">
        <v>45976</v>
      </c>
      <c r="E8156" s="3" t="str">
        <f ca="1">IF(Tabela2[[#This Row],[Dt Venc:]]&gt;TODAY(),"Em Aberto",IF(Tabela2[[#This Row],[D/venc]]="-","Enviado",IF(Tabela2[[#This Row],[Dt Venc:]]=TODAY(),"Vence Hoje","Vencida")))</f>
        <v>Em Aberto</v>
      </c>
      <c r="F8156" s="3">
        <f ca="1">IF(G8156=1,"-",Tabela2[[#This Row],[Dt Venc:]]-TODAY())</f>
        <v>283</v>
      </c>
      <c r="G8156" s="3"/>
      <c r="H8156" s="3"/>
    </row>
    <row r="8157" spans="1:8">
      <c r="A8157" s="3">
        <v>36846</v>
      </c>
      <c r="B8157" s="7" t="s">
        <v>167</v>
      </c>
      <c r="C8157" s="100" t="s">
        <v>32</v>
      </c>
      <c r="D8157" s="6">
        <v>45976</v>
      </c>
      <c r="E8157" s="3" t="str">
        <f ca="1">IF(Tabela2[[#This Row],[Dt Venc:]]&gt;TODAY(),"Em Aberto",IF(Tabela2[[#This Row],[D/venc]]="-","Enviado",IF(Tabela2[[#This Row],[Dt Venc:]]=TODAY(),"Vence Hoje","Vencida")))</f>
        <v>Em Aberto</v>
      </c>
      <c r="F8157" s="3">
        <f ca="1">IF(G8157=1,"-",Tabela2[[#This Row],[Dt Venc:]]-TODAY())</f>
        <v>283</v>
      </c>
      <c r="G8157" s="3"/>
      <c r="H8157" s="3"/>
    </row>
    <row r="8158" spans="1:8">
      <c r="A8158" s="3">
        <v>103015</v>
      </c>
      <c r="B8158" s="7" t="s">
        <v>252</v>
      </c>
      <c r="C8158" s="100" t="s">
        <v>32</v>
      </c>
      <c r="D8158" s="6">
        <v>45976</v>
      </c>
      <c r="E8158" s="3" t="str">
        <f ca="1">IF(Tabela2[[#This Row],[Dt Venc:]]&gt;TODAY(),"Em Aberto",IF(Tabela2[[#This Row],[D/venc]]="-","Enviado",IF(Tabela2[[#This Row],[Dt Venc:]]=TODAY(),"Vence Hoje","Vencida")))</f>
        <v>Em Aberto</v>
      </c>
      <c r="F8158" s="3">
        <f ca="1">IF(G8158=1,"-",Tabela2[[#This Row],[Dt Venc:]]-TODAY())</f>
        <v>283</v>
      </c>
      <c r="G8158" s="3"/>
      <c r="H8158" s="3"/>
    </row>
    <row r="8159" spans="1:8">
      <c r="A8159" s="3">
        <v>103077</v>
      </c>
      <c r="B8159" s="7" t="s">
        <v>252</v>
      </c>
      <c r="C8159" s="100" t="s">
        <v>32</v>
      </c>
      <c r="D8159" s="6">
        <v>45976</v>
      </c>
      <c r="E8159" s="3" t="str">
        <f ca="1">IF(Tabela2[[#This Row],[Dt Venc:]]&gt;TODAY(),"Em Aberto",IF(Tabela2[[#This Row],[D/venc]]="-","Enviado",IF(Tabela2[[#This Row],[Dt Venc:]]=TODAY(),"Vence Hoje","Vencida")))</f>
        <v>Em Aberto</v>
      </c>
      <c r="F8159" s="3">
        <f ca="1">IF(G8159=1,"-",Tabela2[[#This Row],[Dt Venc:]]-TODAY())</f>
        <v>283</v>
      </c>
      <c r="G8159" s="3"/>
      <c r="H8159" s="3"/>
    </row>
    <row r="8160" spans="1:8">
      <c r="A8160" s="3">
        <v>103153</v>
      </c>
      <c r="B8160" s="7" t="s">
        <v>252</v>
      </c>
      <c r="C8160" s="87" t="s">
        <v>32</v>
      </c>
      <c r="D8160" s="6">
        <v>45976</v>
      </c>
      <c r="E8160" s="3" t="str">
        <f ca="1">IF(Tabela2[[#This Row],[Dt Venc:]]&gt;TODAY(),"Em Aberto",IF(Tabela2[[#This Row],[D/venc]]="-","Enviado",IF(Tabela2[[#This Row],[Dt Venc:]]=TODAY(),"Vence Hoje","Vencida")))</f>
        <v>Em Aberto</v>
      </c>
      <c r="F8160" s="3">
        <f ca="1">IF(G8160=1,"-",Tabela2[[#This Row],[Dt Venc:]]-TODAY())</f>
        <v>283</v>
      </c>
      <c r="G8160" s="3"/>
      <c r="H8160" s="3"/>
    </row>
    <row r="8161" spans="1:8">
      <c r="A8161" s="3">
        <v>103154</v>
      </c>
      <c r="B8161" s="7" t="s">
        <v>252</v>
      </c>
      <c r="C8161" s="100" t="s">
        <v>32</v>
      </c>
      <c r="D8161" s="6">
        <v>45976</v>
      </c>
      <c r="E8161" s="3" t="str">
        <f ca="1">IF(Tabela2[[#This Row],[Dt Venc:]]&gt;TODAY(),"Em Aberto",IF(Tabela2[[#This Row],[D/venc]]="-","Enviado",IF(Tabela2[[#This Row],[Dt Venc:]]=TODAY(),"Vence Hoje","Vencida")))</f>
        <v>Em Aberto</v>
      </c>
      <c r="F8161" s="3">
        <f ca="1">IF(G8161=1,"-",Tabela2[[#This Row],[Dt Venc:]]-TODAY())</f>
        <v>283</v>
      </c>
      <c r="G8161" s="3"/>
      <c r="H8161" s="3"/>
    </row>
    <row r="8162" spans="1:8">
      <c r="A8162" s="3">
        <v>106007</v>
      </c>
      <c r="B8162" s="7" t="s">
        <v>252</v>
      </c>
      <c r="C8162" s="100" t="s">
        <v>32</v>
      </c>
      <c r="D8162" s="6">
        <v>45976</v>
      </c>
      <c r="E8162" s="3" t="str">
        <f ca="1">IF(Tabela2[[#This Row],[Dt Venc:]]&gt;TODAY(),"Em Aberto",IF(Tabela2[[#This Row],[D/venc]]="-","Enviado",IF(Tabela2[[#This Row],[Dt Venc:]]=TODAY(),"Vence Hoje","Vencida")))</f>
        <v>Em Aberto</v>
      </c>
      <c r="F8162" s="3">
        <f ca="1">IF(G8162=1,"-",Tabela2[[#This Row],[Dt Venc:]]-TODAY())</f>
        <v>283</v>
      </c>
      <c r="G8162" s="3"/>
      <c r="H8162" s="3"/>
    </row>
    <row r="8163" spans="1:8">
      <c r="A8163" s="3">
        <v>106043</v>
      </c>
      <c r="B8163" s="7" t="s">
        <v>252</v>
      </c>
      <c r="C8163" s="100" t="s">
        <v>32</v>
      </c>
      <c r="D8163" s="6">
        <v>45976</v>
      </c>
      <c r="E8163" s="3" t="str">
        <f ca="1">IF(Tabela2[[#This Row],[Dt Venc:]]&gt;TODAY(),"Em Aberto",IF(Tabela2[[#This Row],[D/venc]]="-","Enviado",IF(Tabela2[[#This Row],[Dt Venc:]]=TODAY(),"Vence Hoje","Vencida")))</f>
        <v>Em Aberto</v>
      </c>
      <c r="F8163" s="3">
        <f ca="1">IF(G8163=1,"-",Tabela2[[#This Row],[Dt Venc:]]-TODAY())</f>
        <v>283</v>
      </c>
      <c r="G8163" s="3"/>
      <c r="H8163" s="3"/>
    </row>
    <row r="8164" spans="1:8">
      <c r="A8164" s="3">
        <v>107829</v>
      </c>
      <c r="B8164" s="7" t="s">
        <v>252</v>
      </c>
      <c r="C8164" s="100" t="s">
        <v>32</v>
      </c>
      <c r="D8164" s="6">
        <v>45976</v>
      </c>
      <c r="E8164" s="3" t="str">
        <f ca="1">IF(Tabela2[[#This Row],[Dt Venc:]]&gt;TODAY(),"Em Aberto",IF(Tabela2[[#This Row],[D/venc]]="-","Enviado",IF(Tabela2[[#This Row],[Dt Venc:]]=TODAY(),"Vence Hoje","Vencida")))</f>
        <v>Em Aberto</v>
      </c>
      <c r="F8164" s="3">
        <f ca="1">IF(G8164=1,"-",Tabela2[[#This Row],[Dt Venc:]]-TODAY())</f>
        <v>283</v>
      </c>
      <c r="G8164" s="3"/>
      <c r="H8164" s="3"/>
    </row>
    <row r="8165" spans="1:8">
      <c r="A8165" s="3">
        <v>107830</v>
      </c>
      <c r="B8165" s="7" t="s">
        <v>252</v>
      </c>
      <c r="C8165" s="87" t="s">
        <v>32</v>
      </c>
      <c r="D8165" s="6">
        <v>45976</v>
      </c>
      <c r="E8165" s="3" t="str">
        <f ca="1">IF(Tabela2[[#This Row],[Dt Venc:]]&gt;TODAY(),"Em Aberto",IF(Tabela2[[#This Row],[D/venc]]="-","Enviado",IF(Tabela2[[#This Row],[Dt Venc:]]=TODAY(),"Vence Hoje","Vencida")))</f>
        <v>Em Aberto</v>
      </c>
      <c r="F8165" s="3">
        <f ca="1">IF(G8165=1,"-",Tabela2[[#This Row],[Dt Venc:]]-TODAY())</f>
        <v>283</v>
      </c>
      <c r="G8165" s="3"/>
      <c r="H8165" s="3"/>
    </row>
    <row r="8166" spans="1:8">
      <c r="A8166" s="3">
        <v>107831</v>
      </c>
      <c r="B8166" s="7" t="s">
        <v>252</v>
      </c>
      <c r="C8166" s="100" t="s">
        <v>32</v>
      </c>
      <c r="D8166" s="6">
        <v>45976</v>
      </c>
      <c r="E8166" s="3" t="str">
        <f ca="1">IF(Tabela2[[#This Row],[Dt Venc:]]&gt;TODAY(),"Em Aberto",IF(Tabela2[[#This Row],[D/venc]]="-","Enviado",IF(Tabela2[[#This Row],[Dt Venc:]]=TODAY(),"Vence Hoje","Vencida")))</f>
        <v>Em Aberto</v>
      </c>
      <c r="F8166" s="3">
        <f ca="1">IF(G8166=1,"-",Tabela2[[#This Row],[Dt Venc:]]-TODAY())</f>
        <v>283</v>
      </c>
      <c r="G8166" s="3"/>
      <c r="H8166" s="3"/>
    </row>
    <row r="8167" spans="1:8">
      <c r="A8167" s="3">
        <v>107832</v>
      </c>
      <c r="B8167" s="7" t="s">
        <v>252</v>
      </c>
      <c r="C8167" s="100" t="s">
        <v>32</v>
      </c>
      <c r="D8167" s="6">
        <v>45976</v>
      </c>
      <c r="E8167" s="3" t="str">
        <f ca="1">IF(Tabela2[[#This Row],[Dt Venc:]]&gt;TODAY(),"Em Aberto",IF(Tabela2[[#This Row],[D/venc]]="-","Enviado",IF(Tabela2[[#This Row],[Dt Venc:]]=TODAY(),"Vence Hoje","Vencida")))</f>
        <v>Em Aberto</v>
      </c>
      <c r="F8167" s="3">
        <f ca="1">IF(G8167=1,"-",Tabela2[[#This Row],[Dt Venc:]]-TODAY())</f>
        <v>283</v>
      </c>
      <c r="G8167" s="3"/>
      <c r="H8167" s="3"/>
    </row>
    <row r="8168" spans="1:8">
      <c r="A8168" s="3">
        <v>361229</v>
      </c>
      <c r="B8168" s="7" t="s">
        <v>250</v>
      </c>
      <c r="C8168" s="100" t="s">
        <v>32</v>
      </c>
      <c r="D8168" s="6">
        <v>45976</v>
      </c>
      <c r="E8168" s="3" t="str">
        <f ca="1">IF(Tabela2[[#This Row],[Dt Venc:]]&gt;TODAY(),"Em Aberto",IF(Tabela2[[#This Row],[D/venc]]="-","Enviado",IF(Tabela2[[#This Row],[Dt Venc:]]=TODAY(),"Vence Hoje","Vencida")))</f>
        <v>Em Aberto</v>
      </c>
      <c r="F8168" s="3">
        <f ca="1">IF(G8168=1,"-",Tabela2[[#This Row],[Dt Venc:]]-TODAY())</f>
        <v>283</v>
      </c>
      <c r="G8168" s="3"/>
      <c r="H8168" s="3"/>
    </row>
    <row r="8169" spans="1:8">
      <c r="A8169" s="3">
        <v>361237</v>
      </c>
      <c r="B8169" s="7" t="s">
        <v>250</v>
      </c>
      <c r="C8169" s="100" t="s">
        <v>32</v>
      </c>
      <c r="D8169" s="6">
        <v>45976</v>
      </c>
      <c r="E8169" s="3" t="str">
        <f ca="1">IF(Tabela2[[#This Row],[Dt Venc:]]&gt;TODAY(),"Em Aberto",IF(Tabela2[[#This Row],[D/venc]]="-","Enviado",IF(Tabela2[[#This Row],[Dt Venc:]]=TODAY(),"Vence Hoje","Vencida")))</f>
        <v>Em Aberto</v>
      </c>
      <c r="F8169" s="3">
        <f ca="1">IF(G8169=1,"-",Tabela2[[#This Row],[Dt Venc:]]-TODAY())</f>
        <v>283</v>
      </c>
      <c r="G8169" s="3"/>
      <c r="H8169" s="3"/>
    </row>
    <row r="8170" spans="1:8">
      <c r="A8170" s="3">
        <v>365658</v>
      </c>
      <c r="B8170" s="7" t="s">
        <v>250</v>
      </c>
      <c r="C8170" s="99" t="s">
        <v>32</v>
      </c>
      <c r="D8170" s="6">
        <v>45976</v>
      </c>
      <c r="E8170" s="3" t="str">
        <f ca="1">IF(Tabela2[[#This Row],[Dt Venc:]]&gt;TODAY(),"Em Aberto",IF(Tabela2[[#This Row],[D/venc]]="-","Enviado",IF(Tabela2[[#This Row],[Dt Venc:]]=TODAY(),"Vence Hoje","Vencida")))</f>
        <v>Em Aberto</v>
      </c>
      <c r="F8170" s="3">
        <f ca="1">IF(G8170=1,"-",Tabela2[[#This Row],[Dt Venc:]]-TODAY())</f>
        <v>283</v>
      </c>
      <c r="G8170" s="3"/>
      <c r="H8170" s="3"/>
    </row>
    <row r="8171" spans="1:8">
      <c r="A8171" s="3">
        <v>365666</v>
      </c>
      <c r="B8171" s="7" t="s">
        <v>250</v>
      </c>
      <c r="C8171" s="100" t="s">
        <v>32</v>
      </c>
      <c r="D8171" s="6">
        <v>45976</v>
      </c>
      <c r="E8171" s="3" t="str">
        <f ca="1">IF(Tabela2[[#This Row],[Dt Venc:]]&gt;TODAY(),"Em Aberto",IF(Tabela2[[#This Row],[D/venc]]="-","Enviado",IF(Tabela2[[#This Row],[Dt Venc:]]=TODAY(),"Vence Hoje","Vencida")))</f>
        <v>Em Aberto</v>
      </c>
      <c r="F8171" s="3">
        <f ca="1">IF(G8171=1,"-",Tabela2[[#This Row],[Dt Venc:]]-TODAY())</f>
        <v>283</v>
      </c>
      <c r="G8171" s="3"/>
      <c r="H8171" s="3"/>
    </row>
    <row r="8172" spans="1:8">
      <c r="A8172" s="3">
        <v>365674</v>
      </c>
      <c r="B8172" s="7" t="s">
        <v>250</v>
      </c>
      <c r="C8172" s="100" t="s">
        <v>32</v>
      </c>
      <c r="D8172" s="6">
        <v>45976</v>
      </c>
      <c r="E8172" s="3" t="str">
        <f ca="1">IF(Tabela2[[#This Row],[Dt Venc:]]&gt;TODAY(),"Em Aberto",IF(Tabela2[[#This Row],[D/venc]]="-","Enviado",IF(Tabela2[[#This Row],[Dt Venc:]]=TODAY(),"Vence Hoje","Vencida")))</f>
        <v>Em Aberto</v>
      </c>
      <c r="F8172" s="3">
        <f ca="1">IF(G8172=1,"-",Tabela2[[#This Row],[Dt Venc:]]-TODAY())</f>
        <v>283</v>
      </c>
      <c r="G8172" s="3"/>
      <c r="H8172" s="3"/>
    </row>
    <row r="8173" spans="1:8">
      <c r="A8173" s="3">
        <v>365682</v>
      </c>
      <c r="B8173" s="7" t="s">
        <v>250</v>
      </c>
      <c r="C8173" s="100" t="s">
        <v>32</v>
      </c>
      <c r="D8173" s="6">
        <v>45976</v>
      </c>
      <c r="E8173" s="3" t="str">
        <f ca="1">IF(Tabela2[[#This Row],[Dt Venc:]]&gt;TODAY(),"Em Aberto",IF(Tabela2[[#This Row],[D/venc]]="-","Enviado",IF(Tabela2[[#This Row],[Dt Venc:]]=TODAY(),"Vence Hoje","Vencida")))</f>
        <v>Em Aberto</v>
      </c>
      <c r="F8173" s="3">
        <f ca="1">IF(G8173=1,"-",Tabela2[[#This Row],[Dt Venc:]]-TODAY())</f>
        <v>283</v>
      </c>
      <c r="G8173" s="3"/>
      <c r="H8173" s="3"/>
    </row>
    <row r="8174" spans="1:8">
      <c r="A8174" s="3">
        <v>369335</v>
      </c>
      <c r="B8174" s="7" t="s">
        <v>543</v>
      </c>
      <c r="C8174" s="87" t="s">
        <v>32</v>
      </c>
      <c r="D8174" s="6">
        <v>45976</v>
      </c>
      <c r="E8174" s="3" t="str">
        <f ca="1">IF(Tabela2[[#This Row],[Dt Venc:]]&gt;TODAY(),"Em Aberto",IF(Tabela2[[#This Row],[D/venc]]="-","Enviado",IF(Tabela2[[#This Row],[Dt Venc:]]=TODAY(),"Vence Hoje","Vencida")))</f>
        <v>Em Aberto</v>
      </c>
      <c r="F8174" s="3">
        <f ca="1">IF(G8174=1,"-",Tabela2[[#This Row],[Dt Venc:]]-TODAY())</f>
        <v>283</v>
      </c>
      <c r="G8174" s="3"/>
      <c r="H8174" s="3"/>
    </row>
    <row r="8175" spans="1:8">
      <c r="A8175" s="3">
        <v>369696</v>
      </c>
      <c r="B8175" s="7" t="s">
        <v>543</v>
      </c>
      <c r="C8175" s="85" t="s">
        <v>32</v>
      </c>
      <c r="D8175" s="6">
        <v>45976</v>
      </c>
      <c r="E8175" s="3" t="str">
        <f ca="1">IF(Tabela2[[#This Row],[Dt Venc:]]&gt;TODAY(),"Em Aberto",IF(Tabela2[[#This Row],[D/venc]]="-","Enviado",IF(Tabela2[[#This Row],[Dt Venc:]]=TODAY(),"Vence Hoje","Vencida")))</f>
        <v>Em Aberto</v>
      </c>
      <c r="F8175" s="3">
        <f ca="1">IF(G8175=1,"-",Tabela2[[#This Row],[Dt Venc:]]-TODAY())</f>
        <v>283</v>
      </c>
      <c r="G8175" s="3"/>
      <c r="H8175" s="3"/>
    </row>
    <row r="8176" spans="1:8">
      <c r="A8176" s="3">
        <v>369726</v>
      </c>
      <c r="B8176" s="7" t="s">
        <v>543</v>
      </c>
      <c r="C8176" s="87" t="s">
        <v>32</v>
      </c>
      <c r="D8176" s="6">
        <v>45976</v>
      </c>
      <c r="E8176" s="3" t="str">
        <f ca="1">IF(Tabela2[[#This Row],[Dt Venc:]]&gt;TODAY(),"Em Aberto",IF(Tabela2[[#This Row],[D/venc]]="-","Enviado",IF(Tabela2[[#This Row],[Dt Venc:]]=TODAY(),"Vence Hoje","Vencida")))</f>
        <v>Em Aberto</v>
      </c>
      <c r="F8176" s="3">
        <f ca="1">IF(G8176=1,"-",Tabela2[[#This Row],[Dt Venc:]]-TODAY())</f>
        <v>283</v>
      </c>
      <c r="G8176" s="3"/>
      <c r="H8176" s="3"/>
    </row>
    <row r="8177" spans="1:8">
      <c r="A8177" s="3">
        <v>369751</v>
      </c>
      <c r="B8177" s="7" t="s">
        <v>543</v>
      </c>
      <c r="C8177" s="87" t="s">
        <v>32</v>
      </c>
      <c r="D8177" s="6">
        <v>45976</v>
      </c>
      <c r="E8177" s="3" t="str">
        <f ca="1">IF(Tabela2[[#This Row],[Dt Venc:]]&gt;TODAY(),"Em Aberto",IF(Tabela2[[#This Row],[D/venc]]="-","Enviado",IF(Tabela2[[#This Row],[Dt Venc:]]=TODAY(),"Vence Hoje","Vencida")))</f>
        <v>Em Aberto</v>
      </c>
      <c r="F8177" s="3">
        <f ca="1">IF(G8177=1,"-",Tabela2[[#This Row],[Dt Venc:]]-TODAY())</f>
        <v>283</v>
      </c>
      <c r="G8177" s="3"/>
      <c r="H8177" s="3"/>
    </row>
    <row r="8178" spans="1:8">
      <c r="A8178" s="3">
        <v>370201</v>
      </c>
      <c r="B8178" s="7" t="s">
        <v>543</v>
      </c>
      <c r="C8178" s="87" t="s">
        <v>32</v>
      </c>
      <c r="D8178" s="6">
        <v>45976</v>
      </c>
      <c r="E8178" s="3" t="str">
        <f ca="1">IF(Tabela2[[#This Row],[Dt Venc:]]&gt;TODAY(),"Em Aberto",IF(Tabela2[[#This Row],[D/venc]]="-","Enviado",IF(Tabela2[[#This Row],[Dt Venc:]]=TODAY(),"Vence Hoje","Vencida")))</f>
        <v>Em Aberto</v>
      </c>
      <c r="F8178" s="3">
        <f ca="1">IF(G8178=1,"-",Tabela2[[#This Row],[Dt Venc:]]-TODAY())</f>
        <v>283</v>
      </c>
      <c r="G8178" s="3"/>
      <c r="H8178" s="3"/>
    </row>
    <row r="8179" spans="1:8">
      <c r="A8179" s="3">
        <v>370864</v>
      </c>
      <c r="B8179" s="7" t="s">
        <v>543</v>
      </c>
      <c r="C8179" s="87" t="s">
        <v>32</v>
      </c>
      <c r="D8179" s="6">
        <v>45976</v>
      </c>
      <c r="E8179" s="3" t="str">
        <f ca="1">IF(Tabela2[[#This Row],[Dt Venc:]]&gt;TODAY(),"Em Aberto",IF(Tabela2[[#This Row],[D/venc]]="-","Enviado",IF(Tabela2[[#This Row],[Dt Venc:]]=TODAY(),"Vence Hoje","Vencida")))</f>
        <v>Em Aberto</v>
      </c>
      <c r="F8179" s="3">
        <f ca="1">IF(G8179=1,"-",Tabela2[[#This Row],[Dt Venc:]]-TODAY())</f>
        <v>283</v>
      </c>
      <c r="G8179" s="3"/>
      <c r="H8179" s="3"/>
    </row>
    <row r="8180" spans="1:8">
      <c r="A8180" s="3">
        <v>371011</v>
      </c>
      <c r="B8180" s="7" t="s">
        <v>633</v>
      </c>
      <c r="C8180" s="87" t="s">
        <v>32</v>
      </c>
      <c r="D8180" s="6">
        <v>45976</v>
      </c>
      <c r="E8180" s="3" t="str">
        <f ca="1">IF(Tabela2[[#This Row],[Dt Venc:]]&gt;TODAY(),"Em Aberto",IF(Tabela2[[#This Row],[D/venc]]="-","Enviado",IF(Tabela2[[#This Row],[Dt Venc:]]=TODAY(),"Vence Hoje","Vencida")))</f>
        <v>Em Aberto</v>
      </c>
      <c r="F8180" s="3">
        <f ca="1">IF(G8180=1,"-",Tabela2[[#This Row],[Dt Venc:]]-TODAY())</f>
        <v>283</v>
      </c>
      <c r="G8180" s="3"/>
      <c r="H8180" s="3"/>
    </row>
    <row r="8181" spans="1:8">
      <c r="A8181" s="3">
        <v>371160</v>
      </c>
      <c r="B8181" s="7" t="s">
        <v>633</v>
      </c>
      <c r="C8181" s="87" t="s">
        <v>32</v>
      </c>
      <c r="D8181" s="6">
        <v>45976</v>
      </c>
      <c r="E8181" s="3" t="str">
        <f ca="1">IF(Tabela2[[#This Row],[Dt Venc:]]&gt;TODAY(),"Em Aberto",IF(Tabela2[[#This Row],[D/venc]]="-","Enviado",IF(Tabela2[[#This Row],[Dt Venc:]]=TODAY(),"Vence Hoje","Vencida")))</f>
        <v>Em Aberto</v>
      </c>
      <c r="F8181" s="3">
        <f ca="1">IF(G8181=1,"-",Tabela2[[#This Row],[Dt Venc:]]-TODAY())</f>
        <v>283</v>
      </c>
      <c r="G8181" s="3"/>
      <c r="H8181" s="3"/>
    </row>
    <row r="8182" spans="1:8">
      <c r="A8182" s="3">
        <v>748099</v>
      </c>
      <c r="B8182" s="7" t="s">
        <v>81</v>
      </c>
      <c r="C8182" s="100" t="s">
        <v>32</v>
      </c>
      <c r="D8182" s="6">
        <v>45976</v>
      </c>
      <c r="E8182" s="3" t="str">
        <f ca="1">IF(Tabela2[[#This Row],[Dt Venc:]]&gt;TODAY(),"Em Aberto",IF(Tabela2[[#This Row],[D/venc]]="-","Enviado",IF(Tabela2[[#This Row],[Dt Venc:]]=TODAY(),"Vence Hoje","Vencida")))</f>
        <v>Em Aberto</v>
      </c>
      <c r="F8182" s="3">
        <f ca="1">IF(G8182=1,"-",Tabela2[[#This Row],[Dt Venc:]]-TODAY())</f>
        <v>283</v>
      </c>
      <c r="G8182" s="3"/>
      <c r="H8182" s="3"/>
    </row>
    <row r="8183" spans="1:8">
      <c r="A8183" s="3">
        <v>892178</v>
      </c>
      <c r="B8183" s="7" t="s">
        <v>253</v>
      </c>
      <c r="C8183" s="100" t="s">
        <v>32</v>
      </c>
      <c r="D8183" s="6">
        <v>45976</v>
      </c>
      <c r="E8183" s="3" t="str">
        <f ca="1">IF(Tabela2[[#This Row],[Dt Venc:]]&gt;TODAY(),"Em Aberto",IF(Tabela2[[#This Row],[D/venc]]="-","Enviado",IF(Tabela2[[#This Row],[Dt Venc:]]=TODAY(),"Vence Hoje","Vencida")))</f>
        <v>Em Aberto</v>
      </c>
      <c r="F8183" s="3">
        <f ca="1">IF(G8183=1,"-",Tabela2[[#This Row],[Dt Venc:]]-TODAY())</f>
        <v>283</v>
      </c>
      <c r="G8183" s="3"/>
      <c r="H8183" s="3"/>
    </row>
    <row r="8184" spans="1:8">
      <c r="A8184" s="3">
        <v>894135</v>
      </c>
      <c r="B8184" s="7" t="s">
        <v>253</v>
      </c>
      <c r="C8184" s="100" t="s">
        <v>32</v>
      </c>
      <c r="D8184" s="6">
        <v>45976</v>
      </c>
      <c r="E8184" s="3" t="str">
        <f ca="1">IF(Tabela2[[#This Row],[Dt Venc:]]&gt;TODAY(),"Em Aberto",IF(Tabela2[[#This Row],[D/venc]]="-","Enviado",IF(Tabela2[[#This Row],[Dt Venc:]]=TODAY(),"Vence Hoje","Vencida")))</f>
        <v>Em Aberto</v>
      </c>
      <c r="F8184" s="3">
        <f ca="1">IF(G8184=1,"-",Tabela2[[#This Row],[Dt Venc:]]-TODAY())</f>
        <v>283</v>
      </c>
      <c r="G8184" s="3"/>
      <c r="H8184" s="3"/>
    </row>
    <row r="8185" spans="1:8">
      <c r="A8185" s="3">
        <v>896565</v>
      </c>
      <c r="B8185" s="7" t="s">
        <v>253</v>
      </c>
      <c r="C8185" s="100" t="s">
        <v>32</v>
      </c>
      <c r="D8185" s="6">
        <v>45976</v>
      </c>
      <c r="E8185" s="3" t="str">
        <f ca="1">IF(Tabela2[[#This Row],[Dt Venc:]]&gt;TODAY(),"Em Aberto",IF(Tabela2[[#This Row],[D/venc]]="-","Enviado",IF(Tabela2[[#This Row],[Dt Venc:]]=TODAY(),"Vence Hoje","Vencida")))</f>
        <v>Em Aberto</v>
      </c>
      <c r="F8185" s="3">
        <f ca="1">IF(G8185=1,"-",Tabela2[[#This Row],[Dt Venc:]]-TODAY())</f>
        <v>283</v>
      </c>
      <c r="G8185" s="3"/>
      <c r="H8185" s="3"/>
    </row>
    <row r="8186" spans="1:8">
      <c r="A8186" s="3">
        <v>900386</v>
      </c>
      <c r="B8186" s="7" t="s">
        <v>253</v>
      </c>
      <c r="C8186" s="100" t="s">
        <v>32</v>
      </c>
      <c r="D8186" s="6">
        <v>45976</v>
      </c>
      <c r="E8186" s="3" t="str">
        <f ca="1">IF(Tabela2[[#This Row],[Dt Venc:]]&gt;TODAY(),"Em Aberto",IF(Tabela2[[#This Row],[D/venc]]="-","Enviado",IF(Tabela2[[#This Row],[Dt Venc:]]=TODAY(),"Vence Hoje","Vencida")))</f>
        <v>Em Aberto</v>
      </c>
      <c r="F8186" s="3">
        <f ca="1">IF(G8186=1,"-",Tabela2[[#This Row],[Dt Venc:]]-TODAY())</f>
        <v>283</v>
      </c>
      <c r="G8186" s="3"/>
      <c r="H8186" s="3"/>
    </row>
    <row r="8187" spans="1:8">
      <c r="A8187" s="3">
        <v>901787</v>
      </c>
      <c r="B8187" s="7" t="s">
        <v>253</v>
      </c>
      <c r="C8187" s="100" t="s">
        <v>32</v>
      </c>
      <c r="D8187" s="6">
        <v>45976</v>
      </c>
      <c r="E8187" s="3" t="str">
        <f ca="1">IF(Tabela2[[#This Row],[Dt Venc:]]&gt;TODAY(),"Em Aberto",IF(Tabela2[[#This Row],[D/venc]]="-","Enviado",IF(Tabela2[[#This Row],[Dt Venc:]]=TODAY(),"Vence Hoje","Vencida")))</f>
        <v>Em Aberto</v>
      </c>
      <c r="F8187" s="3">
        <f ca="1">IF(G8187=1,"-",Tabela2[[#This Row],[Dt Venc:]]-TODAY())</f>
        <v>283</v>
      </c>
      <c r="G8187" s="3"/>
      <c r="H8187" s="3"/>
    </row>
    <row r="8188" spans="1:8">
      <c r="A8188" s="3">
        <v>901788</v>
      </c>
      <c r="B8188" s="7" t="s">
        <v>253</v>
      </c>
      <c r="C8188" s="100" t="s">
        <v>32</v>
      </c>
      <c r="D8188" s="6">
        <v>45976</v>
      </c>
      <c r="E8188" s="3" t="str">
        <f ca="1">IF(Tabela2[[#This Row],[Dt Venc:]]&gt;TODAY(),"Em Aberto",IF(Tabela2[[#This Row],[D/venc]]="-","Enviado",IF(Tabela2[[#This Row],[Dt Venc:]]=TODAY(),"Vence Hoje","Vencida")))</f>
        <v>Em Aberto</v>
      </c>
      <c r="F8188" s="3">
        <f ca="1">IF(G8188=1,"-",Tabela2[[#This Row],[Dt Venc:]]-TODAY())</f>
        <v>283</v>
      </c>
      <c r="G8188" s="3"/>
      <c r="H8188" s="3"/>
    </row>
    <row r="8189" spans="1:8">
      <c r="A8189" s="3">
        <v>901789</v>
      </c>
      <c r="B8189" s="7" t="s">
        <v>253</v>
      </c>
      <c r="C8189" s="100" t="s">
        <v>32</v>
      </c>
      <c r="D8189" s="6">
        <v>45976</v>
      </c>
      <c r="E8189" s="3" t="str">
        <f ca="1">IF(Tabela2[[#This Row],[Dt Venc:]]&gt;TODAY(),"Em Aberto",IF(Tabela2[[#This Row],[D/venc]]="-","Enviado",IF(Tabela2[[#This Row],[Dt Venc:]]=TODAY(),"Vence Hoje","Vencida")))</f>
        <v>Em Aberto</v>
      </c>
      <c r="F8189" s="3">
        <f ca="1">IF(G8189=1,"-",Tabela2[[#This Row],[Dt Venc:]]-TODAY())</f>
        <v>283</v>
      </c>
      <c r="G8189" s="3"/>
      <c r="H8189" s="3"/>
    </row>
    <row r="8190" spans="1:8">
      <c r="A8190" s="3">
        <v>912703</v>
      </c>
      <c r="B8190" s="7" t="s">
        <v>253</v>
      </c>
      <c r="C8190" s="100" t="s">
        <v>32</v>
      </c>
      <c r="D8190" s="6">
        <v>45976</v>
      </c>
      <c r="E8190" s="3" t="str">
        <f ca="1">IF(Tabela2[[#This Row],[Dt Venc:]]&gt;TODAY(),"Em Aberto",IF(Tabela2[[#This Row],[D/venc]]="-","Enviado",IF(Tabela2[[#This Row],[Dt Venc:]]=TODAY(),"Vence Hoje","Vencida")))</f>
        <v>Em Aberto</v>
      </c>
      <c r="F8190" s="3">
        <f ca="1">IF(G8190=1,"-",Tabela2[[#This Row],[Dt Venc:]]-TODAY())</f>
        <v>283</v>
      </c>
      <c r="G8190" s="3"/>
      <c r="H8190" s="3"/>
    </row>
    <row r="8191" spans="1:8">
      <c r="A8191" s="3">
        <v>912704</v>
      </c>
      <c r="B8191" s="7" t="s">
        <v>253</v>
      </c>
      <c r="C8191" s="100" t="s">
        <v>32</v>
      </c>
      <c r="D8191" s="6">
        <v>45976</v>
      </c>
      <c r="E8191" s="3" t="str">
        <f ca="1">IF(Tabela2[[#This Row],[Dt Venc:]]&gt;TODAY(),"Em Aberto",IF(Tabela2[[#This Row],[D/venc]]="-","Enviado",IF(Tabela2[[#This Row],[Dt Venc:]]=TODAY(),"Vence Hoje","Vencida")))</f>
        <v>Em Aberto</v>
      </c>
      <c r="F8191" s="3">
        <f ca="1">IF(G8191=1,"-",Tabela2[[#This Row],[Dt Venc:]]-TODAY())</f>
        <v>283</v>
      </c>
      <c r="G8191" s="3"/>
      <c r="H8191" s="3"/>
    </row>
    <row r="8192" spans="1:8">
      <c r="A8192" s="3">
        <v>919728</v>
      </c>
      <c r="B8192" s="7" t="s">
        <v>253</v>
      </c>
      <c r="C8192" s="87" t="s">
        <v>32</v>
      </c>
      <c r="D8192" s="6">
        <v>45976</v>
      </c>
      <c r="E8192" s="3" t="str">
        <f ca="1">IF(Tabela2[[#This Row],[Dt Venc:]]&gt;TODAY(),"Em Aberto",IF(Tabela2[[#This Row],[D/venc]]="-","Enviado",IF(Tabela2[[#This Row],[Dt Venc:]]=TODAY(),"Vence Hoje","Vencida")))</f>
        <v>Em Aberto</v>
      </c>
      <c r="F8192" s="3">
        <f ca="1">IF(G8192=1,"-",Tabela2[[#This Row],[Dt Venc:]]-TODAY())</f>
        <v>283</v>
      </c>
      <c r="G8192" s="3"/>
      <c r="H8192" s="3"/>
    </row>
    <row r="8193" spans="1:8">
      <c r="A8193" s="3">
        <v>919729</v>
      </c>
      <c r="B8193" s="7" t="s">
        <v>253</v>
      </c>
      <c r="C8193" s="87" t="s">
        <v>32</v>
      </c>
      <c r="D8193" s="6">
        <v>45976</v>
      </c>
      <c r="E8193" s="3" t="str">
        <f ca="1">IF(Tabela2[[#This Row],[Dt Venc:]]&gt;TODAY(),"Em Aberto",IF(Tabela2[[#This Row],[D/venc]]="-","Enviado",IF(Tabela2[[#This Row],[Dt Venc:]]=TODAY(),"Vence Hoje","Vencida")))</f>
        <v>Em Aberto</v>
      </c>
      <c r="F8193" s="3">
        <f ca="1">IF(G8193=1,"-",Tabela2[[#This Row],[Dt Venc:]]-TODAY())</f>
        <v>283</v>
      </c>
      <c r="G8193" s="3"/>
      <c r="H8193" s="3"/>
    </row>
    <row r="8194" spans="1:8">
      <c r="A8194" s="3">
        <v>37196</v>
      </c>
      <c r="B8194" s="7" t="s">
        <v>167</v>
      </c>
      <c r="C8194" s="87" t="s">
        <v>32</v>
      </c>
      <c r="D8194" s="6">
        <v>45978</v>
      </c>
      <c r="E8194" s="3" t="str">
        <f ca="1">IF(Tabela2[[#This Row],[Dt Venc:]]&gt;TODAY(),"Em Aberto",IF(Tabela2[[#This Row],[D/venc]]="-","Enviado",IF(Tabela2[[#This Row],[Dt Venc:]]=TODAY(),"Vence Hoje","Vencida")))</f>
        <v>Em Aberto</v>
      </c>
      <c r="F8194" s="3">
        <f ca="1">IF(G8194=1,"-",Tabela2[[#This Row],[Dt Venc:]]-TODAY())</f>
        <v>285</v>
      </c>
      <c r="G8194" s="3"/>
      <c r="H8194" s="3"/>
    </row>
    <row r="8195" spans="1:8">
      <c r="A8195" s="3">
        <v>37300</v>
      </c>
      <c r="B8195" s="7" t="s">
        <v>167</v>
      </c>
      <c r="C8195" s="100" t="s">
        <v>32</v>
      </c>
      <c r="D8195" s="6">
        <v>45978</v>
      </c>
      <c r="E8195" s="3" t="str">
        <f ca="1">IF(Tabela2[[#This Row],[Dt Venc:]]&gt;TODAY(),"Em Aberto",IF(Tabela2[[#This Row],[D/venc]]="-","Enviado",IF(Tabela2[[#This Row],[Dt Venc:]]=TODAY(),"Vence Hoje","Vencida")))</f>
        <v>Em Aberto</v>
      </c>
      <c r="F8195" s="3">
        <f ca="1">IF(G8195=1,"-",Tabela2[[#This Row],[Dt Venc:]]-TODAY())</f>
        <v>285</v>
      </c>
      <c r="G8195" s="3"/>
      <c r="H8195" s="3"/>
    </row>
    <row r="8196" spans="1:8">
      <c r="A8196" s="3">
        <v>37348</v>
      </c>
      <c r="B8196" s="7" t="s">
        <v>167</v>
      </c>
      <c r="C8196" s="99" t="s">
        <v>32</v>
      </c>
      <c r="D8196" s="6">
        <v>45983</v>
      </c>
      <c r="E8196" s="3" t="str">
        <f ca="1">IF(Tabela2[[#This Row],[Dt Venc:]]&gt;TODAY(),"Em Aberto",IF(Tabela2[[#This Row],[D/venc]]="-","Enviado",IF(Tabela2[[#This Row],[Dt Venc:]]=TODAY(),"Vence Hoje","Vencida")))</f>
        <v>Em Aberto</v>
      </c>
      <c r="F8196" s="3">
        <f ca="1">IF(G8196=1,"-",Tabela2[[#This Row],[Dt Venc:]]-TODAY())</f>
        <v>290</v>
      </c>
      <c r="G8196" s="3"/>
      <c r="H8196" s="3"/>
    </row>
    <row r="8197" spans="1:8">
      <c r="A8197" s="3">
        <v>654537</v>
      </c>
      <c r="B8197" s="7" t="s">
        <v>648</v>
      </c>
      <c r="C8197" s="87" t="s">
        <v>32</v>
      </c>
      <c r="D8197" s="6">
        <v>45984</v>
      </c>
      <c r="E8197" s="3" t="str">
        <f ca="1">IF(Tabela2[[#This Row],[Dt Venc:]]&gt;TODAY(),"Em Aberto",IF(Tabela2[[#This Row],[D/venc]]="-","Enviado",IF(Tabela2[[#This Row],[Dt Venc:]]=TODAY(),"Vence Hoje","Vencida")))</f>
        <v>Em Aberto</v>
      </c>
      <c r="F8197" s="3">
        <f ca="1">IF(G8197=1,"-",Tabela2[[#This Row],[Dt Venc:]]-TODAY())</f>
        <v>291</v>
      </c>
      <c r="G8197" s="3"/>
      <c r="H8197" s="3"/>
    </row>
    <row r="8198" spans="1:8">
      <c r="A8198" s="3">
        <v>495914</v>
      </c>
      <c r="B8198" s="7" t="s">
        <v>153</v>
      </c>
      <c r="C8198" s="99" t="s">
        <v>32</v>
      </c>
      <c r="D8198" s="6">
        <v>45986</v>
      </c>
      <c r="E8198" s="3" t="str">
        <f ca="1">IF(Tabela2[[#This Row],[Dt Venc:]]&gt;TODAY(),"Em Aberto",IF(Tabela2[[#This Row],[D/venc]]="-","Enviado",IF(Tabela2[[#This Row],[Dt Venc:]]=TODAY(),"Vence Hoje","Vencida")))</f>
        <v>Em Aberto</v>
      </c>
      <c r="F8198" s="3">
        <f ca="1">IF(G8198=1,"-",Tabela2[[#This Row],[Dt Venc:]]-TODAY())</f>
        <v>293</v>
      </c>
      <c r="G8198" s="3"/>
      <c r="H8198" s="3"/>
    </row>
    <row r="8199" spans="1:8">
      <c r="A8199" s="3">
        <v>5690</v>
      </c>
      <c r="B8199" s="7" t="s">
        <v>122</v>
      </c>
      <c r="C8199" s="100" t="s">
        <v>32</v>
      </c>
      <c r="D8199" s="6">
        <v>45988</v>
      </c>
      <c r="E8199" s="3" t="str">
        <f ca="1">IF(Tabela2[[#This Row],[Dt Venc:]]&gt;TODAY(),"Em Aberto",IF(Tabela2[[#This Row],[D/venc]]="-","Enviado",IF(Tabela2[[#This Row],[Dt Venc:]]=TODAY(),"Vence Hoje","Vencida")))</f>
        <v>Em Aberto</v>
      </c>
      <c r="F8199" s="3">
        <f ca="1">IF(G8199=1,"-",Tabela2[[#This Row],[Dt Venc:]]-TODAY())</f>
        <v>295</v>
      </c>
      <c r="G8199" s="3"/>
      <c r="H8199" s="3"/>
    </row>
    <row r="8200" spans="1:8">
      <c r="A8200" s="3" t="s">
        <v>110</v>
      </c>
      <c r="B8200" s="7" t="s">
        <v>373</v>
      </c>
      <c r="C8200" s="42" t="s">
        <v>32</v>
      </c>
      <c r="D8200" s="6">
        <v>45989</v>
      </c>
      <c r="E8200" s="3" t="str">
        <f ca="1">IF(Tabela2[[#This Row],[Dt Venc:]]&gt;TODAY(),"Em Aberto",IF(Tabela2[[#This Row],[D/venc]]="-","Enviado",IF(Tabela2[[#This Row],[Dt Venc:]]=TODAY(),"Vence Hoje","Vencida")))</f>
        <v>Em Aberto</v>
      </c>
      <c r="F8200" s="3">
        <f ca="1">IF(G8200=1,"-",Tabela2[[#This Row],[Dt Venc:]]-TODAY())</f>
        <v>296</v>
      </c>
      <c r="G8200" s="3"/>
      <c r="H8200" s="3"/>
    </row>
    <row r="8201" spans="1:8">
      <c r="A8201" s="3">
        <v>912180</v>
      </c>
      <c r="B8201" s="7" t="s">
        <v>375</v>
      </c>
      <c r="C8201" s="100" t="s">
        <v>32</v>
      </c>
      <c r="D8201" s="6">
        <v>45990</v>
      </c>
      <c r="E8201" s="3" t="str">
        <f ca="1">IF(Tabela2[[#This Row],[Dt Venc:]]&gt;TODAY(),"Em Aberto",IF(Tabela2[[#This Row],[D/venc]]="-","Enviado",IF(Tabela2[[#This Row],[Dt Venc:]]=TODAY(),"Vence Hoje","Vencida")))</f>
        <v>Em Aberto</v>
      </c>
      <c r="F8201" s="3">
        <f ca="1">IF(G8201=1,"-",Tabela2[[#This Row],[Dt Venc:]]-TODAY())</f>
        <v>297</v>
      </c>
      <c r="G8201" s="3"/>
      <c r="H8201" s="3" t="s">
        <v>732</v>
      </c>
    </row>
    <row r="8202" spans="1:8">
      <c r="A8202" s="3">
        <v>11681</v>
      </c>
      <c r="B8202" s="7" t="s">
        <v>82</v>
      </c>
      <c r="C8202" s="87" t="s">
        <v>30</v>
      </c>
      <c r="D8202" s="6">
        <v>45991</v>
      </c>
      <c r="E8202" s="3" t="str">
        <f ca="1">IF(Tabela2[[#This Row],[Dt Venc:]]&gt;TODAY(),"Em Aberto",IF(Tabela2[[#This Row],[D/venc]]="-","Enviado",IF(Tabela2[[#This Row],[Dt Venc:]]=TODAY(),"Vence Hoje","Vencida")))</f>
        <v>Em Aberto</v>
      </c>
      <c r="F8202" s="3">
        <f ca="1">IF(G8202=1,"-",Tabela2[[#This Row],[Dt Venc:]]-TODAY())</f>
        <v>298</v>
      </c>
      <c r="G8202" s="3"/>
      <c r="H8202" s="3"/>
    </row>
    <row r="8203" spans="1:8">
      <c r="A8203" s="3" t="s">
        <v>28</v>
      </c>
      <c r="B8203" s="7" t="s">
        <v>391</v>
      </c>
      <c r="C8203" s="85" t="s">
        <v>30</v>
      </c>
      <c r="D8203" s="6">
        <v>45991</v>
      </c>
      <c r="E8203" s="3" t="str">
        <f ca="1">IF(Tabela2[[#This Row],[Dt Venc:]]&gt;TODAY(),"Em Aberto",IF(Tabela2[[#This Row],[D/venc]]="-","Enviado",IF(Tabela2[[#This Row],[Dt Venc:]]=TODAY(),"Vence Hoje","Vencida")))</f>
        <v>Em Aberto</v>
      </c>
      <c r="F8203" s="3">
        <f ca="1">IF(G8203=1,"-",Tabela2[[#This Row],[Dt Venc:]]-TODAY())</f>
        <v>298</v>
      </c>
      <c r="G8203" s="3"/>
      <c r="H8203" s="3"/>
    </row>
    <row r="8204" spans="1:8">
      <c r="A8204" s="3" t="s">
        <v>123</v>
      </c>
      <c r="B8204" s="7" t="s">
        <v>386</v>
      </c>
      <c r="C8204" s="87" t="s">
        <v>32</v>
      </c>
      <c r="D8204" s="6">
        <v>45991</v>
      </c>
      <c r="E8204" s="3" t="str">
        <f ca="1">IF(Tabela2[[#This Row],[Dt Venc:]]&gt;TODAY(),"Em Aberto",IF(Tabela2[[#This Row],[D/venc]]="-","Enviado",IF(Tabela2[[#This Row],[Dt Venc:]]=TODAY(),"Vence Hoje","Vencida")))</f>
        <v>Em Aberto</v>
      </c>
      <c r="F8204" s="3">
        <f ca="1">IF(G8204=1,"-",Tabela2[[#This Row],[Dt Venc:]]-TODAY())</f>
        <v>298</v>
      </c>
      <c r="G8204" s="3"/>
      <c r="H8204" s="3"/>
    </row>
    <row r="8205" spans="1:8">
      <c r="A8205" s="3" t="s">
        <v>110</v>
      </c>
      <c r="B8205" s="7" t="s">
        <v>395</v>
      </c>
      <c r="C8205" s="42" t="s">
        <v>32</v>
      </c>
      <c r="D8205" s="6">
        <v>45992</v>
      </c>
      <c r="E8205" s="3" t="str">
        <f ca="1">IF(Tabela2[[#This Row],[Dt Venc:]]&gt;TODAY(),"Em Aberto",IF(Tabela2[[#This Row],[D/venc]]="-","Enviado",IF(Tabela2[[#This Row],[Dt Venc:]]=TODAY(),"Vence Hoje","Vencida")))</f>
        <v>Em Aberto</v>
      </c>
      <c r="F8205" s="3">
        <f ca="1">IF(G8205=1,"-",Tabela2[[#This Row],[Dt Venc:]]-TODAY())</f>
        <v>299</v>
      </c>
      <c r="G8205" s="3"/>
      <c r="H8205" s="3"/>
    </row>
    <row r="8206" spans="1:8">
      <c r="A8206" s="3">
        <v>36910</v>
      </c>
      <c r="B8206" s="7" t="s">
        <v>167</v>
      </c>
      <c r="C8206" s="100" t="s">
        <v>32</v>
      </c>
      <c r="D8206" s="6">
        <v>45992</v>
      </c>
      <c r="E8206" s="3" t="str">
        <f ca="1">IF(Tabela2[[#This Row],[Dt Venc:]]&gt;TODAY(),"Em Aberto",IF(Tabela2[[#This Row],[D/venc]]="-","Enviado",IF(Tabela2[[#This Row],[Dt Venc:]]=TODAY(),"Vence Hoje","Vencida")))</f>
        <v>Em Aberto</v>
      </c>
      <c r="F8206" s="3">
        <f ca="1">IF(G8206=1,"-",Tabela2[[#This Row],[Dt Venc:]]-TODAY())</f>
        <v>299</v>
      </c>
      <c r="G8206" s="3"/>
      <c r="H8206" s="3"/>
    </row>
    <row r="8207" spans="1:8">
      <c r="A8207" s="3">
        <v>10494</v>
      </c>
      <c r="B8207" s="7" t="s">
        <v>82</v>
      </c>
      <c r="C8207" s="88" t="s">
        <v>30</v>
      </c>
      <c r="D8207" s="6">
        <v>45994</v>
      </c>
      <c r="E8207" s="3" t="str">
        <f ca="1">IF(Tabela2[[#This Row],[Dt Venc:]]&gt;TODAY(),"Em Aberto",IF(Tabela2[[#This Row],[D/venc]]="-","Enviado",IF(Tabela2[[#This Row],[Dt Venc:]]=TODAY(),"Vence Hoje","Vencida")))</f>
        <v>Em Aberto</v>
      </c>
      <c r="F8207" s="3">
        <f ca="1">IF(G8207=1,"-",Tabela2[[#This Row],[Dt Venc:]]-TODAY())</f>
        <v>301</v>
      </c>
      <c r="G8207" s="3"/>
      <c r="H8207" s="3"/>
    </row>
    <row r="8208" spans="1:8">
      <c r="A8208" s="3">
        <v>5680</v>
      </c>
      <c r="B8208" s="7" t="s">
        <v>122</v>
      </c>
      <c r="C8208" s="99" t="s">
        <v>32</v>
      </c>
      <c r="D8208" s="6">
        <v>45996</v>
      </c>
      <c r="E8208" s="3" t="str">
        <f ca="1">IF(Tabela2[[#This Row],[Dt Venc:]]&gt;TODAY(),"Em Aberto",IF(Tabela2[[#This Row],[D/venc]]="-","Enviado",IF(Tabela2[[#This Row],[Dt Venc:]]=TODAY(),"Vence Hoje","Vencida")))</f>
        <v>Em Aberto</v>
      </c>
      <c r="F8208" s="3">
        <f ca="1">IF(G8208=1,"-",Tabela2[[#This Row],[Dt Venc:]]-TODAY())</f>
        <v>303</v>
      </c>
      <c r="G8208" s="3"/>
      <c r="H8208" s="3"/>
    </row>
    <row r="8209" spans="1:8">
      <c r="A8209" s="3">
        <v>10353</v>
      </c>
      <c r="B8209" s="7" t="s">
        <v>82</v>
      </c>
      <c r="C8209" s="99" t="s">
        <v>32</v>
      </c>
      <c r="D8209" s="6">
        <v>45996</v>
      </c>
      <c r="E8209" s="3" t="str">
        <f ca="1">IF(Tabela2[[#This Row],[Dt Venc:]]&gt;TODAY(),"Em Aberto",IF(Tabela2[[#This Row],[D/venc]]="-","Enviado",IF(Tabela2[[#This Row],[Dt Venc:]]=TODAY(),"Vence Hoje","Vencida")))</f>
        <v>Em Aberto</v>
      </c>
      <c r="F8209" s="3">
        <f ca="1">IF(G8209=1,"-",Tabela2[[#This Row],[Dt Venc:]]-TODAY())</f>
        <v>303</v>
      </c>
      <c r="G8209" s="3"/>
      <c r="H8209" s="3"/>
    </row>
    <row r="8210" spans="1:8">
      <c r="A8210" s="3" t="s">
        <v>123</v>
      </c>
      <c r="B8210" s="7" t="s">
        <v>503</v>
      </c>
      <c r="C8210" s="87" t="s">
        <v>32</v>
      </c>
      <c r="D8210" s="6">
        <v>45996</v>
      </c>
      <c r="E8210" s="3" t="str">
        <f ca="1">IF(Tabela2[[#This Row],[Dt Venc:]]&gt;TODAY(),"Em Aberto",IF(Tabela2[[#This Row],[D/venc]]="-","Enviado",IF(Tabela2[[#This Row],[Dt Venc:]]=TODAY(),"Vence Hoje","Vencida")))</f>
        <v>Em Aberto</v>
      </c>
      <c r="F8210" s="3">
        <f ca="1">IF(G8210=1,"-",Tabela2[[#This Row],[Dt Venc:]]-TODAY())</f>
        <v>303</v>
      </c>
      <c r="G8210" s="3"/>
      <c r="H8210" s="3"/>
    </row>
    <row r="8211" spans="1:8">
      <c r="A8211" s="3">
        <v>11122</v>
      </c>
      <c r="B8211" s="7" t="s">
        <v>33</v>
      </c>
      <c r="C8211" s="41">
        <v>400</v>
      </c>
      <c r="D8211" s="6">
        <v>45998</v>
      </c>
      <c r="E8211" s="3" t="str">
        <f ca="1">IF(Tabela2[[#This Row],[Dt Venc:]]&gt;TODAY(),"Em Aberto",IF(Tabela2[[#This Row],[D/venc]]="-","Enviado",IF(Tabela2[[#This Row],[Dt Venc:]]=TODAY(),"Vence Hoje","Vencida")))</f>
        <v>Em Aberto</v>
      </c>
      <c r="F8211" s="3">
        <f ca="1">IF(G8211=1,"-",Tabela2[[#This Row],[Dt Venc:]]-TODAY())</f>
        <v>305</v>
      </c>
      <c r="G8211" s="3"/>
      <c r="H8211" s="3"/>
    </row>
    <row r="8212" spans="1:8">
      <c r="A8212" s="3">
        <v>284620</v>
      </c>
      <c r="B8212" s="7" t="s">
        <v>153</v>
      </c>
      <c r="C8212" s="99" t="s">
        <v>32</v>
      </c>
      <c r="D8212" s="6">
        <v>45999</v>
      </c>
      <c r="E8212" s="3" t="str">
        <f ca="1">IF(Tabela2[[#This Row],[Dt Venc:]]&gt;TODAY(),"Em Aberto",IF(Tabela2[[#This Row],[D/venc]]="-","Enviado",IF(Tabela2[[#This Row],[Dt Venc:]]=TODAY(),"Vence Hoje","Vencida")))</f>
        <v>Em Aberto</v>
      </c>
      <c r="F8212" s="3">
        <f ca="1">IF(G8212=1,"-",Tabela2[[#This Row],[Dt Venc:]]-TODAY())</f>
        <v>306</v>
      </c>
      <c r="G8212" s="3"/>
      <c r="H8212" s="3"/>
    </row>
    <row r="8213" spans="1:8">
      <c r="A8213" s="3">
        <v>36949</v>
      </c>
      <c r="B8213" s="7" t="s">
        <v>167</v>
      </c>
      <c r="C8213" s="99" t="s">
        <v>32</v>
      </c>
      <c r="D8213" s="6">
        <v>46000</v>
      </c>
      <c r="E8213" s="3" t="str">
        <f ca="1">IF(Tabela2[[#This Row],[Dt Venc:]]&gt;TODAY(),"Em Aberto",IF(Tabela2[[#This Row],[D/venc]]="-","Enviado",IF(Tabela2[[#This Row],[Dt Venc:]]=TODAY(),"Vence Hoje","Vencida")))</f>
        <v>Em Aberto</v>
      </c>
      <c r="F8213" s="3">
        <f ca="1">IF(G8213=1,"-",Tabela2[[#This Row],[Dt Venc:]]-TODAY())</f>
        <v>307</v>
      </c>
      <c r="G8213" s="3"/>
      <c r="H8213" s="3"/>
    </row>
    <row r="8214" spans="1:8">
      <c r="A8214" s="3">
        <v>756561</v>
      </c>
      <c r="B8214" s="7" t="s">
        <v>166</v>
      </c>
      <c r="C8214" s="99" t="s">
        <v>32</v>
      </c>
      <c r="D8214" s="6">
        <v>46000</v>
      </c>
      <c r="E8214" s="3" t="str">
        <f ca="1">IF(Tabela2[[#This Row],[Dt Venc:]]&gt;TODAY(),"Em Aberto",IF(Tabela2[[#This Row],[D/venc]]="-","Enviado",IF(Tabela2[[#This Row],[Dt Venc:]]=TODAY(),"Vence Hoje","Vencida")))</f>
        <v>Em Aberto</v>
      </c>
      <c r="F8214" s="3">
        <f ca="1">IF(G8214=1,"-",Tabela2[[#This Row],[Dt Venc:]]-TODAY())</f>
        <v>307</v>
      </c>
      <c r="G8214" s="3"/>
      <c r="H8214" s="3"/>
    </row>
    <row r="8215" spans="1:8">
      <c r="A8215" s="3" t="s">
        <v>179</v>
      </c>
      <c r="B8215" s="7" t="s">
        <v>180</v>
      </c>
      <c r="C8215" s="99" t="s">
        <v>32</v>
      </c>
      <c r="D8215" s="6">
        <v>46000</v>
      </c>
      <c r="E8215" s="3" t="str">
        <f ca="1">IF(Tabela2[[#This Row],[Dt Venc:]]&gt;TODAY(),"Em Aberto",IF(Tabela2[[#This Row],[D/venc]]="-","Enviado",IF(Tabela2[[#This Row],[Dt Venc:]]=TODAY(),"Vence Hoje","Vencida")))</f>
        <v>Em Aberto</v>
      </c>
      <c r="F8215" s="3">
        <f ca="1">IF(G8215=1,"-",Tabela2[[#This Row],[Dt Venc:]]-TODAY())</f>
        <v>307</v>
      </c>
      <c r="G8215" s="3"/>
      <c r="H8215" s="3"/>
    </row>
    <row r="8216" spans="1:8">
      <c r="A8216" s="3" t="s">
        <v>123</v>
      </c>
      <c r="B8216" s="7" t="s">
        <v>418</v>
      </c>
      <c r="C8216" s="42" t="s">
        <v>32</v>
      </c>
      <c r="D8216" s="6">
        <v>46001</v>
      </c>
      <c r="E8216" s="3" t="str">
        <f ca="1">IF(Tabela2[[#This Row],[Dt Venc:]]&gt;TODAY(),"Em Aberto",IF(Tabela2[[#This Row],[D/venc]]="-","Enviado",IF(Tabela2[[#This Row],[Dt Venc:]]=TODAY(),"Vence Hoje","Vencida")))</f>
        <v>Em Aberto</v>
      </c>
      <c r="F8216" s="3">
        <f ca="1">IF(G8216=1,"-",Tabela2[[#This Row],[Dt Venc:]]-TODAY())</f>
        <v>308</v>
      </c>
      <c r="G8216" s="3"/>
      <c r="H8216" s="3"/>
    </row>
    <row r="8217" spans="1:8">
      <c r="A8217" s="3" t="s">
        <v>179</v>
      </c>
      <c r="B8217" s="7" t="s">
        <v>190</v>
      </c>
      <c r="C8217" s="99" t="s">
        <v>32</v>
      </c>
      <c r="D8217" s="6">
        <v>46001</v>
      </c>
      <c r="E8217" s="3" t="str">
        <f ca="1">IF(Tabela2[[#This Row],[Dt Venc:]]&gt;TODAY(),"Em Aberto",IF(Tabela2[[#This Row],[D/venc]]="-","Enviado",IF(Tabela2[[#This Row],[Dt Venc:]]=TODAY(),"Vence Hoje","Vencida")))</f>
        <v>Em Aberto</v>
      </c>
      <c r="F8217" s="3">
        <f ca="1">IF(G8217=1,"-",Tabela2[[#This Row],[Dt Venc:]]-TODAY())</f>
        <v>308</v>
      </c>
      <c r="G8217" s="3"/>
      <c r="H8217" s="3"/>
    </row>
    <row r="8218" spans="1:8">
      <c r="A8218" s="3">
        <v>37292</v>
      </c>
      <c r="B8218" s="7" t="s">
        <v>167</v>
      </c>
      <c r="C8218" s="99" t="s">
        <v>32</v>
      </c>
      <c r="D8218" s="6">
        <v>46002</v>
      </c>
      <c r="E8218" s="3" t="str">
        <f ca="1">IF(Tabela2[[#This Row],[Dt Venc:]]&gt;TODAY(),"Em Aberto",IF(Tabela2[[#This Row],[D/venc]]="-","Enviado",IF(Tabela2[[#This Row],[Dt Venc:]]=TODAY(),"Vence Hoje","Vencida")))</f>
        <v>Em Aberto</v>
      </c>
      <c r="F8218" s="3">
        <f ca="1">IF(G8218=1,"-",Tabela2[[#This Row],[Dt Venc:]]-TODAY())</f>
        <v>309</v>
      </c>
      <c r="G8218" s="3"/>
      <c r="H8218" s="3"/>
    </row>
    <row r="8219" spans="1:8">
      <c r="A8219" s="3">
        <v>37327</v>
      </c>
      <c r="B8219" s="7" t="s">
        <v>167</v>
      </c>
      <c r="C8219" s="99" t="s">
        <v>32</v>
      </c>
      <c r="D8219" s="6">
        <v>46002</v>
      </c>
      <c r="E8219" s="3" t="str">
        <f ca="1">IF(Tabela2[[#This Row],[Dt Venc:]]&gt;TODAY(),"Em Aberto",IF(Tabela2[[#This Row],[D/venc]]="-","Enviado",IF(Tabela2[[#This Row],[Dt Venc:]]=TODAY(),"Vence Hoje","Vencida")))</f>
        <v>Em Aberto</v>
      </c>
      <c r="F8219" s="3">
        <f ca="1">IF(G8219=1,"-",Tabela2[[#This Row],[Dt Venc:]]-TODAY())</f>
        <v>309</v>
      </c>
      <c r="G8219" s="3"/>
      <c r="H8219" s="3"/>
    </row>
    <row r="8220" spans="1:8">
      <c r="A8220" s="3">
        <v>562</v>
      </c>
      <c r="B8220" s="7" t="s">
        <v>251</v>
      </c>
      <c r="C8220" s="99" t="s">
        <v>32</v>
      </c>
      <c r="D8220" s="6">
        <v>46006</v>
      </c>
      <c r="E8220" s="3" t="str">
        <f ca="1">IF(Tabela2[[#This Row],[Dt Venc:]]&gt;TODAY(),"Em Aberto",IF(Tabela2[[#This Row],[D/venc]]="-","Enviado",IF(Tabela2[[#This Row],[Dt Venc:]]=TODAY(),"Vence Hoje","Vencida")))</f>
        <v>Em Aberto</v>
      </c>
      <c r="F8220" s="3">
        <f ca="1">IF(G8220=1,"-",Tabela2[[#This Row],[Dt Venc:]]-TODAY())</f>
        <v>313</v>
      </c>
      <c r="G8220" s="3"/>
      <c r="H8220" s="3"/>
    </row>
    <row r="8221" spans="1:8">
      <c r="A8221" s="3">
        <v>36846</v>
      </c>
      <c r="B8221" s="7" t="s">
        <v>167</v>
      </c>
      <c r="C8221" s="99" t="s">
        <v>32</v>
      </c>
      <c r="D8221" s="6">
        <v>46006</v>
      </c>
      <c r="E8221" s="3" t="str">
        <f ca="1">IF(Tabela2[[#This Row],[Dt Venc:]]&gt;TODAY(),"Em Aberto",IF(Tabela2[[#This Row],[D/venc]]="-","Enviado",IF(Tabela2[[#This Row],[Dt Venc:]]=TODAY(),"Vence Hoje","Vencida")))</f>
        <v>Em Aberto</v>
      </c>
      <c r="F8221" s="3">
        <f ca="1">IF(G8221=1,"-",Tabela2[[#This Row],[Dt Venc:]]-TODAY())</f>
        <v>313</v>
      </c>
      <c r="G8221" s="3"/>
      <c r="H8221" s="3"/>
    </row>
    <row r="8222" spans="1:8">
      <c r="A8222" s="3">
        <v>103015</v>
      </c>
      <c r="B8222" s="7" t="s">
        <v>252</v>
      </c>
      <c r="C8222" s="99" t="s">
        <v>32</v>
      </c>
      <c r="D8222" s="6">
        <v>46006</v>
      </c>
      <c r="E8222" s="3" t="str">
        <f ca="1">IF(Tabela2[[#This Row],[Dt Venc:]]&gt;TODAY(),"Em Aberto",IF(Tabela2[[#This Row],[D/venc]]="-","Enviado",IF(Tabela2[[#This Row],[Dt Venc:]]=TODAY(),"Vence Hoje","Vencida")))</f>
        <v>Em Aberto</v>
      </c>
      <c r="F8222" s="3">
        <f ca="1">IF(G8222=1,"-",Tabela2[[#This Row],[Dt Venc:]]-TODAY())</f>
        <v>313</v>
      </c>
      <c r="G8222" s="3"/>
      <c r="H8222" s="3"/>
    </row>
    <row r="8223" spans="1:8">
      <c r="A8223" s="3">
        <v>103077</v>
      </c>
      <c r="B8223" s="7" t="s">
        <v>252</v>
      </c>
      <c r="C8223" s="99" t="s">
        <v>32</v>
      </c>
      <c r="D8223" s="6">
        <v>46006</v>
      </c>
      <c r="E8223" s="3" t="str">
        <f ca="1">IF(Tabela2[[#This Row],[Dt Venc:]]&gt;TODAY(),"Em Aberto",IF(Tabela2[[#This Row],[D/venc]]="-","Enviado",IF(Tabela2[[#This Row],[Dt Venc:]]=TODAY(),"Vence Hoje","Vencida")))</f>
        <v>Em Aberto</v>
      </c>
      <c r="F8223" s="3">
        <f ca="1">IF(G8223=1,"-",Tabela2[[#This Row],[Dt Venc:]]-TODAY())</f>
        <v>313</v>
      </c>
      <c r="G8223" s="3"/>
      <c r="H8223" s="3"/>
    </row>
    <row r="8224" spans="1:8">
      <c r="A8224" s="3">
        <v>103153</v>
      </c>
      <c r="B8224" s="7" t="s">
        <v>252</v>
      </c>
      <c r="C8224" s="85" t="s">
        <v>32</v>
      </c>
      <c r="D8224" s="6">
        <v>46006</v>
      </c>
      <c r="E8224" s="3" t="str">
        <f ca="1">IF(Tabela2[[#This Row],[Dt Venc:]]&gt;TODAY(),"Em Aberto",IF(Tabela2[[#This Row],[D/venc]]="-","Enviado",IF(Tabela2[[#This Row],[Dt Venc:]]=TODAY(),"Vence Hoje","Vencida")))</f>
        <v>Em Aberto</v>
      </c>
      <c r="F8224" s="3">
        <f ca="1">IF(G8224=1,"-",Tabela2[[#This Row],[Dt Venc:]]-TODAY())</f>
        <v>313</v>
      </c>
      <c r="G8224" s="3"/>
      <c r="H8224" s="3"/>
    </row>
    <row r="8225" spans="1:8">
      <c r="A8225" s="3">
        <v>103154</v>
      </c>
      <c r="B8225" s="7" t="s">
        <v>252</v>
      </c>
      <c r="C8225" s="99" t="s">
        <v>32</v>
      </c>
      <c r="D8225" s="6">
        <v>46006</v>
      </c>
      <c r="E8225" s="3" t="str">
        <f ca="1">IF(Tabela2[[#This Row],[Dt Venc:]]&gt;TODAY(),"Em Aberto",IF(Tabela2[[#This Row],[D/venc]]="-","Enviado",IF(Tabela2[[#This Row],[Dt Venc:]]=TODAY(),"Vence Hoje","Vencida")))</f>
        <v>Em Aberto</v>
      </c>
      <c r="F8225" s="3">
        <f ca="1">IF(G8225=1,"-",Tabela2[[#This Row],[Dt Venc:]]-TODAY())</f>
        <v>313</v>
      </c>
      <c r="G8225" s="3"/>
      <c r="H8225" s="3"/>
    </row>
    <row r="8226" spans="1:8">
      <c r="A8226" s="3">
        <v>106007</v>
      </c>
      <c r="B8226" s="7" t="s">
        <v>252</v>
      </c>
      <c r="C8226" s="99" t="s">
        <v>32</v>
      </c>
      <c r="D8226" s="6">
        <v>46006</v>
      </c>
      <c r="E8226" s="3" t="str">
        <f ca="1">IF(Tabela2[[#This Row],[Dt Venc:]]&gt;TODAY(),"Em Aberto",IF(Tabela2[[#This Row],[D/venc]]="-","Enviado",IF(Tabela2[[#This Row],[Dt Venc:]]=TODAY(),"Vence Hoje","Vencida")))</f>
        <v>Em Aberto</v>
      </c>
      <c r="F8226" s="3">
        <f ca="1">IF(G8226=1,"-",Tabela2[[#This Row],[Dt Venc:]]-TODAY())</f>
        <v>313</v>
      </c>
      <c r="G8226" s="3"/>
      <c r="H8226" s="3"/>
    </row>
    <row r="8227" spans="1:8">
      <c r="A8227" s="3">
        <v>106043</v>
      </c>
      <c r="B8227" s="7" t="s">
        <v>252</v>
      </c>
      <c r="C8227" s="99" t="s">
        <v>32</v>
      </c>
      <c r="D8227" s="6">
        <v>46006</v>
      </c>
      <c r="E8227" s="3" t="str">
        <f ca="1">IF(Tabela2[[#This Row],[Dt Venc:]]&gt;TODAY(),"Em Aberto",IF(Tabela2[[#This Row],[D/venc]]="-","Enviado",IF(Tabela2[[#This Row],[Dt Venc:]]=TODAY(),"Vence Hoje","Vencida")))</f>
        <v>Em Aberto</v>
      </c>
      <c r="F8227" s="3">
        <f ca="1">IF(G8227=1,"-",Tabela2[[#This Row],[Dt Venc:]]-TODAY())</f>
        <v>313</v>
      </c>
      <c r="G8227" s="3"/>
      <c r="H8227" s="3"/>
    </row>
    <row r="8228" spans="1:8">
      <c r="A8228" s="3">
        <v>107829</v>
      </c>
      <c r="B8228" s="7" t="s">
        <v>252</v>
      </c>
      <c r="C8228" s="99" t="s">
        <v>32</v>
      </c>
      <c r="D8228" s="6">
        <v>46006</v>
      </c>
      <c r="E8228" s="3" t="str">
        <f ca="1">IF(Tabela2[[#This Row],[Dt Venc:]]&gt;TODAY(),"Em Aberto",IF(Tabela2[[#This Row],[D/venc]]="-","Enviado",IF(Tabela2[[#This Row],[Dt Venc:]]=TODAY(),"Vence Hoje","Vencida")))</f>
        <v>Em Aberto</v>
      </c>
      <c r="F8228" s="3">
        <f ca="1">IF(G8228=1,"-",Tabela2[[#This Row],[Dt Venc:]]-TODAY())</f>
        <v>313</v>
      </c>
      <c r="G8228" s="3"/>
      <c r="H8228" s="3"/>
    </row>
    <row r="8229" spans="1:8">
      <c r="A8229" s="3">
        <v>107830</v>
      </c>
      <c r="B8229" s="7" t="s">
        <v>252</v>
      </c>
      <c r="C8229" s="85" t="s">
        <v>32</v>
      </c>
      <c r="D8229" s="6">
        <v>46006</v>
      </c>
      <c r="E8229" s="3" t="str">
        <f ca="1">IF(Tabela2[[#This Row],[Dt Venc:]]&gt;TODAY(),"Em Aberto",IF(Tabela2[[#This Row],[D/venc]]="-","Enviado",IF(Tabela2[[#This Row],[Dt Venc:]]=TODAY(),"Vence Hoje","Vencida")))</f>
        <v>Em Aberto</v>
      </c>
      <c r="F8229" s="3">
        <f ca="1">IF(G8229=1,"-",Tabela2[[#This Row],[Dt Venc:]]-TODAY())</f>
        <v>313</v>
      </c>
      <c r="G8229" s="3"/>
      <c r="H8229" s="3"/>
    </row>
    <row r="8230" spans="1:8">
      <c r="A8230" s="3">
        <v>107831</v>
      </c>
      <c r="B8230" s="7" t="s">
        <v>252</v>
      </c>
      <c r="C8230" s="99" t="s">
        <v>32</v>
      </c>
      <c r="D8230" s="6">
        <v>46006</v>
      </c>
      <c r="E8230" s="3" t="str">
        <f ca="1">IF(Tabela2[[#This Row],[Dt Venc:]]&gt;TODAY(),"Em Aberto",IF(Tabela2[[#This Row],[D/venc]]="-","Enviado",IF(Tabela2[[#This Row],[Dt Venc:]]=TODAY(),"Vence Hoje","Vencida")))</f>
        <v>Em Aberto</v>
      </c>
      <c r="F8230" s="3">
        <f ca="1">IF(G8230=1,"-",Tabela2[[#This Row],[Dt Venc:]]-TODAY())</f>
        <v>313</v>
      </c>
      <c r="G8230" s="3"/>
      <c r="H8230" s="3"/>
    </row>
    <row r="8231" spans="1:8">
      <c r="A8231" s="3">
        <v>107832</v>
      </c>
      <c r="B8231" s="7" t="s">
        <v>252</v>
      </c>
      <c r="C8231" s="99" t="s">
        <v>32</v>
      </c>
      <c r="D8231" s="6">
        <v>46006</v>
      </c>
      <c r="E8231" s="3" t="str">
        <f ca="1">IF(Tabela2[[#This Row],[Dt Venc:]]&gt;TODAY(),"Em Aberto",IF(Tabela2[[#This Row],[D/venc]]="-","Enviado",IF(Tabela2[[#This Row],[Dt Venc:]]=TODAY(),"Vence Hoje","Vencida")))</f>
        <v>Em Aberto</v>
      </c>
      <c r="F8231" s="3">
        <f ca="1">IF(G8231=1,"-",Tabela2[[#This Row],[Dt Venc:]]-TODAY())</f>
        <v>313</v>
      </c>
      <c r="G8231" s="3"/>
      <c r="H8231" s="3"/>
    </row>
    <row r="8232" spans="1:8">
      <c r="A8232" s="3">
        <v>361229</v>
      </c>
      <c r="B8232" s="7" t="s">
        <v>250</v>
      </c>
      <c r="C8232" s="99" t="s">
        <v>32</v>
      </c>
      <c r="D8232" s="6">
        <v>46006</v>
      </c>
      <c r="E8232" s="3" t="str">
        <f ca="1">IF(Tabela2[[#This Row],[Dt Venc:]]&gt;TODAY(),"Em Aberto",IF(Tabela2[[#This Row],[D/venc]]="-","Enviado",IF(Tabela2[[#This Row],[Dt Venc:]]=TODAY(),"Vence Hoje","Vencida")))</f>
        <v>Em Aberto</v>
      </c>
      <c r="F8232" s="3">
        <f ca="1">IF(G8232=1,"-",Tabela2[[#This Row],[Dt Venc:]]-TODAY())</f>
        <v>313</v>
      </c>
      <c r="G8232" s="3"/>
      <c r="H8232" s="3"/>
    </row>
    <row r="8233" spans="1:8">
      <c r="A8233" s="3">
        <v>361237</v>
      </c>
      <c r="B8233" s="7" t="s">
        <v>250</v>
      </c>
      <c r="C8233" s="99" t="s">
        <v>32</v>
      </c>
      <c r="D8233" s="6">
        <v>46006</v>
      </c>
      <c r="E8233" s="3" t="str">
        <f ca="1">IF(Tabela2[[#This Row],[Dt Venc:]]&gt;TODAY(),"Em Aberto",IF(Tabela2[[#This Row],[D/venc]]="-","Enviado",IF(Tabela2[[#This Row],[Dt Venc:]]=TODAY(),"Vence Hoje","Vencida")))</f>
        <v>Em Aberto</v>
      </c>
      <c r="F8233" s="3">
        <f ca="1">IF(G8233=1,"-",Tabela2[[#This Row],[Dt Venc:]]-TODAY())</f>
        <v>313</v>
      </c>
      <c r="G8233" s="3"/>
      <c r="H8233" s="3"/>
    </row>
    <row r="8234" spans="1:8">
      <c r="A8234" s="3">
        <v>365658</v>
      </c>
      <c r="B8234" s="7" t="s">
        <v>250</v>
      </c>
      <c r="C8234" s="99" t="s">
        <v>32</v>
      </c>
      <c r="D8234" s="6">
        <v>46006</v>
      </c>
      <c r="E8234" s="3" t="str">
        <f ca="1">IF(Tabela2[[#This Row],[Dt Venc:]]&gt;TODAY(),"Em Aberto",IF(Tabela2[[#This Row],[D/venc]]="-","Enviado",IF(Tabela2[[#This Row],[Dt Venc:]]=TODAY(),"Vence Hoje","Vencida")))</f>
        <v>Em Aberto</v>
      </c>
      <c r="F8234" s="3">
        <f ca="1">IF(G8234=1,"-",Tabela2[[#This Row],[Dt Venc:]]-TODAY())</f>
        <v>313</v>
      </c>
      <c r="G8234" s="3"/>
      <c r="H8234" s="3"/>
    </row>
    <row r="8235" spans="1:8">
      <c r="A8235" s="3">
        <v>365666</v>
      </c>
      <c r="B8235" s="7" t="s">
        <v>250</v>
      </c>
      <c r="C8235" s="99" t="s">
        <v>32</v>
      </c>
      <c r="D8235" s="6">
        <v>46006</v>
      </c>
      <c r="E8235" s="3" t="str">
        <f ca="1">IF(Tabela2[[#This Row],[Dt Venc:]]&gt;TODAY(),"Em Aberto",IF(Tabela2[[#This Row],[D/venc]]="-","Enviado",IF(Tabela2[[#This Row],[Dt Venc:]]=TODAY(),"Vence Hoje","Vencida")))</f>
        <v>Em Aberto</v>
      </c>
      <c r="F8235" s="3">
        <f ca="1">IF(G8235=1,"-",Tabela2[[#This Row],[Dt Venc:]]-TODAY())</f>
        <v>313</v>
      </c>
      <c r="G8235" s="3"/>
      <c r="H8235" s="3"/>
    </row>
    <row r="8236" spans="1:8">
      <c r="A8236" s="3">
        <v>365674</v>
      </c>
      <c r="B8236" s="7" t="s">
        <v>250</v>
      </c>
      <c r="C8236" s="99" t="s">
        <v>32</v>
      </c>
      <c r="D8236" s="6">
        <v>46006</v>
      </c>
      <c r="E8236" s="3" t="str">
        <f ca="1">IF(Tabela2[[#This Row],[Dt Venc:]]&gt;TODAY(),"Em Aberto",IF(Tabela2[[#This Row],[D/venc]]="-","Enviado",IF(Tabela2[[#This Row],[Dt Venc:]]=TODAY(),"Vence Hoje","Vencida")))</f>
        <v>Em Aberto</v>
      </c>
      <c r="F8236" s="3">
        <f ca="1">IF(G8236=1,"-",Tabela2[[#This Row],[Dt Venc:]]-TODAY())</f>
        <v>313</v>
      </c>
      <c r="G8236" s="3"/>
      <c r="H8236" s="3"/>
    </row>
    <row r="8237" spans="1:8">
      <c r="A8237" s="3">
        <v>365682</v>
      </c>
      <c r="B8237" s="7" t="s">
        <v>250</v>
      </c>
      <c r="C8237" s="99" t="s">
        <v>32</v>
      </c>
      <c r="D8237" s="6">
        <v>46006</v>
      </c>
      <c r="E8237" s="3" t="str">
        <f ca="1">IF(Tabela2[[#This Row],[Dt Venc:]]&gt;TODAY(),"Em Aberto",IF(Tabela2[[#This Row],[D/venc]]="-","Enviado",IF(Tabela2[[#This Row],[Dt Venc:]]=TODAY(),"Vence Hoje","Vencida")))</f>
        <v>Em Aberto</v>
      </c>
      <c r="F8237" s="3">
        <f ca="1">IF(G8237=1,"-",Tabela2[[#This Row],[Dt Venc:]]-TODAY())</f>
        <v>313</v>
      </c>
      <c r="G8237" s="3"/>
      <c r="H8237" s="3"/>
    </row>
    <row r="8238" spans="1:8">
      <c r="A8238" s="3">
        <v>369335</v>
      </c>
      <c r="B8238" s="7" t="s">
        <v>543</v>
      </c>
      <c r="C8238" s="87" t="s">
        <v>32</v>
      </c>
      <c r="D8238" s="6">
        <v>46006</v>
      </c>
      <c r="E8238" s="3" t="str">
        <f ca="1">IF(Tabela2[[#This Row],[Dt Venc:]]&gt;TODAY(),"Em Aberto",IF(Tabela2[[#This Row],[D/venc]]="-","Enviado",IF(Tabela2[[#This Row],[Dt Venc:]]=TODAY(),"Vence Hoje","Vencida")))</f>
        <v>Em Aberto</v>
      </c>
      <c r="F8238" s="3">
        <f ca="1">IF(G8238=1,"-",Tabela2[[#This Row],[Dt Venc:]]-TODAY())</f>
        <v>313</v>
      </c>
      <c r="G8238" s="3"/>
      <c r="H8238" s="3"/>
    </row>
    <row r="8239" spans="1:8">
      <c r="A8239" s="3">
        <v>369696</v>
      </c>
      <c r="B8239" s="7" t="s">
        <v>543</v>
      </c>
      <c r="C8239" s="87" t="s">
        <v>32</v>
      </c>
      <c r="D8239" s="6">
        <v>46006</v>
      </c>
      <c r="E8239" s="3" t="str">
        <f ca="1">IF(Tabela2[[#This Row],[Dt Venc:]]&gt;TODAY(),"Em Aberto",IF(Tabela2[[#This Row],[D/venc]]="-","Enviado",IF(Tabela2[[#This Row],[Dt Venc:]]=TODAY(),"Vence Hoje","Vencida")))</f>
        <v>Em Aberto</v>
      </c>
      <c r="F8239" s="3">
        <f ca="1">IF(G8239=1,"-",Tabela2[[#This Row],[Dt Venc:]]-TODAY())</f>
        <v>313</v>
      </c>
      <c r="G8239" s="3"/>
      <c r="H8239" s="3"/>
    </row>
    <row r="8240" spans="1:8">
      <c r="A8240" s="3">
        <v>369726</v>
      </c>
      <c r="B8240" s="7" t="s">
        <v>543</v>
      </c>
      <c r="C8240" s="87" t="s">
        <v>32</v>
      </c>
      <c r="D8240" s="6">
        <v>46006</v>
      </c>
      <c r="E8240" s="3" t="str">
        <f ca="1">IF(Tabela2[[#This Row],[Dt Venc:]]&gt;TODAY(),"Em Aberto",IF(Tabela2[[#This Row],[D/venc]]="-","Enviado",IF(Tabela2[[#This Row],[Dt Venc:]]=TODAY(),"Vence Hoje","Vencida")))</f>
        <v>Em Aberto</v>
      </c>
      <c r="F8240" s="3">
        <f ca="1">IF(G8240=1,"-",Tabela2[[#This Row],[Dt Venc:]]-TODAY())</f>
        <v>313</v>
      </c>
      <c r="G8240" s="3"/>
      <c r="H8240" s="3"/>
    </row>
    <row r="8241" spans="1:8">
      <c r="A8241" s="3">
        <v>369751</v>
      </c>
      <c r="B8241" s="7" t="s">
        <v>543</v>
      </c>
      <c r="C8241" s="87" t="s">
        <v>32</v>
      </c>
      <c r="D8241" s="6">
        <v>46006</v>
      </c>
      <c r="E8241" s="3" t="str">
        <f ca="1">IF(Tabela2[[#This Row],[Dt Venc:]]&gt;TODAY(),"Em Aberto",IF(Tabela2[[#This Row],[D/venc]]="-","Enviado",IF(Tabela2[[#This Row],[Dt Venc:]]=TODAY(),"Vence Hoje","Vencida")))</f>
        <v>Em Aberto</v>
      </c>
      <c r="F8241" s="3">
        <f ca="1">IF(G8241=1,"-",Tabela2[[#This Row],[Dt Venc:]]-TODAY())</f>
        <v>313</v>
      </c>
      <c r="G8241" s="3"/>
      <c r="H8241" s="3"/>
    </row>
    <row r="8242" spans="1:8">
      <c r="A8242" s="3">
        <v>370201</v>
      </c>
      <c r="B8242" s="7" t="s">
        <v>543</v>
      </c>
      <c r="C8242" s="87" t="s">
        <v>32</v>
      </c>
      <c r="D8242" s="6">
        <v>46006</v>
      </c>
      <c r="E8242" s="3" t="str">
        <f ca="1">IF(Tabela2[[#This Row],[Dt Venc:]]&gt;TODAY(),"Em Aberto",IF(Tabela2[[#This Row],[D/venc]]="-","Enviado",IF(Tabela2[[#This Row],[Dt Venc:]]=TODAY(),"Vence Hoje","Vencida")))</f>
        <v>Em Aberto</v>
      </c>
      <c r="F8242" s="3">
        <f ca="1">IF(G8242=1,"-",Tabela2[[#This Row],[Dt Venc:]]-TODAY())</f>
        <v>313</v>
      </c>
      <c r="G8242" s="3"/>
      <c r="H8242" s="3"/>
    </row>
    <row r="8243" spans="1:8">
      <c r="A8243" s="3">
        <v>370864</v>
      </c>
      <c r="B8243" s="7" t="s">
        <v>543</v>
      </c>
      <c r="C8243" s="87" t="s">
        <v>32</v>
      </c>
      <c r="D8243" s="6">
        <v>46006</v>
      </c>
      <c r="E8243" s="3" t="str">
        <f ca="1">IF(Tabela2[[#This Row],[Dt Venc:]]&gt;TODAY(),"Em Aberto",IF(Tabela2[[#This Row],[D/venc]]="-","Enviado",IF(Tabela2[[#This Row],[Dt Venc:]]=TODAY(),"Vence Hoje","Vencida")))</f>
        <v>Em Aberto</v>
      </c>
      <c r="F8243" s="3">
        <f ca="1">IF(G8243=1,"-",Tabela2[[#This Row],[Dt Venc:]]-TODAY())</f>
        <v>313</v>
      </c>
      <c r="G8243" s="3"/>
      <c r="H8243" s="3"/>
    </row>
    <row r="8244" spans="1:8">
      <c r="A8244" s="3">
        <v>371011</v>
      </c>
      <c r="B8244" s="7" t="s">
        <v>633</v>
      </c>
      <c r="C8244" s="87" t="s">
        <v>32</v>
      </c>
      <c r="D8244" s="6">
        <v>46006</v>
      </c>
      <c r="E8244" s="3" t="str">
        <f ca="1">IF(Tabela2[[#This Row],[Dt Venc:]]&gt;TODAY(),"Em Aberto",IF(Tabela2[[#This Row],[D/venc]]="-","Enviado",IF(Tabela2[[#This Row],[Dt Venc:]]=TODAY(),"Vence Hoje","Vencida")))</f>
        <v>Em Aberto</v>
      </c>
      <c r="F8244" s="3">
        <f ca="1">IF(G8244=1,"-",Tabela2[[#This Row],[Dt Venc:]]-TODAY())</f>
        <v>313</v>
      </c>
      <c r="G8244" s="3"/>
      <c r="H8244" s="3"/>
    </row>
    <row r="8245" spans="1:8">
      <c r="A8245" s="3">
        <v>371160</v>
      </c>
      <c r="B8245" s="7" t="s">
        <v>633</v>
      </c>
      <c r="C8245" s="87" t="s">
        <v>32</v>
      </c>
      <c r="D8245" s="6">
        <v>46006</v>
      </c>
      <c r="E8245" s="3" t="str">
        <f ca="1">IF(Tabela2[[#This Row],[Dt Venc:]]&gt;TODAY(),"Em Aberto",IF(Tabela2[[#This Row],[D/venc]]="-","Enviado",IF(Tabela2[[#This Row],[Dt Venc:]]=TODAY(),"Vence Hoje","Vencida")))</f>
        <v>Em Aberto</v>
      </c>
      <c r="F8245" s="3">
        <f ca="1">IF(G8245=1,"-",Tabela2[[#This Row],[Dt Venc:]]-TODAY())</f>
        <v>313</v>
      </c>
      <c r="G8245" s="3"/>
      <c r="H8245" s="3"/>
    </row>
    <row r="8246" spans="1:8">
      <c r="A8246" s="3">
        <v>748099</v>
      </c>
      <c r="B8246" s="7" t="s">
        <v>81</v>
      </c>
      <c r="C8246" s="99" t="s">
        <v>32</v>
      </c>
      <c r="D8246" s="6">
        <v>46006</v>
      </c>
      <c r="E8246" s="3" t="str">
        <f ca="1">IF(Tabela2[[#This Row],[Dt Venc:]]&gt;TODAY(),"Em Aberto",IF(Tabela2[[#This Row],[D/venc]]="-","Enviado",IF(Tabela2[[#This Row],[Dt Venc:]]=TODAY(),"Vence Hoje","Vencida")))</f>
        <v>Em Aberto</v>
      </c>
      <c r="F8246" s="3">
        <f ca="1">IF(G8246=1,"-",Tabela2[[#This Row],[Dt Venc:]]-TODAY())</f>
        <v>313</v>
      </c>
      <c r="G8246" s="3"/>
      <c r="H8246" s="3"/>
    </row>
    <row r="8247" spans="1:8">
      <c r="A8247" s="3">
        <v>892178</v>
      </c>
      <c r="B8247" s="7" t="s">
        <v>253</v>
      </c>
      <c r="C8247" s="99" t="s">
        <v>32</v>
      </c>
      <c r="D8247" s="6">
        <v>46006</v>
      </c>
      <c r="E8247" s="3" t="str">
        <f ca="1">IF(Tabela2[[#This Row],[Dt Venc:]]&gt;TODAY(),"Em Aberto",IF(Tabela2[[#This Row],[D/venc]]="-","Enviado",IF(Tabela2[[#This Row],[Dt Venc:]]=TODAY(),"Vence Hoje","Vencida")))</f>
        <v>Em Aberto</v>
      </c>
      <c r="F8247" s="3">
        <f ca="1">IF(G8247=1,"-",Tabela2[[#This Row],[Dt Venc:]]-TODAY())</f>
        <v>313</v>
      </c>
      <c r="G8247" s="3"/>
      <c r="H8247" s="3"/>
    </row>
    <row r="8248" spans="1:8">
      <c r="A8248" s="3">
        <v>894135</v>
      </c>
      <c r="B8248" s="7" t="s">
        <v>253</v>
      </c>
      <c r="C8248" s="99" t="s">
        <v>32</v>
      </c>
      <c r="D8248" s="6">
        <v>46006</v>
      </c>
      <c r="E8248" s="3" t="str">
        <f ca="1">IF(Tabela2[[#This Row],[Dt Venc:]]&gt;TODAY(),"Em Aberto",IF(Tabela2[[#This Row],[D/venc]]="-","Enviado",IF(Tabela2[[#This Row],[Dt Venc:]]=TODAY(),"Vence Hoje","Vencida")))</f>
        <v>Em Aberto</v>
      </c>
      <c r="F8248" s="3">
        <f ca="1">IF(G8248=1,"-",Tabela2[[#This Row],[Dt Venc:]]-TODAY())</f>
        <v>313</v>
      </c>
      <c r="G8248" s="3"/>
      <c r="H8248" s="3"/>
    </row>
    <row r="8249" spans="1:8">
      <c r="A8249" s="3">
        <v>896565</v>
      </c>
      <c r="B8249" s="7" t="s">
        <v>253</v>
      </c>
      <c r="C8249" s="99" t="s">
        <v>32</v>
      </c>
      <c r="D8249" s="6">
        <v>46006</v>
      </c>
      <c r="E8249" s="3" t="str">
        <f ca="1">IF(Tabela2[[#This Row],[Dt Venc:]]&gt;TODAY(),"Em Aberto",IF(Tabela2[[#This Row],[D/venc]]="-","Enviado",IF(Tabela2[[#This Row],[Dt Venc:]]=TODAY(),"Vence Hoje","Vencida")))</f>
        <v>Em Aberto</v>
      </c>
      <c r="F8249" s="3">
        <f ca="1">IF(G8249=1,"-",Tabela2[[#This Row],[Dt Venc:]]-TODAY())</f>
        <v>313</v>
      </c>
      <c r="G8249" s="3"/>
      <c r="H8249" s="3"/>
    </row>
    <row r="8250" spans="1:8">
      <c r="A8250" s="3">
        <v>900386</v>
      </c>
      <c r="B8250" s="7" t="s">
        <v>253</v>
      </c>
      <c r="C8250" s="99" t="s">
        <v>32</v>
      </c>
      <c r="D8250" s="6">
        <v>46006</v>
      </c>
      <c r="E8250" s="3" t="str">
        <f ca="1">IF(Tabela2[[#This Row],[Dt Venc:]]&gt;TODAY(),"Em Aberto",IF(Tabela2[[#This Row],[D/venc]]="-","Enviado",IF(Tabela2[[#This Row],[Dt Venc:]]=TODAY(),"Vence Hoje","Vencida")))</f>
        <v>Em Aberto</v>
      </c>
      <c r="F8250" s="3">
        <f ca="1">IF(G8250=1,"-",Tabela2[[#This Row],[Dt Venc:]]-TODAY())</f>
        <v>313</v>
      </c>
      <c r="G8250" s="3"/>
      <c r="H8250" s="3"/>
    </row>
    <row r="8251" spans="1:8">
      <c r="A8251" s="3">
        <v>901787</v>
      </c>
      <c r="B8251" s="7" t="s">
        <v>253</v>
      </c>
      <c r="C8251" s="99" t="s">
        <v>32</v>
      </c>
      <c r="D8251" s="6">
        <v>46006</v>
      </c>
      <c r="E8251" s="3" t="str">
        <f ca="1">IF(Tabela2[[#This Row],[Dt Venc:]]&gt;TODAY(),"Em Aberto",IF(Tabela2[[#This Row],[D/venc]]="-","Enviado",IF(Tabela2[[#This Row],[Dt Venc:]]=TODAY(),"Vence Hoje","Vencida")))</f>
        <v>Em Aberto</v>
      </c>
      <c r="F8251" s="3">
        <f ca="1">IF(G8251=1,"-",Tabela2[[#This Row],[Dt Venc:]]-TODAY())</f>
        <v>313</v>
      </c>
      <c r="G8251" s="3"/>
      <c r="H8251" s="3"/>
    </row>
    <row r="8252" spans="1:8">
      <c r="A8252" s="3">
        <v>901788</v>
      </c>
      <c r="B8252" s="7" t="s">
        <v>253</v>
      </c>
      <c r="C8252" s="99" t="s">
        <v>32</v>
      </c>
      <c r="D8252" s="6">
        <v>46006</v>
      </c>
      <c r="E8252" s="3" t="str">
        <f ca="1">IF(Tabela2[[#This Row],[Dt Venc:]]&gt;TODAY(),"Em Aberto",IF(Tabela2[[#This Row],[D/venc]]="-","Enviado",IF(Tabela2[[#This Row],[Dt Venc:]]=TODAY(),"Vence Hoje","Vencida")))</f>
        <v>Em Aberto</v>
      </c>
      <c r="F8252" s="3">
        <f ca="1">IF(G8252=1,"-",Tabela2[[#This Row],[Dt Venc:]]-TODAY())</f>
        <v>313</v>
      </c>
      <c r="G8252" s="3"/>
      <c r="H8252" s="3"/>
    </row>
    <row r="8253" spans="1:8">
      <c r="A8253" s="3">
        <v>901789</v>
      </c>
      <c r="B8253" s="7" t="s">
        <v>253</v>
      </c>
      <c r="C8253" s="99" t="s">
        <v>32</v>
      </c>
      <c r="D8253" s="6">
        <v>46006</v>
      </c>
      <c r="E8253" s="3" t="str">
        <f ca="1">IF(Tabela2[[#This Row],[Dt Venc:]]&gt;TODAY(),"Em Aberto",IF(Tabela2[[#This Row],[D/venc]]="-","Enviado",IF(Tabela2[[#This Row],[Dt Venc:]]=TODAY(),"Vence Hoje","Vencida")))</f>
        <v>Em Aberto</v>
      </c>
      <c r="F8253" s="3">
        <f ca="1">IF(G8253=1,"-",Tabela2[[#This Row],[Dt Venc:]]-TODAY())</f>
        <v>313</v>
      </c>
      <c r="G8253" s="3"/>
      <c r="H8253" s="3"/>
    </row>
    <row r="8254" spans="1:8">
      <c r="A8254" s="3">
        <v>912703</v>
      </c>
      <c r="B8254" s="7" t="s">
        <v>253</v>
      </c>
      <c r="C8254" s="99" t="s">
        <v>32</v>
      </c>
      <c r="D8254" s="6">
        <v>46006</v>
      </c>
      <c r="E8254" s="3" t="str">
        <f ca="1">IF(Tabela2[[#This Row],[Dt Venc:]]&gt;TODAY(),"Em Aberto",IF(Tabela2[[#This Row],[D/venc]]="-","Enviado",IF(Tabela2[[#This Row],[Dt Venc:]]=TODAY(),"Vence Hoje","Vencida")))</f>
        <v>Em Aberto</v>
      </c>
      <c r="F8254" s="3">
        <f ca="1">IF(G8254=1,"-",Tabela2[[#This Row],[Dt Venc:]]-TODAY())</f>
        <v>313</v>
      </c>
      <c r="G8254" s="3"/>
      <c r="H8254" s="3"/>
    </row>
    <row r="8255" spans="1:8">
      <c r="A8255" s="3">
        <v>912704</v>
      </c>
      <c r="B8255" s="7" t="s">
        <v>253</v>
      </c>
      <c r="C8255" s="99" t="s">
        <v>32</v>
      </c>
      <c r="D8255" s="6">
        <v>46006</v>
      </c>
      <c r="E8255" s="3" t="str">
        <f ca="1">IF(Tabela2[[#This Row],[Dt Venc:]]&gt;TODAY(),"Em Aberto",IF(Tabela2[[#This Row],[D/venc]]="-","Enviado",IF(Tabela2[[#This Row],[Dt Venc:]]=TODAY(),"Vence Hoje","Vencida")))</f>
        <v>Em Aberto</v>
      </c>
      <c r="F8255" s="3">
        <f ca="1">IF(G8255=1,"-",Tabela2[[#This Row],[Dt Venc:]]-TODAY())</f>
        <v>313</v>
      </c>
      <c r="G8255" s="3"/>
      <c r="H8255" s="3"/>
    </row>
    <row r="8256" spans="1:8">
      <c r="A8256" s="3">
        <v>919728</v>
      </c>
      <c r="B8256" s="7" t="s">
        <v>253</v>
      </c>
      <c r="C8256" s="87" t="s">
        <v>32</v>
      </c>
      <c r="D8256" s="6">
        <v>46006</v>
      </c>
      <c r="E8256" s="3" t="str">
        <f ca="1">IF(Tabela2[[#This Row],[Dt Venc:]]&gt;TODAY(),"Em Aberto",IF(Tabela2[[#This Row],[D/venc]]="-","Enviado",IF(Tabela2[[#This Row],[Dt Venc:]]=TODAY(),"Vence Hoje","Vencida")))</f>
        <v>Em Aberto</v>
      </c>
      <c r="F8256" s="3">
        <f ca="1">IF(G8256=1,"-",Tabela2[[#This Row],[Dt Venc:]]-TODAY())</f>
        <v>313</v>
      </c>
      <c r="G8256" s="3"/>
      <c r="H8256" s="3"/>
    </row>
    <row r="8257" spans="1:8">
      <c r="A8257" s="3">
        <v>919729</v>
      </c>
      <c r="B8257" s="7" t="s">
        <v>253</v>
      </c>
      <c r="C8257" s="87" t="s">
        <v>32</v>
      </c>
      <c r="D8257" s="6">
        <v>46006</v>
      </c>
      <c r="E8257" s="3" t="str">
        <f ca="1">IF(Tabela2[[#This Row],[Dt Venc:]]&gt;TODAY(),"Em Aberto",IF(Tabela2[[#This Row],[D/venc]]="-","Enviado",IF(Tabela2[[#This Row],[Dt Venc:]]=TODAY(),"Vence Hoje","Vencida")))</f>
        <v>Em Aberto</v>
      </c>
      <c r="F8257" s="3">
        <f ca="1">IF(G8257=1,"-",Tabela2[[#This Row],[Dt Venc:]]-TODAY())</f>
        <v>313</v>
      </c>
      <c r="G8257" s="3"/>
      <c r="H8257" s="3"/>
    </row>
    <row r="8258" spans="1:8">
      <c r="A8258" s="3">
        <v>37300</v>
      </c>
      <c r="B8258" s="7" t="s">
        <v>167</v>
      </c>
      <c r="C8258" s="99" t="s">
        <v>32</v>
      </c>
      <c r="D8258" s="6">
        <v>46007</v>
      </c>
      <c r="E8258" s="3" t="str">
        <f ca="1">IF(Tabela2[[#This Row],[Dt Venc:]]&gt;TODAY(),"Em Aberto",IF(Tabela2[[#This Row],[D/venc]]="-","Enviado",IF(Tabela2[[#This Row],[Dt Venc:]]=TODAY(),"Vence Hoje","Vencida")))</f>
        <v>Em Aberto</v>
      </c>
      <c r="F8258" s="3">
        <f ca="1">IF(G8258=1,"-",Tabela2[[#This Row],[Dt Venc:]]-TODAY())</f>
        <v>314</v>
      </c>
      <c r="G8258" s="3"/>
      <c r="H8258" s="3"/>
    </row>
    <row r="8259" spans="1:8">
      <c r="A8259" s="3">
        <v>37196</v>
      </c>
      <c r="B8259" s="7" t="s">
        <v>167</v>
      </c>
      <c r="C8259" s="85" t="s">
        <v>32</v>
      </c>
      <c r="D8259" s="6">
        <v>46008</v>
      </c>
      <c r="E8259" s="3" t="str">
        <f ca="1">IF(Tabela2[[#This Row],[Dt Venc:]]&gt;TODAY(),"Em Aberto",IF(Tabela2[[#This Row],[D/venc]]="-","Enviado",IF(Tabela2[[#This Row],[Dt Venc:]]=TODAY(),"Vence Hoje","Vencida")))</f>
        <v>Em Aberto</v>
      </c>
      <c r="F8259" s="3">
        <f ca="1">IF(G8259=1,"-",Tabela2[[#This Row],[Dt Venc:]]-TODAY())</f>
        <v>315</v>
      </c>
      <c r="G8259" s="3"/>
      <c r="H8259" s="3"/>
    </row>
    <row r="8260" spans="1:8">
      <c r="A8260" s="3">
        <v>37348</v>
      </c>
      <c r="B8260" s="7" t="s">
        <v>167</v>
      </c>
      <c r="C8260" s="99" t="s">
        <v>32</v>
      </c>
      <c r="D8260" s="6">
        <v>46013</v>
      </c>
      <c r="E8260" s="3" t="str">
        <f ca="1">IF(Tabela2[[#This Row],[Dt Venc:]]&gt;TODAY(),"Em Aberto",IF(Tabela2[[#This Row],[D/venc]]="-","Enviado",IF(Tabela2[[#This Row],[Dt Venc:]]=TODAY(),"Vence Hoje","Vencida")))</f>
        <v>Em Aberto</v>
      </c>
      <c r="F8260" s="3">
        <f ca="1">IF(G8260=1,"-",Tabela2[[#This Row],[Dt Venc:]]-TODAY())</f>
        <v>320</v>
      </c>
      <c r="G8260" s="3"/>
      <c r="H8260" s="3"/>
    </row>
    <row r="8261" spans="1:8">
      <c r="A8261" s="3">
        <v>654537</v>
      </c>
      <c r="B8261" s="7" t="s">
        <v>648</v>
      </c>
      <c r="C8261" s="87" t="s">
        <v>32</v>
      </c>
      <c r="D8261" s="6">
        <v>46014</v>
      </c>
      <c r="E8261" s="3" t="str">
        <f ca="1">IF(Tabela2[[#This Row],[Dt Venc:]]&gt;TODAY(),"Em Aberto",IF(Tabela2[[#This Row],[D/venc]]="-","Enviado",IF(Tabela2[[#This Row],[Dt Venc:]]=TODAY(),"Vence Hoje","Vencida")))</f>
        <v>Em Aberto</v>
      </c>
      <c r="F8261" s="3">
        <f ca="1">IF(G8261=1,"-",Tabela2[[#This Row],[Dt Venc:]]-TODAY())</f>
        <v>321</v>
      </c>
      <c r="G8261" s="3"/>
      <c r="H8261" s="3"/>
    </row>
    <row r="8262" spans="1:8">
      <c r="A8262" s="3">
        <v>14255</v>
      </c>
      <c r="B8262" s="7" t="s">
        <v>608</v>
      </c>
      <c r="C8262" s="41">
        <v>420</v>
      </c>
      <c r="D8262" s="6">
        <v>46016</v>
      </c>
      <c r="E8262" s="3" t="str">
        <f ca="1">IF(Tabela2[[#This Row],[Dt Venc:]]&gt;TODAY(),"Em Aberto",IF(Tabela2[[#This Row],[D/venc]]="-","Enviado",IF(Tabela2[[#This Row],[Dt Venc:]]=TODAY(),"Vence Hoje","Vencida")))</f>
        <v>Em Aberto</v>
      </c>
      <c r="F8262" s="3">
        <f ca="1">IF(G8262=1,"-",Tabela2[[#This Row],[Dt Venc:]]-TODAY())</f>
        <v>323</v>
      </c>
      <c r="G8262" s="3"/>
      <c r="H8262" s="3"/>
    </row>
    <row r="8263" spans="1:8">
      <c r="A8263" s="3">
        <v>495914</v>
      </c>
      <c r="B8263" s="7" t="s">
        <v>153</v>
      </c>
      <c r="C8263" s="99" t="s">
        <v>32</v>
      </c>
      <c r="D8263" s="6">
        <v>46016</v>
      </c>
      <c r="E8263" s="3" t="str">
        <f ca="1">IF(Tabela2[[#This Row],[Dt Venc:]]&gt;TODAY(),"Em Aberto",IF(Tabela2[[#This Row],[D/venc]]="-","Enviado",IF(Tabela2[[#This Row],[Dt Venc:]]=TODAY(),"Vence Hoje","Vencida")))</f>
        <v>Em Aberto</v>
      </c>
      <c r="F8263" s="3">
        <f ca="1">IF(G8263=1,"-",Tabela2[[#This Row],[Dt Venc:]]-TODAY())</f>
        <v>323</v>
      </c>
      <c r="G8263" s="3"/>
      <c r="H8263" s="3"/>
    </row>
    <row r="8264" spans="1:8">
      <c r="A8264" s="3">
        <v>5690</v>
      </c>
      <c r="B8264" s="7" t="s">
        <v>122</v>
      </c>
      <c r="C8264" s="100" t="s">
        <v>32</v>
      </c>
      <c r="D8264" s="6">
        <v>46018</v>
      </c>
      <c r="E8264" s="3" t="str">
        <f ca="1">IF(Tabela2[[#This Row],[Dt Venc:]]&gt;TODAY(),"Em Aberto",IF(Tabela2[[#This Row],[D/venc]]="-","Enviado",IF(Tabela2[[#This Row],[Dt Venc:]]=TODAY(),"Vence Hoje","Vencida")))</f>
        <v>Em Aberto</v>
      </c>
      <c r="F8264" s="3">
        <f ca="1">IF(G8264=1,"-",Tabela2[[#This Row],[Dt Venc:]]-TODAY())</f>
        <v>325</v>
      </c>
      <c r="G8264" s="3"/>
      <c r="H8264" s="3"/>
    </row>
    <row r="8265" spans="1:8">
      <c r="A8265" s="3" t="s">
        <v>110</v>
      </c>
      <c r="B8265" s="7" t="s">
        <v>373</v>
      </c>
      <c r="C8265" s="42" t="s">
        <v>32</v>
      </c>
      <c r="D8265" s="6">
        <v>46019</v>
      </c>
      <c r="E8265" s="3" t="str">
        <f ca="1">IF(Tabela2[[#This Row],[Dt Venc:]]&gt;TODAY(),"Em Aberto",IF(Tabela2[[#This Row],[D/venc]]="-","Enviado",IF(Tabela2[[#This Row],[Dt Venc:]]=TODAY(),"Vence Hoje","Vencida")))</f>
        <v>Em Aberto</v>
      </c>
      <c r="F8265" s="3">
        <f ca="1">IF(G8265=1,"-",Tabela2[[#This Row],[Dt Venc:]]-TODAY())</f>
        <v>326</v>
      </c>
      <c r="G8265" s="3"/>
      <c r="H8265" s="3"/>
    </row>
    <row r="8266" spans="1:8">
      <c r="A8266" s="3" t="s">
        <v>123</v>
      </c>
      <c r="B8266" s="7" t="s">
        <v>386</v>
      </c>
      <c r="C8266" s="87" t="s">
        <v>32</v>
      </c>
      <c r="D8266" s="6">
        <v>46021</v>
      </c>
      <c r="E8266" s="3" t="str">
        <f ca="1">IF(Tabela2[[#This Row],[Dt Venc:]]&gt;TODAY(),"Em Aberto",IF(Tabela2[[#This Row],[D/venc]]="-","Enviado",IF(Tabela2[[#This Row],[Dt Venc:]]=TODAY(),"Vence Hoje","Vencida")))</f>
        <v>Em Aberto</v>
      </c>
      <c r="F8266" s="3">
        <f ca="1">IF(G8266=1,"-",Tabela2[[#This Row],[Dt Venc:]]-TODAY())</f>
        <v>328</v>
      </c>
      <c r="G8266" s="3"/>
      <c r="H8266" s="3"/>
    </row>
    <row r="8267" spans="1:8">
      <c r="A8267" s="3">
        <v>11681</v>
      </c>
      <c r="B8267" s="7" t="s">
        <v>82</v>
      </c>
      <c r="C8267" s="87" t="s">
        <v>30</v>
      </c>
      <c r="D8267" s="6">
        <v>46022</v>
      </c>
      <c r="E8267" s="3" t="str">
        <f ca="1">IF(Tabela2[[#This Row],[Dt Venc:]]&gt;TODAY(),"Em Aberto",IF(Tabela2[[#This Row],[D/venc]]="-","Enviado",IF(Tabela2[[#This Row],[Dt Venc:]]=TODAY(),"Vence Hoje","Vencida")))</f>
        <v>Em Aberto</v>
      </c>
      <c r="F8267" s="3">
        <f ca="1">IF(G8267=1,"-",Tabela2[[#This Row],[Dt Venc:]]-TODAY())</f>
        <v>329</v>
      </c>
      <c r="G8267" s="3"/>
      <c r="H8267" s="3"/>
    </row>
    <row r="8268" spans="1:8">
      <c r="A8268" s="3" t="s">
        <v>28</v>
      </c>
      <c r="B8268" s="7" t="s">
        <v>391</v>
      </c>
      <c r="C8268" s="85" t="s">
        <v>30</v>
      </c>
      <c r="D8268" s="6">
        <v>46022</v>
      </c>
      <c r="E8268" s="3" t="str">
        <f ca="1">IF(Tabela2[[#This Row],[Dt Venc:]]&gt;TODAY(),"Em Aberto",IF(Tabela2[[#This Row],[D/venc]]="-","Enviado",IF(Tabela2[[#This Row],[Dt Venc:]]=TODAY(),"Vence Hoje","Vencida")))</f>
        <v>Em Aberto</v>
      </c>
      <c r="F8268" s="3">
        <f ca="1">IF(G8268=1,"-",Tabela2[[#This Row],[Dt Venc:]]-TODAY())</f>
        <v>329</v>
      </c>
      <c r="G8268" s="3"/>
      <c r="H8268" s="3"/>
    </row>
    <row r="8269" spans="1:8">
      <c r="A8269" s="3">
        <v>36910</v>
      </c>
      <c r="B8269" s="7" t="s">
        <v>167</v>
      </c>
      <c r="C8269" s="100" t="s">
        <v>32</v>
      </c>
      <c r="D8269" s="6">
        <v>46023</v>
      </c>
      <c r="E8269" s="3" t="str">
        <f ca="1">IF(Tabela2[[#This Row],[Dt Venc:]]&gt;TODAY(),"Em Aberto",IF(Tabela2[[#This Row],[D/venc]]="-","Enviado",IF(Tabela2[[#This Row],[Dt Venc:]]=TODAY(),"Vence Hoje","Vencida")))</f>
        <v>Em Aberto</v>
      </c>
      <c r="F8269" s="3">
        <f ca="1">IF(G8269=1,"-",Tabela2[[#This Row],[Dt Venc:]]-TODAY())</f>
        <v>330</v>
      </c>
      <c r="G8269" s="3"/>
      <c r="H8269" s="3"/>
    </row>
    <row r="8270" spans="1:8">
      <c r="A8270" s="3">
        <v>10494</v>
      </c>
      <c r="B8270" s="7" t="s">
        <v>82</v>
      </c>
      <c r="C8270" s="88" t="s">
        <v>30</v>
      </c>
      <c r="D8270" s="6">
        <v>46025</v>
      </c>
      <c r="E8270" s="3" t="str">
        <f ca="1">IF(Tabela2[[#This Row],[Dt Venc:]]&gt;TODAY(),"Em Aberto",IF(Tabela2[[#This Row],[D/venc]]="-","Enviado",IF(Tabela2[[#This Row],[Dt Venc:]]=TODAY(),"Vence Hoje","Vencida")))</f>
        <v>Em Aberto</v>
      </c>
      <c r="F8270" s="3">
        <f ca="1">IF(G8270=1,"-",Tabela2[[#This Row],[Dt Venc:]]-TODAY())</f>
        <v>332</v>
      </c>
      <c r="G8270" s="3"/>
      <c r="H8270" s="3"/>
    </row>
    <row r="8271" spans="1:8">
      <c r="A8271" s="3">
        <v>5680</v>
      </c>
      <c r="B8271" s="7" t="s">
        <v>122</v>
      </c>
      <c r="C8271" s="99" t="s">
        <v>32</v>
      </c>
      <c r="D8271" s="6">
        <v>46027</v>
      </c>
      <c r="E8271" s="3" t="str">
        <f ca="1">IF(Tabela2[[#This Row],[Dt Venc:]]&gt;TODAY(),"Em Aberto",IF(Tabela2[[#This Row],[D/venc]]="-","Enviado",IF(Tabela2[[#This Row],[Dt Venc:]]=TODAY(),"Vence Hoje","Vencida")))</f>
        <v>Em Aberto</v>
      </c>
      <c r="F8271" s="3">
        <f ca="1">IF(G8271=1,"-",Tabela2[[#This Row],[Dt Venc:]]-TODAY())</f>
        <v>334</v>
      </c>
      <c r="G8271" s="3"/>
      <c r="H8271" s="3"/>
    </row>
    <row r="8272" spans="1:8">
      <c r="A8272" s="3">
        <v>10353</v>
      </c>
      <c r="B8272" s="7" t="s">
        <v>82</v>
      </c>
      <c r="C8272" s="100" t="s">
        <v>32</v>
      </c>
      <c r="D8272" s="6">
        <v>46027</v>
      </c>
      <c r="E8272" s="3" t="str">
        <f ca="1">IF(Tabela2[[#This Row],[Dt Venc:]]&gt;TODAY(),"Em Aberto",IF(Tabela2[[#This Row],[D/venc]]="-","Enviado",IF(Tabela2[[#This Row],[Dt Venc:]]=TODAY(),"Vence Hoje","Vencida")))</f>
        <v>Em Aberto</v>
      </c>
      <c r="F8272" s="3">
        <f ca="1">IF(G8272=1,"-",Tabela2[[#This Row],[Dt Venc:]]-TODAY())</f>
        <v>334</v>
      </c>
      <c r="G8272" s="3"/>
      <c r="H8272" s="3"/>
    </row>
    <row r="8273" spans="1:8">
      <c r="A8273" s="3">
        <v>284620</v>
      </c>
      <c r="B8273" s="7" t="s">
        <v>153</v>
      </c>
      <c r="C8273" s="99" t="s">
        <v>32</v>
      </c>
      <c r="D8273" s="6">
        <v>46030</v>
      </c>
      <c r="E8273" s="3" t="str">
        <f ca="1">IF(Tabela2[[#This Row],[Dt Venc:]]&gt;TODAY(),"Em Aberto",IF(Tabela2[[#This Row],[D/venc]]="-","Enviado",IF(Tabela2[[#This Row],[Dt Venc:]]=TODAY(),"Vence Hoje","Vencida")))</f>
        <v>Em Aberto</v>
      </c>
      <c r="F8273" s="3">
        <f ca="1">IF(G8273=1,"-",Tabela2[[#This Row],[Dt Venc:]]-TODAY())</f>
        <v>337</v>
      </c>
      <c r="G8273" s="3"/>
      <c r="H8273" s="3"/>
    </row>
    <row r="8274" spans="1:8">
      <c r="A8274" s="3">
        <v>36949</v>
      </c>
      <c r="B8274" s="7" t="s">
        <v>167</v>
      </c>
      <c r="C8274" s="100" t="s">
        <v>32</v>
      </c>
      <c r="D8274" s="6">
        <v>46031</v>
      </c>
      <c r="E8274" s="3" t="str">
        <f ca="1">IF(Tabela2[[#This Row],[Dt Venc:]]&gt;TODAY(),"Em Aberto",IF(Tabela2[[#This Row],[D/venc]]="-","Enviado",IF(Tabela2[[#This Row],[Dt Venc:]]=TODAY(),"Vence Hoje","Vencida")))</f>
        <v>Em Aberto</v>
      </c>
      <c r="F8274" s="3">
        <f ca="1">IF(G8274=1,"-",Tabela2[[#This Row],[Dt Venc:]]-TODAY())</f>
        <v>338</v>
      </c>
      <c r="G8274" s="3"/>
      <c r="H8274" s="3"/>
    </row>
    <row r="8275" spans="1:8">
      <c r="A8275" s="3">
        <v>756561</v>
      </c>
      <c r="B8275" s="7" t="s">
        <v>166</v>
      </c>
      <c r="C8275" s="100" t="s">
        <v>32</v>
      </c>
      <c r="D8275" s="6">
        <v>46031</v>
      </c>
      <c r="E8275" s="3" t="str">
        <f ca="1">IF(Tabela2[[#This Row],[Dt Venc:]]&gt;TODAY(),"Em Aberto",IF(Tabela2[[#This Row],[D/venc]]="-","Enviado",IF(Tabela2[[#This Row],[Dt Venc:]]=TODAY(),"Vence Hoje","Vencida")))</f>
        <v>Em Aberto</v>
      </c>
      <c r="F8275" s="3">
        <f ca="1">IF(G8275=1,"-",Tabela2[[#This Row],[Dt Venc:]]-TODAY())</f>
        <v>338</v>
      </c>
      <c r="G8275" s="3"/>
      <c r="H8275" s="3"/>
    </row>
    <row r="8276" spans="1:8">
      <c r="A8276" s="3" t="s">
        <v>179</v>
      </c>
      <c r="B8276" s="7" t="s">
        <v>180</v>
      </c>
      <c r="C8276" s="100" t="s">
        <v>32</v>
      </c>
      <c r="D8276" s="6">
        <v>46031</v>
      </c>
      <c r="E8276" s="3" t="str">
        <f ca="1">IF(Tabela2[[#This Row],[Dt Venc:]]&gt;TODAY(),"Em Aberto",IF(Tabela2[[#This Row],[D/venc]]="-","Enviado",IF(Tabela2[[#This Row],[Dt Venc:]]=TODAY(),"Vence Hoje","Vencida")))</f>
        <v>Em Aberto</v>
      </c>
      <c r="F8276" s="3">
        <f ca="1">IF(G8276=1,"-",Tabela2[[#This Row],[Dt Venc:]]-TODAY())</f>
        <v>338</v>
      </c>
      <c r="G8276" s="3"/>
      <c r="H8276" s="3"/>
    </row>
    <row r="8277" spans="1:8">
      <c r="A8277" s="3" t="s">
        <v>123</v>
      </c>
      <c r="B8277" s="7" t="s">
        <v>418</v>
      </c>
      <c r="C8277" s="42" t="s">
        <v>32</v>
      </c>
      <c r="D8277" s="6">
        <v>46032</v>
      </c>
      <c r="E8277" s="3" t="str">
        <f ca="1">IF(Tabela2[[#This Row],[Dt Venc:]]&gt;TODAY(),"Em Aberto",IF(Tabela2[[#This Row],[D/venc]]="-","Enviado",IF(Tabela2[[#This Row],[Dt Venc:]]=TODAY(),"Vence Hoje","Vencida")))</f>
        <v>Em Aberto</v>
      </c>
      <c r="F8277" s="3">
        <f ca="1">IF(G8277=1,"-",Tabela2[[#This Row],[Dt Venc:]]-TODAY())</f>
        <v>339</v>
      </c>
      <c r="G8277" s="3"/>
      <c r="H8277" s="3"/>
    </row>
    <row r="8278" spans="1:8">
      <c r="A8278" s="3" t="s">
        <v>179</v>
      </c>
      <c r="B8278" s="7" t="s">
        <v>190</v>
      </c>
      <c r="C8278" s="100" t="s">
        <v>32</v>
      </c>
      <c r="D8278" s="6">
        <v>46032</v>
      </c>
      <c r="E8278" s="3" t="str">
        <f ca="1">IF(Tabela2[[#This Row],[Dt Venc:]]&gt;TODAY(),"Em Aberto",IF(Tabela2[[#This Row],[D/venc]]="-","Enviado",IF(Tabela2[[#This Row],[Dt Venc:]]=TODAY(),"Vence Hoje","Vencida")))</f>
        <v>Em Aberto</v>
      </c>
      <c r="F8278" s="3">
        <f ca="1">IF(G8278=1,"-",Tabela2[[#This Row],[Dt Venc:]]-TODAY())</f>
        <v>339</v>
      </c>
      <c r="G8278" s="3"/>
      <c r="H8278" s="3"/>
    </row>
    <row r="8279" spans="1:8">
      <c r="A8279" s="3">
        <v>37327</v>
      </c>
      <c r="B8279" s="7" t="s">
        <v>167</v>
      </c>
      <c r="C8279" s="100" t="s">
        <v>32</v>
      </c>
      <c r="D8279" s="6">
        <v>46033</v>
      </c>
      <c r="E8279" s="3" t="str">
        <f ca="1">IF(Tabela2[[#This Row],[Dt Venc:]]&gt;TODAY(),"Em Aberto",IF(Tabela2[[#This Row],[D/venc]]="-","Enviado",IF(Tabela2[[#This Row],[Dt Venc:]]=TODAY(),"Vence Hoje","Vencida")))</f>
        <v>Em Aberto</v>
      </c>
      <c r="F8279" s="3">
        <f ca="1">IF(G8279=1,"-",Tabela2[[#This Row],[Dt Venc:]]-TODAY())</f>
        <v>340</v>
      </c>
      <c r="G8279" s="3"/>
      <c r="H8279" s="3"/>
    </row>
    <row r="8280" spans="1:8">
      <c r="A8280" s="3">
        <v>37292</v>
      </c>
      <c r="B8280" s="7" t="s">
        <v>167</v>
      </c>
      <c r="C8280" s="100" t="s">
        <v>32</v>
      </c>
      <c r="D8280" s="6">
        <v>46034</v>
      </c>
      <c r="E8280" s="3" t="str">
        <f ca="1">IF(Tabela2[[#This Row],[Dt Venc:]]&gt;TODAY(),"Em Aberto",IF(Tabela2[[#This Row],[D/venc]]="-","Enviado",IF(Tabela2[[#This Row],[Dt Venc:]]=TODAY(),"Vence Hoje","Vencida")))</f>
        <v>Em Aberto</v>
      </c>
      <c r="F8280" s="3">
        <f ca="1">IF(G8280=1,"-",Tabela2[[#This Row],[Dt Venc:]]-TODAY())</f>
        <v>341</v>
      </c>
      <c r="G8280" s="3"/>
      <c r="H8280" s="3"/>
    </row>
    <row r="8281" spans="1:8">
      <c r="A8281" s="3">
        <v>562</v>
      </c>
      <c r="B8281" s="7" t="s">
        <v>251</v>
      </c>
      <c r="C8281" s="100" t="s">
        <v>32</v>
      </c>
      <c r="D8281" s="6">
        <v>46037</v>
      </c>
      <c r="E8281" s="3" t="str">
        <f ca="1">IF(Tabela2[[#This Row],[Dt Venc:]]&gt;TODAY(),"Em Aberto",IF(Tabela2[[#This Row],[D/venc]]="-","Enviado",IF(Tabela2[[#This Row],[Dt Venc:]]=TODAY(),"Vence Hoje","Vencida")))</f>
        <v>Em Aberto</v>
      </c>
      <c r="F8281" s="3">
        <f ca="1">IF(G8281=1,"-",Tabela2[[#This Row],[Dt Venc:]]-TODAY())</f>
        <v>344</v>
      </c>
      <c r="G8281" s="3"/>
      <c r="H8281" s="3"/>
    </row>
    <row r="8282" spans="1:8">
      <c r="A8282" s="3">
        <v>103015</v>
      </c>
      <c r="B8282" s="7" t="s">
        <v>252</v>
      </c>
      <c r="C8282" s="100" t="s">
        <v>32</v>
      </c>
      <c r="D8282" s="6">
        <v>46037</v>
      </c>
      <c r="E8282" s="3" t="str">
        <f ca="1">IF(Tabela2[[#This Row],[Dt Venc:]]&gt;TODAY(),"Em Aberto",IF(Tabela2[[#This Row],[D/venc]]="-","Enviado",IF(Tabela2[[#This Row],[Dt Venc:]]=TODAY(),"Vence Hoje","Vencida")))</f>
        <v>Em Aberto</v>
      </c>
      <c r="F8282" s="3">
        <f ca="1">IF(G8282=1,"-",Tabela2[[#This Row],[Dt Venc:]]-TODAY())</f>
        <v>344</v>
      </c>
      <c r="G8282" s="3"/>
      <c r="H8282" s="3"/>
    </row>
    <row r="8283" spans="1:8">
      <c r="A8283" s="3">
        <v>103077</v>
      </c>
      <c r="B8283" s="7" t="s">
        <v>252</v>
      </c>
      <c r="C8283" s="100" t="s">
        <v>32</v>
      </c>
      <c r="D8283" s="6">
        <v>46037</v>
      </c>
      <c r="E8283" s="3" t="str">
        <f ca="1">IF(Tabela2[[#This Row],[Dt Venc:]]&gt;TODAY(),"Em Aberto",IF(Tabela2[[#This Row],[D/venc]]="-","Enviado",IF(Tabela2[[#This Row],[Dt Venc:]]=TODAY(),"Vence Hoje","Vencida")))</f>
        <v>Em Aberto</v>
      </c>
      <c r="F8283" s="3">
        <f ca="1">IF(G8283=1,"-",Tabela2[[#This Row],[Dt Venc:]]-TODAY())</f>
        <v>344</v>
      </c>
      <c r="G8283" s="3"/>
      <c r="H8283" s="3"/>
    </row>
    <row r="8284" spans="1:8">
      <c r="A8284" s="3">
        <v>103153</v>
      </c>
      <c r="B8284" s="7" t="s">
        <v>252</v>
      </c>
      <c r="C8284" s="87" t="s">
        <v>32</v>
      </c>
      <c r="D8284" s="6">
        <v>46037</v>
      </c>
      <c r="E8284" s="3" t="str">
        <f ca="1">IF(Tabela2[[#This Row],[Dt Venc:]]&gt;TODAY(),"Em Aberto",IF(Tabela2[[#This Row],[D/venc]]="-","Enviado",IF(Tabela2[[#This Row],[Dt Venc:]]=TODAY(),"Vence Hoje","Vencida")))</f>
        <v>Em Aberto</v>
      </c>
      <c r="F8284" s="3">
        <f ca="1">IF(G8284=1,"-",Tabela2[[#This Row],[Dt Venc:]]-TODAY())</f>
        <v>344</v>
      </c>
      <c r="G8284" s="3"/>
      <c r="H8284" s="3"/>
    </row>
    <row r="8285" spans="1:8">
      <c r="A8285" s="3">
        <v>103154</v>
      </c>
      <c r="B8285" s="7" t="s">
        <v>252</v>
      </c>
      <c r="C8285" s="100" t="s">
        <v>32</v>
      </c>
      <c r="D8285" s="6">
        <v>46037</v>
      </c>
      <c r="E8285" s="3" t="str">
        <f ca="1">IF(Tabela2[[#This Row],[Dt Venc:]]&gt;TODAY(),"Em Aberto",IF(Tabela2[[#This Row],[D/venc]]="-","Enviado",IF(Tabela2[[#This Row],[Dt Venc:]]=TODAY(),"Vence Hoje","Vencida")))</f>
        <v>Em Aberto</v>
      </c>
      <c r="F8285" s="3">
        <f ca="1">IF(G8285=1,"-",Tabela2[[#This Row],[Dt Venc:]]-TODAY())</f>
        <v>344</v>
      </c>
      <c r="G8285" s="3"/>
      <c r="H8285" s="3"/>
    </row>
    <row r="8286" spans="1:8">
      <c r="A8286" s="3">
        <v>106007</v>
      </c>
      <c r="B8286" s="7" t="s">
        <v>252</v>
      </c>
      <c r="C8286" s="100" t="s">
        <v>32</v>
      </c>
      <c r="D8286" s="6">
        <v>46037</v>
      </c>
      <c r="E8286" s="3" t="str">
        <f ca="1">IF(Tabela2[[#This Row],[Dt Venc:]]&gt;TODAY(),"Em Aberto",IF(Tabela2[[#This Row],[D/venc]]="-","Enviado",IF(Tabela2[[#This Row],[Dt Venc:]]=TODAY(),"Vence Hoje","Vencida")))</f>
        <v>Em Aberto</v>
      </c>
      <c r="F8286" s="3">
        <f ca="1">IF(G8286=1,"-",Tabela2[[#This Row],[Dt Venc:]]-TODAY())</f>
        <v>344</v>
      </c>
      <c r="G8286" s="3"/>
      <c r="H8286" s="3"/>
    </row>
    <row r="8287" spans="1:8">
      <c r="A8287" s="3">
        <v>106043</v>
      </c>
      <c r="B8287" s="7" t="s">
        <v>252</v>
      </c>
      <c r="C8287" s="100" t="s">
        <v>32</v>
      </c>
      <c r="D8287" s="6">
        <v>46037</v>
      </c>
      <c r="E8287" s="3" t="str">
        <f ca="1">IF(Tabela2[[#This Row],[Dt Venc:]]&gt;TODAY(),"Em Aberto",IF(Tabela2[[#This Row],[D/venc]]="-","Enviado",IF(Tabela2[[#This Row],[Dt Venc:]]=TODAY(),"Vence Hoje","Vencida")))</f>
        <v>Em Aberto</v>
      </c>
      <c r="F8287" s="3">
        <f ca="1">IF(G8287=1,"-",Tabela2[[#This Row],[Dt Venc:]]-TODAY())</f>
        <v>344</v>
      </c>
      <c r="G8287" s="3"/>
      <c r="H8287" s="3"/>
    </row>
    <row r="8288" spans="1:8">
      <c r="A8288" s="3">
        <v>107829</v>
      </c>
      <c r="B8288" s="7" t="s">
        <v>252</v>
      </c>
      <c r="C8288" s="100" t="s">
        <v>32</v>
      </c>
      <c r="D8288" s="6">
        <v>46037</v>
      </c>
      <c r="E8288" s="3" t="str">
        <f ca="1">IF(Tabela2[[#This Row],[Dt Venc:]]&gt;TODAY(),"Em Aberto",IF(Tabela2[[#This Row],[D/venc]]="-","Enviado",IF(Tabela2[[#This Row],[Dt Venc:]]=TODAY(),"Vence Hoje","Vencida")))</f>
        <v>Em Aberto</v>
      </c>
      <c r="F8288" s="3">
        <f ca="1">IF(G8288=1,"-",Tabela2[[#This Row],[Dt Venc:]]-TODAY())</f>
        <v>344</v>
      </c>
      <c r="G8288" s="3"/>
      <c r="H8288" s="3"/>
    </row>
    <row r="8289" spans="1:8">
      <c r="A8289" s="3">
        <v>107830</v>
      </c>
      <c r="B8289" s="7" t="s">
        <v>252</v>
      </c>
      <c r="C8289" s="87" t="s">
        <v>32</v>
      </c>
      <c r="D8289" s="6">
        <v>46037</v>
      </c>
      <c r="E8289" s="3" t="str">
        <f ca="1">IF(Tabela2[[#This Row],[Dt Venc:]]&gt;TODAY(),"Em Aberto",IF(Tabela2[[#This Row],[D/venc]]="-","Enviado",IF(Tabela2[[#This Row],[Dt Venc:]]=TODAY(),"Vence Hoje","Vencida")))</f>
        <v>Em Aberto</v>
      </c>
      <c r="F8289" s="3">
        <f ca="1">IF(G8289=1,"-",Tabela2[[#This Row],[Dt Venc:]]-TODAY())</f>
        <v>344</v>
      </c>
      <c r="G8289" s="3"/>
      <c r="H8289" s="3"/>
    </row>
    <row r="8290" spans="1:8">
      <c r="A8290" s="3">
        <v>107831</v>
      </c>
      <c r="B8290" s="7" t="s">
        <v>252</v>
      </c>
      <c r="C8290" s="100" t="s">
        <v>32</v>
      </c>
      <c r="D8290" s="6">
        <v>46037</v>
      </c>
      <c r="E8290" s="3" t="str">
        <f ca="1">IF(Tabela2[[#This Row],[Dt Venc:]]&gt;TODAY(),"Em Aberto",IF(Tabela2[[#This Row],[D/venc]]="-","Enviado",IF(Tabela2[[#This Row],[Dt Venc:]]=TODAY(),"Vence Hoje","Vencida")))</f>
        <v>Em Aberto</v>
      </c>
      <c r="F8290" s="3">
        <f ca="1">IF(G8290=1,"-",Tabela2[[#This Row],[Dt Venc:]]-TODAY())</f>
        <v>344</v>
      </c>
      <c r="G8290" s="3"/>
      <c r="H8290" s="3"/>
    </row>
    <row r="8291" spans="1:8">
      <c r="A8291" s="3">
        <v>107832</v>
      </c>
      <c r="B8291" s="7" t="s">
        <v>252</v>
      </c>
      <c r="C8291" s="100" t="s">
        <v>32</v>
      </c>
      <c r="D8291" s="6">
        <v>46037</v>
      </c>
      <c r="E8291" s="3" t="str">
        <f ca="1">IF(Tabela2[[#This Row],[Dt Venc:]]&gt;TODAY(),"Em Aberto",IF(Tabela2[[#This Row],[D/venc]]="-","Enviado",IF(Tabela2[[#This Row],[Dt Venc:]]=TODAY(),"Vence Hoje","Vencida")))</f>
        <v>Em Aberto</v>
      </c>
      <c r="F8291" s="3">
        <f ca="1">IF(G8291=1,"-",Tabela2[[#This Row],[Dt Venc:]]-TODAY())</f>
        <v>344</v>
      </c>
      <c r="G8291" s="3"/>
      <c r="H8291" s="3"/>
    </row>
    <row r="8292" spans="1:8">
      <c r="A8292" s="3">
        <v>361229</v>
      </c>
      <c r="B8292" s="7" t="s">
        <v>250</v>
      </c>
      <c r="C8292" s="99" t="s">
        <v>32</v>
      </c>
      <c r="D8292" s="6">
        <v>46037</v>
      </c>
      <c r="E8292" s="3" t="str">
        <f ca="1">IF(Tabela2[[#This Row],[Dt Venc:]]&gt;TODAY(),"Em Aberto",IF(Tabela2[[#This Row],[D/venc]]="-","Enviado",IF(Tabela2[[#This Row],[Dt Venc:]]=TODAY(),"Vence Hoje","Vencida")))</f>
        <v>Em Aberto</v>
      </c>
      <c r="F8292" s="3">
        <f ca="1">IF(G8292=1,"-",Tabela2[[#This Row],[Dt Venc:]]-TODAY())</f>
        <v>344</v>
      </c>
      <c r="G8292" s="3"/>
      <c r="H8292" s="3"/>
    </row>
    <row r="8293" spans="1:8">
      <c r="A8293" s="3">
        <v>361237</v>
      </c>
      <c r="B8293" s="7" t="s">
        <v>250</v>
      </c>
      <c r="C8293" s="100" t="s">
        <v>32</v>
      </c>
      <c r="D8293" s="6">
        <v>46037</v>
      </c>
      <c r="E8293" s="3" t="str">
        <f ca="1">IF(Tabela2[[#This Row],[Dt Venc:]]&gt;TODAY(),"Em Aberto",IF(Tabela2[[#This Row],[D/venc]]="-","Enviado",IF(Tabela2[[#This Row],[Dt Venc:]]=TODAY(),"Vence Hoje","Vencida")))</f>
        <v>Em Aberto</v>
      </c>
      <c r="F8293" s="3">
        <f ca="1">IF(G8293=1,"-",Tabela2[[#This Row],[Dt Venc:]]-TODAY())</f>
        <v>344</v>
      </c>
      <c r="G8293" s="3"/>
      <c r="H8293" s="3"/>
    </row>
    <row r="8294" spans="1:8">
      <c r="A8294" s="3">
        <v>365658</v>
      </c>
      <c r="B8294" s="7" t="s">
        <v>250</v>
      </c>
      <c r="C8294" s="100" t="s">
        <v>32</v>
      </c>
      <c r="D8294" s="6">
        <v>46037</v>
      </c>
      <c r="E8294" s="3" t="str">
        <f ca="1">IF(Tabela2[[#This Row],[Dt Venc:]]&gt;TODAY(),"Em Aberto",IF(Tabela2[[#This Row],[D/venc]]="-","Enviado",IF(Tabela2[[#This Row],[Dt Venc:]]=TODAY(),"Vence Hoje","Vencida")))</f>
        <v>Em Aberto</v>
      </c>
      <c r="F8294" s="3">
        <f ca="1">IF(G8294=1,"-",Tabela2[[#This Row],[Dt Venc:]]-TODAY())</f>
        <v>344</v>
      </c>
      <c r="G8294" s="3"/>
      <c r="H8294" s="3"/>
    </row>
    <row r="8295" spans="1:8">
      <c r="A8295" s="3">
        <v>365666</v>
      </c>
      <c r="B8295" s="7" t="s">
        <v>250</v>
      </c>
      <c r="C8295" s="100" t="s">
        <v>32</v>
      </c>
      <c r="D8295" s="6">
        <v>46037</v>
      </c>
      <c r="E8295" s="3" t="str">
        <f ca="1">IF(Tabela2[[#This Row],[Dt Venc:]]&gt;TODAY(),"Em Aberto",IF(Tabela2[[#This Row],[D/venc]]="-","Enviado",IF(Tabela2[[#This Row],[Dt Venc:]]=TODAY(),"Vence Hoje","Vencida")))</f>
        <v>Em Aberto</v>
      </c>
      <c r="F8295" s="3">
        <f ca="1">IF(G8295=1,"-",Tabela2[[#This Row],[Dt Venc:]]-TODAY())</f>
        <v>344</v>
      </c>
      <c r="G8295" s="3"/>
      <c r="H8295" s="3"/>
    </row>
    <row r="8296" spans="1:8">
      <c r="A8296" s="3">
        <v>365674</v>
      </c>
      <c r="B8296" s="7" t="s">
        <v>250</v>
      </c>
      <c r="C8296" s="100" t="s">
        <v>32</v>
      </c>
      <c r="D8296" s="6">
        <v>46037</v>
      </c>
      <c r="E8296" s="3" t="str">
        <f ca="1">IF(Tabela2[[#This Row],[Dt Venc:]]&gt;TODAY(),"Em Aberto",IF(Tabela2[[#This Row],[D/venc]]="-","Enviado",IF(Tabela2[[#This Row],[Dt Venc:]]=TODAY(),"Vence Hoje","Vencida")))</f>
        <v>Em Aberto</v>
      </c>
      <c r="F8296" s="3">
        <f ca="1">IF(G8296=1,"-",Tabela2[[#This Row],[Dt Venc:]]-TODAY())</f>
        <v>344</v>
      </c>
      <c r="G8296" s="3"/>
      <c r="H8296" s="3"/>
    </row>
    <row r="8297" spans="1:8">
      <c r="A8297" s="3">
        <v>365682</v>
      </c>
      <c r="B8297" s="7" t="s">
        <v>250</v>
      </c>
      <c r="C8297" s="100" t="s">
        <v>32</v>
      </c>
      <c r="D8297" s="6">
        <v>46037</v>
      </c>
      <c r="E8297" s="3" t="str">
        <f ca="1">IF(Tabela2[[#This Row],[Dt Venc:]]&gt;TODAY(),"Em Aberto",IF(Tabela2[[#This Row],[D/venc]]="-","Enviado",IF(Tabela2[[#This Row],[Dt Venc:]]=TODAY(),"Vence Hoje","Vencida")))</f>
        <v>Em Aberto</v>
      </c>
      <c r="F8297" s="3">
        <f ca="1">IF(G8297=1,"-",Tabela2[[#This Row],[Dt Venc:]]-TODAY())</f>
        <v>344</v>
      </c>
      <c r="G8297" s="3"/>
      <c r="H8297" s="3"/>
    </row>
    <row r="8298" spans="1:8">
      <c r="A8298" s="3">
        <v>369335</v>
      </c>
      <c r="B8298" s="7" t="s">
        <v>543</v>
      </c>
      <c r="C8298" s="87" t="s">
        <v>32</v>
      </c>
      <c r="D8298" s="6">
        <v>46037</v>
      </c>
      <c r="E8298" s="3" t="str">
        <f ca="1">IF(Tabela2[[#This Row],[Dt Venc:]]&gt;TODAY(),"Em Aberto",IF(Tabela2[[#This Row],[D/venc]]="-","Enviado",IF(Tabela2[[#This Row],[Dt Venc:]]=TODAY(),"Vence Hoje","Vencida")))</f>
        <v>Em Aberto</v>
      </c>
      <c r="F8298" s="3">
        <f ca="1">IF(G8298=1,"-",Tabela2[[#This Row],[Dt Venc:]]-TODAY())</f>
        <v>344</v>
      </c>
      <c r="G8298" s="3"/>
      <c r="H8298" s="3"/>
    </row>
    <row r="8299" spans="1:8">
      <c r="A8299" s="3">
        <v>369696</v>
      </c>
      <c r="B8299" s="7" t="s">
        <v>543</v>
      </c>
      <c r="C8299" s="87" t="s">
        <v>32</v>
      </c>
      <c r="D8299" s="6">
        <v>46037</v>
      </c>
      <c r="E8299" s="3" t="str">
        <f ca="1">IF(Tabela2[[#This Row],[Dt Venc:]]&gt;TODAY(),"Em Aberto",IF(Tabela2[[#This Row],[D/venc]]="-","Enviado",IF(Tabela2[[#This Row],[Dt Venc:]]=TODAY(),"Vence Hoje","Vencida")))</f>
        <v>Em Aberto</v>
      </c>
      <c r="F8299" s="3">
        <f ca="1">IF(G8299=1,"-",Tabela2[[#This Row],[Dt Venc:]]-TODAY())</f>
        <v>344</v>
      </c>
      <c r="G8299" s="3"/>
      <c r="H8299" s="3"/>
    </row>
    <row r="8300" spans="1:8">
      <c r="A8300" s="3">
        <v>369726</v>
      </c>
      <c r="B8300" s="7" t="s">
        <v>543</v>
      </c>
      <c r="C8300" s="87" t="s">
        <v>32</v>
      </c>
      <c r="D8300" s="6">
        <v>46037</v>
      </c>
      <c r="E8300" s="3" t="str">
        <f ca="1">IF(Tabela2[[#This Row],[Dt Venc:]]&gt;TODAY(),"Em Aberto",IF(Tabela2[[#This Row],[D/venc]]="-","Enviado",IF(Tabela2[[#This Row],[Dt Venc:]]=TODAY(),"Vence Hoje","Vencida")))</f>
        <v>Em Aberto</v>
      </c>
      <c r="F8300" s="3">
        <f ca="1">IF(G8300=1,"-",Tabela2[[#This Row],[Dt Venc:]]-TODAY())</f>
        <v>344</v>
      </c>
      <c r="G8300" s="3"/>
      <c r="H8300" s="3"/>
    </row>
    <row r="8301" spans="1:8">
      <c r="A8301" s="3">
        <v>369751</v>
      </c>
      <c r="B8301" s="7" t="s">
        <v>543</v>
      </c>
      <c r="C8301" s="87" t="s">
        <v>32</v>
      </c>
      <c r="D8301" s="6">
        <v>46037</v>
      </c>
      <c r="E8301" s="3" t="str">
        <f ca="1">IF(Tabela2[[#This Row],[Dt Venc:]]&gt;TODAY(),"Em Aberto",IF(Tabela2[[#This Row],[D/venc]]="-","Enviado",IF(Tabela2[[#This Row],[Dt Venc:]]=TODAY(),"Vence Hoje","Vencida")))</f>
        <v>Em Aberto</v>
      </c>
      <c r="F8301" s="3">
        <f ca="1">IF(G8301=1,"-",Tabela2[[#This Row],[Dt Venc:]]-TODAY())</f>
        <v>344</v>
      </c>
      <c r="G8301" s="3"/>
      <c r="H8301" s="3"/>
    </row>
    <row r="8302" spans="1:8">
      <c r="A8302" s="3">
        <v>370201</v>
      </c>
      <c r="B8302" s="7" t="s">
        <v>543</v>
      </c>
      <c r="C8302" s="85" t="s">
        <v>32</v>
      </c>
      <c r="D8302" s="6">
        <v>46037</v>
      </c>
      <c r="E8302" s="3" t="str">
        <f ca="1">IF(Tabela2[[#This Row],[Dt Venc:]]&gt;TODAY(),"Em Aberto",IF(Tabela2[[#This Row],[D/venc]]="-","Enviado",IF(Tabela2[[#This Row],[Dt Venc:]]=TODAY(),"Vence Hoje","Vencida")))</f>
        <v>Em Aberto</v>
      </c>
      <c r="F8302" s="3">
        <f ca="1">IF(G8302=1,"-",Tabela2[[#This Row],[Dt Venc:]]-TODAY())</f>
        <v>344</v>
      </c>
      <c r="G8302" s="3"/>
      <c r="H8302" s="3"/>
    </row>
    <row r="8303" spans="1:8">
      <c r="A8303" s="3">
        <v>370864</v>
      </c>
      <c r="B8303" s="7" t="s">
        <v>543</v>
      </c>
      <c r="C8303" s="87" t="s">
        <v>32</v>
      </c>
      <c r="D8303" s="6">
        <v>46037</v>
      </c>
      <c r="E8303" s="3" t="str">
        <f ca="1">IF(Tabela2[[#This Row],[Dt Venc:]]&gt;TODAY(),"Em Aberto",IF(Tabela2[[#This Row],[D/venc]]="-","Enviado",IF(Tabela2[[#This Row],[Dt Venc:]]=TODAY(),"Vence Hoje","Vencida")))</f>
        <v>Em Aberto</v>
      </c>
      <c r="F8303" s="3">
        <f ca="1">IF(G8303=1,"-",Tabela2[[#This Row],[Dt Venc:]]-TODAY())</f>
        <v>344</v>
      </c>
      <c r="G8303" s="3"/>
      <c r="H8303" s="3"/>
    </row>
    <row r="8304" spans="1:8">
      <c r="A8304" s="3">
        <v>371011</v>
      </c>
      <c r="B8304" s="7" t="s">
        <v>633</v>
      </c>
      <c r="C8304" s="87" t="s">
        <v>32</v>
      </c>
      <c r="D8304" s="6">
        <v>46037</v>
      </c>
      <c r="E8304" s="3" t="str">
        <f ca="1">IF(Tabela2[[#This Row],[Dt Venc:]]&gt;TODAY(),"Em Aberto",IF(Tabela2[[#This Row],[D/venc]]="-","Enviado",IF(Tabela2[[#This Row],[Dt Venc:]]=TODAY(),"Vence Hoje","Vencida")))</f>
        <v>Em Aberto</v>
      </c>
      <c r="F8304" s="3">
        <f ca="1">IF(G8304=1,"-",Tabela2[[#This Row],[Dt Venc:]]-TODAY())</f>
        <v>344</v>
      </c>
      <c r="G8304" s="3"/>
      <c r="H8304" s="3"/>
    </row>
    <row r="8305" spans="1:8">
      <c r="A8305" s="3">
        <v>371160</v>
      </c>
      <c r="B8305" s="7" t="s">
        <v>633</v>
      </c>
      <c r="C8305" s="87" t="s">
        <v>32</v>
      </c>
      <c r="D8305" s="6">
        <v>46037</v>
      </c>
      <c r="E8305" s="3" t="str">
        <f ca="1">IF(Tabela2[[#This Row],[Dt Venc:]]&gt;TODAY(),"Em Aberto",IF(Tabela2[[#This Row],[D/venc]]="-","Enviado",IF(Tabela2[[#This Row],[Dt Venc:]]=TODAY(),"Vence Hoje","Vencida")))</f>
        <v>Em Aberto</v>
      </c>
      <c r="F8305" s="3">
        <f ca="1">IF(G8305=1,"-",Tabela2[[#This Row],[Dt Venc:]]-TODAY())</f>
        <v>344</v>
      </c>
      <c r="G8305" s="3"/>
      <c r="H8305" s="3"/>
    </row>
    <row r="8306" spans="1:8">
      <c r="A8306" s="3">
        <v>748099</v>
      </c>
      <c r="B8306" s="7" t="s">
        <v>81</v>
      </c>
      <c r="C8306" s="100" t="s">
        <v>32</v>
      </c>
      <c r="D8306" s="6">
        <v>46037</v>
      </c>
      <c r="E8306" s="3" t="str">
        <f ca="1">IF(Tabela2[[#This Row],[Dt Venc:]]&gt;TODAY(),"Em Aberto",IF(Tabela2[[#This Row],[D/venc]]="-","Enviado",IF(Tabela2[[#This Row],[Dt Venc:]]=TODAY(),"Vence Hoje","Vencida")))</f>
        <v>Em Aberto</v>
      </c>
      <c r="F8306" s="3">
        <f ca="1">IF(G8306=1,"-",Tabela2[[#This Row],[Dt Venc:]]-TODAY())</f>
        <v>344</v>
      </c>
      <c r="G8306" s="3"/>
      <c r="H8306" s="3"/>
    </row>
    <row r="8307" spans="1:8">
      <c r="A8307" s="3">
        <v>892178</v>
      </c>
      <c r="B8307" s="7" t="s">
        <v>253</v>
      </c>
      <c r="C8307" s="100" t="s">
        <v>32</v>
      </c>
      <c r="D8307" s="6">
        <v>46037</v>
      </c>
      <c r="E8307" s="3" t="str">
        <f ca="1">IF(Tabela2[[#This Row],[Dt Venc:]]&gt;TODAY(),"Em Aberto",IF(Tabela2[[#This Row],[D/venc]]="-","Enviado",IF(Tabela2[[#This Row],[Dt Venc:]]=TODAY(),"Vence Hoje","Vencida")))</f>
        <v>Em Aberto</v>
      </c>
      <c r="F8307" s="3">
        <f ca="1">IF(G8307=1,"-",Tabela2[[#This Row],[Dt Venc:]]-TODAY())</f>
        <v>344</v>
      </c>
      <c r="G8307" s="3"/>
      <c r="H8307" s="3"/>
    </row>
    <row r="8308" spans="1:8">
      <c r="A8308" s="3">
        <v>894135</v>
      </c>
      <c r="B8308" s="7" t="s">
        <v>253</v>
      </c>
      <c r="C8308" s="100" t="s">
        <v>32</v>
      </c>
      <c r="D8308" s="6">
        <v>46037</v>
      </c>
      <c r="E8308" s="3" t="str">
        <f ca="1">IF(Tabela2[[#This Row],[Dt Venc:]]&gt;TODAY(),"Em Aberto",IF(Tabela2[[#This Row],[D/venc]]="-","Enviado",IF(Tabela2[[#This Row],[Dt Venc:]]=TODAY(),"Vence Hoje","Vencida")))</f>
        <v>Em Aberto</v>
      </c>
      <c r="F8308" s="3">
        <f ca="1">IF(G8308=1,"-",Tabela2[[#This Row],[Dt Venc:]]-TODAY())</f>
        <v>344</v>
      </c>
      <c r="G8308" s="3"/>
      <c r="H8308" s="3"/>
    </row>
    <row r="8309" spans="1:8">
      <c r="A8309" s="3">
        <v>896565</v>
      </c>
      <c r="B8309" s="7" t="s">
        <v>253</v>
      </c>
      <c r="C8309" s="100" t="s">
        <v>32</v>
      </c>
      <c r="D8309" s="6">
        <v>46037</v>
      </c>
      <c r="E8309" s="3" t="str">
        <f ca="1">IF(Tabela2[[#This Row],[Dt Venc:]]&gt;TODAY(),"Em Aberto",IF(Tabela2[[#This Row],[D/venc]]="-","Enviado",IF(Tabela2[[#This Row],[Dt Venc:]]=TODAY(),"Vence Hoje","Vencida")))</f>
        <v>Em Aberto</v>
      </c>
      <c r="F8309" s="3">
        <f ca="1">IF(G8309=1,"-",Tabela2[[#This Row],[Dt Venc:]]-TODAY())</f>
        <v>344</v>
      </c>
      <c r="G8309" s="3"/>
      <c r="H8309" s="3"/>
    </row>
    <row r="8310" spans="1:8">
      <c r="A8310" s="3">
        <v>900386</v>
      </c>
      <c r="B8310" s="7" t="s">
        <v>253</v>
      </c>
      <c r="C8310" s="100" t="s">
        <v>32</v>
      </c>
      <c r="D8310" s="6">
        <v>46037</v>
      </c>
      <c r="E8310" s="3" t="str">
        <f ca="1">IF(Tabela2[[#This Row],[Dt Venc:]]&gt;TODAY(),"Em Aberto",IF(Tabela2[[#This Row],[D/venc]]="-","Enviado",IF(Tabela2[[#This Row],[Dt Venc:]]=TODAY(),"Vence Hoje","Vencida")))</f>
        <v>Em Aberto</v>
      </c>
      <c r="F8310" s="3">
        <f ca="1">IF(G8310=1,"-",Tabela2[[#This Row],[Dt Venc:]]-TODAY())</f>
        <v>344</v>
      </c>
      <c r="G8310" s="3"/>
      <c r="H8310" s="3"/>
    </row>
    <row r="8311" spans="1:8">
      <c r="A8311" s="3">
        <v>901787</v>
      </c>
      <c r="B8311" s="7" t="s">
        <v>253</v>
      </c>
      <c r="C8311" s="100" t="s">
        <v>32</v>
      </c>
      <c r="D8311" s="6">
        <v>46037</v>
      </c>
      <c r="E8311" s="3" t="str">
        <f ca="1">IF(Tabela2[[#This Row],[Dt Venc:]]&gt;TODAY(),"Em Aberto",IF(Tabela2[[#This Row],[D/venc]]="-","Enviado",IF(Tabela2[[#This Row],[Dt Venc:]]=TODAY(),"Vence Hoje","Vencida")))</f>
        <v>Em Aberto</v>
      </c>
      <c r="F8311" s="3">
        <f ca="1">IF(G8311=1,"-",Tabela2[[#This Row],[Dt Venc:]]-TODAY())</f>
        <v>344</v>
      </c>
      <c r="G8311" s="3"/>
      <c r="H8311" s="3"/>
    </row>
    <row r="8312" spans="1:8">
      <c r="A8312" s="3">
        <v>901788</v>
      </c>
      <c r="B8312" s="7" t="s">
        <v>253</v>
      </c>
      <c r="C8312" s="100" t="s">
        <v>32</v>
      </c>
      <c r="D8312" s="6">
        <v>46037</v>
      </c>
      <c r="E8312" s="3" t="str">
        <f ca="1">IF(Tabela2[[#This Row],[Dt Venc:]]&gt;TODAY(),"Em Aberto",IF(Tabela2[[#This Row],[D/venc]]="-","Enviado",IF(Tabela2[[#This Row],[Dt Venc:]]=TODAY(),"Vence Hoje","Vencida")))</f>
        <v>Em Aberto</v>
      </c>
      <c r="F8312" s="3">
        <f ca="1">IF(G8312=1,"-",Tabela2[[#This Row],[Dt Venc:]]-TODAY())</f>
        <v>344</v>
      </c>
      <c r="G8312" s="3"/>
      <c r="H8312" s="3"/>
    </row>
    <row r="8313" spans="1:8">
      <c r="A8313" s="3">
        <v>901789</v>
      </c>
      <c r="B8313" s="7" t="s">
        <v>253</v>
      </c>
      <c r="C8313" s="100" t="s">
        <v>32</v>
      </c>
      <c r="D8313" s="6">
        <v>46037</v>
      </c>
      <c r="E8313" s="3" t="str">
        <f ca="1">IF(Tabela2[[#This Row],[Dt Venc:]]&gt;TODAY(),"Em Aberto",IF(Tabela2[[#This Row],[D/venc]]="-","Enviado",IF(Tabela2[[#This Row],[Dt Venc:]]=TODAY(),"Vence Hoje","Vencida")))</f>
        <v>Em Aberto</v>
      </c>
      <c r="F8313" s="3">
        <f ca="1">IF(G8313=1,"-",Tabela2[[#This Row],[Dt Venc:]]-TODAY())</f>
        <v>344</v>
      </c>
      <c r="G8313" s="3"/>
      <c r="H8313" s="3"/>
    </row>
    <row r="8314" spans="1:8">
      <c r="A8314" s="3">
        <v>912703</v>
      </c>
      <c r="B8314" s="7" t="s">
        <v>253</v>
      </c>
      <c r="C8314" s="100" t="s">
        <v>32</v>
      </c>
      <c r="D8314" s="6">
        <v>46037</v>
      </c>
      <c r="E8314" s="3" t="str">
        <f ca="1">IF(Tabela2[[#This Row],[Dt Venc:]]&gt;TODAY(),"Em Aberto",IF(Tabela2[[#This Row],[D/venc]]="-","Enviado",IF(Tabela2[[#This Row],[Dt Venc:]]=TODAY(),"Vence Hoje","Vencida")))</f>
        <v>Em Aberto</v>
      </c>
      <c r="F8314" s="3">
        <f ca="1">IF(G8314=1,"-",Tabela2[[#This Row],[Dt Venc:]]-TODAY())</f>
        <v>344</v>
      </c>
      <c r="G8314" s="3"/>
      <c r="H8314" s="3"/>
    </row>
    <row r="8315" spans="1:8">
      <c r="A8315" s="3">
        <v>912704</v>
      </c>
      <c r="B8315" s="7" t="s">
        <v>253</v>
      </c>
      <c r="C8315" s="100" t="s">
        <v>32</v>
      </c>
      <c r="D8315" s="6">
        <v>46037</v>
      </c>
      <c r="E8315" s="3" t="str">
        <f ca="1">IF(Tabela2[[#This Row],[Dt Venc:]]&gt;TODAY(),"Em Aberto",IF(Tabela2[[#This Row],[D/venc]]="-","Enviado",IF(Tabela2[[#This Row],[Dt Venc:]]=TODAY(),"Vence Hoje","Vencida")))</f>
        <v>Em Aberto</v>
      </c>
      <c r="F8315" s="3">
        <f ca="1">IF(G8315=1,"-",Tabela2[[#This Row],[Dt Venc:]]-TODAY())</f>
        <v>344</v>
      </c>
      <c r="G8315" s="3"/>
      <c r="H8315" s="3"/>
    </row>
    <row r="8316" spans="1:8">
      <c r="A8316" s="3">
        <v>919728</v>
      </c>
      <c r="B8316" s="7" t="s">
        <v>253</v>
      </c>
      <c r="C8316" s="87" t="s">
        <v>32</v>
      </c>
      <c r="D8316" s="6">
        <v>46037</v>
      </c>
      <c r="E8316" s="3" t="str">
        <f ca="1">IF(Tabela2[[#This Row],[Dt Venc:]]&gt;TODAY(),"Em Aberto",IF(Tabela2[[#This Row],[D/venc]]="-","Enviado",IF(Tabela2[[#This Row],[Dt Venc:]]=TODAY(),"Vence Hoje","Vencida")))</f>
        <v>Em Aberto</v>
      </c>
      <c r="F8316" s="3">
        <f ca="1">IF(G8316=1,"-",Tabela2[[#This Row],[Dt Venc:]]-TODAY())</f>
        <v>344</v>
      </c>
      <c r="G8316" s="3"/>
      <c r="H8316" s="3"/>
    </row>
    <row r="8317" spans="1:8">
      <c r="A8317" s="3">
        <v>919729</v>
      </c>
      <c r="B8317" s="7" t="s">
        <v>253</v>
      </c>
      <c r="C8317" s="87" t="s">
        <v>32</v>
      </c>
      <c r="D8317" s="6">
        <v>46037</v>
      </c>
      <c r="E8317" s="3" t="str">
        <f ca="1">IF(Tabela2[[#This Row],[Dt Venc:]]&gt;TODAY(),"Em Aberto",IF(Tabela2[[#This Row],[D/venc]]="-","Enviado",IF(Tabela2[[#This Row],[Dt Venc:]]=TODAY(),"Vence Hoje","Vencida")))</f>
        <v>Em Aberto</v>
      </c>
      <c r="F8317" s="3">
        <f ca="1">IF(G8317=1,"-",Tabela2[[#This Row],[Dt Venc:]]-TODAY())</f>
        <v>344</v>
      </c>
      <c r="G8317" s="3"/>
      <c r="H8317" s="3"/>
    </row>
    <row r="8318" spans="1:8">
      <c r="A8318" s="3">
        <v>37300</v>
      </c>
      <c r="B8318" s="7" t="s">
        <v>167</v>
      </c>
      <c r="C8318" s="100" t="s">
        <v>32</v>
      </c>
      <c r="D8318" s="6">
        <v>46038</v>
      </c>
      <c r="E8318" s="3" t="str">
        <f ca="1">IF(Tabela2[[#This Row],[Dt Venc:]]&gt;TODAY(),"Em Aberto",IF(Tabela2[[#This Row],[D/venc]]="-","Enviado",IF(Tabela2[[#This Row],[Dt Venc:]]=TODAY(),"Vence Hoje","Vencida")))</f>
        <v>Em Aberto</v>
      </c>
      <c r="F8318" s="3">
        <f ca="1">IF(G8318=1,"-",Tabela2[[#This Row],[Dt Venc:]]-TODAY())</f>
        <v>345</v>
      </c>
      <c r="G8318" s="3"/>
      <c r="H8318" s="3"/>
    </row>
    <row r="8319" spans="1:8">
      <c r="A8319" s="3">
        <v>37196</v>
      </c>
      <c r="B8319" s="7" t="s">
        <v>167</v>
      </c>
      <c r="C8319" s="87" t="s">
        <v>32</v>
      </c>
      <c r="D8319" s="6">
        <v>46039</v>
      </c>
      <c r="E8319" s="3" t="str">
        <f ca="1">IF(Tabela2[[#This Row],[Dt Venc:]]&gt;TODAY(),"Em Aberto",IF(Tabela2[[#This Row],[D/venc]]="-","Enviado",IF(Tabela2[[#This Row],[Dt Venc:]]=TODAY(),"Vence Hoje","Vencida")))</f>
        <v>Em Aberto</v>
      </c>
      <c r="F8319" s="3">
        <f ca="1">IF(G8319=1,"-",Tabela2[[#This Row],[Dt Venc:]]-TODAY())</f>
        <v>346</v>
      </c>
      <c r="G8319" s="3"/>
      <c r="H8319" s="3"/>
    </row>
    <row r="8320" spans="1:8">
      <c r="A8320" s="3">
        <v>37348</v>
      </c>
      <c r="B8320" s="7" t="s">
        <v>167</v>
      </c>
      <c r="C8320" s="100" t="s">
        <v>32</v>
      </c>
      <c r="D8320" s="6">
        <v>46044</v>
      </c>
      <c r="E8320" s="3" t="str">
        <f ca="1">IF(Tabela2[[#This Row],[Dt Venc:]]&gt;TODAY(),"Em Aberto",IF(Tabela2[[#This Row],[D/venc]]="-","Enviado",IF(Tabela2[[#This Row],[Dt Venc:]]=TODAY(),"Vence Hoje","Vencida")))</f>
        <v>Em Aberto</v>
      </c>
      <c r="F8320" s="3">
        <f ca="1">IF(G8320=1,"-",Tabela2[[#This Row],[Dt Venc:]]-TODAY())</f>
        <v>351</v>
      </c>
      <c r="G8320" s="3"/>
      <c r="H8320" s="3"/>
    </row>
    <row r="8321" spans="1:8">
      <c r="A8321" s="3">
        <v>654537</v>
      </c>
      <c r="B8321" s="7" t="s">
        <v>648</v>
      </c>
      <c r="C8321" s="85" t="s">
        <v>32</v>
      </c>
      <c r="D8321" s="6">
        <v>46045</v>
      </c>
      <c r="E8321" s="3" t="str">
        <f ca="1">IF(Tabela2[[#This Row],[Dt Venc:]]&gt;TODAY(),"Em Aberto",IF(Tabela2[[#This Row],[D/venc]]="-","Enviado",IF(Tabela2[[#This Row],[Dt Venc:]]=TODAY(),"Vence Hoje","Vencida")))</f>
        <v>Em Aberto</v>
      </c>
      <c r="F8321" s="3">
        <f ca="1">IF(G8321=1,"-",Tabela2[[#This Row],[Dt Venc:]]-TODAY())</f>
        <v>352</v>
      </c>
      <c r="G8321" s="3"/>
      <c r="H8321" s="3"/>
    </row>
    <row r="8322" spans="1:8">
      <c r="A8322" s="3">
        <v>495914</v>
      </c>
      <c r="B8322" s="7" t="s">
        <v>153</v>
      </c>
      <c r="C8322" s="99" t="s">
        <v>32</v>
      </c>
      <c r="D8322" s="6">
        <v>46047</v>
      </c>
      <c r="E8322" s="3" t="str">
        <f ca="1">IF(Tabela2[[#This Row],[Dt Venc:]]&gt;TODAY(),"Em Aberto",IF(Tabela2[[#This Row],[D/venc]]="-","Enviado",IF(Tabela2[[#This Row],[Dt Venc:]]=TODAY(),"Vence Hoje","Vencida")))</f>
        <v>Em Aberto</v>
      </c>
      <c r="F8322" s="3">
        <f ca="1">IF(G8322=1,"-",Tabela2[[#This Row],[Dt Venc:]]-TODAY())</f>
        <v>354</v>
      </c>
      <c r="G8322" s="3"/>
      <c r="H8322" s="3"/>
    </row>
    <row r="8323" spans="1:8">
      <c r="A8323" s="3">
        <v>5690</v>
      </c>
      <c r="B8323" s="7" t="s">
        <v>122</v>
      </c>
      <c r="C8323" s="100" t="s">
        <v>32</v>
      </c>
      <c r="D8323" s="6">
        <v>46049</v>
      </c>
      <c r="E8323" s="3" t="str">
        <f ca="1">IF(Tabela2[[#This Row],[Dt Venc:]]&gt;TODAY(),"Em Aberto",IF(Tabela2[[#This Row],[D/venc]]="-","Enviado",IF(Tabela2[[#This Row],[Dt Venc:]]=TODAY(),"Vence Hoje","Vencida")))</f>
        <v>Em Aberto</v>
      </c>
      <c r="F8323" s="3">
        <f ca="1">IF(G8323=1,"-",Tabela2[[#This Row],[Dt Venc:]]-TODAY())</f>
        <v>356</v>
      </c>
      <c r="G8323" s="3"/>
      <c r="H8323" s="3"/>
    </row>
    <row r="8324" spans="1:8">
      <c r="A8324" s="3" t="s">
        <v>123</v>
      </c>
      <c r="B8324" s="7" t="s">
        <v>386</v>
      </c>
      <c r="C8324" s="87" t="s">
        <v>32</v>
      </c>
      <c r="D8324" s="6">
        <v>46052</v>
      </c>
      <c r="E8324" s="3" t="str">
        <f ca="1">IF(Tabela2[[#This Row],[Dt Venc:]]&gt;TODAY(),"Em Aberto",IF(Tabela2[[#This Row],[D/venc]]="-","Enviado",IF(Tabela2[[#This Row],[Dt Venc:]]=TODAY(),"Vence Hoje","Vencida")))</f>
        <v>Em Aberto</v>
      </c>
      <c r="F8324" s="3">
        <f ca="1">IF(G8324=1,"-",Tabela2[[#This Row],[Dt Venc:]]-TODAY())</f>
        <v>359</v>
      </c>
      <c r="G8324" s="3"/>
      <c r="H8324" s="3"/>
    </row>
    <row r="8325" spans="1:8">
      <c r="A8325" s="3">
        <v>11681</v>
      </c>
      <c r="B8325" s="7" t="s">
        <v>82</v>
      </c>
      <c r="C8325" s="87" t="s">
        <v>30</v>
      </c>
      <c r="D8325" s="6">
        <v>46053</v>
      </c>
      <c r="E8325" s="3" t="str">
        <f ca="1">IF(Tabela2[[#This Row],[Dt Venc:]]&gt;TODAY(),"Em Aberto",IF(Tabela2[[#This Row],[D/venc]]="-","Enviado",IF(Tabela2[[#This Row],[Dt Venc:]]=TODAY(),"Vence Hoje","Vencida")))</f>
        <v>Em Aberto</v>
      </c>
      <c r="F8325" s="3">
        <f ca="1">IF(G8325=1,"-",Tabela2[[#This Row],[Dt Venc:]]-TODAY())</f>
        <v>360</v>
      </c>
      <c r="G8325" s="3"/>
      <c r="H8325" s="3"/>
    </row>
    <row r="8326" spans="1:8">
      <c r="A8326" s="3" t="s">
        <v>28</v>
      </c>
      <c r="B8326" s="7" t="s">
        <v>391</v>
      </c>
      <c r="C8326" s="85" t="s">
        <v>30</v>
      </c>
      <c r="D8326" s="6">
        <v>46053</v>
      </c>
      <c r="E8326" s="3" t="str">
        <f ca="1">IF(Tabela2[[#This Row],[Dt Venc:]]&gt;TODAY(),"Em Aberto",IF(Tabela2[[#This Row],[D/venc]]="-","Enviado",IF(Tabela2[[#This Row],[Dt Venc:]]=TODAY(),"Vence Hoje","Vencida")))</f>
        <v>Em Aberto</v>
      </c>
      <c r="F8326" s="3">
        <f ca="1">IF(G8326=1,"-",Tabela2[[#This Row],[Dt Venc:]]-TODAY())</f>
        <v>360</v>
      </c>
      <c r="G8326" s="3"/>
      <c r="H8326" s="3"/>
    </row>
    <row r="8327" spans="1:8">
      <c r="A8327" s="3">
        <v>36910</v>
      </c>
      <c r="B8327" s="7" t="s">
        <v>167</v>
      </c>
      <c r="C8327" s="100" t="s">
        <v>32</v>
      </c>
      <c r="D8327" s="6">
        <v>46054</v>
      </c>
      <c r="E8327" s="3" t="str">
        <f ca="1">IF(Tabela2[[#This Row],[Dt Venc:]]&gt;TODAY(),"Em Aberto",IF(Tabela2[[#This Row],[D/venc]]="-","Enviado",IF(Tabela2[[#This Row],[Dt Venc:]]=TODAY(),"Vence Hoje","Vencida")))</f>
        <v>Em Aberto</v>
      </c>
      <c r="F8327" s="3">
        <f ca="1">IF(G8327=1,"-",Tabela2[[#This Row],[Dt Venc:]]-TODAY())</f>
        <v>361</v>
      </c>
      <c r="G8327" s="3"/>
      <c r="H8327" s="3"/>
    </row>
    <row r="8328" spans="1:8">
      <c r="A8328" s="3">
        <v>10494</v>
      </c>
      <c r="B8328" s="7" t="s">
        <v>82</v>
      </c>
      <c r="C8328" s="88" t="s">
        <v>30</v>
      </c>
      <c r="D8328" s="6">
        <v>46056</v>
      </c>
      <c r="E8328" s="3" t="str">
        <f ca="1">IF(Tabela2[[#This Row],[Dt Venc:]]&gt;TODAY(),"Em Aberto",IF(Tabela2[[#This Row],[D/venc]]="-","Enviado",IF(Tabela2[[#This Row],[Dt Venc:]]=TODAY(),"Vence Hoje","Vencida")))</f>
        <v>Em Aberto</v>
      </c>
      <c r="F8328" s="3">
        <f ca="1">IF(G8328=1,"-",Tabela2[[#This Row],[Dt Venc:]]-TODAY())</f>
        <v>363</v>
      </c>
      <c r="G8328" s="3"/>
      <c r="H8328" s="3"/>
    </row>
    <row r="8329" spans="1:8">
      <c r="A8329" s="3">
        <v>5680</v>
      </c>
      <c r="B8329" s="7" t="s">
        <v>122</v>
      </c>
      <c r="C8329" s="99" t="s">
        <v>32</v>
      </c>
      <c r="D8329" s="6">
        <v>46058</v>
      </c>
      <c r="E8329" s="3" t="str">
        <f ca="1">IF(Tabela2[[#This Row],[Dt Venc:]]&gt;TODAY(),"Em Aberto",IF(Tabela2[[#This Row],[D/venc]]="-","Enviado",IF(Tabela2[[#This Row],[Dt Venc:]]=TODAY(),"Vence Hoje","Vencida")))</f>
        <v>Em Aberto</v>
      </c>
      <c r="F8329" s="3">
        <f ca="1">IF(G8329=1,"-",Tabela2[[#This Row],[Dt Venc:]]-TODAY())</f>
        <v>365</v>
      </c>
      <c r="G8329" s="3"/>
      <c r="H8329" s="3"/>
    </row>
    <row r="8330" spans="1:8">
      <c r="A8330" s="3">
        <v>10353</v>
      </c>
      <c r="B8330" s="7" t="s">
        <v>82</v>
      </c>
      <c r="C8330" s="100" t="s">
        <v>32</v>
      </c>
      <c r="D8330" s="6">
        <v>46058</v>
      </c>
      <c r="E8330" s="3" t="str">
        <f ca="1">IF(Tabela2[[#This Row],[Dt Venc:]]&gt;TODAY(),"Em Aberto",IF(Tabela2[[#This Row],[D/venc]]="-","Enviado",IF(Tabela2[[#This Row],[Dt Venc:]]=TODAY(),"Vence Hoje","Vencida")))</f>
        <v>Em Aberto</v>
      </c>
      <c r="F8330" s="3">
        <f ca="1">IF(G8330=1,"-",Tabela2[[#This Row],[Dt Venc:]]-TODAY())</f>
        <v>365</v>
      </c>
      <c r="G8330" s="3"/>
      <c r="H8330" s="3"/>
    </row>
    <row r="8331" spans="1:8">
      <c r="A8331" s="3">
        <v>284620</v>
      </c>
      <c r="B8331" s="7" t="s">
        <v>153</v>
      </c>
      <c r="C8331" s="99" t="s">
        <v>32</v>
      </c>
      <c r="D8331" s="6">
        <v>46061</v>
      </c>
      <c r="E8331" s="3" t="str">
        <f ca="1">IF(Tabela2[[#This Row],[Dt Venc:]]&gt;TODAY(),"Em Aberto",IF(Tabela2[[#This Row],[D/venc]]="-","Enviado",IF(Tabela2[[#This Row],[Dt Venc:]]=TODAY(),"Vence Hoje","Vencida")))</f>
        <v>Em Aberto</v>
      </c>
      <c r="F8331" s="3">
        <f ca="1">IF(G8331=1,"-",Tabela2[[#This Row],[Dt Venc:]]-TODAY())</f>
        <v>368</v>
      </c>
      <c r="G8331" s="3"/>
      <c r="H8331" s="3"/>
    </row>
    <row r="8332" spans="1:8">
      <c r="A8332" s="3">
        <v>36949</v>
      </c>
      <c r="B8332" s="7" t="s">
        <v>167</v>
      </c>
      <c r="C8332" s="100" t="s">
        <v>32</v>
      </c>
      <c r="D8332" s="6">
        <v>46062</v>
      </c>
      <c r="E8332" s="3" t="str">
        <f ca="1">IF(Tabela2[[#This Row],[Dt Venc:]]&gt;TODAY(),"Em Aberto",IF(Tabela2[[#This Row],[D/venc]]="-","Enviado",IF(Tabela2[[#This Row],[Dt Venc:]]=TODAY(),"Vence Hoje","Vencida")))</f>
        <v>Em Aberto</v>
      </c>
      <c r="F8332" s="3">
        <f ca="1">IF(G8332=1,"-",Tabela2[[#This Row],[Dt Venc:]]-TODAY())</f>
        <v>369</v>
      </c>
      <c r="G8332" s="3"/>
      <c r="H8332" s="3"/>
    </row>
    <row r="8333" spans="1:8">
      <c r="A8333" s="3">
        <v>756561</v>
      </c>
      <c r="B8333" s="7" t="s">
        <v>166</v>
      </c>
      <c r="C8333" s="100" t="s">
        <v>32</v>
      </c>
      <c r="D8333" s="6">
        <v>46062</v>
      </c>
      <c r="E8333" s="3" t="str">
        <f ca="1">IF(Tabela2[[#This Row],[Dt Venc:]]&gt;TODAY(),"Em Aberto",IF(Tabela2[[#This Row],[D/venc]]="-","Enviado",IF(Tabela2[[#This Row],[Dt Venc:]]=TODAY(),"Vence Hoje","Vencida")))</f>
        <v>Em Aberto</v>
      </c>
      <c r="F8333" s="3">
        <f ca="1">IF(G8333=1,"-",Tabela2[[#This Row],[Dt Venc:]]-TODAY())</f>
        <v>369</v>
      </c>
      <c r="G8333" s="3"/>
      <c r="H8333" s="3"/>
    </row>
    <row r="8334" spans="1:8">
      <c r="A8334" s="3" t="s">
        <v>179</v>
      </c>
      <c r="B8334" s="7" t="s">
        <v>190</v>
      </c>
      <c r="C8334" s="100" t="s">
        <v>32</v>
      </c>
      <c r="D8334" s="6">
        <v>46063</v>
      </c>
      <c r="E8334" s="3" t="str">
        <f ca="1">IF(Tabela2[[#This Row],[Dt Venc:]]&gt;TODAY(),"Em Aberto",IF(Tabela2[[#This Row],[D/venc]]="-","Enviado",IF(Tabela2[[#This Row],[Dt Venc:]]=TODAY(),"Vence Hoje","Vencida")))</f>
        <v>Em Aberto</v>
      </c>
      <c r="F8334" s="3">
        <f ca="1">IF(G8334=1,"-",Tabela2[[#This Row],[Dt Venc:]]-TODAY())</f>
        <v>370</v>
      </c>
      <c r="G8334" s="3"/>
      <c r="H8334" s="3"/>
    </row>
    <row r="8335" spans="1:8">
      <c r="A8335" s="3">
        <v>37292</v>
      </c>
      <c r="B8335" s="7" t="s">
        <v>167</v>
      </c>
      <c r="C8335" s="100" t="s">
        <v>32</v>
      </c>
      <c r="D8335" s="6">
        <v>46064</v>
      </c>
      <c r="E8335" s="3" t="str">
        <f ca="1">IF(Tabela2[[#This Row],[Dt Venc:]]&gt;TODAY(),"Em Aberto",IF(Tabela2[[#This Row],[D/venc]]="-","Enviado",IF(Tabela2[[#This Row],[Dt Venc:]]=TODAY(),"Vence Hoje","Vencida")))</f>
        <v>Em Aberto</v>
      </c>
      <c r="F8335" s="3">
        <f ca="1">IF(G8335=1,"-",Tabela2[[#This Row],[Dt Venc:]]-TODAY())</f>
        <v>371</v>
      </c>
      <c r="G8335" s="3"/>
      <c r="H8335" s="3"/>
    </row>
    <row r="8336" spans="1:8">
      <c r="A8336" s="3">
        <v>37327</v>
      </c>
      <c r="B8336" s="7" t="s">
        <v>167</v>
      </c>
      <c r="C8336" s="100" t="s">
        <v>32</v>
      </c>
      <c r="D8336" s="6">
        <v>46064</v>
      </c>
      <c r="E8336" s="3" t="str">
        <f ca="1">IF(Tabela2[[#This Row],[Dt Venc:]]&gt;TODAY(),"Em Aberto",IF(Tabela2[[#This Row],[D/venc]]="-","Enviado",IF(Tabela2[[#This Row],[Dt Venc:]]=TODAY(),"Vence Hoje","Vencida")))</f>
        <v>Em Aberto</v>
      </c>
      <c r="F8336" s="3">
        <f ca="1">IF(G8336=1,"-",Tabela2[[#This Row],[Dt Venc:]]-TODAY())</f>
        <v>371</v>
      </c>
      <c r="G8336" s="3"/>
      <c r="H8336" s="3"/>
    </row>
    <row r="8337" spans="1:8">
      <c r="A8337" s="3">
        <v>562</v>
      </c>
      <c r="B8337" s="7" t="s">
        <v>251</v>
      </c>
      <c r="C8337" s="99" t="s">
        <v>32</v>
      </c>
      <c r="D8337" s="6">
        <v>46068</v>
      </c>
      <c r="E8337" s="3" t="str">
        <f ca="1">IF(Tabela2[[#This Row],[Dt Venc:]]&gt;TODAY(),"Em Aberto",IF(Tabela2[[#This Row],[D/venc]]="-","Enviado",IF(Tabela2[[#This Row],[Dt Venc:]]=TODAY(),"Vence Hoje","Vencida")))</f>
        <v>Em Aberto</v>
      </c>
      <c r="F8337" s="3">
        <f ca="1">IF(G8337=1,"-",Tabela2[[#This Row],[Dt Venc:]]-TODAY())</f>
        <v>375</v>
      </c>
      <c r="G8337" s="3"/>
      <c r="H8337" s="3"/>
    </row>
    <row r="8338" spans="1:8">
      <c r="A8338" s="3">
        <v>103015</v>
      </c>
      <c r="B8338" s="7" t="s">
        <v>252</v>
      </c>
      <c r="C8338" s="100" t="s">
        <v>32</v>
      </c>
      <c r="D8338" s="6">
        <v>46068</v>
      </c>
      <c r="E8338" s="3" t="str">
        <f ca="1">IF(Tabela2[[#This Row],[Dt Venc:]]&gt;TODAY(),"Em Aberto",IF(Tabela2[[#This Row],[D/venc]]="-","Enviado",IF(Tabela2[[#This Row],[Dt Venc:]]=TODAY(),"Vence Hoje","Vencida")))</f>
        <v>Em Aberto</v>
      </c>
      <c r="F8338" s="3">
        <f ca="1">IF(G8338=1,"-",Tabela2[[#This Row],[Dt Venc:]]-TODAY())</f>
        <v>375</v>
      </c>
      <c r="G8338" s="3"/>
      <c r="H8338" s="3"/>
    </row>
    <row r="8339" spans="1:8">
      <c r="A8339" s="3">
        <v>103077</v>
      </c>
      <c r="B8339" s="7" t="s">
        <v>252</v>
      </c>
      <c r="C8339" s="100" t="s">
        <v>32</v>
      </c>
      <c r="D8339" s="6">
        <v>46068</v>
      </c>
      <c r="E8339" s="3" t="str">
        <f ca="1">IF(Tabela2[[#This Row],[Dt Venc:]]&gt;TODAY(),"Em Aberto",IF(Tabela2[[#This Row],[D/venc]]="-","Enviado",IF(Tabela2[[#This Row],[Dt Venc:]]=TODAY(),"Vence Hoje","Vencida")))</f>
        <v>Em Aberto</v>
      </c>
      <c r="F8339" s="3">
        <f ca="1">IF(G8339=1,"-",Tabela2[[#This Row],[Dt Venc:]]-TODAY())</f>
        <v>375</v>
      </c>
      <c r="G8339" s="3"/>
      <c r="H8339" s="3"/>
    </row>
    <row r="8340" spans="1:8">
      <c r="A8340" s="3">
        <v>103153</v>
      </c>
      <c r="B8340" s="7" t="s">
        <v>252</v>
      </c>
      <c r="C8340" s="87" t="s">
        <v>32</v>
      </c>
      <c r="D8340" s="6">
        <v>46068</v>
      </c>
      <c r="E8340" s="3" t="str">
        <f ca="1">IF(Tabela2[[#This Row],[Dt Venc:]]&gt;TODAY(),"Em Aberto",IF(Tabela2[[#This Row],[D/venc]]="-","Enviado",IF(Tabela2[[#This Row],[Dt Venc:]]=TODAY(),"Vence Hoje","Vencida")))</f>
        <v>Em Aberto</v>
      </c>
      <c r="F8340" s="3">
        <f ca="1">IF(G8340=1,"-",Tabela2[[#This Row],[Dt Venc:]]-TODAY())</f>
        <v>375</v>
      </c>
      <c r="G8340" s="3"/>
      <c r="H8340" s="3"/>
    </row>
    <row r="8341" spans="1:8">
      <c r="A8341" s="3">
        <v>103154</v>
      </c>
      <c r="B8341" s="7" t="s">
        <v>252</v>
      </c>
      <c r="C8341" s="100" t="s">
        <v>32</v>
      </c>
      <c r="D8341" s="6">
        <v>46068</v>
      </c>
      <c r="E8341" s="3" t="str">
        <f ca="1">IF(Tabela2[[#This Row],[Dt Venc:]]&gt;TODAY(),"Em Aberto",IF(Tabela2[[#This Row],[D/venc]]="-","Enviado",IF(Tabela2[[#This Row],[Dt Venc:]]=TODAY(),"Vence Hoje","Vencida")))</f>
        <v>Em Aberto</v>
      </c>
      <c r="F8341" s="3">
        <f ca="1">IF(G8341=1,"-",Tabela2[[#This Row],[Dt Venc:]]-TODAY())</f>
        <v>375</v>
      </c>
      <c r="G8341" s="3"/>
      <c r="H8341" s="3"/>
    </row>
    <row r="8342" spans="1:8">
      <c r="A8342" s="3">
        <v>106007</v>
      </c>
      <c r="B8342" s="7" t="s">
        <v>252</v>
      </c>
      <c r="C8342" s="100" t="s">
        <v>32</v>
      </c>
      <c r="D8342" s="6">
        <v>46068</v>
      </c>
      <c r="E8342" s="3" t="str">
        <f ca="1">IF(Tabela2[[#This Row],[Dt Venc:]]&gt;TODAY(),"Em Aberto",IF(Tabela2[[#This Row],[D/venc]]="-","Enviado",IF(Tabela2[[#This Row],[Dt Venc:]]=TODAY(),"Vence Hoje","Vencida")))</f>
        <v>Em Aberto</v>
      </c>
      <c r="F8342" s="3">
        <f ca="1">IF(G8342=1,"-",Tabela2[[#This Row],[Dt Venc:]]-TODAY())</f>
        <v>375</v>
      </c>
      <c r="G8342" s="3"/>
      <c r="H8342" s="3"/>
    </row>
    <row r="8343" spans="1:8">
      <c r="A8343" s="3">
        <v>106043</v>
      </c>
      <c r="B8343" s="7" t="s">
        <v>252</v>
      </c>
      <c r="C8343" s="100" t="s">
        <v>32</v>
      </c>
      <c r="D8343" s="6">
        <v>46068</v>
      </c>
      <c r="E8343" s="3" t="str">
        <f ca="1">IF(Tabela2[[#This Row],[Dt Venc:]]&gt;TODAY(),"Em Aberto",IF(Tabela2[[#This Row],[D/venc]]="-","Enviado",IF(Tabela2[[#This Row],[Dt Venc:]]=TODAY(),"Vence Hoje","Vencida")))</f>
        <v>Em Aberto</v>
      </c>
      <c r="F8343" s="3">
        <f ca="1">IF(G8343=1,"-",Tabela2[[#This Row],[Dt Venc:]]-TODAY())</f>
        <v>375</v>
      </c>
      <c r="G8343" s="3"/>
      <c r="H8343" s="3"/>
    </row>
    <row r="8344" spans="1:8">
      <c r="A8344" s="3">
        <v>107829</v>
      </c>
      <c r="B8344" s="7" t="s">
        <v>252</v>
      </c>
      <c r="C8344" s="100" t="s">
        <v>32</v>
      </c>
      <c r="D8344" s="6">
        <v>46068</v>
      </c>
      <c r="E8344" s="3" t="str">
        <f ca="1">IF(Tabela2[[#This Row],[Dt Venc:]]&gt;TODAY(),"Em Aberto",IF(Tabela2[[#This Row],[D/venc]]="-","Enviado",IF(Tabela2[[#This Row],[Dt Venc:]]=TODAY(),"Vence Hoje","Vencida")))</f>
        <v>Em Aberto</v>
      </c>
      <c r="F8344" s="3">
        <f ca="1">IF(G8344=1,"-",Tabela2[[#This Row],[Dt Venc:]]-TODAY())</f>
        <v>375</v>
      </c>
      <c r="G8344" s="3"/>
      <c r="H8344" s="3"/>
    </row>
    <row r="8345" spans="1:8">
      <c r="A8345" s="3">
        <v>107830</v>
      </c>
      <c r="B8345" s="7" t="s">
        <v>252</v>
      </c>
      <c r="C8345" s="87" t="s">
        <v>32</v>
      </c>
      <c r="D8345" s="6">
        <v>46068</v>
      </c>
      <c r="E8345" s="3" t="str">
        <f ca="1">IF(Tabela2[[#This Row],[Dt Venc:]]&gt;TODAY(),"Em Aberto",IF(Tabela2[[#This Row],[D/venc]]="-","Enviado",IF(Tabela2[[#This Row],[Dt Venc:]]=TODAY(),"Vence Hoje","Vencida")))</f>
        <v>Em Aberto</v>
      </c>
      <c r="F8345" s="3">
        <f ca="1">IF(G8345=1,"-",Tabela2[[#This Row],[Dt Venc:]]-TODAY())</f>
        <v>375</v>
      </c>
      <c r="G8345" s="3"/>
      <c r="H8345" s="3"/>
    </row>
    <row r="8346" spans="1:8">
      <c r="A8346" s="3">
        <v>107831</v>
      </c>
      <c r="B8346" s="7" t="s">
        <v>252</v>
      </c>
      <c r="C8346" s="99" t="s">
        <v>32</v>
      </c>
      <c r="D8346" s="6">
        <v>46068</v>
      </c>
      <c r="E8346" s="3" t="str">
        <f ca="1">IF(Tabela2[[#This Row],[Dt Venc:]]&gt;TODAY(),"Em Aberto",IF(Tabela2[[#This Row],[D/venc]]="-","Enviado",IF(Tabela2[[#This Row],[Dt Venc:]]=TODAY(),"Vence Hoje","Vencida")))</f>
        <v>Em Aberto</v>
      </c>
      <c r="F8346" s="3">
        <f ca="1">IF(G8346=1,"-",Tabela2[[#This Row],[Dt Venc:]]-TODAY())</f>
        <v>375</v>
      </c>
      <c r="G8346" s="3"/>
      <c r="H8346" s="3"/>
    </row>
    <row r="8347" spans="1:8">
      <c r="A8347" s="3">
        <v>107832</v>
      </c>
      <c r="B8347" s="7" t="s">
        <v>252</v>
      </c>
      <c r="C8347" s="99" t="s">
        <v>32</v>
      </c>
      <c r="D8347" s="6">
        <v>46068</v>
      </c>
      <c r="E8347" s="3" t="str">
        <f ca="1">IF(Tabela2[[#This Row],[Dt Venc:]]&gt;TODAY(),"Em Aberto",IF(Tabela2[[#This Row],[D/venc]]="-","Enviado",IF(Tabela2[[#This Row],[Dt Venc:]]=TODAY(),"Vence Hoje","Vencida")))</f>
        <v>Em Aberto</v>
      </c>
      <c r="F8347" s="3">
        <f ca="1">IF(G8347=1,"-",Tabela2[[#This Row],[Dt Venc:]]-TODAY())</f>
        <v>375</v>
      </c>
      <c r="G8347" s="3"/>
      <c r="H8347" s="3"/>
    </row>
    <row r="8348" spans="1:8">
      <c r="A8348" s="3">
        <v>361229</v>
      </c>
      <c r="B8348" s="7" t="s">
        <v>250</v>
      </c>
      <c r="C8348" s="99" t="s">
        <v>32</v>
      </c>
      <c r="D8348" s="6">
        <v>46068</v>
      </c>
      <c r="E8348" s="3" t="str">
        <f ca="1">IF(Tabela2[[#This Row],[Dt Venc:]]&gt;TODAY(),"Em Aberto",IF(Tabela2[[#This Row],[D/venc]]="-","Enviado",IF(Tabela2[[#This Row],[Dt Venc:]]=TODAY(),"Vence Hoje","Vencida")))</f>
        <v>Em Aberto</v>
      </c>
      <c r="F8348" s="3">
        <f ca="1">IF(G8348=1,"-",Tabela2[[#This Row],[Dt Venc:]]-TODAY())</f>
        <v>375</v>
      </c>
      <c r="G8348" s="3"/>
      <c r="H8348" s="3"/>
    </row>
    <row r="8349" spans="1:8">
      <c r="A8349" s="3">
        <v>361237</v>
      </c>
      <c r="B8349" s="7" t="s">
        <v>250</v>
      </c>
      <c r="C8349" s="99" t="s">
        <v>32</v>
      </c>
      <c r="D8349" s="6">
        <v>46068</v>
      </c>
      <c r="E8349" s="3" t="str">
        <f ca="1">IF(Tabela2[[#This Row],[Dt Venc:]]&gt;TODAY(),"Em Aberto",IF(Tabela2[[#This Row],[D/venc]]="-","Enviado",IF(Tabela2[[#This Row],[Dt Venc:]]=TODAY(),"Vence Hoje","Vencida")))</f>
        <v>Em Aberto</v>
      </c>
      <c r="F8349" s="3">
        <f ca="1">IF(G8349=1,"-",Tabela2[[#This Row],[Dt Venc:]]-TODAY())</f>
        <v>375</v>
      </c>
      <c r="G8349" s="3"/>
      <c r="H8349" s="3"/>
    </row>
    <row r="8350" spans="1:8">
      <c r="A8350" s="3">
        <v>365658</v>
      </c>
      <c r="B8350" s="7" t="s">
        <v>250</v>
      </c>
      <c r="C8350" s="100" t="s">
        <v>32</v>
      </c>
      <c r="D8350" s="6">
        <v>46068</v>
      </c>
      <c r="E8350" s="3" t="str">
        <f ca="1">IF(Tabela2[[#This Row],[Dt Venc:]]&gt;TODAY(),"Em Aberto",IF(Tabela2[[#This Row],[D/venc]]="-","Enviado",IF(Tabela2[[#This Row],[Dt Venc:]]=TODAY(),"Vence Hoje","Vencida")))</f>
        <v>Em Aberto</v>
      </c>
      <c r="F8350" s="3">
        <f ca="1">IF(G8350=1,"-",Tabela2[[#This Row],[Dt Venc:]]-TODAY())</f>
        <v>375</v>
      </c>
      <c r="G8350" s="3"/>
      <c r="H8350" s="3"/>
    </row>
    <row r="8351" spans="1:8">
      <c r="A8351" s="3">
        <v>365666</v>
      </c>
      <c r="B8351" s="7" t="s">
        <v>250</v>
      </c>
      <c r="C8351" s="99" t="s">
        <v>32</v>
      </c>
      <c r="D8351" s="6">
        <v>46068</v>
      </c>
      <c r="E8351" s="3" t="str">
        <f ca="1">IF(Tabela2[[#This Row],[Dt Venc:]]&gt;TODAY(),"Em Aberto",IF(Tabela2[[#This Row],[D/venc]]="-","Enviado",IF(Tabela2[[#This Row],[Dt Venc:]]=TODAY(),"Vence Hoje","Vencida")))</f>
        <v>Em Aberto</v>
      </c>
      <c r="F8351" s="3">
        <f ca="1">IF(G8351=1,"-",Tabela2[[#This Row],[Dt Venc:]]-TODAY())</f>
        <v>375</v>
      </c>
      <c r="G8351" s="3"/>
      <c r="H8351" s="3"/>
    </row>
    <row r="8352" spans="1:8">
      <c r="A8352" s="3">
        <v>365674</v>
      </c>
      <c r="B8352" s="7" t="s">
        <v>250</v>
      </c>
      <c r="C8352" s="99" t="s">
        <v>32</v>
      </c>
      <c r="D8352" s="6">
        <v>46068</v>
      </c>
      <c r="E8352" s="3" t="str">
        <f ca="1">IF(Tabela2[[#This Row],[Dt Venc:]]&gt;TODAY(),"Em Aberto",IF(Tabela2[[#This Row],[D/venc]]="-","Enviado",IF(Tabela2[[#This Row],[Dt Venc:]]=TODAY(),"Vence Hoje","Vencida")))</f>
        <v>Em Aberto</v>
      </c>
      <c r="F8352" s="3">
        <f ca="1">IF(G8352=1,"-",Tabela2[[#This Row],[Dt Venc:]]-TODAY())</f>
        <v>375</v>
      </c>
      <c r="G8352" s="3"/>
      <c r="H8352" s="3"/>
    </row>
    <row r="8353" spans="1:8">
      <c r="A8353" s="3">
        <v>365682</v>
      </c>
      <c r="B8353" s="7" t="s">
        <v>250</v>
      </c>
      <c r="C8353" s="99" t="s">
        <v>32</v>
      </c>
      <c r="D8353" s="6">
        <v>46068</v>
      </c>
      <c r="E8353" s="3" t="str">
        <f ca="1">IF(Tabela2[[#This Row],[Dt Venc:]]&gt;TODAY(),"Em Aberto",IF(Tabela2[[#This Row],[D/venc]]="-","Enviado",IF(Tabela2[[#This Row],[Dt Venc:]]=TODAY(),"Vence Hoje","Vencida")))</f>
        <v>Em Aberto</v>
      </c>
      <c r="F8353" s="3">
        <f ca="1">IF(G8353=1,"-",Tabela2[[#This Row],[Dt Venc:]]-TODAY())</f>
        <v>375</v>
      </c>
      <c r="G8353" s="3"/>
      <c r="H8353" s="3"/>
    </row>
    <row r="8354" spans="1:8">
      <c r="A8354" s="3">
        <v>369335</v>
      </c>
      <c r="B8354" s="7" t="s">
        <v>543</v>
      </c>
      <c r="C8354" s="87" t="s">
        <v>32</v>
      </c>
      <c r="D8354" s="6">
        <v>46068</v>
      </c>
      <c r="E8354" s="3" t="str">
        <f ca="1">IF(Tabela2[[#This Row],[Dt Venc:]]&gt;TODAY(),"Em Aberto",IF(Tabela2[[#This Row],[D/venc]]="-","Enviado",IF(Tabela2[[#This Row],[Dt Venc:]]=TODAY(),"Vence Hoje","Vencida")))</f>
        <v>Em Aberto</v>
      </c>
      <c r="F8354" s="3">
        <f ca="1">IF(G8354=1,"-",Tabela2[[#This Row],[Dt Venc:]]-TODAY())</f>
        <v>375</v>
      </c>
      <c r="G8354" s="3"/>
      <c r="H8354" s="3"/>
    </row>
    <row r="8355" spans="1:8">
      <c r="A8355" s="3">
        <v>369696</v>
      </c>
      <c r="B8355" s="7" t="s">
        <v>543</v>
      </c>
      <c r="C8355" s="85" t="s">
        <v>32</v>
      </c>
      <c r="D8355" s="6">
        <v>46068</v>
      </c>
      <c r="E8355" s="3" t="str">
        <f ca="1">IF(Tabela2[[#This Row],[Dt Venc:]]&gt;TODAY(),"Em Aberto",IF(Tabela2[[#This Row],[D/venc]]="-","Enviado",IF(Tabela2[[#This Row],[Dt Venc:]]=TODAY(),"Vence Hoje","Vencida")))</f>
        <v>Em Aberto</v>
      </c>
      <c r="F8355" s="3">
        <f ca="1">IF(G8355=1,"-",Tabela2[[#This Row],[Dt Venc:]]-TODAY())</f>
        <v>375</v>
      </c>
      <c r="G8355" s="3"/>
      <c r="H8355" s="3"/>
    </row>
    <row r="8356" spans="1:8">
      <c r="A8356" s="3">
        <v>369726</v>
      </c>
      <c r="B8356" s="7" t="s">
        <v>543</v>
      </c>
      <c r="C8356" s="87" t="s">
        <v>32</v>
      </c>
      <c r="D8356" s="6">
        <v>46068</v>
      </c>
      <c r="E8356" s="3" t="str">
        <f ca="1">IF(Tabela2[[#This Row],[Dt Venc:]]&gt;TODAY(),"Em Aberto",IF(Tabela2[[#This Row],[D/venc]]="-","Enviado",IF(Tabela2[[#This Row],[Dt Venc:]]=TODAY(),"Vence Hoje","Vencida")))</f>
        <v>Em Aberto</v>
      </c>
      <c r="F8356" s="3">
        <f ca="1">IF(G8356=1,"-",Tabela2[[#This Row],[Dt Venc:]]-TODAY())</f>
        <v>375</v>
      </c>
      <c r="G8356" s="3"/>
      <c r="H8356" s="3"/>
    </row>
    <row r="8357" spans="1:8">
      <c r="A8357" s="3">
        <v>369751</v>
      </c>
      <c r="B8357" s="7" t="s">
        <v>543</v>
      </c>
      <c r="C8357" s="87" t="s">
        <v>32</v>
      </c>
      <c r="D8357" s="6">
        <v>46068</v>
      </c>
      <c r="E8357" s="3" t="str">
        <f ca="1">IF(Tabela2[[#This Row],[Dt Venc:]]&gt;TODAY(),"Em Aberto",IF(Tabela2[[#This Row],[D/venc]]="-","Enviado",IF(Tabela2[[#This Row],[Dt Venc:]]=TODAY(),"Vence Hoje","Vencida")))</f>
        <v>Em Aberto</v>
      </c>
      <c r="F8357" s="3">
        <f ca="1">IF(G8357=1,"-",Tabela2[[#This Row],[Dt Venc:]]-TODAY())</f>
        <v>375</v>
      </c>
      <c r="G8357" s="3"/>
      <c r="H8357" s="3"/>
    </row>
    <row r="8358" spans="1:8">
      <c r="A8358" s="3">
        <v>370201</v>
      </c>
      <c r="B8358" s="7" t="s">
        <v>543</v>
      </c>
      <c r="C8358" s="87" t="s">
        <v>32</v>
      </c>
      <c r="D8358" s="6">
        <v>46068</v>
      </c>
      <c r="E8358" s="3" t="str">
        <f ca="1">IF(Tabela2[[#This Row],[Dt Venc:]]&gt;TODAY(),"Em Aberto",IF(Tabela2[[#This Row],[D/venc]]="-","Enviado",IF(Tabela2[[#This Row],[Dt Venc:]]=TODAY(),"Vence Hoje","Vencida")))</f>
        <v>Em Aberto</v>
      </c>
      <c r="F8358" s="3">
        <f ca="1">IF(G8358=1,"-",Tabela2[[#This Row],[Dt Venc:]]-TODAY())</f>
        <v>375</v>
      </c>
      <c r="G8358" s="3"/>
      <c r="H8358" s="3"/>
    </row>
    <row r="8359" spans="1:8">
      <c r="A8359" s="3">
        <v>370864</v>
      </c>
      <c r="B8359" s="7" t="s">
        <v>543</v>
      </c>
      <c r="C8359" s="87" t="s">
        <v>32</v>
      </c>
      <c r="D8359" s="6">
        <v>46068</v>
      </c>
      <c r="E8359" s="3" t="str">
        <f ca="1">IF(Tabela2[[#This Row],[Dt Venc:]]&gt;TODAY(),"Em Aberto",IF(Tabela2[[#This Row],[D/venc]]="-","Enviado",IF(Tabela2[[#This Row],[Dt Venc:]]=TODAY(),"Vence Hoje","Vencida")))</f>
        <v>Em Aberto</v>
      </c>
      <c r="F8359" s="3">
        <f ca="1">IF(G8359=1,"-",Tabela2[[#This Row],[Dt Venc:]]-TODAY())</f>
        <v>375</v>
      </c>
      <c r="G8359" s="3"/>
      <c r="H8359" s="3"/>
    </row>
    <row r="8360" spans="1:8">
      <c r="A8360" s="3">
        <v>371011</v>
      </c>
      <c r="B8360" s="7" t="s">
        <v>633</v>
      </c>
      <c r="C8360" s="87" t="s">
        <v>32</v>
      </c>
      <c r="D8360" s="6">
        <v>46068</v>
      </c>
      <c r="E8360" s="3" t="str">
        <f ca="1">IF(Tabela2[[#This Row],[Dt Venc:]]&gt;TODAY(),"Em Aberto",IF(Tabela2[[#This Row],[D/venc]]="-","Enviado",IF(Tabela2[[#This Row],[Dt Venc:]]=TODAY(),"Vence Hoje","Vencida")))</f>
        <v>Em Aberto</v>
      </c>
      <c r="F8360" s="3">
        <f ca="1">IF(G8360=1,"-",Tabela2[[#This Row],[Dt Venc:]]-TODAY())</f>
        <v>375</v>
      </c>
      <c r="G8360" s="3"/>
      <c r="H8360" s="3"/>
    </row>
    <row r="8361" spans="1:8">
      <c r="A8361" s="3">
        <v>371160</v>
      </c>
      <c r="B8361" s="7" t="s">
        <v>633</v>
      </c>
      <c r="C8361" s="87" t="s">
        <v>32</v>
      </c>
      <c r="D8361" s="6">
        <v>46068</v>
      </c>
      <c r="E8361" s="3" t="str">
        <f ca="1">IF(Tabela2[[#This Row],[Dt Venc:]]&gt;TODAY(),"Em Aberto",IF(Tabela2[[#This Row],[D/venc]]="-","Enviado",IF(Tabela2[[#This Row],[Dt Venc:]]=TODAY(),"Vence Hoje","Vencida")))</f>
        <v>Em Aberto</v>
      </c>
      <c r="F8361" s="3">
        <f ca="1">IF(G8361=1,"-",Tabela2[[#This Row],[Dt Venc:]]-TODAY())</f>
        <v>375</v>
      </c>
      <c r="G8361" s="3"/>
      <c r="H8361" s="3"/>
    </row>
    <row r="8362" spans="1:8">
      <c r="A8362" s="3">
        <v>748099</v>
      </c>
      <c r="B8362" s="7" t="s">
        <v>81</v>
      </c>
      <c r="C8362" s="99" t="s">
        <v>32</v>
      </c>
      <c r="D8362" s="6">
        <v>46068</v>
      </c>
      <c r="E8362" s="3" t="str">
        <f ca="1">IF(Tabela2[[#This Row],[Dt Venc:]]&gt;TODAY(),"Em Aberto",IF(Tabela2[[#This Row],[D/venc]]="-","Enviado",IF(Tabela2[[#This Row],[Dt Venc:]]=TODAY(),"Vence Hoje","Vencida")))</f>
        <v>Em Aberto</v>
      </c>
      <c r="F8362" s="3">
        <f ca="1">IF(G8362=1,"-",Tabela2[[#This Row],[Dt Venc:]]-TODAY())</f>
        <v>375</v>
      </c>
      <c r="G8362" s="3"/>
      <c r="H8362" s="3"/>
    </row>
    <row r="8363" spans="1:8">
      <c r="A8363" s="3">
        <v>892178</v>
      </c>
      <c r="B8363" s="7" t="s">
        <v>253</v>
      </c>
      <c r="C8363" s="99" t="s">
        <v>32</v>
      </c>
      <c r="D8363" s="6">
        <v>46068</v>
      </c>
      <c r="E8363" s="3" t="str">
        <f ca="1">IF(Tabela2[[#This Row],[Dt Venc:]]&gt;TODAY(),"Em Aberto",IF(Tabela2[[#This Row],[D/venc]]="-","Enviado",IF(Tabela2[[#This Row],[Dt Venc:]]=TODAY(),"Vence Hoje","Vencida")))</f>
        <v>Em Aberto</v>
      </c>
      <c r="F8363" s="3">
        <f ca="1">IF(G8363=1,"-",Tabela2[[#This Row],[Dt Venc:]]-TODAY())</f>
        <v>375</v>
      </c>
      <c r="G8363" s="3"/>
      <c r="H8363" s="3"/>
    </row>
    <row r="8364" spans="1:8">
      <c r="A8364" s="3">
        <v>894135</v>
      </c>
      <c r="B8364" s="7" t="s">
        <v>253</v>
      </c>
      <c r="C8364" s="99" t="s">
        <v>32</v>
      </c>
      <c r="D8364" s="6">
        <v>46068</v>
      </c>
      <c r="E8364" s="3" t="str">
        <f ca="1">IF(Tabela2[[#This Row],[Dt Venc:]]&gt;TODAY(),"Em Aberto",IF(Tabela2[[#This Row],[D/venc]]="-","Enviado",IF(Tabela2[[#This Row],[Dt Venc:]]=TODAY(),"Vence Hoje","Vencida")))</f>
        <v>Em Aberto</v>
      </c>
      <c r="F8364" s="3">
        <f ca="1">IF(G8364=1,"-",Tabela2[[#This Row],[Dt Venc:]]-TODAY())</f>
        <v>375</v>
      </c>
      <c r="G8364" s="3"/>
      <c r="H8364" s="3"/>
    </row>
    <row r="8365" spans="1:8">
      <c r="A8365" s="3">
        <v>896565</v>
      </c>
      <c r="B8365" s="7" t="s">
        <v>253</v>
      </c>
      <c r="C8365" s="99" t="s">
        <v>32</v>
      </c>
      <c r="D8365" s="6">
        <v>46068</v>
      </c>
      <c r="E8365" s="3" t="str">
        <f ca="1">IF(Tabela2[[#This Row],[Dt Venc:]]&gt;TODAY(),"Em Aberto",IF(Tabela2[[#This Row],[D/venc]]="-","Enviado",IF(Tabela2[[#This Row],[Dt Venc:]]=TODAY(),"Vence Hoje","Vencida")))</f>
        <v>Em Aberto</v>
      </c>
      <c r="F8365" s="3">
        <f ca="1">IF(G8365=1,"-",Tabela2[[#This Row],[Dt Venc:]]-TODAY())</f>
        <v>375</v>
      </c>
      <c r="G8365" s="3"/>
      <c r="H8365" s="3"/>
    </row>
    <row r="8366" spans="1:8">
      <c r="A8366" s="3">
        <v>900386</v>
      </c>
      <c r="B8366" s="7" t="s">
        <v>253</v>
      </c>
      <c r="C8366" s="99" t="s">
        <v>32</v>
      </c>
      <c r="D8366" s="6">
        <v>46068</v>
      </c>
      <c r="E8366" s="3" t="str">
        <f ca="1">IF(Tabela2[[#This Row],[Dt Venc:]]&gt;TODAY(),"Em Aberto",IF(Tabela2[[#This Row],[D/venc]]="-","Enviado",IF(Tabela2[[#This Row],[Dt Venc:]]=TODAY(),"Vence Hoje","Vencida")))</f>
        <v>Em Aberto</v>
      </c>
      <c r="F8366" s="3">
        <f ca="1">IF(G8366=1,"-",Tabela2[[#This Row],[Dt Venc:]]-TODAY())</f>
        <v>375</v>
      </c>
      <c r="G8366" s="3"/>
      <c r="H8366" s="3"/>
    </row>
    <row r="8367" spans="1:8">
      <c r="A8367" s="3">
        <v>901787</v>
      </c>
      <c r="B8367" s="7" t="s">
        <v>253</v>
      </c>
      <c r="C8367" s="99" t="s">
        <v>32</v>
      </c>
      <c r="D8367" s="6">
        <v>46068</v>
      </c>
      <c r="E8367" s="3" t="str">
        <f ca="1">IF(Tabela2[[#This Row],[Dt Venc:]]&gt;TODAY(),"Em Aberto",IF(Tabela2[[#This Row],[D/venc]]="-","Enviado",IF(Tabela2[[#This Row],[Dt Venc:]]=TODAY(),"Vence Hoje","Vencida")))</f>
        <v>Em Aberto</v>
      </c>
      <c r="F8367" s="3">
        <f ca="1">IF(G8367=1,"-",Tabela2[[#This Row],[Dt Venc:]]-TODAY())</f>
        <v>375</v>
      </c>
      <c r="G8367" s="3"/>
      <c r="H8367" s="3"/>
    </row>
    <row r="8368" spans="1:8">
      <c r="A8368" s="3">
        <v>901788</v>
      </c>
      <c r="B8368" s="7" t="s">
        <v>253</v>
      </c>
      <c r="C8368" s="99" t="s">
        <v>32</v>
      </c>
      <c r="D8368" s="6">
        <v>46068</v>
      </c>
      <c r="E8368" s="3" t="str">
        <f ca="1">IF(Tabela2[[#This Row],[Dt Venc:]]&gt;TODAY(),"Em Aberto",IF(Tabela2[[#This Row],[D/venc]]="-","Enviado",IF(Tabela2[[#This Row],[Dt Venc:]]=TODAY(),"Vence Hoje","Vencida")))</f>
        <v>Em Aberto</v>
      </c>
      <c r="F8368" s="3">
        <f ca="1">IF(G8368=1,"-",Tabela2[[#This Row],[Dt Venc:]]-TODAY())</f>
        <v>375</v>
      </c>
      <c r="G8368" s="3"/>
      <c r="H8368" s="3"/>
    </row>
    <row r="8369" spans="1:8">
      <c r="A8369" s="3">
        <v>901789</v>
      </c>
      <c r="B8369" s="7" t="s">
        <v>253</v>
      </c>
      <c r="C8369" s="99" t="s">
        <v>32</v>
      </c>
      <c r="D8369" s="6">
        <v>46068</v>
      </c>
      <c r="E8369" s="3" t="str">
        <f ca="1">IF(Tabela2[[#This Row],[Dt Venc:]]&gt;TODAY(),"Em Aberto",IF(Tabela2[[#This Row],[D/venc]]="-","Enviado",IF(Tabela2[[#This Row],[Dt Venc:]]=TODAY(),"Vence Hoje","Vencida")))</f>
        <v>Em Aberto</v>
      </c>
      <c r="F8369" s="3">
        <f ca="1">IF(G8369=1,"-",Tabela2[[#This Row],[Dt Venc:]]-TODAY())</f>
        <v>375</v>
      </c>
      <c r="G8369" s="3"/>
      <c r="H8369" s="3"/>
    </row>
    <row r="8370" spans="1:8">
      <c r="A8370" s="3">
        <v>912703</v>
      </c>
      <c r="B8370" s="7" t="s">
        <v>253</v>
      </c>
      <c r="C8370" s="99" t="s">
        <v>32</v>
      </c>
      <c r="D8370" s="6">
        <v>46068</v>
      </c>
      <c r="E8370" s="3" t="str">
        <f ca="1">IF(Tabela2[[#This Row],[Dt Venc:]]&gt;TODAY(),"Em Aberto",IF(Tabela2[[#This Row],[D/venc]]="-","Enviado",IF(Tabela2[[#This Row],[Dt Venc:]]=TODAY(),"Vence Hoje","Vencida")))</f>
        <v>Em Aberto</v>
      </c>
      <c r="F8370" s="3">
        <f ca="1">IF(G8370=1,"-",Tabela2[[#This Row],[Dt Venc:]]-TODAY())</f>
        <v>375</v>
      </c>
      <c r="G8370" s="3"/>
      <c r="H8370" s="3"/>
    </row>
    <row r="8371" spans="1:8">
      <c r="A8371" s="3">
        <v>912704</v>
      </c>
      <c r="B8371" s="7" t="s">
        <v>253</v>
      </c>
      <c r="C8371" s="99" t="s">
        <v>32</v>
      </c>
      <c r="D8371" s="6">
        <v>46068</v>
      </c>
      <c r="E8371" s="3" t="str">
        <f ca="1">IF(Tabela2[[#This Row],[Dt Venc:]]&gt;TODAY(),"Em Aberto",IF(Tabela2[[#This Row],[D/venc]]="-","Enviado",IF(Tabela2[[#This Row],[Dt Venc:]]=TODAY(),"Vence Hoje","Vencida")))</f>
        <v>Em Aberto</v>
      </c>
      <c r="F8371" s="3">
        <f ca="1">IF(G8371=1,"-",Tabela2[[#This Row],[Dt Venc:]]-TODAY())</f>
        <v>375</v>
      </c>
      <c r="G8371" s="3"/>
      <c r="H8371" s="3"/>
    </row>
    <row r="8372" spans="1:8">
      <c r="A8372" s="3">
        <v>919728</v>
      </c>
      <c r="B8372" s="7" t="s">
        <v>253</v>
      </c>
      <c r="C8372" s="87" t="s">
        <v>32</v>
      </c>
      <c r="D8372" s="6">
        <v>46068</v>
      </c>
      <c r="E8372" s="3" t="str">
        <f ca="1">IF(Tabela2[[#This Row],[Dt Venc:]]&gt;TODAY(),"Em Aberto",IF(Tabela2[[#This Row],[D/venc]]="-","Enviado",IF(Tabela2[[#This Row],[Dt Venc:]]=TODAY(),"Vence Hoje","Vencida")))</f>
        <v>Em Aberto</v>
      </c>
      <c r="F8372" s="3">
        <f ca="1">IF(G8372=1,"-",Tabela2[[#This Row],[Dt Venc:]]-TODAY())</f>
        <v>375</v>
      </c>
      <c r="G8372" s="3"/>
      <c r="H8372" s="3"/>
    </row>
    <row r="8373" spans="1:8">
      <c r="A8373" s="3">
        <v>919729</v>
      </c>
      <c r="B8373" s="7" t="s">
        <v>253</v>
      </c>
      <c r="C8373" s="87" t="s">
        <v>32</v>
      </c>
      <c r="D8373" s="6">
        <v>46068</v>
      </c>
      <c r="E8373" s="3" t="str">
        <f ca="1">IF(Tabela2[[#This Row],[Dt Venc:]]&gt;TODAY(),"Em Aberto",IF(Tabela2[[#This Row],[D/venc]]="-","Enviado",IF(Tabela2[[#This Row],[Dt Venc:]]=TODAY(),"Vence Hoje","Vencida")))</f>
        <v>Em Aberto</v>
      </c>
      <c r="F8373" s="3">
        <f ca="1">IF(G8373=1,"-",Tabela2[[#This Row],[Dt Venc:]]-TODAY())</f>
        <v>375</v>
      </c>
      <c r="G8373" s="3"/>
      <c r="H8373" s="3"/>
    </row>
    <row r="8374" spans="1:8">
      <c r="A8374" s="3">
        <v>37196</v>
      </c>
      <c r="B8374" s="7" t="s">
        <v>167</v>
      </c>
      <c r="C8374" s="85" t="s">
        <v>32</v>
      </c>
      <c r="D8374" s="6">
        <v>46070</v>
      </c>
      <c r="E8374" s="3" t="str">
        <f ca="1">IF(Tabela2[[#This Row],[Dt Venc:]]&gt;TODAY(),"Em Aberto",IF(Tabela2[[#This Row],[D/venc]]="-","Enviado",IF(Tabela2[[#This Row],[Dt Venc:]]=TODAY(),"Vence Hoje","Vencida")))</f>
        <v>Em Aberto</v>
      </c>
      <c r="F8374" s="3">
        <f ca="1">IF(G8374=1,"-",Tabela2[[#This Row],[Dt Venc:]]-TODAY())</f>
        <v>377</v>
      </c>
      <c r="G8374" s="3"/>
      <c r="H8374" s="3"/>
    </row>
    <row r="8375" spans="1:8">
      <c r="A8375" s="3">
        <v>37300</v>
      </c>
      <c r="B8375" s="7" t="s">
        <v>167</v>
      </c>
      <c r="C8375" s="99" t="s">
        <v>32</v>
      </c>
      <c r="D8375" s="6">
        <v>46071</v>
      </c>
      <c r="E8375" s="3" t="str">
        <f ca="1">IF(Tabela2[[#This Row],[Dt Venc:]]&gt;TODAY(),"Em Aberto",IF(Tabela2[[#This Row],[D/venc]]="-","Enviado",IF(Tabela2[[#This Row],[Dt Venc:]]=TODAY(),"Vence Hoje","Vencida")))</f>
        <v>Em Aberto</v>
      </c>
      <c r="F8375" s="3">
        <f ca="1">IF(G8375=1,"-",Tabela2[[#This Row],[Dt Venc:]]-TODAY())</f>
        <v>378</v>
      </c>
      <c r="G8375" s="3"/>
      <c r="H8375" s="3"/>
    </row>
    <row r="8376" spans="1:8">
      <c r="A8376" s="3">
        <v>37348</v>
      </c>
      <c r="B8376" s="7" t="s">
        <v>167</v>
      </c>
      <c r="C8376" s="99" t="s">
        <v>32</v>
      </c>
      <c r="D8376" s="6">
        <v>46075</v>
      </c>
      <c r="E8376" s="3" t="str">
        <f ca="1">IF(Tabela2[[#This Row],[Dt Venc:]]&gt;TODAY(),"Em Aberto",IF(Tabela2[[#This Row],[D/venc]]="-","Enviado",IF(Tabela2[[#This Row],[Dt Venc:]]=TODAY(),"Vence Hoje","Vencida")))</f>
        <v>Em Aberto</v>
      </c>
      <c r="F8376" s="3">
        <f ca="1">IF(G8376=1,"-",Tabela2[[#This Row],[Dt Venc:]]-TODAY())</f>
        <v>382</v>
      </c>
      <c r="G8376" s="3"/>
      <c r="H8376" s="3"/>
    </row>
    <row r="8377" spans="1:8">
      <c r="A8377" s="3">
        <v>654537</v>
      </c>
      <c r="B8377" s="7" t="s">
        <v>648</v>
      </c>
      <c r="C8377" s="87" t="s">
        <v>32</v>
      </c>
      <c r="D8377" s="6">
        <v>46076</v>
      </c>
      <c r="E8377" s="3" t="str">
        <f ca="1">IF(Tabela2[[#This Row],[Dt Venc:]]&gt;TODAY(),"Em Aberto",IF(Tabela2[[#This Row],[D/venc]]="-","Enviado",IF(Tabela2[[#This Row],[Dt Venc:]]=TODAY(),"Vence Hoje","Vencida")))</f>
        <v>Em Aberto</v>
      </c>
      <c r="F8377" s="3">
        <f ca="1">IF(G8377=1,"-",Tabela2[[#This Row],[Dt Venc:]]-TODAY())</f>
        <v>383</v>
      </c>
      <c r="G8377" s="3"/>
      <c r="H8377" s="3"/>
    </row>
    <row r="8378" spans="1:8">
      <c r="A8378" s="3">
        <v>495914</v>
      </c>
      <c r="B8378" s="7" t="s">
        <v>153</v>
      </c>
      <c r="C8378" s="99" t="s">
        <v>32</v>
      </c>
      <c r="D8378" s="6">
        <v>46078</v>
      </c>
      <c r="E8378" s="3" t="str">
        <f ca="1">IF(Tabela2[[#This Row],[Dt Venc:]]&gt;TODAY(),"Em Aberto",IF(Tabela2[[#This Row],[D/venc]]="-","Enviado",IF(Tabela2[[#This Row],[Dt Venc:]]=TODAY(),"Vence Hoje","Vencida")))</f>
        <v>Em Aberto</v>
      </c>
      <c r="F8378" s="3">
        <f ca="1">IF(G8378=1,"-",Tabela2[[#This Row],[Dt Venc:]]-TODAY())</f>
        <v>385</v>
      </c>
      <c r="G8378" s="3"/>
      <c r="H8378" s="3"/>
    </row>
    <row r="8379" spans="1:8">
      <c r="A8379" s="3">
        <v>5690</v>
      </c>
      <c r="B8379" s="7" t="s">
        <v>122</v>
      </c>
      <c r="C8379" s="99" t="s">
        <v>32</v>
      </c>
      <c r="D8379" s="6">
        <v>46080</v>
      </c>
      <c r="E8379" s="3" t="str">
        <f ca="1">IF(Tabela2[[#This Row],[Dt Venc:]]&gt;TODAY(),"Em Aberto",IF(Tabela2[[#This Row],[D/venc]]="-","Enviado",IF(Tabela2[[#This Row],[Dt Venc:]]=TODAY(),"Vence Hoje","Vencida")))</f>
        <v>Em Aberto</v>
      </c>
      <c r="F8379" s="3">
        <f ca="1">IF(G8379=1,"-",Tabela2[[#This Row],[Dt Venc:]]-TODAY())</f>
        <v>387</v>
      </c>
      <c r="G8379" s="3"/>
      <c r="H8379" s="3"/>
    </row>
    <row r="8380" spans="1:8">
      <c r="A8380" s="3">
        <v>11681</v>
      </c>
      <c r="B8380" s="7" t="s">
        <v>82</v>
      </c>
      <c r="C8380" s="87" t="s">
        <v>30</v>
      </c>
      <c r="D8380" s="6">
        <v>46081</v>
      </c>
      <c r="E8380" s="3" t="str">
        <f ca="1">IF(Tabela2[[#This Row],[Dt Venc:]]&gt;TODAY(),"Em Aberto",IF(Tabela2[[#This Row],[D/venc]]="-","Enviado",IF(Tabela2[[#This Row],[Dt Venc:]]=TODAY(),"Vence Hoje","Vencida")))</f>
        <v>Em Aberto</v>
      </c>
      <c r="F8380" s="3">
        <f ca="1">IF(G8380=1,"-",Tabela2[[#This Row],[Dt Venc:]]-TODAY())</f>
        <v>388</v>
      </c>
      <c r="G8380" s="3"/>
      <c r="H8380" s="3"/>
    </row>
    <row r="8381" spans="1:8">
      <c r="A8381" s="3" t="s">
        <v>28</v>
      </c>
      <c r="B8381" s="7" t="s">
        <v>391</v>
      </c>
      <c r="C8381" s="85" t="s">
        <v>30</v>
      </c>
      <c r="D8381" s="6">
        <v>46081</v>
      </c>
      <c r="E8381" s="3" t="str">
        <f ca="1">IF(Tabela2[[#This Row],[Dt Venc:]]&gt;TODAY(),"Em Aberto",IF(Tabela2[[#This Row],[D/venc]]="-","Enviado",IF(Tabela2[[#This Row],[Dt Venc:]]=TODAY(),"Vence Hoje","Vencida")))</f>
        <v>Em Aberto</v>
      </c>
      <c r="F8381" s="3">
        <f ca="1">IF(G8381=1,"-",Tabela2[[#This Row],[Dt Venc:]]-TODAY())</f>
        <v>388</v>
      </c>
      <c r="G8381" s="3"/>
      <c r="H8381" s="3"/>
    </row>
    <row r="8382" spans="1:8">
      <c r="A8382" s="3" t="s">
        <v>123</v>
      </c>
      <c r="B8382" s="7" t="s">
        <v>386</v>
      </c>
      <c r="C8382" s="87" t="s">
        <v>32</v>
      </c>
      <c r="D8382" s="6">
        <v>46081</v>
      </c>
      <c r="E8382" s="3" t="str">
        <f ca="1">IF(Tabela2[[#This Row],[Dt Venc:]]&gt;TODAY(),"Em Aberto",IF(Tabela2[[#This Row],[D/venc]]="-","Enviado",IF(Tabela2[[#This Row],[Dt Venc:]]=TODAY(),"Vence Hoje","Vencida")))</f>
        <v>Em Aberto</v>
      </c>
      <c r="F8382" s="3">
        <f ca="1">IF(G8382=1,"-",Tabela2[[#This Row],[Dt Venc:]]-TODAY())</f>
        <v>388</v>
      </c>
      <c r="G8382" s="3"/>
      <c r="H8382" s="3"/>
    </row>
    <row r="8383" spans="1:8">
      <c r="A8383" s="3">
        <v>36910</v>
      </c>
      <c r="B8383" s="7" t="s">
        <v>167</v>
      </c>
      <c r="C8383" s="99" t="s">
        <v>32</v>
      </c>
      <c r="D8383" s="6">
        <v>46082</v>
      </c>
      <c r="E8383" s="3" t="str">
        <f ca="1">IF(Tabela2[[#This Row],[Dt Venc:]]&gt;TODAY(),"Em Aberto",IF(Tabela2[[#This Row],[D/venc]]="-","Enviado",IF(Tabela2[[#This Row],[Dt Venc:]]=TODAY(),"Vence Hoje","Vencida")))</f>
        <v>Em Aberto</v>
      </c>
      <c r="F8383" s="3">
        <f ca="1">IF(G8383=1,"-",Tabela2[[#This Row],[Dt Venc:]]-TODAY())</f>
        <v>389</v>
      </c>
      <c r="G8383" s="3"/>
      <c r="H8383" s="3"/>
    </row>
    <row r="8384" spans="1:8">
      <c r="A8384" s="3">
        <v>10494</v>
      </c>
      <c r="B8384" s="7" t="s">
        <v>82</v>
      </c>
      <c r="C8384" s="86" t="s">
        <v>30</v>
      </c>
      <c r="D8384" s="6">
        <v>46084</v>
      </c>
      <c r="E8384" s="3" t="str">
        <f ca="1">IF(Tabela2[[#This Row],[Dt Venc:]]&gt;TODAY(),"Em Aberto",IF(Tabela2[[#This Row],[D/venc]]="-","Enviado",IF(Tabela2[[#This Row],[Dt Venc:]]=TODAY(),"Vence Hoje","Vencida")))</f>
        <v>Em Aberto</v>
      </c>
      <c r="F8384" s="3">
        <f ca="1">IF(G8384=1,"-",Tabela2[[#This Row],[Dt Venc:]]-TODAY())</f>
        <v>391</v>
      </c>
      <c r="G8384" s="3"/>
      <c r="H8384" s="3"/>
    </row>
    <row r="8385" spans="1:8">
      <c r="A8385" s="3">
        <v>5680</v>
      </c>
      <c r="B8385" s="7" t="s">
        <v>122</v>
      </c>
      <c r="C8385" s="99" t="s">
        <v>32</v>
      </c>
      <c r="D8385" s="6">
        <v>46086</v>
      </c>
      <c r="E8385" s="3" t="str">
        <f ca="1">IF(Tabela2[[#This Row],[Dt Venc:]]&gt;TODAY(),"Em Aberto",IF(Tabela2[[#This Row],[D/venc]]="-","Enviado",IF(Tabela2[[#This Row],[Dt Venc:]]=TODAY(),"Vence Hoje","Vencida")))</f>
        <v>Em Aberto</v>
      </c>
      <c r="F8385" s="3">
        <f ca="1">IF(G8385=1,"-",Tabela2[[#This Row],[Dt Venc:]]-TODAY())</f>
        <v>393</v>
      </c>
      <c r="G8385" s="3"/>
      <c r="H8385" s="3"/>
    </row>
    <row r="8386" spans="1:8">
      <c r="A8386" s="3">
        <v>10353</v>
      </c>
      <c r="B8386" s="7" t="s">
        <v>82</v>
      </c>
      <c r="C8386" s="99" t="s">
        <v>32</v>
      </c>
      <c r="D8386" s="6">
        <v>46086</v>
      </c>
      <c r="E8386" s="3" t="str">
        <f ca="1">IF(Tabela2[[#This Row],[Dt Venc:]]&gt;TODAY(),"Em Aberto",IF(Tabela2[[#This Row],[D/venc]]="-","Enviado",IF(Tabela2[[#This Row],[Dt Venc:]]=TODAY(),"Vence Hoje","Vencida")))</f>
        <v>Em Aberto</v>
      </c>
      <c r="F8386" s="3">
        <f ca="1">IF(G8386=1,"-",Tabela2[[#This Row],[Dt Venc:]]-TODAY())</f>
        <v>393</v>
      </c>
      <c r="G8386" s="3"/>
      <c r="H8386" s="3"/>
    </row>
    <row r="8387" spans="1:8">
      <c r="A8387" s="3">
        <v>284620</v>
      </c>
      <c r="B8387" s="7" t="s">
        <v>153</v>
      </c>
      <c r="C8387" s="99" t="s">
        <v>32</v>
      </c>
      <c r="D8387" s="6">
        <v>46089</v>
      </c>
      <c r="E8387" s="3" t="str">
        <f ca="1">IF(Tabela2[[#This Row],[Dt Venc:]]&gt;TODAY(),"Em Aberto",IF(Tabela2[[#This Row],[D/venc]]="-","Enviado",IF(Tabela2[[#This Row],[Dt Venc:]]=TODAY(),"Vence Hoje","Vencida")))</f>
        <v>Em Aberto</v>
      </c>
      <c r="F8387" s="3">
        <f ca="1">IF(G8387=1,"-",Tabela2[[#This Row],[Dt Venc:]]-TODAY())</f>
        <v>396</v>
      </c>
      <c r="G8387" s="3"/>
      <c r="H8387" s="3"/>
    </row>
    <row r="8388" spans="1:8">
      <c r="A8388" s="3">
        <v>36949</v>
      </c>
      <c r="B8388" s="7" t="s">
        <v>167</v>
      </c>
      <c r="C8388" s="99" t="s">
        <v>32</v>
      </c>
      <c r="D8388" s="6">
        <v>46090</v>
      </c>
      <c r="E8388" s="3" t="str">
        <f ca="1">IF(Tabela2[[#This Row],[Dt Venc:]]&gt;TODAY(),"Em Aberto",IF(Tabela2[[#This Row],[D/venc]]="-","Enviado",IF(Tabela2[[#This Row],[Dt Venc:]]=TODAY(),"Vence Hoje","Vencida")))</f>
        <v>Em Aberto</v>
      </c>
      <c r="F8388" s="3">
        <f ca="1">IF(G8388=1,"-",Tabela2[[#This Row],[Dt Venc:]]-TODAY())</f>
        <v>397</v>
      </c>
      <c r="G8388" s="3"/>
      <c r="H8388" s="3"/>
    </row>
    <row r="8389" spans="1:8">
      <c r="A8389" s="3">
        <v>756561</v>
      </c>
      <c r="B8389" s="7" t="s">
        <v>166</v>
      </c>
      <c r="C8389" s="99" t="s">
        <v>32</v>
      </c>
      <c r="D8389" s="6">
        <v>46090</v>
      </c>
      <c r="E8389" s="3" t="str">
        <f ca="1">IF(Tabela2[[#This Row],[Dt Venc:]]&gt;TODAY(),"Em Aberto",IF(Tabela2[[#This Row],[D/venc]]="-","Enviado",IF(Tabela2[[#This Row],[Dt Venc:]]=TODAY(),"Vence Hoje","Vencida")))</f>
        <v>Em Aberto</v>
      </c>
      <c r="F8389" s="3">
        <f ca="1">IF(G8389=1,"-",Tabela2[[#This Row],[Dt Venc:]]-TODAY())</f>
        <v>397</v>
      </c>
      <c r="G8389" s="3"/>
      <c r="H8389" s="3"/>
    </row>
    <row r="8390" spans="1:8">
      <c r="A8390" s="3" t="s">
        <v>179</v>
      </c>
      <c r="B8390" s="7" t="s">
        <v>190</v>
      </c>
      <c r="C8390" s="99" t="s">
        <v>32</v>
      </c>
      <c r="D8390" s="6">
        <v>46091</v>
      </c>
      <c r="E8390" s="3" t="str">
        <f ca="1">IF(Tabela2[[#This Row],[Dt Venc:]]&gt;TODAY(),"Em Aberto",IF(Tabela2[[#This Row],[D/venc]]="-","Enviado",IF(Tabela2[[#This Row],[Dt Venc:]]=TODAY(),"Vence Hoje","Vencida")))</f>
        <v>Em Aberto</v>
      </c>
      <c r="F8390" s="3">
        <f ca="1">IF(G8390=1,"-",Tabela2[[#This Row],[Dt Venc:]]-TODAY())</f>
        <v>398</v>
      </c>
      <c r="G8390" s="3"/>
      <c r="H8390" s="3"/>
    </row>
    <row r="8391" spans="1:8">
      <c r="A8391" s="3">
        <v>37292</v>
      </c>
      <c r="B8391" s="7" t="s">
        <v>167</v>
      </c>
      <c r="C8391" s="99" t="s">
        <v>32</v>
      </c>
      <c r="D8391" s="6">
        <v>46092</v>
      </c>
      <c r="E8391" s="3" t="str">
        <f ca="1">IF(Tabela2[[#This Row],[Dt Venc:]]&gt;TODAY(),"Em Aberto",IF(Tabela2[[#This Row],[D/venc]]="-","Enviado",IF(Tabela2[[#This Row],[Dt Venc:]]=TODAY(),"Vence Hoje","Vencida")))</f>
        <v>Em Aberto</v>
      </c>
      <c r="F8391" s="3">
        <f ca="1">IF(G8391=1,"-",Tabela2[[#This Row],[Dt Venc:]]-TODAY())</f>
        <v>399</v>
      </c>
      <c r="G8391" s="3"/>
      <c r="H8391" s="3"/>
    </row>
    <row r="8392" spans="1:8">
      <c r="A8392" s="3">
        <v>37327</v>
      </c>
      <c r="B8392" s="7" t="s">
        <v>167</v>
      </c>
      <c r="C8392" s="99" t="s">
        <v>32</v>
      </c>
      <c r="D8392" s="6">
        <v>46092</v>
      </c>
      <c r="E8392" s="3" t="str">
        <f ca="1">IF(Tabela2[[#This Row],[Dt Venc:]]&gt;TODAY(),"Em Aberto",IF(Tabela2[[#This Row],[D/venc]]="-","Enviado",IF(Tabela2[[#This Row],[Dt Venc:]]=TODAY(),"Vence Hoje","Vencida")))</f>
        <v>Em Aberto</v>
      </c>
      <c r="F8392" s="3">
        <f ca="1">IF(G8392=1,"-",Tabela2[[#This Row],[Dt Venc:]]-TODAY())</f>
        <v>399</v>
      </c>
      <c r="G8392" s="3"/>
      <c r="H8392" s="3"/>
    </row>
    <row r="8393" spans="1:8">
      <c r="A8393" s="3">
        <v>562</v>
      </c>
      <c r="B8393" s="7" t="s">
        <v>251</v>
      </c>
      <c r="C8393" s="99" t="s">
        <v>32</v>
      </c>
      <c r="D8393" s="6">
        <v>46096</v>
      </c>
      <c r="E8393" s="3" t="str">
        <f ca="1">IF(Tabela2[[#This Row],[Dt Venc:]]&gt;TODAY(),"Em Aberto",IF(Tabela2[[#This Row],[D/venc]]="-","Enviado",IF(Tabela2[[#This Row],[Dt Venc:]]=TODAY(),"Vence Hoje","Vencida")))</f>
        <v>Em Aberto</v>
      </c>
      <c r="F8393" s="3">
        <f ca="1">IF(G8393=1,"-",Tabela2[[#This Row],[Dt Venc:]]-TODAY())</f>
        <v>403</v>
      </c>
      <c r="G8393" s="3"/>
      <c r="H8393" s="3"/>
    </row>
    <row r="8394" spans="1:8">
      <c r="A8394" s="3">
        <v>103015</v>
      </c>
      <c r="B8394" s="7" t="s">
        <v>252</v>
      </c>
      <c r="C8394" s="99" t="s">
        <v>32</v>
      </c>
      <c r="D8394" s="6">
        <v>46096</v>
      </c>
      <c r="E8394" s="3" t="str">
        <f ca="1">IF(Tabela2[[#This Row],[Dt Venc:]]&gt;TODAY(),"Em Aberto",IF(Tabela2[[#This Row],[D/venc]]="-","Enviado",IF(Tabela2[[#This Row],[Dt Venc:]]=TODAY(),"Vence Hoje","Vencida")))</f>
        <v>Em Aberto</v>
      </c>
      <c r="F8394" s="3">
        <f ca="1">IF(G8394=1,"-",Tabela2[[#This Row],[Dt Venc:]]-TODAY())</f>
        <v>403</v>
      </c>
      <c r="G8394" s="3"/>
      <c r="H8394" s="3"/>
    </row>
    <row r="8395" spans="1:8">
      <c r="A8395" s="3">
        <v>103077</v>
      </c>
      <c r="B8395" s="7" t="s">
        <v>252</v>
      </c>
      <c r="C8395" s="99" t="s">
        <v>32</v>
      </c>
      <c r="D8395" s="6">
        <v>46096</v>
      </c>
      <c r="E8395" s="3" t="str">
        <f ca="1">IF(Tabela2[[#This Row],[Dt Venc:]]&gt;TODAY(),"Em Aberto",IF(Tabela2[[#This Row],[D/venc]]="-","Enviado",IF(Tabela2[[#This Row],[Dt Venc:]]=TODAY(),"Vence Hoje","Vencida")))</f>
        <v>Em Aberto</v>
      </c>
      <c r="F8395" s="3">
        <f ca="1">IF(G8395=1,"-",Tabela2[[#This Row],[Dt Venc:]]-TODAY())</f>
        <v>403</v>
      </c>
      <c r="G8395" s="3"/>
      <c r="H8395" s="3"/>
    </row>
    <row r="8396" spans="1:8">
      <c r="A8396" s="3">
        <v>103153</v>
      </c>
      <c r="B8396" s="7" t="s">
        <v>252</v>
      </c>
      <c r="C8396" s="87" t="s">
        <v>32</v>
      </c>
      <c r="D8396" s="6">
        <v>46096</v>
      </c>
      <c r="E8396" s="3" t="str">
        <f ca="1">IF(Tabela2[[#This Row],[Dt Venc:]]&gt;TODAY(),"Em Aberto",IF(Tabela2[[#This Row],[D/venc]]="-","Enviado",IF(Tabela2[[#This Row],[Dt Venc:]]=TODAY(),"Vence Hoje","Vencida")))</f>
        <v>Em Aberto</v>
      </c>
      <c r="F8396" s="3">
        <f ca="1">IF(G8396=1,"-",Tabela2[[#This Row],[Dt Venc:]]-TODAY())</f>
        <v>403</v>
      </c>
      <c r="G8396" s="3"/>
      <c r="H8396" s="3"/>
    </row>
    <row r="8397" spans="1:8">
      <c r="A8397" s="3">
        <v>103154</v>
      </c>
      <c r="B8397" s="7" t="s">
        <v>252</v>
      </c>
      <c r="C8397" s="100" t="s">
        <v>32</v>
      </c>
      <c r="D8397" s="6">
        <v>46096</v>
      </c>
      <c r="E8397" s="3" t="str">
        <f ca="1">IF(Tabela2[[#This Row],[Dt Venc:]]&gt;TODAY(),"Em Aberto",IF(Tabela2[[#This Row],[D/venc]]="-","Enviado",IF(Tabela2[[#This Row],[Dt Venc:]]=TODAY(),"Vence Hoje","Vencida")))</f>
        <v>Em Aberto</v>
      </c>
      <c r="F8397" s="3">
        <f ca="1">IF(G8397=1,"-",Tabela2[[#This Row],[Dt Venc:]]-TODAY())</f>
        <v>403</v>
      </c>
      <c r="G8397" s="3"/>
      <c r="H8397" s="3"/>
    </row>
    <row r="8398" spans="1:8">
      <c r="A8398" s="3">
        <v>106007</v>
      </c>
      <c r="B8398" s="7" t="s">
        <v>252</v>
      </c>
      <c r="C8398" s="100" t="s">
        <v>32</v>
      </c>
      <c r="D8398" s="6">
        <v>46096</v>
      </c>
      <c r="E8398" s="3" t="str">
        <f ca="1">IF(Tabela2[[#This Row],[Dt Venc:]]&gt;TODAY(),"Em Aberto",IF(Tabela2[[#This Row],[D/venc]]="-","Enviado",IF(Tabela2[[#This Row],[Dt Venc:]]=TODAY(),"Vence Hoje","Vencida")))</f>
        <v>Em Aberto</v>
      </c>
      <c r="F8398" s="3">
        <f ca="1">IF(G8398=1,"-",Tabela2[[#This Row],[Dt Venc:]]-TODAY())</f>
        <v>403</v>
      </c>
      <c r="G8398" s="3"/>
      <c r="H8398" s="3"/>
    </row>
    <row r="8399" spans="1:8">
      <c r="A8399" s="3">
        <v>106043</v>
      </c>
      <c r="B8399" s="7" t="s">
        <v>252</v>
      </c>
      <c r="C8399" s="100" t="s">
        <v>32</v>
      </c>
      <c r="D8399" s="6">
        <v>46096</v>
      </c>
      <c r="E8399" s="3" t="str">
        <f ca="1">IF(Tabela2[[#This Row],[Dt Venc:]]&gt;TODAY(),"Em Aberto",IF(Tabela2[[#This Row],[D/venc]]="-","Enviado",IF(Tabela2[[#This Row],[Dt Venc:]]=TODAY(),"Vence Hoje","Vencida")))</f>
        <v>Em Aberto</v>
      </c>
      <c r="F8399" s="3">
        <f ca="1">IF(G8399=1,"-",Tabela2[[#This Row],[Dt Venc:]]-TODAY())</f>
        <v>403</v>
      </c>
      <c r="G8399" s="3"/>
      <c r="H8399" s="3"/>
    </row>
    <row r="8400" spans="1:8">
      <c r="A8400" s="3">
        <v>107829</v>
      </c>
      <c r="B8400" s="7" t="s">
        <v>252</v>
      </c>
      <c r="C8400" s="100" t="s">
        <v>32</v>
      </c>
      <c r="D8400" s="6">
        <v>46096</v>
      </c>
      <c r="E8400" s="3" t="str">
        <f ca="1">IF(Tabela2[[#This Row],[Dt Venc:]]&gt;TODAY(),"Em Aberto",IF(Tabela2[[#This Row],[D/venc]]="-","Enviado",IF(Tabela2[[#This Row],[Dt Venc:]]=TODAY(),"Vence Hoje","Vencida")))</f>
        <v>Em Aberto</v>
      </c>
      <c r="F8400" s="3">
        <f ca="1">IF(G8400=1,"-",Tabela2[[#This Row],[Dt Venc:]]-TODAY())</f>
        <v>403</v>
      </c>
      <c r="G8400" s="3"/>
      <c r="H8400" s="3"/>
    </row>
    <row r="8401" spans="1:8">
      <c r="A8401" s="3">
        <v>107830</v>
      </c>
      <c r="B8401" s="7" t="s">
        <v>252</v>
      </c>
      <c r="C8401" s="87" t="s">
        <v>32</v>
      </c>
      <c r="D8401" s="6">
        <v>46096</v>
      </c>
      <c r="E8401" s="3" t="str">
        <f ca="1">IF(Tabela2[[#This Row],[Dt Venc:]]&gt;TODAY(),"Em Aberto",IF(Tabela2[[#This Row],[D/venc]]="-","Enviado",IF(Tabela2[[#This Row],[Dt Venc:]]=TODAY(),"Vence Hoje","Vencida")))</f>
        <v>Em Aberto</v>
      </c>
      <c r="F8401" s="3">
        <f ca="1">IF(G8401=1,"-",Tabela2[[#This Row],[Dt Venc:]]-TODAY())</f>
        <v>403</v>
      </c>
      <c r="G8401" s="3"/>
      <c r="H8401" s="3"/>
    </row>
    <row r="8402" spans="1:8">
      <c r="A8402" s="3">
        <v>107831</v>
      </c>
      <c r="B8402" s="7" t="s">
        <v>252</v>
      </c>
      <c r="C8402" s="100" t="s">
        <v>32</v>
      </c>
      <c r="D8402" s="6">
        <v>46096</v>
      </c>
      <c r="E8402" s="3" t="str">
        <f ca="1">IF(Tabela2[[#This Row],[Dt Venc:]]&gt;TODAY(),"Em Aberto",IF(Tabela2[[#This Row],[D/venc]]="-","Enviado",IF(Tabela2[[#This Row],[Dt Venc:]]=TODAY(),"Vence Hoje","Vencida")))</f>
        <v>Em Aberto</v>
      </c>
      <c r="F8402" s="3">
        <f ca="1">IF(G8402=1,"-",Tabela2[[#This Row],[Dt Venc:]]-TODAY())</f>
        <v>403</v>
      </c>
      <c r="G8402" s="3"/>
      <c r="H8402" s="3"/>
    </row>
    <row r="8403" spans="1:8">
      <c r="A8403" s="3">
        <v>107832</v>
      </c>
      <c r="B8403" s="7" t="s">
        <v>252</v>
      </c>
      <c r="C8403" s="100" t="s">
        <v>32</v>
      </c>
      <c r="D8403" s="6">
        <v>46096</v>
      </c>
      <c r="E8403" s="3" t="str">
        <f ca="1">IF(Tabela2[[#This Row],[Dt Venc:]]&gt;TODAY(),"Em Aberto",IF(Tabela2[[#This Row],[D/venc]]="-","Enviado",IF(Tabela2[[#This Row],[Dt Venc:]]=TODAY(),"Vence Hoje","Vencida")))</f>
        <v>Em Aberto</v>
      </c>
      <c r="F8403" s="3">
        <f ca="1">IF(G8403=1,"-",Tabela2[[#This Row],[Dt Venc:]]-TODAY())</f>
        <v>403</v>
      </c>
      <c r="G8403" s="3"/>
      <c r="H8403" s="3"/>
    </row>
    <row r="8404" spans="1:8">
      <c r="A8404" s="3">
        <v>361229</v>
      </c>
      <c r="B8404" s="7" t="s">
        <v>250</v>
      </c>
      <c r="C8404" s="100" t="s">
        <v>32</v>
      </c>
      <c r="D8404" s="6">
        <v>46096</v>
      </c>
      <c r="E8404" s="3" t="str">
        <f ca="1">IF(Tabela2[[#This Row],[Dt Venc:]]&gt;TODAY(),"Em Aberto",IF(Tabela2[[#This Row],[D/venc]]="-","Enviado",IF(Tabela2[[#This Row],[Dt Venc:]]=TODAY(),"Vence Hoje","Vencida")))</f>
        <v>Em Aberto</v>
      </c>
      <c r="F8404" s="3">
        <f ca="1">IF(G8404=1,"-",Tabela2[[#This Row],[Dt Venc:]]-TODAY())</f>
        <v>403</v>
      </c>
      <c r="G8404" s="3"/>
      <c r="H8404" s="3"/>
    </row>
    <row r="8405" spans="1:8">
      <c r="A8405" s="3">
        <v>361237</v>
      </c>
      <c r="B8405" s="7" t="s">
        <v>250</v>
      </c>
      <c r="C8405" s="100" t="s">
        <v>32</v>
      </c>
      <c r="D8405" s="6">
        <v>46096</v>
      </c>
      <c r="E8405" s="3" t="str">
        <f ca="1">IF(Tabela2[[#This Row],[Dt Venc:]]&gt;TODAY(),"Em Aberto",IF(Tabela2[[#This Row],[D/venc]]="-","Enviado",IF(Tabela2[[#This Row],[Dt Venc:]]=TODAY(),"Vence Hoje","Vencida")))</f>
        <v>Em Aberto</v>
      </c>
      <c r="F8405" s="3">
        <f ca="1">IF(G8405=1,"-",Tabela2[[#This Row],[Dt Venc:]]-TODAY())</f>
        <v>403</v>
      </c>
      <c r="G8405" s="3"/>
      <c r="H8405" s="3"/>
    </row>
    <row r="8406" spans="1:8">
      <c r="A8406" s="3">
        <v>365658</v>
      </c>
      <c r="B8406" s="7" t="s">
        <v>250</v>
      </c>
      <c r="C8406" s="100" t="s">
        <v>32</v>
      </c>
      <c r="D8406" s="6">
        <v>46096</v>
      </c>
      <c r="E8406" s="3" t="str">
        <f ca="1">IF(Tabela2[[#This Row],[Dt Venc:]]&gt;TODAY(),"Em Aberto",IF(Tabela2[[#This Row],[D/venc]]="-","Enviado",IF(Tabela2[[#This Row],[Dt Venc:]]=TODAY(),"Vence Hoje","Vencida")))</f>
        <v>Em Aberto</v>
      </c>
      <c r="F8406" s="3">
        <f ca="1">IF(G8406=1,"-",Tabela2[[#This Row],[Dt Venc:]]-TODAY())</f>
        <v>403</v>
      </c>
      <c r="G8406" s="3"/>
      <c r="H8406" s="3"/>
    </row>
    <row r="8407" spans="1:8">
      <c r="A8407" s="3">
        <v>365666</v>
      </c>
      <c r="B8407" s="7" t="s">
        <v>250</v>
      </c>
      <c r="C8407" s="100" t="s">
        <v>32</v>
      </c>
      <c r="D8407" s="6">
        <v>46096</v>
      </c>
      <c r="E8407" s="3" t="str">
        <f ca="1">IF(Tabela2[[#This Row],[Dt Venc:]]&gt;TODAY(),"Em Aberto",IF(Tabela2[[#This Row],[D/venc]]="-","Enviado",IF(Tabela2[[#This Row],[Dt Venc:]]=TODAY(),"Vence Hoje","Vencida")))</f>
        <v>Em Aberto</v>
      </c>
      <c r="F8407" s="3">
        <f ca="1">IF(G8407=1,"-",Tabela2[[#This Row],[Dt Venc:]]-TODAY())</f>
        <v>403</v>
      </c>
      <c r="G8407" s="3"/>
      <c r="H8407" s="3"/>
    </row>
    <row r="8408" spans="1:8">
      <c r="A8408" s="3">
        <v>365674</v>
      </c>
      <c r="B8408" s="7" t="s">
        <v>250</v>
      </c>
      <c r="C8408" s="100" t="s">
        <v>32</v>
      </c>
      <c r="D8408" s="6">
        <v>46096</v>
      </c>
      <c r="E8408" s="3" t="str">
        <f ca="1">IF(Tabela2[[#This Row],[Dt Venc:]]&gt;TODAY(),"Em Aberto",IF(Tabela2[[#This Row],[D/venc]]="-","Enviado",IF(Tabela2[[#This Row],[Dt Venc:]]=TODAY(),"Vence Hoje","Vencida")))</f>
        <v>Em Aberto</v>
      </c>
      <c r="F8408" s="3">
        <f ca="1">IF(G8408=1,"-",Tabela2[[#This Row],[Dt Venc:]]-TODAY())</f>
        <v>403</v>
      </c>
      <c r="G8408" s="3"/>
      <c r="H8408" s="3"/>
    </row>
    <row r="8409" spans="1:8">
      <c r="A8409" s="3">
        <v>365682</v>
      </c>
      <c r="B8409" s="7" t="s">
        <v>250</v>
      </c>
      <c r="C8409" s="99" t="s">
        <v>32</v>
      </c>
      <c r="D8409" s="6">
        <v>46096</v>
      </c>
      <c r="E8409" s="3" t="str">
        <f ca="1">IF(Tabela2[[#This Row],[Dt Venc:]]&gt;TODAY(),"Em Aberto",IF(Tabela2[[#This Row],[D/venc]]="-","Enviado",IF(Tabela2[[#This Row],[Dt Venc:]]=TODAY(),"Vence Hoje","Vencida")))</f>
        <v>Em Aberto</v>
      </c>
      <c r="F8409" s="3">
        <f ca="1">IF(G8409=1,"-",Tabela2[[#This Row],[Dt Venc:]]-TODAY())</f>
        <v>403</v>
      </c>
      <c r="G8409" s="3"/>
      <c r="H8409" s="3"/>
    </row>
    <row r="8410" spans="1:8">
      <c r="A8410" s="3">
        <v>369335</v>
      </c>
      <c r="B8410" s="7" t="s">
        <v>543</v>
      </c>
      <c r="C8410" s="87" t="s">
        <v>32</v>
      </c>
      <c r="D8410" s="6">
        <v>46096</v>
      </c>
      <c r="E8410" s="3" t="str">
        <f ca="1">IF(Tabela2[[#This Row],[Dt Venc:]]&gt;TODAY(),"Em Aberto",IF(Tabela2[[#This Row],[D/venc]]="-","Enviado",IF(Tabela2[[#This Row],[Dt Venc:]]=TODAY(),"Vence Hoje","Vencida")))</f>
        <v>Em Aberto</v>
      </c>
      <c r="F8410" s="3">
        <f ca="1">IF(G8410=1,"-",Tabela2[[#This Row],[Dt Venc:]]-TODAY())</f>
        <v>403</v>
      </c>
      <c r="G8410" s="3"/>
      <c r="H8410" s="3"/>
    </row>
    <row r="8411" spans="1:8">
      <c r="A8411" s="3">
        <v>369696</v>
      </c>
      <c r="B8411" s="7" t="s">
        <v>543</v>
      </c>
      <c r="C8411" s="87" t="s">
        <v>32</v>
      </c>
      <c r="D8411" s="6">
        <v>46096</v>
      </c>
      <c r="E8411" s="3" t="str">
        <f ca="1">IF(Tabela2[[#This Row],[Dt Venc:]]&gt;TODAY(),"Em Aberto",IF(Tabela2[[#This Row],[D/venc]]="-","Enviado",IF(Tabela2[[#This Row],[Dt Venc:]]=TODAY(),"Vence Hoje","Vencida")))</f>
        <v>Em Aberto</v>
      </c>
      <c r="F8411" s="3">
        <f ca="1">IF(G8411=1,"-",Tabela2[[#This Row],[Dt Venc:]]-TODAY())</f>
        <v>403</v>
      </c>
      <c r="G8411" s="3"/>
      <c r="H8411" s="3"/>
    </row>
    <row r="8412" spans="1:8">
      <c r="A8412" s="3">
        <v>369726</v>
      </c>
      <c r="B8412" s="7" t="s">
        <v>543</v>
      </c>
      <c r="C8412" s="87" t="s">
        <v>32</v>
      </c>
      <c r="D8412" s="6">
        <v>46096</v>
      </c>
      <c r="E8412" s="3" t="str">
        <f ca="1">IF(Tabela2[[#This Row],[Dt Venc:]]&gt;TODAY(),"Em Aberto",IF(Tabela2[[#This Row],[D/venc]]="-","Enviado",IF(Tabela2[[#This Row],[Dt Venc:]]=TODAY(),"Vence Hoje","Vencida")))</f>
        <v>Em Aberto</v>
      </c>
      <c r="F8412" s="3">
        <f ca="1">IF(G8412=1,"-",Tabela2[[#This Row],[Dt Venc:]]-TODAY())</f>
        <v>403</v>
      </c>
      <c r="G8412" s="3"/>
      <c r="H8412" s="3"/>
    </row>
    <row r="8413" spans="1:8">
      <c r="A8413" s="3">
        <v>369751</v>
      </c>
      <c r="B8413" s="7" t="s">
        <v>543</v>
      </c>
      <c r="C8413" s="87" t="s">
        <v>32</v>
      </c>
      <c r="D8413" s="6">
        <v>46096</v>
      </c>
      <c r="E8413" s="3" t="str">
        <f ca="1">IF(Tabela2[[#This Row],[Dt Venc:]]&gt;TODAY(),"Em Aberto",IF(Tabela2[[#This Row],[D/venc]]="-","Enviado",IF(Tabela2[[#This Row],[Dt Venc:]]=TODAY(),"Vence Hoje","Vencida")))</f>
        <v>Em Aberto</v>
      </c>
      <c r="F8413" s="3">
        <f ca="1">IF(G8413=1,"-",Tabela2[[#This Row],[Dt Venc:]]-TODAY())</f>
        <v>403</v>
      </c>
      <c r="G8413" s="3"/>
      <c r="H8413" s="3"/>
    </row>
    <row r="8414" spans="1:8">
      <c r="A8414" s="3">
        <v>370201</v>
      </c>
      <c r="B8414" s="7" t="s">
        <v>543</v>
      </c>
      <c r="C8414" s="87" t="s">
        <v>32</v>
      </c>
      <c r="D8414" s="6">
        <v>46096</v>
      </c>
      <c r="E8414" s="3" t="str">
        <f ca="1">IF(Tabela2[[#This Row],[Dt Venc:]]&gt;TODAY(),"Em Aberto",IF(Tabela2[[#This Row],[D/venc]]="-","Enviado",IF(Tabela2[[#This Row],[Dt Venc:]]=TODAY(),"Vence Hoje","Vencida")))</f>
        <v>Em Aberto</v>
      </c>
      <c r="F8414" s="3">
        <f ca="1">IF(G8414=1,"-",Tabela2[[#This Row],[Dt Venc:]]-TODAY())</f>
        <v>403</v>
      </c>
      <c r="G8414" s="3"/>
      <c r="H8414" s="3"/>
    </row>
    <row r="8415" spans="1:8">
      <c r="A8415" s="3">
        <v>370864</v>
      </c>
      <c r="B8415" s="7" t="s">
        <v>543</v>
      </c>
      <c r="C8415" s="87" t="s">
        <v>32</v>
      </c>
      <c r="D8415" s="6">
        <v>46096</v>
      </c>
      <c r="E8415" s="3" t="str">
        <f ca="1">IF(Tabela2[[#This Row],[Dt Venc:]]&gt;TODAY(),"Em Aberto",IF(Tabela2[[#This Row],[D/venc]]="-","Enviado",IF(Tabela2[[#This Row],[Dt Venc:]]=TODAY(),"Vence Hoje","Vencida")))</f>
        <v>Em Aberto</v>
      </c>
      <c r="F8415" s="3">
        <f ca="1">IF(G8415=1,"-",Tabela2[[#This Row],[Dt Venc:]]-TODAY())</f>
        <v>403</v>
      </c>
      <c r="G8415" s="3"/>
      <c r="H8415" s="3"/>
    </row>
    <row r="8416" spans="1:8">
      <c r="A8416" s="3">
        <v>371011</v>
      </c>
      <c r="B8416" s="7" t="s">
        <v>633</v>
      </c>
      <c r="C8416" s="87" t="s">
        <v>32</v>
      </c>
      <c r="D8416" s="6">
        <v>46096</v>
      </c>
      <c r="E8416" s="3" t="str">
        <f ca="1">IF(Tabela2[[#This Row],[Dt Venc:]]&gt;TODAY(),"Em Aberto",IF(Tabela2[[#This Row],[D/venc]]="-","Enviado",IF(Tabela2[[#This Row],[Dt Venc:]]=TODAY(),"Vence Hoje","Vencida")))</f>
        <v>Em Aberto</v>
      </c>
      <c r="F8416" s="3">
        <f ca="1">IF(G8416=1,"-",Tabela2[[#This Row],[Dt Venc:]]-TODAY())</f>
        <v>403</v>
      </c>
      <c r="G8416" s="3"/>
      <c r="H8416" s="3"/>
    </row>
    <row r="8417" spans="1:8">
      <c r="A8417" s="3">
        <v>371160</v>
      </c>
      <c r="B8417" s="7" t="s">
        <v>633</v>
      </c>
      <c r="C8417" s="87" t="s">
        <v>32</v>
      </c>
      <c r="D8417" s="6">
        <v>46096</v>
      </c>
      <c r="E8417" s="3" t="str">
        <f ca="1">IF(Tabela2[[#This Row],[Dt Venc:]]&gt;TODAY(),"Em Aberto",IF(Tabela2[[#This Row],[D/venc]]="-","Enviado",IF(Tabela2[[#This Row],[Dt Venc:]]=TODAY(),"Vence Hoje","Vencida")))</f>
        <v>Em Aberto</v>
      </c>
      <c r="F8417" s="3">
        <f ca="1">IF(G8417=1,"-",Tabela2[[#This Row],[Dt Venc:]]-TODAY())</f>
        <v>403</v>
      </c>
      <c r="G8417" s="3"/>
      <c r="H8417" s="3"/>
    </row>
    <row r="8418" spans="1:8">
      <c r="A8418" s="3">
        <v>748099</v>
      </c>
      <c r="B8418" s="7" t="s">
        <v>81</v>
      </c>
      <c r="C8418" s="100" t="s">
        <v>32</v>
      </c>
      <c r="D8418" s="6">
        <v>46096</v>
      </c>
      <c r="E8418" s="3" t="str">
        <f ca="1">IF(Tabela2[[#This Row],[Dt Venc:]]&gt;TODAY(),"Em Aberto",IF(Tabela2[[#This Row],[D/venc]]="-","Enviado",IF(Tabela2[[#This Row],[Dt Venc:]]=TODAY(),"Vence Hoje","Vencida")))</f>
        <v>Em Aberto</v>
      </c>
      <c r="F8418" s="3">
        <f ca="1">IF(G8418=1,"-",Tabela2[[#This Row],[Dt Venc:]]-TODAY())</f>
        <v>403</v>
      </c>
      <c r="G8418" s="3"/>
      <c r="H8418" s="3"/>
    </row>
    <row r="8419" spans="1:8">
      <c r="A8419" s="3">
        <v>892178</v>
      </c>
      <c r="B8419" s="7" t="s">
        <v>253</v>
      </c>
      <c r="C8419" s="100" t="s">
        <v>32</v>
      </c>
      <c r="D8419" s="6">
        <v>46096</v>
      </c>
      <c r="E8419" s="3" t="str">
        <f ca="1">IF(Tabela2[[#This Row],[Dt Venc:]]&gt;TODAY(),"Em Aberto",IF(Tabela2[[#This Row],[D/venc]]="-","Enviado",IF(Tabela2[[#This Row],[Dt Venc:]]=TODAY(),"Vence Hoje","Vencida")))</f>
        <v>Em Aberto</v>
      </c>
      <c r="F8419" s="3">
        <f ca="1">IF(G8419=1,"-",Tabela2[[#This Row],[Dt Venc:]]-TODAY())</f>
        <v>403</v>
      </c>
      <c r="G8419" s="3"/>
      <c r="H8419" s="3"/>
    </row>
    <row r="8420" spans="1:8">
      <c r="A8420" s="3">
        <v>894135</v>
      </c>
      <c r="B8420" s="7" t="s">
        <v>253</v>
      </c>
      <c r="C8420" s="100" t="s">
        <v>32</v>
      </c>
      <c r="D8420" s="6">
        <v>46096</v>
      </c>
      <c r="E8420" s="3" t="str">
        <f ca="1">IF(Tabela2[[#This Row],[Dt Venc:]]&gt;TODAY(),"Em Aberto",IF(Tabela2[[#This Row],[D/venc]]="-","Enviado",IF(Tabela2[[#This Row],[Dt Venc:]]=TODAY(),"Vence Hoje","Vencida")))</f>
        <v>Em Aberto</v>
      </c>
      <c r="F8420" s="3">
        <f ca="1">IF(G8420=1,"-",Tabela2[[#This Row],[Dt Venc:]]-TODAY())</f>
        <v>403</v>
      </c>
      <c r="G8420" s="3"/>
      <c r="H8420" s="3"/>
    </row>
    <row r="8421" spans="1:8">
      <c r="A8421" s="3">
        <v>896565</v>
      </c>
      <c r="B8421" s="7" t="s">
        <v>253</v>
      </c>
      <c r="C8421" s="100" t="s">
        <v>32</v>
      </c>
      <c r="D8421" s="6">
        <v>46096</v>
      </c>
      <c r="E8421" s="3" t="str">
        <f ca="1">IF(Tabela2[[#This Row],[Dt Venc:]]&gt;TODAY(),"Em Aberto",IF(Tabela2[[#This Row],[D/venc]]="-","Enviado",IF(Tabela2[[#This Row],[Dt Venc:]]=TODAY(),"Vence Hoje","Vencida")))</f>
        <v>Em Aberto</v>
      </c>
      <c r="F8421" s="3">
        <f ca="1">IF(G8421=1,"-",Tabela2[[#This Row],[Dt Venc:]]-TODAY())</f>
        <v>403</v>
      </c>
      <c r="G8421" s="3"/>
      <c r="H8421" s="3"/>
    </row>
    <row r="8422" spans="1:8">
      <c r="A8422" s="3">
        <v>900386</v>
      </c>
      <c r="B8422" s="7" t="s">
        <v>253</v>
      </c>
      <c r="C8422" s="100" t="s">
        <v>32</v>
      </c>
      <c r="D8422" s="6">
        <v>46096</v>
      </c>
      <c r="E8422" s="3" t="str">
        <f ca="1">IF(Tabela2[[#This Row],[Dt Venc:]]&gt;TODAY(),"Em Aberto",IF(Tabela2[[#This Row],[D/venc]]="-","Enviado",IF(Tabela2[[#This Row],[Dt Venc:]]=TODAY(),"Vence Hoje","Vencida")))</f>
        <v>Em Aberto</v>
      </c>
      <c r="F8422" s="3">
        <f ca="1">IF(G8422=1,"-",Tabela2[[#This Row],[Dt Venc:]]-TODAY())</f>
        <v>403</v>
      </c>
      <c r="G8422" s="3"/>
      <c r="H8422" s="3"/>
    </row>
    <row r="8423" spans="1:8">
      <c r="A8423" s="3">
        <v>901787</v>
      </c>
      <c r="B8423" s="7" t="s">
        <v>253</v>
      </c>
      <c r="C8423" s="99" t="s">
        <v>32</v>
      </c>
      <c r="D8423" s="6">
        <v>46096</v>
      </c>
      <c r="E8423" s="3" t="str">
        <f ca="1">IF(Tabela2[[#This Row],[Dt Venc:]]&gt;TODAY(),"Em Aberto",IF(Tabela2[[#This Row],[D/venc]]="-","Enviado",IF(Tabela2[[#This Row],[Dt Venc:]]=TODAY(),"Vence Hoje","Vencida")))</f>
        <v>Em Aberto</v>
      </c>
      <c r="F8423" s="3">
        <f ca="1">IF(G8423=1,"-",Tabela2[[#This Row],[Dt Venc:]]-TODAY())</f>
        <v>403</v>
      </c>
      <c r="G8423" s="3"/>
      <c r="H8423" s="3"/>
    </row>
    <row r="8424" spans="1:8">
      <c r="A8424" s="3">
        <v>901788</v>
      </c>
      <c r="B8424" s="7" t="s">
        <v>253</v>
      </c>
      <c r="C8424" s="100" t="s">
        <v>32</v>
      </c>
      <c r="D8424" s="6">
        <v>46096</v>
      </c>
      <c r="E8424" s="3" t="str">
        <f ca="1">IF(Tabela2[[#This Row],[Dt Venc:]]&gt;TODAY(),"Em Aberto",IF(Tabela2[[#This Row],[D/venc]]="-","Enviado",IF(Tabela2[[#This Row],[Dt Venc:]]=TODAY(),"Vence Hoje","Vencida")))</f>
        <v>Em Aberto</v>
      </c>
      <c r="F8424" s="3">
        <f ca="1">IF(G8424=1,"-",Tabela2[[#This Row],[Dt Venc:]]-TODAY())</f>
        <v>403</v>
      </c>
      <c r="G8424" s="3"/>
      <c r="H8424" s="3"/>
    </row>
    <row r="8425" spans="1:8">
      <c r="A8425" s="3">
        <v>901789</v>
      </c>
      <c r="B8425" s="7" t="s">
        <v>253</v>
      </c>
      <c r="C8425" s="100" t="s">
        <v>32</v>
      </c>
      <c r="D8425" s="6">
        <v>46096</v>
      </c>
      <c r="E8425" s="3" t="str">
        <f ca="1">IF(Tabela2[[#This Row],[Dt Venc:]]&gt;TODAY(),"Em Aberto",IF(Tabela2[[#This Row],[D/venc]]="-","Enviado",IF(Tabela2[[#This Row],[Dt Venc:]]=TODAY(),"Vence Hoje","Vencida")))</f>
        <v>Em Aberto</v>
      </c>
      <c r="F8425" s="3">
        <f ca="1">IF(G8425=1,"-",Tabela2[[#This Row],[Dt Venc:]]-TODAY())</f>
        <v>403</v>
      </c>
      <c r="G8425" s="3"/>
      <c r="H8425" s="3"/>
    </row>
    <row r="8426" spans="1:8">
      <c r="A8426" s="3">
        <v>912703</v>
      </c>
      <c r="B8426" s="7" t="s">
        <v>253</v>
      </c>
      <c r="C8426" s="100" t="s">
        <v>32</v>
      </c>
      <c r="D8426" s="6">
        <v>46096</v>
      </c>
      <c r="E8426" s="3" t="str">
        <f ca="1">IF(Tabela2[[#This Row],[Dt Venc:]]&gt;TODAY(),"Em Aberto",IF(Tabela2[[#This Row],[D/venc]]="-","Enviado",IF(Tabela2[[#This Row],[Dt Venc:]]=TODAY(),"Vence Hoje","Vencida")))</f>
        <v>Em Aberto</v>
      </c>
      <c r="F8426" s="3">
        <f ca="1">IF(G8426=1,"-",Tabela2[[#This Row],[Dt Venc:]]-TODAY())</f>
        <v>403</v>
      </c>
      <c r="G8426" s="3"/>
      <c r="H8426" s="3"/>
    </row>
    <row r="8427" spans="1:8">
      <c r="A8427" s="3">
        <v>912704</v>
      </c>
      <c r="B8427" s="7" t="s">
        <v>253</v>
      </c>
      <c r="C8427" s="100" t="s">
        <v>32</v>
      </c>
      <c r="D8427" s="6">
        <v>46096</v>
      </c>
      <c r="E8427" s="3" t="str">
        <f ca="1">IF(Tabela2[[#This Row],[Dt Venc:]]&gt;TODAY(),"Em Aberto",IF(Tabela2[[#This Row],[D/venc]]="-","Enviado",IF(Tabela2[[#This Row],[Dt Venc:]]=TODAY(),"Vence Hoje","Vencida")))</f>
        <v>Em Aberto</v>
      </c>
      <c r="F8427" s="3">
        <f ca="1">IF(G8427=1,"-",Tabela2[[#This Row],[Dt Venc:]]-TODAY())</f>
        <v>403</v>
      </c>
      <c r="G8427" s="3"/>
      <c r="H8427" s="3"/>
    </row>
    <row r="8428" spans="1:8">
      <c r="A8428" s="3">
        <v>919728</v>
      </c>
      <c r="B8428" s="7" t="s">
        <v>253</v>
      </c>
      <c r="C8428" s="87" t="s">
        <v>32</v>
      </c>
      <c r="D8428" s="6">
        <v>46096</v>
      </c>
      <c r="E8428" s="3" t="str">
        <f ca="1">IF(Tabela2[[#This Row],[Dt Venc:]]&gt;TODAY(),"Em Aberto",IF(Tabela2[[#This Row],[D/venc]]="-","Enviado",IF(Tabela2[[#This Row],[Dt Venc:]]=TODAY(),"Vence Hoje","Vencida")))</f>
        <v>Em Aberto</v>
      </c>
      <c r="F8428" s="3">
        <f ca="1">IF(G8428=1,"-",Tabela2[[#This Row],[Dt Venc:]]-TODAY())</f>
        <v>403</v>
      </c>
      <c r="G8428" s="3"/>
      <c r="H8428" s="3"/>
    </row>
    <row r="8429" spans="1:8">
      <c r="A8429" s="3">
        <v>919729</v>
      </c>
      <c r="B8429" s="7" t="s">
        <v>253</v>
      </c>
      <c r="C8429" s="87" t="s">
        <v>32</v>
      </c>
      <c r="D8429" s="6">
        <v>46096</v>
      </c>
      <c r="E8429" s="3" t="str">
        <f ca="1">IF(Tabela2[[#This Row],[Dt Venc:]]&gt;TODAY(),"Em Aberto",IF(Tabela2[[#This Row],[D/venc]]="-","Enviado",IF(Tabela2[[#This Row],[Dt Venc:]]=TODAY(),"Vence Hoje","Vencida")))</f>
        <v>Em Aberto</v>
      </c>
      <c r="F8429" s="3">
        <f ca="1">IF(G8429=1,"-",Tabela2[[#This Row],[Dt Venc:]]-TODAY())</f>
        <v>403</v>
      </c>
      <c r="G8429" s="3"/>
      <c r="H8429" s="3"/>
    </row>
    <row r="8430" spans="1:8">
      <c r="A8430" s="3">
        <v>37300</v>
      </c>
      <c r="B8430" s="7" t="s">
        <v>167</v>
      </c>
      <c r="C8430" s="100" t="s">
        <v>32</v>
      </c>
      <c r="D8430" s="6">
        <v>46097</v>
      </c>
      <c r="E8430" s="3" t="str">
        <f ca="1">IF(Tabela2[[#This Row],[Dt Venc:]]&gt;TODAY(),"Em Aberto",IF(Tabela2[[#This Row],[D/venc]]="-","Enviado",IF(Tabela2[[#This Row],[Dt Venc:]]=TODAY(),"Vence Hoje","Vencida")))</f>
        <v>Em Aberto</v>
      </c>
      <c r="F8430" s="3">
        <f ca="1">IF(G8430=1,"-",Tabela2[[#This Row],[Dt Venc:]]-TODAY())</f>
        <v>404</v>
      </c>
      <c r="G8430" s="3"/>
      <c r="H8430" s="3"/>
    </row>
    <row r="8431" spans="1:8">
      <c r="A8431" s="3">
        <v>37196</v>
      </c>
      <c r="B8431" s="7" t="s">
        <v>167</v>
      </c>
      <c r="C8431" s="87" t="s">
        <v>32</v>
      </c>
      <c r="D8431" s="6">
        <v>46098</v>
      </c>
      <c r="E8431" s="3" t="str">
        <f ca="1">IF(Tabela2[[#This Row],[Dt Venc:]]&gt;TODAY(),"Em Aberto",IF(Tabela2[[#This Row],[D/venc]]="-","Enviado",IF(Tabela2[[#This Row],[Dt Venc:]]=TODAY(),"Vence Hoje","Vencida")))</f>
        <v>Em Aberto</v>
      </c>
      <c r="F8431" s="3">
        <f ca="1">IF(G8431=1,"-",Tabela2[[#This Row],[Dt Venc:]]-TODAY())</f>
        <v>405</v>
      </c>
      <c r="G8431" s="3"/>
      <c r="H8431" s="3"/>
    </row>
    <row r="8432" spans="1:8">
      <c r="A8432" s="3">
        <v>37348</v>
      </c>
      <c r="B8432" s="7" t="s">
        <v>167</v>
      </c>
      <c r="C8432" s="100" t="s">
        <v>32</v>
      </c>
      <c r="D8432" s="6">
        <v>46103</v>
      </c>
      <c r="E8432" s="3" t="str">
        <f ca="1">IF(Tabela2[[#This Row],[Dt Venc:]]&gt;TODAY(),"Em Aberto",IF(Tabela2[[#This Row],[D/venc]]="-","Enviado",IF(Tabela2[[#This Row],[Dt Venc:]]=TODAY(),"Vence Hoje","Vencida")))</f>
        <v>Em Aberto</v>
      </c>
      <c r="F8432" s="3">
        <f ca="1">IF(G8432=1,"-",Tabela2[[#This Row],[Dt Venc:]]-TODAY())</f>
        <v>410</v>
      </c>
      <c r="G8432" s="3"/>
      <c r="H8432" s="3"/>
    </row>
    <row r="8433" spans="1:8">
      <c r="A8433" s="3">
        <v>654537</v>
      </c>
      <c r="B8433" s="7" t="s">
        <v>648</v>
      </c>
      <c r="C8433" s="87" t="s">
        <v>32</v>
      </c>
      <c r="D8433" s="6">
        <v>46104</v>
      </c>
      <c r="E8433" s="3" t="str">
        <f ca="1">IF(Tabela2[[#This Row],[Dt Venc:]]&gt;TODAY(),"Em Aberto",IF(Tabela2[[#This Row],[D/venc]]="-","Enviado",IF(Tabela2[[#This Row],[Dt Venc:]]=TODAY(),"Vence Hoje","Vencida")))</f>
        <v>Em Aberto</v>
      </c>
      <c r="F8433" s="3">
        <f ca="1">IF(G8433=1,"-",Tabela2[[#This Row],[Dt Venc:]]-TODAY())</f>
        <v>411</v>
      </c>
      <c r="G8433" s="3"/>
      <c r="H8433" s="3"/>
    </row>
    <row r="8434" spans="1:8">
      <c r="A8434" s="3">
        <v>495914</v>
      </c>
      <c r="B8434" s="7" t="s">
        <v>153</v>
      </c>
      <c r="C8434" s="99" t="s">
        <v>32</v>
      </c>
      <c r="D8434" s="6">
        <v>46106</v>
      </c>
      <c r="E8434" s="3" t="str">
        <f ca="1">IF(Tabela2[[#This Row],[Dt Venc:]]&gt;TODAY(),"Em Aberto",IF(Tabela2[[#This Row],[D/venc]]="-","Enviado",IF(Tabela2[[#This Row],[Dt Venc:]]=TODAY(),"Vence Hoje","Vencida")))</f>
        <v>Em Aberto</v>
      </c>
      <c r="F8434" s="3">
        <f ca="1">IF(G8434=1,"-",Tabela2[[#This Row],[Dt Venc:]]-TODAY())</f>
        <v>413</v>
      </c>
      <c r="G8434" s="3"/>
      <c r="H8434" s="3"/>
    </row>
    <row r="8435" spans="1:8">
      <c r="A8435" s="3">
        <v>5690</v>
      </c>
      <c r="B8435" s="7" t="s">
        <v>122</v>
      </c>
      <c r="C8435" s="100" t="s">
        <v>32</v>
      </c>
      <c r="D8435" s="6">
        <v>46108</v>
      </c>
      <c r="E8435" s="3" t="str">
        <f ca="1">IF(Tabela2[[#This Row],[Dt Venc:]]&gt;TODAY(),"Em Aberto",IF(Tabela2[[#This Row],[D/venc]]="-","Enviado",IF(Tabela2[[#This Row],[Dt Venc:]]=TODAY(),"Vence Hoje","Vencida")))</f>
        <v>Em Aberto</v>
      </c>
      <c r="F8435" s="3">
        <f ca="1">IF(G8435=1,"-",Tabela2[[#This Row],[Dt Venc:]]-TODAY())</f>
        <v>415</v>
      </c>
      <c r="G8435" s="3"/>
      <c r="H8435" s="3"/>
    </row>
    <row r="8436" spans="1:8">
      <c r="A8436" s="3" t="s">
        <v>123</v>
      </c>
      <c r="B8436" s="7" t="s">
        <v>386</v>
      </c>
      <c r="C8436" s="87" t="s">
        <v>32</v>
      </c>
      <c r="D8436" s="6">
        <v>46111</v>
      </c>
      <c r="E8436" s="3" t="str">
        <f ca="1">IF(Tabela2[[#This Row],[Dt Venc:]]&gt;TODAY(),"Em Aberto",IF(Tabela2[[#This Row],[D/venc]]="-","Enviado",IF(Tabela2[[#This Row],[Dt Venc:]]=TODAY(),"Vence Hoje","Vencida")))</f>
        <v>Em Aberto</v>
      </c>
      <c r="F8436" s="3">
        <f ca="1">IF(G8436=1,"-",Tabela2[[#This Row],[Dt Venc:]]-TODAY())</f>
        <v>418</v>
      </c>
      <c r="G8436" s="3"/>
      <c r="H8436" s="3"/>
    </row>
    <row r="8437" spans="1:8">
      <c r="A8437" s="3">
        <v>11681</v>
      </c>
      <c r="B8437" s="7" t="s">
        <v>82</v>
      </c>
      <c r="C8437" s="87" t="s">
        <v>30</v>
      </c>
      <c r="D8437" s="6">
        <v>46112</v>
      </c>
      <c r="E8437" s="3" t="str">
        <f ca="1">IF(Tabela2[[#This Row],[Dt Venc:]]&gt;TODAY(),"Em Aberto",IF(Tabela2[[#This Row],[D/venc]]="-","Enviado",IF(Tabela2[[#This Row],[Dt Venc:]]=TODAY(),"Vence Hoje","Vencida")))</f>
        <v>Em Aberto</v>
      </c>
      <c r="F8437" s="3">
        <f ca="1">IF(G8437=1,"-",Tabela2[[#This Row],[Dt Venc:]]-TODAY())</f>
        <v>419</v>
      </c>
      <c r="G8437" s="3"/>
      <c r="H8437" s="3"/>
    </row>
    <row r="8438" spans="1:8">
      <c r="A8438" s="3" t="s">
        <v>28</v>
      </c>
      <c r="B8438" s="7" t="s">
        <v>391</v>
      </c>
      <c r="C8438" s="85" t="s">
        <v>30</v>
      </c>
      <c r="D8438" s="6">
        <v>46112</v>
      </c>
      <c r="E8438" s="3" t="str">
        <f ca="1">IF(Tabela2[[#This Row],[Dt Venc:]]&gt;TODAY(),"Em Aberto",IF(Tabela2[[#This Row],[D/venc]]="-","Enviado",IF(Tabela2[[#This Row],[Dt Venc:]]=TODAY(),"Vence Hoje","Vencida")))</f>
        <v>Em Aberto</v>
      </c>
      <c r="F8438" s="3">
        <f ca="1">IF(G8438=1,"-",Tabela2[[#This Row],[Dt Venc:]]-TODAY())</f>
        <v>419</v>
      </c>
      <c r="G8438" s="3"/>
      <c r="H8438" s="3"/>
    </row>
    <row r="8439" spans="1:8">
      <c r="A8439" s="3">
        <v>36910</v>
      </c>
      <c r="B8439" s="7" t="s">
        <v>167</v>
      </c>
      <c r="C8439" s="100" t="s">
        <v>32</v>
      </c>
      <c r="D8439" s="6">
        <v>46113</v>
      </c>
      <c r="E8439" s="3" t="str">
        <f ca="1">IF(Tabela2[[#This Row],[Dt Venc:]]&gt;TODAY(),"Em Aberto",IF(Tabela2[[#This Row],[D/venc]]="-","Enviado",IF(Tabela2[[#This Row],[Dt Venc:]]=TODAY(),"Vence Hoje","Vencida")))</f>
        <v>Em Aberto</v>
      </c>
      <c r="F8439" s="3">
        <f ca="1">IF(G8439=1,"-",Tabela2[[#This Row],[Dt Venc:]]-TODAY())</f>
        <v>420</v>
      </c>
      <c r="G8439" s="3"/>
      <c r="H8439" s="3"/>
    </row>
    <row r="8440" spans="1:8">
      <c r="A8440" s="3">
        <v>10494</v>
      </c>
      <c r="B8440" s="7" t="s">
        <v>82</v>
      </c>
      <c r="C8440" s="88" t="s">
        <v>30</v>
      </c>
      <c r="D8440" s="6">
        <v>46115</v>
      </c>
      <c r="E8440" s="3" t="str">
        <f ca="1">IF(Tabela2[[#This Row],[Dt Venc:]]&gt;TODAY(),"Em Aberto",IF(Tabela2[[#This Row],[D/venc]]="-","Enviado",IF(Tabela2[[#This Row],[Dt Venc:]]=TODAY(),"Vence Hoje","Vencida")))</f>
        <v>Em Aberto</v>
      </c>
      <c r="F8440" s="3">
        <f ca="1">IF(G8440=1,"-",Tabela2[[#This Row],[Dt Venc:]]-TODAY())</f>
        <v>422</v>
      </c>
      <c r="G8440" s="3"/>
      <c r="H8440" s="3"/>
    </row>
    <row r="8441" spans="1:8">
      <c r="A8441" s="3">
        <v>5680</v>
      </c>
      <c r="B8441" s="7" t="s">
        <v>122</v>
      </c>
      <c r="C8441" s="99" t="s">
        <v>32</v>
      </c>
      <c r="D8441" s="6">
        <v>46117</v>
      </c>
      <c r="E8441" s="3" t="str">
        <f ca="1">IF(Tabela2[[#This Row],[Dt Venc:]]&gt;TODAY(),"Em Aberto",IF(Tabela2[[#This Row],[D/venc]]="-","Enviado",IF(Tabela2[[#This Row],[Dt Venc:]]=TODAY(),"Vence Hoje","Vencida")))</f>
        <v>Em Aberto</v>
      </c>
      <c r="F8441" s="3">
        <f ca="1">IF(G8441=1,"-",Tabela2[[#This Row],[Dt Venc:]]-TODAY())</f>
        <v>424</v>
      </c>
      <c r="G8441" s="3"/>
      <c r="H8441" s="3"/>
    </row>
    <row r="8442" spans="1:8">
      <c r="A8442" s="3">
        <v>10353</v>
      </c>
      <c r="B8442" s="7" t="s">
        <v>82</v>
      </c>
      <c r="C8442" s="100" t="s">
        <v>32</v>
      </c>
      <c r="D8442" s="6">
        <v>46117</v>
      </c>
      <c r="E8442" s="3" t="str">
        <f ca="1">IF(Tabela2[[#This Row],[Dt Venc:]]&gt;TODAY(),"Em Aberto",IF(Tabela2[[#This Row],[D/venc]]="-","Enviado",IF(Tabela2[[#This Row],[Dt Venc:]]=TODAY(),"Vence Hoje","Vencida")))</f>
        <v>Em Aberto</v>
      </c>
      <c r="F8442" s="3">
        <f ca="1">IF(G8442=1,"-",Tabela2[[#This Row],[Dt Venc:]]-TODAY())</f>
        <v>424</v>
      </c>
      <c r="G8442" s="3"/>
      <c r="H8442" s="3"/>
    </row>
    <row r="8443" spans="1:8">
      <c r="A8443" s="3">
        <v>284620</v>
      </c>
      <c r="B8443" s="7" t="s">
        <v>153</v>
      </c>
      <c r="C8443" s="99" t="s">
        <v>32</v>
      </c>
      <c r="D8443" s="6">
        <v>46120</v>
      </c>
      <c r="E8443" s="3" t="str">
        <f ca="1">IF(Tabela2[[#This Row],[Dt Venc:]]&gt;TODAY(),"Em Aberto",IF(Tabela2[[#This Row],[D/venc]]="-","Enviado",IF(Tabela2[[#This Row],[Dt Venc:]]=TODAY(),"Vence Hoje","Vencida")))</f>
        <v>Em Aberto</v>
      </c>
      <c r="F8443" s="3">
        <f ca="1">IF(G8443=1,"-",Tabela2[[#This Row],[Dt Venc:]]-TODAY())</f>
        <v>427</v>
      </c>
      <c r="G8443" s="3"/>
      <c r="H8443" s="3"/>
    </row>
    <row r="8444" spans="1:8">
      <c r="A8444" s="3">
        <v>36949</v>
      </c>
      <c r="B8444" s="7" t="s">
        <v>167</v>
      </c>
      <c r="C8444" s="99" t="s">
        <v>32</v>
      </c>
      <c r="D8444" s="6">
        <v>46121</v>
      </c>
      <c r="E8444" s="3" t="str">
        <f ca="1">IF(Tabela2[[#This Row],[Dt Venc:]]&gt;TODAY(),"Em Aberto",IF(Tabela2[[#This Row],[D/venc]]="-","Enviado",IF(Tabela2[[#This Row],[Dt Venc:]]=TODAY(),"Vence Hoje","Vencida")))</f>
        <v>Em Aberto</v>
      </c>
      <c r="F8444" s="3">
        <f ca="1">IF(G8444=1,"-",Tabela2[[#This Row],[Dt Venc:]]-TODAY())</f>
        <v>428</v>
      </c>
      <c r="G8444" s="3"/>
      <c r="H8444" s="3"/>
    </row>
    <row r="8445" spans="1:8">
      <c r="A8445" s="3">
        <v>756561</v>
      </c>
      <c r="B8445" s="7" t="s">
        <v>166</v>
      </c>
      <c r="C8445" s="99" t="s">
        <v>32</v>
      </c>
      <c r="D8445" s="6">
        <v>46121</v>
      </c>
      <c r="E8445" s="3" t="str">
        <f ca="1">IF(Tabela2[[#This Row],[Dt Venc:]]&gt;TODAY(),"Em Aberto",IF(Tabela2[[#This Row],[D/venc]]="-","Enviado",IF(Tabela2[[#This Row],[Dt Venc:]]=TODAY(),"Vence Hoje","Vencida")))</f>
        <v>Em Aberto</v>
      </c>
      <c r="F8445" s="3">
        <f ca="1">IF(G8445=1,"-",Tabela2[[#This Row],[Dt Venc:]]-TODAY())</f>
        <v>428</v>
      </c>
      <c r="G8445" s="3"/>
      <c r="H8445" s="3"/>
    </row>
    <row r="8446" spans="1:8">
      <c r="A8446" s="3" t="s">
        <v>179</v>
      </c>
      <c r="B8446" s="7" t="s">
        <v>190</v>
      </c>
      <c r="C8446" s="100" t="s">
        <v>32</v>
      </c>
      <c r="D8446" s="6">
        <v>46122</v>
      </c>
      <c r="E8446" s="3" t="str">
        <f ca="1">IF(Tabela2[[#This Row],[Dt Venc:]]&gt;TODAY(),"Em Aberto",IF(Tabela2[[#This Row],[D/venc]]="-","Enviado",IF(Tabela2[[#This Row],[Dt Venc:]]=TODAY(),"Vence Hoje","Vencida")))</f>
        <v>Em Aberto</v>
      </c>
      <c r="F8446" s="3">
        <f ca="1">IF(G8446=1,"-",Tabela2[[#This Row],[Dt Venc:]]-TODAY())</f>
        <v>429</v>
      </c>
      <c r="G8446" s="3"/>
      <c r="H8446" s="3"/>
    </row>
    <row r="8447" spans="1:8">
      <c r="A8447" s="3">
        <v>37327</v>
      </c>
      <c r="B8447" s="7" t="s">
        <v>167</v>
      </c>
      <c r="C8447" s="100" t="s">
        <v>32</v>
      </c>
      <c r="D8447" s="6">
        <v>46123</v>
      </c>
      <c r="E8447" s="3" t="str">
        <f ca="1">IF(Tabela2[[#This Row],[Dt Venc:]]&gt;TODAY(),"Em Aberto",IF(Tabela2[[#This Row],[D/venc]]="-","Enviado",IF(Tabela2[[#This Row],[Dt Venc:]]=TODAY(),"Vence Hoje","Vencida")))</f>
        <v>Em Aberto</v>
      </c>
      <c r="F8447" s="3">
        <f ca="1">IF(G8447=1,"-",Tabela2[[#This Row],[Dt Venc:]]-TODAY())</f>
        <v>430</v>
      </c>
      <c r="G8447" s="3"/>
      <c r="H8447" s="3"/>
    </row>
    <row r="8448" spans="1:8">
      <c r="A8448" s="3">
        <v>37292</v>
      </c>
      <c r="B8448" s="7" t="s">
        <v>167</v>
      </c>
      <c r="C8448" s="100" t="s">
        <v>32</v>
      </c>
      <c r="D8448" s="6">
        <v>46125</v>
      </c>
      <c r="E8448" s="3" t="str">
        <f ca="1">IF(Tabela2[[#This Row],[Dt Venc:]]&gt;TODAY(),"Em Aberto",IF(Tabela2[[#This Row],[D/venc]]="-","Enviado",IF(Tabela2[[#This Row],[Dt Venc:]]=TODAY(),"Vence Hoje","Vencida")))</f>
        <v>Em Aberto</v>
      </c>
      <c r="F8448" s="3">
        <f ca="1">IF(G8448=1,"-",Tabela2[[#This Row],[Dt Venc:]]-TODAY())</f>
        <v>432</v>
      </c>
      <c r="G8448" s="3"/>
      <c r="H8448" s="3"/>
    </row>
    <row r="8449" spans="1:8">
      <c r="A8449" s="3">
        <v>562</v>
      </c>
      <c r="B8449" s="7" t="s">
        <v>251</v>
      </c>
      <c r="C8449" s="100" t="s">
        <v>32</v>
      </c>
      <c r="D8449" s="6">
        <v>46127</v>
      </c>
      <c r="E8449" s="3" t="str">
        <f ca="1">IF(Tabela2[[#This Row],[Dt Venc:]]&gt;TODAY(),"Em Aberto",IF(Tabela2[[#This Row],[D/venc]]="-","Enviado",IF(Tabela2[[#This Row],[Dt Venc:]]=TODAY(),"Vence Hoje","Vencida")))</f>
        <v>Em Aberto</v>
      </c>
      <c r="F8449" s="3">
        <f ca="1">IF(G8449=1,"-",Tabela2[[#This Row],[Dt Venc:]]-TODAY())</f>
        <v>434</v>
      </c>
      <c r="G8449" s="3"/>
      <c r="H8449" s="3"/>
    </row>
    <row r="8450" spans="1:8">
      <c r="A8450" s="3">
        <v>103015</v>
      </c>
      <c r="B8450" s="7" t="s">
        <v>252</v>
      </c>
      <c r="C8450" s="100" t="s">
        <v>32</v>
      </c>
      <c r="D8450" s="6">
        <v>46127</v>
      </c>
      <c r="E8450" s="3" t="str">
        <f ca="1">IF(Tabela2[[#This Row],[Dt Venc:]]&gt;TODAY(),"Em Aberto",IF(Tabela2[[#This Row],[D/venc]]="-","Enviado",IF(Tabela2[[#This Row],[Dt Venc:]]=TODAY(),"Vence Hoje","Vencida")))</f>
        <v>Em Aberto</v>
      </c>
      <c r="F8450" s="3">
        <f ca="1">IF(G8450=1,"-",Tabela2[[#This Row],[Dt Venc:]]-TODAY())</f>
        <v>434</v>
      </c>
      <c r="G8450" s="3"/>
      <c r="H8450" s="3"/>
    </row>
    <row r="8451" spans="1:8">
      <c r="A8451" s="3">
        <v>103077</v>
      </c>
      <c r="B8451" s="7" t="s">
        <v>252</v>
      </c>
      <c r="C8451" s="100" t="s">
        <v>32</v>
      </c>
      <c r="D8451" s="6">
        <v>46127</v>
      </c>
      <c r="E8451" s="3" t="str">
        <f ca="1">IF(Tabela2[[#This Row],[Dt Venc:]]&gt;TODAY(),"Em Aberto",IF(Tabela2[[#This Row],[D/venc]]="-","Enviado",IF(Tabela2[[#This Row],[Dt Venc:]]=TODAY(),"Vence Hoje","Vencida")))</f>
        <v>Em Aberto</v>
      </c>
      <c r="F8451" s="3">
        <f ca="1">IF(G8451=1,"-",Tabela2[[#This Row],[Dt Venc:]]-TODAY())</f>
        <v>434</v>
      </c>
      <c r="G8451" s="3"/>
      <c r="H8451" s="3"/>
    </row>
    <row r="8452" spans="1:8">
      <c r="A8452" s="3">
        <v>103153</v>
      </c>
      <c r="B8452" s="7" t="s">
        <v>252</v>
      </c>
      <c r="C8452" s="87" t="s">
        <v>32</v>
      </c>
      <c r="D8452" s="6">
        <v>46127</v>
      </c>
      <c r="E8452" s="3" t="str">
        <f ca="1">IF(Tabela2[[#This Row],[Dt Venc:]]&gt;TODAY(),"Em Aberto",IF(Tabela2[[#This Row],[D/venc]]="-","Enviado",IF(Tabela2[[#This Row],[Dt Venc:]]=TODAY(),"Vence Hoje","Vencida")))</f>
        <v>Em Aberto</v>
      </c>
      <c r="F8452" s="3">
        <f ca="1">IF(G8452=1,"-",Tabela2[[#This Row],[Dt Venc:]]-TODAY())</f>
        <v>434</v>
      </c>
      <c r="G8452" s="3"/>
      <c r="H8452" s="3"/>
    </row>
    <row r="8453" spans="1:8">
      <c r="A8453" s="3">
        <v>103154</v>
      </c>
      <c r="B8453" s="7" t="s">
        <v>252</v>
      </c>
      <c r="C8453" s="100" t="s">
        <v>32</v>
      </c>
      <c r="D8453" s="6">
        <v>46127</v>
      </c>
      <c r="E8453" s="3" t="str">
        <f ca="1">IF(Tabela2[[#This Row],[Dt Venc:]]&gt;TODAY(),"Em Aberto",IF(Tabela2[[#This Row],[D/venc]]="-","Enviado",IF(Tabela2[[#This Row],[Dt Venc:]]=TODAY(),"Vence Hoje","Vencida")))</f>
        <v>Em Aberto</v>
      </c>
      <c r="F8453" s="3">
        <f ca="1">IF(G8453=1,"-",Tabela2[[#This Row],[Dt Venc:]]-TODAY())</f>
        <v>434</v>
      </c>
      <c r="G8453" s="3"/>
      <c r="H8453" s="3"/>
    </row>
    <row r="8454" spans="1:8">
      <c r="A8454" s="3">
        <v>106007</v>
      </c>
      <c r="B8454" s="7" t="s">
        <v>252</v>
      </c>
      <c r="C8454" s="100" t="s">
        <v>32</v>
      </c>
      <c r="D8454" s="6">
        <v>46127</v>
      </c>
      <c r="E8454" s="3" t="str">
        <f ca="1">IF(Tabela2[[#This Row],[Dt Venc:]]&gt;TODAY(),"Em Aberto",IF(Tabela2[[#This Row],[D/venc]]="-","Enviado",IF(Tabela2[[#This Row],[Dt Venc:]]=TODAY(),"Vence Hoje","Vencida")))</f>
        <v>Em Aberto</v>
      </c>
      <c r="F8454" s="3">
        <f ca="1">IF(G8454=1,"-",Tabela2[[#This Row],[Dt Venc:]]-TODAY())</f>
        <v>434</v>
      </c>
      <c r="G8454" s="3"/>
      <c r="H8454" s="3"/>
    </row>
    <row r="8455" spans="1:8">
      <c r="A8455" s="3">
        <v>106043</v>
      </c>
      <c r="B8455" s="7" t="s">
        <v>252</v>
      </c>
      <c r="C8455" s="100" t="s">
        <v>32</v>
      </c>
      <c r="D8455" s="6">
        <v>46127</v>
      </c>
      <c r="E8455" s="3" t="str">
        <f ca="1">IF(Tabela2[[#This Row],[Dt Venc:]]&gt;TODAY(),"Em Aberto",IF(Tabela2[[#This Row],[D/venc]]="-","Enviado",IF(Tabela2[[#This Row],[Dt Venc:]]=TODAY(),"Vence Hoje","Vencida")))</f>
        <v>Em Aberto</v>
      </c>
      <c r="F8455" s="3">
        <f ca="1">IF(G8455=1,"-",Tabela2[[#This Row],[Dt Venc:]]-TODAY())</f>
        <v>434</v>
      </c>
      <c r="G8455" s="3"/>
      <c r="H8455" s="3"/>
    </row>
    <row r="8456" spans="1:8">
      <c r="A8456" s="3">
        <v>107829</v>
      </c>
      <c r="B8456" s="7" t="s">
        <v>252</v>
      </c>
      <c r="C8456" s="100" t="s">
        <v>32</v>
      </c>
      <c r="D8456" s="6">
        <v>46127</v>
      </c>
      <c r="E8456" s="3" t="str">
        <f ca="1">IF(Tabela2[[#This Row],[Dt Venc:]]&gt;TODAY(),"Em Aberto",IF(Tabela2[[#This Row],[D/venc]]="-","Enviado",IF(Tabela2[[#This Row],[Dt Venc:]]=TODAY(),"Vence Hoje","Vencida")))</f>
        <v>Em Aberto</v>
      </c>
      <c r="F8456" s="3">
        <f ca="1">IF(G8456=1,"-",Tabela2[[#This Row],[Dt Venc:]]-TODAY())</f>
        <v>434</v>
      </c>
      <c r="G8456" s="3"/>
      <c r="H8456" s="3"/>
    </row>
    <row r="8457" spans="1:8">
      <c r="A8457" s="3">
        <v>107830</v>
      </c>
      <c r="B8457" s="7" t="s">
        <v>252</v>
      </c>
      <c r="C8457" s="87" t="s">
        <v>32</v>
      </c>
      <c r="D8457" s="6">
        <v>46127</v>
      </c>
      <c r="E8457" s="3" t="str">
        <f ca="1">IF(Tabela2[[#This Row],[Dt Venc:]]&gt;TODAY(),"Em Aberto",IF(Tabela2[[#This Row],[D/venc]]="-","Enviado",IF(Tabela2[[#This Row],[Dt Venc:]]=TODAY(),"Vence Hoje","Vencida")))</f>
        <v>Em Aberto</v>
      </c>
      <c r="F8457" s="3">
        <f ca="1">IF(G8457=1,"-",Tabela2[[#This Row],[Dt Venc:]]-TODAY())</f>
        <v>434</v>
      </c>
      <c r="G8457" s="3"/>
      <c r="H8457" s="3"/>
    </row>
    <row r="8458" spans="1:8">
      <c r="A8458" s="3">
        <v>107831</v>
      </c>
      <c r="B8458" s="7" t="s">
        <v>252</v>
      </c>
      <c r="C8458" s="99" t="s">
        <v>32</v>
      </c>
      <c r="D8458" s="6">
        <v>46127</v>
      </c>
      <c r="E8458" s="3" t="str">
        <f ca="1">IF(Tabela2[[#This Row],[Dt Venc:]]&gt;TODAY(),"Em Aberto",IF(Tabela2[[#This Row],[D/venc]]="-","Enviado",IF(Tabela2[[#This Row],[Dt Venc:]]=TODAY(),"Vence Hoje","Vencida")))</f>
        <v>Em Aberto</v>
      </c>
      <c r="F8458" s="3">
        <f ca="1">IF(G8458=1,"-",Tabela2[[#This Row],[Dt Venc:]]-TODAY())</f>
        <v>434</v>
      </c>
      <c r="G8458" s="3"/>
      <c r="H8458" s="3"/>
    </row>
    <row r="8459" spans="1:8">
      <c r="A8459" s="3">
        <v>107832</v>
      </c>
      <c r="B8459" s="7" t="s">
        <v>252</v>
      </c>
      <c r="C8459" s="100" t="s">
        <v>32</v>
      </c>
      <c r="D8459" s="6">
        <v>46127</v>
      </c>
      <c r="E8459" s="3" t="str">
        <f ca="1">IF(Tabela2[[#This Row],[Dt Venc:]]&gt;TODAY(),"Em Aberto",IF(Tabela2[[#This Row],[D/venc]]="-","Enviado",IF(Tabela2[[#This Row],[Dt Venc:]]=TODAY(),"Vence Hoje","Vencida")))</f>
        <v>Em Aberto</v>
      </c>
      <c r="F8459" s="3">
        <f ca="1">IF(G8459=1,"-",Tabela2[[#This Row],[Dt Venc:]]-TODAY())</f>
        <v>434</v>
      </c>
      <c r="G8459" s="3"/>
      <c r="H8459" s="3"/>
    </row>
    <row r="8460" spans="1:8">
      <c r="A8460" s="3">
        <v>361229</v>
      </c>
      <c r="B8460" s="7" t="s">
        <v>250</v>
      </c>
      <c r="C8460" s="100" t="s">
        <v>32</v>
      </c>
      <c r="D8460" s="6">
        <v>46127</v>
      </c>
      <c r="E8460" s="3" t="str">
        <f ca="1">IF(Tabela2[[#This Row],[Dt Venc:]]&gt;TODAY(),"Em Aberto",IF(Tabela2[[#This Row],[D/venc]]="-","Enviado",IF(Tabela2[[#This Row],[Dt Venc:]]=TODAY(),"Vence Hoje","Vencida")))</f>
        <v>Em Aberto</v>
      </c>
      <c r="F8460" s="3">
        <f ca="1">IF(G8460=1,"-",Tabela2[[#This Row],[Dt Venc:]]-TODAY())</f>
        <v>434</v>
      </c>
      <c r="G8460" s="3"/>
      <c r="H8460" s="3"/>
    </row>
    <row r="8461" spans="1:8">
      <c r="A8461" s="3">
        <v>361237</v>
      </c>
      <c r="B8461" s="7" t="s">
        <v>250</v>
      </c>
      <c r="C8461" s="100" t="s">
        <v>32</v>
      </c>
      <c r="D8461" s="6">
        <v>46127</v>
      </c>
      <c r="E8461" s="3" t="str">
        <f ca="1">IF(Tabela2[[#This Row],[Dt Venc:]]&gt;TODAY(),"Em Aberto",IF(Tabela2[[#This Row],[D/venc]]="-","Enviado",IF(Tabela2[[#This Row],[Dt Venc:]]=TODAY(),"Vence Hoje","Vencida")))</f>
        <v>Em Aberto</v>
      </c>
      <c r="F8461" s="3">
        <f ca="1">IF(G8461=1,"-",Tabela2[[#This Row],[Dt Venc:]]-TODAY())</f>
        <v>434</v>
      </c>
      <c r="G8461" s="3"/>
      <c r="H8461" s="3"/>
    </row>
    <row r="8462" spans="1:8">
      <c r="A8462" s="3">
        <v>365658</v>
      </c>
      <c r="B8462" s="7" t="s">
        <v>250</v>
      </c>
      <c r="C8462" s="100" t="s">
        <v>32</v>
      </c>
      <c r="D8462" s="6">
        <v>46127</v>
      </c>
      <c r="E8462" s="3" t="str">
        <f ca="1">IF(Tabela2[[#This Row],[Dt Venc:]]&gt;TODAY(),"Em Aberto",IF(Tabela2[[#This Row],[D/venc]]="-","Enviado",IF(Tabela2[[#This Row],[Dt Venc:]]=TODAY(),"Vence Hoje","Vencida")))</f>
        <v>Em Aberto</v>
      </c>
      <c r="F8462" s="3">
        <f ca="1">IF(G8462=1,"-",Tabela2[[#This Row],[Dt Venc:]]-TODAY())</f>
        <v>434</v>
      </c>
      <c r="G8462" s="3"/>
      <c r="H8462" s="3"/>
    </row>
    <row r="8463" spans="1:8">
      <c r="A8463" s="3">
        <v>365666</v>
      </c>
      <c r="B8463" s="7" t="s">
        <v>250</v>
      </c>
      <c r="C8463" s="100" t="s">
        <v>32</v>
      </c>
      <c r="D8463" s="6">
        <v>46127</v>
      </c>
      <c r="E8463" s="3" t="str">
        <f ca="1">IF(Tabela2[[#This Row],[Dt Venc:]]&gt;TODAY(),"Em Aberto",IF(Tabela2[[#This Row],[D/venc]]="-","Enviado",IF(Tabela2[[#This Row],[Dt Venc:]]=TODAY(),"Vence Hoje","Vencida")))</f>
        <v>Em Aberto</v>
      </c>
      <c r="F8463" s="3">
        <f ca="1">IF(G8463=1,"-",Tabela2[[#This Row],[Dt Venc:]]-TODAY())</f>
        <v>434</v>
      </c>
      <c r="G8463" s="3"/>
      <c r="H8463" s="3"/>
    </row>
    <row r="8464" spans="1:8">
      <c r="A8464" s="3">
        <v>365674</v>
      </c>
      <c r="B8464" s="7" t="s">
        <v>250</v>
      </c>
      <c r="C8464" s="100" t="s">
        <v>32</v>
      </c>
      <c r="D8464" s="6">
        <v>46127</v>
      </c>
      <c r="E8464" s="3" t="str">
        <f ca="1">IF(Tabela2[[#This Row],[Dt Venc:]]&gt;TODAY(),"Em Aberto",IF(Tabela2[[#This Row],[D/venc]]="-","Enviado",IF(Tabela2[[#This Row],[Dt Venc:]]=TODAY(),"Vence Hoje","Vencida")))</f>
        <v>Em Aberto</v>
      </c>
      <c r="F8464" s="3">
        <f ca="1">IF(G8464=1,"-",Tabela2[[#This Row],[Dt Venc:]]-TODAY())</f>
        <v>434</v>
      </c>
      <c r="G8464" s="3"/>
      <c r="H8464" s="3"/>
    </row>
    <row r="8465" spans="1:8">
      <c r="A8465" s="3">
        <v>365682</v>
      </c>
      <c r="B8465" s="7" t="s">
        <v>250</v>
      </c>
      <c r="C8465" s="100" t="s">
        <v>32</v>
      </c>
      <c r="D8465" s="6">
        <v>46127</v>
      </c>
      <c r="E8465" s="3" t="str">
        <f ca="1">IF(Tabela2[[#This Row],[Dt Venc:]]&gt;TODAY(),"Em Aberto",IF(Tabela2[[#This Row],[D/venc]]="-","Enviado",IF(Tabela2[[#This Row],[Dt Venc:]]=TODAY(),"Vence Hoje","Vencida")))</f>
        <v>Em Aberto</v>
      </c>
      <c r="F8465" s="3">
        <f ca="1">IF(G8465=1,"-",Tabela2[[#This Row],[Dt Venc:]]-TODAY())</f>
        <v>434</v>
      </c>
      <c r="G8465" s="3"/>
      <c r="H8465" s="3"/>
    </row>
    <row r="8466" spans="1:8">
      <c r="A8466" s="3">
        <v>369335</v>
      </c>
      <c r="B8466" s="7" t="s">
        <v>543</v>
      </c>
      <c r="C8466" s="87" t="s">
        <v>32</v>
      </c>
      <c r="D8466" s="6">
        <v>46127</v>
      </c>
      <c r="E8466" s="3" t="str">
        <f ca="1">IF(Tabela2[[#This Row],[Dt Venc:]]&gt;TODAY(),"Em Aberto",IF(Tabela2[[#This Row],[D/venc]]="-","Enviado",IF(Tabela2[[#This Row],[Dt Venc:]]=TODAY(),"Vence Hoje","Vencida")))</f>
        <v>Em Aberto</v>
      </c>
      <c r="F8466" s="3">
        <f ca="1">IF(G8466=1,"-",Tabela2[[#This Row],[Dt Venc:]]-TODAY())</f>
        <v>434</v>
      </c>
      <c r="G8466" s="3"/>
      <c r="H8466" s="3"/>
    </row>
    <row r="8467" spans="1:8">
      <c r="A8467" s="3">
        <v>369696</v>
      </c>
      <c r="B8467" s="7" t="s">
        <v>543</v>
      </c>
      <c r="C8467" s="85" t="s">
        <v>32</v>
      </c>
      <c r="D8467" s="6">
        <v>46127</v>
      </c>
      <c r="E8467" s="3" t="str">
        <f ca="1">IF(Tabela2[[#This Row],[Dt Venc:]]&gt;TODAY(),"Em Aberto",IF(Tabela2[[#This Row],[D/venc]]="-","Enviado",IF(Tabela2[[#This Row],[Dt Venc:]]=TODAY(),"Vence Hoje","Vencida")))</f>
        <v>Em Aberto</v>
      </c>
      <c r="F8467" s="3">
        <f ca="1">IF(G8467=1,"-",Tabela2[[#This Row],[Dt Venc:]]-TODAY())</f>
        <v>434</v>
      </c>
      <c r="G8467" s="3"/>
      <c r="H8467" s="3"/>
    </row>
    <row r="8468" spans="1:8">
      <c r="A8468" s="3">
        <v>369726</v>
      </c>
      <c r="B8468" s="7" t="s">
        <v>543</v>
      </c>
      <c r="C8468" s="87" t="s">
        <v>32</v>
      </c>
      <c r="D8468" s="6">
        <v>46127</v>
      </c>
      <c r="E8468" s="3" t="str">
        <f ca="1">IF(Tabela2[[#This Row],[Dt Venc:]]&gt;TODAY(),"Em Aberto",IF(Tabela2[[#This Row],[D/venc]]="-","Enviado",IF(Tabela2[[#This Row],[Dt Venc:]]=TODAY(),"Vence Hoje","Vencida")))</f>
        <v>Em Aberto</v>
      </c>
      <c r="F8468" s="3">
        <f ca="1">IF(G8468=1,"-",Tabela2[[#This Row],[Dt Venc:]]-TODAY())</f>
        <v>434</v>
      </c>
      <c r="G8468" s="3"/>
      <c r="H8468" s="3"/>
    </row>
    <row r="8469" spans="1:8">
      <c r="A8469" s="3">
        <v>369751</v>
      </c>
      <c r="B8469" s="7" t="s">
        <v>543</v>
      </c>
      <c r="C8469" s="87" t="s">
        <v>32</v>
      </c>
      <c r="D8469" s="6">
        <v>46127</v>
      </c>
      <c r="E8469" s="3" t="str">
        <f ca="1">IF(Tabela2[[#This Row],[Dt Venc:]]&gt;TODAY(),"Em Aberto",IF(Tabela2[[#This Row],[D/venc]]="-","Enviado",IF(Tabela2[[#This Row],[Dt Venc:]]=TODAY(),"Vence Hoje","Vencida")))</f>
        <v>Em Aberto</v>
      </c>
      <c r="F8469" s="3">
        <f ca="1">IF(G8469=1,"-",Tabela2[[#This Row],[Dt Venc:]]-TODAY())</f>
        <v>434</v>
      </c>
      <c r="G8469" s="3"/>
      <c r="H8469" s="3"/>
    </row>
    <row r="8470" spans="1:8">
      <c r="A8470" s="3">
        <v>370201</v>
      </c>
      <c r="B8470" s="7" t="s">
        <v>543</v>
      </c>
      <c r="C8470" s="87" t="s">
        <v>32</v>
      </c>
      <c r="D8470" s="6">
        <v>46127</v>
      </c>
      <c r="E8470" s="3" t="str">
        <f ca="1">IF(Tabela2[[#This Row],[Dt Venc:]]&gt;TODAY(),"Em Aberto",IF(Tabela2[[#This Row],[D/venc]]="-","Enviado",IF(Tabela2[[#This Row],[Dt Venc:]]=TODAY(),"Vence Hoje","Vencida")))</f>
        <v>Em Aberto</v>
      </c>
      <c r="F8470" s="3">
        <f ca="1">IF(G8470=1,"-",Tabela2[[#This Row],[Dt Venc:]]-TODAY())</f>
        <v>434</v>
      </c>
      <c r="G8470" s="3"/>
      <c r="H8470" s="3"/>
    </row>
    <row r="8471" spans="1:8">
      <c r="A8471" s="3">
        <v>370864</v>
      </c>
      <c r="B8471" s="7" t="s">
        <v>543</v>
      </c>
      <c r="C8471" s="87" t="s">
        <v>32</v>
      </c>
      <c r="D8471" s="6">
        <v>46127</v>
      </c>
      <c r="E8471" s="3" t="str">
        <f ca="1">IF(Tabela2[[#This Row],[Dt Venc:]]&gt;TODAY(),"Em Aberto",IF(Tabela2[[#This Row],[D/venc]]="-","Enviado",IF(Tabela2[[#This Row],[Dt Venc:]]=TODAY(),"Vence Hoje","Vencida")))</f>
        <v>Em Aberto</v>
      </c>
      <c r="F8471" s="3">
        <f ca="1">IF(G8471=1,"-",Tabela2[[#This Row],[Dt Venc:]]-TODAY())</f>
        <v>434</v>
      </c>
      <c r="G8471" s="3"/>
      <c r="H8471" s="3"/>
    </row>
    <row r="8472" spans="1:8">
      <c r="A8472" s="3">
        <v>371011</v>
      </c>
      <c r="B8472" s="7" t="s">
        <v>633</v>
      </c>
      <c r="C8472" s="85" t="s">
        <v>32</v>
      </c>
      <c r="D8472" s="6">
        <v>46127</v>
      </c>
      <c r="E8472" s="3" t="str">
        <f ca="1">IF(Tabela2[[#This Row],[Dt Venc:]]&gt;TODAY(),"Em Aberto",IF(Tabela2[[#This Row],[D/venc]]="-","Enviado",IF(Tabela2[[#This Row],[Dt Venc:]]=TODAY(),"Vence Hoje","Vencida")))</f>
        <v>Em Aberto</v>
      </c>
      <c r="F8472" s="3">
        <f ca="1">IF(G8472=1,"-",Tabela2[[#This Row],[Dt Venc:]]-TODAY())</f>
        <v>434</v>
      </c>
      <c r="G8472" s="3"/>
      <c r="H8472" s="3"/>
    </row>
    <row r="8473" spans="1:8">
      <c r="A8473" s="3">
        <v>371160</v>
      </c>
      <c r="B8473" s="7" t="s">
        <v>633</v>
      </c>
      <c r="C8473" s="87" t="s">
        <v>32</v>
      </c>
      <c r="D8473" s="6">
        <v>46127</v>
      </c>
      <c r="E8473" s="3" t="str">
        <f ca="1">IF(Tabela2[[#This Row],[Dt Venc:]]&gt;TODAY(),"Em Aberto",IF(Tabela2[[#This Row],[D/venc]]="-","Enviado",IF(Tabela2[[#This Row],[Dt Venc:]]=TODAY(),"Vence Hoje","Vencida")))</f>
        <v>Em Aberto</v>
      </c>
      <c r="F8473" s="3">
        <f ca="1">IF(G8473=1,"-",Tabela2[[#This Row],[Dt Venc:]]-TODAY())</f>
        <v>434</v>
      </c>
      <c r="G8473" s="3"/>
      <c r="H8473" s="3"/>
    </row>
    <row r="8474" spans="1:8">
      <c r="A8474" s="3">
        <v>748099</v>
      </c>
      <c r="B8474" s="7" t="s">
        <v>81</v>
      </c>
      <c r="C8474" s="100" t="s">
        <v>32</v>
      </c>
      <c r="D8474" s="6">
        <v>46127</v>
      </c>
      <c r="E8474" s="3" t="str">
        <f ca="1">IF(Tabela2[[#This Row],[Dt Venc:]]&gt;TODAY(),"Em Aberto",IF(Tabela2[[#This Row],[D/venc]]="-","Enviado",IF(Tabela2[[#This Row],[Dt Venc:]]=TODAY(),"Vence Hoje","Vencida")))</f>
        <v>Em Aberto</v>
      </c>
      <c r="F8474" s="3">
        <f ca="1">IF(G8474=1,"-",Tabela2[[#This Row],[Dt Venc:]]-TODAY())</f>
        <v>434</v>
      </c>
      <c r="G8474" s="3"/>
      <c r="H8474" s="3"/>
    </row>
    <row r="8475" spans="1:8">
      <c r="A8475" s="3">
        <v>892178</v>
      </c>
      <c r="B8475" s="7" t="s">
        <v>253</v>
      </c>
      <c r="C8475" s="100" t="s">
        <v>32</v>
      </c>
      <c r="D8475" s="6">
        <v>46127</v>
      </c>
      <c r="E8475" s="3" t="str">
        <f ca="1">IF(Tabela2[[#This Row],[Dt Venc:]]&gt;TODAY(),"Em Aberto",IF(Tabela2[[#This Row],[D/venc]]="-","Enviado",IF(Tabela2[[#This Row],[Dt Venc:]]=TODAY(),"Vence Hoje","Vencida")))</f>
        <v>Em Aberto</v>
      </c>
      <c r="F8475" s="3">
        <f ca="1">IF(G8475=1,"-",Tabela2[[#This Row],[Dt Venc:]]-TODAY())</f>
        <v>434</v>
      </c>
      <c r="G8475" s="3"/>
      <c r="H8475" s="3"/>
    </row>
    <row r="8476" spans="1:8">
      <c r="A8476" s="3">
        <v>894135</v>
      </c>
      <c r="B8476" s="7" t="s">
        <v>253</v>
      </c>
      <c r="C8476" s="100" t="s">
        <v>32</v>
      </c>
      <c r="D8476" s="6">
        <v>46127</v>
      </c>
      <c r="E8476" s="3" t="str">
        <f ca="1">IF(Tabela2[[#This Row],[Dt Venc:]]&gt;TODAY(),"Em Aberto",IF(Tabela2[[#This Row],[D/venc]]="-","Enviado",IF(Tabela2[[#This Row],[Dt Venc:]]=TODAY(),"Vence Hoje","Vencida")))</f>
        <v>Em Aberto</v>
      </c>
      <c r="F8476" s="3">
        <f ca="1">IF(G8476=1,"-",Tabela2[[#This Row],[Dt Venc:]]-TODAY())</f>
        <v>434</v>
      </c>
      <c r="G8476" s="3"/>
      <c r="H8476" s="3"/>
    </row>
    <row r="8477" spans="1:8">
      <c r="A8477" s="3">
        <v>896565</v>
      </c>
      <c r="B8477" s="7" t="s">
        <v>253</v>
      </c>
      <c r="C8477" s="100" t="s">
        <v>32</v>
      </c>
      <c r="D8477" s="6">
        <v>46127</v>
      </c>
      <c r="E8477" s="3" t="str">
        <f ca="1">IF(Tabela2[[#This Row],[Dt Venc:]]&gt;TODAY(),"Em Aberto",IF(Tabela2[[#This Row],[D/venc]]="-","Enviado",IF(Tabela2[[#This Row],[Dt Venc:]]=TODAY(),"Vence Hoje","Vencida")))</f>
        <v>Em Aberto</v>
      </c>
      <c r="F8477" s="3">
        <f ca="1">IF(G8477=1,"-",Tabela2[[#This Row],[Dt Venc:]]-TODAY())</f>
        <v>434</v>
      </c>
      <c r="G8477" s="3"/>
      <c r="H8477" s="3"/>
    </row>
    <row r="8478" spans="1:8">
      <c r="A8478" s="3">
        <v>900386</v>
      </c>
      <c r="B8478" s="7" t="s">
        <v>253</v>
      </c>
      <c r="C8478" s="100" t="s">
        <v>32</v>
      </c>
      <c r="D8478" s="6">
        <v>46127</v>
      </c>
      <c r="E8478" s="3" t="str">
        <f ca="1">IF(Tabela2[[#This Row],[Dt Venc:]]&gt;TODAY(),"Em Aberto",IF(Tabela2[[#This Row],[D/venc]]="-","Enviado",IF(Tabela2[[#This Row],[Dt Venc:]]=TODAY(),"Vence Hoje","Vencida")))</f>
        <v>Em Aberto</v>
      </c>
      <c r="F8478" s="3">
        <f ca="1">IF(G8478=1,"-",Tabela2[[#This Row],[Dt Venc:]]-TODAY())</f>
        <v>434</v>
      </c>
      <c r="G8478" s="3"/>
      <c r="H8478" s="3"/>
    </row>
    <row r="8479" spans="1:8">
      <c r="A8479" s="3">
        <v>901787</v>
      </c>
      <c r="B8479" s="7" t="s">
        <v>253</v>
      </c>
      <c r="C8479" s="100" t="s">
        <v>32</v>
      </c>
      <c r="D8479" s="6">
        <v>46127</v>
      </c>
      <c r="E8479" s="3" t="str">
        <f ca="1">IF(Tabela2[[#This Row],[Dt Venc:]]&gt;TODAY(),"Em Aberto",IF(Tabela2[[#This Row],[D/venc]]="-","Enviado",IF(Tabela2[[#This Row],[Dt Venc:]]=TODAY(),"Vence Hoje","Vencida")))</f>
        <v>Em Aberto</v>
      </c>
      <c r="F8479" s="3">
        <f ca="1">IF(G8479=1,"-",Tabela2[[#This Row],[Dt Venc:]]-TODAY())</f>
        <v>434</v>
      </c>
      <c r="G8479" s="3"/>
      <c r="H8479" s="3"/>
    </row>
    <row r="8480" spans="1:8">
      <c r="A8480" s="3">
        <v>901788</v>
      </c>
      <c r="B8480" s="7" t="s">
        <v>253</v>
      </c>
      <c r="C8480" s="100" t="s">
        <v>32</v>
      </c>
      <c r="D8480" s="6">
        <v>46127</v>
      </c>
      <c r="E8480" s="3" t="str">
        <f ca="1">IF(Tabela2[[#This Row],[Dt Venc:]]&gt;TODAY(),"Em Aberto",IF(Tabela2[[#This Row],[D/venc]]="-","Enviado",IF(Tabela2[[#This Row],[Dt Venc:]]=TODAY(),"Vence Hoje","Vencida")))</f>
        <v>Em Aberto</v>
      </c>
      <c r="F8480" s="3">
        <f ca="1">IF(G8480=1,"-",Tabela2[[#This Row],[Dt Venc:]]-TODAY())</f>
        <v>434</v>
      </c>
      <c r="G8480" s="3"/>
      <c r="H8480" s="3"/>
    </row>
    <row r="8481" spans="1:8">
      <c r="A8481" s="3">
        <v>901789</v>
      </c>
      <c r="B8481" s="7" t="s">
        <v>253</v>
      </c>
      <c r="C8481" s="100" t="s">
        <v>32</v>
      </c>
      <c r="D8481" s="6">
        <v>46127</v>
      </c>
      <c r="E8481" s="3" t="str">
        <f ca="1">IF(Tabela2[[#This Row],[Dt Venc:]]&gt;TODAY(),"Em Aberto",IF(Tabela2[[#This Row],[D/venc]]="-","Enviado",IF(Tabela2[[#This Row],[Dt Venc:]]=TODAY(),"Vence Hoje","Vencida")))</f>
        <v>Em Aberto</v>
      </c>
      <c r="F8481" s="3">
        <f ca="1">IF(G8481=1,"-",Tabela2[[#This Row],[Dt Venc:]]-TODAY())</f>
        <v>434</v>
      </c>
      <c r="G8481" s="3"/>
      <c r="H8481" s="3"/>
    </row>
    <row r="8482" spans="1:8">
      <c r="A8482" s="3">
        <v>912703</v>
      </c>
      <c r="B8482" s="7" t="s">
        <v>253</v>
      </c>
      <c r="C8482" s="100" t="s">
        <v>32</v>
      </c>
      <c r="D8482" s="6">
        <v>46127</v>
      </c>
      <c r="E8482" s="3" t="str">
        <f ca="1">IF(Tabela2[[#This Row],[Dt Venc:]]&gt;TODAY(),"Em Aberto",IF(Tabela2[[#This Row],[D/venc]]="-","Enviado",IF(Tabela2[[#This Row],[Dt Venc:]]=TODAY(),"Vence Hoje","Vencida")))</f>
        <v>Em Aberto</v>
      </c>
      <c r="F8482" s="3">
        <f ca="1">IF(G8482=1,"-",Tabela2[[#This Row],[Dt Venc:]]-TODAY())</f>
        <v>434</v>
      </c>
      <c r="G8482" s="3"/>
      <c r="H8482" s="3"/>
    </row>
    <row r="8483" spans="1:8">
      <c r="A8483" s="3">
        <v>912704</v>
      </c>
      <c r="B8483" s="7" t="s">
        <v>253</v>
      </c>
      <c r="C8483" s="100" t="s">
        <v>32</v>
      </c>
      <c r="D8483" s="6">
        <v>46127</v>
      </c>
      <c r="E8483" s="3" t="str">
        <f ca="1">IF(Tabela2[[#This Row],[Dt Venc:]]&gt;TODAY(),"Em Aberto",IF(Tabela2[[#This Row],[D/venc]]="-","Enviado",IF(Tabela2[[#This Row],[Dt Venc:]]=TODAY(),"Vence Hoje","Vencida")))</f>
        <v>Em Aberto</v>
      </c>
      <c r="F8483" s="3">
        <f ca="1">IF(G8483=1,"-",Tabela2[[#This Row],[Dt Venc:]]-TODAY())</f>
        <v>434</v>
      </c>
      <c r="G8483" s="3"/>
      <c r="H8483" s="3"/>
    </row>
    <row r="8484" spans="1:8">
      <c r="A8484" s="3">
        <v>919728</v>
      </c>
      <c r="B8484" s="7" t="s">
        <v>253</v>
      </c>
      <c r="C8484" s="87" t="s">
        <v>32</v>
      </c>
      <c r="D8484" s="6">
        <v>46127</v>
      </c>
      <c r="E8484" s="3" t="str">
        <f ca="1">IF(Tabela2[[#This Row],[Dt Venc:]]&gt;TODAY(),"Em Aberto",IF(Tabela2[[#This Row],[D/venc]]="-","Enviado",IF(Tabela2[[#This Row],[Dt Venc:]]=TODAY(),"Vence Hoje","Vencida")))</f>
        <v>Em Aberto</v>
      </c>
      <c r="F8484" s="3">
        <f ca="1">IF(G8484=1,"-",Tabela2[[#This Row],[Dt Venc:]]-TODAY())</f>
        <v>434</v>
      </c>
      <c r="G8484" s="3"/>
      <c r="H8484" s="3"/>
    </row>
    <row r="8485" spans="1:8">
      <c r="A8485" s="3">
        <v>919729</v>
      </c>
      <c r="B8485" s="7" t="s">
        <v>253</v>
      </c>
      <c r="C8485" s="87" t="s">
        <v>32</v>
      </c>
      <c r="D8485" s="6">
        <v>46127</v>
      </c>
      <c r="E8485" s="3" t="str">
        <f ca="1">IF(Tabela2[[#This Row],[Dt Venc:]]&gt;TODAY(),"Em Aberto",IF(Tabela2[[#This Row],[D/venc]]="-","Enviado",IF(Tabela2[[#This Row],[Dt Venc:]]=TODAY(),"Vence Hoje","Vencida")))</f>
        <v>Em Aberto</v>
      </c>
      <c r="F8485" s="3">
        <f ca="1">IF(G8485=1,"-",Tabela2[[#This Row],[Dt Venc:]]-TODAY())</f>
        <v>434</v>
      </c>
      <c r="G8485" s="3"/>
      <c r="H8485" s="3"/>
    </row>
    <row r="8486" spans="1:8">
      <c r="A8486" s="3">
        <v>37300</v>
      </c>
      <c r="B8486" s="7" t="s">
        <v>167</v>
      </c>
      <c r="C8486" s="100" t="s">
        <v>32</v>
      </c>
      <c r="D8486" s="6">
        <v>46128</v>
      </c>
      <c r="E8486" s="3" t="str">
        <f ca="1">IF(Tabela2[[#This Row],[Dt Venc:]]&gt;TODAY(),"Em Aberto",IF(Tabela2[[#This Row],[D/venc]]="-","Enviado",IF(Tabela2[[#This Row],[Dt Venc:]]=TODAY(),"Vence Hoje","Vencida")))</f>
        <v>Em Aberto</v>
      </c>
      <c r="F8486" s="3">
        <f ca="1">IF(G8486=1,"-",Tabela2[[#This Row],[Dt Venc:]]-TODAY())</f>
        <v>435</v>
      </c>
      <c r="G8486" s="3"/>
      <c r="H8486" s="3"/>
    </row>
    <row r="8487" spans="1:8">
      <c r="A8487" s="3">
        <v>37196</v>
      </c>
      <c r="B8487" s="7" t="s">
        <v>167</v>
      </c>
      <c r="C8487" s="87" t="s">
        <v>32</v>
      </c>
      <c r="D8487" s="6">
        <v>46129</v>
      </c>
      <c r="E8487" s="3" t="str">
        <f ca="1">IF(Tabela2[[#This Row],[Dt Venc:]]&gt;TODAY(),"Em Aberto",IF(Tabela2[[#This Row],[D/venc]]="-","Enviado",IF(Tabela2[[#This Row],[Dt Venc:]]=TODAY(),"Vence Hoje","Vencida")))</f>
        <v>Em Aberto</v>
      </c>
      <c r="F8487" s="3">
        <f ca="1">IF(G8487=1,"-",Tabela2[[#This Row],[Dt Venc:]]-TODAY())</f>
        <v>436</v>
      </c>
      <c r="G8487" s="3"/>
      <c r="H8487" s="3"/>
    </row>
    <row r="8488" spans="1:8">
      <c r="A8488" s="3">
        <v>37348</v>
      </c>
      <c r="B8488" s="7" t="s">
        <v>167</v>
      </c>
      <c r="C8488" s="100" t="s">
        <v>32</v>
      </c>
      <c r="D8488" s="6">
        <v>46134</v>
      </c>
      <c r="E8488" s="3" t="str">
        <f ca="1">IF(Tabela2[[#This Row],[Dt Venc:]]&gt;TODAY(),"Em Aberto",IF(Tabela2[[#This Row],[D/venc]]="-","Enviado",IF(Tabela2[[#This Row],[Dt Venc:]]=TODAY(),"Vence Hoje","Vencida")))</f>
        <v>Em Aberto</v>
      </c>
      <c r="F8488" s="3">
        <f ca="1">IF(G8488=1,"-",Tabela2[[#This Row],[Dt Venc:]]-TODAY())</f>
        <v>441</v>
      </c>
      <c r="G8488" s="3"/>
      <c r="H8488" s="3"/>
    </row>
    <row r="8489" spans="1:8">
      <c r="A8489" s="3">
        <v>654537</v>
      </c>
      <c r="B8489" s="7" t="s">
        <v>648</v>
      </c>
      <c r="C8489" s="87" t="s">
        <v>32</v>
      </c>
      <c r="D8489" s="6">
        <v>46135</v>
      </c>
      <c r="E8489" s="3" t="str">
        <f ca="1">IF(Tabela2[[#This Row],[Dt Venc:]]&gt;TODAY(),"Em Aberto",IF(Tabela2[[#This Row],[D/venc]]="-","Enviado",IF(Tabela2[[#This Row],[Dt Venc:]]=TODAY(),"Vence Hoje","Vencida")))</f>
        <v>Em Aberto</v>
      </c>
      <c r="F8489" s="3">
        <f ca="1">IF(G8489=1,"-",Tabela2[[#This Row],[Dt Venc:]]-TODAY())</f>
        <v>442</v>
      </c>
      <c r="G8489" s="3"/>
      <c r="H8489" s="3"/>
    </row>
    <row r="8490" spans="1:8">
      <c r="A8490" s="3">
        <v>495914</v>
      </c>
      <c r="B8490" s="7" t="s">
        <v>153</v>
      </c>
      <c r="C8490" s="99" t="s">
        <v>32</v>
      </c>
      <c r="D8490" s="6">
        <v>46137</v>
      </c>
      <c r="E8490" s="3" t="str">
        <f ca="1">IF(Tabela2[[#This Row],[Dt Venc:]]&gt;TODAY(),"Em Aberto",IF(Tabela2[[#This Row],[D/venc]]="-","Enviado",IF(Tabela2[[#This Row],[Dt Venc:]]=TODAY(),"Vence Hoje","Vencida")))</f>
        <v>Em Aberto</v>
      </c>
      <c r="F8490" s="3">
        <f ca="1">IF(G8490=1,"-",Tabela2[[#This Row],[Dt Venc:]]-TODAY())</f>
        <v>444</v>
      </c>
      <c r="G8490" s="3"/>
      <c r="H8490" s="3"/>
    </row>
    <row r="8491" spans="1:8">
      <c r="A8491" s="3">
        <v>5690</v>
      </c>
      <c r="B8491" s="7" t="s">
        <v>122</v>
      </c>
      <c r="C8491" s="100" t="s">
        <v>32</v>
      </c>
      <c r="D8491" s="6">
        <v>46139</v>
      </c>
      <c r="E8491" s="3" t="str">
        <f ca="1">IF(Tabela2[[#This Row],[Dt Venc:]]&gt;TODAY(),"Em Aberto",IF(Tabela2[[#This Row],[D/venc]]="-","Enviado",IF(Tabela2[[#This Row],[Dt Venc:]]=TODAY(),"Vence Hoje","Vencida")))</f>
        <v>Em Aberto</v>
      </c>
      <c r="F8491" s="3">
        <f ca="1">IF(G8491=1,"-",Tabela2[[#This Row],[Dt Venc:]]-TODAY())</f>
        <v>446</v>
      </c>
      <c r="G8491" s="3"/>
      <c r="H8491" s="3"/>
    </row>
    <row r="8492" spans="1:8">
      <c r="A8492" s="3">
        <v>11681</v>
      </c>
      <c r="B8492" s="7" t="s">
        <v>82</v>
      </c>
      <c r="C8492" s="87" t="s">
        <v>30</v>
      </c>
      <c r="D8492" s="6">
        <v>46142</v>
      </c>
      <c r="E8492" s="3" t="str">
        <f ca="1">IF(Tabela2[[#This Row],[Dt Venc:]]&gt;TODAY(),"Em Aberto",IF(Tabela2[[#This Row],[D/venc]]="-","Enviado",IF(Tabela2[[#This Row],[Dt Venc:]]=TODAY(),"Vence Hoje","Vencida")))</f>
        <v>Em Aberto</v>
      </c>
      <c r="F8492" s="3">
        <f ca="1">IF(G8492=1,"-",Tabela2[[#This Row],[Dt Venc:]]-TODAY())</f>
        <v>449</v>
      </c>
      <c r="G8492" s="3"/>
      <c r="H8492" s="3"/>
    </row>
    <row r="8493" spans="1:8">
      <c r="A8493" s="3" t="s">
        <v>28</v>
      </c>
      <c r="B8493" s="7" t="s">
        <v>391</v>
      </c>
      <c r="C8493" s="85" t="s">
        <v>30</v>
      </c>
      <c r="D8493" s="6">
        <v>46142</v>
      </c>
      <c r="E8493" s="3" t="str">
        <f ca="1">IF(Tabela2[[#This Row],[Dt Venc:]]&gt;TODAY(),"Em Aberto",IF(Tabela2[[#This Row],[D/venc]]="-","Enviado",IF(Tabela2[[#This Row],[Dt Venc:]]=TODAY(),"Vence Hoje","Vencida")))</f>
        <v>Em Aberto</v>
      </c>
      <c r="F8493" s="3">
        <f ca="1">IF(G8493=1,"-",Tabela2[[#This Row],[Dt Venc:]]-TODAY())</f>
        <v>449</v>
      </c>
      <c r="G8493" s="3"/>
      <c r="H8493" s="3"/>
    </row>
    <row r="8494" spans="1:8">
      <c r="A8494" s="3" t="s">
        <v>123</v>
      </c>
      <c r="B8494" s="7" t="s">
        <v>386</v>
      </c>
      <c r="C8494" s="87" t="s">
        <v>32</v>
      </c>
      <c r="D8494" s="6">
        <v>46142</v>
      </c>
      <c r="E8494" s="3" t="str">
        <f ca="1">IF(Tabela2[[#This Row],[Dt Venc:]]&gt;TODAY(),"Em Aberto",IF(Tabela2[[#This Row],[D/venc]]="-","Enviado",IF(Tabela2[[#This Row],[Dt Venc:]]=TODAY(),"Vence Hoje","Vencida")))</f>
        <v>Em Aberto</v>
      </c>
      <c r="F8494" s="3">
        <f ca="1">IF(G8494=1,"-",Tabela2[[#This Row],[Dt Venc:]]-TODAY())</f>
        <v>449</v>
      </c>
      <c r="G8494" s="3"/>
      <c r="H8494" s="3"/>
    </row>
    <row r="8495" spans="1:8">
      <c r="A8495" s="3">
        <v>36910</v>
      </c>
      <c r="B8495" s="7" t="s">
        <v>167</v>
      </c>
      <c r="C8495" s="99" t="s">
        <v>32</v>
      </c>
      <c r="D8495" s="6">
        <v>46143</v>
      </c>
      <c r="E8495" s="3" t="str">
        <f ca="1">IF(Tabela2[[#This Row],[Dt Venc:]]&gt;TODAY(),"Em Aberto",IF(Tabela2[[#This Row],[D/venc]]="-","Enviado",IF(Tabela2[[#This Row],[Dt Venc:]]=TODAY(),"Vence Hoje","Vencida")))</f>
        <v>Em Aberto</v>
      </c>
      <c r="F8495" s="3">
        <f ca="1">IF(G8495=1,"-",Tabela2[[#This Row],[Dt Venc:]]-TODAY())</f>
        <v>450</v>
      </c>
      <c r="G8495" s="3"/>
      <c r="H8495" s="3"/>
    </row>
    <row r="8496" spans="1:8">
      <c r="A8496" s="3">
        <v>10494</v>
      </c>
      <c r="B8496" s="7" t="s">
        <v>82</v>
      </c>
      <c r="C8496" s="88" t="s">
        <v>30</v>
      </c>
      <c r="D8496" s="6">
        <v>46145</v>
      </c>
      <c r="E8496" s="3" t="str">
        <f ca="1">IF(Tabela2[[#This Row],[Dt Venc:]]&gt;TODAY(),"Em Aberto",IF(Tabela2[[#This Row],[D/venc]]="-","Enviado",IF(Tabela2[[#This Row],[Dt Venc:]]=TODAY(),"Vence Hoje","Vencida")))</f>
        <v>Em Aberto</v>
      </c>
      <c r="F8496" s="3">
        <f ca="1">IF(G8496=1,"-",Tabela2[[#This Row],[Dt Venc:]]-TODAY())</f>
        <v>452</v>
      </c>
      <c r="G8496" s="3"/>
      <c r="H8496" s="3"/>
    </row>
    <row r="8497" spans="1:8">
      <c r="A8497" s="3">
        <v>5680</v>
      </c>
      <c r="B8497" s="7" t="s">
        <v>122</v>
      </c>
      <c r="C8497" s="99" t="s">
        <v>32</v>
      </c>
      <c r="D8497" s="6">
        <v>46147</v>
      </c>
      <c r="E8497" s="3" t="str">
        <f ca="1">IF(Tabela2[[#This Row],[Dt Venc:]]&gt;TODAY(),"Em Aberto",IF(Tabela2[[#This Row],[D/venc]]="-","Enviado",IF(Tabela2[[#This Row],[Dt Venc:]]=TODAY(),"Vence Hoje","Vencida")))</f>
        <v>Em Aberto</v>
      </c>
      <c r="F8497" s="3">
        <f ca="1">IF(G8497=1,"-",Tabela2[[#This Row],[Dt Venc:]]-TODAY())</f>
        <v>454</v>
      </c>
      <c r="G8497" s="3"/>
      <c r="H8497" s="3"/>
    </row>
    <row r="8498" spans="1:8">
      <c r="A8498" s="3">
        <v>10353</v>
      </c>
      <c r="B8498" s="7" t="s">
        <v>82</v>
      </c>
      <c r="C8498" s="100" t="s">
        <v>32</v>
      </c>
      <c r="D8498" s="6">
        <v>46147</v>
      </c>
      <c r="E8498" s="3" t="str">
        <f ca="1">IF(Tabela2[[#This Row],[Dt Venc:]]&gt;TODAY(),"Em Aberto",IF(Tabela2[[#This Row],[D/venc]]="-","Enviado",IF(Tabela2[[#This Row],[Dt Venc:]]=TODAY(),"Vence Hoje","Vencida")))</f>
        <v>Em Aberto</v>
      </c>
      <c r="F8498" s="3">
        <f ca="1">IF(G8498=1,"-",Tabela2[[#This Row],[Dt Venc:]]-TODAY())</f>
        <v>454</v>
      </c>
      <c r="G8498" s="3"/>
      <c r="H8498" s="3"/>
    </row>
    <row r="8499" spans="1:8">
      <c r="A8499" s="3">
        <v>284620</v>
      </c>
      <c r="B8499" s="7" t="s">
        <v>153</v>
      </c>
      <c r="C8499" s="99" t="s">
        <v>32</v>
      </c>
      <c r="D8499" s="6">
        <v>46150</v>
      </c>
      <c r="E8499" s="3" t="str">
        <f ca="1">IF(Tabela2[[#This Row],[Dt Venc:]]&gt;TODAY(),"Em Aberto",IF(Tabela2[[#This Row],[D/venc]]="-","Enviado",IF(Tabela2[[#This Row],[Dt Venc:]]=TODAY(),"Vence Hoje","Vencida")))</f>
        <v>Em Aberto</v>
      </c>
      <c r="F8499" s="3">
        <f ca="1">IF(G8499=1,"-",Tabela2[[#This Row],[Dt Venc:]]-TODAY())</f>
        <v>457</v>
      </c>
      <c r="G8499" s="3"/>
      <c r="H8499" s="3"/>
    </row>
    <row r="8500" spans="1:8">
      <c r="A8500" s="3">
        <v>36949</v>
      </c>
      <c r="B8500" s="7" t="s">
        <v>167</v>
      </c>
      <c r="C8500" s="100" t="s">
        <v>32</v>
      </c>
      <c r="D8500" s="6">
        <v>46151</v>
      </c>
      <c r="E8500" s="3" t="str">
        <f ca="1">IF(Tabela2[[#This Row],[Dt Venc:]]&gt;TODAY(),"Em Aberto",IF(Tabela2[[#This Row],[D/venc]]="-","Enviado",IF(Tabela2[[#This Row],[Dt Venc:]]=TODAY(),"Vence Hoje","Vencida")))</f>
        <v>Em Aberto</v>
      </c>
      <c r="F8500" s="3">
        <f ca="1">IF(G8500=1,"-",Tabela2[[#This Row],[Dt Venc:]]-TODAY())</f>
        <v>458</v>
      </c>
      <c r="G8500" s="3"/>
      <c r="H8500" s="3"/>
    </row>
    <row r="8501" spans="1:8">
      <c r="A8501" s="3">
        <v>756561</v>
      </c>
      <c r="B8501" s="7" t="s">
        <v>166</v>
      </c>
      <c r="C8501" s="100" t="s">
        <v>32</v>
      </c>
      <c r="D8501" s="6">
        <v>46151</v>
      </c>
      <c r="E8501" s="3" t="str">
        <f ca="1">IF(Tabela2[[#This Row],[Dt Venc:]]&gt;TODAY(),"Em Aberto",IF(Tabela2[[#This Row],[D/venc]]="-","Enviado",IF(Tabela2[[#This Row],[Dt Venc:]]=TODAY(),"Vence Hoje","Vencida")))</f>
        <v>Em Aberto</v>
      </c>
      <c r="F8501" s="3">
        <f ca="1">IF(G8501=1,"-",Tabela2[[#This Row],[Dt Venc:]]-TODAY())</f>
        <v>458</v>
      </c>
      <c r="G8501" s="3"/>
      <c r="H8501" s="3"/>
    </row>
    <row r="8502" spans="1:8">
      <c r="A8502" s="3" t="s">
        <v>179</v>
      </c>
      <c r="B8502" s="7" t="s">
        <v>190</v>
      </c>
      <c r="C8502" s="100" t="s">
        <v>32</v>
      </c>
      <c r="D8502" s="6">
        <v>46152</v>
      </c>
      <c r="E8502" s="3" t="str">
        <f ca="1">IF(Tabela2[[#This Row],[Dt Venc:]]&gt;TODAY(),"Em Aberto",IF(Tabela2[[#This Row],[D/venc]]="-","Enviado",IF(Tabela2[[#This Row],[Dt Venc:]]=TODAY(),"Vence Hoje","Vencida")))</f>
        <v>Em Aberto</v>
      </c>
      <c r="F8502" s="3">
        <f ca="1">IF(G8502=1,"-",Tabela2[[#This Row],[Dt Venc:]]-TODAY())</f>
        <v>459</v>
      </c>
      <c r="G8502" s="3"/>
      <c r="H8502" s="3"/>
    </row>
    <row r="8503" spans="1:8">
      <c r="A8503" s="3">
        <v>37292</v>
      </c>
      <c r="B8503" s="7" t="s">
        <v>167</v>
      </c>
      <c r="C8503" s="100" t="s">
        <v>32</v>
      </c>
      <c r="D8503" s="6">
        <v>46153</v>
      </c>
      <c r="E8503" s="3" t="str">
        <f ca="1">IF(Tabela2[[#This Row],[Dt Venc:]]&gt;TODAY(),"Em Aberto",IF(Tabela2[[#This Row],[D/venc]]="-","Enviado",IF(Tabela2[[#This Row],[Dt Venc:]]=TODAY(),"Vence Hoje","Vencida")))</f>
        <v>Em Aberto</v>
      </c>
      <c r="F8503" s="3">
        <f ca="1">IF(G8503=1,"-",Tabela2[[#This Row],[Dt Venc:]]-TODAY())</f>
        <v>460</v>
      </c>
      <c r="G8503" s="3"/>
      <c r="H8503" s="3"/>
    </row>
    <row r="8504" spans="1:8">
      <c r="A8504" s="3">
        <v>37327</v>
      </c>
      <c r="B8504" s="7" t="s">
        <v>167</v>
      </c>
      <c r="C8504" s="100" t="s">
        <v>32</v>
      </c>
      <c r="D8504" s="6">
        <v>46153</v>
      </c>
      <c r="E8504" s="3" t="str">
        <f ca="1">IF(Tabela2[[#This Row],[Dt Venc:]]&gt;TODAY(),"Em Aberto",IF(Tabela2[[#This Row],[D/venc]]="-","Enviado",IF(Tabela2[[#This Row],[Dt Venc:]]=TODAY(),"Vence Hoje","Vencida")))</f>
        <v>Em Aberto</v>
      </c>
      <c r="F8504" s="3">
        <f ca="1">IF(G8504=1,"-",Tabela2[[#This Row],[Dt Venc:]]-TODAY())</f>
        <v>460</v>
      </c>
      <c r="G8504" s="3"/>
      <c r="H8504" s="3"/>
    </row>
    <row r="8505" spans="1:8">
      <c r="A8505" s="3">
        <v>562</v>
      </c>
      <c r="B8505" s="7" t="s">
        <v>251</v>
      </c>
      <c r="C8505" s="100" t="s">
        <v>32</v>
      </c>
      <c r="D8505" s="6">
        <v>46157</v>
      </c>
      <c r="E8505" s="3" t="str">
        <f ca="1">IF(Tabela2[[#This Row],[Dt Venc:]]&gt;TODAY(),"Em Aberto",IF(Tabela2[[#This Row],[D/venc]]="-","Enviado",IF(Tabela2[[#This Row],[Dt Venc:]]=TODAY(),"Vence Hoje","Vencida")))</f>
        <v>Em Aberto</v>
      </c>
      <c r="F8505" s="3">
        <f ca="1">IF(G8505=1,"-",Tabela2[[#This Row],[Dt Venc:]]-TODAY())</f>
        <v>464</v>
      </c>
      <c r="G8505" s="3"/>
      <c r="H8505" s="3"/>
    </row>
    <row r="8506" spans="1:8">
      <c r="A8506" s="3">
        <v>103015</v>
      </c>
      <c r="B8506" s="7" t="s">
        <v>252</v>
      </c>
      <c r="C8506" s="100" t="s">
        <v>32</v>
      </c>
      <c r="D8506" s="6">
        <v>46157</v>
      </c>
      <c r="E8506" s="3" t="str">
        <f ca="1">IF(Tabela2[[#This Row],[Dt Venc:]]&gt;TODAY(),"Em Aberto",IF(Tabela2[[#This Row],[D/venc]]="-","Enviado",IF(Tabela2[[#This Row],[Dt Venc:]]=TODAY(),"Vence Hoje","Vencida")))</f>
        <v>Em Aberto</v>
      </c>
      <c r="F8506" s="3">
        <f ca="1">IF(G8506=1,"-",Tabela2[[#This Row],[Dt Venc:]]-TODAY())</f>
        <v>464</v>
      </c>
      <c r="G8506" s="3"/>
      <c r="H8506" s="3"/>
    </row>
    <row r="8507" spans="1:8">
      <c r="A8507" s="3">
        <v>103077</v>
      </c>
      <c r="B8507" s="7" t="s">
        <v>252</v>
      </c>
      <c r="C8507" s="100" t="s">
        <v>32</v>
      </c>
      <c r="D8507" s="6">
        <v>46157</v>
      </c>
      <c r="E8507" s="3" t="str">
        <f ca="1">IF(Tabela2[[#This Row],[Dt Venc:]]&gt;TODAY(),"Em Aberto",IF(Tabela2[[#This Row],[D/venc]]="-","Enviado",IF(Tabela2[[#This Row],[Dt Venc:]]=TODAY(),"Vence Hoje","Vencida")))</f>
        <v>Em Aberto</v>
      </c>
      <c r="F8507" s="3">
        <f ca="1">IF(G8507=1,"-",Tabela2[[#This Row],[Dt Venc:]]-TODAY())</f>
        <v>464</v>
      </c>
      <c r="G8507" s="3"/>
      <c r="H8507" s="3"/>
    </row>
    <row r="8508" spans="1:8">
      <c r="A8508" s="3">
        <v>103153</v>
      </c>
      <c r="B8508" s="7" t="s">
        <v>252</v>
      </c>
      <c r="C8508" s="87" t="s">
        <v>32</v>
      </c>
      <c r="D8508" s="6">
        <v>46157</v>
      </c>
      <c r="E8508" s="3" t="str">
        <f ca="1">IF(Tabela2[[#This Row],[Dt Venc:]]&gt;TODAY(),"Em Aberto",IF(Tabela2[[#This Row],[D/venc]]="-","Enviado",IF(Tabela2[[#This Row],[Dt Venc:]]=TODAY(),"Vence Hoje","Vencida")))</f>
        <v>Em Aberto</v>
      </c>
      <c r="F8508" s="3">
        <f ca="1">IF(G8508=1,"-",Tabela2[[#This Row],[Dt Venc:]]-TODAY())</f>
        <v>464</v>
      </c>
      <c r="G8508" s="3"/>
      <c r="H8508" s="3"/>
    </row>
    <row r="8509" spans="1:8">
      <c r="A8509" s="3">
        <v>103154</v>
      </c>
      <c r="B8509" s="7" t="s">
        <v>252</v>
      </c>
      <c r="C8509" s="100" t="s">
        <v>32</v>
      </c>
      <c r="D8509" s="6">
        <v>46157</v>
      </c>
      <c r="E8509" s="3" t="str">
        <f ca="1">IF(Tabela2[[#This Row],[Dt Venc:]]&gt;TODAY(),"Em Aberto",IF(Tabela2[[#This Row],[D/venc]]="-","Enviado",IF(Tabela2[[#This Row],[Dt Venc:]]=TODAY(),"Vence Hoje","Vencida")))</f>
        <v>Em Aberto</v>
      </c>
      <c r="F8509" s="3">
        <f ca="1">IF(G8509=1,"-",Tabela2[[#This Row],[Dt Venc:]]-TODAY())</f>
        <v>464</v>
      </c>
      <c r="G8509" s="3"/>
      <c r="H8509" s="3"/>
    </row>
    <row r="8510" spans="1:8">
      <c r="A8510" s="3">
        <v>106007</v>
      </c>
      <c r="B8510" s="7" t="s">
        <v>252</v>
      </c>
      <c r="C8510" s="100" t="s">
        <v>32</v>
      </c>
      <c r="D8510" s="6">
        <v>46157</v>
      </c>
      <c r="E8510" s="3" t="str">
        <f ca="1">IF(Tabela2[[#This Row],[Dt Venc:]]&gt;TODAY(),"Em Aberto",IF(Tabela2[[#This Row],[D/venc]]="-","Enviado",IF(Tabela2[[#This Row],[Dt Venc:]]=TODAY(),"Vence Hoje","Vencida")))</f>
        <v>Em Aberto</v>
      </c>
      <c r="F8510" s="3">
        <f ca="1">IF(G8510=1,"-",Tabela2[[#This Row],[Dt Venc:]]-TODAY())</f>
        <v>464</v>
      </c>
      <c r="G8510" s="3"/>
      <c r="H8510" s="3"/>
    </row>
    <row r="8511" spans="1:8">
      <c r="A8511" s="3">
        <v>106043</v>
      </c>
      <c r="B8511" s="7" t="s">
        <v>252</v>
      </c>
      <c r="C8511" s="100" t="s">
        <v>32</v>
      </c>
      <c r="D8511" s="6">
        <v>46157</v>
      </c>
      <c r="E8511" s="3" t="str">
        <f ca="1">IF(Tabela2[[#This Row],[Dt Venc:]]&gt;TODAY(),"Em Aberto",IF(Tabela2[[#This Row],[D/venc]]="-","Enviado",IF(Tabela2[[#This Row],[Dt Venc:]]=TODAY(),"Vence Hoje","Vencida")))</f>
        <v>Em Aberto</v>
      </c>
      <c r="F8511" s="3">
        <f ca="1">IF(G8511=1,"-",Tabela2[[#This Row],[Dt Venc:]]-TODAY())</f>
        <v>464</v>
      </c>
      <c r="G8511" s="3"/>
      <c r="H8511" s="3"/>
    </row>
    <row r="8512" spans="1:8">
      <c r="A8512" s="3">
        <v>107829</v>
      </c>
      <c r="B8512" s="7" t="s">
        <v>252</v>
      </c>
      <c r="C8512" s="100" t="s">
        <v>32</v>
      </c>
      <c r="D8512" s="6">
        <v>46157</v>
      </c>
      <c r="E8512" s="3" t="str">
        <f ca="1">IF(Tabela2[[#This Row],[Dt Venc:]]&gt;TODAY(),"Em Aberto",IF(Tabela2[[#This Row],[D/venc]]="-","Enviado",IF(Tabela2[[#This Row],[Dt Venc:]]=TODAY(),"Vence Hoje","Vencida")))</f>
        <v>Em Aberto</v>
      </c>
      <c r="F8512" s="3">
        <f ca="1">IF(G8512=1,"-",Tabela2[[#This Row],[Dt Venc:]]-TODAY())</f>
        <v>464</v>
      </c>
      <c r="G8512" s="3"/>
      <c r="H8512" s="3"/>
    </row>
    <row r="8513" spans="1:8">
      <c r="A8513" s="3">
        <v>107830</v>
      </c>
      <c r="B8513" s="7" t="s">
        <v>252</v>
      </c>
      <c r="C8513" s="87" t="s">
        <v>32</v>
      </c>
      <c r="D8513" s="6">
        <v>46157</v>
      </c>
      <c r="E8513" s="3" t="str">
        <f ca="1">IF(Tabela2[[#This Row],[Dt Venc:]]&gt;TODAY(),"Em Aberto",IF(Tabela2[[#This Row],[D/venc]]="-","Enviado",IF(Tabela2[[#This Row],[Dt Venc:]]=TODAY(),"Vence Hoje","Vencida")))</f>
        <v>Em Aberto</v>
      </c>
      <c r="F8513" s="3">
        <f ca="1">IF(G8513=1,"-",Tabela2[[#This Row],[Dt Venc:]]-TODAY())</f>
        <v>464</v>
      </c>
      <c r="G8513" s="3"/>
      <c r="H8513" s="3"/>
    </row>
    <row r="8514" spans="1:8">
      <c r="A8514" s="3">
        <v>107831</v>
      </c>
      <c r="B8514" s="7" t="s">
        <v>252</v>
      </c>
      <c r="C8514" s="100" t="s">
        <v>32</v>
      </c>
      <c r="D8514" s="6">
        <v>46157</v>
      </c>
      <c r="E8514" s="3" t="str">
        <f ca="1">IF(Tabela2[[#This Row],[Dt Venc:]]&gt;TODAY(),"Em Aberto",IF(Tabela2[[#This Row],[D/venc]]="-","Enviado",IF(Tabela2[[#This Row],[Dt Venc:]]=TODAY(),"Vence Hoje","Vencida")))</f>
        <v>Em Aberto</v>
      </c>
      <c r="F8514" s="3">
        <f ca="1">IF(G8514=1,"-",Tabela2[[#This Row],[Dt Venc:]]-TODAY())</f>
        <v>464</v>
      </c>
      <c r="G8514" s="3"/>
      <c r="H8514" s="3"/>
    </row>
    <row r="8515" spans="1:8">
      <c r="A8515" s="3">
        <v>107832</v>
      </c>
      <c r="B8515" s="7" t="s">
        <v>252</v>
      </c>
      <c r="C8515" s="100" t="s">
        <v>32</v>
      </c>
      <c r="D8515" s="6">
        <v>46157</v>
      </c>
      <c r="E8515" s="3" t="str">
        <f ca="1">IF(Tabela2[[#This Row],[Dt Venc:]]&gt;TODAY(),"Em Aberto",IF(Tabela2[[#This Row],[D/venc]]="-","Enviado",IF(Tabela2[[#This Row],[Dt Venc:]]=TODAY(),"Vence Hoje","Vencida")))</f>
        <v>Em Aberto</v>
      </c>
      <c r="F8515" s="3">
        <f ca="1">IF(G8515=1,"-",Tabela2[[#This Row],[Dt Venc:]]-TODAY())</f>
        <v>464</v>
      </c>
      <c r="G8515" s="3"/>
      <c r="H8515" s="3"/>
    </row>
    <row r="8516" spans="1:8">
      <c r="A8516" s="3">
        <v>361229</v>
      </c>
      <c r="B8516" s="7" t="s">
        <v>250</v>
      </c>
      <c r="C8516" s="100" t="s">
        <v>32</v>
      </c>
      <c r="D8516" s="6">
        <v>46157</v>
      </c>
      <c r="E8516" s="3" t="str">
        <f ca="1">IF(Tabela2[[#This Row],[Dt Venc:]]&gt;TODAY(),"Em Aberto",IF(Tabela2[[#This Row],[D/venc]]="-","Enviado",IF(Tabela2[[#This Row],[Dt Venc:]]=TODAY(),"Vence Hoje","Vencida")))</f>
        <v>Em Aberto</v>
      </c>
      <c r="F8516" s="3">
        <f ca="1">IF(G8516=1,"-",Tabela2[[#This Row],[Dt Venc:]]-TODAY())</f>
        <v>464</v>
      </c>
      <c r="G8516" s="3"/>
      <c r="H8516" s="3"/>
    </row>
    <row r="8517" spans="1:8">
      <c r="A8517" s="3">
        <v>361237</v>
      </c>
      <c r="B8517" s="7" t="s">
        <v>250</v>
      </c>
      <c r="C8517" s="100" t="s">
        <v>32</v>
      </c>
      <c r="D8517" s="6">
        <v>46157</v>
      </c>
      <c r="E8517" s="3" t="str">
        <f ca="1">IF(Tabela2[[#This Row],[Dt Venc:]]&gt;TODAY(),"Em Aberto",IF(Tabela2[[#This Row],[D/venc]]="-","Enviado",IF(Tabela2[[#This Row],[Dt Venc:]]=TODAY(),"Vence Hoje","Vencida")))</f>
        <v>Em Aberto</v>
      </c>
      <c r="F8517" s="3">
        <f ca="1">IF(G8517=1,"-",Tabela2[[#This Row],[Dt Venc:]]-TODAY())</f>
        <v>464</v>
      </c>
      <c r="G8517" s="3"/>
      <c r="H8517" s="3"/>
    </row>
    <row r="8518" spans="1:8">
      <c r="A8518" s="3">
        <v>365658</v>
      </c>
      <c r="B8518" s="7" t="s">
        <v>250</v>
      </c>
      <c r="C8518" s="100" t="s">
        <v>32</v>
      </c>
      <c r="D8518" s="6">
        <v>46157</v>
      </c>
      <c r="E8518" s="3" t="str">
        <f ca="1">IF(Tabela2[[#This Row],[Dt Venc:]]&gt;TODAY(),"Em Aberto",IF(Tabela2[[#This Row],[D/venc]]="-","Enviado",IF(Tabela2[[#This Row],[Dt Venc:]]=TODAY(),"Vence Hoje","Vencida")))</f>
        <v>Em Aberto</v>
      </c>
      <c r="F8518" s="3">
        <f ca="1">IF(G8518=1,"-",Tabela2[[#This Row],[Dt Venc:]]-TODAY())</f>
        <v>464</v>
      </c>
      <c r="G8518" s="3"/>
      <c r="H8518" s="3"/>
    </row>
    <row r="8519" spans="1:8">
      <c r="A8519" s="3">
        <v>365666</v>
      </c>
      <c r="B8519" s="7" t="s">
        <v>250</v>
      </c>
      <c r="C8519" s="100" t="s">
        <v>32</v>
      </c>
      <c r="D8519" s="6">
        <v>46157</v>
      </c>
      <c r="E8519" s="3" t="str">
        <f ca="1">IF(Tabela2[[#This Row],[Dt Venc:]]&gt;TODAY(),"Em Aberto",IF(Tabela2[[#This Row],[D/venc]]="-","Enviado",IF(Tabela2[[#This Row],[Dt Venc:]]=TODAY(),"Vence Hoje","Vencida")))</f>
        <v>Em Aberto</v>
      </c>
      <c r="F8519" s="3">
        <f ca="1">IF(G8519=1,"-",Tabela2[[#This Row],[Dt Venc:]]-TODAY())</f>
        <v>464</v>
      </c>
      <c r="G8519" s="3"/>
      <c r="H8519" s="3"/>
    </row>
    <row r="8520" spans="1:8">
      <c r="A8520" s="3">
        <v>365674</v>
      </c>
      <c r="B8520" s="7" t="s">
        <v>250</v>
      </c>
      <c r="C8520" s="100" t="s">
        <v>32</v>
      </c>
      <c r="D8520" s="6">
        <v>46157</v>
      </c>
      <c r="E8520" s="3" t="str">
        <f ca="1">IF(Tabela2[[#This Row],[Dt Venc:]]&gt;TODAY(),"Em Aberto",IF(Tabela2[[#This Row],[D/venc]]="-","Enviado",IF(Tabela2[[#This Row],[Dt Venc:]]=TODAY(),"Vence Hoje","Vencida")))</f>
        <v>Em Aberto</v>
      </c>
      <c r="F8520" s="3">
        <f ca="1">IF(G8520=1,"-",Tabela2[[#This Row],[Dt Venc:]]-TODAY())</f>
        <v>464</v>
      </c>
      <c r="G8520" s="3"/>
      <c r="H8520" s="3"/>
    </row>
    <row r="8521" spans="1:8">
      <c r="A8521" s="3">
        <v>365682</v>
      </c>
      <c r="B8521" s="7" t="s">
        <v>250</v>
      </c>
      <c r="C8521" s="100" t="s">
        <v>32</v>
      </c>
      <c r="D8521" s="6">
        <v>46157</v>
      </c>
      <c r="E8521" s="3" t="str">
        <f ca="1">IF(Tabela2[[#This Row],[Dt Venc:]]&gt;TODAY(),"Em Aberto",IF(Tabela2[[#This Row],[D/venc]]="-","Enviado",IF(Tabela2[[#This Row],[Dt Venc:]]=TODAY(),"Vence Hoje","Vencida")))</f>
        <v>Em Aberto</v>
      </c>
      <c r="F8521" s="3">
        <f ca="1">IF(G8521=1,"-",Tabela2[[#This Row],[Dt Venc:]]-TODAY())</f>
        <v>464</v>
      </c>
      <c r="G8521" s="3"/>
      <c r="H8521" s="3"/>
    </row>
    <row r="8522" spans="1:8">
      <c r="A8522" s="3">
        <v>369335</v>
      </c>
      <c r="B8522" s="7" t="s">
        <v>543</v>
      </c>
      <c r="C8522" s="87" t="s">
        <v>32</v>
      </c>
      <c r="D8522" s="6">
        <v>46157</v>
      </c>
      <c r="E8522" s="3" t="str">
        <f ca="1">IF(Tabela2[[#This Row],[Dt Venc:]]&gt;TODAY(),"Em Aberto",IF(Tabela2[[#This Row],[D/venc]]="-","Enviado",IF(Tabela2[[#This Row],[Dt Venc:]]=TODAY(),"Vence Hoje","Vencida")))</f>
        <v>Em Aberto</v>
      </c>
      <c r="F8522" s="3">
        <f ca="1">IF(G8522=1,"-",Tabela2[[#This Row],[Dt Venc:]]-TODAY())</f>
        <v>464</v>
      </c>
      <c r="G8522" s="3"/>
      <c r="H8522" s="3"/>
    </row>
    <row r="8523" spans="1:8">
      <c r="A8523" s="3">
        <v>369696</v>
      </c>
      <c r="B8523" s="7" t="s">
        <v>543</v>
      </c>
      <c r="C8523" s="87" t="s">
        <v>32</v>
      </c>
      <c r="D8523" s="6">
        <v>46157</v>
      </c>
      <c r="E8523" s="3" t="str">
        <f ca="1">IF(Tabela2[[#This Row],[Dt Venc:]]&gt;TODAY(),"Em Aberto",IF(Tabela2[[#This Row],[D/venc]]="-","Enviado",IF(Tabela2[[#This Row],[Dt Venc:]]=TODAY(),"Vence Hoje","Vencida")))</f>
        <v>Em Aberto</v>
      </c>
      <c r="F8523" s="3">
        <f ca="1">IF(G8523=1,"-",Tabela2[[#This Row],[Dt Venc:]]-TODAY())</f>
        <v>464</v>
      </c>
      <c r="G8523" s="3"/>
      <c r="H8523" s="3"/>
    </row>
    <row r="8524" spans="1:8">
      <c r="A8524" s="3">
        <v>369726</v>
      </c>
      <c r="B8524" s="7" t="s">
        <v>543</v>
      </c>
      <c r="C8524" s="87" t="s">
        <v>32</v>
      </c>
      <c r="D8524" s="6">
        <v>46157</v>
      </c>
      <c r="E8524" s="3" t="str">
        <f ca="1">IF(Tabela2[[#This Row],[Dt Venc:]]&gt;TODAY(),"Em Aberto",IF(Tabela2[[#This Row],[D/venc]]="-","Enviado",IF(Tabela2[[#This Row],[Dt Venc:]]=TODAY(),"Vence Hoje","Vencida")))</f>
        <v>Em Aberto</v>
      </c>
      <c r="F8524" s="3">
        <f ca="1">IF(G8524=1,"-",Tabela2[[#This Row],[Dt Venc:]]-TODAY())</f>
        <v>464</v>
      </c>
      <c r="G8524" s="3"/>
      <c r="H8524" s="3"/>
    </row>
    <row r="8525" spans="1:8">
      <c r="A8525" s="3">
        <v>369751</v>
      </c>
      <c r="B8525" s="7" t="s">
        <v>543</v>
      </c>
      <c r="C8525" s="87" t="s">
        <v>32</v>
      </c>
      <c r="D8525" s="6">
        <v>46157</v>
      </c>
      <c r="E8525" s="3" t="str">
        <f ca="1">IF(Tabela2[[#This Row],[Dt Venc:]]&gt;TODAY(),"Em Aberto",IF(Tabela2[[#This Row],[D/venc]]="-","Enviado",IF(Tabela2[[#This Row],[Dt Venc:]]=TODAY(),"Vence Hoje","Vencida")))</f>
        <v>Em Aberto</v>
      </c>
      <c r="F8525" s="3">
        <f ca="1">IF(G8525=1,"-",Tabela2[[#This Row],[Dt Venc:]]-TODAY())</f>
        <v>464</v>
      </c>
      <c r="G8525" s="3"/>
      <c r="H8525" s="3"/>
    </row>
    <row r="8526" spans="1:8">
      <c r="A8526" s="3">
        <v>370201</v>
      </c>
      <c r="B8526" s="7" t="s">
        <v>543</v>
      </c>
      <c r="C8526" s="87" t="s">
        <v>32</v>
      </c>
      <c r="D8526" s="6">
        <v>46157</v>
      </c>
      <c r="E8526" s="3" t="str">
        <f ca="1">IF(Tabela2[[#This Row],[Dt Venc:]]&gt;TODAY(),"Em Aberto",IF(Tabela2[[#This Row],[D/venc]]="-","Enviado",IF(Tabela2[[#This Row],[Dt Venc:]]=TODAY(),"Vence Hoje","Vencida")))</f>
        <v>Em Aberto</v>
      </c>
      <c r="F8526" s="3">
        <f ca="1">IF(G8526=1,"-",Tabela2[[#This Row],[Dt Venc:]]-TODAY())</f>
        <v>464</v>
      </c>
      <c r="G8526" s="3"/>
      <c r="H8526" s="3"/>
    </row>
    <row r="8527" spans="1:8">
      <c r="A8527" s="3">
        <v>370864</v>
      </c>
      <c r="B8527" s="7" t="s">
        <v>543</v>
      </c>
      <c r="C8527" s="87" t="s">
        <v>32</v>
      </c>
      <c r="D8527" s="6">
        <v>46157</v>
      </c>
      <c r="E8527" s="3" t="str">
        <f ca="1">IF(Tabela2[[#This Row],[Dt Venc:]]&gt;TODAY(),"Em Aberto",IF(Tabela2[[#This Row],[D/venc]]="-","Enviado",IF(Tabela2[[#This Row],[Dt Venc:]]=TODAY(),"Vence Hoje","Vencida")))</f>
        <v>Em Aberto</v>
      </c>
      <c r="F8527" s="3">
        <f ca="1">IF(G8527=1,"-",Tabela2[[#This Row],[Dt Venc:]]-TODAY())</f>
        <v>464</v>
      </c>
      <c r="G8527" s="3"/>
      <c r="H8527" s="3"/>
    </row>
    <row r="8528" spans="1:8">
      <c r="A8528" s="3">
        <v>371011</v>
      </c>
      <c r="B8528" s="7" t="s">
        <v>633</v>
      </c>
      <c r="C8528" s="87" t="s">
        <v>32</v>
      </c>
      <c r="D8528" s="6">
        <v>46157</v>
      </c>
      <c r="E8528" s="3" t="str">
        <f ca="1">IF(Tabela2[[#This Row],[Dt Venc:]]&gt;TODAY(),"Em Aberto",IF(Tabela2[[#This Row],[D/venc]]="-","Enviado",IF(Tabela2[[#This Row],[Dt Venc:]]=TODAY(),"Vence Hoje","Vencida")))</f>
        <v>Em Aberto</v>
      </c>
      <c r="F8528" s="3">
        <f ca="1">IF(G8528=1,"-",Tabela2[[#This Row],[Dt Venc:]]-TODAY())</f>
        <v>464</v>
      </c>
      <c r="G8528" s="3"/>
      <c r="H8528" s="3"/>
    </row>
    <row r="8529" spans="1:8">
      <c r="A8529" s="3">
        <v>371160</v>
      </c>
      <c r="B8529" s="7" t="s">
        <v>633</v>
      </c>
      <c r="C8529" s="87" t="s">
        <v>32</v>
      </c>
      <c r="D8529" s="6">
        <v>46157</v>
      </c>
      <c r="E8529" s="3" t="str">
        <f ca="1">IF(Tabela2[[#This Row],[Dt Venc:]]&gt;TODAY(),"Em Aberto",IF(Tabela2[[#This Row],[D/venc]]="-","Enviado",IF(Tabela2[[#This Row],[Dt Venc:]]=TODAY(),"Vence Hoje","Vencida")))</f>
        <v>Em Aberto</v>
      </c>
      <c r="F8529" s="3">
        <f ca="1">IF(G8529=1,"-",Tabela2[[#This Row],[Dt Venc:]]-TODAY())</f>
        <v>464</v>
      </c>
      <c r="G8529" s="3"/>
      <c r="H8529" s="3"/>
    </row>
    <row r="8530" spans="1:8">
      <c r="A8530" s="3">
        <v>748099</v>
      </c>
      <c r="B8530" s="7" t="s">
        <v>81</v>
      </c>
      <c r="C8530" s="100" t="s">
        <v>32</v>
      </c>
      <c r="D8530" s="6">
        <v>46157</v>
      </c>
      <c r="E8530" s="3" t="str">
        <f ca="1">IF(Tabela2[[#This Row],[Dt Venc:]]&gt;TODAY(),"Em Aberto",IF(Tabela2[[#This Row],[D/venc]]="-","Enviado",IF(Tabela2[[#This Row],[Dt Venc:]]=TODAY(),"Vence Hoje","Vencida")))</f>
        <v>Em Aberto</v>
      </c>
      <c r="F8530" s="3">
        <f ca="1">IF(G8530=1,"-",Tabela2[[#This Row],[Dt Venc:]]-TODAY())</f>
        <v>464</v>
      </c>
      <c r="G8530" s="3"/>
      <c r="H8530" s="3"/>
    </row>
    <row r="8531" spans="1:8">
      <c r="A8531" s="3">
        <v>892178</v>
      </c>
      <c r="B8531" s="7" t="s">
        <v>253</v>
      </c>
      <c r="C8531" s="100" t="s">
        <v>32</v>
      </c>
      <c r="D8531" s="6">
        <v>46157</v>
      </c>
      <c r="E8531" s="3" t="str">
        <f ca="1">IF(Tabela2[[#This Row],[Dt Venc:]]&gt;TODAY(),"Em Aberto",IF(Tabela2[[#This Row],[D/venc]]="-","Enviado",IF(Tabela2[[#This Row],[Dt Venc:]]=TODAY(),"Vence Hoje","Vencida")))</f>
        <v>Em Aberto</v>
      </c>
      <c r="F8531" s="3">
        <f ca="1">IF(G8531=1,"-",Tabela2[[#This Row],[Dt Venc:]]-TODAY())</f>
        <v>464</v>
      </c>
      <c r="G8531" s="3"/>
      <c r="H8531" s="3"/>
    </row>
    <row r="8532" spans="1:8">
      <c r="A8532" s="3">
        <v>894135</v>
      </c>
      <c r="B8532" s="7" t="s">
        <v>253</v>
      </c>
      <c r="C8532" s="100" t="s">
        <v>32</v>
      </c>
      <c r="D8532" s="6">
        <v>46157</v>
      </c>
      <c r="E8532" s="3" t="str">
        <f ca="1">IF(Tabela2[[#This Row],[Dt Venc:]]&gt;TODAY(),"Em Aberto",IF(Tabela2[[#This Row],[D/venc]]="-","Enviado",IF(Tabela2[[#This Row],[Dt Venc:]]=TODAY(),"Vence Hoje","Vencida")))</f>
        <v>Em Aberto</v>
      </c>
      <c r="F8532" s="3">
        <f ca="1">IF(G8532=1,"-",Tabela2[[#This Row],[Dt Venc:]]-TODAY())</f>
        <v>464</v>
      </c>
      <c r="G8532" s="3"/>
      <c r="H8532" s="3"/>
    </row>
    <row r="8533" spans="1:8">
      <c r="A8533" s="3">
        <v>896565</v>
      </c>
      <c r="B8533" s="7" t="s">
        <v>253</v>
      </c>
      <c r="C8533" s="100" t="s">
        <v>32</v>
      </c>
      <c r="D8533" s="6">
        <v>46157</v>
      </c>
      <c r="E8533" s="3" t="str">
        <f ca="1">IF(Tabela2[[#This Row],[Dt Venc:]]&gt;TODAY(),"Em Aberto",IF(Tabela2[[#This Row],[D/venc]]="-","Enviado",IF(Tabela2[[#This Row],[Dt Venc:]]=TODAY(),"Vence Hoje","Vencida")))</f>
        <v>Em Aberto</v>
      </c>
      <c r="F8533" s="3">
        <f ca="1">IF(G8533=1,"-",Tabela2[[#This Row],[Dt Venc:]]-TODAY())</f>
        <v>464</v>
      </c>
      <c r="G8533" s="3"/>
      <c r="H8533" s="3"/>
    </row>
    <row r="8534" spans="1:8">
      <c r="A8534" s="3">
        <v>900386</v>
      </c>
      <c r="B8534" s="7" t="s">
        <v>253</v>
      </c>
      <c r="C8534" s="100" t="s">
        <v>32</v>
      </c>
      <c r="D8534" s="6">
        <v>46157</v>
      </c>
      <c r="E8534" s="3" t="str">
        <f ca="1">IF(Tabela2[[#This Row],[Dt Venc:]]&gt;TODAY(),"Em Aberto",IF(Tabela2[[#This Row],[D/venc]]="-","Enviado",IF(Tabela2[[#This Row],[Dt Venc:]]=TODAY(),"Vence Hoje","Vencida")))</f>
        <v>Em Aberto</v>
      </c>
      <c r="F8534" s="3">
        <f ca="1">IF(G8534=1,"-",Tabela2[[#This Row],[Dt Venc:]]-TODAY())</f>
        <v>464</v>
      </c>
      <c r="G8534" s="3"/>
      <c r="H8534" s="3"/>
    </row>
    <row r="8535" spans="1:8">
      <c r="A8535" s="3">
        <v>901787</v>
      </c>
      <c r="B8535" s="7" t="s">
        <v>253</v>
      </c>
      <c r="C8535" s="100" t="s">
        <v>32</v>
      </c>
      <c r="D8535" s="6">
        <v>46157</v>
      </c>
      <c r="E8535" s="3" t="str">
        <f ca="1">IF(Tabela2[[#This Row],[Dt Venc:]]&gt;TODAY(),"Em Aberto",IF(Tabela2[[#This Row],[D/venc]]="-","Enviado",IF(Tabela2[[#This Row],[Dt Venc:]]=TODAY(),"Vence Hoje","Vencida")))</f>
        <v>Em Aberto</v>
      </c>
      <c r="F8535" s="3">
        <f ca="1">IF(G8535=1,"-",Tabela2[[#This Row],[Dt Venc:]]-TODAY())</f>
        <v>464</v>
      </c>
      <c r="G8535" s="3"/>
      <c r="H8535" s="3"/>
    </row>
    <row r="8536" spans="1:8">
      <c r="A8536" s="3">
        <v>901788</v>
      </c>
      <c r="B8536" s="7" t="s">
        <v>253</v>
      </c>
      <c r="C8536" s="100" t="s">
        <v>32</v>
      </c>
      <c r="D8536" s="6">
        <v>46157</v>
      </c>
      <c r="E8536" s="3" t="str">
        <f ca="1">IF(Tabela2[[#This Row],[Dt Venc:]]&gt;TODAY(),"Em Aberto",IF(Tabela2[[#This Row],[D/venc]]="-","Enviado",IF(Tabela2[[#This Row],[Dt Venc:]]=TODAY(),"Vence Hoje","Vencida")))</f>
        <v>Em Aberto</v>
      </c>
      <c r="F8536" s="3">
        <f ca="1">IF(G8536=1,"-",Tabela2[[#This Row],[Dt Venc:]]-TODAY())</f>
        <v>464</v>
      </c>
      <c r="G8536" s="3"/>
      <c r="H8536" s="3"/>
    </row>
    <row r="8537" spans="1:8">
      <c r="A8537" s="3">
        <v>901789</v>
      </c>
      <c r="B8537" s="7" t="s">
        <v>253</v>
      </c>
      <c r="C8537" s="100" t="s">
        <v>32</v>
      </c>
      <c r="D8537" s="6">
        <v>46157</v>
      </c>
      <c r="E8537" s="3" t="str">
        <f ca="1">IF(Tabela2[[#This Row],[Dt Venc:]]&gt;TODAY(),"Em Aberto",IF(Tabela2[[#This Row],[D/venc]]="-","Enviado",IF(Tabela2[[#This Row],[Dt Venc:]]=TODAY(),"Vence Hoje","Vencida")))</f>
        <v>Em Aberto</v>
      </c>
      <c r="F8537" s="3">
        <f ca="1">IF(G8537=1,"-",Tabela2[[#This Row],[Dt Venc:]]-TODAY())</f>
        <v>464</v>
      </c>
      <c r="G8537" s="3"/>
      <c r="H8537" s="3"/>
    </row>
    <row r="8538" spans="1:8">
      <c r="A8538" s="3">
        <v>912703</v>
      </c>
      <c r="B8538" s="7" t="s">
        <v>253</v>
      </c>
      <c r="C8538" s="100" t="s">
        <v>32</v>
      </c>
      <c r="D8538" s="6">
        <v>46157</v>
      </c>
      <c r="E8538" s="3" t="str">
        <f ca="1">IF(Tabela2[[#This Row],[Dt Venc:]]&gt;TODAY(),"Em Aberto",IF(Tabela2[[#This Row],[D/venc]]="-","Enviado",IF(Tabela2[[#This Row],[Dt Venc:]]=TODAY(),"Vence Hoje","Vencida")))</f>
        <v>Em Aberto</v>
      </c>
      <c r="F8538" s="3">
        <f ca="1">IF(G8538=1,"-",Tabela2[[#This Row],[Dt Venc:]]-TODAY())</f>
        <v>464</v>
      </c>
      <c r="G8538" s="3"/>
      <c r="H8538" s="3"/>
    </row>
    <row r="8539" spans="1:8">
      <c r="A8539" s="3">
        <v>912704</v>
      </c>
      <c r="B8539" s="7" t="s">
        <v>253</v>
      </c>
      <c r="C8539" s="100" t="s">
        <v>32</v>
      </c>
      <c r="D8539" s="6">
        <v>46157</v>
      </c>
      <c r="E8539" s="3" t="str">
        <f ca="1">IF(Tabela2[[#This Row],[Dt Venc:]]&gt;TODAY(),"Em Aberto",IF(Tabela2[[#This Row],[D/venc]]="-","Enviado",IF(Tabela2[[#This Row],[Dt Venc:]]=TODAY(),"Vence Hoje","Vencida")))</f>
        <v>Em Aberto</v>
      </c>
      <c r="F8539" s="3">
        <f ca="1">IF(G8539=1,"-",Tabela2[[#This Row],[Dt Venc:]]-TODAY())</f>
        <v>464</v>
      </c>
      <c r="G8539" s="3"/>
      <c r="H8539" s="3"/>
    </row>
    <row r="8540" spans="1:8">
      <c r="A8540" s="3">
        <v>919728</v>
      </c>
      <c r="B8540" s="7" t="s">
        <v>253</v>
      </c>
      <c r="C8540" s="87" t="s">
        <v>32</v>
      </c>
      <c r="D8540" s="6">
        <v>46157</v>
      </c>
      <c r="E8540" s="3" t="str">
        <f ca="1">IF(Tabela2[[#This Row],[Dt Venc:]]&gt;TODAY(),"Em Aberto",IF(Tabela2[[#This Row],[D/venc]]="-","Enviado",IF(Tabela2[[#This Row],[Dt Venc:]]=TODAY(),"Vence Hoje","Vencida")))</f>
        <v>Em Aberto</v>
      </c>
      <c r="F8540" s="3">
        <f ca="1">IF(G8540=1,"-",Tabela2[[#This Row],[Dt Venc:]]-TODAY())</f>
        <v>464</v>
      </c>
      <c r="G8540" s="3"/>
      <c r="H8540" s="3"/>
    </row>
    <row r="8541" spans="1:8">
      <c r="A8541" s="3">
        <v>919729</v>
      </c>
      <c r="B8541" s="7" t="s">
        <v>253</v>
      </c>
      <c r="C8541" s="87" t="s">
        <v>32</v>
      </c>
      <c r="D8541" s="6">
        <v>46157</v>
      </c>
      <c r="E8541" s="3" t="str">
        <f ca="1">IF(Tabela2[[#This Row],[Dt Venc:]]&gt;TODAY(),"Em Aberto",IF(Tabela2[[#This Row],[D/venc]]="-","Enviado",IF(Tabela2[[#This Row],[Dt Venc:]]=TODAY(),"Vence Hoje","Vencida")))</f>
        <v>Em Aberto</v>
      </c>
      <c r="F8541" s="3">
        <f ca="1">IF(G8541=1,"-",Tabela2[[#This Row],[Dt Venc:]]-TODAY())</f>
        <v>464</v>
      </c>
      <c r="G8541" s="3"/>
      <c r="H8541" s="3"/>
    </row>
    <row r="8542" spans="1:8">
      <c r="A8542" s="3">
        <v>37196</v>
      </c>
      <c r="B8542" s="7" t="s">
        <v>167</v>
      </c>
      <c r="C8542" s="87" t="s">
        <v>32</v>
      </c>
      <c r="D8542" s="6">
        <v>46159</v>
      </c>
      <c r="E8542" s="3" t="str">
        <f ca="1">IF(Tabela2[[#This Row],[Dt Venc:]]&gt;TODAY(),"Em Aberto",IF(Tabela2[[#This Row],[D/venc]]="-","Enviado",IF(Tabela2[[#This Row],[Dt Venc:]]=TODAY(),"Vence Hoje","Vencida")))</f>
        <v>Em Aberto</v>
      </c>
      <c r="F8542" s="3">
        <f ca="1">IF(G8542=1,"-",Tabela2[[#This Row],[Dt Venc:]]-TODAY())</f>
        <v>466</v>
      </c>
      <c r="G8542" s="3"/>
      <c r="H8542" s="3"/>
    </row>
    <row r="8543" spans="1:8">
      <c r="A8543" s="3">
        <v>37300</v>
      </c>
      <c r="B8543" s="7" t="s">
        <v>167</v>
      </c>
      <c r="C8543" s="100" t="s">
        <v>32</v>
      </c>
      <c r="D8543" s="6">
        <v>46160</v>
      </c>
      <c r="E8543" s="3" t="str">
        <f ca="1">IF(Tabela2[[#This Row],[Dt Venc:]]&gt;TODAY(),"Em Aberto",IF(Tabela2[[#This Row],[D/venc]]="-","Enviado",IF(Tabela2[[#This Row],[Dt Venc:]]=TODAY(),"Vence Hoje","Vencida")))</f>
        <v>Em Aberto</v>
      </c>
      <c r="F8543" s="3">
        <f ca="1">IF(G8543=1,"-",Tabela2[[#This Row],[Dt Venc:]]-TODAY())</f>
        <v>467</v>
      </c>
      <c r="G8543" s="3"/>
      <c r="H8543" s="3"/>
    </row>
    <row r="8544" spans="1:8">
      <c r="A8544" s="3">
        <v>37348</v>
      </c>
      <c r="B8544" s="7" t="s">
        <v>167</v>
      </c>
      <c r="C8544" s="100" t="s">
        <v>32</v>
      </c>
      <c r="D8544" s="6">
        <v>46164</v>
      </c>
      <c r="E8544" s="3" t="str">
        <f ca="1">IF(Tabela2[[#This Row],[Dt Venc:]]&gt;TODAY(),"Em Aberto",IF(Tabela2[[#This Row],[D/venc]]="-","Enviado",IF(Tabela2[[#This Row],[Dt Venc:]]=TODAY(),"Vence Hoje","Vencida")))</f>
        <v>Em Aberto</v>
      </c>
      <c r="F8544" s="3">
        <f ca="1">IF(G8544=1,"-",Tabela2[[#This Row],[Dt Venc:]]-TODAY())</f>
        <v>471</v>
      </c>
      <c r="G8544" s="3"/>
      <c r="H8544" s="3"/>
    </row>
    <row r="8545" spans="1:8">
      <c r="A8545" s="3">
        <v>654537</v>
      </c>
      <c r="B8545" s="7" t="s">
        <v>648</v>
      </c>
      <c r="C8545" s="87" t="s">
        <v>32</v>
      </c>
      <c r="D8545" s="6">
        <v>46165</v>
      </c>
      <c r="E8545" s="3" t="str">
        <f ca="1">IF(Tabela2[[#This Row],[Dt Venc:]]&gt;TODAY(),"Em Aberto",IF(Tabela2[[#This Row],[D/venc]]="-","Enviado",IF(Tabela2[[#This Row],[Dt Venc:]]=TODAY(),"Vence Hoje","Vencida")))</f>
        <v>Em Aberto</v>
      </c>
      <c r="F8545" s="3">
        <f ca="1">IF(G8545=1,"-",Tabela2[[#This Row],[Dt Venc:]]-TODAY())</f>
        <v>472</v>
      </c>
      <c r="G8545" s="3"/>
      <c r="H8545" s="3"/>
    </row>
    <row r="8546" spans="1:8">
      <c r="A8546" s="3">
        <v>495914</v>
      </c>
      <c r="B8546" s="7" t="s">
        <v>153</v>
      </c>
      <c r="C8546" s="99" t="s">
        <v>32</v>
      </c>
      <c r="D8546" s="6">
        <v>46167</v>
      </c>
      <c r="E8546" s="3" t="str">
        <f ca="1">IF(Tabela2[[#This Row],[Dt Venc:]]&gt;TODAY(),"Em Aberto",IF(Tabela2[[#This Row],[D/venc]]="-","Enviado",IF(Tabela2[[#This Row],[Dt Venc:]]=TODAY(),"Vence Hoje","Vencida")))</f>
        <v>Em Aberto</v>
      </c>
      <c r="F8546" s="3">
        <f ca="1">IF(G8546=1,"-",Tabela2[[#This Row],[Dt Venc:]]-TODAY())</f>
        <v>474</v>
      </c>
      <c r="G8546" s="3"/>
      <c r="H8546" s="3"/>
    </row>
    <row r="8547" spans="1:8">
      <c r="A8547" s="3">
        <v>5690</v>
      </c>
      <c r="B8547" s="7" t="s">
        <v>122</v>
      </c>
      <c r="C8547" s="100" t="s">
        <v>32</v>
      </c>
      <c r="D8547" s="6">
        <v>46169</v>
      </c>
      <c r="E8547" s="3" t="str">
        <f ca="1">IF(Tabela2[[#This Row],[Dt Venc:]]&gt;TODAY(),"Em Aberto",IF(Tabela2[[#This Row],[D/venc]]="-","Enviado",IF(Tabela2[[#This Row],[Dt Venc:]]=TODAY(),"Vence Hoje","Vencida")))</f>
        <v>Em Aberto</v>
      </c>
      <c r="F8547" s="3">
        <f ca="1">IF(G8547=1,"-",Tabela2[[#This Row],[Dt Venc:]]-TODAY())</f>
        <v>476</v>
      </c>
      <c r="G8547" s="3"/>
      <c r="H8547" s="3"/>
    </row>
    <row r="8548" spans="1:8">
      <c r="A8548" s="3" t="s">
        <v>123</v>
      </c>
      <c r="B8548" s="7" t="s">
        <v>386</v>
      </c>
      <c r="C8548" s="87" t="s">
        <v>32</v>
      </c>
      <c r="D8548" s="6">
        <v>46172</v>
      </c>
      <c r="E8548" s="3" t="str">
        <f ca="1">IF(Tabela2[[#This Row],[Dt Venc:]]&gt;TODAY(),"Em Aberto",IF(Tabela2[[#This Row],[D/venc]]="-","Enviado",IF(Tabela2[[#This Row],[Dt Venc:]]=TODAY(),"Vence Hoje","Vencida")))</f>
        <v>Em Aberto</v>
      </c>
      <c r="F8548" s="3">
        <f ca="1">IF(G8548=1,"-",Tabela2[[#This Row],[Dt Venc:]]-TODAY())</f>
        <v>479</v>
      </c>
      <c r="G8548" s="3"/>
      <c r="H8548" s="3"/>
    </row>
    <row r="8549" spans="1:8">
      <c r="A8549" s="3">
        <v>11681</v>
      </c>
      <c r="B8549" s="7" t="s">
        <v>82</v>
      </c>
      <c r="C8549" s="87" t="s">
        <v>30</v>
      </c>
      <c r="D8549" s="6">
        <v>46173</v>
      </c>
      <c r="E8549" s="3" t="str">
        <f ca="1">IF(Tabela2[[#This Row],[Dt Venc:]]&gt;TODAY(),"Em Aberto",IF(Tabela2[[#This Row],[D/venc]]="-","Enviado",IF(Tabela2[[#This Row],[Dt Venc:]]=TODAY(),"Vence Hoje","Vencida")))</f>
        <v>Em Aberto</v>
      </c>
      <c r="F8549" s="3">
        <f ca="1">IF(G8549=1,"-",Tabela2[[#This Row],[Dt Venc:]]-TODAY())</f>
        <v>480</v>
      </c>
      <c r="G8549" s="3"/>
      <c r="H8549" s="3"/>
    </row>
    <row r="8550" spans="1:8">
      <c r="A8550" s="3" t="s">
        <v>28</v>
      </c>
      <c r="B8550" s="7" t="s">
        <v>391</v>
      </c>
      <c r="C8550" s="85" t="s">
        <v>30</v>
      </c>
      <c r="D8550" s="6">
        <v>46173</v>
      </c>
      <c r="E8550" s="3" t="str">
        <f ca="1">IF(Tabela2[[#This Row],[Dt Venc:]]&gt;TODAY(),"Em Aberto",IF(Tabela2[[#This Row],[D/venc]]="-","Enviado",IF(Tabela2[[#This Row],[Dt Venc:]]=TODAY(),"Vence Hoje","Vencida")))</f>
        <v>Em Aberto</v>
      </c>
      <c r="F8550" s="3">
        <f ca="1">IF(G8550=1,"-",Tabela2[[#This Row],[Dt Venc:]]-TODAY())</f>
        <v>480</v>
      </c>
      <c r="G8550" s="3"/>
      <c r="H8550" s="3"/>
    </row>
    <row r="8551" spans="1:8">
      <c r="A8551" s="3">
        <v>36910</v>
      </c>
      <c r="B8551" s="7" t="s">
        <v>167</v>
      </c>
      <c r="C8551" s="100" t="s">
        <v>32</v>
      </c>
      <c r="D8551" s="6">
        <v>46174</v>
      </c>
      <c r="E8551" s="3" t="str">
        <f ca="1">IF(Tabela2[[#This Row],[Dt Venc:]]&gt;TODAY(),"Em Aberto",IF(Tabela2[[#This Row],[D/venc]]="-","Enviado",IF(Tabela2[[#This Row],[Dt Venc:]]=TODAY(),"Vence Hoje","Vencida")))</f>
        <v>Em Aberto</v>
      </c>
      <c r="F8551" s="3">
        <f ca="1">IF(G8551=1,"-",Tabela2[[#This Row],[Dt Venc:]]-TODAY())</f>
        <v>481</v>
      </c>
      <c r="G8551" s="3"/>
      <c r="H8551" s="3"/>
    </row>
    <row r="8552" spans="1:8">
      <c r="A8552" s="3">
        <v>10494</v>
      </c>
      <c r="B8552" s="7" t="s">
        <v>82</v>
      </c>
      <c r="C8552" s="88" t="s">
        <v>30</v>
      </c>
      <c r="D8552" s="6">
        <v>46176</v>
      </c>
      <c r="E8552" s="3" t="str">
        <f ca="1">IF(Tabela2[[#This Row],[Dt Venc:]]&gt;TODAY(),"Em Aberto",IF(Tabela2[[#This Row],[D/venc]]="-","Enviado",IF(Tabela2[[#This Row],[Dt Venc:]]=TODAY(),"Vence Hoje","Vencida")))</f>
        <v>Em Aberto</v>
      </c>
      <c r="F8552" s="3">
        <f ca="1">IF(G8552=1,"-",Tabela2[[#This Row],[Dt Venc:]]-TODAY())</f>
        <v>483</v>
      </c>
      <c r="G8552" s="3"/>
      <c r="H8552" s="3"/>
    </row>
    <row r="8553" spans="1:8">
      <c r="A8553" s="3">
        <v>5680</v>
      </c>
      <c r="B8553" s="7" t="s">
        <v>122</v>
      </c>
      <c r="C8553" s="99" t="s">
        <v>32</v>
      </c>
      <c r="D8553" s="6">
        <v>46178</v>
      </c>
      <c r="E8553" s="3" t="str">
        <f ca="1">IF(Tabela2[[#This Row],[Dt Venc:]]&gt;TODAY(),"Em Aberto",IF(Tabela2[[#This Row],[D/venc]]="-","Enviado",IF(Tabela2[[#This Row],[Dt Venc:]]=TODAY(),"Vence Hoje","Vencida")))</f>
        <v>Em Aberto</v>
      </c>
      <c r="F8553" s="3">
        <f ca="1">IF(G8553=1,"-",Tabela2[[#This Row],[Dt Venc:]]-TODAY())</f>
        <v>485</v>
      </c>
      <c r="G8553" s="3"/>
      <c r="H8553" s="3"/>
    </row>
    <row r="8554" spans="1:8">
      <c r="A8554" s="3">
        <v>10353</v>
      </c>
      <c r="B8554" s="7" t="s">
        <v>82</v>
      </c>
      <c r="C8554" s="100" t="s">
        <v>32</v>
      </c>
      <c r="D8554" s="6">
        <v>46178</v>
      </c>
      <c r="E8554" s="3" t="str">
        <f ca="1">IF(Tabela2[[#This Row],[Dt Venc:]]&gt;TODAY(),"Em Aberto",IF(Tabela2[[#This Row],[D/venc]]="-","Enviado",IF(Tabela2[[#This Row],[Dt Venc:]]=TODAY(),"Vence Hoje","Vencida")))</f>
        <v>Em Aberto</v>
      </c>
      <c r="F8554" s="3">
        <f ca="1">IF(G8554=1,"-",Tabela2[[#This Row],[Dt Venc:]]-TODAY())</f>
        <v>485</v>
      </c>
      <c r="G8554" s="3"/>
      <c r="H8554" s="3"/>
    </row>
    <row r="8555" spans="1:8">
      <c r="A8555" s="3">
        <v>284620</v>
      </c>
      <c r="B8555" s="7" t="s">
        <v>153</v>
      </c>
      <c r="C8555" s="99" t="s">
        <v>32</v>
      </c>
      <c r="D8555" s="6">
        <v>46181</v>
      </c>
      <c r="E8555" s="3" t="str">
        <f ca="1">IF(Tabela2[[#This Row],[Dt Venc:]]&gt;TODAY(),"Em Aberto",IF(Tabela2[[#This Row],[D/venc]]="-","Enviado",IF(Tabela2[[#This Row],[Dt Venc:]]=TODAY(),"Vence Hoje","Vencida")))</f>
        <v>Em Aberto</v>
      </c>
      <c r="F8555" s="3">
        <f ca="1">IF(G8555=1,"-",Tabela2[[#This Row],[Dt Venc:]]-TODAY())</f>
        <v>488</v>
      </c>
      <c r="G8555" s="3"/>
      <c r="H8555" s="3"/>
    </row>
    <row r="8556" spans="1:8">
      <c r="A8556" s="3">
        <v>36949</v>
      </c>
      <c r="B8556" s="7" t="s">
        <v>167</v>
      </c>
      <c r="C8556" s="100" t="s">
        <v>32</v>
      </c>
      <c r="D8556" s="6">
        <v>46182</v>
      </c>
      <c r="E8556" s="3" t="str">
        <f ca="1">IF(Tabela2[[#This Row],[Dt Venc:]]&gt;TODAY(),"Em Aberto",IF(Tabela2[[#This Row],[D/venc]]="-","Enviado",IF(Tabela2[[#This Row],[Dt Venc:]]=TODAY(),"Vence Hoje","Vencida")))</f>
        <v>Em Aberto</v>
      </c>
      <c r="F8556" s="3">
        <f ca="1">IF(G8556=1,"-",Tabela2[[#This Row],[Dt Venc:]]-TODAY())</f>
        <v>489</v>
      </c>
      <c r="G8556" s="3"/>
      <c r="H8556" s="3"/>
    </row>
    <row r="8557" spans="1:8">
      <c r="A8557" s="3">
        <v>756561</v>
      </c>
      <c r="B8557" s="7" t="s">
        <v>166</v>
      </c>
      <c r="C8557" s="100" t="s">
        <v>32</v>
      </c>
      <c r="D8557" s="6">
        <v>46182</v>
      </c>
      <c r="E8557" s="3" t="str">
        <f ca="1">IF(Tabela2[[#This Row],[Dt Venc:]]&gt;TODAY(),"Em Aberto",IF(Tabela2[[#This Row],[D/venc]]="-","Enviado",IF(Tabela2[[#This Row],[Dt Venc:]]=TODAY(),"Vence Hoje","Vencida")))</f>
        <v>Em Aberto</v>
      </c>
      <c r="F8557" s="3">
        <f ca="1">IF(G8557=1,"-",Tabela2[[#This Row],[Dt Venc:]]-TODAY())</f>
        <v>489</v>
      </c>
      <c r="G8557" s="3"/>
      <c r="H8557" s="3"/>
    </row>
    <row r="8558" spans="1:8">
      <c r="A8558" s="3" t="s">
        <v>179</v>
      </c>
      <c r="B8558" s="7" t="s">
        <v>190</v>
      </c>
      <c r="C8558" s="100" t="s">
        <v>32</v>
      </c>
      <c r="D8558" s="6">
        <v>46183</v>
      </c>
      <c r="E8558" s="3" t="str">
        <f ca="1">IF(Tabela2[[#This Row],[Dt Venc:]]&gt;TODAY(),"Em Aberto",IF(Tabela2[[#This Row],[D/venc]]="-","Enviado",IF(Tabela2[[#This Row],[Dt Venc:]]=TODAY(),"Vence Hoje","Vencida")))</f>
        <v>Em Aberto</v>
      </c>
      <c r="F8558" s="3">
        <f ca="1">IF(G8558=1,"-",Tabela2[[#This Row],[Dt Venc:]]-TODAY())</f>
        <v>490</v>
      </c>
      <c r="G8558" s="3"/>
      <c r="H8558" s="3"/>
    </row>
    <row r="8559" spans="1:8">
      <c r="A8559" s="3">
        <v>37292</v>
      </c>
      <c r="B8559" s="7" t="s">
        <v>167</v>
      </c>
      <c r="C8559" s="100" t="s">
        <v>32</v>
      </c>
      <c r="D8559" s="6">
        <v>46184</v>
      </c>
      <c r="E8559" s="3" t="str">
        <f ca="1">IF(Tabela2[[#This Row],[Dt Venc:]]&gt;TODAY(),"Em Aberto",IF(Tabela2[[#This Row],[D/venc]]="-","Enviado",IF(Tabela2[[#This Row],[Dt Venc:]]=TODAY(),"Vence Hoje","Vencida")))</f>
        <v>Em Aberto</v>
      </c>
      <c r="F8559" s="3">
        <f ca="1">IF(G8559=1,"-",Tabela2[[#This Row],[Dt Venc:]]-TODAY())</f>
        <v>491</v>
      </c>
      <c r="G8559" s="3"/>
      <c r="H8559" s="3"/>
    </row>
    <row r="8560" spans="1:8">
      <c r="A8560" s="3">
        <v>37327</v>
      </c>
      <c r="B8560" s="7" t="s">
        <v>167</v>
      </c>
      <c r="C8560" s="100" t="s">
        <v>32</v>
      </c>
      <c r="D8560" s="6">
        <v>46184</v>
      </c>
      <c r="E8560" s="3" t="str">
        <f ca="1">IF(Tabela2[[#This Row],[Dt Venc:]]&gt;TODAY(),"Em Aberto",IF(Tabela2[[#This Row],[D/venc]]="-","Enviado",IF(Tabela2[[#This Row],[Dt Venc:]]=TODAY(),"Vence Hoje","Vencida")))</f>
        <v>Em Aberto</v>
      </c>
      <c r="F8560" s="3">
        <f ca="1">IF(G8560=1,"-",Tabela2[[#This Row],[Dt Venc:]]-TODAY())</f>
        <v>491</v>
      </c>
      <c r="G8560" s="3"/>
      <c r="H8560" s="3"/>
    </row>
    <row r="8561" spans="1:8">
      <c r="A8561" s="3">
        <v>562</v>
      </c>
      <c r="B8561" s="7" t="s">
        <v>251</v>
      </c>
      <c r="C8561" s="100" t="s">
        <v>32</v>
      </c>
      <c r="D8561" s="6">
        <v>46188</v>
      </c>
      <c r="E8561" s="3" t="str">
        <f ca="1">IF(Tabela2[[#This Row],[Dt Venc:]]&gt;TODAY(),"Em Aberto",IF(Tabela2[[#This Row],[D/venc]]="-","Enviado",IF(Tabela2[[#This Row],[Dt Venc:]]=TODAY(),"Vence Hoje","Vencida")))</f>
        <v>Em Aberto</v>
      </c>
      <c r="F8561" s="3">
        <f ca="1">IF(G8561=1,"-",Tabela2[[#This Row],[Dt Venc:]]-TODAY())</f>
        <v>495</v>
      </c>
      <c r="G8561" s="3"/>
      <c r="H8561" s="3"/>
    </row>
    <row r="8562" spans="1:8">
      <c r="A8562" s="3">
        <v>103015</v>
      </c>
      <c r="B8562" s="7" t="s">
        <v>252</v>
      </c>
      <c r="C8562" s="100" t="s">
        <v>32</v>
      </c>
      <c r="D8562" s="6">
        <v>46188</v>
      </c>
      <c r="E8562" s="3" t="str">
        <f ca="1">IF(Tabela2[[#This Row],[Dt Venc:]]&gt;TODAY(),"Em Aberto",IF(Tabela2[[#This Row],[D/venc]]="-","Enviado",IF(Tabela2[[#This Row],[Dt Venc:]]=TODAY(),"Vence Hoje","Vencida")))</f>
        <v>Em Aberto</v>
      </c>
      <c r="F8562" s="3">
        <f ca="1">IF(G8562=1,"-",Tabela2[[#This Row],[Dt Venc:]]-TODAY())</f>
        <v>495</v>
      </c>
      <c r="G8562" s="3"/>
      <c r="H8562" s="3"/>
    </row>
    <row r="8563" spans="1:8">
      <c r="A8563" s="3">
        <v>103077</v>
      </c>
      <c r="B8563" s="7" t="s">
        <v>252</v>
      </c>
      <c r="C8563" s="100" t="s">
        <v>32</v>
      </c>
      <c r="D8563" s="6">
        <v>46188</v>
      </c>
      <c r="E8563" s="3" t="str">
        <f ca="1">IF(Tabela2[[#This Row],[Dt Venc:]]&gt;TODAY(),"Em Aberto",IF(Tabela2[[#This Row],[D/venc]]="-","Enviado",IF(Tabela2[[#This Row],[Dt Venc:]]=TODAY(),"Vence Hoje","Vencida")))</f>
        <v>Em Aberto</v>
      </c>
      <c r="F8563" s="3">
        <f ca="1">IF(G8563=1,"-",Tabela2[[#This Row],[Dt Venc:]]-TODAY())</f>
        <v>495</v>
      </c>
      <c r="G8563" s="3"/>
      <c r="H8563" s="3"/>
    </row>
    <row r="8564" spans="1:8">
      <c r="A8564" s="3">
        <v>103153</v>
      </c>
      <c r="B8564" s="7" t="s">
        <v>252</v>
      </c>
      <c r="C8564" s="87" t="s">
        <v>32</v>
      </c>
      <c r="D8564" s="6">
        <v>46188</v>
      </c>
      <c r="E8564" s="3" t="str">
        <f ca="1">IF(Tabela2[[#This Row],[Dt Venc:]]&gt;TODAY(),"Em Aberto",IF(Tabela2[[#This Row],[D/venc]]="-","Enviado",IF(Tabela2[[#This Row],[Dt Venc:]]=TODAY(),"Vence Hoje","Vencida")))</f>
        <v>Em Aberto</v>
      </c>
      <c r="F8564" s="3">
        <f ca="1">IF(G8564=1,"-",Tabela2[[#This Row],[Dt Venc:]]-TODAY())</f>
        <v>495</v>
      </c>
      <c r="G8564" s="3"/>
      <c r="H8564" s="3"/>
    </row>
    <row r="8565" spans="1:8">
      <c r="A8565" s="3">
        <v>103154</v>
      </c>
      <c r="B8565" s="7" t="s">
        <v>252</v>
      </c>
      <c r="C8565" s="100" t="s">
        <v>32</v>
      </c>
      <c r="D8565" s="6">
        <v>46188</v>
      </c>
      <c r="E8565" s="3" t="str">
        <f ca="1">IF(Tabela2[[#This Row],[Dt Venc:]]&gt;TODAY(),"Em Aberto",IF(Tabela2[[#This Row],[D/venc]]="-","Enviado",IF(Tabela2[[#This Row],[Dt Venc:]]=TODAY(),"Vence Hoje","Vencida")))</f>
        <v>Em Aberto</v>
      </c>
      <c r="F8565" s="3">
        <f ca="1">IF(G8565=1,"-",Tabela2[[#This Row],[Dt Venc:]]-TODAY())</f>
        <v>495</v>
      </c>
      <c r="G8565" s="3"/>
      <c r="H8565" s="3"/>
    </row>
    <row r="8566" spans="1:8">
      <c r="A8566" s="3">
        <v>106007</v>
      </c>
      <c r="B8566" s="7" t="s">
        <v>252</v>
      </c>
      <c r="C8566" s="100" t="s">
        <v>32</v>
      </c>
      <c r="D8566" s="6">
        <v>46188</v>
      </c>
      <c r="E8566" s="3" t="str">
        <f ca="1">IF(Tabela2[[#This Row],[Dt Venc:]]&gt;TODAY(),"Em Aberto",IF(Tabela2[[#This Row],[D/venc]]="-","Enviado",IF(Tabela2[[#This Row],[Dt Venc:]]=TODAY(),"Vence Hoje","Vencida")))</f>
        <v>Em Aberto</v>
      </c>
      <c r="F8566" s="3">
        <f ca="1">IF(G8566=1,"-",Tabela2[[#This Row],[Dt Venc:]]-TODAY())</f>
        <v>495</v>
      </c>
      <c r="G8566" s="3"/>
      <c r="H8566" s="3"/>
    </row>
    <row r="8567" spans="1:8">
      <c r="A8567" s="3">
        <v>106043</v>
      </c>
      <c r="B8567" s="7" t="s">
        <v>252</v>
      </c>
      <c r="C8567" s="100" t="s">
        <v>32</v>
      </c>
      <c r="D8567" s="6">
        <v>46188</v>
      </c>
      <c r="E8567" s="3" t="str">
        <f ca="1">IF(Tabela2[[#This Row],[Dt Venc:]]&gt;TODAY(),"Em Aberto",IF(Tabela2[[#This Row],[D/venc]]="-","Enviado",IF(Tabela2[[#This Row],[Dt Venc:]]=TODAY(),"Vence Hoje","Vencida")))</f>
        <v>Em Aberto</v>
      </c>
      <c r="F8567" s="3">
        <f ca="1">IF(G8567=1,"-",Tabela2[[#This Row],[Dt Venc:]]-TODAY())</f>
        <v>495</v>
      </c>
      <c r="G8567" s="3"/>
      <c r="H8567" s="3"/>
    </row>
    <row r="8568" spans="1:8">
      <c r="A8568" s="3">
        <v>107829</v>
      </c>
      <c r="B8568" s="7" t="s">
        <v>252</v>
      </c>
      <c r="C8568" s="100" t="s">
        <v>32</v>
      </c>
      <c r="D8568" s="6">
        <v>46188</v>
      </c>
      <c r="E8568" s="3" t="str">
        <f ca="1">IF(Tabela2[[#This Row],[Dt Venc:]]&gt;TODAY(),"Em Aberto",IF(Tabela2[[#This Row],[D/venc]]="-","Enviado",IF(Tabela2[[#This Row],[Dt Venc:]]=TODAY(),"Vence Hoje","Vencida")))</f>
        <v>Em Aberto</v>
      </c>
      <c r="F8568" s="3">
        <f ca="1">IF(G8568=1,"-",Tabela2[[#This Row],[Dt Venc:]]-TODAY())</f>
        <v>495</v>
      </c>
      <c r="G8568" s="3"/>
      <c r="H8568" s="3"/>
    </row>
    <row r="8569" spans="1:8">
      <c r="A8569" s="3">
        <v>107830</v>
      </c>
      <c r="B8569" s="7" t="s">
        <v>252</v>
      </c>
      <c r="C8569" s="87" t="s">
        <v>32</v>
      </c>
      <c r="D8569" s="6">
        <v>46188</v>
      </c>
      <c r="E8569" s="3" t="str">
        <f ca="1">IF(Tabela2[[#This Row],[Dt Venc:]]&gt;TODAY(),"Em Aberto",IF(Tabela2[[#This Row],[D/venc]]="-","Enviado",IF(Tabela2[[#This Row],[Dt Venc:]]=TODAY(),"Vence Hoje","Vencida")))</f>
        <v>Em Aberto</v>
      </c>
      <c r="F8569" s="3">
        <f ca="1">IF(G8569=1,"-",Tabela2[[#This Row],[Dt Venc:]]-TODAY())</f>
        <v>495</v>
      </c>
      <c r="G8569" s="3"/>
      <c r="H8569" s="3"/>
    </row>
    <row r="8570" spans="1:8">
      <c r="A8570" s="3">
        <v>107831</v>
      </c>
      <c r="B8570" s="7" t="s">
        <v>252</v>
      </c>
      <c r="C8570" s="100" t="s">
        <v>32</v>
      </c>
      <c r="D8570" s="6">
        <v>46188</v>
      </c>
      <c r="E8570" s="3" t="str">
        <f ca="1">IF(Tabela2[[#This Row],[Dt Venc:]]&gt;TODAY(),"Em Aberto",IF(Tabela2[[#This Row],[D/venc]]="-","Enviado",IF(Tabela2[[#This Row],[Dt Venc:]]=TODAY(),"Vence Hoje","Vencida")))</f>
        <v>Em Aberto</v>
      </c>
      <c r="F8570" s="3">
        <f ca="1">IF(G8570=1,"-",Tabela2[[#This Row],[Dt Venc:]]-TODAY())</f>
        <v>495</v>
      </c>
      <c r="G8570" s="3"/>
      <c r="H8570" s="3"/>
    </row>
    <row r="8571" spans="1:8">
      <c r="A8571" s="3">
        <v>107832</v>
      </c>
      <c r="B8571" s="7" t="s">
        <v>252</v>
      </c>
      <c r="C8571" s="100" t="s">
        <v>32</v>
      </c>
      <c r="D8571" s="6">
        <v>46188</v>
      </c>
      <c r="E8571" s="3" t="str">
        <f ca="1">IF(Tabela2[[#This Row],[Dt Venc:]]&gt;TODAY(),"Em Aberto",IF(Tabela2[[#This Row],[D/venc]]="-","Enviado",IF(Tabela2[[#This Row],[Dt Venc:]]=TODAY(),"Vence Hoje","Vencida")))</f>
        <v>Em Aberto</v>
      </c>
      <c r="F8571" s="3">
        <f ca="1">IF(G8571=1,"-",Tabela2[[#This Row],[Dt Venc:]]-TODAY())</f>
        <v>495</v>
      </c>
      <c r="G8571" s="3"/>
      <c r="H8571" s="3"/>
    </row>
    <row r="8572" spans="1:8">
      <c r="A8572" s="3">
        <v>361229</v>
      </c>
      <c r="B8572" s="7" t="s">
        <v>250</v>
      </c>
      <c r="C8572" s="100" t="s">
        <v>32</v>
      </c>
      <c r="D8572" s="6">
        <v>46188</v>
      </c>
      <c r="E8572" s="3" t="str">
        <f ca="1">IF(Tabela2[[#This Row],[Dt Venc:]]&gt;TODAY(),"Em Aberto",IF(Tabela2[[#This Row],[D/venc]]="-","Enviado",IF(Tabela2[[#This Row],[Dt Venc:]]=TODAY(),"Vence Hoje","Vencida")))</f>
        <v>Em Aberto</v>
      </c>
      <c r="F8572" s="3">
        <f ca="1">IF(G8572=1,"-",Tabela2[[#This Row],[Dt Venc:]]-TODAY())</f>
        <v>495</v>
      </c>
      <c r="G8572" s="3"/>
      <c r="H8572" s="3"/>
    </row>
    <row r="8573" spans="1:8">
      <c r="A8573" s="3">
        <v>361237</v>
      </c>
      <c r="B8573" s="7" t="s">
        <v>250</v>
      </c>
      <c r="C8573" s="100" t="s">
        <v>32</v>
      </c>
      <c r="D8573" s="6">
        <v>46188</v>
      </c>
      <c r="E8573" s="3" t="str">
        <f ca="1">IF(Tabela2[[#This Row],[Dt Venc:]]&gt;TODAY(),"Em Aberto",IF(Tabela2[[#This Row],[D/venc]]="-","Enviado",IF(Tabela2[[#This Row],[Dt Venc:]]=TODAY(),"Vence Hoje","Vencida")))</f>
        <v>Em Aberto</v>
      </c>
      <c r="F8573" s="3">
        <f ca="1">IF(G8573=1,"-",Tabela2[[#This Row],[Dt Venc:]]-TODAY())</f>
        <v>495</v>
      </c>
      <c r="G8573" s="3"/>
      <c r="H8573" s="3"/>
    </row>
    <row r="8574" spans="1:8">
      <c r="A8574" s="3">
        <v>365658</v>
      </c>
      <c r="B8574" s="7" t="s">
        <v>250</v>
      </c>
      <c r="C8574" s="100" t="s">
        <v>32</v>
      </c>
      <c r="D8574" s="6">
        <v>46188</v>
      </c>
      <c r="E8574" s="3" t="str">
        <f ca="1">IF(Tabela2[[#This Row],[Dt Venc:]]&gt;TODAY(),"Em Aberto",IF(Tabela2[[#This Row],[D/venc]]="-","Enviado",IF(Tabela2[[#This Row],[Dt Venc:]]=TODAY(),"Vence Hoje","Vencida")))</f>
        <v>Em Aberto</v>
      </c>
      <c r="F8574" s="3">
        <f ca="1">IF(G8574=1,"-",Tabela2[[#This Row],[Dt Venc:]]-TODAY())</f>
        <v>495</v>
      </c>
      <c r="G8574" s="3"/>
      <c r="H8574" s="3"/>
    </row>
    <row r="8575" spans="1:8">
      <c r="A8575" s="3">
        <v>365666</v>
      </c>
      <c r="B8575" s="7" t="s">
        <v>250</v>
      </c>
      <c r="C8575" s="100" t="s">
        <v>32</v>
      </c>
      <c r="D8575" s="6">
        <v>46188</v>
      </c>
      <c r="E8575" s="3" t="str">
        <f ca="1">IF(Tabela2[[#This Row],[Dt Venc:]]&gt;TODAY(),"Em Aberto",IF(Tabela2[[#This Row],[D/venc]]="-","Enviado",IF(Tabela2[[#This Row],[Dt Venc:]]=TODAY(),"Vence Hoje","Vencida")))</f>
        <v>Em Aberto</v>
      </c>
      <c r="F8575" s="3">
        <f ca="1">IF(G8575=1,"-",Tabela2[[#This Row],[Dt Venc:]]-TODAY())</f>
        <v>495</v>
      </c>
      <c r="G8575" s="3"/>
      <c r="H8575" s="3"/>
    </row>
    <row r="8576" spans="1:8">
      <c r="A8576" s="3">
        <v>365674</v>
      </c>
      <c r="B8576" s="7" t="s">
        <v>250</v>
      </c>
      <c r="C8576" s="100" t="s">
        <v>32</v>
      </c>
      <c r="D8576" s="6">
        <v>46188</v>
      </c>
      <c r="E8576" s="3" t="str">
        <f ca="1">IF(Tabela2[[#This Row],[Dt Venc:]]&gt;TODAY(),"Em Aberto",IF(Tabela2[[#This Row],[D/venc]]="-","Enviado",IF(Tabela2[[#This Row],[Dt Venc:]]=TODAY(),"Vence Hoje","Vencida")))</f>
        <v>Em Aberto</v>
      </c>
      <c r="F8576" s="3">
        <f ca="1">IF(G8576=1,"-",Tabela2[[#This Row],[Dt Venc:]]-TODAY())</f>
        <v>495</v>
      </c>
      <c r="G8576" s="3"/>
      <c r="H8576" s="3"/>
    </row>
    <row r="8577" spans="1:8">
      <c r="A8577" s="3">
        <v>365682</v>
      </c>
      <c r="B8577" s="7" t="s">
        <v>250</v>
      </c>
      <c r="C8577" s="100" t="s">
        <v>32</v>
      </c>
      <c r="D8577" s="6">
        <v>46188</v>
      </c>
      <c r="E8577" s="3" t="str">
        <f ca="1">IF(Tabela2[[#This Row],[Dt Venc:]]&gt;TODAY(),"Em Aberto",IF(Tabela2[[#This Row],[D/venc]]="-","Enviado",IF(Tabela2[[#This Row],[Dt Venc:]]=TODAY(),"Vence Hoje","Vencida")))</f>
        <v>Em Aberto</v>
      </c>
      <c r="F8577" s="3">
        <f ca="1">IF(G8577=1,"-",Tabela2[[#This Row],[Dt Venc:]]-TODAY())</f>
        <v>495</v>
      </c>
      <c r="G8577" s="3"/>
      <c r="H8577" s="3"/>
    </row>
    <row r="8578" spans="1:8">
      <c r="A8578" s="3">
        <v>369335</v>
      </c>
      <c r="B8578" s="7" t="s">
        <v>543</v>
      </c>
      <c r="C8578" s="87" t="s">
        <v>32</v>
      </c>
      <c r="D8578" s="6">
        <v>46188</v>
      </c>
      <c r="E8578" s="3" t="str">
        <f ca="1">IF(Tabela2[[#This Row],[Dt Venc:]]&gt;TODAY(),"Em Aberto",IF(Tabela2[[#This Row],[D/venc]]="-","Enviado",IF(Tabela2[[#This Row],[Dt Venc:]]=TODAY(),"Vence Hoje","Vencida")))</f>
        <v>Em Aberto</v>
      </c>
      <c r="F8578" s="3">
        <f ca="1">IF(G8578=1,"-",Tabela2[[#This Row],[Dt Venc:]]-TODAY())</f>
        <v>495</v>
      </c>
      <c r="G8578" s="3"/>
      <c r="H8578" s="3"/>
    </row>
    <row r="8579" spans="1:8">
      <c r="A8579" s="3">
        <v>369696</v>
      </c>
      <c r="B8579" s="7" t="s">
        <v>543</v>
      </c>
      <c r="C8579" s="87" t="s">
        <v>32</v>
      </c>
      <c r="D8579" s="6">
        <v>46188</v>
      </c>
      <c r="E8579" s="3" t="str">
        <f ca="1">IF(Tabela2[[#This Row],[Dt Venc:]]&gt;TODAY(),"Em Aberto",IF(Tabela2[[#This Row],[D/venc]]="-","Enviado",IF(Tabela2[[#This Row],[Dt Venc:]]=TODAY(),"Vence Hoje","Vencida")))</f>
        <v>Em Aberto</v>
      </c>
      <c r="F8579" s="3">
        <f ca="1">IF(G8579=1,"-",Tabela2[[#This Row],[Dt Venc:]]-TODAY())</f>
        <v>495</v>
      </c>
      <c r="G8579" s="3"/>
      <c r="H8579" s="3"/>
    </row>
    <row r="8580" spans="1:8">
      <c r="A8580" s="3">
        <v>369726</v>
      </c>
      <c r="B8580" s="7" t="s">
        <v>543</v>
      </c>
      <c r="C8580" s="87" t="s">
        <v>32</v>
      </c>
      <c r="D8580" s="6">
        <v>46188</v>
      </c>
      <c r="E8580" s="3" t="str">
        <f ca="1">IF(Tabela2[[#This Row],[Dt Venc:]]&gt;TODAY(),"Em Aberto",IF(Tabela2[[#This Row],[D/venc]]="-","Enviado",IF(Tabela2[[#This Row],[Dt Venc:]]=TODAY(),"Vence Hoje","Vencida")))</f>
        <v>Em Aberto</v>
      </c>
      <c r="F8580" s="3">
        <f ca="1">IF(G8580=1,"-",Tabela2[[#This Row],[Dt Venc:]]-TODAY())</f>
        <v>495</v>
      </c>
      <c r="G8580" s="3"/>
      <c r="H8580" s="3"/>
    </row>
    <row r="8581" spans="1:8">
      <c r="A8581" s="3">
        <v>369751</v>
      </c>
      <c r="B8581" s="7" t="s">
        <v>543</v>
      </c>
      <c r="C8581" s="87" t="s">
        <v>32</v>
      </c>
      <c r="D8581" s="6">
        <v>46188</v>
      </c>
      <c r="E8581" s="3" t="str">
        <f ca="1">IF(Tabela2[[#This Row],[Dt Venc:]]&gt;TODAY(),"Em Aberto",IF(Tabela2[[#This Row],[D/venc]]="-","Enviado",IF(Tabela2[[#This Row],[Dt Venc:]]=TODAY(),"Vence Hoje","Vencida")))</f>
        <v>Em Aberto</v>
      </c>
      <c r="F8581" s="3">
        <f ca="1">IF(G8581=1,"-",Tabela2[[#This Row],[Dt Venc:]]-TODAY())</f>
        <v>495</v>
      </c>
      <c r="G8581" s="3"/>
      <c r="H8581" s="3"/>
    </row>
    <row r="8582" spans="1:8">
      <c r="A8582" s="3">
        <v>370201</v>
      </c>
      <c r="B8582" s="7" t="s">
        <v>543</v>
      </c>
      <c r="C8582" s="87" t="s">
        <v>32</v>
      </c>
      <c r="D8582" s="6">
        <v>46188</v>
      </c>
      <c r="E8582" s="3" t="str">
        <f ca="1">IF(Tabela2[[#This Row],[Dt Venc:]]&gt;TODAY(),"Em Aberto",IF(Tabela2[[#This Row],[D/venc]]="-","Enviado",IF(Tabela2[[#This Row],[Dt Venc:]]=TODAY(),"Vence Hoje","Vencida")))</f>
        <v>Em Aberto</v>
      </c>
      <c r="F8582" s="3">
        <f ca="1">IF(G8582=1,"-",Tabela2[[#This Row],[Dt Venc:]]-TODAY())</f>
        <v>495</v>
      </c>
      <c r="G8582" s="3"/>
      <c r="H8582" s="3"/>
    </row>
    <row r="8583" spans="1:8">
      <c r="A8583" s="3">
        <v>370864</v>
      </c>
      <c r="B8583" s="7" t="s">
        <v>543</v>
      </c>
      <c r="C8583" s="87" t="s">
        <v>32</v>
      </c>
      <c r="D8583" s="6">
        <v>46188</v>
      </c>
      <c r="E8583" s="3" t="str">
        <f ca="1">IF(Tabela2[[#This Row],[Dt Venc:]]&gt;TODAY(),"Em Aberto",IF(Tabela2[[#This Row],[D/venc]]="-","Enviado",IF(Tabela2[[#This Row],[Dt Venc:]]=TODAY(),"Vence Hoje","Vencida")))</f>
        <v>Em Aberto</v>
      </c>
      <c r="F8583" s="3">
        <f ca="1">IF(G8583=1,"-",Tabela2[[#This Row],[Dt Venc:]]-TODAY())</f>
        <v>495</v>
      </c>
      <c r="G8583" s="3"/>
      <c r="H8583" s="3"/>
    </row>
    <row r="8584" spans="1:8">
      <c r="A8584" s="3">
        <v>371011</v>
      </c>
      <c r="B8584" s="7" t="s">
        <v>633</v>
      </c>
      <c r="C8584" s="87" t="s">
        <v>32</v>
      </c>
      <c r="D8584" s="6">
        <v>46188</v>
      </c>
      <c r="E8584" s="3" t="str">
        <f ca="1">IF(Tabela2[[#This Row],[Dt Venc:]]&gt;TODAY(),"Em Aberto",IF(Tabela2[[#This Row],[D/venc]]="-","Enviado",IF(Tabela2[[#This Row],[Dt Venc:]]=TODAY(),"Vence Hoje","Vencida")))</f>
        <v>Em Aberto</v>
      </c>
      <c r="F8584" s="3">
        <f ca="1">IF(G8584=1,"-",Tabela2[[#This Row],[Dt Venc:]]-TODAY())</f>
        <v>495</v>
      </c>
      <c r="G8584" s="3"/>
      <c r="H8584" s="3"/>
    </row>
    <row r="8585" spans="1:8">
      <c r="A8585" s="3">
        <v>371160</v>
      </c>
      <c r="B8585" s="7" t="s">
        <v>633</v>
      </c>
      <c r="C8585" s="87" t="s">
        <v>32</v>
      </c>
      <c r="D8585" s="6">
        <v>46188</v>
      </c>
      <c r="E8585" s="3" t="str">
        <f ca="1">IF(Tabela2[[#This Row],[Dt Venc:]]&gt;TODAY(),"Em Aberto",IF(Tabela2[[#This Row],[D/venc]]="-","Enviado",IF(Tabela2[[#This Row],[Dt Venc:]]=TODAY(),"Vence Hoje","Vencida")))</f>
        <v>Em Aberto</v>
      </c>
      <c r="F8585" s="3">
        <f ca="1">IF(G8585=1,"-",Tabela2[[#This Row],[Dt Venc:]]-TODAY())</f>
        <v>495</v>
      </c>
      <c r="G8585" s="3"/>
      <c r="H8585" s="3"/>
    </row>
    <row r="8586" spans="1:8">
      <c r="A8586" s="3">
        <v>748099</v>
      </c>
      <c r="B8586" s="7" t="s">
        <v>81</v>
      </c>
      <c r="C8586" s="100" t="s">
        <v>32</v>
      </c>
      <c r="D8586" s="6">
        <v>46188</v>
      </c>
      <c r="E8586" s="3" t="str">
        <f ca="1">IF(Tabela2[[#This Row],[Dt Venc:]]&gt;TODAY(),"Em Aberto",IF(Tabela2[[#This Row],[D/venc]]="-","Enviado",IF(Tabela2[[#This Row],[Dt Venc:]]=TODAY(),"Vence Hoje","Vencida")))</f>
        <v>Em Aberto</v>
      </c>
      <c r="F8586" s="3">
        <f ca="1">IF(G8586=1,"-",Tabela2[[#This Row],[Dt Venc:]]-TODAY())</f>
        <v>495</v>
      </c>
      <c r="G8586" s="3"/>
      <c r="H8586" s="3"/>
    </row>
    <row r="8587" spans="1:8">
      <c r="A8587" s="3">
        <v>892178</v>
      </c>
      <c r="B8587" s="7" t="s">
        <v>253</v>
      </c>
      <c r="C8587" s="100" t="s">
        <v>32</v>
      </c>
      <c r="D8587" s="6">
        <v>46188</v>
      </c>
      <c r="E8587" s="3" t="str">
        <f ca="1">IF(Tabela2[[#This Row],[Dt Venc:]]&gt;TODAY(),"Em Aberto",IF(Tabela2[[#This Row],[D/venc]]="-","Enviado",IF(Tabela2[[#This Row],[Dt Venc:]]=TODAY(),"Vence Hoje","Vencida")))</f>
        <v>Em Aberto</v>
      </c>
      <c r="F8587" s="3">
        <f ca="1">IF(G8587=1,"-",Tabela2[[#This Row],[Dt Venc:]]-TODAY())</f>
        <v>495</v>
      </c>
      <c r="G8587" s="3"/>
      <c r="H8587" s="3"/>
    </row>
    <row r="8588" spans="1:8">
      <c r="A8588" s="3">
        <v>894135</v>
      </c>
      <c r="B8588" s="7" t="s">
        <v>253</v>
      </c>
      <c r="C8588" s="100" t="s">
        <v>32</v>
      </c>
      <c r="D8588" s="6">
        <v>46188</v>
      </c>
      <c r="E8588" s="3" t="str">
        <f ca="1">IF(Tabela2[[#This Row],[Dt Venc:]]&gt;TODAY(),"Em Aberto",IF(Tabela2[[#This Row],[D/venc]]="-","Enviado",IF(Tabela2[[#This Row],[Dt Venc:]]=TODAY(),"Vence Hoje","Vencida")))</f>
        <v>Em Aberto</v>
      </c>
      <c r="F8588" s="3">
        <f ca="1">IF(G8588=1,"-",Tabela2[[#This Row],[Dt Venc:]]-TODAY())</f>
        <v>495</v>
      </c>
      <c r="G8588" s="3"/>
      <c r="H8588" s="3"/>
    </row>
    <row r="8589" spans="1:8">
      <c r="A8589" s="3">
        <v>896565</v>
      </c>
      <c r="B8589" s="7" t="s">
        <v>253</v>
      </c>
      <c r="C8589" s="100" t="s">
        <v>32</v>
      </c>
      <c r="D8589" s="6">
        <v>46188</v>
      </c>
      <c r="E8589" s="3" t="str">
        <f ca="1">IF(Tabela2[[#This Row],[Dt Venc:]]&gt;TODAY(),"Em Aberto",IF(Tabela2[[#This Row],[D/venc]]="-","Enviado",IF(Tabela2[[#This Row],[Dt Venc:]]=TODAY(),"Vence Hoje","Vencida")))</f>
        <v>Em Aberto</v>
      </c>
      <c r="F8589" s="3">
        <f ca="1">IF(G8589=1,"-",Tabela2[[#This Row],[Dt Venc:]]-TODAY())</f>
        <v>495</v>
      </c>
      <c r="G8589" s="3"/>
      <c r="H8589" s="3"/>
    </row>
    <row r="8590" spans="1:8">
      <c r="A8590" s="3">
        <v>900386</v>
      </c>
      <c r="B8590" s="7" t="s">
        <v>253</v>
      </c>
      <c r="C8590" s="100" t="s">
        <v>32</v>
      </c>
      <c r="D8590" s="6">
        <v>46188</v>
      </c>
      <c r="E8590" s="3" t="str">
        <f ca="1">IF(Tabela2[[#This Row],[Dt Venc:]]&gt;TODAY(),"Em Aberto",IF(Tabela2[[#This Row],[D/venc]]="-","Enviado",IF(Tabela2[[#This Row],[Dt Venc:]]=TODAY(),"Vence Hoje","Vencida")))</f>
        <v>Em Aberto</v>
      </c>
      <c r="F8590" s="3">
        <f ca="1">IF(G8590=1,"-",Tabela2[[#This Row],[Dt Venc:]]-TODAY())</f>
        <v>495</v>
      </c>
      <c r="G8590" s="3"/>
      <c r="H8590" s="3"/>
    </row>
    <row r="8591" spans="1:8">
      <c r="A8591" s="3">
        <v>901787</v>
      </c>
      <c r="B8591" s="7" t="s">
        <v>253</v>
      </c>
      <c r="C8591" s="100" t="s">
        <v>32</v>
      </c>
      <c r="D8591" s="6">
        <v>46188</v>
      </c>
      <c r="E8591" s="3" t="str">
        <f ca="1">IF(Tabela2[[#This Row],[Dt Venc:]]&gt;TODAY(),"Em Aberto",IF(Tabela2[[#This Row],[D/venc]]="-","Enviado",IF(Tabela2[[#This Row],[Dt Venc:]]=TODAY(),"Vence Hoje","Vencida")))</f>
        <v>Em Aberto</v>
      </c>
      <c r="F8591" s="3">
        <f ca="1">IF(G8591=1,"-",Tabela2[[#This Row],[Dt Venc:]]-TODAY())</f>
        <v>495</v>
      </c>
      <c r="G8591" s="3"/>
      <c r="H8591" s="3"/>
    </row>
    <row r="8592" spans="1:8">
      <c r="A8592" s="3">
        <v>901788</v>
      </c>
      <c r="B8592" s="7" t="s">
        <v>253</v>
      </c>
      <c r="C8592" s="100" t="s">
        <v>32</v>
      </c>
      <c r="D8592" s="6">
        <v>46188</v>
      </c>
      <c r="E8592" s="3" t="str">
        <f ca="1">IF(Tabela2[[#This Row],[Dt Venc:]]&gt;TODAY(),"Em Aberto",IF(Tabela2[[#This Row],[D/venc]]="-","Enviado",IF(Tabela2[[#This Row],[Dt Venc:]]=TODAY(),"Vence Hoje","Vencida")))</f>
        <v>Em Aberto</v>
      </c>
      <c r="F8592" s="3">
        <f ca="1">IF(G8592=1,"-",Tabela2[[#This Row],[Dt Venc:]]-TODAY())</f>
        <v>495</v>
      </c>
      <c r="G8592" s="3"/>
      <c r="H8592" s="3"/>
    </row>
    <row r="8593" spans="1:8">
      <c r="A8593" s="3">
        <v>901789</v>
      </c>
      <c r="B8593" s="7" t="s">
        <v>253</v>
      </c>
      <c r="C8593" s="99" t="s">
        <v>32</v>
      </c>
      <c r="D8593" s="6">
        <v>46188</v>
      </c>
      <c r="E8593" s="3" t="str">
        <f ca="1">IF(Tabela2[[#This Row],[Dt Venc:]]&gt;TODAY(),"Em Aberto",IF(Tabela2[[#This Row],[D/venc]]="-","Enviado",IF(Tabela2[[#This Row],[Dt Venc:]]=TODAY(),"Vence Hoje","Vencida")))</f>
        <v>Em Aberto</v>
      </c>
      <c r="F8593" s="3">
        <f ca="1">IF(G8593=1,"-",Tabela2[[#This Row],[Dt Venc:]]-TODAY())</f>
        <v>495</v>
      </c>
      <c r="G8593" s="3"/>
      <c r="H8593" s="3"/>
    </row>
    <row r="8594" spans="1:8">
      <c r="A8594" s="3">
        <v>912703</v>
      </c>
      <c r="B8594" s="7" t="s">
        <v>253</v>
      </c>
      <c r="C8594" s="100" t="s">
        <v>32</v>
      </c>
      <c r="D8594" s="6">
        <v>46188</v>
      </c>
      <c r="E8594" s="3" t="str">
        <f ca="1">IF(Tabela2[[#This Row],[Dt Venc:]]&gt;TODAY(),"Em Aberto",IF(Tabela2[[#This Row],[D/venc]]="-","Enviado",IF(Tabela2[[#This Row],[Dt Venc:]]=TODAY(),"Vence Hoje","Vencida")))</f>
        <v>Em Aberto</v>
      </c>
      <c r="F8594" s="3">
        <f ca="1">IF(G8594=1,"-",Tabela2[[#This Row],[Dt Venc:]]-TODAY())</f>
        <v>495</v>
      </c>
      <c r="G8594" s="3"/>
      <c r="H8594" s="3"/>
    </row>
    <row r="8595" spans="1:8">
      <c r="A8595" s="3">
        <v>912704</v>
      </c>
      <c r="B8595" s="7" t="s">
        <v>253</v>
      </c>
      <c r="C8595" s="100" t="s">
        <v>32</v>
      </c>
      <c r="D8595" s="6">
        <v>46188</v>
      </c>
      <c r="E8595" s="3" t="str">
        <f ca="1">IF(Tabela2[[#This Row],[Dt Venc:]]&gt;TODAY(),"Em Aberto",IF(Tabela2[[#This Row],[D/venc]]="-","Enviado",IF(Tabela2[[#This Row],[Dt Venc:]]=TODAY(),"Vence Hoje","Vencida")))</f>
        <v>Em Aberto</v>
      </c>
      <c r="F8595" s="3">
        <f ca="1">IF(G8595=1,"-",Tabela2[[#This Row],[Dt Venc:]]-TODAY())</f>
        <v>495</v>
      </c>
      <c r="G8595" s="3"/>
      <c r="H8595" s="3"/>
    </row>
    <row r="8596" spans="1:8">
      <c r="A8596" s="3">
        <v>919728</v>
      </c>
      <c r="B8596" s="7" t="s">
        <v>253</v>
      </c>
      <c r="C8596" s="87" t="s">
        <v>32</v>
      </c>
      <c r="D8596" s="6">
        <v>46188</v>
      </c>
      <c r="E8596" s="3" t="str">
        <f ca="1">IF(Tabela2[[#This Row],[Dt Venc:]]&gt;TODAY(),"Em Aberto",IF(Tabela2[[#This Row],[D/venc]]="-","Enviado",IF(Tabela2[[#This Row],[Dt Venc:]]=TODAY(),"Vence Hoje","Vencida")))</f>
        <v>Em Aberto</v>
      </c>
      <c r="F8596" s="3">
        <f ca="1">IF(G8596=1,"-",Tabela2[[#This Row],[Dt Venc:]]-TODAY())</f>
        <v>495</v>
      </c>
      <c r="G8596" s="3"/>
      <c r="H8596" s="3"/>
    </row>
    <row r="8597" spans="1:8">
      <c r="A8597" s="3">
        <v>919729</v>
      </c>
      <c r="B8597" s="7" t="s">
        <v>253</v>
      </c>
      <c r="C8597" s="87" t="s">
        <v>32</v>
      </c>
      <c r="D8597" s="6">
        <v>46188</v>
      </c>
      <c r="E8597" s="3" t="str">
        <f ca="1">IF(Tabela2[[#This Row],[Dt Venc:]]&gt;TODAY(),"Em Aberto",IF(Tabela2[[#This Row],[D/venc]]="-","Enviado",IF(Tabela2[[#This Row],[Dt Venc:]]=TODAY(),"Vence Hoje","Vencida")))</f>
        <v>Em Aberto</v>
      </c>
      <c r="F8597" s="3">
        <f ca="1">IF(G8597=1,"-",Tabela2[[#This Row],[Dt Venc:]]-TODAY())</f>
        <v>495</v>
      </c>
      <c r="G8597" s="3"/>
      <c r="H8597" s="3"/>
    </row>
    <row r="8598" spans="1:8">
      <c r="A8598" s="3">
        <v>37300</v>
      </c>
      <c r="B8598" s="7" t="s">
        <v>167</v>
      </c>
      <c r="C8598" s="100" t="s">
        <v>32</v>
      </c>
      <c r="D8598" s="6">
        <v>46189</v>
      </c>
      <c r="E8598" s="3" t="str">
        <f ca="1">IF(Tabela2[[#This Row],[Dt Venc:]]&gt;TODAY(),"Em Aberto",IF(Tabela2[[#This Row],[D/venc]]="-","Enviado",IF(Tabela2[[#This Row],[Dt Venc:]]=TODAY(),"Vence Hoje","Vencida")))</f>
        <v>Em Aberto</v>
      </c>
      <c r="F8598" s="3">
        <f ca="1">IF(G8598=1,"-",Tabela2[[#This Row],[Dt Venc:]]-TODAY())</f>
        <v>496</v>
      </c>
      <c r="G8598" s="3"/>
      <c r="H8598" s="3"/>
    </row>
    <row r="8599" spans="1:8">
      <c r="A8599" s="3">
        <v>37196</v>
      </c>
      <c r="B8599" s="7" t="s">
        <v>167</v>
      </c>
      <c r="C8599" s="87" t="s">
        <v>32</v>
      </c>
      <c r="D8599" s="6">
        <v>46190</v>
      </c>
      <c r="E8599" s="3" t="str">
        <f ca="1">IF(Tabela2[[#This Row],[Dt Venc:]]&gt;TODAY(),"Em Aberto",IF(Tabela2[[#This Row],[D/venc]]="-","Enviado",IF(Tabela2[[#This Row],[Dt Venc:]]=TODAY(),"Vence Hoje","Vencida")))</f>
        <v>Em Aberto</v>
      </c>
      <c r="F8599" s="3">
        <f ca="1">IF(G8599=1,"-",Tabela2[[#This Row],[Dt Venc:]]-TODAY())</f>
        <v>497</v>
      </c>
      <c r="G8599" s="3"/>
      <c r="H8599" s="3"/>
    </row>
    <row r="8600" spans="1:8">
      <c r="A8600" s="3">
        <v>37348</v>
      </c>
      <c r="B8600" s="7" t="s">
        <v>167</v>
      </c>
      <c r="C8600" s="100" t="s">
        <v>32</v>
      </c>
      <c r="D8600" s="6">
        <v>46195</v>
      </c>
      <c r="E8600" s="3" t="str">
        <f ca="1">IF(Tabela2[[#This Row],[Dt Venc:]]&gt;TODAY(),"Em Aberto",IF(Tabela2[[#This Row],[D/venc]]="-","Enviado",IF(Tabela2[[#This Row],[Dt Venc:]]=TODAY(),"Vence Hoje","Vencida")))</f>
        <v>Em Aberto</v>
      </c>
      <c r="F8600" s="3">
        <f ca="1">IF(G8600=1,"-",Tabela2[[#This Row],[Dt Venc:]]-TODAY())</f>
        <v>502</v>
      </c>
      <c r="G8600" s="3"/>
      <c r="H8600" s="3"/>
    </row>
    <row r="8601" spans="1:8">
      <c r="A8601" s="3">
        <v>654537</v>
      </c>
      <c r="B8601" s="7" t="s">
        <v>648</v>
      </c>
      <c r="C8601" s="87" t="s">
        <v>32</v>
      </c>
      <c r="D8601" s="6">
        <v>46196</v>
      </c>
      <c r="E8601" s="3" t="str">
        <f ca="1">IF(Tabela2[[#This Row],[Dt Venc:]]&gt;TODAY(),"Em Aberto",IF(Tabela2[[#This Row],[D/venc]]="-","Enviado",IF(Tabela2[[#This Row],[Dt Venc:]]=TODAY(),"Vence Hoje","Vencida")))</f>
        <v>Em Aberto</v>
      </c>
      <c r="F8601" s="3">
        <f ca="1">IF(G8601=1,"-",Tabela2[[#This Row],[Dt Venc:]]-TODAY())</f>
        <v>503</v>
      </c>
      <c r="G8601" s="3"/>
      <c r="H8601" s="3" t="s">
        <v>732</v>
      </c>
    </row>
    <row r="8602" spans="1:8">
      <c r="A8602" s="3">
        <v>495914</v>
      </c>
      <c r="B8602" s="7" t="s">
        <v>153</v>
      </c>
      <c r="C8602" s="99" t="s">
        <v>32</v>
      </c>
      <c r="D8602" s="6">
        <v>46198</v>
      </c>
      <c r="E8602" s="3" t="str">
        <f ca="1">IF(Tabela2[[#This Row],[Dt Venc:]]&gt;TODAY(),"Em Aberto",IF(Tabela2[[#This Row],[D/venc]]="-","Enviado",IF(Tabela2[[#This Row],[Dt Venc:]]=TODAY(),"Vence Hoje","Vencida")))</f>
        <v>Em Aberto</v>
      </c>
      <c r="F8602" s="3">
        <f ca="1">IF(G8602=1,"-",Tabela2[[#This Row],[Dt Venc:]]-TODAY())</f>
        <v>505</v>
      </c>
      <c r="G8602" s="3"/>
      <c r="H8602" s="3"/>
    </row>
    <row r="8603" spans="1:8">
      <c r="A8603" s="3">
        <v>5690</v>
      </c>
      <c r="B8603" s="7" t="s">
        <v>122</v>
      </c>
      <c r="C8603" s="100" t="s">
        <v>32</v>
      </c>
      <c r="D8603" s="6">
        <v>46200</v>
      </c>
      <c r="E8603" s="3" t="str">
        <f ca="1">IF(Tabela2[[#This Row],[Dt Venc:]]&gt;TODAY(),"Em Aberto",IF(Tabela2[[#This Row],[D/venc]]="-","Enviado",IF(Tabela2[[#This Row],[Dt Venc:]]=TODAY(),"Vence Hoje","Vencida")))</f>
        <v>Em Aberto</v>
      </c>
      <c r="F8603" s="3">
        <f ca="1">IF(G8603=1,"-",Tabela2[[#This Row],[Dt Venc:]]-TODAY())</f>
        <v>507</v>
      </c>
      <c r="G8603" s="3"/>
      <c r="H8603" s="3"/>
    </row>
    <row r="8604" spans="1:8">
      <c r="A8604" s="3">
        <v>11681</v>
      </c>
      <c r="B8604" s="7" t="s">
        <v>82</v>
      </c>
      <c r="C8604" s="87" t="s">
        <v>30</v>
      </c>
      <c r="D8604" s="6">
        <v>46203</v>
      </c>
      <c r="E8604" s="3" t="str">
        <f ca="1">IF(Tabela2[[#This Row],[Dt Venc:]]&gt;TODAY(),"Em Aberto",IF(Tabela2[[#This Row],[D/venc]]="-","Enviado",IF(Tabela2[[#This Row],[Dt Venc:]]=TODAY(),"Vence Hoje","Vencida")))</f>
        <v>Em Aberto</v>
      </c>
      <c r="F8604" s="3">
        <f ca="1">IF(G8604=1,"-",Tabela2[[#This Row],[Dt Venc:]]-TODAY())</f>
        <v>510</v>
      </c>
      <c r="G8604" s="3"/>
      <c r="H8604" s="3"/>
    </row>
    <row r="8605" spans="1:8">
      <c r="A8605" s="3" t="s">
        <v>28</v>
      </c>
      <c r="B8605" s="7" t="s">
        <v>391</v>
      </c>
      <c r="C8605" s="85" t="s">
        <v>30</v>
      </c>
      <c r="D8605" s="6">
        <v>46203</v>
      </c>
      <c r="E8605" s="3" t="str">
        <f ca="1">IF(Tabela2[[#This Row],[Dt Venc:]]&gt;TODAY(),"Em Aberto",IF(Tabela2[[#This Row],[D/venc]]="-","Enviado",IF(Tabela2[[#This Row],[Dt Venc:]]=TODAY(),"Vence Hoje","Vencida")))</f>
        <v>Em Aberto</v>
      </c>
      <c r="F8605" s="3">
        <f ca="1">IF(G8605=1,"-",Tabela2[[#This Row],[Dt Venc:]]-TODAY())</f>
        <v>510</v>
      </c>
      <c r="G8605" s="3"/>
      <c r="H8605" s="3"/>
    </row>
    <row r="8606" spans="1:8">
      <c r="A8606" s="3" t="s">
        <v>123</v>
      </c>
      <c r="B8606" s="7" t="s">
        <v>386</v>
      </c>
      <c r="C8606" s="87" t="s">
        <v>32</v>
      </c>
      <c r="D8606" s="6">
        <v>46203</v>
      </c>
      <c r="E8606" s="3" t="str">
        <f ca="1">IF(Tabela2[[#This Row],[Dt Venc:]]&gt;TODAY(),"Em Aberto",IF(Tabela2[[#This Row],[D/venc]]="-","Enviado",IF(Tabela2[[#This Row],[Dt Venc:]]=TODAY(),"Vence Hoje","Vencida")))</f>
        <v>Em Aberto</v>
      </c>
      <c r="F8606" s="3">
        <f ca="1">IF(G8606=1,"-",Tabela2[[#This Row],[Dt Venc:]]-TODAY())</f>
        <v>510</v>
      </c>
      <c r="G8606" s="3"/>
      <c r="H8606" s="3"/>
    </row>
    <row r="8607" spans="1:8">
      <c r="A8607" s="3">
        <v>36910</v>
      </c>
      <c r="B8607" s="7" t="s">
        <v>167</v>
      </c>
      <c r="C8607" s="100" t="s">
        <v>32</v>
      </c>
      <c r="D8607" s="6">
        <v>46204</v>
      </c>
      <c r="E8607" s="3" t="str">
        <f ca="1">IF(Tabela2[[#This Row],[Dt Venc:]]&gt;TODAY(),"Em Aberto",IF(Tabela2[[#This Row],[D/venc]]="-","Enviado",IF(Tabela2[[#This Row],[Dt Venc:]]=TODAY(),"Vence Hoje","Vencida")))</f>
        <v>Em Aberto</v>
      </c>
      <c r="F8607" s="3">
        <f ca="1">IF(G8607=1,"-",Tabela2[[#This Row],[Dt Venc:]]-TODAY())</f>
        <v>511</v>
      </c>
      <c r="G8607" s="3"/>
      <c r="H8607" s="3"/>
    </row>
    <row r="8608" spans="1:8">
      <c r="A8608" s="3">
        <v>10494</v>
      </c>
      <c r="B8608" s="7" t="s">
        <v>82</v>
      </c>
      <c r="C8608" s="88" t="s">
        <v>30</v>
      </c>
      <c r="D8608" s="6">
        <v>46206</v>
      </c>
      <c r="E8608" s="3" t="str">
        <f ca="1">IF(Tabela2[[#This Row],[Dt Venc:]]&gt;TODAY(),"Em Aberto",IF(Tabela2[[#This Row],[D/venc]]="-","Enviado",IF(Tabela2[[#This Row],[Dt Venc:]]=TODAY(),"Vence Hoje","Vencida")))</f>
        <v>Em Aberto</v>
      </c>
      <c r="F8608" s="3">
        <f ca="1">IF(G8608=1,"-",Tabela2[[#This Row],[Dt Venc:]]-TODAY())</f>
        <v>513</v>
      </c>
      <c r="G8608" s="3"/>
      <c r="H8608" s="3"/>
    </row>
    <row r="8609" spans="1:8">
      <c r="A8609" s="3">
        <v>5680</v>
      </c>
      <c r="B8609" s="7" t="s">
        <v>122</v>
      </c>
      <c r="C8609" s="99" t="s">
        <v>32</v>
      </c>
      <c r="D8609" s="6">
        <v>46208</v>
      </c>
      <c r="E8609" s="3" t="str">
        <f ca="1">IF(Tabela2[[#This Row],[Dt Venc:]]&gt;TODAY(),"Em Aberto",IF(Tabela2[[#This Row],[D/venc]]="-","Enviado",IF(Tabela2[[#This Row],[Dt Venc:]]=TODAY(),"Vence Hoje","Vencida")))</f>
        <v>Em Aberto</v>
      </c>
      <c r="F8609" s="3">
        <f ca="1">IF(G8609=1,"-",Tabela2[[#This Row],[Dt Venc:]]-TODAY())</f>
        <v>515</v>
      </c>
      <c r="G8609" s="3"/>
      <c r="H8609" s="3"/>
    </row>
    <row r="8610" spans="1:8">
      <c r="A8610" s="3">
        <v>10353</v>
      </c>
      <c r="B8610" s="7" t="s">
        <v>82</v>
      </c>
      <c r="C8610" s="100" t="s">
        <v>32</v>
      </c>
      <c r="D8610" s="6">
        <v>46208</v>
      </c>
      <c r="E8610" s="3" t="str">
        <f ca="1">IF(Tabela2[[#This Row],[Dt Venc:]]&gt;TODAY(),"Em Aberto",IF(Tabela2[[#This Row],[D/venc]]="-","Enviado",IF(Tabela2[[#This Row],[Dt Venc:]]=TODAY(),"Vence Hoje","Vencida")))</f>
        <v>Em Aberto</v>
      </c>
      <c r="F8610" s="3">
        <f ca="1">IF(G8610=1,"-",Tabela2[[#This Row],[Dt Venc:]]-TODAY())</f>
        <v>515</v>
      </c>
      <c r="G8610" s="3"/>
      <c r="H8610" s="3"/>
    </row>
    <row r="8611" spans="1:8">
      <c r="A8611" s="3">
        <v>284620</v>
      </c>
      <c r="B8611" s="7" t="s">
        <v>153</v>
      </c>
      <c r="C8611" s="99" t="s">
        <v>32</v>
      </c>
      <c r="D8611" s="6">
        <v>46211</v>
      </c>
      <c r="E8611" s="3" t="str">
        <f ca="1">IF(Tabela2[[#This Row],[Dt Venc:]]&gt;TODAY(),"Em Aberto",IF(Tabela2[[#This Row],[D/venc]]="-","Enviado",IF(Tabela2[[#This Row],[Dt Venc:]]=TODAY(),"Vence Hoje","Vencida")))</f>
        <v>Em Aberto</v>
      </c>
      <c r="F8611" s="3">
        <f ca="1">IF(G8611=1,"-",Tabela2[[#This Row],[Dt Venc:]]-TODAY())</f>
        <v>518</v>
      </c>
      <c r="G8611" s="3"/>
      <c r="H8611" s="3"/>
    </row>
    <row r="8612" spans="1:8">
      <c r="A8612" s="3">
        <v>36949</v>
      </c>
      <c r="B8612" s="7" t="s">
        <v>167</v>
      </c>
      <c r="C8612" s="100" t="s">
        <v>32</v>
      </c>
      <c r="D8612" s="6">
        <v>46212</v>
      </c>
      <c r="E8612" s="3" t="str">
        <f ca="1">IF(Tabela2[[#This Row],[Dt Venc:]]&gt;TODAY(),"Em Aberto",IF(Tabela2[[#This Row],[D/venc]]="-","Enviado",IF(Tabela2[[#This Row],[Dt Venc:]]=TODAY(),"Vence Hoje","Vencida")))</f>
        <v>Em Aberto</v>
      </c>
      <c r="F8612" s="3">
        <f ca="1">IF(G8612=1,"-",Tabela2[[#This Row],[Dt Venc:]]-TODAY())</f>
        <v>519</v>
      </c>
      <c r="G8612" s="3"/>
      <c r="H8612" s="3"/>
    </row>
    <row r="8613" spans="1:8">
      <c r="A8613" s="3">
        <v>756561</v>
      </c>
      <c r="B8613" s="7" t="s">
        <v>166</v>
      </c>
      <c r="C8613" s="100" t="s">
        <v>32</v>
      </c>
      <c r="D8613" s="6">
        <v>46212</v>
      </c>
      <c r="E8613" s="3" t="str">
        <f ca="1">IF(Tabela2[[#This Row],[Dt Venc:]]&gt;TODAY(),"Em Aberto",IF(Tabela2[[#This Row],[D/venc]]="-","Enviado",IF(Tabela2[[#This Row],[Dt Venc:]]=TODAY(),"Vence Hoje","Vencida")))</f>
        <v>Em Aberto</v>
      </c>
      <c r="F8613" s="3">
        <f ca="1">IF(G8613=1,"-",Tabela2[[#This Row],[Dt Venc:]]-TODAY())</f>
        <v>519</v>
      </c>
      <c r="G8613" s="3"/>
      <c r="H8613" s="3"/>
    </row>
    <row r="8614" spans="1:8">
      <c r="A8614" s="3" t="s">
        <v>179</v>
      </c>
      <c r="B8614" s="7" t="s">
        <v>190</v>
      </c>
      <c r="C8614" s="100" t="s">
        <v>32</v>
      </c>
      <c r="D8614" s="6">
        <v>46213</v>
      </c>
      <c r="E8614" s="3" t="str">
        <f ca="1">IF(Tabela2[[#This Row],[Dt Venc:]]&gt;TODAY(),"Em Aberto",IF(Tabela2[[#This Row],[D/venc]]="-","Enviado",IF(Tabela2[[#This Row],[Dt Venc:]]=TODAY(),"Vence Hoje","Vencida")))</f>
        <v>Em Aberto</v>
      </c>
      <c r="F8614" s="3">
        <f ca="1">IF(G8614=1,"-",Tabela2[[#This Row],[Dt Venc:]]-TODAY())</f>
        <v>520</v>
      </c>
      <c r="G8614" s="3"/>
      <c r="H8614" s="3"/>
    </row>
    <row r="8615" spans="1:8">
      <c r="A8615" s="3">
        <v>37327</v>
      </c>
      <c r="B8615" s="7" t="s">
        <v>167</v>
      </c>
      <c r="C8615" s="100" t="s">
        <v>32</v>
      </c>
      <c r="D8615" s="6">
        <v>46214</v>
      </c>
      <c r="E8615" s="3" t="str">
        <f ca="1">IF(Tabela2[[#This Row],[Dt Venc:]]&gt;TODAY(),"Em Aberto",IF(Tabela2[[#This Row],[D/venc]]="-","Enviado",IF(Tabela2[[#This Row],[Dt Venc:]]=TODAY(),"Vence Hoje","Vencida")))</f>
        <v>Em Aberto</v>
      </c>
      <c r="F8615" s="3">
        <f ca="1">IF(G8615=1,"-",Tabela2[[#This Row],[Dt Venc:]]-TODAY())</f>
        <v>521</v>
      </c>
      <c r="G8615" s="3"/>
      <c r="H8615" s="3"/>
    </row>
    <row r="8616" spans="1:8">
      <c r="A8616" s="3">
        <v>37292</v>
      </c>
      <c r="B8616" s="7" t="s">
        <v>167</v>
      </c>
      <c r="C8616" s="100" t="s">
        <v>32</v>
      </c>
      <c r="D8616" s="6">
        <v>46216</v>
      </c>
      <c r="E8616" s="3" t="str">
        <f ca="1">IF(Tabela2[[#This Row],[Dt Venc:]]&gt;TODAY(),"Em Aberto",IF(Tabela2[[#This Row],[D/venc]]="-","Enviado",IF(Tabela2[[#This Row],[Dt Venc:]]=TODAY(),"Vence Hoje","Vencida")))</f>
        <v>Em Aberto</v>
      </c>
      <c r="F8616" s="3">
        <f ca="1">IF(G8616=1,"-",Tabela2[[#This Row],[Dt Venc:]]-TODAY())</f>
        <v>523</v>
      </c>
      <c r="G8616" s="3"/>
      <c r="H8616" s="3"/>
    </row>
    <row r="8617" spans="1:8">
      <c r="A8617" s="3">
        <v>562</v>
      </c>
      <c r="B8617" s="7" t="s">
        <v>251</v>
      </c>
      <c r="C8617" s="100" t="s">
        <v>32</v>
      </c>
      <c r="D8617" s="6">
        <v>46218</v>
      </c>
      <c r="E8617" s="3" t="str">
        <f ca="1">IF(Tabela2[[#This Row],[Dt Venc:]]&gt;TODAY(),"Em Aberto",IF(Tabela2[[#This Row],[D/venc]]="-","Enviado",IF(Tabela2[[#This Row],[Dt Venc:]]=TODAY(),"Vence Hoje","Vencida")))</f>
        <v>Em Aberto</v>
      </c>
      <c r="F8617" s="3">
        <f ca="1">IF(G8617=1,"-",Tabela2[[#This Row],[Dt Venc:]]-TODAY())</f>
        <v>525</v>
      </c>
      <c r="G8617" s="3"/>
      <c r="H8617" s="3"/>
    </row>
    <row r="8618" spans="1:8">
      <c r="A8618" s="3">
        <v>103015</v>
      </c>
      <c r="B8618" s="7" t="s">
        <v>252</v>
      </c>
      <c r="C8618" s="100" t="s">
        <v>32</v>
      </c>
      <c r="D8618" s="6">
        <v>46218</v>
      </c>
      <c r="E8618" s="3" t="str">
        <f ca="1">IF(Tabela2[[#This Row],[Dt Venc:]]&gt;TODAY(),"Em Aberto",IF(Tabela2[[#This Row],[D/venc]]="-","Enviado",IF(Tabela2[[#This Row],[Dt Venc:]]=TODAY(),"Vence Hoje","Vencida")))</f>
        <v>Em Aberto</v>
      </c>
      <c r="F8618" s="3">
        <f ca="1">IF(G8618=1,"-",Tabela2[[#This Row],[Dt Venc:]]-TODAY())</f>
        <v>525</v>
      </c>
      <c r="G8618" s="3"/>
      <c r="H8618" s="3"/>
    </row>
    <row r="8619" spans="1:8">
      <c r="A8619" s="3">
        <v>103077</v>
      </c>
      <c r="B8619" s="7" t="s">
        <v>252</v>
      </c>
      <c r="C8619" s="100" t="s">
        <v>32</v>
      </c>
      <c r="D8619" s="6">
        <v>46218</v>
      </c>
      <c r="E8619" s="3" t="str">
        <f ca="1">IF(Tabela2[[#This Row],[Dt Venc:]]&gt;TODAY(),"Em Aberto",IF(Tabela2[[#This Row],[D/venc]]="-","Enviado",IF(Tabela2[[#This Row],[Dt Venc:]]=TODAY(),"Vence Hoje","Vencida")))</f>
        <v>Em Aberto</v>
      </c>
      <c r="F8619" s="3">
        <f ca="1">IF(G8619=1,"-",Tabela2[[#This Row],[Dt Venc:]]-TODAY())</f>
        <v>525</v>
      </c>
      <c r="G8619" s="3"/>
      <c r="H8619" s="3"/>
    </row>
    <row r="8620" spans="1:8">
      <c r="A8620" s="3">
        <v>103153</v>
      </c>
      <c r="B8620" s="7" t="s">
        <v>252</v>
      </c>
      <c r="C8620" s="87" t="s">
        <v>32</v>
      </c>
      <c r="D8620" s="6">
        <v>46218</v>
      </c>
      <c r="E8620" s="3" t="str">
        <f ca="1">IF(Tabela2[[#This Row],[Dt Venc:]]&gt;TODAY(),"Em Aberto",IF(Tabela2[[#This Row],[D/venc]]="-","Enviado",IF(Tabela2[[#This Row],[Dt Venc:]]=TODAY(),"Vence Hoje","Vencida")))</f>
        <v>Em Aberto</v>
      </c>
      <c r="F8620" s="3">
        <f ca="1">IF(G8620=1,"-",Tabela2[[#This Row],[Dt Venc:]]-TODAY())</f>
        <v>525</v>
      </c>
      <c r="G8620" s="3"/>
      <c r="H8620" s="3"/>
    </row>
    <row r="8621" spans="1:8">
      <c r="A8621" s="3">
        <v>103154</v>
      </c>
      <c r="B8621" s="7" t="s">
        <v>252</v>
      </c>
      <c r="C8621" s="100" t="s">
        <v>32</v>
      </c>
      <c r="D8621" s="6">
        <v>46218</v>
      </c>
      <c r="E8621" s="3" t="str">
        <f ca="1">IF(Tabela2[[#This Row],[Dt Venc:]]&gt;TODAY(),"Em Aberto",IF(Tabela2[[#This Row],[D/venc]]="-","Enviado",IF(Tabela2[[#This Row],[Dt Venc:]]=TODAY(),"Vence Hoje","Vencida")))</f>
        <v>Em Aberto</v>
      </c>
      <c r="F8621" s="3">
        <f ca="1">IF(G8621=1,"-",Tabela2[[#This Row],[Dt Venc:]]-TODAY())</f>
        <v>525</v>
      </c>
      <c r="G8621" s="3"/>
      <c r="H8621" s="3"/>
    </row>
    <row r="8622" spans="1:8">
      <c r="A8622" s="3">
        <v>106007</v>
      </c>
      <c r="B8622" s="7" t="s">
        <v>252</v>
      </c>
      <c r="C8622" s="100" t="s">
        <v>32</v>
      </c>
      <c r="D8622" s="6">
        <v>46218</v>
      </c>
      <c r="E8622" s="3" t="str">
        <f ca="1">IF(Tabela2[[#This Row],[Dt Venc:]]&gt;TODAY(),"Em Aberto",IF(Tabela2[[#This Row],[D/venc]]="-","Enviado",IF(Tabela2[[#This Row],[Dt Venc:]]=TODAY(),"Vence Hoje","Vencida")))</f>
        <v>Em Aberto</v>
      </c>
      <c r="F8622" s="3">
        <f ca="1">IF(G8622=1,"-",Tabela2[[#This Row],[Dt Venc:]]-TODAY())</f>
        <v>525</v>
      </c>
      <c r="G8622" s="3"/>
      <c r="H8622" s="3"/>
    </row>
    <row r="8623" spans="1:8">
      <c r="A8623" s="3">
        <v>106043</v>
      </c>
      <c r="B8623" s="7" t="s">
        <v>252</v>
      </c>
      <c r="C8623" s="100" t="s">
        <v>32</v>
      </c>
      <c r="D8623" s="6">
        <v>46218</v>
      </c>
      <c r="E8623" s="3" t="str">
        <f ca="1">IF(Tabela2[[#This Row],[Dt Venc:]]&gt;TODAY(),"Em Aberto",IF(Tabela2[[#This Row],[D/venc]]="-","Enviado",IF(Tabela2[[#This Row],[Dt Venc:]]=TODAY(),"Vence Hoje","Vencida")))</f>
        <v>Em Aberto</v>
      </c>
      <c r="F8623" s="3">
        <f ca="1">IF(G8623=1,"-",Tabela2[[#This Row],[Dt Venc:]]-TODAY())</f>
        <v>525</v>
      </c>
      <c r="G8623" s="3"/>
      <c r="H8623" s="3"/>
    </row>
    <row r="8624" spans="1:8">
      <c r="A8624" s="3">
        <v>107829</v>
      </c>
      <c r="B8624" s="7" t="s">
        <v>252</v>
      </c>
      <c r="C8624" s="100" t="s">
        <v>32</v>
      </c>
      <c r="D8624" s="6">
        <v>46218</v>
      </c>
      <c r="E8624" s="3" t="str">
        <f ca="1">IF(Tabela2[[#This Row],[Dt Venc:]]&gt;TODAY(),"Em Aberto",IF(Tabela2[[#This Row],[D/venc]]="-","Enviado",IF(Tabela2[[#This Row],[Dt Venc:]]=TODAY(),"Vence Hoje","Vencida")))</f>
        <v>Em Aberto</v>
      </c>
      <c r="F8624" s="3">
        <f ca="1">IF(G8624=1,"-",Tabela2[[#This Row],[Dt Venc:]]-TODAY())</f>
        <v>525</v>
      </c>
      <c r="G8624" s="3"/>
      <c r="H8624" s="3"/>
    </row>
    <row r="8625" spans="1:8">
      <c r="A8625" s="3">
        <v>107830</v>
      </c>
      <c r="B8625" s="7" t="s">
        <v>252</v>
      </c>
      <c r="C8625" s="87" t="s">
        <v>32</v>
      </c>
      <c r="D8625" s="6">
        <v>46218</v>
      </c>
      <c r="E8625" s="3" t="str">
        <f ca="1">IF(Tabela2[[#This Row],[Dt Venc:]]&gt;TODAY(),"Em Aberto",IF(Tabela2[[#This Row],[D/venc]]="-","Enviado",IF(Tabela2[[#This Row],[Dt Venc:]]=TODAY(),"Vence Hoje","Vencida")))</f>
        <v>Em Aberto</v>
      </c>
      <c r="F8625" s="3">
        <f ca="1">IF(G8625=1,"-",Tabela2[[#This Row],[Dt Venc:]]-TODAY())</f>
        <v>525</v>
      </c>
      <c r="G8625" s="3"/>
      <c r="H8625" s="3"/>
    </row>
    <row r="8626" spans="1:8">
      <c r="A8626" s="3">
        <v>107831</v>
      </c>
      <c r="B8626" s="7" t="s">
        <v>252</v>
      </c>
      <c r="C8626" s="100" t="s">
        <v>32</v>
      </c>
      <c r="D8626" s="6">
        <v>46218</v>
      </c>
      <c r="E8626" s="3" t="str">
        <f ca="1">IF(Tabela2[[#This Row],[Dt Venc:]]&gt;TODAY(),"Em Aberto",IF(Tabela2[[#This Row],[D/venc]]="-","Enviado",IF(Tabela2[[#This Row],[Dt Venc:]]=TODAY(),"Vence Hoje","Vencida")))</f>
        <v>Em Aberto</v>
      </c>
      <c r="F8626" s="3">
        <f ca="1">IF(G8626=1,"-",Tabela2[[#This Row],[Dt Venc:]]-TODAY())</f>
        <v>525</v>
      </c>
      <c r="G8626" s="3"/>
      <c r="H8626" s="3"/>
    </row>
    <row r="8627" spans="1:8">
      <c r="A8627" s="3">
        <v>107832</v>
      </c>
      <c r="B8627" s="7" t="s">
        <v>252</v>
      </c>
      <c r="C8627" s="100" t="s">
        <v>32</v>
      </c>
      <c r="D8627" s="6">
        <v>46218</v>
      </c>
      <c r="E8627" s="3" t="str">
        <f ca="1">IF(Tabela2[[#This Row],[Dt Venc:]]&gt;TODAY(),"Em Aberto",IF(Tabela2[[#This Row],[D/venc]]="-","Enviado",IF(Tabela2[[#This Row],[Dt Venc:]]=TODAY(),"Vence Hoje","Vencida")))</f>
        <v>Em Aberto</v>
      </c>
      <c r="F8627" s="3">
        <f ca="1">IF(G8627=1,"-",Tabela2[[#This Row],[Dt Venc:]]-TODAY())</f>
        <v>525</v>
      </c>
      <c r="G8627" s="3"/>
      <c r="H8627" s="3"/>
    </row>
    <row r="8628" spans="1:8">
      <c r="A8628" s="3">
        <v>361229</v>
      </c>
      <c r="B8628" s="7" t="s">
        <v>250</v>
      </c>
      <c r="C8628" s="100" t="s">
        <v>32</v>
      </c>
      <c r="D8628" s="6">
        <v>46218</v>
      </c>
      <c r="E8628" s="3" t="str">
        <f ca="1">IF(Tabela2[[#This Row],[Dt Venc:]]&gt;TODAY(),"Em Aberto",IF(Tabela2[[#This Row],[D/venc]]="-","Enviado",IF(Tabela2[[#This Row],[Dt Venc:]]=TODAY(),"Vence Hoje","Vencida")))</f>
        <v>Em Aberto</v>
      </c>
      <c r="F8628" s="3">
        <f ca="1">IF(G8628=1,"-",Tabela2[[#This Row],[Dt Venc:]]-TODAY())</f>
        <v>525</v>
      </c>
      <c r="G8628" s="3"/>
      <c r="H8628" s="3"/>
    </row>
    <row r="8629" spans="1:8">
      <c r="A8629" s="3">
        <v>361237</v>
      </c>
      <c r="B8629" s="7" t="s">
        <v>250</v>
      </c>
      <c r="C8629" s="100" t="s">
        <v>32</v>
      </c>
      <c r="D8629" s="6">
        <v>46218</v>
      </c>
      <c r="E8629" s="3" t="str">
        <f ca="1">IF(Tabela2[[#This Row],[Dt Venc:]]&gt;TODAY(),"Em Aberto",IF(Tabela2[[#This Row],[D/venc]]="-","Enviado",IF(Tabela2[[#This Row],[Dt Venc:]]=TODAY(),"Vence Hoje","Vencida")))</f>
        <v>Em Aberto</v>
      </c>
      <c r="F8629" s="3">
        <f ca="1">IF(G8629=1,"-",Tabela2[[#This Row],[Dt Venc:]]-TODAY())</f>
        <v>525</v>
      </c>
      <c r="G8629" s="3"/>
      <c r="H8629" s="3"/>
    </row>
    <row r="8630" spans="1:8">
      <c r="A8630" s="3">
        <v>365658</v>
      </c>
      <c r="B8630" s="7" t="s">
        <v>250</v>
      </c>
      <c r="C8630" s="100" t="s">
        <v>32</v>
      </c>
      <c r="D8630" s="6">
        <v>46218</v>
      </c>
      <c r="E8630" s="3" t="str">
        <f ca="1">IF(Tabela2[[#This Row],[Dt Venc:]]&gt;TODAY(),"Em Aberto",IF(Tabela2[[#This Row],[D/venc]]="-","Enviado",IF(Tabela2[[#This Row],[Dt Venc:]]=TODAY(),"Vence Hoje","Vencida")))</f>
        <v>Em Aberto</v>
      </c>
      <c r="F8630" s="3">
        <f ca="1">IF(G8630=1,"-",Tabela2[[#This Row],[Dt Venc:]]-TODAY())</f>
        <v>525</v>
      </c>
      <c r="G8630" s="3"/>
      <c r="H8630" s="3"/>
    </row>
    <row r="8631" spans="1:8">
      <c r="A8631" s="3">
        <v>365666</v>
      </c>
      <c r="B8631" s="7" t="s">
        <v>250</v>
      </c>
      <c r="C8631" s="100" t="s">
        <v>32</v>
      </c>
      <c r="D8631" s="6">
        <v>46218</v>
      </c>
      <c r="E8631" s="3" t="str">
        <f ca="1">IF(Tabela2[[#This Row],[Dt Venc:]]&gt;TODAY(),"Em Aberto",IF(Tabela2[[#This Row],[D/venc]]="-","Enviado",IF(Tabela2[[#This Row],[Dt Venc:]]=TODAY(),"Vence Hoje","Vencida")))</f>
        <v>Em Aberto</v>
      </c>
      <c r="F8631" s="3">
        <f ca="1">IF(G8631=1,"-",Tabela2[[#This Row],[Dt Venc:]]-TODAY())</f>
        <v>525</v>
      </c>
      <c r="G8631" s="3"/>
      <c r="H8631" s="3"/>
    </row>
    <row r="8632" spans="1:8">
      <c r="A8632" s="3">
        <v>365674</v>
      </c>
      <c r="B8632" s="7" t="s">
        <v>250</v>
      </c>
      <c r="C8632" s="100" t="s">
        <v>32</v>
      </c>
      <c r="D8632" s="6">
        <v>46218</v>
      </c>
      <c r="E8632" s="3" t="str">
        <f ca="1">IF(Tabela2[[#This Row],[Dt Venc:]]&gt;TODAY(),"Em Aberto",IF(Tabela2[[#This Row],[D/venc]]="-","Enviado",IF(Tabela2[[#This Row],[Dt Venc:]]=TODAY(),"Vence Hoje","Vencida")))</f>
        <v>Em Aberto</v>
      </c>
      <c r="F8632" s="3">
        <f ca="1">IF(G8632=1,"-",Tabela2[[#This Row],[Dt Venc:]]-TODAY())</f>
        <v>525</v>
      </c>
      <c r="G8632" s="3"/>
      <c r="H8632" s="3"/>
    </row>
    <row r="8633" spans="1:8">
      <c r="A8633" s="3">
        <v>365682</v>
      </c>
      <c r="B8633" s="7" t="s">
        <v>250</v>
      </c>
      <c r="C8633" s="100" t="s">
        <v>32</v>
      </c>
      <c r="D8633" s="6">
        <v>46218</v>
      </c>
      <c r="E8633" s="3" t="str">
        <f ca="1">IF(Tabela2[[#This Row],[Dt Venc:]]&gt;TODAY(),"Em Aberto",IF(Tabela2[[#This Row],[D/venc]]="-","Enviado",IF(Tabela2[[#This Row],[Dt Venc:]]=TODAY(),"Vence Hoje","Vencida")))</f>
        <v>Em Aberto</v>
      </c>
      <c r="F8633" s="3">
        <f ca="1">IF(G8633=1,"-",Tabela2[[#This Row],[Dt Venc:]]-TODAY())</f>
        <v>525</v>
      </c>
      <c r="G8633" s="3"/>
      <c r="H8633" s="3"/>
    </row>
    <row r="8634" spans="1:8">
      <c r="A8634" s="3">
        <v>369335</v>
      </c>
      <c r="B8634" s="7" t="s">
        <v>543</v>
      </c>
      <c r="C8634" s="87" t="s">
        <v>32</v>
      </c>
      <c r="D8634" s="6">
        <v>46218</v>
      </c>
      <c r="E8634" s="3" t="str">
        <f ca="1">IF(Tabela2[[#This Row],[Dt Venc:]]&gt;TODAY(),"Em Aberto",IF(Tabela2[[#This Row],[D/venc]]="-","Enviado",IF(Tabela2[[#This Row],[Dt Venc:]]=TODAY(),"Vence Hoje","Vencida")))</f>
        <v>Em Aberto</v>
      </c>
      <c r="F8634" s="3">
        <f ca="1">IF(G8634=1,"-",Tabela2[[#This Row],[Dt Venc:]]-TODAY())</f>
        <v>525</v>
      </c>
      <c r="G8634" s="3"/>
      <c r="H8634" s="3"/>
    </row>
    <row r="8635" spans="1:8">
      <c r="A8635" s="3">
        <v>369696</v>
      </c>
      <c r="B8635" s="7" t="s">
        <v>543</v>
      </c>
      <c r="C8635" s="87" t="s">
        <v>32</v>
      </c>
      <c r="D8635" s="6">
        <v>46218</v>
      </c>
      <c r="E8635" s="3" t="str">
        <f ca="1">IF(Tabela2[[#This Row],[Dt Venc:]]&gt;TODAY(),"Em Aberto",IF(Tabela2[[#This Row],[D/venc]]="-","Enviado",IF(Tabela2[[#This Row],[Dt Venc:]]=TODAY(),"Vence Hoje","Vencida")))</f>
        <v>Em Aberto</v>
      </c>
      <c r="F8635" s="3">
        <f ca="1">IF(G8635=1,"-",Tabela2[[#This Row],[Dt Venc:]]-TODAY())</f>
        <v>525</v>
      </c>
      <c r="G8635" s="3"/>
      <c r="H8635" s="3"/>
    </row>
    <row r="8636" spans="1:8">
      <c r="A8636" s="3">
        <v>369726</v>
      </c>
      <c r="B8636" s="7" t="s">
        <v>543</v>
      </c>
      <c r="C8636" s="87" t="s">
        <v>32</v>
      </c>
      <c r="D8636" s="6">
        <v>46218</v>
      </c>
      <c r="E8636" s="3" t="str">
        <f ca="1">IF(Tabela2[[#This Row],[Dt Venc:]]&gt;TODAY(),"Em Aberto",IF(Tabela2[[#This Row],[D/venc]]="-","Enviado",IF(Tabela2[[#This Row],[Dt Venc:]]=TODAY(),"Vence Hoje","Vencida")))</f>
        <v>Em Aberto</v>
      </c>
      <c r="F8636" s="3">
        <f ca="1">IF(G8636=1,"-",Tabela2[[#This Row],[Dt Venc:]]-TODAY())</f>
        <v>525</v>
      </c>
      <c r="G8636" s="3"/>
      <c r="H8636" s="3"/>
    </row>
    <row r="8637" spans="1:8">
      <c r="A8637" s="3">
        <v>369751</v>
      </c>
      <c r="B8637" s="7" t="s">
        <v>543</v>
      </c>
      <c r="C8637" s="87" t="s">
        <v>32</v>
      </c>
      <c r="D8637" s="6">
        <v>46218</v>
      </c>
      <c r="E8637" s="3" t="str">
        <f ca="1">IF(Tabela2[[#This Row],[Dt Venc:]]&gt;TODAY(),"Em Aberto",IF(Tabela2[[#This Row],[D/venc]]="-","Enviado",IF(Tabela2[[#This Row],[Dt Venc:]]=TODAY(),"Vence Hoje","Vencida")))</f>
        <v>Em Aberto</v>
      </c>
      <c r="F8637" s="3">
        <f ca="1">IF(G8637=1,"-",Tabela2[[#This Row],[Dt Venc:]]-TODAY())</f>
        <v>525</v>
      </c>
      <c r="G8637" s="3"/>
      <c r="H8637" s="3"/>
    </row>
    <row r="8638" spans="1:8">
      <c r="A8638" s="3">
        <v>370201</v>
      </c>
      <c r="B8638" s="7" t="s">
        <v>543</v>
      </c>
      <c r="C8638" s="85" t="s">
        <v>32</v>
      </c>
      <c r="D8638" s="6">
        <v>46218</v>
      </c>
      <c r="E8638" s="3" t="str">
        <f ca="1">IF(Tabela2[[#This Row],[Dt Venc:]]&gt;TODAY(),"Em Aberto",IF(Tabela2[[#This Row],[D/venc]]="-","Enviado",IF(Tabela2[[#This Row],[Dt Venc:]]=TODAY(),"Vence Hoje","Vencida")))</f>
        <v>Em Aberto</v>
      </c>
      <c r="F8638" s="3">
        <f ca="1">IF(G8638=1,"-",Tabela2[[#This Row],[Dt Venc:]]-TODAY())</f>
        <v>525</v>
      </c>
      <c r="G8638" s="3"/>
      <c r="H8638" s="3"/>
    </row>
    <row r="8639" spans="1:8">
      <c r="A8639" s="3">
        <v>370864</v>
      </c>
      <c r="B8639" s="7" t="s">
        <v>543</v>
      </c>
      <c r="C8639" s="87" t="s">
        <v>32</v>
      </c>
      <c r="D8639" s="6">
        <v>46218</v>
      </c>
      <c r="E8639" s="3" t="str">
        <f ca="1">IF(Tabela2[[#This Row],[Dt Venc:]]&gt;TODAY(),"Em Aberto",IF(Tabela2[[#This Row],[D/venc]]="-","Enviado",IF(Tabela2[[#This Row],[Dt Venc:]]=TODAY(),"Vence Hoje","Vencida")))</f>
        <v>Em Aberto</v>
      </c>
      <c r="F8639" s="3">
        <f ca="1">IF(G8639=1,"-",Tabela2[[#This Row],[Dt Venc:]]-TODAY())</f>
        <v>525</v>
      </c>
      <c r="G8639" s="3"/>
      <c r="H8639" s="3"/>
    </row>
    <row r="8640" spans="1:8">
      <c r="A8640" s="3">
        <v>371011</v>
      </c>
      <c r="B8640" s="7" t="s">
        <v>633</v>
      </c>
      <c r="C8640" s="87" t="s">
        <v>32</v>
      </c>
      <c r="D8640" s="6">
        <v>46218</v>
      </c>
      <c r="E8640" s="3" t="str">
        <f ca="1">IF(Tabela2[[#This Row],[Dt Venc:]]&gt;TODAY(),"Em Aberto",IF(Tabela2[[#This Row],[D/venc]]="-","Enviado",IF(Tabela2[[#This Row],[Dt Venc:]]=TODAY(),"Vence Hoje","Vencida")))</f>
        <v>Em Aberto</v>
      </c>
      <c r="F8640" s="3">
        <f ca="1">IF(G8640=1,"-",Tabela2[[#This Row],[Dt Venc:]]-TODAY())</f>
        <v>525</v>
      </c>
      <c r="G8640" s="3"/>
      <c r="H8640" s="3"/>
    </row>
    <row r="8641" spans="1:8">
      <c r="A8641" s="3">
        <v>371160</v>
      </c>
      <c r="B8641" s="7" t="s">
        <v>633</v>
      </c>
      <c r="C8641" s="87" t="s">
        <v>32</v>
      </c>
      <c r="D8641" s="6">
        <v>46218</v>
      </c>
      <c r="E8641" s="3" t="str">
        <f ca="1">IF(Tabela2[[#This Row],[Dt Venc:]]&gt;TODAY(),"Em Aberto",IF(Tabela2[[#This Row],[D/venc]]="-","Enviado",IF(Tabela2[[#This Row],[Dt Venc:]]=TODAY(),"Vence Hoje","Vencida")))</f>
        <v>Em Aberto</v>
      </c>
      <c r="F8641" s="3">
        <f ca="1">IF(G8641=1,"-",Tabela2[[#This Row],[Dt Venc:]]-TODAY())</f>
        <v>525</v>
      </c>
      <c r="G8641" s="3"/>
      <c r="H8641" s="3"/>
    </row>
    <row r="8642" spans="1:8">
      <c r="A8642" s="3">
        <v>748099</v>
      </c>
      <c r="B8642" s="7" t="s">
        <v>81</v>
      </c>
      <c r="C8642" s="100" t="s">
        <v>32</v>
      </c>
      <c r="D8642" s="6">
        <v>46218</v>
      </c>
      <c r="E8642" s="3" t="str">
        <f ca="1">IF(Tabela2[[#This Row],[Dt Venc:]]&gt;TODAY(),"Em Aberto",IF(Tabela2[[#This Row],[D/venc]]="-","Enviado",IF(Tabela2[[#This Row],[Dt Venc:]]=TODAY(),"Vence Hoje","Vencida")))</f>
        <v>Em Aberto</v>
      </c>
      <c r="F8642" s="3">
        <f ca="1">IF(G8642=1,"-",Tabela2[[#This Row],[Dt Venc:]]-TODAY())</f>
        <v>525</v>
      </c>
      <c r="G8642" s="3"/>
      <c r="H8642" s="3"/>
    </row>
    <row r="8643" spans="1:8">
      <c r="A8643" s="3">
        <v>892178</v>
      </c>
      <c r="B8643" s="7" t="s">
        <v>253</v>
      </c>
      <c r="C8643" s="100" t="s">
        <v>32</v>
      </c>
      <c r="D8643" s="6">
        <v>46218</v>
      </c>
      <c r="E8643" s="3" t="str">
        <f ca="1">IF(Tabela2[[#This Row],[Dt Venc:]]&gt;TODAY(),"Em Aberto",IF(Tabela2[[#This Row],[D/venc]]="-","Enviado",IF(Tabela2[[#This Row],[Dt Venc:]]=TODAY(),"Vence Hoje","Vencida")))</f>
        <v>Em Aberto</v>
      </c>
      <c r="F8643" s="3">
        <f ca="1">IF(G8643=1,"-",Tabela2[[#This Row],[Dt Venc:]]-TODAY())</f>
        <v>525</v>
      </c>
      <c r="G8643" s="3"/>
      <c r="H8643" s="3"/>
    </row>
    <row r="8644" spans="1:8">
      <c r="A8644" s="3">
        <v>894135</v>
      </c>
      <c r="B8644" s="7" t="s">
        <v>253</v>
      </c>
      <c r="C8644" s="100" t="s">
        <v>32</v>
      </c>
      <c r="D8644" s="6">
        <v>46218</v>
      </c>
      <c r="E8644" s="3" t="str">
        <f ca="1">IF(Tabela2[[#This Row],[Dt Venc:]]&gt;TODAY(),"Em Aberto",IF(Tabela2[[#This Row],[D/venc]]="-","Enviado",IF(Tabela2[[#This Row],[Dt Venc:]]=TODAY(),"Vence Hoje","Vencida")))</f>
        <v>Em Aberto</v>
      </c>
      <c r="F8644" s="3">
        <f ca="1">IF(G8644=1,"-",Tabela2[[#This Row],[Dt Venc:]]-TODAY())</f>
        <v>525</v>
      </c>
      <c r="G8644" s="3"/>
      <c r="H8644" s="3"/>
    </row>
    <row r="8645" spans="1:8">
      <c r="A8645" s="3">
        <v>896565</v>
      </c>
      <c r="B8645" s="7" t="s">
        <v>253</v>
      </c>
      <c r="C8645" s="100" t="s">
        <v>32</v>
      </c>
      <c r="D8645" s="6">
        <v>46218</v>
      </c>
      <c r="E8645" s="3" t="str">
        <f ca="1">IF(Tabela2[[#This Row],[Dt Venc:]]&gt;TODAY(),"Em Aberto",IF(Tabela2[[#This Row],[D/venc]]="-","Enviado",IF(Tabela2[[#This Row],[Dt Venc:]]=TODAY(),"Vence Hoje","Vencida")))</f>
        <v>Em Aberto</v>
      </c>
      <c r="F8645" s="3">
        <f ca="1">IF(G8645=1,"-",Tabela2[[#This Row],[Dt Venc:]]-TODAY())</f>
        <v>525</v>
      </c>
      <c r="G8645" s="3"/>
      <c r="H8645" s="3"/>
    </row>
    <row r="8646" spans="1:8">
      <c r="A8646" s="3">
        <v>900386</v>
      </c>
      <c r="B8646" s="7" t="s">
        <v>253</v>
      </c>
      <c r="C8646" s="100" t="s">
        <v>32</v>
      </c>
      <c r="D8646" s="6">
        <v>46218</v>
      </c>
      <c r="E8646" s="3" t="str">
        <f ca="1">IF(Tabela2[[#This Row],[Dt Venc:]]&gt;TODAY(),"Em Aberto",IF(Tabela2[[#This Row],[D/venc]]="-","Enviado",IF(Tabela2[[#This Row],[Dt Venc:]]=TODAY(),"Vence Hoje","Vencida")))</f>
        <v>Em Aberto</v>
      </c>
      <c r="F8646" s="3">
        <f ca="1">IF(G8646=1,"-",Tabela2[[#This Row],[Dt Venc:]]-TODAY())</f>
        <v>525</v>
      </c>
      <c r="G8646" s="3"/>
      <c r="H8646" s="3"/>
    </row>
    <row r="8647" spans="1:8">
      <c r="A8647" s="3">
        <v>901787</v>
      </c>
      <c r="B8647" s="7" t="s">
        <v>253</v>
      </c>
      <c r="C8647" s="100" t="s">
        <v>32</v>
      </c>
      <c r="D8647" s="6">
        <v>46218</v>
      </c>
      <c r="E8647" s="3" t="str">
        <f ca="1">IF(Tabela2[[#This Row],[Dt Venc:]]&gt;TODAY(),"Em Aberto",IF(Tabela2[[#This Row],[D/venc]]="-","Enviado",IF(Tabela2[[#This Row],[Dt Venc:]]=TODAY(),"Vence Hoje","Vencida")))</f>
        <v>Em Aberto</v>
      </c>
      <c r="F8647" s="3">
        <f ca="1">IF(G8647=1,"-",Tabela2[[#This Row],[Dt Venc:]]-TODAY())</f>
        <v>525</v>
      </c>
      <c r="G8647" s="3"/>
      <c r="H8647" s="3"/>
    </row>
    <row r="8648" spans="1:8">
      <c r="A8648" s="3">
        <v>901788</v>
      </c>
      <c r="B8648" s="7" t="s">
        <v>253</v>
      </c>
      <c r="C8648" s="99" t="s">
        <v>32</v>
      </c>
      <c r="D8648" s="6">
        <v>46218</v>
      </c>
      <c r="E8648" s="3" t="str">
        <f ca="1">IF(Tabela2[[#This Row],[Dt Venc:]]&gt;TODAY(),"Em Aberto",IF(Tabela2[[#This Row],[D/venc]]="-","Enviado",IF(Tabela2[[#This Row],[Dt Venc:]]=TODAY(),"Vence Hoje","Vencida")))</f>
        <v>Em Aberto</v>
      </c>
      <c r="F8648" s="3">
        <f ca="1">IF(G8648=1,"-",Tabela2[[#This Row],[Dt Venc:]]-TODAY())</f>
        <v>525</v>
      </c>
      <c r="G8648" s="3"/>
      <c r="H8648" s="3"/>
    </row>
    <row r="8649" spans="1:8">
      <c r="A8649" s="3">
        <v>901789</v>
      </c>
      <c r="B8649" s="7" t="s">
        <v>253</v>
      </c>
      <c r="C8649" s="100" t="s">
        <v>32</v>
      </c>
      <c r="D8649" s="6">
        <v>46218</v>
      </c>
      <c r="E8649" s="3" t="str">
        <f ca="1">IF(Tabela2[[#This Row],[Dt Venc:]]&gt;TODAY(),"Em Aberto",IF(Tabela2[[#This Row],[D/venc]]="-","Enviado",IF(Tabela2[[#This Row],[Dt Venc:]]=TODAY(),"Vence Hoje","Vencida")))</f>
        <v>Em Aberto</v>
      </c>
      <c r="F8649" s="3">
        <f ca="1">IF(G8649=1,"-",Tabela2[[#This Row],[Dt Venc:]]-TODAY())</f>
        <v>525</v>
      </c>
      <c r="G8649" s="3"/>
      <c r="H8649" s="3"/>
    </row>
    <row r="8650" spans="1:8">
      <c r="A8650" s="3">
        <v>912703</v>
      </c>
      <c r="B8650" s="7" t="s">
        <v>253</v>
      </c>
      <c r="C8650" s="100" t="s">
        <v>32</v>
      </c>
      <c r="D8650" s="6">
        <v>46218</v>
      </c>
      <c r="E8650" s="3" t="str">
        <f ca="1">IF(Tabela2[[#This Row],[Dt Venc:]]&gt;TODAY(),"Em Aberto",IF(Tabela2[[#This Row],[D/venc]]="-","Enviado",IF(Tabela2[[#This Row],[Dt Venc:]]=TODAY(),"Vence Hoje","Vencida")))</f>
        <v>Em Aberto</v>
      </c>
      <c r="F8650" s="3">
        <f ca="1">IF(G8650=1,"-",Tabela2[[#This Row],[Dt Venc:]]-TODAY())</f>
        <v>525</v>
      </c>
      <c r="G8650" s="3"/>
      <c r="H8650" s="3"/>
    </row>
    <row r="8651" spans="1:8">
      <c r="A8651" s="3">
        <v>912704</v>
      </c>
      <c r="B8651" s="7" t="s">
        <v>253</v>
      </c>
      <c r="C8651" s="100" t="s">
        <v>32</v>
      </c>
      <c r="D8651" s="6">
        <v>46218</v>
      </c>
      <c r="E8651" s="3" t="str">
        <f ca="1">IF(Tabela2[[#This Row],[Dt Venc:]]&gt;TODAY(),"Em Aberto",IF(Tabela2[[#This Row],[D/venc]]="-","Enviado",IF(Tabela2[[#This Row],[Dt Venc:]]=TODAY(),"Vence Hoje","Vencida")))</f>
        <v>Em Aberto</v>
      </c>
      <c r="F8651" s="3">
        <f ca="1">IF(G8651=1,"-",Tabela2[[#This Row],[Dt Venc:]]-TODAY())</f>
        <v>525</v>
      </c>
      <c r="G8651" s="3"/>
      <c r="H8651" s="3"/>
    </row>
    <row r="8652" spans="1:8">
      <c r="A8652" s="3">
        <v>919728</v>
      </c>
      <c r="B8652" s="7" t="s">
        <v>253</v>
      </c>
      <c r="C8652" s="87" t="s">
        <v>32</v>
      </c>
      <c r="D8652" s="6">
        <v>46218</v>
      </c>
      <c r="E8652" s="3" t="str">
        <f ca="1">IF(Tabela2[[#This Row],[Dt Venc:]]&gt;TODAY(),"Em Aberto",IF(Tabela2[[#This Row],[D/venc]]="-","Enviado",IF(Tabela2[[#This Row],[Dt Venc:]]=TODAY(),"Vence Hoje","Vencida")))</f>
        <v>Em Aberto</v>
      </c>
      <c r="F8652" s="3">
        <f ca="1">IF(G8652=1,"-",Tabela2[[#This Row],[Dt Venc:]]-TODAY())</f>
        <v>525</v>
      </c>
      <c r="G8652" s="3"/>
      <c r="H8652" s="3"/>
    </row>
    <row r="8653" spans="1:8">
      <c r="A8653" s="3">
        <v>919729</v>
      </c>
      <c r="B8653" s="7" t="s">
        <v>253</v>
      </c>
      <c r="C8653" s="87" t="s">
        <v>32</v>
      </c>
      <c r="D8653" s="6">
        <v>46218</v>
      </c>
      <c r="E8653" s="3" t="str">
        <f ca="1">IF(Tabela2[[#This Row],[Dt Venc:]]&gt;TODAY(),"Em Aberto",IF(Tabela2[[#This Row],[D/venc]]="-","Enviado",IF(Tabela2[[#This Row],[Dt Venc:]]=TODAY(),"Vence Hoje","Vencida")))</f>
        <v>Em Aberto</v>
      </c>
      <c r="F8653" s="3">
        <f ca="1">IF(G8653=1,"-",Tabela2[[#This Row],[Dt Venc:]]-TODAY())</f>
        <v>525</v>
      </c>
      <c r="G8653" s="3"/>
      <c r="H8653" s="3"/>
    </row>
    <row r="8654" spans="1:8">
      <c r="A8654" s="3">
        <v>37300</v>
      </c>
      <c r="B8654" s="7" t="s">
        <v>167</v>
      </c>
      <c r="C8654" s="99" t="s">
        <v>32</v>
      </c>
      <c r="D8654" s="6">
        <v>46219</v>
      </c>
      <c r="E8654" s="3" t="str">
        <f ca="1">IF(Tabela2[[#This Row],[Dt Venc:]]&gt;TODAY(),"Em Aberto",IF(Tabela2[[#This Row],[D/venc]]="-","Enviado",IF(Tabela2[[#This Row],[Dt Venc:]]=TODAY(),"Vence Hoje","Vencida")))</f>
        <v>Em Aberto</v>
      </c>
      <c r="F8654" s="3">
        <f ca="1">IF(G8654=1,"-",Tabela2[[#This Row],[Dt Venc:]]-TODAY())</f>
        <v>526</v>
      </c>
      <c r="G8654" s="3"/>
      <c r="H8654" s="3"/>
    </row>
    <row r="8655" spans="1:8">
      <c r="A8655" s="3">
        <v>37196</v>
      </c>
      <c r="B8655" s="7" t="s">
        <v>167</v>
      </c>
      <c r="C8655" s="87" t="s">
        <v>32</v>
      </c>
      <c r="D8655" s="6">
        <v>46220</v>
      </c>
      <c r="E8655" s="3" t="str">
        <f ca="1">IF(Tabela2[[#This Row],[Dt Venc:]]&gt;TODAY(),"Em Aberto",IF(Tabela2[[#This Row],[D/venc]]="-","Enviado",IF(Tabela2[[#This Row],[Dt Venc:]]=TODAY(),"Vence Hoje","Vencida")))</f>
        <v>Em Aberto</v>
      </c>
      <c r="F8655" s="3">
        <f ca="1">IF(G8655=1,"-",Tabela2[[#This Row],[Dt Venc:]]-TODAY())</f>
        <v>527</v>
      </c>
      <c r="G8655" s="3"/>
      <c r="H8655" s="3"/>
    </row>
    <row r="8656" spans="1:8">
      <c r="A8656" s="3">
        <v>37348</v>
      </c>
      <c r="B8656" s="7" t="s">
        <v>167</v>
      </c>
      <c r="C8656" s="100" t="s">
        <v>32</v>
      </c>
      <c r="D8656" s="6">
        <v>46225</v>
      </c>
      <c r="E8656" s="3" t="str">
        <f ca="1">IF(Tabela2[[#This Row],[Dt Venc:]]&gt;TODAY(),"Em Aberto",IF(Tabela2[[#This Row],[D/venc]]="-","Enviado",IF(Tabela2[[#This Row],[Dt Venc:]]=TODAY(),"Vence Hoje","Vencida")))</f>
        <v>Em Aberto</v>
      </c>
      <c r="F8656" s="3">
        <f ca="1">IF(G8656=1,"-",Tabela2[[#This Row],[Dt Venc:]]-TODAY())</f>
        <v>532</v>
      </c>
      <c r="G8656" s="3"/>
      <c r="H8656" s="3"/>
    </row>
    <row r="8657" spans="1:8">
      <c r="A8657" s="3">
        <v>495914</v>
      </c>
      <c r="B8657" s="7" t="s">
        <v>153</v>
      </c>
      <c r="C8657" s="99" t="s">
        <v>32</v>
      </c>
      <c r="D8657" s="6">
        <v>46228</v>
      </c>
      <c r="E8657" s="3" t="str">
        <f ca="1">IF(Tabela2[[#This Row],[Dt Venc:]]&gt;TODAY(),"Em Aberto",IF(Tabela2[[#This Row],[D/venc]]="-","Enviado",IF(Tabela2[[#This Row],[Dt Venc:]]=TODAY(),"Vence Hoje","Vencida")))</f>
        <v>Em Aberto</v>
      </c>
      <c r="F8657" s="3">
        <f ca="1">IF(G8657=1,"-",Tabela2[[#This Row],[Dt Venc:]]-TODAY())</f>
        <v>535</v>
      </c>
      <c r="G8657" s="3"/>
      <c r="H8657" s="3"/>
    </row>
    <row r="8658" spans="1:8">
      <c r="A8658" s="3">
        <v>5690</v>
      </c>
      <c r="B8658" s="7" t="s">
        <v>122</v>
      </c>
      <c r="C8658" s="100" t="s">
        <v>32</v>
      </c>
      <c r="D8658" s="6">
        <v>46230</v>
      </c>
      <c r="E8658" s="3" t="str">
        <f ca="1">IF(Tabela2[[#This Row],[Dt Venc:]]&gt;TODAY(),"Em Aberto",IF(Tabela2[[#This Row],[D/venc]]="-","Enviado",IF(Tabela2[[#This Row],[Dt Venc:]]=TODAY(),"Vence Hoje","Vencida")))</f>
        <v>Em Aberto</v>
      </c>
      <c r="F8658" s="3">
        <f ca="1">IF(G8658=1,"-",Tabela2[[#This Row],[Dt Venc:]]-TODAY())</f>
        <v>537</v>
      </c>
      <c r="G8658" s="3"/>
      <c r="H8658" s="3"/>
    </row>
    <row r="8659" spans="1:8">
      <c r="A8659" s="3" t="s">
        <v>123</v>
      </c>
      <c r="B8659" s="7" t="s">
        <v>386</v>
      </c>
      <c r="C8659" s="87" t="s">
        <v>32</v>
      </c>
      <c r="D8659" s="6">
        <v>46233</v>
      </c>
      <c r="E8659" s="3" t="str">
        <f ca="1">IF(Tabela2[[#This Row],[Dt Venc:]]&gt;TODAY(),"Em Aberto",IF(Tabela2[[#This Row],[D/venc]]="-","Enviado",IF(Tabela2[[#This Row],[Dt Venc:]]=TODAY(),"Vence Hoje","Vencida")))</f>
        <v>Em Aberto</v>
      </c>
      <c r="F8659" s="3">
        <f ca="1">IF(G8659=1,"-",Tabela2[[#This Row],[Dt Venc:]]-TODAY())</f>
        <v>540</v>
      </c>
      <c r="G8659" s="3"/>
      <c r="H8659" s="3"/>
    </row>
    <row r="8660" spans="1:8">
      <c r="A8660" s="3">
        <v>11681</v>
      </c>
      <c r="B8660" s="7" t="s">
        <v>82</v>
      </c>
      <c r="C8660" s="87" t="s">
        <v>30</v>
      </c>
      <c r="D8660" s="6">
        <v>46234</v>
      </c>
      <c r="E8660" s="3" t="str">
        <f ca="1">IF(Tabela2[[#This Row],[Dt Venc:]]&gt;TODAY(),"Em Aberto",IF(Tabela2[[#This Row],[D/venc]]="-","Enviado",IF(Tabela2[[#This Row],[Dt Venc:]]=TODAY(),"Vence Hoje","Vencida")))</f>
        <v>Em Aberto</v>
      </c>
      <c r="F8660" s="3">
        <f ca="1">IF(G8660=1,"-",Tabela2[[#This Row],[Dt Venc:]]-TODAY())</f>
        <v>541</v>
      </c>
      <c r="G8660" s="3"/>
      <c r="H8660" s="3"/>
    </row>
    <row r="8661" spans="1:8">
      <c r="A8661" s="3" t="s">
        <v>28</v>
      </c>
      <c r="B8661" s="7" t="s">
        <v>391</v>
      </c>
      <c r="C8661" s="85" t="s">
        <v>30</v>
      </c>
      <c r="D8661" s="6">
        <v>46234</v>
      </c>
      <c r="E8661" s="3" t="str">
        <f ca="1">IF(Tabela2[[#This Row],[Dt Venc:]]&gt;TODAY(),"Em Aberto",IF(Tabela2[[#This Row],[D/venc]]="-","Enviado",IF(Tabela2[[#This Row],[Dt Venc:]]=TODAY(),"Vence Hoje","Vencida")))</f>
        <v>Em Aberto</v>
      </c>
      <c r="F8661" s="3">
        <f ca="1">IF(G8661=1,"-",Tabela2[[#This Row],[Dt Venc:]]-TODAY())</f>
        <v>541</v>
      </c>
      <c r="G8661" s="3"/>
      <c r="H8661" s="3"/>
    </row>
    <row r="8662" spans="1:8">
      <c r="A8662" s="3">
        <v>36910</v>
      </c>
      <c r="B8662" s="7" t="s">
        <v>167</v>
      </c>
      <c r="C8662" s="100" t="s">
        <v>32</v>
      </c>
      <c r="D8662" s="6">
        <v>46235</v>
      </c>
      <c r="E8662" s="3" t="str">
        <f ca="1">IF(Tabela2[[#This Row],[Dt Venc:]]&gt;TODAY(),"Em Aberto",IF(Tabela2[[#This Row],[D/venc]]="-","Enviado",IF(Tabela2[[#This Row],[Dt Venc:]]=TODAY(),"Vence Hoje","Vencida")))</f>
        <v>Em Aberto</v>
      </c>
      <c r="F8662" s="3">
        <f ca="1">IF(G8662=1,"-",Tabela2[[#This Row],[Dt Venc:]]-TODAY())</f>
        <v>542</v>
      </c>
      <c r="G8662" s="3"/>
      <c r="H8662" s="3"/>
    </row>
    <row r="8663" spans="1:8">
      <c r="A8663" s="3">
        <v>10494</v>
      </c>
      <c r="B8663" s="7" t="s">
        <v>82</v>
      </c>
      <c r="C8663" s="88" t="s">
        <v>30</v>
      </c>
      <c r="D8663" s="6">
        <v>46237</v>
      </c>
      <c r="E8663" s="3" t="str">
        <f ca="1">IF(Tabela2[[#This Row],[Dt Venc:]]&gt;TODAY(),"Em Aberto",IF(Tabela2[[#This Row],[D/venc]]="-","Enviado",IF(Tabela2[[#This Row],[Dt Venc:]]=TODAY(),"Vence Hoje","Vencida")))</f>
        <v>Em Aberto</v>
      </c>
      <c r="F8663" s="3">
        <f ca="1">IF(G8663=1,"-",Tabela2[[#This Row],[Dt Venc:]]-TODAY())</f>
        <v>544</v>
      </c>
      <c r="G8663" s="3"/>
      <c r="H8663" s="3"/>
    </row>
    <row r="8664" spans="1:8">
      <c r="A8664" s="3">
        <v>5680</v>
      </c>
      <c r="B8664" s="7" t="s">
        <v>122</v>
      </c>
      <c r="C8664" s="99" t="s">
        <v>32</v>
      </c>
      <c r="D8664" s="6">
        <v>46239</v>
      </c>
      <c r="E8664" s="3" t="str">
        <f ca="1">IF(Tabela2[[#This Row],[Dt Venc:]]&gt;TODAY(),"Em Aberto",IF(Tabela2[[#This Row],[D/venc]]="-","Enviado",IF(Tabela2[[#This Row],[Dt Venc:]]=TODAY(),"Vence Hoje","Vencida")))</f>
        <v>Em Aberto</v>
      </c>
      <c r="F8664" s="3">
        <f ca="1">IF(G8664=1,"-",Tabela2[[#This Row],[Dt Venc:]]-TODAY())</f>
        <v>546</v>
      </c>
      <c r="G8664" s="3"/>
      <c r="H8664" s="3"/>
    </row>
    <row r="8665" spans="1:8">
      <c r="A8665" s="3">
        <v>10353</v>
      </c>
      <c r="B8665" s="7" t="s">
        <v>82</v>
      </c>
      <c r="C8665" s="100" t="s">
        <v>32</v>
      </c>
      <c r="D8665" s="6">
        <v>46239</v>
      </c>
      <c r="E8665" s="3" t="str">
        <f ca="1">IF(Tabela2[[#This Row],[Dt Venc:]]&gt;TODAY(),"Em Aberto",IF(Tabela2[[#This Row],[D/venc]]="-","Enviado",IF(Tabela2[[#This Row],[Dt Venc:]]=TODAY(),"Vence Hoje","Vencida")))</f>
        <v>Em Aberto</v>
      </c>
      <c r="F8665" s="3">
        <f ca="1">IF(G8665=1,"-",Tabela2[[#This Row],[Dt Venc:]]-TODAY())</f>
        <v>546</v>
      </c>
      <c r="G8665" s="3"/>
      <c r="H8665" s="3"/>
    </row>
    <row r="8666" spans="1:8">
      <c r="A8666" s="3">
        <v>284620</v>
      </c>
      <c r="B8666" s="7" t="s">
        <v>153</v>
      </c>
      <c r="C8666" s="99" t="s">
        <v>32</v>
      </c>
      <c r="D8666" s="6">
        <v>46242</v>
      </c>
      <c r="E8666" s="3" t="str">
        <f ca="1">IF(Tabela2[[#This Row],[Dt Venc:]]&gt;TODAY(),"Em Aberto",IF(Tabela2[[#This Row],[D/venc]]="-","Enviado",IF(Tabela2[[#This Row],[Dt Venc:]]=TODAY(),"Vence Hoje","Vencida")))</f>
        <v>Em Aberto</v>
      </c>
      <c r="F8666" s="3">
        <f ca="1">IF(G8666=1,"-",Tabela2[[#This Row],[Dt Venc:]]-TODAY())</f>
        <v>549</v>
      </c>
      <c r="G8666" s="3"/>
      <c r="H8666" s="3"/>
    </row>
    <row r="8667" spans="1:8">
      <c r="A8667" s="3">
        <v>36949</v>
      </c>
      <c r="B8667" s="7" t="s">
        <v>167</v>
      </c>
      <c r="C8667" s="100" t="s">
        <v>32</v>
      </c>
      <c r="D8667" s="6">
        <v>46243</v>
      </c>
      <c r="E8667" s="3" t="str">
        <f ca="1">IF(Tabela2[[#This Row],[Dt Venc:]]&gt;TODAY(),"Em Aberto",IF(Tabela2[[#This Row],[D/venc]]="-","Enviado",IF(Tabela2[[#This Row],[Dt Venc:]]=TODAY(),"Vence Hoje","Vencida")))</f>
        <v>Em Aberto</v>
      </c>
      <c r="F8667" s="3">
        <f ca="1">IF(G8667=1,"-",Tabela2[[#This Row],[Dt Venc:]]-TODAY())</f>
        <v>550</v>
      </c>
      <c r="G8667" s="3"/>
      <c r="H8667" s="3"/>
    </row>
    <row r="8668" spans="1:8">
      <c r="A8668" s="3">
        <v>756561</v>
      </c>
      <c r="B8668" s="7" t="s">
        <v>166</v>
      </c>
      <c r="C8668" s="100" t="s">
        <v>32</v>
      </c>
      <c r="D8668" s="6">
        <v>46243</v>
      </c>
      <c r="E8668" s="3" t="str">
        <f ca="1">IF(Tabela2[[#This Row],[Dt Venc:]]&gt;TODAY(),"Em Aberto",IF(Tabela2[[#This Row],[D/venc]]="-","Enviado",IF(Tabela2[[#This Row],[Dt Venc:]]=TODAY(),"Vence Hoje","Vencida")))</f>
        <v>Em Aberto</v>
      </c>
      <c r="F8668" s="3">
        <f ca="1">IF(G8668=1,"-",Tabela2[[#This Row],[Dt Venc:]]-TODAY())</f>
        <v>550</v>
      </c>
      <c r="G8668" s="3"/>
      <c r="H8668" s="3"/>
    </row>
    <row r="8669" spans="1:8">
      <c r="A8669" s="3" t="s">
        <v>179</v>
      </c>
      <c r="B8669" s="7" t="s">
        <v>190</v>
      </c>
      <c r="C8669" s="100" t="s">
        <v>32</v>
      </c>
      <c r="D8669" s="6">
        <v>46244</v>
      </c>
      <c r="E8669" s="3" t="str">
        <f ca="1">IF(Tabela2[[#This Row],[Dt Venc:]]&gt;TODAY(),"Em Aberto",IF(Tabela2[[#This Row],[D/venc]]="-","Enviado",IF(Tabela2[[#This Row],[Dt Venc:]]=TODAY(),"Vence Hoje","Vencida")))</f>
        <v>Em Aberto</v>
      </c>
      <c r="F8669" s="3">
        <f ca="1">IF(G8669=1,"-",Tabela2[[#This Row],[Dt Venc:]]-TODAY())</f>
        <v>551</v>
      </c>
      <c r="G8669" s="3"/>
      <c r="H8669" s="3"/>
    </row>
    <row r="8670" spans="1:8">
      <c r="A8670" s="3">
        <v>37292</v>
      </c>
      <c r="B8670" s="7" t="s">
        <v>167</v>
      </c>
      <c r="C8670" s="100" t="s">
        <v>32</v>
      </c>
      <c r="D8670" s="6">
        <v>46245</v>
      </c>
      <c r="E8670" s="3" t="str">
        <f ca="1">IF(Tabela2[[#This Row],[Dt Venc:]]&gt;TODAY(),"Em Aberto",IF(Tabela2[[#This Row],[D/venc]]="-","Enviado",IF(Tabela2[[#This Row],[Dt Venc:]]=TODAY(),"Vence Hoje","Vencida")))</f>
        <v>Em Aberto</v>
      </c>
      <c r="F8670" s="3">
        <f ca="1">IF(G8670=1,"-",Tabela2[[#This Row],[Dt Venc:]]-TODAY())</f>
        <v>552</v>
      </c>
      <c r="G8670" s="3"/>
      <c r="H8670" s="3"/>
    </row>
    <row r="8671" spans="1:8">
      <c r="A8671" s="3">
        <v>37327</v>
      </c>
      <c r="B8671" s="7" t="s">
        <v>167</v>
      </c>
      <c r="C8671" s="100" t="s">
        <v>32</v>
      </c>
      <c r="D8671" s="6">
        <v>46245</v>
      </c>
      <c r="E8671" s="3" t="str">
        <f ca="1">IF(Tabela2[[#This Row],[Dt Venc:]]&gt;TODAY(),"Em Aberto",IF(Tabela2[[#This Row],[D/venc]]="-","Enviado",IF(Tabela2[[#This Row],[Dt Venc:]]=TODAY(),"Vence Hoje","Vencida")))</f>
        <v>Em Aberto</v>
      </c>
      <c r="F8671" s="3">
        <f ca="1">IF(G8671=1,"-",Tabela2[[#This Row],[Dt Venc:]]-TODAY())</f>
        <v>552</v>
      </c>
      <c r="G8671" s="3"/>
      <c r="H8671" s="3"/>
    </row>
    <row r="8672" spans="1:8">
      <c r="A8672" s="3">
        <v>562</v>
      </c>
      <c r="B8672" s="7" t="s">
        <v>251</v>
      </c>
      <c r="C8672" s="100" t="s">
        <v>32</v>
      </c>
      <c r="D8672" s="6">
        <v>46249</v>
      </c>
      <c r="E8672" s="3" t="str">
        <f ca="1">IF(Tabela2[[#This Row],[Dt Venc:]]&gt;TODAY(),"Em Aberto",IF(Tabela2[[#This Row],[D/venc]]="-","Enviado",IF(Tabela2[[#This Row],[Dt Venc:]]=TODAY(),"Vence Hoje","Vencida")))</f>
        <v>Em Aberto</v>
      </c>
      <c r="F8672" s="3">
        <f ca="1">IF(G8672=1,"-",Tabela2[[#This Row],[Dt Venc:]]-TODAY())</f>
        <v>556</v>
      </c>
      <c r="G8672" s="3"/>
      <c r="H8672" s="3"/>
    </row>
    <row r="8673" spans="1:8">
      <c r="A8673" s="3">
        <v>103015</v>
      </c>
      <c r="B8673" s="7" t="s">
        <v>252</v>
      </c>
      <c r="C8673" s="100" t="s">
        <v>32</v>
      </c>
      <c r="D8673" s="6">
        <v>46249</v>
      </c>
      <c r="E8673" s="3" t="str">
        <f ca="1">IF(Tabela2[[#This Row],[Dt Venc:]]&gt;TODAY(),"Em Aberto",IF(Tabela2[[#This Row],[D/venc]]="-","Enviado",IF(Tabela2[[#This Row],[Dt Venc:]]=TODAY(),"Vence Hoje","Vencida")))</f>
        <v>Em Aberto</v>
      </c>
      <c r="F8673" s="3">
        <f ca="1">IF(G8673=1,"-",Tabela2[[#This Row],[Dt Venc:]]-TODAY())</f>
        <v>556</v>
      </c>
      <c r="G8673" s="3"/>
      <c r="H8673" s="3"/>
    </row>
    <row r="8674" spans="1:8">
      <c r="A8674" s="3">
        <v>103077</v>
      </c>
      <c r="B8674" s="7" t="s">
        <v>252</v>
      </c>
      <c r="C8674" s="99" t="s">
        <v>32</v>
      </c>
      <c r="D8674" s="6">
        <v>46249</v>
      </c>
      <c r="E8674" s="3" t="str">
        <f ca="1">IF(Tabela2[[#This Row],[Dt Venc:]]&gt;TODAY(),"Em Aberto",IF(Tabela2[[#This Row],[D/venc]]="-","Enviado",IF(Tabela2[[#This Row],[Dt Venc:]]=TODAY(),"Vence Hoje","Vencida")))</f>
        <v>Em Aberto</v>
      </c>
      <c r="F8674" s="3">
        <f ca="1">IF(G8674=1,"-",Tabela2[[#This Row],[Dt Venc:]]-TODAY())</f>
        <v>556</v>
      </c>
      <c r="G8674" s="3"/>
      <c r="H8674" s="3"/>
    </row>
    <row r="8675" spans="1:8">
      <c r="A8675" s="3">
        <v>103153</v>
      </c>
      <c r="B8675" s="7" t="s">
        <v>252</v>
      </c>
      <c r="C8675" s="87" t="s">
        <v>32</v>
      </c>
      <c r="D8675" s="6">
        <v>46249</v>
      </c>
      <c r="E8675" s="3" t="str">
        <f ca="1">IF(Tabela2[[#This Row],[Dt Venc:]]&gt;TODAY(),"Em Aberto",IF(Tabela2[[#This Row],[D/venc]]="-","Enviado",IF(Tabela2[[#This Row],[Dt Venc:]]=TODAY(),"Vence Hoje","Vencida")))</f>
        <v>Em Aberto</v>
      </c>
      <c r="F8675" s="3">
        <f ca="1">IF(G8675=1,"-",Tabela2[[#This Row],[Dt Venc:]]-TODAY())</f>
        <v>556</v>
      </c>
      <c r="G8675" s="3"/>
      <c r="H8675" s="3"/>
    </row>
    <row r="8676" spans="1:8">
      <c r="A8676" s="3">
        <v>103154</v>
      </c>
      <c r="B8676" s="7" t="s">
        <v>252</v>
      </c>
      <c r="C8676" s="100" t="s">
        <v>32</v>
      </c>
      <c r="D8676" s="6">
        <v>46249</v>
      </c>
      <c r="E8676" s="3" t="str">
        <f ca="1">IF(Tabela2[[#This Row],[Dt Venc:]]&gt;TODAY(),"Em Aberto",IF(Tabela2[[#This Row],[D/venc]]="-","Enviado",IF(Tabela2[[#This Row],[Dt Venc:]]=TODAY(),"Vence Hoje","Vencida")))</f>
        <v>Em Aberto</v>
      </c>
      <c r="F8676" s="3">
        <f ca="1">IF(G8676=1,"-",Tabela2[[#This Row],[Dt Venc:]]-TODAY())</f>
        <v>556</v>
      </c>
      <c r="G8676" s="3"/>
      <c r="H8676" s="3"/>
    </row>
    <row r="8677" spans="1:8">
      <c r="A8677" s="3">
        <v>106007</v>
      </c>
      <c r="B8677" s="7" t="s">
        <v>252</v>
      </c>
      <c r="C8677" s="100" t="s">
        <v>32</v>
      </c>
      <c r="D8677" s="6">
        <v>46249</v>
      </c>
      <c r="E8677" s="3" t="str">
        <f ca="1">IF(Tabela2[[#This Row],[Dt Venc:]]&gt;TODAY(),"Em Aberto",IF(Tabela2[[#This Row],[D/venc]]="-","Enviado",IF(Tabela2[[#This Row],[Dt Venc:]]=TODAY(),"Vence Hoje","Vencida")))</f>
        <v>Em Aberto</v>
      </c>
      <c r="F8677" s="3">
        <f ca="1">IF(G8677=1,"-",Tabela2[[#This Row],[Dt Venc:]]-TODAY())</f>
        <v>556</v>
      </c>
      <c r="G8677" s="3"/>
      <c r="H8677" s="3"/>
    </row>
    <row r="8678" spans="1:8">
      <c r="A8678" s="3">
        <v>106043</v>
      </c>
      <c r="B8678" s="7" t="s">
        <v>252</v>
      </c>
      <c r="C8678" s="99" t="s">
        <v>32</v>
      </c>
      <c r="D8678" s="6">
        <v>46249</v>
      </c>
      <c r="E8678" s="3" t="str">
        <f ca="1">IF(Tabela2[[#This Row],[Dt Venc:]]&gt;TODAY(),"Em Aberto",IF(Tabela2[[#This Row],[D/venc]]="-","Enviado",IF(Tabela2[[#This Row],[Dt Venc:]]=TODAY(),"Vence Hoje","Vencida")))</f>
        <v>Em Aberto</v>
      </c>
      <c r="F8678" s="3">
        <f ca="1">IF(G8678=1,"-",Tabela2[[#This Row],[Dt Venc:]]-TODAY())</f>
        <v>556</v>
      </c>
      <c r="G8678" s="3"/>
      <c r="H8678" s="3"/>
    </row>
    <row r="8679" spans="1:8">
      <c r="A8679" s="3">
        <v>107829</v>
      </c>
      <c r="B8679" s="7" t="s">
        <v>252</v>
      </c>
      <c r="C8679" s="100" t="s">
        <v>32</v>
      </c>
      <c r="D8679" s="6">
        <v>46249</v>
      </c>
      <c r="E8679" s="3" t="str">
        <f ca="1">IF(Tabela2[[#This Row],[Dt Venc:]]&gt;TODAY(),"Em Aberto",IF(Tabela2[[#This Row],[D/venc]]="-","Enviado",IF(Tabela2[[#This Row],[Dt Venc:]]=TODAY(),"Vence Hoje","Vencida")))</f>
        <v>Em Aberto</v>
      </c>
      <c r="F8679" s="3">
        <f ca="1">IF(G8679=1,"-",Tabela2[[#This Row],[Dt Venc:]]-TODAY())</f>
        <v>556</v>
      </c>
      <c r="G8679" s="3"/>
      <c r="H8679" s="3"/>
    </row>
    <row r="8680" spans="1:8">
      <c r="A8680" s="3">
        <v>107830</v>
      </c>
      <c r="B8680" s="7" t="s">
        <v>252</v>
      </c>
      <c r="C8680" s="87" t="s">
        <v>32</v>
      </c>
      <c r="D8680" s="6">
        <v>46249</v>
      </c>
      <c r="E8680" s="3" t="str">
        <f ca="1">IF(Tabela2[[#This Row],[Dt Venc:]]&gt;TODAY(),"Em Aberto",IF(Tabela2[[#This Row],[D/venc]]="-","Enviado",IF(Tabela2[[#This Row],[Dt Venc:]]=TODAY(),"Vence Hoje","Vencida")))</f>
        <v>Em Aberto</v>
      </c>
      <c r="F8680" s="3">
        <f ca="1">IF(G8680=1,"-",Tabela2[[#This Row],[Dt Venc:]]-TODAY())</f>
        <v>556</v>
      </c>
      <c r="G8680" s="3"/>
      <c r="H8680" s="3"/>
    </row>
    <row r="8681" spans="1:8">
      <c r="A8681" s="3">
        <v>107831</v>
      </c>
      <c r="B8681" s="7" t="s">
        <v>252</v>
      </c>
      <c r="C8681" s="100" t="s">
        <v>32</v>
      </c>
      <c r="D8681" s="6">
        <v>46249</v>
      </c>
      <c r="E8681" s="3" t="str">
        <f ca="1">IF(Tabela2[[#This Row],[Dt Venc:]]&gt;TODAY(),"Em Aberto",IF(Tabela2[[#This Row],[D/venc]]="-","Enviado",IF(Tabela2[[#This Row],[Dt Venc:]]=TODAY(),"Vence Hoje","Vencida")))</f>
        <v>Em Aberto</v>
      </c>
      <c r="F8681" s="3">
        <f ca="1">IF(G8681=1,"-",Tabela2[[#This Row],[Dt Venc:]]-TODAY())</f>
        <v>556</v>
      </c>
      <c r="G8681" s="3"/>
      <c r="H8681" s="3"/>
    </row>
    <row r="8682" spans="1:8">
      <c r="A8682" s="3">
        <v>107832</v>
      </c>
      <c r="B8682" s="7" t="s">
        <v>252</v>
      </c>
      <c r="C8682" s="100" t="s">
        <v>32</v>
      </c>
      <c r="D8682" s="6">
        <v>46249</v>
      </c>
      <c r="E8682" s="3" t="str">
        <f ca="1">IF(Tabela2[[#This Row],[Dt Venc:]]&gt;TODAY(),"Em Aberto",IF(Tabela2[[#This Row],[D/venc]]="-","Enviado",IF(Tabela2[[#This Row],[Dt Venc:]]=TODAY(),"Vence Hoje","Vencida")))</f>
        <v>Em Aberto</v>
      </c>
      <c r="F8682" s="3">
        <f ca="1">IF(G8682=1,"-",Tabela2[[#This Row],[Dt Venc:]]-TODAY())</f>
        <v>556</v>
      </c>
      <c r="G8682" s="3"/>
      <c r="H8682" s="3"/>
    </row>
    <row r="8683" spans="1:8">
      <c r="A8683" s="3">
        <v>361229</v>
      </c>
      <c r="B8683" s="7" t="s">
        <v>250</v>
      </c>
      <c r="C8683" s="100" t="s">
        <v>32</v>
      </c>
      <c r="D8683" s="6">
        <v>46249</v>
      </c>
      <c r="E8683" s="3" t="str">
        <f ca="1">IF(Tabela2[[#This Row],[Dt Venc:]]&gt;TODAY(),"Em Aberto",IF(Tabela2[[#This Row],[D/venc]]="-","Enviado",IF(Tabela2[[#This Row],[Dt Venc:]]=TODAY(),"Vence Hoje","Vencida")))</f>
        <v>Em Aberto</v>
      </c>
      <c r="F8683" s="3">
        <f ca="1">IF(G8683=1,"-",Tabela2[[#This Row],[Dt Venc:]]-TODAY())</f>
        <v>556</v>
      </c>
      <c r="G8683" s="3"/>
      <c r="H8683" s="3"/>
    </row>
    <row r="8684" spans="1:8">
      <c r="A8684" s="3">
        <v>361237</v>
      </c>
      <c r="B8684" s="7" t="s">
        <v>250</v>
      </c>
      <c r="C8684" s="100" t="s">
        <v>32</v>
      </c>
      <c r="D8684" s="6">
        <v>46249</v>
      </c>
      <c r="E8684" s="3" t="str">
        <f ca="1">IF(Tabela2[[#This Row],[Dt Venc:]]&gt;TODAY(),"Em Aberto",IF(Tabela2[[#This Row],[D/venc]]="-","Enviado",IF(Tabela2[[#This Row],[Dt Venc:]]=TODAY(),"Vence Hoje","Vencida")))</f>
        <v>Em Aberto</v>
      </c>
      <c r="F8684" s="3">
        <f ca="1">IF(G8684=1,"-",Tabela2[[#This Row],[Dt Venc:]]-TODAY())</f>
        <v>556</v>
      </c>
      <c r="G8684" s="3"/>
      <c r="H8684" s="3"/>
    </row>
    <row r="8685" spans="1:8">
      <c r="A8685" s="3">
        <v>365658</v>
      </c>
      <c r="B8685" s="7" t="s">
        <v>250</v>
      </c>
      <c r="C8685" s="100" t="s">
        <v>32</v>
      </c>
      <c r="D8685" s="6">
        <v>46249</v>
      </c>
      <c r="E8685" s="3" t="str">
        <f ca="1">IF(Tabela2[[#This Row],[Dt Venc:]]&gt;TODAY(),"Em Aberto",IF(Tabela2[[#This Row],[D/venc]]="-","Enviado",IF(Tabela2[[#This Row],[Dt Venc:]]=TODAY(),"Vence Hoje","Vencida")))</f>
        <v>Em Aberto</v>
      </c>
      <c r="F8685" s="3">
        <f ca="1">IF(G8685=1,"-",Tabela2[[#This Row],[Dt Venc:]]-TODAY())</f>
        <v>556</v>
      </c>
      <c r="G8685" s="3"/>
      <c r="H8685" s="3"/>
    </row>
    <row r="8686" spans="1:8">
      <c r="A8686" s="3">
        <v>365666</v>
      </c>
      <c r="B8686" s="7" t="s">
        <v>250</v>
      </c>
      <c r="C8686" s="100" t="s">
        <v>32</v>
      </c>
      <c r="D8686" s="6">
        <v>46249</v>
      </c>
      <c r="E8686" s="3" t="str">
        <f ca="1">IF(Tabela2[[#This Row],[Dt Venc:]]&gt;TODAY(),"Em Aberto",IF(Tabela2[[#This Row],[D/venc]]="-","Enviado",IF(Tabela2[[#This Row],[Dt Venc:]]=TODAY(),"Vence Hoje","Vencida")))</f>
        <v>Em Aberto</v>
      </c>
      <c r="F8686" s="3">
        <f ca="1">IF(G8686=1,"-",Tabela2[[#This Row],[Dt Venc:]]-TODAY())</f>
        <v>556</v>
      </c>
      <c r="G8686" s="3"/>
      <c r="H8686" s="3"/>
    </row>
    <row r="8687" spans="1:8">
      <c r="A8687" s="3">
        <v>365674</v>
      </c>
      <c r="B8687" s="7" t="s">
        <v>250</v>
      </c>
      <c r="C8687" s="100" t="s">
        <v>32</v>
      </c>
      <c r="D8687" s="6">
        <v>46249</v>
      </c>
      <c r="E8687" s="3" t="str">
        <f ca="1">IF(Tabela2[[#This Row],[Dt Venc:]]&gt;TODAY(),"Em Aberto",IF(Tabela2[[#This Row],[D/venc]]="-","Enviado",IF(Tabela2[[#This Row],[Dt Venc:]]=TODAY(),"Vence Hoje","Vencida")))</f>
        <v>Em Aberto</v>
      </c>
      <c r="F8687" s="3">
        <f ca="1">IF(G8687=1,"-",Tabela2[[#This Row],[Dt Venc:]]-TODAY())</f>
        <v>556</v>
      </c>
      <c r="G8687" s="3"/>
      <c r="H8687" s="3"/>
    </row>
    <row r="8688" spans="1:8">
      <c r="A8688" s="3">
        <v>365682</v>
      </c>
      <c r="B8688" s="7" t="s">
        <v>250</v>
      </c>
      <c r="C8688" s="100" t="s">
        <v>32</v>
      </c>
      <c r="D8688" s="6">
        <v>46249</v>
      </c>
      <c r="E8688" s="3" t="str">
        <f ca="1">IF(Tabela2[[#This Row],[Dt Venc:]]&gt;TODAY(),"Em Aberto",IF(Tabela2[[#This Row],[D/venc]]="-","Enviado",IF(Tabela2[[#This Row],[Dt Venc:]]=TODAY(),"Vence Hoje","Vencida")))</f>
        <v>Em Aberto</v>
      </c>
      <c r="F8688" s="3">
        <f ca="1">IF(G8688=1,"-",Tabela2[[#This Row],[Dt Venc:]]-TODAY())</f>
        <v>556</v>
      </c>
      <c r="G8688" s="3"/>
      <c r="H8688" s="3"/>
    </row>
    <row r="8689" spans="1:8">
      <c r="A8689" s="3">
        <v>369335</v>
      </c>
      <c r="B8689" s="7" t="s">
        <v>543</v>
      </c>
      <c r="C8689" s="87" t="s">
        <v>32</v>
      </c>
      <c r="D8689" s="6">
        <v>46249</v>
      </c>
      <c r="E8689" s="3" t="str">
        <f ca="1">IF(Tabela2[[#This Row],[Dt Venc:]]&gt;TODAY(),"Em Aberto",IF(Tabela2[[#This Row],[D/venc]]="-","Enviado",IF(Tabela2[[#This Row],[Dt Venc:]]=TODAY(),"Vence Hoje","Vencida")))</f>
        <v>Em Aberto</v>
      </c>
      <c r="F8689" s="3">
        <f ca="1">IF(G8689=1,"-",Tabela2[[#This Row],[Dt Venc:]]-TODAY())</f>
        <v>556</v>
      </c>
      <c r="G8689" s="3"/>
      <c r="H8689" s="3"/>
    </row>
    <row r="8690" spans="1:8">
      <c r="A8690" s="3">
        <v>369696</v>
      </c>
      <c r="B8690" s="7" t="s">
        <v>543</v>
      </c>
      <c r="C8690" s="87" t="s">
        <v>32</v>
      </c>
      <c r="D8690" s="6">
        <v>46249</v>
      </c>
      <c r="E8690" s="3" t="str">
        <f ca="1">IF(Tabela2[[#This Row],[Dt Venc:]]&gt;TODAY(),"Em Aberto",IF(Tabela2[[#This Row],[D/venc]]="-","Enviado",IF(Tabela2[[#This Row],[Dt Venc:]]=TODAY(),"Vence Hoje","Vencida")))</f>
        <v>Em Aberto</v>
      </c>
      <c r="F8690" s="3">
        <f ca="1">IF(G8690=1,"-",Tabela2[[#This Row],[Dt Venc:]]-TODAY())</f>
        <v>556</v>
      </c>
      <c r="G8690" s="3"/>
      <c r="H8690" s="3"/>
    </row>
    <row r="8691" spans="1:8">
      <c r="A8691" s="3">
        <v>369726</v>
      </c>
      <c r="B8691" s="7" t="s">
        <v>543</v>
      </c>
      <c r="C8691" s="87" t="s">
        <v>32</v>
      </c>
      <c r="D8691" s="6">
        <v>46249</v>
      </c>
      <c r="E8691" s="3" t="str">
        <f ca="1">IF(Tabela2[[#This Row],[Dt Venc:]]&gt;TODAY(),"Em Aberto",IF(Tabela2[[#This Row],[D/venc]]="-","Enviado",IF(Tabela2[[#This Row],[Dt Venc:]]=TODAY(),"Vence Hoje","Vencida")))</f>
        <v>Em Aberto</v>
      </c>
      <c r="F8691" s="3">
        <f ca="1">IF(G8691=1,"-",Tabela2[[#This Row],[Dt Venc:]]-TODAY())</f>
        <v>556</v>
      </c>
      <c r="G8691" s="3"/>
      <c r="H8691" s="3"/>
    </row>
    <row r="8692" spans="1:8">
      <c r="A8692" s="3">
        <v>369751</v>
      </c>
      <c r="B8692" s="7" t="s">
        <v>543</v>
      </c>
      <c r="C8692" s="87" t="s">
        <v>32</v>
      </c>
      <c r="D8692" s="6">
        <v>46249</v>
      </c>
      <c r="E8692" s="3" t="str">
        <f ca="1">IF(Tabela2[[#This Row],[Dt Venc:]]&gt;TODAY(),"Em Aberto",IF(Tabela2[[#This Row],[D/venc]]="-","Enviado",IF(Tabela2[[#This Row],[Dt Venc:]]=TODAY(),"Vence Hoje","Vencida")))</f>
        <v>Em Aberto</v>
      </c>
      <c r="F8692" s="3">
        <f ca="1">IF(G8692=1,"-",Tabela2[[#This Row],[Dt Venc:]]-TODAY())</f>
        <v>556</v>
      </c>
      <c r="G8692" s="3"/>
      <c r="H8692" s="3"/>
    </row>
    <row r="8693" spans="1:8">
      <c r="A8693" s="3">
        <v>370201</v>
      </c>
      <c r="B8693" s="7" t="s">
        <v>543</v>
      </c>
      <c r="C8693" s="87" t="s">
        <v>32</v>
      </c>
      <c r="D8693" s="6">
        <v>46249</v>
      </c>
      <c r="E8693" s="3" t="str">
        <f ca="1">IF(Tabela2[[#This Row],[Dt Venc:]]&gt;TODAY(),"Em Aberto",IF(Tabela2[[#This Row],[D/venc]]="-","Enviado",IF(Tabela2[[#This Row],[Dt Venc:]]=TODAY(),"Vence Hoje","Vencida")))</f>
        <v>Em Aberto</v>
      </c>
      <c r="F8693" s="3">
        <f ca="1">IF(G8693=1,"-",Tabela2[[#This Row],[Dt Venc:]]-TODAY())</f>
        <v>556</v>
      </c>
      <c r="G8693" s="3"/>
      <c r="H8693" s="3"/>
    </row>
    <row r="8694" spans="1:8">
      <c r="A8694" s="3">
        <v>370864</v>
      </c>
      <c r="B8694" s="7" t="s">
        <v>543</v>
      </c>
      <c r="C8694" s="87" t="s">
        <v>32</v>
      </c>
      <c r="D8694" s="6">
        <v>46249</v>
      </c>
      <c r="E8694" s="3" t="str">
        <f ca="1">IF(Tabela2[[#This Row],[Dt Venc:]]&gt;TODAY(),"Em Aberto",IF(Tabela2[[#This Row],[D/venc]]="-","Enviado",IF(Tabela2[[#This Row],[Dt Venc:]]=TODAY(),"Vence Hoje","Vencida")))</f>
        <v>Em Aberto</v>
      </c>
      <c r="F8694" s="3">
        <f ca="1">IF(G8694=1,"-",Tabela2[[#This Row],[Dt Venc:]]-TODAY())</f>
        <v>556</v>
      </c>
      <c r="G8694" s="3"/>
      <c r="H8694" s="3"/>
    </row>
    <row r="8695" spans="1:8">
      <c r="A8695" s="3">
        <v>371011</v>
      </c>
      <c r="B8695" s="7" t="s">
        <v>633</v>
      </c>
      <c r="C8695" s="87" t="s">
        <v>32</v>
      </c>
      <c r="D8695" s="6">
        <v>46249</v>
      </c>
      <c r="E8695" s="3" t="str">
        <f ca="1">IF(Tabela2[[#This Row],[Dt Venc:]]&gt;TODAY(),"Em Aberto",IF(Tabela2[[#This Row],[D/venc]]="-","Enviado",IF(Tabela2[[#This Row],[Dt Venc:]]=TODAY(),"Vence Hoje","Vencida")))</f>
        <v>Em Aberto</v>
      </c>
      <c r="F8695" s="3">
        <f ca="1">IF(G8695=1,"-",Tabela2[[#This Row],[Dt Venc:]]-TODAY())</f>
        <v>556</v>
      </c>
      <c r="G8695" s="3"/>
      <c r="H8695" s="3"/>
    </row>
    <row r="8696" spans="1:8">
      <c r="A8696" s="3">
        <v>371160</v>
      </c>
      <c r="B8696" s="7" t="s">
        <v>633</v>
      </c>
      <c r="C8696" s="87" t="s">
        <v>32</v>
      </c>
      <c r="D8696" s="6">
        <v>46249</v>
      </c>
      <c r="E8696" s="3" t="str">
        <f ca="1">IF(Tabela2[[#This Row],[Dt Venc:]]&gt;TODAY(),"Em Aberto",IF(Tabela2[[#This Row],[D/venc]]="-","Enviado",IF(Tabela2[[#This Row],[Dt Venc:]]=TODAY(),"Vence Hoje","Vencida")))</f>
        <v>Em Aberto</v>
      </c>
      <c r="F8696" s="3">
        <f ca="1">IF(G8696=1,"-",Tabela2[[#This Row],[Dt Venc:]]-TODAY())</f>
        <v>556</v>
      </c>
      <c r="G8696" s="3"/>
      <c r="H8696" s="3"/>
    </row>
    <row r="8697" spans="1:8">
      <c r="A8697" s="3">
        <v>748099</v>
      </c>
      <c r="B8697" s="7" t="s">
        <v>81</v>
      </c>
      <c r="C8697" s="100" t="s">
        <v>32</v>
      </c>
      <c r="D8697" s="6">
        <v>46249</v>
      </c>
      <c r="E8697" s="3" t="str">
        <f ca="1">IF(Tabela2[[#This Row],[Dt Venc:]]&gt;TODAY(),"Em Aberto",IF(Tabela2[[#This Row],[D/venc]]="-","Enviado",IF(Tabela2[[#This Row],[Dt Venc:]]=TODAY(),"Vence Hoje","Vencida")))</f>
        <v>Em Aberto</v>
      </c>
      <c r="F8697" s="3">
        <f ca="1">IF(G8697=1,"-",Tabela2[[#This Row],[Dt Venc:]]-TODAY())</f>
        <v>556</v>
      </c>
      <c r="G8697" s="3"/>
      <c r="H8697" s="3"/>
    </row>
    <row r="8698" spans="1:8">
      <c r="A8698" s="3">
        <v>892178</v>
      </c>
      <c r="B8698" s="7" t="s">
        <v>253</v>
      </c>
      <c r="C8698" s="100" t="s">
        <v>32</v>
      </c>
      <c r="D8698" s="6">
        <v>46249</v>
      </c>
      <c r="E8698" s="3" t="str">
        <f ca="1">IF(Tabela2[[#This Row],[Dt Venc:]]&gt;TODAY(),"Em Aberto",IF(Tabela2[[#This Row],[D/venc]]="-","Enviado",IF(Tabela2[[#This Row],[Dt Venc:]]=TODAY(),"Vence Hoje","Vencida")))</f>
        <v>Em Aberto</v>
      </c>
      <c r="F8698" s="3">
        <f ca="1">IF(G8698=1,"-",Tabela2[[#This Row],[Dt Venc:]]-TODAY())</f>
        <v>556</v>
      </c>
      <c r="G8698" s="3"/>
      <c r="H8698" s="3"/>
    </row>
    <row r="8699" spans="1:8">
      <c r="A8699" s="3">
        <v>894135</v>
      </c>
      <c r="B8699" s="7" t="s">
        <v>253</v>
      </c>
      <c r="C8699" s="100" t="s">
        <v>32</v>
      </c>
      <c r="D8699" s="6">
        <v>46249</v>
      </c>
      <c r="E8699" s="3" t="str">
        <f ca="1">IF(Tabela2[[#This Row],[Dt Venc:]]&gt;TODAY(),"Em Aberto",IF(Tabela2[[#This Row],[D/venc]]="-","Enviado",IF(Tabela2[[#This Row],[Dt Venc:]]=TODAY(),"Vence Hoje","Vencida")))</f>
        <v>Em Aberto</v>
      </c>
      <c r="F8699" s="3">
        <f ca="1">IF(G8699=1,"-",Tabela2[[#This Row],[Dt Venc:]]-TODAY())</f>
        <v>556</v>
      </c>
      <c r="G8699" s="3"/>
      <c r="H8699" s="3"/>
    </row>
    <row r="8700" spans="1:8">
      <c r="A8700" s="3">
        <v>896565</v>
      </c>
      <c r="B8700" s="7" t="s">
        <v>253</v>
      </c>
      <c r="C8700" s="100" t="s">
        <v>32</v>
      </c>
      <c r="D8700" s="6">
        <v>46249</v>
      </c>
      <c r="E8700" s="3" t="str">
        <f ca="1">IF(Tabela2[[#This Row],[Dt Venc:]]&gt;TODAY(),"Em Aberto",IF(Tabela2[[#This Row],[D/venc]]="-","Enviado",IF(Tabela2[[#This Row],[Dt Venc:]]=TODAY(),"Vence Hoje","Vencida")))</f>
        <v>Em Aberto</v>
      </c>
      <c r="F8700" s="3">
        <f ca="1">IF(G8700=1,"-",Tabela2[[#This Row],[Dt Venc:]]-TODAY())</f>
        <v>556</v>
      </c>
      <c r="G8700" s="3"/>
      <c r="H8700" s="3"/>
    </row>
    <row r="8701" spans="1:8">
      <c r="A8701" s="3">
        <v>900386</v>
      </c>
      <c r="B8701" s="7" t="s">
        <v>253</v>
      </c>
      <c r="C8701" s="100" t="s">
        <v>32</v>
      </c>
      <c r="D8701" s="6">
        <v>46249</v>
      </c>
      <c r="E8701" s="3" t="str">
        <f ca="1">IF(Tabela2[[#This Row],[Dt Venc:]]&gt;TODAY(),"Em Aberto",IF(Tabela2[[#This Row],[D/venc]]="-","Enviado",IF(Tabela2[[#This Row],[Dt Venc:]]=TODAY(),"Vence Hoje","Vencida")))</f>
        <v>Em Aberto</v>
      </c>
      <c r="F8701" s="3">
        <f ca="1">IF(G8701=1,"-",Tabela2[[#This Row],[Dt Venc:]]-TODAY())</f>
        <v>556</v>
      </c>
      <c r="G8701" s="3"/>
      <c r="H8701" s="3"/>
    </row>
    <row r="8702" spans="1:8">
      <c r="A8702" s="3">
        <v>901787</v>
      </c>
      <c r="B8702" s="7" t="s">
        <v>253</v>
      </c>
      <c r="C8702" s="100" t="s">
        <v>32</v>
      </c>
      <c r="D8702" s="6">
        <v>46249</v>
      </c>
      <c r="E8702" s="3" t="str">
        <f ca="1">IF(Tabela2[[#This Row],[Dt Venc:]]&gt;TODAY(),"Em Aberto",IF(Tabela2[[#This Row],[D/venc]]="-","Enviado",IF(Tabela2[[#This Row],[Dt Venc:]]=TODAY(),"Vence Hoje","Vencida")))</f>
        <v>Em Aberto</v>
      </c>
      <c r="F8702" s="3">
        <f ca="1">IF(G8702=1,"-",Tabela2[[#This Row],[Dt Venc:]]-TODAY())</f>
        <v>556</v>
      </c>
      <c r="G8702" s="3"/>
      <c r="H8702" s="3"/>
    </row>
    <row r="8703" spans="1:8">
      <c r="A8703" s="3">
        <v>901788</v>
      </c>
      <c r="B8703" s="7" t="s">
        <v>253</v>
      </c>
      <c r="C8703" s="100" t="s">
        <v>32</v>
      </c>
      <c r="D8703" s="6">
        <v>46249</v>
      </c>
      <c r="E8703" s="3" t="str">
        <f ca="1">IF(Tabela2[[#This Row],[Dt Venc:]]&gt;TODAY(),"Em Aberto",IF(Tabela2[[#This Row],[D/venc]]="-","Enviado",IF(Tabela2[[#This Row],[Dt Venc:]]=TODAY(),"Vence Hoje","Vencida")))</f>
        <v>Em Aberto</v>
      </c>
      <c r="F8703" s="3">
        <f ca="1">IF(G8703=1,"-",Tabela2[[#This Row],[Dt Venc:]]-TODAY())</f>
        <v>556</v>
      </c>
      <c r="G8703" s="3"/>
      <c r="H8703" s="3"/>
    </row>
    <row r="8704" spans="1:8">
      <c r="A8704" s="3">
        <v>901789</v>
      </c>
      <c r="B8704" s="7" t="s">
        <v>253</v>
      </c>
      <c r="C8704" s="100" t="s">
        <v>32</v>
      </c>
      <c r="D8704" s="6">
        <v>46249</v>
      </c>
      <c r="E8704" s="3" t="str">
        <f ca="1">IF(Tabela2[[#This Row],[Dt Venc:]]&gt;TODAY(),"Em Aberto",IF(Tabela2[[#This Row],[D/venc]]="-","Enviado",IF(Tabela2[[#This Row],[Dt Venc:]]=TODAY(),"Vence Hoje","Vencida")))</f>
        <v>Em Aberto</v>
      </c>
      <c r="F8704" s="3">
        <f ca="1">IF(G8704=1,"-",Tabela2[[#This Row],[Dt Venc:]]-TODAY())</f>
        <v>556</v>
      </c>
      <c r="G8704" s="3"/>
      <c r="H8704" s="3"/>
    </row>
    <row r="8705" spans="1:8">
      <c r="A8705" s="3">
        <v>912703</v>
      </c>
      <c r="B8705" s="7" t="s">
        <v>253</v>
      </c>
      <c r="C8705" s="100" t="s">
        <v>32</v>
      </c>
      <c r="D8705" s="6">
        <v>46249</v>
      </c>
      <c r="E8705" s="3" t="str">
        <f ca="1">IF(Tabela2[[#This Row],[Dt Venc:]]&gt;TODAY(),"Em Aberto",IF(Tabela2[[#This Row],[D/venc]]="-","Enviado",IF(Tabela2[[#This Row],[Dt Venc:]]=TODAY(),"Vence Hoje","Vencida")))</f>
        <v>Em Aberto</v>
      </c>
      <c r="F8705" s="3">
        <f ca="1">IF(G8705=1,"-",Tabela2[[#This Row],[Dt Venc:]]-TODAY())</f>
        <v>556</v>
      </c>
      <c r="G8705" s="3"/>
      <c r="H8705" s="3"/>
    </row>
    <row r="8706" spans="1:8">
      <c r="A8706" s="3">
        <v>912704</v>
      </c>
      <c r="B8706" s="7" t="s">
        <v>253</v>
      </c>
      <c r="C8706" s="100" t="s">
        <v>32</v>
      </c>
      <c r="D8706" s="6">
        <v>46249</v>
      </c>
      <c r="E8706" s="3" t="str">
        <f ca="1">IF(Tabela2[[#This Row],[Dt Venc:]]&gt;TODAY(),"Em Aberto",IF(Tabela2[[#This Row],[D/venc]]="-","Enviado",IF(Tabela2[[#This Row],[Dt Venc:]]=TODAY(),"Vence Hoje","Vencida")))</f>
        <v>Em Aberto</v>
      </c>
      <c r="F8706" s="3">
        <f ca="1">IF(G8706=1,"-",Tabela2[[#This Row],[Dt Venc:]]-TODAY())</f>
        <v>556</v>
      </c>
      <c r="G8706" s="3"/>
      <c r="H8706" s="3"/>
    </row>
    <row r="8707" spans="1:8">
      <c r="A8707" s="3">
        <v>919728</v>
      </c>
      <c r="B8707" s="7" t="s">
        <v>253</v>
      </c>
      <c r="C8707" s="87" t="s">
        <v>32</v>
      </c>
      <c r="D8707" s="6">
        <v>46249</v>
      </c>
      <c r="E8707" s="3" t="str">
        <f ca="1">IF(Tabela2[[#This Row],[Dt Venc:]]&gt;TODAY(),"Em Aberto",IF(Tabela2[[#This Row],[D/venc]]="-","Enviado",IF(Tabela2[[#This Row],[Dt Venc:]]=TODAY(),"Vence Hoje","Vencida")))</f>
        <v>Em Aberto</v>
      </c>
      <c r="F8707" s="3">
        <f ca="1">IF(G8707=1,"-",Tabela2[[#This Row],[Dt Venc:]]-TODAY())</f>
        <v>556</v>
      </c>
      <c r="G8707" s="3"/>
      <c r="H8707" s="3"/>
    </row>
    <row r="8708" spans="1:8">
      <c r="A8708" s="3">
        <v>919729</v>
      </c>
      <c r="B8708" s="7" t="s">
        <v>253</v>
      </c>
      <c r="C8708" s="85" t="s">
        <v>32</v>
      </c>
      <c r="D8708" s="6">
        <v>46249</v>
      </c>
      <c r="E8708" s="3" t="str">
        <f ca="1">IF(Tabela2[[#This Row],[Dt Venc:]]&gt;TODAY(),"Em Aberto",IF(Tabela2[[#This Row],[D/venc]]="-","Enviado",IF(Tabela2[[#This Row],[Dt Venc:]]=TODAY(),"Vence Hoje","Vencida")))</f>
        <v>Em Aberto</v>
      </c>
      <c r="F8708" s="3">
        <f ca="1">IF(G8708=1,"-",Tabela2[[#This Row],[Dt Venc:]]-TODAY())</f>
        <v>556</v>
      </c>
      <c r="G8708" s="3"/>
      <c r="H8708" s="3"/>
    </row>
    <row r="8709" spans="1:8">
      <c r="A8709" s="3">
        <v>37196</v>
      </c>
      <c r="B8709" s="7" t="s">
        <v>167</v>
      </c>
      <c r="C8709" s="87" t="s">
        <v>32</v>
      </c>
      <c r="D8709" s="6">
        <v>46251</v>
      </c>
      <c r="E8709" s="3" t="str">
        <f ca="1">IF(Tabela2[[#This Row],[Dt Venc:]]&gt;TODAY(),"Em Aberto",IF(Tabela2[[#This Row],[D/venc]]="-","Enviado",IF(Tabela2[[#This Row],[Dt Venc:]]=TODAY(),"Vence Hoje","Vencida")))</f>
        <v>Em Aberto</v>
      </c>
      <c r="F8709" s="3">
        <f ca="1">IF(G8709=1,"-",Tabela2[[#This Row],[Dt Venc:]]-TODAY())</f>
        <v>558</v>
      </c>
      <c r="G8709" s="3"/>
      <c r="H8709" s="3"/>
    </row>
    <row r="8710" spans="1:8">
      <c r="A8710" s="3">
        <v>37300</v>
      </c>
      <c r="B8710" s="7" t="s">
        <v>167</v>
      </c>
      <c r="C8710" s="100" t="s">
        <v>32</v>
      </c>
      <c r="D8710" s="6">
        <v>46251</v>
      </c>
      <c r="E8710" s="3" t="str">
        <f ca="1">IF(Tabela2[[#This Row],[Dt Venc:]]&gt;TODAY(),"Em Aberto",IF(Tabela2[[#This Row],[D/venc]]="-","Enviado",IF(Tabela2[[#This Row],[Dt Venc:]]=TODAY(),"Vence Hoje","Vencida")))</f>
        <v>Em Aberto</v>
      </c>
      <c r="F8710" s="3">
        <f ca="1">IF(G8710=1,"-",Tabela2[[#This Row],[Dt Venc:]]-TODAY())</f>
        <v>558</v>
      </c>
      <c r="G8710" s="3"/>
      <c r="H8710" s="3"/>
    </row>
    <row r="8711" spans="1:8">
      <c r="A8711" s="3">
        <v>37348</v>
      </c>
      <c r="B8711" s="7" t="s">
        <v>167</v>
      </c>
      <c r="C8711" s="100" t="s">
        <v>32</v>
      </c>
      <c r="D8711" s="6">
        <v>46256</v>
      </c>
      <c r="E8711" s="3" t="str">
        <f ca="1">IF(Tabela2[[#This Row],[Dt Venc:]]&gt;TODAY(),"Em Aberto",IF(Tabela2[[#This Row],[D/venc]]="-","Enviado",IF(Tabela2[[#This Row],[Dt Venc:]]=TODAY(),"Vence Hoje","Vencida")))</f>
        <v>Em Aberto</v>
      </c>
      <c r="F8711" s="3">
        <f ca="1">IF(G8711=1,"-",Tabela2[[#This Row],[Dt Venc:]]-TODAY())</f>
        <v>563</v>
      </c>
      <c r="G8711" s="3"/>
      <c r="H8711" s="3"/>
    </row>
    <row r="8712" spans="1:8">
      <c r="A8712" s="3">
        <v>495914</v>
      </c>
      <c r="B8712" s="7" t="s">
        <v>153</v>
      </c>
      <c r="C8712" s="99" t="s">
        <v>32</v>
      </c>
      <c r="D8712" s="6">
        <v>46259</v>
      </c>
      <c r="E8712" s="3" t="str">
        <f ca="1">IF(Tabela2[[#This Row],[Dt Venc:]]&gt;TODAY(),"Em Aberto",IF(Tabela2[[#This Row],[D/venc]]="-","Enviado",IF(Tabela2[[#This Row],[Dt Venc:]]=TODAY(),"Vence Hoje","Vencida")))</f>
        <v>Em Aberto</v>
      </c>
      <c r="F8712" s="3">
        <f ca="1">IF(G8712=1,"-",Tabela2[[#This Row],[Dt Venc:]]-TODAY())</f>
        <v>566</v>
      </c>
      <c r="G8712" s="3"/>
      <c r="H8712" s="3"/>
    </row>
    <row r="8713" spans="1:8">
      <c r="A8713" s="3">
        <v>5690</v>
      </c>
      <c r="B8713" s="7" t="s">
        <v>122</v>
      </c>
      <c r="C8713" s="100" t="s">
        <v>32</v>
      </c>
      <c r="D8713" s="6">
        <v>46261</v>
      </c>
      <c r="E8713" s="3" t="str">
        <f ca="1">IF(Tabela2[[#This Row],[Dt Venc:]]&gt;TODAY(),"Em Aberto",IF(Tabela2[[#This Row],[D/venc]]="-","Enviado",IF(Tabela2[[#This Row],[Dt Venc:]]=TODAY(),"Vence Hoje","Vencida")))</f>
        <v>Em Aberto</v>
      </c>
      <c r="F8713" s="3">
        <f ca="1">IF(G8713=1,"-",Tabela2[[#This Row],[Dt Venc:]]-TODAY())</f>
        <v>568</v>
      </c>
      <c r="G8713" s="3"/>
      <c r="H8713" s="3"/>
    </row>
    <row r="8714" spans="1:8">
      <c r="A8714" s="3" t="s">
        <v>123</v>
      </c>
      <c r="B8714" s="7" t="s">
        <v>386</v>
      </c>
      <c r="C8714" s="87" t="s">
        <v>32</v>
      </c>
      <c r="D8714" s="6">
        <v>46264</v>
      </c>
      <c r="E8714" s="3" t="str">
        <f ca="1">IF(Tabela2[[#This Row],[Dt Venc:]]&gt;TODAY(),"Em Aberto",IF(Tabela2[[#This Row],[D/venc]]="-","Enviado",IF(Tabela2[[#This Row],[Dt Venc:]]=TODAY(),"Vence Hoje","Vencida")))</f>
        <v>Em Aberto</v>
      </c>
      <c r="F8714" s="3">
        <f ca="1">IF(G8714=1,"-",Tabela2[[#This Row],[Dt Venc:]]-TODAY())</f>
        <v>571</v>
      </c>
      <c r="G8714" s="3"/>
      <c r="H8714" s="3"/>
    </row>
    <row r="8715" spans="1:8">
      <c r="A8715" s="3">
        <v>11681</v>
      </c>
      <c r="B8715" s="7" t="s">
        <v>82</v>
      </c>
      <c r="C8715" s="87" t="s">
        <v>30</v>
      </c>
      <c r="D8715" s="6">
        <v>46265</v>
      </c>
      <c r="E8715" s="3" t="str">
        <f ca="1">IF(Tabela2[[#This Row],[Dt Venc:]]&gt;TODAY(),"Em Aberto",IF(Tabela2[[#This Row],[D/venc]]="-","Enviado",IF(Tabela2[[#This Row],[Dt Venc:]]=TODAY(),"Vence Hoje","Vencida")))</f>
        <v>Em Aberto</v>
      </c>
      <c r="F8715" s="3">
        <f ca="1">IF(G8715=1,"-",Tabela2[[#This Row],[Dt Venc:]]-TODAY())</f>
        <v>572</v>
      </c>
      <c r="G8715" s="3"/>
      <c r="H8715" s="3"/>
    </row>
    <row r="8716" spans="1:8">
      <c r="A8716" s="3" t="s">
        <v>28</v>
      </c>
      <c r="B8716" s="7" t="s">
        <v>391</v>
      </c>
      <c r="C8716" s="85" t="s">
        <v>30</v>
      </c>
      <c r="D8716" s="6">
        <v>46265</v>
      </c>
      <c r="E8716" s="3" t="str">
        <f ca="1">IF(Tabela2[[#This Row],[Dt Venc:]]&gt;TODAY(),"Em Aberto",IF(Tabela2[[#This Row],[D/venc]]="-","Enviado",IF(Tabela2[[#This Row],[Dt Venc:]]=TODAY(),"Vence Hoje","Vencida")))</f>
        <v>Em Aberto</v>
      </c>
      <c r="F8716" s="3">
        <f ca="1">IF(G8716=1,"-",Tabela2[[#This Row],[Dt Venc:]]-TODAY())</f>
        <v>572</v>
      </c>
      <c r="G8716" s="3"/>
      <c r="H8716" s="3"/>
    </row>
    <row r="8717" spans="1:8">
      <c r="A8717" s="3">
        <v>36910</v>
      </c>
      <c r="B8717" s="7" t="s">
        <v>167</v>
      </c>
      <c r="C8717" s="99" t="s">
        <v>32</v>
      </c>
      <c r="D8717" s="6">
        <v>46266</v>
      </c>
      <c r="E8717" s="3" t="str">
        <f ca="1">IF(Tabela2[[#This Row],[Dt Venc:]]&gt;TODAY(),"Em Aberto",IF(Tabela2[[#This Row],[D/venc]]="-","Enviado",IF(Tabela2[[#This Row],[Dt Venc:]]=TODAY(),"Vence Hoje","Vencida")))</f>
        <v>Em Aberto</v>
      </c>
      <c r="F8717" s="3">
        <f ca="1">IF(G8717=1,"-",Tabela2[[#This Row],[Dt Venc:]]-TODAY())</f>
        <v>573</v>
      </c>
      <c r="G8717" s="3"/>
      <c r="H8717" s="3"/>
    </row>
    <row r="8718" spans="1:8">
      <c r="A8718" s="3">
        <v>10494</v>
      </c>
      <c r="B8718" s="7" t="s">
        <v>82</v>
      </c>
      <c r="C8718" s="88" t="s">
        <v>30</v>
      </c>
      <c r="D8718" s="6">
        <v>46268</v>
      </c>
      <c r="E8718" s="3" t="str">
        <f ca="1">IF(Tabela2[[#This Row],[Dt Venc:]]&gt;TODAY(),"Em Aberto",IF(Tabela2[[#This Row],[D/venc]]="-","Enviado",IF(Tabela2[[#This Row],[Dt Venc:]]=TODAY(),"Vence Hoje","Vencida")))</f>
        <v>Em Aberto</v>
      </c>
      <c r="F8718" s="3">
        <f ca="1">IF(G8718=1,"-",Tabela2[[#This Row],[Dt Venc:]]-TODAY())</f>
        <v>575</v>
      </c>
      <c r="G8718" s="3"/>
      <c r="H8718" s="3"/>
    </row>
    <row r="8719" spans="1:8">
      <c r="A8719" s="3">
        <v>5680</v>
      </c>
      <c r="B8719" s="7" t="s">
        <v>122</v>
      </c>
      <c r="C8719" s="99" t="s">
        <v>32</v>
      </c>
      <c r="D8719" s="6">
        <v>46270</v>
      </c>
      <c r="E8719" s="3" t="str">
        <f ca="1">IF(Tabela2[[#This Row],[Dt Venc:]]&gt;TODAY(),"Em Aberto",IF(Tabela2[[#This Row],[D/venc]]="-","Enviado",IF(Tabela2[[#This Row],[Dt Venc:]]=TODAY(),"Vence Hoje","Vencida")))</f>
        <v>Em Aberto</v>
      </c>
      <c r="F8719" s="3">
        <f ca="1">IF(G8719=1,"-",Tabela2[[#This Row],[Dt Venc:]]-TODAY())</f>
        <v>577</v>
      </c>
      <c r="G8719" s="3"/>
      <c r="H8719" s="3"/>
    </row>
    <row r="8720" spans="1:8">
      <c r="A8720" s="3">
        <v>10353</v>
      </c>
      <c r="B8720" s="7" t="s">
        <v>82</v>
      </c>
      <c r="C8720" s="100" t="s">
        <v>32</v>
      </c>
      <c r="D8720" s="6">
        <v>46270</v>
      </c>
      <c r="E8720" s="3" t="str">
        <f ca="1">IF(Tabela2[[#This Row],[Dt Venc:]]&gt;TODAY(),"Em Aberto",IF(Tabela2[[#This Row],[D/venc]]="-","Enviado",IF(Tabela2[[#This Row],[Dt Venc:]]=TODAY(),"Vence Hoje","Vencida")))</f>
        <v>Em Aberto</v>
      </c>
      <c r="F8720" s="3">
        <f ca="1">IF(G8720=1,"-",Tabela2[[#This Row],[Dt Venc:]]-TODAY())</f>
        <v>577</v>
      </c>
      <c r="G8720" s="3"/>
      <c r="H8720" s="3"/>
    </row>
    <row r="8721" spans="1:8">
      <c r="A8721" s="3">
        <v>284620</v>
      </c>
      <c r="B8721" s="7" t="s">
        <v>153</v>
      </c>
      <c r="C8721" s="99" t="s">
        <v>32</v>
      </c>
      <c r="D8721" s="6">
        <v>46273</v>
      </c>
      <c r="E8721" s="3" t="str">
        <f ca="1">IF(Tabela2[[#This Row],[Dt Venc:]]&gt;TODAY(),"Em Aberto",IF(Tabela2[[#This Row],[D/venc]]="-","Enviado",IF(Tabela2[[#This Row],[Dt Venc:]]=TODAY(),"Vence Hoje","Vencida")))</f>
        <v>Em Aberto</v>
      </c>
      <c r="F8721" s="3">
        <f ca="1">IF(G8721=1,"-",Tabela2[[#This Row],[Dt Venc:]]-TODAY())</f>
        <v>580</v>
      </c>
      <c r="G8721" s="3"/>
      <c r="H8721" s="3"/>
    </row>
    <row r="8722" spans="1:8">
      <c r="A8722" s="3">
        <v>36949</v>
      </c>
      <c r="B8722" s="7" t="s">
        <v>167</v>
      </c>
      <c r="C8722" s="100" t="s">
        <v>32</v>
      </c>
      <c r="D8722" s="6">
        <v>46274</v>
      </c>
      <c r="E8722" s="3" t="str">
        <f ca="1">IF(Tabela2[[#This Row],[Dt Venc:]]&gt;TODAY(),"Em Aberto",IF(Tabela2[[#This Row],[D/venc]]="-","Enviado",IF(Tabela2[[#This Row],[Dt Venc:]]=TODAY(),"Vence Hoje","Vencida")))</f>
        <v>Em Aberto</v>
      </c>
      <c r="F8722" s="3">
        <f ca="1">IF(G8722=1,"-",Tabela2[[#This Row],[Dt Venc:]]-TODAY())</f>
        <v>581</v>
      </c>
      <c r="G8722" s="3"/>
      <c r="H8722" s="3"/>
    </row>
    <row r="8723" spans="1:8">
      <c r="A8723" s="3">
        <v>756561</v>
      </c>
      <c r="B8723" s="7" t="s">
        <v>166</v>
      </c>
      <c r="C8723" s="100" t="s">
        <v>32</v>
      </c>
      <c r="D8723" s="6">
        <v>46274</v>
      </c>
      <c r="E8723" s="3" t="str">
        <f ca="1">IF(Tabela2[[#This Row],[Dt Venc:]]&gt;TODAY(),"Em Aberto",IF(Tabela2[[#This Row],[D/venc]]="-","Enviado",IF(Tabela2[[#This Row],[Dt Venc:]]=TODAY(),"Vence Hoje","Vencida")))</f>
        <v>Em Aberto</v>
      </c>
      <c r="F8723" s="3">
        <f ca="1">IF(G8723=1,"-",Tabela2[[#This Row],[Dt Venc:]]-TODAY())</f>
        <v>581</v>
      </c>
      <c r="G8723" s="3"/>
      <c r="H8723" s="3"/>
    </row>
    <row r="8724" spans="1:8">
      <c r="A8724" s="3">
        <v>37292</v>
      </c>
      <c r="B8724" s="7" t="s">
        <v>167</v>
      </c>
      <c r="C8724" s="100" t="s">
        <v>32</v>
      </c>
      <c r="D8724" s="6">
        <v>46276</v>
      </c>
      <c r="E8724" s="3" t="str">
        <f ca="1">IF(Tabela2[[#This Row],[Dt Venc:]]&gt;TODAY(),"Em Aberto",IF(Tabela2[[#This Row],[D/venc]]="-","Enviado",IF(Tabela2[[#This Row],[Dt Venc:]]=TODAY(),"Vence Hoje","Vencida")))</f>
        <v>Em Aberto</v>
      </c>
      <c r="F8724" s="3">
        <f ca="1">IF(G8724=1,"-",Tabela2[[#This Row],[Dt Venc:]]-TODAY())</f>
        <v>583</v>
      </c>
      <c r="G8724" s="3"/>
      <c r="H8724" s="3"/>
    </row>
    <row r="8725" spans="1:8">
      <c r="A8725" s="3">
        <v>37327</v>
      </c>
      <c r="B8725" s="7" t="s">
        <v>167</v>
      </c>
      <c r="C8725" s="100" t="s">
        <v>32</v>
      </c>
      <c r="D8725" s="6">
        <v>46276</v>
      </c>
      <c r="E8725" s="3" t="str">
        <f ca="1">IF(Tabela2[[#This Row],[Dt Venc:]]&gt;TODAY(),"Em Aberto",IF(Tabela2[[#This Row],[D/venc]]="-","Enviado",IF(Tabela2[[#This Row],[Dt Venc:]]=TODAY(),"Vence Hoje","Vencida")))</f>
        <v>Em Aberto</v>
      </c>
      <c r="F8725" s="3">
        <f ca="1">IF(G8725=1,"-",Tabela2[[#This Row],[Dt Venc:]]-TODAY())</f>
        <v>583</v>
      </c>
      <c r="G8725" s="3"/>
      <c r="H8725" s="3"/>
    </row>
    <row r="8726" spans="1:8">
      <c r="A8726" s="3">
        <v>562</v>
      </c>
      <c r="B8726" s="7" t="s">
        <v>251</v>
      </c>
      <c r="C8726" s="100" t="s">
        <v>32</v>
      </c>
      <c r="D8726" s="6">
        <v>46280</v>
      </c>
      <c r="E8726" s="3" t="str">
        <f ca="1">IF(Tabela2[[#This Row],[Dt Venc:]]&gt;TODAY(),"Em Aberto",IF(Tabela2[[#This Row],[D/venc]]="-","Enviado",IF(Tabela2[[#This Row],[Dt Venc:]]=TODAY(),"Vence Hoje","Vencida")))</f>
        <v>Em Aberto</v>
      </c>
      <c r="F8726" s="3">
        <f ca="1">IF(G8726=1,"-",Tabela2[[#This Row],[Dt Venc:]]-TODAY())</f>
        <v>587</v>
      </c>
      <c r="G8726" s="3"/>
      <c r="H8726" s="3"/>
    </row>
    <row r="8727" spans="1:8">
      <c r="A8727" s="3">
        <v>103015</v>
      </c>
      <c r="B8727" s="7" t="s">
        <v>252</v>
      </c>
      <c r="C8727" s="100" t="s">
        <v>32</v>
      </c>
      <c r="D8727" s="6">
        <v>46280</v>
      </c>
      <c r="E8727" s="3" t="str">
        <f ca="1">IF(Tabela2[[#This Row],[Dt Venc:]]&gt;TODAY(),"Em Aberto",IF(Tabela2[[#This Row],[D/venc]]="-","Enviado",IF(Tabela2[[#This Row],[Dt Venc:]]=TODAY(),"Vence Hoje","Vencida")))</f>
        <v>Em Aberto</v>
      </c>
      <c r="F8727" s="3">
        <f ca="1">IF(G8727=1,"-",Tabela2[[#This Row],[Dt Venc:]]-TODAY())</f>
        <v>587</v>
      </c>
      <c r="G8727" s="3"/>
      <c r="H8727" s="3"/>
    </row>
    <row r="8728" spans="1:8">
      <c r="A8728" s="3">
        <v>103077</v>
      </c>
      <c r="B8728" s="7" t="s">
        <v>252</v>
      </c>
      <c r="C8728" s="100" t="s">
        <v>32</v>
      </c>
      <c r="D8728" s="6">
        <v>46280</v>
      </c>
      <c r="E8728" s="3" t="str">
        <f ca="1">IF(Tabela2[[#This Row],[Dt Venc:]]&gt;TODAY(),"Em Aberto",IF(Tabela2[[#This Row],[D/venc]]="-","Enviado",IF(Tabela2[[#This Row],[Dt Venc:]]=TODAY(),"Vence Hoje","Vencida")))</f>
        <v>Em Aberto</v>
      </c>
      <c r="F8728" s="3">
        <f ca="1">IF(G8728=1,"-",Tabela2[[#This Row],[Dt Venc:]]-TODAY())</f>
        <v>587</v>
      </c>
      <c r="G8728" s="3"/>
      <c r="H8728" s="3"/>
    </row>
    <row r="8729" spans="1:8">
      <c r="A8729" s="3">
        <v>103153</v>
      </c>
      <c r="B8729" s="7" t="s">
        <v>252</v>
      </c>
      <c r="C8729" s="87" t="s">
        <v>32</v>
      </c>
      <c r="D8729" s="6">
        <v>46280</v>
      </c>
      <c r="E8729" s="3" t="str">
        <f ca="1">IF(Tabela2[[#This Row],[Dt Venc:]]&gt;TODAY(),"Em Aberto",IF(Tabela2[[#This Row],[D/venc]]="-","Enviado",IF(Tabela2[[#This Row],[Dt Venc:]]=TODAY(),"Vence Hoje","Vencida")))</f>
        <v>Em Aberto</v>
      </c>
      <c r="F8729" s="3">
        <f ca="1">IF(G8729=1,"-",Tabela2[[#This Row],[Dt Venc:]]-TODAY())</f>
        <v>587</v>
      </c>
      <c r="G8729" s="3"/>
      <c r="H8729" s="3"/>
    </row>
    <row r="8730" spans="1:8">
      <c r="A8730" s="3">
        <v>103154</v>
      </c>
      <c r="B8730" s="7" t="s">
        <v>252</v>
      </c>
      <c r="C8730" s="100" t="s">
        <v>32</v>
      </c>
      <c r="D8730" s="6">
        <v>46280</v>
      </c>
      <c r="E8730" s="3" t="str">
        <f ca="1">IF(Tabela2[[#This Row],[Dt Venc:]]&gt;TODAY(),"Em Aberto",IF(Tabela2[[#This Row],[D/venc]]="-","Enviado",IF(Tabela2[[#This Row],[Dt Venc:]]=TODAY(),"Vence Hoje","Vencida")))</f>
        <v>Em Aberto</v>
      </c>
      <c r="F8730" s="3">
        <f ca="1">IF(G8730=1,"-",Tabela2[[#This Row],[Dt Venc:]]-TODAY())</f>
        <v>587</v>
      </c>
      <c r="G8730" s="3"/>
      <c r="H8730" s="3"/>
    </row>
    <row r="8731" spans="1:8">
      <c r="A8731" s="3">
        <v>106007</v>
      </c>
      <c r="B8731" s="7" t="s">
        <v>252</v>
      </c>
      <c r="C8731" s="100" t="s">
        <v>32</v>
      </c>
      <c r="D8731" s="6">
        <v>46280</v>
      </c>
      <c r="E8731" s="3" t="str">
        <f ca="1">IF(Tabela2[[#This Row],[Dt Venc:]]&gt;TODAY(),"Em Aberto",IF(Tabela2[[#This Row],[D/venc]]="-","Enviado",IF(Tabela2[[#This Row],[Dt Venc:]]=TODAY(),"Vence Hoje","Vencida")))</f>
        <v>Em Aberto</v>
      </c>
      <c r="F8731" s="3">
        <f ca="1">IF(G8731=1,"-",Tabela2[[#This Row],[Dt Venc:]]-TODAY())</f>
        <v>587</v>
      </c>
      <c r="G8731" s="3"/>
      <c r="H8731" s="3"/>
    </row>
    <row r="8732" spans="1:8">
      <c r="A8732" s="3">
        <v>106043</v>
      </c>
      <c r="B8732" s="7" t="s">
        <v>252</v>
      </c>
      <c r="C8732" s="100" t="s">
        <v>32</v>
      </c>
      <c r="D8732" s="6">
        <v>46280</v>
      </c>
      <c r="E8732" s="3" t="str">
        <f ca="1">IF(Tabela2[[#This Row],[Dt Venc:]]&gt;TODAY(),"Em Aberto",IF(Tabela2[[#This Row],[D/venc]]="-","Enviado",IF(Tabela2[[#This Row],[Dt Venc:]]=TODAY(),"Vence Hoje","Vencida")))</f>
        <v>Em Aberto</v>
      </c>
      <c r="F8732" s="3">
        <f ca="1">IF(G8732=1,"-",Tabela2[[#This Row],[Dt Venc:]]-TODAY())</f>
        <v>587</v>
      </c>
      <c r="G8732" s="3"/>
      <c r="H8732" s="3"/>
    </row>
    <row r="8733" spans="1:8">
      <c r="A8733" s="3">
        <v>107829</v>
      </c>
      <c r="B8733" s="7" t="s">
        <v>252</v>
      </c>
      <c r="C8733" s="100" t="s">
        <v>32</v>
      </c>
      <c r="D8733" s="6">
        <v>46280</v>
      </c>
      <c r="E8733" s="3" t="str">
        <f ca="1">IF(Tabela2[[#This Row],[Dt Venc:]]&gt;TODAY(),"Em Aberto",IF(Tabela2[[#This Row],[D/venc]]="-","Enviado",IF(Tabela2[[#This Row],[Dt Venc:]]=TODAY(),"Vence Hoje","Vencida")))</f>
        <v>Em Aberto</v>
      </c>
      <c r="F8733" s="3">
        <f ca="1">IF(G8733=1,"-",Tabela2[[#This Row],[Dt Venc:]]-TODAY())</f>
        <v>587</v>
      </c>
      <c r="G8733" s="3"/>
      <c r="H8733" s="3"/>
    </row>
    <row r="8734" spans="1:8">
      <c r="A8734" s="3">
        <v>107830</v>
      </c>
      <c r="B8734" s="7" t="s">
        <v>252</v>
      </c>
      <c r="C8734" s="87" t="s">
        <v>32</v>
      </c>
      <c r="D8734" s="6">
        <v>46280</v>
      </c>
      <c r="E8734" s="3" t="str">
        <f ca="1">IF(Tabela2[[#This Row],[Dt Venc:]]&gt;TODAY(),"Em Aberto",IF(Tabela2[[#This Row],[D/venc]]="-","Enviado",IF(Tabela2[[#This Row],[Dt Venc:]]=TODAY(),"Vence Hoje","Vencida")))</f>
        <v>Em Aberto</v>
      </c>
      <c r="F8734" s="3">
        <f ca="1">IF(G8734=1,"-",Tabela2[[#This Row],[Dt Venc:]]-TODAY())</f>
        <v>587</v>
      </c>
      <c r="G8734" s="3"/>
      <c r="H8734" s="3"/>
    </row>
    <row r="8735" spans="1:8">
      <c r="A8735" s="3">
        <v>107831</v>
      </c>
      <c r="B8735" s="7" t="s">
        <v>252</v>
      </c>
      <c r="C8735" s="100" t="s">
        <v>32</v>
      </c>
      <c r="D8735" s="6">
        <v>46280</v>
      </c>
      <c r="E8735" s="3" t="str">
        <f ca="1">IF(Tabela2[[#This Row],[Dt Venc:]]&gt;TODAY(),"Em Aberto",IF(Tabela2[[#This Row],[D/venc]]="-","Enviado",IF(Tabela2[[#This Row],[Dt Venc:]]=TODAY(),"Vence Hoje","Vencida")))</f>
        <v>Em Aberto</v>
      </c>
      <c r="F8735" s="3">
        <f ca="1">IF(G8735=1,"-",Tabela2[[#This Row],[Dt Venc:]]-TODAY())</f>
        <v>587</v>
      </c>
      <c r="G8735" s="3"/>
      <c r="H8735" s="3"/>
    </row>
    <row r="8736" spans="1:8">
      <c r="A8736" s="3">
        <v>107832</v>
      </c>
      <c r="B8736" s="7" t="s">
        <v>252</v>
      </c>
      <c r="C8736" s="100" t="s">
        <v>32</v>
      </c>
      <c r="D8736" s="6">
        <v>46280</v>
      </c>
      <c r="E8736" s="3" t="str">
        <f ca="1">IF(Tabela2[[#This Row],[Dt Venc:]]&gt;TODAY(),"Em Aberto",IF(Tabela2[[#This Row],[D/venc]]="-","Enviado",IF(Tabela2[[#This Row],[Dt Venc:]]=TODAY(),"Vence Hoje","Vencida")))</f>
        <v>Em Aberto</v>
      </c>
      <c r="F8736" s="3">
        <f ca="1">IF(G8736=1,"-",Tabela2[[#This Row],[Dt Venc:]]-TODAY())</f>
        <v>587</v>
      </c>
      <c r="G8736" s="3"/>
      <c r="H8736" s="3"/>
    </row>
    <row r="8737" spans="1:8">
      <c r="A8737" s="3">
        <v>361229</v>
      </c>
      <c r="B8737" s="7" t="s">
        <v>250</v>
      </c>
      <c r="C8737" s="100" t="s">
        <v>32</v>
      </c>
      <c r="D8737" s="6">
        <v>46280</v>
      </c>
      <c r="E8737" s="3" t="str">
        <f ca="1">IF(Tabela2[[#This Row],[Dt Venc:]]&gt;TODAY(),"Em Aberto",IF(Tabela2[[#This Row],[D/venc]]="-","Enviado",IF(Tabela2[[#This Row],[Dt Venc:]]=TODAY(),"Vence Hoje","Vencida")))</f>
        <v>Em Aberto</v>
      </c>
      <c r="F8737" s="3">
        <f ca="1">IF(G8737=1,"-",Tabela2[[#This Row],[Dt Venc:]]-TODAY())</f>
        <v>587</v>
      </c>
      <c r="G8737" s="3"/>
      <c r="H8737" s="3"/>
    </row>
    <row r="8738" spans="1:8">
      <c r="A8738" s="3">
        <v>361237</v>
      </c>
      <c r="B8738" s="7" t="s">
        <v>250</v>
      </c>
      <c r="C8738" s="100" t="s">
        <v>32</v>
      </c>
      <c r="D8738" s="6">
        <v>46280</v>
      </c>
      <c r="E8738" s="3" t="str">
        <f ca="1">IF(Tabela2[[#This Row],[Dt Venc:]]&gt;TODAY(),"Em Aberto",IF(Tabela2[[#This Row],[D/venc]]="-","Enviado",IF(Tabela2[[#This Row],[Dt Venc:]]=TODAY(),"Vence Hoje","Vencida")))</f>
        <v>Em Aberto</v>
      </c>
      <c r="F8738" s="3">
        <f ca="1">IF(G8738=1,"-",Tabela2[[#This Row],[Dt Venc:]]-TODAY())</f>
        <v>587</v>
      </c>
      <c r="G8738" s="3"/>
      <c r="H8738" s="3"/>
    </row>
    <row r="8739" spans="1:8">
      <c r="A8739" s="3">
        <v>365658</v>
      </c>
      <c r="B8739" s="7" t="s">
        <v>250</v>
      </c>
      <c r="C8739" s="100" t="s">
        <v>32</v>
      </c>
      <c r="D8739" s="6">
        <v>46280</v>
      </c>
      <c r="E8739" s="3" t="str">
        <f ca="1">IF(Tabela2[[#This Row],[Dt Venc:]]&gt;TODAY(),"Em Aberto",IF(Tabela2[[#This Row],[D/venc]]="-","Enviado",IF(Tabela2[[#This Row],[Dt Venc:]]=TODAY(),"Vence Hoje","Vencida")))</f>
        <v>Em Aberto</v>
      </c>
      <c r="F8739" s="3">
        <f ca="1">IF(G8739=1,"-",Tabela2[[#This Row],[Dt Venc:]]-TODAY())</f>
        <v>587</v>
      </c>
      <c r="G8739" s="3"/>
      <c r="H8739" s="3"/>
    </row>
    <row r="8740" spans="1:8">
      <c r="A8740" s="3">
        <v>365666</v>
      </c>
      <c r="B8740" s="7" t="s">
        <v>250</v>
      </c>
      <c r="C8740" s="100" t="s">
        <v>32</v>
      </c>
      <c r="D8740" s="6">
        <v>46280</v>
      </c>
      <c r="E8740" s="3" t="str">
        <f ca="1">IF(Tabela2[[#This Row],[Dt Venc:]]&gt;TODAY(),"Em Aberto",IF(Tabela2[[#This Row],[D/venc]]="-","Enviado",IF(Tabela2[[#This Row],[Dt Venc:]]=TODAY(),"Vence Hoje","Vencida")))</f>
        <v>Em Aberto</v>
      </c>
      <c r="F8740" s="3">
        <f ca="1">IF(G8740=1,"-",Tabela2[[#This Row],[Dt Venc:]]-TODAY())</f>
        <v>587</v>
      </c>
      <c r="G8740" s="3"/>
      <c r="H8740" s="3"/>
    </row>
    <row r="8741" spans="1:8">
      <c r="A8741" s="3">
        <v>365674</v>
      </c>
      <c r="B8741" s="7" t="s">
        <v>250</v>
      </c>
      <c r="C8741" s="100" t="s">
        <v>32</v>
      </c>
      <c r="D8741" s="6">
        <v>46280</v>
      </c>
      <c r="E8741" s="3" t="str">
        <f ca="1">IF(Tabela2[[#This Row],[Dt Venc:]]&gt;TODAY(),"Em Aberto",IF(Tabela2[[#This Row],[D/venc]]="-","Enviado",IF(Tabela2[[#This Row],[Dt Venc:]]=TODAY(),"Vence Hoje","Vencida")))</f>
        <v>Em Aberto</v>
      </c>
      <c r="F8741" s="3">
        <f ca="1">IF(G8741=1,"-",Tabela2[[#This Row],[Dt Venc:]]-TODAY())</f>
        <v>587</v>
      </c>
      <c r="G8741" s="3"/>
      <c r="H8741" s="3"/>
    </row>
    <row r="8742" spans="1:8">
      <c r="A8742" s="3">
        <v>365682</v>
      </c>
      <c r="B8742" s="7" t="s">
        <v>250</v>
      </c>
      <c r="C8742" s="100" t="s">
        <v>32</v>
      </c>
      <c r="D8742" s="6">
        <v>46280</v>
      </c>
      <c r="E8742" s="3" t="str">
        <f ca="1">IF(Tabela2[[#This Row],[Dt Venc:]]&gt;TODAY(),"Em Aberto",IF(Tabela2[[#This Row],[D/venc]]="-","Enviado",IF(Tabela2[[#This Row],[Dt Venc:]]=TODAY(),"Vence Hoje","Vencida")))</f>
        <v>Em Aberto</v>
      </c>
      <c r="F8742" s="3">
        <f ca="1">IF(G8742=1,"-",Tabela2[[#This Row],[Dt Venc:]]-TODAY())</f>
        <v>587</v>
      </c>
      <c r="G8742" s="3"/>
      <c r="H8742" s="3"/>
    </row>
    <row r="8743" spans="1:8">
      <c r="A8743" s="3">
        <v>369335</v>
      </c>
      <c r="B8743" s="7" t="s">
        <v>543</v>
      </c>
      <c r="C8743" s="87" t="s">
        <v>32</v>
      </c>
      <c r="D8743" s="6">
        <v>46280</v>
      </c>
      <c r="E8743" s="3" t="str">
        <f ca="1">IF(Tabela2[[#This Row],[Dt Venc:]]&gt;TODAY(),"Em Aberto",IF(Tabela2[[#This Row],[D/venc]]="-","Enviado",IF(Tabela2[[#This Row],[Dt Venc:]]=TODAY(),"Vence Hoje","Vencida")))</f>
        <v>Em Aberto</v>
      </c>
      <c r="F8743" s="3">
        <f ca="1">IF(G8743=1,"-",Tabela2[[#This Row],[Dt Venc:]]-TODAY())</f>
        <v>587</v>
      </c>
      <c r="G8743" s="3"/>
      <c r="H8743" s="3"/>
    </row>
    <row r="8744" spans="1:8">
      <c r="A8744" s="3">
        <v>369696</v>
      </c>
      <c r="B8744" s="7" t="s">
        <v>543</v>
      </c>
      <c r="C8744" s="87" t="s">
        <v>32</v>
      </c>
      <c r="D8744" s="6">
        <v>46280</v>
      </c>
      <c r="E8744" s="3" t="str">
        <f ca="1">IF(Tabela2[[#This Row],[Dt Venc:]]&gt;TODAY(),"Em Aberto",IF(Tabela2[[#This Row],[D/venc]]="-","Enviado",IF(Tabela2[[#This Row],[Dt Venc:]]=TODAY(),"Vence Hoje","Vencida")))</f>
        <v>Em Aberto</v>
      </c>
      <c r="F8744" s="3">
        <f ca="1">IF(G8744=1,"-",Tabela2[[#This Row],[Dt Venc:]]-TODAY())</f>
        <v>587</v>
      </c>
      <c r="G8744" s="3"/>
      <c r="H8744" s="3"/>
    </row>
    <row r="8745" spans="1:8">
      <c r="A8745" s="3">
        <v>369726</v>
      </c>
      <c r="B8745" s="7" t="s">
        <v>543</v>
      </c>
      <c r="C8745" s="87" t="s">
        <v>32</v>
      </c>
      <c r="D8745" s="6">
        <v>46280</v>
      </c>
      <c r="E8745" s="3" t="str">
        <f ca="1">IF(Tabela2[[#This Row],[Dt Venc:]]&gt;TODAY(),"Em Aberto",IF(Tabela2[[#This Row],[D/venc]]="-","Enviado",IF(Tabela2[[#This Row],[Dt Venc:]]=TODAY(),"Vence Hoje","Vencida")))</f>
        <v>Em Aberto</v>
      </c>
      <c r="F8745" s="3">
        <f ca="1">IF(G8745=1,"-",Tabela2[[#This Row],[Dt Venc:]]-TODAY())</f>
        <v>587</v>
      </c>
      <c r="G8745" s="3"/>
      <c r="H8745" s="3"/>
    </row>
    <row r="8746" spans="1:8">
      <c r="A8746" s="3">
        <v>369751</v>
      </c>
      <c r="B8746" s="7" t="s">
        <v>543</v>
      </c>
      <c r="C8746" s="87" t="s">
        <v>32</v>
      </c>
      <c r="D8746" s="6">
        <v>46280</v>
      </c>
      <c r="E8746" s="3" t="str">
        <f ca="1">IF(Tabela2[[#This Row],[Dt Venc:]]&gt;TODAY(),"Em Aberto",IF(Tabela2[[#This Row],[D/venc]]="-","Enviado",IF(Tabela2[[#This Row],[Dt Venc:]]=TODAY(),"Vence Hoje","Vencida")))</f>
        <v>Em Aberto</v>
      </c>
      <c r="F8746" s="3">
        <f ca="1">IF(G8746=1,"-",Tabela2[[#This Row],[Dt Venc:]]-TODAY())</f>
        <v>587</v>
      </c>
      <c r="G8746" s="3"/>
      <c r="H8746" s="3"/>
    </row>
    <row r="8747" spans="1:8">
      <c r="A8747" s="3">
        <v>370201</v>
      </c>
      <c r="B8747" s="7" t="s">
        <v>543</v>
      </c>
      <c r="C8747" s="87" t="s">
        <v>32</v>
      </c>
      <c r="D8747" s="6">
        <v>46280</v>
      </c>
      <c r="E8747" s="3" t="str">
        <f ca="1">IF(Tabela2[[#This Row],[Dt Venc:]]&gt;TODAY(),"Em Aberto",IF(Tabela2[[#This Row],[D/venc]]="-","Enviado",IF(Tabela2[[#This Row],[Dt Venc:]]=TODAY(),"Vence Hoje","Vencida")))</f>
        <v>Em Aberto</v>
      </c>
      <c r="F8747" s="3">
        <f ca="1">IF(G8747=1,"-",Tabela2[[#This Row],[Dt Venc:]]-TODAY())</f>
        <v>587</v>
      </c>
      <c r="G8747" s="3"/>
      <c r="H8747" s="3"/>
    </row>
    <row r="8748" spans="1:8">
      <c r="A8748" s="3">
        <v>370864</v>
      </c>
      <c r="B8748" s="7" t="s">
        <v>543</v>
      </c>
      <c r="C8748" s="87" t="s">
        <v>32</v>
      </c>
      <c r="D8748" s="6">
        <v>46280</v>
      </c>
      <c r="E8748" s="3" t="str">
        <f ca="1">IF(Tabela2[[#This Row],[Dt Venc:]]&gt;TODAY(),"Em Aberto",IF(Tabela2[[#This Row],[D/venc]]="-","Enviado",IF(Tabela2[[#This Row],[Dt Venc:]]=TODAY(),"Vence Hoje","Vencida")))</f>
        <v>Em Aberto</v>
      </c>
      <c r="F8748" s="3">
        <f ca="1">IF(G8748=1,"-",Tabela2[[#This Row],[Dt Venc:]]-TODAY())</f>
        <v>587</v>
      </c>
      <c r="G8748" s="3"/>
      <c r="H8748" s="3"/>
    </row>
    <row r="8749" spans="1:8">
      <c r="A8749" s="3">
        <v>371011</v>
      </c>
      <c r="B8749" s="7" t="s">
        <v>633</v>
      </c>
      <c r="C8749" s="87" t="s">
        <v>32</v>
      </c>
      <c r="D8749" s="6">
        <v>46280</v>
      </c>
      <c r="E8749" s="3" t="str">
        <f ca="1">IF(Tabela2[[#This Row],[Dt Venc:]]&gt;TODAY(),"Em Aberto",IF(Tabela2[[#This Row],[D/venc]]="-","Enviado",IF(Tabela2[[#This Row],[Dt Venc:]]=TODAY(),"Vence Hoje","Vencida")))</f>
        <v>Em Aberto</v>
      </c>
      <c r="F8749" s="3">
        <f ca="1">IF(G8749=1,"-",Tabela2[[#This Row],[Dt Venc:]]-TODAY())</f>
        <v>587</v>
      </c>
      <c r="G8749" s="3"/>
      <c r="H8749" s="3"/>
    </row>
    <row r="8750" spans="1:8">
      <c r="A8750" s="3">
        <v>371160</v>
      </c>
      <c r="B8750" s="7" t="s">
        <v>633</v>
      </c>
      <c r="C8750" s="87" t="s">
        <v>32</v>
      </c>
      <c r="D8750" s="6">
        <v>46280</v>
      </c>
      <c r="E8750" s="3" t="str">
        <f ca="1">IF(Tabela2[[#This Row],[Dt Venc:]]&gt;TODAY(),"Em Aberto",IF(Tabela2[[#This Row],[D/venc]]="-","Enviado",IF(Tabela2[[#This Row],[Dt Venc:]]=TODAY(),"Vence Hoje","Vencida")))</f>
        <v>Em Aberto</v>
      </c>
      <c r="F8750" s="3">
        <f ca="1">IF(G8750=1,"-",Tabela2[[#This Row],[Dt Venc:]]-TODAY())</f>
        <v>587</v>
      </c>
      <c r="G8750" s="3"/>
      <c r="H8750" s="3"/>
    </row>
    <row r="8751" spans="1:8">
      <c r="A8751" s="3">
        <v>748099</v>
      </c>
      <c r="B8751" s="7" t="s">
        <v>81</v>
      </c>
      <c r="C8751" s="100" t="s">
        <v>32</v>
      </c>
      <c r="D8751" s="6">
        <v>46280</v>
      </c>
      <c r="E8751" s="3" t="str">
        <f ca="1">IF(Tabela2[[#This Row],[Dt Venc:]]&gt;TODAY(),"Em Aberto",IF(Tabela2[[#This Row],[D/venc]]="-","Enviado",IF(Tabela2[[#This Row],[Dt Venc:]]=TODAY(),"Vence Hoje","Vencida")))</f>
        <v>Em Aberto</v>
      </c>
      <c r="F8751" s="3">
        <f ca="1">IF(G8751=1,"-",Tabela2[[#This Row],[Dt Venc:]]-TODAY())</f>
        <v>587</v>
      </c>
      <c r="G8751" s="3"/>
      <c r="H8751" s="3"/>
    </row>
    <row r="8752" spans="1:8">
      <c r="A8752" s="3">
        <v>892178</v>
      </c>
      <c r="B8752" s="7" t="s">
        <v>253</v>
      </c>
      <c r="C8752" s="100" t="s">
        <v>32</v>
      </c>
      <c r="D8752" s="6">
        <v>46280</v>
      </c>
      <c r="E8752" s="3" t="str">
        <f ca="1">IF(Tabela2[[#This Row],[Dt Venc:]]&gt;TODAY(),"Em Aberto",IF(Tabela2[[#This Row],[D/venc]]="-","Enviado",IF(Tabela2[[#This Row],[Dt Venc:]]=TODAY(),"Vence Hoje","Vencida")))</f>
        <v>Em Aberto</v>
      </c>
      <c r="F8752" s="3">
        <f ca="1">IF(G8752=1,"-",Tabela2[[#This Row],[Dt Venc:]]-TODAY())</f>
        <v>587</v>
      </c>
      <c r="G8752" s="3"/>
      <c r="H8752" s="3"/>
    </row>
    <row r="8753" spans="1:8">
      <c r="A8753" s="3">
        <v>894135</v>
      </c>
      <c r="B8753" s="7" t="s">
        <v>253</v>
      </c>
      <c r="C8753" s="100" t="s">
        <v>32</v>
      </c>
      <c r="D8753" s="6">
        <v>46280</v>
      </c>
      <c r="E8753" s="3" t="str">
        <f ca="1">IF(Tabela2[[#This Row],[Dt Venc:]]&gt;TODAY(),"Em Aberto",IF(Tabela2[[#This Row],[D/venc]]="-","Enviado",IF(Tabela2[[#This Row],[Dt Venc:]]=TODAY(),"Vence Hoje","Vencida")))</f>
        <v>Em Aberto</v>
      </c>
      <c r="F8753" s="3">
        <f ca="1">IF(G8753=1,"-",Tabela2[[#This Row],[Dt Venc:]]-TODAY())</f>
        <v>587</v>
      </c>
      <c r="G8753" s="3"/>
      <c r="H8753" s="3"/>
    </row>
    <row r="8754" spans="1:8">
      <c r="A8754" s="3">
        <v>896565</v>
      </c>
      <c r="B8754" s="7" t="s">
        <v>253</v>
      </c>
      <c r="C8754" s="100" t="s">
        <v>32</v>
      </c>
      <c r="D8754" s="6">
        <v>46280</v>
      </c>
      <c r="E8754" s="3" t="str">
        <f ca="1">IF(Tabela2[[#This Row],[Dt Venc:]]&gt;TODAY(),"Em Aberto",IF(Tabela2[[#This Row],[D/venc]]="-","Enviado",IF(Tabela2[[#This Row],[Dt Venc:]]=TODAY(),"Vence Hoje","Vencida")))</f>
        <v>Em Aberto</v>
      </c>
      <c r="F8754" s="3">
        <f ca="1">IF(G8754=1,"-",Tabela2[[#This Row],[Dt Venc:]]-TODAY())</f>
        <v>587</v>
      </c>
      <c r="G8754" s="3"/>
      <c r="H8754" s="3"/>
    </row>
    <row r="8755" spans="1:8">
      <c r="A8755" s="3">
        <v>900386</v>
      </c>
      <c r="B8755" s="7" t="s">
        <v>253</v>
      </c>
      <c r="C8755" s="100" t="s">
        <v>32</v>
      </c>
      <c r="D8755" s="6">
        <v>46280</v>
      </c>
      <c r="E8755" s="3" t="str">
        <f ca="1">IF(Tabela2[[#This Row],[Dt Venc:]]&gt;TODAY(),"Em Aberto",IF(Tabela2[[#This Row],[D/venc]]="-","Enviado",IF(Tabela2[[#This Row],[Dt Venc:]]=TODAY(),"Vence Hoje","Vencida")))</f>
        <v>Em Aberto</v>
      </c>
      <c r="F8755" s="3">
        <f ca="1">IF(G8755=1,"-",Tabela2[[#This Row],[Dt Venc:]]-TODAY())</f>
        <v>587</v>
      </c>
      <c r="G8755" s="3"/>
      <c r="H8755" s="3"/>
    </row>
    <row r="8756" spans="1:8">
      <c r="A8756" s="3">
        <v>901787</v>
      </c>
      <c r="B8756" s="7" t="s">
        <v>253</v>
      </c>
      <c r="C8756" s="100" t="s">
        <v>32</v>
      </c>
      <c r="D8756" s="6">
        <v>46280</v>
      </c>
      <c r="E8756" s="3" t="str">
        <f ca="1">IF(Tabela2[[#This Row],[Dt Venc:]]&gt;TODAY(),"Em Aberto",IF(Tabela2[[#This Row],[D/venc]]="-","Enviado",IF(Tabela2[[#This Row],[Dt Venc:]]=TODAY(),"Vence Hoje","Vencida")))</f>
        <v>Em Aberto</v>
      </c>
      <c r="F8756" s="3">
        <f ca="1">IF(G8756=1,"-",Tabela2[[#This Row],[Dt Venc:]]-TODAY())</f>
        <v>587</v>
      </c>
      <c r="G8756" s="3"/>
      <c r="H8756" s="3"/>
    </row>
    <row r="8757" spans="1:8">
      <c r="A8757" s="3">
        <v>901788</v>
      </c>
      <c r="B8757" s="7" t="s">
        <v>253</v>
      </c>
      <c r="C8757" s="100" t="s">
        <v>32</v>
      </c>
      <c r="D8757" s="6">
        <v>46280</v>
      </c>
      <c r="E8757" s="3" t="str">
        <f ca="1">IF(Tabela2[[#This Row],[Dt Venc:]]&gt;TODAY(),"Em Aberto",IF(Tabela2[[#This Row],[D/venc]]="-","Enviado",IF(Tabela2[[#This Row],[Dt Venc:]]=TODAY(),"Vence Hoje","Vencida")))</f>
        <v>Em Aberto</v>
      </c>
      <c r="F8757" s="3">
        <f ca="1">IF(G8757=1,"-",Tabela2[[#This Row],[Dt Venc:]]-TODAY())</f>
        <v>587</v>
      </c>
      <c r="G8757" s="3"/>
      <c r="H8757" s="3"/>
    </row>
    <row r="8758" spans="1:8">
      <c r="A8758" s="3">
        <v>901789</v>
      </c>
      <c r="B8758" s="7" t="s">
        <v>253</v>
      </c>
      <c r="C8758" s="100" t="s">
        <v>32</v>
      </c>
      <c r="D8758" s="6">
        <v>46280</v>
      </c>
      <c r="E8758" s="3" t="str">
        <f ca="1">IF(Tabela2[[#This Row],[Dt Venc:]]&gt;TODAY(),"Em Aberto",IF(Tabela2[[#This Row],[D/venc]]="-","Enviado",IF(Tabela2[[#This Row],[Dt Venc:]]=TODAY(),"Vence Hoje","Vencida")))</f>
        <v>Em Aberto</v>
      </c>
      <c r="F8758" s="3">
        <f ca="1">IF(G8758=1,"-",Tabela2[[#This Row],[Dt Venc:]]-TODAY())</f>
        <v>587</v>
      </c>
      <c r="G8758" s="3"/>
      <c r="H8758" s="3"/>
    </row>
    <row r="8759" spans="1:8">
      <c r="A8759" s="3">
        <v>912703</v>
      </c>
      <c r="B8759" s="7" t="s">
        <v>253</v>
      </c>
      <c r="C8759" s="100" t="s">
        <v>32</v>
      </c>
      <c r="D8759" s="6">
        <v>46280</v>
      </c>
      <c r="E8759" s="3" t="str">
        <f ca="1">IF(Tabela2[[#This Row],[Dt Venc:]]&gt;TODAY(),"Em Aberto",IF(Tabela2[[#This Row],[D/venc]]="-","Enviado",IF(Tabela2[[#This Row],[Dt Venc:]]=TODAY(),"Vence Hoje","Vencida")))</f>
        <v>Em Aberto</v>
      </c>
      <c r="F8759" s="3">
        <f ca="1">IF(G8759=1,"-",Tabela2[[#This Row],[Dt Venc:]]-TODAY())</f>
        <v>587</v>
      </c>
      <c r="G8759" s="3"/>
      <c r="H8759" s="3"/>
    </row>
    <row r="8760" spans="1:8">
      <c r="A8760" s="3">
        <v>912704</v>
      </c>
      <c r="B8760" s="7" t="s">
        <v>253</v>
      </c>
      <c r="C8760" s="100" t="s">
        <v>32</v>
      </c>
      <c r="D8760" s="6">
        <v>46280</v>
      </c>
      <c r="E8760" s="3" t="str">
        <f ca="1">IF(Tabela2[[#This Row],[Dt Venc:]]&gt;TODAY(),"Em Aberto",IF(Tabela2[[#This Row],[D/venc]]="-","Enviado",IF(Tabela2[[#This Row],[Dt Venc:]]=TODAY(),"Vence Hoje","Vencida")))</f>
        <v>Em Aberto</v>
      </c>
      <c r="F8760" s="3">
        <f ca="1">IF(G8760=1,"-",Tabela2[[#This Row],[Dt Venc:]]-TODAY())</f>
        <v>587</v>
      </c>
      <c r="G8760" s="3"/>
      <c r="H8760" s="3"/>
    </row>
    <row r="8761" spans="1:8">
      <c r="A8761" s="3">
        <v>919728</v>
      </c>
      <c r="B8761" s="7" t="s">
        <v>253</v>
      </c>
      <c r="C8761" s="87" t="s">
        <v>32</v>
      </c>
      <c r="D8761" s="6">
        <v>46280</v>
      </c>
      <c r="E8761" s="3" t="str">
        <f ca="1">IF(Tabela2[[#This Row],[Dt Venc:]]&gt;TODAY(),"Em Aberto",IF(Tabela2[[#This Row],[D/venc]]="-","Enviado",IF(Tabela2[[#This Row],[Dt Venc:]]=TODAY(),"Vence Hoje","Vencida")))</f>
        <v>Em Aberto</v>
      </c>
      <c r="F8761" s="3">
        <f ca="1">IF(G8761=1,"-",Tabela2[[#This Row],[Dt Venc:]]-TODAY())</f>
        <v>587</v>
      </c>
      <c r="G8761" s="3"/>
      <c r="H8761" s="3"/>
    </row>
    <row r="8762" spans="1:8">
      <c r="A8762" s="3">
        <v>919729</v>
      </c>
      <c r="B8762" s="7" t="s">
        <v>253</v>
      </c>
      <c r="C8762" s="87" t="s">
        <v>32</v>
      </c>
      <c r="D8762" s="6">
        <v>46280</v>
      </c>
      <c r="E8762" s="3" t="str">
        <f ca="1">IF(Tabela2[[#This Row],[Dt Venc:]]&gt;TODAY(),"Em Aberto",IF(Tabela2[[#This Row],[D/venc]]="-","Enviado",IF(Tabela2[[#This Row],[Dt Venc:]]=TODAY(),"Vence Hoje","Vencida")))</f>
        <v>Em Aberto</v>
      </c>
      <c r="F8762" s="3">
        <f ca="1">IF(G8762=1,"-",Tabela2[[#This Row],[Dt Venc:]]-TODAY())</f>
        <v>587</v>
      </c>
      <c r="G8762" s="3"/>
      <c r="H8762" s="3"/>
    </row>
    <row r="8763" spans="1:8">
      <c r="A8763" s="3">
        <v>37300</v>
      </c>
      <c r="B8763" s="7" t="s">
        <v>167</v>
      </c>
      <c r="C8763" s="100" t="s">
        <v>32</v>
      </c>
      <c r="D8763" s="6">
        <v>46281</v>
      </c>
      <c r="E8763" s="3" t="str">
        <f ca="1">IF(Tabela2[[#This Row],[Dt Venc:]]&gt;TODAY(),"Em Aberto",IF(Tabela2[[#This Row],[D/venc]]="-","Enviado",IF(Tabela2[[#This Row],[Dt Venc:]]=TODAY(),"Vence Hoje","Vencida")))</f>
        <v>Em Aberto</v>
      </c>
      <c r="F8763" s="3">
        <f ca="1">IF(G8763=1,"-",Tabela2[[#This Row],[Dt Venc:]]-TODAY())</f>
        <v>588</v>
      </c>
      <c r="G8763" s="3"/>
      <c r="H8763" s="3"/>
    </row>
    <row r="8764" spans="1:8">
      <c r="A8764" s="3">
        <v>37348</v>
      </c>
      <c r="B8764" s="7" t="s">
        <v>167</v>
      </c>
      <c r="C8764" s="100" t="s">
        <v>32</v>
      </c>
      <c r="D8764" s="6">
        <v>46287</v>
      </c>
      <c r="E8764" s="3" t="str">
        <f ca="1">IF(Tabela2[[#This Row],[Dt Venc:]]&gt;TODAY(),"Em Aberto",IF(Tabela2[[#This Row],[D/venc]]="-","Enviado",IF(Tabela2[[#This Row],[Dt Venc:]]=TODAY(),"Vence Hoje","Vencida")))</f>
        <v>Em Aberto</v>
      </c>
      <c r="F8764" s="3">
        <f ca="1">IF(G8764=1,"-",Tabela2[[#This Row],[Dt Venc:]]-TODAY())</f>
        <v>594</v>
      </c>
      <c r="G8764" s="3"/>
      <c r="H8764" s="3"/>
    </row>
    <row r="8765" spans="1:8">
      <c r="A8765" s="3">
        <v>495914</v>
      </c>
      <c r="B8765" s="7" t="s">
        <v>153</v>
      </c>
      <c r="C8765" s="100" t="s">
        <v>32</v>
      </c>
      <c r="D8765" s="6">
        <v>46290</v>
      </c>
      <c r="E8765" s="3" t="str">
        <f ca="1">IF(Tabela2[[#This Row],[Dt Venc:]]&gt;TODAY(),"Em Aberto",IF(Tabela2[[#This Row],[D/venc]]="-","Enviado",IF(Tabela2[[#This Row],[Dt Venc:]]=TODAY(),"Vence Hoje","Vencida")))</f>
        <v>Em Aberto</v>
      </c>
      <c r="F8765" s="3">
        <f ca="1">IF(G8765=1,"-",Tabela2[[#This Row],[Dt Venc:]]-TODAY())</f>
        <v>597</v>
      </c>
      <c r="G8765" s="3"/>
      <c r="H8765" s="3"/>
    </row>
    <row r="8766" spans="1:8">
      <c r="A8766" s="3">
        <v>5690</v>
      </c>
      <c r="B8766" s="7" t="s">
        <v>122</v>
      </c>
      <c r="C8766" s="100" t="s">
        <v>32</v>
      </c>
      <c r="D8766" s="6">
        <v>46292</v>
      </c>
      <c r="E8766" s="3" t="str">
        <f ca="1">IF(Tabela2[[#This Row],[Dt Venc:]]&gt;TODAY(),"Em Aberto",IF(Tabela2[[#This Row],[D/venc]]="-","Enviado",IF(Tabela2[[#This Row],[Dt Venc:]]=TODAY(),"Vence Hoje","Vencida")))</f>
        <v>Em Aberto</v>
      </c>
      <c r="F8766" s="3">
        <f ca="1">IF(G8766=1,"-",Tabela2[[#This Row],[Dt Venc:]]-TODAY())</f>
        <v>599</v>
      </c>
      <c r="G8766" s="3"/>
      <c r="H8766" s="3"/>
    </row>
    <row r="8767" spans="1:8">
      <c r="A8767" s="3">
        <v>11681</v>
      </c>
      <c r="B8767" s="7" t="s">
        <v>82</v>
      </c>
      <c r="C8767" s="87" t="s">
        <v>30</v>
      </c>
      <c r="D8767" s="6">
        <v>46295</v>
      </c>
      <c r="E8767" s="3" t="str">
        <f ca="1">IF(Tabela2[[#This Row],[Dt Venc:]]&gt;TODAY(),"Em Aberto",IF(Tabela2[[#This Row],[D/venc]]="-","Enviado",IF(Tabela2[[#This Row],[Dt Venc:]]=TODAY(),"Vence Hoje","Vencida")))</f>
        <v>Em Aberto</v>
      </c>
      <c r="F8767" s="3">
        <f ca="1">IF(G8767=1,"-",Tabela2[[#This Row],[Dt Venc:]]-TODAY())</f>
        <v>602</v>
      </c>
      <c r="G8767" s="3"/>
      <c r="H8767" s="3"/>
    </row>
    <row r="8768" spans="1:8">
      <c r="A8768" s="3" t="s">
        <v>28</v>
      </c>
      <c r="B8768" s="7" t="s">
        <v>391</v>
      </c>
      <c r="C8768" s="85" t="s">
        <v>30</v>
      </c>
      <c r="D8768" s="6">
        <v>46295</v>
      </c>
      <c r="E8768" s="3" t="str">
        <f ca="1">IF(Tabela2[[#This Row],[Dt Venc:]]&gt;TODAY(),"Em Aberto",IF(Tabela2[[#This Row],[D/venc]]="-","Enviado",IF(Tabela2[[#This Row],[Dt Venc:]]=TODAY(),"Vence Hoje","Vencida")))</f>
        <v>Em Aberto</v>
      </c>
      <c r="F8768" s="3">
        <f ca="1">IF(G8768=1,"-",Tabela2[[#This Row],[Dt Venc:]]-TODAY())</f>
        <v>602</v>
      </c>
      <c r="G8768" s="3"/>
      <c r="H8768" s="3"/>
    </row>
    <row r="8769" spans="1:8">
      <c r="A8769" s="3" t="s">
        <v>123</v>
      </c>
      <c r="B8769" s="7" t="s">
        <v>386</v>
      </c>
      <c r="C8769" s="87" t="s">
        <v>32</v>
      </c>
      <c r="D8769" s="6">
        <v>46295</v>
      </c>
      <c r="E8769" s="3" t="str">
        <f ca="1">IF(Tabela2[[#This Row],[Dt Venc:]]&gt;TODAY(),"Em Aberto",IF(Tabela2[[#This Row],[D/venc]]="-","Enviado",IF(Tabela2[[#This Row],[Dt Venc:]]=TODAY(),"Vence Hoje","Vencida")))</f>
        <v>Em Aberto</v>
      </c>
      <c r="F8769" s="3">
        <f ca="1">IF(G8769=1,"-",Tabela2[[#This Row],[Dt Venc:]]-TODAY())</f>
        <v>602</v>
      </c>
      <c r="G8769" s="3"/>
      <c r="H8769" s="3"/>
    </row>
    <row r="8770" spans="1:8">
      <c r="A8770" s="3">
        <v>36910</v>
      </c>
      <c r="B8770" s="7" t="s">
        <v>167</v>
      </c>
      <c r="C8770" s="100" t="s">
        <v>32</v>
      </c>
      <c r="D8770" s="6">
        <v>46296</v>
      </c>
      <c r="E8770" s="3" t="str">
        <f ca="1">IF(Tabela2[[#This Row],[Dt Venc:]]&gt;TODAY(),"Em Aberto",IF(Tabela2[[#This Row],[D/venc]]="-","Enviado",IF(Tabela2[[#This Row],[Dt Venc:]]=TODAY(),"Vence Hoje","Vencida")))</f>
        <v>Em Aberto</v>
      </c>
      <c r="F8770" s="3">
        <f ca="1">IF(G8770=1,"-",Tabela2[[#This Row],[Dt Venc:]]-TODAY())</f>
        <v>603</v>
      </c>
      <c r="G8770" s="3"/>
      <c r="H8770" s="3"/>
    </row>
    <row r="8771" spans="1:8">
      <c r="A8771" s="3">
        <v>10494</v>
      </c>
      <c r="B8771" s="7" t="s">
        <v>82</v>
      </c>
      <c r="C8771" s="88" t="s">
        <v>30</v>
      </c>
      <c r="D8771" s="6">
        <v>46298</v>
      </c>
      <c r="E8771" s="3" t="str">
        <f ca="1">IF(Tabela2[[#This Row],[Dt Venc:]]&gt;TODAY(),"Em Aberto",IF(Tabela2[[#This Row],[D/venc]]="-","Enviado",IF(Tabela2[[#This Row],[Dt Venc:]]=TODAY(),"Vence Hoje","Vencida")))</f>
        <v>Em Aberto</v>
      </c>
      <c r="F8771" s="3">
        <f ca="1">IF(G8771=1,"-",Tabela2[[#This Row],[Dt Venc:]]-TODAY())</f>
        <v>605</v>
      </c>
      <c r="G8771" s="3"/>
      <c r="H8771" s="3"/>
    </row>
    <row r="8772" spans="1:8">
      <c r="A8772" s="3">
        <v>5680</v>
      </c>
      <c r="B8772" s="7" t="s">
        <v>122</v>
      </c>
      <c r="C8772" s="99" t="s">
        <v>32</v>
      </c>
      <c r="D8772" s="6">
        <v>46300</v>
      </c>
      <c r="E8772" s="3" t="str">
        <f ca="1">IF(Tabela2[[#This Row],[Dt Venc:]]&gt;TODAY(),"Em Aberto",IF(Tabela2[[#This Row],[D/venc]]="-","Enviado",IF(Tabela2[[#This Row],[Dt Venc:]]=TODAY(),"Vence Hoje","Vencida")))</f>
        <v>Em Aberto</v>
      </c>
      <c r="F8772" s="3">
        <f ca="1">IF(G8772=1,"-",Tabela2[[#This Row],[Dt Venc:]]-TODAY())</f>
        <v>607</v>
      </c>
      <c r="G8772" s="3"/>
      <c r="H8772" s="3"/>
    </row>
    <row r="8773" spans="1:8">
      <c r="A8773" s="3">
        <v>10353</v>
      </c>
      <c r="B8773" s="7" t="s">
        <v>82</v>
      </c>
      <c r="C8773" s="100" t="s">
        <v>32</v>
      </c>
      <c r="D8773" s="6">
        <v>46300</v>
      </c>
      <c r="E8773" s="3" t="str">
        <f ca="1">IF(Tabela2[[#This Row],[Dt Venc:]]&gt;TODAY(),"Em Aberto",IF(Tabela2[[#This Row],[D/venc]]="-","Enviado",IF(Tabela2[[#This Row],[Dt Venc:]]=TODAY(),"Vence Hoje","Vencida")))</f>
        <v>Em Aberto</v>
      </c>
      <c r="F8773" s="3">
        <f ca="1">IF(G8773=1,"-",Tabela2[[#This Row],[Dt Venc:]]-TODAY())</f>
        <v>607</v>
      </c>
      <c r="G8773" s="3"/>
      <c r="H8773" s="3"/>
    </row>
    <row r="8774" spans="1:8">
      <c r="A8774" s="3">
        <v>284620</v>
      </c>
      <c r="B8774" s="7" t="s">
        <v>153</v>
      </c>
      <c r="C8774" s="100" t="s">
        <v>32</v>
      </c>
      <c r="D8774" s="6">
        <v>46303</v>
      </c>
      <c r="E8774" s="3" t="str">
        <f ca="1">IF(Tabela2[[#This Row],[Dt Venc:]]&gt;TODAY(),"Em Aberto",IF(Tabela2[[#This Row],[D/venc]]="-","Enviado",IF(Tabela2[[#This Row],[Dt Venc:]]=TODAY(),"Vence Hoje","Vencida")))</f>
        <v>Em Aberto</v>
      </c>
      <c r="F8774" s="3">
        <f ca="1">IF(G8774=1,"-",Tabela2[[#This Row],[Dt Venc:]]-TODAY())</f>
        <v>610</v>
      </c>
      <c r="G8774" s="3"/>
      <c r="H8774" s="3"/>
    </row>
    <row r="8775" spans="1:8">
      <c r="A8775" s="3">
        <v>36949</v>
      </c>
      <c r="B8775" s="7" t="s">
        <v>167</v>
      </c>
      <c r="C8775" s="100" t="s">
        <v>32</v>
      </c>
      <c r="D8775" s="6">
        <v>46304</v>
      </c>
      <c r="E8775" s="3" t="str">
        <f ca="1">IF(Tabela2[[#This Row],[Dt Venc:]]&gt;TODAY(),"Em Aberto",IF(Tabela2[[#This Row],[D/venc]]="-","Enviado",IF(Tabela2[[#This Row],[Dt Venc:]]=TODAY(),"Vence Hoje","Vencida")))</f>
        <v>Em Aberto</v>
      </c>
      <c r="F8775" s="3">
        <f ca="1">IF(G8775=1,"-",Tabela2[[#This Row],[Dt Venc:]]-TODAY())</f>
        <v>611</v>
      </c>
      <c r="G8775" s="3"/>
      <c r="H8775" s="3"/>
    </row>
    <row r="8776" spans="1:8">
      <c r="A8776" s="3">
        <v>756561</v>
      </c>
      <c r="B8776" s="7" t="s">
        <v>166</v>
      </c>
      <c r="C8776" s="100" t="s">
        <v>32</v>
      </c>
      <c r="D8776" s="6">
        <v>46304</v>
      </c>
      <c r="E8776" s="3" t="str">
        <f ca="1">IF(Tabela2[[#This Row],[Dt Venc:]]&gt;TODAY(),"Em Aberto",IF(Tabela2[[#This Row],[D/venc]]="-","Enviado",IF(Tabela2[[#This Row],[Dt Venc:]]=TODAY(),"Vence Hoje","Vencida")))</f>
        <v>Em Aberto</v>
      </c>
      <c r="F8776" s="3">
        <f ca="1">IF(G8776=1,"-",Tabela2[[#This Row],[Dt Venc:]]-TODAY())</f>
        <v>611</v>
      </c>
      <c r="G8776" s="3"/>
      <c r="H8776" s="3"/>
    </row>
    <row r="8777" spans="1:8">
      <c r="A8777" s="3">
        <v>37327</v>
      </c>
      <c r="B8777" s="7" t="s">
        <v>167</v>
      </c>
      <c r="C8777" s="100" t="s">
        <v>32</v>
      </c>
      <c r="D8777" s="6">
        <v>46306</v>
      </c>
      <c r="E8777" s="3" t="str">
        <f ca="1">IF(Tabela2[[#This Row],[Dt Venc:]]&gt;TODAY(),"Em Aberto",IF(Tabela2[[#This Row],[D/venc]]="-","Enviado",IF(Tabela2[[#This Row],[Dt Venc:]]=TODAY(),"Vence Hoje","Vencida")))</f>
        <v>Em Aberto</v>
      </c>
      <c r="F8777" s="3">
        <f ca="1">IF(G8777=1,"-",Tabela2[[#This Row],[Dt Venc:]]-TODAY())</f>
        <v>613</v>
      </c>
      <c r="G8777" s="3"/>
      <c r="H8777" s="3"/>
    </row>
    <row r="8778" spans="1:8">
      <c r="A8778" s="3">
        <v>37292</v>
      </c>
      <c r="B8778" s="7" t="s">
        <v>167</v>
      </c>
      <c r="C8778" s="99" t="s">
        <v>32</v>
      </c>
      <c r="D8778" s="6">
        <v>46308</v>
      </c>
      <c r="E8778" s="3" t="str">
        <f ca="1">IF(Tabela2[[#This Row],[Dt Venc:]]&gt;TODAY(),"Em Aberto",IF(Tabela2[[#This Row],[D/venc]]="-","Enviado",IF(Tabela2[[#This Row],[Dt Venc:]]=TODAY(),"Vence Hoje","Vencida")))</f>
        <v>Em Aberto</v>
      </c>
      <c r="F8778" s="3">
        <f ca="1">IF(G8778=1,"-",Tabela2[[#This Row],[Dt Venc:]]-TODAY())</f>
        <v>615</v>
      </c>
      <c r="G8778" s="3"/>
      <c r="H8778" s="3"/>
    </row>
    <row r="8779" spans="1:8">
      <c r="A8779" s="3">
        <v>562</v>
      </c>
      <c r="B8779" s="7" t="s">
        <v>251</v>
      </c>
      <c r="C8779" s="100" t="s">
        <v>32</v>
      </c>
      <c r="D8779" s="6">
        <v>46310</v>
      </c>
      <c r="E8779" s="3" t="str">
        <f ca="1">IF(Tabela2[[#This Row],[Dt Venc:]]&gt;TODAY(),"Em Aberto",IF(Tabela2[[#This Row],[D/venc]]="-","Enviado",IF(Tabela2[[#This Row],[Dt Venc:]]=TODAY(),"Vence Hoje","Vencida")))</f>
        <v>Em Aberto</v>
      </c>
      <c r="F8779" s="3">
        <f ca="1">IF(G8779=1,"-",Tabela2[[#This Row],[Dt Venc:]]-TODAY())</f>
        <v>617</v>
      </c>
      <c r="G8779" s="3"/>
      <c r="H8779" s="3"/>
    </row>
    <row r="8780" spans="1:8">
      <c r="A8780" s="3">
        <v>103015</v>
      </c>
      <c r="B8780" s="7" t="s">
        <v>252</v>
      </c>
      <c r="C8780" s="100" t="s">
        <v>32</v>
      </c>
      <c r="D8780" s="6">
        <v>46310</v>
      </c>
      <c r="E8780" s="3" t="str">
        <f ca="1">IF(Tabela2[[#This Row],[Dt Venc:]]&gt;TODAY(),"Em Aberto",IF(Tabela2[[#This Row],[D/venc]]="-","Enviado",IF(Tabela2[[#This Row],[Dt Venc:]]=TODAY(),"Vence Hoje","Vencida")))</f>
        <v>Em Aberto</v>
      </c>
      <c r="F8780" s="3">
        <f ca="1">IF(G8780=1,"-",Tabela2[[#This Row],[Dt Venc:]]-TODAY())</f>
        <v>617</v>
      </c>
      <c r="G8780" s="3"/>
      <c r="H8780" s="3"/>
    </row>
    <row r="8781" spans="1:8">
      <c r="A8781" s="3">
        <v>103077</v>
      </c>
      <c r="B8781" s="7" t="s">
        <v>252</v>
      </c>
      <c r="C8781" s="100" t="s">
        <v>32</v>
      </c>
      <c r="D8781" s="6">
        <v>46310</v>
      </c>
      <c r="E8781" s="3" t="str">
        <f ca="1">IF(Tabela2[[#This Row],[Dt Venc:]]&gt;TODAY(),"Em Aberto",IF(Tabela2[[#This Row],[D/venc]]="-","Enviado",IF(Tabela2[[#This Row],[Dt Venc:]]=TODAY(),"Vence Hoje","Vencida")))</f>
        <v>Em Aberto</v>
      </c>
      <c r="F8781" s="3">
        <f ca="1">IF(G8781=1,"-",Tabela2[[#This Row],[Dt Venc:]]-TODAY())</f>
        <v>617</v>
      </c>
      <c r="G8781" s="3"/>
      <c r="H8781" s="3"/>
    </row>
    <row r="8782" spans="1:8">
      <c r="A8782" s="3">
        <v>103153</v>
      </c>
      <c r="B8782" s="7" t="s">
        <v>252</v>
      </c>
      <c r="C8782" s="87" t="s">
        <v>32</v>
      </c>
      <c r="D8782" s="6">
        <v>46310</v>
      </c>
      <c r="E8782" s="3" t="str">
        <f ca="1">IF(Tabela2[[#This Row],[Dt Venc:]]&gt;TODAY(),"Em Aberto",IF(Tabela2[[#This Row],[D/venc]]="-","Enviado",IF(Tabela2[[#This Row],[Dt Venc:]]=TODAY(),"Vence Hoje","Vencida")))</f>
        <v>Em Aberto</v>
      </c>
      <c r="F8782" s="3">
        <f ca="1">IF(G8782=1,"-",Tabela2[[#This Row],[Dt Venc:]]-TODAY())</f>
        <v>617</v>
      </c>
      <c r="G8782" s="3"/>
      <c r="H8782" s="3"/>
    </row>
    <row r="8783" spans="1:8">
      <c r="A8783" s="3">
        <v>103154</v>
      </c>
      <c r="B8783" s="7" t="s">
        <v>252</v>
      </c>
      <c r="C8783" s="100" t="s">
        <v>32</v>
      </c>
      <c r="D8783" s="6">
        <v>46310</v>
      </c>
      <c r="E8783" s="3" t="str">
        <f ca="1">IF(Tabela2[[#This Row],[Dt Venc:]]&gt;TODAY(),"Em Aberto",IF(Tabela2[[#This Row],[D/venc]]="-","Enviado",IF(Tabela2[[#This Row],[Dt Venc:]]=TODAY(),"Vence Hoje","Vencida")))</f>
        <v>Em Aberto</v>
      </c>
      <c r="F8783" s="3">
        <f ca="1">IF(G8783=1,"-",Tabela2[[#This Row],[Dt Venc:]]-TODAY())</f>
        <v>617</v>
      </c>
      <c r="G8783" s="3"/>
      <c r="H8783" s="3"/>
    </row>
    <row r="8784" spans="1:8">
      <c r="A8784" s="3">
        <v>106007</v>
      </c>
      <c r="B8784" s="7" t="s">
        <v>252</v>
      </c>
      <c r="C8784" s="100" t="s">
        <v>32</v>
      </c>
      <c r="D8784" s="6">
        <v>46310</v>
      </c>
      <c r="E8784" s="3" t="str">
        <f ca="1">IF(Tabela2[[#This Row],[Dt Venc:]]&gt;TODAY(),"Em Aberto",IF(Tabela2[[#This Row],[D/venc]]="-","Enviado",IF(Tabela2[[#This Row],[Dt Venc:]]=TODAY(),"Vence Hoje","Vencida")))</f>
        <v>Em Aberto</v>
      </c>
      <c r="F8784" s="3">
        <f ca="1">IF(G8784=1,"-",Tabela2[[#This Row],[Dt Venc:]]-TODAY())</f>
        <v>617</v>
      </c>
      <c r="G8784" s="3"/>
      <c r="H8784" s="3"/>
    </row>
    <row r="8785" spans="1:8">
      <c r="A8785" s="3">
        <v>106043</v>
      </c>
      <c r="B8785" s="7" t="s">
        <v>252</v>
      </c>
      <c r="C8785" s="100" t="s">
        <v>32</v>
      </c>
      <c r="D8785" s="6">
        <v>46310</v>
      </c>
      <c r="E8785" s="3" t="str">
        <f ca="1">IF(Tabela2[[#This Row],[Dt Venc:]]&gt;TODAY(),"Em Aberto",IF(Tabela2[[#This Row],[D/venc]]="-","Enviado",IF(Tabela2[[#This Row],[Dt Venc:]]=TODAY(),"Vence Hoje","Vencida")))</f>
        <v>Em Aberto</v>
      </c>
      <c r="F8785" s="3">
        <f ca="1">IF(G8785=1,"-",Tabela2[[#This Row],[Dt Venc:]]-TODAY())</f>
        <v>617</v>
      </c>
      <c r="G8785" s="3"/>
      <c r="H8785" s="3"/>
    </row>
    <row r="8786" spans="1:8">
      <c r="A8786" s="3">
        <v>107829</v>
      </c>
      <c r="B8786" s="7" t="s">
        <v>252</v>
      </c>
      <c r="C8786" s="100" t="s">
        <v>32</v>
      </c>
      <c r="D8786" s="6">
        <v>46310</v>
      </c>
      <c r="E8786" s="3" t="str">
        <f ca="1">IF(Tabela2[[#This Row],[Dt Venc:]]&gt;TODAY(),"Em Aberto",IF(Tabela2[[#This Row],[D/venc]]="-","Enviado",IF(Tabela2[[#This Row],[Dt Venc:]]=TODAY(),"Vence Hoje","Vencida")))</f>
        <v>Em Aberto</v>
      </c>
      <c r="F8786" s="3">
        <f ca="1">IF(G8786=1,"-",Tabela2[[#This Row],[Dt Venc:]]-TODAY())</f>
        <v>617</v>
      </c>
      <c r="G8786" s="3"/>
      <c r="H8786" s="3"/>
    </row>
    <row r="8787" spans="1:8">
      <c r="A8787" s="3">
        <v>107830</v>
      </c>
      <c r="B8787" s="7" t="s">
        <v>252</v>
      </c>
      <c r="C8787" s="87" t="s">
        <v>32</v>
      </c>
      <c r="D8787" s="6">
        <v>46310</v>
      </c>
      <c r="E8787" s="3" t="str">
        <f ca="1">IF(Tabela2[[#This Row],[Dt Venc:]]&gt;TODAY(),"Em Aberto",IF(Tabela2[[#This Row],[D/venc]]="-","Enviado",IF(Tabela2[[#This Row],[Dt Venc:]]=TODAY(),"Vence Hoje","Vencida")))</f>
        <v>Em Aberto</v>
      </c>
      <c r="F8787" s="3">
        <f ca="1">IF(G8787=1,"-",Tabela2[[#This Row],[Dt Venc:]]-TODAY())</f>
        <v>617</v>
      </c>
      <c r="G8787" s="3"/>
      <c r="H8787" s="3"/>
    </row>
    <row r="8788" spans="1:8">
      <c r="A8788" s="3">
        <v>107831</v>
      </c>
      <c r="B8788" s="7" t="s">
        <v>252</v>
      </c>
      <c r="C8788" s="100" t="s">
        <v>32</v>
      </c>
      <c r="D8788" s="6">
        <v>46310</v>
      </c>
      <c r="E8788" s="3" t="str">
        <f ca="1">IF(Tabela2[[#This Row],[Dt Venc:]]&gt;TODAY(),"Em Aberto",IF(Tabela2[[#This Row],[D/venc]]="-","Enviado",IF(Tabela2[[#This Row],[Dt Venc:]]=TODAY(),"Vence Hoje","Vencida")))</f>
        <v>Em Aberto</v>
      </c>
      <c r="F8788" s="3">
        <f ca="1">IF(G8788=1,"-",Tabela2[[#This Row],[Dt Venc:]]-TODAY())</f>
        <v>617</v>
      </c>
      <c r="G8788" s="3"/>
      <c r="H8788" s="3"/>
    </row>
    <row r="8789" spans="1:8">
      <c r="A8789" s="3">
        <v>107832</v>
      </c>
      <c r="B8789" s="7" t="s">
        <v>252</v>
      </c>
      <c r="C8789" s="100" t="s">
        <v>32</v>
      </c>
      <c r="D8789" s="6">
        <v>46310</v>
      </c>
      <c r="E8789" s="3" t="str">
        <f ca="1">IF(Tabela2[[#This Row],[Dt Venc:]]&gt;TODAY(),"Em Aberto",IF(Tabela2[[#This Row],[D/venc]]="-","Enviado",IF(Tabela2[[#This Row],[Dt Venc:]]=TODAY(),"Vence Hoje","Vencida")))</f>
        <v>Em Aberto</v>
      </c>
      <c r="F8789" s="3">
        <f ca="1">IF(G8789=1,"-",Tabela2[[#This Row],[Dt Venc:]]-TODAY())</f>
        <v>617</v>
      </c>
      <c r="G8789" s="3"/>
      <c r="H8789" s="3"/>
    </row>
    <row r="8790" spans="1:8">
      <c r="A8790" s="3">
        <v>361229</v>
      </c>
      <c r="B8790" s="7" t="s">
        <v>250</v>
      </c>
      <c r="C8790" s="100" t="s">
        <v>32</v>
      </c>
      <c r="D8790" s="6">
        <v>46310</v>
      </c>
      <c r="E8790" s="3" t="str">
        <f ca="1">IF(Tabela2[[#This Row],[Dt Venc:]]&gt;TODAY(),"Em Aberto",IF(Tabela2[[#This Row],[D/venc]]="-","Enviado",IF(Tabela2[[#This Row],[Dt Venc:]]=TODAY(),"Vence Hoje","Vencida")))</f>
        <v>Em Aberto</v>
      </c>
      <c r="F8790" s="3">
        <f ca="1">IF(G8790=1,"-",Tabela2[[#This Row],[Dt Venc:]]-TODAY())</f>
        <v>617</v>
      </c>
      <c r="G8790" s="3"/>
      <c r="H8790" s="3"/>
    </row>
    <row r="8791" spans="1:8">
      <c r="A8791" s="3">
        <v>361237</v>
      </c>
      <c r="B8791" s="7" t="s">
        <v>250</v>
      </c>
      <c r="C8791" s="100" t="s">
        <v>32</v>
      </c>
      <c r="D8791" s="6">
        <v>46310</v>
      </c>
      <c r="E8791" s="3" t="str">
        <f ca="1">IF(Tabela2[[#This Row],[Dt Venc:]]&gt;TODAY(),"Em Aberto",IF(Tabela2[[#This Row],[D/venc]]="-","Enviado",IF(Tabela2[[#This Row],[Dt Venc:]]=TODAY(),"Vence Hoje","Vencida")))</f>
        <v>Em Aberto</v>
      </c>
      <c r="F8791" s="3">
        <f ca="1">IF(G8791=1,"-",Tabela2[[#This Row],[Dt Venc:]]-TODAY())</f>
        <v>617</v>
      </c>
      <c r="G8791" s="3"/>
      <c r="H8791" s="3"/>
    </row>
    <row r="8792" spans="1:8">
      <c r="A8792" s="3">
        <v>365658</v>
      </c>
      <c r="B8792" s="7" t="s">
        <v>250</v>
      </c>
      <c r="C8792" s="100" t="s">
        <v>32</v>
      </c>
      <c r="D8792" s="6">
        <v>46310</v>
      </c>
      <c r="E8792" s="3" t="str">
        <f ca="1">IF(Tabela2[[#This Row],[Dt Venc:]]&gt;TODAY(),"Em Aberto",IF(Tabela2[[#This Row],[D/venc]]="-","Enviado",IF(Tabela2[[#This Row],[Dt Venc:]]=TODAY(),"Vence Hoje","Vencida")))</f>
        <v>Em Aberto</v>
      </c>
      <c r="F8792" s="3">
        <f ca="1">IF(G8792=1,"-",Tabela2[[#This Row],[Dt Venc:]]-TODAY())</f>
        <v>617</v>
      </c>
      <c r="G8792" s="3"/>
      <c r="H8792" s="3"/>
    </row>
    <row r="8793" spans="1:8">
      <c r="A8793" s="3">
        <v>365666</v>
      </c>
      <c r="B8793" s="7" t="s">
        <v>250</v>
      </c>
      <c r="C8793" s="100" t="s">
        <v>32</v>
      </c>
      <c r="D8793" s="6">
        <v>46310</v>
      </c>
      <c r="E8793" s="3" t="str">
        <f ca="1">IF(Tabela2[[#This Row],[Dt Venc:]]&gt;TODAY(),"Em Aberto",IF(Tabela2[[#This Row],[D/venc]]="-","Enviado",IF(Tabela2[[#This Row],[Dt Venc:]]=TODAY(),"Vence Hoje","Vencida")))</f>
        <v>Em Aberto</v>
      </c>
      <c r="F8793" s="3">
        <f ca="1">IF(G8793=1,"-",Tabela2[[#This Row],[Dt Venc:]]-TODAY())</f>
        <v>617</v>
      </c>
      <c r="G8793" s="3"/>
      <c r="H8793" s="3"/>
    </row>
    <row r="8794" spans="1:8">
      <c r="A8794" s="3">
        <v>365674</v>
      </c>
      <c r="B8794" s="7" t="s">
        <v>250</v>
      </c>
      <c r="C8794" s="100" t="s">
        <v>32</v>
      </c>
      <c r="D8794" s="6">
        <v>46310</v>
      </c>
      <c r="E8794" s="3" t="str">
        <f ca="1">IF(Tabela2[[#This Row],[Dt Venc:]]&gt;TODAY(),"Em Aberto",IF(Tabela2[[#This Row],[D/venc]]="-","Enviado",IF(Tabela2[[#This Row],[Dt Venc:]]=TODAY(),"Vence Hoje","Vencida")))</f>
        <v>Em Aberto</v>
      </c>
      <c r="F8794" s="3">
        <f ca="1">IF(G8794=1,"-",Tabela2[[#This Row],[Dt Venc:]]-TODAY())</f>
        <v>617</v>
      </c>
      <c r="G8794" s="3"/>
      <c r="H8794" s="3"/>
    </row>
    <row r="8795" spans="1:8">
      <c r="A8795" s="3">
        <v>365682</v>
      </c>
      <c r="B8795" s="7" t="s">
        <v>250</v>
      </c>
      <c r="C8795" s="100" t="s">
        <v>32</v>
      </c>
      <c r="D8795" s="6">
        <v>46310</v>
      </c>
      <c r="E8795" s="3" t="str">
        <f ca="1">IF(Tabela2[[#This Row],[Dt Venc:]]&gt;TODAY(),"Em Aberto",IF(Tabela2[[#This Row],[D/venc]]="-","Enviado",IF(Tabela2[[#This Row],[Dt Venc:]]=TODAY(),"Vence Hoje","Vencida")))</f>
        <v>Em Aberto</v>
      </c>
      <c r="F8795" s="3">
        <f ca="1">IF(G8795=1,"-",Tabela2[[#This Row],[Dt Venc:]]-TODAY())</f>
        <v>617</v>
      </c>
      <c r="G8795" s="3"/>
      <c r="H8795" s="3"/>
    </row>
    <row r="8796" spans="1:8">
      <c r="A8796" s="3">
        <v>369335</v>
      </c>
      <c r="B8796" s="7" t="s">
        <v>543</v>
      </c>
      <c r="C8796" s="87" t="s">
        <v>32</v>
      </c>
      <c r="D8796" s="6">
        <v>46310</v>
      </c>
      <c r="E8796" s="3" t="str">
        <f ca="1">IF(Tabela2[[#This Row],[Dt Venc:]]&gt;TODAY(),"Em Aberto",IF(Tabela2[[#This Row],[D/venc]]="-","Enviado",IF(Tabela2[[#This Row],[Dt Venc:]]=TODAY(),"Vence Hoje","Vencida")))</f>
        <v>Em Aberto</v>
      </c>
      <c r="F8796" s="3">
        <f ca="1">IF(G8796=1,"-",Tabela2[[#This Row],[Dt Venc:]]-TODAY())</f>
        <v>617</v>
      </c>
      <c r="G8796" s="3"/>
      <c r="H8796" s="3"/>
    </row>
    <row r="8797" spans="1:8">
      <c r="A8797" s="3">
        <v>369696</v>
      </c>
      <c r="B8797" s="7" t="s">
        <v>543</v>
      </c>
      <c r="C8797" s="87" t="s">
        <v>32</v>
      </c>
      <c r="D8797" s="6">
        <v>46310</v>
      </c>
      <c r="E8797" s="3" t="str">
        <f ca="1">IF(Tabela2[[#This Row],[Dt Venc:]]&gt;TODAY(),"Em Aberto",IF(Tabela2[[#This Row],[D/venc]]="-","Enviado",IF(Tabela2[[#This Row],[Dt Venc:]]=TODAY(),"Vence Hoje","Vencida")))</f>
        <v>Em Aberto</v>
      </c>
      <c r="F8797" s="3">
        <f ca="1">IF(G8797=1,"-",Tabela2[[#This Row],[Dt Venc:]]-TODAY())</f>
        <v>617</v>
      </c>
      <c r="G8797" s="3"/>
      <c r="H8797" s="3"/>
    </row>
    <row r="8798" spans="1:8">
      <c r="A8798" s="3">
        <v>369726</v>
      </c>
      <c r="B8798" s="7" t="s">
        <v>543</v>
      </c>
      <c r="C8798" s="87" t="s">
        <v>32</v>
      </c>
      <c r="D8798" s="6">
        <v>46310</v>
      </c>
      <c r="E8798" s="3" t="str">
        <f ca="1">IF(Tabela2[[#This Row],[Dt Venc:]]&gt;TODAY(),"Em Aberto",IF(Tabela2[[#This Row],[D/venc]]="-","Enviado",IF(Tabela2[[#This Row],[Dt Venc:]]=TODAY(),"Vence Hoje","Vencida")))</f>
        <v>Em Aberto</v>
      </c>
      <c r="F8798" s="3">
        <f ca="1">IF(G8798=1,"-",Tabela2[[#This Row],[Dt Venc:]]-TODAY())</f>
        <v>617</v>
      </c>
      <c r="G8798" s="3"/>
      <c r="H8798" s="3"/>
    </row>
    <row r="8799" spans="1:8">
      <c r="A8799" s="3">
        <v>369751</v>
      </c>
      <c r="B8799" s="7" t="s">
        <v>543</v>
      </c>
      <c r="C8799" s="87" t="s">
        <v>32</v>
      </c>
      <c r="D8799" s="6">
        <v>46310</v>
      </c>
      <c r="E8799" s="3" t="str">
        <f ca="1">IF(Tabela2[[#This Row],[Dt Venc:]]&gt;TODAY(),"Em Aberto",IF(Tabela2[[#This Row],[D/venc]]="-","Enviado",IF(Tabela2[[#This Row],[Dt Venc:]]=TODAY(),"Vence Hoje","Vencida")))</f>
        <v>Em Aberto</v>
      </c>
      <c r="F8799" s="3">
        <f ca="1">IF(G8799=1,"-",Tabela2[[#This Row],[Dt Venc:]]-TODAY())</f>
        <v>617</v>
      </c>
      <c r="G8799" s="3"/>
      <c r="H8799" s="3"/>
    </row>
    <row r="8800" spans="1:8">
      <c r="A8800" s="3">
        <v>370201</v>
      </c>
      <c r="B8800" s="7" t="s">
        <v>543</v>
      </c>
      <c r="C8800" s="87" t="s">
        <v>32</v>
      </c>
      <c r="D8800" s="6">
        <v>46310</v>
      </c>
      <c r="E8800" s="3" t="str">
        <f ca="1">IF(Tabela2[[#This Row],[Dt Venc:]]&gt;TODAY(),"Em Aberto",IF(Tabela2[[#This Row],[D/venc]]="-","Enviado",IF(Tabela2[[#This Row],[Dt Venc:]]=TODAY(),"Vence Hoje","Vencida")))</f>
        <v>Em Aberto</v>
      </c>
      <c r="F8800" s="3">
        <f ca="1">IF(G8800=1,"-",Tabela2[[#This Row],[Dt Venc:]]-TODAY())</f>
        <v>617</v>
      </c>
      <c r="G8800" s="3"/>
      <c r="H8800" s="3"/>
    </row>
    <row r="8801" spans="1:8">
      <c r="A8801" s="3">
        <v>370864</v>
      </c>
      <c r="B8801" s="7" t="s">
        <v>543</v>
      </c>
      <c r="C8801" s="87" t="s">
        <v>32</v>
      </c>
      <c r="D8801" s="6">
        <v>46310</v>
      </c>
      <c r="E8801" s="3" t="str">
        <f ca="1">IF(Tabela2[[#This Row],[Dt Venc:]]&gt;TODAY(),"Em Aberto",IF(Tabela2[[#This Row],[D/venc]]="-","Enviado",IF(Tabela2[[#This Row],[Dt Venc:]]=TODAY(),"Vence Hoje","Vencida")))</f>
        <v>Em Aberto</v>
      </c>
      <c r="F8801" s="3">
        <f ca="1">IF(G8801=1,"-",Tabela2[[#This Row],[Dt Venc:]]-TODAY())</f>
        <v>617</v>
      </c>
      <c r="G8801" s="3"/>
      <c r="H8801" s="3"/>
    </row>
    <row r="8802" spans="1:8">
      <c r="A8802" s="3">
        <v>371011</v>
      </c>
      <c r="B8802" s="7" t="s">
        <v>633</v>
      </c>
      <c r="C8802" s="87" t="s">
        <v>32</v>
      </c>
      <c r="D8802" s="6">
        <v>46310</v>
      </c>
      <c r="E8802" s="3" t="str">
        <f ca="1">IF(Tabela2[[#This Row],[Dt Venc:]]&gt;TODAY(),"Em Aberto",IF(Tabela2[[#This Row],[D/venc]]="-","Enviado",IF(Tabela2[[#This Row],[Dt Venc:]]=TODAY(),"Vence Hoje","Vencida")))</f>
        <v>Em Aberto</v>
      </c>
      <c r="F8802" s="3">
        <f ca="1">IF(G8802=1,"-",Tabela2[[#This Row],[Dt Venc:]]-TODAY())</f>
        <v>617</v>
      </c>
      <c r="G8802" s="3"/>
      <c r="H8802" s="3"/>
    </row>
    <row r="8803" spans="1:8">
      <c r="A8803" s="3">
        <v>371160</v>
      </c>
      <c r="B8803" s="7" t="s">
        <v>633</v>
      </c>
      <c r="C8803" s="87" t="s">
        <v>32</v>
      </c>
      <c r="D8803" s="6">
        <v>46310</v>
      </c>
      <c r="E8803" s="3" t="str">
        <f ca="1">IF(Tabela2[[#This Row],[Dt Venc:]]&gt;TODAY(),"Em Aberto",IF(Tabela2[[#This Row],[D/venc]]="-","Enviado",IF(Tabela2[[#This Row],[Dt Venc:]]=TODAY(),"Vence Hoje","Vencida")))</f>
        <v>Em Aberto</v>
      </c>
      <c r="F8803" s="3">
        <f ca="1">IF(G8803=1,"-",Tabela2[[#This Row],[Dt Venc:]]-TODAY())</f>
        <v>617</v>
      </c>
      <c r="G8803" s="3"/>
      <c r="H8803" s="3"/>
    </row>
    <row r="8804" spans="1:8">
      <c r="A8804" s="3">
        <v>748099</v>
      </c>
      <c r="B8804" s="7" t="s">
        <v>81</v>
      </c>
      <c r="C8804" s="100" t="s">
        <v>32</v>
      </c>
      <c r="D8804" s="6">
        <v>46310</v>
      </c>
      <c r="E8804" s="3" t="str">
        <f ca="1">IF(Tabela2[[#This Row],[Dt Venc:]]&gt;TODAY(),"Em Aberto",IF(Tabela2[[#This Row],[D/venc]]="-","Enviado",IF(Tabela2[[#This Row],[Dt Venc:]]=TODAY(),"Vence Hoje","Vencida")))</f>
        <v>Em Aberto</v>
      </c>
      <c r="F8804" s="3">
        <f ca="1">IF(G8804=1,"-",Tabela2[[#This Row],[Dt Venc:]]-TODAY())</f>
        <v>617</v>
      </c>
      <c r="G8804" s="3"/>
      <c r="H8804" s="3"/>
    </row>
    <row r="8805" spans="1:8">
      <c r="A8805" s="3">
        <v>892178</v>
      </c>
      <c r="B8805" s="7" t="s">
        <v>253</v>
      </c>
      <c r="C8805" s="100" t="s">
        <v>32</v>
      </c>
      <c r="D8805" s="6">
        <v>46310</v>
      </c>
      <c r="E8805" s="3" t="str">
        <f ca="1">IF(Tabela2[[#This Row],[Dt Venc:]]&gt;TODAY(),"Em Aberto",IF(Tabela2[[#This Row],[D/venc]]="-","Enviado",IF(Tabela2[[#This Row],[Dt Venc:]]=TODAY(),"Vence Hoje","Vencida")))</f>
        <v>Em Aberto</v>
      </c>
      <c r="F8805" s="3">
        <f ca="1">IF(G8805=1,"-",Tabela2[[#This Row],[Dt Venc:]]-TODAY())</f>
        <v>617</v>
      </c>
      <c r="G8805" s="3"/>
      <c r="H8805" s="3"/>
    </row>
    <row r="8806" spans="1:8">
      <c r="A8806" s="3">
        <v>894135</v>
      </c>
      <c r="B8806" s="7" t="s">
        <v>253</v>
      </c>
      <c r="C8806" s="100" t="s">
        <v>32</v>
      </c>
      <c r="D8806" s="6">
        <v>46310</v>
      </c>
      <c r="E8806" s="3" t="str">
        <f ca="1">IF(Tabela2[[#This Row],[Dt Venc:]]&gt;TODAY(),"Em Aberto",IF(Tabela2[[#This Row],[D/venc]]="-","Enviado",IF(Tabela2[[#This Row],[Dt Venc:]]=TODAY(),"Vence Hoje","Vencida")))</f>
        <v>Em Aberto</v>
      </c>
      <c r="F8806" s="3">
        <f ca="1">IF(G8806=1,"-",Tabela2[[#This Row],[Dt Venc:]]-TODAY())</f>
        <v>617</v>
      </c>
      <c r="G8806" s="3"/>
      <c r="H8806" s="3"/>
    </row>
    <row r="8807" spans="1:8">
      <c r="A8807" s="3">
        <v>896565</v>
      </c>
      <c r="B8807" s="7" t="s">
        <v>253</v>
      </c>
      <c r="C8807" s="99" t="s">
        <v>32</v>
      </c>
      <c r="D8807" s="6">
        <v>46310</v>
      </c>
      <c r="E8807" s="3" t="str">
        <f ca="1">IF(Tabela2[[#This Row],[Dt Venc:]]&gt;TODAY(),"Em Aberto",IF(Tabela2[[#This Row],[D/venc]]="-","Enviado",IF(Tabela2[[#This Row],[Dt Venc:]]=TODAY(),"Vence Hoje","Vencida")))</f>
        <v>Em Aberto</v>
      </c>
      <c r="F8807" s="3">
        <f ca="1">IF(G8807=1,"-",Tabela2[[#This Row],[Dt Venc:]]-TODAY())</f>
        <v>617</v>
      </c>
      <c r="G8807" s="3"/>
      <c r="H8807" s="3"/>
    </row>
    <row r="8808" spans="1:8">
      <c r="A8808" s="3">
        <v>900386</v>
      </c>
      <c r="B8808" s="7" t="s">
        <v>253</v>
      </c>
      <c r="C8808" s="100" t="s">
        <v>32</v>
      </c>
      <c r="D8808" s="6">
        <v>46310</v>
      </c>
      <c r="E8808" s="3" t="str">
        <f ca="1">IF(Tabela2[[#This Row],[Dt Venc:]]&gt;TODAY(),"Em Aberto",IF(Tabela2[[#This Row],[D/venc]]="-","Enviado",IF(Tabela2[[#This Row],[Dt Venc:]]=TODAY(),"Vence Hoje","Vencida")))</f>
        <v>Em Aberto</v>
      </c>
      <c r="F8808" s="3">
        <f ca="1">IF(G8808=1,"-",Tabela2[[#This Row],[Dt Venc:]]-TODAY())</f>
        <v>617</v>
      </c>
      <c r="G8808" s="3"/>
      <c r="H8808" s="3"/>
    </row>
    <row r="8809" spans="1:8">
      <c r="A8809" s="3">
        <v>901787</v>
      </c>
      <c r="B8809" s="7" t="s">
        <v>253</v>
      </c>
      <c r="C8809" s="100" t="s">
        <v>32</v>
      </c>
      <c r="D8809" s="6">
        <v>46310</v>
      </c>
      <c r="E8809" s="3" t="str">
        <f ca="1">IF(Tabela2[[#This Row],[Dt Venc:]]&gt;TODAY(),"Em Aberto",IF(Tabela2[[#This Row],[D/venc]]="-","Enviado",IF(Tabela2[[#This Row],[Dt Venc:]]=TODAY(),"Vence Hoje","Vencida")))</f>
        <v>Em Aberto</v>
      </c>
      <c r="F8809" s="3">
        <f ca="1">IF(G8809=1,"-",Tabela2[[#This Row],[Dt Venc:]]-TODAY())</f>
        <v>617</v>
      </c>
      <c r="G8809" s="3"/>
      <c r="H8809" s="3"/>
    </row>
    <row r="8810" spans="1:8">
      <c r="A8810" s="3">
        <v>901788</v>
      </c>
      <c r="B8810" s="7" t="s">
        <v>253</v>
      </c>
      <c r="C8810" s="100" t="s">
        <v>32</v>
      </c>
      <c r="D8810" s="6">
        <v>46310</v>
      </c>
      <c r="E8810" s="3" t="str">
        <f ca="1">IF(Tabela2[[#This Row],[Dt Venc:]]&gt;TODAY(),"Em Aberto",IF(Tabela2[[#This Row],[D/venc]]="-","Enviado",IF(Tabela2[[#This Row],[Dt Venc:]]=TODAY(),"Vence Hoje","Vencida")))</f>
        <v>Em Aberto</v>
      </c>
      <c r="F8810" s="3">
        <f ca="1">IF(G8810=1,"-",Tabela2[[#This Row],[Dt Venc:]]-TODAY())</f>
        <v>617</v>
      </c>
      <c r="G8810" s="3"/>
      <c r="H8810" s="3"/>
    </row>
    <row r="8811" spans="1:8">
      <c r="A8811" s="3">
        <v>901789</v>
      </c>
      <c r="B8811" s="7" t="s">
        <v>253</v>
      </c>
      <c r="C8811" s="100" t="s">
        <v>32</v>
      </c>
      <c r="D8811" s="6">
        <v>46310</v>
      </c>
      <c r="E8811" s="3" t="str">
        <f ca="1">IF(Tabela2[[#This Row],[Dt Venc:]]&gt;TODAY(),"Em Aberto",IF(Tabela2[[#This Row],[D/venc]]="-","Enviado",IF(Tabela2[[#This Row],[Dt Venc:]]=TODAY(),"Vence Hoje","Vencida")))</f>
        <v>Em Aberto</v>
      </c>
      <c r="F8811" s="3">
        <f ca="1">IF(G8811=1,"-",Tabela2[[#This Row],[Dt Venc:]]-TODAY())</f>
        <v>617</v>
      </c>
      <c r="G8811" s="3"/>
      <c r="H8811" s="3"/>
    </row>
    <row r="8812" spans="1:8">
      <c r="A8812" s="3">
        <v>912703</v>
      </c>
      <c r="B8812" s="7" t="s">
        <v>253</v>
      </c>
      <c r="C8812" s="100" t="s">
        <v>32</v>
      </c>
      <c r="D8812" s="6">
        <v>46310</v>
      </c>
      <c r="E8812" s="3" t="str">
        <f ca="1">IF(Tabela2[[#This Row],[Dt Venc:]]&gt;TODAY(),"Em Aberto",IF(Tabela2[[#This Row],[D/venc]]="-","Enviado",IF(Tabela2[[#This Row],[Dt Venc:]]=TODAY(),"Vence Hoje","Vencida")))</f>
        <v>Em Aberto</v>
      </c>
      <c r="F8812" s="3">
        <f ca="1">IF(G8812=1,"-",Tabela2[[#This Row],[Dt Venc:]]-TODAY())</f>
        <v>617</v>
      </c>
      <c r="G8812" s="3"/>
      <c r="H8812" s="3"/>
    </row>
    <row r="8813" spans="1:8">
      <c r="A8813" s="3">
        <v>912704</v>
      </c>
      <c r="B8813" s="7" t="s">
        <v>253</v>
      </c>
      <c r="C8813" s="100" t="s">
        <v>32</v>
      </c>
      <c r="D8813" s="6">
        <v>46310</v>
      </c>
      <c r="E8813" s="3" t="str">
        <f ca="1">IF(Tabela2[[#This Row],[Dt Venc:]]&gt;TODAY(),"Em Aberto",IF(Tabela2[[#This Row],[D/venc]]="-","Enviado",IF(Tabela2[[#This Row],[Dt Venc:]]=TODAY(),"Vence Hoje","Vencida")))</f>
        <v>Em Aberto</v>
      </c>
      <c r="F8813" s="3">
        <f ca="1">IF(G8813=1,"-",Tabela2[[#This Row],[Dt Venc:]]-TODAY())</f>
        <v>617</v>
      </c>
      <c r="G8813" s="3"/>
      <c r="H8813" s="3"/>
    </row>
    <row r="8814" spans="1:8">
      <c r="A8814" s="3">
        <v>919728</v>
      </c>
      <c r="B8814" s="7" t="s">
        <v>253</v>
      </c>
      <c r="C8814" s="87" t="s">
        <v>32</v>
      </c>
      <c r="D8814" s="6">
        <v>46310</v>
      </c>
      <c r="E8814" s="3" t="str">
        <f ca="1">IF(Tabela2[[#This Row],[Dt Venc:]]&gt;TODAY(),"Em Aberto",IF(Tabela2[[#This Row],[D/venc]]="-","Enviado",IF(Tabela2[[#This Row],[Dt Venc:]]=TODAY(),"Vence Hoje","Vencida")))</f>
        <v>Em Aberto</v>
      </c>
      <c r="F8814" s="3">
        <f ca="1">IF(G8814=1,"-",Tabela2[[#This Row],[Dt Venc:]]-TODAY())</f>
        <v>617</v>
      </c>
      <c r="G8814" s="3"/>
      <c r="H8814" s="3"/>
    </row>
    <row r="8815" spans="1:8">
      <c r="A8815" s="3">
        <v>919729</v>
      </c>
      <c r="B8815" s="7" t="s">
        <v>253</v>
      </c>
      <c r="C8815" s="87" t="s">
        <v>32</v>
      </c>
      <c r="D8815" s="6">
        <v>46310</v>
      </c>
      <c r="E8815" s="3" t="str">
        <f ca="1">IF(Tabela2[[#This Row],[Dt Venc:]]&gt;TODAY(),"Em Aberto",IF(Tabela2[[#This Row],[D/venc]]="-","Enviado",IF(Tabela2[[#This Row],[Dt Venc:]]=TODAY(),"Vence Hoje","Vencida")))</f>
        <v>Em Aberto</v>
      </c>
      <c r="F8815" s="3">
        <f ca="1">IF(G8815=1,"-",Tabela2[[#This Row],[Dt Venc:]]-TODAY())</f>
        <v>617</v>
      </c>
      <c r="G8815" s="3"/>
      <c r="H8815" s="3"/>
    </row>
    <row r="8816" spans="1:8">
      <c r="A8816" s="3">
        <v>37300</v>
      </c>
      <c r="B8816" s="7" t="s">
        <v>167</v>
      </c>
      <c r="C8816" s="100" t="s">
        <v>32</v>
      </c>
      <c r="D8816" s="6">
        <v>46311</v>
      </c>
      <c r="E8816" s="3" t="str">
        <f ca="1">IF(Tabela2[[#This Row],[Dt Venc:]]&gt;TODAY(),"Em Aberto",IF(Tabela2[[#This Row],[D/venc]]="-","Enviado",IF(Tabela2[[#This Row],[Dt Venc:]]=TODAY(),"Vence Hoje","Vencida")))</f>
        <v>Em Aberto</v>
      </c>
      <c r="F8816" s="3">
        <f ca="1">IF(G8816=1,"-",Tabela2[[#This Row],[Dt Venc:]]-TODAY())</f>
        <v>618</v>
      </c>
      <c r="G8816" s="3"/>
      <c r="H8816" s="3"/>
    </row>
    <row r="8817" spans="1:8">
      <c r="A8817" s="3">
        <v>37348</v>
      </c>
      <c r="B8817" s="7" t="s">
        <v>167</v>
      </c>
      <c r="C8817" s="100" t="s">
        <v>32</v>
      </c>
      <c r="D8817" s="6">
        <v>46317</v>
      </c>
      <c r="E8817" s="3" t="str">
        <f ca="1">IF(Tabela2[[#This Row],[Dt Venc:]]&gt;TODAY(),"Em Aberto",IF(Tabela2[[#This Row],[D/venc]]="-","Enviado",IF(Tabela2[[#This Row],[Dt Venc:]]=TODAY(),"Vence Hoje","Vencida")))</f>
        <v>Em Aberto</v>
      </c>
      <c r="F8817" s="3">
        <f ca="1">IF(G8817=1,"-",Tabela2[[#This Row],[Dt Venc:]]-TODAY())</f>
        <v>624</v>
      </c>
      <c r="G8817" s="3"/>
      <c r="H8817" s="3"/>
    </row>
    <row r="8818" spans="1:8">
      <c r="A8818" s="3">
        <v>495914</v>
      </c>
      <c r="B8818" s="7" t="s">
        <v>153</v>
      </c>
      <c r="C8818" s="100" t="s">
        <v>32</v>
      </c>
      <c r="D8818" s="6">
        <v>46320</v>
      </c>
      <c r="E8818" s="3" t="str">
        <f ca="1">IF(Tabela2[[#This Row],[Dt Venc:]]&gt;TODAY(),"Em Aberto",IF(Tabela2[[#This Row],[D/venc]]="-","Enviado",IF(Tabela2[[#This Row],[Dt Venc:]]=TODAY(),"Vence Hoje","Vencida")))</f>
        <v>Em Aberto</v>
      </c>
      <c r="F8818" s="3">
        <f ca="1">IF(G8818=1,"-",Tabela2[[#This Row],[Dt Venc:]]-TODAY())</f>
        <v>627</v>
      </c>
      <c r="G8818" s="3"/>
      <c r="H8818" s="3"/>
    </row>
    <row r="8819" spans="1:8">
      <c r="A8819" s="3">
        <v>5690</v>
      </c>
      <c r="B8819" s="7" t="s">
        <v>122</v>
      </c>
      <c r="C8819" s="100" t="s">
        <v>32</v>
      </c>
      <c r="D8819" s="6">
        <v>46322</v>
      </c>
      <c r="E8819" s="3" t="str">
        <f ca="1">IF(Tabela2[[#This Row],[Dt Venc:]]&gt;TODAY(),"Em Aberto",IF(Tabela2[[#This Row],[D/venc]]="-","Enviado",IF(Tabela2[[#This Row],[Dt Venc:]]=TODAY(),"Vence Hoje","Vencida")))</f>
        <v>Em Aberto</v>
      </c>
      <c r="F8819" s="3">
        <f ca="1">IF(G8819=1,"-",Tabela2[[#This Row],[Dt Venc:]]-TODAY())</f>
        <v>629</v>
      </c>
      <c r="G8819" s="3"/>
      <c r="H8819" s="3"/>
    </row>
    <row r="8820" spans="1:8">
      <c r="A8820" s="3">
        <v>11681</v>
      </c>
      <c r="B8820" s="7" t="s">
        <v>82</v>
      </c>
      <c r="C8820" s="87" t="s">
        <v>30</v>
      </c>
      <c r="D8820" s="6">
        <v>46326</v>
      </c>
      <c r="E8820" s="3" t="str">
        <f ca="1">IF(Tabela2[[#This Row],[Dt Venc:]]&gt;TODAY(),"Em Aberto",IF(Tabela2[[#This Row],[D/venc]]="-","Enviado",IF(Tabela2[[#This Row],[Dt Venc:]]=TODAY(),"Vence Hoje","Vencida")))</f>
        <v>Em Aberto</v>
      </c>
      <c r="F8820" s="3">
        <f ca="1">IF(G8820=1,"-",Tabela2[[#This Row],[Dt Venc:]]-TODAY())</f>
        <v>633</v>
      </c>
      <c r="G8820" s="3"/>
      <c r="H8820" s="3"/>
    </row>
    <row r="8821" spans="1:8">
      <c r="A8821" s="3" t="s">
        <v>28</v>
      </c>
      <c r="B8821" s="7" t="s">
        <v>391</v>
      </c>
      <c r="C8821" s="85" t="s">
        <v>30</v>
      </c>
      <c r="D8821" s="6">
        <v>46326</v>
      </c>
      <c r="E8821" s="3" t="str">
        <f ca="1">IF(Tabela2[[#This Row],[Dt Venc:]]&gt;TODAY(),"Em Aberto",IF(Tabela2[[#This Row],[D/venc]]="-","Enviado",IF(Tabela2[[#This Row],[Dt Venc:]]=TODAY(),"Vence Hoje","Vencida")))</f>
        <v>Em Aberto</v>
      </c>
      <c r="F8821" s="3">
        <f ca="1">IF(G8821=1,"-",Tabela2[[#This Row],[Dt Venc:]]-TODAY())</f>
        <v>633</v>
      </c>
      <c r="G8821" s="3"/>
      <c r="H8821" s="3"/>
    </row>
    <row r="8822" spans="1:8">
      <c r="A8822" s="3">
        <v>36910</v>
      </c>
      <c r="B8822" s="7" t="s">
        <v>167</v>
      </c>
      <c r="C8822" s="100" t="s">
        <v>32</v>
      </c>
      <c r="D8822" s="6">
        <v>46327</v>
      </c>
      <c r="E8822" s="3" t="str">
        <f ca="1">IF(Tabela2[[#This Row],[Dt Venc:]]&gt;TODAY(),"Em Aberto",IF(Tabela2[[#This Row],[D/venc]]="-","Enviado",IF(Tabela2[[#This Row],[Dt Venc:]]=TODAY(),"Vence Hoje","Vencida")))</f>
        <v>Em Aberto</v>
      </c>
      <c r="F8822" s="3">
        <f ca="1">IF(G8822=1,"-",Tabela2[[#This Row],[Dt Venc:]]-TODAY())</f>
        <v>634</v>
      </c>
      <c r="G8822" s="3"/>
      <c r="H8822" s="3"/>
    </row>
    <row r="8823" spans="1:8">
      <c r="A8823" s="3">
        <v>10494</v>
      </c>
      <c r="B8823" s="7" t="s">
        <v>82</v>
      </c>
      <c r="C8823" s="88" t="s">
        <v>30</v>
      </c>
      <c r="D8823" s="6">
        <v>46329</v>
      </c>
      <c r="E8823" s="3" t="str">
        <f ca="1">IF(Tabela2[[#This Row],[Dt Venc:]]&gt;TODAY(),"Em Aberto",IF(Tabela2[[#This Row],[D/venc]]="-","Enviado",IF(Tabela2[[#This Row],[Dt Venc:]]=TODAY(),"Vence Hoje","Vencida")))</f>
        <v>Em Aberto</v>
      </c>
      <c r="F8823" s="3">
        <f ca="1">IF(G8823=1,"-",Tabela2[[#This Row],[Dt Venc:]]-TODAY())</f>
        <v>636</v>
      </c>
      <c r="G8823" s="3"/>
      <c r="H8823" s="3"/>
    </row>
    <row r="8824" spans="1:8">
      <c r="A8824" s="3">
        <v>5680</v>
      </c>
      <c r="B8824" s="7" t="s">
        <v>122</v>
      </c>
      <c r="C8824" s="99" t="s">
        <v>32</v>
      </c>
      <c r="D8824" s="6">
        <v>46331</v>
      </c>
      <c r="E8824" s="3" t="str">
        <f ca="1">IF(Tabela2[[#This Row],[Dt Venc:]]&gt;TODAY(),"Em Aberto",IF(Tabela2[[#This Row],[D/venc]]="-","Enviado",IF(Tabela2[[#This Row],[Dt Venc:]]=TODAY(),"Vence Hoje","Vencida")))</f>
        <v>Em Aberto</v>
      </c>
      <c r="F8824" s="3">
        <f ca="1">IF(G8824=1,"-",Tabela2[[#This Row],[Dt Venc:]]-TODAY())</f>
        <v>638</v>
      </c>
      <c r="G8824" s="3"/>
      <c r="H8824" s="3"/>
    </row>
    <row r="8825" spans="1:8">
      <c r="A8825" s="3">
        <v>10353</v>
      </c>
      <c r="B8825" s="7" t="s">
        <v>82</v>
      </c>
      <c r="C8825" s="100" t="s">
        <v>32</v>
      </c>
      <c r="D8825" s="6">
        <v>46331</v>
      </c>
      <c r="E8825" s="3" t="str">
        <f ca="1">IF(Tabela2[[#This Row],[Dt Venc:]]&gt;TODAY(),"Em Aberto",IF(Tabela2[[#This Row],[D/venc]]="-","Enviado",IF(Tabela2[[#This Row],[Dt Venc:]]=TODAY(),"Vence Hoje","Vencida")))</f>
        <v>Em Aberto</v>
      </c>
      <c r="F8825" s="3">
        <f ca="1">IF(G8825=1,"-",Tabela2[[#This Row],[Dt Venc:]]-TODAY())</f>
        <v>638</v>
      </c>
      <c r="G8825" s="3"/>
      <c r="H8825" s="3"/>
    </row>
    <row r="8826" spans="1:8">
      <c r="A8826" s="3">
        <v>284620</v>
      </c>
      <c r="B8826" s="7" t="s">
        <v>153</v>
      </c>
      <c r="C8826" s="100" t="s">
        <v>32</v>
      </c>
      <c r="D8826" s="6">
        <v>46334</v>
      </c>
      <c r="E8826" s="3" t="str">
        <f ca="1">IF(Tabela2[[#This Row],[Dt Venc:]]&gt;TODAY(),"Em Aberto",IF(Tabela2[[#This Row],[D/venc]]="-","Enviado",IF(Tabela2[[#This Row],[Dt Venc:]]=TODAY(),"Vence Hoje","Vencida")))</f>
        <v>Em Aberto</v>
      </c>
      <c r="F8826" s="3">
        <f ca="1">IF(G8826=1,"-",Tabela2[[#This Row],[Dt Venc:]]-TODAY())</f>
        <v>641</v>
      </c>
      <c r="G8826" s="3"/>
      <c r="H8826" s="3"/>
    </row>
    <row r="8827" spans="1:8">
      <c r="A8827" s="3">
        <v>36949</v>
      </c>
      <c r="B8827" s="7" t="s">
        <v>167</v>
      </c>
      <c r="C8827" s="100" t="s">
        <v>32</v>
      </c>
      <c r="D8827" s="6">
        <v>46335</v>
      </c>
      <c r="E8827" s="3" t="str">
        <f ca="1">IF(Tabela2[[#This Row],[Dt Venc:]]&gt;TODAY(),"Em Aberto",IF(Tabela2[[#This Row],[D/venc]]="-","Enviado",IF(Tabela2[[#This Row],[Dt Venc:]]=TODAY(),"Vence Hoje","Vencida")))</f>
        <v>Em Aberto</v>
      </c>
      <c r="F8827" s="3">
        <f ca="1">IF(G8827=1,"-",Tabela2[[#This Row],[Dt Venc:]]-TODAY())</f>
        <v>642</v>
      </c>
      <c r="G8827" s="3"/>
      <c r="H8827" s="3"/>
    </row>
    <row r="8828" spans="1:8">
      <c r="A8828" s="3">
        <v>756561</v>
      </c>
      <c r="B8828" s="7" t="s">
        <v>166</v>
      </c>
      <c r="C8828" s="100" t="s">
        <v>32</v>
      </c>
      <c r="D8828" s="6">
        <v>46335</v>
      </c>
      <c r="E8828" s="3" t="str">
        <f ca="1">IF(Tabela2[[#This Row],[Dt Venc:]]&gt;TODAY(),"Em Aberto",IF(Tabela2[[#This Row],[D/venc]]="-","Enviado",IF(Tabela2[[#This Row],[Dt Venc:]]=TODAY(),"Vence Hoje","Vencida")))</f>
        <v>Em Aberto</v>
      </c>
      <c r="F8828" s="3">
        <f ca="1">IF(G8828=1,"-",Tabela2[[#This Row],[Dt Venc:]]-TODAY())</f>
        <v>642</v>
      </c>
      <c r="G8828" s="3"/>
      <c r="H8828" s="3"/>
    </row>
    <row r="8829" spans="1:8">
      <c r="A8829" s="3">
        <v>37327</v>
      </c>
      <c r="B8829" s="7" t="s">
        <v>167</v>
      </c>
      <c r="C8829" s="100" t="s">
        <v>32</v>
      </c>
      <c r="D8829" s="6">
        <v>46337</v>
      </c>
      <c r="E8829" s="3" t="str">
        <f ca="1">IF(Tabela2[[#This Row],[Dt Venc:]]&gt;TODAY(),"Em Aberto",IF(Tabela2[[#This Row],[D/venc]]="-","Enviado",IF(Tabela2[[#This Row],[Dt Venc:]]=TODAY(),"Vence Hoje","Vencida")))</f>
        <v>Em Aberto</v>
      </c>
      <c r="F8829" s="3">
        <f ca="1">IF(G8829=1,"-",Tabela2[[#This Row],[Dt Venc:]]-TODAY())</f>
        <v>644</v>
      </c>
      <c r="G8829" s="3"/>
      <c r="H8829" s="3"/>
    </row>
    <row r="8830" spans="1:8">
      <c r="A8830" s="3">
        <v>562</v>
      </c>
      <c r="B8830" s="7" t="s">
        <v>251</v>
      </c>
      <c r="C8830" s="100" t="s">
        <v>32</v>
      </c>
      <c r="D8830" s="6">
        <v>46341</v>
      </c>
      <c r="E8830" s="3" t="str">
        <f ca="1">IF(Tabela2[[#This Row],[Dt Venc:]]&gt;TODAY(),"Em Aberto",IF(Tabela2[[#This Row],[D/venc]]="-","Enviado",IF(Tabela2[[#This Row],[Dt Venc:]]=TODAY(),"Vence Hoje","Vencida")))</f>
        <v>Em Aberto</v>
      </c>
      <c r="F8830" s="3">
        <f ca="1">IF(G8830=1,"-",Tabela2[[#This Row],[Dt Venc:]]-TODAY())</f>
        <v>648</v>
      </c>
      <c r="G8830" s="3"/>
      <c r="H8830" s="3"/>
    </row>
    <row r="8831" spans="1:8">
      <c r="A8831" s="3">
        <v>103015</v>
      </c>
      <c r="B8831" s="7" t="s">
        <v>252</v>
      </c>
      <c r="C8831" s="100" t="s">
        <v>32</v>
      </c>
      <c r="D8831" s="6">
        <v>46341</v>
      </c>
      <c r="E8831" s="3" t="str">
        <f ca="1">IF(Tabela2[[#This Row],[Dt Venc:]]&gt;TODAY(),"Em Aberto",IF(Tabela2[[#This Row],[D/venc]]="-","Enviado",IF(Tabela2[[#This Row],[Dt Venc:]]=TODAY(),"Vence Hoje","Vencida")))</f>
        <v>Em Aberto</v>
      </c>
      <c r="F8831" s="3">
        <f ca="1">IF(G8831=1,"-",Tabela2[[#This Row],[Dt Venc:]]-TODAY())</f>
        <v>648</v>
      </c>
      <c r="G8831" s="3"/>
      <c r="H8831" s="3"/>
    </row>
    <row r="8832" spans="1:8">
      <c r="A8832" s="3">
        <v>103077</v>
      </c>
      <c r="B8832" s="7" t="s">
        <v>252</v>
      </c>
      <c r="C8832" s="100" t="s">
        <v>32</v>
      </c>
      <c r="D8832" s="6">
        <v>46341</v>
      </c>
      <c r="E8832" s="3" t="str">
        <f ca="1">IF(Tabela2[[#This Row],[Dt Venc:]]&gt;TODAY(),"Em Aberto",IF(Tabela2[[#This Row],[D/venc]]="-","Enviado",IF(Tabela2[[#This Row],[Dt Venc:]]=TODAY(),"Vence Hoje","Vencida")))</f>
        <v>Em Aberto</v>
      </c>
      <c r="F8832" s="3">
        <f ca="1">IF(G8832=1,"-",Tabela2[[#This Row],[Dt Venc:]]-TODAY())</f>
        <v>648</v>
      </c>
      <c r="G8832" s="3"/>
      <c r="H8832" s="3"/>
    </row>
    <row r="8833" spans="1:8">
      <c r="A8833" s="3">
        <v>103153</v>
      </c>
      <c r="B8833" s="7" t="s">
        <v>252</v>
      </c>
      <c r="C8833" s="87" t="s">
        <v>32</v>
      </c>
      <c r="D8833" s="6">
        <v>46341</v>
      </c>
      <c r="E8833" s="3" t="str">
        <f ca="1">IF(Tabela2[[#This Row],[Dt Venc:]]&gt;TODAY(),"Em Aberto",IF(Tabela2[[#This Row],[D/venc]]="-","Enviado",IF(Tabela2[[#This Row],[Dt Venc:]]=TODAY(),"Vence Hoje","Vencida")))</f>
        <v>Em Aberto</v>
      </c>
      <c r="F8833" s="3">
        <f ca="1">IF(G8833=1,"-",Tabela2[[#This Row],[Dt Venc:]]-TODAY())</f>
        <v>648</v>
      </c>
      <c r="G8833" s="3"/>
      <c r="H8833" s="3"/>
    </row>
    <row r="8834" spans="1:8">
      <c r="A8834" s="3">
        <v>103154</v>
      </c>
      <c r="B8834" s="7" t="s">
        <v>252</v>
      </c>
      <c r="C8834" s="100" t="s">
        <v>32</v>
      </c>
      <c r="D8834" s="6">
        <v>46341</v>
      </c>
      <c r="E8834" s="3" t="str">
        <f ca="1">IF(Tabela2[[#This Row],[Dt Venc:]]&gt;TODAY(),"Em Aberto",IF(Tabela2[[#This Row],[D/venc]]="-","Enviado",IF(Tabela2[[#This Row],[Dt Venc:]]=TODAY(),"Vence Hoje","Vencida")))</f>
        <v>Em Aberto</v>
      </c>
      <c r="F8834" s="3">
        <f ca="1">IF(G8834=1,"-",Tabela2[[#This Row],[Dt Venc:]]-TODAY())</f>
        <v>648</v>
      </c>
      <c r="G8834" s="3"/>
      <c r="H8834" s="3"/>
    </row>
    <row r="8835" spans="1:8">
      <c r="A8835" s="3">
        <v>106007</v>
      </c>
      <c r="B8835" s="7" t="s">
        <v>252</v>
      </c>
      <c r="C8835" s="100" t="s">
        <v>32</v>
      </c>
      <c r="D8835" s="6">
        <v>46341</v>
      </c>
      <c r="E8835" s="3" t="str">
        <f ca="1">IF(Tabela2[[#This Row],[Dt Venc:]]&gt;TODAY(),"Em Aberto",IF(Tabela2[[#This Row],[D/venc]]="-","Enviado",IF(Tabela2[[#This Row],[Dt Venc:]]=TODAY(),"Vence Hoje","Vencida")))</f>
        <v>Em Aberto</v>
      </c>
      <c r="F8835" s="3">
        <f ca="1">IF(G8835=1,"-",Tabela2[[#This Row],[Dt Venc:]]-TODAY())</f>
        <v>648</v>
      </c>
      <c r="G8835" s="3"/>
      <c r="H8835" s="3"/>
    </row>
    <row r="8836" spans="1:8">
      <c r="A8836" s="3">
        <v>106043</v>
      </c>
      <c r="B8836" s="7" t="s">
        <v>252</v>
      </c>
      <c r="C8836" s="100" t="s">
        <v>32</v>
      </c>
      <c r="D8836" s="6">
        <v>46341</v>
      </c>
      <c r="E8836" s="3" t="str">
        <f ca="1">IF(Tabela2[[#This Row],[Dt Venc:]]&gt;TODAY(),"Em Aberto",IF(Tabela2[[#This Row],[D/venc]]="-","Enviado",IF(Tabela2[[#This Row],[Dt Venc:]]=TODAY(),"Vence Hoje","Vencida")))</f>
        <v>Em Aberto</v>
      </c>
      <c r="F8836" s="3">
        <f ca="1">IF(G8836=1,"-",Tabela2[[#This Row],[Dt Venc:]]-TODAY())</f>
        <v>648</v>
      </c>
      <c r="G8836" s="3"/>
      <c r="H8836" s="3"/>
    </row>
    <row r="8837" spans="1:8">
      <c r="A8837" s="3">
        <v>107829</v>
      </c>
      <c r="B8837" s="7" t="s">
        <v>252</v>
      </c>
      <c r="C8837" s="100" t="s">
        <v>32</v>
      </c>
      <c r="D8837" s="6">
        <v>46341</v>
      </c>
      <c r="E8837" s="3" t="str">
        <f ca="1">IF(Tabela2[[#This Row],[Dt Venc:]]&gt;TODAY(),"Em Aberto",IF(Tabela2[[#This Row],[D/venc]]="-","Enviado",IF(Tabela2[[#This Row],[Dt Venc:]]=TODAY(),"Vence Hoje","Vencida")))</f>
        <v>Em Aberto</v>
      </c>
      <c r="F8837" s="3">
        <f ca="1">IF(G8837=1,"-",Tabela2[[#This Row],[Dt Venc:]]-TODAY())</f>
        <v>648</v>
      </c>
      <c r="G8837" s="3"/>
      <c r="H8837" s="3"/>
    </row>
    <row r="8838" spans="1:8">
      <c r="A8838" s="3">
        <v>107830</v>
      </c>
      <c r="B8838" s="7" t="s">
        <v>252</v>
      </c>
      <c r="C8838" s="87" t="s">
        <v>32</v>
      </c>
      <c r="D8838" s="6">
        <v>46341</v>
      </c>
      <c r="E8838" s="3" t="str">
        <f ca="1">IF(Tabela2[[#This Row],[Dt Venc:]]&gt;TODAY(),"Em Aberto",IF(Tabela2[[#This Row],[D/venc]]="-","Enviado",IF(Tabela2[[#This Row],[Dt Venc:]]=TODAY(),"Vence Hoje","Vencida")))</f>
        <v>Em Aberto</v>
      </c>
      <c r="F8838" s="3">
        <f ca="1">IF(G8838=1,"-",Tabela2[[#This Row],[Dt Venc:]]-TODAY())</f>
        <v>648</v>
      </c>
      <c r="G8838" s="3"/>
      <c r="H8838" s="3"/>
    </row>
    <row r="8839" spans="1:8">
      <c r="A8839" s="3">
        <v>107831</v>
      </c>
      <c r="B8839" s="7" t="s">
        <v>252</v>
      </c>
      <c r="C8839" s="100" t="s">
        <v>32</v>
      </c>
      <c r="D8839" s="6">
        <v>46341</v>
      </c>
      <c r="E8839" s="3" t="str">
        <f ca="1">IF(Tabela2[[#This Row],[Dt Venc:]]&gt;TODAY(),"Em Aberto",IF(Tabela2[[#This Row],[D/venc]]="-","Enviado",IF(Tabela2[[#This Row],[Dt Venc:]]=TODAY(),"Vence Hoje","Vencida")))</f>
        <v>Em Aberto</v>
      </c>
      <c r="F8839" s="3">
        <f ca="1">IF(G8839=1,"-",Tabela2[[#This Row],[Dt Venc:]]-TODAY())</f>
        <v>648</v>
      </c>
      <c r="G8839" s="3"/>
      <c r="H8839" s="3"/>
    </row>
    <row r="8840" spans="1:8">
      <c r="A8840" s="3">
        <v>107832</v>
      </c>
      <c r="B8840" s="7" t="s">
        <v>252</v>
      </c>
      <c r="C8840" s="100" t="s">
        <v>32</v>
      </c>
      <c r="D8840" s="6">
        <v>46341</v>
      </c>
      <c r="E8840" s="3" t="str">
        <f ca="1">IF(Tabela2[[#This Row],[Dt Venc:]]&gt;TODAY(),"Em Aberto",IF(Tabela2[[#This Row],[D/venc]]="-","Enviado",IF(Tabela2[[#This Row],[Dt Venc:]]=TODAY(),"Vence Hoje","Vencida")))</f>
        <v>Em Aberto</v>
      </c>
      <c r="F8840" s="3">
        <f ca="1">IF(G8840=1,"-",Tabela2[[#This Row],[Dt Venc:]]-TODAY())</f>
        <v>648</v>
      </c>
      <c r="G8840" s="3"/>
      <c r="H8840" s="3"/>
    </row>
    <row r="8841" spans="1:8">
      <c r="A8841" s="3">
        <v>361229</v>
      </c>
      <c r="B8841" s="7" t="s">
        <v>250</v>
      </c>
      <c r="C8841" s="100" t="s">
        <v>32</v>
      </c>
      <c r="D8841" s="6">
        <v>46341</v>
      </c>
      <c r="E8841" s="3" t="str">
        <f ca="1">IF(Tabela2[[#This Row],[Dt Venc:]]&gt;TODAY(),"Em Aberto",IF(Tabela2[[#This Row],[D/venc]]="-","Enviado",IF(Tabela2[[#This Row],[Dt Venc:]]=TODAY(),"Vence Hoje","Vencida")))</f>
        <v>Em Aberto</v>
      </c>
      <c r="F8841" s="3">
        <f ca="1">IF(G8841=1,"-",Tabela2[[#This Row],[Dt Venc:]]-TODAY())</f>
        <v>648</v>
      </c>
      <c r="G8841" s="3"/>
      <c r="H8841" s="3"/>
    </row>
    <row r="8842" spans="1:8">
      <c r="A8842" s="3">
        <v>361237</v>
      </c>
      <c r="B8842" s="7" t="s">
        <v>250</v>
      </c>
      <c r="C8842" s="100" t="s">
        <v>32</v>
      </c>
      <c r="D8842" s="6">
        <v>46341</v>
      </c>
      <c r="E8842" s="3" t="str">
        <f ca="1">IF(Tabela2[[#This Row],[Dt Venc:]]&gt;TODAY(),"Em Aberto",IF(Tabela2[[#This Row],[D/venc]]="-","Enviado",IF(Tabela2[[#This Row],[Dt Venc:]]=TODAY(),"Vence Hoje","Vencida")))</f>
        <v>Em Aberto</v>
      </c>
      <c r="F8842" s="3">
        <f ca="1">IF(G8842=1,"-",Tabela2[[#This Row],[Dt Venc:]]-TODAY())</f>
        <v>648</v>
      </c>
      <c r="G8842" s="3"/>
      <c r="H8842" s="3"/>
    </row>
    <row r="8843" spans="1:8">
      <c r="A8843" s="3">
        <v>365658</v>
      </c>
      <c r="B8843" s="7" t="s">
        <v>250</v>
      </c>
      <c r="C8843" s="100" t="s">
        <v>32</v>
      </c>
      <c r="D8843" s="6">
        <v>46341</v>
      </c>
      <c r="E8843" s="3" t="str">
        <f ca="1">IF(Tabela2[[#This Row],[Dt Venc:]]&gt;TODAY(),"Em Aberto",IF(Tabela2[[#This Row],[D/venc]]="-","Enviado",IF(Tabela2[[#This Row],[Dt Venc:]]=TODAY(),"Vence Hoje","Vencida")))</f>
        <v>Em Aberto</v>
      </c>
      <c r="F8843" s="3">
        <f ca="1">IF(G8843=1,"-",Tabela2[[#This Row],[Dt Venc:]]-TODAY())</f>
        <v>648</v>
      </c>
      <c r="G8843" s="3"/>
      <c r="H8843" s="3"/>
    </row>
    <row r="8844" spans="1:8">
      <c r="A8844" s="3">
        <v>365666</v>
      </c>
      <c r="B8844" s="7" t="s">
        <v>250</v>
      </c>
      <c r="C8844" s="100" t="s">
        <v>32</v>
      </c>
      <c r="D8844" s="6">
        <v>46341</v>
      </c>
      <c r="E8844" s="3" t="str">
        <f ca="1">IF(Tabela2[[#This Row],[Dt Venc:]]&gt;TODAY(),"Em Aberto",IF(Tabela2[[#This Row],[D/venc]]="-","Enviado",IF(Tabela2[[#This Row],[Dt Venc:]]=TODAY(),"Vence Hoje","Vencida")))</f>
        <v>Em Aberto</v>
      </c>
      <c r="F8844" s="3">
        <f ca="1">IF(G8844=1,"-",Tabela2[[#This Row],[Dt Venc:]]-TODAY())</f>
        <v>648</v>
      </c>
      <c r="G8844" s="3"/>
      <c r="H8844" s="3"/>
    </row>
    <row r="8845" spans="1:8">
      <c r="A8845" s="3">
        <v>365674</v>
      </c>
      <c r="B8845" s="7" t="s">
        <v>250</v>
      </c>
      <c r="C8845" s="100" t="s">
        <v>32</v>
      </c>
      <c r="D8845" s="6">
        <v>46341</v>
      </c>
      <c r="E8845" s="3" t="str">
        <f ca="1">IF(Tabela2[[#This Row],[Dt Venc:]]&gt;TODAY(),"Em Aberto",IF(Tabela2[[#This Row],[D/venc]]="-","Enviado",IF(Tabela2[[#This Row],[Dt Venc:]]=TODAY(),"Vence Hoje","Vencida")))</f>
        <v>Em Aberto</v>
      </c>
      <c r="F8845" s="3">
        <f ca="1">IF(G8845=1,"-",Tabela2[[#This Row],[Dt Venc:]]-TODAY())</f>
        <v>648</v>
      </c>
      <c r="G8845" s="3"/>
      <c r="H8845" s="3"/>
    </row>
    <row r="8846" spans="1:8">
      <c r="A8846" s="3">
        <v>365682</v>
      </c>
      <c r="B8846" s="7" t="s">
        <v>250</v>
      </c>
      <c r="C8846" s="100" t="s">
        <v>32</v>
      </c>
      <c r="D8846" s="6">
        <v>46341</v>
      </c>
      <c r="E8846" s="3" t="str">
        <f ca="1">IF(Tabela2[[#This Row],[Dt Venc:]]&gt;TODAY(),"Em Aberto",IF(Tabela2[[#This Row],[D/venc]]="-","Enviado",IF(Tabela2[[#This Row],[Dt Venc:]]=TODAY(),"Vence Hoje","Vencida")))</f>
        <v>Em Aberto</v>
      </c>
      <c r="F8846" s="3">
        <f ca="1">IF(G8846=1,"-",Tabela2[[#This Row],[Dt Venc:]]-TODAY())</f>
        <v>648</v>
      </c>
      <c r="G8846" s="3"/>
      <c r="H8846" s="3"/>
    </row>
    <row r="8847" spans="1:8">
      <c r="A8847" s="3">
        <v>369335</v>
      </c>
      <c r="B8847" s="7" t="s">
        <v>543</v>
      </c>
      <c r="C8847" s="87" t="s">
        <v>32</v>
      </c>
      <c r="D8847" s="6">
        <v>46341</v>
      </c>
      <c r="E8847" s="3" t="str">
        <f ca="1">IF(Tabela2[[#This Row],[Dt Venc:]]&gt;TODAY(),"Em Aberto",IF(Tabela2[[#This Row],[D/venc]]="-","Enviado",IF(Tabela2[[#This Row],[Dt Venc:]]=TODAY(),"Vence Hoje","Vencida")))</f>
        <v>Em Aberto</v>
      </c>
      <c r="F8847" s="3">
        <f ca="1">IF(G8847=1,"-",Tabela2[[#This Row],[Dt Venc:]]-TODAY())</f>
        <v>648</v>
      </c>
      <c r="G8847" s="3"/>
      <c r="H8847" s="3"/>
    </row>
    <row r="8848" spans="1:8">
      <c r="A8848" s="3">
        <v>369696</v>
      </c>
      <c r="B8848" s="7" t="s">
        <v>543</v>
      </c>
      <c r="C8848" s="87" t="s">
        <v>32</v>
      </c>
      <c r="D8848" s="6">
        <v>46341</v>
      </c>
      <c r="E8848" s="3" t="str">
        <f ca="1">IF(Tabela2[[#This Row],[Dt Venc:]]&gt;TODAY(),"Em Aberto",IF(Tabela2[[#This Row],[D/venc]]="-","Enviado",IF(Tabela2[[#This Row],[Dt Venc:]]=TODAY(),"Vence Hoje","Vencida")))</f>
        <v>Em Aberto</v>
      </c>
      <c r="F8848" s="3">
        <f ca="1">IF(G8848=1,"-",Tabela2[[#This Row],[Dt Venc:]]-TODAY())</f>
        <v>648</v>
      </c>
      <c r="G8848" s="3"/>
      <c r="H8848" s="3"/>
    </row>
    <row r="8849" spans="1:8">
      <c r="A8849" s="3">
        <v>369726</v>
      </c>
      <c r="B8849" s="7" t="s">
        <v>543</v>
      </c>
      <c r="C8849" s="87" t="s">
        <v>32</v>
      </c>
      <c r="D8849" s="6">
        <v>46341</v>
      </c>
      <c r="E8849" s="3" t="str">
        <f ca="1">IF(Tabela2[[#This Row],[Dt Venc:]]&gt;TODAY(),"Em Aberto",IF(Tabela2[[#This Row],[D/venc]]="-","Enviado",IF(Tabela2[[#This Row],[Dt Venc:]]=TODAY(),"Vence Hoje","Vencida")))</f>
        <v>Em Aberto</v>
      </c>
      <c r="F8849" s="3">
        <f ca="1">IF(G8849=1,"-",Tabela2[[#This Row],[Dt Venc:]]-TODAY())</f>
        <v>648</v>
      </c>
      <c r="G8849" s="3"/>
      <c r="H8849" s="3"/>
    </row>
    <row r="8850" spans="1:8">
      <c r="A8850" s="3">
        <v>369751</v>
      </c>
      <c r="B8850" s="7" t="s">
        <v>543</v>
      </c>
      <c r="C8850" s="87" t="s">
        <v>32</v>
      </c>
      <c r="D8850" s="6">
        <v>46341</v>
      </c>
      <c r="E8850" s="3" t="str">
        <f ca="1">IF(Tabela2[[#This Row],[Dt Venc:]]&gt;TODAY(),"Em Aberto",IF(Tabela2[[#This Row],[D/venc]]="-","Enviado",IF(Tabela2[[#This Row],[Dt Venc:]]=TODAY(),"Vence Hoje","Vencida")))</f>
        <v>Em Aberto</v>
      </c>
      <c r="F8850" s="3">
        <f ca="1">IF(G8850=1,"-",Tabela2[[#This Row],[Dt Venc:]]-TODAY())</f>
        <v>648</v>
      </c>
      <c r="G8850" s="3"/>
      <c r="H8850" s="3"/>
    </row>
    <row r="8851" spans="1:8">
      <c r="A8851" s="3">
        <v>370201</v>
      </c>
      <c r="B8851" s="7" t="s">
        <v>543</v>
      </c>
      <c r="C8851" s="87" t="s">
        <v>32</v>
      </c>
      <c r="D8851" s="6">
        <v>46341</v>
      </c>
      <c r="E8851" s="3" t="str">
        <f ca="1">IF(Tabela2[[#This Row],[Dt Venc:]]&gt;TODAY(),"Em Aberto",IF(Tabela2[[#This Row],[D/venc]]="-","Enviado",IF(Tabela2[[#This Row],[Dt Venc:]]=TODAY(),"Vence Hoje","Vencida")))</f>
        <v>Em Aberto</v>
      </c>
      <c r="F8851" s="3">
        <f ca="1">IF(G8851=1,"-",Tabela2[[#This Row],[Dt Venc:]]-TODAY())</f>
        <v>648</v>
      </c>
      <c r="G8851" s="3"/>
      <c r="H8851" s="3"/>
    </row>
    <row r="8852" spans="1:8">
      <c r="A8852" s="3">
        <v>370864</v>
      </c>
      <c r="B8852" s="7" t="s">
        <v>543</v>
      </c>
      <c r="C8852" s="87" t="s">
        <v>32</v>
      </c>
      <c r="D8852" s="6">
        <v>46341</v>
      </c>
      <c r="E8852" s="3" t="str">
        <f ca="1">IF(Tabela2[[#This Row],[Dt Venc:]]&gt;TODAY(),"Em Aberto",IF(Tabela2[[#This Row],[D/venc]]="-","Enviado",IF(Tabela2[[#This Row],[Dt Venc:]]=TODAY(),"Vence Hoje","Vencida")))</f>
        <v>Em Aberto</v>
      </c>
      <c r="F8852" s="3">
        <f ca="1">IF(G8852=1,"-",Tabela2[[#This Row],[Dt Venc:]]-TODAY())</f>
        <v>648</v>
      </c>
      <c r="G8852" s="3"/>
      <c r="H8852" s="3"/>
    </row>
    <row r="8853" spans="1:8">
      <c r="A8853" s="3">
        <v>371011</v>
      </c>
      <c r="B8853" s="7" t="s">
        <v>633</v>
      </c>
      <c r="C8853" s="87" t="s">
        <v>32</v>
      </c>
      <c r="D8853" s="6">
        <v>46341</v>
      </c>
      <c r="E8853" s="3" t="str">
        <f ca="1">IF(Tabela2[[#This Row],[Dt Venc:]]&gt;TODAY(),"Em Aberto",IF(Tabela2[[#This Row],[D/venc]]="-","Enviado",IF(Tabela2[[#This Row],[Dt Venc:]]=TODAY(),"Vence Hoje","Vencida")))</f>
        <v>Em Aberto</v>
      </c>
      <c r="F8853" s="3">
        <f ca="1">IF(G8853=1,"-",Tabela2[[#This Row],[Dt Venc:]]-TODAY())</f>
        <v>648</v>
      </c>
      <c r="G8853" s="3"/>
      <c r="H8853" s="3"/>
    </row>
    <row r="8854" spans="1:8">
      <c r="A8854" s="3">
        <v>371160</v>
      </c>
      <c r="B8854" s="7" t="s">
        <v>633</v>
      </c>
      <c r="C8854" s="87" t="s">
        <v>32</v>
      </c>
      <c r="D8854" s="6">
        <v>46341</v>
      </c>
      <c r="E8854" s="3" t="str">
        <f ca="1">IF(Tabela2[[#This Row],[Dt Venc:]]&gt;TODAY(),"Em Aberto",IF(Tabela2[[#This Row],[D/venc]]="-","Enviado",IF(Tabela2[[#This Row],[Dt Venc:]]=TODAY(),"Vence Hoje","Vencida")))</f>
        <v>Em Aberto</v>
      </c>
      <c r="F8854" s="3">
        <f ca="1">IF(G8854=1,"-",Tabela2[[#This Row],[Dt Venc:]]-TODAY())</f>
        <v>648</v>
      </c>
      <c r="G8854" s="3"/>
      <c r="H8854" s="3"/>
    </row>
    <row r="8855" spans="1:8">
      <c r="A8855" s="3">
        <v>892178</v>
      </c>
      <c r="B8855" s="7" t="s">
        <v>253</v>
      </c>
      <c r="C8855" s="100" t="s">
        <v>32</v>
      </c>
      <c r="D8855" s="6">
        <v>46341</v>
      </c>
      <c r="E8855" s="3" t="str">
        <f ca="1">IF(Tabela2[[#This Row],[Dt Venc:]]&gt;TODAY(),"Em Aberto",IF(Tabela2[[#This Row],[D/venc]]="-","Enviado",IF(Tabela2[[#This Row],[Dt Venc:]]=TODAY(),"Vence Hoje","Vencida")))</f>
        <v>Em Aberto</v>
      </c>
      <c r="F8855" s="3">
        <f ca="1">IF(G8855=1,"-",Tabela2[[#This Row],[Dt Venc:]]-TODAY())</f>
        <v>648</v>
      </c>
      <c r="G8855" s="3"/>
      <c r="H8855" s="3"/>
    </row>
    <row r="8856" spans="1:8">
      <c r="A8856" s="3">
        <v>894135</v>
      </c>
      <c r="B8856" s="7" t="s">
        <v>253</v>
      </c>
      <c r="C8856" s="100" t="s">
        <v>32</v>
      </c>
      <c r="D8856" s="6">
        <v>46341</v>
      </c>
      <c r="E8856" s="3" t="str">
        <f ca="1">IF(Tabela2[[#This Row],[Dt Venc:]]&gt;TODAY(),"Em Aberto",IF(Tabela2[[#This Row],[D/venc]]="-","Enviado",IF(Tabela2[[#This Row],[Dt Venc:]]=TODAY(),"Vence Hoje","Vencida")))</f>
        <v>Em Aberto</v>
      </c>
      <c r="F8856" s="3">
        <f ca="1">IF(G8856=1,"-",Tabela2[[#This Row],[Dt Venc:]]-TODAY())</f>
        <v>648</v>
      </c>
      <c r="G8856" s="3"/>
      <c r="H8856" s="3"/>
    </row>
    <row r="8857" spans="1:8">
      <c r="A8857" s="3">
        <v>896565</v>
      </c>
      <c r="B8857" s="7" t="s">
        <v>253</v>
      </c>
      <c r="C8857" s="100" t="s">
        <v>32</v>
      </c>
      <c r="D8857" s="6">
        <v>46341</v>
      </c>
      <c r="E8857" s="3" t="str">
        <f ca="1">IF(Tabela2[[#This Row],[Dt Venc:]]&gt;TODAY(),"Em Aberto",IF(Tabela2[[#This Row],[D/venc]]="-","Enviado",IF(Tabela2[[#This Row],[Dt Venc:]]=TODAY(),"Vence Hoje","Vencida")))</f>
        <v>Em Aberto</v>
      </c>
      <c r="F8857" s="3">
        <f ca="1">IF(G8857=1,"-",Tabela2[[#This Row],[Dt Venc:]]-TODAY())</f>
        <v>648</v>
      </c>
      <c r="G8857" s="3"/>
      <c r="H8857" s="3"/>
    </row>
    <row r="8858" spans="1:8">
      <c r="A8858" s="3">
        <v>900386</v>
      </c>
      <c r="B8858" s="7" t="s">
        <v>253</v>
      </c>
      <c r="C8858" s="100" t="s">
        <v>32</v>
      </c>
      <c r="D8858" s="6">
        <v>46341</v>
      </c>
      <c r="E8858" s="3" t="str">
        <f ca="1">IF(Tabela2[[#This Row],[Dt Venc:]]&gt;TODAY(),"Em Aberto",IF(Tabela2[[#This Row],[D/venc]]="-","Enviado",IF(Tabela2[[#This Row],[Dt Venc:]]=TODAY(),"Vence Hoje","Vencida")))</f>
        <v>Em Aberto</v>
      </c>
      <c r="F8858" s="3">
        <f ca="1">IF(G8858=1,"-",Tabela2[[#This Row],[Dt Venc:]]-TODAY())</f>
        <v>648</v>
      </c>
      <c r="G8858" s="3"/>
      <c r="H8858" s="3"/>
    </row>
    <row r="8859" spans="1:8">
      <c r="A8859" s="3">
        <v>901787</v>
      </c>
      <c r="B8859" s="7" t="s">
        <v>253</v>
      </c>
      <c r="C8859" s="100" t="s">
        <v>32</v>
      </c>
      <c r="D8859" s="6">
        <v>46341</v>
      </c>
      <c r="E8859" s="3" t="str">
        <f ca="1">IF(Tabela2[[#This Row],[Dt Venc:]]&gt;TODAY(),"Em Aberto",IF(Tabela2[[#This Row],[D/venc]]="-","Enviado",IF(Tabela2[[#This Row],[Dt Venc:]]=TODAY(),"Vence Hoje","Vencida")))</f>
        <v>Em Aberto</v>
      </c>
      <c r="F8859" s="3">
        <f ca="1">IF(G8859=1,"-",Tabela2[[#This Row],[Dt Venc:]]-TODAY())</f>
        <v>648</v>
      </c>
      <c r="G8859" s="3"/>
      <c r="H8859" s="3"/>
    </row>
    <row r="8860" spans="1:8">
      <c r="A8860" s="3">
        <v>901788</v>
      </c>
      <c r="B8860" s="7" t="s">
        <v>253</v>
      </c>
      <c r="C8860" s="100" t="s">
        <v>32</v>
      </c>
      <c r="D8860" s="6">
        <v>46341</v>
      </c>
      <c r="E8860" s="3" t="str">
        <f ca="1">IF(Tabela2[[#This Row],[Dt Venc:]]&gt;TODAY(),"Em Aberto",IF(Tabela2[[#This Row],[D/venc]]="-","Enviado",IF(Tabela2[[#This Row],[Dt Venc:]]=TODAY(),"Vence Hoje","Vencida")))</f>
        <v>Em Aberto</v>
      </c>
      <c r="F8860" s="3">
        <f ca="1">IF(G8860=1,"-",Tabela2[[#This Row],[Dt Venc:]]-TODAY())</f>
        <v>648</v>
      </c>
      <c r="G8860" s="3"/>
      <c r="H8860" s="3"/>
    </row>
    <row r="8861" spans="1:8">
      <c r="A8861" s="3">
        <v>901789</v>
      </c>
      <c r="B8861" s="7" t="s">
        <v>253</v>
      </c>
      <c r="C8861" s="100" t="s">
        <v>32</v>
      </c>
      <c r="D8861" s="6">
        <v>46341</v>
      </c>
      <c r="E8861" s="3" t="str">
        <f ca="1">IF(Tabela2[[#This Row],[Dt Venc:]]&gt;TODAY(),"Em Aberto",IF(Tabela2[[#This Row],[D/venc]]="-","Enviado",IF(Tabela2[[#This Row],[Dt Venc:]]=TODAY(),"Vence Hoje","Vencida")))</f>
        <v>Em Aberto</v>
      </c>
      <c r="F8861" s="3">
        <f ca="1">IF(G8861=1,"-",Tabela2[[#This Row],[Dt Venc:]]-TODAY())</f>
        <v>648</v>
      </c>
      <c r="G8861" s="3"/>
      <c r="H8861" s="3"/>
    </row>
    <row r="8862" spans="1:8">
      <c r="A8862" s="3">
        <v>912703</v>
      </c>
      <c r="B8862" s="7" t="s">
        <v>253</v>
      </c>
      <c r="C8862" s="100" t="s">
        <v>32</v>
      </c>
      <c r="D8862" s="6">
        <v>46341</v>
      </c>
      <c r="E8862" s="3" t="str">
        <f ca="1">IF(Tabela2[[#This Row],[Dt Venc:]]&gt;TODAY(),"Em Aberto",IF(Tabela2[[#This Row],[D/venc]]="-","Enviado",IF(Tabela2[[#This Row],[Dt Venc:]]=TODAY(),"Vence Hoje","Vencida")))</f>
        <v>Em Aberto</v>
      </c>
      <c r="F8862" s="3">
        <f ca="1">IF(G8862=1,"-",Tabela2[[#This Row],[Dt Venc:]]-TODAY())</f>
        <v>648</v>
      </c>
      <c r="G8862" s="3"/>
      <c r="H8862" s="3"/>
    </row>
    <row r="8863" spans="1:8">
      <c r="A8863" s="3">
        <v>912704</v>
      </c>
      <c r="B8863" s="7" t="s">
        <v>253</v>
      </c>
      <c r="C8863" s="100" t="s">
        <v>32</v>
      </c>
      <c r="D8863" s="6">
        <v>46341</v>
      </c>
      <c r="E8863" s="3" t="str">
        <f ca="1">IF(Tabela2[[#This Row],[Dt Venc:]]&gt;TODAY(),"Em Aberto",IF(Tabela2[[#This Row],[D/venc]]="-","Enviado",IF(Tabela2[[#This Row],[Dt Venc:]]=TODAY(),"Vence Hoje","Vencida")))</f>
        <v>Em Aberto</v>
      </c>
      <c r="F8863" s="3">
        <f ca="1">IF(G8863=1,"-",Tabela2[[#This Row],[Dt Venc:]]-TODAY())</f>
        <v>648</v>
      </c>
      <c r="G8863" s="3"/>
      <c r="H8863" s="3"/>
    </row>
    <row r="8864" spans="1:8">
      <c r="A8864" s="3">
        <v>919728</v>
      </c>
      <c r="B8864" s="7" t="s">
        <v>253</v>
      </c>
      <c r="C8864" s="87" t="s">
        <v>32</v>
      </c>
      <c r="D8864" s="6">
        <v>46341</v>
      </c>
      <c r="E8864" s="3" t="str">
        <f ca="1">IF(Tabela2[[#This Row],[Dt Venc:]]&gt;TODAY(),"Em Aberto",IF(Tabela2[[#This Row],[D/venc]]="-","Enviado",IF(Tabela2[[#This Row],[Dt Venc:]]=TODAY(),"Vence Hoje","Vencida")))</f>
        <v>Em Aberto</v>
      </c>
      <c r="F8864" s="3">
        <f ca="1">IF(G8864=1,"-",Tabela2[[#This Row],[Dt Venc:]]-TODAY())</f>
        <v>648</v>
      </c>
      <c r="G8864" s="3"/>
      <c r="H8864" s="3"/>
    </row>
    <row r="8865" spans="1:8">
      <c r="A8865" s="3">
        <v>919729</v>
      </c>
      <c r="B8865" s="7" t="s">
        <v>253</v>
      </c>
      <c r="C8865" s="87" t="s">
        <v>32</v>
      </c>
      <c r="D8865" s="6">
        <v>46341</v>
      </c>
      <c r="E8865" s="3" t="str">
        <f ca="1">IF(Tabela2[[#This Row],[Dt Venc:]]&gt;TODAY(),"Em Aberto",IF(Tabela2[[#This Row],[D/venc]]="-","Enviado",IF(Tabela2[[#This Row],[Dt Venc:]]=TODAY(),"Vence Hoje","Vencida")))</f>
        <v>Em Aberto</v>
      </c>
      <c r="F8865" s="3">
        <f ca="1">IF(G8865=1,"-",Tabela2[[#This Row],[Dt Venc:]]-TODAY())</f>
        <v>648</v>
      </c>
      <c r="G8865" s="3"/>
      <c r="H8865" s="3"/>
    </row>
    <row r="8866" spans="1:8">
      <c r="A8866" s="3">
        <v>37348</v>
      </c>
      <c r="B8866" s="7" t="s">
        <v>167</v>
      </c>
      <c r="C8866" s="100" t="s">
        <v>32</v>
      </c>
      <c r="D8866" s="6">
        <v>46348</v>
      </c>
      <c r="E8866" s="3" t="str">
        <f ca="1">IF(Tabela2[[#This Row],[Dt Venc:]]&gt;TODAY(),"Em Aberto",IF(Tabela2[[#This Row],[D/venc]]="-","Enviado",IF(Tabela2[[#This Row],[Dt Venc:]]=TODAY(),"Vence Hoje","Vencida")))</f>
        <v>Em Aberto</v>
      </c>
      <c r="F8866" s="3">
        <f ca="1">IF(G8866=1,"-",Tabela2[[#This Row],[Dt Venc:]]-TODAY())</f>
        <v>655</v>
      </c>
      <c r="G8866" s="3"/>
      <c r="H8866" s="3"/>
    </row>
    <row r="8867" spans="1:8">
      <c r="A8867" s="3">
        <v>495914</v>
      </c>
      <c r="B8867" s="7" t="s">
        <v>153</v>
      </c>
      <c r="C8867" s="100" t="s">
        <v>32</v>
      </c>
      <c r="D8867" s="6">
        <v>46351</v>
      </c>
      <c r="E8867" s="3" t="str">
        <f ca="1">IF(Tabela2[[#This Row],[Dt Venc:]]&gt;TODAY(),"Em Aberto",IF(Tabela2[[#This Row],[D/venc]]="-","Enviado",IF(Tabela2[[#This Row],[Dt Venc:]]=TODAY(),"Vence Hoje","Vencida")))</f>
        <v>Em Aberto</v>
      </c>
      <c r="F8867" s="3">
        <f ca="1">IF(G8867=1,"-",Tabela2[[#This Row],[Dt Venc:]]-TODAY())</f>
        <v>658</v>
      </c>
      <c r="G8867" s="3"/>
      <c r="H8867" s="3"/>
    </row>
    <row r="8868" spans="1:8">
      <c r="A8868" s="3">
        <v>5690</v>
      </c>
      <c r="B8868" s="7" t="s">
        <v>122</v>
      </c>
      <c r="C8868" s="100" t="s">
        <v>32</v>
      </c>
      <c r="D8868" s="6">
        <v>46353</v>
      </c>
      <c r="E8868" s="3" t="str">
        <f ca="1">IF(Tabela2[[#This Row],[Dt Venc:]]&gt;TODAY(),"Em Aberto",IF(Tabela2[[#This Row],[D/venc]]="-","Enviado",IF(Tabela2[[#This Row],[Dt Venc:]]=TODAY(),"Vence Hoje","Vencida")))</f>
        <v>Em Aberto</v>
      </c>
      <c r="F8868" s="3">
        <f ca="1">IF(G8868=1,"-",Tabela2[[#This Row],[Dt Venc:]]-TODAY())</f>
        <v>660</v>
      </c>
      <c r="G8868" s="3"/>
      <c r="H8868" s="3"/>
    </row>
    <row r="8869" spans="1:8">
      <c r="A8869" s="3">
        <v>11681</v>
      </c>
      <c r="B8869" s="7" t="s">
        <v>82</v>
      </c>
      <c r="C8869" s="87" t="s">
        <v>30</v>
      </c>
      <c r="D8869" s="6">
        <v>46356</v>
      </c>
      <c r="E8869" s="3" t="str">
        <f ca="1">IF(Tabela2[[#This Row],[Dt Venc:]]&gt;TODAY(),"Em Aberto",IF(Tabela2[[#This Row],[D/venc]]="-","Enviado",IF(Tabela2[[#This Row],[Dt Venc:]]=TODAY(),"Vence Hoje","Vencida")))</f>
        <v>Em Aberto</v>
      </c>
      <c r="F8869" s="3">
        <f ca="1">IF(G8869=1,"-",Tabela2[[#This Row],[Dt Venc:]]-TODAY())</f>
        <v>663</v>
      </c>
      <c r="G8869" s="3"/>
      <c r="H8869" s="3"/>
    </row>
    <row r="8870" spans="1:8">
      <c r="A8870" s="3" t="s">
        <v>28</v>
      </c>
      <c r="B8870" s="7" t="s">
        <v>391</v>
      </c>
      <c r="C8870" s="85" t="s">
        <v>30</v>
      </c>
      <c r="D8870" s="6">
        <v>46356</v>
      </c>
      <c r="E8870" s="3" t="str">
        <f ca="1">IF(Tabela2[[#This Row],[Dt Venc:]]&gt;TODAY(),"Em Aberto",IF(Tabela2[[#This Row],[D/venc]]="-","Enviado",IF(Tabela2[[#This Row],[Dt Venc:]]=TODAY(),"Vence Hoje","Vencida")))</f>
        <v>Em Aberto</v>
      </c>
      <c r="F8870" s="3">
        <f ca="1">IF(G8870=1,"-",Tabela2[[#This Row],[Dt Venc:]]-TODAY())</f>
        <v>663</v>
      </c>
      <c r="G8870" s="3"/>
      <c r="H8870" s="3"/>
    </row>
    <row r="8871" spans="1:8">
      <c r="A8871" s="3">
        <v>36910</v>
      </c>
      <c r="B8871" s="7" t="s">
        <v>167</v>
      </c>
      <c r="C8871" s="100" t="s">
        <v>32</v>
      </c>
      <c r="D8871" s="6">
        <v>46357</v>
      </c>
      <c r="E8871" s="3" t="str">
        <f ca="1">IF(Tabela2[[#This Row],[Dt Venc:]]&gt;TODAY(),"Em Aberto",IF(Tabela2[[#This Row],[D/venc]]="-","Enviado",IF(Tabela2[[#This Row],[Dt Venc:]]=TODAY(),"Vence Hoje","Vencida")))</f>
        <v>Em Aberto</v>
      </c>
      <c r="F8871" s="3">
        <f ca="1">IF(G8871=1,"-",Tabela2[[#This Row],[Dt Venc:]]-TODAY())</f>
        <v>664</v>
      </c>
      <c r="G8871" s="3"/>
      <c r="H8871" s="3"/>
    </row>
    <row r="8872" spans="1:8">
      <c r="A8872" s="3">
        <v>10494</v>
      </c>
      <c r="B8872" s="7" t="s">
        <v>82</v>
      </c>
      <c r="C8872" s="88" t="s">
        <v>30</v>
      </c>
      <c r="D8872" s="6">
        <v>46359</v>
      </c>
      <c r="E8872" s="3" t="str">
        <f ca="1">IF(Tabela2[[#This Row],[Dt Venc:]]&gt;TODAY(),"Em Aberto",IF(Tabela2[[#This Row],[D/venc]]="-","Enviado",IF(Tabela2[[#This Row],[Dt Venc:]]=TODAY(),"Vence Hoje","Vencida")))</f>
        <v>Em Aberto</v>
      </c>
      <c r="F8872" s="3">
        <f ca="1">IF(G8872=1,"-",Tabela2[[#This Row],[Dt Venc:]]-TODAY())</f>
        <v>666</v>
      </c>
      <c r="G8872" s="3"/>
      <c r="H8872" s="3"/>
    </row>
    <row r="8873" spans="1:8">
      <c r="A8873" s="3">
        <v>5680</v>
      </c>
      <c r="B8873" s="7" t="s">
        <v>122</v>
      </c>
      <c r="C8873" s="99" t="s">
        <v>32</v>
      </c>
      <c r="D8873" s="6">
        <v>46361</v>
      </c>
      <c r="E8873" s="3" t="str">
        <f ca="1">IF(Tabela2[[#This Row],[Dt Venc:]]&gt;TODAY(),"Em Aberto",IF(Tabela2[[#This Row],[D/venc]]="-","Enviado",IF(Tabela2[[#This Row],[Dt Venc:]]=TODAY(),"Vence Hoje","Vencida")))</f>
        <v>Em Aberto</v>
      </c>
      <c r="F8873" s="3">
        <f ca="1">IF(G8873=1,"-",Tabela2[[#This Row],[Dt Venc:]]-TODAY())</f>
        <v>668</v>
      </c>
      <c r="G8873" s="3"/>
      <c r="H8873" s="3"/>
    </row>
    <row r="8874" spans="1:8">
      <c r="A8874" s="3">
        <v>10353</v>
      </c>
      <c r="B8874" s="7" t="s">
        <v>82</v>
      </c>
      <c r="C8874" s="100" t="s">
        <v>32</v>
      </c>
      <c r="D8874" s="6">
        <v>46361</v>
      </c>
      <c r="E8874" s="3" t="str">
        <f ca="1">IF(Tabela2[[#This Row],[Dt Venc:]]&gt;TODAY(),"Em Aberto",IF(Tabela2[[#This Row],[D/venc]]="-","Enviado",IF(Tabela2[[#This Row],[Dt Venc:]]=TODAY(),"Vence Hoje","Vencida")))</f>
        <v>Em Aberto</v>
      </c>
      <c r="F8874" s="3">
        <f ca="1">IF(G8874=1,"-",Tabela2[[#This Row],[Dt Venc:]]-TODAY())</f>
        <v>668</v>
      </c>
      <c r="G8874" s="3"/>
      <c r="H8874" s="3"/>
    </row>
    <row r="8875" spans="1:8">
      <c r="A8875" s="3">
        <v>284620</v>
      </c>
      <c r="B8875" s="7" t="s">
        <v>153</v>
      </c>
      <c r="C8875" s="100" t="s">
        <v>32</v>
      </c>
      <c r="D8875" s="6">
        <v>46364</v>
      </c>
      <c r="E8875" s="3" t="str">
        <f ca="1">IF(Tabela2[[#This Row],[Dt Venc:]]&gt;TODAY(),"Em Aberto",IF(Tabela2[[#This Row],[D/venc]]="-","Enviado",IF(Tabela2[[#This Row],[Dt Venc:]]=TODAY(),"Vence Hoje","Vencida")))</f>
        <v>Em Aberto</v>
      </c>
      <c r="F8875" s="3">
        <f ca="1">IF(G8875=1,"-",Tabela2[[#This Row],[Dt Venc:]]-TODAY())</f>
        <v>671</v>
      </c>
      <c r="G8875" s="3"/>
      <c r="H8875" s="3"/>
    </row>
    <row r="8876" spans="1:8">
      <c r="A8876" s="3">
        <v>36949</v>
      </c>
      <c r="B8876" s="7" t="s">
        <v>167</v>
      </c>
      <c r="C8876" s="100" t="s">
        <v>32</v>
      </c>
      <c r="D8876" s="6">
        <v>46365</v>
      </c>
      <c r="E8876" s="3" t="str">
        <f ca="1">IF(Tabela2[[#This Row],[Dt Venc:]]&gt;TODAY(),"Em Aberto",IF(Tabela2[[#This Row],[D/venc]]="-","Enviado",IF(Tabela2[[#This Row],[Dt Venc:]]=TODAY(),"Vence Hoje","Vencida")))</f>
        <v>Em Aberto</v>
      </c>
      <c r="F8876" s="3">
        <f ca="1">IF(G8876=1,"-",Tabela2[[#This Row],[Dt Venc:]]-TODAY())</f>
        <v>672</v>
      </c>
      <c r="G8876" s="3"/>
      <c r="H8876" s="3"/>
    </row>
    <row r="8877" spans="1:8">
      <c r="A8877" s="3">
        <v>756561</v>
      </c>
      <c r="B8877" s="7" t="s">
        <v>166</v>
      </c>
      <c r="C8877" s="100" t="s">
        <v>32</v>
      </c>
      <c r="D8877" s="6">
        <v>46365</v>
      </c>
      <c r="E8877" s="3" t="str">
        <f ca="1">IF(Tabela2[[#This Row],[Dt Venc:]]&gt;TODAY(),"Em Aberto",IF(Tabela2[[#This Row],[D/venc]]="-","Enviado",IF(Tabela2[[#This Row],[Dt Venc:]]=TODAY(),"Vence Hoje","Vencida")))</f>
        <v>Em Aberto</v>
      </c>
      <c r="F8877" s="3">
        <f ca="1">IF(G8877=1,"-",Tabela2[[#This Row],[Dt Venc:]]-TODAY())</f>
        <v>672</v>
      </c>
      <c r="G8877" s="3"/>
      <c r="H8877" s="3"/>
    </row>
    <row r="8878" spans="1:8">
      <c r="A8878" s="3">
        <v>562</v>
      </c>
      <c r="B8878" s="7" t="s">
        <v>251</v>
      </c>
      <c r="C8878" s="100" t="s">
        <v>32</v>
      </c>
      <c r="D8878" s="6">
        <v>46371</v>
      </c>
      <c r="E8878" s="3" t="str">
        <f ca="1">IF(Tabela2[[#This Row],[Dt Venc:]]&gt;TODAY(),"Em Aberto",IF(Tabela2[[#This Row],[D/venc]]="-","Enviado",IF(Tabela2[[#This Row],[Dt Venc:]]=TODAY(),"Vence Hoje","Vencida")))</f>
        <v>Em Aberto</v>
      </c>
      <c r="F8878" s="3">
        <f ca="1">IF(G8878=1,"-",Tabela2[[#This Row],[Dt Venc:]]-TODAY())</f>
        <v>678</v>
      </c>
      <c r="G8878" s="3"/>
      <c r="H8878" s="3"/>
    </row>
    <row r="8879" spans="1:8">
      <c r="A8879" s="3">
        <v>103015</v>
      </c>
      <c r="B8879" s="7" t="s">
        <v>252</v>
      </c>
      <c r="C8879" s="100" t="s">
        <v>32</v>
      </c>
      <c r="D8879" s="6">
        <v>46371</v>
      </c>
      <c r="E8879" s="3" t="str">
        <f ca="1">IF(Tabela2[[#This Row],[Dt Venc:]]&gt;TODAY(),"Em Aberto",IF(Tabela2[[#This Row],[D/venc]]="-","Enviado",IF(Tabela2[[#This Row],[Dt Venc:]]=TODAY(),"Vence Hoje","Vencida")))</f>
        <v>Em Aberto</v>
      </c>
      <c r="F8879" s="3">
        <f ca="1">IF(G8879=1,"-",Tabela2[[#This Row],[Dt Venc:]]-TODAY())</f>
        <v>678</v>
      </c>
      <c r="G8879" s="3"/>
      <c r="H8879" s="3"/>
    </row>
    <row r="8880" spans="1:8">
      <c r="A8880" s="3">
        <v>103077</v>
      </c>
      <c r="B8880" s="7" t="s">
        <v>252</v>
      </c>
      <c r="C8880" s="100" t="s">
        <v>32</v>
      </c>
      <c r="D8880" s="6">
        <v>46371</v>
      </c>
      <c r="E8880" s="3" t="str">
        <f ca="1">IF(Tabela2[[#This Row],[Dt Venc:]]&gt;TODAY(),"Em Aberto",IF(Tabela2[[#This Row],[D/venc]]="-","Enviado",IF(Tabela2[[#This Row],[Dt Venc:]]=TODAY(),"Vence Hoje","Vencida")))</f>
        <v>Em Aberto</v>
      </c>
      <c r="F8880" s="3">
        <f ca="1">IF(G8880=1,"-",Tabela2[[#This Row],[Dt Venc:]]-TODAY())</f>
        <v>678</v>
      </c>
      <c r="G8880" s="3"/>
      <c r="H8880" s="3"/>
    </row>
    <row r="8881" spans="1:8">
      <c r="A8881" s="3">
        <v>103153</v>
      </c>
      <c r="B8881" s="7" t="s">
        <v>252</v>
      </c>
      <c r="C8881" s="87" t="s">
        <v>32</v>
      </c>
      <c r="D8881" s="6">
        <v>46371</v>
      </c>
      <c r="E8881" s="3" t="str">
        <f ca="1">IF(Tabela2[[#This Row],[Dt Venc:]]&gt;TODAY(),"Em Aberto",IF(Tabela2[[#This Row],[D/venc]]="-","Enviado",IF(Tabela2[[#This Row],[Dt Venc:]]=TODAY(),"Vence Hoje","Vencida")))</f>
        <v>Em Aberto</v>
      </c>
      <c r="F8881" s="3">
        <f ca="1">IF(G8881=1,"-",Tabela2[[#This Row],[Dt Venc:]]-TODAY())</f>
        <v>678</v>
      </c>
      <c r="G8881" s="3"/>
      <c r="H8881" s="3"/>
    </row>
    <row r="8882" spans="1:8">
      <c r="A8882" s="3">
        <v>103154</v>
      </c>
      <c r="B8882" s="7" t="s">
        <v>252</v>
      </c>
      <c r="C8882" s="100" t="s">
        <v>32</v>
      </c>
      <c r="D8882" s="6">
        <v>46371</v>
      </c>
      <c r="E8882" s="3" t="str">
        <f ca="1">IF(Tabela2[[#This Row],[Dt Venc:]]&gt;TODAY(),"Em Aberto",IF(Tabela2[[#This Row],[D/venc]]="-","Enviado",IF(Tabela2[[#This Row],[Dt Venc:]]=TODAY(),"Vence Hoje","Vencida")))</f>
        <v>Em Aberto</v>
      </c>
      <c r="F8882" s="3">
        <f ca="1">IF(G8882=1,"-",Tabela2[[#This Row],[Dt Venc:]]-TODAY())</f>
        <v>678</v>
      </c>
      <c r="G8882" s="3"/>
      <c r="H8882" s="3"/>
    </row>
    <row r="8883" spans="1:8">
      <c r="A8883" s="3">
        <v>106007</v>
      </c>
      <c r="B8883" s="7" t="s">
        <v>252</v>
      </c>
      <c r="C8883" s="100" t="s">
        <v>32</v>
      </c>
      <c r="D8883" s="6">
        <v>46371</v>
      </c>
      <c r="E8883" s="3" t="str">
        <f ca="1">IF(Tabela2[[#This Row],[Dt Venc:]]&gt;TODAY(),"Em Aberto",IF(Tabela2[[#This Row],[D/venc]]="-","Enviado",IF(Tabela2[[#This Row],[Dt Venc:]]=TODAY(),"Vence Hoje","Vencida")))</f>
        <v>Em Aberto</v>
      </c>
      <c r="F8883" s="3">
        <f ca="1">IF(G8883=1,"-",Tabela2[[#This Row],[Dt Venc:]]-TODAY())</f>
        <v>678</v>
      </c>
      <c r="G8883" s="3"/>
      <c r="H8883" s="3"/>
    </row>
    <row r="8884" spans="1:8">
      <c r="A8884" s="3">
        <v>106043</v>
      </c>
      <c r="B8884" s="7" t="s">
        <v>252</v>
      </c>
      <c r="C8884" s="100" t="s">
        <v>32</v>
      </c>
      <c r="D8884" s="6">
        <v>46371</v>
      </c>
      <c r="E8884" s="3" t="str">
        <f ca="1">IF(Tabela2[[#This Row],[Dt Venc:]]&gt;TODAY(),"Em Aberto",IF(Tabela2[[#This Row],[D/venc]]="-","Enviado",IF(Tabela2[[#This Row],[Dt Venc:]]=TODAY(),"Vence Hoje","Vencida")))</f>
        <v>Em Aberto</v>
      </c>
      <c r="F8884" s="3">
        <f ca="1">IF(G8884=1,"-",Tabela2[[#This Row],[Dt Venc:]]-TODAY())</f>
        <v>678</v>
      </c>
      <c r="G8884" s="3"/>
      <c r="H8884" s="3"/>
    </row>
    <row r="8885" spans="1:8">
      <c r="A8885" s="3">
        <v>107829</v>
      </c>
      <c r="B8885" s="7" t="s">
        <v>252</v>
      </c>
      <c r="C8885" s="100" t="s">
        <v>32</v>
      </c>
      <c r="D8885" s="6">
        <v>46371</v>
      </c>
      <c r="E8885" s="3" t="str">
        <f ca="1">IF(Tabela2[[#This Row],[Dt Venc:]]&gt;TODAY(),"Em Aberto",IF(Tabela2[[#This Row],[D/venc]]="-","Enviado",IF(Tabela2[[#This Row],[Dt Venc:]]=TODAY(),"Vence Hoje","Vencida")))</f>
        <v>Em Aberto</v>
      </c>
      <c r="F8885" s="3">
        <f ca="1">IF(G8885=1,"-",Tabela2[[#This Row],[Dt Venc:]]-TODAY())</f>
        <v>678</v>
      </c>
      <c r="G8885" s="3"/>
      <c r="H8885" s="3"/>
    </row>
    <row r="8886" spans="1:8">
      <c r="A8886" s="3">
        <v>107830</v>
      </c>
      <c r="B8886" s="7" t="s">
        <v>252</v>
      </c>
      <c r="C8886" s="87" t="s">
        <v>32</v>
      </c>
      <c r="D8886" s="6">
        <v>46371</v>
      </c>
      <c r="E8886" s="3" t="str">
        <f ca="1">IF(Tabela2[[#This Row],[Dt Venc:]]&gt;TODAY(),"Em Aberto",IF(Tabela2[[#This Row],[D/venc]]="-","Enviado",IF(Tabela2[[#This Row],[Dt Venc:]]=TODAY(),"Vence Hoje","Vencida")))</f>
        <v>Em Aberto</v>
      </c>
      <c r="F8886" s="3">
        <f ca="1">IF(G8886=1,"-",Tabela2[[#This Row],[Dt Venc:]]-TODAY())</f>
        <v>678</v>
      </c>
      <c r="G8886" s="3"/>
      <c r="H8886" s="3"/>
    </row>
    <row r="8887" spans="1:8">
      <c r="A8887" s="3">
        <v>107831</v>
      </c>
      <c r="B8887" s="7" t="s">
        <v>252</v>
      </c>
      <c r="C8887" s="100" t="s">
        <v>32</v>
      </c>
      <c r="D8887" s="6">
        <v>46371</v>
      </c>
      <c r="E8887" s="3" t="str">
        <f ca="1">IF(Tabela2[[#This Row],[Dt Venc:]]&gt;TODAY(),"Em Aberto",IF(Tabela2[[#This Row],[D/venc]]="-","Enviado",IF(Tabela2[[#This Row],[Dt Venc:]]=TODAY(),"Vence Hoje","Vencida")))</f>
        <v>Em Aberto</v>
      </c>
      <c r="F8887" s="3">
        <f ca="1">IF(G8887=1,"-",Tabela2[[#This Row],[Dt Venc:]]-TODAY())</f>
        <v>678</v>
      </c>
      <c r="G8887" s="3"/>
      <c r="H8887" s="3"/>
    </row>
    <row r="8888" spans="1:8">
      <c r="A8888" s="3">
        <v>107832</v>
      </c>
      <c r="B8888" s="7" t="s">
        <v>252</v>
      </c>
      <c r="C8888" s="100" t="s">
        <v>32</v>
      </c>
      <c r="D8888" s="6">
        <v>46371</v>
      </c>
      <c r="E8888" s="3" t="str">
        <f ca="1">IF(Tabela2[[#This Row],[Dt Venc:]]&gt;TODAY(),"Em Aberto",IF(Tabela2[[#This Row],[D/venc]]="-","Enviado",IF(Tabela2[[#This Row],[Dt Venc:]]=TODAY(),"Vence Hoje","Vencida")))</f>
        <v>Em Aberto</v>
      </c>
      <c r="F8888" s="3">
        <f ca="1">IF(G8888=1,"-",Tabela2[[#This Row],[Dt Venc:]]-TODAY())</f>
        <v>678</v>
      </c>
      <c r="G8888" s="3"/>
      <c r="H8888" s="3"/>
    </row>
    <row r="8889" spans="1:8">
      <c r="A8889" s="3">
        <v>361229</v>
      </c>
      <c r="B8889" s="7" t="s">
        <v>250</v>
      </c>
      <c r="C8889" s="100" t="s">
        <v>32</v>
      </c>
      <c r="D8889" s="6">
        <v>46371</v>
      </c>
      <c r="E8889" s="3" t="str">
        <f ca="1">IF(Tabela2[[#This Row],[Dt Venc:]]&gt;TODAY(),"Em Aberto",IF(Tabela2[[#This Row],[D/venc]]="-","Enviado",IF(Tabela2[[#This Row],[Dt Venc:]]=TODAY(),"Vence Hoje","Vencida")))</f>
        <v>Em Aberto</v>
      </c>
      <c r="F8889" s="3">
        <f ca="1">IF(G8889=1,"-",Tabela2[[#This Row],[Dt Venc:]]-TODAY())</f>
        <v>678</v>
      </c>
      <c r="G8889" s="3"/>
      <c r="H8889" s="3"/>
    </row>
    <row r="8890" spans="1:8">
      <c r="A8890" s="3">
        <v>361237</v>
      </c>
      <c r="B8890" s="7" t="s">
        <v>250</v>
      </c>
      <c r="C8890" s="100" t="s">
        <v>32</v>
      </c>
      <c r="D8890" s="6">
        <v>46371</v>
      </c>
      <c r="E8890" s="3" t="str">
        <f ca="1">IF(Tabela2[[#This Row],[Dt Venc:]]&gt;TODAY(),"Em Aberto",IF(Tabela2[[#This Row],[D/venc]]="-","Enviado",IF(Tabela2[[#This Row],[Dt Venc:]]=TODAY(),"Vence Hoje","Vencida")))</f>
        <v>Em Aberto</v>
      </c>
      <c r="F8890" s="3">
        <f ca="1">IF(G8890=1,"-",Tabela2[[#This Row],[Dt Venc:]]-TODAY())</f>
        <v>678</v>
      </c>
      <c r="G8890" s="3"/>
      <c r="H8890" s="3"/>
    </row>
    <row r="8891" spans="1:8">
      <c r="A8891" s="3">
        <v>365658</v>
      </c>
      <c r="B8891" s="7" t="s">
        <v>250</v>
      </c>
      <c r="C8891" s="100" t="s">
        <v>32</v>
      </c>
      <c r="D8891" s="6">
        <v>46371</v>
      </c>
      <c r="E8891" s="3" t="str">
        <f ca="1">IF(Tabela2[[#This Row],[Dt Venc:]]&gt;TODAY(),"Em Aberto",IF(Tabela2[[#This Row],[D/venc]]="-","Enviado",IF(Tabela2[[#This Row],[Dt Venc:]]=TODAY(),"Vence Hoje","Vencida")))</f>
        <v>Em Aberto</v>
      </c>
      <c r="F8891" s="3">
        <f ca="1">IF(G8891=1,"-",Tabela2[[#This Row],[Dt Venc:]]-TODAY())</f>
        <v>678</v>
      </c>
      <c r="G8891" s="3"/>
      <c r="H8891" s="3"/>
    </row>
    <row r="8892" spans="1:8">
      <c r="A8892" s="3">
        <v>365666</v>
      </c>
      <c r="B8892" s="7" t="s">
        <v>250</v>
      </c>
      <c r="C8892" s="100" t="s">
        <v>32</v>
      </c>
      <c r="D8892" s="6">
        <v>46371</v>
      </c>
      <c r="E8892" s="3" t="str">
        <f ca="1">IF(Tabela2[[#This Row],[Dt Venc:]]&gt;TODAY(),"Em Aberto",IF(Tabela2[[#This Row],[D/venc]]="-","Enviado",IF(Tabela2[[#This Row],[Dt Venc:]]=TODAY(),"Vence Hoje","Vencida")))</f>
        <v>Em Aberto</v>
      </c>
      <c r="F8892" s="3">
        <f ca="1">IF(G8892=1,"-",Tabela2[[#This Row],[Dt Venc:]]-TODAY())</f>
        <v>678</v>
      </c>
      <c r="G8892" s="3"/>
      <c r="H8892" s="3"/>
    </row>
    <row r="8893" spans="1:8">
      <c r="A8893" s="3">
        <v>365674</v>
      </c>
      <c r="B8893" s="7" t="s">
        <v>250</v>
      </c>
      <c r="C8893" s="100" t="s">
        <v>32</v>
      </c>
      <c r="D8893" s="6">
        <v>46371</v>
      </c>
      <c r="E8893" s="3" t="str">
        <f ca="1">IF(Tabela2[[#This Row],[Dt Venc:]]&gt;TODAY(),"Em Aberto",IF(Tabela2[[#This Row],[D/venc]]="-","Enviado",IF(Tabela2[[#This Row],[Dt Venc:]]=TODAY(),"Vence Hoje","Vencida")))</f>
        <v>Em Aberto</v>
      </c>
      <c r="F8893" s="3">
        <f ca="1">IF(G8893=1,"-",Tabela2[[#This Row],[Dt Venc:]]-TODAY())</f>
        <v>678</v>
      </c>
      <c r="G8893" s="3"/>
      <c r="H8893" s="3"/>
    </row>
    <row r="8894" spans="1:8">
      <c r="A8894" s="3">
        <v>365682</v>
      </c>
      <c r="B8894" s="7" t="s">
        <v>250</v>
      </c>
      <c r="C8894" s="100" t="s">
        <v>32</v>
      </c>
      <c r="D8894" s="6">
        <v>46371</v>
      </c>
      <c r="E8894" s="3" t="str">
        <f ca="1">IF(Tabela2[[#This Row],[Dt Venc:]]&gt;TODAY(),"Em Aberto",IF(Tabela2[[#This Row],[D/venc]]="-","Enviado",IF(Tabela2[[#This Row],[Dt Venc:]]=TODAY(),"Vence Hoje","Vencida")))</f>
        <v>Em Aberto</v>
      </c>
      <c r="F8894" s="3">
        <f ca="1">IF(G8894=1,"-",Tabela2[[#This Row],[Dt Venc:]]-TODAY())</f>
        <v>678</v>
      </c>
      <c r="G8894" s="3"/>
      <c r="H8894" s="3"/>
    </row>
    <row r="8895" spans="1:8">
      <c r="A8895" s="3">
        <v>369335</v>
      </c>
      <c r="B8895" s="7" t="s">
        <v>543</v>
      </c>
      <c r="C8895" s="87" t="s">
        <v>32</v>
      </c>
      <c r="D8895" s="6">
        <v>46371</v>
      </c>
      <c r="E8895" s="3" t="str">
        <f ca="1">IF(Tabela2[[#This Row],[Dt Venc:]]&gt;TODAY(),"Em Aberto",IF(Tabela2[[#This Row],[D/venc]]="-","Enviado",IF(Tabela2[[#This Row],[Dt Venc:]]=TODAY(),"Vence Hoje","Vencida")))</f>
        <v>Em Aberto</v>
      </c>
      <c r="F8895" s="3">
        <f ca="1">IF(G8895=1,"-",Tabela2[[#This Row],[Dt Venc:]]-TODAY())</f>
        <v>678</v>
      </c>
      <c r="G8895" s="3"/>
      <c r="H8895" s="3"/>
    </row>
    <row r="8896" spans="1:8">
      <c r="A8896" s="3">
        <v>369696</v>
      </c>
      <c r="B8896" s="7" t="s">
        <v>543</v>
      </c>
      <c r="C8896" s="87" t="s">
        <v>32</v>
      </c>
      <c r="D8896" s="6">
        <v>46371</v>
      </c>
      <c r="E8896" s="3" t="str">
        <f ca="1">IF(Tabela2[[#This Row],[Dt Venc:]]&gt;TODAY(),"Em Aberto",IF(Tabela2[[#This Row],[D/venc]]="-","Enviado",IF(Tabela2[[#This Row],[Dt Venc:]]=TODAY(),"Vence Hoje","Vencida")))</f>
        <v>Em Aberto</v>
      </c>
      <c r="F8896" s="3">
        <f ca="1">IF(G8896=1,"-",Tabela2[[#This Row],[Dt Venc:]]-TODAY())</f>
        <v>678</v>
      </c>
      <c r="G8896" s="3"/>
      <c r="H8896" s="3"/>
    </row>
    <row r="8897" spans="1:8">
      <c r="A8897" s="3">
        <v>369726</v>
      </c>
      <c r="B8897" s="7" t="s">
        <v>543</v>
      </c>
      <c r="C8897" s="87" t="s">
        <v>32</v>
      </c>
      <c r="D8897" s="6">
        <v>46371</v>
      </c>
      <c r="E8897" s="3" t="str">
        <f ca="1">IF(Tabela2[[#This Row],[Dt Venc:]]&gt;TODAY(),"Em Aberto",IF(Tabela2[[#This Row],[D/venc]]="-","Enviado",IF(Tabela2[[#This Row],[Dt Venc:]]=TODAY(),"Vence Hoje","Vencida")))</f>
        <v>Em Aberto</v>
      </c>
      <c r="F8897" s="3">
        <f ca="1">IF(G8897=1,"-",Tabela2[[#This Row],[Dt Venc:]]-TODAY())</f>
        <v>678</v>
      </c>
      <c r="G8897" s="3"/>
      <c r="H8897" s="3"/>
    </row>
    <row r="8898" spans="1:8">
      <c r="A8898" s="3">
        <v>369751</v>
      </c>
      <c r="B8898" s="7" t="s">
        <v>543</v>
      </c>
      <c r="C8898" s="87" t="s">
        <v>32</v>
      </c>
      <c r="D8898" s="6">
        <v>46371</v>
      </c>
      <c r="E8898" s="3" t="str">
        <f ca="1">IF(Tabela2[[#This Row],[Dt Venc:]]&gt;TODAY(),"Em Aberto",IF(Tabela2[[#This Row],[D/venc]]="-","Enviado",IF(Tabela2[[#This Row],[Dt Venc:]]=TODAY(),"Vence Hoje","Vencida")))</f>
        <v>Em Aberto</v>
      </c>
      <c r="F8898" s="3">
        <f ca="1">IF(G8898=1,"-",Tabela2[[#This Row],[Dt Venc:]]-TODAY())</f>
        <v>678</v>
      </c>
      <c r="G8898" s="3"/>
      <c r="H8898" s="3"/>
    </row>
    <row r="8899" spans="1:8">
      <c r="A8899" s="3">
        <v>370201</v>
      </c>
      <c r="B8899" s="7" t="s">
        <v>543</v>
      </c>
      <c r="C8899" s="87" t="s">
        <v>32</v>
      </c>
      <c r="D8899" s="6">
        <v>46371</v>
      </c>
      <c r="E8899" s="3" t="str">
        <f ca="1">IF(Tabela2[[#This Row],[Dt Venc:]]&gt;TODAY(),"Em Aberto",IF(Tabela2[[#This Row],[D/venc]]="-","Enviado",IF(Tabela2[[#This Row],[Dt Venc:]]=TODAY(),"Vence Hoje","Vencida")))</f>
        <v>Em Aberto</v>
      </c>
      <c r="F8899" s="3">
        <f ca="1">IF(G8899=1,"-",Tabela2[[#This Row],[Dt Venc:]]-TODAY())</f>
        <v>678</v>
      </c>
      <c r="G8899" s="3"/>
      <c r="H8899" s="3"/>
    </row>
    <row r="8900" spans="1:8">
      <c r="A8900" s="3">
        <v>370864</v>
      </c>
      <c r="B8900" s="7" t="s">
        <v>543</v>
      </c>
      <c r="C8900" s="87" t="s">
        <v>32</v>
      </c>
      <c r="D8900" s="6">
        <v>46371</v>
      </c>
      <c r="E8900" s="3" t="str">
        <f ca="1">IF(Tabela2[[#This Row],[Dt Venc:]]&gt;TODAY(),"Em Aberto",IF(Tabela2[[#This Row],[D/venc]]="-","Enviado",IF(Tabela2[[#This Row],[Dt Venc:]]=TODAY(),"Vence Hoje","Vencida")))</f>
        <v>Em Aberto</v>
      </c>
      <c r="F8900" s="3">
        <f ca="1">IF(G8900=1,"-",Tabela2[[#This Row],[Dt Venc:]]-TODAY())</f>
        <v>678</v>
      </c>
      <c r="G8900" s="3"/>
      <c r="H8900" s="3"/>
    </row>
    <row r="8901" spans="1:8">
      <c r="A8901" s="3">
        <v>371011</v>
      </c>
      <c r="B8901" s="7" t="s">
        <v>633</v>
      </c>
      <c r="C8901" s="87" t="s">
        <v>32</v>
      </c>
      <c r="D8901" s="6">
        <v>46371</v>
      </c>
      <c r="E8901" s="3" t="str">
        <f ca="1">IF(Tabela2[[#This Row],[Dt Venc:]]&gt;TODAY(),"Em Aberto",IF(Tabela2[[#This Row],[D/venc]]="-","Enviado",IF(Tabela2[[#This Row],[Dt Venc:]]=TODAY(),"Vence Hoje","Vencida")))</f>
        <v>Em Aberto</v>
      </c>
      <c r="F8901" s="3">
        <f ca="1">IF(G8901=1,"-",Tabela2[[#This Row],[Dt Venc:]]-TODAY())</f>
        <v>678</v>
      </c>
      <c r="G8901" s="3"/>
      <c r="H8901" s="3"/>
    </row>
    <row r="8902" spans="1:8">
      <c r="A8902" s="3">
        <v>371160</v>
      </c>
      <c r="B8902" s="7" t="s">
        <v>633</v>
      </c>
      <c r="C8902" s="87" t="s">
        <v>32</v>
      </c>
      <c r="D8902" s="6">
        <v>46371</v>
      </c>
      <c r="E8902" s="3" t="str">
        <f ca="1">IF(Tabela2[[#This Row],[Dt Venc:]]&gt;TODAY(),"Em Aberto",IF(Tabela2[[#This Row],[D/venc]]="-","Enviado",IF(Tabela2[[#This Row],[Dt Venc:]]=TODAY(),"Vence Hoje","Vencida")))</f>
        <v>Em Aberto</v>
      </c>
      <c r="F8902" s="3">
        <f ca="1">IF(G8902=1,"-",Tabela2[[#This Row],[Dt Venc:]]-TODAY())</f>
        <v>678</v>
      </c>
      <c r="G8902" s="3"/>
      <c r="H8902" s="3"/>
    </row>
    <row r="8903" spans="1:8">
      <c r="A8903" s="3">
        <v>892178</v>
      </c>
      <c r="B8903" s="7" t="s">
        <v>253</v>
      </c>
      <c r="C8903" s="100" t="s">
        <v>32</v>
      </c>
      <c r="D8903" s="6">
        <v>46371</v>
      </c>
      <c r="E8903" s="3" t="str">
        <f ca="1">IF(Tabela2[[#This Row],[Dt Venc:]]&gt;TODAY(),"Em Aberto",IF(Tabela2[[#This Row],[D/venc]]="-","Enviado",IF(Tabela2[[#This Row],[Dt Venc:]]=TODAY(),"Vence Hoje","Vencida")))</f>
        <v>Em Aberto</v>
      </c>
      <c r="F8903" s="3">
        <f ca="1">IF(G8903=1,"-",Tabela2[[#This Row],[Dt Venc:]]-TODAY())</f>
        <v>678</v>
      </c>
      <c r="G8903" s="3"/>
      <c r="H8903" s="3"/>
    </row>
    <row r="8904" spans="1:8">
      <c r="A8904" s="3">
        <v>894135</v>
      </c>
      <c r="B8904" s="7" t="s">
        <v>253</v>
      </c>
      <c r="C8904" s="100" t="s">
        <v>32</v>
      </c>
      <c r="D8904" s="6">
        <v>46371</v>
      </c>
      <c r="E8904" s="3" t="str">
        <f ca="1">IF(Tabela2[[#This Row],[Dt Venc:]]&gt;TODAY(),"Em Aberto",IF(Tabela2[[#This Row],[D/venc]]="-","Enviado",IF(Tabela2[[#This Row],[Dt Venc:]]=TODAY(),"Vence Hoje","Vencida")))</f>
        <v>Em Aberto</v>
      </c>
      <c r="F8904" s="3">
        <f ca="1">IF(G8904=1,"-",Tabela2[[#This Row],[Dt Venc:]]-TODAY())</f>
        <v>678</v>
      </c>
      <c r="G8904" s="3"/>
      <c r="H8904" s="3"/>
    </row>
    <row r="8905" spans="1:8">
      <c r="A8905" s="3">
        <v>896565</v>
      </c>
      <c r="B8905" s="7" t="s">
        <v>253</v>
      </c>
      <c r="C8905" s="100" t="s">
        <v>32</v>
      </c>
      <c r="D8905" s="6">
        <v>46371</v>
      </c>
      <c r="E8905" s="3" t="str">
        <f ca="1">IF(Tabela2[[#This Row],[Dt Venc:]]&gt;TODAY(),"Em Aberto",IF(Tabela2[[#This Row],[D/venc]]="-","Enviado",IF(Tabela2[[#This Row],[Dt Venc:]]=TODAY(),"Vence Hoje","Vencida")))</f>
        <v>Em Aberto</v>
      </c>
      <c r="F8905" s="3">
        <f ca="1">IF(G8905=1,"-",Tabela2[[#This Row],[Dt Venc:]]-TODAY())</f>
        <v>678</v>
      </c>
      <c r="G8905" s="3"/>
      <c r="H8905" s="3"/>
    </row>
    <row r="8906" spans="1:8">
      <c r="A8906" s="3">
        <v>900386</v>
      </c>
      <c r="B8906" s="7" t="s">
        <v>253</v>
      </c>
      <c r="C8906" s="100" t="s">
        <v>32</v>
      </c>
      <c r="D8906" s="6">
        <v>46371</v>
      </c>
      <c r="E8906" s="3" t="str">
        <f ca="1">IF(Tabela2[[#This Row],[Dt Venc:]]&gt;TODAY(),"Em Aberto",IF(Tabela2[[#This Row],[D/venc]]="-","Enviado",IF(Tabela2[[#This Row],[Dt Venc:]]=TODAY(),"Vence Hoje","Vencida")))</f>
        <v>Em Aberto</v>
      </c>
      <c r="F8906" s="3">
        <f ca="1">IF(G8906=1,"-",Tabela2[[#This Row],[Dt Venc:]]-TODAY())</f>
        <v>678</v>
      </c>
      <c r="G8906" s="3"/>
      <c r="H8906" s="3"/>
    </row>
    <row r="8907" spans="1:8">
      <c r="A8907" s="3">
        <v>901787</v>
      </c>
      <c r="B8907" s="7" t="s">
        <v>253</v>
      </c>
      <c r="C8907" s="100" t="s">
        <v>32</v>
      </c>
      <c r="D8907" s="6">
        <v>46371</v>
      </c>
      <c r="E8907" s="3" t="str">
        <f ca="1">IF(Tabela2[[#This Row],[Dt Venc:]]&gt;TODAY(),"Em Aberto",IF(Tabela2[[#This Row],[D/venc]]="-","Enviado",IF(Tabela2[[#This Row],[Dt Venc:]]=TODAY(),"Vence Hoje","Vencida")))</f>
        <v>Em Aberto</v>
      </c>
      <c r="F8907" s="3">
        <f ca="1">IF(G8907=1,"-",Tabela2[[#This Row],[Dt Venc:]]-TODAY())</f>
        <v>678</v>
      </c>
      <c r="G8907" s="3"/>
      <c r="H8907" s="3"/>
    </row>
    <row r="8908" spans="1:8">
      <c r="A8908" s="3">
        <v>901788</v>
      </c>
      <c r="B8908" s="7" t="s">
        <v>253</v>
      </c>
      <c r="C8908" s="100" t="s">
        <v>32</v>
      </c>
      <c r="D8908" s="6">
        <v>46371</v>
      </c>
      <c r="E8908" s="3" t="str">
        <f ca="1">IF(Tabela2[[#This Row],[Dt Venc:]]&gt;TODAY(),"Em Aberto",IF(Tabela2[[#This Row],[D/venc]]="-","Enviado",IF(Tabela2[[#This Row],[Dt Venc:]]=TODAY(),"Vence Hoje","Vencida")))</f>
        <v>Em Aberto</v>
      </c>
      <c r="F8908" s="3">
        <f ca="1">IF(G8908=1,"-",Tabela2[[#This Row],[Dt Venc:]]-TODAY())</f>
        <v>678</v>
      </c>
      <c r="G8908" s="3"/>
      <c r="H8908" s="3"/>
    </row>
    <row r="8909" spans="1:8">
      <c r="A8909" s="3">
        <v>901789</v>
      </c>
      <c r="B8909" s="7" t="s">
        <v>253</v>
      </c>
      <c r="C8909" s="100" t="s">
        <v>32</v>
      </c>
      <c r="D8909" s="6">
        <v>46371</v>
      </c>
      <c r="E8909" s="3" t="str">
        <f ca="1">IF(Tabela2[[#This Row],[Dt Venc:]]&gt;TODAY(),"Em Aberto",IF(Tabela2[[#This Row],[D/venc]]="-","Enviado",IF(Tabela2[[#This Row],[Dt Venc:]]=TODAY(),"Vence Hoje","Vencida")))</f>
        <v>Em Aberto</v>
      </c>
      <c r="F8909" s="3">
        <f ca="1">IF(G8909=1,"-",Tabela2[[#This Row],[Dt Venc:]]-TODAY())</f>
        <v>678</v>
      </c>
      <c r="G8909" s="3"/>
      <c r="H8909" s="3"/>
    </row>
    <row r="8910" spans="1:8">
      <c r="A8910" s="3">
        <v>912703</v>
      </c>
      <c r="B8910" s="7" t="s">
        <v>253</v>
      </c>
      <c r="C8910" s="100" t="s">
        <v>32</v>
      </c>
      <c r="D8910" s="6">
        <v>46371</v>
      </c>
      <c r="E8910" s="3" t="str">
        <f ca="1">IF(Tabela2[[#This Row],[Dt Venc:]]&gt;TODAY(),"Em Aberto",IF(Tabela2[[#This Row],[D/venc]]="-","Enviado",IF(Tabela2[[#This Row],[Dt Venc:]]=TODAY(),"Vence Hoje","Vencida")))</f>
        <v>Em Aberto</v>
      </c>
      <c r="F8910" s="3">
        <f ca="1">IF(G8910=1,"-",Tabela2[[#This Row],[Dt Venc:]]-TODAY())</f>
        <v>678</v>
      </c>
      <c r="G8910" s="3"/>
      <c r="H8910" s="3"/>
    </row>
    <row r="8911" spans="1:8">
      <c r="A8911" s="3">
        <v>912704</v>
      </c>
      <c r="B8911" s="7" t="s">
        <v>253</v>
      </c>
      <c r="C8911" s="100" t="s">
        <v>32</v>
      </c>
      <c r="D8911" s="6">
        <v>46371</v>
      </c>
      <c r="E8911" s="3" t="str">
        <f ca="1">IF(Tabela2[[#This Row],[Dt Venc:]]&gt;TODAY(),"Em Aberto",IF(Tabela2[[#This Row],[D/venc]]="-","Enviado",IF(Tabela2[[#This Row],[Dt Venc:]]=TODAY(),"Vence Hoje","Vencida")))</f>
        <v>Em Aberto</v>
      </c>
      <c r="F8911" s="3">
        <f ca="1">IF(G8911=1,"-",Tabela2[[#This Row],[Dt Venc:]]-TODAY())</f>
        <v>678</v>
      </c>
      <c r="G8911" s="3"/>
      <c r="H8911" s="3"/>
    </row>
    <row r="8912" spans="1:8">
      <c r="A8912" s="3">
        <v>919728</v>
      </c>
      <c r="B8912" s="7" t="s">
        <v>253</v>
      </c>
      <c r="C8912" s="87" t="s">
        <v>32</v>
      </c>
      <c r="D8912" s="6">
        <v>46371</v>
      </c>
      <c r="E8912" s="3" t="str">
        <f ca="1">IF(Tabela2[[#This Row],[Dt Venc:]]&gt;TODAY(),"Em Aberto",IF(Tabela2[[#This Row],[D/venc]]="-","Enviado",IF(Tabela2[[#This Row],[Dt Venc:]]=TODAY(),"Vence Hoje","Vencida")))</f>
        <v>Em Aberto</v>
      </c>
      <c r="F8912" s="3">
        <f ca="1">IF(G8912=1,"-",Tabela2[[#This Row],[Dt Venc:]]-TODAY())</f>
        <v>678</v>
      </c>
      <c r="G8912" s="3"/>
      <c r="H8912" s="3"/>
    </row>
    <row r="8913" spans="1:8">
      <c r="A8913" s="3">
        <v>919729</v>
      </c>
      <c r="B8913" s="7" t="s">
        <v>253</v>
      </c>
      <c r="C8913" s="87" t="s">
        <v>32</v>
      </c>
      <c r="D8913" s="6">
        <v>46371</v>
      </c>
      <c r="E8913" s="3" t="str">
        <f ca="1">IF(Tabela2[[#This Row],[Dt Venc:]]&gt;TODAY(),"Em Aberto",IF(Tabela2[[#This Row],[D/venc]]="-","Enviado",IF(Tabela2[[#This Row],[Dt Venc:]]=TODAY(),"Vence Hoje","Vencida")))</f>
        <v>Em Aberto</v>
      </c>
      <c r="F8913" s="3">
        <f ca="1">IF(G8913=1,"-",Tabela2[[#This Row],[Dt Venc:]]-TODAY())</f>
        <v>678</v>
      </c>
      <c r="G8913" s="3"/>
      <c r="H8913" s="3"/>
    </row>
    <row r="8914" spans="1:8">
      <c r="A8914" s="3">
        <v>495914</v>
      </c>
      <c r="B8914" s="7" t="s">
        <v>153</v>
      </c>
      <c r="C8914" s="100" t="s">
        <v>32</v>
      </c>
      <c r="D8914" s="6">
        <v>46381</v>
      </c>
      <c r="E8914" s="3" t="str">
        <f ca="1">IF(Tabela2[[#This Row],[Dt Venc:]]&gt;TODAY(),"Em Aberto",IF(Tabela2[[#This Row],[D/venc]]="-","Enviado",IF(Tabela2[[#This Row],[Dt Venc:]]=TODAY(),"Vence Hoje","Vencida")))</f>
        <v>Em Aberto</v>
      </c>
      <c r="F8914" s="3">
        <f ca="1">IF(G8914=1,"-",Tabela2[[#This Row],[Dt Venc:]]-TODAY())</f>
        <v>688</v>
      </c>
      <c r="G8914" s="3"/>
      <c r="H8914" s="3"/>
    </row>
    <row r="8915" spans="1:8">
      <c r="A8915" s="3">
        <v>5690</v>
      </c>
      <c r="B8915" s="7" t="s">
        <v>122</v>
      </c>
      <c r="C8915" s="100" t="s">
        <v>32</v>
      </c>
      <c r="D8915" s="6">
        <v>46383</v>
      </c>
      <c r="E8915" s="3" t="str">
        <f ca="1">IF(Tabela2[[#This Row],[Dt Venc:]]&gt;TODAY(),"Em Aberto",IF(Tabela2[[#This Row],[D/venc]]="-","Enviado",IF(Tabela2[[#This Row],[Dt Venc:]]=TODAY(),"Vence Hoje","Vencida")))</f>
        <v>Em Aberto</v>
      </c>
      <c r="F8915" s="3">
        <f ca="1">IF(G8915=1,"-",Tabela2[[#This Row],[Dt Venc:]]-TODAY())</f>
        <v>690</v>
      </c>
      <c r="G8915" s="3"/>
      <c r="H8915" s="3"/>
    </row>
    <row r="8916" spans="1:8">
      <c r="A8916" s="3">
        <v>11681</v>
      </c>
      <c r="B8916" s="7" t="s">
        <v>82</v>
      </c>
      <c r="C8916" s="87" t="s">
        <v>30</v>
      </c>
      <c r="D8916" s="6">
        <v>46387</v>
      </c>
      <c r="E8916" s="3" t="str">
        <f ca="1">IF(Tabela2[[#This Row],[Dt Venc:]]&gt;TODAY(),"Em Aberto",IF(Tabela2[[#This Row],[D/venc]]="-","Enviado",IF(Tabela2[[#This Row],[Dt Venc:]]=TODAY(),"Vence Hoje","Vencida")))</f>
        <v>Em Aberto</v>
      </c>
      <c r="F8916" s="3">
        <f ca="1">IF(G8916=1,"-",Tabela2[[#This Row],[Dt Venc:]]-TODAY())</f>
        <v>694</v>
      </c>
      <c r="G8916" s="3"/>
      <c r="H8916" s="3"/>
    </row>
    <row r="8917" spans="1:8">
      <c r="A8917" s="3" t="s">
        <v>28</v>
      </c>
      <c r="B8917" s="7" t="s">
        <v>391</v>
      </c>
      <c r="C8917" s="85" t="s">
        <v>30</v>
      </c>
      <c r="D8917" s="6">
        <v>46387</v>
      </c>
      <c r="E8917" s="3" t="str">
        <f ca="1">IF(Tabela2[[#This Row],[Dt Venc:]]&gt;TODAY(),"Em Aberto",IF(Tabela2[[#This Row],[D/venc]]="-","Enviado",IF(Tabela2[[#This Row],[Dt Venc:]]=TODAY(),"Vence Hoje","Vencida")))</f>
        <v>Em Aberto</v>
      </c>
      <c r="F8917" s="3">
        <f ca="1">IF(G8917=1,"-",Tabela2[[#This Row],[Dt Venc:]]-TODAY())</f>
        <v>694</v>
      </c>
      <c r="G8917" s="3"/>
      <c r="H8917" s="3"/>
    </row>
    <row r="8918" spans="1:8">
      <c r="A8918" s="3">
        <v>36910</v>
      </c>
      <c r="B8918" s="7" t="s">
        <v>167</v>
      </c>
      <c r="C8918" s="100" t="s">
        <v>32</v>
      </c>
      <c r="D8918" s="6">
        <v>46388</v>
      </c>
      <c r="E8918" s="3" t="str">
        <f ca="1">IF(Tabela2[[#This Row],[Dt Venc:]]&gt;TODAY(),"Em Aberto",IF(Tabela2[[#This Row],[D/venc]]="-","Enviado",IF(Tabela2[[#This Row],[Dt Venc:]]=TODAY(),"Vence Hoje","Vencida")))</f>
        <v>Em Aberto</v>
      </c>
      <c r="F8918" s="3">
        <f ca="1">IF(G8918=1,"-",Tabela2[[#This Row],[Dt Venc:]]-TODAY())</f>
        <v>695</v>
      </c>
      <c r="G8918" s="3"/>
      <c r="H8918" s="3"/>
    </row>
    <row r="8919" spans="1:8">
      <c r="A8919" s="3">
        <v>10494</v>
      </c>
      <c r="B8919" s="7" t="s">
        <v>82</v>
      </c>
      <c r="C8919" s="88" t="s">
        <v>30</v>
      </c>
      <c r="D8919" s="6">
        <v>46390</v>
      </c>
      <c r="E8919" s="3" t="str">
        <f ca="1">IF(Tabela2[[#This Row],[Dt Venc:]]&gt;TODAY(),"Em Aberto",IF(Tabela2[[#This Row],[D/venc]]="-","Enviado",IF(Tabela2[[#This Row],[Dt Venc:]]=TODAY(),"Vence Hoje","Vencida")))</f>
        <v>Em Aberto</v>
      </c>
      <c r="F8919" s="3">
        <f ca="1">IF(G8919=1,"-",Tabela2[[#This Row],[Dt Venc:]]-TODAY())</f>
        <v>697</v>
      </c>
      <c r="G8919" s="3"/>
      <c r="H8919" s="3"/>
    </row>
    <row r="8920" spans="1:8">
      <c r="A8920" s="3">
        <v>5680</v>
      </c>
      <c r="B8920" s="7" t="s">
        <v>122</v>
      </c>
      <c r="C8920" s="99" t="s">
        <v>32</v>
      </c>
      <c r="D8920" s="6">
        <v>46392</v>
      </c>
      <c r="E8920" s="3" t="str">
        <f ca="1">IF(Tabela2[[#This Row],[Dt Venc:]]&gt;TODAY(),"Em Aberto",IF(Tabela2[[#This Row],[D/venc]]="-","Enviado",IF(Tabela2[[#This Row],[Dt Venc:]]=TODAY(),"Vence Hoje","Vencida")))</f>
        <v>Em Aberto</v>
      </c>
      <c r="F8920" s="3">
        <f ca="1">IF(G8920=1,"-",Tabela2[[#This Row],[Dt Venc:]]-TODAY())</f>
        <v>699</v>
      </c>
      <c r="G8920" s="3"/>
      <c r="H8920" s="3"/>
    </row>
    <row r="8921" spans="1:8">
      <c r="A8921" s="3">
        <v>10353</v>
      </c>
      <c r="B8921" s="7" t="s">
        <v>82</v>
      </c>
      <c r="C8921" s="100" t="s">
        <v>32</v>
      </c>
      <c r="D8921" s="6">
        <v>46392</v>
      </c>
      <c r="E8921" s="3" t="str">
        <f ca="1">IF(Tabela2[[#This Row],[Dt Venc:]]&gt;TODAY(),"Em Aberto",IF(Tabela2[[#This Row],[D/venc]]="-","Enviado",IF(Tabela2[[#This Row],[Dt Venc:]]=TODAY(),"Vence Hoje","Vencida")))</f>
        <v>Em Aberto</v>
      </c>
      <c r="F8921" s="3">
        <f ca="1">IF(G8921=1,"-",Tabela2[[#This Row],[Dt Venc:]]-TODAY())</f>
        <v>699</v>
      </c>
      <c r="G8921" s="3"/>
      <c r="H8921" s="3"/>
    </row>
    <row r="8922" spans="1:8">
      <c r="A8922" s="3">
        <v>284620</v>
      </c>
      <c r="B8922" s="7" t="s">
        <v>153</v>
      </c>
      <c r="C8922" s="100" t="s">
        <v>32</v>
      </c>
      <c r="D8922" s="6">
        <v>46395</v>
      </c>
      <c r="E8922" s="3" t="str">
        <f ca="1">IF(Tabela2[[#This Row],[Dt Venc:]]&gt;TODAY(),"Em Aberto",IF(Tabela2[[#This Row],[D/venc]]="-","Enviado",IF(Tabela2[[#This Row],[Dt Venc:]]=TODAY(),"Vence Hoje","Vencida")))</f>
        <v>Em Aberto</v>
      </c>
      <c r="F8922" s="3">
        <f ca="1">IF(G8922=1,"-",Tabela2[[#This Row],[Dt Venc:]]-TODAY())</f>
        <v>702</v>
      </c>
      <c r="G8922" s="3"/>
      <c r="H8922" s="3"/>
    </row>
    <row r="8923" spans="1:8">
      <c r="A8923" s="3">
        <v>36949</v>
      </c>
      <c r="B8923" s="7" t="s">
        <v>167</v>
      </c>
      <c r="C8923" s="99" t="s">
        <v>32</v>
      </c>
      <c r="D8923" s="6">
        <v>46396</v>
      </c>
      <c r="E8923" s="3" t="str">
        <f ca="1">IF(Tabela2[[#This Row],[Dt Venc:]]&gt;TODAY(),"Em Aberto",IF(Tabela2[[#This Row],[D/venc]]="-","Enviado",IF(Tabela2[[#This Row],[Dt Venc:]]=TODAY(),"Vence Hoje","Vencida")))</f>
        <v>Em Aberto</v>
      </c>
      <c r="F8923" s="3">
        <f ca="1">IF(G8923=1,"-",Tabela2[[#This Row],[Dt Venc:]]-TODAY())</f>
        <v>703</v>
      </c>
      <c r="G8923" s="3"/>
      <c r="H8923" s="3"/>
    </row>
    <row r="8924" spans="1:8">
      <c r="A8924" s="3">
        <v>756561</v>
      </c>
      <c r="B8924" s="7" t="s">
        <v>166</v>
      </c>
      <c r="C8924" s="100" t="s">
        <v>32</v>
      </c>
      <c r="D8924" s="6">
        <v>46396</v>
      </c>
      <c r="E8924" s="3" t="str">
        <f ca="1">IF(Tabela2[[#This Row],[Dt Venc:]]&gt;TODAY(),"Em Aberto",IF(Tabela2[[#This Row],[D/venc]]="-","Enviado",IF(Tabela2[[#This Row],[Dt Venc:]]=TODAY(),"Vence Hoje","Vencida")))</f>
        <v>Em Aberto</v>
      </c>
      <c r="F8924" s="3">
        <f ca="1">IF(G8924=1,"-",Tabela2[[#This Row],[Dt Venc:]]-TODAY())</f>
        <v>703</v>
      </c>
      <c r="G8924" s="3"/>
      <c r="H8924" s="3"/>
    </row>
    <row r="8925" spans="1:8">
      <c r="A8925" s="3">
        <v>562</v>
      </c>
      <c r="B8925" s="7" t="s">
        <v>251</v>
      </c>
      <c r="C8925" s="100" t="s">
        <v>32</v>
      </c>
      <c r="D8925" s="6">
        <v>46402</v>
      </c>
      <c r="E8925" s="3" t="str">
        <f ca="1">IF(Tabela2[[#This Row],[Dt Venc:]]&gt;TODAY(),"Em Aberto",IF(Tabela2[[#This Row],[D/venc]]="-","Enviado",IF(Tabela2[[#This Row],[Dt Venc:]]=TODAY(),"Vence Hoje","Vencida")))</f>
        <v>Em Aberto</v>
      </c>
      <c r="F8925" s="3">
        <f ca="1">IF(G8925=1,"-",Tabela2[[#This Row],[Dt Venc:]]-TODAY())</f>
        <v>709</v>
      </c>
      <c r="G8925" s="3"/>
      <c r="H8925" s="3"/>
    </row>
    <row r="8926" spans="1:8">
      <c r="A8926" s="3">
        <v>103015</v>
      </c>
      <c r="B8926" s="7" t="s">
        <v>252</v>
      </c>
      <c r="C8926" s="100" t="s">
        <v>32</v>
      </c>
      <c r="D8926" s="6">
        <v>46402</v>
      </c>
      <c r="E8926" s="3" t="str">
        <f ca="1">IF(Tabela2[[#This Row],[Dt Venc:]]&gt;TODAY(),"Em Aberto",IF(Tabela2[[#This Row],[D/venc]]="-","Enviado",IF(Tabela2[[#This Row],[Dt Venc:]]=TODAY(),"Vence Hoje","Vencida")))</f>
        <v>Em Aberto</v>
      </c>
      <c r="F8926" s="3">
        <f ca="1">IF(G8926=1,"-",Tabela2[[#This Row],[Dt Venc:]]-TODAY())</f>
        <v>709</v>
      </c>
      <c r="G8926" s="3"/>
      <c r="H8926" s="3"/>
    </row>
    <row r="8927" spans="1:8">
      <c r="A8927" s="3">
        <v>103077</v>
      </c>
      <c r="B8927" s="7" t="s">
        <v>252</v>
      </c>
      <c r="C8927" s="100" t="s">
        <v>32</v>
      </c>
      <c r="D8927" s="6">
        <v>46402</v>
      </c>
      <c r="E8927" s="3" t="str">
        <f ca="1">IF(Tabela2[[#This Row],[Dt Venc:]]&gt;TODAY(),"Em Aberto",IF(Tabela2[[#This Row],[D/venc]]="-","Enviado",IF(Tabela2[[#This Row],[Dt Venc:]]=TODAY(),"Vence Hoje","Vencida")))</f>
        <v>Em Aberto</v>
      </c>
      <c r="F8927" s="3">
        <f ca="1">IF(G8927=1,"-",Tabela2[[#This Row],[Dt Venc:]]-TODAY())</f>
        <v>709</v>
      </c>
      <c r="G8927" s="3"/>
      <c r="H8927" s="3"/>
    </row>
    <row r="8928" spans="1:8">
      <c r="A8928" s="3">
        <v>103153</v>
      </c>
      <c r="B8928" s="7" t="s">
        <v>252</v>
      </c>
      <c r="C8928" s="87" t="s">
        <v>32</v>
      </c>
      <c r="D8928" s="6">
        <v>46402</v>
      </c>
      <c r="E8928" s="3" t="str">
        <f ca="1">IF(Tabela2[[#This Row],[Dt Venc:]]&gt;TODAY(),"Em Aberto",IF(Tabela2[[#This Row],[D/venc]]="-","Enviado",IF(Tabela2[[#This Row],[Dt Venc:]]=TODAY(),"Vence Hoje","Vencida")))</f>
        <v>Em Aberto</v>
      </c>
      <c r="F8928" s="3">
        <f ca="1">IF(G8928=1,"-",Tabela2[[#This Row],[Dt Venc:]]-TODAY())</f>
        <v>709</v>
      </c>
      <c r="G8928" s="3"/>
      <c r="H8928" s="3"/>
    </row>
    <row r="8929" spans="1:8">
      <c r="A8929" s="3">
        <v>103154</v>
      </c>
      <c r="B8929" s="7" t="s">
        <v>252</v>
      </c>
      <c r="C8929" s="100" t="s">
        <v>32</v>
      </c>
      <c r="D8929" s="6">
        <v>46402</v>
      </c>
      <c r="E8929" s="3" t="str">
        <f ca="1">IF(Tabela2[[#This Row],[Dt Venc:]]&gt;TODAY(),"Em Aberto",IF(Tabela2[[#This Row],[D/venc]]="-","Enviado",IF(Tabela2[[#This Row],[Dt Venc:]]=TODAY(),"Vence Hoje","Vencida")))</f>
        <v>Em Aberto</v>
      </c>
      <c r="F8929" s="3">
        <f ca="1">IF(G8929=1,"-",Tabela2[[#This Row],[Dt Venc:]]-TODAY())</f>
        <v>709</v>
      </c>
      <c r="G8929" s="3"/>
      <c r="H8929" s="3"/>
    </row>
    <row r="8930" spans="1:8">
      <c r="A8930" s="3">
        <v>106007</v>
      </c>
      <c r="B8930" s="7" t="s">
        <v>252</v>
      </c>
      <c r="C8930" s="100" t="s">
        <v>32</v>
      </c>
      <c r="D8930" s="6">
        <v>46402</v>
      </c>
      <c r="E8930" s="3" t="str">
        <f ca="1">IF(Tabela2[[#This Row],[Dt Venc:]]&gt;TODAY(),"Em Aberto",IF(Tabela2[[#This Row],[D/venc]]="-","Enviado",IF(Tabela2[[#This Row],[Dt Venc:]]=TODAY(),"Vence Hoje","Vencida")))</f>
        <v>Em Aberto</v>
      </c>
      <c r="F8930" s="3">
        <f ca="1">IF(G8930=1,"-",Tabela2[[#This Row],[Dt Venc:]]-TODAY())</f>
        <v>709</v>
      </c>
      <c r="G8930" s="3"/>
      <c r="H8930" s="3"/>
    </row>
    <row r="8931" spans="1:8">
      <c r="A8931" s="3">
        <v>106043</v>
      </c>
      <c r="B8931" s="7" t="s">
        <v>252</v>
      </c>
      <c r="C8931" s="100" t="s">
        <v>32</v>
      </c>
      <c r="D8931" s="6">
        <v>46402</v>
      </c>
      <c r="E8931" s="3" t="str">
        <f ca="1">IF(Tabela2[[#This Row],[Dt Venc:]]&gt;TODAY(),"Em Aberto",IF(Tabela2[[#This Row],[D/venc]]="-","Enviado",IF(Tabela2[[#This Row],[Dt Venc:]]=TODAY(),"Vence Hoje","Vencida")))</f>
        <v>Em Aberto</v>
      </c>
      <c r="F8931" s="3">
        <f ca="1">IF(G8931=1,"-",Tabela2[[#This Row],[Dt Venc:]]-TODAY())</f>
        <v>709</v>
      </c>
      <c r="G8931" s="3"/>
      <c r="H8931" s="3"/>
    </row>
    <row r="8932" spans="1:8">
      <c r="A8932" s="3">
        <v>107829</v>
      </c>
      <c r="B8932" s="7" t="s">
        <v>252</v>
      </c>
      <c r="C8932" s="99" t="s">
        <v>32</v>
      </c>
      <c r="D8932" s="6">
        <v>46402</v>
      </c>
      <c r="E8932" s="3" t="str">
        <f ca="1">IF(Tabela2[[#This Row],[Dt Venc:]]&gt;TODAY(),"Em Aberto",IF(Tabela2[[#This Row],[D/venc]]="-","Enviado",IF(Tabela2[[#This Row],[Dt Venc:]]=TODAY(),"Vence Hoje","Vencida")))</f>
        <v>Em Aberto</v>
      </c>
      <c r="F8932" s="3">
        <f ca="1">IF(G8932=1,"-",Tabela2[[#This Row],[Dt Venc:]]-TODAY())</f>
        <v>709</v>
      </c>
      <c r="G8932" s="3"/>
      <c r="H8932" s="3"/>
    </row>
    <row r="8933" spans="1:8">
      <c r="A8933" s="3">
        <v>107830</v>
      </c>
      <c r="B8933" s="7" t="s">
        <v>252</v>
      </c>
      <c r="C8933" s="87" t="s">
        <v>32</v>
      </c>
      <c r="D8933" s="6">
        <v>46402</v>
      </c>
      <c r="E8933" s="3" t="str">
        <f ca="1">IF(Tabela2[[#This Row],[Dt Venc:]]&gt;TODAY(),"Em Aberto",IF(Tabela2[[#This Row],[D/venc]]="-","Enviado",IF(Tabela2[[#This Row],[Dt Venc:]]=TODAY(),"Vence Hoje","Vencida")))</f>
        <v>Em Aberto</v>
      </c>
      <c r="F8933" s="3">
        <f ca="1">IF(G8933=1,"-",Tabela2[[#This Row],[Dt Venc:]]-TODAY())</f>
        <v>709</v>
      </c>
      <c r="G8933" s="3"/>
      <c r="H8933" s="3"/>
    </row>
    <row r="8934" spans="1:8">
      <c r="A8934" s="3">
        <v>107831</v>
      </c>
      <c r="B8934" s="7" t="s">
        <v>252</v>
      </c>
      <c r="C8934" s="100" t="s">
        <v>32</v>
      </c>
      <c r="D8934" s="6">
        <v>46402</v>
      </c>
      <c r="E8934" s="3" t="str">
        <f ca="1">IF(Tabela2[[#This Row],[Dt Venc:]]&gt;TODAY(),"Em Aberto",IF(Tabela2[[#This Row],[D/venc]]="-","Enviado",IF(Tabela2[[#This Row],[Dt Venc:]]=TODAY(),"Vence Hoje","Vencida")))</f>
        <v>Em Aberto</v>
      </c>
      <c r="F8934" s="3">
        <f ca="1">IF(G8934=1,"-",Tabela2[[#This Row],[Dt Venc:]]-TODAY())</f>
        <v>709</v>
      </c>
      <c r="G8934" s="3"/>
      <c r="H8934" s="3"/>
    </row>
    <row r="8935" spans="1:8">
      <c r="A8935" s="3">
        <v>107832</v>
      </c>
      <c r="B8935" s="7" t="s">
        <v>252</v>
      </c>
      <c r="C8935" s="100" t="s">
        <v>32</v>
      </c>
      <c r="D8935" s="6">
        <v>46402</v>
      </c>
      <c r="E8935" s="3" t="str">
        <f ca="1">IF(Tabela2[[#This Row],[Dt Venc:]]&gt;TODAY(),"Em Aberto",IF(Tabela2[[#This Row],[D/venc]]="-","Enviado",IF(Tabela2[[#This Row],[Dt Venc:]]=TODAY(),"Vence Hoje","Vencida")))</f>
        <v>Em Aberto</v>
      </c>
      <c r="F8935" s="3">
        <f ca="1">IF(G8935=1,"-",Tabela2[[#This Row],[Dt Venc:]]-TODAY())</f>
        <v>709</v>
      </c>
      <c r="G8935" s="3"/>
      <c r="H8935" s="3"/>
    </row>
    <row r="8936" spans="1:8">
      <c r="A8936" s="3">
        <v>361229</v>
      </c>
      <c r="B8936" s="7" t="s">
        <v>250</v>
      </c>
      <c r="C8936" s="100" t="s">
        <v>32</v>
      </c>
      <c r="D8936" s="6">
        <v>46402</v>
      </c>
      <c r="E8936" s="3" t="str">
        <f ca="1">IF(Tabela2[[#This Row],[Dt Venc:]]&gt;TODAY(),"Em Aberto",IF(Tabela2[[#This Row],[D/venc]]="-","Enviado",IF(Tabela2[[#This Row],[Dt Venc:]]=TODAY(),"Vence Hoje","Vencida")))</f>
        <v>Em Aberto</v>
      </c>
      <c r="F8936" s="3">
        <f ca="1">IF(G8936=1,"-",Tabela2[[#This Row],[Dt Venc:]]-TODAY())</f>
        <v>709</v>
      </c>
      <c r="G8936" s="3"/>
      <c r="H8936" s="3"/>
    </row>
    <row r="8937" spans="1:8">
      <c r="A8937" s="3">
        <v>361237</v>
      </c>
      <c r="B8937" s="7" t="s">
        <v>250</v>
      </c>
      <c r="C8937" s="100" t="s">
        <v>32</v>
      </c>
      <c r="D8937" s="6">
        <v>46402</v>
      </c>
      <c r="E8937" s="3" t="str">
        <f ca="1">IF(Tabela2[[#This Row],[Dt Venc:]]&gt;TODAY(),"Em Aberto",IF(Tabela2[[#This Row],[D/venc]]="-","Enviado",IF(Tabela2[[#This Row],[Dt Venc:]]=TODAY(),"Vence Hoje","Vencida")))</f>
        <v>Em Aberto</v>
      </c>
      <c r="F8937" s="3">
        <f ca="1">IF(G8937=1,"-",Tabela2[[#This Row],[Dt Venc:]]-TODAY())</f>
        <v>709</v>
      </c>
      <c r="G8937" s="3"/>
      <c r="H8937" s="3"/>
    </row>
    <row r="8938" spans="1:8">
      <c r="A8938" s="3">
        <v>365658</v>
      </c>
      <c r="B8938" s="7" t="s">
        <v>250</v>
      </c>
      <c r="C8938" s="100" t="s">
        <v>32</v>
      </c>
      <c r="D8938" s="6">
        <v>46402</v>
      </c>
      <c r="E8938" s="3" t="str">
        <f ca="1">IF(Tabela2[[#This Row],[Dt Venc:]]&gt;TODAY(),"Em Aberto",IF(Tabela2[[#This Row],[D/venc]]="-","Enviado",IF(Tabela2[[#This Row],[Dt Venc:]]=TODAY(),"Vence Hoje","Vencida")))</f>
        <v>Em Aberto</v>
      </c>
      <c r="F8938" s="3">
        <f ca="1">IF(G8938=1,"-",Tabela2[[#This Row],[Dt Venc:]]-TODAY())</f>
        <v>709</v>
      </c>
      <c r="G8938" s="3"/>
      <c r="H8938" s="3"/>
    </row>
    <row r="8939" spans="1:8">
      <c r="A8939" s="3">
        <v>365666</v>
      </c>
      <c r="B8939" s="7" t="s">
        <v>250</v>
      </c>
      <c r="C8939" s="100" t="s">
        <v>32</v>
      </c>
      <c r="D8939" s="6">
        <v>46402</v>
      </c>
      <c r="E8939" s="3" t="str">
        <f ca="1">IF(Tabela2[[#This Row],[Dt Venc:]]&gt;TODAY(),"Em Aberto",IF(Tabela2[[#This Row],[D/venc]]="-","Enviado",IF(Tabela2[[#This Row],[Dt Venc:]]=TODAY(),"Vence Hoje","Vencida")))</f>
        <v>Em Aberto</v>
      </c>
      <c r="F8939" s="3">
        <f ca="1">IF(G8939=1,"-",Tabela2[[#This Row],[Dt Venc:]]-TODAY())</f>
        <v>709</v>
      </c>
      <c r="G8939" s="3"/>
      <c r="H8939" s="3"/>
    </row>
    <row r="8940" spans="1:8">
      <c r="A8940" s="3">
        <v>365674</v>
      </c>
      <c r="B8940" s="7" t="s">
        <v>250</v>
      </c>
      <c r="C8940" s="100" t="s">
        <v>32</v>
      </c>
      <c r="D8940" s="6">
        <v>46402</v>
      </c>
      <c r="E8940" s="3" t="str">
        <f ca="1">IF(Tabela2[[#This Row],[Dt Venc:]]&gt;TODAY(),"Em Aberto",IF(Tabela2[[#This Row],[D/venc]]="-","Enviado",IF(Tabela2[[#This Row],[Dt Venc:]]=TODAY(),"Vence Hoje","Vencida")))</f>
        <v>Em Aberto</v>
      </c>
      <c r="F8940" s="3">
        <f ca="1">IF(G8940=1,"-",Tabela2[[#This Row],[Dt Venc:]]-TODAY())</f>
        <v>709</v>
      </c>
      <c r="G8940" s="3"/>
      <c r="H8940" s="3"/>
    </row>
    <row r="8941" spans="1:8">
      <c r="A8941" s="3">
        <v>365682</v>
      </c>
      <c r="B8941" s="7" t="s">
        <v>250</v>
      </c>
      <c r="C8941" s="100" t="s">
        <v>32</v>
      </c>
      <c r="D8941" s="6">
        <v>46402</v>
      </c>
      <c r="E8941" s="3" t="str">
        <f ca="1">IF(Tabela2[[#This Row],[Dt Venc:]]&gt;TODAY(),"Em Aberto",IF(Tabela2[[#This Row],[D/venc]]="-","Enviado",IF(Tabela2[[#This Row],[Dt Venc:]]=TODAY(),"Vence Hoje","Vencida")))</f>
        <v>Em Aberto</v>
      </c>
      <c r="F8941" s="3">
        <f ca="1">IF(G8941=1,"-",Tabela2[[#This Row],[Dt Venc:]]-TODAY())</f>
        <v>709</v>
      </c>
      <c r="G8941" s="3"/>
      <c r="H8941" s="3"/>
    </row>
    <row r="8942" spans="1:8">
      <c r="A8942" s="3">
        <v>369335</v>
      </c>
      <c r="B8942" s="7" t="s">
        <v>543</v>
      </c>
      <c r="C8942" s="87" t="s">
        <v>32</v>
      </c>
      <c r="D8942" s="6">
        <v>46402</v>
      </c>
      <c r="E8942" s="3" t="str">
        <f ca="1">IF(Tabela2[[#This Row],[Dt Venc:]]&gt;TODAY(),"Em Aberto",IF(Tabela2[[#This Row],[D/venc]]="-","Enviado",IF(Tabela2[[#This Row],[Dt Venc:]]=TODAY(),"Vence Hoje","Vencida")))</f>
        <v>Em Aberto</v>
      </c>
      <c r="F8942" s="3">
        <f ca="1">IF(G8942=1,"-",Tabela2[[#This Row],[Dt Venc:]]-TODAY())</f>
        <v>709</v>
      </c>
      <c r="G8942" s="3"/>
      <c r="H8942" s="3"/>
    </row>
    <row r="8943" spans="1:8">
      <c r="A8943" s="3">
        <v>369696</v>
      </c>
      <c r="B8943" s="7" t="s">
        <v>543</v>
      </c>
      <c r="C8943" s="87" t="s">
        <v>32</v>
      </c>
      <c r="D8943" s="6">
        <v>46402</v>
      </c>
      <c r="E8943" s="3" t="str">
        <f ca="1">IF(Tabela2[[#This Row],[Dt Venc:]]&gt;TODAY(),"Em Aberto",IF(Tabela2[[#This Row],[D/venc]]="-","Enviado",IF(Tabela2[[#This Row],[Dt Venc:]]=TODAY(),"Vence Hoje","Vencida")))</f>
        <v>Em Aberto</v>
      </c>
      <c r="F8943" s="3">
        <f ca="1">IF(G8943=1,"-",Tabela2[[#This Row],[Dt Venc:]]-TODAY())</f>
        <v>709</v>
      </c>
      <c r="G8943" s="3"/>
      <c r="H8943" s="3"/>
    </row>
    <row r="8944" spans="1:8">
      <c r="A8944" s="3">
        <v>369726</v>
      </c>
      <c r="B8944" s="7" t="s">
        <v>543</v>
      </c>
      <c r="C8944" s="87" t="s">
        <v>32</v>
      </c>
      <c r="D8944" s="6">
        <v>46402</v>
      </c>
      <c r="E8944" s="3" t="str">
        <f ca="1">IF(Tabela2[[#This Row],[Dt Venc:]]&gt;TODAY(),"Em Aberto",IF(Tabela2[[#This Row],[D/venc]]="-","Enviado",IF(Tabela2[[#This Row],[Dt Venc:]]=TODAY(),"Vence Hoje","Vencida")))</f>
        <v>Em Aberto</v>
      </c>
      <c r="F8944" s="3">
        <f ca="1">IF(G8944=1,"-",Tabela2[[#This Row],[Dt Venc:]]-TODAY())</f>
        <v>709</v>
      </c>
      <c r="G8944" s="3"/>
      <c r="H8944" s="3"/>
    </row>
    <row r="8945" spans="1:8">
      <c r="A8945" s="3">
        <v>369751</v>
      </c>
      <c r="B8945" s="7" t="s">
        <v>543</v>
      </c>
      <c r="C8945" s="87" t="s">
        <v>32</v>
      </c>
      <c r="D8945" s="6">
        <v>46402</v>
      </c>
      <c r="E8945" s="3" t="str">
        <f ca="1">IF(Tabela2[[#This Row],[Dt Venc:]]&gt;TODAY(),"Em Aberto",IF(Tabela2[[#This Row],[D/venc]]="-","Enviado",IF(Tabela2[[#This Row],[Dt Venc:]]=TODAY(),"Vence Hoje","Vencida")))</f>
        <v>Em Aberto</v>
      </c>
      <c r="F8945" s="3">
        <f ca="1">IF(G8945=1,"-",Tabela2[[#This Row],[Dt Venc:]]-TODAY())</f>
        <v>709</v>
      </c>
      <c r="G8945" s="3"/>
      <c r="H8945" s="3"/>
    </row>
    <row r="8946" spans="1:8">
      <c r="A8946" s="3">
        <v>370201</v>
      </c>
      <c r="B8946" s="7" t="s">
        <v>543</v>
      </c>
      <c r="C8946" s="87" t="s">
        <v>32</v>
      </c>
      <c r="D8946" s="6">
        <v>46402</v>
      </c>
      <c r="E8946" s="3" t="str">
        <f ca="1">IF(Tabela2[[#This Row],[Dt Venc:]]&gt;TODAY(),"Em Aberto",IF(Tabela2[[#This Row],[D/venc]]="-","Enviado",IF(Tabela2[[#This Row],[Dt Venc:]]=TODAY(),"Vence Hoje","Vencida")))</f>
        <v>Em Aberto</v>
      </c>
      <c r="F8946" s="3">
        <f ca="1">IF(G8946=1,"-",Tabela2[[#This Row],[Dt Venc:]]-TODAY())</f>
        <v>709</v>
      </c>
      <c r="G8946" s="3"/>
      <c r="H8946" s="3"/>
    </row>
    <row r="8947" spans="1:8">
      <c r="A8947" s="3">
        <v>370864</v>
      </c>
      <c r="B8947" s="7" t="s">
        <v>543</v>
      </c>
      <c r="C8947" s="87" t="s">
        <v>32</v>
      </c>
      <c r="D8947" s="6">
        <v>46402</v>
      </c>
      <c r="E8947" s="3" t="str">
        <f ca="1">IF(Tabela2[[#This Row],[Dt Venc:]]&gt;TODAY(),"Em Aberto",IF(Tabela2[[#This Row],[D/venc]]="-","Enviado",IF(Tabela2[[#This Row],[Dt Venc:]]=TODAY(),"Vence Hoje","Vencida")))</f>
        <v>Em Aberto</v>
      </c>
      <c r="F8947" s="3">
        <f ca="1">IF(G8947=1,"-",Tabela2[[#This Row],[Dt Venc:]]-TODAY())</f>
        <v>709</v>
      </c>
      <c r="G8947" s="3"/>
      <c r="H8947" s="3"/>
    </row>
    <row r="8948" spans="1:8">
      <c r="A8948" s="3">
        <v>371011</v>
      </c>
      <c r="B8948" s="7" t="s">
        <v>633</v>
      </c>
      <c r="C8948" s="87" t="s">
        <v>32</v>
      </c>
      <c r="D8948" s="6">
        <v>46402</v>
      </c>
      <c r="E8948" s="3" t="str">
        <f ca="1">IF(Tabela2[[#This Row],[Dt Venc:]]&gt;TODAY(),"Em Aberto",IF(Tabela2[[#This Row],[D/venc]]="-","Enviado",IF(Tabela2[[#This Row],[Dt Venc:]]=TODAY(),"Vence Hoje","Vencida")))</f>
        <v>Em Aberto</v>
      </c>
      <c r="F8948" s="3">
        <f ca="1">IF(G8948=1,"-",Tabela2[[#This Row],[Dt Venc:]]-TODAY())</f>
        <v>709</v>
      </c>
      <c r="G8948" s="3"/>
      <c r="H8948" s="3"/>
    </row>
    <row r="8949" spans="1:8">
      <c r="A8949" s="3">
        <v>371160</v>
      </c>
      <c r="B8949" s="7" t="s">
        <v>633</v>
      </c>
      <c r="C8949" s="87" t="s">
        <v>32</v>
      </c>
      <c r="D8949" s="6">
        <v>46402</v>
      </c>
      <c r="E8949" s="3" t="str">
        <f ca="1">IF(Tabela2[[#This Row],[Dt Venc:]]&gt;TODAY(),"Em Aberto",IF(Tabela2[[#This Row],[D/venc]]="-","Enviado",IF(Tabela2[[#This Row],[Dt Venc:]]=TODAY(),"Vence Hoje","Vencida")))</f>
        <v>Em Aberto</v>
      </c>
      <c r="F8949" s="3">
        <f ca="1">IF(G8949=1,"-",Tabela2[[#This Row],[Dt Venc:]]-TODAY())</f>
        <v>709</v>
      </c>
      <c r="G8949" s="3"/>
      <c r="H8949" s="3"/>
    </row>
    <row r="8950" spans="1:8">
      <c r="A8950" s="3">
        <v>892178</v>
      </c>
      <c r="B8950" s="7" t="s">
        <v>253</v>
      </c>
      <c r="C8950" s="100" t="s">
        <v>32</v>
      </c>
      <c r="D8950" s="6">
        <v>46402</v>
      </c>
      <c r="E8950" s="3" t="str">
        <f ca="1">IF(Tabela2[[#This Row],[Dt Venc:]]&gt;TODAY(),"Em Aberto",IF(Tabela2[[#This Row],[D/venc]]="-","Enviado",IF(Tabela2[[#This Row],[Dt Venc:]]=TODAY(),"Vence Hoje","Vencida")))</f>
        <v>Em Aberto</v>
      </c>
      <c r="F8950" s="3">
        <f ca="1">IF(G8950=1,"-",Tabela2[[#This Row],[Dt Venc:]]-TODAY())</f>
        <v>709</v>
      </c>
      <c r="G8950" s="3"/>
      <c r="H8950" s="3"/>
    </row>
    <row r="8951" spans="1:8">
      <c r="A8951" s="3">
        <v>894135</v>
      </c>
      <c r="B8951" s="7" t="s">
        <v>253</v>
      </c>
      <c r="C8951" s="100" t="s">
        <v>32</v>
      </c>
      <c r="D8951" s="6">
        <v>46402</v>
      </c>
      <c r="E8951" s="3" t="str">
        <f ca="1">IF(Tabela2[[#This Row],[Dt Venc:]]&gt;TODAY(),"Em Aberto",IF(Tabela2[[#This Row],[D/venc]]="-","Enviado",IF(Tabela2[[#This Row],[Dt Venc:]]=TODAY(),"Vence Hoje","Vencida")))</f>
        <v>Em Aberto</v>
      </c>
      <c r="F8951" s="3">
        <f ca="1">IF(G8951=1,"-",Tabela2[[#This Row],[Dt Venc:]]-TODAY())</f>
        <v>709</v>
      </c>
      <c r="G8951" s="3"/>
      <c r="H8951" s="3"/>
    </row>
    <row r="8952" spans="1:8">
      <c r="A8952" s="3">
        <v>896565</v>
      </c>
      <c r="B8952" s="7" t="s">
        <v>253</v>
      </c>
      <c r="C8952" s="99" t="s">
        <v>32</v>
      </c>
      <c r="D8952" s="6">
        <v>46402</v>
      </c>
      <c r="E8952" s="3" t="str">
        <f ca="1">IF(Tabela2[[#This Row],[Dt Venc:]]&gt;TODAY(),"Em Aberto",IF(Tabela2[[#This Row],[D/venc]]="-","Enviado",IF(Tabela2[[#This Row],[Dt Venc:]]=TODAY(),"Vence Hoje","Vencida")))</f>
        <v>Em Aberto</v>
      </c>
      <c r="F8952" s="3">
        <f ca="1">IF(G8952=1,"-",Tabela2[[#This Row],[Dt Venc:]]-TODAY())</f>
        <v>709</v>
      </c>
      <c r="G8952" s="3"/>
      <c r="H8952" s="3"/>
    </row>
    <row r="8953" spans="1:8">
      <c r="A8953" s="3">
        <v>900386</v>
      </c>
      <c r="B8953" s="7" t="s">
        <v>253</v>
      </c>
      <c r="C8953" s="100" t="s">
        <v>32</v>
      </c>
      <c r="D8953" s="6">
        <v>46402</v>
      </c>
      <c r="E8953" s="3" t="str">
        <f ca="1">IF(Tabela2[[#This Row],[Dt Venc:]]&gt;TODAY(),"Em Aberto",IF(Tabela2[[#This Row],[D/venc]]="-","Enviado",IF(Tabela2[[#This Row],[Dt Venc:]]=TODAY(),"Vence Hoje","Vencida")))</f>
        <v>Em Aberto</v>
      </c>
      <c r="F8953" s="3">
        <f ca="1">IF(G8953=1,"-",Tabela2[[#This Row],[Dt Venc:]]-TODAY())</f>
        <v>709</v>
      </c>
      <c r="G8953" s="3"/>
      <c r="H8953" s="3"/>
    </row>
    <row r="8954" spans="1:8">
      <c r="A8954" s="3">
        <v>901787</v>
      </c>
      <c r="B8954" s="7" t="s">
        <v>253</v>
      </c>
      <c r="C8954" s="99" t="s">
        <v>32</v>
      </c>
      <c r="D8954" s="6">
        <v>46402</v>
      </c>
      <c r="E8954" s="3" t="str">
        <f ca="1">IF(Tabela2[[#This Row],[Dt Venc:]]&gt;TODAY(),"Em Aberto",IF(Tabela2[[#This Row],[D/venc]]="-","Enviado",IF(Tabela2[[#This Row],[Dt Venc:]]=TODAY(),"Vence Hoje","Vencida")))</f>
        <v>Em Aberto</v>
      </c>
      <c r="F8954" s="3">
        <f ca="1">IF(G8954=1,"-",Tabela2[[#This Row],[Dt Venc:]]-TODAY())</f>
        <v>709</v>
      </c>
      <c r="G8954" s="3"/>
      <c r="H8954" s="3"/>
    </row>
    <row r="8955" spans="1:8">
      <c r="A8955" s="3">
        <v>901788</v>
      </c>
      <c r="B8955" s="7" t="s">
        <v>253</v>
      </c>
      <c r="C8955" s="100" t="s">
        <v>32</v>
      </c>
      <c r="D8955" s="6">
        <v>46402</v>
      </c>
      <c r="E8955" s="3" t="str">
        <f ca="1">IF(Tabela2[[#This Row],[Dt Venc:]]&gt;TODAY(),"Em Aberto",IF(Tabela2[[#This Row],[D/venc]]="-","Enviado",IF(Tabela2[[#This Row],[Dt Venc:]]=TODAY(),"Vence Hoje","Vencida")))</f>
        <v>Em Aberto</v>
      </c>
      <c r="F8955" s="3">
        <f ca="1">IF(G8955=1,"-",Tabela2[[#This Row],[Dt Venc:]]-TODAY())</f>
        <v>709</v>
      </c>
      <c r="G8955" s="3"/>
      <c r="H8955" s="3"/>
    </row>
    <row r="8956" spans="1:8">
      <c r="A8956" s="3">
        <v>901789</v>
      </c>
      <c r="B8956" s="7" t="s">
        <v>253</v>
      </c>
      <c r="C8956" s="100" t="s">
        <v>32</v>
      </c>
      <c r="D8956" s="6">
        <v>46402</v>
      </c>
      <c r="E8956" s="3" t="str">
        <f ca="1">IF(Tabela2[[#This Row],[Dt Venc:]]&gt;TODAY(),"Em Aberto",IF(Tabela2[[#This Row],[D/venc]]="-","Enviado",IF(Tabela2[[#This Row],[Dt Venc:]]=TODAY(),"Vence Hoje","Vencida")))</f>
        <v>Em Aberto</v>
      </c>
      <c r="F8956" s="3">
        <f ca="1">IF(G8956=1,"-",Tabela2[[#This Row],[Dt Venc:]]-TODAY())</f>
        <v>709</v>
      </c>
      <c r="G8956" s="3"/>
      <c r="H8956" s="3"/>
    </row>
    <row r="8957" spans="1:8">
      <c r="A8957" s="3">
        <v>912703</v>
      </c>
      <c r="B8957" s="7" t="s">
        <v>253</v>
      </c>
      <c r="C8957" s="100" t="s">
        <v>32</v>
      </c>
      <c r="D8957" s="6">
        <v>46402</v>
      </c>
      <c r="E8957" s="3" t="str">
        <f ca="1">IF(Tabela2[[#This Row],[Dt Venc:]]&gt;TODAY(),"Em Aberto",IF(Tabela2[[#This Row],[D/venc]]="-","Enviado",IF(Tabela2[[#This Row],[Dt Venc:]]=TODAY(),"Vence Hoje","Vencida")))</f>
        <v>Em Aberto</v>
      </c>
      <c r="F8957" s="3">
        <f ca="1">IF(G8957=1,"-",Tabela2[[#This Row],[Dt Venc:]]-TODAY())</f>
        <v>709</v>
      </c>
      <c r="G8957" s="3"/>
      <c r="H8957" s="3"/>
    </row>
    <row r="8958" spans="1:8">
      <c r="A8958" s="3">
        <v>912704</v>
      </c>
      <c r="B8958" s="7" t="s">
        <v>253</v>
      </c>
      <c r="C8958" s="100" t="s">
        <v>32</v>
      </c>
      <c r="D8958" s="6">
        <v>46402</v>
      </c>
      <c r="E8958" s="3" t="str">
        <f ca="1">IF(Tabela2[[#This Row],[Dt Venc:]]&gt;TODAY(),"Em Aberto",IF(Tabela2[[#This Row],[D/venc]]="-","Enviado",IF(Tabela2[[#This Row],[Dt Venc:]]=TODAY(),"Vence Hoje","Vencida")))</f>
        <v>Em Aberto</v>
      </c>
      <c r="F8958" s="3">
        <f ca="1">IF(G8958=1,"-",Tabela2[[#This Row],[Dt Venc:]]-TODAY())</f>
        <v>709</v>
      </c>
      <c r="G8958" s="3"/>
      <c r="H8958" s="3"/>
    </row>
    <row r="8959" spans="1:8">
      <c r="A8959" s="3">
        <v>919728</v>
      </c>
      <c r="B8959" s="7" t="s">
        <v>253</v>
      </c>
      <c r="C8959" s="87" t="s">
        <v>32</v>
      </c>
      <c r="D8959" s="6">
        <v>46402</v>
      </c>
      <c r="E8959" s="3" t="str">
        <f ca="1">IF(Tabela2[[#This Row],[Dt Venc:]]&gt;TODAY(),"Em Aberto",IF(Tabela2[[#This Row],[D/venc]]="-","Enviado",IF(Tabela2[[#This Row],[Dt Venc:]]=TODAY(),"Vence Hoje","Vencida")))</f>
        <v>Em Aberto</v>
      </c>
      <c r="F8959" s="3">
        <f ca="1">IF(G8959=1,"-",Tabela2[[#This Row],[Dt Venc:]]-TODAY())</f>
        <v>709</v>
      </c>
      <c r="G8959" s="3"/>
      <c r="H8959" s="3"/>
    </row>
    <row r="8960" spans="1:8">
      <c r="A8960" s="3">
        <v>919729</v>
      </c>
      <c r="B8960" s="7" t="s">
        <v>253</v>
      </c>
      <c r="C8960" s="85" t="s">
        <v>32</v>
      </c>
      <c r="D8960" s="6">
        <v>46402</v>
      </c>
      <c r="E8960" s="3" t="str">
        <f ca="1">IF(Tabela2[[#This Row],[Dt Venc:]]&gt;TODAY(),"Em Aberto",IF(Tabela2[[#This Row],[D/venc]]="-","Enviado",IF(Tabela2[[#This Row],[Dt Venc:]]=TODAY(),"Vence Hoje","Vencida")))</f>
        <v>Em Aberto</v>
      </c>
      <c r="F8960" s="3">
        <f ca="1">IF(G8960=1,"-",Tabela2[[#This Row],[Dt Venc:]]-TODAY())</f>
        <v>709</v>
      </c>
      <c r="G8960" s="3"/>
      <c r="H8960" s="3"/>
    </row>
    <row r="8961" spans="1:8">
      <c r="A8961" s="3">
        <v>495914</v>
      </c>
      <c r="B8961" s="7" t="s">
        <v>153</v>
      </c>
      <c r="C8961" s="100" t="s">
        <v>32</v>
      </c>
      <c r="D8961" s="6">
        <v>46412</v>
      </c>
      <c r="E8961" s="3" t="str">
        <f ca="1">IF(Tabela2[[#This Row],[Dt Venc:]]&gt;TODAY(),"Em Aberto",IF(Tabela2[[#This Row],[D/venc]]="-","Enviado",IF(Tabela2[[#This Row],[Dt Venc:]]=TODAY(),"Vence Hoje","Vencida")))</f>
        <v>Em Aberto</v>
      </c>
      <c r="F8961" s="3">
        <f ca="1">IF(G8961=1,"-",Tabela2[[#This Row],[Dt Venc:]]-TODAY())</f>
        <v>719</v>
      </c>
      <c r="G8961" s="3"/>
      <c r="H8961" s="3"/>
    </row>
    <row r="8962" spans="1:8">
      <c r="A8962" s="3">
        <v>5690</v>
      </c>
      <c r="B8962" s="7" t="s">
        <v>122</v>
      </c>
      <c r="C8962" s="100" t="s">
        <v>32</v>
      </c>
      <c r="D8962" s="6">
        <v>46414</v>
      </c>
      <c r="E8962" s="3" t="str">
        <f ca="1">IF(Tabela2[[#This Row],[Dt Venc:]]&gt;TODAY(),"Em Aberto",IF(Tabela2[[#This Row],[D/venc]]="-","Enviado",IF(Tabela2[[#This Row],[Dt Venc:]]=TODAY(),"Vence Hoje","Vencida")))</f>
        <v>Em Aberto</v>
      </c>
      <c r="F8962" s="3">
        <f ca="1">IF(G8962=1,"-",Tabela2[[#This Row],[Dt Venc:]]-TODAY())</f>
        <v>721</v>
      </c>
      <c r="G8962" s="3"/>
      <c r="H8962" s="3"/>
    </row>
    <row r="8963" spans="1:8">
      <c r="A8963" s="3">
        <v>11681</v>
      </c>
      <c r="B8963" s="7" t="s">
        <v>82</v>
      </c>
      <c r="C8963" s="87" t="s">
        <v>30</v>
      </c>
      <c r="D8963" s="6">
        <v>46418</v>
      </c>
      <c r="E8963" s="3" t="str">
        <f ca="1">IF(Tabela2[[#This Row],[Dt Venc:]]&gt;TODAY(),"Em Aberto",IF(Tabela2[[#This Row],[D/venc]]="-","Enviado",IF(Tabela2[[#This Row],[Dt Venc:]]=TODAY(),"Vence Hoje","Vencida")))</f>
        <v>Em Aberto</v>
      </c>
      <c r="F8963" s="3">
        <f ca="1">IF(G8963=1,"-",Tabela2[[#This Row],[Dt Venc:]]-TODAY())</f>
        <v>725</v>
      </c>
      <c r="G8963" s="3"/>
      <c r="H8963" s="3"/>
    </row>
    <row r="8964" spans="1:8">
      <c r="A8964" s="3" t="s">
        <v>28</v>
      </c>
      <c r="B8964" s="7" t="s">
        <v>391</v>
      </c>
      <c r="C8964" s="85" t="s">
        <v>30</v>
      </c>
      <c r="D8964" s="6">
        <v>46418</v>
      </c>
      <c r="E8964" s="3" t="str">
        <f ca="1">IF(Tabela2[[#This Row],[Dt Venc:]]&gt;TODAY(),"Em Aberto",IF(Tabela2[[#This Row],[D/venc]]="-","Enviado",IF(Tabela2[[#This Row],[Dt Venc:]]=TODAY(),"Vence Hoje","Vencida")))</f>
        <v>Em Aberto</v>
      </c>
      <c r="F8964" s="3">
        <f ca="1">IF(G8964=1,"-",Tabela2[[#This Row],[Dt Venc:]]-TODAY())</f>
        <v>725</v>
      </c>
      <c r="G8964" s="3"/>
      <c r="H8964" s="3"/>
    </row>
    <row r="8965" spans="1:8">
      <c r="A8965" s="3">
        <v>36949</v>
      </c>
      <c r="B8965" s="7" t="s">
        <v>167</v>
      </c>
      <c r="C8965" s="100" t="s">
        <v>32</v>
      </c>
      <c r="D8965" s="6">
        <v>46419</v>
      </c>
      <c r="E8965" s="3" t="str">
        <f ca="1">IF(Tabela2[[#This Row],[Dt Venc:]]&gt;TODAY(),"Em Aberto",IF(Tabela2[[#This Row],[D/venc]]="-","Enviado",IF(Tabela2[[#This Row],[Dt Venc:]]=TODAY(),"Vence Hoje","Vencida")))</f>
        <v>Em Aberto</v>
      </c>
      <c r="F8965" s="3">
        <f ca="1">IF(G8965=1,"-",Tabela2[[#This Row],[Dt Venc:]]-TODAY())</f>
        <v>726</v>
      </c>
      <c r="G8965" s="3"/>
      <c r="H8965" s="3"/>
    </row>
    <row r="8966" spans="1:8">
      <c r="A8966" s="3">
        <v>10494</v>
      </c>
      <c r="B8966" s="7" t="s">
        <v>82</v>
      </c>
      <c r="C8966" s="88" t="s">
        <v>30</v>
      </c>
      <c r="D8966" s="6">
        <v>46421</v>
      </c>
      <c r="E8966" s="3" t="str">
        <f ca="1">IF(Tabela2[[#This Row],[Dt Venc:]]&gt;TODAY(),"Em Aberto",IF(Tabela2[[#This Row],[D/venc]]="-","Enviado",IF(Tabela2[[#This Row],[Dt Venc:]]=TODAY(),"Vence Hoje","Vencida")))</f>
        <v>Em Aberto</v>
      </c>
      <c r="F8966" s="3">
        <f ca="1">IF(G8966=1,"-",Tabela2[[#This Row],[Dt Venc:]]-TODAY())</f>
        <v>728</v>
      </c>
      <c r="G8966" s="3"/>
      <c r="H8966" s="3"/>
    </row>
    <row r="8967" spans="1:8">
      <c r="A8967" s="3">
        <v>5680</v>
      </c>
      <c r="B8967" s="7" t="s">
        <v>122</v>
      </c>
      <c r="C8967" s="99" t="s">
        <v>32</v>
      </c>
      <c r="D8967" s="6">
        <v>46423</v>
      </c>
      <c r="E8967" s="3" t="str">
        <f ca="1">IF(Tabela2[[#This Row],[Dt Venc:]]&gt;TODAY(),"Em Aberto",IF(Tabela2[[#This Row],[D/venc]]="-","Enviado",IF(Tabela2[[#This Row],[Dt Venc:]]=TODAY(),"Vence Hoje","Vencida")))</f>
        <v>Em Aberto</v>
      </c>
      <c r="F8967" s="3">
        <f ca="1">IF(G8967=1,"-",Tabela2[[#This Row],[Dt Venc:]]-TODAY())</f>
        <v>730</v>
      </c>
      <c r="G8967" s="3"/>
      <c r="H8967" s="3"/>
    </row>
    <row r="8968" spans="1:8">
      <c r="A8968" s="3">
        <v>10353</v>
      </c>
      <c r="B8968" s="7" t="s">
        <v>82</v>
      </c>
      <c r="C8968" s="99" t="s">
        <v>32</v>
      </c>
      <c r="D8968" s="6">
        <v>46423</v>
      </c>
      <c r="E8968" s="3" t="str">
        <f ca="1">IF(Tabela2[[#This Row],[Dt Venc:]]&gt;TODAY(),"Em Aberto",IF(Tabela2[[#This Row],[D/venc]]="-","Enviado",IF(Tabela2[[#This Row],[Dt Venc:]]=TODAY(),"Vence Hoje","Vencida")))</f>
        <v>Em Aberto</v>
      </c>
      <c r="F8968" s="3">
        <f ca="1">IF(G8968=1,"-",Tabela2[[#This Row],[Dt Venc:]]-TODAY())</f>
        <v>730</v>
      </c>
      <c r="G8968" s="3"/>
      <c r="H8968" s="3"/>
    </row>
    <row r="8969" spans="1:8">
      <c r="A8969" s="3">
        <v>284620</v>
      </c>
      <c r="B8969" s="7" t="s">
        <v>153</v>
      </c>
      <c r="C8969" s="100" t="s">
        <v>32</v>
      </c>
      <c r="D8969" s="6">
        <v>46426</v>
      </c>
      <c r="E8969" s="3" t="str">
        <f ca="1">IF(Tabela2[[#This Row],[Dt Venc:]]&gt;TODAY(),"Em Aberto",IF(Tabela2[[#This Row],[D/venc]]="-","Enviado",IF(Tabela2[[#This Row],[Dt Venc:]]=TODAY(),"Vence Hoje","Vencida")))</f>
        <v>Em Aberto</v>
      </c>
      <c r="F8969" s="3">
        <f ca="1">IF(G8969=1,"-",Tabela2[[#This Row],[Dt Venc:]]-TODAY())</f>
        <v>733</v>
      </c>
      <c r="G8969" s="3"/>
      <c r="H8969" s="3"/>
    </row>
    <row r="8970" spans="1:8">
      <c r="A8970" s="3">
        <v>36949</v>
      </c>
      <c r="B8970" s="7" t="s">
        <v>167</v>
      </c>
      <c r="C8970" s="100" t="s">
        <v>32</v>
      </c>
      <c r="D8970" s="6">
        <v>46427</v>
      </c>
      <c r="E8970" s="3" t="str">
        <f ca="1">IF(Tabela2[[#This Row],[Dt Venc:]]&gt;TODAY(),"Em Aberto",IF(Tabela2[[#This Row],[D/venc]]="-","Enviado",IF(Tabela2[[#This Row],[Dt Venc:]]=TODAY(),"Vence Hoje","Vencida")))</f>
        <v>Em Aberto</v>
      </c>
      <c r="F8970" s="3">
        <f ca="1">IF(G8970=1,"-",Tabela2[[#This Row],[Dt Venc:]]-TODAY())</f>
        <v>734</v>
      </c>
      <c r="G8970" s="3"/>
      <c r="H8970" s="3"/>
    </row>
    <row r="8971" spans="1:8">
      <c r="A8971" s="3">
        <v>756561</v>
      </c>
      <c r="B8971" s="7" t="s">
        <v>166</v>
      </c>
      <c r="C8971" s="100" t="s">
        <v>32</v>
      </c>
      <c r="D8971" s="6">
        <v>46427</v>
      </c>
      <c r="E8971" s="3" t="str">
        <f ca="1">IF(Tabela2[[#This Row],[Dt Venc:]]&gt;TODAY(),"Em Aberto",IF(Tabela2[[#This Row],[D/venc]]="-","Enviado",IF(Tabela2[[#This Row],[Dt Venc:]]=TODAY(),"Vence Hoje","Vencida")))</f>
        <v>Em Aberto</v>
      </c>
      <c r="F8971" s="3">
        <f ca="1">IF(G8971=1,"-",Tabela2[[#This Row],[Dt Venc:]]-TODAY())</f>
        <v>734</v>
      </c>
      <c r="G8971" s="3"/>
      <c r="H8971" s="3"/>
    </row>
    <row r="8972" spans="1:8">
      <c r="A8972" s="3">
        <v>562</v>
      </c>
      <c r="B8972" s="7" t="s">
        <v>251</v>
      </c>
      <c r="C8972" s="100" t="s">
        <v>32</v>
      </c>
      <c r="D8972" s="6">
        <v>46433</v>
      </c>
      <c r="E8972" s="3" t="str">
        <f ca="1">IF(Tabela2[[#This Row],[Dt Venc:]]&gt;TODAY(),"Em Aberto",IF(Tabela2[[#This Row],[D/venc]]="-","Enviado",IF(Tabela2[[#This Row],[Dt Venc:]]=TODAY(),"Vence Hoje","Vencida")))</f>
        <v>Em Aberto</v>
      </c>
      <c r="F8972" s="3">
        <f ca="1">IF(G8972=1,"-",Tabela2[[#This Row],[Dt Venc:]]-TODAY())</f>
        <v>740</v>
      </c>
      <c r="G8972" s="3"/>
      <c r="H8972" s="3"/>
    </row>
    <row r="8973" spans="1:8">
      <c r="A8973" s="3">
        <v>103015</v>
      </c>
      <c r="B8973" s="7" t="s">
        <v>252</v>
      </c>
      <c r="C8973" s="100" t="s">
        <v>32</v>
      </c>
      <c r="D8973" s="6">
        <v>46433</v>
      </c>
      <c r="E8973" s="3" t="str">
        <f ca="1">IF(Tabela2[[#This Row],[Dt Venc:]]&gt;TODAY(),"Em Aberto",IF(Tabela2[[#This Row],[D/venc]]="-","Enviado",IF(Tabela2[[#This Row],[Dt Venc:]]=TODAY(),"Vence Hoje","Vencida")))</f>
        <v>Em Aberto</v>
      </c>
      <c r="F8973" s="3">
        <f ca="1">IF(G8973=1,"-",Tabela2[[#This Row],[Dt Venc:]]-TODAY())</f>
        <v>740</v>
      </c>
      <c r="G8973" s="3"/>
      <c r="H8973" s="3"/>
    </row>
    <row r="8974" spans="1:8">
      <c r="A8974" s="3">
        <v>103077</v>
      </c>
      <c r="B8974" s="7" t="s">
        <v>252</v>
      </c>
      <c r="C8974" s="100" t="s">
        <v>32</v>
      </c>
      <c r="D8974" s="6">
        <v>46433</v>
      </c>
      <c r="E8974" s="3" t="str">
        <f ca="1">IF(Tabela2[[#This Row],[Dt Venc:]]&gt;TODAY(),"Em Aberto",IF(Tabela2[[#This Row],[D/venc]]="-","Enviado",IF(Tabela2[[#This Row],[Dt Venc:]]=TODAY(),"Vence Hoje","Vencida")))</f>
        <v>Em Aberto</v>
      </c>
      <c r="F8974" s="3">
        <f ca="1">IF(G8974=1,"-",Tabela2[[#This Row],[Dt Venc:]]-TODAY())</f>
        <v>740</v>
      </c>
      <c r="G8974" s="3"/>
      <c r="H8974" s="3"/>
    </row>
    <row r="8975" spans="1:8">
      <c r="A8975" s="3">
        <v>103153</v>
      </c>
      <c r="B8975" s="7" t="s">
        <v>252</v>
      </c>
      <c r="C8975" s="87" t="s">
        <v>32</v>
      </c>
      <c r="D8975" s="6">
        <v>46433</v>
      </c>
      <c r="E8975" s="3" t="str">
        <f ca="1">IF(Tabela2[[#This Row],[Dt Venc:]]&gt;TODAY(),"Em Aberto",IF(Tabela2[[#This Row],[D/venc]]="-","Enviado",IF(Tabela2[[#This Row],[Dt Venc:]]=TODAY(),"Vence Hoje","Vencida")))</f>
        <v>Em Aberto</v>
      </c>
      <c r="F8975" s="3">
        <f ca="1">IF(G8975=1,"-",Tabela2[[#This Row],[Dt Venc:]]-TODAY())</f>
        <v>740</v>
      </c>
      <c r="G8975" s="3"/>
      <c r="H8975" s="3"/>
    </row>
    <row r="8976" spans="1:8">
      <c r="A8976" s="3">
        <v>103154</v>
      </c>
      <c r="B8976" s="7" t="s">
        <v>252</v>
      </c>
      <c r="C8976" s="100" t="s">
        <v>32</v>
      </c>
      <c r="D8976" s="6">
        <v>46433</v>
      </c>
      <c r="E8976" s="3" t="str">
        <f ca="1">IF(Tabela2[[#This Row],[Dt Venc:]]&gt;TODAY(),"Em Aberto",IF(Tabela2[[#This Row],[D/venc]]="-","Enviado",IF(Tabela2[[#This Row],[Dt Venc:]]=TODAY(),"Vence Hoje","Vencida")))</f>
        <v>Em Aberto</v>
      </c>
      <c r="F8976" s="3">
        <f ca="1">IF(G8976=1,"-",Tabela2[[#This Row],[Dt Venc:]]-TODAY())</f>
        <v>740</v>
      </c>
      <c r="G8976" s="3"/>
      <c r="H8976" s="3"/>
    </row>
    <row r="8977" spans="1:8">
      <c r="A8977" s="3">
        <v>106007</v>
      </c>
      <c r="B8977" s="7" t="s">
        <v>252</v>
      </c>
      <c r="C8977" s="100" t="s">
        <v>32</v>
      </c>
      <c r="D8977" s="6">
        <v>46433</v>
      </c>
      <c r="E8977" s="3" t="str">
        <f ca="1">IF(Tabela2[[#This Row],[Dt Venc:]]&gt;TODAY(),"Em Aberto",IF(Tabela2[[#This Row],[D/venc]]="-","Enviado",IF(Tabela2[[#This Row],[Dt Venc:]]=TODAY(),"Vence Hoje","Vencida")))</f>
        <v>Em Aberto</v>
      </c>
      <c r="F8977" s="3">
        <f ca="1">IF(G8977=1,"-",Tabela2[[#This Row],[Dt Venc:]]-TODAY())</f>
        <v>740</v>
      </c>
      <c r="G8977" s="3"/>
      <c r="H8977" s="3"/>
    </row>
    <row r="8978" spans="1:8">
      <c r="A8978" s="3">
        <v>106043</v>
      </c>
      <c r="B8978" s="7" t="s">
        <v>252</v>
      </c>
      <c r="C8978" s="99" t="s">
        <v>32</v>
      </c>
      <c r="D8978" s="6">
        <v>46433</v>
      </c>
      <c r="E8978" s="3" t="str">
        <f ca="1">IF(Tabela2[[#This Row],[Dt Venc:]]&gt;TODAY(),"Em Aberto",IF(Tabela2[[#This Row],[D/venc]]="-","Enviado",IF(Tabela2[[#This Row],[Dt Venc:]]=TODAY(),"Vence Hoje","Vencida")))</f>
        <v>Em Aberto</v>
      </c>
      <c r="F8978" s="3">
        <f ca="1">IF(G8978=1,"-",Tabela2[[#This Row],[Dt Venc:]]-TODAY())</f>
        <v>740</v>
      </c>
      <c r="G8978" s="3"/>
      <c r="H8978" s="3"/>
    </row>
    <row r="8979" spans="1:8">
      <c r="A8979" s="3">
        <v>107829</v>
      </c>
      <c r="B8979" s="7" t="s">
        <v>252</v>
      </c>
      <c r="C8979" s="100" t="s">
        <v>32</v>
      </c>
      <c r="D8979" s="6">
        <v>46433</v>
      </c>
      <c r="E8979" s="3" t="str">
        <f ca="1">IF(Tabela2[[#This Row],[Dt Venc:]]&gt;TODAY(),"Em Aberto",IF(Tabela2[[#This Row],[D/venc]]="-","Enviado",IF(Tabela2[[#This Row],[Dt Venc:]]=TODAY(),"Vence Hoje","Vencida")))</f>
        <v>Em Aberto</v>
      </c>
      <c r="F8979" s="3">
        <f ca="1">IF(G8979=1,"-",Tabela2[[#This Row],[Dt Venc:]]-TODAY())</f>
        <v>740</v>
      </c>
      <c r="G8979" s="3"/>
      <c r="H8979" s="3"/>
    </row>
    <row r="8980" spans="1:8">
      <c r="A8980" s="3">
        <v>107830</v>
      </c>
      <c r="B8980" s="7" t="s">
        <v>252</v>
      </c>
      <c r="C8980" s="87" t="s">
        <v>32</v>
      </c>
      <c r="D8980" s="6">
        <v>46433</v>
      </c>
      <c r="E8980" s="3" t="str">
        <f ca="1">IF(Tabela2[[#This Row],[Dt Venc:]]&gt;TODAY(),"Em Aberto",IF(Tabela2[[#This Row],[D/venc]]="-","Enviado",IF(Tabela2[[#This Row],[Dt Venc:]]=TODAY(),"Vence Hoje","Vencida")))</f>
        <v>Em Aberto</v>
      </c>
      <c r="F8980" s="3">
        <f ca="1">IF(G8980=1,"-",Tabela2[[#This Row],[Dt Venc:]]-TODAY())</f>
        <v>740</v>
      </c>
      <c r="G8980" s="3"/>
      <c r="H8980" s="3"/>
    </row>
    <row r="8981" spans="1:8">
      <c r="A8981" s="3">
        <v>107831</v>
      </c>
      <c r="B8981" s="7" t="s">
        <v>252</v>
      </c>
      <c r="C8981" s="100" t="s">
        <v>32</v>
      </c>
      <c r="D8981" s="6">
        <v>46433</v>
      </c>
      <c r="E8981" s="3" t="str">
        <f ca="1">IF(Tabela2[[#This Row],[Dt Venc:]]&gt;TODAY(),"Em Aberto",IF(Tabela2[[#This Row],[D/venc]]="-","Enviado",IF(Tabela2[[#This Row],[Dt Venc:]]=TODAY(),"Vence Hoje","Vencida")))</f>
        <v>Em Aberto</v>
      </c>
      <c r="F8981" s="3">
        <f ca="1">IF(G8981=1,"-",Tabela2[[#This Row],[Dt Venc:]]-TODAY())</f>
        <v>740</v>
      </c>
      <c r="G8981" s="3"/>
      <c r="H8981" s="3"/>
    </row>
    <row r="8982" spans="1:8">
      <c r="A8982" s="3">
        <v>107832</v>
      </c>
      <c r="B8982" s="7" t="s">
        <v>252</v>
      </c>
      <c r="C8982" s="100" t="s">
        <v>32</v>
      </c>
      <c r="D8982" s="6">
        <v>46433</v>
      </c>
      <c r="E8982" s="3" t="str">
        <f ca="1">IF(Tabela2[[#This Row],[Dt Venc:]]&gt;TODAY(),"Em Aberto",IF(Tabela2[[#This Row],[D/venc]]="-","Enviado",IF(Tabela2[[#This Row],[Dt Venc:]]=TODAY(),"Vence Hoje","Vencida")))</f>
        <v>Em Aberto</v>
      </c>
      <c r="F8982" s="3">
        <f ca="1">IF(G8982=1,"-",Tabela2[[#This Row],[Dt Venc:]]-TODAY())</f>
        <v>740</v>
      </c>
      <c r="G8982" s="3"/>
      <c r="H8982" s="3"/>
    </row>
    <row r="8983" spans="1:8">
      <c r="A8983" s="3">
        <v>361229</v>
      </c>
      <c r="B8983" s="7" t="s">
        <v>250</v>
      </c>
      <c r="C8983" s="100" t="s">
        <v>32</v>
      </c>
      <c r="D8983" s="6">
        <v>46433</v>
      </c>
      <c r="E8983" s="3" t="str">
        <f ca="1">IF(Tabela2[[#This Row],[Dt Venc:]]&gt;TODAY(),"Em Aberto",IF(Tabela2[[#This Row],[D/venc]]="-","Enviado",IF(Tabela2[[#This Row],[Dt Venc:]]=TODAY(),"Vence Hoje","Vencida")))</f>
        <v>Em Aberto</v>
      </c>
      <c r="F8983" s="3">
        <f ca="1">IF(G8983=1,"-",Tabela2[[#This Row],[Dt Venc:]]-TODAY())</f>
        <v>740</v>
      </c>
      <c r="G8983" s="3"/>
      <c r="H8983" s="3"/>
    </row>
    <row r="8984" spans="1:8">
      <c r="A8984" s="3">
        <v>361237</v>
      </c>
      <c r="B8984" s="7" t="s">
        <v>250</v>
      </c>
      <c r="C8984" s="100" t="s">
        <v>32</v>
      </c>
      <c r="D8984" s="6">
        <v>46433</v>
      </c>
      <c r="E8984" s="3" t="str">
        <f ca="1">IF(Tabela2[[#This Row],[Dt Venc:]]&gt;TODAY(),"Em Aberto",IF(Tabela2[[#This Row],[D/venc]]="-","Enviado",IF(Tabela2[[#This Row],[Dt Venc:]]=TODAY(),"Vence Hoje","Vencida")))</f>
        <v>Em Aberto</v>
      </c>
      <c r="F8984" s="3">
        <f ca="1">IF(G8984=1,"-",Tabela2[[#This Row],[Dt Venc:]]-TODAY())</f>
        <v>740</v>
      </c>
      <c r="G8984" s="3"/>
      <c r="H8984" s="3"/>
    </row>
    <row r="8985" spans="1:8">
      <c r="A8985" s="3">
        <v>365658</v>
      </c>
      <c r="B8985" s="7" t="s">
        <v>250</v>
      </c>
      <c r="C8985" s="100" t="s">
        <v>32</v>
      </c>
      <c r="D8985" s="6">
        <v>46433</v>
      </c>
      <c r="E8985" s="3" t="str">
        <f ca="1">IF(Tabela2[[#This Row],[Dt Venc:]]&gt;TODAY(),"Em Aberto",IF(Tabela2[[#This Row],[D/venc]]="-","Enviado",IF(Tabela2[[#This Row],[Dt Venc:]]=TODAY(),"Vence Hoje","Vencida")))</f>
        <v>Em Aberto</v>
      </c>
      <c r="F8985" s="3">
        <f ca="1">IF(G8985=1,"-",Tabela2[[#This Row],[Dt Venc:]]-TODAY())</f>
        <v>740</v>
      </c>
      <c r="G8985" s="3"/>
      <c r="H8985" s="3"/>
    </row>
    <row r="8986" spans="1:8">
      <c r="A8986" s="3">
        <v>365666</v>
      </c>
      <c r="B8986" s="7" t="s">
        <v>250</v>
      </c>
      <c r="C8986" s="100" t="s">
        <v>32</v>
      </c>
      <c r="D8986" s="6">
        <v>46433</v>
      </c>
      <c r="E8986" s="3" t="str">
        <f ca="1">IF(Tabela2[[#This Row],[Dt Venc:]]&gt;TODAY(),"Em Aberto",IF(Tabela2[[#This Row],[D/venc]]="-","Enviado",IF(Tabela2[[#This Row],[Dt Venc:]]=TODAY(),"Vence Hoje","Vencida")))</f>
        <v>Em Aberto</v>
      </c>
      <c r="F8986" s="3">
        <f ca="1">IF(G8986=1,"-",Tabela2[[#This Row],[Dt Venc:]]-TODAY())</f>
        <v>740</v>
      </c>
      <c r="G8986" s="3"/>
      <c r="H8986" s="3"/>
    </row>
    <row r="8987" spans="1:8">
      <c r="A8987" s="3">
        <v>365674</v>
      </c>
      <c r="B8987" s="7" t="s">
        <v>250</v>
      </c>
      <c r="C8987" s="100" t="s">
        <v>32</v>
      </c>
      <c r="D8987" s="6">
        <v>46433</v>
      </c>
      <c r="E8987" s="3" t="str">
        <f ca="1">IF(Tabela2[[#This Row],[Dt Venc:]]&gt;TODAY(),"Em Aberto",IF(Tabela2[[#This Row],[D/venc]]="-","Enviado",IF(Tabela2[[#This Row],[Dt Venc:]]=TODAY(),"Vence Hoje","Vencida")))</f>
        <v>Em Aberto</v>
      </c>
      <c r="F8987" s="3">
        <f ca="1">IF(G8987=1,"-",Tabela2[[#This Row],[Dt Venc:]]-TODAY())</f>
        <v>740</v>
      </c>
      <c r="G8987" s="3"/>
      <c r="H8987" s="3"/>
    </row>
    <row r="8988" spans="1:8">
      <c r="A8988" s="3">
        <v>365682</v>
      </c>
      <c r="B8988" s="7" t="s">
        <v>250</v>
      </c>
      <c r="C8988" s="99" t="s">
        <v>32</v>
      </c>
      <c r="D8988" s="6">
        <v>46433</v>
      </c>
      <c r="E8988" s="3" t="str">
        <f ca="1">IF(Tabela2[[#This Row],[Dt Venc:]]&gt;TODAY(),"Em Aberto",IF(Tabela2[[#This Row],[D/venc]]="-","Enviado",IF(Tabela2[[#This Row],[Dt Venc:]]=TODAY(),"Vence Hoje","Vencida")))</f>
        <v>Em Aberto</v>
      </c>
      <c r="F8988" s="3">
        <f ca="1">IF(G8988=1,"-",Tabela2[[#This Row],[Dt Venc:]]-TODAY())</f>
        <v>740</v>
      </c>
      <c r="G8988" s="3"/>
      <c r="H8988" s="3"/>
    </row>
    <row r="8989" spans="1:8">
      <c r="A8989" s="3">
        <v>369335</v>
      </c>
      <c r="B8989" s="7" t="s">
        <v>543</v>
      </c>
      <c r="C8989" s="87" t="s">
        <v>32</v>
      </c>
      <c r="D8989" s="6">
        <v>46433</v>
      </c>
      <c r="E8989" s="3" t="str">
        <f ca="1">IF(Tabela2[[#This Row],[Dt Venc:]]&gt;TODAY(),"Em Aberto",IF(Tabela2[[#This Row],[D/venc]]="-","Enviado",IF(Tabela2[[#This Row],[Dt Venc:]]=TODAY(),"Vence Hoje","Vencida")))</f>
        <v>Em Aberto</v>
      </c>
      <c r="F8989" s="3">
        <f ca="1">IF(G8989=1,"-",Tabela2[[#This Row],[Dt Venc:]]-TODAY())</f>
        <v>740</v>
      </c>
      <c r="G8989" s="3"/>
      <c r="H8989" s="3"/>
    </row>
    <row r="8990" spans="1:8">
      <c r="A8990" s="3">
        <v>369696</v>
      </c>
      <c r="B8990" s="7" t="s">
        <v>543</v>
      </c>
      <c r="C8990" s="87" t="s">
        <v>32</v>
      </c>
      <c r="D8990" s="6">
        <v>46433</v>
      </c>
      <c r="E8990" s="3" t="str">
        <f ca="1">IF(Tabela2[[#This Row],[Dt Venc:]]&gt;TODAY(),"Em Aberto",IF(Tabela2[[#This Row],[D/venc]]="-","Enviado",IF(Tabela2[[#This Row],[Dt Venc:]]=TODAY(),"Vence Hoje","Vencida")))</f>
        <v>Em Aberto</v>
      </c>
      <c r="F8990" s="3">
        <f ca="1">IF(G8990=1,"-",Tabela2[[#This Row],[Dt Venc:]]-TODAY())</f>
        <v>740</v>
      </c>
      <c r="G8990" s="3"/>
      <c r="H8990" s="3"/>
    </row>
    <row r="8991" spans="1:8">
      <c r="A8991" s="3">
        <v>369726</v>
      </c>
      <c r="B8991" s="7" t="s">
        <v>543</v>
      </c>
      <c r="C8991" s="87" t="s">
        <v>32</v>
      </c>
      <c r="D8991" s="6">
        <v>46433</v>
      </c>
      <c r="E8991" s="3" t="str">
        <f ca="1">IF(Tabela2[[#This Row],[Dt Venc:]]&gt;TODAY(),"Em Aberto",IF(Tabela2[[#This Row],[D/venc]]="-","Enviado",IF(Tabela2[[#This Row],[Dt Venc:]]=TODAY(),"Vence Hoje","Vencida")))</f>
        <v>Em Aberto</v>
      </c>
      <c r="F8991" s="3">
        <f ca="1">IF(G8991=1,"-",Tabela2[[#This Row],[Dt Venc:]]-TODAY())</f>
        <v>740</v>
      </c>
      <c r="G8991" s="3"/>
      <c r="H8991" s="3"/>
    </row>
    <row r="8992" spans="1:8">
      <c r="A8992" s="3">
        <v>369751</v>
      </c>
      <c r="B8992" s="7" t="s">
        <v>543</v>
      </c>
      <c r="C8992" s="87" t="s">
        <v>32</v>
      </c>
      <c r="D8992" s="6">
        <v>46433</v>
      </c>
      <c r="E8992" s="3" t="str">
        <f ca="1">IF(Tabela2[[#This Row],[Dt Venc:]]&gt;TODAY(),"Em Aberto",IF(Tabela2[[#This Row],[D/venc]]="-","Enviado",IF(Tabela2[[#This Row],[Dt Venc:]]=TODAY(),"Vence Hoje","Vencida")))</f>
        <v>Em Aberto</v>
      </c>
      <c r="F8992" s="3">
        <f ca="1">IF(G8992=1,"-",Tabela2[[#This Row],[Dt Venc:]]-TODAY())</f>
        <v>740</v>
      </c>
      <c r="G8992" s="3"/>
      <c r="H8992" s="3"/>
    </row>
    <row r="8993" spans="1:8">
      <c r="A8993" s="3">
        <v>370201</v>
      </c>
      <c r="B8993" s="7" t="s">
        <v>543</v>
      </c>
      <c r="C8993" s="87" t="s">
        <v>32</v>
      </c>
      <c r="D8993" s="6">
        <v>46433</v>
      </c>
      <c r="E8993" s="3" t="str">
        <f ca="1">IF(Tabela2[[#This Row],[Dt Venc:]]&gt;TODAY(),"Em Aberto",IF(Tabela2[[#This Row],[D/venc]]="-","Enviado",IF(Tabela2[[#This Row],[Dt Venc:]]=TODAY(),"Vence Hoje","Vencida")))</f>
        <v>Em Aberto</v>
      </c>
      <c r="F8993" s="3">
        <f ca="1">IF(G8993=1,"-",Tabela2[[#This Row],[Dt Venc:]]-TODAY())</f>
        <v>740</v>
      </c>
      <c r="G8993" s="3"/>
      <c r="H8993" s="3"/>
    </row>
    <row r="8994" spans="1:8">
      <c r="A8994" s="3">
        <v>370864</v>
      </c>
      <c r="B8994" s="7" t="s">
        <v>543</v>
      </c>
      <c r="C8994" s="87" t="s">
        <v>32</v>
      </c>
      <c r="D8994" s="6">
        <v>46433</v>
      </c>
      <c r="E8994" s="3" t="str">
        <f ca="1">IF(Tabela2[[#This Row],[Dt Venc:]]&gt;TODAY(),"Em Aberto",IF(Tabela2[[#This Row],[D/venc]]="-","Enviado",IF(Tabela2[[#This Row],[Dt Venc:]]=TODAY(),"Vence Hoje","Vencida")))</f>
        <v>Em Aberto</v>
      </c>
      <c r="F8994" s="3">
        <f ca="1">IF(G8994=1,"-",Tabela2[[#This Row],[Dt Venc:]]-TODAY())</f>
        <v>740</v>
      </c>
      <c r="G8994" s="3"/>
      <c r="H8994" s="3"/>
    </row>
    <row r="8995" spans="1:8">
      <c r="A8995" s="3">
        <v>371011</v>
      </c>
      <c r="B8995" s="7" t="s">
        <v>633</v>
      </c>
      <c r="C8995" s="87" t="s">
        <v>32</v>
      </c>
      <c r="D8995" s="6">
        <v>46433</v>
      </c>
      <c r="E8995" s="3" t="str">
        <f ca="1">IF(Tabela2[[#This Row],[Dt Venc:]]&gt;TODAY(),"Em Aberto",IF(Tabela2[[#This Row],[D/venc]]="-","Enviado",IF(Tabela2[[#This Row],[Dt Venc:]]=TODAY(),"Vence Hoje","Vencida")))</f>
        <v>Em Aberto</v>
      </c>
      <c r="F8995" s="3">
        <f ca="1">IF(G8995=1,"-",Tabela2[[#This Row],[Dt Venc:]]-TODAY())</f>
        <v>740</v>
      </c>
      <c r="G8995" s="3"/>
      <c r="H8995" s="3"/>
    </row>
    <row r="8996" spans="1:8">
      <c r="A8996" s="3">
        <v>371160</v>
      </c>
      <c r="B8996" s="7" t="s">
        <v>633</v>
      </c>
      <c r="C8996" s="87" t="s">
        <v>32</v>
      </c>
      <c r="D8996" s="6">
        <v>46433</v>
      </c>
      <c r="E8996" s="3" t="str">
        <f ca="1">IF(Tabela2[[#This Row],[Dt Venc:]]&gt;TODAY(),"Em Aberto",IF(Tabela2[[#This Row],[D/venc]]="-","Enviado",IF(Tabela2[[#This Row],[Dt Venc:]]=TODAY(),"Vence Hoje","Vencida")))</f>
        <v>Em Aberto</v>
      </c>
      <c r="F8996" s="3">
        <f ca="1">IF(G8996=1,"-",Tabela2[[#This Row],[Dt Venc:]]-TODAY())</f>
        <v>740</v>
      </c>
      <c r="G8996" s="3"/>
      <c r="H8996" s="3"/>
    </row>
    <row r="8997" spans="1:8">
      <c r="A8997" s="3">
        <v>892178</v>
      </c>
      <c r="B8997" s="7" t="s">
        <v>253</v>
      </c>
      <c r="C8997" s="99" t="s">
        <v>32</v>
      </c>
      <c r="D8997" s="6">
        <v>46433</v>
      </c>
      <c r="E8997" s="3" t="str">
        <f ca="1">IF(Tabela2[[#This Row],[Dt Venc:]]&gt;TODAY(),"Em Aberto",IF(Tabela2[[#This Row],[D/venc]]="-","Enviado",IF(Tabela2[[#This Row],[Dt Venc:]]=TODAY(),"Vence Hoje","Vencida")))</f>
        <v>Em Aberto</v>
      </c>
      <c r="F8997" s="3">
        <f ca="1">IF(G8997=1,"-",Tabela2[[#This Row],[Dt Venc:]]-TODAY())</f>
        <v>740</v>
      </c>
      <c r="G8997" s="3"/>
      <c r="H8997" s="3"/>
    </row>
    <row r="8998" spans="1:8">
      <c r="A8998" s="3">
        <v>894135</v>
      </c>
      <c r="B8998" s="7" t="s">
        <v>253</v>
      </c>
      <c r="C8998" s="99" t="s">
        <v>32</v>
      </c>
      <c r="D8998" s="6">
        <v>46433</v>
      </c>
      <c r="E8998" s="3" t="str">
        <f ca="1">IF(Tabela2[[#This Row],[Dt Venc:]]&gt;TODAY(),"Em Aberto",IF(Tabela2[[#This Row],[D/venc]]="-","Enviado",IF(Tabela2[[#This Row],[Dt Venc:]]=TODAY(),"Vence Hoje","Vencida")))</f>
        <v>Em Aberto</v>
      </c>
      <c r="F8998" s="3">
        <f ca="1">IF(G8998=1,"-",Tabela2[[#This Row],[Dt Venc:]]-TODAY())</f>
        <v>740</v>
      </c>
      <c r="G8998" s="3"/>
      <c r="H8998" s="3"/>
    </row>
    <row r="8999" spans="1:8">
      <c r="A8999" s="3">
        <v>896565</v>
      </c>
      <c r="B8999" s="7" t="s">
        <v>253</v>
      </c>
      <c r="C8999" s="99" t="s">
        <v>32</v>
      </c>
      <c r="D8999" s="6">
        <v>46433</v>
      </c>
      <c r="E8999" s="3" t="str">
        <f ca="1">IF(Tabela2[[#This Row],[Dt Venc:]]&gt;TODAY(),"Em Aberto",IF(Tabela2[[#This Row],[D/venc]]="-","Enviado",IF(Tabela2[[#This Row],[Dt Venc:]]=TODAY(),"Vence Hoje","Vencida")))</f>
        <v>Em Aberto</v>
      </c>
      <c r="F8999" s="3">
        <f ca="1">IF(G8999=1,"-",Tabela2[[#This Row],[Dt Venc:]]-TODAY())</f>
        <v>740</v>
      </c>
      <c r="G8999" s="3"/>
      <c r="H8999" s="3"/>
    </row>
    <row r="9000" spans="1:8">
      <c r="A9000" s="3">
        <v>900386</v>
      </c>
      <c r="B9000" s="7" t="s">
        <v>253</v>
      </c>
      <c r="C9000" s="100" t="s">
        <v>32</v>
      </c>
      <c r="D9000" s="6">
        <v>46433</v>
      </c>
      <c r="E9000" s="3" t="str">
        <f ca="1">IF(Tabela2[[#This Row],[Dt Venc:]]&gt;TODAY(),"Em Aberto",IF(Tabela2[[#This Row],[D/venc]]="-","Enviado",IF(Tabela2[[#This Row],[Dt Venc:]]=TODAY(),"Vence Hoje","Vencida")))</f>
        <v>Em Aberto</v>
      </c>
      <c r="F9000" s="3">
        <f ca="1">IF(G9000=1,"-",Tabela2[[#This Row],[Dt Venc:]]-TODAY())</f>
        <v>740</v>
      </c>
      <c r="G9000" s="3"/>
      <c r="H9000" s="3"/>
    </row>
    <row r="9001" spans="1:8">
      <c r="A9001" s="3">
        <v>901787</v>
      </c>
      <c r="B9001" s="7" t="s">
        <v>253</v>
      </c>
      <c r="C9001" s="99" t="s">
        <v>32</v>
      </c>
      <c r="D9001" s="6">
        <v>46433</v>
      </c>
      <c r="E9001" s="3" t="str">
        <f ca="1">IF(Tabela2[[#This Row],[Dt Venc:]]&gt;TODAY(),"Em Aberto",IF(Tabela2[[#This Row],[D/venc]]="-","Enviado",IF(Tabela2[[#This Row],[Dt Venc:]]=TODAY(),"Vence Hoje","Vencida")))</f>
        <v>Em Aberto</v>
      </c>
      <c r="F9001" s="3">
        <f ca="1">IF(G9001=1,"-",Tabela2[[#This Row],[Dt Venc:]]-TODAY())</f>
        <v>740</v>
      </c>
      <c r="G9001" s="3"/>
      <c r="H9001" s="3"/>
    </row>
    <row r="9002" spans="1:8">
      <c r="A9002" s="3">
        <v>901788</v>
      </c>
      <c r="B9002" s="7" t="s">
        <v>253</v>
      </c>
      <c r="C9002" s="99" t="s">
        <v>32</v>
      </c>
      <c r="D9002" s="6">
        <v>46433</v>
      </c>
      <c r="E9002" s="3" t="str">
        <f ca="1">IF(Tabela2[[#This Row],[Dt Venc:]]&gt;TODAY(),"Em Aberto",IF(Tabela2[[#This Row],[D/venc]]="-","Enviado",IF(Tabela2[[#This Row],[Dt Venc:]]=TODAY(),"Vence Hoje","Vencida")))</f>
        <v>Em Aberto</v>
      </c>
      <c r="F9002" s="3">
        <f ca="1">IF(G9002=1,"-",Tabela2[[#This Row],[Dt Venc:]]-TODAY())</f>
        <v>740</v>
      </c>
      <c r="G9002" s="3"/>
      <c r="H9002" s="3"/>
    </row>
    <row r="9003" spans="1:8">
      <c r="A9003" s="3">
        <v>901789</v>
      </c>
      <c r="B9003" s="7" t="s">
        <v>253</v>
      </c>
      <c r="C9003" s="99" t="s">
        <v>32</v>
      </c>
      <c r="D9003" s="6">
        <v>46433</v>
      </c>
      <c r="E9003" s="3" t="str">
        <f ca="1">IF(Tabela2[[#This Row],[Dt Venc:]]&gt;TODAY(),"Em Aberto",IF(Tabela2[[#This Row],[D/venc]]="-","Enviado",IF(Tabela2[[#This Row],[Dt Venc:]]=TODAY(),"Vence Hoje","Vencida")))</f>
        <v>Em Aberto</v>
      </c>
      <c r="F9003" s="3">
        <f ca="1">IF(G9003=1,"-",Tabela2[[#This Row],[Dt Venc:]]-TODAY())</f>
        <v>740</v>
      </c>
      <c r="G9003" s="3"/>
      <c r="H9003" s="3"/>
    </row>
    <row r="9004" spans="1:8">
      <c r="A9004" s="3">
        <v>912703</v>
      </c>
      <c r="B9004" s="7" t="s">
        <v>253</v>
      </c>
      <c r="C9004" s="99" t="s">
        <v>32</v>
      </c>
      <c r="D9004" s="6">
        <v>46433</v>
      </c>
      <c r="E9004" s="3" t="str">
        <f ca="1">IF(Tabela2[[#This Row],[Dt Venc:]]&gt;TODAY(),"Em Aberto",IF(Tabela2[[#This Row],[D/venc]]="-","Enviado",IF(Tabela2[[#This Row],[Dt Venc:]]=TODAY(),"Vence Hoje","Vencida")))</f>
        <v>Em Aberto</v>
      </c>
      <c r="F9004" s="3">
        <f ca="1">IF(G9004=1,"-",Tabela2[[#This Row],[Dt Venc:]]-TODAY())</f>
        <v>740</v>
      </c>
      <c r="G9004" s="3"/>
      <c r="H9004" s="3"/>
    </row>
    <row r="9005" spans="1:8">
      <c r="A9005" s="3">
        <v>912704</v>
      </c>
      <c r="B9005" s="7" t="s">
        <v>253</v>
      </c>
      <c r="C9005" s="99" t="s">
        <v>32</v>
      </c>
      <c r="D9005" s="6">
        <v>46433</v>
      </c>
      <c r="E9005" s="3" t="str">
        <f ca="1">IF(Tabela2[[#This Row],[Dt Venc:]]&gt;TODAY(),"Em Aberto",IF(Tabela2[[#This Row],[D/venc]]="-","Enviado",IF(Tabela2[[#This Row],[Dt Venc:]]=TODAY(),"Vence Hoje","Vencida")))</f>
        <v>Em Aberto</v>
      </c>
      <c r="F9005" s="3">
        <f ca="1">IF(G9005=1,"-",Tabela2[[#This Row],[Dt Venc:]]-TODAY())</f>
        <v>740</v>
      </c>
      <c r="G9005" s="3"/>
      <c r="H9005" s="3"/>
    </row>
    <row r="9006" spans="1:8">
      <c r="A9006" s="3">
        <v>919728</v>
      </c>
      <c r="B9006" s="7" t="s">
        <v>253</v>
      </c>
      <c r="C9006" s="87" t="s">
        <v>32</v>
      </c>
      <c r="D9006" s="6">
        <v>46433</v>
      </c>
      <c r="E9006" s="3" t="str">
        <f ca="1">IF(Tabela2[[#This Row],[Dt Venc:]]&gt;TODAY(),"Em Aberto",IF(Tabela2[[#This Row],[D/venc]]="-","Enviado",IF(Tabela2[[#This Row],[Dt Venc:]]=TODAY(),"Vence Hoje","Vencida")))</f>
        <v>Em Aberto</v>
      </c>
      <c r="F9006" s="3">
        <f ca="1">IF(G9006=1,"-",Tabela2[[#This Row],[Dt Venc:]]-TODAY())</f>
        <v>740</v>
      </c>
      <c r="G9006" s="3"/>
      <c r="H9006" s="3"/>
    </row>
    <row r="9007" spans="1:8">
      <c r="A9007" s="3">
        <v>919729</v>
      </c>
      <c r="B9007" s="7" t="s">
        <v>253</v>
      </c>
      <c r="C9007" s="87" t="s">
        <v>32</v>
      </c>
      <c r="D9007" s="6">
        <v>46433</v>
      </c>
      <c r="E9007" s="3" t="str">
        <f ca="1">IF(Tabela2[[#This Row],[Dt Venc:]]&gt;TODAY(),"Em Aberto",IF(Tabela2[[#This Row],[D/venc]]="-","Enviado",IF(Tabela2[[#This Row],[Dt Venc:]]=TODAY(),"Vence Hoje","Vencida")))</f>
        <v>Em Aberto</v>
      </c>
      <c r="F9007" s="3">
        <f ca="1">IF(G9007=1,"-",Tabela2[[#This Row],[Dt Venc:]]-TODAY())</f>
        <v>740</v>
      </c>
      <c r="G9007" s="3"/>
      <c r="H9007" s="3"/>
    </row>
    <row r="9008" spans="1:8">
      <c r="A9008" s="3">
        <v>495914</v>
      </c>
      <c r="B9008" s="7" t="s">
        <v>153</v>
      </c>
      <c r="C9008" s="99" t="s">
        <v>32</v>
      </c>
      <c r="D9008" s="6">
        <v>46443</v>
      </c>
      <c r="E9008" s="3" t="str">
        <f ca="1">IF(Tabela2[[#This Row],[Dt Venc:]]&gt;TODAY(),"Em Aberto",IF(Tabela2[[#This Row],[D/venc]]="-","Enviado",IF(Tabela2[[#This Row],[Dt Venc:]]=TODAY(),"Vence Hoje","Vencida")))</f>
        <v>Em Aberto</v>
      </c>
      <c r="F9008" s="3">
        <f ca="1">IF(G9008=1,"-",Tabela2[[#This Row],[Dt Venc:]]-TODAY())</f>
        <v>750</v>
      </c>
      <c r="G9008" s="3"/>
      <c r="H9008" s="3"/>
    </row>
    <row r="9009" spans="1:8">
      <c r="A9009" s="3">
        <v>5690</v>
      </c>
      <c r="B9009" s="7" t="s">
        <v>122</v>
      </c>
      <c r="C9009" s="99" t="s">
        <v>32</v>
      </c>
      <c r="D9009" s="6">
        <v>46445</v>
      </c>
      <c r="E9009" s="3" t="str">
        <f ca="1">IF(Tabela2[[#This Row],[Dt Venc:]]&gt;TODAY(),"Em Aberto",IF(Tabela2[[#This Row],[D/venc]]="-","Enviado",IF(Tabela2[[#This Row],[Dt Venc:]]=TODAY(),"Vence Hoje","Vencida")))</f>
        <v>Em Aberto</v>
      </c>
      <c r="F9009" s="3">
        <f ca="1">IF(G9009=1,"-",Tabela2[[#This Row],[Dt Venc:]]-TODAY())</f>
        <v>752</v>
      </c>
      <c r="G9009" s="3"/>
      <c r="H9009" s="3"/>
    </row>
    <row r="9010" spans="1:8">
      <c r="A9010" s="3">
        <v>11681</v>
      </c>
      <c r="B9010" s="7" t="s">
        <v>82</v>
      </c>
      <c r="C9010" s="87" t="s">
        <v>30</v>
      </c>
      <c r="D9010" s="6">
        <v>46446</v>
      </c>
      <c r="E9010" s="3" t="str">
        <f ca="1">IF(Tabela2[[#This Row],[Dt Venc:]]&gt;TODAY(),"Em Aberto",IF(Tabela2[[#This Row],[D/venc]]="-","Enviado",IF(Tabela2[[#This Row],[Dt Venc:]]=TODAY(),"Vence Hoje","Vencida")))</f>
        <v>Em Aberto</v>
      </c>
      <c r="F9010" s="3">
        <f ca="1">IF(G9010=1,"-",Tabela2[[#This Row],[Dt Venc:]]-TODAY())</f>
        <v>753</v>
      </c>
      <c r="G9010" s="3"/>
      <c r="H9010" s="3"/>
    </row>
    <row r="9011" spans="1:8">
      <c r="A9011" s="3" t="s">
        <v>28</v>
      </c>
      <c r="B9011" s="7" t="s">
        <v>391</v>
      </c>
      <c r="C9011" s="85" t="s">
        <v>30</v>
      </c>
      <c r="D9011" s="6">
        <v>46446</v>
      </c>
      <c r="E9011" s="3" t="str">
        <f ca="1">IF(Tabela2[[#This Row],[Dt Venc:]]&gt;TODAY(),"Em Aberto",IF(Tabela2[[#This Row],[D/venc]]="-","Enviado",IF(Tabela2[[#This Row],[Dt Venc:]]=TODAY(),"Vence Hoje","Vencida")))</f>
        <v>Em Aberto</v>
      </c>
      <c r="F9011" s="3">
        <f ca="1">IF(G9011=1,"-",Tabela2[[#This Row],[Dt Venc:]]-TODAY())</f>
        <v>753</v>
      </c>
      <c r="G9011" s="3"/>
      <c r="H9011" s="3"/>
    </row>
    <row r="9012" spans="1:8">
      <c r="A9012" s="3">
        <v>10494</v>
      </c>
      <c r="B9012" s="7" t="s">
        <v>82</v>
      </c>
      <c r="C9012" s="86" t="s">
        <v>30</v>
      </c>
      <c r="D9012" s="6">
        <v>46449</v>
      </c>
      <c r="E9012" s="3" t="str">
        <f ca="1">IF(Tabela2[[#This Row],[Dt Venc:]]&gt;TODAY(),"Em Aberto",IF(Tabela2[[#This Row],[D/venc]]="-","Enviado",IF(Tabela2[[#This Row],[Dt Venc:]]=TODAY(),"Vence Hoje","Vencida")))</f>
        <v>Em Aberto</v>
      </c>
      <c r="F9012" s="3">
        <f ca="1">IF(G9012=1,"-",Tabela2[[#This Row],[Dt Venc:]]-TODAY())</f>
        <v>756</v>
      </c>
      <c r="G9012" s="3"/>
      <c r="H9012" s="3"/>
    </row>
    <row r="9013" spans="1:8">
      <c r="A9013" s="3">
        <v>5680</v>
      </c>
      <c r="B9013" s="7" t="s">
        <v>122</v>
      </c>
      <c r="C9013" s="99" t="s">
        <v>32</v>
      </c>
      <c r="D9013" s="6">
        <v>46451</v>
      </c>
      <c r="E9013" s="3" t="str">
        <f ca="1">IF(Tabela2[[#This Row],[Dt Venc:]]&gt;TODAY(),"Em Aberto",IF(Tabela2[[#This Row],[D/venc]]="-","Enviado",IF(Tabela2[[#This Row],[Dt Venc:]]=TODAY(),"Vence Hoje","Vencida")))</f>
        <v>Em Aberto</v>
      </c>
      <c r="F9013" s="3">
        <f ca="1">IF(G9013=1,"-",Tabela2[[#This Row],[Dt Venc:]]-TODAY())</f>
        <v>758</v>
      </c>
      <c r="G9013" s="3"/>
      <c r="H9013" s="3"/>
    </row>
    <row r="9014" spans="1:8">
      <c r="A9014" s="3">
        <v>10353</v>
      </c>
      <c r="B9014" s="7" t="s">
        <v>82</v>
      </c>
      <c r="C9014" s="99" t="s">
        <v>32</v>
      </c>
      <c r="D9014" s="6">
        <v>46451</v>
      </c>
      <c r="E9014" s="3" t="str">
        <f ca="1">IF(Tabela2[[#This Row],[Dt Venc:]]&gt;TODAY(),"Em Aberto",IF(Tabela2[[#This Row],[D/venc]]="-","Enviado",IF(Tabela2[[#This Row],[Dt Venc:]]=TODAY(),"Vence Hoje","Vencida")))</f>
        <v>Em Aberto</v>
      </c>
      <c r="F9014" s="3">
        <f ca="1">IF(G9014=1,"-",Tabela2[[#This Row],[Dt Venc:]]-TODAY())</f>
        <v>758</v>
      </c>
      <c r="G9014" s="3"/>
      <c r="H9014" s="3"/>
    </row>
    <row r="9015" spans="1:8">
      <c r="A9015" s="3">
        <v>284620</v>
      </c>
      <c r="B9015" s="7" t="s">
        <v>153</v>
      </c>
      <c r="C9015" s="99" t="s">
        <v>32</v>
      </c>
      <c r="D9015" s="6">
        <v>46454</v>
      </c>
      <c r="E9015" s="3" t="str">
        <f ca="1">IF(Tabela2[[#This Row],[Dt Venc:]]&gt;TODAY(),"Em Aberto",IF(Tabela2[[#This Row],[D/venc]]="-","Enviado",IF(Tabela2[[#This Row],[Dt Venc:]]=TODAY(),"Vence Hoje","Vencida")))</f>
        <v>Em Aberto</v>
      </c>
      <c r="F9015" s="3">
        <f ca="1">IF(G9015=1,"-",Tabela2[[#This Row],[Dt Venc:]]-TODAY())</f>
        <v>761</v>
      </c>
      <c r="G9015" s="3"/>
      <c r="H9015" s="3"/>
    </row>
    <row r="9016" spans="1:8">
      <c r="A9016" s="3">
        <v>36949</v>
      </c>
      <c r="B9016" s="7" t="s">
        <v>167</v>
      </c>
      <c r="C9016" s="99" t="s">
        <v>32</v>
      </c>
      <c r="D9016" s="6">
        <v>46455</v>
      </c>
      <c r="E9016" s="3" t="str">
        <f ca="1">IF(Tabela2[[#This Row],[Dt Venc:]]&gt;TODAY(),"Em Aberto",IF(Tabela2[[#This Row],[D/venc]]="-","Enviado",IF(Tabela2[[#This Row],[Dt Venc:]]=TODAY(),"Vence Hoje","Vencida")))</f>
        <v>Em Aberto</v>
      </c>
      <c r="F9016" s="3">
        <f ca="1">IF(G9016=1,"-",Tabela2[[#This Row],[Dt Venc:]]-TODAY())</f>
        <v>762</v>
      </c>
      <c r="G9016" s="3"/>
      <c r="H9016" s="3"/>
    </row>
    <row r="9017" spans="1:8">
      <c r="A9017" s="3">
        <v>756561</v>
      </c>
      <c r="B9017" s="7" t="s">
        <v>166</v>
      </c>
      <c r="C9017" s="99" t="s">
        <v>32</v>
      </c>
      <c r="D9017" s="6">
        <v>46455</v>
      </c>
      <c r="E9017" s="3" t="str">
        <f ca="1">IF(Tabela2[[#This Row],[Dt Venc:]]&gt;TODAY(),"Em Aberto",IF(Tabela2[[#This Row],[D/venc]]="-","Enviado",IF(Tabela2[[#This Row],[Dt Venc:]]=TODAY(),"Vence Hoje","Vencida")))</f>
        <v>Em Aberto</v>
      </c>
      <c r="F9017" s="3">
        <f ca="1">IF(G9017=1,"-",Tabela2[[#This Row],[Dt Venc:]]-TODAY())</f>
        <v>762</v>
      </c>
      <c r="G9017" s="3"/>
      <c r="H9017" s="3"/>
    </row>
    <row r="9018" spans="1:8">
      <c r="A9018" s="3">
        <v>562</v>
      </c>
      <c r="B9018" s="7" t="s">
        <v>251</v>
      </c>
      <c r="C9018" s="99" t="s">
        <v>32</v>
      </c>
      <c r="D9018" s="6">
        <v>46461</v>
      </c>
      <c r="E9018" s="3" t="str">
        <f ca="1">IF(Tabela2[[#This Row],[Dt Venc:]]&gt;TODAY(),"Em Aberto",IF(Tabela2[[#This Row],[D/venc]]="-","Enviado",IF(Tabela2[[#This Row],[Dt Venc:]]=TODAY(),"Vence Hoje","Vencida")))</f>
        <v>Em Aberto</v>
      </c>
      <c r="F9018" s="3">
        <f ca="1">IF(G9018=1,"-",Tabela2[[#This Row],[Dt Venc:]]-TODAY())</f>
        <v>768</v>
      </c>
      <c r="G9018" s="3"/>
      <c r="H9018" s="3"/>
    </row>
    <row r="9019" spans="1:8">
      <c r="A9019" s="3">
        <v>103015</v>
      </c>
      <c r="B9019" s="7" t="s">
        <v>252</v>
      </c>
      <c r="C9019" s="99" t="s">
        <v>32</v>
      </c>
      <c r="D9019" s="6">
        <v>46461</v>
      </c>
      <c r="E9019" s="3" t="str">
        <f ca="1">IF(Tabela2[[#This Row],[Dt Venc:]]&gt;TODAY(),"Em Aberto",IF(Tabela2[[#This Row],[D/venc]]="-","Enviado",IF(Tabela2[[#This Row],[Dt Venc:]]=TODAY(),"Vence Hoje","Vencida")))</f>
        <v>Em Aberto</v>
      </c>
      <c r="F9019" s="3">
        <f ca="1">IF(G9019=1,"-",Tabela2[[#This Row],[Dt Venc:]]-TODAY())</f>
        <v>768</v>
      </c>
      <c r="G9019" s="3"/>
      <c r="H9019" s="3"/>
    </row>
    <row r="9020" spans="1:8">
      <c r="A9020" s="3">
        <v>103077</v>
      </c>
      <c r="B9020" s="7" t="s">
        <v>252</v>
      </c>
      <c r="C9020" s="99" t="s">
        <v>32</v>
      </c>
      <c r="D9020" s="6">
        <v>46461</v>
      </c>
      <c r="E9020" s="3" t="str">
        <f ca="1">IF(Tabela2[[#This Row],[Dt Venc:]]&gt;TODAY(),"Em Aberto",IF(Tabela2[[#This Row],[D/venc]]="-","Enviado",IF(Tabela2[[#This Row],[Dt Venc:]]=TODAY(),"Vence Hoje","Vencida")))</f>
        <v>Em Aberto</v>
      </c>
      <c r="F9020" s="3">
        <f ca="1">IF(G9020=1,"-",Tabela2[[#This Row],[Dt Venc:]]-TODAY())</f>
        <v>768</v>
      </c>
      <c r="G9020" s="3"/>
      <c r="H9020" s="3"/>
    </row>
    <row r="9021" spans="1:8">
      <c r="A9021" s="3">
        <v>103153</v>
      </c>
      <c r="B9021" s="7" t="s">
        <v>252</v>
      </c>
      <c r="C9021" s="85" t="s">
        <v>32</v>
      </c>
      <c r="D9021" s="6">
        <v>46461</v>
      </c>
      <c r="E9021" s="3" t="str">
        <f ca="1">IF(Tabela2[[#This Row],[Dt Venc:]]&gt;TODAY(),"Em Aberto",IF(Tabela2[[#This Row],[D/venc]]="-","Enviado",IF(Tabela2[[#This Row],[Dt Venc:]]=TODAY(),"Vence Hoje","Vencida")))</f>
        <v>Em Aberto</v>
      </c>
      <c r="F9021" s="3">
        <f ca="1">IF(G9021=1,"-",Tabela2[[#This Row],[Dt Venc:]]-TODAY())</f>
        <v>768</v>
      </c>
      <c r="G9021" s="3"/>
      <c r="H9021" s="3"/>
    </row>
    <row r="9022" spans="1:8">
      <c r="A9022" s="3">
        <v>103154</v>
      </c>
      <c r="B9022" s="7" t="s">
        <v>252</v>
      </c>
      <c r="C9022" s="99" t="s">
        <v>32</v>
      </c>
      <c r="D9022" s="6">
        <v>46461</v>
      </c>
      <c r="E9022" s="3" t="str">
        <f ca="1">IF(Tabela2[[#This Row],[Dt Venc:]]&gt;TODAY(),"Em Aberto",IF(Tabela2[[#This Row],[D/venc]]="-","Enviado",IF(Tabela2[[#This Row],[Dt Venc:]]=TODAY(),"Vence Hoje","Vencida")))</f>
        <v>Em Aberto</v>
      </c>
      <c r="F9022" s="3">
        <f ca="1">IF(G9022=1,"-",Tabela2[[#This Row],[Dt Venc:]]-TODAY())</f>
        <v>768</v>
      </c>
      <c r="G9022" s="3"/>
      <c r="H9022" s="3"/>
    </row>
    <row r="9023" spans="1:8">
      <c r="A9023" s="3">
        <v>106007</v>
      </c>
      <c r="B9023" s="7" t="s">
        <v>252</v>
      </c>
      <c r="C9023" s="99" t="s">
        <v>32</v>
      </c>
      <c r="D9023" s="6">
        <v>46461</v>
      </c>
      <c r="E9023" s="3" t="str">
        <f ca="1">IF(Tabela2[[#This Row],[Dt Venc:]]&gt;TODAY(),"Em Aberto",IF(Tabela2[[#This Row],[D/venc]]="-","Enviado",IF(Tabela2[[#This Row],[Dt Venc:]]=TODAY(),"Vence Hoje","Vencida")))</f>
        <v>Em Aberto</v>
      </c>
      <c r="F9023" s="3">
        <f ca="1">IF(G9023=1,"-",Tabela2[[#This Row],[Dt Venc:]]-TODAY())</f>
        <v>768</v>
      </c>
      <c r="G9023" s="3"/>
      <c r="H9023" s="3"/>
    </row>
    <row r="9024" spans="1:8">
      <c r="A9024" s="3">
        <v>106043</v>
      </c>
      <c r="B9024" s="7" t="s">
        <v>252</v>
      </c>
      <c r="C9024" s="99" t="s">
        <v>32</v>
      </c>
      <c r="D9024" s="6">
        <v>46461</v>
      </c>
      <c r="E9024" s="3" t="str">
        <f ca="1">IF(Tabela2[[#This Row],[Dt Venc:]]&gt;TODAY(),"Em Aberto",IF(Tabela2[[#This Row],[D/venc]]="-","Enviado",IF(Tabela2[[#This Row],[Dt Venc:]]=TODAY(),"Vence Hoje","Vencida")))</f>
        <v>Em Aberto</v>
      </c>
      <c r="F9024" s="3">
        <f ca="1">IF(G9024=1,"-",Tabela2[[#This Row],[Dt Venc:]]-TODAY())</f>
        <v>768</v>
      </c>
      <c r="G9024" s="3"/>
      <c r="H9024" s="3"/>
    </row>
    <row r="9025" spans="1:8">
      <c r="A9025" s="3">
        <v>107829</v>
      </c>
      <c r="B9025" s="7" t="s">
        <v>252</v>
      </c>
      <c r="C9025" s="99" t="s">
        <v>32</v>
      </c>
      <c r="D9025" s="6">
        <v>46461</v>
      </c>
      <c r="E9025" s="3" t="str">
        <f ca="1">IF(Tabela2[[#This Row],[Dt Venc:]]&gt;TODAY(),"Em Aberto",IF(Tabela2[[#This Row],[D/venc]]="-","Enviado",IF(Tabela2[[#This Row],[Dt Venc:]]=TODAY(),"Vence Hoje","Vencida")))</f>
        <v>Em Aberto</v>
      </c>
      <c r="F9025" s="3">
        <f ca="1">IF(G9025=1,"-",Tabela2[[#This Row],[Dt Venc:]]-TODAY())</f>
        <v>768</v>
      </c>
      <c r="G9025" s="3"/>
      <c r="H9025" s="3"/>
    </row>
    <row r="9026" spans="1:8">
      <c r="A9026" s="3">
        <v>107830</v>
      </c>
      <c r="B9026" s="7" t="s">
        <v>252</v>
      </c>
      <c r="C9026" s="85" t="s">
        <v>32</v>
      </c>
      <c r="D9026" s="6">
        <v>46461</v>
      </c>
      <c r="E9026" s="3" t="str">
        <f ca="1">IF(Tabela2[[#This Row],[Dt Venc:]]&gt;TODAY(),"Em Aberto",IF(Tabela2[[#This Row],[D/venc]]="-","Enviado",IF(Tabela2[[#This Row],[Dt Venc:]]=TODAY(),"Vence Hoje","Vencida")))</f>
        <v>Em Aberto</v>
      </c>
      <c r="F9026" s="3">
        <f ca="1">IF(G9026=1,"-",Tabela2[[#This Row],[Dt Venc:]]-TODAY())</f>
        <v>768</v>
      </c>
      <c r="G9026" s="3"/>
      <c r="H9026" s="3"/>
    </row>
    <row r="9027" spans="1:8">
      <c r="A9027" s="3">
        <v>107831</v>
      </c>
      <c r="B9027" s="7" t="s">
        <v>252</v>
      </c>
      <c r="C9027" s="99" t="s">
        <v>32</v>
      </c>
      <c r="D9027" s="6">
        <v>46461</v>
      </c>
      <c r="E9027" s="3" t="str">
        <f ca="1">IF(Tabela2[[#This Row],[Dt Venc:]]&gt;TODAY(),"Em Aberto",IF(Tabela2[[#This Row],[D/venc]]="-","Enviado",IF(Tabela2[[#This Row],[Dt Venc:]]=TODAY(),"Vence Hoje","Vencida")))</f>
        <v>Em Aberto</v>
      </c>
      <c r="F9027" s="3">
        <f ca="1">IF(G9027=1,"-",Tabela2[[#This Row],[Dt Venc:]]-TODAY())</f>
        <v>768</v>
      </c>
      <c r="G9027" s="3"/>
      <c r="H9027" s="3"/>
    </row>
    <row r="9028" spans="1:8">
      <c r="A9028" s="3">
        <v>107832</v>
      </c>
      <c r="B9028" s="7" t="s">
        <v>252</v>
      </c>
      <c r="C9028" s="99" t="s">
        <v>32</v>
      </c>
      <c r="D9028" s="6">
        <v>46461</v>
      </c>
      <c r="E9028" s="3" t="str">
        <f ca="1">IF(Tabela2[[#This Row],[Dt Venc:]]&gt;TODAY(),"Em Aberto",IF(Tabela2[[#This Row],[D/venc]]="-","Enviado",IF(Tabela2[[#This Row],[Dt Venc:]]=TODAY(),"Vence Hoje","Vencida")))</f>
        <v>Em Aberto</v>
      </c>
      <c r="F9028" s="3">
        <f ca="1">IF(G9028=1,"-",Tabela2[[#This Row],[Dt Venc:]]-TODAY())</f>
        <v>768</v>
      </c>
      <c r="G9028" s="3"/>
      <c r="H9028" s="3"/>
    </row>
    <row r="9029" spans="1:8">
      <c r="A9029" s="3">
        <v>361229</v>
      </c>
      <c r="B9029" s="7" t="s">
        <v>250</v>
      </c>
      <c r="C9029" s="99" t="s">
        <v>32</v>
      </c>
      <c r="D9029" s="6">
        <v>46461</v>
      </c>
      <c r="E9029" s="3" t="str">
        <f ca="1">IF(Tabela2[[#This Row],[Dt Venc:]]&gt;TODAY(),"Em Aberto",IF(Tabela2[[#This Row],[D/venc]]="-","Enviado",IF(Tabela2[[#This Row],[Dt Venc:]]=TODAY(),"Vence Hoje","Vencida")))</f>
        <v>Em Aberto</v>
      </c>
      <c r="F9029" s="3">
        <f ca="1">IF(G9029=1,"-",Tabela2[[#This Row],[Dt Venc:]]-TODAY())</f>
        <v>768</v>
      </c>
      <c r="G9029" s="3"/>
      <c r="H9029" s="3"/>
    </row>
    <row r="9030" spans="1:8">
      <c r="A9030" s="3">
        <v>361237</v>
      </c>
      <c r="B9030" s="7" t="s">
        <v>250</v>
      </c>
      <c r="C9030" s="99" t="s">
        <v>32</v>
      </c>
      <c r="D9030" s="6">
        <v>46461</v>
      </c>
      <c r="E9030" s="3" t="str">
        <f ca="1">IF(Tabela2[[#This Row],[Dt Venc:]]&gt;TODAY(),"Em Aberto",IF(Tabela2[[#This Row],[D/venc]]="-","Enviado",IF(Tabela2[[#This Row],[Dt Venc:]]=TODAY(),"Vence Hoje","Vencida")))</f>
        <v>Em Aberto</v>
      </c>
      <c r="F9030" s="3">
        <f ca="1">IF(G9030=1,"-",Tabela2[[#This Row],[Dt Venc:]]-TODAY())</f>
        <v>768</v>
      </c>
      <c r="G9030" s="3"/>
      <c r="H9030" s="3"/>
    </row>
    <row r="9031" spans="1:8">
      <c r="A9031" s="3">
        <v>365658</v>
      </c>
      <c r="B9031" s="7" t="s">
        <v>250</v>
      </c>
      <c r="C9031" s="99" t="s">
        <v>32</v>
      </c>
      <c r="D9031" s="6">
        <v>46461</v>
      </c>
      <c r="E9031" s="3" t="str">
        <f ca="1">IF(Tabela2[[#This Row],[Dt Venc:]]&gt;TODAY(),"Em Aberto",IF(Tabela2[[#This Row],[D/venc]]="-","Enviado",IF(Tabela2[[#This Row],[Dt Venc:]]=TODAY(),"Vence Hoje","Vencida")))</f>
        <v>Em Aberto</v>
      </c>
      <c r="F9031" s="3">
        <f ca="1">IF(G9031=1,"-",Tabela2[[#This Row],[Dt Venc:]]-TODAY())</f>
        <v>768</v>
      </c>
      <c r="G9031" s="3"/>
      <c r="H9031" s="3"/>
    </row>
    <row r="9032" spans="1:8">
      <c r="A9032" s="3">
        <v>365666</v>
      </c>
      <c r="B9032" s="7" t="s">
        <v>250</v>
      </c>
      <c r="C9032" s="99" t="s">
        <v>32</v>
      </c>
      <c r="D9032" s="6">
        <v>46461</v>
      </c>
      <c r="E9032" s="3" t="str">
        <f ca="1">IF(Tabela2[[#This Row],[Dt Venc:]]&gt;TODAY(),"Em Aberto",IF(Tabela2[[#This Row],[D/venc]]="-","Enviado",IF(Tabela2[[#This Row],[Dt Venc:]]=TODAY(),"Vence Hoje","Vencida")))</f>
        <v>Em Aberto</v>
      </c>
      <c r="F9032" s="3">
        <f ca="1">IF(G9032=1,"-",Tabela2[[#This Row],[Dt Venc:]]-TODAY())</f>
        <v>768</v>
      </c>
      <c r="G9032" s="3"/>
      <c r="H9032" s="3"/>
    </row>
    <row r="9033" spans="1:8">
      <c r="A9033" s="3">
        <v>365674</v>
      </c>
      <c r="B9033" s="7" t="s">
        <v>250</v>
      </c>
      <c r="C9033" s="99" t="s">
        <v>32</v>
      </c>
      <c r="D9033" s="6">
        <v>46461</v>
      </c>
      <c r="E9033" s="3" t="str">
        <f ca="1">IF(Tabela2[[#This Row],[Dt Venc:]]&gt;TODAY(),"Em Aberto",IF(Tabela2[[#This Row],[D/venc]]="-","Enviado",IF(Tabela2[[#This Row],[Dt Venc:]]=TODAY(),"Vence Hoje","Vencida")))</f>
        <v>Em Aberto</v>
      </c>
      <c r="F9033" s="3">
        <f ca="1">IF(G9033=1,"-",Tabela2[[#This Row],[Dt Venc:]]-TODAY())</f>
        <v>768</v>
      </c>
      <c r="G9033" s="3"/>
      <c r="H9033" s="3"/>
    </row>
    <row r="9034" spans="1:8">
      <c r="A9034" s="3">
        <v>365682</v>
      </c>
      <c r="B9034" s="7" t="s">
        <v>250</v>
      </c>
      <c r="C9034" s="99" t="s">
        <v>32</v>
      </c>
      <c r="D9034" s="6">
        <v>46461</v>
      </c>
      <c r="E9034" s="3" t="str">
        <f ca="1">IF(Tabela2[[#This Row],[Dt Venc:]]&gt;TODAY(),"Em Aberto",IF(Tabela2[[#This Row],[D/venc]]="-","Enviado",IF(Tabela2[[#This Row],[Dt Venc:]]=TODAY(),"Vence Hoje","Vencida")))</f>
        <v>Em Aberto</v>
      </c>
      <c r="F9034" s="3">
        <f ca="1">IF(G9034=1,"-",Tabela2[[#This Row],[Dt Venc:]]-TODAY())</f>
        <v>768</v>
      </c>
      <c r="G9034" s="3"/>
      <c r="H9034" s="3"/>
    </row>
    <row r="9035" spans="1:8">
      <c r="A9035" s="3">
        <v>369335</v>
      </c>
      <c r="B9035" s="7" t="s">
        <v>543</v>
      </c>
      <c r="C9035" s="87" t="s">
        <v>32</v>
      </c>
      <c r="D9035" s="6">
        <v>46461</v>
      </c>
      <c r="E9035" s="3" t="str">
        <f ca="1">IF(Tabela2[[#This Row],[Dt Venc:]]&gt;TODAY(),"Em Aberto",IF(Tabela2[[#This Row],[D/venc]]="-","Enviado",IF(Tabela2[[#This Row],[Dt Venc:]]=TODAY(),"Vence Hoje","Vencida")))</f>
        <v>Em Aberto</v>
      </c>
      <c r="F9035" s="3">
        <f ca="1">IF(G9035=1,"-",Tabela2[[#This Row],[Dt Venc:]]-TODAY())</f>
        <v>768</v>
      </c>
      <c r="G9035" s="3"/>
      <c r="H9035" s="3"/>
    </row>
    <row r="9036" spans="1:8">
      <c r="A9036" s="3">
        <v>369696</v>
      </c>
      <c r="B9036" s="7" t="s">
        <v>543</v>
      </c>
      <c r="C9036" s="87" t="s">
        <v>32</v>
      </c>
      <c r="D9036" s="6">
        <v>46461</v>
      </c>
      <c r="E9036" s="3" t="str">
        <f ca="1">IF(Tabela2[[#This Row],[Dt Venc:]]&gt;TODAY(),"Em Aberto",IF(Tabela2[[#This Row],[D/venc]]="-","Enviado",IF(Tabela2[[#This Row],[Dt Venc:]]=TODAY(),"Vence Hoje","Vencida")))</f>
        <v>Em Aberto</v>
      </c>
      <c r="F9036" s="3">
        <f ca="1">IF(G9036=1,"-",Tabela2[[#This Row],[Dt Venc:]]-TODAY())</f>
        <v>768</v>
      </c>
      <c r="G9036" s="3"/>
      <c r="H9036" s="3"/>
    </row>
    <row r="9037" spans="1:8">
      <c r="A9037" s="3">
        <v>369726</v>
      </c>
      <c r="B9037" s="7" t="s">
        <v>543</v>
      </c>
      <c r="C9037" s="87" t="s">
        <v>32</v>
      </c>
      <c r="D9037" s="6">
        <v>46461</v>
      </c>
      <c r="E9037" s="3" t="str">
        <f ca="1">IF(Tabela2[[#This Row],[Dt Venc:]]&gt;TODAY(),"Em Aberto",IF(Tabela2[[#This Row],[D/venc]]="-","Enviado",IF(Tabela2[[#This Row],[Dt Venc:]]=TODAY(),"Vence Hoje","Vencida")))</f>
        <v>Em Aberto</v>
      </c>
      <c r="F9037" s="3">
        <f ca="1">IF(G9037=1,"-",Tabela2[[#This Row],[Dt Venc:]]-TODAY())</f>
        <v>768</v>
      </c>
      <c r="G9037" s="3"/>
      <c r="H9037" s="3"/>
    </row>
    <row r="9038" spans="1:8">
      <c r="A9038" s="3">
        <v>369751</v>
      </c>
      <c r="B9038" s="7" t="s">
        <v>543</v>
      </c>
      <c r="C9038" s="87" t="s">
        <v>32</v>
      </c>
      <c r="D9038" s="6">
        <v>46461</v>
      </c>
      <c r="E9038" s="3" t="str">
        <f ca="1">IF(Tabela2[[#This Row],[Dt Venc:]]&gt;TODAY(),"Em Aberto",IF(Tabela2[[#This Row],[D/venc]]="-","Enviado",IF(Tabela2[[#This Row],[Dt Venc:]]=TODAY(),"Vence Hoje","Vencida")))</f>
        <v>Em Aberto</v>
      </c>
      <c r="F9038" s="3">
        <f ca="1">IF(G9038=1,"-",Tabela2[[#This Row],[Dt Venc:]]-TODAY())</f>
        <v>768</v>
      </c>
      <c r="G9038" s="3"/>
      <c r="H9038" s="3"/>
    </row>
    <row r="9039" spans="1:8">
      <c r="A9039" s="3">
        <v>370201</v>
      </c>
      <c r="B9039" s="7" t="s">
        <v>543</v>
      </c>
      <c r="C9039" s="87" t="s">
        <v>32</v>
      </c>
      <c r="D9039" s="6">
        <v>46461</v>
      </c>
      <c r="E9039" s="3" t="str">
        <f ca="1">IF(Tabela2[[#This Row],[Dt Venc:]]&gt;TODAY(),"Em Aberto",IF(Tabela2[[#This Row],[D/venc]]="-","Enviado",IF(Tabela2[[#This Row],[Dt Venc:]]=TODAY(),"Vence Hoje","Vencida")))</f>
        <v>Em Aberto</v>
      </c>
      <c r="F9039" s="3">
        <f ca="1">IF(G9039=1,"-",Tabela2[[#This Row],[Dt Venc:]]-TODAY())</f>
        <v>768</v>
      </c>
      <c r="G9039" s="3"/>
      <c r="H9039" s="3"/>
    </row>
    <row r="9040" spans="1:8">
      <c r="A9040" s="3">
        <v>370864</v>
      </c>
      <c r="B9040" s="7" t="s">
        <v>543</v>
      </c>
      <c r="C9040" s="87" t="s">
        <v>32</v>
      </c>
      <c r="D9040" s="6">
        <v>46461</v>
      </c>
      <c r="E9040" s="3" t="str">
        <f ca="1">IF(Tabela2[[#This Row],[Dt Venc:]]&gt;TODAY(),"Em Aberto",IF(Tabela2[[#This Row],[D/venc]]="-","Enviado",IF(Tabela2[[#This Row],[Dt Venc:]]=TODAY(),"Vence Hoje","Vencida")))</f>
        <v>Em Aberto</v>
      </c>
      <c r="F9040" s="3">
        <f ca="1">IF(G9040=1,"-",Tabela2[[#This Row],[Dt Venc:]]-TODAY())</f>
        <v>768</v>
      </c>
      <c r="G9040" s="3"/>
      <c r="H9040" s="3"/>
    </row>
    <row r="9041" spans="1:8">
      <c r="A9041" s="3">
        <v>371011</v>
      </c>
      <c r="B9041" s="7" t="s">
        <v>633</v>
      </c>
      <c r="C9041" s="87" t="s">
        <v>32</v>
      </c>
      <c r="D9041" s="6">
        <v>46461</v>
      </c>
      <c r="E9041" s="3" t="str">
        <f ca="1">IF(Tabela2[[#This Row],[Dt Venc:]]&gt;TODAY(),"Em Aberto",IF(Tabela2[[#This Row],[D/venc]]="-","Enviado",IF(Tabela2[[#This Row],[Dt Venc:]]=TODAY(),"Vence Hoje","Vencida")))</f>
        <v>Em Aberto</v>
      </c>
      <c r="F9041" s="3">
        <f ca="1">IF(G9041=1,"-",Tabela2[[#This Row],[Dt Venc:]]-TODAY())</f>
        <v>768</v>
      </c>
      <c r="G9041" s="3"/>
      <c r="H9041" s="3"/>
    </row>
    <row r="9042" spans="1:8">
      <c r="A9042" s="3">
        <v>371160</v>
      </c>
      <c r="B9042" s="7" t="s">
        <v>633</v>
      </c>
      <c r="C9042" s="87" t="s">
        <v>32</v>
      </c>
      <c r="D9042" s="6">
        <v>46461</v>
      </c>
      <c r="E9042" s="3" t="str">
        <f ca="1">IF(Tabela2[[#This Row],[Dt Venc:]]&gt;TODAY(),"Em Aberto",IF(Tabela2[[#This Row],[D/venc]]="-","Enviado",IF(Tabela2[[#This Row],[Dt Venc:]]=TODAY(),"Vence Hoje","Vencida")))</f>
        <v>Em Aberto</v>
      </c>
      <c r="F9042" s="3">
        <f ca="1">IF(G9042=1,"-",Tabela2[[#This Row],[Dt Venc:]]-TODAY())</f>
        <v>768</v>
      </c>
      <c r="G9042" s="3"/>
      <c r="H9042" s="3"/>
    </row>
    <row r="9043" spans="1:8">
      <c r="A9043" s="3">
        <v>892178</v>
      </c>
      <c r="B9043" s="7" t="s">
        <v>253</v>
      </c>
      <c r="C9043" s="99" t="s">
        <v>32</v>
      </c>
      <c r="D9043" s="6">
        <v>46461</v>
      </c>
      <c r="E9043" s="3" t="str">
        <f ca="1">IF(Tabela2[[#This Row],[Dt Venc:]]&gt;TODAY(),"Em Aberto",IF(Tabela2[[#This Row],[D/venc]]="-","Enviado",IF(Tabela2[[#This Row],[Dt Venc:]]=TODAY(),"Vence Hoje","Vencida")))</f>
        <v>Em Aberto</v>
      </c>
      <c r="F9043" s="3">
        <f ca="1">IF(G9043=1,"-",Tabela2[[#This Row],[Dt Venc:]]-TODAY())</f>
        <v>768</v>
      </c>
      <c r="G9043" s="3"/>
      <c r="H9043" s="3"/>
    </row>
    <row r="9044" spans="1:8">
      <c r="A9044" s="3">
        <v>894135</v>
      </c>
      <c r="B9044" s="7" t="s">
        <v>253</v>
      </c>
      <c r="C9044" s="99" t="s">
        <v>32</v>
      </c>
      <c r="D9044" s="6">
        <v>46461</v>
      </c>
      <c r="E9044" s="3" t="str">
        <f ca="1">IF(Tabela2[[#This Row],[Dt Venc:]]&gt;TODAY(),"Em Aberto",IF(Tabela2[[#This Row],[D/venc]]="-","Enviado",IF(Tabela2[[#This Row],[Dt Venc:]]=TODAY(),"Vence Hoje","Vencida")))</f>
        <v>Em Aberto</v>
      </c>
      <c r="F9044" s="3">
        <f ca="1">IF(G9044=1,"-",Tabela2[[#This Row],[Dt Venc:]]-TODAY())</f>
        <v>768</v>
      </c>
      <c r="G9044" s="3"/>
      <c r="H9044" s="3"/>
    </row>
    <row r="9045" spans="1:8">
      <c r="A9045" s="3">
        <v>896565</v>
      </c>
      <c r="B9045" s="7" t="s">
        <v>253</v>
      </c>
      <c r="C9045" s="99" t="s">
        <v>32</v>
      </c>
      <c r="D9045" s="6">
        <v>46461</v>
      </c>
      <c r="E9045" s="3" t="str">
        <f ca="1">IF(Tabela2[[#This Row],[Dt Venc:]]&gt;TODAY(),"Em Aberto",IF(Tabela2[[#This Row],[D/venc]]="-","Enviado",IF(Tabela2[[#This Row],[Dt Venc:]]=TODAY(),"Vence Hoje","Vencida")))</f>
        <v>Em Aberto</v>
      </c>
      <c r="F9045" s="3">
        <f ca="1">IF(G9045=1,"-",Tabela2[[#This Row],[Dt Venc:]]-TODAY())</f>
        <v>768</v>
      </c>
      <c r="G9045" s="3"/>
      <c r="H9045" s="3"/>
    </row>
    <row r="9046" spans="1:8">
      <c r="A9046" s="3">
        <v>900386</v>
      </c>
      <c r="B9046" s="7" t="s">
        <v>253</v>
      </c>
      <c r="C9046" s="99" t="s">
        <v>32</v>
      </c>
      <c r="D9046" s="6">
        <v>46461</v>
      </c>
      <c r="E9046" s="3" t="str">
        <f ca="1">IF(Tabela2[[#This Row],[Dt Venc:]]&gt;TODAY(),"Em Aberto",IF(Tabela2[[#This Row],[D/venc]]="-","Enviado",IF(Tabela2[[#This Row],[Dt Venc:]]=TODAY(),"Vence Hoje","Vencida")))</f>
        <v>Em Aberto</v>
      </c>
      <c r="F9046" s="3">
        <f ca="1">IF(G9046=1,"-",Tabela2[[#This Row],[Dt Venc:]]-TODAY())</f>
        <v>768</v>
      </c>
      <c r="G9046" s="3"/>
      <c r="H9046" s="3"/>
    </row>
    <row r="9047" spans="1:8">
      <c r="A9047" s="3">
        <v>901787</v>
      </c>
      <c r="B9047" s="7" t="s">
        <v>253</v>
      </c>
      <c r="C9047" s="99" t="s">
        <v>32</v>
      </c>
      <c r="D9047" s="6">
        <v>46461</v>
      </c>
      <c r="E9047" s="3" t="str">
        <f ca="1">IF(Tabela2[[#This Row],[Dt Venc:]]&gt;TODAY(),"Em Aberto",IF(Tabela2[[#This Row],[D/venc]]="-","Enviado",IF(Tabela2[[#This Row],[Dt Venc:]]=TODAY(),"Vence Hoje","Vencida")))</f>
        <v>Em Aberto</v>
      </c>
      <c r="F9047" s="3">
        <f ca="1">IF(G9047=1,"-",Tabela2[[#This Row],[Dt Venc:]]-TODAY())</f>
        <v>768</v>
      </c>
      <c r="G9047" s="3"/>
      <c r="H9047" s="3"/>
    </row>
    <row r="9048" spans="1:8">
      <c r="A9048" s="3">
        <v>901788</v>
      </c>
      <c r="B9048" s="7" t="s">
        <v>253</v>
      </c>
      <c r="C9048" s="99" t="s">
        <v>32</v>
      </c>
      <c r="D9048" s="6">
        <v>46461</v>
      </c>
      <c r="E9048" s="3" t="str">
        <f ca="1">IF(Tabela2[[#This Row],[Dt Venc:]]&gt;TODAY(),"Em Aberto",IF(Tabela2[[#This Row],[D/venc]]="-","Enviado",IF(Tabela2[[#This Row],[Dt Venc:]]=TODAY(),"Vence Hoje","Vencida")))</f>
        <v>Em Aberto</v>
      </c>
      <c r="F9048" s="3">
        <f ca="1">IF(G9048=1,"-",Tabela2[[#This Row],[Dt Venc:]]-TODAY())</f>
        <v>768</v>
      </c>
      <c r="G9048" s="3"/>
      <c r="H9048" s="3"/>
    </row>
    <row r="9049" spans="1:8">
      <c r="A9049" s="3">
        <v>901789</v>
      </c>
      <c r="B9049" s="7" t="s">
        <v>253</v>
      </c>
      <c r="C9049" s="99" t="s">
        <v>32</v>
      </c>
      <c r="D9049" s="6">
        <v>46461</v>
      </c>
      <c r="E9049" s="3" t="str">
        <f ca="1">IF(Tabela2[[#This Row],[Dt Venc:]]&gt;TODAY(),"Em Aberto",IF(Tabela2[[#This Row],[D/venc]]="-","Enviado",IF(Tabela2[[#This Row],[Dt Venc:]]=TODAY(),"Vence Hoje","Vencida")))</f>
        <v>Em Aberto</v>
      </c>
      <c r="F9049" s="3">
        <f ca="1">IF(G9049=1,"-",Tabela2[[#This Row],[Dt Venc:]]-TODAY())</f>
        <v>768</v>
      </c>
      <c r="G9049" s="3"/>
      <c r="H9049" s="3"/>
    </row>
    <row r="9050" spans="1:8">
      <c r="A9050" s="3">
        <v>912703</v>
      </c>
      <c r="B9050" s="7" t="s">
        <v>253</v>
      </c>
      <c r="C9050" s="99" t="s">
        <v>32</v>
      </c>
      <c r="D9050" s="6">
        <v>46461</v>
      </c>
      <c r="E9050" s="3" t="str">
        <f ca="1">IF(Tabela2[[#This Row],[Dt Venc:]]&gt;TODAY(),"Em Aberto",IF(Tabela2[[#This Row],[D/venc]]="-","Enviado",IF(Tabela2[[#This Row],[Dt Venc:]]=TODAY(),"Vence Hoje","Vencida")))</f>
        <v>Em Aberto</v>
      </c>
      <c r="F9050" s="3">
        <f ca="1">IF(G9050=1,"-",Tabela2[[#This Row],[Dt Venc:]]-TODAY())</f>
        <v>768</v>
      </c>
      <c r="G9050" s="3"/>
      <c r="H9050" s="3"/>
    </row>
    <row r="9051" spans="1:8">
      <c r="A9051" s="3">
        <v>912704</v>
      </c>
      <c r="B9051" s="7" t="s">
        <v>253</v>
      </c>
      <c r="C9051" s="99" t="s">
        <v>32</v>
      </c>
      <c r="D9051" s="6">
        <v>46461</v>
      </c>
      <c r="E9051" s="3" t="str">
        <f ca="1">IF(Tabela2[[#This Row],[Dt Venc:]]&gt;TODAY(),"Em Aberto",IF(Tabela2[[#This Row],[D/venc]]="-","Enviado",IF(Tabela2[[#This Row],[Dt Venc:]]=TODAY(),"Vence Hoje","Vencida")))</f>
        <v>Em Aberto</v>
      </c>
      <c r="F9051" s="3">
        <f ca="1">IF(G9051=1,"-",Tabela2[[#This Row],[Dt Venc:]]-TODAY())</f>
        <v>768</v>
      </c>
      <c r="G9051" s="3"/>
      <c r="H9051" s="3"/>
    </row>
    <row r="9052" spans="1:8">
      <c r="A9052" s="3">
        <v>919728</v>
      </c>
      <c r="B9052" s="7" t="s">
        <v>253</v>
      </c>
      <c r="C9052" s="85" t="s">
        <v>32</v>
      </c>
      <c r="D9052" s="6">
        <v>46461</v>
      </c>
      <c r="E9052" s="3" t="str">
        <f ca="1">IF(Tabela2[[#This Row],[Dt Venc:]]&gt;TODAY(),"Em Aberto",IF(Tabela2[[#This Row],[D/venc]]="-","Enviado",IF(Tabela2[[#This Row],[Dt Venc:]]=TODAY(),"Vence Hoje","Vencida")))</f>
        <v>Em Aberto</v>
      </c>
      <c r="F9052" s="3">
        <f ca="1">IF(G9052=1,"-",Tabela2[[#This Row],[Dt Venc:]]-TODAY())</f>
        <v>768</v>
      </c>
      <c r="G9052" s="3"/>
      <c r="H9052" s="3"/>
    </row>
    <row r="9053" spans="1:8">
      <c r="A9053" s="3">
        <v>919729</v>
      </c>
      <c r="B9053" s="7" t="s">
        <v>253</v>
      </c>
      <c r="C9053" s="85" t="s">
        <v>32</v>
      </c>
      <c r="D9053" s="6">
        <v>46461</v>
      </c>
      <c r="E9053" s="3" t="str">
        <f ca="1">IF(Tabela2[[#This Row],[Dt Venc:]]&gt;TODAY(),"Em Aberto",IF(Tabela2[[#This Row],[D/venc]]="-","Enviado",IF(Tabela2[[#This Row],[Dt Venc:]]=TODAY(),"Vence Hoje","Vencida")))</f>
        <v>Em Aberto</v>
      </c>
      <c r="F9053" s="3">
        <f ca="1">IF(G9053=1,"-",Tabela2[[#This Row],[Dt Venc:]]-TODAY())</f>
        <v>768</v>
      </c>
      <c r="G9053" s="3"/>
      <c r="H9053" s="3"/>
    </row>
    <row r="9054" spans="1:8">
      <c r="A9054" s="3">
        <v>495914</v>
      </c>
      <c r="B9054" s="7" t="s">
        <v>153</v>
      </c>
      <c r="C9054" s="99" t="s">
        <v>32</v>
      </c>
      <c r="D9054" s="6">
        <v>46471</v>
      </c>
      <c r="E9054" s="3" t="str">
        <f ca="1">IF(Tabela2[[#This Row],[Dt Venc:]]&gt;TODAY(),"Em Aberto",IF(Tabela2[[#This Row],[D/venc]]="-","Enviado",IF(Tabela2[[#This Row],[Dt Venc:]]=TODAY(),"Vence Hoje","Vencida")))</f>
        <v>Em Aberto</v>
      </c>
      <c r="F9054" s="3">
        <f ca="1">IF(G9054=1,"-",Tabela2[[#This Row],[Dt Venc:]]-TODAY())</f>
        <v>778</v>
      </c>
      <c r="G9054" s="3"/>
      <c r="H9054" s="3"/>
    </row>
    <row r="9055" spans="1:8">
      <c r="A9055" s="3">
        <v>5690</v>
      </c>
      <c r="B9055" s="7" t="s">
        <v>122</v>
      </c>
      <c r="C9055" s="99" t="s">
        <v>32</v>
      </c>
      <c r="D9055" s="6">
        <v>46473</v>
      </c>
      <c r="E9055" s="3" t="str">
        <f ca="1">IF(Tabela2[[#This Row],[Dt Venc:]]&gt;TODAY(),"Em Aberto",IF(Tabela2[[#This Row],[D/venc]]="-","Enviado",IF(Tabela2[[#This Row],[Dt Venc:]]=TODAY(),"Vence Hoje","Vencida")))</f>
        <v>Em Aberto</v>
      </c>
      <c r="F9055" s="3">
        <f ca="1">IF(G9055=1,"-",Tabela2[[#This Row],[Dt Venc:]]-TODAY())</f>
        <v>780</v>
      </c>
      <c r="G9055" s="3"/>
      <c r="H9055" s="3"/>
    </row>
    <row r="9056" spans="1:8">
      <c r="A9056" s="3">
        <v>11681</v>
      </c>
      <c r="B9056" s="7" t="s">
        <v>82</v>
      </c>
      <c r="C9056" s="87" t="s">
        <v>30</v>
      </c>
      <c r="D9056" s="6">
        <v>46477</v>
      </c>
      <c r="E9056" s="3" t="str">
        <f ca="1">IF(Tabela2[[#This Row],[Dt Venc:]]&gt;TODAY(),"Em Aberto",IF(Tabela2[[#This Row],[D/venc]]="-","Enviado",IF(Tabela2[[#This Row],[Dt Venc:]]=TODAY(),"Vence Hoje","Vencida")))</f>
        <v>Em Aberto</v>
      </c>
      <c r="F9056" s="3">
        <f ca="1">IF(G9056=1,"-",Tabela2[[#This Row],[Dt Venc:]]-TODAY())</f>
        <v>784</v>
      </c>
      <c r="G9056" s="3"/>
      <c r="H9056" s="3"/>
    </row>
    <row r="9057" spans="1:8">
      <c r="A9057" s="3" t="s">
        <v>28</v>
      </c>
      <c r="B9057" s="7" t="s">
        <v>391</v>
      </c>
      <c r="C9057" s="85" t="s">
        <v>30</v>
      </c>
      <c r="D9057" s="6">
        <v>46477</v>
      </c>
      <c r="E9057" s="3" t="str">
        <f ca="1">IF(Tabela2[[#This Row],[Dt Venc:]]&gt;TODAY(),"Em Aberto",IF(Tabela2[[#This Row],[D/venc]]="-","Enviado",IF(Tabela2[[#This Row],[Dt Venc:]]=TODAY(),"Vence Hoje","Vencida")))</f>
        <v>Em Aberto</v>
      </c>
      <c r="F9057" s="3">
        <f ca="1">IF(G9057=1,"-",Tabela2[[#This Row],[Dt Venc:]]-TODAY())</f>
        <v>784</v>
      </c>
      <c r="G9057" s="3"/>
      <c r="H9057" s="3"/>
    </row>
    <row r="9058" spans="1:8">
      <c r="A9058" s="3">
        <v>10494</v>
      </c>
      <c r="B9058" s="7" t="s">
        <v>82</v>
      </c>
      <c r="C9058" s="86" t="s">
        <v>30</v>
      </c>
      <c r="D9058" s="6">
        <v>46480</v>
      </c>
      <c r="E9058" s="3" t="str">
        <f ca="1">IF(Tabela2[[#This Row],[Dt Venc:]]&gt;TODAY(),"Em Aberto",IF(Tabela2[[#This Row],[D/venc]]="-","Enviado",IF(Tabela2[[#This Row],[Dt Venc:]]=TODAY(),"Vence Hoje","Vencida")))</f>
        <v>Em Aberto</v>
      </c>
      <c r="F9058" s="3">
        <f ca="1">IF(G9058=1,"-",Tabela2[[#This Row],[Dt Venc:]]-TODAY())</f>
        <v>787</v>
      </c>
      <c r="G9058" s="3"/>
      <c r="H9058" s="3"/>
    </row>
    <row r="9059" spans="1:8">
      <c r="A9059" s="3">
        <v>5680</v>
      </c>
      <c r="B9059" s="7" t="s">
        <v>122</v>
      </c>
      <c r="C9059" s="99" t="s">
        <v>32</v>
      </c>
      <c r="D9059" s="6">
        <v>46482</v>
      </c>
      <c r="E9059" s="3" t="str">
        <f ca="1">IF(Tabela2[[#This Row],[Dt Venc:]]&gt;TODAY(),"Em Aberto",IF(Tabela2[[#This Row],[D/venc]]="-","Enviado",IF(Tabela2[[#This Row],[Dt Venc:]]=TODAY(),"Vence Hoje","Vencida")))</f>
        <v>Em Aberto</v>
      </c>
      <c r="F9059" s="3">
        <f ca="1">IF(G9059=1,"-",Tabela2[[#This Row],[Dt Venc:]]-TODAY())</f>
        <v>789</v>
      </c>
      <c r="G9059" s="3"/>
      <c r="H9059" s="3"/>
    </row>
    <row r="9060" spans="1:8">
      <c r="A9060" s="3">
        <v>10353</v>
      </c>
      <c r="B9060" s="7" t="s">
        <v>82</v>
      </c>
      <c r="C9060" s="99" t="s">
        <v>32</v>
      </c>
      <c r="D9060" s="6">
        <v>46482</v>
      </c>
      <c r="E9060" s="3" t="str">
        <f ca="1">IF(Tabela2[[#This Row],[Dt Venc:]]&gt;TODAY(),"Em Aberto",IF(Tabela2[[#This Row],[D/venc]]="-","Enviado",IF(Tabela2[[#This Row],[Dt Venc:]]=TODAY(),"Vence Hoje","Vencida")))</f>
        <v>Em Aberto</v>
      </c>
      <c r="F9060" s="3">
        <f ca="1">IF(G9060=1,"-",Tabela2[[#This Row],[Dt Venc:]]-TODAY())</f>
        <v>789</v>
      </c>
      <c r="G9060" s="3"/>
      <c r="H9060" s="3"/>
    </row>
    <row r="9061" spans="1:8">
      <c r="A9061" s="3">
        <v>284620</v>
      </c>
      <c r="B9061" s="7" t="s">
        <v>153</v>
      </c>
      <c r="C9061" s="99" t="s">
        <v>32</v>
      </c>
      <c r="D9061" s="6">
        <v>46485</v>
      </c>
      <c r="E9061" s="3" t="str">
        <f ca="1">IF(Tabela2[[#This Row],[Dt Venc:]]&gt;TODAY(),"Em Aberto",IF(Tabela2[[#This Row],[D/venc]]="-","Enviado",IF(Tabela2[[#This Row],[Dt Venc:]]=TODAY(),"Vence Hoje","Vencida")))</f>
        <v>Em Aberto</v>
      </c>
      <c r="F9061" s="3">
        <f ca="1">IF(G9061=1,"-",Tabela2[[#This Row],[Dt Venc:]]-TODAY())</f>
        <v>792</v>
      </c>
      <c r="G9061" s="3"/>
      <c r="H9061" s="3"/>
    </row>
    <row r="9062" spans="1:8">
      <c r="A9062" s="3">
        <v>756561</v>
      </c>
      <c r="B9062" s="7" t="s">
        <v>166</v>
      </c>
      <c r="C9062" s="99" t="s">
        <v>32</v>
      </c>
      <c r="D9062" s="6">
        <v>46486</v>
      </c>
      <c r="E9062" s="3" t="str">
        <f ca="1">IF(Tabela2[[#This Row],[Dt Venc:]]&gt;TODAY(),"Em Aberto",IF(Tabela2[[#This Row],[D/venc]]="-","Enviado",IF(Tabela2[[#This Row],[Dt Venc:]]=TODAY(),"Vence Hoje","Vencida")))</f>
        <v>Em Aberto</v>
      </c>
      <c r="F9062" s="3">
        <f ca="1">IF(G9062=1,"-",Tabela2[[#This Row],[Dt Venc:]]-TODAY())</f>
        <v>793</v>
      </c>
      <c r="G9062" s="3"/>
      <c r="H9062" s="3"/>
    </row>
    <row r="9063" spans="1:8">
      <c r="A9063" s="3">
        <v>562</v>
      </c>
      <c r="B9063" s="7" t="s">
        <v>251</v>
      </c>
      <c r="C9063" s="99" t="s">
        <v>32</v>
      </c>
      <c r="D9063" s="6">
        <v>46492</v>
      </c>
      <c r="E9063" s="3" t="str">
        <f ca="1">IF(Tabela2[[#This Row],[Dt Venc:]]&gt;TODAY(),"Em Aberto",IF(Tabela2[[#This Row],[D/venc]]="-","Enviado",IF(Tabela2[[#This Row],[Dt Venc:]]=TODAY(),"Vence Hoje","Vencida")))</f>
        <v>Em Aberto</v>
      </c>
      <c r="F9063" s="3">
        <f ca="1">IF(G9063=1,"-",Tabela2[[#This Row],[Dt Venc:]]-TODAY())</f>
        <v>799</v>
      </c>
      <c r="G9063" s="3"/>
      <c r="H9063" s="3"/>
    </row>
    <row r="9064" spans="1:8">
      <c r="A9064" s="3">
        <v>103015</v>
      </c>
      <c r="B9064" s="7" t="s">
        <v>252</v>
      </c>
      <c r="C9064" s="99" t="s">
        <v>32</v>
      </c>
      <c r="D9064" s="6">
        <v>46492</v>
      </c>
      <c r="E9064" s="3" t="str">
        <f ca="1">IF(Tabela2[[#This Row],[Dt Venc:]]&gt;TODAY(),"Em Aberto",IF(Tabela2[[#This Row],[D/venc]]="-","Enviado",IF(Tabela2[[#This Row],[Dt Venc:]]=TODAY(),"Vence Hoje","Vencida")))</f>
        <v>Em Aberto</v>
      </c>
      <c r="F9064" s="3">
        <f ca="1">IF(G9064=1,"-",Tabela2[[#This Row],[Dt Venc:]]-TODAY())</f>
        <v>799</v>
      </c>
      <c r="G9064" s="3"/>
      <c r="H9064" s="3"/>
    </row>
    <row r="9065" spans="1:8">
      <c r="A9065" s="3">
        <v>103077</v>
      </c>
      <c r="B9065" s="7" t="s">
        <v>252</v>
      </c>
      <c r="C9065" s="100" t="s">
        <v>32</v>
      </c>
      <c r="D9065" s="6">
        <v>46492</v>
      </c>
      <c r="E9065" s="3" t="str">
        <f ca="1">IF(Tabela2[[#This Row],[Dt Venc:]]&gt;TODAY(),"Em Aberto",IF(Tabela2[[#This Row],[D/venc]]="-","Enviado",IF(Tabela2[[#This Row],[Dt Venc:]]=TODAY(),"Vence Hoje","Vencida")))</f>
        <v>Em Aberto</v>
      </c>
      <c r="F9065" s="3">
        <f ca="1">IF(G9065=1,"-",Tabela2[[#This Row],[Dt Venc:]]-TODAY())</f>
        <v>799</v>
      </c>
      <c r="G9065" s="3"/>
      <c r="H9065" s="3"/>
    </row>
    <row r="9066" spans="1:8">
      <c r="A9066" s="3">
        <v>103153</v>
      </c>
      <c r="B9066" s="7" t="s">
        <v>252</v>
      </c>
      <c r="C9066" s="87" t="s">
        <v>32</v>
      </c>
      <c r="D9066" s="6">
        <v>46492</v>
      </c>
      <c r="E9066" s="3" t="str">
        <f ca="1">IF(Tabela2[[#This Row],[Dt Venc:]]&gt;TODAY(),"Em Aberto",IF(Tabela2[[#This Row],[D/venc]]="-","Enviado",IF(Tabela2[[#This Row],[Dt Venc:]]=TODAY(),"Vence Hoje","Vencida")))</f>
        <v>Em Aberto</v>
      </c>
      <c r="F9066" s="3">
        <f ca="1">IF(G9066=1,"-",Tabela2[[#This Row],[Dt Venc:]]-TODAY())</f>
        <v>799</v>
      </c>
      <c r="G9066" s="3"/>
      <c r="H9066" s="3"/>
    </row>
    <row r="9067" spans="1:8">
      <c r="A9067" s="3">
        <v>103154</v>
      </c>
      <c r="B9067" s="7" t="s">
        <v>252</v>
      </c>
      <c r="C9067" s="100" t="s">
        <v>32</v>
      </c>
      <c r="D9067" s="6">
        <v>46492</v>
      </c>
      <c r="E9067" s="3" t="str">
        <f ca="1">IF(Tabela2[[#This Row],[Dt Venc:]]&gt;TODAY(),"Em Aberto",IF(Tabela2[[#This Row],[D/venc]]="-","Enviado",IF(Tabela2[[#This Row],[Dt Venc:]]=TODAY(),"Vence Hoje","Vencida")))</f>
        <v>Em Aberto</v>
      </c>
      <c r="F9067" s="3">
        <f ca="1">IF(G9067=1,"-",Tabela2[[#This Row],[Dt Venc:]]-TODAY())</f>
        <v>799</v>
      </c>
      <c r="G9067" s="3"/>
      <c r="H9067" s="3"/>
    </row>
    <row r="9068" spans="1:8">
      <c r="A9068" s="3">
        <v>106007</v>
      </c>
      <c r="B9068" s="7" t="s">
        <v>252</v>
      </c>
      <c r="C9068" s="100" t="s">
        <v>32</v>
      </c>
      <c r="D9068" s="6">
        <v>46492</v>
      </c>
      <c r="E9068" s="3" t="str">
        <f ca="1">IF(Tabela2[[#This Row],[Dt Venc:]]&gt;TODAY(),"Em Aberto",IF(Tabela2[[#This Row],[D/venc]]="-","Enviado",IF(Tabela2[[#This Row],[Dt Venc:]]=TODAY(),"Vence Hoje","Vencida")))</f>
        <v>Em Aberto</v>
      </c>
      <c r="F9068" s="3">
        <f ca="1">IF(G9068=1,"-",Tabela2[[#This Row],[Dt Venc:]]-TODAY())</f>
        <v>799</v>
      </c>
      <c r="G9068" s="3"/>
      <c r="H9068" s="3"/>
    </row>
    <row r="9069" spans="1:8">
      <c r="A9069" s="3">
        <v>106043</v>
      </c>
      <c r="B9069" s="7" t="s">
        <v>252</v>
      </c>
      <c r="C9069" s="100" t="s">
        <v>32</v>
      </c>
      <c r="D9069" s="6">
        <v>46492</v>
      </c>
      <c r="E9069" s="3" t="str">
        <f ca="1">IF(Tabela2[[#This Row],[Dt Venc:]]&gt;TODAY(),"Em Aberto",IF(Tabela2[[#This Row],[D/venc]]="-","Enviado",IF(Tabela2[[#This Row],[Dt Venc:]]=TODAY(),"Vence Hoje","Vencida")))</f>
        <v>Em Aberto</v>
      </c>
      <c r="F9069" s="3">
        <f ca="1">IF(G9069=1,"-",Tabela2[[#This Row],[Dt Venc:]]-TODAY())</f>
        <v>799</v>
      </c>
      <c r="G9069" s="3"/>
      <c r="H9069" s="3"/>
    </row>
    <row r="9070" spans="1:8">
      <c r="A9070" s="3">
        <v>107829</v>
      </c>
      <c r="B9070" s="7" t="s">
        <v>252</v>
      </c>
      <c r="C9070" s="100" t="s">
        <v>32</v>
      </c>
      <c r="D9070" s="6">
        <v>46492</v>
      </c>
      <c r="E9070" s="3" t="str">
        <f ca="1">IF(Tabela2[[#This Row],[Dt Venc:]]&gt;TODAY(),"Em Aberto",IF(Tabela2[[#This Row],[D/venc]]="-","Enviado",IF(Tabela2[[#This Row],[Dt Venc:]]=TODAY(),"Vence Hoje","Vencida")))</f>
        <v>Em Aberto</v>
      </c>
      <c r="F9070" s="3">
        <f ca="1">IF(G9070=1,"-",Tabela2[[#This Row],[Dt Venc:]]-TODAY())</f>
        <v>799</v>
      </c>
      <c r="G9070" s="3"/>
      <c r="H9070" s="3"/>
    </row>
    <row r="9071" spans="1:8">
      <c r="A9071" s="3">
        <v>107830</v>
      </c>
      <c r="B9071" s="7" t="s">
        <v>252</v>
      </c>
      <c r="C9071" s="87" t="s">
        <v>32</v>
      </c>
      <c r="D9071" s="6">
        <v>46492</v>
      </c>
      <c r="E9071" s="3" t="str">
        <f ca="1">IF(Tabela2[[#This Row],[Dt Venc:]]&gt;TODAY(),"Em Aberto",IF(Tabela2[[#This Row],[D/venc]]="-","Enviado",IF(Tabela2[[#This Row],[Dt Venc:]]=TODAY(),"Vence Hoje","Vencida")))</f>
        <v>Em Aberto</v>
      </c>
      <c r="F9071" s="3">
        <f ca="1">IF(G9071=1,"-",Tabela2[[#This Row],[Dt Venc:]]-TODAY())</f>
        <v>799</v>
      </c>
      <c r="G9071" s="3"/>
      <c r="H9071" s="3"/>
    </row>
    <row r="9072" spans="1:8">
      <c r="A9072" s="3">
        <v>107831</v>
      </c>
      <c r="B9072" s="7" t="s">
        <v>252</v>
      </c>
      <c r="C9072" s="99" t="s">
        <v>32</v>
      </c>
      <c r="D9072" s="6">
        <v>46492</v>
      </c>
      <c r="E9072" s="3" t="str">
        <f ca="1">IF(Tabela2[[#This Row],[Dt Venc:]]&gt;TODAY(),"Em Aberto",IF(Tabela2[[#This Row],[D/venc]]="-","Enviado",IF(Tabela2[[#This Row],[Dt Venc:]]=TODAY(),"Vence Hoje","Vencida")))</f>
        <v>Em Aberto</v>
      </c>
      <c r="F9072" s="3">
        <f ca="1">IF(G9072=1,"-",Tabela2[[#This Row],[Dt Venc:]]-TODAY())</f>
        <v>799</v>
      </c>
      <c r="G9072" s="3"/>
      <c r="H9072" s="3"/>
    </row>
    <row r="9073" spans="1:8">
      <c r="A9073" s="3">
        <v>107832</v>
      </c>
      <c r="B9073" s="7" t="s">
        <v>252</v>
      </c>
      <c r="C9073" s="100" t="s">
        <v>32</v>
      </c>
      <c r="D9073" s="6">
        <v>46492</v>
      </c>
      <c r="E9073" s="3" t="str">
        <f ca="1">IF(Tabela2[[#This Row],[Dt Venc:]]&gt;TODAY(),"Em Aberto",IF(Tabela2[[#This Row],[D/venc]]="-","Enviado",IF(Tabela2[[#This Row],[Dt Venc:]]=TODAY(),"Vence Hoje","Vencida")))</f>
        <v>Em Aberto</v>
      </c>
      <c r="F9073" s="3">
        <f ca="1">IF(G9073=1,"-",Tabela2[[#This Row],[Dt Venc:]]-TODAY())</f>
        <v>799</v>
      </c>
      <c r="G9073" s="3"/>
      <c r="H9073" s="3"/>
    </row>
    <row r="9074" spans="1:8">
      <c r="A9074" s="3">
        <v>361229</v>
      </c>
      <c r="B9074" s="7" t="s">
        <v>250</v>
      </c>
      <c r="C9074" s="100" t="s">
        <v>32</v>
      </c>
      <c r="D9074" s="6">
        <v>46492</v>
      </c>
      <c r="E9074" s="3" t="str">
        <f ca="1">IF(Tabela2[[#This Row],[Dt Venc:]]&gt;TODAY(),"Em Aberto",IF(Tabela2[[#This Row],[D/venc]]="-","Enviado",IF(Tabela2[[#This Row],[Dt Venc:]]=TODAY(),"Vence Hoje","Vencida")))</f>
        <v>Em Aberto</v>
      </c>
      <c r="F9074" s="3">
        <f ca="1">IF(G9074=1,"-",Tabela2[[#This Row],[Dt Venc:]]-TODAY())</f>
        <v>799</v>
      </c>
      <c r="G9074" s="3"/>
      <c r="H9074" s="3"/>
    </row>
    <row r="9075" spans="1:8">
      <c r="A9075" s="3">
        <v>361237</v>
      </c>
      <c r="B9075" s="7" t="s">
        <v>250</v>
      </c>
      <c r="C9075" s="99" t="s">
        <v>32</v>
      </c>
      <c r="D9075" s="6">
        <v>46492</v>
      </c>
      <c r="E9075" s="3" t="str">
        <f ca="1">IF(Tabela2[[#This Row],[Dt Venc:]]&gt;TODAY(),"Em Aberto",IF(Tabela2[[#This Row],[D/venc]]="-","Enviado",IF(Tabela2[[#This Row],[Dt Venc:]]=TODAY(),"Vence Hoje","Vencida")))</f>
        <v>Em Aberto</v>
      </c>
      <c r="F9075" s="3">
        <f ca="1">IF(G9075=1,"-",Tabela2[[#This Row],[Dt Venc:]]-TODAY())</f>
        <v>799</v>
      </c>
      <c r="G9075" s="3"/>
      <c r="H9075" s="3"/>
    </row>
    <row r="9076" spans="1:8">
      <c r="A9076" s="3">
        <v>365658</v>
      </c>
      <c r="B9076" s="7" t="s">
        <v>250</v>
      </c>
      <c r="C9076" s="100" t="s">
        <v>32</v>
      </c>
      <c r="D9076" s="6">
        <v>46492</v>
      </c>
      <c r="E9076" s="3" t="str">
        <f ca="1">IF(Tabela2[[#This Row],[Dt Venc:]]&gt;TODAY(),"Em Aberto",IF(Tabela2[[#This Row],[D/venc]]="-","Enviado",IF(Tabela2[[#This Row],[Dt Venc:]]=TODAY(),"Vence Hoje","Vencida")))</f>
        <v>Em Aberto</v>
      </c>
      <c r="F9076" s="3">
        <f ca="1">IF(G9076=1,"-",Tabela2[[#This Row],[Dt Venc:]]-TODAY())</f>
        <v>799</v>
      </c>
      <c r="G9076" s="3"/>
      <c r="H9076" s="3"/>
    </row>
    <row r="9077" spans="1:8">
      <c r="A9077" s="3">
        <v>365666</v>
      </c>
      <c r="B9077" s="7" t="s">
        <v>250</v>
      </c>
      <c r="C9077" s="100" t="s">
        <v>32</v>
      </c>
      <c r="D9077" s="6">
        <v>46492</v>
      </c>
      <c r="E9077" s="3" t="str">
        <f ca="1">IF(Tabela2[[#This Row],[Dt Venc:]]&gt;TODAY(),"Em Aberto",IF(Tabela2[[#This Row],[D/venc]]="-","Enviado",IF(Tabela2[[#This Row],[Dt Venc:]]=TODAY(),"Vence Hoje","Vencida")))</f>
        <v>Em Aberto</v>
      </c>
      <c r="F9077" s="3">
        <f ca="1">IF(G9077=1,"-",Tabela2[[#This Row],[Dt Venc:]]-TODAY())</f>
        <v>799</v>
      </c>
      <c r="G9077" s="3"/>
      <c r="H9077" s="3"/>
    </row>
    <row r="9078" spans="1:8">
      <c r="A9078" s="3">
        <v>365674</v>
      </c>
      <c r="B9078" s="7" t="s">
        <v>250</v>
      </c>
      <c r="C9078" s="100" t="s">
        <v>32</v>
      </c>
      <c r="D9078" s="6">
        <v>46492</v>
      </c>
      <c r="E9078" s="3" t="str">
        <f ca="1">IF(Tabela2[[#This Row],[Dt Venc:]]&gt;TODAY(),"Em Aberto",IF(Tabela2[[#This Row],[D/venc]]="-","Enviado",IF(Tabela2[[#This Row],[Dt Venc:]]=TODAY(),"Vence Hoje","Vencida")))</f>
        <v>Em Aberto</v>
      </c>
      <c r="F9078" s="3">
        <f ca="1">IF(G9078=1,"-",Tabela2[[#This Row],[Dt Venc:]]-TODAY())</f>
        <v>799</v>
      </c>
      <c r="G9078" s="3"/>
      <c r="H9078" s="3"/>
    </row>
    <row r="9079" spans="1:8">
      <c r="A9079" s="3">
        <v>365682</v>
      </c>
      <c r="B9079" s="7" t="s">
        <v>250</v>
      </c>
      <c r="C9079" s="100" t="s">
        <v>32</v>
      </c>
      <c r="D9079" s="6">
        <v>46492</v>
      </c>
      <c r="E9079" s="3" t="str">
        <f ca="1">IF(Tabela2[[#This Row],[Dt Venc:]]&gt;TODAY(),"Em Aberto",IF(Tabela2[[#This Row],[D/venc]]="-","Enviado",IF(Tabela2[[#This Row],[Dt Venc:]]=TODAY(),"Vence Hoje","Vencida")))</f>
        <v>Em Aberto</v>
      </c>
      <c r="F9079" s="3">
        <f ca="1">IF(G9079=1,"-",Tabela2[[#This Row],[Dt Venc:]]-TODAY())</f>
        <v>799</v>
      </c>
      <c r="G9079" s="3"/>
      <c r="H9079" s="3"/>
    </row>
    <row r="9080" spans="1:8">
      <c r="A9080" s="3">
        <v>369335</v>
      </c>
      <c r="B9080" s="7" t="s">
        <v>543</v>
      </c>
      <c r="C9080" s="87" t="s">
        <v>32</v>
      </c>
      <c r="D9080" s="6">
        <v>46492</v>
      </c>
      <c r="E9080" s="3" t="str">
        <f ca="1">IF(Tabela2[[#This Row],[Dt Venc:]]&gt;TODAY(),"Em Aberto",IF(Tabela2[[#This Row],[D/venc]]="-","Enviado",IF(Tabela2[[#This Row],[Dt Venc:]]=TODAY(),"Vence Hoje","Vencida")))</f>
        <v>Em Aberto</v>
      </c>
      <c r="F9080" s="3">
        <f ca="1">IF(G9080=1,"-",Tabela2[[#This Row],[Dt Venc:]]-TODAY())</f>
        <v>799</v>
      </c>
      <c r="G9080" s="3"/>
      <c r="H9080" s="3"/>
    </row>
    <row r="9081" spans="1:8">
      <c r="A9081" s="3">
        <v>369696</v>
      </c>
      <c r="B9081" s="7" t="s">
        <v>543</v>
      </c>
      <c r="C9081" s="87" t="s">
        <v>32</v>
      </c>
      <c r="D9081" s="6">
        <v>46492</v>
      </c>
      <c r="E9081" s="3" t="str">
        <f ca="1">IF(Tabela2[[#This Row],[Dt Venc:]]&gt;TODAY(),"Em Aberto",IF(Tabela2[[#This Row],[D/venc]]="-","Enviado",IF(Tabela2[[#This Row],[Dt Venc:]]=TODAY(),"Vence Hoje","Vencida")))</f>
        <v>Em Aberto</v>
      </c>
      <c r="F9081" s="3">
        <f ca="1">IF(G9081=1,"-",Tabela2[[#This Row],[Dt Venc:]]-TODAY())</f>
        <v>799</v>
      </c>
      <c r="G9081" s="3"/>
      <c r="H9081" s="3"/>
    </row>
    <row r="9082" spans="1:8">
      <c r="A9082" s="3">
        <v>369726</v>
      </c>
      <c r="B9082" s="7" t="s">
        <v>543</v>
      </c>
      <c r="C9082" s="87" t="s">
        <v>32</v>
      </c>
      <c r="D9082" s="6">
        <v>46492</v>
      </c>
      <c r="E9082" s="3" t="str">
        <f ca="1">IF(Tabela2[[#This Row],[Dt Venc:]]&gt;TODAY(),"Em Aberto",IF(Tabela2[[#This Row],[D/venc]]="-","Enviado",IF(Tabela2[[#This Row],[Dt Venc:]]=TODAY(),"Vence Hoje","Vencida")))</f>
        <v>Em Aberto</v>
      </c>
      <c r="F9082" s="3">
        <f ca="1">IF(G9082=1,"-",Tabela2[[#This Row],[Dt Venc:]]-TODAY())</f>
        <v>799</v>
      </c>
      <c r="G9082" s="3"/>
      <c r="H9082" s="3"/>
    </row>
    <row r="9083" spans="1:8">
      <c r="A9083" s="3">
        <v>369751</v>
      </c>
      <c r="B9083" s="7" t="s">
        <v>543</v>
      </c>
      <c r="C9083" s="87" t="s">
        <v>32</v>
      </c>
      <c r="D9083" s="6">
        <v>46492</v>
      </c>
      <c r="E9083" s="3" t="str">
        <f ca="1">IF(Tabela2[[#This Row],[Dt Venc:]]&gt;TODAY(),"Em Aberto",IF(Tabela2[[#This Row],[D/venc]]="-","Enviado",IF(Tabela2[[#This Row],[Dt Venc:]]=TODAY(),"Vence Hoje","Vencida")))</f>
        <v>Em Aberto</v>
      </c>
      <c r="F9083" s="3">
        <f ca="1">IF(G9083=1,"-",Tabela2[[#This Row],[Dt Venc:]]-TODAY())</f>
        <v>799</v>
      </c>
      <c r="G9083" s="3"/>
      <c r="H9083" s="3"/>
    </row>
    <row r="9084" spans="1:8">
      <c r="A9084" s="3">
        <v>370201</v>
      </c>
      <c r="B9084" s="7" t="s">
        <v>543</v>
      </c>
      <c r="C9084" s="87" t="s">
        <v>32</v>
      </c>
      <c r="D9084" s="6">
        <v>46492</v>
      </c>
      <c r="E9084" s="3" t="str">
        <f ca="1">IF(Tabela2[[#This Row],[Dt Venc:]]&gt;TODAY(),"Em Aberto",IF(Tabela2[[#This Row],[D/venc]]="-","Enviado",IF(Tabela2[[#This Row],[Dt Venc:]]=TODAY(),"Vence Hoje","Vencida")))</f>
        <v>Em Aberto</v>
      </c>
      <c r="F9084" s="3">
        <f ca="1">IF(G9084=1,"-",Tabela2[[#This Row],[Dt Venc:]]-TODAY())</f>
        <v>799</v>
      </c>
      <c r="G9084" s="3"/>
      <c r="H9084" s="3"/>
    </row>
    <row r="9085" spans="1:8">
      <c r="A9085" s="3">
        <v>370864</v>
      </c>
      <c r="B9085" s="7" t="s">
        <v>543</v>
      </c>
      <c r="C9085" s="87" t="s">
        <v>32</v>
      </c>
      <c r="D9085" s="6">
        <v>46492</v>
      </c>
      <c r="E9085" s="3" t="str">
        <f ca="1">IF(Tabela2[[#This Row],[Dt Venc:]]&gt;TODAY(),"Em Aberto",IF(Tabela2[[#This Row],[D/venc]]="-","Enviado",IF(Tabela2[[#This Row],[Dt Venc:]]=TODAY(),"Vence Hoje","Vencida")))</f>
        <v>Em Aberto</v>
      </c>
      <c r="F9085" s="3">
        <f ca="1">IF(G9085=1,"-",Tabela2[[#This Row],[Dt Venc:]]-TODAY())</f>
        <v>799</v>
      </c>
      <c r="G9085" s="3"/>
      <c r="H9085" s="3"/>
    </row>
    <row r="9086" spans="1:8">
      <c r="A9086" s="3">
        <v>371011</v>
      </c>
      <c r="B9086" s="7" t="s">
        <v>633</v>
      </c>
      <c r="C9086" s="87" t="s">
        <v>32</v>
      </c>
      <c r="D9086" s="6">
        <v>46492</v>
      </c>
      <c r="E9086" s="3" t="str">
        <f ca="1">IF(Tabela2[[#This Row],[Dt Venc:]]&gt;TODAY(),"Em Aberto",IF(Tabela2[[#This Row],[D/venc]]="-","Enviado",IF(Tabela2[[#This Row],[Dt Venc:]]=TODAY(),"Vence Hoje","Vencida")))</f>
        <v>Em Aberto</v>
      </c>
      <c r="F9086" s="3">
        <f ca="1">IF(G9086=1,"-",Tabela2[[#This Row],[Dt Venc:]]-TODAY())</f>
        <v>799</v>
      </c>
      <c r="G9086" s="3"/>
      <c r="H9086" s="3"/>
    </row>
    <row r="9087" spans="1:8">
      <c r="A9087" s="3">
        <v>371160</v>
      </c>
      <c r="B9087" s="7" t="s">
        <v>633</v>
      </c>
      <c r="C9087" s="87" t="s">
        <v>32</v>
      </c>
      <c r="D9087" s="6">
        <v>46492</v>
      </c>
      <c r="E9087" s="3" t="str">
        <f ca="1">IF(Tabela2[[#This Row],[Dt Venc:]]&gt;TODAY(),"Em Aberto",IF(Tabela2[[#This Row],[D/venc]]="-","Enviado",IF(Tabela2[[#This Row],[Dt Venc:]]=TODAY(),"Vence Hoje","Vencida")))</f>
        <v>Em Aberto</v>
      </c>
      <c r="F9087" s="3">
        <f ca="1">IF(G9087=1,"-",Tabela2[[#This Row],[Dt Venc:]]-TODAY())</f>
        <v>799</v>
      </c>
      <c r="G9087" s="3"/>
      <c r="H9087" s="3"/>
    </row>
    <row r="9088" spans="1:8">
      <c r="A9088" s="3">
        <v>892178</v>
      </c>
      <c r="B9088" s="7" t="s">
        <v>253</v>
      </c>
      <c r="C9088" s="100" t="s">
        <v>32</v>
      </c>
      <c r="D9088" s="6">
        <v>46492</v>
      </c>
      <c r="E9088" s="3" t="str">
        <f ca="1">IF(Tabela2[[#This Row],[Dt Venc:]]&gt;TODAY(),"Em Aberto",IF(Tabela2[[#This Row],[D/venc]]="-","Enviado",IF(Tabela2[[#This Row],[Dt Venc:]]=TODAY(),"Vence Hoje","Vencida")))</f>
        <v>Em Aberto</v>
      </c>
      <c r="F9088" s="3">
        <f ca="1">IF(G9088=1,"-",Tabela2[[#This Row],[Dt Venc:]]-TODAY())</f>
        <v>799</v>
      </c>
      <c r="G9088" s="3"/>
      <c r="H9088" s="3"/>
    </row>
    <row r="9089" spans="1:8">
      <c r="A9089" s="3">
        <v>894135</v>
      </c>
      <c r="B9089" s="7" t="s">
        <v>253</v>
      </c>
      <c r="C9089" s="100" t="s">
        <v>32</v>
      </c>
      <c r="D9089" s="6">
        <v>46492</v>
      </c>
      <c r="E9089" s="3" t="str">
        <f ca="1">IF(Tabela2[[#This Row],[Dt Venc:]]&gt;TODAY(),"Em Aberto",IF(Tabela2[[#This Row],[D/venc]]="-","Enviado",IF(Tabela2[[#This Row],[Dt Venc:]]=TODAY(),"Vence Hoje","Vencida")))</f>
        <v>Em Aberto</v>
      </c>
      <c r="F9089" s="3">
        <f ca="1">IF(G9089=1,"-",Tabela2[[#This Row],[Dt Venc:]]-TODAY())</f>
        <v>799</v>
      </c>
      <c r="G9089" s="3"/>
      <c r="H9089" s="3"/>
    </row>
    <row r="9090" spans="1:8">
      <c r="A9090" s="3">
        <v>896565</v>
      </c>
      <c r="B9090" s="7" t="s">
        <v>253</v>
      </c>
      <c r="C9090" s="100" t="s">
        <v>32</v>
      </c>
      <c r="D9090" s="6">
        <v>46492</v>
      </c>
      <c r="E9090" s="3" t="str">
        <f ca="1">IF(Tabela2[[#This Row],[Dt Venc:]]&gt;TODAY(),"Em Aberto",IF(Tabela2[[#This Row],[D/venc]]="-","Enviado",IF(Tabela2[[#This Row],[Dt Venc:]]=TODAY(),"Vence Hoje","Vencida")))</f>
        <v>Em Aberto</v>
      </c>
      <c r="F9090" s="3">
        <f ca="1">IF(G9090=1,"-",Tabela2[[#This Row],[Dt Venc:]]-TODAY())</f>
        <v>799</v>
      </c>
      <c r="G9090" s="3"/>
      <c r="H9090" s="3"/>
    </row>
    <row r="9091" spans="1:8">
      <c r="A9091" s="3">
        <v>900386</v>
      </c>
      <c r="B9091" s="7" t="s">
        <v>253</v>
      </c>
      <c r="C9091" s="100" t="s">
        <v>32</v>
      </c>
      <c r="D9091" s="6">
        <v>46492</v>
      </c>
      <c r="E9091" s="3" t="str">
        <f ca="1">IF(Tabela2[[#This Row],[Dt Venc:]]&gt;TODAY(),"Em Aberto",IF(Tabela2[[#This Row],[D/venc]]="-","Enviado",IF(Tabela2[[#This Row],[Dt Venc:]]=TODAY(),"Vence Hoje","Vencida")))</f>
        <v>Em Aberto</v>
      </c>
      <c r="F9091" s="3">
        <f ca="1">IF(G9091=1,"-",Tabela2[[#This Row],[Dt Venc:]]-TODAY())</f>
        <v>799</v>
      </c>
      <c r="G9091" s="3"/>
      <c r="H9091" s="3"/>
    </row>
    <row r="9092" spans="1:8">
      <c r="A9092" s="3">
        <v>901787</v>
      </c>
      <c r="B9092" s="7" t="s">
        <v>253</v>
      </c>
      <c r="C9092" s="99" t="s">
        <v>32</v>
      </c>
      <c r="D9092" s="6">
        <v>46492</v>
      </c>
      <c r="E9092" s="3" t="str">
        <f ca="1">IF(Tabela2[[#This Row],[Dt Venc:]]&gt;TODAY(),"Em Aberto",IF(Tabela2[[#This Row],[D/venc]]="-","Enviado",IF(Tabela2[[#This Row],[Dt Venc:]]=TODAY(),"Vence Hoje","Vencida")))</f>
        <v>Em Aberto</v>
      </c>
      <c r="F9092" s="3">
        <f ca="1">IF(G9092=1,"-",Tabela2[[#This Row],[Dt Venc:]]-TODAY())</f>
        <v>799</v>
      </c>
      <c r="G9092" s="3"/>
      <c r="H9092" s="3"/>
    </row>
    <row r="9093" spans="1:8">
      <c r="A9093" s="3">
        <v>901788</v>
      </c>
      <c r="B9093" s="7" t="s">
        <v>253</v>
      </c>
      <c r="C9093" s="100" t="s">
        <v>32</v>
      </c>
      <c r="D9093" s="6">
        <v>46492</v>
      </c>
      <c r="E9093" s="3" t="str">
        <f ca="1">IF(Tabela2[[#This Row],[Dt Venc:]]&gt;TODAY(),"Em Aberto",IF(Tabela2[[#This Row],[D/venc]]="-","Enviado",IF(Tabela2[[#This Row],[Dt Venc:]]=TODAY(),"Vence Hoje","Vencida")))</f>
        <v>Em Aberto</v>
      </c>
      <c r="F9093" s="3">
        <f ca="1">IF(G9093=1,"-",Tabela2[[#This Row],[Dt Venc:]]-TODAY())</f>
        <v>799</v>
      </c>
      <c r="G9093" s="3"/>
      <c r="H9093" s="3"/>
    </row>
    <row r="9094" spans="1:8">
      <c r="A9094" s="3">
        <v>901789</v>
      </c>
      <c r="B9094" s="7" t="s">
        <v>253</v>
      </c>
      <c r="C9094" s="100" t="s">
        <v>32</v>
      </c>
      <c r="D9094" s="6">
        <v>46492</v>
      </c>
      <c r="E9094" s="3" t="str">
        <f ca="1">IF(Tabela2[[#This Row],[Dt Venc:]]&gt;TODAY(),"Em Aberto",IF(Tabela2[[#This Row],[D/venc]]="-","Enviado",IF(Tabela2[[#This Row],[Dt Venc:]]=TODAY(),"Vence Hoje","Vencida")))</f>
        <v>Em Aberto</v>
      </c>
      <c r="F9094" s="3">
        <f ca="1">IF(G9094=1,"-",Tabela2[[#This Row],[Dt Venc:]]-TODAY())</f>
        <v>799</v>
      </c>
      <c r="G9094" s="3"/>
      <c r="H9094" s="3"/>
    </row>
    <row r="9095" spans="1:8">
      <c r="A9095" s="3">
        <v>912703</v>
      </c>
      <c r="B9095" s="7" t="s">
        <v>253</v>
      </c>
      <c r="C9095" s="100" t="s">
        <v>32</v>
      </c>
      <c r="D9095" s="6">
        <v>46492</v>
      </c>
      <c r="E9095" s="3" t="str">
        <f ca="1">IF(Tabela2[[#This Row],[Dt Venc:]]&gt;TODAY(),"Em Aberto",IF(Tabela2[[#This Row],[D/venc]]="-","Enviado",IF(Tabela2[[#This Row],[Dt Venc:]]=TODAY(),"Vence Hoje","Vencida")))</f>
        <v>Em Aberto</v>
      </c>
      <c r="F9095" s="3">
        <f ca="1">IF(G9095=1,"-",Tabela2[[#This Row],[Dt Venc:]]-TODAY())</f>
        <v>799</v>
      </c>
      <c r="G9095" s="3"/>
      <c r="H9095" s="3"/>
    </row>
    <row r="9096" spans="1:8">
      <c r="A9096" s="3">
        <v>912704</v>
      </c>
      <c r="B9096" s="7" t="s">
        <v>253</v>
      </c>
      <c r="C9096" s="99" t="s">
        <v>32</v>
      </c>
      <c r="D9096" s="6">
        <v>46492</v>
      </c>
      <c r="E9096" s="3" t="str">
        <f ca="1">IF(Tabela2[[#This Row],[Dt Venc:]]&gt;TODAY(),"Em Aberto",IF(Tabela2[[#This Row],[D/venc]]="-","Enviado",IF(Tabela2[[#This Row],[Dt Venc:]]=TODAY(),"Vence Hoje","Vencida")))</f>
        <v>Em Aberto</v>
      </c>
      <c r="F9096" s="3">
        <f ca="1">IF(G9096=1,"-",Tabela2[[#This Row],[Dt Venc:]]-TODAY())</f>
        <v>799</v>
      </c>
      <c r="G9096" s="3"/>
      <c r="H9096" s="3"/>
    </row>
    <row r="9097" spans="1:8">
      <c r="A9097" s="3">
        <v>919728</v>
      </c>
      <c r="B9097" s="7" t="s">
        <v>253</v>
      </c>
      <c r="C9097" s="87" t="s">
        <v>32</v>
      </c>
      <c r="D9097" s="6">
        <v>46492</v>
      </c>
      <c r="E9097" s="3" t="str">
        <f ca="1">IF(Tabela2[[#This Row],[Dt Venc:]]&gt;TODAY(),"Em Aberto",IF(Tabela2[[#This Row],[D/venc]]="-","Enviado",IF(Tabela2[[#This Row],[Dt Venc:]]=TODAY(),"Vence Hoje","Vencida")))</f>
        <v>Em Aberto</v>
      </c>
      <c r="F9097" s="3">
        <f ca="1">IF(G9097=1,"-",Tabela2[[#This Row],[Dt Venc:]]-TODAY())</f>
        <v>799</v>
      </c>
      <c r="G9097" s="3"/>
      <c r="H9097" s="3"/>
    </row>
    <row r="9098" spans="1:8">
      <c r="A9098" s="3">
        <v>919729</v>
      </c>
      <c r="B9098" s="7" t="s">
        <v>253</v>
      </c>
      <c r="C9098" s="87" t="s">
        <v>32</v>
      </c>
      <c r="D9098" s="6">
        <v>46492</v>
      </c>
      <c r="E9098" s="3" t="str">
        <f ca="1">IF(Tabela2[[#This Row],[Dt Venc:]]&gt;TODAY(),"Em Aberto",IF(Tabela2[[#This Row],[D/venc]]="-","Enviado",IF(Tabela2[[#This Row],[Dt Venc:]]=TODAY(),"Vence Hoje","Vencida")))</f>
        <v>Em Aberto</v>
      </c>
      <c r="F9098" s="3">
        <f ca="1">IF(G9098=1,"-",Tabela2[[#This Row],[Dt Venc:]]-TODAY())</f>
        <v>799</v>
      </c>
      <c r="G9098" s="3"/>
      <c r="H9098" s="3"/>
    </row>
    <row r="9099" spans="1:8">
      <c r="A9099" s="3">
        <v>495914</v>
      </c>
      <c r="B9099" s="7" t="s">
        <v>153</v>
      </c>
      <c r="C9099" s="99" t="s">
        <v>32</v>
      </c>
      <c r="D9099" s="6">
        <v>46502</v>
      </c>
      <c r="E9099" s="3" t="str">
        <f ca="1">IF(Tabela2[[#This Row],[Dt Venc:]]&gt;TODAY(),"Em Aberto",IF(Tabela2[[#This Row],[D/venc]]="-","Enviado",IF(Tabela2[[#This Row],[Dt Venc:]]=TODAY(),"Vence Hoje","Vencida")))</f>
        <v>Em Aberto</v>
      </c>
      <c r="F9099" s="3">
        <f ca="1">IF(G9099=1,"-",Tabela2[[#This Row],[Dt Venc:]]-TODAY())</f>
        <v>809</v>
      </c>
      <c r="G9099" s="3"/>
      <c r="H9099" s="3"/>
    </row>
    <row r="9100" spans="1:8">
      <c r="A9100" s="3">
        <v>5690</v>
      </c>
      <c r="B9100" s="7" t="s">
        <v>122</v>
      </c>
      <c r="C9100" s="99" t="s">
        <v>32</v>
      </c>
      <c r="D9100" s="6">
        <v>46504</v>
      </c>
      <c r="E9100" s="3" t="str">
        <f ca="1">IF(Tabela2[[#This Row],[Dt Venc:]]&gt;TODAY(),"Em Aberto",IF(Tabela2[[#This Row],[D/venc]]="-","Enviado",IF(Tabela2[[#This Row],[Dt Venc:]]=TODAY(),"Vence Hoje","Vencida")))</f>
        <v>Em Aberto</v>
      </c>
      <c r="F9100" s="3">
        <f ca="1">IF(G9100=1,"-",Tabela2[[#This Row],[Dt Venc:]]-TODAY())</f>
        <v>811</v>
      </c>
      <c r="G9100" s="3"/>
      <c r="H9100" s="3"/>
    </row>
    <row r="9101" spans="1:8">
      <c r="A9101" s="3">
        <v>11681</v>
      </c>
      <c r="B9101" s="7" t="s">
        <v>82</v>
      </c>
      <c r="C9101" s="87" t="s">
        <v>30</v>
      </c>
      <c r="D9101" s="6">
        <v>46507</v>
      </c>
      <c r="E9101" s="3" t="str">
        <f ca="1">IF(Tabela2[[#This Row],[Dt Venc:]]&gt;TODAY(),"Em Aberto",IF(Tabela2[[#This Row],[D/venc]]="-","Enviado",IF(Tabela2[[#This Row],[Dt Venc:]]=TODAY(),"Vence Hoje","Vencida")))</f>
        <v>Em Aberto</v>
      </c>
      <c r="F9101" s="3">
        <f ca="1">IF(G9101=1,"-",Tabela2[[#This Row],[Dt Venc:]]-TODAY())</f>
        <v>814</v>
      </c>
      <c r="G9101" s="3"/>
      <c r="H9101" s="3"/>
    </row>
    <row r="9102" spans="1:8">
      <c r="A9102" s="3" t="s">
        <v>28</v>
      </c>
      <c r="B9102" s="7" t="s">
        <v>391</v>
      </c>
      <c r="C9102" s="85" t="s">
        <v>30</v>
      </c>
      <c r="D9102" s="6">
        <v>46507</v>
      </c>
      <c r="E9102" s="3" t="str">
        <f ca="1">IF(Tabela2[[#This Row],[Dt Venc:]]&gt;TODAY(),"Em Aberto",IF(Tabela2[[#This Row],[D/venc]]="-","Enviado",IF(Tabela2[[#This Row],[Dt Venc:]]=TODAY(),"Vence Hoje","Vencida")))</f>
        <v>Em Aberto</v>
      </c>
      <c r="F9102" s="3">
        <f ca="1">IF(G9102=1,"-",Tabela2[[#This Row],[Dt Venc:]]-TODAY())</f>
        <v>814</v>
      </c>
      <c r="G9102" s="3"/>
      <c r="H9102" s="3"/>
    </row>
    <row r="9103" spans="1:8">
      <c r="A9103" s="3">
        <v>10494</v>
      </c>
      <c r="B9103" s="7" t="s">
        <v>82</v>
      </c>
      <c r="C9103" s="88" t="s">
        <v>30</v>
      </c>
      <c r="D9103" s="6">
        <v>46510</v>
      </c>
      <c r="E9103" s="3" t="str">
        <f ca="1">IF(Tabela2[[#This Row],[Dt Venc:]]&gt;TODAY(),"Em Aberto",IF(Tabela2[[#This Row],[D/venc]]="-","Enviado",IF(Tabela2[[#This Row],[Dt Venc:]]=TODAY(),"Vence Hoje","Vencida")))</f>
        <v>Em Aberto</v>
      </c>
      <c r="F9103" s="3">
        <f ca="1">IF(G9103=1,"-",Tabela2[[#This Row],[Dt Venc:]]-TODAY())</f>
        <v>817</v>
      </c>
      <c r="G9103" s="3"/>
      <c r="H9103" s="3"/>
    </row>
    <row r="9104" spans="1:8">
      <c r="A9104" s="3">
        <v>5680</v>
      </c>
      <c r="B9104" s="7" t="s">
        <v>122</v>
      </c>
      <c r="C9104" s="99" t="s">
        <v>32</v>
      </c>
      <c r="D9104" s="6">
        <v>46512</v>
      </c>
      <c r="E9104" s="3" t="str">
        <f ca="1">IF(Tabela2[[#This Row],[Dt Venc:]]&gt;TODAY(),"Em Aberto",IF(Tabela2[[#This Row],[D/venc]]="-","Enviado",IF(Tabela2[[#This Row],[Dt Venc:]]=TODAY(),"Vence Hoje","Vencida")))</f>
        <v>Em Aberto</v>
      </c>
      <c r="F9104" s="3">
        <f ca="1">IF(G9104=1,"-",Tabela2[[#This Row],[Dt Venc:]]-TODAY())</f>
        <v>819</v>
      </c>
      <c r="G9104" s="3"/>
      <c r="H9104" s="3"/>
    </row>
    <row r="9105" spans="1:8">
      <c r="A9105" s="3">
        <v>10353</v>
      </c>
      <c r="B9105" s="7" t="s">
        <v>82</v>
      </c>
      <c r="C9105" s="99" t="s">
        <v>32</v>
      </c>
      <c r="D9105" s="6">
        <v>46512</v>
      </c>
      <c r="E9105" s="3" t="str">
        <f ca="1">IF(Tabela2[[#This Row],[Dt Venc:]]&gt;TODAY(),"Em Aberto",IF(Tabela2[[#This Row],[D/venc]]="-","Enviado",IF(Tabela2[[#This Row],[Dt Venc:]]=TODAY(),"Vence Hoje","Vencida")))</f>
        <v>Em Aberto</v>
      </c>
      <c r="F9105" s="3">
        <f ca="1">IF(G9105=1,"-",Tabela2[[#This Row],[Dt Venc:]]-TODAY())</f>
        <v>819</v>
      </c>
      <c r="G9105" s="3"/>
      <c r="H9105" s="3"/>
    </row>
    <row r="9106" spans="1:8">
      <c r="A9106" s="3">
        <v>284620</v>
      </c>
      <c r="B9106" s="7" t="s">
        <v>153</v>
      </c>
      <c r="C9106" s="99" t="s">
        <v>32</v>
      </c>
      <c r="D9106" s="6">
        <v>46515</v>
      </c>
      <c r="E9106" s="3" t="str">
        <f ca="1">IF(Tabela2[[#This Row],[Dt Venc:]]&gt;TODAY(),"Em Aberto",IF(Tabela2[[#This Row],[D/venc]]="-","Enviado",IF(Tabela2[[#This Row],[Dt Venc:]]=TODAY(),"Vence Hoje","Vencida")))</f>
        <v>Em Aberto</v>
      </c>
      <c r="F9106" s="3">
        <f ca="1">IF(G9106=1,"-",Tabela2[[#This Row],[Dt Venc:]]-TODAY())</f>
        <v>822</v>
      </c>
      <c r="G9106" s="3"/>
      <c r="H9106" s="3"/>
    </row>
    <row r="9107" spans="1:8">
      <c r="A9107" s="3">
        <v>756561</v>
      </c>
      <c r="B9107" s="7" t="s">
        <v>166</v>
      </c>
      <c r="C9107" s="99" t="s">
        <v>32</v>
      </c>
      <c r="D9107" s="6">
        <v>46516</v>
      </c>
      <c r="E9107" s="3" t="str">
        <f ca="1">IF(Tabela2[[#This Row],[Dt Venc:]]&gt;TODAY(),"Em Aberto",IF(Tabela2[[#This Row],[D/venc]]="-","Enviado",IF(Tabela2[[#This Row],[Dt Venc:]]=TODAY(),"Vence Hoje","Vencida")))</f>
        <v>Em Aberto</v>
      </c>
      <c r="F9107" s="3">
        <f ca="1">IF(G9107=1,"-",Tabela2[[#This Row],[Dt Venc:]]-TODAY())</f>
        <v>823</v>
      </c>
      <c r="G9107" s="3"/>
      <c r="H9107" s="3"/>
    </row>
    <row r="9108" spans="1:8">
      <c r="A9108" s="3">
        <v>562</v>
      </c>
      <c r="B9108" s="7" t="s">
        <v>251</v>
      </c>
      <c r="C9108" s="99" t="s">
        <v>32</v>
      </c>
      <c r="D9108" s="6">
        <v>46522</v>
      </c>
      <c r="E9108" s="3" t="str">
        <f ca="1">IF(Tabela2[[#This Row],[Dt Venc:]]&gt;TODAY(),"Em Aberto",IF(Tabela2[[#This Row],[D/venc]]="-","Enviado",IF(Tabela2[[#This Row],[Dt Venc:]]=TODAY(),"Vence Hoje","Vencida")))</f>
        <v>Em Aberto</v>
      </c>
      <c r="F9108" s="3">
        <f ca="1">IF(G9108=1,"-",Tabela2[[#This Row],[Dt Venc:]]-TODAY())</f>
        <v>829</v>
      </c>
      <c r="G9108" s="3"/>
      <c r="H9108" s="3"/>
    </row>
    <row r="9109" spans="1:8">
      <c r="A9109" s="3">
        <v>103015</v>
      </c>
      <c r="B9109" s="7" t="s">
        <v>252</v>
      </c>
      <c r="C9109" s="99" t="s">
        <v>32</v>
      </c>
      <c r="D9109" s="6">
        <v>46522</v>
      </c>
      <c r="E9109" s="3" t="str">
        <f ca="1">IF(Tabela2[[#This Row],[Dt Venc:]]&gt;TODAY(),"Em Aberto",IF(Tabela2[[#This Row],[D/venc]]="-","Enviado",IF(Tabela2[[#This Row],[Dt Venc:]]=TODAY(),"Vence Hoje","Vencida")))</f>
        <v>Em Aberto</v>
      </c>
      <c r="F9109" s="3">
        <f ca="1">IF(G9109=1,"-",Tabela2[[#This Row],[Dt Venc:]]-TODAY())</f>
        <v>829</v>
      </c>
      <c r="G9109" s="3"/>
      <c r="H9109" s="3"/>
    </row>
    <row r="9110" spans="1:8">
      <c r="A9110" s="3">
        <v>103077</v>
      </c>
      <c r="B9110" s="7" t="s">
        <v>252</v>
      </c>
      <c r="C9110" s="99" t="s">
        <v>32</v>
      </c>
      <c r="D9110" s="6">
        <v>46522</v>
      </c>
      <c r="E9110" s="3" t="str">
        <f ca="1">IF(Tabela2[[#This Row],[Dt Venc:]]&gt;TODAY(),"Em Aberto",IF(Tabela2[[#This Row],[D/venc]]="-","Enviado",IF(Tabela2[[#This Row],[Dt Venc:]]=TODAY(),"Vence Hoje","Vencida")))</f>
        <v>Em Aberto</v>
      </c>
      <c r="F9110" s="3">
        <f ca="1">IF(G9110=1,"-",Tabela2[[#This Row],[Dt Venc:]]-TODAY())</f>
        <v>829</v>
      </c>
      <c r="G9110" s="3"/>
      <c r="H9110" s="3"/>
    </row>
    <row r="9111" spans="1:8">
      <c r="A9111" s="3">
        <v>103153</v>
      </c>
      <c r="B9111" s="7" t="s">
        <v>252</v>
      </c>
      <c r="C9111" s="85" t="s">
        <v>32</v>
      </c>
      <c r="D9111" s="6">
        <v>46522</v>
      </c>
      <c r="E9111" s="3" t="str">
        <f ca="1">IF(Tabela2[[#This Row],[Dt Venc:]]&gt;TODAY(),"Em Aberto",IF(Tabela2[[#This Row],[D/venc]]="-","Enviado",IF(Tabela2[[#This Row],[Dt Venc:]]=TODAY(),"Vence Hoje","Vencida")))</f>
        <v>Em Aberto</v>
      </c>
      <c r="F9111" s="3">
        <f ca="1">IF(G9111=1,"-",Tabela2[[#This Row],[Dt Venc:]]-TODAY())</f>
        <v>829</v>
      </c>
      <c r="G9111" s="3"/>
      <c r="H9111" s="3"/>
    </row>
    <row r="9112" spans="1:8">
      <c r="A9112" s="3">
        <v>103154</v>
      </c>
      <c r="B9112" s="7" t="s">
        <v>252</v>
      </c>
      <c r="C9112" s="99" t="s">
        <v>32</v>
      </c>
      <c r="D9112" s="6">
        <v>46522</v>
      </c>
      <c r="E9112" s="3" t="str">
        <f ca="1">IF(Tabela2[[#This Row],[Dt Venc:]]&gt;TODAY(),"Em Aberto",IF(Tabela2[[#This Row],[D/venc]]="-","Enviado",IF(Tabela2[[#This Row],[Dt Venc:]]=TODAY(),"Vence Hoje","Vencida")))</f>
        <v>Em Aberto</v>
      </c>
      <c r="F9112" s="3">
        <f ca="1">IF(G9112=1,"-",Tabela2[[#This Row],[Dt Venc:]]-TODAY())</f>
        <v>829</v>
      </c>
      <c r="G9112" s="3"/>
      <c r="H9112" s="3"/>
    </row>
    <row r="9113" spans="1:8">
      <c r="A9113" s="3">
        <v>106007</v>
      </c>
      <c r="B9113" s="7" t="s">
        <v>252</v>
      </c>
      <c r="C9113" s="99" t="s">
        <v>32</v>
      </c>
      <c r="D9113" s="6">
        <v>46522</v>
      </c>
      <c r="E9113" s="3" t="str">
        <f ca="1">IF(Tabela2[[#This Row],[Dt Venc:]]&gt;TODAY(),"Em Aberto",IF(Tabela2[[#This Row],[D/venc]]="-","Enviado",IF(Tabela2[[#This Row],[Dt Venc:]]=TODAY(),"Vence Hoje","Vencida")))</f>
        <v>Em Aberto</v>
      </c>
      <c r="F9113" s="3">
        <f ca="1">IF(G9113=1,"-",Tabela2[[#This Row],[Dt Venc:]]-TODAY())</f>
        <v>829</v>
      </c>
      <c r="G9113" s="3"/>
      <c r="H9113" s="3"/>
    </row>
    <row r="9114" spans="1:8">
      <c r="A9114" s="3">
        <v>106043</v>
      </c>
      <c r="B9114" s="7" t="s">
        <v>252</v>
      </c>
      <c r="C9114" s="99" t="s">
        <v>32</v>
      </c>
      <c r="D9114" s="6">
        <v>46522</v>
      </c>
      <c r="E9114" s="3" t="str">
        <f ca="1">IF(Tabela2[[#This Row],[Dt Venc:]]&gt;TODAY(),"Em Aberto",IF(Tabela2[[#This Row],[D/venc]]="-","Enviado",IF(Tabela2[[#This Row],[Dt Venc:]]=TODAY(),"Vence Hoje","Vencida")))</f>
        <v>Em Aberto</v>
      </c>
      <c r="F9114" s="3">
        <f ca="1">IF(G9114=1,"-",Tabela2[[#This Row],[Dt Venc:]]-TODAY())</f>
        <v>829</v>
      </c>
      <c r="G9114" s="3"/>
      <c r="H9114" s="3"/>
    </row>
    <row r="9115" spans="1:8">
      <c r="A9115" s="3">
        <v>107829</v>
      </c>
      <c r="B9115" s="7" t="s">
        <v>252</v>
      </c>
      <c r="C9115" s="99" t="s">
        <v>32</v>
      </c>
      <c r="D9115" s="6">
        <v>46522</v>
      </c>
      <c r="E9115" s="3" t="str">
        <f ca="1">IF(Tabela2[[#This Row],[Dt Venc:]]&gt;TODAY(),"Em Aberto",IF(Tabela2[[#This Row],[D/venc]]="-","Enviado",IF(Tabela2[[#This Row],[Dt Venc:]]=TODAY(),"Vence Hoje","Vencida")))</f>
        <v>Em Aberto</v>
      </c>
      <c r="F9115" s="3">
        <f ca="1">IF(G9115=1,"-",Tabela2[[#This Row],[Dt Venc:]]-TODAY())</f>
        <v>829</v>
      </c>
      <c r="G9115" s="3"/>
      <c r="H9115" s="3"/>
    </row>
    <row r="9116" spans="1:8">
      <c r="A9116" s="3">
        <v>107830</v>
      </c>
      <c r="B9116" s="7" t="s">
        <v>252</v>
      </c>
      <c r="C9116" s="85" t="s">
        <v>32</v>
      </c>
      <c r="D9116" s="6">
        <v>46522</v>
      </c>
      <c r="E9116" s="3" t="str">
        <f ca="1">IF(Tabela2[[#This Row],[Dt Venc:]]&gt;TODAY(),"Em Aberto",IF(Tabela2[[#This Row],[D/venc]]="-","Enviado",IF(Tabela2[[#This Row],[Dt Venc:]]=TODAY(),"Vence Hoje","Vencida")))</f>
        <v>Em Aberto</v>
      </c>
      <c r="F9116" s="3">
        <f ca="1">IF(G9116=1,"-",Tabela2[[#This Row],[Dt Venc:]]-TODAY())</f>
        <v>829</v>
      </c>
      <c r="G9116" s="3"/>
      <c r="H9116" s="3"/>
    </row>
    <row r="9117" spans="1:8">
      <c r="A9117" s="3">
        <v>107831</v>
      </c>
      <c r="B9117" s="7" t="s">
        <v>252</v>
      </c>
      <c r="C9117" s="99" t="s">
        <v>32</v>
      </c>
      <c r="D9117" s="6">
        <v>46522</v>
      </c>
      <c r="E9117" s="3" t="str">
        <f ca="1">IF(Tabela2[[#This Row],[Dt Venc:]]&gt;TODAY(),"Em Aberto",IF(Tabela2[[#This Row],[D/venc]]="-","Enviado",IF(Tabela2[[#This Row],[Dt Venc:]]=TODAY(),"Vence Hoje","Vencida")))</f>
        <v>Em Aberto</v>
      </c>
      <c r="F9117" s="3">
        <f ca="1">IF(G9117=1,"-",Tabela2[[#This Row],[Dt Venc:]]-TODAY())</f>
        <v>829</v>
      </c>
      <c r="G9117" s="3"/>
      <c r="H9117" s="3"/>
    </row>
    <row r="9118" spans="1:8">
      <c r="A9118" s="3">
        <v>107832</v>
      </c>
      <c r="B9118" s="7" t="s">
        <v>252</v>
      </c>
      <c r="C9118" s="99" t="s">
        <v>32</v>
      </c>
      <c r="D9118" s="6">
        <v>46522</v>
      </c>
      <c r="E9118" s="3" t="str">
        <f ca="1">IF(Tabela2[[#This Row],[Dt Venc:]]&gt;TODAY(),"Em Aberto",IF(Tabela2[[#This Row],[D/venc]]="-","Enviado",IF(Tabela2[[#This Row],[Dt Venc:]]=TODAY(),"Vence Hoje","Vencida")))</f>
        <v>Em Aberto</v>
      </c>
      <c r="F9118" s="3">
        <f ca="1">IF(G9118=1,"-",Tabela2[[#This Row],[Dt Venc:]]-TODAY())</f>
        <v>829</v>
      </c>
      <c r="G9118" s="3"/>
      <c r="H9118" s="3"/>
    </row>
    <row r="9119" spans="1:8">
      <c r="A9119" s="3">
        <v>361229</v>
      </c>
      <c r="B9119" s="7" t="s">
        <v>250</v>
      </c>
      <c r="C9119" s="99" t="s">
        <v>32</v>
      </c>
      <c r="D9119" s="6">
        <v>46522</v>
      </c>
      <c r="E9119" s="3" t="str">
        <f ca="1">IF(Tabela2[[#This Row],[Dt Venc:]]&gt;TODAY(),"Em Aberto",IF(Tabela2[[#This Row],[D/venc]]="-","Enviado",IF(Tabela2[[#This Row],[Dt Venc:]]=TODAY(),"Vence Hoje","Vencida")))</f>
        <v>Em Aberto</v>
      </c>
      <c r="F9119" s="3">
        <f ca="1">IF(G9119=1,"-",Tabela2[[#This Row],[Dt Venc:]]-TODAY())</f>
        <v>829</v>
      </c>
      <c r="G9119" s="3"/>
      <c r="H9119" s="3"/>
    </row>
    <row r="9120" spans="1:8">
      <c r="A9120" s="3">
        <v>361237</v>
      </c>
      <c r="B9120" s="7" t="s">
        <v>250</v>
      </c>
      <c r="C9120" s="99" t="s">
        <v>32</v>
      </c>
      <c r="D9120" s="6">
        <v>46522</v>
      </c>
      <c r="E9120" s="3" t="str">
        <f ca="1">IF(Tabela2[[#This Row],[Dt Venc:]]&gt;TODAY(),"Em Aberto",IF(Tabela2[[#This Row],[D/venc]]="-","Enviado",IF(Tabela2[[#This Row],[Dt Venc:]]=TODAY(),"Vence Hoje","Vencida")))</f>
        <v>Em Aberto</v>
      </c>
      <c r="F9120" s="3">
        <f ca="1">IF(G9120=1,"-",Tabela2[[#This Row],[Dt Venc:]]-TODAY())</f>
        <v>829</v>
      </c>
      <c r="G9120" s="3"/>
      <c r="H9120" s="3"/>
    </row>
    <row r="9121" spans="1:8">
      <c r="A9121" s="3">
        <v>365658</v>
      </c>
      <c r="B9121" s="7" t="s">
        <v>250</v>
      </c>
      <c r="C9121" s="99" t="s">
        <v>32</v>
      </c>
      <c r="D9121" s="6">
        <v>46522</v>
      </c>
      <c r="E9121" s="3" t="str">
        <f ca="1">IF(Tabela2[[#This Row],[Dt Venc:]]&gt;TODAY(),"Em Aberto",IF(Tabela2[[#This Row],[D/venc]]="-","Enviado",IF(Tabela2[[#This Row],[Dt Venc:]]=TODAY(),"Vence Hoje","Vencida")))</f>
        <v>Em Aberto</v>
      </c>
      <c r="F9121" s="3">
        <f ca="1">IF(G9121=1,"-",Tabela2[[#This Row],[Dt Venc:]]-TODAY())</f>
        <v>829</v>
      </c>
      <c r="G9121" s="3"/>
      <c r="H9121" s="3"/>
    </row>
    <row r="9122" spans="1:8">
      <c r="A9122" s="3">
        <v>365666</v>
      </c>
      <c r="B9122" s="7" t="s">
        <v>250</v>
      </c>
      <c r="C9122" s="99" t="s">
        <v>32</v>
      </c>
      <c r="D9122" s="6">
        <v>46522</v>
      </c>
      <c r="E9122" s="3" t="str">
        <f ca="1">IF(Tabela2[[#This Row],[Dt Venc:]]&gt;TODAY(),"Em Aberto",IF(Tabela2[[#This Row],[D/venc]]="-","Enviado",IF(Tabela2[[#This Row],[Dt Venc:]]=TODAY(),"Vence Hoje","Vencida")))</f>
        <v>Em Aberto</v>
      </c>
      <c r="F9122" s="3">
        <f ca="1">IF(G9122=1,"-",Tabela2[[#This Row],[Dt Venc:]]-TODAY())</f>
        <v>829</v>
      </c>
      <c r="G9122" s="3"/>
      <c r="H9122" s="3"/>
    </row>
    <row r="9123" spans="1:8">
      <c r="A9123" s="3">
        <v>365674</v>
      </c>
      <c r="B9123" s="7" t="s">
        <v>250</v>
      </c>
      <c r="C9123" s="99" t="s">
        <v>32</v>
      </c>
      <c r="D9123" s="6">
        <v>46522</v>
      </c>
      <c r="E9123" s="3" t="str">
        <f ca="1">IF(Tabela2[[#This Row],[Dt Venc:]]&gt;TODAY(),"Em Aberto",IF(Tabela2[[#This Row],[D/venc]]="-","Enviado",IF(Tabela2[[#This Row],[Dt Venc:]]=TODAY(),"Vence Hoje","Vencida")))</f>
        <v>Em Aberto</v>
      </c>
      <c r="F9123" s="3">
        <f ca="1">IF(G9123=1,"-",Tabela2[[#This Row],[Dt Venc:]]-TODAY())</f>
        <v>829</v>
      </c>
      <c r="G9123" s="3"/>
      <c r="H9123" s="3"/>
    </row>
    <row r="9124" spans="1:8">
      <c r="A9124" s="3">
        <v>365682</v>
      </c>
      <c r="B9124" s="7" t="s">
        <v>250</v>
      </c>
      <c r="C9124" s="99" t="s">
        <v>32</v>
      </c>
      <c r="D9124" s="6">
        <v>46522</v>
      </c>
      <c r="E9124" s="3" t="str">
        <f ca="1">IF(Tabela2[[#This Row],[Dt Venc:]]&gt;TODAY(),"Em Aberto",IF(Tabela2[[#This Row],[D/venc]]="-","Enviado",IF(Tabela2[[#This Row],[Dt Venc:]]=TODAY(),"Vence Hoje","Vencida")))</f>
        <v>Em Aberto</v>
      </c>
      <c r="F9124" s="3">
        <f ca="1">IF(G9124=1,"-",Tabela2[[#This Row],[Dt Venc:]]-TODAY())</f>
        <v>829</v>
      </c>
      <c r="G9124" s="3"/>
      <c r="H9124" s="3"/>
    </row>
    <row r="9125" spans="1:8">
      <c r="A9125" s="3">
        <v>369335</v>
      </c>
      <c r="B9125" s="7" t="s">
        <v>543</v>
      </c>
      <c r="C9125" s="87" t="s">
        <v>32</v>
      </c>
      <c r="D9125" s="6">
        <v>46522</v>
      </c>
      <c r="E9125" s="3" t="str">
        <f ca="1">IF(Tabela2[[#This Row],[Dt Venc:]]&gt;TODAY(),"Em Aberto",IF(Tabela2[[#This Row],[D/venc]]="-","Enviado",IF(Tabela2[[#This Row],[Dt Venc:]]=TODAY(),"Vence Hoje","Vencida")))</f>
        <v>Em Aberto</v>
      </c>
      <c r="F9125" s="3">
        <f ca="1">IF(G9125=1,"-",Tabela2[[#This Row],[Dt Venc:]]-TODAY())</f>
        <v>829</v>
      </c>
      <c r="G9125" s="3"/>
      <c r="H9125" s="3"/>
    </row>
    <row r="9126" spans="1:8">
      <c r="A9126" s="3">
        <v>369696</v>
      </c>
      <c r="B9126" s="7" t="s">
        <v>543</v>
      </c>
      <c r="C9126" s="87" t="s">
        <v>32</v>
      </c>
      <c r="D9126" s="6">
        <v>46522</v>
      </c>
      <c r="E9126" s="3" t="str">
        <f ca="1">IF(Tabela2[[#This Row],[Dt Venc:]]&gt;TODAY(),"Em Aberto",IF(Tabela2[[#This Row],[D/venc]]="-","Enviado",IF(Tabela2[[#This Row],[Dt Venc:]]=TODAY(),"Vence Hoje","Vencida")))</f>
        <v>Em Aberto</v>
      </c>
      <c r="F9126" s="3">
        <f ca="1">IF(G9126=1,"-",Tabela2[[#This Row],[Dt Venc:]]-TODAY())</f>
        <v>829</v>
      </c>
      <c r="G9126" s="3"/>
      <c r="H9126" s="3"/>
    </row>
    <row r="9127" spans="1:8">
      <c r="A9127" s="3">
        <v>369726</v>
      </c>
      <c r="B9127" s="7" t="s">
        <v>543</v>
      </c>
      <c r="C9127" s="87" t="s">
        <v>32</v>
      </c>
      <c r="D9127" s="6">
        <v>46522</v>
      </c>
      <c r="E9127" s="3" t="str">
        <f ca="1">IF(Tabela2[[#This Row],[Dt Venc:]]&gt;TODAY(),"Em Aberto",IF(Tabela2[[#This Row],[D/venc]]="-","Enviado",IF(Tabela2[[#This Row],[Dt Venc:]]=TODAY(),"Vence Hoje","Vencida")))</f>
        <v>Em Aberto</v>
      </c>
      <c r="F9127" s="3">
        <f ca="1">IF(G9127=1,"-",Tabela2[[#This Row],[Dt Venc:]]-TODAY())</f>
        <v>829</v>
      </c>
      <c r="G9127" s="3"/>
      <c r="H9127" s="3"/>
    </row>
    <row r="9128" spans="1:8">
      <c r="A9128" s="3">
        <v>369751</v>
      </c>
      <c r="B9128" s="7" t="s">
        <v>543</v>
      </c>
      <c r="C9128" s="87" t="s">
        <v>32</v>
      </c>
      <c r="D9128" s="6">
        <v>46522</v>
      </c>
      <c r="E9128" s="3" t="str">
        <f ca="1">IF(Tabela2[[#This Row],[Dt Venc:]]&gt;TODAY(),"Em Aberto",IF(Tabela2[[#This Row],[D/venc]]="-","Enviado",IF(Tabela2[[#This Row],[Dt Venc:]]=TODAY(),"Vence Hoje","Vencida")))</f>
        <v>Em Aberto</v>
      </c>
      <c r="F9128" s="3">
        <f ca="1">IF(G9128=1,"-",Tabela2[[#This Row],[Dt Venc:]]-TODAY())</f>
        <v>829</v>
      </c>
      <c r="G9128" s="3"/>
      <c r="H9128" s="3"/>
    </row>
    <row r="9129" spans="1:8">
      <c r="A9129" s="3">
        <v>370201</v>
      </c>
      <c r="B9129" s="7" t="s">
        <v>543</v>
      </c>
      <c r="C9129" s="87" t="s">
        <v>32</v>
      </c>
      <c r="D9129" s="6">
        <v>46522</v>
      </c>
      <c r="E9129" s="3" t="str">
        <f ca="1">IF(Tabela2[[#This Row],[Dt Venc:]]&gt;TODAY(),"Em Aberto",IF(Tabela2[[#This Row],[D/venc]]="-","Enviado",IF(Tabela2[[#This Row],[Dt Venc:]]=TODAY(),"Vence Hoje","Vencida")))</f>
        <v>Em Aberto</v>
      </c>
      <c r="F9129" s="3">
        <f ca="1">IF(G9129=1,"-",Tabela2[[#This Row],[Dt Venc:]]-TODAY())</f>
        <v>829</v>
      </c>
      <c r="G9129" s="3"/>
      <c r="H9129" s="3"/>
    </row>
    <row r="9130" spans="1:8">
      <c r="A9130" s="3">
        <v>370864</v>
      </c>
      <c r="B9130" s="7" t="s">
        <v>543</v>
      </c>
      <c r="C9130" s="87" t="s">
        <v>32</v>
      </c>
      <c r="D9130" s="6">
        <v>46522</v>
      </c>
      <c r="E9130" s="3" t="str">
        <f ca="1">IF(Tabela2[[#This Row],[Dt Venc:]]&gt;TODAY(),"Em Aberto",IF(Tabela2[[#This Row],[D/venc]]="-","Enviado",IF(Tabela2[[#This Row],[Dt Venc:]]=TODAY(),"Vence Hoje","Vencida")))</f>
        <v>Em Aberto</v>
      </c>
      <c r="F9130" s="3">
        <f ca="1">IF(G9130=1,"-",Tabela2[[#This Row],[Dt Venc:]]-TODAY())</f>
        <v>829</v>
      </c>
      <c r="G9130" s="3"/>
      <c r="H9130" s="3"/>
    </row>
    <row r="9131" spans="1:8">
      <c r="A9131" s="3">
        <v>371011</v>
      </c>
      <c r="B9131" s="7" t="s">
        <v>633</v>
      </c>
      <c r="C9131" s="87" t="s">
        <v>32</v>
      </c>
      <c r="D9131" s="6">
        <v>46522</v>
      </c>
      <c r="E9131" s="3" t="str">
        <f ca="1">IF(Tabela2[[#This Row],[Dt Venc:]]&gt;TODAY(),"Em Aberto",IF(Tabela2[[#This Row],[D/venc]]="-","Enviado",IF(Tabela2[[#This Row],[Dt Venc:]]=TODAY(),"Vence Hoje","Vencida")))</f>
        <v>Em Aberto</v>
      </c>
      <c r="F9131" s="3">
        <f ca="1">IF(G9131=1,"-",Tabela2[[#This Row],[Dt Venc:]]-TODAY())</f>
        <v>829</v>
      </c>
      <c r="G9131" s="3"/>
      <c r="H9131" s="3"/>
    </row>
    <row r="9132" spans="1:8">
      <c r="A9132" s="3">
        <v>371160</v>
      </c>
      <c r="B9132" s="7" t="s">
        <v>633</v>
      </c>
      <c r="C9132" s="87" t="s">
        <v>32</v>
      </c>
      <c r="D9132" s="6">
        <v>46522</v>
      </c>
      <c r="E9132" s="3" t="str">
        <f ca="1">IF(Tabela2[[#This Row],[Dt Venc:]]&gt;TODAY(),"Em Aberto",IF(Tabela2[[#This Row],[D/venc]]="-","Enviado",IF(Tabela2[[#This Row],[Dt Venc:]]=TODAY(),"Vence Hoje","Vencida")))</f>
        <v>Em Aberto</v>
      </c>
      <c r="F9132" s="3">
        <f ca="1">IF(G9132=1,"-",Tabela2[[#This Row],[Dt Venc:]]-TODAY())</f>
        <v>829</v>
      </c>
      <c r="G9132" s="3"/>
      <c r="H9132" s="3"/>
    </row>
    <row r="9133" spans="1:8">
      <c r="A9133" s="3">
        <v>892178</v>
      </c>
      <c r="B9133" s="7" t="s">
        <v>253</v>
      </c>
      <c r="C9133" s="99" t="s">
        <v>32</v>
      </c>
      <c r="D9133" s="6">
        <v>46522</v>
      </c>
      <c r="E9133" s="3" t="str">
        <f ca="1">IF(Tabela2[[#This Row],[Dt Venc:]]&gt;TODAY(),"Em Aberto",IF(Tabela2[[#This Row],[D/venc]]="-","Enviado",IF(Tabela2[[#This Row],[Dt Venc:]]=TODAY(),"Vence Hoje","Vencida")))</f>
        <v>Em Aberto</v>
      </c>
      <c r="F9133" s="3">
        <f ca="1">IF(G9133=1,"-",Tabela2[[#This Row],[Dt Venc:]]-TODAY())</f>
        <v>829</v>
      </c>
      <c r="G9133" s="3"/>
      <c r="H9133" s="3"/>
    </row>
    <row r="9134" spans="1:8">
      <c r="A9134" s="3">
        <v>894135</v>
      </c>
      <c r="B9134" s="7" t="s">
        <v>253</v>
      </c>
      <c r="C9134" s="99" t="s">
        <v>32</v>
      </c>
      <c r="D9134" s="6">
        <v>46522</v>
      </c>
      <c r="E9134" s="3" t="str">
        <f ca="1">IF(Tabela2[[#This Row],[Dt Venc:]]&gt;TODAY(),"Em Aberto",IF(Tabela2[[#This Row],[D/venc]]="-","Enviado",IF(Tabela2[[#This Row],[Dt Venc:]]=TODAY(),"Vence Hoje","Vencida")))</f>
        <v>Em Aberto</v>
      </c>
      <c r="F9134" s="3">
        <f ca="1">IF(G9134=1,"-",Tabela2[[#This Row],[Dt Venc:]]-TODAY())</f>
        <v>829</v>
      </c>
      <c r="G9134" s="3"/>
      <c r="H9134" s="3"/>
    </row>
    <row r="9135" spans="1:8">
      <c r="A9135" s="3">
        <v>896565</v>
      </c>
      <c r="B9135" s="7" t="s">
        <v>253</v>
      </c>
      <c r="C9135" s="99" t="s">
        <v>32</v>
      </c>
      <c r="D9135" s="6">
        <v>46522</v>
      </c>
      <c r="E9135" s="3" t="str">
        <f ca="1">IF(Tabela2[[#This Row],[Dt Venc:]]&gt;TODAY(),"Em Aberto",IF(Tabela2[[#This Row],[D/venc]]="-","Enviado",IF(Tabela2[[#This Row],[Dt Venc:]]=TODAY(),"Vence Hoje","Vencida")))</f>
        <v>Em Aberto</v>
      </c>
      <c r="F9135" s="3">
        <f ca="1">IF(G9135=1,"-",Tabela2[[#This Row],[Dt Venc:]]-TODAY())</f>
        <v>829</v>
      </c>
      <c r="G9135" s="3"/>
      <c r="H9135" s="3"/>
    </row>
    <row r="9136" spans="1:8">
      <c r="A9136" s="3">
        <v>900386</v>
      </c>
      <c r="B9136" s="7" t="s">
        <v>253</v>
      </c>
      <c r="C9136" s="99" t="s">
        <v>32</v>
      </c>
      <c r="D9136" s="6">
        <v>46522</v>
      </c>
      <c r="E9136" s="3" t="str">
        <f ca="1">IF(Tabela2[[#This Row],[Dt Venc:]]&gt;TODAY(),"Em Aberto",IF(Tabela2[[#This Row],[D/venc]]="-","Enviado",IF(Tabela2[[#This Row],[Dt Venc:]]=TODAY(),"Vence Hoje","Vencida")))</f>
        <v>Em Aberto</v>
      </c>
      <c r="F9136" s="3">
        <f ca="1">IF(G9136=1,"-",Tabela2[[#This Row],[Dt Venc:]]-TODAY())</f>
        <v>829</v>
      </c>
      <c r="G9136" s="3"/>
      <c r="H9136" s="3"/>
    </row>
    <row r="9137" spans="1:8">
      <c r="A9137" s="3">
        <v>901787</v>
      </c>
      <c r="B9137" s="7" t="s">
        <v>253</v>
      </c>
      <c r="C9137" s="99" t="s">
        <v>32</v>
      </c>
      <c r="D9137" s="6">
        <v>46522</v>
      </c>
      <c r="E9137" s="3" t="str">
        <f ca="1">IF(Tabela2[[#This Row],[Dt Venc:]]&gt;TODAY(),"Em Aberto",IF(Tabela2[[#This Row],[D/venc]]="-","Enviado",IF(Tabela2[[#This Row],[Dt Venc:]]=TODAY(),"Vence Hoje","Vencida")))</f>
        <v>Em Aberto</v>
      </c>
      <c r="F9137" s="3">
        <f ca="1">IF(G9137=1,"-",Tabela2[[#This Row],[Dt Venc:]]-TODAY())</f>
        <v>829</v>
      </c>
      <c r="G9137" s="3"/>
      <c r="H9137" s="3"/>
    </row>
    <row r="9138" spans="1:8">
      <c r="A9138" s="3">
        <v>901788</v>
      </c>
      <c r="B9138" s="7" t="s">
        <v>253</v>
      </c>
      <c r="C9138" s="99" t="s">
        <v>32</v>
      </c>
      <c r="D9138" s="6">
        <v>46522</v>
      </c>
      <c r="E9138" s="3" t="str">
        <f ca="1">IF(Tabela2[[#This Row],[Dt Venc:]]&gt;TODAY(),"Em Aberto",IF(Tabela2[[#This Row],[D/venc]]="-","Enviado",IF(Tabela2[[#This Row],[Dt Venc:]]=TODAY(),"Vence Hoje","Vencida")))</f>
        <v>Em Aberto</v>
      </c>
      <c r="F9138" s="3">
        <f ca="1">IF(G9138=1,"-",Tabela2[[#This Row],[Dt Venc:]]-TODAY())</f>
        <v>829</v>
      </c>
      <c r="G9138" s="3"/>
      <c r="H9138" s="3"/>
    </row>
    <row r="9139" spans="1:8">
      <c r="A9139" s="3">
        <v>901789</v>
      </c>
      <c r="B9139" s="7" t="s">
        <v>253</v>
      </c>
      <c r="C9139" s="99" t="s">
        <v>32</v>
      </c>
      <c r="D9139" s="6">
        <v>46522</v>
      </c>
      <c r="E9139" s="3" t="str">
        <f ca="1">IF(Tabela2[[#This Row],[Dt Venc:]]&gt;TODAY(),"Em Aberto",IF(Tabela2[[#This Row],[D/venc]]="-","Enviado",IF(Tabela2[[#This Row],[Dt Venc:]]=TODAY(),"Vence Hoje","Vencida")))</f>
        <v>Em Aberto</v>
      </c>
      <c r="F9139" s="3">
        <f ca="1">IF(G9139=1,"-",Tabela2[[#This Row],[Dt Venc:]]-TODAY())</f>
        <v>829</v>
      </c>
      <c r="G9139" s="3"/>
      <c r="H9139" s="3"/>
    </row>
    <row r="9140" spans="1:8">
      <c r="A9140" s="3">
        <v>912703</v>
      </c>
      <c r="B9140" s="7" t="s">
        <v>253</v>
      </c>
      <c r="C9140" s="99" t="s">
        <v>32</v>
      </c>
      <c r="D9140" s="6">
        <v>46522</v>
      </c>
      <c r="E9140" s="3" t="str">
        <f ca="1">IF(Tabela2[[#This Row],[Dt Venc:]]&gt;TODAY(),"Em Aberto",IF(Tabela2[[#This Row],[D/venc]]="-","Enviado",IF(Tabela2[[#This Row],[Dt Venc:]]=TODAY(),"Vence Hoje","Vencida")))</f>
        <v>Em Aberto</v>
      </c>
      <c r="F9140" s="3">
        <f ca="1">IF(G9140=1,"-",Tabela2[[#This Row],[Dt Venc:]]-TODAY())</f>
        <v>829</v>
      </c>
      <c r="G9140" s="3"/>
      <c r="H9140" s="3"/>
    </row>
    <row r="9141" spans="1:8">
      <c r="A9141" s="3">
        <v>912704</v>
      </c>
      <c r="B9141" s="7" t="s">
        <v>253</v>
      </c>
      <c r="C9141" s="99" t="s">
        <v>32</v>
      </c>
      <c r="D9141" s="6">
        <v>46522</v>
      </c>
      <c r="E9141" s="3" t="str">
        <f ca="1">IF(Tabela2[[#This Row],[Dt Venc:]]&gt;TODAY(),"Em Aberto",IF(Tabela2[[#This Row],[D/venc]]="-","Enviado",IF(Tabela2[[#This Row],[Dt Venc:]]=TODAY(),"Vence Hoje","Vencida")))</f>
        <v>Em Aberto</v>
      </c>
      <c r="F9141" s="3">
        <f ca="1">IF(G9141=1,"-",Tabela2[[#This Row],[Dt Venc:]]-TODAY())</f>
        <v>829</v>
      </c>
      <c r="G9141" s="3"/>
      <c r="H9141" s="3"/>
    </row>
    <row r="9142" spans="1:8">
      <c r="A9142" s="3">
        <v>919728</v>
      </c>
      <c r="B9142" s="7" t="s">
        <v>253</v>
      </c>
      <c r="C9142" s="87" t="s">
        <v>32</v>
      </c>
      <c r="D9142" s="6">
        <v>46522</v>
      </c>
      <c r="E9142" s="3" t="str">
        <f ca="1">IF(Tabela2[[#This Row],[Dt Venc:]]&gt;TODAY(),"Em Aberto",IF(Tabela2[[#This Row],[D/venc]]="-","Enviado",IF(Tabela2[[#This Row],[Dt Venc:]]=TODAY(),"Vence Hoje","Vencida")))</f>
        <v>Em Aberto</v>
      </c>
      <c r="F9142" s="3">
        <f ca="1">IF(G9142=1,"-",Tabela2[[#This Row],[Dt Venc:]]-TODAY())</f>
        <v>829</v>
      </c>
      <c r="G9142" s="3"/>
      <c r="H9142" s="3"/>
    </row>
    <row r="9143" spans="1:8">
      <c r="A9143" s="3">
        <v>919729</v>
      </c>
      <c r="B9143" s="7" t="s">
        <v>253</v>
      </c>
      <c r="C9143" s="87" t="s">
        <v>32</v>
      </c>
      <c r="D9143" s="6">
        <v>46522</v>
      </c>
      <c r="E9143" s="3" t="str">
        <f ca="1">IF(Tabela2[[#This Row],[Dt Venc:]]&gt;TODAY(),"Em Aberto",IF(Tabela2[[#This Row],[D/venc]]="-","Enviado",IF(Tabela2[[#This Row],[Dt Venc:]]=TODAY(),"Vence Hoje","Vencida")))</f>
        <v>Em Aberto</v>
      </c>
      <c r="F9143" s="3">
        <f ca="1">IF(G9143=1,"-",Tabela2[[#This Row],[Dt Venc:]]-TODAY())</f>
        <v>829</v>
      </c>
      <c r="G9143" s="3"/>
      <c r="H9143" s="3"/>
    </row>
    <row r="9144" spans="1:8">
      <c r="A9144" s="3">
        <v>495914</v>
      </c>
      <c r="B9144" s="7" t="s">
        <v>153</v>
      </c>
      <c r="C9144" s="99" t="s">
        <v>32</v>
      </c>
      <c r="D9144" s="6">
        <v>46532</v>
      </c>
      <c r="E9144" s="3" t="str">
        <f ca="1">IF(Tabela2[[#This Row],[Dt Venc:]]&gt;TODAY(),"Em Aberto",IF(Tabela2[[#This Row],[D/venc]]="-","Enviado",IF(Tabela2[[#This Row],[Dt Venc:]]=TODAY(),"Vence Hoje","Vencida")))</f>
        <v>Em Aberto</v>
      </c>
      <c r="F9144" s="3">
        <f ca="1">IF(G9144=1,"-",Tabela2[[#This Row],[Dt Venc:]]-TODAY())</f>
        <v>839</v>
      </c>
      <c r="G9144" s="3"/>
      <c r="H9144" s="3"/>
    </row>
    <row r="9145" spans="1:8">
      <c r="A9145" s="3">
        <v>5690</v>
      </c>
      <c r="B9145" s="7" t="s">
        <v>122</v>
      </c>
      <c r="C9145" s="99" t="s">
        <v>32</v>
      </c>
      <c r="D9145" s="6">
        <v>46534</v>
      </c>
      <c r="E9145" s="3" t="str">
        <f ca="1">IF(Tabela2[[#This Row],[Dt Venc:]]&gt;TODAY(),"Em Aberto",IF(Tabela2[[#This Row],[D/venc]]="-","Enviado",IF(Tabela2[[#This Row],[Dt Venc:]]=TODAY(),"Vence Hoje","Vencida")))</f>
        <v>Em Aberto</v>
      </c>
      <c r="F9145" s="3">
        <f ca="1">IF(G9145=1,"-",Tabela2[[#This Row],[Dt Venc:]]-TODAY())</f>
        <v>841</v>
      </c>
      <c r="G9145" s="3"/>
      <c r="H9145" s="3"/>
    </row>
    <row r="9146" spans="1:8">
      <c r="A9146" s="3">
        <v>11681</v>
      </c>
      <c r="B9146" s="7" t="s">
        <v>82</v>
      </c>
      <c r="C9146" s="87" t="s">
        <v>30</v>
      </c>
      <c r="D9146" s="6">
        <v>46538</v>
      </c>
      <c r="E9146" s="3" t="str">
        <f ca="1">IF(Tabela2[[#This Row],[Dt Venc:]]&gt;TODAY(),"Em Aberto",IF(Tabela2[[#This Row],[D/venc]]="-","Enviado",IF(Tabela2[[#This Row],[Dt Venc:]]=TODAY(),"Vence Hoje","Vencida")))</f>
        <v>Em Aberto</v>
      </c>
      <c r="F9146" s="3">
        <f ca="1">IF(G9146=1,"-",Tabela2[[#This Row],[Dt Venc:]]-TODAY())</f>
        <v>845</v>
      </c>
      <c r="G9146" s="3"/>
      <c r="H9146" s="3"/>
    </row>
    <row r="9147" spans="1:8">
      <c r="A9147" s="3" t="s">
        <v>28</v>
      </c>
      <c r="B9147" s="7" t="s">
        <v>391</v>
      </c>
      <c r="C9147" s="85" t="s">
        <v>30</v>
      </c>
      <c r="D9147" s="6">
        <v>46538</v>
      </c>
      <c r="E9147" s="3" t="str">
        <f ca="1">IF(Tabela2[[#This Row],[Dt Venc:]]&gt;TODAY(),"Em Aberto",IF(Tabela2[[#This Row],[D/venc]]="-","Enviado",IF(Tabela2[[#This Row],[Dt Venc:]]=TODAY(),"Vence Hoje","Vencida")))</f>
        <v>Em Aberto</v>
      </c>
      <c r="F9147" s="3">
        <f ca="1">IF(G9147=1,"-",Tabela2[[#This Row],[Dt Venc:]]-TODAY())</f>
        <v>845</v>
      </c>
      <c r="G9147" s="3"/>
      <c r="H9147" s="3"/>
    </row>
    <row r="9148" spans="1:8">
      <c r="A9148" s="3">
        <v>10494</v>
      </c>
      <c r="B9148" s="7" t="s">
        <v>82</v>
      </c>
      <c r="C9148" s="88" t="s">
        <v>30</v>
      </c>
      <c r="D9148" s="6">
        <v>46541</v>
      </c>
      <c r="E9148" s="3" t="str">
        <f ca="1">IF(Tabela2[[#This Row],[Dt Venc:]]&gt;TODAY(),"Em Aberto",IF(Tabela2[[#This Row],[D/venc]]="-","Enviado",IF(Tabela2[[#This Row],[Dt Venc:]]=TODAY(),"Vence Hoje","Vencida")))</f>
        <v>Em Aberto</v>
      </c>
      <c r="F9148" s="3">
        <f ca="1">IF(G9148=1,"-",Tabela2[[#This Row],[Dt Venc:]]-TODAY())</f>
        <v>848</v>
      </c>
      <c r="G9148" s="3"/>
      <c r="H9148" s="3"/>
    </row>
    <row r="9149" spans="1:8">
      <c r="A9149" s="3">
        <v>5680</v>
      </c>
      <c r="B9149" s="7" t="s">
        <v>122</v>
      </c>
      <c r="C9149" s="100" t="s">
        <v>32</v>
      </c>
      <c r="D9149" s="6">
        <v>46543</v>
      </c>
      <c r="E9149" s="3" t="str">
        <f ca="1">IF(Tabela2[[#This Row],[Dt Venc:]]&gt;TODAY(),"Em Aberto",IF(Tabela2[[#This Row],[D/venc]]="-","Enviado",IF(Tabela2[[#This Row],[Dt Venc:]]=TODAY(),"Vence Hoje","Vencida")))</f>
        <v>Em Aberto</v>
      </c>
      <c r="F9149" s="3">
        <f ca="1">IF(G9149=1,"-",Tabela2[[#This Row],[Dt Venc:]]-TODAY())</f>
        <v>850</v>
      </c>
      <c r="G9149" s="3"/>
      <c r="H9149" s="3"/>
    </row>
    <row r="9150" spans="1:8">
      <c r="A9150" s="3">
        <v>10353</v>
      </c>
      <c r="B9150" s="7" t="s">
        <v>82</v>
      </c>
      <c r="C9150" s="100" t="s">
        <v>32</v>
      </c>
      <c r="D9150" s="6">
        <v>46543</v>
      </c>
      <c r="E9150" s="3" t="str">
        <f ca="1">IF(Tabela2[[#This Row],[Dt Venc:]]&gt;TODAY(),"Em Aberto",IF(Tabela2[[#This Row],[D/venc]]="-","Enviado",IF(Tabela2[[#This Row],[Dt Venc:]]=TODAY(),"Vence Hoje","Vencida")))</f>
        <v>Em Aberto</v>
      </c>
      <c r="F9150" s="3">
        <f ca="1">IF(G9150=1,"-",Tabela2[[#This Row],[Dt Venc:]]-TODAY())</f>
        <v>850</v>
      </c>
      <c r="G9150" s="3"/>
      <c r="H9150" s="3"/>
    </row>
    <row r="9151" spans="1:8">
      <c r="A9151" s="3">
        <v>284620</v>
      </c>
      <c r="B9151" s="7" t="s">
        <v>153</v>
      </c>
      <c r="C9151" s="100" t="s">
        <v>32</v>
      </c>
      <c r="D9151" s="6">
        <v>46546</v>
      </c>
      <c r="E9151" s="3" t="str">
        <f ca="1">IF(Tabela2[[#This Row],[Dt Venc:]]&gt;TODAY(),"Em Aberto",IF(Tabela2[[#This Row],[D/venc]]="-","Enviado",IF(Tabela2[[#This Row],[Dt Venc:]]=TODAY(),"Vence Hoje","Vencida")))</f>
        <v>Em Aberto</v>
      </c>
      <c r="F9151" s="3">
        <f ca="1">IF(G9151=1,"-",Tabela2[[#This Row],[Dt Venc:]]-TODAY())</f>
        <v>853</v>
      </c>
      <c r="G9151" s="3"/>
      <c r="H9151" s="3"/>
    </row>
    <row r="9152" spans="1:8">
      <c r="A9152" s="3">
        <v>756561</v>
      </c>
      <c r="B9152" s="7" t="s">
        <v>166</v>
      </c>
      <c r="C9152" s="99" t="s">
        <v>32</v>
      </c>
      <c r="D9152" s="6">
        <v>46547</v>
      </c>
      <c r="E9152" s="3" t="str">
        <f ca="1">IF(Tabela2[[#This Row],[Dt Venc:]]&gt;TODAY(),"Em Aberto",IF(Tabela2[[#This Row],[D/venc]]="-","Enviado",IF(Tabela2[[#This Row],[Dt Venc:]]=TODAY(),"Vence Hoje","Vencida")))</f>
        <v>Em Aberto</v>
      </c>
      <c r="F9152" s="3">
        <f ca="1">IF(G9152=1,"-",Tabela2[[#This Row],[Dt Venc:]]-TODAY())</f>
        <v>854</v>
      </c>
      <c r="G9152" s="3"/>
      <c r="H9152" s="3"/>
    </row>
    <row r="9153" spans="1:8">
      <c r="A9153" s="3">
        <v>562</v>
      </c>
      <c r="B9153" s="7" t="s">
        <v>251</v>
      </c>
      <c r="C9153" s="99" t="s">
        <v>32</v>
      </c>
      <c r="D9153" s="6">
        <v>46553</v>
      </c>
      <c r="E9153" s="3" t="str">
        <f ca="1">IF(Tabela2[[#This Row],[Dt Venc:]]&gt;TODAY(),"Em Aberto",IF(Tabela2[[#This Row],[D/venc]]="-","Enviado",IF(Tabela2[[#This Row],[Dt Venc:]]=TODAY(),"Vence Hoje","Vencida")))</f>
        <v>Em Aberto</v>
      </c>
      <c r="F9153" s="3">
        <f ca="1">IF(G9153=1,"-",Tabela2[[#This Row],[Dt Venc:]]-TODAY())</f>
        <v>860</v>
      </c>
      <c r="G9153" s="3"/>
      <c r="H9153" s="3"/>
    </row>
    <row r="9154" spans="1:8">
      <c r="A9154" s="3">
        <v>103015</v>
      </c>
      <c r="B9154" s="7" t="s">
        <v>252</v>
      </c>
      <c r="C9154" s="99" t="s">
        <v>32</v>
      </c>
      <c r="D9154" s="6">
        <v>46553</v>
      </c>
      <c r="E9154" s="3" t="str">
        <f ca="1">IF(Tabela2[[#This Row],[Dt Venc:]]&gt;TODAY(),"Em Aberto",IF(Tabela2[[#This Row],[D/venc]]="-","Enviado",IF(Tabela2[[#This Row],[Dt Venc:]]=TODAY(),"Vence Hoje","Vencida")))</f>
        <v>Em Aberto</v>
      </c>
      <c r="F9154" s="3">
        <f ca="1">IF(G9154=1,"-",Tabela2[[#This Row],[Dt Venc:]]-TODAY())</f>
        <v>860</v>
      </c>
      <c r="G9154" s="3"/>
      <c r="H9154" s="3"/>
    </row>
    <row r="9155" spans="1:8">
      <c r="A9155" s="3">
        <v>103077</v>
      </c>
      <c r="B9155" s="7" t="s">
        <v>252</v>
      </c>
      <c r="C9155" s="99" t="s">
        <v>32</v>
      </c>
      <c r="D9155" s="6">
        <v>46553</v>
      </c>
      <c r="E9155" s="3" t="str">
        <f ca="1">IF(Tabela2[[#This Row],[Dt Venc:]]&gt;TODAY(),"Em Aberto",IF(Tabela2[[#This Row],[D/venc]]="-","Enviado",IF(Tabela2[[#This Row],[Dt Venc:]]=TODAY(),"Vence Hoje","Vencida")))</f>
        <v>Em Aberto</v>
      </c>
      <c r="F9155" s="3">
        <f ca="1">IF(G9155=1,"-",Tabela2[[#This Row],[Dt Venc:]]-TODAY())</f>
        <v>860</v>
      </c>
      <c r="G9155" s="3"/>
      <c r="H9155" s="3"/>
    </row>
    <row r="9156" spans="1:8">
      <c r="A9156" s="3">
        <v>103153</v>
      </c>
      <c r="B9156" s="7" t="s">
        <v>252</v>
      </c>
      <c r="C9156" s="85" t="s">
        <v>32</v>
      </c>
      <c r="D9156" s="6">
        <v>46553</v>
      </c>
      <c r="E9156" s="3" t="str">
        <f ca="1">IF(Tabela2[[#This Row],[Dt Venc:]]&gt;TODAY(),"Em Aberto",IF(Tabela2[[#This Row],[D/venc]]="-","Enviado",IF(Tabela2[[#This Row],[Dt Venc:]]=TODAY(),"Vence Hoje","Vencida")))</f>
        <v>Em Aberto</v>
      </c>
      <c r="F9156" s="3">
        <f ca="1">IF(G9156=1,"-",Tabela2[[#This Row],[Dt Venc:]]-TODAY())</f>
        <v>860</v>
      </c>
      <c r="G9156" s="3"/>
      <c r="H9156" s="3"/>
    </row>
    <row r="9157" spans="1:8">
      <c r="A9157" s="3">
        <v>103154</v>
      </c>
      <c r="B9157" s="7" t="s">
        <v>252</v>
      </c>
      <c r="C9157" s="99" t="s">
        <v>32</v>
      </c>
      <c r="D9157" s="6">
        <v>46553</v>
      </c>
      <c r="E9157" s="3" t="str">
        <f ca="1">IF(Tabela2[[#This Row],[Dt Venc:]]&gt;TODAY(),"Em Aberto",IF(Tabela2[[#This Row],[D/venc]]="-","Enviado",IF(Tabela2[[#This Row],[Dt Venc:]]=TODAY(),"Vence Hoje","Vencida")))</f>
        <v>Em Aberto</v>
      </c>
      <c r="F9157" s="3">
        <f ca="1">IF(G9157=1,"-",Tabela2[[#This Row],[Dt Venc:]]-TODAY())</f>
        <v>860</v>
      </c>
      <c r="G9157" s="3"/>
      <c r="H9157" s="3"/>
    </row>
    <row r="9158" spans="1:8">
      <c r="A9158" s="3">
        <v>106007</v>
      </c>
      <c r="B9158" s="7" t="s">
        <v>252</v>
      </c>
      <c r="C9158" s="99" t="s">
        <v>32</v>
      </c>
      <c r="D9158" s="6">
        <v>46553</v>
      </c>
      <c r="E9158" s="3" t="str">
        <f ca="1">IF(Tabela2[[#This Row],[Dt Venc:]]&gt;TODAY(),"Em Aberto",IF(Tabela2[[#This Row],[D/venc]]="-","Enviado",IF(Tabela2[[#This Row],[Dt Venc:]]=TODAY(),"Vence Hoje","Vencida")))</f>
        <v>Em Aberto</v>
      </c>
      <c r="F9158" s="3">
        <f ca="1">IF(G9158=1,"-",Tabela2[[#This Row],[Dt Venc:]]-TODAY())</f>
        <v>860</v>
      </c>
      <c r="G9158" s="3"/>
      <c r="H9158" s="3"/>
    </row>
    <row r="9159" spans="1:8">
      <c r="A9159" s="3">
        <v>106043</v>
      </c>
      <c r="B9159" s="7" t="s">
        <v>252</v>
      </c>
      <c r="C9159" s="99" t="s">
        <v>32</v>
      </c>
      <c r="D9159" s="6">
        <v>46553</v>
      </c>
      <c r="E9159" s="3" t="str">
        <f ca="1">IF(Tabela2[[#This Row],[Dt Venc:]]&gt;TODAY(),"Em Aberto",IF(Tabela2[[#This Row],[D/venc]]="-","Enviado",IF(Tabela2[[#This Row],[Dt Venc:]]=TODAY(),"Vence Hoje","Vencida")))</f>
        <v>Em Aberto</v>
      </c>
      <c r="F9159" s="3">
        <f ca="1">IF(G9159=1,"-",Tabela2[[#This Row],[Dt Venc:]]-TODAY())</f>
        <v>860</v>
      </c>
      <c r="G9159" s="3"/>
      <c r="H9159" s="3"/>
    </row>
    <row r="9160" spans="1:8">
      <c r="A9160" s="3">
        <v>107829</v>
      </c>
      <c r="B9160" s="7" t="s">
        <v>252</v>
      </c>
      <c r="C9160" s="99" t="s">
        <v>32</v>
      </c>
      <c r="D9160" s="6">
        <v>46553</v>
      </c>
      <c r="E9160" s="3" t="str">
        <f ca="1">IF(Tabela2[[#This Row],[Dt Venc:]]&gt;TODAY(),"Em Aberto",IF(Tabela2[[#This Row],[D/venc]]="-","Enviado",IF(Tabela2[[#This Row],[Dt Venc:]]=TODAY(),"Vence Hoje","Vencida")))</f>
        <v>Em Aberto</v>
      </c>
      <c r="F9160" s="3">
        <f ca="1">IF(G9160=1,"-",Tabela2[[#This Row],[Dt Venc:]]-TODAY())</f>
        <v>860</v>
      </c>
      <c r="G9160" s="3"/>
      <c r="H9160" s="3"/>
    </row>
    <row r="9161" spans="1:8">
      <c r="A9161" s="3">
        <v>107830</v>
      </c>
      <c r="B9161" s="7" t="s">
        <v>252</v>
      </c>
      <c r="C9161" s="85" t="s">
        <v>32</v>
      </c>
      <c r="D9161" s="6">
        <v>46553</v>
      </c>
      <c r="E9161" s="3" t="str">
        <f ca="1">IF(Tabela2[[#This Row],[Dt Venc:]]&gt;TODAY(),"Em Aberto",IF(Tabela2[[#This Row],[D/venc]]="-","Enviado",IF(Tabela2[[#This Row],[Dt Venc:]]=TODAY(),"Vence Hoje","Vencida")))</f>
        <v>Em Aberto</v>
      </c>
      <c r="F9161" s="3">
        <f ca="1">IF(G9161=1,"-",Tabela2[[#This Row],[Dt Venc:]]-TODAY())</f>
        <v>860</v>
      </c>
      <c r="G9161" s="3"/>
      <c r="H9161" s="3"/>
    </row>
    <row r="9162" spans="1:8">
      <c r="A9162" s="3">
        <v>107831</v>
      </c>
      <c r="B9162" s="7" t="s">
        <v>252</v>
      </c>
      <c r="C9162" s="99" t="s">
        <v>32</v>
      </c>
      <c r="D9162" s="6">
        <v>46553</v>
      </c>
      <c r="E9162" s="3" t="str">
        <f ca="1">IF(Tabela2[[#This Row],[Dt Venc:]]&gt;TODAY(),"Em Aberto",IF(Tabela2[[#This Row],[D/venc]]="-","Enviado",IF(Tabela2[[#This Row],[Dt Venc:]]=TODAY(),"Vence Hoje","Vencida")))</f>
        <v>Em Aberto</v>
      </c>
      <c r="F9162" s="3">
        <f ca="1">IF(G9162=1,"-",Tabela2[[#This Row],[Dt Venc:]]-TODAY())</f>
        <v>860</v>
      </c>
      <c r="G9162" s="3"/>
      <c r="H9162" s="3"/>
    </row>
    <row r="9163" spans="1:8">
      <c r="A9163" s="3">
        <v>107832</v>
      </c>
      <c r="B9163" s="7" t="s">
        <v>252</v>
      </c>
      <c r="C9163" s="99" t="s">
        <v>32</v>
      </c>
      <c r="D9163" s="6">
        <v>46553</v>
      </c>
      <c r="E9163" s="3" t="str">
        <f ca="1">IF(Tabela2[[#This Row],[Dt Venc:]]&gt;TODAY(),"Em Aberto",IF(Tabela2[[#This Row],[D/venc]]="-","Enviado",IF(Tabela2[[#This Row],[Dt Venc:]]=TODAY(),"Vence Hoje","Vencida")))</f>
        <v>Em Aberto</v>
      </c>
      <c r="F9163" s="3">
        <f ca="1">IF(G9163=1,"-",Tabela2[[#This Row],[Dt Venc:]]-TODAY())</f>
        <v>860</v>
      </c>
      <c r="G9163" s="3"/>
      <c r="H9163" s="3"/>
    </row>
    <row r="9164" spans="1:8">
      <c r="A9164" s="3">
        <v>361229</v>
      </c>
      <c r="B9164" s="7" t="s">
        <v>250</v>
      </c>
      <c r="C9164" s="99" t="s">
        <v>32</v>
      </c>
      <c r="D9164" s="6">
        <v>46553</v>
      </c>
      <c r="E9164" s="3" t="str">
        <f ca="1">IF(Tabela2[[#This Row],[Dt Venc:]]&gt;TODAY(),"Em Aberto",IF(Tabela2[[#This Row],[D/venc]]="-","Enviado",IF(Tabela2[[#This Row],[Dt Venc:]]=TODAY(),"Vence Hoje","Vencida")))</f>
        <v>Em Aberto</v>
      </c>
      <c r="F9164" s="3">
        <f ca="1">IF(G9164=1,"-",Tabela2[[#This Row],[Dt Venc:]]-TODAY())</f>
        <v>860</v>
      </c>
      <c r="G9164" s="3"/>
      <c r="H9164" s="3"/>
    </row>
    <row r="9165" spans="1:8">
      <c r="A9165" s="3">
        <v>361237</v>
      </c>
      <c r="B9165" s="7" t="s">
        <v>250</v>
      </c>
      <c r="C9165" s="99" t="s">
        <v>32</v>
      </c>
      <c r="D9165" s="6">
        <v>46553</v>
      </c>
      <c r="E9165" s="3" t="str">
        <f ca="1">IF(Tabela2[[#This Row],[Dt Venc:]]&gt;TODAY(),"Em Aberto",IF(Tabela2[[#This Row],[D/venc]]="-","Enviado",IF(Tabela2[[#This Row],[Dt Venc:]]=TODAY(),"Vence Hoje","Vencida")))</f>
        <v>Em Aberto</v>
      </c>
      <c r="F9165" s="3">
        <f ca="1">IF(G9165=1,"-",Tabela2[[#This Row],[Dt Venc:]]-TODAY())</f>
        <v>860</v>
      </c>
      <c r="G9165" s="3"/>
      <c r="H9165" s="3"/>
    </row>
    <row r="9166" spans="1:8">
      <c r="A9166" s="3">
        <v>365658</v>
      </c>
      <c r="B9166" s="7" t="s">
        <v>250</v>
      </c>
      <c r="C9166" s="99" t="s">
        <v>32</v>
      </c>
      <c r="D9166" s="6">
        <v>46553</v>
      </c>
      <c r="E9166" s="3" t="str">
        <f ca="1">IF(Tabela2[[#This Row],[Dt Venc:]]&gt;TODAY(),"Em Aberto",IF(Tabela2[[#This Row],[D/venc]]="-","Enviado",IF(Tabela2[[#This Row],[Dt Venc:]]=TODAY(),"Vence Hoje","Vencida")))</f>
        <v>Em Aberto</v>
      </c>
      <c r="F9166" s="3">
        <f ca="1">IF(G9166=1,"-",Tabela2[[#This Row],[Dt Venc:]]-TODAY())</f>
        <v>860</v>
      </c>
      <c r="G9166" s="3"/>
      <c r="H9166" s="3"/>
    </row>
    <row r="9167" spans="1:8">
      <c r="A9167" s="3">
        <v>365666</v>
      </c>
      <c r="B9167" s="7" t="s">
        <v>250</v>
      </c>
      <c r="C9167" s="99" t="s">
        <v>32</v>
      </c>
      <c r="D9167" s="6">
        <v>46553</v>
      </c>
      <c r="E9167" s="3" t="str">
        <f ca="1">IF(Tabela2[[#This Row],[Dt Venc:]]&gt;TODAY(),"Em Aberto",IF(Tabela2[[#This Row],[D/venc]]="-","Enviado",IF(Tabela2[[#This Row],[Dt Venc:]]=TODAY(),"Vence Hoje","Vencida")))</f>
        <v>Em Aberto</v>
      </c>
      <c r="F9167" s="3">
        <f ca="1">IF(G9167=1,"-",Tabela2[[#This Row],[Dt Venc:]]-TODAY())</f>
        <v>860</v>
      </c>
      <c r="G9167" s="3"/>
      <c r="H9167" s="3"/>
    </row>
    <row r="9168" spans="1:8">
      <c r="A9168" s="3">
        <v>365674</v>
      </c>
      <c r="B9168" s="7" t="s">
        <v>250</v>
      </c>
      <c r="C9168" s="99" t="s">
        <v>32</v>
      </c>
      <c r="D9168" s="6">
        <v>46553</v>
      </c>
      <c r="E9168" s="3" t="str">
        <f ca="1">IF(Tabela2[[#This Row],[Dt Venc:]]&gt;TODAY(),"Em Aberto",IF(Tabela2[[#This Row],[D/venc]]="-","Enviado",IF(Tabela2[[#This Row],[Dt Venc:]]=TODAY(),"Vence Hoje","Vencida")))</f>
        <v>Em Aberto</v>
      </c>
      <c r="F9168" s="3">
        <f ca="1">IF(G9168=1,"-",Tabela2[[#This Row],[Dt Venc:]]-TODAY())</f>
        <v>860</v>
      </c>
      <c r="G9168" s="3"/>
      <c r="H9168" s="3"/>
    </row>
    <row r="9169" spans="1:8">
      <c r="A9169" s="3">
        <v>365682</v>
      </c>
      <c r="B9169" s="7" t="s">
        <v>250</v>
      </c>
      <c r="C9169" s="99" t="s">
        <v>32</v>
      </c>
      <c r="D9169" s="6">
        <v>46553</v>
      </c>
      <c r="E9169" s="3" t="str">
        <f ca="1">IF(Tabela2[[#This Row],[Dt Venc:]]&gt;TODAY(),"Em Aberto",IF(Tabela2[[#This Row],[D/venc]]="-","Enviado",IF(Tabela2[[#This Row],[Dt Venc:]]=TODAY(),"Vence Hoje","Vencida")))</f>
        <v>Em Aberto</v>
      </c>
      <c r="F9169" s="3">
        <f ca="1">IF(G9169=1,"-",Tabela2[[#This Row],[Dt Venc:]]-TODAY())</f>
        <v>860</v>
      </c>
      <c r="G9169" s="3"/>
      <c r="H9169" s="3"/>
    </row>
    <row r="9170" spans="1:8">
      <c r="A9170" s="3">
        <v>369335</v>
      </c>
      <c r="B9170" s="7" t="s">
        <v>543</v>
      </c>
      <c r="C9170" s="87" t="s">
        <v>32</v>
      </c>
      <c r="D9170" s="6">
        <v>46553</v>
      </c>
      <c r="E9170" s="3" t="str">
        <f ca="1">IF(Tabela2[[#This Row],[Dt Venc:]]&gt;TODAY(),"Em Aberto",IF(Tabela2[[#This Row],[D/venc]]="-","Enviado",IF(Tabela2[[#This Row],[Dt Venc:]]=TODAY(),"Vence Hoje","Vencida")))</f>
        <v>Em Aberto</v>
      </c>
      <c r="F9170" s="3">
        <f ca="1">IF(G9170=1,"-",Tabela2[[#This Row],[Dt Venc:]]-TODAY())</f>
        <v>860</v>
      </c>
      <c r="G9170" s="3"/>
      <c r="H9170" s="3"/>
    </row>
    <row r="9171" spans="1:8">
      <c r="A9171" s="3">
        <v>369696</v>
      </c>
      <c r="B9171" s="7" t="s">
        <v>543</v>
      </c>
      <c r="C9171" s="87" t="s">
        <v>32</v>
      </c>
      <c r="D9171" s="6">
        <v>46553</v>
      </c>
      <c r="E9171" s="3" t="str">
        <f ca="1">IF(Tabela2[[#This Row],[Dt Venc:]]&gt;TODAY(),"Em Aberto",IF(Tabela2[[#This Row],[D/venc]]="-","Enviado",IF(Tabela2[[#This Row],[Dt Venc:]]=TODAY(),"Vence Hoje","Vencida")))</f>
        <v>Em Aberto</v>
      </c>
      <c r="F9171" s="3">
        <f ca="1">IF(G9171=1,"-",Tabela2[[#This Row],[Dt Venc:]]-TODAY())</f>
        <v>860</v>
      </c>
      <c r="G9171" s="3"/>
      <c r="H9171" s="3"/>
    </row>
    <row r="9172" spans="1:8">
      <c r="A9172" s="3">
        <v>369726</v>
      </c>
      <c r="B9172" s="7" t="s">
        <v>543</v>
      </c>
      <c r="C9172" s="85" t="s">
        <v>32</v>
      </c>
      <c r="D9172" s="6">
        <v>46553</v>
      </c>
      <c r="E9172" s="3" t="str">
        <f ca="1">IF(Tabela2[[#This Row],[Dt Venc:]]&gt;TODAY(),"Em Aberto",IF(Tabela2[[#This Row],[D/venc]]="-","Enviado",IF(Tabela2[[#This Row],[Dt Venc:]]=TODAY(),"Vence Hoje","Vencida")))</f>
        <v>Em Aberto</v>
      </c>
      <c r="F9172" s="3">
        <f ca="1">IF(G9172=1,"-",Tabela2[[#This Row],[Dt Venc:]]-TODAY())</f>
        <v>860</v>
      </c>
      <c r="G9172" s="3"/>
      <c r="H9172" s="3"/>
    </row>
    <row r="9173" spans="1:8">
      <c r="A9173" s="3">
        <v>369751</v>
      </c>
      <c r="B9173" s="7" t="s">
        <v>543</v>
      </c>
      <c r="C9173" s="87" t="s">
        <v>32</v>
      </c>
      <c r="D9173" s="6">
        <v>46553</v>
      </c>
      <c r="E9173" s="3" t="str">
        <f ca="1">IF(Tabela2[[#This Row],[Dt Venc:]]&gt;TODAY(),"Em Aberto",IF(Tabela2[[#This Row],[D/venc]]="-","Enviado",IF(Tabela2[[#This Row],[Dt Venc:]]=TODAY(),"Vence Hoje","Vencida")))</f>
        <v>Em Aberto</v>
      </c>
      <c r="F9173" s="3">
        <f ca="1">IF(G9173=1,"-",Tabela2[[#This Row],[Dt Venc:]]-TODAY())</f>
        <v>860</v>
      </c>
      <c r="G9173" s="3"/>
      <c r="H9173" s="3"/>
    </row>
    <row r="9174" spans="1:8">
      <c r="A9174" s="3">
        <v>370201</v>
      </c>
      <c r="B9174" s="7" t="s">
        <v>543</v>
      </c>
      <c r="C9174" s="87" t="s">
        <v>32</v>
      </c>
      <c r="D9174" s="6">
        <v>46553</v>
      </c>
      <c r="E9174" s="3" t="str">
        <f ca="1">IF(Tabela2[[#This Row],[Dt Venc:]]&gt;TODAY(),"Em Aberto",IF(Tabela2[[#This Row],[D/venc]]="-","Enviado",IF(Tabela2[[#This Row],[Dt Venc:]]=TODAY(),"Vence Hoje","Vencida")))</f>
        <v>Em Aberto</v>
      </c>
      <c r="F9174" s="3">
        <f ca="1">IF(G9174=1,"-",Tabela2[[#This Row],[Dt Venc:]]-TODAY())</f>
        <v>860</v>
      </c>
      <c r="G9174" s="3"/>
      <c r="H9174" s="3"/>
    </row>
    <row r="9175" spans="1:8">
      <c r="A9175" s="3">
        <v>370864</v>
      </c>
      <c r="B9175" s="7" t="s">
        <v>543</v>
      </c>
      <c r="C9175" s="87" t="s">
        <v>32</v>
      </c>
      <c r="D9175" s="6">
        <v>46553</v>
      </c>
      <c r="E9175" s="3" t="str">
        <f ca="1">IF(Tabela2[[#This Row],[Dt Venc:]]&gt;TODAY(),"Em Aberto",IF(Tabela2[[#This Row],[D/venc]]="-","Enviado",IF(Tabela2[[#This Row],[Dt Venc:]]=TODAY(),"Vence Hoje","Vencida")))</f>
        <v>Em Aberto</v>
      </c>
      <c r="F9175" s="3">
        <f ca="1">IF(G9175=1,"-",Tabela2[[#This Row],[Dt Venc:]]-TODAY())</f>
        <v>860</v>
      </c>
      <c r="G9175" s="3"/>
      <c r="H9175" s="3"/>
    </row>
    <row r="9176" spans="1:8">
      <c r="A9176" s="3">
        <v>371011</v>
      </c>
      <c r="B9176" s="7" t="s">
        <v>633</v>
      </c>
      <c r="C9176" s="87" t="s">
        <v>32</v>
      </c>
      <c r="D9176" s="6">
        <v>46553</v>
      </c>
      <c r="E9176" s="3" t="str">
        <f ca="1">IF(Tabela2[[#This Row],[Dt Venc:]]&gt;TODAY(),"Em Aberto",IF(Tabela2[[#This Row],[D/venc]]="-","Enviado",IF(Tabela2[[#This Row],[Dt Venc:]]=TODAY(),"Vence Hoje","Vencida")))</f>
        <v>Em Aberto</v>
      </c>
      <c r="F9176" s="3">
        <f ca="1">IF(G9176=1,"-",Tabela2[[#This Row],[Dt Venc:]]-TODAY())</f>
        <v>860</v>
      </c>
      <c r="G9176" s="3"/>
      <c r="H9176" s="3"/>
    </row>
    <row r="9177" spans="1:8">
      <c r="A9177" s="3">
        <v>371160</v>
      </c>
      <c r="B9177" s="7" t="s">
        <v>633</v>
      </c>
      <c r="C9177" s="87" t="s">
        <v>32</v>
      </c>
      <c r="D9177" s="6">
        <v>46553</v>
      </c>
      <c r="E9177" s="3" t="str">
        <f ca="1">IF(Tabela2[[#This Row],[Dt Venc:]]&gt;TODAY(),"Em Aberto",IF(Tabela2[[#This Row],[D/venc]]="-","Enviado",IF(Tabela2[[#This Row],[Dt Venc:]]=TODAY(),"Vence Hoje","Vencida")))</f>
        <v>Em Aberto</v>
      </c>
      <c r="F9177" s="3">
        <f ca="1">IF(G9177=1,"-",Tabela2[[#This Row],[Dt Venc:]]-TODAY())</f>
        <v>860</v>
      </c>
      <c r="G9177" s="3"/>
      <c r="H9177" s="3"/>
    </row>
    <row r="9178" spans="1:8">
      <c r="A9178" s="3">
        <v>892178</v>
      </c>
      <c r="B9178" s="7" t="s">
        <v>253</v>
      </c>
      <c r="C9178" s="99" t="s">
        <v>32</v>
      </c>
      <c r="D9178" s="6">
        <v>46553</v>
      </c>
      <c r="E9178" s="3" t="str">
        <f ca="1">IF(Tabela2[[#This Row],[Dt Venc:]]&gt;TODAY(),"Em Aberto",IF(Tabela2[[#This Row],[D/venc]]="-","Enviado",IF(Tabela2[[#This Row],[Dt Venc:]]=TODAY(),"Vence Hoje","Vencida")))</f>
        <v>Em Aberto</v>
      </c>
      <c r="F9178" s="3">
        <f ca="1">IF(G9178=1,"-",Tabela2[[#This Row],[Dt Venc:]]-TODAY())</f>
        <v>860</v>
      </c>
      <c r="G9178" s="3"/>
      <c r="H9178" s="3"/>
    </row>
    <row r="9179" spans="1:8">
      <c r="A9179" s="3">
        <v>894135</v>
      </c>
      <c r="B9179" s="7" t="s">
        <v>253</v>
      </c>
      <c r="C9179" s="99" t="s">
        <v>32</v>
      </c>
      <c r="D9179" s="6">
        <v>46553</v>
      </c>
      <c r="E9179" s="3" t="str">
        <f ca="1">IF(Tabela2[[#This Row],[Dt Venc:]]&gt;TODAY(),"Em Aberto",IF(Tabela2[[#This Row],[D/venc]]="-","Enviado",IF(Tabela2[[#This Row],[Dt Venc:]]=TODAY(),"Vence Hoje","Vencida")))</f>
        <v>Em Aberto</v>
      </c>
      <c r="F9179" s="3">
        <f ca="1">IF(G9179=1,"-",Tabela2[[#This Row],[Dt Venc:]]-TODAY())</f>
        <v>860</v>
      </c>
      <c r="G9179" s="3"/>
      <c r="H9179" s="3"/>
    </row>
    <row r="9180" spans="1:8">
      <c r="A9180" s="3">
        <v>896565</v>
      </c>
      <c r="B9180" s="7" t="s">
        <v>253</v>
      </c>
      <c r="C9180" s="99" t="s">
        <v>32</v>
      </c>
      <c r="D9180" s="6">
        <v>46553</v>
      </c>
      <c r="E9180" s="3" t="str">
        <f ca="1">IF(Tabela2[[#This Row],[Dt Venc:]]&gt;TODAY(),"Em Aberto",IF(Tabela2[[#This Row],[D/venc]]="-","Enviado",IF(Tabela2[[#This Row],[Dt Venc:]]=TODAY(),"Vence Hoje","Vencida")))</f>
        <v>Em Aberto</v>
      </c>
      <c r="F9180" s="3">
        <f ca="1">IF(G9180=1,"-",Tabela2[[#This Row],[Dt Venc:]]-TODAY())</f>
        <v>860</v>
      </c>
      <c r="G9180" s="3"/>
      <c r="H9180" s="3"/>
    </row>
    <row r="9181" spans="1:8">
      <c r="A9181" s="3">
        <v>900386</v>
      </c>
      <c r="B9181" s="7" t="s">
        <v>253</v>
      </c>
      <c r="C9181" s="99" t="s">
        <v>32</v>
      </c>
      <c r="D9181" s="6">
        <v>46553</v>
      </c>
      <c r="E9181" s="3" t="str">
        <f ca="1">IF(Tabela2[[#This Row],[Dt Venc:]]&gt;TODAY(),"Em Aberto",IF(Tabela2[[#This Row],[D/venc]]="-","Enviado",IF(Tabela2[[#This Row],[Dt Venc:]]=TODAY(),"Vence Hoje","Vencida")))</f>
        <v>Em Aberto</v>
      </c>
      <c r="F9181" s="3">
        <f ca="1">IF(G9181=1,"-",Tabela2[[#This Row],[Dt Venc:]]-TODAY())</f>
        <v>860</v>
      </c>
      <c r="G9181" s="3"/>
      <c r="H9181" s="3"/>
    </row>
    <row r="9182" spans="1:8">
      <c r="A9182" s="3">
        <v>901787</v>
      </c>
      <c r="B9182" s="7" t="s">
        <v>253</v>
      </c>
      <c r="C9182" s="99" t="s">
        <v>32</v>
      </c>
      <c r="D9182" s="6">
        <v>46553</v>
      </c>
      <c r="E9182" s="3" t="str">
        <f ca="1">IF(Tabela2[[#This Row],[Dt Venc:]]&gt;TODAY(),"Em Aberto",IF(Tabela2[[#This Row],[D/venc]]="-","Enviado",IF(Tabela2[[#This Row],[Dt Venc:]]=TODAY(),"Vence Hoje","Vencida")))</f>
        <v>Em Aberto</v>
      </c>
      <c r="F9182" s="3">
        <f ca="1">IF(G9182=1,"-",Tabela2[[#This Row],[Dt Venc:]]-TODAY())</f>
        <v>860</v>
      </c>
      <c r="G9182" s="3"/>
      <c r="H9182" s="3"/>
    </row>
    <row r="9183" spans="1:8">
      <c r="A9183" s="3">
        <v>901788</v>
      </c>
      <c r="B9183" s="7" t="s">
        <v>253</v>
      </c>
      <c r="C9183" s="99" t="s">
        <v>32</v>
      </c>
      <c r="D9183" s="6">
        <v>46553</v>
      </c>
      <c r="E9183" s="3" t="str">
        <f ca="1">IF(Tabela2[[#This Row],[Dt Venc:]]&gt;TODAY(),"Em Aberto",IF(Tabela2[[#This Row],[D/venc]]="-","Enviado",IF(Tabela2[[#This Row],[Dt Venc:]]=TODAY(),"Vence Hoje","Vencida")))</f>
        <v>Em Aberto</v>
      </c>
      <c r="F9183" s="3">
        <f ca="1">IF(G9183=1,"-",Tabela2[[#This Row],[Dt Venc:]]-TODAY())</f>
        <v>860</v>
      </c>
      <c r="G9183" s="3"/>
      <c r="H9183" s="3"/>
    </row>
    <row r="9184" spans="1:8">
      <c r="A9184" s="3">
        <v>901789</v>
      </c>
      <c r="B9184" s="7" t="s">
        <v>253</v>
      </c>
      <c r="C9184" s="99" t="s">
        <v>32</v>
      </c>
      <c r="D9184" s="6">
        <v>46553</v>
      </c>
      <c r="E9184" s="3" t="str">
        <f ca="1">IF(Tabela2[[#This Row],[Dt Venc:]]&gt;TODAY(),"Em Aberto",IF(Tabela2[[#This Row],[D/venc]]="-","Enviado",IF(Tabela2[[#This Row],[Dt Venc:]]=TODAY(),"Vence Hoje","Vencida")))</f>
        <v>Em Aberto</v>
      </c>
      <c r="F9184" s="3">
        <f ca="1">IF(G9184=1,"-",Tabela2[[#This Row],[Dt Venc:]]-TODAY())</f>
        <v>860</v>
      </c>
      <c r="G9184" s="3"/>
      <c r="H9184" s="3"/>
    </row>
    <row r="9185" spans="1:8">
      <c r="A9185" s="3">
        <v>912703</v>
      </c>
      <c r="B9185" s="7" t="s">
        <v>253</v>
      </c>
      <c r="C9185" s="99" t="s">
        <v>32</v>
      </c>
      <c r="D9185" s="6">
        <v>46553</v>
      </c>
      <c r="E9185" s="3" t="str">
        <f ca="1">IF(Tabela2[[#This Row],[Dt Venc:]]&gt;TODAY(),"Em Aberto",IF(Tabela2[[#This Row],[D/venc]]="-","Enviado",IF(Tabela2[[#This Row],[Dt Venc:]]=TODAY(),"Vence Hoje","Vencida")))</f>
        <v>Em Aberto</v>
      </c>
      <c r="F9185" s="3">
        <f ca="1">IF(G9185=1,"-",Tabela2[[#This Row],[Dt Venc:]]-TODAY())</f>
        <v>860</v>
      </c>
      <c r="G9185" s="3"/>
      <c r="H9185" s="3"/>
    </row>
    <row r="9186" spans="1:8">
      <c r="A9186" s="3">
        <v>912704</v>
      </c>
      <c r="B9186" s="7" t="s">
        <v>253</v>
      </c>
      <c r="C9186" s="99" t="s">
        <v>32</v>
      </c>
      <c r="D9186" s="6">
        <v>46553</v>
      </c>
      <c r="E9186" s="3" t="str">
        <f ca="1">IF(Tabela2[[#This Row],[Dt Venc:]]&gt;TODAY(),"Em Aberto",IF(Tabela2[[#This Row],[D/venc]]="-","Enviado",IF(Tabela2[[#This Row],[Dt Venc:]]=TODAY(),"Vence Hoje","Vencida")))</f>
        <v>Em Aberto</v>
      </c>
      <c r="F9186" s="3">
        <f ca="1">IF(G9186=1,"-",Tabela2[[#This Row],[Dt Venc:]]-TODAY())</f>
        <v>860</v>
      </c>
      <c r="G9186" s="3"/>
      <c r="H9186" s="3"/>
    </row>
    <row r="9187" spans="1:8">
      <c r="A9187" s="3">
        <v>919728</v>
      </c>
      <c r="B9187" s="7" t="s">
        <v>253</v>
      </c>
      <c r="C9187" s="87" t="s">
        <v>32</v>
      </c>
      <c r="D9187" s="6">
        <v>46553</v>
      </c>
      <c r="E9187" s="3" t="str">
        <f ca="1">IF(Tabela2[[#This Row],[Dt Venc:]]&gt;TODAY(),"Em Aberto",IF(Tabela2[[#This Row],[D/venc]]="-","Enviado",IF(Tabela2[[#This Row],[Dt Venc:]]=TODAY(),"Vence Hoje","Vencida")))</f>
        <v>Em Aberto</v>
      </c>
      <c r="F9187" s="3">
        <f ca="1">IF(G9187=1,"-",Tabela2[[#This Row],[Dt Venc:]]-TODAY())</f>
        <v>860</v>
      </c>
      <c r="G9187" s="3"/>
      <c r="H9187" s="3"/>
    </row>
    <row r="9188" spans="1:8">
      <c r="A9188" s="3">
        <v>919729</v>
      </c>
      <c r="B9188" s="7" t="s">
        <v>253</v>
      </c>
      <c r="C9188" s="87" t="s">
        <v>32</v>
      </c>
      <c r="D9188" s="6">
        <v>46553</v>
      </c>
      <c r="E9188" s="3" t="str">
        <f ca="1">IF(Tabela2[[#This Row],[Dt Venc:]]&gt;TODAY(),"Em Aberto",IF(Tabela2[[#This Row],[D/venc]]="-","Enviado",IF(Tabela2[[#This Row],[Dt Venc:]]=TODAY(),"Vence Hoje","Vencida")))</f>
        <v>Em Aberto</v>
      </c>
      <c r="F9188" s="3">
        <f ca="1">IF(G9188=1,"-",Tabela2[[#This Row],[Dt Venc:]]-TODAY())</f>
        <v>860</v>
      </c>
      <c r="G9188" s="3"/>
      <c r="H9188" s="3"/>
    </row>
    <row r="9189" spans="1:8">
      <c r="A9189" s="3">
        <v>495914</v>
      </c>
      <c r="B9189" s="7" t="s">
        <v>153</v>
      </c>
      <c r="C9189" s="99" t="s">
        <v>32</v>
      </c>
      <c r="D9189" s="6">
        <v>46563</v>
      </c>
      <c r="E9189" s="3" t="str">
        <f ca="1">IF(Tabela2[[#This Row],[Dt Venc:]]&gt;TODAY(),"Em Aberto",IF(Tabela2[[#This Row],[D/venc]]="-","Enviado",IF(Tabela2[[#This Row],[Dt Venc:]]=TODAY(),"Vence Hoje","Vencida")))</f>
        <v>Em Aberto</v>
      </c>
      <c r="F9189" s="3">
        <f ca="1">IF(G9189=1,"-",Tabela2[[#This Row],[Dt Venc:]]-TODAY())</f>
        <v>870</v>
      </c>
      <c r="G9189" s="3"/>
      <c r="H9189" s="3"/>
    </row>
    <row r="9190" spans="1:8">
      <c r="A9190" s="3">
        <v>5690</v>
      </c>
      <c r="B9190" s="7" t="s">
        <v>122</v>
      </c>
      <c r="C9190" s="99" t="s">
        <v>32</v>
      </c>
      <c r="D9190" s="6">
        <v>46565</v>
      </c>
      <c r="E9190" s="3" t="str">
        <f ca="1">IF(Tabela2[[#This Row],[Dt Venc:]]&gt;TODAY(),"Em Aberto",IF(Tabela2[[#This Row],[D/venc]]="-","Enviado",IF(Tabela2[[#This Row],[Dt Venc:]]=TODAY(),"Vence Hoje","Vencida")))</f>
        <v>Em Aberto</v>
      </c>
      <c r="F9190" s="3">
        <f ca="1">IF(G9190=1,"-",Tabela2[[#This Row],[Dt Venc:]]-TODAY())</f>
        <v>872</v>
      </c>
      <c r="G9190" s="3"/>
      <c r="H9190" s="3"/>
    </row>
    <row r="9191" spans="1:8">
      <c r="A9191" s="3">
        <v>11681</v>
      </c>
      <c r="B9191" s="7" t="s">
        <v>82</v>
      </c>
      <c r="C9191" s="87" t="s">
        <v>30</v>
      </c>
      <c r="D9191" s="6">
        <v>46568</v>
      </c>
      <c r="E9191" s="3" t="str">
        <f ca="1">IF(Tabela2[[#This Row],[Dt Venc:]]&gt;TODAY(),"Em Aberto",IF(Tabela2[[#This Row],[D/venc]]="-","Enviado",IF(Tabela2[[#This Row],[Dt Venc:]]=TODAY(),"Vence Hoje","Vencida")))</f>
        <v>Em Aberto</v>
      </c>
      <c r="F9191" s="3">
        <f ca="1">IF(G9191=1,"-",Tabela2[[#This Row],[Dt Venc:]]-TODAY())</f>
        <v>875</v>
      </c>
      <c r="G9191" s="3"/>
      <c r="H9191" s="3"/>
    </row>
    <row r="9192" spans="1:8">
      <c r="A9192" s="3" t="s">
        <v>28</v>
      </c>
      <c r="B9192" s="7" t="s">
        <v>391</v>
      </c>
      <c r="C9192" s="85" t="s">
        <v>30</v>
      </c>
      <c r="D9192" s="6">
        <v>46568</v>
      </c>
      <c r="E9192" s="3" t="str">
        <f ca="1">IF(Tabela2[[#This Row],[Dt Venc:]]&gt;TODAY(),"Em Aberto",IF(Tabela2[[#This Row],[D/venc]]="-","Enviado",IF(Tabela2[[#This Row],[Dt Venc:]]=TODAY(),"Vence Hoje","Vencida")))</f>
        <v>Em Aberto</v>
      </c>
      <c r="F9192" s="3">
        <f ca="1">IF(G9192=1,"-",Tabela2[[#This Row],[Dt Venc:]]-TODAY())</f>
        <v>875</v>
      </c>
      <c r="G9192" s="3"/>
      <c r="H9192" s="3"/>
    </row>
    <row r="9193" spans="1:8">
      <c r="A9193" s="3">
        <v>10494</v>
      </c>
      <c r="B9193" s="7" t="s">
        <v>82</v>
      </c>
      <c r="C9193" s="88" t="s">
        <v>30</v>
      </c>
      <c r="D9193" s="6">
        <v>46571</v>
      </c>
      <c r="E9193" s="3" t="str">
        <f ca="1">IF(Tabela2[[#This Row],[Dt Venc:]]&gt;TODAY(),"Em Aberto",IF(Tabela2[[#This Row],[D/venc]]="-","Enviado",IF(Tabela2[[#This Row],[Dt Venc:]]=TODAY(),"Vence Hoje","Vencida")))</f>
        <v>Em Aberto</v>
      </c>
      <c r="F9193" s="3">
        <f ca="1">IF(G9193=1,"-",Tabela2[[#This Row],[Dt Venc:]]-TODAY())</f>
        <v>878</v>
      </c>
      <c r="G9193" s="3"/>
      <c r="H9193" s="3"/>
    </row>
    <row r="9194" spans="1:8">
      <c r="A9194" s="3">
        <v>5680</v>
      </c>
      <c r="B9194" s="7" t="s">
        <v>122</v>
      </c>
      <c r="C9194" s="99" t="s">
        <v>32</v>
      </c>
      <c r="D9194" s="6">
        <v>46573</v>
      </c>
      <c r="E9194" s="3" t="str">
        <f ca="1">IF(Tabela2[[#This Row],[Dt Venc:]]&gt;TODAY(),"Em Aberto",IF(Tabela2[[#This Row],[D/venc]]="-","Enviado",IF(Tabela2[[#This Row],[Dt Venc:]]=TODAY(),"Vence Hoje","Vencida")))</f>
        <v>Em Aberto</v>
      </c>
      <c r="F9194" s="3">
        <f ca="1">IF(G9194=1,"-",Tabela2[[#This Row],[Dt Venc:]]-TODAY())</f>
        <v>880</v>
      </c>
      <c r="G9194" s="3"/>
      <c r="H9194" s="3"/>
    </row>
    <row r="9195" spans="1:8">
      <c r="A9195" s="3">
        <v>10353</v>
      </c>
      <c r="B9195" s="7" t="s">
        <v>82</v>
      </c>
      <c r="C9195" s="99" t="s">
        <v>32</v>
      </c>
      <c r="D9195" s="6">
        <v>46573</v>
      </c>
      <c r="E9195" s="3" t="str">
        <f ca="1">IF(Tabela2[[#This Row],[Dt Venc:]]&gt;TODAY(),"Em Aberto",IF(Tabela2[[#This Row],[D/venc]]="-","Enviado",IF(Tabela2[[#This Row],[Dt Venc:]]=TODAY(),"Vence Hoje","Vencida")))</f>
        <v>Em Aberto</v>
      </c>
      <c r="F9195" s="3">
        <f ca="1">IF(G9195=1,"-",Tabela2[[#This Row],[Dt Venc:]]-TODAY())</f>
        <v>880</v>
      </c>
      <c r="G9195" s="3"/>
      <c r="H9195" s="3"/>
    </row>
    <row r="9196" spans="1:8">
      <c r="A9196" s="3">
        <v>284620</v>
      </c>
      <c r="B9196" s="7" t="s">
        <v>153</v>
      </c>
      <c r="C9196" s="99" t="s">
        <v>32</v>
      </c>
      <c r="D9196" s="6">
        <v>46576</v>
      </c>
      <c r="E9196" s="3" t="str">
        <f ca="1">IF(Tabela2[[#This Row],[Dt Venc:]]&gt;TODAY(),"Em Aberto",IF(Tabela2[[#This Row],[D/venc]]="-","Enviado",IF(Tabela2[[#This Row],[Dt Venc:]]=TODAY(),"Vence Hoje","Vencida")))</f>
        <v>Em Aberto</v>
      </c>
      <c r="F9196" s="3">
        <f ca="1">IF(G9196=1,"-",Tabela2[[#This Row],[Dt Venc:]]-TODAY())</f>
        <v>883</v>
      </c>
      <c r="G9196" s="3"/>
      <c r="H9196" s="3"/>
    </row>
    <row r="9197" spans="1:8">
      <c r="A9197" s="3">
        <v>756561</v>
      </c>
      <c r="B9197" s="7" t="s">
        <v>166</v>
      </c>
      <c r="C9197" s="99" t="s">
        <v>32</v>
      </c>
      <c r="D9197" s="6">
        <v>46577</v>
      </c>
      <c r="E9197" s="3" t="str">
        <f ca="1">IF(Tabela2[[#This Row],[Dt Venc:]]&gt;TODAY(),"Em Aberto",IF(Tabela2[[#This Row],[D/venc]]="-","Enviado",IF(Tabela2[[#This Row],[Dt Venc:]]=TODAY(),"Vence Hoje","Vencida")))</f>
        <v>Em Aberto</v>
      </c>
      <c r="F9197" s="3">
        <f ca="1">IF(G9197=1,"-",Tabela2[[#This Row],[Dt Venc:]]-TODAY())</f>
        <v>884</v>
      </c>
      <c r="G9197" s="3"/>
      <c r="H9197" s="3"/>
    </row>
    <row r="9198" spans="1:8">
      <c r="A9198" s="3">
        <v>562</v>
      </c>
      <c r="B9198" s="7" t="s">
        <v>251</v>
      </c>
      <c r="C9198" s="99" t="s">
        <v>32</v>
      </c>
      <c r="D9198" s="6">
        <v>46583</v>
      </c>
      <c r="E9198" s="3" t="str">
        <f ca="1">IF(Tabela2[[#This Row],[Dt Venc:]]&gt;TODAY(),"Em Aberto",IF(Tabela2[[#This Row],[D/venc]]="-","Enviado",IF(Tabela2[[#This Row],[Dt Venc:]]=TODAY(),"Vence Hoje","Vencida")))</f>
        <v>Em Aberto</v>
      </c>
      <c r="F9198" s="3">
        <f ca="1">IF(G9198=1,"-",Tabela2[[#This Row],[Dt Venc:]]-TODAY())</f>
        <v>890</v>
      </c>
      <c r="G9198" s="3"/>
      <c r="H9198" s="3"/>
    </row>
    <row r="9199" spans="1:8">
      <c r="A9199" s="3">
        <v>103015</v>
      </c>
      <c r="B9199" s="7" t="s">
        <v>252</v>
      </c>
      <c r="C9199" s="99" t="s">
        <v>32</v>
      </c>
      <c r="D9199" s="6">
        <v>46583</v>
      </c>
      <c r="E9199" s="3" t="str">
        <f ca="1">IF(Tabela2[[#This Row],[Dt Venc:]]&gt;TODAY(),"Em Aberto",IF(Tabela2[[#This Row],[D/venc]]="-","Enviado",IF(Tabela2[[#This Row],[Dt Venc:]]=TODAY(),"Vence Hoje","Vencida")))</f>
        <v>Em Aberto</v>
      </c>
      <c r="F9199" s="3">
        <f ca="1">IF(G9199=1,"-",Tabela2[[#This Row],[Dt Venc:]]-TODAY())</f>
        <v>890</v>
      </c>
      <c r="G9199" s="3"/>
      <c r="H9199" s="3"/>
    </row>
    <row r="9200" spans="1:8">
      <c r="A9200" s="3">
        <v>103077</v>
      </c>
      <c r="B9200" s="7" t="s">
        <v>252</v>
      </c>
      <c r="C9200" s="99" t="s">
        <v>32</v>
      </c>
      <c r="D9200" s="6">
        <v>46583</v>
      </c>
      <c r="E9200" s="3" t="str">
        <f ca="1">IF(Tabela2[[#This Row],[Dt Venc:]]&gt;TODAY(),"Em Aberto",IF(Tabela2[[#This Row],[D/venc]]="-","Enviado",IF(Tabela2[[#This Row],[Dt Venc:]]=TODAY(),"Vence Hoje","Vencida")))</f>
        <v>Em Aberto</v>
      </c>
      <c r="F9200" s="3">
        <f ca="1">IF(G9200=1,"-",Tabela2[[#This Row],[Dt Venc:]]-TODAY())</f>
        <v>890</v>
      </c>
      <c r="G9200" s="3"/>
      <c r="H9200" s="3"/>
    </row>
    <row r="9201" spans="1:8">
      <c r="A9201" s="3">
        <v>103153</v>
      </c>
      <c r="B9201" s="7" t="s">
        <v>252</v>
      </c>
      <c r="C9201" s="85" t="s">
        <v>32</v>
      </c>
      <c r="D9201" s="6">
        <v>46583</v>
      </c>
      <c r="E9201" s="3" t="str">
        <f ca="1">IF(Tabela2[[#This Row],[Dt Venc:]]&gt;TODAY(),"Em Aberto",IF(Tabela2[[#This Row],[D/venc]]="-","Enviado",IF(Tabela2[[#This Row],[Dt Venc:]]=TODAY(),"Vence Hoje","Vencida")))</f>
        <v>Em Aberto</v>
      </c>
      <c r="F9201" s="3">
        <f ca="1">IF(G9201=1,"-",Tabela2[[#This Row],[Dt Venc:]]-TODAY())</f>
        <v>890</v>
      </c>
      <c r="G9201" s="3"/>
      <c r="H9201" s="3"/>
    </row>
    <row r="9202" spans="1:8">
      <c r="A9202" s="3">
        <v>103154</v>
      </c>
      <c r="B9202" s="7" t="s">
        <v>252</v>
      </c>
      <c r="C9202" s="100" t="s">
        <v>32</v>
      </c>
      <c r="D9202" s="6">
        <v>46583</v>
      </c>
      <c r="E9202" s="3" t="str">
        <f ca="1">IF(Tabela2[[#This Row],[Dt Venc:]]&gt;TODAY(),"Em Aberto",IF(Tabela2[[#This Row],[D/venc]]="-","Enviado",IF(Tabela2[[#This Row],[Dt Venc:]]=TODAY(),"Vence Hoje","Vencida")))</f>
        <v>Em Aberto</v>
      </c>
      <c r="F9202" s="3">
        <f ca="1">IF(G9202=1,"-",Tabela2[[#This Row],[Dt Venc:]]-TODAY())</f>
        <v>890</v>
      </c>
      <c r="G9202" s="3"/>
      <c r="H9202" s="3"/>
    </row>
    <row r="9203" spans="1:8">
      <c r="A9203" s="3">
        <v>106007</v>
      </c>
      <c r="B9203" s="7" t="s">
        <v>252</v>
      </c>
      <c r="C9203" s="100" t="s">
        <v>32</v>
      </c>
      <c r="D9203" s="6">
        <v>46583</v>
      </c>
      <c r="E9203" s="3" t="str">
        <f ca="1">IF(Tabela2[[#This Row],[Dt Venc:]]&gt;TODAY(),"Em Aberto",IF(Tabela2[[#This Row],[D/venc]]="-","Enviado",IF(Tabela2[[#This Row],[Dt Venc:]]=TODAY(),"Vence Hoje","Vencida")))</f>
        <v>Em Aberto</v>
      </c>
      <c r="F9203" s="3">
        <f ca="1">IF(G9203=1,"-",Tabela2[[#This Row],[Dt Venc:]]-TODAY())</f>
        <v>890</v>
      </c>
      <c r="G9203" s="3"/>
      <c r="H9203" s="3"/>
    </row>
    <row r="9204" spans="1:8">
      <c r="A9204" s="3">
        <v>106043</v>
      </c>
      <c r="B9204" s="7" t="s">
        <v>252</v>
      </c>
      <c r="C9204" s="100" t="s">
        <v>32</v>
      </c>
      <c r="D9204" s="6">
        <v>46583</v>
      </c>
      <c r="E9204" s="3" t="str">
        <f ca="1">IF(Tabela2[[#This Row],[Dt Venc:]]&gt;TODAY(),"Em Aberto",IF(Tabela2[[#This Row],[D/venc]]="-","Enviado",IF(Tabela2[[#This Row],[Dt Venc:]]=TODAY(),"Vence Hoje","Vencida")))</f>
        <v>Em Aberto</v>
      </c>
      <c r="F9204" s="3">
        <f ca="1">IF(G9204=1,"-",Tabela2[[#This Row],[Dt Venc:]]-TODAY())</f>
        <v>890</v>
      </c>
      <c r="G9204" s="3"/>
      <c r="H9204" s="3"/>
    </row>
    <row r="9205" spans="1:8">
      <c r="A9205" s="3">
        <v>107829</v>
      </c>
      <c r="B9205" s="7" t="s">
        <v>252</v>
      </c>
      <c r="C9205" s="100" t="s">
        <v>32</v>
      </c>
      <c r="D9205" s="6">
        <v>46583</v>
      </c>
      <c r="E9205" s="3" t="str">
        <f ca="1">IF(Tabela2[[#This Row],[Dt Venc:]]&gt;TODAY(),"Em Aberto",IF(Tabela2[[#This Row],[D/venc]]="-","Enviado",IF(Tabela2[[#This Row],[Dt Venc:]]=TODAY(),"Vence Hoje","Vencida")))</f>
        <v>Em Aberto</v>
      </c>
      <c r="F9205" s="3">
        <f ca="1">IF(G9205=1,"-",Tabela2[[#This Row],[Dt Venc:]]-TODAY())</f>
        <v>890</v>
      </c>
      <c r="G9205" s="3"/>
      <c r="H9205" s="3"/>
    </row>
    <row r="9206" spans="1:8">
      <c r="A9206" s="3">
        <v>107830</v>
      </c>
      <c r="B9206" s="7" t="s">
        <v>252</v>
      </c>
      <c r="C9206" s="87" t="s">
        <v>32</v>
      </c>
      <c r="D9206" s="6">
        <v>46583</v>
      </c>
      <c r="E9206" s="3" t="str">
        <f ca="1">IF(Tabela2[[#This Row],[Dt Venc:]]&gt;TODAY(),"Em Aberto",IF(Tabela2[[#This Row],[D/venc]]="-","Enviado",IF(Tabela2[[#This Row],[Dt Venc:]]=TODAY(),"Vence Hoje","Vencida")))</f>
        <v>Em Aberto</v>
      </c>
      <c r="F9206" s="3">
        <f ca="1">IF(G9206=1,"-",Tabela2[[#This Row],[Dt Venc:]]-TODAY())</f>
        <v>890</v>
      </c>
      <c r="G9206" s="3"/>
      <c r="H9206" s="3"/>
    </row>
    <row r="9207" spans="1:8">
      <c r="A9207" s="3">
        <v>107831</v>
      </c>
      <c r="B9207" s="7" t="s">
        <v>252</v>
      </c>
      <c r="C9207" s="100" t="s">
        <v>32</v>
      </c>
      <c r="D9207" s="6">
        <v>46583</v>
      </c>
      <c r="E9207" s="3" t="str">
        <f ca="1">IF(Tabela2[[#This Row],[Dt Venc:]]&gt;TODAY(),"Em Aberto",IF(Tabela2[[#This Row],[D/venc]]="-","Enviado",IF(Tabela2[[#This Row],[Dt Venc:]]=TODAY(),"Vence Hoje","Vencida")))</f>
        <v>Em Aberto</v>
      </c>
      <c r="F9207" s="3">
        <f ca="1">IF(G9207=1,"-",Tabela2[[#This Row],[Dt Venc:]]-TODAY())</f>
        <v>890</v>
      </c>
      <c r="G9207" s="3"/>
      <c r="H9207" s="3"/>
    </row>
    <row r="9208" spans="1:8">
      <c r="A9208" s="3">
        <v>107832</v>
      </c>
      <c r="B9208" s="7" t="s">
        <v>252</v>
      </c>
      <c r="C9208" s="100" t="s">
        <v>32</v>
      </c>
      <c r="D9208" s="6">
        <v>46583</v>
      </c>
      <c r="E9208" s="3" t="str">
        <f ca="1">IF(Tabela2[[#This Row],[Dt Venc:]]&gt;TODAY(),"Em Aberto",IF(Tabela2[[#This Row],[D/venc]]="-","Enviado",IF(Tabela2[[#This Row],[Dt Venc:]]=TODAY(),"Vence Hoje","Vencida")))</f>
        <v>Em Aberto</v>
      </c>
      <c r="F9208" s="3">
        <f ca="1">IF(G9208=1,"-",Tabela2[[#This Row],[Dt Venc:]]-TODAY())</f>
        <v>890</v>
      </c>
      <c r="G9208" s="3"/>
      <c r="H9208" s="3"/>
    </row>
    <row r="9209" spans="1:8">
      <c r="A9209" s="3">
        <v>361229</v>
      </c>
      <c r="B9209" s="7" t="s">
        <v>250</v>
      </c>
      <c r="C9209" s="100" t="s">
        <v>32</v>
      </c>
      <c r="D9209" s="6">
        <v>46583</v>
      </c>
      <c r="E9209" s="3" t="str">
        <f ca="1">IF(Tabela2[[#This Row],[Dt Venc:]]&gt;TODAY(),"Em Aberto",IF(Tabela2[[#This Row],[D/venc]]="-","Enviado",IF(Tabela2[[#This Row],[Dt Venc:]]=TODAY(),"Vence Hoje","Vencida")))</f>
        <v>Em Aberto</v>
      </c>
      <c r="F9209" s="3">
        <f ca="1">IF(G9209=1,"-",Tabela2[[#This Row],[Dt Venc:]]-TODAY())</f>
        <v>890</v>
      </c>
      <c r="G9209" s="3"/>
      <c r="H9209" s="3"/>
    </row>
    <row r="9210" spans="1:8">
      <c r="A9210" s="3">
        <v>361237</v>
      </c>
      <c r="B9210" s="7" t="s">
        <v>250</v>
      </c>
      <c r="C9210" s="100" t="s">
        <v>32</v>
      </c>
      <c r="D9210" s="6">
        <v>46583</v>
      </c>
      <c r="E9210" s="3" t="str">
        <f ca="1">IF(Tabela2[[#This Row],[Dt Venc:]]&gt;TODAY(),"Em Aberto",IF(Tabela2[[#This Row],[D/venc]]="-","Enviado",IF(Tabela2[[#This Row],[Dt Venc:]]=TODAY(),"Vence Hoje","Vencida")))</f>
        <v>Em Aberto</v>
      </c>
      <c r="F9210" s="3">
        <f ca="1">IF(G9210=1,"-",Tabela2[[#This Row],[Dt Venc:]]-TODAY())</f>
        <v>890</v>
      </c>
      <c r="G9210" s="3"/>
      <c r="H9210" s="3"/>
    </row>
    <row r="9211" spans="1:8">
      <c r="A9211" s="3">
        <v>365658</v>
      </c>
      <c r="B9211" s="7" t="s">
        <v>250</v>
      </c>
      <c r="C9211" s="100" t="s">
        <v>32</v>
      </c>
      <c r="D9211" s="6">
        <v>46583</v>
      </c>
      <c r="E9211" s="3" t="str">
        <f ca="1">IF(Tabela2[[#This Row],[Dt Venc:]]&gt;TODAY(),"Em Aberto",IF(Tabela2[[#This Row],[D/venc]]="-","Enviado",IF(Tabela2[[#This Row],[Dt Venc:]]=TODAY(),"Vence Hoje","Vencida")))</f>
        <v>Em Aberto</v>
      </c>
      <c r="F9211" s="3">
        <f ca="1">IF(G9211=1,"-",Tabela2[[#This Row],[Dt Venc:]]-TODAY())</f>
        <v>890</v>
      </c>
      <c r="G9211" s="3"/>
      <c r="H9211" s="3"/>
    </row>
    <row r="9212" spans="1:8">
      <c r="A9212" s="3">
        <v>365666</v>
      </c>
      <c r="B9212" s="7" t="s">
        <v>250</v>
      </c>
      <c r="C9212" s="100" t="s">
        <v>32</v>
      </c>
      <c r="D9212" s="6">
        <v>46583</v>
      </c>
      <c r="E9212" s="3" t="str">
        <f ca="1">IF(Tabela2[[#This Row],[Dt Venc:]]&gt;TODAY(),"Em Aberto",IF(Tabela2[[#This Row],[D/venc]]="-","Enviado",IF(Tabela2[[#This Row],[Dt Venc:]]=TODAY(),"Vence Hoje","Vencida")))</f>
        <v>Em Aberto</v>
      </c>
      <c r="F9212" s="3">
        <f ca="1">IF(G9212=1,"-",Tabela2[[#This Row],[Dt Venc:]]-TODAY())</f>
        <v>890</v>
      </c>
      <c r="G9212" s="3"/>
      <c r="H9212" s="3"/>
    </row>
    <row r="9213" spans="1:8">
      <c r="A9213" s="3">
        <v>365674</v>
      </c>
      <c r="B9213" s="7" t="s">
        <v>250</v>
      </c>
      <c r="C9213" s="100" t="s">
        <v>32</v>
      </c>
      <c r="D9213" s="6">
        <v>46583</v>
      </c>
      <c r="E9213" s="3" t="str">
        <f ca="1">IF(Tabela2[[#This Row],[Dt Venc:]]&gt;TODAY(),"Em Aberto",IF(Tabela2[[#This Row],[D/venc]]="-","Enviado",IF(Tabela2[[#This Row],[Dt Venc:]]=TODAY(),"Vence Hoje","Vencida")))</f>
        <v>Em Aberto</v>
      </c>
      <c r="F9213" s="3">
        <f ca="1">IF(G9213=1,"-",Tabela2[[#This Row],[Dt Venc:]]-TODAY())</f>
        <v>890</v>
      </c>
      <c r="G9213" s="3"/>
      <c r="H9213" s="3"/>
    </row>
    <row r="9214" spans="1:8">
      <c r="A9214" s="3">
        <v>365682</v>
      </c>
      <c r="B9214" s="7" t="s">
        <v>250</v>
      </c>
      <c r="C9214" s="100" t="s">
        <v>32</v>
      </c>
      <c r="D9214" s="6">
        <v>46583</v>
      </c>
      <c r="E9214" s="3" t="str">
        <f ca="1">IF(Tabela2[[#This Row],[Dt Venc:]]&gt;TODAY(),"Em Aberto",IF(Tabela2[[#This Row],[D/venc]]="-","Enviado",IF(Tabela2[[#This Row],[Dt Venc:]]=TODAY(),"Vence Hoje","Vencida")))</f>
        <v>Em Aberto</v>
      </c>
      <c r="F9214" s="3">
        <f ca="1">IF(G9214=1,"-",Tabela2[[#This Row],[Dt Venc:]]-TODAY())</f>
        <v>890</v>
      </c>
      <c r="G9214" s="3"/>
      <c r="H9214" s="3"/>
    </row>
    <row r="9215" spans="1:8">
      <c r="A9215" s="3">
        <v>369335</v>
      </c>
      <c r="B9215" s="7" t="s">
        <v>543</v>
      </c>
      <c r="C9215" s="87" t="s">
        <v>32</v>
      </c>
      <c r="D9215" s="6">
        <v>46583</v>
      </c>
      <c r="E9215" s="3" t="str">
        <f ca="1">IF(Tabela2[[#This Row],[Dt Venc:]]&gt;TODAY(),"Em Aberto",IF(Tabela2[[#This Row],[D/venc]]="-","Enviado",IF(Tabela2[[#This Row],[Dt Venc:]]=TODAY(),"Vence Hoje","Vencida")))</f>
        <v>Em Aberto</v>
      </c>
      <c r="F9215" s="3">
        <f ca="1">IF(G9215=1,"-",Tabela2[[#This Row],[Dt Venc:]]-TODAY())</f>
        <v>890</v>
      </c>
      <c r="G9215" s="3"/>
      <c r="H9215" s="3"/>
    </row>
    <row r="9216" spans="1:8">
      <c r="A9216" s="3">
        <v>369696</v>
      </c>
      <c r="B9216" s="7" t="s">
        <v>543</v>
      </c>
      <c r="C9216" s="87" t="s">
        <v>32</v>
      </c>
      <c r="D9216" s="6">
        <v>46583</v>
      </c>
      <c r="E9216" s="3" t="str">
        <f ca="1">IF(Tabela2[[#This Row],[Dt Venc:]]&gt;TODAY(),"Em Aberto",IF(Tabela2[[#This Row],[D/venc]]="-","Enviado",IF(Tabela2[[#This Row],[Dt Venc:]]=TODAY(),"Vence Hoje","Vencida")))</f>
        <v>Em Aberto</v>
      </c>
      <c r="F9216" s="3">
        <f ca="1">IF(G9216=1,"-",Tabela2[[#This Row],[Dt Venc:]]-TODAY())</f>
        <v>890</v>
      </c>
      <c r="G9216" s="3"/>
      <c r="H9216" s="3"/>
    </row>
    <row r="9217" spans="1:8">
      <c r="A9217" s="3">
        <v>369726</v>
      </c>
      <c r="B9217" s="7" t="s">
        <v>543</v>
      </c>
      <c r="C9217" s="87" t="s">
        <v>32</v>
      </c>
      <c r="D9217" s="6">
        <v>46583</v>
      </c>
      <c r="E9217" s="3" t="str">
        <f ca="1">IF(Tabela2[[#This Row],[Dt Venc:]]&gt;TODAY(),"Em Aberto",IF(Tabela2[[#This Row],[D/venc]]="-","Enviado",IF(Tabela2[[#This Row],[Dt Venc:]]=TODAY(),"Vence Hoje","Vencida")))</f>
        <v>Em Aberto</v>
      </c>
      <c r="F9217" s="3">
        <f ca="1">IF(G9217=1,"-",Tabela2[[#This Row],[Dt Venc:]]-TODAY())</f>
        <v>890</v>
      </c>
      <c r="G9217" s="3"/>
      <c r="H9217" s="3"/>
    </row>
    <row r="9218" spans="1:8">
      <c r="A9218" s="3">
        <v>369751</v>
      </c>
      <c r="B9218" s="7" t="s">
        <v>543</v>
      </c>
      <c r="C9218" s="87" t="s">
        <v>32</v>
      </c>
      <c r="D9218" s="6">
        <v>46583</v>
      </c>
      <c r="E9218" s="3" t="str">
        <f ca="1">IF(Tabela2[[#This Row],[Dt Venc:]]&gt;TODAY(),"Em Aberto",IF(Tabela2[[#This Row],[D/venc]]="-","Enviado",IF(Tabela2[[#This Row],[Dt Venc:]]=TODAY(),"Vence Hoje","Vencida")))</f>
        <v>Em Aberto</v>
      </c>
      <c r="F9218" s="3">
        <f ca="1">IF(G9218=1,"-",Tabela2[[#This Row],[Dt Venc:]]-TODAY())</f>
        <v>890</v>
      </c>
      <c r="G9218" s="3"/>
      <c r="H9218" s="3"/>
    </row>
    <row r="9219" spans="1:8">
      <c r="A9219" s="3">
        <v>370201</v>
      </c>
      <c r="B9219" s="7" t="s">
        <v>543</v>
      </c>
      <c r="C9219" s="87" t="s">
        <v>32</v>
      </c>
      <c r="D9219" s="6">
        <v>46583</v>
      </c>
      <c r="E9219" s="3" t="str">
        <f ca="1">IF(Tabela2[[#This Row],[Dt Venc:]]&gt;TODAY(),"Em Aberto",IF(Tabela2[[#This Row],[D/venc]]="-","Enviado",IF(Tabela2[[#This Row],[Dt Venc:]]=TODAY(),"Vence Hoje","Vencida")))</f>
        <v>Em Aberto</v>
      </c>
      <c r="F9219" s="3">
        <f ca="1">IF(G9219=1,"-",Tabela2[[#This Row],[Dt Venc:]]-TODAY())</f>
        <v>890</v>
      </c>
      <c r="G9219" s="3"/>
      <c r="H9219" s="3"/>
    </row>
    <row r="9220" spans="1:8">
      <c r="A9220" s="3">
        <v>370864</v>
      </c>
      <c r="B9220" s="7" t="s">
        <v>543</v>
      </c>
      <c r="C9220" s="87" t="s">
        <v>32</v>
      </c>
      <c r="D9220" s="6">
        <v>46583</v>
      </c>
      <c r="E9220" s="3" t="str">
        <f ca="1">IF(Tabela2[[#This Row],[Dt Venc:]]&gt;TODAY(),"Em Aberto",IF(Tabela2[[#This Row],[D/venc]]="-","Enviado",IF(Tabela2[[#This Row],[Dt Venc:]]=TODAY(),"Vence Hoje","Vencida")))</f>
        <v>Em Aberto</v>
      </c>
      <c r="F9220" s="3">
        <f ca="1">IF(G9220=1,"-",Tabela2[[#This Row],[Dt Venc:]]-TODAY())</f>
        <v>890</v>
      </c>
      <c r="G9220" s="3"/>
      <c r="H9220" s="3"/>
    </row>
    <row r="9221" spans="1:8">
      <c r="A9221" s="3">
        <v>371011</v>
      </c>
      <c r="B9221" s="7" t="s">
        <v>633</v>
      </c>
      <c r="C9221" s="87" t="s">
        <v>32</v>
      </c>
      <c r="D9221" s="6">
        <v>46583</v>
      </c>
      <c r="E9221" s="3" t="str">
        <f ca="1">IF(Tabela2[[#This Row],[Dt Venc:]]&gt;TODAY(),"Em Aberto",IF(Tabela2[[#This Row],[D/venc]]="-","Enviado",IF(Tabela2[[#This Row],[Dt Venc:]]=TODAY(),"Vence Hoje","Vencida")))</f>
        <v>Em Aberto</v>
      </c>
      <c r="F9221" s="3">
        <f ca="1">IF(G9221=1,"-",Tabela2[[#This Row],[Dt Venc:]]-TODAY())</f>
        <v>890</v>
      </c>
      <c r="G9221" s="3"/>
      <c r="H9221" s="3"/>
    </row>
    <row r="9222" spans="1:8">
      <c r="A9222" s="3">
        <v>371160</v>
      </c>
      <c r="B9222" s="7" t="s">
        <v>633</v>
      </c>
      <c r="C9222" s="87" t="s">
        <v>32</v>
      </c>
      <c r="D9222" s="6">
        <v>46583</v>
      </c>
      <c r="E9222" s="3" t="str">
        <f ca="1">IF(Tabela2[[#This Row],[Dt Venc:]]&gt;TODAY(),"Em Aberto",IF(Tabela2[[#This Row],[D/venc]]="-","Enviado",IF(Tabela2[[#This Row],[Dt Venc:]]=TODAY(),"Vence Hoje","Vencida")))</f>
        <v>Em Aberto</v>
      </c>
      <c r="F9222" s="3">
        <f ca="1">IF(G9222=1,"-",Tabela2[[#This Row],[Dt Venc:]]-TODAY())</f>
        <v>890</v>
      </c>
      <c r="G9222" s="3"/>
      <c r="H9222" s="3"/>
    </row>
    <row r="9223" spans="1:8">
      <c r="A9223" s="3">
        <v>892178</v>
      </c>
      <c r="B9223" s="7" t="s">
        <v>253</v>
      </c>
      <c r="C9223" s="100" t="s">
        <v>32</v>
      </c>
      <c r="D9223" s="6">
        <v>46583</v>
      </c>
      <c r="E9223" s="3" t="str">
        <f ca="1">IF(Tabela2[[#This Row],[Dt Venc:]]&gt;TODAY(),"Em Aberto",IF(Tabela2[[#This Row],[D/venc]]="-","Enviado",IF(Tabela2[[#This Row],[Dt Venc:]]=TODAY(),"Vence Hoje","Vencida")))</f>
        <v>Em Aberto</v>
      </c>
      <c r="F9223" s="3">
        <f ca="1">IF(G9223=1,"-",Tabela2[[#This Row],[Dt Venc:]]-TODAY())</f>
        <v>890</v>
      </c>
      <c r="G9223" s="3"/>
      <c r="H9223" s="3"/>
    </row>
    <row r="9224" spans="1:8">
      <c r="A9224" s="3">
        <v>894135</v>
      </c>
      <c r="B9224" s="7" t="s">
        <v>253</v>
      </c>
      <c r="C9224" s="100" t="s">
        <v>32</v>
      </c>
      <c r="D9224" s="6">
        <v>46583</v>
      </c>
      <c r="E9224" s="3" t="str">
        <f ca="1">IF(Tabela2[[#This Row],[Dt Venc:]]&gt;TODAY(),"Em Aberto",IF(Tabela2[[#This Row],[D/venc]]="-","Enviado",IF(Tabela2[[#This Row],[Dt Venc:]]=TODAY(),"Vence Hoje","Vencida")))</f>
        <v>Em Aberto</v>
      </c>
      <c r="F9224" s="3">
        <f ca="1">IF(G9224=1,"-",Tabela2[[#This Row],[Dt Venc:]]-TODAY())</f>
        <v>890</v>
      </c>
      <c r="G9224" s="3"/>
      <c r="H9224" s="3"/>
    </row>
    <row r="9225" spans="1:8">
      <c r="A9225" s="3">
        <v>896565</v>
      </c>
      <c r="B9225" s="7" t="s">
        <v>253</v>
      </c>
      <c r="C9225" s="100" t="s">
        <v>32</v>
      </c>
      <c r="D9225" s="6">
        <v>46583</v>
      </c>
      <c r="E9225" s="3" t="str">
        <f ca="1">IF(Tabela2[[#This Row],[Dt Venc:]]&gt;TODAY(),"Em Aberto",IF(Tabela2[[#This Row],[D/venc]]="-","Enviado",IF(Tabela2[[#This Row],[Dt Venc:]]=TODAY(),"Vence Hoje","Vencida")))</f>
        <v>Em Aberto</v>
      </c>
      <c r="F9225" s="3">
        <f ca="1">IF(G9225=1,"-",Tabela2[[#This Row],[Dt Venc:]]-TODAY())</f>
        <v>890</v>
      </c>
      <c r="G9225" s="3"/>
      <c r="H9225" s="3"/>
    </row>
    <row r="9226" spans="1:8">
      <c r="A9226" s="3">
        <v>900386</v>
      </c>
      <c r="B9226" s="7" t="s">
        <v>253</v>
      </c>
      <c r="C9226" s="100" t="s">
        <v>32</v>
      </c>
      <c r="D9226" s="6">
        <v>46583</v>
      </c>
      <c r="E9226" s="3" t="str">
        <f ca="1">IF(Tabela2[[#This Row],[Dt Venc:]]&gt;TODAY(),"Em Aberto",IF(Tabela2[[#This Row],[D/venc]]="-","Enviado",IF(Tabela2[[#This Row],[Dt Venc:]]=TODAY(),"Vence Hoje","Vencida")))</f>
        <v>Em Aberto</v>
      </c>
      <c r="F9226" s="3">
        <f ca="1">IF(G9226=1,"-",Tabela2[[#This Row],[Dt Venc:]]-TODAY())</f>
        <v>890</v>
      </c>
      <c r="G9226" s="3"/>
      <c r="H9226" s="3"/>
    </row>
    <row r="9227" spans="1:8">
      <c r="A9227" s="3">
        <v>901787</v>
      </c>
      <c r="B9227" s="7" t="s">
        <v>253</v>
      </c>
      <c r="C9227" s="99" t="s">
        <v>32</v>
      </c>
      <c r="D9227" s="6">
        <v>46583</v>
      </c>
      <c r="E9227" s="3" t="str">
        <f ca="1">IF(Tabela2[[#This Row],[Dt Venc:]]&gt;TODAY(),"Em Aberto",IF(Tabela2[[#This Row],[D/venc]]="-","Enviado",IF(Tabela2[[#This Row],[Dt Venc:]]=TODAY(),"Vence Hoje","Vencida")))</f>
        <v>Em Aberto</v>
      </c>
      <c r="F9227" s="3">
        <f ca="1">IF(G9227=1,"-",Tabela2[[#This Row],[Dt Venc:]]-TODAY())</f>
        <v>890</v>
      </c>
      <c r="G9227" s="3"/>
      <c r="H9227" s="3"/>
    </row>
    <row r="9228" spans="1:8">
      <c r="A9228" s="3">
        <v>901788</v>
      </c>
      <c r="B9228" s="7" t="s">
        <v>253</v>
      </c>
      <c r="C9228" s="100" t="s">
        <v>32</v>
      </c>
      <c r="D9228" s="6">
        <v>46583</v>
      </c>
      <c r="E9228" s="3" t="str">
        <f ca="1">IF(Tabela2[[#This Row],[Dt Venc:]]&gt;TODAY(),"Em Aberto",IF(Tabela2[[#This Row],[D/venc]]="-","Enviado",IF(Tabela2[[#This Row],[Dt Venc:]]=TODAY(),"Vence Hoje","Vencida")))</f>
        <v>Em Aberto</v>
      </c>
      <c r="F9228" s="3">
        <f ca="1">IF(G9228=1,"-",Tabela2[[#This Row],[Dt Venc:]]-TODAY())</f>
        <v>890</v>
      </c>
      <c r="G9228" s="3"/>
      <c r="H9228" s="3"/>
    </row>
    <row r="9229" spans="1:8">
      <c r="A9229" s="3">
        <v>901789</v>
      </c>
      <c r="B9229" s="7" t="s">
        <v>253</v>
      </c>
      <c r="C9229" s="99" t="s">
        <v>32</v>
      </c>
      <c r="D9229" s="6">
        <v>46583</v>
      </c>
      <c r="E9229" s="3" t="str">
        <f ca="1">IF(Tabela2[[#This Row],[Dt Venc:]]&gt;TODAY(),"Em Aberto",IF(Tabela2[[#This Row],[D/venc]]="-","Enviado",IF(Tabela2[[#This Row],[Dt Venc:]]=TODAY(),"Vence Hoje","Vencida")))</f>
        <v>Em Aberto</v>
      </c>
      <c r="F9229" s="3">
        <f ca="1">IF(G9229=1,"-",Tabela2[[#This Row],[Dt Venc:]]-TODAY())</f>
        <v>890</v>
      </c>
      <c r="G9229" s="3"/>
      <c r="H9229" s="3"/>
    </row>
    <row r="9230" spans="1:8">
      <c r="A9230" s="3">
        <v>912703</v>
      </c>
      <c r="B9230" s="7" t="s">
        <v>253</v>
      </c>
      <c r="C9230" s="99" t="s">
        <v>32</v>
      </c>
      <c r="D9230" s="6">
        <v>46583</v>
      </c>
      <c r="E9230" s="3" t="str">
        <f ca="1">IF(Tabela2[[#This Row],[Dt Venc:]]&gt;TODAY(),"Em Aberto",IF(Tabela2[[#This Row],[D/venc]]="-","Enviado",IF(Tabela2[[#This Row],[Dt Venc:]]=TODAY(),"Vence Hoje","Vencida")))</f>
        <v>Em Aberto</v>
      </c>
      <c r="F9230" s="3">
        <f ca="1">IF(G9230=1,"-",Tabela2[[#This Row],[Dt Venc:]]-TODAY())</f>
        <v>890</v>
      </c>
      <c r="G9230" s="3"/>
      <c r="H9230" s="3"/>
    </row>
    <row r="9231" spans="1:8">
      <c r="A9231" s="3">
        <v>912704</v>
      </c>
      <c r="B9231" s="7" t="s">
        <v>253</v>
      </c>
      <c r="C9231" s="100" t="s">
        <v>32</v>
      </c>
      <c r="D9231" s="6">
        <v>46583</v>
      </c>
      <c r="E9231" s="3" t="str">
        <f ca="1">IF(Tabela2[[#This Row],[Dt Venc:]]&gt;TODAY(),"Em Aberto",IF(Tabela2[[#This Row],[D/venc]]="-","Enviado",IF(Tabela2[[#This Row],[Dt Venc:]]=TODAY(),"Vence Hoje","Vencida")))</f>
        <v>Em Aberto</v>
      </c>
      <c r="F9231" s="3">
        <f ca="1">IF(G9231=1,"-",Tabela2[[#This Row],[Dt Venc:]]-TODAY())</f>
        <v>890</v>
      </c>
      <c r="G9231" s="3"/>
      <c r="H9231" s="3"/>
    </row>
    <row r="9232" spans="1:8">
      <c r="A9232" s="3">
        <v>919728</v>
      </c>
      <c r="B9232" s="7" t="s">
        <v>253</v>
      </c>
      <c r="C9232" s="87" t="s">
        <v>32</v>
      </c>
      <c r="D9232" s="6">
        <v>46583</v>
      </c>
      <c r="E9232" s="3" t="str">
        <f ca="1">IF(Tabela2[[#This Row],[Dt Venc:]]&gt;TODAY(),"Em Aberto",IF(Tabela2[[#This Row],[D/venc]]="-","Enviado",IF(Tabela2[[#This Row],[Dt Venc:]]=TODAY(),"Vence Hoje","Vencida")))</f>
        <v>Em Aberto</v>
      </c>
      <c r="F9232" s="3">
        <f ca="1">IF(G9232=1,"-",Tabela2[[#This Row],[Dt Venc:]]-TODAY())</f>
        <v>890</v>
      </c>
      <c r="G9232" s="3"/>
      <c r="H9232" s="3"/>
    </row>
    <row r="9233" spans="1:8">
      <c r="A9233" s="3">
        <v>919729</v>
      </c>
      <c r="B9233" s="7" t="s">
        <v>253</v>
      </c>
      <c r="C9233" s="87" t="s">
        <v>32</v>
      </c>
      <c r="D9233" s="6">
        <v>46583</v>
      </c>
      <c r="E9233" s="3" t="str">
        <f ca="1">IF(Tabela2[[#This Row],[Dt Venc:]]&gt;TODAY(),"Em Aberto",IF(Tabela2[[#This Row],[D/venc]]="-","Enviado",IF(Tabela2[[#This Row],[Dt Venc:]]=TODAY(),"Vence Hoje","Vencida")))</f>
        <v>Em Aberto</v>
      </c>
      <c r="F9233" s="3">
        <f ca="1">IF(G9233=1,"-",Tabela2[[#This Row],[Dt Venc:]]-TODAY())</f>
        <v>890</v>
      </c>
      <c r="G9233" s="3"/>
      <c r="H9233" s="3"/>
    </row>
    <row r="9234" spans="1:8">
      <c r="A9234" s="3">
        <v>495914</v>
      </c>
      <c r="B9234" s="7" t="s">
        <v>153</v>
      </c>
      <c r="C9234" s="100" t="s">
        <v>32</v>
      </c>
      <c r="D9234" s="6">
        <v>46593</v>
      </c>
      <c r="E9234" s="3" t="str">
        <f ca="1">IF(Tabela2[[#This Row],[Dt Venc:]]&gt;TODAY(),"Em Aberto",IF(Tabela2[[#This Row],[D/venc]]="-","Enviado",IF(Tabela2[[#This Row],[Dt Venc:]]=TODAY(),"Vence Hoje","Vencida")))</f>
        <v>Em Aberto</v>
      </c>
      <c r="F9234" s="3">
        <f ca="1">IF(G9234=1,"-",Tabela2[[#This Row],[Dt Venc:]]-TODAY())</f>
        <v>900</v>
      </c>
      <c r="G9234" s="3"/>
      <c r="H9234" s="3"/>
    </row>
    <row r="9235" spans="1:8">
      <c r="A9235" s="3">
        <v>5690</v>
      </c>
      <c r="B9235" s="7" t="s">
        <v>122</v>
      </c>
      <c r="C9235" s="100" t="s">
        <v>32</v>
      </c>
      <c r="D9235" s="6">
        <v>46595</v>
      </c>
      <c r="E9235" s="3" t="str">
        <f ca="1">IF(Tabela2[[#This Row],[Dt Venc:]]&gt;TODAY(),"Em Aberto",IF(Tabela2[[#This Row],[D/venc]]="-","Enviado",IF(Tabela2[[#This Row],[Dt Venc:]]=TODAY(),"Vence Hoje","Vencida")))</f>
        <v>Em Aberto</v>
      </c>
      <c r="F9235" s="3">
        <f ca="1">IF(G9235=1,"-",Tabela2[[#This Row],[Dt Venc:]]-TODAY())</f>
        <v>902</v>
      </c>
      <c r="G9235" s="3"/>
      <c r="H9235" s="3"/>
    </row>
    <row r="9236" spans="1:8">
      <c r="A9236" s="3">
        <v>11681</v>
      </c>
      <c r="B9236" s="7" t="s">
        <v>82</v>
      </c>
      <c r="C9236" s="87" t="s">
        <v>30</v>
      </c>
      <c r="D9236" s="6">
        <v>46599</v>
      </c>
      <c r="E9236" s="3" t="str">
        <f ca="1">IF(Tabela2[[#This Row],[Dt Venc:]]&gt;TODAY(),"Em Aberto",IF(Tabela2[[#This Row],[D/venc]]="-","Enviado",IF(Tabela2[[#This Row],[Dt Venc:]]=TODAY(),"Vence Hoje","Vencida")))</f>
        <v>Em Aberto</v>
      </c>
      <c r="F9236" s="3">
        <f ca="1">IF(G9236=1,"-",Tabela2[[#This Row],[Dt Venc:]]-TODAY())</f>
        <v>906</v>
      </c>
      <c r="G9236" s="3"/>
      <c r="H9236" s="3"/>
    </row>
    <row r="9237" spans="1:8">
      <c r="A9237" s="3" t="s">
        <v>28</v>
      </c>
      <c r="B9237" s="7" t="s">
        <v>391</v>
      </c>
      <c r="C9237" s="85" t="s">
        <v>30</v>
      </c>
      <c r="D9237" s="6">
        <v>46599</v>
      </c>
      <c r="E9237" s="3" t="str">
        <f ca="1">IF(Tabela2[[#This Row],[Dt Venc:]]&gt;TODAY(),"Em Aberto",IF(Tabela2[[#This Row],[D/venc]]="-","Enviado",IF(Tabela2[[#This Row],[Dt Venc:]]=TODAY(),"Vence Hoje","Vencida")))</f>
        <v>Em Aberto</v>
      </c>
      <c r="F9237" s="3">
        <f ca="1">IF(G9237=1,"-",Tabela2[[#This Row],[Dt Venc:]]-TODAY())</f>
        <v>906</v>
      </c>
      <c r="G9237" s="3"/>
      <c r="H9237" s="3"/>
    </row>
    <row r="9238" spans="1:8">
      <c r="A9238" s="3">
        <v>10494</v>
      </c>
      <c r="B9238" s="7" t="s">
        <v>82</v>
      </c>
      <c r="C9238" s="88" t="s">
        <v>30</v>
      </c>
      <c r="D9238" s="6">
        <v>46602</v>
      </c>
      <c r="E9238" s="3" t="str">
        <f ca="1">IF(Tabela2[[#This Row],[Dt Venc:]]&gt;TODAY(),"Em Aberto",IF(Tabela2[[#This Row],[D/venc]]="-","Enviado",IF(Tabela2[[#This Row],[Dt Venc:]]=TODAY(),"Vence Hoje","Vencida")))</f>
        <v>Em Aberto</v>
      </c>
      <c r="F9238" s="3">
        <f ca="1">IF(G9238=1,"-",Tabela2[[#This Row],[Dt Venc:]]-TODAY())</f>
        <v>909</v>
      </c>
      <c r="G9238" s="3"/>
      <c r="H9238" s="3"/>
    </row>
    <row r="9239" spans="1:8">
      <c r="A9239" s="3">
        <v>5680</v>
      </c>
      <c r="B9239" s="7" t="s">
        <v>122</v>
      </c>
      <c r="C9239" s="100" t="s">
        <v>32</v>
      </c>
      <c r="D9239" s="6">
        <v>46604</v>
      </c>
      <c r="E9239" s="3" t="str">
        <f ca="1">IF(Tabela2[[#This Row],[Dt Venc:]]&gt;TODAY(),"Em Aberto",IF(Tabela2[[#This Row],[D/venc]]="-","Enviado",IF(Tabela2[[#This Row],[Dt Venc:]]=TODAY(),"Vence Hoje","Vencida")))</f>
        <v>Em Aberto</v>
      </c>
      <c r="F9239" s="3">
        <f ca="1">IF(G9239=1,"-",Tabela2[[#This Row],[Dt Venc:]]-TODAY())</f>
        <v>911</v>
      </c>
      <c r="G9239" s="3"/>
      <c r="H9239" s="3"/>
    </row>
    <row r="9240" spans="1:8">
      <c r="A9240" s="3">
        <v>10353</v>
      </c>
      <c r="B9240" s="7" t="s">
        <v>82</v>
      </c>
      <c r="C9240" s="100" t="s">
        <v>32</v>
      </c>
      <c r="D9240" s="6">
        <v>46604</v>
      </c>
      <c r="E9240" s="3" t="str">
        <f ca="1">IF(Tabela2[[#This Row],[Dt Venc:]]&gt;TODAY(),"Em Aberto",IF(Tabela2[[#This Row],[D/venc]]="-","Enviado",IF(Tabela2[[#This Row],[Dt Venc:]]=TODAY(),"Vence Hoje","Vencida")))</f>
        <v>Em Aberto</v>
      </c>
      <c r="F9240" s="3">
        <f ca="1">IF(G9240=1,"-",Tabela2[[#This Row],[Dt Venc:]]-TODAY())</f>
        <v>911</v>
      </c>
      <c r="G9240" s="3"/>
      <c r="H9240" s="3"/>
    </row>
    <row r="9241" spans="1:8">
      <c r="A9241" s="3">
        <v>284620</v>
      </c>
      <c r="B9241" s="7" t="s">
        <v>153</v>
      </c>
      <c r="C9241" s="100" t="s">
        <v>32</v>
      </c>
      <c r="D9241" s="6">
        <v>46607</v>
      </c>
      <c r="E9241" s="3" t="str">
        <f ca="1">IF(Tabela2[[#This Row],[Dt Venc:]]&gt;TODAY(),"Em Aberto",IF(Tabela2[[#This Row],[D/venc]]="-","Enviado",IF(Tabela2[[#This Row],[Dt Venc:]]=TODAY(),"Vence Hoje","Vencida")))</f>
        <v>Em Aberto</v>
      </c>
      <c r="F9241" s="3">
        <f ca="1">IF(G9241=1,"-",Tabela2[[#This Row],[Dt Venc:]]-TODAY())</f>
        <v>914</v>
      </c>
      <c r="G9241" s="3"/>
      <c r="H9241" s="3"/>
    </row>
    <row r="9242" spans="1:8">
      <c r="A9242" s="3">
        <v>756561</v>
      </c>
      <c r="B9242" s="7" t="s">
        <v>166</v>
      </c>
      <c r="C9242" s="100" t="s">
        <v>32</v>
      </c>
      <c r="D9242" s="6">
        <v>46608</v>
      </c>
      <c r="E9242" s="3" t="str">
        <f ca="1">IF(Tabela2[[#This Row],[Dt Venc:]]&gt;TODAY(),"Em Aberto",IF(Tabela2[[#This Row],[D/venc]]="-","Enviado",IF(Tabela2[[#This Row],[Dt Venc:]]=TODAY(),"Vence Hoje","Vencida")))</f>
        <v>Em Aberto</v>
      </c>
      <c r="F9242" s="3">
        <f ca="1">IF(G9242=1,"-",Tabela2[[#This Row],[Dt Venc:]]-TODAY())</f>
        <v>915</v>
      </c>
      <c r="G9242" s="3"/>
      <c r="H9242" s="3"/>
    </row>
    <row r="9243" spans="1:8">
      <c r="A9243" s="3">
        <v>562</v>
      </c>
      <c r="B9243" s="7" t="s">
        <v>251</v>
      </c>
      <c r="C9243" s="100" t="s">
        <v>32</v>
      </c>
      <c r="D9243" s="6">
        <v>46614</v>
      </c>
      <c r="E9243" s="3" t="str">
        <f ca="1">IF(Tabela2[[#This Row],[Dt Venc:]]&gt;TODAY(),"Em Aberto",IF(Tabela2[[#This Row],[D/venc]]="-","Enviado",IF(Tabela2[[#This Row],[Dt Venc:]]=TODAY(),"Vence Hoje","Vencida")))</f>
        <v>Em Aberto</v>
      </c>
      <c r="F9243" s="3">
        <f ca="1">IF(G9243=1,"-",Tabela2[[#This Row],[Dt Venc:]]-TODAY())</f>
        <v>921</v>
      </c>
      <c r="G9243" s="3"/>
      <c r="H9243" s="3"/>
    </row>
    <row r="9244" spans="1:8">
      <c r="A9244" s="3">
        <v>103015</v>
      </c>
      <c r="B9244" s="7" t="s">
        <v>252</v>
      </c>
      <c r="C9244" s="100" t="s">
        <v>32</v>
      </c>
      <c r="D9244" s="6">
        <v>46614</v>
      </c>
      <c r="E9244" s="3" t="str">
        <f ca="1">IF(Tabela2[[#This Row],[Dt Venc:]]&gt;TODAY(),"Em Aberto",IF(Tabela2[[#This Row],[D/venc]]="-","Enviado",IF(Tabela2[[#This Row],[Dt Venc:]]=TODAY(),"Vence Hoje","Vencida")))</f>
        <v>Em Aberto</v>
      </c>
      <c r="F9244" s="3">
        <f ca="1">IF(G9244=1,"-",Tabela2[[#This Row],[Dt Venc:]]-TODAY())</f>
        <v>921</v>
      </c>
      <c r="G9244" s="3"/>
      <c r="H9244" s="3"/>
    </row>
    <row r="9245" spans="1:8">
      <c r="A9245" s="3">
        <v>103077</v>
      </c>
      <c r="B9245" s="7" t="s">
        <v>252</v>
      </c>
      <c r="C9245" s="100" t="s">
        <v>32</v>
      </c>
      <c r="D9245" s="6">
        <v>46614</v>
      </c>
      <c r="E9245" s="3" t="str">
        <f ca="1">IF(Tabela2[[#This Row],[Dt Venc:]]&gt;TODAY(),"Em Aberto",IF(Tabela2[[#This Row],[D/venc]]="-","Enviado",IF(Tabela2[[#This Row],[Dt Venc:]]=TODAY(),"Vence Hoje","Vencida")))</f>
        <v>Em Aberto</v>
      </c>
      <c r="F9245" s="3">
        <f ca="1">IF(G9245=1,"-",Tabela2[[#This Row],[Dt Venc:]]-TODAY())</f>
        <v>921</v>
      </c>
      <c r="G9245" s="3"/>
      <c r="H9245" s="3"/>
    </row>
    <row r="9246" spans="1:8">
      <c r="A9246" s="3">
        <v>103153</v>
      </c>
      <c r="B9246" s="7" t="s">
        <v>252</v>
      </c>
      <c r="C9246" s="87" t="s">
        <v>32</v>
      </c>
      <c r="D9246" s="6">
        <v>46614</v>
      </c>
      <c r="E9246" s="3" t="str">
        <f ca="1">IF(Tabela2[[#This Row],[Dt Venc:]]&gt;TODAY(),"Em Aberto",IF(Tabela2[[#This Row],[D/venc]]="-","Enviado",IF(Tabela2[[#This Row],[Dt Venc:]]=TODAY(),"Vence Hoje","Vencida")))</f>
        <v>Em Aberto</v>
      </c>
      <c r="F9246" s="3">
        <f ca="1">IF(G9246=1,"-",Tabela2[[#This Row],[Dt Venc:]]-TODAY())</f>
        <v>921</v>
      </c>
      <c r="G9246" s="3"/>
      <c r="H9246" s="3"/>
    </row>
    <row r="9247" spans="1:8">
      <c r="A9247" s="3">
        <v>103154</v>
      </c>
      <c r="B9247" s="7" t="s">
        <v>252</v>
      </c>
      <c r="C9247" s="100" t="s">
        <v>32</v>
      </c>
      <c r="D9247" s="6">
        <v>46614</v>
      </c>
      <c r="E9247" s="3" t="str">
        <f ca="1">IF(Tabela2[[#This Row],[Dt Venc:]]&gt;TODAY(),"Em Aberto",IF(Tabela2[[#This Row],[D/venc]]="-","Enviado",IF(Tabela2[[#This Row],[Dt Venc:]]=TODAY(),"Vence Hoje","Vencida")))</f>
        <v>Em Aberto</v>
      </c>
      <c r="F9247" s="3">
        <f ca="1">IF(G9247=1,"-",Tabela2[[#This Row],[Dt Venc:]]-TODAY())</f>
        <v>921</v>
      </c>
      <c r="G9247" s="3"/>
      <c r="H9247" s="3"/>
    </row>
    <row r="9248" spans="1:8">
      <c r="A9248" s="3">
        <v>106007</v>
      </c>
      <c r="B9248" s="7" t="s">
        <v>252</v>
      </c>
      <c r="C9248" s="100" t="s">
        <v>32</v>
      </c>
      <c r="D9248" s="6">
        <v>46614</v>
      </c>
      <c r="E9248" s="3" t="str">
        <f ca="1">IF(Tabela2[[#This Row],[Dt Venc:]]&gt;TODAY(),"Em Aberto",IF(Tabela2[[#This Row],[D/venc]]="-","Enviado",IF(Tabela2[[#This Row],[Dt Venc:]]=TODAY(),"Vence Hoje","Vencida")))</f>
        <v>Em Aberto</v>
      </c>
      <c r="F9248" s="3">
        <f ca="1">IF(G9248=1,"-",Tabela2[[#This Row],[Dt Venc:]]-TODAY())</f>
        <v>921</v>
      </c>
      <c r="G9248" s="3"/>
      <c r="H9248" s="3"/>
    </row>
    <row r="9249" spans="1:8">
      <c r="A9249" s="3">
        <v>106043</v>
      </c>
      <c r="B9249" s="7" t="s">
        <v>252</v>
      </c>
      <c r="C9249" s="100" t="s">
        <v>32</v>
      </c>
      <c r="D9249" s="6">
        <v>46614</v>
      </c>
      <c r="E9249" s="3" t="str">
        <f ca="1">IF(Tabela2[[#This Row],[Dt Venc:]]&gt;TODAY(),"Em Aberto",IF(Tabela2[[#This Row],[D/venc]]="-","Enviado",IF(Tabela2[[#This Row],[Dt Venc:]]=TODAY(),"Vence Hoje","Vencida")))</f>
        <v>Em Aberto</v>
      </c>
      <c r="F9249" s="3">
        <f ca="1">IF(G9249=1,"-",Tabela2[[#This Row],[Dt Venc:]]-TODAY())</f>
        <v>921</v>
      </c>
      <c r="G9249" s="3"/>
      <c r="H9249" s="3"/>
    </row>
    <row r="9250" spans="1:8">
      <c r="A9250" s="3">
        <v>107829</v>
      </c>
      <c r="B9250" s="7" t="s">
        <v>252</v>
      </c>
      <c r="C9250" s="100" t="s">
        <v>32</v>
      </c>
      <c r="D9250" s="6">
        <v>46614</v>
      </c>
      <c r="E9250" s="3" t="str">
        <f ca="1">IF(Tabela2[[#This Row],[Dt Venc:]]&gt;TODAY(),"Em Aberto",IF(Tabela2[[#This Row],[D/venc]]="-","Enviado",IF(Tabela2[[#This Row],[Dt Venc:]]=TODAY(),"Vence Hoje","Vencida")))</f>
        <v>Em Aberto</v>
      </c>
      <c r="F9250" s="3">
        <f ca="1">IF(G9250=1,"-",Tabela2[[#This Row],[Dt Venc:]]-TODAY())</f>
        <v>921</v>
      </c>
      <c r="G9250" s="3"/>
      <c r="H9250" s="3"/>
    </row>
    <row r="9251" spans="1:8">
      <c r="A9251" s="3">
        <v>107830</v>
      </c>
      <c r="B9251" s="7" t="s">
        <v>252</v>
      </c>
      <c r="C9251" s="87" t="s">
        <v>32</v>
      </c>
      <c r="D9251" s="6">
        <v>46614</v>
      </c>
      <c r="E9251" s="3" t="str">
        <f ca="1">IF(Tabela2[[#This Row],[Dt Venc:]]&gt;TODAY(),"Em Aberto",IF(Tabela2[[#This Row],[D/venc]]="-","Enviado",IF(Tabela2[[#This Row],[Dt Venc:]]=TODAY(),"Vence Hoje","Vencida")))</f>
        <v>Em Aberto</v>
      </c>
      <c r="F9251" s="3">
        <f ca="1">IF(G9251=1,"-",Tabela2[[#This Row],[Dt Venc:]]-TODAY())</f>
        <v>921</v>
      </c>
      <c r="G9251" s="3"/>
      <c r="H9251" s="3"/>
    </row>
    <row r="9252" spans="1:8">
      <c r="A9252" s="3">
        <v>107831</v>
      </c>
      <c r="B9252" s="7" t="s">
        <v>252</v>
      </c>
      <c r="C9252" s="100" t="s">
        <v>32</v>
      </c>
      <c r="D9252" s="6">
        <v>46614</v>
      </c>
      <c r="E9252" s="3" t="str">
        <f ca="1">IF(Tabela2[[#This Row],[Dt Venc:]]&gt;TODAY(),"Em Aberto",IF(Tabela2[[#This Row],[D/venc]]="-","Enviado",IF(Tabela2[[#This Row],[Dt Venc:]]=TODAY(),"Vence Hoje","Vencida")))</f>
        <v>Em Aberto</v>
      </c>
      <c r="F9252" s="3">
        <f ca="1">IF(G9252=1,"-",Tabela2[[#This Row],[Dt Venc:]]-TODAY())</f>
        <v>921</v>
      </c>
      <c r="G9252" s="3"/>
      <c r="H9252" s="3"/>
    </row>
    <row r="9253" spans="1:8">
      <c r="A9253" s="3">
        <v>107832</v>
      </c>
      <c r="B9253" s="7" t="s">
        <v>252</v>
      </c>
      <c r="C9253" s="100" t="s">
        <v>32</v>
      </c>
      <c r="D9253" s="6">
        <v>46614</v>
      </c>
      <c r="E9253" s="3" t="str">
        <f ca="1">IF(Tabela2[[#This Row],[Dt Venc:]]&gt;TODAY(),"Em Aberto",IF(Tabela2[[#This Row],[D/venc]]="-","Enviado",IF(Tabela2[[#This Row],[Dt Venc:]]=TODAY(),"Vence Hoje","Vencida")))</f>
        <v>Em Aberto</v>
      </c>
      <c r="F9253" s="3">
        <f ca="1">IF(G9253=1,"-",Tabela2[[#This Row],[Dt Venc:]]-TODAY())</f>
        <v>921</v>
      </c>
      <c r="G9253" s="3"/>
      <c r="H9253" s="3"/>
    </row>
    <row r="9254" spans="1:8">
      <c r="A9254" s="3">
        <v>361229</v>
      </c>
      <c r="B9254" s="7" t="s">
        <v>250</v>
      </c>
      <c r="C9254" s="100" t="s">
        <v>32</v>
      </c>
      <c r="D9254" s="6">
        <v>46614</v>
      </c>
      <c r="E9254" s="3" t="str">
        <f ca="1">IF(Tabela2[[#This Row],[Dt Venc:]]&gt;TODAY(),"Em Aberto",IF(Tabela2[[#This Row],[D/venc]]="-","Enviado",IF(Tabela2[[#This Row],[Dt Venc:]]=TODAY(),"Vence Hoje","Vencida")))</f>
        <v>Em Aberto</v>
      </c>
      <c r="F9254" s="3">
        <f ca="1">IF(G9254=1,"-",Tabela2[[#This Row],[Dt Venc:]]-TODAY())</f>
        <v>921</v>
      </c>
      <c r="G9254" s="3"/>
      <c r="H9254" s="3"/>
    </row>
    <row r="9255" spans="1:8">
      <c r="A9255" s="3">
        <v>361237</v>
      </c>
      <c r="B9255" s="7" t="s">
        <v>250</v>
      </c>
      <c r="C9255" s="100" t="s">
        <v>32</v>
      </c>
      <c r="D9255" s="6">
        <v>46614</v>
      </c>
      <c r="E9255" s="3" t="str">
        <f ca="1">IF(Tabela2[[#This Row],[Dt Venc:]]&gt;TODAY(),"Em Aberto",IF(Tabela2[[#This Row],[D/venc]]="-","Enviado",IF(Tabela2[[#This Row],[Dt Venc:]]=TODAY(),"Vence Hoje","Vencida")))</f>
        <v>Em Aberto</v>
      </c>
      <c r="F9255" s="3">
        <f ca="1">IF(G9255=1,"-",Tabela2[[#This Row],[Dt Venc:]]-TODAY())</f>
        <v>921</v>
      </c>
      <c r="G9255" s="3"/>
      <c r="H9255" s="3"/>
    </row>
    <row r="9256" spans="1:8">
      <c r="A9256" s="3">
        <v>365658</v>
      </c>
      <c r="B9256" s="7" t="s">
        <v>250</v>
      </c>
      <c r="C9256" s="100" t="s">
        <v>32</v>
      </c>
      <c r="D9256" s="6">
        <v>46614</v>
      </c>
      <c r="E9256" s="3" t="str">
        <f ca="1">IF(Tabela2[[#This Row],[Dt Venc:]]&gt;TODAY(),"Em Aberto",IF(Tabela2[[#This Row],[D/venc]]="-","Enviado",IF(Tabela2[[#This Row],[Dt Venc:]]=TODAY(),"Vence Hoje","Vencida")))</f>
        <v>Em Aberto</v>
      </c>
      <c r="F9256" s="3">
        <f ca="1">IF(G9256=1,"-",Tabela2[[#This Row],[Dt Venc:]]-TODAY())</f>
        <v>921</v>
      </c>
      <c r="G9256" s="3"/>
      <c r="H9256" s="3"/>
    </row>
    <row r="9257" spans="1:8">
      <c r="A9257" s="3">
        <v>365666</v>
      </c>
      <c r="B9257" s="7" t="s">
        <v>250</v>
      </c>
      <c r="C9257" s="100" t="s">
        <v>32</v>
      </c>
      <c r="D9257" s="6">
        <v>46614</v>
      </c>
      <c r="E9257" s="3" t="str">
        <f ca="1">IF(Tabela2[[#This Row],[Dt Venc:]]&gt;TODAY(),"Em Aberto",IF(Tabela2[[#This Row],[D/venc]]="-","Enviado",IF(Tabela2[[#This Row],[Dt Venc:]]=TODAY(),"Vence Hoje","Vencida")))</f>
        <v>Em Aberto</v>
      </c>
      <c r="F9257" s="3">
        <f ca="1">IF(G9257=1,"-",Tabela2[[#This Row],[Dt Venc:]]-TODAY())</f>
        <v>921</v>
      </c>
      <c r="G9257" s="3"/>
      <c r="H9257" s="3"/>
    </row>
    <row r="9258" spans="1:8">
      <c r="A9258" s="3">
        <v>365674</v>
      </c>
      <c r="B9258" s="7" t="s">
        <v>250</v>
      </c>
      <c r="C9258" s="100" t="s">
        <v>32</v>
      </c>
      <c r="D9258" s="6">
        <v>46614</v>
      </c>
      <c r="E9258" s="3" t="str">
        <f ca="1">IF(Tabela2[[#This Row],[Dt Venc:]]&gt;TODAY(),"Em Aberto",IF(Tabela2[[#This Row],[D/venc]]="-","Enviado",IF(Tabela2[[#This Row],[Dt Venc:]]=TODAY(),"Vence Hoje","Vencida")))</f>
        <v>Em Aberto</v>
      </c>
      <c r="F9258" s="3">
        <f ca="1">IF(G9258=1,"-",Tabela2[[#This Row],[Dt Venc:]]-TODAY())</f>
        <v>921</v>
      </c>
      <c r="G9258" s="3"/>
      <c r="H9258" s="3"/>
    </row>
    <row r="9259" spans="1:8">
      <c r="A9259" s="3">
        <v>365682</v>
      </c>
      <c r="B9259" s="7" t="s">
        <v>250</v>
      </c>
      <c r="C9259" s="100" t="s">
        <v>32</v>
      </c>
      <c r="D9259" s="6">
        <v>46614</v>
      </c>
      <c r="E9259" s="3" t="str">
        <f ca="1">IF(Tabela2[[#This Row],[Dt Venc:]]&gt;TODAY(),"Em Aberto",IF(Tabela2[[#This Row],[D/venc]]="-","Enviado",IF(Tabela2[[#This Row],[Dt Venc:]]=TODAY(),"Vence Hoje","Vencida")))</f>
        <v>Em Aberto</v>
      </c>
      <c r="F9259" s="3">
        <f ca="1">IF(G9259=1,"-",Tabela2[[#This Row],[Dt Venc:]]-TODAY())</f>
        <v>921</v>
      </c>
      <c r="G9259" s="3"/>
      <c r="H9259" s="3"/>
    </row>
    <row r="9260" spans="1:8">
      <c r="A9260" s="3">
        <v>369335</v>
      </c>
      <c r="B9260" s="7" t="s">
        <v>543</v>
      </c>
      <c r="C9260" s="87" t="s">
        <v>32</v>
      </c>
      <c r="D9260" s="6">
        <v>46614</v>
      </c>
      <c r="E9260" s="3" t="str">
        <f ca="1">IF(Tabela2[[#This Row],[Dt Venc:]]&gt;TODAY(),"Em Aberto",IF(Tabela2[[#This Row],[D/venc]]="-","Enviado",IF(Tabela2[[#This Row],[Dt Venc:]]=TODAY(),"Vence Hoje","Vencida")))</f>
        <v>Em Aberto</v>
      </c>
      <c r="F9260" s="3">
        <f ca="1">IF(G9260=1,"-",Tabela2[[#This Row],[Dt Venc:]]-TODAY())</f>
        <v>921</v>
      </c>
      <c r="G9260" s="3"/>
      <c r="H9260" s="3"/>
    </row>
    <row r="9261" spans="1:8">
      <c r="A9261" s="3">
        <v>369696</v>
      </c>
      <c r="B9261" s="7" t="s">
        <v>543</v>
      </c>
      <c r="C9261" s="87" t="s">
        <v>32</v>
      </c>
      <c r="D9261" s="6">
        <v>46614</v>
      </c>
      <c r="E9261" s="3" t="str">
        <f ca="1">IF(Tabela2[[#This Row],[Dt Venc:]]&gt;TODAY(),"Em Aberto",IF(Tabela2[[#This Row],[D/venc]]="-","Enviado",IF(Tabela2[[#This Row],[Dt Venc:]]=TODAY(),"Vence Hoje","Vencida")))</f>
        <v>Em Aberto</v>
      </c>
      <c r="F9261" s="3">
        <f ca="1">IF(G9261=1,"-",Tabela2[[#This Row],[Dt Venc:]]-TODAY())</f>
        <v>921</v>
      </c>
      <c r="G9261" s="3"/>
      <c r="H9261" s="3"/>
    </row>
    <row r="9262" spans="1:8">
      <c r="A9262" s="3">
        <v>369726</v>
      </c>
      <c r="B9262" s="7" t="s">
        <v>543</v>
      </c>
      <c r="C9262" s="87" t="s">
        <v>32</v>
      </c>
      <c r="D9262" s="6">
        <v>46614</v>
      </c>
      <c r="E9262" s="3" t="str">
        <f ca="1">IF(Tabela2[[#This Row],[Dt Venc:]]&gt;TODAY(),"Em Aberto",IF(Tabela2[[#This Row],[D/venc]]="-","Enviado",IF(Tabela2[[#This Row],[Dt Venc:]]=TODAY(),"Vence Hoje","Vencida")))</f>
        <v>Em Aberto</v>
      </c>
      <c r="F9262" s="3">
        <f ca="1">IF(G9262=1,"-",Tabela2[[#This Row],[Dt Venc:]]-TODAY())</f>
        <v>921</v>
      </c>
      <c r="G9262" s="3"/>
      <c r="H9262" s="3"/>
    </row>
    <row r="9263" spans="1:8">
      <c r="A9263" s="3">
        <v>369751</v>
      </c>
      <c r="B9263" s="7" t="s">
        <v>543</v>
      </c>
      <c r="C9263" s="87" t="s">
        <v>32</v>
      </c>
      <c r="D9263" s="6">
        <v>46614</v>
      </c>
      <c r="E9263" s="3" t="str">
        <f ca="1">IF(Tabela2[[#This Row],[Dt Venc:]]&gt;TODAY(),"Em Aberto",IF(Tabela2[[#This Row],[D/venc]]="-","Enviado",IF(Tabela2[[#This Row],[Dt Venc:]]=TODAY(),"Vence Hoje","Vencida")))</f>
        <v>Em Aberto</v>
      </c>
      <c r="F9263" s="3">
        <f ca="1">IF(G9263=1,"-",Tabela2[[#This Row],[Dt Venc:]]-TODAY())</f>
        <v>921</v>
      </c>
      <c r="G9263" s="3"/>
      <c r="H9263" s="3"/>
    </row>
    <row r="9264" spans="1:8">
      <c r="A9264" s="3">
        <v>370201</v>
      </c>
      <c r="B9264" s="7" t="s">
        <v>543</v>
      </c>
      <c r="C9264" s="87" t="s">
        <v>32</v>
      </c>
      <c r="D9264" s="6">
        <v>46614</v>
      </c>
      <c r="E9264" s="3" t="str">
        <f ca="1">IF(Tabela2[[#This Row],[Dt Venc:]]&gt;TODAY(),"Em Aberto",IF(Tabela2[[#This Row],[D/venc]]="-","Enviado",IF(Tabela2[[#This Row],[Dt Venc:]]=TODAY(),"Vence Hoje","Vencida")))</f>
        <v>Em Aberto</v>
      </c>
      <c r="F9264" s="3">
        <f ca="1">IF(G9264=1,"-",Tabela2[[#This Row],[Dt Venc:]]-TODAY())</f>
        <v>921</v>
      </c>
      <c r="G9264" s="3"/>
      <c r="H9264" s="3"/>
    </row>
    <row r="9265" spans="1:8">
      <c r="A9265" s="3">
        <v>370864</v>
      </c>
      <c r="B9265" s="7" t="s">
        <v>543</v>
      </c>
      <c r="C9265" s="87" t="s">
        <v>32</v>
      </c>
      <c r="D9265" s="6">
        <v>46614</v>
      </c>
      <c r="E9265" s="3" t="str">
        <f ca="1">IF(Tabela2[[#This Row],[Dt Venc:]]&gt;TODAY(),"Em Aberto",IF(Tabela2[[#This Row],[D/venc]]="-","Enviado",IF(Tabela2[[#This Row],[Dt Venc:]]=TODAY(),"Vence Hoje","Vencida")))</f>
        <v>Em Aberto</v>
      </c>
      <c r="F9265" s="3">
        <f ca="1">IF(G9265=1,"-",Tabela2[[#This Row],[Dt Venc:]]-TODAY())</f>
        <v>921</v>
      </c>
      <c r="G9265" s="3"/>
      <c r="H9265" s="3"/>
    </row>
    <row r="9266" spans="1:8">
      <c r="A9266" s="3">
        <v>371011</v>
      </c>
      <c r="B9266" s="7" t="s">
        <v>633</v>
      </c>
      <c r="C9266" s="87" t="s">
        <v>32</v>
      </c>
      <c r="D9266" s="6">
        <v>46614</v>
      </c>
      <c r="E9266" s="3" t="str">
        <f ca="1">IF(Tabela2[[#This Row],[Dt Venc:]]&gt;TODAY(),"Em Aberto",IF(Tabela2[[#This Row],[D/venc]]="-","Enviado",IF(Tabela2[[#This Row],[Dt Venc:]]=TODAY(),"Vence Hoje","Vencida")))</f>
        <v>Em Aberto</v>
      </c>
      <c r="F9266" s="3">
        <f ca="1">IF(G9266=1,"-",Tabela2[[#This Row],[Dt Venc:]]-TODAY())</f>
        <v>921</v>
      </c>
      <c r="G9266" s="3"/>
      <c r="H9266" s="3"/>
    </row>
    <row r="9267" spans="1:8">
      <c r="A9267" s="3">
        <v>371160</v>
      </c>
      <c r="B9267" s="7" t="s">
        <v>633</v>
      </c>
      <c r="C9267" s="87" t="s">
        <v>32</v>
      </c>
      <c r="D9267" s="6">
        <v>46614</v>
      </c>
      <c r="E9267" s="3" t="str">
        <f ca="1">IF(Tabela2[[#This Row],[Dt Venc:]]&gt;TODAY(),"Em Aberto",IF(Tabela2[[#This Row],[D/venc]]="-","Enviado",IF(Tabela2[[#This Row],[Dt Venc:]]=TODAY(),"Vence Hoje","Vencida")))</f>
        <v>Em Aberto</v>
      </c>
      <c r="F9267" s="3">
        <f ca="1">IF(G9267=1,"-",Tabela2[[#This Row],[Dt Venc:]]-TODAY())</f>
        <v>921</v>
      </c>
      <c r="G9267" s="3"/>
      <c r="H9267" s="3"/>
    </row>
    <row r="9268" spans="1:8">
      <c r="A9268" s="3">
        <v>892178</v>
      </c>
      <c r="B9268" s="7" t="s">
        <v>253</v>
      </c>
      <c r="C9268" s="99" t="s">
        <v>32</v>
      </c>
      <c r="D9268" s="6">
        <v>46614</v>
      </c>
      <c r="E9268" s="3" t="str">
        <f ca="1">IF(Tabela2[[#This Row],[Dt Venc:]]&gt;TODAY(),"Em Aberto",IF(Tabela2[[#This Row],[D/venc]]="-","Enviado",IF(Tabela2[[#This Row],[Dt Venc:]]=TODAY(),"Vence Hoje","Vencida")))</f>
        <v>Em Aberto</v>
      </c>
      <c r="F9268" s="3">
        <f ca="1">IF(G9268=1,"-",Tabela2[[#This Row],[Dt Venc:]]-TODAY())</f>
        <v>921</v>
      </c>
      <c r="G9268" s="3"/>
      <c r="H9268" s="3"/>
    </row>
    <row r="9269" spans="1:8">
      <c r="A9269" s="3">
        <v>894135</v>
      </c>
      <c r="B9269" s="7" t="s">
        <v>253</v>
      </c>
      <c r="C9269" s="100" t="s">
        <v>32</v>
      </c>
      <c r="D9269" s="6">
        <v>46614</v>
      </c>
      <c r="E9269" s="3" t="str">
        <f ca="1">IF(Tabela2[[#This Row],[Dt Venc:]]&gt;TODAY(),"Em Aberto",IF(Tabela2[[#This Row],[D/venc]]="-","Enviado",IF(Tabela2[[#This Row],[Dt Venc:]]=TODAY(),"Vence Hoje","Vencida")))</f>
        <v>Em Aberto</v>
      </c>
      <c r="F9269" s="3">
        <f ca="1">IF(G9269=1,"-",Tabela2[[#This Row],[Dt Venc:]]-TODAY())</f>
        <v>921</v>
      </c>
      <c r="G9269" s="3"/>
      <c r="H9269" s="3"/>
    </row>
    <row r="9270" spans="1:8">
      <c r="A9270" s="3">
        <v>896565</v>
      </c>
      <c r="B9270" s="7" t="s">
        <v>253</v>
      </c>
      <c r="C9270" s="100" t="s">
        <v>32</v>
      </c>
      <c r="D9270" s="6">
        <v>46614</v>
      </c>
      <c r="E9270" s="3" t="str">
        <f ca="1">IF(Tabela2[[#This Row],[Dt Venc:]]&gt;TODAY(),"Em Aberto",IF(Tabela2[[#This Row],[D/venc]]="-","Enviado",IF(Tabela2[[#This Row],[Dt Venc:]]=TODAY(),"Vence Hoje","Vencida")))</f>
        <v>Em Aberto</v>
      </c>
      <c r="F9270" s="3">
        <f ca="1">IF(G9270=1,"-",Tabela2[[#This Row],[Dt Venc:]]-TODAY())</f>
        <v>921</v>
      </c>
      <c r="G9270" s="3"/>
      <c r="H9270" s="3"/>
    </row>
    <row r="9271" spans="1:8">
      <c r="A9271" s="3">
        <v>900386</v>
      </c>
      <c r="B9271" s="7" t="s">
        <v>253</v>
      </c>
      <c r="C9271" s="100" t="s">
        <v>32</v>
      </c>
      <c r="D9271" s="6">
        <v>46614</v>
      </c>
      <c r="E9271" s="3" t="str">
        <f ca="1">IF(Tabela2[[#This Row],[Dt Venc:]]&gt;TODAY(),"Em Aberto",IF(Tabela2[[#This Row],[D/venc]]="-","Enviado",IF(Tabela2[[#This Row],[Dt Venc:]]=TODAY(),"Vence Hoje","Vencida")))</f>
        <v>Em Aberto</v>
      </c>
      <c r="F9271" s="3">
        <f ca="1">IF(G9271=1,"-",Tabela2[[#This Row],[Dt Venc:]]-TODAY())</f>
        <v>921</v>
      </c>
      <c r="G9271" s="3"/>
      <c r="H9271" s="3"/>
    </row>
    <row r="9272" spans="1:8">
      <c r="A9272" s="3">
        <v>901787</v>
      </c>
      <c r="B9272" s="7" t="s">
        <v>253</v>
      </c>
      <c r="C9272" s="99" t="s">
        <v>32</v>
      </c>
      <c r="D9272" s="6">
        <v>46614</v>
      </c>
      <c r="E9272" s="3" t="str">
        <f ca="1">IF(Tabela2[[#This Row],[Dt Venc:]]&gt;TODAY(),"Em Aberto",IF(Tabela2[[#This Row],[D/venc]]="-","Enviado",IF(Tabela2[[#This Row],[Dt Venc:]]=TODAY(),"Vence Hoje","Vencida")))</f>
        <v>Em Aberto</v>
      </c>
      <c r="F9272" s="3">
        <f ca="1">IF(G9272=1,"-",Tabela2[[#This Row],[Dt Venc:]]-TODAY())</f>
        <v>921</v>
      </c>
      <c r="G9272" s="3"/>
      <c r="H9272" s="3"/>
    </row>
    <row r="9273" spans="1:8">
      <c r="A9273" s="3">
        <v>901788</v>
      </c>
      <c r="B9273" s="7" t="s">
        <v>253</v>
      </c>
      <c r="C9273" s="100" t="s">
        <v>32</v>
      </c>
      <c r="D9273" s="6">
        <v>46614</v>
      </c>
      <c r="E9273" s="3" t="str">
        <f ca="1">IF(Tabela2[[#This Row],[Dt Venc:]]&gt;TODAY(),"Em Aberto",IF(Tabela2[[#This Row],[D/venc]]="-","Enviado",IF(Tabela2[[#This Row],[Dt Venc:]]=TODAY(),"Vence Hoje","Vencida")))</f>
        <v>Em Aberto</v>
      </c>
      <c r="F9273" s="3">
        <f ca="1">IF(G9273=1,"-",Tabela2[[#This Row],[Dt Venc:]]-TODAY())</f>
        <v>921</v>
      </c>
      <c r="G9273" s="3"/>
      <c r="H9273" s="3"/>
    </row>
    <row r="9274" spans="1:8">
      <c r="A9274" s="3">
        <v>901789</v>
      </c>
      <c r="B9274" s="7" t="s">
        <v>253</v>
      </c>
      <c r="C9274" s="100" t="s">
        <v>32</v>
      </c>
      <c r="D9274" s="6">
        <v>46614</v>
      </c>
      <c r="E9274" s="3" t="str">
        <f ca="1">IF(Tabela2[[#This Row],[Dt Venc:]]&gt;TODAY(),"Em Aberto",IF(Tabela2[[#This Row],[D/venc]]="-","Enviado",IF(Tabela2[[#This Row],[Dt Venc:]]=TODAY(),"Vence Hoje","Vencida")))</f>
        <v>Em Aberto</v>
      </c>
      <c r="F9274" s="3">
        <f ca="1">IF(G9274=1,"-",Tabela2[[#This Row],[Dt Venc:]]-TODAY())</f>
        <v>921</v>
      </c>
      <c r="G9274" s="3"/>
      <c r="H9274" s="3"/>
    </row>
    <row r="9275" spans="1:8">
      <c r="A9275" s="3">
        <v>912703</v>
      </c>
      <c r="B9275" s="7" t="s">
        <v>253</v>
      </c>
      <c r="C9275" s="100" t="s">
        <v>32</v>
      </c>
      <c r="D9275" s="6">
        <v>46614</v>
      </c>
      <c r="E9275" s="3" t="str">
        <f ca="1">IF(Tabela2[[#This Row],[Dt Venc:]]&gt;TODAY(),"Em Aberto",IF(Tabela2[[#This Row],[D/venc]]="-","Enviado",IF(Tabela2[[#This Row],[Dt Venc:]]=TODAY(),"Vence Hoje","Vencida")))</f>
        <v>Em Aberto</v>
      </c>
      <c r="F9275" s="3">
        <f ca="1">IF(G9275=1,"-",Tabela2[[#This Row],[Dt Venc:]]-TODAY())</f>
        <v>921</v>
      </c>
      <c r="G9275" s="3"/>
      <c r="H9275" s="3"/>
    </row>
    <row r="9276" spans="1:8">
      <c r="A9276" s="3">
        <v>912704</v>
      </c>
      <c r="B9276" s="7" t="s">
        <v>253</v>
      </c>
      <c r="C9276" s="100" t="s">
        <v>32</v>
      </c>
      <c r="D9276" s="6">
        <v>46614</v>
      </c>
      <c r="E9276" s="3" t="str">
        <f ca="1">IF(Tabela2[[#This Row],[Dt Venc:]]&gt;TODAY(),"Em Aberto",IF(Tabela2[[#This Row],[D/venc]]="-","Enviado",IF(Tabela2[[#This Row],[Dt Venc:]]=TODAY(),"Vence Hoje","Vencida")))</f>
        <v>Em Aberto</v>
      </c>
      <c r="F9276" s="3">
        <f ca="1">IF(G9276=1,"-",Tabela2[[#This Row],[Dt Venc:]]-TODAY())</f>
        <v>921</v>
      </c>
      <c r="G9276" s="3"/>
      <c r="H9276" s="3"/>
    </row>
    <row r="9277" spans="1:8">
      <c r="A9277" s="3">
        <v>919728</v>
      </c>
      <c r="B9277" s="7" t="s">
        <v>253</v>
      </c>
      <c r="C9277" s="87" t="s">
        <v>32</v>
      </c>
      <c r="D9277" s="6">
        <v>46614</v>
      </c>
      <c r="E9277" s="3" t="str">
        <f ca="1">IF(Tabela2[[#This Row],[Dt Venc:]]&gt;TODAY(),"Em Aberto",IF(Tabela2[[#This Row],[D/venc]]="-","Enviado",IF(Tabela2[[#This Row],[Dt Venc:]]=TODAY(),"Vence Hoje","Vencida")))</f>
        <v>Em Aberto</v>
      </c>
      <c r="F9277" s="3">
        <f ca="1">IF(G9277=1,"-",Tabela2[[#This Row],[Dt Venc:]]-TODAY())</f>
        <v>921</v>
      </c>
      <c r="G9277" s="3"/>
      <c r="H9277" s="3"/>
    </row>
    <row r="9278" spans="1:8">
      <c r="A9278" s="3">
        <v>919729</v>
      </c>
      <c r="B9278" s="7" t="s">
        <v>253</v>
      </c>
      <c r="C9278" s="85" t="s">
        <v>32</v>
      </c>
      <c r="D9278" s="6">
        <v>46614</v>
      </c>
      <c r="E9278" s="3" t="str">
        <f ca="1">IF(Tabela2[[#This Row],[Dt Venc:]]&gt;TODAY(),"Em Aberto",IF(Tabela2[[#This Row],[D/venc]]="-","Enviado",IF(Tabela2[[#This Row],[Dt Venc:]]=TODAY(),"Vence Hoje","Vencida")))</f>
        <v>Em Aberto</v>
      </c>
      <c r="F9278" s="3">
        <f ca="1">IF(G9278=1,"-",Tabela2[[#This Row],[Dt Venc:]]-TODAY())</f>
        <v>921</v>
      </c>
      <c r="G9278" s="3"/>
      <c r="H9278" s="3"/>
    </row>
    <row r="9279" spans="1:8">
      <c r="A9279" s="3">
        <v>495914</v>
      </c>
      <c r="B9279" s="7" t="s">
        <v>153</v>
      </c>
      <c r="C9279" s="100" t="s">
        <v>32</v>
      </c>
      <c r="D9279" s="6">
        <v>46624</v>
      </c>
      <c r="E9279" s="3" t="str">
        <f ca="1">IF(Tabela2[[#This Row],[Dt Venc:]]&gt;TODAY(),"Em Aberto",IF(Tabela2[[#This Row],[D/venc]]="-","Enviado",IF(Tabela2[[#This Row],[Dt Venc:]]=TODAY(),"Vence Hoje","Vencida")))</f>
        <v>Em Aberto</v>
      </c>
      <c r="F9279" s="3">
        <f ca="1">IF(G9279=1,"-",Tabela2[[#This Row],[Dt Venc:]]-TODAY())</f>
        <v>931</v>
      </c>
      <c r="G9279" s="3"/>
      <c r="H9279" s="3"/>
    </row>
    <row r="9280" spans="1:8">
      <c r="A9280" s="3">
        <v>5690</v>
      </c>
      <c r="B9280" s="7" t="s">
        <v>122</v>
      </c>
      <c r="C9280" s="100" t="s">
        <v>32</v>
      </c>
      <c r="D9280" s="6">
        <v>46626</v>
      </c>
      <c r="E9280" s="3" t="str">
        <f ca="1">IF(Tabela2[[#This Row],[Dt Venc:]]&gt;TODAY(),"Em Aberto",IF(Tabela2[[#This Row],[D/venc]]="-","Enviado",IF(Tabela2[[#This Row],[Dt Venc:]]=TODAY(),"Vence Hoje","Vencida")))</f>
        <v>Em Aberto</v>
      </c>
      <c r="F9280" s="3">
        <f ca="1">IF(G9280=1,"-",Tabela2[[#This Row],[Dt Venc:]]-TODAY())</f>
        <v>933</v>
      </c>
      <c r="G9280" s="3"/>
      <c r="H9280" s="3"/>
    </row>
    <row r="9281" spans="1:8">
      <c r="A9281" s="3">
        <v>11681</v>
      </c>
      <c r="B9281" s="7" t="s">
        <v>82</v>
      </c>
      <c r="C9281" s="87" t="s">
        <v>30</v>
      </c>
      <c r="D9281" s="6">
        <v>46630</v>
      </c>
      <c r="E9281" s="3" t="str">
        <f ca="1">IF(Tabela2[[#This Row],[Dt Venc:]]&gt;TODAY(),"Em Aberto",IF(Tabela2[[#This Row],[D/venc]]="-","Enviado",IF(Tabela2[[#This Row],[Dt Venc:]]=TODAY(),"Vence Hoje","Vencida")))</f>
        <v>Em Aberto</v>
      </c>
      <c r="F9281" s="3">
        <f ca="1">IF(G9281=1,"-",Tabela2[[#This Row],[Dt Venc:]]-TODAY())</f>
        <v>937</v>
      </c>
      <c r="G9281" s="3"/>
      <c r="H9281" s="3"/>
    </row>
    <row r="9282" spans="1:8">
      <c r="A9282" s="3">
        <v>10494</v>
      </c>
      <c r="B9282" s="7" t="s">
        <v>82</v>
      </c>
      <c r="C9282" s="88" t="s">
        <v>30</v>
      </c>
      <c r="D9282" s="6">
        <v>46633</v>
      </c>
      <c r="E9282" s="3" t="str">
        <f ca="1">IF(Tabela2[[#This Row],[Dt Venc:]]&gt;TODAY(),"Em Aberto",IF(Tabela2[[#This Row],[D/venc]]="-","Enviado",IF(Tabela2[[#This Row],[Dt Venc:]]=TODAY(),"Vence Hoje","Vencida")))</f>
        <v>Em Aberto</v>
      </c>
      <c r="F9282" s="3">
        <f ca="1">IF(G9282=1,"-",Tabela2[[#This Row],[Dt Venc:]]-TODAY())</f>
        <v>940</v>
      </c>
      <c r="G9282" s="3"/>
      <c r="H9282" s="3"/>
    </row>
    <row r="9283" spans="1:8">
      <c r="A9283" s="3">
        <v>5680</v>
      </c>
      <c r="B9283" s="7" t="s">
        <v>122</v>
      </c>
      <c r="C9283" s="100" t="s">
        <v>32</v>
      </c>
      <c r="D9283" s="6">
        <v>46635</v>
      </c>
      <c r="E9283" s="3" t="str">
        <f ca="1">IF(Tabela2[[#This Row],[Dt Venc:]]&gt;TODAY(),"Em Aberto",IF(Tabela2[[#This Row],[D/venc]]="-","Enviado",IF(Tabela2[[#This Row],[Dt Venc:]]=TODAY(),"Vence Hoje","Vencida")))</f>
        <v>Em Aberto</v>
      </c>
      <c r="F9283" s="3">
        <f ca="1">IF(G9283=1,"-",Tabela2[[#This Row],[Dt Venc:]]-TODAY())</f>
        <v>942</v>
      </c>
      <c r="G9283" s="3"/>
      <c r="H9283" s="3"/>
    </row>
    <row r="9284" spans="1:8">
      <c r="A9284" s="3">
        <v>10353</v>
      </c>
      <c r="B9284" s="7" t="s">
        <v>82</v>
      </c>
      <c r="C9284" s="99" t="s">
        <v>32</v>
      </c>
      <c r="D9284" s="6">
        <v>46635</v>
      </c>
      <c r="E9284" s="3" t="str">
        <f ca="1">IF(Tabela2[[#This Row],[Dt Venc:]]&gt;TODAY(),"Em Aberto",IF(Tabela2[[#This Row],[D/venc]]="-","Enviado",IF(Tabela2[[#This Row],[Dt Venc:]]=TODAY(),"Vence Hoje","Vencida")))</f>
        <v>Em Aberto</v>
      </c>
      <c r="F9284" s="3">
        <f ca="1">IF(G9284=1,"-",Tabela2[[#This Row],[Dt Venc:]]-TODAY())</f>
        <v>942</v>
      </c>
      <c r="G9284" s="3"/>
      <c r="H9284" s="3"/>
    </row>
    <row r="9285" spans="1:8">
      <c r="A9285" s="3">
        <v>284620</v>
      </c>
      <c r="B9285" s="7" t="s">
        <v>153</v>
      </c>
      <c r="C9285" s="100" t="s">
        <v>32</v>
      </c>
      <c r="D9285" s="6">
        <v>46638</v>
      </c>
      <c r="E9285" s="3" t="str">
        <f ca="1">IF(Tabela2[[#This Row],[Dt Venc:]]&gt;TODAY(),"Em Aberto",IF(Tabela2[[#This Row],[D/venc]]="-","Enviado",IF(Tabela2[[#This Row],[Dt Venc:]]=TODAY(),"Vence Hoje","Vencida")))</f>
        <v>Em Aberto</v>
      </c>
      <c r="F9285" s="3">
        <f ca="1">IF(G9285=1,"-",Tabela2[[#This Row],[Dt Venc:]]-TODAY())</f>
        <v>945</v>
      </c>
      <c r="G9285" s="3"/>
      <c r="H9285" s="3"/>
    </row>
    <row r="9286" spans="1:8">
      <c r="A9286" s="3">
        <v>756561</v>
      </c>
      <c r="B9286" s="7" t="s">
        <v>166</v>
      </c>
      <c r="C9286" s="100" t="s">
        <v>32</v>
      </c>
      <c r="D9286" s="6">
        <v>46639</v>
      </c>
      <c r="E9286" s="3" t="str">
        <f ca="1">IF(Tabela2[[#This Row],[Dt Venc:]]&gt;TODAY(),"Em Aberto",IF(Tabela2[[#This Row],[D/venc]]="-","Enviado",IF(Tabela2[[#This Row],[Dt Venc:]]=TODAY(),"Vence Hoje","Vencida")))</f>
        <v>Em Aberto</v>
      </c>
      <c r="F9286" s="3">
        <f ca="1">IF(G9286=1,"-",Tabela2[[#This Row],[Dt Venc:]]-TODAY())</f>
        <v>946</v>
      </c>
      <c r="G9286" s="3"/>
      <c r="H9286" s="3"/>
    </row>
    <row r="9287" spans="1:8">
      <c r="A9287" s="3">
        <v>562</v>
      </c>
      <c r="B9287" s="7" t="s">
        <v>251</v>
      </c>
      <c r="C9287" s="100" t="s">
        <v>32</v>
      </c>
      <c r="D9287" s="6">
        <v>46645</v>
      </c>
      <c r="E9287" s="3" t="str">
        <f ca="1">IF(Tabela2[[#This Row],[Dt Venc:]]&gt;TODAY(),"Em Aberto",IF(Tabela2[[#This Row],[D/venc]]="-","Enviado",IF(Tabela2[[#This Row],[Dt Venc:]]=TODAY(),"Vence Hoje","Vencida")))</f>
        <v>Em Aberto</v>
      </c>
      <c r="F9287" s="3">
        <f ca="1">IF(G9287=1,"-",Tabela2[[#This Row],[Dt Venc:]]-TODAY())</f>
        <v>952</v>
      </c>
      <c r="G9287" s="3"/>
      <c r="H9287" s="3"/>
    </row>
    <row r="9288" spans="1:8">
      <c r="A9288" s="3">
        <v>103015</v>
      </c>
      <c r="B9288" s="7" t="s">
        <v>252</v>
      </c>
      <c r="C9288" s="100" t="s">
        <v>32</v>
      </c>
      <c r="D9288" s="6">
        <v>46645</v>
      </c>
      <c r="E9288" s="3" t="str">
        <f ca="1">IF(Tabela2[[#This Row],[Dt Venc:]]&gt;TODAY(),"Em Aberto",IF(Tabela2[[#This Row],[D/venc]]="-","Enviado",IF(Tabela2[[#This Row],[Dt Venc:]]=TODAY(),"Vence Hoje","Vencida")))</f>
        <v>Em Aberto</v>
      </c>
      <c r="F9288" s="3">
        <f ca="1">IF(G9288=1,"-",Tabela2[[#This Row],[Dt Venc:]]-TODAY())</f>
        <v>952</v>
      </c>
      <c r="G9288" s="3"/>
      <c r="H9288" s="3"/>
    </row>
    <row r="9289" spans="1:8">
      <c r="A9289" s="3">
        <v>103077</v>
      </c>
      <c r="B9289" s="7" t="s">
        <v>252</v>
      </c>
      <c r="C9289" s="100" t="s">
        <v>32</v>
      </c>
      <c r="D9289" s="6">
        <v>46645</v>
      </c>
      <c r="E9289" s="3" t="str">
        <f ca="1">IF(Tabela2[[#This Row],[Dt Venc:]]&gt;TODAY(),"Em Aberto",IF(Tabela2[[#This Row],[D/venc]]="-","Enviado",IF(Tabela2[[#This Row],[Dt Venc:]]=TODAY(),"Vence Hoje","Vencida")))</f>
        <v>Em Aberto</v>
      </c>
      <c r="F9289" s="3">
        <f ca="1">IF(G9289=1,"-",Tabela2[[#This Row],[Dt Venc:]]-TODAY())</f>
        <v>952</v>
      </c>
      <c r="G9289" s="3"/>
      <c r="H9289" s="3"/>
    </row>
    <row r="9290" spans="1:8">
      <c r="A9290" s="3">
        <v>103153</v>
      </c>
      <c r="B9290" s="7" t="s">
        <v>252</v>
      </c>
      <c r="C9290" s="87" t="s">
        <v>32</v>
      </c>
      <c r="D9290" s="6">
        <v>46645</v>
      </c>
      <c r="E9290" s="3" t="str">
        <f ca="1">IF(Tabela2[[#This Row],[Dt Venc:]]&gt;TODAY(),"Em Aberto",IF(Tabela2[[#This Row],[D/venc]]="-","Enviado",IF(Tabela2[[#This Row],[Dt Venc:]]=TODAY(),"Vence Hoje","Vencida")))</f>
        <v>Em Aberto</v>
      </c>
      <c r="F9290" s="3">
        <f ca="1">IF(G9290=1,"-",Tabela2[[#This Row],[Dt Venc:]]-TODAY())</f>
        <v>952</v>
      </c>
      <c r="G9290" s="3"/>
      <c r="H9290" s="3"/>
    </row>
    <row r="9291" spans="1:8">
      <c r="A9291" s="3">
        <v>103154</v>
      </c>
      <c r="B9291" s="7" t="s">
        <v>252</v>
      </c>
      <c r="C9291" s="100" t="s">
        <v>32</v>
      </c>
      <c r="D9291" s="6">
        <v>46645</v>
      </c>
      <c r="E9291" s="3" t="str">
        <f ca="1">IF(Tabela2[[#This Row],[Dt Venc:]]&gt;TODAY(),"Em Aberto",IF(Tabela2[[#This Row],[D/venc]]="-","Enviado",IF(Tabela2[[#This Row],[Dt Venc:]]=TODAY(),"Vence Hoje","Vencida")))</f>
        <v>Em Aberto</v>
      </c>
      <c r="F9291" s="3">
        <f ca="1">IF(G9291=1,"-",Tabela2[[#This Row],[Dt Venc:]]-TODAY())</f>
        <v>952</v>
      </c>
      <c r="G9291" s="3"/>
      <c r="H9291" s="3"/>
    </row>
    <row r="9292" spans="1:8">
      <c r="A9292" s="3">
        <v>106007</v>
      </c>
      <c r="B9292" s="7" t="s">
        <v>252</v>
      </c>
      <c r="C9292" s="100" t="s">
        <v>32</v>
      </c>
      <c r="D9292" s="6">
        <v>46645</v>
      </c>
      <c r="E9292" s="3" t="str">
        <f ca="1">IF(Tabela2[[#This Row],[Dt Venc:]]&gt;TODAY(),"Em Aberto",IF(Tabela2[[#This Row],[D/venc]]="-","Enviado",IF(Tabela2[[#This Row],[Dt Venc:]]=TODAY(),"Vence Hoje","Vencida")))</f>
        <v>Em Aberto</v>
      </c>
      <c r="F9292" s="3">
        <f ca="1">IF(G9292=1,"-",Tabela2[[#This Row],[Dt Venc:]]-TODAY())</f>
        <v>952</v>
      </c>
      <c r="G9292" s="3"/>
      <c r="H9292" s="3"/>
    </row>
    <row r="9293" spans="1:8">
      <c r="A9293" s="3">
        <v>106043</v>
      </c>
      <c r="B9293" s="7" t="s">
        <v>252</v>
      </c>
      <c r="C9293" s="99" t="s">
        <v>32</v>
      </c>
      <c r="D9293" s="6">
        <v>46645</v>
      </c>
      <c r="E9293" s="3" t="str">
        <f ca="1">IF(Tabela2[[#This Row],[Dt Venc:]]&gt;TODAY(),"Em Aberto",IF(Tabela2[[#This Row],[D/venc]]="-","Enviado",IF(Tabela2[[#This Row],[Dt Venc:]]=TODAY(),"Vence Hoje","Vencida")))</f>
        <v>Em Aberto</v>
      </c>
      <c r="F9293" s="3">
        <f ca="1">IF(G9293=1,"-",Tabela2[[#This Row],[Dt Venc:]]-TODAY())</f>
        <v>952</v>
      </c>
      <c r="G9293" s="3"/>
      <c r="H9293" s="3"/>
    </row>
    <row r="9294" spans="1:8">
      <c r="A9294" s="3">
        <v>107829</v>
      </c>
      <c r="B9294" s="7" t="s">
        <v>252</v>
      </c>
      <c r="C9294" s="100" t="s">
        <v>32</v>
      </c>
      <c r="D9294" s="6">
        <v>46645</v>
      </c>
      <c r="E9294" s="3" t="str">
        <f ca="1">IF(Tabela2[[#This Row],[Dt Venc:]]&gt;TODAY(),"Em Aberto",IF(Tabela2[[#This Row],[D/venc]]="-","Enviado",IF(Tabela2[[#This Row],[Dt Venc:]]=TODAY(),"Vence Hoje","Vencida")))</f>
        <v>Em Aberto</v>
      </c>
      <c r="F9294" s="3">
        <f ca="1">IF(G9294=1,"-",Tabela2[[#This Row],[Dt Venc:]]-TODAY())</f>
        <v>952</v>
      </c>
      <c r="G9294" s="3"/>
      <c r="H9294" s="3"/>
    </row>
    <row r="9295" spans="1:8">
      <c r="A9295" s="3">
        <v>107830</v>
      </c>
      <c r="B9295" s="7" t="s">
        <v>252</v>
      </c>
      <c r="C9295" s="87" t="s">
        <v>32</v>
      </c>
      <c r="D9295" s="6">
        <v>46645</v>
      </c>
      <c r="E9295" s="3" t="str">
        <f ca="1">IF(Tabela2[[#This Row],[Dt Venc:]]&gt;TODAY(),"Em Aberto",IF(Tabela2[[#This Row],[D/venc]]="-","Enviado",IF(Tabela2[[#This Row],[Dt Venc:]]=TODAY(),"Vence Hoje","Vencida")))</f>
        <v>Em Aberto</v>
      </c>
      <c r="F9295" s="3">
        <f ca="1">IF(G9295=1,"-",Tabela2[[#This Row],[Dt Venc:]]-TODAY())</f>
        <v>952</v>
      </c>
      <c r="G9295" s="3"/>
      <c r="H9295" s="3"/>
    </row>
    <row r="9296" spans="1:8">
      <c r="A9296" s="3">
        <v>107831</v>
      </c>
      <c r="B9296" s="7" t="s">
        <v>252</v>
      </c>
      <c r="C9296" s="100" t="s">
        <v>32</v>
      </c>
      <c r="D9296" s="6">
        <v>46645</v>
      </c>
      <c r="E9296" s="3" t="str">
        <f ca="1">IF(Tabela2[[#This Row],[Dt Venc:]]&gt;TODAY(),"Em Aberto",IF(Tabela2[[#This Row],[D/venc]]="-","Enviado",IF(Tabela2[[#This Row],[Dt Venc:]]=TODAY(),"Vence Hoje","Vencida")))</f>
        <v>Em Aberto</v>
      </c>
      <c r="F9296" s="3">
        <f ca="1">IF(G9296=1,"-",Tabela2[[#This Row],[Dt Venc:]]-TODAY())</f>
        <v>952</v>
      </c>
      <c r="G9296" s="3"/>
      <c r="H9296" s="3"/>
    </row>
    <row r="9297" spans="1:8">
      <c r="A9297" s="3">
        <v>107832</v>
      </c>
      <c r="B9297" s="7" t="s">
        <v>252</v>
      </c>
      <c r="C9297" s="100" t="s">
        <v>32</v>
      </c>
      <c r="D9297" s="6">
        <v>46645</v>
      </c>
      <c r="E9297" s="3" t="str">
        <f ca="1">IF(Tabela2[[#This Row],[Dt Venc:]]&gt;TODAY(),"Em Aberto",IF(Tabela2[[#This Row],[D/venc]]="-","Enviado",IF(Tabela2[[#This Row],[Dt Venc:]]=TODAY(),"Vence Hoje","Vencida")))</f>
        <v>Em Aberto</v>
      </c>
      <c r="F9297" s="3">
        <f ca="1">IF(G9297=1,"-",Tabela2[[#This Row],[Dt Venc:]]-TODAY())</f>
        <v>952</v>
      </c>
      <c r="G9297" s="3"/>
      <c r="H9297" s="3"/>
    </row>
    <row r="9298" spans="1:8">
      <c r="A9298" s="3">
        <v>361229</v>
      </c>
      <c r="B9298" s="7" t="s">
        <v>250</v>
      </c>
      <c r="C9298" s="100" t="s">
        <v>32</v>
      </c>
      <c r="D9298" s="6">
        <v>46645</v>
      </c>
      <c r="E9298" s="3" t="str">
        <f ca="1">IF(Tabela2[[#This Row],[Dt Venc:]]&gt;TODAY(),"Em Aberto",IF(Tabela2[[#This Row],[D/venc]]="-","Enviado",IF(Tabela2[[#This Row],[Dt Venc:]]=TODAY(),"Vence Hoje","Vencida")))</f>
        <v>Em Aberto</v>
      </c>
      <c r="F9298" s="3">
        <f ca="1">IF(G9298=1,"-",Tabela2[[#This Row],[Dt Venc:]]-TODAY())</f>
        <v>952</v>
      </c>
      <c r="G9298" s="3"/>
      <c r="H9298" s="3"/>
    </row>
    <row r="9299" spans="1:8">
      <c r="A9299" s="3">
        <v>361237</v>
      </c>
      <c r="B9299" s="7" t="s">
        <v>250</v>
      </c>
      <c r="C9299" s="100" t="s">
        <v>32</v>
      </c>
      <c r="D9299" s="6">
        <v>46645</v>
      </c>
      <c r="E9299" s="3" t="str">
        <f ca="1">IF(Tabela2[[#This Row],[Dt Venc:]]&gt;TODAY(),"Em Aberto",IF(Tabela2[[#This Row],[D/venc]]="-","Enviado",IF(Tabela2[[#This Row],[Dt Venc:]]=TODAY(),"Vence Hoje","Vencida")))</f>
        <v>Em Aberto</v>
      </c>
      <c r="F9299" s="3">
        <f ca="1">IF(G9299=1,"-",Tabela2[[#This Row],[Dt Venc:]]-TODAY())</f>
        <v>952</v>
      </c>
      <c r="G9299" s="3"/>
      <c r="H9299" s="3"/>
    </row>
    <row r="9300" spans="1:8">
      <c r="A9300" s="3">
        <v>365658</v>
      </c>
      <c r="B9300" s="7" t="s">
        <v>250</v>
      </c>
      <c r="C9300" s="100" t="s">
        <v>32</v>
      </c>
      <c r="D9300" s="6">
        <v>46645</v>
      </c>
      <c r="E9300" s="3" t="str">
        <f ca="1">IF(Tabela2[[#This Row],[Dt Venc:]]&gt;TODAY(),"Em Aberto",IF(Tabela2[[#This Row],[D/venc]]="-","Enviado",IF(Tabela2[[#This Row],[Dt Venc:]]=TODAY(),"Vence Hoje","Vencida")))</f>
        <v>Em Aberto</v>
      </c>
      <c r="F9300" s="3">
        <f ca="1">IF(G9300=1,"-",Tabela2[[#This Row],[Dt Venc:]]-TODAY())</f>
        <v>952</v>
      </c>
      <c r="G9300" s="3"/>
      <c r="H9300" s="3"/>
    </row>
    <row r="9301" spans="1:8">
      <c r="A9301" s="3">
        <v>365666</v>
      </c>
      <c r="B9301" s="7" t="s">
        <v>250</v>
      </c>
      <c r="C9301" s="100" t="s">
        <v>32</v>
      </c>
      <c r="D9301" s="6">
        <v>46645</v>
      </c>
      <c r="E9301" s="3" t="str">
        <f ca="1">IF(Tabela2[[#This Row],[Dt Venc:]]&gt;TODAY(),"Em Aberto",IF(Tabela2[[#This Row],[D/venc]]="-","Enviado",IF(Tabela2[[#This Row],[Dt Venc:]]=TODAY(),"Vence Hoje","Vencida")))</f>
        <v>Em Aberto</v>
      </c>
      <c r="F9301" s="3">
        <f ca="1">IF(G9301=1,"-",Tabela2[[#This Row],[Dt Venc:]]-TODAY())</f>
        <v>952</v>
      </c>
      <c r="G9301" s="3"/>
      <c r="H9301" s="3"/>
    </row>
    <row r="9302" spans="1:8">
      <c r="A9302" s="3">
        <v>365674</v>
      </c>
      <c r="B9302" s="7" t="s">
        <v>250</v>
      </c>
      <c r="C9302" s="99" t="s">
        <v>32</v>
      </c>
      <c r="D9302" s="6">
        <v>46645</v>
      </c>
      <c r="E9302" s="3" t="str">
        <f ca="1">IF(Tabela2[[#This Row],[Dt Venc:]]&gt;TODAY(),"Em Aberto",IF(Tabela2[[#This Row],[D/venc]]="-","Enviado",IF(Tabela2[[#This Row],[Dt Venc:]]=TODAY(),"Vence Hoje","Vencida")))</f>
        <v>Em Aberto</v>
      </c>
      <c r="F9302" s="3">
        <f ca="1">IF(G9302=1,"-",Tabela2[[#This Row],[Dt Venc:]]-TODAY())</f>
        <v>952</v>
      </c>
      <c r="G9302" s="3"/>
      <c r="H9302" s="3"/>
    </row>
    <row r="9303" spans="1:8">
      <c r="A9303" s="3">
        <v>365682</v>
      </c>
      <c r="B9303" s="7" t="s">
        <v>250</v>
      </c>
      <c r="C9303" s="99" t="s">
        <v>32</v>
      </c>
      <c r="D9303" s="6">
        <v>46645</v>
      </c>
      <c r="E9303" s="3" t="str">
        <f ca="1">IF(Tabela2[[#This Row],[Dt Venc:]]&gt;TODAY(),"Em Aberto",IF(Tabela2[[#This Row],[D/venc]]="-","Enviado",IF(Tabela2[[#This Row],[Dt Venc:]]=TODAY(),"Vence Hoje","Vencida")))</f>
        <v>Em Aberto</v>
      </c>
      <c r="F9303" s="3">
        <f ca="1">IF(G9303=1,"-",Tabela2[[#This Row],[Dt Venc:]]-TODAY())</f>
        <v>952</v>
      </c>
      <c r="G9303" s="3"/>
      <c r="H9303" s="3"/>
    </row>
    <row r="9304" spans="1:8">
      <c r="A9304" s="3">
        <v>369335</v>
      </c>
      <c r="B9304" s="7" t="s">
        <v>543</v>
      </c>
      <c r="C9304" s="85" t="s">
        <v>32</v>
      </c>
      <c r="D9304" s="6">
        <v>46645</v>
      </c>
      <c r="E9304" s="3" t="str">
        <f ca="1">IF(Tabela2[[#This Row],[Dt Venc:]]&gt;TODAY(),"Em Aberto",IF(Tabela2[[#This Row],[D/venc]]="-","Enviado",IF(Tabela2[[#This Row],[Dt Venc:]]=TODAY(),"Vence Hoje","Vencida")))</f>
        <v>Em Aberto</v>
      </c>
      <c r="F9304" s="3">
        <f ca="1">IF(G9304=1,"-",Tabela2[[#This Row],[Dt Venc:]]-TODAY())</f>
        <v>952</v>
      </c>
      <c r="G9304" s="3"/>
      <c r="H9304" s="3"/>
    </row>
    <row r="9305" spans="1:8">
      <c r="A9305" s="3">
        <v>369696</v>
      </c>
      <c r="B9305" s="7" t="s">
        <v>543</v>
      </c>
      <c r="C9305" s="87" t="s">
        <v>32</v>
      </c>
      <c r="D9305" s="6">
        <v>46645</v>
      </c>
      <c r="E9305" s="3" t="str">
        <f ca="1">IF(Tabela2[[#This Row],[Dt Venc:]]&gt;TODAY(),"Em Aberto",IF(Tabela2[[#This Row],[D/venc]]="-","Enviado",IF(Tabela2[[#This Row],[Dt Venc:]]=TODAY(),"Vence Hoje","Vencida")))</f>
        <v>Em Aberto</v>
      </c>
      <c r="F9305" s="3">
        <f ca="1">IF(G9305=1,"-",Tabela2[[#This Row],[Dt Venc:]]-TODAY())</f>
        <v>952</v>
      </c>
      <c r="G9305" s="3"/>
      <c r="H9305" s="3"/>
    </row>
    <row r="9306" spans="1:8">
      <c r="A9306" s="3">
        <v>369726</v>
      </c>
      <c r="B9306" s="7" t="s">
        <v>543</v>
      </c>
      <c r="C9306" s="87" t="s">
        <v>32</v>
      </c>
      <c r="D9306" s="6">
        <v>46645</v>
      </c>
      <c r="E9306" s="3" t="str">
        <f ca="1">IF(Tabela2[[#This Row],[Dt Venc:]]&gt;TODAY(),"Em Aberto",IF(Tabela2[[#This Row],[D/venc]]="-","Enviado",IF(Tabela2[[#This Row],[Dt Venc:]]=TODAY(),"Vence Hoje","Vencida")))</f>
        <v>Em Aberto</v>
      </c>
      <c r="F9306" s="3">
        <f ca="1">IF(G9306=1,"-",Tabela2[[#This Row],[Dt Venc:]]-TODAY())</f>
        <v>952</v>
      </c>
      <c r="G9306" s="3"/>
      <c r="H9306" s="3"/>
    </row>
    <row r="9307" spans="1:8">
      <c r="A9307" s="3">
        <v>369751</v>
      </c>
      <c r="B9307" s="7" t="s">
        <v>543</v>
      </c>
      <c r="C9307" s="87" t="s">
        <v>32</v>
      </c>
      <c r="D9307" s="6">
        <v>46645</v>
      </c>
      <c r="E9307" s="3" t="str">
        <f ca="1">IF(Tabela2[[#This Row],[Dt Venc:]]&gt;TODAY(),"Em Aberto",IF(Tabela2[[#This Row],[D/venc]]="-","Enviado",IF(Tabela2[[#This Row],[Dt Venc:]]=TODAY(),"Vence Hoje","Vencida")))</f>
        <v>Em Aberto</v>
      </c>
      <c r="F9307" s="3">
        <f ca="1">IF(G9307=1,"-",Tabela2[[#This Row],[Dt Venc:]]-TODAY())</f>
        <v>952</v>
      </c>
      <c r="G9307" s="3"/>
      <c r="H9307" s="3"/>
    </row>
    <row r="9308" spans="1:8">
      <c r="A9308" s="3">
        <v>370201</v>
      </c>
      <c r="B9308" s="7" t="s">
        <v>543</v>
      </c>
      <c r="C9308" s="87" t="s">
        <v>32</v>
      </c>
      <c r="D9308" s="6">
        <v>46645</v>
      </c>
      <c r="E9308" s="3" t="str">
        <f ca="1">IF(Tabela2[[#This Row],[Dt Venc:]]&gt;TODAY(),"Em Aberto",IF(Tabela2[[#This Row],[D/venc]]="-","Enviado",IF(Tabela2[[#This Row],[Dt Venc:]]=TODAY(),"Vence Hoje","Vencida")))</f>
        <v>Em Aberto</v>
      </c>
      <c r="F9308" s="3">
        <f ca="1">IF(G9308=1,"-",Tabela2[[#This Row],[Dt Venc:]]-TODAY())</f>
        <v>952</v>
      </c>
      <c r="G9308" s="3"/>
      <c r="H9308" s="3"/>
    </row>
    <row r="9309" spans="1:8">
      <c r="A9309" s="3">
        <v>370864</v>
      </c>
      <c r="B9309" s="7" t="s">
        <v>543</v>
      </c>
      <c r="C9309" s="87" t="s">
        <v>32</v>
      </c>
      <c r="D9309" s="6">
        <v>46645</v>
      </c>
      <c r="E9309" s="3" t="str">
        <f ca="1">IF(Tabela2[[#This Row],[Dt Venc:]]&gt;TODAY(),"Em Aberto",IF(Tabela2[[#This Row],[D/venc]]="-","Enviado",IF(Tabela2[[#This Row],[Dt Venc:]]=TODAY(),"Vence Hoje","Vencida")))</f>
        <v>Em Aberto</v>
      </c>
      <c r="F9309" s="3">
        <f ca="1">IF(G9309=1,"-",Tabela2[[#This Row],[Dt Venc:]]-TODAY())</f>
        <v>952</v>
      </c>
      <c r="G9309" s="3"/>
      <c r="H9309" s="3"/>
    </row>
    <row r="9310" spans="1:8">
      <c r="A9310" s="3">
        <v>371011</v>
      </c>
      <c r="B9310" s="7" t="s">
        <v>633</v>
      </c>
      <c r="C9310" s="87" t="s">
        <v>32</v>
      </c>
      <c r="D9310" s="6">
        <v>46645</v>
      </c>
      <c r="E9310" s="3" t="str">
        <f ca="1">IF(Tabela2[[#This Row],[Dt Venc:]]&gt;TODAY(),"Em Aberto",IF(Tabela2[[#This Row],[D/venc]]="-","Enviado",IF(Tabela2[[#This Row],[Dt Venc:]]=TODAY(),"Vence Hoje","Vencida")))</f>
        <v>Em Aberto</v>
      </c>
      <c r="F9310" s="3">
        <f ca="1">IF(G9310=1,"-",Tabela2[[#This Row],[Dt Venc:]]-TODAY())</f>
        <v>952</v>
      </c>
      <c r="G9310" s="3"/>
      <c r="H9310" s="3"/>
    </row>
    <row r="9311" spans="1:8">
      <c r="A9311" s="3">
        <v>371160</v>
      </c>
      <c r="B9311" s="7" t="s">
        <v>633</v>
      </c>
      <c r="C9311" s="87" t="s">
        <v>32</v>
      </c>
      <c r="D9311" s="6">
        <v>46645</v>
      </c>
      <c r="E9311" s="3" t="str">
        <f ca="1">IF(Tabela2[[#This Row],[Dt Venc:]]&gt;TODAY(),"Em Aberto",IF(Tabela2[[#This Row],[D/venc]]="-","Enviado",IF(Tabela2[[#This Row],[Dt Venc:]]=TODAY(),"Vence Hoje","Vencida")))</f>
        <v>Em Aberto</v>
      </c>
      <c r="F9311" s="3">
        <f ca="1">IF(G9311=1,"-",Tabela2[[#This Row],[Dt Venc:]]-TODAY())</f>
        <v>952</v>
      </c>
      <c r="G9311" s="3"/>
      <c r="H9311" s="3"/>
    </row>
    <row r="9312" spans="1:8">
      <c r="A9312" s="3">
        <v>892178</v>
      </c>
      <c r="B9312" s="7" t="s">
        <v>253</v>
      </c>
      <c r="C9312" s="99" t="s">
        <v>32</v>
      </c>
      <c r="D9312" s="6">
        <v>46645</v>
      </c>
      <c r="E9312" s="3" t="str">
        <f ca="1">IF(Tabela2[[#This Row],[Dt Venc:]]&gt;TODAY(),"Em Aberto",IF(Tabela2[[#This Row],[D/venc]]="-","Enviado",IF(Tabela2[[#This Row],[Dt Venc:]]=TODAY(),"Vence Hoje","Vencida")))</f>
        <v>Em Aberto</v>
      </c>
      <c r="F9312" s="3">
        <f ca="1">IF(G9312=1,"-",Tabela2[[#This Row],[Dt Venc:]]-TODAY())</f>
        <v>952</v>
      </c>
      <c r="G9312" s="3"/>
      <c r="H9312" s="3"/>
    </row>
    <row r="9313" spans="1:8">
      <c r="A9313" s="3">
        <v>894135</v>
      </c>
      <c r="B9313" s="7" t="s">
        <v>253</v>
      </c>
      <c r="C9313" s="99" t="s">
        <v>32</v>
      </c>
      <c r="D9313" s="6">
        <v>46645</v>
      </c>
      <c r="E9313" s="3" t="str">
        <f ca="1">IF(Tabela2[[#This Row],[Dt Venc:]]&gt;TODAY(),"Em Aberto",IF(Tabela2[[#This Row],[D/venc]]="-","Enviado",IF(Tabela2[[#This Row],[Dt Venc:]]=TODAY(),"Vence Hoje","Vencida")))</f>
        <v>Em Aberto</v>
      </c>
      <c r="F9313" s="3">
        <f ca="1">IF(G9313=1,"-",Tabela2[[#This Row],[Dt Venc:]]-TODAY())</f>
        <v>952</v>
      </c>
      <c r="G9313" s="3"/>
      <c r="H9313" s="3"/>
    </row>
    <row r="9314" spans="1:8">
      <c r="A9314" s="3">
        <v>896565</v>
      </c>
      <c r="B9314" s="7" t="s">
        <v>253</v>
      </c>
      <c r="C9314" s="99" t="s">
        <v>32</v>
      </c>
      <c r="D9314" s="6">
        <v>46645</v>
      </c>
      <c r="E9314" s="3" t="str">
        <f ca="1">IF(Tabela2[[#This Row],[Dt Venc:]]&gt;TODAY(),"Em Aberto",IF(Tabela2[[#This Row],[D/venc]]="-","Enviado",IF(Tabela2[[#This Row],[Dt Venc:]]=TODAY(),"Vence Hoje","Vencida")))</f>
        <v>Em Aberto</v>
      </c>
      <c r="F9314" s="3">
        <f ca="1">IF(G9314=1,"-",Tabela2[[#This Row],[Dt Venc:]]-TODAY())</f>
        <v>952</v>
      </c>
      <c r="G9314" s="3"/>
      <c r="H9314" s="3"/>
    </row>
    <row r="9315" spans="1:8">
      <c r="A9315" s="3">
        <v>900386</v>
      </c>
      <c r="B9315" s="7" t="s">
        <v>253</v>
      </c>
      <c r="C9315" s="99" t="s">
        <v>32</v>
      </c>
      <c r="D9315" s="6">
        <v>46645</v>
      </c>
      <c r="E9315" s="3" t="str">
        <f ca="1">IF(Tabela2[[#This Row],[Dt Venc:]]&gt;TODAY(),"Em Aberto",IF(Tabela2[[#This Row],[D/venc]]="-","Enviado",IF(Tabela2[[#This Row],[Dt Venc:]]=TODAY(),"Vence Hoje","Vencida")))</f>
        <v>Em Aberto</v>
      </c>
      <c r="F9315" s="3">
        <f ca="1">IF(G9315=1,"-",Tabela2[[#This Row],[Dt Venc:]]-TODAY())</f>
        <v>952</v>
      </c>
      <c r="G9315" s="3"/>
      <c r="H9315" s="3"/>
    </row>
    <row r="9316" spans="1:8">
      <c r="A9316" s="3">
        <v>901787</v>
      </c>
      <c r="B9316" s="7" t="s">
        <v>253</v>
      </c>
      <c r="C9316" s="99" t="s">
        <v>32</v>
      </c>
      <c r="D9316" s="6">
        <v>46645</v>
      </c>
      <c r="E9316" s="3" t="str">
        <f ca="1">IF(Tabela2[[#This Row],[Dt Venc:]]&gt;TODAY(),"Em Aberto",IF(Tabela2[[#This Row],[D/venc]]="-","Enviado",IF(Tabela2[[#This Row],[Dt Venc:]]=TODAY(),"Vence Hoje","Vencida")))</f>
        <v>Em Aberto</v>
      </c>
      <c r="F9316" s="3">
        <f ca="1">IF(G9316=1,"-",Tabela2[[#This Row],[Dt Venc:]]-TODAY())</f>
        <v>952</v>
      </c>
      <c r="G9316" s="3"/>
      <c r="H9316" s="3"/>
    </row>
    <row r="9317" spans="1:8">
      <c r="A9317" s="3">
        <v>901788</v>
      </c>
      <c r="B9317" s="7" t="s">
        <v>253</v>
      </c>
      <c r="C9317" s="99" t="s">
        <v>32</v>
      </c>
      <c r="D9317" s="6">
        <v>46645</v>
      </c>
      <c r="E9317" s="3" t="str">
        <f ca="1">IF(Tabela2[[#This Row],[Dt Venc:]]&gt;TODAY(),"Em Aberto",IF(Tabela2[[#This Row],[D/venc]]="-","Enviado",IF(Tabela2[[#This Row],[Dt Venc:]]=TODAY(),"Vence Hoje","Vencida")))</f>
        <v>Em Aberto</v>
      </c>
      <c r="F9317" s="3">
        <f ca="1">IF(G9317=1,"-",Tabela2[[#This Row],[Dt Venc:]]-TODAY())</f>
        <v>952</v>
      </c>
      <c r="G9317" s="3"/>
      <c r="H9317" s="3"/>
    </row>
    <row r="9318" spans="1:8">
      <c r="A9318" s="3">
        <v>901789</v>
      </c>
      <c r="B9318" s="7" t="s">
        <v>253</v>
      </c>
      <c r="C9318" s="99" t="s">
        <v>32</v>
      </c>
      <c r="D9318" s="6">
        <v>46645</v>
      </c>
      <c r="E9318" s="3" t="str">
        <f ca="1">IF(Tabela2[[#This Row],[Dt Venc:]]&gt;TODAY(),"Em Aberto",IF(Tabela2[[#This Row],[D/venc]]="-","Enviado",IF(Tabela2[[#This Row],[Dt Venc:]]=TODAY(),"Vence Hoje","Vencida")))</f>
        <v>Em Aberto</v>
      </c>
      <c r="F9318" s="3">
        <f ca="1">IF(G9318=1,"-",Tabela2[[#This Row],[Dt Venc:]]-TODAY())</f>
        <v>952</v>
      </c>
      <c r="G9318" s="3"/>
      <c r="H9318" s="3"/>
    </row>
    <row r="9319" spans="1:8">
      <c r="A9319" s="3">
        <v>912703</v>
      </c>
      <c r="B9319" s="7" t="s">
        <v>253</v>
      </c>
      <c r="C9319" s="99" t="s">
        <v>32</v>
      </c>
      <c r="D9319" s="6">
        <v>46645</v>
      </c>
      <c r="E9319" s="3" t="str">
        <f ca="1">IF(Tabela2[[#This Row],[Dt Venc:]]&gt;TODAY(),"Em Aberto",IF(Tabela2[[#This Row],[D/venc]]="-","Enviado",IF(Tabela2[[#This Row],[Dt Venc:]]=TODAY(),"Vence Hoje","Vencida")))</f>
        <v>Em Aberto</v>
      </c>
      <c r="F9319" s="3">
        <f ca="1">IF(G9319=1,"-",Tabela2[[#This Row],[Dt Venc:]]-TODAY())</f>
        <v>952</v>
      </c>
      <c r="G9319" s="3"/>
      <c r="H9319" s="3"/>
    </row>
    <row r="9320" spans="1:8">
      <c r="A9320" s="3">
        <v>912704</v>
      </c>
      <c r="B9320" s="7" t="s">
        <v>253</v>
      </c>
      <c r="C9320" s="99" t="s">
        <v>32</v>
      </c>
      <c r="D9320" s="6">
        <v>46645</v>
      </c>
      <c r="E9320" s="3" t="str">
        <f ca="1">IF(Tabela2[[#This Row],[Dt Venc:]]&gt;TODAY(),"Em Aberto",IF(Tabela2[[#This Row],[D/venc]]="-","Enviado",IF(Tabela2[[#This Row],[Dt Venc:]]=TODAY(),"Vence Hoje","Vencida")))</f>
        <v>Em Aberto</v>
      </c>
      <c r="F9320" s="3">
        <f ca="1">IF(G9320=1,"-",Tabela2[[#This Row],[Dt Venc:]]-TODAY())</f>
        <v>952</v>
      </c>
      <c r="G9320" s="3"/>
      <c r="H9320" s="3"/>
    </row>
    <row r="9321" spans="1:8">
      <c r="A9321" s="3">
        <v>919728</v>
      </c>
      <c r="B9321" s="7" t="s">
        <v>253</v>
      </c>
      <c r="C9321" s="87" t="s">
        <v>32</v>
      </c>
      <c r="D9321" s="6">
        <v>46645</v>
      </c>
      <c r="E9321" s="3" t="str">
        <f ca="1">IF(Tabela2[[#This Row],[Dt Venc:]]&gt;TODAY(),"Em Aberto",IF(Tabela2[[#This Row],[D/venc]]="-","Enviado",IF(Tabela2[[#This Row],[Dt Venc:]]=TODAY(),"Vence Hoje","Vencida")))</f>
        <v>Em Aberto</v>
      </c>
      <c r="F9321" s="3">
        <f ca="1">IF(G9321=1,"-",Tabela2[[#This Row],[Dt Venc:]]-TODAY())</f>
        <v>952</v>
      </c>
      <c r="G9321" s="3"/>
      <c r="H9321" s="3"/>
    </row>
    <row r="9322" spans="1:8">
      <c r="A9322" s="3">
        <v>919729</v>
      </c>
      <c r="B9322" s="7" t="s">
        <v>253</v>
      </c>
      <c r="C9322" s="87" t="s">
        <v>32</v>
      </c>
      <c r="D9322" s="6">
        <v>46645</v>
      </c>
      <c r="E9322" s="3" t="str">
        <f ca="1">IF(Tabela2[[#This Row],[Dt Venc:]]&gt;TODAY(),"Em Aberto",IF(Tabela2[[#This Row],[D/venc]]="-","Enviado",IF(Tabela2[[#This Row],[Dt Venc:]]=TODAY(),"Vence Hoje","Vencida")))</f>
        <v>Em Aberto</v>
      </c>
      <c r="F9322" s="3">
        <f ca="1">IF(G9322=1,"-",Tabela2[[#This Row],[Dt Venc:]]-TODAY())</f>
        <v>952</v>
      </c>
      <c r="G9322" s="3"/>
      <c r="H9322" s="3"/>
    </row>
    <row r="9323" spans="1:8">
      <c r="A9323" s="3">
        <v>495914</v>
      </c>
      <c r="B9323" s="7" t="s">
        <v>153</v>
      </c>
      <c r="C9323" s="99" t="s">
        <v>32</v>
      </c>
      <c r="D9323" s="6">
        <v>46655</v>
      </c>
      <c r="E9323" s="3" t="str">
        <f ca="1">IF(Tabela2[[#This Row],[Dt Venc:]]&gt;TODAY(),"Em Aberto",IF(Tabela2[[#This Row],[D/venc]]="-","Enviado",IF(Tabela2[[#This Row],[Dt Venc:]]=TODAY(),"Vence Hoje","Vencida")))</f>
        <v>Em Aberto</v>
      </c>
      <c r="F9323" s="3">
        <f ca="1">IF(G9323=1,"-",Tabela2[[#This Row],[Dt Venc:]]-TODAY())</f>
        <v>962</v>
      </c>
      <c r="G9323" s="3"/>
      <c r="H9323" s="3"/>
    </row>
    <row r="9324" spans="1:8">
      <c r="A9324" s="3">
        <v>5690</v>
      </c>
      <c r="B9324" s="7" t="s">
        <v>122</v>
      </c>
      <c r="C9324" s="99" t="s">
        <v>32</v>
      </c>
      <c r="D9324" s="6">
        <v>46657</v>
      </c>
      <c r="E9324" s="3" t="str">
        <f ca="1">IF(Tabela2[[#This Row],[Dt Venc:]]&gt;TODAY(),"Em Aberto",IF(Tabela2[[#This Row],[D/venc]]="-","Enviado",IF(Tabela2[[#This Row],[Dt Venc:]]=TODAY(),"Vence Hoje","Vencida")))</f>
        <v>Em Aberto</v>
      </c>
      <c r="F9324" s="3">
        <f ca="1">IF(G9324=1,"-",Tabela2[[#This Row],[Dt Venc:]]-TODAY())</f>
        <v>964</v>
      </c>
      <c r="G9324" s="3"/>
      <c r="H9324" s="3"/>
    </row>
    <row r="9325" spans="1:8">
      <c r="A9325" s="3">
        <v>11681</v>
      </c>
      <c r="B9325" s="7" t="s">
        <v>82</v>
      </c>
      <c r="C9325" s="87" t="s">
        <v>30</v>
      </c>
      <c r="D9325" s="6">
        <v>46660</v>
      </c>
      <c r="E9325" s="3" t="str">
        <f ca="1">IF(Tabela2[[#This Row],[Dt Venc:]]&gt;TODAY(),"Em Aberto",IF(Tabela2[[#This Row],[D/venc]]="-","Enviado",IF(Tabela2[[#This Row],[Dt Venc:]]=TODAY(),"Vence Hoje","Vencida")))</f>
        <v>Em Aberto</v>
      </c>
      <c r="F9325" s="3">
        <f ca="1">IF(G9325=1,"-",Tabela2[[#This Row],[Dt Venc:]]-TODAY())</f>
        <v>967</v>
      </c>
      <c r="G9325" s="3"/>
      <c r="H9325" s="3"/>
    </row>
    <row r="9326" spans="1:8">
      <c r="A9326" s="3">
        <v>10494</v>
      </c>
      <c r="B9326" s="7" t="s">
        <v>82</v>
      </c>
      <c r="C9326" s="88" t="s">
        <v>30</v>
      </c>
      <c r="D9326" s="6">
        <v>46663</v>
      </c>
      <c r="E9326" s="3" t="str">
        <f ca="1">IF(Tabela2[[#This Row],[Dt Venc:]]&gt;TODAY(),"Em Aberto",IF(Tabela2[[#This Row],[D/venc]]="-","Enviado",IF(Tabela2[[#This Row],[Dt Venc:]]=TODAY(),"Vence Hoje","Vencida")))</f>
        <v>Em Aberto</v>
      </c>
      <c r="F9326" s="3">
        <f ca="1">IF(G9326=1,"-",Tabela2[[#This Row],[Dt Venc:]]-TODAY())</f>
        <v>970</v>
      </c>
      <c r="G9326" s="3"/>
      <c r="H9326" s="3"/>
    </row>
    <row r="9327" spans="1:8">
      <c r="A9327" s="3">
        <v>5680</v>
      </c>
      <c r="B9327" s="7" t="s">
        <v>122</v>
      </c>
      <c r="C9327" s="99" t="s">
        <v>32</v>
      </c>
      <c r="D9327" s="6">
        <v>46665</v>
      </c>
      <c r="E9327" s="3" t="str">
        <f ca="1">IF(Tabela2[[#This Row],[Dt Venc:]]&gt;TODAY(),"Em Aberto",IF(Tabela2[[#This Row],[D/venc]]="-","Enviado",IF(Tabela2[[#This Row],[Dt Venc:]]=TODAY(),"Vence Hoje","Vencida")))</f>
        <v>Em Aberto</v>
      </c>
      <c r="F9327" s="3">
        <f ca="1">IF(G9327=1,"-",Tabela2[[#This Row],[Dt Venc:]]-TODAY())</f>
        <v>972</v>
      </c>
      <c r="G9327" s="3"/>
      <c r="H9327" s="3"/>
    </row>
    <row r="9328" spans="1:8">
      <c r="A9328" s="3">
        <v>10353</v>
      </c>
      <c r="B9328" s="7" t="s">
        <v>82</v>
      </c>
      <c r="C9328" s="99" t="s">
        <v>32</v>
      </c>
      <c r="D9328" s="6">
        <v>46665</v>
      </c>
      <c r="E9328" s="3" t="str">
        <f ca="1">IF(Tabela2[[#This Row],[Dt Venc:]]&gt;TODAY(),"Em Aberto",IF(Tabela2[[#This Row],[D/venc]]="-","Enviado",IF(Tabela2[[#This Row],[Dt Venc:]]=TODAY(),"Vence Hoje","Vencida")))</f>
        <v>Em Aberto</v>
      </c>
      <c r="F9328" s="3">
        <f ca="1">IF(G9328=1,"-",Tabela2[[#This Row],[Dt Venc:]]-TODAY())</f>
        <v>972</v>
      </c>
      <c r="G9328" s="3"/>
      <c r="H9328" s="3"/>
    </row>
    <row r="9329" spans="1:8">
      <c r="A9329" s="3">
        <v>284620</v>
      </c>
      <c r="B9329" s="7" t="s">
        <v>153</v>
      </c>
      <c r="C9329" s="99" t="s">
        <v>32</v>
      </c>
      <c r="D9329" s="6">
        <v>46668</v>
      </c>
      <c r="E9329" s="3" t="str">
        <f ca="1">IF(Tabela2[[#This Row],[Dt Venc:]]&gt;TODAY(),"Em Aberto",IF(Tabela2[[#This Row],[D/venc]]="-","Enviado",IF(Tabela2[[#This Row],[Dt Venc:]]=TODAY(),"Vence Hoje","Vencida")))</f>
        <v>Em Aberto</v>
      </c>
      <c r="F9329" s="3">
        <f ca="1">IF(G9329=1,"-",Tabela2[[#This Row],[Dt Venc:]]-TODAY())</f>
        <v>975</v>
      </c>
      <c r="G9329" s="3"/>
      <c r="H9329" s="3"/>
    </row>
    <row r="9330" spans="1:8">
      <c r="A9330" s="3">
        <v>756561</v>
      </c>
      <c r="B9330" s="7" t="s">
        <v>166</v>
      </c>
      <c r="C9330" s="99" t="s">
        <v>32</v>
      </c>
      <c r="D9330" s="6">
        <v>46669</v>
      </c>
      <c r="E9330" s="3" t="str">
        <f ca="1">IF(Tabela2[[#This Row],[Dt Venc:]]&gt;TODAY(),"Em Aberto",IF(Tabela2[[#This Row],[D/venc]]="-","Enviado",IF(Tabela2[[#This Row],[Dt Venc:]]=TODAY(),"Vence Hoje","Vencida")))</f>
        <v>Em Aberto</v>
      </c>
      <c r="F9330" s="3">
        <f ca="1">IF(G9330=1,"-",Tabela2[[#This Row],[Dt Venc:]]-TODAY())</f>
        <v>976</v>
      </c>
      <c r="G9330" s="3"/>
      <c r="H9330" s="3"/>
    </row>
    <row r="9331" spans="1:8">
      <c r="A9331" s="3">
        <v>562</v>
      </c>
      <c r="B9331" s="7" t="s">
        <v>251</v>
      </c>
      <c r="C9331" s="99" t="s">
        <v>32</v>
      </c>
      <c r="D9331" s="6">
        <v>46675</v>
      </c>
      <c r="E9331" s="3" t="str">
        <f ca="1">IF(Tabela2[[#This Row],[Dt Venc:]]&gt;TODAY(),"Em Aberto",IF(Tabela2[[#This Row],[D/venc]]="-","Enviado",IF(Tabela2[[#This Row],[Dt Venc:]]=TODAY(),"Vence Hoje","Vencida")))</f>
        <v>Em Aberto</v>
      </c>
      <c r="F9331" s="3">
        <f ca="1">IF(G9331=1,"-",Tabela2[[#This Row],[Dt Venc:]]-TODAY())</f>
        <v>982</v>
      </c>
      <c r="G9331" s="3"/>
      <c r="H9331" s="3"/>
    </row>
    <row r="9332" spans="1:8">
      <c r="A9332" s="3">
        <v>103015</v>
      </c>
      <c r="B9332" s="7" t="s">
        <v>252</v>
      </c>
      <c r="C9332" s="99" t="s">
        <v>32</v>
      </c>
      <c r="D9332" s="6">
        <v>46675</v>
      </c>
      <c r="E9332" s="3" t="str">
        <f ca="1">IF(Tabela2[[#This Row],[Dt Venc:]]&gt;TODAY(),"Em Aberto",IF(Tabela2[[#This Row],[D/venc]]="-","Enviado",IF(Tabela2[[#This Row],[Dt Venc:]]=TODAY(),"Vence Hoje","Vencida")))</f>
        <v>Em Aberto</v>
      </c>
      <c r="F9332" s="3">
        <f ca="1">IF(G9332=1,"-",Tabela2[[#This Row],[Dt Venc:]]-TODAY())</f>
        <v>982</v>
      </c>
      <c r="G9332" s="3"/>
      <c r="H9332" s="3"/>
    </row>
    <row r="9333" spans="1:8">
      <c r="A9333" s="3">
        <v>103077</v>
      </c>
      <c r="B9333" s="7" t="s">
        <v>252</v>
      </c>
      <c r="C9333" s="99" t="s">
        <v>32</v>
      </c>
      <c r="D9333" s="6">
        <v>46675</v>
      </c>
      <c r="E9333" s="3" t="str">
        <f ca="1">IF(Tabela2[[#This Row],[Dt Venc:]]&gt;TODAY(),"Em Aberto",IF(Tabela2[[#This Row],[D/venc]]="-","Enviado",IF(Tabela2[[#This Row],[Dt Venc:]]=TODAY(),"Vence Hoje","Vencida")))</f>
        <v>Em Aberto</v>
      </c>
      <c r="F9333" s="3">
        <f ca="1">IF(G9333=1,"-",Tabela2[[#This Row],[Dt Venc:]]-TODAY())</f>
        <v>982</v>
      </c>
      <c r="G9333" s="3"/>
      <c r="H9333" s="3"/>
    </row>
    <row r="9334" spans="1:8">
      <c r="A9334" s="3">
        <v>103153</v>
      </c>
      <c r="B9334" s="7" t="s">
        <v>252</v>
      </c>
      <c r="C9334" s="85" t="s">
        <v>32</v>
      </c>
      <c r="D9334" s="6">
        <v>46675</v>
      </c>
      <c r="E9334" s="3" t="str">
        <f ca="1">IF(Tabela2[[#This Row],[Dt Venc:]]&gt;TODAY(),"Em Aberto",IF(Tabela2[[#This Row],[D/venc]]="-","Enviado",IF(Tabela2[[#This Row],[Dt Venc:]]=TODAY(),"Vence Hoje","Vencida")))</f>
        <v>Em Aberto</v>
      </c>
      <c r="F9334" s="3">
        <f ca="1">IF(G9334=1,"-",Tabela2[[#This Row],[Dt Venc:]]-TODAY())</f>
        <v>982</v>
      </c>
      <c r="G9334" s="3"/>
      <c r="H9334" s="3"/>
    </row>
    <row r="9335" spans="1:8">
      <c r="A9335" s="3">
        <v>103154</v>
      </c>
      <c r="B9335" s="7" t="s">
        <v>252</v>
      </c>
      <c r="C9335" s="99" t="s">
        <v>32</v>
      </c>
      <c r="D9335" s="6">
        <v>46675</v>
      </c>
      <c r="E9335" s="3" t="str">
        <f ca="1">IF(Tabela2[[#This Row],[Dt Venc:]]&gt;TODAY(),"Em Aberto",IF(Tabela2[[#This Row],[D/venc]]="-","Enviado",IF(Tabela2[[#This Row],[Dt Venc:]]=TODAY(),"Vence Hoje","Vencida")))</f>
        <v>Em Aberto</v>
      </c>
      <c r="F9335" s="3">
        <f ca="1">IF(G9335=1,"-",Tabela2[[#This Row],[Dt Venc:]]-TODAY())</f>
        <v>982</v>
      </c>
      <c r="G9335" s="3"/>
      <c r="H9335" s="3"/>
    </row>
    <row r="9336" spans="1:8">
      <c r="A9336" s="3">
        <v>106007</v>
      </c>
      <c r="B9336" s="7" t="s">
        <v>252</v>
      </c>
      <c r="C9336" s="99" t="s">
        <v>32</v>
      </c>
      <c r="D9336" s="6">
        <v>46675</v>
      </c>
      <c r="E9336" s="3" t="str">
        <f ca="1">IF(Tabela2[[#This Row],[Dt Venc:]]&gt;TODAY(),"Em Aberto",IF(Tabela2[[#This Row],[D/venc]]="-","Enviado",IF(Tabela2[[#This Row],[Dt Venc:]]=TODAY(),"Vence Hoje","Vencida")))</f>
        <v>Em Aberto</v>
      </c>
      <c r="F9336" s="3">
        <f ca="1">IF(G9336=1,"-",Tabela2[[#This Row],[Dt Venc:]]-TODAY())</f>
        <v>982</v>
      </c>
      <c r="G9336" s="3"/>
      <c r="H9336" s="3"/>
    </row>
    <row r="9337" spans="1:8">
      <c r="A9337" s="3">
        <v>106043</v>
      </c>
      <c r="B9337" s="7" t="s">
        <v>252</v>
      </c>
      <c r="C9337" s="99" t="s">
        <v>32</v>
      </c>
      <c r="D9337" s="6">
        <v>46675</v>
      </c>
      <c r="E9337" s="3" t="str">
        <f ca="1">IF(Tabela2[[#This Row],[Dt Venc:]]&gt;TODAY(),"Em Aberto",IF(Tabela2[[#This Row],[D/venc]]="-","Enviado",IF(Tabela2[[#This Row],[Dt Venc:]]=TODAY(),"Vence Hoje","Vencida")))</f>
        <v>Em Aberto</v>
      </c>
      <c r="F9337" s="3">
        <f ca="1">IF(G9337=1,"-",Tabela2[[#This Row],[Dt Venc:]]-TODAY())</f>
        <v>982</v>
      </c>
      <c r="G9337" s="3"/>
      <c r="H9337" s="3"/>
    </row>
    <row r="9338" spans="1:8">
      <c r="A9338" s="3">
        <v>107829</v>
      </c>
      <c r="B9338" s="7" t="s">
        <v>252</v>
      </c>
      <c r="C9338" s="99" t="s">
        <v>32</v>
      </c>
      <c r="D9338" s="6">
        <v>46675</v>
      </c>
      <c r="E9338" s="3" t="str">
        <f ca="1">IF(Tabela2[[#This Row],[Dt Venc:]]&gt;TODAY(),"Em Aberto",IF(Tabela2[[#This Row],[D/venc]]="-","Enviado",IF(Tabela2[[#This Row],[Dt Venc:]]=TODAY(),"Vence Hoje","Vencida")))</f>
        <v>Em Aberto</v>
      </c>
      <c r="F9338" s="3">
        <f ca="1">IF(G9338=1,"-",Tabela2[[#This Row],[Dt Venc:]]-TODAY())</f>
        <v>982</v>
      </c>
      <c r="G9338" s="3"/>
      <c r="H9338" s="3"/>
    </row>
    <row r="9339" spans="1:8">
      <c r="A9339" s="3">
        <v>107830</v>
      </c>
      <c r="B9339" s="7" t="s">
        <v>252</v>
      </c>
      <c r="C9339" s="85" t="s">
        <v>32</v>
      </c>
      <c r="D9339" s="6">
        <v>46675</v>
      </c>
      <c r="E9339" s="3" t="str">
        <f ca="1">IF(Tabela2[[#This Row],[Dt Venc:]]&gt;TODAY(),"Em Aberto",IF(Tabela2[[#This Row],[D/venc]]="-","Enviado",IF(Tabela2[[#This Row],[Dt Venc:]]=TODAY(),"Vence Hoje","Vencida")))</f>
        <v>Em Aberto</v>
      </c>
      <c r="F9339" s="3">
        <f ca="1">IF(G9339=1,"-",Tabela2[[#This Row],[Dt Venc:]]-TODAY())</f>
        <v>982</v>
      </c>
      <c r="G9339" s="3"/>
      <c r="H9339" s="3"/>
    </row>
    <row r="9340" spans="1:8">
      <c r="A9340" s="3">
        <v>107831</v>
      </c>
      <c r="B9340" s="7" t="s">
        <v>252</v>
      </c>
      <c r="C9340" s="99" t="s">
        <v>32</v>
      </c>
      <c r="D9340" s="6">
        <v>46675</v>
      </c>
      <c r="E9340" s="3" t="str">
        <f ca="1">IF(Tabela2[[#This Row],[Dt Venc:]]&gt;TODAY(),"Em Aberto",IF(Tabela2[[#This Row],[D/venc]]="-","Enviado",IF(Tabela2[[#This Row],[Dt Venc:]]=TODAY(),"Vence Hoje","Vencida")))</f>
        <v>Em Aberto</v>
      </c>
      <c r="F9340" s="3">
        <f ca="1">IF(G9340=1,"-",Tabela2[[#This Row],[Dt Venc:]]-TODAY())</f>
        <v>982</v>
      </c>
      <c r="G9340" s="3"/>
      <c r="H9340" s="3"/>
    </row>
    <row r="9341" spans="1:8">
      <c r="A9341" s="3">
        <v>107832</v>
      </c>
      <c r="B9341" s="7" t="s">
        <v>252</v>
      </c>
      <c r="C9341" s="99" t="s">
        <v>32</v>
      </c>
      <c r="D9341" s="6">
        <v>46675</v>
      </c>
      <c r="E9341" s="3" t="str">
        <f ca="1">IF(Tabela2[[#This Row],[Dt Venc:]]&gt;TODAY(),"Em Aberto",IF(Tabela2[[#This Row],[D/venc]]="-","Enviado",IF(Tabela2[[#This Row],[Dt Venc:]]=TODAY(),"Vence Hoje","Vencida")))</f>
        <v>Em Aberto</v>
      </c>
      <c r="F9341" s="3">
        <f ca="1">IF(G9341=1,"-",Tabela2[[#This Row],[Dt Venc:]]-TODAY())</f>
        <v>982</v>
      </c>
      <c r="G9341" s="3"/>
      <c r="H9341" s="3"/>
    </row>
    <row r="9342" spans="1:8">
      <c r="A9342" s="3">
        <v>361229</v>
      </c>
      <c r="B9342" s="7" t="s">
        <v>250</v>
      </c>
      <c r="C9342" s="99" t="s">
        <v>32</v>
      </c>
      <c r="D9342" s="6">
        <v>46675</v>
      </c>
      <c r="E9342" s="3" t="str">
        <f ca="1">IF(Tabela2[[#This Row],[Dt Venc:]]&gt;TODAY(),"Em Aberto",IF(Tabela2[[#This Row],[D/venc]]="-","Enviado",IF(Tabela2[[#This Row],[Dt Venc:]]=TODAY(),"Vence Hoje","Vencida")))</f>
        <v>Em Aberto</v>
      </c>
      <c r="F9342" s="3">
        <f ca="1">IF(G9342=1,"-",Tabela2[[#This Row],[Dt Venc:]]-TODAY())</f>
        <v>982</v>
      </c>
      <c r="G9342" s="3"/>
      <c r="H9342" s="3"/>
    </row>
    <row r="9343" spans="1:8">
      <c r="A9343" s="3">
        <v>361237</v>
      </c>
      <c r="B9343" s="7" t="s">
        <v>250</v>
      </c>
      <c r="C9343" s="99" t="s">
        <v>32</v>
      </c>
      <c r="D9343" s="6">
        <v>46675</v>
      </c>
      <c r="E9343" s="3" t="str">
        <f ca="1">IF(Tabela2[[#This Row],[Dt Venc:]]&gt;TODAY(),"Em Aberto",IF(Tabela2[[#This Row],[D/venc]]="-","Enviado",IF(Tabela2[[#This Row],[Dt Venc:]]=TODAY(),"Vence Hoje","Vencida")))</f>
        <v>Em Aberto</v>
      </c>
      <c r="F9343" s="3">
        <f ca="1">IF(G9343=1,"-",Tabela2[[#This Row],[Dt Venc:]]-TODAY())</f>
        <v>982</v>
      </c>
      <c r="G9343" s="3"/>
      <c r="H9343" s="3"/>
    </row>
    <row r="9344" spans="1:8">
      <c r="A9344" s="3">
        <v>365658</v>
      </c>
      <c r="B9344" s="7" t="s">
        <v>250</v>
      </c>
      <c r="C9344" s="99" t="s">
        <v>32</v>
      </c>
      <c r="D9344" s="6">
        <v>46675</v>
      </c>
      <c r="E9344" s="3" t="str">
        <f ca="1">IF(Tabela2[[#This Row],[Dt Venc:]]&gt;TODAY(),"Em Aberto",IF(Tabela2[[#This Row],[D/venc]]="-","Enviado",IF(Tabela2[[#This Row],[Dt Venc:]]=TODAY(),"Vence Hoje","Vencida")))</f>
        <v>Em Aberto</v>
      </c>
      <c r="F9344" s="3">
        <f ca="1">IF(G9344=1,"-",Tabela2[[#This Row],[Dt Venc:]]-TODAY())</f>
        <v>982</v>
      </c>
      <c r="G9344" s="3"/>
      <c r="H9344" s="3"/>
    </row>
    <row r="9345" spans="1:8">
      <c r="A9345" s="3">
        <v>365666</v>
      </c>
      <c r="B9345" s="7" t="s">
        <v>250</v>
      </c>
      <c r="C9345" s="99" t="s">
        <v>32</v>
      </c>
      <c r="D9345" s="6">
        <v>46675</v>
      </c>
      <c r="E9345" s="3" t="str">
        <f ca="1">IF(Tabela2[[#This Row],[Dt Venc:]]&gt;TODAY(),"Em Aberto",IF(Tabela2[[#This Row],[D/venc]]="-","Enviado",IF(Tabela2[[#This Row],[Dt Venc:]]=TODAY(),"Vence Hoje","Vencida")))</f>
        <v>Em Aberto</v>
      </c>
      <c r="F9345" s="3">
        <f ca="1">IF(G9345=1,"-",Tabela2[[#This Row],[Dt Venc:]]-TODAY())</f>
        <v>982</v>
      </c>
      <c r="G9345" s="3"/>
      <c r="H9345" s="3"/>
    </row>
    <row r="9346" spans="1:8">
      <c r="A9346" s="3">
        <v>365674</v>
      </c>
      <c r="B9346" s="7" t="s">
        <v>250</v>
      </c>
      <c r="C9346" s="99" t="s">
        <v>32</v>
      </c>
      <c r="D9346" s="6">
        <v>46675</v>
      </c>
      <c r="E9346" s="3" t="str">
        <f ca="1">IF(Tabela2[[#This Row],[Dt Venc:]]&gt;TODAY(),"Em Aberto",IF(Tabela2[[#This Row],[D/venc]]="-","Enviado",IF(Tabela2[[#This Row],[Dt Venc:]]=TODAY(),"Vence Hoje","Vencida")))</f>
        <v>Em Aberto</v>
      </c>
      <c r="F9346" s="3">
        <f ca="1">IF(G9346=1,"-",Tabela2[[#This Row],[Dt Venc:]]-TODAY())</f>
        <v>982</v>
      </c>
      <c r="G9346" s="3"/>
      <c r="H9346" s="3"/>
    </row>
    <row r="9347" spans="1:8">
      <c r="A9347" s="3">
        <v>365682</v>
      </c>
      <c r="B9347" s="7" t="s">
        <v>250</v>
      </c>
      <c r="C9347" s="99" t="s">
        <v>32</v>
      </c>
      <c r="D9347" s="6">
        <v>46675</v>
      </c>
      <c r="E9347" s="3" t="str">
        <f ca="1">IF(Tabela2[[#This Row],[Dt Venc:]]&gt;TODAY(),"Em Aberto",IF(Tabela2[[#This Row],[D/venc]]="-","Enviado",IF(Tabela2[[#This Row],[Dt Venc:]]=TODAY(),"Vence Hoje","Vencida")))</f>
        <v>Em Aberto</v>
      </c>
      <c r="F9347" s="3">
        <f ca="1">IF(G9347=1,"-",Tabela2[[#This Row],[Dt Venc:]]-TODAY())</f>
        <v>982</v>
      </c>
      <c r="G9347" s="3"/>
      <c r="H9347" s="3"/>
    </row>
    <row r="9348" spans="1:8">
      <c r="A9348" s="3">
        <v>369335</v>
      </c>
      <c r="B9348" s="7" t="s">
        <v>543</v>
      </c>
      <c r="C9348" s="87" t="s">
        <v>32</v>
      </c>
      <c r="D9348" s="6">
        <v>46675</v>
      </c>
      <c r="E9348" s="3" t="str">
        <f ca="1">IF(Tabela2[[#This Row],[Dt Venc:]]&gt;TODAY(),"Em Aberto",IF(Tabela2[[#This Row],[D/venc]]="-","Enviado",IF(Tabela2[[#This Row],[Dt Venc:]]=TODAY(),"Vence Hoje","Vencida")))</f>
        <v>Em Aberto</v>
      </c>
      <c r="F9348" s="3">
        <f ca="1">IF(G9348=1,"-",Tabela2[[#This Row],[Dt Venc:]]-TODAY())</f>
        <v>982</v>
      </c>
      <c r="G9348" s="3"/>
      <c r="H9348" s="3"/>
    </row>
    <row r="9349" spans="1:8">
      <c r="A9349" s="3">
        <v>369696</v>
      </c>
      <c r="B9349" s="7" t="s">
        <v>543</v>
      </c>
      <c r="C9349" s="87" t="s">
        <v>32</v>
      </c>
      <c r="D9349" s="6">
        <v>46675</v>
      </c>
      <c r="E9349" s="3" t="str">
        <f ca="1">IF(Tabela2[[#This Row],[Dt Venc:]]&gt;TODAY(),"Em Aberto",IF(Tabela2[[#This Row],[D/venc]]="-","Enviado",IF(Tabela2[[#This Row],[Dt Venc:]]=TODAY(),"Vence Hoje","Vencida")))</f>
        <v>Em Aberto</v>
      </c>
      <c r="F9349" s="3">
        <f ca="1">IF(G9349=1,"-",Tabela2[[#This Row],[Dt Venc:]]-TODAY())</f>
        <v>982</v>
      </c>
      <c r="G9349" s="3"/>
      <c r="H9349" s="3"/>
    </row>
    <row r="9350" spans="1:8">
      <c r="A9350" s="3">
        <v>369726</v>
      </c>
      <c r="B9350" s="7" t="s">
        <v>543</v>
      </c>
      <c r="C9350" s="87" t="s">
        <v>32</v>
      </c>
      <c r="D9350" s="6">
        <v>46675</v>
      </c>
      <c r="E9350" s="3" t="str">
        <f ca="1">IF(Tabela2[[#This Row],[Dt Venc:]]&gt;TODAY(),"Em Aberto",IF(Tabela2[[#This Row],[D/venc]]="-","Enviado",IF(Tabela2[[#This Row],[Dt Venc:]]=TODAY(),"Vence Hoje","Vencida")))</f>
        <v>Em Aberto</v>
      </c>
      <c r="F9350" s="3">
        <f ca="1">IF(G9350=1,"-",Tabela2[[#This Row],[Dt Venc:]]-TODAY())</f>
        <v>982</v>
      </c>
      <c r="G9350" s="3"/>
      <c r="H9350" s="3"/>
    </row>
    <row r="9351" spans="1:8">
      <c r="A9351" s="3">
        <v>369751</v>
      </c>
      <c r="B9351" s="7" t="s">
        <v>543</v>
      </c>
      <c r="C9351" s="87" t="s">
        <v>32</v>
      </c>
      <c r="D9351" s="6">
        <v>46675</v>
      </c>
      <c r="E9351" s="3" t="str">
        <f ca="1">IF(Tabela2[[#This Row],[Dt Venc:]]&gt;TODAY(),"Em Aberto",IF(Tabela2[[#This Row],[D/venc]]="-","Enviado",IF(Tabela2[[#This Row],[Dt Venc:]]=TODAY(),"Vence Hoje","Vencida")))</f>
        <v>Em Aberto</v>
      </c>
      <c r="F9351" s="3">
        <f ca="1">IF(G9351=1,"-",Tabela2[[#This Row],[Dt Venc:]]-TODAY())</f>
        <v>982</v>
      </c>
      <c r="G9351" s="3"/>
      <c r="H9351" s="3"/>
    </row>
    <row r="9352" spans="1:8">
      <c r="A9352" s="3">
        <v>370201</v>
      </c>
      <c r="B9352" s="7" t="s">
        <v>543</v>
      </c>
      <c r="C9352" s="87" t="s">
        <v>32</v>
      </c>
      <c r="D9352" s="6">
        <v>46675</v>
      </c>
      <c r="E9352" s="3" t="str">
        <f ca="1">IF(Tabela2[[#This Row],[Dt Venc:]]&gt;TODAY(),"Em Aberto",IF(Tabela2[[#This Row],[D/venc]]="-","Enviado",IF(Tabela2[[#This Row],[Dt Venc:]]=TODAY(),"Vence Hoje","Vencida")))</f>
        <v>Em Aberto</v>
      </c>
      <c r="F9352" s="3">
        <f ca="1">IF(G9352=1,"-",Tabela2[[#This Row],[Dt Venc:]]-TODAY())</f>
        <v>982</v>
      </c>
      <c r="G9352" s="3"/>
      <c r="H9352" s="3"/>
    </row>
    <row r="9353" spans="1:8">
      <c r="A9353" s="3">
        <v>370864</v>
      </c>
      <c r="B9353" s="7" t="s">
        <v>543</v>
      </c>
      <c r="C9353" s="87" t="s">
        <v>32</v>
      </c>
      <c r="D9353" s="6">
        <v>46675</v>
      </c>
      <c r="E9353" s="3" t="str">
        <f ca="1">IF(Tabela2[[#This Row],[Dt Venc:]]&gt;TODAY(),"Em Aberto",IF(Tabela2[[#This Row],[D/venc]]="-","Enviado",IF(Tabela2[[#This Row],[Dt Venc:]]=TODAY(),"Vence Hoje","Vencida")))</f>
        <v>Em Aberto</v>
      </c>
      <c r="F9353" s="3">
        <f ca="1">IF(G9353=1,"-",Tabela2[[#This Row],[Dt Venc:]]-TODAY())</f>
        <v>982</v>
      </c>
      <c r="G9353" s="3"/>
      <c r="H9353" s="3"/>
    </row>
    <row r="9354" spans="1:8">
      <c r="A9354" s="3">
        <v>371011</v>
      </c>
      <c r="B9354" s="7" t="s">
        <v>633</v>
      </c>
      <c r="C9354" s="87" t="s">
        <v>32</v>
      </c>
      <c r="D9354" s="6">
        <v>46675</v>
      </c>
      <c r="E9354" s="3" t="str">
        <f ca="1">IF(Tabela2[[#This Row],[Dt Venc:]]&gt;TODAY(),"Em Aberto",IF(Tabela2[[#This Row],[D/venc]]="-","Enviado",IF(Tabela2[[#This Row],[Dt Venc:]]=TODAY(),"Vence Hoje","Vencida")))</f>
        <v>Em Aberto</v>
      </c>
      <c r="F9354" s="3">
        <f ca="1">IF(G9354=1,"-",Tabela2[[#This Row],[Dt Venc:]]-TODAY())</f>
        <v>982</v>
      </c>
      <c r="G9354" s="3"/>
      <c r="H9354" s="3"/>
    </row>
    <row r="9355" spans="1:8">
      <c r="A9355" s="3">
        <v>371160</v>
      </c>
      <c r="B9355" s="7" t="s">
        <v>633</v>
      </c>
      <c r="C9355" s="87" t="s">
        <v>32</v>
      </c>
      <c r="D9355" s="6">
        <v>46675</v>
      </c>
      <c r="E9355" s="3" t="str">
        <f ca="1">IF(Tabela2[[#This Row],[Dt Venc:]]&gt;TODAY(),"Em Aberto",IF(Tabela2[[#This Row],[D/venc]]="-","Enviado",IF(Tabela2[[#This Row],[Dt Venc:]]=TODAY(),"Vence Hoje","Vencida")))</f>
        <v>Em Aberto</v>
      </c>
      <c r="F9355" s="3">
        <f ca="1">IF(G9355=1,"-",Tabela2[[#This Row],[Dt Venc:]]-TODAY())</f>
        <v>982</v>
      </c>
      <c r="G9355" s="3"/>
      <c r="H9355" s="3"/>
    </row>
    <row r="9356" spans="1:8">
      <c r="A9356" s="3">
        <v>892178</v>
      </c>
      <c r="B9356" s="7" t="s">
        <v>253</v>
      </c>
      <c r="C9356" s="99" t="s">
        <v>32</v>
      </c>
      <c r="D9356" s="6">
        <v>46675</v>
      </c>
      <c r="E9356" s="3" t="str">
        <f ca="1">IF(Tabela2[[#This Row],[Dt Venc:]]&gt;TODAY(),"Em Aberto",IF(Tabela2[[#This Row],[D/venc]]="-","Enviado",IF(Tabela2[[#This Row],[Dt Venc:]]=TODAY(),"Vence Hoje","Vencida")))</f>
        <v>Em Aberto</v>
      </c>
      <c r="F9356" s="3">
        <f ca="1">IF(G9356=1,"-",Tabela2[[#This Row],[Dt Venc:]]-TODAY())</f>
        <v>982</v>
      </c>
      <c r="G9356" s="3"/>
      <c r="H9356" s="3"/>
    </row>
    <row r="9357" spans="1:8">
      <c r="A9357" s="3">
        <v>894135</v>
      </c>
      <c r="B9357" s="7" t="s">
        <v>253</v>
      </c>
      <c r="C9357" s="99" t="s">
        <v>32</v>
      </c>
      <c r="D9357" s="6">
        <v>46675</v>
      </c>
      <c r="E9357" s="3" t="str">
        <f ca="1">IF(Tabela2[[#This Row],[Dt Venc:]]&gt;TODAY(),"Em Aberto",IF(Tabela2[[#This Row],[D/venc]]="-","Enviado",IF(Tabela2[[#This Row],[Dt Venc:]]=TODAY(),"Vence Hoje","Vencida")))</f>
        <v>Em Aberto</v>
      </c>
      <c r="F9357" s="3">
        <f ca="1">IF(G9357=1,"-",Tabela2[[#This Row],[Dt Venc:]]-TODAY())</f>
        <v>982</v>
      </c>
      <c r="G9357" s="3"/>
      <c r="H9357" s="3"/>
    </row>
    <row r="9358" spans="1:8">
      <c r="A9358" s="3">
        <v>896565</v>
      </c>
      <c r="B9358" s="7" t="s">
        <v>253</v>
      </c>
      <c r="C9358" s="100" t="s">
        <v>32</v>
      </c>
      <c r="D9358" s="6">
        <v>46675</v>
      </c>
      <c r="E9358" s="3" t="str">
        <f ca="1">IF(Tabela2[[#This Row],[Dt Venc:]]&gt;TODAY(),"Em Aberto",IF(Tabela2[[#This Row],[D/venc]]="-","Enviado",IF(Tabela2[[#This Row],[Dt Venc:]]=TODAY(),"Vence Hoje","Vencida")))</f>
        <v>Em Aberto</v>
      </c>
      <c r="F9358" s="3">
        <f ca="1">IF(G9358=1,"-",Tabela2[[#This Row],[Dt Venc:]]-TODAY())</f>
        <v>982</v>
      </c>
      <c r="G9358" s="3"/>
      <c r="H9358" s="3"/>
    </row>
    <row r="9359" spans="1:8">
      <c r="A9359" s="3">
        <v>900386</v>
      </c>
      <c r="B9359" s="7" t="s">
        <v>253</v>
      </c>
      <c r="C9359" s="100" t="s">
        <v>32</v>
      </c>
      <c r="D9359" s="6">
        <v>46675</v>
      </c>
      <c r="E9359" s="3" t="str">
        <f ca="1">IF(Tabela2[[#This Row],[Dt Venc:]]&gt;TODAY(),"Em Aberto",IF(Tabela2[[#This Row],[D/venc]]="-","Enviado",IF(Tabela2[[#This Row],[Dt Venc:]]=TODAY(),"Vence Hoje","Vencida")))</f>
        <v>Em Aberto</v>
      </c>
      <c r="F9359" s="3">
        <f ca="1">IF(G9359=1,"-",Tabela2[[#This Row],[Dt Venc:]]-TODAY())</f>
        <v>982</v>
      </c>
      <c r="G9359" s="3"/>
      <c r="H9359" s="3"/>
    </row>
    <row r="9360" spans="1:8">
      <c r="A9360" s="3">
        <v>901787</v>
      </c>
      <c r="B9360" s="7" t="s">
        <v>253</v>
      </c>
      <c r="C9360" s="99" t="s">
        <v>32</v>
      </c>
      <c r="D9360" s="6">
        <v>46675</v>
      </c>
      <c r="E9360" s="3" t="str">
        <f ca="1">IF(Tabela2[[#This Row],[Dt Venc:]]&gt;TODAY(),"Em Aberto",IF(Tabela2[[#This Row],[D/venc]]="-","Enviado",IF(Tabela2[[#This Row],[Dt Venc:]]=TODAY(),"Vence Hoje","Vencida")))</f>
        <v>Em Aberto</v>
      </c>
      <c r="F9360" s="3">
        <f ca="1">IF(G9360=1,"-",Tabela2[[#This Row],[Dt Venc:]]-TODAY())</f>
        <v>982</v>
      </c>
      <c r="G9360" s="3"/>
      <c r="H9360" s="3"/>
    </row>
    <row r="9361" spans="1:8">
      <c r="A9361" s="3">
        <v>901788</v>
      </c>
      <c r="B9361" s="7" t="s">
        <v>253</v>
      </c>
      <c r="C9361" s="100" t="s">
        <v>32</v>
      </c>
      <c r="D9361" s="6">
        <v>46675</v>
      </c>
      <c r="E9361" s="3" t="str">
        <f ca="1">IF(Tabela2[[#This Row],[Dt Venc:]]&gt;TODAY(),"Em Aberto",IF(Tabela2[[#This Row],[D/venc]]="-","Enviado",IF(Tabela2[[#This Row],[Dt Venc:]]=TODAY(),"Vence Hoje","Vencida")))</f>
        <v>Em Aberto</v>
      </c>
      <c r="F9361" s="3">
        <f ca="1">IF(G9361=1,"-",Tabela2[[#This Row],[Dt Venc:]]-TODAY())</f>
        <v>982</v>
      </c>
      <c r="G9361" s="3"/>
      <c r="H9361" s="3"/>
    </row>
    <row r="9362" spans="1:8">
      <c r="A9362" s="3">
        <v>901789</v>
      </c>
      <c r="B9362" s="7" t="s">
        <v>253</v>
      </c>
      <c r="C9362" s="100" t="s">
        <v>32</v>
      </c>
      <c r="D9362" s="6">
        <v>46675</v>
      </c>
      <c r="E9362" s="3" t="str">
        <f ca="1">IF(Tabela2[[#This Row],[Dt Venc:]]&gt;TODAY(),"Em Aberto",IF(Tabela2[[#This Row],[D/venc]]="-","Enviado",IF(Tabela2[[#This Row],[Dt Venc:]]=TODAY(),"Vence Hoje","Vencida")))</f>
        <v>Em Aberto</v>
      </c>
      <c r="F9362" s="3">
        <f ca="1">IF(G9362=1,"-",Tabela2[[#This Row],[Dt Venc:]]-TODAY())</f>
        <v>982</v>
      </c>
      <c r="G9362" s="3"/>
      <c r="H9362" s="3"/>
    </row>
    <row r="9363" spans="1:8">
      <c r="A9363" s="3">
        <v>912703</v>
      </c>
      <c r="B9363" s="7" t="s">
        <v>253</v>
      </c>
      <c r="C9363" s="99" t="s">
        <v>32</v>
      </c>
      <c r="D9363" s="6">
        <v>46675</v>
      </c>
      <c r="E9363" s="3" t="str">
        <f ca="1">IF(Tabela2[[#This Row],[Dt Venc:]]&gt;TODAY(),"Em Aberto",IF(Tabela2[[#This Row],[D/venc]]="-","Enviado",IF(Tabela2[[#This Row],[Dt Venc:]]=TODAY(),"Vence Hoje","Vencida")))</f>
        <v>Em Aberto</v>
      </c>
      <c r="F9363" s="3">
        <f ca="1">IF(G9363=1,"-",Tabela2[[#This Row],[Dt Venc:]]-TODAY())</f>
        <v>982</v>
      </c>
      <c r="G9363" s="3"/>
      <c r="H9363" s="3"/>
    </row>
    <row r="9364" spans="1:8">
      <c r="A9364" s="3">
        <v>912704</v>
      </c>
      <c r="B9364" s="7" t="s">
        <v>253</v>
      </c>
      <c r="C9364" s="100" t="s">
        <v>32</v>
      </c>
      <c r="D9364" s="6">
        <v>46675</v>
      </c>
      <c r="E9364" s="3" t="str">
        <f ca="1">IF(Tabela2[[#This Row],[Dt Venc:]]&gt;TODAY(),"Em Aberto",IF(Tabela2[[#This Row],[D/venc]]="-","Enviado",IF(Tabela2[[#This Row],[Dt Venc:]]=TODAY(),"Vence Hoje","Vencida")))</f>
        <v>Em Aberto</v>
      </c>
      <c r="F9364" s="3">
        <f ca="1">IF(G9364=1,"-",Tabela2[[#This Row],[Dt Venc:]]-TODAY())</f>
        <v>982</v>
      </c>
      <c r="G9364" s="3"/>
      <c r="H9364" s="3"/>
    </row>
    <row r="9365" spans="1:8">
      <c r="A9365" s="3">
        <v>919728</v>
      </c>
      <c r="B9365" s="7" t="s">
        <v>253</v>
      </c>
      <c r="C9365" s="87" t="s">
        <v>32</v>
      </c>
      <c r="D9365" s="6">
        <v>46675</v>
      </c>
      <c r="E9365" s="3" t="str">
        <f ca="1">IF(Tabela2[[#This Row],[Dt Venc:]]&gt;TODAY(),"Em Aberto",IF(Tabela2[[#This Row],[D/venc]]="-","Enviado",IF(Tabela2[[#This Row],[Dt Venc:]]=TODAY(),"Vence Hoje","Vencida")))</f>
        <v>Em Aberto</v>
      </c>
      <c r="F9365" s="3">
        <f ca="1">IF(G9365=1,"-",Tabela2[[#This Row],[Dt Venc:]]-TODAY())</f>
        <v>982</v>
      </c>
      <c r="G9365" s="3"/>
      <c r="H9365" s="3"/>
    </row>
    <row r="9366" spans="1:8">
      <c r="A9366" s="3">
        <v>919729</v>
      </c>
      <c r="B9366" s="7" t="s">
        <v>253</v>
      </c>
      <c r="C9366" s="87" t="s">
        <v>32</v>
      </c>
      <c r="D9366" s="6">
        <v>46675</v>
      </c>
      <c r="E9366" s="3" t="str">
        <f ca="1">IF(Tabela2[[#This Row],[Dt Venc:]]&gt;TODAY(),"Em Aberto",IF(Tabela2[[#This Row],[D/venc]]="-","Enviado",IF(Tabela2[[#This Row],[Dt Venc:]]=TODAY(),"Vence Hoje","Vencida")))</f>
        <v>Em Aberto</v>
      </c>
      <c r="F9366" s="3">
        <f ca="1">IF(G9366=1,"-",Tabela2[[#This Row],[Dt Venc:]]-TODAY())</f>
        <v>982</v>
      </c>
      <c r="G9366" s="3"/>
      <c r="H9366" s="3"/>
    </row>
    <row r="9367" spans="1:8">
      <c r="A9367" s="3">
        <v>495914</v>
      </c>
      <c r="B9367" s="7" t="s">
        <v>153</v>
      </c>
      <c r="C9367" s="100" t="s">
        <v>32</v>
      </c>
      <c r="D9367" s="6">
        <v>46685</v>
      </c>
      <c r="E9367" s="3" t="str">
        <f ca="1">IF(Tabela2[[#This Row],[Dt Venc:]]&gt;TODAY(),"Em Aberto",IF(Tabela2[[#This Row],[D/venc]]="-","Enviado",IF(Tabela2[[#This Row],[Dt Venc:]]=TODAY(),"Vence Hoje","Vencida")))</f>
        <v>Em Aberto</v>
      </c>
      <c r="F9367" s="3">
        <f ca="1">IF(G9367=1,"-",Tabela2[[#This Row],[Dt Venc:]]-TODAY())</f>
        <v>992</v>
      </c>
      <c r="G9367" s="3"/>
      <c r="H9367" s="3"/>
    </row>
    <row r="9368" spans="1:8">
      <c r="A9368" s="3">
        <v>5690</v>
      </c>
      <c r="B9368" s="7" t="s">
        <v>122</v>
      </c>
      <c r="C9368" s="100" t="s">
        <v>32</v>
      </c>
      <c r="D9368" s="6">
        <v>46687</v>
      </c>
      <c r="E9368" s="3" t="str">
        <f ca="1">IF(Tabela2[[#This Row],[Dt Venc:]]&gt;TODAY(),"Em Aberto",IF(Tabela2[[#This Row],[D/venc]]="-","Enviado",IF(Tabela2[[#This Row],[Dt Venc:]]=TODAY(),"Vence Hoje","Vencida")))</f>
        <v>Em Aberto</v>
      </c>
      <c r="F9368" s="3">
        <f ca="1">IF(G9368=1,"-",Tabela2[[#This Row],[Dt Venc:]]-TODAY())</f>
        <v>994</v>
      </c>
      <c r="G9368" s="3"/>
      <c r="H9368" s="3"/>
    </row>
    <row r="9369" spans="1:8">
      <c r="A9369" s="3">
        <v>11681</v>
      </c>
      <c r="B9369" s="7" t="s">
        <v>82</v>
      </c>
      <c r="C9369" s="87" t="s">
        <v>30</v>
      </c>
      <c r="D9369" s="6">
        <v>46691</v>
      </c>
      <c r="E9369" s="3" t="str">
        <f ca="1">IF(Tabela2[[#This Row],[Dt Venc:]]&gt;TODAY(),"Em Aberto",IF(Tabela2[[#This Row],[D/venc]]="-","Enviado",IF(Tabela2[[#This Row],[Dt Venc:]]=TODAY(),"Vence Hoje","Vencida")))</f>
        <v>Em Aberto</v>
      </c>
      <c r="F9369" s="3">
        <f ca="1">IF(G9369=1,"-",Tabela2[[#This Row],[Dt Venc:]]-TODAY())</f>
        <v>998</v>
      </c>
      <c r="G9369" s="3"/>
      <c r="H9369" s="3"/>
    </row>
    <row r="9370" spans="1:8">
      <c r="A9370" s="3">
        <v>10494</v>
      </c>
      <c r="B9370" s="7" t="s">
        <v>82</v>
      </c>
      <c r="C9370" s="88" t="s">
        <v>30</v>
      </c>
      <c r="D9370" s="6">
        <v>46694</v>
      </c>
      <c r="E9370" s="3" t="str">
        <f ca="1">IF(Tabela2[[#This Row],[Dt Venc:]]&gt;TODAY(),"Em Aberto",IF(Tabela2[[#This Row],[D/venc]]="-","Enviado",IF(Tabela2[[#This Row],[Dt Venc:]]=TODAY(),"Vence Hoje","Vencida")))</f>
        <v>Em Aberto</v>
      </c>
      <c r="F9370" s="3">
        <f ca="1">IF(G9370=1,"-",Tabela2[[#This Row],[Dt Venc:]]-TODAY())</f>
        <v>1001</v>
      </c>
      <c r="G9370" s="3"/>
      <c r="H9370" s="3"/>
    </row>
    <row r="9371" spans="1:8">
      <c r="A9371" s="3">
        <v>5680</v>
      </c>
      <c r="B9371" s="7" t="s">
        <v>122</v>
      </c>
      <c r="C9371" s="99" t="s">
        <v>32</v>
      </c>
      <c r="D9371" s="6">
        <v>46696</v>
      </c>
      <c r="E9371" s="3" t="str">
        <f ca="1">IF(Tabela2[[#This Row],[Dt Venc:]]&gt;TODAY(),"Em Aberto",IF(Tabela2[[#This Row],[D/venc]]="-","Enviado",IF(Tabela2[[#This Row],[Dt Venc:]]=TODAY(),"Vence Hoje","Vencida")))</f>
        <v>Em Aberto</v>
      </c>
      <c r="F9371" s="3">
        <f ca="1">IF(G9371=1,"-",Tabela2[[#This Row],[Dt Venc:]]-TODAY())</f>
        <v>1003</v>
      </c>
      <c r="G9371" s="3"/>
      <c r="H9371" s="3"/>
    </row>
    <row r="9372" spans="1:8">
      <c r="A9372" s="3">
        <v>10353</v>
      </c>
      <c r="B9372" s="7" t="s">
        <v>82</v>
      </c>
      <c r="C9372" s="100" t="s">
        <v>32</v>
      </c>
      <c r="D9372" s="6">
        <v>46696</v>
      </c>
      <c r="E9372" s="3" t="str">
        <f ca="1">IF(Tabela2[[#This Row],[Dt Venc:]]&gt;TODAY(),"Em Aberto",IF(Tabela2[[#This Row],[D/venc]]="-","Enviado",IF(Tabela2[[#This Row],[Dt Venc:]]=TODAY(),"Vence Hoje","Vencida")))</f>
        <v>Em Aberto</v>
      </c>
      <c r="F9372" s="3">
        <f ca="1">IF(G9372=1,"-",Tabela2[[#This Row],[Dt Venc:]]-TODAY())</f>
        <v>1003</v>
      </c>
      <c r="G9372" s="3"/>
      <c r="H9372" s="3"/>
    </row>
    <row r="9373" spans="1:8">
      <c r="A9373" s="3">
        <v>284620</v>
      </c>
      <c r="B9373" s="7" t="s">
        <v>153</v>
      </c>
      <c r="C9373" s="100" t="s">
        <v>32</v>
      </c>
      <c r="D9373" s="6">
        <v>46699</v>
      </c>
      <c r="E9373" s="3" t="str">
        <f ca="1">IF(Tabela2[[#This Row],[Dt Venc:]]&gt;TODAY(),"Em Aberto",IF(Tabela2[[#This Row],[D/venc]]="-","Enviado",IF(Tabela2[[#This Row],[Dt Venc:]]=TODAY(),"Vence Hoje","Vencida")))</f>
        <v>Em Aberto</v>
      </c>
      <c r="F9373" s="3">
        <f ca="1">IF(G9373=1,"-",Tabela2[[#This Row],[Dt Venc:]]-TODAY())</f>
        <v>1006</v>
      </c>
      <c r="G9373" s="3"/>
      <c r="H9373" s="3"/>
    </row>
    <row r="9374" spans="1:8">
      <c r="A9374" s="3">
        <v>756561</v>
      </c>
      <c r="B9374" s="7" t="s">
        <v>166</v>
      </c>
      <c r="C9374" s="100" t="s">
        <v>32</v>
      </c>
      <c r="D9374" s="6">
        <v>46700</v>
      </c>
      <c r="E9374" s="3" t="str">
        <f ca="1">IF(Tabela2[[#This Row],[Dt Venc:]]&gt;TODAY(),"Em Aberto",IF(Tabela2[[#This Row],[D/venc]]="-","Enviado",IF(Tabela2[[#This Row],[Dt Venc:]]=TODAY(),"Vence Hoje","Vencida")))</f>
        <v>Em Aberto</v>
      </c>
      <c r="F9374" s="3">
        <f ca="1">IF(G9374=1,"-",Tabela2[[#This Row],[Dt Venc:]]-TODAY())</f>
        <v>1007</v>
      </c>
      <c r="G9374" s="3"/>
      <c r="H9374" s="3" t="s">
        <v>732</v>
      </c>
    </row>
    <row r="9375" spans="1:8">
      <c r="A9375" s="3">
        <v>562</v>
      </c>
      <c r="B9375" s="7" t="s">
        <v>251</v>
      </c>
      <c r="C9375" s="100" t="s">
        <v>32</v>
      </c>
      <c r="D9375" s="6">
        <v>46706</v>
      </c>
      <c r="E9375" s="3" t="str">
        <f ca="1">IF(Tabela2[[#This Row],[Dt Venc:]]&gt;TODAY(),"Em Aberto",IF(Tabela2[[#This Row],[D/venc]]="-","Enviado",IF(Tabela2[[#This Row],[Dt Venc:]]=TODAY(),"Vence Hoje","Vencida")))</f>
        <v>Em Aberto</v>
      </c>
      <c r="F9375" s="3">
        <f ca="1">IF(G9375=1,"-",Tabela2[[#This Row],[Dt Venc:]]-TODAY())</f>
        <v>1013</v>
      </c>
      <c r="G9375" s="3"/>
      <c r="H9375" s="3"/>
    </row>
    <row r="9376" spans="1:8">
      <c r="A9376" s="3">
        <v>103015</v>
      </c>
      <c r="B9376" s="7" t="s">
        <v>252</v>
      </c>
      <c r="C9376" s="100" t="s">
        <v>32</v>
      </c>
      <c r="D9376" s="6">
        <v>46706</v>
      </c>
      <c r="E9376" s="3" t="str">
        <f ca="1">IF(Tabela2[[#This Row],[Dt Venc:]]&gt;TODAY(),"Em Aberto",IF(Tabela2[[#This Row],[D/venc]]="-","Enviado",IF(Tabela2[[#This Row],[Dt Venc:]]=TODAY(),"Vence Hoje","Vencida")))</f>
        <v>Em Aberto</v>
      </c>
      <c r="F9376" s="3">
        <f ca="1">IF(G9376=1,"-",Tabela2[[#This Row],[Dt Venc:]]-TODAY())</f>
        <v>1013</v>
      </c>
      <c r="G9376" s="3"/>
      <c r="H9376" s="3"/>
    </row>
    <row r="9377" spans="1:8">
      <c r="A9377" s="3">
        <v>103077</v>
      </c>
      <c r="B9377" s="7" t="s">
        <v>252</v>
      </c>
      <c r="C9377" s="100" t="s">
        <v>32</v>
      </c>
      <c r="D9377" s="6">
        <v>46706</v>
      </c>
      <c r="E9377" s="3" t="str">
        <f ca="1">IF(Tabela2[[#This Row],[Dt Venc:]]&gt;TODAY(),"Em Aberto",IF(Tabela2[[#This Row],[D/venc]]="-","Enviado",IF(Tabela2[[#This Row],[Dt Venc:]]=TODAY(),"Vence Hoje","Vencida")))</f>
        <v>Em Aberto</v>
      </c>
      <c r="F9377" s="3">
        <f ca="1">IF(G9377=1,"-",Tabela2[[#This Row],[Dt Venc:]]-TODAY())</f>
        <v>1013</v>
      </c>
      <c r="G9377" s="3"/>
      <c r="H9377" s="3"/>
    </row>
    <row r="9378" spans="1:8">
      <c r="A9378" s="3">
        <v>103153</v>
      </c>
      <c r="B9378" s="7" t="s">
        <v>252</v>
      </c>
      <c r="C9378" s="87" t="s">
        <v>32</v>
      </c>
      <c r="D9378" s="6">
        <v>46706</v>
      </c>
      <c r="E9378" s="3" t="str">
        <f ca="1">IF(Tabela2[[#This Row],[Dt Venc:]]&gt;TODAY(),"Em Aberto",IF(Tabela2[[#This Row],[D/venc]]="-","Enviado",IF(Tabela2[[#This Row],[Dt Venc:]]=TODAY(),"Vence Hoje","Vencida")))</f>
        <v>Em Aberto</v>
      </c>
      <c r="F9378" s="3">
        <f ca="1">IF(G9378=1,"-",Tabela2[[#This Row],[Dt Venc:]]-TODAY())</f>
        <v>1013</v>
      </c>
      <c r="G9378" s="3"/>
      <c r="H9378" s="3"/>
    </row>
    <row r="9379" spans="1:8">
      <c r="A9379" s="3">
        <v>103154</v>
      </c>
      <c r="B9379" s="7" t="s">
        <v>252</v>
      </c>
      <c r="C9379" s="100" t="s">
        <v>32</v>
      </c>
      <c r="D9379" s="6">
        <v>46706</v>
      </c>
      <c r="E9379" s="3" t="str">
        <f ca="1">IF(Tabela2[[#This Row],[Dt Venc:]]&gt;TODAY(),"Em Aberto",IF(Tabela2[[#This Row],[D/venc]]="-","Enviado",IF(Tabela2[[#This Row],[Dt Venc:]]=TODAY(),"Vence Hoje","Vencida")))</f>
        <v>Em Aberto</v>
      </c>
      <c r="F9379" s="3">
        <f ca="1">IF(G9379=1,"-",Tabela2[[#This Row],[Dt Venc:]]-TODAY())</f>
        <v>1013</v>
      </c>
      <c r="G9379" s="3"/>
      <c r="H9379" s="3"/>
    </row>
    <row r="9380" spans="1:8">
      <c r="A9380" s="3">
        <v>106007</v>
      </c>
      <c r="B9380" s="7" t="s">
        <v>252</v>
      </c>
      <c r="C9380" s="100" t="s">
        <v>32</v>
      </c>
      <c r="D9380" s="6">
        <v>46706</v>
      </c>
      <c r="E9380" s="3" t="str">
        <f ca="1">IF(Tabela2[[#This Row],[Dt Venc:]]&gt;TODAY(),"Em Aberto",IF(Tabela2[[#This Row],[D/venc]]="-","Enviado",IF(Tabela2[[#This Row],[Dt Venc:]]=TODAY(),"Vence Hoje","Vencida")))</f>
        <v>Em Aberto</v>
      </c>
      <c r="F9380" s="3">
        <f ca="1">IF(G9380=1,"-",Tabela2[[#This Row],[Dt Venc:]]-TODAY())</f>
        <v>1013</v>
      </c>
      <c r="G9380" s="3"/>
      <c r="H9380" s="3"/>
    </row>
    <row r="9381" spans="1:8">
      <c r="A9381" s="3">
        <v>106043</v>
      </c>
      <c r="B9381" s="7" t="s">
        <v>252</v>
      </c>
      <c r="C9381" s="100" t="s">
        <v>32</v>
      </c>
      <c r="D9381" s="6">
        <v>46706</v>
      </c>
      <c r="E9381" s="3" t="str">
        <f ca="1">IF(Tabela2[[#This Row],[Dt Venc:]]&gt;TODAY(),"Em Aberto",IF(Tabela2[[#This Row],[D/venc]]="-","Enviado",IF(Tabela2[[#This Row],[Dt Venc:]]=TODAY(),"Vence Hoje","Vencida")))</f>
        <v>Em Aberto</v>
      </c>
      <c r="F9381" s="3">
        <f ca="1">IF(G9381=1,"-",Tabela2[[#This Row],[Dt Venc:]]-TODAY())</f>
        <v>1013</v>
      </c>
      <c r="G9381" s="3"/>
      <c r="H9381" s="3"/>
    </row>
    <row r="9382" spans="1:8">
      <c r="A9382" s="3">
        <v>107829</v>
      </c>
      <c r="B9382" s="7" t="s">
        <v>252</v>
      </c>
      <c r="C9382" s="100" t="s">
        <v>32</v>
      </c>
      <c r="D9382" s="6">
        <v>46706</v>
      </c>
      <c r="E9382" s="3" t="str">
        <f ca="1">IF(Tabela2[[#This Row],[Dt Venc:]]&gt;TODAY(),"Em Aberto",IF(Tabela2[[#This Row],[D/venc]]="-","Enviado",IF(Tabela2[[#This Row],[Dt Venc:]]=TODAY(),"Vence Hoje","Vencida")))</f>
        <v>Em Aberto</v>
      </c>
      <c r="F9382" s="3">
        <f ca="1">IF(G9382=1,"-",Tabela2[[#This Row],[Dt Venc:]]-TODAY())</f>
        <v>1013</v>
      </c>
      <c r="G9382" s="3"/>
      <c r="H9382" s="3"/>
    </row>
    <row r="9383" spans="1:8">
      <c r="A9383" s="3">
        <v>107830</v>
      </c>
      <c r="B9383" s="7" t="s">
        <v>252</v>
      </c>
      <c r="C9383" s="87" t="s">
        <v>32</v>
      </c>
      <c r="D9383" s="6">
        <v>46706</v>
      </c>
      <c r="E9383" s="3" t="str">
        <f ca="1">IF(Tabela2[[#This Row],[Dt Venc:]]&gt;TODAY(),"Em Aberto",IF(Tabela2[[#This Row],[D/venc]]="-","Enviado",IF(Tabela2[[#This Row],[Dt Venc:]]=TODAY(),"Vence Hoje","Vencida")))</f>
        <v>Em Aberto</v>
      </c>
      <c r="F9383" s="3">
        <f ca="1">IF(G9383=1,"-",Tabela2[[#This Row],[Dt Venc:]]-TODAY())</f>
        <v>1013</v>
      </c>
      <c r="G9383" s="3"/>
      <c r="H9383" s="3"/>
    </row>
    <row r="9384" spans="1:8">
      <c r="A9384" s="3">
        <v>107831</v>
      </c>
      <c r="B9384" s="7" t="s">
        <v>252</v>
      </c>
      <c r="C9384" s="100" t="s">
        <v>32</v>
      </c>
      <c r="D9384" s="6">
        <v>46706</v>
      </c>
      <c r="E9384" s="3" t="str">
        <f ca="1">IF(Tabela2[[#This Row],[Dt Venc:]]&gt;TODAY(),"Em Aberto",IF(Tabela2[[#This Row],[D/venc]]="-","Enviado",IF(Tabela2[[#This Row],[Dt Venc:]]=TODAY(),"Vence Hoje","Vencida")))</f>
        <v>Em Aberto</v>
      </c>
      <c r="F9384" s="3">
        <f ca="1">IF(G9384=1,"-",Tabela2[[#This Row],[Dt Venc:]]-TODAY())</f>
        <v>1013</v>
      </c>
      <c r="G9384" s="3"/>
      <c r="H9384" s="3"/>
    </row>
    <row r="9385" spans="1:8">
      <c r="A9385" s="3">
        <v>107832</v>
      </c>
      <c r="B9385" s="7" t="s">
        <v>252</v>
      </c>
      <c r="C9385" s="100" t="s">
        <v>32</v>
      </c>
      <c r="D9385" s="6">
        <v>46706</v>
      </c>
      <c r="E9385" s="3" t="str">
        <f ca="1">IF(Tabela2[[#This Row],[Dt Venc:]]&gt;TODAY(),"Em Aberto",IF(Tabela2[[#This Row],[D/venc]]="-","Enviado",IF(Tabela2[[#This Row],[Dt Venc:]]=TODAY(),"Vence Hoje","Vencida")))</f>
        <v>Em Aberto</v>
      </c>
      <c r="F9385" s="3">
        <f ca="1">IF(G9385=1,"-",Tabela2[[#This Row],[Dt Venc:]]-TODAY())</f>
        <v>1013</v>
      </c>
      <c r="G9385" s="3"/>
      <c r="H9385" s="3"/>
    </row>
    <row r="9386" spans="1:8">
      <c r="A9386" s="3">
        <v>361229</v>
      </c>
      <c r="B9386" s="7" t="s">
        <v>250</v>
      </c>
      <c r="C9386" s="100" t="s">
        <v>32</v>
      </c>
      <c r="D9386" s="6">
        <v>46706</v>
      </c>
      <c r="E9386" s="3" t="str">
        <f ca="1">IF(Tabela2[[#This Row],[Dt Venc:]]&gt;TODAY(),"Em Aberto",IF(Tabela2[[#This Row],[D/venc]]="-","Enviado",IF(Tabela2[[#This Row],[Dt Venc:]]=TODAY(),"Vence Hoje","Vencida")))</f>
        <v>Em Aberto</v>
      </c>
      <c r="F9386" s="3">
        <f ca="1">IF(G9386=1,"-",Tabela2[[#This Row],[Dt Venc:]]-TODAY())</f>
        <v>1013</v>
      </c>
      <c r="G9386" s="3"/>
      <c r="H9386" s="3"/>
    </row>
    <row r="9387" spans="1:8">
      <c r="A9387" s="3">
        <v>361237</v>
      </c>
      <c r="B9387" s="7" t="s">
        <v>250</v>
      </c>
      <c r="C9387" s="100" t="s">
        <v>32</v>
      </c>
      <c r="D9387" s="6">
        <v>46706</v>
      </c>
      <c r="E9387" s="3" t="str">
        <f ca="1">IF(Tabela2[[#This Row],[Dt Venc:]]&gt;TODAY(),"Em Aberto",IF(Tabela2[[#This Row],[D/venc]]="-","Enviado",IF(Tabela2[[#This Row],[Dt Venc:]]=TODAY(),"Vence Hoje","Vencida")))</f>
        <v>Em Aberto</v>
      </c>
      <c r="F9387" s="3">
        <f ca="1">IF(G9387=1,"-",Tabela2[[#This Row],[Dt Venc:]]-TODAY())</f>
        <v>1013</v>
      </c>
      <c r="G9387" s="3"/>
      <c r="H9387" s="3"/>
    </row>
    <row r="9388" spans="1:8">
      <c r="A9388" s="3">
        <v>365658</v>
      </c>
      <c r="B9388" s="7" t="s">
        <v>250</v>
      </c>
      <c r="C9388" s="100" t="s">
        <v>32</v>
      </c>
      <c r="D9388" s="6">
        <v>46706</v>
      </c>
      <c r="E9388" s="3" t="str">
        <f ca="1">IF(Tabela2[[#This Row],[Dt Venc:]]&gt;TODAY(),"Em Aberto",IF(Tabela2[[#This Row],[D/venc]]="-","Enviado",IF(Tabela2[[#This Row],[Dt Venc:]]=TODAY(),"Vence Hoje","Vencida")))</f>
        <v>Em Aberto</v>
      </c>
      <c r="F9388" s="3">
        <f ca="1">IF(G9388=1,"-",Tabela2[[#This Row],[Dt Venc:]]-TODAY())</f>
        <v>1013</v>
      </c>
      <c r="G9388" s="3"/>
      <c r="H9388" s="3"/>
    </row>
    <row r="9389" spans="1:8">
      <c r="A9389" s="3">
        <v>365666</v>
      </c>
      <c r="B9389" s="7" t="s">
        <v>250</v>
      </c>
      <c r="C9389" s="100" t="s">
        <v>32</v>
      </c>
      <c r="D9389" s="6">
        <v>46706</v>
      </c>
      <c r="E9389" s="3" t="str">
        <f ca="1">IF(Tabela2[[#This Row],[Dt Venc:]]&gt;TODAY(),"Em Aberto",IF(Tabela2[[#This Row],[D/venc]]="-","Enviado",IF(Tabela2[[#This Row],[Dt Venc:]]=TODAY(),"Vence Hoje","Vencida")))</f>
        <v>Em Aberto</v>
      </c>
      <c r="F9389" s="3">
        <f ca="1">IF(G9389=1,"-",Tabela2[[#This Row],[Dt Venc:]]-TODAY())</f>
        <v>1013</v>
      </c>
      <c r="G9389" s="3"/>
      <c r="H9389" s="3"/>
    </row>
    <row r="9390" spans="1:8">
      <c r="A9390" s="3">
        <v>365674</v>
      </c>
      <c r="B9390" s="7" t="s">
        <v>250</v>
      </c>
      <c r="C9390" s="100" t="s">
        <v>32</v>
      </c>
      <c r="D9390" s="6">
        <v>46706</v>
      </c>
      <c r="E9390" s="3" t="str">
        <f ca="1">IF(Tabela2[[#This Row],[Dt Venc:]]&gt;TODAY(),"Em Aberto",IF(Tabela2[[#This Row],[D/venc]]="-","Enviado",IF(Tabela2[[#This Row],[Dt Venc:]]=TODAY(),"Vence Hoje","Vencida")))</f>
        <v>Em Aberto</v>
      </c>
      <c r="F9390" s="3">
        <f ca="1">IF(G9390=1,"-",Tabela2[[#This Row],[Dt Venc:]]-TODAY())</f>
        <v>1013</v>
      </c>
      <c r="G9390" s="3"/>
      <c r="H9390" s="3"/>
    </row>
    <row r="9391" spans="1:8">
      <c r="A9391" s="3">
        <v>365682</v>
      </c>
      <c r="B9391" s="7" t="s">
        <v>250</v>
      </c>
      <c r="C9391" s="100" t="s">
        <v>32</v>
      </c>
      <c r="D9391" s="6">
        <v>46706</v>
      </c>
      <c r="E9391" s="3" t="str">
        <f ca="1">IF(Tabela2[[#This Row],[Dt Venc:]]&gt;TODAY(),"Em Aberto",IF(Tabela2[[#This Row],[D/venc]]="-","Enviado",IF(Tabela2[[#This Row],[Dt Venc:]]=TODAY(),"Vence Hoje","Vencida")))</f>
        <v>Em Aberto</v>
      </c>
      <c r="F9391" s="3">
        <f ca="1">IF(G9391=1,"-",Tabela2[[#This Row],[Dt Venc:]]-TODAY())</f>
        <v>1013</v>
      </c>
      <c r="G9391" s="3"/>
      <c r="H9391" s="3"/>
    </row>
    <row r="9392" spans="1:8">
      <c r="A9392" s="3">
        <v>369335</v>
      </c>
      <c r="B9392" s="7" t="s">
        <v>543</v>
      </c>
      <c r="C9392" s="87" t="s">
        <v>32</v>
      </c>
      <c r="D9392" s="6">
        <v>46706</v>
      </c>
      <c r="E9392" s="3" t="str">
        <f ca="1">IF(Tabela2[[#This Row],[Dt Venc:]]&gt;TODAY(),"Em Aberto",IF(Tabela2[[#This Row],[D/venc]]="-","Enviado",IF(Tabela2[[#This Row],[Dt Venc:]]=TODAY(),"Vence Hoje","Vencida")))</f>
        <v>Em Aberto</v>
      </c>
      <c r="F9392" s="3">
        <f ca="1">IF(G9392=1,"-",Tabela2[[#This Row],[Dt Venc:]]-TODAY())</f>
        <v>1013</v>
      </c>
      <c r="G9392" s="3"/>
      <c r="H9392" s="3"/>
    </row>
    <row r="9393" spans="1:8">
      <c r="A9393" s="3">
        <v>369696</v>
      </c>
      <c r="B9393" s="7" t="s">
        <v>543</v>
      </c>
      <c r="C9393" s="87" t="s">
        <v>32</v>
      </c>
      <c r="D9393" s="6">
        <v>46706</v>
      </c>
      <c r="E9393" s="3" t="str">
        <f ca="1">IF(Tabela2[[#This Row],[Dt Venc:]]&gt;TODAY(),"Em Aberto",IF(Tabela2[[#This Row],[D/venc]]="-","Enviado",IF(Tabela2[[#This Row],[Dt Venc:]]=TODAY(),"Vence Hoje","Vencida")))</f>
        <v>Em Aberto</v>
      </c>
      <c r="F9393" s="3">
        <f ca="1">IF(G9393=1,"-",Tabela2[[#This Row],[Dt Venc:]]-TODAY())</f>
        <v>1013</v>
      </c>
      <c r="G9393" s="3"/>
      <c r="H9393" s="3"/>
    </row>
    <row r="9394" spans="1:8">
      <c r="A9394" s="3">
        <v>369726</v>
      </c>
      <c r="B9394" s="7" t="s">
        <v>543</v>
      </c>
      <c r="C9394" s="87" t="s">
        <v>32</v>
      </c>
      <c r="D9394" s="6">
        <v>46706</v>
      </c>
      <c r="E9394" s="3" t="str">
        <f ca="1">IF(Tabela2[[#This Row],[Dt Venc:]]&gt;TODAY(),"Em Aberto",IF(Tabela2[[#This Row],[D/venc]]="-","Enviado",IF(Tabela2[[#This Row],[Dt Venc:]]=TODAY(),"Vence Hoje","Vencida")))</f>
        <v>Em Aberto</v>
      </c>
      <c r="F9394" s="3">
        <f ca="1">IF(G9394=1,"-",Tabela2[[#This Row],[Dt Venc:]]-TODAY())</f>
        <v>1013</v>
      </c>
      <c r="G9394" s="3"/>
      <c r="H9394" s="3"/>
    </row>
    <row r="9395" spans="1:8">
      <c r="A9395" s="3">
        <v>369751</v>
      </c>
      <c r="B9395" s="7" t="s">
        <v>543</v>
      </c>
      <c r="C9395" s="87" t="s">
        <v>32</v>
      </c>
      <c r="D9395" s="6">
        <v>46706</v>
      </c>
      <c r="E9395" s="3" t="str">
        <f ca="1">IF(Tabela2[[#This Row],[Dt Venc:]]&gt;TODAY(),"Em Aberto",IF(Tabela2[[#This Row],[D/venc]]="-","Enviado",IF(Tabela2[[#This Row],[Dt Venc:]]=TODAY(),"Vence Hoje","Vencida")))</f>
        <v>Em Aberto</v>
      </c>
      <c r="F9395" s="3">
        <f ca="1">IF(G9395=1,"-",Tabela2[[#This Row],[Dt Venc:]]-TODAY())</f>
        <v>1013</v>
      </c>
      <c r="G9395" s="3"/>
      <c r="H9395" s="3"/>
    </row>
    <row r="9396" spans="1:8">
      <c r="A9396" s="3">
        <v>370201</v>
      </c>
      <c r="B9396" s="7" t="s">
        <v>543</v>
      </c>
      <c r="C9396" s="87" t="s">
        <v>32</v>
      </c>
      <c r="D9396" s="6">
        <v>46706</v>
      </c>
      <c r="E9396" s="3" t="str">
        <f ca="1">IF(Tabela2[[#This Row],[Dt Venc:]]&gt;TODAY(),"Em Aberto",IF(Tabela2[[#This Row],[D/venc]]="-","Enviado",IF(Tabela2[[#This Row],[Dt Venc:]]=TODAY(),"Vence Hoje","Vencida")))</f>
        <v>Em Aberto</v>
      </c>
      <c r="F9396" s="3">
        <f ca="1">IF(G9396=1,"-",Tabela2[[#This Row],[Dt Venc:]]-TODAY())</f>
        <v>1013</v>
      </c>
      <c r="G9396" s="3"/>
      <c r="H9396" s="3"/>
    </row>
    <row r="9397" spans="1:8">
      <c r="A9397" s="3">
        <v>370864</v>
      </c>
      <c r="B9397" s="7" t="s">
        <v>543</v>
      </c>
      <c r="C9397" s="87" t="s">
        <v>32</v>
      </c>
      <c r="D9397" s="6">
        <v>46706</v>
      </c>
      <c r="E9397" s="3" t="str">
        <f ca="1">IF(Tabela2[[#This Row],[Dt Venc:]]&gt;TODAY(),"Em Aberto",IF(Tabela2[[#This Row],[D/venc]]="-","Enviado",IF(Tabela2[[#This Row],[Dt Venc:]]=TODAY(),"Vence Hoje","Vencida")))</f>
        <v>Em Aberto</v>
      </c>
      <c r="F9397" s="3">
        <f ca="1">IF(G9397=1,"-",Tabela2[[#This Row],[Dt Venc:]]-TODAY())</f>
        <v>1013</v>
      </c>
      <c r="G9397" s="3"/>
      <c r="H9397" s="3"/>
    </row>
    <row r="9398" spans="1:8">
      <c r="A9398" s="3">
        <v>371011</v>
      </c>
      <c r="B9398" s="7" t="s">
        <v>633</v>
      </c>
      <c r="C9398" s="87" t="s">
        <v>32</v>
      </c>
      <c r="D9398" s="6">
        <v>46706</v>
      </c>
      <c r="E9398" s="3" t="str">
        <f ca="1">IF(Tabela2[[#This Row],[Dt Venc:]]&gt;TODAY(),"Em Aberto",IF(Tabela2[[#This Row],[D/venc]]="-","Enviado",IF(Tabela2[[#This Row],[Dt Venc:]]=TODAY(),"Vence Hoje","Vencida")))</f>
        <v>Em Aberto</v>
      </c>
      <c r="F9398" s="3">
        <f ca="1">IF(G9398=1,"-",Tabela2[[#This Row],[Dt Venc:]]-TODAY())</f>
        <v>1013</v>
      </c>
      <c r="G9398" s="3"/>
      <c r="H9398" s="3"/>
    </row>
    <row r="9399" spans="1:8">
      <c r="A9399" s="3">
        <v>371160</v>
      </c>
      <c r="B9399" s="7" t="s">
        <v>633</v>
      </c>
      <c r="C9399" s="87" t="s">
        <v>32</v>
      </c>
      <c r="D9399" s="6">
        <v>46706</v>
      </c>
      <c r="E9399" s="3" t="str">
        <f ca="1">IF(Tabela2[[#This Row],[Dt Venc:]]&gt;TODAY(),"Em Aberto",IF(Tabela2[[#This Row],[D/venc]]="-","Enviado",IF(Tabela2[[#This Row],[Dt Venc:]]=TODAY(),"Vence Hoje","Vencida")))</f>
        <v>Em Aberto</v>
      </c>
      <c r="F9399" s="3">
        <f ca="1">IF(G9399=1,"-",Tabela2[[#This Row],[Dt Venc:]]-TODAY())</f>
        <v>1013</v>
      </c>
      <c r="G9399" s="3"/>
      <c r="H9399" s="3"/>
    </row>
    <row r="9400" spans="1:8">
      <c r="A9400" s="3">
        <v>892178</v>
      </c>
      <c r="B9400" s="7" t="s">
        <v>253</v>
      </c>
      <c r="C9400" s="100" t="s">
        <v>32</v>
      </c>
      <c r="D9400" s="6">
        <v>46706</v>
      </c>
      <c r="E9400" s="3" t="str">
        <f ca="1">IF(Tabela2[[#This Row],[Dt Venc:]]&gt;TODAY(),"Em Aberto",IF(Tabela2[[#This Row],[D/venc]]="-","Enviado",IF(Tabela2[[#This Row],[Dt Venc:]]=TODAY(),"Vence Hoje","Vencida")))</f>
        <v>Em Aberto</v>
      </c>
      <c r="F9400" s="3">
        <f ca="1">IF(G9400=1,"-",Tabela2[[#This Row],[Dt Venc:]]-TODAY())</f>
        <v>1013</v>
      </c>
      <c r="G9400" s="3"/>
      <c r="H9400" s="3"/>
    </row>
    <row r="9401" spans="1:8">
      <c r="A9401" s="3">
        <v>894135</v>
      </c>
      <c r="B9401" s="7" t="s">
        <v>253</v>
      </c>
      <c r="C9401" s="100" t="s">
        <v>32</v>
      </c>
      <c r="D9401" s="6">
        <v>46706</v>
      </c>
      <c r="E9401" s="3" t="str">
        <f ca="1">IF(Tabela2[[#This Row],[Dt Venc:]]&gt;TODAY(),"Em Aberto",IF(Tabela2[[#This Row],[D/venc]]="-","Enviado",IF(Tabela2[[#This Row],[Dt Venc:]]=TODAY(),"Vence Hoje","Vencida")))</f>
        <v>Em Aberto</v>
      </c>
      <c r="F9401" s="3">
        <f ca="1">IF(G9401=1,"-",Tabela2[[#This Row],[Dt Venc:]]-TODAY())</f>
        <v>1013</v>
      </c>
      <c r="G9401" s="3"/>
      <c r="H9401" s="3"/>
    </row>
    <row r="9402" spans="1:8">
      <c r="A9402" s="3">
        <v>896565</v>
      </c>
      <c r="B9402" s="7" t="s">
        <v>253</v>
      </c>
      <c r="C9402" s="100" t="s">
        <v>32</v>
      </c>
      <c r="D9402" s="6">
        <v>46706</v>
      </c>
      <c r="E9402" s="3" t="str">
        <f ca="1">IF(Tabela2[[#This Row],[Dt Venc:]]&gt;TODAY(),"Em Aberto",IF(Tabela2[[#This Row],[D/venc]]="-","Enviado",IF(Tabela2[[#This Row],[Dt Venc:]]=TODAY(),"Vence Hoje","Vencida")))</f>
        <v>Em Aberto</v>
      </c>
      <c r="F9402" s="3">
        <f ca="1">IF(G9402=1,"-",Tabela2[[#This Row],[Dt Venc:]]-TODAY())</f>
        <v>1013</v>
      </c>
      <c r="G9402" s="3"/>
      <c r="H9402" s="3"/>
    </row>
    <row r="9403" spans="1:8">
      <c r="A9403" s="3">
        <v>900386</v>
      </c>
      <c r="B9403" s="7" t="s">
        <v>253</v>
      </c>
      <c r="C9403" s="100" t="s">
        <v>32</v>
      </c>
      <c r="D9403" s="6">
        <v>46706</v>
      </c>
      <c r="E9403" s="3" t="str">
        <f ca="1">IF(Tabela2[[#This Row],[Dt Venc:]]&gt;TODAY(),"Em Aberto",IF(Tabela2[[#This Row],[D/venc]]="-","Enviado",IF(Tabela2[[#This Row],[Dt Venc:]]=TODAY(),"Vence Hoje","Vencida")))</f>
        <v>Em Aberto</v>
      </c>
      <c r="F9403" s="3">
        <f ca="1">IF(G9403=1,"-",Tabela2[[#This Row],[Dt Venc:]]-TODAY())</f>
        <v>1013</v>
      </c>
      <c r="G9403" s="3"/>
      <c r="H9403" s="3"/>
    </row>
    <row r="9404" spans="1:8">
      <c r="A9404" s="3">
        <v>901787</v>
      </c>
      <c r="B9404" s="7" t="s">
        <v>253</v>
      </c>
      <c r="C9404" s="99" t="s">
        <v>32</v>
      </c>
      <c r="D9404" s="6">
        <v>46706</v>
      </c>
      <c r="E9404" s="3" t="str">
        <f ca="1">IF(Tabela2[[#This Row],[Dt Venc:]]&gt;TODAY(),"Em Aberto",IF(Tabela2[[#This Row],[D/venc]]="-","Enviado",IF(Tabela2[[#This Row],[Dt Venc:]]=TODAY(),"Vence Hoje","Vencida")))</f>
        <v>Em Aberto</v>
      </c>
      <c r="F9404" s="3">
        <f ca="1">IF(G9404=1,"-",Tabela2[[#This Row],[Dt Venc:]]-TODAY())</f>
        <v>1013</v>
      </c>
      <c r="G9404" s="3"/>
      <c r="H9404" s="3"/>
    </row>
    <row r="9405" spans="1:8">
      <c r="A9405" s="3">
        <v>901788</v>
      </c>
      <c r="B9405" s="7" t="s">
        <v>253</v>
      </c>
      <c r="C9405" s="100" t="s">
        <v>32</v>
      </c>
      <c r="D9405" s="6">
        <v>46706</v>
      </c>
      <c r="E9405" s="3" t="str">
        <f ca="1">IF(Tabela2[[#This Row],[Dt Venc:]]&gt;TODAY(),"Em Aberto",IF(Tabela2[[#This Row],[D/venc]]="-","Enviado",IF(Tabela2[[#This Row],[Dt Venc:]]=TODAY(),"Vence Hoje","Vencida")))</f>
        <v>Em Aberto</v>
      </c>
      <c r="F9405" s="3">
        <f ca="1">IF(G9405=1,"-",Tabela2[[#This Row],[Dt Venc:]]-TODAY())</f>
        <v>1013</v>
      </c>
      <c r="G9405" s="3"/>
      <c r="H9405" s="3"/>
    </row>
    <row r="9406" spans="1:8">
      <c r="A9406" s="3">
        <v>901789</v>
      </c>
      <c r="B9406" s="7" t="s">
        <v>253</v>
      </c>
      <c r="C9406" s="100" t="s">
        <v>32</v>
      </c>
      <c r="D9406" s="6">
        <v>46706</v>
      </c>
      <c r="E9406" s="3" t="str">
        <f ca="1">IF(Tabela2[[#This Row],[Dt Venc:]]&gt;TODAY(),"Em Aberto",IF(Tabela2[[#This Row],[D/venc]]="-","Enviado",IF(Tabela2[[#This Row],[Dt Venc:]]=TODAY(),"Vence Hoje","Vencida")))</f>
        <v>Em Aberto</v>
      </c>
      <c r="F9406" s="3">
        <f ca="1">IF(G9406=1,"-",Tabela2[[#This Row],[Dt Venc:]]-TODAY())</f>
        <v>1013</v>
      </c>
      <c r="G9406" s="3"/>
      <c r="H9406" s="3"/>
    </row>
    <row r="9407" spans="1:8">
      <c r="A9407" s="3">
        <v>912703</v>
      </c>
      <c r="B9407" s="7" t="s">
        <v>253</v>
      </c>
      <c r="C9407" s="100" t="s">
        <v>32</v>
      </c>
      <c r="D9407" s="6">
        <v>46706</v>
      </c>
      <c r="E9407" s="3" t="str">
        <f ca="1">IF(Tabela2[[#This Row],[Dt Venc:]]&gt;TODAY(),"Em Aberto",IF(Tabela2[[#This Row],[D/venc]]="-","Enviado",IF(Tabela2[[#This Row],[Dt Venc:]]=TODAY(),"Vence Hoje","Vencida")))</f>
        <v>Em Aberto</v>
      </c>
      <c r="F9407" s="3">
        <f ca="1">IF(G9407=1,"-",Tabela2[[#This Row],[Dt Venc:]]-TODAY())</f>
        <v>1013</v>
      </c>
      <c r="G9407" s="3"/>
      <c r="H9407" s="3"/>
    </row>
    <row r="9408" spans="1:8">
      <c r="A9408" s="3">
        <v>912704</v>
      </c>
      <c r="B9408" s="7" t="s">
        <v>253</v>
      </c>
      <c r="C9408" s="100" t="s">
        <v>32</v>
      </c>
      <c r="D9408" s="6">
        <v>46706</v>
      </c>
      <c r="E9408" s="3" t="str">
        <f ca="1">IF(Tabela2[[#This Row],[Dt Venc:]]&gt;TODAY(),"Em Aberto",IF(Tabela2[[#This Row],[D/venc]]="-","Enviado",IF(Tabela2[[#This Row],[Dt Venc:]]=TODAY(),"Vence Hoje","Vencida")))</f>
        <v>Em Aberto</v>
      </c>
      <c r="F9408" s="3">
        <f ca="1">IF(G9408=1,"-",Tabela2[[#This Row],[Dt Venc:]]-TODAY())</f>
        <v>1013</v>
      </c>
      <c r="G9408" s="3"/>
      <c r="H9408" s="3"/>
    </row>
    <row r="9409" spans="1:8">
      <c r="A9409" s="3">
        <v>919728</v>
      </c>
      <c r="B9409" s="7" t="s">
        <v>253</v>
      </c>
      <c r="C9409" s="87" t="s">
        <v>32</v>
      </c>
      <c r="D9409" s="6">
        <v>46706</v>
      </c>
      <c r="E9409" s="3" t="str">
        <f ca="1">IF(Tabela2[[#This Row],[Dt Venc:]]&gt;TODAY(),"Em Aberto",IF(Tabela2[[#This Row],[D/venc]]="-","Enviado",IF(Tabela2[[#This Row],[Dt Venc:]]=TODAY(),"Vence Hoje","Vencida")))</f>
        <v>Em Aberto</v>
      </c>
      <c r="F9409" s="3">
        <f ca="1">IF(G9409=1,"-",Tabela2[[#This Row],[Dt Venc:]]-TODAY())</f>
        <v>1013</v>
      </c>
      <c r="G9409" s="3"/>
      <c r="H9409" s="3"/>
    </row>
    <row r="9410" spans="1:8">
      <c r="A9410" s="3">
        <v>919729</v>
      </c>
      <c r="B9410" s="7" t="s">
        <v>253</v>
      </c>
      <c r="C9410" s="87" t="s">
        <v>32</v>
      </c>
      <c r="D9410" s="6">
        <v>46706</v>
      </c>
      <c r="E9410" s="3" t="str">
        <f ca="1">IF(Tabela2[[#This Row],[Dt Venc:]]&gt;TODAY(),"Em Aberto",IF(Tabela2[[#This Row],[D/venc]]="-","Enviado",IF(Tabela2[[#This Row],[Dt Venc:]]=TODAY(),"Vence Hoje","Vencida")))</f>
        <v>Em Aberto</v>
      </c>
      <c r="F9410" s="3">
        <f ca="1">IF(G9410=1,"-",Tabela2[[#This Row],[Dt Venc:]]-TODAY())</f>
        <v>1013</v>
      </c>
      <c r="G9410" s="3"/>
      <c r="H9410" s="3"/>
    </row>
    <row r="9411" spans="1:8">
      <c r="A9411" s="3">
        <v>495914</v>
      </c>
      <c r="B9411" s="7" t="s">
        <v>153</v>
      </c>
      <c r="C9411" s="100" t="s">
        <v>32</v>
      </c>
      <c r="D9411" s="6">
        <v>46716</v>
      </c>
      <c r="E9411" s="3" t="str">
        <f ca="1">IF(Tabela2[[#This Row],[Dt Venc:]]&gt;TODAY(),"Em Aberto",IF(Tabela2[[#This Row],[D/venc]]="-","Enviado",IF(Tabela2[[#This Row],[Dt Venc:]]=TODAY(),"Vence Hoje","Vencida")))</f>
        <v>Em Aberto</v>
      </c>
      <c r="F9411" s="3">
        <f ca="1">IF(G9411=1,"-",Tabela2[[#This Row],[Dt Venc:]]-TODAY())</f>
        <v>1023</v>
      </c>
      <c r="G9411" s="3"/>
      <c r="H9411" s="3"/>
    </row>
    <row r="9412" spans="1:8">
      <c r="A9412" s="3">
        <v>5690</v>
      </c>
      <c r="B9412" s="7" t="s">
        <v>122</v>
      </c>
      <c r="C9412" s="100" t="s">
        <v>32</v>
      </c>
      <c r="D9412" s="6">
        <v>46718</v>
      </c>
      <c r="E9412" s="3" t="str">
        <f ca="1">IF(Tabela2[[#This Row],[Dt Venc:]]&gt;TODAY(),"Em Aberto",IF(Tabela2[[#This Row],[D/venc]]="-","Enviado",IF(Tabela2[[#This Row],[Dt Venc:]]=TODAY(),"Vence Hoje","Vencida")))</f>
        <v>Em Aberto</v>
      </c>
      <c r="F9412" s="3">
        <f ca="1">IF(G9412=1,"-",Tabela2[[#This Row],[Dt Venc:]]-TODAY())</f>
        <v>1025</v>
      </c>
      <c r="G9412" s="3"/>
      <c r="H9412" s="3"/>
    </row>
    <row r="9413" spans="1:8">
      <c r="A9413" s="3">
        <v>11681</v>
      </c>
      <c r="B9413" s="7" t="s">
        <v>82</v>
      </c>
      <c r="C9413" s="87" t="s">
        <v>30</v>
      </c>
      <c r="D9413" s="6">
        <v>46721</v>
      </c>
      <c r="E9413" s="3" t="str">
        <f ca="1">IF(Tabela2[[#This Row],[Dt Venc:]]&gt;TODAY(),"Em Aberto",IF(Tabela2[[#This Row],[D/venc]]="-","Enviado",IF(Tabela2[[#This Row],[Dt Venc:]]=TODAY(),"Vence Hoje","Vencida")))</f>
        <v>Em Aberto</v>
      </c>
      <c r="F9413" s="3">
        <f ca="1">IF(G9413=1,"-",Tabela2[[#This Row],[Dt Venc:]]-TODAY())</f>
        <v>1028</v>
      </c>
      <c r="G9413" s="3"/>
      <c r="H9413" s="3"/>
    </row>
    <row r="9414" spans="1:8">
      <c r="A9414" s="3">
        <v>10494</v>
      </c>
      <c r="B9414" s="7" t="s">
        <v>82</v>
      </c>
      <c r="C9414" s="88" t="s">
        <v>30</v>
      </c>
      <c r="D9414" s="6">
        <v>46724</v>
      </c>
      <c r="E9414" s="3" t="str">
        <f ca="1">IF(Tabela2[[#This Row],[Dt Venc:]]&gt;TODAY(),"Em Aberto",IF(Tabela2[[#This Row],[D/venc]]="-","Enviado",IF(Tabela2[[#This Row],[Dt Venc:]]=TODAY(),"Vence Hoje","Vencida")))</f>
        <v>Em Aberto</v>
      </c>
      <c r="F9414" s="3">
        <f ca="1">IF(G9414=1,"-",Tabela2[[#This Row],[Dt Venc:]]-TODAY())</f>
        <v>1031</v>
      </c>
      <c r="G9414" s="3"/>
      <c r="H9414" s="3"/>
    </row>
    <row r="9415" spans="1:8">
      <c r="A9415" s="3">
        <v>5680</v>
      </c>
      <c r="B9415" s="7" t="s">
        <v>122</v>
      </c>
      <c r="C9415" s="100" t="s">
        <v>32</v>
      </c>
      <c r="D9415" s="6">
        <v>46726</v>
      </c>
      <c r="E9415" s="3" t="str">
        <f ca="1">IF(Tabela2[[#This Row],[Dt Venc:]]&gt;TODAY(),"Em Aberto",IF(Tabela2[[#This Row],[D/venc]]="-","Enviado",IF(Tabela2[[#This Row],[Dt Venc:]]=TODAY(),"Vence Hoje","Vencida")))</f>
        <v>Em Aberto</v>
      </c>
      <c r="F9415" s="3">
        <f ca="1">IF(G9415=1,"-",Tabela2[[#This Row],[Dt Venc:]]-TODAY())</f>
        <v>1033</v>
      </c>
      <c r="G9415" s="3"/>
      <c r="H9415" s="3"/>
    </row>
    <row r="9416" spans="1:8">
      <c r="A9416" s="3">
        <v>10353</v>
      </c>
      <c r="B9416" s="7" t="s">
        <v>82</v>
      </c>
      <c r="C9416" s="100" t="s">
        <v>32</v>
      </c>
      <c r="D9416" s="6">
        <v>46726</v>
      </c>
      <c r="E9416" s="3" t="str">
        <f ca="1">IF(Tabela2[[#This Row],[Dt Venc:]]&gt;TODAY(),"Em Aberto",IF(Tabela2[[#This Row],[D/venc]]="-","Enviado",IF(Tabela2[[#This Row],[Dt Venc:]]=TODAY(),"Vence Hoje","Vencida")))</f>
        <v>Em Aberto</v>
      </c>
      <c r="F9416" s="3">
        <f ca="1">IF(G9416=1,"-",Tabela2[[#This Row],[Dt Venc:]]-TODAY())</f>
        <v>1033</v>
      </c>
      <c r="G9416" s="3"/>
      <c r="H9416" s="3" t="s">
        <v>732</v>
      </c>
    </row>
    <row r="9417" spans="1:8">
      <c r="A9417" s="3">
        <v>284620</v>
      </c>
      <c r="B9417" s="7" t="s">
        <v>153</v>
      </c>
      <c r="C9417" s="100" t="s">
        <v>32</v>
      </c>
      <c r="D9417" s="6">
        <v>46729</v>
      </c>
      <c r="E9417" s="3" t="str">
        <f ca="1">IF(Tabela2[[#This Row],[Dt Venc:]]&gt;TODAY(),"Em Aberto",IF(Tabela2[[#This Row],[D/venc]]="-","Enviado",IF(Tabela2[[#This Row],[Dt Venc:]]=TODAY(),"Vence Hoje","Vencida")))</f>
        <v>Em Aberto</v>
      </c>
      <c r="F9417" s="3">
        <f ca="1">IF(G9417=1,"-",Tabela2[[#This Row],[Dt Venc:]]-TODAY())</f>
        <v>1036</v>
      </c>
      <c r="G9417" s="3"/>
      <c r="H9417" s="3"/>
    </row>
    <row r="9418" spans="1:8">
      <c r="A9418" s="3">
        <v>562</v>
      </c>
      <c r="B9418" s="7" t="s">
        <v>251</v>
      </c>
      <c r="C9418" s="100" t="s">
        <v>32</v>
      </c>
      <c r="D9418" s="6">
        <v>46736</v>
      </c>
      <c r="E9418" s="3" t="str">
        <f ca="1">IF(Tabela2[[#This Row],[Dt Venc:]]&gt;TODAY(),"Em Aberto",IF(Tabela2[[#This Row],[D/venc]]="-","Enviado",IF(Tabela2[[#This Row],[Dt Venc:]]=TODAY(),"Vence Hoje","Vencida")))</f>
        <v>Em Aberto</v>
      </c>
      <c r="F9418" s="3">
        <f ca="1">IF(G9418=1,"-",Tabela2[[#This Row],[Dt Venc:]]-TODAY())</f>
        <v>1043</v>
      </c>
      <c r="G9418" s="3"/>
      <c r="H9418" s="3"/>
    </row>
    <row r="9419" spans="1:8">
      <c r="A9419" s="3">
        <v>103015</v>
      </c>
      <c r="B9419" s="7" t="s">
        <v>252</v>
      </c>
      <c r="C9419" s="100" t="s">
        <v>32</v>
      </c>
      <c r="D9419" s="6">
        <v>46736</v>
      </c>
      <c r="E9419" s="3" t="str">
        <f ca="1">IF(Tabela2[[#This Row],[Dt Venc:]]&gt;TODAY(),"Em Aberto",IF(Tabela2[[#This Row],[D/venc]]="-","Enviado",IF(Tabela2[[#This Row],[Dt Venc:]]=TODAY(),"Vence Hoje","Vencida")))</f>
        <v>Em Aberto</v>
      </c>
      <c r="F9419" s="3">
        <f ca="1">IF(G9419=1,"-",Tabela2[[#This Row],[Dt Venc:]]-TODAY())</f>
        <v>1043</v>
      </c>
      <c r="G9419" s="3"/>
      <c r="H9419" s="3"/>
    </row>
    <row r="9420" spans="1:8">
      <c r="A9420" s="3">
        <v>103077</v>
      </c>
      <c r="B9420" s="7" t="s">
        <v>252</v>
      </c>
      <c r="C9420" s="100" t="s">
        <v>32</v>
      </c>
      <c r="D9420" s="6">
        <v>46736</v>
      </c>
      <c r="E9420" s="3" t="str">
        <f ca="1">IF(Tabela2[[#This Row],[Dt Venc:]]&gt;TODAY(),"Em Aberto",IF(Tabela2[[#This Row],[D/venc]]="-","Enviado",IF(Tabela2[[#This Row],[Dt Venc:]]=TODAY(),"Vence Hoje","Vencida")))</f>
        <v>Em Aberto</v>
      </c>
      <c r="F9420" s="3">
        <f ca="1">IF(G9420=1,"-",Tabela2[[#This Row],[Dt Venc:]]-TODAY())</f>
        <v>1043</v>
      </c>
      <c r="G9420" s="3"/>
      <c r="H9420" s="3"/>
    </row>
    <row r="9421" spans="1:8">
      <c r="A9421" s="3">
        <v>103153</v>
      </c>
      <c r="B9421" s="7" t="s">
        <v>252</v>
      </c>
      <c r="C9421" s="87" t="s">
        <v>32</v>
      </c>
      <c r="D9421" s="6">
        <v>46736</v>
      </c>
      <c r="E9421" s="3" t="str">
        <f ca="1">IF(Tabela2[[#This Row],[Dt Venc:]]&gt;TODAY(),"Em Aberto",IF(Tabela2[[#This Row],[D/venc]]="-","Enviado",IF(Tabela2[[#This Row],[Dt Venc:]]=TODAY(),"Vence Hoje","Vencida")))</f>
        <v>Em Aberto</v>
      </c>
      <c r="F9421" s="3">
        <f ca="1">IF(G9421=1,"-",Tabela2[[#This Row],[Dt Venc:]]-TODAY())</f>
        <v>1043</v>
      </c>
      <c r="G9421" s="3"/>
      <c r="H9421" s="3"/>
    </row>
    <row r="9422" spans="1:8">
      <c r="A9422" s="3">
        <v>103154</v>
      </c>
      <c r="B9422" s="7" t="s">
        <v>252</v>
      </c>
      <c r="C9422" s="100" t="s">
        <v>32</v>
      </c>
      <c r="D9422" s="6">
        <v>46736</v>
      </c>
      <c r="E9422" s="3" t="str">
        <f ca="1">IF(Tabela2[[#This Row],[Dt Venc:]]&gt;TODAY(),"Em Aberto",IF(Tabela2[[#This Row],[D/venc]]="-","Enviado",IF(Tabela2[[#This Row],[Dt Venc:]]=TODAY(),"Vence Hoje","Vencida")))</f>
        <v>Em Aberto</v>
      </c>
      <c r="F9422" s="3">
        <f ca="1">IF(G9422=1,"-",Tabela2[[#This Row],[Dt Venc:]]-TODAY())</f>
        <v>1043</v>
      </c>
      <c r="G9422" s="3"/>
      <c r="H9422" s="3"/>
    </row>
    <row r="9423" spans="1:8">
      <c r="A9423" s="3">
        <v>106007</v>
      </c>
      <c r="B9423" s="7" t="s">
        <v>252</v>
      </c>
      <c r="C9423" s="100" t="s">
        <v>32</v>
      </c>
      <c r="D9423" s="6">
        <v>46736</v>
      </c>
      <c r="E9423" s="3" t="str">
        <f ca="1">IF(Tabela2[[#This Row],[Dt Venc:]]&gt;TODAY(),"Em Aberto",IF(Tabela2[[#This Row],[D/venc]]="-","Enviado",IF(Tabela2[[#This Row],[Dt Venc:]]=TODAY(),"Vence Hoje","Vencida")))</f>
        <v>Em Aberto</v>
      </c>
      <c r="F9423" s="3">
        <f ca="1">IF(G9423=1,"-",Tabela2[[#This Row],[Dt Venc:]]-TODAY())</f>
        <v>1043</v>
      </c>
      <c r="G9423" s="3"/>
      <c r="H9423" s="3"/>
    </row>
    <row r="9424" spans="1:8">
      <c r="A9424" s="3">
        <v>106043</v>
      </c>
      <c r="B9424" s="7" t="s">
        <v>252</v>
      </c>
      <c r="C9424" s="100" t="s">
        <v>32</v>
      </c>
      <c r="D9424" s="6">
        <v>46736</v>
      </c>
      <c r="E9424" s="3" t="str">
        <f ca="1">IF(Tabela2[[#This Row],[Dt Venc:]]&gt;TODAY(),"Em Aberto",IF(Tabela2[[#This Row],[D/venc]]="-","Enviado",IF(Tabela2[[#This Row],[Dt Venc:]]=TODAY(),"Vence Hoje","Vencida")))</f>
        <v>Em Aberto</v>
      </c>
      <c r="F9424" s="3">
        <f ca="1">IF(G9424=1,"-",Tabela2[[#This Row],[Dt Venc:]]-TODAY())</f>
        <v>1043</v>
      </c>
      <c r="G9424" s="3"/>
      <c r="H9424" s="3"/>
    </row>
    <row r="9425" spans="1:8">
      <c r="A9425" s="3">
        <v>107829</v>
      </c>
      <c r="B9425" s="7" t="s">
        <v>252</v>
      </c>
      <c r="C9425" s="100" t="s">
        <v>32</v>
      </c>
      <c r="D9425" s="6">
        <v>46736</v>
      </c>
      <c r="E9425" s="3" t="str">
        <f ca="1">IF(Tabela2[[#This Row],[Dt Venc:]]&gt;TODAY(),"Em Aberto",IF(Tabela2[[#This Row],[D/venc]]="-","Enviado",IF(Tabela2[[#This Row],[Dt Venc:]]=TODAY(),"Vence Hoje","Vencida")))</f>
        <v>Em Aberto</v>
      </c>
      <c r="F9425" s="3">
        <f ca="1">IF(G9425=1,"-",Tabela2[[#This Row],[Dt Venc:]]-TODAY())</f>
        <v>1043</v>
      </c>
      <c r="G9425" s="3"/>
      <c r="H9425" s="3"/>
    </row>
    <row r="9426" spans="1:8">
      <c r="A9426" s="3">
        <v>107830</v>
      </c>
      <c r="B9426" s="7" t="s">
        <v>252</v>
      </c>
      <c r="C9426" s="87" t="s">
        <v>32</v>
      </c>
      <c r="D9426" s="6">
        <v>46736</v>
      </c>
      <c r="E9426" s="3" t="str">
        <f ca="1">IF(Tabela2[[#This Row],[Dt Venc:]]&gt;TODAY(),"Em Aberto",IF(Tabela2[[#This Row],[D/venc]]="-","Enviado",IF(Tabela2[[#This Row],[Dt Venc:]]=TODAY(),"Vence Hoje","Vencida")))</f>
        <v>Em Aberto</v>
      </c>
      <c r="F9426" s="3">
        <f ca="1">IF(G9426=1,"-",Tabela2[[#This Row],[Dt Venc:]]-TODAY())</f>
        <v>1043</v>
      </c>
      <c r="G9426" s="3"/>
      <c r="H9426" s="3"/>
    </row>
    <row r="9427" spans="1:8">
      <c r="A9427" s="3">
        <v>107831</v>
      </c>
      <c r="B9427" s="7" t="s">
        <v>252</v>
      </c>
      <c r="C9427" s="100" t="s">
        <v>32</v>
      </c>
      <c r="D9427" s="6">
        <v>46736</v>
      </c>
      <c r="E9427" s="3" t="str">
        <f ca="1">IF(Tabela2[[#This Row],[Dt Venc:]]&gt;TODAY(),"Em Aberto",IF(Tabela2[[#This Row],[D/venc]]="-","Enviado",IF(Tabela2[[#This Row],[Dt Venc:]]=TODAY(),"Vence Hoje","Vencida")))</f>
        <v>Em Aberto</v>
      </c>
      <c r="F9427" s="3">
        <f ca="1">IF(G9427=1,"-",Tabela2[[#This Row],[Dt Venc:]]-TODAY())</f>
        <v>1043</v>
      </c>
      <c r="G9427" s="3"/>
      <c r="H9427" s="3"/>
    </row>
    <row r="9428" spans="1:8">
      <c r="A9428" s="3">
        <v>107832</v>
      </c>
      <c r="B9428" s="7" t="s">
        <v>252</v>
      </c>
      <c r="C9428" s="100" t="s">
        <v>32</v>
      </c>
      <c r="D9428" s="6">
        <v>46736</v>
      </c>
      <c r="E9428" s="3" t="str">
        <f ca="1">IF(Tabela2[[#This Row],[Dt Venc:]]&gt;TODAY(),"Em Aberto",IF(Tabela2[[#This Row],[D/venc]]="-","Enviado",IF(Tabela2[[#This Row],[Dt Venc:]]=TODAY(),"Vence Hoje","Vencida")))</f>
        <v>Em Aberto</v>
      </c>
      <c r="F9428" s="3">
        <f ca="1">IF(G9428=1,"-",Tabela2[[#This Row],[Dt Venc:]]-TODAY())</f>
        <v>1043</v>
      </c>
      <c r="G9428" s="3"/>
      <c r="H9428" s="3"/>
    </row>
    <row r="9429" spans="1:8">
      <c r="A9429" s="3">
        <v>361229</v>
      </c>
      <c r="B9429" s="7" t="s">
        <v>250</v>
      </c>
      <c r="C9429" s="100" t="s">
        <v>32</v>
      </c>
      <c r="D9429" s="6">
        <v>46736</v>
      </c>
      <c r="E9429" s="3" t="str">
        <f ca="1">IF(Tabela2[[#This Row],[Dt Venc:]]&gt;TODAY(),"Em Aberto",IF(Tabela2[[#This Row],[D/venc]]="-","Enviado",IF(Tabela2[[#This Row],[Dt Venc:]]=TODAY(),"Vence Hoje","Vencida")))</f>
        <v>Em Aberto</v>
      </c>
      <c r="F9429" s="3">
        <f ca="1">IF(G9429=1,"-",Tabela2[[#This Row],[Dt Venc:]]-TODAY())</f>
        <v>1043</v>
      </c>
      <c r="G9429" s="3"/>
      <c r="H9429" s="3"/>
    </row>
    <row r="9430" spans="1:8">
      <c r="A9430" s="3">
        <v>361237</v>
      </c>
      <c r="B9430" s="7" t="s">
        <v>250</v>
      </c>
      <c r="C9430" s="100" t="s">
        <v>32</v>
      </c>
      <c r="D9430" s="6">
        <v>46736</v>
      </c>
      <c r="E9430" s="3" t="str">
        <f ca="1">IF(Tabela2[[#This Row],[Dt Venc:]]&gt;TODAY(),"Em Aberto",IF(Tabela2[[#This Row],[D/venc]]="-","Enviado",IF(Tabela2[[#This Row],[Dt Venc:]]=TODAY(),"Vence Hoje","Vencida")))</f>
        <v>Em Aberto</v>
      </c>
      <c r="F9430" s="3">
        <f ca="1">IF(G9430=1,"-",Tabela2[[#This Row],[Dt Venc:]]-TODAY())</f>
        <v>1043</v>
      </c>
      <c r="G9430" s="3"/>
      <c r="H9430" s="3"/>
    </row>
    <row r="9431" spans="1:8">
      <c r="A9431" s="3">
        <v>365658</v>
      </c>
      <c r="B9431" s="7" t="s">
        <v>250</v>
      </c>
      <c r="C9431" s="100" t="s">
        <v>32</v>
      </c>
      <c r="D9431" s="6">
        <v>46736</v>
      </c>
      <c r="E9431" s="3" t="str">
        <f ca="1">IF(Tabela2[[#This Row],[Dt Venc:]]&gt;TODAY(),"Em Aberto",IF(Tabela2[[#This Row],[D/venc]]="-","Enviado",IF(Tabela2[[#This Row],[Dt Venc:]]=TODAY(),"Vence Hoje","Vencida")))</f>
        <v>Em Aberto</v>
      </c>
      <c r="F9431" s="3">
        <f ca="1">IF(G9431=1,"-",Tabela2[[#This Row],[Dt Venc:]]-TODAY())</f>
        <v>1043</v>
      </c>
      <c r="G9431" s="3"/>
      <c r="H9431" s="3"/>
    </row>
    <row r="9432" spans="1:8">
      <c r="A9432" s="3">
        <v>365666</v>
      </c>
      <c r="B9432" s="7" t="s">
        <v>250</v>
      </c>
      <c r="C9432" s="100" t="s">
        <v>32</v>
      </c>
      <c r="D9432" s="6">
        <v>46736</v>
      </c>
      <c r="E9432" s="3" t="str">
        <f ca="1">IF(Tabela2[[#This Row],[Dt Venc:]]&gt;TODAY(),"Em Aberto",IF(Tabela2[[#This Row],[D/venc]]="-","Enviado",IF(Tabela2[[#This Row],[Dt Venc:]]=TODAY(),"Vence Hoje","Vencida")))</f>
        <v>Em Aberto</v>
      </c>
      <c r="F9432" s="3">
        <f ca="1">IF(G9432=1,"-",Tabela2[[#This Row],[Dt Venc:]]-TODAY())</f>
        <v>1043</v>
      </c>
      <c r="G9432" s="3"/>
      <c r="H9432" s="3"/>
    </row>
    <row r="9433" spans="1:8">
      <c r="A9433" s="3">
        <v>365674</v>
      </c>
      <c r="B9433" s="7" t="s">
        <v>250</v>
      </c>
      <c r="C9433" s="100" t="s">
        <v>32</v>
      </c>
      <c r="D9433" s="6">
        <v>46736</v>
      </c>
      <c r="E9433" s="3" t="str">
        <f ca="1">IF(Tabela2[[#This Row],[Dt Venc:]]&gt;TODAY(),"Em Aberto",IF(Tabela2[[#This Row],[D/venc]]="-","Enviado",IF(Tabela2[[#This Row],[Dt Venc:]]=TODAY(),"Vence Hoje","Vencida")))</f>
        <v>Em Aberto</v>
      </c>
      <c r="F9433" s="3">
        <f ca="1">IF(G9433=1,"-",Tabela2[[#This Row],[Dt Venc:]]-TODAY())</f>
        <v>1043</v>
      </c>
      <c r="G9433" s="3"/>
      <c r="H9433" s="3"/>
    </row>
    <row r="9434" spans="1:8">
      <c r="A9434" s="3">
        <v>365682</v>
      </c>
      <c r="B9434" s="7" t="s">
        <v>250</v>
      </c>
      <c r="C9434" s="100" t="s">
        <v>32</v>
      </c>
      <c r="D9434" s="6">
        <v>46736</v>
      </c>
      <c r="E9434" s="3" t="str">
        <f ca="1">IF(Tabela2[[#This Row],[Dt Venc:]]&gt;TODAY(),"Em Aberto",IF(Tabela2[[#This Row],[D/venc]]="-","Enviado",IF(Tabela2[[#This Row],[Dt Venc:]]=TODAY(),"Vence Hoje","Vencida")))</f>
        <v>Em Aberto</v>
      </c>
      <c r="F9434" s="3">
        <f ca="1">IF(G9434=1,"-",Tabela2[[#This Row],[Dt Venc:]]-TODAY())</f>
        <v>1043</v>
      </c>
      <c r="G9434" s="3"/>
      <c r="H9434" s="3"/>
    </row>
    <row r="9435" spans="1:8">
      <c r="A9435" s="3">
        <v>369335</v>
      </c>
      <c r="B9435" s="7" t="s">
        <v>543</v>
      </c>
      <c r="C9435" s="87" t="s">
        <v>32</v>
      </c>
      <c r="D9435" s="6">
        <v>46736</v>
      </c>
      <c r="E9435" s="3" t="str">
        <f ca="1">IF(Tabela2[[#This Row],[Dt Venc:]]&gt;TODAY(),"Em Aberto",IF(Tabela2[[#This Row],[D/venc]]="-","Enviado",IF(Tabela2[[#This Row],[Dt Venc:]]=TODAY(),"Vence Hoje","Vencida")))</f>
        <v>Em Aberto</v>
      </c>
      <c r="F9435" s="3">
        <f ca="1">IF(G9435=1,"-",Tabela2[[#This Row],[Dt Venc:]]-TODAY())</f>
        <v>1043</v>
      </c>
      <c r="G9435" s="3"/>
      <c r="H9435" s="3"/>
    </row>
    <row r="9436" spans="1:8">
      <c r="A9436" s="3">
        <v>369696</v>
      </c>
      <c r="B9436" s="7" t="s">
        <v>543</v>
      </c>
      <c r="C9436" s="87" t="s">
        <v>32</v>
      </c>
      <c r="D9436" s="6">
        <v>46736</v>
      </c>
      <c r="E9436" s="3" t="str">
        <f ca="1">IF(Tabela2[[#This Row],[Dt Venc:]]&gt;TODAY(),"Em Aberto",IF(Tabela2[[#This Row],[D/venc]]="-","Enviado",IF(Tabela2[[#This Row],[Dt Venc:]]=TODAY(),"Vence Hoje","Vencida")))</f>
        <v>Em Aberto</v>
      </c>
      <c r="F9436" s="3">
        <f ca="1">IF(G9436=1,"-",Tabela2[[#This Row],[Dt Venc:]]-TODAY())</f>
        <v>1043</v>
      </c>
      <c r="G9436" s="3"/>
      <c r="H9436" s="3"/>
    </row>
    <row r="9437" spans="1:8">
      <c r="A9437" s="3">
        <v>369726</v>
      </c>
      <c r="B9437" s="7" t="s">
        <v>543</v>
      </c>
      <c r="C9437" s="87" t="s">
        <v>32</v>
      </c>
      <c r="D9437" s="6">
        <v>46736</v>
      </c>
      <c r="E9437" s="3" t="str">
        <f ca="1">IF(Tabela2[[#This Row],[Dt Venc:]]&gt;TODAY(),"Em Aberto",IF(Tabela2[[#This Row],[D/venc]]="-","Enviado",IF(Tabela2[[#This Row],[Dt Venc:]]=TODAY(),"Vence Hoje","Vencida")))</f>
        <v>Em Aberto</v>
      </c>
      <c r="F9437" s="3">
        <f ca="1">IF(G9437=1,"-",Tabela2[[#This Row],[Dt Venc:]]-TODAY())</f>
        <v>1043</v>
      </c>
      <c r="G9437" s="3"/>
      <c r="H9437" s="3"/>
    </row>
    <row r="9438" spans="1:8">
      <c r="A9438" s="3">
        <v>369751</v>
      </c>
      <c r="B9438" s="7" t="s">
        <v>543</v>
      </c>
      <c r="C9438" s="87" t="s">
        <v>32</v>
      </c>
      <c r="D9438" s="6">
        <v>46736</v>
      </c>
      <c r="E9438" s="3" t="str">
        <f ca="1">IF(Tabela2[[#This Row],[Dt Venc:]]&gt;TODAY(),"Em Aberto",IF(Tabela2[[#This Row],[D/venc]]="-","Enviado",IF(Tabela2[[#This Row],[Dt Venc:]]=TODAY(),"Vence Hoje","Vencida")))</f>
        <v>Em Aberto</v>
      </c>
      <c r="F9438" s="3">
        <f ca="1">IF(G9438=1,"-",Tabela2[[#This Row],[Dt Venc:]]-TODAY())</f>
        <v>1043</v>
      </c>
      <c r="G9438" s="3"/>
      <c r="H9438" s="3"/>
    </row>
    <row r="9439" spans="1:8">
      <c r="A9439" s="3">
        <v>370201</v>
      </c>
      <c r="B9439" s="7" t="s">
        <v>543</v>
      </c>
      <c r="C9439" s="87" t="s">
        <v>32</v>
      </c>
      <c r="D9439" s="6">
        <v>46736</v>
      </c>
      <c r="E9439" s="3" t="str">
        <f ca="1">IF(Tabela2[[#This Row],[Dt Venc:]]&gt;TODAY(),"Em Aberto",IF(Tabela2[[#This Row],[D/venc]]="-","Enviado",IF(Tabela2[[#This Row],[Dt Venc:]]=TODAY(),"Vence Hoje","Vencida")))</f>
        <v>Em Aberto</v>
      </c>
      <c r="F9439" s="3">
        <f ca="1">IF(G9439=1,"-",Tabela2[[#This Row],[Dt Venc:]]-TODAY())</f>
        <v>1043</v>
      </c>
      <c r="G9439" s="3"/>
      <c r="H9439" s="3"/>
    </row>
    <row r="9440" spans="1:8">
      <c r="A9440" s="3">
        <v>370864</v>
      </c>
      <c r="B9440" s="7" t="s">
        <v>543</v>
      </c>
      <c r="C9440" s="87" t="s">
        <v>32</v>
      </c>
      <c r="D9440" s="6">
        <v>46736</v>
      </c>
      <c r="E9440" s="3" t="str">
        <f ca="1">IF(Tabela2[[#This Row],[Dt Venc:]]&gt;TODAY(),"Em Aberto",IF(Tabela2[[#This Row],[D/venc]]="-","Enviado",IF(Tabela2[[#This Row],[Dt Venc:]]=TODAY(),"Vence Hoje","Vencida")))</f>
        <v>Em Aberto</v>
      </c>
      <c r="F9440" s="3">
        <f ca="1">IF(G9440=1,"-",Tabela2[[#This Row],[Dt Venc:]]-TODAY())</f>
        <v>1043</v>
      </c>
      <c r="G9440" s="3"/>
      <c r="H9440" s="3"/>
    </row>
    <row r="9441" spans="1:8">
      <c r="A9441" s="3">
        <v>371011</v>
      </c>
      <c r="B9441" s="7" t="s">
        <v>633</v>
      </c>
      <c r="C9441" s="87" t="s">
        <v>32</v>
      </c>
      <c r="D9441" s="6">
        <v>46736</v>
      </c>
      <c r="E9441" s="3" t="str">
        <f ca="1">IF(Tabela2[[#This Row],[Dt Venc:]]&gt;TODAY(),"Em Aberto",IF(Tabela2[[#This Row],[D/venc]]="-","Enviado",IF(Tabela2[[#This Row],[Dt Venc:]]=TODAY(),"Vence Hoje","Vencida")))</f>
        <v>Em Aberto</v>
      </c>
      <c r="F9441" s="3">
        <f ca="1">IF(G9441=1,"-",Tabela2[[#This Row],[Dt Venc:]]-TODAY())</f>
        <v>1043</v>
      </c>
      <c r="G9441" s="3"/>
      <c r="H9441" s="3"/>
    </row>
    <row r="9442" spans="1:8">
      <c r="A9442" s="3">
        <v>371160</v>
      </c>
      <c r="B9442" s="7" t="s">
        <v>633</v>
      </c>
      <c r="C9442" s="87" t="s">
        <v>32</v>
      </c>
      <c r="D9442" s="6">
        <v>46736</v>
      </c>
      <c r="E9442" s="3" t="str">
        <f ca="1">IF(Tabela2[[#This Row],[Dt Venc:]]&gt;TODAY(),"Em Aberto",IF(Tabela2[[#This Row],[D/venc]]="-","Enviado",IF(Tabela2[[#This Row],[Dt Venc:]]=TODAY(),"Vence Hoje","Vencida")))</f>
        <v>Em Aberto</v>
      </c>
      <c r="F9442" s="3">
        <f ca="1">IF(G9442=1,"-",Tabela2[[#This Row],[Dt Venc:]]-TODAY())</f>
        <v>1043</v>
      </c>
      <c r="G9442" s="3"/>
      <c r="H9442" s="3"/>
    </row>
    <row r="9443" spans="1:8">
      <c r="A9443" s="3">
        <v>892178</v>
      </c>
      <c r="B9443" s="7" t="s">
        <v>253</v>
      </c>
      <c r="C9443" s="100" t="s">
        <v>32</v>
      </c>
      <c r="D9443" s="6">
        <v>46736</v>
      </c>
      <c r="E9443" s="3" t="str">
        <f ca="1">IF(Tabela2[[#This Row],[Dt Venc:]]&gt;TODAY(),"Em Aberto",IF(Tabela2[[#This Row],[D/venc]]="-","Enviado",IF(Tabela2[[#This Row],[Dt Venc:]]=TODAY(),"Vence Hoje","Vencida")))</f>
        <v>Em Aberto</v>
      </c>
      <c r="F9443" s="3">
        <f ca="1">IF(G9443=1,"-",Tabela2[[#This Row],[Dt Venc:]]-TODAY())</f>
        <v>1043</v>
      </c>
      <c r="G9443" s="3"/>
      <c r="H9443" s="3"/>
    </row>
    <row r="9444" spans="1:8">
      <c r="A9444" s="3">
        <v>894135</v>
      </c>
      <c r="B9444" s="7" t="s">
        <v>253</v>
      </c>
      <c r="C9444" s="100" t="s">
        <v>32</v>
      </c>
      <c r="D9444" s="6">
        <v>46736</v>
      </c>
      <c r="E9444" s="3" t="str">
        <f ca="1">IF(Tabela2[[#This Row],[Dt Venc:]]&gt;TODAY(),"Em Aberto",IF(Tabela2[[#This Row],[D/venc]]="-","Enviado",IF(Tabela2[[#This Row],[Dt Venc:]]=TODAY(),"Vence Hoje","Vencida")))</f>
        <v>Em Aberto</v>
      </c>
      <c r="F9444" s="3">
        <f ca="1">IF(G9444=1,"-",Tabela2[[#This Row],[Dt Venc:]]-TODAY())</f>
        <v>1043</v>
      </c>
      <c r="G9444" s="3"/>
      <c r="H9444" s="3"/>
    </row>
    <row r="9445" spans="1:8">
      <c r="A9445" s="3">
        <v>896565</v>
      </c>
      <c r="B9445" s="7" t="s">
        <v>253</v>
      </c>
      <c r="C9445" s="100" t="s">
        <v>32</v>
      </c>
      <c r="D9445" s="6">
        <v>46736</v>
      </c>
      <c r="E9445" s="3" t="str">
        <f ca="1">IF(Tabela2[[#This Row],[Dt Venc:]]&gt;TODAY(),"Em Aberto",IF(Tabela2[[#This Row],[D/venc]]="-","Enviado",IF(Tabela2[[#This Row],[Dt Venc:]]=TODAY(),"Vence Hoje","Vencida")))</f>
        <v>Em Aberto</v>
      </c>
      <c r="F9445" s="3">
        <f ca="1">IF(G9445=1,"-",Tabela2[[#This Row],[Dt Venc:]]-TODAY())</f>
        <v>1043</v>
      </c>
      <c r="G9445" s="3"/>
      <c r="H9445" s="3"/>
    </row>
    <row r="9446" spans="1:8">
      <c r="A9446" s="3">
        <v>900386</v>
      </c>
      <c r="B9446" s="7" t="s">
        <v>253</v>
      </c>
      <c r="C9446" s="100" t="s">
        <v>32</v>
      </c>
      <c r="D9446" s="6">
        <v>46736</v>
      </c>
      <c r="E9446" s="3" t="str">
        <f ca="1">IF(Tabela2[[#This Row],[Dt Venc:]]&gt;TODAY(),"Em Aberto",IF(Tabela2[[#This Row],[D/venc]]="-","Enviado",IF(Tabela2[[#This Row],[Dt Venc:]]=TODAY(),"Vence Hoje","Vencida")))</f>
        <v>Em Aberto</v>
      </c>
      <c r="F9446" s="3">
        <f ca="1">IF(G9446=1,"-",Tabela2[[#This Row],[Dt Venc:]]-TODAY())</f>
        <v>1043</v>
      </c>
      <c r="G9446" s="3"/>
      <c r="H9446" s="3"/>
    </row>
    <row r="9447" spans="1:8">
      <c r="A9447" s="3">
        <v>901787</v>
      </c>
      <c r="B9447" s="7" t="s">
        <v>253</v>
      </c>
      <c r="C9447" s="99" t="s">
        <v>32</v>
      </c>
      <c r="D9447" s="6">
        <v>46736</v>
      </c>
      <c r="E9447" s="3" t="str">
        <f ca="1">IF(Tabela2[[#This Row],[Dt Venc:]]&gt;TODAY(),"Em Aberto",IF(Tabela2[[#This Row],[D/venc]]="-","Enviado",IF(Tabela2[[#This Row],[Dt Venc:]]=TODAY(),"Vence Hoje","Vencida")))</f>
        <v>Em Aberto</v>
      </c>
      <c r="F9447" s="3">
        <f ca="1">IF(G9447=1,"-",Tabela2[[#This Row],[Dt Venc:]]-TODAY())</f>
        <v>1043</v>
      </c>
      <c r="G9447" s="3"/>
      <c r="H9447" s="3"/>
    </row>
    <row r="9448" spans="1:8">
      <c r="A9448" s="3">
        <v>901788</v>
      </c>
      <c r="B9448" s="7" t="s">
        <v>253</v>
      </c>
      <c r="C9448" s="100" t="s">
        <v>32</v>
      </c>
      <c r="D9448" s="6">
        <v>46736</v>
      </c>
      <c r="E9448" s="3" t="str">
        <f ca="1">IF(Tabela2[[#This Row],[Dt Venc:]]&gt;TODAY(),"Em Aberto",IF(Tabela2[[#This Row],[D/venc]]="-","Enviado",IF(Tabela2[[#This Row],[Dt Venc:]]=TODAY(),"Vence Hoje","Vencida")))</f>
        <v>Em Aberto</v>
      </c>
      <c r="F9448" s="3">
        <f ca="1">IF(G9448=1,"-",Tabela2[[#This Row],[Dt Venc:]]-TODAY())</f>
        <v>1043</v>
      </c>
      <c r="G9448" s="3"/>
      <c r="H9448" s="3"/>
    </row>
    <row r="9449" spans="1:8">
      <c r="A9449" s="3">
        <v>901789</v>
      </c>
      <c r="B9449" s="7" t="s">
        <v>253</v>
      </c>
      <c r="C9449" s="99" t="s">
        <v>32</v>
      </c>
      <c r="D9449" s="6">
        <v>46736</v>
      </c>
      <c r="E9449" s="3" t="str">
        <f ca="1">IF(Tabela2[[#This Row],[Dt Venc:]]&gt;TODAY(),"Em Aberto",IF(Tabela2[[#This Row],[D/venc]]="-","Enviado",IF(Tabela2[[#This Row],[Dt Venc:]]=TODAY(),"Vence Hoje","Vencida")))</f>
        <v>Em Aberto</v>
      </c>
      <c r="F9449" s="3">
        <f ca="1">IF(G9449=1,"-",Tabela2[[#This Row],[Dt Venc:]]-TODAY())</f>
        <v>1043</v>
      </c>
      <c r="G9449" s="3"/>
      <c r="H9449" s="3"/>
    </row>
    <row r="9450" spans="1:8">
      <c r="A9450" s="3">
        <v>912703</v>
      </c>
      <c r="B9450" s="7" t="s">
        <v>253</v>
      </c>
      <c r="C9450" s="100" t="s">
        <v>32</v>
      </c>
      <c r="D9450" s="6">
        <v>46736</v>
      </c>
      <c r="E9450" s="3" t="str">
        <f ca="1">IF(Tabela2[[#This Row],[Dt Venc:]]&gt;TODAY(),"Em Aberto",IF(Tabela2[[#This Row],[D/venc]]="-","Enviado",IF(Tabela2[[#This Row],[Dt Venc:]]=TODAY(),"Vence Hoje","Vencida")))</f>
        <v>Em Aberto</v>
      </c>
      <c r="F9450" s="3">
        <f ca="1">IF(G9450=1,"-",Tabela2[[#This Row],[Dt Venc:]]-TODAY())</f>
        <v>1043</v>
      </c>
      <c r="G9450" s="3"/>
      <c r="H9450" s="3"/>
    </row>
    <row r="9451" spans="1:8">
      <c r="A9451" s="3">
        <v>912704</v>
      </c>
      <c r="B9451" s="7" t="s">
        <v>253</v>
      </c>
      <c r="C9451" s="100" t="s">
        <v>32</v>
      </c>
      <c r="D9451" s="6">
        <v>46736</v>
      </c>
      <c r="E9451" s="3" t="str">
        <f ca="1">IF(Tabela2[[#This Row],[Dt Venc:]]&gt;TODAY(),"Em Aberto",IF(Tabela2[[#This Row],[D/venc]]="-","Enviado",IF(Tabela2[[#This Row],[Dt Venc:]]=TODAY(),"Vence Hoje","Vencida")))</f>
        <v>Em Aberto</v>
      </c>
      <c r="F9451" s="3">
        <f ca="1">IF(G9451=1,"-",Tabela2[[#This Row],[Dt Venc:]]-TODAY())</f>
        <v>1043</v>
      </c>
      <c r="G9451" s="3"/>
      <c r="H9451" s="3"/>
    </row>
    <row r="9452" spans="1:8">
      <c r="A9452" s="3">
        <v>919728</v>
      </c>
      <c r="B9452" s="7" t="s">
        <v>253</v>
      </c>
      <c r="C9452" s="87" t="s">
        <v>32</v>
      </c>
      <c r="D9452" s="6">
        <v>46736</v>
      </c>
      <c r="E9452" s="3" t="str">
        <f ca="1">IF(Tabela2[[#This Row],[Dt Venc:]]&gt;TODAY(),"Em Aberto",IF(Tabela2[[#This Row],[D/venc]]="-","Enviado",IF(Tabela2[[#This Row],[Dt Venc:]]=TODAY(),"Vence Hoje","Vencida")))</f>
        <v>Em Aberto</v>
      </c>
      <c r="F9452" s="3">
        <f ca="1">IF(G9452=1,"-",Tabela2[[#This Row],[Dt Venc:]]-TODAY())</f>
        <v>1043</v>
      </c>
      <c r="G9452" s="3"/>
      <c r="H9452" s="3"/>
    </row>
    <row r="9453" spans="1:8">
      <c r="A9453" s="3">
        <v>919729</v>
      </c>
      <c r="B9453" s="7" t="s">
        <v>253</v>
      </c>
      <c r="C9453" s="87" t="s">
        <v>32</v>
      </c>
      <c r="D9453" s="6">
        <v>46736</v>
      </c>
      <c r="E9453" s="3" t="str">
        <f ca="1">IF(Tabela2[[#This Row],[Dt Venc:]]&gt;TODAY(),"Em Aberto",IF(Tabela2[[#This Row],[D/venc]]="-","Enviado",IF(Tabela2[[#This Row],[Dt Venc:]]=TODAY(),"Vence Hoje","Vencida")))</f>
        <v>Em Aberto</v>
      </c>
      <c r="F9453" s="3">
        <f ca="1">IF(G9453=1,"-",Tabela2[[#This Row],[Dt Venc:]]-TODAY())</f>
        <v>1043</v>
      </c>
      <c r="G9453" s="3"/>
      <c r="H9453" s="3"/>
    </row>
    <row r="9454" spans="1:8">
      <c r="A9454" s="3">
        <v>495914</v>
      </c>
      <c r="B9454" s="7" t="s">
        <v>153</v>
      </c>
      <c r="C9454" s="100" t="s">
        <v>32</v>
      </c>
      <c r="D9454" s="6">
        <v>46746</v>
      </c>
      <c r="E9454" s="3" t="str">
        <f ca="1">IF(Tabela2[[#This Row],[Dt Venc:]]&gt;TODAY(),"Em Aberto",IF(Tabela2[[#This Row],[D/venc]]="-","Enviado",IF(Tabela2[[#This Row],[Dt Venc:]]=TODAY(),"Vence Hoje","Vencida")))</f>
        <v>Em Aberto</v>
      </c>
      <c r="F9454" s="3">
        <f ca="1">IF(G9454=1,"-",Tabela2[[#This Row],[Dt Venc:]]-TODAY())</f>
        <v>1053</v>
      </c>
      <c r="G9454" s="3"/>
      <c r="H9454" s="3"/>
    </row>
    <row r="9455" spans="1:8">
      <c r="A9455" s="3">
        <v>5690</v>
      </c>
      <c r="B9455" s="7" t="s">
        <v>122</v>
      </c>
      <c r="C9455" s="99" t="s">
        <v>32</v>
      </c>
      <c r="D9455" s="6">
        <v>46748</v>
      </c>
      <c r="E9455" s="3" t="str">
        <f ca="1">IF(Tabela2[[#This Row],[Dt Venc:]]&gt;TODAY(),"Em Aberto",IF(Tabela2[[#This Row],[D/venc]]="-","Enviado",IF(Tabela2[[#This Row],[Dt Venc:]]=TODAY(),"Vence Hoje","Vencida")))</f>
        <v>Em Aberto</v>
      </c>
      <c r="F9455" s="3">
        <f ca="1">IF(G9455=1,"-",Tabela2[[#This Row],[Dt Venc:]]-TODAY())</f>
        <v>1055</v>
      </c>
      <c r="G9455" s="3"/>
      <c r="H9455" s="3"/>
    </row>
    <row r="9456" spans="1:8">
      <c r="A9456" s="3">
        <v>11681</v>
      </c>
      <c r="B9456" s="7" t="s">
        <v>82</v>
      </c>
      <c r="C9456" s="87" t="s">
        <v>30</v>
      </c>
      <c r="D9456" s="6">
        <v>46752</v>
      </c>
      <c r="E9456" s="3" t="str">
        <f ca="1">IF(Tabela2[[#This Row],[Dt Venc:]]&gt;TODAY(),"Em Aberto",IF(Tabela2[[#This Row],[D/venc]]="-","Enviado",IF(Tabela2[[#This Row],[Dt Venc:]]=TODAY(),"Vence Hoje","Vencida")))</f>
        <v>Em Aberto</v>
      </c>
      <c r="F9456" s="3">
        <f ca="1">IF(G9456=1,"-",Tabela2[[#This Row],[Dt Venc:]]-TODAY())</f>
        <v>1059</v>
      </c>
      <c r="G9456" s="3"/>
      <c r="H9456" s="3"/>
    </row>
    <row r="9457" spans="1:8">
      <c r="A9457" s="3">
        <v>10494</v>
      </c>
      <c r="B9457" s="7" t="s">
        <v>82</v>
      </c>
      <c r="C9457" s="88" t="s">
        <v>30</v>
      </c>
      <c r="D9457" s="6">
        <v>46755</v>
      </c>
      <c r="E9457" s="3" t="str">
        <f ca="1">IF(Tabela2[[#This Row],[Dt Venc:]]&gt;TODAY(),"Em Aberto",IF(Tabela2[[#This Row],[D/venc]]="-","Enviado",IF(Tabela2[[#This Row],[Dt Venc:]]=TODAY(),"Vence Hoje","Vencida")))</f>
        <v>Em Aberto</v>
      </c>
      <c r="F9457" s="3">
        <f ca="1">IF(G9457=1,"-",Tabela2[[#This Row],[Dt Venc:]]-TODAY())</f>
        <v>1062</v>
      </c>
      <c r="G9457" s="3"/>
      <c r="H9457" s="3"/>
    </row>
    <row r="9458" spans="1:8">
      <c r="A9458" s="3">
        <v>5680</v>
      </c>
      <c r="B9458" s="7" t="s">
        <v>122</v>
      </c>
      <c r="C9458" s="100" t="s">
        <v>32</v>
      </c>
      <c r="D9458" s="6">
        <v>46757</v>
      </c>
      <c r="E9458" s="3" t="str">
        <f ca="1">IF(Tabela2[[#This Row],[Dt Venc:]]&gt;TODAY(),"Em Aberto",IF(Tabela2[[#This Row],[D/venc]]="-","Enviado",IF(Tabela2[[#This Row],[Dt Venc:]]=TODAY(),"Vence Hoje","Vencida")))</f>
        <v>Em Aberto</v>
      </c>
      <c r="F9458" s="3">
        <f ca="1">IF(G9458=1,"-",Tabela2[[#This Row],[Dt Venc:]]-TODAY())</f>
        <v>1064</v>
      </c>
      <c r="G9458" s="3"/>
      <c r="H9458" s="3"/>
    </row>
    <row r="9459" spans="1:8">
      <c r="A9459" s="3">
        <v>284620</v>
      </c>
      <c r="B9459" s="7" t="s">
        <v>153</v>
      </c>
      <c r="C9459" s="100" t="s">
        <v>32</v>
      </c>
      <c r="D9459" s="6">
        <v>46760</v>
      </c>
      <c r="E9459" s="3" t="str">
        <f ca="1">IF(Tabela2[[#This Row],[Dt Venc:]]&gt;TODAY(),"Em Aberto",IF(Tabela2[[#This Row],[D/venc]]="-","Enviado",IF(Tabela2[[#This Row],[Dt Venc:]]=TODAY(),"Vence Hoje","Vencida")))</f>
        <v>Em Aberto</v>
      </c>
      <c r="F9459" s="3">
        <f ca="1">IF(G9459=1,"-",Tabela2[[#This Row],[Dt Venc:]]-TODAY())</f>
        <v>1067</v>
      </c>
      <c r="G9459" s="3"/>
      <c r="H9459" s="3"/>
    </row>
    <row r="9460" spans="1:8">
      <c r="A9460" s="3">
        <v>562</v>
      </c>
      <c r="B9460" s="7" t="s">
        <v>251</v>
      </c>
      <c r="C9460" s="99" t="s">
        <v>32</v>
      </c>
      <c r="D9460" s="6">
        <v>46767</v>
      </c>
      <c r="E9460" s="3" t="str">
        <f ca="1">IF(Tabela2[[#This Row],[Dt Venc:]]&gt;TODAY(),"Em Aberto",IF(Tabela2[[#This Row],[D/venc]]="-","Enviado",IF(Tabela2[[#This Row],[Dt Venc:]]=TODAY(),"Vence Hoje","Vencida")))</f>
        <v>Em Aberto</v>
      </c>
      <c r="F9460" s="3">
        <f ca="1">IF(G9460=1,"-",Tabela2[[#This Row],[Dt Venc:]]-TODAY())</f>
        <v>1074</v>
      </c>
      <c r="G9460" s="3"/>
      <c r="H9460" s="3"/>
    </row>
    <row r="9461" spans="1:8">
      <c r="A9461" s="3">
        <v>106007</v>
      </c>
      <c r="B9461" s="7" t="s">
        <v>252</v>
      </c>
      <c r="C9461" s="99" t="s">
        <v>32</v>
      </c>
      <c r="D9461" s="6">
        <v>46767</v>
      </c>
      <c r="E9461" s="3" t="str">
        <f ca="1">IF(Tabela2[[#This Row],[Dt Venc:]]&gt;TODAY(),"Em Aberto",IF(Tabela2[[#This Row],[D/venc]]="-","Enviado",IF(Tabela2[[#This Row],[Dt Venc:]]=TODAY(),"Vence Hoje","Vencida")))</f>
        <v>Em Aberto</v>
      </c>
      <c r="F9461" s="3">
        <f ca="1">IF(G9461=1,"-",Tabela2[[#This Row],[Dt Venc:]]-TODAY())</f>
        <v>1074</v>
      </c>
      <c r="G9461" s="3"/>
      <c r="H9461" s="3"/>
    </row>
    <row r="9462" spans="1:8">
      <c r="A9462" s="3">
        <v>106043</v>
      </c>
      <c r="B9462" s="7" t="s">
        <v>252</v>
      </c>
      <c r="C9462" s="99" t="s">
        <v>32</v>
      </c>
      <c r="D9462" s="6">
        <v>46767</v>
      </c>
      <c r="E9462" s="3" t="str">
        <f ca="1">IF(Tabela2[[#This Row],[Dt Venc:]]&gt;TODAY(),"Em Aberto",IF(Tabela2[[#This Row],[D/venc]]="-","Enviado",IF(Tabela2[[#This Row],[Dt Venc:]]=TODAY(),"Vence Hoje","Vencida")))</f>
        <v>Em Aberto</v>
      </c>
      <c r="F9462" s="3">
        <f ca="1">IF(G9462=1,"-",Tabela2[[#This Row],[Dt Venc:]]-TODAY())</f>
        <v>1074</v>
      </c>
      <c r="G9462" s="3"/>
      <c r="H9462" s="3"/>
    </row>
    <row r="9463" spans="1:8">
      <c r="A9463" s="3">
        <v>107830</v>
      </c>
      <c r="B9463" s="7" t="s">
        <v>252</v>
      </c>
      <c r="C9463" s="85" t="s">
        <v>32</v>
      </c>
      <c r="D9463" s="6">
        <v>46767</v>
      </c>
      <c r="E9463" s="3" t="str">
        <f ca="1">IF(Tabela2[[#This Row],[Dt Venc:]]&gt;TODAY(),"Em Aberto",IF(Tabela2[[#This Row],[D/venc]]="-","Enviado",IF(Tabela2[[#This Row],[Dt Venc:]]=TODAY(),"Vence Hoje","Vencida")))</f>
        <v>Em Aberto</v>
      </c>
      <c r="F9463" s="3">
        <f ca="1">IF(G9463=1,"-",Tabela2[[#This Row],[Dt Venc:]]-TODAY())</f>
        <v>1074</v>
      </c>
      <c r="G9463" s="3"/>
      <c r="H9463" s="3"/>
    </row>
    <row r="9464" spans="1:8">
      <c r="A9464" s="3">
        <v>107831</v>
      </c>
      <c r="B9464" s="7" t="s">
        <v>252</v>
      </c>
      <c r="C9464" s="99" t="s">
        <v>32</v>
      </c>
      <c r="D9464" s="6">
        <v>46767</v>
      </c>
      <c r="E9464" s="3" t="str">
        <f ca="1">IF(Tabela2[[#This Row],[Dt Venc:]]&gt;TODAY(),"Em Aberto",IF(Tabela2[[#This Row],[D/venc]]="-","Enviado",IF(Tabela2[[#This Row],[Dt Venc:]]=TODAY(),"Vence Hoje","Vencida")))</f>
        <v>Em Aberto</v>
      </c>
      <c r="F9464" s="3">
        <f ca="1">IF(G9464=1,"-",Tabela2[[#This Row],[Dt Venc:]]-TODAY())</f>
        <v>1074</v>
      </c>
      <c r="G9464" s="3"/>
      <c r="H9464" s="3"/>
    </row>
    <row r="9465" spans="1:8">
      <c r="A9465" s="3">
        <v>107832</v>
      </c>
      <c r="B9465" s="7" t="s">
        <v>252</v>
      </c>
      <c r="C9465" s="99" t="s">
        <v>32</v>
      </c>
      <c r="D9465" s="6">
        <v>46767</v>
      </c>
      <c r="E9465" s="3" t="str">
        <f ca="1">IF(Tabela2[[#This Row],[Dt Venc:]]&gt;TODAY(),"Em Aberto",IF(Tabela2[[#This Row],[D/venc]]="-","Enviado",IF(Tabela2[[#This Row],[Dt Venc:]]=TODAY(),"Vence Hoje","Vencida")))</f>
        <v>Em Aberto</v>
      </c>
      <c r="F9465" s="3">
        <f ca="1">IF(G9465=1,"-",Tabela2[[#This Row],[Dt Venc:]]-TODAY())</f>
        <v>1074</v>
      </c>
      <c r="G9465" s="3"/>
      <c r="H9465" s="3"/>
    </row>
    <row r="9466" spans="1:8">
      <c r="A9466" s="3">
        <v>361229</v>
      </c>
      <c r="B9466" s="7" t="s">
        <v>250</v>
      </c>
      <c r="C9466" s="99" t="s">
        <v>32</v>
      </c>
      <c r="D9466" s="6">
        <v>46767</v>
      </c>
      <c r="E9466" s="3" t="str">
        <f ca="1">IF(Tabela2[[#This Row],[Dt Venc:]]&gt;TODAY(),"Em Aberto",IF(Tabela2[[#This Row],[D/venc]]="-","Enviado",IF(Tabela2[[#This Row],[Dt Venc:]]=TODAY(),"Vence Hoje","Vencida")))</f>
        <v>Em Aberto</v>
      </c>
      <c r="F9466" s="3">
        <f ca="1">IF(G9466=1,"-",Tabela2[[#This Row],[Dt Venc:]]-TODAY())</f>
        <v>1074</v>
      </c>
      <c r="G9466" s="3"/>
      <c r="H9466" s="3"/>
    </row>
    <row r="9467" spans="1:8">
      <c r="A9467" s="3">
        <v>361237</v>
      </c>
      <c r="B9467" s="7" t="s">
        <v>250</v>
      </c>
      <c r="C9467" s="99" t="s">
        <v>32</v>
      </c>
      <c r="D9467" s="6">
        <v>46767</v>
      </c>
      <c r="E9467" s="3" t="str">
        <f ca="1">IF(Tabela2[[#This Row],[Dt Venc:]]&gt;TODAY(),"Em Aberto",IF(Tabela2[[#This Row],[D/venc]]="-","Enviado",IF(Tabela2[[#This Row],[Dt Venc:]]=TODAY(),"Vence Hoje","Vencida")))</f>
        <v>Em Aberto</v>
      </c>
      <c r="F9467" s="3">
        <f ca="1">IF(G9467=1,"-",Tabela2[[#This Row],[Dt Venc:]]-TODAY())</f>
        <v>1074</v>
      </c>
      <c r="G9467" s="3"/>
      <c r="H9467" s="3"/>
    </row>
    <row r="9468" spans="1:8">
      <c r="A9468" s="3">
        <v>365658</v>
      </c>
      <c r="B9468" s="7" t="s">
        <v>250</v>
      </c>
      <c r="C9468" s="99" t="s">
        <v>32</v>
      </c>
      <c r="D9468" s="6">
        <v>46767</v>
      </c>
      <c r="E9468" s="3" t="str">
        <f ca="1">IF(Tabela2[[#This Row],[Dt Venc:]]&gt;TODAY(),"Em Aberto",IF(Tabela2[[#This Row],[D/venc]]="-","Enviado",IF(Tabela2[[#This Row],[Dt Venc:]]=TODAY(),"Vence Hoje","Vencida")))</f>
        <v>Em Aberto</v>
      </c>
      <c r="F9468" s="3">
        <f ca="1">IF(G9468=1,"-",Tabela2[[#This Row],[Dt Venc:]]-TODAY())</f>
        <v>1074</v>
      </c>
      <c r="G9468" s="3"/>
      <c r="H9468" s="3"/>
    </row>
    <row r="9469" spans="1:8">
      <c r="A9469" s="3">
        <v>365666</v>
      </c>
      <c r="B9469" s="7" t="s">
        <v>250</v>
      </c>
      <c r="C9469" s="99" t="s">
        <v>32</v>
      </c>
      <c r="D9469" s="6">
        <v>46767</v>
      </c>
      <c r="E9469" s="3" t="str">
        <f ca="1">IF(Tabela2[[#This Row],[Dt Venc:]]&gt;TODAY(),"Em Aberto",IF(Tabela2[[#This Row],[D/venc]]="-","Enviado",IF(Tabela2[[#This Row],[Dt Venc:]]=TODAY(),"Vence Hoje","Vencida")))</f>
        <v>Em Aberto</v>
      </c>
      <c r="F9469" s="3">
        <f ca="1">IF(G9469=1,"-",Tabela2[[#This Row],[Dt Venc:]]-TODAY())</f>
        <v>1074</v>
      </c>
      <c r="G9469" s="3"/>
      <c r="H9469" s="3"/>
    </row>
    <row r="9470" spans="1:8">
      <c r="A9470" s="3">
        <v>365674</v>
      </c>
      <c r="B9470" s="7" t="s">
        <v>250</v>
      </c>
      <c r="C9470" s="99" t="s">
        <v>32</v>
      </c>
      <c r="D9470" s="6">
        <v>46767</v>
      </c>
      <c r="E9470" s="3" t="str">
        <f ca="1">IF(Tabela2[[#This Row],[Dt Venc:]]&gt;TODAY(),"Em Aberto",IF(Tabela2[[#This Row],[D/venc]]="-","Enviado",IF(Tabela2[[#This Row],[Dt Venc:]]=TODAY(),"Vence Hoje","Vencida")))</f>
        <v>Em Aberto</v>
      </c>
      <c r="F9470" s="3">
        <f ca="1">IF(G9470=1,"-",Tabela2[[#This Row],[Dt Venc:]]-TODAY())</f>
        <v>1074</v>
      </c>
      <c r="G9470" s="3"/>
      <c r="H9470" s="3"/>
    </row>
    <row r="9471" spans="1:8">
      <c r="A9471" s="3">
        <v>365682</v>
      </c>
      <c r="B9471" s="7" t="s">
        <v>250</v>
      </c>
      <c r="C9471" s="99" t="s">
        <v>32</v>
      </c>
      <c r="D9471" s="6">
        <v>46767</v>
      </c>
      <c r="E9471" s="3" t="str">
        <f ca="1">IF(Tabela2[[#This Row],[Dt Venc:]]&gt;TODAY(),"Em Aberto",IF(Tabela2[[#This Row],[D/venc]]="-","Enviado",IF(Tabela2[[#This Row],[Dt Venc:]]=TODAY(),"Vence Hoje","Vencida")))</f>
        <v>Em Aberto</v>
      </c>
      <c r="F9471" s="3">
        <f ca="1">IF(G9471=1,"-",Tabela2[[#This Row],[Dt Venc:]]-TODAY())</f>
        <v>1074</v>
      </c>
      <c r="G9471" s="3"/>
      <c r="H9471" s="3"/>
    </row>
    <row r="9472" spans="1:8">
      <c r="A9472" s="3">
        <v>369335</v>
      </c>
      <c r="B9472" s="7" t="s">
        <v>543</v>
      </c>
      <c r="C9472" s="87" t="s">
        <v>32</v>
      </c>
      <c r="D9472" s="6">
        <v>46767</v>
      </c>
      <c r="E9472" s="3" t="str">
        <f ca="1">IF(Tabela2[[#This Row],[Dt Venc:]]&gt;TODAY(),"Em Aberto",IF(Tabela2[[#This Row],[D/venc]]="-","Enviado",IF(Tabela2[[#This Row],[Dt Venc:]]=TODAY(),"Vence Hoje","Vencida")))</f>
        <v>Em Aberto</v>
      </c>
      <c r="F9472" s="3">
        <f ca="1">IF(G9472=1,"-",Tabela2[[#This Row],[Dt Venc:]]-TODAY())</f>
        <v>1074</v>
      </c>
      <c r="G9472" s="3"/>
      <c r="H9472" s="3"/>
    </row>
    <row r="9473" spans="1:8">
      <c r="A9473" s="3">
        <v>369696</v>
      </c>
      <c r="B9473" s="7" t="s">
        <v>543</v>
      </c>
      <c r="C9473" s="87" t="s">
        <v>32</v>
      </c>
      <c r="D9473" s="6">
        <v>46767</v>
      </c>
      <c r="E9473" s="3" t="str">
        <f ca="1">IF(Tabela2[[#This Row],[Dt Venc:]]&gt;TODAY(),"Em Aberto",IF(Tabela2[[#This Row],[D/venc]]="-","Enviado",IF(Tabela2[[#This Row],[Dt Venc:]]=TODAY(),"Vence Hoje","Vencida")))</f>
        <v>Em Aberto</v>
      </c>
      <c r="F9473" s="3">
        <f ca="1">IF(G9473=1,"-",Tabela2[[#This Row],[Dt Venc:]]-TODAY())</f>
        <v>1074</v>
      </c>
      <c r="G9473" s="3"/>
      <c r="H9473" s="3"/>
    </row>
    <row r="9474" spans="1:8">
      <c r="A9474" s="3">
        <v>369726</v>
      </c>
      <c r="B9474" s="7" t="s">
        <v>543</v>
      </c>
      <c r="C9474" s="87" t="s">
        <v>32</v>
      </c>
      <c r="D9474" s="6">
        <v>46767</v>
      </c>
      <c r="E9474" s="3" t="str">
        <f ca="1">IF(Tabela2[[#This Row],[Dt Venc:]]&gt;TODAY(),"Em Aberto",IF(Tabela2[[#This Row],[D/venc]]="-","Enviado",IF(Tabela2[[#This Row],[Dt Venc:]]=TODAY(),"Vence Hoje","Vencida")))</f>
        <v>Em Aberto</v>
      </c>
      <c r="F9474" s="3">
        <f ca="1">IF(G9474=1,"-",Tabela2[[#This Row],[Dt Venc:]]-TODAY())</f>
        <v>1074</v>
      </c>
      <c r="G9474" s="3"/>
      <c r="H9474" s="3"/>
    </row>
    <row r="9475" spans="1:8">
      <c r="A9475" s="3">
        <v>369751</v>
      </c>
      <c r="B9475" s="7" t="s">
        <v>543</v>
      </c>
      <c r="C9475" s="87" t="s">
        <v>32</v>
      </c>
      <c r="D9475" s="6">
        <v>46767</v>
      </c>
      <c r="E9475" s="3" t="str">
        <f ca="1">IF(Tabela2[[#This Row],[Dt Venc:]]&gt;TODAY(),"Em Aberto",IF(Tabela2[[#This Row],[D/venc]]="-","Enviado",IF(Tabela2[[#This Row],[Dt Venc:]]=TODAY(),"Vence Hoje","Vencida")))</f>
        <v>Em Aberto</v>
      </c>
      <c r="F9475" s="3">
        <f ca="1">IF(G9475=1,"-",Tabela2[[#This Row],[Dt Venc:]]-TODAY())</f>
        <v>1074</v>
      </c>
      <c r="G9475" s="3"/>
      <c r="H9475" s="3"/>
    </row>
    <row r="9476" spans="1:8">
      <c r="A9476" s="3">
        <v>370201</v>
      </c>
      <c r="B9476" s="7" t="s">
        <v>543</v>
      </c>
      <c r="C9476" s="87" t="s">
        <v>32</v>
      </c>
      <c r="D9476" s="6">
        <v>46767</v>
      </c>
      <c r="E9476" s="3" t="str">
        <f ca="1">IF(Tabela2[[#This Row],[Dt Venc:]]&gt;TODAY(),"Em Aberto",IF(Tabela2[[#This Row],[D/venc]]="-","Enviado",IF(Tabela2[[#This Row],[Dt Venc:]]=TODAY(),"Vence Hoje","Vencida")))</f>
        <v>Em Aberto</v>
      </c>
      <c r="F9476" s="3">
        <f ca="1">IF(G9476=1,"-",Tabela2[[#This Row],[Dt Venc:]]-TODAY())</f>
        <v>1074</v>
      </c>
      <c r="G9476" s="3"/>
      <c r="H9476" s="3"/>
    </row>
    <row r="9477" spans="1:8">
      <c r="A9477" s="3">
        <v>370864</v>
      </c>
      <c r="B9477" s="7" t="s">
        <v>543</v>
      </c>
      <c r="C9477" s="87" t="s">
        <v>32</v>
      </c>
      <c r="D9477" s="6">
        <v>46767</v>
      </c>
      <c r="E9477" s="3" t="str">
        <f ca="1">IF(Tabela2[[#This Row],[Dt Venc:]]&gt;TODAY(),"Em Aberto",IF(Tabela2[[#This Row],[D/venc]]="-","Enviado",IF(Tabela2[[#This Row],[Dt Venc:]]=TODAY(),"Vence Hoje","Vencida")))</f>
        <v>Em Aberto</v>
      </c>
      <c r="F9477" s="3">
        <f ca="1">IF(G9477=1,"-",Tabela2[[#This Row],[Dt Venc:]]-TODAY())</f>
        <v>1074</v>
      </c>
      <c r="G9477" s="3"/>
      <c r="H9477" s="3"/>
    </row>
    <row r="9478" spans="1:8">
      <c r="A9478" s="3">
        <v>371011</v>
      </c>
      <c r="B9478" s="7" t="s">
        <v>633</v>
      </c>
      <c r="C9478" s="87" t="s">
        <v>32</v>
      </c>
      <c r="D9478" s="6">
        <v>46767</v>
      </c>
      <c r="E9478" s="3" t="str">
        <f ca="1">IF(Tabela2[[#This Row],[Dt Venc:]]&gt;TODAY(),"Em Aberto",IF(Tabela2[[#This Row],[D/venc]]="-","Enviado",IF(Tabela2[[#This Row],[Dt Venc:]]=TODAY(),"Vence Hoje","Vencida")))</f>
        <v>Em Aberto</v>
      </c>
      <c r="F9478" s="3">
        <f ca="1">IF(G9478=1,"-",Tabela2[[#This Row],[Dt Venc:]]-TODAY())</f>
        <v>1074</v>
      </c>
      <c r="G9478" s="3"/>
      <c r="H9478" s="3"/>
    </row>
    <row r="9479" spans="1:8">
      <c r="A9479" s="3">
        <v>371160</v>
      </c>
      <c r="B9479" s="7" t="s">
        <v>633</v>
      </c>
      <c r="C9479" s="87" t="s">
        <v>32</v>
      </c>
      <c r="D9479" s="6">
        <v>46767</v>
      </c>
      <c r="E9479" s="3" t="str">
        <f ca="1">IF(Tabela2[[#This Row],[Dt Venc:]]&gt;TODAY(),"Em Aberto",IF(Tabela2[[#This Row],[D/venc]]="-","Enviado",IF(Tabela2[[#This Row],[Dt Venc:]]=TODAY(),"Vence Hoje","Vencida")))</f>
        <v>Em Aberto</v>
      </c>
      <c r="F9479" s="3">
        <f ca="1">IF(G9479=1,"-",Tabela2[[#This Row],[Dt Venc:]]-TODAY())</f>
        <v>1074</v>
      </c>
      <c r="G9479" s="3"/>
      <c r="H9479" s="3"/>
    </row>
    <row r="9480" spans="1:8">
      <c r="A9480" s="3">
        <v>892178</v>
      </c>
      <c r="B9480" s="7" t="s">
        <v>253</v>
      </c>
      <c r="C9480" s="99" t="s">
        <v>32</v>
      </c>
      <c r="D9480" s="6">
        <v>46767</v>
      </c>
      <c r="E9480" s="3" t="str">
        <f ca="1">IF(Tabela2[[#This Row],[Dt Venc:]]&gt;TODAY(),"Em Aberto",IF(Tabela2[[#This Row],[D/venc]]="-","Enviado",IF(Tabela2[[#This Row],[Dt Venc:]]=TODAY(),"Vence Hoje","Vencida")))</f>
        <v>Em Aberto</v>
      </c>
      <c r="F9480" s="3">
        <f ca="1">IF(G9480=1,"-",Tabela2[[#This Row],[Dt Venc:]]-TODAY())</f>
        <v>1074</v>
      </c>
      <c r="G9480" s="3"/>
      <c r="H9480" s="3"/>
    </row>
    <row r="9481" spans="1:8">
      <c r="A9481" s="3">
        <v>894135</v>
      </c>
      <c r="B9481" s="7" t="s">
        <v>253</v>
      </c>
      <c r="C9481" s="99" t="s">
        <v>32</v>
      </c>
      <c r="D9481" s="6">
        <v>46767</v>
      </c>
      <c r="E9481" s="3" t="str">
        <f ca="1">IF(Tabela2[[#This Row],[Dt Venc:]]&gt;TODAY(),"Em Aberto",IF(Tabela2[[#This Row],[D/venc]]="-","Enviado",IF(Tabela2[[#This Row],[Dt Venc:]]=TODAY(),"Vence Hoje","Vencida")))</f>
        <v>Em Aberto</v>
      </c>
      <c r="F9481" s="3">
        <f ca="1">IF(G9481=1,"-",Tabela2[[#This Row],[Dt Venc:]]-TODAY())</f>
        <v>1074</v>
      </c>
      <c r="G9481" s="3"/>
      <c r="H9481" s="3"/>
    </row>
    <row r="9482" spans="1:8">
      <c r="A9482" s="3">
        <v>896565</v>
      </c>
      <c r="B9482" s="7" t="s">
        <v>253</v>
      </c>
      <c r="C9482" s="99" t="s">
        <v>32</v>
      </c>
      <c r="D9482" s="6">
        <v>46767</v>
      </c>
      <c r="E9482" s="3" t="str">
        <f ca="1">IF(Tabela2[[#This Row],[Dt Venc:]]&gt;TODAY(),"Em Aberto",IF(Tabela2[[#This Row],[D/venc]]="-","Enviado",IF(Tabela2[[#This Row],[Dt Venc:]]=TODAY(),"Vence Hoje","Vencida")))</f>
        <v>Em Aberto</v>
      </c>
      <c r="F9482" s="3">
        <f ca="1">IF(G9482=1,"-",Tabela2[[#This Row],[Dt Venc:]]-TODAY())</f>
        <v>1074</v>
      </c>
      <c r="G9482" s="3"/>
      <c r="H9482" s="3"/>
    </row>
    <row r="9483" spans="1:8">
      <c r="A9483" s="3">
        <v>900386</v>
      </c>
      <c r="B9483" s="7" t="s">
        <v>253</v>
      </c>
      <c r="C9483" s="99" t="s">
        <v>32</v>
      </c>
      <c r="D9483" s="6">
        <v>46767</v>
      </c>
      <c r="E9483" s="3" t="str">
        <f ca="1">IF(Tabela2[[#This Row],[Dt Venc:]]&gt;TODAY(),"Em Aberto",IF(Tabela2[[#This Row],[D/venc]]="-","Enviado",IF(Tabela2[[#This Row],[Dt Venc:]]=TODAY(),"Vence Hoje","Vencida")))</f>
        <v>Em Aberto</v>
      </c>
      <c r="F9483" s="3">
        <f ca="1">IF(G9483=1,"-",Tabela2[[#This Row],[Dt Venc:]]-TODAY())</f>
        <v>1074</v>
      </c>
      <c r="G9483" s="3"/>
      <c r="H9483" s="3"/>
    </row>
    <row r="9484" spans="1:8">
      <c r="A9484" s="3">
        <v>901787</v>
      </c>
      <c r="B9484" s="7" t="s">
        <v>253</v>
      </c>
      <c r="C9484" s="99" t="s">
        <v>32</v>
      </c>
      <c r="D9484" s="6">
        <v>46767</v>
      </c>
      <c r="E9484" s="3" t="str">
        <f ca="1">IF(Tabela2[[#This Row],[Dt Venc:]]&gt;TODAY(),"Em Aberto",IF(Tabela2[[#This Row],[D/venc]]="-","Enviado",IF(Tabela2[[#This Row],[Dt Venc:]]=TODAY(),"Vence Hoje","Vencida")))</f>
        <v>Em Aberto</v>
      </c>
      <c r="F9484" s="3">
        <f ca="1">IF(G9484=1,"-",Tabela2[[#This Row],[Dt Venc:]]-TODAY())</f>
        <v>1074</v>
      </c>
      <c r="G9484" s="3"/>
      <c r="H9484" s="3"/>
    </row>
    <row r="9485" spans="1:8">
      <c r="A9485" s="3">
        <v>901788</v>
      </c>
      <c r="B9485" s="7" t="s">
        <v>253</v>
      </c>
      <c r="C9485" s="99" t="s">
        <v>32</v>
      </c>
      <c r="D9485" s="6">
        <v>46767</v>
      </c>
      <c r="E9485" s="3" t="str">
        <f ca="1">IF(Tabela2[[#This Row],[Dt Venc:]]&gt;TODAY(),"Em Aberto",IF(Tabela2[[#This Row],[D/venc]]="-","Enviado",IF(Tabela2[[#This Row],[Dt Venc:]]=TODAY(),"Vence Hoje","Vencida")))</f>
        <v>Em Aberto</v>
      </c>
      <c r="F9485" s="3">
        <f ca="1">IF(G9485=1,"-",Tabela2[[#This Row],[Dt Venc:]]-TODAY())</f>
        <v>1074</v>
      </c>
      <c r="G9485" s="3"/>
      <c r="H9485" s="3"/>
    </row>
    <row r="9486" spans="1:8">
      <c r="A9486" s="3">
        <v>901789</v>
      </c>
      <c r="B9486" s="7" t="s">
        <v>253</v>
      </c>
      <c r="C9486" s="99" t="s">
        <v>32</v>
      </c>
      <c r="D9486" s="6">
        <v>46767</v>
      </c>
      <c r="E9486" s="3" t="str">
        <f ca="1">IF(Tabela2[[#This Row],[Dt Venc:]]&gt;TODAY(),"Em Aberto",IF(Tabela2[[#This Row],[D/venc]]="-","Enviado",IF(Tabela2[[#This Row],[Dt Venc:]]=TODAY(),"Vence Hoje","Vencida")))</f>
        <v>Em Aberto</v>
      </c>
      <c r="F9486" s="3">
        <f ca="1">IF(G9486=1,"-",Tabela2[[#This Row],[Dt Venc:]]-TODAY())</f>
        <v>1074</v>
      </c>
      <c r="G9486" s="3"/>
      <c r="H9486" s="3"/>
    </row>
    <row r="9487" spans="1:8">
      <c r="A9487" s="3">
        <v>912703</v>
      </c>
      <c r="B9487" s="7" t="s">
        <v>253</v>
      </c>
      <c r="C9487" s="99" t="s">
        <v>32</v>
      </c>
      <c r="D9487" s="6">
        <v>46767</v>
      </c>
      <c r="E9487" s="3" t="str">
        <f ca="1">IF(Tabela2[[#This Row],[Dt Venc:]]&gt;TODAY(),"Em Aberto",IF(Tabela2[[#This Row],[D/venc]]="-","Enviado",IF(Tabela2[[#This Row],[Dt Venc:]]=TODAY(),"Vence Hoje","Vencida")))</f>
        <v>Em Aberto</v>
      </c>
      <c r="F9487" s="3">
        <f ca="1">IF(G9487=1,"-",Tabela2[[#This Row],[Dt Venc:]]-TODAY())</f>
        <v>1074</v>
      </c>
      <c r="G9487" s="3"/>
      <c r="H9487" s="3"/>
    </row>
    <row r="9488" spans="1:8">
      <c r="A9488" s="3">
        <v>912704</v>
      </c>
      <c r="B9488" s="7" t="s">
        <v>253</v>
      </c>
      <c r="C9488" s="99" t="s">
        <v>32</v>
      </c>
      <c r="D9488" s="6">
        <v>46767</v>
      </c>
      <c r="E9488" s="3" t="str">
        <f ca="1">IF(Tabela2[[#This Row],[Dt Venc:]]&gt;TODAY(),"Em Aberto",IF(Tabela2[[#This Row],[D/venc]]="-","Enviado",IF(Tabela2[[#This Row],[Dt Venc:]]=TODAY(),"Vence Hoje","Vencida")))</f>
        <v>Em Aberto</v>
      </c>
      <c r="F9488" s="3">
        <f ca="1">IF(G9488=1,"-",Tabela2[[#This Row],[Dt Venc:]]-TODAY())</f>
        <v>1074</v>
      </c>
      <c r="G9488" s="3"/>
      <c r="H9488" s="3"/>
    </row>
    <row r="9489" spans="1:8">
      <c r="A9489" s="3">
        <v>919728</v>
      </c>
      <c r="B9489" s="7" t="s">
        <v>253</v>
      </c>
      <c r="C9489" s="87" t="s">
        <v>32</v>
      </c>
      <c r="D9489" s="6">
        <v>46767</v>
      </c>
      <c r="E9489" s="3" t="str">
        <f ca="1">IF(Tabela2[[#This Row],[Dt Venc:]]&gt;TODAY(),"Em Aberto",IF(Tabela2[[#This Row],[D/venc]]="-","Enviado",IF(Tabela2[[#This Row],[Dt Venc:]]=TODAY(),"Vence Hoje","Vencida")))</f>
        <v>Em Aberto</v>
      </c>
      <c r="F9489" s="3">
        <f ca="1">IF(G9489=1,"-",Tabela2[[#This Row],[Dt Venc:]]-TODAY())</f>
        <v>1074</v>
      </c>
      <c r="G9489" s="3"/>
      <c r="H9489" s="3"/>
    </row>
    <row r="9490" spans="1:8">
      <c r="A9490" s="3">
        <v>919729</v>
      </c>
      <c r="B9490" s="7" t="s">
        <v>253</v>
      </c>
      <c r="C9490" s="87" t="s">
        <v>32</v>
      </c>
      <c r="D9490" s="6">
        <v>46767</v>
      </c>
      <c r="E9490" s="3" t="str">
        <f ca="1">IF(Tabela2[[#This Row],[Dt Venc:]]&gt;TODAY(),"Em Aberto",IF(Tabela2[[#This Row],[D/venc]]="-","Enviado",IF(Tabela2[[#This Row],[Dt Venc:]]=TODAY(),"Vence Hoje","Vencida")))</f>
        <v>Em Aberto</v>
      </c>
      <c r="F9490" s="3">
        <f ca="1">IF(G9490=1,"-",Tabela2[[#This Row],[Dt Venc:]]-TODAY())</f>
        <v>1074</v>
      </c>
      <c r="G9490" s="3"/>
      <c r="H9490" s="3"/>
    </row>
    <row r="9491" spans="1:8">
      <c r="A9491" s="3">
        <v>495914</v>
      </c>
      <c r="B9491" s="7" t="s">
        <v>153</v>
      </c>
      <c r="C9491" s="99" t="s">
        <v>32</v>
      </c>
      <c r="D9491" s="6">
        <v>46777</v>
      </c>
      <c r="E9491" s="3" t="str">
        <f ca="1">IF(Tabela2[[#This Row],[Dt Venc:]]&gt;TODAY(),"Em Aberto",IF(Tabela2[[#This Row],[D/venc]]="-","Enviado",IF(Tabela2[[#This Row],[Dt Venc:]]=TODAY(),"Vence Hoje","Vencida")))</f>
        <v>Em Aberto</v>
      </c>
      <c r="F9491" s="3">
        <f ca="1">IF(G9491=1,"-",Tabela2[[#This Row],[Dt Venc:]]-TODAY())</f>
        <v>1084</v>
      </c>
      <c r="G9491" s="3"/>
      <c r="H9491" s="3"/>
    </row>
    <row r="9492" spans="1:8">
      <c r="A9492" s="3">
        <v>5690</v>
      </c>
      <c r="B9492" s="7" t="s">
        <v>122</v>
      </c>
      <c r="C9492" s="99" t="s">
        <v>32</v>
      </c>
      <c r="D9492" s="6">
        <v>46779</v>
      </c>
      <c r="E9492" s="3" t="str">
        <f ca="1">IF(Tabela2[[#This Row],[Dt Venc:]]&gt;TODAY(),"Em Aberto",IF(Tabela2[[#This Row],[D/venc]]="-","Enviado",IF(Tabela2[[#This Row],[Dt Venc:]]=TODAY(),"Vence Hoje","Vencida")))</f>
        <v>Em Aberto</v>
      </c>
      <c r="F9492" s="3">
        <f ca="1">IF(G9492=1,"-",Tabela2[[#This Row],[Dt Venc:]]-TODAY())</f>
        <v>1086</v>
      </c>
      <c r="G9492" s="3"/>
      <c r="H9492" s="3"/>
    </row>
    <row r="9493" spans="1:8">
      <c r="A9493" s="3">
        <v>11681</v>
      </c>
      <c r="B9493" s="7" t="s">
        <v>82</v>
      </c>
      <c r="C9493" s="87" t="s">
        <v>30</v>
      </c>
      <c r="D9493" s="6">
        <v>46783</v>
      </c>
      <c r="E9493" s="3" t="str">
        <f ca="1">IF(Tabela2[[#This Row],[Dt Venc:]]&gt;TODAY(),"Em Aberto",IF(Tabela2[[#This Row],[D/venc]]="-","Enviado",IF(Tabela2[[#This Row],[Dt Venc:]]=TODAY(),"Vence Hoje","Vencida")))</f>
        <v>Em Aberto</v>
      </c>
      <c r="F9493" s="3">
        <f ca="1">IF(G9493=1,"-",Tabela2[[#This Row],[Dt Venc:]]-TODAY())</f>
        <v>1090</v>
      </c>
      <c r="G9493" s="3"/>
      <c r="H9493" s="3"/>
    </row>
    <row r="9494" spans="1:8">
      <c r="A9494" s="3">
        <v>10494</v>
      </c>
      <c r="B9494" s="7" t="s">
        <v>82</v>
      </c>
      <c r="C9494" s="88" t="s">
        <v>30</v>
      </c>
      <c r="D9494" s="6">
        <v>46786</v>
      </c>
      <c r="E9494" s="3" t="str">
        <f ca="1">IF(Tabela2[[#This Row],[Dt Venc:]]&gt;TODAY(),"Em Aberto",IF(Tabela2[[#This Row],[D/venc]]="-","Enviado",IF(Tabela2[[#This Row],[Dt Venc:]]=TODAY(),"Vence Hoje","Vencida")))</f>
        <v>Em Aberto</v>
      </c>
      <c r="F9494" s="3">
        <f ca="1">IF(G9494=1,"-",Tabela2[[#This Row],[Dt Venc:]]-TODAY())</f>
        <v>1093</v>
      </c>
      <c r="G9494" s="3"/>
      <c r="H9494" s="3"/>
    </row>
    <row r="9495" spans="1:8">
      <c r="A9495" s="3">
        <v>5680</v>
      </c>
      <c r="B9495" s="7" t="s">
        <v>122</v>
      </c>
      <c r="C9495" s="99" t="s">
        <v>32</v>
      </c>
      <c r="D9495" s="6">
        <v>46788</v>
      </c>
      <c r="E9495" s="3" t="str">
        <f ca="1">IF(Tabela2[[#This Row],[Dt Venc:]]&gt;TODAY(),"Em Aberto",IF(Tabela2[[#This Row],[D/venc]]="-","Enviado",IF(Tabela2[[#This Row],[Dt Venc:]]=TODAY(),"Vence Hoje","Vencida")))</f>
        <v>Em Aberto</v>
      </c>
      <c r="F9495" s="3">
        <f ca="1">IF(G9495=1,"-",Tabela2[[#This Row],[Dt Venc:]]-TODAY())</f>
        <v>1095</v>
      </c>
      <c r="G9495" s="3"/>
      <c r="H9495" s="3"/>
    </row>
    <row r="9496" spans="1:8">
      <c r="A9496" s="3">
        <v>284620</v>
      </c>
      <c r="B9496" s="7" t="s">
        <v>153</v>
      </c>
      <c r="C9496" s="99" t="s">
        <v>32</v>
      </c>
      <c r="D9496" s="6">
        <v>46791</v>
      </c>
      <c r="E9496" s="3" t="str">
        <f ca="1">IF(Tabela2[[#This Row],[Dt Venc:]]&gt;TODAY(),"Em Aberto",IF(Tabela2[[#This Row],[D/venc]]="-","Enviado",IF(Tabela2[[#This Row],[Dt Venc:]]=TODAY(),"Vence Hoje","Vencida")))</f>
        <v>Em Aberto</v>
      </c>
      <c r="F9496" s="3">
        <f ca="1">IF(G9496=1,"-",Tabela2[[#This Row],[Dt Venc:]]-TODAY())</f>
        <v>1098</v>
      </c>
      <c r="G9496" s="3"/>
      <c r="H9496" s="3"/>
    </row>
    <row r="9497" spans="1:8">
      <c r="A9497" s="3">
        <v>562</v>
      </c>
      <c r="B9497" s="7" t="s">
        <v>251</v>
      </c>
      <c r="C9497" s="99" t="s">
        <v>32</v>
      </c>
      <c r="D9497" s="6">
        <v>46798</v>
      </c>
      <c r="E9497" s="3" t="str">
        <f ca="1">IF(Tabela2[[#This Row],[Dt Venc:]]&gt;TODAY(),"Em Aberto",IF(Tabela2[[#This Row],[D/venc]]="-","Enviado",IF(Tabela2[[#This Row],[Dt Venc:]]=TODAY(),"Vence Hoje","Vencida")))</f>
        <v>Em Aberto</v>
      </c>
      <c r="F9497" s="3">
        <f ca="1">IF(G9497=1,"-",Tabela2[[#This Row],[Dt Venc:]]-TODAY())</f>
        <v>1105</v>
      </c>
      <c r="G9497" s="3"/>
      <c r="H9497" s="3"/>
    </row>
    <row r="9498" spans="1:8">
      <c r="A9498" s="3">
        <v>106007</v>
      </c>
      <c r="B9498" s="7" t="s">
        <v>252</v>
      </c>
      <c r="C9498" s="99" t="s">
        <v>32</v>
      </c>
      <c r="D9498" s="6">
        <v>46798</v>
      </c>
      <c r="E9498" s="3" t="str">
        <f ca="1">IF(Tabela2[[#This Row],[Dt Venc:]]&gt;TODAY(),"Em Aberto",IF(Tabela2[[#This Row],[D/venc]]="-","Enviado",IF(Tabela2[[#This Row],[Dt Venc:]]=TODAY(),"Vence Hoje","Vencida")))</f>
        <v>Em Aberto</v>
      </c>
      <c r="F9498" s="3">
        <f ca="1">IF(G9498=1,"-",Tabela2[[#This Row],[Dt Venc:]]-TODAY())</f>
        <v>1105</v>
      </c>
      <c r="G9498" s="3"/>
      <c r="H9498" s="3"/>
    </row>
    <row r="9499" spans="1:8">
      <c r="A9499" s="3">
        <v>106043</v>
      </c>
      <c r="B9499" s="7" t="s">
        <v>252</v>
      </c>
      <c r="C9499" s="99" t="s">
        <v>32</v>
      </c>
      <c r="D9499" s="6">
        <v>46798</v>
      </c>
      <c r="E9499" s="3" t="str">
        <f ca="1">IF(Tabela2[[#This Row],[Dt Venc:]]&gt;TODAY(),"Em Aberto",IF(Tabela2[[#This Row],[D/venc]]="-","Enviado",IF(Tabela2[[#This Row],[Dt Venc:]]=TODAY(),"Vence Hoje","Vencida")))</f>
        <v>Em Aberto</v>
      </c>
      <c r="F9499" s="3">
        <f ca="1">IF(G9499=1,"-",Tabela2[[#This Row],[Dt Venc:]]-TODAY())</f>
        <v>1105</v>
      </c>
      <c r="G9499" s="3"/>
      <c r="H9499" s="3"/>
    </row>
    <row r="9500" spans="1:8">
      <c r="A9500" s="3">
        <v>107830</v>
      </c>
      <c r="B9500" s="7" t="s">
        <v>252</v>
      </c>
      <c r="C9500" s="85" t="s">
        <v>32</v>
      </c>
      <c r="D9500" s="6">
        <v>46798</v>
      </c>
      <c r="E9500" s="3" t="str">
        <f ca="1">IF(Tabela2[[#This Row],[Dt Venc:]]&gt;TODAY(),"Em Aberto",IF(Tabela2[[#This Row],[D/venc]]="-","Enviado",IF(Tabela2[[#This Row],[Dt Venc:]]=TODAY(),"Vence Hoje","Vencida")))</f>
        <v>Em Aberto</v>
      </c>
      <c r="F9500" s="3">
        <f ca="1">IF(G9500=1,"-",Tabela2[[#This Row],[Dt Venc:]]-TODAY())</f>
        <v>1105</v>
      </c>
      <c r="G9500" s="3"/>
      <c r="H9500" s="3"/>
    </row>
    <row r="9501" spans="1:8">
      <c r="A9501" s="3">
        <v>107831</v>
      </c>
      <c r="B9501" s="7" t="s">
        <v>252</v>
      </c>
      <c r="C9501" s="99" t="s">
        <v>32</v>
      </c>
      <c r="D9501" s="6">
        <v>46798</v>
      </c>
      <c r="E9501" s="3" t="str">
        <f ca="1">IF(Tabela2[[#This Row],[Dt Venc:]]&gt;TODAY(),"Em Aberto",IF(Tabela2[[#This Row],[D/venc]]="-","Enviado",IF(Tabela2[[#This Row],[Dt Venc:]]=TODAY(),"Vence Hoje","Vencida")))</f>
        <v>Em Aberto</v>
      </c>
      <c r="F9501" s="3">
        <f ca="1">IF(G9501=1,"-",Tabela2[[#This Row],[Dt Venc:]]-TODAY())</f>
        <v>1105</v>
      </c>
      <c r="G9501" s="3"/>
      <c r="H9501" s="3"/>
    </row>
    <row r="9502" spans="1:8">
      <c r="A9502" s="3">
        <v>107832</v>
      </c>
      <c r="B9502" s="7" t="s">
        <v>252</v>
      </c>
      <c r="C9502" s="99" t="s">
        <v>32</v>
      </c>
      <c r="D9502" s="6">
        <v>46798</v>
      </c>
      <c r="E9502" s="3" t="str">
        <f ca="1">IF(Tabela2[[#This Row],[Dt Venc:]]&gt;TODAY(),"Em Aberto",IF(Tabela2[[#This Row],[D/venc]]="-","Enviado",IF(Tabela2[[#This Row],[Dt Venc:]]=TODAY(),"Vence Hoje","Vencida")))</f>
        <v>Em Aberto</v>
      </c>
      <c r="F9502" s="3">
        <f ca="1">IF(G9502=1,"-",Tabela2[[#This Row],[Dt Venc:]]-TODAY())</f>
        <v>1105</v>
      </c>
      <c r="G9502" s="3"/>
      <c r="H9502" s="3"/>
    </row>
    <row r="9503" spans="1:8">
      <c r="A9503" s="3">
        <v>361229</v>
      </c>
      <c r="B9503" s="7" t="s">
        <v>250</v>
      </c>
      <c r="C9503" s="99" t="s">
        <v>32</v>
      </c>
      <c r="D9503" s="6">
        <v>46798</v>
      </c>
      <c r="E9503" s="3" t="str">
        <f ca="1">IF(Tabela2[[#This Row],[Dt Venc:]]&gt;TODAY(),"Em Aberto",IF(Tabela2[[#This Row],[D/venc]]="-","Enviado",IF(Tabela2[[#This Row],[Dt Venc:]]=TODAY(),"Vence Hoje","Vencida")))</f>
        <v>Em Aberto</v>
      </c>
      <c r="F9503" s="3">
        <f ca="1">IF(G9503=1,"-",Tabela2[[#This Row],[Dt Venc:]]-TODAY())</f>
        <v>1105</v>
      </c>
      <c r="G9503" s="3"/>
      <c r="H9503" s="3"/>
    </row>
    <row r="9504" spans="1:8">
      <c r="A9504" s="3">
        <v>361237</v>
      </c>
      <c r="B9504" s="7" t="s">
        <v>250</v>
      </c>
      <c r="C9504" s="99" t="s">
        <v>32</v>
      </c>
      <c r="D9504" s="6">
        <v>46798</v>
      </c>
      <c r="E9504" s="3" t="str">
        <f ca="1">IF(Tabela2[[#This Row],[Dt Venc:]]&gt;TODAY(),"Em Aberto",IF(Tabela2[[#This Row],[D/venc]]="-","Enviado",IF(Tabela2[[#This Row],[Dt Venc:]]=TODAY(),"Vence Hoje","Vencida")))</f>
        <v>Em Aberto</v>
      </c>
      <c r="F9504" s="3">
        <f ca="1">IF(G9504=1,"-",Tabela2[[#This Row],[Dt Venc:]]-TODAY())</f>
        <v>1105</v>
      </c>
      <c r="G9504" s="3"/>
      <c r="H9504" s="3"/>
    </row>
    <row r="9505" spans="1:8">
      <c r="A9505" s="3">
        <v>365658</v>
      </c>
      <c r="B9505" s="7" t="s">
        <v>250</v>
      </c>
      <c r="C9505" s="99" t="s">
        <v>32</v>
      </c>
      <c r="D9505" s="6">
        <v>46798</v>
      </c>
      <c r="E9505" s="3" t="str">
        <f ca="1">IF(Tabela2[[#This Row],[Dt Venc:]]&gt;TODAY(),"Em Aberto",IF(Tabela2[[#This Row],[D/venc]]="-","Enviado",IF(Tabela2[[#This Row],[Dt Venc:]]=TODAY(),"Vence Hoje","Vencida")))</f>
        <v>Em Aberto</v>
      </c>
      <c r="F9505" s="3">
        <f ca="1">IF(G9505=1,"-",Tabela2[[#This Row],[Dt Venc:]]-TODAY())</f>
        <v>1105</v>
      </c>
      <c r="G9505" s="3"/>
      <c r="H9505" s="3"/>
    </row>
    <row r="9506" spans="1:8">
      <c r="A9506" s="3">
        <v>365666</v>
      </c>
      <c r="B9506" s="7" t="s">
        <v>250</v>
      </c>
      <c r="C9506" s="99" t="s">
        <v>32</v>
      </c>
      <c r="D9506" s="6">
        <v>46798</v>
      </c>
      <c r="E9506" s="3" t="str">
        <f ca="1">IF(Tabela2[[#This Row],[Dt Venc:]]&gt;TODAY(),"Em Aberto",IF(Tabela2[[#This Row],[D/venc]]="-","Enviado",IF(Tabela2[[#This Row],[Dt Venc:]]=TODAY(),"Vence Hoje","Vencida")))</f>
        <v>Em Aberto</v>
      </c>
      <c r="F9506" s="3">
        <f ca="1">IF(G9506=1,"-",Tabela2[[#This Row],[Dt Venc:]]-TODAY())</f>
        <v>1105</v>
      </c>
      <c r="G9506" s="3"/>
      <c r="H9506" s="3"/>
    </row>
    <row r="9507" spans="1:8">
      <c r="A9507" s="3">
        <v>365674</v>
      </c>
      <c r="B9507" s="7" t="s">
        <v>250</v>
      </c>
      <c r="C9507" s="99" t="s">
        <v>32</v>
      </c>
      <c r="D9507" s="6">
        <v>46798</v>
      </c>
      <c r="E9507" s="3" t="str">
        <f ca="1">IF(Tabela2[[#This Row],[Dt Venc:]]&gt;TODAY(),"Em Aberto",IF(Tabela2[[#This Row],[D/venc]]="-","Enviado",IF(Tabela2[[#This Row],[Dt Venc:]]=TODAY(),"Vence Hoje","Vencida")))</f>
        <v>Em Aberto</v>
      </c>
      <c r="F9507" s="3">
        <f ca="1">IF(G9507=1,"-",Tabela2[[#This Row],[Dt Venc:]]-TODAY())</f>
        <v>1105</v>
      </c>
      <c r="G9507" s="3"/>
      <c r="H9507" s="3"/>
    </row>
    <row r="9508" spans="1:8">
      <c r="A9508" s="3">
        <v>365682</v>
      </c>
      <c r="B9508" s="7" t="s">
        <v>250</v>
      </c>
      <c r="C9508" s="99" t="s">
        <v>32</v>
      </c>
      <c r="D9508" s="6">
        <v>46798</v>
      </c>
      <c r="E9508" s="3" t="str">
        <f ca="1">IF(Tabela2[[#This Row],[Dt Venc:]]&gt;TODAY(),"Em Aberto",IF(Tabela2[[#This Row],[D/venc]]="-","Enviado",IF(Tabela2[[#This Row],[Dt Venc:]]=TODAY(),"Vence Hoje","Vencida")))</f>
        <v>Em Aberto</v>
      </c>
      <c r="F9508" s="3">
        <f ca="1">IF(G9508=1,"-",Tabela2[[#This Row],[Dt Venc:]]-TODAY())</f>
        <v>1105</v>
      </c>
      <c r="G9508" s="3"/>
      <c r="H9508" s="3"/>
    </row>
    <row r="9509" spans="1:8">
      <c r="A9509" s="3">
        <v>369335</v>
      </c>
      <c r="B9509" s="7" t="s">
        <v>543</v>
      </c>
      <c r="C9509" s="87" t="s">
        <v>32</v>
      </c>
      <c r="D9509" s="6">
        <v>46798</v>
      </c>
      <c r="E9509" s="3" t="str">
        <f ca="1">IF(Tabela2[[#This Row],[Dt Venc:]]&gt;TODAY(),"Em Aberto",IF(Tabela2[[#This Row],[D/venc]]="-","Enviado",IF(Tabela2[[#This Row],[Dt Venc:]]=TODAY(),"Vence Hoje","Vencida")))</f>
        <v>Em Aberto</v>
      </c>
      <c r="F9509" s="3">
        <f ca="1">IF(G9509=1,"-",Tabela2[[#This Row],[Dt Venc:]]-TODAY())</f>
        <v>1105</v>
      </c>
      <c r="G9509" s="3"/>
      <c r="H9509" s="3"/>
    </row>
    <row r="9510" spans="1:8">
      <c r="A9510" s="3">
        <v>369696</v>
      </c>
      <c r="B9510" s="7" t="s">
        <v>543</v>
      </c>
      <c r="C9510" s="87" t="s">
        <v>32</v>
      </c>
      <c r="D9510" s="6">
        <v>46798</v>
      </c>
      <c r="E9510" s="3" t="str">
        <f ca="1">IF(Tabela2[[#This Row],[Dt Venc:]]&gt;TODAY(),"Em Aberto",IF(Tabela2[[#This Row],[D/venc]]="-","Enviado",IF(Tabela2[[#This Row],[Dt Venc:]]=TODAY(),"Vence Hoje","Vencida")))</f>
        <v>Em Aberto</v>
      </c>
      <c r="F9510" s="3">
        <f ca="1">IF(G9510=1,"-",Tabela2[[#This Row],[Dt Venc:]]-TODAY())</f>
        <v>1105</v>
      </c>
      <c r="G9510" s="3"/>
      <c r="H9510" s="3"/>
    </row>
    <row r="9511" spans="1:8">
      <c r="A9511" s="3">
        <v>369726</v>
      </c>
      <c r="B9511" s="7" t="s">
        <v>543</v>
      </c>
      <c r="C9511" s="87" t="s">
        <v>32</v>
      </c>
      <c r="D9511" s="6">
        <v>46798</v>
      </c>
      <c r="E9511" s="3" t="str">
        <f ca="1">IF(Tabela2[[#This Row],[Dt Venc:]]&gt;TODAY(),"Em Aberto",IF(Tabela2[[#This Row],[D/venc]]="-","Enviado",IF(Tabela2[[#This Row],[Dt Venc:]]=TODAY(),"Vence Hoje","Vencida")))</f>
        <v>Em Aberto</v>
      </c>
      <c r="F9511" s="3">
        <f ca="1">IF(G9511=1,"-",Tabela2[[#This Row],[Dt Venc:]]-TODAY())</f>
        <v>1105</v>
      </c>
      <c r="G9511" s="3"/>
      <c r="H9511" s="3"/>
    </row>
    <row r="9512" spans="1:8">
      <c r="A9512" s="3">
        <v>369751</v>
      </c>
      <c r="B9512" s="7" t="s">
        <v>543</v>
      </c>
      <c r="C9512" s="87" t="s">
        <v>32</v>
      </c>
      <c r="D9512" s="6">
        <v>46798</v>
      </c>
      <c r="E9512" s="3" t="str">
        <f ca="1">IF(Tabela2[[#This Row],[Dt Venc:]]&gt;TODAY(),"Em Aberto",IF(Tabela2[[#This Row],[D/venc]]="-","Enviado",IF(Tabela2[[#This Row],[Dt Venc:]]=TODAY(),"Vence Hoje","Vencida")))</f>
        <v>Em Aberto</v>
      </c>
      <c r="F9512" s="3">
        <f ca="1">IF(G9512=1,"-",Tabela2[[#This Row],[Dt Venc:]]-TODAY())</f>
        <v>1105</v>
      </c>
      <c r="G9512" s="3"/>
      <c r="H9512" s="3"/>
    </row>
    <row r="9513" spans="1:8">
      <c r="A9513" s="3">
        <v>370201</v>
      </c>
      <c r="B9513" s="7" t="s">
        <v>543</v>
      </c>
      <c r="C9513" s="87" t="s">
        <v>32</v>
      </c>
      <c r="D9513" s="6">
        <v>46798</v>
      </c>
      <c r="E9513" s="3" t="str">
        <f ca="1">IF(Tabela2[[#This Row],[Dt Venc:]]&gt;TODAY(),"Em Aberto",IF(Tabela2[[#This Row],[D/venc]]="-","Enviado",IF(Tabela2[[#This Row],[Dt Venc:]]=TODAY(),"Vence Hoje","Vencida")))</f>
        <v>Em Aberto</v>
      </c>
      <c r="F9513" s="3">
        <f ca="1">IF(G9513=1,"-",Tabela2[[#This Row],[Dt Venc:]]-TODAY())</f>
        <v>1105</v>
      </c>
      <c r="G9513" s="3"/>
      <c r="H9513" s="3"/>
    </row>
    <row r="9514" spans="1:8">
      <c r="A9514" s="3">
        <v>370864</v>
      </c>
      <c r="B9514" s="7" t="s">
        <v>543</v>
      </c>
      <c r="C9514" s="87" t="s">
        <v>32</v>
      </c>
      <c r="D9514" s="6">
        <v>46798</v>
      </c>
      <c r="E9514" s="3" t="str">
        <f ca="1">IF(Tabela2[[#This Row],[Dt Venc:]]&gt;TODAY(),"Em Aberto",IF(Tabela2[[#This Row],[D/venc]]="-","Enviado",IF(Tabela2[[#This Row],[Dt Venc:]]=TODAY(),"Vence Hoje","Vencida")))</f>
        <v>Em Aberto</v>
      </c>
      <c r="F9514" s="3">
        <f ca="1">IF(G9514=1,"-",Tabela2[[#This Row],[Dt Venc:]]-TODAY())</f>
        <v>1105</v>
      </c>
      <c r="G9514" s="3"/>
      <c r="H9514" s="3"/>
    </row>
    <row r="9515" spans="1:8">
      <c r="A9515" s="3">
        <v>371011</v>
      </c>
      <c r="B9515" s="7" t="s">
        <v>633</v>
      </c>
      <c r="C9515" s="87" t="s">
        <v>32</v>
      </c>
      <c r="D9515" s="6">
        <v>46798</v>
      </c>
      <c r="E9515" s="3" t="str">
        <f ca="1">IF(Tabela2[[#This Row],[Dt Venc:]]&gt;TODAY(),"Em Aberto",IF(Tabela2[[#This Row],[D/venc]]="-","Enviado",IF(Tabela2[[#This Row],[Dt Venc:]]=TODAY(),"Vence Hoje","Vencida")))</f>
        <v>Em Aberto</v>
      </c>
      <c r="F9515" s="3">
        <f ca="1">IF(G9515=1,"-",Tabela2[[#This Row],[Dt Venc:]]-TODAY())</f>
        <v>1105</v>
      </c>
      <c r="G9515" s="3"/>
      <c r="H9515" s="3"/>
    </row>
    <row r="9516" spans="1:8">
      <c r="A9516" s="3">
        <v>371160</v>
      </c>
      <c r="B9516" s="7" t="s">
        <v>633</v>
      </c>
      <c r="C9516" s="87" t="s">
        <v>32</v>
      </c>
      <c r="D9516" s="6">
        <v>46798</v>
      </c>
      <c r="E9516" s="3" t="str">
        <f ca="1">IF(Tabela2[[#This Row],[Dt Venc:]]&gt;TODAY(),"Em Aberto",IF(Tabela2[[#This Row],[D/venc]]="-","Enviado",IF(Tabela2[[#This Row],[Dt Venc:]]=TODAY(),"Vence Hoje","Vencida")))</f>
        <v>Em Aberto</v>
      </c>
      <c r="F9516" s="3">
        <f ca="1">IF(G9516=1,"-",Tabela2[[#This Row],[Dt Venc:]]-TODAY())</f>
        <v>1105</v>
      </c>
      <c r="G9516" s="3"/>
      <c r="H9516" s="3"/>
    </row>
    <row r="9517" spans="1:8">
      <c r="A9517" s="3">
        <v>892178</v>
      </c>
      <c r="B9517" s="7" t="s">
        <v>253</v>
      </c>
      <c r="C9517" s="99" t="s">
        <v>32</v>
      </c>
      <c r="D9517" s="6">
        <v>46798</v>
      </c>
      <c r="E9517" s="3" t="str">
        <f ca="1">IF(Tabela2[[#This Row],[Dt Venc:]]&gt;TODAY(),"Em Aberto",IF(Tabela2[[#This Row],[D/venc]]="-","Enviado",IF(Tabela2[[#This Row],[Dt Venc:]]=TODAY(),"Vence Hoje","Vencida")))</f>
        <v>Em Aberto</v>
      </c>
      <c r="F9517" s="3">
        <f ca="1">IF(G9517=1,"-",Tabela2[[#This Row],[Dt Venc:]]-TODAY())</f>
        <v>1105</v>
      </c>
      <c r="G9517" s="3"/>
      <c r="H9517" s="3"/>
    </row>
    <row r="9518" spans="1:8">
      <c r="A9518" s="3">
        <v>894135</v>
      </c>
      <c r="B9518" s="7" t="s">
        <v>253</v>
      </c>
      <c r="C9518" s="99" t="s">
        <v>32</v>
      </c>
      <c r="D9518" s="6">
        <v>46798</v>
      </c>
      <c r="E9518" s="3" t="str">
        <f ca="1">IF(Tabela2[[#This Row],[Dt Venc:]]&gt;TODAY(),"Em Aberto",IF(Tabela2[[#This Row],[D/venc]]="-","Enviado",IF(Tabela2[[#This Row],[Dt Venc:]]=TODAY(),"Vence Hoje","Vencida")))</f>
        <v>Em Aberto</v>
      </c>
      <c r="F9518" s="3">
        <f ca="1">IF(G9518=1,"-",Tabela2[[#This Row],[Dt Venc:]]-TODAY())</f>
        <v>1105</v>
      </c>
      <c r="G9518" s="3"/>
      <c r="H9518" s="3"/>
    </row>
    <row r="9519" spans="1:8">
      <c r="A9519" s="3">
        <v>896565</v>
      </c>
      <c r="B9519" s="7" t="s">
        <v>253</v>
      </c>
      <c r="C9519" s="99" t="s">
        <v>32</v>
      </c>
      <c r="D9519" s="6">
        <v>46798</v>
      </c>
      <c r="E9519" s="3" t="str">
        <f ca="1">IF(Tabela2[[#This Row],[Dt Venc:]]&gt;TODAY(),"Em Aberto",IF(Tabela2[[#This Row],[D/venc]]="-","Enviado",IF(Tabela2[[#This Row],[Dt Venc:]]=TODAY(),"Vence Hoje","Vencida")))</f>
        <v>Em Aberto</v>
      </c>
      <c r="F9519" s="3">
        <f ca="1">IF(G9519=1,"-",Tabela2[[#This Row],[Dt Venc:]]-TODAY())</f>
        <v>1105</v>
      </c>
      <c r="G9519" s="3"/>
      <c r="H9519" s="3"/>
    </row>
    <row r="9520" spans="1:8">
      <c r="A9520" s="3">
        <v>900386</v>
      </c>
      <c r="B9520" s="7" t="s">
        <v>253</v>
      </c>
      <c r="C9520" s="99" t="s">
        <v>32</v>
      </c>
      <c r="D9520" s="6">
        <v>46798</v>
      </c>
      <c r="E9520" s="3" t="str">
        <f ca="1">IF(Tabela2[[#This Row],[Dt Venc:]]&gt;TODAY(),"Em Aberto",IF(Tabela2[[#This Row],[D/venc]]="-","Enviado",IF(Tabela2[[#This Row],[Dt Venc:]]=TODAY(),"Vence Hoje","Vencida")))</f>
        <v>Em Aberto</v>
      </c>
      <c r="F9520" s="3">
        <f ca="1">IF(G9520=1,"-",Tabela2[[#This Row],[Dt Venc:]]-TODAY())</f>
        <v>1105</v>
      </c>
      <c r="G9520" s="3"/>
      <c r="H9520" s="3"/>
    </row>
    <row r="9521" spans="1:8">
      <c r="A9521" s="3">
        <v>901787</v>
      </c>
      <c r="B9521" s="7" t="s">
        <v>253</v>
      </c>
      <c r="C9521" s="99" t="s">
        <v>32</v>
      </c>
      <c r="D9521" s="6">
        <v>46798</v>
      </c>
      <c r="E9521" s="3" t="str">
        <f ca="1">IF(Tabela2[[#This Row],[Dt Venc:]]&gt;TODAY(),"Em Aberto",IF(Tabela2[[#This Row],[D/venc]]="-","Enviado",IF(Tabela2[[#This Row],[Dt Venc:]]=TODAY(),"Vence Hoje","Vencida")))</f>
        <v>Em Aberto</v>
      </c>
      <c r="F9521" s="3">
        <f ca="1">IF(G9521=1,"-",Tabela2[[#This Row],[Dt Venc:]]-TODAY())</f>
        <v>1105</v>
      </c>
      <c r="G9521" s="3"/>
      <c r="H9521" s="3"/>
    </row>
    <row r="9522" spans="1:8">
      <c r="A9522" s="3">
        <v>901788</v>
      </c>
      <c r="B9522" s="7" t="s">
        <v>253</v>
      </c>
      <c r="C9522" s="99" t="s">
        <v>32</v>
      </c>
      <c r="D9522" s="6">
        <v>46798</v>
      </c>
      <c r="E9522" s="3" t="str">
        <f ca="1">IF(Tabela2[[#This Row],[Dt Venc:]]&gt;TODAY(),"Em Aberto",IF(Tabela2[[#This Row],[D/venc]]="-","Enviado",IF(Tabela2[[#This Row],[Dt Venc:]]=TODAY(),"Vence Hoje","Vencida")))</f>
        <v>Em Aberto</v>
      </c>
      <c r="F9522" s="3">
        <f ca="1">IF(G9522=1,"-",Tabela2[[#This Row],[Dt Venc:]]-TODAY())</f>
        <v>1105</v>
      </c>
      <c r="G9522" s="3"/>
      <c r="H9522" s="3"/>
    </row>
    <row r="9523" spans="1:8">
      <c r="A9523" s="3">
        <v>901789</v>
      </c>
      <c r="B9523" s="7" t="s">
        <v>253</v>
      </c>
      <c r="C9523" s="99" t="s">
        <v>32</v>
      </c>
      <c r="D9523" s="6">
        <v>46798</v>
      </c>
      <c r="E9523" s="3" t="str">
        <f ca="1">IF(Tabela2[[#This Row],[Dt Venc:]]&gt;TODAY(),"Em Aberto",IF(Tabela2[[#This Row],[D/venc]]="-","Enviado",IF(Tabela2[[#This Row],[Dt Venc:]]=TODAY(),"Vence Hoje","Vencida")))</f>
        <v>Em Aberto</v>
      </c>
      <c r="F9523" s="3">
        <f ca="1">IF(G9523=1,"-",Tabela2[[#This Row],[Dt Venc:]]-TODAY())</f>
        <v>1105</v>
      </c>
      <c r="G9523" s="3"/>
      <c r="H9523" s="3"/>
    </row>
    <row r="9524" spans="1:8">
      <c r="A9524" s="3">
        <v>912703</v>
      </c>
      <c r="B9524" s="7" t="s">
        <v>253</v>
      </c>
      <c r="C9524" s="99" t="s">
        <v>32</v>
      </c>
      <c r="D9524" s="6">
        <v>46798</v>
      </c>
      <c r="E9524" s="3" t="str">
        <f ca="1">IF(Tabela2[[#This Row],[Dt Venc:]]&gt;TODAY(),"Em Aberto",IF(Tabela2[[#This Row],[D/venc]]="-","Enviado",IF(Tabela2[[#This Row],[Dt Venc:]]=TODAY(),"Vence Hoje","Vencida")))</f>
        <v>Em Aberto</v>
      </c>
      <c r="F9524" s="3">
        <f ca="1">IF(G9524=1,"-",Tabela2[[#This Row],[Dt Venc:]]-TODAY())</f>
        <v>1105</v>
      </c>
      <c r="G9524" s="3"/>
      <c r="H9524" s="3"/>
    </row>
    <row r="9525" spans="1:8">
      <c r="A9525" s="3">
        <v>912704</v>
      </c>
      <c r="B9525" s="7" t="s">
        <v>253</v>
      </c>
      <c r="C9525" s="99" t="s">
        <v>32</v>
      </c>
      <c r="D9525" s="6">
        <v>46798</v>
      </c>
      <c r="E9525" s="3" t="str">
        <f ca="1">IF(Tabela2[[#This Row],[Dt Venc:]]&gt;TODAY(),"Em Aberto",IF(Tabela2[[#This Row],[D/venc]]="-","Enviado",IF(Tabela2[[#This Row],[Dt Venc:]]=TODAY(),"Vence Hoje","Vencida")))</f>
        <v>Em Aberto</v>
      </c>
      <c r="F9525" s="3">
        <f ca="1">IF(G9525=1,"-",Tabela2[[#This Row],[Dt Venc:]]-TODAY())</f>
        <v>1105</v>
      </c>
      <c r="G9525" s="3"/>
      <c r="H9525" s="3"/>
    </row>
    <row r="9526" spans="1:8">
      <c r="A9526" s="3">
        <v>919728</v>
      </c>
      <c r="B9526" s="7" t="s">
        <v>253</v>
      </c>
      <c r="C9526" s="87" t="s">
        <v>32</v>
      </c>
      <c r="D9526" s="6">
        <v>46798</v>
      </c>
      <c r="E9526" s="3" t="str">
        <f ca="1">IF(Tabela2[[#This Row],[Dt Venc:]]&gt;TODAY(),"Em Aberto",IF(Tabela2[[#This Row],[D/venc]]="-","Enviado",IF(Tabela2[[#This Row],[Dt Venc:]]=TODAY(),"Vence Hoje","Vencida")))</f>
        <v>Em Aberto</v>
      </c>
      <c r="F9526" s="3">
        <f ca="1">IF(G9526=1,"-",Tabela2[[#This Row],[Dt Venc:]]-TODAY())</f>
        <v>1105</v>
      </c>
      <c r="G9526" s="3"/>
      <c r="H9526" s="3"/>
    </row>
    <row r="9527" spans="1:8">
      <c r="A9527" s="3">
        <v>919729</v>
      </c>
      <c r="B9527" s="7" t="s">
        <v>253</v>
      </c>
      <c r="C9527" s="87" t="s">
        <v>32</v>
      </c>
      <c r="D9527" s="6">
        <v>46798</v>
      </c>
      <c r="E9527" s="3" t="str">
        <f ca="1">IF(Tabela2[[#This Row],[Dt Venc:]]&gt;TODAY(),"Em Aberto",IF(Tabela2[[#This Row],[D/venc]]="-","Enviado",IF(Tabela2[[#This Row],[Dt Venc:]]=TODAY(),"Vence Hoje","Vencida")))</f>
        <v>Em Aberto</v>
      </c>
      <c r="F9527" s="3">
        <f ca="1">IF(G9527=1,"-",Tabela2[[#This Row],[Dt Venc:]]-TODAY())</f>
        <v>1105</v>
      </c>
      <c r="G9527" s="3"/>
      <c r="H9527" s="3"/>
    </row>
    <row r="9528" spans="1:8">
      <c r="A9528" s="3">
        <v>495914</v>
      </c>
      <c r="B9528" s="7" t="s">
        <v>153</v>
      </c>
      <c r="C9528" s="99" t="s">
        <v>32</v>
      </c>
      <c r="D9528" s="6">
        <v>46808</v>
      </c>
      <c r="E9528" s="3" t="str">
        <f ca="1">IF(Tabela2[[#This Row],[Dt Venc:]]&gt;TODAY(),"Em Aberto",IF(Tabela2[[#This Row],[D/venc]]="-","Enviado",IF(Tabela2[[#This Row],[Dt Venc:]]=TODAY(),"Vence Hoje","Vencida")))</f>
        <v>Em Aberto</v>
      </c>
      <c r="F9528" s="3">
        <f ca="1">IF(G9528=1,"-",Tabela2[[#This Row],[Dt Venc:]]-TODAY())</f>
        <v>1115</v>
      </c>
      <c r="G9528" s="3"/>
      <c r="H9528" s="3"/>
    </row>
    <row r="9529" spans="1:8">
      <c r="A9529" s="3">
        <v>5690</v>
      </c>
      <c r="B9529" s="7" t="s">
        <v>122</v>
      </c>
      <c r="C9529" s="99" t="s">
        <v>32</v>
      </c>
      <c r="D9529" s="6">
        <v>46810</v>
      </c>
      <c r="E9529" s="3" t="str">
        <f ca="1">IF(Tabela2[[#This Row],[Dt Venc:]]&gt;TODAY(),"Em Aberto",IF(Tabela2[[#This Row],[D/venc]]="-","Enviado",IF(Tabela2[[#This Row],[Dt Venc:]]=TODAY(),"Vence Hoje","Vencida")))</f>
        <v>Em Aberto</v>
      </c>
      <c r="F9529" s="3">
        <f ca="1">IF(G9529=1,"-",Tabela2[[#This Row],[Dt Venc:]]-TODAY())</f>
        <v>1117</v>
      </c>
      <c r="G9529" s="3"/>
      <c r="H9529" s="3"/>
    </row>
    <row r="9530" spans="1:8">
      <c r="A9530" s="3">
        <v>11681</v>
      </c>
      <c r="B9530" s="7" t="s">
        <v>82</v>
      </c>
      <c r="C9530" s="87" t="s">
        <v>30</v>
      </c>
      <c r="D9530" s="6">
        <v>46812</v>
      </c>
      <c r="E9530" s="3" t="str">
        <f ca="1">IF(Tabela2[[#This Row],[Dt Venc:]]&gt;TODAY(),"Em Aberto",IF(Tabela2[[#This Row],[D/venc]]="-","Enviado",IF(Tabela2[[#This Row],[Dt Venc:]]=TODAY(),"Vence Hoje","Vencida")))</f>
        <v>Em Aberto</v>
      </c>
      <c r="F9530" s="3">
        <f ca="1">IF(G9530=1,"-",Tabela2[[#This Row],[Dt Venc:]]-TODAY())</f>
        <v>1119</v>
      </c>
      <c r="G9530" s="3"/>
      <c r="H9530" s="3"/>
    </row>
    <row r="9531" spans="1:8">
      <c r="A9531" s="3">
        <v>10494</v>
      </c>
      <c r="B9531" s="7" t="s">
        <v>82</v>
      </c>
      <c r="C9531" s="86" t="s">
        <v>30</v>
      </c>
      <c r="D9531" s="6">
        <v>46815</v>
      </c>
      <c r="E9531" s="3" t="str">
        <f ca="1">IF(Tabela2[[#This Row],[Dt Venc:]]&gt;TODAY(),"Em Aberto",IF(Tabela2[[#This Row],[D/venc]]="-","Enviado",IF(Tabela2[[#This Row],[Dt Venc:]]=TODAY(),"Vence Hoje","Vencida")))</f>
        <v>Em Aberto</v>
      </c>
      <c r="F9531" s="3">
        <f ca="1">IF(G9531=1,"-",Tabela2[[#This Row],[Dt Venc:]]-TODAY())</f>
        <v>1122</v>
      </c>
      <c r="G9531" s="3"/>
      <c r="H9531" s="3"/>
    </row>
    <row r="9532" spans="1:8">
      <c r="A9532" s="3">
        <v>284620</v>
      </c>
      <c r="B9532" s="7" t="s">
        <v>153</v>
      </c>
      <c r="C9532" s="99" t="s">
        <v>32</v>
      </c>
      <c r="D9532" s="6">
        <v>46820</v>
      </c>
      <c r="E9532" s="3" t="str">
        <f ca="1">IF(Tabela2[[#This Row],[Dt Venc:]]&gt;TODAY(),"Em Aberto",IF(Tabela2[[#This Row],[D/venc]]="-","Enviado",IF(Tabela2[[#This Row],[Dt Venc:]]=TODAY(),"Vence Hoje","Vencida")))</f>
        <v>Em Aberto</v>
      </c>
      <c r="F9532" s="3">
        <f ca="1">IF(G9532=1,"-",Tabela2[[#This Row],[Dt Venc:]]-TODAY())</f>
        <v>1127</v>
      </c>
      <c r="G9532" s="3"/>
      <c r="H9532" s="3"/>
    </row>
    <row r="9533" spans="1:8">
      <c r="A9533" s="3">
        <v>562</v>
      </c>
      <c r="B9533" s="7" t="s">
        <v>251</v>
      </c>
      <c r="C9533" s="99" t="s">
        <v>32</v>
      </c>
      <c r="D9533" s="6">
        <v>46827</v>
      </c>
      <c r="E9533" s="3" t="str">
        <f ca="1">IF(Tabela2[[#This Row],[Dt Venc:]]&gt;TODAY(),"Em Aberto",IF(Tabela2[[#This Row],[D/venc]]="-","Enviado",IF(Tabela2[[#This Row],[Dt Venc:]]=TODAY(),"Vence Hoje","Vencida")))</f>
        <v>Em Aberto</v>
      </c>
      <c r="F9533" s="3">
        <f ca="1">IF(G9533=1,"-",Tabela2[[#This Row],[Dt Venc:]]-TODAY())</f>
        <v>1134</v>
      </c>
      <c r="G9533" s="3"/>
      <c r="H9533" s="3"/>
    </row>
    <row r="9534" spans="1:8">
      <c r="A9534" s="3">
        <v>106007</v>
      </c>
      <c r="B9534" s="7" t="s">
        <v>252</v>
      </c>
      <c r="C9534" s="99" t="s">
        <v>32</v>
      </c>
      <c r="D9534" s="6">
        <v>46827</v>
      </c>
      <c r="E9534" s="3" t="str">
        <f ca="1">IF(Tabela2[[#This Row],[Dt Venc:]]&gt;TODAY(),"Em Aberto",IF(Tabela2[[#This Row],[D/venc]]="-","Enviado",IF(Tabela2[[#This Row],[Dt Venc:]]=TODAY(),"Vence Hoje","Vencida")))</f>
        <v>Em Aberto</v>
      </c>
      <c r="F9534" s="3">
        <f ca="1">IF(G9534=1,"-",Tabela2[[#This Row],[Dt Venc:]]-TODAY())</f>
        <v>1134</v>
      </c>
      <c r="G9534" s="3"/>
      <c r="H9534" s="3"/>
    </row>
    <row r="9535" spans="1:8">
      <c r="A9535" s="3">
        <v>106043</v>
      </c>
      <c r="B9535" s="7" t="s">
        <v>252</v>
      </c>
      <c r="C9535" s="99" t="s">
        <v>32</v>
      </c>
      <c r="D9535" s="6">
        <v>46827</v>
      </c>
      <c r="E9535" s="3" t="str">
        <f ca="1">IF(Tabela2[[#This Row],[Dt Venc:]]&gt;TODAY(),"Em Aberto",IF(Tabela2[[#This Row],[D/venc]]="-","Enviado",IF(Tabela2[[#This Row],[Dt Venc:]]=TODAY(),"Vence Hoje","Vencida")))</f>
        <v>Em Aberto</v>
      </c>
      <c r="F9535" s="3">
        <f ca="1">IF(G9535=1,"-",Tabela2[[#This Row],[Dt Venc:]]-TODAY())</f>
        <v>1134</v>
      </c>
      <c r="G9535" s="3"/>
      <c r="H9535" s="3"/>
    </row>
    <row r="9536" spans="1:8">
      <c r="A9536" s="3">
        <v>107830</v>
      </c>
      <c r="B9536" s="7" t="s">
        <v>252</v>
      </c>
      <c r="C9536" s="85" t="s">
        <v>32</v>
      </c>
      <c r="D9536" s="6">
        <v>46827</v>
      </c>
      <c r="E9536" s="3" t="str">
        <f ca="1">IF(Tabela2[[#This Row],[Dt Venc:]]&gt;TODAY(),"Em Aberto",IF(Tabela2[[#This Row],[D/venc]]="-","Enviado",IF(Tabela2[[#This Row],[Dt Venc:]]=TODAY(),"Vence Hoje","Vencida")))</f>
        <v>Em Aberto</v>
      </c>
      <c r="F9536" s="3">
        <f ca="1">IF(G9536=1,"-",Tabela2[[#This Row],[Dt Venc:]]-TODAY())</f>
        <v>1134</v>
      </c>
      <c r="G9536" s="3"/>
      <c r="H9536" s="3"/>
    </row>
    <row r="9537" spans="1:8">
      <c r="A9537" s="3">
        <v>107831</v>
      </c>
      <c r="B9537" s="7" t="s">
        <v>252</v>
      </c>
      <c r="C9537" s="99" t="s">
        <v>32</v>
      </c>
      <c r="D9537" s="6">
        <v>46827</v>
      </c>
      <c r="E9537" s="3" t="str">
        <f ca="1">IF(Tabela2[[#This Row],[Dt Venc:]]&gt;TODAY(),"Em Aberto",IF(Tabela2[[#This Row],[D/venc]]="-","Enviado",IF(Tabela2[[#This Row],[Dt Venc:]]=TODAY(),"Vence Hoje","Vencida")))</f>
        <v>Em Aberto</v>
      </c>
      <c r="F9537" s="3">
        <f ca="1">IF(G9537=1,"-",Tabela2[[#This Row],[Dt Venc:]]-TODAY())</f>
        <v>1134</v>
      </c>
      <c r="G9537" s="3"/>
      <c r="H9537" s="3"/>
    </row>
    <row r="9538" spans="1:8">
      <c r="A9538" s="3">
        <v>107832</v>
      </c>
      <c r="B9538" s="7" t="s">
        <v>252</v>
      </c>
      <c r="C9538" s="100" t="s">
        <v>32</v>
      </c>
      <c r="D9538" s="6">
        <v>46827</v>
      </c>
      <c r="E9538" s="3" t="str">
        <f ca="1">IF(Tabela2[[#This Row],[Dt Venc:]]&gt;TODAY(),"Em Aberto",IF(Tabela2[[#This Row],[D/venc]]="-","Enviado",IF(Tabela2[[#This Row],[Dt Venc:]]=TODAY(),"Vence Hoje","Vencida")))</f>
        <v>Em Aberto</v>
      </c>
      <c r="F9538" s="3">
        <f ca="1">IF(G9538=1,"-",Tabela2[[#This Row],[Dt Venc:]]-TODAY())</f>
        <v>1134</v>
      </c>
      <c r="G9538" s="3"/>
      <c r="H9538" s="3"/>
    </row>
    <row r="9539" spans="1:8">
      <c r="A9539" s="3">
        <v>361229</v>
      </c>
      <c r="B9539" s="7" t="s">
        <v>250</v>
      </c>
      <c r="C9539" s="100" t="s">
        <v>32</v>
      </c>
      <c r="D9539" s="6">
        <v>46827</v>
      </c>
      <c r="E9539" s="3" t="str">
        <f ca="1">IF(Tabela2[[#This Row],[Dt Venc:]]&gt;TODAY(),"Em Aberto",IF(Tabela2[[#This Row],[D/venc]]="-","Enviado",IF(Tabela2[[#This Row],[Dt Venc:]]=TODAY(),"Vence Hoje","Vencida")))</f>
        <v>Em Aberto</v>
      </c>
      <c r="F9539" s="3">
        <f ca="1">IF(G9539=1,"-",Tabela2[[#This Row],[Dt Venc:]]-TODAY())</f>
        <v>1134</v>
      </c>
      <c r="G9539" s="3"/>
      <c r="H9539" s="3"/>
    </row>
    <row r="9540" spans="1:8">
      <c r="A9540" s="3">
        <v>361237</v>
      </c>
      <c r="B9540" s="7" t="s">
        <v>250</v>
      </c>
      <c r="C9540" s="100" t="s">
        <v>32</v>
      </c>
      <c r="D9540" s="6">
        <v>46827</v>
      </c>
      <c r="E9540" s="3" t="str">
        <f ca="1">IF(Tabela2[[#This Row],[Dt Venc:]]&gt;TODAY(),"Em Aberto",IF(Tabela2[[#This Row],[D/venc]]="-","Enviado",IF(Tabela2[[#This Row],[Dt Venc:]]=TODAY(),"Vence Hoje","Vencida")))</f>
        <v>Em Aberto</v>
      </c>
      <c r="F9540" s="3">
        <f ca="1">IF(G9540=1,"-",Tabela2[[#This Row],[Dt Venc:]]-TODAY())</f>
        <v>1134</v>
      </c>
      <c r="G9540" s="3"/>
      <c r="H9540" s="3"/>
    </row>
    <row r="9541" spans="1:8">
      <c r="A9541" s="3">
        <v>365658</v>
      </c>
      <c r="B9541" s="7" t="s">
        <v>250</v>
      </c>
      <c r="C9541" s="100" t="s">
        <v>32</v>
      </c>
      <c r="D9541" s="6">
        <v>46827</v>
      </c>
      <c r="E9541" s="3" t="str">
        <f ca="1">IF(Tabela2[[#This Row],[Dt Venc:]]&gt;TODAY(),"Em Aberto",IF(Tabela2[[#This Row],[D/venc]]="-","Enviado",IF(Tabela2[[#This Row],[Dt Venc:]]=TODAY(),"Vence Hoje","Vencida")))</f>
        <v>Em Aberto</v>
      </c>
      <c r="F9541" s="3">
        <f ca="1">IF(G9541=1,"-",Tabela2[[#This Row],[Dt Venc:]]-TODAY())</f>
        <v>1134</v>
      </c>
      <c r="G9541" s="3"/>
      <c r="H9541" s="3"/>
    </row>
    <row r="9542" spans="1:8">
      <c r="A9542" s="3">
        <v>365666</v>
      </c>
      <c r="B9542" s="7" t="s">
        <v>250</v>
      </c>
      <c r="C9542" s="100" t="s">
        <v>32</v>
      </c>
      <c r="D9542" s="6">
        <v>46827</v>
      </c>
      <c r="E9542" s="3" t="str">
        <f ca="1">IF(Tabela2[[#This Row],[Dt Venc:]]&gt;TODAY(),"Em Aberto",IF(Tabela2[[#This Row],[D/venc]]="-","Enviado",IF(Tabela2[[#This Row],[Dt Venc:]]=TODAY(),"Vence Hoje","Vencida")))</f>
        <v>Em Aberto</v>
      </c>
      <c r="F9542" s="3">
        <f ca="1">IF(G9542=1,"-",Tabela2[[#This Row],[Dt Venc:]]-TODAY())</f>
        <v>1134</v>
      </c>
      <c r="G9542" s="3"/>
      <c r="H9542" s="3"/>
    </row>
    <row r="9543" spans="1:8">
      <c r="A9543" s="3">
        <v>365674</v>
      </c>
      <c r="B9543" s="7" t="s">
        <v>250</v>
      </c>
      <c r="C9543" s="100" t="s">
        <v>32</v>
      </c>
      <c r="D9543" s="6">
        <v>46827</v>
      </c>
      <c r="E9543" s="3" t="str">
        <f ca="1">IF(Tabela2[[#This Row],[Dt Venc:]]&gt;TODAY(),"Em Aberto",IF(Tabela2[[#This Row],[D/venc]]="-","Enviado",IF(Tabela2[[#This Row],[Dt Venc:]]=TODAY(),"Vence Hoje","Vencida")))</f>
        <v>Em Aberto</v>
      </c>
      <c r="F9543" s="3">
        <f ca="1">IF(G9543=1,"-",Tabela2[[#This Row],[Dt Venc:]]-TODAY())</f>
        <v>1134</v>
      </c>
      <c r="G9543" s="3"/>
      <c r="H9543" s="3"/>
    </row>
    <row r="9544" spans="1:8">
      <c r="A9544" s="3">
        <v>365682</v>
      </c>
      <c r="B9544" s="7" t="s">
        <v>250</v>
      </c>
      <c r="C9544" s="100" t="s">
        <v>32</v>
      </c>
      <c r="D9544" s="6">
        <v>46827</v>
      </c>
      <c r="E9544" s="3" t="str">
        <f ca="1">IF(Tabela2[[#This Row],[Dt Venc:]]&gt;TODAY(),"Em Aberto",IF(Tabela2[[#This Row],[D/venc]]="-","Enviado",IF(Tabela2[[#This Row],[Dt Venc:]]=TODAY(),"Vence Hoje","Vencida")))</f>
        <v>Em Aberto</v>
      </c>
      <c r="F9544" s="3">
        <f ca="1">IF(G9544=1,"-",Tabela2[[#This Row],[Dt Venc:]]-TODAY())</f>
        <v>1134</v>
      </c>
      <c r="G9544" s="3"/>
      <c r="H9544" s="3"/>
    </row>
    <row r="9545" spans="1:8">
      <c r="A9545" s="3">
        <v>369335</v>
      </c>
      <c r="B9545" s="7" t="s">
        <v>543</v>
      </c>
      <c r="C9545" s="87" t="s">
        <v>32</v>
      </c>
      <c r="D9545" s="6">
        <v>46827</v>
      </c>
      <c r="E9545" s="3" t="str">
        <f ca="1">IF(Tabela2[[#This Row],[Dt Venc:]]&gt;TODAY(),"Em Aberto",IF(Tabela2[[#This Row],[D/venc]]="-","Enviado",IF(Tabela2[[#This Row],[Dt Venc:]]=TODAY(),"Vence Hoje","Vencida")))</f>
        <v>Em Aberto</v>
      </c>
      <c r="F9545" s="3">
        <f ca="1">IF(G9545=1,"-",Tabela2[[#This Row],[Dt Venc:]]-TODAY())</f>
        <v>1134</v>
      </c>
      <c r="G9545" s="3"/>
      <c r="H9545" s="3"/>
    </row>
    <row r="9546" spans="1:8">
      <c r="A9546" s="3">
        <v>369696</v>
      </c>
      <c r="B9546" s="7" t="s">
        <v>543</v>
      </c>
      <c r="C9546" s="87" t="s">
        <v>32</v>
      </c>
      <c r="D9546" s="6">
        <v>46827</v>
      </c>
      <c r="E9546" s="3" t="str">
        <f ca="1">IF(Tabela2[[#This Row],[Dt Venc:]]&gt;TODAY(),"Em Aberto",IF(Tabela2[[#This Row],[D/venc]]="-","Enviado",IF(Tabela2[[#This Row],[Dt Venc:]]=TODAY(),"Vence Hoje","Vencida")))</f>
        <v>Em Aberto</v>
      </c>
      <c r="F9546" s="3">
        <f ca="1">IF(G9546=1,"-",Tabela2[[#This Row],[Dt Venc:]]-TODAY())</f>
        <v>1134</v>
      </c>
      <c r="G9546" s="3"/>
      <c r="H9546" s="3"/>
    </row>
    <row r="9547" spans="1:8">
      <c r="A9547" s="3">
        <v>369726</v>
      </c>
      <c r="B9547" s="7" t="s">
        <v>543</v>
      </c>
      <c r="C9547" s="87" t="s">
        <v>32</v>
      </c>
      <c r="D9547" s="6">
        <v>46827</v>
      </c>
      <c r="E9547" s="3" t="str">
        <f ca="1">IF(Tabela2[[#This Row],[Dt Venc:]]&gt;TODAY(),"Em Aberto",IF(Tabela2[[#This Row],[D/venc]]="-","Enviado",IF(Tabela2[[#This Row],[Dt Venc:]]=TODAY(),"Vence Hoje","Vencida")))</f>
        <v>Em Aberto</v>
      </c>
      <c r="F9547" s="3">
        <f ca="1">IF(G9547=1,"-",Tabela2[[#This Row],[Dt Venc:]]-TODAY())</f>
        <v>1134</v>
      </c>
      <c r="G9547" s="3"/>
      <c r="H9547" s="3"/>
    </row>
    <row r="9548" spans="1:8">
      <c r="A9548" s="3">
        <v>369751</v>
      </c>
      <c r="B9548" s="7" t="s">
        <v>543</v>
      </c>
      <c r="C9548" s="87" t="s">
        <v>32</v>
      </c>
      <c r="D9548" s="6">
        <v>46827</v>
      </c>
      <c r="E9548" s="3" t="str">
        <f ca="1">IF(Tabela2[[#This Row],[Dt Venc:]]&gt;TODAY(),"Em Aberto",IF(Tabela2[[#This Row],[D/venc]]="-","Enviado",IF(Tabela2[[#This Row],[Dt Venc:]]=TODAY(),"Vence Hoje","Vencida")))</f>
        <v>Em Aberto</v>
      </c>
      <c r="F9548" s="3">
        <f ca="1">IF(G9548=1,"-",Tabela2[[#This Row],[Dt Venc:]]-TODAY())</f>
        <v>1134</v>
      </c>
      <c r="G9548" s="3"/>
      <c r="H9548" s="3"/>
    </row>
    <row r="9549" spans="1:8">
      <c r="A9549" s="3">
        <v>370201</v>
      </c>
      <c r="B9549" s="7" t="s">
        <v>543</v>
      </c>
      <c r="C9549" s="87" t="s">
        <v>32</v>
      </c>
      <c r="D9549" s="6">
        <v>46827</v>
      </c>
      <c r="E9549" s="3" t="str">
        <f ca="1">IF(Tabela2[[#This Row],[Dt Venc:]]&gt;TODAY(),"Em Aberto",IF(Tabela2[[#This Row],[D/venc]]="-","Enviado",IF(Tabela2[[#This Row],[Dt Venc:]]=TODAY(),"Vence Hoje","Vencida")))</f>
        <v>Em Aberto</v>
      </c>
      <c r="F9549" s="3">
        <f ca="1">IF(G9549=1,"-",Tabela2[[#This Row],[Dt Venc:]]-TODAY())</f>
        <v>1134</v>
      </c>
      <c r="G9549" s="3"/>
      <c r="H9549" s="3"/>
    </row>
    <row r="9550" spans="1:8">
      <c r="A9550" s="3">
        <v>370864</v>
      </c>
      <c r="B9550" s="7" t="s">
        <v>543</v>
      </c>
      <c r="C9550" s="87" t="s">
        <v>32</v>
      </c>
      <c r="D9550" s="6">
        <v>46827</v>
      </c>
      <c r="E9550" s="3" t="str">
        <f ca="1">IF(Tabela2[[#This Row],[Dt Venc:]]&gt;TODAY(),"Em Aberto",IF(Tabela2[[#This Row],[D/venc]]="-","Enviado",IF(Tabela2[[#This Row],[Dt Venc:]]=TODAY(),"Vence Hoje","Vencida")))</f>
        <v>Em Aberto</v>
      </c>
      <c r="F9550" s="3">
        <f ca="1">IF(G9550=1,"-",Tabela2[[#This Row],[Dt Venc:]]-TODAY())</f>
        <v>1134</v>
      </c>
      <c r="G9550" s="3"/>
      <c r="H9550" s="3"/>
    </row>
    <row r="9551" spans="1:8">
      <c r="A9551" s="3">
        <v>371011</v>
      </c>
      <c r="B9551" s="7" t="s">
        <v>633</v>
      </c>
      <c r="C9551" s="87" t="s">
        <v>32</v>
      </c>
      <c r="D9551" s="6">
        <v>46827</v>
      </c>
      <c r="E9551" s="3" t="str">
        <f ca="1">IF(Tabela2[[#This Row],[Dt Venc:]]&gt;TODAY(),"Em Aberto",IF(Tabela2[[#This Row],[D/venc]]="-","Enviado",IF(Tabela2[[#This Row],[Dt Venc:]]=TODAY(),"Vence Hoje","Vencida")))</f>
        <v>Em Aberto</v>
      </c>
      <c r="F9551" s="3">
        <f ca="1">IF(G9551=1,"-",Tabela2[[#This Row],[Dt Venc:]]-TODAY())</f>
        <v>1134</v>
      </c>
      <c r="G9551" s="3"/>
      <c r="H9551" s="3"/>
    </row>
    <row r="9552" spans="1:8">
      <c r="A9552" s="3">
        <v>371160</v>
      </c>
      <c r="B9552" s="7" t="s">
        <v>633</v>
      </c>
      <c r="C9552" s="87" t="s">
        <v>32</v>
      </c>
      <c r="D9552" s="6">
        <v>46827</v>
      </c>
      <c r="E9552" s="3" t="str">
        <f ca="1">IF(Tabela2[[#This Row],[Dt Venc:]]&gt;TODAY(),"Em Aberto",IF(Tabela2[[#This Row],[D/venc]]="-","Enviado",IF(Tabela2[[#This Row],[Dt Venc:]]=TODAY(),"Vence Hoje","Vencida")))</f>
        <v>Em Aberto</v>
      </c>
      <c r="F9552" s="3">
        <f ca="1">IF(G9552=1,"-",Tabela2[[#This Row],[Dt Venc:]]-TODAY())</f>
        <v>1134</v>
      </c>
      <c r="G9552" s="3"/>
      <c r="H9552" s="3"/>
    </row>
    <row r="9553" spans="1:8">
      <c r="A9553" s="3">
        <v>892178</v>
      </c>
      <c r="B9553" s="7" t="s">
        <v>253</v>
      </c>
      <c r="C9553" s="100" t="s">
        <v>32</v>
      </c>
      <c r="D9553" s="6">
        <v>46827</v>
      </c>
      <c r="E9553" s="3" t="str">
        <f ca="1">IF(Tabela2[[#This Row],[Dt Venc:]]&gt;TODAY(),"Em Aberto",IF(Tabela2[[#This Row],[D/venc]]="-","Enviado",IF(Tabela2[[#This Row],[Dt Venc:]]=TODAY(),"Vence Hoje","Vencida")))</f>
        <v>Em Aberto</v>
      </c>
      <c r="F9553" s="3">
        <f ca="1">IF(G9553=1,"-",Tabela2[[#This Row],[Dt Venc:]]-TODAY())</f>
        <v>1134</v>
      </c>
      <c r="G9553" s="3"/>
      <c r="H9553" s="3"/>
    </row>
    <row r="9554" spans="1:8">
      <c r="A9554" s="3">
        <v>894135</v>
      </c>
      <c r="B9554" s="7" t="s">
        <v>253</v>
      </c>
      <c r="C9554" s="100" t="s">
        <v>32</v>
      </c>
      <c r="D9554" s="6">
        <v>46827</v>
      </c>
      <c r="E9554" s="3" t="str">
        <f ca="1">IF(Tabela2[[#This Row],[Dt Venc:]]&gt;TODAY(),"Em Aberto",IF(Tabela2[[#This Row],[D/venc]]="-","Enviado",IF(Tabela2[[#This Row],[Dt Venc:]]=TODAY(),"Vence Hoje","Vencida")))</f>
        <v>Em Aberto</v>
      </c>
      <c r="F9554" s="3">
        <f ca="1">IF(G9554=1,"-",Tabela2[[#This Row],[Dt Venc:]]-TODAY())</f>
        <v>1134</v>
      </c>
      <c r="G9554" s="3"/>
      <c r="H9554" s="3"/>
    </row>
    <row r="9555" spans="1:8">
      <c r="A9555" s="3">
        <v>896565</v>
      </c>
      <c r="B9555" s="7" t="s">
        <v>253</v>
      </c>
      <c r="C9555" s="100" t="s">
        <v>32</v>
      </c>
      <c r="D9555" s="6">
        <v>46827</v>
      </c>
      <c r="E9555" s="3" t="str">
        <f ca="1">IF(Tabela2[[#This Row],[Dt Venc:]]&gt;TODAY(),"Em Aberto",IF(Tabela2[[#This Row],[D/venc]]="-","Enviado",IF(Tabela2[[#This Row],[Dt Venc:]]=TODAY(),"Vence Hoje","Vencida")))</f>
        <v>Em Aberto</v>
      </c>
      <c r="F9555" s="3">
        <f ca="1">IF(G9555=1,"-",Tabela2[[#This Row],[Dt Venc:]]-TODAY())</f>
        <v>1134</v>
      </c>
      <c r="G9555" s="3"/>
      <c r="H9555" s="3"/>
    </row>
    <row r="9556" spans="1:8">
      <c r="A9556" s="3">
        <v>900386</v>
      </c>
      <c r="B9556" s="7" t="s">
        <v>253</v>
      </c>
      <c r="C9556" s="100" t="s">
        <v>32</v>
      </c>
      <c r="D9556" s="6">
        <v>46827</v>
      </c>
      <c r="E9556" s="3" t="str">
        <f ca="1">IF(Tabela2[[#This Row],[Dt Venc:]]&gt;TODAY(),"Em Aberto",IF(Tabela2[[#This Row],[D/venc]]="-","Enviado",IF(Tabela2[[#This Row],[Dt Venc:]]=TODAY(),"Vence Hoje","Vencida")))</f>
        <v>Em Aberto</v>
      </c>
      <c r="F9556" s="3">
        <f ca="1">IF(G9556=1,"-",Tabela2[[#This Row],[Dt Venc:]]-TODAY())</f>
        <v>1134</v>
      </c>
      <c r="G9556" s="3"/>
      <c r="H9556" s="3"/>
    </row>
    <row r="9557" spans="1:8">
      <c r="A9557" s="3">
        <v>901787</v>
      </c>
      <c r="B9557" s="7" t="s">
        <v>253</v>
      </c>
      <c r="C9557" s="99" t="s">
        <v>32</v>
      </c>
      <c r="D9557" s="6">
        <v>46827</v>
      </c>
      <c r="E9557" s="3" t="str">
        <f ca="1">IF(Tabela2[[#This Row],[Dt Venc:]]&gt;TODAY(),"Em Aberto",IF(Tabela2[[#This Row],[D/venc]]="-","Enviado",IF(Tabela2[[#This Row],[Dt Venc:]]=TODAY(),"Vence Hoje","Vencida")))</f>
        <v>Em Aberto</v>
      </c>
      <c r="F9557" s="3">
        <f ca="1">IF(G9557=1,"-",Tabela2[[#This Row],[Dt Venc:]]-TODAY())</f>
        <v>1134</v>
      </c>
      <c r="G9557" s="3"/>
      <c r="H9557" s="3"/>
    </row>
    <row r="9558" spans="1:8">
      <c r="A9558" s="3">
        <v>901788</v>
      </c>
      <c r="B9558" s="7" t="s">
        <v>253</v>
      </c>
      <c r="C9558" s="99" t="s">
        <v>32</v>
      </c>
      <c r="D9558" s="6">
        <v>46827</v>
      </c>
      <c r="E9558" s="3" t="str">
        <f ca="1">IF(Tabela2[[#This Row],[Dt Venc:]]&gt;TODAY(),"Em Aberto",IF(Tabela2[[#This Row],[D/venc]]="-","Enviado",IF(Tabela2[[#This Row],[Dt Venc:]]=TODAY(),"Vence Hoje","Vencida")))</f>
        <v>Em Aberto</v>
      </c>
      <c r="F9558" s="3">
        <f ca="1">IF(G9558=1,"-",Tabela2[[#This Row],[Dt Venc:]]-TODAY())</f>
        <v>1134</v>
      </c>
      <c r="G9558" s="3"/>
      <c r="H9558" s="3"/>
    </row>
    <row r="9559" spans="1:8">
      <c r="A9559" s="3">
        <v>901789</v>
      </c>
      <c r="B9559" s="7" t="s">
        <v>253</v>
      </c>
      <c r="C9559" s="99" t="s">
        <v>32</v>
      </c>
      <c r="D9559" s="6">
        <v>46827</v>
      </c>
      <c r="E9559" s="3" t="str">
        <f ca="1">IF(Tabela2[[#This Row],[Dt Venc:]]&gt;TODAY(),"Em Aberto",IF(Tabela2[[#This Row],[D/venc]]="-","Enviado",IF(Tabela2[[#This Row],[Dt Venc:]]=TODAY(),"Vence Hoje","Vencida")))</f>
        <v>Em Aberto</v>
      </c>
      <c r="F9559" s="3">
        <f ca="1">IF(G9559=1,"-",Tabela2[[#This Row],[Dt Venc:]]-TODAY())</f>
        <v>1134</v>
      </c>
      <c r="G9559" s="3"/>
      <c r="H9559" s="3"/>
    </row>
    <row r="9560" spans="1:8">
      <c r="A9560" s="3">
        <v>912703</v>
      </c>
      <c r="B9560" s="7" t="s">
        <v>253</v>
      </c>
      <c r="C9560" s="99" t="s">
        <v>32</v>
      </c>
      <c r="D9560" s="6">
        <v>46827</v>
      </c>
      <c r="E9560" s="3" t="str">
        <f ca="1">IF(Tabela2[[#This Row],[Dt Venc:]]&gt;TODAY(),"Em Aberto",IF(Tabela2[[#This Row],[D/venc]]="-","Enviado",IF(Tabela2[[#This Row],[Dt Venc:]]=TODAY(),"Vence Hoje","Vencida")))</f>
        <v>Em Aberto</v>
      </c>
      <c r="F9560" s="3">
        <f ca="1">IF(G9560=1,"-",Tabela2[[#This Row],[Dt Venc:]]-TODAY())</f>
        <v>1134</v>
      </c>
      <c r="G9560" s="3"/>
      <c r="H9560" s="3"/>
    </row>
    <row r="9561" spans="1:8">
      <c r="A9561" s="3">
        <v>912704</v>
      </c>
      <c r="B9561" s="7" t="s">
        <v>253</v>
      </c>
      <c r="C9561" s="99" t="s">
        <v>32</v>
      </c>
      <c r="D9561" s="6">
        <v>46827</v>
      </c>
      <c r="E9561" s="3" t="str">
        <f ca="1">IF(Tabela2[[#This Row],[Dt Venc:]]&gt;TODAY(),"Em Aberto",IF(Tabela2[[#This Row],[D/venc]]="-","Enviado",IF(Tabela2[[#This Row],[Dt Venc:]]=TODAY(),"Vence Hoje","Vencida")))</f>
        <v>Em Aberto</v>
      </c>
      <c r="F9561" s="3">
        <f ca="1">IF(G9561=1,"-",Tabela2[[#This Row],[Dt Venc:]]-TODAY())</f>
        <v>1134</v>
      </c>
      <c r="G9561" s="3"/>
      <c r="H9561" s="3"/>
    </row>
    <row r="9562" spans="1:8">
      <c r="A9562" s="3">
        <v>919728</v>
      </c>
      <c r="B9562" s="7" t="s">
        <v>253</v>
      </c>
      <c r="C9562" s="87" t="s">
        <v>32</v>
      </c>
      <c r="D9562" s="6">
        <v>46827</v>
      </c>
      <c r="E9562" s="3" t="str">
        <f ca="1">IF(Tabela2[[#This Row],[Dt Venc:]]&gt;TODAY(),"Em Aberto",IF(Tabela2[[#This Row],[D/venc]]="-","Enviado",IF(Tabela2[[#This Row],[Dt Venc:]]=TODAY(),"Vence Hoje","Vencida")))</f>
        <v>Em Aberto</v>
      </c>
      <c r="F9562" s="3">
        <f ca="1">IF(G9562=1,"-",Tabela2[[#This Row],[Dt Venc:]]-TODAY())</f>
        <v>1134</v>
      </c>
      <c r="G9562" s="3"/>
      <c r="H9562" s="3"/>
    </row>
    <row r="9563" spans="1:8">
      <c r="A9563" s="3">
        <v>919729</v>
      </c>
      <c r="B9563" s="7" t="s">
        <v>253</v>
      </c>
      <c r="C9563" s="87" t="s">
        <v>32</v>
      </c>
      <c r="D9563" s="6">
        <v>46827</v>
      </c>
      <c r="E9563" s="3" t="str">
        <f ca="1">IF(Tabela2[[#This Row],[Dt Venc:]]&gt;TODAY(),"Em Aberto",IF(Tabela2[[#This Row],[D/venc]]="-","Enviado",IF(Tabela2[[#This Row],[Dt Venc:]]=TODAY(),"Vence Hoje","Vencida")))</f>
        <v>Em Aberto</v>
      </c>
      <c r="F9563" s="3">
        <f ca="1">IF(G9563=1,"-",Tabela2[[#This Row],[Dt Venc:]]-TODAY())</f>
        <v>1134</v>
      </c>
      <c r="G9563" s="3"/>
      <c r="H9563" s="3"/>
    </row>
    <row r="9564" spans="1:8">
      <c r="A9564" s="3">
        <v>495914</v>
      </c>
      <c r="B9564" s="7" t="s">
        <v>153</v>
      </c>
      <c r="C9564" s="100" t="s">
        <v>32</v>
      </c>
      <c r="D9564" s="6">
        <v>46837</v>
      </c>
      <c r="E9564" s="3" t="str">
        <f ca="1">IF(Tabela2[[#This Row],[Dt Venc:]]&gt;TODAY(),"Em Aberto",IF(Tabela2[[#This Row],[D/venc]]="-","Enviado",IF(Tabela2[[#This Row],[Dt Venc:]]=TODAY(),"Vence Hoje","Vencida")))</f>
        <v>Em Aberto</v>
      </c>
      <c r="F9564" s="3">
        <f ca="1">IF(G9564=1,"-",Tabela2[[#This Row],[Dt Venc:]]-TODAY())</f>
        <v>1144</v>
      </c>
      <c r="G9564" s="3"/>
      <c r="H9564" s="3"/>
    </row>
    <row r="9565" spans="1:8">
      <c r="A9565" s="3">
        <v>5690</v>
      </c>
      <c r="B9565" s="7" t="s">
        <v>122</v>
      </c>
      <c r="C9565" s="99" t="s">
        <v>32</v>
      </c>
      <c r="D9565" s="6">
        <v>46839</v>
      </c>
      <c r="E9565" s="3" t="str">
        <f ca="1">IF(Tabela2[[#This Row],[Dt Venc:]]&gt;TODAY(),"Em Aberto",IF(Tabela2[[#This Row],[D/venc]]="-","Enviado",IF(Tabela2[[#This Row],[Dt Venc:]]=TODAY(),"Vence Hoje","Vencida")))</f>
        <v>Em Aberto</v>
      </c>
      <c r="F9565" s="3">
        <f ca="1">IF(G9565=1,"-",Tabela2[[#This Row],[Dt Venc:]]-TODAY())</f>
        <v>1146</v>
      </c>
      <c r="G9565" s="3"/>
      <c r="H9565" s="3"/>
    </row>
    <row r="9566" spans="1:8">
      <c r="A9566" s="3">
        <v>11681</v>
      </c>
      <c r="B9566" s="7" t="s">
        <v>82</v>
      </c>
      <c r="C9566" s="87" t="s">
        <v>30</v>
      </c>
      <c r="D9566" s="6">
        <v>46843</v>
      </c>
      <c r="E9566" s="3" t="str">
        <f ca="1">IF(Tabela2[[#This Row],[Dt Venc:]]&gt;TODAY(),"Em Aberto",IF(Tabela2[[#This Row],[D/venc]]="-","Enviado",IF(Tabela2[[#This Row],[Dt Venc:]]=TODAY(),"Vence Hoje","Vencida")))</f>
        <v>Em Aberto</v>
      </c>
      <c r="F9566" s="3">
        <f ca="1">IF(G9566=1,"-",Tabela2[[#This Row],[Dt Venc:]]-TODAY())</f>
        <v>1150</v>
      </c>
      <c r="G9566" s="3"/>
      <c r="H9566" s="3"/>
    </row>
    <row r="9567" spans="1:8">
      <c r="A9567" s="3">
        <v>10494</v>
      </c>
      <c r="B9567" s="7" t="s">
        <v>82</v>
      </c>
      <c r="C9567" s="88" t="s">
        <v>30</v>
      </c>
      <c r="D9567" s="6">
        <v>46846</v>
      </c>
      <c r="E9567" s="3" t="str">
        <f ca="1">IF(Tabela2[[#This Row],[Dt Venc:]]&gt;TODAY(),"Em Aberto",IF(Tabela2[[#This Row],[D/venc]]="-","Enviado",IF(Tabela2[[#This Row],[Dt Venc:]]=TODAY(),"Vence Hoje","Vencida")))</f>
        <v>Em Aberto</v>
      </c>
      <c r="F9567" s="3">
        <f ca="1">IF(G9567=1,"-",Tabela2[[#This Row],[Dt Venc:]]-TODAY())</f>
        <v>1153</v>
      </c>
      <c r="G9567" s="3"/>
      <c r="H9567" s="3" t="s">
        <v>732</v>
      </c>
    </row>
    <row r="9568" spans="1:8">
      <c r="A9568" s="3">
        <v>284620</v>
      </c>
      <c r="B9568" s="7" t="s">
        <v>153</v>
      </c>
      <c r="C9568" s="99" t="s">
        <v>32</v>
      </c>
      <c r="D9568" s="6">
        <v>46851</v>
      </c>
      <c r="E9568" s="3" t="str">
        <f ca="1">IF(Tabela2[[#This Row],[Dt Venc:]]&gt;TODAY(),"Em Aberto",IF(Tabela2[[#This Row],[D/venc]]="-","Enviado",IF(Tabela2[[#This Row],[Dt Venc:]]=TODAY(),"Vence Hoje","Vencida")))</f>
        <v>Em Aberto</v>
      </c>
      <c r="F9568" s="3">
        <f ca="1">IF(G9568=1,"-",Tabela2[[#This Row],[Dt Venc:]]-TODAY())</f>
        <v>1158</v>
      </c>
      <c r="G9568" s="3"/>
      <c r="H9568" s="3"/>
    </row>
    <row r="9569" spans="1:8">
      <c r="A9569" s="3">
        <v>562</v>
      </c>
      <c r="B9569" s="7" t="s">
        <v>251</v>
      </c>
      <c r="C9569" s="100" t="s">
        <v>32</v>
      </c>
      <c r="D9569" s="6">
        <v>46858</v>
      </c>
      <c r="E9569" s="3" t="str">
        <f ca="1">IF(Tabela2[[#This Row],[Dt Venc:]]&gt;TODAY(),"Em Aberto",IF(Tabela2[[#This Row],[D/venc]]="-","Enviado",IF(Tabela2[[#This Row],[Dt Venc:]]=TODAY(),"Vence Hoje","Vencida")))</f>
        <v>Em Aberto</v>
      </c>
      <c r="F9569" s="3">
        <f ca="1">IF(G9569=1,"-",Tabela2[[#This Row],[Dt Venc:]]-TODAY())</f>
        <v>1165</v>
      </c>
      <c r="G9569" s="3"/>
      <c r="H9569" s="3"/>
    </row>
    <row r="9570" spans="1:8">
      <c r="A9570" s="3">
        <v>106007</v>
      </c>
      <c r="B9570" s="7" t="s">
        <v>252</v>
      </c>
      <c r="C9570" s="100" t="s">
        <v>32</v>
      </c>
      <c r="D9570" s="6">
        <v>46858</v>
      </c>
      <c r="E9570" s="3" t="str">
        <f ca="1">IF(Tabela2[[#This Row],[Dt Venc:]]&gt;TODAY(),"Em Aberto",IF(Tabela2[[#This Row],[D/venc]]="-","Enviado",IF(Tabela2[[#This Row],[Dt Venc:]]=TODAY(),"Vence Hoje","Vencida")))</f>
        <v>Em Aberto</v>
      </c>
      <c r="F9570" s="3">
        <f ca="1">IF(G9570=1,"-",Tabela2[[#This Row],[Dt Venc:]]-TODAY())</f>
        <v>1165</v>
      </c>
      <c r="G9570" s="3"/>
      <c r="H9570" s="3"/>
    </row>
    <row r="9571" spans="1:8">
      <c r="A9571" s="3">
        <v>106043</v>
      </c>
      <c r="B9571" s="7" t="s">
        <v>252</v>
      </c>
      <c r="C9571" s="100" t="s">
        <v>32</v>
      </c>
      <c r="D9571" s="6">
        <v>46858</v>
      </c>
      <c r="E9571" s="3" t="str">
        <f ca="1">IF(Tabela2[[#This Row],[Dt Venc:]]&gt;TODAY(),"Em Aberto",IF(Tabela2[[#This Row],[D/venc]]="-","Enviado",IF(Tabela2[[#This Row],[Dt Venc:]]=TODAY(),"Vence Hoje","Vencida")))</f>
        <v>Em Aberto</v>
      </c>
      <c r="F9571" s="3">
        <f ca="1">IF(G9571=1,"-",Tabela2[[#This Row],[Dt Venc:]]-TODAY())</f>
        <v>1165</v>
      </c>
      <c r="G9571" s="3"/>
      <c r="H9571" s="3"/>
    </row>
    <row r="9572" spans="1:8">
      <c r="A9572" s="3">
        <v>107830</v>
      </c>
      <c r="B9572" s="7" t="s">
        <v>252</v>
      </c>
      <c r="C9572" s="87" t="s">
        <v>32</v>
      </c>
      <c r="D9572" s="6">
        <v>46858</v>
      </c>
      <c r="E9572" s="3" t="str">
        <f ca="1">IF(Tabela2[[#This Row],[Dt Venc:]]&gt;TODAY(),"Em Aberto",IF(Tabela2[[#This Row],[D/venc]]="-","Enviado",IF(Tabela2[[#This Row],[Dt Venc:]]=TODAY(),"Vence Hoje","Vencida")))</f>
        <v>Em Aberto</v>
      </c>
      <c r="F9572" s="3">
        <f ca="1">IF(G9572=1,"-",Tabela2[[#This Row],[Dt Venc:]]-TODAY())</f>
        <v>1165</v>
      </c>
      <c r="G9572" s="3"/>
      <c r="H9572" s="3"/>
    </row>
    <row r="9573" spans="1:8">
      <c r="A9573" s="3">
        <v>107831</v>
      </c>
      <c r="B9573" s="7" t="s">
        <v>252</v>
      </c>
      <c r="C9573" s="100" t="s">
        <v>32</v>
      </c>
      <c r="D9573" s="6">
        <v>46858</v>
      </c>
      <c r="E9573" s="3" t="str">
        <f ca="1">IF(Tabela2[[#This Row],[Dt Venc:]]&gt;TODAY(),"Em Aberto",IF(Tabela2[[#This Row],[D/venc]]="-","Enviado",IF(Tabela2[[#This Row],[Dt Venc:]]=TODAY(),"Vence Hoje","Vencida")))</f>
        <v>Em Aberto</v>
      </c>
      <c r="F9573" s="3">
        <f ca="1">IF(G9573=1,"-",Tabela2[[#This Row],[Dt Venc:]]-TODAY())</f>
        <v>1165</v>
      </c>
      <c r="G9573" s="3"/>
      <c r="H9573" s="3"/>
    </row>
    <row r="9574" spans="1:8">
      <c r="A9574" s="3">
        <v>107832</v>
      </c>
      <c r="B9574" s="7" t="s">
        <v>252</v>
      </c>
      <c r="C9574" s="99" t="s">
        <v>32</v>
      </c>
      <c r="D9574" s="6">
        <v>46858</v>
      </c>
      <c r="E9574" s="3" t="str">
        <f ca="1">IF(Tabela2[[#This Row],[Dt Venc:]]&gt;TODAY(),"Em Aberto",IF(Tabela2[[#This Row],[D/venc]]="-","Enviado",IF(Tabela2[[#This Row],[Dt Venc:]]=TODAY(),"Vence Hoje","Vencida")))</f>
        <v>Em Aberto</v>
      </c>
      <c r="F9574" s="3">
        <f ca="1">IF(G9574=1,"-",Tabela2[[#This Row],[Dt Venc:]]-TODAY())</f>
        <v>1165</v>
      </c>
      <c r="G9574" s="3"/>
      <c r="H9574" s="3"/>
    </row>
    <row r="9575" spans="1:8">
      <c r="A9575" s="3">
        <v>361229</v>
      </c>
      <c r="B9575" s="7" t="s">
        <v>250</v>
      </c>
      <c r="C9575" s="100" t="s">
        <v>32</v>
      </c>
      <c r="D9575" s="6">
        <v>46858</v>
      </c>
      <c r="E9575" s="3" t="str">
        <f ca="1">IF(Tabela2[[#This Row],[Dt Venc:]]&gt;TODAY(),"Em Aberto",IF(Tabela2[[#This Row],[D/venc]]="-","Enviado",IF(Tabela2[[#This Row],[Dt Venc:]]=TODAY(),"Vence Hoje","Vencida")))</f>
        <v>Em Aberto</v>
      </c>
      <c r="F9575" s="3">
        <f ca="1">IF(G9575=1,"-",Tabela2[[#This Row],[Dt Venc:]]-TODAY())</f>
        <v>1165</v>
      </c>
      <c r="G9575" s="3"/>
      <c r="H9575" s="3"/>
    </row>
    <row r="9576" spans="1:8">
      <c r="A9576" s="3">
        <v>361237</v>
      </c>
      <c r="B9576" s="7" t="s">
        <v>250</v>
      </c>
      <c r="C9576" s="100" t="s">
        <v>32</v>
      </c>
      <c r="D9576" s="6">
        <v>46858</v>
      </c>
      <c r="E9576" s="3" t="str">
        <f ca="1">IF(Tabela2[[#This Row],[Dt Venc:]]&gt;TODAY(),"Em Aberto",IF(Tabela2[[#This Row],[D/venc]]="-","Enviado",IF(Tabela2[[#This Row],[Dt Venc:]]=TODAY(),"Vence Hoje","Vencida")))</f>
        <v>Em Aberto</v>
      </c>
      <c r="F9576" s="3">
        <f ca="1">IF(G9576=1,"-",Tabela2[[#This Row],[Dt Venc:]]-TODAY())</f>
        <v>1165</v>
      </c>
      <c r="G9576" s="3"/>
      <c r="H9576" s="3"/>
    </row>
    <row r="9577" spans="1:8">
      <c r="A9577" s="3">
        <v>365658</v>
      </c>
      <c r="B9577" s="7" t="s">
        <v>250</v>
      </c>
      <c r="C9577" s="100" t="s">
        <v>32</v>
      </c>
      <c r="D9577" s="6">
        <v>46858</v>
      </c>
      <c r="E9577" s="3" t="str">
        <f ca="1">IF(Tabela2[[#This Row],[Dt Venc:]]&gt;TODAY(),"Em Aberto",IF(Tabela2[[#This Row],[D/venc]]="-","Enviado",IF(Tabela2[[#This Row],[Dt Venc:]]=TODAY(),"Vence Hoje","Vencida")))</f>
        <v>Em Aberto</v>
      </c>
      <c r="F9577" s="3">
        <f ca="1">IF(G9577=1,"-",Tabela2[[#This Row],[Dt Venc:]]-TODAY())</f>
        <v>1165</v>
      </c>
      <c r="G9577" s="3"/>
      <c r="H9577" s="3"/>
    </row>
    <row r="9578" spans="1:8">
      <c r="A9578" s="3">
        <v>365666</v>
      </c>
      <c r="B9578" s="7" t="s">
        <v>250</v>
      </c>
      <c r="C9578" s="100" t="s">
        <v>32</v>
      </c>
      <c r="D9578" s="6">
        <v>46858</v>
      </c>
      <c r="E9578" s="3" t="str">
        <f ca="1">IF(Tabela2[[#This Row],[Dt Venc:]]&gt;TODAY(),"Em Aberto",IF(Tabela2[[#This Row],[D/venc]]="-","Enviado",IF(Tabela2[[#This Row],[Dt Venc:]]=TODAY(),"Vence Hoje","Vencida")))</f>
        <v>Em Aberto</v>
      </c>
      <c r="F9578" s="3">
        <f ca="1">IF(G9578=1,"-",Tabela2[[#This Row],[Dt Venc:]]-TODAY())</f>
        <v>1165</v>
      </c>
      <c r="G9578" s="3"/>
      <c r="H9578" s="3"/>
    </row>
    <row r="9579" spans="1:8">
      <c r="A9579" s="3">
        <v>365674</v>
      </c>
      <c r="B9579" s="7" t="s">
        <v>250</v>
      </c>
      <c r="C9579" s="99" t="s">
        <v>32</v>
      </c>
      <c r="D9579" s="6">
        <v>46858</v>
      </c>
      <c r="E9579" s="3" t="str">
        <f ca="1">IF(Tabela2[[#This Row],[Dt Venc:]]&gt;TODAY(),"Em Aberto",IF(Tabela2[[#This Row],[D/venc]]="-","Enviado",IF(Tabela2[[#This Row],[Dt Venc:]]=TODAY(),"Vence Hoje","Vencida")))</f>
        <v>Em Aberto</v>
      </c>
      <c r="F9579" s="3">
        <f ca="1">IF(G9579=1,"-",Tabela2[[#This Row],[Dt Venc:]]-TODAY())</f>
        <v>1165</v>
      </c>
      <c r="G9579" s="3"/>
      <c r="H9579" s="3"/>
    </row>
    <row r="9580" spans="1:8">
      <c r="A9580" s="3">
        <v>365682</v>
      </c>
      <c r="B9580" s="7" t="s">
        <v>250</v>
      </c>
      <c r="C9580" s="99" t="s">
        <v>32</v>
      </c>
      <c r="D9580" s="6">
        <v>46858</v>
      </c>
      <c r="E9580" s="3" t="str">
        <f ca="1">IF(Tabela2[[#This Row],[Dt Venc:]]&gt;TODAY(),"Em Aberto",IF(Tabela2[[#This Row],[D/venc]]="-","Enviado",IF(Tabela2[[#This Row],[Dt Venc:]]=TODAY(),"Vence Hoje","Vencida")))</f>
        <v>Em Aberto</v>
      </c>
      <c r="F9580" s="3">
        <f ca="1">IF(G9580=1,"-",Tabela2[[#This Row],[Dt Venc:]]-TODAY())</f>
        <v>1165</v>
      </c>
      <c r="G9580" s="3"/>
      <c r="H9580" s="3"/>
    </row>
    <row r="9581" spans="1:8">
      <c r="A9581" s="3">
        <v>369335</v>
      </c>
      <c r="B9581" s="7" t="s">
        <v>543</v>
      </c>
      <c r="C9581" s="87" t="s">
        <v>32</v>
      </c>
      <c r="D9581" s="6">
        <v>46858</v>
      </c>
      <c r="E9581" s="3" t="str">
        <f ca="1">IF(Tabela2[[#This Row],[Dt Venc:]]&gt;TODAY(),"Em Aberto",IF(Tabela2[[#This Row],[D/venc]]="-","Enviado",IF(Tabela2[[#This Row],[Dt Venc:]]=TODAY(),"Vence Hoje","Vencida")))</f>
        <v>Em Aberto</v>
      </c>
      <c r="F9581" s="3">
        <f ca="1">IF(G9581=1,"-",Tabela2[[#This Row],[Dt Venc:]]-TODAY())</f>
        <v>1165</v>
      </c>
      <c r="G9581" s="3"/>
      <c r="H9581" s="3"/>
    </row>
    <row r="9582" spans="1:8">
      <c r="A9582" s="3">
        <v>369696</v>
      </c>
      <c r="B9582" s="7" t="s">
        <v>543</v>
      </c>
      <c r="C9582" s="87" t="s">
        <v>32</v>
      </c>
      <c r="D9582" s="6">
        <v>46858</v>
      </c>
      <c r="E9582" s="3" t="str">
        <f ca="1">IF(Tabela2[[#This Row],[Dt Venc:]]&gt;TODAY(),"Em Aberto",IF(Tabela2[[#This Row],[D/venc]]="-","Enviado",IF(Tabela2[[#This Row],[Dt Venc:]]=TODAY(),"Vence Hoje","Vencida")))</f>
        <v>Em Aberto</v>
      </c>
      <c r="F9582" s="3">
        <f ca="1">IF(G9582=1,"-",Tabela2[[#This Row],[Dt Venc:]]-TODAY())</f>
        <v>1165</v>
      </c>
      <c r="G9582" s="3"/>
      <c r="H9582" s="3"/>
    </row>
    <row r="9583" spans="1:8">
      <c r="A9583" s="3">
        <v>369726</v>
      </c>
      <c r="B9583" s="7" t="s">
        <v>543</v>
      </c>
      <c r="C9583" s="87" t="s">
        <v>32</v>
      </c>
      <c r="D9583" s="6">
        <v>46858</v>
      </c>
      <c r="E9583" s="3" t="str">
        <f ca="1">IF(Tabela2[[#This Row],[Dt Venc:]]&gt;TODAY(),"Em Aberto",IF(Tabela2[[#This Row],[D/venc]]="-","Enviado",IF(Tabela2[[#This Row],[Dt Venc:]]=TODAY(),"Vence Hoje","Vencida")))</f>
        <v>Em Aberto</v>
      </c>
      <c r="F9583" s="3">
        <f ca="1">IF(G9583=1,"-",Tabela2[[#This Row],[Dt Venc:]]-TODAY())</f>
        <v>1165</v>
      </c>
      <c r="G9583" s="3"/>
      <c r="H9583" s="3"/>
    </row>
    <row r="9584" spans="1:8">
      <c r="A9584" s="3">
        <v>369751</v>
      </c>
      <c r="B9584" s="7" t="s">
        <v>543</v>
      </c>
      <c r="C9584" s="87" t="s">
        <v>32</v>
      </c>
      <c r="D9584" s="6">
        <v>46858</v>
      </c>
      <c r="E9584" s="3" t="str">
        <f ca="1">IF(Tabela2[[#This Row],[Dt Venc:]]&gt;TODAY(),"Em Aberto",IF(Tabela2[[#This Row],[D/venc]]="-","Enviado",IF(Tabela2[[#This Row],[Dt Venc:]]=TODAY(),"Vence Hoje","Vencida")))</f>
        <v>Em Aberto</v>
      </c>
      <c r="F9584" s="3">
        <f ca="1">IF(G9584=1,"-",Tabela2[[#This Row],[Dt Venc:]]-TODAY())</f>
        <v>1165</v>
      </c>
      <c r="G9584" s="3"/>
      <c r="H9584" s="3"/>
    </row>
    <row r="9585" spans="1:8">
      <c r="A9585" s="3">
        <v>370201</v>
      </c>
      <c r="B9585" s="7" t="s">
        <v>543</v>
      </c>
      <c r="C9585" s="87" t="s">
        <v>32</v>
      </c>
      <c r="D9585" s="6">
        <v>46858</v>
      </c>
      <c r="E9585" s="3" t="str">
        <f ca="1">IF(Tabela2[[#This Row],[Dt Venc:]]&gt;TODAY(),"Em Aberto",IF(Tabela2[[#This Row],[D/venc]]="-","Enviado",IF(Tabela2[[#This Row],[Dt Venc:]]=TODAY(),"Vence Hoje","Vencida")))</f>
        <v>Em Aberto</v>
      </c>
      <c r="F9585" s="3">
        <f ca="1">IF(G9585=1,"-",Tabela2[[#This Row],[Dt Venc:]]-TODAY())</f>
        <v>1165</v>
      </c>
      <c r="G9585" s="3"/>
      <c r="H9585" s="3"/>
    </row>
    <row r="9586" spans="1:8">
      <c r="A9586" s="3">
        <v>370864</v>
      </c>
      <c r="B9586" s="7" t="s">
        <v>543</v>
      </c>
      <c r="C9586" s="87" t="s">
        <v>32</v>
      </c>
      <c r="D9586" s="6">
        <v>46858</v>
      </c>
      <c r="E9586" s="3" t="str">
        <f ca="1">IF(Tabela2[[#This Row],[Dt Venc:]]&gt;TODAY(),"Em Aberto",IF(Tabela2[[#This Row],[D/venc]]="-","Enviado",IF(Tabela2[[#This Row],[Dt Venc:]]=TODAY(),"Vence Hoje","Vencida")))</f>
        <v>Em Aberto</v>
      </c>
      <c r="F9586" s="3">
        <f ca="1">IF(G9586=1,"-",Tabela2[[#This Row],[Dt Venc:]]-TODAY())</f>
        <v>1165</v>
      </c>
      <c r="G9586" s="3"/>
      <c r="H9586" s="3"/>
    </row>
    <row r="9587" spans="1:8">
      <c r="A9587" s="3">
        <v>371011</v>
      </c>
      <c r="B9587" s="7" t="s">
        <v>633</v>
      </c>
      <c r="C9587" s="87" t="s">
        <v>32</v>
      </c>
      <c r="D9587" s="6">
        <v>46858</v>
      </c>
      <c r="E9587" s="3" t="str">
        <f ca="1">IF(Tabela2[[#This Row],[Dt Venc:]]&gt;TODAY(),"Em Aberto",IF(Tabela2[[#This Row],[D/venc]]="-","Enviado",IF(Tabela2[[#This Row],[Dt Venc:]]=TODAY(),"Vence Hoje","Vencida")))</f>
        <v>Em Aberto</v>
      </c>
      <c r="F9587" s="3">
        <f ca="1">IF(G9587=1,"-",Tabela2[[#This Row],[Dt Venc:]]-TODAY())</f>
        <v>1165</v>
      </c>
      <c r="G9587" s="3"/>
      <c r="H9587" s="3"/>
    </row>
    <row r="9588" spans="1:8">
      <c r="A9588" s="3">
        <v>371160</v>
      </c>
      <c r="B9588" s="7" t="s">
        <v>633</v>
      </c>
      <c r="C9588" s="87" t="s">
        <v>32</v>
      </c>
      <c r="D9588" s="6">
        <v>46858</v>
      </c>
      <c r="E9588" s="3" t="str">
        <f ca="1">IF(Tabela2[[#This Row],[Dt Venc:]]&gt;TODAY(),"Em Aberto",IF(Tabela2[[#This Row],[D/venc]]="-","Enviado",IF(Tabela2[[#This Row],[Dt Venc:]]=TODAY(),"Vence Hoje","Vencida")))</f>
        <v>Em Aberto</v>
      </c>
      <c r="F9588" s="3">
        <f ca="1">IF(G9588=1,"-",Tabela2[[#This Row],[Dt Venc:]]-TODAY())</f>
        <v>1165</v>
      </c>
      <c r="G9588" s="3"/>
      <c r="H9588" s="3"/>
    </row>
    <row r="9589" spans="1:8">
      <c r="A9589" s="3">
        <v>892178</v>
      </c>
      <c r="B9589" s="7" t="s">
        <v>253</v>
      </c>
      <c r="C9589" s="100" t="s">
        <v>32</v>
      </c>
      <c r="D9589" s="6">
        <v>46858</v>
      </c>
      <c r="E9589" s="3" t="str">
        <f ca="1">IF(Tabela2[[#This Row],[Dt Venc:]]&gt;TODAY(),"Em Aberto",IF(Tabela2[[#This Row],[D/venc]]="-","Enviado",IF(Tabela2[[#This Row],[Dt Venc:]]=TODAY(),"Vence Hoje","Vencida")))</f>
        <v>Em Aberto</v>
      </c>
      <c r="F9589" s="3">
        <f ca="1">IF(G9589=1,"-",Tabela2[[#This Row],[Dt Venc:]]-TODAY())</f>
        <v>1165</v>
      </c>
      <c r="G9589" s="3"/>
      <c r="H9589" s="3"/>
    </row>
    <row r="9590" spans="1:8">
      <c r="A9590" s="3">
        <v>894135</v>
      </c>
      <c r="B9590" s="7" t="s">
        <v>253</v>
      </c>
      <c r="C9590" s="100" t="s">
        <v>32</v>
      </c>
      <c r="D9590" s="6">
        <v>46858</v>
      </c>
      <c r="E9590" s="3" t="str">
        <f ca="1">IF(Tabela2[[#This Row],[Dt Venc:]]&gt;TODAY(),"Em Aberto",IF(Tabela2[[#This Row],[D/venc]]="-","Enviado",IF(Tabela2[[#This Row],[Dt Venc:]]=TODAY(),"Vence Hoje","Vencida")))</f>
        <v>Em Aberto</v>
      </c>
      <c r="F9590" s="3">
        <f ca="1">IF(G9590=1,"-",Tabela2[[#This Row],[Dt Venc:]]-TODAY())</f>
        <v>1165</v>
      </c>
      <c r="G9590" s="3"/>
      <c r="H9590" s="3"/>
    </row>
    <row r="9591" spans="1:8">
      <c r="A9591" s="3">
        <v>896565</v>
      </c>
      <c r="B9591" s="7" t="s">
        <v>253</v>
      </c>
      <c r="C9591" s="100" t="s">
        <v>32</v>
      </c>
      <c r="D9591" s="6">
        <v>46858</v>
      </c>
      <c r="E9591" s="3" t="str">
        <f ca="1">IF(Tabela2[[#This Row],[Dt Venc:]]&gt;TODAY(),"Em Aberto",IF(Tabela2[[#This Row],[D/venc]]="-","Enviado",IF(Tabela2[[#This Row],[Dt Venc:]]=TODAY(),"Vence Hoje","Vencida")))</f>
        <v>Em Aberto</v>
      </c>
      <c r="F9591" s="3">
        <f ca="1">IF(G9591=1,"-",Tabela2[[#This Row],[Dt Venc:]]-TODAY())</f>
        <v>1165</v>
      </c>
      <c r="G9591" s="3"/>
      <c r="H9591" s="3"/>
    </row>
    <row r="9592" spans="1:8">
      <c r="A9592" s="3">
        <v>900386</v>
      </c>
      <c r="B9592" s="7" t="s">
        <v>253</v>
      </c>
      <c r="C9592" s="99" t="s">
        <v>32</v>
      </c>
      <c r="D9592" s="6">
        <v>46858</v>
      </c>
      <c r="E9592" s="3" t="str">
        <f ca="1">IF(Tabela2[[#This Row],[Dt Venc:]]&gt;TODAY(),"Em Aberto",IF(Tabela2[[#This Row],[D/venc]]="-","Enviado",IF(Tabela2[[#This Row],[Dt Venc:]]=TODAY(),"Vence Hoje","Vencida")))</f>
        <v>Em Aberto</v>
      </c>
      <c r="F9592" s="3">
        <f ca="1">IF(G9592=1,"-",Tabela2[[#This Row],[Dt Venc:]]-TODAY())</f>
        <v>1165</v>
      </c>
      <c r="G9592" s="3"/>
      <c r="H9592" s="3"/>
    </row>
    <row r="9593" spans="1:8">
      <c r="A9593" s="3">
        <v>901787</v>
      </c>
      <c r="B9593" s="7" t="s">
        <v>253</v>
      </c>
      <c r="C9593" s="99" t="s">
        <v>32</v>
      </c>
      <c r="D9593" s="6">
        <v>46858</v>
      </c>
      <c r="E9593" s="3" t="str">
        <f ca="1">IF(Tabela2[[#This Row],[Dt Venc:]]&gt;TODAY(),"Em Aberto",IF(Tabela2[[#This Row],[D/venc]]="-","Enviado",IF(Tabela2[[#This Row],[Dt Venc:]]=TODAY(),"Vence Hoje","Vencida")))</f>
        <v>Em Aberto</v>
      </c>
      <c r="F9593" s="3">
        <f ca="1">IF(G9593=1,"-",Tabela2[[#This Row],[Dt Venc:]]-TODAY())</f>
        <v>1165</v>
      </c>
      <c r="G9593" s="3"/>
      <c r="H9593" s="3"/>
    </row>
    <row r="9594" spans="1:8">
      <c r="A9594" s="3">
        <v>901788</v>
      </c>
      <c r="B9594" s="7" t="s">
        <v>253</v>
      </c>
      <c r="C9594" s="100" t="s">
        <v>32</v>
      </c>
      <c r="D9594" s="6">
        <v>46858</v>
      </c>
      <c r="E9594" s="3" t="str">
        <f ca="1">IF(Tabela2[[#This Row],[Dt Venc:]]&gt;TODAY(),"Em Aberto",IF(Tabela2[[#This Row],[D/venc]]="-","Enviado",IF(Tabela2[[#This Row],[Dt Venc:]]=TODAY(),"Vence Hoje","Vencida")))</f>
        <v>Em Aberto</v>
      </c>
      <c r="F9594" s="3">
        <f ca="1">IF(G9594=1,"-",Tabela2[[#This Row],[Dt Venc:]]-TODAY())</f>
        <v>1165</v>
      </c>
      <c r="G9594" s="3"/>
      <c r="H9594" s="3"/>
    </row>
    <row r="9595" spans="1:8">
      <c r="A9595" s="3">
        <v>901789</v>
      </c>
      <c r="B9595" s="7" t="s">
        <v>253</v>
      </c>
      <c r="C9595" s="100" t="s">
        <v>32</v>
      </c>
      <c r="D9595" s="6">
        <v>46858</v>
      </c>
      <c r="E9595" s="3" t="str">
        <f ca="1">IF(Tabela2[[#This Row],[Dt Venc:]]&gt;TODAY(),"Em Aberto",IF(Tabela2[[#This Row],[D/venc]]="-","Enviado",IF(Tabela2[[#This Row],[Dt Venc:]]=TODAY(),"Vence Hoje","Vencida")))</f>
        <v>Em Aberto</v>
      </c>
      <c r="F9595" s="3">
        <f ca="1">IF(G9595=1,"-",Tabela2[[#This Row],[Dt Venc:]]-TODAY())</f>
        <v>1165</v>
      </c>
      <c r="G9595" s="3"/>
      <c r="H9595" s="3"/>
    </row>
    <row r="9596" spans="1:8">
      <c r="A9596" s="3">
        <v>912703</v>
      </c>
      <c r="B9596" s="7" t="s">
        <v>253</v>
      </c>
      <c r="C9596" s="100" t="s">
        <v>32</v>
      </c>
      <c r="D9596" s="6">
        <v>46858</v>
      </c>
      <c r="E9596" s="3" t="str">
        <f ca="1">IF(Tabela2[[#This Row],[Dt Venc:]]&gt;TODAY(),"Em Aberto",IF(Tabela2[[#This Row],[D/venc]]="-","Enviado",IF(Tabela2[[#This Row],[Dt Venc:]]=TODAY(),"Vence Hoje","Vencida")))</f>
        <v>Em Aberto</v>
      </c>
      <c r="F9596" s="3">
        <f ca="1">IF(G9596=1,"-",Tabela2[[#This Row],[Dt Venc:]]-TODAY())</f>
        <v>1165</v>
      </c>
      <c r="G9596" s="3"/>
      <c r="H9596" s="3"/>
    </row>
    <row r="9597" spans="1:8">
      <c r="A9597" s="3">
        <v>912704</v>
      </c>
      <c r="B9597" s="7" t="s">
        <v>253</v>
      </c>
      <c r="C9597" s="100" t="s">
        <v>32</v>
      </c>
      <c r="D9597" s="6">
        <v>46858</v>
      </c>
      <c r="E9597" s="3" t="str">
        <f ca="1">IF(Tabela2[[#This Row],[Dt Venc:]]&gt;TODAY(),"Em Aberto",IF(Tabela2[[#This Row],[D/venc]]="-","Enviado",IF(Tabela2[[#This Row],[Dt Venc:]]=TODAY(),"Vence Hoje","Vencida")))</f>
        <v>Em Aberto</v>
      </c>
      <c r="F9597" s="3">
        <f ca="1">IF(G9597=1,"-",Tabela2[[#This Row],[Dt Venc:]]-TODAY())</f>
        <v>1165</v>
      </c>
      <c r="G9597" s="3"/>
      <c r="H9597" s="3"/>
    </row>
    <row r="9598" spans="1:8">
      <c r="A9598" s="3">
        <v>919728</v>
      </c>
      <c r="B9598" s="7" t="s">
        <v>253</v>
      </c>
      <c r="C9598" s="87" t="s">
        <v>32</v>
      </c>
      <c r="D9598" s="6">
        <v>46858</v>
      </c>
      <c r="E9598" s="3" t="str">
        <f ca="1">IF(Tabela2[[#This Row],[Dt Venc:]]&gt;TODAY(),"Em Aberto",IF(Tabela2[[#This Row],[D/venc]]="-","Enviado",IF(Tabela2[[#This Row],[Dt Venc:]]=TODAY(),"Vence Hoje","Vencida")))</f>
        <v>Em Aberto</v>
      </c>
      <c r="F9598" s="3">
        <f ca="1">IF(G9598=1,"-",Tabela2[[#This Row],[Dt Venc:]]-TODAY())</f>
        <v>1165</v>
      </c>
      <c r="G9598" s="3"/>
      <c r="H9598" s="3"/>
    </row>
    <row r="9599" spans="1:8">
      <c r="A9599" s="3">
        <v>919729</v>
      </c>
      <c r="B9599" s="7" t="s">
        <v>253</v>
      </c>
      <c r="C9599" s="87" t="s">
        <v>32</v>
      </c>
      <c r="D9599" s="6">
        <v>46858</v>
      </c>
      <c r="E9599" s="3" t="str">
        <f ca="1">IF(Tabela2[[#This Row],[Dt Venc:]]&gt;TODAY(),"Em Aberto",IF(Tabela2[[#This Row],[D/venc]]="-","Enviado",IF(Tabela2[[#This Row],[Dt Venc:]]=TODAY(),"Vence Hoje","Vencida")))</f>
        <v>Em Aberto</v>
      </c>
      <c r="F9599" s="3">
        <f ca="1">IF(G9599=1,"-",Tabela2[[#This Row],[Dt Venc:]]-TODAY())</f>
        <v>1165</v>
      </c>
      <c r="G9599" s="3"/>
      <c r="H9599" s="3"/>
    </row>
    <row r="9600" spans="1:8">
      <c r="A9600" s="3">
        <v>495914</v>
      </c>
      <c r="B9600" s="7" t="s">
        <v>153</v>
      </c>
      <c r="C9600" s="100" t="s">
        <v>32</v>
      </c>
      <c r="D9600" s="6">
        <v>46868</v>
      </c>
      <c r="E9600" s="3" t="str">
        <f ca="1">IF(Tabela2[[#This Row],[Dt Venc:]]&gt;TODAY(),"Em Aberto",IF(Tabela2[[#This Row],[D/venc]]="-","Enviado",IF(Tabela2[[#This Row],[Dt Venc:]]=TODAY(),"Vence Hoje","Vencida")))</f>
        <v>Em Aberto</v>
      </c>
      <c r="F9600" s="3">
        <f ca="1">IF(G9600=1,"-",Tabela2[[#This Row],[Dt Venc:]]-TODAY())</f>
        <v>1175</v>
      </c>
      <c r="G9600" s="3"/>
      <c r="H9600" s="3"/>
    </row>
    <row r="9601" spans="1:8">
      <c r="A9601" s="3">
        <v>11681</v>
      </c>
      <c r="B9601" s="7" t="s">
        <v>82</v>
      </c>
      <c r="C9601" s="87" t="s">
        <v>30</v>
      </c>
      <c r="D9601" s="6">
        <v>46873</v>
      </c>
      <c r="E9601" s="3" t="str">
        <f ca="1">IF(Tabela2[[#This Row],[Dt Venc:]]&gt;TODAY(),"Em Aberto",IF(Tabela2[[#This Row],[D/venc]]="-","Enviado",IF(Tabela2[[#This Row],[Dt Venc:]]=TODAY(),"Vence Hoje","Vencida")))</f>
        <v>Em Aberto</v>
      </c>
      <c r="F9601" s="3">
        <f ca="1">IF(G9601=1,"-",Tabela2[[#This Row],[Dt Venc:]]-TODAY())</f>
        <v>1180</v>
      </c>
      <c r="G9601" s="3"/>
      <c r="H9601" s="3"/>
    </row>
    <row r="9602" spans="1:8">
      <c r="A9602" s="3">
        <v>284620</v>
      </c>
      <c r="B9602" s="7" t="s">
        <v>153</v>
      </c>
      <c r="C9602" s="100" t="s">
        <v>32</v>
      </c>
      <c r="D9602" s="6">
        <v>46881</v>
      </c>
      <c r="E9602" s="3" t="str">
        <f ca="1">IF(Tabela2[[#This Row],[Dt Venc:]]&gt;TODAY(),"Em Aberto",IF(Tabela2[[#This Row],[D/venc]]="-","Enviado",IF(Tabela2[[#This Row],[Dt Venc:]]=TODAY(),"Vence Hoje","Vencida")))</f>
        <v>Em Aberto</v>
      </c>
      <c r="F9602" s="3">
        <f ca="1">IF(G9602=1,"-",Tabela2[[#This Row],[Dt Venc:]]-TODAY())</f>
        <v>1188</v>
      </c>
      <c r="G9602" s="3"/>
      <c r="H9602" s="3"/>
    </row>
    <row r="9603" spans="1:8">
      <c r="A9603" s="3">
        <v>562</v>
      </c>
      <c r="B9603" s="7" t="s">
        <v>251</v>
      </c>
      <c r="C9603" s="99" t="s">
        <v>32</v>
      </c>
      <c r="D9603" s="6">
        <v>46888</v>
      </c>
      <c r="E9603" s="3" t="str">
        <f ca="1">IF(Tabela2[[#This Row],[Dt Venc:]]&gt;TODAY(),"Em Aberto",IF(Tabela2[[#This Row],[D/venc]]="-","Enviado",IF(Tabela2[[#This Row],[Dt Venc:]]=TODAY(),"Vence Hoje","Vencida")))</f>
        <v>Em Aberto</v>
      </c>
      <c r="F9603" s="3">
        <f ca="1">IF(G9603=1,"-",Tabela2[[#This Row],[Dt Venc:]]-TODAY())</f>
        <v>1195</v>
      </c>
      <c r="G9603" s="3"/>
      <c r="H9603" s="3"/>
    </row>
    <row r="9604" spans="1:8">
      <c r="A9604" s="3">
        <v>106007</v>
      </c>
      <c r="B9604" s="7" t="s">
        <v>252</v>
      </c>
      <c r="C9604" s="99" t="s">
        <v>32</v>
      </c>
      <c r="D9604" s="6">
        <v>46888</v>
      </c>
      <c r="E9604" s="3" t="str">
        <f ca="1">IF(Tabela2[[#This Row],[Dt Venc:]]&gt;TODAY(),"Em Aberto",IF(Tabela2[[#This Row],[D/venc]]="-","Enviado",IF(Tabela2[[#This Row],[Dt Venc:]]=TODAY(),"Vence Hoje","Vencida")))</f>
        <v>Em Aberto</v>
      </c>
      <c r="F9604" s="3">
        <f ca="1">IF(G9604=1,"-",Tabela2[[#This Row],[Dt Venc:]]-TODAY())</f>
        <v>1195</v>
      </c>
      <c r="G9604" s="3"/>
      <c r="H9604" s="3"/>
    </row>
    <row r="9605" spans="1:8">
      <c r="A9605" s="3">
        <v>106043</v>
      </c>
      <c r="B9605" s="7" t="s">
        <v>252</v>
      </c>
      <c r="C9605" s="99" t="s">
        <v>32</v>
      </c>
      <c r="D9605" s="6">
        <v>46888</v>
      </c>
      <c r="E9605" s="3" t="str">
        <f ca="1">IF(Tabela2[[#This Row],[Dt Venc:]]&gt;TODAY(),"Em Aberto",IF(Tabela2[[#This Row],[D/venc]]="-","Enviado",IF(Tabela2[[#This Row],[Dt Venc:]]=TODAY(),"Vence Hoje","Vencida")))</f>
        <v>Em Aberto</v>
      </c>
      <c r="F9605" s="3">
        <f ca="1">IF(G9605=1,"-",Tabela2[[#This Row],[Dt Venc:]]-TODAY())</f>
        <v>1195</v>
      </c>
      <c r="G9605" s="3"/>
      <c r="H9605" s="3"/>
    </row>
    <row r="9606" spans="1:8">
      <c r="A9606" s="3">
        <v>107830</v>
      </c>
      <c r="B9606" s="7" t="s">
        <v>252</v>
      </c>
      <c r="C9606" s="87" t="s">
        <v>32</v>
      </c>
      <c r="D9606" s="6">
        <v>46888</v>
      </c>
      <c r="E9606" s="3" t="str">
        <f ca="1">IF(Tabela2[[#This Row],[Dt Venc:]]&gt;TODAY(),"Em Aberto",IF(Tabela2[[#This Row],[D/venc]]="-","Enviado",IF(Tabela2[[#This Row],[Dt Venc:]]=TODAY(),"Vence Hoje","Vencida")))</f>
        <v>Em Aberto</v>
      </c>
      <c r="F9606" s="3">
        <f ca="1">IF(G9606=1,"-",Tabela2[[#This Row],[Dt Venc:]]-TODAY())</f>
        <v>1195</v>
      </c>
      <c r="G9606" s="3"/>
      <c r="H9606" s="3"/>
    </row>
    <row r="9607" spans="1:8">
      <c r="A9607" s="3">
        <v>107831</v>
      </c>
      <c r="B9607" s="7" t="s">
        <v>252</v>
      </c>
      <c r="C9607" s="100" t="s">
        <v>32</v>
      </c>
      <c r="D9607" s="6">
        <v>46888</v>
      </c>
      <c r="E9607" s="3" t="str">
        <f ca="1">IF(Tabela2[[#This Row],[Dt Venc:]]&gt;TODAY(),"Em Aberto",IF(Tabela2[[#This Row],[D/venc]]="-","Enviado",IF(Tabela2[[#This Row],[Dt Venc:]]=TODAY(),"Vence Hoje","Vencida")))</f>
        <v>Em Aberto</v>
      </c>
      <c r="F9607" s="3">
        <f ca="1">IF(G9607=1,"-",Tabela2[[#This Row],[Dt Venc:]]-TODAY())</f>
        <v>1195</v>
      </c>
      <c r="G9607" s="3"/>
      <c r="H9607" s="3"/>
    </row>
    <row r="9608" spans="1:8">
      <c r="A9608" s="3">
        <v>107832</v>
      </c>
      <c r="B9608" s="7" t="s">
        <v>252</v>
      </c>
      <c r="C9608" s="100" t="s">
        <v>32</v>
      </c>
      <c r="D9608" s="6">
        <v>46888</v>
      </c>
      <c r="E9608" s="3" t="str">
        <f ca="1">IF(Tabela2[[#This Row],[Dt Venc:]]&gt;TODAY(),"Em Aberto",IF(Tabela2[[#This Row],[D/venc]]="-","Enviado",IF(Tabela2[[#This Row],[Dt Venc:]]=TODAY(),"Vence Hoje","Vencida")))</f>
        <v>Em Aberto</v>
      </c>
      <c r="F9608" s="3">
        <f ca="1">IF(G9608=1,"-",Tabela2[[#This Row],[Dt Venc:]]-TODAY())</f>
        <v>1195</v>
      </c>
      <c r="G9608" s="3"/>
      <c r="H9608" s="3"/>
    </row>
    <row r="9609" spans="1:8">
      <c r="A9609" s="3">
        <v>361229</v>
      </c>
      <c r="B9609" s="7" t="s">
        <v>250</v>
      </c>
      <c r="C9609" s="100" t="s">
        <v>32</v>
      </c>
      <c r="D9609" s="6">
        <v>46888</v>
      </c>
      <c r="E9609" s="3" t="str">
        <f ca="1">IF(Tabela2[[#This Row],[Dt Venc:]]&gt;TODAY(),"Em Aberto",IF(Tabela2[[#This Row],[D/venc]]="-","Enviado",IF(Tabela2[[#This Row],[Dt Venc:]]=TODAY(),"Vence Hoje","Vencida")))</f>
        <v>Em Aberto</v>
      </c>
      <c r="F9609" s="3">
        <f ca="1">IF(G9609=1,"-",Tabela2[[#This Row],[Dt Venc:]]-TODAY())</f>
        <v>1195</v>
      </c>
      <c r="G9609" s="3"/>
      <c r="H9609" s="3"/>
    </row>
    <row r="9610" spans="1:8">
      <c r="A9610" s="3">
        <v>361237</v>
      </c>
      <c r="B9610" s="7" t="s">
        <v>250</v>
      </c>
      <c r="C9610" s="100" t="s">
        <v>32</v>
      </c>
      <c r="D9610" s="6">
        <v>46888</v>
      </c>
      <c r="E9610" s="3" t="str">
        <f ca="1">IF(Tabela2[[#This Row],[Dt Venc:]]&gt;TODAY(),"Em Aberto",IF(Tabela2[[#This Row],[D/venc]]="-","Enviado",IF(Tabela2[[#This Row],[Dt Venc:]]=TODAY(),"Vence Hoje","Vencida")))</f>
        <v>Em Aberto</v>
      </c>
      <c r="F9610" s="3">
        <f ca="1">IF(G9610=1,"-",Tabela2[[#This Row],[Dt Venc:]]-TODAY())</f>
        <v>1195</v>
      </c>
      <c r="G9610" s="3"/>
      <c r="H9610" s="3"/>
    </row>
    <row r="9611" spans="1:8">
      <c r="A9611" s="3">
        <v>365658</v>
      </c>
      <c r="B9611" s="7" t="s">
        <v>250</v>
      </c>
      <c r="C9611" s="100" t="s">
        <v>32</v>
      </c>
      <c r="D9611" s="6">
        <v>46888</v>
      </c>
      <c r="E9611" s="3" t="str">
        <f ca="1">IF(Tabela2[[#This Row],[Dt Venc:]]&gt;TODAY(),"Em Aberto",IF(Tabela2[[#This Row],[D/venc]]="-","Enviado",IF(Tabela2[[#This Row],[Dt Venc:]]=TODAY(),"Vence Hoje","Vencida")))</f>
        <v>Em Aberto</v>
      </c>
      <c r="F9611" s="3">
        <f ca="1">IF(G9611=1,"-",Tabela2[[#This Row],[Dt Venc:]]-TODAY())</f>
        <v>1195</v>
      </c>
      <c r="G9611" s="3"/>
      <c r="H9611" s="3"/>
    </row>
    <row r="9612" spans="1:8">
      <c r="A9612" s="3">
        <v>365666</v>
      </c>
      <c r="B9612" s="7" t="s">
        <v>250</v>
      </c>
      <c r="C9612" s="100" t="s">
        <v>32</v>
      </c>
      <c r="D9612" s="6">
        <v>46888</v>
      </c>
      <c r="E9612" s="3" t="str">
        <f ca="1">IF(Tabela2[[#This Row],[Dt Venc:]]&gt;TODAY(),"Em Aberto",IF(Tabela2[[#This Row],[D/venc]]="-","Enviado",IF(Tabela2[[#This Row],[Dt Venc:]]=TODAY(),"Vence Hoje","Vencida")))</f>
        <v>Em Aberto</v>
      </c>
      <c r="F9612" s="3">
        <f ca="1">IF(G9612=1,"-",Tabela2[[#This Row],[Dt Venc:]]-TODAY())</f>
        <v>1195</v>
      </c>
      <c r="G9612" s="3"/>
      <c r="H9612" s="3"/>
    </row>
    <row r="9613" spans="1:8">
      <c r="A9613" s="3">
        <v>365674</v>
      </c>
      <c r="B9613" s="7" t="s">
        <v>250</v>
      </c>
      <c r="C9613" s="100" t="s">
        <v>32</v>
      </c>
      <c r="D9613" s="6">
        <v>46888</v>
      </c>
      <c r="E9613" s="3" t="str">
        <f ca="1">IF(Tabela2[[#This Row],[Dt Venc:]]&gt;TODAY(),"Em Aberto",IF(Tabela2[[#This Row],[D/venc]]="-","Enviado",IF(Tabela2[[#This Row],[Dt Venc:]]=TODAY(),"Vence Hoje","Vencida")))</f>
        <v>Em Aberto</v>
      </c>
      <c r="F9613" s="3">
        <f ca="1">IF(G9613=1,"-",Tabela2[[#This Row],[Dt Venc:]]-TODAY())</f>
        <v>1195</v>
      </c>
      <c r="G9613" s="3"/>
      <c r="H9613" s="3"/>
    </row>
    <row r="9614" spans="1:8">
      <c r="A9614" s="3">
        <v>365682</v>
      </c>
      <c r="B9614" s="7" t="s">
        <v>250</v>
      </c>
      <c r="C9614" s="100" t="s">
        <v>32</v>
      </c>
      <c r="D9614" s="6">
        <v>46888</v>
      </c>
      <c r="E9614" s="3" t="str">
        <f ca="1">IF(Tabela2[[#This Row],[Dt Venc:]]&gt;TODAY(),"Em Aberto",IF(Tabela2[[#This Row],[D/venc]]="-","Enviado",IF(Tabela2[[#This Row],[Dt Venc:]]=TODAY(),"Vence Hoje","Vencida")))</f>
        <v>Em Aberto</v>
      </c>
      <c r="F9614" s="3">
        <f ca="1">IF(G9614=1,"-",Tabela2[[#This Row],[Dt Venc:]]-TODAY())</f>
        <v>1195</v>
      </c>
      <c r="G9614" s="3"/>
      <c r="H9614" s="3"/>
    </row>
    <row r="9615" spans="1:8">
      <c r="A9615" s="3">
        <v>369335</v>
      </c>
      <c r="B9615" s="7" t="s">
        <v>543</v>
      </c>
      <c r="C9615" s="85" t="s">
        <v>32</v>
      </c>
      <c r="D9615" s="6">
        <v>46888</v>
      </c>
      <c r="E9615" s="3" t="str">
        <f ca="1">IF(Tabela2[[#This Row],[Dt Venc:]]&gt;TODAY(),"Em Aberto",IF(Tabela2[[#This Row],[D/venc]]="-","Enviado",IF(Tabela2[[#This Row],[Dt Venc:]]=TODAY(),"Vence Hoje","Vencida")))</f>
        <v>Em Aberto</v>
      </c>
      <c r="F9615" s="3">
        <f ca="1">IF(G9615=1,"-",Tabela2[[#This Row],[Dt Venc:]]-TODAY())</f>
        <v>1195</v>
      </c>
      <c r="G9615" s="3"/>
      <c r="H9615" s="3"/>
    </row>
    <row r="9616" spans="1:8">
      <c r="A9616" s="3">
        <v>369696</v>
      </c>
      <c r="B9616" s="7" t="s">
        <v>543</v>
      </c>
      <c r="C9616" s="87" t="s">
        <v>32</v>
      </c>
      <c r="D9616" s="6">
        <v>46888</v>
      </c>
      <c r="E9616" s="3" t="str">
        <f ca="1">IF(Tabela2[[#This Row],[Dt Venc:]]&gt;TODAY(),"Em Aberto",IF(Tabela2[[#This Row],[D/venc]]="-","Enviado",IF(Tabela2[[#This Row],[Dt Venc:]]=TODAY(),"Vence Hoje","Vencida")))</f>
        <v>Em Aberto</v>
      </c>
      <c r="F9616" s="3">
        <f ca="1">IF(G9616=1,"-",Tabela2[[#This Row],[Dt Venc:]]-TODAY())</f>
        <v>1195</v>
      </c>
      <c r="G9616" s="3"/>
      <c r="H9616" s="3"/>
    </row>
    <row r="9617" spans="1:8">
      <c r="A9617" s="3">
        <v>369726</v>
      </c>
      <c r="B9617" s="7" t="s">
        <v>543</v>
      </c>
      <c r="C9617" s="87" t="s">
        <v>32</v>
      </c>
      <c r="D9617" s="6">
        <v>46888</v>
      </c>
      <c r="E9617" s="3" t="str">
        <f ca="1">IF(Tabela2[[#This Row],[Dt Venc:]]&gt;TODAY(),"Em Aberto",IF(Tabela2[[#This Row],[D/venc]]="-","Enviado",IF(Tabela2[[#This Row],[Dt Venc:]]=TODAY(),"Vence Hoje","Vencida")))</f>
        <v>Em Aberto</v>
      </c>
      <c r="F9617" s="3">
        <f ca="1">IF(G9617=1,"-",Tabela2[[#This Row],[Dt Venc:]]-TODAY())</f>
        <v>1195</v>
      </c>
      <c r="G9617" s="3"/>
      <c r="H9617" s="3"/>
    </row>
    <row r="9618" spans="1:8">
      <c r="A9618" s="3">
        <v>369751</v>
      </c>
      <c r="B9618" s="7" t="s">
        <v>543</v>
      </c>
      <c r="C9618" s="87" t="s">
        <v>32</v>
      </c>
      <c r="D9618" s="6">
        <v>46888</v>
      </c>
      <c r="E9618" s="3" t="str">
        <f ca="1">IF(Tabela2[[#This Row],[Dt Venc:]]&gt;TODAY(),"Em Aberto",IF(Tabela2[[#This Row],[D/venc]]="-","Enviado",IF(Tabela2[[#This Row],[Dt Venc:]]=TODAY(),"Vence Hoje","Vencida")))</f>
        <v>Em Aberto</v>
      </c>
      <c r="F9618" s="3">
        <f ca="1">IF(G9618=1,"-",Tabela2[[#This Row],[Dt Venc:]]-TODAY())</f>
        <v>1195</v>
      </c>
      <c r="G9618" s="3"/>
      <c r="H9618" s="3"/>
    </row>
    <row r="9619" spans="1:8">
      <c r="A9619" s="3">
        <v>370201</v>
      </c>
      <c r="B9619" s="7" t="s">
        <v>543</v>
      </c>
      <c r="C9619" s="87" t="s">
        <v>32</v>
      </c>
      <c r="D9619" s="6">
        <v>46888</v>
      </c>
      <c r="E9619" s="3" t="str">
        <f ca="1">IF(Tabela2[[#This Row],[Dt Venc:]]&gt;TODAY(),"Em Aberto",IF(Tabela2[[#This Row],[D/venc]]="-","Enviado",IF(Tabela2[[#This Row],[Dt Venc:]]=TODAY(),"Vence Hoje","Vencida")))</f>
        <v>Em Aberto</v>
      </c>
      <c r="F9619" s="3">
        <f ca="1">IF(G9619=1,"-",Tabela2[[#This Row],[Dt Venc:]]-TODAY())</f>
        <v>1195</v>
      </c>
      <c r="G9619" s="3"/>
      <c r="H9619" s="3"/>
    </row>
    <row r="9620" spans="1:8">
      <c r="A9620" s="3">
        <v>370864</v>
      </c>
      <c r="B9620" s="7" t="s">
        <v>543</v>
      </c>
      <c r="C9620" s="87" t="s">
        <v>32</v>
      </c>
      <c r="D9620" s="6">
        <v>46888</v>
      </c>
      <c r="E9620" s="3" t="str">
        <f ca="1">IF(Tabela2[[#This Row],[Dt Venc:]]&gt;TODAY(),"Em Aberto",IF(Tabela2[[#This Row],[D/venc]]="-","Enviado",IF(Tabela2[[#This Row],[Dt Venc:]]=TODAY(),"Vence Hoje","Vencida")))</f>
        <v>Em Aberto</v>
      </c>
      <c r="F9620" s="3">
        <f ca="1">IF(G9620=1,"-",Tabela2[[#This Row],[Dt Venc:]]-TODAY())</f>
        <v>1195</v>
      </c>
      <c r="G9620" s="3"/>
      <c r="H9620" s="3"/>
    </row>
    <row r="9621" spans="1:8">
      <c r="A9621" s="3">
        <v>371011</v>
      </c>
      <c r="B9621" s="7" t="s">
        <v>633</v>
      </c>
      <c r="C9621" s="87" t="s">
        <v>32</v>
      </c>
      <c r="D9621" s="6">
        <v>46888</v>
      </c>
      <c r="E9621" s="3" t="str">
        <f ca="1">IF(Tabela2[[#This Row],[Dt Venc:]]&gt;TODAY(),"Em Aberto",IF(Tabela2[[#This Row],[D/venc]]="-","Enviado",IF(Tabela2[[#This Row],[Dt Venc:]]=TODAY(),"Vence Hoje","Vencida")))</f>
        <v>Em Aberto</v>
      </c>
      <c r="F9621" s="3">
        <f ca="1">IF(G9621=1,"-",Tabela2[[#This Row],[Dt Venc:]]-TODAY())</f>
        <v>1195</v>
      </c>
      <c r="G9621" s="3"/>
      <c r="H9621" s="3"/>
    </row>
    <row r="9622" spans="1:8">
      <c r="A9622" s="3">
        <v>371160</v>
      </c>
      <c r="B9622" s="7" t="s">
        <v>633</v>
      </c>
      <c r="C9622" s="87" t="s">
        <v>32</v>
      </c>
      <c r="D9622" s="6">
        <v>46888</v>
      </c>
      <c r="E9622" s="3" t="str">
        <f ca="1">IF(Tabela2[[#This Row],[Dt Venc:]]&gt;TODAY(),"Em Aberto",IF(Tabela2[[#This Row],[D/venc]]="-","Enviado",IF(Tabela2[[#This Row],[Dt Venc:]]=TODAY(),"Vence Hoje","Vencida")))</f>
        <v>Em Aberto</v>
      </c>
      <c r="F9622" s="3">
        <f ca="1">IF(G9622=1,"-",Tabela2[[#This Row],[Dt Venc:]]-TODAY())</f>
        <v>1195</v>
      </c>
      <c r="G9622" s="3"/>
      <c r="H9622" s="3"/>
    </row>
    <row r="9623" spans="1:8">
      <c r="A9623" s="3">
        <v>892178</v>
      </c>
      <c r="B9623" s="7" t="s">
        <v>253</v>
      </c>
      <c r="C9623" s="100" t="s">
        <v>32</v>
      </c>
      <c r="D9623" s="6">
        <v>46888</v>
      </c>
      <c r="E9623" s="3" t="str">
        <f ca="1">IF(Tabela2[[#This Row],[Dt Venc:]]&gt;TODAY(),"Em Aberto",IF(Tabela2[[#This Row],[D/venc]]="-","Enviado",IF(Tabela2[[#This Row],[Dt Venc:]]=TODAY(),"Vence Hoje","Vencida")))</f>
        <v>Em Aberto</v>
      </c>
      <c r="F9623" s="3">
        <f ca="1">IF(G9623=1,"-",Tabela2[[#This Row],[Dt Venc:]]-TODAY())</f>
        <v>1195</v>
      </c>
      <c r="G9623" s="3"/>
      <c r="H9623" s="3"/>
    </row>
    <row r="9624" spans="1:8">
      <c r="A9624" s="3">
        <v>894135</v>
      </c>
      <c r="B9624" s="7" t="s">
        <v>253</v>
      </c>
      <c r="C9624" s="100" t="s">
        <v>32</v>
      </c>
      <c r="D9624" s="6">
        <v>46888</v>
      </c>
      <c r="E9624" s="3" t="str">
        <f ca="1">IF(Tabela2[[#This Row],[Dt Venc:]]&gt;TODAY(),"Em Aberto",IF(Tabela2[[#This Row],[D/venc]]="-","Enviado",IF(Tabela2[[#This Row],[Dt Venc:]]=TODAY(),"Vence Hoje","Vencida")))</f>
        <v>Em Aberto</v>
      </c>
      <c r="F9624" s="3">
        <f ca="1">IF(G9624=1,"-",Tabela2[[#This Row],[Dt Venc:]]-TODAY())</f>
        <v>1195</v>
      </c>
      <c r="G9624" s="3"/>
      <c r="H9624" s="3"/>
    </row>
    <row r="9625" spans="1:8">
      <c r="A9625" s="3">
        <v>896565</v>
      </c>
      <c r="B9625" s="7" t="s">
        <v>253</v>
      </c>
      <c r="C9625" s="100" t="s">
        <v>32</v>
      </c>
      <c r="D9625" s="6">
        <v>46888</v>
      </c>
      <c r="E9625" s="3" t="str">
        <f ca="1">IF(Tabela2[[#This Row],[Dt Venc:]]&gt;TODAY(),"Em Aberto",IF(Tabela2[[#This Row],[D/venc]]="-","Enviado",IF(Tabela2[[#This Row],[Dt Venc:]]=TODAY(),"Vence Hoje","Vencida")))</f>
        <v>Em Aberto</v>
      </c>
      <c r="F9625" s="3">
        <f ca="1">IF(G9625=1,"-",Tabela2[[#This Row],[Dt Venc:]]-TODAY())</f>
        <v>1195</v>
      </c>
      <c r="G9625" s="3"/>
      <c r="H9625" s="3"/>
    </row>
    <row r="9626" spans="1:8">
      <c r="A9626" s="3">
        <v>900386</v>
      </c>
      <c r="B9626" s="7" t="s">
        <v>253</v>
      </c>
      <c r="C9626" s="100" t="s">
        <v>32</v>
      </c>
      <c r="D9626" s="6">
        <v>46888</v>
      </c>
      <c r="E9626" s="3" t="str">
        <f ca="1">IF(Tabela2[[#This Row],[Dt Venc:]]&gt;TODAY(),"Em Aberto",IF(Tabela2[[#This Row],[D/venc]]="-","Enviado",IF(Tabela2[[#This Row],[Dt Venc:]]=TODAY(),"Vence Hoje","Vencida")))</f>
        <v>Em Aberto</v>
      </c>
      <c r="F9626" s="3">
        <f ca="1">IF(G9626=1,"-",Tabela2[[#This Row],[Dt Venc:]]-TODAY())</f>
        <v>1195</v>
      </c>
      <c r="G9626" s="3"/>
      <c r="H9626" s="3"/>
    </row>
    <row r="9627" spans="1:8">
      <c r="A9627" s="3">
        <v>901787</v>
      </c>
      <c r="B9627" s="7" t="s">
        <v>253</v>
      </c>
      <c r="C9627" s="99" t="s">
        <v>32</v>
      </c>
      <c r="D9627" s="6">
        <v>46888</v>
      </c>
      <c r="E9627" s="3" t="str">
        <f ca="1">IF(Tabela2[[#This Row],[Dt Venc:]]&gt;TODAY(),"Em Aberto",IF(Tabela2[[#This Row],[D/venc]]="-","Enviado",IF(Tabela2[[#This Row],[Dt Venc:]]=TODAY(),"Vence Hoje","Vencida")))</f>
        <v>Em Aberto</v>
      </c>
      <c r="F9627" s="3">
        <f ca="1">IF(G9627=1,"-",Tabela2[[#This Row],[Dt Venc:]]-TODAY())</f>
        <v>1195</v>
      </c>
      <c r="G9627" s="3"/>
      <c r="H9627" s="3"/>
    </row>
    <row r="9628" spans="1:8">
      <c r="A9628" s="3">
        <v>901788</v>
      </c>
      <c r="B9628" s="7" t="s">
        <v>253</v>
      </c>
      <c r="C9628" s="100" t="s">
        <v>32</v>
      </c>
      <c r="D9628" s="6">
        <v>46888</v>
      </c>
      <c r="E9628" s="3" t="str">
        <f ca="1">IF(Tabela2[[#This Row],[Dt Venc:]]&gt;TODAY(),"Em Aberto",IF(Tabela2[[#This Row],[D/venc]]="-","Enviado",IF(Tabela2[[#This Row],[Dt Venc:]]=TODAY(),"Vence Hoje","Vencida")))</f>
        <v>Em Aberto</v>
      </c>
      <c r="F9628" s="3">
        <f ca="1">IF(G9628=1,"-",Tabela2[[#This Row],[Dt Venc:]]-TODAY())</f>
        <v>1195</v>
      </c>
      <c r="G9628" s="3"/>
      <c r="H9628" s="3"/>
    </row>
    <row r="9629" spans="1:8">
      <c r="A9629" s="3">
        <v>901789</v>
      </c>
      <c r="B9629" s="7" t="s">
        <v>253</v>
      </c>
      <c r="C9629" s="100" t="s">
        <v>32</v>
      </c>
      <c r="D9629" s="6">
        <v>46888</v>
      </c>
      <c r="E9629" s="3" t="str">
        <f ca="1">IF(Tabela2[[#This Row],[Dt Venc:]]&gt;TODAY(),"Em Aberto",IF(Tabela2[[#This Row],[D/venc]]="-","Enviado",IF(Tabela2[[#This Row],[Dt Venc:]]=TODAY(),"Vence Hoje","Vencida")))</f>
        <v>Em Aberto</v>
      </c>
      <c r="F9629" s="3">
        <f ca="1">IF(G9629=1,"-",Tabela2[[#This Row],[Dt Venc:]]-TODAY())</f>
        <v>1195</v>
      </c>
      <c r="G9629" s="3"/>
      <c r="H9629" s="3"/>
    </row>
    <row r="9630" spans="1:8">
      <c r="A9630" s="3">
        <v>912703</v>
      </c>
      <c r="B9630" s="7" t="s">
        <v>253</v>
      </c>
      <c r="C9630" s="100" t="s">
        <v>32</v>
      </c>
      <c r="D9630" s="6">
        <v>46888</v>
      </c>
      <c r="E9630" s="3" t="str">
        <f ca="1">IF(Tabela2[[#This Row],[Dt Venc:]]&gt;TODAY(),"Em Aberto",IF(Tabela2[[#This Row],[D/venc]]="-","Enviado",IF(Tabela2[[#This Row],[Dt Venc:]]=TODAY(),"Vence Hoje","Vencida")))</f>
        <v>Em Aberto</v>
      </c>
      <c r="F9630" s="3">
        <f ca="1">IF(G9630=1,"-",Tabela2[[#This Row],[Dt Venc:]]-TODAY())</f>
        <v>1195</v>
      </c>
      <c r="G9630" s="3"/>
      <c r="H9630" s="3"/>
    </row>
    <row r="9631" spans="1:8">
      <c r="A9631" s="3">
        <v>912704</v>
      </c>
      <c r="B9631" s="7" t="s">
        <v>253</v>
      </c>
      <c r="C9631" s="100" t="s">
        <v>32</v>
      </c>
      <c r="D9631" s="6">
        <v>46888</v>
      </c>
      <c r="E9631" s="3" t="str">
        <f ca="1">IF(Tabela2[[#This Row],[Dt Venc:]]&gt;TODAY(),"Em Aberto",IF(Tabela2[[#This Row],[D/venc]]="-","Enviado",IF(Tabela2[[#This Row],[Dt Venc:]]=TODAY(),"Vence Hoje","Vencida")))</f>
        <v>Em Aberto</v>
      </c>
      <c r="F9631" s="3">
        <f ca="1">IF(G9631=1,"-",Tabela2[[#This Row],[Dt Venc:]]-TODAY())</f>
        <v>1195</v>
      </c>
      <c r="G9631" s="3"/>
      <c r="H9631" s="3"/>
    </row>
    <row r="9632" spans="1:8">
      <c r="A9632" s="3">
        <v>919728</v>
      </c>
      <c r="B9632" s="7" t="s">
        <v>253</v>
      </c>
      <c r="C9632" s="87" t="s">
        <v>32</v>
      </c>
      <c r="D9632" s="6">
        <v>46888</v>
      </c>
      <c r="E9632" s="3" t="str">
        <f ca="1">IF(Tabela2[[#This Row],[Dt Venc:]]&gt;TODAY(),"Em Aberto",IF(Tabela2[[#This Row],[D/venc]]="-","Enviado",IF(Tabela2[[#This Row],[Dt Venc:]]=TODAY(),"Vence Hoje","Vencida")))</f>
        <v>Em Aberto</v>
      </c>
      <c r="F9632" s="3">
        <f ca="1">IF(G9632=1,"-",Tabela2[[#This Row],[Dt Venc:]]-TODAY())</f>
        <v>1195</v>
      </c>
      <c r="G9632" s="3"/>
      <c r="H9632" s="3"/>
    </row>
    <row r="9633" spans="1:8">
      <c r="A9633" s="3">
        <v>919729</v>
      </c>
      <c r="B9633" s="7" t="s">
        <v>253</v>
      </c>
      <c r="C9633" s="87" t="s">
        <v>32</v>
      </c>
      <c r="D9633" s="6">
        <v>46888</v>
      </c>
      <c r="E9633" s="3" t="str">
        <f ca="1">IF(Tabela2[[#This Row],[Dt Venc:]]&gt;TODAY(),"Em Aberto",IF(Tabela2[[#This Row],[D/venc]]="-","Enviado",IF(Tabela2[[#This Row],[Dt Venc:]]=TODAY(),"Vence Hoje","Vencida")))</f>
        <v>Em Aberto</v>
      </c>
      <c r="F9633" s="3">
        <f ca="1">IF(G9633=1,"-",Tabela2[[#This Row],[Dt Venc:]]-TODAY())</f>
        <v>1195</v>
      </c>
      <c r="G9633" s="3"/>
      <c r="H9633" s="3"/>
    </row>
    <row r="9634" spans="1:8">
      <c r="A9634" s="3">
        <v>495914</v>
      </c>
      <c r="B9634" s="7" t="s">
        <v>153</v>
      </c>
      <c r="C9634" s="99" t="s">
        <v>32</v>
      </c>
      <c r="D9634" s="6">
        <v>46898</v>
      </c>
      <c r="E9634" s="3" t="str">
        <f ca="1">IF(Tabela2[[#This Row],[Dt Venc:]]&gt;TODAY(),"Em Aberto",IF(Tabela2[[#This Row],[D/venc]]="-","Enviado",IF(Tabela2[[#This Row],[Dt Venc:]]=TODAY(),"Vence Hoje","Vencida")))</f>
        <v>Em Aberto</v>
      </c>
      <c r="F9634" s="3">
        <f ca="1">IF(G9634=1,"-",Tabela2[[#This Row],[Dt Venc:]]-TODAY())</f>
        <v>1205</v>
      </c>
      <c r="G9634" s="3"/>
      <c r="H9634" s="3"/>
    </row>
    <row r="9635" spans="1:8">
      <c r="A9635" s="3">
        <v>11681</v>
      </c>
      <c r="B9635" s="7" t="s">
        <v>82</v>
      </c>
      <c r="C9635" s="87" t="s">
        <v>30</v>
      </c>
      <c r="D9635" s="6">
        <v>46904</v>
      </c>
      <c r="E9635" s="3" t="str">
        <f ca="1">IF(Tabela2[[#This Row],[Dt Venc:]]&gt;TODAY(),"Em Aberto",IF(Tabela2[[#This Row],[D/venc]]="-","Enviado",IF(Tabela2[[#This Row],[Dt Venc:]]=TODAY(),"Vence Hoje","Vencida")))</f>
        <v>Em Aberto</v>
      </c>
      <c r="F9635" s="3">
        <f ca="1">IF(G9635=1,"-",Tabela2[[#This Row],[Dt Venc:]]-TODAY())</f>
        <v>1211</v>
      </c>
      <c r="G9635" s="3"/>
      <c r="H9635" s="3"/>
    </row>
    <row r="9636" spans="1:8">
      <c r="A9636" s="3">
        <v>284620</v>
      </c>
      <c r="B9636" s="7" t="s">
        <v>153</v>
      </c>
      <c r="C9636" s="99" t="s">
        <v>32</v>
      </c>
      <c r="D9636" s="6">
        <v>46912</v>
      </c>
      <c r="E9636" s="3" t="str">
        <f ca="1">IF(Tabela2[[#This Row],[Dt Venc:]]&gt;TODAY(),"Em Aberto",IF(Tabela2[[#This Row],[D/venc]]="-","Enviado",IF(Tabela2[[#This Row],[Dt Venc:]]=TODAY(),"Vence Hoje","Vencida")))</f>
        <v>Em Aberto</v>
      </c>
      <c r="F9636" s="3">
        <f ca="1">IF(G9636=1,"-",Tabela2[[#This Row],[Dt Venc:]]-TODAY())</f>
        <v>1219</v>
      </c>
      <c r="G9636" s="3"/>
      <c r="H9636" s="3"/>
    </row>
    <row r="9637" spans="1:8">
      <c r="A9637" s="3">
        <v>562</v>
      </c>
      <c r="B9637" s="7" t="s">
        <v>251</v>
      </c>
      <c r="C9637" s="99" t="s">
        <v>32</v>
      </c>
      <c r="D9637" s="6">
        <v>46919</v>
      </c>
      <c r="E9637" s="3" t="str">
        <f ca="1">IF(Tabela2[[#This Row],[Dt Venc:]]&gt;TODAY(),"Em Aberto",IF(Tabela2[[#This Row],[D/venc]]="-","Enviado",IF(Tabela2[[#This Row],[Dt Venc:]]=TODAY(),"Vence Hoje","Vencida")))</f>
        <v>Em Aberto</v>
      </c>
      <c r="F9637" s="3">
        <f ca="1">IF(G9637=1,"-",Tabela2[[#This Row],[Dt Venc:]]-TODAY())</f>
        <v>1226</v>
      </c>
      <c r="G9637" s="3"/>
      <c r="H9637" s="3"/>
    </row>
    <row r="9638" spans="1:8">
      <c r="A9638" s="3">
        <v>106043</v>
      </c>
      <c r="B9638" s="7" t="s">
        <v>252</v>
      </c>
      <c r="C9638" s="99" t="s">
        <v>32</v>
      </c>
      <c r="D9638" s="6">
        <v>46919</v>
      </c>
      <c r="E9638" s="3" t="str">
        <f ca="1">IF(Tabela2[[#This Row],[Dt Venc:]]&gt;TODAY(),"Em Aberto",IF(Tabela2[[#This Row],[D/venc]]="-","Enviado",IF(Tabela2[[#This Row],[Dt Venc:]]=TODAY(),"Vence Hoje","Vencida")))</f>
        <v>Em Aberto</v>
      </c>
      <c r="F9638" s="3">
        <f ca="1">IF(G9638=1,"-",Tabela2[[#This Row],[Dt Venc:]]-TODAY())</f>
        <v>1226</v>
      </c>
      <c r="G9638" s="3"/>
      <c r="H9638" s="3"/>
    </row>
    <row r="9639" spans="1:8">
      <c r="A9639" s="3">
        <v>107830</v>
      </c>
      <c r="B9639" s="7" t="s">
        <v>252</v>
      </c>
      <c r="C9639" s="85" t="s">
        <v>32</v>
      </c>
      <c r="D9639" s="6">
        <v>46919</v>
      </c>
      <c r="E9639" s="3" t="str">
        <f ca="1">IF(Tabela2[[#This Row],[Dt Venc:]]&gt;TODAY(),"Em Aberto",IF(Tabela2[[#This Row],[D/venc]]="-","Enviado",IF(Tabela2[[#This Row],[Dt Venc:]]=TODAY(),"Vence Hoje","Vencida")))</f>
        <v>Em Aberto</v>
      </c>
      <c r="F9639" s="3">
        <f ca="1">IF(G9639=1,"-",Tabela2[[#This Row],[Dt Venc:]]-TODAY())</f>
        <v>1226</v>
      </c>
      <c r="G9639" s="3"/>
      <c r="H9639" s="3"/>
    </row>
    <row r="9640" spans="1:8">
      <c r="A9640" s="3">
        <v>107831</v>
      </c>
      <c r="B9640" s="7" t="s">
        <v>252</v>
      </c>
      <c r="C9640" s="99" t="s">
        <v>32</v>
      </c>
      <c r="D9640" s="6">
        <v>46919</v>
      </c>
      <c r="E9640" s="3" t="str">
        <f ca="1">IF(Tabela2[[#This Row],[Dt Venc:]]&gt;TODAY(),"Em Aberto",IF(Tabela2[[#This Row],[D/venc]]="-","Enviado",IF(Tabela2[[#This Row],[Dt Venc:]]=TODAY(),"Vence Hoje","Vencida")))</f>
        <v>Em Aberto</v>
      </c>
      <c r="F9640" s="3">
        <f ca="1">IF(G9640=1,"-",Tabela2[[#This Row],[Dt Venc:]]-TODAY())</f>
        <v>1226</v>
      </c>
      <c r="G9640" s="3"/>
      <c r="H9640" s="3"/>
    </row>
    <row r="9641" spans="1:8">
      <c r="A9641" s="3">
        <v>107832</v>
      </c>
      <c r="B9641" s="7" t="s">
        <v>252</v>
      </c>
      <c r="C9641" s="99" t="s">
        <v>32</v>
      </c>
      <c r="D9641" s="6">
        <v>46919</v>
      </c>
      <c r="E9641" s="3" t="str">
        <f ca="1">IF(Tabela2[[#This Row],[Dt Venc:]]&gt;TODAY(),"Em Aberto",IF(Tabela2[[#This Row],[D/venc]]="-","Enviado",IF(Tabela2[[#This Row],[Dt Venc:]]=TODAY(),"Vence Hoje","Vencida")))</f>
        <v>Em Aberto</v>
      </c>
      <c r="F9641" s="3">
        <f ca="1">IF(G9641=1,"-",Tabela2[[#This Row],[Dt Venc:]]-TODAY())</f>
        <v>1226</v>
      </c>
      <c r="G9641" s="3"/>
      <c r="H9641" s="3"/>
    </row>
    <row r="9642" spans="1:8">
      <c r="A9642" s="3">
        <v>361229</v>
      </c>
      <c r="B9642" s="7" t="s">
        <v>250</v>
      </c>
      <c r="C9642" s="99" t="s">
        <v>32</v>
      </c>
      <c r="D9642" s="6">
        <v>46919</v>
      </c>
      <c r="E9642" s="3" t="str">
        <f ca="1">IF(Tabela2[[#This Row],[Dt Venc:]]&gt;TODAY(),"Em Aberto",IF(Tabela2[[#This Row],[D/venc]]="-","Enviado",IF(Tabela2[[#This Row],[Dt Venc:]]=TODAY(),"Vence Hoje","Vencida")))</f>
        <v>Em Aberto</v>
      </c>
      <c r="F9642" s="3">
        <f ca="1">IF(G9642=1,"-",Tabela2[[#This Row],[Dt Venc:]]-TODAY())</f>
        <v>1226</v>
      </c>
      <c r="G9642" s="3"/>
      <c r="H9642" s="3"/>
    </row>
    <row r="9643" spans="1:8">
      <c r="A9643" s="3">
        <v>361237</v>
      </c>
      <c r="B9643" s="7" t="s">
        <v>250</v>
      </c>
      <c r="C9643" s="99" t="s">
        <v>32</v>
      </c>
      <c r="D9643" s="6">
        <v>46919</v>
      </c>
      <c r="E9643" s="3" t="str">
        <f ca="1">IF(Tabela2[[#This Row],[Dt Venc:]]&gt;TODAY(),"Em Aberto",IF(Tabela2[[#This Row],[D/venc]]="-","Enviado",IF(Tabela2[[#This Row],[Dt Venc:]]=TODAY(),"Vence Hoje","Vencida")))</f>
        <v>Em Aberto</v>
      </c>
      <c r="F9643" s="3">
        <f ca="1">IF(G9643=1,"-",Tabela2[[#This Row],[Dt Venc:]]-TODAY())</f>
        <v>1226</v>
      </c>
      <c r="G9643" s="3"/>
      <c r="H9643" s="3"/>
    </row>
    <row r="9644" spans="1:8">
      <c r="A9644" s="3">
        <v>365658</v>
      </c>
      <c r="B9644" s="7" t="s">
        <v>250</v>
      </c>
      <c r="C9644" s="99" t="s">
        <v>32</v>
      </c>
      <c r="D9644" s="6">
        <v>46919</v>
      </c>
      <c r="E9644" s="3" t="str">
        <f ca="1">IF(Tabela2[[#This Row],[Dt Venc:]]&gt;TODAY(),"Em Aberto",IF(Tabela2[[#This Row],[D/venc]]="-","Enviado",IF(Tabela2[[#This Row],[Dt Venc:]]=TODAY(),"Vence Hoje","Vencida")))</f>
        <v>Em Aberto</v>
      </c>
      <c r="F9644" s="3">
        <f ca="1">IF(G9644=1,"-",Tabela2[[#This Row],[Dt Venc:]]-TODAY())</f>
        <v>1226</v>
      </c>
      <c r="G9644" s="3"/>
      <c r="H9644" s="3"/>
    </row>
    <row r="9645" spans="1:8">
      <c r="A9645" s="3">
        <v>365666</v>
      </c>
      <c r="B9645" s="7" t="s">
        <v>250</v>
      </c>
      <c r="C9645" s="99" t="s">
        <v>32</v>
      </c>
      <c r="D9645" s="6">
        <v>46919</v>
      </c>
      <c r="E9645" s="3" t="str">
        <f ca="1">IF(Tabela2[[#This Row],[Dt Venc:]]&gt;TODAY(),"Em Aberto",IF(Tabela2[[#This Row],[D/venc]]="-","Enviado",IF(Tabela2[[#This Row],[Dt Venc:]]=TODAY(),"Vence Hoje","Vencida")))</f>
        <v>Em Aberto</v>
      </c>
      <c r="F9645" s="3">
        <f ca="1">IF(G9645=1,"-",Tabela2[[#This Row],[Dt Venc:]]-TODAY())</f>
        <v>1226</v>
      </c>
      <c r="G9645" s="3"/>
      <c r="H9645" s="3"/>
    </row>
    <row r="9646" spans="1:8">
      <c r="A9646" s="3">
        <v>365674</v>
      </c>
      <c r="B9646" s="7" t="s">
        <v>250</v>
      </c>
      <c r="C9646" s="99" t="s">
        <v>32</v>
      </c>
      <c r="D9646" s="6">
        <v>46919</v>
      </c>
      <c r="E9646" s="3" t="str">
        <f ca="1">IF(Tabela2[[#This Row],[Dt Venc:]]&gt;TODAY(),"Em Aberto",IF(Tabela2[[#This Row],[D/venc]]="-","Enviado",IF(Tabela2[[#This Row],[Dt Venc:]]=TODAY(),"Vence Hoje","Vencida")))</f>
        <v>Em Aberto</v>
      </c>
      <c r="F9646" s="3">
        <f ca="1">IF(G9646=1,"-",Tabela2[[#This Row],[Dt Venc:]]-TODAY())</f>
        <v>1226</v>
      </c>
      <c r="G9646" s="3"/>
      <c r="H9646" s="3"/>
    </row>
    <row r="9647" spans="1:8">
      <c r="A9647" s="3">
        <v>365682</v>
      </c>
      <c r="B9647" s="7" t="s">
        <v>250</v>
      </c>
      <c r="C9647" s="99" t="s">
        <v>32</v>
      </c>
      <c r="D9647" s="6">
        <v>46919</v>
      </c>
      <c r="E9647" s="3" t="str">
        <f ca="1">IF(Tabela2[[#This Row],[Dt Venc:]]&gt;TODAY(),"Em Aberto",IF(Tabela2[[#This Row],[D/venc]]="-","Enviado",IF(Tabela2[[#This Row],[Dt Venc:]]=TODAY(),"Vence Hoje","Vencida")))</f>
        <v>Em Aberto</v>
      </c>
      <c r="F9647" s="3">
        <f ca="1">IF(G9647=1,"-",Tabela2[[#This Row],[Dt Venc:]]-TODAY())</f>
        <v>1226</v>
      </c>
      <c r="G9647" s="3"/>
      <c r="H9647" s="3"/>
    </row>
    <row r="9648" spans="1:8">
      <c r="A9648" s="3">
        <v>369335</v>
      </c>
      <c r="B9648" s="7" t="s">
        <v>543</v>
      </c>
      <c r="C9648" s="87" t="s">
        <v>32</v>
      </c>
      <c r="D9648" s="6">
        <v>46919</v>
      </c>
      <c r="E9648" s="3" t="str">
        <f ca="1">IF(Tabela2[[#This Row],[Dt Venc:]]&gt;TODAY(),"Em Aberto",IF(Tabela2[[#This Row],[D/venc]]="-","Enviado",IF(Tabela2[[#This Row],[Dt Venc:]]=TODAY(),"Vence Hoje","Vencida")))</f>
        <v>Em Aberto</v>
      </c>
      <c r="F9648" s="3">
        <f ca="1">IF(G9648=1,"-",Tabela2[[#This Row],[Dt Venc:]]-TODAY())</f>
        <v>1226</v>
      </c>
      <c r="G9648" s="3"/>
      <c r="H9648" s="3"/>
    </row>
    <row r="9649" spans="1:8">
      <c r="A9649" s="3">
        <v>369696</v>
      </c>
      <c r="B9649" s="7" t="s">
        <v>543</v>
      </c>
      <c r="C9649" s="87" t="s">
        <v>32</v>
      </c>
      <c r="D9649" s="6">
        <v>46919</v>
      </c>
      <c r="E9649" s="3" t="str">
        <f ca="1">IF(Tabela2[[#This Row],[Dt Venc:]]&gt;TODAY(),"Em Aberto",IF(Tabela2[[#This Row],[D/venc]]="-","Enviado",IF(Tabela2[[#This Row],[Dt Venc:]]=TODAY(),"Vence Hoje","Vencida")))</f>
        <v>Em Aberto</v>
      </c>
      <c r="F9649" s="3">
        <f ca="1">IF(G9649=1,"-",Tabela2[[#This Row],[Dt Venc:]]-TODAY())</f>
        <v>1226</v>
      </c>
      <c r="G9649" s="3"/>
      <c r="H9649" s="3"/>
    </row>
    <row r="9650" spans="1:8">
      <c r="A9650" s="3">
        <v>369726</v>
      </c>
      <c r="B9650" s="7" t="s">
        <v>543</v>
      </c>
      <c r="C9650" s="87" t="s">
        <v>32</v>
      </c>
      <c r="D9650" s="6">
        <v>46919</v>
      </c>
      <c r="E9650" s="3" t="str">
        <f ca="1">IF(Tabela2[[#This Row],[Dt Venc:]]&gt;TODAY(),"Em Aberto",IF(Tabela2[[#This Row],[D/venc]]="-","Enviado",IF(Tabela2[[#This Row],[Dt Venc:]]=TODAY(),"Vence Hoje","Vencida")))</f>
        <v>Em Aberto</v>
      </c>
      <c r="F9650" s="3">
        <f ca="1">IF(G9650=1,"-",Tabela2[[#This Row],[Dt Venc:]]-TODAY())</f>
        <v>1226</v>
      </c>
      <c r="G9650" s="3"/>
      <c r="H9650" s="3"/>
    </row>
    <row r="9651" spans="1:8">
      <c r="A9651" s="3">
        <v>369751</v>
      </c>
      <c r="B9651" s="7" t="s">
        <v>543</v>
      </c>
      <c r="C9651" s="87" t="s">
        <v>32</v>
      </c>
      <c r="D9651" s="6">
        <v>46919</v>
      </c>
      <c r="E9651" s="3" t="str">
        <f ca="1">IF(Tabela2[[#This Row],[Dt Venc:]]&gt;TODAY(),"Em Aberto",IF(Tabela2[[#This Row],[D/venc]]="-","Enviado",IF(Tabela2[[#This Row],[Dt Venc:]]=TODAY(),"Vence Hoje","Vencida")))</f>
        <v>Em Aberto</v>
      </c>
      <c r="F9651" s="3">
        <f ca="1">IF(G9651=1,"-",Tabela2[[#This Row],[Dt Venc:]]-TODAY())</f>
        <v>1226</v>
      </c>
      <c r="G9651" s="3"/>
      <c r="H9651" s="3"/>
    </row>
    <row r="9652" spans="1:8">
      <c r="A9652" s="3">
        <v>370201</v>
      </c>
      <c r="B9652" s="7" t="s">
        <v>543</v>
      </c>
      <c r="C9652" s="87" t="s">
        <v>32</v>
      </c>
      <c r="D9652" s="6">
        <v>46919</v>
      </c>
      <c r="E9652" s="3" t="str">
        <f ca="1">IF(Tabela2[[#This Row],[Dt Venc:]]&gt;TODAY(),"Em Aberto",IF(Tabela2[[#This Row],[D/venc]]="-","Enviado",IF(Tabela2[[#This Row],[Dt Venc:]]=TODAY(),"Vence Hoje","Vencida")))</f>
        <v>Em Aberto</v>
      </c>
      <c r="F9652" s="3">
        <f ca="1">IF(G9652=1,"-",Tabela2[[#This Row],[Dt Venc:]]-TODAY())</f>
        <v>1226</v>
      </c>
      <c r="G9652" s="3"/>
      <c r="H9652" s="3"/>
    </row>
    <row r="9653" spans="1:8">
      <c r="A9653" s="3">
        <v>370864</v>
      </c>
      <c r="B9653" s="7" t="s">
        <v>543</v>
      </c>
      <c r="C9653" s="87" t="s">
        <v>32</v>
      </c>
      <c r="D9653" s="6">
        <v>46919</v>
      </c>
      <c r="E9653" s="3" t="str">
        <f ca="1">IF(Tabela2[[#This Row],[Dt Venc:]]&gt;TODAY(),"Em Aberto",IF(Tabela2[[#This Row],[D/venc]]="-","Enviado",IF(Tabela2[[#This Row],[Dt Venc:]]=TODAY(),"Vence Hoje","Vencida")))</f>
        <v>Em Aberto</v>
      </c>
      <c r="F9653" s="3">
        <f ca="1">IF(G9653=1,"-",Tabela2[[#This Row],[Dt Venc:]]-TODAY())</f>
        <v>1226</v>
      </c>
      <c r="G9653" s="3"/>
      <c r="H9653" s="3"/>
    </row>
    <row r="9654" spans="1:8">
      <c r="A9654" s="3">
        <v>371011</v>
      </c>
      <c r="B9654" s="7" t="s">
        <v>633</v>
      </c>
      <c r="C9654" s="87" t="s">
        <v>32</v>
      </c>
      <c r="D9654" s="6">
        <v>46919</v>
      </c>
      <c r="E9654" s="3" t="str">
        <f ca="1">IF(Tabela2[[#This Row],[Dt Venc:]]&gt;TODAY(),"Em Aberto",IF(Tabela2[[#This Row],[D/venc]]="-","Enviado",IF(Tabela2[[#This Row],[Dt Venc:]]=TODAY(),"Vence Hoje","Vencida")))</f>
        <v>Em Aberto</v>
      </c>
      <c r="F9654" s="3">
        <f ca="1">IF(G9654=1,"-",Tabela2[[#This Row],[Dt Venc:]]-TODAY())</f>
        <v>1226</v>
      </c>
      <c r="G9654" s="3"/>
      <c r="H9654" s="3"/>
    </row>
    <row r="9655" spans="1:8">
      <c r="A9655" s="3">
        <v>371160</v>
      </c>
      <c r="B9655" s="7" t="s">
        <v>633</v>
      </c>
      <c r="C9655" s="87" t="s">
        <v>32</v>
      </c>
      <c r="D9655" s="6">
        <v>46919</v>
      </c>
      <c r="E9655" s="3" t="str">
        <f ca="1">IF(Tabela2[[#This Row],[Dt Venc:]]&gt;TODAY(),"Em Aberto",IF(Tabela2[[#This Row],[D/venc]]="-","Enviado",IF(Tabela2[[#This Row],[Dt Venc:]]=TODAY(),"Vence Hoje","Vencida")))</f>
        <v>Em Aberto</v>
      </c>
      <c r="F9655" s="3">
        <f ca="1">IF(G9655=1,"-",Tabela2[[#This Row],[Dt Venc:]]-TODAY())</f>
        <v>1226</v>
      </c>
      <c r="G9655" s="3"/>
      <c r="H9655" s="3"/>
    </row>
    <row r="9656" spans="1:8">
      <c r="A9656" s="3">
        <v>892178</v>
      </c>
      <c r="B9656" s="7" t="s">
        <v>253</v>
      </c>
      <c r="C9656" s="99" t="s">
        <v>32</v>
      </c>
      <c r="D9656" s="6">
        <v>46919</v>
      </c>
      <c r="E9656" s="3" t="str">
        <f ca="1">IF(Tabela2[[#This Row],[Dt Venc:]]&gt;TODAY(),"Em Aberto",IF(Tabela2[[#This Row],[D/venc]]="-","Enviado",IF(Tabela2[[#This Row],[Dt Venc:]]=TODAY(),"Vence Hoje","Vencida")))</f>
        <v>Em Aberto</v>
      </c>
      <c r="F9656" s="3">
        <f ca="1">IF(G9656=1,"-",Tabela2[[#This Row],[Dt Venc:]]-TODAY())</f>
        <v>1226</v>
      </c>
      <c r="G9656" s="3"/>
      <c r="H9656" s="3"/>
    </row>
    <row r="9657" spans="1:8">
      <c r="A9657" s="3">
        <v>894135</v>
      </c>
      <c r="B9657" s="7" t="s">
        <v>253</v>
      </c>
      <c r="C9657" s="99" t="s">
        <v>32</v>
      </c>
      <c r="D9657" s="6">
        <v>46919</v>
      </c>
      <c r="E9657" s="3" t="str">
        <f ca="1">IF(Tabela2[[#This Row],[Dt Venc:]]&gt;TODAY(),"Em Aberto",IF(Tabela2[[#This Row],[D/venc]]="-","Enviado",IF(Tabela2[[#This Row],[Dt Venc:]]=TODAY(),"Vence Hoje","Vencida")))</f>
        <v>Em Aberto</v>
      </c>
      <c r="F9657" s="3">
        <f ca="1">IF(G9657=1,"-",Tabela2[[#This Row],[Dt Venc:]]-TODAY())</f>
        <v>1226</v>
      </c>
      <c r="G9657" s="3"/>
      <c r="H9657" s="3"/>
    </row>
    <row r="9658" spans="1:8">
      <c r="A9658" s="3">
        <v>896565</v>
      </c>
      <c r="B9658" s="7" t="s">
        <v>253</v>
      </c>
      <c r="C9658" s="99" t="s">
        <v>32</v>
      </c>
      <c r="D9658" s="6">
        <v>46919</v>
      </c>
      <c r="E9658" s="3" t="str">
        <f ca="1">IF(Tabela2[[#This Row],[Dt Venc:]]&gt;TODAY(),"Em Aberto",IF(Tabela2[[#This Row],[D/venc]]="-","Enviado",IF(Tabela2[[#This Row],[Dt Venc:]]=TODAY(),"Vence Hoje","Vencida")))</f>
        <v>Em Aberto</v>
      </c>
      <c r="F9658" s="3">
        <f ca="1">IF(G9658=1,"-",Tabela2[[#This Row],[Dt Venc:]]-TODAY())</f>
        <v>1226</v>
      </c>
      <c r="G9658" s="3"/>
      <c r="H9658" s="3"/>
    </row>
    <row r="9659" spans="1:8">
      <c r="A9659" s="3">
        <v>900386</v>
      </c>
      <c r="B9659" s="7" t="s">
        <v>253</v>
      </c>
      <c r="C9659" s="99" t="s">
        <v>32</v>
      </c>
      <c r="D9659" s="6">
        <v>46919</v>
      </c>
      <c r="E9659" s="3" t="str">
        <f ca="1">IF(Tabela2[[#This Row],[Dt Venc:]]&gt;TODAY(),"Em Aberto",IF(Tabela2[[#This Row],[D/venc]]="-","Enviado",IF(Tabela2[[#This Row],[Dt Venc:]]=TODAY(),"Vence Hoje","Vencida")))</f>
        <v>Em Aberto</v>
      </c>
      <c r="F9659" s="3">
        <f ca="1">IF(G9659=1,"-",Tabela2[[#This Row],[Dt Venc:]]-TODAY())</f>
        <v>1226</v>
      </c>
      <c r="G9659" s="3"/>
      <c r="H9659" s="3"/>
    </row>
    <row r="9660" spans="1:8">
      <c r="A9660" s="3">
        <v>901787</v>
      </c>
      <c r="B9660" s="7" t="s">
        <v>253</v>
      </c>
      <c r="C9660" s="99" t="s">
        <v>32</v>
      </c>
      <c r="D9660" s="6">
        <v>46919</v>
      </c>
      <c r="E9660" s="3" t="str">
        <f ca="1">IF(Tabela2[[#This Row],[Dt Venc:]]&gt;TODAY(),"Em Aberto",IF(Tabela2[[#This Row],[D/venc]]="-","Enviado",IF(Tabela2[[#This Row],[Dt Venc:]]=TODAY(),"Vence Hoje","Vencida")))</f>
        <v>Em Aberto</v>
      </c>
      <c r="F9660" s="3">
        <f ca="1">IF(G9660=1,"-",Tabela2[[#This Row],[Dt Venc:]]-TODAY())</f>
        <v>1226</v>
      </c>
      <c r="G9660" s="3"/>
      <c r="H9660" s="3"/>
    </row>
    <row r="9661" spans="1:8">
      <c r="A9661" s="3">
        <v>901788</v>
      </c>
      <c r="B9661" s="7" t="s">
        <v>253</v>
      </c>
      <c r="C9661" s="99" t="s">
        <v>32</v>
      </c>
      <c r="D9661" s="6">
        <v>46919</v>
      </c>
      <c r="E9661" s="3" t="str">
        <f ca="1">IF(Tabela2[[#This Row],[Dt Venc:]]&gt;TODAY(),"Em Aberto",IF(Tabela2[[#This Row],[D/venc]]="-","Enviado",IF(Tabela2[[#This Row],[Dt Venc:]]=TODAY(),"Vence Hoje","Vencida")))</f>
        <v>Em Aberto</v>
      </c>
      <c r="F9661" s="3">
        <f ca="1">IF(G9661=1,"-",Tabela2[[#This Row],[Dt Venc:]]-TODAY())</f>
        <v>1226</v>
      </c>
      <c r="G9661" s="3"/>
      <c r="H9661" s="3"/>
    </row>
    <row r="9662" spans="1:8">
      <c r="A9662" s="3">
        <v>901789</v>
      </c>
      <c r="B9662" s="7" t="s">
        <v>253</v>
      </c>
      <c r="C9662" s="99" t="s">
        <v>32</v>
      </c>
      <c r="D9662" s="6">
        <v>46919</v>
      </c>
      <c r="E9662" s="3" t="str">
        <f ca="1">IF(Tabela2[[#This Row],[Dt Venc:]]&gt;TODAY(),"Em Aberto",IF(Tabela2[[#This Row],[D/venc]]="-","Enviado",IF(Tabela2[[#This Row],[Dt Venc:]]=TODAY(),"Vence Hoje","Vencida")))</f>
        <v>Em Aberto</v>
      </c>
      <c r="F9662" s="3">
        <f ca="1">IF(G9662=1,"-",Tabela2[[#This Row],[Dt Venc:]]-TODAY())</f>
        <v>1226</v>
      </c>
      <c r="G9662" s="3"/>
      <c r="H9662" s="3"/>
    </row>
    <row r="9663" spans="1:8">
      <c r="A9663" s="3">
        <v>912703</v>
      </c>
      <c r="B9663" s="7" t="s">
        <v>253</v>
      </c>
      <c r="C9663" s="99" t="s">
        <v>32</v>
      </c>
      <c r="D9663" s="6">
        <v>46919</v>
      </c>
      <c r="E9663" s="3" t="str">
        <f ca="1">IF(Tabela2[[#This Row],[Dt Venc:]]&gt;TODAY(),"Em Aberto",IF(Tabela2[[#This Row],[D/venc]]="-","Enviado",IF(Tabela2[[#This Row],[Dt Venc:]]=TODAY(),"Vence Hoje","Vencida")))</f>
        <v>Em Aberto</v>
      </c>
      <c r="F9663" s="3">
        <f ca="1">IF(G9663=1,"-",Tabela2[[#This Row],[Dt Venc:]]-TODAY())</f>
        <v>1226</v>
      </c>
      <c r="G9663" s="3"/>
      <c r="H9663" s="3"/>
    </row>
    <row r="9664" spans="1:8">
      <c r="A9664" s="3">
        <v>912704</v>
      </c>
      <c r="B9664" s="7" t="s">
        <v>253</v>
      </c>
      <c r="C9664" s="99" t="s">
        <v>32</v>
      </c>
      <c r="D9664" s="6">
        <v>46919</v>
      </c>
      <c r="E9664" s="3" t="str">
        <f ca="1">IF(Tabela2[[#This Row],[Dt Venc:]]&gt;TODAY(),"Em Aberto",IF(Tabela2[[#This Row],[D/venc]]="-","Enviado",IF(Tabela2[[#This Row],[Dt Venc:]]=TODAY(),"Vence Hoje","Vencida")))</f>
        <v>Em Aberto</v>
      </c>
      <c r="F9664" s="3">
        <f ca="1">IF(G9664=1,"-",Tabela2[[#This Row],[Dt Venc:]]-TODAY())</f>
        <v>1226</v>
      </c>
      <c r="G9664" s="3"/>
      <c r="H9664" s="3"/>
    </row>
    <row r="9665" spans="1:8">
      <c r="A9665" s="3">
        <v>919728</v>
      </c>
      <c r="B9665" s="7" t="s">
        <v>253</v>
      </c>
      <c r="C9665" s="87" t="s">
        <v>32</v>
      </c>
      <c r="D9665" s="6">
        <v>46919</v>
      </c>
      <c r="E9665" s="3" t="str">
        <f ca="1">IF(Tabela2[[#This Row],[Dt Venc:]]&gt;TODAY(),"Em Aberto",IF(Tabela2[[#This Row],[D/venc]]="-","Enviado",IF(Tabela2[[#This Row],[Dt Venc:]]=TODAY(),"Vence Hoje","Vencida")))</f>
        <v>Em Aberto</v>
      </c>
      <c r="F9665" s="3">
        <f ca="1">IF(G9665=1,"-",Tabela2[[#This Row],[Dt Venc:]]-TODAY())</f>
        <v>1226</v>
      </c>
      <c r="G9665" s="3"/>
      <c r="H9665" s="3"/>
    </row>
    <row r="9666" spans="1:8">
      <c r="A9666" s="3">
        <v>919729</v>
      </c>
      <c r="B9666" s="7" t="s">
        <v>253</v>
      </c>
      <c r="C9666" s="87" t="s">
        <v>32</v>
      </c>
      <c r="D9666" s="6">
        <v>46919</v>
      </c>
      <c r="E9666" s="3" t="str">
        <f ca="1">IF(Tabela2[[#This Row],[Dt Venc:]]&gt;TODAY(),"Em Aberto",IF(Tabela2[[#This Row],[D/venc]]="-","Enviado",IF(Tabela2[[#This Row],[Dt Venc:]]=TODAY(),"Vence Hoje","Vencida")))</f>
        <v>Em Aberto</v>
      </c>
      <c r="F9666" s="3">
        <f ca="1">IF(G9666=1,"-",Tabela2[[#This Row],[Dt Venc:]]-TODAY())</f>
        <v>1226</v>
      </c>
      <c r="G9666" s="3"/>
      <c r="H9666" s="3"/>
    </row>
    <row r="9667" spans="1:8">
      <c r="A9667" s="3">
        <v>495914</v>
      </c>
      <c r="B9667" s="7" t="s">
        <v>153</v>
      </c>
      <c r="C9667" s="99" t="s">
        <v>32</v>
      </c>
      <c r="D9667" s="6">
        <v>46929</v>
      </c>
      <c r="E9667" s="3" t="str">
        <f ca="1">IF(Tabela2[[#This Row],[Dt Venc:]]&gt;TODAY(),"Em Aberto",IF(Tabela2[[#This Row],[D/venc]]="-","Enviado",IF(Tabela2[[#This Row],[Dt Venc:]]=TODAY(),"Vence Hoje","Vencida")))</f>
        <v>Em Aberto</v>
      </c>
      <c r="F9667" s="3">
        <f ca="1">IF(G9667=1,"-",Tabela2[[#This Row],[Dt Venc:]]-TODAY())</f>
        <v>1236</v>
      </c>
      <c r="G9667" s="3"/>
      <c r="H9667" s="3"/>
    </row>
    <row r="9668" spans="1:8">
      <c r="A9668" s="3">
        <v>11681</v>
      </c>
      <c r="B9668" s="7" t="s">
        <v>82</v>
      </c>
      <c r="C9668" s="87" t="s">
        <v>30</v>
      </c>
      <c r="D9668" s="6">
        <v>46934</v>
      </c>
      <c r="E9668" s="3" t="str">
        <f ca="1">IF(Tabela2[[#This Row],[Dt Venc:]]&gt;TODAY(),"Em Aberto",IF(Tabela2[[#This Row],[D/venc]]="-","Enviado",IF(Tabela2[[#This Row],[Dt Venc:]]=TODAY(),"Vence Hoje","Vencida")))</f>
        <v>Em Aberto</v>
      </c>
      <c r="F9668" s="3">
        <f ca="1">IF(G9668=1,"-",Tabela2[[#This Row],[Dt Venc:]]-TODAY())</f>
        <v>1241</v>
      </c>
      <c r="G9668" s="3"/>
      <c r="H9668" s="3"/>
    </row>
    <row r="9669" spans="1:8">
      <c r="A9669" s="3">
        <v>284620</v>
      </c>
      <c r="B9669" s="7" t="s">
        <v>153</v>
      </c>
      <c r="C9669" s="99" t="s">
        <v>32</v>
      </c>
      <c r="D9669" s="6">
        <v>46942</v>
      </c>
      <c r="E9669" s="3" t="str">
        <f ca="1">IF(Tabela2[[#This Row],[Dt Venc:]]&gt;TODAY(),"Em Aberto",IF(Tabela2[[#This Row],[D/venc]]="-","Enviado",IF(Tabela2[[#This Row],[Dt Venc:]]=TODAY(),"Vence Hoje","Vencida")))</f>
        <v>Em Aberto</v>
      </c>
      <c r="F9669" s="3">
        <f ca="1">IF(G9669=1,"-",Tabela2[[#This Row],[Dt Venc:]]-TODAY())</f>
        <v>1249</v>
      </c>
      <c r="G9669" s="3"/>
      <c r="H9669" s="3"/>
    </row>
    <row r="9670" spans="1:8">
      <c r="A9670" s="3">
        <v>562</v>
      </c>
      <c r="B9670" s="7" t="s">
        <v>251</v>
      </c>
      <c r="C9670" s="99" t="s">
        <v>32</v>
      </c>
      <c r="D9670" s="6">
        <v>46949</v>
      </c>
      <c r="E9670" s="3" t="str">
        <f ca="1">IF(Tabela2[[#This Row],[Dt Venc:]]&gt;TODAY(),"Em Aberto",IF(Tabela2[[#This Row],[D/venc]]="-","Enviado",IF(Tabela2[[#This Row],[Dt Venc:]]=TODAY(),"Vence Hoje","Vencida")))</f>
        <v>Em Aberto</v>
      </c>
      <c r="F9670" s="3">
        <f ca="1">IF(G9670=1,"-",Tabela2[[#This Row],[Dt Venc:]]-TODAY())</f>
        <v>1256</v>
      </c>
      <c r="G9670" s="3"/>
      <c r="H9670" s="3"/>
    </row>
    <row r="9671" spans="1:8">
      <c r="A9671" s="3">
        <v>107830</v>
      </c>
      <c r="B9671" s="7" t="s">
        <v>252</v>
      </c>
      <c r="C9671" s="85" t="s">
        <v>32</v>
      </c>
      <c r="D9671" s="6">
        <v>46949</v>
      </c>
      <c r="E9671" s="3" t="str">
        <f ca="1">IF(Tabela2[[#This Row],[Dt Venc:]]&gt;TODAY(),"Em Aberto",IF(Tabela2[[#This Row],[D/venc]]="-","Enviado",IF(Tabela2[[#This Row],[Dt Venc:]]=TODAY(),"Vence Hoje","Vencida")))</f>
        <v>Em Aberto</v>
      </c>
      <c r="F9671" s="3">
        <f ca="1">IF(G9671=1,"-",Tabela2[[#This Row],[Dt Venc:]]-TODAY())</f>
        <v>1256</v>
      </c>
      <c r="G9671" s="3"/>
      <c r="H9671" s="3"/>
    </row>
    <row r="9672" spans="1:8">
      <c r="A9672" s="3">
        <v>107831</v>
      </c>
      <c r="B9672" s="7" t="s">
        <v>252</v>
      </c>
      <c r="C9672" s="99" t="s">
        <v>32</v>
      </c>
      <c r="D9672" s="6">
        <v>46949</v>
      </c>
      <c r="E9672" s="3" t="str">
        <f ca="1">IF(Tabela2[[#This Row],[Dt Venc:]]&gt;TODAY(),"Em Aberto",IF(Tabela2[[#This Row],[D/venc]]="-","Enviado",IF(Tabela2[[#This Row],[Dt Venc:]]=TODAY(),"Vence Hoje","Vencida")))</f>
        <v>Em Aberto</v>
      </c>
      <c r="F9672" s="3">
        <f ca="1">IF(G9672=1,"-",Tabela2[[#This Row],[Dt Venc:]]-TODAY())</f>
        <v>1256</v>
      </c>
      <c r="G9672" s="3"/>
      <c r="H9672" s="3"/>
    </row>
    <row r="9673" spans="1:8">
      <c r="A9673" s="3">
        <v>107832</v>
      </c>
      <c r="B9673" s="7" t="s">
        <v>252</v>
      </c>
      <c r="C9673" s="99" t="s">
        <v>32</v>
      </c>
      <c r="D9673" s="6">
        <v>46949</v>
      </c>
      <c r="E9673" s="3" t="str">
        <f ca="1">IF(Tabela2[[#This Row],[Dt Venc:]]&gt;TODAY(),"Em Aberto",IF(Tabela2[[#This Row],[D/venc]]="-","Enviado",IF(Tabela2[[#This Row],[Dt Venc:]]=TODAY(),"Vence Hoje","Vencida")))</f>
        <v>Em Aberto</v>
      </c>
      <c r="F9673" s="3">
        <f ca="1">IF(G9673=1,"-",Tabela2[[#This Row],[Dt Venc:]]-TODAY())</f>
        <v>1256</v>
      </c>
      <c r="G9673" s="3"/>
      <c r="H9673" s="3"/>
    </row>
    <row r="9674" spans="1:8">
      <c r="A9674" s="3">
        <v>361229</v>
      </c>
      <c r="B9674" s="7" t="s">
        <v>250</v>
      </c>
      <c r="C9674" s="99" t="s">
        <v>32</v>
      </c>
      <c r="D9674" s="6">
        <v>46949</v>
      </c>
      <c r="E9674" s="3" t="str">
        <f ca="1">IF(Tabela2[[#This Row],[Dt Venc:]]&gt;TODAY(),"Em Aberto",IF(Tabela2[[#This Row],[D/venc]]="-","Enviado",IF(Tabela2[[#This Row],[Dt Venc:]]=TODAY(),"Vence Hoje","Vencida")))</f>
        <v>Em Aberto</v>
      </c>
      <c r="F9674" s="3">
        <f ca="1">IF(G9674=1,"-",Tabela2[[#This Row],[Dt Venc:]]-TODAY())</f>
        <v>1256</v>
      </c>
      <c r="G9674" s="3"/>
      <c r="H9674" s="3"/>
    </row>
    <row r="9675" spans="1:8">
      <c r="A9675" s="3">
        <v>361237</v>
      </c>
      <c r="B9675" s="7" t="s">
        <v>250</v>
      </c>
      <c r="C9675" s="99" t="s">
        <v>32</v>
      </c>
      <c r="D9675" s="6">
        <v>46949</v>
      </c>
      <c r="E9675" s="3" t="str">
        <f ca="1">IF(Tabela2[[#This Row],[Dt Venc:]]&gt;TODAY(),"Em Aberto",IF(Tabela2[[#This Row],[D/venc]]="-","Enviado",IF(Tabela2[[#This Row],[Dt Venc:]]=TODAY(),"Vence Hoje","Vencida")))</f>
        <v>Em Aberto</v>
      </c>
      <c r="F9675" s="3">
        <f ca="1">IF(G9675=1,"-",Tabela2[[#This Row],[Dt Venc:]]-TODAY())</f>
        <v>1256</v>
      </c>
      <c r="G9675" s="3"/>
      <c r="H9675" s="3"/>
    </row>
    <row r="9676" spans="1:8">
      <c r="A9676" s="3">
        <v>365658</v>
      </c>
      <c r="B9676" s="7" t="s">
        <v>250</v>
      </c>
      <c r="C9676" s="99" t="s">
        <v>32</v>
      </c>
      <c r="D9676" s="6">
        <v>46949</v>
      </c>
      <c r="E9676" s="3" t="str">
        <f ca="1">IF(Tabela2[[#This Row],[Dt Venc:]]&gt;TODAY(),"Em Aberto",IF(Tabela2[[#This Row],[D/venc]]="-","Enviado",IF(Tabela2[[#This Row],[Dt Venc:]]=TODAY(),"Vence Hoje","Vencida")))</f>
        <v>Em Aberto</v>
      </c>
      <c r="F9676" s="3">
        <f ca="1">IF(G9676=1,"-",Tabela2[[#This Row],[Dt Venc:]]-TODAY())</f>
        <v>1256</v>
      </c>
      <c r="G9676" s="3"/>
      <c r="H9676" s="3"/>
    </row>
    <row r="9677" spans="1:8">
      <c r="A9677" s="3">
        <v>365666</v>
      </c>
      <c r="B9677" s="7" t="s">
        <v>250</v>
      </c>
      <c r="C9677" s="99" t="s">
        <v>32</v>
      </c>
      <c r="D9677" s="6">
        <v>46949</v>
      </c>
      <c r="E9677" s="3" t="str">
        <f ca="1">IF(Tabela2[[#This Row],[Dt Venc:]]&gt;TODAY(),"Em Aberto",IF(Tabela2[[#This Row],[D/venc]]="-","Enviado",IF(Tabela2[[#This Row],[Dt Venc:]]=TODAY(),"Vence Hoje","Vencida")))</f>
        <v>Em Aberto</v>
      </c>
      <c r="F9677" s="3">
        <f ca="1">IF(G9677=1,"-",Tabela2[[#This Row],[Dt Venc:]]-TODAY())</f>
        <v>1256</v>
      </c>
      <c r="G9677" s="3"/>
      <c r="H9677" s="3"/>
    </row>
    <row r="9678" spans="1:8">
      <c r="A9678" s="3">
        <v>365674</v>
      </c>
      <c r="B9678" s="7" t="s">
        <v>250</v>
      </c>
      <c r="C9678" s="99" t="s">
        <v>32</v>
      </c>
      <c r="D9678" s="6">
        <v>46949</v>
      </c>
      <c r="E9678" s="3" t="str">
        <f ca="1">IF(Tabela2[[#This Row],[Dt Venc:]]&gt;TODAY(),"Em Aberto",IF(Tabela2[[#This Row],[D/venc]]="-","Enviado",IF(Tabela2[[#This Row],[Dt Venc:]]=TODAY(),"Vence Hoje","Vencida")))</f>
        <v>Em Aberto</v>
      </c>
      <c r="F9678" s="3">
        <f ca="1">IF(G9678=1,"-",Tabela2[[#This Row],[Dt Venc:]]-TODAY())</f>
        <v>1256</v>
      </c>
      <c r="G9678" s="3"/>
      <c r="H9678" s="3"/>
    </row>
    <row r="9679" spans="1:8">
      <c r="A9679" s="3">
        <v>365682</v>
      </c>
      <c r="B9679" s="7" t="s">
        <v>250</v>
      </c>
      <c r="C9679" s="99" t="s">
        <v>32</v>
      </c>
      <c r="D9679" s="6">
        <v>46949</v>
      </c>
      <c r="E9679" s="3" t="str">
        <f ca="1">IF(Tabela2[[#This Row],[Dt Venc:]]&gt;TODAY(),"Em Aberto",IF(Tabela2[[#This Row],[D/venc]]="-","Enviado",IF(Tabela2[[#This Row],[Dt Venc:]]=TODAY(),"Vence Hoje","Vencida")))</f>
        <v>Em Aberto</v>
      </c>
      <c r="F9679" s="3">
        <f ca="1">IF(G9679=1,"-",Tabela2[[#This Row],[Dt Venc:]]-TODAY())</f>
        <v>1256</v>
      </c>
      <c r="G9679" s="3"/>
      <c r="H9679" s="3"/>
    </row>
    <row r="9680" spans="1:8">
      <c r="A9680" s="3">
        <v>369335</v>
      </c>
      <c r="B9680" s="7" t="s">
        <v>543</v>
      </c>
      <c r="C9680" s="87" t="s">
        <v>32</v>
      </c>
      <c r="D9680" s="6">
        <v>46949</v>
      </c>
      <c r="E9680" s="3" t="str">
        <f ca="1">IF(Tabela2[[#This Row],[Dt Venc:]]&gt;TODAY(),"Em Aberto",IF(Tabela2[[#This Row],[D/venc]]="-","Enviado",IF(Tabela2[[#This Row],[Dt Venc:]]=TODAY(),"Vence Hoje","Vencida")))</f>
        <v>Em Aberto</v>
      </c>
      <c r="F9680" s="3">
        <f ca="1">IF(G9680=1,"-",Tabela2[[#This Row],[Dt Venc:]]-TODAY())</f>
        <v>1256</v>
      </c>
      <c r="G9680" s="3"/>
      <c r="H9680" s="3"/>
    </row>
    <row r="9681" spans="1:8">
      <c r="A9681" s="3">
        <v>369696</v>
      </c>
      <c r="B9681" s="7" t="s">
        <v>543</v>
      </c>
      <c r="C9681" s="87" t="s">
        <v>32</v>
      </c>
      <c r="D9681" s="6">
        <v>46949</v>
      </c>
      <c r="E9681" s="3" t="str">
        <f ca="1">IF(Tabela2[[#This Row],[Dt Venc:]]&gt;TODAY(),"Em Aberto",IF(Tabela2[[#This Row],[D/venc]]="-","Enviado",IF(Tabela2[[#This Row],[Dt Venc:]]=TODAY(),"Vence Hoje","Vencida")))</f>
        <v>Em Aberto</v>
      </c>
      <c r="F9681" s="3">
        <f ca="1">IF(G9681=1,"-",Tabela2[[#This Row],[Dt Venc:]]-TODAY())</f>
        <v>1256</v>
      </c>
      <c r="G9681" s="3"/>
      <c r="H9681" s="3"/>
    </row>
    <row r="9682" spans="1:8">
      <c r="A9682" s="3">
        <v>369726</v>
      </c>
      <c r="B9682" s="7" t="s">
        <v>543</v>
      </c>
      <c r="C9682" s="85" t="s">
        <v>32</v>
      </c>
      <c r="D9682" s="6">
        <v>46949</v>
      </c>
      <c r="E9682" s="3" t="str">
        <f ca="1">IF(Tabela2[[#This Row],[Dt Venc:]]&gt;TODAY(),"Em Aberto",IF(Tabela2[[#This Row],[D/venc]]="-","Enviado",IF(Tabela2[[#This Row],[Dt Venc:]]=TODAY(),"Vence Hoje","Vencida")))</f>
        <v>Em Aberto</v>
      </c>
      <c r="F9682" s="3">
        <f ca="1">IF(G9682=1,"-",Tabela2[[#This Row],[Dt Venc:]]-TODAY())</f>
        <v>1256</v>
      </c>
      <c r="G9682" s="3"/>
      <c r="H9682" s="3"/>
    </row>
    <row r="9683" spans="1:8">
      <c r="A9683" s="3">
        <v>369751</v>
      </c>
      <c r="B9683" s="7" t="s">
        <v>543</v>
      </c>
      <c r="C9683" s="87" t="s">
        <v>32</v>
      </c>
      <c r="D9683" s="6">
        <v>46949</v>
      </c>
      <c r="E9683" s="3" t="str">
        <f ca="1">IF(Tabela2[[#This Row],[Dt Venc:]]&gt;TODAY(),"Em Aberto",IF(Tabela2[[#This Row],[D/venc]]="-","Enviado",IF(Tabela2[[#This Row],[Dt Venc:]]=TODAY(),"Vence Hoje","Vencida")))</f>
        <v>Em Aberto</v>
      </c>
      <c r="F9683" s="3">
        <f ca="1">IF(G9683=1,"-",Tabela2[[#This Row],[Dt Venc:]]-TODAY())</f>
        <v>1256</v>
      </c>
      <c r="G9683" s="3"/>
      <c r="H9683" s="3"/>
    </row>
    <row r="9684" spans="1:8">
      <c r="A9684" s="3">
        <v>370201</v>
      </c>
      <c r="B9684" s="7" t="s">
        <v>543</v>
      </c>
      <c r="C9684" s="87" t="s">
        <v>32</v>
      </c>
      <c r="D9684" s="6">
        <v>46949</v>
      </c>
      <c r="E9684" s="3" t="str">
        <f ca="1">IF(Tabela2[[#This Row],[Dt Venc:]]&gt;TODAY(),"Em Aberto",IF(Tabela2[[#This Row],[D/venc]]="-","Enviado",IF(Tabela2[[#This Row],[Dt Venc:]]=TODAY(),"Vence Hoje","Vencida")))</f>
        <v>Em Aberto</v>
      </c>
      <c r="F9684" s="3">
        <f ca="1">IF(G9684=1,"-",Tabela2[[#This Row],[Dt Venc:]]-TODAY())</f>
        <v>1256</v>
      </c>
      <c r="G9684" s="3"/>
      <c r="H9684" s="3"/>
    </row>
    <row r="9685" spans="1:8">
      <c r="A9685" s="3">
        <v>370864</v>
      </c>
      <c r="B9685" s="7" t="s">
        <v>543</v>
      </c>
      <c r="C9685" s="87" t="s">
        <v>32</v>
      </c>
      <c r="D9685" s="6">
        <v>46949</v>
      </c>
      <c r="E9685" s="3" t="str">
        <f ca="1">IF(Tabela2[[#This Row],[Dt Venc:]]&gt;TODAY(),"Em Aberto",IF(Tabela2[[#This Row],[D/venc]]="-","Enviado",IF(Tabela2[[#This Row],[Dt Venc:]]=TODAY(),"Vence Hoje","Vencida")))</f>
        <v>Em Aberto</v>
      </c>
      <c r="F9685" s="3">
        <f ca="1">IF(G9685=1,"-",Tabela2[[#This Row],[Dt Venc:]]-TODAY())</f>
        <v>1256</v>
      </c>
      <c r="G9685" s="3"/>
      <c r="H9685" s="3"/>
    </row>
    <row r="9686" spans="1:8">
      <c r="A9686" s="3">
        <v>371011</v>
      </c>
      <c r="B9686" s="7" t="s">
        <v>633</v>
      </c>
      <c r="C9686" s="87" t="s">
        <v>32</v>
      </c>
      <c r="D9686" s="6">
        <v>46949</v>
      </c>
      <c r="E9686" s="3" t="str">
        <f ca="1">IF(Tabela2[[#This Row],[Dt Venc:]]&gt;TODAY(),"Em Aberto",IF(Tabela2[[#This Row],[D/venc]]="-","Enviado",IF(Tabela2[[#This Row],[Dt Venc:]]=TODAY(),"Vence Hoje","Vencida")))</f>
        <v>Em Aberto</v>
      </c>
      <c r="F9686" s="3">
        <f ca="1">IF(G9686=1,"-",Tabela2[[#This Row],[Dt Venc:]]-TODAY())</f>
        <v>1256</v>
      </c>
      <c r="G9686" s="3"/>
      <c r="H9686" s="3"/>
    </row>
    <row r="9687" spans="1:8">
      <c r="A9687" s="3">
        <v>371160</v>
      </c>
      <c r="B9687" s="7" t="s">
        <v>633</v>
      </c>
      <c r="C9687" s="87" t="s">
        <v>32</v>
      </c>
      <c r="D9687" s="6">
        <v>46949</v>
      </c>
      <c r="E9687" s="3" t="str">
        <f ca="1">IF(Tabela2[[#This Row],[Dt Venc:]]&gt;TODAY(),"Em Aberto",IF(Tabela2[[#This Row],[D/venc]]="-","Enviado",IF(Tabela2[[#This Row],[Dt Venc:]]=TODAY(),"Vence Hoje","Vencida")))</f>
        <v>Em Aberto</v>
      </c>
      <c r="F9687" s="3">
        <f ca="1">IF(G9687=1,"-",Tabela2[[#This Row],[Dt Venc:]]-TODAY())</f>
        <v>1256</v>
      </c>
      <c r="G9687" s="3"/>
      <c r="H9687" s="3"/>
    </row>
    <row r="9688" spans="1:8">
      <c r="A9688" s="3">
        <v>892178</v>
      </c>
      <c r="B9688" s="7" t="s">
        <v>253</v>
      </c>
      <c r="C9688" s="99" t="s">
        <v>32</v>
      </c>
      <c r="D9688" s="6">
        <v>46949</v>
      </c>
      <c r="E9688" s="3" t="str">
        <f ca="1">IF(Tabela2[[#This Row],[Dt Venc:]]&gt;TODAY(),"Em Aberto",IF(Tabela2[[#This Row],[D/venc]]="-","Enviado",IF(Tabela2[[#This Row],[Dt Venc:]]=TODAY(),"Vence Hoje","Vencida")))</f>
        <v>Em Aberto</v>
      </c>
      <c r="F9688" s="3">
        <f ca="1">IF(G9688=1,"-",Tabela2[[#This Row],[Dt Venc:]]-TODAY())</f>
        <v>1256</v>
      </c>
      <c r="G9688" s="3"/>
      <c r="H9688" s="3"/>
    </row>
    <row r="9689" spans="1:8">
      <c r="A9689" s="3">
        <v>894135</v>
      </c>
      <c r="B9689" s="7" t="s">
        <v>253</v>
      </c>
      <c r="C9689" s="99" t="s">
        <v>32</v>
      </c>
      <c r="D9689" s="6">
        <v>46949</v>
      </c>
      <c r="E9689" s="3" t="str">
        <f ca="1">IF(Tabela2[[#This Row],[Dt Venc:]]&gt;TODAY(),"Em Aberto",IF(Tabela2[[#This Row],[D/venc]]="-","Enviado",IF(Tabela2[[#This Row],[Dt Venc:]]=TODAY(),"Vence Hoje","Vencida")))</f>
        <v>Em Aberto</v>
      </c>
      <c r="F9689" s="3">
        <f ca="1">IF(G9689=1,"-",Tabela2[[#This Row],[Dt Venc:]]-TODAY())</f>
        <v>1256</v>
      </c>
      <c r="G9689" s="3"/>
      <c r="H9689" s="3"/>
    </row>
    <row r="9690" spans="1:8">
      <c r="A9690" s="3">
        <v>896565</v>
      </c>
      <c r="B9690" s="7" t="s">
        <v>253</v>
      </c>
      <c r="C9690" s="99" t="s">
        <v>32</v>
      </c>
      <c r="D9690" s="6">
        <v>46949</v>
      </c>
      <c r="E9690" s="3" t="str">
        <f ca="1">IF(Tabela2[[#This Row],[Dt Venc:]]&gt;TODAY(),"Em Aberto",IF(Tabela2[[#This Row],[D/venc]]="-","Enviado",IF(Tabela2[[#This Row],[Dt Venc:]]=TODAY(),"Vence Hoje","Vencida")))</f>
        <v>Em Aberto</v>
      </c>
      <c r="F9690" s="3">
        <f ca="1">IF(G9690=1,"-",Tabela2[[#This Row],[Dt Venc:]]-TODAY())</f>
        <v>1256</v>
      </c>
      <c r="G9690" s="3"/>
      <c r="H9690" s="3"/>
    </row>
    <row r="9691" spans="1:8">
      <c r="A9691" s="3">
        <v>900386</v>
      </c>
      <c r="B9691" s="7" t="s">
        <v>253</v>
      </c>
      <c r="C9691" s="99" t="s">
        <v>32</v>
      </c>
      <c r="D9691" s="6">
        <v>46949</v>
      </c>
      <c r="E9691" s="3" t="str">
        <f ca="1">IF(Tabela2[[#This Row],[Dt Venc:]]&gt;TODAY(),"Em Aberto",IF(Tabela2[[#This Row],[D/venc]]="-","Enviado",IF(Tabela2[[#This Row],[Dt Venc:]]=TODAY(),"Vence Hoje","Vencida")))</f>
        <v>Em Aberto</v>
      </c>
      <c r="F9691" s="3">
        <f ca="1">IF(G9691=1,"-",Tabela2[[#This Row],[Dt Venc:]]-TODAY())</f>
        <v>1256</v>
      </c>
      <c r="G9691" s="3"/>
      <c r="H9691" s="3"/>
    </row>
    <row r="9692" spans="1:8">
      <c r="A9692" s="3">
        <v>901787</v>
      </c>
      <c r="B9692" s="7" t="s">
        <v>253</v>
      </c>
      <c r="C9692" s="99" t="s">
        <v>32</v>
      </c>
      <c r="D9692" s="6">
        <v>46949</v>
      </c>
      <c r="E9692" s="3" t="str">
        <f ca="1">IF(Tabela2[[#This Row],[Dt Venc:]]&gt;TODAY(),"Em Aberto",IF(Tabela2[[#This Row],[D/venc]]="-","Enviado",IF(Tabela2[[#This Row],[Dt Venc:]]=TODAY(),"Vence Hoje","Vencida")))</f>
        <v>Em Aberto</v>
      </c>
      <c r="F9692" s="3">
        <f ca="1">IF(G9692=1,"-",Tabela2[[#This Row],[Dt Venc:]]-TODAY())</f>
        <v>1256</v>
      </c>
      <c r="G9692" s="3"/>
      <c r="H9692" s="3"/>
    </row>
    <row r="9693" spans="1:8">
      <c r="A9693" s="3">
        <v>901788</v>
      </c>
      <c r="B9693" s="7" t="s">
        <v>253</v>
      </c>
      <c r="C9693" s="99" t="s">
        <v>32</v>
      </c>
      <c r="D9693" s="6">
        <v>46949</v>
      </c>
      <c r="E9693" s="3" t="str">
        <f ca="1">IF(Tabela2[[#This Row],[Dt Venc:]]&gt;TODAY(),"Em Aberto",IF(Tabela2[[#This Row],[D/venc]]="-","Enviado",IF(Tabela2[[#This Row],[Dt Venc:]]=TODAY(),"Vence Hoje","Vencida")))</f>
        <v>Em Aberto</v>
      </c>
      <c r="F9693" s="3">
        <f ca="1">IF(G9693=1,"-",Tabela2[[#This Row],[Dt Venc:]]-TODAY())</f>
        <v>1256</v>
      </c>
      <c r="G9693" s="3"/>
      <c r="H9693" s="3"/>
    </row>
    <row r="9694" spans="1:8">
      <c r="A9694" s="3">
        <v>901789</v>
      </c>
      <c r="B9694" s="7" t="s">
        <v>253</v>
      </c>
      <c r="C9694" s="99" t="s">
        <v>32</v>
      </c>
      <c r="D9694" s="6">
        <v>46949</v>
      </c>
      <c r="E9694" s="3" t="str">
        <f ca="1">IF(Tabela2[[#This Row],[Dt Venc:]]&gt;TODAY(),"Em Aberto",IF(Tabela2[[#This Row],[D/venc]]="-","Enviado",IF(Tabela2[[#This Row],[Dt Venc:]]=TODAY(),"Vence Hoje","Vencida")))</f>
        <v>Em Aberto</v>
      </c>
      <c r="F9694" s="3">
        <f ca="1">IF(G9694=1,"-",Tabela2[[#This Row],[Dt Venc:]]-TODAY())</f>
        <v>1256</v>
      </c>
      <c r="G9694" s="3"/>
      <c r="H9694" s="3"/>
    </row>
    <row r="9695" spans="1:8">
      <c r="A9695" s="3">
        <v>912703</v>
      </c>
      <c r="B9695" s="7" t="s">
        <v>253</v>
      </c>
      <c r="C9695" s="99" t="s">
        <v>32</v>
      </c>
      <c r="D9695" s="6">
        <v>46949</v>
      </c>
      <c r="E9695" s="3" t="str">
        <f ca="1">IF(Tabela2[[#This Row],[Dt Venc:]]&gt;TODAY(),"Em Aberto",IF(Tabela2[[#This Row],[D/venc]]="-","Enviado",IF(Tabela2[[#This Row],[Dt Venc:]]=TODAY(),"Vence Hoje","Vencida")))</f>
        <v>Em Aberto</v>
      </c>
      <c r="F9695" s="3">
        <f ca="1">IF(G9695=1,"-",Tabela2[[#This Row],[Dt Venc:]]-TODAY())</f>
        <v>1256</v>
      </c>
      <c r="G9695" s="3"/>
      <c r="H9695" s="3"/>
    </row>
    <row r="9696" spans="1:8">
      <c r="A9696" s="3">
        <v>912704</v>
      </c>
      <c r="B9696" s="7" t="s">
        <v>253</v>
      </c>
      <c r="C9696" s="99" t="s">
        <v>32</v>
      </c>
      <c r="D9696" s="6">
        <v>46949</v>
      </c>
      <c r="E9696" s="3" t="str">
        <f ca="1">IF(Tabela2[[#This Row],[Dt Venc:]]&gt;TODAY(),"Em Aberto",IF(Tabela2[[#This Row],[D/venc]]="-","Enviado",IF(Tabela2[[#This Row],[Dt Venc:]]=TODAY(),"Vence Hoje","Vencida")))</f>
        <v>Em Aberto</v>
      </c>
      <c r="F9696" s="3">
        <f ca="1">IF(G9696=1,"-",Tabela2[[#This Row],[Dt Venc:]]-TODAY())</f>
        <v>1256</v>
      </c>
      <c r="G9696" s="3"/>
      <c r="H9696" s="3"/>
    </row>
    <row r="9697" spans="1:8">
      <c r="A9697" s="3">
        <v>919728</v>
      </c>
      <c r="B9697" s="7" t="s">
        <v>253</v>
      </c>
      <c r="C9697" s="87" t="s">
        <v>32</v>
      </c>
      <c r="D9697" s="6">
        <v>46949</v>
      </c>
      <c r="E9697" s="3" t="str">
        <f ca="1">IF(Tabela2[[#This Row],[Dt Venc:]]&gt;TODAY(),"Em Aberto",IF(Tabela2[[#This Row],[D/venc]]="-","Enviado",IF(Tabela2[[#This Row],[Dt Venc:]]=TODAY(),"Vence Hoje","Vencida")))</f>
        <v>Em Aberto</v>
      </c>
      <c r="F9697" s="3">
        <f ca="1">IF(G9697=1,"-",Tabela2[[#This Row],[Dt Venc:]]-TODAY())</f>
        <v>1256</v>
      </c>
      <c r="G9697" s="3"/>
      <c r="H9697" s="3"/>
    </row>
    <row r="9698" spans="1:8">
      <c r="A9698" s="3">
        <v>919729</v>
      </c>
      <c r="B9698" s="7" t="s">
        <v>253</v>
      </c>
      <c r="C9698" s="87" t="s">
        <v>32</v>
      </c>
      <c r="D9698" s="6">
        <v>46949</v>
      </c>
      <c r="E9698" s="3" t="str">
        <f ca="1">IF(Tabela2[[#This Row],[Dt Venc:]]&gt;TODAY(),"Em Aberto",IF(Tabela2[[#This Row],[D/venc]]="-","Enviado",IF(Tabela2[[#This Row],[Dt Venc:]]=TODAY(),"Vence Hoje","Vencida")))</f>
        <v>Em Aberto</v>
      </c>
      <c r="F9698" s="3">
        <f ca="1">IF(G9698=1,"-",Tabela2[[#This Row],[Dt Venc:]]-TODAY())</f>
        <v>1256</v>
      </c>
      <c r="G9698" s="3"/>
      <c r="H9698" s="3"/>
    </row>
    <row r="9699" spans="1:8">
      <c r="A9699" s="3">
        <v>495914</v>
      </c>
      <c r="B9699" s="7" t="s">
        <v>153</v>
      </c>
      <c r="C9699" s="99" t="s">
        <v>32</v>
      </c>
      <c r="D9699" s="6">
        <v>46959</v>
      </c>
      <c r="E9699" s="3" t="str">
        <f ca="1">IF(Tabela2[[#This Row],[Dt Venc:]]&gt;TODAY(),"Em Aberto",IF(Tabela2[[#This Row],[D/venc]]="-","Enviado",IF(Tabela2[[#This Row],[Dt Venc:]]=TODAY(),"Vence Hoje","Vencida")))</f>
        <v>Em Aberto</v>
      </c>
      <c r="F9699" s="3">
        <f ca="1">IF(G9699=1,"-",Tabela2[[#This Row],[Dt Venc:]]-TODAY())</f>
        <v>1266</v>
      </c>
      <c r="G9699" s="3"/>
      <c r="H9699" s="3"/>
    </row>
    <row r="9700" spans="1:8">
      <c r="A9700" s="3">
        <v>11681</v>
      </c>
      <c r="B9700" s="7" t="s">
        <v>82</v>
      </c>
      <c r="C9700" s="87" t="s">
        <v>30</v>
      </c>
      <c r="D9700" s="6">
        <v>46965</v>
      </c>
      <c r="E9700" s="3" t="str">
        <f ca="1">IF(Tabela2[[#This Row],[Dt Venc:]]&gt;TODAY(),"Em Aberto",IF(Tabela2[[#This Row],[D/venc]]="-","Enviado",IF(Tabela2[[#This Row],[Dt Venc:]]=TODAY(),"Vence Hoje","Vencida")))</f>
        <v>Em Aberto</v>
      </c>
      <c r="F9700" s="3">
        <f ca="1">IF(G9700=1,"-",Tabela2[[#This Row],[Dt Venc:]]-TODAY())</f>
        <v>1272</v>
      </c>
      <c r="G9700" s="3"/>
      <c r="H9700" s="3"/>
    </row>
    <row r="9701" spans="1:8">
      <c r="A9701" s="3">
        <v>284620</v>
      </c>
      <c r="B9701" s="7" t="s">
        <v>153</v>
      </c>
      <c r="C9701" s="99" t="s">
        <v>32</v>
      </c>
      <c r="D9701" s="6">
        <v>46973</v>
      </c>
      <c r="E9701" s="3" t="str">
        <f ca="1">IF(Tabela2[[#This Row],[Dt Venc:]]&gt;TODAY(),"Em Aberto",IF(Tabela2[[#This Row],[D/venc]]="-","Enviado",IF(Tabela2[[#This Row],[Dt Venc:]]=TODAY(),"Vence Hoje","Vencida")))</f>
        <v>Em Aberto</v>
      </c>
      <c r="F9701" s="3">
        <f ca="1">IF(G9701=1,"-",Tabela2[[#This Row],[Dt Venc:]]-TODAY())</f>
        <v>1280</v>
      </c>
      <c r="G9701" s="3"/>
      <c r="H9701" s="3"/>
    </row>
    <row r="9702" spans="1:8">
      <c r="A9702" s="3">
        <v>562</v>
      </c>
      <c r="B9702" s="7" t="s">
        <v>251</v>
      </c>
      <c r="C9702" s="100" t="s">
        <v>32</v>
      </c>
      <c r="D9702" s="6">
        <v>46980</v>
      </c>
      <c r="E9702" s="3" t="str">
        <f ca="1">IF(Tabela2[[#This Row],[Dt Venc:]]&gt;TODAY(),"Em Aberto",IF(Tabela2[[#This Row],[D/venc]]="-","Enviado",IF(Tabela2[[#This Row],[Dt Venc:]]=TODAY(),"Vence Hoje","Vencida")))</f>
        <v>Em Aberto</v>
      </c>
      <c r="F9702" s="3">
        <f ca="1">IF(G9702=1,"-",Tabela2[[#This Row],[Dt Venc:]]-TODAY())</f>
        <v>1287</v>
      </c>
      <c r="G9702" s="3"/>
      <c r="H9702" s="3"/>
    </row>
    <row r="9703" spans="1:8">
      <c r="A9703" s="3">
        <v>107830</v>
      </c>
      <c r="B9703" s="7" t="s">
        <v>252</v>
      </c>
      <c r="C9703" s="87" t="s">
        <v>32</v>
      </c>
      <c r="D9703" s="6">
        <v>46980</v>
      </c>
      <c r="E9703" s="3" t="str">
        <f ca="1">IF(Tabela2[[#This Row],[Dt Venc:]]&gt;TODAY(),"Em Aberto",IF(Tabela2[[#This Row],[D/venc]]="-","Enviado",IF(Tabela2[[#This Row],[Dt Venc:]]=TODAY(),"Vence Hoje","Vencida")))</f>
        <v>Em Aberto</v>
      </c>
      <c r="F9703" s="3">
        <f ca="1">IF(G9703=1,"-",Tabela2[[#This Row],[Dt Venc:]]-TODAY())</f>
        <v>1287</v>
      </c>
      <c r="G9703" s="3"/>
      <c r="H9703" s="3"/>
    </row>
    <row r="9704" spans="1:8">
      <c r="A9704" s="3">
        <v>107831</v>
      </c>
      <c r="B9704" s="7" t="s">
        <v>252</v>
      </c>
      <c r="C9704" s="100" t="s">
        <v>32</v>
      </c>
      <c r="D9704" s="6">
        <v>46980</v>
      </c>
      <c r="E9704" s="3" t="str">
        <f ca="1">IF(Tabela2[[#This Row],[Dt Venc:]]&gt;TODAY(),"Em Aberto",IF(Tabela2[[#This Row],[D/venc]]="-","Enviado",IF(Tabela2[[#This Row],[Dt Venc:]]=TODAY(),"Vence Hoje","Vencida")))</f>
        <v>Em Aberto</v>
      </c>
      <c r="F9704" s="3">
        <f ca="1">IF(G9704=1,"-",Tabela2[[#This Row],[Dt Venc:]]-TODAY())</f>
        <v>1287</v>
      </c>
      <c r="G9704" s="3"/>
      <c r="H9704" s="3"/>
    </row>
    <row r="9705" spans="1:8">
      <c r="A9705" s="3">
        <v>107832</v>
      </c>
      <c r="B9705" s="7" t="s">
        <v>252</v>
      </c>
      <c r="C9705" s="100" t="s">
        <v>32</v>
      </c>
      <c r="D9705" s="6">
        <v>46980</v>
      </c>
      <c r="E9705" s="3" t="str">
        <f ca="1">IF(Tabela2[[#This Row],[Dt Venc:]]&gt;TODAY(),"Em Aberto",IF(Tabela2[[#This Row],[D/venc]]="-","Enviado",IF(Tabela2[[#This Row],[Dt Venc:]]=TODAY(),"Vence Hoje","Vencida")))</f>
        <v>Em Aberto</v>
      </c>
      <c r="F9705" s="3">
        <f ca="1">IF(G9705=1,"-",Tabela2[[#This Row],[Dt Venc:]]-TODAY())</f>
        <v>1287</v>
      </c>
      <c r="G9705" s="3"/>
      <c r="H9705" s="3"/>
    </row>
    <row r="9706" spans="1:8">
      <c r="A9706" s="3">
        <v>361229</v>
      </c>
      <c r="B9706" s="7" t="s">
        <v>250</v>
      </c>
      <c r="C9706" s="100" t="s">
        <v>32</v>
      </c>
      <c r="D9706" s="6">
        <v>46980</v>
      </c>
      <c r="E9706" s="3" t="str">
        <f ca="1">IF(Tabela2[[#This Row],[Dt Venc:]]&gt;TODAY(),"Em Aberto",IF(Tabela2[[#This Row],[D/venc]]="-","Enviado",IF(Tabela2[[#This Row],[Dt Venc:]]=TODAY(),"Vence Hoje","Vencida")))</f>
        <v>Em Aberto</v>
      </c>
      <c r="F9706" s="3">
        <f ca="1">IF(G9706=1,"-",Tabela2[[#This Row],[Dt Venc:]]-TODAY())</f>
        <v>1287</v>
      </c>
      <c r="G9706" s="3"/>
      <c r="H9706" s="3"/>
    </row>
    <row r="9707" spans="1:8">
      <c r="A9707" s="3">
        <v>361237</v>
      </c>
      <c r="B9707" s="7" t="s">
        <v>250</v>
      </c>
      <c r="C9707" s="100" t="s">
        <v>32</v>
      </c>
      <c r="D9707" s="6">
        <v>46980</v>
      </c>
      <c r="E9707" s="3" t="str">
        <f ca="1">IF(Tabela2[[#This Row],[Dt Venc:]]&gt;TODAY(),"Em Aberto",IF(Tabela2[[#This Row],[D/venc]]="-","Enviado",IF(Tabela2[[#This Row],[Dt Venc:]]=TODAY(),"Vence Hoje","Vencida")))</f>
        <v>Em Aberto</v>
      </c>
      <c r="F9707" s="3">
        <f ca="1">IF(G9707=1,"-",Tabela2[[#This Row],[Dt Venc:]]-TODAY())</f>
        <v>1287</v>
      </c>
      <c r="G9707" s="3"/>
      <c r="H9707" s="3"/>
    </row>
    <row r="9708" spans="1:8">
      <c r="A9708" s="3">
        <v>365658</v>
      </c>
      <c r="B9708" s="7" t="s">
        <v>250</v>
      </c>
      <c r="C9708" s="100" t="s">
        <v>32</v>
      </c>
      <c r="D9708" s="6">
        <v>46980</v>
      </c>
      <c r="E9708" s="3" t="str">
        <f ca="1">IF(Tabela2[[#This Row],[Dt Venc:]]&gt;TODAY(),"Em Aberto",IF(Tabela2[[#This Row],[D/venc]]="-","Enviado",IF(Tabela2[[#This Row],[Dt Venc:]]=TODAY(),"Vence Hoje","Vencida")))</f>
        <v>Em Aberto</v>
      </c>
      <c r="F9708" s="3">
        <f ca="1">IF(G9708=1,"-",Tabela2[[#This Row],[Dt Venc:]]-TODAY())</f>
        <v>1287</v>
      </c>
      <c r="G9708" s="3"/>
      <c r="H9708" s="3"/>
    </row>
    <row r="9709" spans="1:8">
      <c r="A9709" s="3">
        <v>365666</v>
      </c>
      <c r="B9709" s="7" t="s">
        <v>250</v>
      </c>
      <c r="C9709" s="100" t="s">
        <v>32</v>
      </c>
      <c r="D9709" s="6">
        <v>46980</v>
      </c>
      <c r="E9709" s="3" t="str">
        <f ca="1">IF(Tabela2[[#This Row],[Dt Venc:]]&gt;TODAY(),"Em Aberto",IF(Tabela2[[#This Row],[D/venc]]="-","Enviado",IF(Tabela2[[#This Row],[Dt Venc:]]=TODAY(),"Vence Hoje","Vencida")))</f>
        <v>Em Aberto</v>
      </c>
      <c r="F9709" s="3">
        <f ca="1">IF(G9709=1,"-",Tabela2[[#This Row],[Dt Venc:]]-TODAY())</f>
        <v>1287</v>
      </c>
      <c r="G9709" s="3"/>
      <c r="H9709" s="3"/>
    </row>
    <row r="9710" spans="1:8">
      <c r="A9710" s="3">
        <v>365674</v>
      </c>
      <c r="B9710" s="7" t="s">
        <v>250</v>
      </c>
      <c r="C9710" s="100" t="s">
        <v>32</v>
      </c>
      <c r="D9710" s="6">
        <v>46980</v>
      </c>
      <c r="E9710" s="3" t="str">
        <f ca="1">IF(Tabela2[[#This Row],[Dt Venc:]]&gt;TODAY(),"Em Aberto",IF(Tabela2[[#This Row],[D/venc]]="-","Enviado",IF(Tabela2[[#This Row],[Dt Venc:]]=TODAY(),"Vence Hoje","Vencida")))</f>
        <v>Em Aberto</v>
      </c>
      <c r="F9710" s="3">
        <f ca="1">IF(G9710=1,"-",Tabela2[[#This Row],[Dt Venc:]]-TODAY())</f>
        <v>1287</v>
      </c>
      <c r="G9710" s="3"/>
      <c r="H9710" s="3"/>
    </row>
    <row r="9711" spans="1:8">
      <c r="A9711" s="3">
        <v>365682</v>
      </c>
      <c r="B9711" s="7" t="s">
        <v>250</v>
      </c>
      <c r="C9711" s="100" t="s">
        <v>32</v>
      </c>
      <c r="D9711" s="6">
        <v>46980</v>
      </c>
      <c r="E9711" s="3" t="str">
        <f ca="1">IF(Tabela2[[#This Row],[Dt Venc:]]&gt;TODAY(),"Em Aberto",IF(Tabela2[[#This Row],[D/venc]]="-","Enviado",IF(Tabela2[[#This Row],[Dt Venc:]]=TODAY(),"Vence Hoje","Vencida")))</f>
        <v>Em Aberto</v>
      </c>
      <c r="F9711" s="3">
        <f ca="1">IF(G9711=1,"-",Tabela2[[#This Row],[Dt Venc:]]-TODAY())</f>
        <v>1287</v>
      </c>
      <c r="G9711" s="3"/>
      <c r="H9711" s="3"/>
    </row>
    <row r="9712" spans="1:8">
      <c r="A9712" s="3">
        <v>369335</v>
      </c>
      <c r="B9712" s="7" t="s">
        <v>543</v>
      </c>
      <c r="C9712" s="87" t="s">
        <v>32</v>
      </c>
      <c r="D9712" s="6">
        <v>46980</v>
      </c>
      <c r="E9712" s="3" t="str">
        <f ca="1">IF(Tabela2[[#This Row],[Dt Venc:]]&gt;TODAY(),"Em Aberto",IF(Tabela2[[#This Row],[D/venc]]="-","Enviado",IF(Tabela2[[#This Row],[Dt Venc:]]=TODAY(),"Vence Hoje","Vencida")))</f>
        <v>Em Aberto</v>
      </c>
      <c r="F9712" s="3">
        <f ca="1">IF(G9712=1,"-",Tabela2[[#This Row],[Dt Venc:]]-TODAY())</f>
        <v>1287</v>
      </c>
      <c r="G9712" s="3"/>
      <c r="H9712" s="3"/>
    </row>
    <row r="9713" spans="1:8">
      <c r="A9713" s="3">
        <v>369696</v>
      </c>
      <c r="B9713" s="7" t="s">
        <v>543</v>
      </c>
      <c r="C9713" s="87" t="s">
        <v>32</v>
      </c>
      <c r="D9713" s="6">
        <v>46980</v>
      </c>
      <c r="E9713" s="3" t="str">
        <f ca="1">IF(Tabela2[[#This Row],[Dt Venc:]]&gt;TODAY(),"Em Aberto",IF(Tabela2[[#This Row],[D/venc]]="-","Enviado",IF(Tabela2[[#This Row],[Dt Venc:]]=TODAY(),"Vence Hoje","Vencida")))</f>
        <v>Em Aberto</v>
      </c>
      <c r="F9713" s="3">
        <f ca="1">IF(G9713=1,"-",Tabela2[[#This Row],[Dt Venc:]]-TODAY())</f>
        <v>1287</v>
      </c>
      <c r="G9713" s="3"/>
      <c r="H9713" s="3"/>
    </row>
    <row r="9714" spans="1:8">
      <c r="A9714" s="3">
        <v>369726</v>
      </c>
      <c r="B9714" s="7" t="s">
        <v>543</v>
      </c>
      <c r="C9714" s="87" t="s">
        <v>32</v>
      </c>
      <c r="D9714" s="6">
        <v>46980</v>
      </c>
      <c r="E9714" s="3" t="str">
        <f ca="1">IF(Tabela2[[#This Row],[Dt Venc:]]&gt;TODAY(),"Em Aberto",IF(Tabela2[[#This Row],[D/venc]]="-","Enviado",IF(Tabela2[[#This Row],[Dt Venc:]]=TODAY(),"Vence Hoje","Vencida")))</f>
        <v>Em Aberto</v>
      </c>
      <c r="F9714" s="3">
        <f ca="1">IF(G9714=1,"-",Tabela2[[#This Row],[Dt Venc:]]-TODAY())</f>
        <v>1287</v>
      </c>
      <c r="G9714" s="3"/>
      <c r="H9714" s="3"/>
    </row>
    <row r="9715" spans="1:8">
      <c r="A9715" s="3">
        <v>369751</v>
      </c>
      <c r="B9715" s="7" t="s">
        <v>543</v>
      </c>
      <c r="C9715" s="87" t="s">
        <v>32</v>
      </c>
      <c r="D9715" s="6">
        <v>46980</v>
      </c>
      <c r="E9715" s="3" t="str">
        <f ca="1">IF(Tabela2[[#This Row],[Dt Venc:]]&gt;TODAY(),"Em Aberto",IF(Tabela2[[#This Row],[D/venc]]="-","Enviado",IF(Tabela2[[#This Row],[Dt Venc:]]=TODAY(),"Vence Hoje","Vencida")))</f>
        <v>Em Aberto</v>
      </c>
      <c r="F9715" s="3">
        <f ca="1">IF(G9715=1,"-",Tabela2[[#This Row],[Dt Venc:]]-TODAY())</f>
        <v>1287</v>
      </c>
      <c r="G9715" s="3"/>
      <c r="H9715" s="3"/>
    </row>
    <row r="9716" spans="1:8">
      <c r="A9716" s="3">
        <v>370201</v>
      </c>
      <c r="B9716" s="7" t="s">
        <v>543</v>
      </c>
      <c r="C9716" s="87" t="s">
        <v>32</v>
      </c>
      <c r="D9716" s="6">
        <v>46980</v>
      </c>
      <c r="E9716" s="3" t="str">
        <f ca="1">IF(Tabela2[[#This Row],[Dt Venc:]]&gt;TODAY(),"Em Aberto",IF(Tabela2[[#This Row],[D/venc]]="-","Enviado",IF(Tabela2[[#This Row],[Dt Venc:]]=TODAY(),"Vence Hoje","Vencida")))</f>
        <v>Em Aberto</v>
      </c>
      <c r="F9716" s="3">
        <f ca="1">IF(G9716=1,"-",Tabela2[[#This Row],[Dt Venc:]]-TODAY())</f>
        <v>1287</v>
      </c>
      <c r="G9716" s="3"/>
      <c r="H9716" s="3"/>
    </row>
    <row r="9717" spans="1:8">
      <c r="A9717" s="3">
        <v>370864</v>
      </c>
      <c r="B9717" s="7" t="s">
        <v>543</v>
      </c>
      <c r="C9717" s="87" t="s">
        <v>32</v>
      </c>
      <c r="D9717" s="6">
        <v>46980</v>
      </c>
      <c r="E9717" s="3" t="str">
        <f ca="1">IF(Tabela2[[#This Row],[Dt Venc:]]&gt;TODAY(),"Em Aberto",IF(Tabela2[[#This Row],[D/venc]]="-","Enviado",IF(Tabela2[[#This Row],[Dt Venc:]]=TODAY(),"Vence Hoje","Vencida")))</f>
        <v>Em Aberto</v>
      </c>
      <c r="F9717" s="3">
        <f ca="1">IF(G9717=1,"-",Tabela2[[#This Row],[Dt Venc:]]-TODAY())</f>
        <v>1287</v>
      </c>
      <c r="G9717" s="3"/>
      <c r="H9717" s="3"/>
    </row>
    <row r="9718" spans="1:8">
      <c r="A9718" s="3">
        <v>371011</v>
      </c>
      <c r="B9718" s="7" t="s">
        <v>633</v>
      </c>
      <c r="C9718" s="87" t="s">
        <v>32</v>
      </c>
      <c r="D9718" s="6">
        <v>46980</v>
      </c>
      <c r="E9718" s="3" t="str">
        <f ca="1">IF(Tabela2[[#This Row],[Dt Venc:]]&gt;TODAY(),"Em Aberto",IF(Tabela2[[#This Row],[D/venc]]="-","Enviado",IF(Tabela2[[#This Row],[Dt Venc:]]=TODAY(),"Vence Hoje","Vencida")))</f>
        <v>Em Aberto</v>
      </c>
      <c r="F9718" s="3">
        <f ca="1">IF(G9718=1,"-",Tabela2[[#This Row],[Dt Venc:]]-TODAY())</f>
        <v>1287</v>
      </c>
      <c r="G9718" s="3"/>
      <c r="H9718" s="3"/>
    </row>
    <row r="9719" spans="1:8">
      <c r="A9719" s="3">
        <v>371160</v>
      </c>
      <c r="B9719" s="7" t="s">
        <v>633</v>
      </c>
      <c r="C9719" s="87" t="s">
        <v>32</v>
      </c>
      <c r="D9719" s="6">
        <v>46980</v>
      </c>
      <c r="E9719" s="3" t="str">
        <f ca="1">IF(Tabela2[[#This Row],[Dt Venc:]]&gt;TODAY(),"Em Aberto",IF(Tabela2[[#This Row],[D/venc]]="-","Enviado",IF(Tabela2[[#This Row],[Dt Venc:]]=TODAY(),"Vence Hoje","Vencida")))</f>
        <v>Em Aberto</v>
      </c>
      <c r="F9719" s="3">
        <f ca="1">IF(G9719=1,"-",Tabela2[[#This Row],[Dt Venc:]]-TODAY())</f>
        <v>1287</v>
      </c>
      <c r="G9719" s="3"/>
      <c r="H9719" s="3"/>
    </row>
    <row r="9720" spans="1:8">
      <c r="A9720" s="3">
        <v>892178</v>
      </c>
      <c r="B9720" s="7" t="s">
        <v>253</v>
      </c>
      <c r="C9720" s="100" t="s">
        <v>32</v>
      </c>
      <c r="D9720" s="6">
        <v>46980</v>
      </c>
      <c r="E9720" s="3" t="str">
        <f ca="1">IF(Tabela2[[#This Row],[Dt Venc:]]&gt;TODAY(),"Em Aberto",IF(Tabela2[[#This Row],[D/venc]]="-","Enviado",IF(Tabela2[[#This Row],[Dt Venc:]]=TODAY(),"Vence Hoje","Vencida")))</f>
        <v>Em Aberto</v>
      </c>
      <c r="F9720" s="3">
        <f ca="1">IF(G9720=1,"-",Tabela2[[#This Row],[Dt Venc:]]-TODAY())</f>
        <v>1287</v>
      </c>
      <c r="G9720" s="3"/>
      <c r="H9720" s="3"/>
    </row>
    <row r="9721" spans="1:8">
      <c r="A9721" s="3">
        <v>894135</v>
      </c>
      <c r="B9721" s="7" t="s">
        <v>253</v>
      </c>
      <c r="C9721" s="100" t="s">
        <v>32</v>
      </c>
      <c r="D9721" s="6">
        <v>46980</v>
      </c>
      <c r="E9721" s="3" t="str">
        <f ca="1">IF(Tabela2[[#This Row],[Dt Venc:]]&gt;TODAY(),"Em Aberto",IF(Tabela2[[#This Row],[D/venc]]="-","Enviado",IF(Tabela2[[#This Row],[Dt Venc:]]=TODAY(),"Vence Hoje","Vencida")))</f>
        <v>Em Aberto</v>
      </c>
      <c r="F9721" s="3">
        <f ca="1">IF(G9721=1,"-",Tabela2[[#This Row],[Dt Venc:]]-TODAY())</f>
        <v>1287</v>
      </c>
      <c r="G9721" s="3"/>
      <c r="H9721" s="3"/>
    </row>
    <row r="9722" spans="1:8">
      <c r="A9722" s="3">
        <v>896565</v>
      </c>
      <c r="B9722" s="7" t="s">
        <v>253</v>
      </c>
      <c r="C9722" s="100" t="s">
        <v>32</v>
      </c>
      <c r="D9722" s="6">
        <v>46980</v>
      </c>
      <c r="E9722" s="3" t="str">
        <f ca="1">IF(Tabela2[[#This Row],[Dt Venc:]]&gt;TODAY(),"Em Aberto",IF(Tabela2[[#This Row],[D/venc]]="-","Enviado",IF(Tabela2[[#This Row],[Dt Venc:]]=TODAY(),"Vence Hoje","Vencida")))</f>
        <v>Em Aberto</v>
      </c>
      <c r="F9722" s="3">
        <f ca="1">IF(G9722=1,"-",Tabela2[[#This Row],[Dt Venc:]]-TODAY())</f>
        <v>1287</v>
      </c>
      <c r="G9722" s="3"/>
      <c r="H9722" s="3"/>
    </row>
    <row r="9723" spans="1:8">
      <c r="A9723" s="3">
        <v>900386</v>
      </c>
      <c r="B9723" s="7" t="s">
        <v>253</v>
      </c>
      <c r="C9723" s="100" t="s">
        <v>32</v>
      </c>
      <c r="D9723" s="6">
        <v>46980</v>
      </c>
      <c r="E9723" s="3" t="str">
        <f ca="1">IF(Tabela2[[#This Row],[Dt Venc:]]&gt;TODAY(),"Em Aberto",IF(Tabela2[[#This Row],[D/venc]]="-","Enviado",IF(Tabela2[[#This Row],[Dt Venc:]]=TODAY(),"Vence Hoje","Vencida")))</f>
        <v>Em Aberto</v>
      </c>
      <c r="F9723" s="3">
        <f ca="1">IF(G9723=1,"-",Tabela2[[#This Row],[Dt Venc:]]-TODAY())</f>
        <v>1287</v>
      </c>
      <c r="G9723" s="3"/>
      <c r="H9723" s="3"/>
    </row>
    <row r="9724" spans="1:8">
      <c r="A9724" s="3">
        <v>901787</v>
      </c>
      <c r="B9724" s="7" t="s">
        <v>253</v>
      </c>
      <c r="C9724" s="99" t="s">
        <v>32</v>
      </c>
      <c r="D9724" s="6">
        <v>46980</v>
      </c>
      <c r="E9724" s="3" t="str">
        <f ca="1">IF(Tabela2[[#This Row],[Dt Venc:]]&gt;TODAY(),"Em Aberto",IF(Tabela2[[#This Row],[D/venc]]="-","Enviado",IF(Tabela2[[#This Row],[Dt Venc:]]=TODAY(),"Vence Hoje","Vencida")))</f>
        <v>Em Aberto</v>
      </c>
      <c r="F9724" s="3">
        <f ca="1">IF(G9724=1,"-",Tabela2[[#This Row],[Dt Venc:]]-TODAY())</f>
        <v>1287</v>
      </c>
      <c r="G9724" s="3"/>
      <c r="H9724" s="3"/>
    </row>
    <row r="9725" spans="1:8">
      <c r="A9725" s="3">
        <v>901788</v>
      </c>
      <c r="B9725" s="7" t="s">
        <v>253</v>
      </c>
      <c r="C9725" s="100" t="s">
        <v>32</v>
      </c>
      <c r="D9725" s="6">
        <v>46980</v>
      </c>
      <c r="E9725" s="3" t="str">
        <f ca="1">IF(Tabela2[[#This Row],[Dt Venc:]]&gt;TODAY(),"Em Aberto",IF(Tabela2[[#This Row],[D/venc]]="-","Enviado",IF(Tabela2[[#This Row],[Dt Venc:]]=TODAY(),"Vence Hoje","Vencida")))</f>
        <v>Em Aberto</v>
      </c>
      <c r="F9725" s="3">
        <f ca="1">IF(G9725=1,"-",Tabela2[[#This Row],[Dt Venc:]]-TODAY())</f>
        <v>1287</v>
      </c>
      <c r="G9725" s="3"/>
      <c r="H9725" s="3"/>
    </row>
    <row r="9726" spans="1:8">
      <c r="A9726" s="3">
        <v>901789</v>
      </c>
      <c r="B9726" s="7" t="s">
        <v>253</v>
      </c>
      <c r="C9726" s="99" t="s">
        <v>32</v>
      </c>
      <c r="D9726" s="6">
        <v>46980</v>
      </c>
      <c r="E9726" s="3" t="str">
        <f ca="1">IF(Tabela2[[#This Row],[Dt Venc:]]&gt;TODAY(),"Em Aberto",IF(Tabela2[[#This Row],[D/venc]]="-","Enviado",IF(Tabela2[[#This Row],[Dt Venc:]]=TODAY(),"Vence Hoje","Vencida")))</f>
        <v>Em Aberto</v>
      </c>
      <c r="F9726" s="3">
        <f ca="1">IF(G9726=1,"-",Tabela2[[#This Row],[Dt Venc:]]-TODAY())</f>
        <v>1287</v>
      </c>
      <c r="G9726" s="3"/>
      <c r="H9726" s="3"/>
    </row>
    <row r="9727" spans="1:8">
      <c r="A9727" s="3">
        <v>912703</v>
      </c>
      <c r="B9727" s="7" t="s">
        <v>253</v>
      </c>
      <c r="C9727" s="99" t="s">
        <v>32</v>
      </c>
      <c r="D9727" s="6">
        <v>46980</v>
      </c>
      <c r="E9727" s="3" t="str">
        <f ca="1">IF(Tabela2[[#This Row],[Dt Venc:]]&gt;TODAY(),"Em Aberto",IF(Tabela2[[#This Row],[D/venc]]="-","Enviado",IF(Tabela2[[#This Row],[Dt Venc:]]=TODAY(),"Vence Hoje","Vencida")))</f>
        <v>Em Aberto</v>
      </c>
      <c r="F9727" s="3">
        <f ca="1">IF(G9727=1,"-",Tabela2[[#This Row],[Dt Venc:]]-TODAY())</f>
        <v>1287</v>
      </c>
      <c r="G9727" s="3"/>
      <c r="H9727" s="3"/>
    </row>
    <row r="9728" spans="1:8">
      <c r="A9728" s="3">
        <v>912704</v>
      </c>
      <c r="B9728" s="7" t="s">
        <v>253</v>
      </c>
      <c r="C9728" s="99" t="s">
        <v>32</v>
      </c>
      <c r="D9728" s="6">
        <v>46980</v>
      </c>
      <c r="E9728" s="3" t="str">
        <f ca="1">IF(Tabela2[[#This Row],[Dt Venc:]]&gt;TODAY(),"Em Aberto",IF(Tabela2[[#This Row],[D/venc]]="-","Enviado",IF(Tabela2[[#This Row],[Dt Venc:]]=TODAY(),"Vence Hoje","Vencida")))</f>
        <v>Em Aberto</v>
      </c>
      <c r="F9728" s="3">
        <f ca="1">IF(G9728=1,"-",Tabela2[[#This Row],[Dt Venc:]]-TODAY())</f>
        <v>1287</v>
      </c>
      <c r="G9728" s="3"/>
      <c r="H9728" s="3"/>
    </row>
    <row r="9729" spans="1:8">
      <c r="A9729" s="3">
        <v>919728</v>
      </c>
      <c r="B9729" s="7" t="s">
        <v>253</v>
      </c>
      <c r="C9729" s="87" t="s">
        <v>32</v>
      </c>
      <c r="D9729" s="6">
        <v>46980</v>
      </c>
      <c r="E9729" s="3" t="str">
        <f ca="1">IF(Tabela2[[#This Row],[Dt Venc:]]&gt;TODAY(),"Em Aberto",IF(Tabela2[[#This Row],[D/venc]]="-","Enviado",IF(Tabela2[[#This Row],[Dt Venc:]]=TODAY(),"Vence Hoje","Vencida")))</f>
        <v>Em Aberto</v>
      </c>
      <c r="F9729" s="3">
        <f ca="1">IF(G9729=1,"-",Tabela2[[#This Row],[Dt Venc:]]-TODAY())</f>
        <v>1287</v>
      </c>
      <c r="G9729" s="3"/>
      <c r="H9729" s="3"/>
    </row>
    <row r="9730" spans="1:8">
      <c r="A9730" s="3">
        <v>919729</v>
      </c>
      <c r="B9730" s="7" t="s">
        <v>253</v>
      </c>
      <c r="C9730" s="85" t="s">
        <v>32</v>
      </c>
      <c r="D9730" s="6">
        <v>46980</v>
      </c>
      <c r="E9730" s="3" t="str">
        <f ca="1">IF(Tabela2[[#This Row],[Dt Venc:]]&gt;TODAY(),"Em Aberto",IF(Tabela2[[#This Row],[D/venc]]="-","Enviado",IF(Tabela2[[#This Row],[Dt Venc:]]=TODAY(),"Vence Hoje","Vencida")))</f>
        <v>Em Aberto</v>
      </c>
      <c r="F9730" s="3">
        <f ca="1">IF(G9730=1,"-",Tabela2[[#This Row],[Dt Venc:]]-TODAY())</f>
        <v>1287</v>
      </c>
      <c r="G9730" s="3"/>
      <c r="H9730" s="3"/>
    </row>
    <row r="9731" spans="1:8">
      <c r="A9731" s="3">
        <v>495914</v>
      </c>
      <c r="B9731" s="7" t="s">
        <v>153</v>
      </c>
      <c r="C9731" s="100" t="s">
        <v>32</v>
      </c>
      <c r="D9731" s="6">
        <v>46990</v>
      </c>
      <c r="E9731" s="3" t="str">
        <f ca="1">IF(Tabela2[[#This Row],[Dt Venc:]]&gt;TODAY(),"Em Aberto",IF(Tabela2[[#This Row],[D/venc]]="-","Enviado",IF(Tabela2[[#This Row],[Dt Venc:]]=TODAY(),"Vence Hoje","Vencida")))</f>
        <v>Em Aberto</v>
      </c>
      <c r="F9731" s="3">
        <f ca="1">IF(G9731=1,"-",Tabela2[[#This Row],[Dt Venc:]]-TODAY())</f>
        <v>1297</v>
      </c>
      <c r="G9731" s="3"/>
      <c r="H9731" s="3"/>
    </row>
    <row r="9732" spans="1:8">
      <c r="A9732" s="3">
        <v>11681</v>
      </c>
      <c r="B9732" s="7" t="s">
        <v>82</v>
      </c>
      <c r="C9732" s="87" t="s">
        <v>30</v>
      </c>
      <c r="D9732" s="6">
        <v>46996</v>
      </c>
      <c r="E9732" s="3" t="str">
        <f ca="1">IF(Tabela2[[#This Row],[Dt Venc:]]&gt;TODAY(),"Em Aberto",IF(Tabela2[[#This Row],[D/venc]]="-","Enviado",IF(Tabela2[[#This Row],[Dt Venc:]]=TODAY(),"Vence Hoje","Vencida")))</f>
        <v>Em Aberto</v>
      </c>
      <c r="F9732" s="3">
        <f ca="1">IF(G9732=1,"-",Tabela2[[#This Row],[Dt Venc:]]-TODAY())</f>
        <v>1303</v>
      </c>
      <c r="G9732" s="3"/>
      <c r="H9732" s="3"/>
    </row>
    <row r="9733" spans="1:8">
      <c r="A9733" s="3">
        <v>284620</v>
      </c>
      <c r="B9733" s="7" t="s">
        <v>153</v>
      </c>
      <c r="C9733" s="100" t="s">
        <v>32</v>
      </c>
      <c r="D9733" s="6">
        <v>47004</v>
      </c>
      <c r="E9733" s="3" t="str">
        <f ca="1">IF(Tabela2[[#This Row],[Dt Venc:]]&gt;TODAY(),"Em Aberto",IF(Tabela2[[#This Row],[D/venc]]="-","Enviado",IF(Tabela2[[#This Row],[Dt Venc:]]=TODAY(),"Vence Hoje","Vencida")))</f>
        <v>Em Aberto</v>
      </c>
      <c r="F9733" s="3">
        <f ca="1">IF(G9733=1,"-",Tabela2[[#This Row],[Dt Venc:]]-TODAY())</f>
        <v>1311</v>
      </c>
      <c r="G9733" s="3"/>
      <c r="H9733" s="3"/>
    </row>
    <row r="9734" spans="1:8">
      <c r="A9734" s="3">
        <v>562</v>
      </c>
      <c r="B9734" s="7" t="s">
        <v>251</v>
      </c>
      <c r="C9734" s="99" t="s">
        <v>32</v>
      </c>
      <c r="D9734" s="6">
        <v>47011</v>
      </c>
      <c r="E9734" s="3" t="str">
        <f ca="1">IF(Tabela2[[#This Row],[Dt Venc:]]&gt;TODAY(),"Em Aberto",IF(Tabela2[[#This Row],[D/venc]]="-","Enviado",IF(Tabela2[[#This Row],[Dt Venc:]]=TODAY(),"Vence Hoje","Vencida")))</f>
        <v>Em Aberto</v>
      </c>
      <c r="F9734" s="3">
        <f ca="1">IF(G9734=1,"-",Tabela2[[#This Row],[Dt Venc:]]-TODAY())</f>
        <v>1318</v>
      </c>
      <c r="G9734" s="3"/>
      <c r="H9734" s="3"/>
    </row>
    <row r="9735" spans="1:8">
      <c r="A9735" s="3">
        <v>361229</v>
      </c>
      <c r="B9735" s="7" t="s">
        <v>250</v>
      </c>
      <c r="C9735" s="100" t="s">
        <v>32</v>
      </c>
      <c r="D9735" s="6">
        <v>47011</v>
      </c>
      <c r="E9735" s="3" t="str">
        <f ca="1">IF(Tabela2[[#This Row],[Dt Venc:]]&gt;TODAY(),"Em Aberto",IF(Tabela2[[#This Row],[D/venc]]="-","Enviado",IF(Tabela2[[#This Row],[Dt Venc:]]=TODAY(),"Vence Hoje","Vencida")))</f>
        <v>Em Aberto</v>
      </c>
      <c r="F9735" s="3">
        <f ca="1">IF(G9735=1,"-",Tabela2[[#This Row],[Dt Venc:]]-TODAY())</f>
        <v>1318</v>
      </c>
      <c r="G9735" s="3"/>
      <c r="H9735" s="3"/>
    </row>
    <row r="9736" spans="1:8">
      <c r="A9736" s="3">
        <v>361237</v>
      </c>
      <c r="B9736" s="7" t="s">
        <v>250</v>
      </c>
      <c r="C9736" s="100" t="s">
        <v>32</v>
      </c>
      <c r="D9736" s="6">
        <v>47011</v>
      </c>
      <c r="E9736" s="3" t="str">
        <f ca="1">IF(Tabela2[[#This Row],[Dt Venc:]]&gt;TODAY(),"Em Aberto",IF(Tabela2[[#This Row],[D/venc]]="-","Enviado",IF(Tabela2[[#This Row],[Dt Venc:]]=TODAY(),"Vence Hoje","Vencida")))</f>
        <v>Em Aberto</v>
      </c>
      <c r="F9736" s="3">
        <f ca="1">IF(G9736=1,"-",Tabela2[[#This Row],[Dt Venc:]]-TODAY())</f>
        <v>1318</v>
      </c>
      <c r="G9736" s="3"/>
      <c r="H9736" s="3"/>
    </row>
    <row r="9737" spans="1:8">
      <c r="A9737" s="3">
        <v>365658</v>
      </c>
      <c r="B9737" s="7" t="s">
        <v>250</v>
      </c>
      <c r="C9737" s="100" t="s">
        <v>32</v>
      </c>
      <c r="D9737" s="6">
        <v>47011</v>
      </c>
      <c r="E9737" s="3" t="str">
        <f ca="1">IF(Tabela2[[#This Row],[Dt Venc:]]&gt;TODAY(),"Em Aberto",IF(Tabela2[[#This Row],[D/venc]]="-","Enviado",IF(Tabela2[[#This Row],[Dt Venc:]]=TODAY(),"Vence Hoje","Vencida")))</f>
        <v>Em Aberto</v>
      </c>
      <c r="F9737" s="3">
        <f ca="1">IF(G9737=1,"-",Tabela2[[#This Row],[Dt Venc:]]-TODAY())</f>
        <v>1318</v>
      </c>
      <c r="G9737" s="3"/>
      <c r="H9737" s="3"/>
    </row>
    <row r="9738" spans="1:8">
      <c r="A9738" s="3">
        <v>365666</v>
      </c>
      <c r="B9738" s="7" t="s">
        <v>250</v>
      </c>
      <c r="C9738" s="100" t="s">
        <v>32</v>
      </c>
      <c r="D9738" s="6">
        <v>47011</v>
      </c>
      <c r="E9738" s="3" t="str">
        <f ca="1">IF(Tabela2[[#This Row],[Dt Venc:]]&gt;TODAY(),"Em Aberto",IF(Tabela2[[#This Row],[D/venc]]="-","Enviado",IF(Tabela2[[#This Row],[Dt Venc:]]=TODAY(),"Vence Hoje","Vencida")))</f>
        <v>Em Aberto</v>
      </c>
      <c r="F9738" s="3">
        <f ca="1">IF(G9738=1,"-",Tabela2[[#This Row],[Dt Venc:]]-TODAY())</f>
        <v>1318</v>
      </c>
      <c r="G9738" s="3"/>
      <c r="H9738" s="3"/>
    </row>
    <row r="9739" spans="1:8">
      <c r="A9739" s="3">
        <v>365674</v>
      </c>
      <c r="B9739" s="7" t="s">
        <v>250</v>
      </c>
      <c r="C9739" s="100" t="s">
        <v>32</v>
      </c>
      <c r="D9739" s="6">
        <v>47011</v>
      </c>
      <c r="E9739" s="3" t="str">
        <f ca="1">IF(Tabela2[[#This Row],[Dt Venc:]]&gt;TODAY(),"Em Aberto",IF(Tabela2[[#This Row],[D/venc]]="-","Enviado",IF(Tabela2[[#This Row],[Dt Venc:]]=TODAY(),"Vence Hoje","Vencida")))</f>
        <v>Em Aberto</v>
      </c>
      <c r="F9739" s="3">
        <f ca="1">IF(G9739=1,"-",Tabela2[[#This Row],[Dt Venc:]]-TODAY())</f>
        <v>1318</v>
      </c>
      <c r="G9739" s="3"/>
      <c r="H9739" s="3"/>
    </row>
    <row r="9740" spans="1:8">
      <c r="A9740" s="3">
        <v>365682</v>
      </c>
      <c r="B9740" s="7" t="s">
        <v>250</v>
      </c>
      <c r="C9740" s="100" t="s">
        <v>32</v>
      </c>
      <c r="D9740" s="6">
        <v>47011</v>
      </c>
      <c r="E9740" s="3" t="str">
        <f ca="1">IF(Tabela2[[#This Row],[Dt Venc:]]&gt;TODAY(),"Em Aberto",IF(Tabela2[[#This Row],[D/venc]]="-","Enviado",IF(Tabela2[[#This Row],[Dt Venc:]]=TODAY(),"Vence Hoje","Vencida")))</f>
        <v>Em Aberto</v>
      </c>
      <c r="F9740" s="3">
        <f ca="1">IF(G9740=1,"-",Tabela2[[#This Row],[Dt Venc:]]-TODAY())</f>
        <v>1318</v>
      </c>
      <c r="G9740" s="3"/>
      <c r="H9740" s="3"/>
    </row>
    <row r="9741" spans="1:8">
      <c r="A9741" s="3">
        <v>369335</v>
      </c>
      <c r="B9741" s="7" t="s">
        <v>543</v>
      </c>
      <c r="C9741" s="87" t="s">
        <v>32</v>
      </c>
      <c r="D9741" s="6">
        <v>47011</v>
      </c>
      <c r="E9741" s="3" t="str">
        <f ca="1">IF(Tabela2[[#This Row],[Dt Venc:]]&gt;TODAY(),"Em Aberto",IF(Tabela2[[#This Row],[D/venc]]="-","Enviado",IF(Tabela2[[#This Row],[Dt Venc:]]=TODAY(),"Vence Hoje","Vencida")))</f>
        <v>Em Aberto</v>
      </c>
      <c r="F9741" s="3">
        <f ca="1">IF(G9741=1,"-",Tabela2[[#This Row],[Dt Venc:]]-TODAY())</f>
        <v>1318</v>
      </c>
      <c r="G9741" s="3"/>
      <c r="H9741" s="3"/>
    </row>
    <row r="9742" spans="1:8">
      <c r="A9742" s="3">
        <v>369696</v>
      </c>
      <c r="B9742" s="7" t="s">
        <v>543</v>
      </c>
      <c r="C9742" s="87" t="s">
        <v>32</v>
      </c>
      <c r="D9742" s="6">
        <v>47011</v>
      </c>
      <c r="E9742" s="3" t="str">
        <f ca="1">IF(Tabela2[[#This Row],[Dt Venc:]]&gt;TODAY(),"Em Aberto",IF(Tabela2[[#This Row],[D/venc]]="-","Enviado",IF(Tabela2[[#This Row],[Dt Venc:]]=TODAY(),"Vence Hoje","Vencida")))</f>
        <v>Em Aberto</v>
      </c>
      <c r="F9742" s="3">
        <f ca="1">IF(G9742=1,"-",Tabela2[[#This Row],[Dt Venc:]]-TODAY())</f>
        <v>1318</v>
      </c>
      <c r="G9742" s="3"/>
      <c r="H9742" s="3"/>
    </row>
    <row r="9743" spans="1:8">
      <c r="A9743" s="3">
        <v>369726</v>
      </c>
      <c r="B9743" s="7" t="s">
        <v>543</v>
      </c>
      <c r="C9743" s="87" t="s">
        <v>32</v>
      </c>
      <c r="D9743" s="6">
        <v>47011</v>
      </c>
      <c r="E9743" s="3" t="str">
        <f ca="1">IF(Tabela2[[#This Row],[Dt Venc:]]&gt;TODAY(),"Em Aberto",IF(Tabela2[[#This Row],[D/venc]]="-","Enviado",IF(Tabela2[[#This Row],[Dt Venc:]]=TODAY(),"Vence Hoje","Vencida")))</f>
        <v>Em Aberto</v>
      </c>
      <c r="F9743" s="3">
        <f ca="1">IF(G9743=1,"-",Tabela2[[#This Row],[Dt Venc:]]-TODAY())</f>
        <v>1318</v>
      </c>
      <c r="G9743" s="3"/>
      <c r="H9743" s="3"/>
    </row>
    <row r="9744" spans="1:8">
      <c r="A9744" s="3">
        <v>369751</v>
      </c>
      <c r="B9744" s="7" t="s">
        <v>543</v>
      </c>
      <c r="C9744" s="87" t="s">
        <v>32</v>
      </c>
      <c r="D9744" s="6">
        <v>47011</v>
      </c>
      <c r="E9744" s="3" t="str">
        <f ca="1">IF(Tabela2[[#This Row],[Dt Venc:]]&gt;TODAY(),"Em Aberto",IF(Tabela2[[#This Row],[D/venc]]="-","Enviado",IF(Tabela2[[#This Row],[Dt Venc:]]=TODAY(),"Vence Hoje","Vencida")))</f>
        <v>Em Aberto</v>
      </c>
      <c r="F9744" s="3">
        <f ca="1">IF(G9744=1,"-",Tabela2[[#This Row],[Dt Venc:]]-TODAY())</f>
        <v>1318</v>
      </c>
      <c r="G9744" s="3"/>
      <c r="H9744" s="3"/>
    </row>
    <row r="9745" spans="1:8">
      <c r="A9745" s="3">
        <v>370201</v>
      </c>
      <c r="B9745" s="7" t="s">
        <v>543</v>
      </c>
      <c r="C9745" s="87" t="s">
        <v>32</v>
      </c>
      <c r="D9745" s="6">
        <v>47011</v>
      </c>
      <c r="E9745" s="3" t="str">
        <f ca="1">IF(Tabela2[[#This Row],[Dt Venc:]]&gt;TODAY(),"Em Aberto",IF(Tabela2[[#This Row],[D/venc]]="-","Enviado",IF(Tabela2[[#This Row],[Dt Venc:]]=TODAY(),"Vence Hoje","Vencida")))</f>
        <v>Em Aberto</v>
      </c>
      <c r="F9745" s="3">
        <f ca="1">IF(G9745=1,"-",Tabela2[[#This Row],[Dt Venc:]]-TODAY())</f>
        <v>1318</v>
      </c>
      <c r="G9745" s="3"/>
      <c r="H9745" s="3"/>
    </row>
    <row r="9746" spans="1:8">
      <c r="A9746" s="3">
        <v>370864</v>
      </c>
      <c r="B9746" s="7" t="s">
        <v>543</v>
      </c>
      <c r="C9746" s="87" t="s">
        <v>32</v>
      </c>
      <c r="D9746" s="6">
        <v>47011</v>
      </c>
      <c r="E9746" s="3" t="str">
        <f ca="1">IF(Tabela2[[#This Row],[Dt Venc:]]&gt;TODAY(),"Em Aberto",IF(Tabela2[[#This Row],[D/venc]]="-","Enviado",IF(Tabela2[[#This Row],[Dt Venc:]]=TODAY(),"Vence Hoje","Vencida")))</f>
        <v>Em Aberto</v>
      </c>
      <c r="F9746" s="3">
        <f ca="1">IF(G9746=1,"-",Tabela2[[#This Row],[Dt Venc:]]-TODAY())</f>
        <v>1318</v>
      </c>
      <c r="G9746" s="3"/>
      <c r="H9746" s="3"/>
    </row>
    <row r="9747" spans="1:8">
      <c r="A9747" s="3">
        <v>371011</v>
      </c>
      <c r="B9747" s="7" t="s">
        <v>633</v>
      </c>
      <c r="C9747" s="87" t="s">
        <v>32</v>
      </c>
      <c r="D9747" s="6">
        <v>47011</v>
      </c>
      <c r="E9747" s="3" t="str">
        <f ca="1">IF(Tabela2[[#This Row],[Dt Venc:]]&gt;TODAY(),"Em Aberto",IF(Tabela2[[#This Row],[D/venc]]="-","Enviado",IF(Tabela2[[#This Row],[Dt Venc:]]=TODAY(),"Vence Hoje","Vencida")))</f>
        <v>Em Aberto</v>
      </c>
      <c r="F9747" s="3">
        <f ca="1">IF(G9747=1,"-",Tabela2[[#This Row],[Dt Venc:]]-TODAY())</f>
        <v>1318</v>
      </c>
      <c r="G9747" s="3"/>
      <c r="H9747" s="3"/>
    </row>
    <row r="9748" spans="1:8">
      <c r="A9748" s="3">
        <v>371160</v>
      </c>
      <c r="B9748" s="7" t="s">
        <v>633</v>
      </c>
      <c r="C9748" s="87" t="s">
        <v>32</v>
      </c>
      <c r="D9748" s="6">
        <v>47011</v>
      </c>
      <c r="E9748" s="3" t="str">
        <f ca="1">IF(Tabela2[[#This Row],[Dt Venc:]]&gt;TODAY(),"Em Aberto",IF(Tabela2[[#This Row],[D/venc]]="-","Enviado",IF(Tabela2[[#This Row],[Dt Venc:]]=TODAY(),"Vence Hoje","Vencida")))</f>
        <v>Em Aberto</v>
      </c>
      <c r="F9748" s="3">
        <f ca="1">IF(G9748=1,"-",Tabela2[[#This Row],[Dt Venc:]]-TODAY())</f>
        <v>1318</v>
      </c>
      <c r="G9748" s="3"/>
      <c r="H9748" s="3"/>
    </row>
    <row r="9749" spans="1:8">
      <c r="A9749" s="3">
        <v>892178</v>
      </c>
      <c r="B9749" s="7" t="s">
        <v>253</v>
      </c>
      <c r="C9749" s="100" t="s">
        <v>32</v>
      </c>
      <c r="D9749" s="6">
        <v>47011</v>
      </c>
      <c r="E9749" s="3" t="str">
        <f ca="1">IF(Tabela2[[#This Row],[Dt Venc:]]&gt;TODAY(),"Em Aberto",IF(Tabela2[[#This Row],[D/venc]]="-","Enviado",IF(Tabela2[[#This Row],[Dt Venc:]]=TODAY(),"Vence Hoje","Vencida")))</f>
        <v>Em Aberto</v>
      </c>
      <c r="F9749" s="3">
        <f ca="1">IF(G9749=1,"-",Tabela2[[#This Row],[Dt Venc:]]-TODAY())</f>
        <v>1318</v>
      </c>
      <c r="G9749" s="3"/>
      <c r="H9749" s="3"/>
    </row>
    <row r="9750" spans="1:8">
      <c r="A9750" s="3">
        <v>894135</v>
      </c>
      <c r="B9750" s="7" t="s">
        <v>253</v>
      </c>
      <c r="C9750" s="100" t="s">
        <v>32</v>
      </c>
      <c r="D9750" s="6">
        <v>47011</v>
      </c>
      <c r="E9750" s="3" t="str">
        <f ca="1">IF(Tabela2[[#This Row],[Dt Venc:]]&gt;TODAY(),"Em Aberto",IF(Tabela2[[#This Row],[D/venc]]="-","Enviado",IF(Tabela2[[#This Row],[Dt Venc:]]=TODAY(),"Vence Hoje","Vencida")))</f>
        <v>Em Aberto</v>
      </c>
      <c r="F9750" s="3">
        <f ca="1">IF(G9750=1,"-",Tabela2[[#This Row],[Dt Venc:]]-TODAY())</f>
        <v>1318</v>
      </c>
      <c r="G9750" s="3"/>
      <c r="H9750" s="3"/>
    </row>
    <row r="9751" spans="1:8">
      <c r="A9751" s="3">
        <v>896565</v>
      </c>
      <c r="B9751" s="7" t="s">
        <v>253</v>
      </c>
      <c r="C9751" s="100" t="s">
        <v>32</v>
      </c>
      <c r="D9751" s="6">
        <v>47011</v>
      </c>
      <c r="E9751" s="3" t="str">
        <f ca="1">IF(Tabela2[[#This Row],[Dt Venc:]]&gt;TODAY(),"Em Aberto",IF(Tabela2[[#This Row],[D/venc]]="-","Enviado",IF(Tabela2[[#This Row],[Dt Venc:]]=TODAY(),"Vence Hoje","Vencida")))</f>
        <v>Em Aberto</v>
      </c>
      <c r="F9751" s="3">
        <f ca="1">IF(G9751=1,"-",Tabela2[[#This Row],[Dt Venc:]]-TODAY())</f>
        <v>1318</v>
      </c>
      <c r="G9751" s="3"/>
      <c r="H9751" s="3"/>
    </row>
    <row r="9752" spans="1:8">
      <c r="A9752" s="3">
        <v>900386</v>
      </c>
      <c r="B9752" s="7" t="s">
        <v>253</v>
      </c>
      <c r="C9752" s="100" t="s">
        <v>32</v>
      </c>
      <c r="D9752" s="6">
        <v>47011</v>
      </c>
      <c r="E9752" s="3" t="str">
        <f ca="1">IF(Tabela2[[#This Row],[Dt Venc:]]&gt;TODAY(),"Em Aberto",IF(Tabela2[[#This Row],[D/venc]]="-","Enviado",IF(Tabela2[[#This Row],[Dt Venc:]]=TODAY(),"Vence Hoje","Vencida")))</f>
        <v>Em Aberto</v>
      </c>
      <c r="F9752" s="3">
        <f ca="1">IF(G9752=1,"-",Tabela2[[#This Row],[Dt Venc:]]-TODAY())</f>
        <v>1318</v>
      </c>
      <c r="G9752" s="3"/>
      <c r="H9752" s="3"/>
    </row>
    <row r="9753" spans="1:8">
      <c r="A9753" s="3">
        <v>901787</v>
      </c>
      <c r="B9753" s="7" t="s">
        <v>253</v>
      </c>
      <c r="C9753" s="99" t="s">
        <v>32</v>
      </c>
      <c r="D9753" s="6">
        <v>47011</v>
      </c>
      <c r="E9753" s="3" t="str">
        <f ca="1">IF(Tabela2[[#This Row],[Dt Venc:]]&gt;TODAY(),"Em Aberto",IF(Tabela2[[#This Row],[D/venc]]="-","Enviado",IF(Tabela2[[#This Row],[Dt Venc:]]=TODAY(),"Vence Hoje","Vencida")))</f>
        <v>Em Aberto</v>
      </c>
      <c r="F9753" s="3">
        <f ca="1">IF(G9753=1,"-",Tabela2[[#This Row],[Dt Venc:]]-TODAY())</f>
        <v>1318</v>
      </c>
      <c r="G9753" s="3"/>
      <c r="H9753" s="3"/>
    </row>
    <row r="9754" spans="1:8">
      <c r="A9754" s="3">
        <v>901788</v>
      </c>
      <c r="B9754" s="7" t="s">
        <v>253</v>
      </c>
      <c r="C9754" s="100" t="s">
        <v>32</v>
      </c>
      <c r="D9754" s="6">
        <v>47011</v>
      </c>
      <c r="E9754" s="3" t="str">
        <f ca="1">IF(Tabela2[[#This Row],[Dt Venc:]]&gt;TODAY(),"Em Aberto",IF(Tabela2[[#This Row],[D/venc]]="-","Enviado",IF(Tabela2[[#This Row],[Dt Venc:]]=TODAY(),"Vence Hoje","Vencida")))</f>
        <v>Em Aberto</v>
      </c>
      <c r="F9754" s="3">
        <f ca="1">IF(G9754=1,"-",Tabela2[[#This Row],[Dt Venc:]]-TODAY())</f>
        <v>1318</v>
      </c>
      <c r="G9754" s="3"/>
      <c r="H9754" s="3"/>
    </row>
    <row r="9755" spans="1:8">
      <c r="A9755" s="3">
        <v>901789</v>
      </c>
      <c r="B9755" s="7" t="s">
        <v>253</v>
      </c>
      <c r="C9755" s="99" t="s">
        <v>32</v>
      </c>
      <c r="D9755" s="6">
        <v>47011</v>
      </c>
      <c r="E9755" s="3" t="str">
        <f ca="1">IF(Tabela2[[#This Row],[Dt Venc:]]&gt;TODAY(),"Em Aberto",IF(Tabela2[[#This Row],[D/venc]]="-","Enviado",IF(Tabela2[[#This Row],[Dt Venc:]]=TODAY(),"Vence Hoje","Vencida")))</f>
        <v>Em Aberto</v>
      </c>
      <c r="F9755" s="3">
        <f ca="1">IF(G9755=1,"-",Tabela2[[#This Row],[Dt Venc:]]-TODAY())</f>
        <v>1318</v>
      </c>
      <c r="G9755" s="3"/>
      <c r="H9755" s="3"/>
    </row>
    <row r="9756" spans="1:8">
      <c r="A9756" s="3">
        <v>912703</v>
      </c>
      <c r="B9756" s="7" t="s">
        <v>253</v>
      </c>
      <c r="C9756" s="100" t="s">
        <v>32</v>
      </c>
      <c r="D9756" s="6">
        <v>47011</v>
      </c>
      <c r="E9756" s="3" t="str">
        <f ca="1">IF(Tabela2[[#This Row],[Dt Venc:]]&gt;TODAY(),"Em Aberto",IF(Tabela2[[#This Row],[D/venc]]="-","Enviado",IF(Tabela2[[#This Row],[Dt Venc:]]=TODAY(),"Vence Hoje","Vencida")))</f>
        <v>Em Aberto</v>
      </c>
      <c r="F9756" s="3">
        <f ca="1">IF(G9756=1,"-",Tabela2[[#This Row],[Dt Venc:]]-TODAY())</f>
        <v>1318</v>
      </c>
      <c r="G9756" s="3"/>
      <c r="H9756" s="3"/>
    </row>
    <row r="9757" spans="1:8">
      <c r="A9757" s="3">
        <v>912704</v>
      </c>
      <c r="B9757" s="7" t="s">
        <v>253</v>
      </c>
      <c r="C9757" s="100" t="s">
        <v>32</v>
      </c>
      <c r="D9757" s="6">
        <v>47011</v>
      </c>
      <c r="E9757" s="3" t="str">
        <f ca="1">IF(Tabela2[[#This Row],[Dt Venc:]]&gt;TODAY(),"Em Aberto",IF(Tabela2[[#This Row],[D/venc]]="-","Enviado",IF(Tabela2[[#This Row],[Dt Venc:]]=TODAY(),"Vence Hoje","Vencida")))</f>
        <v>Em Aberto</v>
      </c>
      <c r="F9757" s="3">
        <f ca="1">IF(G9757=1,"-",Tabela2[[#This Row],[Dt Venc:]]-TODAY())</f>
        <v>1318</v>
      </c>
      <c r="G9757" s="3"/>
      <c r="H9757" s="3"/>
    </row>
    <row r="9758" spans="1:8">
      <c r="A9758" s="3">
        <v>919728</v>
      </c>
      <c r="B9758" s="7" t="s">
        <v>253</v>
      </c>
      <c r="C9758" s="85" t="s">
        <v>32</v>
      </c>
      <c r="D9758" s="6">
        <v>47011</v>
      </c>
      <c r="E9758" s="3" t="str">
        <f ca="1">IF(Tabela2[[#This Row],[Dt Venc:]]&gt;TODAY(),"Em Aberto",IF(Tabela2[[#This Row],[D/venc]]="-","Enviado",IF(Tabela2[[#This Row],[Dt Venc:]]=TODAY(),"Vence Hoje","Vencida")))</f>
        <v>Em Aberto</v>
      </c>
      <c r="F9758" s="3">
        <f ca="1">IF(G9758=1,"-",Tabela2[[#This Row],[Dt Venc:]]-TODAY())</f>
        <v>1318</v>
      </c>
      <c r="G9758" s="3"/>
      <c r="H9758" s="3"/>
    </row>
    <row r="9759" spans="1:8">
      <c r="A9759" s="3">
        <v>919729</v>
      </c>
      <c r="B9759" s="7" t="s">
        <v>253</v>
      </c>
      <c r="C9759" s="87" t="s">
        <v>32</v>
      </c>
      <c r="D9759" s="6">
        <v>47011</v>
      </c>
      <c r="E9759" s="3" t="str">
        <f ca="1">IF(Tabela2[[#This Row],[Dt Venc:]]&gt;TODAY(),"Em Aberto",IF(Tabela2[[#This Row],[D/venc]]="-","Enviado",IF(Tabela2[[#This Row],[Dt Venc:]]=TODAY(),"Vence Hoje","Vencida")))</f>
        <v>Em Aberto</v>
      </c>
      <c r="F9759" s="3">
        <f ca="1">IF(G9759=1,"-",Tabela2[[#This Row],[Dt Venc:]]-TODAY())</f>
        <v>1318</v>
      </c>
      <c r="G9759" s="3"/>
      <c r="H9759" s="3"/>
    </row>
    <row r="9760" spans="1:8">
      <c r="A9760" s="3">
        <v>495914</v>
      </c>
      <c r="B9760" s="7" t="s">
        <v>153</v>
      </c>
      <c r="C9760" s="100" t="s">
        <v>32</v>
      </c>
      <c r="D9760" s="6">
        <v>47021</v>
      </c>
      <c r="E9760" s="3" t="str">
        <f ca="1">IF(Tabela2[[#This Row],[Dt Venc:]]&gt;TODAY(),"Em Aberto",IF(Tabela2[[#This Row],[D/venc]]="-","Enviado",IF(Tabela2[[#This Row],[Dt Venc:]]=TODAY(),"Vence Hoje","Vencida")))</f>
        <v>Em Aberto</v>
      </c>
      <c r="F9760" s="3">
        <f ca="1">IF(G9760=1,"-",Tabela2[[#This Row],[Dt Venc:]]-TODAY())</f>
        <v>1328</v>
      </c>
      <c r="G9760" s="3"/>
      <c r="H9760" s="3"/>
    </row>
    <row r="9761" spans="1:8">
      <c r="A9761" s="3">
        <v>11681</v>
      </c>
      <c r="B9761" s="7" t="s">
        <v>82</v>
      </c>
      <c r="C9761" s="87" t="s">
        <v>30</v>
      </c>
      <c r="D9761" s="6">
        <v>47026</v>
      </c>
      <c r="E9761" s="3" t="str">
        <f ca="1">IF(Tabela2[[#This Row],[Dt Venc:]]&gt;TODAY(),"Em Aberto",IF(Tabela2[[#This Row],[D/venc]]="-","Enviado",IF(Tabela2[[#This Row],[Dt Venc:]]=TODAY(),"Vence Hoje","Vencida")))</f>
        <v>Em Aberto</v>
      </c>
      <c r="F9761" s="3">
        <f ca="1">IF(G9761=1,"-",Tabela2[[#This Row],[Dt Venc:]]-TODAY())</f>
        <v>1333</v>
      </c>
      <c r="G9761" s="3"/>
      <c r="H9761" s="3"/>
    </row>
    <row r="9762" spans="1:8">
      <c r="A9762" s="3">
        <v>284620</v>
      </c>
      <c r="B9762" s="7" t="s">
        <v>153</v>
      </c>
      <c r="C9762" s="100" t="s">
        <v>32</v>
      </c>
      <c r="D9762" s="6">
        <v>47034</v>
      </c>
      <c r="E9762" s="3" t="str">
        <f ca="1">IF(Tabela2[[#This Row],[Dt Venc:]]&gt;TODAY(),"Em Aberto",IF(Tabela2[[#This Row],[D/venc]]="-","Enviado",IF(Tabela2[[#This Row],[Dt Venc:]]=TODAY(),"Vence Hoje","Vencida")))</f>
        <v>Em Aberto</v>
      </c>
      <c r="F9762" s="3">
        <f ca="1">IF(G9762=1,"-",Tabela2[[#This Row],[Dt Venc:]]-TODAY())</f>
        <v>1341</v>
      </c>
      <c r="G9762" s="3"/>
      <c r="H9762" s="3"/>
    </row>
    <row r="9763" spans="1:8">
      <c r="A9763" s="3">
        <v>562</v>
      </c>
      <c r="B9763" s="7" t="s">
        <v>251</v>
      </c>
      <c r="C9763" s="100" t="s">
        <v>32</v>
      </c>
      <c r="D9763" s="6">
        <v>47041</v>
      </c>
      <c r="E9763" s="3" t="str">
        <f ca="1">IF(Tabela2[[#This Row],[Dt Venc:]]&gt;TODAY(),"Em Aberto",IF(Tabela2[[#This Row],[D/venc]]="-","Enviado",IF(Tabela2[[#This Row],[Dt Venc:]]=TODAY(),"Vence Hoje","Vencida")))</f>
        <v>Em Aberto</v>
      </c>
      <c r="F9763" s="3">
        <f ca="1">IF(G9763=1,"-",Tabela2[[#This Row],[Dt Venc:]]-TODAY())</f>
        <v>1348</v>
      </c>
      <c r="G9763" s="3"/>
      <c r="H9763" s="3"/>
    </row>
    <row r="9764" spans="1:8">
      <c r="A9764" s="3">
        <v>361229</v>
      </c>
      <c r="B9764" s="7" t="s">
        <v>250</v>
      </c>
      <c r="C9764" s="100" t="s">
        <v>32</v>
      </c>
      <c r="D9764" s="6">
        <v>47041</v>
      </c>
      <c r="E9764" s="3" t="str">
        <f ca="1">IF(Tabela2[[#This Row],[Dt Venc:]]&gt;TODAY(),"Em Aberto",IF(Tabela2[[#This Row],[D/venc]]="-","Enviado",IF(Tabela2[[#This Row],[Dt Venc:]]=TODAY(),"Vence Hoje","Vencida")))</f>
        <v>Em Aberto</v>
      </c>
      <c r="F9764" s="3">
        <f ca="1">IF(G9764=1,"-",Tabela2[[#This Row],[Dt Venc:]]-TODAY())</f>
        <v>1348</v>
      </c>
      <c r="G9764" s="3"/>
      <c r="H9764" s="3"/>
    </row>
    <row r="9765" spans="1:8">
      <c r="A9765" s="3">
        <v>361237</v>
      </c>
      <c r="B9765" s="7" t="s">
        <v>250</v>
      </c>
      <c r="C9765" s="100" t="s">
        <v>32</v>
      </c>
      <c r="D9765" s="6">
        <v>47041</v>
      </c>
      <c r="E9765" s="3" t="str">
        <f ca="1">IF(Tabela2[[#This Row],[Dt Venc:]]&gt;TODAY(),"Em Aberto",IF(Tabela2[[#This Row],[D/venc]]="-","Enviado",IF(Tabela2[[#This Row],[Dt Venc:]]=TODAY(),"Vence Hoje","Vencida")))</f>
        <v>Em Aberto</v>
      </c>
      <c r="F9765" s="3">
        <f ca="1">IF(G9765=1,"-",Tabela2[[#This Row],[Dt Venc:]]-TODAY())</f>
        <v>1348</v>
      </c>
      <c r="G9765" s="3"/>
      <c r="H9765" s="3"/>
    </row>
    <row r="9766" spans="1:8">
      <c r="A9766" s="3">
        <v>365658</v>
      </c>
      <c r="B9766" s="7" t="s">
        <v>250</v>
      </c>
      <c r="C9766" s="100" t="s">
        <v>32</v>
      </c>
      <c r="D9766" s="6">
        <v>47041</v>
      </c>
      <c r="E9766" s="3" t="str">
        <f ca="1">IF(Tabela2[[#This Row],[Dt Venc:]]&gt;TODAY(),"Em Aberto",IF(Tabela2[[#This Row],[D/venc]]="-","Enviado",IF(Tabela2[[#This Row],[Dt Venc:]]=TODAY(),"Vence Hoje","Vencida")))</f>
        <v>Em Aberto</v>
      </c>
      <c r="F9766" s="3">
        <f ca="1">IF(G9766=1,"-",Tabela2[[#This Row],[Dt Venc:]]-TODAY())</f>
        <v>1348</v>
      </c>
      <c r="G9766" s="3"/>
      <c r="H9766" s="3"/>
    </row>
    <row r="9767" spans="1:8">
      <c r="A9767" s="3">
        <v>365666</v>
      </c>
      <c r="B9767" s="7" t="s">
        <v>250</v>
      </c>
      <c r="C9767" s="100" t="s">
        <v>32</v>
      </c>
      <c r="D9767" s="6">
        <v>47041</v>
      </c>
      <c r="E9767" s="3" t="str">
        <f ca="1">IF(Tabela2[[#This Row],[Dt Venc:]]&gt;TODAY(),"Em Aberto",IF(Tabela2[[#This Row],[D/venc]]="-","Enviado",IF(Tabela2[[#This Row],[Dt Venc:]]=TODAY(),"Vence Hoje","Vencida")))</f>
        <v>Em Aberto</v>
      </c>
      <c r="F9767" s="3">
        <f ca="1">IF(G9767=1,"-",Tabela2[[#This Row],[Dt Venc:]]-TODAY())</f>
        <v>1348</v>
      </c>
      <c r="G9767" s="3"/>
      <c r="H9767" s="3"/>
    </row>
    <row r="9768" spans="1:8">
      <c r="A9768" s="3">
        <v>365674</v>
      </c>
      <c r="B9768" s="7" t="s">
        <v>250</v>
      </c>
      <c r="C9768" s="100" t="s">
        <v>32</v>
      </c>
      <c r="D9768" s="6">
        <v>47041</v>
      </c>
      <c r="E9768" s="3" t="str">
        <f ca="1">IF(Tabela2[[#This Row],[Dt Venc:]]&gt;TODAY(),"Em Aberto",IF(Tabela2[[#This Row],[D/venc]]="-","Enviado",IF(Tabela2[[#This Row],[Dt Venc:]]=TODAY(),"Vence Hoje","Vencida")))</f>
        <v>Em Aberto</v>
      </c>
      <c r="F9768" s="3">
        <f ca="1">IF(G9768=1,"-",Tabela2[[#This Row],[Dt Venc:]]-TODAY())</f>
        <v>1348</v>
      </c>
      <c r="G9768" s="3"/>
      <c r="H9768" s="3"/>
    </row>
    <row r="9769" spans="1:8">
      <c r="A9769" s="3">
        <v>365682</v>
      </c>
      <c r="B9769" s="7" t="s">
        <v>250</v>
      </c>
      <c r="C9769" s="100" t="s">
        <v>32</v>
      </c>
      <c r="D9769" s="6">
        <v>47041</v>
      </c>
      <c r="E9769" s="3" t="str">
        <f ca="1">IF(Tabela2[[#This Row],[Dt Venc:]]&gt;TODAY(),"Em Aberto",IF(Tabela2[[#This Row],[D/venc]]="-","Enviado",IF(Tabela2[[#This Row],[Dt Venc:]]=TODAY(),"Vence Hoje","Vencida")))</f>
        <v>Em Aberto</v>
      </c>
      <c r="F9769" s="3">
        <f ca="1">IF(G9769=1,"-",Tabela2[[#This Row],[Dt Venc:]]-TODAY())</f>
        <v>1348</v>
      </c>
      <c r="G9769" s="3"/>
      <c r="H9769" s="3"/>
    </row>
    <row r="9770" spans="1:8">
      <c r="A9770" s="3">
        <v>369335</v>
      </c>
      <c r="B9770" s="7" t="s">
        <v>543</v>
      </c>
      <c r="C9770" s="87" t="s">
        <v>32</v>
      </c>
      <c r="D9770" s="6">
        <v>47041</v>
      </c>
      <c r="E9770" s="3" t="str">
        <f ca="1">IF(Tabela2[[#This Row],[Dt Venc:]]&gt;TODAY(),"Em Aberto",IF(Tabela2[[#This Row],[D/venc]]="-","Enviado",IF(Tabela2[[#This Row],[Dt Venc:]]=TODAY(),"Vence Hoje","Vencida")))</f>
        <v>Em Aberto</v>
      </c>
      <c r="F9770" s="3">
        <f ca="1">IF(G9770=1,"-",Tabela2[[#This Row],[Dt Venc:]]-TODAY())</f>
        <v>1348</v>
      </c>
      <c r="G9770" s="3"/>
      <c r="H9770" s="3"/>
    </row>
    <row r="9771" spans="1:8">
      <c r="A9771" s="3">
        <v>369696</v>
      </c>
      <c r="B9771" s="7" t="s">
        <v>543</v>
      </c>
      <c r="C9771" s="87" t="s">
        <v>32</v>
      </c>
      <c r="D9771" s="6">
        <v>47041</v>
      </c>
      <c r="E9771" s="3" t="str">
        <f ca="1">IF(Tabela2[[#This Row],[Dt Venc:]]&gt;TODAY(),"Em Aberto",IF(Tabela2[[#This Row],[D/venc]]="-","Enviado",IF(Tabela2[[#This Row],[Dt Venc:]]=TODAY(),"Vence Hoje","Vencida")))</f>
        <v>Em Aberto</v>
      </c>
      <c r="F9771" s="3">
        <f ca="1">IF(G9771=1,"-",Tabela2[[#This Row],[Dt Venc:]]-TODAY())</f>
        <v>1348</v>
      </c>
      <c r="G9771" s="3"/>
      <c r="H9771" s="3"/>
    </row>
    <row r="9772" spans="1:8">
      <c r="A9772" s="3">
        <v>369726</v>
      </c>
      <c r="B9772" s="7" t="s">
        <v>543</v>
      </c>
      <c r="C9772" s="87" t="s">
        <v>32</v>
      </c>
      <c r="D9772" s="6">
        <v>47041</v>
      </c>
      <c r="E9772" s="3" t="str">
        <f ca="1">IF(Tabela2[[#This Row],[Dt Venc:]]&gt;TODAY(),"Em Aberto",IF(Tabela2[[#This Row],[D/venc]]="-","Enviado",IF(Tabela2[[#This Row],[Dt Venc:]]=TODAY(),"Vence Hoje","Vencida")))</f>
        <v>Em Aberto</v>
      </c>
      <c r="F9772" s="3">
        <f ca="1">IF(G9772=1,"-",Tabela2[[#This Row],[Dt Venc:]]-TODAY())</f>
        <v>1348</v>
      </c>
      <c r="G9772" s="3"/>
      <c r="H9772" s="3"/>
    </row>
    <row r="9773" spans="1:8">
      <c r="A9773" s="3">
        <v>369751</v>
      </c>
      <c r="B9773" s="7" t="s">
        <v>543</v>
      </c>
      <c r="C9773" s="87" t="s">
        <v>32</v>
      </c>
      <c r="D9773" s="6">
        <v>47041</v>
      </c>
      <c r="E9773" s="3" t="str">
        <f ca="1">IF(Tabela2[[#This Row],[Dt Venc:]]&gt;TODAY(),"Em Aberto",IF(Tabela2[[#This Row],[D/venc]]="-","Enviado",IF(Tabela2[[#This Row],[Dt Venc:]]=TODAY(),"Vence Hoje","Vencida")))</f>
        <v>Em Aberto</v>
      </c>
      <c r="F9773" s="3">
        <f ca="1">IF(G9773=1,"-",Tabela2[[#This Row],[Dt Venc:]]-TODAY())</f>
        <v>1348</v>
      </c>
      <c r="G9773" s="3"/>
      <c r="H9773" s="3"/>
    </row>
    <row r="9774" spans="1:8">
      <c r="A9774" s="3">
        <v>370201</v>
      </c>
      <c r="B9774" s="7" t="s">
        <v>543</v>
      </c>
      <c r="C9774" s="87" t="s">
        <v>32</v>
      </c>
      <c r="D9774" s="6">
        <v>47041</v>
      </c>
      <c r="E9774" s="3" t="str">
        <f ca="1">IF(Tabela2[[#This Row],[Dt Venc:]]&gt;TODAY(),"Em Aberto",IF(Tabela2[[#This Row],[D/venc]]="-","Enviado",IF(Tabela2[[#This Row],[Dt Venc:]]=TODAY(),"Vence Hoje","Vencida")))</f>
        <v>Em Aberto</v>
      </c>
      <c r="F9774" s="3">
        <f ca="1">IF(G9774=1,"-",Tabela2[[#This Row],[Dt Venc:]]-TODAY())</f>
        <v>1348</v>
      </c>
      <c r="G9774" s="3"/>
      <c r="H9774" s="3"/>
    </row>
    <row r="9775" spans="1:8">
      <c r="A9775" s="3">
        <v>370864</v>
      </c>
      <c r="B9775" s="7" t="s">
        <v>543</v>
      </c>
      <c r="C9775" s="87" t="s">
        <v>32</v>
      </c>
      <c r="D9775" s="6">
        <v>47041</v>
      </c>
      <c r="E9775" s="3" t="str">
        <f ca="1">IF(Tabela2[[#This Row],[Dt Venc:]]&gt;TODAY(),"Em Aberto",IF(Tabela2[[#This Row],[D/venc]]="-","Enviado",IF(Tabela2[[#This Row],[Dt Venc:]]=TODAY(),"Vence Hoje","Vencida")))</f>
        <v>Em Aberto</v>
      </c>
      <c r="F9775" s="3">
        <f ca="1">IF(G9775=1,"-",Tabela2[[#This Row],[Dt Venc:]]-TODAY())</f>
        <v>1348</v>
      </c>
      <c r="G9775" s="3"/>
      <c r="H9775" s="3"/>
    </row>
    <row r="9776" spans="1:8">
      <c r="A9776" s="3">
        <v>371011</v>
      </c>
      <c r="B9776" s="7" t="s">
        <v>633</v>
      </c>
      <c r="C9776" s="87" t="s">
        <v>32</v>
      </c>
      <c r="D9776" s="6">
        <v>47041</v>
      </c>
      <c r="E9776" s="3" t="str">
        <f ca="1">IF(Tabela2[[#This Row],[Dt Venc:]]&gt;TODAY(),"Em Aberto",IF(Tabela2[[#This Row],[D/venc]]="-","Enviado",IF(Tabela2[[#This Row],[Dt Venc:]]=TODAY(),"Vence Hoje","Vencida")))</f>
        <v>Em Aberto</v>
      </c>
      <c r="F9776" s="3">
        <f ca="1">IF(G9776=1,"-",Tabela2[[#This Row],[Dt Venc:]]-TODAY())</f>
        <v>1348</v>
      </c>
      <c r="G9776" s="3"/>
      <c r="H9776" s="3"/>
    </row>
    <row r="9777" spans="1:8">
      <c r="A9777" s="3">
        <v>371160</v>
      </c>
      <c r="B9777" s="7" t="s">
        <v>633</v>
      </c>
      <c r="C9777" s="87" t="s">
        <v>32</v>
      </c>
      <c r="D9777" s="6">
        <v>47041</v>
      </c>
      <c r="E9777" s="3" t="str">
        <f ca="1">IF(Tabela2[[#This Row],[Dt Venc:]]&gt;TODAY(),"Em Aberto",IF(Tabela2[[#This Row],[D/venc]]="-","Enviado",IF(Tabela2[[#This Row],[Dt Venc:]]=TODAY(),"Vence Hoje","Vencida")))</f>
        <v>Em Aberto</v>
      </c>
      <c r="F9777" s="3">
        <f ca="1">IF(G9777=1,"-",Tabela2[[#This Row],[Dt Venc:]]-TODAY())</f>
        <v>1348</v>
      </c>
      <c r="G9777" s="3"/>
      <c r="H9777" s="3"/>
    </row>
    <row r="9778" spans="1:8">
      <c r="A9778" s="3">
        <v>892178</v>
      </c>
      <c r="B9778" s="7" t="s">
        <v>253</v>
      </c>
      <c r="C9778" s="100" t="s">
        <v>32</v>
      </c>
      <c r="D9778" s="6">
        <v>47041</v>
      </c>
      <c r="E9778" s="3" t="str">
        <f ca="1">IF(Tabela2[[#This Row],[Dt Venc:]]&gt;TODAY(),"Em Aberto",IF(Tabela2[[#This Row],[D/venc]]="-","Enviado",IF(Tabela2[[#This Row],[Dt Venc:]]=TODAY(),"Vence Hoje","Vencida")))</f>
        <v>Em Aberto</v>
      </c>
      <c r="F9778" s="3">
        <f ca="1">IF(G9778=1,"-",Tabela2[[#This Row],[Dt Venc:]]-TODAY())</f>
        <v>1348</v>
      </c>
      <c r="G9778" s="3"/>
      <c r="H9778" s="3"/>
    </row>
    <row r="9779" spans="1:8">
      <c r="A9779" s="3">
        <v>894135</v>
      </c>
      <c r="B9779" s="7" t="s">
        <v>253</v>
      </c>
      <c r="C9779" s="100" t="s">
        <v>32</v>
      </c>
      <c r="D9779" s="6">
        <v>47041</v>
      </c>
      <c r="E9779" s="3" t="str">
        <f ca="1">IF(Tabela2[[#This Row],[Dt Venc:]]&gt;TODAY(),"Em Aberto",IF(Tabela2[[#This Row],[D/venc]]="-","Enviado",IF(Tabela2[[#This Row],[Dt Venc:]]=TODAY(),"Vence Hoje","Vencida")))</f>
        <v>Em Aberto</v>
      </c>
      <c r="F9779" s="3">
        <f ca="1">IF(G9779=1,"-",Tabela2[[#This Row],[Dt Venc:]]-TODAY())</f>
        <v>1348</v>
      </c>
      <c r="G9779" s="3"/>
      <c r="H9779" s="3"/>
    </row>
    <row r="9780" spans="1:8">
      <c r="A9780" s="3">
        <v>896565</v>
      </c>
      <c r="B9780" s="7" t="s">
        <v>253</v>
      </c>
      <c r="C9780" s="100" t="s">
        <v>32</v>
      </c>
      <c r="D9780" s="6">
        <v>47041</v>
      </c>
      <c r="E9780" s="3" t="str">
        <f ca="1">IF(Tabela2[[#This Row],[Dt Venc:]]&gt;TODAY(),"Em Aberto",IF(Tabela2[[#This Row],[D/venc]]="-","Enviado",IF(Tabela2[[#This Row],[Dt Venc:]]=TODAY(),"Vence Hoje","Vencida")))</f>
        <v>Em Aberto</v>
      </c>
      <c r="F9780" s="3">
        <f ca="1">IF(G9780=1,"-",Tabela2[[#This Row],[Dt Venc:]]-TODAY())</f>
        <v>1348</v>
      </c>
      <c r="G9780" s="3"/>
      <c r="H9780" s="3"/>
    </row>
    <row r="9781" spans="1:8">
      <c r="A9781" s="3">
        <v>900386</v>
      </c>
      <c r="B9781" s="7" t="s">
        <v>253</v>
      </c>
      <c r="C9781" s="100" t="s">
        <v>32</v>
      </c>
      <c r="D9781" s="6">
        <v>47041</v>
      </c>
      <c r="E9781" s="3" t="str">
        <f ca="1">IF(Tabela2[[#This Row],[Dt Venc:]]&gt;TODAY(),"Em Aberto",IF(Tabela2[[#This Row],[D/venc]]="-","Enviado",IF(Tabela2[[#This Row],[Dt Venc:]]=TODAY(),"Vence Hoje","Vencida")))</f>
        <v>Em Aberto</v>
      </c>
      <c r="F9781" s="3">
        <f ca="1">IF(G9781=1,"-",Tabela2[[#This Row],[Dt Venc:]]-TODAY())</f>
        <v>1348</v>
      </c>
      <c r="G9781" s="3"/>
      <c r="H9781" s="3"/>
    </row>
    <row r="9782" spans="1:8">
      <c r="A9782" s="3">
        <v>901787</v>
      </c>
      <c r="B9782" s="7" t="s">
        <v>253</v>
      </c>
      <c r="C9782" s="99" t="s">
        <v>32</v>
      </c>
      <c r="D9782" s="6">
        <v>47041</v>
      </c>
      <c r="E9782" s="3" t="str">
        <f ca="1">IF(Tabela2[[#This Row],[Dt Venc:]]&gt;TODAY(),"Em Aberto",IF(Tabela2[[#This Row],[D/venc]]="-","Enviado",IF(Tabela2[[#This Row],[Dt Venc:]]=TODAY(),"Vence Hoje","Vencida")))</f>
        <v>Em Aberto</v>
      </c>
      <c r="F9782" s="3">
        <f ca="1">IF(G9782=1,"-",Tabela2[[#This Row],[Dt Venc:]]-TODAY())</f>
        <v>1348</v>
      </c>
      <c r="G9782" s="3"/>
      <c r="H9782" s="3"/>
    </row>
    <row r="9783" spans="1:8">
      <c r="A9783" s="3">
        <v>901788</v>
      </c>
      <c r="B9783" s="7" t="s">
        <v>253</v>
      </c>
      <c r="C9783" s="100" t="s">
        <v>32</v>
      </c>
      <c r="D9783" s="6">
        <v>47041</v>
      </c>
      <c r="E9783" s="3" t="str">
        <f ca="1">IF(Tabela2[[#This Row],[Dt Venc:]]&gt;TODAY(),"Em Aberto",IF(Tabela2[[#This Row],[D/venc]]="-","Enviado",IF(Tabela2[[#This Row],[Dt Venc:]]=TODAY(),"Vence Hoje","Vencida")))</f>
        <v>Em Aberto</v>
      </c>
      <c r="F9783" s="3">
        <f ca="1">IF(G9783=1,"-",Tabela2[[#This Row],[Dt Venc:]]-TODAY())</f>
        <v>1348</v>
      </c>
      <c r="G9783" s="3"/>
      <c r="H9783" s="3"/>
    </row>
    <row r="9784" spans="1:8">
      <c r="A9784" s="3">
        <v>901789</v>
      </c>
      <c r="B9784" s="7" t="s">
        <v>253</v>
      </c>
      <c r="C9784" s="100" t="s">
        <v>32</v>
      </c>
      <c r="D9784" s="6">
        <v>47041</v>
      </c>
      <c r="E9784" s="3" t="str">
        <f ca="1">IF(Tabela2[[#This Row],[Dt Venc:]]&gt;TODAY(),"Em Aberto",IF(Tabela2[[#This Row],[D/venc]]="-","Enviado",IF(Tabela2[[#This Row],[Dt Venc:]]=TODAY(),"Vence Hoje","Vencida")))</f>
        <v>Em Aberto</v>
      </c>
      <c r="F9784" s="3">
        <f ca="1">IF(G9784=1,"-",Tabela2[[#This Row],[Dt Venc:]]-TODAY())</f>
        <v>1348</v>
      </c>
      <c r="G9784" s="3"/>
      <c r="H9784" s="3"/>
    </row>
    <row r="9785" spans="1:8">
      <c r="A9785" s="3">
        <v>912703</v>
      </c>
      <c r="B9785" s="7" t="s">
        <v>253</v>
      </c>
      <c r="C9785" s="100" t="s">
        <v>32</v>
      </c>
      <c r="D9785" s="6">
        <v>47041</v>
      </c>
      <c r="E9785" s="3" t="str">
        <f ca="1">IF(Tabela2[[#This Row],[Dt Venc:]]&gt;TODAY(),"Em Aberto",IF(Tabela2[[#This Row],[D/venc]]="-","Enviado",IF(Tabela2[[#This Row],[Dt Venc:]]=TODAY(),"Vence Hoje","Vencida")))</f>
        <v>Em Aberto</v>
      </c>
      <c r="F9785" s="3">
        <f ca="1">IF(G9785=1,"-",Tabela2[[#This Row],[Dt Venc:]]-TODAY())</f>
        <v>1348</v>
      </c>
      <c r="G9785" s="3"/>
      <c r="H9785" s="3"/>
    </row>
    <row r="9786" spans="1:8">
      <c r="A9786" s="3">
        <v>912704</v>
      </c>
      <c r="B9786" s="7" t="s">
        <v>253</v>
      </c>
      <c r="C9786" s="100" t="s">
        <v>32</v>
      </c>
      <c r="D9786" s="6">
        <v>47041</v>
      </c>
      <c r="E9786" s="3" t="str">
        <f ca="1">IF(Tabela2[[#This Row],[Dt Venc:]]&gt;TODAY(),"Em Aberto",IF(Tabela2[[#This Row],[D/venc]]="-","Enviado",IF(Tabela2[[#This Row],[Dt Venc:]]=TODAY(),"Vence Hoje","Vencida")))</f>
        <v>Em Aberto</v>
      </c>
      <c r="F9786" s="3">
        <f ca="1">IF(G9786=1,"-",Tabela2[[#This Row],[Dt Venc:]]-TODAY())</f>
        <v>1348</v>
      </c>
      <c r="G9786" s="3"/>
      <c r="H9786" s="3"/>
    </row>
    <row r="9787" spans="1:8">
      <c r="A9787" s="3">
        <v>919728</v>
      </c>
      <c r="B9787" s="7" t="s">
        <v>253</v>
      </c>
      <c r="C9787" s="87" t="s">
        <v>32</v>
      </c>
      <c r="D9787" s="6">
        <v>47041</v>
      </c>
      <c r="E9787" s="3" t="str">
        <f ca="1">IF(Tabela2[[#This Row],[Dt Venc:]]&gt;TODAY(),"Em Aberto",IF(Tabela2[[#This Row],[D/venc]]="-","Enviado",IF(Tabela2[[#This Row],[Dt Venc:]]=TODAY(),"Vence Hoje","Vencida")))</f>
        <v>Em Aberto</v>
      </c>
      <c r="F9787" s="3">
        <f ca="1">IF(G9787=1,"-",Tabela2[[#This Row],[Dt Venc:]]-TODAY())</f>
        <v>1348</v>
      </c>
      <c r="G9787" s="3"/>
      <c r="H9787" s="3"/>
    </row>
    <row r="9788" spans="1:8">
      <c r="A9788" s="3">
        <v>919729</v>
      </c>
      <c r="B9788" s="7" t="s">
        <v>253</v>
      </c>
      <c r="C9788" s="87" t="s">
        <v>32</v>
      </c>
      <c r="D9788" s="6">
        <v>47041</v>
      </c>
      <c r="E9788" s="3" t="str">
        <f ca="1">IF(Tabela2[[#This Row],[Dt Venc:]]&gt;TODAY(),"Em Aberto",IF(Tabela2[[#This Row],[D/venc]]="-","Enviado",IF(Tabela2[[#This Row],[Dt Venc:]]=TODAY(),"Vence Hoje","Vencida")))</f>
        <v>Em Aberto</v>
      </c>
      <c r="F9788" s="3">
        <f ca="1">IF(G9788=1,"-",Tabela2[[#This Row],[Dt Venc:]]-TODAY())</f>
        <v>1348</v>
      </c>
      <c r="G9788" s="3"/>
      <c r="H9788" s="3"/>
    </row>
    <row r="9789" spans="1:8">
      <c r="A9789" s="3">
        <v>495914</v>
      </c>
      <c r="B9789" s="7" t="s">
        <v>153</v>
      </c>
      <c r="C9789" s="100" t="s">
        <v>32</v>
      </c>
      <c r="D9789" s="6">
        <v>47051</v>
      </c>
      <c r="E9789" s="3" t="str">
        <f ca="1">IF(Tabela2[[#This Row],[Dt Venc:]]&gt;TODAY(),"Em Aberto",IF(Tabela2[[#This Row],[D/venc]]="-","Enviado",IF(Tabela2[[#This Row],[Dt Venc:]]=TODAY(),"Vence Hoje","Vencida")))</f>
        <v>Em Aberto</v>
      </c>
      <c r="F9789" s="3">
        <f ca="1">IF(G9789=1,"-",Tabela2[[#This Row],[Dt Venc:]]-TODAY())</f>
        <v>1358</v>
      </c>
      <c r="G9789" s="3"/>
      <c r="H9789" s="3"/>
    </row>
    <row r="9790" spans="1:8">
      <c r="A9790" s="3">
        <v>11681</v>
      </c>
      <c r="B9790" s="7" t="s">
        <v>82</v>
      </c>
      <c r="C9790" s="87" t="s">
        <v>30</v>
      </c>
      <c r="D9790" s="6">
        <v>47057</v>
      </c>
      <c r="E9790" s="3" t="str">
        <f ca="1">IF(Tabela2[[#This Row],[Dt Venc:]]&gt;TODAY(),"Em Aberto",IF(Tabela2[[#This Row],[D/venc]]="-","Enviado",IF(Tabela2[[#This Row],[Dt Venc:]]=TODAY(),"Vence Hoje","Vencida")))</f>
        <v>Em Aberto</v>
      </c>
      <c r="F9790" s="3">
        <f ca="1">IF(G9790=1,"-",Tabela2[[#This Row],[Dt Venc:]]-TODAY())</f>
        <v>1364</v>
      </c>
      <c r="G9790" s="3"/>
      <c r="H9790" s="3"/>
    </row>
    <row r="9791" spans="1:8">
      <c r="A9791" s="3">
        <v>284620</v>
      </c>
      <c r="B9791" s="7" t="s">
        <v>153</v>
      </c>
      <c r="C9791" s="100" t="s">
        <v>32</v>
      </c>
      <c r="D9791" s="6">
        <v>47065</v>
      </c>
      <c r="E9791" s="3" t="str">
        <f ca="1">IF(Tabela2[[#This Row],[Dt Venc:]]&gt;TODAY(),"Em Aberto",IF(Tabela2[[#This Row],[D/venc]]="-","Enviado",IF(Tabela2[[#This Row],[Dt Venc:]]=TODAY(),"Vence Hoje","Vencida")))</f>
        <v>Em Aberto</v>
      </c>
      <c r="F9791" s="3">
        <f ca="1">IF(G9791=1,"-",Tabela2[[#This Row],[Dt Venc:]]-TODAY())</f>
        <v>1372</v>
      </c>
      <c r="G9791" s="3"/>
      <c r="H9791" s="3"/>
    </row>
    <row r="9792" spans="1:8">
      <c r="A9792" s="3">
        <v>562</v>
      </c>
      <c r="B9792" s="7" t="s">
        <v>251</v>
      </c>
      <c r="C9792" s="100" t="s">
        <v>32</v>
      </c>
      <c r="D9792" s="6">
        <v>47072</v>
      </c>
      <c r="E9792" s="3" t="str">
        <f ca="1">IF(Tabela2[[#This Row],[Dt Venc:]]&gt;TODAY(),"Em Aberto",IF(Tabela2[[#This Row],[D/venc]]="-","Enviado",IF(Tabela2[[#This Row],[Dt Venc:]]=TODAY(),"Vence Hoje","Vencida")))</f>
        <v>Em Aberto</v>
      </c>
      <c r="F9792" s="3">
        <f ca="1">IF(G9792=1,"-",Tabela2[[#This Row],[Dt Venc:]]-TODAY())</f>
        <v>1379</v>
      </c>
      <c r="G9792" s="3"/>
      <c r="H9792" s="3"/>
    </row>
    <row r="9793" spans="1:8">
      <c r="A9793" s="3">
        <v>361229</v>
      </c>
      <c r="B9793" s="7" t="s">
        <v>250</v>
      </c>
      <c r="C9793" s="100" t="s">
        <v>32</v>
      </c>
      <c r="D9793" s="6">
        <v>47072</v>
      </c>
      <c r="E9793" s="3" t="str">
        <f ca="1">IF(Tabela2[[#This Row],[Dt Venc:]]&gt;TODAY(),"Em Aberto",IF(Tabela2[[#This Row],[D/venc]]="-","Enviado",IF(Tabela2[[#This Row],[Dt Venc:]]=TODAY(),"Vence Hoje","Vencida")))</f>
        <v>Em Aberto</v>
      </c>
      <c r="F9793" s="3">
        <f ca="1">IF(G9793=1,"-",Tabela2[[#This Row],[Dt Venc:]]-TODAY())</f>
        <v>1379</v>
      </c>
      <c r="G9793" s="3"/>
      <c r="H9793" s="3"/>
    </row>
    <row r="9794" spans="1:8">
      <c r="A9794" s="3">
        <v>361237</v>
      </c>
      <c r="B9794" s="7" t="s">
        <v>250</v>
      </c>
      <c r="C9794" s="100" t="s">
        <v>32</v>
      </c>
      <c r="D9794" s="6">
        <v>47072</v>
      </c>
      <c r="E9794" s="3" t="str">
        <f ca="1">IF(Tabela2[[#This Row],[Dt Venc:]]&gt;TODAY(),"Em Aberto",IF(Tabela2[[#This Row],[D/venc]]="-","Enviado",IF(Tabela2[[#This Row],[Dt Venc:]]=TODAY(),"Vence Hoje","Vencida")))</f>
        <v>Em Aberto</v>
      </c>
      <c r="F9794" s="3">
        <f ca="1">IF(G9794=1,"-",Tabela2[[#This Row],[Dt Venc:]]-TODAY())</f>
        <v>1379</v>
      </c>
      <c r="G9794" s="3"/>
      <c r="H9794" s="3"/>
    </row>
    <row r="9795" spans="1:8">
      <c r="A9795" s="3">
        <v>365658</v>
      </c>
      <c r="B9795" s="7" t="s">
        <v>250</v>
      </c>
      <c r="C9795" s="100" t="s">
        <v>32</v>
      </c>
      <c r="D9795" s="6">
        <v>47072</v>
      </c>
      <c r="E9795" s="3" t="str">
        <f ca="1">IF(Tabela2[[#This Row],[Dt Venc:]]&gt;TODAY(),"Em Aberto",IF(Tabela2[[#This Row],[D/venc]]="-","Enviado",IF(Tabela2[[#This Row],[Dt Venc:]]=TODAY(),"Vence Hoje","Vencida")))</f>
        <v>Em Aberto</v>
      </c>
      <c r="F9795" s="3">
        <f ca="1">IF(G9795=1,"-",Tabela2[[#This Row],[Dt Venc:]]-TODAY())</f>
        <v>1379</v>
      </c>
      <c r="G9795" s="3"/>
      <c r="H9795" s="3"/>
    </row>
    <row r="9796" spans="1:8">
      <c r="A9796" s="3">
        <v>365666</v>
      </c>
      <c r="B9796" s="7" t="s">
        <v>250</v>
      </c>
      <c r="C9796" s="99" t="s">
        <v>32</v>
      </c>
      <c r="D9796" s="6">
        <v>47072</v>
      </c>
      <c r="E9796" s="3" t="str">
        <f ca="1">IF(Tabela2[[#This Row],[Dt Venc:]]&gt;TODAY(),"Em Aberto",IF(Tabela2[[#This Row],[D/venc]]="-","Enviado",IF(Tabela2[[#This Row],[Dt Venc:]]=TODAY(),"Vence Hoje","Vencida")))</f>
        <v>Em Aberto</v>
      </c>
      <c r="F9796" s="3">
        <f ca="1">IF(G9796=1,"-",Tabela2[[#This Row],[Dt Venc:]]-TODAY())</f>
        <v>1379</v>
      </c>
      <c r="G9796" s="3"/>
      <c r="H9796" s="3"/>
    </row>
    <row r="9797" spans="1:8">
      <c r="A9797" s="3">
        <v>365674</v>
      </c>
      <c r="B9797" s="7" t="s">
        <v>250</v>
      </c>
      <c r="C9797" s="100" t="s">
        <v>32</v>
      </c>
      <c r="D9797" s="6">
        <v>47072</v>
      </c>
      <c r="E9797" s="3" t="str">
        <f ca="1">IF(Tabela2[[#This Row],[Dt Venc:]]&gt;TODAY(),"Em Aberto",IF(Tabela2[[#This Row],[D/venc]]="-","Enviado",IF(Tabela2[[#This Row],[Dt Venc:]]=TODAY(),"Vence Hoje","Vencida")))</f>
        <v>Em Aberto</v>
      </c>
      <c r="F9797" s="3">
        <f ca="1">IF(G9797=1,"-",Tabela2[[#This Row],[Dt Venc:]]-TODAY())</f>
        <v>1379</v>
      </c>
      <c r="G9797" s="3"/>
      <c r="H9797" s="3"/>
    </row>
    <row r="9798" spans="1:8">
      <c r="A9798" s="3">
        <v>365682</v>
      </c>
      <c r="B9798" s="7" t="s">
        <v>250</v>
      </c>
      <c r="C9798" s="100" t="s">
        <v>32</v>
      </c>
      <c r="D9798" s="6">
        <v>47072</v>
      </c>
      <c r="E9798" s="3" t="str">
        <f ca="1">IF(Tabela2[[#This Row],[Dt Venc:]]&gt;TODAY(),"Em Aberto",IF(Tabela2[[#This Row],[D/venc]]="-","Enviado",IF(Tabela2[[#This Row],[Dt Venc:]]=TODAY(),"Vence Hoje","Vencida")))</f>
        <v>Em Aberto</v>
      </c>
      <c r="F9798" s="3">
        <f ca="1">IF(G9798=1,"-",Tabela2[[#This Row],[Dt Venc:]]-TODAY())</f>
        <v>1379</v>
      </c>
      <c r="G9798" s="3"/>
      <c r="H9798" s="3"/>
    </row>
    <row r="9799" spans="1:8">
      <c r="A9799" s="3">
        <v>369335</v>
      </c>
      <c r="B9799" s="7" t="s">
        <v>543</v>
      </c>
      <c r="C9799" s="87" t="s">
        <v>32</v>
      </c>
      <c r="D9799" s="6">
        <v>47072</v>
      </c>
      <c r="E9799" s="3" t="str">
        <f ca="1">IF(Tabela2[[#This Row],[Dt Venc:]]&gt;TODAY(),"Em Aberto",IF(Tabela2[[#This Row],[D/venc]]="-","Enviado",IF(Tabela2[[#This Row],[Dt Venc:]]=TODAY(),"Vence Hoje","Vencida")))</f>
        <v>Em Aberto</v>
      </c>
      <c r="F9799" s="3">
        <f ca="1">IF(G9799=1,"-",Tabela2[[#This Row],[Dt Venc:]]-TODAY())</f>
        <v>1379</v>
      </c>
      <c r="G9799" s="3"/>
      <c r="H9799" s="3"/>
    </row>
    <row r="9800" spans="1:8">
      <c r="A9800" s="3">
        <v>369696</v>
      </c>
      <c r="B9800" s="7" t="s">
        <v>543</v>
      </c>
      <c r="C9800" s="87" t="s">
        <v>32</v>
      </c>
      <c r="D9800" s="6">
        <v>47072</v>
      </c>
      <c r="E9800" s="3" t="str">
        <f ca="1">IF(Tabela2[[#This Row],[Dt Venc:]]&gt;TODAY(),"Em Aberto",IF(Tabela2[[#This Row],[D/venc]]="-","Enviado",IF(Tabela2[[#This Row],[Dt Venc:]]=TODAY(),"Vence Hoje","Vencida")))</f>
        <v>Em Aberto</v>
      </c>
      <c r="F9800" s="3">
        <f ca="1">IF(G9800=1,"-",Tabela2[[#This Row],[Dt Venc:]]-TODAY())</f>
        <v>1379</v>
      </c>
      <c r="G9800" s="3"/>
      <c r="H9800" s="3"/>
    </row>
    <row r="9801" spans="1:8">
      <c r="A9801" s="3">
        <v>369726</v>
      </c>
      <c r="B9801" s="7" t="s">
        <v>543</v>
      </c>
      <c r="C9801" s="87" t="s">
        <v>32</v>
      </c>
      <c r="D9801" s="6">
        <v>47072</v>
      </c>
      <c r="E9801" s="3" t="str">
        <f ca="1">IF(Tabela2[[#This Row],[Dt Venc:]]&gt;TODAY(),"Em Aberto",IF(Tabela2[[#This Row],[D/venc]]="-","Enviado",IF(Tabela2[[#This Row],[Dt Venc:]]=TODAY(),"Vence Hoje","Vencida")))</f>
        <v>Em Aberto</v>
      </c>
      <c r="F9801" s="3">
        <f ca="1">IF(G9801=1,"-",Tabela2[[#This Row],[Dt Venc:]]-TODAY())</f>
        <v>1379</v>
      </c>
      <c r="G9801" s="3"/>
      <c r="H9801" s="3"/>
    </row>
    <row r="9802" spans="1:8">
      <c r="A9802" s="3">
        <v>369751</v>
      </c>
      <c r="B9802" s="7" t="s">
        <v>543</v>
      </c>
      <c r="C9802" s="87" t="s">
        <v>32</v>
      </c>
      <c r="D9802" s="6">
        <v>47072</v>
      </c>
      <c r="E9802" s="3" t="str">
        <f ca="1">IF(Tabela2[[#This Row],[Dt Venc:]]&gt;TODAY(),"Em Aberto",IF(Tabela2[[#This Row],[D/venc]]="-","Enviado",IF(Tabela2[[#This Row],[Dt Venc:]]=TODAY(),"Vence Hoje","Vencida")))</f>
        <v>Em Aberto</v>
      </c>
      <c r="F9802" s="3">
        <f ca="1">IF(G9802=1,"-",Tabela2[[#This Row],[Dt Venc:]]-TODAY())</f>
        <v>1379</v>
      </c>
      <c r="G9802" s="3"/>
      <c r="H9802" s="3"/>
    </row>
    <row r="9803" spans="1:8">
      <c r="A9803" s="3">
        <v>370201</v>
      </c>
      <c r="B9803" s="7" t="s">
        <v>543</v>
      </c>
      <c r="C9803" s="87" t="s">
        <v>32</v>
      </c>
      <c r="D9803" s="6">
        <v>47072</v>
      </c>
      <c r="E9803" s="3" t="str">
        <f ca="1">IF(Tabela2[[#This Row],[Dt Venc:]]&gt;TODAY(),"Em Aberto",IF(Tabela2[[#This Row],[D/venc]]="-","Enviado",IF(Tabela2[[#This Row],[Dt Venc:]]=TODAY(),"Vence Hoje","Vencida")))</f>
        <v>Em Aberto</v>
      </c>
      <c r="F9803" s="3">
        <f ca="1">IF(G9803=1,"-",Tabela2[[#This Row],[Dt Venc:]]-TODAY())</f>
        <v>1379</v>
      </c>
      <c r="G9803" s="3"/>
      <c r="H9803" s="3"/>
    </row>
    <row r="9804" spans="1:8">
      <c r="A9804" s="3">
        <v>370864</v>
      </c>
      <c r="B9804" s="7" t="s">
        <v>543</v>
      </c>
      <c r="C9804" s="87" t="s">
        <v>32</v>
      </c>
      <c r="D9804" s="6">
        <v>47072</v>
      </c>
      <c r="E9804" s="3" t="str">
        <f ca="1">IF(Tabela2[[#This Row],[Dt Venc:]]&gt;TODAY(),"Em Aberto",IF(Tabela2[[#This Row],[D/venc]]="-","Enviado",IF(Tabela2[[#This Row],[Dt Venc:]]=TODAY(),"Vence Hoje","Vencida")))</f>
        <v>Em Aberto</v>
      </c>
      <c r="F9804" s="3">
        <f ca="1">IF(G9804=1,"-",Tabela2[[#This Row],[Dt Venc:]]-TODAY())</f>
        <v>1379</v>
      </c>
      <c r="G9804" s="3"/>
      <c r="H9804" s="3"/>
    </row>
    <row r="9805" spans="1:8">
      <c r="A9805" s="3">
        <v>371011</v>
      </c>
      <c r="B9805" s="7" t="s">
        <v>633</v>
      </c>
      <c r="C9805" s="87" t="s">
        <v>32</v>
      </c>
      <c r="D9805" s="6">
        <v>47072</v>
      </c>
      <c r="E9805" s="3" t="str">
        <f ca="1">IF(Tabela2[[#This Row],[Dt Venc:]]&gt;TODAY(),"Em Aberto",IF(Tabela2[[#This Row],[D/venc]]="-","Enviado",IF(Tabela2[[#This Row],[Dt Venc:]]=TODAY(),"Vence Hoje","Vencida")))</f>
        <v>Em Aberto</v>
      </c>
      <c r="F9805" s="3">
        <f ca="1">IF(G9805=1,"-",Tabela2[[#This Row],[Dt Venc:]]-TODAY())</f>
        <v>1379</v>
      </c>
      <c r="G9805" s="3"/>
      <c r="H9805" s="3"/>
    </row>
    <row r="9806" spans="1:8">
      <c r="A9806" s="3">
        <v>371160</v>
      </c>
      <c r="B9806" s="7" t="s">
        <v>633</v>
      </c>
      <c r="C9806" s="87" t="s">
        <v>32</v>
      </c>
      <c r="D9806" s="6">
        <v>47072</v>
      </c>
      <c r="E9806" s="3" t="str">
        <f ca="1">IF(Tabela2[[#This Row],[Dt Venc:]]&gt;TODAY(),"Em Aberto",IF(Tabela2[[#This Row],[D/venc]]="-","Enviado",IF(Tabela2[[#This Row],[Dt Venc:]]=TODAY(),"Vence Hoje","Vencida")))</f>
        <v>Em Aberto</v>
      </c>
      <c r="F9806" s="3">
        <f ca="1">IF(G9806=1,"-",Tabela2[[#This Row],[Dt Venc:]]-TODAY())</f>
        <v>1379</v>
      </c>
      <c r="G9806" s="3"/>
      <c r="H9806" s="3"/>
    </row>
    <row r="9807" spans="1:8">
      <c r="A9807" s="3">
        <v>892178</v>
      </c>
      <c r="B9807" s="7" t="s">
        <v>253</v>
      </c>
      <c r="C9807" s="100" t="s">
        <v>32</v>
      </c>
      <c r="D9807" s="6">
        <v>47072</v>
      </c>
      <c r="E9807" s="3" t="str">
        <f ca="1">IF(Tabela2[[#This Row],[Dt Venc:]]&gt;TODAY(),"Em Aberto",IF(Tabela2[[#This Row],[D/venc]]="-","Enviado",IF(Tabela2[[#This Row],[Dt Venc:]]=TODAY(),"Vence Hoje","Vencida")))</f>
        <v>Em Aberto</v>
      </c>
      <c r="F9807" s="3">
        <f ca="1">IF(G9807=1,"-",Tabela2[[#This Row],[Dt Venc:]]-TODAY())</f>
        <v>1379</v>
      </c>
      <c r="G9807" s="3"/>
      <c r="H9807" s="3"/>
    </row>
    <row r="9808" spans="1:8">
      <c r="A9808" s="3">
        <v>894135</v>
      </c>
      <c r="B9808" s="7" t="s">
        <v>253</v>
      </c>
      <c r="C9808" s="100" t="s">
        <v>32</v>
      </c>
      <c r="D9808" s="6">
        <v>47072</v>
      </c>
      <c r="E9808" s="3" t="str">
        <f ca="1">IF(Tabela2[[#This Row],[Dt Venc:]]&gt;TODAY(),"Em Aberto",IF(Tabela2[[#This Row],[D/venc]]="-","Enviado",IF(Tabela2[[#This Row],[Dt Venc:]]=TODAY(),"Vence Hoje","Vencida")))</f>
        <v>Em Aberto</v>
      </c>
      <c r="F9808" s="3">
        <f ca="1">IF(G9808=1,"-",Tabela2[[#This Row],[Dt Venc:]]-TODAY())</f>
        <v>1379</v>
      </c>
      <c r="G9808" s="3"/>
      <c r="H9808" s="3"/>
    </row>
    <row r="9809" spans="1:8">
      <c r="A9809" s="3">
        <v>896565</v>
      </c>
      <c r="B9809" s="7" t="s">
        <v>253</v>
      </c>
      <c r="C9809" s="100" t="s">
        <v>32</v>
      </c>
      <c r="D9809" s="6">
        <v>47072</v>
      </c>
      <c r="E9809" s="3" t="str">
        <f ca="1">IF(Tabela2[[#This Row],[Dt Venc:]]&gt;TODAY(),"Em Aberto",IF(Tabela2[[#This Row],[D/venc]]="-","Enviado",IF(Tabela2[[#This Row],[Dt Venc:]]=TODAY(),"Vence Hoje","Vencida")))</f>
        <v>Em Aberto</v>
      </c>
      <c r="F9809" s="3">
        <f ca="1">IF(G9809=1,"-",Tabela2[[#This Row],[Dt Venc:]]-TODAY())</f>
        <v>1379</v>
      </c>
      <c r="G9809" s="3"/>
      <c r="H9809" s="3"/>
    </row>
    <row r="9810" spans="1:8">
      <c r="A9810" s="3">
        <v>900386</v>
      </c>
      <c r="B9810" s="7" t="s">
        <v>253</v>
      </c>
      <c r="C9810" s="100" t="s">
        <v>32</v>
      </c>
      <c r="D9810" s="6">
        <v>47072</v>
      </c>
      <c r="E9810" s="3" t="str">
        <f ca="1">IF(Tabela2[[#This Row],[Dt Venc:]]&gt;TODAY(),"Em Aberto",IF(Tabela2[[#This Row],[D/venc]]="-","Enviado",IF(Tabela2[[#This Row],[Dt Venc:]]=TODAY(),"Vence Hoje","Vencida")))</f>
        <v>Em Aberto</v>
      </c>
      <c r="F9810" s="3">
        <f ca="1">IF(G9810=1,"-",Tabela2[[#This Row],[Dt Venc:]]-TODAY())</f>
        <v>1379</v>
      </c>
      <c r="G9810" s="3"/>
      <c r="H9810" s="3"/>
    </row>
    <row r="9811" spans="1:8">
      <c r="A9811" s="3">
        <v>901787</v>
      </c>
      <c r="B9811" s="7" t="s">
        <v>253</v>
      </c>
      <c r="C9811" s="99" t="s">
        <v>32</v>
      </c>
      <c r="D9811" s="6">
        <v>47072</v>
      </c>
      <c r="E9811" s="3" t="str">
        <f ca="1">IF(Tabela2[[#This Row],[Dt Venc:]]&gt;TODAY(),"Em Aberto",IF(Tabela2[[#This Row],[D/venc]]="-","Enviado",IF(Tabela2[[#This Row],[Dt Venc:]]=TODAY(),"Vence Hoje","Vencida")))</f>
        <v>Em Aberto</v>
      </c>
      <c r="F9811" s="3">
        <f ca="1">IF(G9811=1,"-",Tabela2[[#This Row],[Dt Venc:]]-TODAY())</f>
        <v>1379</v>
      </c>
      <c r="G9811" s="3"/>
      <c r="H9811" s="3"/>
    </row>
    <row r="9812" spans="1:8">
      <c r="A9812" s="3">
        <v>901788</v>
      </c>
      <c r="B9812" s="7" t="s">
        <v>253</v>
      </c>
      <c r="C9812" s="100" t="s">
        <v>32</v>
      </c>
      <c r="D9812" s="6">
        <v>47072</v>
      </c>
      <c r="E9812" s="3" t="str">
        <f ca="1">IF(Tabela2[[#This Row],[Dt Venc:]]&gt;TODAY(),"Em Aberto",IF(Tabela2[[#This Row],[D/venc]]="-","Enviado",IF(Tabela2[[#This Row],[Dt Venc:]]=TODAY(),"Vence Hoje","Vencida")))</f>
        <v>Em Aberto</v>
      </c>
      <c r="F9812" s="3">
        <f ca="1">IF(G9812=1,"-",Tabela2[[#This Row],[Dt Venc:]]-TODAY())</f>
        <v>1379</v>
      </c>
      <c r="G9812" s="3"/>
      <c r="H9812" s="3"/>
    </row>
    <row r="9813" spans="1:8">
      <c r="A9813" s="3">
        <v>901789</v>
      </c>
      <c r="B9813" s="7" t="s">
        <v>253</v>
      </c>
      <c r="C9813" s="100" t="s">
        <v>32</v>
      </c>
      <c r="D9813" s="6">
        <v>47072</v>
      </c>
      <c r="E9813" s="3" t="str">
        <f ca="1">IF(Tabela2[[#This Row],[Dt Venc:]]&gt;TODAY(),"Em Aberto",IF(Tabela2[[#This Row],[D/venc]]="-","Enviado",IF(Tabela2[[#This Row],[Dt Venc:]]=TODAY(),"Vence Hoje","Vencida")))</f>
        <v>Em Aberto</v>
      </c>
      <c r="F9813" s="3">
        <f ca="1">IF(G9813=1,"-",Tabela2[[#This Row],[Dt Venc:]]-TODAY())</f>
        <v>1379</v>
      </c>
      <c r="G9813" s="3"/>
      <c r="H9813" s="3"/>
    </row>
    <row r="9814" spans="1:8">
      <c r="A9814" s="3">
        <v>912703</v>
      </c>
      <c r="B9814" s="7" t="s">
        <v>253</v>
      </c>
      <c r="C9814" s="100" t="s">
        <v>32</v>
      </c>
      <c r="D9814" s="6">
        <v>47072</v>
      </c>
      <c r="E9814" s="3" t="str">
        <f ca="1">IF(Tabela2[[#This Row],[Dt Venc:]]&gt;TODAY(),"Em Aberto",IF(Tabela2[[#This Row],[D/venc]]="-","Enviado",IF(Tabela2[[#This Row],[Dt Venc:]]=TODAY(),"Vence Hoje","Vencida")))</f>
        <v>Em Aberto</v>
      </c>
      <c r="F9814" s="3">
        <f ca="1">IF(G9814=1,"-",Tabela2[[#This Row],[Dt Venc:]]-TODAY())</f>
        <v>1379</v>
      </c>
      <c r="G9814" s="3"/>
      <c r="H9814" s="3"/>
    </row>
    <row r="9815" spans="1:8">
      <c r="A9815" s="3">
        <v>912704</v>
      </c>
      <c r="B9815" s="7" t="s">
        <v>253</v>
      </c>
      <c r="C9815" s="100" t="s">
        <v>32</v>
      </c>
      <c r="D9815" s="6">
        <v>47072</v>
      </c>
      <c r="E9815" s="3" t="str">
        <f ca="1">IF(Tabela2[[#This Row],[Dt Venc:]]&gt;TODAY(),"Em Aberto",IF(Tabela2[[#This Row],[D/venc]]="-","Enviado",IF(Tabela2[[#This Row],[Dt Venc:]]=TODAY(),"Vence Hoje","Vencida")))</f>
        <v>Em Aberto</v>
      </c>
      <c r="F9815" s="3">
        <f ca="1">IF(G9815=1,"-",Tabela2[[#This Row],[Dt Venc:]]-TODAY())</f>
        <v>1379</v>
      </c>
      <c r="G9815" s="3"/>
      <c r="H9815" s="3"/>
    </row>
    <row r="9816" spans="1:8">
      <c r="A9816" s="3">
        <v>919728</v>
      </c>
      <c r="B9816" s="7" t="s">
        <v>253</v>
      </c>
      <c r="C9816" s="87" t="s">
        <v>32</v>
      </c>
      <c r="D9816" s="6">
        <v>47072</v>
      </c>
      <c r="E9816" s="3" t="str">
        <f ca="1">IF(Tabela2[[#This Row],[Dt Venc:]]&gt;TODAY(),"Em Aberto",IF(Tabela2[[#This Row],[D/venc]]="-","Enviado",IF(Tabela2[[#This Row],[Dt Venc:]]=TODAY(),"Vence Hoje","Vencida")))</f>
        <v>Em Aberto</v>
      </c>
      <c r="F9816" s="3">
        <f ca="1">IF(G9816=1,"-",Tabela2[[#This Row],[Dt Venc:]]-TODAY())</f>
        <v>1379</v>
      </c>
      <c r="G9816" s="3"/>
      <c r="H9816" s="3"/>
    </row>
    <row r="9817" spans="1:8">
      <c r="A9817" s="3">
        <v>919729</v>
      </c>
      <c r="B9817" s="7" t="s">
        <v>253</v>
      </c>
      <c r="C9817" s="87" t="s">
        <v>32</v>
      </c>
      <c r="D9817" s="6">
        <v>47072</v>
      </c>
      <c r="E9817" s="3" t="str">
        <f ca="1">IF(Tabela2[[#This Row],[Dt Venc:]]&gt;TODAY(),"Em Aberto",IF(Tabela2[[#This Row],[D/venc]]="-","Enviado",IF(Tabela2[[#This Row],[Dt Venc:]]=TODAY(),"Vence Hoje","Vencida")))</f>
        <v>Em Aberto</v>
      </c>
      <c r="F9817" s="3">
        <f ca="1">IF(G9817=1,"-",Tabela2[[#This Row],[Dt Venc:]]-TODAY())</f>
        <v>1379</v>
      </c>
      <c r="G9817" s="3"/>
      <c r="H9817" s="3"/>
    </row>
    <row r="9818" spans="1:8">
      <c r="A9818" s="3">
        <v>495914</v>
      </c>
      <c r="B9818" s="7" t="s">
        <v>153</v>
      </c>
      <c r="C9818" s="100" t="s">
        <v>32</v>
      </c>
      <c r="D9818" s="6">
        <v>47082</v>
      </c>
      <c r="E9818" s="3" t="str">
        <f ca="1">IF(Tabela2[[#This Row],[Dt Venc:]]&gt;TODAY(),"Em Aberto",IF(Tabela2[[#This Row],[D/venc]]="-","Enviado",IF(Tabela2[[#This Row],[Dt Venc:]]=TODAY(),"Vence Hoje","Vencida")))</f>
        <v>Em Aberto</v>
      </c>
      <c r="F9818" s="3">
        <f ca="1">IF(G9818=1,"-",Tabela2[[#This Row],[Dt Venc:]]-TODAY())</f>
        <v>1389</v>
      </c>
      <c r="G9818" s="3"/>
      <c r="H9818" s="3"/>
    </row>
    <row r="9819" spans="1:8">
      <c r="A9819" s="3">
        <v>11681</v>
      </c>
      <c r="B9819" s="7" t="s">
        <v>82</v>
      </c>
      <c r="C9819" s="87" t="s">
        <v>30</v>
      </c>
      <c r="D9819" s="6">
        <v>47087</v>
      </c>
      <c r="E9819" s="3" t="str">
        <f ca="1">IF(Tabela2[[#This Row],[Dt Venc:]]&gt;TODAY(),"Em Aberto",IF(Tabela2[[#This Row],[D/venc]]="-","Enviado",IF(Tabela2[[#This Row],[Dt Venc:]]=TODAY(),"Vence Hoje","Vencida")))</f>
        <v>Em Aberto</v>
      </c>
      <c r="F9819" s="3">
        <f ca="1">IF(G9819=1,"-",Tabela2[[#This Row],[Dt Venc:]]-TODAY())</f>
        <v>1394</v>
      </c>
      <c r="G9819" s="3"/>
      <c r="H9819" s="3"/>
    </row>
    <row r="9820" spans="1:8">
      <c r="A9820" s="3">
        <v>284620</v>
      </c>
      <c r="B9820" s="7" t="s">
        <v>153</v>
      </c>
      <c r="C9820" s="100" t="s">
        <v>32</v>
      </c>
      <c r="D9820" s="6">
        <v>47095</v>
      </c>
      <c r="E9820" s="3" t="str">
        <f ca="1">IF(Tabela2[[#This Row],[Dt Venc:]]&gt;TODAY(),"Em Aberto",IF(Tabela2[[#This Row],[D/venc]]="-","Enviado",IF(Tabela2[[#This Row],[Dt Venc:]]=TODAY(),"Vence Hoje","Vencida")))</f>
        <v>Em Aberto</v>
      </c>
      <c r="F9820" s="3">
        <f ca="1">IF(G9820=1,"-",Tabela2[[#This Row],[Dt Venc:]]-TODAY())</f>
        <v>1402</v>
      </c>
      <c r="G9820" s="3"/>
      <c r="H9820" s="3"/>
    </row>
    <row r="9821" spans="1:8">
      <c r="A9821" s="3">
        <v>562</v>
      </c>
      <c r="B9821" s="7" t="s">
        <v>251</v>
      </c>
      <c r="C9821" s="100" t="s">
        <v>32</v>
      </c>
      <c r="D9821" s="6">
        <v>47102</v>
      </c>
      <c r="E9821" s="3" t="str">
        <f ca="1">IF(Tabela2[[#This Row],[Dt Venc:]]&gt;TODAY(),"Em Aberto",IF(Tabela2[[#This Row],[D/venc]]="-","Enviado",IF(Tabela2[[#This Row],[Dt Venc:]]=TODAY(),"Vence Hoje","Vencida")))</f>
        <v>Em Aberto</v>
      </c>
      <c r="F9821" s="3">
        <f ca="1">IF(G9821=1,"-",Tabela2[[#This Row],[Dt Venc:]]-TODAY())</f>
        <v>1409</v>
      </c>
      <c r="G9821" s="3"/>
      <c r="H9821" s="3"/>
    </row>
    <row r="9822" spans="1:8">
      <c r="A9822" s="3">
        <v>361229</v>
      </c>
      <c r="B9822" s="7" t="s">
        <v>250</v>
      </c>
      <c r="C9822" s="100" t="s">
        <v>32</v>
      </c>
      <c r="D9822" s="6">
        <v>47102</v>
      </c>
      <c r="E9822" s="3" t="str">
        <f ca="1">IF(Tabela2[[#This Row],[Dt Venc:]]&gt;TODAY(),"Em Aberto",IF(Tabela2[[#This Row],[D/venc]]="-","Enviado",IF(Tabela2[[#This Row],[Dt Venc:]]=TODAY(),"Vence Hoje","Vencida")))</f>
        <v>Em Aberto</v>
      </c>
      <c r="F9822" s="3">
        <f ca="1">IF(G9822=1,"-",Tabela2[[#This Row],[Dt Venc:]]-TODAY())</f>
        <v>1409</v>
      </c>
      <c r="G9822" s="3"/>
      <c r="H9822" s="3"/>
    </row>
    <row r="9823" spans="1:8">
      <c r="A9823" s="3">
        <v>361237</v>
      </c>
      <c r="B9823" s="7" t="s">
        <v>250</v>
      </c>
      <c r="C9823" s="100" t="s">
        <v>32</v>
      </c>
      <c r="D9823" s="6">
        <v>47102</v>
      </c>
      <c r="E9823" s="3" t="str">
        <f ca="1">IF(Tabela2[[#This Row],[Dt Venc:]]&gt;TODAY(),"Em Aberto",IF(Tabela2[[#This Row],[D/venc]]="-","Enviado",IF(Tabela2[[#This Row],[Dt Venc:]]=TODAY(),"Vence Hoje","Vencida")))</f>
        <v>Em Aberto</v>
      </c>
      <c r="F9823" s="3">
        <f ca="1">IF(G9823=1,"-",Tabela2[[#This Row],[Dt Venc:]]-TODAY())</f>
        <v>1409</v>
      </c>
      <c r="G9823" s="3"/>
      <c r="H9823" s="3"/>
    </row>
    <row r="9824" spans="1:8">
      <c r="A9824" s="3">
        <v>365658</v>
      </c>
      <c r="B9824" s="7" t="s">
        <v>250</v>
      </c>
      <c r="C9824" s="100" t="s">
        <v>32</v>
      </c>
      <c r="D9824" s="6">
        <v>47102</v>
      </c>
      <c r="E9824" s="3" t="str">
        <f ca="1">IF(Tabela2[[#This Row],[Dt Venc:]]&gt;TODAY(),"Em Aberto",IF(Tabela2[[#This Row],[D/venc]]="-","Enviado",IF(Tabela2[[#This Row],[Dt Venc:]]=TODAY(),"Vence Hoje","Vencida")))</f>
        <v>Em Aberto</v>
      </c>
      <c r="F9824" s="3">
        <f ca="1">IF(G9824=1,"-",Tabela2[[#This Row],[Dt Venc:]]-TODAY())</f>
        <v>1409</v>
      </c>
      <c r="G9824" s="3"/>
      <c r="H9824" s="3"/>
    </row>
    <row r="9825" spans="1:8">
      <c r="A9825" s="3">
        <v>365666</v>
      </c>
      <c r="B9825" s="7" t="s">
        <v>250</v>
      </c>
      <c r="C9825" s="100" t="s">
        <v>32</v>
      </c>
      <c r="D9825" s="6">
        <v>47102</v>
      </c>
      <c r="E9825" s="3" t="str">
        <f ca="1">IF(Tabela2[[#This Row],[Dt Venc:]]&gt;TODAY(),"Em Aberto",IF(Tabela2[[#This Row],[D/venc]]="-","Enviado",IF(Tabela2[[#This Row],[Dt Venc:]]=TODAY(),"Vence Hoje","Vencida")))</f>
        <v>Em Aberto</v>
      </c>
      <c r="F9825" s="3">
        <f ca="1">IF(G9825=1,"-",Tabela2[[#This Row],[Dt Venc:]]-TODAY())</f>
        <v>1409</v>
      </c>
      <c r="G9825" s="3"/>
      <c r="H9825" s="3"/>
    </row>
    <row r="9826" spans="1:8">
      <c r="A9826" s="3">
        <v>365674</v>
      </c>
      <c r="B9826" s="7" t="s">
        <v>250</v>
      </c>
      <c r="C9826" s="100" t="s">
        <v>32</v>
      </c>
      <c r="D9826" s="6">
        <v>47102</v>
      </c>
      <c r="E9826" s="3" t="str">
        <f ca="1">IF(Tabela2[[#This Row],[Dt Venc:]]&gt;TODAY(),"Em Aberto",IF(Tabela2[[#This Row],[D/venc]]="-","Enviado",IF(Tabela2[[#This Row],[Dt Venc:]]=TODAY(),"Vence Hoje","Vencida")))</f>
        <v>Em Aberto</v>
      </c>
      <c r="F9826" s="3">
        <f ca="1">IF(G9826=1,"-",Tabela2[[#This Row],[Dt Venc:]]-TODAY())</f>
        <v>1409</v>
      </c>
      <c r="G9826" s="3"/>
      <c r="H9826" s="3"/>
    </row>
    <row r="9827" spans="1:8">
      <c r="A9827" s="3">
        <v>365682</v>
      </c>
      <c r="B9827" s="7" t="s">
        <v>250</v>
      </c>
      <c r="C9827" s="100" t="s">
        <v>32</v>
      </c>
      <c r="D9827" s="6">
        <v>47102</v>
      </c>
      <c r="E9827" s="3" t="str">
        <f ca="1">IF(Tabela2[[#This Row],[Dt Venc:]]&gt;TODAY(),"Em Aberto",IF(Tabela2[[#This Row],[D/venc]]="-","Enviado",IF(Tabela2[[#This Row],[Dt Venc:]]=TODAY(),"Vence Hoje","Vencida")))</f>
        <v>Em Aberto</v>
      </c>
      <c r="F9827" s="3">
        <f ca="1">IF(G9827=1,"-",Tabela2[[#This Row],[Dt Venc:]]-TODAY())</f>
        <v>1409</v>
      </c>
      <c r="G9827" s="3"/>
      <c r="H9827" s="3"/>
    </row>
    <row r="9828" spans="1:8">
      <c r="A9828" s="3">
        <v>369335</v>
      </c>
      <c r="B9828" s="7" t="s">
        <v>543</v>
      </c>
      <c r="C9828" s="87" t="s">
        <v>32</v>
      </c>
      <c r="D9828" s="6">
        <v>47102</v>
      </c>
      <c r="E9828" s="3" t="str">
        <f ca="1">IF(Tabela2[[#This Row],[Dt Venc:]]&gt;TODAY(),"Em Aberto",IF(Tabela2[[#This Row],[D/venc]]="-","Enviado",IF(Tabela2[[#This Row],[Dt Venc:]]=TODAY(),"Vence Hoje","Vencida")))</f>
        <v>Em Aberto</v>
      </c>
      <c r="F9828" s="3">
        <f ca="1">IF(G9828=1,"-",Tabela2[[#This Row],[Dt Venc:]]-TODAY())</f>
        <v>1409</v>
      </c>
      <c r="G9828" s="3"/>
      <c r="H9828" s="3"/>
    </row>
    <row r="9829" spans="1:8">
      <c r="A9829" s="3">
        <v>369696</v>
      </c>
      <c r="B9829" s="7" t="s">
        <v>543</v>
      </c>
      <c r="C9829" s="87" t="s">
        <v>32</v>
      </c>
      <c r="D9829" s="6">
        <v>47102</v>
      </c>
      <c r="E9829" s="3" t="str">
        <f ca="1">IF(Tabela2[[#This Row],[Dt Venc:]]&gt;TODAY(),"Em Aberto",IF(Tabela2[[#This Row],[D/venc]]="-","Enviado",IF(Tabela2[[#This Row],[Dt Venc:]]=TODAY(),"Vence Hoje","Vencida")))</f>
        <v>Em Aberto</v>
      </c>
      <c r="F9829" s="3">
        <f ca="1">IF(G9829=1,"-",Tabela2[[#This Row],[Dt Venc:]]-TODAY())</f>
        <v>1409</v>
      </c>
      <c r="G9829" s="3"/>
      <c r="H9829" s="3"/>
    </row>
    <row r="9830" spans="1:8">
      <c r="A9830" s="3">
        <v>369726</v>
      </c>
      <c r="B9830" s="7" t="s">
        <v>543</v>
      </c>
      <c r="C9830" s="87" t="s">
        <v>32</v>
      </c>
      <c r="D9830" s="6">
        <v>47102</v>
      </c>
      <c r="E9830" s="3" t="str">
        <f ca="1">IF(Tabela2[[#This Row],[Dt Venc:]]&gt;TODAY(),"Em Aberto",IF(Tabela2[[#This Row],[D/venc]]="-","Enviado",IF(Tabela2[[#This Row],[Dt Venc:]]=TODAY(),"Vence Hoje","Vencida")))</f>
        <v>Em Aberto</v>
      </c>
      <c r="F9830" s="3">
        <f ca="1">IF(G9830=1,"-",Tabela2[[#This Row],[Dt Venc:]]-TODAY())</f>
        <v>1409</v>
      </c>
      <c r="G9830" s="3"/>
      <c r="H9830" s="3"/>
    </row>
    <row r="9831" spans="1:8">
      <c r="A9831" s="3">
        <v>369751</v>
      </c>
      <c r="B9831" s="7" t="s">
        <v>543</v>
      </c>
      <c r="C9831" s="87" t="s">
        <v>32</v>
      </c>
      <c r="D9831" s="6">
        <v>47102</v>
      </c>
      <c r="E9831" s="3" t="str">
        <f ca="1">IF(Tabela2[[#This Row],[Dt Venc:]]&gt;TODAY(),"Em Aberto",IF(Tabela2[[#This Row],[D/venc]]="-","Enviado",IF(Tabela2[[#This Row],[Dt Venc:]]=TODAY(),"Vence Hoje","Vencida")))</f>
        <v>Em Aberto</v>
      </c>
      <c r="F9831" s="3">
        <f ca="1">IF(G9831=1,"-",Tabela2[[#This Row],[Dt Venc:]]-TODAY())</f>
        <v>1409</v>
      </c>
      <c r="G9831" s="3"/>
      <c r="H9831" s="3"/>
    </row>
    <row r="9832" spans="1:8">
      <c r="A9832" s="3">
        <v>370201</v>
      </c>
      <c r="B9832" s="7" t="s">
        <v>543</v>
      </c>
      <c r="C9832" s="87" t="s">
        <v>32</v>
      </c>
      <c r="D9832" s="6">
        <v>47102</v>
      </c>
      <c r="E9832" s="3" t="str">
        <f ca="1">IF(Tabela2[[#This Row],[Dt Venc:]]&gt;TODAY(),"Em Aberto",IF(Tabela2[[#This Row],[D/venc]]="-","Enviado",IF(Tabela2[[#This Row],[Dt Venc:]]=TODAY(),"Vence Hoje","Vencida")))</f>
        <v>Em Aberto</v>
      </c>
      <c r="F9832" s="3">
        <f ca="1">IF(G9832=1,"-",Tabela2[[#This Row],[Dt Venc:]]-TODAY())</f>
        <v>1409</v>
      </c>
      <c r="G9832" s="3"/>
      <c r="H9832" s="3"/>
    </row>
    <row r="9833" spans="1:8">
      <c r="A9833" s="3">
        <v>370864</v>
      </c>
      <c r="B9833" s="7" t="s">
        <v>543</v>
      </c>
      <c r="C9833" s="87" t="s">
        <v>32</v>
      </c>
      <c r="D9833" s="6">
        <v>47102</v>
      </c>
      <c r="E9833" s="3" t="str">
        <f ca="1">IF(Tabela2[[#This Row],[Dt Venc:]]&gt;TODAY(),"Em Aberto",IF(Tabela2[[#This Row],[D/venc]]="-","Enviado",IF(Tabela2[[#This Row],[Dt Venc:]]=TODAY(),"Vence Hoje","Vencida")))</f>
        <v>Em Aberto</v>
      </c>
      <c r="F9833" s="3">
        <f ca="1">IF(G9833=1,"-",Tabela2[[#This Row],[Dt Venc:]]-TODAY())</f>
        <v>1409</v>
      </c>
      <c r="G9833" s="3"/>
      <c r="H9833" s="3"/>
    </row>
    <row r="9834" spans="1:8">
      <c r="A9834" s="3">
        <v>371011</v>
      </c>
      <c r="B9834" s="7" t="s">
        <v>633</v>
      </c>
      <c r="C9834" s="87" t="s">
        <v>32</v>
      </c>
      <c r="D9834" s="6">
        <v>47102</v>
      </c>
      <c r="E9834" s="3" t="str">
        <f ca="1">IF(Tabela2[[#This Row],[Dt Venc:]]&gt;TODAY(),"Em Aberto",IF(Tabela2[[#This Row],[D/venc]]="-","Enviado",IF(Tabela2[[#This Row],[Dt Venc:]]=TODAY(),"Vence Hoje","Vencida")))</f>
        <v>Em Aberto</v>
      </c>
      <c r="F9834" s="3">
        <f ca="1">IF(G9834=1,"-",Tabela2[[#This Row],[Dt Venc:]]-TODAY())</f>
        <v>1409</v>
      </c>
      <c r="G9834" s="3"/>
      <c r="H9834" s="3"/>
    </row>
    <row r="9835" spans="1:8">
      <c r="A9835" s="3">
        <v>371160</v>
      </c>
      <c r="B9835" s="7" t="s">
        <v>633</v>
      </c>
      <c r="C9835" s="87" t="s">
        <v>32</v>
      </c>
      <c r="D9835" s="6">
        <v>47102</v>
      </c>
      <c r="E9835" s="3" t="str">
        <f ca="1">IF(Tabela2[[#This Row],[Dt Venc:]]&gt;TODAY(),"Em Aberto",IF(Tabela2[[#This Row],[D/venc]]="-","Enviado",IF(Tabela2[[#This Row],[Dt Venc:]]=TODAY(),"Vence Hoje","Vencida")))</f>
        <v>Em Aberto</v>
      </c>
      <c r="F9835" s="3">
        <f ca="1">IF(G9835=1,"-",Tabela2[[#This Row],[Dt Venc:]]-TODAY())</f>
        <v>1409</v>
      </c>
      <c r="G9835" s="3"/>
      <c r="H9835" s="3"/>
    </row>
    <row r="9836" spans="1:8">
      <c r="A9836" s="3">
        <v>892178</v>
      </c>
      <c r="B9836" s="7" t="s">
        <v>253</v>
      </c>
      <c r="C9836" s="100" t="s">
        <v>32</v>
      </c>
      <c r="D9836" s="6">
        <v>47102</v>
      </c>
      <c r="E9836" s="3" t="str">
        <f ca="1">IF(Tabela2[[#This Row],[Dt Venc:]]&gt;TODAY(),"Em Aberto",IF(Tabela2[[#This Row],[D/venc]]="-","Enviado",IF(Tabela2[[#This Row],[Dt Venc:]]=TODAY(),"Vence Hoje","Vencida")))</f>
        <v>Em Aberto</v>
      </c>
      <c r="F9836" s="3">
        <f ca="1">IF(G9836=1,"-",Tabela2[[#This Row],[Dt Venc:]]-TODAY())</f>
        <v>1409</v>
      </c>
      <c r="G9836" s="3"/>
      <c r="H9836" s="3"/>
    </row>
    <row r="9837" spans="1:8">
      <c r="A9837" s="3">
        <v>894135</v>
      </c>
      <c r="B9837" s="7" t="s">
        <v>253</v>
      </c>
      <c r="C9837" s="100" t="s">
        <v>32</v>
      </c>
      <c r="D9837" s="6">
        <v>47102</v>
      </c>
      <c r="E9837" s="3" t="str">
        <f ca="1">IF(Tabela2[[#This Row],[Dt Venc:]]&gt;TODAY(),"Em Aberto",IF(Tabela2[[#This Row],[D/venc]]="-","Enviado",IF(Tabela2[[#This Row],[Dt Venc:]]=TODAY(),"Vence Hoje","Vencida")))</f>
        <v>Em Aberto</v>
      </c>
      <c r="F9837" s="3">
        <f ca="1">IF(G9837=1,"-",Tabela2[[#This Row],[Dt Venc:]]-TODAY())</f>
        <v>1409</v>
      </c>
      <c r="G9837" s="3"/>
      <c r="H9837" s="3"/>
    </row>
    <row r="9838" spans="1:8">
      <c r="A9838" s="3">
        <v>896565</v>
      </c>
      <c r="B9838" s="7" t="s">
        <v>253</v>
      </c>
      <c r="C9838" s="100" t="s">
        <v>32</v>
      </c>
      <c r="D9838" s="6">
        <v>47102</v>
      </c>
      <c r="E9838" s="3" t="str">
        <f ca="1">IF(Tabela2[[#This Row],[Dt Venc:]]&gt;TODAY(),"Em Aberto",IF(Tabela2[[#This Row],[D/venc]]="-","Enviado",IF(Tabela2[[#This Row],[Dt Venc:]]=TODAY(),"Vence Hoje","Vencida")))</f>
        <v>Em Aberto</v>
      </c>
      <c r="F9838" s="3">
        <f ca="1">IF(G9838=1,"-",Tabela2[[#This Row],[Dt Venc:]]-TODAY())</f>
        <v>1409</v>
      </c>
      <c r="G9838" s="3"/>
      <c r="H9838" s="3"/>
    </row>
    <row r="9839" spans="1:8">
      <c r="A9839" s="3">
        <v>900386</v>
      </c>
      <c r="B9839" s="7" t="s">
        <v>253</v>
      </c>
      <c r="C9839" s="100" t="s">
        <v>32</v>
      </c>
      <c r="D9839" s="6">
        <v>47102</v>
      </c>
      <c r="E9839" s="3" t="str">
        <f ca="1">IF(Tabela2[[#This Row],[Dt Venc:]]&gt;TODAY(),"Em Aberto",IF(Tabela2[[#This Row],[D/venc]]="-","Enviado",IF(Tabela2[[#This Row],[Dt Venc:]]=TODAY(),"Vence Hoje","Vencida")))</f>
        <v>Em Aberto</v>
      </c>
      <c r="F9839" s="3">
        <f ca="1">IF(G9839=1,"-",Tabela2[[#This Row],[Dt Venc:]]-TODAY())</f>
        <v>1409</v>
      </c>
      <c r="G9839" s="3"/>
      <c r="H9839" s="3"/>
    </row>
    <row r="9840" spans="1:8">
      <c r="A9840" s="3">
        <v>901787</v>
      </c>
      <c r="B9840" s="7" t="s">
        <v>253</v>
      </c>
      <c r="C9840" s="99" t="s">
        <v>32</v>
      </c>
      <c r="D9840" s="6">
        <v>47102</v>
      </c>
      <c r="E9840" s="3" t="str">
        <f ca="1">IF(Tabela2[[#This Row],[Dt Venc:]]&gt;TODAY(),"Em Aberto",IF(Tabela2[[#This Row],[D/venc]]="-","Enviado",IF(Tabela2[[#This Row],[Dt Venc:]]=TODAY(),"Vence Hoje","Vencida")))</f>
        <v>Em Aberto</v>
      </c>
      <c r="F9840" s="3">
        <f ca="1">IF(G9840=1,"-",Tabela2[[#This Row],[Dt Venc:]]-TODAY())</f>
        <v>1409</v>
      </c>
      <c r="G9840" s="3"/>
      <c r="H9840" s="3"/>
    </row>
    <row r="9841" spans="1:8">
      <c r="A9841" s="3">
        <v>901788</v>
      </c>
      <c r="B9841" s="7" t="s">
        <v>253</v>
      </c>
      <c r="C9841" s="100" t="s">
        <v>32</v>
      </c>
      <c r="D9841" s="6">
        <v>47102</v>
      </c>
      <c r="E9841" s="3" t="str">
        <f ca="1">IF(Tabela2[[#This Row],[Dt Venc:]]&gt;TODAY(),"Em Aberto",IF(Tabela2[[#This Row],[D/venc]]="-","Enviado",IF(Tabela2[[#This Row],[Dt Venc:]]=TODAY(),"Vence Hoje","Vencida")))</f>
        <v>Em Aberto</v>
      </c>
      <c r="F9841" s="3">
        <f ca="1">IF(G9841=1,"-",Tabela2[[#This Row],[Dt Venc:]]-TODAY())</f>
        <v>1409</v>
      </c>
      <c r="G9841" s="3"/>
      <c r="H9841" s="3"/>
    </row>
    <row r="9842" spans="1:8">
      <c r="A9842" s="3">
        <v>901789</v>
      </c>
      <c r="B9842" s="7" t="s">
        <v>253</v>
      </c>
      <c r="C9842" s="100" t="s">
        <v>32</v>
      </c>
      <c r="D9842" s="6">
        <v>47102</v>
      </c>
      <c r="E9842" s="3" t="str">
        <f ca="1">IF(Tabela2[[#This Row],[Dt Venc:]]&gt;TODAY(),"Em Aberto",IF(Tabela2[[#This Row],[D/venc]]="-","Enviado",IF(Tabela2[[#This Row],[Dt Venc:]]=TODAY(),"Vence Hoje","Vencida")))</f>
        <v>Em Aberto</v>
      </c>
      <c r="F9842" s="3">
        <f ca="1">IF(G9842=1,"-",Tabela2[[#This Row],[Dt Venc:]]-TODAY())</f>
        <v>1409</v>
      </c>
      <c r="G9842" s="3"/>
      <c r="H9842" s="3"/>
    </row>
    <row r="9843" spans="1:8">
      <c r="A9843" s="3">
        <v>912703</v>
      </c>
      <c r="B9843" s="7" t="s">
        <v>253</v>
      </c>
      <c r="C9843" s="100" t="s">
        <v>32</v>
      </c>
      <c r="D9843" s="6">
        <v>47102</v>
      </c>
      <c r="E9843" s="3" t="str">
        <f ca="1">IF(Tabela2[[#This Row],[Dt Venc:]]&gt;TODAY(),"Em Aberto",IF(Tabela2[[#This Row],[D/venc]]="-","Enviado",IF(Tabela2[[#This Row],[Dt Venc:]]=TODAY(),"Vence Hoje","Vencida")))</f>
        <v>Em Aberto</v>
      </c>
      <c r="F9843" s="3">
        <f ca="1">IF(G9843=1,"-",Tabela2[[#This Row],[Dt Venc:]]-TODAY())</f>
        <v>1409</v>
      </c>
      <c r="G9843" s="3"/>
      <c r="H9843" s="3"/>
    </row>
    <row r="9844" spans="1:8">
      <c r="A9844" s="3">
        <v>912704</v>
      </c>
      <c r="B9844" s="7" t="s">
        <v>253</v>
      </c>
      <c r="C9844" s="100" t="s">
        <v>32</v>
      </c>
      <c r="D9844" s="6">
        <v>47102</v>
      </c>
      <c r="E9844" s="3" t="str">
        <f ca="1">IF(Tabela2[[#This Row],[Dt Venc:]]&gt;TODAY(),"Em Aberto",IF(Tabela2[[#This Row],[D/venc]]="-","Enviado",IF(Tabela2[[#This Row],[Dt Venc:]]=TODAY(),"Vence Hoje","Vencida")))</f>
        <v>Em Aberto</v>
      </c>
      <c r="F9844" s="3">
        <f ca="1">IF(G9844=1,"-",Tabela2[[#This Row],[Dt Venc:]]-TODAY())</f>
        <v>1409</v>
      </c>
      <c r="G9844" s="3"/>
      <c r="H9844" s="3"/>
    </row>
    <row r="9845" spans="1:8">
      <c r="A9845" s="3">
        <v>919728</v>
      </c>
      <c r="B9845" s="7" t="s">
        <v>253</v>
      </c>
      <c r="C9845" s="87" t="s">
        <v>32</v>
      </c>
      <c r="D9845" s="6">
        <v>47102</v>
      </c>
      <c r="E9845" s="3" t="str">
        <f ca="1">IF(Tabela2[[#This Row],[Dt Venc:]]&gt;TODAY(),"Em Aberto",IF(Tabela2[[#This Row],[D/venc]]="-","Enviado",IF(Tabela2[[#This Row],[Dt Venc:]]=TODAY(),"Vence Hoje","Vencida")))</f>
        <v>Em Aberto</v>
      </c>
      <c r="F9845" s="3">
        <f ca="1">IF(G9845=1,"-",Tabela2[[#This Row],[Dt Venc:]]-TODAY())</f>
        <v>1409</v>
      </c>
      <c r="G9845" s="3"/>
      <c r="H9845" s="3"/>
    </row>
    <row r="9846" spans="1:8">
      <c r="A9846" s="3">
        <v>919729</v>
      </c>
      <c r="B9846" s="7" t="s">
        <v>253</v>
      </c>
      <c r="C9846" s="87" t="s">
        <v>32</v>
      </c>
      <c r="D9846" s="6">
        <v>47102</v>
      </c>
      <c r="E9846" s="3" t="str">
        <f ca="1">IF(Tabela2[[#This Row],[Dt Venc:]]&gt;TODAY(),"Em Aberto",IF(Tabela2[[#This Row],[D/venc]]="-","Enviado",IF(Tabela2[[#This Row],[Dt Venc:]]=TODAY(),"Vence Hoje","Vencida")))</f>
        <v>Em Aberto</v>
      </c>
      <c r="F9846" s="3">
        <f ca="1">IF(G9846=1,"-",Tabela2[[#This Row],[Dt Venc:]]-TODAY())</f>
        <v>1409</v>
      </c>
      <c r="G9846" s="3"/>
      <c r="H9846" s="3"/>
    </row>
    <row r="9847" spans="1:8">
      <c r="A9847" s="3">
        <v>495914</v>
      </c>
      <c r="B9847" s="7" t="s">
        <v>153</v>
      </c>
      <c r="C9847" s="100" t="s">
        <v>32</v>
      </c>
      <c r="D9847" s="6">
        <v>47112</v>
      </c>
      <c r="E9847" s="3" t="str">
        <f ca="1">IF(Tabela2[[#This Row],[Dt Venc:]]&gt;TODAY(),"Em Aberto",IF(Tabela2[[#This Row],[D/venc]]="-","Enviado",IF(Tabela2[[#This Row],[Dt Venc:]]=TODAY(),"Vence Hoje","Vencida")))</f>
        <v>Em Aberto</v>
      </c>
      <c r="F9847" s="3">
        <f ca="1">IF(G9847=1,"-",Tabela2[[#This Row],[Dt Venc:]]-TODAY())</f>
        <v>1419</v>
      </c>
      <c r="G9847" s="3"/>
      <c r="H9847" s="3"/>
    </row>
    <row r="9848" spans="1:8">
      <c r="A9848" s="3">
        <v>11681</v>
      </c>
      <c r="B9848" s="7" t="s">
        <v>82</v>
      </c>
      <c r="C9848" s="87" t="s">
        <v>30</v>
      </c>
      <c r="D9848" s="6">
        <v>47118</v>
      </c>
      <c r="E9848" s="3" t="str">
        <f ca="1">IF(Tabela2[[#This Row],[Dt Venc:]]&gt;TODAY(),"Em Aberto",IF(Tabela2[[#This Row],[D/venc]]="-","Enviado",IF(Tabela2[[#This Row],[Dt Venc:]]=TODAY(),"Vence Hoje","Vencida")))</f>
        <v>Em Aberto</v>
      </c>
      <c r="F9848" s="3">
        <f ca="1">IF(G9848=1,"-",Tabela2[[#This Row],[Dt Venc:]]-TODAY())</f>
        <v>1425</v>
      </c>
      <c r="G9848" s="3"/>
      <c r="H9848" s="3"/>
    </row>
    <row r="9849" spans="1:8">
      <c r="A9849" s="3">
        <v>284620</v>
      </c>
      <c r="B9849" s="7" t="s">
        <v>153</v>
      </c>
      <c r="C9849" s="100" t="s">
        <v>32</v>
      </c>
      <c r="D9849" s="6">
        <v>47126</v>
      </c>
      <c r="E9849" s="3" t="str">
        <f ca="1">IF(Tabela2[[#This Row],[Dt Venc:]]&gt;TODAY(),"Em Aberto",IF(Tabela2[[#This Row],[D/venc]]="-","Enviado",IF(Tabela2[[#This Row],[Dt Venc:]]=TODAY(),"Vence Hoje","Vencida")))</f>
        <v>Em Aberto</v>
      </c>
      <c r="F9849" s="3">
        <f ca="1">IF(G9849=1,"-",Tabela2[[#This Row],[Dt Venc:]]-TODAY())</f>
        <v>1433</v>
      </c>
      <c r="G9849" s="3"/>
      <c r="H9849" s="3"/>
    </row>
    <row r="9850" spans="1:8">
      <c r="A9850" s="3">
        <v>562</v>
      </c>
      <c r="B9850" s="7" t="s">
        <v>251</v>
      </c>
      <c r="C9850" s="100" t="s">
        <v>32</v>
      </c>
      <c r="D9850" s="6">
        <v>47133</v>
      </c>
      <c r="E9850" s="3" t="str">
        <f ca="1">IF(Tabela2[[#This Row],[Dt Venc:]]&gt;TODAY(),"Em Aberto",IF(Tabela2[[#This Row],[D/venc]]="-","Enviado",IF(Tabela2[[#This Row],[Dt Venc:]]=TODAY(),"Vence Hoje","Vencida")))</f>
        <v>Em Aberto</v>
      </c>
      <c r="F9850" s="3">
        <f ca="1">IF(G9850=1,"-",Tabela2[[#This Row],[Dt Venc:]]-TODAY())</f>
        <v>1440</v>
      </c>
      <c r="G9850" s="3"/>
      <c r="H9850" s="3"/>
    </row>
    <row r="9851" spans="1:8">
      <c r="A9851" s="3">
        <v>361229</v>
      </c>
      <c r="B9851" s="7" t="s">
        <v>250</v>
      </c>
      <c r="C9851" s="100" t="s">
        <v>32</v>
      </c>
      <c r="D9851" s="6">
        <v>47133</v>
      </c>
      <c r="E9851" s="3" t="str">
        <f ca="1">IF(Tabela2[[#This Row],[Dt Venc:]]&gt;TODAY(),"Em Aberto",IF(Tabela2[[#This Row],[D/venc]]="-","Enviado",IF(Tabela2[[#This Row],[Dt Venc:]]=TODAY(),"Vence Hoje","Vencida")))</f>
        <v>Em Aberto</v>
      </c>
      <c r="F9851" s="3">
        <f ca="1">IF(G9851=1,"-",Tabela2[[#This Row],[Dt Venc:]]-TODAY())</f>
        <v>1440</v>
      </c>
      <c r="G9851" s="3"/>
      <c r="H9851" s="3"/>
    </row>
    <row r="9852" spans="1:8">
      <c r="A9852" s="3">
        <v>361237</v>
      </c>
      <c r="B9852" s="7" t="s">
        <v>250</v>
      </c>
      <c r="C9852" s="100" t="s">
        <v>32</v>
      </c>
      <c r="D9852" s="6">
        <v>47133</v>
      </c>
      <c r="E9852" s="3" t="str">
        <f ca="1">IF(Tabela2[[#This Row],[Dt Venc:]]&gt;TODAY(),"Em Aberto",IF(Tabela2[[#This Row],[D/venc]]="-","Enviado",IF(Tabela2[[#This Row],[Dt Venc:]]=TODAY(),"Vence Hoje","Vencida")))</f>
        <v>Em Aberto</v>
      </c>
      <c r="F9852" s="3">
        <f ca="1">IF(G9852=1,"-",Tabela2[[#This Row],[Dt Venc:]]-TODAY())</f>
        <v>1440</v>
      </c>
      <c r="G9852" s="3"/>
      <c r="H9852" s="3"/>
    </row>
    <row r="9853" spans="1:8">
      <c r="A9853" s="3">
        <v>365658</v>
      </c>
      <c r="B9853" s="7" t="s">
        <v>250</v>
      </c>
      <c r="C9853" s="100" t="s">
        <v>32</v>
      </c>
      <c r="D9853" s="6">
        <v>47133</v>
      </c>
      <c r="E9853" s="3" t="str">
        <f ca="1">IF(Tabela2[[#This Row],[Dt Venc:]]&gt;TODAY(),"Em Aberto",IF(Tabela2[[#This Row],[D/venc]]="-","Enviado",IF(Tabela2[[#This Row],[Dt Venc:]]=TODAY(),"Vence Hoje","Vencida")))</f>
        <v>Em Aberto</v>
      </c>
      <c r="F9853" s="3">
        <f ca="1">IF(G9853=1,"-",Tabela2[[#This Row],[Dt Venc:]]-TODAY())</f>
        <v>1440</v>
      </c>
      <c r="G9853" s="3"/>
      <c r="H9853" s="3"/>
    </row>
    <row r="9854" spans="1:8">
      <c r="A9854" s="3">
        <v>365666</v>
      </c>
      <c r="B9854" s="7" t="s">
        <v>250</v>
      </c>
      <c r="C9854" s="100" t="s">
        <v>32</v>
      </c>
      <c r="D9854" s="6">
        <v>47133</v>
      </c>
      <c r="E9854" s="3" t="str">
        <f ca="1">IF(Tabela2[[#This Row],[Dt Venc:]]&gt;TODAY(),"Em Aberto",IF(Tabela2[[#This Row],[D/venc]]="-","Enviado",IF(Tabela2[[#This Row],[Dt Venc:]]=TODAY(),"Vence Hoje","Vencida")))</f>
        <v>Em Aberto</v>
      </c>
      <c r="F9854" s="3">
        <f ca="1">IF(G9854=1,"-",Tabela2[[#This Row],[Dt Venc:]]-TODAY())</f>
        <v>1440</v>
      </c>
      <c r="G9854" s="3"/>
      <c r="H9854" s="3"/>
    </row>
    <row r="9855" spans="1:8">
      <c r="A9855" s="3">
        <v>365674</v>
      </c>
      <c r="B9855" s="7" t="s">
        <v>250</v>
      </c>
      <c r="C9855" s="100" t="s">
        <v>32</v>
      </c>
      <c r="D9855" s="6">
        <v>47133</v>
      </c>
      <c r="E9855" s="3" t="str">
        <f ca="1">IF(Tabela2[[#This Row],[Dt Venc:]]&gt;TODAY(),"Em Aberto",IF(Tabela2[[#This Row],[D/venc]]="-","Enviado",IF(Tabela2[[#This Row],[Dt Venc:]]=TODAY(),"Vence Hoje","Vencida")))</f>
        <v>Em Aberto</v>
      </c>
      <c r="F9855" s="3">
        <f ca="1">IF(G9855=1,"-",Tabela2[[#This Row],[Dt Venc:]]-TODAY())</f>
        <v>1440</v>
      </c>
      <c r="G9855" s="3"/>
      <c r="H9855" s="3"/>
    </row>
    <row r="9856" spans="1:8">
      <c r="A9856" s="3">
        <v>365682</v>
      </c>
      <c r="B9856" s="7" t="s">
        <v>250</v>
      </c>
      <c r="C9856" s="100" t="s">
        <v>32</v>
      </c>
      <c r="D9856" s="6">
        <v>47133</v>
      </c>
      <c r="E9856" s="3" t="str">
        <f ca="1">IF(Tabela2[[#This Row],[Dt Venc:]]&gt;TODAY(),"Em Aberto",IF(Tabela2[[#This Row],[D/venc]]="-","Enviado",IF(Tabela2[[#This Row],[Dt Venc:]]=TODAY(),"Vence Hoje","Vencida")))</f>
        <v>Em Aberto</v>
      </c>
      <c r="F9856" s="3">
        <f ca="1">IF(G9856=1,"-",Tabela2[[#This Row],[Dt Venc:]]-TODAY())</f>
        <v>1440</v>
      </c>
      <c r="G9856" s="3"/>
      <c r="H9856" s="3"/>
    </row>
    <row r="9857" spans="1:8">
      <c r="A9857" s="3">
        <v>369335</v>
      </c>
      <c r="B9857" s="7" t="s">
        <v>543</v>
      </c>
      <c r="C9857" s="87" t="s">
        <v>32</v>
      </c>
      <c r="D9857" s="6">
        <v>47133</v>
      </c>
      <c r="E9857" s="3" t="str">
        <f ca="1">IF(Tabela2[[#This Row],[Dt Venc:]]&gt;TODAY(),"Em Aberto",IF(Tabela2[[#This Row],[D/venc]]="-","Enviado",IF(Tabela2[[#This Row],[Dt Venc:]]=TODAY(),"Vence Hoje","Vencida")))</f>
        <v>Em Aberto</v>
      </c>
      <c r="F9857" s="3">
        <f ca="1">IF(G9857=1,"-",Tabela2[[#This Row],[Dt Venc:]]-TODAY())</f>
        <v>1440</v>
      </c>
      <c r="G9857" s="3"/>
      <c r="H9857" s="3"/>
    </row>
    <row r="9858" spans="1:8">
      <c r="A9858" s="3">
        <v>369696</v>
      </c>
      <c r="B9858" s="7" t="s">
        <v>543</v>
      </c>
      <c r="C9858" s="87" t="s">
        <v>32</v>
      </c>
      <c r="D9858" s="6">
        <v>47133</v>
      </c>
      <c r="E9858" s="3" t="str">
        <f ca="1">IF(Tabela2[[#This Row],[Dt Venc:]]&gt;TODAY(),"Em Aberto",IF(Tabela2[[#This Row],[D/venc]]="-","Enviado",IF(Tabela2[[#This Row],[Dt Venc:]]=TODAY(),"Vence Hoje","Vencida")))</f>
        <v>Em Aberto</v>
      </c>
      <c r="F9858" s="3">
        <f ca="1">IF(G9858=1,"-",Tabela2[[#This Row],[Dt Venc:]]-TODAY())</f>
        <v>1440</v>
      </c>
      <c r="G9858" s="3"/>
      <c r="H9858" s="3"/>
    </row>
    <row r="9859" spans="1:8">
      <c r="A9859" s="3">
        <v>369726</v>
      </c>
      <c r="B9859" s="7" t="s">
        <v>543</v>
      </c>
      <c r="C9859" s="87" t="s">
        <v>32</v>
      </c>
      <c r="D9859" s="6">
        <v>47133</v>
      </c>
      <c r="E9859" s="3" t="str">
        <f ca="1">IF(Tabela2[[#This Row],[Dt Venc:]]&gt;TODAY(),"Em Aberto",IF(Tabela2[[#This Row],[D/venc]]="-","Enviado",IF(Tabela2[[#This Row],[Dt Venc:]]=TODAY(),"Vence Hoje","Vencida")))</f>
        <v>Em Aberto</v>
      </c>
      <c r="F9859" s="3">
        <f ca="1">IF(G9859=1,"-",Tabela2[[#This Row],[Dt Venc:]]-TODAY())</f>
        <v>1440</v>
      </c>
      <c r="G9859" s="3"/>
      <c r="H9859" s="3"/>
    </row>
    <row r="9860" spans="1:8">
      <c r="A9860" s="3">
        <v>369751</v>
      </c>
      <c r="B9860" s="7" t="s">
        <v>543</v>
      </c>
      <c r="C9860" s="87" t="s">
        <v>32</v>
      </c>
      <c r="D9860" s="6">
        <v>47133</v>
      </c>
      <c r="E9860" s="3" t="str">
        <f ca="1">IF(Tabela2[[#This Row],[Dt Venc:]]&gt;TODAY(),"Em Aberto",IF(Tabela2[[#This Row],[D/venc]]="-","Enviado",IF(Tabela2[[#This Row],[Dt Venc:]]=TODAY(),"Vence Hoje","Vencida")))</f>
        <v>Em Aberto</v>
      </c>
      <c r="F9860" s="3">
        <f ca="1">IF(G9860=1,"-",Tabela2[[#This Row],[Dt Venc:]]-TODAY())</f>
        <v>1440</v>
      </c>
      <c r="G9860" s="3"/>
      <c r="H9860" s="3"/>
    </row>
    <row r="9861" spans="1:8">
      <c r="A9861" s="3">
        <v>370201</v>
      </c>
      <c r="B9861" s="7" t="s">
        <v>543</v>
      </c>
      <c r="C9861" s="87" t="s">
        <v>32</v>
      </c>
      <c r="D9861" s="6">
        <v>47133</v>
      </c>
      <c r="E9861" s="3" t="str">
        <f ca="1">IF(Tabela2[[#This Row],[Dt Venc:]]&gt;TODAY(),"Em Aberto",IF(Tabela2[[#This Row],[D/venc]]="-","Enviado",IF(Tabela2[[#This Row],[Dt Venc:]]=TODAY(),"Vence Hoje","Vencida")))</f>
        <v>Em Aberto</v>
      </c>
      <c r="F9861" s="3">
        <f ca="1">IF(G9861=1,"-",Tabela2[[#This Row],[Dt Venc:]]-TODAY())</f>
        <v>1440</v>
      </c>
      <c r="G9861" s="3"/>
      <c r="H9861" s="3"/>
    </row>
    <row r="9862" spans="1:8">
      <c r="A9862" s="3">
        <v>370864</v>
      </c>
      <c r="B9862" s="7" t="s">
        <v>543</v>
      </c>
      <c r="C9862" s="85" t="s">
        <v>32</v>
      </c>
      <c r="D9862" s="6">
        <v>47133</v>
      </c>
      <c r="E9862" s="3" t="str">
        <f ca="1">IF(Tabela2[[#This Row],[Dt Venc:]]&gt;TODAY(),"Em Aberto",IF(Tabela2[[#This Row],[D/venc]]="-","Enviado",IF(Tabela2[[#This Row],[Dt Venc:]]=TODAY(),"Vence Hoje","Vencida")))</f>
        <v>Em Aberto</v>
      </c>
      <c r="F9862" s="3">
        <f ca="1">IF(G9862=1,"-",Tabela2[[#This Row],[Dt Venc:]]-TODAY())</f>
        <v>1440</v>
      </c>
      <c r="G9862" s="3"/>
      <c r="H9862" s="3"/>
    </row>
    <row r="9863" spans="1:8">
      <c r="A9863" s="3">
        <v>371011</v>
      </c>
      <c r="B9863" s="7" t="s">
        <v>633</v>
      </c>
      <c r="C9863" s="87" t="s">
        <v>32</v>
      </c>
      <c r="D9863" s="6">
        <v>47133</v>
      </c>
      <c r="E9863" s="3" t="str">
        <f ca="1">IF(Tabela2[[#This Row],[Dt Venc:]]&gt;TODAY(),"Em Aberto",IF(Tabela2[[#This Row],[D/venc]]="-","Enviado",IF(Tabela2[[#This Row],[Dt Venc:]]=TODAY(),"Vence Hoje","Vencida")))</f>
        <v>Em Aberto</v>
      </c>
      <c r="F9863" s="3">
        <f ca="1">IF(G9863=1,"-",Tabela2[[#This Row],[Dt Venc:]]-TODAY())</f>
        <v>1440</v>
      </c>
      <c r="G9863" s="3"/>
      <c r="H9863" s="3"/>
    </row>
    <row r="9864" spans="1:8">
      <c r="A9864" s="3">
        <v>371160</v>
      </c>
      <c r="B9864" s="7" t="s">
        <v>633</v>
      </c>
      <c r="C9864" s="87" t="s">
        <v>32</v>
      </c>
      <c r="D9864" s="6">
        <v>47133</v>
      </c>
      <c r="E9864" s="3" t="str">
        <f ca="1">IF(Tabela2[[#This Row],[Dt Venc:]]&gt;TODAY(),"Em Aberto",IF(Tabela2[[#This Row],[D/venc]]="-","Enviado",IF(Tabela2[[#This Row],[Dt Venc:]]=TODAY(),"Vence Hoje","Vencida")))</f>
        <v>Em Aberto</v>
      </c>
      <c r="F9864" s="3">
        <f ca="1">IF(G9864=1,"-",Tabela2[[#This Row],[Dt Venc:]]-TODAY())</f>
        <v>1440</v>
      </c>
      <c r="G9864" s="3"/>
      <c r="H9864" s="3"/>
    </row>
    <row r="9865" spans="1:8">
      <c r="A9865" s="3">
        <v>892178</v>
      </c>
      <c r="B9865" s="7" t="s">
        <v>253</v>
      </c>
      <c r="C9865" s="100" t="s">
        <v>32</v>
      </c>
      <c r="D9865" s="6">
        <v>47133</v>
      </c>
      <c r="E9865" s="3" t="str">
        <f ca="1">IF(Tabela2[[#This Row],[Dt Venc:]]&gt;TODAY(),"Em Aberto",IF(Tabela2[[#This Row],[D/venc]]="-","Enviado",IF(Tabela2[[#This Row],[Dt Venc:]]=TODAY(),"Vence Hoje","Vencida")))</f>
        <v>Em Aberto</v>
      </c>
      <c r="F9865" s="3">
        <f ca="1">IF(G9865=1,"-",Tabela2[[#This Row],[Dt Venc:]]-TODAY())</f>
        <v>1440</v>
      </c>
      <c r="G9865" s="3"/>
      <c r="H9865" s="3"/>
    </row>
    <row r="9866" spans="1:8">
      <c r="A9866" s="3">
        <v>894135</v>
      </c>
      <c r="B9866" s="7" t="s">
        <v>253</v>
      </c>
      <c r="C9866" s="100" t="s">
        <v>32</v>
      </c>
      <c r="D9866" s="6">
        <v>47133</v>
      </c>
      <c r="E9866" s="3" t="str">
        <f ca="1">IF(Tabela2[[#This Row],[Dt Venc:]]&gt;TODAY(),"Em Aberto",IF(Tabela2[[#This Row],[D/venc]]="-","Enviado",IF(Tabela2[[#This Row],[Dt Venc:]]=TODAY(),"Vence Hoje","Vencida")))</f>
        <v>Em Aberto</v>
      </c>
      <c r="F9866" s="3">
        <f ca="1">IF(G9866=1,"-",Tabela2[[#This Row],[Dt Venc:]]-TODAY())</f>
        <v>1440</v>
      </c>
      <c r="G9866" s="3"/>
      <c r="H9866" s="3"/>
    </row>
    <row r="9867" spans="1:8">
      <c r="A9867" s="3">
        <v>896565</v>
      </c>
      <c r="B9867" s="7" t="s">
        <v>253</v>
      </c>
      <c r="C9867" s="100" t="s">
        <v>32</v>
      </c>
      <c r="D9867" s="6">
        <v>47133</v>
      </c>
      <c r="E9867" s="3" t="str">
        <f ca="1">IF(Tabela2[[#This Row],[Dt Venc:]]&gt;TODAY(),"Em Aberto",IF(Tabela2[[#This Row],[D/venc]]="-","Enviado",IF(Tabela2[[#This Row],[Dt Venc:]]=TODAY(),"Vence Hoje","Vencida")))</f>
        <v>Em Aberto</v>
      </c>
      <c r="F9867" s="3">
        <f ca="1">IF(G9867=1,"-",Tabela2[[#This Row],[Dt Venc:]]-TODAY())</f>
        <v>1440</v>
      </c>
      <c r="G9867" s="3"/>
      <c r="H9867" s="3"/>
    </row>
    <row r="9868" spans="1:8">
      <c r="A9868" s="3">
        <v>900386</v>
      </c>
      <c r="B9868" s="7" t="s">
        <v>253</v>
      </c>
      <c r="C9868" s="100" t="s">
        <v>32</v>
      </c>
      <c r="D9868" s="6">
        <v>47133</v>
      </c>
      <c r="E9868" s="3" t="str">
        <f ca="1">IF(Tabela2[[#This Row],[Dt Venc:]]&gt;TODAY(),"Em Aberto",IF(Tabela2[[#This Row],[D/venc]]="-","Enviado",IF(Tabela2[[#This Row],[Dt Venc:]]=TODAY(),"Vence Hoje","Vencida")))</f>
        <v>Em Aberto</v>
      </c>
      <c r="F9868" s="3">
        <f ca="1">IF(G9868=1,"-",Tabela2[[#This Row],[Dt Venc:]]-TODAY())</f>
        <v>1440</v>
      </c>
      <c r="G9868" s="3"/>
      <c r="H9868" s="3"/>
    </row>
    <row r="9869" spans="1:8">
      <c r="A9869" s="3">
        <v>901787</v>
      </c>
      <c r="B9869" s="7" t="s">
        <v>253</v>
      </c>
      <c r="C9869" s="99" t="s">
        <v>32</v>
      </c>
      <c r="D9869" s="6">
        <v>47133</v>
      </c>
      <c r="E9869" s="3" t="str">
        <f ca="1">IF(Tabela2[[#This Row],[Dt Venc:]]&gt;TODAY(),"Em Aberto",IF(Tabela2[[#This Row],[D/venc]]="-","Enviado",IF(Tabela2[[#This Row],[Dt Venc:]]=TODAY(),"Vence Hoje","Vencida")))</f>
        <v>Em Aberto</v>
      </c>
      <c r="F9869" s="3">
        <f ca="1">IF(G9869=1,"-",Tabela2[[#This Row],[Dt Venc:]]-TODAY())</f>
        <v>1440</v>
      </c>
      <c r="G9869" s="3"/>
      <c r="H9869" s="3"/>
    </row>
    <row r="9870" spans="1:8">
      <c r="A9870" s="3">
        <v>901788</v>
      </c>
      <c r="B9870" s="7" t="s">
        <v>253</v>
      </c>
      <c r="C9870" s="100" t="s">
        <v>32</v>
      </c>
      <c r="D9870" s="6">
        <v>47133</v>
      </c>
      <c r="E9870" s="3" t="str">
        <f ca="1">IF(Tabela2[[#This Row],[Dt Venc:]]&gt;TODAY(),"Em Aberto",IF(Tabela2[[#This Row],[D/venc]]="-","Enviado",IF(Tabela2[[#This Row],[Dt Venc:]]=TODAY(),"Vence Hoje","Vencida")))</f>
        <v>Em Aberto</v>
      </c>
      <c r="F9870" s="3">
        <f ca="1">IF(G9870=1,"-",Tabela2[[#This Row],[Dt Venc:]]-TODAY())</f>
        <v>1440</v>
      </c>
      <c r="G9870" s="3"/>
      <c r="H9870" s="3"/>
    </row>
    <row r="9871" spans="1:8">
      <c r="A9871" s="3">
        <v>901789</v>
      </c>
      <c r="B9871" s="7" t="s">
        <v>253</v>
      </c>
      <c r="C9871" s="99" t="s">
        <v>32</v>
      </c>
      <c r="D9871" s="6">
        <v>47133</v>
      </c>
      <c r="E9871" s="3" t="str">
        <f ca="1">IF(Tabela2[[#This Row],[Dt Venc:]]&gt;TODAY(),"Em Aberto",IF(Tabela2[[#This Row],[D/venc]]="-","Enviado",IF(Tabela2[[#This Row],[Dt Venc:]]=TODAY(),"Vence Hoje","Vencida")))</f>
        <v>Em Aberto</v>
      </c>
      <c r="F9871" s="3">
        <f ca="1">IF(G9871=1,"-",Tabela2[[#This Row],[Dt Venc:]]-TODAY())</f>
        <v>1440</v>
      </c>
      <c r="G9871" s="3"/>
      <c r="H9871" s="3"/>
    </row>
    <row r="9872" spans="1:8">
      <c r="A9872" s="3">
        <v>912703</v>
      </c>
      <c r="B9872" s="7" t="s">
        <v>253</v>
      </c>
      <c r="C9872" s="100" t="s">
        <v>32</v>
      </c>
      <c r="D9872" s="6">
        <v>47133</v>
      </c>
      <c r="E9872" s="3" t="str">
        <f ca="1">IF(Tabela2[[#This Row],[Dt Venc:]]&gt;TODAY(),"Em Aberto",IF(Tabela2[[#This Row],[D/venc]]="-","Enviado",IF(Tabela2[[#This Row],[Dt Venc:]]=TODAY(),"Vence Hoje","Vencida")))</f>
        <v>Em Aberto</v>
      </c>
      <c r="F9872" s="3">
        <f ca="1">IF(G9872=1,"-",Tabela2[[#This Row],[Dt Venc:]]-TODAY())</f>
        <v>1440</v>
      </c>
      <c r="G9872" s="3"/>
      <c r="H9872" s="3"/>
    </row>
    <row r="9873" spans="1:8">
      <c r="A9873" s="3">
        <v>912704</v>
      </c>
      <c r="B9873" s="7" t="s">
        <v>253</v>
      </c>
      <c r="C9873" s="100" t="s">
        <v>32</v>
      </c>
      <c r="D9873" s="6">
        <v>47133</v>
      </c>
      <c r="E9873" s="3" t="str">
        <f ca="1">IF(Tabela2[[#This Row],[Dt Venc:]]&gt;TODAY(),"Em Aberto",IF(Tabela2[[#This Row],[D/venc]]="-","Enviado",IF(Tabela2[[#This Row],[Dt Venc:]]=TODAY(),"Vence Hoje","Vencida")))</f>
        <v>Em Aberto</v>
      </c>
      <c r="F9873" s="3">
        <f ca="1">IF(G9873=1,"-",Tabela2[[#This Row],[Dt Venc:]]-TODAY())</f>
        <v>1440</v>
      </c>
      <c r="G9873" s="3"/>
      <c r="H9873" s="3"/>
    </row>
    <row r="9874" spans="1:8">
      <c r="A9874" s="3">
        <v>919728</v>
      </c>
      <c r="B9874" s="7" t="s">
        <v>253</v>
      </c>
      <c r="C9874" s="87" t="s">
        <v>32</v>
      </c>
      <c r="D9874" s="6">
        <v>47133</v>
      </c>
      <c r="E9874" s="3" t="str">
        <f ca="1">IF(Tabela2[[#This Row],[Dt Venc:]]&gt;TODAY(),"Em Aberto",IF(Tabela2[[#This Row],[D/venc]]="-","Enviado",IF(Tabela2[[#This Row],[Dt Venc:]]=TODAY(),"Vence Hoje","Vencida")))</f>
        <v>Em Aberto</v>
      </c>
      <c r="F9874" s="3">
        <f ca="1">IF(G9874=1,"-",Tabela2[[#This Row],[Dt Venc:]]-TODAY())</f>
        <v>1440</v>
      </c>
      <c r="G9874" s="3"/>
      <c r="H9874" s="3"/>
    </row>
    <row r="9875" spans="1:8">
      <c r="A9875" s="3">
        <v>919729</v>
      </c>
      <c r="B9875" s="7" t="s">
        <v>253</v>
      </c>
      <c r="C9875" s="87" t="s">
        <v>32</v>
      </c>
      <c r="D9875" s="6">
        <v>47133</v>
      </c>
      <c r="E9875" s="3" t="str">
        <f ca="1">IF(Tabela2[[#This Row],[Dt Venc:]]&gt;TODAY(),"Em Aberto",IF(Tabela2[[#This Row],[D/venc]]="-","Enviado",IF(Tabela2[[#This Row],[Dt Venc:]]=TODAY(),"Vence Hoje","Vencida")))</f>
        <v>Em Aberto</v>
      </c>
      <c r="F9875" s="3">
        <f ca="1">IF(G9875=1,"-",Tabela2[[#This Row],[Dt Venc:]]-TODAY())</f>
        <v>1440</v>
      </c>
      <c r="G9875" s="3"/>
      <c r="H9875" s="3"/>
    </row>
    <row r="9876" spans="1:8">
      <c r="A9876" s="3">
        <v>495914</v>
      </c>
      <c r="B9876" s="7" t="s">
        <v>153</v>
      </c>
      <c r="C9876" s="99" t="s">
        <v>32</v>
      </c>
      <c r="D9876" s="6">
        <v>47143</v>
      </c>
      <c r="E9876" s="3" t="str">
        <f ca="1">IF(Tabela2[[#This Row],[Dt Venc:]]&gt;TODAY(),"Em Aberto",IF(Tabela2[[#This Row],[D/venc]]="-","Enviado",IF(Tabela2[[#This Row],[Dt Venc:]]=TODAY(),"Vence Hoje","Vencida")))</f>
        <v>Em Aberto</v>
      </c>
      <c r="F9876" s="3">
        <f ca="1">IF(G9876=1,"-",Tabela2[[#This Row],[Dt Venc:]]-TODAY())</f>
        <v>1450</v>
      </c>
      <c r="G9876" s="3"/>
      <c r="H9876" s="3"/>
    </row>
    <row r="9877" spans="1:8">
      <c r="A9877" s="3">
        <v>11681</v>
      </c>
      <c r="B9877" s="7" t="s">
        <v>82</v>
      </c>
      <c r="C9877" s="87" t="s">
        <v>30</v>
      </c>
      <c r="D9877" s="6">
        <v>47149</v>
      </c>
      <c r="E9877" s="3" t="str">
        <f ca="1">IF(Tabela2[[#This Row],[Dt Venc:]]&gt;TODAY(),"Em Aberto",IF(Tabela2[[#This Row],[D/venc]]="-","Enviado",IF(Tabela2[[#This Row],[Dt Venc:]]=TODAY(),"Vence Hoje","Vencida")))</f>
        <v>Em Aberto</v>
      </c>
      <c r="F9877" s="3">
        <f ca="1">IF(G9877=1,"-",Tabela2[[#This Row],[Dt Venc:]]-TODAY())</f>
        <v>1456</v>
      </c>
      <c r="G9877" s="3"/>
      <c r="H9877" s="3"/>
    </row>
    <row r="9878" spans="1:8">
      <c r="A9878" s="3">
        <v>284620</v>
      </c>
      <c r="B9878" s="7" t="s">
        <v>153</v>
      </c>
      <c r="C9878" s="99" t="s">
        <v>32</v>
      </c>
      <c r="D9878" s="6">
        <v>47157</v>
      </c>
      <c r="E9878" s="3" t="str">
        <f ca="1">IF(Tabela2[[#This Row],[Dt Venc:]]&gt;TODAY(),"Em Aberto",IF(Tabela2[[#This Row],[D/venc]]="-","Enviado",IF(Tabela2[[#This Row],[Dt Venc:]]=TODAY(),"Vence Hoje","Vencida")))</f>
        <v>Em Aberto</v>
      </c>
      <c r="F9878" s="3">
        <f ca="1">IF(G9878=1,"-",Tabela2[[#This Row],[Dt Venc:]]-TODAY())</f>
        <v>1464</v>
      </c>
      <c r="G9878" s="3"/>
      <c r="H9878" s="3"/>
    </row>
    <row r="9879" spans="1:8">
      <c r="A9879" s="3">
        <v>562</v>
      </c>
      <c r="B9879" s="7" t="s">
        <v>251</v>
      </c>
      <c r="C9879" s="99" t="s">
        <v>32</v>
      </c>
      <c r="D9879" s="6">
        <v>47164</v>
      </c>
      <c r="E9879" s="3" t="str">
        <f ca="1">IF(Tabela2[[#This Row],[Dt Venc:]]&gt;TODAY(),"Em Aberto",IF(Tabela2[[#This Row],[D/venc]]="-","Enviado",IF(Tabela2[[#This Row],[Dt Venc:]]=TODAY(),"Vence Hoje","Vencida")))</f>
        <v>Em Aberto</v>
      </c>
      <c r="F9879" s="3">
        <f ca="1">IF(G9879=1,"-",Tabela2[[#This Row],[Dt Venc:]]-TODAY())</f>
        <v>1471</v>
      </c>
      <c r="G9879" s="3"/>
      <c r="H9879" s="3"/>
    </row>
    <row r="9880" spans="1:8">
      <c r="A9880" s="3">
        <v>361229</v>
      </c>
      <c r="B9880" s="7" t="s">
        <v>250</v>
      </c>
      <c r="C9880" s="99" t="s">
        <v>32</v>
      </c>
      <c r="D9880" s="6">
        <v>47164</v>
      </c>
      <c r="E9880" s="3" t="str">
        <f ca="1">IF(Tabela2[[#This Row],[Dt Venc:]]&gt;TODAY(),"Em Aberto",IF(Tabela2[[#This Row],[D/venc]]="-","Enviado",IF(Tabela2[[#This Row],[Dt Venc:]]=TODAY(),"Vence Hoje","Vencida")))</f>
        <v>Em Aberto</v>
      </c>
      <c r="F9880" s="3">
        <f ca="1">IF(G9880=1,"-",Tabela2[[#This Row],[Dt Venc:]]-TODAY())</f>
        <v>1471</v>
      </c>
      <c r="G9880" s="3"/>
      <c r="H9880" s="3"/>
    </row>
    <row r="9881" spans="1:8">
      <c r="A9881" s="3">
        <v>361237</v>
      </c>
      <c r="B9881" s="7" t="s">
        <v>250</v>
      </c>
      <c r="C9881" s="99" t="s">
        <v>32</v>
      </c>
      <c r="D9881" s="6">
        <v>47164</v>
      </c>
      <c r="E9881" s="3" t="str">
        <f ca="1">IF(Tabela2[[#This Row],[Dt Venc:]]&gt;TODAY(),"Em Aberto",IF(Tabela2[[#This Row],[D/venc]]="-","Enviado",IF(Tabela2[[#This Row],[Dt Venc:]]=TODAY(),"Vence Hoje","Vencida")))</f>
        <v>Em Aberto</v>
      </c>
      <c r="F9881" s="3">
        <f ca="1">IF(G9881=1,"-",Tabela2[[#This Row],[Dt Venc:]]-TODAY())</f>
        <v>1471</v>
      </c>
      <c r="G9881" s="3"/>
      <c r="H9881" s="3"/>
    </row>
    <row r="9882" spans="1:8">
      <c r="A9882" s="3">
        <v>365658</v>
      </c>
      <c r="B9882" s="7" t="s">
        <v>250</v>
      </c>
      <c r="C9882" s="99" t="s">
        <v>32</v>
      </c>
      <c r="D9882" s="6">
        <v>47164</v>
      </c>
      <c r="E9882" s="3" t="str">
        <f ca="1">IF(Tabela2[[#This Row],[Dt Venc:]]&gt;TODAY(),"Em Aberto",IF(Tabela2[[#This Row],[D/venc]]="-","Enviado",IF(Tabela2[[#This Row],[Dt Venc:]]=TODAY(),"Vence Hoje","Vencida")))</f>
        <v>Em Aberto</v>
      </c>
      <c r="F9882" s="3">
        <f ca="1">IF(G9882=1,"-",Tabela2[[#This Row],[Dt Venc:]]-TODAY())</f>
        <v>1471</v>
      </c>
      <c r="G9882" s="3"/>
      <c r="H9882" s="3"/>
    </row>
    <row r="9883" spans="1:8">
      <c r="A9883" s="3">
        <v>365666</v>
      </c>
      <c r="B9883" s="7" t="s">
        <v>250</v>
      </c>
      <c r="C9883" s="99" t="s">
        <v>32</v>
      </c>
      <c r="D9883" s="6">
        <v>47164</v>
      </c>
      <c r="E9883" s="3" t="str">
        <f ca="1">IF(Tabela2[[#This Row],[Dt Venc:]]&gt;TODAY(),"Em Aberto",IF(Tabela2[[#This Row],[D/venc]]="-","Enviado",IF(Tabela2[[#This Row],[Dt Venc:]]=TODAY(),"Vence Hoje","Vencida")))</f>
        <v>Em Aberto</v>
      </c>
      <c r="F9883" s="3">
        <f ca="1">IF(G9883=1,"-",Tabela2[[#This Row],[Dt Venc:]]-TODAY())</f>
        <v>1471</v>
      </c>
      <c r="G9883" s="3"/>
      <c r="H9883" s="3"/>
    </row>
    <row r="9884" spans="1:8">
      <c r="A9884" s="3">
        <v>365674</v>
      </c>
      <c r="B9884" s="7" t="s">
        <v>250</v>
      </c>
      <c r="C9884" s="99" t="s">
        <v>32</v>
      </c>
      <c r="D9884" s="6">
        <v>47164</v>
      </c>
      <c r="E9884" s="3" t="str">
        <f ca="1">IF(Tabela2[[#This Row],[Dt Venc:]]&gt;TODAY(),"Em Aberto",IF(Tabela2[[#This Row],[D/venc]]="-","Enviado",IF(Tabela2[[#This Row],[Dt Venc:]]=TODAY(),"Vence Hoje","Vencida")))</f>
        <v>Em Aberto</v>
      </c>
      <c r="F9884" s="3">
        <f ca="1">IF(G9884=1,"-",Tabela2[[#This Row],[Dt Venc:]]-TODAY())</f>
        <v>1471</v>
      </c>
      <c r="G9884" s="3"/>
      <c r="H9884" s="3"/>
    </row>
    <row r="9885" spans="1:8">
      <c r="A9885" s="3">
        <v>365682</v>
      </c>
      <c r="B9885" s="7" t="s">
        <v>250</v>
      </c>
      <c r="C9885" s="99" t="s">
        <v>32</v>
      </c>
      <c r="D9885" s="6">
        <v>47164</v>
      </c>
      <c r="E9885" s="3" t="str">
        <f ca="1">IF(Tabela2[[#This Row],[Dt Venc:]]&gt;TODAY(),"Em Aberto",IF(Tabela2[[#This Row],[D/venc]]="-","Enviado",IF(Tabela2[[#This Row],[Dt Venc:]]=TODAY(),"Vence Hoje","Vencida")))</f>
        <v>Em Aberto</v>
      </c>
      <c r="F9885" s="3">
        <f ca="1">IF(G9885=1,"-",Tabela2[[#This Row],[Dt Venc:]]-TODAY())</f>
        <v>1471</v>
      </c>
      <c r="G9885" s="3"/>
      <c r="H9885" s="3"/>
    </row>
    <row r="9886" spans="1:8">
      <c r="A9886" s="3">
        <v>369335</v>
      </c>
      <c r="B9886" s="7" t="s">
        <v>543</v>
      </c>
      <c r="C9886" s="87" t="s">
        <v>32</v>
      </c>
      <c r="D9886" s="6">
        <v>47164</v>
      </c>
      <c r="E9886" s="3" t="str">
        <f ca="1">IF(Tabela2[[#This Row],[Dt Venc:]]&gt;TODAY(),"Em Aberto",IF(Tabela2[[#This Row],[D/venc]]="-","Enviado",IF(Tabela2[[#This Row],[Dt Venc:]]=TODAY(),"Vence Hoje","Vencida")))</f>
        <v>Em Aberto</v>
      </c>
      <c r="F9886" s="3">
        <f ca="1">IF(G9886=1,"-",Tabela2[[#This Row],[Dt Venc:]]-TODAY())</f>
        <v>1471</v>
      </c>
      <c r="G9886" s="3"/>
      <c r="H9886" s="3"/>
    </row>
    <row r="9887" spans="1:8">
      <c r="A9887" s="3">
        <v>369696</v>
      </c>
      <c r="B9887" s="7" t="s">
        <v>543</v>
      </c>
      <c r="C9887" s="87" t="s">
        <v>32</v>
      </c>
      <c r="D9887" s="6">
        <v>47164</v>
      </c>
      <c r="E9887" s="3" t="str">
        <f ca="1">IF(Tabela2[[#This Row],[Dt Venc:]]&gt;TODAY(),"Em Aberto",IF(Tabela2[[#This Row],[D/venc]]="-","Enviado",IF(Tabela2[[#This Row],[Dt Venc:]]=TODAY(),"Vence Hoje","Vencida")))</f>
        <v>Em Aberto</v>
      </c>
      <c r="F9887" s="3">
        <f ca="1">IF(G9887=1,"-",Tabela2[[#This Row],[Dt Venc:]]-TODAY())</f>
        <v>1471</v>
      </c>
      <c r="G9887" s="3"/>
      <c r="H9887" s="3"/>
    </row>
    <row r="9888" spans="1:8">
      <c r="A9888" s="3">
        <v>369726</v>
      </c>
      <c r="B9888" s="7" t="s">
        <v>543</v>
      </c>
      <c r="C9888" s="87" t="s">
        <v>32</v>
      </c>
      <c r="D9888" s="6">
        <v>47164</v>
      </c>
      <c r="E9888" s="3" t="str">
        <f ca="1">IF(Tabela2[[#This Row],[Dt Venc:]]&gt;TODAY(),"Em Aberto",IF(Tabela2[[#This Row],[D/venc]]="-","Enviado",IF(Tabela2[[#This Row],[Dt Venc:]]=TODAY(),"Vence Hoje","Vencida")))</f>
        <v>Em Aberto</v>
      </c>
      <c r="F9888" s="3">
        <f ca="1">IF(G9888=1,"-",Tabela2[[#This Row],[Dt Venc:]]-TODAY())</f>
        <v>1471</v>
      </c>
      <c r="G9888" s="3"/>
      <c r="H9888" s="3"/>
    </row>
    <row r="9889" spans="1:8">
      <c r="A9889" s="3">
        <v>369751</v>
      </c>
      <c r="B9889" s="7" t="s">
        <v>543</v>
      </c>
      <c r="C9889" s="87" t="s">
        <v>32</v>
      </c>
      <c r="D9889" s="6">
        <v>47164</v>
      </c>
      <c r="E9889" s="3" t="str">
        <f ca="1">IF(Tabela2[[#This Row],[Dt Venc:]]&gt;TODAY(),"Em Aberto",IF(Tabela2[[#This Row],[D/venc]]="-","Enviado",IF(Tabela2[[#This Row],[Dt Venc:]]=TODAY(),"Vence Hoje","Vencida")))</f>
        <v>Em Aberto</v>
      </c>
      <c r="F9889" s="3">
        <f ca="1">IF(G9889=1,"-",Tabela2[[#This Row],[Dt Venc:]]-TODAY())</f>
        <v>1471</v>
      </c>
      <c r="G9889" s="3"/>
      <c r="H9889" s="3"/>
    </row>
    <row r="9890" spans="1:8">
      <c r="A9890" s="3">
        <v>370201</v>
      </c>
      <c r="B9890" s="7" t="s">
        <v>543</v>
      </c>
      <c r="C9890" s="87" t="s">
        <v>32</v>
      </c>
      <c r="D9890" s="6">
        <v>47164</v>
      </c>
      <c r="E9890" s="3" t="str">
        <f ca="1">IF(Tabela2[[#This Row],[Dt Venc:]]&gt;TODAY(),"Em Aberto",IF(Tabela2[[#This Row],[D/venc]]="-","Enviado",IF(Tabela2[[#This Row],[Dt Venc:]]=TODAY(),"Vence Hoje","Vencida")))</f>
        <v>Em Aberto</v>
      </c>
      <c r="F9890" s="3">
        <f ca="1">IF(G9890=1,"-",Tabela2[[#This Row],[Dt Venc:]]-TODAY())</f>
        <v>1471</v>
      </c>
      <c r="G9890" s="3"/>
      <c r="H9890" s="3"/>
    </row>
    <row r="9891" spans="1:8">
      <c r="A9891" s="3">
        <v>370864</v>
      </c>
      <c r="B9891" s="7" t="s">
        <v>543</v>
      </c>
      <c r="C9891" s="87" t="s">
        <v>32</v>
      </c>
      <c r="D9891" s="6">
        <v>47164</v>
      </c>
      <c r="E9891" s="3" t="str">
        <f ca="1">IF(Tabela2[[#This Row],[Dt Venc:]]&gt;TODAY(),"Em Aberto",IF(Tabela2[[#This Row],[D/venc]]="-","Enviado",IF(Tabela2[[#This Row],[Dt Venc:]]=TODAY(),"Vence Hoje","Vencida")))</f>
        <v>Em Aberto</v>
      </c>
      <c r="F9891" s="3">
        <f ca="1">IF(G9891=1,"-",Tabela2[[#This Row],[Dt Venc:]]-TODAY())</f>
        <v>1471</v>
      </c>
      <c r="G9891" s="3"/>
      <c r="H9891" s="3"/>
    </row>
    <row r="9892" spans="1:8">
      <c r="A9892" s="3">
        <v>371011</v>
      </c>
      <c r="B9892" s="7" t="s">
        <v>633</v>
      </c>
      <c r="C9892" s="87" t="s">
        <v>32</v>
      </c>
      <c r="D9892" s="6">
        <v>47164</v>
      </c>
      <c r="E9892" s="3" t="str">
        <f ca="1">IF(Tabela2[[#This Row],[Dt Venc:]]&gt;TODAY(),"Em Aberto",IF(Tabela2[[#This Row],[D/venc]]="-","Enviado",IF(Tabela2[[#This Row],[Dt Venc:]]=TODAY(),"Vence Hoje","Vencida")))</f>
        <v>Em Aberto</v>
      </c>
      <c r="F9892" s="3">
        <f ca="1">IF(G9892=1,"-",Tabela2[[#This Row],[Dt Venc:]]-TODAY())</f>
        <v>1471</v>
      </c>
      <c r="G9892" s="3"/>
      <c r="H9892" s="3"/>
    </row>
    <row r="9893" spans="1:8">
      <c r="A9893" s="3">
        <v>371160</v>
      </c>
      <c r="B9893" s="7" t="s">
        <v>633</v>
      </c>
      <c r="C9893" s="87" t="s">
        <v>32</v>
      </c>
      <c r="D9893" s="6">
        <v>47164</v>
      </c>
      <c r="E9893" s="3" t="str">
        <f ca="1">IF(Tabela2[[#This Row],[Dt Venc:]]&gt;TODAY(),"Em Aberto",IF(Tabela2[[#This Row],[D/venc]]="-","Enviado",IF(Tabela2[[#This Row],[Dt Venc:]]=TODAY(),"Vence Hoje","Vencida")))</f>
        <v>Em Aberto</v>
      </c>
      <c r="F9893" s="3">
        <f ca="1">IF(G9893=1,"-",Tabela2[[#This Row],[Dt Venc:]]-TODAY())</f>
        <v>1471</v>
      </c>
      <c r="G9893" s="3"/>
      <c r="H9893" s="3"/>
    </row>
    <row r="9894" spans="1:8">
      <c r="A9894" s="3">
        <v>892178</v>
      </c>
      <c r="B9894" s="7" t="s">
        <v>253</v>
      </c>
      <c r="C9894" s="99" t="s">
        <v>32</v>
      </c>
      <c r="D9894" s="6">
        <v>47164</v>
      </c>
      <c r="E9894" s="3" t="str">
        <f ca="1">IF(Tabela2[[#This Row],[Dt Venc:]]&gt;TODAY(),"Em Aberto",IF(Tabela2[[#This Row],[D/venc]]="-","Enviado",IF(Tabela2[[#This Row],[Dt Venc:]]=TODAY(),"Vence Hoje","Vencida")))</f>
        <v>Em Aberto</v>
      </c>
      <c r="F9894" s="3">
        <f ca="1">IF(G9894=1,"-",Tabela2[[#This Row],[Dt Venc:]]-TODAY())</f>
        <v>1471</v>
      </c>
      <c r="G9894" s="3"/>
      <c r="H9894" s="3"/>
    </row>
    <row r="9895" spans="1:8">
      <c r="A9895" s="3">
        <v>894135</v>
      </c>
      <c r="B9895" s="7" t="s">
        <v>253</v>
      </c>
      <c r="C9895" s="99" t="s">
        <v>32</v>
      </c>
      <c r="D9895" s="6">
        <v>47164</v>
      </c>
      <c r="E9895" s="3" t="str">
        <f ca="1">IF(Tabela2[[#This Row],[Dt Venc:]]&gt;TODAY(),"Em Aberto",IF(Tabela2[[#This Row],[D/venc]]="-","Enviado",IF(Tabela2[[#This Row],[Dt Venc:]]=TODAY(),"Vence Hoje","Vencida")))</f>
        <v>Em Aberto</v>
      </c>
      <c r="F9895" s="3">
        <f ca="1">IF(G9895=1,"-",Tabela2[[#This Row],[Dt Venc:]]-TODAY())</f>
        <v>1471</v>
      </c>
      <c r="G9895" s="3"/>
      <c r="H9895" s="3"/>
    </row>
    <row r="9896" spans="1:8">
      <c r="A9896" s="3">
        <v>896565</v>
      </c>
      <c r="B9896" s="7" t="s">
        <v>253</v>
      </c>
      <c r="C9896" s="99" t="s">
        <v>32</v>
      </c>
      <c r="D9896" s="6">
        <v>47164</v>
      </c>
      <c r="E9896" s="3" t="str">
        <f ca="1">IF(Tabela2[[#This Row],[Dt Venc:]]&gt;TODAY(),"Em Aberto",IF(Tabela2[[#This Row],[D/venc]]="-","Enviado",IF(Tabela2[[#This Row],[Dt Venc:]]=TODAY(),"Vence Hoje","Vencida")))</f>
        <v>Em Aberto</v>
      </c>
      <c r="F9896" s="3">
        <f ca="1">IF(G9896=1,"-",Tabela2[[#This Row],[Dt Venc:]]-TODAY())</f>
        <v>1471</v>
      </c>
      <c r="G9896" s="3"/>
      <c r="H9896" s="3"/>
    </row>
    <row r="9897" spans="1:8">
      <c r="A9897" s="3">
        <v>900386</v>
      </c>
      <c r="B9897" s="7" t="s">
        <v>253</v>
      </c>
      <c r="C9897" s="99" t="s">
        <v>32</v>
      </c>
      <c r="D9897" s="6">
        <v>47164</v>
      </c>
      <c r="E9897" s="3" t="str">
        <f ca="1">IF(Tabela2[[#This Row],[Dt Venc:]]&gt;TODAY(),"Em Aberto",IF(Tabela2[[#This Row],[D/venc]]="-","Enviado",IF(Tabela2[[#This Row],[Dt Venc:]]=TODAY(),"Vence Hoje","Vencida")))</f>
        <v>Em Aberto</v>
      </c>
      <c r="F9897" s="3">
        <f ca="1">IF(G9897=1,"-",Tabela2[[#This Row],[Dt Venc:]]-TODAY())</f>
        <v>1471</v>
      </c>
      <c r="G9897" s="3"/>
      <c r="H9897" s="3"/>
    </row>
    <row r="9898" spans="1:8">
      <c r="A9898" s="3">
        <v>901787</v>
      </c>
      <c r="B9898" s="7" t="s">
        <v>253</v>
      </c>
      <c r="C9898" s="99" t="s">
        <v>32</v>
      </c>
      <c r="D9898" s="6">
        <v>47164</v>
      </c>
      <c r="E9898" s="3" t="str">
        <f ca="1">IF(Tabela2[[#This Row],[Dt Venc:]]&gt;TODAY(),"Em Aberto",IF(Tabela2[[#This Row],[D/venc]]="-","Enviado",IF(Tabela2[[#This Row],[Dt Venc:]]=TODAY(),"Vence Hoje","Vencida")))</f>
        <v>Em Aberto</v>
      </c>
      <c r="F9898" s="3">
        <f ca="1">IF(G9898=1,"-",Tabela2[[#This Row],[Dt Venc:]]-TODAY())</f>
        <v>1471</v>
      </c>
      <c r="G9898" s="3"/>
      <c r="H9898" s="3"/>
    </row>
    <row r="9899" spans="1:8">
      <c r="A9899" s="3">
        <v>901788</v>
      </c>
      <c r="B9899" s="7" t="s">
        <v>253</v>
      </c>
      <c r="C9899" s="99" t="s">
        <v>32</v>
      </c>
      <c r="D9899" s="6">
        <v>47164</v>
      </c>
      <c r="E9899" s="3" t="str">
        <f ca="1">IF(Tabela2[[#This Row],[Dt Venc:]]&gt;TODAY(),"Em Aberto",IF(Tabela2[[#This Row],[D/venc]]="-","Enviado",IF(Tabela2[[#This Row],[Dt Venc:]]=TODAY(),"Vence Hoje","Vencida")))</f>
        <v>Em Aberto</v>
      </c>
      <c r="F9899" s="3">
        <f ca="1">IF(G9899=1,"-",Tabela2[[#This Row],[Dt Venc:]]-TODAY())</f>
        <v>1471</v>
      </c>
      <c r="G9899" s="3"/>
      <c r="H9899" s="3"/>
    </row>
    <row r="9900" spans="1:8">
      <c r="A9900" s="3">
        <v>901789</v>
      </c>
      <c r="B9900" s="7" t="s">
        <v>253</v>
      </c>
      <c r="C9900" s="99" t="s">
        <v>32</v>
      </c>
      <c r="D9900" s="6">
        <v>47164</v>
      </c>
      <c r="E9900" s="3" t="str">
        <f ca="1">IF(Tabela2[[#This Row],[Dt Venc:]]&gt;TODAY(),"Em Aberto",IF(Tabela2[[#This Row],[D/venc]]="-","Enviado",IF(Tabela2[[#This Row],[Dt Venc:]]=TODAY(),"Vence Hoje","Vencida")))</f>
        <v>Em Aberto</v>
      </c>
      <c r="F9900" s="3">
        <f ca="1">IF(G9900=1,"-",Tabela2[[#This Row],[Dt Venc:]]-TODAY())</f>
        <v>1471</v>
      </c>
      <c r="G9900" s="3"/>
      <c r="H9900" s="3"/>
    </row>
    <row r="9901" spans="1:8">
      <c r="A9901" s="3">
        <v>912703</v>
      </c>
      <c r="B9901" s="7" t="s">
        <v>253</v>
      </c>
      <c r="C9901" s="99" t="s">
        <v>32</v>
      </c>
      <c r="D9901" s="6">
        <v>47164</v>
      </c>
      <c r="E9901" s="3" t="str">
        <f ca="1">IF(Tabela2[[#This Row],[Dt Venc:]]&gt;TODAY(),"Em Aberto",IF(Tabela2[[#This Row],[D/venc]]="-","Enviado",IF(Tabela2[[#This Row],[Dt Venc:]]=TODAY(),"Vence Hoje","Vencida")))</f>
        <v>Em Aberto</v>
      </c>
      <c r="F9901" s="3">
        <f ca="1">IF(G9901=1,"-",Tabela2[[#This Row],[Dt Venc:]]-TODAY())</f>
        <v>1471</v>
      </c>
      <c r="G9901" s="3"/>
      <c r="H9901" s="3"/>
    </row>
    <row r="9902" spans="1:8">
      <c r="A9902" s="3">
        <v>912704</v>
      </c>
      <c r="B9902" s="7" t="s">
        <v>253</v>
      </c>
      <c r="C9902" s="99" t="s">
        <v>32</v>
      </c>
      <c r="D9902" s="6">
        <v>47164</v>
      </c>
      <c r="E9902" s="3" t="str">
        <f ca="1">IF(Tabela2[[#This Row],[Dt Venc:]]&gt;TODAY(),"Em Aberto",IF(Tabela2[[#This Row],[D/venc]]="-","Enviado",IF(Tabela2[[#This Row],[Dt Venc:]]=TODAY(),"Vence Hoje","Vencida")))</f>
        <v>Em Aberto</v>
      </c>
      <c r="F9902" s="3">
        <f ca="1">IF(G9902=1,"-",Tabela2[[#This Row],[Dt Venc:]]-TODAY())</f>
        <v>1471</v>
      </c>
      <c r="G9902" s="3"/>
      <c r="H9902" s="3"/>
    </row>
    <row r="9903" spans="1:8">
      <c r="A9903" s="3">
        <v>919728</v>
      </c>
      <c r="B9903" s="7" t="s">
        <v>253</v>
      </c>
      <c r="C9903" s="87" t="s">
        <v>32</v>
      </c>
      <c r="D9903" s="6">
        <v>47164</v>
      </c>
      <c r="E9903" s="3" t="str">
        <f ca="1">IF(Tabela2[[#This Row],[Dt Venc:]]&gt;TODAY(),"Em Aberto",IF(Tabela2[[#This Row],[D/venc]]="-","Enviado",IF(Tabela2[[#This Row],[Dt Venc:]]=TODAY(),"Vence Hoje","Vencida")))</f>
        <v>Em Aberto</v>
      </c>
      <c r="F9903" s="3">
        <f ca="1">IF(G9903=1,"-",Tabela2[[#This Row],[Dt Venc:]]-TODAY())</f>
        <v>1471</v>
      </c>
      <c r="G9903" s="3"/>
      <c r="H9903" s="3"/>
    </row>
    <row r="9904" spans="1:8">
      <c r="A9904" s="3">
        <v>919729</v>
      </c>
      <c r="B9904" s="7" t="s">
        <v>253</v>
      </c>
      <c r="C9904" s="87" t="s">
        <v>32</v>
      </c>
      <c r="D9904" s="6">
        <v>47164</v>
      </c>
      <c r="E9904" s="3" t="str">
        <f ca="1">IF(Tabela2[[#This Row],[Dt Venc:]]&gt;TODAY(),"Em Aberto",IF(Tabela2[[#This Row],[D/venc]]="-","Enviado",IF(Tabela2[[#This Row],[Dt Venc:]]=TODAY(),"Vence Hoje","Vencida")))</f>
        <v>Em Aberto</v>
      </c>
      <c r="F9904" s="3">
        <f ca="1">IF(G9904=1,"-",Tabela2[[#This Row],[Dt Venc:]]-TODAY())</f>
        <v>1471</v>
      </c>
      <c r="G9904" s="3"/>
      <c r="H9904" s="3"/>
    </row>
    <row r="9905" spans="1:8">
      <c r="A9905" s="3">
        <v>495914</v>
      </c>
      <c r="B9905" s="7" t="s">
        <v>153</v>
      </c>
      <c r="C9905" s="99" t="s">
        <v>32</v>
      </c>
      <c r="D9905" s="6">
        <v>47174</v>
      </c>
      <c r="E9905" s="3" t="str">
        <f ca="1">IF(Tabela2[[#This Row],[Dt Venc:]]&gt;TODAY(),"Em Aberto",IF(Tabela2[[#This Row],[D/venc]]="-","Enviado",IF(Tabela2[[#This Row],[Dt Venc:]]=TODAY(),"Vence Hoje","Vencida")))</f>
        <v>Em Aberto</v>
      </c>
      <c r="F9905" s="3">
        <f ca="1">IF(G9905=1,"-",Tabela2[[#This Row],[Dt Venc:]]-TODAY())</f>
        <v>1481</v>
      </c>
      <c r="G9905" s="3"/>
      <c r="H9905" s="3"/>
    </row>
    <row r="9906" spans="1:8">
      <c r="A9906" s="3">
        <v>11681</v>
      </c>
      <c r="B9906" s="7" t="s">
        <v>82</v>
      </c>
      <c r="C9906" s="87" t="s">
        <v>30</v>
      </c>
      <c r="D9906" s="6">
        <v>47177</v>
      </c>
      <c r="E9906" s="3" t="str">
        <f ca="1">IF(Tabela2[[#This Row],[Dt Venc:]]&gt;TODAY(),"Em Aberto",IF(Tabela2[[#This Row],[D/venc]]="-","Enviado",IF(Tabela2[[#This Row],[Dt Venc:]]=TODAY(),"Vence Hoje","Vencida")))</f>
        <v>Em Aberto</v>
      </c>
      <c r="F9906" s="3">
        <f ca="1">IF(G9906=1,"-",Tabela2[[#This Row],[Dt Venc:]]-TODAY())</f>
        <v>1484</v>
      </c>
      <c r="G9906" s="3"/>
      <c r="H9906" s="3"/>
    </row>
    <row r="9907" spans="1:8">
      <c r="A9907" s="3">
        <v>284620</v>
      </c>
      <c r="B9907" s="7" t="s">
        <v>153</v>
      </c>
      <c r="C9907" s="99" t="s">
        <v>32</v>
      </c>
      <c r="D9907" s="6">
        <v>47185</v>
      </c>
      <c r="E9907" s="3" t="str">
        <f ca="1">IF(Tabela2[[#This Row],[Dt Venc:]]&gt;TODAY(),"Em Aberto",IF(Tabela2[[#This Row],[D/venc]]="-","Enviado",IF(Tabela2[[#This Row],[Dt Venc:]]=TODAY(),"Vence Hoje","Vencida")))</f>
        <v>Em Aberto</v>
      </c>
      <c r="F9907" s="3">
        <f ca="1">IF(G9907=1,"-",Tabela2[[#This Row],[Dt Venc:]]-TODAY())</f>
        <v>1492</v>
      </c>
      <c r="G9907" s="3"/>
      <c r="H9907" s="3"/>
    </row>
    <row r="9908" spans="1:8">
      <c r="A9908" s="3">
        <v>562</v>
      </c>
      <c r="B9908" s="7" t="s">
        <v>251</v>
      </c>
      <c r="C9908" s="99" t="s">
        <v>32</v>
      </c>
      <c r="D9908" s="6">
        <v>47192</v>
      </c>
      <c r="E9908" s="3" t="str">
        <f ca="1">IF(Tabela2[[#This Row],[Dt Venc:]]&gt;TODAY(),"Em Aberto",IF(Tabela2[[#This Row],[D/venc]]="-","Enviado",IF(Tabela2[[#This Row],[Dt Venc:]]=TODAY(),"Vence Hoje","Vencida")))</f>
        <v>Em Aberto</v>
      </c>
      <c r="F9908" s="3">
        <f ca="1">IF(G9908=1,"-",Tabela2[[#This Row],[Dt Venc:]]-TODAY())</f>
        <v>1499</v>
      </c>
      <c r="G9908" s="3"/>
      <c r="H9908" s="3"/>
    </row>
    <row r="9909" spans="1:8">
      <c r="A9909" s="3">
        <v>361229</v>
      </c>
      <c r="B9909" s="7" t="s">
        <v>250</v>
      </c>
      <c r="C9909" s="99" t="s">
        <v>32</v>
      </c>
      <c r="D9909" s="6">
        <v>47192</v>
      </c>
      <c r="E9909" s="3" t="str">
        <f ca="1">IF(Tabela2[[#This Row],[Dt Venc:]]&gt;TODAY(),"Em Aberto",IF(Tabela2[[#This Row],[D/venc]]="-","Enviado",IF(Tabela2[[#This Row],[Dt Venc:]]=TODAY(),"Vence Hoje","Vencida")))</f>
        <v>Em Aberto</v>
      </c>
      <c r="F9909" s="3">
        <f ca="1">IF(G9909=1,"-",Tabela2[[#This Row],[Dt Venc:]]-TODAY())</f>
        <v>1499</v>
      </c>
      <c r="G9909" s="3"/>
      <c r="H9909" s="3"/>
    </row>
    <row r="9910" spans="1:8">
      <c r="A9910" s="3">
        <v>361237</v>
      </c>
      <c r="B9910" s="7" t="s">
        <v>250</v>
      </c>
      <c r="C9910" s="99" t="s">
        <v>32</v>
      </c>
      <c r="D9910" s="6">
        <v>47192</v>
      </c>
      <c r="E9910" s="3" t="str">
        <f ca="1">IF(Tabela2[[#This Row],[Dt Venc:]]&gt;TODAY(),"Em Aberto",IF(Tabela2[[#This Row],[D/venc]]="-","Enviado",IF(Tabela2[[#This Row],[Dt Venc:]]=TODAY(),"Vence Hoje","Vencida")))</f>
        <v>Em Aberto</v>
      </c>
      <c r="F9910" s="3">
        <f ca="1">IF(G9910=1,"-",Tabela2[[#This Row],[Dt Venc:]]-TODAY())</f>
        <v>1499</v>
      </c>
      <c r="G9910" s="3"/>
      <c r="H9910" s="3"/>
    </row>
    <row r="9911" spans="1:8">
      <c r="A9911" s="3">
        <v>365658</v>
      </c>
      <c r="B9911" s="7" t="s">
        <v>250</v>
      </c>
      <c r="C9911" s="99" t="s">
        <v>32</v>
      </c>
      <c r="D9911" s="6">
        <v>47192</v>
      </c>
      <c r="E9911" s="3" t="str">
        <f ca="1">IF(Tabela2[[#This Row],[Dt Venc:]]&gt;TODAY(),"Em Aberto",IF(Tabela2[[#This Row],[D/venc]]="-","Enviado",IF(Tabela2[[#This Row],[Dt Venc:]]=TODAY(),"Vence Hoje","Vencida")))</f>
        <v>Em Aberto</v>
      </c>
      <c r="F9911" s="3">
        <f ca="1">IF(G9911=1,"-",Tabela2[[#This Row],[Dt Venc:]]-TODAY())</f>
        <v>1499</v>
      </c>
      <c r="G9911" s="3"/>
      <c r="H9911" s="3"/>
    </row>
    <row r="9912" spans="1:8">
      <c r="A9912" s="3">
        <v>365666</v>
      </c>
      <c r="B9912" s="7" t="s">
        <v>250</v>
      </c>
      <c r="C9912" s="99" t="s">
        <v>32</v>
      </c>
      <c r="D9912" s="6">
        <v>47192</v>
      </c>
      <c r="E9912" s="3" t="str">
        <f ca="1">IF(Tabela2[[#This Row],[Dt Venc:]]&gt;TODAY(),"Em Aberto",IF(Tabela2[[#This Row],[D/venc]]="-","Enviado",IF(Tabela2[[#This Row],[Dt Venc:]]=TODAY(),"Vence Hoje","Vencida")))</f>
        <v>Em Aberto</v>
      </c>
      <c r="F9912" s="3">
        <f ca="1">IF(G9912=1,"-",Tabela2[[#This Row],[Dt Venc:]]-TODAY())</f>
        <v>1499</v>
      </c>
      <c r="G9912" s="3"/>
      <c r="H9912" s="3"/>
    </row>
    <row r="9913" spans="1:8">
      <c r="A9913" s="3">
        <v>365674</v>
      </c>
      <c r="B9913" s="7" t="s">
        <v>250</v>
      </c>
      <c r="C9913" s="99" t="s">
        <v>32</v>
      </c>
      <c r="D9913" s="6">
        <v>47192</v>
      </c>
      <c r="E9913" s="3" t="str">
        <f ca="1">IF(Tabela2[[#This Row],[Dt Venc:]]&gt;TODAY(),"Em Aberto",IF(Tabela2[[#This Row],[D/venc]]="-","Enviado",IF(Tabela2[[#This Row],[Dt Venc:]]=TODAY(),"Vence Hoje","Vencida")))</f>
        <v>Em Aberto</v>
      </c>
      <c r="F9913" s="3">
        <f ca="1">IF(G9913=1,"-",Tabela2[[#This Row],[Dt Venc:]]-TODAY())</f>
        <v>1499</v>
      </c>
      <c r="G9913" s="3"/>
      <c r="H9913" s="3"/>
    </row>
    <row r="9914" spans="1:8">
      <c r="A9914" s="3">
        <v>365682</v>
      </c>
      <c r="B9914" s="7" t="s">
        <v>250</v>
      </c>
      <c r="C9914" s="99" t="s">
        <v>32</v>
      </c>
      <c r="D9914" s="6">
        <v>47192</v>
      </c>
      <c r="E9914" s="3" t="str">
        <f ca="1">IF(Tabela2[[#This Row],[Dt Venc:]]&gt;TODAY(),"Em Aberto",IF(Tabela2[[#This Row],[D/venc]]="-","Enviado",IF(Tabela2[[#This Row],[Dt Venc:]]=TODAY(),"Vence Hoje","Vencida")))</f>
        <v>Em Aberto</v>
      </c>
      <c r="F9914" s="3">
        <f ca="1">IF(G9914=1,"-",Tabela2[[#This Row],[Dt Venc:]]-TODAY())</f>
        <v>1499</v>
      </c>
      <c r="G9914" s="3"/>
      <c r="H9914" s="3"/>
    </row>
    <row r="9915" spans="1:8">
      <c r="A9915" s="3">
        <v>369335</v>
      </c>
      <c r="B9915" s="7" t="s">
        <v>543</v>
      </c>
      <c r="C9915" s="87" t="s">
        <v>32</v>
      </c>
      <c r="D9915" s="6">
        <v>47192</v>
      </c>
      <c r="E9915" s="3" t="str">
        <f ca="1">IF(Tabela2[[#This Row],[Dt Venc:]]&gt;TODAY(),"Em Aberto",IF(Tabela2[[#This Row],[D/venc]]="-","Enviado",IF(Tabela2[[#This Row],[Dt Venc:]]=TODAY(),"Vence Hoje","Vencida")))</f>
        <v>Em Aberto</v>
      </c>
      <c r="F9915" s="3">
        <f ca="1">IF(G9915=1,"-",Tabela2[[#This Row],[Dt Venc:]]-TODAY())</f>
        <v>1499</v>
      </c>
      <c r="G9915" s="3"/>
      <c r="H9915" s="3"/>
    </row>
    <row r="9916" spans="1:8">
      <c r="A9916" s="3">
        <v>369696</v>
      </c>
      <c r="B9916" s="7" t="s">
        <v>543</v>
      </c>
      <c r="C9916" s="87" t="s">
        <v>32</v>
      </c>
      <c r="D9916" s="6">
        <v>47192</v>
      </c>
      <c r="E9916" s="3" t="str">
        <f ca="1">IF(Tabela2[[#This Row],[Dt Venc:]]&gt;TODAY(),"Em Aberto",IF(Tabela2[[#This Row],[D/venc]]="-","Enviado",IF(Tabela2[[#This Row],[Dt Venc:]]=TODAY(),"Vence Hoje","Vencida")))</f>
        <v>Em Aberto</v>
      </c>
      <c r="F9916" s="3">
        <f ca="1">IF(G9916=1,"-",Tabela2[[#This Row],[Dt Venc:]]-TODAY())</f>
        <v>1499</v>
      </c>
      <c r="G9916" s="3"/>
      <c r="H9916" s="3"/>
    </row>
    <row r="9917" spans="1:8">
      <c r="A9917" s="3">
        <v>369726</v>
      </c>
      <c r="B9917" s="7" t="s">
        <v>543</v>
      </c>
      <c r="C9917" s="87" t="s">
        <v>32</v>
      </c>
      <c r="D9917" s="6">
        <v>47192</v>
      </c>
      <c r="E9917" s="3" t="str">
        <f ca="1">IF(Tabela2[[#This Row],[Dt Venc:]]&gt;TODAY(),"Em Aberto",IF(Tabela2[[#This Row],[D/venc]]="-","Enviado",IF(Tabela2[[#This Row],[Dt Venc:]]=TODAY(),"Vence Hoje","Vencida")))</f>
        <v>Em Aberto</v>
      </c>
      <c r="F9917" s="3">
        <f ca="1">IF(G9917=1,"-",Tabela2[[#This Row],[Dt Venc:]]-TODAY())</f>
        <v>1499</v>
      </c>
      <c r="G9917" s="3"/>
      <c r="H9917" s="3"/>
    </row>
    <row r="9918" spans="1:8">
      <c r="A9918" s="3">
        <v>369751</v>
      </c>
      <c r="B9918" s="7" t="s">
        <v>543</v>
      </c>
      <c r="C9918" s="87" t="s">
        <v>32</v>
      </c>
      <c r="D9918" s="6">
        <v>47192</v>
      </c>
      <c r="E9918" s="3" t="str">
        <f ca="1">IF(Tabela2[[#This Row],[Dt Venc:]]&gt;TODAY(),"Em Aberto",IF(Tabela2[[#This Row],[D/venc]]="-","Enviado",IF(Tabela2[[#This Row],[Dt Venc:]]=TODAY(),"Vence Hoje","Vencida")))</f>
        <v>Em Aberto</v>
      </c>
      <c r="F9918" s="3">
        <f ca="1">IF(G9918=1,"-",Tabela2[[#This Row],[Dt Venc:]]-TODAY())</f>
        <v>1499</v>
      </c>
      <c r="G9918" s="3"/>
      <c r="H9918" s="3"/>
    </row>
    <row r="9919" spans="1:8">
      <c r="A9919" s="3">
        <v>370201</v>
      </c>
      <c r="B9919" s="7" t="s">
        <v>543</v>
      </c>
      <c r="C9919" s="87" t="s">
        <v>32</v>
      </c>
      <c r="D9919" s="6">
        <v>47192</v>
      </c>
      <c r="E9919" s="3" t="str">
        <f ca="1">IF(Tabela2[[#This Row],[Dt Venc:]]&gt;TODAY(),"Em Aberto",IF(Tabela2[[#This Row],[D/venc]]="-","Enviado",IF(Tabela2[[#This Row],[Dt Venc:]]=TODAY(),"Vence Hoje","Vencida")))</f>
        <v>Em Aberto</v>
      </c>
      <c r="F9919" s="3">
        <f ca="1">IF(G9919=1,"-",Tabela2[[#This Row],[Dt Venc:]]-TODAY())</f>
        <v>1499</v>
      </c>
      <c r="G9919" s="3"/>
      <c r="H9919" s="3"/>
    </row>
    <row r="9920" spans="1:8">
      <c r="A9920" s="3">
        <v>370864</v>
      </c>
      <c r="B9920" s="7" t="s">
        <v>543</v>
      </c>
      <c r="C9920" s="87" t="s">
        <v>32</v>
      </c>
      <c r="D9920" s="6">
        <v>47192</v>
      </c>
      <c r="E9920" s="3" t="str">
        <f ca="1">IF(Tabela2[[#This Row],[Dt Venc:]]&gt;TODAY(),"Em Aberto",IF(Tabela2[[#This Row],[D/venc]]="-","Enviado",IF(Tabela2[[#This Row],[Dt Venc:]]=TODAY(),"Vence Hoje","Vencida")))</f>
        <v>Em Aberto</v>
      </c>
      <c r="F9920" s="3">
        <f ca="1">IF(G9920=1,"-",Tabela2[[#This Row],[Dt Venc:]]-TODAY())</f>
        <v>1499</v>
      </c>
      <c r="G9920" s="3"/>
      <c r="H9920" s="3"/>
    </row>
    <row r="9921" spans="1:8">
      <c r="A9921" s="3">
        <v>371011</v>
      </c>
      <c r="B9921" s="7" t="s">
        <v>633</v>
      </c>
      <c r="C9921" s="87" t="s">
        <v>32</v>
      </c>
      <c r="D9921" s="6">
        <v>47192</v>
      </c>
      <c r="E9921" s="3" t="str">
        <f ca="1">IF(Tabela2[[#This Row],[Dt Venc:]]&gt;TODAY(),"Em Aberto",IF(Tabela2[[#This Row],[D/venc]]="-","Enviado",IF(Tabela2[[#This Row],[Dt Venc:]]=TODAY(),"Vence Hoje","Vencida")))</f>
        <v>Em Aberto</v>
      </c>
      <c r="F9921" s="3">
        <f ca="1">IF(G9921=1,"-",Tabela2[[#This Row],[Dt Venc:]]-TODAY())</f>
        <v>1499</v>
      </c>
      <c r="G9921" s="3"/>
      <c r="H9921" s="3"/>
    </row>
    <row r="9922" spans="1:8">
      <c r="A9922" s="3">
        <v>371160</v>
      </c>
      <c r="B9922" s="7" t="s">
        <v>633</v>
      </c>
      <c r="C9922" s="87" t="s">
        <v>32</v>
      </c>
      <c r="D9922" s="6">
        <v>47192</v>
      </c>
      <c r="E9922" s="3" t="str">
        <f ca="1">IF(Tabela2[[#This Row],[Dt Venc:]]&gt;TODAY(),"Em Aberto",IF(Tabela2[[#This Row],[D/venc]]="-","Enviado",IF(Tabela2[[#This Row],[Dt Venc:]]=TODAY(),"Vence Hoje","Vencida")))</f>
        <v>Em Aberto</v>
      </c>
      <c r="F9922" s="3">
        <f ca="1">IF(G9922=1,"-",Tabela2[[#This Row],[Dt Venc:]]-TODAY())</f>
        <v>1499</v>
      </c>
      <c r="G9922" s="3"/>
      <c r="H9922" s="3"/>
    </row>
    <row r="9923" spans="1:8">
      <c r="A9923" s="3">
        <v>892178</v>
      </c>
      <c r="B9923" s="7" t="s">
        <v>253</v>
      </c>
      <c r="C9923" s="99" t="s">
        <v>32</v>
      </c>
      <c r="D9923" s="6">
        <v>47192</v>
      </c>
      <c r="E9923" s="3" t="str">
        <f ca="1">IF(Tabela2[[#This Row],[Dt Venc:]]&gt;TODAY(),"Em Aberto",IF(Tabela2[[#This Row],[D/venc]]="-","Enviado",IF(Tabela2[[#This Row],[Dt Venc:]]=TODAY(),"Vence Hoje","Vencida")))</f>
        <v>Em Aberto</v>
      </c>
      <c r="F9923" s="3">
        <f ca="1">IF(G9923=1,"-",Tabela2[[#This Row],[Dt Venc:]]-TODAY())</f>
        <v>1499</v>
      </c>
      <c r="G9923" s="3"/>
      <c r="H9923" s="3"/>
    </row>
    <row r="9924" spans="1:8">
      <c r="A9924" s="3">
        <v>894135</v>
      </c>
      <c r="B9924" s="7" t="s">
        <v>253</v>
      </c>
      <c r="C9924" s="99" t="s">
        <v>32</v>
      </c>
      <c r="D9924" s="6">
        <v>47192</v>
      </c>
      <c r="E9924" s="3" t="str">
        <f ca="1">IF(Tabela2[[#This Row],[Dt Venc:]]&gt;TODAY(),"Em Aberto",IF(Tabela2[[#This Row],[D/venc]]="-","Enviado",IF(Tabela2[[#This Row],[Dt Venc:]]=TODAY(),"Vence Hoje","Vencida")))</f>
        <v>Em Aberto</v>
      </c>
      <c r="F9924" s="3">
        <f ca="1">IF(G9924=1,"-",Tabela2[[#This Row],[Dt Venc:]]-TODAY())</f>
        <v>1499</v>
      </c>
      <c r="G9924" s="3"/>
      <c r="H9924" s="3"/>
    </row>
    <row r="9925" spans="1:8">
      <c r="A9925" s="3">
        <v>896565</v>
      </c>
      <c r="B9925" s="7" t="s">
        <v>253</v>
      </c>
      <c r="C9925" s="99" t="s">
        <v>32</v>
      </c>
      <c r="D9925" s="6">
        <v>47192</v>
      </c>
      <c r="E9925" s="3" t="str">
        <f ca="1">IF(Tabela2[[#This Row],[Dt Venc:]]&gt;TODAY(),"Em Aberto",IF(Tabela2[[#This Row],[D/venc]]="-","Enviado",IF(Tabela2[[#This Row],[Dt Venc:]]=TODAY(),"Vence Hoje","Vencida")))</f>
        <v>Em Aberto</v>
      </c>
      <c r="F9925" s="3">
        <f ca="1">IF(G9925=1,"-",Tabela2[[#This Row],[Dt Venc:]]-TODAY())</f>
        <v>1499</v>
      </c>
      <c r="G9925" s="3"/>
      <c r="H9925" s="3"/>
    </row>
    <row r="9926" spans="1:8">
      <c r="A9926" s="3">
        <v>900386</v>
      </c>
      <c r="B9926" s="7" t="s">
        <v>253</v>
      </c>
      <c r="C9926" s="99" t="s">
        <v>32</v>
      </c>
      <c r="D9926" s="6">
        <v>47192</v>
      </c>
      <c r="E9926" s="3" t="str">
        <f ca="1">IF(Tabela2[[#This Row],[Dt Venc:]]&gt;TODAY(),"Em Aberto",IF(Tabela2[[#This Row],[D/venc]]="-","Enviado",IF(Tabela2[[#This Row],[Dt Venc:]]=TODAY(),"Vence Hoje","Vencida")))</f>
        <v>Em Aberto</v>
      </c>
      <c r="F9926" s="3">
        <f ca="1">IF(G9926=1,"-",Tabela2[[#This Row],[Dt Venc:]]-TODAY())</f>
        <v>1499</v>
      </c>
      <c r="G9926" s="3"/>
      <c r="H9926" s="3"/>
    </row>
    <row r="9927" spans="1:8">
      <c r="A9927" s="3">
        <v>901787</v>
      </c>
      <c r="B9927" s="7" t="s">
        <v>253</v>
      </c>
      <c r="C9927" s="99" t="s">
        <v>32</v>
      </c>
      <c r="D9927" s="6">
        <v>47192</v>
      </c>
      <c r="E9927" s="3" t="str">
        <f ca="1">IF(Tabela2[[#This Row],[Dt Venc:]]&gt;TODAY(),"Em Aberto",IF(Tabela2[[#This Row],[D/venc]]="-","Enviado",IF(Tabela2[[#This Row],[Dt Venc:]]=TODAY(),"Vence Hoje","Vencida")))</f>
        <v>Em Aberto</v>
      </c>
      <c r="F9927" s="3">
        <f ca="1">IF(G9927=1,"-",Tabela2[[#This Row],[Dt Venc:]]-TODAY())</f>
        <v>1499</v>
      </c>
      <c r="G9927" s="3"/>
      <c r="H9927" s="3"/>
    </row>
    <row r="9928" spans="1:8">
      <c r="A9928" s="3">
        <v>901788</v>
      </c>
      <c r="B9928" s="7" t="s">
        <v>253</v>
      </c>
      <c r="C9928" s="99" t="s">
        <v>32</v>
      </c>
      <c r="D9928" s="6">
        <v>47192</v>
      </c>
      <c r="E9928" s="3" t="str">
        <f ca="1">IF(Tabela2[[#This Row],[Dt Venc:]]&gt;TODAY(),"Em Aberto",IF(Tabela2[[#This Row],[D/venc]]="-","Enviado",IF(Tabela2[[#This Row],[Dt Venc:]]=TODAY(),"Vence Hoje","Vencida")))</f>
        <v>Em Aberto</v>
      </c>
      <c r="F9928" s="3">
        <f ca="1">IF(G9928=1,"-",Tabela2[[#This Row],[Dt Venc:]]-TODAY())</f>
        <v>1499</v>
      </c>
      <c r="G9928" s="3"/>
      <c r="H9928" s="3"/>
    </row>
    <row r="9929" spans="1:8">
      <c r="A9929" s="3">
        <v>901789</v>
      </c>
      <c r="B9929" s="7" t="s">
        <v>253</v>
      </c>
      <c r="C9929" s="99" t="s">
        <v>32</v>
      </c>
      <c r="D9929" s="6">
        <v>47192</v>
      </c>
      <c r="E9929" s="3" t="str">
        <f ca="1">IF(Tabela2[[#This Row],[Dt Venc:]]&gt;TODAY(),"Em Aberto",IF(Tabela2[[#This Row],[D/venc]]="-","Enviado",IF(Tabela2[[#This Row],[Dt Venc:]]=TODAY(),"Vence Hoje","Vencida")))</f>
        <v>Em Aberto</v>
      </c>
      <c r="F9929" s="3">
        <f ca="1">IF(G9929=1,"-",Tabela2[[#This Row],[Dt Venc:]]-TODAY())</f>
        <v>1499</v>
      </c>
      <c r="G9929" s="3"/>
      <c r="H9929" s="3"/>
    </row>
    <row r="9930" spans="1:8">
      <c r="A9930" s="3">
        <v>912703</v>
      </c>
      <c r="B9930" s="7" t="s">
        <v>253</v>
      </c>
      <c r="C9930" s="99" t="s">
        <v>32</v>
      </c>
      <c r="D9930" s="6">
        <v>47192</v>
      </c>
      <c r="E9930" s="3" t="str">
        <f ca="1">IF(Tabela2[[#This Row],[Dt Venc:]]&gt;TODAY(),"Em Aberto",IF(Tabela2[[#This Row],[D/venc]]="-","Enviado",IF(Tabela2[[#This Row],[Dt Venc:]]=TODAY(),"Vence Hoje","Vencida")))</f>
        <v>Em Aberto</v>
      </c>
      <c r="F9930" s="3">
        <f ca="1">IF(G9930=1,"-",Tabela2[[#This Row],[Dt Venc:]]-TODAY())</f>
        <v>1499</v>
      </c>
      <c r="G9930" s="3"/>
      <c r="H9930" s="3"/>
    </row>
    <row r="9931" spans="1:8">
      <c r="A9931" s="3">
        <v>912704</v>
      </c>
      <c r="B9931" s="7" t="s">
        <v>253</v>
      </c>
      <c r="C9931" s="99" t="s">
        <v>32</v>
      </c>
      <c r="D9931" s="6">
        <v>47192</v>
      </c>
      <c r="E9931" s="3" t="str">
        <f ca="1">IF(Tabela2[[#This Row],[Dt Venc:]]&gt;TODAY(),"Em Aberto",IF(Tabela2[[#This Row],[D/venc]]="-","Enviado",IF(Tabela2[[#This Row],[Dt Venc:]]=TODAY(),"Vence Hoje","Vencida")))</f>
        <v>Em Aberto</v>
      </c>
      <c r="F9931" s="3">
        <f ca="1">IF(G9931=1,"-",Tabela2[[#This Row],[Dt Venc:]]-TODAY())</f>
        <v>1499</v>
      </c>
      <c r="G9931" s="3"/>
      <c r="H9931" s="3"/>
    </row>
    <row r="9932" spans="1:8">
      <c r="A9932" s="3">
        <v>919728</v>
      </c>
      <c r="B9932" s="7" t="s">
        <v>253</v>
      </c>
      <c r="C9932" s="87" t="s">
        <v>32</v>
      </c>
      <c r="D9932" s="6">
        <v>47192</v>
      </c>
      <c r="E9932" s="3" t="str">
        <f ca="1">IF(Tabela2[[#This Row],[Dt Venc:]]&gt;TODAY(),"Em Aberto",IF(Tabela2[[#This Row],[D/venc]]="-","Enviado",IF(Tabela2[[#This Row],[Dt Venc:]]=TODAY(),"Vence Hoje","Vencida")))</f>
        <v>Em Aberto</v>
      </c>
      <c r="F9932" s="3">
        <f ca="1">IF(G9932=1,"-",Tabela2[[#This Row],[Dt Venc:]]-TODAY())</f>
        <v>1499</v>
      </c>
      <c r="G9932" s="3"/>
      <c r="H9932" s="3"/>
    </row>
    <row r="9933" spans="1:8">
      <c r="A9933" s="3">
        <v>919729</v>
      </c>
      <c r="B9933" s="7" t="s">
        <v>253</v>
      </c>
      <c r="C9933" s="87" t="s">
        <v>32</v>
      </c>
      <c r="D9933" s="6">
        <v>47192</v>
      </c>
      <c r="E9933" s="3" t="str">
        <f ca="1">IF(Tabela2[[#This Row],[Dt Venc:]]&gt;TODAY(),"Em Aberto",IF(Tabela2[[#This Row],[D/venc]]="-","Enviado",IF(Tabela2[[#This Row],[Dt Venc:]]=TODAY(),"Vence Hoje","Vencida")))</f>
        <v>Em Aberto</v>
      </c>
      <c r="F9933" s="3">
        <f ca="1">IF(G9933=1,"-",Tabela2[[#This Row],[Dt Venc:]]-TODAY())</f>
        <v>1499</v>
      </c>
      <c r="G9933" s="3"/>
      <c r="H9933" s="3"/>
    </row>
    <row r="9934" spans="1:8">
      <c r="A9934" s="3">
        <v>495914</v>
      </c>
      <c r="B9934" s="7" t="s">
        <v>153</v>
      </c>
      <c r="C9934" s="99" t="s">
        <v>32</v>
      </c>
      <c r="D9934" s="6">
        <v>47202</v>
      </c>
      <c r="E9934" s="3" t="str">
        <f ca="1">IF(Tabela2[[#This Row],[Dt Venc:]]&gt;TODAY(),"Em Aberto",IF(Tabela2[[#This Row],[D/venc]]="-","Enviado",IF(Tabela2[[#This Row],[Dt Venc:]]=TODAY(),"Vence Hoje","Vencida")))</f>
        <v>Em Aberto</v>
      </c>
      <c r="F9934" s="3">
        <f ca="1">IF(G9934=1,"-",Tabela2[[#This Row],[Dt Venc:]]-TODAY())</f>
        <v>1509</v>
      </c>
      <c r="G9934" s="3"/>
      <c r="H9934" s="3"/>
    </row>
    <row r="9935" spans="1:8">
      <c r="A9935" s="3">
        <v>11681</v>
      </c>
      <c r="B9935" s="7" t="s">
        <v>82</v>
      </c>
      <c r="C9935" s="87" t="s">
        <v>30</v>
      </c>
      <c r="D9935" s="6">
        <v>47208</v>
      </c>
      <c r="E9935" s="3" t="str">
        <f ca="1">IF(Tabela2[[#This Row],[Dt Venc:]]&gt;TODAY(),"Em Aberto",IF(Tabela2[[#This Row],[D/venc]]="-","Enviado",IF(Tabela2[[#This Row],[Dt Venc:]]=TODAY(),"Vence Hoje","Vencida")))</f>
        <v>Em Aberto</v>
      </c>
      <c r="F9935" s="3">
        <f ca="1">IF(G9935=1,"-",Tabela2[[#This Row],[Dt Venc:]]-TODAY())</f>
        <v>1515</v>
      </c>
      <c r="G9935" s="3"/>
      <c r="H9935" s="3"/>
    </row>
    <row r="9936" spans="1:8">
      <c r="A9936" s="3">
        <v>284620</v>
      </c>
      <c r="B9936" s="7" t="s">
        <v>153</v>
      </c>
      <c r="C9936" s="99" t="s">
        <v>32</v>
      </c>
      <c r="D9936" s="6">
        <v>47216</v>
      </c>
      <c r="E9936" s="3" t="str">
        <f ca="1">IF(Tabela2[[#This Row],[Dt Venc:]]&gt;TODAY(),"Em Aberto",IF(Tabela2[[#This Row],[D/venc]]="-","Enviado",IF(Tabela2[[#This Row],[Dt Venc:]]=TODAY(),"Vence Hoje","Vencida")))</f>
        <v>Em Aberto</v>
      </c>
      <c r="F9936" s="3">
        <f ca="1">IF(G9936=1,"-",Tabela2[[#This Row],[Dt Venc:]]-TODAY())</f>
        <v>1523</v>
      </c>
      <c r="G9936" s="3"/>
      <c r="H9936" s="3"/>
    </row>
    <row r="9937" spans="1:8">
      <c r="A9937" s="3">
        <v>562</v>
      </c>
      <c r="B9937" s="7" t="s">
        <v>251</v>
      </c>
      <c r="C9937" s="100" t="s">
        <v>32</v>
      </c>
      <c r="D9937" s="6">
        <v>47223</v>
      </c>
      <c r="E9937" s="3" t="str">
        <f ca="1">IF(Tabela2[[#This Row],[Dt Venc:]]&gt;TODAY(),"Em Aberto",IF(Tabela2[[#This Row],[D/venc]]="-","Enviado",IF(Tabela2[[#This Row],[Dt Venc:]]=TODAY(),"Vence Hoje","Vencida")))</f>
        <v>Em Aberto</v>
      </c>
      <c r="F9937" s="3">
        <f ca="1">IF(G9937=1,"-",Tabela2[[#This Row],[Dt Venc:]]-TODAY())</f>
        <v>1530</v>
      </c>
      <c r="G9937" s="3"/>
      <c r="H9937" s="3"/>
    </row>
    <row r="9938" spans="1:8">
      <c r="A9938" s="3">
        <v>361229</v>
      </c>
      <c r="B9938" s="7" t="s">
        <v>250</v>
      </c>
      <c r="C9938" s="100" t="s">
        <v>32</v>
      </c>
      <c r="D9938" s="6">
        <v>47223</v>
      </c>
      <c r="E9938" s="3" t="str">
        <f ca="1">IF(Tabela2[[#This Row],[Dt Venc:]]&gt;TODAY(),"Em Aberto",IF(Tabela2[[#This Row],[D/venc]]="-","Enviado",IF(Tabela2[[#This Row],[Dt Venc:]]=TODAY(),"Vence Hoje","Vencida")))</f>
        <v>Em Aberto</v>
      </c>
      <c r="F9938" s="3">
        <f ca="1">IF(G9938=1,"-",Tabela2[[#This Row],[Dt Venc:]]-TODAY())</f>
        <v>1530</v>
      </c>
      <c r="G9938" s="3"/>
      <c r="H9938" s="3"/>
    </row>
    <row r="9939" spans="1:8">
      <c r="A9939" s="3">
        <v>361237</v>
      </c>
      <c r="B9939" s="7" t="s">
        <v>250</v>
      </c>
      <c r="C9939" s="100" t="s">
        <v>32</v>
      </c>
      <c r="D9939" s="6">
        <v>47223</v>
      </c>
      <c r="E9939" s="3" t="str">
        <f ca="1">IF(Tabela2[[#This Row],[Dt Venc:]]&gt;TODAY(),"Em Aberto",IF(Tabela2[[#This Row],[D/venc]]="-","Enviado",IF(Tabela2[[#This Row],[Dt Venc:]]=TODAY(),"Vence Hoje","Vencida")))</f>
        <v>Em Aberto</v>
      </c>
      <c r="F9939" s="3">
        <f ca="1">IF(G9939=1,"-",Tabela2[[#This Row],[Dt Venc:]]-TODAY())</f>
        <v>1530</v>
      </c>
      <c r="G9939" s="3"/>
      <c r="H9939" s="3"/>
    </row>
    <row r="9940" spans="1:8">
      <c r="A9940" s="3">
        <v>365658</v>
      </c>
      <c r="B9940" s="7" t="s">
        <v>250</v>
      </c>
      <c r="C9940" s="99" t="s">
        <v>32</v>
      </c>
      <c r="D9940" s="6">
        <v>47223</v>
      </c>
      <c r="E9940" s="3" t="str">
        <f ca="1">IF(Tabela2[[#This Row],[Dt Venc:]]&gt;TODAY(),"Em Aberto",IF(Tabela2[[#This Row],[D/venc]]="-","Enviado",IF(Tabela2[[#This Row],[Dt Venc:]]=TODAY(),"Vence Hoje","Vencida")))</f>
        <v>Em Aberto</v>
      </c>
      <c r="F9940" s="3">
        <f ca="1">IF(G9940=1,"-",Tabela2[[#This Row],[Dt Venc:]]-TODAY())</f>
        <v>1530</v>
      </c>
      <c r="G9940" s="3"/>
      <c r="H9940" s="3"/>
    </row>
    <row r="9941" spans="1:8">
      <c r="A9941" s="3">
        <v>365666</v>
      </c>
      <c r="B9941" s="7" t="s">
        <v>250</v>
      </c>
      <c r="C9941" s="100" t="s">
        <v>32</v>
      </c>
      <c r="D9941" s="6">
        <v>47223</v>
      </c>
      <c r="E9941" s="3" t="str">
        <f ca="1">IF(Tabela2[[#This Row],[Dt Venc:]]&gt;TODAY(),"Em Aberto",IF(Tabela2[[#This Row],[D/venc]]="-","Enviado",IF(Tabela2[[#This Row],[Dt Venc:]]=TODAY(),"Vence Hoje","Vencida")))</f>
        <v>Em Aberto</v>
      </c>
      <c r="F9941" s="3">
        <f ca="1">IF(G9941=1,"-",Tabela2[[#This Row],[Dt Venc:]]-TODAY())</f>
        <v>1530</v>
      </c>
      <c r="G9941" s="3"/>
      <c r="H9941" s="3"/>
    </row>
    <row r="9942" spans="1:8">
      <c r="A9942" s="3">
        <v>365674</v>
      </c>
      <c r="B9942" s="7" t="s">
        <v>250</v>
      </c>
      <c r="C9942" s="100" t="s">
        <v>32</v>
      </c>
      <c r="D9942" s="6">
        <v>47223</v>
      </c>
      <c r="E9942" s="3" t="str">
        <f ca="1">IF(Tabela2[[#This Row],[Dt Venc:]]&gt;TODAY(),"Em Aberto",IF(Tabela2[[#This Row],[D/venc]]="-","Enviado",IF(Tabela2[[#This Row],[Dt Venc:]]=TODAY(),"Vence Hoje","Vencida")))</f>
        <v>Em Aberto</v>
      </c>
      <c r="F9942" s="3">
        <f ca="1">IF(G9942=1,"-",Tabela2[[#This Row],[Dt Venc:]]-TODAY())</f>
        <v>1530</v>
      </c>
      <c r="G9942" s="3"/>
      <c r="H9942" s="3"/>
    </row>
    <row r="9943" spans="1:8">
      <c r="A9943" s="3">
        <v>365682</v>
      </c>
      <c r="B9943" s="7" t="s">
        <v>250</v>
      </c>
      <c r="C9943" s="100" t="s">
        <v>32</v>
      </c>
      <c r="D9943" s="6">
        <v>47223</v>
      </c>
      <c r="E9943" s="3" t="str">
        <f ca="1">IF(Tabela2[[#This Row],[Dt Venc:]]&gt;TODAY(),"Em Aberto",IF(Tabela2[[#This Row],[D/venc]]="-","Enviado",IF(Tabela2[[#This Row],[Dt Venc:]]=TODAY(),"Vence Hoje","Vencida")))</f>
        <v>Em Aberto</v>
      </c>
      <c r="F9943" s="3">
        <f ca="1">IF(G9943=1,"-",Tabela2[[#This Row],[Dt Venc:]]-TODAY())</f>
        <v>1530</v>
      </c>
      <c r="G9943" s="3"/>
      <c r="H9943" s="3"/>
    </row>
    <row r="9944" spans="1:8">
      <c r="A9944" s="3">
        <v>369335</v>
      </c>
      <c r="B9944" s="7" t="s">
        <v>543</v>
      </c>
      <c r="C9944" s="87" t="s">
        <v>32</v>
      </c>
      <c r="D9944" s="6">
        <v>47223</v>
      </c>
      <c r="E9944" s="3" t="str">
        <f ca="1">IF(Tabela2[[#This Row],[Dt Venc:]]&gt;TODAY(),"Em Aberto",IF(Tabela2[[#This Row],[D/venc]]="-","Enviado",IF(Tabela2[[#This Row],[Dt Venc:]]=TODAY(),"Vence Hoje","Vencida")))</f>
        <v>Em Aberto</v>
      </c>
      <c r="F9944" s="3">
        <f ca="1">IF(G9944=1,"-",Tabela2[[#This Row],[Dt Venc:]]-TODAY())</f>
        <v>1530</v>
      </c>
      <c r="G9944" s="3"/>
      <c r="H9944" s="3"/>
    </row>
    <row r="9945" spans="1:8">
      <c r="A9945" s="3">
        <v>369696</v>
      </c>
      <c r="B9945" s="7" t="s">
        <v>543</v>
      </c>
      <c r="C9945" s="87" t="s">
        <v>32</v>
      </c>
      <c r="D9945" s="6">
        <v>47223</v>
      </c>
      <c r="E9945" s="3" t="str">
        <f ca="1">IF(Tabela2[[#This Row],[Dt Venc:]]&gt;TODAY(),"Em Aberto",IF(Tabela2[[#This Row],[D/venc]]="-","Enviado",IF(Tabela2[[#This Row],[Dt Venc:]]=TODAY(),"Vence Hoje","Vencida")))</f>
        <v>Em Aberto</v>
      </c>
      <c r="F9945" s="3">
        <f ca="1">IF(G9945=1,"-",Tabela2[[#This Row],[Dt Venc:]]-TODAY())</f>
        <v>1530</v>
      </c>
      <c r="G9945" s="3"/>
      <c r="H9945" s="3"/>
    </row>
    <row r="9946" spans="1:8">
      <c r="A9946" s="3">
        <v>369726</v>
      </c>
      <c r="B9946" s="7" t="s">
        <v>543</v>
      </c>
      <c r="C9946" s="87" t="s">
        <v>32</v>
      </c>
      <c r="D9946" s="6">
        <v>47223</v>
      </c>
      <c r="E9946" s="3" t="str">
        <f ca="1">IF(Tabela2[[#This Row],[Dt Venc:]]&gt;TODAY(),"Em Aberto",IF(Tabela2[[#This Row],[D/venc]]="-","Enviado",IF(Tabela2[[#This Row],[Dt Venc:]]=TODAY(),"Vence Hoje","Vencida")))</f>
        <v>Em Aberto</v>
      </c>
      <c r="F9946" s="3">
        <f ca="1">IF(G9946=1,"-",Tabela2[[#This Row],[Dt Venc:]]-TODAY())</f>
        <v>1530</v>
      </c>
      <c r="G9946" s="3"/>
      <c r="H9946" s="3"/>
    </row>
    <row r="9947" spans="1:8">
      <c r="A9947" s="3">
        <v>369751</v>
      </c>
      <c r="B9947" s="7" t="s">
        <v>543</v>
      </c>
      <c r="C9947" s="87" t="s">
        <v>32</v>
      </c>
      <c r="D9947" s="6">
        <v>47223</v>
      </c>
      <c r="E9947" s="3" t="str">
        <f ca="1">IF(Tabela2[[#This Row],[Dt Venc:]]&gt;TODAY(),"Em Aberto",IF(Tabela2[[#This Row],[D/venc]]="-","Enviado",IF(Tabela2[[#This Row],[Dt Venc:]]=TODAY(),"Vence Hoje","Vencida")))</f>
        <v>Em Aberto</v>
      </c>
      <c r="F9947" s="3">
        <f ca="1">IF(G9947=1,"-",Tabela2[[#This Row],[Dt Venc:]]-TODAY())</f>
        <v>1530</v>
      </c>
      <c r="G9947" s="3"/>
      <c r="H9947" s="3"/>
    </row>
    <row r="9948" spans="1:8">
      <c r="A9948" s="3">
        <v>370201</v>
      </c>
      <c r="B9948" s="7" t="s">
        <v>543</v>
      </c>
      <c r="C9948" s="87" t="s">
        <v>32</v>
      </c>
      <c r="D9948" s="6">
        <v>47223</v>
      </c>
      <c r="E9948" s="3" t="str">
        <f ca="1">IF(Tabela2[[#This Row],[Dt Venc:]]&gt;TODAY(),"Em Aberto",IF(Tabela2[[#This Row],[D/venc]]="-","Enviado",IF(Tabela2[[#This Row],[Dt Venc:]]=TODAY(),"Vence Hoje","Vencida")))</f>
        <v>Em Aberto</v>
      </c>
      <c r="F9948" s="3">
        <f ca="1">IF(G9948=1,"-",Tabela2[[#This Row],[Dt Venc:]]-TODAY())</f>
        <v>1530</v>
      </c>
      <c r="G9948" s="3"/>
      <c r="H9948" s="3"/>
    </row>
    <row r="9949" spans="1:8">
      <c r="A9949" s="3">
        <v>370864</v>
      </c>
      <c r="B9949" s="7" t="s">
        <v>543</v>
      </c>
      <c r="C9949" s="87" t="s">
        <v>32</v>
      </c>
      <c r="D9949" s="6">
        <v>47223</v>
      </c>
      <c r="E9949" s="3" t="str">
        <f ca="1">IF(Tabela2[[#This Row],[Dt Venc:]]&gt;TODAY(),"Em Aberto",IF(Tabela2[[#This Row],[D/venc]]="-","Enviado",IF(Tabela2[[#This Row],[Dt Venc:]]=TODAY(),"Vence Hoje","Vencida")))</f>
        <v>Em Aberto</v>
      </c>
      <c r="F9949" s="3">
        <f ca="1">IF(G9949=1,"-",Tabela2[[#This Row],[Dt Venc:]]-TODAY())</f>
        <v>1530</v>
      </c>
      <c r="G9949" s="3"/>
      <c r="H9949" s="3"/>
    </row>
    <row r="9950" spans="1:8">
      <c r="A9950" s="3">
        <v>371011</v>
      </c>
      <c r="B9950" s="7" t="s">
        <v>633</v>
      </c>
      <c r="C9950" s="87" t="s">
        <v>32</v>
      </c>
      <c r="D9950" s="6">
        <v>47223</v>
      </c>
      <c r="E9950" s="3" t="str">
        <f ca="1">IF(Tabela2[[#This Row],[Dt Venc:]]&gt;TODAY(),"Em Aberto",IF(Tabela2[[#This Row],[D/venc]]="-","Enviado",IF(Tabela2[[#This Row],[Dt Venc:]]=TODAY(),"Vence Hoje","Vencida")))</f>
        <v>Em Aberto</v>
      </c>
      <c r="F9950" s="3">
        <f ca="1">IF(G9950=1,"-",Tabela2[[#This Row],[Dt Venc:]]-TODAY())</f>
        <v>1530</v>
      </c>
      <c r="G9950" s="3"/>
      <c r="H9950" s="3"/>
    </row>
    <row r="9951" spans="1:8">
      <c r="A9951" s="3">
        <v>371160</v>
      </c>
      <c r="B9951" s="7" t="s">
        <v>633</v>
      </c>
      <c r="C9951" s="87" t="s">
        <v>32</v>
      </c>
      <c r="D9951" s="6">
        <v>47223</v>
      </c>
      <c r="E9951" s="3" t="str">
        <f ca="1">IF(Tabela2[[#This Row],[Dt Venc:]]&gt;TODAY(),"Em Aberto",IF(Tabela2[[#This Row],[D/venc]]="-","Enviado",IF(Tabela2[[#This Row],[Dt Venc:]]=TODAY(),"Vence Hoje","Vencida")))</f>
        <v>Em Aberto</v>
      </c>
      <c r="F9951" s="3">
        <f ca="1">IF(G9951=1,"-",Tabela2[[#This Row],[Dt Venc:]]-TODAY())</f>
        <v>1530</v>
      </c>
      <c r="G9951" s="3"/>
      <c r="H9951" s="3"/>
    </row>
    <row r="9952" spans="1:8">
      <c r="A9952" s="3">
        <v>892178</v>
      </c>
      <c r="B9952" s="7" t="s">
        <v>253</v>
      </c>
      <c r="C9952" s="100" t="s">
        <v>32</v>
      </c>
      <c r="D9952" s="6">
        <v>47223</v>
      </c>
      <c r="E9952" s="3" t="str">
        <f ca="1">IF(Tabela2[[#This Row],[Dt Venc:]]&gt;TODAY(),"Em Aberto",IF(Tabela2[[#This Row],[D/venc]]="-","Enviado",IF(Tabela2[[#This Row],[Dt Venc:]]=TODAY(),"Vence Hoje","Vencida")))</f>
        <v>Em Aberto</v>
      </c>
      <c r="F9952" s="3">
        <f ca="1">IF(G9952=1,"-",Tabela2[[#This Row],[Dt Venc:]]-TODAY())</f>
        <v>1530</v>
      </c>
      <c r="G9952" s="3"/>
      <c r="H9952" s="3"/>
    </row>
    <row r="9953" spans="1:8">
      <c r="A9953" s="3">
        <v>894135</v>
      </c>
      <c r="B9953" s="7" t="s">
        <v>253</v>
      </c>
      <c r="C9953" s="99" t="s">
        <v>32</v>
      </c>
      <c r="D9953" s="6">
        <v>47223</v>
      </c>
      <c r="E9953" s="3" t="str">
        <f ca="1">IF(Tabela2[[#This Row],[Dt Venc:]]&gt;TODAY(),"Em Aberto",IF(Tabela2[[#This Row],[D/venc]]="-","Enviado",IF(Tabela2[[#This Row],[Dt Venc:]]=TODAY(),"Vence Hoje","Vencida")))</f>
        <v>Em Aberto</v>
      </c>
      <c r="F9953" s="3">
        <f ca="1">IF(G9953=1,"-",Tabela2[[#This Row],[Dt Venc:]]-TODAY())</f>
        <v>1530</v>
      </c>
      <c r="G9953" s="3"/>
      <c r="H9953" s="3"/>
    </row>
    <row r="9954" spans="1:8">
      <c r="A9954" s="3">
        <v>896565</v>
      </c>
      <c r="B9954" s="7" t="s">
        <v>253</v>
      </c>
      <c r="C9954" s="99" t="s">
        <v>32</v>
      </c>
      <c r="D9954" s="6">
        <v>47223</v>
      </c>
      <c r="E9954" s="3" t="str">
        <f ca="1">IF(Tabela2[[#This Row],[Dt Venc:]]&gt;TODAY(),"Em Aberto",IF(Tabela2[[#This Row],[D/venc]]="-","Enviado",IF(Tabela2[[#This Row],[Dt Venc:]]=TODAY(),"Vence Hoje","Vencida")))</f>
        <v>Em Aberto</v>
      </c>
      <c r="F9954" s="3">
        <f ca="1">IF(G9954=1,"-",Tabela2[[#This Row],[Dt Venc:]]-TODAY())</f>
        <v>1530</v>
      </c>
      <c r="G9954" s="3"/>
      <c r="H9954" s="3"/>
    </row>
    <row r="9955" spans="1:8">
      <c r="A9955" s="3">
        <v>900386</v>
      </c>
      <c r="B9955" s="7" t="s">
        <v>253</v>
      </c>
      <c r="C9955" s="99" t="s">
        <v>32</v>
      </c>
      <c r="D9955" s="6">
        <v>47223</v>
      </c>
      <c r="E9955" s="3" t="str">
        <f ca="1">IF(Tabela2[[#This Row],[Dt Venc:]]&gt;TODAY(),"Em Aberto",IF(Tabela2[[#This Row],[D/venc]]="-","Enviado",IF(Tabela2[[#This Row],[Dt Venc:]]=TODAY(),"Vence Hoje","Vencida")))</f>
        <v>Em Aberto</v>
      </c>
      <c r="F9955" s="3">
        <f ca="1">IF(G9955=1,"-",Tabela2[[#This Row],[Dt Venc:]]-TODAY())</f>
        <v>1530</v>
      </c>
      <c r="G9955" s="3"/>
      <c r="H9955" s="3"/>
    </row>
    <row r="9956" spans="1:8">
      <c r="A9956" s="3">
        <v>901787</v>
      </c>
      <c r="B9956" s="7" t="s">
        <v>253</v>
      </c>
      <c r="C9956" s="99" t="s">
        <v>32</v>
      </c>
      <c r="D9956" s="6">
        <v>47223</v>
      </c>
      <c r="E9956" s="3" t="str">
        <f ca="1">IF(Tabela2[[#This Row],[Dt Venc:]]&gt;TODAY(),"Em Aberto",IF(Tabela2[[#This Row],[D/venc]]="-","Enviado",IF(Tabela2[[#This Row],[Dt Venc:]]=TODAY(),"Vence Hoje","Vencida")))</f>
        <v>Em Aberto</v>
      </c>
      <c r="F9956" s="3">
        <f ca="1">IF(G9956=1,"-",Tabela2[[#This Row],[Dt Venc:]]-TODAY())</f>
        <v>1530</v>
      </c>
      <c r="G9956" s="3"/>
      <c r="H9956" s="3"/>
    </row>
    <row r="9957" spans="1:8">
      <c r="A9957" s="3">
        <v>901788</v>
      </c>
      <c r="B9957" s="7" t="s">
        <v>253</v>
      </c>
      <c r="C9957" s="99" t="s">
        <v>32</v>
      </c>
      <c r="D9957" s="6">
        <v>47223</v>
      </c>
      <c r="E9957" s="3" t="str">
        <f ca="1">IF(Tabela2[[#This Row],[Dt Venc:]]&gt;TODAY(),"Em Aberto",IF(Tabela2[[#This Row],[D/venc]]="-","Enviado",IF(Tabela2[[#This Row],[Dt Venc:]]=TODAY(),"Vence Hoje","Vencida")))</f>
        <v>Em Aberto</v>
      </c>
      <c r="F9957" s="3">
        <f ca="1">IF(G9957=1,"-",Tabela2[[#This Row],[Dt Venc:]]-TODAY())</f>
        <v>1530</v>
      </c>
      <c r="G9957" s="3"/>
      <c r="H9957" s="3"/>
    </row>
    <row r="9958" spans="1:8">
      <c r="A9958" s="3">
        <v>901789</v>
      </c>
      <c r="B9958" s="7" t="s">
        <v>253</v>
      </c>
      <c r="C9958" s="99" t="s">
        <v>32</v>
      </c>
      <c r="D9958" s="6">
        <v>47223</v>
      </c>
      <c r="E9958" s="3" t="str">
        <f ca="1">IF(Tabela2[[#This Row],[Dt Venc:]]&gt;TODAY(),"Em Aberto",IF(Tabela2[[#This Row],[D/venc]]="-","Enviado",IF(Tabela2[[#This Row],[Dt Venc:]]=TODAY(),"Vence Hoje","Vencida")))</f>
        <v>Em Aberto</v>
      </c>
      <c r="F9958" s="3">
        <f ca="1">IF(G9958=1,"-",Tabela2[[#This Row],[Dt Venc:]]-TODAY())</f>
        <v>1530</v>
      </c>
      <c r="G9958" s="3"/>
      <c r="H9958" s="3"/>
    </row>
    <row r="9959" spans="1:8">
      <c r="A9959" s="3">
        <v>912703</v>
      </c>
      <c r="B9959" s="7" t="s">
        <v>253</v>
      </c>
      <c r="C9959" s="99" t="s">
        <v>32</v>
      </c>
      <c r="D9959" s="6">
        <v>47223</v>
      </c>
      <c r="E9959" s="3" t="str">
        <f ca="1">IF(Tabela2[[#This Row],[Dt Venc:]]&gt;TODAY(),"Em Aberto",IF(Tabela2[[#This Row],[D/venc]]="-","Enviado",IF(Tabela2[[#This Row],[Dt Venc:]]=TODAY(),"Vence Hoje","Vencida")))</f>
        <v>Em Aberto</v>
      </c>
      <c r="F9959" s="3">
        <f ca="1">IF(G9959=1,"-",Tabela2[[#This Row],[Dt Venc:]]-TODAY())</f>
        <v>1530</v>
      </c>
      <c r="G9959" s="3"/>
      <c r="H9959" s="3"/>
    </row>
    <row r="9960" spans="1:8">
      <c r="A9960" s="3">
        <v>912704</v>
      </c>
      <c r="B9960" s="7" t="s">
        <v>253</v>
      </c>
      <c r="C9960" s="99" t="s">
        <v>32</v>
      </c>
      <c r="D9960" s="6">
        <v>47223</v>
      </c>
      <c r="E9960" s="3" t="str">
        <f ca="1">IF(Tabela2[[#This Row],[Dt Venc:]]&gt;TODAY(),"Em Aberto",IF(Tabela2[[#This Row],[D/venc]]="-","Enviado",IF(Tabela2[[#This Row],[Dt Venc:]]=TODAY(),"Vence Hoje","Vencida")))</f>
        <v>Em Aberto</v>
      </c>
      <c r="F9960" s="3">
        <f ca="1">IF(G9960=1,"-",Tabela2[[#This Row],[Dt Venc:]]-TODAY())</f>
        <v>1530</v>
      </c>
      <c r="G9960" s="3"/>
      <c r="H9960" s="3"/>
    </row>
    <row r="9961" spans="1:8">
      <c r="A9961" s="3">
        <v>919728</v>
      </c>
      <c r="B9961" s="7" t="s">
        <v>253</v>
      </c>
      <c r="C9961" s="87" t="s">
        <v>32</v>
      </c>
      <c r="D9961" s="6">
        <v>47223</v>
      </c>
      <c r="E9961" s="3" t="str">
        <f ca="1">IF(Tabela2[[#This Row],[Dt Venc:]]&gt;TODAY(),"Em Aberto",IF(Tabela2[[#This Row],[D/venc]]="-","Enviado",IF(Tabela2[[#This Row],[Dt Venc:]]=TODAY(),"Vence Hoje","Vencida")))</f>
        <v>Em Aberto</v>
      </c>
      <c r="F9961" s="3">
        <f ca="1">IF(G9961=1,"-",Tabela2[[#This Row],[Dt Venc:]]-TODAY())</f>
        <v>1530</v>
      </c>
      <c r="G9961" s="3"/>
      <c r="H9961" s="3"/>
    </row>
    <row r="9962" spans="1:8">
      <c r="A9962" s="3">
        <v>919729</v>
      </c>
      <c r="B9962" s="7" t="s">
        <v>253</v>
      </c>
      <c r="C9962" s="87" t="s">
        <v>32</v>
      </c>
      <c r="D9962" s="6">
        <v>47223</v>
      </c>
      <c r="E9962" s="3" t="str">
        <f ca="1">IF(Tabela2[[#This Row],[Dt Venc:]]&gt;TODAY(),"Em Aberto",IF(Tabela2[[#This Row],[D/venc]]="-","Enviado",IF(Tabela2[[#This Row],[Dt Venc:]]=TODAY(),"Vence Hoje","Vencida")))</f>
        <v>Em Aberto</v>
      </c>
      <c r="F9962" s="3">
        <f ca="1">IF(G9962=1,"-",Tabela2[[#This Row],[Dt Venc:]]-TODAY())</f>
        <v>1530</v>
      </c>
      <c r="G9962" s="3"/>
      <c r="H9962" s="3"/>
    </row>
    <row r="9963" spans="1:8">
      <c r="A9963" s="3">
        <v>495914</v>
      </c>
      <c r="B9963" s="7" t="s">
        <v>153</v>
      </c>
      <c r="C9963" s="100" t="s">
        <v>32</v>
      </c>
      <c r="D9963" s="6">
        <v>47233</v>
      </c>
      <c r="E9963" s="3" t="str">
        <f ca="1">IF(Tabela2[[#This Row],[Dt Venc:]]&gt;TODAY(),"Em Aberto",IF(Tabela2[[#This Row],[D/venc]]="-","Enviado",IF(Tabela2[[#This Row],[Dt Venc:]]=TODAY(),"Vence Hoje","Vencida")))</f>
        <v>Em Aberto</v>
      </c>
      <c r="F9963" s="3">
        <f ca="1">IF(G9963=1,"-",Tabela2[[#This Row],[Dt Venc:]]-TODAY())</f>
        <v>1540</v>
      </c>
      <c r="G9963" s="3"/>
      <c r="H9963" s="3"/>
    </row>
    <row r="9964" spans="1:8">
      <c r="A9964" s="3">
        <v>11681</v>
      </c>
      <c r="B9964" s="7" t="s">
        <v>82</v>
      </c>
      <c r="C9964" s="87" t="s">
        <v>30</v>
      </c>
      <c r="D9964" s="6">
        <v>47238</v>
      </c>
      <c r="E9964" s="3" t="str">
        <f ca="1">IF(Tabela2[[#This Row],[Dt Venc:]]&gt;TODAY(),"Em Aberto",IF(Tabela2[[#This Row],[D/venc]]="-","Enviado",IF(Tabela2[[#This Row],[Dt Venc:]]=TODAY(),"Vence Hoje","Vencida")))</f>
        <v>Em Aberto</v>
      </c>
      <c r="F9964" s="3">
        <f ca="1">IF(G9964=1,"-",Tabela2[[#This Row],[Dt Venc:]]-TODAY())</f>
        <v>1545</v>
      </c>
      <c r="G9964" s="3"/>
      <c r="H9964" s="3"/>
    </row>
    <row r="9965" spans="1:8">
      <c r="A9965" s="3">
        <v>284620</v>
      </c>
      <c r="B9965" s="7" t="s">
        <v>153</v>
      </c>
      <c r="C9965" s="100" t="s">
        <v>32</v>
      </c>
      <c r="D9965" s="6">
        <v>47246</v>
      </c>
      <c r="E9965" s="3" t="str">
        <f ca="1">IF(Tabela2[[#This Row],[Dt Venc:]]&gt;TODAY(),"Em Aberto",IF(Tabela2[[#This Row],[D/venc]]="-","Enviado",IF(Tabela2[[#This Row],[Dt Venc:]]=TODAY(),"Vence Hoje","Vencida")))</f>
        <v>Em Aberto</v>
      </c>
      <c r="F9965" s="3">
        <f ca="1">IF(G9965=1,"-",Tabela2[[#This Row],[Dt Venc:]]-TODAY())</f>
        <v>1553</v>
      </c>
      <c r="G9965" s="3"/>
      <c r="H9965" s="3"/>
    </row>
    <row r="9966" spans="1:8">
      <c r="A9966" s="3">
        <v>562</v>
      </c>
      <c r="B9966" s="7" t="s">
        <v>251</v>
      </c>
      <c r="C9966" s="99" t="s">
        <v>32</v>
      </c>
      <c r="D9966" s="6">
        <v>47253</v>
      </c>
      <c r="E9966" s="3" t="str">
        <f ca="1">IF(Tabela2[[#This Row],[Dt Venc:]]&gt;TODAY(),"Em Aberto",IF(Tabela2[[#This Row],[D/venc]]="-","Enviado",IF(Tabela2[[#This Row],[Dt Venc:]]=TODAY(),"Vence Hoje","Vencida")))</f>
        <v>Em Aberto</v>
      </c>
      <c r="F9966" s="3">
        <f ca="1">IF(G9966=1,"-",Tabela2[[#This Row],[Dt Venc:]]-TODAY())</f>
        <v>1560</v>
      </c>
      <c r="G9966" s="3"/>
      <c r="H9966" s="3"/>
    </row>
    <row r="9967" spans="1:8">
      <c r="A9967" s="3">
        <v>361229</v>
      </c>
      <c r="B9967" s="7" t="s">
        <v>250</v>
      </c>
      <c r="C9967" s="99" t="s">
        <v>32</v>
      </c>
      <c r="D9967" s="6">
        <v>47253</v>
      </c>
      <c r="E9967" s="3" t="str">
        <f ca="1">IF(Tabela2[[#This Row],[Dt Venc:]]&gt;TODAY(),"Em Aberto",IF(Tabela2[[#This Row],[D/venc]]="-","Enviado",IF(Tabela2[[#This Row],[Dt Venc:]]=TODAY(),"Vence Hoje","Vencida")))</f>
        <v>Em Aberto</v>
      </c>
      <c r="F9967" s="3">
        <f ca="1">IF(G9967=1,"-",Tabela2[[#This Row],[Dt Venc:]]-TODAY())</f>
        <v>1560</v>
      </c>
      <c r="G9967" s="3"/>
      <c r="H9967" s="3"/>
    </row>
    <row r="9968" spans="1:8">
      <c r="A9968" s="3">
        <v>361237</v>
      </c>
      <c r="B9968" s="7" t="s">
        <v>250</v>
      </c>
      <c r="C9968" s="99" t="s">
        <v>32</v>
      </c>
      <c r="D9968" s="6">
        <v>47253</v>
      </c>
      <c r="E9968" s="3" t="str">
        <f ca="1">IF(Tabela2[[#This Row],[Dt Venc:]]&gt;TODAY(),"Em Aberto",IF(Tabela2[[#This Row],[D/venc]]="-","Enviado",IF(Tabela2[[#This Row],[Dt Venc:]]=TODAY(),"Vence Hoje","Vencida")))</f>
        <v>Em Aberto</v>
      </c>
      <c r="F9968" s="3">
        <f ca="1">IF(G9968=1,"-",Tabela2[[#This Row],[Dt Venc:]]-TODAY())</f>
        <v>1560</v>
      </c>
      <c r="G9968" s="3"/>
      <c r="H9968" s="3"/>
    </row>
    <row r="9969" spans="1:8">
      <c r="A9969" s="3">
        <v>365658</v>
      </c>
      <c r="B9969" s="7" t="s">
        <v>250</v>
      </c>
      <c r="C9969" s="99" t="s">
        <v>32</v>
      </c>
      <c r="D9969" s="6">
        <v>47253</v>
      </c>
      <c r="E9969" s="3" t="str">
        <f ca="1">IF(Tabela2[[#This Row],[Dt Venc:]]&gt;TODAY(),"Em Aberto",IF(Tabela2[[#This Row],[D/venc]]="-","Enviado",IF(Tabela2[[#This Row],[Dt Venc:]]=TODAY(),"Vence Hoje","Vencida")))</f>
        <v>Em Aberto</v>
      </c>
      <c r="F9969" s="3">
        <f ca="1">IF(G9969=1,"-",Tabela2[[#This Row],[Dt Venc:]]-TODAY())</f>
        <v>1560</v>
      </c>
      <c r="G9969" s="3"/>
      <c r="H9969" s="3"/>
    </row>
    <row r="9970" spans="1:8">
      <c r="A9970" s="3">
        <v>365666</v>
      </c>
      <c r="B9970" s="7" t="s">
        <v>250</v>
      </c>
      <c r="C9970" s="99" t="s">
        <v>32</v>
      </c>
      <c r="D9970" s="6">
        <v>47253</v>
      </c>
      <c r="E9970" s="3" t="str">
        <f ca="1">IF(Tabela2[[#This Row],[Dt Venc:]]&gt;TODAY(),"Em Aberto",IF(Tabela2[[#This Row],[D/venc]]="-","Enviado",IF(Tabela2[[#This Row],[Dt Venc:]]=TODAY(),"Vence Hoje","Vencida")))</f>
        <v>Em Aberto</v>
      </c>
      <c r="F9970" s="3">
        <f ca="1">IF(G9970=1,"-",Tabela2[[#This Row],[Dt Venc:]]-TODAY())</f>
        <v>1560</v>
      </c>
      <c r="G9970" s="3"/>
      <c r="H9970" s="3"/>
    </row>
    <row r="9971" spans="1:8">
      <c r="A9971" s="3">
        <v>365674</v>
      </c>
      <c r="B9971" s="7" t="s">
        <v>250</v>
      </c>
      <c r="C9971" s="99" t="s">
        <v>32</v>
      </c>
      <c r="D9971" s="6">
        <v>47253</v>
      </c>
      <c r="E9971" s="3" t="str">
        <f ca="1">IF(Tabela2[[#This Row],[Dt Venc:]]&gt;TODAY(),"Em Aberto",IF(Tabela2[[#This Row],[D/venc]]="-","Enviado",IF(Tabela2[[#This Row],[Dt Venc:]]=TODAY(),"Vence Hoje","Vencida")))</f>
        <v>Em Aberto</v>
      </c>
      <c r="F9971" s="3">
        <f ca="1">IF(G9971=1,"-",Tabela2[[#This Row],[Dt Venc:]]-TODAY())</f>
        <v>1560</v>
      </c>
      <c r="G9971" s="3"/>
      <c r="H9971" s="3"/>
    </row>
    <row r="9972" spans="1:8">
      <c r="A9972" s="3">
        <v>365682</v>
      </c>
      <c r="B9972" s="7" t="s">
        <v>250</v>
      </c>
      <c r="C9972" s="99" t="s">
        <v>32</v>
      </c>
      <c r="D9972" s="6">
        <v>47253</v>
      </c>
      <c r="E9972" s="3" t="str">
        <f ca="1">IF(Tabela2[[#This Row],[Dt Venc:]]&gt;TODAY(),"Em Aberto",IF(Tabela2[[#This Row],[D/venc]]="-","Enviado",IF(Tabela2[[#This Row],[Dt Venc:]]=TODAY(),"Vence Hoje","Vencida")))</f>
        <v>Em Aberto</v>
      </c>
      <c r="F9972" s="3">
        <f ca="1">IF(G9972=1,"-",Tabela2[[#This Row],[Dt Venc:]]-TODAY())</f>
        <v>1560</v>
      </c>
      <c r="G9972" s="3"/>
      <c r="H9972" s="3"/>
    </row>
    <row r="9973" spans="1:8">
      <c r="A9973" s="3">
        <v>369335</v>
      </c>
      <c r="B9973" s="7" t="s">
        <v>543</v>
      </c>
      <c r="C9973" s="87" t="s">
        <v>32</v>
      </c>
      <c r="D9973" s="6">
        <v>47253</v>
      </c>
      <c r="E9973" s="3" t="str">
        <f ca="1">IF(Tabela2[[#This Row],[Dt Venc:]]&gt;TODAY(),"Em Aberto",IF(Tabela2[[#This Row],[D/venc]]="-","Enviado",IF(Tabela2[[#This Row],[Dt Venc:]]=TODAY(),"Vence Hoje","Vencida")))</f>
        <v>Em Aberto</v>
      </c>
      <c r="F9973" s="3">
        <f ca="1">IF(G9973=1,"-",Tabela2[[#This Row],[Dt Venc:]]-TODAY())</f>
        <v>1560</v>
      </c>
      <c r="G9973" s="3"/>
      <c r="H9973" s="3"/>
    </row>
    <row r="9974" spans="1:8">
      <c r="A9974" s="3">
        <v>369696</v>
      </c>
      <c r="B9974" s="7" t="s">
        <v>543</v>
      </c>
      <c r="C9974" s="87" t="s">
        <v>32</v>
      </c>
      <c r="D9974" s="6">
        <v>47253</v>
      </c>
      <c r="E9974" s="3" t="str">
        <f ca="1">IF(Tabela2[[#This Row],[Dt Venc:]]&gt;TODAY(),"Em Aberto",IF(Tabela2[[#This Row],[D/venc]]="-","Enviado",IF(Tabela2[[#This Row],[Dt Venc:]]=TODAY(),"Vence Hoje","Vencida")))</f>
        <v>Em Aberto</v>
      </c>
      <c r="F9974" s="3">
        <f ca="1">IF(G9974=1,"-",Tabela2[[#This Row],[Dt Venc:]]-TODAY())</f>
        <v>1560</v>
      </c>
      <c r="G9974" s="3"/>
      <c r="H9974" s="3"/>
    </row>
    <row r="9975" spans="1:8">
      <c r="A9975" s="3">
        <v>369726</v>
      </c>
      <c r="B9975" s="7" t="s">
        <v>543</v>
      </c>
      <c r="C9975" s="87" t="s">
        <v>32</v>
      </c>
      <c r="D9975" s="6">
        <v>47253</v>
      </c>
      <c r="E9975" s="3" t="str">
        <f ca="1">IF(Tabela2[[#This Row],[Dt Venc:]]&gt;TODAY(),"Em Aberto",IF(Tabela2[[#This Row],[D/venc]]="-","Enviado",IF(Tabela2[[#This Row],[Dt Venc:]]=TODAY(),"Vence Hoje","Vencida")))</f>
        <v>Em Aberto</v>
      </c>
      <c r="F9975" s="3">
        <f ca="1">IF(G9975=1,"-",Tabela2[[#This Row],[Dt Venc:]]-TODAY())</f>
        <v>1560</v>
      </c>
      <c r="G9975" s="3"/>
      <c r="H9975" s="3"/>
    </row>
    <row r="9976" spans="1:8">
      <c r="A9976" s="3">
        <v>369751</v>
      </c>
      <c r="B9976" s="7" t="s">
        <v>543</v>
      </c>
      <c r="C9976" s="87" t="s">
        <v>32</v>
      </c>
      <c r="D9976" s="6">
        <v>47253</v>
      </c>
      <c r="E9976" s="3" t="str">
        <f ca="1">IF(Tabela2[[#This Row],[Dt Venc:]]&gt;TODAY(),"Em Aberto",IF(Tabela2[[#This Row],[D/venc]]="-","Enviado",IF(Tabela2[[#This Row],[Dt Venc:]]=TODAY(),"Vence Hoje","Vencida")))</f>
        <v>Em Aberto</v>
      </c>
      <c r="F9976" s="3">
        <f ca="1">IF(G9976=1,"-",Tabela2[[#This Row],[Dt Venc:]]-TODAY())</f>
        <v>1560</v>
      </c>
      <c r="G9976" s="3"/>
      <c r="H9976" s="3"/>
    </row>
    <row r="9977" spans="1:8">
      <c r="A9977" s="3">
        <v>370201</v>
      </c>
      <c r="B9977" s="7" t="s">
        <v>543</v>
      </c>
      <c r="C9977" s="87" t="s">
        <v>32</v>
      </c>
      <c r="D9977" s="6">
        <v>47253</v>
      </c>
      <c r="E9977" s="3" t="str">
        <f ca="1">IF(Tabela2[[#This Row],[Dt Venc:]]&gt;TODAY(),"Em Aberto",IF(Tabela2[[#This Row],[D/venc]]="-","Enviado",IF(Tabela2[[#This Row],[Dt Venc:]]=TODAY(),"Vence Hoje","Vencida")))</f>
        <v>Em Aberto</v>
      </c>
      <c r="F9977" s="3">
        <f ca="1">IF(G9977=1,"-",Tabela2[[#This Row],[Dt Venc:]]-TODAY())</f>
        <v>1560</v>
      </c>
      <c r="G9977" s="3"/>
      <c r="H9977" s="3"/>
    </row>
    <row r="9978" spans="1:8">
      <c r="A9978" s="3">
        <v>370864</v>
      </c>
      <c r="B9978" s="7" t="s">
        <v>543</v>
      </c>
      <c r="C9978" s="87" t="s">
        <v>32</v>
      </c>
      <c r="D9978" s="6">
        <v>47253</v>
      </c>
      <c r="E9978" s="3" t="str">
        <f ca="1">IF(Tabela2[[#This Row],[Dt Venc:]]&gt;TODAY(),"Em Aberto",IF(Tabela2[[#This Row],[D/venc]]="-","Enviado",IF(Tabela2[[#This Row],[Dt Venc:]]=TODAY(),"Vence Hoje","Vencida")))</f>
        <v>Em Aberto</v>
      </c>
      <c r="F9978" s="3">
        <f ca="1">IF(G9978=1,"-",Tabela2[[#This Row],[Dt Venc:]]-TODAY())</f>
        <v>1560</v>
      </c>
      <c r="G9978" s="3"/>
      <c r="H9978" s="3"/>
    </row>
    <row r="9979" spans="1:8">
      <c r="A9979" s="3">
        <v>371011</v>
      </c>
      <c r="B9979" s="7" t="s">
        <v>633</v>
      </c>
      <c r="C9979" s="87" t="s">
        <v>32</v>
      </c>
      <c r="D9979" s="6">
        <v>47253</v>
      </c>
      <c r="E9979" s="3" t="str">
        <f ca="1">IF(Tabela2[[#This Row],[Dt Venc:]]&gt;TODAY(),"Em Aberto",IF(Tabela2[[#This Row],[D/venc]]="-","Enviado",IF(Tabela2[[#This Row],[Dt Venc:]]=TODAY(),"Vence Hoje","Vencida")))</f>
        <v>Em Aberto</v>
      </c>
      <c r="F9979" s="3">
        <f ca="1">IF(G9979=1,"-",Tabela2[[#This Row],[Dt Venc:]]-TODAY())</f>
        <v>1560</v>
      </c>
      <c r="G9979" s="3"/>
      <c r="H9979" s="3"/>
    </row>
    <row r="9980" spans="1:8">
      <c r="A9980" s="3">
        <v>371160</v>
      </c>
      <c r="B9980" s="7" t="s">
        <v>633</v>
      </c>
      <c r="C9980" s="87" t="s">
        <v>32</v>
      </c>
      <c r="D9980" s="6">
        <v>47253</v>
      </c>
      <c r="E9980" s="3" t="str">
        <f ca="1">IF(Tabela2[[#This Row],[Dt Venc:]]&gt;TODAY(),"Em Aberto",IF(Tabela2[[#This Row],[D/venc]]="-","Enviado",IF(Tabela2[[#This Row],[Dt Venc:]]=TODAY(),"Vence Hoje","Vencida")))</f>
        <v>Em Aberto</v>
      </c>
      <c r="F9980" s="3">
        <f ca="1">IF(G9980=1,"-",Tabela2[[#This Row],[Dt Venc:]]-TODAY())</f>
        <v>1560</v>
      </c>
      <c r="G9980" s="3"/>
      <c r="H9980" s="3"/>
    </row>
    <row r="9981" spans="1:8">
      <c r="A9981" s="3">
        <v>892178</v>
      </c>
      <c r="B9981" s="7" t="s">
        <v>253</v>
      </c>
      <c r="C9981" s="99" t="s">
        <v>32</v>
      </c>
      <c r="D9981" s="6">
        <v>47253</v>
      </c>
      <c r="E9981" s="3" t="str">
        <f ca="1">IF(Tabela2[[#This Row],[Dt Venc:]]&gt;TODAY(),"Em Aberto",IF(Tabela2[[#This Row],[D/venc]]="-","Enviado",IF(Tabela2[[#This Row],[Dt Venc:]]=TODAY(),"Vence Hoje","Vencida")))</f>
        <v>Em Aberto</v>
      </c>
      <c r="F9981" s="3">
        <f ca="1">IF(G9981=1,"-",Tabela2[[#This Row],[Dt Venc:]]-TODAY())</f>
        <v>1560</v>
      </c>
      <c r="G9981" s="3"/>
      <c r="H9981" s="3"/>
    </row>
    <row r="9982" spans="1:8">
      <c r="A9982" s="3">
        <v>894135</v>
      </c>
      <c r="B9982" s="7" t="s">
        <v>253</v>
      </c>
      <c r="C9982" s="99" t="s">
        <v>32</v>
      </c>
      <c r="D9982" s="6">
        <v>47253</v>
      </c>
      <c r="E9982" s="3" t="str">
        <f ca="1">IF(Tabela2[[#This Row],[Dt Venc:]]&gt;TODAY(),"Em Aberto",IF(Tabela2[[#This Row],[D/venc]]="-","Enviado",IF(Tabela2[[#This Row],[Dt Venc:]]=TODAY(),"Vence Hoje","Vencida")))</f>
        <v>Em Aberto</v>
      </c>
      <c r="F9982" s="3">
        <f ca="1">IF(G9982=1,"-",Tabela2[[#This Row],[Dt Venc:]]-TODAY())</f>
        <v>1560</v>
      </c>
      <c r="G9982" s="3"/>
      <c r="H9982" s="3"/>
    </row>
    <row r="9983" spans="1:8">
      <c r="A9983" s="3">
        <v>896565</v>
      </c>
      <c r="B9983" s="7" t="s">
        <v>253</v>
      </c>
      <c r="C9983" s="99" t="s">
        <v>32</v>
      </c>
      <c r="D9983" s="6">
        <v>47253</v>
      </c>
      <c r="E9983" s="3" t="str">
        <f ca="1">IF(Tabela2[[#This Row],[Dt Venc:]]&gt;TODAY(),"Em Aberto",IF(Tabela2[[#This Row],[D/venc]]="-","Enviado",IF(Tabela2[[#This Row],[Dt Venc:]]=TODAY(),"Vence Hoje","Vencida")))</f>
        <v>Em Aberto</v>
      </c>
      <c r="F9983" s="3">
        <f ca="1">IF(G9983=1,"-",Tabela2[[#This Row],[Dt Venc:]]-TODAY())</f>
        <v>1560</v>
      </c>
      <c r="G9983" s="3"/>
      <c r="H9983" s="3"/>
    </row>
    <row r="9984" spans="1:8">
      <c r="A9984" s="3">
        <v>900386</v>
      </c>
      <c r="B9984" s="7" t="s">
        <v>253</v>
      </c>
      <c r="C9984" s="99" t="s">
        <v>32</v>
      </c>
      <c r="D9984" s="6">
        <v>47253</v>
      </c>
      <c r="E9984" s="3" t="str">
        <f ca="1">IF(Tabela2[[#This Row],[Dt Venc:]]&gt;TODAY(),"Em Aberto",IF(Tabela2[[#This Row],[D/venc]]="-","Enviado",IF(Tabela2[[#This Row],[Dt Venc:]]=TODAY(),"Vence Hoje","Vencida")))</f>
        <v>Em Aberto</v>
      </c>
      <c r="F9984" s="3">
        <f ca="1">IF(G9984=1,"-",Tabela2[[#This Row],[Dt Venc:]]-TODAY())</f>
        <v>1560</v>
      </c>
      <c r="G9984" s="3"/>
      <c r="H9984" s="3"/>
    </row>
    <row r="9985" spans="1:8">
      <c r="A9985" s="3">
        <v>901787</v>
      </c>
      <c r="B9985" s="7" t="s">
        <v>253</v>
      </c>
      <c r="C9985" s="99" t="s">
        <v>32</v>
      </c>
      <c r="D9985" s="6">
        <v>47253</v>
      </c>
      <c r="E9985" s="3" t="str">
        <f ca="1">IF(Tabela2[[#This Row],[Dt Venc:]]&gt;TODAY(),"Em Aberto",IF(Tabela2[[#This Row],[D/venc]]="-","Enviado",IF(Tabela2[[#This Row],[Dt Venc:]]=TODAY(),"Vence Hoje","Vencida")))</f>
        <v>Em Aberto</v>
      </c>
      <c r="F9985" s="3">
        <f ca="1">IF(G9985=1,"-",Tabela2[[#This Row],[Dt Venc:]]-TODAY())</f>
        <v>1560</v>
      </c>
      <c r="G9985" s="3"/>
      <c r="H9985" s="3"/>
    </row>
    <row r="9986" spans="1:8">
      <c r="A9986" s="3">
        <v>901788</v>
      </c>
      <c r="B9986" s="7" t="s">
        <v>253</v>
      </c>
      <c r="C9986" s="99" t="s">
        <v>32</v>
      </c>
      <c r="D9986" s="6">
        <v>47253</v>
      </c>
      <c r="E9986" s="3" t="str">
        <f ca="1">IF(Tabela2[[#This Row],[Dt Venc:]]&gt;TODAY(),"Em Aberto",IF(Tabela2[[#This Row],[D/venc]]="-","Enviado",IF(Tabela2[[#This Row],[Dt Venc:]]=TODAY(),"Vence Hoje","Vencida")))</f>
        <v>Em Aberto</v>
      </c>
      <c r="F9986" s="3">
        <f ca="1">IF(G9986=1,"-",Tabela2[[#This Row],[Dt Venc:]]-TODAY())</f>
        <v>1560</v>
      </c>
      <c r="G9986" s="3"/>
      <c r="H9986" s="3"/>
    </row>
    <row r="9987" spans="1:8">
      <c r="A9987" s="3">
        <v>901789</v>
      </c>
      <c r="B9987" s="7" t="s">
        <v>253</v>
      </c>
      <c r="C9987" s="99" t="s">
        <v>32</v>
      </c>
      <c r="D9987" s="6">
        <v>47253</v>
      </c>
      <c r="E9987" s="3" t="str">
        <f ca="1">IF(Tabela2[[#This Row],[Dt Venc:]]&gt;TODAY(),"Em Aberto",IF(Tabela2[[#This Row],[D/venc]]="-","Enviado",IF(Tabela2[[#This Row],[Dt Venc:]]=TODAY(),"Vence Hoje","Vencida")))</f>
        <v>Em Aberto</v>
      </c>
      <c r="F9987" s="3">
        <f ca="1">IF(G9987=1,"-",Tabela2[[#This Row],[Dt Venc:]]-TODAY())</f>
        <v>1560</v>
      </c>
      <c r="G9987" s="3"/>
      <c r="H9987" s="3"/>
    </row>
    <row r="9988" spans="1:8">
      <c r="A9988" s="3">
        <v>912703</v>
      </c>
      <c r="B9988" s="7" t="s">
        <v>253</v>
      </c>
      <c r="C9988" s="99" t="s">
        <v>32</v>
      </c>
      <c r="D9988" s="6">
        <v>47253</v>
      </c>
      <c r="E9988" s="3" t="str">
        <f ca="1">IF(Tabela2[[#This Row],[Dt Venc:]]&gt;TODAY(),"Em Aberto",IF(Tabela2[[#This Row],[D/venc]]="-","Enviado",IF(Tabela2[[#This Row],[Dt Venc:]]=TODAY(),"Vence Hoje","Vencida")))</f>
        <v>Em Aberto</v>
      </c>
      <c r="F9988" s="3">
        <f ca="1">IF(G9988=1,"-",Tabela2[[#This Row],[Dt Venc:]]-TODAY())</f>
        <v>1560</v>
      </c>
      <c r="G9988" s="3"/>
      <c r="H9988" s="3"/>
    </row>
    <row r="9989" spans="1:8">
      <c r="A9989" s="3">
        <v>912704</v>
      </c>
      <c r="B9989" s="7" t="s">
        <v>253</v>
      </c>
      <c r="C9989" s="99" t="s">
        <v>32</v>
      </c>
      <c r="D9989" s="6">
        <v>47253</v>
      </c>
      <c r="E9989" s="3" t="str">
        <f ca="1">IF(Tabela2[[#This Row],[Dt Venc:]]&gt;TODAY(),"Em Aberto",IF(Tabela2[[#This Row],[D/venc]]="-","Enviado",IF(Tabela2[[#This Row],[Dt Venc:]]=TODAY(),"Vence Hoje","Vencida")))</f>
        <v>Em Aberto</v>
      </c>
      <c r="F9989" s="3">
        <f ca="1">IF(G9989=1,"-",Tabela2[[#This Row],[Dt Venc:]]-TODAY())</f>
        <v>1560</v>
      </c>
      <c r="G9989" s="3"/>
      <c r="H9989" s="3"/>
    </row>
    <row r="9990" spans="1:8">
      <c r="A9990" s="3">
        <v>919728</v>
      </c>
      <c r="B9990" s="7" t="s">
        <v>253</v>
      </c>
      <c r="C9990" s="87" t="s">
        <v>32</v>
      </c>
      <c r="D9990" s="6">
        <v>47253</v>
      </c>
      <c r="E9990" s="3" t="str">
        <f ca="1">IF(Tabela2[[#This Row],[Dt Venc:]]&gt;TODAY(),"Em Aberto",IF(Tabela2[[#This Row],[D/venc]]="-","Enviado",IF(Tabela2[[#This Row],[Dt Venc:]]=TODAY(),"Vence Hoje","Vencida")))</f>
        <v>Em Aberto</v>
      </c>
      <c r="F9990" s="3">
        <f ca="1">IF(G9990=1,"-",Tabela2[[#This Row],[Dt Venc:]]-TODAY())</f>
        <v>1560</v>
      </c>
      <c r="G9990" s="3"/>
      <c r="H9990" s="3"/>
    </row>
    <row r="9991" spans="1:8">
      <c r="A9991" s="3">
        <v>919729</v>
      </c>
      <c r="B9991" s="7" t="s">
        <v>253</v>
      </c>
      <c r="C9991" s="87" t="s">
        <v>32</v>
      </c>
      <c r="D9991" s="6">
        <v>47253</v>
      </c>
      <c r="E9991" s="3" t="str">
        <f ca="1">IF(Tabela2[[#This Row],[Dt Venc:]]&gt;TODAY(),"Em Aberto",IF(Tabela2[[#This Row],[D/venc]]="-","Enviado",IF(Tabela2[[#This Row],[Dt Venc:]]=TODAY(),"Vence Hoje","Vencida")))</f>
        <v>Em Aberto</v>
      </c>
      <c r="F9991" s="3">
        <f ca="1">IF(G9991=1,"-",Tabela2[[#This Row],[Dt Venc:]]-TODAY())</f>
        <v>1560</v>
      </c>
      <c r="G9991" s="3"/>
      <c r="H9991" s="3"/>
    </row>
    <row r="9992" spans="1:8">
      <c r="A9992" s="3">
        <v>495914</v>
      </c>
      <c r="B9992" s="7" t="s">
        <v>153</v>
      </c>
      <c r="C9992" s="99" t="s">
        <v>32</v>
      </c>
      <c r="D9992" s="6">
        <v>47263</v>
      </c>
      <c r="E9992" s="3" t="str">
        <f ca="1">IF(Tabela2[[#This Row],[Dt Venc:]]&gt;TODAY(),"Em Aberto",IF(Tabela2[[#This Row],[D/venc]]="-","Enviado",IF(Tabela2[[#This Row],[Dt Venc:]]=TODAY(),"Vence Hoje","Vencida")))</f>
        <v>Em Aberto</v>
      </c>
      <c r="F9992" s="3">
        <f ca="1">IF(G9992=1,"-",Tabela2[[#This Row],[Dt Venc:]]-TODAY())</f>
        <v>1570</v>
      </c>
      <c r="G9992" s="3"/>
      <c r="H9992" s="3"/>
    </row>
    <row r="9993" spans="1:8">
      <c r="A9993" s="3">
        <v>11681</v>
      </c>
      <c r="B9993" s="7" t="s">
        <v>82</v>
      </c>
      <c r="C9993" s="87" t="s">
        <v>30</v>
      </c>
      <c r="D9993" s="6">
        <v>47269</v>
      </c>
      <c r="E9993" s="3" t="str">
        <f ca="1">IF(Tabela2[[#This Row],[Dt Venc:]]&gt;TODAY(),"Em Aberto",IF(Tabela2[[#This Row],[D/venc]]="-","Enviado",IF(Tabela2[[#This Row],[Dt Venc:]]=TODAY(),"Vence Hoje","Vencida")))</f>
        <v>Em Aberto</v>
      </c>
      <c r="F9993" s="3">
        <f ca="1">IF(G9993=1,"-",Tabela2[[#This Row],[Dt Venc:]]-TODAY())</f>
        <v>1576</v>
      </c>
      <c r="G9993" s="3"/>
      <c r="H9993" s="3"/>
    </row>
    <row r="9994" spans="1:8">
      <c r="A9994" s="3">
        <v>284620</v>
      </c>
      <c r="B9994" s="7" t="s">
        <v>153</v>
      </c>
      <c r="C9994" s="99" t="s">
        <v>32</v>
      </c>
      <c r="D9994" s="6">
        <v>47277</v>
      </c>
      <c r="E9994" s="3" t="str">
        <f ca="1">IF(Tabela2[[#This Row],[Dt Venc:]]&gt;TODAY(),"Em Aberto",IF(Tabela2[[#This Row],[D/venc]]="-","Enviado",IF(Tabela2[[#This Row],[Dt Venc:]]=TODAY(),"Vence Hoje","Vencida")))</f>
        <v>Em Aberto</v>
      </c>
      <c r="F9994" s="3">
        <f ca="1">IF(G9994=1,"-",Tabela2[[#This Row],[Dt Venc:]]-TODAY())</f>
        <v>1584</v>
      </c>
      <c r="G9994" s="3"/>
      <c r="H9994" s="3"/>
    </row>
    <row r="9995" spans="1:8">
      <c r="A9995" s="3">
        <v>562</v>
      </c>
      <c r="B9995" s="7" t="s">
        <v>251</v>
      </c>
      <c r="C9995" s="99" t="s">
        <v>32</v>
      </c>
      <c r="D9995" s="6">
        <v>47284</v>
      </c>
      <c r="E9995" s="3" t="str">
        <f ca="1">IF(Tabela2[[#This Row],[Dt Venc:]]&gt;TODAY(),"Em Aberto",IF(Tabela2[[#This Row],[D/venc]]="-","Enviado",IF(Tabela2[[#This Row],[Dt Venc:]]=TODAY(),"Vence Hoje","Vencida")))</f>
        <v>Em Aberto</v>
      </c>
      <c r="F9995" s="3">
        <f ca="1">IF(G9995=1,"-",Tabela2[[#This Row],[Dt Venc:]]-TODAY())</f>
        <v>1591</v>
      </c>
      <c r="G9995" s="3"/>
      <c r="H9995" s="3"/>
    </row>
    <row r="9996" spans="1:8">
      <c r="A9996" s="3">
        <v>361229</v>
      </c>
      <c r="B9996" s="7" t="s">
        <v>250</v>
      </c>
      <c r="C9996" s="99" t="s">
        <v>32</v>
      </c>
      <c r="D9996" s="6">
        <v>47284</v>
      </c>
      <c r="E9996" s="3" t="str">
        <f ca="1">IF(Tabela2[[#This Row],[Dt Venc:]]&gt;TODAY(),"Em Aberto",IF(Tabela2[[#This Row],[D/venc]]="-","Enviado",IF(Tabela2[[#This Row],[Dt Venc:]]=TODAY(),"Vence Hoje","Vencida")))</f>
        <v>Em Aberto</v>
      </c>
      <c r="F9996" s="3">
        <f ca="1">IF(G9996=1,"-",Tabela2[[#This Row],[Dt Venc:]]-TODAY())</f>
        <v>1591</v>
      </c>
      <c r="G9996" s="3"/>
      <c r="H9996" s="3"/>
    </row>
    <row r="9997" spans="1:8">
      <c r="A9997" s="3">
        <v>361237</v>
      </c>
      <c r="B9997" s="7" t="s">
        <v>250</v>
      </c>
      <c r="C9997" s="99" t="s">
        <v>32</v>
      </c>
      <c r="D9997" s="6">
        <v>47284</v>
      </c>
      <c r="E9997" s="3" t="str">
        <f ca="1">IF(Tabela2[[#This Row],[Dt Venc:]]&gt;TODAY(),"Em Aberto",IF(Tabela2[[#This Row],[D/venc]]="-","Enviado",IF(Tabela2[[#This Row],[Dt Venc:]]=TODAY(),"Vence Hoje","Vencida")))</f>
        <v>Em Aberto</v>
      </c>
      <c r="F9997" s="3">
        <f ca="1">IF(G9997=1,"-",Tabela2[[#This Row],[Dt Venc:]]-TODAY())</f>
        <v>1591</v>
      </c>
      <c r="G9997" s="3"/>
      <c r="H9997" s="3"/>
    </row>
    <row r="9998" spans="1:8">
      <c r="A9998" s="3">
        <v>365658</v>
      </c>
      <c r="B9998" s="7" t="s">
        <v>250</v>
      </c>
      <c r="C9998" s="99" t="s">
        <v>32</v>
      </c>
      <c r="D9998" s="6">
        <v>47284</v>
      </c>
      <c r="E9998" s="3" t="str">
        <f ca="1">IF(Tabela2[[#This Row],[Dt Venc:]]&gt;TODAY(),"Em Aberto",IF(Tabela2[[#This Row],[D/venc]]="-","Enviado",IF(Tabela2[[#This Row],[Dt Venc:]]=TODAY(),"Vence Hoje","Vencida")))</f>
        <v>Em Aberto</v>
      </c>
      <c r="F9998" s="3">
        <f ca="1">IF(G9998=1,"-",Tabela2[[#This Row],[Dt Venc:]]-TODAY())</f>
        <v>1591</v>
      </c>
      <c r="G9998" s="3"/>
      <c r="H9998" s="3"/>
    </row>
    <row r="9999" spans="1:8">
      <c r="A9999" s="3">
        <v>365666</v>
      </c>
      <c r="B9999" s="7" t="s">
        <v>250</v>
      </c>
      <c r="C9999" s="99" t="s">
        <v>32</v>
      </c>
      <c r="D9999" s="6">
        <v>47284</v>
      </c>
      <c r="E9999" s="3" t="str">
        <f ca="1">IF(Tabela2[[#This Row],[Dt Venc:]]&gt;TODAY(),"Em Aberto",IF(Tabela2[[#This Row],[D/venc]]="-","Enviado",IF(Tabela2[[#This Row],[Dt Venc:]]=TODAY(),"Vence Hoje","Vencida")))</f>
        <v>Em Aberto</v>
      </c>
      <c r="F9999" s="3">
        <f ca="1">IF(G9999=1,"-",Tabela2[[#This Row],[Dt Venc:]]-TODAY())</f>
        <v>1591</v>
      </c>
      <c r="G9999" s="3"/>
      <c r="H9999" s="3"/>
    </row>
    <row r="10000" spans="1:8">
      <c r="A10000" s="3">
        <v>365674</v>
      </c>
      <c r="B10000" s="7" t="s">
        <v>250</v>
      </c>
      <c r="C10000" s="99" t="s">
        <v>32</v>
      </c>
      <c r="D10000" s="6">
        <v>47284</v>
      </c>
      <c r="E10000" s="3" t="str">
        <f ca="1">IF(Tabela2[[#This Row],[Dt Venc:]]&gt;TODAY(),"Em Aberto",IF(Tabela2[[#This Row],[D/venc]]="-","Enviado",IF(Tabela2[[#This Row],[Dt Venc:]]=TODAY(),"Vence Hoje","Vencida")))</f>
        <v>Em Aberto</v>
      </c>
      <c r="F10000" s="3">
        <f ca="1">IF(G10000=1,"-",Tabela2[[#This Row],[Dt Venc:]]-TODAY())</f>
        <v>1591</v>
      </c>
      <c r="G10000" s="3"/>
      <c r="H10000" s="3"/>
    </row>
    <row r="10001" spans="1:8">
      <c r="A10001" s="3">
        <v>365682</v>
      </c>
      <c r="B10001" s="7" t="s">
        <v>250</v>
      </c>
      <c r="C10001" s="99" t="s">
        <v>32</v>
      </c>
      <c r="D10001" s="6">
        <v>47284</v>
      </c>
      <c r="E10001" s="3" t="str">
        <f ca="1">IF(Tabela2[[#This Row],[Dt Venc:]]&gt;TODAY(),"Em Aberto",IF(Tabela2[[#This Row],[D/venc]]="-","Enviado",IF(Tabela2[[#This Row],[Dt Venc:]]=TODAY(),"Vence Hoje","Vencida")))</f>
        <v>Em Aberto</v>
      </c>
      <c r="F10001" s="3">
        <f ca="1">IF(G10001=1,"-",Tabela2[[#This Row],[Dt Venc:]]-TODAY())</f>
        <v>1591</v>
      </c>
      <c r="G10001" s="3"/>
      <c r="H10001" s="3"/>
    </row>
    <row r="10002" spans="1:8">
      <c r="A10002" s="3">
        <v>369335</v>
      </c>
      <c r="B10002" s="7" t="s">
        <v>543</v>
      </c>
      <c r="C10002" s="87" t="s">
        <v>32</v>
      </c>
      <c r="D10002" s="6">
        <v>47284</v>
      </c>
      <c r="E10002" s="3" t="str">
        <f ca="1">IF(Tabela2[[#This Row],[Dt Venc:]]&gt;TODAY(),"Em Aberto",IF(Tabela2[[#This Row],[D/venc]]="-","Enviado",IF(Tabela2[[#This Row],[Dt Venc:]]=TODAY(),"Vence Hoje","Vencida")))</f>
        <v>Em Aberto</v>
      </c>
      <c r="F10002" s="3">
        <f ca="1">IF(G10002=1,"-",Tabela2[[#This Row],[Dt Venc:]]-TODAY())</f>
        <v>1591</v>
      </c>
      <c r="G10002" s="3"/>
      <c r="H10002" s="3"/>
    </row>
    <row r="10003" spans="1:8">
      <c r="A10003" s="3">
        <v>369696</v>
      </c>
      <c r="B10003" s="7" t="s">
        <v>543</v>
      </c>
      <c r="C10003" s="87" t="s">
        <v>32</v>
      </c>
      <c r="D10003" s="6">
        <v>47284</v>
      </c>
      <c r="E10003" s="3" t="str">
        <f ca="1">IF(Tabela2[[#This Row],[Dt Venc:]]&gt;TODAY(),"Em Aberto",IF(Tabela2[[#This Row],[D/venc]]="-","Enviado",IF(Tabela2[[#This Row],[Dt Venc:]]=TODAY(),"Vence Hoje","Vencida")))</f>
        <v>Em Aberto</v>
      </c>
      <c r="F10003" s="3">
        <f ca="1">IF(G10003=1,"-",Tabela2[[#This Row],[Dt Venc:]]-TODAY())</f>
        <v>1591</v>
      </c>
      <c r="G10003" s="3"/>
      <c r="H10003" s="3"/>
    </row>
    <row r="10004" spans="1:8">
      <c r="A10004" s="3">
        <v>369726</v>
      </c>
      <c r="B10004" s="7" t="s">
        <v>543</v>
      </c>
      <c r="C10004" s="87" t="s">
        <v>32</v>
      </c>
      <c r="D10004" s="6">
        <v>47284</v>
      </c>
      <c r="E10004" s="3" t="str">
        <f ca="1">IF(Tabela2[[#This Row],[Dt Venc:]]&gt;TODAY(),"Em Aberto",IF(Tabela2[[#This Row],[D/venc]]="-","Enviado",IF(Tabela2[[#This Row],[Dt Venc:]]=TODAY(),"Vence Hoje","Vencida")))</f>
        <v>Em Aberto</v>
      </c>
      <c r="F10004" s="3">
        <f ca="1">IF(G10004=1,"-",Tabela2[[#This Row],[Dt Venc:]]-TODAY())</f>
        <v>1591</v>
      </c>
      <c r="G10004" s="3"/>
      <c r="H10004" s="3"/>
    </row>
    <row r="10005" spans="1:8">
      <c r="A10005" s="3">
        <v>369751</v>
      </c>
      <c r="B10005" s="7" t="s">
        <v>543</v>
      </c>
      <c r="C10005" s="87" t="s">
        <v>32</v>
      </c>
      <c r="D10005" s="6">
        <v>47284</v>
      </c>
      <c r="E10005" s="3" t="str">
        <f ca="1">IF(Tabela2[[#This Row],[Dt Venc:]]&gt;TODAY(),"Em Aberto",IF(Tabela2[[#This Row],[D/venc]]="-","Enviado",IF(Tabela2[[#This Row],[Dt Venc:]]=TODAY(),"Vence Hoje","Vencida")))</f>
        <v>Em Aberto</v>
      </c>
      <c r="F10005" s="3">
        <f ca="1">IF(G10005=1,"-",Tabela2[[#This Row],[Dt Venc:]]-TODAY())</f>
        <v>1591</v>
      </c>
      <c r="G10005" s="3"/>
      <c r="H10005" s="3"/>
    </row>
    <row r="10006" spans="1:8">
      <c r="A10006" s="3">
        <v>370201</v>
      </c>
      <c r="B10006" s="7" t="s">
        <v>543</v>
      </c>
      <c r="C10006" s="87" t="s">
        <v>32</v>
      </c>
      <c r="D10006" s="6">
        <v>47284</v>
      </c>
      <c r="E10006" s="3" t="str">
        <f ca="1">IF(Tabela2[[#This Row],[Dt Venc:]]&gt;TODAY(),"Em Aberto",IF(Tabela2[[#This Row],[D/venc]]="-","Enviado",IF(Tabela2[[#This Row],[Dt Venc:]]=TODAY(),"Vence Hoje","Vencida")))</f>
        <v>Em Aberto</v>
      </c>
      <c r="F10006" s="3">
        <f ca="1">IF(G10006=1,"-",Tabela2[[#This Row],[Dt Venc:]]-TODAY())</f>
        <v>1591</v>
      </c>
      <c r="G10006" s="3"/>
      <c r="H10006" s="3"/>
    </row>
    <row r="10007" spans="1:8">
      <c r="A10007" s="3">
        <v>370864</v>
      </c>
      <c r="B10007" s="7" t="s">
        <v>543</v>
      </c>
      <c r="C10007" s="87" t="s">
        <v>32</v>
      </c>
      <c r="D10007" s="6">
        <v>47284</v>
      </c>
      <c r="E10007" s="3" t="str">
        <f ca="1">IF(Tabela2[[#This Row],[Dt Venc:]]&gt;TODAY(),"Em Aberto",IF(Tabela2[[#This Row],[D/venc]]="-","Enviado",IF(Tabela2[[#This Row],[Dt Venc:]]=TODAY(),"Vence Hoje","Vencida")))</f>
        <v>Em Aberto</v>
      </c>
      <c r="F10007" s="3">
        <f ca="1">IF(G10007=1,"-",Tabela2[[#This Row],[Dt Venc:]]-TODAY())</f>
        <v>1591</v>
      </c>
      <c r="G10007" s="3"/>
      <c r="H10007" s="3"/>
    </row>
    <row r="10008" spans="1:8">
      <c r="A10008" s="3">
        <v>371011</v>
      </c>
      <c r="B10008" s="7" t="s">
        <v>633</v>
      </c>
      <c r="C10008" s="87" t="s">
        <v>32</v>
      </c>
      <c r="D10008" s="6">
        <v>47284</v>
      </c>
      <c r="E10008" s="3" t="str">
        <f ca="1">IF(Tabela2[[#This Row],[Dt Venc:]]&gt;TODAY(),"Em Aberto",IF(Tabela2[[#This Row],[D/venc]]="-","Enviado",IF(Tabela2[[#This Row],[Dt Venc:]]=TODAY(),"Vence Hoje","Vencida")))</f>
        <v>Em Aberto</v>
      </c>
      <c r="F10008" s="3">
        <f ca="1">IF(G10008=1,"-",Tabela2[[#This Row],[Dt Venc:]]-TODAY())</f>
        <v>1591</v>
      </c>
      <c r="G10008" s="3"/>
      <c r="H10008" s="3"/>
    </row>
    <row r="10009" spans="1:8">
      <c r="A10009" s="3">
        <v>371160</v>
      </c>
      <c r="B10009" s="7" t="s">
        <v>633</v>
      </c>
      <c r="C10009" s="87" t="s">
        <v>32</v>
      </c>
      <c r="D10009" s="6">
        <v>47284</v>
      </c>
      <c r="E10009" s="3" t="str">
        <f ca="1">IF(Tabela2[[#This Row],[Dt Venc:]]&gt;TODAY(),"Em Aberto",IF(Tabela2[[#This Row],[D/venc]]="-","Enviado",IF(Tabela2[[#This Row],[Dt Venc:]]=TODAY(),"Vence Hoje","Vencida")))</f>
        <v>Em Aberto</v>
      </c>
      <c r="F10009" s="3">
        <f ca="1">IF(G10009=1,"-",Tabela2[[#This Row],[Dt Venc:]]-TODAY())</f>
        <v>1591</v>
      </c>
      <c r="G10009" s="3"/>
      <c r="H10009" s="3"/>
    </row>
    <row r="10010" spans="1:8">
      <c r="A10010" s="3">
        <v>892178</v>
      </c>
      <c r="B10010" s="7" t="s">
        <v>253</v>
      </c>
      <c r="C10010" s="99" t="s">
        <v>32</v>
      </c>
      <c r="D10010" s="6">
        <v>47284</v>
      </c>
      <c r="E10010" s="3" t="str">
        <f ca="1">IF(Tabela2[[#This Row],[Dt Venc:]]&gt;TODAY(),"Em Aberto",IF(Tabela2[[#This Row],[D/venc]]="-","Enviado",IF(Tabela2[[#This Row],[Dt Venc:]]=TODAY(),"Vence Hoje","Vencida")))</f>
        <v>Em Aberto</v>
      </c>
      <c r="F10010" s="3">
        <f ca="1">IF(G10010=1,"-",Tabela2[[#This Row],[Dt Venc:]]-TODAY())</f>
        <v>1591</v>
      </c>
      <c r="G10010" s="3"/>
      <c r="H10010" s="3"/>
    </row>
    <row r="10011" spans="1:8">
      <c r="A10011" s="3">
        <v>894135</v>
      </c>
      <c r="B10011" s="7" t="s">
        <v>253</v>
      </c>
      <c r="C10011" s="99" t="s">
        <v>32</v>
      </c>
      <c r="D10011" s="6">
        <v>47284</v>
      </c>
      <c r="E10011" s="3" t="str">
        <f ca="1">IF(Tabela2[[#This Row],[Dt Venc:]]&gt;TODAY(),"Em Aberto",IF(Tabela2[[#This Row],[D/venc]]="-","Enviado",IF(Tabela2[[#This Row],[Dt Venc:]]=TODAY(),"Vence Hoje","Vencida")))</f>
        <v>Em Aberto</v>
      </c>
      <c r="F10011" s="3">
        <f ca="1">IF(G10011=1,"-",Tabela2[[#This Row],[Dt Venc:]]-TODAY())</f>
        <v>1591</v>
      </c>
      <c r="G10011" s="3"/>
      <c r="H10011" s="3"/>
    </row>
    <row r="10012" spans="1:8">
      <c r="A10012" s="3">
        <v>896565</v>
      </c>
      <c r="B10012" s="7" t="s">
        <v>253</v>
      </c>
      <c r="C10012" s="99" t="s">
        <v>32</v>
      </c>
      <c r="D10012" s="6">
        <v>47284</v>
      </c>
      <c r="E10012" s="3" t="str">
        <f ca="1">IF(Tabela2[[#This Row],[Dt Venc:]]&gt;TODAY(),"Em Aberto",IF(Tabela2[[#This Row],[D/venc]]="-","Enviado",IF(Tabela2[[#This Row],[Dt Venc:]]=TODAY(),"Vence Hoje","Vencida")))</f>
        <v>Em Aberto</v>
      </c>
      <c r="F10012" s="3">
        <f ca="1">IF(G10012=1,"-",Tabela2[[#This Row],[Dt Venc:]]-TODAY())</f>
        <v>1591</v>
      </c>
      <c r="G10012" s="3"/>
      <c r="H10012" s="3"/>
    </row>
    <row r="10013" spans="1:8">
      <c r="A10013" s="3">
        <v>900386</v>
      </c>
      <c r="B10013" s="7" t="s">
        <v>253</v>
      </c>
      <c r="C10013" s="99" t="s">
        <v>32</v>
      </c>
      <c r="D10013" s="6">
        <v>47284</v>
      </c>
      <c r="E10013" s="3" t="str">
        <f ca="1">IF(Tabela2[[#This Row],[Dt Venc:]]&gt;TODAY(),"Em Aberto",IF(Tabela2[[#This Row],[D/venc]]="-","Enviado",IF(Tabela2[[#This Row],[Dt Venc:]]=TODAY(),"Vence Hoje","Vencida")))</f>
        <v>Em Aberto</v>
      </c>
      <c r="F10013" s="3">
        <f ca="1">IF(G10013=1,"-",Tabela2[[#This Row],[Dt Venc:]]-TODAY())</f>
        <v>1591</v>
      </c>
      <c r="G10013" s="3"/>
      <c r="H10013" s="3"/>
    </row>
    <row r="10014" spans="1:8">
      <c r="A10014" s="3">
        <v>901787</v>
      </c>
      <c r="B10014" s="7" t="s">
        <v>253</v>
      </c>
      <c r="C10014" s="99" t="s">
        <v>32</v>
      </c>
      <c r="D10014" s="6">
        <v>47284</v>
      </c>
      <c r="E10014" s="3" t="str">
        <f ca="1">IF(Tabela2[[#This Row],[Dt Venc:]]&gt;TODAY(),"Em Aberto",IF(Tabela2[[#This Row],[D/venc]]="-","Enviado",IF(Tabela2[[#This Row],[Dt Venc:]]=TODAY(),"Vence Hoje","Vencida")))</f>
        <v>Em Aberto</v>
      </c>
      <c r="F10014" s="3">
        <f ca="1">IF(G10014=1,"-",Tabela2[[#This Row],[Dt Venc:]]-TODAY())</f>
        <v>1591</v>
      </c>
      <c r="G10014" s="3"/>
      <c r="H10014" s="3"/>
    </row>
    <row r="10015" spans="1:8">
      <c r="A10015" s="3">
        <v>901788</v>
      </c>
      <c r="B10015" s="7" t="s">
        <v>253</v>
      </c>
      <c r="C10015" s="99" t="s">
        <v>32</v>
      </c>
      <c r="D10015" s="6">
        <v>47284</v>
      </c>
      <c r="E10015" s="3" t="str">
        <f ca="1">IF(Tabela2[[#This Row],[Dt Venc:]]&gt;TODAY(),"Em Aberto",IF(Tabela2[[#This Row],[D/venc]]="-","Enviado",IF(Tabela2[[#This Row],[Dt Venc:]]=TODAY(),"Vence Hoje","Vencida")))</f>
        <v>Em Aberto</v>
      </c>
      <c r="F10015" s="3">
        <f ca="1">IF(G10015=1,"-",Tabela2[[#This Row],[Dt Venc:]]-TODAY())</f>
        <v>1591</v>
      </c>
      <c r="G10015" s="3"/>
      <c r="H10015" s="3"/>
    </row>
    <row r="10016" spans="1:8">
      <c r="A10016" s="3">
        <v>901789</v>
      </c>
      <c r="B10016" s="7" t="s">
        <v>253</v>
      </c>
      <c r="C10016" s="99" t="s">
        <v>32</v>
      </c>
      <c r="D10016" s="6">
        <v>47284</v>
      </c>
      <c r="E10016" s="3" t="str">
        <f ca="1">IF(Tabela2[[#This Row],[Dt Venc:]]&gt;TODAY(),"Em Aberto",IF(Tabela2[[#This Row],[D/venc]]="-","Enviado",IF(Tabela2[[#This Row],[Dt Venc:]]=TODAY(),"Vence Hoje","Vencida")))</f>
        <v>Em Aberto</v>
      </c>
      <c r="F10016" s="3">
        <f ca="1">IF(G10016=1,"-",Tabela2[[#This Row],[Dt Venc:]]-TODAY())</f>
        <v>1591</v>
      </c>
      <c r="G10016" s="3"/>
      <c r="H10016" s="3"/>
    </row>
    <row r="10017" spans="1:8">
      <c r="A10017" s="3">
        <v>912703</v>
      </c>
      <c r="B10017" s="7" t="s">
        <v>253</v>
      </c>
      <c r="C10017" s="99" t="s">
        <v>32</v>
      </c>
      <c r="D10017" s="6">
        <v>47284</v>
      </c>
      <c r="E10017" s="3" t="str">
        <f ca="1">IF(Tabela2[[#This Row],[Dt Venc:]]&gt;TODAY(),"Em Aberto",IF(Tabela2[[#This Row],[D/venc]]="-","Enviado",IF(Tabela2[[#This Row],[Dt Venc:]]=TODAY(),"Vence Hoje","Vencida")))</f>
        <v>Em Aberto</v>
      </c>
      <c r="F10017" s="3">
        <f ca="1">IF(G10017=1,"-",Tabela2[[#This Row],[Dt Venc:]]-TODAY())</f>
        <v>1591</v>
      </c>
      <c r="G10017" s="3"/>
      <c r="H10017" s="3"/>
    </row>
    <row r="10018" spans="1:8">
      <c r="A10018" s="3">
        <v>912704</v>
      </c>
      <c r="B10018" s="7" t="s">
        <v>253</v>
      </c>
      <c r="C10018" s="99" t="s">
        <v>32</v>
      </c>
      <c r="D10018" s="6">
        <v>47284</v>
      </c>
      <c r="E10018" s="3" t="str">
        <f ca="1">IF(Tabela2[[#This Row],[Dt Venc:]]&gt;TODAY(),"Em Aberto",IF(Tabela2[[#This Row],[D/venc]]="-","Enviado",IF(Tabela2[[#This Row],[Dt Venc:]]=TODAY(),"Vence Hoje","Vencida")))</f>
        <v>Em Aberto</v>
      </c>
      <c r="F10018" s="3">
        <f ca="1">IF(G10018=1,"-",Tabela2[[#This Row],[Dt Venc:]]-TODAY())</f>
        <v>1591</v>
      </c>
      <c r="G10018" s="3"/>
      <c r="H10018" s="3"/>
    </row>
    <row r="10019" spans="1:8">
      <c r="A10019" s="3">
        <v>919728</v>
      </c>
      <c r="B10019" s="7" t="s">
        <v>253</v>
      </c>
      <c r="C10019" s="85" t="s">
        <v>32</v>
      </c>
      <c r="D10019" s="6">
        <v>47284</v>
      </c>
      <c r="E10019" s="3" t="str">
        <f ca="1">IF(Tabela2[[#This Row],[Dt Venc:]]&gt;TODAY(),"Em Aberto",IF(Tabela2[[#This Row],[D/venc]]="-","Enviado",IF(Tabela2[[#This Row],[Dt Venc:]]=TODAY(),"Vence Hoje","Vencida")))</f>
        <v>Em Aberto</v>
      </c>
      <c r="F10019" s="3">
        <f ca="1">IF(G10019=1,"-",Tabela2[[#This Row],[Dt Venc:]]-TODAY())</f>
        <v>1591</v>
      </c>
      <c r="G10019" s="3"/>
      <c r="H10019" s="3"/>
    </row>
    <row r="10020" spans="1:8">
      <c r="A10020" s="3">
        <v>919729</v>
      </c>
      <c r="B10020" s="7" t="s">
        <v>253</v>
      </c>
      <c r="C10020" s="87" t="s">
        <v>32</v>
      </c>
      <c r="D10020" s="6">
        <v>47284</v>
      </c>
      <c r="E10020" s="3" t="str">
        <f ca="1">IF(Tabela2[[#This Row],[Dt Venc:]]&gt;TODAY(),"Em Aberto",IF(Tabela2[[#This Row],[D/venc]]="-","Enviado",IF(Tabela2[[#This Row],[Dt Venc:]]=TODAY(),"Vence Hoje","Vencida")))</f>
        <v>Em Aberto</v>
      </c>
      <c r="F10020" s="3">
        <f ca="1">IF(G10020=1,"-",Tabela2[[#This Row],[Dt Venc:]]-TODAY())</f>
        <v>1591</v>
      </c>
      <c r="G10020" s="3"/>
      <c r="H10020" s="3"/>
    </row>
    <row r="10021" spans="1:8">
      <c r="A10021" s="3">
        <v>495914</v>
      </c>
      <c r="B10021" s="7" t="s">
        <v>153</v>
      </c>
      <c r="C10021" s="99" t="s">
        <v>32</v>
      </c>
      <c r="D10021" s="6">
        <v>47294</v>
      </c>
      <c r="E10021" s="3" t="str">
        <f ca="1">IF(Tabela2[[#This Row],[Dt Venc:]]&gt;TODAY(),"Em Aberto",IF(Tabela2[[#This Row],[D/venc]]="-","Enviado",IF(Tabela2[[#This Row],[Dt Venc:]]=TODAY(),"Vence Hoje","Vencida")))</f>
        <v>Em Aberto</v>
      </c>
      <c r="F10021" s="3">
        <f ca="1">IF(G10021=1,"-",Tabela2[[#This Row],[Dt Venc:]]-TODAY())</f>
        <v>1601</v>
      </c>
      <c r="G10021" s="3"/>
      <c r="H10021" s="3"/>
    </row>
    <row r="10022" spans="1:8">
      <c r="A10022" s="3">
        <v>11681</v>
      </c>
      <c r="B10022" s="7" t="s">
        <v>82</v>
      </c>
      <c r="C10022" s="87" t="s">
        <v>30</v>
      </c>
      <c r="D10022" s="6">
        <v>47299</v>
      </c>
      <c r="E10022" s="3" t="str">
        <f ca="1">IF(Tabela2[[#This Row],[Dt Venc:]]&gt;TODAY(),"Em Aberto",IF(Tabela2[[#This Row],[D/venc]]="-","Enviado",IF(Tabela2[[#This Row],[Dt Venc:]]=TODAY(),"Vence Hoje","Vencida")))</f>
        <v>Em Aberto</v>
      </c>
      <c r="F10022" s="3">
        <f ca="1">IF(G10022=1,"-",Tabela2[[#This Row],[Dt Venc:]]-TODAY())</f>
        <v>1606</v>
      </c>
      <c r="G10022" s="3"/>
      <c r="H10022" s="3"/>
    </row>
    <row r="10023" spans="1:8">
      <c r="A10023" s="3">
        <v>284620</v>
      </c>
      <c r="B10023" s="7" t="s">
        <v>153</v>
      </c>
      <c r="C10023" s="99" t="s">
        <v>32</v>
      </c>
      <c r="D10023" s="6">
        <v>47307</v>
      </c>
      <c r="E10023" s="3" t="str">
        <f ca="1">IF(Tabela2[[#This Row],[Dt Venc:]]&gt;TODAY(),"Em Aberto",IF(Tabela2[[#This Row],[D/venc]]="-","Enviado",IF(Tabela2[[#This Row],[Dt Venc:]]=TODAY(),"Vence Hoje","Vencida")))</f>
        <v>Em Aberto</v>
      </c>
      <c r="F10023" s="3">
        <f ca="1">IF(G10023=1,"-",Tabela2[[#This Row],[Dt Venc:]]-TODAY())</f>
        <v>1614</v>
      </c>
      <c r="G10023" s="3"/>
      <c r="H10023" s="3"/>
    </row>
    <row r="10024" spans="1:8">
      <c r="A10024" s="3">
        <v>562</v>
      </c>
      <c r="B10024" s="7" t="s">
        <v>251</v>
      </c>
      <c r="C10024" s="99" t="s">
        <v>32</v>
      </c>
      <c r="D10024" s="6">
        <v>47314</v>
      </c>
      <c r="E10024" s="3" t="str">
        <f ca="1">IF(Tabela2[[#This Row],[Dt Venc:]]&gt;TODAY(),"Em Aberto",IF(Tabela2[[#This Row],[D/venc]]="-","Enviado",IF(Tabela2[[#This Row],[Dt Venc:]]=TODAY(),"Vence Hoje","Vencida")))</f>
        <v>Em Aberto</v>
      </c>
      <c r="F10024" s="3">
        <f ca="1">IF(G10024=1,"-",Tabela2[[#This Row],[Dt Venc:]]-TODAY())</f>
        <v>1621</v>
      </c>
      <c r="G10024" s="3"/>
      <c r="H10024" s="3"/>
    </row>
    <row r="10025" spans="1:8">
      <c r="A10025" s="3">
        <v>361229</v>
      </c>
      <c r="B10025" s="7" t="s">
        <v>250</v>
      </c>
      <c r="C10025" s="99" t="s">
        <v>32</v>
      </c>
      <c r="D10025" s="6">
        <v>47314</v>
      </c>
      <c r="E10025" s="3" t="str">
        <f ca="1">IF(Tabela2[[#This Row],[Dt Venc:]]&gt;TODAY(),"Em Aberto",IF(Tabela2[[#This Row],[D/venc]]="-","Enviado",IF(Tabela2[[#This Row],[Dt Venc:]]=TODAY(),"Vence Hoje","Vencida")))</f>
        <v>Em Aberto</v>
      </c>
      <c r="F10025" s="3">
        <f ca="1">IF(G10025=1,"-",Tabela2[[#This Row],[Dt Venc:]]-TODAY())</f>
        <v>1621</v>
      </c>
      <c r="G10025" s="3"/>
      <c r="H10025" s="3"/>
    </row>
    <row r="10026" spans="1:8">
      <c r="A10026" s="3">
        <v>361237</v>
      </c>
      <c r="B10026" s="7" t="s">
        <v>250</v>
      </c>
      <c r="C10026" s="99" t="s">
        <v>32</v>
      </c>
      <c r="D10026" s="6">
        <v>47314</v>
      </c>
      <c r="E10026" s="3" t="str">
        <f ca="1">IF(Tabela2[[#This Row],[Dt Venc:]]&gt;TODAY(),"Em Aberto",IF(Tabela2[[#This Row],[D/venc]]="-","Enviado",IF(Tabela2[[#This Row],[Dt Venc:]]=TODAY(),"Vence Hoje","Vencida")))</f>
        <v>Em Aberto</v>
      </c>
      <c r="F10026" s="3">
        <f ca="1">IF(G10026=1,"-",Tabela2[[#This Row],[Dt Venc:]]-TODAY())</f>
        <v>1621</v>
      </c>
      <c r="G10026" s="3"/>
      <c r="H10026" s="3"/>
    </row>
    <row r="10027" spans="1:8">
      <c r="A10027" s="3">
        <v>365658</v>
      </c>
      <c r="B10027" s="7" t="s">
        <v>250</v>
      </c>
      <c r="C10027" s="99" t="s">
        <v>32</v>
      </c>
      <c r="D10027" s="6">
        <v>47314</v>
      </c>
      <c r="E10027" s="3" t="str">
        <f ca="1">IF(Tabela2[[#This Row],[Dt Venc:]]&gt;TODAY(),"Em Aberto",IF(Tabela2[[#This Row],[D/venc]]="-","Enviado",IF(Tabela2[[#This Row],[Dt Venc:]]=TODAY(),"Vence Hoje","Vencida")))</f>
        <v>Em Aberto</v>
      </c>
      <c r="F10027" s="3">
        <f ca="1">IF(G10027=1,"-",Tabela2[[#This Row],[Dt Venc:]]-TODAY())</f>
        <v>1621</v>
      </c>
      <c r="G10027" s="3"/>
      <c r="H10027" s="3"/>
    </row>
    <row r="10028" spans="1:8">
      <c r="A10028" s="3">
        <v>365666</v>
      </c>
      <c r="B10028" s="7" t="s">
        <v>250</v>
      </c>
      <c r="C10028" s="99" t="s">
        <v>32</v>
      </c>
      <c r="D10028" s="6">
        <v>47314</v>
      </c>
      <c r="E10028" s="3" t="str">
        <f ca="1">IF(Tabela2[[#This Row],[Dt Venc:]]&gt;TODAY(),"Em Aberto",IF(Tabela2[[#This Row],[D/venc]]="-","Enviado",IF(Tabela2[[#This Row],[Dt Venc:]]=TODAY(),"Vence Hoje","Vencida")))</f>
        <v>Em Aberto</v>
      </c>
      <c r="F10028" s="3">
        <f ca="1">IF(G10028=1,"-",Tabela2[[#This Row],[Dt Venc:]]-TODAY())</f>
        <v>1621</v>
      </c>
      <c r="G10028" s="3"/>
      <c r="H10028" s="3"/>
    </row>
    <row r="10029" spans="1:8">
      <c r="A10029" s="3">
        <v>365674</v>
      </c>
      <c r="B10029" s="7" t="s">
        <v>250</v>
      </c>
      <c r="C10029" s="99" t="s">
        <v>32</v>
      </c>
      <c r="D10029" s="6">
        <v>47314</v>
      </c>
      <c r="E10029" s="3" t="str">
        <f ca="1">IF(Tabela2[[#This Row],[Dt Venc:]]&gt;TODAY(),"Em Aberto",IF(Tabela2[[#This Row],[D/venc]]="-","Enviado",IF(Tabela2[[#This Row],[Dt Venc:]]=TODAY(),"Vence Hoje","Vencida")))</f>
        <v>Em Aberto</v>
      </c>
      <c r="F10029" s="3">
        <f ca="1">IF(G10029=1,"-",Tabela2[[#This Row],[Dt Venc:]]-TODAY())</f>
        <v>1621</v>
      </c>
      <c r="G10029" s="3"/>
      <c r="H10029" s="3"/>
    </row>
    <row r="10030" spans="1:8">
      <c r="A10030" s="3">
        <v>365682</v>
      </c>
      <c r="B10030" s="7" t="s">
        <v>250</v>
      </c>
      <c r="C10030" s="99" t="s">
        <v>32</v>
      </c>
      <c r="D10030" s="6">
        <v>47314</v>
      </c>
      <c r="E10030" s="3" t="str">
        <f ca="1">IF(Tabela2[[#This Row],[Dt Venc:]]&gt;TODAY(),"Em Aberto",IF(Tabela2[[#This Row],[D/venc]]="-","Enviado",IF(Tabela2[[#This Row],[Dt Venc:]]=TODAY(),"Vence Hoje","Vencida")))</f>
        <v>Em Aberto</v>
      </c>
      <c r="F10030" s="3">
        <f ca="1">IF(G10030=1,"-",Tabela2[[#This Row],[Dt Venc:]]-TODAY())</f>
        <v>1621</v>
      </c>
      <c r="G10030" s="3"/>
      <c r="H10030" s="3"/>
    </row>
    <row r="10031" spans="1:8">
      <c r="A10031" s="3">
        <v>369335</v>
      </c>
      <c r="B10031" s="7" t="s">
        <v>543</v>
      </c>
      <c r="C10031" s="87" t="s">
        <v>32</v>
      </c>
      <c r="D10031" s="6">
        <v>47314</v>
      </c>
      <c r="E10031" s="3" t="str">
        <f ca="1">IF(Tabela2[[#This Row],[Dt Venc:]]&gt;TODAY(),"Em Aberto",IF(Tabela2[[#This Row],[D/venc]]="-","Enviado",IF(Tabela2[[#This Row],[Dt Venc:]]=TODAY(),"Vence Hoje","Vencida")))</f>
        <v>Em Aberto</v>
      </c>
      <c r="F10031" s="3">
        <f ca="1">IF(G10031=1,"-",Tabela2[[#This Row],[Dt Venc:]]-TODAY())</f>
        <v>1621</v>
      </c>
      <c r="G10031" s="3"/>
      <c r="H10031" s="3"/>
    </row>
    <row r="10032" spans="1:8">
      <c r="A10032" s="3">
        <v>369696</v>
      </c>
      <c r="B10032" s="7" t="s">
        <v>543</v>
      </c>
      <c r="C10032" s="87" t="s">
        <v>32</v>
      </c>
      <c r="D10032" s="6">
        <v>47314</v>
      </c>
      <c r="E10032" s="3" t="str">
        <f ca="1">IF(Tabela2[[#This Row],[Dt Venc:]]&gt;TODAY(),"Em Aberto",IF(Tabela2[[#This Row],[D/venc]]="-","Enviado",IF(Tabela2[[#This Row],[Dt Venc:]]=TODAY(),"Vence Hoje","Vencida")))</f>
        <v>Em Aberto</v>
      </c>
      <c r="F10032" s="3">
        <f ca="1">IF(G10032=1,"-",Tabela2[[#This Row],[Dt Venc:]]-TODAY())</f>
        <v>1621</v>
      </c>
      <c r="G10032" s="3"/>
      <c r="H10032" s="3"/>
    </row>
    <row r="10033" spans="1:8">
      <c r="A10033" s="3">
        <v>369726</v>
      </c>
      <c r="B10033" s="7" t="s">
        <v>543</v>
      </c>
      <c r="C10033" s="87" t="s">
        <v>32</v>
      </c>
      <c r="D10033" s="6">
        <v>47314</v>
      </c>
      <c r="E10033" s="3" t="str">
        <f ca="1">IF(Tabela2[[#This Row],[Dt Venc:]]&gt;TODAY(),"Em Aberto",IF(Tabela2[[#This Row],[D/venc]]="-","Enviado",IF(Tabela2[[#This Row],[Dt Venc:]]=TODAY(),"Vence Hoje","Vencida")))</f>
        <v>Em Aberto</v>
      </c>
      <c r="F10033" s="3">
        <f ca="1">IF(G10033=1,"-",Tabela2[[#This Row],[Dt Venc:]]-TODAY())</f>
        <v>1621</v>
      </c>
      <c r="G10033" s="3"/>
      <c r="H10033" s="3"/>
    </row>
    <row r="10034" spans="1:8">
      <c r="A10034" s="3">
        <v>369751</v>
      </c>
      <c r="B10034" s="7" t="s">
        <v>543</v>
      </c>
      <c r="C10034" s="87" t="s">
        <v>32</v>
      </c>
      <c r="D10034" s="6">
        <v>47314</v>
      </c>
      <c r="E10034" s="3" t="str">
        <f ca="1">IF(Tabela2[[#This Row],[Dt Venc:]]&gt;TODAY(),"Em Aberto",IF(Tabela2[[#This Row],[D/venc]]="-","Enviado",IF(Tabela2[[#This Row],[Dt Venc:]]=TODAY(),"Vence Hoje","Vencida")))</f>
        <v>Em Aberto</v>
      </c>
      <c r="F10034" s="3">
        <f ca="1">IF(G10034=1,"-",Tabela2[[#This Row],[Dt Venc:]]-TODAY())</f>
        <v>1621</v>
      </c>
      <c r="G10034" s="3"/>
      <c r="H10034" s="3"/>
    </row>
    <row r="10035" spans="1:8">
      <c r="A10035" s="3">
        <v>370201</v>
      </c>
      <c r="B10035" s="7" t="s">
        <v>543</v>
      </c>
      <c r="C10035" s="87" t="s">
        <v>32</v>
      </c>
      <c r="D10035" s="6">
        <v>47314</v>
      </c>
      <c r="E10035" s="3" t="str">
        <f ca="1">IF(Tabela2[[#This Row],[Dt Venc:]]&gt;TODAY(),"Em Aberto",IF(Tabela2[[#This Row],[D/venc]]="-","Enviado",IF(Tabela2[[#This Row],[Dt Venc:]]=TODAY(),"Vence Hoje","Vencida")))</f>
        <v>Em Aberto</v>
      </c>
      <c r="F10035" s="3">
        <f ca="1">IF(G10035=1,"-",Tabela2[[#This Row],[Dt Venc:]]-TODAY())</f>
        <v>1621</v>
      </c>
      <c r="G10035" s="3"/>
      <c r="H10035" s="3"/>
    </row>
    <row r="10036" spans="1:8">
      <c r="A10036" s="3">
        <v>370864</v>
      </c>
      <c r="B10036" s="7" t="s">
        <v>543</v>
      </c>
      <c r="C10036" s="87" t="s">
        <v>32</v>
      </c>
      <c r="D10036" s="6">
        <v>47314</v>
      </c>
      <c r="E10036" s="3" t="str">
        <f ca="1">IF(Tabela2[[#This Row],[Dt Venc:]]&gt;TODAY(),"Em Aberto",IF(Tabela2[[#This Row],[D/venc]]="-","Enviado",IF(Tabela2[[#This Row],[Dt Venc:]]=TODAY(),"Vence Hoje","Vencida")))</f>
        <v>Em Aberto</v>
      </c>
      <c r="F10036" s="3">
        <f ca="1">IF(G10036=1,"-",Tabela2[[#This Row],[Dt Venc:]]-TODAY())</f>
        <v>1621</v>
      </c>
      <c r="G10036" s="3"/>
      <c r="H10036" s="3"/>
    </row>
    <row r="10037" spans="1:8">
      <c r="A10037" s="3">
        <v>371011</v>
      </c>
      <c r="B10037" s="7" t="s">
        <v>633</v>
      </c>
      <c r="C10037" s="87" t="s">
        <v>32</v>
      </c>
      <c r="D10037" s="6">
        <v>47314</v>
      </c>
      <c r="E10037" s="3" t="str">
        <f ca="1">IF(Tabela2[[#This Row],[Dt Venc:]]&gt;TODAY(),"Em Aberto",IF(Tabela2[[#This Row],[D/venc]]="-","Enviado",IF(Tabela2[[#This Row],[Dt Venc:]]=TODAY(),"Vence Hoje","Vencida")))</f>
        <v>Em Aberto</v>
      </c>
      <c r="F10037" s="3">
        <f ca="1">IF(G10037=1,"-",Tabela2[[#This Row],[Dt Venc:]]-TODAY())</f>
        <v>1621</v>
      </c>
      <c r="G10037" s="3"/>
      <c r="H10037" s="3"/>
    </row>
    <row r="10038" spans="1:8">
      <c r="A10038" s="3">
        <v>371160</v>
      </c>
      <c r="B10038" s="7" t="s">
        <v>633</v>
      </c>
      <c r="C10038" s="87" t="s">
        <v>32</v>
      </c>
      <c r="D10038" s="6">
        <v>47314</v>
      </c>
      <c r="E10038" s="3" t="str">
        <f ca="1">IF(Tabela2[[#This Row],[Dt Venc:]]&gt;TODAY(),"Em Aberto",IF(Tabela2[[#This Row],[D/venc]]="-","Enviado",IF(Tabela2[[#This Row],[Dt Venc:]]=TODAY(),"Vence Hoje","Vencida")))</f>
        <v>Em Aberto</v>
      </c>
      <c r="F10038" s="3">
        <f ca="1">IF(G10038=1,"-",Tabela2[[#This Row],[Dt Venc:]]-TODAY())</f>
        <v>1621</v>
      </c>
      <c r="G10038" s="3"/>
      <c r="H10038" s="3"/>
    </row>
    <row r="10039" spans="1:8">
      <c r="A10039" s="3">
        <v>892178</v>
      </c>
      <c r="B10039" s="7" t="s">
        <v>253</v>
      </c>
      <c r="C10039" s="99" t="s">
        <v>32</v>
      </c>
      <c r="D10039" s="6">
        <v>47314</v>
      </c>
      <c r="E10039" s="3" t="str">
        <f ca="1">IF(Tabela2[[#This Row],[Dt Venc:]]&gt;TODAY(),"Em Aberto",IF(Tabela2[[#This Row],[D/venc]]="-","Enviado",IF(Tabela2[[#This Row],[Dt Venc:]]=TODAY(),"Vence Hoje","Vencida")))</f>
        <v>Em Aberto</v>
      </c>
      <c r="F10039" s="3">
        <f ca="1">IF(G10039=1,"-",Tabela2[[#This Row],[Dt Venc:]]-TODAY())</f>
        <v>1621</v>
      </c>
      <c r="G10039" s="3"/>
      <c r="H10039" s="3"/>
    </row>
    <row r="10040" spans="1:8">
      <c r="A10040" s="3">
        <v>894135</v>
      </c>
      <c r="B10040" s="7" t="s">
        <v>253</v>
      </c>
      <c r="C10040" s="100" t="s">
        <v>32</v>
      </c>
      <c r="D10040" s="6">
        <v>47314</v>
      </c>
      <c r="E10040" s="3" t="str">
        <f ca="1">IF(Tabela2[[#This Row],[Dt Venc:]]&gt;TODAY(),"Em Aberto",IF(Tabela2[[#This Row],[D/venc]]="-","Enviado",IF(Tabela2[[#This Row],[Dt Venc:]]=TODAY(),"Vence Hoje","Vencida")))</f>
        <v>Em Aberto</v>
      </c>
      <c r="F10040" s="3">
        <f ca="1">IF(G10040=1,"-",Tabela2[[#This Row],[Dt Venc:]]-TODAY())</f>
        <v>1621</v>
      </c>
      <c r="G10040" s="3"/>
      <c r="H10040" s="3"/>
    </row>
    <row r="10041" spans="1:8">
      <c r="A10041" s="3">
        <v>896565</v>
      </c>
      <c r="B10041" s="7" t="s">
        <v>253</v>
      </c>
      <c r="C10041" s="99" t="s">
        <v>32</v>
      </c>
      <c r="D10041" s="6">
        <v>47314</v>
      </c>
      <c r="E10041" s="3" t="str">
        <f ca="1">IF(Tabela2[[#This Row],[Dt Venc:]]&gt;TODAY(),"Em Aberto",IF(Tabela2[[#This Row],[D/venc]]="-","Enviado",IF(Tabela2[[#This Row],[Dt Venc:]]=TODAY(),"Vence Hoje","Vencida")))</f>
        <v>Em Aberto</v>
      </c>
      <c r="F10041" s="3">
        <f ca="1">IF(G10041=1,"-",Tabela2[[#This Row],[Dt Venc:]]-TODAY())</f>
        <v>1621</v>
      </c>
      <c r="G10041" s="3"/>
      <c r="H10041" s="3"/>
    </row>
    <row r="10042" spans="1:8">
      <c r="A10042" s="3">
        <v>900386</v>
      </c>
      <c r="B10042" s="7" t="s">
        <v>253</v>
      </c>
      <c r="C10042" s="99" t="s">
        <v>32</v>
      </c>
      <c r="D10042" s="6">
        <v>47314</v>
      </c>
      <c r="E10042" s="3" t="str">
        <f ca="1">IF(Tabela2[[#This Row],[Dt Venc:]]&gt;TODAY(),"Em Aberto",IF(Tabela2[[#This Row],[D/venc]]="-","Enviado",IF(Tabela2[[#This Row],[Dt Venc:]]=TODAY(),"Vence Hoje","Vencida")))</f>
        <v>Em Aberto</v>
      </c>
      <c r="F10042" s="3">
        <f ca="1">IF(G10042=1,"-",Tabela2[[#This Row],[Dt Venc:]]-TODAY())</f>
        <v>1621</v>
      </c>
      <c r="G10042" s="3"/>
      <c r="H10042" s="3"/>
    </row>
    <row r="10043" spans="1:8">
      <c r="A10043" s="3">
        <v>901787</v>
      </c>
      <c r="B10043" s="7" t="s">
        <v>253</v>
      </c>
      <c r="C10043" s="99" t="s">
        <v>32</v>
      </c>
      <c r="D10043" s="6">
        <v>47314</v>
      </c>
      <c r="E10043" s="3" t="str">
        <f ca="1">IF(Tabela2[[#This Row],[Dt Venc:]]&gt;TODAY(),"Em Aberto",IF(Tabela2[[#This Row],[D/venc]]="-","Enviado",IF(Tabela2[[#This Row],[Dt Venc:]]=TODAY(),"Vence Hoje","Vencida")))</f>
        <v>Em Aberto</v>
      </c>
      <c r="F10043" s="3">
        <f ca="1">IF(G10043=1,"-",Tabela2[[#This Row],[Dt Venc:]]-TODAY())</f>
        <v>1621</v>
      </c>
      <c r="G10043" s="3"/>
      <c r="H10043" s="3"/>
    </row>
    <row r="10044" spans="1:8">
      <c r="A10044" s="3">
        <v>901788</v>
      </c>
      <c r="B10044" s="7" t="s">
        <v>253</v>
      </c>
      <c r="C10044" s="99" t="s">
        <v>32</v>
      </c>
      <c r="D10044" s="6">
        <v>47314</v>
      </c>
      <c r="E10044" s="3" t="str">
        <f ca="1">IF(Tabela2[[#This Row],[Dt Venc:]]&gt;TODAY(),"Em Aberto",IF(Tabela2[[#This Row],[D/venc]]="-","Enviado",IF(Tabela2[[#This Row],[Dt Venc:]]=TODAY(),"Vence Hoje","Vencida")))</f>
        <v>Em Aberto</v>
      </c>
      <c r="F10044" s="3">
        <f ca="1">IF(G10044=1,"-",Tabela2[[#This Row],[Dt Venc:]]-TODAY())</f>
        <v>1621</v>
      </c>
      <c r="G10044" s="3"/>
      <c r="H10044" s="3"/>
    </row>
    <row r="10045" spans="1:8">
      <c r="A10045" s="3">
        <v>901789</v>
      </c>
      <c r="B10045" s="7" t="s">
        <v>253</v>
      </c>
      <c r="C10045" s="99" t="s">
        <v>32</v>
      </c>
      <c r="D10045" s="6">
        <v>47314</v>
      </c>
      <c r="E10045" s="3" t="str">
        <f ca="1">IF(Tabela2[[#This Row],[Dt Venc:]]&gt;TODAY(),"Em Aberto",IF(Tabela2[[#This Row],[D/venc]]="-","Enviado",IF(Tabela2[[#This Row],[Dt Venc:]]=TODAY(),"Vence Hoje","Vencida")))</f>
        <v>Em Aberto</v>
      </c>
      <c r="F10045" s="3">
        <f ca="1">IF(G10045=1,"-",Tabela2[[#This Row],[Dt Venc:]]-TODAY())</f>
        <v>1621</v>
      </c>
      <c r="G10045" s="3"/>
      <c r="H10045" s="3"/>
    </row>
    <row r="10046" spans="1:8">
      <c r="A10046" s="3">
        <v>912703</v>
      </c>
      <c r="B10046" s="7" t="s">
        <v>253</v>
      </c>
      <c r="C10046" s="99" t="s">
        <v>32</v>
      </c>
      <c r="D10046" s="6">
        <v>47314</v>
      </c>
      <c r="E10046" s="3" t="str">
        <f ca="1">IF(Tabela2[[#This Row],[Dt Venc:]]&gt;TODAY(),"Em Aberto",IF(Tabela2[[#This Row],[D/venc]]="-","Enviado",IF(Tabela2[[#This Row],[Dt Venc:]]=TODAY(),"Vence Hoje","Vencida")))</f>
        <v>Em Aberto</v>
      </c>
      <c r="F10046" s="3">
        <f ca="1">IF(G10046=1,"-",Tabela2[[#This Row],[Dt Venc:]]-TODAY())</f>
        <v>1621</v>
      </c>
      <c r="G10046" s="3"/>
      <c r="H10046" s="3"/>
    </row>
    <row r="10047" spans="1:8">
      <c r="A10047" s="3">
        <v>912704</v>
      </c>
      <c r="B10047" s="7" t="s">
        <v>253</v>
      </c>
      <c r="C10047" s="99" t="s">
        <v>32</v>
      </c>
      <c r="D10047" s="6">
        <v>47314</v>
      </c>
      <c r="E10047" s="3" t="str">
        <f ca="1">IF(Tabela2[[#This Row],[Dt Venc:]]&gt;TODAY(),"Em Aberto",IF(Tabela2[[#This Row],[D/venc]]="-","Enviado",IF(Tabela2[[#This Row],[Dt Venc:]]=TODAY(),"Vence Hoje","Vencida")))</f>
        <v>Em Aberto</v>
      </c>
      <c r="F10047" s="3">
        <f ca="1">IF(G10047=1,"-",Tabela2[[#This Row],[Dt Venc:]]-TODAY())</f>
        <v>1621</v>
      </c>
      <c r="G10047" s="3"/>
      <c r="H10047" s="3"/>
    </row>
    <row r="10048" spans="1:8">
      <c r="A10048" s="3">
        <v>919728</v>
      </c>
      <c r="B10048" s="7" t="s">
        <v>253</v>
      </c>
      <c r="C10048" s="87" t="s">
        <v>32</v>
      </c>
      <c r="D10048" s="6">
        <v>47314</v>
      </c>
      <c r="E10048" s="3" t="str">
        <f ca="1">IF(Tabela2[[#This Row],[Dt Venc:]]&gt;TODAY(),"Em Aberto",IF(Tabela2[[#This Row],[D/venc]]="-","Enviado",IF(Tabela2[[#This Row],[Dt Venc:]]=TODAY(),"Vence Hoje","Vencida")))</f>
        <v>Em Aberto</v>
      </c>
      <c r="F10048" s="3">
        <f ca="1">IF(G10048=1,"-",Tabela2[[#This Row],[Dt Venc:]]-TODAY())</f>
        <v>1621</v>
      </c>
      <c r="G10048" s="3"/>
      <c r="H10048" s="3"/>
    </row>
    <row r="10049" spans="1:8">
      <c r="A10049" s="3">
        <v>919729</v>
      </c>
      <c r="B10049" s="7" t="s">
        <v>253</v>
      </c>
      <c r="C10049" s="87" t="s">
        <v>32</v>
      </c>
      <c r="D10049" s="6">
        <v>47314</v>
      </c>
      <c r="E10049" s="3" t="str">
        <f ca="1">IF(Tabela2[[#This Row],[Dt Venc:]]&gt;TODAY(),"Em Aberto",IF(Tabela2[[#This Row],[D/venc]]="-","Enviado",IF(Tabela2[[#This Row],[Dt Venc:]]=TODAY(),"Vence Hoje","Vencida")))</f>
        <v>Em Aberto</v>
      </c>
      <c r="F10049" s="3">
        <f ca="1">IF(G10049=1,"-",Tabela2[[#This Row],[Dt Venc:]]-TODAY())</f>
        <v>1621</v>
      </c>
      <c r="G10049" s="3"/>
      <c r="H10049" s="3"/>
    </row>
    <row r="10050" spans="1:8">
      <c r="A10050" s="3">
        <v>495914</v>
      </c>
      <c r="B10050" s="7" t="s">
        <v>153</v>
      </c>
      <c r="C10050" s="100" t="s">
        <v>32</v>
      </c>
      <c r="D10050" s="6">
        <v>47324</v>
      </c>
      <c r="E10050" s="3" t="str">
        <f ca="1">IF(Tabela2[[#This Row],[Dt Venc:]]&gt;TODAY(),"Em Aberto",IF(Tabela2[[#This Row],[D/venc]]="-","Enviado",IF(Tabela2[[#This Row],[Dt Venc:]]=TODAY(),"Vence Hoje","Vencida")))</f>
        <v>Em Aberto</v>
      </c>
      <c r="F10050" s="3">
        <f ca="1">IF(G10050=1,"-",Tabela2[[#This Row],[Dt Venc:]]-TODAY())</f>
        <v>1631</v>
      </c>
      <c r="G10050" s="3"/>
      <c r="H10050" s="3"/>
    </row>
    <row r="10051" spans="1:8">
      <c r="A10051" s="3">
        <v>11681</v>
      </c>
      <c r="B10051" s="7" t="s">
        <v>82</v>
      </c>
      <c r="C10051" s="87" t="s">
        <v>30</v>
      </c>
      <c r="D10051" s="6">
        <v>47330</v>
      </c>
      <c r="E10051" s="3" t="str">
        <f ca="1">IF(Tabela2[[#This Row],[Dt Venc:]]&gt;TODAY(),"Em Aberto",IF(Tabela2[[#This Row],[D/venc]]="-","Enviado",IF(Tabela2[[#This Row],[Dt Venc:]]=TODAY(),"Vence Hoje","Vencida")))</f>
        <v>Em Aberto</v>
      </c>
      <c r="F10051" s="3">
        <f ca="1">IF(G10051=1,"-",Tabela2[[#This Row],[Dt Venc:]]-TODAY())</f>
        <v>1637</v>
      </c>
      <c r="G10051" s="3"/>
      <c r="H10051" s="3"/>
    </row>
    <row r="10052" spans="1:8">
      <c r="A10052" s="3">
        <v>284620</v>
      </c>
      <c r="B10052" s="7" t="s">
        <v>153</v>
      </c>
      <c r="C10052" s="100" t="s">
        <v>32</v>
      </c>
      <c r="D10052" s="6">
        <v>47338</v>
      </c>
      <c r="E10052" s="3" t="str">
        <f ca="1">IF(Tabela2[[#This Row],[Dt Venc:]]&gt;TODAY(),"Em Aberto",IF(Tabela2[[#This Row],[D/venc]]="-","Enviado",IF(Tabela2[[#This Row],[Dt Venc:]]=TODAY(),"Vence Hoje","Vencida")))</f>
        <v>Em Aberto</v>
      </c>
      <c r="F10052" s="3">
        <f ca="1">IF(G10052=1,"-",Tabela2[[#This Row],[Dt Venc:]]-TODAY())</f>
        <v>1645</v>
      </c>
      <c r="G10052" s="3"/>
      <c r="H10052" s="3"/>
    </row>
    <row r="10053" spans="1:8">
      <c r="A10053" s="3">
        <v>562</v>
      </c>
      <c r="B10053" s="7" t="s">
        <v>251</v>
      </c>
      <c r="C10053" s="100" t="s">
        <v>32</v>
      </c>
      <c r="D10053" s="6">
        <v>47345</v>
      </c>
      <c r="E10053" s="3" t="str">
        <f ca="1">IF(Tabela2[[#This Row],[Dt Venc:]]&gt;TODAY(),"Em Aberto",IF(Tabela2[[#This Row],[D/venc]]="-","Enviado",IF(Tabela2[[#This Row],[Dt Venc:]]=TODAY(),"Vence Hoje","Vencida")))</f>
        <v>Em Aberto</v>
      </c>
      <c r="F10053" s="3">
        <f ca="1">IF(G10053=1,"-",Tabela2[[#This Row],[Dt Venc:]]-TODAY())</f>
        <v>1652</v>
      </c>
      <c r="G10053" s="3"/>
      <c r="H10053" s="3"/>
    </row>
    <row r="10054" spans="1:8">
      <c r="A10054" s="3">
        <v>361229</v>
      </c>
      <c r="B10054" s="7" t="s">
        <v>250</v>
      </c>
      <c r="C10054" s="100" t="s">
        <v>32</v>
      </c>
      <c r="D10054" s="6">
        <v>47345</v>
      </c>
      <c r="E10054" s="3" t="str">
        <f ca="1">IF(Tabela2[[#This Row],[Dt Venc:]]&gt;TODAY(),"Em Aberto",IF(Tabela2[[#This Row],[D/venc]]="-","Enviado",IF(Tabela2[[#This Row],[Dt Venc:]]=TODAY(),"Vence Hoje","Vencida")))</f>
        <v>Em Aberto</v>
      </c>
      <c r="F10054" s="3">
        <f ca="1">IF(G10054=1,"-",Tabela2[[#This Row],[Dt Venc:]]-TODAY())</f>
        <v>1652</v>
      </c>
      <c r="G10054" s="3"/>
      <c r="H10054" s="3"/>
    </row>
    <row r="10055" spans="1:8">
      <c r="A10055" s="3">
        <v>361237</v>
      </c>
      <c r="B10055" s="7" t="s">
        <v>250</v>
      </c>
      <c r="C10055" s="100" t="s">
        <v>32</v>
      </c>
      <c r="D10055" s="6">
        <v>47345</v>
      </c>
      <c r="E10055" s="3" t="str">
        <f ca="1">IF(Tabela2[[#This Row],[Dt Venc:]]&gt;TODAY(),"Em Aberto",IF(Tabela2[[#This Row],[D/venc]]="-","Enviado",IF(Tabela2[[#This Row],[Dt Venc:]]=TODAY(),"Vence Hoje","Vencida")))</f>
        <v>Em Aberto</v>
      </c>
      <c r="F10055" s="3">
        <f ca="1">IF(G10055=1,"-",Tabela2[[#This Row],[Dt Venc:]]-TODAY())</f>
        <v>1652</v>
      </c>
      <c r="G10055" s="3"/>
      <c r="H10055" s="3"/>
    </row>
    <row r="10056" spans="1:8">
      <c r="A10056" s="3">
        <v>365658</v>
      </c>
      <c r="B10056" s="7" t="s">
        <v>250</v>
      </c>
      <c r="C10056" s="100" t="s">
        <v>32</v>
      </c>
      <c r="D10056" s="6">
        <v>47345</v>
      </c>
      <c r="E10056" s="3" t="str">
        <f ca="1">IF(Tabela2[[#This Row],[Dt Venc:]]&gt;TODAY(),"Em Aberto",IF(Tabela2[[#This Row],[D/venc]]="-","Enviado",IF(Tabela2[[#This Row],[Dt Venc:]]=TODAY(),"Vence Hoje","Vencida")))</f>
        <v>Em Aberto</v>
      </c>
      <c r="F10056" s="3">
        <f ca="1">IF(G10056=1,"-",Tabela2[[#This Row],[Dt Venc:]]-TODAY())</f>
        <v>1652</v>
      </c>
      <c r="G10056" s="3"/>
      <c r="H10056" s="3"/>
    </row>
    <row r="10057" spans="1:8">
      <c r="A10057" s="3">
        <v>365666</v>
      </c>
      <c r="B10057" s="7" t="s">
        <v>250</v>
      </c>
      <c r="C10057" s="100" t="s">
        <v>32</v>
      </c>
      <c r="D10057" s="6">
        <v>47345</v>
      </c>
      <c r="E10057" s="3" t="str">
        <f ca="1">IF(Tabela2[[#This Row],[Dt Venc:]]&gt;TODAY(),"Em Aberto",IF(Tabela2[[#This Row],[D/venc]]="-","Enviado",IF(Tabela2[[#This Row],[Dt Venc:]]=TODAY(),"Vence Hoje","Vencida")))</f>
        <v>Em Aberto</v>
      </c>
      <c r="F10057" s="3">
        <f ca="1">IF(G10057=1,"-",Tabela2[[#This Row],[Dt Venc:]]-TODAY())</f>
        <v>1652</v>
      </c>
      <c r="G10057" s="3"/>
      <c r="H10057" s="3"/>
    </row>
    <row r="10058" spans="1:8">
      <c r="A10058" s="3">
        <v>365674</v>
      </c>
      <c r="B10058" s="7" t="s">
        <v>250</v>
      </c>
      <c r="C10058" s="100" t="s">
        <v>32</v>
      </c>
      <c r="D10058" s="6">
        <v>47345</v>
      </c>
      <c r="E10058" s="3" t="str">
        <f ca="1">IF(Tabela2[[#This Row],[Dt Venc:]]&gt;TODAY(),"Em Aberto",IF(Tabela2[[#This Row],[D/venc]]="-","Enviado",IF(Tabela2[[#This Row],[Dt Venc:]]=TODAY(),"Vence Hoje","Vencida")))</f>
        <v>Em Aberto</v>
      </c>
      <c r="F10058" s="3">
        <f ca="1">IF(G10058=1,"-",Tabela2[[#This Row],[Dt Venc:]]-TODAY())</f>
        <v>1652</v>
      </c>
      <c r="G10058" s="3"/>
      <c r="H10058" s="3"/>
    </row>
    <row r="10059" spans="1:8">
      <c r="A10059" s="3">
        <v>365682</v>
      </c>
      <c r="B10059" s="7" t="s">
        <v>250</v>
      </c>
      <c r="C10059" s="100" t="s">
        <v>32</v>
      </c>
      <c r="D10059" s="6">
        <v>47345</v>
      </c>
      <c r="E10059" s="3" t="str">
        <f ca="1">IF(Tabela2[[#This Row],[Dt Venc:]]&gt;TODAY(),"Em Aberto",IF(Tabela2[[#This Row],[D/venc]]="-","Enviado",IF(Tabela2[[#This Row],[Dt Venc:]]=TODAY(),"Vence Hoje","Vencida")))</f>
        <v>Em Aberto</v>
      </c>
      <c r="F10059" s="3">
        <f ca="1">IF(G10059=1,"-",Tabela2[[#This Row],[Dt Venc:]]-TODAY())</f>
        <v>1652</v>
      </c>
      <c r="G10059" s="3"/>
      <c r="H10059" s="3"/>
    </row>
    <row r="10060" spans="1:8">
      <c r="A10060" s="3">
        <v>369335</v>
      </c>
      <c r="B10060" s="7" t="s">
        <v>543</v>
      </c>
      <c r="C10060" s="87" t="s">
        <v>32</v>
      </c>
      <c r="D10060" s="6">
        <v>47345</v>
      </c>
      <c r="E10060" s="3" t="str">
        <f ca="1">IF(Tabela2[[#This Row],[Dt Venc:]]&gt;TODAY(),"Em Aberto",IF(Tabela2[[#This Row],[D/venc]]="-","Enviado",IF(Tabela2[[#This Row],[Dt Venc:]]=TODAY(),"Vence Hoje","Vencida")))</f>
        <v>Em Aberto</v>
      </c>
      <c r="F10060" s="3">
        <f ca="1">IF(G10060=1,"-",Tabela2[[#This Row],[Dt Venc:]]-TODAY())</f>
        <v>1652</v>
      </c>
      <c r="G10060" s="3"/>
      <c r="H10060" s="3"/>
    </row>
    <row r="10061" spans="1:8">
      <c r="A10061" s="3">
        <v>369696</v>
      </c>
      <c r="B10061" s="7" t="s">
        <v>543</v>
      </c>
      <c r="C10061" s="87" t="s">
        <v>32</v>
      </c>
      <c r="D10061" s="6">
        <v>47345</v>
      </c>
      <c r="E10061" s="3" t="str">
        <f ca="1">IF(Tabela2[[#This Row],[Dt Venc:]]&gt;TODAY(),"Em Aberto",IF(Tabela2[[#This Row],[D/venc]]="-","Enviado",IF(Tabela2[[#This Row],[Dt Venc:]]=TODAY(),"Vence Hoje","Vencida")))</f>
        <v>Em Aberto</v>
      </c>
      <c r="F10061" s="3">
        <f ca="1">IF(G10061=1,"-",Tabela2[[#This Row],[Dt Venc:]]-TODAY())</f>
        <v>1652</v>
      </c>
      <c r="G10061" s="3"/>
      <c r="H10061" s="3"/>
    </row>
    <row r="10062" spans="1:8">
      <c r="A10062" s="3">
        <v>369726</v>
      </c>
      <c r="B10062" s="7" t="s">
        <v>543</v>
      </c>
      <c r="C10062" s="87" t="s">
        <v>32</v>
      </c>
      <c r="D10062" s="6">
        <v>47345</v>
      </c>
      <c r="E10062" s="3" t="str">
        <f ca="1">IF(Tabela2[[#This Row],[Dt Venc:]]&gt;TODAY(),"Em Aberto",IF(Tabela2[[#This Row],[D/venc]]="-","Enviado",IF(Tabela2[[#This Row],[Dt Venc:]]=TODAY(),"Vence Hoje","Vencida")))</f>
        <v>Em Aberto</v>
      </c>
      <c r="F10062" s="3">
        <f ca="1">IF(G10062=1,"-",Tabela2[[#This Row],[Dt Venc:]]-TODAY())</f>
        <v>1652</v>
      </c>
      <c r="G10062" s="3"/>
      <c r="H10062" s="3"/>
    </row>
    <row r="10063" spans="1:8">
      <c r="A10063" s="3">
        <v>369751</v>
      </c>
      <c r="B10063" s="7" t="s">
        <v>543</v>
      </c>
      <c r="C10063" s="87" t="s">
        <v>32</v>
      </c>
      <c r="D10063" s="6">
        <v>47345</v>
      </c>
      <c r="E10063" s="3" t="str">
        <f ca="1">IF(Tabela2[[#This Row],[Dt Venc:]]&gt;TODAY(),"Em Aberto",IF(Tabela2[[#This Row],[D/venc]]="-","Enviado",IF(Tabela2[[#This Row],[Dt Venc:]]=TODAY(),"Vence Hoje","Vencida")))</f>
        <v>Em Aberto</v>
      </c>
      <c r="F10063" s="3">
        <f ca="1">IF(G10063=1,"-",Tabela2[[#This Row],[Dt Venc:]]-TODAY())</f>
        <v>1652</v>
      </c>
      <c r="G10063" s="3"/>
      <c r="H10063" s="3"/>
    </row>
    <row r="10064" spans="1:8">
      <c r="A10064" s="3">
        <v>370201</v>
      </c>
      <c r="B10064" s="7" t="s">
        <v>543</v>
      </c>
      <c r="C10064" s="87" t="s">
        <v>32</v>
      </c>
      <c r="D10064" s="6">
        <v>47345</v>
      </c>
      <c r="E10064" s="3" t="str">
        <f ca="1">IF(Tabela2[[#This Row],[Dt Venc:]]&gt;TODAY(),"Em Aberto",IF(Tabela2[[#This Row],[D/venc]]="-","Enviado",IF(Tabela2[[#This Row],[Dt Venc:]]=TODAY(),"Vence Hoje","Vencida")))</f>
        <v>Em Aberto</v>
      </c>
      <c r="F10064" s="3">
        <f ca="1">IF(G10064=1,"-",Tabela2[[#This Row],[Dt Venc:]]-TODAY())</f>
        <v>1652</v>
      </c>
      <c r="G10064" s="3"/>
      <c r="H10064" s="3"/>
    </row>
    <row r="10065" spans="1:8">
      <c r="A10065" s="3">
        <v>370864</v>
      </c>
      <c r="B10065" s="7" t="s">
        <v>543</v>
      </c>
      <c r="C10065" s="87" t="s">
        <v>32</v>
      </c>
      <c r="D10065" s="6">
        <v>47345</v>
      </c>
      <c r="E10065" s="3" t="str">
        <f ca="1">IF(Tabela2[[#This Row],[Dt Venc:]]&gt;TODAY(),"Em Aberto",IF(Tabela2[[#This Row],[D/venc]]="-","Enviado",IF(Tabela2[[#This Row],[Dt Venc:]]=TODAY(),"Vence Hoje","Vencida")))</f>
        <v>Em Aberto</v>
      </c>
      <c r="F10065" s="3">
        <f ca="1">IF(G10065=1,"-",Tabela2[[#This Row],[Dt Venc:]]-TODAY())</f>
        <v>1652</v>
      </c>
      <c r="G10065" s="3"/>
      <c r="H10065" s="3"/>
    </row>
    <row r="10066" spans="1:8">
      <c r="A10066" s="3">
        <v>371011</v>
      </c>
      <c r="B10066" s="7" t="s">
        <v>633</v>
      </c>
      <c r="C10066" s="87" t="s">
        <v>32</v>
      </c>
      <c r="D10066" s="6">
        <v>47345</v>
      </c>
      <c r="E10066" s="3" t="str">
        <f ca="1">IF(Tabela2[[#This Row],[Dt Venc:]]&gt;TODAY(),"Em Aberto",IF(Tabela2[[#This Row],[D/venc]]="-","Enviado",IF(Tabela2[[#This Row],[Dt Venc:]]=TODAY(),"Vence Hoje","Vencida")))</f>
        <v>Em Aberto</v>
      </c>
      <c r="F10066" s="3">
        <f ca="1">IF(G10066=1,"-",Tabela2[[#This Row],[Dt Venc:]]-TODAY())</f>
        <v>1652</v>
      </c>
      <c r="G10066" s="3"/>
      <c r="H10066" s="3"/>
    </row>
    <row r="10067" spans="1:8">
      <c r="A10067" s="3">
        <v>371160</v>
      </c>
      <c r="B10067" s="7" t="s">
        <v>633</v>
      </c>
      <c r="C10067" s="87" t="s">
        <v>32</v>
      </c>
      <c r="D10067" s="6">
        <v>47345</v>
      </c>
      <c r="E10067" s="3" t="str">
        <f ca="1">IF(Tabela2[[#This Row],[Dt Venc:]]&gt;TODAY(),"Em Aberto",IF(Tabela2[[#This Row],[D/venc]]="-","Enviado",IF(Tabela2[[#This Row],[Dt Venc:]]=TODAY(),"Vence Hoje","Vencida")))</f>
        <v>Em Aberto</v>
      </c>
      <c r="F10067" s="3">
        <f ca="1">IF(G10067=1,"-",Tabela2[[#This Row],[Dt Venc:]]-TODAY())</f>
        <v>1652</v>
      </c>
      <c r="G10067" s="3"/>
      <c r="H10067" s="3"/>
    </row>
    <row r="10068" spans="1:8">
      <c r="A10068" s="3">
        <v>892178</v>
      </c>
      <c r="B10068" s="7" t="s">
        <v>253</v>
      </c>
      <c r="C10068" s="100" t="s">
        <v>32</v>
      </c>
      <c r="D10068" s="6">
        <v>47345</v>
      </c>
      <c r="E10068" s="3" t="str">
        <f ca="1">IF(Tabela2[[#This Row],[Dt Venc:]]&gt;TODAY(),"Em Aberto",IF(Tabela2[[#This Row],[D/venc]]="-","Enviado",IF(Tabela2[[#This Row],[Dt Venc:]]=TODAY(),"Vence Hoje","Vencida")))</f>
        <v>Em Aberto</v>
      </c>
      <c r="F10068" s="3">
        <f ca="1">IF(G10068=1,"-",Tabela2[[#This Row],[Dt Venc:]]-TODAY())</f>
        <v>1652</v>
      </c>
      <c r="G10068" s="3"/>
      <c r="H10068" s="3"/>
    </row>
    <row r="10069" spans="1:8">
      <c r="A10069" s="3">
        <v>896565</v>
      </c>
      <c r="B10069" s="7" t="s">
        <v>253</v>
      </c>
      <c r="C10069" s="100" t="s">
        <v>32</v>
      </c>
      <c r="D10069" s="6">
        <v>47345</v>
      </c>
      <c r="E10069" s="3" t="str">
        <f ca="1">IF(Tabela2[[#This Row],[Dt Venc:]]&gt;TODAY(),"Em Aberto",IF(Tabela2[[#This Row],[D/venc]]="-","Enviado",IF(Tabela2[[#This Row],[Dt Venc:]]=TODAY(),"Vence Hoje","Vencida")))</f>
        <v>Em Aberto</v>
      </c>
      <c r="F10069" s="3">
        <f ca="1">IF(G10069=1,"-",Tabela2[[#This Row],[Dt Venc:]]-TODAY())</f>
        <v>1652</v>
      </c>
      <c r="G10069" s="3"/>
      <c r="H10069" s="3"/>
    </row>
    <row r="10070" spans="1:8">
      <c r="A10070" s="3">
        <v>900386</v>
      </c>
      <c r="B10070" s="7" t="s">
        <v>253</v>
      </c>
      <c r="C10070" s="100" t="s">
        <v>32</v>
      </c>
      <c r="D10070" s="6">
        <v>47345</v>
      </c>
      <c r="E10070" s="3" t="str">
        <f ca="1">IF(Tabela2[[#This Row],[Dt Venc:]]&gt;TODAY(),"Em Aberto",IF(Tabela2[[#This Row],[D/venc]]="-","Enviado",IF(Tabela2[[#This Row],[Dt Venc:]]=TODAY(),"Vence Hoje","Vencida")))</f>
        <v>Em Aberto</v>
      </c>
      <c r="F10070" s="3">
        <f ca="1">IF(G10070=1,"-",Tabela2[[#This Row],[Dt Venc:]]-TODAY())</f>
        <v>1652</v>
      </c>
      <c r="G10070" s="3"/>
      <c r="H10070" s="3"/>
    </row>
    <row r="10071" spans="1:8">
      <c r="A10071" s="3">
        <v>901787</v>
      </c>
      <c r="B10071" s="7" t="s">
        <v>253</v>
      </c>
      <c r="C10071" s="99" t="s">
        <v>32</v>
      </c>
      <c r="D10071" s="6">
        <v>47345</v>
      </c>
      <c r="E10071" s="3" t="str">
        <f ca="1">IF(Tabela2[[#This Row],[Dt Venc:]]&gt;TODAY(),"Em Aberto",IF(Tabela2[[#This Row],[D/venc]]="-","Enviado",IF(Tabela2[[#This Row],[Dt Venc:]]=TODAY(),"Vence Hoje","Vencida")))</f>
        <v>Em Aberto</v>
      </c>
      <c r="F10071" s="3">
        <f ca="1">IF(G10071=1,"-",Tabela2[[#This Row],[Dt Venc:]]-TODAY())</f>
        <v>1652</v>
      </c>
      <c r="G10071" s="3"/>
      <c r="H10071" s="3"/>
    </row>
    <row r="10072" spans="1:8">
      <c r="A10072" s="3">
        <v>901788</v>
      </c>
      <c r="B10072" s="7" t="s">
        <v>253</v>
      </c>
      <c r="C10072" s="100" t="s">
        <v>32</v>
      </c>
      <c r="D10072" s="6">
        <v>47345</v>
      </c>
      <c r="E10072" s="3" t="str">
        <f ca="1">IF(Tabela2[[#This Row],[Dt Venc:]]&gt;TODAY(),"Em Aberto",IF(Tabela2[[#This Row],[D/venc]]="-","Enviado",IF(Tabela2[[#This Row],[Dt Venc:]]=TODAY(),"Vence Hoje","Vencida")))</f>
        <v>Em Aberto</v>
      </c>
      <c r="F10072" s="3">
        <f ca="1">IF(G10072=1,"-",Tabela2[[#This Row],[Dt Venc:]]-TODAY())</f>
        <v>1652</v>
      </c>
      <c r="G10072" s="3"/>
      <c r="H10072" s="3"/>
    </row>
    <row r="10073" spans="1:8">
      <c r="A10073" s="3">
        <v>901789</v>
      </c>
      <c r="B10073" s="7" t="s">
        <v>253</v>
      </c>
      <c r="C10073" s="100" t="s">
        <v>32</v>
      </c>
      <c r="D10073" s="6">
        <v>47345</v>
      </c>
      <c r="E10073" s="3" t="str">
        <f ca="1">IF(Tabela2[[#This Row],[Dt Venc:]]&gt;TODAY(),"Em Aberto",IF(Tabela2[[#This Row],[D/venc]]="-","Enviado",IF(Tabela2[[#This Row],[Dt Venc:]]=TODAY(),"Vence Hoje","Vencida")))</f>
        <v>Em Aberto</v>
      </c>
      <c r="F10073" s="3">
        <f ca="1">IF(G10073=1,"-",Tabela2[[#This Row],[Dt Venc:]]-TODAY())</f>
        <v>1652</v>
      </c>
      <c r="G10073" s="3"/>
      <c r="H10073" s="3"/>
    </row>
    <row r="10074" spans="1:8">
      <c r="A10074" s="3">
        <v>912703</v>
      </c>
      <c r="B10074" s="7" t="s">
        <v>253</v>
      </c>
      <c r="C10074" s="100" t="s">
        <v>32</v>
      </c>
      <c r="D10074" s="6">
        <v>47345</v>
      </c>
      <c r="E10074" s="3" t="str">
        <f ca="1">IF(Tabela2[[#This Row],[Dt Venc:]]&gt;TODAY(),"Em Aberto",IF(Tabela2[[#This Row],[D/venc]]="-","Enviado",IF(Tabela2[[#This Row],[Dt Venc:]]=TODAY(),"Vence Hoje","Vencida")))</f>
        <v>Em Aberto</v>
      </c>
      <c r="F10074" s="3">
        <f ca="1">IF(G10074=1,"-",Tabela2[[#This Row],[Dt Venc:]]-TODAY())</f>
        <v>1652</v>
      </c>
      <c r="G10074" s="3"/>
      <c r="H10074" s="3"/>
    </row>
    <row r="10075" spans="1:8">
      <c r="A10075" s="3">
        <v>912704</v>
      </c>
      <c r="B10075" s="7" t="s">
        <v>253</v>
      </c>
      <c r="C10075" s="100" t="s">
        <v>32</v>
      </c>
      <c r="D10075" s="6">
        <v>47345</v>
      </c>
      <c r="E10075" s="3" t="str">
        <f ca="1">IF(Tabela2[[#This Row],[Dt Venc:]]&gt;TODAY(),"Em Aberto",IF(Tabela2[[#This Row],[D/venc]]="-","Enviado",IF(Tabela2[[#This Row],[Dt Venc:]]=TODAY(),"Vence Hoje","Vencida")))</f>
        <v>Em Aberto</v>
      </c>
      <c r="F10075" s="3">
        <f ca="1">IF(G10075=1,"-",Tabela2[[#This Row],[Dt Venc:]]-TODAY())</f>
        <v>1652</v>
      </c>
      <c r="G10075" s="3"/>
      <c r="H10075" s="3"/>
    </row>
    <row r="10076" spans="1:8">
      <c r="A10076" s="3">
        <v>919728</v>
      </c>
      <c r="B10076" s="7" t="s">
        <v>253</v>
      </c>
      <c r="C10076" s="87" t="s">
        <v>32</v>
      </c>
      <c r="D10076" s="6">
        <v>47345</v>
      </c>
      <c r="E10076" s="3" t="str">
        <f ca="1">IF(Tabela2[[#This Row],[Dt Venc:]]&gt;TODAY(),"Em Aberto",IF(Tabela2[[#This Row],[D/venc]]="-","Enviado",IF(Tabela2[[#This Row],[Dt Venc:]]=TODAY(),"Vence Hoje","Vencida")))</f>
        <v>Em Aberto</v>
      </c>
      <c r="F10076" s="3">
        <f ca="1">IF(G10076=1,"-",Tabela2[[#This Row],[Dt Venc:]]-TODAY())</f>
        <v>1652</v>
      </c>
      <c r="G10076" s="3"/>
      <c r="H10076" s="3"/>
    </row>
    <row r="10077" spans="1:8">
      <c r="A10077" s="3">
        <v>919729</v>
      </c>
      <c r="B10077" s="7" t="s">
        <v>253</v>
      </c>
      <c r="C10077" s="87" t="s">
        <v>32</v>
      </c>
      <c r="D10077" s="6">
        <v>47345</v>
      </c>
      <c r="E10077" s="3" t="str">
        <f ca="1">IF(Tabela2[[#This Row],[Dt Venc:]]&gt;TODAY(),"Em Aberto",IF(Tabela2[[#This Row],[D/venc]]="-","Enviado",IF(Tabela2[[#This Row],[Dt Venc:]]=TODAY(),"Vence Hoje","Vencida")))</f>
        <v>Em Aberto</v>
      </c>
      <c r="F10077" s="3">
        <f ca="1">IF(G10077=1,"-",Tabela2[[#This Row],[Dt Venc:]]-TODAY())</f>
        <v>1652</v>
      </c>
      <c r="G10077" s="3"/>
      <c r="H10077" s="3"/>
    </row>
    <row r="10078" spans="1:8">
      <c r="A10078" s="3">
        <v>495914</v>
      </c>
      <c r="B10078" s="7" t="s">
        <v>153</v>
      </c>
      <c r="C10078" s="100" t="s">
        <v>32</v>
      </c>
      <c r="D10078" s="6">
        <v>47355</v>
      </c>
      <c r="E10078" s="3" t="str">
        <f ca="1">IF(Tabela2[[#This Row],[Dt Venc:]]&gt;TODAY(),"Em Aberto",IF(Tabela2[[#This Row],[D/venc]]="-","Enviado",IF(Tabela2[[#This Row],[Dt Venc:]]=TODAY(),"Vence Hoje","Vencida")))</f>
        <v>Em Aberto</v>
      </c>
      <c r="F10078" s="3">
        <f ca="1">IF(G10078=1,"-",Tabela2[[#This Row],[Dt Venc:]]-TODAY())</f>
        <v>1662</v>
      </c>
      <c r="G10078" s="3"/>
      <c r="H10078" s="3"/>
    </row>
    <row r="10079" spans="1:8">
      <c r="A10079" s="3">
        <v>11681</v>
      </c>
      <c r="B10079" s="7" t="s">
        <v>82</v>
      </c>
      <c r="C10079" s="87" t="s">
        <v>30</v>
      </c>
      <c r="D10079" s="6">
        <v>47361</v>
      </c>
      <c r="E10079" s="3" t="str">
        <f ca="1">IF(Tabela2[[#This Row],[Dt Venc:]]&gt;TODAY(),"Em Aberto",IF(Tabela2[[#This Row],[D/venc]]="-","Enviado",IF(Tabela2[[#This Row],[Dt Venc:]]=TODAY(),"Vence Hoje","Vencida")))</f>
        <v>Em Aberto</v>
      </c>
      <c r="F10079" s="3">
        <f ca="1">IF(G10079=1,"-",Tabela2[[#This Row],[Dt Venc:]]-TODAY())</f>
        <v>1668</v>
      </c>
      <c r="G10079" s="3"/>
      <c r="H10079" s="3"/>
    </row>
    <row r="10080" spans="1:8">
      <c r="A10080" s="3">
        <v>284620</v>
      </c>
      <c r="B10080" s="7" t="s">
        <v>153</v>
      </c>
      <c r="C10080" s="100" t="s">
        <v>32</v>
      </c>
      <c r="D10080" s="6">
        <v>47369</v>
      </c>
      <c r="E10080" s="3" t="str">
        <f ca="1">IF(Tabela2[[#This Row],[Dt Venc:]]&gt;TODAY(),"Em Aberto",IF(Tabela2[[#This Row],[D/venc]]="-","Enviado",IF(Tabela2[[#This Row],[Dt Venc:]]=TODAY(),"Vence Hoje","Vencida")))</f>
        <v>Em Aberto</v>
      </c>
      <c r="F10080" s="3">
        <f ca="1">IF(G10080=1,"-",Tabela2[[#This Row],[Dt Venc:]]-TODAY())</f>
        <v>1676</v>
      </c>
      <c r="G10080" s="3"/>
      <c r="H10080" s="3"/>
    </row>
    <row r="10081" spans="1:8">
      <c r="A10081" s="3">
        <v>562</v>
      </c>
      <c r="B10081" s="7" t="s">
        <v>251</v>
      </c>
      <c r="C10081" s="100" t="s">
        <v>32</v>
      </c>
      <c r="D10081" s="6">
        <v>47376</v>
      </c>
      <c r="E10081" s="3" t="str">
        <f ca="1">IF(Tabela2[[#This Row],[Dt Venc:]]&gt;TODAY(),"Em Aberto",IF(Tabela2[[#This Row],[D/venc]]="-","Enviado",IF(Tabela2[[#This Row],[Dt Venc:]]=TODAY(),"Vence Hoje","Vencida")))</f>
        <v>Em Aberto</v>
      </c>
      <c r="F10081" s="3">
        <f ca="1">IF(G10081=1,"-",Tabela2[[#This Row],[Dt Venc:]]-TODAY())</f>
        <v>1683</v>
      </c>
      <c r="G10081" s="3"/>
      <c r="H10081" s="3"/>
    </row>
    <row r="10082" spans="1:8">
      <c r="A10082" s="3">
        <v>361229</v>
      </c>
      <c r="B10082" s="7" t="s">
        <v>250</v>
      </c>
      <c r="C10082" s="100" t="s">
        <v>32</v>
      </c>
      <c r="D10082" s="6">
        <v>47376</v>
      </c>
      <c r="E10082" s="3" t="str">
        <f ca="1">IF(Tabela2[[#This Row],[Dt Venc:]]&gt;TODAY(),"Em Aberto",IF(Tabela2[[#This Row],[D/venc]]="-","Enviado",IF(Tabela2[[#This Row],[Dt Venc:]]=TODAY(),"Vence Hoje","Vencida")))</f>
        <v>Em Aberto</v>
      </c>
      <c r="F10082" s="3">
        <f ca="1">IF(G10082=1,"-",Tabela2[[#This Row],[Dt Venc:]]-TODAY())</f>
        <v>1683</v>
      </c>
      <c r="G10082" s="3"/>
      <c r="H10082" s="3"/>
    </row>
    <row r="10083" spans="1:8">
      <c r="A10083" s="3">
        <v>361237</v>
      </c>
      <c r="B10083" s="7" t="s">
        <v>250</v>
      </c>
      <c r="C10083" s="100" t="s">
        <v>32</v>
      </c>
      <c r="D10083" s="6">
        <v>47376</v>
      </c>
      <c r="E10083" s="3" t="str">
        <f ca="1">IF(Tabela2[[#This Row],[Dt Venc:]]&gt;TODAY(),"Em Aberto",IF(Tabela2[[#This Row],[D/venc]]="-","Enviado",IF(Tabela2[[#This Row],[Dt Venc:]]=TODAY(),"Vence Hoje","Vencida")))</f>
        <v>Em Aberto</v>
      </c>
      <c r="F10083" s="3">
        <f ca="1">IF(G10083=1,"-",Tabela2[[#This Row],[Dt Venc:]]-TODAY())</f>
        <v>1683</v>
      </c>
      <c r="G10083" s="3"/>
      <c r="H10083" s="3"/>
    </row>
    <row r="10084" spans="1:8">
      <c r="A10084" s="3">
        <v>365658</v>
      </c>
      <c r="B10084" s="7" t="s">
        <v>250</v>
      </c>
      <c r="C10084" s="99" t="s">
        <v>32</v>
      </c>
      <c r="D10084" s="6">
        <v>47376</v>
      </c>
      <c r="E10084" s="3" t="str">
        <f ca="1">IF(Tabela2[[#This Row],[Dt Venc:]]&gt;TODAY(),"Em Aberto",IF(Tabela2[[#This Row],[D/venc]]="-","Enviado",IF(Tabela2[[#This Row],[Dt Venc:]]=TODAY(),"Vence Hoje","Vencida")))</f>
        <v>Em Aberto</v>
      </c>
      <c r="F10084" s="3">
        <f ca="1">IF(G10084=1,"-",Tabela2[[#This Row],[Dt Venc:]]-TODAY())</f>
        <v>1683</v>
      </c>
      <c r="G10084" s="3"/>
      <c r="H10084" s="3"/>
    </row>
    <row r="10085" spans="1:8">
      <c r="A10085" s="3">
        <v>365666</v>
      </c>
      <c r="B10085" s="7" t="s">
        <v>250</v>
      </c>
      <c r="C10085" s="100" t="s">
        <v>32</v>
      </c>
      <c r="D10085" s="6">
        <v>47376</v>
      </c>
      <c r="E10085" s="3" t="str">
        <f ca="1">IF(Tabela2[[#This Row],[Dt Venc:]]&gt;TODAY(),"Em Aberto",IF(Tabela2[[#This Row],[D/venc]]="-","Enviado",IF(Tabela2[[#This Row],[Dt Venc:]]=TODAY(),"Vence Hoje","Vencida")))</f>
        <v>Em Aberto</v>
      </c>
      <c r="F10085" s="3">
        <f ca="1">IF(G10085=1,"-",Tabela2[[#This Row],[Dt Venc:]]-TODAY())</f>
        <v>1683</v>
      </c>
      <c r="G10085" s="3"/>
      <c r="H10085" s="3"/>
    </row>
    <row r="10086" spans="1:8">
      <c r="A10086" s="3">
        <v>365674</v>
      </c>
      <c r="B10086" s="7" t="s">
        <v>250</v>
      </c>
      <c r="C10086" s="100" t="s">
        <v>32</v>
      </c>
      <c r="D10086" s="6">
        <v>47376</v>
      </c>
      <c r="E10086" s="3" t="str">
        <f ca="1">IF(Tabela2[[#This Row],[Dt Venc:]]&gt;TODAY(),"Em Aberto",IF(Tabela2[[#This Row],[D/venc]]="-","Enviado",IF(Tabela2[[#This Row],[Dt Venc:]]=TODAY(),"Vence Hoje","Vencida")))</f>
        <v>Em Aberto</v>
      </c>
      <c r="F10086" s="3">
        <f ca="1">IF(G10086=1,"-",Tabela2[[#This Row],[Dt Venc:]]-TODAY())</f>
        <v>1683</v>
      </c>
      <c r="G10086" s="3"/>
      <c r="H10086" s="3"/>
    </row>
    <row r="10087" spans="1:8">
      <c r="A10087" s="3">
        <v>365682</v>
      </c>
      <c r="B10087" s="7" t="s">
        <v>250</v>
      </c>
      <c r="C10087" s="100" t="s">
        <v>32</v>
      </c>
      <c r="D10087" s="6">
        <v>47376</v>
      </c>
      <c r="E10087" s="3" t="str">
        <f ca="1">IF(Tabela2[[#This Row],[Dt Venc:]]&gt;TODAY(),"Em Aberto",IF(Tabela2[[#This Row],[D/venc]]="-","Enviado",IF(Tabela2[[#This Row],[Dt Venc:]]=TODAY(),"Vence Hoje","Vencida")))</f>
        <v>Em Aberto</v>
      </c>
      <c r="F10087" s="3">
        <f ca="1">IF(G10087=1,"-",Tabela2[[#This Row],[Dt Venc:]]-TODAY())</f>
        <v>1683</v>
      </c>
      <c r="G10087" s="3"/>
      <c r="H10087" s="3"/>
    </row>
    <row r="10088" spans="1:8">
      <c r="A10088" s="3">
        <v>369335</v>
      </c>
      <c r="B10088" s="7" t="s">
        <v>543</v>
      </c>
      <c r="C10088" s="87" t="s">
        <v>32</v>
      </c>
      <c r="D10088" s="6">
        <v>47376</v>
      </c>
      <c r="E10088" s="3" t="str">
        <f ca="1">IF(Tabela2[[#This Row],[Dt Venc:]]&gt;TODAY(),"Em Aberto",IF(Tabela2[[#This Row],[D/venc]]="-","Enviado",IF(Tabela2[[#This Row],[Dt Venc:]]=TODAY(),"Vence Hoje","Vencida")))</f>
        <v>Em Aberto</v>
      </c>
      <c r="F10088" s="3">
        <f ca="1">IF(G10088=1,"-",Tabela2[[#This Row],[Dt Venc:]]-TODAY())</f>
        <v>1683</v>
      </c>
      <c r="G10088" s="3"/>
      <c r="H10088" s="3"/>
    </row>
    <row r="10089" spans="1:8">
      <c r="A10089" s="3">
        <v>369696</v>
      </c>
      <c r="B10089" s="7" t="s">
        <v>543</v>
      </c>
      <c r="C10089" s="87" t="s">
        <v>32</v>
      </c>
      <c r="D10089" s="6">
        <v>47376</v>
      </c>
      <c r="E10089" s="3" t="str">
        <f ca="1">IF(Tabela2[[#This Row],[Dt Venc:]]&gt;TODAY(),"Em Aberto",IF(Tabela2[[#This Row],[D/venc]]="-","Enviado",IF(Tabela2[[#This Row],[Dt Venc:]]=TODAY(),"Vence Hoje","Vencida")))</f>
        <v>Em Aberto</v>
      </c>
      <c r="F10089" s="3">
        <f ca="1">IF(G10089=1,"-",Tabela2[[#This Row],[Dt Venc:]]-TODAY())</f>
        <v>1683</v>
      </c>
      <c r="G10089" s="3"/>
      <c r="H10089" s="3"/>
    </row>
    <row r="10090" spans="1:8">
      <c r="A10090" s="3">
        <v>369726</v>
      </c>
      <c r="B10090" s="7" t="s">
        <v>543</v>
      </c>
      <c r="C10090" s="87" t="s">
        <v>32</v>
      </c>
      <c r="D10090" s="6">
        <v>47376</v>
      </c>
      <c r="E10090" s="3" t="str">
        <f ca="1">IF(Tabela2[[#This Row],[Dt Venc:]]&gt;TODAY(),"Em Aberto",IF(Tabela2[[#This Row],[D/venc]]="-","Enviado",IF(Tabela2[[#This Row],[Dt Venc:]]=TODAY(),"Vence Hoje","Vencida")))</f>
        <v>Em Aberto</v>
      </c>
      <c r="F10090" s="3">
        <f ca="1">IF(G10090=1,"-",Tabela2[[#This Row],[Dt Venc:]]-TODAY())</f>
        <v>1683</v>
      </c>
      <c r="G10090" s="3"/>
      <c r="H10090" s="3"/>
    </row>
    <row r="10091" spans="1:8">
      <c r="A10091" s="3">
        <v>369751</v>
      </c>
      <c r="B10091" s="7" t="s">
        <v>543</v>
      </c>
      <c r="C10091" s="87" t="s">
        <v>32</v>
      </c>
      <c r="D10091" s="6">
        <v>47376</v>
      </c>
      <c r="E10091" s="3" t="str">
        <f ca="1">IF(Tabela2[[#This Row],[Dt Venc:]]&gt;TODAY(),"Em Aberto",IF(Tabela2[[#This Row],[D/venc]]="-","Enviado",IF(Tabela2[[#This Row],[Dt Venc:]]=TODAY(),"Vence Hoje","Vencida")))</f>
        <v>Em Aberto</v>
      </c>
      <c r="F10091" s="3">
        <f ca="1">IF(G10091=1,"-",Tabela2[[#This Row],[Dt Venc:]]-TODAY())</f>
        <v>1683</v>
      </c>
      <c r="G10091" s="3"/>
      <c r="H10091" s="3"/>
    </row>
    <row r="10092" spans="1:8">
      <c r="A10092" s="3">
        <v>370201</v>
      </c>
      <c r="B10092" s="7" t="s">
        <v>543</v>
      </c>
      <c r="C10092" s="87" t="s">
        <v>32</v>
      </c>
      <c r="D10092" s="6">
        <v>47376</v>
      </c>
      <c r="E10092" s="3" t="str">
        <f ca="1">IF(Tabela2[[#This Row],[Dt Venc:]]&gt;TODAY(),"Em Aberto",IF(Tabela2[[#This Row],[D/venc]]="-","Enviado",IF(Tabela2[[#This Row],[Dt Venc:]]=TODAY(),"Vence Hoje","Vencida")))</f>
        <v>Em Aberto</v>
      </c>
      <c r="F10092" s="3">
        <f ca="1">IF(G10092=1,"-",Tabela2[[#This Row],[Dt Venc:]]-TODAY())</f>
        <v>1683</v>
      </c>
      <c r="G10092" s="3"/>
      <c r="H10092" s="3"/>
    </row>
    <row r="10093" spans="1:8">
      <c r="A10093" s="3">
        <v>370864</v>
      </c>
      <c r="B10093" s="7" t="s">
        <v>543</v>
      </c>
      <c r="C10093" s="87" t="s">
        <v>32</v>
      </c>
      <c r="D10093" s="6">
        <v>47376</v>
      </c>
      <c r="E10093" s="3" t="str">
        <f ca="1">IF(Tabela2[[#This Row],[Dt Venc:]]&gt;TODAY(),"Em Aberto",IF(Tabela2[[#This Row],[D/venc]]="-","Enviado",IF(Tabela2[[#This Row],[Dt Venc:]]=TODAY(),"Vence Hoje","Vencida")))</f>
        <v>Em Aberto</v>
      </c>
      <c r="F10093" s="3">
        <f ca="1">IF(G10093=1,"-",Tabela2[[#This Row],[Dt Venc:]]-TODAY())</f>
        <v>1683</v>
      </c>
      <c r="G10093" s="3"/>
      <c r="H10093" s="3"/>
    </row>
    <row r="10094" spans="1:8">
      <c r="A10094" s="3">
        <v>371011</v>
      </c>
      <c r="B10094" s="7" t="s">
        <v>633</v>
      </c>
      <c r="C10094" s="87" t="s">
        <v>32</v>
      </c>
      <c r="D10094" s="6">
        <v>47376</v>
      </c>
      <c r="E10094" s="3" t="str">
        <f ca="1">IF(Tabela2[[#This Row],[Dt Venc:]]&gt;TODAY(),"Em Aberto",IF(Tabela2[[#This Row],[D/venc]]="-","Enviado",IF(Tabela2[[#This Row],[Dt Venc:]]=TODAY(),"Vence Hoje","Vencida")))</f>
        <v>Em Aberto</v>
      </c>
      <c r="F10094" s="3">
        <f ca="1">IF(G10094=1,"-",Tabela2[[#This Row],[Dt Venc:]]-TODAY())</f>
        <v>1683</v>
      </c>
      <c r="G10094" s="3"/>
      <c r="H10094" s="3"/>
    </row>
    <row r="10095" spans="1:8">
      <c r="A10095" s="3">
        <v>371160</v>
      </c>
      <c r="B10095" s="7" t="s">
        <v>633</v>
      </c>
      <c r="C10095" s="87" t="s">
        <v>32</v>
      </c>
      <c r="D10095" s="6">
        <v>47376</v>
      </c>
      <c r="E10095" s="3" t="str">
        <f ca="1">IF(Tabela2[[#This Row],[Dt Venc:]]&gt;TODAY(),"Em Aberto",IF(Tabela2[[#This Row],[D/venc]]="-","Enviado",IF(Tabela2[[#This Row],[Dt Venc:]]=TODAY(),"Vence Hoje","Vencida")))</f>
        <v>Em Aberto</v>
      </c>
      <c r="F10095" s="3">
        <f ca="1">IF(G10095=1,"-",Tabela2[[#This Row],[Dt Venc:]]-TODAY())</f>
        <v>1683</v>
      </c>
      <c r="G10095" s="3"/>
      <c r="H10095" s="3"/>
    </row>
    <row r="10096" spans="1:8">
      <c r="A10096" s="3">
        <v>892178</v>
      </c>
      <c r="B10096" s="7" t="s">
        <v>253</v>
      </c>
      <c r="C10096" s="100" t="s">
        <v>32</v>
      </c>
      <c r="D10096" s="6">
        <v>47376</v>
      </c>
      <c r="E10096" s="3" t="str">
        <f ca="1">IF(Tabela2[[#This Row],[Dt Venc:]]&gt;TODAY(),"Em Aberto",IF(Tabela2[[#This Row],[D/venc]]="-","Enviado",IF(Tabela2[[#This Row],[Dt Venc:]]=TODAY(),"Vence Hoje","Vencida")))</f>
        <v>Em Aberto</v>
      </c>
      <c r="F10096" s="3">
        <f ca="1">IF(G10096=1,"-",Tabela2[[#This Row],[Dt Venc:]]-TODAY())</f>
        <v>1683</v>
      </c>
      <c r="G10096" s="3"/>
      <c r="H10096" s="3"/>
    </row>
    <row r="10097" spans="1:8">
      <c r="A10097" s="3">
        <v>900386</v>
      </c>
      <c r="B10097" s="7" t="s">
        <v>253</v>
      </c>
      <c r="C10097" s="100" t="s">
        <v>32</v>
      </c>
      <c r="D10097" s="6">
        <v>47376</v>
      </c>
      <c r="E10097" s="3" t="str">
        <f ca="1">IF(Tabela2[[#This Row],[Dt Venc:]]&gt;TODAY(),"Em Aberto",IF(Tabela2[[#This Row],[D/venc]]="-","Enviado",IF(Tabela2[[#This Row],[Dt Venc:]]=TODAY(),"Vence Hoje","Vencida")))</f>
        <v>Em Aberto</v>
      </c>
      <c r="F10097" s="3">
        <f ca="1">IF(G10097=1,"-",Tabela2[[#This Row],[Dt Venc:]]-TODAY())</f>
        <v>1683</v>
      </c>
      <c r="G10097" s="3"/>
      <c r="H10097" s="3"/>
    </row>
    <row r="10098" spans="1:8">
      <c r="A10098" s="3">
        <v>901787</v>
      </c>
      <c r="B10098" s="7" t="s">
        <v>253</v>
      </c>
      <c r="C10098" s="99" t="s">
        <v>32</v>
      </c>
      <c r="D10098" s="6">
        <v>47376</v>
      </c>
      <c r="E10098" s="3" t="str">
        <f ca="1">IF(Tabela2[[#This Row],[Dt Venc:]]&gt;TODAY(),"Em Aberto",IF(Tabela2[[#This Row],[D/venc]]="-","Enviado",IF(Tabela2[[#This Row],[Dt Venc:]]=TODAY(),"Vence Hoje","Vencida")))</f>
        <v>Em Aberto</v>
      </c>
      <c r="F10098" s="3">
        <f ca="1">IF(G10098=1,"-",Tabela2[[#This Row],[Dt Venc:]]-TODAY())</f>
        <v>1683</v>
      </c>
      <c r="G10098" s="3"/>
      <c r="H10098" s="3"/>
    </row>
    <row r="10099" spans="1:8">
      <c r="A10099" s="3">
        <v>901788</v>
      </c>
      <c r="B10099" s="7" t="s">
        <v>253</v>
      </c>
      <c r="C10099" s="100" t="s">
        <v>32</v>
      </c>
      <c r="D10099" s="6">
        <v>47376</v>
      </c>
      <c r="E10099" s="3" t="str">
        <f ca="1">IF(Tabela2[[#This Row],[Dt Venc:]]&gt;TODAY(),"Em Aberto",IF(Tabela2[[#This Row],[D/venc]]="-","Enviado",IF(Tabela2[[#This Row],[Dt Venc:]]=TODAY(),"Vence Hoje","Vencida")))</f>
        <v>Em Aberto</v>
      </c>
      <c r="F10099" s="3">
        <f ca="1">IF(G10099=1,"-",Tabela2[[#This Row],[Dt Venc:]]-TODAY())</f>
        <v>1683</v>
      </c>
      <c r="G10099" s="3"/>
      <c r="H10099" s="3"/>
    </row>
    <row r="10100" spans="1:8">
      <c r="A10100" s="3">
        <v>901789</v>
      </c>
      <c r="B10100" s="7" t="s">
        <v>253</v>
      </c>
      <c r="C10100" s="100" t="s">
        <v>32</v>
      </c>
      <c r="D10100" s="6">
        <v>47376</v>
      </c>
      <c r="E10100" s="3" t="str">
        <f ca="1">IF(Tabela2[[#This Row],[Dt Venc:]]&gt;TODAY(),"Em Aberto",IF(Tabela2[[#This Row],[D/venc]]="-","Enviado",IF(Tabela2[[#This Row],[Dt Venc:]]=TODAY(),"Vence Hoje","Vencida")))</f>
        <v>Em Aberto</v>
      </c>
      <c r="F10100" s="3">
        <f ca="1">IF(G10100=1,"-",Tabela2[[#This Row],[Dt Venc:]]-TODAY())</f>
        <v>1683</v>
      </c>
      <c r="G10100" s="3"/>
      <c r="H10100" s="3"/>
    </row>
    <row r="10101" spans="1:8">
      <c r="A10101" s="3">
        <v>912703</v>
      </c>
      <c r="B10101" s="7" t="s">
        <v>253</v>
      </c>
      <c r="C10101" s="100" t="s">
        <v>32</v>
      </c>
      <c r="D10101" s="6">
        <v>47376</v>
      </c>
      <c r="E10101" s="3" t="str">
        <f ca="1">IF(Tabela2[[#This Row],[Dt Venc:]]&gt;TODAY(),"Em Aberto",IF(Tabela2[[#This Row],[D/venc]]="-","Enviado",IF(Tabela2[[#This Row],[Dt Venc:]]=TODAY(),"Vence Hoje","Vencida")))</f>
        <v>Em Aberto</v>
      </c>
      <c r="F10101" s="3">
        <f ca="1">IF(G10101=1,"-",Tabela2[[#This Row],[Dt Venc:]]-TODAY())</f>
        <v>1683</v>
      </c>
      <c r="G10101" s="3"/>
      <c r="H10101" s="3"/>
    </row>
    <row r="10102" spans="1:8">
      <c r="A10102" s="3">
        <v>912704</v>
      </c>
      <c r="B10102" s="7" t="s">
        <v>253</v>
      </c>
      <c r="C10102" s="100" t="s">
        <v>32</v>
      </c>
      <c r="D10102" s="6">
        <v>47376</v>
      </c>
      <c r="E10102" s="3" t="str">
        <f ca="1">IF(Tabela2[[#This Row],[Dt Venc:]]&gt;TODAY(),"Em Aberto",IF(Tabela2[[#This Row],[D/venc]]="-","Enviado",IF(Tabela2[[#This Row],[Dt Venc:]]=TODAY(),"Vence Hoje","Vencida")))</f>
        <v>Em Aberto</v>
      </c>
      <c r="F10102" s="3">
        <f ca="1">IF(G10102=1,"-",Tabela2[[#This Row],[Dt Venc:]]-TODAY())</f>
        <v>1683</v>
      </c>
      <c r="G10102" s="3"/>
      <c r="H10102" s="3"/>
    </row>
    <row r="10103" spans="1:8">
      <c r="A10103" s="3">
        <v>919728</v>
      </c>
      <c r="B10103" s="7" t="s">
        <v>253</v>
      </c>
      <c r="C10103" s="87" t="s">
        <v>32</v>
      </c>
      <c r="D10103" s="6">
        <v>47376</v>
      </c>
      <c r="E10103" s="3" t="str">
        <f ca="1">IF(Tabela2[[#This Row],[Dt Venc:]]&gt;TODAY(),"Em Aberto",IF(Tabela2[[#This Row],[D/venc]]="-","Enviado",IF(Tabela2[[#This Row],[Dt Venc:]]=TODAY(),"Vence Hoje","Vencida")))</f>
        <v>Em Aberto</v>
      </c>
      <c r="F10103" s="3">
        <f ca="1">IF(G10103=1,"-",Tabela2[[#This Row],[Dt Venc:]]-TODAY())</f>
        <v>1683</v>
      </c>
      <c r="G10103" s="3"/>
      <c r="H10103" s="3"/>
    </row>
    <row r="10104" spans="1:8">
      <c r="A10104" s="3">
        <v>919729</v>
      </c>
      <c r="B10104" s="7" t="s">
        <v>253</v>
      </c>
      <c r="C10104" s="87" t="s">
        <v>32</v>
      </c>
      <c r="D10104" s="6">
        <v>47376</v>
      </c>
      <c r="E10104" s="3" t="str">
        <f ca="1">IF(Tabela2[[#This Row],[Dt Venc:]]&gt;TODAY(),"Em Aberto",IF(Tabela2[[#This Row],[D/venc]]="-","Enviado",IF(Tabela2[[#This Row],[Dt Venc:]]=TODAY(),"Vence Hoje","Vencida")))</f>
        <v>Em Aberto</v>
      </c>
      <c r="F10104" s="3">
        <f ca="1">IF(G10104=1,"-",Tabela2[[#This Row],[Dt Venc:]]-TODAY())</f>
        <v>1683</v>
      </c>
      <c r="G10104" s="3"/>
      <c r="H10104" s="3"/>
    </row>
    <row r="10105" spans="1:8">
      <c r="A10105" s="3">
        <v>495914</v>
      </c>
      <c r="B10105" s="7" t="s">
        <v>153</v>
      </c>
      <c r="C10105" s="100" t="s">
        <v>32</v>
      </c>
      <c r="D10105" s="6">
        <v>47386</v>
      </c>
      <c r="E10105" s="3" t="str">
        <f ca="1">IF(Tabela2[[#This Row],[Dt Venc:]]&gt;TODAY(),"Em Aberto",IF(Tabela2[[#This Row],[D/venc]]="-","Enviado",IF(Tabela2[[#This Row],[Dt Venc:]]=TODAY(),"Vence Hoje","Vencida")))</f>
        <v>Em Aberto</v>
      </c>
      <c r="F10105" s="3">
        <f ca="1">IF(G10105=1,"-",Tabela2[[#This Row],[Dt Venc:]]-TODAY())</f>
        <v>1693</v>
      </c>
      <c r="G10105" s="3"/>
      <c r="H10105" s="3"/>
    </row>
    <row r="10106" spans="1:8">
      <c r="A10106" s="3">
        <v>11681</v>
      </c>
      <c r="B10106" s="7" t="s">
        <v>82</v>
      </c>
      <c r="C10106" s="87" t="s">
        <v>30</v>
      </c>
      <c r="D10106" s="6">
        <v>47391</v>
      </c>
      <c r="E10106" s="3" t="str">
        <f ca="1">IF(Tabela2[[#This Row],[Dt Venc:]]&gt;TODAY(),"Em Aberto",IF(Tabela2[[#This Row],[D/venc]]="-","Enviado",IF(Tabela2[[#This Row],[Dt Venc:]]=TODAY(),"Vence Hoje","Vencida")))</f>
        <v>Em Aberto</v>
      </c>
      <c r="F10106" s="3">
        <f ca="1">IF(G10106=1,"-",Tabela2[[#This Row],[Dt Venc:]]-TODAY())</f>
        <v>1698</v>
      </c>
      <c r="G10106" s="3"/>
      <c r="H10106" s="3"/>
    </row>
    <row r="10107" spans="1:8">
      <c r="A10107" s="3">
        <v>284620</v>
      </c>
      <c r="B10107" s="7" t="s">
        <v>153</v>
      </c>
      <c r="C10107" s="100" t="s">
        <v>32</v>
      </c>
      <c r="D10107" s="6">
        <v>47399</v>
      </c>
      <c r="E10107" s="3" t="str">
        <f ca="1">IF(Tabela2[[#This Row],[Dt Venc:]]&gt;TODAY(),"Em Aberto",IF(Tabela2[[#This Row],[D/venc]]="-","Enviado",IF(Tabela2[[#This Row],[Dt Venc:]]=TODAY(),"Vence Hoje","Vencida")))</f>
        <v>Em Aberto</v>
      </c>
      <c r="F10107" s="3">
        <f ca="1">IF(G10107=1,"-",Tabela2[[#This Row],[Dt Venc:]]-TODAY())</f>
        <v>1706</v>
      </c>
      <c r="G10107" s="3"/>
      <c r="H10107" s="3"/>
    </row>
    <row r="10108" spans="1:8">
      <c r="A10108" s="3">
        <v>562</v>
      </c>
      <c r="B10108" s="7" t="s">
        <v>251</v>
      </c>
      <c r="C10108" s="100" t="s">
        <v>32</v>
      </c>
      <c r="D10108" s="6">
        <v>47406</v>
      </c>
      <c r="E10108" s="3" t="str">
        <f ca="1">IF(Tabela2[[#This Row],[Dt Venc:]]&gt;TODAY(),"Em Aberto",IF(Tabela2[[#This Row],[D/venc]]="-","Enviado",IF(Tabela2[[#This Row],[Dt Venc:]]=TODAY(),"Vence Hoje","Vencida")))</f>
        <v>Em Aberto</v>
      </c>
      <c r="F10108" s="3">
        <f ca="1">IF(G10108=1,"-",Tabela2[[#This Row],[Dt Venc:]]-TODAY())</f>
        <v>1713</v>
      </c>
      <c r="G10108" s="3"/>
      <c r="H10108" s="3"/>
    </row>
    <row r="10109" spans="1:8">
      <c r="A10109" s="3">
        <v>361229</v>
      </c>
      <c r="B10109" s="7" t="s">
        <v>250</v>
      </c>
      <c r="C10109" s="100" t="s">
        <v>32</v>
      </c>
      <c r="D10109" s="6">
        <v>47406</v>
      </c>
      <c r="E10109" s="3" t="str">
        <f ca="1">IF(Tabela2[[#This Row],[Dt Venc:]]&gt;TODAY(),"Em Aberto",IF(Tabela2[[#This Row],[D/venc]]="-","Enviado",IF(Tabela2[[#This Row],[Dt Venc:]]=TODAY(),"Vence Hoje","Vencida")))</f>
        <v>Em Aberto</v>
      </c>
      <c r="F10109" s="3">
        <f ca="1">IF(G10109=1,"-",Tabela2[[#This Row],[Dt Venc:]]-TODAY())</f>
        <v>1713</v>
      </c>
      <c r="G10109" s="3"/>
      <c r="H10109" s="3"/>
    </row>
    <row r="10110" spans="1:8">
      <c r="A10110" s="3">
        <v>361237</v>
      </c>
      <c r="B10110" s="7" t="s">
        <v>250</v>
      </c>
      <c r="C10110" s="100" t="s">
        <v>32</v>
      </c>
      <c r="D10110" s="6">
        <v>47406</v>
      </c>
      <c r="E10110" s="3" t="str">
        <f ca="1">IF(Tabela2[[#This Row],[Dt Venc:]]&gt;TODAY(),"Em Aberto",IF(Tabela2[[#This Row],[D/venc]]="-","Enviado",IF(Tabela2[[#This Row],[Dt Venc:]]=TODAY(),"Vence Hoje","Vencida")))</f>
        <v>Em Aberto</v>
      </c>
      <c r="F10110" s="3">
        <f ca="1">IF(G10110=1,"-",Tabela2[[#This Row],[Dt Venc:]]-TODAY())</f>
        <v>1713</v>
      </c>
      <c r="G10110" s="3"/>
      <c r="H10110" s="3"/>
    </row>
    <row r="10111" spans="1:8">
      <c r="A10111" s="3">
        <v>365658</v>
      </c>
      <c r="B10111" s="7" t="s">
        <v>250</v>
      </c>
      <c r="C10111" s="100" t="s">
        <v>32</v>
      </c>
      <c r="D10111" s="6">
        <v>47406</v>
      </c>
      <c r="E10111" s="3" t="str">
        <f ca="1">IF(Tabela2[[#This Row],[Dt Venc:]]&gt;TODAY(),"Em Aberto",IF(Tabela2[[#This Row],[D/venc]]="-","Enviado",IF(Tabela2[[#This Row],[Dt Venc:]]=TODAY(),"Vence Hoje","Vencida")))</f>
        <v>Em Aberto</v>
      </c>
      <c r="F10111" s="3">
        <f ca="1">IF(G10111=1,"-",Tabela2[[#This Row],[Dt Venc:]]-TODAY())</f>
        <v>1713</v>
      </c>
      <c r="G10111" s="3"/>
      <c r="H10111" s="3"/>
    </row>
    <row r="10112" spans="1:8">
      <c r="A10112" s="3">
        <v>365666</v>
      </c>
      <c r="B10112" s="7" t="s">
        <v>250</v>
      </c>
      <c r="C10112" s="100" t="s">
        <v>32</v>
      </c>
      <c r="D10112" s="6">
        <v>47406</v>
      </c>
      <c r="E10112" s="3" t="str">
        <f ca="1">IF(Tabela2[[#This Row],[Dt Venc:]]&gt;TODAY(),"Em Aberto",IF(Tabela2[[#This Row],[D/venc]]="-","Enviado",IF(Tabela2[[#This Row],[Dt Venc:]]=TODAY(),"Vence Hoje","Vencida")))</f>
        <v>Em Aberto</v>
      </c>
      <c r="F10112" s="3">
        <f ca="1">IF(G10112=1,"-",Tabela2[[#This Row],[Dt Venc:]]-TODAY())</f>
        <v>1713</v>
      </c>
      <c r="G10112" s="3"/>
      <c r="H10112" s="3"/>
    </row>
    <row r="10113" spans="1:8">
      <c r="A10113" s="3">
        <v>365674</v>
      </c>
      <c r="B10113" s="7" t="s">
        <v>250</v>
      </c>
      <c r="C10113" s="100" t="s">
        <v>32</v>
      </c>
      <c r="D10113" s="6">
        <v>47406</v>
      </c>
      <c r="E10113" s="3" t="str">
        <f ca="1">IF(Tabela2[[#This Row],[Dt Venc:]]&gt;TODAY(),"Em Aberto",IF(Tabela2[[#This Row],[D/venc]]="-","Enviado",IF(Tabela2[[#This Row],[Dt Venc:]]=TODAY(),"Vence Hoje","Vencida")))</f>
        <v>Em Aberto</v>
      </c>
      <c r="F10113" s="3">
        <f ca="1">IF(G10113=1,"-",Tabela2[[#This Row],[Dt Venc:]]-TODAY())</f>
        <v>1713</v>
      </c>
      <c r="G10113" s="3"/>
      <c r="H10113" s="3"/>
    </row>
    <row r="10114" spans="1:8">
      <c r="A10114" s="3">
        <v>365682</v>
      </c>
      <c r="B10114" s="7" t="s">
        <v>250</v>
      </c>
      <c r="C10114" s="100" t="s">
        <v>32</v>
      </c>
      <c r="D10114" s="6">
        <v>47406</v>
      </c>
      <c r="E10114" s="3" t="str">
        <f ca="1">IF(Tabela2[[#This Row],[Dt Venc:]]&gt;TODAY(),"Em Aberto",IF(Tabela2[[#This Row],[D/venc]]="-","Enviado",IF(Tabela2[[#This Row],[Dt Venc:]]=TODAY(),"Vence Hoje","Vencida")))</f>
        <v>Em Aberto</v>
      </c>
      <c r="F10114" s="3">
        <f ca="1">IF(G10114=1,"-",Tabela2[[#This Row],[Dt Venc:]]-TODAY())</f>
        <v>1713</v>
      </c>
      <c r="G10114" s="3"/>
      <c r="H10114" s="3"/>
    </row>
    <row r="10115" spans="1:8">
      <c r="A10115" s="3">
        <v>369335</v>
      </c>
      <c r="B10115" s="7" t="s">
        <v>543</v>
      </c>
      <c r="C10115" s="87" t="s">
        <v>32</v>
      </c>
      <c r="D10115" s="6">
        <v>47406</v>
      </c>
      <c r="E10115" s="3" t="str">
        <f ca="1">IF(Tabela2[[#This Row],[Dt Venc:]]&gt;TODAY(),"Em Aberto",IF(Tabela2[[#This Row],[D/venc]]="-","Enviado",IF(Tabela2[[#This Row],[Dt Venc:]]=TODAY(),"Vence Hoje","Vencida")))</f>
        <v>Em Aberto</v>
      </c>
      <c r="F10115" s="3">
        <f ca="1">IF(G10115=1,"-",Tabela2[[#This Row],[Dt Venc:]]-TODAY())</f>
        <v>1713</v>
      </c>
      <c r="G10115" s="3"/>
      <c r="H10115" s="3"/>
    </row>
    <row r="10116" spans="1:8">
      <c r="A10116" s="3">
        <v>369696</v>
      </c>
      <c r="B10116" s="7" t="s">
        <v>543</v>
      </c>
      <c r="C10116" s="87" t="s">
        <v>32</v>
      </c>
      <c r="D10116" s="6">
        <v>47406</v>
      </c>
      <c r="E10116" s="3" t="str">
        <f ca="1">IF(Tabela2[[#This Row],[Dt Venc:]]&gt;TODAY(),"Em Aberto",IF(Tabela2[[#This Row],[D/venc]]="-","Enviado",IF(Tabela2[[#This Row],[Dt Venc:]]=TODAY(),"Vence Hoje","Vencida")))</f>
        <v>Em Aberto</v>
      </c>
      <c r="F10116" s="3">
        <f ca="1">IF(G10116=1,"-",Tabela2[[#This Row],[Dt Venc:]]-TODAY())</f>
        <v>1713</v>
      </c>
      <c r="G10116" s="3"/>
      <c r="H10116" s="3"/>
    </row>
    <row r="10117" spans="1:8">
      <c r="A10117" s="3">
        <v>369726</v>
      </c>
      <c r="B10117" s="7" t="s">
        <v>543</v>
      </c>
      <c r="C10117" s="87" t="s">
        <v>32</v>
      </c>
      <c r="D10117" s="6">
        <v>47406</v>
      </c>
      <c r="E10117" s="3" t="str">
        <f ca="1">IF(Tabela2[[#This Row],[Dt Venc:]]&gt;TODAY(),"Em Aberto",IF(Tabela2[[#This Row],[D/venc]]="-","Enviado",IF(Tabela2[[#This Row],[Dt Venc:]]=TODAY(),"Vence Hoje","Vencida")))</f>
        <v>Em Aberto</v>
      </c>
      <c r="F10117" s="3">
        <f ca="1">IF(G10117=1,"-",Tabela2[[#This Row],[Dt Venc:]]-TODAY())</f>
        <v>1713</v>
      </c>
      <c r="G10117" s="3"/>
      <c r="H10117" s="3"/>
    </row>
    <row r="10118" spans="1:8">
      <c r="A10118" s="3">
        <v>369751</v>
      </c>
      <c r="B10118" s="7" t="s">
        <v>543</v>
      </c>
      <c r="C10118" s="87" t="s">
        <v>32</v>
      </c>
      <c r="D10118" s="6">
        <v>47406</v>
      </c>
      <c r="E10118" s="3" t="str">
        <f ca="1">IF(Tabela2[[#This Row],[Dt Venc:]]&gt;TODAY(),"Em Aberto",IF(Tabela2[[#This Row],[D/venc]]="-","Enviado",IF(Tabela2[[#This Row],[Dt Venc:]]=TODAY(),"Vence Hoje","Vencida")))</f>
        <v>Em Aberto</v>
      </c>
      <c r="F10118" s="3">
        <f ca="1">IF(G10118=1,"-",Tabela2[[#This Row],[Dt Venc:]]-TODAY())</f>
        <v>1713</v>
      </c>
      <c r="G10118" s="3"/>
      <c r="H10118" s="3"/>
    </row>
    <row r="10119" spans="1:8">
      <c r="A10119" s="3">
        <v>370201</v>
      </c>
      <c r="B10119" s="7" t="s">
        <v>543</v>
      </c>
      <c r="C10119" s="87" t="s">
        <v>32</v>
      </c>
      <c r="D10119" s="6">
        <v>47406</v>
      </c>
      <c r="E10119" s="3" t="str">
        <f ca="1">IF(Tabela2[[#This Row],[Dt Venc:]]&gt;TODAY(),"Em Aberto",IF(Tabela2[[#This Row],[D/venc]]="-","Enviado",IF(Tabela2[[#This Row],[Dt Venc:]]=TODAY(),"Vence Hoje","Vencida")))</f>
        <v>Em Aberto</v>
      </c>
      <c r="F10119" s="3">
        <f ca="1">IF(G10119=1,"-",Tabela2[[#This Row],[Dt Venc:]]-TODAY())</f>
        <v>1713</v>
      </c>
      <c r="G10119" s="3"/>
      <c r="H10119" s="3"/>
    </row>
    <row r="10120" spans="1:8">
      <c r="A10120" s="3">
        <v>370864</v>
      </c>
      <c r="B10120" s="7" t="s">
        <v>543</v>
      </c>
      <c r="C10120" s="87" t="s">
        <v>32</v>
      </c>
      <c r="D10120" s="6">
        <v>47406</v>
      </c>
      <c r="E10120" s="3" t="str">
        <f ca="1">IF(Tabela2[[#This Row],[Dt Venc:]]&gt;TODAY(),"Em Aberto",IF(Tabela2[[#This Row],[D/venc]]="-","Enviado",IF(Tabela2[[#This Row],[Dt Venc:]]=TODAY(),"Vence Hoje","Vencida")))</f>
        <v>Em Aberto</v>
      </c>
      <c r="F10120" s="3">
        <f ca="1">IF(G10120=1,"-",Tabela2[[#This Row],[Dt Venc:]]-TODAY())</f>
        <v>1713</v>
      </c>
      <c r="G10120" s="3"/>
      <c r="H10120" s="3"/>
    </row>
    <row r="10121" spans="1:8">
      <c r="A10121" s="3">
        <v>371011</v>
      </c>
      <c r="B10121" s="7" t="s">
        <v>633</v>
      </c>
      <c r="C10121" s="87" t="s">
        <v>32</v>
      </c>
      <c r="D10121" s="6">
        <v>47406</v>
      </c>
      <c r="E10121" s="3" t="str">
        <f ca="1">IF(Tabela2[[#This Row],[Dt Venc:]]&gt;TODAY(),"Em Aberto",IF(Tabela2[[#This Row],[D/venc]]="-","Enviado",IF(Tabela2[[#This Row],[Dt Venc:]]=TODAY(),"Vence Hoje","Vencida")))</f>
        <v>Em Aberto</v>
      </c>
      <c r="F10121" s="3">
        <f ca="1">IF(G10121=1,"-",Tabela2[[#This Row],[Dt Venc:]]-TODAY())</f>
        <v>1713</v>
      </c>
      <c r="G10121" s="3"/>
      <c r="H10121" s="3"/>
    </row>
    <row r="10122" spans="1:8">
      <c r="A10122" s="3">
        <v>371160</v>
      </c>
      <c r="B10122" s="7" t="s">
        <v>633</v>
      </c>
      <c r="C10122" s="87" t="s">
        <v>32</v>
      </c>
      <c r="D10122" s="6">
        <v>47406</v>
      </c>
      <c r="E10122" s="3" t="str">
        <f ca="1">IF(Tabela2[[#This Row],[Dt Venc:]]&gt;TODAY(),"Em Aberto",IF(Tabela2[[#This Row],[D/venc]]="-","Enviado",IF(Tabela2[[#This Row],[Dt Venc:]]=TODAY(),"Vence Hoje","Vencida")))</f>
        <v>Em Aberto</v>
      </c>
      <c r="F10122" s="3">
        <f ca="1">IF(G10122=1,"-",Tabela2[[#This Row],[Dt Venc:]]-TODAY())</f>
        <v>1713</v>
      </c>
      <c r="G10122" s="3"/>
      <c r="H10122" s="3"/>
    </row>
    <row r="10123" spans="1:8">
      <c r="A10123" s="3">
        <v>900386</v>
      </c>
      <c r="B10123" s="7" t="s">
        <v>253</v>
      </c>
      <c r="C10123" s="100" t="s">
        <v>32</v>
      </c>
      <c r="D10123" s="6">
        <v>47406</v>
      </c>
      <c r="E10123" s="3" t="str">
        <f ca="1">IF(Tabela2[[#This Row],[Dt Venc:]]&gt;TODAY(),"Em Aberto",IF(Tabela2[[#This Row],[D/venc]]="-","Enviado",IF(Tabela2[[#This Row],[Dt Venc:]]=TODAY(),"Vence Hoje","Vencida")))</f>
        <v>Em Aberto</v>
      </c>
      <c r="F10123" s="3">
        <f ca="1">IF(G10123=1,"-",Tabela2[[#This Row],[Dt Venc:]]-TODAY())</f>
        <v>1713</v>
      </c>
      <c r="G10123" s="3"/>
      <c r="H10123" s="3"/>
    </row>
    <row r="10124" spans="1:8">
      <c r="A10124" s="3">
        <v>901787</v>
      </c>
      <c r="B10124" s="7" t="s">
        <v>253</v>
      </c>
      <c r="C10124" s="99" t="s">
        <v>32</v>
      </c>
      <c r="D10124" s="6">
        <v>47406</v>
      </c>
      <c r="E10124" s="3" t="str">
        <f ca="1">IF(Tabela2[[#This Row],[Dt Venc:]]&gt;TODAY(),"Em Aberto",IF(Tabela2[[#This Row],[D/venc]]="-","Enviado",IF(Tabela2[[#This Row],[Dt Venc:]]=TODAY(),"Vence Hoje","Vencida")))</f>
        <v>Em Aberto</v>
      </c>
      <c r="F10124" s="3">
        <f ca="1">IF(G10124=1,"-",Tabela2[[#This Row],[Dt Venc:]]-TODAY())</f>
        <v>1713</v>
      </c>
      <c r="G10124" s="3"/>
      <c r="H10124" s="3"/>
    </row>
    <row r="10125" spans="1:8">
      <c r="A10125" s="3">
        <v>901788</v>
      </c>
      <c r="B10125" s="7" t="s">
        <v>253</v>
      </c>
      <c r="C10125" s="100" t="s">
        <v>32</v>
      </c>
      <c r="D10125" s="6">
        <v>47406</v>
      </c>
      <c r="E10125" s="3" t="str">
        <f ca="1">IF(Tabela2[[#This Row],[Dt Venc:]]&gt;TODAY(),"Em Aberto",IF(Tabela2[[#This Row],[D/venc]]="-","Enviado",IF(Tabela2[[#This Row],[Dt Venc:]]=TODAY(),"Vence Hoje","Vencida")))</f>
        <v>Em Aberto</v>
      </c>
      <c r="F10125" s="3">
        <f ca="1">IF(G10125=1,"-",Tabela2[[#This Row],[Dt Venc:]]-TODAY())</f>
        <v>1713</v>
      </c>
      <c r="G10125" s="3"/>
      <c r="H10125" s="3"/>
    </row>
    <row r="10126" spans="1:8">
      <c r="A10126" s="3">
        <v>901789</v>
      </c>
      <c r="B10126" s="7" t="s">
        <v>253</v>
      </c>
      <c r="C10126" s="100" t="s">
        <v>32</v>
      </c>
      <c r="D10126" s="6">
        <v>47406</v>
      </c>
      <c r="E10126" s="3" t="str">
        <f ca="1">IF(Tabela2[[#This Row],[Dt Venc:]]&gt;TODAY(),"Em Aberto",IF(Tabela2[[#This Row],[D/venc]]="-","Enviado",IF(Tabela2[[#This Row],[Dt Venc:]]=TODAY(),"Vence Hoje","Vencida")))</f>
        <v>Em Aberto</v>
      </c>
      <c r="F10126" s="3">
        <f ca="1">IF(G10126=1,"-",Tabela2[[#This Row],[Dt Venc:]]-TODAY())</f>
        <v>1713</v>
      </c>
      <c r="G10126" s="3"/>
      <c r="H10126" s="3"/>
    </row>
    <row r="10127" spans="1:8">
      <c r="A10127" s="3">
        <v>912703</v>
      </c>
      <c r="B10127" s="7" t="s">
        <v>253</v>
      </c>
      <c r="C10127" s="100" t="s">
        <v>32</v>
      </c>
      <c r="D10127" s="6">
        <v>47406</v>
      </c>
      <c r="E10127" s="3" t="str">
        <f ca="1">IF(Tabela2[[#This Row],[Dt Venc:]]&gt;TODAY(),"Em Aberto",IF(Tabela2[[#This Row],[D/venc]]="-","Enviado",IF(Tabela2[[#This Row],[Dt Venc:]]=TODAY(),"Vence Hoje","Vencida")))</f>
        <v>Em Aberto</v>
      </c>
      <c r="F10127" s="3">
        <f ca="1">IF(G10127=1,"-",Tabela2[[#This Row],[Dt Venc:]]-TODAY())</f>
        <v>1713</v>
      </c>
      <c r="G10127" s="3"/>
      <c r="H10127" s="3"/>
    </row>
    <row r="10128" spans="1:8">
      <c r="A10128" s="3">
        <v>912704</v>
      </c>
      <c r="B10128" s="7" t="s">
        <v>253</v>
      </c>
      <c r="C10128" s="100" t="s">
        <v>32</v>
      </c>
      <c r="D10128" s="6">
        <v>47406</v>
      </c>
      <c r="E10128" s="3" t="str">
        <f ca="1">IF(Tabela2[[#This Row],[Dt Venc:]]&gt;TODAY(),"Em Aberto",IF(Tabela2[[#This Row],[D/venc]]="-","Enviado",IF(Tabela2[[#This Row],[Dt Venc:]]=TODAY(),"Vence Hoje","Vencida")))</f>
        <v>Em Aberto</v>
      </c>
      <c r="F10128" s="3">
        <f ca="1">IF(G10128=1,"-",Tabela2[[#This Row],[Dt Venc:]]-TODAY())</f>
        <v>1713</v>
      </c>
      <c r="G10128" s="3"/>
      <c r="H10128" s="3"/>
    </row>
    <row r="10129" spans="1:8">
      <c r="A10129" s="3">
        <v>919728</v>
      </c>
      <c r="B10129" s="7" t="s">
        <v>253</v>
      </c>
      <c r="C10129" s="87" t="s">
        <v>32</v>
      </c>
      <c r="D10129" s="6">
        <v>47406</v>
      </c>
      <c r="E10129" s="3" t="str">
        <f ca="1">IF(Tabela2[[#This Row],[Dt Venc:]]&gt;TODAY(),"Em Aberto",IF(Tabela2[[#This Row],[D/venc]]="-","Enviado",IF(Tabela2[[#This Row],[Dt Venc:]]=TODAY(),"Vence Hoje","Vencida")))</f>
        <v>Em Aberto</v>
      </c>
      <c r="F10129" s="3">
        <f ca="1">IF(G10129=1,"-",Tabela2[[#This Row],[Dt Venc:]]-TODAY())</f>
        <v>1713</v>
      </c>
      <c r="G10129" s="3"/>
      <c r="H10129" s="3"/>
    </row>
    <row r="10130" spans="1:8">
      <c r="A10130" s="3">
        <v>919729</v>
      </c>
      <c r="B10130" s="7" t="s">
        <v>253</v>
      </c>
      <c r="C10130" s="87" t="s">
        <v>32</v>
      </c>
      <c r="D10130" s="6">
        <v>47406</v>
      </c>
      <c r="E10130" s="3" t="str">
        <f ca="1">IF(Tabela2[[#This Row],[Dt Venc:]]&gt;TODAY(),"Em Aberto",IF(Tabela2[[#This Row],[D/venc]]="-","Enviado",IF(Tabela2[[#This Row],[Dt Venc:]]=TODAY(),"Vence Hoje","Vencida")))</f>
        <v>Em Aberto</v>
      </c>
      <c r="F10130" s="3">
        <f ca="1">IF(G10130=1,"-",Tabela2[[#This Row],[Dt Venc:]]-TODAY())</f>
        <v>1713</v>
      </c>
      <c r="G10130" s="3"/>
      <c r="H10130" s="3"/>
    </row>
    <row r="10131" spans="1:8">
      <c r="A10131" s="3">
        <v>495914</v>
      </c>
      <c r="B10131" s="7" t="s">
        <v>153</v>
      </c>
      <c r="C10131" s="100" t="s">
        <v>32</v>
      </c>
      <c r="D10131" s="6">
        <v>47416</v>
      </c>
      <c r="E10131" s="3" t="str">
        <f ca="1">IF(Tabela2[[#This Row],[Dt Venc:]]&gt;TODAY(),"Em Aberto",IF(Tabela2[[#This Row],[D/venc]]="-","Enviado",IF(Tabela2[[#This Row],[Dt Venc:]]=TODAY(),"Vence Hoje","Vencida")))</f>
        <v>Em Aberto</v>
      </c>
      <c r="F10131" s="3">
        <f ca="1">IF(G10131=1,"-",Tabela2[[#This Row],[Dt Venc:]]-TODAY())</f>
        <v>1723</v>
      </c>
      <c r="G10131" s="3"/>
      <c r="H10131" s="3"/>
    </row>
    <row r="10132" spans="1:8">
      <c r="A10132" s="3">
        <v>11681</v>
      </c>
      <c r="B10132" s="7" t="s">
        <v>82</v>
      </c>
      <c r="C10132" s="87" t="s">
        <v>30</v>
      </c>
      <c r="D10132" s="6">
        <v>47422</v>
      </c>
      <c r="E10132" s="3" t="str">
        <f ca="1">IF(Tabela2[[#This Row],[Dt Venc:]]&gt;TODAY(),"Em Aberto",IF(Tabela2[[#This Row],[D/venc]]="-","Enviado",IF(Tabela2[[#This Row],[Dt Venc:]]=TODAY(),"Vence Hoje","Vencida")))</f>
        <v>Em Aberto</v>
      </c>
      <c r="F10132" s="3">
        <f ca="1">IF(G10132=1,"-",Tabela2[[#This Row],[Dt Venc:]]-TODAY())</f>
        <v>1729</v>
      </c>
      <c r="G10132" s="3"/>
      <c r="H10132" s="3"/>
    </row>
    <row r="10133" spans="1:8">
      <c r="A10133" s="3">
        <v>284620</v>
      </c>
      <c r="B10133" s="7" t="s">
        <v>153</v>
      </c>
      <c r="C10133" s="100" t="s">
        <v>32</v>
      </c>
      <c r="D10133" s="6">
        <v>47430</v>
      </c>
      <c r="E10133" s="3" t="str">
        <f ca="1">IF(Tabela2[[#This Row],[Dt Venc:]]&gt;TODAY(),"Em Aberto",IF(Tabela2[[#This Row],[D/venc]]="-","Enviado",IF(Tabela2[[#This Row],[Dt Venc:]]=TODAY(),"Vence Hoje","Vencida")))</f>
        <v>Em Aberto</v>
      </c>
      <c r="F10133" s="3">
        <f ca="1">IF(G10133=1,"-",Tabela2[[#This Row],[Dt Venc:]]-TODAY())</f>
        <v>1737</v>
      </c>
      <c r="G10133" s="3"/>
      <c r="H10133" s="3"/>
    </row>
    <row r="10134" spans="1:8">
      <c r="A10134" s="3">
        <v>562</v>
      </c>
      <c r="B10134" s="7" t="s">
        <v>251</v>
      </c>
      <c r="C10134" s="100" t="s">
        <v>32</v>
      </c>
      <c r="D10134" s="6">
        <v>47437</v>
      </c>
      <c r="E10134" s="3" t="str">
        <f ca="1">IF(Tabela2[[#This Row],[Dt Venc:]]&gt;TODAY(),"Em Aberto",IF(Tabela2[[#This Row],[D/venc]]="-","Enviado",IF(Tabela2[[#This Row],[Dt Venc:]]=TODAY(),"Vence Hoje","Vencida")))</f>
        <v>Em Aberto</v>
      </c>
      <c r="F10134" s="3">
        <f ca="1">IF(G10134=1,"-",Tabela2[[#This Row],[Dt Venc:]]-TODAY())</f>
        <v>1744</v>
      </c>
      <c r="G10134" s="3"/>
      <c r="H10134" s="3"/>
    </row>
    <row r="10135" spans="1:8">
      <c r="A10135" s="3">
        <v>365658</v>
      </c>
      <c r="B10135" s="7" t="s">
        <v>250</v>
      </c>
      <c r="C10135" s="100" t="s">
        <v>32</v>
      </c>
      <c r="D10135" s="6">
        <v>47437</v>
      </c>
      <c r="E10135" s="3" t="str">
        <f ca="1">IF(Tabela2[[#This Row],[Dt Venc:]]&gt;TODAY(),"Em Aberto",IF(Tabela2[[#This Row],[D/venc]]="-","Enviado",IF(Tabela2[[#This Row],[Dt Venc:]]=TODAY(),"Vence Hoje","Vencida")))</f>
        <v>Em Aberto</v>
      </c>
      <c r="F10135" s="3">
        <f ca="1">IF(G10135=1,"-",Tabela2[[#This Row],[Dt Venc:]]-TODAY())</f>
        <v>1744</v>
      </c>
      <c r="G10135" s="3"/>
      <c r="H10135" s="3"/>
    </row>
    <row r="10136" spans="1:8">
      <c r="A10136" s="3">
        <v>365666</v>
      </c>
      <c r="B10136" s="7" t="s">
        <v>250</v>
      </c>
      <c r="C10136" s="99" t="s">
        <v>32</v>
      </c>
      <c r="D10136" s="6">
        <v>47437</v>
      </c>
      <c r="E10136" s="3" t="str">
        <f ca="1">IF(Tabela2[[#This Row],[Dt Venc:]]&gt;TODAY(),"Em Aberto",IF(Tabela2[[#This Row],[D/venc]]="-","Enviado",IF(Tabela2[[#This Row],[Dt Venc:]]=TODAY(),"Vence Hoje","Vencida")))</f>
        <v>Em Aberto</v>
      </c>
      <c r="F10136" s="3">
        <f ca="1">IF(G10136=1,"-",Tabela2[[#This Row],[Dt Venc:]]-TODAY())</f>
        <v>1744</v>
      </c>
      <c r="G10136" s="3"/>
      <c r="H10136" s="3"/>
    </row>
    <row r="10137" spans="1:8">
      <c r="A10137" s="3">
        <v>365674</v>
      </c>
      <c r="B10137" s="7" t="s">
        <v>250</v>
      </c>
      <c r="C10137" s="99" t="s">
        <v>32</v>
      </c>
      <c r="D10137" s="6">
        <v>47437</v>
      </c>
      <c r="E10137" s="3" t="str">
        <f ca="1">IF(Tabela2[[#This Row],[Dt Venc:]]&gt;TODAY(),"Em Aberto",IF(Tabela2[[#This Row],[D/venc]]="-","Enviado",IF(Tabela2[[#This Row],[Dt Venc:]]=TODAY(),"Vence Hoje","Vencida")))</f>
        <v>Em Aberto</v>
      </c>
      <c r="F10137" s="3">
        <f ca="1">IF(G10137=1,"-",Tabela2[[#This Row],[Dt Venc:]]-TODAY())</f>
        <v>1744</v>
      </c>
      <c r="G10137" s="3"/>
      <c r="H10137" s="3"/>
    </row>
    <row r="10138" spans="1:8">
      <c r="A10138" s="3">
        <v>365682</v>
      </c>
      <c r="B10138" s="7" t="s">
        <v>250</v>
      </c>
      <c r="C10138" s="99" t="s">
        <v>32</v>
      </c>
      <c r="D10138" s="6">
        <v>47437</v>
      </c>
      <c r="E10138" s="3" t="str">
        <f ca="1">IF(Tabela2[[#This Row],[Dt Venc:]]&gt;TODAY(),"Em Aberto",IF(Tabela2[[#This Row],[D/venc]]="-","Enviado",IF(Tabela2[[#This Row],[Dt Venc:]]=TODAY(),"Vence Hoje","Vencida")))</f>
        <v>Em Aberto</v>
      </c>
      <c r="F10138" s="3">
        <f ca="1">IF(G10138=1,"-",Tabela2[[#This Row],[Dt Venc:]]-TODAY())</f>
        <v>1744</v>
      </c>
      <c r="G10138" s="3"/>
      <c r="H10138" s="3"/>
    </row>
    <row r="10139" spans="1:8">
      <c r="A10139" s="3">
        <v>369335</v>
      </c>
      <c r="B10139" s="7" t="s">
        <v>543</v>
      </c>
      <c r="C10139" s="87" t="s">
        <v>32</v>
      </c>
      <c r="D10139" s="6">
        <v>47437</v>
      </c>
      <c r="E10139" s="3" t="str">
        <f ca="1">IF(Tabela2[[#This Row],[Dt Venc:]]&gt;TODAY(),"Em Aberto",IF(Tabela2[[#This Row],[D/venc]]="-","Enviado",IF(Tabela2[[#This Row],[Dt Venc:]]=TODAY(),"Vence Hoje","Vencida")))</f>
        <v>Em Aberto</v>
      </c>
      <c r="F10139" s="3">
        <f ca="1">IF(G10139=1,"-",Tabela2[[#This Row],[Dt Venc:]]-TODAY())</f>
        <v>1744</v>
      </c>
      <c r="G10139" s="3"/>
      <c r="H10139" s="3"/>
    </row>
    <row r="10140" spans="1:8">
      <c r="A10140" s="3">
        <v>369696</v>
      </c>
      <c r="B10140" s="7" t="s">
        <v>543</v>
      </c>
      <c r="C10140" s="87" t="s">
        <v>32</v>
      </c>
      <c r="D10140" s="6">
        <v>47437</v>
      </c>
      <c r="E10140" s="3" t="str">
        <f ca="1">IF(Tabela2[[#This Row],[Dt Venc:]]&gt;TODAY(),"Em Aberto",IF(Tabela2[[#This Row],[D/venc]]="-","Enviado",IF(Tabela2[[#This Row],[Dt Venc:]]=TODAY(),"Vence Hoje","Vencida")))</f>
        <v>Em Aberto</v>
      </c>
      <c r="F10140" s="3">
        <f ca="1">IF(G10140=1,"-",Tabela2[[#This Row],[Dt Venc:]]-TODAY())</f>
        <v>1744</v>
      </c>
      <c r="G10140" s="3"/>
      <c r="H10140" s="3"/>
    </row>
    <row r="10141" spans="1:8">
      <c r="A10141" s="3">
        <v>369726</v>
      </c>
      <c r="B10141" s="7" t="s">
        <v>543</v>
      </c>
      <c r="C10141" s="87" t="s">
        <v>32</v>
      </c>
      <c r="D10141" s="6">
        <v>47437</v>
      </c>
      <c r="E10141" s="3" t="str">
        <f ca="1">IF(Tabela2[[#This Row],[Dt Venc:]]&gt;TODAY(),"Em Aberto",IF(Tabela2[[#This Row],[D/venc]]="-","Enviado",IF(Tabela2[[#This Row],[Dt Venc:]]=TODAY(),"Vence Hoje","Vencida")))</f>
        <v>Em Aberto</v>
      </c>
      <c r="F10141" s="3">
        <f ca="1">IF(G10141=1,"-",Tabela2[[#This Row],[Dt Venc:]]-TODAY())</f>
        <v>1744</v>
      </c>
      <c r="G10141" s="3"/>
      <c r="H10141" s="3"/>
    </row>
    <row r="10142" spans="1:8">
      <c r="A10142" s="3">
        <v>369751</v>
      </c>
      <c r="B10142" s="7" t="s">
        <v>543</v>
      </c>
      <c r="C10142" s="87" t="s">
        <v>32</v>
      </c>
      <c r="D10142" s="6">
        <v>47437</v>
      </c>
      <c r="E10142" s="3" t="str">
        <f ca="1">IF(Tabela2[[#This Row],[Dt Venc:]]&gt;TODAY(),"Em Aberto",IF(Tabela2[[#This Row],[D/venc]]="-","Enviado",IF(Tabela2[[#This Row],[Dt Venc:]]=TODAY(),"Vence Hoje","Vencida")))</f>
        <v>Em Aberto</v>
      </c>
      <c r="F10142" s="3">
        <f ca="1">IF(G10142=1,"-",Tabela2[[#This Row],[Dt Venc:]]-TODAY())</f>
        <v>1744</v>
      </c>
      <c r="G10142" s="3"/>
      <c r="H10142" s="3"/>
    </row>
    <row r="10143" spans="1:8">
      <c r="A10143" s="3">
        <v>370201</v>
      </c>
      <c r="B10143" s="7" t="s">
        <v>543</v>
      </c>
      <c r="C10143" s="87" t="s">
        <v>32</v>
      </c>
      <c r="D10143" s="6">
        <v>47437</v>
      </c>
      <c r="E10143" s="3" t="str">
        <f ca="1">IF(Tabela2[[#This Row],[Dt Venc:]]&gt;TODAY(),"Em Aberto",IF(Tabela2[[#This Row],[D/venc]]="-","Enviado",IF(Tabela2[[#This Row],[Dt Venc:]]=TODAY(),"Vence Hoje","Vencida")))</f>
        <v>Em Aberto</v>
      </c>
      <c r="F10143" s="3">
        <f ca="1">IF(G10143=1,"-",Tabela2[[#This Row],[Dt Venc:]]-TODAY())</f>
        <v>1744</v>
      </c>
      <c r="G10143" s="3"/>
      <c r="H10143" s="3"/>
    </row>
    <row r="10144" spans="1:8">
      <c r="A10144" s="3">
        <v>370864</v>
      </c>
      <c r="B10144" s="7" t="s">
        <v>543</v>
      </c>
      <c r="C10144" s="87" t="s">
        <v>32</v>
      </c>
      <c r="D10144" s="6">
        <v>47437</v>
      </c>
      <c r="E10144" s="3" t="str">
        <f ca="1">IF(Tabela2[[#This Row],[Dt Venc:]]&gt;TODAY(),"Em Aberto",IF(Tabela2[[#This Row],[D/venc]]="-","Enviado",IF(Tabela2[[#This Row],[Dt Venc:]]=TODAY(),"Vence Hoje","Vencida")))</f>
        <v>Em Aberto</v>
      </c>
      <c r="F10144" s="3">
        <f ca="1">IF(G10144=1,"-",Tabela2[[#This Row],[Dt Venc:]]-TODAY())</f>
        <v>1744</v>
      </c>
      <c r="G10144" s="3"/>
      <c r="H10144" s="3"/>
    </row>
    <row r="10145" spans="1:8">
      <c r="A10145" s="3">
        <v>371011</v>
      </c>
      <c r="B10145" s="7" t="s">
        <v>633</v>
      </c>
      <c r="C10145" s="87" t="s">
        <v>32</v>
      </c>
      <c r="D10145" s="6">
        <v>47437</v>
      </c>
      <c r="E10145" s="3" t="str">
        <f ca="1">IF(Tabela2[[#This Row],[Dt Venc:]]&gt;TODAY(),"Em Aberto",IF(Tabela2[[#This Row],[D/venc]]="-","Enviado",IF(Tabela2[[#This Row],[Dt Venc:]]=TODAY(),"Vence Hoje","Vencida")))</f>
        <v>Em Aberto</v>
      </c>
      <c r="F10145" s="3">
        <f ca="1">IF(G10145=1,"-",Tabela2[[#This Row],[Dt Venc:]]-TODAY())</f>
        <v>1744</v>
      </c>
      <c r="G10145" s="3"/>
      <c r="H10145" s="3"/>
    </row>
    <row r="10146" spans="1:8">
      <c r="A10146" s="3">
        <v>371160</v>
      </c>
      <c r="B10146" s="7" t="s">
        <v>633</v>
      </c>
      <c r="C10146" s="87" t="s">
        <v>32</v>
      </c>
      <c r="D10146" s="6">
        <v>47437</v>
      </c>
      <c r="E10146" s="3" t="str">
        <f ca="1">IF(Tabela2[[#This Row],[Dt Venc:]]&gt;TODAY(),"Em Aberto",IF(Tabela2[[#This Row],[D/venc]]="-","Enviado",IF(Tabela2[[#This Row],[Dt Venc:]]=TODAY(),"Vence Hoje","Vencida")))</f>
        <v>Em Aberto</v>
      </c>
      <c r="F10146" s="3">
        <f ca="1">IF(G10146=1,"-",Tabela2[[#This Row],[Dt Venc:]]-TODAY())</f>
        <v>1744</v>
      </c>
      <c r="G10146" s="3"/>
      <c r="H10146" s="3"/>
    </row>
    <row r="10147" spans="1:8">
      <c r="A10147" s="3">
        <v>901787</v>
      </c>
      <c r="B10147" s="7" t="s">
        <v>253</v>
      </c>
      <c r="C10147" s="99" t="s">
        <v>32</v>
      </c>
      <c r="D10147" s="6">
        <v>47437</v>
      </c>
      <c r="E10147" s="3" t="str">
        <f ca="1">IF(Tabela2[[#This Row],[Dt Venc:]]&gt;TODAY(),"Em Aberto",IF(Tabela2[[#This Row],[D/venc]]="-","Enviado",IF(Tabela2[[#This Row],[Dt Venc:]]=TODAY(),"Vence Hoje","Vencida")))</f>
        <v>Em Aberto</v>
      </c>
      <c r="F10147" s="3">
        <f ca="1">IF(G10147=1,"-",Tabela2[[#This Row],[Dt Venc:]]-TODAY())</f>
        <v>1744</v>
      </c>
      <c r="G10147" s="3"/>
      <c r="H10147" s="3"/>
    </row>
    <row r="10148" spans="1:8">
      <c r="A10148" s="3">
        <v>901788</v>
      </c>
      <c r="B10148" s="7" t="s">
        <v>253</v>
      </c>
      <c r="C10148" s="99" t="s">
        <v>32</v>
      </c>
      <c r="D10148" s="6">
        <v>47437</v>
      </c>
      <c r="E10148" s="3" t="str">
        <f ca="1">IF(Tabela2[[#This Row],[Dt Venc:]]&gt;TODAY(),"Em Aberto",IF(Tabela2[[#This Row],[D/venc]]="-","Enviado",IF(Tabela2[[#This Row],[Dt Venc:]]=TODAY(),"Vence Hoje","Vencida")))</f>
        <v>Em Aberto</v>
      </c>
      <c r="F10148" s="3">
        <f ca="1">IF(G10148=1,"-",Tabela2[[#This Row],[Dt Venc:]]-TODAY())</f>
        <v>1744</v>
      </c>
      <c r="G10148" s="3"/>
      <c r="H10148" s="3"/>
    </row>
    <row r="10149" spans="1:8">
      <c r="A10149" s="3">
        <v>901789</v>
      </c>
      <c r="B10149" s="7" t="s">
        <v>253</v>
      </c>
      <c r="C10149" s="99" t="s">
        <v>32</v>
      </c>
      <c r="D10149" s="6">
        <v>47437</v>
      </c>
      <c r="E10149" s="3" t="str">
        <f ca="1">IF(Tabela2[[#This Row],[Dt Venc:]]&gt;TODAY(),"Em Aberto",IF(Tabela2[[#This Row],[D/venc]]="-","Enviado",IF(Tabela2[[#This Row],[Dt Venc:]]=TODAY(),"Vence Hoje","Vencida")))</f>
        <v>Em Aberto</v>
      </c>
      <c r="F10149" s="3">
        <f ca="1">IF(G10149=1,"-",Tabela2[[#This Row],[Dt Venc:]]-TODAY())</f>
        <v>1744</v>
      </c>
      <c r="G10149" s="3"/>
      <c r="H10149" s="3"/>
    </row>
    <row r="10150" spans="1:8">
      <c r="A10150" s="3">
        <v>912703</v>
      </c>
      <c r="B10150" s="7" t="s">
        <v>253</v>
      </c>
      <c r="C10150" s="99" t="s">
        <v>32</v>
      </c>
      <c r="D10150" s="6">
        <v>47437</v>
      </c>
      <c r="E10150" s="3" t="str">
        <f ca="1">IF(Tabela2[[#This Row],[Dt Venc:]]&gt;TODAY(),"Em Aberto",IF(Tabela2[[#This Row],[D/venc]]="-","Enviado",IF(Tabela2[[#This Row],[Dt Venc:]]=TODAY(),"Vence Hoje","Vencida")))</f>
        <v>Em Aberto</v>
      </c>
      <c r="F10150" s="3">
        <f ca="1">IF(G10150=1,"-",Tabela2[[#This Row],[Dt Venc:]]-TODAY())</f>
        <v>1744</v>
      </c>
      <c r="G10150" s="3"/>
      <c r="H10150" s="3"/>
    </row>
    <row r="10151" spans="1:8">
      <c r="A10151" s="3">
        <v>912704</v>
      </c>
      <c r="B10151" s="7" t="s">
        <v>253</v>
      </c>
      <c r="C10151" s="99" t="s">
        <v>32</v>
      </c>
      <c r="D10151" s="6">
        <v>47437</v>
      </c>
      <c r="E10151" s="3" t="str">
        <f ca="1">IF(Tabela2[[#This Row],[Dt Venc:]]&gt;TODAY(),"Em Aberto",IF(Tabela2[[#This Row],[D/venc]]="-","Enviado",IF(Tabela2[[#This Row],[Dt Venc:]]=TODAY(),"Vence Hoje","Vencida")))</f>
        <v>Em Aberto</v>
      </c>
      <c r="F10151" s="3">
        <f ca="1">IF(G10151=1,"-",Tabela2[[#This Row],[Dt Venc:]]-TODAY())</f>
        <v>1744</v>
      </c>
      <c r="G10151" s="3"/>
      <c r="H10151" s="3"/>
    </row>
    <row r="10152" spans="1:8">
      <c r="A10152" s="3">
        <v>919728</v>
      </c>
      <c r="B10152" s="7" t="s">
        <v>253</v>
      </c>
      <c r="C10152" s="87" t="s">
        <v>32</v>
      </c>
      <c r="D10152" s="6">
        <v>47437</v>
      </c>
      <c r="E10152" s="3" t="str">
        <f ca="1">IF(Tabela2[[#This Row],[Dt Venc:]]&gt;TODAY(),"Em Aberto",IF(Tabela2[[#This Row],[D/venc]]="-","Enviado",IF(Tabela2[[#This Row],[Dt Venc:]]=TODAY(),"Vence Hoje","Vencida")))</f>
        <v>Em Aberto</v>
      </c>
      <c r="F10152" s="3">
        <f ca="1">IF(G10152=1,"-",Tabela2[[#This Row],[Dt Venc:]]-TODAY())</f>
        <v>1744</v>
      </c>
      <c r="G10152" s="3"/>
      <c r="H10152" s="3"/>
    </row>
    <row r="10153" spans="1:8">
      <c r="A10153" s="3">
        <v>919729</v>
      </c>
      <c r="B10153" s="7" t="s">
        <v>253</v>
      </c>
      <c r="C10153" s="87" t="s">
        <v>32</v>
      </c>
      <c r="D10153" s="6">
        <v>47437</v>
      </c>
      <c r="E10153" s="3" t="str">
        <f ca="1">IF(Tabela2[[#This Row],[Dt Venc:]]&gt;TODAY(),"Em Aberto",IF(Tabela2[[#This Row],[D/venc]]="-","Enviado",IF(Tabela2[[#This Row],[Dt Venc:]]=TODAY(),"Vence Hoje","Vencida")))</f>
        <v>Em Aberto</v>
      </c>
      <c r="F10153" s="3">
        <f ca="1">IF(G10153=1,"-",Tabela2[[#This Row],[Dt Venc:]]-TODAY())</f>
        <v>1744</v>
      </c>
      <c r="G10153" s="3"/>
      <c r="H10153" s="3"/>
    </row>
    <row r="10154" spans="1:8">
      <c r="A10154" s="3">
        <v>11681</v>
      </c>
      <c r="B10154" s="7" t="s">
        <v>82</v>
      </c>
      <c r="C10154" s="87" t="s">
        <v>30</v>
      </c>
      <c r="D10154" s="6">
        <v>47452</v>
      </c>
      <c r="E10154" s="3" t="str">
        <f ca="1">IF(Tabela2[[#This Row],[Dt Venc:]]&gt;TODAY(),"Em Aberto",IF(Tabela2[[#This Row],[D/venc]]="-","Enviado",IF(Tabela2[[#This Row],[Dt Venc:]]=TODAY(),"Vence Hoje","Vencida")))</f>
        <v>Em Aberto</v>
      </c>
      <c r="F10154" s="3">
        <f ca="1">IF(G10154=1,"-",Tabela2[[#This Row],[Dt Venc:]]-TODAY())</f>
        <v>1759</v>
      </c>
      <c r="G10154" s="3"/>
      <c r="H10154" s="3"/>
    </row>
    <row r="10155" spans="1:8">
      <c r="A10155" s="3">
        <v>562</v>
      </c>
      <c r="B10155" s="7" t="s">
        <v>251</v>
      </c>
      <c r="C10155" s="99" t="s">
        <v>32</v>
      </c>
      <c r="D10155" s="6">
        <v>47467</v>
      </c>
      <c r="E10155" s="3" t="str">
        <f ca="1">IF(Tabela2[[#This Row],[Dt Venc:]]&gt;TODAY(),"Em Aberto",IF(Tabela2[[#This Row],[D/venc]]="-","Enviado",IF(Tabela2[[#This Row],[Dt Venc:]]=TODAY(),"Vence Hoje","Vencida")))</f>
        <v>Em Aberto</v>
      </c>
      <c r="F10155" s="3">
        <f ca="1">IF(G10155=1,"-",Tabela2[[#This Row],[Dt Venc:]]-TODAY())</f>
        <v>1774</v>
      </c>
      <c r="G10155" s="3"/>
      <c r="H10155" s="3"/>
    </row>
    <row r="10156" spans="1:8">
      <c r="A10156" s="3">
        <v>365658</v>
      </c>
      <c r="B10156" s="7" t="s">
        <v>250</v>
      </c>
      <c r="C10156" s="99" t="s">
        <v>32</v>
      </c>
      <c r="D10156" s="6">
        <v>47467</v>
      </c>
      <c r="E10156" s="3" t="str">
        <f ca="1">IF(Tabela2[[#This Row],[Dt Venc:]]&gt;TODAY(),"Em Aberto",IF(Tabela2[[#This Row],[D/venc]]="-","Enviado",IF(Tabela2[[#This Row],[Dt Venc:]]=TODAY(),"Vence Hoje","Vencida")))</f>
        <v>Em Aberto</v>
      </c>
      <c r="F10156" s="3">
        <f ca="1">IF(G10156=1,"-",Tabela2[[#This Row],[Dt Venc:]]-TODAY())</f>
        <v>1774</v>
      </c>
      <c r="G10156" s="3"/>
      <c r="H10156" s="3"/>
    </row>
    <row r="10157" spans="1:8">
      <c r="A10157" s="3">
        <v>365666</v>
      </c>
      <c r="B10157" s="7" t="s">
        <v>250</v>
      </c>
      <c r="C10157" s="99" t="s">
        <v>32</v>
      </c>
      <c r="D10157" s="6">
        <v>47467</v>
      </c>
      <c r="E10157" s="3" t="str">
        <f ca="1">IF(Tabela2[[#This Row],[Dt Venc:]]&gt;TODAY(),"Em Aberto",IF(Tabela2[[#This Row],[D/venc]]="-","Enviado",IF(Tabela2[[#This Row],[Dt Venc:]]=TODAY(),"Vence Hoje","Vencida")))</f>
        <v>Em Aberto</v>
      </c>
      <c r="F10157" s="3">
        <f ca="1">IF(G10157=1,"-",Tabela2[[#This Row],[Dt Venc:]]-TODAY())</f>
        <v>1774</v>
      </c>
      <c r="G10157" s="3"/>
      <c r="H10157" s="3"/>
    </row>
    <row r="10158" spans="1:8">
      <c r="A10158" s="3">
        <v>365674</v>
      </c>
      <c r="B10158" s="7" t="s">
        <v>250</v>
      </c>
      <c r="C10158" s="99" t="s">
        <v>32</v>
      </c>
      <c r="D10158" s="6">
        <v>47467</v>
      </c>
      <c r="E10158" s="3" t="str">
        <f ca="1">IF(Tabela2[[#This Row],[Dt Venc:]]&gt;TODAY(),"Em Aberto",IF(Tabela2[[#This Row],[D/venc]]="-","Enviado",IF(Tabela2[[#This Row],[Dt Venc:]]=TODAY(),"Vence Hoje","Vencida")))</f>
        <v>Em Aberto</v>
      </c>
      <c r="F10158" s="3">
        <f ca="1">IF(G10158=1,"-",Tabela2[[#This Row],[Dt Venc:]]-TODAY())</f>
        <v>1774</v>
      </c>
      <c r="G10158" s="3"/>
      <c r="H10158" s="3"/>
    </row>
    <row r="10159" spans="1:8">
      <c r="A10159" s="3">
        <v>365682</v>
      </c>
      <c r="B10159" s="7" t="s">
        <v>250</v>
      </c>
      <c r="C10159" s="99" t="s">
        <v>32</v>
      </c>
      <c r="D10159" s="6">
        <v>47467</v>
      </c>
      <c r="E10159" s="3" t="str">
        <f ca="1">IF(Tabela2[[#This Row],[Dt Venc:]]&gt;TODAY(),"Em Aberto",IF(Tabela2[[#This Row],[D/venc]]="-","Enviado",IF(Tabela2[[#This Row],[Dt Venc:]]=TODAY(),"Vence Hoje","Vencida")))</f>
        <v>Em Aberto</v>
      </c>
      <c r="F10159" s="3">
        <f ca="1">IF(G10159=1,"-",Tabela2[[#This Row],[Dt Venc:]]-TODAY())</f>
        <v>1774</v>
      </c>
      <c r="G10159" s="3"/>
      <c r="H10159" s="3"/>
    </row>
    <row r="10160" spans="1:8">
      <c r="A10160" s="3">
        <v>369335</v>
      </c>
      <c r="B10160" s="7" t="s">
        <v>543</v>
      </c>
      <c r="C10160" s="87" t="s">
        <v>32</v>
      </c>
      <c r="D10160" s="6">
        <v>47467</v>
      </c>
      <c r="E10160" s="3" t="str">
        <f ca="1">IF(Tabela2[[#This Row],[Dt Venc:]]&gt;TODAY(),"Em Aberto",IF(Tabela2[[#This Row],[D/venc]]="-","Enviado",IF(Tabela2[[#This Row],[Dt Venc:]]=TODAY(),"Vence Hoje","Vencida")))</f>
        <v>Em Aberto</v>
      </c>
      <c r="F10160" s="3">
        <f ca="1">IF(G10160=1,"-",Tabela2[[#This Row],[Dt Venc:]]-TODAY())</f>
        <v>1774</v>
      </c>
      <c r="G10160" s="3"/>
      <c r="H10160" s="3"/>
    </row>
    <row r="10161" spans="1:8">
      <c r="A10161" s="3">
        <v>369696</v>
      </c>
      <c r="B10161" s="7" t="s">
        <v>543</v>
      </c>
      <c r="C10161" s="87" t="s">
        <v>32</v>
      </c>
      <c r="D10161" s="6">
        <v>47467</v>
      </c>
      <c r="E10161" s="3" t="str">
        <f ca="1">IF(Tabela2[[#This Row],[Dt Venc:]]&gt;TODAY(),"Em Aberto",IF(Tabela2[[#This Row],[D/venc]]="-","Enviado",IF(Tabela2[[#This Row],[Dt Venc:]]=TODAY(),"Vence Hoje","Vencida")))</f>
        <v>Em Aberto</v>
      </c>
      <c r="F10161" s="3">
        <f ca="1">IF(G10161=1,"-",Tabela2[[#This Row],[Dt Venc:]]-TODAY())</f>
        <v>1774</v>
      </c>
      <c r="G10161" s="3"/>
      <c r="H10161" s="3"/>
    </row>
    <row r="10162" spans="1:8">
      <c r="A10162" s="3">
        <v>369726</v>
      </c>
      <c r="B10162" s="7" t="s">
        <v>543</v>
      </c>
      <c r="C10162" s="87" t="s">
        <v>32</v>
      </c>
      <c r="D10162" s="6">
        <v>47467</v>
      </c>
      <c r="E10162" s="3" t="str">
        <f ca="1">IF(Tabela2[[#This Row],[Dt Venc:]]&gt;TODAY(),"Em Aberto",IF(Tabela2[[#This Row],[D/venc]]="-","Enviado",IF(Tabela2[[#This Row],[Dt Venc:]]=TODAY(),"Vence Hoje","Vencida")))</f>
        <v>Em Aberto</v>
      </c>
      <c r="F10162" s="3">
        <f ca="1">IF(G10162=1,"-",Tabela2[[#This Row],[Dt Venc:]]-TODAY())</f>
        <v>1774</v>
      </c>
      <c r="G10162" s="3"/>
      <c r="H10162" s="3"/>
    </row>
    <row r="10163" spans="1:8">
      <c r="A10163" s="3">
        <v>369751</v>
      </c>
      <c r="B10163" s="7" t="s">
        <v>543</v>
      </c>
      <c r="C10163" s="87" t="s">
        <v>32</v>
      </c>
      <c r="D10163" s="6">
        <v>47467</v>
      </c>
      <c r="E10163" s="3" t="str">
        <f ca="1">IF(Tabela2[[#This Row],[Dt Venc:]]&gt;TODAY(),"Em Aberto",IF(Tabela2[[#This Row],[D/venc]]="-","Enviado",IF(Tabela2[[#This Row],[Dt Venc:]]=TODAY(),"Vence Hoje","Vencida")))</f>
        <v>Em Aberto</v>
      </c>
      <c r="F10163" s="3">
        <f ca="1">IF(G10163=1,"-",Tabela2[[#This Row],[Dt Venc:]]-TODAY())</f>
        <v>1774</v>
      </c>
      <c r="G10163" s="3"/>
      <c r="H10163" s="3"/>
    </row>
    <row r="10164" spans="1:8">
      <c r="A10164" s="3">
        <v>370201</v>
      </c>
      <c r="B10164" s="7" t="s">
        <v>543</v>
      </c>
      <c r="C10164" s="87" t="s">
        <v>32</v>
      </c>
      <c r="D10164" s="6">
        <v>47467</v>
      </c>
      <c r="E10164" s="3" t="str">
        <f ca="1">IF(Tabela2[[#This Row],[Dt Venc:]]&gt;TODAY(),"Em Aberto",IF(Tabela2[[#This Row],[D/venc]]="-","Enviado",IF(Tabela2[[#This Row],[Dt Venc:]]=TODAY(),"Vence Hoje","Vencida")))</f>
        <v>Em Aberto</v>
      </c>
      <c r="F10164" s="3">
        <f ca="1">IF(G10164=1,"-",Tabela2[[#This Row],[Dt Venc:]]-TODAY())</f>
        <v>1774</v>
      </c>
      <c r="G10164" s="3"/>
      <c r="H10164" s="3"/>
    </row>
    <row r="10165" spans="1:8">
      <c r="A10165" s="3">
        <v>370864</v>
      </c>
      <c r="B10165" s="7" t="s">
        <v>543</v>
      </c>
      <c r="C10165" s="87" t="s">
        <v>32</v>
      </c>
      <c r="D10165" s="6">
        <v>47467</v>
      </c>
      <c r="E10165" s="3" t="str">
        <f ca="1">IF(Tabela2[[#This Row],[Dt Venc:]]&gt;TODAY(),"Em Aberto",IF(Tabela2[[#This Row],[D/venc]]="-","Enviado",IF(Tabela2[[#This Row],[Dt Venc:]]=TODAY(),"Vence Hoje","Vencida")))</f>
        <v>Em Aberto</v>
      </c>
      <c r="F10165" s="3">
        <f ca="1">IF(G10165=1,"-",Tabela2[[#This Row],[Dt Venc:]]-TODAY())</f>
        <v>1774</v>
      </c>
      <c r="G10165" s="3"/>
      <c r="H10165" s="3"/>
    </row>
    <row r="10166" spans="1:8">
      <c r="A10166" s="3">
        <v>371011</v>
      </c>
      <c r="B10166" s="7" t="s">
        <v>633</v>
      </c>
      <c r="C10166" s="87" t="s">
        <v>32</v>
      </c>
      <c r="D10166" s="6">
        <v>47467</v>
      </c>
      <c r="E10166" s="3" t="str">
        <f ca="1">IF(Tabela2[[#This Row],[Dt Venc:]]&gt;TODAY(),"Em Aberto",IF(Tabela2[[#This Row],[D/venc]]="-","Enviado",IF(Tabela2[[#This Row],[Dt Venc:]]=TODAY(),"Vence Hoje","Vencida")))</f>
        <v>Em Aberto</v>
      </c>
      <c r="F10166" s="3">
        <f ca="1">IF(G10166=1,"-",Tabela2[[#This Row],[Dt Venc:]]-TODAY())</f>
        <v>1774</v>
      </c>
      <c r="G10166" s="3"/>
      <c r="H10166" s="3"/>
    </row>
    <row r="10167" spans="1:8">
      <c r="A10167" s="3">
        <v>371160</v>
      </c>
      <c r="B10167" s="7" t="s">
        <v>633</v>
      </c>
      <c r="C10167" s="87" t="s">
        <v>32</v>
      </c>
      <c r="D10167" s="6">
        <v>47467</v>
      </c>
      <c r="E10167" s="3" t="str">
        <f ca="1">IF(Tabela2[[#This Row],[Dt Venc:]]&gt;TODAY(),"Em Aberto",IF(Tabela2[[#This Row],[D/venc]]="-","Enviado",IF(Tabela2[[#This Row],[Dt Venc:]]=TODAY(),"Vence Hoje","Vencida")))</f>
        <v>Em Aberto</v>
      </c>
      <c r="F10167" s="3">
        <f ca="1">IF(G10167=1,"-",Tabela2[[#This Row],[Dt Venc:]]-TODAY())</f>
        <v>1774</v>
      </c>
      <c r="G10167" s="3"/>
      <c r="H10167" s="3"/>
    </row>
    <row r="10168" spans="1:8">
      <c r="A10168" s="3">
        <v>912703</v>
      </c>
      <c r="B10168" s="7" t="s">
        <v>253</v>
      </c>
      <c r="C10168" s="99" t="s">
        <v>32</v>
      </c>
      <c r="D10168" s="6">
        <v>47467</v>
      </c>
      <c r="E10168" s="3" t="str">
        <f ca="1">IF(Tabela2[[#This Row],[Dt Venc:]]&gt;TODAY(),"Em Aberto",IF(Tabela2[[#This Row],[D/venc]]="-","Enviado",IF(Tabela2[[#This Row],[Dt Venc:]]=TODAY(),"Vence Hoje","Vencida")))</f>
        <v>Em Aberto</v>
      </c>
      <c r="F10168" s="3">
        <f ca="1">IF(G10168=1,"-",Tabela2[[#This Row],[Dt Venc:]]-TODAY())</f>
        <v>1774</v>
      </c>
      <c r="G10168" s="3"/>
      <c r="H10168" s="3"/>
    </row>
    <row r="10169" spans="1:8">
      <c r="A10169" s="3">
        <v>912704</v>
      </c>
      <c r="B10169" s="7" t="s">
        <v>253</v>
      </c>
      <c r="C10169" s="99" t="s">
        <v>32</v>
      </c>
      <c r="D10169" s="6">
        <v>47467</v>
      </c>
      <c r="E10169" s="3" t="str">
        <f ca="1">IF(Tabela2[[#This Row],[Dt Venc:]]&gt;TODAY(),"Em Aberto",IF(Tabela2[[#This Row],[D/venc]]="-","Enviado",IF(Tabela2[[#This Row],[Dt Venc:]]=TODAY(),"Vence Hoje","Vencida")))</f>
        <v>Em Aberto</v>
      </c>
      <c r="F10169" s="3">
        <f ca="1">IF(G10169=1,"-",Tabela2[[#This Row],[Dt Venc:]]-TODAY())</f>
        <v>1774</v>
      </c>
      <c r="G10169" s="3"/>
      <c r="H10169" s="3"/>
    </row>
    <row r="10170" spans="1:8">
      <c r="A10170" s="3">
        <v>919728</v>
      </c>
      <c r="B10170" s="7" t="s">
        <v>253</v>
      </c>
      <c r="C10170" s="87" t="s">
        <v>32</v>
      </c>
      <c r="D10170" s="6">
        <v>47467</v>
      </c>
      <c r="E10170" s="3" t="str">
        <f ca="1">IF(Tabela2[[#This Row],[Dt Venc:]]&gt;TODAY(),"Em Aberto",IF(Tabela2[[#This Row],[D/venc]]="-","Enviado",IF(Tabela2[[#This Row],[Dt Venc:]]=TODAY(),"Vence Hoje","Vencida")))</f>
        <v>Em Aberto</v>
      </c>
      <c r="F10170" s="3">
        <f ca="1">IF(G10170=1,"-",Tabela2[[#This Row],[Dt Venc:]]-TODAY())</f>
        <v>1774</v>
      </c>
      <c r="G10170" s="3"/>
      <c r="H10170" s="3"/>
    </row>
    <row r="10171" spans="1:8">
      <c r="A10171" s="3">
        <v>919729</v>
      </c>
      <c r="B10171" s="7" t="s">
        <v>253</v>
      </c>
      <c r="C10171" s="87" t="s">
        <v>32</v>
      </c>
      <c r="D10171" s="6">
        <v>47467</v>
      </c>
      <c r="E10171" s="3" t="str">
        <f ca="1">IF(Tabela2[[#This Row],[Dt Venc:]]&gt;TODAY(),"Em Aberto",IF(Tabela2[[#This Row],[D/venc]]="-","Enviado",IF(Tabela2[[#This Row],[Dt Venc:]]=TODAY(),"Vence Hoje","Vencida")))</f>
        <v>Em Aberto</v>
      </c>
      <c r="F10171" s="3">
        <f ca="1">IF(G10171=1,"-",Tabela2[[#This Row],[Dt Venc:]]-TODAY())</f>
        <v>1774</v>
      </c>
      <c r="G10171" s="3"/>
      <c r="H10171" s="3"/>
    </row>
    <row r="10172" spans="1:8">
      <c r="A10172" s="3">
        <v>11681</v>
      </c>
      <c r="B10172" s="7" t="s">
        <v>82</v>
      </c>
      <c r="C10172" s="87" t="s">
        <v>30</v>
      </c>
      <c r="D10172" s="6">
        <v>47483</v>
      </c>
      <c r="E10172" s="3" t="str">
        <f ca="1">IF(Tabela2[[#This Row],[Dt Venc:]]&gt;TODAY(),"Em Aberto",IF(Tabela2[[#This Row],[D/venc]]="-","Enviado",IF(Tabela2[[#This Row],[Dt Venc:]]=TODAY(),"Vence Hoje","Vencida")))</f>
        <v>Em Aberto</v>
      </c>
      <c r="F10172" s="3">
        <f ca="1">IF(G10172=1,"-",Tabela2[[#This Row],[Dt Venc:]]-TODAY())</f>
        <v>1790</v>
      </c>
      <c r="G10172" s="3"/>
      <c r="H10172" s="3"/>
    </row>
    <row r="10173" spans="1:8">
      <c r="A10173" s="3">
        <v>562</v>
      </c>
      <c r="B10173" s="7" t="s">
        <v>251</v>
      </c>
      <c r="C10173" s="99" t="s">
        <v>32</v>
      </c>
      <c r="D10173" s="6">
        <v>47498</v>
      </c>
      <c r="E10173" s="3" t="str">
        <f ca="1">IF(Tabela2[[#This Row],[Dt Venc:]]&gt;TODAY(),"Em Aberto",IF(Tabela2[[#This Row],[D/venc]]="-","Enviado",IF(Tabela2[[#This Row],[Dt Venc:]]=TODAY(),"Vence Hoje","Vencida")))</f>
        <v>Em Aberto</v>
      </c>
      <c r="F10173" s="3">
        <f ca="1">IF(G10173=1,"-",Tabela2[[#This Row],[Dt Venc:]]-TODAY())</f>
        <v>1805</v>
      </c>
      <c r="G10173" s="3"/>
      <c r="H10173" s="3"/>
    </row>
    <row r="10174" spans="1:8" hidden="1">
      <c r="A10174" s="3">
        <v>143194</v>
      </c>
      <c r="B10174" s="7" t="s">
        <v>733</v>
      </c>
      <c r="C10174" s="41">
        <v>390</v>
      </c>
      <c r="D10174" s="6">
        <v>45701</v>
      </c>
      <c r="E10174" s="3" t="str">
        <f ca="1">IF(Tabela2[[#This Row],[Dt Venc:]]&gt;TODAY(),"Em Aberto",IF(Tabela2[[#This Row],[D/venc]]="-","Enviado",IF(Tabela2[[#This Row],[Dt Venc:]]=TODAY(),"Vence Hoje","Vencida")))</f>
        <v>Em Aberto</v>
      </c>
      <c r="F10174" s="3" t="str">
        <f ca="1">IF(G10174=1,"-",Tabela2[[#This Row],[Dt Venc:]]-TODAY())</f>
        <v>-</v>
      </c>
      <c r="G10174" s="3">
        <v>1</v>
      </c>
      <c r="H10174" s="3"/>
    </row>
    <row r="10175" spans="1:8" hidden="1">
      <c r="A10175" s="3">
        <v>143190</v>
      </c>
      <c r="B10175" s="7" t="s">
        <v>733</v>
      </c>
      <c r="C10175" s="41">
        <v>390</v>
      </c>
      <c r="D10175" s="6">
        <v>45701</v>
      </c>
      <c r="E10175" s="3" t="str">
        <f ca="1">IF(Tabela2[[#This Row],[Dt Venc:]]&gt;TODAY(),"Em Aberto",IF(Tabela2[[#This Row],[D/venc]]="-","Enviado",IF(Tabela2[[#This Row],[Dt Venc:]]=TODAY(),"Vence Hoje","Vencida")))</f>
        <v>Em Aberto</v>
      </c>
      <c r="F10175" s="3" t="str">
        <f ca="1">IF(G10175=1,"-",Tabela2[[#This Row],[Dt Venc:]]-TODAY())</f>
        <v>-</v>
      </c>
      <c r="G10175" s="3">
        <v>1</v>
      </c>
      <c r="H10175" s="3"/>
    </row>
    <row r="10176" spans="1:8">
      <c r="A10176" s="3">
        <v>365658</v>
      </c>
      <c r="B10176" s="7" t="s">
        <v>250</v>
      </c>
      <c r="C10176" s="99" t="s">
        <v>32</v>
      </c>
      <c r="D10176" s="6">
        <v>47498</v>
      </c>
      <c r="E10176" s="3" t="str">
        <f ca="1">IF(Tabela2[[#This Row],[Dt Venc:]]&gt;TODAY(),"Em Aberto",IF(Tabela2[[#This Row],[D/venc]]="-","Enviado",IF(Tabela2[[#This Row],[Dt Venc:]]=TODAY(),"Vence Hoje","Vencida")))</f>
        <v>Em Aberto</v>
      </c>
      <c r="F10176" s="3">
        <f ca="1">IF(G10176=1,"-",Tabela2[[#This Row],[Dt Venc:]]-TODAY())</f>
        <v>1805</v>
      </c>
      <c r="G10176" s="3"/>
      <c r="H10176" s="3"/>
    </row>
    <row r="10177" spans="1:8" hidden="1">
      <c r="A10177" s="3">
        <v>14420</v>
      </c>
      <c r="B10177" s="7" t="s">
        <v>67</v>
      </c>
      <c r="C10177" s="41">
        <v>450</v>
      </c>
      <c r="D10177" s="6">
        <v>45701</v>
      </c>
      <c r="E10177" s="3" t="str">
        <f ca="1">IF(Tabela2[[#This Row],[Dt Venc:]]&gt;TODAY(),"Em Aberto",IF(Tabela2[[#This Row],[D/venc]]="-","Enviado",IF(Tabela2[[#This Row],[Dt Venc:]]=TODAY(),"Vence Hoje","Vencida")))</f>
        <v>Em Aberto</v>
      </c>
      <c r="F10177" s="3" t="str">
        <f ca="1">IF(G10177=1,"-",Tabela2[[#This Row],[Dt Venc:]]-TODAY())</f>
        <v>-</v>
      </c>
      <c r="G10177" s="3">
        <v>1</v>
      </c>
      <c r="H10177" s="3"/>
    </row>
    <row r="10178" spans="1:8">
      <c r="A10178" s="3">
        <v>365666</v>
      </c>
      <c r="B10178" s="7" t="s">
        <v>250</v>
      </c>
      <c r="C10178" s="99" t="s">
        <v>32</v>
      </c>
      <c r="D10178" s="6">
        <v>47498</v>
      </c>
      <c r="E10178" s="3" t="str">
        <f ca="1">IF(Tabela2[[#This Row],[Dt Venc:]]&gt;TODAY(),"Em Aberto",IF(Tabela2[[#This Row],[D/venc]]="-","Enviado",IF(Tabela2[[#This Row],[Dt Venc:]]=TODAY(),"Vence Hoje","Vencida")))</f>
        <v>Em Aberto</v>
      </c>
      <c r="F10178" s="3">
        <f ca="1">IF(G10178=1,"-",Tabela2[[#This Row],[Dt Venc:]]-TODAY())</f>
        <v>1805</v>
      </c>
      <c r="G10178" s="3"/>
      <c r="H10178" s="3"/>
    </row>
    <row r="10179" spans="1:8" hidden="1">
      <c r="A10179" s="3">
        <v>75056</v>
      </c>
      <c r="B10179" s="7" t="s">
        <v>76</v>
      </c>
      <c r="C10179" s="41">
        <v>1943.19</v>
      </c>
      <c r="D10179" s="6">
        <v>45701</v>
      </c>
      <c r="E10179" s="3" t="str">
        <f ca="1">IF(Tabela2[[#This Row],[Dt Venc:]]&gt;TODAY(),"Em Aberto",IF(Tabela2[[#This Row],[D/venc]]="-","Enviado",IF(Tabela2[[#This Row],[Dt Venc:]]=TODAY(),"Vence Hoje","Vencida")))</f>
        <v>Em Aberto</v>
      </c>
      <c r="F10179" s="3" t="str">
        <f ca="1">IF(G10179=1,"-",Tabela2[[#This Row],[Dt Venc:]]-TODAY())</f>
        <v>-</v>
      </c>
      <c r="G10179" s="3">
        <v>1</v>
      </c>
      <c r="H10179" s="3"/>
    </row>
    <row r="10180" spans="1:8">
      <c r="A10180" s="3">
        <v>365674</v>
      </c>
      <c r="B10180" s="7" t="s">
        <v>250</v>
      </c>
      <c r="C10180" s="99" t="s">
        <v>32</v>
      </c>
      <c r="D10180" s="6">
        <v>47498</v>
      </c>
      <c r="E10180" s="3" t="str">
        <f ca="1">IF(Tabela2[[#This Row],[Dt Venc:]]&gt;TODAY(),"Em Aberto",IF(Tabela2[[#This Row],[D/venc]]="-","Enviado",IF(Tabela2[[#This Row],[Dt Venc:]]=TODAY(),"Vence Hoje","Vencida")))</f>
        <v>Em Aberto</v>
      </c>
      <c r="F10180" s="3">
        <f ca="1">IF(G10180=1,"-",Tabela2[[#This Row],[Dt Venc:]]-TODAY())</f>
        <v>1805</v>
      </c>
      <c r="G10180" s="3"/>
      <c r="H10180" s="3"/>
    </row>
    <row r="10181" spans="1:8">
      <c r="A10181" s="3">
        <v>365682</v>
      </c>
      <c r="B10181" s="7" t="s">
        <v>250</v>
      </c>
      <c r="C10181" s="99" t="s">
        <v>32</v>
      </c>
      <c r="D10181" s="6">
        <v>47498</v>
      </c>
      <c r="E10181" s="3" t="str">
        <f ca="1">IF(Tabela2[[#This Row],[Dt Venc:]]&gt;TODAY(),"Em Aberto",IF(Tabela2[[#This Row],[D/venc]]="-","Enviado",IF(Tabela2[[#This Row],[Dt Venc:]]=TODAY(),"Vence Hoje","Vencida")))</f>
        <v>Em Aberto</v>
      </c>
      <c r="F10181" s="3">
        <f ca="1">IF(G10181=1,"-",Tabela2[[#This Row],[Dt Venc:]]-TODAY())</f>
        <v>1805</v>
      </c>
      <c r="G10181" s="3"/>
      <c r="H10181" s="3"/>
    </row>
    <row r="10182" spans="1:8" hidden="1">
      <c r="A10182" s="3">
        <v>12</v>
      </c>
      <c r="B10182" s="7" t="s">
        <v>718</v>
      </c>
      <c r="C10182" s="41">
        <v>1000</v>
      </c>
      <c r="D10182" s="6">
        <v>45695</v>
      </c>
      <c r="E10182" s="3" t="str">
        <f ca="1">IF(Tabela2[[#This Row],[Dt Venc:]]&gt;TODAY(),"Em Aberto",IF(Tabela2[[#This Row],[D/venc]]="-","Enviado",IF(Tabela2[[#This Row],[Dt Venc:]]=TODAY(),"Vence Hoje","Vencida")))</f>
        <v>Em Aberto</v>
      </c>
      <c r="F10182" s="3" t="str">
        <f ca="1">IF(G10182=1,"-",Tabela2[[#This Row],[Dt Venc:]]-TODAY())</f>
        <v>-</v>
      </c>
      <c r="G10182" s="3">
        <v>1</v>
      </c>
      <c r="H10182" s="3"/>
    </row>
    <row r="10183" spans="1:8">
      <c r="A10183" s="3">
        <v>369335</v>
      </c>
      <c r="B10183" s="7" t="s">
        <v>543</v>
      </c>
      <c r="C10183" s="87" t="s">
        <v>32</v>
      </c>
      <c r="D10183" s="6">
        <v>47498</v>
      </c>
      <c r="E10183" s="3" t="str">
        <f ca="1">IF(Tabela2[[#This Row],[Dt Venc:]]&gt;TODAY(),"Em Aberto",IF(Tabela2[[#This Row],[D/venc]]="-","Enviado",IF(Tabela2[[#This Row],[Dt Venc:]]=TODAY(),"Vence Hoje","Vencida")))</f>
        <v>Em Aberto</v>
      </c>
      <c r="F10183" s="3">
        <f ca="1">IF(G10183=1,"-",Tabela2[[#This Row],[Dt Venc:]]-TODAY())</f>
        <v>1805</v>
      </c>
      <c r="G10183" s="3"/>
      <c r="H10183" s="3"/>
    </row>
    <row r="10184" spans="1:8">
      <c r="A10184" s="3">
        <v>369696</v>
      </c>
      <c r="B10184" s="7" t="s">
        <v>543</v>
      </c>
      <c r="C10184" s="87" t="s">
        <v>32</v>
      </c>
      <c r="D10184" s="6">
        <v>47498</v>
      </c>
      <c r="E10184" s="3" t="str">
        <f ca="1">IF(Tabela2[[#This Row],[Dt Venc:]]&gt;TODAY(),"Em Aberto",IF(Tabela2[[#This Row],[D/venc]]="-","Enviado",IF(Tabela2[[#This Row],[Dt Venc:]]=TODAY(),"Vence Hoje","Vencida")))</f>
        <v>Em Aberto</v>
      </c>
      <c r="F10184" s="3">
        <f ca="1">IF(G10184=1,"-",Tabela2[[#This Row],[Dt Venc:]]-TODAY())</f>
        <v>1805</v>
      </c>
      <c r="G10184" s="3"/>
      <c r="H10184" s="3"/>
    </row>
    <row r="10185" spans="1:8">
      <c r="A10185" s="3">
        <v>369726</v>
      </c>
      <c r="B10185" s="7" t="s">
        <v>543</v>
      </c>
      <c r="C10185" s="87" t="s">
        <v>32</v>
      </c>
      <c r="D10185" s="6">
        <v>47498</v>
      </c>
      <c r="E10185" s="3" t="str">
        <f ca="1">IF(Tabela2[[#This Row],[Dt Venc:]]&gt;TODAY(),"Em Aberto",IF(Tabela2[[#This Row],[D/venc]]="-","Enviado",IF(Tabela2[[#This Row],[Dt Venc:]]=TODAY(),"Vence Hoje","Vencida")))</f>
        <v>Em Aberto</v>
      </c>
      <c r="F10185" s="3">
        <f ca="1">IF(G10185=1,"-",Tabela2[[#This Row],[Dt Venc:]]-TODAY())</f>
        <v>1805</v>
      </c>
      <c r="G10185" s="3"/>
      <c r="H10185" s="3"/>
    </row>
    <row r="10186" spans="1:8">
      <c r="A10186" s="3">
        <v>369751</v>
      </c>
      <c r="B10186" s="7" t="s">
        <v>543</v>
      </c>
      <c r="C10186" s="87" t="s">
        <v>32</v>
      </c>
      <c r="D10186" s="6">
        <v>47498</v>
      </c>
      <c r="E10186" s="3" t="str">
        <f ca="1">IF(Tabela2[[#This Row],[Dt Venc:]]&gt;TODAY(),"Em Aberto",IF(Tabela2[[#This Row],[D/venc]]="-","Enviado",IF(Tabela2[[#This Row],[Dt Venc:]]=TODAY(),"Vence Hoje","Vencida")))</f>
        <v>Em Aberto</v>
      </c>
      <c r="F10186" s="3">
        <f ca="1">IF(G10186=1,"-",Tabela2[[#This Row],[Dt Venc:]]-TODAY())</f>
        <v>1805</v>
      </c>
      <c r="G10186" s="3"/>
      <c r="H10186" s="3"/>
    </row>
    <row r="10187" spans="1:8">
      <c r="A10187" s="3">
        <v>370201</v>
      </c>
      <c r="B10187" s="7" t="s">
        <v>543</v>
      </c>
      <c r="C10187" s="87" t="s">
        <v>32</v>
      </c>
      <c r="D10187" s="6">
        <v>47498</v>
      </c>
      <c r="E10187" s="3" t="str">
        <f ca="1">IF(Tabela2[[#This Row],[Dt Venc:]]&gt;TODAY(),"Em Aberto",IF(Tabela2[[#This Row],[D/venc]]="-","Enviado",IF(Tabela2[[#This Row],[Dt Venc:]]=TODAY(),"Vence Hoje","Vencida")))</f>
        <v>Em Aberto</v>
      </c>
      <c r="F10187" s="3">
        <f ca="1">IF(G10187=1,"-",Tabela2[[#This Row],[Dt Venc:]]-TODAY())</f>
        <v>1805</v>
      </c>
      <c r="G10187" s="3"/>
      <c r="H10187" s="3"/>
    </row>
    <row r="10188" spans="1:8">
      <c r="A10188" s="3">
        <v>370864</v>
      </c>
      <c r="B10188" s="7" t="s">
        <v>543</v>
      </c>
      <c r="C10188" s="87" t="s">
        <v>32</v>
      </c>
      <c r="D10188" s="6">
        <v>47498</v>
      </c>
      <c r="E10188" s="3" t="str">
        <f ca="1">IF(Tabela2[[#This Row],[Dt Venc:]]&gt;TODAY(),"Em Aberto",IF(Tabela2[[#This Row],[D/venc]]="-","Enviado",IF(Tabela2[[#This Row],[Dt Venc:]]=TODAY(),"Vence Hoje","Vencida")))</f>
        <v>Em Aberto</v>
      </c>
      <c r="F10188" s="3">
        <f ca="1">IF(G10188=1,"-",Tabela2[[#This Row],[Dt Venc:]]-TODAY())</f>
        <v>1805</v>
      </c>
      <c r="G10188" s="3"/>
      <c r="H10188" s="3"/>
    </row>
    <row r="10189" spans="1:8">
      <c r="A10189" s="3">
        <v>371011</v>
      </c>
      <c r="B10189" s="7" t="s">
        <v>633</v>
      </c>
      <c r="C10189" s="87" t="s">
        <v>32</v>
      </c>
      <c r="D10189" s="6">
        <v>47498</v>
      </c>
      <c r="E10189" s="3" t="str">
        <f ca="1">IF(Tabela2[[#This Row],[Dt Venc:]]&gt;TODAY(),"Em Aberto",IF(Tabela2[[#This Row],[D/venc]]="-","Enviado",IF(Tabela2[[#This Row],[Dt Venc:]]=TODAY(),"Vence Hoje","Vencida")))</f>
        <v>Em Aberto</v>
      </c>
      <c r="F10189" s="3">
        <f ca="1">IF(G10189=1,"-",Tabela2[[#This Row],[Dt Venc:]]-TODAY())</f>
        <v>1805</v>
      </c>
      <c r="G10189" s="3"/>
      <c r="H10189" s="3"/>
    </row>
    <row r="10190" spans="1:8">
      <c r="A10190" s="3">
        <v>371160</v>
      </c>
      <c r="B10190" s="7" t="s">
        <v>633</v>
      </c>
      <c r="C10190" s="87" t="s">
        <v>32</v>
      </c>
      <c r="D10190" s="6">
        <v>47498</v>
      </c>
      <c r="E10190" s="3" t="str">
        <f ca="1">IF(Tabela2[[#This Row],[Dt Venc:]]&gt;TODAY(),"Em Aberto",IF(Tabela2[[#This Row],[D/venc]]="-","Enviado",IF(Tabela2[[#This Row],[Dt Venc:]]=TODAY(),"Vence Hoje","Vencida")))</f>
        <v>Em Aberto</v>
      </c>
      <c r="F10190" s="3">
        <f ca="1">IF(G10190=1,"-",Tabela2[[#This Row],[Dt Venc:]]-TODAY())</f>
        <v>1805</v>
      </c>
      <c r="G10190" s="3"/>
      <c r="H10190" s="3"/>
    </row>
    <row r="10191" spans="1:8">
      <c r="A10191" s="3">
        <v>912703</v>
      </c>
      <c r="B10191" s="7" t="s">
        <v>253</v>
      </c>
      <c r="C10191" s="99" t="s">
        <v>32</v>
      </c>
      <c r="D10191" s="6">
        <v>47498</v>
      </c>
      <c r="E10191" s="3" t="str">
        <f ca="1">IF(Tabela2[[#This Row],[Dt Venc:]]&gt;TODAY(),"Em Aberto",IF(Tabela2[[#This Row],[D/venc]]="-","Enviado",IF(Tabela2[[#This Row],[Dt Venc:]]=TODAY(),"Vence Hoje","Vencida")))</f>
        <v>Em Aberto</v>
      </c>
      <c r="F10191" s="3">
        <f ca="1">IF(G10191=1,"-",Tabela2[[#This Row],[Dt Venc:]]-TODAY())</f>
        <v>1805</v>
      </c>
      <c r="G10191" s="3"/>
      <c r="H10191" s="3"/>
    </row>
    <row r="10192" spans="1:8">
      <c r="A10192" s="3">
        <v>912704</v>
      </c>
      <c r="B10192" s="7" t="s">
        <v>253</v>
      </c>
      <c r="C10192" s="99" t="s">
        <v>32</v>
      </c>
      <c r="D10192" s="6">
        <v>47498</v>
      </c>
      <c r="E10192" s="3" t="str">
        <f ca="1">IF(Tabela2[[#This Row],[Dt Venc:]]&gt;TODAY(),"Em Aberto",IF(Tabela2[[#This Row],[D/venc]]="-","Enviado",IF(Tabela2[[#This Row],[Dt Venc:]]=TODAY(),"Vence Hoje","Vencida")))</f>
        <v>Em Aberto</v>
      </c>
      <c r="F10192" s="3">
        <f ca="1">IF(G10192=1,"-",Tabela2[[#This Row],[Dt Venc:]]-TODAY())</f>
        <v>1805</v>
      </c>
      <c r="G10192" s="3"/>
      <c r="H10192" s="3"/>
    </row>
    <row r="10193" spans="1:8">
      <c r="A10193" s="3">
        <v>919728</v>
      </c>
      <c r="B10193" s="7" t="s">
        <v>253</v>
      </c>
      <c r="C10193" s="87" t="s">
        <v>32</v>
      </c>
      <c r="D10193" s="6">
        <v>47498</v>
      </c>
      <c r="E10193" s="3" t="str">
        <f ca="1">IF(Tabela2[[#This Row],[Dt Venc:]]&gt;TODAY(),"Em Aberto",IF(Tabela2[[#This Row],[D/venc]]="-","Enviado",IF(Tabela2[[#This Row],[Dt Venc:]]=TODAY(),"Vence Hoje","Vencida")))</f>
        <v>Em Aberto</v>
      </c>
      <c r="F10193" s="3">
        <f ca="1">IF(G10193=1,"-",Tabela2[[#This Row],[Dt Venc:]]-TODAY())</f>
        <v>1805</v>
      </c>
      <c r="G10193" s="3"/>
      <c r="H10193" s="3"/>
    </row>
    <row r="10194" spans="1:8">
      <c r="A10194" s="3">
        <v>919729</v>
      </c>
      <c r="B10194" s="7" t="s">
        <v>253</v>
      </c>
      <c r="C10194" s="87" t="s">
        <v>32</v>
      </c>
      <c r="D10194" s="6">
        <v>47498</v>
      </c>
      <c r="E10194" s="3" t="str">
        <f ca="1">IF(Tabela2[[#This Row],[Dt Venc:]]&gt;TODAY(),"Em Aberto",IF(Tabela2[[#This Row],[D/venc]]="-","Enviado",IF(Tabela2[[#This Row],[Dt Venc:]]=TODAY(),"Vence Hoje","Vencida")))</f>
        <v>Em Aberto</v>
      </c>
      <c r="F10194" s="3">
        <f ca="1">IF(G10194=1,"-",Tabela2[[#This Row],[Dt Venc:]]-TODAY())</f>
        <v>1805</v>
      </c>
      <c r="G10194" s="3"/>
      <c r="H10194" s="3"/>
    </row>
    <row r="10195" spans="1:8">
      <c r="A10195" s="3">
        <v>562</v>
      </c>
      <c r="B10195" s="7" t="s">
        <v>251</v>
      </c>
      <c r="C10195" s="99" t="s">
        <v>32</v>
      </c>
      <c r="D10195" s="6">
        <v>47529</v>
      </c>
      <c r="E10195" s="3" t="str">
        <f ca="1">IF(Tabela2[[#This Row],[Dt Venc:]]&gt;TODAY(),"Em Aberto",IF(Tabela2[[#This Row],[D/venc]]="-","Enviado",IF(Tabela2[[#This Row],[Dt Venc:]]=TODAY(),"Vence Hoje","Vencida")))</f>
        <v>Em Aberto</v>
      </c>
      <c r="F10195" s="3">
        <f ca="1">IF(G10195=1,"-",Tabela2[[#This Row],[Dt Venc:]]-TODAY())</f>
        <v>1836</v>
      </c>
      <c r="G10195" s="3"/>
      <c r="H10195" s="3"/>
    </row>
    <row r="10196" spans="1:8">
      <c r="A10196" s="3">
        <v>365658</v>
      </c>
      <c r="B10196" s="7" t="s">
        <v>250</v>
      </c>
      <c r="C10196" s="99" t="s">
        <v>32</v>
      </c>
      <c r="D10196" s="6">
        <v>47529</v>
      </c>
      <c r="E10196" s="3" t="str">
        <f ca="1">IF(Tabela2[[#This Row],[Dt Venc:]]&gt;TODAY(),"Em Aberto",IF(Tabela2[[#This Row],[D/venc]]="-","Enviado",IF(Tabela2[[#This Row],[Dt Venc:]]=TODAY(),"Vence Hoje","Vencida")))</f>
        <v>Em Aberto</v>
      </c>
      <c r="F10196" s="3">
        <f ca="1">IF(G10196=1,"-",Tabela2[[#This Row],[Dt Venc:]]-TODAY())</f>
        <v>1836</v>
      </c>
      <c r="G10196" s="3"/>
      <c r="H10196" s="3"/>
    </row>
    <row r="10197" spans="1:8">
      <c r="A10197" s="3">
        <v>365666</v>
      </c>
      <c r="B10197" s="7" t="s">
        <v>250</v>
      </c>
      <c r="C10197" s="99" t="s">
        <v>32</v>
      </c>
      <c r="D10197" s="6">
        <v>47529</v>
      </c>
      <c r="E10197" s="3" t="str">
        <f ca="1">IF(Tabela2[[#This Row],[Dt Venc:]]&gt;TODAY(),"Em Aberto",IF(Tabela2[[#This Row],[D/venc]]="-","Enviado",IF(Tabela2[[#This Row],[Dt Venc:]]=TODAY(),"Vence Hoje","Vencida")))</f>
        <v>Em Aberto</v>
      </c>
      <c r="F10197" s="3">
        <f ca="1">IF(G10197=1,"-",Tabela2[[#This Row],[Dt Venc:]]-TODAY())</f>
        <v>1836</v>
      </c>
      <c r="G10197" s="3"/>
      <c r="H10197" s="3"/>
    </row>
    <row r="10198" spans="1:8">
      <c r="A10198" s="3">
        <v>365674</v>
      </c>
      <c r="B10198" s="7" t="s">
        <v>250</v>
      </c>
      <c r="C10198" s="99" t="s">
        <v>32</v>
      </c>
      <c r="D10198" s="6">
        <v>47529</v>
      </c>
      <c r="E10198" s="3" t="str">
        <f ca="1">IF(Tabela2[[#This Row],[Dt Venc:]]&gt;TODAY(),"Em Aberto",IF(Tabela2[[#This Row],[D/venc]]="-","Enviado",IF(Tabela2[[#This Row],[Dt Venc:]]=TODAY(),"Vence Hoje","Vencida")))</f>
        <v>Em Aberto</v>
      </c>
      <c r="F10198" s="3">
        <f ca="1">IF(G10198=1,"-",Tabela2[[#This Row],[Dt Venc:]]-TODAY())</f>
        <v>1836</v>
      </c>
      <c r="G10198" s="3"/>
      <c r="H10198" s="3"/>
    </row>
    <row r="10199" spans="1:8">
      <c r="A10199" s="3">
        <v>365682</v>
      </c>
      <c r="B10199" s="7" t="s">
        <v>250</v>
      </c>
      <c r="C10199" s="99" t="s">
        <v>32</v>
      </c>
      <c r="D10199" s="6">
        <v>47529</v>
      </c>
      <c r="E10199" s="3" t="str">
        <f ca="1">IF(Tabela2[[#This Row],[Dt Venc:]]&gt;TODAY(),"Em Aberto",IF(Tabela2[[#This Row],[D/venc]]="-","Enviado",IF(Tabela2[[#This Row],[Dt Venc:]]=TODAY(),"Vence Hoje","Vencida")))</f>
        <v>Em Aberto</v>
      </c>
      <c r="F10199" s="3">
        <f ca="1">IF(G10199=1,"-",Tabela2[[#This Row],[Dt Venc:]]-TODAY())</f>
        <v>1836</v>
      </c>
      <c r="G10199" s="3"/>
      <c r="H10199" s="3"/>
    </row>
    <row r="10200" spans="1:8">
      <c r="A10200" s="3">
        <v>369335</v>
      </c>
      <c r="B10200" s="7" t="s">
        <v>543</v>
      </c>
      <c r="C10200" s="87" t="s">
        <v>32</v>
      </c>
      <c r="D10200" s="6">
        <v>47529</v>
      </c>
      <c r="E10200" s="3" t="str">
        <f ca="1">IF(Tabela2[[#This Row],[Dt Venc:]]&gt;TODAY(),"Em Aberto",IF(Tabela2[[#This Row],[D/venc]]="-","Enviado",IF(Tabela2[[#This Row],[Dt Venc:]]=TODAY(),"Vence Hoje","Vencida")))</f>
        <v>Em Aberto</v>
      </c>
      <c r="F10200" s="3">
        <f ca="1">IF(G10200=1,"-",Tabela2[[#This Row],[Dt Venc:]]-TODAY())</f>
        <v>1836</v>
      </c>
      <c r="G10200" s="3"/>
      <c r="H10200" s="3"/>
    </row>
    <row r="10201" spans="1:8">
      <c r="A10201" s="3">
        <v>369696</v>
      </c>
      <c r="B10201" s="7" t="s">
        <v>543</v>
      </c>
      <c r="C10201" s="87" t="s">
        <v>32</v>
      </c>
      <c r="D10201" s="6">
        <v>47529</v>
      </c>
      <c r="E10201" s="3" t="str">
        <f ca="1">IF(Tabela2[[#This Row],[Dt Venc:]]&gt;TODAY(),"Em Aberto",IF(Tabela2[[#This Row],[D/venc]]="-","Enviado",IF(Tabela2[[#This Row],[Dt Venc:]]=TODAY(),"Vence Hoje","Vencida")))</f>
        <v>Em Aberto</v>
      </c>
      <c r="F10201" s="3">
        <f ca="1">IF(G10201=1,"-",Tabela2[[#This Row],[Dt Venc:]]-TODAY())</f>
        <v>1836</v>
      </c>
      <c r="G10201" s="3"/>
      <c r="H10201" s="3"/>
    </row>
    <row r="10202" spans="1:8">
      <c r="A10202" s="3">
        <v>369726</v>
      </c>
      <c r="B10202" s="7" t="s">
        <v>543</v>
      </c>
      <c r="C10202" s="87" t="s">
        <v>32</v>
      </c>
      <c r="D10202" s="6">
        <v>47529</v>
      </c>
      <c r="E10202" s="3" t="str">
        <f ca="1">IF(Tabela2[[#This Row],[Dt Venc:]]&gt;TODAY(),"Em Aberto",IF(Tabela2[[#This Row],[D/venc]]="-","Enviado",IF(Tabela2[[#This Row],[Dt Venc:]]=TODAY(),"Vence Hoje","Vencida")))</f>
        <v>Em Aberto</v>
      </c>
      <c r="F10202" s="3">
        <f ca="1">IF(G10202=1,"-",Tabela2[[#This Row],[Dt Venc:]]-TODAY())</f>
        <v>1836</v>
      </c>
      <c r="G10202" s="3"/>
      <c r="H10202" s="3"/>
    </row>
    <row r="10203" spans="1:8">
      <c r="A10203" s="3">
        <v>369751</v>
      </c>
      <c r="B10203" s="7" t="s">
        <v>543</v>
      </c>
      <c r="C10203" s="87" t="s">
        <v>32</v>
      </c>
      <c r="D10203" s="6">
        <v>47529</v>
      </c>
      <c r="E10203" s="3" t="str">
        <f ca="1">IF(Tabela2[[#This Row],[Dt Venc:]]&gt;TODAY(),"Em Aberto",IF(Tabela2[[#This Row],[D/venc]]="-","Enviado",IF(Tabela2[[#This Row],[Dt Venc:]]=TODAY(),"Vence Hoje","Vencida")))</f>
        <v>Em Aberto</v>
      </c>
      <c r="F10203" s="3">
        <f ca="1">IF(G10203=1,"-",Tabela2[[#This Row],[Dt Venc:]]-TODAY())</f>
        <v>1836</v>
      </c>
      <c r="G10203" s="3"/>
      <c r="H10203" s="3"/>
    </row>
    <row r="10204" spans="1:8">
      <c r="A10204" s="3">
        <v>370201</v>
      </c>
      <c r="B10204" s="7" t="s">
        <v>543</v>
      </c>
      <c r="C10204" s="87" t="s">
        <v>32</v>
      </c>
      <c r="D10204" s="6">
        <v>47529</v>
      </c>
      <c r="E10204" s="3" t="str">
        <f ca="1">IF(Tabela2[[#This Row],[Dt Venc:]]&gt;TODAY(),"Em Aberto",IF(Tabela2[[#This Row],[D/venc]]="-","Enviado",IF(Tabela2[[#This Row],[Dt Venc:]]=TODAY(),"Vence Hoje","Vencida")))</f>
        <v>Em Aberto</v>
      </c>
      <c r="F10204" s="3">
        <f ca="1">IF(G10204=1,"-",Tabela2[[#This Row],[Dt Venc:]]-TODAY())</f>
        <v>1836</v>
      </c>
      <c r="G10204" s="3"/>
      <c r="H10204" s="3"/>
    </row>
    <row r="10205" spans="1:8">
      <c r="A10205" s="3">
        <v>370864</v>
      </c>
      <c r="B10205" s="7" t="s">
        <v>543</v>
      </c>
      <c r="C10205" s="87" t="s">
        <v>32</v>
      </c>
      <c r="D10205" s="6">
        <v>47529</v>
      </c>
      <c r="E10205" s="3" t="str">
        <f ca="1">IF(Tabela2[[#This Row],[Dt Venc:]]&gt;TODAY(),"Em Aberto",IF(Tabela2[[#This Row],[D/venc]]="-","Enviado",IF(Tabela2[[#This Row],[Dt Venc:]]=TODAY(),"Vence Hoje","Vencida")))</f>
        <v>Em Aberto</v>
      </c>
      <c r="F10205" s="3">
        <f ca="1">IF(G10205=1,"-",Tabela2[[#This Row],[Dt Venc:]]-TODAY())</f>
        <v>1836</v>
      </c>
      <c r="G10205" s="3"/>
      <c r="H10205" s="3"/>
    </row>
    <row r="10206" spans="1:8">
      <c r="A10206" s="3">
        <v>371011</v>
      </c>
      <c r="B10206" s="7" t="s">
        <v>633</v>
      </c>
      <c r="C10206" s="87" t="s">
        <v>32</v>
      </c>
      <c r="D10206" s="6">
        <v>47529</v>
      </c>
      <c r="E10206" s="3" t="str">
        <f ca="1">IF(Tabela2[[#This Row],[Dt Venc:]]&gt;TODAY(),"Em Aberto",IF(Tabela2[[#This Row],[D/venc]]="-","Enviado",IF(Tabela2[[#This Row],[Dt Venc:]]=TODAY(),"Vence Hoje","Vencida")))</f>
        <v>Em Aberto</v>
      </c>
      <c r="F10206" s="3">
        <f ca="1">IF(G10206=1,"-",Tabela2[[#This Row],[Dt Venc:]]-TODAY())</f>
        <v>1836</v>
      </c>
      <c r="G10206" s="3"/>
      <c r="H10206" s="3"/>
    </row>
    <row r="10207" spans="1:8">
      <c r="A10207" s="3">
        <v>371160</v>
      </c>
      <c r="B10207" s="7" t="s">
        <v>633</v>
      </c>
      <c r="C10207" s="87" t="s">
        <v>32</v>
      </c>
      <c r="D10207" s="6">
        <v>47529</v>
      </c>
      <c r="E10207" s="3" t="str">
        <f ca="1">IF(Tabela2[[#This Row],[Dt Venc:]]&gt;TODAY(),"Em Aberto",IF(Tabela2[[#This Row],[D/venc]]="-","Enviado",IF(Tabela2[[#This Row],[Dt Venc:]]=TODAY(),"Vence Hoje","Vencida")))</f>
        <v>Em Aberto</v>
      </c>
      <c r="F10207" s="3">
        <f ca="1">IF(G10207=1,"-",Tabela2[[#This Row],[Dt Venc:]]-TODAY())</f>
        <v>1836</v>
      </c>
      <c r="G10207" s="3"/>
      <c r="H10207" s="3"/>
    </row>
    <row r="10208" spans="1:8">
      <c r="A10208" s="3">
        <v>912703</v>
      </c>
      <c r="B10208" s="7" t="s">
        <v>253</v>
      </c>
      <c r="C10208" s="99" t="s">
        <v>32</v>
      </c>
      <c r="D10208" s="6">
        <v>47529</v>
      </c>
      <c r="E10208" s="3" t="str">
        <f ca="1">IF(Tabela2[[#This Row],[Dt Venc:]]&gt;TODAY(),"Em Aberto",IF(Tabela2[[#This Row],[D/venc]]="-","Enviado",IF(Tabela2[[#This Row],[Dt Venc:]]=TODAY(),"Vence Hoje","Vencida")))</f>
        <v>Em Aberto</v>
      </c>
      <c r="F10208" s="3">
        <f ca="1">IF(G10208=1,"-",Tabela2[[#This Row],[Dt Venc:]]-TODAY())</f>
        <v>1836</v>
      </c>
      <c r="G10208" s="3"/>
      <c r="H10208" s="3"/>
    </row>
    <row r="10209" spans="1:8">
      <c r="A10209" s="3">
        <v>912704</v>
      </c>
      <c r="B10209" s="7" t="s">
        <v>253</v>
      </c>
      <c r="C10209" s="99" t="s">
        <v>32</v>
      </c>
      <c r="D10209" s="6">
        <v>47529</v>
      </c>
      <c r="E10209" s="3" t="str">
        <f ca="1">IF(Tabela2[[#This Row],[Dt Venc:]]&gt;TODAY(),"Em Aberto",IF(Tabela2[[#This Row],[D/venc]]="-","Enviado",IF(Tabela2[[#This Row],[Dt Venc:]]=TODAY(),"Vence Hoje","Vencida")))</f>
        <v>Em Aberto</v>
      </c>
      <c r="F10209" s="3">
        <f ca="1">IF(G10209=1,"-",Tabela2[[#This Row],[Dt Venc:]]-TODAY())</f>
        <v>1836</v>
      </c>
      <c r="G10209" s="3"/>
      <c r="H10209" s="3"/>
    </row>
    <row r="10210" spans="1:8">
      <c r="A10210" s="3">
        <v>919728</v>
      </c>
      <c r="B10210" s="7" t="s">
        <v>253</v>
      </c>
      <c r="C10210" s="87" t="s">
        <v>32</v>
      </c>
      <c r="D10210" s="6">
        <v>47529</v>
      </c>
      <c r="E10210" s="3" t="str">
        <f ca="1">IF(Tabela2[[#This Row],[Dt Venc:]]&gt;TODAY(),"Em Aberto",IF(Tabela2[[#This Row],[D/venc]]="-","Enviado",IF(Tabela2[[#This Row],[Dt Venc:]]=TODAY(),"Vence Hoje","Vencida")))</f>
        <v>Em Aberto</v>
      </c>
      <c r="F10210" s="3">
        <f ca="1">IF(G10210=1,"-",Tabela2[[#This Row],[Dt Venc:]]-TODAY())</f>
        <v>1836</v>
      </c>
      <c r="G10210" s="3"/>
      <c r="H10210" s="3"/>
    </row>
    <row r="10211" spans="1:8">
      <c r="A10211" s="3">
        <v>919729</v>
      </c>
      <c r="B10211" s="7" t="s">
        <v>253</v>
      </c>
      <c r="C10211" s="87" t="s">
        <v>32</v>
      </c>
      <c r="D10211" s="6">
        <v>47529</v>
      </c>
      <c r="E10211" s="3" t="str">
        <f ca="1">IF(Tabela2[[#This Row],[Dt Venc:]]&gt;TODAY(),"Em Aberto",IF(Tabela2[[#This Row],[D/venc]]="-","Enviado",IF(Tabela2[[#This Row],[Dt Venc:]]=TODAY(),"Vence Hoje","Vencida")))</f>
        <v>Em Aberto</v>
      </c>
      <c r="F10211" s="3">
        <f ca="1">IF(G10211=1,"-",Tabela2[[#This Row],[Dt Venc:]]-TODAY())</f>
        <v>1836</v>
      </c>
      <c r="G10211" s="3"/>
      <c r="H10211" s="3"/>
    </row>
    <row r="10212" spans="1:8">
      <c r="A10212" s="3">
        <v>562</v>
      </c>
      <c r="B10212" s="7" t="s">
        <v>251</v>
      </c>
      <c r="C10212" s="99" t="s">
        <v>32</v>
      </c>
      <c r="D10212" s="6">
        <v>47557</v>
      </c>
      <c r="E10212" s="3" t="str">
        <f ca="1">IF(Tabela2[[#This Row],[Dt Venc:]]&gt;TODAY(),"Em Aberto",IF(Tabela2[[#This Row],[D/venc]]="-","Enviado",IF(Tabela2[[#This Row],[Dt Venc:]]=TODAY(),"Vence Hoje","Vencida")))</f>
        <v>Em Aberto</v>
      </c>
      <c r="F10212" s="3">
        <f ca="1">IF(G10212=1,"-",Tabela2[[#This Row],[Dt Venc:]]-TODAY())</f>
        <v>1864</v>
      </c>
      <c r="G10212" s="3"/>
      <c r="H10212" s="3"/>
    </row>
    <row r="10213" spans="1:8">
      <c r="A10213" s="3">
        <v>369335</v>
      </c>
      <c r="B10213" s="7" t="s">
        <v>543</v>
      </c>
      <c r="C10213" s="87" t="s">
        <v>32</v>
      </c>
      <c r="D10213" s="6">
        <v>47557</v>
      </c>
      <c r="E10213" s="3" t="str">
        <f ca="1">IF(Tabela2[[#This Row],[Dt Venc:]]&gt;TODAY(),"Em Aberto",IF(Tabela2[[#This Row],[D/venc]]="-","Enviado",IF(Tabela2[[#This Row],[Dt Venc:]]=TODAY(),"Vence Hoje","Vencida")))</f>
        <v>Em Aberto</v>
      </c>
      <c r="F10213" s="3">
        <f ca="1">IF(G10213=1,"-",Tabela2[[#This Row],[Dt Venc:]]-TODAY())</f>
        <v>1864</v>
      </c>
      <c r="G10213" s="3"/>
      <c r="H10213" s="3"/>
    </row>
    <row r="10214" spans="1:8">
      <c r="A10214" s="3">
        <v>369696</v>
      </c>
      <c r="B10214" s="7" t="s">
        <v>543</v>
      </c>
      <c r="C10214" s="87" t="s">
        <v>32</v>
      </c>
      <c r="D10214" s="6">
        <v>47557</v>
      </c>
      <c r="E10214" s="3" t="str">
        <f ca="1">IF(Tabela2[[#This Row],[Dt Venc:]]&gt;TODAY(),"Em Aberto",IF(Tabela2[[#This Row],[D/venc]]="-","Enviado",IF(Tabela2[[#This Row],[Dt Venc:]]=TODAY(),"Vence Hoje","Vencida")))</f>
        <v>Em Aberto</v>
      </c>
      <c r="F10214" s="3">
        <f ca="1">IF(G10214=1,"-",Tabela2[[#This Row],[Dt Venc:]]-TODAY())</f>
        <v>1864</v>
      </c>
      <c r="G10214" s="3"/>
      <c r="H10214" s="3"/>
    </row>
    <row r="10215" spans="1:8">
      <c r="A10215" s="3">
        <v>369726</v>
      </c>
      <c r="B10215" s="7" t="s">
        <v>543</v>
      </c>
      <c r="C10215" s="87" t="s">
        <v>32</v>
      </c>
      <c r="D10215" s="6">
        <v>47557</v>
      </c>
      <c r="E10215" s="3" t="str">
        <f ca="1">IF(Tabela2[[#This Row],[Dt Venc:]]&gt;TODAY(),"Em Aberto",IF(Tabela2[[#This Row],[D/venc]]="-","Enviado",IF(Tabela2[[#This Row],[Dt Venc:]]=TODAY(),"Vence Hoje","Vencida")))</f>
        <v>Em Aberto</v>
      </c>
      <c r="F10215" s="3">
        <f ca="1">IF(G10215=1,"-",Tabela2[[#This Row],[Dt Venc:]]-TODAY())</f>
        <v>1864</v>
      </c>
      <c r="G10215" s="3"/>
      <c r="H10215" s="3"/>
    </row>
    <row r="10216" spans="1:8">
      <c r="A10216" s="3">
        <v>369751</v>
      </c>
      <c r="B10216" s="7" t="s">
        <v>543</v>
      </c>
      <c r="C10216" s="87" t="s">
        <v>32</v>
      </c>
      <c r="D10216" s="6">
        <v>47557</v>
      </c>
      <c r="E10216" s="3" t="str">
        <f ca="1">IF(Tabela2[[#This Row],[Dt Venc:]]&gt;TODAY(),"Em Aberto",IF(Tabela2[[#This Row],[D/venc]]="-","Enviado",IF(Tabela2[[#This Row],[Dt Venc:]]=TODAY(),"Vence Hoje","Vencida")))</f>
        <v>Em Aberto</v>
      </c>
      <c r="F10216" s="3">
        <f ca="1">IF(G10216=1,"-",Tabela2[[#This Row],[Dt Venc:]]-TODAY())</f>
        <v>1864</v>
      </c>
      <c r="G10216" s="3"/>
      <c r="H10216" s="3"/>
    </row>
    <row r="10217" spans="1:8">
      <c r="A10217" s="3">
        <v>370201</v>
      </c>
      <c r="B10217" s="7" t="s">
        <v>543</v>
      </c>
      <c r="C10217" s="87" t="s">
        <v>32</v>
      </c>
      <c r="D10217" s="6">
        <v>47557</v>
      </c>
      <c r="E10217" s="3" t="str">
        <f ca="1">IF(Tabela2[[#This Row],[Dt Venc:]]&gt;TODAY(),"Em Aberto",IF(Tabela2[[#This Row],[D/venc]]="-","Enviado",IF(Tabela2[[#This Row],[Dt Venc:]]=TODAY(),"Vence Hoje","Vencida")))</f>
        <v>Em Aberto</v>
      </c>
      <c r="F10217" s="3">
        <f ca="1">IF(G10217=1,"-",Tabela2[[#This Row],[Dt Venc:]]-TODAY())</f>
        <v>1864</v>
      </c>
      <c r="G10217" s="3"/>
      <c r="H10217" s="3"/>
    </row>
    <row r="10218" spans="1:8">
      <c r="A10218" s="3">
        <v>370864</v>
      </c>
      <c r="B10218" s="7" t="s">
        <v>543</v>
      </c>
      <c r="C10218" s="87" t="s">
        <v>32</v>
      </c>
      <c r="D10218" s="6">
        <v>47557</v>
      </c>
      <c r="E10218" s="3" t="str">
        <f ca="1">IF(Tabela2[[#This Row],[Dt Venc:]]&gt;TODAY(),"Em Aberto",IF(Tabela2[[#This Row],[D/venc]]="-","Enviado",IF(Tabela2[[#This Row],[Dt Venc:]]=TODAY(),"Vence Hoje","Vencida")))</f>
        <v>Em Aberto</v>
      </c>
      <c r="F10218" s="3">
        <f ca="1">IF(G10218=1,"-",Tabela2[[#This Row],[Dt Venc:]]-TODAY())</f>
        <v>1864</v>
      </c>
      <c r="G10218" s="3"/>
      <c r="H10218" s="3"/>
    </row>
    <row r="10219" spans="1:8">
      <c r="A10219" s="3">
        <v>371011</v>
      </c>
      <c r="B10219" s="7" t="s">
        <v>633</v>
      </c>
      <c r="C10219" s="87" t="s">
        <v>32</v>
      </c>
      <c r="D10219" s="6">
        <v>47557</v>
      </c>
      <c r="E10219" s="3" t="str">
        <f ca="1">IF(Tabela2[[#This Row],[Dt Venc:]]&gt;TODAY(),"Em Aberto",IF(Tabela2[[#This Row],[D/venc]]="-","Enviado",IF(Tabela2[[#This Row],[Dt Venc:]]=TODAY(),"Vence Hoje","Vencida")))</f>
        <v>Em Aberto</v>
      </c>
      <c r="F10219" s="3">
        <f ca="1">IF(G10219=1,"-",Tabela2[[#This Row],[Dt Venc:]]-TODAY())</f>
        <v>1864</v>
      </c>
      <c r="G10219" s="3"/>
      <c r="H10219" s="3"/>
    </row>
    <row r="10220" spans="1:8">
      <c r="A10220" s="3">
        <v>371160</v>
      </c>
      <c r="B10220" s="7" t="s">
        <v>633</v>
      </c>
      <c r="C10220" s="87" t="s">
        <v>32</v>
      </c>
      <c r="D10220" s="6">
        <v>47557</v>
      </c>
      <c r="E10220" s="3" t="str">
        <f ca="1">IF(Tabela2[[#This Row],[Dt Venc:]]&gt;TODAY(),"Em Aberto",IF(Tabela2[[#This Row],[D/venc]]="-","Enviado",IF(Tabela2[[#This Row],[Dt Venc:]]=TODAY(),"Vence Hoje","Vencida")))</f>
        <v>Em Aberto</v>
      </c>
      <c r="F10220" s="3">
        <f ca="1">IF(G10220=1,"-",Tabela2[[#This Row],[Dt Venc:]]-TODAY())</f>
        <v>1864</v>
      </c>
      <c r="G10220" s="3"/>
      <c r="H10220" s="3"/>
    </row>
    <row r="10221" spans="1:8">
      <c r="A10221" s="3">
        <v>912703</v>
      </c>
      <c r="B10221" s="7" t="s">
        <v>253</v>
      </c>
      <c r="C10221" s="99" t="s">
        <v>32</v>
      </c>
      <c r="D10221" s="6">
        <v>47557</v>
      </c>
      <c r="E10221" s="3" t="str">
        <f ca="1">IF(Tabela2[[#This Row],[Dt Venc:]]&gt;TODAY(),"Em Aberto",IF(Tabela2[[#This Row],[D/venc]]="-","Enviado",IF(Tabela2[[#This Row],[Dt Venc:]]=TODAY(),"Vence Hoje","Vencida")))</f>
        <v>Em Aberto</v>
      </c>
      <c r="F10221" s="3">
        <f ca="1">IF(G10221=1,"-",Tabela2[[#This Row],[Dt Venc:]]-TODAY())</f>
        <v>1864</v>
      </c>
      <c r="G10221" s="3"/>
      <c r="H10221" s="3"/>
    </row>
    <row r="10222" spans="1:8">
      <c r="A10222" s="3">
        <v>912704</v>
      </c>
      <c r="B10222" s="7" t="s">
        <v>253</v>
      </c>
      <c r="C10222" s="99" t="s">
        <v>32</v>
      </c>
      <c r="D10222" s="6">
        <v>47557</v>
      </c>
      <c r="E10222" s="3" t="str">
        <f ca="1">IF(Tabela2[[#This Row],[Dt Venc:]]&gt;TODAY(),"Em Aberto",IF(Tabela2[[#This Row],[D/venc]]="-","Enviado",IF(Tabela2[[#This Row],[Dt Venc:]]=TODAY(),"Vence Hoje","Vencida")))</f>
        <v>Em Aberto</v>
      </c>
      <c r="F10222" s="3">
        <f ca="1">IF(G10222=1,"-",Tabela2[[#This Row],[Dt Venc:]]-TODAY())</f>
        <v>1864</v>
      </c>
      <c r="G10222" s="3"/>
      <c r="H10222" s="3"/>
    </row>
    <row r="10223" spans="1:8">
      <c r="A10223" s="3">
        <v>919728</v>
      </c>
      <c r="B10223" s="7" t="s">
        <v>253</v>
      </c>
      <c r="C10223" s="87" t="s">
        <v>32</v>
      </c>
      <c r="D10223" s="6">
        <v>47557</v>
      </c>
      <c r="E10223" s="3" t="str">
        <f ca="1">IF(Tabela2[[#This Row],[Dt Venc:]]&gt;TODAY(),"Em Aberto",IF(Tabela2[[#This Row],[D/venc]]="-","Enviado",IF(Tabela2[[#This Row],[Dt Venc:]]=TODAY(),"Vence Hoje","Vencida")))</f>
        <v>Em Aberto</v>
      </c>
      <c r="F10223" s="3">
        <f ca="1">IF(G10223=1,"-",Tabela2[[#This Row],[Dt Venc:]]-TODAY())</f>
        <v>1864</v>
      </c>
      <c r="G10223" s="3"/>
      <c r="H10223" s="3"/>
    </row>
    <row r="10224" spans="1:8">
      <c r="A10224" s="3">
        <v>919729</v>
      </c>
      <c r="B10224" s="7" t="s">
        <v>253</v>
      </c>
      <c r="C10224" s="87" t="s">
        <v>32</v>
      </c>
      <c r="D10224" s="6">
        <v>47557</v>
      </c>
      <c r="E10224" s="3" t="str">
        <f ca="1">IF(Tabela2[[#This Row],[Dt Venc:]]&gt;TODAY(),"Em Aberto",IF(Tabela2[[#This Row],[D/venc]]="-","Enviado",IF(Tabela2[[#This Row],[Dt Venc:]]=TODAY(),"Vence Hoje","Vencida")))</f>
        <v>Em Aberto</v>
      </c>
      <c r="F10224" s="3">
        <f ca="1">IF(G10224=1,"-",Tabela2[[#This Row],[Dt Venc:]]-TODAY())</f>
        <v>1864</v>
      </c>
      <c r="G10224" s="3"/>
      <c r="H10224" s="3"/>
    </row>
    <row r="10225" spans="1:8">
      <c r="A10225" s="3">
        <v>562</v>
      </c>
      <c r="B10225" s="7" t="s">
        <v>251</v>
      </c>
      <c r="C10225" s="99" t="s">
        <v>32</v>
      </c>
      <c r="D10225" s="6">
        <v>47588</v>
      </c>
      <c r="E10225" s="3" t="str">
        <f ca="1">IF(Tabela2[[#This Row],[Dt Venc:]]&gt;TODAY(),"Em Aberto",IF(Tabela2[[#This Row],[D/venc]]="-","Enviado",IF(Tabela2[[#This Row],[Dt Venc:]]=TODAY(),"Vence Hoje","Vencida")))</f>
        <v>Em Aberto</v>
      </c>
      <c r="F10225" s="3">
        <f ca="1">IF(G10225=1,"-",Tabela2[[#This Row],[Dt Venc:]]-TODAY())</f>
        <v>1895</v>
      </c>
      <c r="G10225" s="3"/>
      <c r="H10225" s="3"/>
    </row>
    <row r="10226" spans="1:8">
      <c r="A10226" s="3">
        <v>369335</v>
      </c>
      <c r="B10226" s="7" t="s">
        <v>543</v>
      </c>
      <c r="C10226" s="87" t="s">
        <v>32</v>
      </c>
      <c r="D10226" s="6">
        <v>47588</v>
      </c>
      <c r="E10226" s="3" t="str">
        <f ca="1">IF(Tabela2[[#This Row],[Dt Venc:]]&gt;TODAY(),"Em Aberto",IF(Tabela2[[#This Row],[D/venc]]="-","Enviado",IF(Tabela2[[#This Row],[Dt Venc:]]=TODAY(),"Vence Hoje","Vencida")))</f>
        <v>Em Aberto</v>
      </c>
      <c r="F10226" s="3">
        <f ca="1">IF(G10226=1,"-",Tabela2[[#This Row],[Dt Venc:]]-TODAY())</f>
        <v>1895</v>
      </c>
      <c r="G10226" s="3"/>
      <c r="H10226" s="3"/>
    </row>
    <row r="10227" spans="1:8">
      <c r="A10227" s="3">
        <v>369696</v>
      </c>
      <c r="B10227" s="7" t="s">
        <v>543</v>
      </c>
      <c r="C10227" s="87" t="s">
        <v>32</v>
      </c>
      <c r="D10227" s="6">
        <v>47588</v>
      </c>
      <c r="E10227" s="3" t="str">
        <f ca="1">IF(Tabela2[[#This Row],[Dt Venc:]]&gt;TODAY(),"Em Aberto",IF(Tabela2[[#This Row],[D/venc]]="-","Enviado",IF(Tabela2[[#This Row],[Dt Venc:]]=TODAY(),"Vence Hoje","Vencida")))</f>
        <v>Em Aberto</v>
      </c>
      <c r="F10227" s="3">
        <f ca="1">IF(G10227=1,"-",Tabela2[[#This Row],[Dt Venc:]]-TODAY())</f>
        <v>1895</v>
      </c>
      <c r="G10227" s="3"/>
      <c r="H10227" s="3"/>
    </row>
    <row r="10228" spans="1:8">
      <c r="A10228" s="3">
        <v>369726</v>
      </c>
      <c r="B10228" s="7" t="s">
        <v>543</v>
      </c>
      <c r="C10228" s="87" t="s">
        <v>32</v>
      </c>
      <c r="D10228" s="6">
        <v>47588</v>
      </c>
      <c r="E10228" s="3" t="str">
        <f ca="1">IF(Tabela2[[#This Row],[Dt Venc:]]&gt;TODAY(),"Em Aberto",IF(Tabela2[[#This Row],[D/venc]]="-","Enviado",IF(Tabela2[[#This Row],[Dt Venc:]]=TODAY(),"Vence Hoje","Vencida")))</f>
        <v>Em Aberto</v>
      </c>
      <c r="F10228" s="3">
        <f ca="1">IF(G10228=1,"-",Tabela2[[#This Row],[Dt Venc:]]-TODAY())</f>
        <v>1895</v>
      </c>
      <c r="G10228" s="3"/>
      <c r="H10228" s="3"/>
    </row>
    <row r="10229" spans="1:8">
      <c r="A10229" s="3">
        <v>369751</v>
      </c>
      <c r="B10229" s="7" t="s">
        <v>543</v>
      </c>
      <c r="C10229" s="87" t="s">
        <v>32</v>
      </c>
      <c r="D10229" s="6">
        <v>47588</v>
      </c>
      <c r="E10229" s="3" t="str">
        <f ca="1">IF(Tabela2[[#This Row],[Dt Venc:]]&gt;TODAY(),"Em Aberto",IF(Tabela2[[#This Row],[D/venc]]="-","Enviado",IF(Tabela2[[#This Row],[Dt Venc:]]=TODAY(),"Vence Hoje","Vencida")))</f>
        <v>Em Aberto</v>
      </c>
      <c r="F10229" s="3">
        <f ca="1">IF(G10229=1,"-",Tabela2[[#This Row],[Dt Venc:]]-TODAY())</f>
        <v>1895</v>
      </c>
      <c r="G10229" s="3"/>
      <c r="H10229" s="3"/>
    </row>
    <row r="10230" spans="1:8">
      <c r="A10230" s="3">
        <v>370201</v>
      </c>
      <c r="B10230" s="7" t="s">
        <v>543</v>
      </c>
      <c r="C10230" s="87" t="s">
        <v>32</v>
      </c>
      <c r="D10230" s="6">
        <v>47588</v>
      </c>
      <c r="E10230" s="3" t="str">
        <f ca="1">IF(Tabela2[[#This Row],[Dt Venc:]]&gt;TODAY(),"Em Aberto",IF(Tabela2[[#This Row],[D/venc]]="-","Enviado",IF(Tabela2[[#This Row],[Dt Venc:]]=TODAY(),"Vence Hoje","Vencida")))</f>
        <v>Em Aberto</v>
      </c>
      <c r="F10230" s="3">
        <f ca="1">IF(G10230=1,"-",Tabela2[[#This Row],[Dt Venc:]]-TODAY())</f>
        <v>1895</v>
      </c>
      <c r="G10230" s="3"/>
      <c r="H10230" s="3"/>
    </row>
    <row r="10231" spans="1:8">
      <c r="A10231" s="3">
        <v>370864</v>
      </c>
      <c r="B10231" s="7" t="s">
        <v>543</v>
      </c>
      <c r="C10231" s="87" t="s">
        <v>32</v>
      </c>
      <c r="D10231" s="6">
        <v>47588</v>
      </c>
      <c r="E10231" s="3" t="str">
        <f ca="1">IF(Tabela2[[#This Row],[Dt Venc:]]&gt;TODAY(),"Em Aberto",IF(Tabela2[[#This Row],[D/venc]]="-","Enviado",IF(Tabela2[[#This Row],[Dt Venc:]]=TODAY(),"Vence Hoje","Vencida")))</f>
        <v>Em Aberto</v>
      </c>
      <c r="F10231" s="3">
        <f ca="1">IF(G10231=1,"-",Tabela2[[#This Row],[Dt Venc:]]-TODAY())</f>
        <v>1895</v>
      </c>
      <c r="G10231" s="3"/>
      <c r="H10231" s="3"/>
    </row>
    <row r="10232" spans="1:8">
      <c r="A10232" s="3">
        <v>371011</v>
      </c>
      <c r="B10232" s="7" t="s">
        <v>633</v>
      </c>
      <c r="C10232" s="87" t="s">
        <v>32</v>
      </c>
      <c r="D10232" s="6">
        <v>47588</v>
      </c>
      <c r="E10232" s="3" t="str">
        <f ca="1">IF(Tabela2[[#This Row],[Dt Venc:]]&gt;TODAY(),"Em Aberto",IF(Tabela2[[#This Row],[D/venc]]="-","Enviado",IF(Tabela2[[#This Row],[Dt Venc:]]=TODAY(),"Vence Hoje","Vencida")))</f>
        <v>Em Aberto</v>
      </c>
      <c r="F10232" s="3">
        <f ca="1">IF(G10232=1,"-",Tabela2[[#This Row],[Dt Venc:]]-TODAY())</f>
        <v>1895</v>
      </c>
      <c r="G10232" s="3"/>
      <c r="H10232" s="3"/>
    </row>
    <row r="10233" spans="1:8">
      <c r="A10233" s="3">
        <v>371160</v>
      </c>
      <c r="B10233" s="7" t="s">
        <v>633</v>
      </c>
      <c r="C10233" s="87" t="s">
        <v>32</v>
      </c>
      <c r="D10233" s="6">
        <v>47588</v>
      </c>
      <c r="E10233" s="3" t="str">
        <f ca="1">IF(Tabela2[[#This Row],[Dt Venc:]]&gt;TODAY(),"Em Aberto",IF(Tabela2[[#This Row],[D/venc]]="-","Enviado",IF(Tabela2[[#This Row],[Dt Venc:]]=TODAY(),"Vence Hoje","Vencida")))</f>
        <v>Em Aberto</v>
      </c>
      <c r="F10233" s="3">
        <f ca="1">IF(G10233=1,"-",Tabela2[[#This Row],[Dt Venc:]]-TODAY())</f>
        <v>1895</v>
      </c>
      <c r="G10233" s="3"/>
      <c r="H10233" s="3"/>
    </row>
    <row r="10234" spans="1:8">
      <c r="A10234" s="3">
        <v>912703</v>
      </c>
      <c r="B10234" s="7" t="s">
        <v>253</v>
      </c>
      <c r="C10234" s="99" t="s">
        <v>32</v>
      </c>
      <c r="D10234" s="6">
        <v>47588</v>
      </c>
      <c r="E10234" s="3" t="str">
        <f ca="1">IF(Tabela2[[#This Row],[Dt Venc:]]&gt;TODAY(),"Em Aberto",IF(Tabela2[[#This Row],[D/venc]]="-","Enviado",IF(Tabela2[[#This Row],[Dt Venc:]]=TODAY(),"Vence Hoje","Vencida")))</f>
        <v>Em Aberto</v>
      </c>
      <c r="F10234" s="3">
        <f ca="1">IF(G10234=1,"-",Tabela2[[#This Row],[Dt Venc:]]-TODAY())</f>
        <v>1895</v>
      </c>
      <c r="G10234" s="3"/>
      <c r="H10234" s="3"/>
    </row>
    <row r="10235" spans="1:8">
      <c r="A10235" s="3">
        <v>912704</v>
      </c>
      <c r="B10235" s="7" t="s">
        <v>253</v>
      </c>
      <c r="C10235" s="99" t="s">
        <v>32</v>
      </c>
      <c r="D10235" s="6">
        <v>47588</v>
      </c>
      <c r="E10235" s="3" t="str">
        <f ca="1">IF(Tabela2[[#This Row],[Dt Venc:]]&gt;TODAY(),"Em Aberto",IF(Tabela2[[#This Row],[D/venc]]="-","Enviado",IF(Tabela2[[#This Row],[Dt Venc:]]=TODAY(),"Vence Hoje","Vencida")))</f>
        <v>Em Aberto</v>
      </c>
      <c r="F10235" s="3">
        <f ca="1">IF(G10235=1,"-",Tabela2[[#This Row],[Dt Venc:]]-TODAY())</f>
        <v>1895</v>
      </c>
      <c r="G10235" s="3"/>
      <c r="H10235" s="3"/>
    </row>
    <row r="10236" spans="1:8">
      <c r="A10236" s="3">
        <v>919728</v>
      </c>
      <c r="B10236" s="7" t="s">
        <v>253</v>
      </c>
      <c r="C10236" s="87" t="s">
        <v>32</v>
      </c>
      <c r="D10236" s="6">
        <v>47588</v>
      </c>
      <c r="E10236" s="3" t="str">
        <f ca="1">IF(Tabela2[[#This Row],[Dt Venc:]]&gt;TODAY(),"Em Aberto",IF(Tabela2[[#This Row],[D/venc]]="-","Enviado",IF(Tabela2[[#This Row],[Dt Venc:]]=TODAY(),"Vence Hoje","Vencida")))</f>
        <v>Em Aberto</v>
      </c>
      <c r="F10236" s="3">
        <f ca="1">IF(G10236=1,"-",Tabela2[[#This Row],[Dt Venc:]]-TODAY())</f>
        <v>1895</v>
      </c>
      <c r="G10236" s="3"/>
      <c r="H10236" s="3"/>
    </row>
    <row r="10237" spans="1:8">
      <c r="A10237" s="3">
        <v>919729</v>
      </c>
      <c r="B10237" s="7" t="s">
        <v>253</v>
      </c>
      <c r="C10237" s="87" t="s">
        <v>32</v>
      </c>
      <c r="D10237" s="6">
        <v>47588</v>
      </c>
      <c r="E10237" s="3" t="str">
        <f ca="1">IF(Tabela2[[#This Row],[Dt Venc:]]&gt;TODAY(),"Em Aberto",IF(Tabela2[[#This Row],[D/venc]]="-","Enviado",IF(Tabela2[[#This Row],[Dt Venc:]]=TODAY(),"Vence Hoje","Vencida")))</f>
        <v>Em Aberto</v>
      </c>
      <c r="F10237" s="3">
        <f ca="1">IF(G10237=1,"-",Tabela2[[#This Row],[Dt Venc:]]-TODAY())</f>
        <v>1895</v>
      </c>
      <c r="G10237" s="3"/>
      <c r="H10237" s="3"/>
    </row>
    <row r="10238" spans="1:8">
      <c r="A10238" s="3">
        <v>562</v>
      </c>
      <c r="B10238" s="7" t="s">
        <v>251</v>
      </c>
      <c r="C10238" s="99" t="s">
        <v>32</v>
      </c>
      <c r="D10238" s="6">
        <v>47618</v>
      </c>
      <c r="E10238" s="3" t="str">
        <f ca="1">IF(Tabela2[[#This Row],[Dt Venc:]]&gt;TODAY(),"Em Aberto",IF(Tabela2[[#This Row],[D/venc]]="-","Enviado",IF(Tabela2[[#This Row],[Dt Venc:]]=TODAY(),"Vence Hoje","Vencida")))</f>
        <v>Em Aberto</v>
      </c>
      <c r="F10238" s="3">
        <f ca="1">IF(G10238=1,"-",Tabela2[[#This Row],[Dt Venc:]]-TODAY())</f>
        <v>1925</v>
      </c>
      <c r="G10238" s="3"/>
      <c r="H10238" s="3"/>
    </row>
    <row r="10239" spans="1:8">
      <c r="A10239" s="3">
        <v>369335</v>
      </c>
      <c r="B10239" s="7" t="s">
        <v>543</v>
      </c>
      <c r="C10239" s="87" t="s">
        <v>32</v>
      </c>
      <c r="D10239" s="6">
        <v>47618</v>
      </c>
      <c r="E10239" s="3" t="str">
        <f ca="1">IF(Tabela2[[#This Row],[Dt Venc:]]&gt;TODAY(),"Em Aberto",IF(Tabela2[[#This Row],[D/venc]]="-","Enviado",IF(Tabela2[[#This Row],[Dt Venc:]]=TODAY(),"Vence Hoje","Vencida")))</f>
        <v>Em Aberto</v>
      </c>
      <c r="F10239" s="3">
        <f ca="1">IF(G10239=1,"-",Tabela2[[#This Row],[Dt Venc:]]-TODAY())</f>
        <v>1925</v>
      </c>
      <c r="G10239" s="3"/>
      <c r="H10239" s="3"/>
    </row>
    <row r="10240" spans="1:8">
      <c r="A10240" s="3">
        <v>369696</v>
      </c>
      <c r="B10240" s="7" t="s">
        <v>543</v>
      </c>
      <c r="C10240" s="87" t="s">
        <v>32</v>
      </c>
      <c r="D10240" s="6">
        <v>47618</v>
      </c>
      <c r="E10240" s="3" t="str">
        <f ca="1">IF(Tabela2[[#This Row],[Dt Venc:]]&gt;TODAY(),"Em Aberto",IF(Tabela2[[#This Row],[D/venc]]="-","Enviado",IF(Tabela2[[#This Row],[Dt Venc:]]=TODAY(),"Vence Hoje","Vencida")))</f>
        <v>Em Aberto</v>
      </c>
      <c r="F10240" s="3">
        <f ca="1">IF(G10240=1,"-",Tabela2[[#This Row],[Dt Venc:]]-TODAY())</f>
        <v>1925</v>
      </c>
      <c r="G10240" s="3"/>
      <c r="H10240" s="3"/>
    </row>
    <row r="10241" spans="1:8">
      <c r="A10241" s="3">
        <v>369726</v>
      </c>
      <c r="B10241" s="7" t="s">
        <v>543</v>
      </c>
      <c r="C10241" s="87" t="s">
        <v>32</v>
      </c>
      <c r="D10241" s="6">
        <v>47618</v>
      </c>
      <c r="E10241" s="3" t="str">
        <f ca="1">IF(Tabela2[[#This Row],[Dt Venc:]]&gt;TODAY(),"Em Aberto",IF(Tabela2[[#This Row],[D/venc]]="-","Enviado",IF(Tabela2[[#This Row],[Dt Venc:]]=TODAY(),"Vence Hoje","Vencida")))</f>
        <v>Em Aberto</v>
      </c>
      <c r="F10241" s="3">
        <f ca="1">IF(G10241=1,"-",Tabela2[[#This Row],[Dt Venc:]]-TODAY())</f>
        <v>1925</v>
      </c>
      <c r="G10241" s="3"/>
      <c r="H10241" s="3"/>
    </row>
    <row r="10242" spans="1:8">
      <c r="A10242" s="3">
        <v>369751</v>
      </c>
      <c r="B10242" s="7" t="s">
        <v>543</v>
      </c>
      <c r="C10242" s="87" t="s">
        <v>32</v>
      </c>
      <c r="D10242" s="6">
        <v>47618</v>
      </c>
      <c r="E10242" s="3" t="str">
        <f ca="1">IF(Tabela2[[#This Row],[Dt Venc:]]&gt;TODAY(),"Em Aberto",IF(Tabela2[[#This Row],[D/venc]]="-","Enviado",IF(Tabela2[[#This Row],[Dt Venc:]]=TODAY(),"Vence Hoje","Vencida")))</f>
        <v>Em Aberto</v>
      </c>
      <c r="F10242" s="3">
        <f ca="1">IF(G10242=1,"-",Tabela2[[#This Row],[Dt Venc:]]-TODAY())</f>
        <v>1925</v>
      </c>
      <c r="G10242" s="3"/>
      <c r="H10242" s="3"/>
    </row>
    <row r="10243" spans="1:8">
      <c r="A10243" s="3">
        <v>370201</v>
      </c>
      <c r="B10243" s="7" t="s">
        <v>543</v>
      </c>
      <c r="C10243" s="87" t="s">
        <v>32</v>
      </c>
      <c r="D10243" s="6">
        <v>47618</v>
      </c>
      <c r="E10243" s="3" t="str">
        <f ca="1">IF(Tabela2[[#This Row],[Dt Venc:]]&gt;TODAY(),"Em Aberto",IF(Tabela2[[#This Row],[D/venc]]="-","Enviado",IF(Tabela2[[#This Row],[Dt Venc:]]=TODAY(),"Vence Hoje","Vencida")))</f>
        <v>Em Aberto</v>
      </c>
      <c r="F10243" s="3">
        <f ca="1">IF(G10243=1,"-",Tabela2[[#This Row],[Dt Venc:]]-TODAY())</f>
        <v>1925</v>
      </c>
      <c r="G10243" s="3"/>
      <c r="H10243" s="3"/>
    </row>
    <row r="10244" spans="1:8">
      <c r="A10244" s="3">
        <v>370864</v>
      </c>
      <c r="B10244" s="7" t="s">
        <v>543</v>
      </c>
      <c r="C10244" s="87" t="s">
        <v>32</v>
      </c>
      <c r="D10244" s="6">
        <v>47618</v>
      </c>
      <c r="E10244" s="3" t="str">
        <f ca="1">IF(Tabela2[[#This Row],[Dt Venc:]]&gt;TODAY(),"Em Aberto",IF(Tabela2[[#This Row],[D/venc]]="-","Enviado",IF(Tabela2[[#This Row],[Dt Venc:]]=TODAY(),"Vence Hoje","Vencida")))</f>
        <v>Em Aberto</v>
      </c>
      <c r="F10244" s="3">
        <f ca="1">IF(G10244=1,"-",Tabela2[[#This Row],[Dt Venc:]]-TODAY())</f>
        <v>1925</v>
      </c>
      <c r="G10244" s="3"/>
      <c r="H10244" s="3"/>
    </row>
    <row r="10245" spans="1:8">
      <c r="A10245" s="3">
        <v>371011</v>
      </c>
      <c r="B10245" s="7" t="s">
        <v>633</v>
      </c>
      <c r="C10245" s="87" t="s">
        <v>32</v>
      </c>
      <c r="D10245" s="6">
        <v>47618</v>
      </c>
      <c r="E10245" s="3" t="str">
        <f ca="1">IF(Tabela2[[#This Row],[Dt Venc:]]&gt;TODAY(),"Em Aberto",IF(Tabela2[[#This Row],[D/venc]]="-","Enviado",IF(Tabela2[[#This Row],[Dt Venc:]]=TODAY(),"Vence Hoje","Vencida")))</f>
        <v>Em Aberto</v>
      </c>
      <c r="F10245" s="3">
        <f ca="1">IF(G10245=1,"-",Tabela2[[#This Row],[Dt Venc:]]-TODAY())</f>
        <v>1925</v>
      </c>
      <c r="G10245" s="3"/>
      <c r="H10245" s="3"/>
    </row>
    <row r="10246" spans="1:8">
      <c r="A10246" s="3">
        <v>371160</v>
      </c>
      <c r="B10246" s="7" t="s">
        <v>633</v>
      </c>
      <c r="C10246" s="87" t="s">
        <v>32</v>
      </c>
      <c r="D10246" s="6">
        <v>47618</v>
      </c>
      <c r="E10246" s="3" t="str">
        <f ca="1">IF(Tabela2[[#This Row],[Dt Venc:]]&gt;TODAY(),"Em Aberto",IF(Tabela2[[#This Row],[D/venc]]="-","Enviado",IF(Tabela2[[#This Row],[Dt Venc:]]=TODAY(),"Vence Hoje","Vencida")))</f>
        <v>Em Aberto</v>
      </c>
      <c r="F10246" s="3">
        <f ca="1">IF(G10246=1,"-",Tabela2[[#This Row],[Dt Venc:]]-TODAY())</f>
        <v>1925</v>
      </c>
      <c r="G10246" s="3"/>
      <c r="H10246" s="3"/>
    </row>
    <row r="10247" spans="1:8">
      <c r="A10247" s="3">
        <v>919728</v>
      </c>
      <c r="B10247" s="7" t="s">
        <v>253</v>
      </c>
      <c r="C10247" s="87" t="s">
        <v>32</v>
      </c>
      <c r="D10247" s="6">
        <v>47618</v>
      </c>
      <c r="E10247" s="3" t="str">
        <f ca="1">IF(Tabela2[[#This Row],[Dt Venc:]]&gt;TODAY(),"Em Aberto",IF(Tabela2[[#This Row],[D/venc]]="-","Enviado",IF(Tabela2[[#This Row],[Dt Venc:]]=TODAY(),"Vence Hoje","Vencida")))</f>
        <v>Em Aberto</v>
      </c>
      <c r="F10247" s="3">
        <f ca="1">IF(G10247=1,"-",Tabela2[[#This Row],[Dt Venc:]]-TODAY())</f>
        <v>1925</v>
      </c>
      <c r="G10247" s="3"/>
      <c r="H10247" s="3"/>
    </row>
    <row r="10248" spans="1:8">
      <c r="A10248" s="3">
        <v>919729</v>
      </c>
      <c r="B10248" s="7" t="s">
        <v>253</v>
      </c>
      <c r="C10248" s="87" t="s">
        <v>32</v>
      </c>
      <c r="D10248" s="6">
        <v>47618</v>
      </c>
      <c r="E10248" s="3" t="str">
        <f ca="1">IF(Tabela2[[#This Row],[Dt Venc:]]&gt;TODAY(),"Em Aberto",IF(Tabela2[[#This Row],[D/venc]]="-","Enviado",IF(Tabela2[[#This Row],[Dt Venc:]]=TODAY(),"Vence Hoje","Vencida")))</f>
        <v>Em Aberto</v>
      </c>
      <c r="F10248" s="3">
        <f ca="1">IF(G10248=1,"-",Tabela2[[#This Row],[Dt Venc:]]-TODAY())</f>
        <v>1925</v>
      </c>
      <c r="G10248" s="3"/>
      <c r="H10248" s="3"/>
    </row>
    <row r="10249" spans="1:8">
      <c r="A10249" s="3">
        <v>562</v>
      </c>
      <c r="B10249" s="7" t="s">
        <v>251</v>
      </c>
      <c r="C10249" s="99" t="s">
        <v>32</v>
      </c>
      <c r="D10249" s="6">
        <v>47649</v>
      </c>
      <c r="E10249" s="3" t="str">
        <f ca="1">IF(Tabela2[[#This Row],[Dt Venc:]]&gt;TODAY(),"Em Aberto",IF(Tabela2[[#This Row],[D/venc]]="-","Enviado",IF(Tabela2[[#This Row],[Dt Venc:]]=TODAY(),"Vence Hoje","Vencida")))</f>
        <v>Em Aberto</v>
      </c>
      <c r="F10249" s="3">
        <f ca="1">IF(G10249=1,"-",Tabela2[[#This Row],[Dt Venc:]]-TODAY())</f>
        <v>1956</v>
      </c>
      <c r="G10249" s="3"/>
      <c r="H10249" s="3"/>
    </row>
    <row r="10250" spans="1:8">
      <c r="A10250" s="3">
        <v>369335</v>
      </c>
      <c r="B10250" s="7" t="s">
        <v>543</v>
      </c>
      <c r="C10250" s="87" t="s">
        <v>32</v>
      </c>
      <c r="D10250" s="6">
        <v>47649</v>
      </c>
      <c r="E10250" s="3" t="str">
        <f ca="1">IF(Tabela2[[#This Row],[Dt Venc:]]&gt;TODAY(),"Em Aberto",IF(Tabela2[[#This Row],[D/venc]]="-","Enviado",IF(Tabela2[[#This Row],[Dt Venc:]]=TODAY(),"Vence Hoje","Vencida")))</f>
        <v>Em Aberto</v>
      </c>
      <c r="F10250" s="3">
        <f ca="1">IF(G10250=1,"-",Tabela2[[#This Row],[Dt Venc:]]-TODAY())</f>
        <v>1956</v>
      </c>
      <c r="G10250" s="3"/>
      <c r="H10250" s="3"/>
    </row>
    <row r="10251" spans="1:8">
      <c r="A10251" s="3">
        <v>369696</v>
      </c>
      <c r="B10251" s="7" t="s">
        <v>543</v>
      </c>
      <c r="C10251" s="87" t="s">
        <v>32</v>
      </c>
      <c r="D10251" s="6">
        <v>47649</v>
      </c>
      <c r="E10251" s="3" t="str">
        <f ca="1">IF(Tabela2[[#This Row],[Dt Venc:]]&gt;TODAY(),"Em Aberto",IF(Tabela2[[#This Row],[D/venc]]="-","Enviado",IF(Tabela2[[#This Row],[Dt Venc:]]=TODAY(),"Vence Hoje","Vencida")))</f>
        <v>Em Aberto</v>
      </c>
      <c r="F10251" s="3">
        <f ca="1">IF(G10251=1,"-",Tabela2[[#This Row],[Dt Venc:]]-TODAY())</f>
        <v>1956</v>
      </c>
      <c r="G10251" s="3"/>
      <c r="H10251" s="3"/>
    </row>
    <row r="10252" spans="1:8">
      <c r="A10252" s="3">
        <v>369726</v>
      </c>
      <c r="B10252" s="7" t="s">
        <v>543</v>
      </c>
      <c r="C10252" s="87" t="s">
        <v>32</v>
      </c>
      <c r="D10252" s="6">
        <v>47649</v>
      </c>
      <c r="E10252" s="3" t="str">
        <f ca="1">IF(Tabela2[[#This Row],[Dt Venc:]]&gt;TODAY(),"Em Aberto",IF(Tabela2[[#This Row],[D/venc]]="-","Enviado",IF(Tabela2[[#This Row],[Dt Venc:]]=TODAY(),"Vence Hoje","Vencida")))</f>
        <v>Em Aberto</v>
      </c>
      <c r="F10252" s="3">
        <f ca="1">IF(G10252=1,"-",Tabela2[[#This Row],[Dt Venc:]]-TODAY())</f>
        <v>1956</v>
      </c>
      <c r="G10252" s="3"/>
      <c r="H10252" s="3"/>
    </row>
    <row r="10253" spans="1:8">
      <c r="A10253" s="3">
        <v>369751</v>
      </c>
      <c r="B10253" s="7" t="s">
        <v>543</v>
      </c>
      <c r="C10253" s="87" t="s">
        <v>32</v>
      </c>
      <c r="D10253" s="6">
        <v>47649</v>
      </c>
      <c r="E10253" s="3" t="str">
        <f ca="1">IF(Tabela2[[#This Row],[Dt Venc:]]&gt;TODAY(),"Em Aberto",IF(Tabela2[[#This Row],[D/venc]]="-","Enviado",IF(Tabela2[[#This Row],[Dt Venc:]]=TODAY(),"Vence Hoje","Vencida")))</f>
        <v>Em Aberto</v>
      </c>
      <c r="F10253" s="3">
        <f ca="1">IF(G10253=1,"-",Tabela2[[#This Row],[Dt Venc:]]-TODAY())</f>
        <v>1956</v>
      </c>
      <c r="G10253" s="3"/>
      <c r="H10253" s="3"/>
    </row>
    <row r="10254" spans="1:8">
      <c r="A10254" s="3">
        <v>370201</v>
      </c>
      <c r="B10254" s="7" t="s">
        <v>543</v>
      </c>
      <c r="C10254" s="87" t="s">
        <v>32</v>
      </c>
      <c r="D10254" s="6">
        <v>47649</v>
      </c>
      <c r="E10254" s="3" t="str">
        <f ca="1">IF(Tabela2[[#This Row],[Dt Venc:]]&gt;TODAY(),"Em Aberto",IF(Tabela2[[#This Row],[D/venc]]="-","Enviado",IF(Tabela2[[#This Row],[Dt Venc:]]=TODAY(),"Vence Hoje","Vencida")))</f>
        <v>Em Aberto</v>
      </c>
      <c r="F10254" s="3">
        <f ca="1">IF(G10254=1,"-",Tabela2[[#This Row],[Dt Venc:]]-TODAY())</f>
        <v>1956</v>
      </c>
      <c r="G10254" s="3"/>
      <c r="H10254" s="3"/>
    </row>
    <row r="10255" spans="1:8">
      <c r="A10255" s="3">
        <v>370864</v>
      </c>
      <c r="B10255" s="7" t="s">
        <v>543</v>
      </c>
      <c r="C10255" s="87" t="s">
        <v>32</v>
      </c>
      <c r="D10255" s="6">
        <v>47649</v>
      </c>
      <c r="E10255" s="3" t="str">
        <f ca="1">IF(Tabela2[[#This Row],[Dt Venc:]]&gt;TODAY(),"Em Aberto",IF(Tabela2[[#This Row],[D/venc]]="-","Enviado",IF(Tabela2[[#This Row],[Dt Venc:]]=TODAY(),"Vence Hoje","Vencida")))</f>
        <v>Em Aberto</v>
      </c>
      <c r="F10255" s="3">
        <f ca="1">IF(G10255=1,"-",Tabela2[[#This Row],[Dt Venc:]]-TODAY())</f>
        <v>1956</v>
      </c>
      <c r="G10255" s="3"/>
      <c r="H10255" s="3"/>
    </row>
    <row r="10256" spans="1:8">
      <c r="A10256" s="3">
        <v>371011</v>
      </c>
      <c r="B10256" s="7" t="s">
        <v>633</v>
      </c>
      <c r="C10256" s="87" t="s">
        <v>32</v>
      </c>
      <c r="D10256" s="6">
        <v>47649</v>
      </c>
      <c r="E10256" s="3" t="str">
        <f ca="1">IF(Tabela2[[#This Row],[Dt Venc:]]&gt;TODAY(),"Em Aberto",IF(Tabela2[[#This Row],[D/venc]]="-","Enviado",IF(Tabela2[[#This Row],[Dt Venc:]]=TODAY(),"Vence Hoje","Vencida")))</f>
        <v>Em Aberto</v>
      </c>
      <c r="F10256" s="3">
        <f ca="1">IF(G10256=1,"-",Tabela2[[#This Row],[Dt Venc:]]-TODAY())</f>
        <v>1956</v>
      </c>
      <c r="G10256" s="3"/>
      <c r="H10256" s="3"/>
    </row>
    <row r="10257" spans="1:8">
      <c r="A10257" s="3">
        <v>371160</v>
      </c>
      <c r="B10257" s="7" t="s">
        <v>633</v>
      </c>
      <c r="C10257" s="87" t="s">
        <v>32</v>
      </c>
      <c r="D10257" s="6">
        <v>47649</v>
      </c>
      <c r="E10257" s="3" t="str">
        <f ca="1">IF(Tabela2[[#This Row],[Dt Venc:]]&gt;TODAY(),"Em Aberto",IF(Tabela2[[#This Row],[D/venc]]="-","Enviado",IF(Tabela2[[#This Row],[Dt Venc:]]=TODAY(),"Vence Hoje","Vencida")))</f>
        <v>Em Aberto</v>
      </c>
      <c r="F10257" s="3">
        <f ca="1">IF(G10257=1,"-",Tabela2[[#This Row],[Dt Venc:]]-TODAY())</f>
        <v>1956</v>
      </c>
      <c r="G10257" s="3"/>
      <c r="H10257" s="3"/>
    </row>
    <row r="10258" spans="1:8">
      <c r="A10258" s="3">
        <v>919728</v>
      </c>
      <c r="B10258" s="7" t="s">
        <v>253</v>
      </c>
      <c r="C10258" s="87" t="s">
        <v>32</v>
      </c>
      <c r="D10258" s="6">
        <v>47649</v>
      </c>
      <c r="E10258" s="3" t="str">
        <f ca="1">IF(Tabela2[[#This Row],[Dt Venc:]]&gt;TODAY(),"Em Aberto",IF(Tabela2[[#This Row],[D/venc]]="-","Enviado",IF(Tabela2[[#This Row],[Dt Venc:]]=TODAY(),"Vence Hoje","Vencida")))</f>
        <v>Em Aberto</v>
      </c>
      <c r="F10258" s="3">
        <f ca="1">IF(G10258=1,"-",Tabela2[[#This Row],[Dt Venc:]]-TODAY())</f>
        <v>1956</v>
      </c>
      <c r="G10258" s="3"/>
      <c r="H10258" s="3"/>
    </row>
    <row r="10259" spans="1:8">
      <c r="A10259" s="3">
        <v>919729</v>
      </c>
      <c r="B10259" s="7" t="s">
        <v>253</v>
      </c>
      <c r="C10259" s="87" t="s">
        <v>32</v>
      </c>
      <c r="D10259" s="6">
        <v>47649</v>
      </c>
      <c r="E10259" s="3" t="str">
        <f ca="1">IF(Tabela2[[#This Row],[Dt Venc:]]&gt;TODAY(),"Em Aberto",IF(Tabela2[[#This Row],[D/venc]]="-","Enviado",IF(Tabela2[[#This Row],[Dt Venc:]]=TODAY(),"Vence Hoje","Vencida")))</f>
        <v>Em Aberto</v>
      </c>
      <c r="F10259" s="3">
        <f ca="1">IF(G10259=1,"-",Tabela2[[#This Row],[Dt Venc:]]-TODAY())</f>
        <v>1956</v>
      </c>
      <c r="G10259" s="3"/>
      <c r="H10259" s="3"/>
    </row>
    <row r="10260" spans="1:8">
      <c r="A10260" s="3">
        <v>562</v>
      </c>
      <c r="B10260" s="7" t="s">
        <v>251</v>
      </c>
      <c r="C10260" s="99" t="s">
        <v>32</v>
      </c>
      <c r="D10260" s="6">
        <v>47679</v>
      </c>
      <c r="E10260" s="3" t="str">
        <f ca="1">IF(Tabela2[[#This Row],[Dt Venc:]]&gt;TODAY(),"Em Aberto",IF(Tabela2[[#This Row],[D/venc]]="-","Enviado",IF(Tabela2[[#This Row],[Dt Venc:]]=TODAY(),"Vence Hoje","Vencida")))</f>
        <v>Em Aberto</v>
      </c>
      <c r="F10260" s="3">
        <f ca="1">IF(G10260=1,"-",Tabela2[[#This Row],[Dt Venc:]]-TODAY())</f>
        <v>1986</v>
      </c>
      <c r="G10260" s="3"/>
      <c r="H10260" s="3"/>
    </row>
    <row r="10261" spans="1:8">
      <c r="A10261" s="3">
        <v>369335</v>
      </c>
      <c r="B10261" s="7" t="s">
        <v>543</v>
      </c>
      <c r="C10261" s="87" t="s">
        <v>32</v>
      </c>
      <c r="D10261" s="6">
        <v>47679</v>
      </c>
      <c r="E10261" s="3" t="str">
        <f ca="1">IF(Tabela2[[#This Row],[Dt Venc:]]&gt;TODAY(),"Em Aberto",IF(Tabela2[[#This Row],[D/venc]]="-","Enviado",IF(Tabela2[[#This Row],[Dt Venc:]]=TODAY(),"Vence Hoje","Vencida")))</f>
        <v>Em Aberto</v>
      </c>
      <c r="F10261" s="3">
        <f ca="1">IF(G10261=1,"-",Tabela2[[#This Row],[Dt Venc:]]-TODAY())</f>
        <v>1986</v>
      </c>
      <c r="G10261" s="3"/>
      <c r="H10261" s="3"/>
    </row>
    <row r="10262" spans="1:8">
      <c r="A10262" s="3">
        <v>369696</v>
      </c>
      <c r="B10262" s="7" t="s">
        <v>543</v>
      </c>
      <c r="C10262" s="87" t="s">
        <v>32</v>
      </c>
      <c r="D10262" s="6">
        <v>47679</v>
      </c>
      <c r="E10262" s="3" t="str">
        <f ca="1">IF(Tabela2[[#This Row],[Dt Venc:]]&gt;TODAY(),"Em Aberto",IF(Tabela2[[#This Row],[D/venc]]="-","Enviado",IF(Tabela2[[#This Row],[Dt Venc:]]=TODAY(),"Vence Hoje","Vencida")))</f>
        <v>Em Aberto</v>
      </c>
      <c r="F10262" s="3">
        <f ca="1">IF(G10262=1,"-",Tabela2[[#This Row],[Dt Venc:]]-TODAY())</f>
        <v>1986</v>
      </c>
      <c r="G10262" s="3"/>
      <c r="H10262" s="3"/>
    </row>
    <row r="10263" spans="1:8">
      <c r="A10263" s="3">
        <v>369726</v>
      </c>
      <c r="B10263" s="7" t="s">
        <v>543</v>
      </c>
      <c r="C10263" s="87" t="s">
        <v>32</v>
      </c>
      <c r="D10263" s="6">
        <v>47679</v>
      </c>
      <c r="E10263" s="3" t="str">
        <f ca="1">IF(Tabela2[[#This Row],[Dt Venc:]]&gt;TODAY(),"Em Aberto",IF(Tabela2[[#This Row],[D/venc]]="-","Enviado",IF(Tabela2[[#This Row],[Dt Venc:]]=TODAY(),"Vence Hoje","Vencida")))</f>
        <v>Em Aberto</v>
      </c>
      <c r="F10263" s="3">
        <f ca="1">IF(G10263=1,"-",Tabela2[[#This Row],[Dt Venc:]]-TODAY())</f>
        <v>1986</v>
      </c>
      <c r="G10263" s="3"/>
      <c r="H10263" s="3"/>
    </row>
    <row r="10264" spans="1:8">
      <c r="A10264" s="3">
        <v>369751</v>
      </c>
      <c r="B10264" s="7" t="s">
        <v>543</v>
      </c>
      <c r="C10264" s="87" t="s">
        <v>32</v>
      </c>
      <c r="D10264" s="6">
        <v>47679</v>
      </c>
      <c r="E10264" s="3" t="str">
        <f ca="1">IF(Tabela2[[#This Row],[Dt Venc:]]&gt;TODAY(),"Em Aberto",IF(Tabela2[[#This Row],[D/venc]]="-","Enviado",IF(Tabela2[[#This Row],[Dt Venc:]]=TODAY(),"Vence Hoje","Vencida")))</f>
        <v>Em Aberto</v>
      </c>
      <c r="F10264" s="3">
        <f ca="1">IF(G10264=1,"-",Tabela2[[#This Row],[Dt Venc:]]-TODAY())</f>
        <v>1986</v>
      </c>
      <c r="G10264" s="3"/>
      <c r="H10264" s="3"/>
    </row>
    <row r="10265" spans="1:8">
      <c r="A10265" s="3">
        <v>370201</v>
      </c>
      <c r="B10265" s="7" t="s">
        <v>543</v>
      </c>
      <c r="C10265" s="87" t="s">
        <v>32</v>
      </c>
      <c r="D10265" s="6">
        <v>47679</v>
      </c>
      <c r="E10265" s="3" t="str">
        <f ca="1">IF(Tabela2[[#This Row],[Dt Venc:]]&gt;TODAY(),"Em Aberto",IF(Tabela2[[#This Row],[D/venc]]="-","Enviado",IF(Tabela2[[#This Row],[Dt Venc:]]=TODAY(),"Vence Hoje","Vencida")))</f>
        <v>Em Aberto</v>
      </c>
      <c r="F10265" s="3">
        <f ca="1">IF(G10265=1,"-",Tabela2[[#This Row],[Dt Venc:]]-TODAY())</f>
        <v>1986</v>
      </c>
      <c r="G10265" s="3"/>
      <c r="H10265" s="3"/>
    </row>
    <row r="10266" spans="1:8">
      <c r="A10266" s="3">
        <v>370864</v>
      </c>
      <c r="B10266" s="7" t="s">
        <v>543</v>
      </c>
      <c r="C10266" s="87" t="s">
        <v>32</v>
      </c>
      <c r="D10266" s="6">
        <v>47679</v>
      </c>
      <c r="E10266" s="3" t="str">
        <f ca="1">IF(Tabela2[[#This Row],[Dt Venc:]]&gt;TODAY(),"Em Aberto",IF(Tabela2[[#This Row],[D/venc]]="-","Enviado",IF(Tabela2[[#This Row],[Dt Venc:]]=TODAY(),"Vence Hoje","Vencida")))</f>
        <v>Em Aberto</v>
      </c>
      <c r="F10266" s="3">
        <f ca="1">IF(G10266=1,"-",Tabela2[[#This Row],[Dt Venc:]]-TODAY())</f>
        <v>1986</v>
      </c>
      <c r="G10266" s="3"/>
      <c r="H10266" s="3"/>
    </row>
    <row r="10267" spans="1:8">
      <c r="A10267" s="3">
        <v>371011</v>
      </c>
      <c r="B10267" s="7" t="s">
        <v>633</v>
      </c>
      <c r="C10267" s="87" t="s">
        <v>32</v>
      </c>
      <c r="D10267" s="6">
        <v>47679</v>
      </c>
      <c r="E10267" s="3" t="str">
        <f ca="1">IF(Tabela2[[#This Row],[Dt Venc:]]&gt;TODAY(),"Em Aberto",IF(Tabela2[[#This Row],[D/venc]]="-","Enviado",IF(Tabela2[[#This Row],[Dt Venc:]]=TODAY(),"Vence Hoje","Vencida")))</f>
        <v>Em Aberto</v>
      </c>
      <c r="F10267" s="3">
        <f ca="1">IF(G10267=1,"-",Tabela2[[#This Row],[Dt Venc:]]-TODAY())</f>
        <v>1986</v>
      </c>
      <c r="G10267" s="3"/>
      <c r="H10267" s="3"/>
    </row>
    <row r="10268" spans="1:8">
      <c r="A10268" s="3">
        <v>371160</v>
      </c>
      <c r="B10268" s="7" t="s">
        <v>633</v>
      </c>
      <c r="C10268" s="87" t="s">
        <v>32</v>
      </c>
      <c r="D10268" s="6">
        <v>47679</v>
      </c>
      <c r="E10268" s="3" t="str">
        <f ca="1">IF(Tabela2[[#This Row],[Dt Venc:]]&gt;TODAY(),"Em Aberto",IF(Tabela2[[#This Row],[D/venc]]="-","Enviado",IF(Tabela2[[#This Row],[Dt Venc:]]=TODAY(),"Vence Hoje","Vencida")))</f>
        <v>Em Aberto</v>
      </c>
      <c r="F10268" s="3">
        <f ca="1">IF(G10268=1,"-",Tabela2[[#This Row],[Dt Venc:]]-TODAY())</f>
        <v>1986</v>
      </c>
      <c r="G10268" s="3"/>
      <c r="H10268" s="3"/>
    </row>
    <row r="10269" spans="1:8">
      <c r="A10269" s="3">
        <v>919728</v>
      </c>
      <c r="B10269" s="7" t="s">
        <v>253</v>
      </c>
      <c r="C10269" s="87" t="s">
        <v>32</v>
      </c>
      <c r="D10269" s="6">
        <v>47679</v>
      </c>
      <c r="E10269" s="3" t="str">
        <f ca="1">IF(Tabela2[[#This Row],[Dt Venc:]]&gt;TODAY(),"Em Aberto",IF(Tabela2[[#This Row],[D/venc]]="-","Enviado",IF(Tabela2[[#This Row],[Dt Venc:]]=TODAY(),"Vence Hoje","Vencida")))</f>
        <v>Em Aberto</v>
      </c>
      <c r="F10269" s="3">
        <f ca="1">IF(G10269=1,"-",Tabela2[[#This Row],[Dt Venc:]]-TODAY())</f>
        <v>1986</v>
      </c>
      <c r="G10269" s="3"/>
      <c r="H10269" s="3"/>
    </row>
    <row r="10270" spans="1:8">
      <c r="A10270" s="3">
        <v>919729</v>
      </c>
      <c r="B10270" s="7" t="s">
        <v>253</v>
      </c>
      <c r="C10270" s="87" t="s">
        <v>32</v>
      </c>
      <c r="D10270" s="6">
        <v>47679</v>
      </c>
      <c r="E10270" s="3" t="str">
        <f ca="1">IF(Tabela2[[#This Row],[Dt Venc:]]&gt;TODAY(),"Em Aberto",IF(Tabela2[[#This Row],[D/venc]]="-","Enviado",IF(Tabela2[[#This Row],[Dt Venc:]]=TODAY(),"Vence Hoje","Vencida")))</f>
        <v>Em Aberto</v>
      </c>
      <c r="F10270" s="3">
        <f ca="1">IF(G10270=1,"-",Tabela2[[#This Row],[Dt Venc:]]-TODAY())</f>
        <v>1986</v>
      </c>
      <c r="G10270" s="3"/>
      <c r="H10270" s="3"/>
    </row>
    <row r="10271" spans="1:8">
      <c r="A10271" s="3">
        <v>562</v>
      </c>
      <c r="B10271" s="7" t="s">
        <v>251</v>
      </c>
      <c r="C10271" s="99" t="s">
        <v>32</v>
      </c>
      <c r="D10271" s="6">
        <v>47710</v>
      </c>
      <c r="E10271" s="3" t="str">
        <f ca="1">IF(Tabela2[[#This Row],[Dt Venc:]]&gt;TODAY(),"Em Aberto",IF(Tabela2[[#This Row],[D/venc]]="-","Enviado",IF(Tabela2[[#This Row],[Dt Venc:]]=TODAY(),"Vence Hoje","Vencida")))</f>
        <v>Em Aberto</v>
      </c>
      <c r="F10271" s="3">
        <f ca="1">IF(G10271=1,"-",Tabela2[[#This Row],[Dt Venc:]]-TODAY())</f>
        <v>2017</v>
      </c>
      <c r="G10271" s="3"/>
      <c r="H10271" s="3"/>
    </row>
    <row r="10272" spans="1:8">
      <c r="A10272" s="3">
        <v>369335</v>
      </c>
      <c r="B10272" s="7" t="s">
        <v>543</v>
      </c>
      <c r="C10272" s="87" t="s">
        <v>32</v>
      </c>
      <c r="D10272" s="6">
        <v>47710</v>
      </c>
      <c r="E10272" s="3" t="str">
        <f ca="1">IF(Tabela2[[#This Row],[Dt Venc:]]&gt;TODAY(),"Em Aberto",IF(Tabela2[[#This Row],[D/venc]]="-","Enviado",IF(Tabela2[[#This Row],[Dt Venc:]]=TODAY(),"Vence Hoje","Vencida")))</f>
        <v>Em Aberto</v>
      </c>
      <c r="F10272" s="3">
        <f ca="1">IF(G10272=1,"-",Tabela2[[#This Row],[Dt Venc:]]-TODAY())</f>
        <v>2017</v>
      </c>
      <c r="G10272" s="3"/>
      <c r="H10272" s="3"/>
    </row>
    <row r="10273" spans="1:8">
      <c r="A10273" s="3">
        <v>369696</v>
      </c>
      <c r="B10273" s="7" t="s">
        <v>543</v>
      </c>
      <c r="C10273" s="87" t="s">
        <v>32</v>
      </c>
      <c r="D10273" s="6">
        <v>47710</v>
      </c>
      <c r="E10273" s="3" t="str">
        <f ca="1">IF(Tabela2[[#This Row],[Dt Venc:]]&gt;TODAY(),"Em Aberto",IF(Tabela2[[#This Row],[D/venc]]="-","Enviado",IF(Tabela2[[#This Row],[Dt Venc:]]=TODAY(),"Vence Hoje","Vencida")))</f>
        <v>Em Aberto</v>
      </c>
      <c r="F10273" s="3">
        <f ca="1">IF(G10273=1,"-",Tabela2[[#This Row],[Dt Venc:]]-TODAY())</f>
        <v>2017</v>
      </c>
      <c r="G10273" s="3"/>
      <c r="H10273" s="3"/>
    </row>
    <row r="10274" spans="1:8">
      <c r="A10274" s="3">
        <v>369726</v>
      </c>
      <c r="B10274" s="7" t="s">
        <v>543</v>
      </c>
      <c r="C10274" s="87" t="s">
        <v>32</v>
      </c>
      <c r="D10274" s="6">
        <v>47710</v>
      </c>
      <c r="E10274" s="3" t="str">
        <f ca="1">IF(Tabela2[[#This Row],[Dt Venc:]]&gt;TODAY(),"Em Aberto",IF(Tabela2[[#This Row],[D/venc]]="-","Enviado",IF(Tabela2[[#This Row],[Dt Venc:]]=TODAY(),"Vence Hoje","Vencida")))</f>
        <v>Em Aberto</v>
      </c>
      <c r="F10274" s="3">
        <f ca="1">IF(G10274=1,"-",Tabela2[[#This Row],[Dt Venc:]]-TODAY())</f>
        <v>2017</v>
      </c>
      <c r="G10274" s="3"/>
      <c r="H10274" s="3"/>
    </row>
    <row r="10275" spans="1:8">
      <c r="A10275" s="3">
        <v>369751</v>
      </c>
      <c r="B10275" s="7" t="s">
        <v>543</v>
      </c>
      <c r="C10275" s="87" t="s">
        <v>32</v>
      </c>
      <c r="D10275" s="6">
        <v>47710</v>
      </c>
      <c r="E10275" s="3" t="str">
        <f ca="1">IF(Tabela2[[#This Row],[Dt Venc:]]&gt;TODAY(),"Em Aberto",IF(Tabela2[[#This Row],[D/venc]]="-","Enviado",IF(Tabela2[[#This Row],[Dt Venc:]]=TODAY(),"Vence Hoje","Vencida")))</f>
        <v>Em Aberto</v>
      </c>
      <c r="F10275" s="3">
        <f ca="1">IF(G10275=1,"-",Tabela2[[#This Row],[Dt Venc:]]-TODAY())</f>
        <v>2017</v>
      </c>
      <c r="G10275" s="3"/>
      <c r="H10275" s="3"/>
    </row>
    <row r="10276" spans="1:8">
      <c r="A10276" s="3">
        <v>370201</v>
      </c>
      <c r="B10276" s="7" t="s">
        <v>543</v>
      </c>
      <c r="C10276" s="87" t="s">
        <v>32</v>
      </c>
      <c r="D10276" s="6">
        <v>47710</v>
      </c>
      <c r="E10276" s="3" t="str">
        <f ca="1">IF(Tabela2[[#This Row],[Dt Venc:]]&gt;TODAY(),"Em Aberto",IF(Tabela2[[#This Row],[D/venc]]="-","Enviado",IF(Tabela2[[#This Row],[Dt Venc:]]=TODAY(),"Vence Hoje","Vencida")))</f>
        <v>Em Aberto</v>
      </c>
      <c r="F10276" s="3">
        <f ca="1">IF(G10276=1,"-",Tabela2[[#This Row],[Dt Venc:]]-TODAY())</f>
        <v>2017</v>
      </c>
      <c r="G10276" s="3"/>
      <c r="H10276" s="3"/>
    </row>
    <row r="10277" spans="1:8">
      <c r="A10277" s="3">
        <v>370864</v>
      </c>
      <c r="B10277" s="7" t="s">
        <v>543</v>
      </c>
      <c r="C10277" s="87" t="s">
        <v>32</v>
      </c>
      <c r="D10277" s="6">
        <v>47710</v>
      </c>
      <c r="E10277" s="3" t="str">
        <f ca="1">IF(Tabela2[[#This Row],[Dt Venc:]]&gt;TODAY(),"Em Aberto",IF(Tabela2[[#This Row],[D/venc]]="-","Enviado",IF(Tabela2[[#This Row],[Dt Venc:]]=TODAY(),"Vence Hoje","Vencida")))</f>
        <v>Em Aberto</v>
      </c>
      <c r="F10277" s="3">
        <f ca="1">IF(G10277=1,"-",Tabela2[[#This Row],[Dt Venc:]]-TODAY())</f>
        <v>2017</v>
      </c>
      <c r="G10277" s="3"/>
      <c r="H10277" s="3"/>
    </row>
    <row r="10278" spans="1:8">
      <c r="A10278" s="3">
        <v>371011</v>
      </c>
      <c r="B10278" s="7" t="s">
        <v>633</v>
      </c>
      <c r="C10278" s="87" t="s">
        <v>32</v>
      </c>
      <c r="D10278" s="6">
        <v>47710</v>
      </c>
      <c r="E10278" s="3" t="str">
        <f ca="1">IF(Tabela2[[#This Row],[Dt Venc:]]&gt;TODAY(),"Em Aberto",IF(Tabela2[[#This Row],[D/venc]]="-","Enviado",IF(Tabela2[[#This Row],[Dt Venc:]]=TODAY(),"Vence Hoje","Vencida")))</f>
        <v>Em Aberto</v>
      </c>
      <c r="F10278" s="3">
        <f ca="1">IF(G10278=1,"-",Tabela2[[#This Row],[Dt Venc:]]-TODAY())</f>
        <v>2017</v>
      </c>
      <c r="G10278" s="3"/>
      <c r="H10278" s="3"/>
    </row>
    <row r="10279" spans="1:8">
      <c r="A10279" s="3">
        <v>371160</v>
      </c>
      <c r="B10279" s="7" t="s">
        <v>633</v>
      </c>
      <c r="C10279" s="87" t="s">
        <v>32</v>
      </c>
      <c r="D10279" s="6">
        <v>47710</v>
      </c>
      <c r="E10279" s="3" t="str">
        <f ca="1">IF(Tabela2[[#This Row],[Dt Venc:]]&gt;TODAY(),"Em Aberto",IF(Tabela2[[#This Row],[D/venc]]="-","Enviado",IF(Tabela2[[#This Row],[Dt Venc:]]=TODAY(),"Vence Hoje","Vencida")))</f>
        <v>Em Aberto</v>
      </c>
      <c r="F10279" s="3">
        <f ca="1">IF(G10279=1,"-",Tabela2[[#This Row],[Dt Venc:]]-TODAY())</f>
        <v>2017</v>
      </c>
      <c r="G10279" s="3"/>
      <c r="H10279" s="3"/>
    </row>
    <row r="10280" spans="1:8">
      <c r="A10280" s="3">
        <v>919728</v>
      </c>
      <c r="B10280" s="7" t="s">
        <v>253</v>
      </c>
      <c r="C10280" s="87" t="s">
        <v>32</v>
      </c>
      <c r="D10280" s="6">
        <v>47710</v>
      </c>
      <c r="E10280" s="3" t="str">
        <f ca="1">IF(Tabela2[[#This Row],[Dt Venc:]]&gt;TODAY(),"Em Aberto",IF(Tabela2[[#This Row],[D/venc]]="-","Enviado",IF(Tabela2[[#This Row],[Dt Venc:]]=TODAY(),"Vence Hoje","Vencida")))</f>
        <v>Em Aberto</v>
      </c>
      <c r="F10280" s="3">
        <f ca="1">IF(G10280=1,"-",Tabela2[[#This Row],[Dt Venc:]]-TODAY())</f>
        <v>2017</v>
      </c>
      <c r="G10280" s="3"/>
      <c r="H10280" s="3"/>
    </row>
    <row r="10281" spans="1:8">
      <c r="A10281" s="3">
        <v>919729</v>
      </c>
      <c r="B10281" s="7" t="s">
        <v>253</v>
      </c>
      <c r="C10281" s="87" t="s">
        <v>32</v>
      </c>
      <c r="D10281" s="6">
        <v>47710</v>
      </c>
      <c r="E10281" s="3" t="str">
        <f ca="1">IF(Tabela2[[#This Row],[Dt Venc:]]&gt;TODAY(),"Em Aberto",IF(Tabela2[[#This Row],[D/venc]]="-","Enviado",IF(Tabela2[[#This Row],[Dt Venc:]]=TODAY(),"Vence Hoje","Vencida")))</f>
        <v>Em Aberto</v>
      </c>
      <c r="F10281" s="3">
        <f ca="1">IF(G10281=1,"-",Tabela2[[#This Row],[Dt Venc:]]-TODAY())</f>
        <v>2017</v>
      </c>
      <c r="G10281" s="3"/>
      <c r="H10281" s="3"/>
    </row>
    <row r="10282" spans="1:8">
      <c r="A10282" s="3">
        <v>562</v>
      </c>
      <c r="B10282" s="7" t="s">
        <v>251</v>
      </c>
      <c r="C10282" s="99" t="s">
        <v>32</v>
      </c>
      <c r="D10282" s="6">
        <v>47741</v>
      </c>
      <c r="E10282" s="3" t="str">
        <f ca="1">IF(Tabela2[[#This Row],[Dt Venc:]]&gt;TODAY(),"Em Aberto",IF(Tabela2[[#This Row],[D/venc]]="-","Enviado",IF(Tabela2[[#This Row],[Dt Venc:]]=TODAY(),"Vence Hoje","Vencida")))</f>
        <v>Em Aberto</v>
      </c>
      <c r="F10282" s="3">
        <f ca="1">IF(G10282=1,"-",Tabela2[[#This Row],[Dt Venc:]]-TODAY())</f>
        <v>2048</v>
      </c>
      <c r="G10282" s="3"/>
      <c r="H10282" s="3"/>
    </row>
    <row r="10283" spans="1:8">
      <c r="A10283" s="3">
        <v>369335</v>
      </c>
      <c r="B10283" s="7" t="s">
        <v>543</v>
      </c>
      <c r="C10283" s="87" t="s">
        <v>32</v>
      </c>
      <c r="D10283" s="6">
        <v>47741</v>
      </c>
      <c r="E10283" s="3" t="str">
        <f ca="1">IF(Tabela2[[#This Row],[Dt Venc:]]&gt;TODAY(),"Em Aberto",IF(Tabela2[[#This Row],[D/venc]]="-","Enviado",IF(Tabela2[[#This Row],[Dt Venc:]]=TODAY(),"Vence Hoje","Vencida")))</f>
        <v>Em Aberto</v>
      </c>
      <c r="F10283" s="3">
        <f ca="1">IF(G10283=1,"-",Tabela2[[#This Row],[Dt Venc:]]-TODAY())</f>
        <v>2048</v>
      </c>
      <c r="G10283" s="3"/>
      <c r="H10283" s="3"/>
    </row>
    <row r="10284" spans="1:8">
      <c r="A10284" s="3">
        <v>369696</v>
      </c>
      <c r="B10284" s="7" t="s">
        <v>543</v>
      </c>
      <c r="C10284" s="87" t="s">
        <v>32</v>
      </c>
      <c r="D10284" s="6">
        <v>47741</v>
      </c>
      <c r="E10284" s="3" t="str">
        <f ca="1">IF(Tabela2[[#This Row],[Dt Venc:]]&gt;TODAY(),"Em Aberto",IF(Tabela2[[#This Row],[D/venc]]="-","Enviado",IF(Tabela2[[#This Row],[Dt Venc:]]=TODAY(),"Vence Hoje","Vencida")))</f>
        <v>Em Aberto</v>
      </c>
      <c r="F10284" s="3">
        <f ca="1">IF(G10284=1,"-",Tabela2[[#This Row],[Dt Venc:]]-TODAY())</f>
        <v>2048</v>
      </c>
      <c r="G10284" s="3"/>
      <c r="H10284" s="3"/>
    </row>
    <row r="10285" spans="1:8">
      <c r="A10285" s="3">
        <v>369726</v>
      </c>
      <c r="B10285" s="7" t="s">
        <v>543</v>
      </c>
      <c r="C10285" s="87" t="s">
        <v>32</v>
      </c>
      <c r="D10285" s="6">
        <v>47741</v>
      </c>
      <c r="E10285" s="3" t="str">
        <f ca="1">IF(Tabela2[[#This Row],[Dt Venc:]]&gt;TODAY(),"Em Aberto",IF(Tabela2[[#This Row],[D/venc]]="-","Enviado",IF(Tabela2[[#This Row],[Dt Venc:]]=TODAY(),"Vence Hoje","Vencida")))</f>
        <v>Em Aberto</v>
      </c>
      <c r="F10285" s="3">
        <f ca="1">IF(G10285=1,"-",Tabela2[[#This Row],[Dt Venc:]]-TODAY())</f>
        <v>2048</v>
      </c>
      <c r="G10285" s="3"/>
      <c r="H10285" s="3"/>
    </row>
    <row r="10286" spans="1:8">
      <c r="A10286" s="3">
        <v>369751</v>
      </c>
      <c r="B10286" s="7" t="s">
        <v>543</v>
      </c>
      <c r="C10286" s="87" t="s">
        <v>32</v>
      </c>
      <c r="D10286" s="6">
        <v>47741</v>
      </c>
      <c r="E10286" s="3" t="str">
        <f ca="1">IF(Tabela2[[#This Row],[Dt Venc:]]&gt;TODAY(),"Em Aberto",IF(Tabela2[[#This Row],[D/venc]]="-","Enviado",IF(Tabela2[[#This Row],[Dt Venc:]]=TODAY(),"Vence Hoje","Vencida")))</f>
        <v>Em Aberto</v>
      </c>
      <c r="F10286" s="3">
        <f ca="1">IF(G10286=1,"-",Tabela2[[#This Row],[Dt Venc:]]-TODAY())</f>
        <v>2048</v>
      </c>
      <c r="G10286" s="3"/>
      <c r="H10286" s="3"/>
    </row>
    <row r="10287" spans="1:8">
      <c r="A10287" s="3">
        <v>370201</v>
      </c>
      <c r="B10287" s="7" t="s">
        <v>543</v>
      </c>
      <c r="C10287" s="87" t="s">
        <v>32</v>
      </c>
      <c r="D10287" s="6">
        <v>47741</v>
      </c>
      <c r="E10287" s="3" t="str">
        <f ca="1">IF(Tabela2[[#This Row],[Dt Venc:]]&gt;TODAY(),"Em Aberto",IF(Tabela2[[#This Row],[D/venc]]="-","Enviado",IF(Tabela2[[#This Row],[Dt Venc:]]=TODAY(),"Vence Hoje","Vencida")))</f>
        <v>Em Aberto</v>
      </c>
      <c r="F10287" s="3">
        <f ca="1">IF(G10287=1,"-",Tabela2[[#This Row],[Dt Venc:]]-TODAY())</f>
        <v>2048</v>
      </c>
      <c r="G10287" s="3"/>
      <c r="H10287" s="3"/>
    </row>
    <row r="10288" spans="1:8">
      <c r="A10288" s="3">
        <v>370864</v>
      </c>
      <c r="B10288" s="7" t="s">
        <v>543</v>
      </c>
      <c r="C10288" s="87" t="s">
        <v>32</v>
      </c>
      <c r="D10288" s="6">
        <v>47741</v>
      </c>
      <c r="E10288" s="3" t="str">
        <f ca="1">IF(Tabela2[[#This Row],[Dt Venc:]]&gt;TODAY(),"Em Aberto",IF(Tabela2[[#This Row],[D/venc]]="-","Enviado",IF(Tabela2[[#This Row],[Dt Venc:]]=TODAY(),"Vence Hoje","Vencida")))</f>
        <v>Em Aberto</v>
      </c>
      <c r="F10288" s="3">
        <f ca="1">IF(G10288=1,"-",Tabela2[[#This Row],[Dt Venc:]]-TODAY())</f>
        <v>2048</v>
      </c>
      <c r="G10288" s="3"/>
      <c r="H10288" s="3"/>
    </row>
    <row r="10289" spans="1:8">
      <c r="A10289" s="3">
        <v>371011</v>
      </c>
      <c r="B10289" s="7" t="s">
        <v>633</v>
      </c>
      <c r="C10289" s="87" t="s">
        <v>32</v>
      </c>
      <c r="D10289" s="6">
        <v>47741</v>
      </c>
      <c r="E10289" s="3" t="str">
        <f ca="1">IF(Tabela2[[#This Row],[Dt Venc:]]&gt;TODAY(),"Em Aberto",IF(Tabela2[[#This Row],[D/venc]]="-","Enviado",IF(Tabela2[[#This Row],[Dt Venc:]]=TODAY(),"Vence Hoje","Vencida")))</f>
        <v>Em Aberto</v>
      </c>
      <c r="F10289" s="3">
        <f ca="1">IF(G10289=1,"-",Tabela2[[#This Row],[Dt Venc:]]-TODAY())</f>
        <v>2048</v>
      </c>
      <c r="G10289" s="3"/>
      <c r="H10289" s="3"/>
    </row>
    <row r="10290" spans="1:8">
      <c r="A10290" s="3">
        <v>371160</v>
      </c>
      <c r="B10290" s="7" t="s">
        <v>633</v>
      </c>
      <c r="C10290" s="87" t="s">
        <v>32</v>
      </c>
      <c r="D10290" s="6">
        <v>47741</v>
      </c>
      <c r="E10290" s="3" t="str">
        <f ca="1">IF(Tabela2[[#This Row],[Dt Venc:]]&gt;TODAY(),"Em Aberto",IF(Tabela2[[#This Row],[D/venc]]="-","Enviado",IF(Tabela2[[#This Row],[Dt Venc:]]=TODAY(),"Vence Hoje","Vencida")))</f>
        <v>Em Aberto</v>
      </c>
      <c r="F10290" s="3">
        <f ca="1">IF(G10290=1,"-",Tabela2[[#This Row],[Dt Venc:]]-TODAY())</f>
        <v>2048</v>
      </c>
      <c r="G10290" s="3"/>
      <c r="H10290" s="3"/>
    </row>
    <row r="10291" spans="1:8">
      <c r="A10291" s="3">
        <v>919728</v>
      </c>
      <c r="B10291" s="7" t="s">
        <v>253</v>
      </c>
      <c r="C10291" s="87" t="s">
        <v>32</v>
      </c>
      <c r="D10291" s="6">
        <v>47741</v>
      </c>
      <c r="E10291" s="3" t="str">
        <f ca="1">IF(Tabela2[[#This Row],[Dt Venc:]]&gt;TODAY(),"Em Aberto",IF(Tabela2[[#This Row],[D/venc]]="-","Enviado",IF(Tabela2[[#This Row],[Dt Venc:]]=TODAY(),"Vence Hoje","Vencida")))</f>
        <v>Em Aberto</v>
      </c>
      <c r="F10291" s="3">
        <f ca="1">IF(G10291=1,"-",Tabela2[[#This Row],[Dt Venc:]]-TODAY())</f>
        <v>2048</v>
      </c>
      <c r="G10291" s="3"/>
      <c r="H10291" s="3"/>
    </row>
    <row r="10292" spans="1:8">
      <c r="A10292" s="3">
        <v>919729</v>
      </c>
      <c r="B10292" s="7" t="s">
        <v>253</v>
      </c>
      <c r="C10292" s="87" t="s">
        <v>32</v>
      </c>
      <c r="D10292" s="6">
        <v>47741</v>
      </c>
      <c r="E10292" s="3" t="str">
        <f ca="1">IF(Tabela2[[#This Row],[Dt Venc:]]&gt;TODAY(),"Em Aberto",IF(Tabela2[[#This Row],[D/venc]]="-","Enviado",IF(Tabela2[[#This Row],[Dt Venc:]]=TODAY(),"Vence Hoje","Vencida")))</f>
        <v>Em Aberto</v>
      </c>
      <c r="F10292" s="3">
        <f ca="1">IF(G10292=1,"-",Tabela2[[#This Row],[Dt Venc:]]-TODAY())</f>
        <v>2048</v>
      </c>
      <c r="G10292" s="3"/>
      <c r="H10292" s="3"/>
    </row>
    <row r="10293" spans="1:8">
      <c r="A10293" s="3">
        <v>562</v>
      </c>
      <c r="B10293" s="7" t="s">
        <v>251</v>
      </c>
      <c r="C10293" s="99" t="s">
        <v>32</v>
      </c>
      <c r="D10293" s="6">
        <v>47771</v>
      </c>
      <c r="E10293" s="3" t="str">
        <f ca="1">IF(Tabela2[[#This Row],[Dt Venc:]]&gt;TODAY(),"Em Aberto",IF(Tabela2[[#This Row],[D/venc]]="-","Enviado",IF(Tabela2[[#This Row],[Dt Venc:]]=TODAY(),"Vence Hoje","Vencida")))</f>
        <v>Em Aberto</v>
      </c>
      <c r="F10293" s="3">
        <f ca="1">IF(G10293=1,"-",Tabela2[[#This Row],[Dt Venc:]]-TODAY())</f>
        <v>2078</v>
      </c>
      <c r="G10293" s="3"/>
      <c r="H10293" s="3"/>
    </row>
    <row r="10294" spans="1:8">
      <c r="A10294" s="3">
        <v>370201</v>
      </c>
      <c r="B10294" s="7" t="s">
        <v>543</v>
      </c>
      <c r="C10294" s="87" t="s">
        <v>32</v>
      </c>
      <c r="D10294" s="6">
        <v>47771</v>
      </c>
      <c r="E10294" s="3" t="str">
        <f ca="1">IF(Tabela2[[#This Row],[Dt Venc:]]&gt;TODAY(),"Em Aberto",IF(Tabela2[[#This Row],[D/venc]]="-","Enviado",IF(Tabela2[[#This Row],[Dt Venc:]]=TODAY(),"Vence Hoje","Vencida")))</f>
        <v>Em Aberto</v>
      </c>
      <c r="F10294" s="3">
        <f ca="1">IF(G10294=1,"-",Tabela2[[#This Row],[Dt Venc:]]-TODAY())</f>
        <v>2078</v>
      </c>
      <c r="G10294" s="3"/>
      <c r="H10294" s="3"/>
    </row>
    <row r="10295" spans="1:8">
      <c r="A10295" s="3">
        <v>370864</v>
      </c>
      <c r="B10295" s="7" t="s">
        <v>543</v>
      </c>
      <c r="C10295" s="87" t="s">
        <v>32</v>
      </c>
      <c r="D10295" s="6">
        <v>47771</v>
      </c>
      <c r="E10295" s="3" t="str">
        <f ca="1">IF(Tabela2[[#This Row],[Dt Venc:]]&gt;TODAY(),"Em Aberto",IF(Tabela2[[#This Row],[D/venc]]="-","Enviado",IF(Tabela2[[#This Row],[Dt Venc:]]=TODAY(),"Vence Hoje","Vencida")))</f>
        <v>Em Aberto</v>
      </c>
      <c r="F10295" s="3">
        <f ca="1">IF(G10295=1,"-",Tabela2[[#This Row],[Dt Venc:]]-TODAY())</f>
        <v>2078</v>
      </c>
      <c r="G10295" s="3"/>
      <c r="H10295" s="3"/>
    </row>
    <row r="10296" spans="1:8">
      <c r="A10296" s="3">
        <v>371011</v>
      </c>
      <c r="B10296" s="7" t="s">
        <v>633</v>
      </c>
      <c r="C10296" s="87" t="s">
        <v>32</v>
      </c>
      <c r="D10296" s="6">
        <v>47771</v>
      </c>
      <c r="E10296" s="3" t="str">
        <f ca="1">IF(Tabela2[[#This Row],[Dt Venc:]]&gt;TODAY(),"Em Aberto",IF(Tabela2[[#This Row],[D/venc]]="-","Enviado",IF(Tabela2[[#This Row],[Dt Venc:]]=TODAY(),"Vence Hoje","Vencida")))</f>
        <v>Em Aberto</v>
      </c>
      <c r="F10296" s="3">
        <f ca="1">IF(G10296=1,"-",Tabela2[[#This Row],[Dt Venc:]]-TODAY())</f>
        <v>2078</v>
      </c>
      <c r="G10296" s="3"/>
      <c r="H10296" s="3"/>
    </row>
    <row r="10297" spans="1:8">
      <c r="A10297" s="3">
        <v>371160</v>
      </c>
      <c r="B10297" s="7" t="s">
        <v>633</v>
      </c>
      <c r="C10297" s="87" t="s">
        <v>32</v>
      </c>
      <c r="D10297" s="6">
        <v>47771</v>
      </c>
      <c r="E10297" s="3" t="str">
        <f ca="1">IF(Tabela2[[#This Row],[Dt Venc:]]&gt;TODAY(),"Em Aberto",IF(Tabela2[[#This Row],[D/venc]]="-","Enviado",IF(Tabela2[[#This Row],[Dt Venc:]]=TODAY(),"Vence Hoje","Vencida")))</f>
        <v>Em Aberto</v>
      </c>
      <c r="F10297" s="3">
        <f ca="1">IF(G10297=1,"-",Tabela2[[#This Row],[Dt Venc:]]-TODAY())</f>
        <v>2078</v>
      </c>
      <c r="G10297" s="3"/>
      <c r="H10297" s="3"/>
    </row>
    <row r="10298" spans="1:8">
      <c r="A10298" s="3">
        <v>562</v>
      </c>
      <c r="B10298" s="7" t="s">
        <v>251</v>
      </c>
      <c r="C10298" s="99" t="s">
        <v>32</v>
      </c>
      <c r="D10298" s="6">
        <v>47802</v>
      </c>
      <c r="E10298" s="3" t="str">
        <f ca="1">IF(Tabela2[[#This Row],[Dt Venc:]]&gt;TODAY(),"Em Aberto",IF(Tabela2[[#This Row],[D/venc]]="-","Enviado",IF(Tabela2[[#This Row],[Dt Venc:]]=TODAY(),"Vence Hoje","Vencida")))</f>
        <v>Em Aberto</v>
      </c>
      <c r="F10298" s="3">
        <f ca="1">IF(G10298=1,"-",Tabela2[[#This Row],[Dt Venc:]]-TODAY())</f>
        <v>2109</v>
      </c>
      <c r="G10298" s="3"/>
      <c r="H10298" s="3"/>
    </row>
    <row r="10299" spans="1:8">
      <c r="A10299" s="3">
        <v>371160</v>
      </c>
      <c r="B10299" s="7" t="s">
        <v>633</v>
      </c>
      <c r="C10299" s="87" t="s">
        <v>32</v>
      </c>
      <c r="D10299" s="6">
        <v>47802</v>
      </c>
      <c r="E10299" s="3" t="str">
        <f ca="1">IF(Tabela2[[#This Row],[Dt Venc:]]&gt;TODAY(),"Em Aberto",IF(Tabela2[[#This Row],[D/venc]]="-","Enviado",IF(Tabela2[[#This Row],[Dt Venc:]]=TODAY(),"Vence Hoje","Vencida")))</f>
        <v>Em Aberto</v>
      </c>
      <c r="F10299" s="3">
        <f ca="1">IF(G10299=1,"-",Tabela2[[#This Row],[Dt Venc:]]-TODAY())</f>
        <v>2109</v>
      </c>
      <c r="G10299" s="3"/>
      <c r="H10299" s="3"/>
    </row>
    <row r="10300" spans="1:8">
      <c r="A10300" s="3">
        <v>562</v>
      </c>
      <c r="B10300" s="7" t="s">
        <v>251</v>
      </c>
      <c r="C10300" s="99" t="s">
        <v>32</v>
      </c>
      <c r="D10300" s="6">
        <v>47832</v>
      </c>
      <c r="E10300" s="3" t="str">
        <f ca="1">IF(Tabela2[[#This Row],[Dt Venc:]]&gt;TODAY(),"Em Aberto",IF(Tabela2[[#This Row],[D/venc]]="-","Enviado",IF(Tabela2[[#This Row],[Dt Venc:]]=TODAY(),"Vence Hoje","Vencida")))</f>
        <v>Em Aberto</v>
      </c>
      <c r="F10300" s="3">
        <f ca="1">IF(G10300=1,"-",Tabela2[[#This Row],[Dt Venc:]]-TODAY())</f>
        <v>2139</v>
      </c>
      <c r="G10300" s="3"/>
      <c r="H10300" s="3"/>
    </row>
    <row r="10301" spans="1:8">
      <c r="A10301" s="3">
        <v>562</v>
      </c>
      <c r="B10301" s="7" t="s">
        <v>251</v>
      </c>
      <c r="C10301" s="99" t="s">
        <v>32</v>
      </c>
      <c r="D10301" s="6">
        <v>47863</v>
      </c>
      <c r="E10301" s="3" t="str">
        <f ca="1">IF(Tabela2[[#This Row],[Dt Venc:]]&gt;TODAY(),"Em Aberto",IF(Tabela2[[#This Row],[D/venc]]="-","Enviado",IF(Tabela2[[#This Row],[Dt Venc:]]=TODAY(),"Vence Hoje","Vencida")))</f>
        <v>Em Aberto</v>
      </c>
      <c r="F10301" s="3">
        <f ca="1">IF(G10301=1,"-",Tabela2[[#This Row],[Dt Venc:]]-TODAY())</f>
        <v>2170</v>
      </c>
      <c r="G10301" s="3"/>
      <c r="H10301" s="3"/>
    </row>
    <row r="10302" spans="1:8">
      <c r="A10302" s="3">
        <v>562</v>
      </c>
      <c r="B10302" s="7" t="s">
        <v>251</v>
      </c>
      <c r="C10302" s="99" t="s">
        <v>32</v>
      </c>
      <c r="D10302" s="6">
        <v>47894</v>
      </c>
      <c r="E10302" s="3" t="str">
        <f ca="1">IF(Tabela2[[#This Row],[Dt Venc:]]&gt;TODAY(),"Em Aberto",IF(Tabela2[[#This Row],[D/venc]]="-","Enviado",IF(Tabela2[[#This Row],[Dt Venc:]]=TODAY(),"Vence Hoje","Vencida")))</f>
        <v>Em Aberto</v>
      </c>
      <c r="F10302" s="3">
        <f ca="1">IF(G10302=1,"-",Tabela2[[#This Row],[Dt Venc:]]-TODAY())</f>
        <v>2201</v>
      </c>
      <c r="G10302" s="3"/>
      <c r="H10302" s="3"/>
    </row>
    <row r="10303" spans="1:8">
      <c r="A10303" s="3">
        <v>562</v>
      </c>
      <c r="B10303" s="7" t="s">
        <v>251</v>
      </c>
      <c r="C10303" s="99" t="s">
        <v>32</v>
      </c>
      <c r="D10303" s="6">
        <v>47922</v>
      </c>
      <c r="E10303" s="3" t="str">
        <f ca="1">IF(Tabela2[[#This Row],[Dt Venc:]]&gt;TODAY(),"Em Aberto",IF(Tabela2[[#This Row],[D/venc]]="-","Enviado",IF(Tabela2[[#This Row],[Dt Venc:]]=TODAY(),"Vence Hoje","Vencida")))</f>
        <v>Em Aberto</v>
      </c>
      <c r="F10303" s="3">
        <f ca="1">IF(G10303=1,"-",Tabela2[[#This Row],[Dt Venc:]]-TODAY())</f>
        <v>2229</v>
      </c>
      <c r="G10303" s="3"/>
      <c r="H10303" s="3"/>
    </row>
    <row r="10304" spans="1:8">
      <c r="A10304" s="3">
        <v>562</v>
      </c>
      <c r="B10304" s="7" t="s">
        <v>251</v>
      </c>
      <c r="C10304" s="99" t="s">
        <v>32</v>
      </c>
      <c r="D10304" s="6">
        <v>47953</v>
      </c>
      <c r="E10304" s="3" t="str">
        <f ca="1">IF(Tabela2[[#This Row],[Dt Venc:]]&gt;TODAY(),"Em Aberto",IF(Tabela2[[#This Row],[D/venc]]="-","Enviado",IF(Tabela2[[#This Row],[Dt Venc:]]=TODAY(),"Vence Hoje","Vencida")))</f>
        <v>Em Aberto</v>
      </c>
      <c r="F10304" s="3">
        <f ca="1">IF(G10304=1,"-",Tabela2[[#This Row],[Dt Venc:]]-TODAY())</f>
        <v>2260</v>
      </c>
      <c r="G10304" s="3"/>
      <c r="H10304" s="3"/>
    </row>
    <row r="10305" spans="1:8">
      <c r="A10305" s="3">
        <v>562</v>
      </c>
      <c r="B10305" s="7" t="s">
        <v>251</v>
      </c>
      <c r="C10305" s="99" t="s">
        <v>32</v>
      </c>
      <c r="D10305" s="6">
        <v>47983</v>
      </c>
      <c r="E10305" s="3" t="str">
        <f ca="1">IF(Tabela2[[#This Row],[Dt Venc:]]&gt;TODAY(),"Em Aberto",IF(Tabela2[[#This Row],[D/venc]]="-","Enviado",IF(Tabela2[[#This Row],[Dt Venc:]]=TODAY(),"Vence Hoje","Vencida")))</f>
        <v>Em Aberto</v>
      </c>
      <c r="F10305" s="3">
        <f ca="1">IF(G10305=1,"-",Tabela2[[#This Row],[Dt Venc:]]-TODAY())</f>
        <v>2290</v>
      </c>
      <c r="G10305" s="3"/>
      <c r="H10305" s="3"/>
    </row>
    <row r="10306" spans="1:8">
      <c r="A10306" s="3">
        <v>562</v>
      </c>
      <c r="B10306" s="7" t="s">
        <v>251</v>
      </c>
      <c r="C10306" s="99" t="s">
        <v>32</v>
      </c>
      <c r="D10306" s="6">
        <v>48014</v>
      </c>
      <c r="E10306" s="3" t="str">
        <f ca="1">IF(Tabela2[[#This Row],[Dt Venc:]]&gt;TODAY(),"Em Aberto",IF(Tabela2[[#This Row],[D/venc]]="-","Enviado",IF(Tabela2[[#This Row],[Dt Venc:]]=TODAY(),"Vence Hoje","Vencida")))</f>
        <v>Em Aberto</v>
      </c>
      <c r="F10306" s="3">
        <f ca="1">IF(G10306=1,"-",Tabela2[[#This Row],[Dt Venc:]]-TODAY())</f>
        <v>2321</v>
      </c>
      <c r="G10306" s="3"/>
      <c r="H10306" s="3"/>
    </row>
    <row r="10307" spans="1:8">
      <c r="A10307" s="3">
        <v>562</v>
      </c>
      <c r="B10307" s="7" t="s">
        <v>251</v>
      </c>
      <c r="C10307" s="99" t="s">
        <v>32</v>
      </c>
      <c r="D10307" s="6">
        <v>48044</v>
      </c>
      <c r="E10307" s="3" t="str">
        <f ca="1">IF(Tabela2[[#This Row],[Dt Venc:]]&gt;TODAY(),"Em Aberto",IF(Tabela2[[#This Row],[D/venc]]="-","Enviado",IF(Tabela2[[#This Row],[Dt Venc:]]=TODAY(),"Vence Hoje","Vencida")))</f>
        <v>Em Aberto</v>
      </c>
      <c r="F10307" s="3">
        <f ca="1">IF(G10307=1,"-",Tabela2[[#This Row],[Dt Venc:]]-TODAY())</f>
        <v>2351</v>
      </c>
      <c r="G10307" s="3"/>
      <c r="H10307" s="3"/>
    </row>
    <row r="10308" spans="1:8">
      <c r="A10308" s="3">
        <v>562</v>
      </c>
      <c r="B10308" s="7" t="s">
        <v>251</v>
      </c>
      <c r="C10308" s="99" t="s">
        <v>32</v>
      </c>
      <c r="D10308" s="6">
        <v>48075</v>
      </c>
      <c r="E10308" s="3" t="str">
        <f ca="1">IF(Tabela2[[#This Row],[Dt Venc:]]&gt;TODAY(),"Em Aberto",IF(Tabela2[[#This Row],[D/venc]]="-","Enviado",IF(Tabela2[[#This Row],[Dt Venc:]]=TODAY(),"Vence Hoje","Vencida")))</f>
        <v>Em Aberto</v>
      </c>
      <c r="F10308" s="3">
        <f ca="1">IF(G10308=1,"-",Tabela2[[#This Row],[Dt Venc:]]-TODAY())</f>
        <v>2382</v>
      </c>
      <c r="G10308" s="3"/>
      <c r="H10308" s="3"/>
    </row>
    <row r="10309" spans="1:8">
      <c r="A10309" s="3">
        <v>562</v>
      </c>
      <c r="B10309" s="7" t="s">
        <v>251</v>
      </c>
      <c r="C10309" s="99" t="s">
        <v>32</v>
      </c>
      <c r="D10309" s="6">
        <v>48106</v>
      </c>
      <c r="E10309" s="3" t="str">
        <f ca="1">IF(Tabela2[[#This Row],[Dt Venc:]]&gt;TODAY(),"Em Aberto",IF(Tabela2[[#This Row],[D/venc]]="-","Enviado",IF(Tabela2[[#This Row],[Dt Venc:]]=TODAY(),"Vence Hoje","Vencida")))</f>
        <v>Em Aberto</v>
      </c>
      <c r="F10309" s="3">
        <f ca="1">IF(G10309=1,"-",Tabela2[[#This Row],[Dt Venc:]]-TODAY())</f>
        <v>2413</v>
      </c>
      <c r="G10309" s="3"/>
      <c r="H10309" s="3"/>
    </row>
    <row r="10310" spans="1:8">
      <c r="A10310" s="3">
        <v>562</v>
      </c>
      <c r="B10310" s="7" t="s">
        <v>251</v>
      </c>
      <c r="C10310" s="99" t="s">
        <v>32</v>
      </c>
      <c r="D10310" s="6">
        <v>48136</v>
      </c>
      <c r="E10310" s="3" t="str">
        <f ca="1">IF(Tabela2[[#This Row],[Dt Venc:]]&gt;TODAY(),"Em Aberto",IF(Tabela2[[#This Row],[D/venc]]="-","Enviado",IF(Tabela2[[#This Row],[Dt Venc:]]=TODAY(),"Vence Hoje","Vencida")))</f>
        <v>Em Aberto</v>
      </c>
      <c r="F10310" s="3">
        <f ca="1">IF(G10310=1,"-",Tabela2[[#This Row],[Dt Venc:]]-TODAY())</f>
        <v>2443</v>
      </c>
      <c r="G10310" s="3"/>
      <c r="H10310" s="3"/>
    </row>
    <row r="10311" spans="1:8">
      <c r="A10311" s="3">
        <v>562</v>
      </c>
      <c r="B10311" s="7" t="s">
        <v>251</v>
      </c>
      <c r="C10311" s="99" t="s">
        <v>32</v>
      </c>
      <c r="D10311" s="6">
        <v>48167</v>
      </c>
      <c r="E10311" s="3" t="str">
        <f ca="1">IF(Tabela2[[#This Row],[Dt Venc:]]&gt;TODAY(),"Em Aberto",IF(Tabela2[[#This Row],[D/venc]]="-","Enviado",IF(Tabela2[[#This Row],[Dt Venc:]]=TODAY(),"Vence Hoje","Vencida")))</f>
        <v>Em Aberto</v>
      </c>
      <c r="F10311" s="3">
        <f ca="1">IF(G10311=1,"-",Tabela2[[#This Row],[Dt Venc:]]-TODAY())</f>
        <v>2474</v>
      </c>
      <c r="G10311" s="3"/>
      <c r="H10311" s="3"/>
    </row>
    <row r="10312" spans="1:8">
      <c r="A10312" s="3">
        <v>562</v>
      </c>
      <c r="B10312" s="7" t="s">
        <v>251</v>
      </c>
      <c r="C10312" s="99" t="s">
        <v>32</v>
      </c>
      <c r="D10312" s="6">
        <v>48197</v>
      </c>
      <c r="E10312" s="3" t="str">
        <f ca="1">IF(Tabela2[[#This Row],[Dt Venc:]]&gt;TODAY(),"Em Aberto",IF(Tabela2[[#This Row],[D/venc]]="-","Enviado",IF(Tabela2[[#This Row],[Dt Venc:]]=TODAY(),"Vence Hoje","Vencida")))</f>
        <v>Em Aberto</v>
      </c>
      <c r="F10312" s="3">
        <f ca="1">IF(G10312=1,"-",Tabela2[[#This Row],[Dt Venc:]]-TODAY())</f>
        <v>2504</v>
      </c>
      <c r="G10312" s="3"/>
      <c r="H10312" s="3"/>
    </row>
    <row r="10313" spans="1:8">
      <c r="A10313" s="3">
        <v>562</v>
      </c>
      <c r="B10313" s="7" t="s">
        <v>251</v>
      </c>
      <c r="C10313" s="99" t="s">
        <v>32</v>
      </c>
      <c r="D10313" s="6">
        <v>48228</v>
      </c>
      <c r="E10313" s="3" t="str">
        <f ca="1">IF(Tabela2[[#This Row],[Dt Venc:]]&gt;TODAY(),"Em Aberto",IF(Tabela2[[#This Row],[D/venc]]="-","Enviado",IF(Tabela2[[#This Row],[Dt Venc:]]=TODAY(),"Vence Hoje","Vencida")))</f>
        <v>Em Aberto</v>
      </c>
      <c r="F10313" s="3">
        <f ca="1">IF(G10313=1,"-",Tabela2[[#This Row],[Dt Venc:]]-TODAY())</f>
        <v>2535</v>
      </c>
      <c r="G10313" s="3"/>
      <c r="H10313" s="3"/>
    </row>
  </sheetData>
  <phoneticPr fontId="7" type="noConversion"/>
  <conditionalFormatting sqref="E1:E1048576">
    <cfRule type="containsText" dxfId="42" priority="19" operator="containsText" text="Vence Hoje">
      <formula>NOT(ISERROR(SEARCH("Vence Hoje",E1)))</formula>
    </cfRule>
  </conditionalFormatting>
  <conditionalFormatting sqref="H2:H2938 H2940:H7437 F2:F1048576">
    <cfRule type="colorScale" priority="14">
      <colorScale>
        <cfvo type="num" val="-5"/>
        <cfvo type="num" val="5"/>
        <cfvo type="num" val="10"/>
        <color rgb="FFF8696B"/>
        <color rgb="FFFFEB84"/>
        <color rgb="FF63BE7B"/>
      </colorScale>
    </cfRule>
  </conditionalFormatting>
  <conditionalFormatting sqref="E1:E1048576">
    <cfRule type="containsText" dxfId="41" priority="5" operator="containsText" text="Enviado">
      <formula>NOT(ISERROR(SEARCH("Enviado",E1)))</formula>
    </cfRule>
    <cfRule type="containsText" dxfId="40" priority="17" operator="containsText" text="Em Aberto">
      <formula>NOT(ISERROR(SEARCH("Em Aberto",E1)))</formula>
    </cfRule>
  </conditionalFormatting>
  <conditionalFormatting sqref="E1:E1048576">
    <cfRule type="containsText" dxfId="39" priority="18" operator="containsText" text="Vencida">
      <formula>NOT(ISERROR(SEARCH("Vencida",E1)))</formula>
    </cfRule>
  </conditionalFormatting>
  <conditionalFormatting sqref="C1:C1048576">
    <cfRule type="containsText" dxfId="38" priority="7" operator="containsText" text="VERIFICAR">
      <formula>NOT(ISERROR(SEARCH("VERIFICAR",C1)))</formula>
    </cfRule>
  </conditionalFormatting>
  <conditionalFormatting sqref="G2:G1048576">
    <cfRule type="iconSet" priority="20">
      <iconSet iconSet="3Symbols" showValue="0">
        <cfvo type="percent" val="0"/>
        <cfvo type="num" val="0"/>
        <cfvo type="num" val="1"/>
      </iconSet>
    </cfRule>
    <cfRule type="iconSet" priority="21">
      <iconSet iconSet="3Symbols" showValue="0">
        <cfvo type="percent" val="0"/>
        <cfvo type="num" val="0"/>
        <cfvo type="num" val="1"/>
      </iconSet>
    </cfRule>
  </conditionalFormatting>
  <hyperlinks>
    <hyperlink ref="C648" r:id="rId1" xr:uid="{12DC47A6-EF0E-429C-978D-4F7849C0208B}"/>
    <hyperlink ref="C170" r:id="rId2" xr:uid="{86E13F42-FDDC-4FE1-89F0-DFD0A0FBB78C}"/>
    <hyperlink ref="C379" r:id="rId3" xr:uid="{B96A1808-F66F-46F5-85EF-5F9A094D750E}"/>
    <hyperlink ref="C1726" r:id="rId4" xr:uid="{9AA366F5-59C2-4FBB-846F-33E13D6F90DF}"/>
    <hyperlink ref="C3011" r:id="rId5" xr:uid="{A00AAA8A-CF91-49F4-BA5C-D90038FE8410}"/>
    <hyperlink ref="C4395" r:id="rId6" xr:uid="{95350D2A-3E03-4F84-9AD2-9912B3BA4A54}"/>
    <hyperlink ref="C5773" r:id="rId7" xr:uid="{AB2DEF5A-0521-466B-B72A-76271D0120CB}"/>
    <hyperlink ref="C6745" r:id="rId8" xr:uid="{4AA7B105-99A9-4015-8AA0-7EC0CFFC383C}"/>
    <hyperlink ref="C2800:C2801" r:id="rId9" display="VERIFICAR" xr:uid="{84F0D034-D0FE-4A3E-A723-3272224E39E9}"/>
    <hyperlink ref="C7956" r:id="rId10" xr:uid="{9A5AEAD5-A0D4-4E10-B3A2-3AA9D5F16F17}"/>
    <hyperlink ref="C7872" r:id="rId11" xr:uid="{7CD46C3A-D2A3-45C6-AE41-0BB1B27E9E8C}"/>
    <hyperlink ref="C7774" r:id="rId12" xr:uid="{AC69439C-3445-45D3-A7D1-E0756690DB69}"/>
    <hyperlink ref="C7644" r:id="rId13" xr:uid="{F71A8A9A-40BF-47E0-87FD-59CCD2C8AC46}"/>
    <hyperlink ref="C7332" r:id="rId14" xr:uid="{C6136F4D-E725-4EB6-A411-D8DFB5C4331D}"/>
    <hyperlink ref="C2765:C2772" r:id="rId15" display="VERIFICAR" xr:uid="{B55D6A65-BC7F-4461-9526-5C5062369857}"/>
    <hyperlink ref="C2760:C2763" r:id="rId16" display="VERIFICAR" xr:uid="{9F1B0AB9-A7DB-4088-9B12-F3F1BB417FA9}"/>
    <hyperlink ref="C2755:C2758" r:id="rId17" display="VERIFICAR" xr:uid="{911904BA-A64C-4609-931C-08854C28483B}"/>
    <hyperlink ref="C398" r:id="rId18" xr:uid="{521AFB50-0F12-40C1-9CC8-8E9816BFE917}"/>
    <hyperlink ref="C1729" r:id="rId19" xr:uid="{8B3C3747-A94A-4245-836A-42FC7D421261}"/>
    <hyperlink ref="C3013" r:id="rId20" xr:uid="{4B09CA84-FD9F-4233-B94F-11DCD62DC4AF}"/>
    <hyperlink ref="C5723" r:id="rId21" xr:uid="{B0E86AA4-C224-4781-A767-8DA9FBAE16B8}"/>
    <hyperlink ref="C6764" r:id="rId22" xr:uid="{21C004E8-6B9C-4415-83C7-9334D61A2A9D}"/>
    <hyperlink ref="C7342" r:id="rId23" xr:uid="{37C8A031-A449-4803-873A-A3C52DCC8847}"/>
    <hyperlink ref="C7777" r:id="rId24" xr:uid="{4A8D0985-BB1A-476E-8708-A68C3D92A78C}"/>
    <hyperlink ref="C7875" r:id="rId25" xr:uid="{87993B43-F714-43EB-89F9-3E68ADE3622E}"/>
    <hyperlink ref="C7960" r:id="rId26" xr:uid="{574D9EC4-6FCA-4584-B3DF-D5587F9FD131}"/>
    <hyperlink ref="C8026" r:id="rId27" xr:uid="{35FCA2C0-213A-4B49-8C6A-5154FF801092}"/>
    <hyperlink ref="C8155" r:id="rId28" xr:uid="{BEBCBAD2-9E46-4739-A2C2-AD1BA36BC74F}"/>
    <hyperlink ref="C8219" r:id="rId29" xr:uid="{F453A9B0-F21E-43EA-9F47-634C21E09B06}"/>
    <hyperlink ref="C8336" r:id="rId30" xr:uid="{09DB7BD9-25F6-4ECC-9C42-74304D9D6D21}"/>
    <hyperlink ref="C8392" r:id="rId31" xr:uid="{54BE1989-F0C3-4DE9-A6C7-27062E2EFF12}"/>
    <hyperlink ref="C8504" r:id="rId32" xr:uid="{39570419-4F4B-4195-8A2E-51CE3B9164B5}"/>
    <hyperlink ref="C8560" r:id="rId33" xr:uid="{8C1249AA-223A-4450-935C-8F564CB38175}"/>
    <hyperlink ref="C8671" r:id="rId34" xr:uid="{E77DC640-89C4-4B78-83A4-98244304434D}"/>
    <hyperlink ref="C8725" r:id="rId35" xr:uid="{162DFF7B-2A05-40A3-AB9D-17684443D3F3}"/>
    <hyperlink ref="C591" r:id="rId36" xr:uid="{42E7C360-55C5-4A29-9504-A00510564F20}"/>
    <hyperlink ref="C1921" r:id="rId37" xr:uid="{27046355-229A-4FC8-B01B-8ED02676FC0C}"/>
    <hyperlink ref="C3201" r:id="rId38" xr:uid="{C607B8EA-8B66-413F-977A-9A92CC5A0019}"/>
    <hyperlink ref="C4586" r:id="rId39" xr:uid="{5D5CB59E-D4ED-46D0-AA96-11A39BE5D742}"/>
    <hyperlink ref="C5961" r:id="rId40" xr:uid="{E245FAE8-AB2E-4DB9-9E5F-ABF965FCCAAB}"/>
    <hyperlink ref="C6879" r:id="rId41" xr:uid="{E3F4BC1C-8FD3-494E-A515-DCBC8F5764AC}"/>
    <hyperlink ref="C7424" r:id="rId42" xr:uid="{43FC1FD2-04B5-4D97-A2E2-AAF49B05846D}"/>
    <hyperlink ref="C7698" r:id="rId43" xr:uid="{C1A31FF8-68E1-4EFE-A7E8-C15E12AC0748}"/>
    <hyperlink ref="C7820" r:id="rId44" xr:uid="{97659FE5-4BDE-4BF4-8ED2-4973EE6BB3D0}"/>
    <hyperlink ref="C7917" r:id="rId45" xr:uid="{34433687-C5E2-45E3-B79E-3D68CBEC1F27}"/>
    <hyperlink ref="C7997" r:id="rId46" xr:uid="{54F83253-696D-48DB-A80D-2263000DEEC5}"/>
    <hyperlink ref="C8063" r:id="rId47" xr:uid="{0EA68A0E-751C-4A9D-AA00-0053694AA31C}"/>
    <hyperlink ref="C8128" r:id="rId48" xr:uid="{25C5220D-3160-4566-A28B-C81F567F364F}"/>
    <hyperlink ref="C8191" r:id="rId49" xr:uid="{689449C6-93F2-4481-A396-E5055D3F76C5}"/>
    <hyperlink ref="C8255" r:id="rId50" xr:uid="{745B9E4D-6D94-4F33-902A-F5CF22089DCA}"/>
    <hyperlink ref="C8315" r:id="rId51" xr:uid="{8C738864-7E43-44AC-AE67-41D0D885EE7A}"/>
    <hyperlink ref="C8371" r:id="rId52" xr:uid="{62DC4174-60A9-4DEE-83FF-2C6E5B9C7031}"/>
    <hyperlink ref="C8427" r:id="rId53" xr:uid="{E988011B-4576-401D-BA32-36F03A08512E}"/>
    <hyperlink ref="C8483" r:id="rId54" xr:uid="{C1B42EA5-07F8-4C0A-AA54-135639AF509D}"/>
    <hyperlink ref="C8539" r:id="rId55" xr:uid="{0FAFA756-B2D7-4ECC-8FE4-68D55996F382}"/>
    <hyperlink ref="C8595" r:id="rId56" xr:uid="{1603C428-814D-40AF-AEAA-A9C7EEC37162}"/>
    <hyperlink ref="C8651" r:id="rId57" xr:uid="{6419B349-9D95-4ABA-9178-7563A29F426E}"/>
    <hyperlink ref="C8706" r:id="rId58" xr:uid="{57EE0D76-2CCD-4058-B4D1-8A53F9469DF9}"/>
    <hyperlink ref="C8760" r:id="rId59" xr:uid="{9722E8E6-41FB-405A-AEF8-61ECC8E2700F}"/>
    <hyperlink ref="C8813" r:id="rId60" xr:uid="{438767D8-F409-4186-ABFA-FBBE2400511E}"/>
    <hyperlink ref="C8863" r:id="rId61" xr:uid="{3C851A6F-B82A-4F90-B8B4-8C23EBEC2B9F}"/>
    <hyperlink ref="C8911" r:id="rId62" xr:uid="{969D6C22-8D4C-406A-B93D-01FB9C76EF68}"/>
    <hyperlink ref="C8958" r:id="rId63" xr:uid="{DA74EA4A-1725-4568-8AC2-EB671BC56E06}"/>
    <hyperlink ref="C9005" r:id="rId64" xr:uid="{7121C528-4BA2-4702-90CD-8954EB5DB43E}"/>
    <hyperlink ref="C9051" r:id="rId65" xr:uid="{575132E8-87F1-4702-BBB3-3951B16D7803}"/>
    <hyperlink ref="C9096" r:id="rId66" xr:uid="{431C0D37-1D52-4E4F-98E0-48C88093FF4E}"/>
    <hyperlink ref="C9141" r:id="rId67" xr:uid="{70F310FB-B27C-464A-B7A3-731BF3AF9534}"/>
    <hyperlink ref="C9186" r:id="rId68" xr:uid="{7491427D-CB6C-4763-B01F-DD9418FB3A59}"/>
    <hyperlink ref="C9231" r:id="rId69" xr:uid="{B45759BD-6A2D-48B7-92B3-60F5DCE13E87}"/>
    <hyperlink ref="C9276" r:id="rId70" xr:uid="{8571DC2C-DEBD-4AD5-B74A-60A4E8EB2897}"/>
    <hyperlink ref="C9320" r:id="rId71" xr:uid="{A1778079-5073-4A9C-9A26-35293FFE95CB}"/>
    <hyperlink ref="C9364" r:id="rId72" xr:uid="{1A880B0B-31BE-450D-96C6-87BA5021D697}"/>
    <hyperlink ref="C9408" r:id="rId73" xr:uid="{56DD1740-E6E9-4D08-A218-73A19037DA8B}"/>
    <hyperlink ref="C9451" r:id="rId74" xr:uid="{FE20B946-B16C-42E0-AF72-60DBD7BFF011}"/>
    <hyperlink ref="C9488" r:id="rId75" xr:uid="{DFD3CA58-D037-40F9-B2B5-9779B930EA99}"/>
    <hyperlink ref="C9525" r:id="rId76" xr:uid="{EB256E29-52ED-4AB1-A3DD-A816056E1FAA}"/>
    <hyperlink ref="C9561" r:id="rId77" xr:uid="{C32A87D6-BE36-4AF6-84DC-33E4022CAB78}"/>
    <hyperlink ref="C9597" r:id="rId78" xr:uid="{21A18CA6-BAB3-43ED-85B6-F8CC36A3F117}"/>
    <hyperlink ref="C9631" r:id="rId79" xr:uid="{E7EE82F5-02BB-432C-8599-8B05483DEAEA}"/>
    <hyperlink ref="C9664" r:id="rId80" xr:uid="{B0D9E1C7-24FE-4B37-89EC-B696BBDF6FF3}"/>
    <hyperlink ref="C9696" r:id="rId81" xr:uid="{EFA16CE7-9783-4855-986F-E69F44EB2966}"/>
    <hyperlink ref="C9728" r:id="rId82" xr:uid="{7BB74D04-0053-4B1B-A3B8-D7646B0B55E7}"/>
    <hyperlink ref="C9757" r:id="rId83" xr:uid="{3292BCB1-F31B-458E-931C-7AC48D9F2C23}"/>
    <hyperlink ref="C9786" r:id="rId84" xr:uid="{38918971-0610-410D-9CBF-843D48DAA46B}"/>
    <hyperlink ref="C9815" r:id="rId85" xr:uid="{260EB13B-28F7-4815-B438-C831D37C5541}"/>
    <hyperlink ref="C9844" r:id="rId86" xr:uid="{3A544DE6-B04F-4BE8-ADC2-309254E36F59}"/>
    <hyperlink ref="C9873" r:id="rId87" xr:uid="{581738FC-623E-48AD-80B1-181623C9DD1C}"/>
    <hyperlink ref="C9902" r:id="rId88" xr:uid="{88D23E39-2589-4914-8C8E-63FCDA4653D3}"/>
    <hyperlink ref="C9931" r:id="rId89" xr:uid="{5C664F79-24A4-4D94-A593-797E5774F45F}"/>
    <hyperlink ref="C9960" r:id="rId90" xr:uid="{F6A1C836-57B5-4585-BED4-F1C3C6AC2FF9}"/>
    <hyperlink ref="C9989" r:id="rId91" xr:uid="{317F6507-FBAD-4773-B14A-58ED834AB370}"/>
    <hyperlink ref="C10018" r:id="rId92" xr:uid="{4FAAB4C5-3A51-4B3C-AE20-755653B01C41}"/>
    <hyperlink ref="C10047" r:id="rId93" xr:uid="{6AE18B2B-6AB6-44A0-9178-9BE88078B60F}"/>
    <hyperlink ref="C10075" r:id="rId94" xr:uid="{368E1150-6589-4D09-A25E-A0D876EA1B1B}"/>
    <hyperlink ref="C10102" r:id="rId95" xr:uid="{663E10A6-6913-461B-B355-D4B151E54B1D}"/>
    <hyperlink ref="C10128" r:id="rId96" xr:uid="{3350561F-A72A-451A-AB18-C98A845A3F15}"/>
    <hyperlink ref="C10151" r:id="rId97" xr:uid="{DD9C2A90-341C-42DA-9C06-7EF2C90E6518}"/>
    <hyperlink ref="C10169" r:id="rId98" xr:uid="{0F705A74-23F2-4C55-B560-FC8E32566505}"/>
    <hyperlink ref="C10192" r:id="rId99" xr:uid="{DE607B35-DF62-4266-BE3E-7A11287C7807}"/>
    <hyperlink ref="C10209" r:id="rId100" xr:uid="{98AC1800-DB48-49E1-A3EC-56AD6DFEC31C}"/>
    <hyperlink ref="C10222" r:id="rId101" xr:uid="{9385BAF8-8AD7-439C-AC80-4FD0140561DD}"/>
    <hyperlink ref="C10235" r:id="rId102" xr:uid="{B69444CA-A4A2-4F07-BF94-793DF3FD05A0}"/>
    <hyperlink ref="C580" r:id="rId103" xr:uid="{71F13DC5-9855-43B9-8F75-3B4D7C1435FA}"/>
    <hyperlink ref="C1920" r:id="rId104" xr:uid="{4A63A378-7D15-4B9A-AA7E-F04CE3BDE73A}"/>
    <hyperlink ref="C3200" r:id="rId105" xr:uid="{B8853E06-4A78-4043-A2E8-A94BCEB3788F}"/>
    <hyperlink ref="C4585" r:id="rId106" xr:uid="{ED1AC8DB-19B7-4156-8EE5-2388CA933A19}"/>
    <hyperlink ref="C5960" r:id="rId107" xr:uid="{CD8DAB86-DF07-4D7C-821E-5C46A9342F35}"/>
    <hyperlink ref="C6878" r:id="rId108" xr:uid="{F2DD9060-F385-48FF-B69D-A21A94465DC0}"/>
    <hyperlink ref="C7423" r:id="rId109" xr:uid="{034494B1-3128-4B2F-8F3E-24EA85DEB8FF}"/>
    <hyperlink ref="C7697" r:id="rId110" xr:uid="{B775F9B3-C621-4141-9D4E-F2A80EEF2077}"/>
    <hyperlink ref="C7819" r:id="rId111" xr:uid="{C2DB1209-CC24-4DD0-957A-02722AE9FB91}"/>
    <hyperlink ref="C7916" r:id="rId112" xr:uid="{0B1CD1F2-A9A8-4B39-899C-CEFC0D3933B8}"/>
    <hyperlink ref="C7996" r:id="rId113" xr:uid="{D0B96935-DD95-4F75-86D3-CC7739818611}"/>
    <hyperlink ref="C8062" r:id="rId114" xr:uid="{3EA97EEA-1C36-49A9-8631-6F9FD08DA7E1}"/>
    <hyperlink ref="C8127" r:id="rId115" xr:uid="{B8C30EE8-EA9B-447B-A522-963AEBE2024E}"/>
    <hyperlink ref="C8190" r:id="rId116" xr:uid="{80F22A34-8CF9-4822-9476-1C48D7D2110E}"/>
    <hyperlink ref="C8254" r:id="rId117" xr:uid="{F05A173A-7A43-41B1-8D68-7AC92E7D6655}"/>
    <hyperlink ref="C8314" r:id="rId118" xr:uid="{F29FE8D7-1FB8-439B-B89E-4C5FB614ADF4}"/>
    <hyperlink ref="C8370" r:id="rId119" xr:uid="{D4F8D8F8-12E0-40FC-A320-FB5D504B096A}"/>
    <hyperlink ref="C8426" r:id="rId120" xr:uid="{8A12E182-09B3-4D99-A568-44A28CA4FFCC}"/>
    <hyperlink ref="C8482" r:id="rId121" xr:uid="{9A0CF5C8-0DEF-4830-B41E-F8CD38E53B7A}"/>
    <hyperlink ref="C8538" r:id="rId122" xr:uid="{5952CE86-9C95-4D69-84A9-EF6A3CA3A3FA}"/>
    <hyperlink ref="C8594" r:id="rId123" xr:uid="{F637BF92-9329-43AC-A609-7D322E12E68C}"/>
    <hyperlink ref="C8650" r:id="rId124" xr:uid="{930CD802-5586-4C8E-B629-F55855564356}"/>
    <hyperlink ref="C8705" r:id="rId125" xr:uid="{C1D4A012-1063-495A-9CD0-D445574D0D11}"/>
    <hyperlink ref="C8759" r:id="rId126" xr:uid="{045C6B00-1599-442D-A720-9796C98BE0E9}"/>
    <hyperlink ref="C8812" r:id="rId127" xr:uid="{05B1A848-1671-4F82-967F-68DF58A57C45}"/>
    <hyperlink ref="C8862" r:id="rId128" xr:uid="{5A278988-1BA9-4383-B9AB-D4D4A3BB7E3F}"/>
    <hyperlink ref="C8910" r:id="rId129" xr:uid="{F619837B-724E-4AA6-8847-56A4E38C80E6}"/>
    <hyperlink ref="C8957" r:id="rId130" xr:uid="{153CBB7E-E1F8-4006-896C-ED6C8FD1C7B9}"/>
    <hyperlink ref="C9004" r:id="rId131" xr:uid="{589F173B-406E-46E0-85A1-EE4DADCF3154}"/>
    <hyperlink ref="C9050" r:id="rId132" xr:uid="{8246BF0C-88AB-496A-BDB9-A8D8AF30D1CF}"/>
    <hyperlink ref="C9095" r:id="rId133" xr:uid="{FF3B5CC5-772E-4ED7-935C-567DAC0301D8}"/>
    <hyperlink ref="C9140" r:id="rId134" xr:uid="{050FD54F-384C-47CF-9143-A45D55C13E27}"/>
    <hyperlink ref="C9185" r:id="rId135" xr:uid="{C900298F-A23B-439F-B28E-5F996C8B0951}"/>
    <hyperlink ref="C9230" r:id="rId136" xr:uid="{BE60847C-41FB-4623-937F-780DEF8D4031}"/>
    <hyperlink ref="C9275" r:id="rId137" xr:uid="{BF735D4F-D849-4CF0-9D37-50471AC17DA6}"/>
    <hyperlink ref="C9319" r:id="rId138" xr:uid="{E3F9F12A-3F78-4CA4-BB83-0CC2E5D4E251}"/>
    <hyperlink ref="C9363" r:id="rId139" xr:uid="{D6E99E4E-8CC1-4653-BBA4-F2EB0A2D870F}"/>
    <hyperlink ref="C9407" r:id="rId140" xr:uid="{746A5DA2-3691-4EBD-8F44-A81549ED7406}"/>
    <hyperlink ref="C9450" r:id="rId141" xr:uid="{BEA6F049-F069-48EC-B7C7-0D084144933C}"/>
    <hyperlink ref="C9487" r:id="rId142" xr:uid="{C67BF252-01AD-4F4C-AC2D-7E5F076F5F98}"/>
    <hyperlink ref="C9524" r:id="rId143" xr:uid="{B8F97F04-A226-4A77-BD32-3E03077D6E46}"/>
    <hyperlink ref="C9560" r:id="rId144" xr:uid="{EB66CD46-FA2D-4B6B-82FE-3296C90DE444}"/>
    <hyperlink ref="C9596" r:id="rId145" xr:uid="{38C25064-4D10-4294-994E-64965C80B28D}"/>
    <hyperlink ref="C9630" r:id="rId146" xr:uid="{DBB1F8F4-003E-45C3-AE64-FE77E5C90CAC}"/>
    <hyperlink ref="C9663" r:id="rId147" xr:uid="{84238E5B-0C6A-4597-BB6C-89AF4E1BDCF6}"/>
    <hyperlink ref="C9695" r:id="rId148" xr:uid="{26D52B05-6D06-4189-AA81-EC902F85C607}"/>
    <hyperlink ref="C9727" r:id="rId149" xr:uid="{EBFC40CA-3428-44B3-8818-59F28911CA03}"/>
    <hyperlink ref="C9756" r:id="rId150" xr:uid="{CF8F3468-93BF-45A1-8F73-28CBC77D09DE}"/>
    <hyperlink ref="C9785" r:id="rId151" xr:uid="{16992BDC-7157-45A9-8F25-788DB1F20E9C}"/>
    <hyperlink ref="C9814" r:id="rId152" xr:uid="{AEF18055-20D9-4D82-BD19-36BF0976D10C}"/>
    <hyperlink ref="C9843" r:id="rId153" xr:uid="{C8F35D0C-ECE0-4EF6-AE1C-F1DD69BB268C}"/>
    <hyperlink ref="C9872" r:id="rId154" xr:uid="{2BF3D239-AF3A-4197-A895-10B7DB28F704}"/>
    <hyperlink ref="C9901" r:id="rId155" xr:uid="{DB94520E-2ACF-45EB-B522-9585342506A3}"/>
    <hyperlink ref="C9930" r:id="rId156" xr:uid="{76B1DBDE-BBC3-4F37-8CE6-41364698C580}"/>
    <hyperlink ref="C9959" r:id="rId157" xr:uid="{DA4CF1C1-FD00-4345-B741-CEF85228D236}"/>
    <hyperlink ref="C9988" r:id="rId158" xr:uid="{BBEED26F-9C36-4F10-8621-5D11ED58ABBF}"/>
    <hyperlink ref="C10017" r:id="rId159" xr:uid="{38529267-0251-4C44-AAA9-F3AE8FD61C29}"/>
    <hyperlink ref="C10046" r:id="rId160" xr:uid="{3D9D62B4-0D4B-4BF9-8396-C132E287E58A}"/>
    <hyperlink ref="C10074" r:id="rId161" xr:uid="{FA64779D-270D-4D1E-B835-CCBFC824E659}"/>
    <hyperlink ref="C10101" r:id="rId162" xr:uid="{3B0FC219-AB41-4377-A27A-61C023B248E7}"/>
    <hyperlink ref="C10127" r:id="rId163" xr:uid="{36AE4088-62FE-4724-831E-6E5D767A3B7B}"/>
    <hyperlink ref="C10150" r:id="rId164" xr:uid="{CD932604-A71E-4D4A-A333-4F1EBD645E7D}"/>
    <hyperlink ref="C547" r:id="rId165" xr:uid="{4C69E77E-DBAA-4275-AE41-7EF038DC98B3}"/>
    <hyperlink ref="C1894" r:id="rId166" xr:uid="{CC2D0477-CC66-4670-8FAC-13BD69D11964}"/>
    <hyperlink ref="C3161" r:id="rId167" xr:uid="{87D22265-2660-412D-B873-FF10271BB414}"/>
    <hyperlink ref="C4559" r:id="rId168" xr:uid="{808EA822-9C30-4846-BF7D-F65F24DB6943}"/>
    <hyperlink ref="C5941" r:id="rId169" xr:uid="{0E575325-B17F-4C6F-BCD1-0763EF12732F}"/>
    <hyperlink ref="C6864" r:id="rId170" xr:uid="{18E7810E-2068-45D3-857B-F5F64829D80A}"/>
    <hyperlink ref="C7402" r:id="rId171" xr:uid="{D30370D2-6FCB-4244-BD71-BD2888EBAAD7}"/>
    <hyperlink ref="C7676" r:id="rId172" xr:uid="{70B22F56-052C-4068-8CFB-9CA57AD21574}"/>
    <hyperlink ref="C7798" r:id="rId173" xr:uid="{E96383DC-A235-4987-B222-B579860E862B}"/>
    <hyperlink ref="C7895" r:id="rId174" xr:uid="{59440608-A8B3-40CC-9C6A-0616D9793DEE}"/>
    <hyperlink ref="C7975" r:id="rId175" xr:uid="{BC8AA6C9-B0BF-4E3D-8C0E-69E64AA8B876}"/>
    <hyperlink ref="C8041" r:id="rId176" xr:uid="{1FC8A73C-42F7-4012-89B6-CF3214878EC2}"/>
    <hyperlink ref="C8106" r:id="rId177" xr:uid="{4C4117DA-A02E-48D3-B2E1-6B7E295C227C}"/>
    <hyperlink ref="C8169" r:id="rId178" xr:uid="{62D875E1-EC04-432D-90E2-F0B617B53FE1}"/>
    <hyperlink ref="C8233" r:id="rId179" xr:uid="{38357386-AD5C-4DF0-B502-7EA3A4D8A367}"/>
    <hyperlink ref="C8293" r:id="rId180" xr:uid="{2FEE0892-30B6-4648-AA55-0E9305AE5DF1}"/>
    <hyperlink ref="C8349" r:id="rId181" xr:uid="{0A634904-B791-4C88-BDBA-6883AEBBD7E9}"/>
    <hyperlink ref="C8405" r:id="rId182" xr:uid="{C534E408-03EA-4A76-9AFB-2E89BF9B6EC6}"/>
    <hyperlink ref="C8461" r:id="rId183" xr:uid="{EB879EF4-6C84-43B0-BA48-BE328DE7485E}"/>
    <hyperlink ref="C8517" r:id="rId184" xr:uid="{9D995C59-21BB-4037-A393-E0AFED6F55EB}"/>
    <hyperlink ref="C8573" r:id="rId185" xr:uid="{5CFB22B4-84C7-4156-B6CD-6EF89719661C}"/>
    <hyperlink ref="C8629" r:id="rId186" xr:uid="{25B31683-5F30-4AB3-B4EE-DA78EA0384E3}"/>
    <hyperlink ref="C8684" r:id="rId187" xr:uid="{AACCE2C2-A7FE-4846-9AB8-92715CC5885B}"/>
    <hyperlink ref="C8738" r:id="rId188" xr:uid="{2C9C2ACB-1A9D-459A-9D91-F776FDAE2233}"/>
    <hyperlink ref="C8791" r:id="rId189" xr:uid="{195C607C-9623-447A-A5E2-38F967791E20}"/>
    <hyperlink ref="C8842" r:id="rId190" xr:uid="{E2EAF21D-35AC-4835-B174-6804ED8A0418}"/>
    <hyperlink ref="C8890" r:id="rId191" xr:uid="{65953FCE-B9AC-417E-9378-6D6EAFE2F70B}"/>
    <hyperlink ref="C8937" r:id="rId192" xr:uid="{4FCD556D-CE5C-43E0-808D-DB6FF775AFA3}"/>
    <hyperlink ref="C8984" r:id="rId193" xr:uid="{741DA8AA-3AF2-4701-8721-1026696DFC2F}"/>
    <hyperlink ref="C9030" r:id="rId194" xr:uid="{DB147E4B-EEFF-4A58-8717-9584A27181FB}"/>
    <hyperlink ref="C9075" r:id="rId195" xr:uid="{9DEEB306-34C8-477B-BFD4-1599EDD354D5}"/>
    <hyperlink ref="C9120" r:id="rId196" xr:uid="{13F5ECFF-4D28-4BD5-97B4-CA5337B465E4}"/>
    <hyperlink ref="C9165" r:id="rId197" xr:uid="{56708042-EE01-4A67-B766-287617A1DB83}"/>
    <hyperlink ref="C9210" r:id="rId198" xr:uid="{CE92B87E-E286-4E2B-A6DE-B844D45A0A37}"/>
    <hyperlink ref="C9255" r:id="rId199" xr:uid="{A716B13B-1CA0-427D-B693-7B22762BD7E9}"/>
    <hyperlink ref="C9299" r:id="rId200" xr:uid="{AE18FC91-6598-4354-B955-CD990224144F}"/>
    <hyperlink ref="C9343" r:id="rId201" xr:uid="{4F0309B4-A2BB-433F-9B49-7C55D3CF6CB7}"/>
    <hyperlink ref="C9387" r:id="rId202" xr:uid="{B1CC0EE8-0C8B-4F5E-8007-DA49A2D1611D}"/>
    <hyperlink ref="C9430" r:id="rId203" xr:uid="{97839943-3CD9-4787-A4A0-7FAF133DE0A9}"/>
    <hyperlink ref="C9467" r:id="rId204" xr:uid="{BC502551-EB0D-4FE3-AABA-F6540C327FF3}"/>
    <hyperlink ref="C9504" r:id="rId205" xr:uid="{F8F9664F-F36A-4754-A92E-84AB2E5EAB3A}"/>
    <hyperlink ref="C9540" r:id="rId206" xr:uid="{E1DFD7C7-2512-43F7-9475-89AA99D5FA98}"/>
    <hyperlink ref="C9576" r:id="rId207" xr:uid="{E7DDDB34-71EE-4F2E-B120-23EF2C8F03BC}"/>
    <hyperlink ref="C9610" r:id="rId208" xr:uid="{223B1AEB-1D50-4AB5-892A-BC97F1CF2201}"/>
    <hyperlink ref="C9643" r:id="rId209" xr:uid="{4EABC875-70B5-49F3-97F0-C5C885506AD5}"/>
    <hyperlink ref="C9675" r:id="rId210" xr:uid="{F5F5DED3-5F01-4DBF-8A01-F7B6F67D31C7}"/>
    <hyperlink ref="C9707" r:id="rId211" xr:uid="{2DF9170A-52E6-4092-9E9C-3F855705F035}"/>
    <hyperlink ref="C9736" r:id="rId212" xr:uid="{5B164626-47FA-4D52-9BAF-EB783040CB03}"/>
    <hyperlink ref="C9765" r:id="rId213" xr:uid="{D0391991-E500-4A15-A3FA-9E2D47F8F76B}"/>
    <hyperlink ref="C9794" r:id="rId214" xr:uid="{D633D574-2563-4CB1-A90D-DCD95A2B4F69}"/>
    <hyperlink ref="C9823" r:id="rId215" xr:uid="{929571D0-9FA5-438B-A3BB-002042512BC2}"/>
    <hyperlink ref="C9852" r:id="rId216" xr:uid="{FE237446-9F99-4218-9578-7F66D2D324CC}"/>
    <hyperlink ref="C9881" r:id="rId217" xr:uid="{CD5E8EB1-FB53-4301-9176-07F151FAC7A5}"/>
    <hyperlink ref="C9910" r:id="rId218" xr:uid="{912ECDE7-77D2-4DD6-983F-05038F9691BB}"/>
    <hyperlink ref="C9939" r:id="rId219" xr:uid="{BF3B42A3-5E20-45F4-ABC5-034957D59708}"/>
    <hyperlink ref="C9968" r:id="rId220" xr:uid="{4652CA47-6F21-49F4-9898-61500263C678}"/>
    <hyperlink ref="C9997" r:id="rId221" xr:uid="{48BED31F-2997-4F80-80C5-72AFE55292E5}"/>
    <hyperlink ref="C10026" r:id="rId222" xr:uid="{F3C98091-D185-4522-A4DE-8701C0D4E0BD}"/>
    <hyperlink ref="C10055" r:id="rId223" xr:uid="{E166D65A-F957-47FA-8803-81590DD1AE4C}"/>
    <hyperlink ref="C10083" r:id="rId224" xr:uid="{E3E1D375-543E-4CDA-808C-7A11EFF8395B}"/>
    <hyperlink ref="C10110" r:id="rId225" xr:uid="{F10606B8-F0F3-4759-8490-CEB206543181}"/>
    <hyperlink ref="C548" r:id="rId226" xr:uid="{3526F0D6-C25E-45C8-ABA9-7F3EA4411182}"/>
    <hyperlink ref="C1895" r:id="rId227" xr:uid="{237F9B94-D0D9-4086-B2BF-84B22D29E05C}"/>
    <hyperlink ref="C3162" r:id="rId228" xr:uid="{9CDEBA57-D8B1-4657-8853-CAFD04AF4047}"/>
    <hyperlink ref="C4560" r:id="rId229" xr:uid="{57C48311-A659-4F6C-A86C-6BB533E9A048}"/>
    <hyperlink ref="C5942" r:id="rId230" xr:uid="{EEA7D0A6-3BBE-438A-8218-4BBE9424AB75}"/>
    <hyperlink ref="C6865" r:id="rId231" xr:uid="{D8D55A1A-F330-4344-9C77-A2E83414E0FA}"/>
    <hyperlink ref="C7403" r:id="rId232" xr:uid="{39921F90-3B27-4C24-8952-ACFBBA0290C5}"/>
    <hyperlink ref="C7677" r:id="rId233" xr:uid="{890B799D-62FA-48D3-9C84-307A41C989C6}"/>
    <hyperlink ref="C7799" r:id="rId234" xr:uid="{C31343BD-3F84-469B-9C63-F9F3FB98DADB}"/>
    <hyperlink ref="C7896" r:id="rId235" xr:uid="{52D9B1B7-A1D3-4CA2-9CAB-6242F6C6898A}"/>
    <hyperlink ref="C7976" r:id="rId236" xr:uid="{1BBDC3D0-8EA6-47CB-A53A-A81EE2C16BE9}"/>
    <hyperlink ref="C8042" r:id="rId237" xr:uid="{41F52CCB-864F-41A4-B21C-7EF719CC5E0E}"/>
    <hyperlink ref="C8107" r:id="rId238" xr:uid="{CBAE2036-761A-4E05-9D14-BAE690CBB41E}"/>
    <hyperlink ref="C8170" r:id="rId239" xr:uid="{9145F0BC-83F6-44FC-A01F-5707A08D9924}"/>
    <hyperlink ref="C8234" r:id="rId240" xr:uid="{CBA8C857-724D-485F-B181-7B73B7CBDD53}"/>
    <hyperlink ref="C8294" r:id="rId241" xr:uid="{A7310B87-E898-4822-A67D-AEC114E9C2B0}"/>
    <hyperlink ref="C8350" r:id="rId242" xr:uid="{3799D0EF-7718-49D4-89C9-DD0AA31FC76D}"/>
    <hyperlink ref="C8406" r:id="rId243" xr:uid="{777C2826-4696-4F62-9F8B-F6C1AF5938B3}"/>
    <hyperlink ref="C8462" r:id="rId244" xr:uid="{159A033A-4FA3-46F8-B066-9D161AD502E5}"/>
    <hyperlink ref="C8518" r:id="rId245" xr:uid="{8EFDB933-6672-45CC-A141-E3CB4285ABF5}"/>
    <hyperlink ref="C8574" r:id="rId246" xr:uid="{BF781276-B14D-475C-BC71-9D51291898F6}"/>
    <hyperlink ref="C8630" r:id="rId247" xr:uid="{9FA7C215-F8C8-4EB8-94FF-05E13F7AE84F}"/>
    <hyperlink ref="C8685" r:id="rId248" xr:uid="{084B2439-2713-4716-A66A-1795D35DAB05}"/>
    <hyperlink ref="C8739" r:id="rId249" xr:uid="{010BDA78-DF82-42DC-8115-E0477EC1E041}"/>
    <hyperlink ref="C8792" r:id="rId250" xr:uid="{BB7C2060-9009-4DA8-8361-B459358EE8F0}"/>
    <hyperlink ref="C8843" r:id="rId251" xr:uid="{2010409C-1765-46D8-B23C-EA32A0EACCCD}"/>
    <hyperlink ref="C8891" r:id="rId252" xr:uid="{76C504C5-3F4E-43F4-A2AB-F5E92EF4B965}"/>
    <hyperlink ref="C8938" r:id="rId253" xr:uid="{B8681D75-DAD4-4A1C-A20D-974D60A423C4}"/>
    <hyperlink ref="C8985" r:id="rId254" xr:uid="{B649E55F-5495-484D-836E-9AE2189C949D}"/>
    <hyperlink ref="C9031" r:id="rId255" xr:uid="{4880EBF3-9074-4F30-BA39-833A45E499A7}"/>
    <hyperlink ref="C9076" r:id="rId256" xr:uid="{C74EDA2F-621A-49EC-875A-AD27D985E428}"/>
    <hyperlink ref="C9121" r:id="rId257" xr:uid="{56FF3172-8E1E-4BDC-9B9A-34CB842D8A6A}"/>
    <hyperlink ref="C9166" r:id="rId258" xr:uid="{43881E1C-94CF-43F6-AB15-10984020EF46}"/>
    <hyperlink ref="C9211" r:id="rId259" xr:uid="{2ED28FD9-8B72-4A19-AC43-E11E8E428F56}"/>
    <hyperlink ref="C9256" r:id="rId260" xr:uid="{0869BFFE-00FC-46B6-B2A1-DD3AC1A3E06E}"/>
    <hyperlink ref="C9300" r:id="rId261" xr:uid="{1584CD68-FDCB-407D-A033-94FA8DDCC14F}"/>
    <hyperlink ref="C9344" r:id="rId262" xr:uid="{873D9CFD-B581-43EA-9B33-90C98B619880}"/>
    <hyperlink ref="C9388" r:id="rId263" xr:uid="{6B6B41A9-2472-44F7-8D8E-9A11841D4532}"/>
    <hyperlink ref="C9431" r:id="rId264" xr:uid="{FF7A22F1-6D45-4264-9B28-14E5753058E8}"/>
    <hyperlink ref="C9468" r:id="rId265" xr:uid="{B708702C-55AA-44F0-B7E2-88A583B1198B}"/>
    <hyperlink ref="C9505" r:id="rId266" xr:uid="{7E2F2FC9-B73C-43A1-80A8-97D2E1306F96}"/>
    <hyperlink ref="C9541" r:id="rId267" xr:uid="{D5B9F5F4-D122-4FEE-99F3-B86BE8BA02F7}"/>
    <hyperlink ref="C9577" r:id="rId268" xr:uid="{CCC93F52-2BEC-454E-B8D1-01F755FB83E3}"/>
    <hyperlink ref="C9611" r:id="rId269" xr:uid="{F3345073-CE74-43C1-956B-FEA095658807}"/>
    <hyperlink ref="C9644" r:id="rId270" xr:uid="{F3F6EECE-51C9-49DC-8AF2-CAD914216B24}"/>
    <hyperlink ref="C9676" r:id="rId271" xr:uid="{DD47FFDD-2676-433E-BE8B-35F69DB9FA4D}"/>
    <hyperlink ref="C9708" r:id="rId272" xr:uid="{58E9FD3E-7FFC-4308-8497-3C2998B9CEE3}"/>
    <hyperlink ref="C9737" r:id="rId273" xr:uid="{71E3CA0F-1B76-4693-91FE-CE1234A140D8}"/>
    <hyperlink ref="C9766" r:id="rId274" xr:uid="{258D1229-87C9-4E9E-A23E-9CB656E47F57}"/>
    <hyperlink ref="C9795" r:id="rId275" xr:uid="{FCE04CD9-61D2-4E1C-BD17-BA23B7A885C9}"/>
    <hyperlink ref="C9824" r:id="rId276" xr:uid="{353C4F33-27DA-4DD5-AB82-F4D5E0B7CC92}"/>
    <hyperlink ref="C9853" r:id="rId277" xr:uid="{8F0FF1D4-6348-426F-9747-2598E6CE85B8}"/>
    <hyperlink ref="C9882" r:id="rId278" xr:uid="{43E1E0E9-940E-4DAC-ACF9-F1C506136ED8}"/>
    <hyperlink ref="C9911" r:id="rId279" xr:uid="{7AF686FD-CD7F-48AF-A6F6-624D146BF445}"/>
    <hyperlink ref="C9940" r:id="rId280" xr:uid="{87700C92-62FB-4D7E-B8D9-7ED1EE317499}"/>
    <hyperlink ref="C9969" r:id="rId281" xr:uid="{8967A888-584C-4581-996F-983A38534CC8}"/>
    <hyperlink ref="C9998" r:id="rId282" xr:uid="{D3D262C2-B9BD-436D-B445-F55EDDACE961}"/>
    <hyperlink ref="C10027" r:id="rId283" xr:uid="{CB10CF45-BB80-4E88-B64D-83778C56B634}"/>
    <hyperlink ref="C10056" r:id="rId284" xr:uid="{0EAB448B-59DB-4A54-A7F5-5447BDA5E94F}"/>
    <hyperlink ref="C10084" r:id="rId285" xr:uid="{55E6F755-F6BF-4DA9-B990-4722F510BE4B}"/>
    <hyperlink ref="C10111" r:id="rId286" xr:uid="{6A10D4E5-0CBE-471E-9EB8-F5A2BF4EC855}"/>
    <hyperlink ref="C549" r:id="rId287" xr:uid="{D838C2D6-09B7-468F-8B85-4924148FBF44}"/>
    <hyperlink ref="C1896" r:id="rId288" xr:uid="{41FCCDAB-6FA2-4630-9755-64A5E1F05C08}"/>
    <hyperlink ref="C3163" r:id="rId289" xr:uid="{E63AE8BA-A47F-49BF-9C0C-D98FE97B7299}"/>
    <hyperlink ref="C4561" r:id="rId290" xr:uid="{7EF4ADEB-9014-4D3D-9F0A-3423B1FE69FB}"/>
    <hyperlink ref="C5943" r:id="rId291" xr:uid="{3B0069A2-C036-4DD4-A09F-57F111D7300B}"/>
    <hyperlink ref="C6866" r:id="rId292" xr:uid="{9C8B82FC-0DE8-445F-BCF7-65FE702F3570}"/>
    <hyperlink ref="C7404" r:id="rId293" xr:uid="{CBE76E51-ACF3-4DBE-B18E-3DAD60D783FA}"/>
    <hyperlink ref="C7678" r:id="rId294" xr:uid="{EA2F4BFC-1C9D-4118-9851-F56DC2E6DEE6}"/>
    <hyperlink ref="C7800" r:id="rId295" xr:uid="{D9C4BA95-13EC-4820-8BDA-79249D70A8D0}"/>
    <hyperlink ref="C7897" r:id="rId296" xr:uid="{56B2E963-63FA-43C9-98B2-6FE6317D08FC}"/>
    <hyperlink ref="C7977" r:id="rId297" xr:uid="{3DB6A79D-C1F8-45E5-9189-5E3683B23F8A}"/>
    <hyperlink ref="C8043" r:id="rId298" xr:uid="{CF3566A0-D575-4A19-B1FF-EC5A3334AE45}"/>
    <hyperlink ref="C8108" r:id="rId299" xr:uid="{09D6EBB2-FBC5-466D-9761-BA37C7D4FD7F}"/>
    <hyperlink ref="C8171" r:id="rId300" xr:uid="{FE0AECA1-2745-4DD5-8E8F-3AE9DF655B9F}"/>
    <hyperlink ref="C8235" r:id="rId301" xr:uid="{92B79CEA-8DE6-4C5D-BB08-DC315058DBB9}"/>
    <hyperlink ref="C8295" r:id="rId302" xr:uid="{5F4574F2-6825-4A58-8EFE-A87DE83A4556}"/>
    <hyperlink ref="C8351" r:id="rId303" xr:uid="{9E7CFA80-6814-48EC-BCF1-ED91607EF0D8}"/>
    <hyperlink ref="C8407" r:id="rId304" xr:uid="{31F4C08B-CDFD-4B7E-BBDF-323F31B88436}"/>
    <hyperlink ref="C8463" r:id="rId305" xr:uid="{6D95B200-A68B-4E13-BDD1-24CC86F4E304}"/>
    <hyperlink ref="C8519" r:id="rId306" xr:uid="{827FFAC1-7E9D-4FE1-A2B7-26308C7FED01}"/>
    <hyperlink ref="C8575" r:id="rId307" xr:uid="{CA8FCF84-EC00-44DC-862C-8F019F2124E0}"/>
    <hyperlink ref="C8631" r:id="rId308" xr:uid="{7B835C9E-9686-4657-AD3E-878E3C3777DF}"/>
    <hyperlink ref="C8686" r:id="rId309" xr:uid="{7D43057C-69A6-40FA-A611-5EE901BA38F4}"/>
    <hyperlink ref="C8740" r:id="rId310" xr:uid="{4077DA15-CE44-42EF-8861-A373E30C18E2}"/>
    <hyperlink ref="C8793" r:id="rId311" xr:uid="{4FFEED48-89A0-4287-880F-7F0BDE1725AC}"/>
    <hyperlink ref="C8844" r:id="rId312" xr:uid="{DD46173C-EA72-411D-8EAD-E3FD861DF067}"/>
    <hyperlink ref="C8892" r:id="rId313" xr:uid="{92CC070A-574F-4834-A3FF-2D8908CD4D06}"/>
    <hyperlink ref="C8939" r:id="rId314" xr:uid="{82FF7B54-F657-4DEB-8914-DEE0E57AFC8F}"/>
    <hyperlink ref="C8986" r:id="rId315" xr:uid="{AF3D9C3B-C1CD-46DE-BA61-7974197AC4D4}"/>
    <hyperlink ref="C9032" r:id="rId316" xr:uid="{08FC7B47-BD5C-489F-A7EF-78B32266044F}"/>
    <hyperlink ref="C9077" r:id="rId317" xr:uid="{8617D718-344C-4638-94FA-227F17582EBA}"/>
    <hyperlink ref="C9122" r:id="rId318" xr:uid="{6DB0D0A5-5AE4-4607-9DFB-941E05575647}"/>
    <hyperlink ref="C9167" r:id="rId319" xr:uid="{C1A4A723-CEAF-4673-963D-D59568E79752}"/>
    <hyperlink ref="C9212" r:id="rId320" xr:uid="{15776A57-2EB3-4715-9C22-B5A74E405A6F}"/>
    <hyperlink ref="C9257" r:id="rId321" xr:uid="{7258B403-11CE-44C6-BC87-BDC4EA8CD2E3}"/>
    <hyperlink ref="C9301" r:id="rId322" xr:uid="{F296FFCE-FF71-462D-893E-265F15C2FB44}"/>
    <hyperlink ref="C9345" r:id="rId323" xr:uid="{4DED3097-A5A2-4CCC-B14C-801BBE50FC33}"/>
    <hyperlink ref="C9389" r:id="rId324" xr:uid="{F080A1EB-DB28-4C14-B37E-3244CA1AE638}"/>
    <hyperlink ref="C9432" r:id="rId325" xr:uid="{C71DF6CC-D499-4425-B642-45D16EF3C9DD}"/>
    <hyperlink ref="C9469" r:id="rId326" xr:uid="{94E12C7D-88AF-4EC5-BF38-8D1CB3EC0BB4}"/>
    <hyperlink ref="C9506" r:id="rId327" xr:uid="{FCFDF007-7FF2-406B-AFB2-954136E43B96}"/>
    <hyperlink ref="C9542" r:id="rId328" xr:uid="{E1CF5459-8D31-4079-AA87-4C7D835A9247}"/>
    <hyperlink ref="C9578" r:id="rId329" xr:uid="{3EF07CEA-4143-4D0D-B07C-608EA7CC9232}"/>
    <hyperlink ref="C9612" r:id="rId330" xr:uid="{A8C62234-8560-49A9-951B-2604CECF72E0}"/>
    <hyperlink ref="C9645" r:id="rId331" xr:uid="{C6BC6E2B-5683-4BFC-AD2F-4D3659FD0263}"/>
    <hyperlink ref="C9677" r:id="rId332" xr:uid="{1377BBA3-2F6B-461D-A6A5-FDA710474080}"/>
    <hyperlink ref="C9709" r:id="rId333" xr:uid="{15FD0A1D-A7AA-425A-9240-E5E943688ECE}"/>
    <hyperlink ref="C9738" r:id="rId334" xr:uid="{1F118318-BA73-430B-95D7-0C9249FD6E45}"/>
    <hyperlink ref="C9767" r:id="rId335" xr:uid="{D5EE6D43-5C5C-4A15-BE60-7E0BB16B8CBC}"/>
    <hyperlink ref="C9796" r:id="rId336" xr:uid="{EA73DC45-AF16-4841-B475-F7D3442EFB22}"/>
    <hyperlink ref="C9825" r:id="rId337" xr:uid="{90AA4FDD-B138-4DC2-B624-9CE06C244D36}"/>
    <hyperlink ref="C9854" r:id="rId338" xr:uid="{95FFBCE3-AD65-4369-B791-37A5A8B3CA6D}"/>
    <hyperlink ref="C9883" r:id="rId339" xr:uid="{71DF0EB2-D364-4356-A2A8-2E6F4D4A4591}"/>
    <hyperlink ref="C9912" r:id="rId340" xr:uid="{7BBB016E-4D2E-4F3F-A8EC-27DD59FADAA2}"/>
    <hyperlink ref="C9941" r:id="rId341" xr:uid="{10887FF5-6566-4823-8293-E938C0B44BF6}"/>
    <hyperlink ref="C9970" r:id="rId342" xr:uid="{AE45D769-EC23-43A9-9692-821FE852B8EF}"/>
    <hyperlink ref="C9999" r:id="rId343" xr:uid="{EC02FE1D-A523-4BC9-A99E-CEFE143F36EF}"/>
    <hyperlink ref="C10028" r:id="rId344" xr:uid="{65D0DE98-7FDF-46D6-B885-F3614AF9FB18}"/>
    <hyperlink ref="C10057" r:id="rId345" xr:uid="{D07EB6F9-3BC5-4CF9-AA79-98E535E81B6F}"/>
    <hyperlink ref="C10085" r:id="rId346" xr:uid="{4E85D135-00D1-432F-A3F3-8C30495FC02D}"/>
    <hyperlink ref="C10112" r:id="rId347" xr:uid="{B844D3C9-19AD-4A76-A32A-C7188E5E29C2}"/>
    <hyperlink ref="C10136" r:id="rId348" xr:uid="{0455B4ED-7E3A-49FE-A5E6-DCAA62852119}"/>
    <hyperlink ref="C10157" r:id="rId349" xr:uid="{CA0EFBD0-D1EC-4ECF-8534-F0A0B80A931A}"/>
    <hyperlink ref="C10178" r:id="rId350" xr:uid="{6886F393-1784-4211-AB5C-4BE2BBA1DDDB}"/>
    <hyperlink ref="C10197" r:id="rId351" xr:uid="{6BC4569A-A495-4BD3-8CA1-FB63DC683CFD}"/>
    <hyperlink ref="C550" r:id="rId352" xr:uid="{8DB37398-9CE6-4A66-A230-B0ACB51423E9}"/>
    <hyperlink ref="C1898" r:id="rId353" xr:uid="{D417E18F-55C1-451D-9424-065DA1BCDCEC}"/>
    <hyperlink ref="C3164" r:id="rId354" xr:uid="{8B5AF5B5-B9BE-4674-92F7-5D8C23AFBDE3}"/>
    <hyperlink ref="C4562" r:id="rId355" xr:uid="{675B59E0-BA0F-44BC-9330-09A5A43B390E}"/>
    <hyperlink ref="C5944" r:id="rId356" xr:uid="{5B3D4B89-DE16-44EA-9CBA-62A6B2B341EA}"/>
    <hyperlink ref="C6867" r:id="rId357" xr:uid="{6FE2147B-C66B-4CA2-8949-C71C15FBFDEE}"/>
    <hyperlink ref="C7405" r:id="rId358" xr:uid="{B1A3D5A7-998E-4827-BCE4-2246460D704D}"/>
    <hyperlink ref="C7679" r:id="rId359" xr:uid="{06580D8C-C864-4924-8D34-B58B59832856}"/>
    <hyperlink ref="C7801" r:id="rId360" xr:uid="{B96EFC32-0137-4F6E-BA34-274FC84E1AFD}"/>
    <hyperlink ref="C7898" r:id="rId361" xr:uid="{196691A5-B388-40DA-A0B3-1842215107D1}"/>
    <hyperlink ref="C7978" r:id="rId362" xr:uid="{0365B462-CF8C-400D-8A10-B7B16B6B14F8}"/>
    <hyperlink ref="C8044" r:id="rId363" xr:uid="{93200395-7E96-4A33-A1A9-1A1CD48E06D5}"/>
    <hyperlink ref="C8109" r:id="rId364" xr:uid="{1C223789-FC81-48B0-A44C-159B19DD1BF6}"/>
    <hyperlink ref="C8172" r:id="rId365" xr:uid="{6D7A4C67-FAC2-487A-89A8-6E87314ABDF8}"/>
    <hyperlink ref="C8236" r:id="rId366" xr:uid="{D6A8BE7F-1BF0-47CD-BADC-2810F6E8490D}"/>
    <hyperlink ref="C8296" r:id="rId367" xr:uid="{69C5A34A-A10E-454B-B482-B23835D87C60}"/>
    <hyperlink ref="C8352" r:id="rId368" xr:uid="{8C1D74F4-81A1-4652-9944-4E92DD958181}"/>
    <hyperlink ref="C8408" r:id="rId369" xr:uid="{14B337D4-D6A1-4233-B81E-7973BC597986}"/>
    <hyperlink ref="C8464" r:id="rId370" xr:uid="{F0D57565-A124-4252-BE22-137BFE8AA602}"/>
    <hyperlink ref="C8520" r:id="rId371" xr:uid="{1DA2F434-6C73-4174-89CF-B056474062B5}"/>
    <hyperlink ref="C8576" r:id="rId372" xr:uid="{9A378694-D7D8-4D1F-9B79-71AAC7D8E17E}"/>
    <hyperlink ref="C8632" r:id="rId373" xr:uid="{702CAD7A-38DD-4323-8221-324F1519BBD6}"/>
    <hyperlink ref="C8687" r:id="rId374" xr:uid="{BDAD9C1C-ECB8-457E-A8DA-B57B125944C3}"/>
    <hyperlink ref="C8741" r:id="rId375" xr:uid="{BFA1B256-254A-468A-AA33-D016B7AE1528}"/>
    <hyperlink ref="C8794" r:id="rId376" xr:uid="{A4FFEAD8-4445-49BB-BD2C-B826D1B06F65}"/>
    <hyperlink ref="C8845" r:id="rId377" xr:uid="{491887D2-B893-47DF-9E98-04C2CB4A501E}"/>
    <hyperlink ref="C8893" r:id="rId378" xr:uid="{559A0EC5-6024-4A85-BAFE-9E4272C28598}"/>
    <hyperlink ref="C8940" r:id="rId379" xr:uid="{7BA9BCC1-7C4D-42D7-AE16-12B86BB9468A}"/>
    <hyperlink ref="C8987" r:id="rId380" xr:uid="{C9737BBD-4F50-463F-A120-5216EC61E696}"/>
    <hyperlink ref="C9033" r:id="rId381" xr:uid="{EDC2ABF8-9BDD-4633-96F9-B9EB2F7B0D7B}"/>
    <hyperlink ref="C9078" r:id="rId382" xr:uid="{C01A3969-4CFD-471A-94BA-2A7C0747713C}"/>
    <hyperlink ref="C9123" r:id="rId383" xr:uid="{255CDBB0-0FA1-4E61-8C50-6DD1A93EBC28}"/>
    <hyperlink ref="C9168" r:id="rId384" xr:uid="{8462B2FC-FB8F-452A-9697-6072920F8B60}"/>
    <hyperlink ref="C9213" r:id="rId385" xr:uid="{9C7E7B81-963B-45BB-A7F3-87068F8CA0DC}"/>
    <hyperlink ref="C9258" r:id="rId386" xr:uid="{345AD1CA-4D66-4911-A258-DD6D33EF2C49}"/>
    <hyperlink ref="C9302" r:id="rId387" xr:uid="{B38D3BD3-3CF1-443B-9E87-A0FB5C6EA151}"/>
    <hyperlink ref="C9346" r:id="rId388" xr:uid="{C02DE9CC-D912-4D8A-B894-450BC76BB357}"/>
    <hyperlink ref="C9390" r:id="rId389" xr:uid="{6EBA346D-9934-4740-A3BD-E52AF6143D05}"/>
    <hyperlink ref="C9433" r:id="rId390" xr:uid="{186E3903-F7F4-4156-9220-0FE522892760}"/>
    <hyperlink ref="C9470" r:id="rId391" xr:uid="{871D4B5F-2DD0-40F5-9C4B-1626A36C8439}"/>
    <hyperlink ref="C9507" r:id="rId392" xr:uid="{59B368C8-2748-44A2-9259-239CB746F2C5}"/>
    <hyperlink ref="C9543" r:id="rId393" xr:uid="{E50EA29C-5F04-4963-9B7C-A9285697FC1E}"/>
    <hyperlink ref="C9579" r:id="rId394" xr:uid="{6461344F-AFD2-4A8D-9F8C-DD41D08B3793}"/>
    <hyperlink ref="C9613" r:id="rId395" xr:uid="{DA645C52-1BAF-49C7-B4E9-7AFB9DC13543}"/>
    <hyperlink ref="C9646" r:id="rId396" xr:uid="{CF38E27C-F4C4-454B-8F23-141407F22FD4}"/>
    <hyperlink ref="C9678" r:id="rId397" xr:uid="{3548B435-42BD-43A8-86A2-40739DCD147B}"/>
    <hyperlink ref="C9710" r:id="rId398" xr:uid="{2C798ABC-44EE-4A60-B9C9-820A77791803}"/>
    <hyperlink ref="C9739" r:id="rId399" xr:uid="{93F742D7-A9BC-4746-8126-2420EF5B25FE}"/>
    <hyperlink ref="C9768" r:id="rId400" xr:uid="{4E1F7213-E45E-4FDE-886E-3165B90EBE9F}"/>
    <hyperlink ref="C9797" r:id="rId401" xr:uid="{996B3D6E-0D79-41AC-B9FA-275ACB488024}"/>
    <hyperlink ref="C9826" r:id="rId402" xr:uid="{E500B826-C0D2-480B-8644-4B4A1C2CD3B9}"/>
    <hyperlink ref="C9855" r:id="rId403" xr:uid="{23E64267-9C34-4DDD-8BDB-C33B3EC58B01}"/>
    <hyperlink ref="C9884" r:id="rId404" xr:uid="{CDBF9899-BCC5-4B18-8182-49DF18DAD741}"/>
    <hyperlink ref="C9913" r:id="rId405" xr:uid="{332A7B08-2EB9-478A-AE2D-144679B3B435}"/>
    <hyperlink ref="C9942" r:id="rId406" xr:uid="{A63D7D10-6914-440A-BA5F-9B7B634B7962}"/>
    <hyperlink ref="C9971" r:id="rId407" xr:uid="{3523EE22-54D1-4065-8347-F7522136DE8E}"/>
    <hyperlink ref="C10000" r:id="rId408" xr:uid="{99535C43-F1F5-42CC-ACD2-2C6242548495}"/>
    <hyperlink ref="C10029" r:id="rId409" xr:uid="{FEBD2CAD-150B-4D33-ACBB-4FFCD4059642}"/>
    <hyperlink ref="C10058" r:id="rId410" xr:uid="{C0336E42-394E-400A-9019-2BEC1E11707A}"/>
    <hyperlink ref="C10086" r:id="rId411" xr:uid="{3806D19F-3109-49D7-91BD-069748F7E2D7}"/>
    <hyperlink ref="C10113" r:id="rId412" xr:uid="{458287C4-6791-41F2-9250-7F7CA9291B1F}"/>
    <hyperlink ref="C10137" r:id="rId413" xr:uid="{6E836F62-EAC8-4F7E-AF6E-B87BF0343C9C}"/>
    <hyperlink ref="C10158" r:id="rId414" xr:uid="{FD3DAA60-91B7-4D6D-A151-516D051EC7B6}"/>
    <hyperlink ref="C10180" r:id="rId415" xr:uid="{453F224C-E8B7-4283-99FA-E38AD7E24653}"/>
    <hyperlink ref="C10198" r:id="rId416" xr:uid="{EF3B4694-DA51-46EF-A524-0F0C64C17C4C}"/>
    <hyperlink ref="C551" r:id="rId417" xr:uid="{7DA75D63-BB55-4F84-8296-79B543D5EAA8}"/>
    <hyperlink ref="C1899" r:id="rId418" xr:uid="{B772C8A2-3D36-405E-B199-30D231AB020E}"/>
    <hyperlink ref="C3165" r:id="rId419" xr:uid="{520B1D33-5457-45BA-9FF7-A71E4D622002}"/>
    <hyperlink ref="C4563" r:id="rId420" xr:uid="{974845D1-DC95-4261-BD08-C1E88248CF3D}"/>
    <hyperlink ref="C5945" r:id="rId421" xr:uid="{D850B13F-F582-4B4F-8EFC-AFB97859A0D4}"/>
    <hyperlink ref="C6868" r:id="rId422" xr:uid="{234C3FF0-BC2A-430A-98ED-FE954F1E9E6E}"/>
    <hyperlink ref="C7406" r:id="rId423" xr:uid="{A7B48FA7-A568-4130-8B0D-F8061DE52289}"/>
    <hyperlink ref="C7680" r:id="rId424" xr:uid="{57F8E564-AC72-4794-A630-1A2FA319BA81}"/>
    <hyperlink ref="C7802" r:id="rId425" xr:uid="{E779C63A-768C-4E88-8E37-383C0B2B528C}"/>
    <hyperlink ref="C7899" r:id="rId426" xr:uid="{BB558CBE-DEB4-457F-A309-7DF07C716792}"/>
    <hyperlink ref="C7979" r:id="rId427" xr:uid="{5AA30ACE-8BCD-4B88-9430-D18E3F58BB9A}"/>
    <hyperlink ref="C8045" r:id="rId428" xr:uid="{1E890120-6EC5-4A53-A53D-29AB26BD56A3}"/>
    <hyperlink ref="C8110" r:id="rId429" xr:uid="{04B7282A-2398-4B1B-BACB-8B0563805A88}"/>
    <hyperlink ref="C8173" r:id="rId430" xr:uid="{E14FB4D9-AEA8-44EB-BC04-DB065204D125}"/>
    <hyperlink ref="C8237" r:id="rId431" xr:uid="{28463B77-2EA4-41ED-B996-BEEA24AD7DFA}"/>
    <hyperlink ref="C8297" r:id="rId432" xr:uid="{39E986C3-9132-4B0E-B9EE-0BE2E5575507}"/>
    <hyperlink ref="C8353" r:id="rId433" xr:uid="{F0326C93-24CF-4F8B-9B7A-5925E1B833E8}"/>
    <hyperlink ref="C8409" r:id="rId434" xr:uid="{94AB9DDA-96D7-4921-A9DA-2FD9F73699BA}"/>
    <hyperlink ref="C8465" r:id="rId435" xr:uid="{2BACC30B-EC28-4744-996A-42F09875A053}"/>
    <hyperlink ref="C8521" r:id="rId436" xr:uid="{F552B88F-5F12-480F-9718-064E62B63F22}"/>
    <hyperlink ref="C8577" r:id="rId437" xr:uid="{F951FDC0-6BEA-4F64-9673-7C87340B721B}"/>
    <hyperlink ref="C8633" r:id="rId438" xr:uid="{8EA4396B-8E7E-4752-94B0-8D74164A9706}"/>
    <hyperlink ref="C8688" r:id="rId439" xr:uid="{40C1A27F-7820-48AD-9D91-A0E22FD6A7F6}"/>
    <hyperlink ref="C8742" r:id="rId440" xr:uid="{1E8D3DE0-ADCA-43BC-B2C0-20419FC78544}"/>
    <hyperlink ref="C8795" r:id="rId441" xr:uid="{2577015C-76C2-40D0-A863-77379D2AA2F4}"/>
    <hyperlink ref="C8846" r:id="rId442" xr:uid="{73CC3EDD-46D3-4FEA-8529-89506C7173B9}"/>
    <hyperlink ref="C8894" r:id="rId443" xr:uid="{56EB829E-91A4-430B-B634-A49D7FB6DD0E}"/>
    <hyperlink ref="C8941" r:id="rId444" xr:uid="{264D2B8D-BBA5-4530-AE2E-2D615BAD3F73}"/>
    <hyperlink ref="C8988" r:id="rId445" xr:uid="{6E89524F-B6C8-4C8D-A7EF-4E98A36A867B}"/>
    <hyperlink ref="C9034" r:id="rId446" xr:uid="{ADD3E819-6A10-47A4-9695-5ED11C238E49}"/>
    <hyperlink ref="C9079" r:id="rId447" xr:uid="{07E8C33A-73C6-4974-80B8-FBCB61E1FD9B}"/>
    <hyperlink ref="C9124" r:id="rId448" xr:uid="{1E0C4387-E54F-4EA6-B3F8-F1B7DE8496BC}"/>
    <hyperlink ref="C9169" r:id="rId449" xr:uid="{7601403D-F8BD-4032-A099-B33F8354C1B6}"/>
    <hyperlink ref="C9214" r:id="rId450" xr:uid="{82244F50-1192-4954-9770-C8ABD1989289}"/>
    <hyperlink ref="C9259" r:id="rId451" xr:uid="{B52006AD-E5FD-435C-B85E-E1738DFEE288}"/>
    <hyperlink ref="C9303" r:id="rId452" xr:uid="{2CD01818-5861-4C7B-834B-F56BF2874D13}"/>
    <hyperlink ref="C9347" r:id="rId453" xr:uid="{18530245-664D-4D80-8A57-657EFA116D2F}"/>
    <hyperlink ref="C9391" r:id="rId454" xr:uid="{A68FE49F-6C7E-42FE-9095-F400339BCE0C}"/>
    <hyperlink ref="C9434" r:id="rId455" xr:uid="{6EBDC79A-4898-44DD-A390-4A63206AB789}"/>
    <hyperlink ref="C9471" r:id="rId456" xr:uid="{5CB0F434-B4C2-4469-A624-9DFE588A0EB9}"/>
    <hyperlink ref="C9508" r:id="rId457" xr:uid="{8A37A1ED-7F9D-4256-9D5A-ECDB298E9021}"/>
    <hyperlink ref="C9544" r:id="rId458" xr:uid="{BE32EFB0-AA04-4AB3-A4C5-42E3A0AD4EE5}"/>
    <hyperlink ref="C9580" r:id="rId459" xr:uid="{769004DB-AC03-4475-8F4F-0DB5763DFC44}"/>
    <hyperlink ref="C9614" r:id="rId460" xr:uid="{D59C6815-DAFE-4178-989B-822777A75D26}"/>
    <hyperlink ref="C9647" r:id="rId461" xr:uid="{63748770-20E8-4E36-BD8A-33F8E2AC8BBB}"/>
    <hyperlink ref="C9679" r:id="rId462" xr:uid="{C98759FD-2671-4B56-9CBB-F59F99425D0E}"/>
    <hyperlink ref="C9711" r:id="rId463" xr:uid="{6D8B9ED2-C331-4521-ADEF-5D402FDA2A55}"/>
    <hyperlink ref="C9740" r:id="rId464" xr:uid="{B6F68F60-631F-434D-AE8D-85EA2595A995}"/>
    <hyperlink ref="C9769" r:id="rId465" xr:uid="{E79A83C3-FF0D-4A79-9BBC-4403F9B47371}"/>
    <hyperlink ref="C9798" r:id="rId466" xr:uid="{9F6D1135-FDBC-4703-A24C-ADC2BE0DAE5E}"/>
    <hyperlink ref="C9827" r:id="rId467" xr:uid="{EA6B9891-0D3B-4FCC-8532-FABA38632CFF}"/>
    <hyperlink ref="C9856" r:id="rId468" xr:uid="{105C08BA-0C1F-443B-80FA-DAE07FADEC36}"/>
    <hyperlink ref="C9885" r:id="rId469" xr:uid="{F132C938-3945-4F74-81A1-B133C314DFF0}"/>
    <hyperlink ref="C9914" r:id="rId470" xr:uid="{1A6E35E7-148B-415C-9776-76541A179059}"/>
    <hyperlink ref="C9943" r:id="rId471" xr:uid="{9FD019AF-4A29-4626-9013-B048C57AA6E4}"/>
    <hyperlink ref="C9972" r:id="rId472" xr:uid="{E424FC00-AA67-4D0A-B1F2-3ED791C2B038}"/>
    <hyperlink ref="C10001" r:id="rId473" xr:uid="{07A395E1-20AC-40E1-BA9C-525F5EEEBF49}"/>
    <hyperlink ref="C10030" r:id="rId474" xr:uid="{1747D903-135B-435F-906F-976AE01DA45D}"/>
    <hyperlink ref="C10059" r:id="rId475" xr:uid="{3F36E1A2-5BE5-41B5-8426-921CB2020C84}"/>
    <hyperlink ref="C10087" r:id="rId476" xr:uid="{B9DDB3D7-C87E-4B57-8B4F-868D6B006175}"/>
    <hyperlink ref="C10114" r:id="rId477" xr:uid="{E725667D-BEB4-4BD5-840F-560CBA5DE2A6}"/>
    <hyperlink ref="C10138" r:id="rId478" xr:uid="{6889A624-C47D-4E46-8878-D6C2C30E791C}"/>
    <hyperlink ref="C10159" r:id="rId479" xr:uid="{CCCAEE63-1F3E-4FE3-B2E2-98F350F69CBB}"/>
    <hyperlink ref="C10181" r:id="rId480" xr:uid="{C4EDFFD8-8CED-4578-8978-51174361F67D}"/>
    <hyperlink ref="C10199" r:id="rId481" xr:uid="{0B08748D-8C3F-4043-BC62-393BC3779105}"/>
    <hyperlink ref="C570" r:id="rId482" xr:uid="{FEBBC1F8-6091-4B4F-AED3-2DBDE4F16FA0}"/>
    <hyperlink ref="C1919" r:id="rId483" xr:uid="{752698B4-4824-449B-915D-14F12A713856}"/>
    <hyperlink ref="C3198" r:id="rId484" xr:uid="{FA8FE557-F16C-461D-A3A6-A0CC5884B745}"/>
    <hyperlink ref="C4584" r:id="rId485" xr:uid="{975BF283-7341-405F-9B6B-C932A842697D}"/>
    <hyperlink ref="C5959" r:id="rId486" xr:uid="{2F5CC3CC-1868-4C59-B31F-791C34EE0A74}"/>
    <hyperlink ref="C6877" r:id="rId487" xr:uid="{414700EF-1AA1-4EA2-96CC-A0F795D83C99}"/>
    <hyperlink ref="C7422" r:id="rId488" xr:uid="{6F2333BD-708D-4E2F-BA3B-91F37E0B2DFC}"/>
    <hyperlink ref="C7696" r:id="rId489" xr:uid="{915154E8-2F7D-4826-811E-56AD0B96EF47}"/>
    <hyperlink ref="C7818" r:id="rId490" xr:uid="{0B08BE62-FEAA-48DE-8E1E-E0B806EBF95A}"/>
    <hyperlink ref="C7915" r:id="rId491" xr:uid="{C48EA672-C004-4287-AFE6-EB4DB02B5528}"/>
    <hyperlink ref="C7995" r:id="rId492" xr:uid="{F47CBC5C-8579-4E7D-A62C-AAD63F52406D}"/>
    <hyperlink ref="C8061" r:id="rId493" xr:uid="{FF2B3183-A48D-4DE4-9A8D-B9D01688FC3D}"/>
    <hyperlink ref="C8126" r:id="rId494" xr:uid="{411B26ED-651E-41EA-A6C1-9FF0E1F32B46}"/>
    <hyperlink ref="C8189" r:id="rId495" xr:uid="{519F85D6-EAF1-492A-8770-2F08B3054AC4}"/>
    <hyperlink ref="C8253" r:id="rId496" xr:uid="{48EA8CE1-5644-46A8-B1CD-E3947B43D41E}"/>
    <hyperlink ref="C8313" r:id="rId497" xr:uid="{C7B3BB02-7403-40CA-A185-A12056D3BFB6}"/>
    <hyperlink ref="C8369" r:id="rId498" xr:uid="{A625AB87-55B7-41FE-9212-E67D8DA25695}"/>
    <hyperlink ref="C8425" r:id="rId499" xr:uid="{FDE23ACE-04AD-4E54-BEEB-81C994ABA537}"/>
    <hyperlink ref="C8481" r:id="rId500" xr:uid="{0D099F9A-1B54-4C6A-B27B-0519FD9184AC}"/>
    <hyperlink ref="C8537" r:id="rId501" xr:uid="{8BD92955-14A1-499C-8088-8ECD04BFC9BA}"/>
    <hyperlink ref="C8593" r:id="rId502" xr:uid="{5FF48A1F-910C-42ED-979F-2702C924BCF6}"/>
    <hyperlink ref="C8649" r:id="rId503" xr:uid="{61B4852B-DD3B-4F62-B51F-D58559A0BCEF}"/>
    <hyperlink ref="C8704" r:id="rId504" xr:uid="{653AC0C3-2E12-4FEC-ABBA-252BE92BA28F}"/>
    <hyperlink ref="C8758" r:id="rId505" xr:uid="{C3A9EF88-461E-4401-97EE-B7EAA8A42976}"/>
    <hyperlink ref="C8811" r:id="rId506" xr:uid="{E2196661-1D65-4984-87A0-C43AA2D44671}"/>
    <hyperlink ref="C8861" r:id="rId507" xr:uid="{7A468181-8401-48E2-B26B-5789F3722BC8}"/>
    <hyperlink ref="C8909" r:id="rId508" xr:uid="{0C1FB9F4-B439-4D01-A7B3-AE5BC7733C78}"/>
    <hyperlink ref="C8956" r:id="rId509" xr:uid="{9CCD9E73-0F94-4AB1-8AA1-58338703DA48}"/>
    <hyperlink ref="C9003" r:id="rId510" xr:uid="{D14C1D97-BCB0-4192-B10A-99424C30F590}"/>
    <hyperlink ref="C9049" r:id="rId511" xr:uid="{5DCF1EA8-6CAC-4475-97BA-1D36E06F2A22}"/>
    <hyperlink ref="C9094" r:id="rId512" xr:uid="{B9DEA833-BDB5-4560-A3B8-E814154C8DA5}"/>
    <hyperlink ref="C9139" r:id="rId513" xr:uid="{C8F52D2A-28C1-4896-89CA-3252CC9C3655}"/>
    <hyperlink ref="C9184" r:id="rId514" xr:uid="{D74FD5D9-CB09-4148-AEC0-2A3C11C0968A}"/>
    <hyperlink ref="C9229" r:id="rId515" xr:uid="{095C7328-691C-4637-B5D1-298DCC41036B}"/>
    <hyperlink ref="C9274" r:id="rId516" xr:uid="{FB0FFE5A-9AA5-4BD9-BAFB-D98B7DCD619A}"/>
    <hyperlink ref="C9318" r:id="rId517" xr:uid="{53466A30-F80B-4112-9C4D-15B2699EB0F7}"/>
    <hyperlink ref="C9362" r:id="rId518" xr:uid="{1495A47D-8D9B-42D7-B53F-C73139018486}"/>
    <hyperlink ref="C9406" r:id="rId519" xr:uid="{D429EFA8-7A1C-4132-92A6-09EADD62D8E5}"/>
    <hyperlink ref="C9449" r:id="rId520" xr:uid="{F50DCA4D-C526-4E10-A6B7-19158DBF3401}"/>
    <hyperlink ref="C9486" r:id="rId521" xr:uid="{3A1B9606-57F7-481E-8962-B50F3EE1A8AC}"/>
    <hyperlink ref="C9523" r:id="rId522" xr:uid="{6DFC1BBC-54F6-4A95-8FAD-18B4F258BD7E}"/>
    <hyperlink ref="C9559" r:id="rId523" xr:uid="{0A3AE820-A79F-4813-B40F-DB3175BF1724}"/>
    <hyperlink ref="C9595" r:id="rId524" xr:uid="{D9F054B9-EEB2-4032-93AA-CAC8D9B20CA2}"/>
    <hyperlink ref="C9629" r:id="rId525" xr:uid="{3E9C7633-C464-4787-A3D6-A62C38273FC6}"/>
    <hyperlink ref="C9662" r:id="rId526" xr:uid="{851F205E-6CB4-429D-9166-A890951C0527}"/>
    <hyperlink ref="C9694" r:id="rId527" xr:uid="{8A2DD16C-21BC-44AB-A697-3E1486861913}"/>
    <hyperlink ref="C9726" r:id="rId528" xr:uid="{E60A97C6-61F8-4A73-9B88-9D23B8A7B51A}"/>
    <hyperlink ref="C9755" r:id="rId529" xr:uid="{749B584A-D43E-4EE1-80FF-88E9B4F4A25E}"/>
    <hyperlink ref="C9784" r:id="rId530" xr:uid="{A6D77FCC-75CE-4636-B65F-0A5F7CFC8B33}"/>
    <hyperlink ref="C9813" r:id="rId531" xr:uid="{35240F3D-083A-429F-A407-7742398E6EAB}"/>
    <hyperlink ref="C9842" r:id="rId532" xr:uid="{6C9F0889-4302-4D64-A137-35B23707BA61}"/>
    <hyperlink ref="C9871" r:id="rId533" xr:uid="{311D2737-84A8-4AD5-9A7C-B4F7A6DBE6A8}"/>
    <hyperlink ref="C9900" r:id="rId534" xr:uid="{7D37619F-2883-492A-8D02-FD422045FF2A}"/>
    <hyperlink ref="C9929" r:id="rId535" xr:uid="{C86E0E97-10EB-41FC-A331-7158A0156061}"/>
    <hyperlink ref="C9958" r:id="rId536" xr:uid="{7F448B7B-5298-48D8-9F5D-D9D0028D51D4}"/>
    <hyperlink ref="C9987" r:id="rId537" xr:uid="{17A43D29-1CE7-48DB-B821-3063AA45F225}"/>
    <hyperlink ref="C10016" r:id="rId538" xr:uid="{31D32E4D-195A-45AA-AA73-B563DF4B08A3}"/>
    <hyperlink ref="C10045" r:id="rId539" xr:uid="{06CAA7A7-54D3-4BD6-B011-9CC99F018963}"/>
    <hyperlink ref="C10073" r:id="rId540" xr:uid="{6ACB9AA5-3D83-4896-ABCB-23935B3CB31A}"/>
    <hyperlink ref="C10100" r:id="rId541" xr:uid="{ED82C101-848B-446A-9053-A0D435C605F8}"/>
    <hyperlink ref="C10126" r:id="rId542" xr:uid="{519D7E83-33D4-416B-97F4-86C5A5F59261}"/>
    <hyperlink ref="C10149" r:id="rId543" xr:uid="{1486F780-5260-48E6-A97A-C3D7AAC16EB8}"/>
    <hyperlink ref="C565" r:id="rId544" xr:uid="{7F3F5735-FA94-4D16-B434-95675C882F5A}"/>
    <hyperlink ref="C1914" r:id="rId545" xr:uid="{42DA75B0-22F0-433A-BADC-3B1E1DAB3175}"/>
    <hyperlink ref="C3193" r:id="rId546" xr:uid="{C8173742-0CAA-4005-9B14-E25C97978291}"/>
    <hyperlink ref="C4579" r:id="rId547" xr:uid="{57743B8A-B648-4571-9BD5-FF8D2DC59C42}"/>
    <hyperlink ref="C5954" r:id="rId548" xr:uid="{E3E23B97-292F-4D19-B02B-34DBE0AF9179}"/>
    <hyperlink ref="C6872" r:id="rId549" xr:uid="{7786B2BD-E870-4A4B-92DA-56A1E75D2CB8}"/>
    <hyperlink ref="C7417" r:id="rId550" xr:uid="{F562A35D-C8F8-4EA8-9830-213363675261}"/>
    <hyperlink ref="C7691" r:id="rId551" xr:uid="{3E7795CF-9F93-46D6-8DA0-843CA52571D5}"/>
    <hyperlink ref="C7813" r:id="rId552" xr:uid="{6B879F4C-FCA1-4F1B-84E6-79E5B5118164}"/>
    <hyperlink ref="C7910" r:id="rId553" xr:uid="{4242774A-A705-4E1A-828D-DC64B4BA9C5C}"/>
    <hyperlink ref="C7990" r:id="rId554" xr:uid="{C36E1F38-C005-4F85-A989-5561EBECF4A8}"/>
    <hyperlink ref="C8056" r:id="rId555" xr:uid="{583343AF-FBF1-4238-9867-F05A574982A8}"/>
    <hyperlink ref="C8121" r:id="rId556" xr:uid="{4BA9730E-A6AD-4ACA-AC8C-8E49F8B8C48A}"/>
    <hyperlink ref="C8184" r:id="rId557" xr:uid="{EFF7B038-E8C0-4CDB-85FB-8F005356F688}"/>
    <hyperlink ref="C8248" r:id="rId558" xr:uid="{9903027B-E1ED-4121-91A3-0159CFB61573}"/>
    <hyperlink ref="C8308" r:id="rId559" xr:uid="{D5AEF50C-5745-4A2B-A3A7-D9C41005BC61}"/>
    <hyperlink ref="C8364" r:id="rId560" xr:uid="{1AC42E37-51E1-4AF2-BDE9-9A34AEDFFD6A}"/>
    <hyperlink ref="C8420" r:id="rId561" xr:uid="{017CB282-A1E5-4238-8BAF-C22B7ACC27EB}"/>
    <hyperlink ref="C8476" r:id="rId562" xr:uid="{F05A4300-105A-493E-A219-F6093A7693F6}"/>
    <hyperlink ref="C8532" r:id="rId563" xr:uid="{71CC1036-29A4-4B5D-97AF-9BE5E90C5308}"/>
    <hyperlink ref="C8588" r:id="rId564" xr:uid="{0B8C998A-5E0F-46F8-947B-D521AE212176}"/>
    <hyperlink ref="C8644" r:id="rId565" xr:uid="{1BFD4F4E-700F-423F-B5BF-6445795E4D1E}"/>
    <hyperlink ref="C8699" r:id="rId566" xr:uid="{16F93119-A1FB-4014-94AC-DD432BAE51D0}"/>
    <hyperlink ref="C8753" r:id="rId567" xr:uid="{C9059546-4999-4F84-B833-49317EB7EBBB}"/>
    <hyperlink ref="C8806" r:id="rId568" xr:uid="{BC8D3C43-1417-454D-83C5-F1BBFB2577BA}"/>
    <hyperlink ref="C8856" r:id="rId569" xr:uid="{5570CEA3-B35B-4228-B4E0-D5A72BC432AB}"/>
    <hyperlink ref="C8904" r:id="rId570" xr:uid="{65C4AB08-AACD-479D-9CBD-10C501B17DD4}"/>
    <hyperlink ref="C8951" r:id="rId571" xr:uid="{04D61F56-BEEC-41D3-AEC2-93EB0014D9C0}"/>
    <hyperlink ref="C8998" r:id="rId572" xr:uid="{99E9DC03-2967-45DE-9CBA-D80F958925E0}"/>
    <hyperlink ref="C9044" r:id="rId573" xr:uid="{43A15715-4EDB-45EA-9803-E07249828761}"/>
    <hyperlink ref="C9089" r:id="rId574" xr:uid="{76615A57-D5DB-447C-85C7-EA541F06F406}"/>
    <hyperlink ref="C9134" r:id="rId575" xr:uid="{005B60EA-4360-4308-A6A1-3834EAA54781}"/>
    <hyperlink ref="C9179" r:id="rId576" xr:uid="{B4CACF61-4459-4797-83A4-4D1610EAAC9D}"/>
    <hyperlink ref="C9224" r:id="rId577" xr:uid="{A508186B-93AD-4552-B379-AAA92BC31A17}"/>
    <hyperlink ref="C9269" r:id="rId578" xr:uid="{59F0CB76-0E98-4006-B807-59AA8C5501C4}"/>
    <hyperlink ref="C9313" r:id="rId579" xr:uid="{45824F75-3D97-47C0-81A4-7FC38BB6D949}"/>
    <hyperlink ref="C9357" r:id="rId580" xr:uid="{26466537-0C70-4360-B04A-907AFE129DD9}"/>
    <hyperlink ref="C9401" r:id="rId581" xr:uid="{96DC5316-15E9-4FBE-91BE-E6915D2FB9F0}"/>
    <hyperlink ref="C9444" r:id="rId582" xr:uid="{5BF917DE-3076-4C9F-817B-2E8E2164E071}"/>
    <hyperlink ref="C9481" r:id="rId583" xr:uid="{97614314-757D-4497-8B8E-D7547E8856A3}"/>
    <hyperlink ref="C9518" r:id="rId584" xr:uid="{CDE4BB4C-DFDF-46FC-970A-7DFF350D5E8B}"/>
    <hyperlink ref="C9554" r:id="rId585" xr:uid="{E16548EF-EAA3-4730-B06F-704F66B13E90}"/>
    <hyperlink ref="C9590" r:id="rId586" xr:uid="{D4E478E4-BD62-408A-AE23-C357891EF535}"/>
    <hyperlink ref="C9624" r:id="rId587" xr:uid="{90688B70-253C-40BE-94C8-FFF8F855813A}"/>
    <hyperlink ref="C9657" r:id="rId588" xr:uid="{BA368E22-C111-4B19-8FE3-0ABBFF5C8FC1}"/>
    <hyperlink ref="C9689" r:id="rId589" xr:uid="{5458D22D-F009-4F9A-9EEC-03ED942D6863}"/>
    <hyperlink ref="C9721" r:id="rId590" xr:uid="{2A191C6C-06BA-4AC9-A4C8-643E6096D4C9}"/>
    <hyperlink ref="C9750" r:id="rId591" xr:uid="{7CE4131A-2762-417F-B4EF-893521742585}"/>
    <hyperlink ref="C9779" r:id="rId592" xr:uid="{567200D2-7522-4C33-AC64-07F9896A5D61}"/>
    <hyperlink ref="C9808" r:id="rId593" xr:uid="{675D36AC-AC90-4C6D-A697-B53A3B56F8AD}"/>
    <hyperlink ref="C9837" r:id="rId594" xr:uid="{B1F92D42-D4F2-4CBF-A78E-2F6FB325B93E}"/>
    <hyperlink ref="C9866" r:id="rId595" xr:uid="{D810496F-4C25-4EA5-A00F-2AFACADD917B}"/>
    <hyperlink ref="C9895" r:id="rId596" xr:uid="{C664FEF5-43EF-41E9-B548-3E52444345C4}"/>
    <hyperlink ref="C9924" r:id="rId597" xr:uid="{3A5490E1-7B13-4A4D-84C6-E5EB08DF006C}"/>
    <hyperlink ref="C9953" r:id="rId598" xr:uid="{B14D7D07-B8C2-4787-9509-AB57CA5CB1EF}"/>
    <hyperlink ref="C9982" r:id="rId599" xr:uid="{6AB1583E-F733-42C6-9212-63469C154360}"/>
    <hyperlink ref="C10011" r:id="rId600" xr:uid="{CABD75A7-38CE-4302-832C-8339C9B9623C}"/>
    <hyperlink ref="C10040" r:id="rId601" xr:uid="{062E8A1B-3955-4B44-8AAA-4C2D5A013A25}"/>
    <hyperlink ref="C569" r:id="rId602" xr:uid="{3294F52C-731F-4783-85EA-551F2B32EB57}"/>
    <hyperlink ref="C1918" r:id="rId603" xr:uid="{79599343-F02B-4D32-BA5A-373FBEFA1D6F}"/>
    <hyperlink ref="C3197" r:id="rId604" xr:uid="{F018ADEA-1DBC-468B-926D-15B576EDD936}"/>
    <hyperlink ref="C4583" r:id="rId605" xr:uid="{A6CF3B61-5225-439C-A934-11979FD7B32D}"/>
    <hyperlink ref="C5958" r:id="rId606" xr:uid="{C6C318A8-4CA9-4D27-B741-601682ECB721}"/>
    <hyperlink ref="C6876" r:id="rId607" xr:uid="{7ACD1B5A-0DFF-49E4-92A4-592D772B38EA}"/>
    <hyperlink ref="C7421" r:id="rId608" xr:uid="{91B58FCB-060D-4E5E-AA74-414A2B739331}"/>
    <hyperlink ref="C7695" r:id="rId609" xr:uid="{9C57AF24-84A6-484D-9669-3E2C700B335A}"/>
    <hyperlink ref="C7817" r:id="rId610" xr:uid="{9919CBA2-77BC-4FA0-8DAF-0A7A16FDD00F}"/>
    <hyperlink ref="C7914" r:id="rId611" xr:uid="{4C8BB318-A059-4149-B663-6F5AB9BF4426}"/>
    <hyperlink ref="C7994" r:id="rId612" xr:uid="{FEDDCD0A-9166-4D9A-B51A-2E5DF3B7D148}"/>
    <hyperlink ref="C8060" r:id="rId613" xr:uid="{F7CCCCE7-EC27-4C92-B4B3-B8E20609EE17}"/>
    <hyperlink ref="C8125" r:id="rId614" xr:uid="{B6E0511A-E420-4B4F-9802-7C8FEF289FA2}"/>
    <hyperlink ref="C8188" r:id="rId615" xr:uid="{146F62B3-130A-425F-9111-DA289A3AB72F}"/>
    <hyperlink ref="C8252" r:id="rId616" xr:uid="{B28E17C8-EC51-4137-835D-AC10ACA6BF82}"/>
    <hyperlink ref="C8312" r:id="rId617" xr:uid="{FF4EFB41-EE82-4578-8298-E5275AF9D6F3}"/>
    <hyperlink ref="C8368" r:id="rId618" xr:uid="{45BDAB0B-9938-4FD3-A364-9CB37707DD6B}"/>
    <hyperlink ref="C8424" r:id="rId619" xr:uid="{EF06ABA1-C439-4082-A36E-D91127BEDE7A}"/>
    <hyperlink ref="C8480" r:id="rId620" xr:uid="{C2ED3136-65A4-4C3F-9A85-D978E40F84B2}"/>
    <hyperlink ref="C8536" r:id="rId621" xr:uid="{365610FF-6552-4F88-A2E9-736420E7A8EB}"/>
    <hyperlink ref="C8592" r:id="rId622" xr:uid="{305A03FF-4BD8-4CB3-A4CB-922F2CE306C0}"/>
    <hyperlink ref="C8648" r:id="rId623" xr:uid="{2CED4E00-C89D-4099-8319-B87D10748DF4}"/>
    <hyperlink ref="C8703" r:id="rId624" xr:uid="{16A2AF88-ABC8-4602-A1FB-5659BC868E4E}"/>
    <hyperlink ref="C8757" r:id="rId625" xr:uid="{C8D080DB-15CB-4445-AC4D-E2F4844FED97}"/>
    <hyperlink ref="C8810" r:id="rId626" xr:uid="{461AA842-6BA3-45E7-B794-929F2CC24916}"/>
    <hyperlink ref="C8860" r:id="rId627" xr:uid="{BE0F9508-289D-486B-93E2-4E2ED15141F3}"/>
    <hyperlink ref="C8908" r:id="rId628" xr:uid="{85E9F992-80A9-41DE-BA0F-01AD0EAD1167}"/>
    <hyperlink ref="C8955" r:id="rId629" xr:uid="{CE16910C-B40F-4F5C-A9E3-F9EF28260A2B}"/>
    <hyperlink ref="C9002" r:id="rId630" xr:uid="{98689979-80EA-4E25-AFFB-EAC273A0D15D}"/>
    <hyperlink ref="C9048" r:id="rId631" xr:uid="{4F6782AC-2620-4616-AF04-EFC90BC46742}"/>
    <hyperlink ref="C9093" r:id="rId632" xr:uid="{F99AB295-3C18-43E2-8AD2-30DDDEAAF40A}"/>
    <hyperlink ref="C9138" r:id="rId633" xr:uid="{222EC451-D152-4CCD-8371-0BB1D4A62E3E}"/>
    <hyperlink ref="C9183" r:id="rId634" xr:uid="{D1939C7E-DCAF-486F-B2F2-7824CF723871}"/>
    <hyperlink ref="C9228" r:id="rId635" xr:uid="{65B445FC-576C-4D49-9D94-8133D601F28E}"/>
    <hyperlink ref="C9273" r:id="rId636" xr:uid="{622598CF-C8BD-4117-ABAB-B1FDF8455BCB}"/>
    <hyperlink ref="C9317" r:id="rId637" xr:uid="{D7CBCD46-44FE-41F0-A75A-C41F3308DD86}"/>
    <hyperlink ref="C9361" r:id="rId638" xr:uid="{FFB43250-B97F-4107-98E3-D396EA3F5379}"/>
    <hyperlink ref="C9405" r:id="rId639" xr:uid="{E02E0F9D-44A2-49EB-B524-92E053C56CD2}"/>
    <hyperlink ref="C9448" r:id="rId640" xr:uid="{2BBC1503-B3CA-462B-9491-0B450748CED1}"/>
    <hyperlink ref="C9485" r:id="rId641" xr:uid="{BBF3E31B-3D13-4C21-A5C2-A153EDEED79C}"/>
    <hyperlink ref="C9522" r:id="rId642" xr:uid="{A7784578-650B-473E-B51F-29A8CC5C0416}"/>
    <hyperlink ref="C9558" r:id="rId643" xr:uid="{0CEB6C07-4E95-475D-8285-ABD0E0CAA094}"/>
    <hyperlink ref="C9594" r:id="rId644" xr:uid="{5FE0D9E0-4170-4F89-A635-FB8E529E7E78}"/>
    <hyperlink ref="C9628" r:id="rId645" xr:uid="{E95122AC-2DCE-45C3-A571-99B35BCAC629}"/>
    <hyperlink ref="C9661" r:id="rId646" xr:uid="{39DC2D0F-8B0A-4420-8278-9CF82D10A1C0}"/>
    <hyperlink ref="C9693" r:id="rId647" xr:uid="{17D8452D-3D7B-4B6F-BFE4-F5D98B0520C4}"/>
    <hyperlink ref="C9725" r:id="rId648" xr:uid="{CFA6B338-2A69-4334-9C28-8EE52FD028BA}"/>
    <hyperlink ref="C9754" r:id="rId649" xr:uid="{20EF6D19-0300-4A5B-805C-9683718D6EA8}"/>
    <hyperlink ref="C9783" r:id="rId650" xr:uid="{CD038AFD-4FB9-46D6-A3A3-71A51BE37439}"/>
    <hyperlink ref="C9812" r:id="rId651" xr:uid="{042DB00F-F975-4D5B-98A7-535D4CE5A4C0}"/>
    <hyperlink ref="C9841" r:id="rId652" xr:uid="{24A7FE88-CACB-4717-AD54-D9B858A19CB7}"/>
    <hyperlink ref="C9870" r:id="rId653" xr:uid="{C5300F84-B612-47D1-BBA4-649ED208E3FB}"/>
    <hyperlink ref="C9899" r:id="rId654" xr:uid="{BB533341-5CC3-42EE-97C6-314D5D870773}"/>
    <hyperlink ref="C9928" r:id="rId655" xr:uid="{AD58D543-CE94-4FBB-A437-1249471FC846}"/>
    <hyperlink ref="C9957" r:id="rId656" xr:uid="{E94B3BE2-5C2F-433F-8DB6-6958B17B2210}"/>
    <hyperlink ref="C9986" r:id="rId657" xr:uid="{6A886653-3438-4317-993E-F1A46BC78758}"/>
    <hyperlink ref="C10015" r:id="rId658" xr:uid="{C98FF864-7DF5-4A3B-BDBD-7D32DB1CF087}"/>
    <hyperlink ref="C10044" r:id="rId659" xr:uid="{5BF9139B-3D27-4FF4-B480-FA3702347F3B}"/>
    <hyperlink ref="C10072" r:id="rId660" xr:uid="{FEC82FA3-AACE-4BCB-971E-E23BA5B594D5}"/>
    <hyperlink ref="C10099" r:id="rId661" xr:uid="{C5971830-03B9-451C-84D5-9657954CE8D8}"/>
    <hyperlink ref="C10125" r:id="rId662" xr:uid="{6A4266EB-A86F-42DF-BD96-7C4C2834CDBC}"/>
    <hyperlink ref="C10148" r:id="rId663" xr:uid="{8D677A8E-470C-406E-849C-DCDEC9B7F06C}"/>
    <hyperlink ref="C568" r:id="rId664" xr:uid="{B748FE7D-EB73-4C60-AC22-81B264F8B5F8}"/>
    <hyperlink ref="C1917" r:id="rId665" xr:uid="{5AE8F99D-F651-4FC1-9D96-58BB2BA0786E}"/>
    <hyperlink ref="C3196" r:id="rId666" xr:uid="{CD6157F0-FD26-4BC6-BCA6-99CCDFAEC6B7}"/>
    <hyperlink ref="C4582" r:id="rId667" xr:uid="{7CE82269-8E43-4317-8533-7AA3DBB069CF}"/>
    <hyperlink ref="C5957" r:id="rId668" xr:uid="{7A0477D3-6266-4276-9037-EBC620EDF914}"/>
    <hyperlink ref="C6875" r:id="rId669" xr:uid="{651003C4-0837-4D72-82E9-0D65656F163F}"/>
    <hyperlink ref="C7420" r:id="rId670" xr:uid="{A1134F24-2DAE-4382-BCE2-2109641BBAFE}"/>
    <hyperlink ref="C7694" r:id="rId671" xr:uid="{4FB397A9-C48B-4B67-A080-E72027F48418}"/>
    <hyperlink ref="C7816" r:id="rId672" xr:uid="{05ADABCD-798B-46CC-B304-700BFB9DE954}"/>
    <hyperlink ref="C7913" r:id="rId673" xr:uid="{86F32C6E-53F3-4376-911F-FDE4E6BEB7A8}"/>
    <hyperlink ref="C7993" r:id="rId674" xr:uid="{347BC81C-97A6-4EB6-AAC1-813253FEB933}"/>
    <hyperlink ref="C8059" r:id="rId675" xr:uid="{AF7094D4-3DB9-4299-98BD-51F59BFC1550}"/>
    <hyperlink ref="C8124" r:id="rId676" xr:uid="{B265BA04-B99C-4BF6-91F5-B2E6831EFEC9}"/>
    <hyperlink ref="C8187" r:id="rId677" xr:uid="{011EE053-6A18-434F-872F-0A44105D4C18}"/>
    <hyperlink ref="C8251" r:id="rId678" xr:uid="{4BB19750-790F-434F-9E9B-B13562F5DBB4}"/>
    <hyperlink ref="C8311" r:id="rId679" xr:uid="{23D18E54-5BF3-4F7A-9AFA-DBDA2AB40CFD}"/>
    <hyperlink ref="C8367" r:id="rId680" xr:uid="{87EA3F13-6A10-4B55-8059-A505292D36FD}"/>
    <hyperlink ref="C8423" r:id="rId681" xr:uid="{803EB5F3-9724-4B5F-B1DD-FB631F6506B0}"/>
    <hyperlink ref="C8479" r:id="rId682" xr:uid="{F4CE8718-10D7-47AB-A0EB-B4713D7AE74C}"/>
    <hyperlink ref="C8535" r:id="rId683" xr:uid="{940450B1-2949-4D5A-B139-61873867C1F2}"/>
    <hyperlink ref="C8591" r:id="rId684" xr:uid="{81F61CC5-C534-4320-84E5-31A2D5ED31D1}"/>
    <hyperlink ref="C8647" r:id="rId685" xr:uid="{1B114702-3667-4440-88D6-0140E88B8642}"/>
    <hyperlink ref="C8702" r:id="rId686" xr:uid="{AF02AA1A-BFF5-4B5B-BE8A-6148B71F7370}"/>
    <hyperlink ref="C8756" r:id="rId687" xr:uid="{1B38707C-E0DC-4087-A3B7-4E6DF7957D1B}"/>
    <hyperlink ref="C8809" r:id="rId688" xr:uid="{6DB61333-17F9-4DC8-AB07-1551E46E0AD6}"/>
    <hyperlink ref="C8859" r:id="rId689" xr:uid="{450AFDA8-8953-49B4-9003-671DA7BC3CD5}"/>
    <hyperlink ref="C8907" r:id="rId690" xr:uid="{0F7169EE-6723-4CE9-9FB1-4E639F8D20AD}"/>
    <hyperlink ref="C8954" r:id="rId691" xr:uid="{89F75238-C0C1-4229-B261-DED0D8E81CA5}"/>
    <hyperlink ref="C9001" r:id="rId692" xr:uid="{C6AAACA0-3A42-4C8F-8927-A3554653652D}"/>
    <hyperlink ref="C9047" r:id="rId693" xr:uid="{42A78DC1-866D-4649-BC6A-B1BC7EE6D984}"/>
    <hyperlink ref="C9092" r:id="rId694" xr:uid="{5F2C589F-C459-4B87-9126-AD5FF4A9DE13}"/>
    <hyperlink ref="C9137" r:id="rId695" xr:uid="{D1B2C1EB-9B2E-4365-A5D4-02C392555CB6}"/>
    <hyperlink ref="C9182" r:id="rId696" xr:uid="{DADF7850-9C92-4A30-AFEB-6CCEEDEEA27A}"/>
    <hyperlink ref="C9227" r:id="rId697" xr:uid="{04EA35ED-C256-4264-97B4-7DDE9C0978BD}"/>
    <hyperlink ref="C9272" r:id="rId698" xr:uid="{3847CA42-93FC-498F-80EA-0CEFBDE54021}"/>
    <hyperlink ref="C9316" r:id="rId699" xr:uid="{E149C15A-6ADC-444C-B0B3-B8F1D0579697}"/>
    <hyperlink ref="C9360" r:id="rId700" xr:uid="{6EEE9568-71B9-4F20-98DF-00D155FD0619}"/>
    <hyperlink ref="C9404" r:id="rId701" xr:uid="{21BE1E9B-49E8-4935-99B8-CDAB42658BCE}"/>
    <hyperlink ref="C9447" r:id="rId702" xr:uid="{870BE92B-117F-4F5C-9DBC-B73470DAEE7E}"/>
    <hyperlink ref="C9484" r:id="rId703" xr:uid="{1ACB4508-84C6-44D2-AB3D-4D3E154574DC}"/>
    <hyperlink ref="C9521" r:id="rId704" xr:uid="{1E6E93E9-77BE-4EE1-972B-1758FE817F4B}"/>
    <hyperlink ref="C9557" r:id="rId705" xr:uid="{A573E82A-B855-4AC9-999F-B07453B9D9BE}"/>
    <hyperlink ref="C9593" r:id="rId706" xr:uid="{1860E213-5CD5-4D18-B270-EF9CAAEF4A78}"/>
    <hyperlink ref="C9627" r:id="rId707" xr:uid="{F784B945-595A-4764-BA33-98CCD72FBAAE}"/>
    <hyperlink ref="C9660" r:id="rId708" xr:uid="{66D809BD-FAC7-4EF4-9326-AD27752AB12B}"/>
    <hyperlink ref="C9692" r:id="rId709" xr:uid="{213063C7-791B-4E62-AB6B-7BEB6123A40B}"/>
    <hyperlink ref="C9724" r:id="rId710" xr:uid="{5DC4CC87-7CC4-47E5-89C5-EFCDC3027B0D}"/>
    <hyperlink ref="C9753" r:id="rId711" xr:uid="{B45FAA5D-02F9-4447-820E-57FBA97CE41D}"/>
    <hyperlink ref="C9782" r:id="rId712" xr:uid="{16035D6E-6ACD-4A3D-A060-7B70CEFE5BF7}"/>
    <hyperlink ref="C9811" r:id="rId713" xr:uid="{7CF2BEFC-DBFC-4041-8AE5-5A01304A11D0}"/>
    <hyperlink ref="C9840" r:id="rId714" xr:uid="{B0EE5C23-B67B-487F-BEB0-3A17140E74DC}"/>
    <hyperlink ref="C9869" r:id="rId715" xr:uid="{C26EBFEA-5C96-4633-A4F1-E33B3E0A21E8}"/>
    <hyperlink ref="C9898" r:id="rId716" xr:uid="{AFF400E8-5F8A-44A6-A7D4-E573E79B1B87}"/>
    <hyperlink ref="C9927" r:id="rId717" xr:uid="{A723BF05-D261-4669-9069-ADAA2130479D}"/>
    <hyperlink ref="C9956" r:id="rId718" xr:uid="{B47FB3B3-D936-4C4B-A101-B6C317786C84}"/>
    <hyperlink ref="C9985" r:id="rId719" xr:uid="{297ECA2D-6D4F-4441-A4B7-F45028097A6B}"/>
    <hyperlink ref="C10014" r:id="rId720" xr:uid="{E7A2B87C-A7DE-491D-AF1D-83F36F475822}"/>
    <hyperlink ref="C10043" r:id="rId721" xr:uid="{4F707D28-8C77-46A7-A95A-E071CBCCF347}"/>
    <hyperlink ref="C10071" r:id="rId722" xr:uid="{ACDDBD14-4E42-46EA-B1A5-E41A26B35629}"/>
    <hyperlink ref="C10098" r:id="rId723" xr:uid="{78D3294C-624C-4A55-93DE-54DA1CE7F540}"/>
    <hyperlink ref="C10124" r:id="rId724" xr:uid="{5F390A6A-EC17-4A06-9BBE-C7622D0A512A}"/>
    <hyperlink ref="C566" r:id="rId725" xr:uid="{D4FD9EB6-61C9-4206-9C69-5F00A12C477A}"/>
    <hyperlink ref="C1915" r:id="rId726" xr:uid="{86209627-AFAD-4C64-B175-9161ED587F6F}"/>
    <hyperlink ref="C3194" r:id="rId727" xr:uid="{6B79D23D-14A5-48CB-AD8E-E76ABAC90174}"/>
    <hyperlink ref="C4580" r:id="rId728" xr:uid="{70F061AD-A629-45DC-82C5-88C2888A9134}"/>
    <hyperlink ref="C5955" r:id="rId729" xr:uid="{C59B2F8F-AC67-4590-9846-298A2DCD9DDF}"/>
    <hyperlink ref="C6873" r:id="rId730" xr:uid="{68DC709D-55E6-48F1-90D3-B3E2F94E8250}"/>
    <hyperlink ref="C7418" r:id="rId731" xr:uid="{E3B7ED50-944A-4D96-8BA8-8BA78E52649D}"/>
    <hyperlink ref="C7692" r:id="rId732" xr:uid="{B4917CC0-46C4-49C7-BB82-A147255F1B3B}"/>
    <hyperlink ref="C7814" r:id="rId733" xr:uid="{7D1B81C4-9921-4DBF-B8E0-4E308391A95F}"/>
    <hyperlink ref="C7911" r:id="rId734" xr:uid="{E92F9E16-F499-4B97-8EED-7242EC83D9CC}"/>
    <hyperlink ref="C7991" r:id="rId735" xr:uid="{50BF43A8-2417-4183-A8C7-D587CA1289D6}"/>
    <hyperlink ref="C8057" r:id="rId736" xr:uid="{3FAE664C-D1C1-4E3A-8E01-7B512A66C2B7}"/>
    <hyperlink ref="C8122" r:id="rId737" xr:uid="{CC873CEB-24D4-42BA-A557-2831A293D490}"/>
    <hyperlink ref="C8185" r:id="rId738" xr:uid="{E6963F47-372E-42F3-A561-3E0C79C545A4}"/>
    <hyperlink ref="C8249" r:id="rId739" xr:uid="{A24B6835-A3AB-4F97-AF3B-9CA163DBD4C2}"/>
    <hyperlink ref="C8309" r:id="rId740" xr:uid="{BFB1D182-7E1A-4D7B-A6BF-61242EC0BC34}"/>
    <hyperlink ref="C8365" r:id="rId741" xr:uid="{1D833A2E-B22F-49D8-9001-0981562E2B9C}"/>
    <hyperlink ref="C8421" r:id="rId742" xr:uid="{D9FC0D24-570E-4D73-92BB-AB611B2279A5}"/>
    <hyperlink ref="C8477" r:id="rId743" xr:uid="{9F7987F3-C743-43B5-B83F-91768AAA3706}"/>
    <hyperlink ref="C8533" r:id="rId744" xr:uid="{03D7A164-C35F-4314-B95B-F3665EC83113}"/>
    <hyperlink ref="C8589" r:id="rId745" xr:uid="{10337B3B-348E-4E60-B4FC-D0FA6143130E}"/>
    <hyperlink ref="C8645" r:id="rId746" xr:uid="{C77E39AD-3496-4B71-85D9-906DA43BA862}"/>
    <hyperlink ref="C8700" r:id="rId747" xr:uid="{FE4F3324-10EF-479D-99E7-47299D224782}"/>
    <hyperlink ref="C8754" r:id="rId748" xr:uid="{2FC69EAB-E7FB-4985-84FE-48F7B1869036}"/>
    <hyperlink ref="C8807" r:id="rId749" xr:uid="{464242FE-3D0B-42F3-BC37-29E7B229F66F}"/>
    <hyperlink ref="C8857" r:id="rId750" xr:uid="{385E69A2-B635-46CA-AB02-B43A0332F377}"/>
    <hyperlink ref="C8905" r:id="rId751" xr:uid="{67CD6AC9-C14C-4706-90CD-37E77A977E14}"/>
    <hyperlink ref="C8952" r:id="rId752" xr:uid="{6EA57730-70D7-43C0-823F-FFC34E0E829D}"/>
    <hyperlink ref="C8999" r:id="rId753" xr:uid="{D129A455-0D05-4ACD-BDA9-B4106484FEBD}"/>
    <hyperlink ref="C9045" r:id="rId754" xr:uid="{3D0C929A-E328-48CC-876E-5AF601717DE0}"/>
    <hyperlink ref="C9090" r:id="rId755" xr:uid="{3CD7B146-F60D-4559-A83F-473AB53976B0}"/>
    <hyperlink ref="C9135" r:id="rId756" xr:uid="{F9059DE5-B6FA-4BE7-980F-87D237B5AB0B}"/>
    <hyperlink ref="C9180" r:id="rId757" xr:uid="{61311045-CB6D-452B-B003-A1BC7F7565DE}"/>
    <hyperlink ref="C9225" r:id="rId758" xr:uid="{C65707E8-CD7E-4F5F-997E-6AA4FABBEF32}"/>
    <hyperlink ref="C9270" r:id="rId759" xr:uid="{1D008D08-EA4C-4281-929C-A745346025AD}"/>
    <hyperlink ref="C9314" r:id="rId760" xr:uid="{50B82E8F-BC44-4D01-A947-025D6DD651A8}"/>
    <hyperlink ref="C9358" r:id="rId761" xr:uid="{D733D23F-86A7-474E-B051-BF8150A64379}"/>
    <hyperlink ref="C9402" r:id="rId762" xr:uid="{41CB3D82-3FB8-4BCF-9728-6BEB944E06E5}"/>
    <hyperlink ref="C9445" r:id="rId763" xr:uid="{2ACA4A77-8F28-45FA-B474-D1660C6E5A87}"/>
    <hyperlink ref="C9482" r:id="rId764" xr:uid="{DBADB005-183F-4D9B-A443-BAA6D14118F4}"/>
    <hyperlink ref="C9519" r:id="rId765" xr:uid="{3174FF16-8C99-4150-B7F8-C7C22E88BD15}"/>
    <hyperlink ref="C9555" r:id="rId766" xr:uid="{5A7FC80A-4212-4C6F-9381-4A580DB0377A}"/>
    <hyperlink ref="C9591" r:id="rId767" xr:uid="{3A451950-6402-4BD4-B6C1-8611C9FEDD07}"/>
    <hyperlink ref="C9625" r:id="rId768" xr:uid="{0C442306-35E5-42C6-8F59-E9A911F13AA3}"/>
    <hyperlink ref="C9658" r:id="rId769" xr:uid="{DC36F352-74EA-4E41-810B-B4368CAACC39}"/>
    <hyperlink ref="C9690" r:id="rId770" xr:uid="{D919FA36-5A83-44C4-973A-E7269AD146D7}"/>
    <hyperlink ref="C9722" r:id="rId771" xr:uid="{B200BBBB-92E4-4F20-80D7-E2757909CA7D}"/>
    <hyperlink ref="C9751" r:id="rId772" xr:uid="{3D1D2C83-9170-4325-99DE-21E0B05C760C}"/>
    <hyperlink ref="C9780" r:id="rId773" xr:uid="{85DD160B-7CD7-4A31-9099-590F41FC542C}"/>
    <hyperlink ref="C9809" r:id="rId774" xr:uid="{893DD042-11DA-44B4-836F-D1CCAA82082F}"/>
    <hyperlink ref="C9838" r:id="rId775" xr:uid="{0A99CEE6-A7B7-437A-AFE1-A5177CA259B7}"/>
    <hyperlink ref="C9867" r:id="rId776" xr:uid="{0D26540F-BD03-4835-94BF-D42CA37A17F1}"/>
    <hyperlink ref="C9896" r:id="rId777" xr:uid="{BA132481-C645-4424-B8A0-DC11951CE34F}"/>
    <hyperlink ref="C9925" r:id="rId778" xr:uid="{3A3DABA4-78E7-4B60-A3AC-E02E2C775343}"/>
    <hyperlink ref="C9954" r:id="rId779" xr:uid="{5A46E424-6F00-47DE-853B-2EF0EFCA6461}"/>
    <hyperlink ref="C9983" r:id="rId780" xr:uid="{CAF3B247-E887-459E-A427-E44683E455B1}"/>
    <hyperlink ref="C10012" r:id="rId781" xr:uid="{80CB82EA-2B07-4787-BCFE-0EAA3D0001FF}"/>
    <hyperlink ref="C10041" r:id="rId782" xr:uid="{6C798372-9680-4DEF-9841-C013B499370F}"/>
    <hyperlink ref="C10069" r:id="rId783" xr:uid="{224E7810-3D03-40AC-97EB-8F05677697C8}"/>
    <hyperlink ref="C567" r:id="rId784" xr:uid="{41594186-9582-47EB-A082-ED2D26EFD7DD}"/>
    <hyperlink ref="C1916" r:id="rId785" xr:uid="{5488DC49-D7EE-4959-8693-EEE9E9F4E04B}"/>
    <hyperlink ref="C3195" r:id="rId786" xr:uid="{564F899B-6139-469D-96E3-36A06FC1AE09}"/>
    <hyperlink ref="C4581" r:id="rId787" xr:uid="{ECF37CDA-0FF8-44DD-BCBD-D3B1FED9AAD4}"/>
    <hyperlink ref="C5956" r:id="rId788" xr:uid="{51FA665C-3D4D-4B4A-B648-8F2D4BF27D76}"/>
    <hyperlink ref="C6874" r:id="rId789" xr:uid="{B4D27542-95E7-4BEB-A406-61CBB49938EA}"/>
    <hyperlink ref="C7419" r:id="rId790" xr:uid="{DA88DCCA-31FD-41F8-AC22-3831B737BBD4}"/>
    <hyperlink ref="C7693" r:id="rId791" xr:uid="{D2FE23FE-4809-44E2-BF75-0CA45409E4AF}"/>
    <hyperlink ref="C7815" r:id="rId792" xr:uid="{4405BC92-65B3-486D-9F87-DDEFB74F2EC2}"/>
    <hyperlink ref="C7912" r:id="rId793" xr:uid="{297085F0-DCF8-4857-ADF9-6A056F0EFFAB}"/>
    <hyperlink ref="C7992" r:id="rId794" xr:uid="{84768DEC-4BA7-42D0-AAAA-8B733766199D}"/>
    <hyperlink ref="C8058" r:id="rId795" xr:uid="{F909F7C2-8285-4498-883C-7B32F1EF427B}"/>
    <hyperlink ref="C8123" r:id="rId796" xr:uid="{C95AD0BA-FFC6-44B7-A315-F1C2B3BB0115}"/>
    <hyperlink ref="C8186" r:id="rId797" xr:uid="{2A09FDE2-1106-4801-B927-EB09880708FB}"/>
    <hyperlink ref="C8250" r:id="rId798" xr:uid="{B0283CF5-62E7-4606-B5AC-E0F0BBD078D0}"/>
    <hyperlink ref="C8310" r:id="rId799" xr:uid="{A451CC34-14D0-4644-B123-C383E3DC1487}"/>
    <hyperlink ref="C8366" r:id="rId800" xr:uid="{DDA36B10-3EF3-4B01-83FB-92EBBB1A6A99}"/>
    <hyperlink ref="C8422" r:id="rId801" xr:uid="{271834BC-9F77-4DE0-8B47-E27E9ADADD93}"/>
    <hyperlink ref="C8478" r:id="rId802" xr:uid="{0C5BEF2C-1153-476C-97D7-AE9944C3B107}"/>
    <hyperlink ref="C8534" r:id="rId803" xr:uid="{86C4FAB3-21E2-43B5-9F95-AE1B9DFAF96F}"/>
    <hyperlink ref="C8590" r:id="rId804" xr:uid="{828B1B19-1442-44F3-9F3B-82973D132D3C}"/>
    <hyperlink ref="C8646" r:id="rId805" xr:uid="{D8B0557A-FCEC-40D9-8060-0D26605FE4D5}"/>
    <hyperlink ref="C8701" r:id="rId806" xr:uid="{C5EF44B9-96F0-483A-B249-0C5649D73DA0}"/>
    <hyperlink ref="C8755" r:id="rId807" xr:uid="{CD7F7942-0258-4390-A825-A73C0BFDF2B3}"/>
    <hyperlink ref="C8808" r:id="rId808" xr:uid="{B71F37EB-5669-480E-98F3-41D85FA89444}"/>
    <hyperlink ref="C8858" r:id="rId809" xr:uid="{DE05F481-8162-4EE1-975D-431EC4F1FC21}"/>
    <hyperlink ref="C8906" r:id="rId810" xr:uid="{E7937F47-2A68-4BAC-903F-70C92756AC2F}"/>
    <hyperlink ref="C8953" r:id="rId811" xr:uid="{3D4B357A-946A-41A2-BBE9-A093056587F2}"/>
    <hyperlink ref="C9000" r:id="rId812" xr:uid="{D1AD9A78-5410-45A0-A60C-194EBDDDC485}"/>
    <hyperlink ref="C9046" r:id="rId813" xr:uid="{3A821A58-EA8E-4AB1-AC83-F8C8C3664971}"/>
    <hyperlink ref="C9091" r:id="rId814" xr:uid="{4554B4AC-5C61-4648-89C0-32097B17CF6C}"/>
    <hyperlink ref="C9136" r:id="rId815" xr:uid="{1635F36B-8897-4C2E-82F1-F0FF9D8E0D48}"/>
    <hyperlink ref="C9181" r:id="rId816" xr:uid="{3565724F-08B3-4ACA-B741-A108BD55433E}"/>
    <hyperlink ref="C9226" r:id="rId817" xr:uid="{C3963DB0-44CE-4AE7-A794-68BB1D910448}"/>
    <hyperlink ref="C9271" r:id="rId818" xr:uid="{B78F68E6-1F5C-464C-9FED-48856DC1F33D}"/>
    <hyperlink ref="C9315" r:id="rId819" xr:uid="{C2FEA848-DE16-4006-B940-D3675CA31045}"/>
    <hyperlink ref="C9359" r:id="rId820" xr:uid="{51B917B8-8A2E-4A7F-AD73-0EB5DF8B548C}"/>
    <hyperlink ref="C9403" r:id="rId821" xr:uid="{1307BFBB-5B45-4F8F-B6C9-AA3BB8B7E3EF}"/>
    <hyperlink ref="C9446" r:id="rId822" xr:uid="{555B8C74-E4BD-4FA4-8D1B-3329BA859E82}"/>
    <hyperlink ref="C9483" r:id="rId823" xr:uid="{B99FCB12-E9BB-4EBF-A4B0-009BBA8FA165}"/>
    <hyperlink ref="C9520" r:id="rId824" xr:uid="{AC16CE82-D02F-4FFE-BCAF-FEC8B8278375}"/>
    <hyperlink ref="C9556" r:id="rId825" xr:uid="{EA9148E6-C079-46B3-840F-3E4F6772A94F}"/>
    <hyperlink ref="C9592" r:id="rId826" xr:uid="{17661236-3F4F-4DD8-9BF5-4CD8B608FB18}"/>
    <hyperlink ref="C9626" r:id="rId827" xr:uid="{447C7174-4497-40BB-B838-097D63B1EC7F}"/>
    <hyperlink ref="C9659" r:id="rId828" xr:uid="{9CB6CC5D-D311-4BA4-86EF-86CB67C95160}"/>
    <hyperlink ref="C9691" r:id="rId829" xr:uid="{D3CD1FA9-5627-4E7F-B592-70CC00C3DE66}"/>
    <hyperlink ref="C9723" r:id="rId830" xr:uid="{92A8DCB2-77B6-49D8-9F94-67FBB9378052}"/>
    <hyperlink ref="C9752" r:id="rId831" xr:uid="{81D25272-D140-44C9-9305-0996C5D1FCEA}"/>
    <hyperlink ref="C9781" r:id="rId832" xr:uid="{588BC8EF-8B79-441E-BA3F-5BC92C6B815D}"/>
    <hyperlink ref="C9810" r:id="rId833" xr:uid="{36A144D3-3A8E-48F9-8E5C-928B7E31ED1B}"/>
    <hyperlink ref="C9839" r:id="rId834" xr:uid="{B51CC7ED-E3CA-4AB9-859A-649F8E7F61AC}"/>
    <hyperlink ref="C9868" r:id="rId835" xr:uid="{C109A10E-EE9B-407A-AEAC-344957FE498C}"/>
    <hyperlink ref="C9897" r:id="rId836" xr:uid="{5452B294-D839-446E-92EE-29F3590A47CA}"/>
    <hyperlink ref="C9926" r:id="rId837" xr:uid="{02CB23CA-8AB9-44D9-9B29-FFC8CC100895}"/>
    <hyperlink ref="C9955" r:id="rId838" xr:uid="{4F7FCECB-0949-4902-83CC-32D4198DAF2C}"/>
    <hyperlink ref="C9984" r:id="rId839" xr:uid="{52B31B2C-0608-4533-9AB7-691C351ED727}"/>
    <hyperlink ref="C10013" r:id="rId840" xr:uid="{9B76F255-5097-4220-B797-CA5820461A4F}"/>
    <hyperlink ref="C10042" r:id="rId841" xr:uid="{22B7ABB6-AD60-4FDB-B9A0-DB3B5C2BF30B}"/>
    <hyperlink ref="C10070" r:id="rId842" xr:uid="{604C344B-717E-4D87-B5F0-F29D1B84C80F}"/>
    <hyperlink ref="C10097" r:id="rId843" xr:uid="{D94A1434-6EE2-44F2-9560-D041AB2217BE}"/>
    <hyperlink ref="C558" r:id="rId844" xr:uid="{5D8E847D-A9C9-411D-9CE8-1E14A09A75A3}"/>
    <hyperlink ref="C1907" r:id="rId845" xr:uid="{6DC69F2F-1A94-482C-A25D-938BD01C269E}"/>
    <hyperlink ref="C3175" r:id="rId846" xr:uid="{A8CD77DB-634B-4908-BF8E-3EF7DDD11ED4}"/>
    <hyperlink ref="C4572" r:id="rId847" xr:uid="{C1E75C8A-DE92-4EC3-9B60-F6630F622407}"/>
    <hyperlink ref="C5927" r:id="rId848" xr:uid="{CD541E8A-BC8E-4D68-B9C1-E3AEE47B23F9}"/>
    <hyperlink ref="C6856" r:id="rId849" xr:uid="{ED7085E5-0004-4CE1-B115-01EE43BD5963}"/>
    <hyperlink ref="C7387" r:id="rId850" xr:uid="{32D9897E-03AF-47A5-A32B-F0DD99790A9B}"/>
    <hyperlink ref="C7668" r:id="rId851" xr:uid="{57CE1BA1-253D-4585-A5DD-C04E6DE55344}"/>
    <hyperlink ref="C7791" r:id="rId852" xr:uid="{CCF1B81B-CCAD-4E7E-85A8-86D9CDA4D91D}"/>
    <hyperlink ref="C7888" r:id="rId853" xr:uid="{315C28ED-D05D-43E6-9E72-73E5385019A6}"/>
    <hyperlink ref="C7968" r:id="rId854" xr:uid="{54F613C5-3EAC-44F7-9C04-FA587C675754}"/>
    <hyperlink ref="C8034" r:id="rId855" xr:uid="{789D0177-B64B-41E2-AB2B-106B10D63903}"/>
    <hyperlink ref="C8099" r:id="rId856" xr:uid="{D86228C5-E048-4AF7-B5E8-2FE6EE7A6101}"/>
    <hyperlink ref="C8162" r:id="rId857" xr:uid="{64889D7B-A2F5-486C-BB1B-640E6E1AEE38}"/>
    <hyperlink ref="C8226" r:id="rId858" xr:uid="{41387BBA-529B-460F-9FC3-B52693E458ED}"/>
    <hyperlink ref="C8286" r:id="rId859" xr:uid="{2096C1BF-8ED7-43DA-A5DA-5022175840AA}"/>
    <hyperlink ref="C8342" r:id="rId860" xr:uid="{CC0A3DC9-3850-40D7-85C3-85D8CCCACC78}"/>
    <hyperlink ref="C8398" r:id="rId861" xr:uid="{F871A19F-6E06-4ED1-AB5F-2DF674EC6709}"/>
    <hyperlink ref="C8454" r:id="rId862" xr:uid="{A0A64252-CC4A-4250-8119-0E10A5BDB3EE}"/>
    <hyperlink ref="C8510" r:id="rId863" xr:uid="{429F50C3-26E8-4FA2-A6EB-C642FC44C7F9}"/>
    <hyperlink ref="C8566" r:id="rId864" xr:uid="{2AEB59B2-B79F-494C-9CE3-5221661AA60E}"/>
    <hyperlink ref="C8622" r:id="rId865" xr:uid="{0BAE0958-CD64-4578-B42A-7F93A1D15F05}"/>
    <hyperlink ref="C8677" r:id="rId866" xr:uid="{CE34311B-42D7-48D0-9272-EA5DD1D74C7C}"/>
    <hyperlink ref="C8731" r:id="rId867" xr:uid="{D5C37704-2C0B-4C99-9A96-C053C49A69AF}"/>
    <hyperlink ref="C8784" r:id="rId868" xr:uid="{154C8B1B-3B1C-40D5-884B-BA4D3D87D3E3}"/>
    <hyperlink ref="C8835" r:id="rId869" xr:uid="{C09621F8-02A4-41BD-A9A9-D5F5A6B03018}"/>
    <hyperlink ref="C8883" r:id="rId870" xr:uid="{63807C4C-123F-4F72-9621-CD402FE105D2}"/>
    <hyperlink ref="C8930" r:id="rId871" xr:uid="{D3DA021D-47B3-4028-9DCC-954DCB206223}"/>
    <hyperlink ref="C8977" r:id="rId872" xr:uid="{87BC523E-E7CF-437D-81D1-7DC113818F7F}"/>
    <hyperlink ref="C9023" r:id="rId873" xr:uid="{25FDAC40-40AC-467B-8D95-6DBC03DF614F}"/>
    <hyperlink ref="C9068" r:id="rId874" xr:uid="{01204CDA-4B86-4988-AC7D-C067B6C6AC11}"/>
    <hyperlink ref="C9113" r:id="rId875" xr:uid="{E09048B6-59A8-4ED5-9186-4DE9A5F8B1F3}"/>
    <hyperlink ref="C9158" r:id="rId876" xr:uid="{D52634D7-BB30-490E-85C8-041303F15C01}"/>
    <hyperlink ref="C9203" r:id="rId877" xr:uid="{0E645FAB-CBD9-4DE7-BD87-CCEE501A5223}"/>
    <hyperlink ref="C9248" r:id="rId878" xr:uid="{2074EA65-A0B3-407E-87DB-AE9EA9C56499}"/>
    <hyperlink ref="C9292" r:id="rId879" xr:uid="{EABDBB45-51CF-40F8-AF29-F6CC77FD4180}"/>
    <hyperlink ref="C9336" r:id="rId880" xr:uid="{6A5F87C1-DBFC-4775-9DFF-8247AF669D49}"/>
    <hyperlink ref="C9380" r:id="rId881" xr:uid="{E595A9DA-8BD8-4CE4-8B91-D1C537338ACD}"/>
    <hyperlink ref="C9423" r:id="rId882" xr:uid="{9C891218-2044-4F70-B2C5-07367466EEC1}"/>
    <hyperlink ref="C555" r:id="rId883" xr:uid="{719CE66B-443C-470E-BC81-28315BA61EAD}"/>
    <hyperlink ref="C1904" r:id="rId884" xr:uid="{962C55D4-3891-4FE3-985C-5C9767F71635}"/>
    <hyperlink ref="C3172" r:id="rId885" xr:uid="{CFE8BC0C-38EC-4F90-AEC3-3866C28F2776}"/>
    <hyperlink ref="C4569" r:id="rId886" xr:uid="{456ED8C2-649E-4ECF-BEB5-4280C4E69B4A}"/>
    <hyperlink ref="C5924" r:id="rId887" xr:uid="{50AAAF75-7FD8-4DC3-95AA-94FCA3056ECE}"/>
    <hyperlink ref="C6853" r:id="rId888" xr:uid="{01C66D83-B3A6-4934-9523-4EA5EAADEC8D}"/>
    <hyperlink ref="C7384" r:id="rId889" xr:uid="{7E4D263E-0303-4AB0-83D1-D7DFE493E782}"/>
    <hyperlink ref="C7665" r:id="rId890" xr:uid="{0D4ACAA3-5200-4D72-8657-3AA71DED4282}"/>
    <hyperlink ref="C7788" r:id="rId891" xr:uid="{002A7C76-D080-46C4-81C1-784A9CAEC019}"/>
    <hyperlink ref="C7885" r:id="rId892" xr:uid="{C1B6BAC4-9DDB-4B54-B8D9-76B57D43D856}"/>
    <hyperlink ref="C7965" r:id="rId893" xr:uid="{C9C4BED7-B785-4CFC-BA1E-694BECB321FA}"/>
    <hyperlink ref="C8031" r:id="rId894" xr:uid="{DEEAE5BC-A5F4-4C92-BAF7-C31CB1F2FB26}"/>
    <hyperlink ref="C8096" r:id="rId895" xr:uid="{651EFC25-618C-4304-A66B-8426437A95F6}"/>
    <hyperlink ref="C8159" r:id="rId896" xr:uid="{E3E8D6AC-6C6B-4B11-8E4C-9AFEE9EE6054}"/>
    <hyperlink ref="C8223" r:id="rId897" xr:uid="{63355505-3336-465B-A8CE-B0776DBD283B}"/>
    <hyperlink ref="C8283" r:id="rId898" xr:uid="{E945B2EA-6CBB-4AB6-AD63-EA868560858D}"/>
    <hyperlink ref="C8339" r:id="rId899" xr:uid="{041559D2-9BAD-487F-A5D3-18A4CBA7879C}"/>
    <hyperlink ref="C8395" r:id="rId900" xr:uid="{45A4D8AC-2F07-4687-BC44-13731F1F427C}"/>
    <hyperlink ref="C8451" r:id="rId901" xr:uid="{5B9441E0-8AF3-499A-8CA7-B52BBD7CF805}"/>
    <hyperlink ref="C8507" r:id="rId902" xr:uid="{28C2A1DD-E2EE-430D-99A9-8276BCCB0650}"/>
    <hyperlink ref="C8563" r:id="rId903" xr:uid="{913DDE72-88A9-4065-BEB5-C64E9B664943}"/>
    <hyperlink ref="C8619" r:id="rId904" xr:uid="{0D83E681-4105-45F2-8EAC-3A1BA2D54F79}"/>
    <hyperlink ref="C8674" r:id="rId905" xr:uid="{7A08CB47-D032-4097-B9AE-9B024591FC57}"/>
    <hyperlink ref="C8728" r:id="rId906" xr:uid="{4E91C29A-0A22-43F0-B8BB-F37E22A314A7}"/>
    <hyperlink ref="C8781" r:id="rId907" xr:uid="{88C4347E-F64A-4DF5-A870-D5293AF280F4}"/>
    <hyperlink ref="C8832" r:id="rId908" xr:uid="{C7B4AEA6-25ED-44EF-BAC3-77C1A98FD9D5}"/>
    <hyperlink ref="C8880" r:id="rId909" xr:uid="{92D97E41-080E-4167-9555-5383DADB7727}"/>
    <hyperlink ref="C8927" r:id="rId910" xr:uid="{B2F0C392-8ECF-4EDA-8E6E-B4B31C9F4918}"/>
    <hyperlink ref="C8974" r:id="rId911" xr:uid="{FF003394-B264-4229-ADE9-747B0C4F12D1}"/>
    <hyperlink ref="C9020" r:id="rId912" xr:uid="{92D47BC7-5738-4444-A2DF-35F805E363AC}"/>
    <hyperlink ref="C9065" r:id="rId913" xr:uid="{F96EE69D-AA39-46CB-AD3A-CA1E892F7BA1}"/>
    <hyperlink ref="C9110" r:id="rId914" xr:uid="{9839A976-BCC3-4C7C-8EB5-F6C8CA6593D1}"/>
    <hyperlink ref="C9155" r:id="rId915" xr:uid="{E4966258-AB44-43C5-9216-4F302BB8A358}"/>
    <hyperlink ref="C9200" r:id="rId916" xr:uid="{56E45EDA-F2BC-4734-9610-171B4CD00345}"/>
    <hyperlink ref="C9245" r:id="rId917" xr:uid="{B8A3F881-5B4E-4EBB-91F0-D2D1C023D38A}"/>
    <hyperlink ref="C9289" r:id="rId918" xr:uid="{0B00CBD7-8334-4A78-B974-2EDD6BF157F1}"/>
    <hyperlink ref="C9333" r:id="rId919" xr:uid="{DC04AC6A-CC6C-4378-BC3C-B211E4F6C047}"/>
    <hyperlink ref="C9377" r:id="rId920" xr:uid="{3D8A1808-B86D-47CB-A63F-FCDA83B5F744}"/>
    <hyperlink ref="C9420" r:id="rId921" xr:uid="{643266B7-17FB-4008-91A9-27643E1487AC}"/>
    <hyperlink ref="C560" r:id="rId922" xr:uid="{574EFE52-A859-4E25-99F0-2846CA50F37C}"/>
    <hyperlink ref="C1909" r:id="rId923" xr:uid="{F7A49CA5-7910-4776-B966-044D526D0211}"/>
    <hyperlink ref="C3177" r:id="rId924" xr:uid="{D4432841-7D9B-4D92-898E-CF84CEA5FCB1}"/>
    <hyperlink ref="C4574" r:id="rId925" xr:uid="{BC5F33BC-991B-4B51-89DD-DACCBE0F59D0}"/>
    <hyperlink ref="C5929" r:id="rId926" xr:uid="{DDADB5CF-E5E5-48CD-B8B2-9BAB721E37D4}"/>
    <hyperlink ref="C6858" r:id="rId927" xr:uid="{A578DEF3-1BB3-4F1A-9E89-D1A51BC4758A}"/>
    <hyperlink ref="C7389" r:id="rId928" xr:uid="{92B63A12-CCF3-40DA-AD12-D7AC8B2FCF76}"/>
    <hyperlink ref="C7670" r:id="rId929" xr:uid="{44CE46DB-BE13-4437-83BE-E7288B22B726}"/>
    <hyperlink ref="C7793" r:id="rId930" xr:uid="{00C3AD72-6D77-4768-A53D-F778BB3AF35D}"/>
    <hyperlink ref="C7890" r:id="rId931" xr:uid="{CF3A484C-156E-434D-8825-3B94595C7839}"/>
    <hyperlink ref="C7970" r:id="rId932" xr:uid="{59CD7C55-0220-433C-B814-9FE5D6A86C72}"/>
    <hyperlink ref="C8036" r:id="rId933" xr:uid="{AC0EFDE4-5225-4313-8285-87377886034C}"/>
    <hyperlink ref="C8101" r:id="rId934" xr:uid="{C94F4676-FEB2-4321-887E-1DCB11647114}"/>
    <hyperlink ref="C8164" r:id="rId935" xr:uid="{7327BE09-AEAE-4C6B-A7CA-EE726C1483DD}"/>
    <hyperlink ref="C8228" r:id="rId936" xr:uid="{169CF028-40A3-4908-8924-EE903C8D1865}"/>
    <hyperlink ref="C8288" r:id="rId937" xr:uid="{328A17A5-0850-4B2D-8572-31B88A83348D}"/>
    <hyperlink ref="C8344" r:id="rId938" xr:uid="{DF99FB55-9A03-4A85-8578-E8FAE31D3B4B}"/>
    <hyperlink ref="C8400" r:id="rId939" xr:uid="{4B87FC5F-650D-4C3C-A5EF-95207DBB133A}"/>
    <hyperlink ref="C8456" r:id="rId940" xr:uid="{ACFF0A06-F196-45CD-B348-8FA3AAE665A8}"/>
    <hyperlink ref="C8512" r:id="rId941" xr:uid="{2E819433-88B5-4F90-825B-EF6F6DD3EE5F}"/>
    <hyperlink ref="C8568" r:id="rId942" xr:uid="{7D05FEDB-0391-4901-9BE9-F649C3D5B698}"/>
    <hyperlink ref="C8624" r:id="rId943" xr:uid="{357FD5EE-BD51-48DA-8B45-B94D1AEB739E}"/>
    <hyperlink ref="C8679" r:id="rId944" xr:uid="{C5BE5339-0F5A-4B60-A654-A8AAF1963B6E}"/>
    <hyperlink ref="C8733" r:id="rId945" xr:uid="{D97FD86D-6120-4AAB-A4F4-6C0EF5FD689B}"/>
    <hyperlink ref="C8786" r:id="rId946" xr:uid="{6C37F19B-7C5B-4630-A38F-D5DE6C7C4800}"/>
    <hyperlink ref="C8837" r:id="rId947" xr:uid="{4DACF61A-2C3F-415E-BEF6-D829D6D55E3D}"/>
    <hyperlink ref="C8885" r:id="rId948" xr:uid="{1C7F3F27-2BCD-4256-AE29-E3B4732B9F73}"/>
    <hyperlink ref="C8932" r:id="rId949" xr:uid="{647874C2-AF3C-4A1F-ABB5-66200B892079}"/>
    <hyperlink ref="C8979" r:id="rId950" xr:uid="{2EEC463A-09DC-4896-9881-93FB2A365CC0}"/>
    <hyperlink ref="C9025" r:id="rId951" xr:uid="{0637730B-C780-44D1-8349-148BA91CAFFC}"/>
    <hyperlink ref="C9070" r:id="rId952" xr:uid="{334BE548-EB6A-432B-A87F-FC9B9267A7E4}"/>
    <hyperlink ref="C9115" r:id="rId953" xr:uid="{9204007A-A140-4CCD-8A46-3159A622073D}"/>
    <hyperlink ref="C9160" r:id="rId954" xr:uid="{056538CB-ED95-468E-9497-4CB8C4A59460}"/>
    <hyperlink ref="C9205" r:id="rId955" xr:uid="{77823623-5C64-4D3D-BA56-C011F2BA91D1}"/>
    <hyperlink ref="C9250" r:id="rId956" xr:uid="{37CD389C-88FE-43BA-B5DE-B7BA8254F1BF}"/>
    <hyperlink ref="C9294" r:id="rId957" xr:uid="{0F14D793-6D4A-4C7F-BDE5-B5BFB3FAEB3D}"/>
    <hyperlink ref="C9338" r:id="rId958" xr:uid="{668A093D-3A2D-4C68-914D-E0410C85C8AD}"/>
    <hyperlink ref="C9382" r:id="rId959" xr:uid="{AFD2C776-815A-43F1-9510-89223275243B}"/>
    <hyperlink ref="C9425" r:id="rId960" xr:uid="{53014FB6-674A-4867-8F0A-3C86AD5D5448}"/>
    <hyperlink ref="C559" r:id="rId961" xr:uid="{9A78C686-D5BF-435C-BBFB-BB728011D6EB}"/>
    <hyperlink ref="C1908" r:id="rId962" xr:uid="{7474648B-6F9B-4CFE-AFB2-361D8F3185F3}"/>
    <hyperlink ref="C3176" r:id="rId963" xr:uid="{7A4BF9D9-6874-41B4-8714-2738B208B74F}"/>
    <hyperlink ref="C4573" r:id="rId964" xr:uid="{7FD66A69-2E5B-4FF2-A4FD-5340ED429EEB}"/>
    <hyperlink ref="C5928" r:id="rId965" xr:uid="{EC9597A6-54E2-4B60-A499-E6CFFFF4A91C}"/>
    <hyperlink ref="C6857" r:id="rId966" xr:uid="{864B8252-D8CA-4090-B1F1-149231301637}"/>
    <hyperlink ref="C7388" r:id="rId967" xr:uid="{C99906F1-A3DE-4A59-886E-8545E2430549}"/>
    <hyperlink ref="C7669" r:id="rId968" xr:uid="{9287EE4F-E30C-4840-A201-23B6BE97361D}"/>
    <hyperlink ref="C7792" r:id="rId969" xr:uid="{18B517E7-FA0E-4E55-8C3F-C5F5DFB70173}"/>
    <hyperlink ref="C7889" r:id="rId970" xr:uid="{46E30BF2-A4FB-4AE9-933F-DB3C0EF52D9C}"/>
    <hyperlink ref="C7969" r:id="rId971" xr:uid="{39F9BADA-9878-4A86-ACCE-7CB71611F227}"/>
    <hyperlink ref="C8035" r:id="rId972" xr:uid="{FF2B0F7C-9C86-486F-9CDC-341A022D117D}"/>
    <hyperlink ref="C8100" r:id="rId973" xr:uid="{CD784256-3891-49B4-B966-27FF1850EB6F}"/>
    <hyperlink ref="C8163" r:id="rId974" xr:uid="{2D97FAFC-959D-4C43-BE8A-69CC0090C495}"/>
    <hyperlink ref="C8227" r:id="rId975" xr:uid="{A84BAF1F-40F3-4B9E-B363-2E8F3D2605E9}"/>
    <hyperlink ref="C8287" r:id="rId976" xr:uid="{0B17B912-A513-4C6A-9322-9D9E09100D9E}"/>
    <hyperlink ref="C8343" r:id="rId977" xr:uid="{8FAEEDFC-65BD-446B-8D2A-655EBE5F68EA}"/>
    <hyperlink ref="C8399" r:id="rId978" xr:uid="{A95051A2-7E3D-4CD4-938C-58DD234110FE}"/>
    <hyperlink ref="C8455" r:id="rId979" xr:uid="{9C49EF12-90D3-484A-8BCB-856236ED6037}"/>
    <hyperlink ref="C8511" r:id="rId980" xr:uid="{B1494B9D-9C32-46A0-AB3C-074C06426425}"/>
    <hyperlink ref="C8567" r:id="rId981" xr:uid="{F55C4901-F238-48A3-9435-857129F0D91B}"/>
    <hyperlink ref="C8623" r:id="rId982" xr:uid="{E8E4BA39-0189-4B35-ADC7-DAE27573F6E0}"/>
    <hyperlink ref="C8678" r:id="rId983" xr:uid="{92D63C89-5218-4A90-84A3-771652F3A953}"/>
    <hyperlink ref="C8732" r:id="rId984" xr:uid="{3331E4C0-4639-4C26-A8D6-B0FBB4479F79}"/>
    <hyperlink ref="C8785" r:id="rId985" xr:uid="{896FB8A6-BCF6-459D-ABE2-BEBAA9E7C9F4}"/>
    <hyperlink ref="C8836" r:id="rId986" xr:uid="{F5FF322D-B54D-4431-9304-7E5AEEFF2259}"/>
    <hyperlink ref="C8884" r:id="rId987" xr:uid="{98C34B4D-E108-4B00-8241-91B31F1E2574}"/>
    <hyperlink ref="C8931" r:id="rId988" xr:uid="{D94DBE20-C98F-4DCA-B66E-141B93213BB2}"/>
    <hyperlink ref="C8978" r:id="rId989" xr:uid="{8EBD3380-58C2-4A06-BC25-7C13F672BCF3}"/>
    <hyperlink ref="C9024" r:id="rId990" xr:uid="{CB296188-CD2F-4A81-B699-FFBFF79CEA8B}"/>
    <hyperlink ref="C9069" r:id="rId991" xr:uid="{2A8D1337-DEFF-4B1D-812C-BD8732A72628}"/>
    <hyperlink ref="C9114" r:id="rId992" xr:uid="{5ED01C3C-E537-40D6-9173-D1F5F56DEABC}"/>
    <hyperlink ref="C9159" r:id="rId993" xr:uid="{E889C1E9-FA57-42EE-8F4B-2E1A12BFE406}"/>
    <hyperlink ref="C9204" r:id="rId994" xr:uid="{A8EDA51C-9554-45A1-A531-3F7AA144040A}"/>
    <hyperlink ref="C9249" r:id="rId995" xr:uid="{07031F1B-E73C-41C4-B128-6736097F16CB}"/>
    <hyperlink ref="C9293" r:id="rId996" xr:uid="{1120122E-A79A-492F-A3FD-BB41D6A3D5E4}"/>
    <hyperlink ref="C9337" r:id="rId997" xr:uid="{364B99E8-DDA5-4C9E-9EA3-7DA746783E1E}"/>
    <hyperlink ref="C9381" r:id="rId998" xr:uid="{5A4820F0-7F58-4934-A4AC-9A7D72D88D42}"/>
    <hyperlink ref="C9424" r:id="rId999" xr:uid="{69046950-2EC7-441A-93E4-1769EC9C3018}"/>
    <hyperlink ref="C9462" r:id="rId1000" xr:uid="{6124BFD4-5AB2-4BEC-96D6-B97C3AE7C89C}"/>
    <hyperlink ref="C9499" r:id="rId1001" xr:uid="{8A4F3D58-B17D-421A-A221-6C370A158451}"/>
    <hyperlink ref="C9535" r:id="rId1002" xr:uid="{4B572C9F-9467-4FEA-8F70-65CB68D934DE}"/>
    <hyperlink ref="C9571" r:id="rId1003" xr:uid="{C53A6846-59F6-4DCB-BFE9-FC8ADB32B01D}"/>
    <hyperlink ref="C9605" r:id="rId1004" xr:uid="{035B8565-27F9-4A48-8FD9-C373931B0675}"/>
    <hyperlink ref="C562" r:id="rId1005" xr:uid="{DADE20B2-921E-4683-8D15-DF89507FFEFC}"/>
    <hyperlink ref="C1911" r:id="rId1006" xr:uid="{2E56D3BF-95EF-4144-BEC8-26E10C09D18B}"/>
    <hyperlink ref="C3183" r:id="rId1007" xr:uid="{A1FFB6A7-B10D-4FB9-84FE-56975625A781}"/>
    <hyperlink ref="C4576" r:id="rId1008" xr:uid="{BABC772B-D4B1-40E3-A876-1DA22379229F}"/>
    <hyperlink ref="C5931" r:id="rId1009" xr:uid="{CE4105ED-B482-4F95-AA10-3E36B6074B4E}"/>
    <hyperlink ref="C6860" r:id="rId1010" xr:uid="{D7D56A38-D179-485E-A809-48E5B13A4686}"/>
    <hyperlink ref="C7391" r:id="rId1011" xr:uid="{D58D3CB3-FAF2-4E34-AE1D-57BBB0974CDC}"/>
    <hyperlink ref="C7672" r:id="rId1012" xr:uid="{7F045DEF-4253-4753-9758-9A081188E319}"/>
    <hyperlink ref="C7795" r:id="rId1013" xr:uid="{0BFCC263-B563-4E1E-A08C-02561D6D5932}"/>
    <hyperlink ref="C7892" r:id="rId1014" xr:uid="{CC70C558-61D9-4BBB-89CC-EF25CF4D459D}"/>
    <hyperlink ref="C7972" r:id="rId1015" xr:uid="{377DE7E2-F3ED-4B4F-91DC-03A52CDDCB20}"/>
    <hyperlink ref="C8038" r:id="rId1016" xr:uid="{32E5E83F-290C-4CF1-9ADF-00AE0840C344}"/>
    <hyperlink ref="C8103" r:id="rId1017" xr:uid="{452ED7D1-90C5-4265-9C5C-71D56255F885}"/>
    <hyperlink ref="C8166" r:id="rId1018" xr:uid="{737C3B70-F942-4477-B3C1-903B8AF34AA2}"/>
    <hyperlink ref="C8230" r:id="rId1019" xr:uid="{712195FB-D151-4556-B8C3-261EF71D73B3}"/>
    <hyperlink ref="C8290" r:id="rId1020" xr:uid="{B3B891C3-0B9D-400D-BBDB-8F51D0A6A0F8}"/>
    <hyperlink ref="C8346" r:id="rId1021" xr:uid="{8D981511-5AEF-4097-B6AC-FDBA3D84BE10}"/>
    <hyperlink ref="C8402" r:id="rId1022" xr:uid="{259A1B8F-3E18-49B3-B104-F089D21D89FC}"/>
    <hyperlink ref="C8458" r:id="rId1023" xr:uid="{41D98B82-CB70-4F7C-A483-53C9BA04B592}"/>
    <hyperlink ref="C8514" r:id="rId1024" xr:uid="{9F5B4DED-27B6-47EA-A312-BB856EA1E4E8}"/>
    <hyperlink ref="C8570" r:id="rId1025" xr:uid="{CE4116ED-9AA6-4BC2-9793-1AD105C6FAE0}"/>
    <hyperlink ref="C8626" r:id="rId1026" xr:uid="{FB3E7F3C-1FCD-45AF-A201-54BA963CDE3E}"/>
    <hyperlink ref="C8681" r:id="rId1027" xr:uid="{3088C7A1-A3B0-4C9D-9166-18CABA778904}"/>
    <hyperlink ref="C8735" r:id="rId1028" xr:uid="{23468C5B-4FD8-46C3-AF50-2FD3C8A00C26}"/>
    <hyperlink ref="C8788" r:id="rId1029" xr:uid="{7379D061-F722-4C36-B087-A899127993A5}"/>
    <hyperlink ref="C8839" r:id="rId1030" xr:uid="{DB911841-4A84-458E-ADB9-8966D60D0DEE}"/>
    <hyperlink ref="C8887" r:id="rId1031" xr:uid="{FE294809-4938-4A83-BA38-0F6C6F73F267}"/>
    <hyperlink ref="C8934" r:id="rId1032" xr:uid="{2BD82CA5-5CD6-4BFB-9F80-5C8475724BAE}"/>
    <hyperlink ref="C8981" r:id="rId1033" xr:uid="{C4B0DCF6-D91A-4397-8E08-40E1D3AB8271}"/>
    <hyperlink ref="C9027" r:id="rId1034" xr:uid="{F3B00F42-71A1-45D2-9FC8-4FF4A076D6EE}"/>
    <hyperlink ref="C9072" r:id="rId1035" xr:uid="{16511F01-2544-4672-A117-114B199F2646}"/>
    <hyperlink ref="C9117" r:id="rId1036" xr:uid="{BEB5E370-46C0-46B6-A503-C45D92839183}"/>
    <hyperlink ref="C9162" r:id="rId1037" xr:uid="{99697097-5B93-4352-A95E-79AF7C8D4EDA}"/>
    <hyperlink ref="C9207" r:id="rId1038" xr:uid="{921111C9-71AD-405D-8EE2-0B2463FE9916}"/>
    <hyperlink ref="C9252" r:id="rId1039" xr:uid="{255F6095-47D4-4E8D-B22F-FD14B3B8863D}"/>
    <hyperlink ref="C9296" r:id="rId1040" xr:uid="{47FF4D6D-8A3E-46A4-A2D1-B75020851B10}"/>
    <hyperlink ref="C9340" r:id="rId1041" xr:uid="{6E9637A4-EC49-4710-A491-CEE79BFAB3DE}"/>
    <hyperlink ref="C9384" r:id="rId1042" xr:uid="{CA467451-1EEC-4826-B8AF-B7495724A5A1}"/>
    <hyperlink ref="C9427" r:id="rId1043" xr:uid="{7212A78D-162E-41D7-BEE8-0088E492395E}"/>
    <hyperlink ref="C9464" r:id="rId1044" xr:uid="{D659EDE1-B55A-49B7-9FEB-3A8DCBF592CF}"/>
    <hyperlink ref="C9501" r:id="rId1045" xr:uid="{0DB324FB-F8E8-4493-ACAD-54B729FCABA6}"/>
    <hyperlink ref="C9537" r:id="rId1046" xr:uid="{D8FC9871-6ED8-43E3-9FBE-2AB8FF96D201}"/>
    <hyperlink ref="C9573" r:id="rId1047" xr:uid="{11DE9898-470B-4835-B7AD-3093A9AF558F}"/>
    <hyperlink ref="C9607" r:id="rId1048" xr:uid="{C09BA81E-0342-44D6-BC0F-4DEEA205C722}"/>
    <hyperlink ref="C9640" r:id="rId1049" xr:uid="{87CC8A9E-6D8C-4D25-B680-49C2880B9EEB}"/>
    <hyperlink ref="C9672" r:id="rId1050" xr:uid="{E91E83FB-CDDA-4E7C-8F9A-45385AF1F473}"/>
    <hyperlink ref="C9704" r:id="rId1051" xr:uid="{37B8213F-5BB6-4DF9-BA2E-8C1F22C2DF67}"/>
    <hyperlink ref="C563" r:id="rId1052" xr:uid="{9DE54651-04F5-4469-A58F-B3DDE3BC25B5}"/>
    <hyperlink ref="C1912" r:id="rId1053" xr:uid="{F3A1B381-7A21-4FAC-8443-29EEEA974A09}"/>
    <hyperlink ref="C3184" r:id="rId1054" xr:uid="{22106155-C7C5-4BD9-9B8D-8583B0D04C16}"/>
    <hyperlink ref="C4577" r:id="rId1055" xr:uid="{CD5E6BA6-6703-4260-870E-30A38C362ADD}"/>
    <hyperlink ref="C5932" r:id="rId1056" xr:uid="{F903F540-EE88-4645-89DE-E306E64DDEB0}"/>
    <hyperlink ref="C6861" r:id="rId1057" xr:uid="{017EE5B2-8781-46A8-9713-0C1046EA0712}"/>
    <hyperlink ref="C7392" r:id="rId1058" xr:uid="{ACF8C96E-80FF-4A2B-9561-1B133E3EDA8D}"/>
    <hyperlink ref="C7673" r:id="rId1059" xr:uid="{A8B411CE-B699-404B-B3EB-69839D779D70}"/>
    <hyperlink ref="C7796" r:id="rId1060" xr:uid="{0AAC46C5-956F-4312-B556-2F18B599E707}"/>
    <hyperlink ref="C7893" r:id="rId1061" xr:uid="{ED5615AC-C09A-4055-A464-B27E60D64F7C}"/>
    <hyperlink ref="C7973" r:id="rId1062" xr:uid="{AE635124-EDD3-426F-A540-3104E7ED3C5A}"/>
    <hyperlink ref="C8039" r:id="rId1063" xr:uid="{20267154-C566-42E6-9EB8-4BEE88616E14}"/>
    <hyperlink ref="C8104" r:id="rId1064" xr:uid="{380D37AD-58E9-4135-8344-FF18FB6B0F5D}"/>
    <hyperlink ref="C8167" r:id="rId1065" xr:uid="{9E789532-A74A-4D15-9C90-5FBECCBDDDD5}"/>
    <hyperlink ref="C8231" r:id="rId1066" xr:uid="{36245B24-7287-4DD0-A755-10CF1E7AECD4}"/>
    <hyperlink ref="C8291" r:id="rId1067" xr:uid="{7928384B-8192-405A-8E09-1F5265069A46}"/>
    <hyperlink ref="C8347" r:id="rId1068" xr:uid="{A8153F7C-8349-4EB0-93FD-44539C0F5B4B}"/>
    <hyperlink ref="C8403" r:id="rId1069" xr:uid="{9AE47B8E-C037-4C2A-8ECB-3A2F5A56A885}"/>
    <hyperlink ref="C8459" r:id="rId1070" xr:uid="{613C6765-C849-4866-BC71-3BE4774A47D4}"/>
    <hyperlink ref="C8515" r:id="rId1071" xr:uid="{4585420E-F612-4EC5-A75A-185435ECA010}"/>
    <hyperlink ref="C8571" r:id="rId1072" xr:uid="{A630CCB6-2B60-4C85-9222-677250330F15}"/>
    <hyperlink ref="C8627" r:id="rId1073" xr:uid="{F8721A45-3AE9-46C8-9B86-EFB5B255CAC3}"/>
    <hyperlink ref="C8682" r:id="rId1074" xr:uid="{51FBDD7F-0DD1-4F46-9578-87BB7B257E0F}"/>
    <hyperlink ref="C8736" r:id="rId1075" xr:uid="{C965E3D9-CD28-4BF5-B366-ACC03307E269}"/>
    <hyperlink ref="C8789" r:id="rId1076" xr:uid="{71EC4EEC-F3AF-4D3A-832D-DC5876836343}"/>
    <hyperlink ref="C8840" r:id="rId1077" xr:uid="{401FB0A4-BE86-45CB-B382-42203AA792A2}"/>
    <hyperlink ref="C8888" r:id="rId1078" xr:uid="{DC936765-F894-45ED-BDDD-3524C9866C53}"/>
    <hyperlink ref="C8935" r:id="rId1079" xr:uid="{C419D4F7-F93B-4CEB-ACF7-4C84251641E4}"/>
    <hyperlink ref="C8982" r:id="rId1080" xr:uid="{48FDB2AD-C943-4AC9-B22B-C6F12D02A2DC}"/>
    <hyperlink ref="C9028" r:id="rId1081" xr:uid="{40A51CFA-4254-4F55-8E26-3657E09A18B6}"/>
    <hyperlink ref="C9073" r:id="rId1082" xr:uid="{B9E138E1-AA30-41D0-836F-263EE2B8C036}"/>
    <hyperlink ref="C9118" r:id="rId1083" xr:uid="{38096128-97A1-4547-AB01-4084F5CAD03F}"/>
    <hyperlink ref="C9163" r:id="rId1084" xr:uid="{BBCFF4BE-FB98-488C-A4F6-4A9A3A50324E}"/>
    <hyperlink ref="C9208" r:id="rId1085" xr:uid="{D48DC744-C9E1-412E-93A3-14AB1F604741}"/>
    <hyperlink ref="C9253" r:id="rId1086" xr:uid="{AD3E8376-1FD4-4331-A7D4-A222660274CE}"/>
    <hyperlink ref="C9297" r:id="rId1087" xr:uid="{0368FF78-29D0-4170-B4B6-7E07999669D0}"/>
    <hyperlink ref="C9341" r:id="rId1088" xr:uid="{3AA8D380-04A0-4966-A658-3D1B3A5F6817}"/>
    <hyperlink ref="C9385" r:id="rId1089" xr:uid="{4C177EFF-3E9C-47CD-9715-3C60F410D9A6}"/>
    <hyperlink ref="C9428" r:id="rId1090" xr:uid="{D64686AE-7A9E-43EB-B306-D6856870D14D}"/>
    <hyperlink ref="C9465" r:id="rId1091" xr:uid="{A4678CAC-C730-4EC9-97EE-3022F4F5FD69}"/>
    <hyperlink ref="C9502" r:id="rId1092" xr:uid="{D916546E-EFE9-4128-B619-EF2AC89584FD}"/>
    <hyperlink ref="C9538" r:id="rId1093" xr:uid="{2B57D665-EE5E-4BB7-AD40-A6AD12C39B30}"/>
    <hyperlink ref="C9574" r:id="rId1094" xr:uid="{6A93E05F-72C6-4A04-B968-67947BC81BFF}"/>
    <hyperlink ref="C9608" r:id="rId1095" xr:uid="{C5DF4276-B825-4C1F-91AF-E937FCA33C53}"/>
    <hyperlink ref="C9641" r:id="rId1096" xr:uid="{A5E89229-4AAC-479C-8747-A30555C82EFA}"/>
    <hyperlink ref="C9673" r:id="rId1097" xr:uid="{7E1C5667-C228-40D1-A4D4-ABB57249F78D}"/>
    <hyperlink ref="C9705" r:id="rId1098" xr:uid="{9753070A-F66D-4DE2-8475-0C8F18CF2B83}"/>
    <hyperlink ref="C557" r:id="rId1099" xr:uid="{F53411FC-5CF4-4A8A-A8ED-C029397AFFEA}"/>
    <hyperlink ref="C1906" r:id="rId1100" xr:uid="{1BEB2FC6-AAE5-484E-BCFB-F6D52BF69495}"/>
    <hyperlink ref="C3174" r:id="rId1101" xr:uid="{954AC239-36A0-4381-BFB7-7FE3286BD1BA}"/>
    <hyperlink ref="C4571" r:id="rId1102" xr:uid="{69CBCEAF-6B9C-4F27-AC8F-8B7F204F5DF8}"/>
    <hyperlink ref="C5926" r:id="rId1103" xr:uid="{41142FD2-7662-4CD0-886F-8DA412A8CCCF}"/>
    <hyperlink ref="C6855" r:id="rId1104" xr:uid="{C7DF8BA4-0186-4989-A45B-612D74F8B628}"/>
    <hyperlink ref="C7386" r:id="rId1105" xr:uid="{E90BC8F6-9FF4-4FD4-BD58-1D35A6D30706}"/>
    <hyperlink ref="C7667" r:id="rId1106" xr:uid="{B4B16364-0E7F-476D-879E-FEAA436AA7AB}"/>
    <hyperlink ref="C7790" r:id="rId1107" xr:uid="{F141CDFD-7EB9-497C-B9C1-9319D05AD169}"/>
    <hyperlink ref="C7887" r:id="rId1108" xr:uid="{E9FDE2A7-2F91-4E91-B5CD-05A5F7DC51FC}"/>
    <hyperlink ref="C7967" r:id="rId1109" xr:uid="{5400630F-D5F6-45CB-AF3E-4ADBDDF068A1}"/>
    <hyperlink ref="C8033" r:id="rId1110" xr:uid="{3ADBF1EC-ECC0-4A0F-8B07-D85FB08DF780}"/>
    <hyperlink ref="C8098" r:id="rId1111" xr:uid="{CA48D4A3-7D17-44A2-BDC0-F86D26FD2ED6}"/>
    <hyperlink ref="C8161" r:id="rId1112" xr:uid="{10DC9CB0-0637-4A35-851B-14172558A597}"/>
    <hyperlink ref="C8225" r:id="rId1113" xr:uid="{13AE34F4-4BD4-403F-97F6-9AC2357193A2}"/>
    <hyperlink ref="C8285" r:id="rId1114" xr:uid="{9B9A92CC-FB3B-49FF-99CE-80D88CEA46BB}"/>
    <hyperlink ref="C8341" r:id="rId1115" xr:uid="{97415987-A2A2-487F-9135-ED8672AE7347}"/>
    <hyperlink ref="C8397" r:id="rId1116" xr:uid="{F51DDD4C-35B2-46DE-825B-6C6F0DEB0545}"/>
    <hyperlink ref="C8453" r:id="rId1117" xr:uid="{479A29B9-84C6-439A-B0F6-0057931061D4}"/>
    <hyperlink ref="C8509" r:id="rId1118" xr:uid="{FFBC53A6-FA91-4175-B8E9-9881A418FA6A}"/>
    <hyperlink ref="C8565" r:id="rId1119" xr:uid="{0974D9B5-86A5-4F2D-9D37-DC60803609B8}"/>
    <hyperlink ref="C8621" r:id="rId1120" xr:uid="{7E5D189C-BAF9-4595-BA90-A9F4C1B6806E}"/>
    <hyperlink ref="C8676" r:id="rId1121" xr:uid="{17E9D6E6-1DDB-4B80-85B2-7AD173DF356A}"/>
    <hyperlink ref="C8730" r:id="rId1122" xr:uid="{4758589F-DF49-47AB-80FB-08D9FF69F5AD}"/>
    <hyperlink ref="C8783" r:id="rId1123" xr:uid="{8B6595A8-4E6B-44D7-8D26-163617E831F8}"/>
    <hyperlink ref="C8834" r:id="rId1124" xr:uid="{4717F725-870F-4C33-9D88-B16DF41DD655}"/>
    <hyperlink ref="C8882" r:id="rId1125" xr:uid="{5BABD418-0BC1-4740-9884-E8BD7C806957}"/>
    <hyperlink ref="C8929" r:id="rId1126" xr:uid="{7EEB987C-5522-42E8-AB91-2AE0D02D2791}"/>
    <hyperlink ref="C8976" r:id="rId1127" xr:uid="{6ADC7522-D167-41E6-98A4-7462FA90DE21}"/>
    <hyperlink ref="C9022" r:id="rId1128" xr:uid="{12297133-C8A0-4C6A-AF70-157E3CA69D90}"/>
    <hyperlink ref="C9067" r:id="rId1129" xr:uid="{502DADE4-7DA4-418D-9EEA-F80DAA949982}"/>
    <hyperlink ref="C9112" r:id="rId1130" xr:uid="{B67AA510-7420-4A78-B9A6-8E5B7EE81E4F}"/>
    <hyperlink ref="C9157" r:id="rId1131" xr:uid="{CB476DCC-4128-40CA-938E-04D53C9CE295}"/>
    <hyperlink ref="C9202" r:id="rId1132" xr:uid="{B45D2716-6DA0-4D17-BF9E-DE8882D026EF}"/>
    <hyperlink ref="C9247" r:id="rId1133" xr:uid="{079A5635-862D-4854-AD0E-BEB9B4860C27}"/>
    <hyperlink ref="C9291" r:id="rId1134" xr:uid="{355FE8FB-93D0-4372-81D5-50A7F8368402}"/>
    <hyperlink ref="C9335" r:id="rId1135" xr:uid="{5DC95FD9-697C-4056-B2C6-0F87F329C56D}"/>
    <hyperlink ref="C9379" r:id="rId1136" xr:uid="{CEBC39BD-7AA9-43F4-85BC-F1B7AD9C04B6}"/>
    <hyperlink ref="C9422" r:id="rId1137" xr:uid="{CB90259D-87C4-4231-B899-46C0B8DBEBC5}"/>
    <hyperlink ref="C649" r:id="rId1138" xr:uid="{984B347C-330A-44A2-B460-2DEAB3E9AD39}"/>
    <hyperlink ref="C3218" r:id="rId1139" xr:uid="{DB567A03-1656-4A5E-B499-0ADEEEDA15AA}"/>
    <hyperlink ref="C4652" r:id="rId1140" xr:uid="{36A33A91-14D0-41C9-8E7B-EE882BEB7295}"/>
    <hyperlink ref="C7434" r:id="rId1141" xr:uid="{3A495400-FC4B-423C-BC18-025BD910341D}"/>
    <hyperlink ref="C7703" r:id="rId1142" xr:uid="{837C2934-63A8-4DEE-83B1-44EB31858FC0}"/>
    <hyperlink ref="C7823" r:id="rId1143" xr:uid="{6DA9DBA2-AC3A-4DE3-A0DA-1F330328ED5F}"/>
    <hyperlink ref="C7920" r:id="rId1144" xr:uid="{622A39F3-AB1A-444A-8773-51610E4FE4F7}"/>
    <hyperlink ref="C8066" r:id="rId1145" xr:uid="{95F94A28-0482-48EB-97BF-A01C323EFD0F}"/>
    <hyperlink ref="C8131" r:id="rId1146" xr:uid="{D3B81F92-A7F4-4447-A7E0-A1F0A84DB923}"/>
    <hyperlink ref="C8258" r:id="rId1147" xr:uid="{90F6B68D-A1E4-4974-934B-99589CDD171B}"/>
    <hyperlink ref="C8318" r:id="rId1148" xr:uid="{F66A9BA7-B5BA-4DF2-BBAE-45C96AF42E92}"/>
    <hyperlink ref="C8430" r:id="rId1149" xr:uid="{23B2083D-1BE1-446C-9BEE-5A5D914EF877}"/>
    <hyperlink ref="C8486" r:id="rId1150" xr:uid="{586D0D20-300B-421C-B7E5-0B0A39E6538F}"/>
    <hyperlink ref="C8598" r:id="rId1151" xr:uid="{3E96F372-BC1E-4E29-BA0E-CAF4B78B1EDD}"/>
    <hyperlink ref="C8654" r:id="rId1152" xr:uid="{6C2134B6-6A0C-42A0-84F7-F5446D415F85}"/>
    <hyperlink ref="C556" r:id="rId1153" xr:uid="{04F7453F-1B47-4104-AD66-F59366A42258}"/>
    <hyperlink ref="C1905" r:id="rId1154" xr:uid="{E685248D-7DEC-43DA-B210-9312560918E4}"/>
    <hyperlink ref="C3173" r:id="rId1155" xr:uid="{12C874B6-BFF9-47F8-A63E-954DBA470253}"/>
    <hyperlink ref="C4570" r:id="rId1156" xr:uid="{EE56C922-98AA-433F-8FDB-5F6B4313C4FA}"/>
    <hyperlink ref="C5925" r:id="rId1157" xr:uid="{8715125C-8F4E-4279-AAD3-6D24501993BC}"/>
    <hyperlink ref="C6854" r:id="rId1158" xr:uid="{621DA48F-0F5F-4C3F-AFC7-29995F14FD2C}"/>
    <hyperlink ref="C7385" r:id="rId1159" xr:uid="{BBD01B17-D3CD-4BEE-AAAD-3A5F124178C0}"/>
    <hyperlink ref="C7666" r:id="rId1160" xr:uid="{5AF38DB7-3035-4AB1-ACED-AB038358388B}"/>
    <hyperlink ref="C7789" r:id="rId1161" xr:uid="{6825BC12-0792-4231-BDEA-D8C85C902B60}"/>
    <hyperlink ref="C7886" r:id="rId1162" xr:uid="{9FB987AF-0DC5-47B1-B26E-1105EC819E31}"/>
    <hyperlink ref="C7966" r:id="rId1163" xr:uid="{5E0FC98A-F12B-4EA4-85C6-7E2D11AC9A07}"/>
    <hyperlink ref="C8032" r:id="rId1164" xr:uid="{5FB2E892-B45C-4445-AFFB-9C44F565AC85}"/>
    <hyperlink ref="C8097" r:id="rId1165" xr:uid="{A49AE24C-4FAA-48ED-B352-0C6E71D17132}"/>
    <hyperlink ref="C8160" r:id="rId1166" xr:uid="{58AC4A54-5758-49E3-9476-A2D912E52246}"/>
    <hyperlink ref="C8224" r:id="rId1167" xr:uid="{E0C79B97-A0DC-4ED4-9128-FBE162DA4E35}"/>
    <hyperlink ref="C8284" r:id="rId1168" xr:uid="{1105B755-F10A-4ED5-8103-D94FAFC4F082}"/>
    <hyperlink ref="C8340" r:id="rId1169" xr:uid="{E201271F-EA3B-475D-8D32-C752795659DA}"/>
    <hyperlink ref="C8396" r:id="rId1170" xr:uid="{CB81FE20-017C-428F-BCE0-0ECCD145CD0F}"/>
    <hyperlink ref="C8452" r:id="rId1171" xr:uid="{8CF46EBC-B8D8-4280-A4FC-A891A0E3D503}"/>
    <hyperlink ref="C8508" r:id="rId1172" xr:uid="{6A67E49C-333B-468D-88BF-FFC944E5A243}"/>
    <hyperlink ref="C8564" r:id="rId1173" xr:uid="{5DB22760-83BC-4841-BEAB-9927521B87EA}"/>
    <hyperlink ref="C8620" r:id="rId1174" xr:uid="{F2A523FA-51ED-4E0E-A7BC-DADB00A2020A}"/>
    <hyperlink ref="C8675" r:id="rId1175" xr:uid="{C8988C45-0D95-48D4-8ECB-951DB209F327}"/>
    <hyperlink ref="C8729" r:id="rId1176" xr:uid="{A32C6AF8-0BB8-4086-BD05-07FD99BEE214}"/>
    <hyperlink ref="C8782" r:id="rId1177" xr:uid="{7C0698A6-6566-4AAB-A7DA-B013D6ACF103}"/>
    <hyperlink ref="C8833" r:id="rId1178" xr:uid="{0D285E93-700B-4D5A-835E-765340837BF7}"/>
    <hyperlink ref="C8881" r:id="rId1179" xr:uid="{EA66092F-1FA4-4892-82BC-BD6792090FFB}"/>
    <hyperlink ref="C8928" r:id="rId1180" xr:uid="{B50600F2-C3E1-44AD-AACB-42AB3A159760}"/>
    <hyperlink ref="C8975" r:id="rId1181" xr:uid="{7ED25D9A-5C11-4887-8B1D-84DD5A4FA73C}"/>
    <hyperlink ref="C9021" r:id="rId1182" xr:uid="{0107AE5F-7C04-4AF8-BAA0-DFCE18399454}"/>
    <hyperlink ref="C9066" r:id="rId1183" xr:uid="{C3F22CF6-5032-42BB-A889-20745BDAF43F}"/>
    <hyperlink ref="C9111" r:id="rId1184" xr:uid="{23C6D611-F877-40D2-B16A-928213614CEC}"/>
    <hyperlink ref="C9156" r:id="rId1185" xr:uid="{B36FF7FE-CB29-48A1-8D89-45EACC063A7A}"/>
    <hyperlink ref="C9201" r:id="rId1186" xr:uid="{F6705422-429F-4A5F-9D21-1A4249427402}"/>
    <hyperlink ref="C9246" r:id="rId1187" xr:uid="{47D6468A-1CC6-4CC2-90E7-396C32398D54}"/>
    <hyperlink ref="C9290" r:id="rId1188" xr:uid="{7965AA5E-F9A8-467F-A124-5F737357C476}"/>
    <hyperlink ref="C9334" r:id="rId1189" xr:uid="{649C6EBD-1E41-4F65-A75E-FD286F790C84}"/>
    <hyperlink ref="C9378" r:id="rId1190" xr:uid="{BDA736E8-40AB-4294-86D4-C050B47F2887}"/>
    <hyperlink ref="C9421" r:id="rId1191" xr:uid="{9C1619C7-AD82-4BC1-80F7-B5231785478C}"/>
    <hyperlink ref="C561" r:id="rId1192" xr:uid="{99D2C470-AC2E-40B6-AE12-8C6B7F38C2B0}"/>
    <hyperlink ref="C1910" r:id="rId1193" xr:uid="{ADB8CB41-A81E-4D84-9FC9-9247DDCDFD09}"/>
    <hyperlink ref="C3178" r:id="rId1194" xr:uid="{3F8635D9-91D8-462F-B91B-6BA5CD311362}"/>
    <hyperlink ref="C4575" r:id="rId1195" xr:uid="{5FC5BB0A-BA06-41D5-A040-4969495C5B6B}"/>
    <hyperlink ref="C5930" r:id="rId1196" xr:uid="{A06AE6CD-88A8-459A-964A-8CE592EAA33B}"/>
    <hyperlink ref="C6859" r:id="rId1197" xr:uid="{88C88FF5-42A6-449A-806F-D9790DC83069}"/>
    <hyperlink ref="C7390" r:id="rId1198" xr:uid="{326780FA-222E-4295-B8A2-2CC6C10717AE}"/>
    <hyperlink ref="C7671" r:id="rId1199" xr:uid="{085492E1-44F6-464A-BD56-811703CD6AD4}"/>
    <hyperlink ref="C7794" r:id="rId1200" xr:uid="{33DE680B-A154-444E-BC99-41256BCB2360}"/>
    <hyperlink ref="C7891" r:id="rId1201" xr:uid="{BE873C61-74AD-4027-8962-D12DE40DB8D0}"/>
    <hyperlink ref="C7971" r:id="rId1202" xr:uid="{A0950EEB-999A-4632-8E72-E5F1BF05BF77}"/>
    <hyperlink ref="C8037" r:id="rId1203" xr:uid="{4918EC1A-15F3-48CE-9F45-63CDBF801D84}"/>
    <hyperlink ref="C8102" r:id="rId1204" xr:uid="{7EE2D1B0-6675-4BAD-B1D8-30AFF9F2CCB5}"/>
    <hyperlink ref="C8165" r:id="rId1205" xr:uid="{3C63F256-A29D-420A-83AD-6A42D4317765}"/>
    <hyperlink ref="C8229" r:id="rId1206" xr:uid="{C5B5E0CF-9D94-4F31-9D43-6CD45E37E1BD}"/>
    <hyperlink ref="C8289" r:id="rId1207" xr:uid="{22463295-AD58-4897-ACCF-1852E993B20C}"/>
    <hyperlink ref="C8345" r:id="rId1208" xr:uid="{CD4E88A7-B8ED-46A0-9223-CED49A617D88}"/>
    <hyperlink ref="C8401" r:id="rId1209" xr:uid="{5FF2D0C4-5D1F-4D4C-BE7C-E17CA5B6AB03}"/>
    <hyperlink ref="C8457" r:id="rId1210" xr:uid="{9E425DFF-2684-4161-B287-488D9BF24BE8}"/>
    <hyperlink ref="C8513" r:id="rId1211" xr:uid="{F87D73E2-765F-4FB1-B488-2AD320147676}"/>
    <hyperlink ref="C8569" r:id="rId1212" xr:uid="{D6BFCB11-6B42-463E-BF3C-B7488C64E840}"/>
    <hyperlink ref="C8625" r:id="rId1213" xr:uid="{E12C9798-E80D-4E17-A57B-E35C0E3130A6}"/>
    <hyperlink ref="C8680" r:id="rId1214" xr:uid="{1AB92F66-D39B-486A-AF39-70AF49C082D1}"/>
    <hyperlink ref="C8734" r:id="rId1215" xr:uid="{6EDEDE99-49F2-48B2-BD30-664F0B0F8FB6}"/>
    <hyperlink ref="C8787" r:id="rId1216" xr:uid="{72BBAF89-C709-43ED-AC6B-BD7CCB2C188F}"/>
    <hyperlink ref="C8838" r:id="rId1217" xr:uid="{2A731A40-7D0D-4E9E-A347-01CBEAE9162E}"/>
    <hyperlink ref="C8886" r:id="rId1218" xr:uid="{48CD92F1-0DE4-4F0F-B271-8D7CFC34734F}"/>
    <hyperlink ref="C8933" r:id="rId1219" xr:uid="{40115ED0-6363-48BB-9E55-747375CA94D3}"/>
    <hyperlink ref="C8980" r:id="rId1220" xr:uid="{F79DD650-CCE7-4002-9ED1-20F44C2772DD}"/>
    <hyperlink ref="C9026" r:id="rId1221" xr:uid="{896F9D78-727F-464B-BC0F-7FB3824EAE10}"/>
    <hyperlink ref="C9071" r:id="rId1222" xr:uid="{0E03A989-D5B5-4F66-8F05-F8B371D27148}"/>
    <hyperlink ref="C9116" r:id="rId1223" xr:uid="{6845D579-3B65-4CB2-8248-731AB02198D7}"/>
    <hyperlink ref="C9161" r:id="rId1224" xr:uid="{A9A0B9E4-16D2-463D-8D1A-6F86A567438C}"/>
    <hyperlink ref="C9206" r:id="rId1225" xr:uid="{D57B6FD2-B20C-4198-9C2F-FC1723E24D6A}"/>
    <hyperlink ref="C9251" r:id="rId1226" xr:uid="{E546E3F4-7FFF-4008-8F72-A8CED722E559}"/>
    <hyperlink ref="C9295" r:id="rId1227" xr:uid="{2A98C2BD-4E0B-4EB3-A32D-F71215D5092C}"/>
    <hyperlink ref="C9339" r:id="rId1228" xr:uid="{FCF4820C-85EF-452B-9CFF-D651B3B8D4AD}"/>
    <hyperlink ref="C9383" r:id="rId1229" xr:uid="{DE2CDDA1-656D-4F12-8082-DBDCB7FEA9C8}"/>
    <hyperlink ref="C9426" r:id="rId1230" xr:uid="{4D3610F2-A38E-4BCB-9728-5E31DECB2C62}"/>
    <hyperlink ref="C9463" r:id="rId1231" xr:uid="{C227F1F6-D6CA-48F5-8218-4B15EDD73343}"/>
    <hyperlink ref="C9500" r:id="rId1232" xr:uid="{7DAE3FEE-9AFE-439F-9DAE-6A21FBB661A7}"/>
    <hyperlink ref="C9536" r:id="rId1233" xr:uid="{0F9A1B67-E2B5-4C4A-9D4D-47906F53FD97}"/>
    <hyperlink ref="C9572" r:id="rId1234" xr:uid="{B28CEC7E-8F9E-4FEC-A507-8F97DCAF6757}"/>
    <hyperlink ref="C9606" r:id="rId1235" xr:uid="{E70B7587-935D-4A7E-BA2C-0BAB606A46B1}"/>
    <hyperlink ref="C9639" r:id="rId1236" xr:uid="{FDC25D86-7B84-4037-9E26-C1DB6B9C05C9}"/>
    <hyperlink ref="C451:C452" r:id="rId1237" display="VERIFICAR" xr:uid="{A72D1AAA-B71E-427C-BE3F-D27D6A857A12}"/>
    <hyperlink ref="C9237" r:id="rId1238" xr:uid="{7EFEF276-9F69-41DB-81ED-F3A7B5E4BA09}"/>
    <hyperlink ref="C9192" r:id="rId1239" xr:uid="{9470515B-4418-45D7-A88D-F09DBEB3B59E}"/>
    <hyperlink ref="C9147" r:id="rId1240" xr:uid="{1347AAA9-4A7B-4825-95A1-291A8B5F2FE9}"/>
    <hyperlink ref="C9102" r:id="rId1241" xr:uid="{73AE95D1-9BBE-45CA-94D4-6234E861AD11}"/>
    <hyperlink ref="C9057" r:id="rId1242" xr:uid="{8F0AC4C1-2128-4EBC-9B8E-164163B7B4B1}"/>
    <hyperlink ref="C9011" r:id="rId1243" xr:uid="{A4445826-EF0C-4616-AEBD-70DA27DB0AE3}"/>
    <hyperlink ref="C8964" r:id="rId1244" xr:uid="{DBF8CF72-939D-4015-84FD-CB971ED922E0}"/>
    <hyperlink ref="C8917" r:id="rId1245" xr:uid="{3921ACC3-C58C-48A2-A844-EBA7A9CE9A45}"/>
    <hyperlink ref="C8870" r:id="rId1246" xr:uid="{EAD9D988-BB40-42DC-B36C-46A621AABAA8}"/>
    <hyperlink ref="C8821" r:id="rId1247" xr:uid="{1724798C-AD81-46AE-B5D3-20CD9028D118}"/>
    <hyperlink ref="C8768" r:id="rId1248" xr:uid="{B44E7B52-6FE8-4FF5-9EFF-630B47956207}"/>
    <hyperlink ref="C8716" r:id="rId1249" xr:uid="{9521BBB3-A654-425E-888A-B5EDED3305ED}"/>
    <hyperlink ref="C8661" r:id="rId1250" xr:uid="{5C527411-5D91-4F28-AC4A-032638E7C36A}"/>
    <hyperlink ref="C8605" r:id="rId1251" xr:uid="{E986056B-545B-4DEB-A6FB-B4C879067775}"/>
    <hyperlink ref="C8550" r:id="rId1252" xr:uid="{A3525BA3-6CD8-4868-92EF-A1359DABAB75}"/>
    <hyperlink ref="C8381" r:id="rId1253" xr:uid="{AFDBDFC7-0CCB-4D81-9CFD-6D0A4D5EC291}"/>
    <hyperlink ref="C8326" r:id="rId1254" xr:uid="{3AE69102-ED20-47CC-84FF-FEBA432F71BB}"/>
    <hyperlink ref="C8493" r:id="rId1255" xr:uid="{8D19376F-E5F3-49F4-A025-FF206ED06075}"/>
    <hyperlink ref="C8438" r:id="rId1256" xr:uid="{66BDA5AD-A7AD-476C-AFC4-24418131BF47}"/>
    <hyperlink ref="C8268" r:id="rId1257" xr:uid="{9129B4A3-ADD1-426B-9138-8B6590F5F235}"/>
    <hyperlink ref="C8203" r:id="rId1258" xr:uid="{795DC079-5F67-413F-B707-6C15CEF10844}"/>
    <hyperlink ref="C8141" r:id="rId1259" xr:uid="{E4556D00-EDAB-4240-B3DF-1F0ECFEB0E0B}"/>
    <hyperlink ref="C8011" r:id="rId1260" xr:uid="{EA85F350-B927-4569-9D3E-4CA757D06E5D}"/>
    <hyperlink ref="C8076" r:id="rId1261" xr:uid="{7FB3E7BF-4908-4D8F-96C6-D6214EDC6759}"/>
    <hyperlink ref="C7938" r:id="rId1262" xr:uid="{DC0FD635-A824-4C2B-9EA8-6CC95AC2A17E}"/>
    <hyperlink ref="C7846" r:id="rId1263" xr:uid="{1CC9A245-EA99-487C-B9A2-467044675B62}"/>
    <hyperlink ref="C7745" r:id="rId1264" xr:uid="{6DDFA0C4-32DE-4BA0-9BB4-9809E407B4DA}"/>
    <hyperlink ref="C7591" r:id="rId1265" xr:uid="{F788508E-3231-4CC6-ADA6-7C1304DAAAF3}"/>
    <hyperlink ref="C7184" r:id="rId1266" xr:uid="{1015F433-938A-45B1-BA83-D397CDEB8E48}"/>
    <hyperlink ref="C6474" r:id="rId1267" xr:uid="{404F4C48-D73D-4A9F-816A-18B1DCB291FB}"/>
    <hyperlink ref="C5265" r:id="rId1268" xr:uid="{24898F04-F539-4080-A3EF-D946874B62D6}"/>
    <hyperlink ref="C3946" r:id="rId1269" xr:uid="{B99CE291-1770-46C0-A01E-8788D83A65FE}"/>
    <hyperlink ref="C2586" r:id="rId1270" xr:uid="{7D17CA86-2732-44D2-B862-51AC4265AB37}"/>
    <hyperlink ref="C1336" r:id="rId1271" xr:uid="{9D604041-EEC8-4636-8665-E0F784746485}"/>
    <hyperlink ref="C9567" r:id="rId1272" xr:uid="{DC9E35DA-A4EC-4A31-99E8-3A3CFDDCBBC7}"/>
    <hyperlink ref="C9531" r:id="rId1273" xr:uid="{C960F2F5-18C2-4F18-B56B-A2CA2F9A288D}"/>
    <hyperlink ref="C9494" r:id="rId1274" xr:uid="{6B12FE8A-390B-42FE-9EDC-FAC8EF4B0C22}"/>
    <hyperlink ref="C9457" r:id="rId1275" xr:uid="{DB6FA1B6-A68F-4D45-B877-885525EE8CC9}"/>
    <hyperlink ref="C9414" r:id="rId1276" xr:uid="{83031602-D111-47F4-A9C7-97093E3F7A51}"/>
    <hyperlink ref="C9370" r:id="rId1277" xr:uid="{7B200B19-8F9B-4178-8ABA-ED92BD08A47C}"/>
    <hyperlink ref="C9326" r:id="rId1278" xr:uid="{D90BB4C0-ECE0-4958-9999-A9297404C6E0}"/>
    <hyperlink ref="C9282" r:id="rId1279" xr:uid="{235CB60E-980F-4FBE-BC16-5ADDE4D70BDF}"/>
    <hyperlink ref="C9238" r:id="rId1280" xr:uid="{8C913F2E-C8A7-4CB5-B705-0004B1D55401}"/>
    <hyperlink ref="C9193" r:id="rId1281" xr:uid="{12CEC326-91BB-48D6-9E9D-741E4682B0BA}"/>
    <hyperlink ref="C9148" r:id="rId1282" xr:uid="{83B06A9D-602C-495E-9A1A-028AA48DEF85}"/>
    <hyperlink ref="C9103" r:id="rId1283" xr:uid="{A1ED9AE7-D224-4C87-B48C-78802F5BBAF4}"/>
    <hyperlink ref="C9058" r:id="rId1284" xr:uid="{47B09D20-74E6-44BD-9115-78F36FEB2DD1}"/>
    <hyperlink ref="C9012" r:id="rId1285" xr:uid="{5EA2E3B2-9446-4FAB-A396-E4B5F4828CD6}"/>
    <hyperlink ref="C8966" r:id="rId1286" xr:uid="{B54A7360-7336-474E-BD5C-0675180023D8}"/>
    <hyperlink ref="C8919" r:id="rId1287" xr:uid="{54DE54B2-1BF3-4261-AEDF-DDA8AE92BE23}"/>
    <hyperlink ref="C8872" r:id="rId1288" xr:uid="{889CABDE-2FCE-4BBB-B8C9-B5AA44BF07BB}"/>
    <hyperlink ref="C8823" r:id="rId1289" xr:uid="{5DD30978-74B8-47BA-85BC-BDD996554CDC}"/>
    <hyperlink ref="C8771" r:id="rId1290" xr:uid="{A06BFDB5-F3C1-4465-A5BC-B31520185D93}"/>
    <hyperlink ref="C8718" r:id="rId1291" xr:uid="{67A8F536-F3FB-4F51-91D1-BCD852586B80}"/>
    <hyperlink ref="C8663" r:id="rId1292" xr:uid="{06F66CE3-4829-4B9A-8638-D06F59ABD722}"/>
    <hyperlink ref="C8608" r:id="rId1293" xr:uid="{8A833649-415D-4519-A073-4FE324009A37}"/>
    <hyperlink ref="C8552" r:id="rId1294" xr:uid="{E4F7634A-0237-4BC4-82D4-C53DCE50A35C}"/>
    <hyperlink ref="C8496" r:id="rId1295" xr:uid="{8E54BACC-3877-48EB-9EDD-00F15753AFC0}"/>
    <hyperlink ref="C8440" r:id="rId1296" xr:uid="{0B628261-2E58-49C8-89A0-3FE9BF03AB88}"/>
    <hyperlink ref="C8384" r:id="rId1297" xr:uid="{D97CC3FF-BF6B-4811-9B6B-6D7A103C81D9}"/>
    <hyperlink ref="C8328" r:id="rId1298" xr:uid="{8FB6A2B2-06BA-432E-AEF4-C9F57037D76B}"/>
    <hyperlink ref="C8270" r:id="rId1299" xr:uid="{0528F257-3D88-4878-B4BC-E08C1BC398D9}"/>
    <hyperlink ref="C8207" r:id="rId1300" xr:uid="{3938068F-4BC5-4247-8E69-2ED9A0A59126}"/>
    <hyperlink ref="C8144" r:id="rId1301" xr:uid="{5F7BE767-C019-4A2B-8831-02A2DFA22BE3}"/>
    <hyperlink ref="C8080" r:id="rId1302" xr:uid="{9C098621-1752-41AF-9B0B-DA2A8F04320F}"/>
    <hyperlink ref="C8015" r:id="rId1303" xr:uid="{CC370682-8C2F-4E96-85FE-1317533486F6}"/>
    <hyperlink ref="C7942" r:id="rId1304" xr:uid="{AA1FCDCA-6CE4-4CB3-9555-9DE0CC79694F}"/>
    <hyperlink ref="C7853" r:id="rId1305" xr:uid="{A50228A2-BA49-4FD4-A4D8-81C7A515DE21}"/>
    <hyperlink ref="C7752" r:id="rId1306" xr:uid="{889379A5-CD57-43E1-965A-0392B8551365}"/>
    <hyperlink ref="C7608" r:id="rId1307" xr:uid="{B7750CD7-593B-4828-BADB-CBB9D2BD7DD6}"/>
    <hyperlink ref="C7228" r:id="rId1308" xr:uid="{FB2D2543-F7BC-4C1F-9673-5811A413916A}"/>
    <hyperlink ref="C6536" r:id="rId1309" xr:uid="{AB44C777-F75B-4084-8774-C9B075110630}"/>
    <hyperlink ref="C5307" r:id="rId1310" xr:uid="{F3411AB1-CD38-4E93-A694-A8C49C56D4B8}"/>
    <hyperlink ref="C4050" r:id="rId1311" xr:uid="{BF7749B7-03F0-41F8-8B21-334A19F92AEB}"/>
    <hyperlink ref="C2677" r:id="rId1312" xr:uid="{E3A8440D-DA01-468F-AC9D-0B50F46594ED}"/>
    <hyperlink ref="C1416" r:id="rId1313" xr:uid="{824D3749-5921-48B0-B9C4-DABB8DB66791}"/>
    <hyperlink ref="C86" r:id="rId1314" xr:uid="{88A70DCC-21E2-46F0-BACD-203C8179E6CE}"/>
    <hyperlink ref="C10311" r:id="rId1315" xr:uid="{D9016C09-D431-4C75-8FA5-7D508BAD1294}"/>
    <hyperlink ref="C7225" r:id="rId1316" xr:uid="{6404A485-3D96-465E-B70B-1D8809B46C54}"/>
    <hyperlink ref="C6527" r:id="rId1317" xr:uid="{041146DB-D1F5-433B-9711-AEC21A7E0C3E}"/>
    <hyperlink ref="C5471" r:id="rId1318" xr:uid="{DD729E0B-C8D2-4E10-85C3-F987E6D29F17}"/>
    <hyperlink ref="C4008" r:id="rId1319" xr:uid="{0573689F-C9FB-4A8A-809B-CE00B63516F6}"/>
    <hyperlink ref="C2673" r:id="rId1320" xr:uid="{9DE75647-957F-4F42-96A4-54CAA4FAD7D6}"/>
    <hyperlink ref="C1415" r:id="rId1321" xr:uid="{28773F92-86A7-4361-9029-F12B7BADA1B2}"/>
    <hyperlink ref="C64" r:id="rId1322" xr:uid="{2D46D0C6-CA68-4A9C-BB62-C3FF05B6DCD7}"/>
    <hyperlink ref="C7861" r:id="rId1323" xr:uid="{8D47EA49-FD85-45DE-A5AE-945EC883804C}"/>
    <hyperlink ref="C7762" r:id="rId1324" xr:uid="{6E08CCBE-E6DF-4963-AE22-BA624BA98E74}"/>
    <hyperlink ref="C7627" r:id="rId1325" xr:uid="{37F080AD-07F5-4AED-A5EB-0F9E5C961544}"/>
    <hyperlink ref="C7290" r:id="rId1326" xr:uid="{AB6AE707-1810-434A-BF74-722CB3B60220}"/>
    <hyperlink ref="C6669" r:id="rId1327" xr:uid="{91C7C91B-AB34-439E-95B7-6B22D5F4733E}"/>
    <hyperlink ref="C5869" r:id="rId1328" xr:uid="{4C28DA76-11D6-4F6D-8AD1-8AFE83BF38ED}"/>
    <hyperlink ref="C4322" r:id="rId1329" xr:uid="{6FEAE471-E930-4640-9938-9EDAA9D1888D}"/>
    <hyperlink ref="C2896" r:id="rId1330" xr:uid="{C3C9207B-B62E-4CDB-8607-18C9DDA215E5}"/>
    <hyperlink ref="C1619" r:id="rId1331" xr:uid="{4BF936D7-6926-4F00-B173-29ECAF357E53}"/>
    <hyperlink ref="C286" r:id="rId1332" xr:uid="{42FB14CE-E148-4DAF-BE61-D2B2E2392C34}"/>
    <hyperlink ref="C8709" r:id="rId1333" xr:uid="{3477A737-0576-496C-A1AA-ECEC7735DDAA}"/>
    <hyperlink ref="C8655" r:id="rId1334" xr:uid="{6C8BFAAF-0A28-4259-970D-1C983E1AE50F}"/>
    <hyperlink ref="C8599" r:id="rId1335" xr:uid="{C259E414-E206-4C3E-9850-A82CD51C72AB}"/>
    <hyperlink ref="C8542" r:id="rId1336" xr:uid="{AAB733B0-5F95-4370-8FC7-46383D2214F3}"/>
    <hyperlink ref="C8487" r:id="rId1337" xr:uid="{99D28525-0768-4902-BA75-C75B30177C81}"/>
    <hyperlink ref="C8431" r:id="rId1338" xr:uid="{23FC124A-2376-4C28-8A0C-335B7E8B81CC}"/>
    <hyperlink ref="C8374" r:id="rId1339" xr:uid="{6ECEF508-2EE3-403B-9FC6-6477515E6D45}"/>
    <hyperlink ref="C8319" r:id="rId1340" xr:uid="{3966F1B3-2E98-487D-B3CE-04D055485CB4}"/>
    <hyperlink ref="C8259" r:id="rId1341" xr:uid="{E9B96AFA-9B15-4797-BCEE-5B88F41FA01C}"/>
    <hyperlink ref="C8194" r:id="rId1342" xr:uid="{DAE17C2B-0919-4A1D-A445-EE5F8E76275F}"/>
    <hyperlink ref="C8132" r:id="rId1343" xr:uid="{6E94DBD6-5ED4-4CFE-8A06-1E4A68876019}"/>
    <hyperlink ref="C8067" r:id="rId1344" xr:uid="{87EC15F6-05B7-4A99-ABC4-B5D8AB22A77E}"/>
    <hyperlink ref="C8000" r:id="rId1345" xr:uid="{83E353FF-C38F-4A82-8918-511F48C8E958}"/>
    <hyperlink ref="C7921" r:id="rId1346" xr:uid="{C2C38AA2-848C-4F56-91EB-1319D9CD3981}"/>
    <hyperlink ref="C7827" r:id="rId1347" xr:uid="{B2A59022-755F-4DEF-AF4B-F941A14CEC8F}"/>
    <hyperlink ref="C7706" r:id="rId1348" xr:uid="{154DCA8B-2263-43D2-AA9D-1D48F45FA791}"/>
    <hyperlink ref="C7451" r:id="rId1349" xr:uid="{4CB7EFAF-08F3-41E6-8FBF-3819EEED7C6F}"/>
    <hyperlink ref="C6915" r:id="rId1350" xr:uid="{36DC732D-35FA-4199-A3BE-2BC2A3BD8F42}"/>
    <hyperlink ref="C6021" r:id="rId1351" xr:uid="{597B7BDE-E6AE-4011-A05D-3B8DC6C67F68}"/>
    <hyperlink ref="C4694" r:id="rId1352" xr:uid="{488DF9A0-4F19-446B-919F-5623437086EB}"/>
    <hyperlink ref="C3267" r:id="rId1353" xr:uid="{CAE03181-D74A-4973-AD94-1FE0D4CF7412}"/>
    <hyperlink ref="C1993" r:id="rId1354" xr:uid="{BB89C8EF-6E30-42C2-A1F6-F5A5DF898F86}"/>
    <hyperlink ref="C697" r:id="rId1355" xr:uid="{CCD92063-7C5F-47E6-B1BC-96FFEBB5EC18}"/>
    <hyperlink ref="C9703" r:id="rId1356" xr:uid="{59202C7E-E1C6-47C6-9DAF-C4B1774CD1E8}"/>
    <hyperlink ref="C9671" r:id="rId1357" xr:uid="{047273BE-F3D3-490E-9CEB-66324DB19C35}"/>
    <hyperlink ref="C8201" r:id="rId1358" xr:uid="{2D916CF3-6045-4F00-BD4A-033B5974CB8D}"/>
    <hyperlink ref="C8138" r:id="rId1359" xr:uid="{B8D66BC2-ECC1-4C95-A955-A7DD16DFDE4B}"/>
    <hyperlink ref="C8074" r:id="rId1360" xr:uid="{1AD509D6-02EB-4E45-AB61-4340374318B6}"/>
    <hyperlink ref="C8008" r:id="rId1361" xr:uid="{5DB9D794-66C0-4BDE-8A6A-19AF16B87795}"/>
    <hyperlink ref="C7934" r:id="rId1362" xr:uid="{47EEBC32-CC17-48AD-9A9B-73D56F518687}"/>
    <hyperlink ref="C7843" r:id="rId1363" xr:uid="{3F11B56A-5625-44CF-A9DF-C9843573AD1F}"/>
    <hyperlink ref="C7739" r:id="rId1364" xr:uid="{0AAD97DF-48B1-405D-BC55-09482DD182F9}"/>
    <hyperlink ref="C7578" r:id="rId1365" xr:uid="{9526B82C-AEA0-4773-821A-186E6E8B499F}"/>
    <hyperlink ref="C7155" r:id="rId1366" xr:uid="{0F1F7FB3-9A22-43D5-9CAA-B53B1333B42E}"/>
    <hyperlink ref="C6472" r:id="rId1367" xr:uid="{82DF8B52-0E93-4996-9F23-082254400884}"/>
    <hyperlink ref="C5173" r:id="rId1368" xr:uid="{C8B2885A-B01D-4075-B833-897E70BA4C90}"/>
    <hyperlink ref="C3797" r:id="rId1369" xr:uid="{5DFF6424-655D-490B-B093-A2F1C79D63EC}"/>
    <hyperlink ref="C2501" r:id="rId1370" xr:uid="{1BB5CCC1-9E1B-4D7A-87A4-4698A9058C77}"/>
    <hyperlink ref="C1198" r:id="rId1371" xr:uid="{E4923FF1-9891-4C47-8642-2CE3E850CB44}"/>
    <hyperlink ref="C9565" r:id="rId1372" xr:uid="{EB52972E-C2B9-4D03-89DE-2F7ADC4FC1A6}"/>
    <hyperlink ref="C9529" r:id="rId1373" xr:uid="{46927E61-8797-45F3-A270-588FE15679F6}"/>
    <hyperlink ref="C9492" r:id="rId1374" xr:uid="{32410B4D-3809-4A69-888F-23139B8447F4}"/>
    <hyperlink ref="C9455" r:id="rId1375" xr:uid="{CF63B990-ADFB-493D-973D-866E5711AB0B}"/>
    <hyperlink ref="C9412" r:id="rId1376" xr:uid="{8C9F8AE8-DA42-47E3-BEA9-5786427188E4}"/>
    <hyperlink ref="C9368" r:id="rId1377" xr:uid="{3CDD7519-C505-40A5-AF65-C047AC560B8F}"/>
    <hyperlink ref="C9324" r:id="rId1378" xr:uid="{04EC1CF3-609A-475E-8EFB-52C833D84CB2}"/>
    <hyperlink ref="C9280" r:id="rId1379" xr:uid="{EC533499-572B-4759-BC42-6EEBB57626F9}"/>
    <hyperlink ref="C9235" r:id="rId1380" xr:uid="{6835DDE6-DD94-436E-9070-BBBFB2E54655}"/>
    <hyperlink ref="C9190" r:id="rId1381" xr:uid="{C3A9E594-7AF7-4605-ACF9-FB875569D313}"/>
    <hyperlink ref="C9145" r:id="rId1382" xr:uid="{439556ED-1717-407F-8AE7-C287C60282A7}"/>
    <hyperlink ref="C9100" r:id="rId1383" xr:uid="{492AF562-E8E0-4C91-8F78-4CD7121C6CB3}"/>
    <hyperlink ref="C9055" r:id="rId1384" xr:uid="{45B37909-2E27-4081-B99F-89879926AC7A}"/>
    <hyperlink ref="C9009" r:id="rId1385" xr:uid="{65E6E7D7-474B-40A8-8ABC-98DC3F1A5837}"/>
    <hyperlink ref="C8962" r:id="rId1386" xr:uid="{92088D2D-CB23-475A-AEF5-31432578237D}"/>
    <hyperlink ref="C8915" r:id="rId1387" xr:uid="{C5FF9A63-6FEE-473E-999A-B3DFC0A550C1}"/>
    <hyperlink ref="C8868" r:id="rId1388" xr:uid="{3D066968-5972-42E1-984E-2F99A73B4F67}"/>
    <hyperlink ref="C8819" r:id="rId1389" xr:uid="{B656FCFE-E3F4-49FE-ABDA-94C3079F80EC}"/>
    <hyperlink ref="C8766" r:id="rId1390" xr:uid="{CA435916-0BB8-463E-AEEA-C6621E74B163}"/>
    <hyperlink ref="C8713" r:id="rId1391" xr:uid="{9924B36E-CB0F-4066-BC53-88E38BF5C976}"/>
    <hyperlink ref="C8658" r:id="rId1392" xr:uid="{198F269C-695D-4066-A99F-90F984A262CF}"/>
    <hyperlink ref="C8603" r:id="rId1393" xr:uid="{D5D9D4D0-4EA1-40A4-92E1-297E3D3F3A13}"/>
    <hyperlink ref="C8547" r:id="rId1394" xr:uid="{BDBFA046-82E1-4F6E-B828-DC446BCC3801}"/>
    <hyperlink ref="C8491" r:id="rId1395" xr:uid="{D9E2B0BC-F95A-464E-8F20-37A01F92F6A7}"/>
    <hyperlink ref="C8435" r:id="rId1396" xr:uid="{C148B7C3-031D-4798-B1BB-B50DB7152ECE}"/>
    <hyperlink ref="C8379" r:id="rId1397" xr:uid="{5CE7DD47-2647-4E69-9191-1342A79E3F3B}"/>
    <hyperlink ref="C8323" r:id="rId1398" xr:uid="{AFC605B9-D9A7-46F4-8C61-806EE009EED7}"/>
    <hyperlink ref="C8264" r:id="rId1399" xr:uid="{DB2C4044-05F9-47DB-9984-52D4B9A7655D}"/>
    <hyperlink ref="C8199" r:id="rId1400" xr:uid="{05A3C436-9523-4B68-BC56-076FB90877D0}"/>
    <hyperlink ref="C8136" r:id="rId1401" xr:uid="{44F78DD4-845F-4B11-B7B1-9D387E242472}"/>
    <hyperlink ref="C8072" r:id="rId1402" xr:uid="{08A0B088-2E4D-40E3-AB03-A4620F5AA017}"/>
    <hyperlink ref="C8006" r:id="rId1403" xr:uid="{943F69B0-97D2-455E-B56C-0E1BFFF0E70E}"/>
    <hyperlink ref="C7930" r:id="rId1404" xr:uid="{C768429F-221D-4676-A535-5B656871F17E}"/>
    <hyperlink ref="C7839" r:id="rId1405" xr:uid="{98D6CBB8-A681-433E-BAAE-20C0F4EF2F1C}"/>
    <hyperlink ref="C7729" r:id="rId1406" xr:uid="{C056F469-CA4C-440C-8294-F07E4C8CE37B}"/>
    <hyperlink ref="C7547" r:id="rId1407" xr:uid="{995FF4E1-D330-4FED-8239-9FF6CF327B00}"/>
    <hyperlink ref="C7112" r:id="rId1408" xr:uid="{C58C195F-266E-46C6-9809-5A5791F17FE1}"/>
    <hyperlink ref="C6399" r:id="rId1409" xr:uid="{D5432606-3B1F-4FFD-B204-F0D3356C8638}"/>
    <hyperlink ref="C5053" r:id="rId1410" xr:uid="{4FF0C018-766C-4F80-A272-10763F0D1368}"/>
    <hyperlink ref="C3739" r:id="rId1411" xr:uid="{4A246020-69E5-4179-B7C6-EE6075F83886}"/>
    <hyperlink ref="C2436" r:id="rId1412" xr:uid="{78DF6CF3-EDE2-463A-9DE3-C1736EB5C906}"/>
    <hyperlink ref="C1142" r:id="rId1413" xr:uid="{61A913D0-71B6-486E-B25E-2A42FF57EF07}"/>
    <hyperlink ref="C10131" r:id="rId1414" xr:uid="{00890C02-B3B6-47F9-84BD-DBF1473FC88E}"/>
    <hyperlink ref="C10105" r:id="rId1415" xr:uid="{E4BCF328-5782-44FB-B27E-D2E47E22D51D}"/>
    <hyperlink ref="C10078" r:id="rId1416" xr:uid="{0A79187C-F63B-41DD-8034-DA12B3BDAF62}"/>
    <hyperlink ref="C10050" r:id="rId1417" xr:uid="{869E31A6-2F25-4EBB-B4BE-3FAFE5F863C7}"/>
    <hyperlink ref="C10021" r:id="rId1418" xr:uid="{883A2900-45A8-433E-A146-DC7F4D310C5E}"/>
    <hyperlink ref="C9992" r:id="rId1419" xr:uid="{930B097E-3584-480D-AC42-F50CA48A9F93}"/>
    <hyperlink ref="C9963" r:id="rId1420" xr:uid="{76A9D1AE-416F-4654-8207-23716878095A}"/>
    <hyperlink ref="C9934" r:id="rId1421" xr:uid="{F99B0170-01CA-486A-8745-6FA57A77C510}"/>
    <hyperlink ref="C9905" r:id="rId1422" xr:uid="{444826E2-CC4F-4BD6-A358-ED1BD55E17E4}"/>
    <hyperlink ref="C9876" r:id="rId1423" xr:uid="{A2D0F2E2-7CBA-408A-81FA-E215DDA39EAB}"/>
    <hyperlink ref="C9847" r:id="rId1424" xr:uid="{783E5215-05D1-4CC2-9EBC-F192078CEAA9}"/>
    <hyperlink ref="C9818" r:id="rId1425" xr:uid="{302F1AF5-2E00-4F56-889C-14D44DC9DC41}"/>
    <hyperlink ref="C9789" r:id="rId1426" xr:uid="{EB2411EE-A5BD-4BD2-A552-3B4550FBCC21}"/>
    <hyperlink ref="C9760" r:id="rId1427" xr:uid="{9BB13289-579C-435E-B075-3B276B6B414F}"/>
    <hyperlink ref="C9731" r:id="rId1428" xr:uid="{18112B8A-06EF-4ED4-AC63-880E06224C31}"/>
    <hyperlink ref="C9699" r:id="rId1429" xr:uid="{E2B2AF41-EB98-45FF-A2E6-B391B3264AA5}"/>
    <hyperlink ref="C9667" r:id="rId1430" xr:uid="{3ECC0DEE-DAA3-409A-891D-AA3B72DC633A}"/>
    <hyperlink ref="C9634" r:id="rId1431" xr:uid="{3B7F56DA-F078-4E86-BF40-23998AD5C120}"/>
    <hyperlink ref="C9600" r:id="rId1432" xr:uid="{95181588-62EE-4AD9-BBFD-3CBD6FBB8395}"/>
    <hyperlink ref="C9564" r:id="rId1433" xr:uid="{EDE30BDB-376C-4C27-8D67-DB08D98311BA}"/>
    <hyperlink ref="C9528" r:id="rId1434" xr:uid="{1397ECAA-25B2-47AF-8D41-203A9C3C7959}"/>
    <hyperlink ref="C9491" r:id="rId1435" xr:uid="{249D2FA0-4305-437E-B059-716A87504A42}"/>
    <hyperlink ref="C9454" r:id="rId1436" xr:uid="{DEA64152-424E-4210-A022-F4ADB818D8ED}"/>
    <hyperlink ref="C9411" r:id="rId1437" xr:uid="{3BB059A0-3301-4AFE-9F2B-740396A6205A}"/>
    <hyperlink ref="C9367" r:id="rId1438" xr:uid="{B3DABAB6-2361-40E2-9577-2EE8C7CC6A8D}"/>
    <hyperlink ref="C9323" r:id="rId1439" xr:uid="{0FB83EDE-044A-4F2A-B832-78DC28C3FE65}"/>
    <hyperlink ref="C9279" r:id="rId1440" xr:uid="{B854AFA0-9D62-414E-B809-65E06DB47D84}"/>
    <hyperlink ref="C9234" r:id="rId1441" xr:uid="{55326108-6C1A-480E-AF06-904C056728C7}"/>
    <hyperlink ref="C9189" r:id="rId1442" xr:uid="{4A9E3F7F-0622-4C26-B349-E56487713EE0}"/>
    <hyperlink ref="C9144" r:id="rId1443" xr:uid="{E45CF9AD-5638-4935-B08C-DCBEFDCB53C6}"/>
    <hyperlink ref="C9099" r:id="rId1444" xr:uid="{95BE539C-6E42-4EF6-95BC-05ED2ED3BD32}"/>
    <hyperlink ref="C9054" r:id="rId1445" xr:uid="{DEAEB8F2-D51D-4278-8ED4-1866565CBCD7}"/>
    <hyperlink ref="C9008" r:id="rId1446" xr:uid="{7561E639-E4D4-4776-8392-122A9DF642EC}"/>
    <hyperlink ref="C8961" r:id="rId1447" xr:uid="{61607E31-5431-41B5-A5E9-88E81BB0F90F}"/>
    <hyperlink ref="C8914" r:id="rId1448" xr:uid="{925AFDDB-5AD7-4B55-8F6D-BA682D44C304}"/>
    <hyperlink ref="C8867" r:id="rId1449" xr:uid="{4644E7EB-806D-4F98-BFD1-29221F72EAAE}"/>
    <hyperlink ref="C8818" r:id="rId1450" xr:uid="{7202CA1C-56AE-4C72-9B1C-1B98665B5D46}"/>
    <hyperlink ref="C8765" r:id="rId1451" xr:uid="{3646BACC-FF6D-48EE-9632-C4641E4001BC}"/>
    <hyperlink ref="C8712" r:id="rId1452" xr:uid="{89DFAF01-F9EC-4C7F-B9EF-448139D8C42F}"/>
    <hyperlink ref="C8657" r:id="rId1453" xr:uid="{D8D63D28-7683-4349-B295-92F77B55A595}"/>
    <hyperlink ref="C8602" r:id="rId1454" xr:uid="{D74D5728-CC45-4F2D-B0C1-F76E56E390D0}"/>
    <hyperlink ref="C8546" r:id="rId1455" xr:uid="{4167CE7D-20BE-460D-8F02-412391D61256}"/>
    <hyperlink ref="C8490" r:id="rId1456" xr:uid="{8E3B7A68-D595-4DD1-A90F-84D56FEA5E98}"/>
    <hyperlink ref="C8434" r:id="rId1457" xr:uid="{48FCDBD5-FD9A-4710-96E1-F13E9792F572}"/>
    <hyperlink ref="C8378" r:id="rId1458" xr:uid="{B0C8794D-89AF-4409-8F24-3D271FF1DE3C}"/>
    <hyperlink ref="C8322" r:id="rId1459" xr:uid="{294AC99A-7116-446E-B727-4BC4B6FC26CD}"/>
    <hyperlink ref="C8263" r:id="rId1460" xr:uid="{4FF5C59D-5F9E-4A8E-8FE7-485D0DE7F11C}"/>
    <hyperlink ref="C8198" r:id="rId1461" xr:uid="{1EC10E7D-E4D9-406D-A5A2-5DA375DCE8F5}"/>
    <hyperlink ref="C8135" r:id="rId1462" xr:uid="{DEAF4C38-9E04-4D63-8B48-87E223A6601F}"/>
    <hyperlink ref="C8071" r:id="rId1463" xr:uid="{C7841FB0-3011-4F8C-BF1E-FB93A6C45D8C}"/>
    <hyperlink ref="C8005" r:id="rId1464" xr:uid="{222840A4-15D3-4B49-8CC3-A4230DA25004}"/>
    <hyperlink ref="C7929" r:id="rId1465" xr:uid="{DBA1392C-8E85-4A81-878C-0D326392F208}"/>
    <hyperlink ref="C7838" r:id="rId1466" xr:uid="{8559885F-2549-42E7-9982-FED90F337165}"/>
    <hyperlink ref="C7728" r:id="rId1467" xr:uid="{91152FD7-8CEE-4264-A528-204DE4B10ED6}"/>
    <hyperlink ref="C7542" r:id="rId1468" xr:uid="{2B12EA46-9639-449F-8788-89FE85408885}"/>
    <hyperlink ref="C7068" r:id="rId1469" xr:uid="{7FA301A3-CAD4-4FD7-BFF9-B1D5D2B4C5C0}"/>
    <hyperlink ref="C6333" r:id="rId1470" xr:uid="{A8E4EB4C-7DE3-4FB3-8565-9103DDD9F777}"/>
    <hyperlink ref="C4995" r:id="rId1471" xr:uid="{30A822BA-7C27-4D49-A9AF-C5FA663EFA50}"/>
    <hyperlink ref="C3609" r:id="rId1472" xr:uid="{01E27876-07E4-4275-A4AC-7196EA386074}"/>
    <hyperlink ref="C2389" r:id="rId1473" xr:uid="{615A0C26-848C-4E0F-86EE-B0298F8B5D46}"/>
    <hyperlink ref="C1018" r:id="rId1474" xr:uid="{87D2BC2E-5CC3-477C-9C58-91A5F9D792E4}"/>
    <hyperlink ref="C8866" r:id="rId1475" xr:uid="{AD146AA9-FEB1-47D6-860F-0ACBE0452DEA}"/>
    <hyperlink ref="C8817" r:id="rId1476" xr:uid="{370431ED-FE17-46FE-81B8-3630CB10D90C}"/>
    <hyperlink ref="C8764" r:id="rId1477" xr:uid="{20FD4496-6B7D-475E-A741-FCCAD7F3F65D}"/>
    <hyperlink ref="C8711" r:id="rId1478" xr:uid="{2C96C079-412B-441D-A3F8-1D5C5FEBB81B}"/>
    <hyperlink ref="C8656" r:id="rId1479" xr:uid="{5B686F5E-C01C-499E-BB2B-40EE0E244EAF}"/>
    <hyperlink ref="C8600" r:id="rId1480" xr:uid="{1427D82E-3F67-4BA1-8452-D68CF1144D74}"/>
    <hyperlink ref="C8544" r:id="rId1481" xr:uid="{2553D9C0-4354-4373-A84F-F269D9B3B1E1}"/>
    <hyperlink ref="C8488" r:id="rId1482" xr:uid="{D54C0FA8-8068-4AAC-B296-A568BED5AAC5}"/>
    <hyperlink ref="C8432" r:id="rId1483" xr:uid="{9DFA8A3A-7C73-46A6-9EB5-84F6552A6E51}"/>
    <hyperlink ref="C8376" r:id="rId1484" xr:uid="{2506A77A-1EC1-4196-B625-70728CD2472E}"/>
    <hyperlink ref="C8320" r:id="rId1485" xr:uid="{22B28EAB-648A-4F1B-9D26-0ACEACE4134F}"/>
    <hyperlink ref="C8260" r:id="rId1486" xr:uid="{ECA2461D-95C3-4133-8236-81A812BF3F6D}"/>
    <hyperlink ref="C8196" r:id="rId1487" xr:uid="{7C9A5D0E-6223-4BC2-972C-45FCE7EFA6E5}"/>
    <hyperlink ref="C8133" r:id="rId1488" xr:uid="{8536018D-F61A-4AFF-B3D6-58B7FF5A49DA}"/>
    <hyperlink ref="C8068" r:id="rId1489" xr:uid="{D0ABAFC4-F7A4-4A9B-B2B6-401E20BB8578}"/>
    <hyperlink ref="C8002" r:id="rId1490" xr:uid="{238F3D7C-0315-45C3-8FBF-51F30DB003D1}"/>
    <hyperlink ref="C7925" r:id="rId1491" xr:uid="{A4B12232-5F5D-484E-B90E-EDB010AC11BB}"/>
    <hyperlink ref="C7834" r:id="rId1492" xr:uid="{9B704B0F-477D-4827-A68C-817E39E75113}"/>
    <hyperlink ref="C7722" r:id="rId1493" xr:uid="{DCDD3140-8D12-477A-B2A1-56785BBCEB7E}"/>
    <hyperlink ref="C7500" r:id="rId1494" xr:uid="{80508E14-7881-4AB9-B21F-76CFEFD8A702}"/>
    <hyperlink ref="C7030" r:id="rId1495" xr:uid="{4F23B9C4-8B22-405F-A239-7CD2718ECF3F}"/>
    <hyperlink ref="C6207" r:id="rId1496" xr:uid="{820031EA-3367-474B-AF87-4728C8684549}"/>
    <hyperlink ref="C4897" r:id="rId1497" xr:uid="{393EE251-6DF9-47DD-96BB-047834E2FD7F}"/>
    <hyperlink ref="C3471" r:id="rId1498" xr:uid="{16C71D96-A4B9-4FE9-BD44-CC9197D07577}"/>
    <hyperlink ref="C2217" r:id="rId1499" xr:uid="{F81FDE98-7AFE-4F5A-B8F2-FBE224E2E7A9}"/>
    <hyperlink ref="C886" r:id="rId1500" xr:uid="{40A0416C-7E40-4641-85ED-DEEF168E16F5}"/>
    <hyperlink ref="C8816" r:id="rId1501" xr:uid="{C0767ABE-D4E7-4C43-9815-3EC110AFC5CF}"/>
    <hyperlink ref="C8763" r:id="rId1502" xr:uid="{95CC37AB-CB0C-4D46-B8B0-FC42C332CB69}"/>
    <hyperlink ref="C8710" r:id="rId1503" xr:uid="{D5A535AA-D46A-4166-94A6-F3269975A6DF}"/>
    <hyperlink ref="C8543" r:id="rId1504" xr:uid="{8080DF63-5BE2-47EB-99D6-29DE47BEC2B0}"/>
    <hyperlink ref="C8375" r:id="rId1505" xr:uid="{1CA8EFC6-0002-4D93-AAC0-783523BCA969}"/>
    <hyperlink ref="C8195" r:id="rId1506" xr:uid="{FEC21AA5-575D-4FF3-9F36-42123E0A10A6}"/>
    <hyperlink ref="C8001" r:id="rId1507" xr:uid="{FB0BC2C6-8AFB-4D5C-A0AB-14A7631D4950}"/>
    <hyperlink ref="C6916" r:id="rId1508" xr:uid="{3EDB5B14-C195-468C-BF22-A4822B78541A}"/>
    <hyperlink ref="C6022" r:id="rId1509" xr:uid="{C47D62C1-6616-435A-A64E-A06DA0031864}"/>
    <hyperlink ref="C2012" r:id="rId1510" xr:uid="{31C0130B-57B7-4A7A-A50B-0F1614E941AB}"/>
    <hyperlink ref="C5470" r:id="rId1511" xr:uid="{18965414-92EF-4082-9BE4-5BDAE6E70BD7}"/>
    <hyperlink ref="C3949" r:id="rId1512" xr:uid="{7D25FE17-D9FB-4686-8E2B-659094C4E12A}"/>
    <hyperlink ref="C2608" r:id="rId1513" xr:uid="{F2C87BB1-4086-4DE0-A4CD-B43334468964}"/>
    <hyperlink ref="C1394" r:id="rId1514" xr:uid="{AE5204E8-69B9-43CF-87DD-AF85F4902EEC}"/>
    <hyperlink ref="C576" r:id="rId1515" xr:uid="{61F234AB-8F24-4398-A23D-7B854D3B451C}"/>
    <hyperlink ref="C9638" r:id="rId1516" xr:uid="{C844C833-7782-4B14-B97F-8BE86EFC900C}"/>
    <hyperlink ref="C9604" r:id="rId1517" xr:uid="{D49E631F-72BC-4C07-823D-117317E52F5A}"/>
    <hyperlink ref="C9570" r:id="rId1518" xr:uid="{E7E9DCDA-D617-48AC-9617-F7E35F857C89}"/>
    <hyperlink ref="C9534" r:id="rId1519" xr:uid="{75D6C5DD-4924-4D6E-823F-921B46AC6812}"/>
    <hyperlink ref="C9498" r:id="rId1520" xr:uid="{488AEBC9-EBA1-433A-97D4-A3A0F593CC62}"/>
    <hyperlink ref="C9461" r:id="rId1521" xr:uid="{6A3DA715-3491-48B3-A46B-2F6844D08E65}"/>
    <hyperlink ref="C9419" r:id="rId1522" xr:uid="{3152592D-648F-4D9B-A504-8D912EC3DD9D}"/>
    <hyperlink ref="C9376" r:id="rId1523" xr:uid="{40998E07-57AE-49DA-908A-5FB2AB43BEBF}"/>
    <hyperlink ref="C9332" r:id="rId1524" xr:uid="{4B0B85CC-C27B-4000-A2CD-F902EA7E08F1}"/>
    <hyperlink ref="C9288" r:id="rId1525" xr:uid="{592E9389-04B8-4952-A193-50B717361C86}"/>
    <hyperlink ref="C9244" r:id="rId1526" xr:uid="{ED879F8F-A057-4048-BBA0-90CAB725706C}"/>
    <hyperlink ref="C9199" r:id="rId1527" xr:uid="{CE792DAA-54A6-4334-BF0B-C7EC5A7DF21F}"/>
    <hyperlink ref="C9154" r:id="rId1528" xr:uid="{FAC36071-CC6D-4949-9825-CB3F6EB56E5C}"/>
    <hyperlink ref="C9109" r:id="rId1529" xr:uid="{4BC64951-2772-4E00-AC86-23C35353565C}"/>
    <hyperlink ref="C9064" r:id="rId1530" xr:uid="{927A197C-3971-4EE5-B80E-426F30124E14}"/>
    <hyperlink ref="C9019" r:id="rId1531" xr:uid="{8F98F15D-8A11-4453-949F-EB8E59F71CD3}"/>
    <hyperlink ref="C8973" r:id="rId1532" xr:uid="{6EFFAD27-6872-4B5F-95A0-76DC234920F7}"/>
    <hyperlink ref="C8926" r:id="rId1533" xr:uid="{EE7A3424-7D5F-4CDB-831E-794DD1A4F1C3}"/>
    <hyperlink ref="C8879" r:id="rId1534" xr:uid="{472FD3A8-DAF4-45E1-82EB-1F885044FAF2}"/>
    <hyperlink ref="C8831" r:id="rId1535" xr:uid="{F5E0892D-2C41-4134-8952-CC21DBB117D6}"/>
    <hyperlink ref="C8780" r:id="rId1536" xr:uid="{A713AC7D-61E3-4B0C-8D96-82D885E3D380}"/>
    <hyperlink ref="C8727" r:id="rId1537" xr:uid="{61CDA881-DDB4-4120-90B9-679A819C7F50}"/>
    <hyperlink ref="C8673" r:id="rId1538" xr:uid="{FA0F70A5-0948-4D3D-9AD6-2D832F0914BB}"/>
    <hyperlink ref="C8618" r:id="rId1539" xr:uid="{1E2002D1-0F5F-42F8-9A79-E6D9943D5C96}"/>
    <hyperlink ref="C8562" r:id="rId1540" xr:uid="{38871C44-B92F-4EFD-98C4-437210AC6679}"/>
    <hyperlink ref="C8506" r:id="rId1541" xr:uid="{DCE8C742-3ECE-4248-968C-F0AFB35DA46E}"/>
    <hyperlink ref="C8450" r:id="rId1542" xr:uid="{173A774E-A557-4573-AF28-B76C8AEAF68D}"/>
    <hyperlink ref="C8394" r:id="rId1543" xr:uid="{4492CA93-D2C7-4993-AE7D-9E84CE92ADDA}"/>
    <hyperlink ref="C8338" r:id="rId1544" xr:uid="{0962043E-4DB2-4F5C-8D49-A252FFCB0A46}"/>
    <hyperlink ref="C8282" r:id="rId1545" xr:uid="{C6E1E9DC-0A93-4ECC-8248-02066B28CF15}"/>
    <hyperlink ref="C8222" r:id="rId1546" xr:uid="{B828ACBD-87D0-4153-AB35-D06090ACB8E0}"/>
    <hyperlink ref="C8158" r:id="rId1547" xr:uid="{52A0FBFF-B2E7-4424-ABCE-02A1220AAB8D}"/>
    <hyperlink ref="C8095" r:id="rId1548" xr:uid="{7D8E2AC2-F27D-4E3D-82DB-D3E1ADC1A2A8}"/>
    <hyperlink ref="C8030" r:id="rId1549" xr:uid="{6E5AB413-1970-412B-A0B7-40B2A8FA439C}"/>
    <hyperlink ref="C7964" r:id="rId1550" xr:uid="{0BCFC7CD-D5D2-4084-968C-8E3EA51D8608}"/>
    <hyperlink ref="C7884" r:id="rId1551" xr:uid="{C127A2D2-5729-418C-90D0-A9F756805C9E}"/>
    <hyperlink ref="C7787" r:id="rId1552" xr:uid="{4CF7AEB7-F2E5-4167-A874-A5A03D899539}"/>
    <hyperlink ref="C7664" r:id="rId1553" xr:uid="{AD81FAC7-055C-4503-AC01-5244677B0310}"/>
    <hyperlink ref="C7383" r:id="rId1554" xr:uid="{211FA262-01CA-4FA8-B592-2897863F3428}"/>
    <hyperlink ref="C6852" r:id="rId1555" xr:uid="{D8AB9F0F-FD92-423A-B711-80710522711C}"/>
    <hyperlink ref="C5923" r:id="rId1556" xr:uid="{D2EAB14F-B122-479C-BF48-99872143A228}"/>
    <hyperlink ref="C4568" r:id="rId1557" xr:uid="{D8D4EA9D-805D-4F57-9EE3-E2CB5C731549}"/>
    <hyperlink ref="C3171" r:id="rId1558" xr:uid="{7FB58AF0-BC4D-4B9E-BA8E-D5AF74207DA3}"/>
    <hyperlink ref="C1903" r:id="rId1559" xr:uid="{71486E3E-A5F8-434A-A02A-3D8361CE2ACB}"/>
    <hyperlink ref="C554" r:id="rId1560" xr:uid="{18169B18-95D7-453C-97FC-FD887ACCE636}"/>
    <hyperlink ref="C10123" r:id="rId1561" xr:uid="{04F1F115-C5C5-4BAA-BD81-B5151F550D10}"/>
    <hyperlink ref="C10147" r:id="rId1562" xr:uid="{C9C68FDD-919D-4035-A048-A4FBBBD6DADC}"/>
    <hyperlink ref="C10096" r:id="rId1563" xr:uid="{6BF751A1-A6F6-4FEC-9FCC-B2AB2834093C}"/>
    <hyperlink ref="C10068" r:id="rId1564" xr:uid="{69D6AF6F-87D1-4B39-9767-E5EA50C039D5}"/>
    <hyperlink ref="C10039" r:id="rId1565" xr:uid="{A9C62350-EF33-498C-BCE6-32AAD0C026C6}"/>
    <hyperlink ref="C10010" r:id="rId1566" xr:uid="{C79A0C02-E34E-4728-B741-2576D511A428}"/>
    <hyperlink ref="C9981" r:id="rId1567" xr:uid="{3FBE3E73-2BD5-40A1-B9CB-052B9B343BF6}"/>
    <hyperlink ref="C9952" r:id="rId1568" xr:uid="{311CB1D9-CA07-4064-9483-9F4F3FD89295}"/>
    <hyperlink ref="C9923" r:id="rId1569" xr:uid="{2521BA8A-C71D-4035-B7BE-F9A6825D44F9}"/>
    <hyperlink ref="C9894" r:id="rId1570" xr:uid="{F7164994-44A6-4712-B2DF-CF33E7CF4C55}"/>
    <hyperlink ref="C9865" r:id="rId1571" xr:uid="{54405A05-95B6-4356-BE25-82843DC3267B}"/>
    <hyperlink ref="C9836" r:id="rId1572" xr:uid="{651F3EC4-A83C-4C14-A12D-6EF317F197FD}"/>
    <hyperlink ref="C9807" r:id="rId1573" xr:uid="{87547C15-CBFB-4033-B3D7-8E3C1473B636}"/>
    <hyperlink ref="C9778" r:id="rId1574" xr:uid="{E19965CD-31E5-402E-A3DE-9BF03D79EF18}"/>
    <hyperlink ref="C9749" r:id="rId1575" xr:uid="{AA748DDB-7521-4CD3-8CDB-270EB2621E67}"/>
    <hyperlink ref="C9720" r:id="rId1576" xr:uid="{44DEC3A5-1616-42BA-8D8A-D044E0BA4CDA}"/>
    <hyperlink ref="C9688" r:id="rId1577" xr:uid="{10BAED38-8BD1-433F-822A-671D1DA32358}"/>
    <hyperlink ref="C9656" r:id="rId1578" xr:uid="{4E087FFF-5051-40E4-ABBB-787299886EAB}"/>
    <hyperlink ref="C9623" r:id="rId1579" xr:uid="{307309F0-972E-4736-99FF-6EAF7CBB8059}"/>
    <hyperlink ref="C9589" r:id="rId1580" xr:uid="{1E0272E7-CD21-4914-B8B0-551637208DA5}"/>
    <hyperlink ref="C9553" r:id="rId1581" xr:uid="{7F21151E-95DD-4FAD-8BED-65128560C80B}"/>
    <hyperlink ref="C9517" r:id="rId1582" xr:uid="{071F905A-CF0A-4AB2-9056-A0E9B5FD83B1}"/>
    <hyperlink ref="C9480" r:id="rId1583" xr:uid="{23EC4600-0DFE-4B59-9787-117C7EA8A9AD}"/>
    <hyperlink ref="C9443" r:id="rId1584" xr:uid="{75D246CF-D079-4E21-B16B-5D4E5367410A}"/>
    <hyperlink ref="C9400" r:id="rId1585" xr:uid="{9026F98D-4923-4E8D-8351-50802ECE3FFB}"/>
    <hyperlink ref="C9356" r:id="rId1586" xr:uid="{957CF2AF-0030-4F0E-8B28-25BE6B6C6921}"/>
    <hyperlink ref="C9312" r:id="rId1587" xr:uid="{5F0EAECD-0408-424C-9290-86943313D3E1}"/>
    <hyperlink ref="C9268" r:id="rId1588" xr:uid="{C552227A-B428-4AC0-9893-94FCE157B174}"/>
    <hyperlink ref="C9223" r:id="rId1589" xr:uid="{687E19A6-B58B-4CD4-A73A-51937F476BA1}"/>
    <hyperlink ref="C9178" r:id="rId1590" xr:uid="{384589A2-2BED-4400-8EB1-4CB5B4382954}"/>
    <hyperlink ref="C9133" r:id="rId1591" xr:uid="{E02398CF-6F83-41DE-855F-8F04DA0E1E58}"/>
    <hyperlink ref="C9088" r:id="rId1592" xr:uid="{A2EC84C2-607C-400E-A19E-2F6C3A8A2D0C}"/>
    <hyperlink ref="C9043" r:id="rId1593" xr:uid="{D0C93C18-A8DC-4482-A819-B896AC4ED90A}"/>
    <hyperlink ref="C8997" r:id="rId1594" xr:uid="{61D78CE1-D996-4373-A063-3FA4DD028CD1}"/>
    <hyperlink ref="C8950" r:id="rId1595" xr:uid="{522961EE-EE71-4BFE-9980-730D2914A7DD}"/>
    <hyperlink ref="C8903" r:id="rId1596" xr:uid="{4C93197F-6A6B-4148-AA73-B122C6FF912E}"/>
    <hyperlink ref="C8855" r:id="rId1597" xr:uid="{EF723E37-DD24-4410-A146-330140396FCF}"/>
    <hyperlink ref="C8805" r:id="rId1598" xr:uid="{1D1FA76E-4950-4EE3-8D00-72FCE6C443B5}"/>
    <hyperlink ref="C8752" r:id="rId1599" xr:uid="{6AFFB255-00D4-4CA3-9741-7077E0DBB1EF}"/>
    <hyperlink ref="C8698" r:id="rId1600" xr:uid="{A2E97340-1540-4D13-BFBE-D689F7AAC3CC}"/>
    <hyperlink ref="C8643" r:id="rId1601" xr:uid="{51D06667-385C-4565-B774-DCBD1074E882}"/>
    <hyperlink ref="C8587" r:id="rId1602" xr:uid="{9712E68F-496D-4A16-9257-BAC36E23F371}"/>
    <hyperlink ref="C8531" r:id="rId1603" xr:uid="{5E537B36-8E8F-483A-BCD0-1F46DE5591C6}"/>
    <hyperlink ref="C8475" r:id="rId1604" xr:uid="{9F121406-1993-4A49-B0DE-116A5D35D0C4}"/>
    <hyperlink ref="C8419" r:id="rId1605" xr:uid="{587BFF99-6F0C-485C-8DD5-F87F52896499}"/>
    <hyperlink ref="C8363" r:id="rId1606" xr:uid="{9382819F-15F8-406E-8FE0-308F817128B5}"/>
    <hyperlink ref="C8307" r:id="rId1607" xr:uid="{416AF04C-AC68-4EF4-A7EB-2C3CE597EA9F}"/>
    <hyperlink ref="C8247" r:id="rId1608" xr:uid="{BD5CAEE1-B7CC-4309-B90B-6F769F81943D}"/>
    <hyperlink ref="C8183" r:id="rId1609" xr:uid="{1D5AE3B5-CB22-40E7-A592-4BEC9D018EB4}"/>
    <hyperlink ref="C8120" r:id="rId1610" xr:uid="{9167DAD5-B3C7-405E-AF1D-ED123D3A83FD}"/>
    <hyperlink ref="C8055" r:id="rId1611" xr:uid="{E3A57D5F-D7A3-4830-A457-1998F4C112E5}"/>
    <hyperlink ref="C7989" r:id="rId1612" xr:uid="{D260C435-94B8-4638-8001-FD59F9F63434}"/>
    <hyperlink ref="C7909" r:id="rId1613" xr:uid="{7D893831-D1DD-4568-B0AA-85EE9EA2CB26}"/>
    <hyperlink ref="C7812" r:id="rId1614" xr:uid="{B8E96931-AD7B-4B27-B5BD-3425C682F56A}"/>
    <hyperlink ref="C7690" r:id="rId1615" xr:uid="{27B2CC24-5D21-4155-82C6-F27A7C542DAA}"/>
    <hyperlink ref="C7416" r:id="rId1616" xr:uid="{46936A3F-1068-4554-AAFA-8AFD1DFF74C7}"/>
    <hyperlink ref="C6871" r:id="rId1617" xr:uid="{7453DF9B-819E-48F4-8FDB-7521769CBDE3}"/>
    <hyperlink ref="C5953" r:id="rId1618" xr:uid="{B0413FC8-3E82-45ED-BFC8-42DF4B3282EB}"/>
    <hyperlink ref="C4578" r:id="rId1619" xr:uid="{598A5D26-0A23-46CE-A50A-BE316BE091AE}"/>
    <hyperlink ref="C3192" r:id="rId1620" xr:uid="{0F05EEF9-94C8-4206-8A34-D33B745057D2}"/>
    <hyperlink ref="C1913" r:id="rId1621" xr:uid="{6C6BD45A-923D-4645-889B-A014F1FD0D44}"/>
    <hyperlink ref="C564" r:id="rId1622" xr:uid="{25A6B80D-E2E9-432D-A516-AAB79FD3344C}"/>
    <hyperlink ref="C8804" r:id="rId1623" xr:uid="{41B60AAB-B735-46BC-83AF-5638AF5E9376}"/>
    <hyperlink ref="C8751" r:id="rId1624" xr:uid="{2E4C151B-1111-4872-9382-ABAA713E133E}"/>
    <hyperlink ref="C8697" r:id="rId1625" xr:uid="{77CC3295-5958-42AA-8C75-B4C8C63DE5B4}"/>
    <hyperlink ref="C8642" r:id="rId1626" xr:uid="{220CFCBF-C6B6-4BB2-8627-F1879132B73A}"/>
    <hyperlink ref="C8586" r:id="rId1627" xr:uid="{83FAC4DA-A226-423F-8C82-DFC0AAD1E87F}"/>
    <hyperlink ref="C8530" r:id="rId1628" xr:uid="{2B1B94CD-1BB0-404C-B0C9-A9F3F76CB589}"/>
    <hyperlink ref="C8474" r:id="rId1629" xr:uid="{5CB06711-E563-4059-B545-63484B289235}"/>
    <hyperlink ref="C8418" r:id="rId1630" xr:uid="{B54B2042-4F67-4124-A3EC-98A7662902C3}"/>
    <hyperlink ref="C8362" r:id="rId1631" xr:uid="{4043F38C-BDDF-4DAE-ADCB-E61CB0ABDCA9}"/>
    <hyperlink ref="C8306" r:id="rId1632" xr:uid="{B41A6E26-F0CF-4D4A-AE5C-9B3C0DF924C2}"/>
    <hyperlink ref="C8246" r:id="rId1633" xr:uid="{7E752B4A-9ADD-4071-ACC6-A9817F5E88C6}"/>
    <hyperlink ref="C8182" r:id="rId1634" xr:uid="{90CB394D-66B8-4D53-A5E9-80AE33E99C9D}"/>
    <hyperlink ref="C8119" r:id="rId1635" xr:uid="{3448FD8A-27BC-42A5-B602-506108F28ADD}"/>
    <hyperlink ref="C8054" r:id="rId1636" xr:uid="{B5BA510F-7CEE-4A93-915F-0D280F07D38C}"/>
    <hyperlink ref="C7988" r:id="rId1637" xr:uid="{CB707A2A-0F52-40D6-888F-12C1313C7C77}"/>
    <hyperlink ref="C7908" r:id="rId1638" xr:uid="{B8C36BF4-3899-486B-92C0-804A3294877F}"/>
    <hyperlink ref="C7811" r:id="rId1639" xr:uid="{E6EE7BB2-AD93-4FA9-8B1E-118F3A688A80}"/>
    <hyperlink ref="C7689" r:id="rId1640" xr:uid="{D5B11BDE-C73A-457D-8605-E37159660853}"/>
    <hyperlink ref="C7415" r:id="rId1641" xr:uid="{B3B34151-D377-43E2-B9C6-F6ED5CC91212}"/>
    <hyperlink ref="C6869" r:id="rId1642" xr:uid="{6B55E433-F7AB-436B-868F-FB0CD91DCC0E}"/>
    <hyperlink ref="C5951" r:id="rId1643" xr:uid="{2849BF07-2F91-4188-9928-09D23CB2B892}"/>
    <hyperlink ref="C4566" r:id="rId1644" xr:uid="{E84254FA-91E4-4CC8-9070-7018D82866A8}"/>
    <hyperlink ref="C3169" r:id="rId1645" xr:uid="{F72779F9-0753-445C-ADDC-982B96F7C574}"/>
    <hyperlink ref="C1900" r:id="rId1646" xr:uid="{E3C05C3B-455D-4BFC-A647-D9B62B543344}"/>
    <hyperlink ref="C552" r:id="rId1647" xr:uid="{39C7CBD6-CAEF-4807-996E-EAE3660788E8}"/>
    <hyperlink ref="C10313" r:id="rId1648" xr:uid="{381D59FC-6437-4B26-BBD7-3D21538E2836}"/>
    <hyperlink ref="C10312" r:id="rId1649" xr:uid="{3D1C3238-0A71-4ACA-BD7E-B27A499C8D25}"/>
    <hyperlink ref="C10310" r:id="rId1650" xr:uid="{4A47883B-845F-40BD-9F6E-7720A9129624}"/>
    <hyperlink ref="C10309" r:id="rId1651" xr:uid="{B3016464-21D6-4D5A-8EC3-7208357552B6}"/>
    <hyperlink ref="C10308" r:id="rId1652" xr:uid="{B3479CB3-9B43-48F8-8028-B17518243428}"/>
    <hyperlink ref="C10307" r:id="rId1653" xr:uid="{5E282EDF-22FB-4503-933B-6BF64DE71041}"/>
    <hyperlink ref="C10306" r:id="rId1654" xr:uid="{CA0EEB52-7F16-41E1-813A-2AF8578965B0}"/>
    <hyperlink ref="C10305" r:id="rId1655" xr:uid="{D96A1D16-8BC1-435C-B644-B59BC100C6F0}"/>
    <hyperlink ref="C10304" r:id="rId1656" xr:uid="{08456566-4485-4FD9-A412-AA73050E1EF8}"/>
    <hyperlink ref="C10303" r:id="rId1657" xr:uid="{DCB17171-EE29-4682-BD2B-0DB27102F23A}"/>
    <hyperlink ref="C10302" r:id="rId1658" xr:uid="{4826DAAD-AE27-453D-9874-C6637A3A0C59}"/>
    <hyperlink ref="C10301" r:id="rId1659" xr:uid="{4A21BC96-198E-476F-8C46-995B0C2EBB08}"/>
    <hyperlink ref="C10300" r:id="rId1660" xr:uid="{E2A4EF6A-E8B2-4B4F-B27F-244D7AE432DF}"/>
    <hyperlink ref="C10298" r:id="rId1661" xr:uid="{B2EFFE8D-200F-4C46-9E83-F33BF9FC73EF}"/>
    <hyperlink ref="C10293" r:id="rId1662" xr:uid="{933712F6-C67E-4F4A-A76A-A3C1B55E4AC3}"/>
    <hyperlink ref="C10282" r:id="rId1663" xr:uid="{8400640A-367C-4DBC-AB47-0F1BAFE33AE1}"/>
    <hyperlink ref="C10271" r:id="rId1664" xr:uid="{1C7CC3E0-7A52-481A-91A9-DD5AB3D5A5E1}"/>
    <hyperlink ref="C10260" r:id="rId1665" xr:uid="{82A7EA00-39D8-4A64-963A-D471FFDB6A5B}"/>
    <hyperlink ref="C10249" r:id="rId1666" xr:uid="{6E63FF8F-76AE-4470-B53E-12988561772C}"/>
    <hyperlink ref="C10238" r:id="rId1667" xr:uid="{0AA1565F-EB6A-4624-BDA0-471D7175EF73}"/>
    <hyperlink ref="C10225" r:id="rId1668" xr:uid="{393F315A-5AA1-4253-87F5-E069913A716F}"/>
    <hyperlink ref="C10212" r:id="rId1669" xr:uid="{29D128BA-201F-4C44-84D3-8352DADC67C4}"/>
    <hyperlink ref="C10195" r:id="rId1670" xr:uid="{82EAD013-6F75-4EDE-9843-D668F60A7764}"/>
    <hyperlink ref="C10173" r:id="rId1671" xr:uid="{1EB114DB-8E9C-40DE-8FFC-FEEC38FD411B}"/>
    <hyperlink ref="C10155" r:id="rId1672" xr:uid="{B3A9C016-3357-4493-AFEF-697EC63ECF86}"/>
    <hyperlink ref="C10134" r:id="rId1673" xr:uid="{541B6063-15E2-4A4C-807C-064E016CD3DC}"/>
    <hyperlink ref="C10108" r:id="rId1674" xr:uid="{BACB4968-E09C-4321-808D-318B8D507A8E}"/>
    <hyperlink ref="C10081" r:id="rId1675" xr:uid="{F09407DE-E9D6-437D-8C17-B0398DA21D99}"/>
    <hyperlink ref="C10053" r:id="rId1676" xr:uid="{5137C7F1-3A9B-49C3-8EFF-DA3DD6FA45D9}"/>
    <hyperlink ref="C10024" r:id="rId1677" xr:uid="{4617E616-0385-4D3B-9E8E-60334C3A0F70}"/>
    <hyperlink ref="C9995" r:id="rId1678" xr:uid="{16D4507F-2720-40A2-9F90-C9321050A979}"/>
    <hyperlink ref="C9966" r:id="rId1679" xr:uid="{88B7C58A-4F2E-409E-8D80-DE21AA4C97F7}"/>
    <hyperlink ref="C9937" r:id="rId1680" xr:uid="{CF1DB5EF-0400-4013-AD66-C309E5986F5A}"/>
    <hyperlink ref="C9908" r:id="rId1681" xr:uid="{850F493E-F5DE-478A-BC65-DF0D1BAB8958}"/>
    <hyperlink ref="C9879" r:id="rId1682" xr:uid="{88CB9E78-CB96-49A1-B226-25F1D4F05B10}"/>
    <hyperlink ref="C9850" r:id="rId1683" xr:uid="{7ACAD04D-8F06-4253-B774-7785EB94D2EB}"/>
    <hyperlink ref="C9821" r:id="rId1684" xr:uid="{8799E60F-90AD-41B4-B8E7-E47F6CBEFDDC}"/>
    <hyperlink ref="C9792" r:id="rId1685" xr:uid="{92E331EE-5BA4-445E-9030-E1D7D517B077}"/>
    <hyperlink ref="C9763" r:id="rId1686" xr:uid="{DA404A74-6CDA-446F-99A2-52964A6D8E92}"/>
    <hyperlink ref="C9734" r:id="rId1687" xr:uid="{C42A8278-EDA2-4909-8CF0-DC7BE1D01572}"/>
    <hyperlink ref="C9702" r:id="rId1688" xr:uid="{5CECA3BE-0774-4FDE-8C58-425E94F2DEB2}"/>
    <hyperlink ref="C9670" r:id="rId1689" xr:uid="{1C5E574D-EF22-450D-8DC0-FD2C7E9220DF}"/>
    <hyperlink ref="C9637" r:id="rId1690" xr:uid="{2BBAD437-471F-4B64-AC03-C4401138F48D}"/>
    <hyperlink ref="C9603" r:id="rId1691" xr:uid="{3C0A13AF-C998-493B-9AE1-6897F87655DA}"/>
    <hyperlink ref="C9569" r:id="rId1692" xr:uid="{2B2A9B48-26AE-41A6-9344-D046EAF906AA}"/>
    <hyperlink ref="C9533" r:id="rId1693" xr:uid="{BBE69B93-F13B-48C2-870E-F63AE5F8C1E7}"/>
    <hyperlink ref="C9497" r:id="rId1694" xr:uid="{A4DB4D4F-1303-43F5-B0B1-075619788C02}"/>
    <hyperlink ref="C9460" r:id="rId1695" xr:uid="{1A227E8E-3264-4FC4-9B05-647A104406FA}"/>
    <hyperlink ref="C9418" r:id="rId1696" xr:uid="{4BAE476B-F3DB-48E2-A734-E0B959E14035}"/>
    <hyperlink ref="C9375" r:id="rId1697" xr:uid="{D39B5075-48F3-40F6-9E83-7EF2C24AAEDA}"/>
    <hyperlink ref="C9331" r:id="rId1698" xr:uid="{FB887D24-562A-4108-AAD0-D01ED56911DA}"/>
    <hyperlink ref="C9287" r:id="rId1699" xr:uid="{2BEC3943-E93F-4E0D-8711-72EDD279C50B}"/>
    <hyperlink ref="C9243" r:id="rId1700" xr:uid="{5F0C72C2-27B7-44EF-9D93-429B252CC774}"/>
    <hyperlink ref="C9198" r:id="rId1701" xr:uid="{04080385-6EFA-4395-AD2C-9E33F02BB8D6}"/>
    <hyperlink ref="C9153" r:id="rId1702" xr:uid="{2FFC1602-A839-4429-BD04-A3FEC3D47F31}"/>
    <hyperlink ref="C9108" r:id="rId1703" xr:uid="{D54BC021-B7DD-4E60-9AAD-7DA2CAE6AD84}"/>
    <hyperlink ref="C9063" r:id="rId1704" xr:uid="{D979CF5C-B22C-472D-B878-96568DD26B7F}"/>
    <hyperlink ref="C9018" r:id="rId1705" xr:uid="{EE1E76B8-AF80-4EF7-9E6C-191F4DACC540}"/>
    <hyperlink ref="C8972" r:id="rId1706" xr:uid="{BB3EF618-5A94-4C94-8E00-DC4A703C7A20}"/>
    <hyperlink ref="C8925" r:id="rId1707" xr:uid="{73875D4D-FD3F-4FFE-8803-09BF7CA63240}"/>
    <hyperlink ref="C8878" r:id="rId1708" xr:uid="{2DB4860A-340A-46B1-BE2A-D1EB0CC57392}"/>
    <hyperlink ref="C8830" r:id="rId1709" xr:uid="{4A939F14-8DA2-4618-9E04-A244853C9BCC}"/>
    <hyperlink ref="C8779" r:id="rId1710" xr:uid="{B1300824-9258-4561-B146-6BB5231B30C4}"/>
    <hyperlink ref="C8726" r:id="rId1711" xr:uid="{C6E6D82F-BA8F-4B74-B985-34FD43984D63}"/>
    <hyperlink ref="C8672" r:id="rId1712" xr:uid="{793F9CD1-7E83-47EF-8F61-D822B7D921E8}"/>
    <hyperlink ref="C8617" r:id="rId1713" xr:uid="{DFF32A0E-7C2E-4AEF-84AD-526DBEF2C985}"/>
    <hyperlink ref="C8561" r:id="rId1714" xr:uid="{656FA462-5E82-45B0-9D1C-E8E4B5E43F81}"/>
    <hyperlink ref="C8505" r:id="rId1715" xr:uid="{9F7FB6A6-CC76-4748-8148-5AFADC642A4B}"/>
    <hyperlink ref="C8449" r:id="rId1716" xr:uid="{3B1E21F1-1334-4D7F-9DA8-94059713EB1E}"/>
    <hyperlink ref="C8393" r:id="rId1717" xr:uid="{68DCE5A1-0966-4BA5-8DAC-0187A442A064}"/>
    <hyperlink ref="C8337" r:id="rId1718" xr:uid="{59851F7D-0A76-4F17-9563-28A05D22CC9A}"/>
    <hyperlink ref="C8281" r:id="rId1719" xr:uid="{2D5B2EC6-B448-4086-A35F-1A79535AAE8C}"/>
    <hyperlink ref="C8220" r:id="rId1720" xr:uid="{F902659F-E797-46AB-BC27-C1DEAF023C62}"/>
    <hyperlink ref="C8156" r:id="rId1721" xr:uid="{D56DEBD7-5C1B-49BB-8616-9AF02314372E}"/>
    <hyperlink ref="C8093" r:id="rId1722" xr:uid="{8DEB2F54-A479-40AA-93A9-3CF8622D9488}"/>
    <hyperlink ref="C8028" r:id="rId1723" xr:uid="{8019C735-3152-44FF-BEBB-7ED45BE26E5A}"/>
    <hyperlink ref="C7962" r:id="rId1724" xr:uid="{83CF4868-EE28-4D8F-AEC4-E7D6DEDA189E}"/>
    <hyperlink ref="C7880" r:id="rId1725" xr:uid="{28B5A2DB-3CE3-4956-81A4-E7327AE9BBAC}"/>
    <hyperlink ref="C7782" r:id="rId1726" xr:uid="{1D3A8A6F-532B-4040-98EA-76CC08AA8C75}"/>
    <hyperlink ref="C7658" r:id="rId1727" xr:uid="{BF4F1849-4E13-4378-81B7-2734058E0F89}"/>
    <hyperlink ref="C7373" r:id="rId1728" xr:uid="{33613741-C830-421C-9831-98A6F982A487}"/>
    <hyperlink ref="C6843" r:id="rId1729" xr:uid="{34886D13-12B8-42CC-B656-A88C4F6F3790}"/>
    <hyperlink ref="C5904" r:id="rId1730" xr:uid="{E6B51B65-A70F-4565-ABF1-1B56C4EFA917}"/>
    <hyperlink ref="C4567" r:id="rId1731" xr:uid="{89534285-2CF6-4A25-8DD3-8C97A76827D8}"/>
    <hyperlink ref="C3170" r:id="rId1732" xr:uid="{764F4A78-EE99-4385-BA07-3631BEE1BB0A}"/>
    <hyperlink ref="C1902" r:id="rId1733" xr:uid="{193504D1-0A2B-425A-908D-E3F2FB842207}"/>
    <hyperlink ref="C553" r:id="rId1734" xr:uid="{899DAA1C-E904-4D33-A5F8-28E3DBA1E84A}"/>
    <hyperlink ref="C8221" r:id="rId1735" xr:uid="{A3801F4F-068A-4358-9217-64A3F5F7475B}"/>
    <hyperlink ref="C8157" r:id="rId1736" xr:uid="{111A0AB0-A83D-4FEF-AAF5-011F96B8E862}"/>
    <hyperlink ref="C8094" r:id="rId1737" xr:uid="{A7426EF4-2318-406C-8C34-1A955EA50BCD}"/>
    <hyperlink ref="C8029" r:id="rId1738" xr:uid="{20D6BBD7-D157-435E-B2B5-651D0ACC4B79}"/>
    <hyperlink ref="C7963" r:id="rId1739" xr:uid="{6E7AEDA2-9A3F-42A1-88F8-3463A8DA9D52}"/>
    <hyperlink ref="C7883" r:id="rId1740" xr:uid="{87E21782-93B0-4271-9249-4D6602DE1E6E}"/>
    <hyperlink ref="C7786" r:id="rId1741" xr:uid="{0A30D54F-9B6C-4367-A3EA-473981A8C99F}"/>
    <hyperlink ref="C7663" r:id="rId1742" xr:uid="{96D6180C-B020-4B2F-9021-5C56D25CAC2D}"/>
    <hyperlink ref="C7380" r:id="rId1743" xr:uid="{B437A3C2-F0D2-45A3-A5D6-EC07A1898EC5}"/>
    <hyperlink ref="C6851" r:id="rId1744" xr:uid="{DCA6E6A1-6CE6-4294-9573-F04BC687ACCD}"/>
    <hyperlink ref="C5922" r:id="rId1745" xr:uid="{54E8B74E-1024-4EC7-9B05-82F718C7EE19}"/>
    <hyperlink ref="C4544" r:id="rId1746" xr:uid="{F17444E2-F13C-49B2-BB05-C976F127D520}"/>
    <hyperlink ref="C3158" r:id="rId1747" xr:uid="{D84A1070-D2D7-4A5B-9CE9-E236FBB2C009}"/>
    <hyperlink ref="C1892" r:id="rId1748" xr:uid="{3A65AA64-D9C0-4426-AD8E-C800B81003D2}"/>
    <hyperlink ref="C545" r:id="rId1749" xr:uid="{8798EA63-1489-4FF1-9FDC-81E25C896406}"/>
    <hyperlink ref="C7701" r:id="rId1750" xr:uid="{E2CC4BEA-A1B8-4EEB-B246-385A31D22384}"/>
    <hyperlink ref="C7427" r:id="rId1751" xr:uid="{D4D67839-9173-4010-A3D4-46F4443ED015}"/>
    <hyperlink ref="C6882" r:id="rId1752" xr:uid="{E029DA0F-82E1-4B4B-9013-1A60741E2546}"/>
    <hyperlink ref="C5965" r:id="rId1753" xr:uid="{90E01267-3F13-471D-9025-369EFB224D6F}"/>
    <hyperlink ref="C4590" r:id="rId1754" xr:uid="{BD39CCB7-1BA6-46FB-A2C8-47DD7F53EF7B}"/>
    <hyperlink ref="C3204" r:id="rId1755" xr:uid="{291D5AA2-0555-4582-8F76-5E93FCD0B9D0}"/>
    <hyperlink ref="C1923" r:id="rId1756" xr:uid="{8711E553-6EA7-4447-8A01-E50104230CD4}"/>
    <hyperlink ref="C642" r:id="rId1757" xr:uid="{3D045F45-3504-4815-B36F-07DD5E5D1B20}"/>
    <hyperlink ref="C10196" r:id="rId1758" xr:uid="{7271524B-016B-4686-A224-A69585513EAB}"/>
    <hyperlink ref="C10176" r:id="rId1759" xr:uid="{A5CE7DB8-CF5F-4C57-841B-D624960E655B}"/>
    <hyperlink ref="C10156" r:id="rId1760" xr:uid="{31BD2819-A940-4CD0-A9C8-AAE56320C344}"/>
    <hyperlink ref="C10135" r:id="rId1761" xr:uid="{11BBF7BB-8915-4DA7-B856-76EA02E6C63E}"/>
    <hyperlink ref="C10109" r:id="rId1762" xr:uid="{B8100850-DC28-4744-A301-AD856D1EB8A7}"/>
    <hyperlink ref="C10082" r:id="rId1763" xr:uid="{D4C4D65A-FA24-43D0-82B3-1E1A14A3C4EB}"/>
    <hyperlink ref="C10054" r:id="rId1764" xr:uid="{FEB01B1D-4D7E-4CC1-B14A-0101C909C4CF}"/>
    <hyperlink ref="C10025" r:id="rId1765" xr:uid="{07009175-00AC-4B27-BE2E-6E54BF983D90}"/>
    <hyperlink ref="C9996" r:id="rId1766" xr:uid="{A9EB4E2A-1619-49B9-855D-677FFF035155}"/>
    <hyperlink ref="C9967" r:id="rId1767" xr:uid="{D2E4E09F-1439-4B60-9B65-4B635CDA4517}"/>
    <hyperlink ref="C9938" r:id="rId1768" xr:uid="{DFA7C94A-4349-4260-8184-D444AF74BA9D}"/>
    <hyperlink ref="C9909" r:id="rId1769" xr:uid="{4A7BF429-DC41-464E-8B93-2A71069A860B}"/>
    <hyperlink ref="C9880" r:id="rId1770" xr:uid="{B14DBB62-7FD1-4464-AEDF-1B56D44DF420}"/>
    <hyperlink ref="C9851" r:id="rId1771" xr:uid="{6523172D-DBF4-4F5A-8E24-0E4259CD18C8}"/>
    <hyperlink ref="C9822" r:id="rId1772" xr:uid="{2CF33CA0-DDE1-4AD6-8B93-17802642046A}"/>
    <hyperlink ref="C9793" r:id="rId1773" xr:uid="{27D65A2A-BF78-4746-AF96-654D5CE5145D}"/>
    <hyperlink ref="C9764" r:id="rId1774" xr:uid="{5EB69D2C-42E4-4A05-9B49-7558F0EA1430}"/>
    <hyperlink ref="C9735" r:id="rId1775" xr:uid="{A87B9658-F526-4CC8-802A-7635E5345191}"/>
    <hyperlink ref="C9706" r:id="rId1776" xr:uid="{C3F785E9-BCB3-4998-BDBB-1F0DDC518DFA}"/>
    <hyperlink ref="C9674" r:id="rId1777" xr:uid="{21B639B9-2D49-4934-8ED0-B6EEC7693BB6}"/>
    <hyperlink ref="C9642" r:id="rId1778" xr:uid="{CEAC69E3-3802-482E-9253-1E63BC171E5F}"/>
    <hyperlink ref="C9609" r:id="rId1779" xr:uid="{84C41A40-B4EA-4E73-B1E5-E1F212E48774}"/>
    <hyperlink ref="C9575" r:id="rId1780" xr:uid="{FAF9B2D8-98DE-4714-816C-9B99FBD5164D}"/>
    <hyperlink ref="C9539" r:id="rId1781" xr:uid="{9D296A63-9E61-47F0-BF49-F80F158A4A2D}"/>
    <hyperlink ref="C9503" r:id="rId1782" xr:uid="{A01FA6B4-CA71-41C8-982F-46A1FBDC0501}"/>
    <hyperlink ref="C9466" r:id="rId1783" xr:uid="{0556DDC4-937F-4B56-99D1-055C50FC6C0C}"/>
    <hyperlink ref="C9429" r:id="rId1784" xr:uid="{1521FC05-1013-41E0-B765-83D8CBD23A86}"/>
    <hyperlink ref="C9386" r:id="rId1785" xr:uid="{6842D9E8-7FCB-44CD-B375-E4F2C46819D1}"/>
    <hyperlink ref="C9342" r:id="rId1786" xr:uid="{78D21D6A-B8B2-4583-835E-FB75B8DF367A}"/>
    <hyperlink ref="C9298" r:id="rId1787" xr:uid="{F6DED6B6-668E-4AC1-B84A-6A1BFD86D60E}"/>
    <hyperlink ref="C9254" r:id="rId1788" xr:uid="{A3DBC181-17C1-41FA-B165-6A8BD5F12BC1}"/>
    <hyperlink ref="C9209" r:id="rId1789" xr:uid="{FC2EB1C4-71EB-4146-B456-2661CF39117B}"/>
    <hyperlink ref="C9164" r:id="rId1790" xr:uid="{08E7DF34-C262-400B-8B5F-A8DBD2BDE9B5}"/>
    <hyperlink ref="C9119" r:id="rId1791" xr:uid="{1C676F11-4715-41D2-A77A-0C6F2C9CE2DA}"/>
    <hyperlink ref="C9074" r:id="rId1792" xr:uid="{D3930607-25C2-489D-9DCE-49F6DB1C8C3F}"/>
    <hyperlink ref="C9029" r:id="rId1793" xr:uid="{29F5347C-EEAB-4CC0-B873-B07EDE3E5E96}"/>
    <hyperlink ref="C8983" r:id="rId1794" xr:uid="{7CAC8A31-9C26-4D11-B24D-61145374AEE2}"/>
    <hyperlink ref="C8936" r:id="rId1795" xr:uid="{12474B13-5601-4770-B98E-A958DBD2EF61}"/>
    <hyperlink ref="C8889" r:id="rId1796" xr:uid="{AD9D4853-8CC5-4986-9B1B-2C2298B6EA61}"/>
    <hyperlink ref="C8841" r:id="rId1797" xr:uid="{7650146C-6F4F-4F33-8AA4-B3308B6CBBB1}"/>
    <hyperlink ref="C8790" r:id="rId1798" xr:uid="{19445E10-2027-4F73-BB76-7491BD279C91}"/>
    <hyperlink ref="C8737" r:id="rId1799" xr:uid="{4C367281-429E-4AF1-819C-80B134C081C8}"/>
    <hyperlink ref="C8683" r:id="rId1800" xr:uid="{D7A6B448-F0CC-4761-A03C-304C30DF8741}"/>
    <hyperlink ref="C8628" r:id="rId1801" xr:uid="{9478BB97-104D-46DE-A97B-05234AD49E67}"/>
    <hyperlink ref="C8572" r:id="rId1802" xr:uid="{6CB7FEF2-C866-42D3-B5E6-C6EBDBBAB60A}"/>
    <hyperlink ref="C8516" r:id="rId1803" xr:uid="{F46E3E11-8ACA-466C-9CD9-B4C7862D4B14}"/>
    <hyperlink ref="C8460" r:id="rId1804" xr:uid="{0447A3BE-6536-44D0-82E7-EFCF70A16D96}"/>
    <hyperlink ref="C8404" r:id="rId1805" xr:uid="{E94A60B3-D472-4E54-8563-24C4998E84CE}"/>
    <hyperlink ref="C8348" r:id="rId1806" xr:uid="{B96F04B2-6396-484F-AEF7-342D2E805B77}"/>
    <hyperlink ref="C8292" r:id="rId1807" xr:uid="{6FB59C63-D5A6-4D6F-82F5-29E545B2B2C3}"/>
    <hyperlink ref="C8232" r:id="rId1808" xr:uid="{648BA3DC-9921-4618-B811-15DFDD433C9D}"/>
    <hyperlink ref="C8168" r:id="rId1809" xr:uid="{42E015CE-5937-420D-AC23-E8AAF3A2679C}"/>
    <hyperlink ref="C8105" r:id="rId1810" xr:uid="{CFA89730-37E0-4A0B-9A1E-A6DA42C01A1B}"/>
    <hyperlink ref="C8040" r:id="rId1811" xr:uid="{C5D8960C-D487-4F44-B2A8-12D9B07410C2}"/>
    <hyperlink ref="C7974" r:id="rId1812" xr:uid="{0E28DF74-63CC-4AE5-BF37-1E503B849330}"/>
    <hyperlink ref="C7894" r:id="rId1813" xr:uid="{AB1F344E-2047-4276-879D-E2B9BDC978C1}"/>
    <hyperlink ref="C7797" r:id="rId1814" xr:uid="{EB1C9B4E-D58F-4362-82E6-947DEC0CAFC5}"/>
    <hyperlink ref="C7675" r:id="rId1815" xr:uid="{99EEA1D1-8FAD-4B7F-8EB4-E2A41129D027}"/>
    <hyperlink ref="C7401" r:id="rId1816" xr:uid="{F10FE717-CD29-468C-BDE4-999690579148}"/>
    <hyperlink ref="C6863" r:id="rId1817" xr:uid="{AA0F9823-B146-4793-8494-2633B1DBB5B8}"/>
    <hyperlink ref="C5940" r:id="rId1818" xr:uid="{4AAF6C47-B6CA-4468-BB55-5E219D3498D5}"/>
    <hyperlink ref="C4558" r:id="rId1819" xr:uid="{1D1C84A0-F022-4DC3-B4A6-42BAE311E5F4}"/>
    <hyperlink ref="C3160" r:id="rId1820" xr:uid="{98B1866D-51A2-4A22-92E5-972CB9B602DD}"/>
    <hyperlink ref="C1893" r:id="rId1821" xr:uid="{F63AAD8A-F89B-465F-BDA1-477F7F39DC2E}"/>
    <hyperlink ref="C546" r:id="rId1822" xr:uid="{2B21176D-079A-4016-A50B-13F5A57DB887}"/>
    <hyperlink ref="C10234" r:id="rId1823" xr:uid="{DBF7BE75-D366-4D09-981C-2B13A9CA8B63}"/>
    <hyperlink ref="C10221" r:id="rId1824" xr:uid="{F15975B4-2E62-4B63-B865-4F1001BF9445}"/>
    <hyperlink ref="C10208" r:id="rId1825" xr:uid="{B1569D5A-59A6-4396-9F4E-7EDA5A05D65A}"/>
    <hyperlink ref="C10191" r:id="rId1826" xr:uid="{40287039-4FBE-4ED4-9CCD-78EAE629474C}"/>
    <hyperlink ref="C10168" r:id="rId1827" xr:uid="{40C17481-1668-44C5-8E49-786B756BCF06}"/>
    <hyperlink ref="C8778" r:id="rId1828" xr:uid="{0FC3887F-CD6F-4F84-8A23-BE61B3D72861}"/>
    <hyperlink ref="C8724" r:id="rId1829" xr:uid="{8376DAA6-ECA3-41B1-A893-D03F094603C0}"/>
    <hyperlink ref="C8670" r:id="rId1830" xr:uid="{E04D8446-1E6E-4A0D-9CE4-F54425C46F3C}"/>
    <hyperlink ref="C8616" r:id="rId1831" xr:uid="{A4614BB6-B62A-4D21-85EB-A695AB023A50}"/>
    <hyperlink ref="C8559" r:id="rId1832" xr:uid="{0FD13589-7436-4E6A-9A0E-571B35005782}"/>
    <hyperlink ref="C8503" r:id="rId1833" xr:uid="{17E8E3FE-441C-4A0F-8959-DC2FC27E1181}"/>
    <hyperlink ref="C8448" r:id="rId1834" xr:uid="{8E9F8337-F22B-46E0-B487-8E479DDF9343}"/>
    <hyperlink ref="C8391" r:id="rId1835" xr:uid="{D24A0A99-5B7A-4683-AB2D-1D35A9E08ED0}"/>
    <hyperlink ref="C8335" r:id="rId1836" xr:uid="{04E33CC1-44FA-407F-BB4A-7A050FF45EEE}"/>
    <hyperlink ref="C8280" r:id="rId1837" xr:uid="{FA3960B8-1A43-4592-A72F-FF3E0D52276E}"/>
    <hyperlink ref="C8218" r:id="rId1838" xr:uid="{ED276632-FC52-4207-9D7E-983E438789FE}"/>
    <hyperlink ref="C8154" r:id="rId1839" xr:uid="{0EAD6B6C-22A1-4D09-B9FB-BA9DBF1A47D7}"/>
    <hyperlink ref="C8091" r:id="rId1840" xr:uid="{0FB99952-282B-4ED7-83BA-04E45F197D79}"/>
    <hyperlink ref="C8025" r:id="rId1841" xr:uid="{A95432EF-5589-4E7F-8407-74B2E846B203}"/>
    <hyperlink ref="C7959" r:id="rId1842" xr:uid="{2DFE3E04-31D3-4AC3-AE0E-0CB7DBF1B2E9}"/>
    <hyperlink ref="C7874" r:id="rId1843" xr:uid="{EFB3E54A-2F67-43AB-915A-F63081DAA404}"/>
    <hyperlink ref="C7776" r:id="rId1844" xr:uid="{A60FD654-3D16-453C-948A-E33619CF088A}"/>
    <hyperlink ref="C7650" r:id="rId1845" xr:uid="{5BC2B43C-D37C-44BE-8F3A-7E842ABD3C48}"/>
    <hyperlink ref="C7341" r:id="rId1846" xr:uid="{69ED8FC3-93FA-4C6B-BE95-11F26A362C74}"/>
    <hyperlink ref="C6763" r:id="rId1847" xr:uid="{93946F8B-BC26-4DB7-83CF-34CBB363835B}"/>
    <hyperlink ref="C5722" r:id="rId1848" xr:uid="{25E6A63A-C5FC-4065-A6C4-F5BC636B02CC}"/>
    <hyperlink ref="C4477" r:id="rId1849" xr:uid="{DD6EE074-1B48-4D70-B16E-170E8342C5CA}"/>
    <hyperlink ref="C3012" r:id="rId1850" xr:uid="{F98B65A3-DA4C-4341-BF01-3B050F2ABAC1}"/>
    <hyperlink ref="C1728" r:id="rId1851" xr:uid="{46406624-CD23-4509-BAA6-AA1E8250E20A}"/>
    <hyperlink ref="C397" r:id="rId1852" xr:uid="{8496B2CE-AD82-454F-BF98-97BBDEE16A99}"/>
    <hyperlink ref="C8829" r:id="rId1853" xr:uid="{D533E99C-A2A2-4D79-8535-1CB592A1A681}"/>
    <hyperlink ref="C8777" r:id="rId1854" xr:uid="{EE59FAD0-2912-48DF-BC88-1143CD0FC0AF}"/>
    <hyperlink ref="C8615" r:id="rId1855" xr:uid="{4CF8C923-1D06-472B-BF1E-E5ACDED7A5B5}"/>
    <hyperlink ref="C8447" r:id="rId1856" xr:uid="{D6F19CB4-F4E4-4BDF-9C10-DC9DAFF6E5EC}"/>
    <hyperlink ref="C8279" r:id="rId1857" xr:uid="{644A5445-7678-4817-B3E3-9A9D9EF48500}"/>
    <hyperlink ref="C8090" r:id="rId1858" xr:uid="{93BD5A42-AFEA-4BBD-9162-50B8D1651C4D}"/>
    <hyperlink ref="C7647" r:id="rId1859" xr:uid="{D5DFB3E6-30BC-4EB3-ADCD-52E54CBE9FA8}"/>
    <hyperlink ref="C4442" r:id="rId1860" xr:uid="{25541B87-6C5B-41D4-857A-032177B50D1A}"/>
    <hyperlink ref="C6744" r:id="rId1861" xr:uid="{84D301BD-65D3-4FF4-82DE-1C957AE91894}"/>
    <hyperlink ref="C5727" r:id="rId1862" xr:uid="{E428A4FF-C4DB-4CC6-9915-9A8F2E98F89E}"/>
    <hyperlink ref="C4368" r:id="rId1863" xr:uid="{5CA267EA-CEF6-41CE-8AC2-1483B88807F6}"/>
    <hyperlink ref="C2972" r:id="rId1864" xr:uid="{F0FC2D6A-3290-451D-91CA-3A15FC8BE15F}"/>
    <hyperlink ref="C1724" r:id="rId1865" xr:uid="{D6D41B14-094A-446C-BD49-AE36DCC735DC}"/>
    <hyperlink ref="C341" r:id="rId1866" xr:uid="{EDB826AD-F2AF-4991-9F2B-11352F3BD045}"/>
    <hyperlink ref="C7638" r:id="rId1867" xr:uid="{3EC2D389-3AC8-409A-BD30-645229FB3605}"/>
    <hyperlink ref="C7318" r:id="rId1868" xr:uid="{6FE93643-E02E-458D-B223-F84249137B38}"/>
    <hyperlink ref="C6709" r:id="rId1869" xr:uid="{3BDC5C8D-95A0-4066-9268-71F62D5D2B36}"/>
    <hyperlink ref="C5637" r:id="rId1870" xr:uid="{A5CF4C16-2B7F-4CB8-A092-019A043A9219}"/>
    <hyperlink ref="C4366" r:id="rId1871" xr:uid="{4B4DBB6F-0D5F-4061-AA9D-45DD0B7C029A}"/>
    <hyperlink ref="C2948" r:id="rId1872" xr:uid="{5D81D9E5-19A8-4A1F-B55B-D4678C7975DE}"/>
    <hyperlink ref="C1679" r:id="rId1873" xr:uid="{8C313241-2E75-43B7-9246-ACCBF04CD299}"/>
    <hyperlink ref="C335" r:id="rId1874" xr:uid="{76600651-FE1F-4924-A9FE-5C3EEF6B1B43}"/>
    <hyperlink ref="C8669" r:id="rId1875" xr:uid="{B76F07CF-C7E1-4629-B6D4-B3A6CD6C3201}"/>
    <hyperlink ref="C8614" r:id="rId1876" xr:uid="{B2FB2D98-3D12-48BC-B8BD-3170336AC19B}"/>
    <hyperlink ref="C8558" r:id="rId1877" xr:uid="{482FD0A2-A642-4F60-A6B3-AD3331DA129C}"/>
    <hyperlink ref="C8502" r:id="rId1878" xr:uid="{95C2F6CB-CB93-4F8B-A582-9BE2813569FD}"/>
    <hyperlink ref="C8446" r:id="rId1879" xr:uid="{4814D025-4CAF-42F8-9EF3-7FAEEFCAE91F}"/>
    <hyperlink ref="C8390" r:id="rId1880" xr:uid="{8FB80859-B644-4AF6-9ABE-B0FB763CF843}"/>
    <hyperlink ref="C8334" r:id="rId1881" xr:uid="{62E4A9A9-3CDB-4793-A1AE-174C706AD10D}"/>
    <hyperlink ref="C8278" r:id="rId1882" xr:uid="{C2BC1864-CD93-4D47-87F5-1E696E922F84}"/>
    <hyperlink ref="C8217" r:id="rId1883" xr:uid="{ABDD1C63-A713-43CA-A810-D6D2F5A70F14}"/>
    <hyperlink ref="C8153" r:id="rId1884" xr:uid="{FCD03559-F413-49C8-AB90-E6F3EC209CD4}"/>
    <hyperlink ref="C8089" r:id="rId1885" xr:uid="{014E3DCB-FF87-489A-AA2E-53DD01E08BDD}"/>
    <hyperlink ref="C8024" r:id="rId1886" xr:uid="{34BA77C1-8770-4790-B62E-02384118B81E}"/>
    <hyperlink ref="C7957" r:id="rId1887" xr:uid="{303939FB-266A-4F4F-97A5-AE54AFE83873}"/>
    <hyperlink ref="C7873" r:id="rId1888" xr:uid="{5A68D138-4230-4A01-AFEE-15BB8F7D0E25}"/>
    <hyperlink ref="C7775" r:id="rId1889" xr:uid="{1D532DC1-67D8-436D-95F0-A2FC9B227461}"/>
    <hyperlink ref="C7645" r:id="rId1890" xr:uid="{992E76CC-67A7-4559-A601-280C18A09E89}"/>
    <hyperlink ref="C7334" r:id="rId1891" xr:uid="{B5A2FCDF-2936-49BF-B586-5CFD2883209E}"/>
    <hyperlink ref="C6747" r:id="rId1892" xr:uid="{1B833AB8-E707-4CB2-B0D9-40C2AEDED568}"/>
    <hyperlink ref="C5750" r:id="rId1893" xr:uid="{27E87780-9CA5-4A4F-B489-93B504E5F1A9}"/>
    <hyperlink ref="C4390" r:id="rId1894" xr:uid="{2935767B-0B54-49A5-BBA7-F86F3F50B7E2}"/>
    <hyperlink ref="C3000" r:id="rId1895" xr:uid="{DFAACC11-FBA4-4167-A4C1-E9CD30699FD0}"/>
    <hyperlink ref="C1725" r:id="rId1896" xr:uid="{852CF273-F577-483A-8841-5CD44399BEF2}"/>
    <hyperlink ref="C354" r:id="rId1897" xr:uid="{793FA967-C569-40DC-A99B-C33FF0C7CF23}"/>
    <hyperlink ref="C8276" r:id="rId1898" xr:uid="{F43A4878-0A3C-4AE7-B972-06097E84A24D}"/>
    <hyperlink ref="C8215" r:id="rId1899" xr:uid="{D3E07825-EBFB-42B0-A3AD-F3148E3AAB8B}"/>
    <hyperlink ref="C8151" r:id="rId1900" xr:uid="{90C47F1D-FBF9-41BE-9E5F-00A2D87E06BD}"/>
    <hyperlink ref="C8087" r:id="rId1901" xr:uid="{2B019079-B16B-45A2-BEB2-C9A3892E4026}"/>
    <hyperlink ref="C8022" r:id="rId1902" xr:uid="{48E85FEA-DF03-4D0D-A56D-F7B18768F693}"/>
    <hyperlink ref="C7952" r:id="rId1903" xr:uid="{9E9250FA-0009-47A9-A8E2-FD0DF102E6CF}"/>
    <hyperlink ref="C7866" r:id="rId1904" xr:uid="{4256826D-546A-41CF-AABD-7049709B8C95}"/>
    <hyperlink ref="C7767" r:id="rId1905" xr:uid="{CDE14A72-8C54-4249-83DB-3565DDAAFACE}"/>
    <hyperlink ref="C7634" r:id="rId1906" xr:uid="{AD1279F9-5E56-40A7-8995-5FEACD8231C5}"/>
    <hyperlink ref="C7313" r:id="rId1907" xr:uid="{50A87A73-4688-4DA9-B0A7-CE4ABF4FB5E3}"/>
    <hyperlink ref="C6697" r:id="rId1908" xr:uid="{434BCB6D-141B-4B93-A8DF-268F336B814E}"/>
    <hyperlink ref="C5749" r:id="rId1909" xr:uid="{FBE6143B-DCBE-40ED-B53E-9298617B8BFB}"/>
    <hyperlink ref="C4362" r:id="rId1910" xr:uid="{07E7B76F-720E-4DCB-B382-EC2BCEB498BE}"/>
    <hyperlink ref="C2944" r:id="rId1911" xr:uid="{D7E3300E-DE99-417A-9A44-A48C2F92CFC0}"/>
    <hyperlink ref="C1678" r:id="rId1912" xr:uid="{98DEE0E9-6C73-4775-ACE6-1527556E5160}"/>
    <hyperlink ref="C333" r:id="rId1913" xr:uid="{01A10724-7046-4445-9511-B0F3223EB2E9}"/>
    <hyperlink ref="C9016" r:id="rId1914" xr:uid="{1578F561-A62F-41D6-A981-AAC883CFA4A2}"/>
    <hyperlink ref="C8970" r:id="rId1915" xr:uid="{1D0ADB60-C57F-49DC-A51E-17CA5532B5D2}"/>
    <hyperlink ref="C8923" r:id="rId1916" xr:uid="{411EA21F-9FC3-4E77-AA8A-32EB44C37FAD}"/>
    <hyperlink ref="C8876" r:id="rId1917" xr:uid="{A44599E4-3BF2-4BBB-A32E-EE4569881C2F}"/>
    <hyperlink ref="C8827" r:id="rId1918" xr:uid="{23C19D3B-4DA2-49C5-9327-3A38B8831F2B}"/>
    <hyperlink ref="C8775" r:id="rId1919" xr:uid="{978C6577-9041-481B-8716-EC8F2718E160}"/>
    <hyperlink ref="C8722" r:id="rId1920" xr:uid="{F4107A6B-3520-4D27-9399-BE0687BC65C1}"/>
    <hyperlink ref="C8667" r:id="rId1921" xr:uid="{B7465868-00C2-40F9-B459-146A2AADE1CF}"/>
    <hyperlink ref="C8612" r:id="rId1922" xr:uid="{90D68D0E-2BC9-4FF5-8129-C5225AC38CA0}"/>
    <hyperlink ref="C8556" r:id="rId1923" xr:uid="{D1BAB0A0-B18D-484F-92B9-6AF92F5DE19D}"/>
    <hyperlink ref="C8500" r:id="rId1924" xr:uid="{3C034DC2-522F-4DA3-A3D3-FA64B2839A0A}"/>
    <hyperlink ref="C8444" r:id="rId1925" xr:uid="{DC6120E6-8CA1-429A-9B28-E46AAC54AC6B}"/>
    <hyperlink ref="C8388" r:id="rId1926" xr:uid="{ACAD9B04-CDE0-4A4C-AD62-61ED45766222}"/>
    <hyperlink ref="C8332" r:id="rId1927" xr:uid="{D1184A2C-BF74-4E07-AE46-2AEDE7158C20}"/>
    <hyperlink ref="C8274" r:id="rId1928" xr:uid="{512DEE37-B947-4EE9-A3B7-2F77533863DB}"/>
    <hyperlink ref="C8213" r:id="rId1929" xr:uid="{111CB1BC-1FC9-42C1-9C52-5466ABDA9949}"/>
    <hyperlink ref="C8149" r:id="rId1930" xr:uid="{6C600A5E-853C-427F-B53F-B020980AFBBA}"/>
    <hyperlink ref="C8085" r:id="rId1931" xr:uid="{336E30B9-ABBC-403B-810E-06FEAF88166E}"/>
    <hyperlink ref="C8020" r:id="rId1932" xr:uid="{580CC714-A8CA-45C0-897A-5E32D83A4F07}"/>
    <hyperlink ref="C7950" r:id="rId1933" xr:uid="{F3FAFA2F-5FD6-474B-AEC3-C675E2D9098C}"/>
    <hyperlink ref="C7864" r:id="rId1934" xr:uid="{F496F918-B2C5-4035-B645-31D52C860F41}"/>
    <hyperlink ref="C7765" r:id="rId1935" xr:uid="{7A9EBDA5-9E38-43CE-B7BC-080E2EBE6B2F}"/>
    <hyperlink ref="C7632" r:id="rId1936" xr:uid="{BBE1E600-EEDF-455A-B008-6D29A3C81CF8}"/>
    <hyperlink ref="C7307" r:id="rId1937" xr:uid="{146E58D8-740D-45B9-A612-E56FCDEF87C5}"/>
    <hyperlink ref="C6691" r:id="rId1938" xr:uid="{AA988D7E-417C-4F2B-B3A3-B350741AEFC3}"/>
    <hyperlink ref="C8965" r:id="rId1939" xr:uid="{5FA55804-9E00-4495-8278-DB5A651CCC30}"/>
    <hyperlink ref="C4324" r:id="rId1940" xr:uid="{4DB83FD7-DA2A-4FBE-A21F-BE4C2EE0BB8C}"/>
    <hyperlink ref="C2900" r:id="rId1941" xr:uid="{2F54F001-2695-4BE8-9B10-157CE273BD0E}"/>
    <hyperlink ref="C1677" r:id="rId1942" xr:uid="{64FE5EBA-A048-4886-81BA-F8C8C0E369BD}"/>
    <hyperlink ref="C288" r:id="rId1943" xr:uid="{1D0312C3-253C-4D45-8E3E-42B0F0EF2939}"/>
    <hyperlink ref="C9374" r:id="rId1944" xr:uid="{3070EF49-390A-4684-A8EE-D77F7052F2C0}"/>
    <hyperlink ref="C9330" r:id="rId1945" xr:uid="{9BC024EA-7C08-4A96-91FB-1263631C167F}"/>
    <hyperlink ref="C9286" r:id="rId1946" xr:uid="{D02E52A5-0E8A-4320-B14B-63E122C125B6}"/>
    <hyperlink ref="C9242" r:id="rId1947" xr:uid="{3F5054AA-3EEE-4C77-9E7B-BFB70C301F46}"/>
    <hyperlink ref="C9197" r:id="rId1948" xr:uid="{91534702-6BA2-4511-A162-10F3241961B9}"/>
    <hyperlink ref="C9152" r:id="rId1949" xr:uid="{A8D24145-F781-4D1F-8B71-C98D94E77C8A}"/>
    <hyperlink ref="C9107" r:id="rId1950" xr:uid="{5ADB3EA8-2A12-4685-8AA5-8EE3CF6D7A13}"/>
    <hyperlink ref="C9062" r:id="rId1951" xr:uid="{C54987E5-1BA1-4D54-B683-98D8E5E32346}"/>
    <hyperlink ref="C9017" r:id="rId1952" xr:uid="{002434B5-3EF2-4F66-B338-522E9D67F9C1}"/>
    <hyperlink ref="C8971" r:id="rId1953" xr:uid="{BE1778E3-671C-487D-AC41-73CBDCD2EB68}"/>
    <hyperlink ref="C8924" r:id="rId1954" xr:uid="{29C8965B-F711-4D87-9514-7A8AC75C2EBC}"/>
    <hyperlink ref="C8877" r:id="rId1955" xr:uid="{BDF41BD2-8A99-40E2-A473-0695820C2F5F}"/>
    <hyperlink ref="C8828" r:id="rId1956" xr:uid="{613E4FF8-5FE6-40C1-B064-790FED95B92F}"/>
    <hyperlink ref="C8776" r:id="rId1957" xr:uid="{2FC5D8B9-78C4-4C14-A2E7-88D495E858A5}"/>
    <hyperlink ref="C8723" r:id="rId1958" xr:uid="{182BE9DC-6475-4BC2-B718-A3F1140FF63A}"/>
    <hyperlink ref="C8668" r:id="rId1959" xr:uid="{1607CD23-8C9A-4730-AC19-8D2328E0EF19}"/>
    <hyperlink ref="C8613" r:id="rId1960" xr:uid="{A753C0A1-7B35-4C46-978A-14A4130AEDB6}"/>
    <hyperlink ref="C8557" r:id="rId1961" xr:uid="{30086DC5-BFBA-4E06-870A-07C6C6C09B35}"/>
    <hyperlink ref="C8501" r:id="rId1962" xr:uid="{27E664E5-8ECC-4DD5-BD3B-505A902E8D41}"/>
    <hyperlink ref="C8445" r:id="rId1963" xr:uid="{D27166D7-EEF8-42E2-8D04-200751F8799E}"/>
    <hyperlink ref="C8389" r:id="rId1964" xr:uid="{18450986-5001-421C-972D-CD5371BB93BA}"/>
    <hyperlink ref="C8333" r:id="rId1965" xr:uid="{0023AF7F-E400-4C84-AD89-17D82F02DCFE}"/>
    <hyperlink ref="C8275" r:id="rId1966" xr:uid="{1B0BBC5C-B1D1-4006-B0B2-7A95B00BB413}"/>
    <hyperlink ref="C8214" r:id="rId1967" xr:uid="{B9465220-ABF8-4A56-BFBE-4ADC2E28E904}"/>
    <hyperlink ref="C8150" r:id="rId1968" xr:uid="{490C9216-C5F3-498B-8B92-DDD05804363C}"/>
    <hyperlink ref="C8086" r:id="rId1969" xr:uid="{2C88AC9B-7B6A-4EA8-A375-73248BA82DAB}"/>
    <hyperlink ref="C8021" r:id="rId1970" xr:uid="{24CBB424-A91C-498C-BE2A-13187365726F}"/>
    <hyperlink ref="C7951" r:id="rId1971" xr:uid="{C2F20976-A122-48CA-B225-19FA1138A3CD}"/>
    <hyperlink ref="C7865" r:id="rId1972" xr:uid="{74DA7EC8-025B-4E2B-838E-FCC55833D9A4}"/>
    <hyperlink ref="C7766" r:id="rId1973" xr:uid="{59E06350-FFB9-4367-B2F5-3F6915F0E783}"/>
    <hyperlink ref="C7633" r:id="rId1974" xr:uid="{938810E3-50AA-4046-AA52-AE43D735A51D}"/>
    <hyperlink ref="C7312" r:id="rId1975" xr:uid="{259AC0B6-CDE2-4921-ABE2-5EDEAF4C89A6}"/>
    <hyperlink ref="C6696" r:id="rId1976" xr:uid="{14A254FE-A8D4-415E-AAC8-800A7BDAD285}"/>
    <hyperlink ref="C5666" r:id="rId1977" xr:uid="{81A1AA01-CF4D-4170-9594-83FB28D292C6}"/>
    <hyperlink ref="C4323" r:id="rId1978" xr:uid="{4EE99B78-A603-468C-B06F-19EF89F64426}"/>
    <hyperlink ref="C2897" r:id="rId1979" xr:uid="{95C7BB18-1241-4D80-8E64-729BBB510D9E}"/>
    <hyperlink ref="C1676" r:id="rId1980" xr:uid="{5237BA8D-55B0-40A1-A1F5-65C630A87E36}"/>
    <hyperlink ref="C287" r:id="rId1981" xr:uid="{30D79B70-EEAD-4CA9-81E1-AB4018F38790}"/>
    <hyperlink ref="C10133" r:id="rId1982" xr:uid="{F1C1F97E-B26F-4D87-8FFF-9F33BDBA3B73}"/>
    <hyperlink ref="C10107" r:id="rId1983" xr:uid="{33ACBCCC-F64E-4D26-BCAF-2FDC13423D1E}"/>
    <hyperlink ref="C10080" r:id="rId1984" xr:uid="{440B002D-F5C8-4CA5-91E9-E32531BE0783}"/>
    <hyperlink ref="C10052" r:id="rId1985" xr:uid="{818EF1D3-04B9-4F47-9F17-D1A395EC8A12}"/>
    <hyperlink ref="C10023" r:id="rId1986" xr:uid="{926F017E-BAC8-45C7-9152-07420BCECB6B}"/>
    <hyperlink ref="C9994" r:id="rId1987" xr:uid="{08B10CAB-D6D0-442E-97E3-C2004FCBB524}"/>
    <hyperlink ref="C9965" r:id="rId1988" xr:uid="{E73E0860-5898-4C50-A0C2-5D2EEAF13649}"/>
    <hyperlink ref="C9936" r:id="rId1989" xr:uid="{844D269B-1243-4BD0-A2A5-E68130684DBC}"/>
    <hyperlink ref="C9907" r:id="rId1990" xr:uid="{F31408E3-232C-49F3-998A-2801E6BB6C9C}"/>
    <hyperlink ref="C9878" r:id="rId1991" xr:uid="{26EF483D-5036-474C-8DC0-899A09DEF9FF}"/>
    <hyperlink ref="C9849" r:id="rId1992" xr:uid="{FC0908C6-BA3E-4DCC-8B54-E217F572FEE5}"/>
    <hyperlink ref="C9820" r:id="rId1993" xr:uid="{EFEE5BB1-6995-44B1-A1E7-6F4B5A59E2C5}"/>
    <hyperlink ref="C9791" r:id="rId1994" xr:uid="{549FC298-CDA3-4710-A40B-6529422777C4}"/>
    <hyperlink ref="C9762" r:id="rId1995" xr:uid="{26F829A0-650D-4259-9E7B-C41FC61CEFC0}"/>
    <hyperlink ref="C9733" r:id="rId1996" xr:uid="{118B45F6-3304-48E0-8DEF-FF5A0588159E}"/>
    <hyperlink ref="C9701" r:id="rId1997" xr:uid="{C80D7F9E-7811-48AE-BF6E-5499C690ABF2}"/>
    <hyperlink ref="C9669" r:id="rId1998" xr:uid="{600B85D5-09B3-4172-95C3-9241BBFD2C17}"/>
    <hyperlink ref="C9636" r:id="rId1999" xr:uid="{63FCC5E1-66C5-44B4-8B30-93AD7D2AF8EA}"/>
    <hyperlink ref="C9602" r:id="rId2000" xr:uid="{7C70CF19-E0C5-4926-B22A-664B8A753062}"/>
    <hyperlink ref="C9568" r:id="rId2001" xr:uid="{B2D20761-5A91-4A4B-86E2-B68F618289C6}"/>
    <hyperlink ref="C9532" r:id="rId2002" xr:uid="{6544C697-B3B6-48E1-A0FA-1DAECB514505}"/>
    <hyperlink ref="C9496" r:id="rId2003" xr:uid="{795C1659-79CA-4623-9FD9-B6D75C3F7BEA}"/>
    <hyperlink ref="C9459" r:id="rId2004" xr:uid="{E5CDF423-F5DA-4C7F-92CD-C7595A6A86A9}"/>
    <hyperlink ref="C9417" r:id="rId2005" xr:uid="{57DB1DBD-F286-4DF9-AA0E-0BF485F629A6}"/>
    <hyperlink ref="C9373" r:id="rId2006" xr:uid="{FBDDDABA-C479-4EC2-BAC2-CC0060D1BD6A}"/>
    <hyperlink ref="C9329" r:id="rId2007" xr:uid="{B7A6E89F-C77E-4935-BD77-AD594574B6EE}"/>
    <hyperlink ref="C9285" r:id="rId2008" xr:uid="{409E6936-1F94-44E8-880B-1D2FA853A370}"/>
    <hyperlink ref="C9241" r:id="rId2009" xr:uid="{D151F60C-9E1C-4F8B-8EAC-C26DF791A4AD}"/>
    <hyperlink ref="C9196" r:id="rId2010" xr:uid="{FAE84817-06CE-4986-BDAC-BBEE686AD6FE}"/>
    <hyperlink ref="C9151" r:id="rId2011" xr:uid="{443B0433-9BCB-4803-BA9E-D0B0D183415C}"/>
    <hyperlink ref="C9106" r:id="rId2012" xr:uid="{F8FF3EEE-B7B9-4275-9F49-ADA91379F584}"/>
    <hyperlink ref="C9061" r:id="rId2013" xr:uid="{8CC620A8-B8AC-4D4A-BD0B-E26EE9250179}"/>
    <hyperlink ref="C9015" r:id="rId2014" xr:uid="{6817D57B-7B91-427A-B405-731336D045CC}"/>
    <hyperlink ref="C8969" r:id="rId2015" xr:uid="{C98286F3-0F11-4EC9-80D0-57C52CF6B2FB}"/>
    <hyperlink ref="C8922" r:id="rId2016" xr:uid="{7DA126C8-D01C-4204-B4EF-BC44B19DAC1A}"/>
    <hyperlink ref="C8875" r:id="rId2017" xr:uid="{A153CC30-7917-4477-9AD2-C3353ADCFD5E}"/>
    <hyperlink ref="C8826" r:id="rId2018" xr:uid="{AA56E5CA-C80E-4459-A3B7-2D0EA98E381F}"/>
    <hyperlink ref="C8774" r:id="rId2019" xr:uid="{FC68096C-C5CD-4E94-B0BC-503BDF67F0A4}"/>
    <hyperlink ref="C8721" r:id="rId2020" xr:uid="{8912369B-83B6-4B11-B262-7EB871E0D6E0}"/>
    <hyperlink ref="C8666" r:id="rId2021" xr:uid="{BCB77704-EA3E-49BE-9246-A7DFB059D72A}"/>
    <hyperlink ref="C8611" r:id="rId2022" xr:uid="{74FCEC96-2A33-44DE-9511-E50A5B0B9DDD}"/>
    <hyperlink ref="C8555" r:id="rId2023" xr:uid="{AF1845F0-B3F6-460F-8EB4-70649C947313}"/>
    <hyperlink ref="C8499" r:id="rId2024" xr:uid="{023D7E17-F026-4085-8676-A8E3F3EBBB20}"/>
    <hyperlink ref="C8443" r:id="rId2025" xr:uid="{23540175-B101-4349-B627-6D112A88426D}"/>
    <hyperlink ref="C8387" r:id="rId2026" xr:uid="{6521F6D3-A71F-4AD3-9571-74FBC13755DE}"/>
    <hyperlink ref="C8331" r:id="rId2027" xr:uid="{F5AE52DC-F7F3-4337-875A-606220BC5229}"/>
    <hyperlink ref="C8273" r:id="rId2028" xr:uid="{D112CF20-F7FA-4D62-B062-807D1F52FF03}"/>
    <hyperlink ref="C8212" r:id="rId2029" xr:uid="{90649DDB-1D7F-4A24-A1A6-E9B425CA9644}"/>
    <hyperlink ref="C8148" r:id="rId2030" xr:uid="{A86B1887-4F53-41F6-A2CC-3E660944BD89}"/>
    <hyperlink ref="C8084" r:id="rId2031" xr:uid="{24F256B5-820B-4D12-AEB4-85C65D847230}"/>
    <hyperlink ref="C8019" r:id="rId2032" xr:uid="{6C024163-9A7C-491C-8999-870AAA69B644}"/>
    <hyperlink ref="C7948" r:id="rId2033" xr:uid="{05A981B3-A2E4-4919-9A97-21352CA05884}"/>
    <hyperlink ref="C7862" r:id="rId2034" xr:uid="{42162672-30F7-4C87-99AA-3C4BA6B06266}"/>
    <hyperlink ref="C7763" r:id="rId2035" xr:uid="{B068D6EA-8F1E-4454-80EC-65AB9EDFD4A5}"/>
    <hyperlink ref="C7631" r:id="rId2036" xr:uid="{DBD548A6-32BF-42E1-9824-983293F11386}"/>
    <hyperlink ref="C7299" r:id="rId2037" xr:uid="{8D7541A6-2D8A-4B9F-B9CE-3671D22A6082}"/>
    <hyperlink ref="C6681" r:id="rId2038" xr:uid="{AC132C6F-0D8E-4489-951C-09D04D79BC4F}"/>
    <hyperlink ref="C5724" r:id="rId2039" xr:uid="{AC7D1F53-305F-401E-B8A0-04B9E9F5AB7A}"/>
    <hyperlink ref="C4284" r:id="rId2040" xr:uid="{ADF94079-F329-4724-AC32-5D99DF7D3CEC}"/>
    <hyperlink ref="C2893" r:id="rId2041" xr:uid="{AC7FFBE4-171C-4146-81EF-8CC75620BECD}"/>
    <hyperlink ref="C1618" r:id="rId2042" xr:uid="{C2B0AB5A-D20D-45D8-BA58-4F49CA8B5DBA}"/>
    <hyperlink ref="C263" r:id="rId2043" xr:uid="{2BA7E460-66FF-4100-AE5D-7616D820518D}"/>
    <hyperlink ref="C9416" r:id="rId2044" xr:uid="{DE7B4BBB-14DC-4D8C-9A86-C7D20B29C915}"/>
    <hyperlink ref="C9372" r:id="rId2045" xr:uid="{804B4A82-73DE-4AAE-B377-56B14559EC94}"/>
    <hyperlink ref="C9328" r:id="rId2046" xr:uid="{34E2D78B-8A23-45B0-802F-54C4A60521C9}"/>
    <hyperlink ref="C9284" r:id="rId2047" xr:uid="{61B7C976-968F-4ADE-BB29-3DA539569DC4}"/>
    <hyperlink ref="C9240" r:id="rId2048" xr:uid="{B2537104-1D4F-4DB9-A4E5-BB7D33F8670C}"/>
    <hyperlink ref="C9195" r:id="rId2049" xr:uid="{7F042FFD-D809-45AD-B5FC-5E9CD34DC7A6}"/>
    <hyperlink ref="C9150" r:id="rId2050" xr:uid="{54F9BA8B-22DC-46E5-BB5C-3C7134884799}"/>
    <hyperlink ref="C9105" r:id="rId2051" xr:uid="{4E30A736-7B93-4BC5-BDA5-4FD4C9F94C1E}"/>
    <hyperlink ref="C9060" r:id="rId2052" xr:uid="{A42D05EF-9DB3-4C0F-A7BC-915594CFA239}"/>
    <hyperlink ref="C9014" r:id="rId2053" xr:uid="{EBC6CF4E-AB22-4E07-94A3-62704D37AA65}"/>
    <hyperlink ref="C8968" r:id="rId2054" xr:uid="{186EBDC6-9F79-45B4-9F7C-5430F89EC5FF}"/>
    <hyperlink ref="C8921" r:id="rId2055" xr:uid="{59664DDD-28FE-44A5-B702-78E24B956CE4}"/>
    <hyperlink ref="C8874" r:id="rId2056" xr:uid="{5026B162-2884-4580-A5A4-1CA2C3F83913}"/>
    <hyperlink ref="C8825" r:id="rId2057" xr:uid="{0025CA0B-C287-4D4A-9281-1E28C3DB118B}"/>
    <hyperlink ref="C8773" r:id="rId2058" xr:uid="{DE737008-DBB6-47CB-BE89-418F8C2827D2}"/>
    <hyperlink ref="C8720" r:id="rId2059" xr:uid="{4A582D6E-6CF9-4922-B1F9-FADB6D967B9A}"/>
    <hyperlink ref="C8665" r:id="rId2060" xr:uid="{7B9970E9-6880-4EB2-B263-D5CEC320E0EB}"/>
    <hyperlink ref="C8610" r:id="rId2061" xr:uid="{9DF8F7A3-EC4F-440F-BC3E-EEA4EA11FDF0}"/>
    <hyperlink ref="C8554" r:id="rId2062" xr:uid="{DF162AC3-7FE4-46F3-99D9-4EDFE05C67DE}"/>
    <hyperlink ref="C8498" r:id="rId2063" xr:uid="{CECEC3D7-31EC-4B36-BBDD-75BEAE6BD9F1}"/>
    <hyperlink ref="C8442" r:id="rId2064" xr:uid="{07310A76-9896-4BA9-AE51-A6E9CBB6A8DD}"/>
    <hyperlink ref="C8386" r:id="rId2065" xr:uid="{C2DC751A-FFED-4145-A457-2D6B0E8228A7}"/>
    <hyperlink ref="C8330" r:id="rId2066" xr:uid="{C9A10824-E1EF-4258-B5A4-DED88AC6869F}"/>
    <hyperlink ref="C8272" r:id="rId2067" xr:uid="{C679176C-041F-44ED-B240-4AD5FD0396B0}"/>
    <hyperlink ref="C8209" r:id="rId2068" xr:uid="{897102C2-F6CB-4E18-A2EC-64B67252FA83}"/>
    <hyperlink ref="C8146" r:id="rId2069" xr:uid="{091C9AC1-166C-4D58-B500-52584546BC25}"/>
    <hyperlink ref="C8082" r:id="rId2070" xr:uid="{174239F5-51AA-42DD-BABE-1580AD242736}"/>
    <hyperlink ref="C8017" r:id="rId2071" xr:uid="{00E1C4B3-D34D-4790-8D9E-13243733C710}"/>
    <hyperlink ref="C7946" r:id="rId2072" xr:uid="{73C7D8D5-B95C-40EC-A12F-296E3341DCB4}"/>
    <hyperlink ref="C7857" r:id="rId2073" xr:uid="{9F153BBD-04CF-4890-869F-EB507462C3DC}"/>
    <hyperlink ref="C7757" r:id="rId2074" xr:uid="{3EB1A82E-9BB9-473E-883D-D8A3BC58D843}"/>
    <hyperlink ref="C7614" r:id="rId2075" xr:uid="{228A9A8C-530F-4AA9-A653-3AA87C3284C6}"/>
    <hyperlink ref="C7252" r:id="rId2076" xr:uid="{8FDE7614-09DB-4C92-8642-310702AC0595}"/>
    <hyperlink ref="C6597" r:id="rId2077" xr:uid="{97DF9209-2DB9-41E2-A392-496B6DF8E3E5}"/>
    <hyperlink ref="C5308" r:id="rId2078" xr:uid="{DBEF7817-CF18-413F-9AED-5D84A0064C52}"/>
    <hyperlink ref="C4141" r:id="rId2079" xr:uid="{9E572DEA-1BF5-4C5B-87D9-EEDF0B676227}"/>
    <hyperlink ref="C2747" r:id="rId2080" xr:uid="{C89272A5-0C47-44A2-A3ED-822A349D8DDD}"/>
    <hyperlink ref="C1479" r:id="rId2081" xr:uid="{763D0C5F-EEC4-4C77-A92A-B33BFAB4B73B}"/>
    <hyperlink ref="C152" r:id="rId2082" xr:uid="{2CDAF50A-DD4F-427F-9394-096F2BDF29DC}"/>
    <hyperlink ref="C7261" r:id="rId2083" xr:uid="{9BC18CE7-52C8-4D27-8571-0731566C93E0}"/>
    <hyperlink ref="C6616" r:id="rId2084" xr:uid="{DA807746-8E3C-49B4-9525-05042E552AC9}"/>
    <hyperlink ref="C5333" r:id="rId2085" xr:uid="{3368E954-CF07-4324-8155-C6920897FD9E}"/>
    <hyperlink ref="C4165" r:id="rId2086" xr:uid="{6D6CBEA4-9B84-44C2-9399-28C79E6683B0}"/>
    <hyperlink ref="C2749" r:id="rId2087" xr:uid="{31B578F4-9889-4D2D-B783-B15D371D34D0}"/>
    <hyperlink ref="C1482" r:id="rId2088" xr:uid="{4F4D9822-6EB3-4B28-ACBA-EF448AA91150}"/>
    <hyperlink ref="C169" r:id="rId2089" xr:uid="{214C14C7-C8AC-4162-B25F-80B47069C10B}"/>
    <hyperlink ref="C9495" r:id="rId2090" xr:uid="{069D4160-21E6-493E-B1B3-F65D7075D996}"/>
    <hyperlink ref="C9458" r:id="rId2091" xr:uid="{6F3F1248-8E14-4238-8128-082221A30834}"/>
    <hyperlink ref="C9415" r:id="rId2092" xr:uid="{DABD923A-600E-48FB-B0F2-A865B5FB8023}"/>
    <hyperlink ref="C9371" r:id="rId2093" xr:uid="{E2E9E1A8-80CB-45DE-8FF7-E35BCED6E5C2}"/>
    <hyperlink ref="C9327" r:id="rId2094" xr:uid="{DE68A31B-5450-4D14-996C-34DC3DCE9B88}"/>
    <hyperlink ref="C9283" r:id="rId2095" xr:uid="{85FC4D62-48A5-4BB9-A3AD-DA85F5382A74}"/>
    <hyperlink ref="C9239" r:id="rId2096" xr:uid="{83697A3E-0AF5-44F9-AB96-B13A9988048F}"/>
    <hyperlink ref="C9194" r:id="rId2097" xr:uid="{3DEA76AB-240D-4955-871D-EBD79B24B28D}"/>
    <hyperlink ref="C9149" r:id="rId2098" xr:uid="{5CC88363-539B-4422-A6F5-0A49F9117229}"/>
    <hyperlink ref="C9104" r:id="rId2099" xr:uid="{77CEE082-E673-4FBD-A539-2189689E1792}"/>
    <hyperlink ref="C9059" r:id="rId2100" xr:uid="{4C0573DE-2435-48BF-B1ED-F01E4D6698BC}"/>
    <hyperlink ref="C9013" r:id="rId2101" xr:uid="{90386D0C-C9DE-444A-B293-DE6C7D8F469F}"/>
    <hyperlink ref="C8967" r:id="rId2102" xr:uid="{A16B8DD1-25C4-483C-A456-BDD549AF5973}"/>
    <hyperlink ref="C8920" r:id="rId2103" xr:uid="{BC5891E9-9932-4A67-A310-FFA2EF0B612F}"/>
    <hyperlink ref="C8873" r:id="rId2104" xr:uid="{D4E7D443-C6DA-4890-8F15-09B744605C1D}"/>
    <hyperlink ref="C8824" r:id="rId2105" xr:uid="{57F39A27-467C-4921-836A-9B99EB9F8A94}"/>
    <hyperlink ref="C8772" r:id="rId2106" xr:uid="{2F33F7A5-0DA7-41F3-9AEE-B6DFE77A8F2C}"/>
    <hyperlink ref="C8719" r:id="rId2107" xr:uid="{5E1EDD28-8C8D-4D49-B613-6CF567D53F8B}"/>
    <hyperlink ref="C8664" r:id="rId2108" xr:uid="{58690EF9-2671-4373-8D93-1CFA09C958F3}"/>
    <hyperlink ref="C8609" r:id="rId2109" xr:uid="{C2E5DD87-BCEC-4E91-AFD3-BD5ED0C38DA4}"/>
    <hyperlink ref="C8553" r:id="rId2110" xr:uid="{E2ED776C-AC0C-4270-9EB8-AAB2D372F6A8}"/>
    <hyperlink ref="C8497" r:id="rId2111" xr:uid="{D504590F-73E2-453E-9BA1-97851E899A3A}"/>
    <hyperlink ref="C8441" r:id="rId2112" xr:uid="{7A2BEBE8-FFEE-4423-B06E-D0AD60984BD6}"/>
    <hyperlink ref="C8385" r:id="rId2113" xr:uid="{F7ACAAEA-7B0D-4843-A791-A8BF57F71B48}"/>
    <hyperlink ref="C8329" r:id="rId2114" xr:uid="{66887479-B06E-4792-AE61-6F056F33CC89}"/>
    <hyperlink ref="C8271" r:id="rId2115" xr:uid="{F6C99302-8374-438F-91CC-23D60F4AA9F5}"/>
    <hyperlink ref="C8208" r:id="rId2116" xr:uid="{76006824-9CCB-4C6A-80CB-A4822E782613}"/>
    <hyperlink ref="C8145" r:id="rId2117" xr:uid="{8176E635-8EEF-4CA6-9E14-424EFDA7DEEF}"/>
    <hyperlink ref="C8081" r:id="rId2118" xr:uid="{F0E7CC90-B447-4234-A001-6C02CAC9590F}"/>
    <hyperlink ref="C8016" r:id="rId2119" xr:uid="{3272314A-E46D-438F-A5C3-2154F448FA27}"/>
    <hyperlink ref="C7945" r:id="rId2120" xr:uid="{941AB265-5408-46F1-86EB-4DC40CF5BC9A}"/>
    <hyperlink ref="C7856" r:id="rId2121" xr:uid="{CC8C0ECF-629E-4C08-942B-8748D21442F6}"/>
    <hyperlink ref="C7756" r:id="rId2122" xr:uid="{8032C9A7-CCFE-4660-93ED-294845412B25}"/>
    <hyperlink ref="C7613" r:id="rId2123" xr:uid="{A833FACD-22EF-4CFD-8E57-BDD0219D1F2E}"/>
    <hyperlink ref="C7251" r:id="rId2124" xr:uid="{2B77A8C2-81B1-40A6-88F9-813C70D4B306}"/>
    <hyperlink ref="C6593" r:id="rId2125" xr:uid="{05A85ED4-5403-422C-BB04-7BB9929961F4}"/>
    <hyperlink ref="C5332" r:id="rId2126" xr:uid="{96D67168-DE46-4E61-A877-F529F06B4C17}"/>
    <hyperlink ref="C4142" r:id="rId2127" xr:uid="{344BA755-17F6-4562-89FF-CB710801F637}"/>
    <hyperlink ref="C2748" r:id="rId2128" xr:uid="{8AB7D2FB-D473-4CCE-8597-9459E6CE3475}"/>
    <hyperlink ref="C1480" r:id="rId2129" xr:uid="{C59F9BFF-7B0E-4A7B-AD70-19858FB37464}"/>
    <hyperlink ref="C168" r:id="rId2130" xr:uid="{612DAA2D-36BC-47DE-B90D-BE24CD4566E7}"/>
    <hyperlink ref="C2607" r:id="rId2131" xr:uid="{C61810A8-D279-41CB-98BE-254EDC8B8811}"/>
    <hyperlink ref="C1344" r:id="rId2132" xr:uid="{E2B5CC3B-3C1E-4DC0-BF0B-F3938C0C5FBC}"/>
    <hyperlink ref="C3" r:id="rId2133" xr:uid="{E65281E3-BE4D-471E-A263-919B9A3A05E3}"/>
    <hyperlink ref="C8269" r:id="rId2134" xr:uid="{B275B816-CF99-4CBB-A0DC-01C5B3A13C95}"/>
    <hyperlink ref="C8918" r:id="rId2135" xr:uid="{487E5979-7820-442F-914D-BC76CFE34813}"/>
    <hyperlink ref="C8871" r:id="rId2136" xr:uid="{BC762799-A6C4-4B12-BA60-6E8368F3DF72}"/>
    <hyperlink ref="C8822" r:id="rId2137" xr:uid="{961C15CF-43F8-47E6-B49A-822E04FE9670}"/>
    <hyperlink ref="C8770" r:id="rId2138" xr:uid="{EE0D73EC-20BE-4F1E-AC03-2CE5A867E4B3}"/>
    <hyperlink ref="C8717" r:id="rId2139" xr:uid="{FD280038-E480-43AD-9DEC-5AD28A15F89B}"/>
    <hyperlink ref="C8662" r:id="rId2140" xr:uid="{2C72BF59-BA08-490D-AB8E-F75852358C21}"/>
    <hyperlink ref="C8607" r:id="rId2141" xr:uid="{A8494ECA-33AC-43B2-A0FB-BBEF2B998393}"/>
    <hyperlink ref="C8551" r:id="rId2142" xr:uid="{E3D3350E-0B94-459A-81C6-8535CCE6C5BA}"/>
    <hyperlink ref="C8495" r:id="rId2143" xr:uid="{CC50A66F-2211-4435-81BA-CA7720A660C7}"/>
    <hyperlink ref="C8439" r:id="rId2144" xr:uid="{C5363960-4E23-4489-A773-BCE944757519}"/>
    <hyperlink ref="C8383" r:id="rId2145" xr:uid="{7950FBDD-5B55-4A59-9022-375AEA0EFCD4}"/>
    <hyperlink ref="C8327" r:id="rId2146" xr:uid="{22369340-8524-46B4-A73B-4DC615F378D3}"/>
    <hyperlink ref="C8206" r:id="rId2147" xr:uid="{4320DBDC-5D39-4785-AFF9-C12FFE1D1F63}"/>
    <hyperlink ref="C8143" r:id="rId2148" xr:uid="{014BDF61-3286-47A3-B5AA-830317FD542F}"/>
    <hyperlink ref="C8079" r:id="rId2149" xr:uid="{F699E31B-5A10-4B0C-AC4F-DB9465C0D62A}"/>
    <hyperlink ref="C8013" r:id="rId2150" xr:uid="{1177E0F2-6B5E-4EC5-A09D-7BB6E6E1984B}"/>
    <hyperlink ref="C7939" r:id="rId2151" xr:uid="{ACBEBB12-43AE-417E-8337-4CED1E531938}"/>
    <hyperlink ref="C7848" r:id="rId2152" xr:uid="{2CBE857B-EAD5-408B-8D03-FA46BE371F5D}"/>
    <hyperlink ref="C7746" r:id="rId2153" xr:uid="{ED7A6A48-4452-481F-8B90-380BE1787CFC}"/>
    <hyperlink ref="C7599" r:id="rId2154" xr:uid="{CC4C0EFD-DA22-4B07-B787-9F9095FB54E6}"/>
    <hyperlink ref="C7205" r:id="rId2155" xr:uid="{940E4F1A-9E2E-4156-8CE5-2A8C1DE70A0E}"/>
    <hyperlink ref="C6502" r:id="rId2156" xr:uid="{61B90E28-11F5-4839-8C81-A2C437EAFCA4}"/>
    <hyperlink ref="C6106" r:id="rId2157" xr:uid="{7ACD1823-E7DD-46D8-A53A-FAB8654BD54C}"/>
    <hyperlink ref="C5264" r:id="rId2158" xr:uid="{285033BB-BF40-4970-B528-D36727DA3BDD}"/>
    <hyperlink ref="C3915" r:id="rId2159" xr:uid="{8FB82200-CA99-433F-9709-E44EC7EAABDF}"/>
    <hyperlink ref="C2610" r:id="rId2160" xr:uid="{57E49D7F-48A5-4397-B2A4-4A14D22594DF}"/>
    <hyperlink ref="C1296" r:id="rId2161" xr:uid="{A3EB0CF4-3D04-4745-B3BA-25D55B5F0318}"/>
    <hyperlink ref="C4923" r:id="rId2162" xr:uid="{F9FC59D4-90C8-4D7F-9675-3FC07B980589}"/>
    <hyperlink ref="C3166" r:id="rId2163" xr:uid="{1136C703-87C0-4B0B-97CE-4F60742FCBFF}"/>
    <hyperlink ref="C7407" r:id="rId2164" xr:uid="{DFC558B5-1B36-40F3-A9C6-82D5C4DE32EA}"/>
    <hyperlink ref="C7681" r:id="rId2165" xr:uid="{950B31D8-1975-4E0F-BBCE-1F61F2E8615E}"/>
    <hyperlink ref="C7803" r:id="rId2166" xr:uid="{16D45A43-41BB-41DC-AD0C-1B42E695AF4F}"/>
    <hyperlink ref="C7900" r:id="rId2167" xr:uid="{7CB4EC8E-93B7-4FD9-9F6E-42972D53F528}"/>
    <hyperlink ref="C7980" r:id="rId2168" xr:uid="{FB2F3D99-7417-4A42-BAF0-34732733EB79}"/>
    <hyperlink ref="C8046" r:id="rId2169" xr:uid="{22A3E4F9-26F5-4E2C-B39D-D57C0472608B}"/>
    <hyperlink ref="C8111" r:id="rId2170" xr:uid="{A7BB3F40-54E7-401C-B0C5-4DA8E1CD1D3A}"/>
    <hyperlink ref="C8174" r:id="rId2171" xr:uid="{B7233ADA-6C24-4CBB-950B-AF5511F15F8A}"/>
    <hyperlink ref="C8238" r:id="rId2172" xr:uid="{1F0850A1-F4C9-4327-A780-79C98CECDFBE}"/>
    <hyperlink ref="C8298" r:id="rId2173" xr:uid="{C0DF71D4-6B92-4EDE-857B-BEC919A5B7EC}"/>
    <hyperlink ref="C8354" r:id="rId2174" xr:uid="{54C2A674-DA20-4BC0-958E-B0AAB4C40BD5}"/>
    <hyperlink ref="C8410" r:id="rId2175" xr:uid="{0549D2F6-19A6-4CE0-A430-A03C804DFEC8}"/>
    <hyperlink ref="C8466" r:id="rId2176" xr:uid="{04134DEB-CA24-4FF5-9568-B976226D506E}"/>
    <hyperlink ref="C8522" r:id="rId2177" xr:uid="{8E70B791-EF55-4D98-A84D-2CBEECCEA230}"/>
    <hyperlink ref="C8578" r:id="rId2178" xr:uid="{E59F691A-E650-4D3A-AC00-D37F4B3335ED}"/>
    <hyperlink ref="C8634" r:id="rId2179" xr:uid="{6A821417-D49B-4041-B289-43903729DCA7}"/>
    <hyperlink ref="C8689" r:id="rId2180" xr:uid="{5176ED19-1402-4403-A6D4-EFD6B6D1150C}"/>
    <hyperlink ref="C8743" r:id="rId2181" xr:uid="{6DE345C5-F8D1-44AC-BE61-34233E617025}"/>
    <hyperlink ref="C8796" r:id="rId2182" xr:uid="{4DEF0E39-EDFF-4B9A-B58E-19870FDDFCE9}"/>
    <hyperlink ref="C8847" r:id="rId2183" xr:uid="{C61ABE34-F403-406A-876F-D9CDFF4475C6}"/>
    <hyperlink ref="C8895" r:id="rId2184" xr:uid="{0D37547A-E84B-4204-81F2-C2C2C521AFE2}"/>
    <hyperlink ref="C8942" r:id="rId2185" xr:uid="{90E86E11-569A-4419-9B29-0A672ACE42B0}"/>
    <hyperlink ref="C8989" r:id="rId2186" xr:uid="{A74CC963-774F-430C-B785-CA1C5661F78F}"/>
    <hyperlink ref="C9035" r:id="rId2187" xr:uid="{C9341FCF-7BB8-46CB-948A-704669B0DE7F}"/>
    <hyperlink ref="C9080" r:id="rId2188" xr:uid="{04B18B28-957A-48E0-9AB8-5C3B69BA1336}"/>
    <hyperlink ref="C9125" r:id="rId2189" xr:uid="{53F16A03-0A70-4277-A002-BBB896D64207}"/>
    <hyperlink ref="C9170" r:id="rId2190" xr:uid="{3DCCA9B7-81A4-4730-A2F2-E6078199E267}"/>
    <hyperlink ref="C9215" r:id="rId2191" xr:uid="{90A81B18-FBBF-47C6-981E-E46FBD3E2AAA}"/>
    <hyperlink ref="C9260" r:id="rId2192" xr:uid="{079CBF17-0BAA-4DA1-B996-EDDCD5B8EBAA}"/>
    <hyperlink ref="C9304" r:id="rId2193" xr:uid="{382CC97D-AA35-4028-AB28-91A9415DC4BC}"/>
    <hyperlink ref="C9348" r:id="rId2194" xr:uid="{8F38DE6B-3556-4FD7-A763-3FB5A8824AF5}"/>
    <hyperlink ref="C9392" r:id="rId2195" xr:uid="{0E4FB205-DBFA-4CD6-9403-ECF4C6906546}"/>
    <hyperlink ref="C9435" r:id="rId2196" xr:uid="{4634F5B8-89B8-43BA-BA38-62CBD60E3369}"/>
    <hyperlink ref="C9472" r:id="rId2197" xr:uid="{4867D157-B6E0-48FE-A1CB-FCDA53375034}"/>
    <hyperlink ref="C9509" r:id="rId2198" xr:uid="{EBD84C8C-8623-482D-96F6-6CC814D6F551}"/>
    <hyperlink ref="C9545" r:id="rId2199" xr:uid="{98D7AFD1-F7F7-427F-AF7A-DEC543E241DE}"/>
    <hyperlink ref="C9581" r:id="rId2200" xr:uid="{B0C0AB12-68DA-4EEC-927F-EC09301FF066}"/>
    <hyperlink ref="C9615" r:id="rId2201" xr:uid="{617FA176-A24C-47B4-AE57-7FB2880AFD39}"/>
    <hyperlink ref="C9648" r:id="rId2202" xr:uid="{33C762B9-8EEA-4452-8F15-CE2D7A67BEBF}"/>
    <hyperlink ref="C9680" r:id="rId2203" xr:uid="{C39EC58B-9763-431B-A9DD-E4D57003B17C}"/>
    <hyperlink ref="C9712" r:id="rId2204" xr:uid="{3D04F35D-80A0-47C0-A116-0898CFDBC62E}"/>
    <hyperlink ref="C9741" r:id="rId2205" xr:uid="{3C8D412B-2681-473D-8DDA-AA670A389B49}"/>
    <hyperlink ref="C9770" r:id="rId2206" xr:uid="{4EFE2D87-0E4F-4FEF-82CA-21CF4AB71DC7}"/>
    <hyperlink ref="C9799" r:id="rId2207" xr:uid="{EC5C81E5-54B8-41E3-BD22-E92366997277}"/>
    <hyperlink ref="C9828" r:id="rId2208" xr:uid="{FBD4BC05-B088-4AC1-B96F-EFD2D530905C}"/>
    <hyperlink ref="C9857" r:id="rId2209" xr:uid="{FEADDE12-D166-4904-9841-DC219A014908}"/>
    <hyperlink ref="C9886" r:id="rId2210" xr:uid="{AECBD45F-7845-4D14-9109-9114F3C3BDF2}"/>
    <hyperlink ref="C9915" r:id="rId2211" xr:uid="{41E55D4C-2365-491D-9318-501A14832B1F}"/>
    <hyperlink ref="C9944" r:id="rId2212" xr:uid="{B53B9E02-25E1-4136-9104-B53E3F5EFF0B}"/>
    <hyperlink ref="C9973" r:id="rId2213" xr:uid="{8787DD49-8CC6-4504-9C5E-A144CFCF8172}"/>
    <hyperlink ref="C10002" r:id="rId2214" xr:uid="{8DB27901-78CF-4D8F-81C5-73DA0FBD06F4}"/>
    <hyperlink ref="C10031" r:id="rId2215" xr:uid="{B46AC246-5FC5-45CD-AF5E-CB68C6FA071B}"/>
    <hyperlink ref="C10060" r:id="rId2216" xr:uid="{0CB9925F-004C-4755-BA09-8CA5665984D2}"/>
    <hyperlink ref="C10088" r:id="rId2217" xr:uid="{6A883B08-474A-4540-B991-B5BF9467793E}"/>
    <hyperlink ref="C10115" r:id="rId2218" xr:uid="{6A2C8B9F-32E4-4F63-9476-D33276BB9ACA}"/>
    <hyperlink ref="C10139" r:id="rId2219" xr:uid="{5E319388-85C4-45E5-86A1-5D47797A9BFE}"/>
    <hyperlink ref="C10160" r:id="rId2220" xr:uid="{C719A991-FBFB-46C0-9E20-578A09E3EC4B}"/>
    <hyperlink ref="C10183" r:id="rId2221" xr:uid="{9A58BE41-7F97-48DA-9C57-3B8886EEB59D}"/>
    <hyperlink ref="C10200" r:id="rId2222" xr:uid="{A3915BDE-D5E7-4B18-8089-AE26FB77D183}"/>
    <hyperlink ref="C10213" r:id="rId2223" xr:uid="{A646D511-42DE-4320-8FEA-FDEF45621EDC}"/>
    <hyperlink ref="C10226" r:id="rId2224" xr:uid="{544ACA31-00CA-4311-A792-A47A01992EBA}"/>
    <hyperlink ref="C10239" r:id="rId2225" xr:uid="{2170E9AC-6FD2-4FAA-B5DF-7E50768BCAF1}"/>
    <hyperlink ref="C10250" r:id="rId2226" xr:uid="{6A4269B2-696C-4191-8F01-9237D0CD1455}"/>
    <hyperlink ref="C10261" r:id="rId2227" xr:uid="{D5E37B26-E2EE-469E-B5A7-4A9AC5914A58}"/>
    <hyperlink ref="C10272" r:id="rId2228" xr:uid="{8BC49224-4382-4283-8653-6AA04F4242D9}"/>
    <hyperlink ref="C10283" r:id="rId2229" xr:uid="{15D73911-E82B-442E-A070-915EF367F201}"/>
    <hyperlink ref="C3167" r:id="rId2230" xr:uid="{68C297F6-0BCD-47FD-B3B1-4E957A983DEF}"/>
    <hyperlink ref="C7408" r:id="rId2231" xr:uid="{33B05AE6-3785-4844-9F31-1FF0F6000C1F}"/>
    <hyperlink ref="C7682" r:id="rId2232" xr:uid="{D2DC9C38-6355-43EC-9107-181818681C4D}"/>
    <hyperlink ref="C7804" r:id="rId2233" xr:uid="{1D3064A8-2099-449D-A95E-9D5039856489}"/>
    <hyperlink ref="C7901" r:id="rId2234" xr:uid="{D7BFA606-2A1F-4DE7-B899-A91A17C7537C}"/>
    <hyperlink ref="C7981" r:id="rId2235" xr:uid="{5D4E46DC-0252-4B60-9024-FE6D50F61A19}"/>
    <hyperlink ref="C8047" r:id="rId2236" xr:uid="{5CDF898D-2C07-4735-BC3F-DF6A95DCB5D7}"/>
    <hyperlink ref="C8112" r:id="rId2237" xr:uid="{1F0204A0-F2E7-43B3-9F50-12B7C82D4C6D}"/>
    <hyperlink ref="C8175" r:id="rId2238" xr:uid="{0D5BD6D6-F351-4C10-A81D-93EA6F6BC654}"/>
    <hyperlink ref="C8239" r:id="rId2239" xr:uid="{7742E05B-E0D4-4048-8382-9D13A3B9B11F}"/>
    <hyperlink ref="C8299" r:id="rId2240" xr:uid="{6116A425-63D9-42A8-8B66-21EE58C382C7}"/>
    <hyperlink ref="C8355" r:id="rId2241" xr:uid="{D9324AD0-FB6C-4EAC-BCCE-C7A449CA30A0}"/>
    <hyperlink ref="C8411" r:id="rId2242" xr:uid="{819B37E9-5D40-4261-91DE-9594C4DF274C}"/>
    <hyperlink ref="C8467" r:id="rId2243" xr:uid="{A3F873C2-8CE0-4186-AD5C-583B483E7E4F}"/>
    <hyperlink ref="C8523" r:id="rId2244" xr:uid="{E92D4666-7DF5-4091-9553-3F2BCC95688D}"/>
    <hyperlink ref="C8579" r:id="rId2245" xr:uid="{00E7C615-A5FA-4888-8F34-98174C013699}"/>
    <hyperlink ref="C8635" r:id="rId2246" xr:uid="{5E30003F-80A8-4D93-B0C1-921913A29E09}"/>
    <hyperlink ref="C8690" r:id="rId2247" xr:uid="{BA9CC7A8-F86F-4FF7-BB25-ABDA8E3199AE}"/>
    <hyperlink ref="C8744" r:id="rId2248" xr:uid="{8B4561E3-28E9-4EFB-AD50-8F61AE44E08C}"/>
    <hyperlink ref="C8797" r:id="rId2249" xr:uid="{D9278060-FB58-48E3-AC77-1C3C271CC84A}"/>
    <hyperlink ref="C8848" r:id="rId2250" xr:uid="{C53762B7-6434-4051-98CA-F618CBDFAE96}"/>
    <hyperlink ref="C8896" r:id="rId2251" xr:uid="{64EE3A5B-1F32-4C68-8786-1E99524BA646}"/>
    <hyperlink ref="C8943" r:id="rId2252" xr:uid="{DFF61B42-4EFD-4D88-AE3A-F78FBC941790}"/>
    <hyperlink ref="C8990" r:id="rId2253" xr:uid="{A1A990A9-6DF6-4D20-B952-135F82674120}"/>
    <hyperlink ref="C9036" r:id="rId2254" xr:uid="{4B9DEDC2-A432-441A-9336-3929800FA267}"/>
    <hyperlink ref="C9081" r:id="rId2255" xr:uid="{C2103B2A-F3E4-443F-815B-308578603B12}"/>
    <hyperlink ref="C9126" r:id="rId2256" xr:uid="{B9164E9F-9926-46C2-B99B-46451FCEB758}"/>
    <hyperlink ref="C9171" r:id="rId2257" xr:uid="{D90045F1-41F3-4A7C-A4DF-61D076F500B5}"/>
    <hyperlink ref="C9216" r:id="rId2258" xr:uid="{937D9742-905B-42BA-AF9C-27CD8FA7839A}"/>
    <hyperlink ref="C9261" r:id="rId2259" xr:uid="{F83A10EF-FDD9-4129-AE15-5E2676135AC5}"/>
    <hyperlink ref="C9305" r:id="rId2260" xr:uid="{972899DF-700F-439B-86D1-282AD05F0B3B}"/>
    <hyperlink ref="C9349" r:id="rId2261" xr:uid="{D672D982-024E-49D2-AB6B-40FC4718F05C}"/>
    <hyperlink ref="C9393" r:id="rId2262" xr:uid="{01249BC1-6976-4F04-992A-7940B1B989B8}"/>
    <hyperlink ref="C9436" r:id="rId2263" xr:uid="{202ECE28-9E19-43CC-94CF-7B0A1031ED9D}"/>
    <hyperlink ref="C9473" r:id="rId2264" xr:uid="{E7C9966E-4595-4999-9F1F-CEF9EE17FAF2}"/>
    <hyperlink ref="C9510" r:id="rId2265" xr:uid="{F103A5DE-8438-4113-82CE-17E3854F0B6B}"/>
    <hyperlink ref="C9546" r:id="rId2266" xr:uid="{4875C04B-42EE-4517-A0F0-3AC4E3E97616}"/>
    <hyperlink ref="C9582" r:id="rId2267" xr:uid="{117D4D21-3148-4C3D-94D5-8ECC19889869}"/>
    <hyperlink ref="C9616" r:id="rId2268" xr:uid="{105B0ED9-C696-47E1-BF14-35021D49886B}"/>
    <hyperlink ref="C9649" r:id="rId2269" xr:uid="{7E7D775F-EA6C-4276-97DB-876BF82AAE19}"/>
    <hyperlink ref="C9681" r:id="rId2270" xr:uid="{5E8E15FD-3E8F-45D1-AA0B-DC2DD20EEFFB}"/>
    <hyperlink ref="C9713" r:id="rId2271" xr:uid="{0746E901-2BB1-494E-A7B4-EAFC4E785F08}"/>
    <hyperlink ref="C9742" r:id="rId2272" xr:uid="{15242965-81B8-429B-A906-7A3945E712FC}"/>
    <hyperlink ref="C9771" r:id="rId2273" xr:uid="{1610DCB0-735F-418F-B3B2-2EFD2C902DF1}"/>
    <hyperlink ref="C9800" r:id="rId2274" xr:uid="{7C124C12-6D2F-4EF7-B618-028A56C07DD9}"/>
    <hyperlink ref="C9829" r:id="rId2275" xr:uid="{D6DFE638-893D-4101-BC13-4F8A7EACDC0A}"/>
    <hyperlink ref="C9858" r:id="rId2276" xr:uid="{F84510BB-E46A-4609-BAE1-F1D3ABB61711}"/>
    <hyperlink ref="C9887" r:id="rId2277" xr:uid="{25971308-3828-4D66-AF44-B39174853B13}"/>
    <hyperlink ref="C9916" r:id="rId2278" xr:uid="{E8C69DE3-A266-452A-9F76-8BBFCE315142}"/>
    <hyperlink ref="C9945" r:id="rId2279" xr:uid="{F8276CCE-421D-4181-B3E2-E016D8E4E5A9}"/>
    <hyperlink ref="C9974" r:id="rId2280" xr:uid="{E175E0DA-272D-4A2E-886B-36CA108A6CD6}"/>
    <hyperlink ref="C10003" r:id="rId2281" xr:uid="{23D7351F-D6FA-4545-B82F-3B0EF69FF83E}"/>
    <hyperlink ref="C10032" r:id="rId2282" xr:uid="{56FBCFDB-C53A-404E-B3F3-8307931E8CFF}"/>
    <hyperlink ref="C10061" r:id="rId2283" xr:uid="{461D8AE7-2CDE-4214-8925-92191A67F5BF}"/>
    <hyperlink ref="C10089" r:id="rId2284" xr:uid="{734DC980-FB02-4CB0-B342-DD1C7757C514}"/>
    <hyperlink ref="C10116" r:id="rId2285" xr:uid="{2BE04402-5DAD-4A6D-920B-11E8B5B62C80}"/>
    <hyperlink ref="C10140" r:id="rId2286" xr:uid="{6E901E9C-FB5C-43C6-97E4-2BF2582A0C04}"/>
    <hyperlink ref="C10161" r:id="rId2287" xr:uid="{8B7C4EB1-53E1-4AE9-AB29-9CDC9D87ACC6}"/>
    <hyperlink ref="C10184" r:id="rId2288" xr:uid="{2D6F6A3B-CE1D-4BC0-AD72-75F40B687296}"/>
    <hyperlink ref="C10201" r:id="rId2289" xr:uid="{E598231E-DC3F-473A-A1BF-4040B036F9E4}"/>
    <hyperlink ref="C10214" r:id="rId2290" xr:uid="{98C4BEAE-6B86-42BD-90AF-D63CD370F1A6}"/>
    <hyperlink ref="C10227" r:id="rId2291" xr:uid="{AD5C3135-546A-4497-9B9C-88948BE238E5}"/>
    <hyperlink ref="C10240" r:id="rId2292" xr:uid="{F2EF9DFD-CD4B-45E0-A82D-621E831B9FB8}"/>
    <hyperlink ref="C10251" r:id="rId2293" xr:uid="{F71F5CCF-830D-4E95-BF36-D1F1B5BFF10B}"/>
    <hyperlink ref="C10262" r:id="rId2294" xr:uid="{C20F4A86-5683-4E90-8F00-26413EC34D3A}"/>
    <hyperlink ref="C10273" r:id="rId2295" xr:uid="{50C0DEC9-1AF6-4CF4-BB1D-5F8B67A5B340}"/>
    <hyperlink ref="C10284" r:id="rId2296" xr:uid="{865D340F-DDE5-427E-8E65-EDB65CEB2FCD}"/>
    <hyperlink ref="C3168" r:id="rId2297" xr:uid="{6DB3423B-A8E7-4F5A-90DB-F67084B3FBB4}"/>
    <hyperlink ref="C7409" r:id="rId2298" xr:uid="{FA201F37-2BD1-42B2-9027-6FE3762B4D51}"/>
    <hyperlink ref="C7683" r:id="rId2299" xr:uid="{65A04BB5-866D-4727-ABD3-2C208979FF7E}"/>
    <hyperlink ref="C7805" r:id="rId2300" xr:uid="{487E79FD-3385-4842-A8B6-285200948F7A}"/>
    <hyperlink ref="C7902" r:id="rId2301" xr:uid="{583EF6B2-CD9A-49A5-A549-DA84A87A859F}"/>
    <hyperlink ref="C7982" r:id="rId2302" xr:uid="{9876F1EF-7CBB-4498-AE88-7C0FF4E45D63}"/>
    <hyperlink ref="C8048" r:id="rId2303" xr:uid="{BBA1213F-AF83-4890-BF34-BC801E009994}"/>
    <hyperlink ref="C8113" r:id="rId2304" xr:uid="{DDE9627E-B75E-4BF7-8FF1-4FFD75BAE5FE}"/>
    <hyperlink ref="C8176" r:id="rId2305" xr:uid="{28421F94-B9E7-4B4F-BC96-68BDDFFEDB6B}"/>
    <hyperlink ref="C8240" r:id="rId2306" xr:uid="{4FB6F2C2-88A4-4C4A-95EA-1A7A68D520B5}"/>
    <hyperlink ref="C8300" r:id="rId2307" xr:uid="{3CFCB7D5-DC4C-414C-A9F6-32457D1C3813}"/>
    <hyperlink ref="C8356" r:id="rId2308" xr:uid="{9CC848A3-C0FF-41C5-85DB-3BCD6FC50DE6}"/>
    <hyperlink ref="C8412" r:id="rId2309" xr:uid="{23E7CE20-508B-4996-9154-56BED59390E9}"/>
    <hyperlink ref="C8468" r:id="rId2310" xr:uid="{1C6BB31B-B40A-4452-89CF-F515E76F3790}"/>
    <hyperlink ref="C8524" r:id="rId2311" xr:uid="{72F296C4-FED0-4287-BB25-1854874D89EF}"/>
    <hyperlink ref="C8580" r:id="rId2312" xr:uid="{8E48C50A-F659-49A6-8EB7-78BC3BFA9102}"/>
    <hyperlink ref="C8636" r:id="rId2313" xr:uid="{A67751D7-FA06-42CC-9A87-5466FD98E510}"/>
    <hyperlink ref="C8691" r:id="rId2314" xr:uid="{9344CA3D-E2E0-44EC-A79D-E49683ED59A2}"/>
    <hyperlink ref="C8745" r:id="rId2315" xr:uid="{D2D819B7-DD45-464E-B65A-2184CD1ED276}"/>
    <hyperlink ref="C8798" r:id="rId2316" xr:uid="{B3A52C05-81D6-44E4-9F10-B2C37B8EAF0F}"/>
    <hyperlink ref="C8849" r:id="rId2317" xr:uid="{B62CEDBF-F8A8-4F53-91EE-2332CAC08DB9}"/>
    <hyperlink ref="C8897" r:id="rId2318" xr:uid="{B8D4492A-4350-40EC-B15E-A0FF0268FBF2}"/>
    <hyperlink ref="C8944" r:id="rId2319" xr:uid="{3813C194-29DE-4436-86D3-1A118E5F9E68}"/>
    <hyperlink ref="C8991" r:id="rId2320" xr:uid="{BD907DA1-EC0A-4EF1-AE2B-C72BC64FC742}"/>
    <hyperlink ref="C9037" r:id="rId2321" xr:uid="{A516E0EA-8F40-4AEC-95BD-6124B7D188B4}"/>
    <hyperlink ref="C9082" r:id="rId2322" xr:uid="{30BAFF71-4556-46BB-BDB9-CC1156B4FFC9}"/>
    <hyperlink ref="C9127" r:id="rId2323" xr:uid="{D8A6E9C9-02B6-490F-8A33-7E3A272561EA}"/>
    <hyperlink ref="C9172" r:id="rId2324" xr:uid="{4B69C914-3939-4749-96FC-CAE50C02824A}"/>
    <hyperlink ref="C9217" r:id="rId2325" xr:uid="{C21AD2B9-6264-4F71-BADB-389CF3B09F9C}"/>
    <hyperlink ref="C9262" r:id="rId2326" xr:uid="{3DA0052E-9A41-47DA-A25A-02764364694C}"/>
    <hyperlink ref="C9306" r:id="rId2327" xr:uid="{084485A2-1462-486C-A55B-9E872BA9C9DD}"/>
    <hyperlink ref="C9350" r:id="rId2328" xr:uid="{BC38DDFB-E36B-4D63-B943-97042C34C93A}"/>
    <hyperlink ref="C9394" r:id="rId2329" xr:uid="{5A4A1C5A-CADE-4902-9A72-5EF05EE7EF4F}"/>
    <hyperlink ref="C9437" r:id="rId2330" xr:uid="{43660B77-F9A9-4575-90C6-0244B5DA3B55}"/>
    <hyperlink ref="C9474" r:id="rId2331" xr:uid="{D1373D59-D7E5-40A4-9A73-B48583DE8153}"/>
    <hyperlink ref="C9511" r:id="rId2332" xr:uid="{38B60E13-C404-4428-9446-8D6D61A89ED6}"/>
    <hyperlink ref="C9547" r:id="rId2333" xr:uid="{BD83703C-7651-48B8-AE64-D2C06D0EA3CA}"/>
    <hyperlink ref="C9583" r:id="rId2334" xr:uid="{5420769D-4AFF-41B6-876D-CFDDEEF59C72}"/>
    <hyperlink ref="C9617" r:id="rId2335" xr:uid="{C50D727D-2C41-424A-B8BB-B01ACE46DC9B}"/>
    <hyperlink ref="C9650" r:id="rId2336" xr:uid="{4323E136-CA72-4961-900A-33FE5AB02F24}"/>
    <hyperlink ref="C9682" r:id="rId2337" xr:uid="{DF654763-2E8F-40B7-8AFC-AB8CFA51C5C2}"/>
    <hyperlink ref="C9714" r:id="rId2338" xr:uid="{DCBD6573-C70A-4613-AFDD-0BD12DB830A7}"/>
    <hyperlink ref="C9743" r:id="rId2339" xr:uid="{A52223ED-4E37-4C61-9D6A-AA1E7326C63D}"/>
    <hyperlink ref="C9772" r:id="rId2340" xr:uid="{8F8BF382-A062-402C-A53F-F09E566B99F0}"/>
    <hyperlink ref="C9801" r:id="rId2341" xr:uid="{FC5AE1F8-5A83-4980-8241-43691408A504}"/>
    <hyperlink ref="C9830" r:id="rId2342" xr:uid="{270FBCF8-7744-4FAA-A72F-E8F2DCC6A2DE}"/>
    <hyperlink ref="C9859" r:id="rId2343" xr:uid="{B5517E3E-924E-402E-97D9-DBCE08526FF6}"/>
    <hyperlink ref="C9888" r:id="rId2344" xr:uid="{E90DCB92-20B4-4557-973A-CF736073D8CD}"/>
    <hyperlink ref="C9917" r:id="rId2345" xr:uid="{9D25CA96-11DC-4A27-85D1-CAB9DD1D8A4F}"/>
    <hyperlink ref="C9946" r:id="rId2346" xr:uid="{1FA9A68F-E3F9-42D7-BE6A-D9645D1121FC}"/>
    <hyperlink ref="C9975" r:id="rId2347" xr:uid="{89F59BFC-8A9F-447F-8D96-F08E179081D6}"/>
    <hyperlink ref="C10004" r:id="rId2348" xr:uid="{05617146-EC1D-4698-9A9D-D28A0D7211A6}"/>
    <hyperlink ref="C10033" r:id="rId2349" xr:uid="{73D2BBD3-4358-4E09-9B95-21E8AB4E70ED}"/>
    <hyperlink ref="C10062" r:id="rId2350" xr:uid="{436282B4-C4FD-4648-9CBC-836B003DAD80}"/>
    <hyperlink ref="C10090" r:id="rId2351" xr:uid="{CD0EB5CB-0B93-4798-BCC7-37C404B56F61}"/>
    <hyperlink ref="C10117" r:id="rId2352" xr:uid="{9066651C-9ED1-460B-A00C-6D5B9083860A}"/>
    <hyperlink ref="C10141" r:id="rId2353" xr:uid="{5EDC5F83-C5BD-4459-A77F-DCCB5B12C515}"/>
    <hyperlink ref="C10162" r:id="rId2354" xr:uid="{CDAF8EBE-9633-42B7-9057-B5DB896C23E0}"/>
    <hyperlink ref="C10185" r:id="rId2355" xr:uid="{EA966C9E-6F0A-469A-B2E8-B367AB14CB3E}"/>
    <hyperlink ref="C10202" r:id="rId2356" xr:uid="{09129C1D-A390-4C78-9C84-15E5ACF516BE}"/>
    <hyperlink ref="C10215" r:id="rId2357" xr:uid="{E78859A5-E684-47C7-8363-0D2A9EC29A3C}"/>
    <hyperlink ref="C10228" r:id="rId2358" xr:uid="{4B467536-105F-4D53-BDE8-D5E5F9B03817}"/>
    <hyperlink ref="C10241" r:id="rId2359" xr:uid="{46C8D7CD-FB0D-4C43-B957-E8DFB781A9E7}"/>
    <hyperlink ref="C10252" r:id="rId2360" xr:uid="{5CC033C9-1F52-424B-B884-F816A82ADB7B}"/>
    <hyperlink ref="C10263" r:id="rId2361" xr:uid="{1795C47D-4922-4BAD-AE65-E27133465569}"/>
    <hyperlink ref="C10274" r:id="rId2362" xr:uid="{8D4694F9-F587-48E2-A1DC-93DE91DF19B9}"/>
    <hyperlink ref="C10285" r:id="rId2363" xr:uid="{735E4B4A-D60C-4A87-B914-2A4D480804BC}"/>
    <hyperlink ref="C3202" r:id="rId2364" xr:uid="{F89334FA-58E8-4503-8A53-A595D3232AE4}"/>
    <hyperlink ref="C4587" r:id="rId2365" xr:uid="{EF27D2E0-C06F-400D-82F3-3966F6869FF9}"/>
    <hyperlink ref="C5962" r:id="rId2366" xr:uid="{8D52DAE0-F2D9-445C-8556-D92C310B5374}"/>
    <hyperlink ref="C6880" r:id="rId2367" xr:uid="{3B364DA8-307F-407E-9D42-8CFECA82E36F}"/>
    <hyperlink ref="C7425" r:id="rId2368" xr:uid="{22C1BFD4-14D1-44B3-91F4-A2DFD8419B73}"/>
    <hyperlink ref="C7699" r:id="rId2369" xr:uid="{954D462A-BB9C-4F80-82C7-A8EEA8953608}"/>
    <hyperlink ref="C7821" r:id="rId2370" xr:uid="{B99DDBE8-DB58-482B-A2AD-31916FCF64CA}"/>
    <hyperlink ref="C7918" r:id="rId2371" xr:uid="{1A691695-0F56-4FEB-99B2-8C1F8591EFE5}"/>
    <hyperlink ref="C7998" r:id="rId2372" xr:uid="{9BD88714-D987-4B7D-A867-47A71D6B2C88}"/>
    <hyperlink ref="C8064" r:id="rId2373" xr:uid="{9568460F-D111-4B5C-809C-95E66596359F}"/>
    <hyperlink ref="C8129" r:id="rId2374" xr:uid="{F347A92D-C2AF-44C8-BCD4-40A046061BD2}"/>
    <hyperlink ref="C8192" r:id="rId2375" xr:uid="{C85575D1-F1BA-42B2-8437-80EE023069FD}"/>
    <hyperlink ref="C8256" r:id="rId2376" xr:uid="{A45E3696-3A05-40FA-94E9-20D84F77612D}"/>
    <hyperlink ref="C8316" r:id="rId2377" xr:uid="{283CDFF9-7FE7-4C85-AD43-0A8FDAD0E311}"/>
    <hyperlink ref="C8372" r:id="rId2378" xr:uid="{6534B3F7-7472-42FD-8603-B38E603B9B1A}"/>
    <hyperlink ref="C8428" r:id="rId2379" xr:uid="{95AD2287-43D7-4330-96DE-4ED26A18DA24}"/>
    <hyperlink ref="C8484" r:id="rId2380" xr:uid="{DC7C3A3D-3C48-4A4A-A9A8-4FE9127D3B62}"/>
    <hyperlink ref="C8540" r:id="rId2381" xr:uid="{F524E290-99F1-492E-848F-92258C768D03}"/>
    <hyperlink ref="C8596" r:id="rId2382" xr:uid="{96434265-8CB7-468E-A7E1-3B9796C66B58}"/>
    <hyperlink ref="C8652" r:id="rId2383" xr:uid="{6B88BD2E-AB17-4A8A-9B8D-050CD924AAA3}"/>
    <hyperlink ref="C8707" r:id="rId2384" xr:uid="{B5157A28-AECE-4E03-BC45-6E26612029D1}"/>
    <hyperlink ref="C8761" r:id="rId2385" xr:uid="{17D7AD33-2EE0-4B6C-A0FB-A7EAF19A82BA}"/>
    <hyperlink ref="C8814" r:id="rId2386" xr:uid="{5C7E0EE2-F16F-4E6B-BC2F-C91BB208E193}"/>
    <hyperlink ref="C8864" r:id="rId2387" xr:uid="{D0071266-DC58-409F-A5E9-2797CDCE018A}"/>
    <hyperlink ref="C8912" r:id="rId2388" xr:uid="{BB3F6ADA-1BF5-4740-A8DD-E787690909CE}"/>
    <hyperlink ref="C8959" r:id="rId2389" xr:uid="{3BB53D96-7B29-4142-87DA-7584E10468E1}"/>
    <hyperlink ref="C9006" r:id="rId2390" xr:uid="{A04933EF-92A4-43AD-BD92-9A78E4D9C114}"/>
    <hyperlink ref="C9052" r:id="rId2391" xr:uid="{E36C4F4C-D6E4-461E-A924-9987158FE8C2}"/>
    <hyperlink ref="C9097" r:id="rId2392" xr:uid="{4E816861-F75A-4A36-AADB-0360E64BB7B5}"/>
    <hyperlink ref="C9142" r:id="rId2393" xr:uid="{31E9C067-5DE5-427C-85E2-3F03465444A4}"/>
    <hyperlink ref="C9187" r:id="rId2394" xr:uid="{56527D5B-3B05-4274-A346-1294D97E86AC}"/>
    <hyperlink ref="C9232" r:id="rId2395" xr:uid="{B546CCBD-93E9-4C19-B61D-DD3A90B1AC45}"/>
    <hyperlink ref="C9277" r:id="rId2396" xr:uid="{89CC3E10-83E1-422E-A229-BAF9EAC45DB7}"/>
    <hyperlink ref="C9321" r:id="rId2397" xr:uid="{4C18982A-356A-4DC0-82F4-3B0B6E5D8719}"/>
    <hyperlink ref="C9365" r:id="rId2398" xr:uid="{180B1A6B-0EAC-45D0-A098-FBE6CC336917}"/>
    <hyperlink ref="C9409" r:id="rId2399" xr:uid="{AC7766AA-1F9D-4C61-99E5-84DA036E22C4}"/>
    <hyperlink ref="C9452" r:id="rId2400" xr:uid="{D6EAD1B3-D909-477D-A1D2-95AFC09B4079}"/>
    <hyperlink ref="C9489" r:id="rId2401" xr:uid="{6A8A0ED4-0757-46B6-BA20-57FEDA2555FB}"/>
    <hyperlink ref="C9526" r:id="rId2402" xr:uid="{1EC1B398-DC65-4272-8C83-CF6351AD42C1}"/>
    <hyperlink ref="C9562" r:id="rId2403" xr:uid="{2BBC86E3-0999-4772-A486-6F7E7612B4D3}"/>
    <hyperlink ref="C9598" r:id="rId2404" xr:uid="{EE8B99E2-ADB5-432A-B560-68751470ED0D}"/>
    <hyperlink ref="C9632" r:id="rId2405" xr:uid="{21518801-7271-4E2D-8878-42CC41E2BFB2}"/>
    <hyperlink ref="C9665" r:id="rId2406" xr:uid="{214EAAC8-85C7-4342-9C7C-B44944F97F63}"/>
    <hyperlink ref="C9697" r:id="rId2407" xr:uid="{DB38C1C6-F00D-4474-B636-7FAA2288606E}"/>
    <hyperlink ref="C9729" r:id="rId2408" xr:uid="{F23BB616-53E5-4F8B-B828-445663D25922}"/>
    <hyperlink ref="C9758" r:id="rId2409" xr:uid="{4E0137AC-1CFE-486E-BB6E-BC5CFDF4F038}"/>
    <hyperlink ref="C9787" r:id="rId2410" xr:uid="{5BF21D5C-5A8A-4093-B3CA-E42C94638D56}"/>
    <hyperlink ref="C9816" r:id="rId2411" xr:uid="{DFFFC318-46A4-4E0B-9BE0-75C2D464AEF3}"/>
    <hyperlink ref="C9845" r:id="rId2412" xr:uid="{74AC7FA3-8B7D-4C2E-8AF5-50C32ED45838}"/>
    <hyperlink ref="C9874" r:id="rId2413" xr:uid="{AC1FB101-460D-4844-9E84-9B7C13455845}"/>
    <hyperlink ref="C9903" r:id="rId2414" xr:uid="{C44DD2DC-01E4-4865-A89C-3B983C6A673C}"/>
    <hyperlink ref="C9932" r:id="rId2415" xr:uid="{348E0964-FED7-4437-9E05-7A96E6E3A1B2}"/>
    <hyperlink ref="C9961" r:id="rId2416" xr:uid="{DC72B35B-4768-406E-BEC4-AB207C6063DF}"/>
    <hyperlink ref="C9990" r:id="rId2417" xr:uid="{8DE07064-01BC-4DB3-9397-0B961DCCC47C}"/>
    <hyperlink ref="C10019" r:id="rId2418" xr:uid="{308184D3-43D1-48AE-B286-0731E7E47697}"/>
    <hyperlink ref="C10048" r:id="rId2419" xr:uid="{6BF1A70E-500B-4C7B-A4A7-C2F3B2B23B2F}"/>
    <hyperlink ref="C10076" r:id="rId2420" xr:uid="{A6AD17B8-D19C-424D-9690-1FD70AEF88A0}"/>
    <hyperlink ref="C10103" r:id="rId2421" xr:uid="{C9B75718-151D-42F2-BB16-555D7A529B4A}"/>
    <hyperlink ref="C10129" r:id="rId2422" xr:uid="{74D7319C-8782-4358-82A5-ADAFF6EF0601}"/>
    <hyperlink ref="C10152" r:id="rId2423" xr:uid="{879AA449-FA9B-4DFF-9C5A-07FF86C63254}"/>
    <hyperlink ref="C10170" r:id="rId2424" xr:uid="{CCF1C92D-7C56-4EB1-95B4-84B52283CD84}"/>
    <hyperlink ref="C10193" r:id="rId2425" xr:uid="{A8C4A482-A4E7-4D58-B870-C7ECE8ADB171}"/>
    <hyperlink ref="C10210" r:id="rId2426" xr:uid="{AE3CFDCA-FF29-494A-B969-19BE7C56327F}"/>
    <hyperlink ref="C10223" r:id="rId2427" xr:uid="{860E5C46-9615-4767-9EAC-00377CE766F8}"/>
    <hyperlink ref="C10236" r:id="rId2428" xr:uid="{5F999D1C-6A27-4863-ACF1-1809EFF93F86}"/>
    <hyperlink ref="C10247" r:id="rId2429" xr:uid="{A1A4DA1B-4A40-4DB4-9582-DF2AEF291605}"/>
    <hyperlink ref="C10258" r:id="rId2430" xr:uid="{14DA38C9-5219-4D09-AEE3-A7AD5FBBAA90}"/>
    <hyperlink ref="C10269" r:id="rId2431" xr:uid="{4E2AD480-2F23-47BB-8EF3-2F20046664ED}"/>
    <hyperlink ref="C10280" r:id="rId2432" xr:uid="{85E433A6-A0E0-4FAF-99AE-07ADBBB0012B}"/>
    <hyperlink ref="C10291" r:id="rId2433" xr:uid="{9E2D8BF2-6B93-43EB-8177-24B1CFE30CAA}"/>
    <hyperlink ref="C3203" r:id="rId2434" xr:uid="{09B31DDD-46BD-44D4-BD26-01B5578CEBB0}"/>
    <hyperlink ref="C4588" r:id="rId2435" xr:uid="{73A46344-C7D4-4100-85F3-8C9F86D609EA}"/>
    <hyperlink ref="C5963" r:id="rId2436" xr:uid="{C10AF51E-42ED-4E58-BFCE-9DB92A7A3540}"/>
    <hyperlink ref="C6881" r:id="rId2437" xr:uid="{932093B5-1B07-49A7-91BD-7BFA1C6F5939}"/>
    <hyperlink ref="C7426" r:id="rId2438" xr:uid="{69936930-0B5F-43C2-B839-515F37A0A9F0}"/>
    <hyperlink ref="C7700" r:id="rId2439" xr:uid="{06B71B23-689D-4B58-8709-BC1C2D4550AF}"/>
    <hyperlink ref="C7822" r:id="rId2440" xr:uid="{17F352E8-FD19-4D85-A738-84F7786C2001}"/>
    <hyperlink ref="C7919" r:id="rId2441" xr:uid="{6DD4B954-6C9F-4CEA-ABCD-A25923921AF1}"/>
    <hyperlink ref="C7999" r:id="rId2442" xr:uid="{F75D579F-F611-42F6-8830-FA08063C981D}"/>
    <hyperlink ref="C8065" r:id="rId2443" xr:uid="{4CF17A74-2C3E-4E17-BF6A-6A08ECB01BA3}"/>
    <hyperlink ref="C8130" r:id="rId2444" xr:uid="{75B60607-E482-4BE0-95EA-248E5EF0A549}"/>
    <hyperlink ref="C8193" r:id="rId2445" xr:uid="{B4DEBEFF-1194-4711-86F0-804BA470F141}"/>
    <hyperlink ref="C8257" r:id="rId2446" xr:uid="{A05DE625-1652-4BA9-BF25-A108EA680E0E}"/>
    <hyperlink ref="C8317" r:id="rId2447" xr:uid="{76C238E4-281F-4B4F-B081-E51A4B8A2AD5}"/>
    <hyperlink ref="C8373" r:id="rId2448" xr:uid="{3CCEFC99-42C9-4883-A116-DCF9C27B579D}"/>
    <hyperlink ref="C8429" r:id="rId2449" xr:uid="{2E10179C-4FC1-4BB0-9173-101E2DD0EFB7}"/>
    <hyperlink ref="C8485" r:id="rId2450" xr:uid="{9ADC9EF4-F976-4242-A7E1-C18811F94138}"/>
    <hyperlink ref="C8541" r:id="rId2451" xr:uid="{A49AC88B-7943-4799-B8C9-5DFD2F2D89AB}"/>
    <hyperlink ref="C8597" r:id="rId2452" xr:uid="{E4DFA5B0-1C7C-42F9-B16A-17BE849168AA}"/>
    <hyperlink ref="C8653" r:id="rId2453" xr:uid="{43E25338-348A-4519-AB61-13EFC227F993}"/>
    <hyperlink ref="C8708" r:id="rId2454" xr:uid="{3911BABC-E30A-4EDE-89F1-47D9B8E86D7B}"/>
    <hyperlink ref="C8762" r:id="rId2455" xr:uid="{28F96C3C-0FCD-4904-99BB-26AAE71DAC91}"/>
    <hyperlink ref="C8815" r:id="rId2456" xr:uid="{EBC18B49-2C86-4875-9B56-CD11202C67D2}"/>
    <hyperlink ref="C8865" r:id="rId2457" xr:uid="{F453A572-E689-4943-85E5-D8B439E54ADC}"/>
    <hyperlink ref="C8913" r:id="rId2458" xr:uid="{170FF263-89D9-4103-8995-1DBCC7322A84}"/>
    <hyperlink ref="C8960" r:id="rId2459" xr:uid="{E5E1D0AB-E3C6-49A4-9832-59F7C2132406}"/>
    <hyperlink ref="C9007" r:id="rId2460" xr:uid="{5A243202-F205-4CF8-8E78-E304191F3CC2}"/>
    <hyperlink ref="C9053" r:id="rId2461" xr:uid="{E7A12D5F-73B2-474E-909A-A148E1028AA9}"/>
    <hyperlink ref="C9098" r:id="rId2462" xr:uid="{A9E9EEB1-DABC-4DA1-B495-949A3016179B}"/>
    <hyperlink ref="C9143" r:id="rId2463" xr:uid="{3879855A-1D3E-4C8F-A297-08D638B4F5EA}"/>
    <hyperlink ref="C9188" r:id="rId2464" xr:uid="{996A155B-D98A-40BC-96C4-96A0E4D2828C}"/>
    <hyperlink ref="C9233" r:id="rId2465" xr:uid="{1E2044EE-A786-4548-81A6-6F0310D0323F}"/>
    <hyperlink ref="C9278" r:id="rId2466" xr:uid="{357E9C19-5C6B-416D-A79D-09B606217241}"/>
    <hyperlink ref="C9322" r:id="rId2467" xr:uid="{DBF7446F-DAD1-4099-8979-4B89B5529B20}"/>
    <hyperlink ref="C9366" r:id="rId2468" xr:uid="{F7323396-3B0F-4AD9-839D-D87E5FA710DF}"/>
    <hyperlink ref="C9410" r:id="rId2469" xr:uid="{81BDE767-77EE-465E-B469-516355E67E0C}"/>
    <hyperlink ref="C9453" r:id="rId2470" xr:uid="{DD6CD4C9-C644-4E69-89F2-DB30F0E58DB5}"/>
    <hyperlink ref="C9490" r:id="rId2471" xr:uid="{CFEA816A-DB22-4340-BDD5-44B9DC898A58}"/>
    <hyperlink ref="C9527" r:id="rId2472" xr:uid="{7F5B7835-40DA-4951-A42C-08427F2D51D9}"/>
    <hyperlink ref="C9563" r:id="rId2473" xr:uid="{C9A76908-5FED-4180-8526-9F9D300D3A48}"/>
    <hyperlink ref="C9599" r:id="rId2474" xr:uid="{A8931174-1432-49A4-A92D-24B5626EF511}"/>
    <hyperlink ref="C9633" r:id="rId2475" xr:uid="{D0E7F593-AF1A-4D65-8951-65A383629630}"/>
    <hyperlink ref="C9666" r:id="rId2476" xr:uid="{C8AFF162-474D-4157-B29A-B200EA122B4A}"/>
    <hyperlink ref="C9698" r:id="rId2477" xr:uid="{763BD3AE-15C1-421B-885A-492A58D0C503}"/>
    <hyperlink ref="C9730" r:id="rId2478" xr:uid="{79BB04EF-0C00-4A55-BA5A-3C58AA9A21CC}"/>
    <hyperlink ref="C9759" r:id="rId2479" xr:uid="{DA82125F-6FB1-427F-B6C9-FAF810C02A7E}"/>
    <hyperlink ref="C9788" r:id="rId2480" xr:uid="{5C1BC9E1-AB36-424B-BA9D-C95CA31A1AAC}"/>
    <hyperlink ref="C9817" r:id="rId2481" xr:uid="{B8D27550-C898-40EB-8CF6-83B76E3DBCEF}"/>
    <hyperlink ref="C9846" r:id="rId2482" xr:uid="{AC1F8401-8D71-435B-AF8F-05AFA1E0CC37}"/>
    <hyperlink ref="C9875" r:id="rId2483" xr:uid="{837C48B2-A296-498E-B2CF-21CBBB532475}"/>
    <hyperlink ref="C9904" r:id="rId2484" xr:uid="{B853E7D8-23C0-4A98-8546-48EF5E2A0954}"/>
    <hyperlink ref="C9933" r:id="rId2485" xr:uid="{989A3DBF-3920-4BC2-9879-1FD7358491B1}"/>
    <hyperlink ref="C9962" r:id="rId2486" xr:uid="{D4CD1ADD-D7F4-4C9A-8224-B5D7EC7D242E}"/>
    <hyperlink ref="C9991" r:id="rId2487" xr:uid="{ABEE6D9A-3004-421C-A774-79A5838747BC}"/>
    <hyperlink ref="C10020" r:id="rId2488" xr:uid="{789E0032-7AEE-4C36-B029-6E815D193A8E}"/>
    <hyperlink ref="C10049" r:id="rId2489" xr:uid="{1A8FD7ED-AFDA-462B-A8EE-3BA5B3FAEC7B}"/>
    <hyperlink ref="C10077" r:id="rId2490" xr:uid="{2AF646E0-D3A0-4DFB-8E24-17DE7311EBDA}"/>
    <hyperlink ref="C10104" r:id="rId2491" xr:uid="{18D0763C-ED7B-44D2-B854-1D08B683C359}"/>
    <hyperlink ref="C10130" r:id="rId2492" xr:uid="{DFDA8ED9-F3A3-4C6E-84C1-63F4C17EE0F4}"/>
    <hyperlink ref="C10153" r:id="rId2493" xr:uid="{17D55EE9-49D9-4C60-90F8-104C569F05F0}"/>
    <hyperlink ref="C10171" r:id="rId2494" xr:uid="{41E76EBB-7D83-4D4A-B8AE-C0F494DC1773}"/>
    <hyperlink ref="C10194" r:id="rId2495" xr:uid="{A858ED43-4303-423C-B598-4CCD038D97EB}"/>
    <hyperlink ref="C10211" r:id="rId2496" xr:uid="{095A83B1-C05C-401C-97D7-A77F747A2A83}"/>
    <hyperlink ref="C10224" r:id="rId2497" xr:uid="{89AEC212-9E6A-4176-9F1F-4EFD2B130637}"/>
    <hyperlink ref="C10237" r:id="rId2498" xr:uid="{2C60C276-6BD3-4B6F-A6E8-E34D0FFEA724}"/>
    <hyperlink ref="C10248" r:id="rId2499" xr:uid="{34F265AA-9F45-4C83-9C9C-114760EC47FF}"/>
    <hyperlink ref="C10259" r:id="rId2500" xr:uid="{0D02EB12-B0EE-4ABD-952F-EDB056609452}"/>
    <hyperlink ref="C10270" r:id="rId2501" xr:uid="{EEB422D5-174C-4E0F-98BA-49E3C1F7D973}"/>
    <hyperlink ref="C10281" r:id="rId2502" xr:uid="{7532AD1E-112A-4126-96A1-99AD21946A32}"/>
    <hyperlink ref="C10292" r:id="rId2503" xr:uid="{25F4C177-77AE-4DDF-A869-C299A1BE10B3}"/>
    <hyperlink ref="C85" r:id="rId2504" xr:uid="{BADDAD6B-C061-436C-AB58-3CBF7D5ADCCF}"/>
    <hyperlink ref="C4070:C4080" r:id="rId2505" display="VERIFICAR" xr:uid="{A56E08BF-9E19-4F9F-9901-579D43CA27D9}"/>
    <hyperlink ref="C167" r:id="rId2506" xr:uid="{3716B189-58A3-40ED-B80E-6E6595DE43FF}"/>
    <hyperlink ref="C1543" r:id="rId2507" xr:uid="{7AB71212-BFAA-4438-ADDB-D80294FCB295}"/>
    <hyperlink ref="C2785" r:id="rId2508" xr:uid="{D8006A84-E0C6-4712-BB93-D966D548BB61}"/>
    <hyperlink ref="C4144" r:id="rId2509" xr:uid="{2265F21F-6D4D-461C-B4E4-72EAE8B7A110}"/>
    <hyperlink ref="C4565" r:id="rId2510" xr:uid="{323935B8-B19C-429F-96DB-3C533D02E444}"/>
    <hyperlink ref="C7411" r:id="rId2511" xr:uid="{424ABE18-5542-4A29-88BB-77D6A5A3DD96}"/>
    <hyperlink ref="C7685" r:id="rId2512" xr:uid="{9E032DE7-E594-4BE9-AA9C-7EABF6F619F8}"/>
    <hyperlink ref="C7807" r:id="rId2513" xr:uid="{5F56B8EE-E39E-4322-9292-DC2C6B3D2389}"/>
    <hyperlink ref="C7904" r:id="rId2514" xr:uid="{92986C3A-50B6-4CDB-B0F9-56592D416D1D}"/>
    <hyperlink ref="C7984" r:id="rId2515" xr:uid="{4EE1C9EF-8BF2-4C0B-AB5F-8896058ED3C3}"/>
    <hyperlink ref="C8050" r:id="rId2516" xr:uid="{1FC31076-0730-4298-AFE4-D1067B2532F7}"/>
    <hyperlink ref="C8115" r:id="rId2517" xr:uid="{1F1C0B6E-32B9-4360-80FF-AF7E542420F9}"/>
    <hyperlink ref="C8178" r:id="rId2518" xr:uid="{B0A0F78C-3E50-438C-8F7E-9D510256AC1D}"/>
    <hyperlink ref="C8242" r:id="rId2519" xr:uid="{8949A732-0C5A-48D3-BB41-33AEA7972774}"/>
    <hyperlink ref="C8302" r:id="rId2520" xr:uid="{6285DC95-5204-4AE6-A9F1-6B09900E2C5A}"/>
    <hyperlink ref="C8358" r:id="rId2521" xr:uid="{00EF52A3-6C98-4C3E-8E3C-7EAE52D00DED}"/>
    <hyperlink ref="C8414" r:id="rId2522" xr:uid="{249C9464-3AAA-4C24-B298-F541AF0727B4}"/>
    <hyperlink ref="C8470" r:id="rId2523" xr:uid="{031D8919-AB21-4DAB-A653-6EEAFF93CF9B}"/>
    <hyperlink ref="C8526" r:id="rId2524" xr:uid="{BDA2D6F7-05B5-47D0-A39B-F40C904E4AEA}"/>
    <hyperlink ref="C8582" r:id="rId2525" xr:uid="{CC2A7024-0F23-48C5-A30B-778D1A73CDC8}"/>
    <hyperlink ref="C8638" r:id="rId2526" xr:uid="{36A9A2C8-FC89-43EA-AEC5-B1ED731C4641}"/>
    <hyperlink ref="C8693" r:id="rId2527" xr:uid="{D6CFE01F-5578-4C45-B1FE-177D91856154}"/>
    <hyperlink ref="C8747" r:id="rId2528" xr:uid="{9D1A72BC-A919-45AB-B0F4-163ED398CCF8}"/>
    <hyperlink ref="C8800" r:id="rId2529" xr:uid="{2AD1BF23-EBCF-4773-B4F4-58B836C94832}"/>
    <hyperlink ref="C8851" r:id="rId2530" xr:uid="{DEDB9478-E24E-40DD-8EE1-6D71B6E3A727}"/>
    <hyperlink ref="C8899" r:id="rId2531" xr:uid="{7F4D6403-8A6A-4C22-8BEB-9E3C5D5E2517}"/>
    <hyperlink ref="C8946" r:id="rId2532" xr:uid="{EA2AD05E-0A38-4BF7-AAB6-97A630558A07}"/>
    <hyperlink ref="C8993" r:id="rId2533" xr:uid="{03EEBBEF-C4E1-4166-AD1B-9B07ABC45EE2}"/>
    <hyperlink ref="C9039" r:id="rId2534" xr:uid="{131AB041-4AA0-4A97-B002-DC71EB371B33}"/>
    <hyperlink ref="C9084" r:id="rId2535" xr:uid="{A5F8EDA0-045D-4385-B4C3-DBF4ACB3939F}"/>
    <hyperlink ref="C9129" r:id="rId2536" xr:uid="{DDDAAF43-1F92-437C-ADEF-E1C34BFC8FF1}"/>
    <hyperlink ref="C9174" r:id="rId2537" xr:uid="{C6B94E74-B031-4614-B28C-49AB2E15CCE7}"/>
    <hyperlink ref="C9219" r:id="rId2538" xr:uid="{FF747DA8-BF7D-4E8A-A8CE-37914A041C59}"/>
    <hyperlink ref="C9264" r:id="rId2539" xr:uid="{40141AD8-0281-4E3B-AAA6-BE71CB100752}"/>
    <hyperlink ref="C9308" r:id="rId2540" xr:uid="{F17DF369-22B1-46C0-927A-8194AD58251B}"/>
    <hyperlink ref="C9352" r:id="rId2541" xr:uid="{6A500AA6-00DB-4975-B4B9-9F2021A2223D}"/>
    <hyperlink ref="C9396" r:id="rId2542" xr:uid="{5DB3594F-53DF-4D55-888C-3C25D23F1B17}"/>
    <hyperlink ref="C9439" r:id="rId2543" xr:uid="{4DDCA4E6-3987-450E-9CDB-8CBD6A82C041}"/>
    <hyperlink ref="C9476" r:id="rId2544" xr:uid="{1B949217-1C49-43F4-80B8-8013D6B15727}"/>
    <hyperlink ref="C9513" r:id="rId2545" xr:uid="{3497FDEF-C839-41B4-BA03-556FC254EB85}"/>
    <hyperlink ref="C9549" r:id="rId2546" xr:uid="{15995AA2-96A4-4E18-8E0D-CAFE52DF1244}"/>
    <hyperlink ref="C9585" r:id="rId2547" xr:uid="{CA88E66F-25E1-4907-A342-6DAFDF1D2D0F}"/>
    <hyperlink ref="C9619" r:id="rId2548" xr:uid="{9C3E32D1-9022-4370-992E-CC1AA1CF022A}"/>
    <hyperlink ref="C9652" r:id="rId2549" xr:uid="{A8E3DEFE-DD38-4F65-870E-594F7916F6D6}"/>
    <hyperlink ref="C9684" r:id="rId2550" xr:uid="{DDFB402D-5DF1-44C5-B8DF-9D7158DB285C}"/>
    <hyperlink ref="C9716" r:id="rId2551" xr:uid="{2AEEE0AB-FAAB-4835-9E05-C2DE6B23E208}"/>
    <hyperlink ref="C9745" r:id="rId2552" xr:uid="{BC2357F1-7321-44BB-89E4-489EFC55885D}"/>
    <hyperlink ref="C9774" r:id="rId2553" xr:uid="{5CC5ACC2-4559-4B60-8450-71C6C01FE680}"/>
    <hyperlink ref="C9803" r:id="rId2554" xr:uid="{27D5E23C-7DA1-41AD-9078-9A585E7FAC1D}"/>
    <hyperlink ref="C9832" r:id="rId2555" xr:uid="{AAAFB4E7-A8C4-4C41-A3F1-D96BE3DC2402}"/>
    <hyperlink ref="C9861" r:id="rId2556" xr:uid="{60D9C148-F80C-4D6B-9E56-C86F8247DFC9}"/>
    <hyperlink ref="C9890" r:id="rId2557" xr:uid="{B90C9E76-BCF5-42A0-81EE-CA99AB5F47B4}"/>
    <hyperlink ref="C9919" r:id="rId2558" xr:uid="{D1F32350-079F-47B9-88CD-DB4D76E5BAF4}"/>
    <hyperlink ref="C9948" r:id="rId2559" xr:uid="{78673741-3DFB-489F-8D5B-6BA4D1CE6AF9}"/>
    <hyperlink ref="C9977" r:id="rId2560" xr:uid="{167ADB25-E090-4873-8D5D-0223D4EF23F3}"/>
    <hyperlink ref="C10006" r:id="rId2561" xr:uid="{561CF670-6CF1-4733-86B4-FDD2EF1D1368}"/>
    <hyperlink ref="C10035" r:id="rId2562" xr:uid="{F4711D28-0039-490D-8681-417A0C81766B}"/>
    <hyperlink ref="C10064" r:id="rId2563" xr:uid="{A9ACE134-F58C-4D0A-B160-D027381A976E}"/>
    <hyperlink ref="C10092" r:id="rId2564" xr:uid="{295278C2-0F48-40AF-B507-7AD0E1812B2A}"/>
    <hyperlink ref="C10119" r:id="rId2565" xr:uid="{414D8DEE-762F-40D6-8C78-C706FBFB8E23}"/>
    <hyperlink ref="C10143" r:id="rId2566" xr:uid="{65C1CB3D-910F-4572-9CDB-E642FBADEBB9}"/>
    <hyperlink ref="C10164" r:id="rId2567" xr:uid="{3A00915E-4916-4738-9720-D46AAEFCDAA1}"/>
    <hyperlink ref="C10187" r:id="rId2568" xr:uid="{3D50BCEF-6D3E-4A2C-800E-7119B003E2FF}"/>
    <hyperlink ref="C10204" r:id="rId2569" xr:uid="{44D31542-DBA7-4EE5-8E1D-4E00F6C4331A}"/>
    <hyperlink ref="C10217" r:id="rId2570" xr:uid="{C3C9EAD2-2ADD-4DF6-9816-EEAE218CFF6D}"/>
    <hyperlink ref="C10230" r:id="rId2571" xr:uid="{139D5433-18BB-48AB-8D38-759DB1F12893}"/>
    <hyperlink ref="C10243" r:id="rId2572" xr:uid="{5F446C43-B735-4D06-B6A0-D650C722BFBF}"/>
    <hyperlink ref="C10254" r:id="rId2573" xr:uid="{F590A017-9429-4A80-A033-66FF5F978638}"/>
    <hyperlink ref="C10265" r:id="rId2574" xr:uid="{D0DFD426-1EBE-4C86-AFE5-40225F50517B}"/>
    <hyperlink ref="C10276" r:id="rId2575" xr:uid="{9441B405-7195-4CC9-BBA1-6FFFB8FDB84B}"/>
    <hyperlink ref="C10287" r:id="rId2576" xr:uid="{9107E43A-BAE4-48E9-B041-DB37D1705C8D}"/>
    <hyperlink ref="C10294" r:id="rId2577" xr:uid="{6D5C7754-2C78-416C-8467-7122053A9F77}"/>
    <hyperlink ref="C1343" r:id="rId2578" xr:uid="{27089E11-BAC9-4356-899E-BBDB022CB9A0}"/>
    <hyperlink ref="C1291" r:id="rId2579" xr:uid="{CB41AB3E-6432-413E-8DC5-B30B82A5D0DA}"/>
    <hyperlink ref="C5266:C5288" r:id="rId2580" display="VERIFICAR" xr:uid="{FCD04E74-649C-46D2-9648-9DEAA7AA0327}"/>
    <hyperlink ref="C4564" r:id="rId2581" xr:uid="{60A98158-8134-4484-98A7-292F071ED8A4}"/>
    <hyperlink ref="C7687" r:id="rId2582" xr:uid="{82FD969E-10CD-496E-B0B0-4EDCDD5299D8}"/>
    <hyperlink ref="C5380:C5444" r:id="rId2583" display="VERIFICAR" xr:uid="{275C7D5F-FFC7-4B83-884C-9A905E3CC3A4}"/>
    <hyperlink ref="C1542" r:id="rId2584" xr:uid="{94D90CBC-02C0-4901-9B53-D985FE79FE68}"/>
    <hyperlink ref="C2750" r:id="rId2585" xr:uid="{17511B52-2974-4880-A242-1F3AC2D1D770}"/>
    <hyperlink ref="C4166" r:id="rId2586" xr:uid="{F478A87F-758A-435A-94F5-106196F719C2}"/>
    <hyperlink ref="C2779" r:id="rId2587" xr:uid="{2E3E02FA-014E-4BC7-8570-0E82DC963C78}"/>
    <hyperlink ref="C6030:C6041" r:id="rId2588" display="VERIFICAR" xr:uid="{BCEAE461-9DA8-4E97-A657-1790E5D038C9}"/>
    <hyperlink ref="C2822:C2826" r:id="rId2589" xr:uid="{C663ED71-D1A8-4C58-9108-7DB56374426A}"/>
    <hyperlink ref="C7927" r:id="rId2590" xr:uid="{4056B315-A507-43C1-B491-277426E7740E}"/>
    <hyperlink ref="C2863:C2864" r:id="rId2591" xr:uid="{DF877A1F-1C79-4364-8058-E50538F4458C}"/>
    <hyperlink ref="C8134" r:id="rId2592" xr:uid="{EDBEA340-E66B-42CA-B7B4-E20E10263FD3}"/>
    <hyperlink ref="C2922:C2929" r:id="rId2593" xr:uid="{36738546-764B-4ED9-B464-31121EEDD290}"/>
    <hyperlink ref="C2395" r:id="rId2594" xr:uid="{43E8BED9-077E-441C-91B4-BFFAB191DC8D}"/>
    <hyperlink ref="C3610" r:id="rId2595" xr:uid="{424DAE1A-0470-418C-96F4-29150353B473}"/>
    <hyperlink ref="C5027" r:id="rId2596" xr:uid="{6E6F392B-47AB-45B0-8C0E-E51FE9A4CBD4}"/>
    <hyperlink ref="C6336" r:id="rId2597" xr:uid="{77D8A058-846E-48A1-BF0E-7B4F8ABBBD44}"/>
    <hyperlink ref="C2587" r:id="rId2598" xr:uid="{3E2785F4-FC89-4B00-8E8E-BC2FD0A67329}"/>
    <hyperlink ref="C5946" r:id="rId2599" xr:uid="{2692BEB9-BED0-4D65-848A-A639814581CC}"/>
    <hyperlink ref="C7810" r:id="rId2600" xr:uid="{6D15876D-3F8E-40E9-BA21-7E5F507841F6}"/>
    <hyperlink ref="C7907" r:id="rId2601" xr:uid="{20E5164A-DBD0-47F2-89BA-5F02E4D086B6}"/>
    <hyperlink ref="C7987" r:id="rId2602" xr:uid="{B2FB3999-C76F-4DE4-9085-8ACDB2B7C65F}"/>
    <hyperlink ref="C8053" r:id="rId2603" xr:uid="{486DB6E4-48DA-4399-A8A2-8AC597CD2092}"/>
    <hyperlink ref="C8118" r:id="rId2604" xr:uid="{F85A321F-68EA-4C89-9210-AB396F686831}"/>
    <hyperlink ref="C8181" r:id="rId2605" xr:uid="{11E34C18-EB5F-490B-8A96-FB700ECBF09C}"/>
    <hyperlink ref="C8245" r:id="rId2606" xr:uid="{5AC1FE94-3DE7-448D-AE4B-56C25CAF25C8}"/>
    <hyperlink ref="C8305" r:id="rId2607" xr:uid="{81988A7B-9299-4A5C-8C40-8D1174AA75AC}"/>
    <hyperlink ref="C8361" r:id="rId2608" xr:uid="{E30C0173-AF30-40A7-B812-E8DC1B88D2B7}"/>
    <hyperlink ref="C8417" r:id="rId2609" xr:uid="{6D0AA134-2E0D-4AED-9F61-FF324277C6BF}"/>
    <hyperlink ref="C8473" r:id="rId2610" xr:uid="{924B522E-8C1F-4B45-9250-2C213DAE3652}"/>
    <hyperlink ref="C8529" r:id="rId2611" xr:uid="{C6F79739-43F6-44E7-A36D-B77F34893AAE}"/>
    <hyperlink ref="C8585" r:id="rId2612" xr:uid="{C2247B2F-5C0F-41DB-986B-F3751450A7D8}"/>
    <hyperlink ref="C8641" r:id="rId2613" xr:uid="{F7250023-56CD-46E8-A55C-DC4027E3E205}"/>
    <hyperlink ref="C8696" r:id="rId2614" xr:uid="{0848E6D3-532A-4899-8612-5D49B006A342}"/>
    <hyperlink ref="C8750" r:id="rId2615" xr:uid="{8EE938A2-C0F9-416E-AB1E-B434B03BA350}"/>
    <hyperlink ref="C8803" r:id="rId2616" xr:uid="{3A5C6AD2-7871-4CF9-AA7D-C30B4562FCAA}"/>
    <hyperlink ref="C8854" r:id="rId2617" xr:uid="{6358669C-B27D-408E-8D16-D0D019CD4CF9}"/>
    <hyperlink ref="C8902" r:id="rId2618" xr:uid="{FF6DDCAA-10B4-4EA8-BFFE-B1353B32198C}"/>
    <hyperlink ref="C8949" r:id="rId2619" xr:uid="{A6B98A2A-F871-4400-9D7A-8CAD2C351807}"/>
    <hyperlink ref="C8996" r:id="rId2620" xr:uid="{9F8FA1C5-F5F8-41CF-909F-073122E1BF4B}"/>
    <hyperlink ref="C9042" r:id="rId2621" xr:uid="{BD1D2BDE-9CE4-4BB3-B236-08690E25A890}"/>
    <hyperlink ref="C9087" r:id="rId2622" xr:uid="{7DCABE97-88B5-4D24-A13D-72D4FC882F09}"/>
    <hyperlink ref="C9132" r:id="rId2623" xr:uid="{DC2F2B59-8942-419D-A7D1-795468EB888F}"/>
    <hyperlink ref="C9177" r:id="rId2624" xr:uid="{34FBA55A-2563-4528-A63A-BBBD86288981}"/>
    <hyperlink ref="C9222" r:id="rId2625" xr:uid="{1E5A309A-BCC7-4B26-B3E3-28FAC8A43136}"/>
    <hyperlink ref="C9267" r:id="rId2626" xr:uid="{0082E63C-34B9-4582-83AC-DD5EC2B06308}"/>
    <hyperlink ref="C9311" r:id="rId2627" xr:uid="{8D95B15D-E082-4333-844A-A119F699C5F5}"/>
    <hyperlink ref="C9355" r:id="rId2628" xr:uid="{B9A265D2-0238-4A85-A940-BCC6E47327CE}"/>
    <hyperlink ref="C9399" r:id="rId2629" xr:uid="{5EA04D69-C6C2-445E-84DA-596CFB59F415}"/>
    <hyperlink ref="C9442" r:id="rId2630" xr:uid="{BB641C1A-8638-4ED8-B5C6-FC00A670F26D}"/>
    <hyperlink ref="C9479" r:id="rId2631" xr:uid="{235429CA-3084-46E6-984D-144657077BF5}"/>
    <hyperlink ref="C9516" r:id="rId2632" xr:uid="{D82BA940-E105-4FFD-BC0A-AE2732CB31C0}"/>
    <hyperlink ref="C9552" r:id="rId2633" xr:uid="{4D1EC9F8-BD15-441B-99EA-9938D3A6AF1A}"/>
    <hyperlink ref="C9588" r:id="rId2634" xr:uid="{0781AD4F-A8FC-47A2-9F3D-60E140753C18}"/>
    <hyperlink ref="C9622" r:id="rId2635" xr:uid="{1D891B15-9CCC-4406-80DC-E6E493D072B3}"/>
    <hyperlink ref="C9655" r:id="rId2636" xr:uid="{ECAF6F85-FA93-4008-A814-D19F32D83397}"/>
    <hyperlink ref="C9687" r:id="rId2637" xr:uid="{763D6873-C35E-40C4-AAC1-720A1CED8A57}"/>
    <hyperlink ref="C9719" r:id="rId2638" xr:uid="{9A029665-57B8-4001-B1E3-8FFFE0AE4E46}"/>
    <hyperlink ref="C9748" r:id="rId2639" xr:uid="{A03DAA78-9570-47A5-85AC-A8A11AFCFA15}"/>
    <hyperlink ref="C9777" r:id="rId2640" xr:uid="{87FAAF96-E51B-442F-9C0E-D218C95DB75E}"/>
    <hyperlink ref="C9806" r:id="rId2641" xr:uid="{B0DF9635-5ED4-4582-8808-4521E31910EF}"/>
    <hyperlink ref="C9835" r:id="rId2642" xr:uid="{3B93DDDB-DD61-4A36-A50D-BBD604DEF285}"/>
    <hyperlink ref="C9864" r:id="rId2643" xr:uid="{9AA1DA7C-9783-48CE-A2FC-2CF72F1540A6}"/>
    <hyperlink ref="C9893" r:id="rId2644" xr:uid="{838CFEE6-701B-4C7C-90A2-D30FF0D80D58}"/>
    <hyperlink ref="C9922" r:id="rId2645" xr:uid="{ECA9F477-9366-4B44-A4E1-3FAA6625B49C}"/>
    <hyperlink ref="C9951" r:id="rId2646" xr:uid="{37543515-EFEF-4E0A-A9C2-89D96AA15ACF}"/>
    <hyperlink ref="C9980" r:id="rId2647" xr:uid="{5FFA642E-E940-4CE8-A652-31B02EA2B2CE}"/>
    <hyperlink ref="C10009" r:id="rId2648" xr:uid="{2AA7327C-5406-4438-8395-86DE81DD895A}"/>
    <hyperlink ref="C10038" r:id="rId2649" xr:uid="{8C1C54ED-4948-4B9A-8723-9BFE81DAD710}"/>
    <hyperlink ref="C10067" r:id="rId2650" xr:uid="{C9BB6F3E-3BF6-4475-B13F-4BF46B5D6861}"/>
    <hyperlink ref="C10095" r:id="rId2651" xr:uid="{45BFFC7A-8875-42D1-994A-45826C78E148}"/>
    <hyperlink ref="C10122" r:id="rId2652" xr:uid="{B8B9CAE9-221D-46BC-9FE8-A90BAE7D8C9E}"/>
    <hyperlink ref="C10146" r:id="rId2653" xr:uid="{AB483CAB-2308-41BF-A1C2-6D2FE1F95604}"/>
    <hyperlink ref="C10167" r:id="rId2654" xr:uid="{739DF1AD-319B-4A31-9B4B-506826C488F9}"/>
    <hyperlink ref="C10190" r:id="rId2655" xr:uid="{E723B162-B598-4534-BC71-711FE81A57C1}"/>
    <hyperlink ref="C10207" r:id="rId2656" xr:uid="{C25CE7BA-CA66-4C47-867A-42E909073E8B}"/>
    <hyperlink ref="C10220" r:id="rId2657" xr:uid="{62CC4CDB-DB0B-4F7A-9DAE-C6D04D85049F}"/>
    <hyperlink ref="C10233" r:id="rId2658" xr:uid="{5FE3FC58-EB43-45F9-82E1-C3E6C4245AE9}"/>
    <hyperlink ref="C10246" r:id="rId2659" xr:uid="{FF392441-A532-49F5-B582-1776C74EF840}"/>
    <hyperlink ref="C10257" r:id="rId2660" xr:uid="{7BA6A308-FBD3-4898-A9E7-95F10A62E51E}"/>
    <hyperlink ref="C10268" r:id="rId2661" xr:uid="{71F454A3-0C46-477B-8260-529600F3042A}"/>
    <hyperlink ref="C10279" r:id="rId2662" xr:uid="{4168650D-F768-4D1C-B2A6-F08F7E146402}"/>
    <hyperlink ref="C10290" r:id="rId2663" xr:uid="{DA8E58AD-0933-45B7-9047-008960A59222}"/>
    <hyperlink ref="C10297" r:id="rId2664" xr:uid="{DDB47405-37CC-46E5-832B-357CD709C185}"/>
    <hyperlink ref="C10299" r:id="rId2665" xr:uid="{C94D93F0-84EB-4899-BEC6-FCA0A68EDB28}"/>
    <hyperlink ref="C3216" r:id="rId2666" xr:uid="{BD1D05CF-88F9-45B2-9D2B-2A14B33004A5}"/>
    <hyperlink ref="C7410" r:id="rId2667" xr:uid="{798D590D-4058-4C63-A496-2D2F06B0FA06}"/>
    <hyperlink ref="C7684" r:id="rId2668" xr:uid="{81F21DD0-FFAA-447D-8595-2427763645EB}"/>
    <hyperlink ref="C7806" r:id="rId2669" xr:uid="{37AEE539-9961-4CDA-B23F-FB2F291C7F0E}"/>
    <hyperlink ref="C7903" r:id="rId2670" xr:uid="{DD639188-0354-4B75-9290-06286B67DEB5}"/>
    <hyperlink ref="C7983" r:id="rId2671" xr:uid="{F4C2069D-B949-425B-92BF-5984F6BF3441}"/>
    <hyperlink ref="C8049" r:id="rId2672" xr:uid="{A65EC901-CB71-4EE6-910A-29EFC54483F8}"/>
    <hyperlink ref="C8114" r:id="rId2673" xr:uid="{824053A0-234D-44CC-A687-86093D33F39D}"/>
    <hyperlink ref="C8177" r:id="rId2674" xr:uid="{7A7798C7-3603-4036-9B44-B27D7D1E1FA3}"/>
    <hyperlink ref="C8241" r:id="rId2675" xr:uid="{63607680-8207-4DF5-86E0-B026A08A4B05}"/>
    <hyperlink ref="C8301" r:id="rId2676" xr:uid="{01A4E88E-CD07-43D9-A21F-211208F70651}"/>
    <hyperlink ref="C8357" r:id="rId2677" xr:uid="{4E880359-99F3-491F-B83F-98973110F09B}"/>
    <hyperlink ref="C8413" r:id="rId2678" xr:uid="{F58DD2DA-6552-4703-91B2-EF646EC09C5D}"/>
    <hyperlink ref="C8469" r:id="rId2679" xr:uid="{954E22F6-19C1-48DE-9BB0-0088D873CF4B}"/>
    <hyperlink ref="C8525" r:id="rId2680" xr:uid="{02742D84-B981-4DF6-A02A-8424234ECC35}"/>
    <hyperlink ref="C8581" r:id="rId2681" xr:uid="{C6A2B2D4-0A60-4B95-942A-5A76C3AD04A2}"/>
    <hyperlink ref="C8637" r:id="rId2682" xr:uid="{EFD498B8-4975-478F-8D98-00BE74074457}"/>
    <hyperlink ref="C8692" r:id="rId2683" xr:uid="{2BE096D6-5EC6-4EC7-8650-4255B7818603}"/>
    <hyperlink ref="C8746" r:id="rId2684" xr:uid="{50DDB5E1-CF00-48C8-9F89-DB44C2468047}"/>
    <hyperlink ref="C8799" r:id="rId2685" xr:uid="{2E5B3A91-6258-451D-A7E2-CD8DEAB59AE7}"/>
    <hyperlink ref="C8850" r:id="rId2686" xr:uid="{1F67DCC7-4951-4DBC-ADFE-2FD7FCA9D81A}"/>
    <hyperlink ref="C8898" r:id="rId2687" xr:uid="{AD98917D-F8B5-43D1-B591-FEAEF933F8C6}"/>
    <hyperlink ref="C8945" r:id="rId2688" xr:uid="{F184D5B1-8DC9-4AC8-AC68-4ECAE0AECA69}"/>
    <hyperlink ref="C8992" r:id="rId2689" xr:uid="{0456F795-C416-4E43-BD6B-3765777318B0}"/>
    <hyperlink ref="C9038" r:id="rId2690" xr:uid="{CF12DEFC-7508-40A4-8EB3-CEBDC2AF85C7}"/>
    <hyperlink ref="C9083" r:id="rId2691" xr:uid="{24EB2F26-4327-4528-8F5F-E84C88BD0DE0}"/>
    <hyperlink ref="C9128" r:id="rId2692" xr:uid="{03D6ED29-1232-45AF-BFA2-E207D55BBE38}"/>
    <hyperlink ref="C9173" r:id="rId2693" xr:uid="{2A7115E0-4EB4-4EF5-BF9F-86E90F0FE097}"/>
    <hyperlink ref="C9218" r:id="rId2694" xr:uid="{E5A4C0D0-14F7-468A-9792-144F77E0EA48}"/>
    <hyperlink ref="C9263" r:id="rId2695" xr:uid="{C917AB94-C40D-4AD0-934E-03A14BAE8022}"/>
    <hyperlink ref="C9307" r:id="rId2696" xr:uid="{3D368C0C-E7B8-40FE-8FCD-BDDC864D7B7C}"/>
    <hyperlink ref="C9351" r:id="rId2697" xr:uid="{C22BE3F0-F71F-4E14-B8DC-45E59B838DC1}"/>
    <hyperlink ref="C9395" r:id="rId2698" xr:uid="{85B8CC95-DA09-47D5-9796-C05243D743B9}"/>
    <hyperlink ref="C9438" r:id="rId2699" xr:uid="{E55B2138-C4E6-446F-8287-E4AD3EBBEE4C}"/>
    <hyperlink ref="C9475" r:id="rId2700" xr:uid="{931DDBDE-E67F-4CA4-8DAA-588A0B2BF54E}"/>
    <hyperlink ref="C9512" r:id="rId2701" xr:uid="{D4A8640C-9749-474B-9753-5C58FD0847EF}"/>
    <hyperlink ref="C9548" r:id="rId2702" xr:uid="{DBA65A4B-F88C-4021-9B7D-AF0BEBDD25EB}"/>
    <hyperlink ref="C9584" r:id="rId2703" xr:uid="{F7DF4E87-C364-4DC5-8231-C08012B64201}"/>
    <hyperlink ref="C9618" r:id="rId2704" xr:uid="{A889E084-8171-49CF-B4C0-73858F1D6FF5}"/>
    <hyperlink ref="C9651" r:id="rId2705" xr:uid="{BD155D01-8E0B-48BC-89D3-E9735B3258DA}"/>
    <hyperlink ref="C9683" r:id="rId2706" xr:uid="{917D4D3A-D75F-4789-BCA8-5B69BEFDE10E}"/>
    <hyperlink ref="C9715" r:id="rId2707" xr:uid="{19207B3F-1CCD-4A55-9C6B-C670685F0D85}"/>
    <hyperlink ref="C9744" r:id="rId2708" xr:uid="{B5F8ECE7-A533-450A-B9BC-36F30D1AB965}"/>
    <hyperlink ref="C9773" r:id="rId2709" xr:uid="{A62FF256-07E6-42E0-A945-0180444AEFF7}"/>
    <hyperlink ref="C9802" r:id="rId2710" xr:uid="{6A3FACA0-9510-4434-BE19-77D6ED4D0C58}"/>
    <hyperlink ref="C9831" r:id="rId2711" xr:uid="{D71D8A86-2B36-452F-A025-010C2E0E3F49}"/>
    <hyperlink ref="C9860" r:id="rId2712" xr:uid="{F437DB0A-3DEC-4092-B61A-76B3C8C7ECAB}"/>
    <hyperlink ref="C9889" r:id="rId2713" xr:uid="{2AAC522F-BFCD-4A22-8BAC-876A2EF0B7D2}"/>
    <hyperlink ref="C9918" r:id="rId2714" xr:uid="{80651CB6-BB91-41C3-97DE-094641C58FE0}"/>
    <hyperlink ref="C9947" r:id="rId2715" xr:uid="{CB9F8A8E-9DC9-4513-8F44-ED8B6CEE7E94}"/>
    <hyperlink ref="C9976" r:id="rId2716" xr:uid="{0E256031-A49D-449B-93BA-84D7744D30BA}"/>
    <hyperlink ref="C10005" r:id="rId2717" xr:uid="{2135658E-750C-4533-81D8-65F7AA2614C4}"/>
    <hyperlink ref="C10034" r:id="rId2718" xr:uid="{F3121DBF-03BB-43C2-B677-9C361AA0928E}"/>
    <hyperlink ref="C10063" r:id="rId2719" xr:uid="{A5C65681-DFE3-4F0F-BC98-7024CC018D2F}"/>
    <hyperlink ref="C10091" r:id="rId2720" xr:uid="{01C149E5-3F3A-4757-AF6E-C8FF30B4171F}"/>
    <hyperlink ref="C10118" r:id="rId2721" xr:uid="{7822DDC1-9745-42C5-B2BF-AE6DA76E34BC}"/>
    <hyperlink ref="C10142" r:id="rId2722" xr:uid="{E2D1CEE4-FE1B-4F2B-9A5A-EA348CA1401B}"/>
    <hyperlink ref="C10163" r:id="rId2723" xr:uid="{D6D4C485-16E5-4343-A88E-57F8ED78593B}"/>
    <hyperlink ref="C10186" r:id="rId2724" xr:uid="{DCD52CB2-2E86-45FC-A685-9FFA5D5B0403}"/>
    <hyperlink ref="C10203" r:id="rId2725" xr:uid="{427ECDD4-1B90-48EC-9661-11959CEE540E}"/>
    <hyperlink ref="C10216" r:id="rId2726" xr:uid="{A5225437-DB1E-490B-9D45-2FEDF59C24FE}"/>
    <hyperlink ref="C10229" r:id="rId2727" xr:uid="{A1173A4F-E8CA-4A02-BA4E-05425A7D5370}"/>
    <hyperlink ref="C10242" r:id="rId2728" xr:uid="{7B1245A1-F775-4BC5-A4E6-30C7D614D7C7}"/>
    <hyperlink ref="C10253" r:id="rId2729" xr:uid="{1ADDE0F0-C096-4858-9735-C20F240B8EE0}"/>
    <hyperlink ref="C10264" r:id="rId2730" xr:uid="{82EF5B64-FE71-4E88-9148-58B0C85CED50}"/>
    <hyperlink ref="C10275" r:id="rId2731" xr:uid="{8F987D0D-CA14-4925-82EC-64420205B31E}"/>
    <hyperlink ref="C10286" r:id="rId2732" xr:uid="{EAFAAD58-17D9-494E-9947-542883E4B4A3}"/>
    <hyperlink ref="C5638" r:id="rId2733" xr:uid="{1E0DC826-85A9-43D9-948B-B8788E1C8C3E}"/>
    <hyperlink ref="C9058:C9065" r:id="rId2734" display="VERIFICAR" xr:uid="{CD63DDAF-32DB-4757-A166-D5682F5AD554}"/>
    <hyperlink ref="C5298" r:id="rId2735" xr:uid="{02B302EA-C168-462D-B806-77C537AB45FE}"/>
    <hyperlink ref="C9247:C9305" r:id="rId2736" display="VERIFICAR" xr:uid="{0A69B60B-C440-49B9-9F9B-4397B9FE210C}"/>
    <hyperlink ref="C5399" r:id="rId2737" xr:uid="{D417B2D5-F62F-411E-96FE-B6A2148235B3}"/>
    <hyperlink ref="C6503" r:id="rId2738" display="VERIFICAR" xr:uid="{E0F3E066-33AE-4201-B21A-B2DE32F26CC4}"/>
    <hyperlink ref="C7209" r:id="rId2739" display="VERIFICAR" xr:uid="{B8BEF177-CAF8-4C85-9453-767BF27A3B6C}"/>
    <hyperlink ref="C7600" r:id="rId2740" display="VERIFICAR" xr:uid="{95A4BD5F-8CE6-4191-BC1F-02216753C5DE}"/>
    <hyperlink ref="C7748" r:id="rId2741" display="VERIFICAR" xr:uid="{7ADED25F-DA68-4880-A6BA-EAE21F8584B4}"/>
    <hyperlink ref="C7849" r:id="rId2742" display="VERIFICAR" xr:uid="{0B3113EA-FB83-4A2E-BFDB-1DAE839C340E}"/>
    <hyperlink ref="C6455" r:id="rId2743" xr:uid="{C96A95CA-C357-45C6-A8D2-51A8489040FB}"/>
    <hyperlink ref="C6194:C6251" r:id="rId2744" display=" VERIFICAR " xr:uid="{54FCCE00-B24A-4590-8F5D-446C78B7FDA3}"/>
  </hyperlinks>
  <printOptions horizontalCentered="1"/>
  <pageMargins left="0.511811024" right="0.511811024" top="0.78740157499999996" bottom="0.78740157499999996" header="0.31496062000000002" footer="0.31496062000000002"/>
  <pageSetup paperSize="9" fitToHeight="0" orientation="landscape" r:id="rId2745"/>
  <drawing r:id="rId2746"/>
  <tableParts count="1">
    <tablePart r:id="rId274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76025D-33A6-400F-8BD4-9BF184BD1018}">
  <sheetPr codeName="Planilha1">
    <tabColor theme="0" tint="-0.249977111117893"/>
  </sheetPr>
  <dimension ref="A1:I112"/>
  <sheetViews>
    <sheetView showGridLines="0" zoomScale="130" zoomScaleNormal="130" workbookViewId="0">
      <pane ySplit="1" topLeftCell="D18" activePane="bottomLeft" state="frozen"/>
      <selection pane="bottomLeft" activeCell="E18" sqref="E18"/>
    </sheetView>
  </sheetViews>
  <sheetFormatPr defaultRowHeight="23.45"/>
  <cols>
    <col min="1" max="1" width="9.7109375" style="32" customWidth="1"/>
    <col min="2" max="2" width="47.5703125" style="32" bestFit="1" customWidth="1"/>
    <col min="3" max="3" width="10.85546875" style="32" customWidth="1"/>
    <col min="4" max="4" width="9.42578125" style="32" customWidth="1"/>
    <col min="5" max="5" width="18.85546875" style="32" bestFit="1" customWidth="1"/>
    <col min="6" max="6" width="11.7109375" style="32" customWidth="1"/>
    <col min="7" max="7" width="13.5703125" style="31" customWidth="1"/>
    <col min="8" max="8" width="10.140625" style="31" customWidth="1"/>
    <col min="9" max="9" width="47.28515625" style="34" bestFit="1" customWidth="1"/>
  </cols>
  <sheetData>
    <row r="1" spans="1:9">
      <c r="A1" s="32" t="s">
        <v>734</v>
      </c>
      <c r="B1" s="32" t="s">
        <v>735</v>
      </c>
      <c r="C1" s="32" t="s">
        <v>736</v>
      </c>
      <c r="D1" s="32" t="s">
        <v>737</v>
      </c>
      <c r="E1" s="32" t="s">
        <v>738</v>
      </c>
      <c r="F1" s="32" t="s">
        <v>739</v>
      </c>
      <c r="G1" s="32" t="s">
        <v>740</v>
      </c>
      <c r="H1" s="32" t="s">
        <v>741</v>
      </c>
      <c r="I1" s="33" t="s">
        <v>742</v>
      </c>
    </row>
    <row r="2" spans="1:9">
      <c r="A2" s="32">
        <v>718</v>
      </c>
      <c r="B2" s="32" t="s">
        <v>743</v>
      </c>
      <c r="C2" s="32">
        <v>703</v>
      </c>
      <c r="D2" s="32">
        <v>98</v>
      </c>
      <c r="E2" s="32">
        <v>933842</v>
      </c>
      <c r="F2" s="32" t="s">
        <v>744</v>
      </c>
      <c r="G2" s="32">
        <v>1933</v>
      </c>
      <c r="H2" s="32">
        <v>10</v>
      </c>
      <c r="I2" s="33" t="str">
        <f>IF(G2=2933,"NFE OU NFS EM OUTRO ESTADO",IF(G2=1556,"NFE EM SP",IF(G2=1933,"NFS EM SP",IF(G2=1653,"COMBUSTIVEL","NADA"))))</f>
        <v>NFS EM SP</v>
      </c>
    </row>
    <row r="3" spans="1:9">
      <c r="A3" s="32">
        <v>4212</v>
      </c>
      <c r="B3" s="32" t="s">
        <v>745</v>
      </c>
      <c r="C3" s="32" t="s">
        <v>744</v>
      </c>
      <c r="D3" s="32">
        <v>30</v>
      </c>
      <c r="E3" s="32">
        <v>3843267827</v>
      </c>
      <c r="F3" s="32">
        <v>33</v>
      </c>
      <c r="G3" s="32">
        <v>2933</v>
      </c>
      <c r="H3" s="32">
        <v>2</v>
      </c>
      <c r="I3" s="33" t="str">
        <f>IF(G3=2933,"NFE OU NFS EM OUTRO ESTADO",IF(G3=1556,"NFE EM SP",IF(G3=1933,"NFS EM SP",IF(G3=1653,"COMBUSTIVEL","NADA"))))</f>
        <v>NFE OU NFS EM OUTRO ESTADO</v>
      </c>
    </row>
    <row r="4" spans="1:9">
      <c r="A4" s="32">
        <v>2978</v>
      </c>
      <c r="B4" s="32" t="s">
        <v>746</v>
      </c>
      <c r="C4" s="32">
        <v>703</v>
      </c>
      <c r="D4" s="32">
        <v>36</v>
      </c>
      <c r="E4" s="32">
        <v>933865</v>
      </c>
      <c r="F4" s="32">
        <v>27</v>
      </c>
      <c r="G4" s="32">
        <v>1933</v>
      </c>
      <c r="H4" s="32">
        <v>10</v>
      </c>
      <c r="I4" s="33" t="str">
        <f>IF(G4=2933,"NFE OU NFS EM OUTRO ESTADO",IF(G4=1556,"NFE EM SP",IF(G4=1933,"NFS EM SP",IF(G4=1653,"COMBUSTIVEL","NADA"))))</f>
        <v>NFS EM SP</v>
      </c>
    </row>
    <row r="5" spans="1:9">
      <c r="A5" s="32">
        <v>8200</v>
      </c>
      <c r="B5" s="32" t="s">
        <v>747</v>
      </c>
      <c r="C5" s="32" t="s">
        <v>744</v>
      </c>
      <c r="D5" s="32" t="s">
        <v>744</v>
      </c>
      <c r="E5" s="32">
        <v>933879</v>
      </c>
      <c r="F5" s="32">
        <v>64</v>
      </c>
      <c r="G5" s="32" t="s">
        <v>744</v>
      </c>
      <c r="H5" s="32" t="s">
        <v>744</v>
      </c>
      <c r="I5" s="33" t="str">
        <f>IF(G5=2933,"NFE OU NFS EM OUTRO ESTADO",IF(G5=1556,"NFE EM SP",IF(G5=1933,"NFS EM SP",IF(G5=1653,"COMBUSTIVEL","NADA"))))</f>
        <v>NADA</v>
      </c>
    </row>
    <row r="6" spans="1:9">
      <c r="A6" s="32">
        <v>2528</v>
      </c>
      <c r="B6" s="32" t="s">
        <v>748</v>
      </c>
      <c r="C6" s="32">
        <v>703</v>
      </c>
      <c r="D6" s="32">
        <v>94</v>
      </c>
      <c r="E6" s="32">
        <v>933873</v>
      </c>
      <c r="F6" s="32">
        <v>33</v>
      </c>
      <c r="G6" s="32">
        <v>1933</v>
      </c>
      <c r="H6" s="32">
        <v>10</v>
      </c>
      <c r="I6" s="33" t="str">
        <f>IF(G6=2933,"NFE OU NFS EM OUTRO ESTADO",IF(G6=1556,"NFE EM SP",IF(G6=1933,"NFS EM SP",IF(G6=1653,"COMBUSTIVEL","NADA"))))</f>
        <v>NFS EM SP</v>
      </c>
    </row>
    <row r="7" spans="1:9">
      <c r="A7" s="32">
        <v>2528</v>
      </c>
      <c r="B7" s="32" t="s">
        <v>749</v>
      </c>
      <c r="C7" s="32" t="s">
        <v>744</v>
      </c>
      <c r="D7" s="32">
        <v>63</v>
      </c>
      <c r="E7" s="32">
        <v>933873</v>
      </c>
      <c r="F7" s="32">
        <v>33</v>
      </c>
      <c r="G7" s="32">
        <v>1933</v>
      </c>
      <c r="H7" s="32">
        <v>10</v>
      </c>
      <c r="I7" s="33" t="str">
        <f>IF(G7=2933,"NFE OU NFS EM OUTRO ESTADO",IF(G7=1556,"NFE EM SP",IF(G7=1933,"NFS EM SP",IF(G7=1653,"COMBUSTIVEL","NADA"))))</f>
        <v>NFS EM SP</v>
      </c>
    </row>
    <row r="8" spans="1:9">
      <c r="A8" s="32">
        <v>5958</v>
      </c>
      <c r="B8" s="32" t="s">
        <v>750</v>
      </c>
      <c r="C8" s="32">
        <v>17</v>
      </c>
      <c r="D8" s="32">
        <v>38</v>
      </c>
      <c r="E8" s="32">
        <v>60150232</v>
      </c>
      <c r="F8" s="32" t="s">
        <v>744</v>
      </c>
      <c r="G8" s="32">
        <v>1556</v>
      </c>
      <c r="H8" s="32">
        <v>10</v>
      </c>
      <c r="I8" s="33" t="str">
        <f>IF(G8=2933,"NFE OU NFS EM OUTRO ESTADO",IF(G8=1556,"NFE EM SP",IF(G8=1933,"NFS EM SP",IF(G8=1653,"COMBUSTIVEL","NADA"))))</f>
        <v>NFE EM SP</v>
      </c>
    </row>
    <row r="9" spans="1:9">
      <c r="A9" s="32">
        <v>3907</v>
      </c>
      <c r="B9" s="32" t="s">
        <v>751</v>
      </c>
      <c r="C9" s="32">
        <v>703</v>
      </c>
      <c r="D9" s="32">
        <v>35</v>
      </c>
      <c r="E9" s="32">
        <v>60150255</v>
      </c>
      <c r="F9" s="32">
        <v>62</v>
      </c>
      <c r="G9" s="32">
        <v>1933</v>
      </c>
      <c r="H9" s="32">
        <v>10</v>
      </c>
      <c r="I9" s="33" t="str">
        <f>IF(G9=2933,"NFE OU NFS EM OUTRO ESTADO",IF(G9=1556,"NFE EM SP",IF(G9=1933,"NFS EM SP",IF(G9=1653,"COMBUSTIVEL","NADA"))))</f>
        <v>NFS EM SP</v>
      </c>
    </row>
    <row r="10" spans="1:9">
      <c r="A10" s="32">
        <v>3636</v>
      </c>
      <c r="B10" s="32" t="s">
        <v>752</v>
      </c>
      <c r="C10" s="32">
        <v>33</v>
      </c>
      <c r="D10" s="32">
        <v>46</v>
      </c>
      <c r="E10" s="32">
        <v>933864</v>
      </c>
      <c r="F10" s="32">
        <v>19</v>
      </c>
      <c r="G10" s="32">
        <v>2933</v>
      </c>
      <c r="H10" s="32">
        <v>2</v>
      </c>
      <c r="I10" s="33" t="str">
        <f>IF(G10=2933,"NFE OU NFS EM OUTRO ESTADO",IF(G10=1556,"NFE EM SP",IF(G10=1933,"NFS EM SP",IF(G10=1653,"COMBUSTIVEL","NADA"))))</f>
        <v>NFE OU NFS EM OUTRO ESTADO</v>
      </c>
    </row>
    <row r="11" spans="1:9">
      <c r="A11" s="32">
        <v>3636</v>
      </c>
      <c r="B11" s="32" t="s">
        <v>753</v>
      </c>
      <c r="C11" s="32">
        <v>17</v>
      </c>
      <c r="D11" s="32">
        <v>151</v>
      </c>
      <c r="E11" s="32">
        <v>933864</v>
      </c>
      <c r="F11" s="32">
        <v>64</v>
      </c>
      <c r="G11" s="32">
        <v>2933</v>
      </c>
      <c r="H11" s="32">
        <v>2</v>
      </c>
      <c r="I11" s="33" t="str">
        <f>IF(G11=2933,"NFE OU NFS EM OUTRO ESTADO",IF(G11=1556,"NFE EM SP",IF(G11=1933,"NFS EM SP",IF(G11=1653,"COMBUSTIVEL","NADA"))))</f>
        <v>NFE OU NFS EM OUTRO ESTADO</v>
      </c>
    </row>
    <row r="12" spans="1:9">
      <c r="A12" s="32">
        <v>3801</v>
      </c>
      <c r="B12" s="32" t="s">
        <v>754</v>
      </c>
      <c r="C12" s="32" t="s">
        <v>744</v>
      </c>
      <c r="D12" s="32">
        <v>101</v>
      </c>
      <c r="E12" s="32">
        <v>933794</v>
      </c>
      <c r="F12" s="32" t="s">
        <v>744</v>
      </c>
      <c r="G12" s="32">
        <v>1556</v>
      </c>
      <c r="H12" s="32">
        <v>10</v>
      </c>
      <c r="I12" s="33" t="str">
        <f>IF(G12=2933,"NFE OU NFS EM OUTRO ESTADO",IF(G12=1556,"NFE EM SP",IF(G12=1933,"NFS EM SP",IF(G12=1653,"COMBUSTIVEL","NADA"))))</f>
        <v>NFE EM SP</v>
      </c>
    </row>
    <row r="13" spans="1:9">
      <c r="A13" s="32">
        <v>6041</v>
      </c>
      <c r="B13" s="32" t="s">
        <v>755</v>
      </c>
      <c r="C13" s="32" t="s">
        <v>744</v>
      </c>
      <c r="D13" s="32" t="s">
        <v>744</v>
      </c>
      <c r="E13" s="32" t="s">
        <v>744</v>
      </c>
      <c r="F13" s="32" t="s">
        <v>744</v>
      </c>
      <c r="G13" s="32" t="s">
        <v>744</v>
      </c>
      <c r="H13" s="32" t="s">
        <v>744</v>
      </c>
      <c r="I13" s="33" t="str">
        <f>IF(G13=2933,"NFE OU NFS EM OUTRO ESTADO",IF(G13=1556,"NFE EM SP",IF(G13=1933,"NFS EM SP",IF(G13=1653,"COMBUSTIVEL","NADA"))))</f>
        <v>NADA</v>
      </c>
    </row>
    <row r="14" spans="1:9">
      <c r="A14" s="32">
        <v>2208</v>
      </c>
      <c r="B14" s="32" t="s">
        <v>756</v>
      </c>
      <c r="C14" s="32" t="s">
        <v>744</v>
      </c>
      <c r="D14" s="32">
        <v>6</v>
      </c>
      <c r="E14" s="32">
        <v>933818</v>
      </c>
      <c r="F14" s="32" t="s">
        <v>744</v>
      </c>
      <c r="G14" s="32">
        <v>1653</v>
      </c>
      <c r="H14" s="32">
        <v>3</v>
      </c>
      <c r="I14" s="33" t="str">
        <f>IF(G14=2933,"NFE OU NFS EM OUTRO ESTADO",IF(G14=1556,"NFE EM SP",IF(G14=1933,"NFS EM SP",IF(G14=1653,"COMBUSTIVEL","NADA"))))</f>
        <v>COMBUSTIVEL</v>
      </c>
    </row>
    <row r="15" spans="1:9">
      <c r="A15" s="32">
        <v>4296</v>
      </c>
      <c r="B15" s="32" t="s">
        <v>757</v>
      </c>
      <c r="C15" s="32">
        <v>17</v>
      </c>
      <c r="D15" s="32">
        <v>151</v>
      </c>
      <c r="E15" s="32">
        <v>60150044</v>
      </c>
      <c r="F15" s="32">
        <v>22</v>
      </c>
      <c r="G15" s="32">
        <v>1933</v>
      </c>
      <c r="H15" s="32">
        <v>10</v>
      </c>
      <c r="I15" s="33" t="str">
        <f>IF(G15=2933,"NFE OU NFS EM OUTRO ESTADO",IF(G15=1556,"NFE EM SP",IF(G15=1933,"NFS EM SP",IF(G15=1653,"COMBUSTIVEL","NADA"))))</f>
        <v>NFS EM SP</v>
      </c>
    </row>
    <row r="16" spans="1:9">
      <c r="A16" s="32">
        <v>4289</v>
      </c>
      <c r="B16" s="32" t="s">
        <v>758</v>
      </c>
      <c r="C16" s="32">
        <v>33</v>
      </c>
      <c r="D16" s="32">
        <v>37</v>
      </c>
      <c r="E16" s="32">
        <v>60150478</v>
      </c>
      <c r="F16" s="32" t="s">
        <v>744</v>
      </c>
      <c r="G16" s="32" t="s">
        <v>744</v>
      </c>
      <c r="H16" s="32" t="s">
        <v>744</v>
      </c>
      <c r="I16" s="33" t="str">
        <f>IF(G16=2933,"NFE OU NFS EM OUTRO ESTADO",IF(G16=1556,"NFE EM SP",IF(G16=1933,"NFS EM SP",IF(G16=1653,"COMBUSTIVEL","NADA"))))</f>
        <v>NADA</v>
      </c>
    </row>
    <row r="17" spans="1:9">
      <c r="A17" s="32">
        <v>3680</v>
      </c>
      <c r="B17" s="32" t="s">
        <v>759</v>
      </c>
      <c r="C17" s="32">
        <v>33</v>
      </c>
      <c r="D17" s="32">
        <v>48</v>
      </c>
      <c r="E17" s="32">
        <v>933865</v>
      </c>
      <c r="F17" s="32">
        <v>54</v>
      </c>
      <c r="G17" s="32">
        <v>2933</v>
      </c>
      <c r="H17" s="32">
        <v>2</v>
      </c>
      <c r="I17" s="33" t="str">
        <f>IF(G17=2933,"NFE OU NFS EM OUTRO ESTADO",IF(G17=1556,"NFE EM SP",IF(G17=1933,"NFS EM SP",IF(G17=1653,"COMBUSTIVEL","NADA"))))</f>
        <v>NFE OU NFS EM OUTRO ESTADO</v>
      </c>
    </row>
    <row r="18" spans="1:9">
      <c r="A18" s="32">
        <v>3920</v>
      </c>
      <c r="B18" s="32" t="s">
        <v>760</v>
      </c>
      <c r="C18" s="32">
        <v>33</v>
      </c>
      <c r="D18" s="32">
        <v>48</v>
      </c>
      <c r="E18" s="32">
        <v>601501</v>
      </c>
      <c r="F18" s="32">
        <v>64</v>
      </c>
      <c r="G18" s="32">
        <v>2933</v>
      </c>
      <c r="H18" s="32">
        <v>2</v>
      </c>
      <c r="I18" s="33" t="str">
        <f>IF(G18=2933,"NFE OU NFS EM OUTRO ESTADO",IF(G18=1556,"NFE EM SP",IF(G18=1933,"NFS EM SP",IF(G18=1653,"COMBUSTIVEL","NADA"))))</f>
        <v>NFE OU NFS EM OUTRO ESTADO</v>
      </c>
    </row>
    <row r="19" spans="1:9">
      <c r="A19" s="32">
        <v>2958</v>
      </c>
      <c r="B19" s="32" t="s">
        <v>761</v>
      </c>
      <c r="C19" s="32">
        <v>17</v>
      </c>
      <c r="D19" s="32">
        <v>33</v>
      </c>
      <c r="E19" s="32">
        <v>3843267654</v>
      </c>
      <c r="F19" s="32">
        <v>29</v>
      </c>
      <c r="G19" s="32">
        <v>1933</v>
      </c>
      <c r="H19" s="32">
        <v>10</v>
      </c>
      <c r="I19" s="33" t="str">
        <f>IF(G19=2933,"NFE OU NFS EM OUTRO ESTADO",IF(G19=1556,"NFE EM SP",IF(G19=1933,"NFS EM SP",IF(G19=1653,"COMBUSTIVEL","NADA"))))</f>
        <v>NFS EM SP</v>
      </c>
    </row>
    <row r="20" spans="1:9">
      <c r="A20" s="32">
        <v>3951</v>
      </c>
      <c r="B20" s="32" t="s">
        <v>762</v>
      </c>
      <c r="C20" s="32">
        <v>17</v>
      </c>
      <c r="D20" s="32">
        <v>38</v>
      </c>
      <c r="E20" s="32">
        <v>10357905</v>
      </c>
      <c r="F20" s="32" t="s">
        <v>744</v>
      </c>
      <c r="G20" s="32" t="s">
        <v>744</v>
      </c>
      <c r="H20" s="32" t="s">
        <v>744</v>
      </c>
      <c r="I20" s="33" t="str">
        <f>IF(G20=2933,"NFE OU NFS EM OUTRO ESTADO",IF(G20=1556,"NFE EM SP",IF(G20=1933,"NFS EM SP",IF(G20=1653,"COMBUSTIVEL","NADA"))))</f>
        <v>NADA</v>
      </c>
    </row>
    <row r="21" spans="1:9">
      <c r="A21" s="32">
        <v>3859</v>
      </c>
      <c r="B21" s="32" t="s">
        <v>763</v>
      </c>
      <c r="C21" s="32">
        <v>33</v>
      </c>
      <c r="D21" s="32">
        <v>48</v>
      </c>
      <c r="E21" s="32">
        <v>933789</v>
      </c>
      <c r="F21" s="32">
        <v>4</v>
      </c>
      <c r="G21" s="32">
        <v>1933</v>
      </c>
      <c r="H21" s="32">
        <v>10</v>
      </c>
      <c r="I21" s="33" t="str">
        <f>IF(G21=2933,"NFE OU NFS EM OUTRO ESTADO",IF(G21=1556,"NFE EM SP",IF(G21=1933,"NFS EM SP",IF(G21=1653,"COMBUSTIVEL","NADA"))))</f>
        <v>NFS EM SP</v>
      </c>
    </row>
    <row r="22" spans="1:9">
      <c r="A22" s="32">
        <v>8092</v>
      </c>
      <c r="B22" s="32" t="s">
        <v>764</v>
      </c>
      <c r="C22" s="32">
        <v>17</v>
      </c>
      <c r="D22" s="32">
        <v>48</v>
      </c>
      <c r="E22" s="32">
        <v>933789</v>
      </c>
      <c r="F22" s="32">
        <v>64</v>
      </c>
      <c r="G22" s="32" t="s">
        <v>744</v>
      </c>
      <c r="H22" s="32"/>
      <c r="I22" s="33" t="str">
        <f>IF(G22=2933,"NFE OU NFS EM OUTRO ESTADO",IF(G22=1556,"NFE EM SP",IF(G22=1933,"NFS EM SP",IF(G22=1653,"COMBUSTIVEL","NADA"))))</f>
        <v>NADA</v>
      </c>
    </row>
    <row r="23" spans="1:9">
      <c r="A23" s="32">
        <v>180</v>
      </c>
      <c r="B23" s="32" t="s">
        <v>765</v>
      </c>
      <c r="C23" s="32">
        <v>33</v>
      </c>
      <c r="D23" s="32">
        <v>182</v>
      </c>
      <c r="E23" s="32">
        <v>60150139</v>
      </c>
      <c r="F23" s="32">
        <v>40</v>
      </c>
      <c r="G23" s="32">
        <v>1933</v>
      </c>
      <c r="H23" s="32">
        <v>10</v>
      </c>
      <c r="I23" s="33" t="str">
        <f>IF(G23=2933,"NFE OU NFS EM OUTRO ESTADO",IF(G23=1556,"NFE EM SP",IF(G23=1933,"NFS EM SP",IF(G23=1653,"COMBUSTIVEL","NADA"))))</f>
        <v>NFS EM SP</v>
      </c>
    </row>
    <row r="24" spans="1:9">
      <c r="A24" s="32">
        <v>1528</v>
      </c>
      <c r="B24" s="32" t="s">
        <v>766</v>
      </c>
      <c r="C24" s="32">
        <v>17</v>
      </c>
      <c r="D24" s="32">
        <v>302</v>
      </c>
      <c r="E24" s="32">
        <v>933878</v>
      </c>
      <c r="F24" s="32">
        <v>64</v>
      </c>
      <c r="G24" s="32">
        <v>1556</v>
      </c>
      <c r="H24" s="32"/>
      <c r="I24" s="33" t="str">
        <f>IF(G24=2933,"NFE OU NFS EM OUTRO ESTADO",IF(G24=1556,"NFE EM SP",IF(G24=1933,"NFS EM SP",IF(G24=1653,"COMBUSTIVEL","NADA"))))</f>
        <v>NFE EM SP</v>
      </c>
    </row>
    <row r="25" spans="1:9">
      <c r="A25" s="32">
        <v>3826</v>
      </c>
      <c r="B25" s="32" t="s">
        <v>767</v>
      </c>
      <c r="C25" s="32">
        <v>33</v>
      </c>
      <c r="D25" s="32">
        <v>48</v>
      </c>
      <c r="E25" s="32">
        <v>933789</v>
      </c>
      <c r="F25" s="32">
        <v>4</v>
      </c>
      <c r="G25" s="32">
        <v>2933</v>
      </c>
      <c r="H25" s="32">
        <v>10</v>
      </c>
      <c r="I25" s="33" t="str">
        <f>IF(G25=2933,"NFE OU NFS EM OUTRO ESTADO",IF(G25=1556,"NFE EM SP",IF(G25=1933,"NFS EM SP",IF(G25=1653,"COMBUSTIVEL","NADA"))))</f>
        <v>NFE OU NFS EM OUTRO ESTADO</v>
      </c>
    </row>
    <row r="26" spans="1:9">
      <c r="A26" s="32">
        <v>596</v>
      </c>
      <c r="B26" s="32" t="s">
        <v>768</v>
      </c>
      <c r="C26" s="32" t="s">
        <v>744</v>
      </c>
      <c r="D26" s="32" t="s">
        <v>744</v>
      </c>
      <c r="E26" s="32" t="s">
        <v>744</v>
      </c>
      <c r="F26" s="32" t="s">
        <v>744</v>
      </c>
      <c r="G26" s="32">
        <v>1556</v>
      </c>
      <c r="H26" s="32">
        <v>13</v>
      </c>
      <c r="I26" s="33" t="str">
        <f>IF(G26=2933,"NFE OU NFS EM OUTRO ESTADO",IF(G26=1556,"NFE EM SP",IF(G26=1933,"NFS EM SP",IF(G26=1653,"COMBUSTIVEL","NADA"))))</f>
        <v>NFE EM SP</v>
      </c>
    </row>
    <row r="27" spans="1:9">
      <c r="A27" s="32">
        <v>1327</v>
      </c>
      <c r="B27" s="32" t="s">
        <v>769</v>
      </c>
      <c r="C27" s="32">
        <v>12</v>
      </c>
      <c r="D27" s="32">
        <v>38</v>
      </c>
      <c r="E27" s="32">
        <v>60150361</v>
      </c>
      <c r="F27" s="32" t="s">
        <v>744</v>
      </c>
      <c r="G27" s="32">
        <v>1556</v>
      </c>
      <c r="H27" s="32"/>
      <c r="I27" s="33" t="str">
        <f>IF(G27=2933,"NFE OU NFS EM OUTRO ESTADO",IF(G27=1556,"NFE EM SP",IF(G27=1933,"NFS EM SP",IF(G27=1653,"COMBUSTIVEL","NADA"))))</f>
        <v>NFE EM SP</v>
      </c>
    </row>
    <row r="28" spans="1:9">
      <c r="A28" s="32">
        <v>2349</v>
      </c>
      <c r="B28" s="32" t="s">
        <v>770</v>
      </c>
      <c r="C28" s="32">
        <v>41</v>
      </c>
      <c r="D28" s="32">
        <v>300</v>
      </c>
      <c r="E28" s="32">
        <v>933829</v>
      </c>
      <c r="F28" s="32">
        <v>64</v>
      </c>
      <c r="G28" s="32">
        <v>1933</v>
      </c>
      <c r="H28" s="32">
        <v>10</v>
      </c>
      <c r="I28" s="33" t="str">
        <f>IF(G28=2933,"NFE OU NFS EM OUTRO ESTADO",IF(G28=1556,"NFE EM SP",IF(G28=1933,"NFS EM SP",IF(G28=1653,"COMBUSTIVEL","NADA"))))</f>
        <v>NFS EM SP</v>
      </c>
    </row>
    <row r="29" spans="1:9">
      <c r="A29" s="32">
        <v>3865</v>
      </c>
      <c r="B29" s="32" t="s">
        <v>771</v>
      </c>
      <c r="C29" s="32" t="s">
        <v>744</v>
      </c>
      <c r="D29" s="32">
        <v>98</v>
      </c>
      <c r="E29" s="32">
        <v>60150139</v>
      </c>
      <c r="F29" s="32">
        <v>14</v>
      </c>
      <c r="G29" s="32">
        <v>1933</v>
      </c>
      <c r="H29" s="32">
        <v>10</v>
      </c>
      <c r="I29" s="33" t="str">
        <f>IF(G29=2933,"NFE OU NFS EM OUTRO ESTADO",IF(G29=1556,"NFE EM SP",IF(G29=1933,"NFS EM SP",IF(G29=1653,"COMBUSTIVEL","NADA"))))</f>
        <v>NFS EM SP</v>
      </c>
    </row>
    <row r="30" spans="1:9">
      <c r="A30" s="32">
        <v>6047</v>
      </c>
      <c r="B30" s="32" t="s">
        <v>772</v>
      </c>
      <c r="C30" s="32" t="s">
        <v>744</v>
      </c>
      <c r="D30" s="32" t="s">
        <v>744</v>
      </c>
      <c r="E30" s="32">
        <v>933842</v>
      </c>
      <c r="F30" s="32" t="s">
        <v>744</v>
      </c>
      <c r="G30" s="32">
        <v>1556</v>
      </c>
      <c r="H30" s="32">
        <v>13</v>
      </c>
      <c r="I30" s="33" t="str">
        <f>IF(G30=2933,"NFE OU NFS EM OUTRO ESTADO",IF(G30=1556,"NFE EM SP",IF(G30=1933,"NFS EM SP",IF(G30=1653,"COMBUSTIVEL","NADA"))))</f>
        <v>NFE EM SP</v>
      </c>
    </row>
    <row r="31" spans="1:9">
      <c r="A31" s="32">
        <v>5129</v>
      </c>
      <c r="B31" s="32" t="s">
        <v>773</v>
      </c>
      <c r="C31" s="32">
        <v>33</v>
      </c>
      <c r="D31" s="32">
        <v>48</v>
      </c>
      <c r="E31" s="32">
        <v>601501</v>
      </c>
      <c r="F31" s="32">
        <v>64</v>
      </c>
      <c r="G31" s="32">
        <v>2933</v>
      </c>
      <c r="H31" s="32">
        <v>10</v>
      </c>
      <c r="I31" s="33" t="str">
        <f>IF(G31=2933,"NFE OU NFS EM OUTRO ESTADO",IF(G31=1556,"NFE EM SP",IF(G31=1933,"NFS EM SP",IF(G31=1653,"COMBUSTIVEL","NADA"))))</f>
        <v>NFE OU NFS EM OUTRO ESTADO</v>
      </c>
    </row>
    <row r="32" spans="1:9">
      <c r="A32" s="32">
        <v>3777</v>
      </c>
      <c r="B32" s="32" t="s">
        <v>774</v>
      </c>
      <c r="C32" s="32">
        <v>33</v>
      </c>
      <c r="D32" s="32">
        <v>48</v>
      </c>
      <c r="E32" s="32">
        <v>933789</v>
      </c>
      <c r="F32" s="32">
        <v>4</v>
      </c>
      <c r="G32" s="32">
        <v>2933</v>
      </c>
      <c r="H32" s="32">
        <v>2</v>
      </c>
      <c r="I32" s="33" t="str">
        <f>IF(G32=2933,"NFE OU NFS EM OUTRO ESTADO",IF(G32=1556,"NFE EM SP",IF(G32=1933,"NFS EM SP",IF(G32=1653,"COMBUSTIVEL","NADA"))))</f>
        <v>NFE OU NFS EM OUTRO ESTADO</v>
      </c>
    </row>
    <row r="33" spans="1:9">
      <c r="A33" s="32">
        <v>3812</v>
      </c>
      <c r="B33" s="32" t="s">
        <v>775</v>
      </c>
      <c r="C33" s="32" t="s">
        <v>744</v>
      </c>
      <c r="D33" s="32">
        <v>98</v>
      </c>
      <c r="E33" s="32">
        <v>933842</v>
      </c>
      <c r="F33" s="32" t="s">
        <v>744</v>
      </c>
      <c r="G33" s="32">
        <v>1556</v>
      </c>
      <c r="H33" s="32">
        <v>13</v>
      </c>
      <c r="I33" s="33" t="str">
        <f>IF(G33=2933,"NFE OU NFS EM OUTRO ESTADO",IF(G33=1556,"NFE EM SP",IF(G33=1933,"NFS EM SP",IF(G33=1653,"COMBUSTIVEL","NADA"))))</f>
        <v>NFE EM SP</v>
      </c>
    </row>
    <row r="34" spans="1:9">
      <c r="A34" s="32">
        <v>3654</v>
      </c>
      <c r="B34" s="32" t="s">
        <v>776</v>
      </c>
      <c r="C34" s="32">
        <v>17</v>
      </c>
      <c r="D34" s="32">
        <v>151</v>
      </c>
      <c r="E34" s="32">
        <v>933864</v>
      </c>
      <c r="F34" s="32">
        <v>21</v>
      </c>
      <c r="G34" s="32">
        <v>2933</v>
      </c>
      <c r="H34" s="32">
        <v>2</v>
      </c>
      <c r="I34" s="33" t="str">
        <f>IF(G34=2933,"NFE OU NFS EM OUTRO ESTADO",IF(G34=1556,"NFE EM SP",IF(G34=1933,"NFS EM SP",IF(G34=1653,"COMBUSTIVEL","NADA"))))</f>
        <v>NFE OU NFS EM OUTRO ESTADO</v>
      </c>
    </row>
    <row r="35" spans="1:9">
      <c r="A35" s="32">
        <v>8217</v>
      </c>
      <c r="B35" s="32" t="s">
        <v>777</v>
      </c>
      <c r="C35" s="32">
        <v>17</v>
      </c>
      <c r="D35" s="32">
        <v>48</v>
      </c>
      <c r="E35" s="32">
        <v>60150038</v>
      </c>
      <c r="F35" s="32">
        <v>22</v>
      </c>
      <c r="G35" s="32">
        <v>1933</v>
      </c>
      <c r="H35" s="32"/>
      <c r="I35" s="33" t="str">
        <f>IF(G35=2933,"NFE OU NFS EM OUTRO ESTADO",IF(G35=1556,"NFE EM SP",IF(G35=1933,"NFS EM SP",IF(G35=1653,"COMBUSTIVEL","NADA"))))</f>
        <v>NFS EM SP</v>
      </c>
    </row>
    <row r="36" spans="1:9">
      <c r="A36" s="32">
        <v>4967</v>
      </c>
      <c r="B36" s="32" t="s">
        <v>778</v>
      </c>
      <c r="C36" s="32">
        <v>17</v>
      </c>
      <c r="D36" s="32">
        <v>35</v>
      </c>
      <c r="E36" s="32">
        <v>60150255</v>
      </c>
      <c r="F36" s="32">
        <v>33</v>
      </c>
      <c r="G36" s="32">
        <v>2933</v>
      </c>
      <c r="H36" s="32">
        <v>2</v>
      </c>
      <c r="I36" s="33" t="str">
        <f>IF(G36=2933,"NFE OU NFS EM OUTRO ESTADO",IF(G36=1556,"NFE EM SP",IF(G36=1933,"NFS EM SP",IF(G36=1653,"COMBUSTIVEL","NADA"))))</f>
        <v>NFE OU NFS EM OUTRO ESTADO</v>
      </c>
    </row>
    <row r="37" spans="1:9">
      <c r="A37" s="32">
        <v>6141</v>
      </c>
      <c r="B37" s="32" t="s">
        <v>779</v>
      </c>
      <c r="C37" s="32" t="s">
        <v>744</v>
      </c>
      <c r="D37" s="32">
        <v>101</v>
      </c>
      <c r="E37" s="32">
        <v>933794</v>
      </c>
      <c r="F37" s="32" t="s">
        <v>744</v>
      </c>
      <c r="G37" s="32">
        <v>1556</v>
      </c>
      <c r="H37" s="32">
        <v>13</v>
      </c>
      <c r="I37" s="33" t="str">
        <f>IF(G37=2933,"NFE OU NFS EM OUTRO ESTADO",IF(G37=1556,"NFE EM SP",IF(G37=1933,"NFS EM SP",IF(G37=1653,"COMBUSTIVEL","NADA"))))</f>
        <v>NFE EM SP</v>
      </c>
    </row>
    <row r="38" spans="1:9">
      <c r="A38" s="32">
        <v>3854</v>
      </c>
      <c r="B38" s="32" t="s">
        <v>780</v>
      </c>
      <c r="C38" s="32">
        <v>12</v>
      </c>
      <c r="D38" s="32">
        <v>36</v>
      </c>
      <c r="E38" s="32">
        <v>933865</v>
      </c>
      <c r="F38" s="32">
        <v>8</v>
      </c>
      <c r="G38" s="32">
        <v>1933</v>
      </c>
      <c r="H38" s="32">
        <v>10</v>
      </c>
      <c r="I38" s="33" t="str">
        <f>IF(G38=2933,"NFE OU NFS EM OUTRO ESTADO",IF(G38=1556,"NFE EM SP",IF(G38=1933,"NFS EM SP",IF(G38=1653,"COMBUSTIVEL","NADA"))))</f>
        <v>NFS EM SP</v>
      </c>
    </row>
    <row r="39" spans="1:9">
      <c r="A39" s="32">
        <v>5079</v>
      </c>
      <c r="B39" s="32" t="s">
        <v>781</v>
      </c>
      <c r="C39" s="32">
        <v>33</v>
      </c>
      <c r="D39" s="32">
        <v>48</v>
      </c>
      <c r="E39" s="32">
        <v>933789</v>
      </c>
      <c r="F39" s="32">
        <v>64</v>
      </c>
      <c r="G39" s="32">
        <v>2933</v>
      </c>
      <c r="H39" s="32">
        <v>2</v>
      </c>
      <c r="I39" s="33" t="str">
        <f>IF(G39=2933,"NFE OU NFS EM OUTRO ESTADO",IF(G39=1556,"NFE EM SP",IF(G39=1933,"NFS EM SP",IF(G39=1653,"COMBUSTIVEL","NADA"))))</f>
        <v>NFE OU NFS EM OUTRO ESTADO</v>
      </c>
    </row>
    <row r="40" spans="1:9">
      <c r="A40" s="32">
        <v>4282</v>
      </c>
      <c r="B40" s="32" t="s">
        <v>782</v>
      </c>
      <c r="C40" s="32" t="s">
        <v>744</v>
      </c>
      <c r="D40" s="32">
        <v>98</v>
      </c>
      <c r="E40" s="32">
        <v>933842</v>
      </c>
      <c r="F40" s="32" t="s">
        <v>744</v>
      </c>
      <c r="G40" s="32">
        <v>2933</v>
      </c>
      <c r="H40" s="32">
        <v>2</v>
      </c>
      <c r="I40" s="33" t="str">
        <f>IF(G40=2933,"NFE OU NFS EM OUTRO ESTADO",IF(G40=1556,"NFE EM SP",IF(G40=1933,"NFS EM SP",IF(G40=1653,"COMBUSTIVEL","NADA"))))</f>
        <v>NFE OU NFS EM OUTRO ESTADO</v>
      </c>
    </row>
    <row r="41" spans="1:9">
      <c r="A41" s="32">
        <v>3283</v>
      </c>
      <c r="B41" s="32" t="s">
        <v>783</v>
      </c>
      <c r="E41" s="32">
        <v>933871</v>
      </c>
      <c r="F41" s="32">
        <v>33</v>
      </c>
      <c r="G41" s="32"/>
      <c r="H41" s="32"/>
      <c r="I41" s="33" t="str">
        <f>IF(G41=2933,"NFE OU NFS EM OUTRO ESTADO",IF(G41=1556,"NFE EM SP",IF(G41=1933,"NFS EM SP",IF(G41=1653,"COMBUSTIVEL","NADA"))))</f>
        <v>NADA</v>
      </c>
    </row>
    <row r="42" spans="1:9">
      <c r="A42" s="32">
        <v>2557</v>
      </c>
      <c r="B42" s="32" t="s">
        <v>784</v>
      </c>
      <c r="C42" s="32">
        <v>33</v>
      </c>
      <c r="D42" s="32">
        <v>302</v>
      </c>
      <c r="E42" s="32">
        <v>60150551</v>
      </c>
      <c r="F42" s="32">
        <v>8</v>
      </c>
      <c r="G42" s="32">
        <v>1933</v>
      </c>
      <c r="H42" s="32">
        <v>10</v>
      </c>
      <c r="I42" s="33" t="str">
        <f>IF(G42=2933,"NFE OU NFS EM OUTRO ESTADO",IF(G42=1556,"NFE EM SP",IF(G42=1933,"NFS EM SP",IF(G42=1653,"COMBUSTIVEL","NADA"))))</f>
        <v>NFS EM SP</v>
      </c>
    </row>
    <row r="43" spans="1:9">
      <c r="A43" s="32">
        <v>5118</v>
      </c>
      <c r="B43" s="32" t="s">
        <v>785</v>
      </c>
      <c r="C43" s="32">
        <v>41</v>
      </c>
      <c r="D43" s="32">
        <v>300</v>
      </c>
      <c r="E43" s="32">
        <v>933878</v>
      </c>
      <c r="F43" s="32" t="s">
        <v>744</v>
      </c>
      <c r="G43" s="32">
        <v>1556</v>
      </c>
      <c r="H43" s="32">
        <v>13</v>
      </c>
      <c r="I43" s="33" t="str">
        <f>IF(G43=2933,"NFE OU NFS EM OUTRO ESTADO",IF(G43=1556,"NFE EM SP",IF(G43=1933,"NFS EM SP",IF(G43=1653,"COMBUSTIVEL","NADA"))))</f>
        <v>NFE EM SP</v>
      </c>
    </row>
    <row r="44" spans="1:9">
      <c r="A44" s="32">
        <v>5089</v>
      </c>
      <c r="B44" s="32" t="s">
        <v>786</v>
      </c>
      <c r="C44" s="32">
        <v>17</v>
      </c>
      <c r="D44" s="32">
        <v>48</v>
      </c>
      <c r="E44" s="32">
        <v>933789</v>
      </c>
      <c r="F44" s="32">
        <v>64</v>
      </c>
      <c r="G44" s="32" t="s">
        <v>744</v>
      </c>
      <c r="H44" s="32" t="s">
        <v>744</v>
      </c>
      <c r="I44" s="33" t="str">
        <f>IF(G44=2933,"NFE OU NFS EM OUTRO ESTADO",IF(G44=1556,"NFE EM SP",IF(G44=1933,"NFS EM SP",IF(G44=1653,"COMBUSTIVEL","NADA"))))</f>
        <v>NADA</v>
      </c>
    </row>
    <row r="45" spans="1:9">
      <c r="A45" s="32">
        <v>5086</v>
      </c>
      <c r="B45" s="32" t="s">
        <v>787</v>
      </c>
      <c r="C45" s="32">
        <v>17</v>
      </c>
      <c r="D45" s="32">
        <v>48</v>
      </c>
      <c r="E45" s="32">
        <v>933789</v>
      </c>
      <c r="F45" s="32">
        <v>64</v>
      </c>
      <c r="G45" s="32" t="s">
        <v>744</v>
      </c>
      <c r="H45" s="32" t="s">
        <v>744</v>
      </c>
      <c r="I45" s="33" t="str">
        <f>IF(G45=2933,"NFE OU NFS EM OUTRO ESTADO",IF(G45=1556,"NFE EM SP",IF(G45=1933,"NFS EM SP",IF(G45=1653,"COMBUSTIVEL","NADA"))))</f>
        <v>NADA</v>
      </c>
    </row>
    <row r="46" spans="1:9">
      <c r="A46" s="32">
        <v>5087</v>
      </c>
      <c r="B46" s="32" t="s">
        <v>788</v>
      </c>
      <c r="C46" s="32">
        <v>17</v>
      </c>
      <c r="D46" s="32">
        <v>48</v>
      </c>
      <c r="E46" s="32">
        <v>933789</v>
      </c>
      <c r="F46" s="32">
        <v>64</v>
      </c>
      <c r="G46" s="32" t="s">
        <v>744</v>
      </c>
      <c r="H46" s="32" t="s">
        <v>744</v>
      </c>
      <c r="I46" s="33" t="str">
        <f>IF(G46=2933,"NFE OU NFS EM OUTRO ESTADO",IF(G46=1556,"NFE EM SP",IF(G46=1933,"NFS EM SP",IF(G46=1653,"COMBUSTIVEL","NADA"))))</f>
        <v>NADA</v>
      </c>
    </row>
    <row r="47" spans="1:9">
      <c r="A47" s="32">
        <v>5085</v>
      </c>
      <c r="B47" s="32" t="s">
        <v>789</v>
      </c>
      <c r="C47" s="32">
        <v>17</v>
      </c>
      <c r="D47" s="32">
        <v>48</v>
      </c>
      <c r="E47" s="32">
        <v>933789</v>
      </c>
      <c r="F47" s="32">
        <v>64</v>
      </c>
      <c r="G47" s="32" t="s">
        <v>744</v>
      </c>
      <c r="H47" s="32" t="s">
        <v>744</v>
      </c>
      <c r="I47" s="33" t="str">
        <f>IF(G47=2933,"NFE OU NFS EM OUTRO ESTADO",IF(G47=1556,"NFE EM SP",IF(G47=1933,"NFS EM SP",IF(G47=1653,"COMBUSTIVEL","NADA"))))</f>
        <v>NADA</v>
      </c>
    </row>
    <row r="48" spans="1:9">
      <c r="A48" s="32">
        <v>3969</v>
      </c>
      <c r="B48" s="32" t="s">
        <v>790</v>
      </c>
      <c r="C48" s="32" t="s">
        <v>744</v>
      </c>
      <c r="D48" s="32">
        <v>301</v>
      </c>
      <c r="E48" s="32">
        <v>60150123</v>
      </c>
      <c r="F48" s="32" t="s">
        <v>744</v>
      </c>
      <c r="G48" s="32">
        <v>2933</v>
      </c>
      <c r="H48" s="32">
        <v>2</v>
      </c>
      <c r="I48" s="33" t="str">
        <f>IF(G48=2933,"NFE OU NFS EM OUTRO ESTADO",IF(G48=1556,"NFE EM SP",IF(G48=1933,"NFS EM SP",IF(G48=1653,"COMBUSTIVEL","NADA"))))</f>
        <v>NFE OU NFS EM OUTRO ESTADO</v>
      </c>
    </row>
    <row r="49" spans="1:9">
      <c r="A49" s="32">
        <v>77</v>
      </c>
      <c r="B49" s="32" t="s">
        <v>791</v>
      </c>
      <c r="C49" s="32">
        <v>17</v>
      </c>
      <c r="D49" s="32">
        <v>33</v>
      </c>
      <c r="E49" s="32">
        <v>3843267654</v>
      </c>
      <c r="F49" s="32">
        <v>29</v>
      </c>
      <c r="G49" s="32">
        <v>1933</v>
      </c>
      <c r="H49" s="32">
        <v>10</v>
      </c>
      <c r="I49" s="33" t="str">
        <f>IF(G49=2933,"NFE OU NFS EM OUTRO ESTADO",IF(G49=1556,"NFE EM SP",IF(G49=1933,"NFS EM SP",IF(G49=1653,"COMBUSTIVEL","NADA"))))</f>
        <v>NFS EM SP</v>
      </c>
    </row>
    <row r="50" spans="1:9">
      <c r="A50" s="32">
        <v>2357</v>
      </c>
      <c r="B50" s="32" t="s">
        <v>792</v>
      </c>
      <c r="C50" s="32">
        <v>12</v>
      </c>
      <c r="D50" s="32">
        <v>308</v>
      </c>
      <c r="E50" s="32">
        <v>60150274</v>
      </c>
      <c r="F50" s="32">
        <v>33</v>
      </c>
      <c r="G50" s="32">
        <v>1933</v>
      </c>
      <c r="H50" s="32">
        <v>10</v>
      </c>
      <c r="I50" s="33" t="str">
        <f>IF(G50=2933,"NFE OU NFS EM OUTRO ESTADO",IF(G50=1556,"NFE EM SP",IF(G50=1933,"NFS EM SP",IF(G50=1653,"COMBUSTIVEL","NADA"))))</f>
        <v>NFS EM SP</v>
      </c>
    </row>
    <row r="51" spans="1:9">
      <c r="A51" s="32">
        <v>4103</v>
      </c>
      <c r="B51" s="32" t="s">
        <v>793</v>
      </c>
      <c r="C51" s="32">
        <v>33</v>
      </c>
      <c r="D51" s="32">
        <v>48</v>
      </c>
      <c r="E51" s="32">
        <v>933878</v>
      </c>
      <c r="F51" s="32">
        <v>4</v>
      </c>
      <c r="G51" s="32">
        <v>1556</v>
      </c>
      <c r="H51" s="32">
        <v>13</v>
      </c>
      <c r="I51" s="33" t="str">
        <f>IF(G51=2933,"NFE OU NFS EM OUTRO ESTADO",IF(G51=1556,"NFE EM SP",IF(G51=1933,"NFS EM SP",IF(G51=1653,"COMBUSTIVEL","NADA"))))</f>
        <v>NFE EM SP</v>
      </c>
    </row>
    <row r="52" spans="1:9">
      <c r="A52" s="32">
        <v>1203</v>
      </c>
      <c r="B52" s="32" t="s">
        <v>794</v>
      </c>
      <c r="C52" s="32">
        <v>17</v>
      </c>
      <c r="D52" s="32">
        <v>30</v>
      </c>
      <c r="E52" s="32">
        <v>933821</v>
      </c>
      <c r="F52" s="32" t="s">
        <v>744</v>
      </c>
      <c r="G52" s="32">
        <v>1556</v>
      </c>
      <c r="H52" s="32" t="s">
        <v>744</v>
      </c>
      <c r="I52" s="33" t="str">
        <f>IF(G52=2933,"NFE OU NFS EM OUTRO ESTADO",IF(G52=1556,"NFE EM SP",IF(G52=1933,"NFS EM SP",IF(G52=1653,"COMBUSTIVEL","NADA"))))</f>
        <v>NFE EM SP</v>
      </c>
    </row>
    <row r="53" spans="1:9">
      <c r="A53" s="32">
        <v>3985</v>
      </c>
      <c r="B53" s="32" t="s">
        <v>795</v>
      </c>
      <c r="C53" s="32" t="s">
        <v>744</v>
      </c>
      <c r="D53" s="32" t="s">
        <v>744</v>
      </c>
      <c r="E53" s="32" t="s">
        <v>744</v>
      </c>
      <c r="F53" s="32" t="s">
        <v>744</v>
      </c>
      <c r="G53" s="32">
        <v>2407</v>
      </c>
      <c r="H53" s="32">
        <v>13</v>
      </c>
      <c r="I53" s="33" t="str">
        <f>IF(G53=2933,"NFE OU NFS EM OUTRO ESTADO",IF(G53=1556,"NFE EM SP",IF(G53=1933,"NFS EM SP",IF(G53=1653,"COMBUSTIVEL","NADA"))))</f>
        <v>NADA</v>
      </c>
    </row>
    <row r="54" spans="1:9">
      <c r="A54" s="32">
        <v>4980</v>
      </c>
      <c r="B54" s="32" t="s">
        <v>796</v>
      </c>
      <c r="C54" s="32">
        <v>16</v>
      </c>
      <c r="D54" s="32">
        <v>48</v>
      </c>
      <c r="E54" s="32">
        <v>601501</v>
      </c>
      <c r="F54" s="32">
        <v>12</v>
      </c>
      <c r="G54" s="32">
        <v>2933</v>
      </c>
      <c r="H54" s="32">
        <v>2</v>
      </c>
      <c r="I54" s="33" t="str">
        <f>IF(G54=2933,"NFE OU NFS EM OUTRO ESTADO",IF(G54=1556,"NFE EM SP",IF(G54=1933,"NFS EM SP",IF(G54=1653,"COMBUSTIVEL","NADA"))))</f>
        <v>NFE OU NFS EM OUTRO ESTADO</v>
      </c>
    </row>
    <row r="55" spans="1:9">
      <c r="A55" s="32">
        <v>81</v>
      </c>
      <c r="B55" s="32" t="s">
        <v>797</v>
      </c>
      <c r="C55" s="32" t="s">
        <v>744</v>
      </c>
      <c r="D55" s="32">
        <v>98</v>
      </c>
      <c r="E55" s="32">
        <v>60150030</v>
      </c>
      <c r="F55" s="32">
        <v>64</v>
      </c>
      <c r="G55" s="32">
        <v>1933</v>
      </c>
      <c r="H55" s="32">
        <v>10</v>
      </c>
      <c r="I55" s="33" t="str">
        <f>IF(G55=2933,"NFE OU NFS EM OUTRO ESTADO",IF(G55=1556,"NFE EM SP",IF(G55=1933,"NFS EM SP",IF(G55=1653,"COMBUSTIVEL","NADA"))))</f>
        <v>NFS EM SP</v>
      </c>
    </row>
    <row r="56" spans="1:9">
      <c r="A56" s="32">
        <v>5094</v>
      </c>
      <c r="B56" s="32" t="s">
        <v>798</v>
      </c>
      <c r="C56" s="32">
        <v>17</v>
      </c>
      <c r="D56" s="32">
        <v>48</v>
      </c>
      <c r="E56" s="32">
        <v>933789</v>
      </c>
      <c r="F56" s="32">
        <v>64</v>
      </c>
      <c r="G56" s="32" t="s">
        <v>744</v>
      </c>
      <c r="H56" s="32" t="s">
        <v>744</v>
      </c>
      <c r="I56" s="33" t="str">
        <f>IF(G56=2933,"NFE OU NFS EM OUTRO ESTADO",IF(G56=1556,"NFE EM SP",IF(G56=1933,"NFS EM SP",IF(G56=1653,"COMBUSTIVEL","NADA"))))</f>
        <v>NADA</v>
      </c>
    </row>
    <row r="57" spans="1:9">
      <c r="A57" s="32">
        <v>5092</v>
      </c>
      <c r="B57" s="32" t="s">
        <v>799</v>
      </c>
      <c r="C57" s="32">
        <v>17</v>
      </c>
      <c r="D57" s="32">
        <v>48</v>
      </c>
      <c r="E57" s="32">
        <v>933789</v>
      </c>
      <c r="F57" s="32">
        <v>64</v>
      </c>
      <c r="G57" s="32" t="s">
        <v>744</v>
      </c>
      <c r="H57" s="32" t="s">
        <v>744</v>
      </c>
      <c r="I57" s="33" t="str">
        <f>IF(G57=2933,"NFE OU NFS EM OUTRO ESTADO",IF(G57=1556,"NFE EM SP",IF(G57=1933,"NFS EM SP",IF(G57=1653,"COMBUSTIVEL","NADA"))))</f>
        <v>NADA</v>
      </c>
    </row>
    <row r="58" spans="1:9">
      <c r="A58" s="32">
        <v>5084</v>
      </c>
      <c r="B58" s="32" t="s">
        <v>800</v>
      </c>
      <c r="C58" s="32">
        <v>17</v>
      </c>
      <c r="D58" s="32">
        <v>48</v>
      </c>
      <c r="E58" s="32">
        <v>933789</v>
      </c>
      <c r="F58" s="32">
        <v>64</v>
      </c>
      <c r="G58" s="32">
        <v>2933</v>
      </c>
      <c r="H58" s="32">
        <v>10</v>
      </c>
      <c r="I58" s="33" t="str">
        <f>IF(G58=2933,"NFE OU NFS EM OUTRO ESTADO",IF(G58=1556,"NFE EM SP",IF(G58=1933,"NFS EM SP",IF(G58=1653,"COMBUSTIVEL","NADA"))))</f>
        <v>NFE OU NFS EM OUTRO ESTADO</v>
      </c>
    </row>
    <row r="59" spans="1:9">
      <c r="A59" s="32">
        <v>5115</v>
      </c>
      <c r="B59" s="32" t="s">
        <v>801</v>
      </c>
      <c r="C59" s="32">
        <v>41</v>
      </c>
      <c r="D59" s="32">
        <v>300</v>
      </c>
      <c r="E59" s="32">
        <v>933829</v>
      </c>
      <c r="F59" s="32">
        <v>64</v>
      </c>
      <c r="G59" s="32">
        <v>1933</v>
      </c>
      <c r="H59" s="32">
        <v>10</v>
      </c>
      <c r="I59" s="33" t="str">
        <f>IF(G59=2933,"NFE OU NFS EM OUTRO ESTADO",IF(G59=1556,"NFE EM SP",IF(G59=1933,"NFS EM SP",IF(G59=1653,"COMBUSTIVEL","NADA"))))</f>
        <v>NFS EM SP</v>
      </c>
    </row>
    <row r="60" spans="1:9">
      <c r="A60" s="32">
        <v>4016</v>
      </c>
      <c r="B60" s="32" t="s">
        <v>802</v>
      </c>
      <c r="C60" s="32">
        <v>16</v>
      </c>
      <c r="D60" s="32">
        <v>103</v>
      </c>
      <c r="E60" s="32">
        <v>933879</v>
      </c>
      <c r="F60" s="32">
        <v>39</v>
      </c>
      <c r="G60" s="32">
        <v>1933</v>
      </c>
      <c r="H60" s="32">
        <v>10</v>
      </c>
      <c r="I60" s="33" t="str">
        <f>IF(G60=2933,"NFE OU NFS EM OUTRO ESTADO",IF(G60=1556,"NFE EM SP",IF(G60=1933,"NFS EM SP",IF(G60=1653,"COMBUSTIVEL","NADA"))))</f>
        <v>NFS EM SP</v>
      </c>
    </row>
    <row r="61" spans="1:9">
      <c r="A61" s="32">
        <v>2149</v>
      </c>
      <c r="B61" s="32" t="s">
        <v>803</v>
      </c>
      <c r="C61" s="32">
        <v>17</v>
      </c>
      <c r="D61" s="32">
        <v>154</v>
      </c>
      <c r="E61" s="32">
        <v>60150041</v>
      </c>
      <c r="F61" s="32" t="s">
        <v>744</v>
      </c>
      <c r="G61" s="32">
        <v>1556</v>
      </c>
      <c r="H61" s="32">
        <v>13</v>
      </c>
      <c r="I61" s="33" t="str">
        <f>IF(G61=2933,"NFE OU NFS EM OUTRO ESTADO",IF(G61=1556,"NFE EM SP",IF(G61=1933,"NFS EM SP",IF(G61=1653,"COMBUSTIVEL","NADA"))))</f>
        <v>NFE EM SP</v>
      </c>
    </row>
    <row r="62" spans="1:9">
      <c r="A62" s="32">
        <v>4159</v>
      </c>
      <c r="B62" s="32" t="s">
        <v>804</v>
      </c>
      <c r="C62" s="32" t="s">
        <v>744</v>
      </c>
      <c r="D62" s="32">
        <v>98</v>
      </c>
      <c r="E62" s="32">
        <v>933842</v>
      </c>
      <c r="F62" s="32" t="s">
        <v>744</v>
      </c>
      <c r="G62" s="32">
        <v>1556</v>
      </c>
      <c r="H62" s="32">
        <v>13</v>
      </c>
      <c r="I62" s="33" t="str">
        <f>IF(G62=2933,"NFE OU NFS EM OUTRO ESTADO",IF(G62=1556,"NFE EM SP",IF(G62=1933,"NFS EM SP",IF(G62=1653,"COMBUSTIVEL","NADA"))))</f>
        <v>NFE EM SP</v>
      </c>
    </row>
    <row r="63" spans="1:9">
      <c r="A63" s="32">
        <v>5096</v>
      </c>
      <c r="B63" s="32" t="s">
        <v>805</v>
      </c>
      <c r="C63" s="32">
        <v>17</v>
      </c>
      <c r="D63" s="32">
        <v>48</v>
      </c>
      <c r="E63" s="32">
        <v>933789</v>
      </c>
      <c r="F63" s="32">
        <v>64</v>
      </c>
      <c r="G63" s="32" t="s">
        <v>744</v>
      </c>
      <c r="H63" s="32" t="s">
        <v>744</v>
      </c>
      <c r="I63" s="33" t="str">
        <f>IF(G63=2933,"NFE OU NFS EM OUTRO ESTADO",IF(G63=1556,"NFE EM SP",IF(G63=1933,"NFS EM SP",IF(G63=1653,"COMBUSTIVEL","NADA"))))</f>
        <v>NADA</v>
      </c>
    </row>
    <row r="64" spans="1:9">
      <c r="A64" s="32">
        <v>1332</v>
      </c>
      <c r="B64" s="32" t="s">
        <v>806</v>
      </c>
      <c r="C64" s="32">
        <v>21</v>
      </c>
      <c r="D64" s="32">
        <v>98</v>
      </c>
      <c r="E64" s="32">
        <v>60150267</v>
      </c>
      <c r="F64" s="32" t="s">
        <v>744</v>
      </c>
      <c r="G64" s="32">
        <v>1556</v>
      </c>
      <c r="H64" s="32">
        <v>13</v>
      </c>
      <c r="I64" s="33" t="str">
        <f>IF(G64=2933,"NFE OU NFS EM OUTRO ESTADO",IF(G64=1556,"NFE EM SP",IF(G64=1933,"NFS EM SP",IF(G64=1653,"COMBUSTIVEL","NADA"))))</f>
        <v>NFE EM SP</v>
      </c>
    </row>
    <row r="65" spans="1:9">
      <c r="A65" s="32">
        <v>5090</v>
      </c>
      <c r="B65" s="32" t="s">
        <v>807</v>
      </c>
      <c r="C65" s="32">
        <v>17</v>
      </c>
      <c r="D65" s="32">
        <v>48</v>
      </c>
      <c r="E65" s="32">
        <v>933789</v>
      </c>
      <c r="F65" s="32">
        <v>64</v>
      </c>
      <c r="G65" s="32" t="s">
        <v>744</v>
      </c>
      <c r="H65" s="32" t="s">
        <v>744</v>
      </c>
      <c r="I65" s="33" t="str">
        <f>IF(G65=2933,"NFE OU NFS EM OUTRO ESTADO",IF(G65=1556,"NFE EM SP",IF(G65=1933,"NFS EM SP",IF(G65=1653,"COMBUSTIVEL","NADA"))))</f>
        <v>NADA</v>
      </c>
    </row>
    <row r="66" spans="1:9">
      <c r="A66" s="32">
        <v>3676</v>
      </c>
      <c r="B66" s="32" t="s">
        <v>808</v>
      </c>
      <c r="C66" s="32">
        <v>17</v>
      </c>
      <c r="D66" s="32">
        <v>35</v>
      </c>
      <c r="E66" s="32">
        <v>60150255</v>
      </c>
      <c r="F66" s="32">
        <v>33</v>
      </c>
      <c r="G66" s="32">
        <v>2933</v>
      </c>
      <c r="H66" s="32">
        <v>13</v>
      </c>
      <c r="I66" s="33" t="str">
        <f>IF(G66=2933,"NFE OU NFS EM OUTRO ESTADO",IF(G66=1556,"NFE EM SP",IF(G66=1933,"NFS EM SP",IF(G66=1653,"COMBUSTIVEL","NADA"))))</f>
        <v>NFE OU NFS EM OUTRO ESTADO</v>
      </c>
    </row>
    <row r="67" spans="1:9">
      <c r="A67" s="32">
        <v>4171</v>
      </c>
      <c r="B67" s="32" t="s">
        <v>809</v>
      </c>
      <c r="C67" s="32" t="s">
        <v>744</v>
      </c>
      <c r="D67" s="32">
        <v>301</v>
      </c>
      <c r="E67" s="32">
        <v>60150123</v>
      </c>
      <c r="F67" s="32" t="s">
        <v>744</v>
      </c>
      <c r="G67" s="32">
        <v>2933</v>
      </c>
      <c r="H67" s="32">
        <v>2</v>
      </c>
      <c r="I67" s="33" t="str">
        <f>IF(G67=2933,"NFE OU NFS EM OUTRO ESTADO",IF(G67=1556,"NFE EM SP",IF(G67=1933,"NFS EM SP",IF(G67=1653,"COMBUSTIVEL","NADA"))))</f>
        <v>NFE OU NFS EM OUTRO ESTADO</v>
      </c>
    </row>
    <row r="68" spans="1:9">
      <c r="A68" s="32">
        <v>5097</v>
      </c>
      <c r="B68" s="32" t="s">
        <v>810</v>
      </c>
      <c r="C68" s="32">
        <v>17</v>
      </c>
      <c r="D68" s="32">
        <v>48</v>
      </c>
      <c r="E68" s="32">
        <v>933789</v>
      </c>
      <c r="F68" s="32">
        <v>64</v>
      </c>
      <c r="G68" s="32">
        <v>2933</v>
      </c>
      <c r="H68" s="32"/>
      <c r="I68" s="33" t="str">
        <f>IF(G68=2933,"NFE OU NFS EM OUTRO ESTADO",IF(G68=1556,"NFE EM SP",IF(G68=1933,"NFS EM SP",IF(G68=1653,"COMBUSTIVEL","NADA"))))</f>
        <v>NFE OU NFS EM OUTRO ESTADO</v>
      </c>
    </row>
    <row r="69" spans="1:9">
      <c r="A69" s="32">
        <v>8195</v>
      </c>
      <c r="B69" s="32" t="s">
        <v>811</v>
      </c>
      <c r="C69" s="32" t="s">
        <v>744</v>
      </c>
      <c r="D69" s="32" t="s">
        <v>744</v>
      </c>
      <c r="E69" s="32">
        <v>933829</v>
      </c>
      <c r="F69" s="32">
        <v>39</v>
      </c>
      <c r="G69" s="32">
        <v>2933</v>
      </c>
      <c r="H69" s="32" t="s">
        <v>744</v>
      </c>
      <c r="I69" s="33" t="str">
        <f>IF(G69=2933,"NFE OU NFS EM OUTRO ESTADO",IF(G69=1556,"NFE EM SP",IF(G69=1933,"NFS EM SP",IF(G69=1653,"COMBUSTIVEL","NADA"))))</f>
        <v>NFE OU NFS EM OUTRO ESTADO</v>
      </c>
    </row>
    <row r="70" spans="1:9">
      <c r="A70" s="32">
        <v>4257</v>
      </c>
      <c r="B70" s="32" t="s">
        <v>812</v>
      </c>
      <c r="C70" s="32">
        <v>33</v>
      </c>
      <c r="D70" s="32">
        <v>48</v>
      </c>
      <c r="E70" s="32">
        <v>933789</v>
      </c>
      <c r="F70" s="32">
        <v>4</v>
      </c>
      <c r="G70" s="32">
        <v>1933</v>
      </c>
      <c r="H70" s="32">
        <v>10</v>
      </c>
      <c r="I70" s="33" t="str">
        <f>IF(G70=2933,"NFE OU NFS EM OUTRO ESTADO",IF(G70=1556,"NFE EM SP",IF(G70=1933,"NFS EM SP",IF(G70=1653,"COMBUSTIVEL","NADA"))))</f>
        <v>NFS EM SP</v>
      </c>
    </row>
    <row r="71" spans="1:9">
      <c r="A71" s="32">
        <v>1050</v>
      </c>
      <c r="B71" s="32" t="s">
        <v>813</v>
      </c>
      <c r="C71" s="32">
        <v>17</v>
      </c>
      <c r="D71" s="32">
        <v>48</v>
      </c>
      <c r="E71" s="32">
        <v>60150319</v>
      </c>
      <c r="F71" s="32">
        <v>33</v>
      </c>
      <c r="G71" s="32">
        <v>1933</v>
      </c>
      <c r="H71" s="32">
        <v>10</v>
      </c>
      <c r="I71" s="33" t="str">
        <f>IF(G71=2933,"NFE OU NFS EM OUTRO ESTADO",IF(G71=1556,"NFE EM SP",IF(G71=1933,"NFS EM SP",IF(G71=1653,"COMBUSTIVEL","NADA"))))</f>
        <v>NFS EM SP</v>
      </c>
    </row>
    <row r="72" spans="1:9">
      <c r="A72" s="32">
        <v>2727</v>
      </c>
      <c r="B72" s="32" t="s">
        <v>814</v>
      </c>
      <c r="C72" s="32" t="s">
        <v>744</v>
      </c>
      <c r="D72" s="32">
        <v>162</v>
      </c>
      <c r="E72" s="32">
        <v>933871</v>
      </c>
      <c r="F72" s="32">
        <v>64</v>
      </c>
      <c r="G72" s="32">
        <v>1933</v>
      </c>
      <c r="H72" s="32">
        <v>10</v>
      </c>
      <c r="I72" s="33" t="str">
        <f>IF(G72=2933,"NFE OU NFS EM OUTRO ESTADO",IF(G72=1556,"NFE EM SP",IF(G72=1933,"NFS EM SP",IF(G72=1653,"COMBUSTIVEL","NADA"))))</f>
        <v>NFS EM SP</v>
      </c>
    </row>
    <row r="73" spans="1:9">
      <c r="A73" s="32">
        <v>2495</v>
      </c>
      <c r="B73" s="32" t="s">
        <v>815</v>
      </c>
      <c r="C73" s="32" t="s">
        <v>744</v>
      </c>
      <c r="D73" s="32">
        <v>73</v>
      </c>
      <c r="E73" s="32">
        <v>933867</v>
      </c>
      <c r="F73" s="32">
        <v>44</v>
      </c>
      <c r="G73" s="32">
        <v>1933</v>
      </c>
      <c r="H73" s="32">
        <v>10</v>
      </c>
      <c r="I73" s="33" t="str">
        <f>IF(G73=2933,"NFE OU NFS EM OUTRO ESTADO",IF(G73=1556,"NFE EM SP",IF(G73=1933,"NFS EM SP",IF(G73=1653,"COMBUSTIVEL","NADA"))))</f>
        <v>NFS EM SP</v>
      </c>
    </row>
    <row r="74" spans="1:9">
      <c r="A74" s="32">
        <v>6003</v>
      </c>
      <c r="B74" s="32" t="s">
        <v>816</v>
      </c>
      <c r="C74" s="32">
        <v>17</v>
      </c>
      <c r="D74" s="32">
        <v>35</v>
      </c>
      <c r="E74" s="32">
        <v>60150255</v>
      </c>
      <c r="F74" s="32">
        <v>33</v>
      </c>
      <c r="G74" s="32">
        <v>2933</v>
      </c>
      <c r="H74" s="32">
        <v>10</v>
      </c>
      <c r="I74" s="33" t="str">
        <f>IF(G74=2933,"NFE OU NFS EM OUTRO ESTADO",IF(G74=1556,"NFE EM SP",IF(G74=1933,"NFS EM SP",IF(G74=1653,"COMBUSTIVEL","NADA"))))</f>
        <v>NFE OU NFS EM OUTRO ESTADO</v>
      </c>
    </row>
    <row r="75" spans="1:9">
      <c r="A75" s="32">
        <v>4023</v>
      </c>
      <c r="B75" s="32" t="s">
        <v>817</v>
      </c>
      <c r="C75" s="32" t="s">
        <v>744</v>
      </c>
      <c r="D75" s="32">
        <v>301</v>
      </c>
      <c r="E75" s="32">
        <v>60150123</v>
      </c>
      <c r="F75" s="32" t="s">
        <v>744</v>
      </c>
      <c r="G75" s="32">
        <v>1556</v>
      </c>
      <c r="H75" s="32">
        <v>13</v>
      </c>
      <c r="I75" s="33" t="str">
        <f>IF(G75=2933,"NFE OU NFS EM OUTRO ESTADO",IF(G75=1556,"NFE EM SP",IF(G75=1933,"NFS EM SP",IF(G75=1653,"COMBUSTIVEL","NADA"))))</f>
        <v>NFE EM SP</v>
      </c>
    </row>
    <row r="76" spans="1:9">
      <c r="A76" s="32">
        <v>2371</v>
      </c>
      <c r="B76" s="32" t="s">
        <v>818</v>
      </c>
      <c r="C76" s="32">
        <v>18</v>
      </c>
      <c r="D76" s="32">
        <v>104</v>
      </c>
      <c r="E76" s="32">
        <v>60150314</v>
      </c>
      <c r="F76" s="32">
        <v>14</v>
      </c>
      <c r="G76" s="32">
        <v>1933</v>
      </c>
      <c r="H76" s="32" t="s">
        <v>744</v>
      </c>
      <c r="I76" s="33" t="str">
        <f>IF(G76=2933,"NFE OU NFS EM OUTRO ESTADO",IF(G76=1556,"NFE EM SP",IF(G76=1933,"NFS EM SP",IF(G76=1653,"COMBUSTIVEL","NADA"))))</f>
        <v>NFS EM SP</v>
      </c>
    </row>
    <row r="77" spans="1:9">
      <c r="A77" s="32">
        <v>6073</v>
      </c>
      <c r="B77" s="32" t="s">
        <v>819</v>
      </c>
      <c r="C77" s="32" t="s">
        <v>744</v>
      </c>
      <c r="D77" s="32">
        <v>301</v>
      </c>
      <c r="E77" s="32">
        <v>60150123</v>
      </c>
      <c r="F77" s="32" t="s">
        <v>744</v>
      </c>
      <c r="G77" s="32">
        <v>2556</v>
      </c>
      <c r="H77" s="32">
        <v>13</v>
      </c>
      <c r="I77" s="33" t="str">
        <f>IF(G77=2933,"NFE OU NFS EM OUTRO ESTADO",IF(G77=1556,"NFE EM SP",IF(G77=1933,"NFS EM SP",IF(G77=1653,"COMBUSTIVEL","NADA"))))</f>
        <v>NADA</v>
      </c>
    </row>
    <row r="78" spans="1:9">
      <c r="A78" s="32">
        <v>2990</v>
      </c>
      <c r="B78" s="32" t="s">
        <v>820</v>
      </c>
      <c r="C78" s="32" t="s">
        <v>744</v>
      </c>
      <c r="D78" s="32">
        <v>98</v>
      </c>
      <c r="E78" s="32" t="s">
        <v>821</v>
      </c>
      <c r="F78" s="32" t="s">
        <v>744</v>
      </c>
      <c r="G78" s="32">
        <v>1933</v>
      </c>
      <c r="H78" s="32">
        <v>10</v>
      </c>
      <c r="I78" s="33" t="str">
        <f>IF(G78=2933,"NFE OU NFS EM OUTRO ESTADO",IF(G78=1556,"NFE EM SP",IF(G78=1933,"NFS EM SP",IF(G78=1653,"COMBUSTIVEL","NADA"))))</f>
        <v>NFS EM SP</v>
      </c>
    </row>
    <row r="79" spans="1:9">
      <c r="A79" s="32">
        <v>2537</v>
      </c>
      <c r="B79" s="32" t="s">
        <v>822</v>
      </c>
      <c r="C79" s="32">
        <v>38</v>
      </c>
      <c r="D79" s="32">
        <v>304</v>
      </c>
      <c r="E79" s="32">
        <v>933861</v>
      </c>
      <c r="F79" s="32">
        <v>38</v>
      </c>
      <c r="G79" s="32">
        <v>1933</v>
      </c>
      <c r="H79" s="32">
        <v>10</v>
      </c>
      <c r="I79" s="33" t="str">
        <f>IF(G79=2933,"NFE OU NFS EM OUTRO ESTADO",IF(G79=1556,"NFE EM SP",IF(G79=1933,"NFS EM SP",IF(G79=1653,"COMBUSTIVEL","NADA"))))</f>
        <v>NFS EM SP</v>
      </c>
    </row>
    <row r="80" spans="1:9">
      <c r="A80" s="32">
        <v>119</v>
      </c>
      <c r="B80" s="32" t="s">
        <v>822</v>
      </c>
      <c r="C80" s="32">
        <v>38</v>
      </c>
      <c r="D80" s="32">
        <v>304</v>
      </c>
      <c r="E80" s="32">
        <v>933861</v>
      </c>
      <c r="F80" s="32">
        <v>38</v>
      </c>
      <c r="G80" s="32">
        <v>1933</v>
      </c>
      <c r="H80" s="32">
        <v>10</v>
      </c>
      <c r="I80" s="33" t="str">
        <f>IF(G80=2933,"NFE OU NFS EM OUTRO ESTADO",IF(G80=1556,"NFE EM SP",IF(G80=1933,"NFS EM SP",IF(G80=1653,"COMBUSTIVEL","NADA"))))</f>
        <v>NFS EM SP</v>
      </c>
    </row>
    <row r="81" spans="1:9">
      <c r="A81" s="32">
        <v>31</v>
      </c>
      <c r="B81" s="32" t="s">
        <v>823</v>
      </c>
      <c r="D81" s="32">
        <v>177</v>
      </c>
      <c r="E81" s="32">
        <v>3843267823</v>
      </c>
      <c r="G81" s="32">
        <v>1407</v>
      </c>
      <c r="H81" s="32">
        <v>2</v>
      </c>
      <c r="I81" s="33" t="str">
        <f>IF(G81=2933,"NFE OU NFS EM OUTRO ESTADO",IF(G81=1556,"NFE EM SP",IF(G81=1933,"NFS EM SP",IF(G81=1653,"COMBUSTIVEL","NADA"))))</f>
        <v>NADA</v>
      </c>
    </row>
    <row r="82" spans="1:9">
      <c r="A82" s="32">
        <v>6046</v>
      </c>
      <c r="B82" s="32" t="s">
        <v>824</v>
      </c>
      <c r="C82" s="32" t="s">
        <v>744</v>
      </c>
      <c r="D82" s="32" t="s">
        <v>744</v>
      </c>
      <c r="E82" s="32">
        <v>933842</v>
      </c>
      <c r="F82" s="32" t="s">
        <v>744</v>
      </c>
      <c r="G82" s="32" t="s">
        <v>744</v>
      </c>
      <c r="H82" s="32" t="s">
        <v>744</v>
      </c>
      <c r="I82" s="33" t="str">
        <f>IF(G82=2933,"NFE OU NFS EM OUTRO ESTADO",IF(G82=1556,"NFE EM SP",IF(G82=1933,"NFS EM SP",IF(G82=1653,"COMBUSTIVEL","NADA"))))</f>
        <v>NADA</v>
      </c>
    </row>
    <row r="83" spans="1:9">
      <c r="A83" s="32">
        <v>5024</v>
      </c>
      <c r="B83" s="32" t="s">
        <v>825</v>
      </c>
      <c r="C83" s="32">
        <v>33</v>
      </c>
      <c r="D83" s="32">
        <v>48</v>
      </c>
      <c r="E83" s="32">
        <v>933789</v>
      </c>
      <c r="F83" s="32">
        <v>4</v>
      </c>
      <c r="G83" s="32">
        <v>2933</v>
      </c>
      <c r="H83" s="32">
        <v>13</v>
      </c>
      <c r="I83" s="33" t="str">
        <f>IF(G83=2933,"NFE OU NFS EM OUTRO ESTADO",IF(G83=1556,"NFE EM SP",IF(G83=1933,"NFS EM SP",IF(G83=1653,"COMBUSTIVEL","NADA"))))</f>
        <v>NFE OU NFS EM OUTRO ESTADO</v>
      </c>
    </row>
    <row r="84" spans="1:9">
      <c r="A84" s="32">
        <v>804</v>
      </c>
      <c r="B84" s="32" t="s">
        <v>826</v>
      </c>
      <c r="C84" s="32">
        <v>17</v>
      </c>
      <c r="D84" s="32">
        <v>38</v>
      </c>
      <c r="E84" s="32">
        <v>10357905</v>
      </c>
      <c r="F84" s="32" t="s">
        <v>744</v>
      </c>
      <c r="G84" s="32">
        <v>1556</v>
      </c>
      <c r="H84" s="32">
        <v>13</v>
      </c>
      <c r="I84" s="33" t="str">
        <f>IF(G84=2933,"NFE OU NFS EM OUTRO ESTADO",IF(G84=1556,"NFE EM SP",IF(G84=1933,"NFS EM SP",IF(G84=1653,"COMBUSTIVEL","NADA"))))</f>
        <v>NFE EM SP</v>
      </c>
    </row>
    <row r="85" spans="1:9">
      <c r="A85" s="32">
        <v>4991</v>
      </c>
      <c r="B85" s="32" t="s">
        <v>827</v>
      </c>
      <c r="C85" s="32" t="s">
        <v>744</v>
      </c>
      <c r="D85" s="32">
        <v>301</v>
      </c>
      <c r="E85" s="32">
        <v>60150123</v>
      </c>
      <c r="F85" s="32" t="s">
        <v>744</v>
      </c>
      <c r="G85" s="32">
        <v>2933</v>
      </c>
      <c r="H85" s="32">
        <v>2</v>
      </c>
      <c r="I85" s="33" t="str">
        <f>IF(G85=2933,"NFE OU NFS EM OUTRO ESTADO",IF(G85=1556,"NFE EM SP",IF(G85=1933,"NFS EM SP",IF(G85=1653,"COMBUSTIVEL","NADA"))))</f>
        <v>NFE OU NFS EM OUTRO ESTADO</v>
      </c>
    </row>
    <row r="86" spans="1:9">
      <c r="A86" s="32">
        <v>553</v>
      </c>
      <c r="B86" s="32" t="s">
        <v>828</v>
      </c>
      <c r="C86" s="32" t="s">
        <v>744</v>
      </c>
      <c r="D86" s="32" t="s">
        <v>744</v>
      </c>
      <c r="E86" s="32">
        <v>2</v>
      </c>
      <c r="F86" s="32">
        <v>17</v>
      </c>
      <c r="G86" s="32" t="s">
        <v>744</v>
      </c>
      <c r="H86" s="32" t="s">
        <v>744</v>
      </c>
      <c r="I86" s="33" t="str">
        <f>IF(G86=2933,"NFE OU NFS EM OUTRO ESTADO",IF(G86=1556,"NFE EM SP",IF(G86=1933,"NFS EM SP",IF(G86=1653,"COMBUSTIVEL","NADA"))))</f>
        <v>NADA</v>
      </c>
    </row>
    <row r="87" spans="1:9">
      <c r="A87" s="32">
        <v>4970</v>
      </c>
      <c r="B87" s="32" t="s">
        <v>829</v>
      </c>
      <c r="C87" s="32" t="s">
        <v>744</v>
      </c>
      <c r="D87" s="32">
        <v>301</v>
      </c>
      <c r="E87" s="32">
        <v>60150123</v>
      </c>
      <c r="F87" s="32" t="s">
        <v>744</v>
      </c>
      <c r="G87" s="32">
        <v>2556</v>
      </c>
      <c r="H87" s="32">
        <v>13</v>
      </c>
      <c r="I87" s="33" t="str">
        <f>IF(G87=2933,"NFE OU NFS EM OUTRO ESTADO",IF(G87=1556,"NFE EM SP",IF(G87=1933,"NFS EM SP",IF(G87=1653,"COMBUSTIVEL","NADA"))))</f>
        <v>NADA</v>
      </c>
    </row>
    <row r="88" spans="1:9">
      <c r="A88" s="32">
        <v>8212</v>
      </c>
      <c r="B88" s="32" t="s">
        <v>830</v>
      </c>
      <c r="C88" s="32">
        <v>33</v>
      </c>
      <c r="D88" s="32">
        <v>48</v>
      </c>
      <c r="E88" s="32">
        <v>933789</v>
      </c>
      <c r="F88" s="32">
        <v>64</v>
      </c>
      <c r="G88" s="32">
        <v>2933</v>
      </c>
      <c r="H88" s="32">
        <v>2</v>
      </c>
      <c r="I88" s="33" t="str">
        <f>IF(G88=2933,"NFE OU NFS EM OUTRO ESTADO",IF(G88=1556,"NFE EM SP",IF(G88=1933,"NFS EM SP",IF(G88=1653,"COMBUSTIVEL","NADA"))))</f>
        <v>NFE OU NFS EM OUTRO ESTADO</v>
      </c>
    </row>
    <row r="89" spans="1:9">
      <c r="A89" s="32">
        <v>2985</v>
      </c>
      <c r="B89" s="32" t="s">
        <v>831</v>
      </c>
      <c r="D89" s="32">
        <v>162</v>
      </c>
      <c r="E89" s="32">
        <v>933871</v>
      </c>
      <c r="F89" s="32">
        <v>64</v>
      </c>
      <c r="G89" s="32">
        <v>1933</v>
      </c>
      <c r="H89" s="32">
        <v>10</v>
      </c>
      <c r="I89" s="33" t="str">
        <f>IF(G89=2933,"NFE OU NFS EM OUTRO ESTADO",IF(G89=1556,"NFE EM SP",IF(G89=1933,"NFS EM SP",IF(G89=1653,"COMBUSTIVEL","NADA"))))</f>
        <v>NFS EM SP</v>
      </c>
    </row>
    <row r="90" spans="1:9">
      <c r="A90" s="32">
        <v>2985</v>
      </c>
      <c r="B90" s="32" t="s">
        <v>832</v>
      </c>
      <c r="C90" s="32">
        <v>33</v>
      </c>
      <c r="D90" s="32">
        <v>48</v>
      </c>
      <c r="E90" s="32">
        <v>60150319</v>
      </c>
      <c r="F90" s="32">
        <v>33</v>
      </c>
      <c r="G90" s="32">
        <v>1933</v>
      </c>
      <c r="H90" s="32">
        <v>10</v>
      </c>
      <c r="I90" s="33" t="str">
        <f>IF(G90=2933,"NFE OU NFS EM OUTRO ESTADO",IF(G90=1556,"NFE EM SP",IF(G90=1933,"NFS EM SP",IF(G90=1653,"COMBUSTIVEL","NADA"))))</f>
        <v>NFS EM SP</v>
      </c>
    </row>
    <row r="91" spans="1:9">
      <c r="A91" s="32">
        <v>507</v>
      </c>
      <c r="B91" s="32" t="s">
        <v>833</v>
      </c>
      <c r="C91" s="32" t="s">
        <v>744</v>
      </c>
      <c r="D91" s="32">
        <v>177</v>
      </c>
      <c r="E91" s="32">
        <v>3843267823</v>
      </c>
      <c r="F91" s="32" t="s">
        <v>744</v>
      </c>
      <c r="G91" s="32">
        <v>1556</v>
      </c>
      <c r="H91" s="32">
        <v>13</v>
      </c>
      <c r="I91" s="33" t="str">
        <f>IF(G91=2933,"NFE OU NFS EM OUTRO ESTADO",IF(G91=1556,"NFE EM SP",IF(G91=1933,"NFS EM SP",IF(G91=1653,"COMBUSTIVEL","NADA"))))</f>
        <v>NFE EM SP</v>
      </c>
    </row>
    <row r="92" spans="1:9">
      <c r="A92" s="32">
        <v>3062</v>
      </c>
      <c r="B92" s="32" t="s">
        <v>834</v>
      </c>
      <c r="C92" s="32">
        <v>17</v>
      </c>
      <c r="D92" s="32">
        <v>330</v>
      </c>
      <c r="E92" s="32">
        <v>933861</v>
      </c>
      <c r="F92" s="32">
        <v>95</v>
      </c>
      <c r="G92" s="32">
        <v>1933</v>
      </c>
      <c r="H92" s="32">
        <v>10</v>
      </c>
      <c r="I92" s="33" t="str">
        <f>IF(G92=2933,"NFE OU NFS EM OUTRO ESTADO",IF(G92=1556,"NFE EM SP",IF(G92=1933,"NFS EM SP",IF(G92=1653,"COMBUSTIVEL","NADA"))))</f>
        <v>NFS EM SP</v>
      </c>
    </row>
    <row r="93" spans="1:9">
      <c r="A93" s="32">
        <v>5180</v>
      </c>
      <c r="B93" s="32" t="s">
        <v>835</v>
      </c>
      <c r="C93" s="32">
        <v>41</v>
      </c>
      <c r="D93" s="32">
        <v>300</v>
      </c>
      <c r="E93" s="32">
        <v>933878</v>
      </c>
      <c r="G93" s="32">
        <v>1556</v>
      </c>
      <c r="H93" s="32">
        <v>13</v>
      </c>
      <c r="I93" s="33" t="str">
        <f>IF(G93=2933,"NFE OU NFS EM OUTRO ESTADO",IF(G93=1556,"NFE EM SP",IF(G93=1933,"NFS EM SP",IF(G93=1653,"COMBUSTIVEL","NADA"))))</f>
        <v>NFE EM SP</v>
      </c>
    </row>
    <row r="94" spans="1:9">
      <c r="A94" s="32">
        <v>2939</v>
      </c>
      <c r="B94" s="32" t="s">
        <v>836</v>
      </c>
      <c r="C94" s="32">
        <v>33</v>
      </c>
      <c r="D94" s="32">
        <v>48</v>
      </c>
      <c r="E94" s="32">
        <v>933789</v>
      </c>
      <c r="F94" s="32">
        <v>4</v>
      </c>
      <c r="G94" s="32">
        <v>1933</v>
      </c>
      <c r="H94" s="32">
        <v>10</v>
      </c>
      <c r="I94" s="33" t="str">
        <f>IF(G94=2933,"NFE OU NFS EM OUTRO ESTADO",IF(G94=1556,"NFE EM SP",IF(G94=1933,"NFS EM SP",IF(G94=1653,"COMBUSTIVEL","NADA"))))</f>
        <v>NFS EM SP</v>
      </c>
    </row>
    <row r="95" spans="1:9">
      <c r="A95" s="32">
        <v>516</v>
      </c>
      <c r="B95" s="32" t="s">
        <v>837</v>
      </c>
      <c r="C95" s="32" t="s">
        <v>744</v>
      </c>
      <c r="D95" s="32">
        <v>98</v>
      </c>
      <c r="E95" s="32">
        <v>60150030</v>
      </c>
      <c r="F95" s="32">
        <v>64</v>
      </c>
      <c r="G95" s="32">
        <v>1933</v>
      </c>
      <c r="H95" s="32">
        <v>10</v>
      </c>
      <c r="I95" s="33" t="str">
        <f>IF(G95=2933,"NFE OU NFS EM OUTRO ESTADO",IF(G95=1556,"NFE EM SP",IF(G95=1933,"NFS EM SP",IF(G95=1653,"COMBUSTIVEL","NADA"))))</f>
        <v>NFS EM SP</v>
      </c>
    </row>
    <row r="96" spans="1:9">
      <c r="A96" s="32">
        <v>3564</v>
      </c>
      <c r="B96" s="32" t="s">
        <v>838</v>
      </c>
      <c r="C96" s="32">
        <v>17</v>
      </c>
      <c r="D96" s="32">
        <v>302</v>
      </c>
      <c r="E96" s="32">
        <v>60150142</v>
      </c>
      <c r="F96" s="32">
        <v>8</v>
      </c>
      <c r="G96" s="32">
        <v>1933</v>
      </c>
      <c r="H96" s="32" t="s">
        <v>744</v>
      </c>
      <c r="I96" s="33" t="str">
        <f>IF(G96=2933,"NFE OU NFS EM OUTRO ESTADO",IF(G96=1556,"NFE EM SP",IF(G96=1933,"NFS EM SP",IF(G96=1653,"COMBUSTIVEL","NADA"))))</f>
        <v>NFS EM SP</v>
      </c>
    </row>
    <row r="97" spans="1:9">
      <c r="A97" s="32">
        <v>1014</v>
      </c>
      <c r="B97" s="32" t="s">
        <v>839</v>
      </c>
      <c r="C97" s="32" t="s">
        <v>744</v>
      </c>
      <c r="D97" s="32">
        <v>102</v>
      </c>
      <c r="E97" s="32">
        <v>933873</v>
      </c>
      <c r="F97" s="32">
        <v>33</v>
      </c>
      <c r="G97" s="32">
        <v>2653</v>
      </c>
      <c r="H97" s="32">
        <v>3</v>
      </c>
      <c r="I97" s="33" t="s">
        <v>840</v>
      </c>
    </row>
    <row r="98" spans="1:9">
      <c r="A98" s="32">
        <v>388</v>
      </c>
      <c r="B98" s="32" t="s">
        <v>841</v>
      </c>
      <c r="C98" s="32" t="s">
        <v>744</v>
      </c>
      <c r="D98" s="32">
        <v>98</v>
      </c>
      <c r="E98" s="32">
        <v>60150139</v>
      </c>
      <c r="F98" s="32">
        <v>11</v>
      </c>
      <c r="G98" s="32">
        <v>1933</v>
      </c>
      <c r="H98" s="32">
        <v>10</v>
      </c>
      <c r="I98" s="33" t="str">
        <f>IF(G98=2933,"NFE OU NFS EM OUTRO ESTADO",IF(G98=1556,"NFE EM SP",IF(G98=1933,"NFS EM SP",IF(G98=1653,"COMBUSTIVEL","NADA"))))</f>
        <v>NFS EM SP</v>
      </c>
    </row>
    <row r="99" spans="1:9">
      <c r="A99" s="32">
        <v>4140</v>
      </c>
      <c r="B99" s="32" t="s">
        <v>842</v>
      </c>
      <c r="C99" s="32" t="s">
        <v>744</v>
      </c>
      <c r="D99" s="32">
        <v>151</v>
      </c>
      <c r="E99" s="32">
        <v>933863</v>
      </c>
      <c r="F99" s="32">
        <v>65</v>
      </c>
      <c r="G99" s="32">
        <v>2933</v>
      </c>
      <c r="H99" s="32" t="s">
        <v>744</v>
      </c>
      <c r="I99" s="33" t="str">
        <f>IF(G99=2933,"NFE OU NFS EM OUTRO ESTADO",IF(G99=1556,"NFE EM SP",IF(G99=1933,"NFS EM SP",IF(G99=1653,"COMBUSTIVEL","NADA"))))</f>
        <v>NFE OU NFS EM OUTRO ESTADO</v>
      </c>
    </row>
    <row r="100" spans="1:9">
      <c r="A100" s="32">
        <v>4118</v>
      </c>
      <c r="B100" s="32" t="s">
        <v>843</v>
      </c>
      <c r="C100" s="32">
        <v>12</v>
      </c>
      <c r="D100" s="32">
        <v>302</v>
      </c>
      <c r="E100" s="32">
        <v>3843267832</v>
      </c>
      <c r="F100" s="32" t="s">
        <v>744</v>
      </c>
      <c r="G100" s="32">
        <v>1556</v>
      </c>
      <c r="H100" s="32">
        <v>13</v>
      </c>
      <c r="I100" s="33" t="str">
        <f>IF(G100=2933,"NFE OU NFS EM OUTRO ESTADO",IF(G100=1556,"NFE EM SP",IF(G100=1933,"NFS EM SP",IF(G100=1653,"COMBUSTIVEL","NADA"))))</f>
        <v>NFE EM SP</v>
      </c>
    </row>
    <row r="101" spans="1:9">
      <c r="A101" s="32">
        <v>3739</v>
      </c>
      <c r="B101" s="32" t="s">
        <v>844</v>
      </c>
      <c r="C101" s="32">
        <v>33</v>
      </c>
      <c r="D101" s="32">
        <v>37</v>
      </c>
      <c r="E101" s="32">
        <v>60150028</v>
      </c>
      <c r="F101" s="32" t="s">
        <v>744</v>
      </c>
      <c r="G101" s="32">
        <v>1556</v>
      </c>
      <c r="H101" s="32">
        <v>13</v>
      </c>
      <c r="I101" s="33" t="str">
        <f>IF(G101=2933,"NFE OU NFS EM OUTRO ESTADO",IF(G101=1556,"NFE EM SP",IF(G101=1933,"NFS EM SP",IF(G101=1653,"COMBUSTIVEL","NADA"))))</f>
        <v>NFE EM SP</v>
      </c>
    </row>
    <row r="102" spans="1:9">
      <c r="A102" s="32">
        <v>3828</v>
      </c>
      <c r="B102" s="32" t="s">
        <v>845</v>
      </c>
      <c r="C102" s="32">
        <v>33</v>
      </c>
      <c r="D102" s="32">
        <v>48</v>
      </c>
      <c r="E102" s="32">
        <v>601501</v>
      </c>
      <c r="F102" s="32">
        <v>64</v>
      </c>
      <c r="G102" s="32">
        <v>2933</v>
      </c>
      <c r="H102" s="32">
        <v>10</v>
      </c>
      <c r="I102" s="33" t="str">
        <f>IF(G102=2933,"NFE OU NFS EM OUTRO ESTADO",IF(G102=1556,"NFE EM SP",IF(G102=1933,"NFS EM SP",IF(G102=1653,"COMBUSTIVEL","NADA"))))</f>
        <v>NFE OU NFS EM OUTRO ESTADO</v>
      </c>
    </row>
    <row r="103" spans="1:9">
      <c r="A103" s="32">
        <v>5120</v>
      </c>
      <c r="B103" s="32" t="s">
        <v>846</v>
      </c>
      <c r="C103" s="32" t="s">
        <v>744</v>
      </c>
      <c r="D103" s="32">
        <v>328</v>
      </c>
      <c r="E103" s="32">
        <v>601502</v>
      </c>
      <c r="F103" s="32">
        <v>64</v>
      </c>
      <c r="G103" s="32">
        <v>1933</v>
      </c>
      <c r="H103" s="32">
        <v>10</v>
      </c>
      <c r="I103" s="33" t="str">
        <f>IF(G103=2933,"NFE OU NFS EM OUTRO ESTADO",IF(G103=1556,"NFE EM SP",IF(G103=1933,"NFS EM SP",IF(G103=1653,"COMBUSTIVEL","NADA"))))</f>
        <v>NFS EM SP</v>
      </c>
    </row>
    <row r="104" spans="1:9">
      <c r="A104" s="32">
        <v>610</v>
      </c>
      <c r="B104" s="32" t="s">
        <v>847</v>
      </c>
      <c r="C104" s="32">
        <v>12</v>
      </c>
      <c r="D104" s="32">
        <v>300</v>
      </c>
      <c r="E104" s="32">
        <v>60150177</v>
      </c>
      <c r="F104" s="32" t="s">
        <v>744</v>
      </c>
      <c r="G104" s="32">
        <v>1556</v>
      </c>
      <c r="H104" s="32"/>
      <c r="I104" s="33" t="str">
        <f>IF(G104=2933,"NFE OU NFS EM OUTRO ESTADO",IF(G104=1556,"NFE EM SP",IF(G104=1933,"NFS EM SP",IF(G104=1653,"COMBUSTIVEL","NADA"))))</f>
        <v>NFE EM SP</v>
      </c>
    </row>
    <row r="105" spans="1:9">
      <c r="A105" s="32">
        <v>3877</v>
      </c>
      <c r="B105" s="32" t="s">
        <v>848</v>
      </c>
      <c r="C105" s="32">
        <v>33</v>
      </c>
      <c r="D105" s="32">
        <v>48</v>
      </c>
      <c r="E105" s="32">
        <v>933789</v>
      </c>
      <c r="F105" s="32">
        <v>4</v>
      </c>
      <c r="G105" s="32">
        <v>2933</v>
      </c>
      <c r="H105" s="32"/>
      <c r="I105" s="33" t="str">
        <f>IF(G105=2933,"NFE OU NFS EM OUTRO ESTADO",IF(G105=1556,"NFE EM SP",IF(G105=1933,"NFS EM SP",IF(G105=1653,"COMBUSTIVEL","NADA"))))</f>
        <v>NFE OU NFS EM OUTRO ESTADO</v>
      </c>
    </row>
    <row r="106" spans="1:9">
      <c r="A106" s="32">
        <v>3200</v>
      </c>
      <c r="B106" s="32" t="s">
        <v>849</v>
      </c>
      <c r="C106" s="32" t="s">
        <v>744</v>
      </c>
      <c r="D106" s="32">
        <v>151</v>
      </c>
      <c r="E106" s="32">
        <v>60150044</v>
      </c>
      <c r="F106" s="32">
        <v>22</v>
      </c>
      <c r="G106" s="32">
        <v>1933</v>
      </c>
      <c r="H106" s="32">
        <v>10</v>
      </c>
      <c r="I106" s="33" t="str">
        <f>IF(G106=2933,"NFE OU NFS EM OUTRO ESTADO",IF(G106=1556,"NFE EM SP",IF(G106=1933,"NFS EM SP",IF(G106=1653,"COMBUSTIVEL","NADA"))))</f>
        <v>NFS EM SP</v>
      </c>
    </row>
    <row r="107" spans="1:9">
      <c r="A107" s="32">
        <v>2952</v>
      </c>
      <c r="B107" s="32" t="s">
        <v>850</v>
      </c>
      <c r="C107" s="32">
        <v>33</v>
      </c>
      <c r="D107" s="32">
        <v>36</v>
      </c>
      <c r="E107" s="32">
        <v>60150073</v>
      </c>
      <c r="F107" s="32" t="s">
        <v>744</v>
      </c>
      <c r="G107" s="32">
        <v>1556</v>
      </c>
      <c r="H107" s="32">
        <v>13</v>
      </c>
      <c r="I107" s="33" t="str">
        <f>IF(G107=2933,"NFE OU NFS EM OUTRO ESTADO",IF(G107=1556,"NFE EM SP",IF(G107=1933,"NFS EM SP",IF(G107=1653,"COMBUSTIVEL","NADA"))))</f>
        <v>NFE EM SP</v>
      </c>
    </row>
    <row r="108" spans="1:9">
      <c r="A108" s="32">
        <v>8201</v>
      </c>
      <c r="B108" s="32" t="s">
        <v>851</v>
      </c>
      <c r="C108" s="32" t="s">
        <v>744</v>
      </c>
      <c r="D108" s="32">
        <v>98</v>
      </c>
      <c r="E108" s="32">
        <v>933842</v>
      </c>
      <c r="F108" s="32" t="s">
        <v>744</v>
      </c>
      <c r="G108" s="32">
        <v>1556</v>
      </c>
      <c r="H108" s="32">
        <v>10</v>
      </c>
      <c r="I108" s="33" t="str">
        <f>IF(G108=2933,"NFE OU NFS EM OUTRO ESTADO",IF(G108=1556,"NFE EM SP",IF(G108=1933,"NFS EM SP",IF(G108=1653,"COMBUSTIVEL","NADA"))))</f>
        <v>NFE EM SP</v>
      </c>
    </row>
    <row r="109" spans="1:9">
      <c r="A109" s="32">
        <v>4018</v>
      </c>
      <c r="B109" s="32" t="s">
        <v>852</v>
      </c>
      <c r="C109" s="32">
        <v>33</v>
      </c>
      <c r="D109" s="32">
        <v>48</v>
      </c>
      <c r="E109" s="32">
        <v>60150123</v>
      </c>
      <c r="F109" s="32" t="s">
        <v>744</v>
      </c>
      <c r="G109" s="32">
        <v>2933</v>
      </c>
      <c r="H109" s="32">
        <v>10</v>
      </c>
      <c r="I109" s="33" t="str">
        <f>IF(G109=2933,"NFE OU NFS EM OUTRO ESTADO",IF(G109=1556,"NFE EM SP",IF(G109=1933,"NFS EM SP",IF(G109=1653,"COMBUSTIVEL","NADA"))))</f>
        <v>NFE OU NFS EM OUTRO ESTADO</v>
      </c>
    </row>
    <row r="110" spans="1:9">
      <c r="A110" s="32">
        <v>4018</v>
      </c>
      <c r="B110" s="32" t="s">
        <v>853</v>
      </c>
      <c r="C110" s="32">
        <v>33</v>
      </c>
      <c r="D110" s="32">
        <v>48</v>
      </c>
      <c r="E110" s="32">
        <v>601501</v>
      </c>
      <c r="F110" s="32">
        <v>64</v>
      </c>
      <c r="G110" s="32">
        <v>2933</v>
      </c>
      <c r="H110" s="32">
        <v>10</v>
      </c>
      <c r="I110" s="33" t="str">
        <f>IF(G110=2933,"NFE OU NFS EM OUTRO ESTADO",IF(G110=1556,"NFE EM SP",IF(G110=1933,"NFS EM SP",IF(G110=1653,"COMBUSTIVEL","NADA"))))</f>
        <v>NFE OU NFS EM OUTRO ESTADO</v>
      </c>
    </row>
    <row r="111" spans="1:9">
      <c r="A111" s="32">
        <v>171</v>
      </c>
      <c r="B111" s="32" t="s">
        <v>854</v>
      </c>
      <c r="C111" s="32" t="s">
        <v>744</v>
      </c>
      <c r="D111" s="32">
        <v>66</v>
      </c>
      <c r="E111" s="32">
        <v>933792</v>
      </c>
      <c r="F111" s="32" t="s">
        <v>744</v>
      </c>
      <c r="G111" s="32">
        <v>1556</v>
      </c>
      <c r="H111" s="32">
        <v>13</v>
      </c>
      <c r="I111" s="33" t="str">
        <f>IF(G111=2933,"NFE OU NFS EM OUTRO ESTADO",IF(G111=1556,"NFE EM SP",IF(G111=1933,"NFS EM SP",IF(G111=1653,"COMBUSTIVEL","NADA"))))</f>
        <v>NFE EM SP</v>
      </c>
    </row>
    <row r="112" spans="1:9">
      <c r="A112" s="32">
        <v>3746</v>
      </c>
      <c r="B112" s="32" t="s">
        <v>855</v>
      </c>
      <c r="C112" s="32">
        <v>12</v>
      </c>
      <c r="D112" s="32">
        <v>36</v>
      </c>
      <c r="E112" s="32">
        <v>933865</v>
      </c>
      <c r="F112" s="32">
        <v>8</v>
      </c>
      <c r="G112" s="32">
        <v>2933</v>
      </c>
      <c r="H112" s="32" t="s">
        <v>744</v>
      </c>
      <c r="I112" s="33" t="str">
        <f>IF(G112=2933,"NFE OU NFS EM OUTRO ESTADO",IF(G112=1556,"NFE EM SP",IF(G112=1933,"NFS EM SP",IF(G112=1653,"COMBUSTIVEL","NADA"))))</f>
        <v>NFE OU NFS EM OUTRO ESTADO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C99CB-2939-4E8A-A941-337B50038B21}">
  <sheetPr codeName="Planilha3">
    <tabColor theme="4" tint="0.59999389629810485"/>
  </sheetPr>
  <dimension ref="A1:K29"/>
  <sheetViews>
    <sheetView showGridLines="0" zoomScaleNormal="100" workbookViewId="0">
      <pane ySplit="1" topLeftCell="D2" activePane="bottomLeft" state="frozen"/>
      <selection pane="bottomLeft" activeCell="F19" sqref="F19"/>
    </sheetView>
  </sheetViews>
  <sheetFormatPr defaultRowHeight="14.45"/>
  <cols>
    <col min="1" max="1" width="15.85546875" style="5" bestFit="1" customWidth="1"/>
    <col min="2" max="2" width="27.85546875" customWidth="1"/>
    <col min="3" max="3" width="20.140625" customWidth="1"/>
    <col min="4" max="4" width="3.42578125" customWidth="1"/>
    <col min="5" max="5" width="12.5703125" customWidth="1"/>
    <col min="6" max="6" width="24.140625" bestFit="1" customWidth="1"/>
    <col min="7" max="7" width="10.85546875" customWidth="1"/>
    <col min="8" max="8" width="11.28515625" customWidth="1"/>
    <col min="9" max="9" width="11" customWidth="1"/>
    <col min="10" max="10" width="17.7109375" bestFit="1" customWidth="1"/>
  </cols>
  <sheetData>
    <row r="1" spans="1:10" ht="25.9">
      <c r="A1" s="10" t="s">
        <v>856</v>
      </c>
      <c r="B1" s="11">
        <f>SUM(B3:B45)</f>
        <v>0</v>
      </c>
    </row>
    <row r="2" spans="1:10" ht="18">
      <c r="A2" s="9" t="s">
        <v>857</v>
      </c>
      <c r="B2" s="12" t="s">
        <v>858</v>
      </c>
      <c r="C2" s="12" t="s">
        <v>859</v>
      </c>
      <c r="D2" s="2"/>
      <c r="E2" s="3" t="s">
        <v>860</v>
      </c>
      <c r="F2" s="3" t="s">
        <v>861</v>
      </c>
      <c r="G2" s="3" t="s">
        <v>862</v>
      </c>
      <c r="H2" s="3" t="s">
        <v>863</v>
      </c>
      <c r="I2" s="3" t="s">
        <v>864</v>
      </c>
      <c r="J2" s="3" t="s">
        <v>12</v>
      </c>
    </row>
    <row r="3" spans="1:10" ht="18">
      <c r="A3" s="13"/>
      <c r="B3" s="13"/>
      <c r="C3" s="14" t="e">
        <f>B3/A3</f>
        <v>#DIV/0!</v>
      </c>
      <c r="D3" s="2"/>
      <c r="E3" s="28">
        <v>7</v>
      </c>
      <c r="F3" s="3" t="s">
        <v>865</v>
      </c>
      <c r="G3" s="28" t="s">
        <v>866</v>
      </c>
      <c r="H3" s="3">
        <v>55</v>
      </c>
      <c r="I3" s="3">
        <v>52</v>
      </c>
      <c r="J3" s="3"/>
    </row>
    <row r="4" spans="1:10" ht="18">
      <c r="A4" s="13"/>
      <c r="B4" s="13"/>
      <c r="C4" s="14" t="e">
        <f t="shared" ref="C4:C29" si="0">B4/A4</f>
        <v>#DIV/0!</v>
      </c>
      <c r="D4" s="2"/>
      <c r="E4" s="28">
        <v>8</v>
      </c>
      <c r="F4" s="3" t="s">
        <v>867</v>
      </c>
      <c r="G4" s="28" t="s">
        <v>868</v>
      </c>
      <c r="H4" s="3" t="s">
        <v>744</v>
      </c>
      <c r="I4" s="3" t="s">
        <v>744</v>
      </c>
      <c r="J4" s="3"/>
    </row>
    <row r="5" spans="1:10" ht="18">
      <c r="A5" s="13"/>
      <c r="B5" s="13"/>
      <c r="C5" s="14" t="e">
        <f t="shared" si="0"/>
        <v>#DIV/0!</v>
      </c>
      <c r="D5" s="2"/>
      <c r="E5" s="28">
        <v>9</v>
      </c>
      <c r="F5" s="3" t="s">
        <v>869</v>
      </c>
      <c r="G5" s="28" t="s">
        <v>870</v>
      </c>
      <c r="H5" s="3">
        <v>80</v>
      </c>
      <c r="I5" s="3">
        <v>81</v>
      </c>
      <c r="J5" s="3"/>
    </row>
    <row r="6" spans="1:10" ht="18">
      <c r="A6" s="13"/>
      <c r="B6" s="13"/>
      <c r="C6" s="14" t="e">
        <f t="shared" si="0"/>
        <v>#DIV/0!</v>
      </c>
      <c r="D6" s="2"/>
      <c r="E6" s="28">
        <v>11</v>
      </c>
      <c r="F6" s="3" t="s">
        <v>871</v>
      </c>
      <c r="G6" s="28" t="s">
        <v>872</v>
      </c>
      <c r="H6" s="3">
        <v>62</v>
      </c>
      <c r="I6" s="3">
        <v>70</v>
      </c>
      <c r="J6" s="3">
        <v>4956</v>
      </c>
    </row>
    <row r="7" spans="1:10" ht="18">
      <c r="A7" s="13"/>
      <c r="B7" s="13"/>
      <c r="C7" s="14" t="e">
        <f t="shared" si="0"/>
        <v>#DIV/0!</v>
      </c>
      <c r="D7" s="2"/>
      <c r="E7" s="28">
        <v>12</v>
      </c>
      <c r="F7" s="3" t="s">
        <v>873</v>
      </c>
      <c r="G7" s="28" t="s">
        <v>874</v>
      </c>
      <c r="H7" s="3">
        <v>63</v>
      </c>
      <c r="I7" s="3">
        <v>71</v>
      </c>
      <c r="J7" s="3" t="s">
        <v>875</v>
      </c>
    </row>
    <row r="8" spans="1:10" ht="18">
      <c r="A8" s="13"/>
      <c r="B8" s="13"/>
      <c r="C8" s="14" t="e">
        <f t="shared" si="0"/>
        <v>#DIV/0!</v>
      </c>
      <c r="D8" s="2"/>
      <c r="E8" s="28">
        <v>13</v>
      </c>
      <c r="F8" s="3" t="s">
        <v>876</v>
      </c>
      <c r="G8" s="28" t="s">
        <v>877</v>
      </c>
      <c r="H8" s="3">
        <v>64</v>
      </c>
      <c r="I8" s="3">
        <v>74</v>
      </c>
      <c r="J8" s="3"/>
    </row>
    <row r="9" spans="1:10" ht="18">
      <c r="A9" s="13"/>
      <c r="B9" s="13"/>
      <c r="C9" s="14" t="e">
        <f t="shared" si="0"/>
        <v>#DIV/0!</v>
      </c>
      <c r="D9" s="2"/>
      <c r="E9" s="28">
        <v>14</v>
      </c>
      <c r="F9" s="3" t="s">
        <v>878</v>
      </c>
      <c r="G9" s="28" t="s">
        <v>879</v>
      </c>
      <c r="H9" s="3">
        <v>65</v>
      </c>
      <c r="I9" s="3">
        <v>75</v>
      </c>
      <c r="J9" s="3" t="s">
        <v>880</v>
      </c>
    </row>
    <row r="10" spans="1:10" ht="18">
      <c r="A10" s="13"/>
      <c r="B10" s="13"/>
      <c r="C10" s="14" t="e">
        <f t="shared" si="0"/>
        <v>#DIV/0!</v>
      </c>
      <c r="D10" s="2"/>
      <c r="E10" s="39">
        <v>16</v>
      </c>
      <c r="F10" s="40" t="s">
        <v>881</v>
      </c>
      <c r="G10" s="39" t="s">
        <v>882</v>
      </c>
      <c r="H10" s="40">
        <v>66</v>
      </c>
      <c r="I10" s="40">
        <v>76</v>
      </c>
      <c r="J10" s="3"/>
    </row>
    <row r="11" spans="1:10" ht="18">
      <c r="A11" s="13"/>
      <c r="B11" s="13"/>
      <c r="C11" s="14" t="e">
        <f t="shared" si="0"/>
        <v>#DIV/0!</v>
      </c>
      <c r="D11" s="2"/>
      <c r="E11" s="28">
        <v>17</v>
      </c>
      <c r="F11" s="3" t="s">
        <v>883</v>
      </c>
      <c r="G11" s="28" t="s">
        <v>884</v>
      </c>
      <c r="H11" s="3" t="s">
        <v>744</v>
      </c>
      <c r="I11" s="3" t="s">
        <v>744</v>
      </c>
      <c r="J11" s="3"/>
    </row>
    <row r="12" spans="1:10" ht="18">
      <c r="A12" s="13"/>
      <c r="B12" s="13"/>
      <c r="C12" s="14" t="e">
        <f t="shared" si="0"/>
        <v>#DIV/0!</v>
      </c>
      <c r="D12" s="2"/>
      <c r="E12" s="28">
        <v>18</v>
      </c>
      <c r="F12" s="3" t="s">
        <v>885</v>
      </c>
      <c r="G12" s="28" t="s">
        <v>886</v>
      </c>
      <c r="H12" s="3" t="s">
        <v>744</v>
      </c>
      <c r="I12" s="3" t="s">
        <v>744</v>
      </c>
      <c r="J12" s="3">
        <v>4918</v>
      </c>
    </row>
    <row r="13" spans="1:10" ht="18">
      <c r="A13" s="13"/>
      <c r="B13" s="13"/>
      <c r="C13" s="14" t="e">
        <f t="shared" si="0"/>
        <v>#DIV/0!</v>
      </c>
      <c r="D13" s="2"/>
      <c r="E13" s="28">
        <v>19</v>
      </c>
      <c r="F13" s="3" t="s">
        <v>887</v>
      </c>
      <c r="G13" s="28" t="s">
        <v>888</v>
      </c>
      <c r="H13" s="3">
        <v>67</v>
      </c>
      <c r="I13" s="3">
        <v>77</v>
      </c>
      <c r="J13" s="3"/>
    </row>
    <row r="14" spans="1:10" ht="18">
      <c r="A14" s="13"/>
      <c r="B14" s="13"/>
      <c r="C14" s="14" t="e">
        <f t="shared" si="0"/>
        <v>#DIV/0!</v>
      </c>
      <c r="D14" s="2"/>
      <c r="E14" s="28">
        <v>20</v>
      </c>
      <c r="F14" s="3" t="s">
        <v>889</v>
      </c>
      <c r="G14" s="28" t="s">
        <v>890</v>
      </c>
      <c r="H14" s="3">
        <v>68</v>
      </c>
      <c r="I14" s="3">
        <v>78</v>
      </c>
      <c r="J14" s="3"/>
    </row>
    <row r="15" spans="1:10" ht="18">
      <c r="A15" s="13"/>
      <c r="B15" s="13"/>
      <c r="C15" s="14" t="e">
        <f t="shared" si="0"/>
        <v>#DIV/0!</v>
      </c>
      <c r="D15" s="2"/>
      <c r="E15" s="28">
        <v>21</v>
      </c>
      <c r="F15" s="3" t="s">
        <v>891</v>
      </c>
      <c r="G15" s="28" t="s">
        <v>892</v>
      </c>
      <c r="H15" s="3">
        <v>69</v>
      </c>
      <c r="I15" s="3">
        <v>79</v>
      </c>
      <c r="J15" s="3"/>
    </row>
    <row r="16" spans="1:10" ht="18">
      <c r="A16" s="13"/>
      <c r="B16" s="13"/>
      <c r="C16" s="14" t="e">
        <f t="shared" si="0"/>
        <v>#DIV/0!</v>
      </c>
      <c r="D16" s="2"/>
      <c r="E16" s="28">
        <v>22</v>
      </c>
      <c r="F16" s="3" t="s">
        <v>893</v>
      </c>
      <c r="G16" s="28" t="s">
        <v>894</v>
      </c>
      <c r="H16" s="3">
        <v>82</v>
      </c>
      <c r="I16" s="3">
        <v>85</v>
      </c>
      <c r="J16" s="3"/>
    </row>
    <row r="17" spans="1:11" ht="18">
      <c r="A17" s="13"/>
      <c r="B17" s="13"/>
      <c r="C17" s="14" t="e">
        <f t="shared" si="0"/>
        <v>#DIV/0!</v>
      </c>
      <c r="D17" s="2"/>
      <c r="E17" s="28"/>
      <c r="F17" s="3" t="s">
        <v>895</v>
      </c>
      <c r="G17" s="28" t="s">
        <v>866</v>
      </c>
      <c r="H17" s="3" t="s">
        <v>744</v>
      </c>
      <c r="I17" s="3" t="s">
        <v>744</v>
      </c>
      <c r="J17" s="3"/>
    </row>
    <row r="18" spans="1:11" ht="18">
      <c r="A18" s="13"/>
      <c r="B18" s="13"/>
      <c r="C18" s="14" t="e">
        <f t="shared" si="0"/>
        <v>#DIV/0!</v>
      </c>
      <c r="D18" s="2"/>
      <c r="E18" s="2"/>
      <c r="F18" s="2"/>
      <c r="G18" s="2"/>
      <c r="H18" s="2"/>
      <c r="I18" s="2"/>
      <c r="J18" s="2"/>
      <c r="K18" s="2"/>
    </row>
    <row r="19" spans="1:11" ht="18">
      <c r="A19" s="13"/>
      <c r="B19" s="13"/>
      <c r="C19" s="14" t="e">
        <f t="shared" si="0"/>
        <v>#DIV/0!</v>
      </c>
      <c r="D19" s="2"/>
      <c r="E19" s="2"/>
      <c r="F19" s="2"/>
      <c r="G19" s="2"/>
      <c r="H19" s="2"/>
      <c r="I19" s="2"/>
      <c r="J19" s="2"/>
      <c r="K19" s="2"/>
    </row>
    <row r="20" spans="1:11" ht="18">
      <c r="A20" s="13"/>
      <c r="B20" s="13"/>
      <c r="C20" s="14" t="e">
        <f t="shared" si="0"/>
        <v>#DIV/0!</v>
      </c>
      <c r="D20" s="2"/>
      <c r="E20" s="2"/>
      <c r="F20" s="2"/>
      <c r="G20" s="2"/>
      <c r="H20" s="2"/>
      <c r="I20" s="2"/>
      <c r="J20" s="2"/>
      <c r="K20" s="2"/>
    </row>
    <row r="21" spans="1:11" ht="18">
      <c r="A21" s="13"/>
      <c r="B21" s="13"/>
      <c r="C21" s="14" t="e">
        <f t="shared" si="0"/>
        <v>#DIV/0!</v>
      </c>
      <c r="D21" s="2"/>
      <c r="E21" s="2"/>
      <c r="F21" s="2"/>
      <c r="G21" s="2"/>
      <c r="H21" s="2"/>
      <c r="I21" s="2"/>
      <c r="J21" s="2"/>
      <c r="K21" s="2"/>
    </row>
    <row r="22" spans="1:11" ht="18">
      <c r="A22" s="13"/>
      <c r="B22" s="13"/>
      <c r="C22" s="14" t="e">
        <f t="shared" si="0"/>
        <v>#DIV/0!</v>
      </c>
      <c r="D22" s="2"/>
      <c r="E22" s="2"/>
      <c r="F22" s="2"/>
      <c r="G22" s="2"/>
      <c r="H22" s="2"/>
      <c r="I22" s="2"/>
      <c r="J22" s="2"/>
      <c r="K22" s="2"/>
    </row>
    <row r="23" spans="1:11" ht="18">
      <c r="A23" s="13"/>
      <c r="B23" s="13"/>
      <c r="C23" s="14" t="e">
        <f t="shared" si="0"/>
        <v>#DIV/0!</v>
      </c>
      <c r="D23" s="2"/>
      <c r="E23" s="2"/>
      <c r="F23" s="2"/>
      <c r="G23" s="2"/>
      <c r="H23" s="2"/>
      <c r="I23" s="2"/>
      <c r="J23" s="2"/>
      <c r="K23" s="2"/>
    </row>
    <row r="24" spans="1:11" ht="18">
      <c r="A24" s="13"/>
      <c r="B24" s="13"/>
      <c r="C24" s="14" t="e">
        <f t="shared" si="0"/>
        <v>#DIV/0!</v>
      </c>
      <c r="D24" s="2"/>
      <c r="E24" s="2"/>
      <c r="F24" s="2"/>
      <c r="G24" s="2"/>
      <c r="H24" s="2"/>
      <c r="I24" s="2"/>
      <c r="J24" s="2"/>
      <c r="K24" s="2"/>
    </row>
    <row r="25" spans="1:11" ht="18">
      <c r="A25" s="13"/>
      <c r="B25" s="13"/>
      <c r="C25" s="14" t="e">
        <f t="shared" si="0"/>
        <v>#DIV/0!</v>
      </c>
      <c r="D25" s="2"/>
      <c r="E25" s="2"/>
      <c r="F25" s="2"/>
      <c r="G25" s="2"/>
      <c r="H25" s="2"/>
      <c r="I25" s="2"/>
      <c r="J25" s="2"/>
      <c r="K25" s="2"/>
    </row>
    <row r="26" spans="1:11" ht="18">
      <c r="A26" s="13"/>
      <c r="B26" s="13"/>
      <c r="C26" s="14" t="e">
        <f t="shared" si="0"/>
        <v>#DIV/0!</v>
      </c>
      <c r="D26" s="2"/>
      <c r="E26" s="2"/>
      <c r="F26" s="2"/>
      <c r="G26" s="2"/>
      <c r="H26" s="2"/>
      <c r="I26" s="2"/>
      <c r="J26" s="2"/>
      <c r="K26" s="2"/>
    </row>
    <row r="27" spans="1:11" ht="18">
      <c r="A27" s="13"/>
      <c r="B27" s="13"/>
      <c r="C27" s="14" t="e">
        <f t="shared" si="0"/>
        <v>#DIV/0!</v>
      </c>
      <c r="D27" s="2"/>
      <c r="E27" s="2"/>
      <c r="F27" s="2"/>
      <c r="G27" s="2"/>
      <c r="H27" s="2"/>
      <c r="I27" s="2"/>
      <c r="J27" s="2"/>
      <c r="K27" s="2"/>
    </row>
    <row r="28" spans="1:11" ht="18">
      <c r="A28" s="13"/>
      <c r="B28" s="13"/>
      <c r="C28" s="14" t="e">
        <f t="shared" si="0"/>
        <v>#DIV/0!</v>
      </c>
      <c r="D28" s="2"/>
      <c r="E28" s="2"/>
      <c r="F28" s="2"/>
      <c r="G28" s="2"/>
      <c r="H28" s="2"/>
      <c r="I28" s="2"/>
      <c r="J28" s="2"/>
      <c r="K28" s="2"/>
    </row>
    <row r="29" spans="1:11" ht="18">
      <c r="A29" s="13"/>
      <c r="B29" s="13"/>
      <c r="C29" s="14" t="e">
        <f t="shared" si="0"/>
        <v>#DIV/0!</v>
      </c>
      <c r="D29" s="2"/>
      <c r="E29" s="2"/>
      <c r="F29" s="2"/>
      <c r="G29" s="2"/>
      <c r="H29" s="2"/>
      <c r="I29" s="2"/>
      <c r="J29" s="2"/>
      <c r="K29" s="2"/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ignoredErrors>
    <ignoredError sqref="C4" evalError="1"/>
  </ignoredErrors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0E4164-E9A3-4B63-8DD5-ED327FD81CAD}">
  <dimension ref="A1:D4"/>
  <sheetViews>
    <sheetView workbookViewId="0">
      <selection activeCell="A3" sqref="A3"/>
    </sheetView>
  </sheetViews>
  <sheetFormatPr defaultRowHeight="14.45"/>
  <cols>
    <col min="1" max="1" width="7.7109375" style="8" bestFit="1" customWidth="1"/>
    <col min="2" max="2" width="16.5703125" style="8" bestFit="1" customWidth="1"/>
    <col min="3" max="3" width="10.85546875" style="19" bestFit="1" customWidth="1"/>
    <col min="4" max="4" width="11.42578125" style="8" bestFit="1" customWidth="1"/>
  </cols>
  <sheetData>
    <row r="1" spans="1:4">
      <c r="A1" s="17" t="s">
        <v>11</v>
      </c>
      <c r="B1" s="17" t="s">
        <v>896</v>
      </c>
      <c r="C1" s="18" t="s">
        <v>897</v>
      </c>
      <c r="D1" s="17" t="s">
        <v>898</v>
      </c>
    </row>
    <row r="2" spans="1:4">
      <c r="A2" s="8">
        <v>23</v>
      </c>
      <c r="B2" s="8" t="s">
        <v>899</v>
      </c>
      <c r="C2" s="19">
        <v>525</v>
      </c>
      <c r="D2" s="15">
        <v>45374</v>
      </c>
    </row>
    <row r="3" spans="1:4">
      <c r="A3" s="8">
        <v>691980</v>
      </c>
      <c r="B3" s="8" t="s">
        <v>900</v>
      </c>
      <c r="C3" s="19">
        <v>667</v>
      </c>
      <c r="D3" s="15">
        <v>45376</v>
      </c>
    </row>
    <row r="4" spans="1:4">
      <c r="A4" s="8">
        <v>106488</v>
      </c>
      <c r="B4" s="8" t="s">
        <v>901</v>
      </c>
      <c r="C4" s="19">
        <v>292.18</v>
      </c>
      <c r="D4" s="15">
        <v>45378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AF9554-87BD-4D4C-9A99-A0BA6D5A0C8F}">
  <sheetPr>
    <tabColor theme="7" tint="0.39997558519241921"/>
    <pageSetUpPr fitToPage="1"/>
  </sheetPr>
  <dimension ref="A1:E60"/>
  <sheetViews>
    <sheetView showGridLines="0" zoomScale="55" zoomScaleNormal="55" workbookViewId="0">
      <pane ySplit="1" topLeftCell="E60" activePane="bottomLeft" state="frozen"/>
      <selection pane="bottomLeft" activeCell="E61" sqref="E61"/>
    </sheetView>
  </sheetViews>
  <sheetFormatPr defaultColWidth="33.42578125" defaultRowHeight="15" customHeight="1"/>
  <cols>
    <col min="1" max="5" width="33.42578125" style="1"/>
    <col min="6" max="6" width="9.28515625" style="16" customWidth="1"/>
    <col min="7" max="16384" width="33.42578125" style="16"/>
  </cols>
  <sheetData>
    <row r="1" spans="1:5" ht="23.25">
      <c r="A1" s="20" t="s">
        <v>902</v>
      </c>
      <c r="B1" s="21" t="s">
        <v>903</v>
      </c>
      <c r="C1" s="21"/>
      <c r="D1" s="21" t="s">
        <v>904</v>
      </c>
      <c r="E1" s="21" t="s">
        <v>905</v>
      </c>
    </row>
    <row r="2" spans="1:5" ht="23.25">
      <c r="A2" s="22"/>
      <c r="B2" s="22"/>
      <c r="C2" s="22"/>
      <c r="D2" s="22"/>
      <c r="E2" s="22"/>
    </row>
    <row r="3" spans="1:5" ht="23.25">
      <c r="A3" s="118" t="s">
        <v>906</v>
      </c>
      <c r="B3" s="119"/>
      <c r="C3" s="119"/>
      <c r="D3" s="119"/>
      <c r="E3" s="120"/>
    </row>
    <row r="4" spans="1:5" ht="23.25">
      <c r="A4" s="23" t="s">
        <v>907</v>
      </c>
      <c r="B4" s="24" t="s">
        <v>908</v>
      </c>
      <c r="C4" s="24"/>
      <c r="D4" s="25">
        <v>2352</v>
      </c>
      <c r="E4" s="26" t="s">
        <v>909</v>
      </c>
    </row>
    <row r="5" spans="1:5" ht="23.25">
      <c r="A5" s="23" t="s">
        <v>910</v>
      </c>
      <c r="B5" s="24" t="s">
        <v>911</v>
      </c>
      <c r="C5" s="24"/>
      <c r="D5" s="25">
        <v>12506.21</v>
      </c>
      <c r="E5" s="26" t="s">
        <v>909</v>
      </c>
    </row>
    <row r="6" spans="1:5" ht="23.25">
      <c r="A6" s="23" t="s">
        <v>910</v>
      </c>
      <c r="B6" s="24">
        <v>207</v>
      </c>
      <c r="C6" s="24"/>
      <c r="D6" s="25">
        <v>1687.69</v>
      </c>
      <c r="E6" s="26" t="s">
        <v>909</v>
      </c>
    </row>
    <row r="7" spans="1:5" ht="23.25">
      <c r="A7" s="23" t="s">
        <v>910</v>
      </c>
      <c r="B7" s="24" t="s">
        <v>912</v>
      </c>
      <c r="C7" s="24"/>
      <c r="D7" s="25">
        <v>965.83</v>
      </c>
      <c r="E7" s="26" t="s">
        <v>909</v>
      </c>
    </row>
    <row r="8" spans="1:5" ht="23.25">
      <c r="A8" s="23" t="s">
        <v>910</v>
      </c>
      <c r="B8" s="24">
        <v>28</v>
      </c>
      <c r="C8" s="24"/>
      <c r="D8" s="25">
        <v>965.83</v>
      </c>
      <c r="E8" s="26" t="s">
        <v>909</v>
      </c>
    </row>
    <row r="9" spans="1:5" ht="23.25">
      <c r="A9" s="23" t="s">
        <v>910</v>
      </c>
      <c r="B9" s="24" t="s">
        <v>913</v>
      </c>
      <c r="C9" s="24"/>
      <c r="D9" s="25">
        <v>965.83</v>
      </c>
      <c r="E9" s="26" t="s">
        <v>909</v>
      </c>
    </row>
    <row r="10" spans="1:5" ht="23.25">
      <c r="A10" s="23" t="s">
        <v>910</v>
      </c>
      <c r="B10" s="24" t="s">
        <v>914</v>
      </c>
      <c r="C10" s="24"/>
      <c r="D10" s="25">
        <v>1046.8</v>
      </c>
      <c r="E10" s="26" t="s">
        <v>909</v>
      </c>
    </row>
    <row r="11" spans="1:5" ht="23.25">
      <c r="A11" s="23" t="s">
        <v>910</v>
      </c>
      <c r="B11" s="24" t="s">
        <v>915</v>
      </c>
      <c r="C11" s="24"/>
      <c r="D11" s="25">
        <v>522.57000000000005</v>
      </c>
      <c r="E11" s="26" t="s">
        <v>909</v>
      </c>
    </row>
    <row r="12" spans="1:5" ht="23.25">
      <c r="A12" s="22"/>
      <c r="B12" s="22"/>
      <c r="C12" s="22"/>
      <c r="D12" s="22"/>
      <c r="E12" s="22"/>
    </row>
    <row r="13" spans="1:5" ht="23.25">
      <c r="A13" s="115" t="s">
        <v>916</v>
      </c>
      <c r="B13" s="116"/>
      <c r="C13" s="116"/>
      <c r="D13" s="116"/>
      <c r="E13" s="121"/>
    </row>
    <row r="14" spans="1:5" ht="47.25">
      <c r="A14" s="23" t="s">
        <v>917</v>
      </c>
      <c r="B14" s="24" t="s">
        <v>918</v>
      </c>
      <c r="C14" s="24"/>
      <c r="D14" s="25">
        <v>1657.22</v>
      </c>
      <c r="E14" s="26" t="s">
        <v>919</v>
      </c>
    </row>
    <row r="15" spans="1:5" ht="47.25">
      <c r="A15" s="23" t="s">
        <v>917</v>
      </c>
      <c r="B15" s="24" t="s">
        <v>920</v>
      </c>
      <c r="C15" s="24"/>
      <c r="D15" s="25">
        <v>5633.46</v>
      </c>
      <c r="E15" s="26" t="s">
        <v>921</v>
      </c>
    </row>
    <row r="16" spans="1:5" ht="47.25">
      <c r="A16" s="23" t="s">
        <v>917</v>
      </c>
      <c r="B16" s="24" t="s">
        <v>922</v>
      </c>
      <c r="C16" s="24"/>
      <c r="D16" s="25">
        <v>1657.22</v>
      </c>
      <c r="E16" s="26" t="s">
        <v>919</v>
      </c>
    </row>
    <row r="17" spans="1:5" ht="47.25">
      <c r="A17" s="23" t="s">
        <v>917</v>
      </c>
      <c r="B17" s="24" t="s">
        <v>923</v>
      </c>
      <c r="C17" s="24"/>
      <c r="D17" s="25">
        <v>1657.22</v>
      </c>
      <c r="E17" s="26" t="s">
        <v>919</v>
      </c>
    </row>
    <row r="18" spans="1:5" ht="23.25">
      <c r="A18" s="22"/>
      <c r="B18" s="22"/>
      <c r="C18" s="22"/>
      <c r="D18" s="22"/>
      <c r="E18" s="22"/>
    </row>
    <row r="19" spans="1:5" ht="23.25">
      <c r="A19" s="115" t="s">
        <v>924</v>
      </c>
      <c r="B19" s="116"/>
      <c r="C19" s="116"/>
      <c r="D19" s="116"/>
      <c r="E19" s="121"/>
    </row>
    <row r="20" spans="1:5" ht="23.25">
      <c r="A20" s="27" t="s">
        <v>925</v>
      </c>
      <c r="B20" s="24" t="s">
        <v>926</v>
      </c>
      <c r="C20" s="24"/>
      <c r="D20" s="25">
        <v>19311.310000000001</v>
      </c>
      <c r="E20" s="26" t="s">
        <v>921</v>
      </c>
    </row>
    <row r="21" spans="1:5" ht="23.25">
      <c r="A21" s="27" t="s">
        <v>925</v>
      </c>
      <c r="B21" s="24" t="s">
        <v>927</v>
      </c>
      <c r="C21" s="24"/>
      <c r="D21" s="24" t="s">
        <v>928</v>
      </c>
      <c r="E21" s="26" t="s">
        <v>929</v>
      </c>
    </row>
    <row r="22" spans="1:5" ht="23.25">
      <c r="A22" s="27" t="s">
        <v>925</v>
      </c>
      <c r="B22" s="24" t="s">
        <v>930</v>
      </c>
      <c r="C22" s="24"/>
      <c r="D22" s="25">
        <v>20000</v>
      </c>
      <c r="E22" s="26" t="s">
        <v>921</v>
      </c>
    </row>
    <row r="23" spans="1:5" ht="23.25">
      <c r="A23" s="27" t="s">
        <v>925</v>
      </c>
      <c r="B23" s="24">
        <v>347</v>
      </c>
      <c r="C23" s="24" t="s">
        <v>931</v>
      </c>
      <c r="D23" s="25">
        <v>3590.66</v>
      </c>
      <c r="E23" s="26" t="s">
        <v>919</v>
      </c>
    </row>
    <row r="24" spans="1:5" ht="23.25">
      <c r="A24" s="27" t="s">
        <v>925</v>
      </c>
      <c r="B24" s="24">
        <v>352</v>
      </c>
      <c r="C24" s="24" t="s">
        <v>932</v>
      </c>
      <c r="D24" s="25">
        <v>3590.58</v>
      </c>
      <c r="E24" s="26" t="s">
        <v>919</v>
      </c>
    </row>
    <row r="25" spans="1:5" ht="23.25">
      <c r="A25" s="27" t="s">
        <v>925</v>
      </c>
      <c r="B25" s="24">
        <v>446</v>
      </c>
      <c r="C25" s="24" t="s">
        <v>933</v>
      </c>
      <c r="D25" s="25">
        <v>1751.67</v>
      </c>
      <c r="E25" s="26" t="s">
        <v>919</v>
      </c>
    </row>
    <row r="26" spans="1:5" ht="23.25">
      <c r="A26" s="27" t="s">
        <v>925</v>
      </c>
      <c r="B26" s="24">
        <v>448</v>
      </c>
      <c r="C26" s="24" t="s">
        <v>934</v>
      </c>
      <c r="D26" s="25">
        <v>4365.12</v>
      </c>
      <c r="E26" s="26" t="s">
        <v>919</v>
      </c>
    </row>
    <row r="27" spans="1:5" ht="23.25">
      <c r="A27" s="27" t="s">
        <v>925</v>
      </c>
      <c r="B27" s="24">
        <v>447</v>
      </c>
      <c r="C27" s="24" t="s">
        <v>935</v>
      </c>
      <c r="D27" s="25">
        <v>1468.3</v>
      </c>
      <c r="E27" s="26" t="s">
        <v>919</v>
      </c>
    </row>
    <row r="28" spans="1:5" ht="23.25">
      <c r="A28" s="27" t="s">
        <v>925</v>
      </c>
      <c r="B28" s="24">
        <v>449</v>
      </c>
      <c r="C28" s="24" t="s">
        <v>936</v>
      </c>
      <c r="D28" s="25">
        <v>4365.12</v>
      </c>
      <c r="E28" s="26" t="s">
        <v>919</v>
      </c>
    </row>
    <row r="29" spans="1:5" ht="23.25">
      <c r="A29" s="27" t="s">
        <v>925</v>
      </c>
      <c r="B29" s="24">
        <v>450</v>
      </c>
      <c r="C29" s="24" t="s">
        <v>937</v>
      </c>
      <c r="D29" s="25">
        <v>4365.12</v>
      </c>
      <c r="E29" s="26" t="s">
        <v>919</v>
      </c>
    </row>
    <row r="30" spans="1:5" ht="23.25">
      <c r="A30" s="27" t="s">
        <v>925</v>
      </c>
      <c r="B30" s="24">
        <v>451</v>
      </c>
      <c r="C30" s="24" t="s">
        <v>938</v>
      </c>
      <c r="D30" s="25">
        <v>4365.12</v>
      </c>
      <c r="E30" s="26" t="s">
        <v>919</v>
      </c>
    </row>
    <row r="31" spans="1:5" ht="23.25">
      <c r="A31" s="27" t="s">
        <v>925</v>
      </c>
      <c r="B31" s="24">
        <v>452</v>
      </c>
      <c r="C31" s="24" t="s">
        <v>939</v>
      </c>
      <c r="D31" s="25">
        <v>4275.05</v>
      </c>
      <c r="E31" s="26" t="s">
        <v>919</v>
      </c>
    </row>
    <row r="32" spans="1:5" ht="23.25">
      <c r="A32" s="27" t="s">
        <v>925</v>
      </c>
      <c r="B32" s="24" t="s">
        <v>940</v>
      </c>
      <c r="C32" s="24" t="s">
        <v>941</v>
      </c>
      <c r="D32" s="25">
        <v>2137.5300000000002</v>
      </c>
      <c r="E32" s="26" t="s">
        <v>919</v>
      </c>
    </row>
    <row r="33" spans="1:5" ht="23.25">
      <c r="A33" s="22"/>
      <c r="B33" s="22"/>
      <c r="C33" s="22"/>
      <c r="D33" s="22"/>
      <c r="E33" s="22"/>
    </row>
    <row r="34" spans="1:5" ht="23.25">
      <c r="A34" s="115" t="s">
        <v>942</v>
      </c>
      <c r="B34" s="116"/>
      <c r="C34" s="116"/>
      <c r="D34" s="116"/>
      <c r="E34" s="121"/>
    </row>
    <row r="35" spans="1:5" ht="23.25">
      <c r="A35" s="27" t="s">
        <v>943</v>
      </c>
      <c r="B35" s="24" t="s">
        <v>944</v>
      </c>
      <c r="C35" s="24"/>
      <c r="D35" s="24" t="s">
        <v>928</v>
      </c>
      <c r="E35" s="26" t="s">
        <v>945</v>
      </c>
    </row>
    <row r="36" spans="1:5" ht="23.25">
      <c r="A36" s="27" t="s">
        <v>943</v>
      </c>
      <c r="B36" s="24">
        <v>226</v>
      </c>
      <c r="C36" s="24"/>
      <c r="D36" s="25">
        <v>1963.54</v>
      </c>
      <c r="E36" s="26" t="s">
        <v>921</v>
      </c>
    </row>
    <row r="37" spans="1:5" ht="23.25">
      <c r="A37" s="27" t="s">
        <v>943</v>
      </c>
      <c r="B37" s="24">
        <v>228</v>
      </c>
      <c r="C37" s="24"/>
      <c r="D37" s="25">
        <v>1963.83</v>
      </c>
      <c r="E37" s="26" t="s">
        <v>921</v>
      </c>
    </row>
    <row r="38" spans="1:5" ht="23.25">
      <c r="A38" s="22"/>
      <c r="B38" s="22"/>
      <c r="C38" s="22"/>
      <c r="D38" s="22"/>
      <c r="E38" s="22"/>
    </row>
    <row r="39" spans="1:5" ht="23.25">
      <c r="A39" s="115" t="s">
        <v>946</v>
      </c>
      <c r="B39" s="116"/>
      <c r="C39" s="116"/>
      <c r="D39" s="116"/>
      <c r="E39" s="117"/>
    </row>
    <row r="40" spans="1:5" ht="23.25">
      <c r="A40" s="27" t="s">
        <v>947</v>
      </c>
      <c r="B40" s="24" t="s">
        <v>923</v>
      </c>
      <c r="C40" s="24"/>
      <c r="D40" s="25">
        <v>624.92999999999995</v>
      </c>
      <c r="E40" s="26" t="s">
        <v>909</v>
      </c>
    </row>
    <row r="41" spans="1:5" ht="23.25">
      <c r="A41" s="22"/>
      <c r="B41" s="22"/>
      <c r="C41" s="22"/>
      <c r="D41" s="22"/>
      <c r="E41" s="22"/>
    </row>
    <row r="42" spans="1:5" ht="23.25">
      <c r="A42" s="115" t="s">
        <v>948</v>
      </c>
      <c r="B42" s="116"/>
      <c r="C42" s="116"/>
      <c r="D42" s="116"/>
      <c r="E42" s="117"/>
    </row>
    <row r="43" spans="1:5" ht="23.25">
      <c r="A43" s="27" t="s">
        <v>949</v>
      </c>
      <c r="B43" s="24" t="s">
        <v>950</v>
      </c>
      <c r="C43" s="24"/>
      <c r="D43" s="25">
        <v>257</v>
      </c>
      <c r="E43" s="26" t="s">
        <v>909</v>
      </c>
    </row>
    <row r="44" spans="1:5" ht="23.25">
      <c r="A44" s="23" t="s">
        <v>951</v>
      </c>
      <c r="B44" s="24" t="s">
        <v>952</v>
      </c>
      <c r="C44" s="24"/>
      <c r="D44" s="25">
        <v>220.73</v>
      </c>
      <c r="E44" s="26" t="s">
        <v>909</v>
      </c>
    </row>
    <row r="45" spans="1:5" ht="23.25">
      <c r="A45" s="63" t="s">
        <v>953</v>
      </c>
      <c r="B45" s="64" t="s">
        <v>954</v>
      </c>
      <c r="C45" s="64"/>
      <c r="D45" s="65">
        <v>800</v>
      </c>
      <c r="E45" s="66" t="s">
        <v>909</v>
      </c>
    </row>
    <row r="46" spans="1:5" ht="23.25">
      <c r="A46" s="63" t="s">
        <v>955</v>
      </c>
      <c r="B46" s="64" t="s">
        <v>956</v>
      </c>
      <c r="C46" s="64"/>
      <c r="D46" s="65">
        <v>212.65</v>
      </c>
      <c r="E46" s="66" t="s">
        <v>909</v>
      </c>
    </row>
    <row r="47" spans="1:5" ht="23.25">
      <c r="A47" s="22"/>
      <c r="B47" s="22"/>
      <c r="C47" s="22"/>
      <c r="D47" s="22"/>
      <c r="E47" s="22"/>
    </row>
    <row r="48" spans="1:5" ht="23.25">
      <c r="A48" s="115" t="s">
        <v>957</v>
      </c>
      <c r="B48" s="116"/>
      <c r="C48" s="116"/>
      <c r="D48" s="116"/>
      <c r="E48" s="117"/>
    </row>
    <row r="49" spans="1:5" ht="47.25">
      <c r="A49" s="23" t="s">
        <v>958</v>
      </c>
      <c r="B49" s="24" t="s">
        <v>959</v>
      </c>
      <c r="C49" s="24"/>
      <c r="D49" s="25">
        <v>1371.71</v>
      </c>
      <c r="E49" s="26" t="s">
        <v>909</v>
      </c>
    </row>
    <row r="50" spans="1:5" ht="23.25">
      <c r="A50" s="23" t="s">
        <v>960</v>
      </c>
      <c r="B50" s="24" t="s">
        <v>961</v>
      </c>
      <c r="C50" s="24"/>
      <c r="D50" s="25">
        <v>1371.71</v>
      </c>
      <c r="E50" s="26" t="s">
        <v>909</v>
      </c>
    </row>
    <row r="51" spans="1:5" ht="23.25">
      <c r="A51" s="22"/>
      <c r="B51" s="22"/>
      <c r="C51" s="22"/>
      <c r="D51" s="22"/>
      <c r="E51" s="22"/>
    </row>
    <row r="52" spans="1:5" ht="23.25">
      <c r="A52" s="115" t="s">
        <v>962</v>
      </c>
      <c r="B52" s="116"/>
      <c r="C52" s="116"/>
      <c r="D52" s="116"/>
      <c r="E52" s="117"/>
    </row>
    <row r="53" spans="1:5" ht="23.25">
      <c r="A53" s="23" t="s">
        <v>963</v>
      </c>
      <c r="B53" s="24" t="s">
        <v>964</v>
      </c>
      <c r="C53" s="24"/>
      <c r="D53" s="29">
        <v>2108.4</v>
      </c>
      <c r="E53" s="26" t="s">
        <v>919</v>
      </c>
    </row>
    <row r="54" spans="1:5" ht="23.25">
      <c r="A54" s="23" t="s">
        <v>963</v>
      </c>
      <c r="B54" s="24" t="s">
        <v>965</v>
      </c>
      <c r="C54" s="24"/>
      <c r="D54" s="29">
        <v>2108.4</v>
      </c>
      <c r="E54" s="26" t="s">
        <v>919</v>
      </c>
    </row>
    <row r="55" spans="1:5" ht="23.25" customHeight="1"/>
    <row r="56" spans="1:5" ht="23.25">
      <c r="A56" s="115" t="s">
        <v>966</v>
      </c>
      <c r="B56" s="116"/>
      <c r="C56" s="116"/>
      <c r="D56" s="116"/>
      <c r="E56" s="117"/>
    </row>
    <row r="57" spans="1:5" ht="23.25">
      <c r="A57" s="23" t="s">
        <v>967</v>
      </c>
      <c r="B57" s="24" t="s">
        <v>956</v>
      </c>
      <c r="C57" s="24"/>
      <c r="D57" s="29">
        <v>4374.42</v>
      </c>
      <c r="E57" s="26" t="s">
        <v>921</v>
      </c>
    </row>
    <row r="58" spans="1:5" ht="23.25">
      <c r="A58" s="68"/>
      <c r="B58" s="69"/>
      <c r="C58" s="69"/>
      <c r="D58" s="70"/>
      <c r="E58" s="71"/>
    </row>
    <row r="59" spans="1:5" ht="23.25">
      <c r="A59" s="112" t="s">
        <v>968</v>
      </c>
      <c r="B59" s="113"/>
      <c r="C59" s="113"/>
      <c r="D59" s="113"/>
      <c r="E59" s="114"/>
    </row>
    <row r="60" spans="1:5" ht="23.25">
      <c r="A60" s="63" t="s">
        <v>969</v>
      </c>
      <c r="B60" s="64" t="s">
        <v>918</v>
      </c>
      <c r="C60" s="64"/>
      <c r="D60" s="67">
        <v>1200</v>
      </c>
      <c r="E60" s="66" t="s">
        <v>919</v>
      </c>
    </row>
  </sheetData>
  <mergeCells count="10">
    <mergeCell ref="A59:E59"/>
    <mergeCell ref="A56:E56"/>
    <mergeCell ref="A48:E48"/>
    <mergeCell ref="A52:E52"/>
    <mergeCell ref="A3:E3"/>
    <mergeCell ref="A13:E13"/>
    <mergeCell ref="A19:E19"/>
    <mergeCell ref="A34:E34"/>
    <mergeCell ref="A39:E39"/>
    <mergeCell ref="A42:E42"/>
  </mergeCells>
  <conditionalFormatting sqref="B55:C55 B61:C1048576">
    <cfRule type="containsText" dxfId="0" priority="1" operator="containsText" text="enviado">
      <formula>NOT(ISERROR(SEARCH("enviado",B55)))</formula>
    </cfRule>
  </conditionalFormatting>
  <printOptions horizontalCentered="1"/>
  <pageMargins left="0.25" right="0.25" top="0.75" bottom="0.75" header="0.3" footer="0.3"/>
  <pageSetup paperSize="9" scale="21" orientation="portrait" r:id="rId1"/>
  <rowBreaks count="1" manualBreakCount="1">
    <brk id="8" max="16383" man="1"/>
  </rowBreaks>
  <colBreaks count="1" manualBreakCount="1">
    <brk id="6" max="1048575" man="1"/>
  </col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Leonardo Leiva</dc:creator>
  <cp:keywords/>
  <dc:description/>
  <cp:lastModifiedBy/>
  <cp:revision/>
  <dcterms:created xsi:type="dcterms:W3CDTF">2024-02-01T19:43:54Z</dcterms:created>
  <dcterms:modified xsi:type="dcterms:W3CDTF">2025-02-05T18:08:31Z</dcterms:modified>
  <cp:category/>
  <cp:contentStatus/>
</cp:coreProperties>
</file>